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BB" sheetId="2" state="visible" r:id="rId2"/>
    <sheet name="Bag Staging" sheetId="3" state="visible" r:id="rId3"/>
    <sheet name="Bag Staging Volumetric" sheetId="4" state="visible" r:id="rId4"/>
    <sheet name="FWD FSM" sheetId="5" state="visible" r:id="rId5"/>
    <sheet name="FWD Manual Pre Primary" sheetId="6" state="visible" r:id="rId6"/>
    <sheet name="FWD Manual Primary" sheetId="7" state="visible" r:id="rId7"/>
    <sheet name="FWD Primary with Scan" sheetId="8" state="visible" r:id="rId8"/>
    <sheet name="FWD Secondary" sheetId="9" state="visible" r:id="rId9"/>
    <sheet name="FWD Volumetric" sheetId="10" state="visible" r:id="rId10"/>
    <sheet name="IB" sheetId="11" state="visible" r:id="rId11"/>
    <sheet name="IB Volumetric" sheetId="12" state="visible" r:id="rId12"/>
    <sheet name="OB" sheetId="13" state="visible" r:id="rId13"/>
    <sheet name="OB Volumetric" sheetId="14" state="visible" r:id="rId14"/>
    <sheet name="OSC Bag Sorting" sheetId="15" state="visible" r:id="rId15"/>
    <sheet name="OSC Bag Sorting Volumetric" sheetId="16" state="visible" r:id="rId16"/>
    <sheet name="REV FSM" sheetId="17" state="visible" r:id="rId17"/>
    <sheet name="Rejection Primary with Scan" sheetId="18" state="visible" r:id="rId18"/>
    <sheet name="Rejection Secondary" sheetId="19" state="visible" r:id="rId19"/>
    <sheet name="Rev DC DC Primary Sorting" sheetId="20" state="visible" r:id="rId20"/>
    <sheet name="Rev Primary (FSM Rejections)" sheetId="21" state="visible" r:id="rId21"/>
    <sheet name="Rev Secondary Sorting" sheetId="22" state="visible" r:id="rId22"/>
    <sheet name="VIA Bag Sorting" sheetId="23" state="visible" r:id="rId23"/>
    <sheet name="Staffing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4" borderId="0" pivotButton="0" quotePrefix="0" xfId="0"/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Layout</t>
        </is>
      </c>
      <c r="B1" s="1" t="inlineStr">
        <is>
          <t>Layout Type</t>
        </is>
      </c>
      <c r="C1" s="1" t="inlineStr">
        <is>
          <t>Date</t>
        </is>
      </c>
      <c r="D1" s="2" t="inlineStr">
        <is>
          <t>Vol 12 AM</t>
        </is>
      </c>
      <c r="E1" s="2" t="inlineStr">
        <is>
          <t>Vol 1 AM</t>
        </is>
      </c>
      <c r="F1" s="2" t="inlineStr">
        <is>
          <t>Vol 2 AM</t>
        </is>
      </c>
      <c r="G1" s="2" t="inlineStr">
        <is>
          <t>Vol 3 AM</t>
        </is>
      </c>
      <c r="H1" s="2" t="inlineStr">
        <is>
          <t>Vol 4 AM</t>
        </is>
      </c>
      <c r="I1" s="2" t="inlineStr">
        <is>
          <t>Vol 5 AM</t>
        </is>
      </c>
      <c r="J1" s="2" t="inlineStr">
        <is>
          <t>Vol 6 AM</t>
        </is>
      </c>
      <c r="K1" s="2" t="inlineStr">
        <is>
          <t>Vol 7 AM</t>
        </is>
      </c>
      <c r="L1" s="2" t="inlineStr">
        <is>
          <t>Vol 8 AM</t>
        </is>
      </c>
      <c r="M1" s="2" t="inlineStr">
        <is>
          <t>Vol 9 AM</t>
        </is>
      </c>
      <c r="N1" s="2" t="inlineStr">
        <is>
          <t>Vol 10 AM</t>
        </is>
      </c>
      <c r="O1" s="2" t="inlineStr">
        <is>
          <t>Vol 11 AM</t>
        </is>
      </c>
      <c r="P1" s="2" t="inlineStr">
        <is>
          <t>Vol 12 PM</t>
        </is>
      </c>
      <c r="Q1" s="2" t="inlineStr">
        <is>
          <t>Vol 1 PM</t>
        </is>
      </c>
      <c r="R1" s="2" t="inlineStr">
        <is>
          <t>Vol 2 PM</t>
        </is>
      </c>
      <c r="S1" s="2" t="inlineStr">
        <is>
          <t>Vol 3 PM</t>
        </is>
      </c>
      <c r="T1" s="2" t="inlineStr">
        <is>
          <t>Vol 4 PM</t>
        </is>
      </c>
      <c r="U1" s="2" t="inlineStr">
        <is>
          <t>Vol 5 PM</t>
        </is>
      </c>
      <c r="V1" s="2" t="inlineStr">
        <is>
          <t>Vol 6 PM</t>
        </is>
      </c>
      <c r="W1" s="2" t="inlineStr">
        <is>
          <t>Vol 7 PM</t>
        </is>
      </c>
      <c r="X1" s="2" t="inlineStr">
        <is>
          <t>Vol 8 PM</t>
        </is>
      </c>
      <c r="Y1" s="2" t="inlineStr">
        <is>
          <t>Vol 9 PM</t>
        </is>
      </c>
      <c r="Z1" s="2" t="inlineStr">
        <is>
          <t>Vol 10 PM</t>
        </is>
      </c>
      <c r="AA1" s="2" t="inlineStr">
        <is>
          <t>Vol 11 PM</t>
        </is>
      </c>
      <c r="AB1" s="2" t="inlineStr">
        <is>
          <t>Vol Total</t>
        </is>
      </c>
      <c r="AC1" s="3" t="inlineStr"/>
      <c r="AD1" s="4" t="inlineStr">
        <is>
          <t>MH 12 AM</t>
        </is>
      </c>
      <c r="AE1" s="4" t="inlineStr">
        <is>
          <t>MH 1 AM</t>
        </is>
      </c>
      <c r="AF1" s="4" t="inlineStr">
        <is>
          <t>MH 2 AM</t>
        </is>
      </c>
      <c r="AG1" s="4" t="inlineStr">
        <is>
          <t>MH 3 AM</t>
        </is>
      </c>
      <c r="AH1" s="4" t="inlineStr">
        <is>
          <t>MH 4 AM</t>
        </is>
      </c>
      <c r="AI1" s="4" t="inlineStr">
        <is>
          <t>MH 5 AM</t>
        </is>
      </c>
      <c r="AJ1" s="4" t="inlineStr">
        <is>
          <t>MH 6 AM</t>
        </is>
      </c>
      <c r="AK1" s="4" t="inlineStr">
        <is>
          <t>MH 7 AM</t>
        </is>
      </c>
      <c r="AL1" s="4" t="inlineStr">
        <is>
          <t>MH 8 AM</t>
        </is>
      </c>
      <c r="AM1" s="4" t="inlineStr">
        <is>
          <t>MH 9 AM</t>
        </is>
      </c>
      <c r="AN1" s="4" t="inlineStr">
        <is>
          <t>MH 10 AM</t>
        </is>
      </c>
      <c r="AO1" s="4" t="inlineStr">
        <is>
          <t>MH 11 AM</t>
        </is>
      </c>
      <c r="AP1" s="4" t="inlineStr">
        <is>
          <t>MH 12 PM</t>
        </is>
      </c>
      <c r="AQ1" s="4" t="inlineStr">
        <is>
          <t>MH 1 PM</t>
        </is>
      </c>
      <c r="AR1" s="4" t="inlineStr">
        <is>
          <t>MH 2 PM</t>
        </is>
      </c>
      <c r="AS1" s="4" t="inlineStr">
        <is>
          <t>MH 3 PM</t>
        </is>
      </c>
      <c r="AT1" s="4" t="inlineStr">
        <is>
          <t>MH 4 PM</t>
        </is>
      </c>
      <c r="AU1" s="4" t="inlineStr">
        <is>
          <t>MH 5 PM</t>
        </is>
      </c>
      <c r="AV1" s="4" t="inlineStr">
        <is>
          <t>MH 6 PM</t>
        </is>
      </c>
      <c r="AW1" s="4" t="inlineStr">
        <is>
          <t>MH 7 PM</t>
        </is>
      </c>
      <c r="AX1" s="4" t="inlineStr">
        <is>
          <t>MH 8 PM</t>
        </is>
      </c>
      <c r="AY1" s="4" t="inlineStr">
        <is>
          <t>MH 9 PM</t>
        </is>
      </c>
      <c r="AZ1" s="4" t="inlineStr">
        <is>
          <t>MH 10 PM</t>
        </is>
      </c>
      <c r="BA1" s="4" t="inlineStr">
        <is>
          <t>MH 11 PM</t>
        </is>
      </c>
      <c r="BB1" s="4" t="inlineStr">
        <is>
          <t>MH Total</t>
        </is>
      </c>
    </row>
    <row r="2">
      <c r="A2" t="inlineStr">
        <is>
          <t>AMD-AIR-NEW-SSC</t>
        </is>
      </c>
      <c r="B2" t="inlineStr">
        <is>
          <t>Forward Regular OSC</t>
        </is>
      </c>
      <c r="C2" s="5" t="n">
        <v>46093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v>0</v>
      </c>
      <c r="N2" s="6" t="n">
        <v>0</v>
      </c>
      <c r="O2" s="6" t="n">
        <v>0</v>
      </c>
      <c r="P2" s="6" t="n">
        <v>0</v>
      </c>
      <c r="Q2" s="6" t="n">
        <v>0</v>
      </c>
      <c r="R2" s="6" t="n">
        <v>406</v>
      </c>
      <c r="S2" s="6" t="n">
        <v>389</v>
      </c>
      <c r="T2" s="6" t="n">
        <v>0</v>
      </c>
      <c r="U2" s="6" t="n">
        <v>0</v>
      </c>
      <c r="V2" s="6" t="n">
        <v>0</v>
      </c>
      <c r="W2" s="6" t="n">
        <v>0</v>
      </c>
      <c r="X2" s="6" t="n">
        <v>0</v>
      </c>
      <c r="Y2" s="6" t="n">
        <v>0</v>
      </c>
      <c r="Z2" s="6" t="n">
        <v>0</v>
      </c>
      <c r="AA2" s="6" t="n">
        <v>0</v>
      </c>
      <c r="AB2" s="6">
        <f>SUM(D2:AA2)</f>
        <v/>
      </c>
      <c r="AC2" s="3" t="inlineStr"/>
      <c r="AD2" s="7">
        <f>'BBB'!AD2+'Bag Staging'!AD2+'Bag Staging Volumetric'!AD2+'FWD FSM'!AD2+'FWD Manual Pre Primary'!AD2+'FWD Manual Primary'!AD2+'FWD Primary with Scan'!AD2+'FWD Secondary'!AD2+'FWD Volumetric'!AD2+'IB'!AD2+'IB Volumetric'!AD2+'OB'!AD2+'OB Volumetric'!AD2+'OSC Bag Sorting'!AD2+'OSC Bag Sorting Volumetric'!AD2+'REV FSM'!AD2+'Rejection Primary with Scan'!AD2+'Rejection Secondary'!AD2+'Rev DC DC Primary Sorting'!AD2+'Rev Primary (FSM Rejections)'!AD2+'Rev Secondary Sorting'!AD2+'VIA Bag Sorting'!AD2</f>
        <v/>
      </c>
      <c r="AE2" s="7">
        <f>'BBB'!AE2+'Bag Staging'!AE2+'Bag Staging Volumetric'!AE2+'FWD FSM'!AE2+'FWD Manual Pre Primary'!AE2+'FWD Manual Primary'!AE2+'FWD Primary with Scan'!AE2+'FWD Secondary'!AE2+'FWD Volumetric'!AE2+'IB'!AE2+'IB Volumetric'!AE2+'OB'!AE2+'OB Volumetric'!AE2+'OSC Bag Sorting'!AE2+'OSC Bag Sorting Volumetric'!AE2+'REV FSM'!AE2+'Rejection Primary with Scan'!AE2+'Rejection Secondary'!AE2+'Rev DC DC Primary Sorting'!AE2+'Rev Primary (FSM Rejections)'!AE2+'Rev Secondary Sorting'!AE2+'VIA Bag Sorting'!AE2</f>
        <v/>
      </c>
      <c r="AF2" s="7">
        <f>'BBB'!AF2+'Bag Staging'!AF2+'Bag Staging Volumetric'!AF2+'FWD FSM'!AF2+'FWD Manual Pre Primary'!AF2+'FWD Manual Primary'!AF2+'FWD Primary with Scan'!AF2+'FWD Secondary'!AF2+'FWD Volumetric'!AF2+'IB'!AF2+'IB Volumetric'!AF2+'OB'!AF2+'OB Volumetric'!AF2+'OSC Bag Sorting'!AF2+'OSC Bag Sorting Volumetric'!AF2+'REV FSM'!AF2+'Rejection Primary with Scan'!AF2+'Rejection Secondary'!AF2+'Rev DC DC Primary Sorting'!AF2+'Rev Primary (FSM Rejections)'!AF2+'Rev Secondary Sorting'!AF2+'VIA Bag Sorting'!AF2</f>
        <v/>
      </c>
      <c r="AG2" s="7">
        <f>'BBB'!AG2+'Bag Staging'!AG2+'Bag Staging Volumetric'!AG2+'FWD FSM'!AG2+'FWD Manual Pre Primary'!AG2+'FWD Manual Primary'!AG2+'FWD Primary with Scan'!AG2+'FWD Secondary'!AG2+'FWD Volumetric'!AG2+'IB'!AG2+'IB Volumetric'!AG2+'OB'!AG2+'OB Volumetric'!AG2+'OSC Bag Sorting'!AG2+'OSC Bag Sorting Volumetric'!AG2+'REV FSM'!AG2+'Rejection Primary with Scan'!AG2+'Rejection Secondary'!AG2+'Rev DC DC Primary Sorting'!AG2+'Rev Primary (FSM Rejections)'!AG2+'Rev Secondary Sorting'!AG2+'VIA Bag Sorting'!AG2</f>
        <v/>
      </c>
      <c r="AH2" s="7">
        <f>'BBB'!AH2+'Bag Staging'!AH2+'Bag Staging Volumetric'!AH2+'FWD FSM'!AH2+'FWD Manual Pre Primary'!AH2+'FWD Manual Primary'!AH2+'FWD Primary with Scan'!AH2+'FWD Secondary'!AH2+'FWD Volumetric'!AH2+'IB'!AH2+'IB Volumetric'!AH2+'OB'!AH2+'OB Volumetric'!AH2+'OSC Bag Sorting'!AH2+'OSC Bag Sorting Volumetric'!AH2+'REV FSM'!AH2+'Rejection Primary with Scan'!AH2+'Rejection Secondary'!AH2+'Rev DC DC Primary Sorting'!AH2+'Rev Primary (FSM Rejections)'!AH2+'Rev Secondary Sorting'!AH2+'VIA Bag Sorting'!AH2</f>
        <v/>
      </c>
      <c r="AI2" s="7">
        <f>'BBB'!AI2+'Bag Staging'!AI2+'Bag Staging Volumetric'!AI2+'FWD FSM'!AI2+'FWD Manual Pre Primary'!AI2+'FWD Manual Primary'!AI2+'FWD Primary with Scan'!AI2+'FWD Secondary'!AI2+'FWD Volumetric'!AI2+'IB'!AI2+'IB Volumetric'!AI2+'OB'!AI2+'OB Volumetric'!AI2+'OSC Bag Sorting'!AI2+'OSC Bag Sorting Volumetric'!AI2+'REV FSM'!AI2+'Rejection Primary with Scan'!AI2+'Rejection Secondary'!AI2+'Rev DC DC Primary Sorting'!AI2+'Rev Primary (FSM Rejections)'!AI2+'Rev Secondary Sorting'!AI2+'VIA Bag Sorting'!AI2</f>
        <v/>
      </c>
      <c r="AJ2" s="7">
        <f>'BBB'!AJ2+'Bag Staging'!AJ2+'Bag Staging Volumetric'!AJ2+'FWD FSM'!AJ2+'FWD Manual Pre Primary'!AJ2+'FWD Manual Primary'!AJ2+'FWD Primary with Scan'!AJ2+'FWD Secondary'!AJ2+'FWD Volumetric'!AJ2+'IB'!AJ2+'IB Volumetric'!AJ2+'OB'!AJ2+'OB Volumetric'!AJ2+'OSC Bag Sorting'!AJ2+'OSC Bag Sorting Volumetric'!AJ2+'REV FSM'!AJ2+'Rejection Primary with Scan'!AJ2+'Rejection Secondary'!AJ2+'Rev DC DC Primary Sorting'!AJ2+'Rev Primary (FSM Rejections)'!AJ2+'Rev Secondary Sorting'!AJ2+'VIA Bag Sorting'!AJ2</f>
        <v/>
      </c>
      <c r="AK2" s="7">
        <f>'BBB'!AK2+'Bag Staging'!AK2+'Bag Staging Volumetric'!AK2+'FWD FSM'!AK2+'FWD Manual Pre Primary'!AK2+'FWD Manual Primary'!AK2+'FWD Primary with Scan'!AK2+'FWD Secondary'!AK2+'FWD Volumetric'!AK2+'IB'!AK2+'IB Volumetric'!AK2+'OB'!AK2+'OB Volumetric'!AK2+'OSC Bag Sorting'!AK2+'OSC Bag Sorting Volumetric'!AK2+'REV FSM'!AK2+'Rejection Primary with Scan'!AK2+'Rejection Secondary'!AK2+'Rev DC DC Primary Sorting'!AK2+'Rev Primary (FSM Rejections)'!AK2+'Rev Secondary Sorting'!AK2+'VIA Bag Sorting'!AK2</f>
        <v/>
      </c>
      <c r="AL2" s="7">
        <f>'BBB'!AL2+'Bag Staging'!AL2+'Bag Staging Volumetric'!AL2+'FWD FSM'!AL2+'FWD Manual Pre Primary'!AL2+'FWD Manual Primary'!AL2+'FWD Primary with Scan'!AL2+'FWD Secondary'!AL2+'FWD Volumetric'!AL2+'IB'!AL2+'IB Volumetric'!AL2+'OB'!AL2+'OB Volumetric'!AL2+'OSC Bag Sorting'!AL2+'OSC Bag Sorting Volumetric'!AL2+'REV FSM'!AL2+'Rejection Primary with Scan'!AL2+'Rejection Secondary'!AL2+'Rev DC DC Primary Sorting'!AL2+'Rev Primary (FSM Rejections)'!AL2+'Rev Secondary Sorting'!AL2+'VIA Bag Sorting'!AL2</f>
        <v/>
      </c>
      <c r="AM2" s="7">
        <f>'BBB'!AM2+'Bag Staging'!AM2+'Bag Staging Volumetric'!AM2+'FWD FSM'!AM2+'FWD Manual Pre Primary'!AM2+'FWD Manual Primary'!AM2+'FWD Primary with Scan'!AM2+'FWD Secondary'!AM2+'FWD Volumetric'!AM2+'IB'!AM2+'IB Volumetric'!AM2+'OB'!AM2+'OB Volumetric'!AM2+'OSC Bag Sorting'!AM2+'OSC Bag Sorting Volumetric'!AM2+'REV FSM'!AM2+'Rejection Primary with Scan'!AM2+'Rejection Secondary'!AM2+'Rev DC DC Primary Sorting'!AM2+'Rev Primary (FSM Rejections)'!AM2+'Rev Secondary Sorting'!AM2+'VIA Bag Sorting'!AM2</f>
        <v/>
      </c>
      <c r="AN2" s="7">
        <f>'BBB'!AN2+'Bag Staging'!AN2+'Bag Staging Volumetric'!AN2+'FWD FSM'!AN2+'FWD Manual Pre Primary'!AN2+'FWD Manual Primary'!AN2+'FWD Primary with Scan'!AN2+'FWD Secondary'!AN2+'FWD Volumetric'!AN2+'IB'!AN2+'IB Volumetric'!AN2+'OB'!AN2+'OB Volumetric'!AN2+'OSC Bag Sorting'!AN2+'OSC Bag Sorting Volumetric'!AN2+'REV FSM'!AN2+'Rejection Primary with Scan'!AN2+'Rejection Secondary'!AN2+'Rev DC DC Primary Sorting'!AN2+'Rev Primary (FSM Rejections)'!AN2+'Rev Secondary Sorting'!AN2+'VIA Bag Sorting'!AN2</f>
        <v/>
      </c>
      <c r="AO2" s="7">
        <f>'BBB'!AO2+'Bag Staging'!AO2+'Bag Staging Volumetric'!AO2+'FWD FSM'!AO2+'FWD Manual Pre Primary'!AO2+'FWD Manual Primary'!AO2+'FWD Primary with Scan'!AO2+'FWD Secondary'!AO2+'FWD Volumetric'!AO2+'IB'!AO2+'IB Volumetric'!AO2+'OB'!AO2+'OB Volumetric'!AO2+'OSC Bag Sorting'!AO2+'OSC Bag Sorting Volumetric'!AO2+'REV FSM'!AO2+'Rejection Primary with Scan'!AO2+'Rejection Secondary'!AO2+'Rev DC DC Primary Sorting'!AO2+'Rev Primary (FSM Rejections)'!AO2+'Rev Secondary Sorting'!AO2+'VIA Bag Sorting'!AO2</f>
        <v/>
      </c>
      <c r="AP2" s="7">
        <f>'BBB'!AP2+'Bag Staging'!AP2+'Bag Staging Volumetric'!AP2+'FWD FSM'!AP2+'FWD Manual Pre Primary'!AP2+'FWD Manual Primary'!AP2+'FWD Primary with Scan'!AP2+'FWD Secondary'!AP2+'FWD Volumetric'!AP2+'IB'!AP2+'IB Volumetric'!AP2+'OB'!AP2+'OB Volumetric'!AP2+'OSC Bag Sorting'!AP2+'OSC Bag Sorting Volumetric'!AP2+'REV FSM'!AP2+'Rejection Primary with Scan'!AP2+'Rejection Secondary'!AP2+'Rev DC DC Primary Sorting'!AP2+'Rev Primary (FSM Rejections)'!AP2+'Rev Secondary Sorting'!AP2+'VIA Bag Sorting'!AP2</f>
        <v/>
      </c>
      <c r="AQ2" s="7">
        <f>'BBB'!AQ2+'Bag Staging'!AQ2+'Bag Staging Volumetric'!AQ2+'FWD FSM'!AQ2+'FWD Manual Pre Primary'!AQ2+'FWD Manual Primary'!AQ2+'FWD Primary with Scan'!AQ2+'FWD Secondary'!AQ2+'FWD Volumetric'!AQ2+'IB'!AQ2+'IB Volumetric'!AQ2+'OB'!AQ2+'OB Volumetric'!AQ2+'OSC Bag Sorting'!AQ2+'OSC Bag Sorting Volumetric'!AQ2+'REV FSM'!AQ2+'Rejection Primary with Scan'!AQ2+'Rejection Secondary'!AQ2+'Rev DC DC Primary Sorting'!AQ2+'Rev Primary (FSM Rejections)'!AQ2+'Rev Secondary Sorting'!AQ2+'VIA Bag Sorting'!AQ2</f>
        <v/>
      </c>
      <c r="AR2" s="7">
        <f>'BBB'!AR2+'Bag Staging'!AR2+'Bag Staging Volumetric'!AR2+'FWD FSM'!AR2+'FWD Manual Pre Primary'!AR2+'FWD Manual Primary'!AR2+'FWD Primary with Scan'!AR2+'FWD Secondary'!AR2+'FWD Volumetric'!AR2+'IB'!AR2+'IB Volumetric'!AR2+'OB'!AR2+'OB Volumetric'!AR2+'OSC Bag Sorting'!AR2+'OSC Bag Sorting Volumetric'!AR2+'REV FSM'!AR2+'Rejection Primary with Scan'!AR2+'Rejection Secondary'!AR2+'Rev DC DC Primary Sorting'!AR2+'Rev Primary (FSM Rejections)'!AR2+'Rev Secondary Sorting'!AR2+'VIA Bag Sorting'!AR2</f>
        <v/>
      </c>
      <c r="AS2" s="7">
        <f>'BBB'!AS2+'Bag Staging'!AS2+'Bag Staging Volumetric'!AS2+'FWD FSM'!AS2+'FWD Manual Pre Primary'!AS2+'FWD Manual Primary'!AS2+'FWD Primary with Scan'!AS2+'FWD Secondary'!AS2+'FWD Volumetric'!AS2+'IB'!AS2+'IB Volumetric'!AS2+'OB'!AS2+'OB Volumetric'!AS2+'OSC Bag Sorting'!AS2+'OSC Bag Sorting Volumetric'!AS2+'REV FSM'!AS2+'Rejection Primary with Scan'!AS2+'Rejection Secondary'!AS2+'Rev DC DC Primary Sorting'!AS2+'Rev Primary (FSM Rejections)'!AS2+'Rev Secondary Sorting'!AS2+'VIA Bag Sorting'!AS2</f>
        <v/>
      </c>
      <c r="AT2" s="7">
        <f>'BBB'!AT2+'Bag Staging'!AT2+'Bag Staging Volumetric'!AT2+'FWD FSM'!AT2+'FWD Manual Pre Primary'!AT2+'FWD Manual Primary'!AT2+'FWD Primary with Scan'!AT2+'FWD Secondary'!AT2+'FWD Volumetric'!AT2+'IB'!AT2+'IB Volumetric'!AT2+'OB'!AT2+'OB Volumetric'!AT2+'OSC Bag Sorting'!AT2+'OSC Bag Sorting Volumetric'!AT2+'REV FSM'!AT2+'Rejection Primary with Scan'!AT2+'Rejection Secondary'!AT2+'Rev DC DC Primary Sorting'!AT2+'Rev Primary (FSM Rejections)'!AT2+'Rev Secondary Sorting'!AT2+'VIA Bag Sorting'!AT2</f>
        <v/>
      </c>
      <c r="AU2" s="7">
        <f>'BBB'!AU2+'Bag Staging'!AU2+'Bag Staging Volumetric'!AU2+'FWD FSM'!AU2+'FWD Manual Pre Primary'!AU2+'FWD Manual Primary'!AU2+'FWD Primary with Scan'!AU2+'FWD Secondary'!AU2+'FWD Volumetric'!AU2+'IB'!AU2+'IB Volumetric'!AU2+'OB'!AU2+'OB Volumetric'!AU2+'OSC Bag Sorting'!AU2+'OSC Bag Sorting Volumetric'!AU2+'REV FSM'!AU2+'Rejection Primary with Scan'!AU2+'Rejection Secondary'!AU2+'Rev DC DC Primary Sorting'!AU2+'Rev Primary (FSM Rejections)'!AU2+'Rev Secondary Sorting'!AU2+'VIA Bag Sorting'!AU2</f>
        <v/>
      </c>
      <c r="AV2" s="7">
        <f>'BBB'!AV2+'Bag Staging'!AV2+'Bag Staging Volumetric'!AV2+'FWD FSM'!AV2+'FWD Manual Pre Primary'!AV2+'FWD Manual Primary'!AV2+'FWD Primary with Scan'!AV2+'FWD Secondary'!AV2+'FWD Volumetric'!AV2+'IB'!AV2+'IB Volumetric'!AV2+'OB'!AV2+'OB Volumetric'!AV2+'OSC Bag Sorting'!AV2+'OSC Bag Sorting Volumetric'!AV2+'REV FSM'!AV2+'Rejection Primary with Scan'!AV2+'Rejection Secondary'!AV2+'Rev DC DC Primary Sorting'!AV2+'Rev Primary (FSM Rejections)'!AV2+'Rev Secondary Sorting'!AV2+'VIA Bag Sorting'!AV2</f>
        <v/>
      </c>
      <c r="AW2" s="7">
        <f>'BBB'!AW2+'Bag Staging'!AW2+'Bag Staging Volumetric'!AW2+'FWD FSM'!AW2+'FWD Manual Pre Primary'!AW2+'FWD Manual Primary'!AW2+'FWD Primary with Scan'!AW2+'FWD Secondary'!AW2+'FWD Volumetric'!AW2+'IB'!AW2+'IB Volumetric'!AW2+'OB'!AW2+'OB Volumetric'!AW2+'OSC Bag Sorting'!AW2+'OSC Bag Sorting Volumetric'!AW2+'REV FSM'!AW2+'Rejection Primary with Scan'!AW2+'Rejection Secondary'!AW2+'Rev DC DC Primary Sorting'!AW2+'Rev Primary (FSM Rejections)'!AW2+'Rev Secondary Sorting'!AW2+'VIA Bag Sorting'!AW2</f>
        <v/>
      </c>
      <c r="AX2" s="7">
        <f>'BBB'!AX2+'Bag Staging'!AX2+'Bag Staging Volumetric'!AX2+'FWD FSM'!AX2+'FWD Manual Pre Primary'!AX2+'FWD Manual Primary'!AX2+'FWD Primary with Scan'!AX2+'FWD Secondary'!AX2+'FWD Volumetric'!AX2+'IB'!AX2+'IB Volumetric'!AX2+'OB'!AX2+'OB Volumetric'!AX2+'OSC Bag Sorting'!AX2+'OSC Bag Sorting Volumetric'!AX2+'REV FSM'!AX2+'Rejection Primary with Scan'!AX2+'Rejection Secondary'!AX2+'Rev DC DC Primary Sorting'!AX2+'Rev Primary (FSM Rejections)'!AX2+'Rev Secondary Sorting'!AX2+'VIA Bag Sorting'!AX2</f>
        <v/>
      </c>
      <c r="AY2" s="7">
        <f>'BBB'!AY2+'Bag Staging'!AY2+'Bag Staging Volumetric'!AY2+'FWD FSM'!AY2+'FWD Manual Pre Primary'!AY2+'FWD Manual Primary'!AY2+'FWD Primary with Scan'!AY2+'FWD Secondary'!AY2+'FWD Volumetric'!AY2+'IB'!AY2+'IB Volumetric'!AY2+'OB'!AY2+'OB Volumetric'!AY2+'OSC Bag Sorting'!AY2+'OSC Bag Sorting Volumetric'!AY2+'REV FSM'!AY2+'Rejection Primary with Scan'!AY2+'Rejection Secondary'!AY2+'Rev DC DC Primary Sorting'!AY2+'Rev Primary (FSM Rejections)'!AY2+'Rev Secondary Sorting'!AY2+'VIA Bag Sorting'!AY2</f>
        <v/>
      </c>
      <c r="AZ2" s="7">
        <f>'BBB'!AZ2+'Bag Staging'!AZ2+'Bag Staging Volumetric'!AZ2+'FWD FSM'!AZ2+'FWD Manual Pre Primary'!AZ2+'FWD Manual Primary'!AZ2+'FWD Primary with Scan'!AZ2+'FWD Secondary'!AZ2+'FWD Volumetric'!AZ2+'IB'!AZ2+'IB Volumetric'!AZ2+'OB'!AZ2+'OB Volumetric'!AZ2+'OSC Bag Sorting'!AZ2+'OSC Bag Sorting Volumetric'!AZ2+'REV FSM'!AZ2+'Rejection Primary with Scan'!AZ2+'Rejection Secondary'!AZ2+'Rev DC DC Primary Sorting'!AZ2+'Rev Primary (FSM Rejections)'!AZ2+'Rev Secondary Sorting'!AZ2+'VIA Bag Sorting'!AZ2</f>
        <v/>
      </c>
      <c r="BA2" s="7">
        <f>'BBB'!BA2+'Bag Staging'!BA2+'Bag Staging Volumetric'!BA2+'FWD FSM'!BA2+'FWD Manual Pre Primary'!BA2+'FWD Manual Primary'!BA2+'FWD Primary with Scan'!BA2+'FWD Secondary'!BA2+'FWD Volumetric'!BA2+'IB'!BA2+'IB Volumetric'!BA2+'OB'!BA2+'OB Volumetric'!BA2+'OSC Bag Sorting'!BA2+'OSC Bag Sorting Volumetric'!BA2+'REV FSM'!BA2+'Rejection Primary with Scan'!BA2+'Rejection Secondary'!BA2+'Rev DC DC Primary Sorting'!BA2+'Rev Primary (FSM Rejections)'!BA2+'Rev Secondary Sorting'!BA2+'VIA Bag Sorting'!BA2</f>
        <v/>
      </c>
      <c r="BB2" s="7">
        <f>SUM(AD2:BA2)</f>
        <v/>
      </c>
    </row>
    <row r="3">
      <c r="A3" t="inlineStr">
        <is>
          <t>AMD-AIR-NEW-SSC</t>
        </is>
      </c>
      <c r="B3" t="inlineStr">
        <is>
          <t>Forward Regular OSC</t>
        </is>
      </c>
      <c r="C3" s="5" t="n">
        <v>46094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592</v>
      </c>
      <c r="T3" s="6" t="n">
        <v>2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>
        <f>SUM(D3:AA3)</f>
        <v/>
      </c>
      <c r="AC3" s="3" t="inlineStr"/>
      <c r="AD3" s="7">
        <f>'BBB'!AD3+'Bag Staging'!AD3+'Bag Staging Volumetric'!AD3+'FWD FSM'!AD3+'FWD Manual Pre Primary'!AD3+'FWD Manual Primary'!AD3+'FWD Primary with Scan'!AD3+'FWD Secondary'!AD3+'FWD Volumetric'!AD3+'IB'!AD3+'IB Volumetric'!AD3+'OB'!AD3+'OB Volumetric'!AD3+'OSC Bag Sorting'!AD3+'OSC Bag Sorting Volumetric'!AD3+'REV FSM'!AD3+'Rejection Primary with Scan'!AD3+'Rejection Secondary'!AD3+'Rev DC DC Primary Sorting'!AD3+'Rev Primary (FSM Rejections)'!AD3+'Rev Secondary Sorting'!AD3+'VIA Bag Sorting'!AD3</f>
        <v/>
      </c>
      <c r="AE3" s="7">
        <f>'BBB'!AE3+'Bag Staging'!AE3+'Bag Staging Volumetric'!AE3+'FWD FSM'!AE3+'FWD Manual Pre Primary'!AE3+'FWD Manual Primary'!AE3+'FWD Primary with Scan'!AE3+'FWD Secondary'!AE3+'FWD Volumetric'!AE3+'IB'!AE3+'IB Volumetric'!AE3+'OB'!AE3+'OB Volumetric'!AE3+'OSC Bag Sorting'!AE3+'OSC Bag Sorting Volumetric'!AE3+'REV FSM'!AE3+'Rejection Primary with Scan'!AE3+'Rejection Secondary'!AE3+'Rev DC DC Primary Sorting'!AE3+'Rev Primary (FSM Rejections)'!AE3+'Rev Secondary Sorting'!AE3+'VIA Bag Sorting'!AE3</f>
        <v/>
      </c>
      <c r="AF3" s="7">
        <f>'BBB'!AF3+'Bag Staging'!AF3+'Bag Staging Volumetric'!AF3+'FWD FSM'!AF3+'FWD Manual Pre Primary'!AF3+'FWD Manual Primary'!AF3+'FWD Primary with Scan'!AF3+'FWD Secondary'!AF3+'FWD Volumetric'!AF3+'IB'!AF3+'IB Volumetric'!AF3+'OB'!AF3+'OB Volumetric'!AF3+'OSC Bag Sorting'!AF3+'OSC Bag Sorting Volumetric'!AF3+'REV FSM'!AF3+'Rejection Primary with Scan'!AF3+'Rejection Secondary'!AF3+'Rev DC DC Primary Sorting'!AF3+'Rev Primary (FSM Rejections)'!AF3+'Rev Secondary Sorting'!AF3+'VIA Bag Sorting'!AF3</f>
        <v/>
      </c>
      <c r="AG3" s="7">
        <f>'BBB'!AG3+'Bag Staging'!AG3+'Bag Staging Volumetric'!AG3+'FWD FSM'!AG3+'FWD Manual Pre Primary'!AG3+'FWD Manual Primary'!AG3+'FWD Primary with Scan'!AG3+'FWD Secondary'!AG3+'FWD Volumetric'!AG3+'IB'!AG3+'IB Volumetric'!AG3+'OB'!AG3+'OB Volumetric'!AG3+'OSC Bag Sorting'!AG3+'OSC Bag Sorting Volumetric'!AG3+'REV FSM'!AG3+'Rejection Primary with Scan'!AG3+'Rejection Secondary'!AG3+'Rev DC DC Primary Sorting'!AG3+'Rev Primary (FSM Rejections)'!AG3+'Rev Secondary Sorting'!AG3+'VIA Bag Sorting'!AG3</f>
        <v/>
      </c>
      <c r="AH3" s="7">
        <f>'BBB'!AH3+'Bag Staging'!AH3+'Bag Staging Volumetric'!AH3+'FWD FSM'!AH3+'FWD Manual Pre Primary'!AH3+'FWD Manual Primary'!AH3+'FWD Primary with Scan'!AH3+'FWD Secondary'!AH3+'FWD Volumetric'!AH3+'IB'!AH3+'IB Volumetric'!AH3+'OB'!AH3+'OB Volumetric'!AH3+'OSC Bag Sorting'!AH3+'OSC Bag Sorting Volumetric'!AH3+'REV FSM'!AH3+'Rejection Primary with Scan'!AH3+'Rejection Secondary'!AH3+'Rev DC DC Primary Sorting'!AH3+'Rev Primary (FSM Rejections)'!AH3+'Rev Secondary Sorting'!AH3+'VIA Bag Sorting'!AH3</f>
        <v/>
      </c>
      <c r="AI3" s="7">
        <f>'BBB'!AI3+'Bag Staging'!AI3+'Bag Staging Volumetric'!AI3+'FWD FSM'!AI3+'FWD Manual Pre Primary'!AI3+'FWD Manual Primary'!AI3+'FWD Primary with Scan'!AI3+'FWD Secondary'!AI3+'FWD Volumetric'!AI3+'IB'!AI3+'IB Volumetric'!AI3+'OB'!AI3+'OB Volumetric'!AI3+'OSC Bag Sorting'!AI3+'OSC Bag Sorting Volumetric'!AI3+'REV FSM'!AI3+'Rejection Primary with Scan'!AI3+'Rejection Secondary'!AI3+'Rev DC DC Primary Sorting'!AI3+'Rev Primary (FSM Rejections)'!AI3+'Rev Secondary Sorting'!AI3+'VIA Bag Sorting'!AI3</f>
        <v/>
      </c>
      <c r="AJ3" s="7">
        <f>'BBB'!AJ3+'Bag Staging'!AJ3+'Bag Staging Volumetric'!AJ3+'FWD FSM'!AJ3+'FWD Manual Pre Primary'!AJ3+'FWD Manual Primary'!AJ3+'FWD Primary with Scan'!AJ3+'FWD Secondary'!AJ3+'FWD Volumetric'!AJ3+'IB'!AJ3+'IB Volumetric'!AJ3+'OB'!AJ3+'OB Volumetric'!AJ3+'OSC Bag Sorting'!AJ3+'OSC Bag Sorting Volumetric'!AJ3+'REV FSM'!AJ3+'Rejection Primary with Scan'!AJ3+'Rejection Secondary'!AJ3+'Rev DC DC Primary Sorting'!AJ3+'Rev Primary (FSM Rejections)'!AJ3+'Rev Secondary Sorting'!AJ3+'VIA Bag Sorting'!AJ3</f>
        <v/>
      </c>
      <c r="AK3" s="7">
        <f>'BBB'!AK3+'Bag Staging'!AK3+'Bag Staging Volumetric'!AK3+'FWD FSM'!AK3+'FWD Manual Pre Primary'!AK3+'FWD Manual Primary'!AK3+'FWD Primary with Scan'!AK3+'FWD Secondary'!AK3+'FWD Volumetric'!AK3+'IB'!AK3+'IB Volumetric'!AK3+'OB'!AK3+'OB Volumetric'!AK3+'OSC Bag Sorting'!AK3+'OSC Bag Sorting Volumetric'!AK3+'REV FSM'!AK3+'Rejection Primary with Scan'!AK3+'Rejection Secondary'!AK3+'Rev DC DC Primary Sorting'!AK3+'Rev Primary (FSM Rejections)'!AK3+'Rev Secondary Sorting'!AK3+'VIA Bag Sorting'!AK3</f>
        <v/>
      </c>
      <c r="AL3" s="7">
        <f>'BBB'!AL3+'Bag Staging'!AL3+'Bag Staging Volumetric'!AL3+'FWD FSM'!AL3+'FWD Manual Pre Primary'!AL3+'FWD Manual Primary'!AL3+'FWD Primary with Scan'!AL3+'FWD Secondary'!AL3+'FWD Volumetric'!AL3+'IB'!AL3+'IB Volumetric'!AL3+'OB'!AL3+'OB Volumetric'!AL3+'OSC Bag Sorting'!AL3+'OSC Bag Sorting Volumetric'!AL3+'REV FSM'!AL3+'Rejection Primary with Scan'!AL3+'Rejection Secondary'!AL3+'Rev DC DC Primary Sorting'!AL3+'Rev Primary (FSM Rejections)'!AL3+'Rev Secondary Sorting'!AL3+'VIA Bag Sorting'!AL3</f>
        <v/>
      </c>
      <c r="AM3" s="7">
        <f>'BBB'!AM3+'Bag Staging'!AM3+'Bag Staging Volumetric'!AM3+'FWD FSM'!AM3+'FWD Manual Pre Primary'!AM3+'FWD Manual Primary'!AM3+'FWD Primary with Scan'!AM3+'FWD Secondary'!AM3+'FWD Volumetric'!AM3+'IB'!AM3+'IB Volumetric'!AM3+'OB'!AM3+'OB Volumetric'!AM3+'OSC Bag Sorting'!AM3+'OSC Bag Sorting Volumetric'!AM3+'REV FSM'!AM3+'Rejection Primary with Scan'!AM3+'Rejection Secondary'!AM3+'Rev DC DC Primary Sorting'!AM3+'Rev Primary (FSM Rejections)'!AM3+'Rev Secondary Sorting'!AM3+'VIA Bag Sorting'!AM3</f>
        <v/>
      </c>
      <c r="AN3" s="7">
        <f>'BBB'!AN3+'Bag Staging'!AN3+'Bag Staging Volumetric'!AN3+'FWD FSM'!AN3+'FWD Manual Pre Primary'!AN3+'FWD Manual Primary'!AN3+'FWD Primary with Scan'!AN3+'FWD Secondary'!AN3+'FWD Volumetric'!AN3+'IB'!AN3+'IB Volumetric'!AN3+'OB'!AN3+'OB Volumetric'!AN3+'OSC Bag Sorting'!AN3+'OSC Bag Sorting Volumetric'!AN3+'REV FSM'!AN3+'Rejection Primary with Scan'!AN3+'Rejection Secondary'!AN3+'Rev DC DC Primary Sorting'!AN3+'Rev Primary (FSM Rejections)'!AN3+'Rev Secondary Sorting'!AN3+'VIA Bag Sorting'!AN3</f>
        <v/>
      </c>
      <c r="AO3" s="7">
        <f>'BBB'!AO3+'Bag Staging'!AO3+'Bag Staging Volumetric'!AO3+'FWD FSM'!AO3+'FWD Manual Pre Primary'!AO3+'FWD Manual Primary'!AO3+'FWD Primary with Scan'!AO3+'FWD Secondary'!AO3+'FWD Volumetric'!AO3+'IB'!AO3+'IB Volumetric'!AO3+'OB'!AO3+'OB Volumetric'!AO3+'OSC Bag Sorting'!AO3+'OSC Bag Sorting Volumetric'!AO3+'REV FSM'!AO3+'Rejection Primary with Scan'!AO3+'Rejection Secondary'!AO3+'Rev DC DC Primary Sorting'!AO3+'Rev Primary (FSM Rejections)'!AO3+'Rev Secondary Sorting'!AO3+'VIA Bag Sorting'!AO3</f>
        <v/>
      </c>
      <c r="AP3" s="7">
        <f>'BBB'!AP3+'Bag Staging'!AP3+'Bag Staging Volumetric'!AP3+'FWD FSM'!AP3+'FWD Manual Pre Primary'!AP3+'FWD Manual Primary'!AP3+'FWD Primary with Scan'!AP3+'FWD Secondary'!AP3+'FWD Volumetric'!AP3+'IB'!AP3+'IB Volumetric'!AP3+'OB'!AP3+'OB Volumetric'!AP3+'OSC Bag Sorting'!AP3+'OSC Bag Sorting Volumetric'!AP3+'REV FSM'!AP3+'Rejection Primary with Scan'!AP3+'Rejection Secondary'!AP3+'Rev DC DC Primary Sorting'!AP3+'Rev Primary (FSM Rejections)'!AP3+'Rev Secondary Sorting'!AP3+'VIA Bag Sorting'!AP3</f>
        <v/>
      </c>
      <c r="AQ3" s="7">
        <f>'BBB'!AQ3+'Bag Staging'!AQ3+'Bag Staging Volumetric'!AQ3+'FWD FSM'!AQ3+'FWD Manual Pre Primary'!AQ3+'FWD Manual Primary'!AQ3+'FWD Primary with Scan'!AQ3+'FWD Secondary'!AQ3+'FWD Volumetric'!AQ3+'IB'!AQ3+'IB Volumetric'!AQ3+'OB'!AQ3+'OB Volumetric'!AQ3+'OSC Bag Sorting'!AQ3+'OSC Bag Sorting Volumetric'!AQ3+'REV FSM'!AQ3+'Rejection Primary with Scan'!AQ3+'Rejection Secondary'!AQ3+'Rev DC DC Primary Sorting'!AQ3+'Rev Primary (FSM Rejections)'!AQ3+'Rev Secondary Sorting'!AQ3+'VIA Bag Sorting'!AQ3</f>
        <v/>
      </c>
      <c r="AR3" s="7">
        <f>'BBB'!AR3+'Bag Staging'!AR3+'Bag Staging Volumetric'!AR3+'FWD FSM'!AR3+'FWD Manual Pre Primary'!AR3+'FWD Manual Primary'!AR3+'FWD Primary with Scan'!AR3+'FWD Secondary'!AR3+'FWD Volumetric'!AR3+'IB'!AR3+'IB Volumetric'!AR3+'OB'!AR3+'OB Volumetric'!AR3+'OSC Bag Sorting'!AR3+'OSC Bag Sorting Volumetric'!AR3+'REV FSM'!AR3+'Rejection Primary with Scan'!AR3+'Rejection Secondary'!AR3+'Rev DC DC Primary Sorting'!AR3+'Rev Primary (FSM Rejections)'!AR3+'Rev Secondary Sorting'!AR3+'VIA Bag Sorting'!AR3</f>
        <v/>
      </c>
      <c r="AS3" s="7">
        <f>'BBB'!AS3+'Bag Staging'!AS3+'Bag Staging Volumetric'!AS3+'FWD FSM'!AS3+'FWD Manual Pre Primary'!AS3+'FWD Manual Primary'!AS3+'FWD Primary with Scan'!AS3+'FWD Secondary'!AS3+'FWD Volumetric'!AS3+'IB'!AS3+'IB Volumetric'!AS3+'OB'!AS3+'OB Volumetric'!AS3+'OSC Bag Sorting'!AS3+'OSC Bag Sorting Volumetric'!AS3+'REV FSM'!AS3+'Rejection Primary with Scan'!AS3+'Rejection Secondary'!AS3+'Rev DC DC Primary Sorting'!AS3+'Rev Primary (FSM Rejections)'!AS3+'Rev Secondary Sorting'!AS3+'VIA Bag Sorting'!AS3</f>
        <v/>
      </c>
      <c r="AT3" s="7">
        <f>'BBB'!AT3+'Bag Staging'!AT3+'Bag Staging Volumetric'!AT3+'FWD FSM'!AT3+'FWD Manual Pre Primary'!AT3+'FWD Manual Primary'!AT3+'FWD Primary with Scan'!AT3+'FWD Secondary'!AT3+'FWD Volumetric'!AT3+'IB'!AT3+'IB Volumetric'!AT3+'OB'!AT3+'OB Volumetric'!AT3+'OSC Bag Sorting'!AT3+'OSC Bag Sorting Volumetric'!AT3+'REV FSM'!AT3+'Rejection Primary with Scan'!AT3+'Rejection Secondary'!AT3+'Rev DC DC Primary Sorting'!AT3+'Rev Primary (FSM Rejections)'!AT3+'Rev Secondary Sorting'!AT3+'VIA Bag Sorting'!AT3</f>
        <v/>
      </c>
      <c r="AU3" s="7">
        <f>'BBB'!AU3+'Bag Staging'!AU3+'Bag Staging Volumetric'!AU3+'FWD FSM'!AU3+'FWD Manual Pre Primary'!AU3+'FWD Manual Primary'!AU3+'FWD Primary with Scan'!AU3+'FWD Secondary'!AU3+'FWD Volumetric'!AU3+'IB'!AU3+'IB Volumetric'!AU3+'OB'!AU3+'OB Volumetric'!AU3+'OSC Bag Sorting'!AU3+'OSC Bag Sorting Volumetric'!AU3+'REV FSM'!AU3+'Rejection Primary with Scan'!AU3+'Rejection Secondary'!AU3+'Rev DC DC Primary Sorting'!AU3+'Rev Primary (FSM Rejections)'!AU3+'Rev Secondary Sorting'!AU3+'VIA Bag Sorting'!AU3</f>
        <v/>
      </c>
      <c r="AV3" s="7">
        <f>'BBB'!AV3+'Bag Staging'!AV3+'Bag Staging Volumetric'!AV3+'FWD FSM'!AV3+'FWD Manual Pre Primary'!AV3+'FWD Manual Primary'!AV3+'FWD Primary with Scan'!AV3+'FWD Secondary'!AV3+'FWD Volumetric'!AV3+'IB'!AV3+'IB Volumetric'!AV3+'OB'!AV3+'OB Volumetric'!AV3+'OSC Bag Sorting'!AV3+'OSC Bag Sorting Volumetric'!AV3+'REV FSM'!AV3+'Rejection Primary with Scan'!AV3+'Rejection Secondary'!AV3+'Rev DC DC Primary Sorting'!AV3+'Rev Primary (FSM Rejections)'!AV3+'Rev Secondary Sorting'!AV3+'VIA Bag Sorting'!AV3</f>
        <v/>
      </c>
      <c r="AW3" s="7">
        <f>'BBB'!AW3+'Bag Staging'!AW3+'Bag Staging Volumetric'!AW3+'FWD FSM'!AW3+'FWD Manual Pre Primary'!AW3+'FWD Manual Primary'!AW3+'FWD Primary with Scan'!AW3+'FWD Secondary'!AW3+'FWD Volumetric'!AW3+'IB'!AW3+'IB Volumetric'!AW3+'OB'!AW3+'OB Volumetric'!AW3+'OSC Bag Sorting'!AW3+'OSC Bag Sorting Volumetric'!AW3+'REV FSM'!AW3+'Rejection Primary with Scan'!AW3+'Rejection Secondary'!AW3+'Rev DC DC Primary Sorting'!AW3+'Rev Primary (FSM Rejections)'!AW3+'Rev Secondary Sorting'!AW3+'VIA Bag Sorting'!AW3</f>
        <v/>
      </c>
      <c r="AX3" s="7">
        <f>'BBB'!AX3+'Bag Staging'!AX3+'Bag Staging Volumetric'!AX3+'FWD FSM'!AX3+'FWD Manual Pre Primary'!AX3+'FWD Manual Primary'!AX3+'FWD Primary with Scan'!AX3+'FWD Secondary'!AX3+'FWD Volumetric'!AX3+'IB'!AX3+'IB Volumetric'!AX3+'OB'!AX3+'OB Volumetric'!AX3+'OSC Bag Sorting'!AX3+'OSC Bag Sorting Volumetric'!AX3+'REV FSM'!AX3+'Rejection Primary with Scan'!AX3+'Rejection Secondary'!AX3+'Rev DC DC Primary Sorting'!AX3+'Rev Primary (FSM Rejections)'!AX3+'Rev Secondary Sorting'!AX3+'VIA Bag Sorting'!AX3</f>
        <v/>
      </c>
      <c r="AY3" s="7">
        <f>'BBB'!AY3+'Bag Staging'!AY3+'Bag Staging Volumetric'!AY3+'FWD FSM'!AY3+'FWD Manual Pre Primary'!AY3+'FWD Manual Primary'!AY3+'FWD Primary with Scan'!AY3+'FWD Secondary'!AY3+'FWD Volumetric'!AY3+'IB'!AY3+'IB Volumetric'!AY3+'OB'!AY3+'OB Volumetric'!AY3+'OSC Bag Sorting'!AY3+'OSC Bag Sorting Volumetric'!AY3+'REV FSM'!AY3+'Rejection Primary with Scan'!AY3+'Rejection Secondary'!AY3+'Rev DC DC Primary Sorting'!AY3+'Rev Primary (FSM Rejections)'!AY3+'Rev Secondary Sorting'!AY3+'VIA Bag Sorting'!AY3</f>
        <v/>
      </c>
      <c r="AZ3" s="7">
        <f>'BBB'!AZ3+'Bag Staging'!AZ3+'Bag Staging Volumetric'!AZ3+'FWD FSM'!AZ3+'FWD Manual Pre Primary'!AZ3+'FWD Manual Primary'!AZ3+'FWD Primary with Scan'!AZ3+'FWD Secondary'!AZ3+'FWD Volumetric'!AZ3+'IB'!AZ3+'IB Volumetric'!AZ3+'OB'!AZ3+'OB Volumetric'!AZ3+'OSC Bag Sorting'!AZ3+'OSC Bag Sorting Volumetric'!AZ3+'REV FSM'!AZ3+'Rejection Primary with Scan'!AZ3+'Rejection Secondary'!AZ3+'Rev DC DC Primary Sorting'!AZ3+'Rev Primary (FSM Rejections)'!AZ3+'Rev Secondary Sorting'!AZ3+'VIA Bag Sorting'!AZ3</f>
        <v/>
      </c>
      <c r="BA3" s="7">
        <f>'BBB'!BA3+'Bag Staging'!BA3+'Bag Staging Volumetric'!BA3+'FWD FSM'!BA3+'FWD Manual Pre Primary'!BA3+'FWD Manual Primary'!BA3+'FWD Primary with Scan'!BA3+'FWD Secondary'!BA3+'FWD Volumetric'!BA3+'IB'!BA3+'IB Volumetric'!BA3+'OB'!BA3+'OB Volumetric'!BA3+'OSC Bag Sorting'!BA3+'OSC Bag Sorting Volumetric'!BA3+'REV FSM'!BA3+'Rejection Primary with Scan'!BA3+'Rejection Secondary'!BA3+'Rev DC DC Primary Sorting'!BA3+'Rev Primary (FSM Rejections)'!BA3+'Rev Secondary Sorting'!BA3+'VIA Bag Sorting'!BA3</f>
        <v/>
      </c>
      <c r="BB3" s="7">
        <f>SUM(AD3:BA3)</f>
        <v/>
      </c>
    </row>
    <row r="4">
      <c r="A4" t="inlineStr">
        <is>
          <t>AMD-AIR-NEW-SSC</t>
        </is>
      </c>
      <c r="B4" t="inlineStr">
        <is>
          <t>Forward Regular OSC</t>
        </is>
      </c>
      <c r="C4" s="5" t="n">
        <v>46096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0</v>
      </c>
      <c r="R4" s="6" t="n">
        <v>371</v>
      </c>
      <c r="S4" s="6" t="n">
        <v>1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0</v>
      </c>
      <c r="AB4" s="6">
        <f>SUM(D4:AA4)</f>
        <v/>
      </c>
      <c r="AC4" s="3" t="inlineStr"/>
      <c r="AD4" s="7">
        <f>'BBB'!AD4+'Bag Staging'!AD4+'Bag Staging Volumetric'!AD4+'FWD FSM'!AD4+'FWD Manual Pre Primary'!AD4+'FWD Manual Primary'!AD4+'FWD Primary with Scan'!AD4+'FWD Secondary'!AD4+'FWD Volumetric'!AD4+'IB'!AD4+'IB Volumetric'!AD4+'OB'!AD4+'OB Volumetric'!AD4+'OSC Bag Sorting'!AD4+'OSC Bag Sorting Volumetric'!AD4+'REV FSM'!AD4+'Rejection Primary with Scan'!AD4+'Rejection Secondary'!AD4+'Rev DC DC Primary Sorting'!AD4+'Rev Primary (FSM Rejections)'!AD4+'Rev Secondary Sorting'!AD4+'VIA Bag Sorting'!AD4</f>
        <v/>
      </c>
      <c r="AE4" s="7">
        <f>'BBB'!AE4+'Bag Staging'!AE4+'Bag Staging Volumetric'!AE4+'FWD FSM'!AE4+'FWD Manual Pre Primary'!AE4+'FWD Manual Primary'!AE4+'FWD Primary with Scan'!AE4+'FWD Secondary'!AE4+'FWD Volumetric'!AE4+'IB'!AE4+'IB Volumetric'!AE4+'OB'!AE4+'OB Volumetric'!AE4+'OSC Bag Sorting'!AE4+'OSC Bag Sorting Volumetric'!AE4+'REV FSM'!AE4+'Rejection Primary with Scan'!AE4+'Rejection Secondary'!AE4+'Rev DC DC Primary Sorting'!AE4+'Rev Primary (FSM Rejections)'!AE4+'Rev Secondary Sorting'!AE4+'VIA Bag Sorting'!AE4</f>
        <v/>
      </c>
      <c r="AF4" s="7">
        <f>'BBB'!AF4+'Bag Staging'!AF4+'Bag Staging Volumetric'!AF4+'FWD FSM'!AF4+'FWD Manual Pre Primary'!AF4+'FWD Manual Primary'!AF4+'FWD Primary with Scan'!AF4+'FWD Secondary'!AF4+'FWD Volumetric'!AF4+'IB'!AF4+'IB Volumetric'!AF4+'OB'!AF4+'OB Volumetric'!AF4+'OSC Bag Sorting'!AF4+'OSC Bag Sorting Volumetric'!AF4+'REV FSM'!AF4+'Rejection Primary with Scan'!AF4+'Rejection Secondary'!AF4+'Rev DC DC Primary Sorting'!AF4+'Rev Primary (FSM Rejections)'!AF4+'Rev Secondary Sorting'!AF4+'VIA Bag Sorting'!AF4</f>
        <v/>
      </c>
      <c r="AG4" s="7">
        <f>'BBB'!AG4+'Bag Staging'!AG4+'Bag Staging Volumetric'!AG4+'FWD FSM'!AG4+'FWD Manual Pre Primary'!AG4+'FWD Manual Primary'!AG4+'FWD Primary with Scan'!AG4+'FWD Secondary'!AG4+'FWD Volumetric'!AG4+'IB'!AG4+'IB Volumetric'!AG4+'OB'!AG4+'OB Volumetric'!AG4+'OSC Bag Sorting'!AG4+'OSC Bag Sorting Volumetric'!AG4+'REV FSM'!AG4+'Rejection Primary with Scan'!AG4+'Rejection Secondary'!AG4+'Rev DC DC Primary Sorting'!AG4+'Rev Primary (FSM Rejections)'!AG4+'Rev Secondary Sorting'!AG4+'VIA Bag Sorting'!AG4</f>
        <v/>
      </c>
      <c r="AH4" s="7">
        <f>'BBB'!AH4+'Bag Staging'!AH4+'Bag Staging Volumetric'!AH4+'FWD FSM'!AH4+'FWD Manual Pre Primary'!AH4+'FWD Manual Primary'!AH4+'FWD Primary with Scan'!AH4+'FWD Secondary'!AH4+'FWD Volumetric'!AH4+'IB'!AH4+'IB Volumetric'!AH4+'OB'!AH4+'OB Volumetric'!AH4+'OSC Bag Sorting'!AH4+'OSC Bag Sorting Volumetric'!AH4+'REV FSM'!AH4+'Rejection Primary with Scan'!AH4+'Rejection Secondary'!AH4+'Rev DC DC Primary Sorting'!AH4+'Rev Primary (FSM Rejections)'!AH4+'Rev Secondary Sorting'!AH4+'VIA Bag Sorting'!AH4</f>
        <v/>
      </c>
      <c r="AI4" s="7">
        <f>'BBB'!AI4+'Bag Staging'!AI4+'Bag Staging Volumetric'!AI4+'FWD FSM'!AI4+'FWD Manual Pre Primary'!AI4+'FWD Manual Primary'!AI4+'FWD Primary with Scan'!AI4+'FWD Secondary'!AI4+'FWD Volumetric'!AI4+'IB'!AI4+'IB Volumetric'!AI4+'OB'!AI4+'OB Volumetric'!AI4+'OSC Bag Sorting'!AI4+'OSC Bag Sorting Volumetric'!AI4+'REV FSM'!AI4+'Rejection Primary with Scan'!AI4+'Rejection Secondary'!AI4+'Rev DC DC Primary Sorting'!AI4+'Rev Primary (FSM Rejections)'!AI4+'Rev Secondary Sorting'!AI4+'VIA Bag Sorting'!AI4</f>
        <v/>
      </c>
      <c r="AJ4" s="7">
        <f>'BBB'!AJ4+'Bag Staging'!AJ4+'Bag Staging Volumetric'!AJ4+'FWD FSM'!AJ4+'FWD Manual Pre Primary'!AJ4+'FWD Manual Primary'!AJ4+'FWD Primary with Scan'!AJ4+'FWD Secondary'!AJ4+'FWD Volumetric'!AJ4+'IB'!AJ4+'IB Volumetric'!AJ4+'OB'!AJ4+'OB Volumetric'!AJ4+'OSC Bag Sorting'!AJ4+'OSC Bag Sorting Volumetric'!AJ4+'REV FSM'!AJ4+'Rejection Primary with Scan'!AJ4+'Rejection Secondary'!AJ4+'Rev DC DC Primary Sorting'!AJ4+'Rev Primary (FSM Rejections)'!AJ4+'Rev Secondary Sorting'!AJ4+'VIA Bag Sorting'!AJ4</f>
        <v/>
      </c>
      <c r="AK4" s="7">
        <f>'BBB'!AK4+'Bag Staging'!AK4+'Bag Staging Volumetric'!AK4+'FWD FSM'!AK4+'FWD Manual Pre Primary'!AK4+'FWD Manual Primary'!AK4+'FWD Primary with Scan'!AK4+'FWD Secondary'!AK4+'FWD Volumetric'!AK4+'IB'!AK4+'IB Volumetric'!AK4+'OB'!AK4+'OB Volumetric'!AK4+'OSC Bag Sorting'!AK4+'OSC Bag Sorting Volumetric'!AK4+'REV FSM'!AK4+'Rejection Primary with Scan'!AK4+'Rejection Secondary'!AK4+'Rev DC DC Primary Sorting'!AK4+'Rev Primary (FSM Rejections)'!AK4+'Rev Secondary Sorting'!AK4+'VIA Bag Sorting'!AK4</f>
        <v/>
      </c>
      <c r="AL4" s="7">
        <f>'BBB'!AL4+'Bag Staging'!AL4+'Bag Staging Volumetric'!AL4+'FWD FSM'!AL4+'FWD Manual Pre Primary'!AL4+'FWD Manual Primary'!AL4+'FWD Primary with Scan'!AL4+'FWD Secondary'!AL4+'FWD Volumetric'!AL4+'IB'!AL4+'IB Volumetric'!AL4+'OB'!AL4+'OB Volumetric'!AL4+'OSC Bag Sorting'!AL4+'OSC Bag Sorting Volumetric'!AL4+'REV FSM'!AL4+'Rejection Primary with Scan'!AL4+'Rejection Secondary'!AL4+'Rev DC DC Primary Sorting'!AL4+'Rev Primary (FSM Rejections)'!AL4+'Rev Secondary Sorting'!AL4+'VIA Bag Sorting'!AL4</f>
        <v/>
      </c>
      <c r="AM4" s="7">
        <f>'BBB'!AM4+'Bag Staging'!AM4+'Bag Staging Volumetric'!AM4+'FWD FSM'!AM4+'FWD Manual Pre Primary'!AM4+'FWD Manual Primary'!AM4+'FWD Primary with Scan'!AM4+'FWD Secondary'!AM4+'FWD Volumetric'!AM4+'IB'!AM4+'IB Volumetric'!AM4+'OB'!AM4+'OB Volumetric'!AM4+'OSC Bag Sorting'!AM4+'OSC Bag Sorting Volumetric'!AM4+'REV FSM'!AM4+'Rejection Primary with Scan'!AM4+'Rejection Secondary'!AM4+'Rev DC DC Primary Sorting'!AM4+'Rev Primary (FSM Rejections)'!AM4+'Rev Secondary Sorting'!AM4+'VIA Bag Sorting'!AM4</f>
        <v/>
      </c>
      <c r="AN4" s="7">
        <f>'BBB'!AN4+'Bag Staging'!AN4+'Bag Staging Volumetric'!AN4+'FWD FSM'!AN4+'FWD Manual Pre Primary'!AN4+'FWD Manual Primary'!AN4+'FWD Primary with Scan'!AN4+'FWD Secondary'!AN4+'FWD Volumetric'!AN4+'IB'!AN4+'IB Volumetric'!AN4+'OB'!AN4+'OB Volumetric'!AN4+'OSC Bag Sorting'!AN4+'OSC Bag Sorting Volumetric'!AN4+'REV FSM'!AN4+'Rejection Primary with Scan'!AN4+'Rejection Secondary'!AN4+'Rev DC DC Primary Sorting'!AN4+'Rev Primary (FSM Rejections)'!AN4+'Rev Secondary Sorting'!AN4+'VIA Bag Sorting'!AN4</f>
        <v/>
      </c>
      <c r="AO4" s="7">
        <f>'BBB'!AO4+'Bag Staging'!AO4+'Bag Staging Volumetric'!AO4+'FWD FSM'!AO4+'FWD Manual Pre Primary'!AO4+'FWD Manual Primary'!AO4+'FWD Primary with Scan'!AO4+'FWD Secondary'!AO4+'FWD Volumetric'!AO4+'IB'!AO4+'IB Volumetric'!AO4+'OB'!AO4+'OB Volumetric'!AO4+'OSC Bag Sorting'!AO4+'OSC Bag Sorting Volumetric'!AO4+'REV FSM'!AO4+'Rejection Primary with Scan'!AO4+'Rejection Secondary'!AO4+'Rev DC DC Primary Sorting'!AO4+'Rev Primary (FSM Rejections)'!AO4+'Rev Secondary Sorting'!AO4+'VIA Bag Sorting'!AO4</f>
        <v/>
      </c>
      <c r="AP4" s="7">
        <f>'BBB'!AP4+'Bag Staging'!AP4+'Bag Staging Volumetric'!AP4+'FWD FSM'!AP4+'FWD Manual Pre Primary'!AP4+'FWD Manual Primary'!AP4+'FWD Primary with Scan'!AP4+'FWD Secondary'!AP4+'FWD Volumetric'!AP4+'IB'!AP4+'IB Volumetric'!AP4+'OB'!AP4+'OB Volumetric'!AP4+'OSC Bag Sorting'!AP4+'OSC Bag Sorting Volumetric'!AP4+'REV FSM'!AP4+'Rejection Primary with Scan'!AP4+'Rejection Secondary'!AP4+'Rev DC DC Primary Sorting'!AP4+'Rev Primary (FSM Rejections)'!AP4+'Rev Secondary Sorting'!AP4+'VIA Bag Sorting'!AP4</f>
        <v/>
      </c>
      <c r="AQ4" s="7">
        <f>'BBB'!AQ4+'Bag Staging'!AQ4+'Bag Staging Volumetric'!AQ4+'FWD FSM'!AQ4+'FWD Manual Pre Primary'!AQ4+'FWD Manual Primary'!AQ4+'FWD Primary with Scan'!AQ4+'FWD Secondary'!AQ4+'FWD Volumetric'!AQ4+'IB'!AQ4+'IB Volumetric'!AQ4+'OB'!AQ4+'OB Volumetric'!AQ4+'OSC Bag Sorting'!AQ4+'OSC Bag Sorting Volumetric'!AQ4+'REV FSM'!AQ4+'Rejection Primary with Scan'!AQ4+'Rejection Secondary'!AQ4+'Rev DC DC Primary Sorting'!AQ4+'Rev Primary (FSM Rejections)'!AQ4+'Rev Secondary Sorting'!AQ4+'VIA Bag Sorting'!AQ4</f>
        <v/>
      </c>
      <c r="AR4" s="7">
        <f>'BBB'!AR4+'Bag Staging'!AR4+'Bag Staging Volumetric'!AR4+'FWD FSM'!AR4+'FWD Manual Pre Primary'!AR4+'FWD Manual Primary'!AR4+'FWD Primary with Scan'!AR4+'FWD Secondary'!AR4+'FWD Volumetric'!AR4+'IB'!AR4+'IB Volumetric'!AR4+'OB'!AR4+'OB Volumetric'!AR4+'OSC Bag Sorting'!AR4+'OSC Bag Sorting Volumetric'!AR4+'REV FSM'!AR4+'Rejection Primary with Scan'!AR4+'Rejection Secondary'!AR4+'Rev DC DC Primary Sorting'!AR4+'Rev Primary (FSM Rejections)'!AR4+'Rev Secondary Sorting'!AR4+'VIA Bag Sorting'!AR4</f>
        <v/>
      </c>
      <c r="AS4" s="7">
        <f>'BBB'!AS4+'Bag Staging'!AS4+'Bag Staging Volumetric'!AS4+'FWD FSM'!AS4+'FWD Manual Pre Primary'!AS4+'FWD Manual Primary'!AS4+'FWD Primary with Scan'!AS4+'FWD Secondary'!AS4+'FWD Volumetric'!AS4+'IB'!AS4+'IB Volumetric'!AS4+'OB'!AS4+'OB Volumetric'!AS4+'OSC Bag Sorting'!AS4+'OSC Bag Sorting Volumetric'!AS4+'REV FSM'!AS4+'Rejection Primary with Scan'!AS4+'Rejection Secondary'!AS4+'Rev DC DC Primary Sorting'!AS4+'Rev Primary (FSM Rejections)'!AS4+'Rev Secondary Sorting'!AS4+'VIA Bag Sorting'!AS4</f>
        <v/>
      </c>
      <c r="AT4" s="7">
        <f>'BBB'!AT4+'Bag Staging'!AT4+'Bag Staging Volumetric'!AT4+'FWD FSM'!AT4+'FWD Manual Pre Primary'!AT4+'FWD Manual Primary'!AT4+'FWD Primary with Scan'!AT4+'FWD Secondary'!AT4+'FWD Volumetric'!AT4+'IB'!AT4+'IB Volumetric'!AT4+'OB'!AT4+'OB Volumetric'!AT4+'OSC Bag Sorting'!AT4+'OSC Bag Sorting Volumetric'!AT4+'REV FSM'!AT4+'Rejection Primary with Scan'!AT4+'Rejection Secondary'!AT4+'Rev DC DC Primary Sorting'!AT4+'Rev Primary (FSM Rejections)'!AT4+'Rev Secondary Sorting'!AT4+'VIA Bag Sorting'!AT4</f>
        <v/>
      </c>
      <c r="AU4" s="7">
        <f>'BBB'!AU4+'Bag Staging'!AU4+'Bag Staging Volumetric'!AU4+'FWD FSM'!AU4+'FWD Manual Pre Primary'!AU4+'FWD Manual Primary'!AU4+'FWD Primary with Scan'!AU4+'FWD Secondary'!AU4+'FWD Volumetric'!AU4+'IB'!AU4+'IB Volumetric'!AU4+'OB'!AU4+'OB Volumetric'!AU4+'OSC Bag Sorting'!AU4+'OSC Bag Sorting Volumetric'!AU4+'REV FSM'!AU4+'Rejection Primary with Scan'!AU4+'Rejection Secondary'!AU4+'Rev DC DC Primary Sorting'!AU4+'Rev Primary (FSM Rejections)'!AU4+'Rev Secondary Sorting'!AU4+'VIA Bag Sorting'!AU4</f>
        <v/>
      </c>
      <c r="AV4" s="7">
        <f>'BBB'!AV4+'Bag Staging'!AV4+'Bag Staging Volumetric'!AV4+'FWD FSM'!AV4+'FWD Manual Pre Primary'!AV4+'FWD Manual Primary'!AV4+'FWD Primary with Scan'!AV4+'FWD Secondary'!AV4+'FWD Volumetric'!AV4+'IB'!AV4+'IB Volumetric'!AV4+'OB'!AV4+'OB Volumetric'!AV4+'OSC Bag Sorting'!AV4+'OSC Bag Sorting Volumetric'!AV4+'REV FSM'!AV4+'Rejection Primary with Scan'!AV4+'Rejection Secondary'!AV4+'Rev DC DC Primary Sorting'!AV4+'Rev Primary (FSM Rejections)'!AV4+'Rev Secondary Sorting'!AV4+'VIA Bag Sorting'!AV4</f>
        <v/>
      </c>
      <c r="AW4" s="7">
        <f>'BBB'!AW4+'Bag Staging'!AW4+'Bag Staging Volumetric'!AW4+'FWD FSM'!AW4+'FWD Manual Pre Primary'!AW4+'FWD Manual Primary'!AW4+'FWD Primary with Scan'!AW4+'FWD Secondary'!AW4+'FWD Volumetric'!AW4+'IB'!AW4+'IB Volumetric'!AW4+'OB'!AW4+'OB Volumetric'!AW4+'OSC Bag Sorting'!AW4+'OSC Bag Sorting Volumetric'!AW4+'REV FSM'!AW4+'Rejection Primary with Scan'!AW4+'Rejection Secondary'!AW4+'Rev DC DC Primary Sorting'!AW4+'Rev Primary (FSM Rejections)'!AW4+'Rev Secondary Sorting'!AW4+'VIA Bag Sorting'!AW4</f>
        <v/>
      </c>
      <c r="AX4" s="7">
        <f>'BBB'!AX4+'Bag Staging'!AX4+'Bag Staging Volumetric'!AX4+'FWD FSM'!AX4+'FWD Manual Pre Primary'!AX4+'FWD Manual Primary'!AX4+'FWD Primary with Scan'!AX4+'FWD Secondary'!AX4+'FWD Volumetric'!AX4+'IB'!AX4+'IB Volumetric'!AX4+'OB'!AX4+'OB Volumetric'!AX4+'OSC Bag Sorting'!AX4+'OSC Bag Sorting Volumetric'!AX4+'REV FSM'!AX4+'Rejection Primary with Scan'!AX4+'Rejection Secondary'!AX4+'Rev DC DC Primary Sorting'!AX4+'Rev Primary (FSM Rejections)'!AX4+'Rev Secondary Sorting'!AX4+'VIA Bag Sorting'!AX4</f>
        <v/>
      </c>
      <c r="AY4" s="7">
        <f>'BBB'!AY4+'Bag Staging'!AY4+'Bag Staging Volumetric'!AY4+'FWD FSM'!AY4+'FWD Manual Pre Primary'!AY4+'FWD Manual Primary'!AY4+'FWD Primary with Scan'!AY4+'FWD Secondary'!AY4+'FWD Volumetric'!AY4+'IB'!AY4+'IB Volumetric'!AY4+'OB'!AY4+'OB Volumetric'!AY4+'OSC Bag Sorting'!AY4+'OSC Bag Sorting Volumetric'!AY4+'REV FSM'!AY4+'Rejection Primary with Scan'!AY4+'Rejection Secondary'!AY4+'Rev DC DC Primary Sorting'!AY4+'Rev Primary (FSM Rejections)'!AY4+'Rev Secondary Sorting'!AY4+'VIA Bag Sorting'!AY4</f>
        <v/>
      </c>
      <c r="AZ4" s="7">
        <f>'BBB'!AZ4+'Bag Staging'!AZ4+'Bag Staging Volumetric'!AZ4+'FWD FSM'!AZ4+'FWD Manual Pre Primary'!AZ4+'FWD Manual Primary'!AZ4+'FWD Primary with Scan'!AZ4+'FWD Secondary'!AZ4+'FWD Volumetric'!AZ4+'IB'!AZ4+'IB Volumetric'!AZ4+'OB'!AZ4+'OB Volumetric'!AZ4+'OSC Bag Sorting'!AZ4+'OSC Bag Sorting Volumetric'!AZ4+'REV FSM'!AZ4+'Rejection Primary with Scan'!AZ4+'Rejection Secondary'!AZ4+'Rev DC DC Primary Sorting'!AZ4+'Rev Primary (FSM Rejections)'!AZ4+'Rev Secondary Sorting'!AZ4+'VIA Bag Sorting'!AZ4</f>
        <v/>
      </c>
      <c r="BA4" s="7">
        <f>'BBB'!BA4+'Bag Staging'!BA4+'Bag Staging Volumetric'!BA4+'FWD FSM'!BA4+'FWD Manual Pre Primary'!BA4+'FWD Manual Primary'!BA4+'FWD Primary with Scan'!BA4+'FWD Secondary'!BA4+'FWD Volumetric'!BA4+'IB'!BA4+'IB Volumetric'!BA4+'OB'!BA4+'OB Volumetric'!BA4+'OSC Bag Sorting'!BA4+'OSC Bag Sorting Volumetric'!BA4+'REV FSM'!BA4+'Rejection Primary with Scan'!BA4+'Rejection Secondary'!BA4+'Rev DC DC Primary Sorting'!BA4+'Rev Primary (FSM Rejections)'!BA4+'Rev Secondary Sorting'!BA4+'VIA Bag Sorting'!BA4</f>
        <v/>
      </c>
      <c r="BB4" s="7">
        <f>SUM(AD4:BA4)</f>
        <v/>
      </c>
    </row>
    <row r="5">
      <c r="A5" t="inlineStr">
        <is>
          <t>AMD-AIR-NEW-SSC</t>
        </is>
      </c>
      <c r="B5" t="inlineStr">
        <is>
          <t>Forward Regular OSC</t>
        </is>
      </c>
      <c r="C5" s="5" t="n">
        <v>46097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198</v>
      </c>
      <c r="S5" s="6" t="n">
        <v>1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>
        <f>SUM(D5:AA5)</f>
        <v/>
      </c>
      <c r="AC5" s="3" t="inlineStr"/>
      <c r="AD5" s="7">
        <f>'BBB'!AD5+'Bag Staging'!AD5+'Bag Staging Volumetric'!AD5+'FWD FSM'!AD5+'FWD Manual Pre Primary'!AD5+'FWD Manual Primary'!AD5+'FWD Primary with Scan'!AD5+'FWD Secondary'!AD5+'FWD Volumetric'!AD5+'IB'!AD5+'IB Volumetric'!AD5+'OB'!AD5+'OB Volumetric'!AD5+'OSC Bag Sorting'!AD5+'OSC Bag Sorting Volumetric'!AD5+'REV FSM'!AD5+'Rejection Primary with Scan'!AD5+'Rejection Secondary'!AD5+'Rev DC DC Primary Sorting'!AD5+'Rev Primary (FSM Rejections)'!AD5+'Rev Secondary Sorting'!AD5+'VIA Bag Sorting'!AD5</f>
        <v/>
      </c>
      <c r="AE5" s="7">
        <f>'BBB'!AE5+'Bag Staging'!AE5+'Bag Staging Volumetric'!AE5+'FWD FSM'!AE5+'FWD Manual Pre Primary'!AE5+'FWD Manual Primary'!AE5+'FWD Primary with Scan'!AE5+'FWD Secondary'!AE5+'FWD Volumetric'!AE5+'IB'!AE5+'IB Volumetric'!AE5+'OB'!AE5+'OB Volumetric'!AE5+'OSC Bag Sorting'!AE5+'OSC Bag Sorting Volumetric'!AE5+'REV FSM'!AE5+'Rejection Primary with Scan'!AE5+'Rejection Secondary'!AE5+'Rev DC DC Primary Sorting'!AE5+'Rev Primary (FSM Rejections)'!AE5+'Rev Secondary Sorting'!AE5+'VIA Bag Sorting'!AE5</f>
        <v/>
      </c>
      <c r="AF5" s="7">
        <f>'BBB'!AF5+'Bag Staging'!AF5+'Bag Staging Volumetric'!AF5+'FWD FSM'!AF5+'FWD Manual Pre Primary'!AF5+'FWD Manual Primary'!AF5+'FWD Primary with Scan'!AF5+'FWD Secondary'!AF5+'FWD Volumetric'!AF5+'IB'!AF5+'IB Volumetric'!AF5+'OB'!AF5+'OB Volumetric'!AF5+'OSC Bag Sorting'!AF5+'OSC Bag Sorting Volumetric'!AF5+'REV FSM'!AF5+'Rejection Primary with Scan'!AF5+'Rejection Secondary'!AF5+'Rev DC DC Primary Sorting'!AF5+'Rev Primary (FSM Rejections)'!AF5+'Rev Secondary Sorting'!AF5+'VIA Bag Sorting'!AF5</f>
        <v/>
      </c>
      <c r="AG5" s="7">
        <f>'BBB'!AG5+'Bag Staging'!AG5+'Bag Staging Volumetric'!AG5+'FWD FSM'!AG5+'FWD Manual Pre Primary'!AG5+'FWD Manual Primary'!AG5+'FWD Primary with Scan'!AG5+'FWD Secondary'!AG5+'FWD Volumetric'!AG5+'IB'!AG5+'IB Volumetric'!AG5+'OB'!AG5+'OB Volumetric'!AG5+'OSC Bag Sorting'!AG5+'OSC Bag Sorting Volumetric'!AG5+'REV FSM'!AG5+'Rejection Primary with Scan'!AG5+'Rejection Secondary'!AG5+'Rev DC DC Primary Sorting'!AG5+'Rev Primary (FSM Rejections)'!AG5+'Rev Secondary Sorting'!AG5+'VIA Bag Sorting'!AG5</f>
        <v/>
      </c>
      <c r="AH5" s="7">
        <f>'BBB'!AH5+'Bag Staging'!AH5+'Bag Staging Volumetric'!AH5+'FWD FSM'!AH5+'FWD Manual Pre Primary'!AH5+'FWD Manual Primary'!AH5+'FWD Primary with Scan'!AH5+'FWD Secondary'!AH5+'FWD Volumetric'!AH5+'IB'!AH5+'IB Volumetric'!AH5+'OB'!AH5+'OB Volumetric'!AH5+'OSC Bag Sorting'!AH5+'OSC Bag Sorting Volumetric'!AH5+'REV FSM'!AH5+'Rejection Primary with Scan'!AH5+'Rejection Secondary'!AH5+'Rev DC DC Primary Sorting'!AH5+'Rev Primary (FSM Rejections)'!AH5+'Rev Secondary Sorting'!AH5+'VIA Bag Sorting'!AH5</f>
        <v/>
      </c>
      <c r="AI5" s="7">
        <f>'BBB'!AI5+'Bag Staging'!AI5+'Bag Staging Volumetric'!AI5+'FWD FSM'!AI5+'FWD Manual Pre Primary'!AI5+'FWD Manual Primary'!AI5+'FWD Primary with Scan'!AI5+'FWD Secondary'!AI5+'FWD Volumetric'!AI5+'IB'!AI5+'IB Volumetric'!AI5+'OB'!AI5+'OB Volumetric'!AI5+'OSC Bag Sorting'!AI5+'OSC Bag Sorting Volumetric'!AI5+'REV FSM'!AI5+'Rejection Primary with Scan'!AI5+'Rejection Secondary'!AI5+'Rev DC DC Primary Sorting'!AI5+'Rev Primary (FSM Rejections)'!AI5+'Rev Secondary Sorting'!AI5+'VIA Bag Sorting'!AI5</f>
        <v/>
      </c>
      <c r="AJ5" s="7">
        <f>'BBB'!AJ5+'Bag Staging'!AJ5+'Bag Staging Volumetric'!AJ5+'FWD FSM'!AJ5+'FWD Manual Pre Primary'!AJ5+'FWD Manual Primary'!AJ5+'FWD Primary with Scan'!AJ5+'FWD Secondary'!AJ5+'FWD Volumetric'!AJ5+'IB'!AJ5+'IB Volumetric'!AJ5+'OB'!AJ5+'OB Volumetric'!AJ5+'OSC Bag Sorting'!AJ5+'OSC Bag Sorting Volumetric'!AJ5+'REV FSM'!AJ5+'Rejection Primary with Scan'!AJ5+'Rejection Secondary'!AJ5+'Rev DC DC Primary Sorting'!AJ5+'Rev Primary (FSM Rejections)'!AJ5+'Rev Secondary Sorting'!AJ5+'VIA Bag Sorting'!AJ5</f>
        <v/>
      </c>
      <c r="AK5" s="7">
        <f>'BBB'!AK5+'Bag Staging'!AK5+'Bag Staging Volumetric'!AK5+'FWD FSM'!AK5+'FWD Manual Pre Primary'!AK5+'FWD Manual Primary'!AK5+'FWD Primary with Scan'!AK5+'FWD Secondary'!AK5+'FWD Volumetric'!AK5+'IB'!AK5+'IB Volumetric'!AK5+'OB'!AK5+'OB Volumetric'!AK5+'OSC Bag Sorting'!AK5+'OSC Bag Sorting Volumetric'!AK5+'REV FSM'!AK5+'Rejection Primary with Scan'!AK5+'Rejection Secondary'!AK5+'Rev DC DC Primary Sorting'!AK5+'Rev Primary (FSM Rejections)'!AK5+'Rev Secondary Sorting'!AK5+'VIA Bag Sorting'!AK5</f>
        <v/>
      </c>
      <c r="AL5" s="7">
        <f>'BBB'!AL5+'Bag Staging'!AL5+'Bag Staging Volumetric'!AL5+'FWD FSM'!AL5+'FWD Manual Pre Primary'!AL5+'FWD Manual Primary'!AL5+'FWD Primary with Scan'!AL5+'FWD Secondary'!AL5+'FWD Volumetric'!AL5+'IB'!AL5+'IB Volumetric'!AL5+'OB'!AL5+'OB Volumetric'!AL5+'OSC Bag Sorting'!AL5+'OSC Bag Sorting Volumetric'!AL5+'REV FSM'!AL5+'Rejection Primary with Scan'!AL5+'Rejection Secondary'!AL5+'Rev DC DC Primary Sorting'!AL5+'Rev Primary (FSM Rejections)'!AL5+'Rev Secondary Sorting'!AL5+'VIA Bag Sorting'!AL5</f>
        <v/>
      </c>
      <c r="AM5" s="7">
        <f>'BBB'!AM5+'Bag Staging'!AM5+'Bag Staging Volumetric'!AM5+'FWD FSM'!AM5+'FWD Manual Pre Primary'!AM5+'FWD Manual Primary'!AM5+'FWD Primary with Scan'!AM5+'FWD Secondary'!AM5+'FWD Volumetric'!AM5+'IB'!AM5+'IB Volumetric'!AM5+'OB'!AM5+'OB Volumetric'!AM5+'OSC Bag Sorting'!AM5+'OSC Bag Sorting Volumetric'!AM5+'REV FSM'!AM5+'Rejection Primary with Scan'!AM5+'Rejection Secondary'!AM5+'Rev DC DC Primary Sorting'!AM5+'Rev Primary (FSM Rejections)'!AM5+'Rev Secondary Sorting'!AM5+'VIA Bag Sorting'!AM5</f>
        <v/>
      </c>
      <c r="AN5" s="7">
        <f>'BBB'!AN5+'Bag Staging'!AN5+'Bag Staging Volumetric'!AN5+'FWD FSM'!AN5+'FWD Manual Pre Primary'!AN5+'FWD Manual Primary'!AN5+'FWD Primary with Scan'!AN5+'FWD Secondary'!AN5+'FWD Volumetric'!AN5+'IB'!AN5+'IB Volumetric'!AN5+'OB'!AN5+'OB Volumetric'!AN5+'OSC Bag Sorting'!AN5+'OSC Bag Sorting Volumetric'!AN5+'REV FSM'!AN5+'Rejection Primary with Scan'!AN5+'Rejection Secondary'!AN5+'Rev DC DC Primary Sorting'!AN5+'Rev Primary (FSM Rejections)'!AN5+'Rev Secondary Sorting'!AN5+'VIA Bag Sorting'!AN5</f>
        <v/>
      </c>
      <c r="AO5" s="7">
        <f>'BBB'!AO5+'Bag Staging'!AO5+'Bag Staging Volumetric'!AO5+'FWD FSM'!AO5+'FWD Manual Pre Primary'!AO5+'FWD Manual Primary'!AO5+'FWD Primary with Scan'!AO5+'FWD Secondary'!AO5+'FWD Volumetric'!AO5+'IB'!AO5+'IB Volumetric'!AO5+'OB'!AO5+'OB Volumetric'!AO5+'OSC Bag Sorting'!AO5+'OSC Bag Sorting Volumetric'!AO5+'REV FSM'!AO5+'Rejection Primary with Scan'!AO5+'Rejection Secondary'!AO5+'Rev DC DC Primary Sorting'!AO5+'Rev Primary (FSM Rejections)'!AO5+'Rev Secondary Sorting'!AO5+'VIA Bag Sorting'!AO5</f>
        <v/>
      </c>
      <c r="AP5" s="7">
        <f>'BBB'!AP5+'Bag Staging'!AP5+'Bag Staging Volumetric'!AP5+'FWD FSM'!AP5+'FWD Manual Pre Primary'!AP5+'FWD Manual Primary'!AP5+'FWD Primary with Scan'!AP5+'FWD Secondary'!AP5+'FWD Volumetric'!AP5+'IB'!AP5+'IB Volumetric'!AP5+'OB'!AP5+'OB Volumetric'!AP5+'OSC Bag Sorting'!AP5+'OSC Bag Sorting Volumetric'!AP5+'REV FSM'!AP5+'Rejection Primary with Scan'!AP5+'Rejection Secondary'!AP5+'Rev DC DC Primary Sorting'!AP5+'Rev Primary (FSM Rejections)'!AP5+'Rev Secondary Sorting'!AP5+'VIA Bag Sorting'!AP5</f>
        <v/>
      </c>
      <c r="AQ5" s="7">
        <f>'BBB'!AQ5+'Bag Staging'!AQ5+'Bag Staging Volumetric'!AQ5+'FWD FSM'!AQ5+'FWD Manual Pre Primary'!AQ5+'FWD Manual Primary'!AQ5+'FWD Primary with Scan'!AQ5+'FWD Secondary'!AQ5+'FWD Volumetric'!AQ5+'IB'!AQ5+'IB Volumetric'!AQ5+'OB'!AQ5+'OB Volumetric'!AQ5+'OSC Bag Sorting'!AQ5+'OSC Bag Sorting Volumetric'!AQ5+'REV FSM'!AQ5+'Rejection Primary with Scan'!AQ5+'Rejection Secondary'!AQ5+'Rev DC DC Primary Sorting'!AQ5+'Rev Primary (FSM Rejections)'!AQ5+'Rev Secondary Sorting'!AQ5+'VIA Bag Sorting'!AQ5</f>
        <v/>
      </c>
      <c r="AR5" s="7">
        <f>'BBB'!AR5+'Bag Staging'!AR5+'Bag Staging Volumetric'!AR5+'FWD FSM'!AR5+'FWD Manual Pre Primary'!AR5+'FWD Manual Primary'!AR5+'FWD Primary with Scan'!AR5+'FWD Secondary'!AR5+'FWD Volumetric'!AR5+'IB'!AR5+'IB Volumetric'!AR5+'OB'!AR5+'OB Volumetric'!AR5+'OSC Bag Sorting'!AR5+'OSC Bag Sorting Volumetric'!AR5+'REV FSM'!AR5+'Rejection Primary with Scan'!AR5+'Rejection Secondary'!AR5+'Rev DC DC Primary Sorting'!AR5+'Rev Primary (FSM Rejections)'!AR5+'Rev Secondary Sorting'!AR5+'VIA Bag Sorting'!AR5</f>
        <v/>
      </c>
      <c r="AS5" s="7">
        <f>'BBB'!AS5+'Bag Staging'!AS5+'Bag Staging Volumetric'!AS5+'FWD FSM'!AS5+'FWD Manual Pre Primary'!AS5+'FWD Manual Primary'!AS5+'FWD Primary with Scan'!AS5+'FWD Secondary'!AS5+'FWD Volumetric'!AS5+'IB'!AS5+'IB Volumetric'!AS5+'OB'!AS5+'OB Volumetric'!AS5+'OSC Bag Sorting'!AS5+'OSC Bag Sorting Volumetric'!AS5+'REV FSM'!AS5+'Rejection Primary with Scan'!AS5+'Rejection Secondary'!AS5+'Rev DC DC Primary Sorting'!AS5+'Rev Primary (FSM Rejections)'!AS5+'Rev Secondary Sorting'!AS5+'VIA Bag Sorting'!AS5</f>
        <v/>
      </c>
      <c r="AT5" s="7">
        <f>'BBB'!AT5+'Bag Staging'!AT5+'Bag Staging Volumetric'!AT5+'FWD FSM'!AT5+'FWD Manual Pre Primary'!AT5+'FWD Manual Primary'!AT5+'FWD Primary with Scan'!AT5+'FWD Secondary'!AT5+'FWD Volumetric'!AT5+'IB'!AT5+'IB Volumetric'!AT5+'OB'!AT5+'OB Volumetric'!AT5+'OSC Bag Sorting'!AT5+'OSC Bag Sorting Volumetric'!AT5+'REV FSM'!AT5+'Rejection Primary with Scan'!AT5+'Rejection Secondary'!AT5+'Rev DC DC Primary Sorting'!AT5+'Rev Primary (FSM Rejections)'!AT5+'Rev Secondary Sorting'!AT5+'VIA Bag Sorting'!AT5</f>
        <v/>
      </c>
      <c r="AU5" s="7">
        <f>'BBB'!AU5+'Bag Staging'!AU5+'Bag Staging Volumetric'!AU5+'FWD FSM'!AU5+'FWD Manual Pre Primary'!AU5+'FWD Manual Primary'!AU5+'FWD Primary with Scan'!AU5+'FWD Secondary'!AU5+'FWD Volumetric'!AU5+'IB'!AU5+'IB Volumetric'!AU5+'OB'!AU5+'OB Volumetric'!AU5+'OSC Bag Sorting'!AU5+'OSC Bag Sorting Volumetric'!AU5+'REV FSM'!AU5+'Rejection Primary with Scan'!AU5+'Rejection Secondary'!AU5+'Rev DC DC Primary Sorting'!AU5+'Rev Primary (FSM Rejections)'!AU5+'Rev Secondary Sorting'!AU5+'VIA Bag Sorting'!AU5</f>
        <v/>
      </c>
      <c r="AV5" s="7">
        <f>'BBB'!AV5+'Bag Staging'!AV5+'Bag Staging Volumetric'!AV5+'FWD FSM'!AV5+'FWD Manual Pre Primary'!AV5+'FWD Manual Primary'!AV5+'FWD Primary with Scan'!AV5+'FWD Secondary'!AV5+'FWD Volumetric'!AV5+'IB'!AV5+'IB Volumetric'!AV5+'OB'!AV5+'OB Volumetric'!AV5+'OSC Bag Sorting'!AV5+'OSC Bag Sorting Volumetric'!AV5+'REV FSM'!AV5+'Rejection Primary with Scan'!AV5+'Rejection Secondary'!AV5+'Rev DC DC Primary Sorting'!AV5+'Rev Primary (FSM Rejections)'!AV5+'Rev Secondary Sorting'!AV5+'VIA Bag Sorting'!AV5</f>
        <v/>
      </c>
      <c r="AW5" s="7">
        <f>'BBB'!AW5+'Bag Staging'!AW5+'Bag Staging Volumetric'!AW5+'FWD FSM'!AW5+'FWD Manual Pre Primary'!AW5+'FWD Manual Primary'!AW5+'FWD Primary with Scan'!AW5+'FWD Secondary'!AW5+'FWD Volumetric'!AW5+'IB'!AW5+'IB Volumetric'!AW5+'OB'!AW5+'OB Volumetric'!AW5+'OSC Bag Sorting'!AW5+'OSC Bag Sorting Volumetric'!AW5+'REV FSM'!AW5+'Rejection Primary with Scan'!AW5+'Rejection Secondary'!AW5+'Rev DC DC Primary Sorting'!AW5+'Rev Primary (FSM Rejections)'!AW5+'Rev Secondary Sorting'!AW5+'VIA Bag Sorting'!AW5</f>
        <v/>
      </c>
      <c r="AX5" s="7">
        <f>'BBB'!AX5+'Bag Staging'!AX5+'Bag Staging Volumetric'!AX5+'FWD FSM'!AX5+'FWD Manual Pre Primary'!AX5+'FWD Manual Primary'!AX5+'FWD Primary with Scan'!AX5+'FWD Secondary'!AX5+'FWD Volumetric'!AX5+'IB'!AX5+'IB Volumetric'!AX5+'OB'!AX5+'OB Volumetric'!AX5+'OSC Bag Sorting'!AX5+'OSC Bag Sorting Volumetric'!AX5+'REV FSM'!AX5+'Rejection Primary with Scan'!AX5+'Rejection Secondary'!AX5+'Rev DC DC Primary Sorting'!AX5+'Rev Primary (FSM Rejections)'!AX5+'Rev Secondary Sorting'!AX5+'VIA Bag Sorting'!AX5</f>
        <v/>
      </c>
      <c r="AY5" s="7">
        <f>'BBB'!AY5+'Bag Staging'!AY5+'Bag Staging Volumetric'!AY5+'FWD FSM'!AY5+'FWD Manual Pre Primary'!AY5+'FWD Manual Primary'!AY5+'FWD Primary with Scan'!AY5+'FWD Secondary'!AY5+'FWD Volumetric'!AY5+'IB'!AY5+'IB Volumetric'!AY5+'OB'!AY5+'OB Volumetric'!AY5+'OSC Bag Sorting'!AY5+'OSC Bag Sorting Volumetric'!AY5+'REV FSM'!AY5+'Rejection Primary with Scan'!AY5+'Rejection Secondary'!AY5+'Rev DC DC Primary Sorting'!AY5+'Rev Primary (FSM Rejections)'!AY5+'Rev Secondary Sorting'!AY5+'VIA Bag Sorting'!AY5</f>
        <v/>
      </c>
      <c r="AZ5" s="7">
        <f>'BBB'!AZ5+'Bag Staging'!AZ5+'Bag Staging Volumetric'!AZ5+'FWD FSM'!AZ5+'FWD Manual Pre Primary'!AZ5+'FWD Manual Primary'!AZ5+'FWD Primary with Scan'!AZ5+'FWD Secondary'!AZ5+'FWD Volumetric'!AZ5+'IB'!AZ5+'IB Volumetric'!AZ5+'OB'!AZ5+'OB Volumetric'!AZ5+'OSC Bag Sorting'!AZ5+'OSC Bag Sorting Volumetric'!AZ5+'REV FSM'!AZ5+'Rejection Primary with Scan'!AZ5+'Rejection Secondary'!AZ5+'Rev DC DC Primary Sorting'!AZ5+'Rev Primary (FSM Rejections)'!AZ5+'Rev Secondary Sorting'!AZ5+'VIA Bag Sorting'!AZ5</f>
        <v/>
      </c>
      <c r="BA5" s="7">
        <f>'BBB'!BA5+'Bag Staging'!BA5+'Bag Staging Volumetric'!BA5+'FWD FSM'!BA5+'FWD Manual Pre Primary'!BA5+'FWD Manual Primary'!BA5+'FWD Primary with Scan'!BA5+'FWD Secondary'!BA5+'FWD Volumetric'!BA5+'IB'!BA5+'IB Volumetric'!BA5+'OB'!BA5+'OB Volumetric'!BA5+'OSC Bag Sorting'!BA5+'OSC Bag Sorting Volumetric'!BA5+'REV FSM'!BA5+'Rejection Primary with Scan'!BA5+'Rejection Secondary'!BA5+'Rev DC DC Primary Sorting'!BA5+'Rev Primary (FSM Rejections)'!BA5+'Rev Secondary Sorting'!BA5+'VIA Bag Sorting'!BA5</f>
        <v/>
      </c>
      <c r="BB5" s="7">
        <f>SUM(AD5:BA5)</f>
        <v/>
      </c>
    </row>
    <row r="6">
      <c r="A6" t="inlineStr">
        <is>
          <t>AMD-AIR-NEW-SSC</t>
        </is>
      </c>
      <c r="B6" t="inlineStr">
        <is>
          <t>Forward Regular OSC</t>
        </is>
      </c>
      <c r="C6" s="5" t="n">
        <v>46100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306</v>
      </c>
      <c r="S6" s="6" t="n">
        <v>328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>
        <f>SUM(D6:AA6)</f>
        <v/>
      </c>
      <c r="AC6" s="3" t="inlineStr"/>
      <c r="AD6" s="7">
        <f>'BBB'!AD6+'Bag Staging'!AD6+'Bag Staging Volumetric'!AD6+'FWD FSM'!AD6+'FWD Manual Pre Primary'!AD6+'FWD Manual Primary'!AD6+'FWD Primary with Scan'!AD6+'FWD Secondary'!AD6+'FWD Volumetric'!AD6+'IB'!AD6+'IB Volumetric'!AD6+'OB'!AD6+'OB Volumetric'!AD6+'OSC Bag Sorting'!AD6+'OSC Bag Sorting Volumetric'!AD6+'REV FSM'!AD6+'Rejection Primary with Scan'!AD6+'Rejection Secondary'!AD6+'Rev DC DC Primary Sorting'!AD6+'Rev Primary (FSM Rejections)'!AD6+'Rev Secondary Sorting'!AD6+'VIA Bag Sorting'!AD6</f>
        <v/>
      </c>
      <c r="AE6" s="7">
        <f>'BBB'!AE6+'Bag Staging'!AE6+'Bag Staging Volumetric'!AE6+'FWD FSM'!AE6+'FWD Manual Pre Primary'!AE6+'FWD Manual Primary'!AE6+'FWD Primary with Scan'!AE6+'FWD Secondary'!AE6+'FWD Volumetric'!AE6+'IB'!AE6+'IB Volumetric'!AE6+'OB'!AE6+'OB Volumetric'!AE6+'OSC Bag Sorting'!AE6+'OSC Bag Sorting Volumetric'!AE6+'REV FSM'!AE6+'Rejection Primary with Scan'!AE6+'Rejection Secondary'!AE6+'Rev DC DC Primary Sorting'!AE6+'Rev Primary (FSM Rejections)'!AE6+'Rev Secondary Sorting'!AE6+'VIA Bag Sorting'!AE6</f>
        <v/>
      </c>
      <c r="AF6" s="7">
        <f>'BBB'!AF6+'Bag Staging'!AF6+'Bag Staging Volumetric'!AF6+'FWD FSM'!AF6+'FWD Manual Pre Primary'!AF6+'FWD Manual Primary'!AF6+'FWD Primary with Scan'!AF6+'FWD Secondary'!AF6+'FWD Volumetric'!AF6+'IB'!AF6+'IB Volumetric'!AF6+'OB'!AF6+'OB Volumetric'!AF6+'OSC Bag Sorting'!AF6+'OSC Bag Sorting Volumetric'!AF6+'REV FSM'!AF6+'Rejection Primary with Scan'!AF6+'Rejection Secondary'!AF6+'Rev DC DC Primary Sorting'!AF6+'Rev Primary (FSM Rejections)'!AF6+'Rev Secondary Sorting'!AF6+'VIA Bag Sorting'!AF6</f>
        <v/>
      </c>
      <c r="AG6" s="7">
        <f>'BBB'!AG6+'Bag Staging'!AG6+'Bag Staging Volumetric'!AG6+'FWD FSM'!AG6+'FWD Manual Pre Primary'!AG6+'FWD Manual Primary'!AG6+'FWD Primary with Scan'!AG6+'FWD Secondary'!AG6+'FWD Volumetric'!AG6+'IB'!AG6+'IB Volumetric'!AG6+'OB'!AG6+'OB Volumetric'!AG6+'OSC Bag Sorting'!AG6+'OSC Bag Sorting Volumetric'!AG6+'REV FSM'!AG6+'Rejection Primary with Scan'!AG6+'Rejection Secondary'!AG6+'Rev DC DC Primary Sorting'!AG6+'Rev Primary (FSM Rejections)'!AG6+'Rev Secondary Sorting'!AG6+'VIA Bag Sorting'!AG6</f>
        <v/>
      </c>
      <c r="AH6" s="7">
        <f>'BBB'!AH6+'Bag Staging'!AH6+'Bag Staging Volumetric'!AH6+'FWD FSM'!AH6+'FWD Manual Pre Primary'!AH6+'FWD Manual Primary'!AH6+'FWD Primary with Scan'!AH6+'FWD Secondary'!AH6+'FWD Volumetric'!AH6+'IB'!AH6+'IB Volumetric'!AH6+'OB'!AH6+'OB Volumetric'!AH6+'OSC Bag Sorting'!AH6+'OSC Bag Sorting Volumetric'!AH6+'REV FSM'!AH6+'Rejection Primary with Scan'!AH6+'Rejection Secondary'!AH6+'Rev DC DC Primary Sorting'!AH6+'Rev Primary (FSM Rejections)'!AH6+'Rev Secondary Sorting'!AH6+'VIA Bag Sorting'!AH6</f>
        <v/>
      </c>
      <c r="AI6" s="7">
        <f>'BBB'!AI6+'Bag Staging'!AI6+'Bag Staging Volumetric'!AI6+'FWD FSM'!AI6+'FWD Manual Pre Primary'!AI6+'FWD Manual Primary'!AI6+'FWD Primary with Scan'!AI6+'FWD Secondary'!AI6+'FWD Volumetric'!AI6+'IB'!AI6+'IB Volumetric'!AI6+'OB'!AI6+'OB Volumetric'!AI6+'OSC Bag Sorting'!AI6+'OSC Bag Sorting Volumetric'!AI6+'REV FSM'!AI6+'Rejection Primary with Scan'!AI6+'Rejection Secondary'!AI6+'Rev DC DC Primary Sorting'!AI6+'Rev Primary (FSM Rejections)'!AI6+'Rev Secondary Sorting'!AI6+'VIA Bag Sorting'!AI6</f>
        <v/>
      </c>
      <c r="AJ6" s="7">
        <f>'BBB'!AJ6+'Bag Staging'!AJ6+'Bag Staging Volumetric'!AJ6+'FWD FSM'!AJ6+'FWD Manual Pre Primary'!AJ6+'FWD Manual Primary'!AJ6+'FWD Primary with Scan'!AJ6+'FWD Secondary'!AJ6+'FWD Volumetric'!AJ6+'IB'!AJ6+'IB Volumetric'!AJ6+'OB'!AJ6+'OB Volumetric'!AJ6+'OSC Bag Sorting'!AJ6+'OSC Bag Sorting Volumetric'!AJ6+'REV FSM'!AJ6+'Rejection Primary with Scan'!AJ6+'Rejection Secondary'!AJ6+'Rev DC DC Primary Sorting'!AJ6+'Rev Primary (FSM Rejections)'!AJ6+'Rev Secondary Sorting'!AJ6+'VIA Bag Sorting'!AJ6</f>
        <v/>
      </c>
      <c r="AK6" s="7">
        <f>'BBB'!AK6+'Bag Staging'!AK6+'Bag Staging Volumetric'!AK6+'FWD FSM'!AK6+'FWD Manual Pre Primary'!AK6+'FWD Manual Primary'!AK6+'FWD Primary with Scan'!AK6+'FWD Secondary'!AK6+'FWD Volumetric'!AK6+'IB'!AK6+'IB Volumetric'!AK6+'OB'!AK6+'OB Volumetric'!AK6+'OSC Bag Sorting'!AK6+'OSC Bag Sorting Volumetric'!AK6+'REV FSM'!AK6+'Rejection Primary with Scan'!AK6+'Rejection Secondary'!AK6+'Rev DC DC Primary Sorting'!AK6+'Rev Primary (FSM Rejections)'!AK6+'Rev Secondary Sorting'!AK6+'VIA Bag Sorting'!AK6</f>
        <v/>
      </c>
      <c r="AL6" s="7">
        <f>'BBB'!AL6+'Bag Staging'!AL6+'Bag Staging Volumetric'!AL6+'FWD FSM'!AL6+'FWD Manual Pre Primary'!AL6+'FWD Manual Primary'!AL6+'FWD Primary with Scan'!AL6+'FWD Secondary'!AL6+'FWD Volumetric'!AL6+'IB'!AL6+'IB Volumetric'!AL6+'OB'!AL6+'OB Volumetric'!AL6+'OSC Bag Sorting'!AL6+'OSC Bag Sorting Volumetric'!AL6+'REV FSM'!AL6+'Rejection Primary with Scan'!AL6+'Rejection Secondary'!AL6+'Rev DC DC Primary Sorting'!AL6+'Rev Primary (FSM Rejections)'!AL6+'Rev Secondary Sorting'!AL6+'VIA Bag Sorting'!AL6</f>
        <v/>
      </c>
      <c r="AM6" s="7">
        <f>'BBB'!AM6+'Bag Staging'!AM6+'Bag Staging Volumetric'!AM6+'FWD FSM'!AM6+'FWD Manual Pre Primary'!AM6+'FWD Manual Primary'!AM6+'FWD Primary with Scan'!AM6+'FWD Secondary'!AM6+'FWD Volumetric'!AM6+'IB'!AM6+'IB Volumetric'!AM6+'OB'!AM6+'OB Volumetric'!AM6+'OSC Bag Sorting'!AM6+'OSC Bag Sorting Volumetric'!AM6+'REV FSM'!AM6+'Rejection Primary with Scan'!AM6+'Rejection Secondary'!AM6+'Rev DC DC Primary Sorting'!AM6+'Rev Primary (FSM Rejections)'!AM6+'Rev Secondary Sorting'!AM6+'VIA Bag Sorting'!AM6</f>
        <v/>
      </c>
      <c r="AN6" s="7">
        <f>'BBB'!AN6+'Bag Staging'!AN6+'Bag Staging Volumetric'!AN6+'FWD FSM'!AN6+'FWD Manual Pre Primary'!AN6+'FWD Manual Primary'!AN6+'FWD Primary with Scan'!AN6+'FWD Secondary'!AN6+'FWD Volumetric'!AN6+'IB'!AN6+'IB Volumetric'!AN6+'OB'!AN6+'OB Volumetric'!AN6+'OSC Bag Sorting'!AN6+'OSC Bag Sorting Volumetric'!AN6+'REV FSM'!AN6+'Rejection Primary with Scan'!AN6+'Rejection Secondary'!AN6+'Rev DC DC Primary Sorting'!AN6+'Rev Primary (FSM Rejections)'!AN6+'Rev Secondary Sorting'!AN6+'VIA Bag Sorting'!AN6</f>
        <v/>
      </c>
      <c r="AO6" s="7">
        <f>'BBB'!AO6+'Bag Staging'!AO6+'Bag Staging Volumetric'!AO6+'FWD FSM'!AO6+'FWD Manual Pre Primary'!AO6+'FWD Manual Primary'!AO6+'FWD Primary with Scan'!AO6+'FWD Secondary'!AO6+'FWD Volumetric'!AO6+'IB'!AO6+'IB Volumetric'!AO6+'OB'!AO6+'OB Volumetric'!AO6+'OSC Bag Sorting'!AO6+'OSC Bag Sorting Volumetric'!AO6+'REV FSM'!AO6+'Rejection Primary with Scan'!AO6+'Rejection Secondary'!AO6+'Rev DC DC Primary Sorting'!AO6+'Rev Primary (FSM Rejections)'!AO6+'Rev Secondary Sorting'!AO6+'VIA Bag Sorting'!AO6</f>
        <v/>
      </c>
      <c r="AP6" s="7">
        <f>'BBB'!AP6+'Bag Staging'!AP6+'Bag Staging Volumetric'!AP6+'FWD FSM'!AP6+'FWD Manual Pre Primary'!AP6+'FWD Manual Primary'!AP6+'FWD Primary with Scan'!AP6+'FWD Secondary'!AP6+'FWD Volumetric'!AP6+'IB'!AP6+'IB Volumetric'!AP6+'OB'!AP6+'OB Volumetric'!AP6+'OSC Bag Sorting'!AP6+'OSC Bag Sorting Volumetric'!AP6+'REV FSM'!AP6+'Rejection Primary with Scan'!AP6+'Rejection Secondary'!AP6+'Rev DC DC Primary Sorting'!AP6+'Rev Primary (FSM Rejections)'!AP6+'Rev Secondary Sorting'!AP6+'VIA Bag Sorting'!AP6</f>
        <v/>
      </c>
      <c r="AQ6" s="7">
        <f>'BBB'!AQ6+'Bag Staging'!AQ6+'Bag Staging Volumetric'!AQ6+'FWD FSM'!AQ6+'FWD Manual Pre Primary'!AQ6+'FWD Manual Primary'!AQ6+'FWD Primary with Scan'!AQ6+'FWD Secondary'!AQ6+'FWD Volumetric'!AQ6+'IB'!AQ6+'IB Volumetric'!AQ6+'OB'!AQ6+'OB Volumetric'!AQ6+'OSC Bag Sorting'!AQ6+'OSC Bag Sorting Volumetric'!AQ6+'REV FSM'!AQ6+'Rejection Primary with Scan'!AQ6+'Rejection Secondary'!AQ6+'Rev DC DC Primary Sorting'!AQ6+'Rev Primary (FSM Rejections)'!AQ6+'Rev Secondary Sorting'!AQ6+'VIA Bag Sorting'!AQ6</f>
        <v/>
      </c>
      <c r="AR6" s="7">
        <f>'BBB'!AR6+'Bag Staging'!AR6+'Bag Staging Volumetric'!AR6+'FWD FSM'!AR6+'FWD Manual Pre Primary'!AR6+'FWD Manual Primary'!AR6+'FWD Primary with Scan'!AR6+'FWD Secondary'!AR6+'FWD Volumetric'!AR6+'IB'!AR6+'IB Volumetric'!AR6+'OB'!AR6+'OB Volumetric'!AR6+'OSC Bag Sorting'!AR6+'OSC Bag Sorting Volumetric'!AR6+'REV FSM'!AR6+'Rejection Primary with Scan'!AR6+'Rejection Secondary'!AR6+'Rev DC DC Primary Sorting'!AR6+'Rev Primary (FSM Rejections)'!AR6+'Rev Secondary Sorting'!AR6+'VIA Bag Sorting'!AR6</f>
        <v/>
      </c>
      <c r="AS6" s="7">
        <f>'BBB'!AS6+'Bag Staging'!AS6+'Bag Staging Volumetric'!AS6+'FWD FSM'!AS6+'FWD Manual Pre Primary'!AS6+'FWD Manual Primary'!AS6+'FWD Primary with Scan'!AS6+'FWD Secondary'!AS6+'FWD Volumetric'!AS6+'IB'!AS6+'IB Volumetric'!AS6+'OB'!AS6+'OB Volumetric'!AS6+'OSC Bag Sorting'!AS6+'OSC Bag Sorting Volumetric'!AS6+'REV FSM'!AS6+'Rejection Primary with Scan'!AS6+'Rejection Secondary'!AS6+'Rev DC DC Primary Sorting'!AS6+'Rev Primary (FSM Rejections)'!AS6+'Rev Secondary Sorting'!AS6+'VIA Bag Sorting'!AS6</f>
        <v/>
      </c>
      <c r="AT6" s="7">
        <f>'BBB'!AT6+'Bag Staging'!AT6+'Bag Staging Volumetric'!AT6+'FWD FSM'!AT6+'FWD Manual Pre Primary'!AT6+'FWD Manual Primary'!AT6+'FWD Primary with Scan'!AT6+'FWD Secondary'!AT6+'FWD Volumetric'!AT6+'IB'!AT6+'IB Volumetric'!AT6+'OB'!AT6+'OB Volumetric'!AT6+'OSC Bag Sorting'!AT6+'OSC Bag Sorting Volumetric'!AT6+'REV FSM'!AT6+'Rejection Primary with Scan'!AT6+'Rejection Secondary'!AT6+'Rev DC DC Primary Sorting'!AT6+'Rev Primary (FSM Rejections)'!AT6+'Rev Secondary Sorting'!AT6+'VIA Bag Sorting'!AT6</f>
        <v/>
      </c>
      <c r="AU6" s="7">
        <f>'BBB'!AU6+'Bag Staging'!AU6+'Bag Staging Volumetric'!AU6+'FWD FSM'!AU6+'FWD Manual Pre Primary'!AU6+'FWD Manual Primary'!AU6+'FWD Primary with Scan'!AU6+'FWD Secondary'!AU6+'FWD Volumetric'!AU6+'IB'!AU6+'IB Volumetric'!AU6+'OB'!AU6+'OB Volumetric'!AU6+'OSC Bag Sorting'!AU6+'OSC Bag Sorting Volumetric'!AU6+'REV FSM'!AU6+'Rejection Primary with Scan'!AU6+'Rejection Secondary'!AU6+'Rev DC DC Primary Sorting'!AU6+'Rev Primary (FSM Rejections)'!AU6+'Rev Secondary Sorting'!AU6+'VIA Bag Sorting'!AU6</f>
        <v/>
      </c>
      <c r="AV6" s="7">
        <f>'BBB'!AV6+'Bag Staging'!AV6+'Bag Staging Volumetric'!AV6+'FWD FSM'!AV6+'FWD Manual Pre Primary'!AV6+'FWD Manual Primary'!AV6+'FWD Primary with Scan'!AV6+'FWD Secondary'!AV6+'FWD Volumetric'!AV6+'IB'!AV6+'IB Volumetric'!AV6+'OB'!AV6+'OB Volumetric'!AV6+'OSC Bag Sorting'!AV6+'OSC Bag Sorting Volumetric'!AV6+'REV FSM'!AV6+'Rejection Primary with Scan'!AV6+'Rejection Secondary'!AV6+'Rev DC DC Primary Sorting'!AV6+'Rev Primary (FSM Rejections)'!AV6+'Rev Secondary Sorting'!AV6+'VIA Bag Sorting'!AV6</f>
        <v/>
      </c>
      <c r="AW6" s="7">
        <f>'BBB'!AW6+'Bag Staging'!AW6+'Bag Staging Volumetric'!AW6+'FWD FSM'!AW6+'FWD Manual Pre Primary'!AW6+'FWD Manual Primary'!AW6+'FWD Primary with Scan'!AW6+'FWD Secondary'!AW6+'FWD Volumetric'!AW6+'IB'!AW6+'IB Volumetric'!AW6+'OB'!AW6+'OB Volumetric'!AW6+'OSC Bag Sorting'!AW6+'OSC Bag Sorting Volumetric'!AW6+'REV FSM'!AW6+'Rejection Primary with Scan'!AW6+'Rejection Secondary'!AW6+'Rev DC DC Primary Sorting'!AW6+'Rev Primary (FSM Rejections)'!AW6+'Rev Secondary Sorting'!AW6+'VIA Bag Sorting'!AW6</f>
        <v/>
      </c>
      <c r="AX6" s="7">
        <f>'BBB'!AX6+'Bag Staging'!AX6+'Bag Staging Volumetric'!AX6+'FWD FSM'!AX6+'FWD Manual Pre Primary'!AX6+'FWD Manual Primary'!AX6+'FWD Primary with Scan'!AX6+'FWD Secondary'!AX6+'FWD Volumetric'!AX6+'IB'!AX6+'IB Volumetric'!AX6+'OB'!AX6+'OB Volumetric'!AX6+'OSC Bag Sorting'!AX6+'OSC Bag Sorting Volumetric'!AX6+'REV FSM'!AX6+'Rejection Primary with Scan'!AX6+'Rejection Secondary'!AX6+'Rev DC DC Primary Sorting'!AX6+'Rev Primary (FSM Rejections)'!AX6+'Rev Secondary Sorting'!AX6+'VIA Bag Sorting'!AX6</f>
        <v/>
      </c>
      <c r="AY6" s="7">
        <f>'BBB'!AY6+'Bag Staging'!AY6+'Bag Staging Volumetric'!AY6+'FWD FSM'!AY6+'FWD Manual Pre Primary'!AY6+'FWD Manual Primary'!AY6+'FWD Primary with Scan'!AY6+'FWD Secondary'!AY6+'FWD Volumetric'!AY6+'IB'!AY6+'IB Volumetric'!AY6+'OB'!AY6+'OB Volumetric'!AY6+'OSC Bag Sorting'!AY6+'OSC Bag Sorting Volumetric'!AY6+'REV FSM'!AY6+'Rejection Primary with Scan'!AY6+'Rejection Secondary'!AY6+'Rev DC DC Primary Sorting'!AY6+'Rev Primary (FSM Rejections)'!AY6+'Rev Secondary Sorting'!AY6+'VIA Bag Sorting'!AY6</f>
        <v/>
      </c>
      <c r="AZ6" s="7">
        <f>'BBB'!AZ6+'Bag Staging'!AZ6+'Bag Staging Volumetric'!AZ6+'FWD FSM'!AZ6+'FWD Manual Pre Primary'!AZ6+'FWD Manual Primary'!AZ6+'FWD Primary with Scan'!AZ6+'FWD Secondary'!AZ6+'FWD Volumetric'!AZ6+'IB'!AZ6+'IB Volumetric'!AZ6+'OB'!AZ6+'OB Volumetric'!AZ6+'OSC Bag Sorting'!AZ6+'OSC Bag Sorting Volumetric'!AZ6+'REV FSM'!AZ6+'Rejection Primary with Scan'!AZ6+'Rejection Secondary'!AZ6+'Rev DC DC Primary Sorting'!AZ6+'Rev Primary (FSM Rejections)'!AZ6+'Rev Secondary Sorting'!AZ6+'VIA Bag Sorting'!AZ6</f>
        <v/>
      </c>
      <c r="BA6" s="7">
        <f>'BBB'!BA6+'Bag Staging'!BA6+'Bag Staging Volumetric'!BA6+'FWD FSM'!BA6+'FWD Manual Pre Primary'!BA6+'FWD Manual Primary'!BA6+'FWD Primary with Scan'!BA6+'FWD Secondary'!BA6+'FWD Volumetric'!BA6+'IB'!BA6+'IB Volumetric'!BA6+'OB'!BA6+'OB Volumetric'!BA6+'OSC Bag Sorting'!BA6+'OSC Bag Sorting Volumetric'!BA6+'REV FSM'!BA6+'Rejection Primary with Scan'!BA6+'Rejection Secondary'!BA6+'Rev DC DC Primary Sorting'!BA6+'Rev Primary (FSM Rejections)'!BA6+'Rev Secondary Sorting'!BA6+'VIA Bag Sorting'!BA6</f>
        <v/>
      </c>
      <c r="BB6" s="7">
        <f>SUM(AD6:BA6)</f>
        <v/>
      </c>
    </row>
    <row r="7">
      <c r="A7" t="inlineStr">
        <is>
          <t>AMD-AIR-NEW-SSC</t>
        </is>
      </c>
      <c r="B7" t="inlineStr">
        <is>
          <t>Forward Regular OSC</t>
        </is>
      </c>
      <c r="C7" s="5" t="n">
        <v>46101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376</v>
      </c>
      <c r="T7" s="6" t="n">
        <v>250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>
        <f>SUM(D7:AA7)</f>
        <v/>
      </c>
      <c r="AC7" s="3" t="inlineStr"/>
      <c r="AD7" s="7">
        <f>'BBB'!AD7+'Bag Staging'!AD7+'Bag Staging Volumetric'!AD7+'FWD FSM'!AD7+'FWD Manual Pre Primary'!AD7+'FWD Manual Primary'!AD7+'FWD Primary with Scan'!AD7+'FWD Secondary'!AD7+'FWD Volumetric'!AD7+'IB'!AD7+'IB Volumetric'!AD7+'OB'!AD7+'OB Volumetric'!AD7+'OSC Bag Sorting'!AD7+'OSC Bag Sorting Volumetric'!AD7+'REV FSM'!AD7+'Rejection Primary with Scan'!AD7+'Rejection Secondary'!AD7+'Rev DC DC Primary Sorting'!AD7+'Rev Primary (FSM Rejections)'!AD7+'Rev Secondary Sorting'!AD7+'VIA Bag Sorting'!AD7</f>
        <v/>
      </c>
      <c r="AE7" s="7">
        <f>'BBB'!AE7+'Bag Staging'!AE7+'Bag Staging Volumetric'!AE7+'FWD FSM'!AE7+'FWD Manual Pre Primary'!AE7+'FWD Manual Primary'!AE7+'FWD Primary with Scan'!AE7+'FWD Secondary'!AE7+'FWD Volumetric'!AE7+'IB'!AE7+'IB Volumetric'!AE7+'OB'!AE7+'OB Volumetric'!AE7+'OSC Bag Sorting'!AE7+'OSC Bag Sorting Volumetric'!AE7+'REV FSM'!AE7+'Rejection Primary with Scan'!AE7+'Rejection Secondary'!AE7+'Rev DC DC Primary Sorting'!AE7+'Rev Primary (FSM Rejections)'!AE7+'Rev Secondary Sorting'!AE7+'VIA Bag Sorting'!AE7</f>
        <v/>
      </c>
      <c r="AF7" s="7">
        <f>'BBB'!AF7+'Bag Staging'!AF7+'Bag Staging Volumetric'!AF7+'FWD FSM'!AF7+'FWD Manual Pre Primary'!AF7+'FWD Manual Primary'!AF7+'FWD Primary with Scan'!AF7+'FWD Secondary'!AF7+'FWD Volumetric'!AF7+'IB'!AF7+'IB Volumetric'!AF7+'OB'!AF7+'OB Volumetric'!AF7+'OSC Bag Sorting'!AF7+'OSC Bag Sorting Volumetric'!AF7+'REV FSM'!AF7+'Rejection Primary with Scan'!AF7+'Rejection Secondary'!AF7+'Rev DC DC Primary Sorting'!AF7+'Rev Primary (FSM Rejections)'!AF7+'Rev Secondary Sorting'!AF7+'VIA Bag Sorting'!AF7</f>
        <v/>
      </c>
      <c r="AG7" s="7">
        <f>'BBB'!AG7+'Bag Staging'!AG7+'Bag Staging Volumetric'!AG7+'FWD FSM'!AG7+'FWD Manual Pre Primary'!AG7+'FWD Manual Primary'!AG7+'FWD Primary with Scan'!AG7+'FWD Secondary'!AG7+'FWD Volumetric'!AG7+'IB'!AG7+'IB Volumetric'!AG7+'OB'!AG7+'OB Volumetric'!AG7+'OSC Bag Sorting'!AG7+'OSC Bag Sorting Volumetric'!AG7+'REV FSM'!AG7+'Rejection Primary with Scan'!AG7+'Rejection Secondary'!AG7+'Rev DC DC Primary Sorting'!AG7+'Rev Primary (FSM Rejections)'!AG7+'Rev Secondary Sorting'!AG7+'VIA Bag Sorting'!AG7</f>
        <v/>
      </c>
      <c r="AH7" s="7">
        <f>'BBB'!AH7+'Bag Staging'!AH7+'Bag Staging Volumetric'!AH7+'FWD FSM'!AH7+'FWD Manual Pre Primary'!AH7+'FWD Manual Primary'!AH7+'FWD Primary with Scan'!AH7+'FWD Secondary'!AH7+'FWD Volumetric'!AH7+'IB'!AH7+'IB Volumetric'!AH7+'OB'!AH7+'OB Volumetric'!AH7+'OSC Bag Sorting'!AH7+'OSC Bag Sorting Volumetric'!AH7+'REV FSM'!AH7+'Rejection Primary with Scan'!AH7+'Rejection Secondary'!AH7+'Rev DC DC Primary Sorting'!AH7+'Rev Primary (FSM Rejections)'!AH7+'Rev Secondary Sorting'!AH7+'VIA Bag Sorting'!AH7</f>
        <v/>
      </c>
      <c r="AI7" s="7">
        <f>'BBB'!AI7+'Bag Staging'!AI7+'Bag Staging Volumetric'!AI7+'FWD FSM'!AI7+'FWD Manual Pre Primary'!AI7+'FWD Manual Primary'!AI7+'FWD Primary with Scan'!AI7+'FWD Secondary'!AI7+'FWD Volumetric'!AI7+'IB'!AI7+'IB Volumetric'!AI7+'OB'!AI7+'OB Volumetric'!AI7+'OSC Bag Sorting'!AI7+'OSC Bag Sorting Volumetric'!AI7+'REV FSM'!AI7+'Rejection Primary with Scan'!AI7+'Rejection Secondary'!AI7+'Rev DC DC Primary Sorting'!AI7+'Rev Primary (FSM Rejections)'!AI7+'Rev Secondary Sorting'!AI7+'VIA Bag Sorting'!AI7</f>
        <v/>
      </c>
      <c r="AJ7" s="7">
        <f>'BBB'!AJ7+'Bag Staging'!AJ7+'Bag Staging Volumetric'!AJ7+'FWD FSM'!AJ7+'FWD Manual Pre Primary'!AJ7+'FWD Manual Primary'!AJ7+'FWD Primary with Scan'!AJ7+'FWD Secondary'!AJ7+'FWD Volumetric'!AJ7+'IB'!AJ7+'IB Volumetric'!AJ7+'OB'!AJ7+'OB Volumetric'!AJ7+'OSC Bag Sorting'!AJ7+'OSC Bag Sorting Volumetric'!AJ7+'REV FSM'!AJ7+'Rejection Primary with Scan'!AJ7+'Rejection Secondary'!AJ7+'Rev DC DC Primary Sorting'!AJ7+'Rev Primary (FSM Rejections)'!AJ7+'Rev Secondary Sorting'!AJ7+'VIA Bag Sorting'!AJ7</f>
        <v/>
      </c>
      <c r="AK7" s="7">
        <f>'BBB'!AK7+'Bag Staging'!AK7+'Bag Staging Volumetric'!AK7+'FWD FSM'!AK7+'FWD Manual Pre Primary'!AK7+'FWD Manual Primary'!AK7+'FWD Primary with Scan'!AK7+'FWD Secondary'!AK7+'FWD Volumetric'!AK7+'IB'!AK7+'IB Volumetric'!AK7+'OB'!AK7+'OB Volumetric'!AK7+'OSC Bag Sorting'!AK7+'OSC Bag Sorting Volumetric'!AK7+'REV FSM'!AK7+'Rejection Primary with Scan'!AK7+'Rejection Secondary'!AK7+'Rev DC DC Primary Sorting'!AK7+'Rev Primary (FSM Rejections)'!AK7+'Rev Secondary Sorting'!AK7+'VIA Bag Sorting'!AK7</f>
        <v/>
      </c>
      <c r="AL7" s="7">
        <f>'BBB'!AL7+'Bag Staging'!AL7+'Bag Staging Volumetric'!AL7+'FWD FSM'!AL7+'FWD Manual Pre Primary'!AL7+'FWD Manual Primary'!AL7+'FWD Primary with Scan'!AL7+'FWD Secondary'!AL7+'FWD Volumetric'!AL7+'IB'!AL7+'IB Volumetric'!AL7+'OB'!AL7+'OB Volumetric'!AL7+'OSC Bag Sorting'!AL7+'OSC Bag Sorting Volumetric'!AL7+'REV FSM'!AL7+'Rejection Primary with Scan'!AL7+'Rejection Secondary'!AL7+'Rev DC DC Primary Sorting'!AL7+'Rev Primary (FSM Rejections)'!AL7+'Rev Secondary Sorting'!AL7+'VIA Bag Sorting'!AL7</f>
        <v/>
      </c>
      <c r="AM7" s="7">
        <f>'BBB'!AM7+'Bag Staging'!AM7+'Bag Staging Volumetric'!AM7+'FWD FSM'!AM7+'FWD Manual Pre Primary'!AM7+'FWD Manual Primary'!AM7+'FWD Primary with Scan'!AM7+'FWD Secondary'!AM7+'FWD Volumetric'!AM7+'IB'!AM7+'IB Volumetric'!AM7+'OB'!AM7+'OB Volumetric'!AM7+'OSC Bag Sorting'!AM7+'OSC Bag Sorting Volumetric'!AM7+'REV FSM'!AM7+'Rejection Primary with Scan'!AM7+'Rejection Secondary'!AM7+'Rev DC DC Primary Sorting'!AM7+'Rev Primary (FSM Rejections)'!AM7+'Rev Secondary Sorting'!AM7+'VIA Bag Sorting'!AM7</f>
        <v/>
      </c>
      <c r="AN7" s="7">
        <f>'BBB'!AN7+'Bag Staging'!AN7+'Bag Staging Volumetric'!AN7+'FWD FSM'!AN7+'FWD Manual Pre Primary'!AN7+'FWD Manual Primary'!AN7+'FWD Primary with Scan'!AN7+'FWD Secondary'!AN7+'FWD Volumetric'!AN7+'IB'!AN7+'IB Volumetric'!AN7+'OB'!AN7+'OB Volumetric'!AN7+'OSC Bag Sorting'!AN7+'OSC Bag Sorting Volumetric'!AN7+'REV FSM'!AN7+'Rejection Primary with Scan'!AN7+'Rejection Secondary'!AN7+'Rev DC DC Primary Sorting'!AN7+'Rev Primary (FSM Rejections)'!AN7+'Rev Secondary Sorting'!AN7+'VIA Bag Sorting'!AN7</f>
        <v/>
      </c>
      <c r="AO7" s="7">
        <f>'BBB'!AO7+'Bag Staging'!AO7+'Bag Staging Volumetric'!AO7+'FWD FSM'!AO7+'FWD Manual Pre Primary'!AO7+'FWD Manual Primary'!AO7+'FWD Primary with Scan'!AO7+'FWD Secondary'!AO7+'FWD Volumetric'!AO7+'IB'!AO7+'IB Volumetric'!AO7+'OB'!AO7+'OB Volumetric'!AO7+'OSC Bag Sorting'!AO7+'OSC Bag Sorting Volumetric'!AO7+'REV FSM'!AO7+'Rejection Primary with Scan'!AO7+'Rejection Secondary'!AO7+'Rev DC DC Primary Sorting'!AO7+'Rev Primary (FSM Rejections)'!AO7+'Rev Secondary Sorting'!AO7+'VIA Bag Sorting'!AO7</f>
        <v/>
      </c>
      <c r="AP7" s="7">
        <f>'BBB'!AP7+'Bag Staging'!AP7+'Bag Staging Volumetric'!AP7+'FWD FSM'!AP7+'FWD Manual Pre Primary'!AP7+'FWD Manual Primary'!AP7+'FWD Primary with Scan'!AP7+'FWD Secondary'!AP7+'FWD Volumetric'!AP7+'IB'!AP7+'IB Volumetric'!AP7+'OB'!AP7+'OB Volumetric'!AP7+'OSC Bag Sorting'!AP7+'OSC Bag Sorting Volumetric'!AP7+'REV FSM'!AP7+'Rejection Primary with Scan'!AP7+'Rejection Secondary'!AP7+'Rev DC DC Primary Sorting'!AP7+'Rev Primary (FSM Rejections)'!AP7+'Rev Secondary Sorting'!AP7+'VIA Bag Sorting'!AP7</f>
        <v/>
      </c>
      <c r="AQ7" s="7">
        <f>'BBB'!AQ7+'Bag Staging'!AQ7+'Bag Staging Volumetric'!AQ7+'FWD FSM'!AQ7+'FWD Manual Pre Primary'!AQ7+'FWD Manual Primary'!AQ7+'FWD Primary with Scan'!AQ7+'FWD Secondary'!AQ7+'FWD Volumetric'!AQ7+'IB'!AQ7+'IB Volumetric'!AQ7+'OB'!AQ7+'OB Volumetric'!AQ7+'OSC Bag Sorting'!AQ7+'OSC Bag Sorting Volumetric'!AQ7+'REV FSM'!AQ7+'Rejection Primary with Scan'!AQ7+'Rejection Secondary'!AQ7+'Rev DC DC Primary Sorting'!AQ7+'Rev Primary (FSM Rejections)'!AQ7+'Rev Secondary Sorting'!AQ7+'VIA Bag Sorting'!AQ7</f>
        <v/>
      </c>
      <c r="AR7" s="7">
        <f>'BBB'!AR7+'Bag Staging'!AR7+'Bag Staging Volumetric'!AR7+'FWD FSM'!AR7+'FWD Manual Pre Primary'!AR7+'FWD Manual Primary'!AR7+'FWD Primary with Scan'!AR7+'FWD Secondary'!AR7+'FWD Volumetric'!AR7+'IB'!AR7+'IB Volumetric'!AR7+'OB'!AR7+'OB Volumetric'!AR7+'OSC Bag Sorting'!AR7+'OSC Bag Sorting Volumetric'!AR7+'REV FSM'!AR7+'Rejection Primary with Scan'!AR7+'Rejection Secondary'!AR7+'Rev DC DC Primary Sorting'!AR7+'Rev Primary (FSM Rejections)'!AR7+'Rev Secondary Sorting'!AR7+'VIA Bag Sorting'!AR7</f>
        <v/>
      </c>
      <c r="AS7" s="7">
        <f>'BBB'!AS7+'Bag Staging'!AS7+'Bag Staging Volumetric'!AS7+'FWD FSM'!AS7+'FWD Manual Pre Primary'!AS7+'FWD Manual Primary'!AS7+'FWD Primary with Scan'!AS7+'FWD Secondary'!AS7+'FWD Volumetric'!AS7+'IB'!AS7+'IB Volumetric'!AS7+'OB'!AS7+'OB Volumetric'!AS7+'OSC Bag Sorting'!AS7+'OSC Bag Sorting Volumetric'!AS7+'REV FSM'!AS7+'Rejection Primary with Scan'!AS7+'Rejection Secondary'!AS7+'Rev DC DC Primary Sorting'!AS7+'Rev Primary (FSM Rejections)'!AS7+'Rev Secondary Sorting'!AS7+'VIA Bag Sorting'!AS7</f>
        <v/>
      </c>
      <c r="AT7" s="7">
        <f>'BBB'!AT7+'Bag Staging'!AT7+'Bag Staging Volumetric'!AT7+'FWD FSM'!AT7+'FWD Manual Pre Primary'!AT7+'FWD Manual Primary'!AT7+'FWD Primary with Scan'!AT7+'FWD Secondary'!AT7+'FWD Volumetric'!AT7+'IB'!AT7+'IB Volumetric'!AT7+'OB'!AT7+'OB Volumetric'!AT7+'OSC Bag Sorting'!AT7+'OSC Bag Sorting Volumetric'!AT7+'REV FSM'!AT7+'Rejection Primary with Scan'!AT7+'Rejection Secondary'!AT7+'Rev DC DC Primary Sorting'!AT7+'Rev Primary (FSM Rejections)'!AT7+'Rev Secondary Sorting'!AT7+'VIA Bag Sorting'!AT7</f>
        <v/>
      </c>
      <c r="AU7" s="7">
        <f>'BBB'!AU7+'Bag Staging'!AU7+'Bag Staging Volumetric'!AU7+'FWD FSM'!AU7+'FWD Manual Pre Primary'!AU7+'FWD Manual Primary'!AU7+'FWD Primary with Scan'!AU7+'FWD Secondary'!AU7+'FWD Volumetric'!AU7+'IB'!AU7+'IB Volumetric'!AU7+'OB'!AU7+'OB Volumetric'!AU7+'OSC Bag Sorting'!AU7+'OSC Bag Sorting Volumetric'!AU7+'REV FSM'!AU7+'Rejection Primary with Scan'!AU7+'Rejection Secondary'!AU7+'Rev DC DC Primary Sorting'!AU7+'Rev Primary (FSM Rejections)'!AU7+'Rev Secondary Sorting'!AU7+'VIA Bag Sorting'!AU7</f>
        <v/>
      </c>
      <c r="AV7" s="7">
        <f>'BBB'!AV7+'Bag Staging'!AV7+'Bag Staging Volumetric'!AV7+'FWD FSM'!AV7+'FWD Manual Pre Primary'!AV7+'FWD Manual Primary'!AV7+'FWD Primary with Scan'!AV7+'FWD Secondary'!AV7+'FWD Volumetric'!AV7+'IB'!AV7+'IB Volumetric'!AV7+'OB'!AV7+'OB Volumetric'!AV7+'OSC Bag Sorting'!AV7+'OSC Bag Sorting Volumetric'!AV7+'REV FSM'!AV7+'Rejection Primary with Scan'!AV7+'Rejection Secondary'!AV7+'Rev DC DC Primary Sorting'!AV7+'Rev Primary (FSM Rejections)'!AV7+'Rev Secondary Sorting'!AV7+'VIA Bag Sorting'!AV7</f>
        <v/>
      </c>
      <c r="AW7" s="7">
        <f>'BBB'!AW7+'Bag Staging'!AW7+'Bag Staging Volumetric'!AW7+'FWD FSM'!AW7+'FWD Manual Pre Primary'!AW7+'FWD Manual Primary'!AW7+'FWD Primary with Scan'!AW7+'FWD Secondary'!AW7+'FWD Volumetric'!AW7+'IB'!AW7+'IB Volumetric'!AW7+'OB'!AW7+'OB Volumetric'!AW7+'OSC Bag Sorting'!AW7+'OSC Bag Sorting Volumetric'!AW7+'REV FSM'!AW7+'Rejection Primary with Scan'!AW7+'Rejection Secondary'!AW7+'Rev DC DC Primary Sorting'!AW7+'Rev Primary (FSM Rejections)'!AW7+'Rev Secondary Sorting'!AW7+'VIA Bag Sorting'!AW7</f>
        <v/>
      </c>
      <c r="AX7" s="7">
        <f>'BBB'!AX7+'Bag Staging'!AX7+'Bag Staging Volumetric'!AX7+'FWD FSM'!AX7+'FWD Manual Pre Primary'!AX7+'FWD Manual Primary'!AX7+'FWD Primary with Scan'!AX7+'FWD Secondary'!AX7+'FWD Volumetric'!AX7+'IB'!AX7+'IB Volumetric'!AX7+'OB'!AX7+'OB Volumetric'!AX7+'OSC Bag Sorting'!AX7+'OSC Bag Sorting Volumetric'!AX7+'REV FSM'!AX7+'Rejection Primary with Scan'!AX7+'Rejection Secondary'!AX7+'Rev DC DC Primary Sorting'!AX7+'Rev Primary (FSM Rejections)'!AX7+'Rev Secondary Sorting'!AX7+'VIA Bag Sorting'!AX7</f>
        <v/>
      </c>
      <c r="AY7" s="7">
        <f>'BBB'!AY7+'Bag Staging'!AY7+'Bag Staging Volumetric'!AY7+'FWD FSM'!AY7+'FWD Manual Pre Primary'!AY7+'FWD Manual Primary'!AY7+'FWD Primary with Scan'!AY7+'FWD Secondary'!AY7+'FWD Volumetric'!AY7+'IB'!AY7+'IB Volumetric'!AY7+'OB'!AY7+'OB Volumetric'!AY7+'OSC Bag Sorting'!AY7+'OSC Bag Sorting Volumetric'!AY7+'REV FSM'!AY7+'Rejection Primary with Scan'!AY7+'Rejection Secondary'!AY7+'Rev DC DC Primary Sorting'!AY7+'Rev Primary (FSM Rejections)'!AY7+'Rev Secondary Sorting'!AY7+'VIA Bag Sorting'!AY7</f>
        <v/>
      </c>
      <c r="AZ7" s="7">
        <f>'BBB'!AZ7+'Bag Staging'!AZ7+'Bag Staging Volumetric'!AZ7+'FWD FSM'!AZ7+'FWD Manual Pre Primary'!AZ7+'FWD Manual Primary'!AZ7+'FWD Primary with Scan'!AZ7+'FWD Secondary'!AZ7+'FWD Volumetric'!AZ7+'IB'!AZ7+'IB Volumetric'!AZ7+'OB'!AZ7+'OB Volumetric'!AZ7+'OSC Bag Sorting'!AZ7+'OSC Bag Sorting Volumetric'!AZ7+'REV FSM'!AZ7+'Rejection Primary with Scan'!AZ7+'Rejection Secondary'!AZ7+'Rev DC DC Primary Sorting'!AZ7+'Rev Primary (FSM Rejections)'!AZ7+'Rev Secondary Sorting'!AZ7+'VIA Bag Sorting'!AZ7</f>
        <v/>
      </c>
      <c r="BA7" s="7">
        <f>'BBB'!BA7+'Bag Staging'!BA7+'Bag Staging Volumetric'!BA7+'FWD FSM'!BA7+'FWD Manual Pre Primary'!BA7+'FWD Manual Primary'!BA7+'FWD Primary with Scan'!BA7+'FWD Secondary'!BA7+'FWD Volumetric'!BA7+'IB'!BA7+'IB Volumetric'!BA7+'OB'!BA7+'OB Volumetric'!BA7+'OSC Bag Sorting'!BA7+'OSC Bag Sorting Volumetric'!BA7+'REV FSM'!BA7+'Rejection Primary with Scan'!BA7+'Rejection Secondary'!BA7+'Rev DC DC Primary Sorting'!BA7+'Rev Primary (FSM Rejections)'!BA7+'Rev Secondary Sorting'!BA7+'VIA Bag Sorting'!BA7</f>
        <v/>
      </c>
      <c r="BB7" s="7">
        <f>SUM(AD7:BA7)</f>
        <v/>
      </c>
    </row>
    <row r="8">
      <c r="A8" t="inlineStr">
        <is>
          <t>AMD-AIR-NEW-SSC</t>
        </is>
      </c>
      <c r="B8" t="inlineStr">
        <is>
          <t>Forward Regular OSC</t>
        </is>
      </c>
      <c r="C8" s="5" t="n">
        <v>46102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55</v>
      </c>
      <c r="S8" s="6" t="n">
        <v>101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>
        <f>SUM(D8:AA8)</f>
        <v/>
      </c>
      <c r="AC8" s="3" t="inlineStr"/>
      <c r="AD8" s="7">
        <f>'BBB'!AD8+'Bag Staging'!AD8+'Bag Staging Volumetric'!AD8+'FWD FSM'!AD8+'FWD Manual Pre Primary'!AD8+'FWD Manual Primary'!AD8+'FWD Primary with Scan'!AD8+'FWD Secondary'!AD8+'FWD Volumetric'!AD8+'IB'!AD8+'IB Volumetric'!AD8+'OB'!AD8+'OB Volumetric'!AD8+'OSC Bag Sorting'!AD8+'OSC Bag Sorting Volumetric'!AD8+'REV FSM'!AD8+'Rejection Primary with Scan'!AD8+'Rejection Secondary'!AD8+'Rev DC DC Primary Sorting'!AD8+'Rev Primary (FSM Rejections)'!AD8+'Rev Secondary Sorting'!AD8+'VIA Bag Sorting'!AD8</f>
        <v/>
      </c>
      <c r="AE8" s="7">
        <f>'BBB'!AE8+'Bag Staging'!AE8+'Bag Staging Volumetric'!AE8+'FWD FSM'!AE8+'FWD Manual Pre Primary'!AE8+'FWD Manual Primary'!AE8+'FWD Primary with Scan'!AE8+'FWD Secondary'!AE8+'FWD Volumetric'!AE8+'IB'!AE8+'IB Volumetric'!AE8+'OB'!AE8+'OB Volumetric'!AE8+'OSC Bag Sorting'!AE8+'OSC Bag Sorting Volumetric'!AE8+'REV FSM'!AE8+'Rejection Primary with Scan'!AE8+'Rejection Secondary'!AE8+'Rev DC DC Primary Sorting'!AE8+'Rev Primary (FSM Rejections)'!AE8+'Rev Secondary Sorting'!AE8+'VIA Bag Sorting'!AE8</f>
        <v/>
      </c>
      <c r="AF8" s="7">
        <f>'BBB'!AF8+'Bag Staging'!AF8+'Bag Staging Volumetric'!AF8+'FWD FSM'!AF8+'FWD Manual Pre Primary'!AF8+'FWD Manual Primary'!AF8+'FWD Primary with Scan'!AF8+'FWD Secondary'!AF8+'FWD Volumetric'!AF8+'IB'!AF8+'IB Volumetric'!AF8+'OB'!AF8+'OB Volumetric'!AF8+'OSC Bag Sorting'!AF8+'OSC Bag Sorting Volumetric'!AF8+'REV FSM'!AF8+'Rejection Primary with Scan'!AF8+'Rejection Secondary'!AF8+'Rev DC DC Primary Sorting'!AF8+'Rev Primary (FSM Rejections)'!AF8+'Rev Secondary Sorting'!AF8+'VIA Bag Sorting'!AF8</f>
        <v/>
      </c>
      <c r="AG8" s="7">
        <f>'BBB'!AG8+'Bag Staging'!AG8+'Bag Staging Volumetric'!AG8+'FWD FSM'!AG8+'FWD Manual Pre Primary'!AG8+'FWD Manual Primary'!AG8+'FWD Primary with Scan'!AG8+'FWD Secondary'!AG8+'FWD Volumetric'!AG8+'IB'!AG8+'IB Volumetric'!AG8+'OB'!AG8+'OB Volumetric'!AG8+'OSC Bag Sorting'!AG8+'OSC Bag Sorting Volumetric'!AG8+'REV FSM'!AG8+'Rejection Primary with Scan'!AG8+'Rejection Secondary'!AG8+'Rev DC DC Primary Sorting'!AG8+'Rev Primary (FSM Rejections)'!AG8+'Rev Secondary Sorting'!AG8+'VIA Bag Sorting'!AG8</f>
        <v/>
      </c>
      <c r="AH8" s="7">
        <f>'BBB'!AH8+'Bag Staging'!AH8+'Bag Staging Volumetric'!AH8+'FWD FSM'!AH8+'FWD Manual Pre Primary'!AH8+'FWD Manual Primary'!AH8+'FWD Primary with Scan'!AH8+'FWD Secondary'!AH8+'FWD Volumetric'!AH8+'IB'!AH8+'IB Volumetric'!AH8+'OB'!AH8+'OB Volumetric'!AH8+'OSC Bag Sorting'!AH8+'OSC Bag Sorting Volumetric'!AH8+'REV FSM'!AH8+'Rejection Primary with Scan'!AH8+'Rejection Secondary'!AH8+'Rev DC DC Primary Sorting'!AH8+'Rev Primary (FSM Rejections)'!AH8+'Rev Secondary Sorting'!AH8+'VIA Bag Sorting'!AH8</f>
        <v/>
      </c>
      <c r="AI8" s="7">
        <f>'BBB'!AI8+'Bag Staging'!AI8+'Bag Staging Volumetric'!AI8+'FWD FSM'!AI8+'FWD Manual Pre Primary'!AI8+'FWD Manual Primary'!AI8+'FWD Primary with Scan'!AI8+'FWD Secondary'!AI8+'FWD Volumetric'!AI8+'IB'!AI8+'IB Volumetric'!AI8+'OB'!AI8+'OB Volumetric'!AI8+'OSC Bag Sorting'!AI8+'OSC Bag Sorting Volumetric'!AI8+'REV FSM'!AI8+'Rejection Primary with Scan'!AI8+'Rejection Secondary'!AI8+'Rev DC DC Primary Sorting'!AI8+'Rev Primary (FSM Rejections)'!AI8+'Rev Secondary Sorting'!AI8+'VIA Bag Sorting'!AI8</f>
        <v/>
      </c>
      <c r="AJ8" s="7">
        <f>'BBB'!AJ8+'Bag Staging'!AJ8+'Bag Staging Volumetric'!AJ8+'FWD FSM'!AJ8+'FWD Manual Pre Primary'!AJ8+'FWD Manual Primary'!AJ8+'FWD Primary with Scan'!AJ8+'FWD Secondary'!AJ8+'FWD Volumetric'!AJ8+'IB'!AJ8+'IB Volumetric'!AJ8+'OB'!AJ8+'OB Volumetric'!AJ8+'OSC Bag Sorting'!AJ8+'OSC Bag Sorting Volumetric'!AJ8+'REV FSM'!AJ8+'Rejection Primary with Scan'!AJ8+'Rejection Secondary'!AJ8+'Rev DC DC Primary Sorting'!AJ8+'Rev Primary (FSM Rejections)'!AJ8+'Rev Secondary Sorting'!AJ8+'VIA Bag Sorting'!AJ8</f>
        <v/>
      </c>
      <c r="AK8" s="7">
        <f>'BBB'!AK8+'Bag Staging'!AK8+'Bag Staging Volumetric'!AK8+'FWD FSM'!AK8+'FWD Manual Pre Primary'!AK8+'FWD Manual Primary'!AK8+'FWD Primary with Scan'!AK8+'FWD Secondary'!AK8+'FWD Volumetric'!AK8+'IB'!AK8+'IB Volumetric'!AK8+'OB'!AK8+'OB Volumetric'!AK8+'OSC Bag Sorting'!AK8+'OSC Bag Sorting Volumetric'!AK8+'REV FSM'!AK8+'Rejection Primary with Scan'!AK8+'Rejection Secondary'!AK8+'Rev DC DC Primary Sorting'!AK8+'Rev Primary (FSM Rejections)'!AK8+'Rev Secondary Sorting'!AK8+'VIA Bag Sorting'!AK8</f>
        <v/>
      </c>
      <c r="AL8" s="7">
        <f>'BBB'!AL8+'Bag Staging'!AL8+'Bag Staging Volumetric'!AL8+'FWD FSM'!AL8+'FWD Manual Pre Primary'!AL8+'FWD Manual Primary'!AL8+'FWD Primary with Scan'!AL8+'FWD Secondary'!AL8+'FWD Volumetric'!AL8+'IB'!AL8+'IB Volumetric'!AL8+'OB'!AL8+'OB Volumetric'!AL8+'OSC Bag Sorting'!AL8+'OSC Bag Sorting Volumetric'!AL8+'REV FSM'!AL8+'Rejection Primary with Scan'!AL8+'Rejection Secondary'!AL8+'Rev DC DC Primary Sorting'!AL8+'Rev Primary (FSM Rejections)'!AL8+'Rev Secondary Sorting'!AL8+'VIA Bag Sorting'!AL8</f>
        <v/>
      </c>
      <c r="AM8" s="7">
        <f>'BBB'!AM8+'Bag Staging'!AM8+'Bag Staging Volumetric'!AM8+'FWD FSM'!AM8+'FWD Manual Pre Primary'!AM8+'FWD Manual Primary'!AM8+'FWD Primary with Scan'!AM8+'FWD Secondary'!AM8+'FWD Volumetric'!AM8+'IB'!AM8+'IB Volumetric'!AM8+'OB'!AM8+'OB Volumetric'!AM8+'OSC Bag Sorting'!AM8+'OSC Bag Sorting Volumetric'!AM8+'REV FSM'!AM8+'Rejection Primary with Scan'!AM8+'Rejection Secondary'!AM8+'Rev DC DC Primary Sorting'!AM8+'Rev Primary (FSM Rejections)'!AM8+'Rev Secondary Sorting'!AM8+'VIA Bag Sorting'!AM8</f>
        <v/>
      </c>
      <c r="AN8" s="7">
        <f>'BBB'!AN8+'Bag Staging'!AN8+'Bag Staging Volumetric'!AN8+'FWD FSM'!AN8+'FWD Manual Pre Primary'!AN8+'FWD Manual Primary'!AN8+'FWD Primary with Scan'!AN8+'FWD Secondary'!AN8+'FWD Volumetric'!AN8+'IB'!AN8+'IB Volumetric'!AN8+'OB'!AN8+'OB Volumetric'!AN8+'OSC Bag Sorting'!AN8+'OSC Bag Sorting Volumetric'!AN8+'REV FSM'!AN8+'Rejection Primary with Scan'!AN8+'Rejection Secondary'!AN8+'Rev DC DC Primary Sorting'!AN8+'Rev Primary (FSM Rejections)'!AN8+'Rev Secondary Sorting'!AN8+'VIA Bag Sorting'!AN8</f>
        <v/>
      </c>
      <c r="AO8" s="7">
        <f>'BBB'!AO8+'Bag Staging'!AO8+'Bag Staging Volumetric'!AO8+'FWD FSM'!AO8+'FWD Manual Pre Primary'!AO8+'FWD Manual Primary'!AO8+'FWD Primary with Scan'!AO8+'FWD Secondary'!AO8+'FWD Volumetric'!AO8+'IB'!AO8+'IB Volumetric'!AO8+'OB'!AO8+'OB Volumetric'!AO8+'OSC Bag Sorting'!AO8+'OSC Bag Sorting Volumetric'!AO8+'REV FSM'!AO8+'Rejection Primary with Scan'!AO8+'Rejection Secondary'!AO8+'Rev DC DC Primary Sorting'!AO8+'Rev Primary (FSM Rejections)'!AO8+'Rev Secondary Sorting'!AO8+'VIA Bag Sorting'!AO8</f>
        <v/>
      </c>
      <c r="AP8" s="7">
        <f>'BBB'!AP8+'Bag Staging'!AP8+'Bag Staging Volumetric'!AP8+'FWD FSM'!AP8+'FWD Manual Pre Primary'!AP8+'FWD Manual Primary'!AP8+'FWD Primary with Scan'!AP8+'FWD Secondary'!AP8+'FWD Volumetric'!AP8+'IB'!AP8+'IB Volumetric'!AP8+'OB'!AP8+'OB Volumetric'!AP8+'OSC Bag Sorting'!AP8+'OSC Bag Sorting Volumetric'!AP8+'REV FSM'!AP8+'Rejection Primary with Scan'!AP8+'Rejection Secondary'!AP8+'Rev DC DC Primary Sorting'!AP8+'Rev Primary (FSM Rejections)'!AP8+'Rev Secondary Sorting'!AP8+'VIA Bag Sorting'!AP8</f>
        <v/>
      </c>
      <c r="AQ8" s="7">
        <f>'BBB'!AQ8+'Bag Staging'!AQ8+'Bag Staging Volumetric'!AQ8+'FWD FSM'!AQ8+'FWD Manual Pre Primary'!AQ8+'FWD Manual Primary'!AQ8+'FWD Primary with Scan'!AQ8+'FWD Secondary'!AQ8+'FWD Volumetric'!AQ8+'IB'!AQ8+'IB Volumetric'!AQ8+'OB'!AQ8+'OB Volumetric'!AQ8+'OSC Bag Sorting'!AQ8+'OSC Bag Sorting Volumetric'!AQ8+'REV FSM'!AQ8+'Rejection Primary with Scan'!AQ8+'Rejection Secondary'!AQ8+'Rev DC DC Primary Sorting'!AQ8+'Rev Primary (FSM Rejections)'!AQ8+'Rev Secondary Sorting'!AQ8+'VIA Bag Sorting'!AQ8</f>
        <v/>
      </c>
      <c r="AR8" s="7">
        <f>'BBB'!AR8+'Bag Staging'!AR8+'Bag Staging Volumetric'!AR8+'FWD FSM'!AR8+'FWD Manual Pre Primary'!AR8+'FWD Manual Primary'!AR8+'FWD Primary with Scan'!AR8+'FWD Secondary'!AR8+'FWD Volumetric'!AR8+'IB'!AR8+'IB Volumetric'!AR8+'OB'!AR8+'OB Volumetric'!AR8+'OSC Bag Sorting'!AR8+'OSC Bag Sorting Volumetric'!AR8+'REV FSM'!AR8+'Rejection Primary with Scan'!AR8+'Rejection Secondary'!AR8+'Rev DC DC Primary Sorting'!AR8+'Rev Primary (FSM Rejections)'!AR8+'Rev Secondary Sorting'!AR8+'VIA Bag Sorting'!AR8</f>
        <v/>
      </c>
      <c r="AS8" s="7">
        <f>'BBB'!AS8+'Bag Staging'!AS8+'Bag Staging Volumetric'!AS8+'FWD FSM'!AS8+'FWD Manual Pre Primary'!AS8+'FWD Manual Primary'!AS8+'FWD Primary with Scan'!AS8+'FWD Secondary'!AS8+'FWD Volumetric'!AS8+'IB'!AS8+'IB Volumetric'!AS8+'OB'!AS8+'OB Volumetric'!AS8+'OSC Bag Sorting'!AS8+'OSC Bag Sorting Volumetric'!AS8+'REV FSM'!AS8+'Rejection Primary with Scan'!AS8+'Rejection Secondary'!AS8+'Rev DC DC Primary Sorting'!AS8+'Rev Primary (FSM Rejections)'!AS8+'Rev Secondary Sorting'!AS8+'VIA Bag Sorting'!AS8</f>
        <v/>
      </c>
      <c r="AT8" s="7">
        <f>'BBB'!AT8+'Bag Staging'!AT8+'Bag Staging Volumetric'!AT8+'FWD FSM'!AT8+'FWD Manual Pre Primary'!AT8+'FWD Manual Primary'!AT8+'FWD Primary with Scan'!AT8+'FWD Secondary'!AT8+'FWD Volumetric'!AT8+'IB'!AT8+'IB Volumetric'!AT8+'OB'!AT8+'OB Volumetric'!AT8+'OSC Bag Sorting'!AT8+'OSC Bag Sorting Volumetric'!AT8+'REV FSM'!AT8+'Rejection Primary with Scan'!AT8+'Rejection Secondary'!AT8+'Rev DC DC Primary Sorting'!AT8+'Rev Primary (FSM Rejections)'!AT8+'Rev Secondary Sorting'!AT8+'VIA Bag Sorting'!AT8</f>
        <v/>
      </c>
      <c r="AU8" s="7">
        <f>'BBB'!AU8+'Bag Staging'!AU8+'Bag Staging Volumetric'!AU8+'FWD FSM'!AU8+'FWD Manual Pre Primary'!AU8+'FWD Manual Primary'!AU8+'FWD Primary with Scan'!AU8+'FWD Secondary'!AU8+'FWD Volumetric'!AU8+'IB'!AU8+'IB Volumetric'!AU8+'OB'!AU8+'OB Volumetric'!AU8+'OSC Bag Sorting'!AU8+'OSC Bag Sorting Volumetric'!AU8+'REV FSM'!AU8+'Rejection Primary with Scan'!AU8+'Rejection Secondary'!AU8+'Rev DC DC Primary Sorting'!AU8+'Rev Primary (FSM Rejections)'!AU8+'Rev Secondary Sorting'!AU8+'VIA Bag Sorting'!AU8</f>
        <v/>
      </c>
      <c r="AV8" s="7">
        <f>'BBB'!AV8+'Bag Staging'!AV8+'Bag Staging Volumetric'!AV8+'FWD FSM'!AV8+'FWD Manual Pre Primary'!AV8+'FWD Manual Primary'!AV8+'FWD Primary with Scan'!AV8+'FWD Secondary'!AV8+'FWD Volumetric'!AV8+'IB'!AV8+'IB Volumetric'!AV8+'OB'!AV8+'OB Volumetric'!AV8+'OSC Bag Sorting'!AV8+'OSC Bag Sorting Volumetric'!AV8+'REV FSM'!AV8+'Rejection Primary with Scan'!AV8+'Rejection Secondary'!AV8+'Rev DC DC Primary Sorting'!AV8+'Rev Primary (FSM Rejections)'!AV8+'Rev Secondary Sorting'!AV8+'VIA Bag Sorting'!AV8</f>
        <v/>
      </c>
      <c r="AW8" s="7">
        <f>'BBB'!AW8+'Bag Staging'!AW8+'Bag Staging Volumetric'!AW8+'FWD FSM'!AW8+'FWD Manual Pre Primary'!AW8+'FWD Manual Primary'!AW8+'FWD Primary with Scan'!AW8+'FWD Secondary'!AW8+'FWD Volumetric'!AW8+'IB'!AW8+'IB Volumetric'!AW8+'OB'!AW8+'OB Volumetric'!AW8+'OSC Bag Sorting'!AW8+'OSC Bag Sorting Volumetric'!AW8+'REV FSM'!AW8+'Rejection Primary with Scan'!AW8+'Rejection Secondary'!AW8+'Rev DC DC Primary Sorting'!AW8+'Rev Primary (FSM Rejections)'!AW8+'Rev Secondary Sorting'!AW8+'VIA Bag Sorting'!AW8</f>
        <v/>
      </c>
      <c r="AX8" s="7">
        <f>'BBB'!AX8+'Bag Staging'!AX8+'Bag Staging Volumetric'!AX8+'FWD FSM'!AX8+'FWD Manual Pre Primary'!AX8+'FWD Manual Primary'!AX8+'FWD Primary with Scan'!AX8+'FWD Secondary'!AX8+'FWD Volumetric'!AX8+'IB'!AX8+'IB Volumetric'!AX8+'OB'!AX8+'OB Volumetric'!AX8+'OSC Bag Sorting'!AX8+'OSC Bag Sorting Volumetric'!AX8+'REV FSM'!AX8+'Rejection Primary with Scan'!AX8+'Rejection Secondary'!AX8+'Rev DC DC Primary Sorting'!AX8+'Rev Primary (FSM Rejections)'!AX8+'Rev Secondary Sorting'!AX8+'VIA Bag Sorting'!AX8</f>
        <v/>
      </c>
      <c r="AY8" s="7">
        <f>'BBB'!AY8+'Bag Staging'!AY8+'Bag Staging Volumetric'!AY8+'FWD FSM'!AY8+'FWD Manual Pre Primary'!AY8+'FWD Manual Primary'!AY8+'FWD Primary with Scan'!AY8+'FWD Secondary'!AY8+'FWD Volumetric'!AY8+'IB'!AY8+'IB Volumetric'!AY8+'OB'!AY8+'OB Volumetric'!AY8+'OSC Bag Sorting'!AY8+'OSC Bag Sorting Volumetric'!AY8+'REV FSM'!AY8+'Rejection Primary with Scan'!AY8+'Rejection Secondary'!AY8+'Rev DC DC Primary Sorting'!AY8+'Rev Primary (FSM Rejections)'!AY8+'Rev Secondary Sorting'!AY8+'VIA Bag Sorting'!AY8</f>
        <v/>
      </c>
      <c r="AZ8" s="7">
        <f>'BBB'!AZ8+'Bag Staging'!AZ8+'Bag Staging Volumetric'!AZ8+'FWD FSM'!AZ8+'FWD Manual Pre Primary'!AZ8+'FWD Manual Primary'!AZ8+'FWD Primary with Scan'!AZ8+'FWD Secondary'!AZ8+'FWD Volumetric'!AZ8+'IB'!AZ8+'IB Volumetric'!AZ8+'OB'!AZ8+'OB Volumetric'!AZ8+'OSC Bag Sorting'!AZ8+'OSC Bag Sorting Volumetric'!AZ8+'REV FSM'!AZ8+'Rejection Primary with Scan'!AZ8+'Rejection Secondary'!AZ8+'Rev DC DC Primary Sorting'!AZ8+'Rev Primary (FSM Rejections)'!AZ8+'Rev Secondary Sorting'!AZ8+'VIA Bag Sorting'!AZ8</f>
        <v/>
      </c>
      <c r="BA8" s="7">
        <f>'BBB'!BA8+'Bag Staging'!BA8+'Bag Staging Volumetric'!BA8+'FWD FSM'!BA8+'FWD Manual Pre Primary'!BA8+'FWD Manual Primary'!BA8+'FWD Primary with Scan'!BA8+'FWD Secondary'!BA8+'FWD Volumetric'!BA8+'IB'!BA8+'IB Volumetric'!BA8+'OB'!BA8+'OB Volumetric'!BA8+'OSC Bag Sorting'!BA8+'OSC Bag Sorting Volumetric'!BA8+'REV FSM'!BA8+'Rejection Primary with Scan'!BA8+'Rejection Secondary'!BA8+'Rev DC DC Primary Sorting'!BA8+'Rev Primary (FSM Rejections)'!BA8+'Rev Secondary Sorting'!BA8+'VIA Bag Sorting'!BA8</f>
        <v/>
      </c>
      <c r="BB8" s="7">
        <f>SUM(AD8:BA8)</f>
        <v/>
      </c>
    </row>
    <row r="9">
      <c r="A9" t="inlineStr">
        <is>
          <t>AMD-AIR-NEW-SSC</t>
        </is>
      </c>
      <c r="B9" t="inlineStr">
        <is>
          <t>Forward Regular OSC</t>
        </is>
      </c>
      <c r="C9" s="5" t="n">
        <v>46103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191</v>
      </c>
      <c r="S9" s="6" t="n">
        <v>0</v>
      </c>
      <c r="T9" s="6" t="n">
        <v>9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>
        <f>SUM(D9:AA9)</f>
        <v/>
      </c>
      <c r="AC9" s="3" t="inlineStr"/>
      <c r="AD9" s="7">
        <f>'BBB'!AD9+'Bag Staging'!AD9+'Bag Staging Volumetric'!AD9+'FWD FSM'!AD9+'FWD Manual Pre Primary'!AD9+'FWD Manual Primary'!AD9+'FWD Primary with Scan'!AD9+'FWD Secondary'!AD9+'FWD Volumetric'!AD9+'IB'!AD9+'IB Volumetric'!AD9+'OB'!AD9+'OB Volumetric'!AD9+'OSC Bag Sorting'!AD9+'OSC Bag Sorting Volumetric'!AD9+'REV FSM'!AD9+'Rejection Primary with Scan'!AD9+'Rejection Secondary'!AD9+'Rev DC DC Primary Sorting'!AD9+'Rev Primary (FSM Rejections)'!AD9+'Rev Secondary Sorting'!AD9+'VIA Bag Sorting'!AD9</f>
        <v/>
      </c>
      <c r="AE9" s="7">
        <f>'BBB'!AE9+'Bag Staging'!AE9+'Bag Staging Volumetric'!AE9+'FWD FSM'!AE9+'FWD Manual Pre Primary'!AE9+'FWD Manual Primary'!AE9+'FWD Primary with Scan'!AE9+'FWD Secondary'!AE9+'FWD Volumetric'!AE9+'IB'!AE9+'IB Volumetric'!AE9+'OB'!AE9+'OB Volumetric'!AE9+'OSC Bag Sorting'!AE9+'OSC Bag Sorting Volumetric'!AE9+'REV FSM'!AE9+'Rejection Primary with Scan'!AE9+'Rejection Secondary'!AE9+'Rev DC DC Primary Sorting'!AE9+'Rev Primary (FSM Rejections)'!AE9+'Rev Secondary Sorting'!AE9+'VIA Bag Sorting'!AE9</f>
        <v/>
      </c>
      <c r="AF9" s="7">
        <f>'BBB'!AF9+'Bag Staging'!AF9+'Bag Staging Volumetric'!AF9+'FWD FSM'!AF9+'FWD Manual Pre Primary'!AF9+'FWD Manual Primary'!AF9+'FWD Primary with Scan'!AF9+'FWD Secondary'!AF9+'FWD Volumetric'!AF9+'IB'!AF9+'IB Volumetric'!AF9+'OB'!AF9+'OB Volumetric'!AF9+'OSC Bag Sorting'!AF9+'OSC Bag Sorting Volumetric'!AF9+'REV FSM'!AF9+'Rejection Primary with Scan'!AF9+'Rejection Secondary'!AF9+'Rev DC DC Primary Sorting'!AF9+'Rev Primary (FSM Rejections)'!AF9+'Rev Secondary Sorting'!AF9+'VIA Bag Sorting'!AF9</f>
        <v/>
      </c>
      <c r="AG9" s="7">
        <f>'BBB'!AG9+'Bag Staging'!AG9+'Bag Staging Volumetric'!AG9+'FWD FSM'!AG9+'FWD Manual Pre Primary'!AG9+'FWD Manual Primary'!AG9+'FWD Primary with Scan'!AG9+'FWD Secondary'!AG9+'FWD Volumetric'!AG9+'IB'!AG9+'IB Volumetric'!AG9+'OB'!AG9+'OB Volumetric'!AG9+'OSC Bag Sorting'!AG9+'OSC Bag Sorting Volumetric'!AG9+'REV FSM'!AG9+'Rejection Primary with Scan'!AG9+'Rejection Secondary'!AG9+'Rev DC DC Primary Sorting'!AG9+'Rev Primary (FSM Rejections)'!AG9+'Rev Secondary Sorting'!AG9+'VIA Bag Sorting'!AG9</f>
        <v/>
      </c>
      <c r="AH9" s="7">
        <f>'BBB'!AH9+'Bag Staging'!AH9+'Bag Staging Volumetric'!AH9+'FWD FSM'!AH9+'FWD Manual Pre Primary'!AH9+'FWD Manual Primary'!AH9+'FWD Primary with Scan'!AH9+'FWD Secondary'!AH9+'FWD Volumetric'!AH9+'IB'!AH9+'IB Volumetric'!AH9+'OB'!AH9+'OB Volumetric'!AH9+'OSC Bag Sorting'!AH9+'OSC Bag Sorting Volumetric'!AH9+'REV FSM'!AH9+'Rejection Primary with Scan'!AH9+'Rejection Secondary'!AH9+'Rev DC DC Primary Sorting'!AH9+'Rev Primary (FSM Rejections)'!AH9+'Rev Secondary Sorting'!AH9+'VIA Bag Sorting'!AH9</f>
        <v/>
      </c>
      <c r="AI9" s="7">
        <f>'BBB'!AI9+'Bag Staging'!AI9+'Bag Staging Volumetric'!AI9+'FWD FSM'!AI9+'FWD Manual Pre Primary'!AI9+'FWD Manual Primary'!AI9+'FWD Primary with Scan'!AI9+'FWD Secondary'!AI9+'FWD Volumetric'!AI9+'IB'!AI9+'IB Volumetric'!AI9+'OB'!AI9+'OB Volumetric'!AI9+'OSC Bag Sorting'!AI9+'OSC Bag Sorting Volumetric'!AI9+'REV FSM'!AI9+'Rejection Primary with Scan'!AI9+'Rejection Secondary'!AI9+'Rev DC DC Primary Sorting'!AI9+'Rev Primary (FSM Rejections)'!AI9+'Rev Secondary Sorting'!AI9+'VIA Bag Sorting'!AI9</f>
        <v/>
      </c>
      <c r="AJ9" s="7">
        <f>'BBB'!AJ9+'Bag Staging'!AJ9+'Bag Staging Volumetric'!AJ9+'FWD FSM'!AJ9+'FWD Manual Pre Primary'!AJ9+'FWD Manual Primary'!AJ9+'FWD Primary with Scan'!AJ9+'FWD Secondary'!AJ9+'FWD Volumetric'!AJ9+'IB'!AJ9+'IB Volumetric'!AJ9+'OB'!AJ9+'OB Volumetric'!AJ9+'OSC Bag Sorting'!AJ9+'OSC Bag Sorting Volumetric'!AJ9+'REV FSM'!AJ9+'Rejection Primary with Scan'!AJ9+'Rejection Secondary'!AJ9+'Rev DC DC Primary Sorting'!AJ9+'Rev Primary (FSM Rejections)'!AJ9+'Rev Secondary Sorting'!AJ9+'VIA Bag Sorting'!AJ9</f>
        <v/>
      </c>
      <c r="AK9" s="7">
        <f>'BBB'!AK9+'Bag Staging'!AK9+'Bag Staging Volumetric'!AK9+'FWD FSM'!AK9+'FWD Manual Pre Primary'!AK9+'FWD Manual Primary'!AK9+'FWD Primary with Scan'!AK9+'FWD Secondary'!AK9+'FWD Volumetric'!AK9+'IB'!AK9+'IB Volumetric'!AK9+'OB'!AK9+'OB Volumetric'!AK9+'OSC Bag Sorting'!AK9+'OSC Bag Sorting Volumetric'!AK9+'REV FSM'!AK9+'Rejection Primary with Scan'!AK9+'Rejection Secondary'!AK9+'Rev DC DC Primary Sorting'!AK9+'Rev Primary (FSM Rejections)'!AK9+'Rev Secondary Sorting'!AK9+'VIA Bag Sorting'!AK9</f>
        <v/>
      </c>
      <c r="AL9" s="7">
        <f>'BBB'!AL9+'Bag Staging'!AL9+'Bag Staging Volumetric'!AL9+'FWD FSM'!AL9+'FWD Manual Pre Primary'!AL9+'FWD Manual Primary'!AL9+'FWD Primary with Scan'!AL9+'FWD Secondary'!AL9+'FWD Volumetric'!AL9+'IB'!AL9+'IB Volumetric'!AL9+'OB'!AL9+'OB Volumetric'!AL9+'OSC Bag Sorting'!AL9+'OSC Bag Sorting Volumetric'!AL9+'REV FSM'!AL9+'Rejection Primary with Scan'!AL9+'Rejection Secondary'!AL9+'Rev DC DC Primary Sorting'!AL9+'Rev Primary (FSM Rejections)'!AL9+'Rev Secondary Sorting'!AL9+'VIA Bag Sorting'!AL9</f>
        <v/>
      </c>
      <c r="AM9" s="7">
        <f>'BBB'!AM9+'Bag Staging'!AM9+'Bag Staging Volumetric'!AM9+'FWD FSM'!AM9+'FWD Manual Pre Primary'!AM9+'FWD Manual Primary'!AM9+'FWD Primary with Scan'!AM9+'FWD Secondary'!AM9+'FWD Volumetric'!AM9+'IB'!AM9+'IB Volumetric'!AM9+'OB'!AM9+'OB Volumetric'!AM9+'OSC Bag Sorting'!AM9+'OSC Bag Sorting Volumetric'!AM9+'REV FSM'!AM9+'Rejection Primary with Scan'!AM9+'Rejection Secondary'!AM9+'Rev DC DC Primary Sorting'!AM9+'Rev Primary (FSM Rejections)'!AM9+'Rev Secondary Sorting'!AM9+'VIA Bag Sorting'!AM9</f>
        <v/>
      </c>
      <c r="AN9" s="7">
        <f>'BBB'!AN9+'Bag Staging'!AN9+'Bag Staging Volumetric'!AN9+'FWD FSM'!AN9+'FWD Manual Pre Primary'!AN9+'FWD Manual Primary'!AN9+'FWD Primary with Scan'!AN9+'FWD Secondary'!AN9+'FWD Volumetric'!AN9+'IB'!AN9+'IB Volumetric'!AN9+'OB'!AN9+'OB Volumetric'!AN9+'OSC Bag Sorting'!AN9+'OSC Bag Sorting Volumetric'!AN9+'REV FSM'!AN9+'Rejection Primary with Scan'!AN9+'Rejection Secondary'!AN9+'Rev DC DC Primary Sorting'!AN9+'Rev Primary (FSM Rejections)'!AN9+'Rev Secondary Sorting'!AN9+'VIA Bag Sorting'!AN9</f>
        <v/>
      </c>
      <c r="AO9" s="7">
        <f>'BBB'!AO9+'Bag Staging'!AO9+'Bag Staging Volumetric'!AO9+'FWD FSM'!AO9+'FWD Manual Pre Primary'!AO9+'FWD Manual Primary'!AO9+'FWD Primary with Scan'!AO9+'FWD Secondary'!AO9+'FWD Volumetric'!AO9+'IB'!AO9+'IB Volumetric'!AO9+'OB'!AO9+'OB Volumetric'!AO9+'OSC Bag Sorting'!AO9+'OSC Bag Sorting Volumetric'!AO9+'REV FSM'!AO9+'Rejection Primary with Scan'!AO9+'Rejection Secondary'!AO9+'Rev DC DC Primary Sorting'!AO9+'Rev Primary (FSM Rejections)'!AO9+'Rev Secondary Sorting'!AO9+'VIA Bag Sorting'!AO9</f>
        <v/>
      </c>
      <c r="AP9" s="7">
        <f>'BBB'!AP9+'Bag Staging'!AP9+'Bag Staging Volumetric'!AP9+'FWD FSM'!AP9+'FWD Manual Pre Primary'!AP9+'FWD Manual Primary'!AP9+'FWD Primary with Scan'!AP9+'FWD Secondary'!AP9+'FWD Volumetric'!AP9+'IB'!AP9+'IB Volumetric'!AP9+'OB'!AP9+'OB Volumetric'!AP9+'OSC Bag Sorting'!AP9+'OSC Bag Sorting Volumetric'!AP9+'REV FSM'!AP9+'Rejection Primary with Scan'!AP9+'Rejection Secondary'!AP9+'Rev DC DC Primary Sorting'!AP9+'Rev Primary (FSM Rejections)'!AP9+'Rev Secondary Sorting'!AP9+'VIA Bag Sorting'!AP9</f>
        <v/>
      </c>
      <c r="AQ9" s="7">
        <f>'BBB'!AQ9+'Bag Staging'!AQ9+'Bag Staging Volumetric'!AQ9+'FWD FSM'!AQ9+'FWD Manual Pre Primary'!AQ9+'FWD Manual Primary'!AQ9+'FWD Primary with Scan'!AQ9+'FWD Secondary'!AQ9+'FWD Volumetric'!AQ9+'IB'!AQ9+'IB Volumetric'!AQ9+'OB'!AQ9+'OB Volumetric'!AQ9+'OSC Bag Sorting'!AQ9+'OSC Bag Sorting Volumetric'!AQ9+'REV FSM'!AQ9+'Rejection Primary with Scan'!AQ9+'Rejection Secondary'!AQ9+'Rev DC DC Primary Sorting'!AQ9+'Rev Primary (FSM Rejections)'!AQ9+'Rev Secondary Sorting'!AQ9+'VIA Bag Sorting'!AQ9</f>
        <v/>
      </c>
      <c r="AR9" s="7">
        <f>'BBB'!AR9+'Bag Staging'!AR9+'Bag Staging Volumetric'!AR9+'FWD FSM'!AR9+'FWD Manual Pre Primary'!AR9+'FWD Manual Primary'!AR9+'FWD Primary with Scan'!AR9+'FWD Secondary'!AR9+'FWD Volumetric'!AR9+'IB'!AR9+'IB Volumetric'!AR9+'OB'!AR9+'OB Volumetric'!AR9+'OSC Bag Sorting'!AR9+'OSC Bag Sorting Volumetric'!AR9+'REV FSM'!AR9+'Rejection Primary with Scan'!AR9+'Rejection Secondary'!AR9+'Rev DC DC Primary Sorting'!AR9+'Rev Primary (FSM Rejections)'!AR9+'Rev Secondary Sorting'!AR9+'VIA Bag Sorting'!AR9</f>
        <v/>
      </c>
      <c r="AS9" s="7">
        <f>'BBB'!AS9+'Bag Staging'!AS9+'Bag Staging Volumetric'!AS9+'FWD FSM'!AS9+'FWD Manual Pre Primary'!AS9+'FWD Manual Primary'!AS9+'FWD Primary with Scan'!AS9+'FWD Secondary'!AS9+'FWD Volumetric'!AS9+'IB'!AS9+'IB Volumetric'!AS9+'OB'!AS9+'OB Volumetric'!AS9+'OSC Bag Sorting'!AS9+'OSC Bag Sorting Volumetric'!AS9+'REV FSM'!AS9+'Rejection Primary with Scan'!AS9+'Rejection Secondary'!AS9+'Rev DC DC Primary Sorting'!AS9+'Rev Primary (FSM Rejections)'!AS9+'Rev Secondary Sorting'!AS9+'VIA Bag Sorting'!AS9</f>
        <v/>
      </c>
      <c r="AT9" s="7">
        <f>'BBB'!AT9+'Bag Staging'!AT9+'Bag Staging Volumetric'!AT9+'FWD FSM'!AT9+'FWD Manual Pre Primary'!AT9+'FWD Manual Primary'!AT9+'FWD Primary with Scan'!AT9+'FWD Secondary'!AT9+'FWD Volumetric'!AT9+'IB'!AT9+'IB Volumetric'!AT9+'OB'!AT9+'OB Volumetric'!AT9+'OSC Bag Sorting'!AT9+'OSC Bag Sorting Volumetric'!AT9+'REV FSM'!AT9+'Rejection Primary with Scan'!AT9+'Rejection Secondary'!AT9+'Rev DC DC Primary Sorting'!AT9+'Rev Primary (FSM Rejections)'!AT9+'Rev Secondary Sorting'!AT9+'VIA Bag Sorting'!AT9</f>
        <v/>
      </c>
      <c r="AU9" s="7">
        <f>'BBB'!AU9+'Bag Staging'!AU9+'Bag Staging Volumetric'!AU9+'FWD FSM'!AU9+'FWD Manual Pre Primary'!AU9+'FWD Manual Primary'!AU9+'FWD Primary with Scan'!AU9+'FWD Secondary'!AU9+'FWD Volumetric'!AU9+'IB'!AU9+'IB Volumetric'!AU9+'OB'!AU9+'OB Volumetric'!AU9+'OSC Bag Sorting'!AU9+'OSC Bag Sorting Volumetric'!AU9+'REV FSM'!AU9+'Rejection Primary with Scan'!AU9+'Rejection Secondary'!AU9+'Rev DC DC Primary Sorting'!AU9+'Rev Primary (FSM Rejections)'!AU9+'Rev Secondary Sorting'!AU9+'VIA Bag Sorting'!AU9</f>
        <v/>
      </c>
      <c r="AV9" s="7">
        <f>'BBB'!AV9+'Bag Staging'!AV9+'Bag Staging Volumetric'!AV9+'FWD FSM'!AV9+'FWD Manual Pre Primary'!AV9+'FWD Manual Primary'!AV9+'FWD Primary with Scan'!AV9+'FWD Secondary'!AV9+'FWD Volumetric'!AV9+'IB'!AV9+'IB Volumetric'!AV9+'OB'!AV9+'OB Volumetric'!AV9+'OSC Bag Sorting'!AV9+'OSC Bag Sorting Volumetric'!AV9+'REV FSM'!AV9+'Rejection Primary with Scan'!AV9+'Rejection Secondary'!AV9+'Rev DC DC Primary Sorting'!AV9+'Rev Primary (FSM Rejections)'!AV9+'Rev Secondary Sorting'!AV9+'VIA Bag Sorting'!AV9</f>
        <v/>
      </c>
      <c r="AW9" s="7">
        <f>'BBB'!AW9+'Bag Staging'!AW9+'Bag Staging Volumetric'!AW9+'FWD FSM'!AW9+'FWD Manual Pre Primary'!AW9+'FWD Manual Primary'!AW9+'FWD Primary with Scan'!AW9+'FWD Secondary'!AW9+'FWD Volumetric'!AW9+'IB'!AW9+'IB Volumetric'!AW9+'OB'!AW9+'OB Volumetric'!AW9+'OSC Bag Sorting'!AW9+'OSC Bag Sorting Volumetric'!AW9+'REV FSM'!AW9+'Rejection Primary with Scan'!AW9+'Rejection Secondary'!AW9+'Rev DC DC Primary Sorting'!AW9+'Rev Primary (FSM Rejections)'!AW9+'Rev Secondary Sorting'!AW9+'VIA Bag Sorting'!AW9</f>
        <v/>
      </c>
      <c r="AX9" s="7">
        <f>'BBB'!AX9+'Bag Staging'!AX9+'Bag Staging Volumetric'!AX9+'FWD FSM'!AX9+'FWD Manual Pre Primary'!AX9+'FWD Manual Primary'!AX9+'FWD Primary with Scan'!AX9+'FWD Secondary'!AX9+'FWD Volumetric'!AX9+'IB'!AX9+'IB Volumetric'!AX9+'OB'!AX9+'OB Volumetric'!AX9+'OSC Bag Sorting'!AX9+'OSC Bag Sorting Volumetric'!AX9+'REV FSM'!AX9+'Rejection Primary with Scan'!AX9+'Rejection Secondary'!AX9+'Rev DC DC Primary Sorting'!AX9+'Rev Primary (FSM Rejections)'!AX9+'Rev Secondary Sorting'!AX9+'VIA Bag Sorting'!AX9</f>
        <v/>
      </c>
      <c r="AY9" s="7">
        <f>'BBB'!AY9+'Bag Staging'!AY9+'Bag Staging Volumetric'!AY9+'FWD FSM'!AY9+'FWD Manual Pre Primary'!AY9+'FWD Manual Primary'!AY9+'FWD Primary with Scan'!AY9+'FWD Secondary'!AY9+'FWD Volumetric'!AY9+'IB'!AY9+'IB Volumetric'!AY9+'OB'!AY9+'OB Volumetric'!AY9+'OSC Bag Sorting'!AY9+'OSC Bag Sorting Volumetric'!AY9+'REV FSM'!AY9+'Rejection Primary with Scan'!AY9+'Rejection Secondary'!AY9+'Rev DC DC Primary Sorting'!AY9+'Rev Primary (FSM Rejections)'!AY9+'Rev Secondary Sorting'!AY9+'VIA Bag Sorting'!AY9</f>
        <v/>
      </c>
      <c r="AZ9" s="7">
        <f>'BBB'!AZ9+'Bag Staging'!AZ9+'Bag Staging Volumetric'!AZ9+'FWD FSM'!AZ9+'FWD Manual Pre Primary'!AZ9+'FWD Manual Primary'!AZ9+'FWD Primary with Scan'!AZ9+'FWD Secondary'!AZ9+'FWD Volumetric'!AZ9+'IB'!AZ9+'IB Volumetric'!AZ9+'OB'!AZ9+'OB Volumetric'!AZ9+'OSC Bag Sorting'!AZ9+'OSC Bag Sorting Volumetric'!AZ9+'REV FSM'!AZ9+'Rejection Primary with Scan'!AZ9+'Rejection Secondary'!AZ9+'Rev DC DC Primary Sorting'!AZ9+'Rev Primary (FSM Rejections)'!AZ9+'Rev Secondary Sorting'!AZ9+'VIA Bag Sorting'!AZ9</f>
        <v/>
      </c>
      <c r="BA9" s="7">
        <f>'BBB'!BA9+'Bag Staging'!BA9+'Bag Staging Volumetric'!BA9+'FWD FSM'!BA9+'FWD Manual Pre Primary'!BA9+'FWD Manual Primary'!BA9+'FWD Primary with Scan'!BA9+'FWD Secondary'!BA9+'FWD Volumetric'!BA9+'IB'!BA9+'IB Volumetric'!BA9+'OB'!BA9+'OB Volumetric'!BA9+'OSC Bag Sorting'!BA9+'OSC Bag Sorting Volumetric'!BA9+'REV FSM'!BA9+'Rejection Primary with Scan'!BA9+'Rejection Secondary'!BA9+'Rev DC DC Primary Sorting'!BA9+'Rev Primary (FSM Rejections)'!BA9+'Rev Secondary Sorting'!BA9+'VIA Bag Sorting'!BA9</f>
        <v/>
      </c>
      <c r="BB9" s="7">
        <f>SUM(AD9:BA9)</f>
        <v/>
      </c>
    </row>
    <row r="10">
      <c r="A10" t="inlineStr">
        <is>
          <t>AMD-AIR-NEW-SSC</t>
        </is>
      </c>
      <c r="B10" t="inlineStr">
        <is>
          <t>Forward Regular OSC</t>
        </is>
      </c>
      <c r="C10" s="5" t="n">
        <v>46104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212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>
        <f>SUM(D10:AA10)</f>
        <v/>
      </c>
      <c r="AC10" s="3" t="inlineStr"/>
      <c r="AD10" s="7">
        <f>'BBB'!AD10+'Bag Staging'!AD10+'Bag Staging Volumetric'!AD10+'FWD FSM'!AD10+'FWD Manual Pre Primary'!AD10+'FWD Manual Primary'!AD10+'FWD Primary with Scan'!AD10+'FWD Secondary'!AD10+'FWD Volumetric'!AD10+'IB'!AD10+'IB Volumetric'!AD10+'OB'!AD10+'OB Volumetric'!AD10+'OSC Bag Sorting'!AD10+'OSC Bag Sorting Volumetric'!AD10+'REV FSM'!AD10+'Rejection Primary with Scan'!AD10+'Rejection Secondary'!AD10+'Rev DC DC Primary Sorting'!AD10+'Rev Primary (FSM Rejections)'!AD10+'Rev Secondary Sorting'!AD10+'VIA Bag Sorting'!AD10</f>
        <v/>
      </c>
      <c r="AE10" s="7">
        <f>'BBB'!AE10+'Bag Staging'!AE10+'Bag Staging Volumetric'!AE10+'FWD FSM'!AE10+'FWD Manual Pre Primary'!AE10+'FWD Manual Primary'!AE10+'FWD Primary with Scan'!AE10+'FWD Secondary'!AE10+'FWD Volumetric'!AE10+'IB'!AE10+'IB Volumetric'!AE10+'OB'!AE10+'OB Volumetric'!AE10+'OSC Bag Sorting'!AE10+'OSC Bag Sorting Volumetric'!AE10+'REV FSM'!AE10+'Rejection Primary with Scan'!AE10+'Rejection Secondary'!AE10+'Rev DC DC Primary Sorting'!AE10+'Rev Primary (FSM Rejections)'!AE10+'Rev Secondary Sorting'!AE10+'VIA Bag Sorting'!AE10</f>
        <v/>
      </c>
      <c r="AF10" s="7">
        <f>'BBB'!AF10+'Bag Staging'!AF10+'Bag Staging Volumetric'!AF10+'FWD FSM'!AF10+'FWD Manual Pre Primary'!AF10+'FWD Manual Primary'!AF10+'FWD Primary with Scan'!AF10+'FWD Secondary'!AF10+'FWD Volumetric'!AF10+'IB'!AF10+'IB Volumetric'!AF10+'OB'!AF10+'OB Volumetric'!AF10+'OSC Bag Sorting'!AF10+'OSC Bag Sorting Volumetric'!AF10+'REV FSM'!AF10+'Rejection Primary with Scan'!AF10+'Rejection Secondary'!AF10+'Rev DC DC Primary Sorting'!AF10+'Rev Primary (FSM Rejections)'!AF10+'Rev Secondary Sorting'!AF10+'VIA Bag Sorting'!AF10</f>
        <v/>
      </c>
      <c r="AG10" s="7">
        <f>'BBB'!AG10+'Bag Staging'!AG10+'Bag Staging Volumetric'!AG10+'FWD FSM'!AG10+'FWD Manual Pre Primary'!AG10+'FWD Manual Primary'!AG10+'FWD Primary with Scan'!AG10+'FWD Secondary'!AG10+'FWD Volumetric'!AG10+'IB'!AG10+'IB Volumetric'!AG10+'OB'!AG10+'OB Volumetric'!AG10+'OSC Bag Sorting'!AG10+'OSC Bag Sorting Volumetric'!AG10+'REV FSM'!AG10+'Rejection Primary with Scan'!AG10+'Rejection Secondary'!AG10+'Rev DC DC Primary Sorting'!AG10+'Rev Primary (FSM Rejections)'!AG10+'Rev Secondary Sorting'!AG10+'VIA Bag Sorting'!AG10</f>
        <v/>
      </c>
      <c r="AH10" s="7">
        <f>'BBB'!AH10+'Bag Staging'!AH10+'Bag Staging Volumetric'!AH10+'FWD FSM'!AH10+'FWD Manual Pre Primary'!AH10+'FWD Manual Primary'!AH10+'FWD Primary with Scan'!AH10+'FWD Secondary'!AH10+'FWD Volumetric'!AH10+'IB'!AH10+'IB Volumetric'!AH10+'OB'!AH10+'OB Volumetric'!AH10+'OSC Bag Sorting'!AH10+'OSC Bag Sorting Volumetric'!AH10+'REV FSM'!AH10+'Rejection Primary with Scan'!AH10+'Rejection Secondary'!AH10+'Rev DC DC Primary Sorting'!AH10+'Rev Primary (FSM Rejections)'!AH10+'Rev Secondary Sorting'!AH10+'VIA Bag Sorting'!AH10</f>
        <v/>
      </c>
      <c r="AI10" s="7">
        <f>'BBB'!AI10+'Bag Staging'!AI10+'Bag Staging Volumetric'!AI10+'FWD FSM'!AI10+'FWD Manual Pre Primary'!AI10+'FWD Manual Primary'!AI10+'FWD Primary with Scan'!AI10+'FWD Secondary'!AI10+'FWD Volumetric'!AI10+'IB'!AI10+'IB Volumetric'!AI10+'OB'!AI10+'OB Volumetric'!AI10+'OSC Bag Sorting'!AI10+'OSC Bag Sorting Volumetric'!AI10+'REV FSM'!AI10+'Rejection Primary with Scan'!AI10+'Rejection Secondary'!AI10+'Rev DC DC Primary Sorting'!AI10+'Rev Primary (FSM Rejections)'!AI10+'Rev Secondary Sorting'!AI10+'VIA Bag Sorting'!AI10</f>
        <v/>
      </c>
      <c r="AJ10" s="7">
        <f>'BBB'!AJ10+'Bag Staging'!AJ10+'Bag Staging Volumetric'!AJ10+'FWD FSM'!AJ10+'FWD Manual Pre Primary'!AJ10+'FWD Manual Primary'!AJ10+'FWD Primary with Scan'!AJ10+'FWD Secondary'!AJ10+'FWD Volumetric'!AJ10+'IB'!AJ10+'IB Volumetric'!AJ10+'OB'!AJ10+'OB Volumetric'!AJ10+'OSC Bag Sorting'!AJ10+'OSC Bag Sorting Volumetric'!AJ10+'REV FSM'!AJ10+'Rejection Primary with Scan'!AJ10+'Rejection Secondary'!AJ10+'Rev DC DC Primary Sorting'!AJ10+'Rev Primary (FSM Rejections)'!AJ10+'Rev Secondary Sorting'!AJ10+'VIA Bag Sorting'!AJ10</f>
        <v/>
      </c>
      <c r="AK10" s="7">
        <f>'BBB'!AK10+'Bag Staging'!AK10+'Bag Staging Volumetric'!AK10+'FWD FSM'!AK10+'FWD Manual Pre Primary'!AK10+'FWD Manual Primary'!AK10+'FWD Primary with Scan'!AK10+'FWD Secondary'!AK10+'FWD Volumetric'!AK10+'IB'!AK10+'IB Volumetric'!AK10+'OB'!AK10+'OB Volumetric'!AK10+'OSC Bag Sorting'!AK10+'OSC Bag Sorting Volumetric'!AK10+'REV FSM'!AK10+'Rejection Primary with Scan'!AK10+'Rejection Secondary'!AK10+'Rev DC DC Primary Sorting'!AK10+'Rev Primary (FSM Rejections)'!AK10+'Rev Secondary Sorting'!AK10+'VIA Bag Sorting'!AK10</f>
        <v/>
      </c>
      <c r="AL10" s="7">
        <f>'BBB'!AL10+'Bag Staging'!AL10+'Bag Staging Volumetric'!AL10+'FWD FSM'!AL10+'FWD Manual Pre Primary'!AL10+'FWD Manual Primary'!AL10+'FWD Primary with Scan'!AL10+'FWD Secondary'!AL10+'FWD Volumetric'!AL10+'IB'!AL10+'IB Volumetric'!AL10+'OB'!AL10+'OB Volumetric'!AL10+'OSC Bag Sorting'!AL10+'OSC Bag Sorting Volumetric'!AL10+'REV FSM'!AL10+'Rejection Primary with Scan'!AL10+'Rejection Secondary'!AL10+'Rev DC DC Primary Sorting'!AL10+'Rev Primary (FSM Rejections)'!AL10+'Rev Secondary Sorting'!AL10+'VIA Bag Sorting'!AL10</f>
        <v/>
      </c>
      <c r="AM10" s="7">
        <f>'BBB'!AM10+'Bag Staging'!AM10+'Bag Staging Volumetric'!AM10+'FWD FSM'!AM10+'FWD Manual Pre Primary'!AM10+'FWD Manual Primary'!AM10+'FWD Primary with Scan'!AM10+'FWD Secondary'!AM10+'FWD Volumetric'!AM10+'IB'!AM10+'IB Volumetric'!AM10+'OB'!AM10+'OB Volumetric'!AM10+'OSC Bag Sorting'!AM10+'OSC Bag Sorting Volumetric'!AM10+'REV FSM'!AM10+'Rejection Primary with Scan'!AM10+'Rejection Secondary'!AM10+'Rev DC DC Primary Sorting'!AM10+'Rev Primary (FSM Rejections)'!AM10+'Rev Secondary Sorting'!AM10+'VIA Bag Sorting'!AM10</f>
        <v/>
      </c>
      <c r="AN10" s="7">
        <f>'BBB'!AN10+'Bag Staging'!AN10+'Bag Staging Volumetric'!AN10+'FWD FSM'!AN10+'FWD Manual Pre Primary'!AN10+'FWD Manual Primary'!AN10+'FWD Primary with Scan'!AN10+'FWD Secondary'!AN10+'FWD Volumetric'!AN10+'IB'!AN10+'IB Volumetric'!AN10+'OB'!AN10+'OB Volumetric'!AN10+'OSC Bag Sorting'!AN10+'OSC Bag Sorting Volumetric'!AN10+'REV FSM'!AN10+'Rejection Primary with Scan'!AN10+'Rejection Secondary'!AN10+'Rev DC DC Primary Sorting'!AN10+'Rev Primary (FSM Rejections)'!AN10+'Rev Secondary Sorting'!AN10+'VIA Bag Sorting'!AN10</f>
        <v/>
      </c>
      <c r="AO10" s="7">
        <f>'BBB'!AO10+'Bag Staging'!AO10+'Bag Staging Volumetric'!AO10+'FWD FSM'!AO10+'FWD Manual Pre Primary'!AO10+'FWD Manual Primary'!AO10+'FWD Primary with Scan'!AO10+'FWD Secondary'!AO10+'FWD Volumetric'!AO10+'IB'!AO10+'IB Volumetric'!AO10+'OB'!AO10+'OB Volumetric'!AO10+'OSC Bag Sorting'!AO10+'OSC Bag Sorting Volumetric'!AO10+'REV FSM'!AO10+'Rejection Primary with Scan'!AO10+'Rejection Secondary'!AO10+'Rev DC DC Primary Sorting'!AO10+'Rev Primary (FSM Rejections)'!AO10+'Rev Secondary Sorting'!AO10+'VIA Bag Sorting'!AO10</f>
        <v/>
      </c>
      <c r="AP10" s="7">
        <f>'BBB'!AP10+'Bag Staging'!AP10+'Bag Staging Volumetric'!AP10+'FWD FSM'!AP10+'FWD Manual Pre Primary'!AP10+'FWD Manual Primary'!AP10+'FWD Primary with Scan'!AP10+'FWD Secondary'!AP10+'FWD Volumetric'!AP10+'IB'!AP10+'IB Volumetric'!AP10+'OB'!AP10+'OB Volumetric'!AP10+'OSC Bag Sorting'!AP10+'OSC Bag Sorting Volumetric'!AP10+'REV FSM'!AP10+'Rejection Primary with Scan'!AP10+'Rejection Secondary'!AP10+'Rev DC DC Primary Sorting'!AP10+'Rev Primary (FSM Rejections)'!AP10+'Rev Secondary Sorting'!AP10+'VIA Bag Sorting'!AP10</f>
        <v/>
      </c>
      <c r="AQ10" s="7">
        <f>'BBB'!AQ10+'Bag Staging'!AQ10+'Bag Staging Volumetric'!AQ10+'FWD FSM'!AQ10+'FWD Manual Pre Primary'!AQ10+'FWD Manual Primary'!AQ10+'FWD Primary with Scan'!AQ10+'FWD Secondary'!AQ10+'FWD Volumetric'!AQ10+'IB'!AQ10+'IB Volumetric'!AQ10+'OB'!AQ10+'OB Volumetric'!AQ10+'OSC Bag Sorting'!AQ10+'OSC Bag Sorting Volumetric'!AQ10+'REV FSM'!AQ10+'Rejection Primary with Scan'!AQ10+'Rejection Secondary'!AQ10+'Rev DC DC Primary Sorting'!AQ10+'Rev Primary (FSM Rejections)'!AQ10+'Rev Secondary Sorting'!AQ10+'VIA Bag Sorting'!AQ10</f>
        <v/>
      </c>
      <c r="AR10" s="7">
        <f>'BBB'!AR10+'Bag Staging'!AR10+'Bag Staging Volumetric'!AR10+'FWD FSM'!AR10+'FWD Manual Pre Primary'!AR10+'FWD Manual Primary'!AR10+'FWD Primary with Scan'!AR10+'FWD Secondary'!AR10+'FWD Volumetric'!AR10+'IB'!AR10+'IB Volumetric'!AR10+'OB'!AR10+'OB Volumetric'!AR10+'OSC Bag Sorting'!AR10+'OSC Bag Sorting Volumetric'!AR10+'REV FSM'!AR10+'Rejection Primary with Scan'!AR10+'Rejection Secondary'!AR10+'Rev DC DC Primary Sorting'!AR10+'Rev Primary (FSM Rejections)'!AR10+'Rev Secondary Sorting'!AR10+'VIA Bag Sorting'!AR10</f>
        <v/>
      </c>
      <c r="AS10" s="7">
        <f>'BBB'!AS10+'Bag Staging'!AS10+'Bag Staging Volumetric'!AS10+'FWD FSM'!AS10+'FWD Manual Pre Primary'!AS10+'FWD Manual Primary'!AS10+'FWD Primary with Scan'!AS10+'FWD Secondary'!AS10+'FWD Volumetric'!AS10+'IB'!AS10+'IB Volumetric'!AS10+'OB'!AS10+'OB Volumetric'!AS10+'OSC Bag Sorting'!AS10+'OSC Bag Sorting Volumetric'!AS10+'REV FSM'!AS10+'Rejection Primary with Scan'!AS10+'Rejection Secondary'!AS10+'Rev DC DC Primary Sorting'!AS10+'Rev Primary (FSM Rejections)'!AS10+'Rev Secondary Sorting'!AS10+'VIA Bag Sorting'!AS10</f>
        <v/>
      </c>
      <c r="AT10" s="7">
        <f>'BBB'!AT10+'Bag Staging'!AT10+'Bag Staging Volumetric'!AT10+'FWD FSM'!AT10+'FWD Manual Pre Primary'!AT10+'FWD Manual Primary'!AT10+'FWD Primary with Scan'!AT10+'FWD Secondary'!AT10+'FWD Volumetric'!AT10+'IB'!AT10+'IB Volumetric'!AT10+'OB'!AT10+'OB Volumetric'!AT10+'OSC Bag Sorting'!AT10+'OSC Bag Sorting Volumetric'!AT10+'REV FSM'!AT10+'Rejection Primary with Scan'!AT10+'Rejection Secondary'!AT10+'Rev DC DC Primary Sorting'!AT10+'Rev Primary (FSM Rejections)'!AT10+'Rev Secondary Sorting'!AT10+'VIA Bag Sorting'!AT10</f>
        <v/>
      </c>
      <c r="AU10" s="7">
        <f>'BBB'!AU10+'Bag Staging'!AU10+'Bag Staging Volumetric'!AU10+'FWD FSM'!AU10+'FWD Manual Pre Primary'!AU10+'FWD Manual Primary'!AU10+'FWD Primary with Scan'!AU10+'FWD Secondary'!AU10+'FWD Volumetric'!AU10+'IB'!AU10+'IB Volumetric'!AU10+'OB'!AU10+'OB Volumetric'!AU10+'OSC Bag Sorting'!AU10+'OSC Bag Sorting Volumetric'!AU10+'REV FSM'!AU10+'Rejection Primary with Scan'!AU10+'Rejection Secondary'!AU10+'Rev DC DC Primary Sorting'!AU10+'Rev Primary (FSM Rejections)'!AU10+'Rev Secondary Sorting'!AU10+'VIA Bag Sorting'!AU10</f>
        <v/>
      </c>
      <c r="AV10" s="7">
        <f>'BBB'!AV10+'Bag Staging'!AV10+'Bag Staging Volumetric'!AV10+'FWD FSM'!AV10+'FWD Manual Pre Primary'!AV10+'FWD Manual Primary'!AV10+'FWD Primary with Scan'!AV10+'FWD Secondary'!AV10+'FWD Volumetric'!AV10+'IB'!AV10+'IB Volumetric'!AV10+'OB'!AV10+'OB Volumetric'!AV10+'OSC Bag Sorting'!AV10+'OSC Bag Sorting Volumetric'!AV10+'REV FSM'!AV10+'Rejection Primary with Scan'!AV10+'Rejection Secondary'!AV10+'Rev DC DC Primary Sorting'!AV10+'Rev Primary (FSM Rejections)'!AV10+'Rev Secondary Sorting'!AV10+'VIA Bag Sorting'!AV10</f>
        <v/>
      </c>
      <c r="AW10" s="7">
        <f>'BBB'!AW10+'Bag Staging'!AW10+'Bag Staging Volumetric'!AW10+'FWD FSM'!AW10+'FWD Manual Pre Primary'!AW10+'FWD Manual Primary'!AW10+'FWD Primary with Scan'!AW10+'FWD Secondary'!AW10+'FWD Volumetric'!AW10+'IB'!AW10+'IB Volumetric'!AW10+'OB'!AW10+'OB Volumetric'!AW10+'OSC Bag Sorting'!AW10+'OSC Bag Sorting Volumetric'!AW10+'REV FSM'!AW10+'Rejection Primary with Scan'!AW10+'Rejection Secondary'!AW10+'Rev DC DC Primary Sorting'!AW10+'Rev Primary (FSM Rejections)'!AW10+'Rev Secondary Sorting'!AW10+'VIA Bag Sorting'!AW10</f>
        <v/>
      </c>
      <c r="AX10" s="7">
        <f>'BBB'!AX10+'Bag Staging'!AX10+'Bag Staging Volumetric'!AX10+'FWD FSM'!AX10+'FWD Manual Pre Primary'!AX10+'FWD Manual Primary'!AX10+'FWD Primary with Scan'!AX10+'FWD Secondary'!AX10+'FWD Volumetric'!AX10+'IB'!AX10+'IB Volumetric'!AX10+'OB'!AX10+'OB Volumetric'!AX10+'OSC Bag Sorting'!AX10+'OSC Bag Sorting Volumetric'!AX10+'REV FSM'!AX10+'Rejection Primary with Scan'!AX10+'Rejection Secondary'!AX10+'Rev DC DC Primary Sorting'!AX10+'Rev Primary (FSM Rejections)'!AX10+'Rev Secondary Sorting'!AX10+'VIA Bag Sorting'!AX10</f>
        <v/>
      </c>
      <c r="AY10" s="7">
        <f>'BBB'!AY10+'Bag Staging'!AY10+'Bag Staging Volumetric'!AY10+'FWD FSM'!AY10+'FWD Manual Pre Primary'!AY10+'FWD Manual Primary'!AY10+'FWD Primary with Scan'!AY10+'FWD Secondary'!AY10+'FWD Volumetric'!AY10+'IB'!AY10+'IB Volumetric'!AY10+'OB'!AY10+'OB Volumetric'!AY10+'OSC Bag Sorting'!AY10+'OSC Bag Sorting Volumetric'!AY10+'REV FSM'!AY10+'Rejection Primary with Scan'!AY10+'Rejection Secondary'!AY10+'Rev DC DC Primary Sorting'!AY10+'Rev Primary (FSM Rejections)'!AY10+'Rev Secondary Sorting'!AY10+'VIA Bag Sorting'!AY10</f>
        <v/>
      </c>
      <c r="AZ10" s="7">
        <f>'BBB'!AZ10+'Bag Staging'!AZ10+'Bag Staging Volumetric'!AZ10+'FWD FSM'!AZ10+'FWD Manual Pre Primary'!AZ10+'FWD Manual Primary'!AZ10+'FWD Primary with Scan'!AZ10+'FWD Secondary'!AZ10+'FWD Volumetric'!AZ10+'IB'!AZ10+'IB Volumetric'!AZ10+'OB'!AZ10+'OB Volumetric'!AZ10+'OSC Bag Sorting'!AZ10+'OSC Bag Sorting Volumetric'!AZ10+'REV FSM'!AZ10+'Rejection Primary with Scan'!AZ10+'Rejection Secondary'!AZ10+'Rev DC DC Primary Sorting'!AZ10+'Rev Primary (FSM Rejections)'!AZ10+'Rev Secondary Sorting'!AZ10+'VIA Bag Sorting'!AZ10</f>
        <v/>
      </c>
      <c r="BA10" s="7">
        <f>'BBB'!BA10+'Bag Staging'!BA10+'Bag Staging Volumetric'!BA10+'FWD FSM'!BA10+'FWD Manual Pre Primary'!BA10+'FWD Manual Primary'!BA10+'FWD Primary with Scan'!BA10+'FWD Secondary'!BA10+'FWD Volumetric'!BA10+'IB'!BA10+'IB Volumetric'!BA10+'OB'!BA10+'OB Volumetric'!BA10+'OSC Bag Sorting'!BA10+'OSC Bag Sorting Volumetric'!BA10+'REV FSM'!BA10+'Rejection Primary with Scan'!BA10+'Rejection Secondary'!BA10+'Rev DC DC Primary Sorting'!BA10+'Rev Primary (FSM Rejections)'!BA10+'Rev Secondary Sorting'!BA10+'VIA Bag Sorting'!BA10</f>
        <v/>
      </c>
      <c r="BB10" s="7">
        <f>SUM(AD10:BA10)</f>
        <v/>
      </c>
    </row>
    <row r="11">
      <c r="A11" t="inlineStr">
        <is>
          <t>AMD-EXPR</t>
        </is>
      </c>
      <c r="B11" t="inlineStr">
        <is>
          <t>DSC Manual</t>
        </is>
      </c>
      <c r="C11" s="5" t="n">
        <v>46089</v>
      </c>
      <c r="D11" s="6" t="n">
        <v>0</v>
      </c>
      <c r="E11" s="6" t="n">
        <v>0</v>
      </c>
      <c r="F11" s="6" t="n">
        <v>0</v>
      </c>
      <c r="G11" s="6" t="n">
        <v>49</v>
      </c>
      <c r="H11" s="6" t="n">
        <v>364</v>
      </c>
      <c r="I11" s="6" t="n">
        <v>155</v>
      </c>
      <c r="J11" s="6" t="n">
        <v>99</v>
      </c>
      <c r="K11" s="6" t="n">
        <v>79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477</v>
      </c>
      <c r="T11" s="6" t="n">
        <v>0</v>
      </c>
      <c r="U11" s="6" t="n">
        <v>282</v>
      </c>
      <c r="V11" s="6" t="n">
        <v>380</v>
      </c>
      <c r="W11" s="6" t="n">
        <v>395</v>
      </c>
      <c r="X11" s="6" t="n">
        <v>636</v>
      </c>
      <c r="Y11" s="6" t="n">
        <v>663</v>
      </c>
      <c r="Z11" s="6" t="n">
        <v>0</v>
      </c>
      <c r="AA11" s="6" t="n">
        <v>0</v>
      </c>
      <c r="AB11" s="6">
        <f>SUM(D11:AA11)</f>
        <v/>
      </c>
      <c r="AC11" s="3" t="inlineStr"/>
      <c r="AD11" s="7">
        <f>'BBB'!AD11+'Bag Staging'!AD11+'Bag Staging Volumetric'!AD11+'FWD FSM'!AD11+'FWD Manual Pre Primary'!AD11+'FWD Manual Primary'!AD11+'FWD Primary with Scan'!AD11+'FWD Secondary'!AD11+'FWD Volumetric'!AD11+'IB'!AD11+'IB Volumetric'!AD11+'OB'!AD11+'OB Volumetric'!AD11+'OSC Bag Sorting'!AD11+'OSC Bag Sorting Volumetric'!AD11+'REV FSM'!AD11+'Rejection Primary with Scan'!AD11+'Rejection Secondary'!AD11+'Rev DC DC Primary Sorting'!AD11+'Rev Primary (FSM Rejections)'!AD11+'Rev Secondary Sorting'!AD11+'VIA Bag Sorting'!AD11</f>
        <v/>
      </c>
      <c r="AE11" s="7">
        <f>'BBB'!AE11+'Bag Staging'!AE11+'Bag Staging Volumetric'!AE11+'FWD FSM'!AE11+'FWD Manual Pre Primary'!AE11+'FWD Manual Primary'!AE11+'FWD Primary with Scan'!AE11+'FWD Secondary'!AE11+'FWD Volumetric'!AE11+'IB'!AE11+'IB Volumetric'!AE11+'OB'!AE11+'OB Volumetric'!AE11+'OSC Bag Sorting'!AE11+'OSC Bag Sorting Volumetric'!AE11+'REV FSM'!AE11+'Rejection Primary with Scan'!AE11+'Rejection Secondary'!AE11+'Rev DC DC Primary Sorting'!AE11+'Rev Primary (FSM Rejections)'!AE11+'Rev Secondary Sorting'!AE11+'VIA Bag Sorting'!AE11</f>
        <v/>
      </c>
      <c r="AF11" s="7">
        <f>'BBB'!AF11+'Bag Staging'!AF11+'Bag Staging Volumetric'!AF11+'FWD FSM'!AF11+'FWD Manual Pre Primary'!AF11+'FWD Manual Primary'!AF11+'FWD Primary with Scan'!AF11+'FWD Secondary'!AF11+'FWD Volumetric'!AF11+'IB'!AF11+'IB Volumetric'!AF11+'OB'!AF11+'OB Volumetric'!AF11+'OSC Bag Sorting'!AF11+'OSC Bag Sorting Volumetric'!AF11+'REV FSM'!AF11+'Rejection Primary with Scan'!AF11+'Rejection Secondary'!AF11+'Rev DC DC Primary Sorting'!AF11+'Rev Primary (FSM Rejections)'!AF11+'Rev Secondary Sorting'!AF11+'VIA Bag Sorting'!AF11</f>
        <v/>
      </c>
      <c r="AG11" s="7">
        <f>'BBB'!AG11+'Bag Staging'!AG11+'Bag Staging Volumetric'!AG11+'FWD FSM'!AG11+'FWD Manual Pre Primary'!AG11+'FWD Manual Primary'!AG11+'FWD Primary with Scan'!AG11+'FWD Secondary'!AG11+'FWD Volumetric'!AG11+'IB'!AG11+'IB Volumetric'!AG11+'OB'!AG11+'OB Volumetric'!AG11+'OSC Bag Sorting'!AG11+'OSC Bag Sorting Volumetric'!AG11+'REV FSM'!AG11+'Rejection Primary with Scan'!AG11+'Rejection Secondary'!AG11+'Rev DC DC Primary Sorting'!AG11+'Rev Primary (FSM Rejections)'!AG11+'Rev Secondary Sorting'!AG11+'VIA Bag Sorting'!AG11</f>
        <v/>
      </c>
      <c r="AH11" s="7">
        <f>'BBB'!AH11+'Bag Staging'!AH11+'Bag Staging Volumetric'!AH11+'FWD FSM'!AH11+'FWD Manual Pre Primary'!AH11+'FWD Manual Primary'!AH11+'FWD Primary with Scan'!AH11+'FWD Secondary'!AH11+'FWD Volumetric'!AH11+'IB'!AH11+'IB Volumetric'!AH11+'OB'!AH11+'OB Volumetric'!AH11+'OSC Bag Sorting'!AH11+'OSC Bag Sorting Volumetric'!AH11+'REV FSM'!AH11+'Rejection Primary with Scan'!AH11+'Rejection Secondary'!AH11+'Rev DC DC Primary Sorting'!AH11+'Rev Primary (FSM Rejections)'!AH11+'Rev Secondary Sorting'!AH11+'VIA Bag Sorting'!AH11</f>
        <v/>
      </c>
      <c r="AI11" s="7">
        <f>'BBB'!AI11+'Bag Staging'!AI11+'Bag Staging Volumetric'!AI11+'FWD FSM'!AI11+'FWD Manual Pre Primary'!AI11+'FWD Manual Primary'!AI11+'FWD Primary with Scan'!AI11+'FWD Secondary'!AI11+'FWD Volumetric'!AI11+'IB'!AI11+'IB Volumetric'!AI11+'OB'!AI11+'OB Volumetric'!AI11+'OSC Bag Sorting'!AI11+'OSC Bag Sorting Volumetric'!AI11+'REV FSM'!AI11+'Rejection Primary with Scan'!AI11+'Rejection Secondary'!AI11+'Rev DC DC Primary Sorting'!AI11+'Rev Primary (FSM Rejections)'!AI11+'Rev Secondary Sorting'!AI11+'VIA Bag Sorting'!AI11</f>
        <v/>
      </c>
      <c r="AJ11" s="7">
        <f>'BBB'!AJ11+'Bag Staging'!AJ11+'Bag Staging Volumetric'!AJ11+'FWD FSM'!AJ11+'FWD Manual Pre Primary'!AJ11+'FWD Manual Primary'!AJ11+'FWD Primary with Scan'!AJ11+'FWD Secondary'!AJ11+'FWD Volumetric'!AJ11+'IB'!AJ11+'IB Volumetric'!AJ11+'OB'!AJ11+'OB Volumetric'!AJ11+'OSC Bag Sorting'!AJ11+'OSC Bag Sorting Volumetric'!AJ11+'REV FSM'!AJ11+'Rejection Primary with Scan'!AJ11+'Rejection Secondary'!AJ11+'Rev DC DC Primary Sorting'!AJ11+'Rev Primary (FSM Rejections)'!AJ11+'Rev Secondary Sorting'!AJ11+'VIA Bag Sorting'!AJ11</f>
        <v/>
      </c>
      <c r="AK11" s="7">
        <f>'BBB'!AK11+'Bag Staging'!AK11+'Bag Staging Volumetric'!AK11+'FWD FSM'!AK11+'FWD Manual Pre Primary'!AK11+'FWD Manual Primary'!AK11+'FWD Primary with Scan'!AK11+'FWD Secondary'!AK11+'FWD Volumetric'!AK11+'IB'!AK11+'IB Volumetric'!AK11+'OB'!AK11+'OB Volumetric'!AK11+'OSC Bag Sorting'!AK11+'OSC Bag Sorting Volumetric'!AK11+'REV FSM'!AK11+'Rejection Primary with Scan'!AK11+'Rejection Secondary'!AK11+'Rev DC DC Primary Sorting'!AK11+'Rev Primary (FSM Rejections)'!AK11+'Rev Secondary Sorting'!AK11+'VIA Bag Sorting'!AK11</f>
        <v/>
      </c>
      <c r="AL11" s="7">
        <f>'BBB'!AL11+'Bag Staging'!AL11+'Bag Staging Volumetric'!AL11+'FWD FSM'!AL11+'FWD Manual Pre Primary'!AL11+'FWD Manual Primary'!AL11+'FWD Primary with Scan'!AL11+'FWD Secondary'!AL11+'FWD Volumetric'!AL11+'IB'!AL11+'IB Volumetric'!AL11+'OB'!AL11+'OB Volumetric'!AL11+'OSC Bag Sorting'!AL11+'OSC Bag Sorting Volumetric'!AL11+'REV FSM'!AL11+'Rejection Primary with Scan'!AL11+'Rejection Secondary'!AL11+'Rev DC DC Primary Sorting'!AL11+'Rev Primary (FSM Rejections)'!AL11+'Rev Secondary Sorting'!AL11+'VIA Bag Sorting'!AL11</f>
        <v/>
      </c>
      <c r="AM11" s="7">
        <f>'BBB'!AM11+'Bag Staging'!AM11+'Bag Staging Volumetric'!AM11+'FWD FSM'!AM11+'FWD Manual Pre Primary'!AM11+'FWD Manual Primary'!AM11+'FWD Primary with Scan'!AM11+'FWD Secondary'!AM11+'FWD Volumetric'!AM11+'IB'!AM11+'IB Volumetric'!AM11+'OB'!AM11+'OB Volumetric'!AM11+'OSC Bag Sorting'!AM11+'OSC Bag Sorting Volumetric'!AM11+'REV FSM'!AM11+'Rejection Primary with Scan'!AM11+'Rejection Secondary'!AM11+'Rev DC DC Primary Sorting'!AM11+'Rev Primary (FSM Rejections)'!AM11+'Rev Secondary Sorting'!AM11+'VIA Bag Sorting'!AM11</f>
        <v/>
      </c>
      <c r="AN11" s="7">
        <f>'BBB'!AN11+'Bag Staging'!AN11+'Bag Staging Volumetric'!AN11+'FWD FSM'!AN11+'FWD Manual Pre Primary'!AN11+'FWD Manual Primary'!AN11+'FWD Primary with Scan'!AN11+'FWD Secondary'!AN11+'FWD Volumetric'!AN11+'IB'!AN11+'IB Volumetric'!AN11+'OB'!AN11+'OB Volumetric'!AN11+'OSC Bag Sorting'!AN11+'OSC Bag Sorting Volumetric'!AN11+'REV FSM'!AN11+'Rejection Primary with Scan'!AN11+'Rejection Secondary'!AN11+'Rev DC DC Primary Sorting'!AN11+'Rev Primary (FSM Rejections)'!AN11+'Rev Secondary Sorting'!AN11+'VIA Bag Sorting'!AN11</f>
        <v/>
      </c>
      <c r="AO11" s="7">
        <f>'BBB'!AO11+'Bag Staging'!AO11+'Bag Staging Volumetric'!AO11+'FWD FSM'!AO11+'FWD Manual Pre Primary'!AO11+'FWD Manual Primary'!AO11+'FWD Primary with Scan'!AO11+'FWD Secondary'!AO11+'FWD Volumetric'!AO11+'IB'!AO11+'IB Volumetric'!AO11+'OB'!AO11+'OB Volumetric'!AO11+'OSC Bag Sorting'!AO11+'OSC Bag Sorting Volumetric'!AO11+'REV FSM'!AO11+'Rejection Primary with Scan'!AO11+'Rejection Secondary'!AO11+'Rev DC DC Primary Sorting'!AO11+'Rev Primary (FSM Rejections)'!AO11+'Rev Secondary Sorting'!AO11+'VIA Bag Sorting'!AO11</f>
        <v/>
      </c>
      <c r="AP11" s="7">
        <f>'BBB'!AP11+'Bag Staging'!AP11+'Bag Staging Volumetric'!AP11+'FWD FSM'!AP11+'FWD Manual Pre Primary'!AP11+'FWD Manual Primary'!AP11+'FWD Primary with Scan'!AP11+'FWD Secondary'!AP11+'FWD Volumetric'!AP11+'IB'!AP11+'IB Volumetric'!AP11+'OB'!AP11+'OB Volumetric'!AP11+'OSC Bag Sorting'!AP11+'OSC Bag Sorting Volumetric'!AP11+'REV FSM'!AP11+'Rejection Primary with Scan'!AP11+'Rejection Secondary'!AP11+'Rev DC DC Primary Sorting'!AP11+'Rev Primary (FSM Rejections)'!AP11+'Rev Secondary Sorting'!AP11+'VIA Bag Sorting'!AP11</f>
        <v/>
      </c>
      <c r="AQ11" s="7">
        <f>'BBB'!AQ11+'Bag Staging'!AQ11+'Bag Staging Volumetric'!AQ11+'FWD FSM'!AQ11+'FWD Manual Pre Primary'!AQ11+'FWD Manual Primary'!AQ11+'FWD Primary with Scan'!AQ11+'FWD Secondary'!AQ11+'FWD Volumetric'!AQ11+'IB'!AQ11+'IB Volumetric'!AQ11+'OB'!AQ11+'OB Volumetric'!AQ11+'OSC Bag Sorting'!AQ11+'OSC Bag Sorting Volumetric'!AQ11+'REV FSM'!AQ11+'Rejection Primary with Scan'!AQ11+'Rejection Secondary'!AQ11+'Rev DC DC Primary Sorting'!AQ11+'Rev Primary (FSM Rejections)'!AQ11+'Rev Secondary Sorting'!AQ11+'VIA Bag Sorting'!AQ11</f>
        <v/>
      </c>
      <c r="AR11" s="7">
        <f>'BBB'!AR11+'Bag Staging'!AR11+'Bag Staging Volumetric'!AR11+'FWD FSM'!AR11+'FWD Manual Pre Primary'!AR11+'FWD Manual Primary'!AR11+'FWD Primary with Scan'!AR11+'FWD Secondary'!AR11+'FWD Volumetric'!AR11+'IB'!AR11+'IB Volumetric'!AR11+'OB'!AR11+'OB Volumetric'!AR11+'OSC Bag Sorting'!AR11+'OSC Bag Sorting Volumetric'!AR11+'REV FSM'!AR11+'Rejection Primary with Scan'!AR11+'Rejection Secondary'!AR11+'Rev DC DC Primary Sorting'!AR11+'Rev Primary (FSM Rejections)'!AR11+'Rev Secondary Sorting'!AR11+'VIA Bag Sorting'!AR11</f>
        <v/>
      </c>
      <c r="AS11" s="7">
        <f>'BBB'!AS11+'Bag Staging'!AS11+'Bag Staging Volumetric'!AS11+'FWD FSM'!AS11+'FWD Manual Pre Primary'!AS11+'FWD Manual Primary'!AS11+'FWD Primary with Scan'!AS11+'FWD Secondary'!AS11+'FWD Volumetric'!AS11+'IB'!AS11+'IB Volumetric'!AS11+'OB'!AS11+'OB Volumetric'!AS11+'OSC Bag Sorting'!AS11+'OSC Bag Sorting Volumetric'!AS11+'REV FSM'!AS11+'Rejection Primary with Scan'!AS11+'Rejection Secondary'!AS11+'Rev DC DC Primary Sorting'!AS11+'Rev Primary (FSM Rejections)'!AS11+'Rev Secondary Sorting'!AS11+'VIA Bag Sorting'!AS11</f>
        <v/>
      </c>
      <c r="AT11" s="7">
        <f>'BBB'!AT11+'Bag Staging'!AT11+'Bag Staging Volumetric'!AT11+'FWD FSM'!AT11+'FWD Manual Pre Primary'!AT11+'FWD Manual Primary'!AT11+'FWD Primary with Scan'!AT11+'FWD Secondary'!AT11+'FWD Volumetric'!AT11+'IB'!AT11+'IB Volumetric'!AT11+'OB'!AT11+'OB Volumetric'!AT11+'OSC Bag Sorting'!AT11+'OSC Bag Sorting Volumetric'!AT11+'REV FSM'!AT11+'Rejection Primary with Scan'!AT11+'Rejection Secondary'!AT11+'Rev DC DC Primary Sorting'!AT11+'Rev Primary (FSM Rejections)'!AT11+'Rev Secondary Sorting'!AT11+'VIA Bag Sorting'!AT11</f>
        <v/>
      </c>
      <c r="AU11" s="7">
        <f>'BBB'!AU11+'Bag Staging'!AU11+'Bag Staging Volumetric'!AU11+'FWD FSM'!AU11+'FWD Manual Pre Primary'!AU11+'FWD Manual Primary'!AU11+'FWD Primary with Scan'!AU11+'FWD Secondary'!AU11+'FWD Volumetric'!AU11+'IB'!AU11+'IB Volumetric'!AU11+'OB'!AU11+'OB Volumetric'!AU11+'OSC Bag Sorting'!AU11+'OSC Bag Sorting Volumetric'!AU11+'REV FSM'!AU11+'Rejection Primary with Scan'!AU11+'Rejection Secondary'!AU11+'Rev DC DC Primary Sorting'!AU11+'Rev Primary (FSM Rejections)'!AU11+'Rev Secondary Sorting'!AU11+'VIA Bag Sorting'!AU11</f>
        <v/>
      </c>
      <c r="AV11" s="7">
        <f>'BBB'!AV11+'Bag Staging'!AV11+'Bag Staging Volumetric'!AV11+'FWD FSM'!AV11+'FWD Manual Pre Primary'!AV11+'FWD Manual Primary'!AV11+'FWD Primary with Scan'!AV11+'FWD Secondary'!AV11+'FWD Volumetric'!AV11+'IB'!AV11+'IB Volumetric'!AV11+'OB'!AV11+'OB Volumetric'!AV11+'OSC Bag Sorting'!AV11+'OSC Bag Sorting Volumetric'!AV11+'REV FSM'!AV11+'Rejection Primary with Scan'!AV11+'Rejection Secondary'!AV11+'Rev DC DC Primary Sorting'!AV11+'Rev Primary (FSM Rejections)'!AV11+'Rev Secondary Sorting'!AV11+'VIA Bag Sorting'!AV11</f>
        <v/>
      </c>
      <c r="AW11" s="7">
        <f>'BBB'!AW11+'Bag Staging'!AW11+'Bag Staging Volumetric'!AW11+'FWD FSM'!AW11+'FWD Manual Pre Primary'!AW11+'FWD Manual Primary'!AW11+'FWD Primary with Scan'!AW11+'FWD Secondary'!AW11+'FWD Volumetric'!AW11+'IB'!AW11+'IB Volumetric'!AW11+'OB'!AW11+'OB Volumetric'!AW11+'OSC Bag Sorting'!AW11+'OSC Bag Sorting Volumetric'!AW11+'REV FSM'!AW11+'Rejection Primary with Scan'!AW11+'Rejection Secondary'!AW11+'Rev DC DC Primary Sorting'!AW11+'Rev Primary (FSM Rejections)'!AW11+'Rev Secondary Sorting'!AW11+'VIA Bag Sorting'!AW11</f>
        <v/>
      </c>
      <c r="AX11" s="7">
        <f>'BBB'!AX11+'Bag Staging'!AX11+'Bag Staging Volumetric'!AX11+'FWD FSM'!AX11+'FWD Manual Pre Primary'!AX11+'FWD Manual Primary'!AX11+'FWD Primary with Scan'!AX11+'FWD Secondary'!AX11+'FWD Volumetric'!AX11+'IB'!AX11+'IB Volumetric'!AX11+'OB'!AX11+'OB Volumetric'!AX11+'OSC Bag Sorting'!AX11+'OSC Bag Sorting Volumetric'!AX11+'REV FSM'!AX11+'Rejection Primary with Scan'!AX11+'Rejection Secondary'!AX11+'Rev DC DC Primary Sorting'!AX11+'Rev Primary (FSM Rejections)'!AX11+'Rev Secondary Sorting'!AX11+'VIA Bag Sorting'!AX11</f>
        <v/>
      </c>
      <c r="AY11" s="7">
        <f>'BBB'!AY11+'Bag Staging'!AY11+'Bag Staging Volumetric'!AY11+'FWD FSM'!AY11+'FWD Manual Pre Primary'!AY11+'FWD Manual Primary'!AY11+'FWD Primary with Scan'!AY11+'FWD Secondary'!AY11+'FWD Volumetric'!AY11+'IB'!AY11+'IB Volumetric'!AY11+'OB'!AY11+'OB Volumetric'!AY11+'OSC Bag Sorting'!AY11+'OSC Bag Sorting Volumetric'!AY11+'REV FSM'!AY11+'Rejection Primary with Scan'!AY11+'Rejection Secondary'!AY11+'Rev DC DC Primary Sorting'!AY11+'Rev Primary (FSM Rejections)'!AY11+'Rev Secondary Sorting'!AY11+'VIA Bag Sorting'!AY11</f>
        <v/>
      </c>
      <c r="AZ11" s="7">
        <f>'BBB'!AZ11+'Bag Staging'!AZ11+'Bag Staging Volumetric'!AZ11+'FWD FSM'!AZ11+'FWD Manual Pre Primary'!AZ11+'FWD Manual Primary'!AZ11+'FWD Primary with Scan'!AZ11+'FWD Secondary'!AZ11+'FWD Volumetric'!AZ11+'IB'!AZ11+'IB Volumetric'!AZ11+'OB'!AZ11+'OB Volumetric'!AZ11+'OSC Bag Sorting'!AZ11+'OSC Bag Sorting Volumetric'!AZ11+'REV FSM'!AZ11+'Rejection Primary with Scan'!AZ11+'Rejection Secondary'!AZ11+'Rev DC DC Primary Sorting'!AZ11+'Rev Primary (FSM Rejections)'!AZ11+'Rev Secondary Sorting'!AZ11+'VIA Bag Sorting'!AZ11</f>
        <v/>
      </c>
      <c r="BA11" s="7">
        <f>'BBB'!BA11+'Bag Staging'!BA11+'Bag Staging Volumetric'!BA11+'FWD FSM'!BA11+'FWD Manual Pre Primary'!BA11+'FWD Manual Primary'!BA11+'FWD Primary with Scan'!BA11+'FWD Secondary'!BA11+'FWD Volumetric'!BA11+'IB'!BA11+'IB Volumetric'!BA11+'OB'!BA11+'OB Volumetric'!BA11+'OSC Bag Sorting'!BA11+'OSC Bag Sorting Volumetric'!BA11+'REV FSM'!BA11+'Rejection Primary with Scan'!BA11+'Rejection Secondary'!BA11+'Rev DC DC Primary Sorting'!BA11+'Rev Primary (FSM Rejections)'!BA11+'Rev Secondary Sorting'!BA11+'VIA Bag Sorting'!BA11</f>
        <v/>
      </c>
      <c r="BB11" s="7">
        <f>SUM(AD11:BA11)</f>
        <v/>
      </c>
    </row>
    <row r="12">
      <c r="A12" t="inlineStr">
        <is>
          <t>AMD-EXPR</t>
        </is>
      </c>
      <c r="B12" t="inlineStr">
        <is>
          <t>DSC Manual</t>
        </is>
      </c>
      <c r="C12" s="5" t="n">
        <v>46090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215</v>
      </c>
      <c r="J12" s="6" t="n">
        <v>315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467</v>
      </c>
      <c r="U12" s="6" t="n">
        <v>0</v>
      </c>
      <c r="V12" s="6" t="n">
        <v>352</v>
      </c>
      <c r="W12" s="6" t="n">
        <v>328</v>
      </c>
      <c r="X12" s="6" t="n">
        <v>456</v>
      </c>
      <c r="Y12" s="6" t="n">
        <v>467</v>
      </c>
      <c r="Z12" s="6" t="n">
        <v>472</v>
      </c>
      <c r="AA12" s="6" t="n">
        <v>0</v>
      </c>
      <c r="AB12" s="6">
        <f>SUM(D12:AA12)</f>
        <v/>
      </c>
      <c r="AC12" s="3" t="inlineStr"/>
      <c r="AD12" s="7">
        <f>'BBB'!AD12+'Bag Staging'!AD12+'Bag Staging Volumetric'!AD12+'FWD FSM'!AD12+'FWD Manual Pre Primary'!AD12+'FWD Manual Primary'!AD12+'FWD Primary with Scan'!AD12+'FWD Secondary'!AD12+'FWD Volumetric'!AD12+'IB'!AD12+'IB Volumetric'!AD12+'OB'!AD12+'OB Volumetric'!AD12+'OSC Bag Sorting'!AD12+'OSC Bag Sorting Volumetric'!AD12+'REV FSM'!AD12+'Rejection Primary with Scan'!AD12+'Rejection Secondary'!AD12+'Rev DC DC Primary Sorting'!AD12+'Rev Primary (FSM Rejections)'!AD12+'Rev Secondary Sorting'!AD12+'VIA Bag Sorting'!AD12</f>
        <v/>
      </c>
      <c r="AE12" s="7">
        <f>'BBB'!AE12+'Bag Staging'!AE12+'Bag Staging Volumetric'!AE12+'FWD FSM'!AE12+'FWD Manual Pre Primary'!AE12+'FWD Manual Primary'!AE12+'FWD Primary with Scan'!AE12+'FWD Secondary'!AE12+'FWD Volumetric'!AE12+'IB'!AE12+'IB Volumetric'!AE12+'OB'!AE12+'OB Volumetric'!AE12+'OSC Bag Sorting'!AE12+'OSC Bag Sorting Volumetric'!AE12+'REV FSM'!AE12+'Rejection Primary with Scan'!AE12+'Rejection Secondary'!AE12+'Rev DC DC Primary Sorting'!AE12+'Rev Primary (FSM Rejections)'!AE12+'Rev Secondary Sorting'!AE12+'VIA Bag Sorting'!AE12</f>
        <v/>
      </c>
      <c r="AF12" s="7">
        <f>'BBB'!AF12+'Bag Staging'!AF12+'Bag Staging Volumetric'!AF12+'FWD FSM'!AF12+'FWD Manual Pre Primary'!AF12+'FWD Manual Primary'!AF12+'FWD Primary with Scan'!AF12+'FWD Secondary'!AF12+'FWD Volumetric'!AF12+'IB'!AF12+'IB Volumetric'!AF12+'OB'!AF12+'OB Volumetric'!AF12+'OSC Bag Sorting'!AF12+'OSC Bag Sorting Volumetric'!AF12+'REV FSM'!AF12+'Rejection Primary with Scan'!AF12+'Rejection Secondary'!AF12+'Rev DC DC Primary Sorting'!AF12+'Rev Primary (FSM Rejections)'!AF12+'Rev Secondary Sorting'!AF12+'VIA Bag Sorting'!AF12</f>
        <v/>
      </c>
      <c r="AG12" s="7">
        <f>'BBB'!AG12+'Bag Staging'!AG12+'Bag Staging Volumetric'!AG12+'FWD FSM'!AG12+'FWD Manual Pre Primary'!AG12+'FWD Manual Primary'!AG12+'FWD Primary with Scan'!AG12+'FWD Secondary'!AG12+'FWD Volumetric'!AG12+'IB'!AG12+'IB Volumetric'!AG12+'OB'!AG12+'OB Volumetric'!AG12+'OSC Bag Sorting'!AG12+'OSC Bag Sorting Volumetric'!AG12+'REV FSM'!AG12+'Rejection Primary with Scan'!AG12+'Rejection Secondary'!AG12+'Rev DC DC Primary Sorting'!AG12+'Rev Primary (FSM Rejections)'!AG12+'Rev Secondary Sorting'!AG12+'VIA Bag Sorting'!AG12</f>
        <v/>
      </c>
      <c r="AH12" s="7">
        <f>'BBB'!AH12+'Bag Staging'!AH12+'Bag Staging Volumetric'!AH12+'FWD FSM'!AH12+'FWD Manual Pre Primary'!AH12+'FWD Manual Primary'!AH12+'FWD Primary with Scan'!AH12+'FWD Secondary'!AH12+'FWD Volumetric'!AH12+'IB'!AH12+'IB Volumetric'!AH12+'OB'!AH12+'OB Volumetric'!AH12+'OSC Bag Sorting'!AH12+'OSC Bag Sorting Volumetric'!AH12+'REV FSM'!AH12+'Rejection Primary with Scan'!AH12+'Rejection Secondary'!AH12+'Rev DC DC Primary Sorting'!AH12+'Rev Primary (FSM Rejections)'!AH12+'Rev Secondary Sorting'!AH12+'VIA Bag Sorting'!AH12</f>
        <v/>
      </c>
      <c r="AI12" s="7">
        <f>'BBB'!AI12+'Bag Staging'!AI12+'Bag Staging Volumetric'!AI12+'FWD FSM'!AI12+'FWD Manual Pre Primary'!AI12+'FWD Manual Primary'!AI12+'FWD Primary with Scan'!AI12+'FWD Secondary'!AI12+'FWD Volumetric'!AI12+'IB'!AI12+'IB Volumetric'!AI12+'OB'!AI12+'OB Volumetric'!AI12+'OSC Bag Sorting'!AI12+'OSC Bag Sorting Volumetric'!AI12+'REV FSM'!AI12+'Rejection Primary with Scan'!AI12+'Rejection Secondary'!AI12+'Rev DC DC Primary Sorting'!AI12+'Rev Primary (FSM Rejections)'!AI12+'Rev Secondary Sorting'!AI12+'VIA Bag Sorting'!AI12</f>
        <v/>
      </c>
      <c r="AJ12" s="7">
        <f>'BBB'!AJ12+'Bag Staging'!AJ12+'Bag Staging Volumetric'!AJ12+'FWD FSM'!AJ12+'FWD Manual Pre Primary'!AJ12+'FWD Manual Primary'!AJ12+'FWD Primary with Scan'!AJ12+'FWD Secondary'!AJ12+'FWD Volumetric'!AJ12+'IB'!AJ12+'IB Volumetric'!AJ12+'OB'!AJ12+'OB Volumetric'!AJ12+'OSC Bag Sorting'!AJ12+'OSC Bag Sorting Volumetric'!AJ12+'REV FSM'!AJ12+'Rejection Primary with Scan'!AJ12+'Rejection Secondary'!AJ12+'Rev DC DC Primary Sorting'!AJ12+'Rev Primary (FSM Rejections)'!AJ12+'Rev Secondary Sorting'!AJ12+'VIA Bag Sorting'!AJ12</f>
        <v/>
      </c>
      <c r="AK12" s="7">
        <f>'BBB'!AK12+'Bag Staging'!AK12+'Bag Staging Volumetric'!AK12+'FWD FSM'!AK12+'FWD Manual Pre Primary'!AK12+'FWD Manual Primary'!AK12+'FWD Primary with Scan'!AK12+'FWD Secondary'!AK12+'FWD Volumetric'!AK12+'IB'!AK12+'IB Volumetric'!AK12+'OB'!AK12+'OB Volumetric'!AK12+'OSC Bag Sorting'!AK12+'OSC Bag Sorting Volumetric'!AK12+'REV FSM'!AK12+'Rejection Primary with Scan'!AK12+'Rejection Secondary'!AK12+'Rev DC DC Primary Sorting'!AK12+'Rev Primary (FSM Rejections)'!AK12+'Rev Secondary Sorting'!AK12+'VIA Bag Sorting'!AK12</f>
        <v/>
      </c>
      <c r="AL12" s="7">
        <f>'BBB'!AL12+'Bag Staging'!AL12+'Bag Staging Volumetric'!AL12+'FWD FSM'!AL12+'FWD Manual Pre Primary'!AL12+'FWD Manual Primary'!AL12+'FWD Primary with Scan'!AL12+'FWD Secondary'!AL12+'FWD Volumetric'!AL12+'IB'!AL12+'IB Volumetric'!AL12+'OB'!AL12+'OB Volumetric'!AL12+'OSC Bag Sorting'!AL12+'OSC Bag Sorting Volumetric'!AL12+'REV FSM'!AL12+'Rejection Primary with Scan'!AL12+'Rejection Secondary'!AL12+'Rev DC DC Primary Sorting'!AL12+'Rev Primary (FSM Rejections)'!AL12+'Rev Secondary Sorting'!AL12+'VIA Bag Sorting'!AL12</f>
        <v/>
      </c>
      <c r="AM12" s="7">
        <f>'BBB'!AM12+'Bag Staging'!AM12+'Bag Staging Volumetric'!AM12+'FWD FSM'!AM12+'FWD Manual Pre Primary'!AM12+'FWD Manual Primary'!AM12+'FWD Primary with Scan'!AM12+'FWD Secondary'!AM12+'FWD Volumetric'!AM12+'IB'!AM12+'IB Volumetric'!AM12+'OB'!AM12+'OB Volumetric'!AM12+'OSC Bag Sorting'!AM12+'OSC Bag Sorting Volumetric'!AM12+'REV FSM'!AM12+'Rejection Primary with Scan'!AM12+'Rejection Secondary'!AM12+'Rev DC DC Primary Sorting'!AM12+'Rev Primary (FSM Rejections)'!AM12+'Rev Secondary Sorting'!AM12+'VIA Bag Sorting'!AM12</f>
        <v/>
      </c>
      <c r="AN12" s="7">
        <f>'BBB'!AN12+'Bag Staging'!AN12+'Bag Staging Volumetric'!AN12+'FWD FSM'!AN12+'FWD Manual Pre Primary'!AN12+'FWD Manual Primary'!AN12+'FWD Primary with Scan'!AN12+'FWD Secondary'!AN12+'FWD Volumetric'!AN12+'IB'!AN12+'IB Volumetric'!AN12+'OB'!AN12+'OB Volumetric'!AN12+'OSC Bag Sorting'!AN12+'OSC Bag Sorting Volumetric'!AN12+'REV FSM'!AN12+'Rejection Primary with Scan'!AN12+'Rejection Secondary'!AN12+'Rev DC DC Primary Sorting'!AN12+'Rev Primary (FSM Rejections)'!AN12+'Rev Secondary Sorting'!AN12+'VIA Bag Sorting'!AN12</f>
        <v/>
      </c>
      <c r="AO12" s="7">
        <f>'BBB'!AO12+'Bag Staging'!AO12+'Bag Staging Volumetric'!AO12+'FWD FSM'!AO12+'FWD Manual Pre Primary'!AO12+'FWD Manual Primary'!AO12+'FWD Primary with Scan'!AO12+'FWD Secondary'!AO12+'FWD Volumetric'!AO12+'IB'!AO12+'IB Volumetric'!AO12+'OB'!AO12+'OB Volumetric'!AO12+'OSC Bag Sorting'!AO12+'OSC Bag Sorting Volumetric'!AO12+'REV FSM'!AO12+'Rejection Primary with Scan'!AO12+'Rejection Secondary'!AO12+'Rev DC DC Primary Sorting'!AO12+'Rev Primary (FSM Rejections)'!AO12+'Rev Secondary Sorting'!AO12+'VIA Bag Sorting'!AO12</f>
        <v/>
      </c>
      <c r="AP12" s="7">
        <f>'BBB'!AP12+'Bag Staging'!AP12+'Bag Staging Volumetric'!AP12+'FWD FSM'!AP12+'FWD Manual Pre Primary'!AP12+'FWD Manual Primary'!AP12+'FWD Primary with Scan'!AP12+'FWD Secondary'!AP12+'FWD Volumetric'!AP12+'IB'!AP12+'IB Volumetric'!AP12+'OB'!AP12+'OB Volumetric'!AP12+'OSC Bag Sorting'!AP12+'OSC Bag Sorting Volumetric'!AP12+'REV FSM'!AP12+'Rejection Primary with Scan'!AP12+'Rejection Secondary'!AP12+'Rev DC DC Primary Sorting'!AP12+'Rev Primary (FSM Rejections)'!AP12+'Rev Secondary Sorting'!AP12+'VIA Bag Sorting'!AP12</f>
        <v/>
      </c>
      <c r="AQ12" s="7">
        <f>'BBB'!AQ12+'Bag Staging'!AQ12+'Bag Staging Volumetric'!AQ12+'FWD FSM'!AQ12+'FWD Manual Pre Primary'!AQ12+'FWD Manual Primary'!AQ12+'FWD Primary with Scan'!AQ12+'FWD Secondary'!AQ12+'FWD Volumetric'!AQ12+'IB'!AQ12+'IB Volumetric'!AQ12+'OB'!AQ12+'OB Volumetric'!AQ12+'OSC Bag Sorting'!AQ12+'OSC Bag Sorting Volumetric'!AQ12+'REV FSM'!AQ12+'Rejection Primary with Scan'!AQ12+'Rejection Secondary'!AQ12+'Rev DC DC Primary Sorting'!AQ12+'Rev Primary (FSM Rejections)'!AQ12+'Rev Secondary Sorting'!AQ12+'VIA Bag Sorting'!AQ12</f>
        <v/>
      </c>
      <c r="AR12" s="7">
        <f>'BBB'!AR12+'Bag Staging'!AR12+'Bag Staging Volumetric'!AR12+'FWD FSM'!AR12+'FWD Manual Pre Primary'!AR12+'FWD Manual Primary'!AR12+'FWD Primary with Scan'!AR12+'FWD Secondary'!AR12+'FWD Volumetric'!AR12+'IB'!AR12+'IB Volumetric'!AR12+'OB'!AR12+'OB Volumetric'!AR12+'OSC Bag Sorting'!AR12+'OSC Bag Sorting Volumetric'!AR12+'REV FSM'!AR12+'Rejection Primary with Scan'!AR12+'Rejection Secondary'!AR12+'Rev DC DC Primary Sorting'!AR12+'Rev Primary (FSM Rejections)'!AR12+'Rev Secondary Sorting'!AR12+'VIA Bag Sorting'!AR12</f>
        <v/>
      </c>
      <c r="AS12" s="7">
        <f>'BBB'!AS12+'Bag Staging'!AS12+'Bag Staging Volumetric'!AS12+'FWD FSM'!AS12+'FWD Manual Pre Primary'!AS12+'FWD Manual Primary'!AS12+'FWD Primary with Scan'!AS12+'FWD Secondary'!AS12+'FWD Volumetric'!AS12+'IB'!AS12+'IB Volumetric'!AS12+'OB'!AS12+'OB Volumetric'!AS12+'OSC Bag Sorting'!AS12+'OSC Bag Sorting Volumetric'!AS12+'REV FSM'!AS12+'Rejection Primary with Scan'!AS12+'Rejection Secondary'!AS12+'Rev DC DC Primary Sorting'!AS12+'Rev Primary (FSM Rejections)'!AS12+'Rev Secondary Sorting'!AS12+'VIA Bag Sorting'!AS12</f>
        <v/>
      </c>
      <c r="AT12" s="7">
        <f>'BBB'!AT12+'Bag Staging'!AT12+'Bag Staging Volumetric'!AT12+'FWD FSM'!AT12+'FWD Manual Pre Primary'!AT12+'FWD Manual Primary'!AT12+'FWD Primary with Scan'!AT12+'FWD Secondary'!AT12+'FWD Volumetric'!AT12+'IB'!AT12+'IB Volumetric'!AT12+'OB'!AT12+'OB Volumetric'!AT12+'OSC Bag Sorting'!AT12+'OSC Bag Sorting Volumetric'!AT12+'REV FSM'!AT12+'Rejection Primary with Scan'!AT12+'Rejection Secondary'!AT12+'Rev DC DC Primary Sorting'!AT12+'Rev Primary (FSM Rejections)'!AT12+'Rev Secondary Sorting'!AT12+'VIA Bag Sorting'!AT12</f>
        <v/>
      </c>
      <c r="AU12" s="7">
        <f>'BBB'!AU12+'Bag Staging'!AU12+'Bag Staging Volumetric'!AU12+'FWD FSM'!AU12+'FWD Manual Pre Primary'!AU12+'FWD Manual Primary'!AU12+'FWD Primary with Scan'!AU12+'FWD Secondary'!AU12+'FWD Volumetric'!AU12+'IB'!AU12+'IB Volumetric'!AU12+'OB'!AU12+'OB Volumetric'!AU12+'OSC Bag Sorting'!AU12+'OSC Bag Sorting Volumetric'!AU12+'REV FSM'!AU12+'Rejection Primary with Scan'!AU12+'Rejection Secondary'!AU12+'Rev DC DC Primary Sorting'!AU12+'Rev Primary (FSM Rejections)'!AU12+'Rev Secondary Sorting'!AU12+'VIA Bag Sorting'!AU12</f>
        <v/>
      </c>
      <c r="AV12" s="7">
        <f>'BBB'!AV12+'Bag Staging'!AV12+'Bag Staging Volumetric'!AV12+'FWD FSM'!AV12+'FWD Manual Pre Primary'!AV12+'FWD Manual Primary'!AV12+'FWD Primary with Scan'!AV12+'FWD Secondary'!AV12+'FWD Volumetric'!AV12+'IB'!AV12+'IB Volumetric'!AV12+'OB'!AV12+'OB Volumetric'!AV12+'OSC Bag Sorting'!AV12+'OSC Bag Sorting Volumetric'!AV12+'REV FSM'!AV12+'Rejection Primary with Scan'!AV12+'Rejection Secondary'!AV12+'Rev DC DC Primary Sorting'!AV12+'Rev Primary (FSM Rejections)'!AV12+'Rev Secondary Sorting'!AV12+'VIA Bag Sorting'!AV12</f>
        <v/>
      </c>
      <c r="AW12" s="7">
        <f>'BBB'!AW12+'Bag Staging'!AW12+'Bag Staging Volumetric'!AW12+'FWD FSM'!AW12+'FWD Manual Pre Primary'!AW12+'FWD Manual Primary'!AW12+'FWD Primary with Scan'!AW12+'FWD Secondary'!AW12+'FWD Volumetric'!AW12+'IB'!AW12+'IB Volumetric'!AW12+'OB'!AW12+'OB Volumetric'!AW12+'OSC Bag Sorting'!AW12+'OSC Bag Sorting Volumetric'!AW12+'REV FSM'!AW12+'Rejection Primary with Scan'!AW12+'Rejection Secondary'!AW12+'Rev DC DC Primary Sorting'!AW12+'Rev Primary (FSM Rejections)'!AW12+'Rev Secondary Sorting'!AW12+'VIA Bag Sorting'!AW12</f>
        <v/>
      </c>
      <c r="AX12" s="7">
        <f>'BBB'!AX12+'Bag Staging'!AX12+'Bag Staging Volumetric'!AX12+'FWD FSM'!AX12+'FWD Manual Pre Primary'!AX12+'FWD Manual Primary'!AX12+'FWD Primary with Scan'!AX12+'FWD Secondary'!AX12+'FWD Volumetric'!AX12+'IB'!AX12+'IB Volumetric'!AX12+'OB'!AX12+'OB Volumetric'!AX12+'OSC Bag Sorting'!AX12+'OSC Bag Sorting Volumetric'!AX12+'REV FSM'!AX12+'Rejection Primary with Scan'!AX12+'Rejection Secondary'!AX12+'Rev DC DC Primary Sorting'!AX12+'Rev Primary (FSM Rejections)'!AX12+'Rev Secondary Sorting'!AX12+'VIA Bag Sorting'!AX12</f>
        <v/>
      </c>
      <c r="AY12" s="7">
        <f>'BBB'!AY12+'Bag Staging'!AY12+'Bag Staging Volumetric'!AY12+'FWD FSM'!AY12+'FWD Manual Pre Primary'!AY12+'FWD Manual Primary'!AY12+'FWD Primary with Scan'!AY12+'FWD Secondary'!AY12+'FWD Volumetric'!AY12+'IB'!AY12+'IB Volumetric'!AY12+'OB'!AY12+'OB Volumetric'!AY12+'OSC Bag Sorting'!AY12+'OSC Bag Sorting Volumetric'!AY12+'REV FSM'!AY12+'Rejection Primary with Scan'!AY12+'Rejection Secondary'!AY12+'Rev DC DC Primary Sorting'!AY12+'Rev Primary (FSM Rejections)'!AY12+'Rev Secondary Sorting'!AY12+'VIA Bag Sorting'!AY12</f>
        <v/>
      </c>
      <c r="AZ12" s="7">
        <f>'BBB'!AZ12+'Bag Staging'!AZ12+'Bag Staging Volumetric'!AZ12+'FWD FSM'!AZ12+'FWD Manual Pre Primary'!AZ12+'FWD Manual Primary'!AZ12+'FWD Primary with Scan'!AZ12+'FWD Secondary'!AZ12+'FWD Volumetric'!AZ12+'IB'!AZ12+'IB Volumetric'!AZ12+'OB'!AZ12+'OB Volumetric'!AZ12+'OSC Bag Sorting'!AZ12+'OSC Bag Sorting Volumetric'!AZ12+'REV FSM'!AZ12+'Rejection Primary with Scan'!AZ12+'Rejection Secondary'!AZ12+'Rev DC DC Primary Sorting'!AZ12+'Rev Primary (FSM Rejections)'!AZ12+'Rev Secondary Sorting'!AZ12+'VIA Bag Sorting'!AZ12</f>
        <v/>
      </c>
      <c r="BA12" s="7">
        <f>'BBB'!BA12+'Bag Staging'!BA12+'Bag Staging Volumetric'!BA12+'FWD FSM'!BA12+'FWD Manual Pre Primary'!BA12+'FWD Manual Primary'!BA12+'FWD Primary with Scan'!BA12+'FWD Secondary'!BA12+'FWD Volumetric'!BA12+'IB'!BA12+'IB Volumetric'!BA12+'OB'!BA12+'OB Volumetric'!BA12+'OSC Bag Sorting'!BA12+'OSC Bag Sorting Volumetric'!BA12+'REV FSM'!BA12+'Rejection Primary with Scan'!BA12+'Rejection Secondary'!BA12+'Rev DC DC Primary Sorting'!BA12+'Rev Primary (FSM Rejections)'!BA12+'Rev Secondary Sorting'!BA12+'VIA Bag Sorting'!BA12</f>
        <v/>
      </c>
      <c r="BB12" s="7">
        <f>SUM(AD12:BA12)</f>
        <v/>
      </c>
    </row>
    <row r="13">
      <c r="A13" t="inlineStr">
        <is>
          <t>AMD-EXPR</t>
        </is>
      </c>
      <c r="B13" t="inlineStr">
        <is>
          <t>DSC Manual</t>
        </is>
      </c>
      <c r="C13" s="5" t="n">
        <v>46091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306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769</v>
      </c>
      <c r="T13" s="6" t="n">
        <v>267</v>
      </c>
      <c r="U13" s="6" t="n">
        <v>0</v>
      </c>
      <c r="V13" s="6" t="n">
        <v>315</v>
      </c>
      <c r="W13" s="6" t="n">
        <v>600</v>
      </c>
      <c r="X13" s="6" t="n">
        <v>299</v>
      </c>
      <c r="Y13" s="6" t="n">
        <v>987</v>
      </c>
      <c r="Z13" s="6" t="n">
        <v>270</v>
      </c>
      <c r="AA13" s="6" t="n">
        <v>0</v>
      </c>
      <c r="AB13" s="6">
        <f>SUM(D13:AA13)</f>
        <v/>
      </c>
      <c r="AC13" s="3" t="inlineStr"/>
      <c r="AD13" s="7">
        <f>'BBB'!AD13+'Bag Staging'!AD13+'Bag Staging Volumetric'!AD13+'FWD FSM'!AD13+'FWD Manual Pre Primary'!AD13+'FWD Manual Primary'!AD13+'FWD Primary with Scan'!AD13+'FWD Secondary'!AD13+'FWD Volumetric'!AD13+'IB'!AD13+'IB Volumetric'!AD13+'OB'!AD13+'OB Volumetric'!AD13+'OSC Bag Sorting'!AD13+'OSC Bag Sorting Volumetric'!AD13+'REV FSM'!AD13+'Rejection Primary with Scan'!AD13+'Rejection Secondary'!AD13+'Rev DC DC Primary Sorting'!AD13+'Rev Primary (FSM Rejections)'!AD13+'Rev Secondary Sorting'!AD13+'VIA Bag Sorting'!AD13</f>
        <v/>
      </c>
      <c r="AE13" s="7">
        <f>'BBB'!AE13+'Bag Staging'!AE13+'Bag Staging Volumetric'!AE13+'FWD FSM'!AE13+'FWD Manual Pre Primary'!AE13+'FWD Manual Primary'!AE13+'FWD Primary with Scan'!AE13+'FWD Secondary'!AE13+'FWD Volumetric'!AE13+'IB'!AE13+'IB Volumetric'!AE13+'OB'!AE13+'OB Volumetric'!AE13+'OSC Bag Sorting'!AE13+'OSC Bag Sorting Volumetric'!AE13+'REV FSM'!AE13+'Rejection Primary with Scan'!AE13+'Rejection Secondary'!AE13+'Rev DC DC Primary Sorting'!AE13+'Rev Primary (FSM Rejections)'!AE13+'Rev Secondary Sorting'!AE13+'VIA Bag Sorting'!AE13</f>
        <v/>
      </c>
      <c r="AF13" s="7">
        <f>'BBB'!AF13+'Bag Staging'!AF13+'Bag Staging Volumetric'!AF13+'FWD FSM'!AF13+'FWD Manual Pre Primary'!AF13+'FWD Manual Primary'!AF13+'FWD Primary with Scan'!AF13+'FWD Secondary'!AF13+'FWD Volumetric'!AF13+'IB'!AF13+'IB Volumetric'!AF13+'OB'!AF13+'OB Volumetric'!AF13+'OSC Bag Sorting'!AF13+'OSC Bag Sorting Volumetric'!AF13+'REV FSM'!AF13+'Rejection Primary with Scan'!AF13+'Rejection Secondary'!AF13+'Rev DC DC Primary Sorting'!AF13+'Rev Primary (FSM Rejections)'!AF13+'Rev Secondary Sorting'!AF13+'VIA Bag Sorting'!AF13</f>
        <v/>
      </c>
      <c r="AG13" s="7">
        <f>'BBB'!AG13+'Bag Staging'!AG13+'Bag Staging Volumetric'!AG13+'FWD FSM'!AG13+'FWD Manual Pre Primary'!AG13+'FWD Manual Primary'!AG13+'FWD Primary with Scan'!AG13+'FWD Secondary'!AG13+'FWD Volumetric'!AG13+'IB'!AG13+'IB Volumetric'!AG13+'OB'!AG13+'OB Volumetric'!AG13+'OSC Bag Sorting'!AG13+'OSC Bag Sorting Volumetric'!AG13+'REV FSM'!AG13+'Rejection Primary with Scan'!AG13+'Rejection Secondary'!AG13+'Rev DC DC Primary Sorting'!AG13+'Rev Primary (FSM Rejections)'!AG13+'Rev Secondary Sorting'!AG13+'VIA Bag Sorting'!AG13</f>
        <v/>
      </c>
      <c r="AH13" s="7">
        <f>'BBB'!AH13+'Bag Staging'!AH13+'Bag Staging Volumetric'!AH13+'FWD FSM'!AH13+'FWD Manual Pre Primary'!AH13+'FWD Manual Primary'!AH13+'FWD Primary with Scan'!AH13+'FWD Secondary'!AH13+'FWD Volumetric'!AH13+'IB'!AH13+'IB Volumetric'!AH13+'OB'!AH13+'OB Volumetric'!AH13+'OSC Bag Sorting'!AH13+'OSC Bag Sorting Volumetric'!AH13+'REV FSM'!AH13+'Rejection Primary with Scan'!AH13+'Rejection Secondary'!AH13+'Rev DC DC Primary Sorting'!AH13+'Rev Primary (FSM Rejections)'!AH13+'Rev Secondary Sorting'!AH13+'VIA Bag Sorting'!AH13</f>
        <v/>
      </c>
      <c r="AI13" s="7">
        <f>'BBB'!AI13+'Bag Staging'!AI13+'Bag Staging Volumetric'!AI13+'FWD FSM'!AI13+'FWD Manual Pre Primary'!AI13+'FWD Manual Primary'!AI13+'FWD Primary with Scan'!AI13+'FWD Secondary'!AI13+'FWD Volumetric'!AI13+'IB'!AI13+'IB Volumetric'!AI13+'OB'!AI13+'OB Volumetric'!AI13+'OSC Bag Sorting'!AI13+'OSC Bag Sorting Volumetric'!AI13+'REV FSM'!AI13+'Rejection Primary with Scan'!AI13+'Rejection Secondary'!AI13+'Rev DC DC Primary Sorting'!AI13+'Rev Primary (FSM Rejections)'!AI13+'Rev Secondary Sorting'!AI13+'VIA Bag Sorting'!AI13</f>
        <v/>
      </c>
      <c r="AJ13" s="7">
        <f>'BBB'!AJ13+'Bag Staging'!AJ13+'Bag Staging Volumetric'!AJ13+'FWD FSM'!AJ13+'FWD Manual Pre Primary'!AJ13+'FWD Manual Primary'!AJ13+'FWD Primary with Scan'!AJ13+'FWD Secondary'!AJ13+'FWD Volumetric'!AJ13+'IB'!AJ13+'IB Volumetric'!AJ13+'OB'!AJ13+'OB Volumetric'!AJ13+'OSC Bag Sorting'!AJ13+'OSC Bag Sorting Volumetric'!AJ13+'REV FSM'!AJ13+'Rejection Primary with Scan'!AJ13+'Rejection Secondary'!AJ13+'Rev DC DC Primary Sorting'!AJ13+'Rev Primary (FSM Rejections)'!AJ13+'Rev Secondary Sorting'!AJ13+'VIA Bag Sorting'!AJ13</f>
        <v/>
      </c>
      <c r="AK13" s="7">
        <f>'BBB'!AK13+'Bag Staging'!AK13+'Bag Staging Volumetric'!AK13+'FWD FSM'!AK13+'FWD Manual Pre Primary'!AK13+'FWD Manual Primary'!AK13+'FWD Primary with Scan'!AK13+'FWD Secondary'!AK13+'FWD Volumetric'!AK13+'IB'!AK13+'IB Volumetric'!AK13+'OB'!AK13+'OB Volumetric'!AK13+'OSC Bag Sorting'!AK13+'OSC Bag Sorting Volumetric'!AK13+'REV FSM'!AK13+'Rejection Primary with Scan'!AK13+'Rejection Secondary'!AK13+'Rev DC DC Primary Sorting'!AK13+'Rev Primary (FSM Rejections)'!AK13+'Rev Secondary Sorting'!AK13+'VIA Bag Sorting'!AK13</f>
        <v/>
      </c>
      <c r="AL13" s="7">
        <f>'BBB'!AL13+'Bag Staging'!AL13+'Bag Staging Volumetric'!AL13+'FWD FSM'!AL13+'FWD Manual Pre Primary'!AL13+'FWD Manual Primary'!AL13+'FWD Primary with Scan'!AL13+'FWD Secondary'!AL13+'FWD Volumetric'!AL13+'IB'!AL13+'IB Volumetric'!AL13+'OB'!AL13+'OB Volumetric'!AL13+'OSC Bag Sorting'!AL13+'OSC Bag Sorting Volumetric'!AL13+'REV FSM'!AL13+'Rejection Primary with Scan'!AL13+'Rejection Secondary'!AL13+'Rev DC DC Primary Sorting'!AL13+'Rev Primary (FSM Rejections)'!AL13+'Rev Secondary Sorting'!AL13+'VIA Bag Sorting'!AL13</f>
        <v/>
      </c>
      <c r="AM13" s="7">
        <f>'BBB'!AM13+'Bag Staging'!AM13+'Bag Staging Volumetric'!AM13+'FWD FSM'!AM13+'FWD Manual Pre Primary'!AM13+'FWD Manual Primary'!AM13+'FWD Primary with Scan'!AM13+'FWD Secondary'!AM13+'FWD Volumetric'!AM13+'IB'!AM13+'IB Volumetric'!AM13+'OB'!AM13+'OB Volumetric'!AM13+'OSC Bag Sorting'!AM13+'OSC Bag Sorting Volumetric'!AM13+'REV FSM'!AM13+'Rejection Primary with Scan'!AM13+'Rejection Secondary'!AM13+'Rev DC DC Primary Sorting'!AM13+'Rev Primary (FSM Rejections)'!AM13+'Rev Secondary Sorting'!AM13+'VIA Bag Sorting'!AM13</f>
        <v/>
      </c>
      <c r="AN13" s="7">
        <f>'BBB'!AN13+'Bag Staging'!AN13+'Bag Staging Volumetric'!AN13+'FWD FSM'!AN13+'FWD Manual Pre Primary'!AN13+'FWD Manual Primary'!AN13+'FWD Primary with Scan'!AN13+'FWD Secondary'!AN13+'FWD Volumetric'!AN13+'IB'!AN13+'IB Volumetric'!AN13+'OB'!AN13+'OB Volumetric'!AN13+'OSC Bag Sorting'!AN13+'OSC Bag Sorting Volumetric'!AN13+'REV FSM'!AN13+'Rejection Primary with Scan'!AN13+'Rejection Secondary'!AN13+'Rev DC DC Primary Sorting'!AN13+'Rev Primary (FSM Rejections)'!AN13+'Rev Secondary Sorting'!AN13+'VIA Bag Sorting'!AN13</f>
        <v/>
      </c>
      <c r="AO13" s="7">
        <f>'BBB'!AO13+'Bag Staging'!AO13+'Bag Staging Volumetric'!AO13+'FWD FSM'!AO13+'FWD Manual Pre Primary'!AO13+'FWD Manual Primary'!AO13+'FWD Primary with Scan'!AO13+'FWD Secondary'!AO13+'FWD Volumetric'!AO13+'IB'!AO13+'IB Volumetric'!AO13+'OB'!AO13+'OB Volumetric'!AO13+'OSC Bag Sorting'!AO13+'OSC Bag Sorting Volumetric'!AO13+'REV FSM'!AO13+'Rejection Primary with Scan'!AO13+'Rejection Secondary'!AO13+'Rev DC DC Primary Sorting'!AO13+'Rev Primary (FSM Rejections)'!AO13+'Rev Secondary Sorting'!AO13+'VIA Bag Sorting'!AO13</f>
        <v/>
      </c>
      <c r="AP13" s="7">
        <f>'BBB'!AP13+'Bag Staging'!AP13+'Bag Staging Volumetric'!AP13+'FWD FSM'!AP13+'FWD Manual Pre Primary'!AP13+'FWD Manual Primary'!AP13+'FWD Primary with Scan'!AP13+'FWD Secondary'!AP13+'FWD Volumetric'!AP13+'IB'!AP13+'IB Volumetric'!AP13+'OB'!AP13+'OB Volumetric'!AP13+'OSC Bag Sorting'!AP13+'OSC Bag Sorting Volumetric'!AP13+'REV FSM'!AP13+'Rejection Primary with Scan'!AP13+'Rejection Secondary'!AP13+'Rev DC DC Primary Sorting'!AP13+'Rev Primary (FSM Rejections)'!AP13+'Rev Secondary Sorting'!AP13+'VIA Bag Sorting'!AP13</f>
        <v/>
      </c>
      <c r="AQ13" s="7">
        <f>'BBB'!AQ13+'Bag Staging'!AQ13+'Bag Staging Volumetric'!AQ13+'FWD FSM'!AQ13+'FWD Manual Pre Primary'!AQ13+'FWD Manual Primary'!AQ13+'FWD Primary with Scan'!AQ13+'FWD Secondary'!AQ13+'FWD Volumetric'!AQ13+'IB'!AQ13+'IB Volumetric'!AQ13+'OB'!AQ13+'OB Volumetric'!AQ13+'OSC Bag Sorting'!AQ13+'OSC Bag Sorting Volumetric'!AQ13+'REV FSM'!AQ13+'Rejection Primary with Scan'!AQ13+'Rejection Secondary'!AQ13+'Rev DC DC Primary Sorting'!AQ13+'Rev Primary (FSM Rejections)'!AQ13+'Rev Secondary Sorting'!AQ13+'VIA Bag Sorting'!AQ13</f>
        <v/>
      </c>
      <c r="AR13" s="7">
        <f>'BBB'!AR13+'Bag Staging'!AR13+'Bag Staging Volumetric'!AR13+'FWD FSM'!AR13+'FWD Manual Pre Primary'!AR13+'FWD Manual Primary'!AR13+'FWD Primary with Scan'!AR13+'FWD Secondary'!AR13+'FWD Volumetric'!AR13+'IB'!AR13+'IB Volumetric'!AR13+'OB'!AR13+'OB Volumetric'!AR13+'OSC Bag Sorting'!AR13+'OSC Bag Sorting Volumetric'!AR13+'REV FSM'!AR13+'Rejection Primary with Scan'!AR13+'Rejection Secondary'!AR13+'Rev DC DC Primary Sorting'!AR13+'Rev Primary (FSM Rejections)'!AR13+'Rev Secondary Sorting'!AR13+'VIA Bag Sorting'!AR13</f>
        <v/>
      </c>
      <c r="AS13" s="7">
        <f>'BBB'!AS13+'Bag Staging'!AS13+'Bag Staging Volumetric'!AS13+'FWD FSM'!AS13+'FWD Manual Pre Primary'!AS13+'FWD Manual Primary'!AS13+'FWD Primary with Scan'!AS13+'FWD Secondary'!AS13+'FWD Volumetric'!AS13+'IB'!AS13+'IB Volumetric'!AS13+'OB'!AS13+'OB Volumetric'!AS13+'OSC Bag Sorting'!AS13+'OSC Bag Sorting Volumetric'!AS13+'REV FSM'!AS13+'Rejection Primary with Scan'!AS13+'Rejection Secondary'!AS13+'Rev DC DC Primary Sorting'!AS13+'Rev Primary (FSM Rejections)'!AS13+'Rev Secondary Sorting'!AS13+'VIA Bag Sorting'!AS13</f>
        <v/>
      </c>
      <c r="AT13" s="7">
        <f>'BBB'!AT13+'Bag Staging'!AT13+'Bag Staging Volumetric'!AT13+'FWD FSM'!AT13+'FWD Manual Pre Primary'!AT13+'FWD Manual Primary'!AT13+'FWD Primary with Scan'!AT13+'FWD Secondary'!AT13+'FWD Volumetric'!AT13+'IB'!AT13+'IB Volumetric'!AT13+'OB'!AT13+'OB Volumetric'!AT13+'OSC Bag Sorting'!AT13+'OSC Bag Sorting Volumetric'!AT13+'REV FSM'!AT13+'Rejection Primary with Scan'!AT13+'Rejection Secondary'!AT13+'Rev DC DC Primary Sorting'!AT13+'Rev Primary (FSM Rejections)'!AT13+'Rev Secondary Sorting'!AT13+'VIA Bag Sorting'!AT13</f>
        <v/>
      </c>
      <c r="AU13" s="7">
        <f>'BBB'!AU13+'Bag Staging'!AU13+'Bag Staging Volumetric'!AU13+'FWD FSM'!AU13+'FWD Manual Pre Primary'!AU13+'FWD Manual Primary'!AU13+'FWD Primary with Scan'!AU13+'FWD Secondary'!AU13+'FWD Volumetric'!AU13+'IB'!AU13+'IB Volumetric'!AU13+'OB'!AU13+'OB Volumetric'!AU13+'OSC Bag Sorting'!AU13+'OSC Bag Sorting Volumetric'!AU13+'REV FSM'!AU13+'Rejection Primary with Scan'!AU13+'Rejection Secondary'!AU13+'Rev DC DC Primary Sorting'!AU13+'Rev Primary (FSM Rejections)'!AU13+'Rev Secondary Sorting'!AU13+'VIA Bag Sorting'!AU13</f>
        <v/>
      </c>
      <c r="AV13" s="7">
        <f>'BBB'!AV13+'Bag Staging'!AV13+'Bag Staging Volumetric'!AV13+'FWD FSM'!AV13+'FWD Manual Pre Primary'!AV13+'FWD Manual Primary'!AV13+'FWD Primary with Scan'!AV13+'FWD Secondary'!AV13+'FWD Volumetric'!AV13+'IB'!AV13+'IB Volumetric'!AV13+'OB'!AV13+'OB Volumetric'!AV13+'OSC Bag Sorting'!AV13+'OSC Bag Sorting Volumetric'!AV13+'REV FSM'!AV13+'Rejection Primary with Scan'!AV13+'Rejection Secondary'!AV13+'Rev DC DC Primary Sorting'!AV13+'Rev Primary (FSM Rejections)'!AV13+'Rev Secondary Sorting'!AV13+'VIA Bag Sorting'!AV13</f>
        <v/>
      </c>
      <c r="AW13" s="7">
        <f>'BBB'!AW13+'Bag Staging'!AW13+'Bag Staging Volumetric'!AW13+'FWD FSM'!AW13+'FWD Manual Pre Primary'!AW13+'FWD Manual Primary'!AW13+'FWD Primary with Scan'!AW13+'FWD Secondary'!AW13+'FWD Volumetric'!AW13+'IB'!AW13+'IB Volumetric'!AW13+'OB'!AW13+'OB Volumetric'!AW13+'OSC Bag Sorting'!AW13+'OSC Bag Sorting Volumetric'!AW13+'REV FSM'!AW13+'Rejection Primary with Scan'!AW13+'Rejection Secondary'!AW13+'Rev DC DC Primary Sorting'!AW13+'Rev Primary (FSM Rejections)'!AW13+'Rev Secondary Sorting'!AW13+'VIA Bag Sorting'!AW13</f>
        <v/>
      </c>
      <c r="AX13" s="7">
        <f>'BBB'!AX13+'Bag Staging'!AX13+'Bag Staging Volumetric'!AX13+'FWD FSM'!AX13+'FWD Manual Pre Primary'!AX13+'FWD Manual Primary'!AX13+'FWD Primary with Scan'!AX13+'FWD Secondary'!AX13+'FWD Volumetric'!AX13+'IB'!AX13+'IB Volumetric'!AX13+'OB'!AX13+'OB Volumetric'!AX13+'OSC Bag Sorting'!AX13+'OSC Bag Sorting Volumetric'!AX13+'REV FSM'!AX13+'Rejection Primary with Scan'!AX13+'Rejection Secondary'!AX13+'Rev DC DC Primary Sorting'!AX13+'Rev Primary (FSM Rejections)'!AX13+'Rev Secondary Sorting'!AX13+'VIA Bag Sorting'!AX13</f>
        <v/>
      </c>
      <c r="AY13" s="7">
        <f>'BBB'!AY13+'Bag Staging'!AY13+'Bag Staging Volumetric'!AY13+'FWD FSM'!AY13+'FWD Manual Pre Primary'!AY13+'FWD Manual Primary'!AY13+'FWD Primary with Scan'!AY13+'FWD Secondary'!AY13+'FWD Volumetric'!AY13+'IB'!AY13+'IB Volumetric'!AY13+'OB'!AY13+'OB Volumetric'!AY13+'OSC Bag Sorting'!AY13+'OSC Bag Sorting Volumetric'!AY13+'REV FSM'!AY13+'Rejection Primary with Scan'!AY13+'Rejection Secondary'!AY13+'Rev DC DC Primary Sorting'!AY13+'Rev Primary (FSM Rejections)'!AY13+'Rev Secondary Sorting'!AY13+'VIA Bag Sorting'!AY13</f>
        <v/>
      </c>
      <c r="AZ13" s="7">
        <f>'BBB'!AZ13+'Bag Staging'!AZ13+'Bag Staging Volumetric'!AZ13+'FWD FSM'!AZ13+'FWD Manual Pre Primary'!AZ13+'FWD Manual Primary'!AZ13+'FWD Primary with Scan'!AZ13+'FWD Secondary'!AZ13+'FWD Volumetric'!AZ13+'IB'!AZ13+'IB Volumetric'!AZ13+'OB'!AZ13+'OB Volumetric'!AZ13+'OSC Bag Sorting'!AZ13+'OSC Bag Sorting Volumetric'!AZ13+'REV FSM'!AZ13+'Rejection Primary with Scan'!AZ13+'Rejection Secondary'!AZ13+'Rev DC DC Primary Sorting'!AZ13+'Rev Primary (FSM Rejections)'!AZ13+'Rev Secondary Sorting'!AZ13+'VIA Bag Sorting'!AZ13</f>
        <v/>
      </c>
      <c r="BA13" s="7">
        <f>'BBB'!BA13+'Bag Staging'!BA13+'Bag Staging Volumetric'!BA13+'FWD FSM'!BA13+'FWD Manual Pre Primary'!BA13+'FWD Manual Primary'!BA13+'FWD Primary with Scan'!BA13+'FWD Secondary'!BA13+'FWD Volumetric'!BA13+'IB'!BA13+'IB Volumetric'!BA13+'OB'!BA13+'OB Volumetric'!BA13+'OSC Bag Sorting'!BA13+'OSC Bag Sorting Volumetric'!BA13+'REV FSM'!BA13+'Rejection Primary with Scan'!BA13+'Rejection Secondary'!BA13+'Rev DC DC Primary Sorting'!BA13+'Rev Primary (FSM Rejections)'!BA13+'Rev Secondary Sorting'!BA13+'VIA Bag Sorting'!BA13</f>
        <v/>
      </c>
      <c r="BB13" s="7">
        <f>SUM(AD13:BA13)</f>
        <v/>
      </c>
    </row>
    <row r="14">
      <c r="A14" t="inlineStr">
        <is>
          <t>AMD-EXPR</t>
        </is>
      </c>
      <c r="B14" t="inlineStr">
        <is>
          <t>DSC Manual</t>
        </is>
      </c>
      <c r="C14" s="5" t="n">
        <v>46092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241</v>
      </c>
      <c r="K14" s="6" t="n">
        <v>342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334</v>
      </c>
      <c r="S14" s="6" t="n">
        <v>613</v>
      </c>
      <c r="T14" s="6" t="n">
        <v>0</v>
      </c>
      <c r="U14" s="6" t="n">
        <v>482</v>
      </c>
      <c r="V14" s="6" t="n">
        <v>552</v>
      </c>
      <c r="W14" s="6" t="n">
        <v>578</v>
      </c>
      <c r="X14" s="6" t="n">
        <v>716</v>
      </c>
      <c r="Y14" s="6" t="n">
        <v>461</v>
      </c>
      <c r="Z14" s="6" t="n">
        <v>90</v>
      </c>
      <c r="AA14" s="6" t="n">
        <v>0</v>
      </c>
      <c r="AB14" s="6">
        <f>SUM(D14:AA14)</f>
        <v/>
      </c>
      <c r="AC14" s="3" t="inlineStr"/>
      <c r="AD14" s="7">
        <f>'BBB'!AD14+'Bag Staging'!AD14+'Bag Staging Volumetric'!AD14+'FWD FSM'!AD14+'FWD Manual Pre Primary'!AD14+'FWD Manual Primary'!AD14+'FWD Primary with Scan'!AD14+'FWD Secondary'!AD14+'FWD Volumetric'!AD14+'IB'!AD14+'IB Volumetric'!AD14+'OB'!AD14+'OB Volumetric'!AD14+'OSC Bag Sorting'!AD14+'OSC Bag Sorting Volumetric'!AD14+'REV FSM'!AD14+'Rejection Primary with Scan'!AD14+'Rejection Secondary'!AD14+'Rev DC DC Primary Sorting'!AD14+'Rev Primary (FSM Rejections)'!AD14+'Rev Secondary Sorting'!AD14+'VIA Bag Sorting'!AD14</f>
        <v/>
      </c>
      <c r="AE14" s="7">
        <f>'BBB'!AE14+'Bag Staging'!AE14+'Bag Staging Volumetric'!AE14+'FWD FSM'!AE14+'FWD Manual Pre Primary'!AE14+'FWD Manual Primary'!AE14+'FWD Primary with Scan'!AE14+'FWD Secondary'!AE14+'FWD Volumetric'!AE14+'IB'!AE14+'IB Volumetric'!AE14+'OB'!AE14+'OB Volumetric'!AE14+'OSC Bag Sorting'!AE14+'OSC Bag Sorting Volumetric'!AE14+'REV FSM'!AE14+'Rejection Primary with Scan'!AE14+'Rejection Secondary'!AE14+'Rev DC DC Primary Sorting'!AE14+'Rev Primary (FSM Rejections)'!AE14+'Rev Secondary Sorting'!AE14+'VIA Bag Sorting'!AE14</f>
        <v/>
      </c>
      <c r="AF14" s="7">
        <f>'BBB'!AF14+'Bag Staging'!AF14+'Bag Staging Volumetric'!AF14+'FWD FSM'!AF14+'FWD Manual Pre Primary'!AF14+'FWD Manual Primary'!AF14+'FWD Primary with Scan'!AF14+'FWD Secondary'!AF14+'FWD Volumetric'!AF14+'IB'!AF14+'IB Volumetric'!AF14+'OB'!AF14+'OB Volumetric'!AF14+'OSC Bag Sorting'!AF14+'OSC Bag Sorting Volumetric'!AF14+'REV FSM'!AF14+'Rejection Primary with Scan'!AF14+'Rejection Secondary'!AF14+'Rev DC DC Primary Sorting'!AF14+'Rev Primary (FSM Rejections)'!AF14+'Rev Secondary Sorting'!AF14+'VIA Bag Sorting'!AF14</f>
        <v/>
      </c>
      <c r="AG14" s="7">
        <f>'BBB'!AG14+'Bag Staging'!AG14+'Bag Staging Volumetric'!AG14+'FWD FSM'!AG14+'FWD Manual Pre Primary'!AG14+'FWD Manual Primary'!AG14+'FWD Primary with Scan'!AG14+'FWD Secondary'!AG14+'FWD Volumetric'!AG14+'IB'!AG14+'IB Volumetric'!AG14+'OB'!AG14+'OB Volumetric'!AG14+'OSC Bag Sorting'!AG14+'OSC Bag Sorting Volumetric'!AG14+'REV FSM'!AG14+'Rejection Primary with Scan'!AG14+'Rejection Secondary'!AG14+'Rev DC DC Primary Sorting'!AG14+'Rev Primary (FSM Rejections)'!AG14+'Rev Secondary Sorting'!AG14+'VIA Bag Sorting'!AG14</f>
        <v/>
      </c>
      <c r="AH14" s="7">
        <f>'BBB'!AH14+'Bag Staging'!AH14+'Bag Staging Volumetric'!AH14+'FWD FSM'!AH14+'FWD Manual Pre Primary'!AH14+'FWD Manual Primary'!AH14+'FWD Primary with Scan'!AH14+'FWD Secondary'!AH14+'FWD Volumetric'!AH14+'IB'!AH14+'IB Volumetric'!AH14+'OB'!AH14+'OB Volumetric'!AH14+'OSC Bag Sorting'!AH14+'OSC Bag Sorting Volumetric'!AH14+'REV FSM'!AH14+'Rejection Primary with Scan'!AH14+'Rejection Secondary'!AH14+'Rev DC DC Primary Sorting'!AH14+'Rev Primary (FSM Rejections)'!AH14+'Rev Secondary Sorting'!AH14+'VIA Bag Sorting'!AH14</f>
        <v/>
      </c>
      <c r="AI14" s="7">
        <f>'BBB'!AI14+'Bag Staging'!AI14+'Bag Staging Volumetric'!AI14+'FWD FSM'!AI14+'FWD Manual Pre Primary'!AI14+'FWD Manual Primary'!AI14+'FWD Primary with Scan'!AI14+'FWD Secondary'!AI14+'FWD Volumetric'!AI14+'IB'!AI14+'IB Volumetric'!AI14+'OB'!AI14+'OB Volumetric'!AI14+'OSC Bag Sorting'!AI14+'OSC Bag Sorting Volumetric'!AI14+'REV FSM'!AI14+'Rejection Primary with Scan'!AI14+'Rejection Secondary'!AI14+'Rev DC DC Primary Sorting'!AI14+'Rev Primary (FSM Rejections)'!AI14+'Rev Secondary Sorting'!AI14+'VIA Bag Sorting'!AI14</f>
        <v/>
      </c>
      <c r="AJ14" s="7">
        <f>'BBB'!AJ14+'Bag Staging'!AJ14+'Bag Staging Volumetric'!AJ14+'FWD FSM'!AJ14+'FWD Manual Pre Primary'!AJ14+'FWD Manual Primary'!AJ14+'FWD Primary with Scan'!AJ14+'FWD Secondary'!AJ14+'FWD Volumetric'!AJ14+'IB'!AJ14+'IB Volumetric'!AJ14+'OB'!AJ14+'OB Volumetric'!AJ14+'OSC Bag Sorting'!AJ14+'OSC Bag Sorting Volumetric'!AJ14+'REV FSM'!AJ14+'Rejection Primary with Scan'!AJ14+'Rejection Secondary'!AJ14+'Rev DC DC Primary Sorting'!AJ14+'Rev Primary (FSM Rejections)'!AJ14+'Rev Secondary Sorting'!AJ14+'VIA Bag Sorting'!AJ14</f>
        <v/>
      </c>
      <c r="AK14" s="7">
        <f>'BBB'!AK14+'Bag Staging'!AK14+'Bag Staging Volumetric'!AK14+'FWD FSM'!AK14+'FWD Manual Pre Primary'!AK14+'FWD Manual Primary'!AK14+'FWD Primary with Scan'!AK14+'FWD Secondary'!AK14+'FWD Volumetric'!AK14+'IB'!AK14+'IB Volumetric'!AK14+'OB'!AK14+'OB Volumetric'!AK14+'OSC Bag Sorting'!AK14+'OSC Bag Sorting Volumetric'!AK14+'REV FSM'!AK14+'Rejection Primary with Scan'!AK14+'Rejection Secondary'!AK14+'Rev DC DC Primary Sorting'!AK14+'Rev Primary (FSM Rejections)'!AK14+'Rev Secondary Sorting'!AK14+'VIA Bag Sorting'!AK14</f>
        <v/>
      </c>
      <c r="AL14" s="7">
        <f>'BBB'!AL14+'Bag Staging'!AL14+'Bag Staging Volumetric'!AL14+'FWD FSM'!AL14+'FWD Manual Pre Primary'!AL14+'FWD Manual Primary'!AL14+'FWD Primary with Scan'!AL14+'FWD Secondary'!AL14+'FWD Volumetric'!AL14+'IB'!AL14+'IB Volumetric'!AL14+'OB'!AL14+'OB Volumetric'!AL14+'OSC Bag Sorting'!AL14+'OSC Bag Sorting Volumetric'!AL14+'REV FSM'!AL14+'Rejection Primary with Scan'!AL14+'Rejection Secondary'!AL14+'Rev DC DC Primary Sorting'!AL14+'Rev Primary (FSM Rejections)'!AL14+'Rev Secondary Sorting'!AL14+'VIA Bag Sorting'!AL14</f>
        <v/>
      </c>
      <c r="AM14" s="7">
        <f>'BBB'!AM14+'Bag Staging'!AM14+'Bag Staging Volumetric'!AM14+'FWD FSM'!AM14+'FWD Manual Pre Primary'!AM14+'FWD Manual Primary'!AM14+'FWD Primary with Scan'!AM14+'FWD Secondary'!AM14+'FWD Volumetric'!AM14+'IB'!AM14+'IB Volumetric'!AM14+'OB'!AM14+'OB Volumetric'!AM14+'OSC Bag Sorting'!AM14+'OSC Bag Sorting Volumetric'!AM14+'REV FSM'!AM14+'Rejection Primary with Scan'!AM14+'Rejection Secondary'!AM14+'Rev DC DC Primary Sorting'!AM14+'Rev Primary (FSM Rejections)'!AM14+'Rev Secondary Sorting'!AM14+'VIA Bag Sorting'!AM14</f>
        <v/>
      </c>
      <c r="AN14" s="7">
        <f>'BBB'!AN14+'Bag Staging'!AN14+'Bag Staging Volumetric'!AN14+'FWD FSM'!AN14+'FWD Manual Pre Primary'!AN14+'FWD Manual Primary'!AN14+'FWD Primary with Scan'!AN14+'FWD Secondary'!AN14+'FWD Volumetric'!AN14+'IB'!AN14+'IB Volumetric'!AN14+'OB'!AN14+'OB Volumetric'!AN14+'OSC Bag Sorting'!AN14+'OSC Bag Sorting Volumetric'!AN14+'REV FSM'!AN14+'Rejection Primary with Scan'!AN14+'Rejection Secondary'!AN14+'Rev DC DC Primary Sorting'!AN14+'Rev Primary (FSM Rejections)'!AN14+'Rev Secondary Sorting'!AN14+'VIA Bag Sorting'!AN14</f>
        <v/>
      </c>
      <c r="AO14" s="7">
        <f>'BBB'!AO14+'Bag Staging'!AO14+'Bag Staging Volumetric'!AO14+'FWD FSM'!AO14+'FWD Manual Pre Primary'!AO14+'FWD Manual Primary'!AO14+'FWD Primary with Scan'!AO14+'FWD Secondary'!AO14+'FWD Volumetric'!AO14+'IB'!AO14+'IB Volumetric'!AO14+'OB'!AO14+'OB Volumetric'!AO14+'OSC Bag Sorting'!AO14+'OSC Bag Sorting Volumetric'!AO14+'REV FSM'!AO14+'Rejection Primary with Scan'!AO14+'Rejection Secondary'!AO14+'Rev DC DC Primary Sorting'!AO14+'Rev Primary (FSM Rejections)'!AO14+'Rev Secondary Sorting'!AO14+'VIA Bag Sorting'!AO14</f>
        <v/>
      </c>
      <c r="AP14" s="7">
        <f>'BBB'!AP14+'Bag Staging'!AP14+'Bag Staging Volumetric'!AP14+'FWD FSM'!AP14+'FWD Manual Pre Primary'!AP14+'FWD Manual Primary'!AP14+'FWD Primary with Scan'!AP14+'FWD Secondary'!AP14+'FWD Volumetric'!AP14+'IB'!AP14+'IB Volumetric'!AP14+'OB'!AP14+'OB Volumetric'!AP14+'OSC Bag Sorting'!AP14+'OSC Bag Sorting Volumetric'!AP14+'REV FSM'!AP14+'Rejection Primary with Scan'!AP14+'Rejection Secondary'!AP14+'Rev DC DC Primary Sorting'!AP14+'Rev Primary (FSM Rejections)'!AP14+'Rev Secondary Sorting'!AP14+'VIA Bag Sorting'!AP14</f>
        <v/>
      </c>
      <c r="AQ14" s="7">
        <f>'BBB'!AQ14+'Bag Staging'!AQ14+'Bag Staging Volumetric'!AQ14+'FWD FSM'!AQ14+'FWD Manual Pre Primary'!AQ14+'FWD Manual Primary'!AQ14+'FWD Primary with Scan'!AQ14+'FWD Secondary'!AQ14+'FWD Volumetric'!AQ14+'IB'!AQ14+'IB Volumetric'!AQ14+'OB'!AQ14+'OB Volumetric'!AQ14+'OSC Bag Sorting'!AQ14+'OSC Bag Sorting Volumetric'!AQ14+'REV FSM'!AQ14+'Rejection Primary with Scan'!AQ14+'Rejection Secondary'!AQ14+'Rev DC DC Primary Sorting'!AQ14+'Rev Primary (FSM Rejections)'!AQ14+'Rev Secondary Sorting'!AQ14+'VIA Bag Sorting'!AQ14</f>
        <v/>
      </c>
      <c r="AR14" s="7">
        <f>'BBB'!AR14+'Bag Staging'!AR14+'Bag Staging Volumetric'!AR14+'FWD FSM'!AR14+'FWD Manual Pre Primary'!AR14+'FWD Manual Primary'!AR14+'FWD Primary with Scan'!AR14+'FWD Secondary'!AR14+'FWD Volumetric'!AR14+'IB'!AR14+'IB Volumetric'!AR14+'OB'!AR14+'OB Volumetric'!AR14+'OSC Bag Sorting'!AR14+'OSC Bag Sorting Volumetric'!AR14+'REV FSM'!AR14+'Rejection Primary with Scan'!AR14+'Rejection Secondary'!AR14+'Rev DC DC Primary Sorting'!AR14+'Rev Primary (FSM Rejections)'!AR14+'Rev Secondary Sorting'!AR14+'VIA Bag Sorting'!AR14</f>
        <v/>
      </c>
      <c r="AS14" s="7">
        <f>'BBB'!AS14+'Bag Staging'!AS14+'Bag Staging Volumetric'!AS14+'FWD FSM'!AS14+'FWD Manual Pre Primary'!AS14+'FWD Manual Primary'!AS14+'FWD Primary with Scan'!AS14+'FWD Secondary'!AS14+'FWD Volumetric'!AS14+'IB'!AS14+'IB Volumetric'!AS14+'OB'!AS14+'OB Volumetric'!AS14+'OSC Bag Sorting'!AS14+'OSC Bag Sorting Volumetric'!AS14+'REV FSM'!AS14+'Rejection Primary with Scan'!AS14+'Rejection Secondary'!AS14+'Rev DC DC Primary Sorting'!AS14+'Rev Primary (FSM Rejections)'!AS14+'Rev Secondary Sorting'!AS14+'VIA Bag Sorting'!AS14</f>
        <v/>
      </c>
      <c r="AT14" s="7">
        <f>'BBB'!AT14+'Bag Staging'!AT14+'Bag Staging Volumetric'!AT14+'FWD FSM'!AT14+'FWD Manual Pre Primary'!AT14+'FWD Manual Primary'!AT14+'FWD Primary with Scan'!AT14+'FWD Secondary'!AT14+'FWD Volumetric'!AT14+'IB'!AT14+'IB Volumetric'!AT14+'OB'!AT14+'OB Volumetric'!AT14+'OSC Bag Sorting'!AT14+'OSC Bag Sorting Volumetric'!AT14+'REV FSM'!AT14+'Rejection Primary with Scan'!AT14+'Rejection Secondary'!AT14+'Rev DC DC Primary Sorting'!AT14+'Rev Primary (FSM Rejections)'!AT14+'Rev Secondary Sorting'!AT14+'VIA Bag Sorting'!AT14</f>
        <v/>
      </c>
      <c r="AU14" s="7">
        <f>'BBB'!AU14+'Bag Staging'!AU14+'Bag Staging Volumetric'!AU14+'FWD FSM'!AU14+'FWD Manual Pre Primary'!AU14+'FWD Manual Primary'!AU14+'FWD Primary with Scan'!AU14+'FWD Secondary'!AU14+'FWD Volumetric'!AU14+'IB'!AU14+'IB Volumetric'!AU14+'OB'!AU14+'OB Volumetric'!AU14+'OSC Bag Sorting'!AU14+'OSC Bag Sorting Volumetric'!AU14+'REV FSM'!AU14+'Rejection Primary with Scan'!AU14+'Rejection Secondary'!AU14+'Rev DC DC Primary Sorting'!AU14+'Rev Primary (FSM Rejections)'!AU14+'Rev Secondary Sorting'!AU14+'VIA Bag Sorting'!AU14</f>
        <v/>
      </c>
      <c r="AV14" s="7">
        <f>'BBB'!AV14+'Bag Staging'!AV14+'Bag Staging Volumetric'!AV14+'FWD FSM'!AV14+'FWD Manual Pre Primary'!AV14+'FWD Manual Primary'!AV14+'FWD Primary with Scan'!AV14+'FWD Secondary'!AV14+'FWD Volumetric'!AV14+'IB'!AV14+'IB Volumetric'!AV14+'OB'!AV14+'OB Volumetric'!AV14+'OSC Bag Sorting'!AV14+'OSC Bag Sorting Volumetric'!AV14+'REV FSM'!AV14+'Rejection Primary with Scan'!AV14+'Rejection Secondary'!AV14+'Rev DC DC Primary Sorting'!AV14+'Rev Primary (FSM Rejections)'!AV14+'Rev Secondary Sorting'!AV14+'VIA Bag Sorting'!AV14</f>
        <v/>
      </c>
      <c r="AW14" s="7">
        <f>'BBB'!AW14+'Bag Staging'!AW14+'Bag Staging Volumetric'!AW14+'FWD FSM'!AW14+'FWD Manual Pre Primary'!AW14+'FWD Manual Primary'!AW14+'FWD Primary with Scan'!AW14+'FWD Secondary'!AW14+'FWD Volumetric'!AW14+'IB'!AW14+'IB Volumetric'!AW14+'OB'!AW14+'OB Volumetric'!AW14+'OSC Bag Sorting'!AW14+'OSC Bag Sorting Volumetric'!AW14+'REV FSM'!AW14+'Rejection Primary with Scan'!AW14+'Rejection Secondary'!AW14+'Rev DC DC Primary Sorting'!AW14+'Rev Primary (FSM Rejections)'!AW14+'Rev Secondary Sorting'!AW14+'VIA Bag Sorting'!AW14</f>
        <v/>
      </c>
      <c r="AX14" s="7">
        <f>'BBB'!AX14+'Bag Staging'!AX14+'Bag Staging Volumetric'!AX14+'FWD FSM'!AX14+'FWD Manual Pre Primary'!AX14+'FWD Manual Primary'!AX14+'FWD Primary with Scan'!AX14+'FWD Secondary'!AX14+'FWD Volumetric'!AX14+'IB'!AX14+'IB Volumetric'!AX14+'OB'!AX14+'OB Volumetric'!AX14+'OSC Bag Sorting'!AX14+'OSC Bag Sorting Volumetric'!AX14+'REV FSM'!AX14+'Rejection Primary with Scan'!AX14+'Rejection Secondary'!AX14+'Rev DC DC Primary Sorting'!AX14+'Rev Primary (FSM Rejections)'!AX14+'Rev Secondary Sorting'!AX14+'VIA Bag Sorting'!AX14</f>
        <v/>
      </c>
      <c r="AY14" s="7">
        <f>'BBB'!AY14+'Bag Staging'!AY14+'Bag Staging Volumetric'!AY14+'FWD FSM'!AY14+'FWD Manual Pre Primary'!AY14+'FWD Manual Primary'!AY14+'FWD Primary with Scan'!AY14+'FWD Secondary'!AY14+'FWD Volumetric'!AY14+'IB'!AY14+'IB Volumetric'!AY14+'OB'!AY14+'OB Volumetric'!AY14+'OSC Bag Sorting'!AY14+'OSC Bag Sorting Volumetric'!AY14+'REV FSM'!AY14+'Rejection Primary with Scan'!AY14+'Rejection Secondary'!AY14+'Rev DC DC Primary Sorting'!AY14+'Rev Primary (FSM Rejections)'!AY14+'Rev Secondary Sorting'!AY14+'VIA Bag Sorting'!AY14</f>
        <v/>
      </c>
      <c r="AZ14" s="7">
        <f>'BBB'!AZ14+'Bag Staging'!AZ14+'Bag Staging Volumetric'!AZ14+'FWD FSM'!AZ14+'FWD Manual Pre Primary'!AZ14+'FWD Manual Primary'!AZ14+'FWD Primary with Scan'!AZ14+'FWD Secondary'!AZ14+'FWD Volumetric'!AZ14+'IB'!AZ14+'IB Volumetric'!AZ14+'OB'!AZ14+'OB Volumetric'!AZ14+'OSC Bag Sorting'!AZ14+'OSC Bag Sorting Volumetric'!AZ14+'REV FSM'!AZ14+'Rejection Primary with Scan'!AZ14+'Rejection Secondary'!AZ14+'Rev DC DC Primary Sorting'!AZ14+'Rev Primary (FSM Rejections)'!AZ14+'Rev Secondary Sorting'!AZ14+'VIA Bag Sorting'!AZ14</f>
        <v/>
      </c>
      <c r="BA14" s="7">
        <f>'BBB'!BA14+'Bag Staging'!BA14+'Bag Staging Volumetric'!BA14+'FWD FSM'!BA14+'FWD Manual Pre Primary'!BA14+'FWD Manual Primary'!BA14+'FWD Primary with Scan'!BA14+'FWD Secondary'!BA14+'FWD Volumetric'!BA14+'IB'!BA14+'IB Volumetric'!BA14+'OB'!BA14+'OB Volumetric'!BA14+'OSC Bag Sorting'!BA14+'OSC Bag Sorting Volumetric'!BA14+'REV FSM'!BA14+'Rejection Primary with Scan'!BA14+'Rejection Secondary'!BA14+'Rev DC DC Primary Sorting'!BA14+'Rev Primary (FSM Rejections)'!BA14+'Rev Secondary Sorting'!BA14+'VIA Bag Sorting'!BA14</f>
        <v/>
      </c>
      <c r="BB14" s="7">
        <f>SUM(AD14:BA14)</f>
        <v/>
      </c>
    </row>
    <row r="15">
      <c r="A15" t="inlineStr">
        <is>
          <t>AMD-EXPR</t>
        </is>
      </c>
      <c r="B15" t="inlineStr">
        <is>
          <t>DSC Manual</t>
        </is>
      </c>
      <c r="C15" s="5" t="n">
        <v>46093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194</v>
      </c>
      <c r="I15" s="6" t="n">
        <v>256</v>
      </c>
      <c r="J15" s="6" t="n">
        <v>329</v>
      </c>
      <c r="K15" s="6" t="n">
        <v>202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545</v>
      </c>
      <c r="T15" s="6" t="n">
        <v>253</v>
      </c>
      <c r="U15" s="6" t="n">
        <v>416</v>
      </c>
      <c r="V15" s="6" t="n">
        <v>503</v>
      </c>
      <c r="W15" s="6" t="n">
        <v>626</v>
      </c>
      <c r="X15" s="6" t="n">
        <v>509</v>
      </c>
      <c r="Y15" s="6" t="n">
        <v>580</v>
      </c>
      <c r="Z15" s="6" t="n">
        <v>0</v>
      </c>
      <c r="AA15" s="6" t="n">
        <v>0</v>
      </c>
      <c r="AB15" s="6">
        <f>SUM(D15:AA15)</f>
        <v/>
      </c>
      <c r="AC15" s="3" t="inlineStr"/>
      <c r="AD15" s="7">
        <f>'BBB'!AD15+'Bag Staging'!AD15+'Bag Staging Volumetric'!AD15+'FWD FSM'!AD15+'FWD Manual Pre Primary'!AD15+'FWD Manual Primary'!AD15+'FWD Primary with Scan'!AD15+'FWD Secondary'!AD15+'FWD Volumetric'!AD15+'IB'!AD15+'IB Volumetric'!AD15+'OB'!AD15+'OB Volumetric'!AD15+'OSC Bag Sorting'!AD15+'OSC Bag Sorting Volumetric'!AD15+'REV FSM'!AD15+'Rejection Primary with Scan'!AD15+'Rejection Secondary'!AD15+'Rev DC DC Primary Sorting'!AD15+'Rev Primary (FSM Rejections)'!AD15+'Rev Secondary Sorting'!AD15+'VIA Bag Sorting'!AD15</f>
        <v/>
      </c>
      <c r="AE15" s="7">
        <f>'BBB'!AE15+'Bag Staging'!AE15+'Bag Staging Volumetric'!AE15+'FWD FSM'!AE15+'FWD Manual Pre Primary'!AE15+'FWD Manual Primary'!AE15+'FWD Primary with Scan'!AE15+'FWD Secondary'!AE15+'FWD Volumetric'!AE15+'IB'!AE15+'IB Volumetric'!AE15+'OB'!AE15+'OB Volumetric'!AE15+'OSC Bag Sorting'!AE15+'OSC Bag Sorting Volumetric'!AE15+'REV FSM'!AE15+'Rejection Primary with Scan'!AE15+'Rejection Secondary'!AE15+'Rev DC DC Primary Sorting'!AE15+'Rev Primary (FSM Rejections)'!AE15+'Rev Secondary Sorting'!AE15+'VIA Bag Sorting'!AE15</f>
        <v/>
      </c>
      <c r="AF15" s="7">
        <f>'BBB'!AF15+'Bag Staging'!AF15+'Bag Staging Volumetric'!AF15+'FWD FSM'!AF15+'FWD Manual Pre Primary'!AF15+'FWD Manual Primary'!AF15+'FWD Primary with Scan'!AF15+'FWD Secondary'!AF15+'FWD Volumetric'!AF15+'IB'!AF15+'IB Volumetric'!AF15+'OB'!AF15+'OB Volumetric'!AF15+'OSC Bag Sorting'!AF15+'OSC Bag Sorting Volumetric'!AF15+'REV FSM'!AF15+'Rejection Primary with Scan'!AF15+'Rejection Secondary'!AF15+'Rev DC DC Primary Sorting'!AF15+'Rev Primary (FSM Rejections)'!AF15+'Rev Secondary Sorting'!AF15+'VIA Bag Sorting'!AF15</f>
        <v/>
      </c>
      <c r="AG15" s="7">
        <f>'BBB'!AG15+'Bag Staging'!AG15+'Bag Staging Volumetric'!AG15+'FWD FSM'!AG15+'FWD Manual Pre Primary'!AG15+'FWD Manual Primary'!AG15+'FWD Primary with Scan'!AG15+'FWD Secondary'!AG15+'FWD Volumetric'!AG15+'IB'!AG15+'IB Volumetric'!AG15+'OB'!AG15+'OB Volumetric'!AG15+'OSC Bag Sorting'!AG15+'OSC Bag Sorting Volumetric'!AG15+'REV FSM'!AG15+'Rejection Primary with Scan'!AG15+'Rejection Secondary'!AG15+'Rev DC DC Primary Sorting'!AG15+'Rev Primary (FSM Rejections)'!AG15+'Rev Secondary Sorting'!AG15+'VIA Bag Sorting'!AG15</f>
        <v/>
      </c>
      <c r="AH15" s="7">
        <f>'BBB'!AH15+'Bag Staging'!AH15+'Bag Staging Volumetric'!AH15+'FWD FSM'!AH15+'FWD Manual Pre Primary'!AH15+'FWD Manual Primary'!AH15+'FWD Primary with Scan'!AH15+'FWD Secondary'!AH15+'FWD Volumetric'!AH15+'IB'!AH15+'IB Volumetric'!AH15+'OB'!AH15+'OB Volumetric'!AH15+'OSC Bag Sorting'!AH15+'OSC Bag Sorting Volumetric'!AH15+'REV FSM'!AH15+'Rejection Primary with Scan'!AH15+'Rejection Secondary'!AH15+'Rev DC DC Primary Sorting'!AH15+'Rev Primary (FSM Rejections)'!AH15+'Rev Secondary Sorting'!AH15+'VIA Bag Sorting'!AH15</f>
        <v/>
      </c>
      <c r="AI15" s="7">
        <f>'BBB'!AI15+'Bag Staging'!AI15+'Bag Staging Volumetric'!AI15+'FWD FSM'!AI15+'FWD Manual Pre Primary'!AI15+'FWD Manual Primary'!AI15+'FWD Primary with Scan'!AI15+'FWD Secondary'!AI15+'FWD Volumetric'!AI15+'IB'!AI15+'IB Volumetric'!AI15+'OB'!AI15+'OB Volumetric'!AI15+'OSC Bag Sorting'!AI15+'OSC Bag Sorting Volumetric'!AI15+'REV FSM'!AI15+'Rejection Primary with Scan'!AI15+'Rejection Secondary'!AI15+'Rev DC DC Primary Sorting'!AI15+'Rev Primary (FSM Rejections)'!AI15+'Rev Secondary Sorting'!AI15+'VIA Bag Sorting'!AI15</f>
        <v/>
      </c>
      <c r="AJ15" s="7">
        <f>'BBB'!AJ15+'Bag Staging'!AJ15+'Bag Staging Volumetric'!AJ15+'FWD FSM'!AJ15+'FWD Manual Pre Primary'!AJ15+'FWD Manual Primary'!AJ15+'FWD Primary with Scan'!AJ15+'FWD Secondary'!AJ15+'FWD Volumetric'!AJ15+'IB'!AJ15+'IB Volumetric'!AJ15+'OB'!AJ15+'OB Volumetric'!AJ15+'OSC Bag Sorting'!AJ15+'OSC Bag Sorting Volumetric'!AJ15+'REV FSM'!AJ15+'Rejection Primary with Scan'!AJ15+'Rejection Secondary'!AJ15+'Rev DC DC Primary Sorting'!AJ15+'Rev Primary (FSM Rejections)'!AJ15+'Rev Secondary Sorting'!AJ15+'VIA Bag Sorting'!AJ15</f>
        <v/>
      </c>
      <c r="AK15" s="7">
        <f>'BBB'!AK15+'Bag Staging'!AK15+'Bag Staging Volumetric'!AK15+'FWD FSM'!AK15+'FWD Manual Pre Primary'!AK15+'FWD Manual Primary'!AK15+'FWD Primary with Scan'!AK15+'FWD Secondary'!AK15+'FWD Volumetric'!AK15+'IB'!AK15+'IB Volumetric'!AK15+'OB'!AK15+'OB Volumetric'!AK15+'OSC Bag Sorting'!AK15+'OSC Bag Sorting Volumetric'!AK15+'REV FSM'!AK15+'Rejection Primary with Scan'!AK15+'Rejection Secondary'!AK15+'Rev DC DC Primary Sorting'!AK15+'Rev Primary (FSM Rejections)'!AK15+'Rev Secondary Sorting'!AK15+'VIA Bag Sorting'!AK15</f>
        <v/>
      </c>
      <c r="AL15" s="7">
        <f>'BBB'!AL15+'Bag Staging'!AL15+'Bag Staging Volumetric'!AL15+'FWD FSM'!AL15+'FWD Manual Pre Primary'!AL15+'FWD Manual Primary'!AL15+'FWD Primary with Scan'!AL15+'FWD Secondary'!AL15+'FWD Volumetric'!AL15+'IB'!AL15+'IB Volumetric'!AL15+'OB'!AL15+'OB Volumetric'!AL15+'OSC Bag Sorting'!AL15+'OSC Bag Sorting Volumetric'!AL15+'REV FSM'!AL15+'Rejection Primary with Scan'!AL15+'Rejection Secondary'!AL15+'Rev DC DC Primary Sorting'!AL15+'Rev Primary (FSM Rejections)'!AL15+'Rev Secondary Sorting'!AL15+'VIA Bag Sorting'!AL15</f>
        <v/>
      </c>
      <c r="AM15" s="7">
        <f>'BBB'!AM15+'Bag Staging'!AM15+'Bag Staging Volumetric'!AM15+'FWD FSM'!AM15+'FWD Manual Pre Primary'!AM15+'FWD Manual Primary'!AM15+'FWD Primary with Scan'!AM15+'FWD Secondary'!AM15+'FWD Volumetric'!AM15+'IB'!AM15+'IB Volumetric'!AM15+'OB'!AM15+'OB Volumetric'!AM15+'OSC Bag Sorting'!AM15+'OSC Bag Sorting Volumetric'!AM15+'REV FSM'!AM15+'Rejection Primary with Scan'!AM15+'Rejection Secondary'!AM15+'Rev DC DC Primary Sorting'!AM15+'Rev Primary (FSM Rejections)'!AM15+'Rev Secondary Sorting'!AM15+'VIA Bag Sorting'!AM15</f>
        <v/>
      </c>
      <c r="AN15" s="7">
        <f>'BBB'!AN15+'Bag Staging'!AN15+'Bag Staging Volumetric'!AN15+'FWD FSM'!AN15+'FWD Manual Pre Primary'!AN15+'FWD Manual Primary'!AN15+'FWD Primary with Scan'!AN15+'FWD Secondary'!AN15+'FWD Volumetric'!AN15+'IB'!AN15+'IB Volumetric'!AN15+'OB'!AN15+'OB Volumetric'!AN15+'OSC Bag Sorting'!AN15+'OSC Bag Sorting Volumetric'!AN15+'REV FSM'!AN15+'Rejection Primary with Scan'!AN15+'Rejection Secondary'!AN15+'Rev DC DC Primary Sorting'!AN15+'Rev Primary (FSM Rejections)'!AN15+'Rev Secondary Sorting'!AN15+'VIA Bag Sorting'!AN15</f>
        <v/>
      </c>
      <c r="AO15" s="7">
        <f>'BBB'!AO15+'Bag Staging'!AO15+'Bag Staging Volumetric'!AO15+'FWD FSM'!AO15+'FWD Manual Pre Primary'!AO15+'FWD Manual Primary'!AO15+'FWD Primary with Scan'!AO15+'FWD Secondary'!AO15+'FWD Volumetric'!AO15+'IB'!AO15+'IB Volumetric'!AO15+'OB'!AO15+'OB Volumetric'!AO15+'OSC Bag Sorting'!AO15+'OSC Bag Sorting Volumetric'!AO15+'REV FSM'!AO15+'Rejection Primary with Scan'!AO15+'Rejection Secondary'!AO15+'Rev DC DC Primary Sorting'!AO15+'Rev Primary (FSM Rejections)'!AO15+'Rev Secondary Sorting'!AO15+'VIA Bag Sorting'!AO15</f>
        <v/>
      </c>
      <c r="AP15" s="7">
        <f>'BBB'!AP15+'Bag Staging'!AP15+'Bag Staging Volumetric'!AP15+'FWD FSM'!AP15+'FWD Manual Pre Primary'!AP15+'FWD Manual Primary'!AP15+'FWD Primary with Scan'!AP15+'FWD Secondary'!AP15+'FWD Volumetric'!AP15+'IB'!AP15+'IB Volumetric'!AP15+'OB'!AP15+'OB Volumetric'!AP15+'OSC Bag Sorting'!AP15+'OSC Bag Sorting Volumetric'!AP15+'REV FSM'!AP15+'Rejection Primary with Scan'!AP15+'Rejection Secondary'!AP15+'Rev DC DC Primary Sorting'!AP15+'Rev Primary (FSM Rejections)'!AP15+'Rev Secondary Sorting'!AP15+'VIA Bag Sorting'!AP15</f>
        <v/>
      </c>
      <c r="AQ15" s="7">
        <f>'BBB'!AQ15+'Bag Staging'!AQ15+'Bag Staging Volumetric'!AQ15+'FWD FSM'!AQ15+'FWD Manual Pre Primary'!AQ15+'FWD Manual Primary'!AQ15+'FWD Primary with Scan'!AQ15+'FWD Secondary'!AQ15+'FWD Volumetric'!AQ15+'IB'!AQ15+'IB Volumetric'!AQ15+'OB'!AQ15+'OB Volumetric'!AQ15+'OSC Bag Sorting'!AQ15+'OSC Bag Sorting Volumetric'!AQ15+'REV FSM'!AQ15+'Rejection Primary with Scan'!AQ15+'Rejection Secondary'!AQ15+'Rev DC DC Primary Sorting'!AQ15+'Rev Primary (FSM Rejections)'!AQ15+'Rev Secondary Sorting'!AQ15+'VIA Bag Sorting'!AQ15</f>
        <v/>
      </c>
      <c r="AR15" s="7">
        <f>'BBB'!AR15+'Bag Staging'!AR15+'Bag Staging Volumetric'!AR15+'FWD FSM'!AR15+'FWD Manual Pre Primary'!AR15+'FWD Manual Primary'!AR15+'FWD Primary with Scan'!AR15+'FWD Secondary'!AR15+'FWD Volumetric'!AR15+'IB'!AR15+'IB Volumetric'!AR15+'OB'!AR15+'OB Volumetric'!AR15+'OSC Bag Sorting'!AR15+'OSC Bag Sorting Volumetric'!AR15+'REV FSM'!AR15+'Rejection Primary with Scan'!AR15+'Rejection Secondary'!AR15+'Rev DC DC Primary Sorting'!AR15+'Rev Primary (FSM Rejections)'!AR15+'Rev Secondary Sorting'!AR15+'VIA Bag Sorting'!AR15</f>
        <v/>
      </c>
      <c r="AS15" s="7">
        <f>'BBB'!AS15+'Bag Staging'!AS15+'Bag Staging Volumetric'!AS15+'FWD FSM'!AS15+'FWD Manual Pre Primary'!AS15+'FWD Manual Primary'!AS15+'FWD Primary with Scan'!AS15+'FWD Secondary'!AS15+'FWD Volumetric'!AS15+'IB'!AS15+'IB Volumetric'!AS15+'OB'!AS15+'OB Volumetric'!AS15+'OSC Bag Sorting'!AS15+'OSC Bag Sorting Volumetric'!AS15+'REV FSM'!AS15+'Rejection Primary with Scan'!AS15+'Rejection Secondary'!AS15+'Rev DC DC Primary Sorting'!AS15+'Rev Primary (FSM Rejections)'!AS15+'Rev Secondary Sorting'!AS15+'VIA Bag Sorting'!AS15</f>
        <v/>
      </c>
      <c r="AT15" s="7">
        <f>'BBB'!AT15+'Bag Staging'!AT15+'Bag Staging Volumetric'!AT15+'FWD FSM'!AT15+'FWD Manual Pre Primary'!AT15+'FWD Manual Primary'!AT15+'FWD Primary with Scan'!AT15+'FWD Secondary'!AT15+'FWD Volumetric'!AT15+'IB'!AT15+'IB Volumetric'!AT15+'OB'!AT15+'OB Volumetric'!AT15+'OSC Bag Sorting'!AT15+'OSC Bag Sorting Volumetric'!AT15+'REV FSM'!AT15+'Rejection Primary with Scan'!AT15+'Rejection Secondary'!AT15+'Rev DC DC Primary Sorting'!AT15+'Rev Primary (FSM Rejections)'!AT15+'Rev Secondary Sorting'!AT15+'VIA Bag Sorting'!AT15</f>
        <v/>
      </c>
      <c r="AU15" s="7">
        <f>'BBB'!AU15+'Bag Staging'!AU15+'Bag Staging Volumetric'!AU15+'FWD FSM'!AU15+'FWD Manual Pre Primary'!AU15+'FWD Manual Primary'!AU15+'FWD Primary with Scan'!AU15+'FWD Secondary'!AU15+'FWD Volumetric'!AU15+'IB'!AU15+'IB Volumetric'!AU15+'OB'!AU15+'OB Volumetric'!AU15+'OSC Bag Sorting'!AU15+'OSC Bag Sorting Volumetric'!AU15+'REV FSM'!AU15+'Rejection Primary with Scan'!AU15+'Rejection Secondary'!AU15+'Rev DC DC Primary Sorting'!AU15+'Rev Primary (FSM Rejections)'!AU15+'Rev Secondary Sorting'!AU15+'VIA Bag Sorting'!AU15</f>
        <v/>
      </c>
      <c r="AV15" s="7">
        <f>'BBB'!AV15+'Bag Staging'!AV15+'Bag Staging Volumetric'!AV15+'FWD FSM'!AV15+'FWD Manual Pre Primary'!AV15+'FWD Manual Primary'!AV15+'FWD Primary with Scan'!AV15+'FWD Secondary'!AV15+'FWD Volumetric'!AV15+'IB'!AV15+'IB Volumetric'!AV15+'OB'!AV15+'OB Volumetric'!AV15+'OSC Bag Sorting'!AV15+'OSC Bag Sorting Volumetric'!AV15+'REV FSM'!AV15+'Rejection Primary with Scan'!AV15+'Rejection Secondary'!AV15+'Rev DC DC Primary Sorting'!AV15+'Rev Primary (FSM Rejections)'!AV15+'Rev Secondary Sorting'!AV15+'VIA Bag Sorting'!AV15</f>
        <v/>
      </c>
      <c r="AW15" s="7">
        <f>'BBB'!AW15+'Bag Staging'!AW15+'Bag Staging Volumetric'!AW15+'FWD FSM'!AW15+'FWD Manual Pre Primary'!AW15+'FWD Manual Primary'!AW15+'FWD Primary with Scan'!AW15+'FWD Secondary'!AW15+'FWD Volumetric'!AW15+'IB'!AW15+'IB Volumetric'!AW15+'OB'!AW15+'OB Volumetric'!AW15+'OSC Bag Sorting'!AW15+'OSC Bag Sorting Volumetric'!AW15+'REV FSM'!AW15+'Rejection Primary with Scan'!AW15+'Rejection Secondary'!AW15+'Rev DC DC Primary Sorting'!AW15+'Rev Primary (FSM Rejections)'!AW15+'Rev Secondary Sorting'!AW15+'VIA Bag Sorting'!AW15</f>
        <v/>
      </c>
      <c r="AX15" s="7">
        <f>'BBB'!AX15+'Bag Staging'!AX15+'Bag Staging Volumetric'!AX15+'FWD FSM'!AX15+'FWD Manual Pre Primary'!AX15+'FWD Manual Primary'!AX15+'FWD Primary with Scan'!AX15+'FWD Secondary'!AX15+'FWD Volumetric'!AX15+'IB'!AX15+'IB Volumetric'!AX15+'OB'!AX15+'OB Volumetric'!AX15+'OSC Bag Sorting'!AX15+'OSC Bag Sorting Volumetric'!AX15+'REV FSM'!AX15+'Rejection Primary with Scan'!AX15+'Rejection Secondary'!AX15+'Rev DC DC Primary Sorting'!AX15+'Rev Primary (FSM Rejections)'!AX15+'Rev Secondary Sorting'!AX15+'VIA Bag Sorting'!AX15</f>
        <v/>
      </c>
      <c r="AY15" s="7">
        <f>'BBB'!AY15+'Bag Staging'!AY15+'Bag Staging Volumetric'!AY15+'FWD FSM'!AY15+'FWD Manual Pre Primary'!AY15+'FWD Manual Primary'!AY15+'FWD Primary with Scan'!AY15+'FWD Secondary'!AY15+'FWD Volumetric'!AY15+'IB'!AY15+'IB Volumetric'!AY15+'OB'!AY15+'OB Volumetric'!AY15+'OSC Bag Sorting'!AY15+'OSC Bag Sorting Volumetric'!AY15+'REV FSM'!AY15+'Rejection Primary with Scan'!AY15+'Rejection Secondary'!AY15+'Rev DC DC Primary Sorting'!AY15+'Rev Primary (FSM Rejections)'!AY15+'Rev Secondary Sorting'!AY15+'VIA Bag Sorting'!AY15</f>
        <v/>
      </c>
      <c r="AZ15" s="7">
        <f>'BBB'!AZ15+'Bag Staging'!AZ15+'Bag Staging Volumetric'!AZ15+'FWD FSM'!AZ15+'FWD Manual Pre Primary'!AZ15+'FWD Manual Primary'!AZ15+'FWD Primary with Scan'!AZ15+'FWD Secondary'!AZ15+'FWD Volumetric'!AZ15+'IB'!AZ15+'IB Volumetric'!AZ15+'OB'!AZ15+'OB Volumetric'!AZ15+'OSC Bag Sorting'!AZ15+'OSC Bag Sorting Volumetric'!AZ15+'REV FSM'!AZ15+'Rejection Primary with Scan'!AZ15+'Rejection Secondary'!AZ15+'Rev DC DC Primary Sorting'!AZ15+'Rev Primary (FSM Rejections)'!AZ15+'Rev Secondary Sorting'!AZ15+'VIA Bag Sorting'!AZ15</f>
        <v/>
      </c>
      <c r="BA15" s="7">
        <f>'BBB'!BA15+'Bag Staging'!BA15+'Bag Staging Volumetric'!BA15+'FWD FSM'!BA15+'FWD Manual Pre Primary'!BA15+'FWD Manual Primary'!BA15+'FWD Primary with Scan'!BA15+'FWD Secondary'!BA15+'FWD Volumetric'!BA15+'IB'!BA15+'IB Volumetric'!BA15+'OB'!BA15+'OB Volumetric'!BA15+'OSC Bag Sorting'!BA15+'OSC Bag Sorting Volumetric'!BA15+'REV FSM'!BA15+'Rejection Primary with Scan'!BA15+'Rejection Secondary'!BA15+'Rev DC DC Primary Sorting'!BA15+'Rev Primary (FSM Rejections)'!BA15+'Rev Secondary Sorting'!BA15+'VIA Bag Sorting'!BA15</f>
        <v/>
      </c>
      <c r="BB15" s="7">
        <f>SUM(AD15:BA15)</f>
        <v/>
      </c>
    </row>
    <row r="16">
      <c r="A16" t="inlineStr">
        <is>
          <t>AMD-EXPR</t>
        </is>
      </c>
      <c r="B16" t="inlineStr">
        <is>
          <t>DSC Manual</t>
        </is>
      </c>
      <c r="C16" s="5" t="n">
        <v>46094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91</v>
      </c>
      <c r="J16" s="6" t="n">
        <v>103</v>
      </c>
      <c r="K16" s="6" t="n">
        <v>261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208</v>
      </c>
      <c r="S16" s="6" t="n">
        <v>677</v>
      </c>
      <c r="T16" s="6" t="n">
        <v>237</v>
      </c>
      <c r="U16" s="6" t="n">
        <v>476</v>
      </c>
      <c r="V16" s="6" t="n">
        <v>528</v>
      </c>
      <c r="W16" s="6" t="n">
        <v>523</v>
      </c>
      <c r="X16" s="6" t="n">
        <v>834</v>
      </c>
      <c r="Y16" s="6" t="n">
        <v>955</v>
      </c>
      <c r="Z16" s="6" t="n">
        <v>0</v>
      </c>
      <c r="AA16" s="6" t="n">
        <v>0</v>
      </c>
      <c r="AB16" s="6">
        <f>SUM(D16:AA16)</f>
        <v/>
      </c>
      <c r="AC16" s="3" t="inlineStr"/>
      <c r="AD16" s="7">
        <f>'BBB'!AD16+'Bag Staging'!AD16+'Bag Staging Volumetric'!AD16+'FWD FSM'!AD16+'FWD Manual Pre Primary'!AD16+'FWD Manual Primary'!AD16+'FWD Primary with Scan'!AD16+'FWD Secondary'!AD16+'FWD Volumetric'!AD16+'IB'!AD16+'IB Volumetric'!AD16+'OB'!AD16+'OB Volumetric'!AD16+'OSC Bag Sorting'!AD16+'OSC Bag Sorting Volumetric'!AD16+'REV FSM'!AD16+'Rejection Primary with Scan'!AD16+'Rejection Secondary'!AD16+'Rev DC DC Primary Sorting'!AD16+'Rev Primary (FSM Rejections)'!AD16+'Rev Secondary Sorting'!AD16+'VIA Bag Sorting'!AD16</f>
        <v/>
      </c>
      <c r="AE16" s="7">
        <f>'BBB'!AE16+'Bag Staging'!AE16+'Bag Staging Volumetric'!AE16+'FWD FSM'!AE16+'FWD Manual Pre Primary'!AE16+'FWD Manual Primary'!AE16+'FWD Primary with Scan'!AE16+'FWD Secondary'!AE16+'FWD Volumetric'!AE16+'IB'!AE16+'IB Volumetric'!AE16+'OB'!AE16+'OB Volumetric'!AE16+'OSC Bag Sorting'!AE16+'OSC Bag Sorting Volumetric'!AE16+'REV FSM'!AE16+'Rejection Primary with Scan'!AE16+'Rejection Secondary'!AE16+'Rev DC DC Primary Sorting'!AE16+'Rev Primary (FSM Rejections)'!AE16+'Rev Secondary Sorting'!AE16+'VIA Bag Sorting'!AE16</f>
        <v/>
      </c>
      <c r="AF16" s="7">
        <f>'BBB'!AF16+'Bag Staging'!AF16+'Bag Staging Volumetric'!AF16+'FWD FSM'!AF16+'FWD Manual Pre Primary'!AF16+'FWD Manual Primary'!AF16+'FWD Primary with Scan'!AF16+'FWD Secondary'!AF16+'FWD Volumetric'!AF16+'IB'!AF16+'IB Volumetric'!AF16+'OB'!AF16+'OB Volumetric'!AF16+'OSC Bag Sorting'!AF16+'OSC Bag Sorting Volumetric'!AF16+'REV FSM'!AF16+'Rejection Primary with Scan'!AF16+'Rejection Secondary'!AF16+'Rev DC DC Primary Sorting'!AF16+'Rev Primary (FSM Rejections)'!AF16+'Rev Secondary Sorting'!AF16+'VIA Bag Sorting'!AF16</f>
        <v/>
      </c>
      <c r="AG16" s="7">
        <f>'BBB'!AG16+'Bag Staging'!AG16+'Bag Staging Volumetric'!AG16+'FWD FSM'!AG16+'FWD Manual Pre Primary'!AG16+'FWD Manual Primary'!AG16+'FWD Primary with Scan'!AG16+'FWD Secondary'!AG16+'FWD Volumetric'!AG16+'IB'!AG16+'IB Volumetric'!AG16+'OB'!AG16+'OB Volumetric'!AG16+'OSC Bag Sorting'!AG16+'OSC Bag Sorting Volumetric'!AG16+'REV FSM'!AG16+'Rejection Primary with Scan'!AG16+'Rejection Secondary'!AG16+'Rev DC DC Primary Sorting'!AG16+'Rev Primary (FSM Rejections)'!AG16+'Rev Secondary Sorting'!AG16+'VIA Bag Sorting'!AG16</f>
        <v/>
      </c>
      <c r="AH16" s="7">
        <f>'BBB'!AH16+'Bag Staging'!AH16+'Bag Staging Volumetric'!AH16+'FWD FSM'!AH16+'FWD Manual Pre Primary'!AH16+'FWD Manual Primary'!AH16+'FWD Primary with Scan'!AH16+'FWD Secondary'!AH16+'FWD Volumetric'!AH16+'IB'!AH16+'IB Volumetric'!AH16+'OB'!AH16+'OB Volumetric'!AH16+'OSC Bag Sorting'!AH16+'OSC Bag Sorting Volumetric'!AH16+'REV FSM'!AH16+'Rejection Primary with Scan'!AH16+'Rejection Secondary'!AH16+'Rev DC DC Primary Sorting'!AH16+'Rev Primary (FSM Rejections)'!AH16+'Rev Secondary Sorting'!AH16+'VIA Bag Sorting'!AH16</f>
        <v/>
      </c>
      <c r="AI16" s="7">
        <f>'BBB'!AI16+'Bag Staging'!AI16+'Bag Staging Volumetric'!AI16+'FWD FSM'!AI16+'FWD Manual Pre Primary'!AI16+'FWD Manual Primary'!AI16+'FWD Primary with Scan'!AI16+'FWD Secondary'!AI16+'FWD Volumetric'!AI16+'IB'!AI16+'IB Volumetric'!AI16+'OB'!AI16+'OB Volumetric'!AI16+'OSC Bag Sorting'!AI16+'OSC Bag Sorting Volumetric'!AI16+'REV FSM'!AI16+'Rejection Primary with Scan'!AI16+'Rejection Secondary'!AI16+'Rev DC DC Primary Sorting'!AI16+'Rev Primary (FSM Rejections)'!AI16+'Rev Secondary Sorting'!AI16+'VIA Bag Sorting'!AI16</f>
        <v/>
      </c>
      <c r="AJ16" s="7">
        <f>'BBB'!AJ16+'Bag Staging'!AJ16+'Bag Staging Volumetric'!AJ16+'FWD FSM'!AJ16+'FWD Manual Pre Primary'!AJ16+'FWD Manual Primary'!AJ16+'FWD Primary with Scan'!AJ16+'FWD Secondary'!AJ16+'FWD Volumetric'!AJ16+'IB'!AJ16+'IB Volumetric'!AJ16+'OB'!AJ16+'OB Volumetric'!AJ16+'OSC Bag Sorting'!AJ16+'OSC Bag Sorting Volumetric'!AJ16+'REV FSM'!AJ16+'Rejection Primary with Scan'!AJ16+'Rejection Secondary'!AJ16+'Rev DC DC Primary Sorting'!AJ16+'Rev Primary (FSM Rejections)'!AJ16+'Rev Secondary Sorting'!AJ16+'VIA Bag Sorting'!AJ16</f>
        <v/>
      </c>
      <c r="AK16" s="7">
        <f>'BBB'!AK16+'Bag Staging'!AK16+'Bag Staging Volumetric'!AK16+'FWD FSM'!AK16+'FWD Manual Pre Primary'!AK16+'FWD Manual Primary'!AK16+'FWD Primary with Scan'!AK16+'FWD Secondary'!AK16+'FWD Volumetric'!AK16+'IB'!AK16+'IB Volumetric'!AK16+'OB'!AK16+'OB Volumetric'!AK16+'OSC Bag Sorting'!AK16+'OSC Bag Sorting Volumetric'!AK16+'REV FSM'!AK16+'Rejection Primary with Scan'!AK16+'Rejection Secondary'!AK16+'Rev DC DC Primary Sorting'!AK16+'Rev Primary (FSM Rejections)'!AK16+'Rev Secondary Sorting'!AK16+'VIA Bag Sorting'!AK16</f>
        <v/>
      </c>
      <c r="AL16" s="7">
        <f>'BBB'!AL16+'Bag Staging'!AL16+'Bag Staging Volumetric'!AL16+'FWD FSM'!AL16+'FWD Manual Pre Primary'!AL16+'FWD Manual Primary'!AL16+'FWD Primary with Scan'!AL16+'FWD Secondary'!AL16+'FWD Volumetric'!AL16+'IB'!AL16+'IB Volumetric'!AL16+'OB'!AL16+'OB Volumetric'!AL16+'OSC Bag Sorting'!AL16+'OSC Bag Sorting Volumetric'!AL16+'REV FSM'!AL16+'Rejection Primary with Scan'!AL16+'Rejection Secondary'!AL16+'Rev DC DC Primary Sorting'!AL16+'Rev Primary (FSM Rejections)'!AL16+'Rev Secondary Sorting'!AL16+'VIA Bag Sorting'!AL16</f>
        <v/>
      </c>
      <c r="AM16" s="7">
        <f>'BBB'!AM16+'Bag Staging'!AM16+'Bag Staging Volumetric'!AM16+'FWD FSM'!AM16+'FWD Manual Pre Primary'!AM16+'FWD Manual Primary'!AM16+'FWD Primary with Scan'!AM16+'FWD Secondary'!AM16+'FWD Volumetric'!AM16+'IB'!AM16+'IB Volumetric'!AM16+'OB'!AM16+'OB Volumetric'!AM16+'OSC Bag Sorting'!AM16+'OSC Bag Sorting Volumetric'!AM16+'REV FSM'!AM16+'Rejection Primary with Scan'!AM16+'Rejection Secondary'!AM16+'Rev DC DC Primary Sorting'!AM16+'Rev Primary (FSM Rejections)'!AM16+'Rev Secondary Sorting'!AM16+'VIA Bag Sorting'!AM16</f>
        <v/>
      </c>
      <c r="AN16" s="7">
        <f>'BBB'!AN16+'Bag Staging'!AN16+'Bag Staging Volumetric'!AN16+'FWD FSM'!AN16+'FWD Manual Pre Primary'!AN16+'FWD Manual Primary'!AN16+'FWD Primary with Scan'!AN16+'FWD Secondary'!AN16+'FWD Volumetric'!AN16+'IB'!AN16+'IB Volumetric'!AN16+'OB'!AN16+'OB Volumetric'!AN16+'OSC Bag Sorting'!AN16+'OSC Bag Sorting Volumetric'!AN16+'REV FSM'!AN16+'Rejection Primary with Scan'!AN16+'Rejection Secondary'!AN16+'Rev DC DC Primary Sorting'!AN16+'Rev Primary (FSM Rejections)'!AN16+'Rev Secondary Sorting'!AN16+'VIA Bag Sorting'!AN16</f>
        <v/>
      </c>
      <c r="AO16" s="7">
        <f>'BBB'!AO16+'Bag Staging'!AO16+'Bag Staging Volumetric'!AO16+'FWD FSM'!AO16+'FWD Manual Pre Primary'!AO16+'FWD Manual Primary'!AO16+'FWD Primary with Scan'!AO16+'FWD Secondary'!AO16+'FWD Volumetric'!AO16+'IB'!AO16+'IB Volumetric'!AO16+'OB'!AO16+'OB Volumetric'!AO16+'OSC Bag Sorting'!AO16+'OSC Bag Sorting Volumetric'!AO16+'REV FSM'!AO16+'Rejection Primary with Scan'!AO16+'Rejection Secondary'!AO16+'Rev DC DC Primary Sorting'!AO16+'Rev Primary (FSM Rejections)'!AO16+'Rev Secondary Sorting'!AO16+'VIA Bag Sorting'!AO16</f>
        <v/>
      </c>
      <c r="AP16" s="7">
        <f>'BBB'!AP16+'Bag Staging'!AP16+'Bag Staging Volumetric'!AP16+'FWD FSM'!AP16+'FWD Manual Pre Primary'!AP16+'FWD Manual Primary'!AP16+'FWD Primary with Scan'!AP16+'FWD Secondary'!AP16+'FWD Volumetric'!AP16+'IB'!AP16+'IB Volumetric'!AP16+'OB'!AP16+'OB Volumetric'!AP16+'OSC Bag Sorting'!AP16+'OSC Bag Sorting Volumetric'!AP16+'REV FSM'!AP16+'Rejection Primary with Scan'!AP16+'Rejection Secondary'!AP16+'Rev DC DC Primary Sorting'!AP16+'Rev Primary (FSM Rejections)'!AP16+'Rev Secondary Sorting'!AP16+'VIA Bag Sorting'!AP16</f>
        <v/>
      </c>
      <c r="AQ16" s="7">
        <f>'BBB'!AQ16+'Bag Staging'!AQ16+'Bag Staging Volumetric'!AQ16+'FWD FSM'!AQ16+'FWD Manual Pre Primary'!AQ16+'FWD Manual Primary'!AQ16+'FWD Primary with Scan'!AQ16+'FWD Secondary'!AQ16+'FWD Volumetric'!AQ16+'IB'!AQ16+'IB Volumetric'!AQ16+'OB'!AQ16+'OB Volumetric'!AQ16+'OSC Bag Sorting'!AQ16+'OSC Bag Sorting Volumetric'!AQ16+'REV FSM'!AQ16+'Rejection Primary with Scan'!AQ16+'Rejection Secondary'!AQ16+'Rev DC DC Primary Sorting'!AQ16+'Rev Primary (FSM Rejections)'!AQ16+'Rev Secondary Sorting'!AQ16+'VIA Bag Sorting'!AQ16</f>
        <v/>
      </c>
      <c r="AR16" s="7">
        <f>'BBB'!AR16+'Bag Staging'!AR16+'Bag Staging Volumetric'!AR16+'FWD FSM'!AR16+'FWD Manual Pre Primary'!AR16+'FWD Manual Primary'!AR16+'FWD Primary with Scan'!AR16+'FWD Secondary'!AR16+'FWD Volumetric'!AR16+'IB'!AR16+'IB Volumetric'!AR16+'OB'!AR16+'OB Volumetric'!AR16+'OSC Bag Sorting'!AR16+'OSC Bag Sorting Volumetric'!AR16+'REV FSM'!AR16+'Rejection Primary with Scan'!AR16+'Rejection Secondary'!AR16+'Rev DC DC Primary Sorting'!AR16+'Rev Primary (FSM Rejections)'!AR16+'Rev Secondary Sorting'!AR16+'VIA Bag Sorting'!AR16</f>
        <v/>
      </c>
      <c r="AS16" s="7">
        <f>'BBB'!AS16+'Bag Staging'!AS16+'Bag Staging Volumetric'!AS16+'FWD FSM'!AS16+'FWD Manual Pre Primary'!AS16+'FWD Manual Primary'!AS16+'FWD Primary with Scan'!AS16+'FWD Secondary'!AS16+'FWD Volumetric'!AS16+'IB'!AS16+'IB Volumetric'!AS16+'OB'!AS16+'OB Volumetric'!AS16+'OSC Bag Sorting'!AS16+'OSC Bag Sorting Volumetric'!AS16+'REV FSM'!AS16+'Rejection Primary with Scan'!AS16+'Rejection Secondary'!AS16+'Rev DC DC Primary Sorting'!AS16+'Rev Primary (FSM Rejections)'!AS16+'Rev Secondary Sorting'!AS16+'VIA Bag Sorting'!AS16</f>
        <v/>
      </c>
      <c r="AT16" s="7">
        <f>'BBB'!AT16+'Bag Staging'!AT16+'Bag Staging Volumetric'!AT16+'FWD FSM'!AT16+'FWD Manual Pre Primary'!AT16+'FWD Manual Primary'!AT16+'FWD Primary with Scan'!AT16+'FWD Secondary'!AT16+'FWD Volumetric'!AT16+'IB'!AT16+'IB Volumetric'!AT16+'OB'!AT16+'OB Volumetric'!AT16+'OSC Bag Sorting'!AT16+'OSC Bag Sorting Volumetric'!AT16+'REV FSM'!AT16+'Rejection Primary with Scan'!AT16+'Rejection Secondary'!AT16+'Rev DC DC Primary Sorting'!AT16+'Rev Primary (FSM Rejections)'!AT16+'Rev Secondary Sorting'!AT16+'VIA Bag Sorting'!AT16</f>
        <v/>
      </c>
      <c r="AU16" s="7">
        <f>'BBB'!AU16+'Bag Staging'!AU16+'Bag Staging Volumetric'!AU16+'FWD FSM'!AU16+'FWD Manual Pre Primary'!AU16+'FWD Manual Primary'!AU16+'FWD Primary with Scan'!AU16+'FWD Secondary'!AU16+'FWD Volumetric'!AU16+'IB'!AU16+'IB Volumetric'!AU16+'OB'!AU16+'OB Volumetric'!AU16+'OSC Bag Sorting'!AU16+'OSC Bag Sorting Volumetric'!AU16+'REV FSM'!AU16+'Rejection Primary with Scan'!AU16+'Rejection Secondary'!AU16+'Rev DC DC Primary Sorting'!AU16+'Rev Primary (FSM Rejections)'!AU16+'Rev Secondary Sorting'!AU16+'VIA Bag Sorting'!AU16</f>
        <v/>
      </c>
      <c r="AV16" s="7">
        <f>'BBB'!AV16+'Bag Staging'!AV16+'Bag Staging Volumetric'!AV16+'FWD FSM'!AV16+'FWD Manual Pre Primary'!AV16+'FWD Manual Primary'!AV16+'FWD Primary with Scan'!AV16+'FWD Secondary'!AV16+'FWD Volumetric'!AV16+'IB'!AV16+'IB Volumetric'!AV16+'OB'!AV16+'OB Volumetric'!AV16+'OSC Bag Sorting'!AV16+'OSC Bag Sorting Volumetric'!AV16+'REV FSM'!AV16+'Rejection Primary with Scan'!AV16+'Rejection Secondary'!AV16+'Rev DC DC Primary Sorting'!AV16+'Rev Primary (FSM Rejections)'!AV16+'Rev Secondary Sorting'!AV16+'VIA Bag Sorting'!AV16</f>
        <v/>
      </c>
      <c r="AW16" s="7">
        <f>'BBB'!AW16+'Bag Staging'!AW16+'Bag Staging Volumetric'!AW16+'FWD FSM'!AW16+'FWD Manual Pre Primary'!AW16+'FWD Manual Primary'!AW16+'FWD Primary with Scan'!AW16+'FWD Secondary'!AW16+'FWD Volumetric'!AW16+'IB'!AW16+'IB Volumetric'!AW16+'OB'!AW16+'OB Volumetric'!AW16+'OSC Bag Sorting'!AW16+'OSC Bag Sorting Volumetric'!AW16+'REV FSM'!AW16+'Rejection Primary with Scan'!AW16+'Rejection Secondary'!AW16+'Rev DC DC Primary Sorting'!AW16+'Rev Primary (FSM Rejections)'!AW16+'Rev Secondary Sorting'!AW16+'VIA Bag Sorting'!AW16</f>
        <v/>
      </c>
      <c r="AX16" s="7">
        <f>'BBB'!AX16+'Bag Staging'!AX16+'Bag Staging Volumetric'!AX16+'FWD FSM'!AX16+'FWD Manual Pre Primary'!AX16+'FWD Manual Primary'!AX16+'FWD Primary with Scan'!AX16+'FWD Secondary'!AX16+'FWD Volumetric'!AX16+'IB'!AX16+'IB Volumetric'!AX16+'OB'!AX16+'OB Volumetric'!AX16+'OSC Bag Sorting'!AX16+'OSC Bag Sorting Volumetric'!AX16+'REV FSM'!AX16+'Rejection Primary with Scan'!AX16+'Rejection Secondary'!AX16+'Rev DC DC Primary Sorting'!AX16+'Rev Primary (FSM Rejections)'!AX16+'Rev Secondary Sorting'!AX16+'VIA Bag Sorting'!AX16</f>
        <v/>
      </c>
      <c r="AY16" s="7">
        <f>'BBB'!AY16+'Bag Staging'!AY16+'Bag Staging Volumetric'!AY16+'FWD FSM'!AY16+'FWD Manual Pre Primary'!AY16+'FWD Manual Primary'!AY16+'FWD Primary with Scan'!AY16+'FWD Secondary'!AY16+'FWD Volumetric'!AY16+'IB'!AY16+'IB Volumetric'!AY16+'OB'!AY16+'OB Volumetric'!AY16+'OSC Bag Sorting'!AY16+'OSC Bag Sorting Volumetric'!AY16+'REV FSM'!AY16+'Rejection Primary with Scan'!AY16+'Rejection Secondary'!AY16+'Rev DC DC Primary Sorting'!AY16+'Rev Primary (FSM Rejections)'!AY16+'Rev Secondary Sorting'!AY16+'VIA Bag Sorting'!AY16</f>
        <v/>
      </c>
      <c r="AZ16" s="7">
        <f>'BBB'!AZ16+'Bag Staging'!AZ16+'Bag Staging Volumetric'!AZ16+'FWD FSM'!AZ16+'FWD Manual Pre Primary'!AZ16+'FWD Manual Primary'!AZ16+'FWD Primary with Scan'!AZ16+'FWD Secondary'!AZ16+'FWD Volumetric'!AZ16+'IB'!AZ16+'IB Volumetric'!AZ16+'OB'!AZ16+'OB Volumetric'!AZ16+'OSC Bag Sorting'!AZ16+'OSC Bag Sorting Volumetric'!AZ16+'REV FSM'!AZ16+'Rejection Primary with Scan'!AZ16+'Rejection Secondary'!AZ16+'Rev DC DC Primary Sorting'!AZ16+'Rev Primary (FSM Rejections)'!AZ16+'Rev Secondary Sorting'!AZ16+'VIA Bag Sorting'!AZ16</f>
        <v/>
      </c>
      <c r="BA16" s="7">
        <f>'BBB'!BA16+'Bag Staging'!BA16+'Bag Staging Volumetric'!BA16+'FWD FSM'!BA16+'FWD Manual Pre Primary'!BA16+'FWD Manual Primary'!BA16+'FWD Primary with Scan'!BA16+'FWD Secondary'!BA16+'FWD Volumetric'!BA16+'IB'!BA16+'IB Volumetric'!BA16+'OB'!BA16+'OB Volumetric'!BA16+'OSC Bag Sorting'!BA16+'OSC Bag Sorting Volumetric'!BA16+'REV FSM'!BA16+'Rejection Primary with Scan'!BA16+'Rejection Secondary'!BA16+'Rev DC DC Primary Sorting'!BA16+'Rev Primary (FSM Rejections)'!BA16+'Rev Secondary Sorting'!BA16+'VIA Bag Sorting'!BA16</f>
        <v/>
      </c>
      <c r="BB16" s="7">
        <f>SUM(AD16:BA16)</f>
        <v/>
      </c>
    </row>
    <row r="17">
      <c r="A17" t="inlineStr">
        <is>
          <t>AMD-EXPR</t>
        </is>
      </c>
      <c r="B17" t="inlineStr">
        <is>
          <t>DSC Manual</t>
        </is>
      </c>
      <c r="C17" s="5" t="n">
        <v>46095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259</v>
      </c>
      <c r="K17" s="6" t="n">
        <v>100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408</v>
      </c>
      <c r="S17" s="6" t="n">
        <v>556</v>
      </c>
      <c r="T17" s="6" t="n">
        <v>217</v>
      </c>
      <c r="U17" s="6" t="n">
        <v>566</v>
      </c>
      <c r="V17" s="6" t="n">
        <v>457</v>
      </c>
      <c r="W17" s="6" t="n">
        <v>487</v>
      </c>
      <c r="X17" s="6" t="n">
        <v>475</v>
      </c>
      <c r="Y17" s="6" t="n">
        <v>2</v>
      </c>
      <c r="Z17" s="6" t="n">
        <v>0</v>
      </c>
      <c r="AA17" s="6" t="n">
        <v>0</v>
      </c>
      <c r="AB17" s="6">
        <f>SUM(D17:AA17)</f>
        <v/>
      </c>
      <c r="AC17" s="3" t="inlineStr"/>
      <c r="AD17" s="7">
        <f>'BBB'!AD17+'Bag Staging'!AD17+'Bag Staging Volumetric'!AD17+'FWD FSM'!AD17+'FWD Manual Pre Primary'!AD17+'FWD Manual Primary'!AD17+'FWD Primary with Scan'!AD17+'FWD Secondary'!AD17+'FWD Volumetric'!AD17+'IB'!AD17+'IB Volumetric'!AD17+'OB'!AD17+'OB Volumetric'!AD17+'OSC Bag Sorting'!AD17+'OSC Bag Sorting Volumetric'!AD17+'REV FSM'!AD17+'Rejection Primary with Scan'!AD17+'Rejection Secondary'!AD17+'Rev DC DC Primary Sorting'!AD17+'Rev Primary (FSM Rejections)'!AD17+'Rev Secondary Sorting'!AD17+'VIA Bag Sorting'!AD17</f>
        <v/>
      </c>
      <c r="AE17" s="7">
        <f>'BBB'!AE17+'Bag Staging'!AE17+'Bag Staging Volumetric'!AE17+'FWD FSM'!AE17+'FWD Manual Pre Primary'!AE17+'FWD Manual Primary'!AE17+'FWD Primary with Scan'!AE17+'FWD Secondary'!AE17+'FWD Volumetric'!AE17+'IB'!AE17+'IB Volumetric'!AE17+'OB'!AE17+'OB Volumetric'!AE17+'OSC Bag Sorting'!AE17+'OSC Bag Sorting Volumetric'!AE17+'REV FSM'!AE17+'Rejection Primary with Scan'!AE17+'Rejection Secondary'!AE17+'Rev DC DC Primary Sorting'!AE17+'Rev Primary (FSM Rejections)'!AE17+'Rev Secondary Sorting'!AE17+'VIA Bag Sorting'!AE17</f>
        <v/>
      </c>
      <c r="AF17" s="7">
        <f>'BBB'!AF17+'Bag Staging'!AF17+'Bag Staging Volumetric'!AF17+'FWD FSM'!AF17+'FWD Manual Pre Primary'!AF17+'FWD Manual Primary'!AF17+'FWD Primary with Scan'!AF17+'FWD Secondary'!AF17+'FWD Volumetric'!AF17+'IB'!AF17+'IB Volumetric'!AF17+'OB'!AF17+'OB Volumetric'!AF17+'OSC Bag Sorting'!AF17+'OSC Bag Sorting Volumetric'!AF17+'REV FSM'!AF17+'Rejection Primary with Scan'!AF17+'Rejection Secondary'!AF17+'Rev DC DC Primary Sorting'!AF17+'Rev Primary (FSM Rejections)'!AF17+'Rev Secondary Sorting'!AF17+'VIA Bag Sorting'!AF17</f>
        <v/>
      </c>
      <c r="AG17" s="7">
        <f>'BBB'!AG17+'Bag Staging'!AG17+'Bag Staging Volumetric'!AG17+'FWD FSM'!AG17+'FWD Manual Pre Primary'!AG17+'FWD Manual Primary'!AG17+'FWD Primary with Scan'!AG17+'FWD Secondary'!AG17+'FWD Volumetric'!AG17+'IB'!AG17+'IB Volumetric'!AG17+'OB'!AG17+'OB Volumetric'!AG17+'OSC Bag Sorting'!AG17+'OSC Bag Sorting Volumetric'!AG17+'REV FSM'!AG17+'Rejection Primary with Scan'!AG17+'Rejection Secondary'!AG17+'Rev DC DC Primary Sorting'!AG17+'Rev Primary (FSM Rejections)'!AG17+'Rev Secondary Sorting'!AG17+'VIA Bag Sorting'!AG17</f>
        <v/>
      </c>
      <c r="AH17" s="7">
        <f>'BBB'!AH17+'Bag Staging'!AH17+'Bag Staging Volumetric'!AH17+'FWD FSM'!AH17+'FWD Manual Pre Primary'!AH17+'FWD Manual Primary'!AH17+'FWD Primary with Scan'!AH17+'FWD Secondary'!AH17+'FWD Volumetric'!AH17+'IB'!AH17+'IB Volumetric'!AH17+'OB'!AH17+'OB Volumetric'!AH17+'OSC Bag Sorting'!AH17+'OSC Bag Sorting Volumetric'!AH17+'REV FSM'!AH17+'Rejection Primary with Scan'!AH17+'Rejection Secondary'!AH17+'Rev DC DC Primary Sorting'!AH17+'Rev Primary (FSM Rejections)'!AH17+'Rev Secondary Sorting'!AH17+'VIA Bag Sorting'!AH17</f>
        <v/>
      </c>
      <c r="AI17" s="7">
        <f>'BBB'!AI17+'Bag Staging'!AI17+'Bag Staging Volumetric'!AI17+'FWD FSM'!AI17+'FWD Manual Pre Primary'!AI17+'FWD Manual Primary'!AI17+'FWD Primary with Scan'!AI17+'FWD Secondary'!AI17+'FWD Volumetric'!AI17+'IB'!AI17+'IB Volumetric'!AI17+'OB'!AI17+'OB Volumetric'!AI17+'OSC Bag Sorting'!AI17+'OSC Bag Sorting Volumetric'!AI17+'REV FSM'!AI17+'Rejection Primary with Scan'!AI17+'Rejection Secondary'!AI17+'Rev DC DC Primary Sorting'!AI17+'Rev Primary (FSM Rejections)'!AI17+'Rev Secondary Sorting'!AI17+'VIA Bag Sorting'!AI17</f>
        <v/>
      </c>
      <c r="AJ17" s="7">
        <f>'BBB'!AJ17+'Bag Staging'!AJ17+'Bag Staging Volumetric'!AJ17+'FWD FSM'!AJ17+'FWD Manual Pre Primary'!AJ17+'FWD Manual Primary'!AJ17+'FWD Primary with Scan'!AJ17+'FWD Secondary'!AJ17+'FWD Volumetric'!AJ17+'IB'!AJ17+'IB Volumetric'!AJ17+'OB'!AJ17+'OB Volumetric'!AJ17+'OSC Bag Sorting'!AJ17+'OSC Bag Sorting Volumetric'!AJ17+'REV FSM'!AJ17+'Rejection Primary with Scan'!AJ17+'Rejection Secondary'!AJ17+'Rev DC DC Primary Sorting'!AJ17+'Rev Primary (FSM Rejections)'!AJ17+'Rev Secondary Sorting'!AJ17+'VIA Bag Sorting'!AJ17</f>
        <v/>
      </c>
      <c r="AK17" s="7">
        <f>'BBB'!AK17+'Bag Staging'!AK17+'Bag Staging Volumetric'!AK17+'FWD FSM'!AK17+'FWD Manual Pre Primary'!AK17+'FWD Manual Primary'!AK17+'FWD Primary with Scan'!AK17+'FWD Secondary'!AK17+'FWD Volumetric'!AK17+'IB'!AK17+'IB Volumetric'!AK17+'OB'!AK17+'OB Volumetric'!AK17+'OSC Bag Sorting'!AK17+'OSC Bag Sorting Volumetric'!AK17+'REV FSM'!AK17+'Rejection Primary with Scan'!AK17+'Rejection Secondary'!AK17+'Rev DC DC Primary Sorting'!AK17+'Rev Primary (FSM Rejections)'!AK17+'Rev Secondary Sorting'!AK17+'VIA Bag Sorting'!AK17</f>
        <v/>
      </c>
      <c r="AL17" s="7">
        <f>'BBB'!AL17+'Bag Staging'!AL17+'Bag Staging Volumetric'!AL17+'FWD FSM'!AL17+'FWD Manual Pre Primary'!AL17+'FWD Manual Primary'!AL17+'FWD Primary with Scan'!AL17+'FWD Secondary'!AL17+'FWD Volumetric'!AL17+'IB'!AL17+'IB Volumetric'!AL17+'OB'!AL17+'OB Volumetric'!AL17+'OSC Bag Sorting'!AL17+'OSC Bag Sorting Volumetric'!AL17+'REV FSM'!AL17+'Rejection Primary with Scan'!AL17+'Rejection Secondary'!AL17+'Rev DC DC Primary Sorting'!AL17+'Rev Primary (FSM Rejections)'!AL17+'Rev Secondary Sorting'!AL17+'VIA Bag Sorting'!AL17</f>
        <v/>
      </c>
      <c r="AM17" s="7">
        <f>'BBB'!AM17+'Bag Staging'!AM17+'Bag Staging Volumetric'!AM17+'FWD FSM'!AM17+'FWD Manual Pre Primary'!AM17+'FWD Manual Primary'!AM17+'FWD Primary with Scan'!AM17+'FWD Secondary'!AM17+'FWD Volumetric'!AM17+'IB'!AM17+'IB Volumetric'!AM17+'OB'!AM17+'OB Volumetric'!AM17+'OSC Bag Sorting'!AM17+'OSC Bag Sorting Volumetric'!AM17+'REV FSM'!AM17+'Rejection Primary with Scan'!AM17+'Rejection Secondary'!AM17+'Rev DC DC Primary Sorting'!AM17+'Rev Primary (FSM Rejections)'!AM17+'Rev Secondary Sorting'!AM17+'VIA Bag Sorting'!AM17</f>
        <v/>
      </c>
      <c r="AN17" s="7">
        <f>'BBB'!AN17+'Bag Staging'!AN17+'Bag Staging Volumetric'!AN17+'FWD FSM'!AN17+'FWD Manual Pre Primary'!AN17+'FWD Manual Primary'!AN17+'FWD Primary with Scan'!AN17+'FWD Secondary'!AN17+'FWD Volumetric'!AN17+'IB'!AN17+'IB Volumetric'!AN17+'OB'!AN17+'OB Volumetric'!AN17+'OSC Bag Sorting'!AN17+'OSC Bag Sorting Volumetric'!AN17+'REV FSM'!AN17+'Rejection Primary with Scan'!AN17+'Rejection Secondary'!AN17+'Rev DC DC Primary Sorting'!AN17+'Rev Primary (FSM Rejections)'!AN17+'Rev Secondary Sorting'!AN17+'VIA Bag Sorting'!AN17</f>
        <v/>
      </c>
      <c r="AO17" s="7">
        <f>'BBB'!AO17+'Bag Staging'!AO17+'Bag Staging Volumetric'!AO17+'FWD FSM'!AO17+'FWD Manual Pre Primary'!AO17+'FWD Manual Primary'!AO17+'FWD Primary with Scan'!AO17+'FWD Secondary'!AO17+'FWD Volumetric'!AO17+'IB'!AO17+'IB Volumetric'!AO17+'OB'!AO17+'OB Volumetric'!AO17+'OSC Bag Sorting'!AO17+'OSC Bag Sorting Volumetric'!AO17+'REV FSM'!AO17+'Rejection Primary with Scan'!AO17+'Rejection Secondary'!AO17+'Rev DC DC Primary Sorting'!AO17+'Rev Primary (FSM Rejections)'!AO17+'Rev Secondary Sorting'!AO17+'VIA Bag Sorting'!AO17</f>
        <v/>
      </c>
      <c r="AP17" s="7">
        <f>'BBB'!AP17+'Bag Staging'!AP17+'Bag Staging Volumetric'!AP17+'FWD FSM'!AP17+'FWD Manual Pre Primary'!AP17+'FWD Manual Primary'!AP17+'FWD Primary with Scan'!AP17+'FWD Secondary'!AP17+'FWD Volumetric'!AP17+'IB'!AP17+'IB Volumetric'!AP17+'OB'!AP17+'OB Volumetric'!AP17+'OSC Bag Sorting'!AP17+'OSC Bag Sorting Volumetric'!AP17+'REV FSM'!AP17+'Rejection Primary with Scan'!AP17+'Rejection Secondary'!AP17+'Rev DC DC Primary Sorting'!AP17+'Rev Primary (FSM Rejections)'!AP17+'Rev Secondary Sorting'!AP17+'VIA Bag Sorting'!AP17</f>
        <v/>
      </c>
      <c r="AQ17" s="7">
        <f>'BBB'!AQ17+'Bag Staging'!AQ17+'Bag Staging Volumetric'!AQ17+'FWD FSM'!AQ17+'FWD Manual Pre Primary'!AQ17+'FWD Manual Primary'!AQ17+'FWD Primary with Scan'!AQ17+'FWD Secondary'!AQ17+'FWD Volumetric'!AQ17+'IB'!AQ17+'IB Volumetric'!AQ17+'OB'!AQ17+'OB Volumetric'!AQ17+'OSC Bag Sorting'!AQ17+'OSC Bag Sorting Volumetric'!AQ17+'REV FSM'!AQ17+'Rejection Primary with Scan'!AQ17+'Rejection Secondary'!AQ17+'Rev DC DC Primary Sorting'!AQ17+'Rev Primary (FSM Rejections)'!AQ17+'Rev Secondary Sorting'!AQ17+'VIA Bag Sorting'!AQ17</f>
        <v/>
      </c>
      <c r="AR17" s="7">
        <f>'BBB'!AR17+'Bag Staging'!AR17+'Bag Staging Volumetric'!AR17+'FWD FSM'!AR17+'FWD Manual Pre Primary'!AR17+'FWD Manual Primary'!AR17+'FWD Primary with Scan'!AR17+'FWD Secondary'!AR17+'FWD Volumetric'!AR17+'IB'!AR17+'IB Volumetric'!AR17+'OB'!AR17+'OB Volumetric'!AR17+'OSC Bag Sorting'!AR17+'OSC Bag Sorting Volumetric'!AR17+'REV FSM'!AR17+'Rejection Primary with Scan'!AR17+'Rejection Secondary'!AR17+'Rev DC DC Primary Sorting'!AR17+'Rev Primary (FSM Rejections)'!AR17+'Rev Secondary Sorting'!AR17+'VIA Bag Sorting'!AR17</f>
        <v/>
      </c>
      <c r="AS17" s="7">
        <f>'BBB'!AS17+'Bag Staging'!AS17+'Bag Staging Volumetric'!AS17+'FWD FSM'!AS17+'FWD Manual Pre Primary'!AS17+'FWD Manual Primary'!AS17+'FWD Primary with Scan'!AS17+'FWD Secondary'!AS17+'FWD Volumetric'!AS17+'IB'!AS17+'IB Volumetric'!AS17+'OB'!AS17+'OB Volumetric'!AS17+'OSC Bag Sorting'!AS17+'OSC Bag Sorting Volumetric'!AS17+'REV FSM'!AS17+'Rejection Primary with Scan'!AS17+'Rejection Secondary'!AS17+'Rev DC DC Primary Sorting'!AS17+'Rev Primary (FSM Rejections)'!AS17+'Rev Secondary Sorting'!AS17+'VIA Bag Sorting'!AS17</f>
        <v/>
      </c>
      <c r="AT17" s="7">
        <f>'BBB'!AT17+'Bag Staging'!AT17+'Bag Staging Volumetric'!AT17+'FWD FSM'!AT17+'FWD Manual Pre Primary'!AT17+'FWD Manual Primary'!AT17+'FWD Primary with Scan'!AT17+'FWD Secondary'!AT17+'FWD Volumetric'!AT17+'IB'!AT17+'IB Volumetric'!AT17+'OB'!AT17+'OB Volumetric'!AT17+'OSC Bag Sorting'!AT17+'OSC Bag Sorting Volumetric'!AT17+'REV FSM'!AT17+'Rejection Primary with Scan'!AT17+'Rejection Secondary'!AT17+'Rev DC DC Primary Sorting'!AT17+'Rev Primary (FSM Rejections)'!AT17+'Rev Secondary Sorting'!AT17+'VIA Bag Sorting'!AT17</f>
        <v/>
      </c>
      <c r="AU17" s="7">
        <f>'BBB'!AU17+'Bag Staging'!AU17+'Bag Staging Volumetric'!AU17+'FWD FSM'!AU17+'FWD Manual Pre Primary'!AU17+'FWD Manual Primary'!AU17+'FWD Primary with Scan'!AU17+'FWD Secondary'!AU17+'FWD Volumetric'!AU17+'IB'!AU17+'IB Volumetric'!AU17+'OB'!AU17+'OB Volumetric'!AU17+'OSC Bag Sorting'!AU17+'OSC Bag Sorting Volumetric'!AU17+'REV FSM'!AU17+'Rejection Primary with Scan'!AU17+'Rejection Secondary'!AU17+'Rev DC DC Primary Sorting'!AU17+'Rev Primary (FSM Rejections)'!AU17+'Rev Secondary Sorting'!AU17+'VIA Bag Sorting'!AU17</f>
        <v/>
      </c>
      <c r="AV17" s="7">
        <f>'BBB'!AV17+'Bag Staging'!AV17+'Bag Staging Volumetric'!AV17+'FWD FSM'!AV17+'FWD Manual Pre Primary'!AV17+'FWD Manual Primary'!AV17+'FWD Primary with Scan'!AV17+'FWD Secondary'!AV17+'FWD Volumetric'!AV17+'IB'!AV17+'IB Volumetric'!AV17+'OB'!AV17+'OB Volumetric'!AV17+'OSC Bag Sorting'!AV17+'OSC Bag Sorting Volumetric'!AV17+'REV FSM'!AV17+'Rejection Primary with Scan'!AV17+'Rejection Secondary'!AV17+'Rev DC DC Primary Sorting'!AV17+'Rev Primary (FSM Rejections)'!AV17+'Rev Secondary Sorting'!AV17+'VIA Bag Sorting'!AV17</f>
        <v/>
      </c>
      <c r="AW17" s="7">
        <f>'BBB'!AW17+'Bag Staging'!AW17+'Bag Staging Volumetric'!AW17+'FWD FSM'!AW17+'FWD Manual Pre Primary'!AW17+'FWD Manual Primary'!AW17+'FWD Primary with Scan'!AW17+'FWD Secondary'!AW17+'FWD Volumetric'!AW17+'IB'!AW17+'IB Volumetric'!AW17+'OB'!AW17+'OB Volumetric'!AW17+'OSC Bag Sorting'!AW17+'OSC Bag Sorting Volumetric'!AW17+'REV FSM'!AW17+'Rejection Primary with Scan'!AW17+'Rejection Secondary'!AW17+'Rev DC DC Primary Sorting'!AW17+'Rev Primary (FSM Rejections)'!AW17+'Rev Secondary Sorting'!AW17+'VIA Bag Sorting'!AW17</f>
        <v/>
      </c>
      <c r="AX17" s="7">
        <f>'BBB'!AX17+'Bag Staging'!AX17+'Bag Staging Volumetric'!AX17+'FWD FSM'!AX17+'FWD Manual Pre Primary'!AX17+'FWD Manual Primary'!AX17+'FWD Primary with Scan'!AX17+'FWD Secondary'!AX17+'FWD Volumetric'!AX17+'IB'!AX17+'IB Volumetric'!AX17+'OB'!AX17+'OB Volumetric'!AX17+'OSC Bag Sorting'!AX17+'OSC Bag Sorting Volumetric'!AX17+'REV FSM'!AX17+'Rejection Primary with Scan'!AX17+'Rejection Secondary'!AX17+'Rev DC DC Primary Sorting'!AX17+'Rev Primary (FSM Rejections)'!AX17+'Rev Secondary Sorting'!AX17+'VIA Bag Sorting'!AX17</f>
        <v/>
      </c>
      <c r="AY17" s="7">
        <f>'BBB'!AY17+'Bag Staging'!AY17+'Bag Staging Volumetric'!AY17+'FWD FSM'!AY17+'FWD Manual Pre Primary'!AY17+'FWD Manual Primary'!AY17+'FWD Primary with Scan'!AY17+'FWD Secondary'!AY17+'FWD Volumetric'!AY17+'IB'!AY17+'IB Volumetric'!AY17+'OB'!AY17+'OB Volumetric'!AY17+'OSC Bag Sorting'!AY17+'OSC Bag Sorting Volumetric'!AY17+'REV FSM'!AY17+'Rejection Primary with Scan'!AY17+'Rejection Secondary'!AY17+'Rev DC DC Primary Sorting'!AY17+'Rev Primary (FSM Rejections)'!AY17+'Rev Secondary Sorting'!AY17+'VIA Bag Sorting'!AY17</f>
        <v/>
      </c>
      <c r="AZ17" s="7">
        <f>'BBB'!AZ17+'Bag Staging'!AZ17+'Bag Staging Volumetric'!AZ17+'FWD FSM'!AZ17+'FWD Manual Pre Primary'!AZ17+'FWD Manual Primary'!AZ17+'FWD Primary with Scan'!AZ17+'FWD Secondary'!AZ17+'FWD Volumetric'!AZ17+'IB'!AZ17+'IB Volumetric'!AZ17+'OB'!AZ17+'OB Volumetric'!AZ17+'OSC Bag Sorting'!AZ17+'OSC Bag Sorting Volumetric'!AZ17+'REV FSM'!AZ17+'Rejection Primary with Scan'!AZ17+'Rejection Secondary'!AZ17+'Rev DC DC Primary Sorting'!AZ17+'Rev Primary (FSM Rejections)'!AZ17+'Rev Secondary Sorting'!AZ17+'VIA Bag Sorting'!AZ17</f>
        <v/>
      </c>
      <c r="BA17" s="7">
        <f>'BBB'!BA17+'Bag Staging'!BA17+'Bag Staging Volumetric'!BA17+'FWD FSM'!BA17+'FWD Manual Pre Primary'!BA17+'FWD Manual Primary'!BA17+'FWD Primary with Scan'!BA17+'FWD Secondary'!BA17+'FWD Volumetric'!BA17+'IB'!BA17+'IB Volumetric'!BA17+'OB'!BA17+'OB Volumetric'!BA17+'OSC Bag Sorting'!BA17+'OSC Bag Sorting Volumetric'!BA17+'REV FSM'!BA17+'Rejection Primary with Scan'!BA17+'Rejection Secondary'!BA17+'Rev DC DC Primary Sorting'!BA17+'Rev Primary (FSM Rejections)'!BA17+'Rev Secondary Sorting'!BA17+'VIA Bag Sorting'!BA17</f>
        <v/>
      </c>
      <c r="BB17" s="7">
        <f>SUM(AD17:BA17)</f>
        <v/>
      </c>
    </row>
    <row r="18">
      <c r="A18" t="inlineStr">
        <is>
          <t>AMD-EXPR</t>
        </is>
      </c>
      <c r="B18" t="inlineStr">
        <is>
          <t>DSC Manual</t>
        </is>
      </c>
      <c r="C18" s="5" t="n">
        <v>46096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76</v>
      </c>
      <c r="I18" s="6" t="n">
        <v>371</v>
      </c>
      <c r="J18" s="6" t="n">
        <v>81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185</v>
      </c>
      <c r="S18" s="6" t="n">
        <v>605</v>
      </c>
      <c r="T18" s="6" t="n">
        <v>0</v>
      </c>
      <c r="U18" s="6" t="n">
        <v>569</v>
      </c>
      <c r="V18" s="6" t="n">
        <v>567</v>
      </c>
      <c r="W18" s="6" t="n">
        <v>446</v>
      </c>
      <c r="X18" s="6" t="n">
        <v>615</v>
      </c>
      <c r="Y18" s="6" t="n">
        <v>559</v>
      </c>
      <c r="Z18" s="6" t="n">
        <v>0</v>
      </c>
      <c r="AA18" s="6" t="n">
        <v>0</v>
      </c>
      <c r="AB18" s="6">
        <f>SUM(D18:AA18)</f>
        <v/>
      </c>
      <c r="AC18" s="3" t="inlineStr"/>
      <c r="AD18" s="7">
        <f>'BBB'!AD18+'Bag Staging'!AD18+'Bag Staging Volumetric'!AD18+'FWD FSM'!AD18+'FWD Manual Pre Primary'!AD18+'FWD Manual Primary'!AD18+'FWD Primary with Scan'!AD18+'FWD Secondary'!AD18+'FWD Volumetric'!AD18+'IB'!AD18+'IB Volumetric'!AD18+'OB'!AD18+'OB Volumetric'!AD18+'OSC Bag Sorting'!AD18+'OSC Bag Sorting Volumetric'!AD18+'REV FSM'!AD18+'Rejection Primary with Scan'!AD18+'Rejection Secondary'!AD18+'Rev DC DC Primary Sorting'!AD18+'Rev Primary (FSM Rejections)'!AD18+'Rev Secondary Sorting'!AD18+'VIA Bag Sorting'!AD18</f>
        <v/>
      </c>
      <c r="AE18" s="7">
        <f>'BBB'!AE18+'Bag Staging'!AE18+'Bag Staging Volumetric'!AE18+'FWD FSM'!AE18+'FWD Manual Pre Primary'!AE18+'FWD Manual Primary'!AE18+'FWD Primary with Scan'!AE18+'FWD Secondary'!AE18+'FWD Volumetric'!AE18+'IB'!AE18+'IB Volumetric'!AE18+'OB'!AE18+'OB Volumetric'!AE18+'OSC Bag Sorting'!AE18+'OSC Bag Sorting Volumetric'!AE18+'REV FSM'!AE18+'Rejection Primary with Scan'!AE18+'Rejection Secondary'!AE18+'Rev DC DC Primary Sorting'!AE18+'Rev Primary (FSM Rejections)'!AE18+'Rev Secondary Sorting'!AE18+'VIA Bag Sorting'!AE18</f>
        <v/>
      </c>
      <c r="AF18" s="7">
        <f>'BBB'!AF18+'Bag Staging'!AF18+'Bag Staging Volumetric'!AF18+'FWD FSM'!AF18+'FWD Manual Pre Primary'!AF18+'FWD Manual Primary'!AF18+'FWD Primary with Scan'!AF18+'FWD Secondary'!AF18+'FWD Volumetric'!AF18+'IB'!AF18+'IB Volumetric'!AF18+'OB'!AF18+'OB Volumetric'!AF18+'OSC Bag Sorting'!AF18+'OSC Bag Sorting Volumetric'!AF18+'REV FSM'!AF18+'Rejection Primary with Scan'!AF18+'Rejection Secondary'!AF18+'Rev DC DC Primary Sorting'!AF18+'Rev Primary (FSM Rejections)'!AF18+'Rev Secondary Sorting'!AF18+'VIA Bag Sorting'!AF18</f>
        <v/>
      </c>
      <c r="AG18" s="7">
        <f>'BBB'!AG18+'Bag Staging'!AG18+'Bag Staging Volumetric'!AG18+'FWD FSM'!AG18+'FWD Manual Pre Primary'!AG18+'FWD Manual Primary'!AG18+'FWD Primary with Scan'!AG18+'FWD Secondary'!AG18+'FWD Volumetric'!AG18+'IB'!AG18+'IB Volumetric'!AG18+'OB'!AG18+'OB Volumetric'!AG18+'OSC Bag Sorting'!AG18+'OSC Bag Sorting Volumetric'!AG18+'REV FSM'!AG18+'Rejection Primary with Scan'!AG18+'Rejection Secondary'!AG18+'Rev DC DC Primary Sorting'!AG18+'Rev Primary (FSM Rejections)'!AG18+'Rev Secondary Sorting'!AG18+'VIA Bag Sorting'!AG18</f>
        <v/>
      </c>
      <c r="AH18" s="7">
        <f>'BBB'!AH18+'Bag Staging'!AH18+'Bag Staging Volumetric'!AH18+'FWD FSM'!AH18+'FWD Manual Pre Primary'!AH18+'FWD Manual Primary'!AH18+'FWD Primary with Scan'!AH18+'FWD Secondary'!AH18+'FWD Volumetric'!AH18+'IB'!AH18+'IB Volumetric'!AH18+'OB'!AH18+'OB Volumetric'!AH18+'OSC Bag Sorting'!AH18+'OSC Bag Sorting Volumetric'!AH18+'REV FSM'!AH18+'Rejection Primary with Scan'!AH18+'Rejection Secondary'!AH18+'Rev DC DC Primary Sorting'!AH18+'Rev Primary (FSM Rejections)'!AH18+'Rev Secondary Sorting'!AH18+'VIA Bag Sorting'!AH18</f>
        <v/>
      </c>
      <c r="AI18" s="7">
        <f>'BBB'!AI18+'Bag Staging'!AI18+'Bag Staging Volumetric'!AI18+'FWD FSM'!AI18+'FWD Manual Pre Primary'!AI18+'FWD Manual Primary'!AI18+'FWD Primary with Scan'!AI18+'FWD Secondary'!AI18+'FWD Volumetric'!AI18+'IB'!AI18+'IB Volumetric'!AI18+'OB'!AI18+'OB Volumetric'!AI18+'OSC Bag Sorting'!AI18+'OSC Bag Sorting Volumetric'!AI18+'REV FSM'!AI18+'Rejection Primary with Scan'!AI18+'Rejection Secondary'!AI18+'Rev DC DC Primary Sorting'!AI18+'Rev Primary (FSM Rejections)'!AI18+'Rev Secondary Sorting'!AI18+'VIA Bag Sorting'!AI18</f>
        <v/>
      </c>
      <c r="AJ18" s="7">
        <f>'BBB'!AJ18+'Bag Staging'!AJ18+'Bag Staging Volumetric'!AJ18+'FWD FSM'!AJ18+'FWD Manual Pre Primary'!AJ18+'FWD Manual Primary'!AJ18+'FWD Primary with Scan'!AJ18+'FWD Secondary'!AJ18+'FWD Volumetric'!AJ18+'IB'!AJ18+'IB Volumetric'!AJ18+'OB'!AJ18+'OB Volumetric'!AJ18+'OSC Bag Sorting'!AJ18+'OSC Bag Sorting Volumetric'!AJ18+'REV FSM'!AJ18+'Rejection Primary with Scan'!AJ18+'Rejection Secondary'!AJ18+'Rev DC DC Primary Sorting'!AJ18+'Rev Primary (FSM Rejections)'!AJ18+'Rev Secondary Sorting'!AJ18+'VIA Bag Sorting'!AJ18</f>
        <v/>
      </c>
      <c r="AK18" s="7">
        <f>'BBB'!AK18+'Bag Staging'!AK18+'Bag Staging Volumetric'!AK18+'FWD FSM'!AK18+'FWD Manual Pre Primary'!AK18+'FWD Manual Primary'!AK18+'FWD Primary with Scan'!AK18+'FWD Secondary'!AK18+'FWD Volumetric'!AK18+'IB'!AK18+'IB Volumetric'!AK18+'OB'!AK18+'OB Volumetric'!AK18+'OSC Bag Sorting'!AK18+'OSC Bag Sorting Volumetric'!AK18+'REV FSM'!AK18+'Rejection Primary with Scan'!AK18+'Rejection Secondary'!AK18+'Rev DC DC Primary Sorting'!AK18+'Rev Primary (FSM Rejections)'!AK18+'Rev Secondary Sorting'!AK18+'VIA Bag Sorting'!AK18</f>
        <v/>
      </c>
      <c r="AL18" s="7">
        <f>'BBB'!AL18+'Bag Staging'!AL18+'Bag Staging Volumetric'!AL18+'FWD FSM'!AL18+'FWD Manual Pre Primary'!AL18+'FWD Manual Primary'!AL18+'FWD Primary with Scan'!AL18+'FWD Secondary'!AL18+'FWD Volumetric'!AL18+'IB'!AL18+'IB Volumetric'!AL18+'OB'!AL18+'OB Volumetric'!AL18+'OSC Bag Sorting'!AL18+'OSC Bag Sorting Volumetric'!AL18+'REV FSM'!AL18+'Rejection Primary with Scan'!AL18+'Rejection Secondary'!AL18+'Rev DC DC Primary Sorting'!AL18+'Rev Primary (FSM Rejections)'!AL18+'Rev Secondary Sorting'!AL18+'VIA Bag Sorting'!AL18</f>
        <v/>
      </c>
      <c r="AM18" s="7">
        <f>'BBB'!AM18+'Bag Staging'!AM18+'Bag Staging Volumetric'!AM18+'FWD FSM'!AM18+'FWD Manual Pre Primary'!AM18+'FWD Manual Primary'!AM18+'FWD Primary with Scan'!AM18+'FWD Secondary'!AM18+'FWD Volumetric'!AM18+'IB'!AM18+'IB Volumetric'!AM18+'OB'!AM18+'OB Volumetric'!AM18+'OSC Bag Sorting'!AM18+'OSC Bag Sorting Volumetric'!AM18+'REV FSM'!AM18+'Rejection Primary with Scan'!AM18+'Rejection Secondary'!AM18+'Rev DC DC Primary Sorting'!AM18+'Rev Primary (FSM Rejections)'!AM18+'Rev Secondary Sorting'!AM18+'VIA Bag Sorting'!AM18</f>
        <v/>
      </c>
      <c r="AN18" s="7">
        <f>'BBB'!AN18+'Bag Staging'!AN18+'Bag Staging Volumetric'!AN18+'FWD FSM'!AN18+'FWD Manual Pre Primary'!AN18+'FWD Manual Primary'!AN18+'FWD Primary with Scan'!AN18+'FWD Secondary'!AN18+'FWD Volumetric'!AN18+'IB'!AN18+'IB Volumetric'!AN18+'OB'!AN18+'OB Volumetric'!AN18+'OSC Bag Sorting'!AN18+'OSC Bag Sorting Volumetric'!AN18+'REV FSM'!AN18+'Rejection Primary with Scan'!AN18+'Rejection Secondary'!AN18+'Rev DC DC Primary Sorting'!AN18+'Rev Primary (FSM Rejections)'!AN18+'Rev Secondary Sorting'!AN18+'VIA Bag Sorting'!AN18</f>
        <v/>
      </c>
      <c r="AO18" s="7">
        <f>'BBB'!AO18+'Bag Staging'!AO18+'Bag Staging Volumetric'!AO18+'FWD FSM'!AO18+'FWD Manual Pre Primary'!AO18+'FWD Manual Primary'!AO18+'FWD Primary with Scan'!AO18+'FWD Secondary'!AO18+'FWD Volumetric'!AO18+'IB'!AO18+'IB Volumetric'!AO18+'OB'!AO18+'OB Volumetric'!AO18+'OSC Bag Sorting'!AO18+'OSC Bag Sorting Volumetric'!AO18+'REV FSM'!AO18+'Rejection Primary with Scan'!AO18+'Rejection Secondary'!AO18+'Rev DC DC Primary Sorting'!AO18+'Rev Primary (FSM Rejections)'!AO18+'Rev Secondary Sorting'!AO18+'VIA Bag Sorting'!AO18</f>
        <v/>
      </c>
      <c r="AP18" s="7">
        <f>'BBB'!AP18+'Bag Staging'!AP18+'Bag Staging Volumetric'!AP18+'FWD FSM'!AP18+'FWD Manual Pre Primary'!AP18+'FWD Manual Primary'!AP18+'FWD Primary with Scan'!AP18+'FWD Secondary'!AP18+'FWD Volumetric'!AP18+'IB'!AP18+'IB Volumetric'!AP18+'OB'!AP18+'OB Volumetric'!AP18+'OSC Bag Sorting'!AP18+'OSC Bag Sorting Volumetric'!AP18+'REV FSM'!AP18+'Rejection Primary with Scan'!AP18+'Rejection Secondary'!AP18+'Rev DC DC Primary Sorting'!AP18+'Rev Primary (FSM Rejections)'!AP18+'Rev Secondary Sorting'!AP18+'VIA Bag Sorting'!AP18</f>
        <v/>
      </c>
      <c r="AQ18" s="7">
        <f>'BBB'!AQ18+'Bag Staging'!AQ18+'Bag Staging Volumetric'!AQ18+'FWD FSM'!AQ18+'FWD Manual Pre Primary'!AQ18+'FWD Manual Primary'!AQ18+'FWD Primary with Scan'!AQ18+'FWD Secondary'!AQ18+'FWD Volumetric'!AQ18+'IB'!AQ18+'IB Volumetric'!AQ18+'OB'!AQ18+'OB Volumetric'!AQ18+'OSC Bag Sorting'!AQ18+'OSC Bag Sorting Volumetric'!AQ18+'REV FSM'!AQ18+'Rejection Primary with Scan'!AQ18+'Rejection Secondary'!AQ18+'Rev DC DC Primary Sorting'!AQ18+'Rev Primary (FSM Rejections)'!AQ18+'Rev Secondary Sorting'!AQ18+'VIA Bag Sorting'!AQ18</f>
        <v/>
      </c>
      <c r="AR18" s="7">
        <f>'BBB'!AR18+'Bag Staging'!AR18+'Bag Staging Volumetric'!AR18+'FWD FSM'!AR18+'FWD Manual Pre Primary'!AR18+'FWD Manual Primary'!AR18+'FWD Primary with Scan'!AR18+'FWD Secondary'!AR18+'FWD Volumetric'!AR18+'IB'!AR18+'IB Volumetric'!AR18+'OB'!AR18+'OB Volumetric'!AR18+'OSC Bag Sorting'!AR18+'OSC Bag Sorting Volumetric'!AR18+'REV FSM'!AR18+'Rejection Primary with Scan'!AR18+'Rejection Secondary'!AR18+'Rev DC DC Primary Sorting'!AR18+'Rev Primary (FSM Rejections)'!AR18+'Rev Secondary Sorting'!AR18+'VIA Bag Sorting'!AR18</f>
        <v/>
      </c>
      <c r="AS18" s="7">
        <f>'BBB'!AS18+'Bag Staging'!AS18+'Bag Staging Volumetric'!AS18+'FWD FSM'!AS18+'FWD Manual Pre Primary'!AS18+'FWD Manual Primary'!AS18+'FWD Primary with Scan'!AS18+'FWD Secondary'!AS18+'FWD Volumetric'!AS18+'IB'!AS18+'IB Volumetric'!AS18+'OB'!AS18+'OB Volumetric'!AS18+'OSC Bag Sorting'!AS18+'OSC Bag Sorting Volumetric'!AS18+'REV FSM'!AS18+'Rejection Primary with Scan'!AS18+'Rejection Secondary'!AS18+'Rev DC DC Primary Sorting'!AS18+'Rev Primary (FSM Rejections)'!AS18+'Rev Secondary Sorting'!AS18+'VIA Bag Sorting'!AS18</f>
        <v/>
      </c>
      <c r="AT18" s="7">
        <f>'BBB'!AT18+'Bag Staging'!AT18+'Bag Staging Volumetric'!AT18+'FWD FSM'!AT18+'FWD Manual Pre Primary'!AT18+'FWD Manual Primary'!AT18+'FWD Primary with Scan'!AT18+'FWD Secondary'!AT18+'FWD Volumetric'!AT18+'IB'!AT18+'IB Volumetric'!AT18+'OB'!AT18+'OB Volumetric'!AT18+'OSC Bag Sorting'!AT18+'OSC Bag Sorting Volumetric'!AT18+'REV FSM'!AT18+'Rejection Primary with Scan'!AT18+'Rejection Secondary'!AT18+'Rev DC DC Primary Sorting'!AT18+'Rev Primary (FSM Rejections)'!AT18+'Rev Secondary Sorting'!AT18+'VIA Bag Sorting'!AT18</f>
        <v/>
      </c>
      <c r="AU18" s="7">
        <f>'BBB'!AU18+'Bag Staging'!AU18+'Bag Staging Volumetric'!AU18+'FWD FSM'!AU18+'FWD Manual Pre Primary'!AU18+'FWD Manual Primary'!AU18+'FWD Primary with Scan'!AU18+'FWD Secondary'!AU18+'FWD Volumetric'!AU18+'IB'!AU18+'IB Volumetric'!AU18+'OB'!AU18+'OB Volumetric'!AU18+'OSC Bag Sorting'!AU18+'OSC Bag Sorting Volumetric'!AU18+'REV FSM'!AU18+'Rejection Primary with Scan'!AU18+'Rejection Secondary'!AU18+'Rev DC DC Primary Sorting'!AU18+'Rev Primary (FSM Rejections)'!AU18+'Rev Secondary Sorting'!AU18+'VIA Bag Sorting'!AU18</f>
        <v/>
      </c>
      <c r="AV18" s="7">
        <f>'BBB'!AV18+'Bag Staging'!AV18+'Bag Staging Volumetric'!AV18+'FWD FSM'!AV18+'FWD Manual Pre Primary'!AV18+'FWD Manual Primary'!AV18+'FWD Primary with Scan'!AV18+'FWD Secondary'!AV18+'FWD Volumetric'!AV18+'IB'!AV18+'IB Volumetric'!AV18+'OB'!AV18+'OB Volumetric'!AV18+'OSC Bag Sorting'!AV18+'OSC Bag Sorting Volumetric'!AV18+'REV FSM'!AV18+'Rejection Primary with Scan'!AV18+'Rejection Secondary'!AV18+'Rev DC DC Primary Sorting'!AV18+'Rev Primary (FSM Rejections)'!AV18+'Rev Secondary Sorting'!AV18+'VIA Bag Sorting'!AV18</f>
        <v/>
      </c>
      <c r="AW18" s="7">
        <f>'BBB'!AW18+'Bag Staging'!AW18+'Bag Staging Volumetric'!AW18+'FWD FSM'!AW18+'FWD Manual Pre Primary'!AW18+'FWD Manual Primary'!AW18+'FWD Primary with Scan'!AW18+'FWD Secondary'!AW18+'FWD Volumetric'!AW18+'IB'!AW18+'IB Volumetric'!AW18+'OB'!AW18+'OB Volumetric'!AW18+'OSC Bag Sorting'!AW18+'OSC Bag Sorting Volumetric'!AW18+'REV FSM'!AW18+'Rejection Primary with Scan'!AW18+'Rejection Secondary'!AW18+'Rev DC DC Primary Sorting'!AW18+'Rev Primary (FSM Rejections)'!AW18+'Rev Secondary Sorting'!AW18+'VIA Bag Sorting'!AW18</f>
        <v/>
      </c>
      <c r="AX18" s="7">
        <f>'BBB'!AX18+'Bag Staging'!AX18+'Bag Staging Volumetric'!AX18+'FWD FSM'!AX18+'FWD Manual Pre Primary'!AX18+'FWD Manual Primary'!AX18+'FWD Primary with Scan'!AX18+'FWD Secondary'!AX18+'FWD Volumetric'!AX18+'IB'!AX18+'IB Volumetric'!AX18+'OB'!AX18+'OB Volumetric'!AX18+'OSC Bag Sorting'!AX18+'OSC Bag Sorting Volumetric'!AX18+'REV FSM'!AX18+'Rejection Primary with Scan'!AX18+'Rejection Secondary'!AX18+'Rev DC DC Primary Sorting'!AX18+'Rev Primary (FSM Rejections)'!AX18+'Rev Secondary Sorting'!AX18+'VIA Bag Sorting'!AX18</f>
        <v/>
      </c>
      <c r="AY18" s="7">
        <f>'BBB'!AY18+'Bag Staging'!AY18+'Bag Staging Volumetric'!AY18+'FWD FSM'!AY18+'FWD Manual Pre Primary'!AY18+'FWD Manual Primary'!AY18+'FWD Primary with Scan'!AY18+'FWD Secondary'!AY18+'FWD Volumetric'!AY18+'IB'!AY18+'IB Volumetric'!AY18+'OB'!AY18+'OB Volumetric'!AY18+'OSC Bag Sorting'!AY18+'OSC Bag Sorting Volumetric'!AY18+'REV FSM'!AY18+'Rejection Primary with Scan'!AY18+'Rejection Secondary'!AY18+'Rev DC DC Primary Sorting'!AY18+'Rev Primary (FSM Rejections)'!AY18+'Rev Secondary Sorting'!AY18+'VIA Bag Sorting'!AY18</f>
        <v/>
      </c>
      <c r="AZ18" s="7">
        <f>'BBB'!AZ18+'Bag Staging'!AZ18+'Bag Staging Volumetric'!AZ18+'FWD FSM'!AZ18+'FWD Manual Pre Primary'!AZ18+'FWD Manual Primary'!AZ18+'FWD Primary with Scan'!AZ18+'FWD Secondary'!AZ18+'FWD Volumetric'!AZ18+'IB'!AZ18+'IB Volumetric'!AZ18+'OB'!AZ18+'OB Volumetric'!AZ18+'OSC Bag Sorting'!AZ18+'OSC Bag Sorting Volumetric'!AZ18+'REV FSM'!AZ18+'Rejection Primary with Scan'!AZ18+'Rejection Secondary'!AZ18+'Rev DC DC Primary Sorting'!AZ18+'Rev Primary (FSM Rejections)'!AZ18+'Rev Secondary Sorting'!AZ18+'VIA Bag Sorting'!AZ18</f>
        <v/>
      </c>
      <c r="BA18" s="7">
        <f>'BBB'!BA18+'Bag Staging'!BA18+'Bag Staging Volumetric'!BA18+'FWD FSM'!BA18+'FWD Manual Pre Primary'!BA18+'FWD Manual Primary'!BA18+'FWD Primary with Scan'!BA18+'FWD Secondary'!BA18+'FWD Volumetric'!BA18+'IB'!BA18+'IB Volumetric'!BA18+'OB'!BA18+'OB Volumetric'!BA18+'OSC Bag Sorting'!BA18+'OSC Bag Sorting Volumetric'!BA18+'REV FSM'!BA18+'Rejection Primary with Scan'!BA18+'Rejection Secondary'!BA18+'Rev DC DC Primary Sorting'!BA18+'Rev Primary (FSM Rejections)'!BA18+'Rev Secondary Sorting'!BA18+'VIA Bag Sorting'!BA18</f>
        <v/>
      </c>
      <c r="BB18" s="7">
        <f>SUM(AD18:BA18)</f>
        <v/>
      </c>
    </row>
    <row r="19">
      <c r="A19" t="inlineStr">
        <is>
          <t>AMD-EXPR</t>
        </is>
      </c>
      <c r="B19" t="inlineStr">
        <is>
          <t>DSC Manual</t>
        </is>
      </c>
      <c r="C19" s="5" t="n">
        <v>46097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221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131</v>
      </c>
      <c r="S19" s="6" t="n">
        <v>561</v>
      </c>
      <c r="T19" s="6" t="n">
        <v>0</v>
      </c>
      <c r="U19" s="6" t="n">
        <v>450</v>
      </c>
      <c r="V19" s="6" t="n">
        <v>196</v>
      </c>
      <c r="W19" s="6" t="n">
        <v>626</v>
      </c>
      <c r="X19" s="6" t="n">
        <v>552</v>
      </c>
      <c r="Y19" s="6" t="n">
        <v>553</v>
      </c>
      <c r="Z19" s="6" t="n">
        <v>0</v>
      </c>
      <c r="AA19" s="6" t="n">
        <v>0</v>
      </c>
      <c r="AB19" s="6">
        <f>SUM(D19:AA19)</f>
        <v/>
      </c>
      <c r="AC19" s="3" t="inlineStr"/>
      <c r="AD19" s="7">
        <f>'BBB'!AD19+'Bag Staging'!AD19+'Bag Staging Volumetric'!AD19+'FWD FSM'!AD19+'FWD Manual Pre Primary'!AD19+'FWD Manual Primary'!AD19+'FWD Primary with Scan'!AD19+'FWD Secondary'!AD19+'FWD Volumetric'!AD19+'IB'!AD19+'IB Volumetric'!AD19+'OB'!AD19+'OB Volumetric'!AD19+'OSC Bag Sorting'!AD19+'OSC Bag Sorting Volumetric'!AD19+'REV FSM'!AD19+'Rejection Primary with Scan'!AD19+'Rejection Secondary'!AD19+'Rev DC DC Primary Sorting'!AD19+'Rev Primary (FSM Rejections)'!AD19+'Rev Secondary Sorting'!AD19+'VIA Bag Sorting'!AD19</f>
        <v/>
      </c>
      <c r="AE19" s="7">
        <f>'BBB'!AE19+'Bag Staging'!AE19+'Bag Staging Volumetric'!AE19+'FWD FSM'!AE19+'FWD Manual Pre Primary'!AE19+'FWD Manual Primary'!AE19+'FWD Primary with Scan'!AE19+'FWD Secondary'!AE19+'FWD Volumetric'!AE19+'IB'!AE19+'IB Volumetric'!AE19+'OB'!AE19+'OB Volumetric'!AE19+'OSC Bag Sorting'!AE19+'OSC Bag Sorting Volumetric'!AE19+'REV FSM'!AE19+'Rejection Primary with Scan'!AE19+'Rejection Secondary'!AE19+'Rev DC DC Primary Sorting'!AE19+'Rev Primary (FSM Rejections)'!AE19+'Rev Secondary Sorting'!AE19+'VIA Bag Sorting'!AE19</f>
        <v/>
      </c>
      <c r="AF19" s="7">
        <f>'BBB'!AF19+'Bag Staging'!AF19+'Bag Staging Volumetric'!AF19+'FWD FSM'!AF19+'FWD Manual Pre Primary'!AF19+'FWD Manual Primary'!AF19+'FWD Primary with Scan'!AF19+'FWD Secondary'!AF19+'FWD Volumetric'!AF19+'IB'!AF19+'IB Volumetric'!AF19+'OB'!AF19+'OB Volumetric'!AF19+'OSC Bag Sorting'!AF19+'OSC Bag Sorting Volumetric'!AF19+'REV FSM'!AF19+'Rejection Primary with Scan'!AF19+'Rejection Secondary'!AF19+'Rev DC DC Primary Sorting'!AF19+'Rev Primary (FSM Rejections)'!AF19+'Rev Secondary Sorting'!AF19+'VIA Bag Sorting'!AF19</f>
        <v/>
      </c>
      <c r="AG19" s="7">
        <f>'BBB'!AG19+'Bag Staging'!AG19+'Bag Staging Volumetric'!AG19+'FWD FSM'!AG19+'FWD Manual Pre Primary'!AG19+'FWD Manual Primary'!AG19+'FWD Primary with Scan'!AG19+'FWD Secondary'!AG19+'FWD Volumetric'!AG19+'IB'!AG19+'IB Volumetric'!AG19+'OB'!AG19+'OB Volumetric'!AG19+'OSC Bag Sorting'!AG19+'OSC Bag Sorting Volumetric'!AG19+'REV FSM'!AG19+'Rejection Primary with Scan'!AG19+'Rejection Secondary'!AG19+'Rev DC DC Primary Sorting'!AG19+'Rev Primary (FSM Rejections)'!AG19+'Rev Secondary Sorting'!AG19+'VIA Bag Sorting'!AG19</f>
        <v/>
      </c>
      <c r="AH19" s="7">
        <f>'BBB'!AH19+'Bag Staging'!AH19+'Bag Staging Volumetric'!AH19+'FWD FSM'!AH19+'FWD Manual Pre Primary'!AH19+'FWD Manual Primary'!AH19+'FWD Primary with Scan'!AH19+'FWD Secondary'!AH19+'FWD Volumetric'!AH19+'IB'!AH19+'IB Volumetric'!AH19+'OB'!AH19+'OB Volumetric'!AH19+'OSC Bag Sorting'!AH19+'OSC Bag Sorting Volumetric'!AH19+'REV FSM'!AH19+'Rejection Primary with Scan'!AH19+'Rejection Secondary'!AH19+'Rev DC DC Primary Sorting'!AH19+'Rev Primary (FSM Rejections)'!AH19+'Rev Secondary Sorting'!AH19+'VIA Bag Sorting'!AH19</f>
        <v/>
      </c>
      <c r="AI19" s="7">
        <f>'BBB'!AI19+'Bag Staging'!AI19+'Bag Staging Volumetric'!AI19+'FWD FSM'!AI19+'FWD Manual Pre Primary'!AI19+'FWD Manual Primary'!AI19+'FWD Primary with Scan'!AI19+'FWD Secondary'!AI19+'FWD Volumetric'!AI19+'IB'!AI19+'IB Volumetric'!AI19+'OB'!AI19+'OB Volumetric'!AI19+'OSC Bag Sorting'!AI19+'OSC Bag Sorting Volumetric'!AI19+'REV FSM'!AI19+'Rejection Primary with Scan'!AI19+'Rejection Secondary'!AI19+'Rev DC DC Primary Sorting'!AI19+'Rev Primary (FSM Rejections)'!AI19+'Rev Secondary Sorting'!AI19+'VIA Bag Sorting'!AI19</f>
        <v/>
      </c>
      <c r="AJ19" s="7">
        <f>'BBB'!AJ19+'Bag Staging'!AJ19+'Bag Staging Volumetric'!AJ19+'FWD FSM'!AJ19+'FWD Manual Pre Primary'!AJ19+'FWD Manual Primary'!AJ19+'FWD Primary with Scan'!AJ19+'FWD Secondary'!AJ19+'FWD Volumetric'!AJ19+'IB'!AJ19+'IB Volumetric'!AJ19+'OB'!AJ19+'OB Volumetric'!AJ19+'OSC Bag Sorting'!AJ19+'OSC Bag Sorting Volumetric'!AJ19+'REV FSM'!AJ19+'Rejection Primary with Scan'!AJ19+'Rejection Secondary'!AJ19+'Rev DC DC Primary Sorting'!AJ19+'Rev Primary (FSM Rejections)'!AJ19+'Rev Secondary Sorting'!AJ19+'VIA Bag Sorting'!AJ19</f>
        <v/>
      </c>
      <c r="AK19" s="7">
        <f>'BBB'!AK19+'Bag Staging'!AK19+'Bag Staging Volumetric'!AK19+'FWD FSM'!AK19+'FWD Manual Pre Primary'!AK19+'FWD Manual Primary'!AK19+'FWD Primary with Scan'!AK19+'FWD Secondary'!AK19+'FWD Volumetric'!AK19+'IB'!AK19+'IB Volumetric'!AK19+'OB'!AK19+'OB Volumetric'!AK19+'OSC Bag Sorting'!AK19+'OSC Bag Sorting Volumetric'!AK19+'REV FSM'!AK19+'Rejection Primary with Scan'!AK19+'Rejection Secondary'!AK19+'Rev DC DC Primary Sorting'!AK19+'Rev Primary (FSM Rejections)'!AK19+'Rev Secondary Sorting'!AK19+'VIA Bag Sorting'!AK19</f>
        <v/>
      </c>
      <c r="AL19" s="7">
        <f>'BBB'!AL19+'Bag Staging'!AL19+'Bag Staging Volumetric'!AL19+'FWD FSM'!AL19+'FWD Manual Pre Primary'!AL19+'FWD Manual Primary'!AL19+'FWD Primary with Scan'!AL19+'FWD Secondary'!AL19+'FWD Volumetric'!AL19+'IB'!AL19+'IB Volumetric'!AL19+'OB'!AL19+'OB Volumetric'!AL19+'OSC Bag Sorting'!AL19+'OSC Bag Sorting Volumetric'!AL19+'REV FSM'!AL19+'Rejection Primary with Scan'!AL19+'Rejection Secondary'!AL19+'Rev DC DC Primary Sorting'!AL19+'Rev Primary (FSM Rejections)'!AL19+'Rev Secondary Sorting'!AL19+'VIA Bag Sorting'!AL19</f>
        <v/>
      </c>
      <c r="AM19" s="7">
        <f>'BBB'!AM19+'Bag Staging'!AM19+'Bag Staging Volumetric'!AM19+'FWD FSM'!AM19+'FWD Manual Pre Primary'!AM19+'FWD Manual Primary'!AM19+'FWD Primary with Scan'!AM19+'FWD Secondary'!AM19+'FWD Volumetric'!AM19+'IB'!AM19+'IB Volumetric'!AM19+'OB'!AM19+'OB Volumetric'!AM19+'OSC Bag Sorting'!AM19+'OSC Bag Sorting Volumetric'!AM19+'REV FSM'!AM19+'Rejection Primary with Scan'!AM19+'Rejection Secondary'!AM19+'Rev DC DC Primary Sorting'!AM19+'Rev Primary (FSM Rejections)'!AM19+'Rev Secondary Sorting'!AM19+'VIA Bag Sorting'!AM19</f>
        <v/>
      </c>
      <c r="AN19" s="7">
        <f>'BBB'!AN19+'Bag Staging'!AN19+'Bag Staging Volumetric'!AN19+'FWD FSM'!AN19+'FWD Manual Pre Primary'!AN19+'FWD Manual Primary'!AN19+'FWD Primary with Scan'!AN19+'FWD Secondary'!AN19+'FWD Volumetric'!AN19+'IB'!AN19+'IB Volumetric'!AN19+'OB'!AN19+'OB Volumetric'!AN19+'OSC Bag Sorting'!AN19+'OSC Bag Sorting Volumetric'!AN19+'REV FSM'!AN19+'Rejection Primary with Scan'!AN19+'Rejection Secondary'!AN19+'Rev DC DC Primary Sorting'!AN19+'Rev Primary (FSM Rejections)'!AN19+'Rev Secondary Sorting'!AN19+'VIA Bag Sorting'!AN19</f>
        <v/>
      </c>
      <c r="AO19" s="7">
        <f>'BBB'!AO19+'Bag Staging'!AO19+'Bag Staging Volumetric'!AO19+'FWD FSM'!AO19+'FWD Manual Pre Primary'!AO19+'FWD Manual Primary'!AO19+'FWD Primary with Scan'!AO19+'FWD Secondary'!AO19+'FWD Volumetric'!AO19+'IB'!AO19+'IB Volumetric'!AO19+'OB'!AO19+'OB Volumetric'!AO19+'OSC Bag Sorting'!AO19+'OSC Bag Sorting Volumetric'!AO19+'REV FSM'!AO19+'Rejection Primary with Scan'!AO19+'Rejection Secondary'!AO19+'Rev DC DC Primary Sorting'!AO19+'Rev Primary (FSM Rejections)'!AO19+'Rev Secondary Sorting'!AO19+'VIA Bag Sorting'!AO19</f>
        <v/>
      </c>
      <c r="AP19" s="7">
        <f>'BBB'!AP19+'Bag Staging'!AP19+'Bag Staging Volumetric'!AP19+'FWD FSM'!AP19+'FWD Manual Pre Primary'!AP19+'FWD Manual Primary'!AP19+'FWD Primary with Scan'!AP19+'FWD Secondary'!AP19+'FWD Volumetric'!AP19+'IB'!AP19+'IB Volumetric'!AP19+'OB'!AP19+'OB Volumetric'!AP19+'OSC Bag Sorting'!AP19+'OSC Bag Sorting Volumetric'!AP19+'REV FSM'!AP19+'Rejection Primary with Scan'!AP19+'Rejection Secondary'!AP19+'Rev DC DC Primary Sorting'!AP19+'Rev Primary (FSM Rejections)'!AP19+'Rev Secondary Sorting'!AP19+'VIA Bag Sorting'!AP19</f>
        <v/>
      </c>
      <c r="AQ19" s="7">
        <f>'BBB'!AQ19+'Bag Staging'!AQ19+'Bag Staging Volumetric'!AQ19+'FWD FSM'!AQ19+'FWD Manual Pre Primary'!AQ19+'FWD Manual Primary'!AQ19+'FWD Primary with Scan'!AQ19+'FWD Secondary'!AQ19+'FWD Volumetric'!AQ19+'IB'!AQ19+'IB Volumetric'!AQ19+'OB'!AQ19+'OB Volumetric'!AQ19+'OSC Bag Sorting'!AQ19+'OSC Bag Sorting Volumetric'!AQ19+'REV FSM'!AQ19+'Rejection Primary with Scan'!AQ19+'Rejection Secondary'!AQ19+'Rev DC DC Primary Sorting'!AQ19+'Rev Primary (FSM Rejections)'!AQ19+'Rev Secondary Sorting'!AQ19+'VIA Bag Sorting'!AQ19</f>
        <v/>
      </c>
      <c r="AR19" s="7">
        <f>'BBB'!AR19+'Bag Staging'!AR19+'Bag Staging Volumetric'!AR19+'FWD FSM'!AR19+'FWD Manual Pre Primary'!AR19+'FWD Manual Primary'!AR19+'FWD Primary with Scan'!AR19+'FWD Secondary'!AR19+'FWD Volumetric'!AR19+'IB'!AR19+'IB Volumetric'!AR19+'OB'!AR19+'OB Volumetric'!AR19+'OSC Bag Sorting'!AR19+'OSC Bag Sorting Volumetric'!AR19+'REV FSM'!AR19+'Rejection Primary with Scan'!AR19+'Rejection Secondary'!AR19+'Rev DC DC Primary Sorting'!AR19+'Rev Primary (FSM Rejections)'!AR19+'Rev Secondary Sorting'!AR19+'VIA Bag Sorting'!AR19</f>
        <v/>
      </c>
      <c r="AS19" s="7">
        <f>'BBB'!AS19+'Bag Staging'!AS19+'Bag Staging Volumetric'!AS19+'FWD FSM'!AS19+'FWD Manual Pre Primary'!AS19+'FWD Manual Primary'!AS19+'FWD Primary with Scan'!AS19+'FWD Secondary'!AS19+'FWD Volumetric'!AS19+'IB'!AS19+'IB Volumetric'!AS19+'OB'!AS19+'OB Volumetric'!AS19+'OSC Bag Sorting'!AS19+'OSC Bag Sorting Volumetric'!AS19+'REV FSM'!AS19+'Rejection Primary with Scan'!AS19+'Rejection Secondary'!AS19+'Rev DC DC Primary Sorting'!AS19+'Rev Primary (FSM Rejections)'!AS19+'Rev Secondary Sorting'!AS19+'VIA Bag Sorting'!AS19</f>
        <v/>
      </c>
      <c r="AT19" s="7">
        <f>'BBB'!AT19+'Bag Staging'!AT19+'Bag Staging Volumetric'!AT19+'FWD FSM'!AT19+'FWD Manual Pre Primary'!AT19+'FWD Manual Primary'!AT19+'FWD Primary with Scan'!AT19+'FWD Secondary'!AT19+'FWD Volumetric'!AT19+'IB'!AT19+'IB Volumetric'!AT19+'OB'!AT19+'OB Volumetric'!AT19+'OSC Bag Sorting'!AT19+'OSC Bag Sorting Volumetric'!AT19+'REV FSM'!AT19+'Rejection Primary with Scan'!AT19+'Rejection Secondary'!AT19+'Rev DC DC Primary Sorting'!AT19+'Rev Primary (FSM Rejections)'!AT19+'Rev Secondary Sorting'!AT19+'VIA Bag Sorting'!AT19</f>
        <v/>
      </c>
      <c r="AU19" s="7">
        <f>'BBB'!AU19+'Bag Staging'!AU19+'Bag Staging Volumetric'!AU19+'FWD FSM'!AU19+'FWD Manual Pre Primary'!AU19+'FWD Manual Primary'!AU19+'FWD Primary with Scan'!AU19+'FWD Secondary'!AU19+'FWD Volumetric'!AU19+'IB'!AU19+'IB Volumetric'!AU19+'OB'!AU19+'OB Volumetric'!AU19+'OSC Bag Sorting'!AU19+'OSC Bag Sorting Volumetric'!AU19+'REV FSM'!AU19+'Rejection Primary with Scan'!AU19+'Rejection Secondary'!AU19+'Rev DC DC Primary Sorting'!AU19+'Rev Primary (FSM Rejections)'!AU19+'Rev Secondary Sorting'!AU19+'VIA Bag Sorting'!AU19</f>
        <v/>
      </c>
      <c r="AV19" s="7">
        <f>'BBB'!AV19+'Bag Staging'!AV19+'Bag Staging Volumetric'!AV19+'FWD FSM'!AV19+'FWD Manual Pre Primary'!AV19+'FWD Manual Primary'!AV19+'FWD Primary with Scan'!AV19+'FWD Secondary'!AV19+'FWD Volumetric'!AV19+'IB'!AV19+'IB Volumetric'!AV19+'OB'!AV19+'OB Volumetric'!AV19+'OSC Bag Sorting'!AV19+'OSC Bag Sorting Volumetric'!AV19+'REV FSM'!AV19+'Rejection Primary with Scan'!AV19+'Rejection Secondary'!AV19+'Rev DC DC Primary Sorting'!AV19+'Rev Primary (FSM Rejections)'!AV19+'Rev Secondary Sorting'!AV19+'VIA Bag Sorting'!AV19</f>
        <v/>
      </c>
      <c r="AW19" s="7">
        <f>'BBB'!AW19+'Bag Staging'!AW19+'Bag Staging Volumetric'!AW19+'FWD FSM'!AW19+'FWD Manual Pre Primary'!AW19+'FWD Manual Primary'!AW19+'FWD Primary with Scan'!AW19+'FWD Secondary'!AW19+'FWD Volumetric'!AW19+'IB'!AW19+'IB Volumetric'!AW19+'OB'!AW19+'OB Volumetric'!AW19+'OSC Bag Sorting'!AW19+'OSC Bag Sorting Volumetric'!AW19+'REV FSM'!AW19+'Rejection Primary with Scan'!AW19+'Rejection Secondary'!AW19+'Rev DC DC Primary Sorting'!AW19+'Rev Primary (FSM Rejections)'!AW19+'Rev Secondary Sorting'!AW19+'VIA Bag Sorting'!AW19</f>
        <v/>
      </c>
      <c r="AX19" s="7">
        <f>'BBB'!AX19+'Bag Staging'!AX19+'Bag Staging Volumetric'!AX19+'FWD FSM'!AX19+'FWD Manual Pre Primary'!AX19+'FWD Manual Primary'!AX19+'FWD Primary with Scan'!AX19+'FWD Secondary'!AX19+'FWD Volumetric'!AX19+'IB'!AX19+'IB Volumetric'!AX19+'OB'!AX19+'OB Volumetric'!AX19+'OSC Bag Sorting'!AX19+'OSC Bag Sorting Volumetric'!AX19+'REV FSM'!AX19+'Rejection Primary with Scan'!AX19+'Rejection Secondary'!AX19+'Rev DC DC Primary Sorting'!AX19+'Rev Primary (FSM Rejections)'!AX19+'Rev Secondary Sorting'!AX19+'VIA Bag Sorting'!AX19</f>
        <v/>
      </c>
      <c r="AY19" s="7">
        <f>'BBB'!AY19+'Bag Staging'!AY19+'Bag Staging Volumetric'!AY19+'FWD FSM'!AY19+'FWD Manual Pre Primary'!AY19+'FWD Manual Primary'!AY19+'FWD Primary with Scan'!AY19+'FWD Secondary'!AY19+'FWD Volumetric'!AY19+'IB'!AY19+'IB Volumetric'!AY19+'OB'!AY19+'OB Volumetric'!AY19+'OSC Bag Sorting'!AY19+'OSC Bag Sorting Volumetric'!AY19+'REV FSM'!AY19+'Rejection Primary with Scan'!AY19+'Rejection Secondary'!AY19+'Rev DC DC Primary Sorting'!AY19+'Rev Primary (FSM Rejections)'!AY19+'Rev Secondary Sorting'!AY19+'VIA Bag Sorting'!AY19</f>
        <v/>
      </c>
      <c r="AZ19" s="7">
        <f>'BBB'!AZ19+'Bag Staging'!AZ19+'Bag Staging Volumetric'!AZ19+'FWD FSM'!AZ19+'FWD Manual Pre Primary'!AZ19+'FWD Manual Primary'!AZ19+'FWD Primary with Scan'!AZ19+'FWD Secondary'!AZ19+'FWD Volumetric'!AZ19+'IB'!AZ19+'IB Volumetric'!AZ19+'OB'!AZ19+'OB Volumetric'!AZ19+'OSC Bag Sorting'!AZ19+'OSC Bag Sorting Volumetric'!AZ19+'REV FSM'!AZ19+'Rejection Primary with Scan'!AZ19+'Rejection Secondary'!AZ19+'Rev DC DC Primary Sorting'!AZ19+'Rev Primary (FSM Rejections)'!AZ19+'Rev Secondary Sorting'!AZ19+'VIA Bag Sorting'!AZ19</f>
        <v/>
      </c>
      <c r="BA19" s="7">
        <f>'BBB'!BA19+'Bag Staging'!BA19+'Bag Staging Volumetric'!BA19+'FWD FSM'!BA19+'FWD Manual Pre Primary'!BA19+'FWD Manual Primary'!BA19+'FWD Primary with Scan'!BA19+'FWD Secondary'!BA19+'FWD Volumetric'!BA19+'IB'!BA19+'IB Volumetric'!BA19+'OB'!BA19+'OB Volumetric'!BA19+'OSC Bag Sorting'!BA19+'OSC Bag Sorting Volumetric'!BA19+'REV FSM'!BA19+'Rejection Primary with Scan'!BA19+'Rejection Secondary'!BA19+'Rev DC DC Primary Sorting'!BA19+'Rev Primary (FSM Rejections)'!BA19+'Rev Secondary Sorting'!BA19+'VIA Bag Sorting'!BA19</f>
        <v/>
      </c>
      <c r="BB19" s="7">
        <f>SUM(AD19:BA19)</f>
        <v/>
      </c>
    </row>
    <row r="20">
      <c r="A20" t="inlineStr">
        <is>
          <t>AMD-EXPR</t>
        </is>
      </c>
      <c r="B20" t="inlineStr">
        <is>
          <t>DSC Manual</t>
        </is>
      </c>
      <c r="C20" s="5" t="n">
        <v>46099</v>
      </c>
      <c r="D20" s="6" t="n">
        <v>0</v>
      </c>
      <c r="E20" s="6" t="n">
        <v>0</v>
      </c>
      <c r="F20" s="6" t="n">
        <v>43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90</v>
      </c>
      <c r="U20" s="6" t="n">
        <v>182</v>
      </c>
      <c r="V20" s="6" t="n">
        <v>96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>
        <f>SUM(D20:AA20)</f>
        <v/>
      </c>
      <c r="AC20" s="3" t="inlineStr"/>
      <c r="AD20" s="7">
        <f>'BBB'!AD20+'Bag Staging'!AD20+'Bag Staging Volumetric'!AD20+'FWD FSM'!AD20+'FWD Manual Pre Primary'!AD20+'FWD Manual Primary'!AD20+'FWD Primary with Scan'!AD20+'FWD Secondary'!AD20+'FWD Volumetric'!AD20+'IB'!AD20+'IB Volumetric'!AD20+'OB'!AD20+'OB Volumetric'!AD20+'OSC Bag Sorting'!AD20+'OSC Bag Sorting Volumetric'!AD20+'REV FSM'!AD20+'Rejection Primary with Scan'!AD20+'Rejection Secondary'!AD20+'Rev DC DC Primary Sorting'!AD20+'Rev Primary (FSM Rejections)'!AD20+'Rev Secondary Sorting'!AD20+'VIA Bag Sorting'!AD20</f>
        <v/>
      </c>
      <c r="AE20" s="7">
        <f>'BBB'!AE20+'Bag Staging'!AE20+'Bag Staging Volumetric'!AE20+'FWD FSM'!AE20+'FWD Manual Pre Primary'!AE20+'FWD Manual Primary'!AE20+'FWD Primary with Scan'!AE20+'FWD Secondary'!AE20+'FWD Volumetric'!AE20+'IB'!AE20+'IB Volumetric'!AE20+'OB'!AE20+'OB Volumetric'!AE20+'OSC Bag Sorting'!AE20+'OSC Bag Sorting Volumetric'!AE20+'REV FSM'!AE20+'Rejection Primary with Scan'!AE20+'Rejection Secondary'!AE20+'Rev DC DC Primary Sorting'!AE20+'Rev Primary (FSM Rejections)'!AE20+'Rev Secondary Sorting'!AE20+'VIA Bag Sorting'!AE20</f>
        <v/>
      </c>
      <c r="AF20" s="7">
        <f>'BBB'!AF20+'Bag Staging'!AF20+'Bag Staging Volumetric'!AF20+'FWD FSM'!AF20+'FWD Manual Pre Primary'!AF20+'FWD Manual Primary'!AF20+'FWD Primary with Scan'!AF20+'FWD Secondary'!AF20+'FWD Volumetric'!AF20+'IB'!AF20+'IB Volumetric'!AF20+'OB'!AF20+'OB Volumetric'!AF20+'OSC Bag Sorting'!AF20+'OSC Bag Sorting Volumetric'!AF20+'REV FSM'!AF20+'Rejection Primary with Scan'!AF20+'Rejection Secondary'!AF20+'Rev DC DC Primary Sorting'!AF20+'Rev Primary (FSM Rejections)'!AF20+'Rev Secondary Sorting'!AF20+'VIA Bag Sorting'!AF20</f>
        <v/>
      </c>
      <c r="AG20" s="7">
        <f>'BBB'!AG20+'Bag Staging'!AG20+'Bag Staging Volumetric'!AG20+'FWD FSM'!AG20+'FWD Manual Pre Primary'!AG20+'FWD Manual Primary'!AG20+'FWD Primary with Scan'!AG20+'FWD Secondary'!AG20+'FWD Volumetric'!AG20+'IB'!AG20+'IB Volumetric'!AG20+'OB'!AG20+'OB Volumetric'!AG20+'OSC Bag Sorting'!AG20+'OSC Bag Sorting Volumetric'!AG20+'REV FSM'!AG20+'Rejection Primary with Scan'!AG20+'Rejection Secondary'!AG20+'Rev DC DC Primary Sorting'!AG20+'Rev Primary (FSM Rejections)'!AG20+'Rev Secondary Sorting'!AG20+'VIA Bag Sorting'!AG20</f>
        <v/>
      </c>
      <c r="AH20" s="7">
        <f>'BBB'!AH20+'Bag Staging'!AH20+'Bag Staging Volumetric'!AH20+'FWD FSM'!AH20+'FWD Manual Pre Primary'!AH20+'FWD Manual Primary'!AH20+'FWD Primary with Scan'!AH20+'FWD Secondary'!AH20+'FWD Volumetric'!AH20+'IB'!AH20+'IB Volumetric'!AH20+'OB'!AH20+'OB Volumetric'!AH20+'OSC Bag Sorting'!AH20+'OSC Bag Sorting Volumetric'!AH20+'REV FSM'!AH20+'Rejection Primary with Scan'!AH20+'Rejection Secondary'!AH20+'Rev DC DC Primary Sorting'!AH20+'Rev Primary (FSM Rejections)'!AH20+'Rev Secondary Sorting'!AH20+'VIA Bag Sorting'!AH20</f>
        <v/>
      </c>
      <c r="AI20" s="7">
        <f>'BBB'!AI20+'Bag Staging'!AI20+'Bag Staging Volumetric'!AI20+'FWD FSM'!AI20+'FWD Manual Pre Primary'!AI20+'FWD Manual Primary'!AI20+'FWD Primary with Scan'!AI20+'FWD Secondary'!AI20+'FWD Volumetric'!AI20+'IB'!AI20+'IB Volumetric'!AI20+'OB'!AI20+'OB Volumetric'!AI20+'OSC Bag Sorting'!AI20+'OSC Bag Sorting Volumetric'!AI20+'REV FSM'!AI20+'Rejection Primary with Scan'!AI20+'Rejection Secondary'!AI20+'Rev DC DC Primary Sorting'!AI20+'Rev Primary (FSM Rejections)'!AI20+'Rev Secondary Sorting'!AI20+'VIA Bag Sorting'!AI20</f>
        <v/>
      </c>
      <c r="AJ20" s="7">
        <f>'BBB'!AJ20+'Bag Staging'!AJ20+'Bag Staging Volumetric'!AJ20+'FWD FSM'!AJ20+'FWD Manual Pre Primary'!AJ20+'FWD Manual Primary'!AJ20+'FWD Primary with Scan'!AJ20+'FWD Secondary'!AJ20+'FWD Volumetric'!AJ20+'IB'!AJ20+'IB Volumetric'!AJ20+'OB'!AJ20+'OB Volumetric'!AJ20+'OSC Bag Sorting'!AJ20+'OSC Bag Sorting Volumetric'!AJ20+'REV FSM'!AJ20+'Rejection Primary with Scan'!AJ20+'Rejection Secondary'!AJ20+'Rev DC DC Primary Sorting'!AJ20+'Rev Primary (FSM Rejections)'!AJ20+'Rev Secondary Sorting'!AJ20+'VIA Bag Sorting'!AJ20</f>
        <v/>
      </c>
      <c r="AK20" s="7">
        <f>'BBB'!AK20+'Bag Staging'!AK20+'Bag Staging Volumetric'!AK20+'FWD FSM'!AK20+'FWD Manual Pre Primary'!AK20+'FWD Manual Primary'!AK20+'FWD Primary with Scan'!AK20+'FWD Secondary'!AK20+'FWD Volumetric'!AK20+'IB'!AK20+'IB Volumetric'!AK20+'OB'!AK20+'OB Volumetric'!AK20+'OSC Bag Sorting'!AK20+'OSC Bag Sorting Volumetric'!AK20+'REV FSM'!AK20+'Rejection Primary with Scan'!AK20+'Rejection Secondary'!AK20+'Rev DC DC Primary Sorting'!AK20+'Rev Primary (FSM Rejections)'!AK20+'Rev Secondary Sorting'!AK20+'VIA Bag Sorting'!AK20</f>
        <v/>
      </c>
      <c r="AL20" s="7">
        <f>'BBB'!AL20+'Bag Staging'!AL20+'Bag Staging Volumetric'!AL20+'FWD FSM'!AL20+'FWD Manual Pre Primary'!AL20+'FWD Manual Primary'!AL20+'FWD Primary with Scan'!AL20+'FWD Secondary'!AL20+'FWD Volumetric'!AL20+'IB'!AL20+'IB Volumetric'!AL20+'OB'!AL20+'OB Volumetric'!AL20+'OSC Bag Sorting'!AL20+'OSC Bag Sorting Volumetric'!AL20+'REV FSM'!AL20+'Rejection Primary with Scan'!AL20+'Rejection Secondary'!AL20+'Rev DC DC Primary Sorting'!AL20+'Rev Primary (FSM Rejections)'!AL20+'Rev Secondary Sorting'!AL20+'VIA Bag Sorting'!AL20</f>
        <v/>
      </c>
      <c r="AM20" s="7">
        <f>'BBB'!AM20+'Bag Staging'!AM20+'Bag Staging Volumetric'!AM20+'FWD FSM'!AM20+'FWD Manual Pre Primary'!AM20+'FWD Manual Primary'!AM20+'FWD Primary with Scan'!AM20+'FWD Secondary'!AM20+'FWD Volumetric'!AM20+'IB'!AM20+'IB Volumetric'!AM20+'OB'!AM20+'OB Volumetric'!AM20+'OSC Bag Sorting'!AM20+'OSC Bag Sorting Volumetric'!AM20+'REV FSM'!AM20+'Rejection Primary with Scan'!AM20+'Rejection Secondary'!AM20+'Rev DC DC Primary Sorting'!AM20+'Rev Primary (FSM Rejections)'!AM20+'Rev Secondary Sorting'!AM20+'VIA Bag Sorting'!AM20</f>
        <v/>
      </c>
      <c r="AN20" s="7">
        <f>'BBB'!AN20+'Bag Staging'!AN20+'Bag Staging Volumetric'!AN20+'FWD FSM'!AN20+'FWD Manual Pre Primary'!AN20+'FWD Manual Primary'!AN20+'FWD Primary with Scan'!AN20+'FWD Secondary'!AN20+'FWD Volumetric'!AN20+'IB'!AN20+'IB Volumetric'!AN20+'OB'!AN20+'OB Volumetric'!AN20+'OSC Bag Sorting'!AN20+'OSC Bag Sorting Volumetric'!AN20+'REV FSM'!AN20+'Rejection Primary with Scan'!AN20+'Rejection Secondary'!AN20+'Rev DC DC Primary Sorting'!AN20+'Rev Primary (FSM Rejections)'!AN20+'Rev Secondary Sorting'!AN20+'VIA Bag Sorting'!AN20</f>
        <v/>
      </c>
      <c r="AO20" s="7">
        <f>'BBB'!AO20+'Bag Staging'!AO20+'Bag Staging Volumetric'!AO20+'FWD FSM'!AO20+'FWD Manual Pre Primary'!AO20+'FWD Manual Primary'!AO20+'FWD Primary with Scan'!AO20+'FWD Secondary'!AO20+'FWD Volumetric'!AO20+'IB'!AO20+'IB Volumetric'!AO20+'OB'!AO20+'OB Volumetric'!AO20+'OSC Bag Sorting'!AO20+'OSC Bag Sorting Volumetric'!AO20+'REV FSM'!AO20+'Rejection Primary with Scan'!AO20+'Rejection Secondary'!AO20+'Rev DC DC Primary Sorting'!AO20+'Rev Primary (FSM Rejections)'!AO20+'Rev Secondary Sorting'!AO20+'VIA Bag Sorting'!AO20</f>
        <v/>
      </c>
      <c r="AP20" s="7">
        <f>'BBB'!AP20+'Bag Staging'!AP20+'Bag Staging Volumetric'!AP20+'FWD FSM'!AP20+'FWD Manual Pre Primary'!AP20+'FWD Manual Primary'!AP20+'FWD Primary with Scan'!AP20+'FWD Secondary'!AP20+'FWD Volumetric'!AP20+'IB'!AP20+'IB Volumetric'!AP20+'OB'!AP20+'OB Volumetric'!AP20+'OSC Bag Sorting'!AP20+'OSC Bag Sorting Volumetric'!AP20+'REV FSM'!AP20+'Rejection Primary with Scan'!AP20+'Rejection Secondary'!AP20+'Rev DC DC Primary Sorting'!AP20+'Rev Primary (FSM Rejections)'!AP20+'Rev Secondary Sorting'!AP20+'VIA Bag Sorting'!AP20</f>
        <v/>
      </c>
      <c r="AQ20" s="7">
        <f>'BBB'!AQ20+'Bag Staging'!AQ20+'Bag Staging Volumetric'!AQ20+'FWD FSM'!AQ20+'FWD Manual Pre Primary'!AQ20+'FWD Manual Primary'!AQ20+'FWD Primary with Scan'!AQ20+'FWD Secondary'!AQ20+'FWD Volumetric'!AQ20+'IB'!AQ20+'IB Volumetric'!AQ20+'OB'!AQ20+'OB Volumetric'!AQ20+'OSC Bag Sorting'!AQ20+'OSC Bag Sorting Volumetric'!AQ20+'REV FSM'!AQ20+'Rejection Primary with Scan'!AQ20+'Rejection Secondary'!AQ20+'Rev DC DC Primary Sorting'!AQ20+'Rev Primary (FSM Rejections)'!AQ20+'Rev Secondary Sorting'!AQ20+'VIA Bag Sorting'!AQ20</f>
        <v/>
      </c>
      <c r="AR20" s="7">
        <f>'BBB'!AR20+'Bag Staging'!AR20+'Bag Staging Volumetric'!AR20+'FWD FSM'!AR20+'FWD Manual Pre Primary'!AR20+'FWD Manual Primary'!AR20+'FWD Primary with Scan'!AR20+'FWD Secondary'!AR20+'FWD Volumetric'!AR20+'IB'!AR20+'IB Volumetric'!AR20+'OB'!AR20+'OB Volumetric'!AR20+'OSC Bag Sorting'!AR20+'OSC Bag Sorting Volumetric'!AR20+'REV FSM'!AR20+'Rejection Primary with Scan'!AR20+'Rejection Secondary'!AR20+'Rev DC DC Primary Sorting'!AR20+'Rev Primary (FSM Rejections)'!AR20+'Rev Secondary Sorting'!AR20+'VIA Bag Sorting'!AR20</f>
        <v/>
      </c>
      <c r="AS20" s="7">
        <f>'BBB'!AS20+'Bag Staging'!AS20+'Bag Staging Volumetric'!AS20+'FWD FSM'!AS20+'FWD Manual Pre Primary'!AS20+'FWD Manual Primary'!AS20+'FWD Primary with Scan'!AS20+'FWD Secondary'!AS20+'FWD Volumetric'!AS20+'IB'!AS20+'IB Volumetric'!AS20+'OB'!AS20+'OB Volumetric'!AS20+'OSC Bag Sorting'!AS20+'OSC Bag Sorting Volumetric'!AS20+'REV FSM'!AS20+'Rejection Primary with Scan'!AS20+'Rejection Secondary'!AS20+'Rev DC DC Primary Sorting'!AS20+'Rev Primary (FSM Rejections)'!AS20+'Rev Secondary Sorting'!AS20+'VIA Bag Sorting'!AS20</f>
        <v/>
      </c>
      <c r="AT20" s="7">
        <f>'BBB'!AT20+'Bag Staging'!AT20+'Bag Staging Volumetric'!AT20+'FWD FSM'!AT20+'FWD Manual Pre Primary'!AT20+'FWD Manual Primary'!AT20+'FWD Primary with Scan'!AT20+'FWD Secondary'!AT20+'FWD Volumetric'!AT20+'IB'!AT20+'IB Volumetric'!AT20+'OB'!AT20+'OB Volumetric'!AT20+'OSC Bag Sorting'!AT20+'OSC Bag Sorting Volumetric'!AT20+'REV FSM'!AT20+'Rejection Primary with Scan'!AT20+'Rejection Secondary'!AT20+'Rev DC DC Primary Sorting'!AT20+'Rev Primary (FSM Rejections)'!AT20+'Rev Secondary Sorting'!AT20+'VIA Bag Sorting'!AT20</f>
        <v/>
      </c>
      <c r="AU20" s="7">
        <f>'BBB'!AU20+'Bag Staging'!AU20+'Bag Staging Volumetric'!AU20+'FWD FSM'!AU20+'FWD Manual Pre Primary'!AU20+'FWD Manual Primary'!AU20+'FWD Primary with Scan'!AU20+'FWD Secondary'!AU20+'FWD Volumetric'!AU20+'IB'!AU20+'IB Volumetric'!AU20+'OB'!AU20+'OB Volumetric'!AU20+'OSC Bag Sorting'!AU20+'OSC Bag Sorting Volumetric'!AU20+'REV FSM'!AU20+'Rejection Primary with Scan'!AU20+'Rejection Secondary'!AU20+'Rev DC DC Primary Sorting'!AU20+'Rev Primary (FSM Rejections)'!AU20+'Rev Secondary Sorting'!AU20+'VIA Bag Sorting'!AU20</f>
        <v/>
      </c>
      <c r="AV20" s="7">
        <f>'BBB'!AV20+'Bag Staging'!AV20+'Bag Staging Volumetric'!AV20+'FWD FSM'!AV20+'FWD Manual Pre Primary'!AV20+'FWD Manual Primary'!AV20+'FWD Primary with Scan'!AV20+'FWD Secondary'!AV20+'FWD Volumetric'!AV20+'IB'!AV20+'IB Volumetric'!AV20+'OB'!AV20+'OB Volumetric'!AV20+'OSC Bag Sorting'!AV20+'OSC Bag Sorting Volumetric'!AV20+'REV FSM'!AV20+'Rejection Primary with Scan'!AV20+'Rejection Secondary'!AV20+'Rev DC DC Primary Sorting'!AV20+'Rev Primary (FSM Rejections)'!AV20+'Rev Secondary Sorting'!AV20+'VIA Bag Sorting'!AV20</f>
        <v/>
      </c>
      <c r="AW20" s="7">
        <f>'BBB'!AW20+'Bag Staging'!AW20+'Bag Staging Volumetric'!AW20+'FWD FSM'!AW20+'FWD Manual Pre Primary'!AW20+'FWD Manual Primary'!AW20+'FWD Primary with Scan'!AW20+'FWD Secondary'!AW20+'FWD Volumetric'!AW20+'IB'!AW20+'IB Volumetric'!AW20+'OB'!AW20+'OB Volumetric'!AW20+'OSC Bag Sorting'!AW20+'OSC Bag Sorting Volumetric'!AW20+'REV FSM'!AW20+'Rejection Primary with Scan'!AW20+'Rejection Secondary'!AW20+'Rev DC DC Primary Sorting'!AW20+'Rev Primary (FSM Rejections)'!AW20+'Rev Secondary Sorting'!AW20+'VIA Bag Sorting'!AW20</f>
        <v/>
      </c>
      <c r="AX20" s="7">
        <f>'BBB'!AX20+'Bag Staging'!AX20+'Bag Staging Volumetric'!AX20+'FWD FSM'!AX20+'FWD Manual Pre Primary'!AX20+'FWD Manual Primary'!AX20+'FWD Primary with Scan'!AX20+'FWD Secondary'!AX20+'FWD Volumetric'!AX20+'IB'!AX20+'IB Volumetric'!AX20+'OB'!AX20+'OB Volumetric'!AX20+'OSC Bag Sorting'!AX20+'OSC Bag Sorting Volumetric'!AX20+'REV FSM'!AX20+'Rejection Primary with Scan'!AX20+'Rejection Secondary'!AX20+'Rev DC DC Primary Sorting'!AX20+'Rev Primary (FSM Rejections)'!AX20+'Rev Secondary Sorting'!AX20+'VIA Bag Sorting'!AX20</f>
        <v/>
      </c>
      <c r="AY20" s="7">
        <f>'BBB'!AY20+'Bag Staging'!AY20+'Bag Staging Volumetric'!AY20+'FWD FSM'!AY20+'FWD Manual Pre Primary'!AY20+'FWD Manual Primary'!AY20+'FWD Primary with Scan'!AY20+'FWD Secondary'!AY20+'FWD Volumetric'!AY20+'IB'!AY20+'IB Volumetric'!AY20+'OB'!AY20+'OB Volumetric'!AY20+'OSC Bag Sorting'!AY20+'OSC Bag Sorting Volumetric'!AY20+'REV FSM'!AY20+'Rejection Primary with Scan'!AY20+'Rejection Secondary'!AY20+'Rev DC DC Primary Sorting'!AY20+'Rev Primary (FSM Rejections)'!AY20+'Rev Secondary Sorting'!AY20+'VIA Bag Sorting'!AY20</f>
        <v/>
      </c>
      <c r="AZ20" s="7">
        <f>'BBB'!AZ20+'Bag Staging'!AZ20+'Bag Staging Volumetric'!AZ20+'FWD FSM'!AZ20+'FWD Manual Pre Primary'!AZ20+'FWD Manual Primary'!AZ20+'FWD Primary with Scan'!AZ20+'FWD Secondary'!AZ20+'FWD Volumetric'!AZ20+'IB'!AZ20+'IB Volumetric'!AZ20+'OB'!AZ20+'OB Volumetric'!AZ20+'OSC Bag Sorting'!AZ20+'OSC Bag Sorting Volumetric'!AZ20+'REV FSM'!AZ20+'Rejection Primary with Scan'!AZ20+'Rejection Secondary'!AZ20+'Rev DC DC Primary Sorting'!AZ20+'Rev Primary (FSM Rejections)'!AZ20+'Rev Secondary Sorting'!AZ20+'VIA Bag Sorting'!AZ20</f>
        <v/>
      </c>
      <c r="BA20" s="7">
        <f>'BBB'!BA20+'Bag Staging'!BA20+'Bag Staging Volumetric'!BA20+'FWD FSM'!BA20+'FWD Manual Pre Primary'!BA20+'FWD Manual Primary'!BA20+'FWD Primary with Scan'!BA20+'FWD Secondary'!BA20+'FWD Volumetric'!BA20+'IB'!BA20+'IB Volumetric'!BA20+'OB'!BA20+'OB Volumetric'!BA20+'OSC Bag Sorting'!BA20+'OSC Bag Sorting Volumetric'!BA20+'REV FSM'!BA20+'Rejection Primary with Scan'!BA20+'Rejection Secondary'!BA20+'Rev DC DC Primary Sorting'!BA20+'Rev Primary (FSM Rejections)'!BA20+'Rev Secondary Sorting'!BA20+'VIA Bag Sorting'!BA20</f>
        <v/>
      </c>
      <c r="BB20" s="7">
        <f>SUM(AD20:BA20)</f>
        <v/>
      </c>
    </row>
    <row r="21">
      <c r="A21" t="inlineStr">
        <is>
          <t>AMD-EXPR</t>
        </is>
      </c>
      <c r="B21" t="inlineStr">
        <is>
          <t>DSC Manual</t>
        </is>
      </c>
      <c r="C21" s="5" t="n">
        <v>46100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247</v>
      </c>
      <c r="Z21" s="6" t="n">
        <v>0</v>
      </c>
      <c r="AA21" s="6" t="n">
        <v>0</v>
      </c>
      <c r="AB21" s="6">
        <f>SUM(D21:AA21)</f>
        <v/>
      </c>
      <c r="AC21" s="3" t="inlineStr"/>
      <c r="AD21" s="7">
        <f>'BBB'!AD21+'Bag Staging'!AD21+'Bag Staging Volumetric'!AD21+'FWD FSM'!AD21+'FWD Manual Pre Primary'!AD21+'FWD Manual Primary'!AD21+'FWD Primary with Scan'!AD21+'FWD Secondary'!AD21+'FWD Volumetric'!AD21+'IB'!AD21+'IB Volumetric'!AD21+'OB'!AD21+'OB Volumetric'!AD21+'OSC Bag Sorting'!AD21+'OSC Bag Sorting Volumetric'!AD21+'REV FSM'!AD21+'Rejection Primary with Scan'!AD21+'Rejection Secondary'!AD21+'Rev DC DC Primary Sorting'!AD21+'Rev Primary (FSM Rejections)'!AD21+'Rev Secondary Sorting'!AD21+'VIA Bag Sorting'!AD21</f>
        <v/>
      </c>
      <c r="AE21" s="7">
        <f>'BBB'!AE21+'Bag Staging'!AE21+'Bag Staging Volumetric'!AE21+'FWD FSM'!AE21+'FWD Manual Pre Primary'!AE21+'FWD Manual Primary'!AE21+'FWD Primary with Scan'!AE21+'FWD Secondary'!AE21+'FWD Volumetric'!AE21+'IB'!AE21+'IB Volumetric'!AE21+'OB'!AE21+'OB Volumetric'!AE21+'OSC Bag Sorting'!AE21+'OSC Bag Sorting Volumetric'!AE21+'REV FSM'!AE21+'Rejection Primary with Scan'!AE21+'Rejection Secondary'!AE21+'Rev DC DC Primary Sorting'!AE21+'Rev Primary (FSM Rejections)'!AE21+'Rev Secondary Sorting'!AE21+'VIA Bag Sorting'!AE21</f>
        <v/>
      </c>
      <c r="AF21" s="7">
        <f>'BBB'!AF21+'Bag Staging'!AF21+'Bag Staging Volumetric'!AF21+'FWD FSM'!AF21+'FWD Manual Pre Primary'!AF21+'FWD Manual Primary'!AF21+'FWD Primary with Scan'!AF21+'FWD Secondary'!AF21+'FWD Volumetric'!AF21+'IB'!AF21+'IB Volumetric'!AF21+'OB'!AF21+'OB Volumetric'!AF21+'OSC Bag Sorting'!AF21+'OSC Bag Sorting Volumetric'!AF21+'REV FSM'!AF21+'Rejection Primary with Scan'!AF21+'Rejection Secondary'!AF21+'Rev DC DC Primary Sorting'!AF21+'Rev Primary (FSM Rejections)'!AF21+'Rev Secondary Sorting'!AF21+'VIA Bag Sorting'!AF21</f>
        <v/>
      </c>
      <c r="AG21" s="7">
        <f>'BBB'!AG21+'Bag Staging'!AG21+'Bag Staging Volumetric'!AG21+'FWD FSM'!AG21+'FWD Manual Pre Primary'!AG21+'FWD Manual Primary'!AG21+'FWD Primary with Scan'!AG21+'FWD Secondary'!AG21+'FWD Volumetric'!AG21+'IB'!AG21+'IB Volumetric'!AG21+'OB'!AG21+'OB Volumetric'!AG21+'OSC Bag Sorting'!AG21+'OSC Bag Sorting Volumetric'!AG21+'REV FSM'!AG21+'Rejection Primary with Scan'!AG21+'Rejection Secondary'!AG21+'Rev DC DC Primary Sorting'!AG21+'Rev Primary (FSM Rejections)'!AG21+'Rev Secondary Sorting'!AG21+'VIA Bag Sorting'!AG21</f>
        <v/>
      </c>
      <c r="AH21" s="7">
        <f>'BBB'!AH21+'Bag Staging'!AH21+'Bag Staging Volumetric'!AH21+'FWD FSM'!AH21+'FWD Manual Pre Primary'!AH21+'FWD Manual Primary'!AH21+'FWD Primary with Scan'!AH21+'FWD Secondary'!AH21+'FWD Volumetric'!AH21+'IB'!AH21+'IB Volumetric'!AH21+'OB'!AH21+'OB Volumetric'!AH21+'OSC Bag Sorting'!AH21+'OSC Bag Sorting Volumetric'!AH21+'REV FSM'!AH21+'Rejection Primary with Scan'!AH21+'Rejection Secondary'!AH21+'Rev DC DC Primary Sorting'!AH21+'Rev Primary (FSM Rejections)'!AH21+'Rev Secondary Sorting'!AH21+'VIA Bag Sorting'!AH21</f>
        <v/>
      </c>
      <c r="AI21" s="7">
        <f>'BBB'!AI21+'Bag Staging'!AI21+'Bag Staging Volumetric'!AI21+'FWD FSM'!AI21+'FWD Manual Pre Primary'!AI21+'FWD Manual Primary'!AI21+'FWD Primary with Scan'!AI21+'FWD Secondary'!AI21+'FWD Volumetric'!AI21+'IB'!AI21+'IB Volumetric'!AI21+'OB'!AI21+'OB Volumetric'!AI21+'OSC Bag Sorting'!AI21+'OSC Bag Sorting Volumetric'!AI21+'REV FSM'!AI21+'Rejection Primary with Scan'!AI21+'Rejection Secondary'!AI21+'Rev DC DC Primary Sorting'!AI21+'Rev Primary (FSM Rejections)'!AI21+'Rev Secondary Sorting'!AI21+'VIA Bag Sorting'!AI21</f>
        <v/>
      </c>
      <c r="AJ21" s="7">
        <f>'BBB'!AJ21+'Bag Staging'!AJ21+'Bag Staging Volumetric'!AJ21+'FWD FSM'!AJ21+'FWD Manual Pre Primary'!AJ21+'FWD Manual Primary'!AJ21+'FWD Primary with Scan'!AJ21+'FWD Secondary'!AJ21+'FWD Volumetric'!AJ21+'IB'!AJ21+'IB Volumetric'!AJ21+'OB'!AJ21+'OB Volumetric'!AJ21+'OSC Bag Sorting'!AJ21+'OSC Bag Sorting Volumetric'!AJ21+'REV FSM'!AJ21+'Rejection Primary with Scan'!AJ21+'Rejection Secondary'!AJ21+'Rev DC DC Primary Sorting'!AJ21+'Rev Primary (FSM Rejections)'!AJ21+'Rev Secondary Sorting'!AJ21+'VIA Bag Sorting'!AJ21</f>
        <v/>
      </c>
      <c r="AK21" s="7">
        <f>'BBB'!AK21+'Bag Staging'!AK21+'Bag Staging Volumetric'!AK21+'FWD FSM'!AK21+'FWD Manual Pre Primary'!AK21+'FWD Manual Primary'!AK21+'FWD Primary with Scan'!AK21+'FWD Secondary'!AK21+'FWD Volumetric'!AK21+'IB'!AK21+'IB Volumetric'!AK21+'OB'!AK21+'OB Volumetric'!AK21+'OSC Bag Sorting'!AK21+'OSC Bag Sorting Volumetric'!AK21+'REV FSM'!AK21+'Rejection Primary with Scan'!AK21+'Rejection Secondary'!AK21+'Rev DC DC Primary Sorting'!AK21+'Rev Primary (FSM Rejections)'!AK21+'Rev Secondary Sorting'!AK21+'VIA Bag Sorting'!AK21</f>
        <v/>
      </c>
      <c r="AL21" s="7">
        <f>'BBB'!AL21+'Bag Staging'!AL21+'Bag Staging Volumetric'!AL21+'FWD FSM'!AL21+'FWD Manual Pre Primary'!AL21+'FWD Manual Primary'!AL21+'FWD Primary with Scan'!AL21+'FWD Secondary'!AL21+'FWD Volumetric'!AL21+'IB'!AL21+'IB Volumetric'!AL21+'OB'!AL21+'OB Volumetric'!AL21+'OSC Bag Sorting'!AL21+'OSC Bag Sorting Volumetric'!AL21+'REV FSM'!AL21+'Rejection Primary with Scan'!AL21+'Rejection Secondary'!AL21+'Rev DC DC Primary Sorting'!AL21+'Rev Primary (FSM Rejections)'!AL21+'Rev Secondary Sorting'!AL21+'VIA Bag Sorting'!AL21</f>
        <v/>
      </c>
      <c r="AM21" s="7">
        <f>'BBB'!AM21+'Bag Staging'!AM21+'Bag Staging Volumetric'!AM21+'FWD FSM'!AM21+'FWD Manual Pre Primary'!AM21+'FWD Manual Primary'!AM21+'FWD Primary with Scan'!AM21+'FWD Secondary'!AM21+'FWD Volumetric'!AM21+'IB'!AM21+'IB Volumetric'!AM21+'OB'!AM21+'OB Volumetric'!AM21+'OSC Bag Sorting'!AM21+'OSC Bag Sorting Volumetric'!AM21+'REV FSM'!AM21+'Rejection Primary with Scan'!AM21+'Rejection Secondary'!AM21+'Rev DC DC Primary Sorting'!AM21+'Rev Primary (FSM Rejections)'!AM21+'Rev Secondary Sorting'!AM21+'VIA Bag Sorting'!AM21</f>
        <v/>
      </c>
      <c r="AN21" s="7">
        <f>'BBB'!AN21+'Bag Staging'!AN21+'Bag Staging Volumetric'!AN21+'FWD FSM'!AN21+'FWD Manual Pre Primary'!AN21+'FWD Manual Primary'!AN21+'FWD Primary with Scan'!AN21+'FWD Secondary'!AN21+'FWD Volumetric'!AN21+'IB'!AN21+'IB Volumetric'!AN21+'OB'!AN21+'OB Volumetric'!AN21+'OSC Bag Sorting'!AN21+'OSC Bag Sorting Volumetric'!AN21+'REV FSM'!AN21+'Rejection Primary with Scan'!AN21+'Rejection Secondary'!AN21+'Rev DC DC Primary Sorting'!AN21+'Rev Primary (FSM Rejections)'!AN21+'Rev Secondary Sorting'!AN21+'VIA Bag Sorting'!AN21</f>
        <v/>
      </c>
      <c r="AO21" s="7">
        <f>'BBB'!AO21+'Bag Staging'!AO21+'Bag Staging Volumetric'!AO21+'FWD FSM'!AO21+'FWD Manual Pre Primary'!AO21+'FWD Manual Primary'!AO21+'FWD Primary with Scan'!AO21+'FWD Secondary'!AO21+'FWD Volumetric'!AO21+'IB'!AO21+'IB Volumetric'!AO21+'OB'!AO21+'OB Volumetric'!AO21+'OSC Bag Sorting'!AO21+'OSC Bag Sorting Volumetric'!AO21+'REV FSM'!AO21+'Rejection Primary with Scan'!AO21+'Rejection Secondary'!AO21+'Rev DC DC Primary Sorting'!AO21+'Rev Primary (FSM Rejections)'!AO21+'Rev Secondary Sorting'!AO21+'VIA Bag Sorting'!AO21</f>
        <v/>
      </c>
      <c r="AP21" s="7">
        <f>'BBB'!AP21+'Bag Staging'!AP21+'Bag Staging Volumetric'!AP21+'FWD FSM'!AP21+'FWD Manual Pre Primary'!AP21+'FWD Manual Primary'!AP21+'FWD Primary with Scan'!AP21+'FWD Secondary'!AP21+'FWD Volumetric'!AP21+'IB'!AP21+'IB Volumetric'!AP21+'OB'!AP21+'OB Volumetric'!AP21+'OSC Bag Sorting'!AP21+'OSC Bag Sorting Volumetric'!AP21+'REV FSM'!AP21+'Rejection Primary with Scan'!AP21+'Rejection Secondary'!AP21+'Rev DC DC Primary Sorting'!AP21+'Rev Primary (FSM Rejections)'!AP21+'Rev Secondary Sorting'!AP21+'VIA Bag Sorting'!AP21</f>
        <v/>
      </c>
      <c r="AQ21" s="7">
        <f>'BBB'!AQ21+'Bag Staging'!AQ21+'Bag Staging Volumetric'!AQ21+'FWD FSM'!AQ21+'FWD Manual Pre Primary'!AQ21+'FWD Manual Primary'!AQ21+'FWD Primary with Scan'!AQ21+'FWD Secondary'!AQ21+'FWD Volumetric'!AQ21+'IB'!AQ21+'IB Volumetric'!AQ21+'OB'!AQ21+'OB Volumetric'!AQ21+'OSC Bag Sorting'!AQ21+'OSC Bag Sorting Volumetric'!AQ21+'REV FSM'!AQ21+'Rejection Primary with Scan'!AQ21+'Rejection Secondary'!AQ21+'Rev DC DC Primary Sorting'!AQ21+'Rev Primary (FSM Rejections)'!AQ21+'Rev Secondary Sorting'!AQ21+'VIA Bag Sorting'!AQ21</f>
        <v/>
      </c>
      <c r="AR21" s="7">
        <f>'BBB'!AR21+'Bag Staging'!AR21+'Bag Staging Volumetric'!AR21+'FWD FSM'!AR21+'FWD Manual Pre Primary'!AR21+'FWD Manual Primary'!AR21+'FWD Primary with Scan'!AR21+'FWD Secondary'!AR21+'FWD Volumetric'!AR21+'IB'!AR21+'IB Volumetric'!AR21+'OB'!AR21+'OB Volumetric'!AR21+'OSC Bag Sorting'!AR21+'OSC Bag Sorting Volumetric'!AR21+'REV FSM'!AR21+'Rejection Primary with Scan'!AR21+'Rejection Secondary'!AR21+'Rev DC DC Primary Sorting'!AR21+'Rev Primary (FSM Rejections)'!AR21+'Rev Secondary Sorting'!AR21+'VIA Bag Sorting'!AR21</f>
        <v/>
      </c>
      <c r="AS21" s="7">
        <f>'BBB'!AS21+'Bag Staging'!AS21+'Bag Staging Volumetric'!AS21+'FWD FSM'!AS21+'FWD Manual Pre Primary'!AS21+'FWD Manual Primary'!AS21+'FWD Primary with Scan'!AS21+'FWD Secondary'!AS21+'FWD Volumetric'!AS21+'IB'!AS21+'IB Volumetric'!AS21+'OB'!AS21+'OB Volumetric'!AS21+'OSC Bag Sorting'!AS21+'OSC Bag Sorting Volumetric'!AS21+'REV FSM'!AS21+'Rejection Primary with Scan'!AS21+'Rejection Secondary'!AS21+'Rev DC DC Primary Sorting'!AS21+'Rev Primary (FSM Rejections)'!AS21+'Rev Secondary Sorting'!AS21+'VIA Bag Sorting'!AS21</f>
        <v/>
      </c>
      <c r="AT21" s="7">
        <f>'BBB'!AT21+'Bag Staging'!AT21+'Bag Staging Volumetric'!AT21+'FWD FSM'!AT21+'FWD Manual Pre Primary'!AT21+'FWD Manual Primary'!AT21+'FWD Primary with Scan'!AT21+'FWD Secondary'!AT21+'FWD Volumetric'!AT21+'IB'!AT21+'IB Volumetric'!AT21+'OB'!AT21+'OB Volumetric'!AT21+'OSC Bag Sorting'!AT21+'OSC Bag Sorting Volumetric'!AT21+'REV FSM'!AT21+'Rejection Primary with Scan'!AT21+'Rejection Secondary'!AT21+'Rev DC DC Primary Sorting'!AT21+'Rev Primary (FSM Rejections)'!AT21+'Rev Secondary Sorting'!AT21+'VIA Bag Sorting'!AT21</f>
        <v/>
      </c>
      <c r="AU21" s="7">
        <f>'BBB'!AU21+'Bag Staging'!AU21+'Bag Staging Volumetric'!AU21+'FWD FSM'!AU21+'FWD Manual Pre Primary'!AU21+'FWD Manual Primary'!AU21+'FWD Primary with Scan'!AU21+'FWD Secondary'!AU21+'FWD Volumetric'!AU21+'IB'!AU21+'IB Volumetric'!AU21+'OB'!AU21+'OB Volumetric'!AU21+'OSC Bag Sorting'!AU21+'OSC Bag Sorting Volumetric'!AU21+'REV FSM'!AU21+'Rejection Primary with Scan'!AU21+'Rejection Secondary'!AU21+'Rev DC DC Primary Sorting'!AU21+'Rev Primary (FSM Rejections)'!AU21+'Rev Secondary Sorting'!AU21+'VIA Bag Sorting'!AU21</f>
        <v/>
      </c>
      <c r="AV21" s="7">
        <f>'BBB'!AV21+'Bag Staging'!AV21+'Bag Staging Volumetric'!AV21+'FWD FSM'!AV21+'FWD Manual Pre Primary'!AV21+'FWD Manual Primary'!AV21+'FWD Primary with Scan'!AV21+'FWD Secondary'!AV21+'FWD Volumetric'!AV21+'IB'!AV21+'IB Volumetric'!AV21+'OB'!AV21+'OB Volumetric'!AV21+'OSC Bag Sorting'!AV21+'OSC Bag Sorting Volumetric'!AV21+'REV FSM'!AV21+'Rejection Primary with Scan'!AV21+'Rejection Secondary'!AV21+'Rev DC DC Primary Sorting'!AV21+'Rev Primary (FSM Rejections)'!AV21+'Rev Secondary Sorting'!AV21+'VIA Bag Sorting'!AV21</f>
        <v/>
      </c>
      <c r="AW21" s="7">
        <f>'BBB'!AW21+'Bag Staging'!AW21+'Bag Staging Volumetric'!AW21+'FWD FSM'!AW21+'FWD Manual Pre Primary'!AW21+'FWD Manual Primary'!AW21+'FWD Primary with Scan'!AW21+'FWD Secondary'!AW21+'FWD Volumetric'!AW21+'IB'!AW21+'IB Volumetric'!AW21+'OB'!AW21+'OB Volumetric'!AW21+'OSC Bag Sorting'!AW21+'OSC Bag Sorting Volumetric'!AW21+'REV FSM'!AW21+'Rejection Primary with Scan'!AW21+'Rejection Secondary'!AW21+'Rev DC DC Primary Sorting'!AW21+'Rev Primary (FSM Rejections)'!AW21+'Rev Secondary Sorting'!AW21+'VIA Bag Sorting'!AW21</f>
        <v/>
      </c>
      <c r="AX21" s="7">
        <f>'BBB'!AX21+'Bag Staging'!AX21+'Bag Staging Volumetric'!AX21+'FWD FSM'!AX21+'FWD Manual Pre Primary'!AX21+'FWD Manual Primary'!AX21+'FWD Primary with Scan'!AX21+'FWD Secondary'!AX21+'FWD Volumetric'!AX21+'IB'!AX21+'IB Volumetric'!AX21+'OB'!AX21+'OB Volumetric'!AX21+'OSC Bag Sorting'!AX21+'OSC Bag Sorting Volumetric'!AX21+'REV FSM'!AX21+'Rejection Primary with Scan'!AX21+'Rejection Secondary'!AX21+'Rev DC DC Primary Sorting'!AX21+'Rev Primary (FSM Rejections)'!AX21+'Rev Secondary Sorting'!AX21+'VIA Bag Sorting'!AX21</f>
        <v/>
      </c>
      <c r="AY21" s="7">
        <f>'BBB'!AY21+'Bag Staging'!AY21+'Bag Staging Volumetric'!AY21+'FWD FSM'!AY21+'FWD Manual Pre Primary'!AY21+'FWD Manual Primary'!AY21+'FWD Primary with Scan'!AY21+'FWD Secondary'!AY21+'FWD Volumetric'!AY21+'IB'!AY21+'IB Volumetric'!AY21+'OB'!AY21+'OB Volumetric'!AY21+'OSC Bag Sorting'!AY21+'OSC Bag Sorting Volumetric'!AY21+'REV FSM'!AY21+'Rejection Primary with Scan'!AY21+'Rejection Secondary'!AY21+'Rev DC DC Primary Sorting'!AY21+'Rev Primary (FSM Rejections)'!AY21+'Rev Secondary Sorting'!AY21+'VIA Bag Sorting'!AY21</f>
        <v/>
      </c>
      <c r="AZ21" s="7">
        <f>'BBB'!AZ21+'Bag Staging'!AZ21+'Bag Staging Volumetric'!AZ21+'FWD FSM'!AZ21+'FWD Manual Pre Primary'!AZ21+'FWD Manual Primary'!AZ21+'FWD Primary with Scan'!AZ21+'FWD Secondary'!AZ21+'FWD Volumetric'!AZ21+'IB'!AZ21+'IB Volumetric'!AZ21+'OB'!AZ21+'OB Volumetric'!AZ21+'OSC Bag Sorting'!AZ21+'OSC Bag Sorting Volumetric'!AZ21+'REV FSM'!AZ21+'Rejection Primary with Scan'!AZ21+'Rejection Secondary'!AZ21+'Rev DC DC Primary Sorting'!AZ21+'Rev Primary (FSM Rejections)'!AZ21+'Rev Secondary Sorting'!AZ21+'VIA Bag Sorting'!AZ21</f>
        <v/>
      </c>
      <c r="BA21" s="7">
        <f>'BBB'!BA21+'Bag Staging'!BA21+'Bag Staging Volumetric'!BA21+'FWD FSM'!BA21+'FWD Manual Pre Primary'!BA21+'FWD Manual Primary'!BA21+'FWD Primary with Scan'!BA21+'FWD Secondary'!BA21+'FWD Volumetric'!BA21+'IB'!BA21+'IB Volumetric'!BA21+'OB'!BA21+'OB Volumetric'!BA21+'OSC Bag Sorting'!BA21+'OSC Bag Sorting Volumetric'!BA21+'REV FSM'!BA21+'Rejection Primary with Scan'!BA21+'Rejection Secondary'!BA21+'Rev DC DC Primary Sorting'!BA21+'Rev Primary (FSM Rejections)'!BA21+'Rev Secondary Sorting'!BA21+'VIA Bag Sorting'!BA21</f>
        <v/>
      </c>
      <c r="BB21" s="7">
        <f>SUM(AD21:BA21)</f>
        <v/>
      </c>
    </row>
    <row r="22">
      <c r="A22" t="inlineStr">
        <is>
          <t>AMD-EXPR</t>
        </is>
      </c>
      <c r="B22" t="inlineStr">
        <is>
          <t>DSC Manual</t>
        </is>
      </c>
      <c r="C22" s="5" t="n">
        <v>46102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125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244</v>
      </c>
      <c r="Z22" s="6" t="n">
        <v>0</v>
      </c>
      <c r="AA22" s="6" t="n">
        <v>0</v>
      </c>
      <c r="AB22" s="6">
        <f>SUM(D22:AA22)</f>
        <v/>
      </c>
      <c r="AC22" s="3" t="inlineStr"/>
      <c r="AD22" s="7">
        <f>'BBB'!AD22+'Bag Staging'!AD22+'Bag Staging Volumetric'!AD22+'FWD FSM'!AD22+'FWD Manual Pre Primary'!AD22+'FWD Manual Primary'!AD22+'FWD Primary with Scan'!AD22+'FWD Secondary'!AD22+'FWD Volumetric'!AD22+'IB'!AD22+'IB Volumetric'!AD22+'OB'!AD22+'OB Volumetric'!AD22+'OSC Bag Sorting'!AD22+'OSC Bag Sorting Volumetric'!AD22+'REV FSM'!AD22+'Rejection Primary with Scan'!AD22+'Rejection Secondary'!AD22+'Rev DC DC Primary Sorting'!AD22+'Rev Primary (FSM Rejections)'!AD22+'Rev Secondary Sorting'!AD22+'VIA Bag Sorting'!AD22</f>
        <v/>
      </c>
      <c r="AE22" s="7">
        <f>'BBB'!AE22+'Bag Staging'!AE22+'Bag Staging Volumetric'!AE22+'FWD FSM'!AE22+'FWD Manual Pre Primary'!AE22+'FWD Manual Primary'!AE22+'FWD Primary with Scan'!AE22+'FWD Secondary'!AE22+'FWD Volumetric'!AE22+'IB'!AE22+'IB Volumetric'!AE22+'OB'!AE22+'OB Volumetric'!AE22+'OSC Bag Sorting'!AE22+'OSC Bag Sorting Volumetric'!AE22+'REV FSM'!AE22+'Rejection Primary with Scan'!AE22+'Rejection Secondary'!AE22+'Rev DC DC Primary Sorting'!AE22+'Rev Primary (FSM Rejections)'!AE22+'Rev Secondary Sorting'!AE22+'VIA Bag Sorting'!AE22</f>
        <v/>
      </c>
      <c r="AF22" s="7">
        <f>'BBB'!AF22+'Bag Staging'!AF22+'Bag Staging Volumetric'!AF22+'FWD FSM'!AF22+'FWD Manual Pre Primary'!AF22+'FWD Manual Primary'!AF22+'FWD Primary with Scan'!AF22+'FWD Secondary'!AF22+'FWD Volumetric'!AF22+'IB'!AF22+'IB Volumetric'!AF22+'OB'!AF22+'OB Volumetric'!AF22+'OSC Bag Sorting'!AF22+'OSC Bag Sorting Volumetric'!AF22+'REV FSM'!AF22+'Rejection Primary with Scan'!AF22+'Rejection Secondary'!AF22+'Rev DC DC Primary Sorting'!AF22+'Rev Primary (FSM Rejections)'!AF22+'Rev Secondary Sorting'!AF22+'VIA Bag Sorting'!AF22</f>
        <v/>
      </c>
      <c r="AG22" s="7">
        <f>'BBB'!AG22+'Bag Staging'!AG22+'Bag Staging Volumetric'!AG22+'FWD FSM'!AG22+'FWD Manual Pre Primary'!AG22+'FWD Manual Primary'!AG22+'FWD Primary with Scan'!AG22+'FWD Secondary'!AG22+'FWD Volumetric'!AG22+'IB'!AG22+'IB Volumetric'!AG22+'OB'!AG22+'OB Volumetric'!AG22+'OSC Bag Sorting'!AG22+'OSC Bag Sorting Volumetric'!AG22+'REV FSM'!AG22+'Rejection Primary with Scan'!AG22+'Rejection Secondary'!AG22+'Rev DC DC Primary Sorting'!AG22+'Rev Primary (FSM Rejections)'!AG22+'Rev Secondary Sorting'!AG22+'VIA Bag Sorting'!AG22</f>
        <v/>
      </c>
      <c r="AH22" s="7">
        <f>'BBB'!AH22+'Bag Staging'!AH22+'Bag Staging Volumetric'!AH22+'FWD FSM'!AH22+'FWD Manual Pre Primary'!AH22+'FWD Manual Primary'!AH22+'FWD Primary with Scan'!AH22+'FWD Secondary'!AH22+'FWD Volumetric'!AH22+'IB'!AH22+'IB Volumetric'!AH22+'OB'!AH22+'OB Volumetric'!AH22+'OSC Bag Sorting'!AH22+'OSC Bag Sorting Volumetric'!AH22+'REV FSM'!AH22+'Rejection Primary with Scan'!AH22+'Rejection Secondary'!AH22+'Rev DC DC Primary Sorting'!AH22+'Rev Primary (FSM Rejections)'!AH22+'Rev Secondary Sorting'!AH22+'VIA Bag Sorting'!AH22</f>
        <v/>
      </c>
      <c r="AI22" s="7">
        <f>'BBB'!AI22+'Bag Staging'!AI22+'Bag Staging Volumetric'!AI22+'FWD FSM'!AI22+'FWD Manual Pre Primary'!AI22+'FWD Manual Primary'!AI22+'FWD Primary with Scan'!AI22+'FWD Secondary'!AI22+'FWD Volumetric'!AI22+'IB'!AI22+'IB Volumetric'!AI22+'OB'!AI22+'OB Volumetric'!AI22+'OSC Bag Sorting'!AI22+'OSC Bag Sorting Volumetric'!AI22+'REV FSM'!AI22+'Rejection Primary with Scan'!AI22+'Rejection Secondary'!AI22+'Rev DC DC Primary Sorting'!AI22+'Rev Primary (FSM Rejections)'!AI22+'Rev Secondary Sorting'!AI22+'VIA Bag Sorting'!AI22</f>
        <v/>
      </c>
      <c r="AJ22" s="7">
        <f>'BBB'!AJ22+'Bag Staging'!AJ22+'Bag Staging Volumetric'!AJ22+'FWD FSM'!AJ22+'FWD Manual Pre Primary'!AJ22+'FWD Manual Primary'!AJ22+'FWD Primary with Scan'!AJ22+'FWD Secondary'!AJ22+'FWD Volumetric'!AJ22+'IB'!AJ22+'IB Volumetric'!AJ22+'OB'!AJ22+'OB Volumetric'!AJ22+'OSC Bag Sorting'!AJ22+'OSC Bag Sorting Volumetric'!AJ22+'REV FSM'!AJ22+'Rejection Primary with Scan'!AJ22+'Rejection Secondary'!AJ22+'Rev DC DC Primary Sorting'!AJ22+'Rev Primary (FSM Rejections)'!AJ22+'Rev Secondary Sorting'!AJ22+'VIA Bag Sorting'!AJ22</f>
        <v/>
      </c>
      <c r="AK22" s="7">
        <f>'BBB'!AK22+'Bag Staging'!AK22+'Bag Staging Volumetric'!AK22+'FWD FSM'!AK22+'FWD Manual Pre Primary'!AK22+'FWD Manual Primary'!AK22+'FWD Primary with Scan'!AK22+'FWD Secondary'!AK22+'FWD Volumetric'!AK22+'IB'!AK22+'IB Volumetric'!AK22+'OB'!AK22+'OB Volumetric'!AK22+'OSC Bag Sorting'!AK22+'OSC Bag Sorting Volumetric'!AK22+'REV FSM'!AK22+'Rejection Primary with Scan'!AK22+'Rejection Secondary'!AK22+'Rev DC DC Primary Sorting'!AK22+'Rev Primary (FSM Rejections)'!AK22+'Rev Secondary Sorting'!AK22+'VIA Bag Sorting'!AK22</f>
        <v/>
      </c>
      <c r="AL22" s="7">
        <f>'BBB'!AL22+'Bag Staging'!AL22+'Bag Staging Volumetric'!AL22+'FWD FSM'!AL22+'FWD Manual Pre Primary'!AL22+'FWD Manual Primary'!AL22+'FWD Primary with Scan'!AL22+'FWD Secondary'!AL22+'FWD Volumetric'!AL22+'IB'!AL22+'IB Volumetric'!AL22+'OB'!AL22+'OB Volumetric'!AL22+'OSC Bag Sorting'!AL22+'OSC Bag Sorting Volumetric'!AL22+'REV FSM'!AL22+'Rejection Primary with Scan'!AL22+'Rejection Secondary'!AL22+'Rev DC DC Primary Sorting'!AL22+'Rev Primary (FSM Rejections)'!AL22+'Rev Secondary Sorting'!AL22+'VIA Bag Sorting'!AL22</f>
        <v/>
      </c>
      <c r="AM22" s="7">
        <f>'BBB'!AM22+'Bag Staging'!AM22+'Bag Staging Volumetric'!AM22+'FWD FSM'!AM22+'FWD Manual Pre Primary'!AM22+'FWD Manual Primary'!AM22+'FWD Primary with Scan'!AM22+'FWD Secondary'!AM22+'FWD Volumetric'!AM22+'IB'!AM22+'IB Volumetric'!AM22+'OB'!AM22+'OB Volumetric'!AM22+'OSC Bag Sorting'!AM22+'OSC Bag Sorting Volumetric'!AM22+'REV FSM'!AM22+'Rejection Primary with Scan'!AM22+'Rejection Secondary'!AM22+'Rev DC DC Primary Sorting'!AM22+'Rev Primary (FSM Rejections)'!AM22+'Rev Secondary Sorting'!AM22+'VIA Bag Sorting'!AM22</f>
        <v/>
      </c>
      <c r="AN22" s="7">
        <f>'BBB'!AN22+'Bag Staging'!AN22+'Bag Staging Volumetric'!AN22+'FWD FSM'!AN22+'FWD Manual Pre Primary'!AN22+'FWD Manual Primary'!AN22+'FWD Primary with Scan'!AN22+'FWD Secondary'!AN22+'FWD Volumetric'!AN22+'IB'!AN22+'IB Volumetric'!AN22+'OB'!AN22+'OB Volumetric'!AN22+'OSC Bag Sorting'!AN22+'OSC Bag Sorting Volumetric'!AN22+'REV FSM'!AN22+'Rejection Primary with Scan'!AN22+'Rejection Secondary'!AN22+'Rev DC DC Primary Sorting'!AN22+'Rev Primary (FSM Rejections)'!AN22+'Rev Secondary Sorting'!AN22+'VIA Bag Sorting'!AN22</f>
        <v/>
      </c>
      <c r="AO22" s="7">
        <f>'BBB'!AO22+'Bag Staging'!AO22+'Bag Staging Volumetric'!AO22+'FWD FSM'!AO22+'FWD Manual Pre Primary'!AO22+'FWD Manual Primary'!AO22+'FWD Primary with Scan'!AO22+'FWD Secondary'!AO22+'FWD Volumetric'!AO22+'IB'!AO22+'IB Volumetric'!AO22+'OB'!AO22+'OB Volumetric'!AO22+'OSC Bag Sorting'!AO22+'OSC Bag Sorting Volumetric'!AO22+'REV FSM'!AO22+'Rejection Primary with Scan'!AO22+'Rejection Secondary'!AO22+'Rev DC DC Primary Sorting'!AO22+'Rev Primary (FSM Rejections)'!AO22+'Rev Secondary Sorting'!AO22+'VIA Bag Sorting'!AO22</f>
        <v/>
      </c>
      <c r="AP22" s="7">
        <f>'BBB'!AP22+'Bag Staging'!AP22+'Bag Staging Volumetric'!AP22+'FWD FSM'!AP22+'FWD Manual Pre Primary'!AP22+'FWD Manual Primary'!AP22+'FWD Primary with Scan'!AP22+'FWD Secondary'!AP22+'FWD Volumetric'!AP22+'IB'!AP22+'IB Volumetric'!AP22+'OB'!AP22+'OB Volumetric'!AP22+'OSC Bag Sorting'!AP22+'OSC Bag Sorting Volumetric'!AP22+'REV FSM'!AP22+'Rejection Primary with Scan'!AP22+'Rejection Secondary'!AP22+'Rev DC DC Primary Sorting'!AP22+'Rev Primary (FSM Rejections)'!AP22+'Rev Secondary Sorting'!AP22+'VIA Bag Sorting'!AP22</f>
        <v/>
      </c>
      <c r="AQ22" s="7">
        <f>'BBB'!AQ22+'Bag Staging'!AQ22+'Bag Staging Volumetric'!AQ22+'FWD FSM'!AQ22+'FWD Manual Pre Primary'!AQ22+'FWD Manual Primary'!AQ22+'FWD Primary with Scan'!AQ22+'FWD Secondary'!AQ22+'FWD Volumetric'!AQ22+'IB'!AQ22+'IB Volumetric'!AQ22+'OB'!AQ22+'OB Volumetric'!AQ22+'OSC Bag Sorting'!AQ22+'OSC Bag Sorting Volumetric'!AQ22+'REV FSM'!AQ22+'Rejection Primary with Scan'!AQ22+'Rejection Secondary'!AQ22+'Rev DC DC Primary Sorting'!AQ22+'Rev Primary (FSM Rejections)'!AQ22+'Rev Secondary Sorting'!AQ22+'VIA Bag Sorting'!AQ22</f>
        <v/>
      </c>
      <c r="AR22" s="7">
        <f>'BBB'!AR22+'Bag Staging'!AR22+'Bag Staging Volumetric'!AR22+'FWD FSM'!AR22+'FWD Manual Pre Primary'!AR22+'FWD Manual Primary'!AR22+'FWD Primary with Scan'!AR22+'FWD Secondary'!AR22+'FWD Volumetric'!AR22+'IB'!AR22+'IB Volumetric'!AR22+'OB'!AR22+'OB Volumetric'!AR22+'OSC Bag Sorting'!AR22+'OSC Bag Sorting Volumetric'!AR22+'REV FSM'!AR22+'Rejection Primary with Scan'!AR22+'Rejection Secondary'!AR22+'Rev DC DC Primary Sorting'!AR22+'Rev Primary (FSM Rejections)'!AR22+'Rev Secondary Sorting'!AR22+'VIA Bag Sorting'!AR22</f>
        <v/>
      </c>
      <c r="AS22" s="7">
        <f>'BBB'!AS22+'Bag Staging'!AS22+'Bag Staging Volumetric'!AS22+'FWD FSM'!AS22+'FWD Manual Pre Primary'!AS22+'FWD Manual Primary'!AS22+'FWD Primary with Scan'!AS22+'FWD Secondary'!AS22+'FWD Volumetric'!AS22+'IB'!AS22+'IB Volumetric'!AS22+'OB'!AS22+'OB Volumetric'!AS22+'OSC Bag Sorting'!AS22+'OSC Bag Sorting Volumetric'!AS22+'REV FSM'!AS22+'Rejection Primary with Scan'!AS22+'Rejection Secondary'!AS22+'Rev DC DC Primary Sorting'!AS22+'Rev Primary (FSM Rejections)'!AS22+'Rev Secondary Sorting'!AS22+'VIA Bag Sorting'!AS22</f>
        <v/>
      </c>
      <c r="AT22" s="7">
        <f>'BBB'!AT22+'Bag Staging'!AT22+'Bag Staging Volumetric'!AT22+'FWD FSM'!AT22+'FWD Manual Pre Primary'!AT22+'FWD Manual Primary'!AT22+'FWD Primary with Scan'!AT22+'FWD Secondary'!AT22+'FWD Volumetric'!AT22+'IB'!AT22+'IB Volumetric'!AT22+'OB'!AT22+'OB Volumetric'!AT22+'OSC Bag Sorting'!AT22+'OSC Bag Sorting Volumetric'!AT22+'REV FSM'!AT22+'Rejection Primary with Scan'!AT22+'Rejection Secondary'!AT22+'Rev DC DC Primary Sorting'!AT22+'Rev Primary (FSM Rejections)'!AT22+'Rev Secondary Sorting'!AT22+'VIA Bag Sorting'!AT22</f>
        <v/>
      </c>
      <c r="AU22" s="7">
        <f>'BBB'!AU22+'Bag Staging'!AU22+'Bag Staging Volumetric'!AU22+'FWD FSM'!AU22+'FWD Manual Pre Primary'!AU22+'FWD Manual Primary'!AU22+'FWD Primary with Scan'!AU22+'FWD Secondary'!AU22+'FWD Volumetric'!AU22+'IB'!AU22+'IB Volumetric'!AU22+'OB'!AU22+'OB Volumetric'!AU22+'OSC Bag Sorting'!AU22+'OSC Bag Sorting Volumetric'!AU22+'REV FSM'!AU22+'Rejection Primary with Scan'!AU22+'Rejection Secondary'!AU22+'Rev DC DC Primary Sorting'!AU22+'Rev Primary (FSM Rejections)'!AU22+'Rev Secondary Sorting'!AU22+'VIA Bag Sorting'!AU22</f>
        <v/>
      </c>
      <c r="AV22" s="7">
        <f>'BBB'!AV22+'Bag Staging'!AV22+'Bag Staging Volumetric'!AV22+'FWD FSM'!AV22+'FWD Manual Pre Primary'!AV22+'FWD Manual Primary'!AV22+'FWD Primary with Scan'!AV22+'FWD Secondary'!AV22+'FWD Volumetric'!AV22+'IB'!AV22+'IB Volumetric'!AV22+'OB'!AV22+'OB Volumetric'!AV22+'OSC Bag Sorting'!AV22+'OSC Bag Sorting Volumetric'!AV22+'REV FSM'!AV22+'Rejection Primary with Scan'!AV22+'Rejection Secondary'!AV22+'Rev DC DC Primary Sorting'!AV22+'Rev Primary (FSM Rejections)'!AV22+'Rev Secondary Sorting'!AV22+'VIA Bag Sorting'!AV22</f>
        <v/>
      </c>
      <c r="AW22" s="7">
        <f>'BBB'!AW22+'Bag Staging'!AW22+'Bag Staging Volumetric'!AW22+'FWD FSM'!AW22+'FWD Manual Pre Primary'!AW22+'FWD Manual Primary'!AW22+'FWD Primary with Scan'!AW22+'FWD Secondary'!AW22+'FWD Volumetric'!AW22+'IB'!AW22+'IB Volumetric'!AW22+'OB'!AW22+'OB Volumetric'!AW22+'OSC Bag Sorting'!AW22+'OSC Bag Sorting Volumetric'!AW22+'REV FSM'!AW22+'Rejection Primary with Scan'!AW22+'Rejection Secondary'!AW22+'Rev DC DC Primary Sorting'!AW22+'Rev Primary (FSM Rejections)'!AW22+'Rev Secondary Sorting'!AW22+'VIA Bag Sorting'!AW22</f>
        <v/>
      </c>
      <c r="AX22" s="7">
        <f>'BBB'!AX22+'Bag Staging'!AX22+'Bag Staging Volumetric'!AX22+'FWD FSM'!AX22+'FWD Manual Pre Primary'!AX22+'FWD Manual Primary'!AX22+'FWD Primary with Scan'!AX22+'FWD Secondary'!AX22+'FWD Volumetric'!AX22+'IB'!AX22+'IB Volumetric'!AX22+'OB'!AX22+'OB Volumetric'!AX22+'OSC Bag Sorting'!AX22+'OSC Bag Sorting Volumetric'!AX22+'REV FSM'!AX22+'Rejection Primary with Scan'!AX22+'Rejection Secondary'!AX22+'Rev DC DC Primary Sorting'!AX22+'Rev Primary (FSM Rejections)'!AX22+'Rev Secondary Sorting'!AX22+'VIA Bag Sorting'!AX22</f>
        <v/>
      </c>
      <c r="AY22" s="7">
        <f>'BBB'!AY22+'Bag Staging'!AY22+'Bag Staging Volumetric'!AY22+'FWD FSM'!AY22+'FWD Manual Pre Primary'!AY22+'FWD Manual Primary'!AY22+'FWD Primary with Scan'!AY22+'FWD Secondary'!AY22+'FWD Volumetric'!AY22+'IB'!AY22+'IB Volumetric'!AY22+'OB'!AY22+'OB Volumetric'!AY22+'OSC Bag Sorting'!AY22+'OSC Bag Sorting Volumetric'!AY22+'REV FSM'!AY22+'Rejection Primary with Scan'!AY22+'Rejection Secondary'!AY22+'Rev DC DC Primary Sorting'!AY22+'Rev Primary (FSM Rejections)'!AY22+'Rev Secondary Sorting'!AY22+'VIA Bag Sorting'!AY22</f>
        <v/>
      </c>
      <c r="AZ22" s="7">
        <f>'BBB'!AZ22+'Bag Staging'!AZ22+'Bag Staging Volumetric'!AZ22+'FWD FSM'!AZ22+'FWD Manual Pre Primary'!AZ22+'FWD Manual Primary'!AZ22+'FWD Primary with Scan'!AZ22+'FWD Secondary'!AZ22+'FWD Volumetric'!AZ22+'IB'!AZ22+'IB Volumetric'!AZ22+'OB'!AZ22+'OB Volumetric'!AZ22+'OSC Bag Sorting'!AZ22+'OSC Bag Sorting Volumetric'!AZ22+'REV FSM'!AZ22+'Rejection Primary with Scan'!AZ22+'Rejection Secondary'!AZ22+'Rev DC DC Primary Sorting'!AZ22+'Rev Primary (FSM Rejections)'!AZ22+'Rev Secondary Sorting'!AZ22+'VIA Bag Sorting'!AZ22</f>
        <v/>
      </c>
      <c r="BA22" s="7">
        <f>'BBB'!BA22+'Bag Staging'!BA22+'Bag Staging Volumetric'!BA22+'FWD FSM'!BA22+'FWD Manual Pre Primary'!BA22+'FWD Manual Primary'!BA22+'FWD Primary with Scan'!BA22+'FWD Secondary'!BA22+'FWD Volumetric'!BA22+'IB'!BA22+'IB Volumetric'!BA22+'OB'!BA22+'OB Volumetric'!BA22+'OSC Bag Sorting'!BA22+'OSC Bag Sorting Volumetric'!BA22+'REV FSM'!BA22+'Rejection Primary with Scan'!BA22+'Rejection Secondary'!BA22+'Rev DC DC Primary Sorting'!BA22+'Rev Primary (FSM Rejections)'!BA22+'Rev Secondary Sorting'!BA22+'VIA Bag Sorting'!BA22</f>
        <v/>
      </c>
      <c r="BB22" s="7">
        <f>SUM(AD22:BA22)</f>
        <v/>
      </c>
    </row>
    <row r="23">
      <c r="A23" t="inlineStr">
        <is>
          <t>AMD-EXPR</t>
        </is>
      </c>
      <c r="B23" t="inlineStr">
        <is>
          <t>DSC Manual</t>
        </is>
      </c>
      <c r="C23" s="5" t="n">
        <v>46103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31</v>
      </c>
      <c r="K23" s="6" t="n">
        <v>35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160</v>
      </c>
      <c r="Z23" s="6" t="n">
        <v>0</v>
      </c>
      <c r="AA23" s="6" t="n">
        <v>0</v>
      </c>
      <c r="AB23" s="6">
        <f>SUM(D23:AA23)</f>
        <v/>
      </c>
      <c r="AC23" s="3" t="inlineStr"/>
      <c r="AD23" s="7">
        <f>'BBB'!AD23+'Bag Staging'!AD23+'Bag Staging Volumetric'!AD23+'FWD FSM'!AD23+'FWD Manual Pre Primary'!AD23+'FWD Manual Primary'!AD23+'FWD Primary with Scan'!AD23+'FWD Secondary'!AD23+'FWD Volumetric'!AD23+'IB'!AD23+'IB Volumetric'!AD23+'OB'!AD23+'OB Volumetric'!AD23+'OSC Bag Sorting'!AD23+'OSC Bag Sorting Volumetric'!AD23+'REV FSM'!AD23+'Rejection Primary with Scan'!AD23+'Rejection Secondary'!AD23+'Rev DC DC Primary Sorting'!AD23+'Rev Primary (FSM Rejections)'!AD23+'Rev Secondary Sorting'!AD23+'VIA Bag Sorting'!AD23</f>
        <v/>
      </c>
      <c r="AE23" s="7">
        <f>'BBB'!AE23+'Bag Staging'!AE23+'Bag Staging Volumetric'!AE23+'FWD FSM'!AE23+'FWD Manual Pre Primary'!AE23+'FWD Manual Primary'!AE23+'FWD Primary with Scan'!AE23+'FWD Secondary'!AE23+'FWD Volumetric'!AE23+'IB'!AE23+'IB Volumetric'!AE23+'OB'!AE23+'OB Volumetric'!AE23+'OSC Bag Sorting'!AE23+'OSC Bag Sorting Volumetric'!AE23+'REV FSM'!AE23+'Rejection Primary with Scan'!AE23+'Rejection Secondary'!AE23+'Rev DC DC Primary Sorting'!AE23+'Rev Primary (FSM Rejections)'!AE23+'Rev Secondary Sorting'!AE23+'VIA Bag Sorting'!AE23</f>
        <v/>
      </c>
      <c r="AF23" s="7">
        <f>'BBB'!AF23+'Bag Staging'!AF23+'Bag Staging Volumetric'!AF23+'FWD FSM'!AF23+'FWD Manual Pre Primary'!AF23+'FWD Manual Primary'!AF23+'FWD Primary with Scan'!AF23+'FWD Secondary'!AF23+'FWD Volumetric'!AF23+'IB'!AF23+'IB Volumetric'!AF23+'OB'!AF23+'OB Volumetric'!AF23+'OSC Bag Sorting'!AF23+'OSC Bag Sorting Volumetric'!AF23+'REV FSM'!AF23+'Rejection Primary with Scan'!AF23+'Rejection Secondary'!AF23+'Rev DC DC Primary Sorting'!AF23+'Rev Primary (FSM Rejections)'!AF23+'Rev Secondary Sorting'!AF23+'VIA Bag Sorting'!AF23</f>
        <v/>
      </c>
      <c r="AG23" s="7">
        <f>'BBB'!AG23+'Bag Staging'!AG23+'Bag Staging Volumetric'!AG23+'FWD FSM'!AG23+'FWD Manual Pre Primary'!AG23+'FWD Manual Primary'!AG23+'FWD Primary with Scan'!AG23+'FWD Secondary'!AG23+'FWD Volumetric'!AG23+'IB'!AG23+'IB Volumetric'!AG23+'OB'!AG23+'OB Volumetric'!AG23+'OSC Bag Sorting'!AG23+'OSC Bag Sorting Volumetric'!AG23+'REV FSM'!AG23+'Rejection Primary with Scan'!AG23+'Rejection Secondary'!AG23+'Rev DC DC Primary Sorting'!AG23+'Rev Primary (FSM Rejections)'!AG23+'Rev Secondary Sorting'!AG23+'VIA Bag Sorting'!AG23</f>
        <v/>
      </c>
      <c r="AH23" s="7">
        <f>'BBB'!AH23+'Bag Staging'!AH23+'Bag Staging Volumetric'!AH23+'FWD FSM'!AH23+'FWD Manual Pre Primary'!AH23+'FWD Manual Primary'!AH23+'FWD Primary with Scan'!AH23+'FWD Secondary'!AH23+'FWD Volumetric'!AH23+'IB'!AH23+'IB Volumetric'!AH23+'OB'!AH23+'OB Volumetric'!AH23+'OSC Bag Sorting'!AH23+'OSC Bag Sorting Volumetric'!AH23+'REV FSM'!AH23+'Rejection Primary with Scan'!AH23+'Rejection Secondary'!AH23+'Rev DC DC Primary Sorting'!AH23+'Rev Primary (FSM Rejections)'!AH23+'Rev Secondary Sorting'!AH23+'VIA Bag Sorting'!AH23</f>
        <v/>
      </c>
      <c r="AI23" s="7">
        <f>'BBB'!AI23+'Bag Staging'!AI23+'Bag Staging Volumetric'!AI23+'FWD FSM'!AI23+'FWD Manual Pre Primary'!AI23+'FWD Manual Primary'!AI23+'FWD Primary with Scan'!AI23+'FWD Secondary'!AI23+'FWD Volumetric'!AI23+'IB'!AI23+'IB Volumetric'!AI23+'OB'!AI23+'OB Volumetric'!AI23+'OSC Bag Sorting'!AI23+'OSC Bag Sorting Volumetric'!AI23+'REV FSM'!AI23+'Rejection Primary with Scan'!AI23+'Rejection Secondary'!AI23+'Rev DC DC Primary Sorting'!AI23+'Rev Primary (FSM Rejections)'!AI23+'Rev Secondary Sorting'!AI23+'VIA Bag Sorting'!AI23</f>
        <v/>
      </c>
      <c r="AJ23" s="7">
        <f>'BBB'!AJ23+'Bag Staging'!AJ23+'Bag Staging Volumetric'!AJ23+'FWD FSM'!AJ23+'FWD Manual Pre Primary'!AJ23+'FWD Manual Primary'!AJ23+'FWD Primary with Scan'!AJ23+'FWD Secondary'!AJ23+'FWD Volumetric'!AJ23+'IB'!AJ23+'IB Volumetric'!AJ23+'OB'!AJ23+'OB Volumetric'!AJ23+'OSC Bag Sorting'!AJ23+'OSC Bag Sorting Volumetric'!AJ23+'REV FSM'!AJ23+'Rejection Primary with Scan'!AJ23+'Rejection Secondary'!AJ23+'Rev DC DC Primary Sorting'!AJ23+'Rev Primary (FSM Rejections)'!AJ23+'Rev Secondary Sorting'!AJ23+'VIA Bag Sorting'!AJ23</f>
        <v/>
      </c>
      <c r="AK23" s="7">
        <f>'BBB'!AK23+'Bag Staging'!AK23+'Bag Staging Volumetric'!AK23+'FWD FSM'!AK23+'FWD Manual Pre Primary'!AK23+'FWD Manual Primary'!AK23+'FWD Primary with Scan'!AK23+'FWD Secondary'!AK23+'FWD Volumetric'!AK23+'IB'!AK23+'IB Volumetric'!AK23+'OB'!AK23+'OB Volumetric'!AK23+'OSC Bag Sorting'!AK23+'OSC Bag Sorting Volumetric'!AK23+'REV FSM'!AK23+'Rejection Primary with Scan'!AK23+'Rejection Secondary'!AK23+'Rev DC DC Primary Sorting'!AK23+'Rev Primary (FSM Rejections)'!AK23+'Rev Secondary Sorting'!AK23+'VIA Bag Sorting'!AK23</f>
        <v/>
      </c>
      <c r="AL23" s="7">
        <f>'BBB'!AL23+'Bag Staging'!AL23+'Bag Staging Volumetric'!AL23+'FWD FSM'!AL23+'FWD Manual Pre Primary'!AL23+'FWD Manual Primary'!AL23+'FWD Primary with Scan'!AL23+'FWD Secondary'!AL23+'FWD Volumetric'!AL23+'IB'!AL23+'IB Volumetric'!AL23+'OB'!AL23+'OB Volumetric'!AL23+'OSC Bag Sorting'!AL23+'OSC Bag Sorting Volumetric'!AL23+'REV FSM'!AL23+'Rejection Primary with Scan'!AL23+'Rejection Secondary'!AL23+'Rev DC DC Primary Sorting'!AL23+'Rev Primary (FSM Rejections)'!AL23+'Rev Secondary Sorting'!AL23+'VIA Bag Sorting'!AL23</f>
        <v/>
      </c>
      <c r="AM23" s="7">
        <f>'BBB'!AM23+'Bag Staging'!AM23+'Bag Staging Volumetric'!AM23+'FWD FSM'!AM23+'FWD Manual Pre Primary'!AM23+'FWD Manual Primary'!AM23+'FWD Primary with Scan'!AM23+'FWD Secondary'!AM23+'FWD Volumetric'!AM23+'IB'!AM23+'IB Volumetric'!AM23+'OB'!AM23+'OB Volumetric'!AM23+'OSC Bag Sorting'!AM23+'OSC Bag Sorting Volumetric'!AM23+'REV FSM'!AM23+'Rejection Primary with Scan'!AM23+'Rejection Secondary'!AM23+'Rev DC DC Primary Sorting'!AM23+'Rev Primary (FSM Rejections)'!AM23+'Rev Secondary Sorting'!AM23+'VIA Bag Sorting'!AM23</f>
        <v/>
      </c>
      <c r="AN23" s="7">
        <f>'BBB'!AN23+'Bag Staging'!AN23+'Bag Staging Volumetric'!AN23+'FWD FSM'!AN23+'FWD Manual Pre Primary'!AN23+'FWD Manual Primary'!AN23+'FWD Primary with Scan'!AN23+'FWD Secondary'!AN23+'FWD Volumetric'!AN23+'IB'!AN23+'IB Volumetric'!AN23+'OB'!AN23+'OB Volumetric'!AN23+'OSC Bag Sorting'!AN23+'OSC Bag Sorting Volumetric'!AN23+'REV FSM'!AN23+'Rejection Primary with Scan'!AN23+'Rejection Secondary'!AN23+'Rev DC DC Primary Sorting'!AN23+'Rev Primary (FSM Rejections)'!AN23+'Rev Secondary Sorting'!AN23+'VIA Bag Sorting'!AN23</f>
        <v/>
      </c>
      <c r="AO23" s="7">
        <f>'BBB'!AO23+'Bag Staging'!AO23+'Bag Staging Volumetric'!AO23+'FWD FSM'!AO23+'FWD Manual Pre Primary'!AO23+'FWD Manual Primary'!AO23+'FWD Primary with Scan'!AO23+'FWD Secondary'!AO23+'FWD Volumetric'!AO23+'IB'!AO23+'IB Volumetric'!AO23+'OB'!AO23+'OB Volumetric'!AO23+'OSC Bag Sorting'!AO23+'OSC Bag Sorting Volumetric'!AO23+'REV FSM'!AO23+'Rejection Primary with Scan'!AO23+'Rejection Secondary'!AO23+'Rev DC DC Primary Sorting'!AO23+'Rev Primary (FSM Rejections)'!AO23+'Rev Secondary Sorting'!AO23+'VIA Bag Sorting'!AO23</f>
        <v/>
      </c>
      <c r="AP23" s="7">
        <f>'BBB'!AP23+'Bag Staging'!AP23+'Bag Staging Volumetric'!AP23+'FWD FSM'!AP23+'FWD Manual Pre Primary'!AP23+'FWD Manual Primary'!AP23+'FWD Primary with Scan'!AP23+'FWD Secondary'!AP23+'FWD Volumetric'!AP23+'IB'!AP23+'IB Volumetric'!AP23+'OB'!AP23+'OB Volumetric'!AP23+'OSC Bag Sorting'!AP23+'OSC Bag Sorting Volumetric'!AP23+'REV FSM'!AP23+'Rejection Primary with Scan'!AP23+'Rejection Secondary'!AP23+'Rev DC DC Primary Sorting'!AP23+'Rev Primary (FSM Rejections)'!AP23+'Rev Secondary Sorting'!AP23+'VIA Bag Sorting'!AP23</f>
        <v/>
      </c>
      <c r="AQ23" s="7">
        <f>'BBB'!AQ23+'Bag Staging'!AQ23+'Bag Staging Volumetric'!AQ23+'FWD FSM'!AQ23+'FWD Manual Pre Primary'!AQ23+'FWD Manual Primary'!AQ23+'FWD Primary with Scan'!AQ23+'FWD Secondary'!AQ23+'FWD Volumetric'!AQ23+'IB'!AQ23+'IB Volumetric'!AQ23+'OB'!AQ23+'OB Volumetric'!AQ23+'OSC Bag Sorting'!AQ23+'OSC Bag Sorting Volumetric'!AQ23+'REV FSM'!AQ23+'Rejection Primary with Scan'!AQ23+'Rejection Secondary'!AQ23+'Rev DC DC Primary Sorting'!AQ23+'Rev Primary (FSM Rejections)'!AQ23+'Rev Secondary Sorting'!AQ23+'VIA Bag Sorting'!AQ23</f>
        <v/>
      </c>
      <c r="AR23" s="7">
        <f>'BBB'!AR23+'Bag Staging'!AR23+'Bag Staging Volumetric'!AR23+'FWD FSM'!AR23+'FWD Manual Pre Primary'!AR23+'FWD Manual Primary'!AR23+'FWD Primary with Scan'!AR23+'FWD Secondary'!AR23+'FWD Volumetric'!AR23+'IB'!AR23+'IB Volumetric'!AR23+'OB'!AR23+'OB Volumetric'!AR23+'OSC Bag Sorting'!AR23+'OSC Bag Sorting Volumetric'!AR23+'REV FSM'!AR23+'Rejection Primary with Scan'!AR23+'Rejection Secondary'!AR23+'Rev DC DC Primary Sorting'!AR23+'Rev Primary (FSM Rejections)'!AR23+'Rev Secondary Sorting'!AR23+'VIA Bag Sorting'!AR23</f>
        <v/>
      </c>
      <c r="AS23" s="7">
        <f>'BBB'!AS23+'Bag Staging'!AS23+'Bag Staging Volumetric'!AS23+'FWD FSM'!AS23+'FWD Manual Pre Primary'!AS23+'FWD Manual Primary'!AS23+'FWD Primary with Scan'!AS23+'FWD Secondary'!AS23+'FWD Volumetric'!AS23+'IB'!AS23+'IB Volumetric'!AS23+'OB'!AS23+'OB Volumetric'!AS23+'OSC Bag Sorting'!AS23+'OSC Bag Sorting Volumetric'!AS23+'REV FSM'!AS23+'Rejection Primary with Scan'!AS23+'Rejection Secondary'!AS23+'Rev DC DC Primary Sorting'!AS23+'Rev Primary (FSM Rejections)'!AS23+'Rev Secondary Sorting'!AS23+'VIA Bag Sorting'!AS23</f>
        <v/>
      </c>
      <c r="AT23" s="7">
        <f>'BBB'!AT23+'Bag Staging'!AT23+'Bag Staging Volumetric'!AT23+'FWD FSM'!AT23+'FWD Manual Pre Primary'!AT23+'FWD Manual Primary'!AT23+'FWD Primary with Scan'!AT23+'FWD Secondary'!AT23+'FWD Volumetric'!AT23+'IB'!AT23+'IB Volumetric'!AT23+'OB'!AT23+'OB Volumetric'!AT23+'OSC Bag Sorting'!AT23+'OSC Bag Sorting Volumetric'!AT23+'REV FSM'!AT23+'Rejection Primary with Scan'!AT23+'Rejection Secondary'!AT23+'Rev DC DC Primary Sorting'!AT23+'Rev Primary (FSM Rejections)'!AT23+'Rev Secondary Sorting'!AT23+'VIA Bag Sorting'!AT23</f>
        <v/>
      </c>
      <c r="AU23" s="7">
        <f>'BBB'!AU23+'Bag Staging'!AU23+'Bag Staging Volumetric'!AU23+'FWD FSM'!AU23+'FWD Manual Pre Primary'!AU23+'FWD Manual Primary'!AU23+'FWD Primary with Scan'!AU23+'FWD Secondary'!AU23+'FWD Volumetric'!AU23+'IB'!AU23+'IB Volumetric'!AU23+'OB'!AU23+'OB Volumetric'!AU23+'OSC Bag Sorting'!AU23+'OSC Bag Sorting Volumetric'!AU23+'REV FSM'!AU23+'Rejection Primary with Scan'!AU23+'Rejection Secondary'!AU23+'Rev DC DC Primary Sorting'!AU23+'Rev Primary (FSM Rejections)'!AU23+'Rev Secondary Sorting'!AU23+'VIA Bag Sorting'!AU23</f>
        <v/>
      </c>
      <c r="AV23" s="7">
        <f>'BBB'!AV23+'Bag Staging'!AV23+'Bag Staging Volumetric'!AV23+'FWD FSM'!AV23+'FWD Manual Pre Primary'!AV23+'FWD Manual Primary'!AV23+'FWD Primary with Scan'!AV23+'FWD Secondary'!AV23+'FWD Volumetric'!AV23+'IB'!AV23+'IB Volumetric'!AV23+'OB'!AV23+'OB Volumetric'!AV23+'OSC Bag Sorting'!AV23+'OSC Bag Sorting Volumetric'!AV23+'REV FSM'!AV23+'Rejection Primary with Scan'!AV23+'Rejection Secondary'!AV23+'Rev DC DC Primary Sorting'!AV23+'Rev Primary (FSM Rejections)'!AV23+'Rev Secondary Sorting'!AV23+'VIA Bag Sorting'!AV23</f>
        <v/>
      </c>
      <c r="AW23" s="7">
        <f>'BBB'!AW23+'Bag Staging'!AW23+'Bag Staging Volumetric'!AW23+'FWD FSM'!AW23+'FWD Manual Pre Primary'!AW23+'FWD Manual Primary'!AW23+'FWD Primary with Scan'!AW23+'FWD Secondary'!AW23+'FWD Volumetric'!AW23+'IB'!AW23+'IB Volumetric'!AW23+'OB'!AW23+'OB Volumetric'!AW23+'OSC Bag Sorting'!AW23+'OSC Bag Sorting Volumetric'!AW23+'REV FSM'!AW23+'Rejection Primary with Scan'!AW23+'Rejection Secondary'!AW23+'Rev DC DC Primary Sorting'!AW23+'Rev Primary (FSM Rejections)'!AW23+'Rev Secondary Sorting'!AW23+'VIA Bag Sorting'!AW23</f>
        <v/>
      </c>
      <c r="AX23" s="7">
        <f>'BBB'!AX23+'Bag Staging'!AX23+'Bag Staging Volumetric'!AX23+'FWD FSM'!AX23+'FWD Manual Pre Primary'!AX23+'FWD Manual Primary'!AX23+'FWD Primary with Scan'!AX23+'FWD Secondary'!AX23+'FWD Volumetric'!AX23+'IB'!AX23+'IB Volumetric'!AX23+'OB'!AX23+'OB Volumetric'!AX23+'OSC Bag Sorting'!AX23+'OSC Bag Sorting Volumetric'!AX23+'REV FSM'!AX23+'Rejection Primary with Scan'!AX23+'Rejection Secondary'!AX23+'Rev DC DC Primary Sorting'!AX23+'Rev Primary (FSM Rejections)'!AX23+'Rev Secondary Sorting'!AX23+'VIA Bag Sorting'!AX23</f>
        <v/>
      </c>
      <c r="AY23" s="7">
        <f>'BBB'!AY23+'Bag Staging'!AY23+'Bag Staging Volumetric'!AY23+'FWD FSM'!AY23+'FWD Manual Pre Primary'!AY23+'FWD Manual Primary'!AY23+'FWD Primary with Scan'!AY23+'FWD Secondary'!AY23+'FWD Volumetric'!AY23+'IB'!AY23+'IB Volumetric'!AY23+'OB'!AY23+'OB Volumetric'!AY23+'OSC Bag Sorting'!AY23+'OSC Bag Sorting Volumetric'!AY23+'REV FSM'!AY23+'Rejection Primary with Scan'!AY23+'Rejection Secondary'!AY23+'Rev DC DC Primary Sorting'!AY23+'Rev Primary (FSM Rejections)'!AY23+'Rev Secondary Sorting'!AY23+'VIA Bag Sorting'!AY23</f>
        <v/>
      </c>
      <c r="AZ23" s="7">
        <f>'BBB'!AZ23+'Bag Staging'!AZ23+'Bag Staging Volumetric'!AZ23+'FWD FSM'!AZ23+'FWD Manual Pre Primary'!AZ23+'FWD Manual Primary'!AZ23+'FWD Primary with Scan'!AZ23+'FWD Secondary'!AZ23+'FWD Volumetric'!AZ23+'IB'!AZ23+'IB Volumetric'!AZ23+'OB'!AZ23+'OB Volumetric'!AZ23+'OSC Bag Sorting'!AZ23+'OSC Bag Sorting Volumetric'!AZ23+'REV FSM'!AZ23+'Rejection Primary with Scan'!AZ23+'Rejection Secondary'!AZ23+'Rev DC DC Primary Sorting'!AZ23+'Rev Primary (FSM Rejections)'!AZ23+'Rev Secondary Sorting'!AZ23+'VIA Bag Sorting'!AZ23</f>
        <v/>
      </c>
      <c r="BA23" s="7">
        <f>'BBB'!BA23+'Bag Staging'!BA23+'Bag Staging Volumetric'!BA23+'FWD FSM'!BA23+'FWD Manual Pre Primary'!BA23+'FWD Manual Primary'!BA23+'FWD Primary with Scan'!BA23+'FWD Secondary'!BA23+'FWD Volumetric'!BA23+'IB'!BA23+'IB Volumetric'!BA23+'OB'!BA23+'OB Volumetric'!BA23+'OSC Bag Sorting'!BA23+'OSC Bag Sorting Volumetric'!BA23+'REV FSM'!BA23+'Rejection Primary with Scan'!BA23+'Rejection Secondary'!BA23+'Rev DC DC Primary Sorting'!BA23+'Rev Primary (FSM Rejections)'!BA23+'Rev Secondary Sorting'!BA23+'VIA Bag Sorting'!BA23</f>
        <v/>
      </c>
      <c r="BB23" s="7">
        <f>SUM(AD23:BA23)</f>
        <v/>
      </c>
    </row>
    <row r="24">
      <c r="A24" t="inlineStr">
        <is>
          <t>AMD-EXPR</t>
        </is>
      </c>
      <c r="B24" t="inlineStr">
        <is>
          <t>DSC Manual</t>
        </is>
      </c>
      <c r="C24" s="5" t="n">
        <v>46104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6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96</v>
      </c>
      <c r="Z24" s="6" t="n">
        <v>0</v>
      </c>
      <c r="AA24" s="6" t="n">
        <v>0</v>
      </c>
      <c r="AB24" s="6">
        <f>SUM(D24:AA24)</f>
        <v/>
      </c>
      <c r="AC24" s="3" t="inlineStr"/>
      <c r="AD24" s="7">
        <f>'BBB'!AD24+'Bag Staging'!AD24+'Bag Staging Volumetric'!AD24+'FWD FSM'!AD24+'FWD Manual Pre Primary'!AD24+'FWD Manual Primary'!AD24+'FWD Primary with Scan'!AD24+'FWD Secondary'!AD24+'FWD Volumetric'!AD24+'IB'!AD24+'IB Volumetric'!AD24+'OB'!AD24+'OB Volumetric'!AD24+'OSC Bag Sorting'!AD24+'OSC Bag Sorting Volumetric'!AD24+'REV FSM'!AD24+'Rejection Primary with Scan'!AD24+'Rejection Secondary'!AD24+'Rev DC DC Primary Sorting'!AD24+'Rev Primary (FSM Rejections)'!AD24+'Rev Secondary Sorting'!AD24+'VIA Bag Sorting'!AD24</f>
        <v/>
      </c>
      <c r="AE24" s="7">
        <f>'BBB'!AE24+'Bag Staging'!AE24+'Bag Staging Volumetric'!AE24+'FWD FSM'!AE24+'FWD Manual Pre Primary'!AE24+'FWD Manual Primary'!AE24+'FWD Primary with Scan'!AE24+'FWD Secondary'!AE24+'FWD Volumetric'!AE24+'IB'!AE24+'IB Volumetric'!AE24+'OB'!AE24+'OB Volumetric'!AE24+'OSC Bag Sorting'!AE24+'OSC Bag Sorting Volumetric'!AE24+'REV FSM'!AE24+'Rejection Primary with Scan'!AE24+'Rejection Secondary'!AE24+'Rev DC DC Primary Sorting'!AE24+'Rev Primary (FSM Rejections)'!AE24+'Rev Secondary Sorting'!AE24+'VIA Bag Sorting'!AE24</f>
        <v/>
      </c>
      <c r="AF24" s="7">
        <f>'BBB'!AF24+'Bag Staging'!AF24+'Bag Staging Volumetric'!AF24+'FWD FSM'!AF24+'FWD Manual Pre Primary'!AF24+'FWD Manual Primary'!AF24+'FWD Primary with Scan'!AF24+'FWD Secondary'!AF24+'FWD Volumetric'!AF24+'IB'!AF24+'IB Volumetric'!AF24+'OB'!AF24+'OB Volumetric'!AF24+'OSC Bag Sorting'!AF24+'OSC Bag Sorting Volumetric'!AF24+'REV FSM'!AF24+'Rejection Primary with Scan'!AF24+'Rejection Secondary'!AF24+'Rev DC DC Primary Sorting'!AF24+'Rev Primary (FSM Rejections)'!AF24+'Rev Secondary Sorting'!AF24+'VIA Bag Sorting'!AF24</f>
        <v/>
      </c>
      <c r="AG24" s="7">
        <f>'BBB'!AG24+'Bag Staging'!AG24+'Bag Staging Volumetric'!AG24+'FWD FSM'!AG24+'FWD Manual Pre Primary'!AG24+'FWD Manual Primary'!AG24+'FWD Primary with Scan'!AG24+'FWD Secondary'!AG24+'FWD Volumetric'!AG24+'IB'!AG24+'IB Volumetric'!AG24+'OB'!AG24+'OB Volumetric'!AG24+'OSC Bag Sorting'!AG24+'OSC Bag Sorting Volumetric'!AG24+'REV FSM'!AG24+'Rejection Primary with Scan'!AG24+'Rejection Secondary'!AG24+'Rev DC DC Primary Sorting'!AG24+'Rev Primary (FSM Rejections)'!AG24+'Rev Secondary Sorting'!AG24+'VIA Bag Sorting'!AG24</f>
        <v/>
      </c>
      <c r="AH24" s="7">
        <f>'BBB'!AH24+'Bag Staging'!AH24+'Bag Staging Volumetric'!AH24+'FWD FSM'!AH24+'FWD Manual Pre Primary'!AH24+'FWD Manual Primary'!AH24+'FWD Primary with Scan'!AH24+'FWD Secondary'!AH24+'FWD Volumetric'!AH24+'IB'!AH24+'IB Volumetric'!AH24+'OB'!AH24+'OB Volumetric'!AH24+'OSC Bag Sorting'!AH24+'OSC Bag Sorting Volumetric'!AH24+'REV FSM'!AH24+'Rejection Primary with Scan'!AH24+'Rejection Secondary'!AH24+'Rev DC DC Primary Sorting'!AH24+'Rev Primary (FSM Rejections)'!AH24+'Rev Secondary Sorting'!AH24+'VIA Bag Sorting'!AH24</f>
        <v/>
      </c>
      <c r="AI24" s="7">
        <f>'BBB'!AI24+'Bag Staging'!AI24+'Bag Staging Volumetric'!AI24+'FWD FSM'!AI24+'FWD Manual Pre Primary'!AI24+'FWD Manual Primary'!AI24+'FWD Primary with Scan'!AI24+'FWD Secondary'!AI24+'FWD Volumetric'!AI24+'IB'!AI24+'IB Volumetric'!AI24+'OB'!AI24+'OB Volumetric'!AI24+'OSC Bag Sorting'!AI24+'OSC Bag Sorting Volumetric'!AI24+'REV FSM'!AI24+'Rejection Primary with Scan'!AI24+'Rejection Secondary'!AI24+'Rev DC DC Primary Sorting'!AI24+'Rev Primary (FSM Rejections)'!AI24+'Rev Secondary Sorting'!AI24+'VIA Bag Sorting'!AI24</f>
        <v/>
      </c>
      <c r="AJ24" s="7">
        <f>'BBB'!AJ24+'Bag Staging'!AJ24+'Bag Staging Volumetric'!AJ24+'FWD FSM'!AJ24+'FWD Manual Pre Primary'!AJ24+'FWD Manual Primary'!AJ24+'FWD Primary with Scan'!AJ24+'FWD Secondary'!AJ24+'FWD Volumetric'!AJ24+'IB'!AJ24+'IB Volumetric'!AJ24+'OB'!AJ24+'OB Volumetric'!AJ24+'OSC Bag Sorting'!AJ24+'OSC Bag Sorting Volumetric'!AJ24+'REV FSM'!AJ24+'Rejection Primary with Scan'!AJ24+'Rejection Secondary'!AJ24+'Rev DC DC Primary Sorting'!AJ24+'Rev Primary (FSM Rejections)'!AJ24+'Rev Secondary Sorting'!AJ24+'VIA Bag Sorting'!AJ24</f>
        <v/>
      </c>
      <c r="AK24" s="7">
        <f>'BBB'!AK24+'Bag Staging'!AK24+'Bag Staging Volumetric'!AK24+'FWD FSM'!AK24+'FWD Manual Pre Primary'!AK24+'FWD Manual Primary'!AK24+'FWD Primary with Scan'!AK24+'FWD Secondary'!AK24+'FWD Volumetric'!AK24+'IB'!AK24+'IB Volumetric'!AK24+'OB'!AK24+'OB Volumetric'!AK24+'OSC Bag Sorting'!AK24+'OSC Bag Sorting Volumetric'!AK24+'REV FSM'!AK24+'Rejection Primary with Scan'!AK24+'Rejection Secondary'!AK24+'Rev DC DC Primary Sorting'!AK24+'Rev Primary (FSM Rejections)'!AK24+'Rev Secondary Sorting'!AK24+'VIA Bag Sorting'!AK24</f>
        <v/>
      </c>
      <c r="AL24" s="7">
        <f>'BBB'!AL24+'Bag Staging'!AL24+'Bag Staging Volumetric'!AL24+'FWD FSM'!AL24+'FWD Manual Pre Primary'!AL24+'FWD Manual Primary'!AL24+'FWD Primary with Scan'!AL24+'FWD Secondary'!AL24+'FWD Volumetric'!AL24+'IB'!AL24+'IB Volumetric'!AL24+'OB'!AL24+'OB Volumetric'!AL24+'OSC Bag Sorting'!AL24+'OSC Bag Sorting Volumetric'!AL24+'REV FSM'!AL24+'Rejection Primary with Scan'!AL24+'Rejection Secondary'!AL24+'Rev DC DC Primary Sorting'!AL24+'Rev Primary (FSM Rejections)'!AL24+'Rev Secondary Sorting'!AL24+'VIA Bag Sorting'!AL24</f>
        <v/>
      </c>
      <c r="AM24" s="7">
        <f>'BBB'!AM24+'Bag Staging'!AM24+'Bag Staging Volumetric'!AM24+'FWD FSM'!AM24+'FWD Manual Pre Primary'!AM24+'FWD Manual Primary'!AM24+'FWD Primary with Scan'!AM24+'FWD Secondary'!AM24+'FWD Volumetric'!AM24+'IB'!AM24+'IB Volumetric'!AM24+'OB'!AM24+'OB Volumetric'!AM24+'OSC Bag Sorting'!AM24+'OSC Bag Sorting Volumetric'!AM24+'REV FSM'!AM24+'Rejection Primary with Scan'!AM24+'Rejection Secondary'!AM24+'Rev DC DC Primary Sorting'!AM24+'Rev Primary (FSM Rejections)'!AM24+'Rev Secondary Sorting'!AM24+'VIA Bag Sorting'!AM24</f>
        <v/>
      </c>
      <c r="AN24" s="7">
        <f>'BBB'!AN24+'Bag Staging'!AN24+'Bag Staging Volumetric'!AN24+'FWD FSM'!AN24+'FWD Manual Pre Primary'!AN24+'FWD Manual Primary'!AN24+'FWD Primary with Scan'!AN24+'FWD Secondary'!AN24+'FWD Volumetric'!AN24+'IB'!AN24+'IB Volumetric'!AN24+'OB'!AN24+'OB Volumetric'!AN24+'OSC Bag Sorting'!AN24+'OSC Bag Sorting Volumetric'!AN24+'REV FSM'!AN24+'Rejection Primary with Scan'!AN24+'Rejection Secondary'!AN24+'Rev DC DC Primary Sorting'!AN24+'Rev Primary (FSM Rejections)'!AN24+'Rev Secondary Sorting'!AN24+'VIA Bag Sorting'!AN24</f>
        <v/>
      </c>
      <c r="AO24" s="7">
        <f>'BBB'!AO24+'Bag Staging'!AO24+'Bag Staging Volumetric'!AO24+'FWD FSM'!AO24+'FWD Manual Pre Primary'!AO24+'FWD Manual Primary'!AO24+'FWD Primary with Scan'!AO24+'FWD Secondary'!AO24+'FWD Volumetric'!AO24+'IB'!AO24+'IB Volumetric'!AO24+'OB'!AO24+'OB Volumetric'!AO24+'OSC Bag Sorting'!AO24+'OSC Bag Sorting Volumetric'!AO24+'REV FSM'!AO24+'Rejection Primary with Scan'!AO24+'Rejection Secondary'!AO24+'Rev DC DC Primary Sorting'!AO24+'Rev Primary (FSM Rejections)'!AO24+'Rev Secondary Sorting'!AO24+'VIA Bag Sorting'!AO24</f>
        <v/>
      </c>
      <c r="AP24" s="7">
        <f>'BBB'!AP24+'Bag Staging'!AP24+'Bag Staging Volumetric'!AP24+'FWD FSM'!AP24+'FWD Manual Pre Primary'!AP24+'FWD Manual Primary'!AP24+'FWD Primary with Scan'!AP24+'FWD Secondary'!AP24+'FWD Volumetric'!AP24+'IB'!AP24+'IB Volumetric'!AP24+'OB'!AP24+'OB Volumetric'!AP24+'OSC Bag Sorting'!AP24+'OSC Bag Sorting Volumetric'!AP24+'REV FSM'!AP24+'Rejection Primary with Scan'!AP24+'Rejection Secondary'!AP24+'Rev DC DC Primary Sorting'!AP24+'Rev Primary (FSM Rejections)'!AP24+'Rev Secondary Sorting'!AP24+'VIA Bag Sorting'!AP24</f>
        <v/>
      </c>
      <c r="AQ24" s="7">
        <f>'BBB'!AQ24+'Bag Staging'!AQ24+'Bag Staging Volumetric'!AQ24+'FWD FSM'!AQ24+'FWD Manual Pre Primary'!AQ24+'FWD Manual Primary'!AQ24+'FWD Primary with Scan'!AQ24+'FWD Secondary'!AQ24+'FWD Volumetric'!AQ24+'IB'!AQ24+'IB Volumetric'!AQ24+'OB'!AQ24+'OB Volumetric'!AQ24+'OSC Bag Sorting'!AQ24+'OSC Bag Sorting Volumetric'!AQ24+'REV FSM'!AQ24+'Rejection Primary with Scan'!AQ24+'Rejection Secondary'!AQ24+'Rev DC DC Primary Sorting'!AQ24+'Rev Primary (FSM Rejections)'!AQ24+'Rev Secondary Sorting'!AQ24+'VIA Bag Sorting'!AQ24</f>
        <v/>
      </c>
      <c r="AR24" s="7">
        <f>'BBB'!AR24+'Bag Staging'!AR24+'Bag Staging Volumetric'!AR24+'FWD FSM'!AR24+'FWD Manual Pre Primary'!AR24+'FWD Manual Primary'!AR24+'FWD Primary with Scan'!AR24+'FWD Secondary'!AR24+'FWD Volumetric'!AR24+'IB'!AR24+'IB Volumetric'!AR24+'OB'!AR24+'OB Volumetric'!AR24+'OSC Bag Sorting'!AR24+'OSC Bag Sorting Volumetric'!AR24+'REV FSM'!AR24+'Rejection Primary with Scan'!AR24+'Rejection Secondary'!AR24+'Rev DC DC Primary Sorting'!AR24+'Rev Primary (FSM Rejections)'!AR24+'Rev Secondary Sorting'!AR24+'VIA Bag Sorting'!AR24</f>
        <v/>
      </c>
      <c r="AS24" s="7">
        <f>'BBB'!AS24+'Bag Staging'!AS24+'Bag Staging Volumetric'!AS24+'FWD FSM'!AS24+'FWD Manual Pre Primary'!AS24+'FWD Manual Primary'!AS24+'FWD Primary with Scan'!AS24+'FWD Secondary'!AS24+'FWD Volumetric'!AS24+'IB'!AS24+'IB Volumetric'!AS24+'OB'!AS24+'OB Volumetric'!AS24+'OSC Bag Sorting'!AS24+'OSC Bag Sorting Volumetric'!AS24+'REV FSM'!AS24+'Rejection Primary with Scan'!AS24+'Rejection Secondary'!AS24+'Rev DC DC Primary Sorting'!AS24+'Rev Primary (FSM Rejections)'!AS24+'Rev Secondary Sorting'!AS24+'VIA Bag Sorting'!AS24</f>
        <v/>
      </c>
      <c r="AT24" s="7">
        <f>'BBB'!AT24+'Bag Staging'!AT24+'Bag Staging Volumetric'!AT24+'FWD FSM'!AT24+'FWD Manual Pre Primary'!AT24+'FWD Manual Primary'!AT24+'FWD Primary with Scan'!AT24+'FWD Secondary'!AT24+'FWD Volumetric'!AT24+'IB'!AT24+'IB Volumetric'!AT24+'OB'!AT24+'OB Volumetric'!AT24+'OSC Bag Sorting'!AT24+'OSC Bag Sorting Volumetric'!AT24+'REV FSM'!AT24+'Rejection Primary with Scan'!AT24+'Rejection Secondary'!AT24+'Rev DC DC Primary Sorting'!AT24+'Rev Primary (FSM Rejections)'!AT24+'Rev Secondary Sorting'!AT24+'VIA Bag Sorting'!AT24</f>
        <v/>
      </c>
      <c r="AU24" s="7">
        <f>'BBB'!AU24+'Bag Staging'!AU24+'Bag Staging Volumetric'!AU24+'FWD FSM'!AU24+'FWD Manual Pre Primary'!AU24+'FWD Manual Primary'!AU24+'FWD Primary with Scan'!AU24+'FWD Secondary'!AU24+'FWD Volumetric'!AU24+'IB'!AU24+'IB Volumetric'!AU24+'OB'!AU24+'OB Volumetric'!AU24+'OSC Bag Sorting'!AU24+'OSC Bag Sorting Volumetric'!AU24+'REV FSM'!AU24+'Rejection Primary with Scan'!AU24+'Rejection Secondary'!AU24+'Rev DC DC Primary Sorting'!AU24+'Rev Primary (FSM Rejections)'!AU24+'Rev Secondary Sorting'!AU24+'VIA Bag Sorting'!AU24</f>
        <v/>
      </c>
      <c r="AV24" s="7">
        <f>'BBB'!AV24+'Bag Staging'!AV24+'Bag Staging Volumetric'!AV24+'FWD FSM'!AV24+'FWD Manual Pre Primary'!AV24+'FWD Manual Primary'!AV24+'FWD Primary with Scan'!AV24+'FWD Secondary'!AV24+'FWD Volumetric'!AV24+'IB'!AV24+'IB Volumetric'!AV24+'OB'!AV24+'OB Volumetric'!AV24+'OSC Bag Sorting'!AV24+'OSC Bag Sorting Volumetric'!AV24+'REV FSM'!AV24+'Rejection Primary with Scan'!AV24+'Rejection Secondary'!AV24+'Rev DC DC Primary Sorting'!AV24+'Rev Primary (FSM Rejections)'!AV24+'Rev Secondary Sorting'!AV24+'VIA Bag Sorting'!AV24</f>
        <v/>
      </c>
      <c r="AW24" s="7">
        <f>'BBB'!AW24+'Bag Staging'!AW24+'Bag Staging Volumetric'!AW24+'FWD FSM'!AW24+'FWD Manual Pre Primary'!AW24+'FWD Manual Primary'!AW24+'FWD Primary with Scan'!AW24+'FWD Secondary'!AW24+'FWD Volumetric'!AW24+'IB'!AW24+'IB Volumetric'!AW24+'OB'!AW24+'OB Volumetric'!AW24+'OSC Bag Sorting'!AW24+'OSC Bag Sorting Volumetric'!AW24+'REV FSM'!AW24+'Rejection Primary with Scan'!AW24+'Rejection Secondary'!AW24+'Rev DC DC Primary Sorting'!AW24+'Rev Primary (FSM Rejections)'!AW24+'Rev Secondary Sorting'!AW24+'VIA Bag Sorting'!AW24</f>
        <v/>
      </c>
      <c r="AX24" s="7">
        <f>'BBB'!AX24+'Bag Staging'!AX24+'Bag Staging Volumetric'!AX24+'FWD FSM'!AX24+'FWD Manual Pre Primary'!AX24+'FWD Manual Primary'!AX24+'FWD Primary with Scan'!AX24+'FWD Secondary'!AX24+'FWD Volumetric'!AX24+'IB'!AX24+'IB Volumetric'!AX24+'OB'!AX24+'OB Volumetric'!AX24+'OSC Bag Sorting'!AX24+'OSC Bag Sorting Volumetric'!AX24+'REV FSM'!AX24+'Rejection Primary with Scan'!AX24+'Rejection Secondary'!AX24+'Rev DC DC Primary Sorting'!AX24+'Rev Primary (FSM Rejections)'!AX24+'Rev Secondary Sorting'!AX24+'VIA Bag Sorting'!AX24</f>
        <v/>
      </c>
      <c r="AY24" s="7">
        <f>'BBB'!AY24+'Bag Staging'!AY24+'Bag Staging Volumetric'!AY24+'FWD FSM'!AY24+'FWD Manual Pre Primary'!AY24+'FWD Manual Primary'!AY24+'FWD Primary with Scan'!AY24+'FWD Secondary'!AY24+'FWD Volumetric'!AY24+'IB'!AY24+'IB Volumetric'!AY24+'OB'!AY24+'OB Volumetric'!AY24+'OSC Bag Sorting'!AY24+'OSC Bag Sorting Volumetric'!AY24+'REV FSM'!AY24+'Rejection Primary with Scan'!AY24+'Rejection Secondary'!AY24+'Rev DC DC Primary Sorting'!AY24+'Rev Primary (FSM Rejections)'!AY24+'Rev Secondary Sorting'!AY24+'VIA Bag Sorting'!AY24</f>
        <v/>
      </c>
      <c r="AZ24" s="7">
        <f>'BBB'!AZ24+'Bag Staging'!AZ24+'Bag Staging Volumetric'!AZ24+'FWD FSM'!AZ24+'FWD Manual Pre Primary'!AZ24+'FWD Manual Primary'!AZ24+'FWD Primary with Scan'!AZ24+'FWD Secondary'!AZ24+'FWD Volumetric'!AZ24+'IB'!AZ24+'IB Volumetric'!AZ24+'OB'!AZ24+'OB Volumetric'!AZ24+'OSC Bag Sorting'!AZ24+'OSC Bag Sorting Volumetric'!AZ24+'REV FSM'!AZ24+'Rejection Primary with Scan'!AZ24+'Rejection Secondary'!AZ24+'Rev DC DC Primary Sorting'!AZ24+'Rev Primary (FSM Rejections)'!AZ24+'Rev Secondary Sorting'!AZ24+'VIA Bag Sorting'!AZ24</f>
        <v/>
      </c>
      <c r="BA24" s="7">
        <f>'BBB'!BA24+'Bag Staging'!BA24+'Bag Staging Volumetric'!BA24+'FWD FSM'!BA24+'FWD Manual Pre Primary'!BA24+'FWD Manual Primary'!BA24+'FWD Primary with Scan'!BA24+'FWD Secondary'!BA24+'FWD Volumetric'!BA24+'IB'!BA24+'IB Volumetric'!BA24+'OB'!BA24+'OB Volumetric'!BA24+'OSC Bag Sorting'!BA24+'OSC Bag Sorting Volumetric'!BA24+'REV FSM'!BA24+'Rejection Primary with Scan'!BA24+'Rejection Secondary'!BA24+'Rev DC DC Primary Sorting'!BA24+'Rev Primary (FSM Rejections)'!BA24+'Rev Secondary Sorting'!BA24+'VIA Bag Sorting'!BA24</f>
        <v/>
      </c>
      <c r="BB24" s="7">
        <f>SUM(AD24:BA24)</f>
        <v/>
      </c>
    </row>
    <row r="25">
      <c r="A25" t="inlineStr">
        <is>
          <t>AMD-EXPR</t>
        </is>
      </c>
      <c r="B25" t="inlineStr">
        <is>
          <t>DSC Manual</t>
        </is>
      </c>
      <c r="C25" s="5" t="n">
        <v>46105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48</v>
      </c>
      <c r="J25" s="6" t="n">
        <v>20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>
        <f>SUM(D25:AA25)</f>
        <v/>
      </c>
      <c r="AC25" s="3" t="inlineStr"/>
      <c r="AD25" s="7">
        <f>'BBB'!AD25+'Bag Staging'!AD25+'Bag Staging Volumetric'!AD25+'FWD FSM'!AD25+'FWD Manual Pre Primary'!AD25+'FWD Manual Primary'!AD25+'FWD Primary with Scan'!AD25+'FWD Secondary'!AD25+'FWD Volumetric'!AD25+'IB'!AD25+'IB Volumetric'!AD25+'OB'!AD25+'OB Volumetric'!AD25+'OSC Bag Sorting'!AD25+'OSC Bag Sorting Volumetric'!AD25+'REV FSM'!AD25+'Rejection Primary with Scan'!AD25+'Rejection Secondary'!AD25+'Rev DC DC Primary Sorting'!AD25+'Rev Primary (FSM Rejections)'!AD25+'Rev Secondary Sorting'!AD25+'VIA Bag Sorting'!AD25</f>
        <v/>
      </c>
      <c r="AE25" s="7">
        <f>'BBB'!AE25+'Bag Staging'!AE25+'Bag Staging Volumetric'!AE25+'FWD FSM'!AE25+'FWD Manual Pre Primary'!AE25+'FWD Manual Primary'!AE25+'FWD Primary with Scan'!AE25+'FWD Secondary'!AE25+'FWD Volumetric'!AE25+'IB'!AE25+'IB Volumetric'!AE25+'OB'!AE25+'OB Volumetric'!AE25+'OSC Bag Sorting'!AE25+'OSC Bag Sorting Volumetric'!AE25+'REV FSM'!AE25+'Rejection Primary with Scan'!AE25+'Rejection Secondary'!AE25+'Rev DC DC Primary Sorting'!AE25+'Rev Primary (FSM Rejections)'!AE25+'Rev Secondary Sorting'!AE25+'VIA Bag Sorting'!AE25</f>
        <v/>
      </c>
      <c r="AF25" s="7">
        <f>'BBB'!AF25+'Bag Staging'!AF25+'Bag Staging Volumetric'!AF25+'FWD FSM'!AF25+'FWD Manual Pre Primary'!AF25+'FWD Manual Primary'!AF25+'FWD Primary with Scan'!AF25+'FWD Secondary'!AF25+'FWD Volumetric'!AF25+'IB'!AF25+'IB Volumetric'!AF25+'OB'!AF25+'OB Volumetric'!AF25+'OSC Bag Sorting'!AF25+'OSC Bag Sorting Volumetric'!AF25+'REV FSM'!AF25+'Rejection Primary with Scan'!AF25+'Rejection Secondary'!AF25+'Rev DC DC Primary Sorting'!AF25+'Rev Primary (FSM Rejections)'!AF25+'Rev Secondary Sorting'!AF25+'VIA Bag Sorting'!AF25</f>
        <v/>
      </c>
      <c r="AG25" s="7">
        <f>'BBB'!AG25+'Bag Staging'!AG25+'Bag Staging Volumetric'!AG25+'FWD FSM'!AG25+'FWD Manual Pre Primary'!AG25+'FWD Manual Primary'!AG25+'FWD Primary with Scan'!AG25+'FWD Secondary'!AG25+'FWD Volumetric'!AG25+'IB'!AG25+'IB Volumetric'!AG25+'OB'!AG25+'OB Volumetric'!AG25+'OSC Bag Sorting'!AG25+'OSC Bag Sorting Volumetric'!AG25+'REV FSM'!AG25+'Rejection Primary with Scan'!AG25+'Rejection Secondary'!AG25+'Rev DC DC Primary Sorting'!AG25+'Rev Primary (FSM Rejections)'!AG25+'Rev Secondary Sorting'!AG25+'VIA Bag Sorting'!AG25</f>
        <v/>
      </c>
      <c r="AH25" s="7">
        <f>'BBB'!AH25+'Bag Staging'!AH25+'Bag Staging Volumetric'!AH25+'FWD FSM'!AH25+'FWD Manual Pre Primary'!AH25+'FWD Manual Primary'!AH25+'FWD Primary with Scan'!AH25+'FWD Secondary'!AH25+'FWD Volumetric'!AH25+'IB'!AH25+'IB Volumetric'!AH25+'OB'!AH25+'OB Volumetric'!AH25+'OSC Bag Sorting'!AH25+'OSC Bag Sorting Volumetric'!AH25+'REV FSM'!AH25+'Rejection Primary with Scan'!AH25+'Rejection Secondary'!AH25+'Rev DC DC Primary Sorting'!AH25+'Rev Primary (FSM Rejections)'!AH25+'Rev Secondary Sorting'!AH25+'VIA Bag Sorting'!AH25</f>
        <v/>
      </c>
      <c r="AI25" s="7">
        <f>'BBB'!AI25+'Bag Staging'!AI25+'Bag Staging Volumetric'!AI25+'FWD FSM'!AI25+'FWD Manual Pre Primary'!AI25+'FWD Manual Primary'!AI25+'FWD Primary with Scan'!AI25+'FWD Secondary'!AI25+'FWD Volumetric'!AI25+'IB'!AI25+'IB Volumetric'!AI25+'OB'!AI25+'OB Volumetric'!AI25+'OSC Bag Sorting'!AI25+'OSC Bag Sorting Volumetric'!AI25+'REV FSM'!AI25+'Rejection Primary with Scan'!AI25+'Rejection Secondary'!AI25+'Rev DC DC Primary Sorting'!AI25+'Rev Primary (FSM Rejections)'!AI25+'Rev Secondary Sorting'!AI25+'VIA Bag Sorting'!AI25</f>
        <v/>
      </c>
      <c r="AJ25" s="7">
        <f>'BBB'!AJ25+'Bag Staging'!AJ25+'Bag Staging Volumetric'!AJ25+'FWD FSM'!AJ25+'FWD Manual Pre Primary'!AJ25+'FWD Manual Primary'!AJ25+'FWD Primary with Scan'!AJ25+'FWD Secondary'!AJ25+'FWD Volumetric'!AJ25+'IB'!AJ25+'IB Volumetric'!AJ25+'OB'!AJ25+'OB Volumetric'!AJ25+'OSC Bag Sorting'!AJ25+'OSC Bag Sorting Volumetric'!AJ25+'REV FSM'!AJ25+'Rejection Primary with Scan'!AJ25+'Rejection Secondary'!AJ25+'Rev DC DC Primary Sorting'!AJ25+'Rev Primary (FSM Rejections)'!AJ25+'Rev Secondary Sorting'!AJ25+'VIA Bag Sorting'!AJ25</f>
        <v/>
      </c>
      <c r="AK25" s="7">
        <f>'BBB'!AK25+'Bag Staging'!AK25+'Bag Staging Volumetric'!AK25+'FWD FSM'!AK25+'FWD Manual Pre Primary'!AK25+'FWD Manual Primary'!AK25+'FWD Primary with Scan'!AK25+'FWD Secondary'!AK25+'FWD Volumetric'!AK25+'IB'!AK25+'IB Volumetric'!AK25+'OB'!AK25+'OB Volumetric'!AK25+'OSC Bag Sorting'!AK25+'OSC Bag Sorting Volumetric'!AK25+'REV FSM'!AK25+'Rejection Primary with Scan'!AK25+'Rejection Secondary'!AK25+'Rev DC DC Primary Sorting'!AK25+'Rev Primary (FSM Rejections)'!AK25+'Rev Secondary Sorting'!AK25+'VIA Bag Sorting'!AK25</f>
        <v/>
      </c>
      <c r="AL25" s="7">
        <f>'BBB'!AL25+'Bag Staging'!AL25+'Bag Staging Volumetric'!AL25+'FWD FSM'!AL25+'FWD Manual Pre Primary'!AL25+'FWD Manual Primary'!AL25+'FWD Primary with Scan'!AL25+'FWD Secondary'!AL25+'FWD Volumetric'!AL25+'IB'!AL25+'IB Volumetric'!AL25+'OB'!AL25+'OB Volumetric'!AL25+'OSC Bag Sorting'!AL25+'OSC Bag Sorting Volumetric'!AL25+'REV FSM'!AL25+'Rejection Primary with Scan'!AL25+'Rejection Secondary'!AL25+'Rev DC DC Primary Sorting'!AL25+'Rev Primary (FSM Rejections)'!AL25+'Rev Secondary Sorting'!AL25+'VIA Bag Sorting'!AL25</f>
        <v/>
      </c>
      <c r="AM25" s="7">
        <f>'BBB'!AM25+'Bag Staging'!AM25+'Bag Staging Volumetric'!AM25+'FWD FSM'!AM25+'FWD Manual Pre Primary'!AM25+'FWD Manual Primary'!AM25+'FWD Primary with Scan'!AM25+'FWD Secondary'!AM25+'FWD Volumetric'!AM25+'IB'!AM25+'IB Volumetric'!AM25+'OB'!AM25+'OB Volumetric'!AM25+'OSC Bag Sorting'!AM25+'OSC Bag Sorting Volumetric'!AM25+'REV FSM'!AM25+'Rejection Primary with Scan'!AM25+'Rejection Secondary'!AM25+'Rev DC DC Primary Sorting'!AM25+'Rev Primary (FSM Rejections)'!AM25+'Rev Secondary Sorting'!AM25+'VIA Bag Sorting'!AM25</f>
        <v/>
      </c>
      <c r="AN25" s="7">
        <f>'BBB'!AN25+'Bag Staging'!AN25+'Bag Staging Volumetric'!AN25+'FWD FSM'!AN25+'FWD Manual Pre Primary'!AN25+'FWD Manual Primary'!AN25+'FWD Primary with Scan'!AN25+'FWD Secondary'!AN25+'FWD Volumetric'!AN25+'IB'!AN25+'IB Volumetric'!AN25+'OB'!AN25+'OB Volumetric'!AN25+'OSC Bag Sorting'!AN25+'OSC Bag Sorting Volumetric'!AN25+'REV FSM'!AN25+'Rejection Primary with Scan'!AN25+'Rejection Secondary'!AN25+'Rev DC DC Primary Sorting'!AN25+'Rev Primary (FSM Rejections)'!AN25+'Rev Secondary Sorting'!AN25+'VIA Bag Sorting'!AN25</f>
        <v/>
      </c>
      <c r="AO25" s="7">
        <f>'BBB'!AO25+'Bag Staging'!AO25+'Bag Staging Volumetric'!AO25+'FWD FSM'!AO25+'FWD Manual Pre Primary'!AO25+'FWD Manual Primary'!AO25+'FWD Primary with Scan'!AO25+'FWD Secondary'!AO25+'FWD Volumetric'!AO25+'IB'!AO25+'IB Volumetric'!AO25+'OB'!AO25+'OB Volumetric'!AO25+'OSC Bag Sorting'!AO25+'OSC Bag Sorting Volumetric'!AO25+'REV FSM'!AO25+'Rejection Primary with Scan'!AO25+'Rejection Secondary'!AO25+'Rev DC DC Primary Sorting'!AO25+'Rev Primary (FSM Rejections)'!AO25+'Rev Secondary Sorting'!AO25+'VIA Bag Sorting'!AO25</f>
        <v/>
      </c>
      <c r="AP25" s="7">
        <f>'BBB'!AP25+'Bag Staging'!AP25+'Bag Staging Volumetric'!AP25+'FWD FSM'!AP25+'FWD Manual Pre Primary'!AP25+'FWD Manual Primary'!AP25+'FWD Primary with Scan'!AP25+'FWD Secondary'!AP25+'FWD Volumetric'!AP25+'IB'!AP25+'IB Volumetric'!AP25+'OB'!AP25+'OB Volumetric'!AP25+'OSC Bag Sorting'!AP25+'OSC Bag Sorting Volumetric'!AP25+'REV FSM'!AP25+'Rejection Primary with Scan'!AP25+'Rejection Secondary'!AP25+'Rev DC DC Primary Sorting'!AP25+'Rev Primary (FSM Rejections)'!AP25+'Rev Secondary Sorting'!AP25+'VIA Bag Sorting'!AP25</f>
        <v/>
      </c>
      <c r="AQ25" s="7">
        <f>'BBB'!AQ25+'Bag Staging'!AQ25+'Bag Staging Volumetric'!AQ25+'FWD FSM'!AQ25+'FWD Manual Pre Primary'!AQ25+'FWD Manual Primary'!AQ25+'FWD Primary with Scan'!AQ25+'FWD Secondary'!AQ25+'FWD Volumetric'!AQ25+'IB'!AQ25+'IB Volumetric'!AQ25+'OB'!AQ25+'OB Volumetric'!AQ25+'OSC Bag Sorting'!AQ25+'OSC Bag Sorting Volumetric'!AQ25+'REV FSM'!AQ25+'Rejection Primary with Scan'!AQ25+'Rejection Secondary'!AQ25+'Rev DC DC Primary Sorting'!AQ25+'Rev Primary (FSM Rejections)'!AQ25+'Rev Secondary Sorting'!AQ25+'VIA Bag Sorting'!AQ25</f>
        <v/>
      </c>
      <c r="AR25" s="7">
        <f>'BBB'!AR25+'Bag Staging'!AR25+'Bag Staging Volumetric'!AR25+'FWD FSM'!AR25+'FWD Manual Pre Primary'!AR25+'FWD Manual Primary'!AR25+'FWD Primary with Scan'!AR25+'FWD Secondary'!AR25+'FWD Volumetric'!AR25+'IB'!AR25+'IB Volumetric'!AR25+'OB'!AR25+'OB Volumetric'!AR25+'OSC Bag Sorting'!AR25+'OSC Bag Sorting Volumetric'!AR25+'REV FSM'!AR25+'Rejection Primary with Scan'!AR25+'Rejection Secondary'!AR25+'Rev DC DC Primary Sorting'!AR25+'Rev Primary (FSM Rejections)'!AR25+'Rev Secondary Sorting'!AR25+'VIA Bag Sorting'!AR25</f>
        <v/>
      </c>
      <c r="AS25" s="7">
        <f>'BBB'!AS25+'Bag Staging'!AS25+'Bag Staging Volumetric'!AS25+'FWD FSM'!AS25+'FWD Manual Pre Primary'!AS25+'FWD Manual Primary'!AS25+'FWD Primary with Scan'!AS25+'FWD Secondary'!AS25+'FWD Volumetric'!AS25+'IB'!AS25+'IB Volumetric'!AS25+'OB'!AS25+'OB Volumetric'!AS25+'OSC Bag Sorting'!AS25+'OSC Bag Sorting Volumetric'!AS25+'REV FSM'!AS25+'Rejection Primary with Scan'!AS25+'Rejection Secondary'!AS25+'Rev DC DC Primary Sorting'!AS25+'Rev Primary (FSM Rejections)'!AS25+'Rev Secondary Sorting'!AS25+'VIA Bag Sorting'!AS25</f>
        <v/>
      </c>
      <c r="AT25" s="7">
        <f>'BBB'!AT25+'Bag Staging'!AT25+'Bag Staging Volumetric'!AT25+'FWD FSM'!AT25+'FWD Manual Pre Primary'!AT25+'FWD Manual Primary'!AT25+'FWD Primary with Scan'!AT25+'FWD Secondary'!AT25+'FWD Volumetric'!AT25+'IB'!AT25+'IB Volumetric'!AT25+'OB'!AT25+'OB Volumetric'!AT25+'OSC Bag Sorting'!AT25+'OSC Bag Sorting Volumetric'!AT25+'REV FSM'!AT25+'Rejection Primary with Scan'!AT25+'Rejection Secondary'!AT25+'Rev DC DC Primary Sorting'!AT25+'Rev Primary (FSM Rejections)'!AT25+'Rev Secondary Sorting'!AT25+'VIA Bag Sorting'!AT25</f>
        <v/>
      </c>
      <c r="AU25" s="7">
        <f>'BBB'!AU25+'Bag Staging'!AU25+'Bag Staging Volumetric'!AU25+'FWD FSM'!AU25+'FWD Manual Pre Primary'!AU25+'FWD Manual Primary'!AU25+'FWD Primary with Scan'!AU25+'FWD Secondary'!AU25+'FWD Volumetric'!AU25+'IB'!AU25+'IB Volumetric'!AU25+'OB'!AU25+'OB Volumetric'!AU25+'OSC Bag Sorting'!AU25+'OSC Bag Sorting Volumetric'!AU25+'REV FSM'!AU25+'Rejection Primary with Scan'!AU25+'Rejection Secondary'!AU25+'Rev DC DC Primary Sorting'!AU25+'Rev Primary (FSM Rejections)'!AU25+'Rev Secondary Sorting'!AU25+'VIA Bag Sorting'!AU25</f>
        <v/>
      </c>
      <c r="AV25" s="7">
        <f>'BBB'!AV25+'Bag Staging'!AV25+'Bag Staging Volumetric'!AV25+'FWD FSM'!AV25+'FWD Manual Pre Primary'!AV25+'FWD Manual Primary'!AV25+'FWD Primary with Scan'!AV25+'FWD Secondary'!AV25+'FWD Volumetric'!AV25+'IB'!AV25+'IB Volumetric'!AV25+'OB'!AV25+'OB Volumetric'!AV25+'OSC Bag Sorting'!AV25+'OSC Bag Sorting Volumetric'!AV25+'REV FSM'!AV25+'Rejection Primary with Scan'!AV25+'Rejection Secondary'!AV25+'Rev DC DC Primary Sorting'!AV25+'Rev Primary (FSM Rejections)'!AV25+'Rev Secondary Sorting'!AV25+'VIA Bag Sorting'!AV25</f>
        <v/>
      </c>
      <c r="AW25" s="7">
        <f>'BBB'!AW25+'Bag Staging'!AW25+'Bag Staging Volumetric'!AW25+'FWD FSM'!AW25+'FWD Manual Pre Primary'!AW25+'FWD Manual Primary'!AW25+'FWD Primary with Scan'!AW25+'FWD Secondary'!AW25+'FWD Volumetric'!AW25+'IB'!AW25+'IB Volumetric'!AW25+'OB'!AW25+'OB Volumetric'!AW25+'OSC Bag Sorting'!AW25+'OSC Bag Sorting Volumetric'!AW25+'REV FSM'!AW25+'Rejection Primary with Scan'!AW25+'Rejection Secondary'!AW25+'Rev DC DC Primary Sorting'!AW25+'Rev Primary (FSM Rejections)'!AW25+'Rev Secondary Sorting'!AW25+'VIA Bag Sorting'!AW25</f>
        <v/>
      </c>
      <c r="AX25" s="7">
        <f>'BBB'!AX25+'Bag Staging'!AX25+'Bag Staging Volumetric'!AX25+'FWD FSM'!AX25+'FWD Manual Pre Primary'!AX25+'FWD Manual Primary'!AX25+'FWD Primary with Scan'!AX25+'FWD Secondary'!AX25+'FWD Volumetric'!AX25+'IB'!AX25+'IB Volumetric'!AX25+'OB'!AX25+'OB Volumetric'!AX25+'OSC Bag Sorting'!AX25+'OSC Bag Sorting Volumetric'!AX25+'REV FSM'!AX25+'Rejection Primary with Scan'!AX25+'Rejection Secondary'!AX25+'Rev DC DC Primary Sorting'!AX25+'Rev Primary (FSM Rejections)'!AX25+'Rev Secondary Sorting'!AX25+'VIA Bag Sorting'!AX25</f>
        <v/>
      </c>
      <c r="AY25" s="7">
        <f>'BBB'!AY25+'Bag Staging'!AY25+'Bag Staging Volumetric'!AY25+'FWD FSM'!AY25+'FWD Manual Pre Primary'!AY25+'FWD Manual Primary'!AY25+'FWD Primary with Scan'!AY25+'FWD Secondary'!AY25+'FWD Volumetric'!AY25+'IB'!AY25+'IB Volumetric'!AY25+'OB'!AY25+'OB Volumetric'!AY25+'OSC Bag Sorting'!AY25+'OSC Bag Sorting Volumetric'!AY25+'REV FSM'!AY25+'Rejection Primary with Scan'!AY25+'Rejection Secondary'!AY25+'Rev DC DC Primary Sorting'!AY25+'Rev Primary (FSM Rejections)'!AY25+'Rev Secondary Sorting'!AY25+'VIA Bag Sorting'!AY25</f>
        <v/>
      </c>
      <c r="AZ25" s="7">
        <f>'BBB'!AZ25+'Bag Staging'!AZ25+'Bag Staging Volumetric'!AZ25+'FWD FSM'!AZ25+'FWD Manual Pre Primary'!AZ25+'FWD Manual Primary'!AZ25+'FWD Primary with Scan'!AZ25+'FWD Secondary'!AZ25+'FWD Volumetric'!AZ25+'IB'!AZ25+'IB Volumetric'!AZ25+'OB'!AZ25+'OB Volumetric'!AZ25+'OSC Bag Sorting'!AZ25+'OSC Bag Sorting Volumetric'!AZ25+'REV FSM'!AZ25+'Rejection Primary with Scan'!AZ25+'Rejection Secondary'!AZ25+'Rev DC DC Primary Sorting'!AZ25+'Rev Primary (FSM Rejections)'!AZ25+'Rev Secondary Sorting'!AZ25+'VIA Bag Sorting'!AZ25</f>
        <v/>
      </c>
      <c r="BA25" s="7">
        <f>'BBB'!BA25+'Bag Staging'!BA25+'Bag Staging Volumetric'!BA25+'FWD FSM'!BA25+'FWD Manual Pre Primary'!BA25+'FWD Manual Primary'!BA25+'FWD Primary with Scan'!BA25+'FWD Secondary'!BA25+'FWD Volumetric'!BA25+'IB'!BA25+'IB Volumetric'!BA25+'OB'!BA25+'OB Volumetric'!BA25+'OSC Bag Sorting'!BA25+'OSC Bag Sorting Volumetric'!BA25+'REV FSM'!BA25+'Rejection Primary with Scan'!BA25+'Rejection Secondary'!BA25+'Rev DC DC Primary Sorting'!BA25+'Rev Primary (FSM Rejections)'!BA25+'Rev Secondary Sorting'!BA25+'VIA Bag Sorting'!BA25</f>
        <v/>
      </c>
      <c r="BB25" s="7">
        <f>SUM(AD25:BA25)</f>
        <v/>
      </c>
    </row>
    <row r="26">
      <c r="A26" t="inlineStr">
        <is>
          <t>AMD-FK-SSC</t>
        </is>
      </c>
      <c r="B26" t="inlineStr">
        <is>
          <t>Prime at Client side</t>
        </is>
      </c>
      <c r="C26" s="5" t="n">
        <v>46089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43</v>
      </c>
      <c r="P26" s="6" t="n">
        <v>114</v>
      </c>
      <c r="Q26" s="6" t="n">
        <v>315</v>
      </c>
      <c r="R26" s="6" t="n">
        <v>140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>
        <f>SUM(D26:AA26)</f>
        <v/>
      </c>
      <c r="AC26" s="3" t="inlineStr"/>
      <c r="AD26" s="7">
        <f>'BBB'!AD26+'Bag Staging'!AD26+'Bag Staging Volumetric'!AD26+'FWD FSM'!AD26+'FWD Manual Pre Primary'!AD26+'FWD Manual Primary'!AD26+'FWD Primary with Scan'!AD26+'FWD Secondary'!AD26+'FWD Volumetric'!AD26+'IB'!AD26+'IB Volumetric'!AD26+'OB'!AD26+'OB Volumetric'!AD26+'OSC Bag Sorting'!AD26+'OSC Bag Sorting Volumetric'!AD26+'REV FSM'!AD26+'Rejection Primary with Scan'!AD26+'Rejection Secondary'!AD26+'Rev DC DC Primary Sorting'!AD26+'Rev Primary (FSM Rejections)'!AD26+'Rev Secondary Sorting'!AD26+'VIA Bag Sorting'!AD26</f>
        <v/>
      </c>
      <c r="AE26" s="7">
        <f>'BBB'!AE26+'Bag Staging'!AE26+'Bag Staging Volumetric'!AE26+'FWD FSM'!AE26+'FWD Manual Pre Primary'!AE26+'FWD Manual Primary'!AE26+'FWD Primary with Scan'!AE26+'FWD Secondary'!AE26+'FWD Volumetric'!AE26+'IB'!AE26+'IB Volumetric'!AE26+'OB'!AE26+'OB Volumetric'!AE26+'OSC Bag Sorting'!AE26+'OSC Bag Sorting Volumetric'!AE26+'REV FSM'!AE26+'Rejection Primary with Scan'!AE26+'Rejection Secondary'!AE26+'Rev DC DC Primary Sorting'!AE26+'Rev Primary (FSM Rejections)'!AE26+'Rev Secondary Sorting'!AE26+'VIA Bag Sorting'!AE26</f>
        <v/>
      </c>
      <c r="AF26" s="7">
        <f>'BBB'!AF26+'Bag Staging'!AF26+'Bag Staging Volumetric'!AF26+'FWD FSM'!AF26+'FWD Manual Pre Primary'!AF26+'FWD Manual Primary'!AF26+'FWD Primary with Scan'!AF26+'FWD Secondary'!AF26+'FWD Volumetric'!AF26+'IB'!AF26+'IB Volumetric'!AF26+'OB'!AF26+'OB Volumetric'!AF26+'OSC Bag Sorting'!AF26+'OSC Bag Sorting Volumetric'!AF26+'REV FSM'!AF26+'Rejection Primary with Scan'!AF26+'Rejection Secondary'!AF26+'Rev DC DC Primary Sorting'!AF26+'Rev Primary (FSM Rejections)'!AF26+'Rev Secondary Sorting'!AF26+'VIA Bag Sorting'!AF26</f>
        <v/>
      </c>
      <c r="AG26" s="7">
        <f>'BBB'!AG26+'Bag Staging'!AG26+'Bag Staging Volumetric'!AG26+'FWD FSM'!AG26+'FWD Manual Pre Primary'!AG26+'FWD Manual Primary'!AG26+'FWD Primary with Scan'!AG26+'FWD Secondary'!AG26+'FWD Volumetric'!AG26+'IB'!AG26+'IB Volumetric'!AG26+'OB'!AG26+'OB Volumetric'!AG26+'OSC Bag Sorting'!AG26+'OSC Bag Sorting Volumetric'!AG26+'REV FSM'!AG26+'Rejection Primary with Scan'!AG26+'Rejection Secondary'!AG26+'Rev DC DC Primary Sorting'!AG26+'Rev Primary (FSM Rejections)'!AG26+'Rev Secondary Sorting'!AG26+'VIA Bag Sorting'!AG26</f>
        <v/>
      </c>
      <c r="AH26" s="7">
        <f>'BBB'!AH26+'Bag Staging'!AH26+'Bag Staging Volumetric'!AH26+'FWD FSM'!AH26+'FWD Manual Pre Primary'!AH26+'FWD Manual Primary'!AH26+'FWD Primary with Scan'!AH26+'FWD Secondary'!AH26+'FWD Volumetric'!AH26+'IB'!AH26+'IB Volumetric'!AH26+'OB'!AH26+'OB Volumetric'!AH26+'OSC Bag Sorting'!AH26+'OSC Bag Sorting Volumetric'!AH26+'REV FSM'!AH26+'Rejection Primary with Scan'!AH26+'Rejection Secondary'!AH26+'Rev DC DC Primary Sorting'!AH26+'Rev Primary (FSM Rejections)'!AH26+'Rev Secondary Sorting'!AH26+'VIA Bag Sorting'!AH26</f>
        <v/>
      </c>
      <c r="AI26" s="7">
        <f>'BBB'!AI26+'Bag Staging'!AI26+'Bag Staging Volumetric'!AI26+'FWD FSM'!AI26+'FWD Manual Pre Primary'!AI26+'FWD Manual Primary'!AI26+'FWD Primary with Scan'!AI26+'FWD Secondary'!AI26+'FWD Volumetric'!AI26+'IB'!AI26+'IB Volumetric'!AI26+'OB'!AI26+'OB Volumetric'!AI26+'OSC Bag Sorting'!AI26+'OSC Bag Sorting Volumetric'!AI26+'REV FSM'!AI26+'Rejection Primary with Scan'!AI26+'Rejection Secondary'!AI26+'Rev DC DC Primary Sorting'!AI26+'Rev Primary (FSM Rejections)'!AI26+'Rev Secondary Sorting'!AI26+'VIA Bag Sorting'!AI26</f>
        <v/>
      </c>
      <c r="AJ26" s="7">
        <f>'BBB'!AJ26+'Bag Staging'!AJ26+'Bag Staging Volumetric'!AJ26+'FWD FSM'!AJ26+'FWD Manual Pre Primary'!AJ26+'FWD Manual Primary'!AJ26+'FWD Primary with Scan'!AJ26+'FWD Secondary'!AJ26+'FWD Volumetric'!AJ26+'IB'!AJ26+'IB Volumetric'!AJ26+'OB'!AJ26+'OB Volumetric'!AJ26+'OSC Bag Sorting'!AJ26+'OSC Bag Sorting Volumetric'!AJ26+'REV FSM'!AJ26+'Rejection Primary with Scan'!AJ26+'Rejection Secondary'!AJ26+'Rev DC DC Primary Sorting'!AJ26+'Rev Primary (FSM Rejections)'!AJ26+'Rev Secondary Sorting'!AJ26+'VIA Bag Sorting'!AJ26</f>
        <v/>
      </c>
      <c r="AK26" s="7">
        <f>'BBB'!AK26+'Bag Staging'!AK26+'Bag Staging Volumetric'!AK26+'FWD FSM'!AK26+'FWD Manual Pre Primary'!AK26+'FWD Manual Primary'!AK26+'FWD Primary with Scan'!AK26+'FWD Secondary'!AK26+'FWD Volumetric'!AK26+'IB'!AK26+'IB Volumetric'!AK26+'OB'!AK26+'OB Volumetric'!AK26+'OSC Bag Sorting'!AK26+'OSC Bag Sorting Volumetric'!AK26+'REV FSM'!AK26+'Rejection Primary with Scan'!AK26+'Rejection Secondary'!AK26+'Rev DC DC Primary Sorting'!AK26+'Rev Primary (FSM Rejections)'!AK26+'Rev Secondary Sorting'!AK26+'VIA Bag Sorting'!AK26</f>
        <v/>
      </c>
      <c r="AL26" s="7">
        <f>'BBB'!AL26+'Bag Staging'!AL26+'Bag Staging Volumetric'!AL26+'FWD FSM'!AL26+'FWD Manual Pre Primary'!AL26+'FWD Manual Primary'!AL26+'FWD Primary with Scan'!AL26+'FWD Secondary'!AL26+'FWD Volumetric'!AL26+'IB'!AL26+'IB Volumetric'!AL26+'OB'!AL26+'OB Volumetric'!AL26+'OSC Bag Sorting'!AL26+'OSC Bag Sorting Volumetric'!AL26+'REV FSM'!AL26+'Rejection Primary with Scan'!AL26+'Rejection Secondary'!AL26+'Rev DC DC Primary Sorting'!AL26+'Rev Primary (FSM Rejections)'!AL26+'Rev Secondary Sorting'!AL26+'VIA Bag Sorting'!AL26</f>
        <v/>
      </c>
      <c r="AM26" s="7">
        <f>'BBB'!AM26+'Bag Staging'!AM26+'Bag Staging Volumetric'!AM26+'FWD FSM'!AM26+'FWD Manual Pre Primary'!AM26+'FWD Manual Primary'!AM26+'FWD Primary with Scan'!AM26+'FWD Secondary'!AM26+'FWD Volumetric'!AM26+'IB'!AM26+'IB Volumetric'!AM26+'OB'!AM26+'OB Volumetric'!AM26+'OSC Bag Sorting'!AM26+'OSC Bag Sorting Volumetric'!AM26+'REV FSM'!AM26+'Rejection Primary with Scan'!AM26+'Rejection Secondary'!AM26+'Rev DC DC Primary Sorting'!AM26+'Rev Primary (FSM Rejections)'!AM26+'Rev Secondary Sorting'!AM26+'VIA Bag Sorting'!AM26</f>
        <v/>
      </c>
      <c r="AN26" s="7">
        <f>'BBB'!AN26+'Bag Staging'!AN26+'Bag Staging Volumetric'!AN26+'FWD FSM'!AN26+'FWD Manual Pre Primary'!AN26+'FWD Manual Primary'!AN26+'FWD Primary with Scan'!AN26+'FWD Secondary'!AN26+'FWD Volumetric'!AN26+'IB'!AN26+'IB Volumetric'!AN26+'OB'!AN26+'OB Volumetric'!AN26+'OSC Bag Sorting'!AN26+'OSC Bag Sorting Volumetric'!AN26+'REV FSM'!AN26+'Rejection Primary with Scan'!AN26+'Rejection Secondary'!AN26+'Rev DC DC Primary Sorting'!AN26+'Rev Primary (FSM Rejections)'!AN26+'Rev Secondary Sorting'!AN26+'VIA Bag Sorting'!AN26</f>
        <v/>
      </c>
      <c r="AO26" s="7">
        <f>'BBB'!AO26+'Bag Staging'!AO26+'Bag Staging Volumetric'!AO26+'FWD FSM'!AO26+'FWD Manual Pre Primary'!AO26+'FWD Manual Primary'!AO26+'FWD Primary with Scan'!AO26+'FWD Secondary'!AO26+'FWD Volumetric'!AO26+'IB'!AO26+'IB Volumetric'!AO26+'OB'!AO26+'OB Volumetric'!AO26+'OSC Bag Sorting'!AO26+'OSC Bag Sorting Volumetric'!AO26+'REV FSM'!AO26+'Rejection Primary with Scan'!AO26+'Rejection Secondary'!AO26+'Rev DC DC Primary Sorting'!AO26+'Rev Primary (FSM Rejections)'!AO26+'Rev Secondary Sorting'!AO26+'VIA Bag Sorting'!AO26</f>
        <v/>
      </c>
      <c r="AP26" s="7">
        <f>'BBB'!AP26+'Bag Staging'!AP26+'Bag Staging Volumetric'!AP26+'FWD FSM'!AP26+'FWD Manual Pre Primary'!AP26+'FWD Manual Primary'!AP26+'FWD Primary with Scan'!AP26+'FWD Secondary'!AP26+'FWD Volumetric'!AP26+'IB'!AP26+'IB Volumetric'!AP26+'OB'!AP26+'OB Volumetric'!AP26+'OSC Bag Sorting'!AP26+'OSC Bag Sorting Volumetric'!AP26+'REV FSM'!AP26+'Rejection Primary with Scan'!AP26+'Rejection Secondary'!AP26+'Rev DC DC Primary Sorting'!AP26+'Rev Primary (FSM Rejections)'!AP26+'Rev Secondary Sorting'!AP26+'VIA Bag Sorting'!AP26</f>
        <v/>
      </c>
      <c r="AQ26" s="7">
        <f>'BBB'!AQ26+'Bag Staging'!AQ26+'Bag Staging Volumetric'!AQ26+'FWD FSM'!AQ26+'FWD Manual Pre Primary'!AQ26+'FWD Manual Primary'!AQ26+'FWD Primary with Scan'!AQ26+'FWD Secondary'!AQ26+'FWD Volumetric'!AQ26+'IB'!AQ26+'IB Volumetric'!AQ26+'OB'!AQ26+'OB Volumetric'!AQ26+'OSC Bag Sorting'!AQ26+'OSC Bag Sorting Volumetric'!AQ26+'REV FSM'!AQ26+'Rejection Primary with Scan'!AQ26+'Rejection Secondary'!AQ26+'Rev DC DC Primary Sorting'!AQ26+'Rev Primary (FSM Rejections)'!AQ26+'Rev Secondary Sorting'!AQ26+'VIA Bag Sorting'!AQ26</f>
        <v/>
      </c>
      <c r="AR26" s="7">
        <f>'BBB'!AR26+'Bag Staging'!AR26+'Bag Staging Volumetric'!AR26+'FWD FSM'!AR26+'FWD Manual Pre Primary'!AR26+'FWD Manual Primary'!AR26+'FWD Primary with Scan'!AR26+'FWD Secondary'!AR26+'FWD Volumetric'!AR26+'IB'!AR26+'IB Volumetric'!AR26+'OB'!AR26+'OB Volumetric'!AR26+'OSC Bag Sorting'!AR26+'OSC Bag Sorting Volumetric'!AR26+'REV FSM'!AR26+'Rejection Primary with Scan'!AR26+'Rejection Secondary'!AR26+'Rev DC DC Primary Sorting'!AR26+'Rev Primary (FSM Rejections)'!AR26+'Rev Secondary Sorting'!AR26+'VIA Bag Sorting'!AR26</f>
        <v/>
      </c>
      <c r="AS26" s="7">
        <f>'BBB'!AS26+'Bag Staging'!AS26+'Bag Staging Volumetric'!AS26+'FWD FSM'!AS26+'FWD Manual Pre Primary'!AS26+'FWD Manual Primary'!AS26+'FWD Primary with Scan'!AS26+'FWD Secondary'!AS26+'FWD Volumetric'!AS26+'IB'!AS26+'IB Volumetric'!AS26+'OB'!AS26+'OB Volumetric'!AS26+'OSC Bag Sorting'!AS26+'OSC Bag Sorting Volumetric'!AS26+'REV FSM'!AS26+'Rejection Primary with Scan'!AS26+'Rejection Secondary'!AS26+'Rev DC DC Primary Sorting'!AS26+'Rev Primary (FSM Rejections)'!AS26+'Rev Secondary Sorting'!AS26+'VIA Bag Sorting'!AS26</f>
        <v/>
      </c>
      <c r="AT26" s="7">
        <f>'BBB'!AT26+'Bag Staging'!AT26+'Bag Staging Volumetric'!AT26+'FWD FSM'!AT26+'FWD Manual Pre Primary'!AT26+'FWD Manual Primary'!AT26+'FWD Primary with Scan'!AT26+'FWD Secondary'!AT26+'FWD Volumetric'!AT26+'IB'!AT26+'IB Volumetric'!AT26+'OB'!AT26+'OB Volumetric'!AT26+'OSC Bag Sorting'!AT26+'OSC Bag Sorting Volumetric'!AT26+'REV FSM'!AT26+'Rejection Primary with Scan'!AT26+'Rejection Secondary'!AT26+'Rev DC DC Primary Sorting'!AT26+'Rev Primary (FSM Rejections)'!AT26+'Rev Secondary Sorting'!AT26+'VIA Bag Sorting'!AT26</f>
        <v/>
      </c>
      <c r="AU26" s="7">
        <f>'BBB'!AU26+'Bag Staging'!AU26+'Bag Staging Volumetric'!AU26+'FWD FSM'!AU26+'FWD Manual Pre Primary'!AU26+'FWD Manual Primary'!AU26+'FWD Primary with Scan'!AU26+'FWD Secondary'!AU26+'FWD Volumetric'!AU26+'IB'!AU26+'IB Volumetric'!AU26+'OB'!AU26+'OB Volumetric'!AU26+'OSC Bag Sorting'!AU26+'OSC Bag Sorting Volumetric'!AU26+'REV FSM'!AU26+'Rejection Primary with Scan'!AU26+'Rejection Secondary'!AU26+'Rev DC DC Primary Sorting'!AU26+'Rev Primary (FSM Rejections)'!AU26+'Rev Secondary Sorting'!AU26+'VIA Bag Sorting'!AU26</f>
        <v/>
      </c>
      <c r="AV26" s="7">
        <f>'BBB'!AV26+'Bag Staging'!AV26+'Bag Staging Volumetric'!AV26+'FWD FSM'!AV26+'FWD Manual Pre Primary'!AV26+'FWD Manual Primary'!AV26+'FWD Primary with Scan'!AV26+'FWD Secondary'!AV26+'FWD Volumetric'!AV26+'IB'!AV26+'IB Volumetric'!AV26+'OB'!AV26+'OB Volumetric'!AV26+'OSC Bag Sorting'!AV26+'OSC Bag Sorting Volumetric'!AV26+'REV FSM'!AV26+'Rejection Primary with Scan'!AV26+'Rejection Secondary'!AV26+'Rev DC DC Primary Sorting'!AV26+'Rev Primary (FSM Rejections)'!AV26+'Rev Secondary Sorting'!AV26+'VIA Bag Sorting'!AV26</f>
        <v/>
      </c>
      <c r="AW26" s="7">
        <f>'BBB'!AW26+'Bag Staging'!AW26+'Bag Staging Volumetric'!AW26+'FWD FSM'!AW26+'FWD Manual Pre Primary'!AW26+'FWD Manual Primary'!AW26+'FWD Primary with Scan'!AW26+'FWD Secondary'!AW26+'FWD Volumetric'!AW26+'IB'!AW26+'IB Volumetric'!AW26+'OB'!AW26+'OB Volumetric'!AW26+'OSC Bag Sorting'!AW26+'OSC Bag Sorting Volumetric'!AW26+'REV FSM'!AW26+'Rejection Primary with Scan'!AW26+'Rejection Secondary'!AW26+'Rev DC DC Primary Sorting'!AW26+'Rev Primary (FSM Rejections)'!AW26+'Rev Secondary Sorting'!AW26+'VIA Bag Sorting'!AW26</f>
        <v/>
      </c>
      <c r="AX26" s="7">
        <f>'BBB'!AX26+'Bag Staging'!AX26+'Bag Staging Volumetric'!AX26+'FWD FSM'!AX26+'FWD Manual Pre Primary'!AX26+'FWD Manual Primary'!AX26+'FWD Primary with Scan'!AX26+'FWD Secondary'!AX26+'FWD Volumetric'!AX26+'IB'!AX26+'IB Volumetric'!AX26+'OB'!AX26+'OB Volumetric'!AX26+'OSC Bag Sorting'!AX26+'OSC Bag Sorting Volumetric'!AX26+'REV FSM'!AX26+'Rejection Primary with Scan'!AX26+'Rejection Secondary'!AX26+'Rev DC DC Primary Sorting'!AX26+'Rev Primary (FSM Rejections)'!AX26+'Rev Secondary Sorting'!AX26+'VIA Bag Sorting'!AX26</f>
        <v/>
      </c>
      <c r="AY26" s="7">
        <f>'BBB'!AY26+'Bag Staging'!AY26+'Bag Staging Volumetric'!AY26+'FWD FSM'!AY26+'FWD Manual Pre Primary'!AY26+'FWD Manual Primary'!AY26+'FWD Primary with Scan'!AY26+'FWD Secondary'!AY26+'FWD Volumetric'!AY26+'IB'!AY26+'IB Volumetric'!AY26+'OB'!AY26+'OB Volumetric'!AY26+'OSC Bag Sorting'!AY26+'OSC Bag Sorting Volumetric'!AY26+'REV FSM'!AY26+'Rejection Primary with Scan'!AY26+'Rejection Secondary'!AY26+'Rev DC DC Primary Sorting'!AY26+'Rev Primary (FSM Rejections)'!AY26+'Rev Secondary Sorting'!AY26+'VIA Bag Sorting'!AY26</f>
        <v/>
      </c>
      <c r="AZ26" s="7">
        <f>'BBB'!AZ26+'Bag Staging'!AZ26+'Bag Staging Volumetric'!AZ26+'FWD FSM'!AZ26+'FWD Manual Pre Primary'!AZ26+'FWD Manual Primary'!AZ26+'FWD Primary with Scan'!AZ26+'FWD Secondary'!AZ26+'FWD Volumetric'!AZ26+'IB'!AZ26+'IB Volumetric'!AZ26+'OB'!AZ26+'OB Volumetric'!AZ26+'OSC Bag Sorting'!AZ26+'OSC Bag Sorting Volumetric'!AZ26+'REV FSM'!AZ26+'Rejection Primary with Scan'!AZ26+'Rejection Secondary'!AZ26+'Rev DC DC Primary Sorting'!AZ26+'Rev Primary (FSM Rejections)'!AZ26+'Rev Secondary Sorting'!AZ26+'VIA Bag Sorting'!AZ26</f>
        <v/>
      </c>
      <c r="BA26" s="7">
        <f>'BBB'!BA26+'Bag Staging'!BA26+'Bag Staging Volumetric'!BA26+'FWD FSM'!BA26+'FWD Manual Pre Primary'!BA26+'FWD Manual Primary'!BA26+'FWD Primary with Scan'!BA26+'FWD Secondary'!BA26+'FWD Volumetric'!BA26+'IB'!BA26+'IB Volumetric'!BA26+'OB'!BA26+'OB Volumetric'!BA26+'OSC Bag Sorting'!BA26+'OSC Bag Sorting Volumetric'!BA26+'REV FSM'!BA26+'Rejection Primary with Scan'!BA26+'Rejection Secondary'!BA26+'Rev DC DC Primary Sorting'!BA26+'Rev Primary (FSM Rejections)'!BA26+'Rev Secondary Sorting'!BA26+'VIA Bag Sorting'!BA26</f>
        <v/>
      </c>
      <c r="BB26" s="7">
        <f>SUM(AD26:BA26)</f>
        <v/>
      </c>
    </row>
    <row r="27">
      <c r="A27" t="inlineStr">
        <is>
          <t>AMD-FK-SSC</t>
        </is>
      </c>
      <c r="B27" t="inlineStr">
        <is>
          <t>Prime at Client side</t>
        </is>
      </c>
      <c r="C27" s="5" t="n">
        <v>46090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83</v>
      </c>
      <c r="P27" s="6" t="n">
        <v>159</v>
      </c>
      <c r="Q27" s="6" t="n">
        <v>297</v>
      </c>
      <c r="R27" s="6" t="n">
        <v>14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>
        <f>SUM(D27:AA27)</f>
        <v/>
      </c>
      <c r="AC27" s="3" t="inlineStr"/>
      <c r="AD27" s="7">
        <f>'BBB'!AD27+'Bag Staging'!AD27+'Bag Staging Volumetric'!AD27+'FWD FSM'!AD27+'FWD Manual Pre Primary'!AD27+'FWD Manual Primary'!AD27+'FWD Primary with Scan'!AD27+'FWD Secondary'!AD27+'FWD Volumetric'!AD27+'IB'!AD27+'IB Volumetric'!AD27+'OB'!AD27+'OB Volumetric'!AD27+'OSC Bag Sorting'!AD27+'OSC Bag Sorting Volumetric'!AD27+'REV FSM'!AD27+'Rejection Primary with Scan'!AD27+'Rejection Secondary'!AD27+'Rev DC DC Primary Sorting'!AD27+'Rev Primary (FSM Rejections)'!AD27+'Rev Secondary Sorting'!AD27+'VIA Bag Sorting'!AD27</f>
        <v/>
      </c>
      <c r="AE27" s="7">
        <f>'BBB'!AE27+'Bag Staging'!AE27+'Bag Staging Volumetric'!AE27+'FWD FSM'!AE27+'FWD Manual Pre Primary'!AE27+'FWD Manual Primary'!AE27+'FWD Primary with Scan'!AE27+'FWD Secondary'!AE27+'FWD Volumetric'!AE27+'IB'!AE27+'IB Volumetric'!AE27+'OB'!AE27+'OB Volumetric'!AE27+'OSC Bag Sorting'!AE27+'OSC Bag Sorting Volumetric'!AE27+'REV FSM'!AE27+'Rejection Primary with Scan'!AE27+'Rejection Secondary'!AE27+'Rev DC DC Primary Sorting'!AE27+'Rev Primary (FSM Rejections)'!AE27+'Rev Secondary Sorting'!AE27+'VIA Bag Sorting'!AE27</f>
        <v/>
      </c>
      <c r="AF27" s="7">
        <f>'BBB'!AF27+'Bag Staging'!AF27+'Bag Staging Volumetric'!AF27+'FWD FSM'!AF27+'FWD Manual Pre Primary'!AF27+'FWD Manual Primary'!AF27+'FWD Primary with Scan'!AF27+'FWD Secondary'!AF27+'FWD Volumetric'!AF27+'IB'!AF27+'IB Volumetric'!AF27+'OB'!AF27+'OB Volumetric'!AF27+'OSC Bag Sorting'!AF27+'OSC Bag Sorting Volumetric'!AF27+'REV FSM'!AF27+'Rejection Primary with Scan'!AF27+'Rejection Secondary'!AF27+'Rev DC DC Primary Sorting'!AF27+'Rev Primary (FSM Rejections)'!AF27+'Rev Secondary Sorting'!AF27+'VIA Bag Sorting'!AF27</f>
        <v/>
      </c>
      <c r="AG27" s="7">
        <f>'BBB'!AG27+'Bag Staging'!AG27+'Bag Staging Volumetric'!AG27+'FWD FSM'!AG27+'FWD Manual Pre Primary'!AG27+'FWD Manual Primary'!AG27+'FWD Primary with Scan'!AG27+'FWD Secondary'!AG27+'FWD Volumetric'!AG27+'IB'!AG27+'IB Volumetric'!AG27+'OB'!AG27+'OB Volumetric'!AG27+'OSC Bag Sorting'!AG27+'OSC Bag Sorting Volumetric'!AG27+'REV FSM'!AG27+'Rejection Primary with Scan'!AG27+'Rejection Secondary'!AG27+'Rev DC DC Primary Sorting'!AG27+'Rev Primary (FSM Rejections)'!AG27+'Rev Secondary Sorting'!AG27+'VIA Bag Sorting'!AG27</f>
        <v/>
      </c>
      <c r="AH27" s="7">
        <f>'BBB'!AH27+'Bag Staging'!AH27+'Bag Staging Volumetric'!AH27+'FWD FSM'!AH27+'FWD Manual Pre Primary'!AH27+'FWD Manual Primary'!AH27+'FWD Primary with Scan'!AH27+'FWD Secondary'!AH27+'FWD Volumetric'!AH27+'IB'!AH27+'IB Volumetric'!AH27+'OB'!AH27+'OB Volumetric'!AH27+'OSC Bag Sorting'!AH27+'OSC Bag Sorting Volumetric'!AH27+'REV FSM'!AH27+'Rejection Primary with Scan'!AH27+'Rejection Secondary'!AH27+'Rev DC DC Primary Sorting'!AH27+'Rev Primary (FSM Rejections)'!AH27+'Rev Secondary Sorting'!AH27+'VIA Bag Sorting'!AH27</f>
        <v/>
      </c>
      <c r="AI27" s="7">
        <f>'BBB'!AI27+'Bag Staging'!AI27+'Bag Staging Volumetric'!AI27+'FWD FSM'!AI27+'FWD Manual Pre Primary'!AI27+'FWD Manual Primary'!AI27+'FWD Primary with Scan'!AI27+'FWD Secondary'!AI27+'FWD Volumetric'!AI27+'IB'!AI27+'IB Volumetric'!AI27+'OB'!AI27+'OB Volumetric'!AI27+'OSC Bag Sorting'!AI27+'OSC Bag Sorting Volumetric'!AI27+'REV FSM'!AI27+'Rejection Primary with Scan'!AI27+'Rejection Secondary'!AI27+'Rev DC DC Primary Sorting'!AI27+'Rev Primary (FSM Rejections)'!AI27+'Rev Secondary Sorting'!AI27+'VIA Bag Sorting'!AI27</f>
        <v/>
      </c>
      <c r="AJ27" s="7">
        <f>'BBB'!AJ27+'Bag Staging'!AJ27+'Bag Staging Volumetric'!AJ27+'FWD FSM'!AJ27+'FWD Manual Pre Primary'!AJ27+'FWD Manual Primary'!AJ27+'FWD Primary with Scan'!AJ27+'FWD Secondary'!AJ27+'FWD Volumetric'!AJ27+'IB'!AJ27+'IB Volumetric'!AJ27+'OB'!AJ27+'OB Volumetric'!AJ27+'OSC Bag Sorting'!AJ27+'OSC Bag Sorting Volumetric'!AJ27+'REV FSM'!AJ27+'Rejection Primary with Scan'!AJ27+'Rejection Secondary'!AJ27+'Rev DC DC Primary Sorting'!AJ27+'Rev Primary (FSM Rejections)'!AJ27+'Rev Secondary Sorting'!AJ27+'VIA Bag Sorting'!AJ27</f>
        <v/>
      </c>
      <c r="AK27" s="7">
        <f>'BBB'!AK27+'Bag Staging'!AK27+'Bag Staging Volumetric'!AK27+'FWD FSM'!AK27+'FWD Manual Pre Primary'!AK27+'FWD Manual Primary'!AK27+'FWD Primary with Scan'!AK27+'FWD Secondary'!AK27+'FWD Volumetric'!AK27+'IB'!AK27+'IB Volumetric'!AK27+'OB'!AK27+'OB Volumetric'!AK27+'OSC Bag Sorting'!AK27+'OSC Bag Sorting Volumetric'!AK27+'REV FSM'!AK27+'Rejection Primary with Scan'!AK27+'Rejection Secondary'!AK27+'Rev DC DC Primary Sorting'!AK27+'Rev Primary (FSM Rejections)'!AK27+'Rev Secondary Sorting'!AK27+'VIA Bag Sorting'!AK27</f>
        <v/>
      </c>
      <c r="AL27" s="7">
        <f>'BBB'!AL27+'Bag Staging'!AL27+'Bag Staging Volumetric'!AL27+'FWD FSM'!AL27+'FWD Manual Pre Primary'!AL27+'FWD Manual Primary'!AL27+'FWD Primary with Scan'!AL27+'FWD Secondary'!AL27+'FWD Volumetric'!AL27+'IB'!AL27+'IB Volumetric'!AL27+'OB'!AL27+'OB Volumetric'!AL27+'OSC Bag Sorting'!AL27+'OSC Bag Sorting Volumetric'!AL27+'REV FSM'!AL27+'Rejection Primary with Scan'!AL27+'Rejection Secondary'!AL27+'Rev DC DC Primary Sorting'!AL27+'Rev Primary (FSM Rejections)'!AL27+'Rev Secondary Sorting'!AL27+'VIA Bag Sorting'!AL27</f>
        <v/>
      </c>
      <c r="AM27" s="7">
        <f>'BBB'!AM27+'Bag Staging'!AM27+'Bag Staging Volumetric'!AM27+'FWD FSM'!AM27+'FWD Manual Pre Primary'!AM27+'FWD Manual Primary'!AM27+'FWD Primary with Scan'!AM27+'FWD Secondary'!AM27+'FWD Volumetric'!AM27+'IB'!AM27+'IB Volumetric'!AM27+'OB'!AM27+'OB Volumetric'!AM27+'OSC Bag Sorting'!AM27+'OSC Bag Sorting Volumetric'!AM27+'REV FSM'!AM27+'Rejection Primary with Scan'!AM27+'Rejection Secondary'!AM27+'Rev DC DC Primary Sorting'!AM27+'Rev Primary (FSM Rejections)'!AM27+'Rev Secondary Sorting'!AM27+'VIA Bag Sorting'!AM27</f>
        <v/>
      </c>
      <c r="AN27" s="7">
        <f>'BBB'!AN27+'Bag Staging'!AN27+'Bag Staging Volumetric'!AN27+'FWD FSM'!AN27+'FWD Manual Pre Primary'!AN27+'FWD Manual Primary'!AN27+'FWD Primary with Scan'!AN27+'FWD Secondary'!AN27+'FWD Volumetric'!AN27+'IB'!AN27+'IB Volumetric'!AN27+'OB'!AN27+'OB Volumetric'!AN27+'OSC Bag Sorting'!AN27+'OSC Bag Sorting Volumetric'!AN27+'REV FSM'!AN27+'Rejection Primary with Scan'!AN27+'Rejection Secondary'!AN27+'Rev DC DC Primary Sorting'!AN27+'Rev Primary (FSM Rejections)'!AN27+'Rev Secondary Sorting'!AN27+'VIA Bag Sorting'!AN27</f>
        <v/>
      </c>
      <c r="AO27" s="7">
        <f>'BBB'!AO27+'Bag Staging'!AO27+'Bag Staging Volumetric'!AO27+'FWD FSM'!AO27+'FWD Manual Pre Primary'!AO27+'FWD Manual Primary'!AO27+'FWD Primary with Scan'!AO27+'FWD Secondary'!AO27+'FWD Volumetric'!AO27+'IB'!AO27+'IB Volumetric'!AO27+'OB'!AO27+'OB Volumetric'!AO27+'OSC Bag Sorting'!AO27+'OSC Bag Sorting Volumetric'!AO27+'REV FSM'!AO27+'Rejection Primary with Scan'!AO27+'Rejection Secondary'!AO27+'Rev DC DC Primary Sorting'!AO27+'Rev Primary (FSM Rejections)'!AO27+'Rev Secondary Sorting'!AO27+'VIA Bag Sorting'!AO27</f>
        <v/>
      </c>
      <c r="AP27" s="7">
        <f>'BBB'!AP27+'Bag Staging'!AP27+'Bag Staging Volumetric'!AP27+'FWD FSM'!AP27+'FWD Manual Pre Primary'!AP27+'FWD Manual Primary'!AP27+'FWD Primary with Scan'!AP27+'FWD Secondary'!AP27+'FWD Volumetric'!AP27+'IB'!AP27+'IB Volumetric'!AP27+'OB'!AP27+'OB Volumetric'!AP27+'OSC Bag Sorting'!AP27+'OSC Bag Sorting Volumetric'!AP27+'REV FSM'!AP27+'Rejection Primary with Scan'!AP27+'Rejection Secondary'!AP27+'Rev DC DC Primary Sorting'!AP27+'Rev Primary (FSM Rejections)'!AP27+'Rev Secondary Sorting'!AP27+'VIA Bag Sorting'!AP27</f>
        <v/>
      </c>
      <c r="AQ27" s="7">
        <f>'BBB'!AQ27+'Bag Staging'!AQ27+'Bag Staging Volumetric'!AQ27+'FWD FSM'!AQ27+'FWD Manual Pre Primary'!AQ27+'FWD Manual Primary'!AQ27+'FWD Primary with Scan'!AQ27+'FWD Secondary'!AQ27+'FWD Volumetric'!AQ27+'IB'!AQ27+'IB Volumetric'!AQ27+'OB'!AQ27+'OB Volumetric'!AQ27+'OSC Bag Sorting'!AQ27+'OSC Bag Sorting Volumetric'!AQ27+'REV FSM'!AQ27+'Rejection Primary with Scan'!AQ27+'Rejection Secondary'!AQ27+'Rev DC DC Primary Sorting'!AQ27+'Rev Primary (FSM Rejections)'!AQ27+'Rev Secondary Sorting'!AQ27+'VIA Bag Sorting'!AQ27</f>
        <v/>
      </c>
      <c r="AR27" s="7">
        <f>'BBB'!AR27+'Bag Staging'!AR27+'Bag Staging Volumetric'!AR27+'FWD FSM'!AR27+'FWD Manual Pre Primary'!AR27+'FWD Manual Primary'!AR27+'FWD Primary with Scan'!AR27+'FWD Secondary'!AR27+'FWD Volumetric'!AR27+'IB'!AR27+'IB Volumetric'!AR27+'OB'!AR27+'OB Volumetric'!AR27+'OSC Bag Sorting'!AR27+'OSC Bag Sorting Volumetric'!AR27+'REV FSM'!AR27+'Rejection Primary with Scan'!AR27+'Rejection Secondary'!AR27+'Rev DC DC Primary Sorting'!AR27+'Rev Primary (FSM Rejections)'!AR27+'Rev Secondary Sorting'!AR27+'VIA Bag Sorting'!AR27</f>
        <v/>
      </c>
      <c r="AS27" s="7">
        <f>'BBB'!AS27+'Bag Staging'!AS27+'Bag Staging Volumetric'!AS27+'FWD FSM'!AS27+'FWD Manual Pre Primary'!AS27+'FWD Manual Primary'!AS27+'FWD Primary with Scan'!AS27+'FWD Secondary'!AS27+'FWD Volumetric'!AS27+'IB'!AS27+'IB Volumetric'!AS27+'OB'!AS27+'OB Volumetric'!AS27+'OSC Bag Sorting'!AS27+'OSC Bag Sorting Volumetric'!AS27+'REV FSM'!AS27+'Rejection Primary with Scan'!AS27+'Rejection Secondary'!AS27+'Rev DC DC Primary Sorting'!AS27+'Rev Primary (FSM Rejections)'!AS27+'Rev Secondary Sorting'!AS27+'VIA Bag Sorting'!AS27</f>
        <v/>
      </c>
      <c r="AT27" s="7">
        <f>'BBB'!AT27+'Bag Staging'!AT27+'Bag Staging Volumetric'!AT27+'FWD FSM'!AT27+'FWD Manual Pre Primary'!AT27+'FWD Manual Primary'!AT27+'FWD Primary with Scan'!AT27+'FWD Secondary'!AT27+'FWD Volumetric'!AT27+'IB'!AT27+'IB Volumetric'!AT27+'OB'!AT27+'OB Volumetric'!AT27+'OSC Bag Sorting'!AT27+'OSC Bag Sorting Volumetric'!AT27+'REV FSM'!AT27+'Rejection Primary with Scan'!AT27+'Rejection Secondary'!AT27+'Rev DC DC Primary Sorting'!AT27+'Rev Primary (FSM Rejections)'!AT27+'Rev Secondary Sorting'!AT27+'VIA Bag Sorting'!AT27</f>
        <v/>
      </c>
      <c r="AU27" s="7">
        <f>'BBB'!AU27+'Bag Staging'!AU27+'Bag Staging Volumetric'!AU27+'FWD FSM'!AU27+'FWD Manual Pre Primary'!AU27+'FWD Manual Primary'!AU27+'FWD Primary with Scan'!AU27+'FWD Secondary'!AU27+'FWD Volumetric'!AU27+'IB'!AU27+'IB Volumetric'!AU27+'OB'!AU27+'OB Volumetric'!AU27+'OSC Bag Sorting'!AU27+'OSC Bag Sorting Volumetric'!AU27+'REV FSM'!AU27+'Rejection Primary with Scan'!AU27+'Rejection Secondary'!AU27+'Rev DC DC Primary Sorting'!AU27+'Rev Primary (FSM Rejections)'!AU27+'Rev Secondary Sorting'!AU27+'VIA Bag Sorting'!AU27</f>
        <v/>
      </c>
      <c r="AV27" s="7">
        <f>'BBB'!AV27+'Bag Staging'!AV27+'Bag Staging Volumetric'!AV27+'FWD FSM'!AV27+'FWD Manual Pre Primary'!AV27+'FWD Manual Primary'!AV27+'FWD Primary with Scan'!AV27+'FWD Secondary'!AV27+'FWD Volumetric'!AV27+'IB'!AV27+'IB Volumetric'!AV27+'OB'!AV27+'OB Volumetric'!AV27+'OSC Bag Sorting'!AV27+'OSC Bag Sorting Volumetric'!AV27+'REV FSM'!AV27+'Rejection Primary with Scan'!AV27+'Rejection Secondary'!AV27+'Rev DC DC Primary Sorting'!AV27+'Rev Primary (FSM Rejections)'!AV27+'Rev Secondary Sorting'!AV27+'VIA Bag Sorting'!AV27</f>
        <v/>
      </c>
      <c r="AW27" s="7">
        <f>'BBB'!AW27+'Bag Staging'!AW27+'Bag Staging Volumetric'!AW27+'FWD FSM'!AW27+'FWD Manual Pre Primary'!AW27+'FWD Manual Primary'!AW27+'FWD Primary with Scan'!AW27+'FWD Secondary'!AW27+'FWD Volumetric'!AW27+'IB'!AW27+'IB Volumetric'!AW27+'OB'!AW27+'OB Volumetric'!AW27+'OSC Bag Sorting'!AW27+'OSC Bag Sorting Volumetric'!AW27+'REV FSM'!AW27+'Rejection Primary with Scan'!AW27+'Rejection Secondary'!AW27+'Rev DC DC Primary Sorting'!AW27+'Rev Primary (FSM Rejections)'!AW27+'Rev Secondary Sorting'!AW27+'VIA Bag Sorting'!AW27</f>
        <v/>
      </c>
      <c r="AX27" s="7">
        <f>'BBB'!AX27+'Bag Staging'!AX27+'Bag Staging Volumetric'!AX27+'FWD FSM'!AX27+'FWD Manual Pre Primary'!AX27+'FWD Manual Primary'!AX27+'FWD Primary with Scan'!AX27+'FWD Secondary'!AX27+'FWD Volumetric'!AX27+'IB'!AX27+'IB Volumetric'!AX27+'OB'!AX27+'OB Volumetric'!AX27+'OSC Bag Sorting'!AX27+'OSC Bag Sorting Volumetric'!AX27+'REV FSM'!AX27+'Rejection Primary with Scan'!AX27+'Rejection Secondary'!AX27+'Rev DC DC Primary Sorting'!AX27+'Rev Primary (FSM Rejections)'!AX27+'Rev Secondary Sorting'!AX27+'VIA Bag Sorting'!AX27</f>
        <v/>
      </c>
      <c r="AY27" s="7">
        <f>'BBB'!AY27+'Bag Staging'!AY27+'Bag Staging Volumetric'!AY27+'FWD FSM'!AY27+'FWD Manual Pre Primary'!AY27+'FWD Manual Primary'!AY27+'FWD Primary with Scan'!AY27+'FWD Secondary'!AY27+'FWD Volumetric'!AY27+'IB'!AY27+'IB Volumetric'!AY27+'OB'!AY27+'OB Volumetric'!AY27+'OSC Bag Sorting'!AY27+'OSC Bag Sorting Volumetric'!AY27+'REV FSM'!AY27+'Rejection Primary with Scan'!AY27+'Rejection Secondary'!AY27+'Rev DC DC Primary Sorting'!AY27+'Rev Primary (FSM Rejections)'!AY27+'Rev Secondary Sorting'!AY27+'VIA Bag Sorting'!AY27</f>
        <v/>
      </c>
      <c r="AZ27" s="7">
        <f>'BBB'!AZ27+'Bag Staging'!AZ27+'Bag Staging Volumetric'!AZ27+'FWD FSM'!AZ27+'FWD Manual Pre Primary'!AZ27+'FWD Manual Primary'!AZ27+'FWD Primary with Scan'!AZ27+'FWD Secondary'!AZ27+'FWD Volumetric'!AZ27+'IB'!AZ27+'IB Volumetric'!AZ27+'OB'!AZ27+'OB Volumetric'!AZ27+'OSC Bag Sorting'!AZ27+'OSC Bag Sorting Volumetric'!AZ27+'REV FSM'!AZ27+'Rejection Primary with Scan'!AZ27+'Rejection Secondary'!AZ27+'Rev DC DC Primary Sorting'!AZ27+'Rev Primary (FSM Rejections)'!AZ27+'Rev Secondary Sorting'!AZ27+'VIA Bag Sorting'!AZ27</f>
        <v/>
      </c>
      <c r="BA27" s="7">
        <f>'BBB'!BA27+'Bag Staging'!BA27+'Bag Staging Volumetric'!BA27+'FWD FSM'!BA27+'FWD Manual Pre Primary'!BA27+'FWD Manual Primary'!BA27+'FWD Primary with Scan'!BA27+'FWD Secondary'!BA27+'FWD Volumetric'!BA27+'IB'!BA27+'IB Volumetric'!BA27+'OB'!BA27+'OB Volumetric'!BA27+'OSC Bag Sorting'!BA27+'OSC Bag Sorting Volumetric'!BA27+'REV FSM'!BA27+'Rejection Primary with Scan'!BA27+'Rejection Secondary'!BA27+'Rev DC DC Primary Sorting'!BA27+'Rev Primary (FSM Rejections)'!BA27+'Rev Secondary Sorting'!BA27+'VIA Bag Sorting'!BA27</f>
        <v/>
      </c>
      <c r="BB27" s="7">
        <f>SUM(AD27:BA27)</f>
        <v/>
      </c>
    </row>
    <row r="28">
      <c r="A28" t="inlineStr">
        <is>
          <t>AMD-FK-SSC</t>
        </is>
      </c>
      <c r="B28" t="inlineStr">
        <is>
          <t>Prime at Client side</t>
        </is>
      </c>
      <c r="C28" s="5" t="n">
        <v>46091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0</v>
      </c>
      <c r="O28" s="6" t="n">
        <v>200</v>
      </c>
      <c r="P28" s="6" t="n">
        <v>130</v>
      </c>
      <c r="Q28" s="6" t="n">
        <v>201</v>
      </c>
      <c r="R28" s="6" t="n">
        <v>157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>
        <f>SUM(D28:AA28)</f>
        <v/>
      </c>
      <c r="AC28" s="3" t="inlineStr"/>
      <c r="AD28" s="7">
        <f>'BBB'!AD28+'Bag Staging'!AD28+'Bag Staging Volumetric'!AD28+'FWD FSM'!AD28+'FWD Manual Pre Primary'!AD28+'FWD Manual Primary'!AD28+'FWD Primary with Scan'!AD28+'FWD Secondary'!AD28+'FWD Volumetric'!AD28+'IB'!AD28+'IB Volumetric'!AD28+'OB'!AD28+'OB Volumetric'!AD28+'OSC Bag Sorting'!AD28+'OSC Bag Sorting Volumetric'!AD28+'REV FSM'!AD28+'Rejection Primary with Scan'!AD28+'Rejection Secondary'!AD28+'Rev DC DC Primary Sorting'!AD28+'Rev Primary (FSM Rejections)'!AD28+'Rev Secondary Sorting'!AD28+'VIA Bag Sorting'!AD28</f>
        <v/>
      </c>
      <c r="AE28" s="7">
        <f>'BBB'!AE28+'Bag Staging'!AE28+'Bag Staging Volumetric'!AE28+'FWD FSM'!AE28+'FWD Manual Pre Primary'!AE28+'FWD Manual Primary'!AE28+'FWD Primary with Scan'!AE28+'FWD Secondary'!AE28+'FWD Volumetric'!AE28+'IB'!AE28+'IB Volumetric'!AE28+'OB'!AE28+'OB Volumetric'!AE28+'OSC Bag Sorting'!AE28+'OSC Bag Sorting Volumetric'!AE28+'REV FSM'!AE28+'Rejection Primary with Scan'!AE28+'Rejection Secondary'!AE28+'Rev DC DC Primary Sorting'!AE28+'Rev Primary (FSM Rejections)'!AE28+'Rev Secondary Sorting'!AE28+'VIA Bag Sorting'!AE28</f>
        <v/>
      </c>
      <c r="AF28" s="7">
        <f>'BBB'!AF28+'Bag Staging'!AF28+'Bag Staging Volumetric'!AF28+'FWD FSM'!AF28+'FWD Manual Pre Primary'!AF28+'FWD Manual Primary'!AF28+'FWD Primary with Scan'!AF28+'FWD Secondary'!AF28+'FWD Volumetric'!AF28+'IB'!AF28+'IB Volumetric'!AF28+'OB'!AF28+'OB Volumetric'!AF28+'OSC Bag Sorting'!AF28+'OSC Bag Sorting Volumetric'!AF28+'REV FSM'!AF28+'Rejection Primary with Scan'!AF28+'Rejection Secondary'!AF28+'Rev DC DC Primary Sorting'!AF28+'Rev Primary (FSM Rejections)'!AF28+'Rev Secondary Sorting'!AF28+'VIA Bag Sorting'!AF28</f>
        <v/>
      </c>
      <c r="AG28" s="7">
        <f>'BBB'!AG28+'Bag Staging'!AG28+'Bag Staging Volumetric'!AG28+'FWD FSM'!AG28+'FWD Manual Pre Primary'!AG28+'FWD Manual Primary'!AG28+'FWD Primary with Scan'!AG28+'FWD Secondary'!AG28+'FWD Volumetric'!AG28+'IB'!AG28+'IB Volumetric'!AG28+'OB'!AG28+'OB Volumetric'!AG28+'OSC Bag Sorting'!AG28+'OSC Bag Sorting Volumetric'!AG28+'REV FSM'!AG28+'Rejection Primary with Scan'!AG28+'Rejection Secondary'!AG28+'Rev DC DC Primary Sorting'!AG28+'Rev Primary (FSM Rejections)'!AG28+'Rev Secondary Sorting'!AG28+'VIA Bag Sorting'!AG28</f>
        <v/>
      </c>
      <c r="AH28" s="7">
        <f>'BBB'!AH28+'Bag Staging'!AH28+'Bag Staging Volumetric'!AH28+'FWD FSM'!AH28+'FWD Manual Pre Primary'!AH28+'FWD Manual Primary'!AH28+'FWD Primary with Scan'!AH28+'FWD Secondary'!AH28+'FWD Volumetric'!AH28+'IB'!AH28+'IB Volumetric'!AH28+'OB'!AH28+'OB Volumetric'!AH28+'OSC Bag Sorting'!AH28+'OSC Bag Sorting Volumetric'!AH28+'REV FSM'!AH28+'Rejection Primary with Scan'!AH28+'Rejection Secondary'!AH28+'Rev DC DC Primary Sorting'!AH28+'Rev Primary (FSM Rejections)'!AH28+'Rev Secondary Sorting'!AH28+'VIA Bag Sorting'!AH28</f>
        <v/>
      </c>
      <c r="AI28" s="7">
        <f>'BBB'!AI28+'Bag Staging'!AI28+'Bag Staging Volumetric'!AI28+'FWD FSM'!AI28+'FWD Manual Pre Primary'!AI28+'FWD Manual Primary'!AI28+'FWD Primary with Scan'!AI28+'FWD Secondary'!AI28+'FWD Volumetric'!AI28+'IB'!AI28+'IB Volumetric'!AI28+'OB'!AI28+'OB Volumetric'!AI28+'OSC Bag Sorting'!AI28+'OSC Bag Sorting Volumetric'!AI28+'REV FSM'!AI28+'Rejection Primary with Scan'!AI28+'Rejection Secondary'!AI28+'Rev DC DC Primary Sorting'!AI28+'Rev Primary (FSM Rejections)'!AI28+'Rev Secondary Sorting'!AI28+'VIA Bag Sorting'!AI28</f>
        <v/>
      </c>
      <c r="AJ28" s="7">
        <f>'BBB'!AJ28+'Bag Staging'!AJ28+'Bag Staging Volumetric'!AJ28+'FWD FSM'!AJ28+'FWD Manual Pre Primary'!AJ28+'FWD Manual Primary'!AJ28+'FWD Primary with Scan'!AJ28+'FWD Secondary'!AJ28+'FWD Volumetric'!AJ28+'IB'!AJ28+'IB Volumetric'!AJ28+'OB'!AJ28+'OB Volumetric'!AJ28+'OSC Bag Sorting'!AJ28+'OSC Bag Sorting Volumetric'!AJ28+'REV FSM'!AJ28+'Rejection Primary with Scan'!AJ28+'Rejection Secondary'!AJ28+'Rev DC DC Primary Sorting'!AJ28+'Rev Primary (FSM Rejections)'!AJ28+'Rev Secondary Sorting'!AJ28+'VIA Bag Sorting'!AJ28</f>
        <v/>
      </c>
      <c r="AK28" s="7">
        <f>'BBB'!AK28+'Bag Staging'!AK28+'Bag Staging Volumetric'!AK28+'FWD FSM'!AK28+'FWD Manual Pre Primary'!AK28+'FWD Manual Primary'!AK28+'FWD Primary with Scan'!AK28+'FWD Secondary'!AK28+'FWD Volumetric'!AK28+'IB'!AK28+'IB Volumetric'!AK28+'OB'!AK28+'OB Volumetric'!AK28+'OSC Bag Sorting'!AK28+'OSC Bag Sorting Volumetric'!AK28+'REV FSM'!AK28+'Rejection Primary with Scan'!AK28+'Rejection Secondary'!AK28+'Rev DC DC Primary Sorting'!AK28+'Rev Primary (FSM Rejections)'!AK28+'Rev Secondary Sorting'!AK28+'VIA Bag Sorting'!AK28</f>
        <v/>
      </c>
      <c r="AL28" s="7">
        <f>'BBB'!AL28+'Bag Staging'!AL28+'Bag Staging Volumetric'!AL28+'FWD FSM'!AL28+'FWD Manual Pre Primary'!AL28+'FWD Manual Primary'!AL28+'FWD Primary with Scan'!AL28+'FWD Secondary'!AL28+'FWD Volumetric'!AL28+'IB'!AL28+'IB Volumetric'!AL28+'OB'!AL28+'OB Volumetric'!AL28+'OSC Bag Sorting'!AL28+'OSC Bag Sorting Volumetric'!AL28+'REV FSM'!AL28+'Rejection Primary with Scan'!AL28+'Rejection Secondary'!AL28+'Rev DC DC Primary Sorting'!AL28+'Rev Primary (FSM Rejections)'!AL28+'Rev Secondary Sorting'!AL28+'VIA Bag Sorting'!AL28</f>
        <v/>
      </c>
      <c r="AM28" s="7">
        <f>'BBB'!AM28+'Bag Staging'!AM28+'Bag Staging Volumetric'!AM28+'FWD FSM'!AM28+'FWD Manual Pre Primary'!AM28+'FWD Manual Primary'!AM28+'FWD Primary with Scan'!AM28+'FWD Secondary'!AM28+'FWD Volumetric'!AM28+'IB'!AM28+'IB Volumetric'!AM28+'OB'!AM28+'OB Volumetric'!AM28+'OSC Bag Sorting'!AM28+'OSC Bag Sorting Volumetric'!AM28+'REV FSM'!AM28+'Rejection Primary with Scan'!AM28+'Rejection Secondary'!AM28+'Rev DC DC Primary Sorting'!AM28+'Rev Primary (FSM Rejections)'!AM28+'Rev Secondary Sorting'!AM28+'VIA Bag Sorting'!AM28</f>
        <v/>
      </c>
      <c r="AN28" s="7">
        <f>'BBB'!AN28+'Bag Staging'!AN28+'Bag Staging Volumetric'!AN28+'FWD FSM'!AN28+'FWD Manual Pre Primary'!AN28+'FWD Manual Primary'!AN28+'FWD Primary with Scan'!AN28+'FWD Secondary'!AN28+'FWD Volumetric'!AN28+'IB'!AN28+'IB Volumetric'!AN28+'OB'!AN28+'OB Volumetric'!AN28+'OSC Bag Sorting'!AN28+'OSC Bag Sorting Volumetric'!AN28+'REV FSM'!AN28+'Rejection Primary with Scan'!AN28+'Rejection Secondary'!AN28+'Rev DC DC Primary Sorting'!AN28+'Rev Primary (FSM Rejections)'!AN28+'Rev Secondary Sorting'!AN28+'VIA Bag Sorting'!AN28</f>
        <v/>
      </c>
      <c r="AO28" s="7">
        <f>'BBB'!AO28+'Bag Staging'!AO28+'Bag Staging Volumetric'!AO28+'FWD FSM'!AO28+'FWD Manual Pre Primary'!AO28+'FWD Manual Primary'!AO28+'FWD Primary with Scan'!AO28+'FWD Secondary'!AO28+'FWD Volumetric'!AO28+'IB'!AO28+'IB Volumetric'!AO28+'OB'!AO28+'OB Volumetric'!AO28+'OSC Bag Sorting'!AO28+'OSC Bag Sorting Volumetric'!AO28+'REV FSM'!AO28+'Rejection Primary with Scan'!AO28+'Rejection Secondary'!AO28+'Rev DC DC Primary Sorting'!AO28+'Rev Primary (FSM Rejections)'!AO28+'Rev Secondary Sorting'!AO28+'VIA Bag Sorting'!AO28</f>
        <v/>
      </c>
      <c r="AP28" s="7">
        <f>'BBB'!AP28+'Bag Staging'!AP28+'Bag Staging Volumetric'!AP28+'FWD FSM'!AP28+'FWD Manual Pre Primary'!AP28+'FWD Manual Primary'!AP28+'FWD Primary with Scan'!AP28+'FWD Secondary'!AP28+'FWD Volumetric'!AP28+'IB'!AP28+'IB Volumetric'!AP28+'OB'!AP28+'OB Volumetric'!AP28+'OSC Bag Sorting'!AP28+'OSC Bag Sorting Volumetric'!AP28+'REV FSM'!AP28+'Rejection Primary with Scan'!AP28+'Rejection Secondary'!AP28+'Rev DC DC Primary Sorting'!AP28+'Rev Primary (FSM Rejections)'!AP28+'Rev Secondary Sorting'!AP28+'VIA Bag Sorting'!AP28</f>
        <v/>
      </c>
      <c r="AQ28" s="7">
        <f>'BBB'!AQ28+'Bag Staging'!AQ28+'Bag Staging Volumetric'!AQ28+'FWD FSM'!AQ28+'FWD Manual Pre Primary'!AQ28+'FWD Manual Primary'!AQ28+'FWD Primary with Scan'!AQ28+'FWD Secondary'!AQ28+'FWD Volumetric'!AQ28+'IB'!AQ28+'IB Volumetric'!AQ28+'OB'!AQ28+'OB Volumetric'!AQ28+'OSC Bag Sorting'!AQ28+'OSC Bag Sorting Volumetric'!AQ28+'REV FSM'!AQ28+'Rejection Primary with Scan'!AQ28+'Rejection Secondary'!AQ28+'Rev DC DC Primary Sorting'!AQ28+'Rev Primary (FSM Rejections)'!AQ28+'Rev Secondary Sorting'!AQ28+'VIA Bag Sorting'!AQ28</f>
        <v/>
      </c>
      <c r="AR28" s="7">
        <f>'BBB'!AR28+'Bag Staging'!AR28+'Bag Staging Volumetric'!AR28+'FWD FSM'!AR28+'FWD Manual Pre Primary'!AR28+'FWD Manual Primary'!AR28+'FWD Primary with Scan'!AR28+'FWD Secondary'!AR28+'FWD Volumetric'!AR28+'IB'!AR28+'IB Volumetric'!AR28+'OB'!AR28+'OB Volumetric'!AR28+'OSC Bag Sorting'!AR28+'OSC Bag Sorting Volumetric'!AR28+'REV FSM'!AR28+'Rejection Primary with Scan'!AR28+'Rejection Secondary'!AR28+'Rev DC DC Primary Sorting'!AR28+'Rev Primary (FSM Rejections)'!AR28+'Rev Secondary Sorting'!AR28+'VIA Bag Sorting'!AR28</f>
        <v/>
      </c>
      <c r="AS28" s="7">
        <f>'BBB'!AS28+'Bag Staging'!AS28+'Bag Staging Volumetric'!AS28+'FWD FSM'!AS28+'FWD Manual Pre Primary'!AS28+'FWD Manual Primary'!AS28+'FWD Primary with Scan'!AS28+'FWD Secondary'!AS28+'FWD Volumetric'!AS28+'IB'!AS28+'IB Volumetric'!AS28+'OB'!AS28+'OB Volumetric'!AS28+'OSC Bag Sorting'!AS28+'OSC Bag Sorting Volumetric'!AS28+'REV FSM'!AS28+'Rejection Primary with Scan'!AS28+'Rejection Secondary'!AS28+'Rev DC DC Primary Sorting'!AS28+'Rev Primary (FSM Rejections)'!AS28+'Rev Secondary Sorting'!AS28+'VIA Bag Sorting'!AS28</f>
        <v/>
      </c>
      <c r="AT28" s="7">
        <f>'BBB'!AT28+'Bag Staging'!AT28+'Bag Staging Volumetric'!AT28+'FWD FSM'!AT28+'FWD Manual Pre Primary'!AT28+'FWD Manual Primary'!AT28+'FWD Primary with Scan'!AT28+'FWD Secondary'!AT28+'FWD Volumetric'!AT28+'IB'!AT28+'IB Volumetric'!AT28+'OB'!AT28+'OB Volumetric'!AT28+'OSC Bag Sorting'!AT28+'OSC Bag Sorting Volumetric'!AT28+'REV FSM'!AT28+'Rejection Primary with Scan'!AT28+'Rejection Secondary'!AT28+'Rev DC DC Primary Sorting'!AT28+'Rev Primary (FSM Rejections)'!AT28+'Rev Secondary Sorting'!AT28+'VIA Bag Sorting'!AT28</f>
        <v/>
      </c>
      <c r="AU28" s="7">
        <f>'BBB'!AU28+'Bag Staging'!AU28+'Bag Staging Volumetric'!AU28+'FWD FSM'!AU28+'FWD Manual Pre Primary'!AU28+'FWD Manual Primary'!AU28+'FWD Primary with Scan'!AU28+'FWD Secondary'!AU28+'FWD Volumetric'!AU28+'IB'!AU28+'IB Volumetric'!AU28+'OB'!AU28+'OB Volumetric'!AU28+'OSC Bag Sorting'!AU28+'OSC Bag Sorting Volumetric'!AU28+'REV FSM'!AU28+'Rejection Primary with Scan'!AU28+'Rejection Secondary'!AU28+'Rev DC DC Primary Sorting'!AU28+'Rev Primary (FSM Rejections)'!AU28+'Rev Secondary Sorting'!AU28+'VIA Bag Sorting'!AU28</f>
        <v/>
      </c>
      <c r="AV28" s="7">
        <f>'BBB'!AV28+'Bag Staging'!AV28+'Bag Staging Volumetric'!AV28+'FWD FSM'!AV28+'FWD Manual Pre Primary'!AV28+'FWD Manual Primary'!AV28+'FWD Primary with Scan'!AV28+'FWD Secondary'!AV28+'FWD Volumetric'!AV28+'IB'!AV28+'IB Volumetric'!AV28+'OB'!AV28+'OB Volumetric'!AV28+'OSC Bag Sorting'!AV28+'OSC Bag Sorting Volumetric'!AV28+'REV FSM'!AV28+'Rejection Primary with Scan'!AV28+'Rejection Secondary'!AV28+'Rev DC DC Primary Sorting'!AV28+'Rev Primary (FSM Rejections)'!AV28+'Rev Secondary Sorting'!AV28+'VIA Bag Sorting'!AV28</f>
        <v/>
      </c>
      <c r="AW28" s="7">
        <f>'BBB'!AW28+'Bag Staging'!AW28+'Bag Staging Volumetric'!AW28+'FWD FSM'!AW28+'FWD Manual Pre Primary'!AW28+'FWD Manual Primary'!AW28+'FWD Primary with Scan'!AW28+'FWD Secondary'!AW28+'FWD Volumetric'!AW28+'IB'!AW28+'IB Volumetric'!AW28+'OB'!AW28+'OB Volumetric'!AW28+'OSC Bag Sorting'!AW28+'OSC Bag Sorting Volumetric'!AW28+'REV FSM'!AW28+'Rejection Primary with Scan'!AW28+'Rejection Secondary'!AW28+'Rev DC DC Primary Sorting'!AW28+'Rev Primary (FSM Rejections)'!AW28+'Rev Secondary Sorting'!AW28+'VIA Bag Sorting'!AW28</f>
        <v/>
      </c>
      <c r="AX28" s="7">
        <f>'BBB'!AX28+'Bag Staging'!AX28+'Bag Staging Volumetric'!AX28+'FWD FSM'!AX28+'FWD Manual Pre Primary'!AX28+'FWD Manual Primary'!AX28+'FWD Primary with Scan'!AX28+'FWD Secondary'!AX28+'FWD Volumetric'!AX28+'IB'!AX28+'IB Volumetric'!AX28+'OB'!AX28+'OB Volumetric'!AX28+'OSC Bag Sorting'!AX28+'OSC Bag Sorting Volumetric'!AX28+'REV FSM'!AX28+'Rejection Primary with Scan'!AX28+'Rejection Secondary'!AX28+'Rev DC DC Primary Sorting'!AX28+'Rev Primary (FSM Rejections)'!AX28+'Rev Secondary Sorting'!AX28+'VIA Bag Sorting'!AX28</f>
        <v/>
      </c>
      <c r="AY28" s="7">
        <f>'BBB'!AY28+'Bag Staging'!AY28+'Bag Staging Volumetric'!AY28+'FWD FSM'!AY28+'FWD Manual Pre Primary'!AY28+'FWD Manual Primary'!AY28+'FWD Primary with Scan'!AY28+'FWD Secondary'!AY28+'FWD Volumetric'!AY28+'IB'!AY28+'IB Volumetric'!AY28+'OB'!AY28+'OB Volumetric'!AY28+'OSC Bag Sorting'!AY28+'OSC Bag Sorting Volumetric'!AY28+'REV FSM'!AY28+'Rejection Primary with Scan'!AY28+'Rejection Secondary'!AY28+'Rev DC DC Primary Sorting'!AY28+'Rev Primary (FSM Rejections)'!AY28+'Rev Secondary Sorting'!AY28+'VIA Bag Sorting'!AY28</f>
        <v/>
      </c>
      <c r="AZ28" s="7">
        <f>'BBB'!AZ28+'Bag Staging'!AZ28+'Bag Staging Volumetric'!AZ28+'FWD FSM'!AZ28+'FWD Manual Pre Primary'!AZ28+'FWD Manual Primary'!AZ28+'FWD Primary with Scan'!AZ28+'FWD Secondary'!AZ28+'FWD Volumetric'!AZ28+'IB'!AZ28+'IB Volumetric'!AZ28+'OB'!AZ28+'OB Volumetric'!AZ28+'OSC Bag Sorting'!AZ28+'OSC Bag Sorting Volumetric'!AZ28+'REV FSM'!AZ28+'Rejection Primary with Scan'!AZ28+'Rejection Secondary'!AZ28+'Rev DC DC Primary Sorting'!AZ28+'Rev Primary (FSM Rejections)'!AZ28+'Rev Secondary Sorting'!AZ28+'VIA Bag Sorting'!AZ28</f>
        <v/>
      </c>
      <c r="BA28" s="7">
        <f>'BBB'!BA28+'Bag Staging'!BA28+'Bag Staging Volumetric'!BA28+'FWD FSM'!BA28+'FWD Manual Pre Primary'!BA28+'FWD Manual Primary'!BA28+'FWD Primary with Scan'!BA28+'FWD Secondary'!BA28+'FWD Volumetric'!BA28+'IB'!BA28+'IB Volumetric'!BA28+'OB'!BA28+'OB Volumetric'!BA28+'OSC Bag Sorting'!BA28+'OSC Bag Sorting Volumetric'!BA28+'REV FSM'!BA28+'Rejection Primary with Scan'!BA28+'Rejection Secondary'!BA28+'Rev DC DC Primary Sorting'!BA28+'Rev Primary (FSM Rejections)'!BA28+'Rev Secondary Sorting'!BA28+'VIA Bag Sorting'!BA28</f>
        <v/>
      </c>
      <c r="BB28" s="7">
        <f>SUM(AD28:BA28)</f>
        <v/>
      </c>
    </row>
    <row r="29">
      <c r="A29" t="inlineStr">
        <is>
          <t>AMD-FK-SSC</t>
        </is>
      </c>
      <c r="B29" t="inlineStr">
        <is>
          <t>Prime at Client side</t>
        </is>
      </c>
      <c r="C29" s="5" t="n">
        <v>46092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182</v>
      </c>
      <c r="P29" s="6" t="n">
        <v>53</v>
      </c>
      <c r="Q29" s="6" t="n">
        <v>211</v>
      </c>
      <c r="R29" s="6" t="n">
        <v>124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>
        <f>SUM(D29:AA29)</f>
        <v/>
      </c>
      <c r="AC29" s="3" t="inlineStr"/>
      <c r="AD29" s="7">
        <f>'BBB'!AD29+'Bag Staging'!AD29+'Bag Staging Volumetric'!AD29+'FWD FSM'!AD29+'FWD Manual Pre Primary'!AD29+'FWD Manual Primary'!AD29+'FWD Primary with Scan'!AD29+'FWD Secondary'!AD29+'FWD Volumetric'!AD29+'IB'!AD29+'IB Volumetric'!AD29+'OB'!AD29+'OB Volumetric'!AD29+'OSC Bag Sorting'!AD29+'OSC Bag Sorting Volumetric'!AD29+'REV FSM'!AD29+'Rejection Primary with Scan'!AD29+'Rejection Secondary'!AD29+'Rev DC DC Primary Sorting'!AD29+'Rev Primary (FSM Rejections)'!AD29+'Rev Secondary Sorting'!AD29+'VIA Bag Sorting'!AD29</f>
        <v/>
      </c>
      <c r="AE29" s="7">
        <f>'BBB'!AE29+'Bag Staging'!AE29+'Bag Staging Volumetric'!AE29+'FWD FSM'!AE29+'FWD Manual Pre Primary'!AE29+'FWD Manual Primary'!AE29+'FWD Primary with Scan'!AE29+'FWD Secondary'!AE29+'FWD Volumetric'!AE29+'IB'!AE29+'IB Volumetric'!AE29+'OB'!AE29+'OB Volumetric'!AE29+'OSC Bag Sorting'!AE29+'OSC Bag Sorting Volumetric'!AE29+'REV FSM'!AE29+'Rejection Primary with Scan'!AE29+'Rejection Secondary'!AE29+'Rev DC DC Primary Sorting'!AE29+'Rev Primary (FSM Rejections)'!AE29+'Rev Secondary Sorting'!AE29+'VIA Bag Sorting'!AE29</f>
        <v/>
      </c>
      <c r="AF29" s="7">
        <f>'BBB'!AF29+'Bag Staging'!AF29+'Bag Staging Volumetric'!AF29+'FWD FSM'!AF29+'FWD Manual Pre Primary'!AF29+'FWD Manual Primary'!AF29+'FWD Primary with Scan'!AF29+'FWD Secondary'!AF29+'FWD Volumetric'!AF29+'IB'!AF29+'IB Volumetric'!AF29+'OB'!AF29+'OB Volumetric'!AF29+'OSC Bag Sorting'!AF29+'OSC Bag Sorting Volumetric'!AF29+'REV FSM'!AF29+'Rejection Primary with Scan'!AF29+'Rejection Secondary'!AF29+'Rev DC DC Primary Sorting'!AF29+'Rev Primary (FSM Rejections)'!AF29+'Rev Secondary Sorting'!AF29+'VIA Bag Sorting'!AF29</f>
        <v/>
      </c>
      <c r="AG29" s="7">
        <f>'BBB'!AG29+'Bag Staging'!AG29+'Bag Staging Volumetric'!AG29+'FWD FSM'!AG29+'FWD Manual Pre Primary'!AG29+'FWD Manual Primary'!AG29+'FWD Primary with Scan'!AG29+'FWD Secondary'!AG29+'FWD Volumetric'!AG29+'IB'!AG29+'IB Volumetric'!AG29+'OB'!AG29+'OB Volumetric'!AG29+'OSC Bag Sorting'!AG29+'OSC Bag Sorting Volumetric'!AG29+'REV FSM'!AG29+'Rejection Primary with Scan'!AG29+'Rejection Secondary'!AG29+'Rev DC DC Primary Sorting'!AG29+'Rev Primary (FSM Rejections)'!AG29+'Rev Secondary Sorting'!AG29+'VIA Bag Sorting'!AG29</f>
        <v/>
      </c>
      <c r="AH29" s="7">
        <f>'BBB'!AH29+'Bag Staging'!AH29+'Bag Staging Volumetric'!AH29+'FWD FSM'!AH29+'FWD Manual Pre Primary'!AH29+'FWD Manual Primary'!AH29+'FWD Primary with Scan'!AH29+'FWD Secondary'!AH29+'FWD Volumetric'!AH29+'IB'!AH29+'IB Volumetric'!AH29+'OB'!AH29+'OB Volumetric'!AH29+'OSC Bag Sorting'!AH29+'OSC Bag Sorting Volumetric'!AH29+'REV FSM'!AH29+'Rejection Primary with Scan'!AH29+'Rejection Secondary'!AH29+'Rev DC DC Primary Sorting'!AH29+'Rev Primary (FSM Rejections)'!AH29+'Rev Secondary Sorting'!AH29+'VIA Bag Sorting'!AH29</f>
        <v/>
      </c>
      <c r="AI29" s="7">
        <f>'BBB'!AI29+'Bag Staging'!AI29+'Bag Staging Volumetric'!AI29+'FWD FSM'!AI29+'FWD Manual Pre Primary'!AI29+'FWD Manual Primary'!AI29+'FWD Primary with Scan'!AI29+'FWD Secondary'!AI29+'FWD Volumetric'!AI29+'IB'!AI29+'IB Volumetric'!AI29+'OB'!AI29+'OB Volumetric'!AI29+'OSC Bag Sorting'!AI29+'OSC Bag Sorting Volumetric'!AI29+'REV FSM'!AI29+'Rejection Primary with Scan'!AI29+'Rejection Secondary'!AI29+'Rev DC DC Primary Sorting'!AI29+'Rev Primary (FSM Rejections)'!AI29+'Rev Secondary Sorting'!AI29+'VIA Bag Sorting'!AI29</f>
        <v/>
      </c>
      <c r="AJ29" s="7">
        <f>'BBB'!AJ29+'Bag Staging'!AJ29+'Bag Staging Volumetric'!AJ29+'FWD FSM'!AJ29+'FWD Manual Pre Primary'!AJ29+'FWD Manual Primary'!AJ29+'FWD Primary with Scan'!AJ29+'FWD Secondary'!AJ29+'FWD Volumetric'!AJ29+'IB'!AJ29+'IB Volumetric'!AJ29+'OB'!AJ29+'OB Volumetric'!AJ29+'OSC Bag Sorting'!AJ29+'OSC Bag Sorting Volumetric'!AJ29+'REV FSM'!AJ29+'Rejection Primary with Scan'!AJ29+'Rejection Secondary'!AJ29+'Rev DC DC Primary Sorting'!AJ29+'Rev Primary (FSM Rejections)'!AJ29+'Rev Secondary Sorting'!AJ29+'VIA Bag Sorting'!AJ29</f>
        <v/>
      </c>
      <c r="AK29" s="7">
        <f>'BBB'!AK29+'Bag Staging'!AK29+'Bag Staging Volumetric'!AK29+'FWD FSM'!AK29+'FWD Manual Pre Primary'!AK29+'FWD Manual Primary'!AK29+'FWD Primary with Scan'!AK29+'FWD Secondary'!AK29+'FWD Volumetric'!AK29+'IB'!AK29+'IB Volumetric'!AK29+'OB'!AK29+'OB Volumetric'!AK29+'OSC Bag Sorting'!AK29+'OSC Bag Sorting Volumetric'!AK29+'REV FSM'!AK29+'Rejection Primary with Scan'!AK29+'Rejection Secondary'!AK29+'Rev DC DC Primary Sorting'!AK29+'Rev Primary (FSM Rejections)'!AK29+'Rev Secondary Sorting'!AK29+'VIA Bag Sorting'!AK29</f>
        <v/>
      </c>
      <c r="AL29" s="7">
        <f>'BBB'!AL29+'Bag Staging'!AL29+'Bag Staging Volumetric'!AL29+'FWD FSM'!AL29+'FWD Manual Pre Primary'!AL29+'FWD Manual Primary'!AL29+'FWD Primary with Scan'!AL29+'FWD Secondary'!AL29+'FWD Volumetric'!AL29+'IB'!AL29+'IB Volumetric'!AL29+'OB'!AL29+'OB Volumetric'!AL29+'OSC Bag Sorting'!AL29+'OSC Bag Sorting Volumetric'!AL29+'REV FSM'!AL29+'Rejection Primary with Scan'!AL29+'Rejection Secondary'!AL29+'Rev DC DC Primary Sorting'!AL29+'Rev Primary (FSM Rejections)'!AL29+'Rev Secondary Sorting'!AL29+'VIA Bag Sorting'!AL29</f>
        <v/>
      </c>
      <c r="AM29" s="7">
        <f>'BBB'!AM29+'Bag Staging'!AM29+'Bag Staging Volumetric'!AM29+'FWD FSM'!AM29+'FWD Manual Pre Primary'!AM29+'FWD Manual Primary'!AM29+'FWD Primary with Scan'!AM29+'FWD Secondary'!AM29+'FWD Volumetric'!AM29+'IB'!AM29+'IB Volumetric'!AM29+'OB'!AM29+'OB Volumetric'!AM29+'OSC Bag Sorting'!AM29+'OSC Bag Sorting Volumetric'!AM29+'REV FSM'!AM29+'Rejection Primary with Scan'!AM29+'Rejection Secondary'!AM29+'Rev DC DC Primary Sorting'!AM29+'Rev Primary (FSM Rejections)'!AM29+'Rev Secondary Sorting'!AM29+'VIA Bag Sorting'!AM29</f>
        <v/>
      </c>
      <c r="AN29" s="7">
        <f>'BBB'!AN29+'Bag Staging'!AN29+'Bag Staging Volumetric'!AN29+'FWD FSM'!AN29+'FWD Manual Pre Primary'!AN29+'FWD Manual Primary'!AN29+'FWD Primary with Scan'!AN29+'FWD Secondary'!AN29+'FWD Volumetric'!AN29+'IB'!AN29+'IB Volumetric'!AN29+'OB'!AN29+'OB Volumetric'!AN29+'OSC Bag Sorting'!AN29+'OSC Bag Sorting Volumetric'!AN29+'REV FSM'!AN29+'Rejection Primary with Scan'!AN29+'Rejection Secondary'!AN29+'Rev DC DC Primary Sorting'!AN29+'Rev Primary (FSM Rejections)'!AN29+'Rev Secondary Sorting'!AN29+'VIA Bag Sorting'!AN29</f>
        <v/>
      </c>
      <c r="AO29" s="7">
        <f>'BBB'!AO29+'Bag Staging'!AO29+'Bag Staging Volumetric'!AO29+'FWD FSM'!AO29+'FWD Manual Pre Primary'!AO29+'FWD Manual Primary'!AO29+'FWD Primary with Scan'!AO29+'FWD Secondary'!AO29+'FWD Volumetric'!AO29+'IB'!AO29+'IB Volumetric'!AO29+'OB'!AO29+'OB Volumetric'!AO29+'OSC Bag Sorting'!AO29+'OSC Bag Sorting Volumetric'!AO29+'REV FSM'!AO29+'Rejection Primary with Scan'!AO29+'Rejection Secondary'!AO29+'Rev DC DC Primary Sorting'!AO29+'Rev Primary (FSM Rejections)'!AO29+'Rev Secondary Sorting'!AO29+'VIA Bag Sorting'!AO29</f>
        <v/>
      </c>
      <c r="AP29" s="7">
        <f>'BBB'!AP29+'Bag Staging'!AP29+'Bag Staging Volumetric'!AP29+'FWD FSM'!AP29+'FWD Manual Pre Primary'!AP29+'FWD Manual Primary'!AP29+'FWD Primary with Scan'!AP29+'FWD Secondary'!AP29+'FWD Volumetric'!AP29+'IB'!AP29+'IB Volumetric'!AP29+'OB'!AP29+'OB Volumetric'!AP29+'OSC Bag Sorting'!AP29+'OSC Bag Sorting Volumetric'!AP29+'REV FSM'!AP29+'Rejection Primary with Scan'!AP29+'Rejection Secondary'!AP29+'Rev DC DC Primary Sorting'!AP29+'Rev Primary (FSM Rejections)'!AP29+'Rev Secondary Sorting'!AP29+'VIA Bag Sorting'!AP29</f>
        <v/>
      </c>
      <c r="AQ29" s="7">
        <f>'BBB'!AQ29+'Bag Staging'!AQ29+'Bag Staging Volumetric'!AQ29+'FWD FSM'!AQ29+'FWD Manual Pre Primary'!AQ29+'FWD Manual Primary'!AQ29+'FWD Primary with Scan'!AQ29+'FWD Secondary'!AQ29+'FWD Volumetric'!AQ29+'IB'!AQ29+'IB Volumetric'!AQ29+'OB'!AQ29+'OB Volumetric'!AQ29+'OSC Bag Sorting'!AQ29+'OSC Bag Sorting Volumetric'!AQ29+'REV FSM'!AQ29+'Rejection Primary with Scan'!AQ29+'Rejection Secondary'!AQ29+'Rev DC DC Primary Sorting'!AQ29+'Rev Primary (FSM Rejections)'!AQ29+'Rev Secondary Sorting'!AQ29+'VIA Bag Sorting'!AQ29</f>
        <v/>
      </c>
      <c r="AR29" s="7">
        <f>'BBB'!AR29+'Bag Staging'!AR29+'Bag Staging Volumetric'!AR29+'FWD FSM'!AR29+'FWD Manual Pre Primary'!AR29+'FWD Manual Primary'!AR29+'FWD Primary with Scan'!AR29+'FWD Secondary'!AR29+'FWD Volumetric'!AR29+'IB'!AR29+'IB Volumetric'!AR29+'OB'!AR29+'OB Volumetric'!AR29+'OSC Bag Sorting'!AR29+'OSC Bag Sorting Volumetric'!AR29+'REV FSM'!AR29+'Rejection Primary with Scan'!AR29+'Rejection Secondary'!AR29+'Rev DC DC Primary Sorting'!AR29+'Rev Primary (FSM Rejections)'!AR29+'Rev Secondary Sorting'!AR29+'VIA Bag Sorting'!AR29</f>
        <v/>
      </c>
      <c r="AS29" s="7">
        <f>'BBB'!AS29+'Bag Staging'!AS29+'Bag Staging Volumetric'!AS29+'FWD FSM'!AS29+'FWD Manual Pre Primary'!AS29+'FWD Manual Primary'!AS29+'FWD Primary with Scan'!AS29+'FWD Secondary'!AS29+'FWD Volumetric'!AS29+'IB'!AS29+'IB Volumetric'!AS29+'OB'!AS29+'OB Volumetric'!AS29+'OSC Bag Sorting'!AS29+'OSC Bag Sorting Volumetric'!AS29+'REV FSM'!AS29+'Rejection Primary with Scan'!AS29+'Rejection Secondary'!AS29+'Rev DC DC Primary Sorting'!AS29+'Rev Primary (FSM Rejections)'!AS29+'Rev Secondary Sorting'!AS29+'VIA Bag Sorting'!AS29</f>
        <v/>
      </c>
      <c r="AT29" s="7">
        <f>'BBB'!AT29+'Bag Staging'!AT29+'Bag Staging Volumetric'!AT29+'FWD FSM'!AT29+'FWD Manual Pre Primary'!AT29+'FWD Manual Primary'!AT29+'FWD Primary with Scan'!AT29+'FWD Secondary'!AT29+'FWD Volumetric'!AT29+'IB'!AT29+'IB Volumetric'!AT29+'OB'!AT29+'OB Volumetric'!AT29+'OSC Bag Sorting'!AT29+'OSC Bag Sorting Volumetric'!AT29+'REV FSM'!AT29+'Rejection Primary with Scan'!AT29+'Rejection Secondary'!AT29+'Rev DC DC Primary Sorting'!AT29+'Rev Primary (FSM Rejections)'!AT29+'Rev Secondary Sorting'!AT29+'VIA Bag Sorting'!AT29</f>
        <v/>
      </c>
      <c r="AU29" s="7">
        <f>'BBB'!AU29+'Bag Staging'!AU29+'Bag Staging Volumetric'!AU29+'FWD FSM'!AU29+'FWD Manual Pre Primary'!AU29+'FWD Manual Primary'!AU29+'FWD Primary with Scan'!AU29+'FWD Secondary'!AU29+'FWD Volumetric'!AU29+'IB'!AU29+'IB Volumetric'!AU29+'OB'!AU29+'OB Volumetric'!AU29+'OSC Bag Sorting'!AU29+'OSC Bag Sorting Volumetric'!AU29+'REV FSM'!AU29+'Rejection Primary with Scan'!AU29+'Rejection Secondary'!AU29+'Rev DC DC Primary Sorting'!AU29+'Rev Primary (FSM Rejections)'!AU29+'Rev Secondary Sorting'!AU29+'VIA Bag Sorting'!AU29</f>
        <v/>
      </c>
      <c r="AV29" s="7">
        <f>'BBB'!AV29+'Bag Staging'!AV29+'Bag Staging Volumetric'!AV29+'FWD FSM'!AV29+'FWD Manual Pre Primary'!AV29+'FWD Manual Primary'!AV29+'FWD Primary with Scan'!AV29+'FWD Secondary'!AV29+'FWD Volumetric'!AV29+'IB'!AV29+'IB Volumetric'!AV29+'OB'!AV29+'OB Volumetric'!AV29+'OSC Bag Sorting'!AV29+'OSC Bag Sorting Volumetric'!AV29+'REV FSM'!AV29+'Rejection Primary with Scan'!AV29+'Rejection Secondary'!AV29+'Rev DC DC Primary Sorting'!AV29+'Rev Primary (FSM Rejections)'!AV29+'Rev Secondary Sorting'!AV29+'VIA Bag Sorting'!AV29</f>
        <v/>
      </c>
      <c r="AW29" s="7">
        <f>'BBB'!AW29+'Bag Staging'!AW29+'Bag Staging Volumetric'!AW29+'FWD FSM'!AW29+'FWD Manual Pre Primary'!AW29+'FWD Manual Primary'!AW29+'FWD Primary with Scan'!AW29+'FWD Secondary'!AW29+'FWD Volumetric'!AW29+'IB'!AW29+'IB Volumetric'!AW29+'OB'!AW29+'OB Volumetric'!AW29+'OSC Bag Sorting'!AW29+'OSC Bag Sorting Volumetric'!AW29+'REV FSM'!AW29+'Rejection Primary with Scan'!AW29+'Rejection Secondary'!AW29+'Rev DC DC Primary Sorting'!AW29+'Rev Primary (FSM Rejections)'!AW29+'Rev Secondary Sorting'!AW29+'VIA Bag Sorting'!AW29</f>
        <v/>
      </c>
      <c r="AX29" s="7">
        <f>'BBB'!AX29+'Bag Staging'!AX29+'Bag Staging Volumetric'!AX29+'FWD FSM'!AX29+'FWD Manual Pre Primary'!AX29+'FWD Manual Primary'!AX29+'FWD Primary with Scan'!AX29+'FWD Secondary'!AX29+'FWD Volumetric'!AX29+'IB'!AX29+'IB Volumetric'!AX29+'OB'!AX29+'OB Volumetric'!AX29+'OSC Bag Sorting'!AX29+'OSC Bag Sorting Volumetric'!AX29+'REV FSM'!AX29+'Rejection Primary with Scan'!AX29+'Rejection Secondary'!AX29+'Rev DC DC Primary Sorting'!AX29+'Rev Primary (FSM Rejections)'!AX29+'Rev Secondary Sorting'!AX29+'VIA Bag Sorting'!AX29</f>
        <v/>
      </c>
      <c r="AY29" s="7">
        <f>'BBB'!AY29+'Bag Staging'!AY29+'Bag Staging Volumetric'!AY29+'FWD FSM'!AY29+'FWD Manual Pre Primary'!AY29+'FWD Manual Primary'!AY29+'FWD Primary with Scan'!AY29+'FWD Secondary'!AY29+'FWD Volumetric'!AY29+'IB'!AY29+'IB Volumetric'!AY29+'OB'!AY29+'OB Volumetric'!AY29+'OSC Bag Sorting'!AY29+'OSC Bag Sorting Volumetric'!AY29+'REV FSM'!AY29+'Rejection Primary with Scan'!AY29+'Rejection Secondary'!AY29+'Rev DC DC Primary Sorting'!AY29+'Rev Primary (FSM Rejections)'!AY29+'Rev Secondary Sorting'!AY29+'VIA Bag Sorting'!AY29</f>
        <v/>
      </c>
      <c r="AZ29" s="7">
        <f>'BBB'!AZ29+'Bag Staging'!AZ29+'Bag Staging Volumetric'!AZ29+'FWD FSM'!AZ29+'FWD Manual Pre Primary'!AZ29+'FWD Manual Primary'!AZ29+'FWD Primary with Scan'!AZ29+'FWD Secondary'!AZ29+'FWD Volumetric'!AZ29+'IB'!AZ29+'IB Volumetric'!AZ29+'OB'!AZ29+'OB Volumetric'!AZ29+'OSC Bag Sorting'!AZ29+'OSC Bag Sorting Volumetric'!AZ29+'REV FSM'!AZ29+'Rejection Primary with Scan'!AZ29+'Rejection Secondary'!AZ29+'Rev DC DC Primary Sorting'!AZ29+'Rev Primary (FSM Rejections)'!AZ29+'Rev Secondary Sorting'!AZ29+'VIA Bag Sorting'!AZ29</f>
        <v/>
      </c>
      <c r="BA29" s="7">
        <f>'BBB'!BA29+'Bag Staging'!BA29+'Bag Staging Volumetric'!BA29+'FWD FSM'!BA29+'FWD Manual Pre Primary'!BA29+'FWD Manual Primary'!BA29+'FWD Primary with Scan'!BA29+'FWD Secondary'!BA29+'FWD Volumetric'!BA29+'IB'!BA29+'IB Volumetric'!BA29+'OB'!BA29+'OB Volumetric'!BA29+'OSC Bag Sorting'!BA29+'OSC Bag Sorting Volumetric'!BA29+'REV FSM'!BA29+'Rejection Primary with Scan'!BA29+'Rejection Secondary'!BA29+'Rev DC DC Primary Sorting'!BA29+'Rev Primary (FSM Rejections)'!BA29+'Rev Secondary Sorting'!BA29+'VIA Bag Sorting'!BA29</f>
        <v/>
      </c>
      <c r="BB29" s="7">
        <f>SUM(AD29:BA29)</f>
        <v/>
      </c>
    </row>
    <row r="30">
      <c r="A30" t="inlineStr">
        <is>
          <t>AMD-FK-SSC</t>
        </is>
      </c>
      <c r="B30" t="inlineStr">
        <is>
          <t>Prime at Client side</t>
        </is>
      </c>
      <c r="C30" s="5" t="n">
        <v>46093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224</v>
      </c>
      <c r="Q30" s="6" t="n">
        <v>158</v>
      </c>
      <c r="R30" s="6" t="n">
        <v>173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>
        <f>SUM(D30:AA30)</f>
        <v/>
      </c>
      <c r="AC30" s="3" t="inlineStr"/>
      <c r="AD30" s="7">
        <f>'BBB'!AD30+'Bag Staging'!AD30+'Bag Staging Volumetric'!AD30+'FWD FSM'!AD30+'FWD Manual Pre Primary'!AD30+'FWD Manual Primary'!AD30+'FWD Primary with Scan'!AD30+'FWD Secondary'!AD30+'FWD Volumetric'!AD30+'IB'!AD30+'IB Volumetric'!AD30+'OB'!AD30+'OB Volumetric'!AD30+'OSC Bag Sorting'!AD30+'OSC Bag Sorting Volumetric'!AD30+'REV FSM'!AD30+'Rejection Primary with Scan'!AD30+'Rejection Secondary'!AD30+'Rev DC DC Primary Sorting'!AD30+'Rev Primary (FSM Rejections)'!AD30+'Rev Secondary Sorting'!AD30+'VIA Bag Sorting'!AD30</f>
        <v/>
      </c>
      <c r="AE30" s="7">
        <f>'BBB'!AE30+'Bag Staging'!AE30+'Bag Staging Volumetric'!AE30+'FWD FSM'!AE30+'FWD Manual Pre Primary'!AE30+'FWD Manual Primary'!AE30+'FWD Primary with Scan'!AE30+'FWD Secondary'!AE30+'FWD Volumetric'!AE30+'IB'!AE30+'IB Volumetric'!AE30+'OB'!AE30+'OB Volumetric'!AE30+'OSC Bag Sorting'!AE30+'OSC Bag Sorting Volumetric'!AE30+'REV FSM'!AE30+'Rejection Primary with Scan'!AE30+'Rejection Secondary'!AE30+'Rev DC DC Primary Sorting'!AE30+'Rev Primary (FSM Rejections)'!AE30+'Rev Secondary Sorting'!AE30+'VIA Bag Sorting'!AE30</f>
        <v/>
      </c>
      <c r="AF30" s="7">
        <f>'BBB'!AF30+'Bag Staging'!AF30+'Bag Staging Volumetric'!AF30+'FWD FSM'!AF30+'FWD Manual Pre Primary'!AF30+'FWD Manual Primary'!AF30+'FWD Primary with Scan'!AF30+'FWD Secondary'!AF30+'FWD Volumetric'!AF30+'IB'!AF30+'IB Volumetric'!AF30+'OB'!AF30+'OB Volumetric'!AF30+'OSC Bag Sorting'!AF30+'OSC Bag Sorting Volumetric'!AF30+'REV FSM'!AF30+'Rejection Primary with Scan'!AF30+'Rejection Secondary'!AF30+'Rev DC DC Primary Sorting'!AF30+'Rev Primary (FSM Rejections)'!AF30+'Rev Secondary Sorting'!AF30+'VIA Bag Sorting'!AF30</f>
        <v/>
      </c>
      <c r="AG30" s="7">
        <f>'BBB'!AG30+'Bag Staging'!AG30+'Bag Staging Volumetric'!AG30+'FWD FSM'!AG30+'FWD Manual Pre Primary'!AG30+'FWD Manual Primary'!AG30+'FWD Primary with Scan'!AG30+'FWD Secondary'!AG30+'FWD Volumetric'!AG30+'IB'!AG30+'IB Volumetric'!AG30+'OB'!AG30+'OB Volumetric'!AG30+'OSC Bag Sorting'!AG30+'OSC Bag Sorting Volumetric'!AG30+'REV FSM'!AG30+'Rejection Primary with Scan'!AG30+'Rejection Secondary'!AG30+'Rev DC DC Primary Sorting'!AG30+'Rev Primary (FSM Rejections)'!AG30+'Rev Secondary Sorting'!AG30+'VIA Bag Sorting'!AG30</f>
        <v/>
      </c>
      <c r="AH30" s="7">
        <f>'BBB'!AH30+'Bag Staging'!AH30+'Bag Staging Volumetric'!AH30+'FWD FSM'!AH30+'FWD Manual Pre Primary'!AH30+'FWD Manual Primary'!AH30+'FWD Primary with Scan'!AH30+'FWD Secondary'!AH30+'FWD Volumetric'!AH30+'IB'!AH30+'IB Volumetric'!AH30+'OB'!AH30+'OB Volumetric'!AH30+'OSC Bag Sorting'!AH30+'OSC Bag Sorting Volumetric'!AH30+'REV FSM'!AH30+'Rejection Primary with Scan'!AH30+'Rejection Secondary'!AH30+'Rev DC DC Primary Sorting'!AH30+'Rev Primary (FSM Rejections)'!AH30+'Rev Secondary Sorting'!AH30+'VIA Bag Sorting'!AH30</f>
        <v/>
      </c>
      <c r="AI30" s="7">
        <f>'BBB'!AI30+'Bag Staging'!AI30+'Bag Staging Volumetric'!AI30+'FWD FSM'!AI30+'FWD Manual Pre Primary'!AI30+'FWD Manual Primary'!AI30+'FWD Primary with Scan'!AI30+'FWD Secondary'!AI30+'FWD Volumetric'!AI30+'IB'!AI30+'IB Volumetric'!AI30+'OB'!AI30+'OB Volumetric'!AI30+'OSC Bag Sorting'!AI30+'OSC Bag Sorting Volumetric'!AI30+'REV FSM'!AI30+'Rejection Primary with Scan'!AI30+'Rejection Secondary'!AI30+'Rev DC DC Primary Sorting'!AI30+'Rev Primary (FSM Rejections)'!AI30+'Rev Secondary Sorting'!AI30+'VIA Bag Sorting'!AI30</f>
        <v/>
      </c>
      <c r="AJ30" s="7">
        <f>'BBB'!AJ30+'Bag Staging'!AJ30+'Bag Staging Volumetric'!AJ30+'FWD FSM'!AJ30+'FWD Manual Pre Primary'!AJ30+'FWD Manual Primary'!AJ30+'FWD Primary with Scan'!AJ30+'FWD Secondary'!AJ30+'FWD Volumetric'!AJ30+'IB'!AJ30+'IB Volumetric'!AJ30+'OB'!AJ30+'OB Volumetric'!AJ30+'OSC Bag Sorting'!AJ30+'OSC Bag Sorting Volumetric'!AJ30+'REV FSM'!AJ30+'Rejection Primary with Scan'!AJ30+'Rejection Secondary'!AJ30+'Rev DC DC Primary Sorting'!AJ30+'Rev Primary (FSM Rejections)'!AJ30+'Rev Secondary Sorting'!AJ30+'VIA Bag Sorting'!AJ30</f>
        <v/>
      </c>
      <c r="AK30" s="7">
        <f>'BBB'!AK30+'Bag Staging'!AK30+'Bag Staging Volumetric'!AK30+'FWD FSM'!AK30+'FWD Manual Pre Primary'!AK30+'FWD Manual Primary'!AK30+'FWD Primary with Scan'!AK30+'FWD Secondary'!AK30+'FWD Volumetric'!AK30+'IB'!AK30+'IB Volumetric'!AK30+'OB'!AK30+'OB Volumetric'!AK30+'OSC Bag Sorting'!AK30+'OSC Bag Sorting Volumetric'!AK30+'REV FSM'!AK30+'Rejection Primary with Scan'!AK30+'Rejection Secondary'!AK30+'Rev DC DC Primary Sorting'!AK30+'Rev Primary (FSM Rejections)'!AK30+'Rev Secondary Sorting'!AK30+'VIA Bag Sorting'!AK30</f>
        <v/>
      </c>
      <c r="AL30" s="7">
        <f>'BBB'!AL30+'Bag Staging'!AL30+'Bag Staging Volumetric'!AL30+'FWD FSM'!AL30+'FWD Manual Pre Primary'!AL30+'FWD Manual Primary'!AL30+'FWD Primary with Scan'!AL30+'FWD Secondary'!AL30+'FWD Volumetric'!AL30+'IB'!AL30+'IB Volumetric'!AL30+'OB'!AL30+'OB Volumetric'!AL30+'OSC Bag Sorting'!AL30+'OSC Bag Sorting Volumetric'!AL30+'REV FSM'!AL30+'Rejection Primary with Scan'!AL30+'Rejection Secondary'!AL30+'Rev DC DC Primary Sorting'!AL30+'Rev Primary (FSM Rejections)'!AL30+'Rev Secondary Sorting'!AL30+'VIA Bag Sorting'!AL30</f>
        <v/>
      </c>
      <c r="AM30" s="7">
        <f>'BBB'!AM30+'Bag Staging'!AM30+'Bag Staging Volumetric'!AM30+'FWD FSM'!AM30+'FWD Manual Pre Primary'!AM30+'FWD Manual Primary'!AM30+'FWD Primary with Scan'!AM30+'FWD Secondary'!AM30+'FWD Volumetric'!AM30+'IB'!AM30+'IB Volumetric'!AM30+'OB'!AM30+'OB Volumetric'!AM30+'OSC Bag Sorting'!AM30+'OSC Bag Sorting Volumetric'!AM30+'REV FSM'!AM30+'Rejection Primary with Scan'!AM30+'Rejection Secondary'!AM30+'Rev DC DC Primary Sorting'!AM30+'Rev Primary (FSM Rejections)'!AM30+'Rev Secondary Sorting'!AM30+'VIA Bag Sorting'!AM30</f>
        <v/>
      </c>
      <c r="AN30" s="7">
        <f>'BBB'!AN30+'Bag Staging'!AN30+'Bag Staging Volumetric'!AN30+'FWD FSM'!AN30+'FWD Manual Pre Primary'!AN30+'FWD Manual Primary'!AN30+'FWD Primary with Scan'!AN30+'FWD Secondary'!AN30+'FWD Volumetric'!AN30+'IB'!AN30+'IB Volumetric'!AN30+'OB'!AN30+'OB Volumetric'!AN30+'OSC Bag Sorting'!AN30+'OSC Bag Sorting Volumetric'!AN30+'REV FSM'!AN30+'Rejection Primary with Scan'!AN30+'Rejection Secondary'!AN30+'Rev DC DC Primary Sorting'!AN30+'Rev Primary (FSM Rejections)'!AN30+'Rev Secondary Sorting'!AN30+'VIA Bag Sorting'!AN30</f>
        <v/>
      </c>
      <c r="AO30" s="7">
        <f>'BBB'!AO30+'Bag Staging'!AO30+'Bag Staging Volumetric'!AO30+'FWD FSM'!AO30+'FWD Manual Pre Primary'!AO30+'FWD Manual Primary'!AO30+'FWD Primary with Scan'!AO30+'FWD Secondary'!AO30+'FWD Volumetric'!AO30+'IB'!AO30+'IB Volumetric'!AO30+'OB'!AO30+'OB Volumetric'!AO30+'OSC Bag Sorting'!AO30+'OSC Bag Sorting Volumetric'!AO30+'REV FSM'!AO30+'Rejection Primary with Scan'!AO30+'Rejection Secondary'!AO30+'Rev DC DC Primary Sorting'!AO30+'Rev Primary (FSM Rejections)'!AO30+'Rev Secondary Sorting'!AO30+'VIA Bag Sorting'!AO30</f>
        <v/>
      </c>
      <c r="AP30" s="7">
        <f>'BBB'!AP30+'Bag Staging'!AP30+'Bag Staging Volumetric'!AP30+'FWD FSM'!AP30+'FWD Manual Pre Primary'!AP30+'FWD Manual Primary'!AP30+'FWD Primary with Scan'!AP30+'FWD Secondary'!AP30+'FWD Volumetric'!AP30+'IB'!AP30+'IB Volumetric'!AP30+'OB'!AP30+'OB Volumetric'!AP30+'OSC Bag Sorting'!AP30+'OSC Bag Sorting Volumetric'!AP30+'REV FSM'!AP30+'Rejection Primary with Scan'!AP30+'Rejection Secondary'!AP30+'Rev DC DC Primary Sorting'!AP30+'Rev Primary (FSM Rejections)'!AP30+'Rev Secondary Sorting'!AP30+'VIA Bag Sorting'!AP30</f>
        <v/>
      </c>
      <c r="AQ30" s="7">
        <f>'BBB'!AQ30+'Bag Staging'!AQ30+'Bag Staging Volumetric'!AQ30+'FWD FSM'!AQ30+'FWD Manual Pre Primary'!AQ30+'FWD Manual Primary'!AQ30+'FWD Primary with Scan'!AQ30+'FWD Secondary'!AQ30+'FWD Volumetric'!AQ30+'IB'!AQ30+'IB Volumetric'!AQ30+'OB'!AQ30+'OB Volumetric'!AQ30+'OSC Bag Sorting'!AQ30+'OSC Bag Sorting Volumetric'!AQ30+'REV FSM'!AQ30+'Rejection Primary with Scan'!AQ30+'Rejection Secondary'!AQ30+'Rev DC DC Primary Sorting'!AQ30+'Rev Primary (FSM Rejections)'!AQ30+'Rev Secondary Sorting'!AQ30+'VIA Bag Sorting'!AQ30</f>
        <v/>
      </c>
      <c r="AR30" s="7">
        <f>'BBB'!AR30+'Bag Staging'!AR30+'Bag Staging Volumetric'!AR30+'FWD FSM'!AR30+'FWD Manual Pre Primary'!AR30+'FWD Manual Primary'!AR30+'FWD Primary with Scan'!AR30+'FWD Secondary'!AR30+'FWD Volumetric'!AR30+'IB'!AR30+'IB Volumetric'!AR30+'OB'!AR30+'OB Volumetric'!AR30+'OSC Bag Sorting'!AR30+'OSC Bag Sorting Volumetric'!AR30+'REV FSM'!AR30+'Rejection Primary with Scan'!AR30+'Rejection Secondary'!AR30+'Rev DC DC Primary Sorting'!AR30+'Rev Primary (FSM Rejections)'!AR30+'Rev Secondary Sorting'!AR30+'VIA Bag Sorting'!AR30</f>
        <v/>
      </c>
      <c r="AS30" s="7">
        <f>'BBB'!AS30+'Bag Staging'!AS30+'Bag Staging Volumetric'!AS30+'FWD FSM'!AS30+'FWD Manual Pre Primary'!AS30+'FWD Manual Primary'!AS30+'FWD Primary with Scan'!AS30+'FWD Secondary'!AS30+'FWD Volumetric'!AS30+'IB'!AS30+'IB Volumetric'!AS30+'OB'!AS30+'OB Volumetric'!AS30+'OSC Bag Sorting'!AS30+'OSC Bag Sorting Volumetric'!AS30+'REV FSM'!AS30+'Rejection Primary with Scan'!AS30+'Rejection Secondary'!AS30+'Rev DC DC Primary Sorting'!AS30+'Rev Primary (FSM Rejections)'!AS30+'Rev Secondary Sorting'!AS30+'VIA Bag Sorting'!AS30</f>
        <v/>
      </c>
      <c r="AT30" s="7">
        <f>'BBB'!AT30+'Bag Staging'!AT30+'Bag Staging Volumetric'!AT30+'FWD FSM'!AT30+'FWD Manual Pre Primary'!AT30+'FWD Manual Primary'!AT30+'FWD Primary with Scan'!AT30+'FWD Secondary'!AT30+'FWD Volumetric'!AT30+'IB'!AT30+'IB Volumetric'!AT30+'OB'!AT30+'OB Volumetric'!AT30+'OSC Bag Sorting'!AT30+'OSC Bag Sorting Volumetric'!AT30+'REV FSM'!AT30+'Rejection Primary with Scan'!AT30+'Rejection Secondary'!AT30+'Rev DC DC Primary Sorting'!AT30+'Rev Primary (FSM Rejections)'!AT30+'Rev Secondary Sorting'!AT30+'VIA Bag Sorting'!AT30</f>
        <v/>
      </c>
      <c r="AU30" s="7">
        <f>'BBB'!AU30+'Bag Staging'!AU30+'Bag Staging Volumetric'!AU30+'FWD FSM'!AU30+'FWD Manual Pre Primary'!AU30+'FWD Manual Primary'!AU30+'FWD Primary with Scan'!AU30+'FWD Secondary'!AU30+'FWD Volumetric'!AU30+'IB'!AU30+'IB Volumetric'!AU30+'OB'!AU30+'OB Volumetric'!AU30+'OSC Bag Sorting'!AU30+'OSC Bag Sorting Volumetric'!AU30+'REV FSM'!AU30+'Rejection Primary with Scan'!AU30+'Rejection Secondary'!AU30+'Rev DC DC Primary Sorting'!AU30+'Rev Primary (FSM Rejections)'!AU30+'Rev Secondary Sorting'!AU30+'VIA Bag Sorting'!AU30</f>
        <v/>
      </c>
      <c r="AV30" s="7">
        <f>'BBB'!AV30+'Bag Staging'!AV30+'Bag Staging Volumetric'!AV30+'FWD FSM'!AV30+'FWD Manual Pre Primary'!AV30+'FWD Manual Primary'!AV30+'FWD Primary with Scan'!AV30+'FWD Secondary'!AV30+'FWD Volumetric'!AV30+'IB'!AV30+'IB Volumetric'!AV30+'OB'!AV30+'OB Volumetric'!AV30+'OSC Bag Sorting'!AV30+'OSC Bag Sorting Volumetric'!AV30+'REV FSM'!AV30+'Rejection Primary with Scan'!AV30+'Rejection Secondary'!AV30+'Rev DC DC Primary Sorting'!AV30+'Rev Primary (FSM Rejections)'!AV30+'Rev Secondary Sorting'!AV30+'VIA Bag Sorting'!AV30</f>
        <v/>
      </c>
      <c r="AW30" s="7">
        <f>'BBB'!AW30+'Bag Staging'!AW30+'Bag Staging Volumetric'!AW30+'FWD FSM'!AW30+'FWD Manual Pre Primary'!AW30+'FWD Manual Primary'!AW30+'FWD Primary with Scan'!AW30+'FWD Secondary'!AW30+'FWD Volumetric'!AW30+'IB'!AW30+'IB Volumetric'!AW30+'OB'!AW30+'OB Volumetric'!AW30+'OSC Bag Sorting'!AW30+'OSC Bag Sorting Volumetric'!AW30+'REV FSM'!AW30+'Rejection Primary with Scan'!AW30+'Rejection Secondary'!AW30+'Rev DC DC Primary Sorting'!AW30+'Rev Primary (FSM Rejections)'!AW30+'Rev Secondary Sorting'!AW30+'VIA Bag Sorting'!AW30</f>
        <v/>
      </c>
      <c r="AX30" s="7">
        <f>'BBB'!AX30+'Bag Staging'!AX30+'Bag Staging Volumetric'!AX30+'FWD FSM'!AX30+'FWD Manual Pre Primary'!AX30+'FWD Manual Primary'!AX30+'FWD Primary with Scan'!AX30+'FWD Secondary'!AX30+'FWD Volumetric'!AX30+'IB'!AX30+'IB Volumetric'!AX30+'OB'!AX30+'OB Volumetric'!AX30+'OSC Bag Sorting'!AX30+'OSC Bag Sorting Volumetric'!AX30+'REV FSM'!AX30+'Rejection Primary with Scan'!AX30+'Rejection Secondary'!AX30+'Rev DC DC Primary Sorting'!AX30+'Rev Primary (FSM Rejections)'!AX30+'Rev Secondary Sorting'!AX30+'VIA Bag Sorting'!AX30</f>
        <v/>
      </c>
      <c r="AY30" s="7">
        <f>'BBB'!AY30+'Bag Staging'!AY30+'Bag Staging Volumetric'!AY30+'FWD FSM'!AY30+'FWD Manual Pre Primary'!AY30+'FWD Manual Primary'!AY30+'FWD Primary with Scan'!AY30+'FWD Secondary'!AY30+'FWD Volumetric'!AY30+'IB'!AY30+'IB Volumetric'!AY30+'OB'!AY30+'OB Volumetric'!AY30+'OSC Bag Sorting'!AY30+'OSC Bag Sorting Volumetric'!AY30+'REV FSM'!AY30+'Rejection Primary with Scan'!AY30+'Rejection Secondary'!AY30+'Rev DC DC Primary Sorting'!AY30+'Rev Primary (FSM Rejections)'!AY30+'Rev Secondary Sorting'!AY30+'VIA Bag Sorting'!AY30</f>
        <v/>
      </c>
      <c r="AZ30" s="7">
        <f>'BBB'!AZ30+'Bag Staging'!AZ30+'Bag Staging Volumetric'!AZ30+'FWD FSM'!AZ30+'FWD Manual Pre Primary'!AZ30+'FWD Manual Primary'!AZ30+'FWD Primary with Scan'!AZ30+'FWD Secondary'!AZ30+'FWD Volumetric'!AZ30+'IB'!AZ30+'IB Volumetric'!AZ30+'OB'!AZ30+'OB Volumetric'!AZ30+'OSC Bag Sorting'!AZ30+'OSC Bag Sorting Volumetric'!AZ30+'REV FSM'!AZ30+'Rejection Primary with Scan'!AZ30+'Rejection Secondary'!AZ30+'Rev DC DC Primary Sorting'!AZ30+'Rev Primary (FSM Rejections)'!AZ30+'Rev Secondary Sorting'!AZ30+'VIA Bag Sorting'!AZ30</f>
        <v/>
      </c>
      <c r="BA30" s="7">
        <f>'BBB'!BA30+'Bag Staging'!BA30+'Bag Staging Volumetric'!BA30+'FWD FSM'!BA30+'FWD Manual Pre Primary'!BA30+'FWD Manual Primary'!BA30+'FWD Primary with Scan'!BA30+'FWD Secondary'!BA30+'FWD Volumetric'!BA30+'IB'!BA30+'IB Volumetric'!BA30+'OB'!BA30+'OB Volumetric'!BA30+'OSC Bag Sorting'!BA30+'OSC Bag Sorting Volumetric'!BA30+'REV FSM'!BA30+'Rejection Primary with Scan'!BA30+'Rejection Secondary'!BA30+'Rev DC DC Primary Sorting'!BA30+'Rev Primary (FSM Rejections)'!BA30+'Rev Secondary Sorting'!BA30+'VIA Bag Sorting'!BA30</f>
        <v/>
      </c>
      <c r="BB30" s="7">
        <f>SUM(AD30:BA30)</f>
        <v/>
      </c>
    </row>
    <row r="31">
      <c r="A31" t="inlineStr">
        <is>
          <t>AMD-FK-SSC</t>
        </is>
      </c>
      <c r="B31" t="inlineStr">
        <is>
          <t>Prime at Client side</t>
        </is>
      </c>
      <c r="C31" s="5" t="n">
        <v>46094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92</v>
      </c>
      <c r="P31" s="6" t="n">
        <v>53</v>
      </c>
      <c r="Q31" s="6" t="n">
        <v>179</v>
      </c>
      <c r="R31" s="6" t="n">
        <v>25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>
        <f>SUM(D31:AA31)</f>
        <v/>
      </c>
      <c r="AC31" s="3" t="inlineStr"/>
      <c r="AD31" s="7">
        <f>'BBB'!AD31+'Bag Staging'!AD31+'Bag Staging Volumetric'!AD31+'FWD FSM'!AD31+'FWD Manual Pre Primary'!AD31+'FWD Manual Primary'!AD31+'FWD Primary with Scan'!AD31+'FWD Secondary'!AD31+'FWD Volumetric'!AD31+'IB'!AD31+'IB Volumetric'!AD31+'OB'!AD31+'OB Volumetric'!AD31+'OSC Bag Sorting'!AD31+'OSC Bag Sorting Volumetric'!AD31+'REV FSM'!AD31+'Rejection Primary with Scan'!AD31+'Rejection Secondary'!AD31+'Rev DC DC Primary Sorting'!AD31+'Rev Primary (FSM Rejections)'!AD31+'Rev Secondary Sorting'!AD31+'VIA Bag Sorting'!AD31</f>
        <v/>
      </c>
      <c r="AE31" s="7">
        <f>'BBB'!AE31+'Bag Staging'!AE31+'Bag Staging Volumetric'!AE31+'FWD FSM'!AE31+'FWD Manual Pre Primary'!AE31+'FWD Manual Primary'!AE31+'FWD Primary with Scan'!AE31+'FWD Secondary'!AE31+'FWD Volumetric'!AE31+'IB'!AE31+'IB Volumetric'!AE31+'OB'!AE31+'OB Volumetric'!AE31+'OSC Bag Sorting'!AE31+'OSC Bag Sorting Volumetric'!AE31+'REV FSM'!AE31+'Rejection Primary with Scan'!AE31+'Rejection Secondary'!AE31+'Rev DC DC Primary Sorting'!AE31+'Rev Primary (FSM Rejections)'!AE31+'Rev Secondary Sorting'!AE31+'VIA Bag Sorting'!AE31</f>
        <v/>
      </c>
      <c r="AF31" s="7">
        <f>'BBB'!AF31+'Bag Staging'!AF31+'Bag Staging Volumetric'!AF31+'FWD FSM'!AF31+'FWD Manual Pre Primary'!AF31+'FWD Manual Primary'!AF31+'FWD Primary with Scan'!AF31+'FWD Secondary'!AF31+'FWD Volumetric'!AF31+'IB'!AF31+'IB Volumetric'!AF31+'OB'!AF31+'OB Volumetric'!AF31+'OSC Bag Sorting'!AF31+'OSC Bag Sorting Volumetric'!AF31+'REV FSM'!AF31+'Rejection Primary with Scan'!AF31+'Rejection Secondary'!AF31+'Rev DC DC Primary Sorting'!AF31+'Rev Primary (FSM Rejections)'!AF31+'Rev Secondary Sorting'!AF31+'VIA Bag Sorting'!AF31</f>
        <v/>
      </c>
      <c r="AG31" s="7">
        <f>'BBB'!AG31+'Bag Staging'!AG31+'Bag Staging Volumetric'!AG31+'FWD FSM'!AG31+'FWD Manual Pre Primary'!AG31+'FWD Manual Primary'!AG31+'FWD Primary with Scan'!AG31+'FWD Secondary'!AG31+'FWD Volumetric'!AG31+'IB'!AG31+'IB Volumetric'!AG31+'OB'!AG31+'OB Volumetric'!AG31+'OSC Bag Sorting'!AG31+'OSC Bag Sorting Volumetric'!AG31+'REV FSM'!AG31+'Rejection Primary with Scan'!AG31+'Rejection Secondary'!AG31+'Rev DC DC Primary Sorting'!AG31+'Rev Primary (FSM Rejections)'!AG31+'Rev Secondary Sorting'!AG31+'VIA Bag Sorting'!AG31</f>
        <v/>
      </c>
      <c r="AH31" s="7">
        <f>'BBB'!AH31+'Bag Staging'!AH31+'Bag Staging Volumetric'!AH31+'FWD FSM'!AH31+'FWD Manual Pre Primary'!AH31+'FWD Manual Primary'!AH31+'FWD Primary with Scan'!AH31+'FWD Secondary'!AH31+'FWD Volumetric'!AH31+'IB'!AH31+'IB Volumetric'!AH31+'OB'!AH31+'OB Volumetric'!AH31+'OSC Bag Sorting'!AH31+'OSC Bag Sorting Volumetric'!AH31+'REV FSM'!AH31+'Rejection Primary with Scan'!AH31+'Rejection Secondary'!AH31+'Rev DC DC Primary Sorting'!AH31+'Rev Primary (FSM Rejections)'!AH31+'Rev Secondary Sorting'!AH31+'VIA Bag Sorting'!AH31</f>
        <v/>
      </c>
      <c r="AI31" s="7">
        <f>'BBB'!AI31+'Bag Staging'!AI31+'Bag Staging Volumetric'!AI31+'FWD FSM'!AI31+'FWD Manual Pre Primary'!AI31+'FWD Manual Primary'!AI31+'FWD Primary with Scan'!AI31+'FWD Secondary'!AI31+'FWD Volumetric'!AI31+'IB'!AI31+'IB Volumetric'!AI31+'OB'!AI31+'OB Volumetric'!AI31+'OSC Bag Sorting'!AI31+'OSC Bag Sorting Volumetric'!AI31+'REV FSM'!AI31+'Rejection Primary with Scan'!AI31+'Rejection Secondary'!AI31+'Rev DC DC Primary Sorting'!AI31+'Rev Primary (FSM Rejections)'!AI31+'Rev Secondary Sorting'!AI31+'VIA Bag Sorting'!AI31</f>
        <v/>
      </c>
      <c r="AJ31" s="7">
        <f>'BBB'!AJ31+'Bag Staging'!AJ31+'Bag Staging Volumetric'!AJ31+'FWD FSM'!AJ31+'FWD Manual Pre Primary'!AJ31+'FWD Manual Primary'!AJ31+'FWD Primary with Scan'!AJ31+'FWD Secondary'!AJ31+'FWD Volumetric'!AJ31+'IB'!AJ31+'IB Volumetric'!AJ31+'OB'!AJ31+'OB Volumetric'!AJ31+'OSC Bag Sorting'!AJ31+'OSC Bag Sorting Volumetric'!AJ31+'REV FSM'!AJ31+'Rejection Primary with Scan'!AJ31+'Rejection Secondary'!AJ31+'Rev DC DC Primary Sorting'!AJ31+'Rev Primary (FSM Rejections)'!AJ31+'Rev Secondary Sorting'!AJ31+'VIA Bag Sorting'!AJ31</f>
        <v/>
      </c>
      <c r="AK31" s="7">
        <f>'BBB'!AK31+'Bag Staging'!AK31+'Bag Staging Volumetric'!AK31+'FWD FSM'!AK31+'FWD Manual Pre Primary'!AK31+'FWD Manual Primary'!AK31+'FWD Primary with Scan'!AK31+'FWD Secondary'!AK31+'FWD Volumetric'!AK31+'IB'!AK31+'IB Volumetric'!AK31+'OB'!AK31+'OB Volumetric'!AK31+'OSC Bag Sorting'!AK31+'OSC Bag Sorting Volumetric'!AK31+'REV FSM'!AK31+'Rejection Primary with Scan'!AK31+'Rejection Secondary'!AK31+'Rev DC DC Primary Sorting'!AK31+'Rev Primary (FSM Rejections)'!AK31+'Rev Secondary Sorting'!AK31+'VIA Bag Sorting'!AK31</f>
        <v/>
      </c>
      <c r="AL31" s="7">
        <f>'BBB'!AL31+'Bag Staging'!AL31+'Bag Staging Volumetric'!AL31+'FWD FSM'!AL31+'FWD Manual Pre Primary'!AL31+'FWD Manual Primary'!AL31+'FWD Primary with Scan'!AL31+'FWD Secondary'!AL31+'FWD Volumetric'!AL31+'IB'!AL31+'IB Volumetric'!AL31+'OB'!AL31+'OB Volumetric'!AL31+'OSC Bag Sorting'!AL31+'OSC Bag Sorting Volumetric'!AL31+'REV FSM'!AL31+'Rejection Primary with Scan'!AL31+'Rejection Secondary'!AL31+'Rev DC DC Primary Sorting'!AL31+'Rev Primary (FSM Rejections)'!AL31+'Rev Secondary Sorting'!AL31+'VIA Bag Sorting'!AL31</f>
        <v/>
      </c>
      <c r="AM31" s="7">
        <f>'BBB'!AM31+'Bag Staging'!AM31+'Bag Staging Volumetric'!AM31+'FWD FSM'!AM31+'FWD Manual Pre Primary'!AM31+'FWD Manual Primary'!AM31+'FWD Primary with Scan'!AM31+'FWD Secondary'!AM31+'FWD Volumetric'!AM31+'IB'!AM31+'IB Volumetric'!AM31+'OB'!AM31+'OB Volumetric'!AM31+'OSC Bag Sorting'!AM31+'OSC Bag Sorting Volumetric'!AM31+'REV FSM'!AM31+'Rejection Primary with Scan'!AM31+'Rejection Secondary'!AM31+'Rev DC DC Primary Sorting'!AM31+'Rev Primary (FSM Rejections)'!AM31+'Rev Secondary Sorting'!AM31+'VIA Bag Sorting'!AM31</f>
        <v/>
      </c>
      <c r="AN31" s="7">
        <f>'BBB'!AN31+'Bag Staging'!AN31+'Bag Staging Volumetric'!AN31+'FWD FSM'!AN31+'FWD Manual Pre Primary'!AN31+'FWD Manual Primary'!AN31+'FWD Primary with Scan'!AN31+'FWD Secondary'!AN31+'FWD Volumetric'!AN31+'IB'!AN31+'IB Volumetric'!AN31+'OB'!AN31+'OB Volumetric'!AN31+'OSC Bag Sorting'!AN31+'OSC Bag Sorting Volumetric'!AN31+'REV FSM'!AN31+'Rejection Primary with Scan'!AN31+'Rejection Secondary'!AN31+'Rev DC DC Primary Sorting'!AN31+'Rev Primary (FSM Rejections)'!AN31+'Rev Secondary Sorting'!AN31+'VIA Bag Sorting'!AN31</f>
        <v/>
      </c>
      <c r="AO31" s="7">
        <f>'BBB'!AO31+'Bag Staging'!AO31+'Bag Staging Volumetric'!AO31+'FWD FSM'!AO31+'FWD Manual Pre Primary'!AO31+'FWD Manual Primary'!AO31+'FWD Primary with Scan'!AO31+'FWD Secondary'!AO31+'FWD Volumetric'!AO31+'IB'!AO31+'IB Volumetric'!AO31+'OB'!AO31+'OB Volumetric'!AO31+'OSC Bag Sorting'!AO31+'OSC Bag Sorting Volumetric'!AO31+'REV FSM'!AO31+'Rejection Primary with Scan'!AO31+'Rejection Secondary'!AO31+'Rev DC DC Primary Sorting'!AO31+'Rev Primary (FSM Rejections)'!AO31+'Rev Secondary Sorting'!AO31+'VIA Bag Sorting'!AO31</f>
        <v/>
      </c>
      <c r="AP31" s="7">
        <f>'BBB'!AP31+'Bag Staging'!AP31+'Bag Staging Volumetric'!AP31+'FWD FSM'!AP31+'FWD Manual Pre Primary'!AP31+'FWD Manual Primary'!AP31+'FWD Primary with Scan'!AP31+'FWD Secondary'!AP31+'FWD Volumetric'!AP31+'IB'!AP31+'IB Volumetric'!AP31+'OB'!AP31+'OB Volumetric'!AP31+'OSC Bag Sorting'!AP31+'OSC Bag Sorting Volumetric'!AP31+'REV FSM'!AP31+'Rejection Primary with Scan'!AP31+'Rejection Secondary'!AP31+'Rev DC DC Primary Sorting'!AP31+'Rev Primary (FSM Rejections)'!AP31+'Rev Secondary Sorting'!AP31+'VIA Bag Sorting'!AP31</f>
        <v/>
      </c>
      <c r="AQ31" s="7">
        <f>'BBB'!AQ31+'Bag Staging'!AQ31+'Bag Staging Volumetric'!AQ31+'FWD FSM'!AQ31+'FWD Manual Pre Primary'!AQ31+'FWD Manual Primary'!AQ31+'FWD Primary with Scan'!AQ31+'FWD Secondary'!AQ31+'FWD Volumetric'!AQ31+'IB'!AQ31+'IB Volumetric'!AQ31+'OB'!AQ31+'OB Volumetric'!AQ31+'OSC Bag Sorting'!AQ31+'OSC Bag Sorting Volumetric'!AQ31+'REV FSM'!AQ31+'Rejection Primary with Scan'!AQ31+'Rejection Secondary'!AQ31+'Rev DC DC Primary Sorting'!AQ31+'Rev Primary (FSM Rejections)'!AQ31+'Rev Secondary Sorting'!AQ31+'VIA Bag Sorting'!AQ31</f>
        <v/>
      </c>
      <c r="AR31" s="7">
        <f>'BBB'!AR31+'Bag Staging'!AR31+'Bag Staging Volumetric'!AR31+'FWD FSM'!AR31+'FWD Manual Pre Primary'!AR31+'FWD Manual Primary'!AR31+'FWD Primary with Scan'!AR31+'FWD Secondary'!AR31+'FWD Volumetric'!AR31+'IB'!AR31+'IB Volumetric'!AR31+'OB'!AR31+'OB Volumetric'!AR31+'OSC Bag Sorting'!AR31+'OSC Bag Sorting Volumetric'!AR31+'REV FSM'!AR31+'Rejection Primary with Scan'!AR31+'Rejection Secondary'!AR31+'Rev DC DC Primary Sorting'!AR31+'Rev Primary (FSM Rejections)'!AR31+'Rev Secondary Sorting'!AR31+'VIA Bag Sorting'!AR31</f>
        <v/>
      </c>
      <c r="AS31" s="7">
        <f>'BBB'!AS31+'Bag Staging'!AS31+'Bag Staging Volumetric'!AS31+'FWD FSM'!AS31+'FWD Manual Pre Primary'!AS31+'FWD Manual Primary'!AS31+'FWD Primary with Scan'!AS31+'FWD Secondary'!AS31+'FWD Volumetric'!AS31+'IB'!AS31+'IB Volumetric'!AS31+'OB'!AS31+'OB Volumetric'!AS31+'OSC Bag Sorting'!AS31+'OSC Bag Sorting Volumetric'!AS31+'REV FSM'!AS31+'Rejection Primary with Scan'!AS31+'Rejection Secondary'!AS31+'Rev DC DC Primary Sorting'!AS31+'Rev Primary (FSM Rejections)'!AS31+'Rev Secondary Sorting'!AS31+'VIA Bag Sorting'!AS31</f>
        <v/>
      </c>
      <c r="AT31" s="7">
        <f>'BBB'!AT31+'Bag Staging'!AT31+'Bag Staging Volumetric'!AT31+'FWD FSM'!AT31+'FWD Manual Pre Primary'!AT31+'FWD Manual Primary'!AT31+'FWD Primary with Scan'!AT31+'FWD Secondary'!AT31+'FWD Volumetric'!AT31+'IB'!AT31+'IB Volumetric'!AT31+'OB'!AT31+'OB Volumetric'!AT31+'OSC Bag Sorting'!AT31+'OSC Bag Sorting Volumetric'!AT31+'REV FSM'!AT31+'Rejection Primary with Scan'!AT31+'Rejection Secondary'!AT31+'Rev DC DC Primary Sorting'!AT31+'Rev Primary (FSM Rejections)'!AT31+'Rev Secondary Sorting'!AT31+'VIA Bag Sorting'!AT31</f>
        <v/>
      </c>
      <c r="AU31" s="7">
        <f>'BBB'!AU31+'Bag Staging'!AU31+'Bag Staging Volumetric'!AU31+'FWD FSM'!AU31+'FWD Manual Pre Primary'!AU31+'FWD Manual Primary'!AU31+'FWD Primary with Scan'!AU31+'FWD Secondary'!AU31+'FWD Volumetric'!AU31+'IB'!AU31+'IB Volumetric'!AU31+'OB'!AU31+'OB Volumetric'!AU31+'OSC Bag Sorting'!AU31+'OSC Bag Sorting Volumetric'!AU31+'REV FSM'!AU31+'Rejection Primary with Scan'!AU31+'Rejection Secondary'!AU31+'Rev DC DC Primary Sorting'!AU31+'Rev Primary (FSM Rejections)'!AU31+'Rev Secondary Sorting'!AU31+'VIA Bag Sorting'!AU31</f>
        <v/>
      </c>
      <c r="AV31" s="7">
        <f>'BBB'!AV31+'Bag Staging'!AV31+'Bag Staging Volumetric'!AV31+'FWD FSM'!AV31+'FWD Manual Pre Primary'!AV31+'FWD Manual Primary'!AV31+'FWD Primary with Scan'!AV31+'FWD Secondary'!AV31+'FWD Volumetric'!AV31+'IB'!AV31+'IB Volumetric'!AV31+'OB'!AV31+'OB Volumetric'!AV31+'OSC Bag Sorting'!AV31+'OSC Bag Sorting Volumetric'!AV31+'REV FSM'!AV31+'Rejection Primary with Scan'!AV31+'Rejection Secondary'!AV31+'Rev DC DC Primary Sorting'!AV31+'Rev Primary (FSM Rejections)'!AV31+'Rev Secondary Sorting'!AV31+'VIA Bag Sorting'!AV31</f>
        <v/>
      </c>
      <c r="AW31" s="7">
        <f>'BBB'!AW31+'Bag Staging'!AW31+'Bag Staging Volumetric'!AW31+'FWD FSM'!AW31+'FWD Manual Pre Primary'!AW31+'FWD Manual Primary'!AW31+'FWD Primary with Scan'!AW31+'FWD Secondary'!AW31+'FWD Volumetric'!AW31+'IB'!AW31+'IB Volumetric'!AW31+'OB'!AW31+'OB Volumetric'!AW31+'OSC Bag Sorting'!AW31+'OSC Bag Sorting Volumetric'!AW31+'REV FSM'!AW31+'Rejection Primary with Scan'!AW31+'Rejection Secondary'!AW31+'Rev DC DC Primary Sorting'!AW31+'Rev Primary (FSM Rejections)'!AW31+'Rev Secondary Sorting'!AW31+'VIA Bag Sorting'!AW31</f>
        <v/>
      </c>
      <c r="AX31" s="7">
        <f>'BBB'!AX31+'Bag Staging'!AX31+'Bag Staging Volumetric'!AX31+'FWD FSM'!AX31+'FWD Manual Pre Primary'!AX31+'FWD Manual Primary'!AX31+'FWD Primary with Scan'!AX31+'FWD Secondary'!AX31+'FWD Volumetric'!AX31+'IB'!AX31+'IB Volumetric'!AX31+'OB'!AX31+'OB Volumetric'!AX31+'OSC Bag Sorting'!AX31+'OSC Bag Sorting Volumetric'!AX31+'REV FSM'!AX31+'Rejection Primary with Scan'!AX31+'Rejection Secondary'!AX31+'Rev DC DC Primary Sorting'!AX31+'Rev Primary (FSM Rejections)'!AX31+'Rev Secondary Sorting'!AX31+'VIA Bag Sorting'!AX31</f>
        <v/>
      </c>
      <c r="AY31" s="7">
        <f>'BBB'!AY31+'Bag Staging'!AY31+'Bag Staging Volumetric'!AY31+'FWD FSM'!AY31+'FWD Manual Pre Primary'!AY31+'FWD Manual Primary'!AY31+'FWD Primary with Scan'!AY31+'FWD Secondary'!AY31+'FWD Volumetric'!AY31+'IB'!AY31+'IB Volumetric'!AY31+'OB'!AY31+'OB Volumetric'!AY31+'OSC Bag Sorting'!AY31+'OSC Bag Sorting Volumetric'!AY31+'REV FSM'!AY31+'Rejection Primary with Scan'!AY31+'Rejection Secondary'!AY31+'Rev DC DC Primary Sorting'!AY31+'Rev Primary (FSM Rejections)'!AY31+'Rev Secondary Sorting'!AY31+'VIA Bag Sorting'!AY31</f>
        <v/>
      </c>
      <c r="AZ31" s="7">
        <f>'BBB'!AZ31+'Bag Staging'!AZ31+'Bag Staging Volumetric'!AZ31+'FWD FSM'!AZ31+'FWD Manual Pre Primary'!AZ31+'FWD Manual Primary'!AZ31+'FWD Primary with Scan'!AZ31+'FWD Secondary'!AZ31+'FWD Volumetric'!AZ31+'IB'!AZ31+'IB Volumetric'!AZ31+'OB'!AZ31+'OB Volumetric'!AZ31+'OSC Bag Sorting'!AZ31+'OSC Bag Sorting Volumetric'!AZ31+'REV FSM'!AZ31+'Rejection Primary with Scan'!AZ31+'Rejection Secondary'!AZ31+'Rev DC DC Primary Sorting'!AZ31+'Rev Primary (FSM Rejections)'!AZ31+'Rev Secondary Sorting'!AZ31+'VIA Bag Sorting'!AZ31</f>
        <v/>
      </c>
      <c r="BA31" s="7">
        <f>'BBB'!BA31+'Bag Staging'!BA31+'Bag Staging Volumetric'!BA31+'FWD FSM'!BA31+'FWD Manual Pre Primary'!BA31+'FWD Manual Primary'!BA31+'FWD Primary with Scan'!BA31+'FWD Secondary'!BA31+'FWD Volumetric'!BA31+'IB'!BA31+'IB Volumetric'!BA31+'OB'!BA31+'OB Volumetric'!BA31+'OSC Bag Sorting'!BA31+'OSC Bag Sorting Volumetric'!BA31+'REV FSM'!BA31+'Rejection Primary with Scan'!BA31+'Rejection Secondary'!BA31+'Rev DC DC Primary Sorting'!BA31+'Rev Primary (FSM Rejections)'!BA31+'Rev Secondary Sorting'!BA31+'VIA Bag Sorting'!BA31</f>
        <v/>
      </c>
      <c r="BB31" s="7">
        <f>SUM(AD31:BA31)</f>
        <v/>
      </c>
    </row>
    <row r="32">
      <c r="A32" t="inlineStr">
        <is>
          <t>AMD-FK-SSC</t>
        </is>
      </c>
      <c r="B32" t="inlineStr">
        <is>
          <t>Prime at Client side</t>
        </is>
      </c>
      <c r="C32" s="5" t="n">
        <v>46095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42</v>
      </c>
      <c r="P32" s="6" t="n">
        <v>142</v>
      </c>
      <c r="Q32" s="6" t="n">
        <v>245</v>
      </c>
      <c r="R32" s="6" t="n">
        <v>105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>
        <f>SUM(D32:AA32)</f>
        <v/>
      </c>
      <c r="AC32" s="3" t="inlineStr"/>
      <c r="AD32" s="7">
        <f>'BBB'!AD32+'Bag Staging'!AD32+'Bag Staging Volumetric'!AD32+'FWD FSM'!AD32+'FWD Manual Pre Primary'!AD32+'FWD Manual Primary'!AD32+'FWD Primary with Scan'!AD32+'FWD Secondary'!AD32+'FWD Volumetric'!AD32+'IB'!AD32+'IB Volumetric'!AD32+'OB'!AD32+'OB Volumetric'!AD32+'OSC Bag Sorting'!AD32+'OSC Bag Sorting Volumetric'!AD32+'REV FSM'!AD32+'Rejection Primary with Scan'!AD32+'Rejection Secondary'!AD32+'Rev DC DC Primary Sorting'!AD32+'Rev Primary (FSM Rejections)'!AD32+'Rev Secondary Sorting'!AD32+'VIA Bag Sorting'!AD32</f>
        <v/>
      </c>
      <c r="AE32" s="7">
        <f>'BBB'!AE32+'Bag Staging'!AE32+'Bag Staging Volumetric'!AE32+'FWD FSM'!AE32+'FWD Manual Pre Primary'!AE32+'FWD Manual Primary'!AE32+'FWD Primary with Scan'!AE32+'FWD Secondary'!AE32+'FWD Volumetric'!AE32+'IB'!AE32+'IB Volumetric'!AE32+'OB'!AE32+'OB Volumetric'!AE32+'OSC Bag Sorting'!AE32+'OSC Bag Sorting Volumetric'!AE32+'REV FSM'!AE32+'Rejection Primary with Scan'!AE32+'Rejection Secondary'!AE32+'Rev DC DC Primary Sorting'!AE32+'Rev Primary (FSM Rejections)'!AE32+'Rev Secondary Sorting'!AE32+'VIA Bag Sorting'!AE32</f>
        <v/>
      </c>
      <c r="AF32" s="7">
        <f>'BBB'!AF32+'Bag Staging'!AF32+'Bag Staging Volumetric'!AF32+'FWD FSM'!AF32+'FWD Manual Pre Primary'!AF32+'FWD Manual Primary'!AF32+'FWD Primary with Scan'!AF32+'FWD Secondary'!AF32+'FWD Volumetric'!AF32+'IB'!AF32+'IB Volumetric'!AF32+'OB'!AF32+'OB Volumetric'!AF32+'OSC Bag Sorting'!AF32+'OSC Bag Sorting Volumetric'!AF32+'REV FSM'!AF32+'Rejection Primary with Scan'!AF32+'Rejection Secondary'!AF32+'Rev DC DC Primary Sorting'!AF32+'Rev Primary (FSM Rejections)'!AF32+'Rev Secondary Sorting'!AF32+'VIA Bag Sorting'!AF32</f>
        <v/>
      </c>
      <c r="AG32" s="7">
        <f>'BBB'!AG32+'Bag Staging'!AG32+'Bag Staging Volumetric'!AG32+'FWD FSM'!AG32+'FWD Manual Pre Primary'!AG32+'FWD Manual Primary'!AG32+'FWD Primary with Scan'!AG32+'FWD Secondary'!AG32+'FWD Volumetric'!AG32+'IB'!AG32+'IB Volumetric'!AG32+'OB'!AG32+'OB Volumetric'!AG32+'OSC Bag Sorting'!AG32+'OSC Bag Sorting Volumetric'!AG32+'REV FSM'!AG32+'Rejection Primary with Scan'!AG32+'Rejection Secondary'!AG32+'Rev DC DC Primary Sorting'!AG32+'Rev Primary (FSM Rejections)'!AG32+'Rev Secondary Sorting'!AG32+'VIA Bag Sorting'!AG32</f>
        <v/>
      </c>
      <c r="AH32" s="7">
        <f>'BBB'!AH32+'Bag Staging'!AH32+'Bag Staging Volumetric'!AH32+'FWD FSM'!AH32+'FWD Manual Pre Primary'!AH32+'FWD Manual Primary'!AH32+'FWD Primary with Scan'!AH32+'FWD Secondary'!AH32+'FWD Volumetric'!AH32+'IB'!AH32+'IB Volumetric'!AH32+'OB'!AH32+'OB Volumetric'!AH32+'OSC Bag Sorting'!AH32+'OSC Bag Sorting Volumetric'!AH32+'REV FSM'!AH32+'Rejection Primary with Scan'!AH32+'Rejection Secondary'!AH32+'Rev DC DC Primary Sorting'!AH32+'Rev Primary (FSM Rejections)'!AH32+'Rev Secondary Sorting'!AH32+'VIA Bag Sorting'!AH32</f>
        <v/>
      </c>
      <c r="AI32" s="7">
        <f>'BBB'!AI32+'Bag Staging'!AI32+'Bag Staging Volumetric'!AI32+'FWD FSM'!AI32+'FWD Manual Pre Primary'!AI32+'FWD Manual Primary'!AI32+'FWD Primary with Scan'!AI32+'FWD Secondary'!AI32+'FWD Volumetric'!AI32+'IB'!AI32+'IB Volumetric'!AI32+'OB'!AI32+'OB Volumetric'!AI32+'OSC Bag Sorting'!AI32+'OSC Bag Sorting Volumetric'!AI32+'REV FSM'!AI32+'Rejection Primary with Scan'!AI32+'Rejection Secondary'!AI32+'Rev DC DC Primary Sorting'!AI32+'Rev Primary (FSM Rejections)'!AI32+'Rev Secondary Sorting'!AI32+'VIA Bag Sorting'!AI32</f>
        <v/>
      </c>
      <c r="AJ32" s="7">
        <f>'BBB'!AJ32+'Bag Staging'!AJ32+'Bag Staging Volumetric'!AJ32+'FWD FSM'!AJ32+'FWD Manual Pre Primary'!AJ32+'FWD Manual Primary'!AJ32+'FWD Primary with Scan'!AJ32+'FWD Secondary'!AJ32+'FWD Volumetric'!AJ32+'IB'!AJ32+'IB Volumetric'!AJ32+'OB'!AJ32+'OB Volumetric'!AJ32+'OSC Bag Sorting'!AJ32+'OSC Bag Sorting Volumetric'!AJ32+'REV FSM'!AJ32+'Rejection Primary with Scan'!AJ32+'Rejection Secondary'!AJ32+'Rev DC DC Primary Sorting'!AJ32+'Rev Primary (FSM Rejections)'!AJ32+'Rev Secondary Sorting'!AJ32+'VIA Bag Sorting'!AJ32</f>
        <v/>
      </c>
      <c r="AK32" s="7">
        <f>'BBB'!AK32+'Bag Staging'!AK32+'Bag Staging Volumetric'!AK32+'FWD FSM'!AK32+'FWD Manual Pre Primary'!AK32+'FWD Manual Primary'!AK32+'FWD Primary with Scan'!AK32+'FWD Secondary'!AK32+'FWD Volumetric'!AK32+'IB'!AK32+'IB Volumetric'!AK32+'OB'!AK32+'OB Volumetric'!AK32+'OSC Bag Sorting'!AK32+'OSC Bag Sorting Volumetric'!AK32+'REV FSM'!AK32+'Rejection Primary with Scan'!AK32+'Rejection Secondary'!AK32+'Rev DC DC Primary Sorting'!AK32+'Rev Primary (FSM Rejections)'!AK32+'Rev Secondary Sorting'!AK32+'VIA Bag Sorting'!AK32</f>
        <v/>
      </c>
      <c r="AL32" s="7">
        <f>'BBB'!AL32+'Bag Staging'!AL32+'Bag Staging Volumetric'!AL32+'FWD FSM'!AL32+'FWD Manual Pre Primary'!AL32+'FWD Manual Primary'!AL32+'FWD Primary with Scan'!AL32+'FWD Secondary'!AL32+'FWD Volumetric'!AL32+'IB'!AL32+'IB Volumetric'!AL32+'OB'!AL32+'OB Volumetric'!AL32+'OSC Bag Sorting'!AL32+'OSC Bag Sorting Volumetric'!AL32+'REV FSM'!AL32+'Rejection Primary with Scan'!AL32+'Rejection Secondary'!AL32+'Rev DC DC Primary Sorting'!AL32+'Rev Primary (FSM Rejections)'!AL32+'Rev Secondary Sorting'!AL32+'VIA Bag Sorting'!AL32</f>
        <v/>
      </c>
      <c r="AM32" s="7">
        <f>'BBB'!AM32+'Bag Staging'!AM32+'Bag Staging Volumetric'!AM32+'FWD FSM'!AM32+'FWD Manual Pre Primary'!AM32+'FWD Manual Primary'!AM32+'FWD Primary with Scan'!AM32+'FWD Secondary'!AM32+'FWD Volumetric'!AM32+'IB'!AM32+'IB Volumetric'!AM32+'OB'!AM32+'OB Volumetric'!AM32+'OSC Bag Sorting'!AM32+'OSC Bag Sorting Volumetric'!AM32+'REV FSM'!AM32+'Rejection Primary with Scan'!AM32+'Rejection Secondary'!AM32+'Rev DC DC Primary Sorting'!AM32+'Rev Primary (FSM Rejections)'!AM32+'Rev Secondary Sorting'!AM32+'VIA Bag Sorting'!AM32</f>
        <v/>
      </c>
      <c r="AN32" s="7">
        <f>'BBB'!AN32+'Bag Staging'!AN32+'Bag Staging Volumetric'!AN32+'FWD FSM'!AN32+'FWD Manual Pre Primary'!AN32+'FWD Manual Primary'!AN32+'FWD Primary with Scan'!AN32+'FWD Secondary'!AN32+'FWD Volumetric'!AN32+'IB'!AN32+'IB Volumetric'!AN32+'OB'!AN32+'OB Volumetric'!AN32+'OSC Bag Sorting'!AN32+'OSC Bag Sorting Volumetric'!AN32+'REV FSM'!AN32+'Rejection Primary with Scan'!AN32+'Rejection Secondary'!AN32+'Rev DC DC Primary Sorting'!AN32+'Rev Primary (FSM Rejections)'!AN32+'Rev Secondary Sorting'!AN32+'VIA Bag Sorting'!AN32</f>
        <v/>
      </c>
      <c r="AO32" s="7">
        <f>'BBB'!AO32+'Bag Staging'!AO32+'Bag Staging Volumetric'!AO32+'FWD FSM'!AO32+'FWD Manual Pre Primary'!AO32+'FWD Manual Primary'!AO32+'FWD Primary with Scan'!AO32+'FWD Secondary'!AO32+'FWD Volumetric'!AO32+'IB'!AO32+'IB Volumetric'!AO32+'OB'!AO32+'OB Volumetric'!AO32+'OSC Bag Sorting'!AO32+'OSC Bag Sorting Volumetric'!AO32+'REV FSM'!AO32+'Rejection Primary with Scan'!AO32+'Rejection Secondary'!AO32+'Rev DC DC Primary Sorting'!AO32+'Rev Primary (FSM Rejections)'!AO32+'Rev Secondary Sorting'!AO32+'VIA Bag Sorting'!AO32</f>
        <v/>
      </c>
      <c r="AP32" s="7">
        <f>'BBB'!AP32+'Bag Staging'!AP32+'Bag Staging Volumetric'!AP32+'FWD FSM'!AP32+'FWD Manual Pre Primary'!AP32+'FWD Manual Primary'!AP32+'FWD Primary with Scan'!AP32+'FWD Secondary'!AP32+'FWD Volumetric'!AP32+'IB'!AP32+'IB Volumetric'!AP32+'OB'!AP32+'OB Volumetric'!AP32+'OSC Bag Sorting'!AP32+'OSC Bag Sorting Volumetric'!AP32+'REV FSM'!AP32+'Rejection Primary with Scan'!AP32+'Rejection Secondary'!AP32+'Rev DC DC Primary Sorting'!AP32+'Rev Primary (FSM Rejections)'!AP32+'Rev Secondary Sorting'!AP32+'VIA Bag Sorting'!AP32</f>
        <v/>
      </c>
      <c r="AQ32" s="7">
        <f>'BBB'!AQ32+'Bag Staging'!AQ32+'Bag Staging Volumetric'!AQ32+'FWD FSM'!AQ32+'FWD Manual Pre Primary'!AQ32+'FWD Manual Primary'!AQ32+'FWD Primary with Scan'!AQ32+'FWD Secondary'!AQ32+'FWD Volumetric'!AQ32+'IB'!AQ32+'IB Volumetric'!AQ32+'OB'!AQ32+'OB Volumetric'!AQ32+'OSC Bag Sorting'!AQ32+'OSC Bag Sorting Volumetric'!AQ32+'REV FSM'!AQ32+'Rejection Primary with Scan'!AQ32+'Rejection Secondary'!AQ32+'Rev DC DC Primary Sorting'!AQ32+'Rev Primary (FSM Rejections)'!AQ32+'Rev Secondary Sorting'!AQ32+'VIA Bag Sorting'!AQ32</f>
        <v/>
      </c>
      <c r="AR32" s="7">
        <f>'BBB'!AR32+'Bag Staging'!AR32+'Bag Staging Volumetric'!AR32+'FWD FSM'!AR32+'FWD Manual Pre Primary'!AR32+'FWD Manual Primary'!AR32+'FWD Primary with Scan'!AR32+'FWD Secondary'!AR32+'FWD Volumetric'!AR32+'IB'!AR32+'IB Volumetric'!AR32+'OB'!AR32+'OB Volumetric'!AR32+'OSC Bag Sorting'!AR32+'OSC Bag Sorting Volumetric'!AR32+'REV FSM'!AR32+'Rejection Primary with Scan'!AR32+'Rejection Secondary'!AR32+'Rev DC DC Primary Sorting'!AR32+'Rev Primary (FSM Rejections)'!AR32+'Rev Secondary Sorting'!AR32+'VIA Bag Sorting'!AR32</f>
        <v/>
      </c>
      <c r="AS32" s="7">
        <f>'BBB'!AS32+'Bag Staging'!AS32+'Bag Staging Volumetric'!AS32+'FWD FSM'!AS32+'FWD Manual Pre Primary'!AS32+'FWD Manual Primary'!AS32+'FWD Primary with Scan'!AS32+'FWD Secondary'!AS32+'FWD Volumetric'!AS32+'IB'!AS32+'IB Volumetric'!AS32+'OB'!AS32+'OB Volumetric'!AS32+'OSC Bag Sorting'!AS32+'OSC Bag Sorting Volumetric'!AS32+'REV FSM'!AS32+'Rejection Primary with Scan'!AS32+'Rejection Secondary'!AS32+'Rev DC DC Primary Sorting'!AS32+'Rev Primary (FSM Rejections)'!AS32+'Rev Secondary Sorting'!AS32+'VIA Bag Sorting'!AS32</f>
        <v/>
      </c>
      <c r="AT32" s="7">
        <f>'BBB'!AT32+'Bag Staging'!AT32+'Bag Staging Volumetric'!AT32+'FWD FSM'!AT32+'FWD Manual Pre Primary'!AT32+'FWD Manual Primary'!AT32+'FWD Primary with Scan'!AT32+'FWD Secondary'!AT32+'FWD Volumetric'!AT32+'IB'!AT32+'IB Volumetric'!AT32+'OB'!AT32+'OB Volumetric'!AT32+'OSC Bag Sorting'!AT32+'OSC Bag Sorting Volumetric'!AT32+'REV FSM'!AT32+'Rejection Primary with Scan'!AT32+'Rejection Secondary'!AT32+'Rev DC DC Primary Sorting'!AT32+'Rev Primary (FSM Rejections)'!AT32+'Rev Secondary Sorting'!AT32+'VIA Bag Sorting'!AT32</f>
        <v/>
      </c>
      <c r="AU32" s="7">
        <f>'BBB'!AU32+'Bag Staging'!AU32+'Bag Staging Volumetric'!AU32+'FWD FSM'!AU32+'FWD Manual Pre Primary'!AU32+'FWD Manual Primary'!AU32+'FWD Primary with Scan'!AU32+'FWD Secondary'!AU32+'FWD Volumetric'!AU32+'IB'!AU32+'IB Volumetric'!AU32+'OB'!AU32+'OB Volumetric'!AU32+'OSC Bag Sorting'!AU32+'OSC Bag Sorting Volumetric'!AU32+'REV FSM'!AU32+'Rejection Primary with Scan'!AU32+'Rejection Secondary'!AU32+'Rev DC DC Primary Sorting'!AU32+'Rev Primary (FSM Rejections)'!AU32+'Rev Secondary Sorting'!AU32+'VIA Bag Sorting'!AU32</f>
        <v/>
      </c>
      <c r="AV32" s="7">
        <f>'BBB'!AV32+'Bag Staging'!AV32+'Bag Staging Volumetric'!AV32+'FWD FSM'!AV32+'FWD Manual Pre Primary'!AV32+'FWD Manual Primary'!AV32+'FWD Primary with Scan'!AV32+'FWD Secondary'!AV32+'FWD Volumetric'!AV32+'IB'!AV32+'IB Volumetric'!AV32+'OB'!AV32+'OB Volumetric'!AV32+'OSC Bag Sorting'!AV32+'OSC Bag Sorting Volumetric'!AV32+'REV FSM'!AV32+'Rejection Primary with Scan'!AV32+'Rejection Secondary'!AV32+'Rev DC DC Primary Sorting'!AV32+'Rev Primary (FSM Rejections)'!AV32+'Rev Secondary Sorting'!AV32+'VIA Bag Sorting'!AV32</f>
        <v/>
      </c>
      <c r="AW32" s="7">
        <f>'BBB'!AW32+'Bag Staging'!AW32+'Bag Staging Volumetric'!AW32+'FWD FSM'!AW32+'FWD Manual Pre Primary'!AW32+'FWD Manual Primary'!AW32+'FWD Primary with Scan'!AW32+'FWD Secondary'!AW32+'FWD Volumetric'!AW32+'IB'!AW32+'IB Volumetric'!AW32+'OB'!AW32+'OB Volumetric'!AW32+'OSC Bag Sorting'!AW32+'OSC Bag Sorting Volumetric'!AW32+'REV FSM'!AW32+'Rejection Primary with Scan'!AW32+'Rejection Secondary'!AW32+'Rev DC DC Primary Sorting'!AW32+'Rev Primary (FSM Rejections)'!AW32+'Rev Secondary Sorting'!AW32+'VIA Bag Sorting'!AW32</f>
        <v/>
      </c>
      <c r="AX32" s="7">
        <f>'BBB'!AX32+'Bag Staging'!AX32+'Bag Staging Volumetric'!AX32+'FWD FSM'!AX32+'FWD Manual Pre Primary'!AX32+'FWD Manual Primary'!AX32+'FWD Primary with Scan'!AX32+'FWD Secondary'!AX32+'FWD Volumetric'!AX32+'IB'!AX32+'IB Volumetric'!AX32+'OB'!AX32+'OB Volumetric'!AX32+'OSC Bag Sorting'!AX32+'OSC Bag Sorting Volumetric'!AX32+'REV FSM'!AX32+'Rejection Primary with Scan'!AX32+'Rejection Secondary'!AX32+'Rev DC DC Primary Sorting'!AX32+'Rev Primary (FSM Rejections)'!AX32+'Rev Secondary Sorting'!AX32+'VIA Bag Sorting'!AX32</f>
        <v/>
      </c>
      <c r="AY32" s="7">
        <f>'BBB'!AY32+'Bag Staging'!AY32+'Bag Staging Volumetric'!AY32+'FWD FSM'!AY32+'FWD Manual Pre Primary'!AY32+'FWD Manual Primary'!AY32+'FWD Primary with Scan'!AY32+'FWD Secondary'!AY32+'FWD Volumetric'!AY32+'IB'!AY32+'IB Volumetric'!AY32+'OB'!AY32+'OB Volumetric'!AY32+'OSC Bag Sorting'!AY32+'OSC Bag Sorting Volumetric'!AY32+'REV FSM'!AY32+'Rejection Primary with Scan'!AY32+'Rejection Secondary'!AY32+'Rev DC DC Primary Sorting'!AY32+'Rev Primary (FSM Rejections)'!AY32+'Rev Secondary Sorting'!AY32+'VIA Bag Sorting'!AY32</f>
        <v/>
      </c>
      <c r="AZ32" s="7">
        <f>'BBB'!AZ32+'Bag Staging'!AZ32+'Bag Staging Volumetric'!AZ32+'FWD FSM'!AZ32+'FWD Manual Pre Primary'!AZ32+'FWD Manual Primary'!AZ32+'FWD Primary with Scan'!AZ32+'FWD Secondary'!AZ32+'FWD Volumetric'!AZ32+'IB'!AZ32+'IB Volumetric'!AZ32+'OB'!AZ32+'OB Volumetric'!AZ32+'OSC Bag Sorting'!AZ32+'OSC Bag Sorting Volumetric'!AZ32+'REV FSM'!AZ32+'Rejection Primary with Scan'!AZ32+'Rejection Secondary'!AZ32+'Rev DC DC Primary Sorting'!AZ32+'Rev Primary (FSM Rejections)'!AZ32+'Rev Secondary Sorting'!AZ32+'VIA Bag Sorting'!AZ32</f>
        <v/>
      </c>
      <c r="BA32" s="7">
        <f>'BBB'!BA32+'Bag Staging'!BA32+'Bag Staging Volumetric'!BA32+'FWD FSM'!BA32+'FWD Manual Pre Primary'!BA32+'FWD Manual Primary'!BA32+'FWD Primary with Scan'!BA32+'FWD Secondary'!BA32+'FWD Volumetric'!BA32+'IB'!BA32+'IB Volumetric'!BA32+'OB'!BA32+'OB Volumetric'!BA32+'OSC Bag Sorting'!BA32+'OSC Bag Sorting Volumetric'!BA32+'REV FSM'!BA32+'Rejection Primary with Scan'!BA32+'Rejection Secondary'!BA32+'Rev DC DC Primary Sorting'!BA32+'Rev Primary (FSM Rejections)'!BA32+'Rev Secondary Sorting'!BA32+'VIA Bag Sorting'!BA32</f>
        <v/>
      </c>
      <c r="BB32" s="7">
        <f>SUM(AD32:BA32)</f>
        <v/>
      </c>
    </row>
    <row r="33">
      <c r="A33" t="inlineStr">
        <is>
          <t>AMD-FK-SSC</t>
        </is>
      </c>
      <c r="B33" t="inlineStr">
        <is>
          <t>Prime at Client side</t>
        </is>
      </c>
      <c r="C33" s="5" t="n">
        <v>46096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63</v>
      </c>
      <c r="P33" s="6" t="n">
        <v>59</v>
      </c>
      <c r="Q33" s="6" t="n">
        <v>224</v>
      </c>
      <c r="R33" s="6" t="n">
        <v>96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6">
        <f>SUM(D33:AA33)</f>
        <v/>
      </c>
      <c r="AC33" s="3" t="inlineStr"/>
      <c r="AD33" s="7">
        <f>'BBB'!AD33+'Bag Staging'!AD33+'Bag Staging Volumetric'!AD33+'FWD FSM'!AD33+'FWD Manual Pre Primary'!AD33+'FWD Manual Primary'!AD33+'FWD Primary with Scan'!AD33+'FWD Secondary'!AD33+'FWD Volumetric'!AD33+'IB'!AD33+'IB Volumetric'!AD33+'OB'!AD33+'OB Volumetric'!AD33+'OSC Bag Sorting'!AD33+'OSC Bag Sorting Volumetric'!AD33+'REV FSM'!AD33+'Rejection Primary with Scan'!AD33+'Rejection Secondary'!AD33+'Rev DC DC Primary Sorting'!AD33+'Rev Primary (FSM Rejections)'!AD33+'Rev Secondary Sorting'!AD33+'VIA Bag Sorting'!AD33</f>
        <v/>
      </c>
      <c r="AE33" s="7">
        <f>'BBB'!AE33+'Bag Staging'!AE33+'Bag Staging Volumetric'!AE33+'FWD FSM'!AE33+'FWD Manual Pre Primary'!AE33+'FWD Manual Primary'!AE33+'FWD Primary with Scan'!AE33+'FWD Secondary'!AE33+'FWD Volumetric'!AE33+'IB'!AE33+'IB Volumetric'!AE33+'OB'!AE33+'OB Volumetric'!AE33+'OSC Bag Sorting'!AE33+'OSC Bag Sorting Volumetric'!AE33+'REV FSM'!AE33+'Rejection Primary with Scan'!AE33+'Rejection Secondary'!AE33+'Rev DC DC Primary Sorting'!AE33+'Rev Primary (FSM Rejections)'!AE33+'Rev Secondary Sorting'!AE33+'VIA Bag Sorting'!AE33</f>
        <v/>
      </c>
      <c r="AF33" s="7">
        <f>'BBB'!AF33+'Bag Staging'!AF33+'Bag Staging Volumetric'!AF33+'FWD FSM'!AF33+'FWD Manual Pre Primary'!AF33+'FWD Manual Primary'!AF33+'FWD Primary with Scan'!AF33+'FWD Secondary'!AF33+'FWD Volumetric'!AF33+'IB'!AF33+'IB Volumetric'!AF33+'OB'!AF33+'OB Volumetric'!AF33+'OSC Bag Sorting'!AF33+'OSC Bag Sorting Volumetric'!AF33+'REV FSM'!AF33+'Rejection Primary with Scan'!AF33+'Rejection Secondary'!AF33+'Rev DC DC Primary Sorting'!AF33+'Rev Primary (FSM Rejections)'!AF33+'Rev Secondary Sorting'!AF33+'VIA Bag Sorting'!AF33</f>
        <v/>
      </c>
      <c r="AG33" s="7">
        <f>'BBB'!AG33+'Bag Staging'!AG33+'Bag Staging Volumetric'!AG33+'FWD FSM'!AG33+'FWD Manual Pre Primary'!AG33+'FWD Manual Primary'!AG33+'FWD Primary with Scan'!AG33+'FWD Secondary'!AG33+'FWD Volumetric'!AG33+'IB'!AG33+'IB Volumetric'!AG33+'OB'!AG33+'OB Volumetric'!AG33+'OSC Bag Sorting'!AG33+'OSC Bag Sorting Volumetric'!AG33+'REV FSM'!AG33+'Rejection Primary with Scan'!AG33+'Rejection Secondary'!AG33+'Rev DC DC Primary Sorting'!AG33+'Rev Primary (FSM Rejections)'!AG33+'Rev Secondary Sorting'!AG33+'VIA Bag Sorting'!AG33</f>
        <v/>
      </c>
      <c r="AH33" s="7">
        <f>'BBB'!AH33+'Bag Staging'!AH33+'Bag Staging Volumetric'!AH33+'FWD FSM'!AH33+'FWD Manual Pre Primary'!AH33+'FWD Manual Primary'!AH33+'FWD Primary with Scan'!AH33+'FWD Secondary'!AH33+'FWD Volumetric'!AH33+'IB'!AH33+'IB Volumetric'!AH33+'OB'!AH33+'OB Volumetric'!AH33+'OSC Bag Sorting'!AH33+'OSC Bag Sorting Volumetric'!AH33+'REV FSM'!AH33+'Rejection Primary with Scan'!AH33+'Rejection Secondary'!AH33+'Rev DC DC Primary Sorting'!AH33+'Rev Primary (FSM Rejections)'!AH33+'Rev Secondary Sorting'!AH33+'VIA Bag Sorting'!AH33</f>
        <v/>
      </c>
      <c r="AI33" s="7">
        <f>'BBB'!AI33+'Bag Staging'!AI33+'Bag Staging Volumetric'!AI33+'FWD FSM'!AI33+'FWD Manual Pre Primary'!AI33+'FWD Manual Primary'!AI33+'FWD Primary with Scan'!AI33+'FWD Secondary'!AI33+'FWD Volumetric'!AI33+'IB'!AI33+'IB Volumetric'!AI33+'OB'!AI33+'OB Volumetric'!AI33+'OSC Bag Sorting'!AI33+'OSC Bag Sorting Volumetric'!AI33+'REV FSM'!AI33+'Rejection Primary with Scan'!AI33+'Rejection Secondary'!AI33+'Rev DC DC Primary Sorting'!AI33+'Rev Primary (FSM Rejections)'!AI33+'Rev Secondary Sorting'!AI33+'VIA Bag Sorting'!AI33</f>
        <v/>
      </c>
      <c r="AJ33" s="7">
        <f>'BBB'!AJ33+'Bag Staging'!AJ33+'Bag Staging Volumetric'!AJ33+'FWD FSM'!AJ33+'FWD Manual Pre Primary'!AJ33+'FWD Manual Primary'!AJ33+'FWD Primary with Scan'!AJ33+'FWD Secondary'!AJ33+'FWD Volumetric'!AJ33+'IB'!AJ33+'IB Volumetric'!AJ33+'OB'!AJ33+'OB Volumetric'!AJ33+'OSC Bag Sorting'!AJ33+'OSC Bag Sorting Volumetric'!AJ33+'REV FSM'!AJ33+'Rejection Primary with Scan'!AJ33+'Rejection Secondary'!AJ33+'Rev DC DC Primary Sorting'!AJ33+'Rev Primary (FSM Rejections)'!AJ33+'Rev Secondary Sorting'!AJ33+'VIA Bag Sorting'!AJ33</f>
        <v/>
      </c>
      <c r="AK33" s="7">
        <f>'BBB'!AK33+'Bag Staging'!AK33+'Bag Staging Volumetric'!AK33+'FWD FSM'!AK33+'FWD Manual Pre Primary'!AK33+'FWD Manual Primary'!AK33+'FWD Primary with Scan'!AK33+'FWD Secondary'!AK33+'FWD Volumetric'!AK33+'IB'!AK33+'IB Volumetric'!AK33+'OB'!AK33+'OB Volumetric'!AK33+'OSC Bag Sorting'!AK33+'OSC Bag Sorting Volumetric'!AK33+'REV FSM'!AK33+'Rejection Primary with Scan'!AK33+'Rejection Secondary'!AK33+'Rev DC DC Primary Sorting'!AK33+'Rev Primary (FSM Rejections)'!AK33+'Rev Secondary Sorting'!AK33+'VIA Bag Sorting'!AK33</f>
        <v/>
      </c>
      <c r="AL33" s="7">
        <f>'BBB'!AL33+'Bag Staging'!AL33+'Bag Staging Volumetric'!AL33+'FWD FSM'!AL33+'FWD Manual Pre Primary'!AL33+'FWD Manual Primary'!AL33+'FWD Primary with Scan'!AL33+'FWD Secondary'!AL33+'FWD Volumetric'!AL33+'IB'!AL33+'IB Volumetric'!AL33+'OB'!AL33+'OB Volumetric'!AL33+'OSC Bag Sorting'!AL33+'OSC Bag Sorting Volumetric'!AL33+'REV FSM'!AL33+'Rejection Primary with Scan'!AL33+'Rejection Secondary'!AL33+'Rev DC DC Primary Sorting'!AL33+'Rev Primary (FSM Rejections)'!AL33+'Rev Secondary Sorting'!AL33+'VIA Bag Sorting'!AL33</f>
        <v/>
      </c>
      <c r="AM33" s="7">
        <f>'BBB'!AM33+'Bag Staging'!AM33+'Bag Staging Volumetric'!AM33+'FWD FSM'!AM33+'FWD Manual Pre Primary'!AM33+'FWD Manual Primary'!AM33+'FWD Primary with Scan'!AM33+'FWD Secondary'!AM33+'FWD Volumetric'!AM33+'IB'!AM33+'IB Volumetric'!AM33+'OB'!AM33+'OB Volumetric'!AM33+'OSC Bag Sorting'!AM33+'OSC Bag Sorting Volumetric'!AM33+'REV FSM'!AM33+'Rejection Primary with Scan'!AM33+'Rejection Secondary'!AM33+'Rev DC DC Primary Sorting'!AM33+'Rev Primary (FSM Rejections)'!AM33+'Rev Secondary Sorting'!AM33+'VIA Bag Sorting'!AM33</f>
        <v/>
      </c>
      <c r="AN33" s="7">
        <f>'BBB'!AN33+'Bag Staging'!AN33+'Bag Staging Volumetric'!AN33+'FWD FSM'!AN33+'FWD Manual Pre Primary'!AN33+'FWD Manual Primary'!AN33+'FWD Primary with Scan'!AN33+'FWD Secondary'!AN33+'FWD Volumetric'!AN33+'IB'!AN33+'IB Volumetric'!AN33+'OB'!AN33+'OB Volumetric'!AN33+'OSC Bag Sorting'!AN33+'OSC Bag Sorting Volumetric'!AN33+'REV FSM'!AN33+'Rejection Primary with Scan'!AN33+'Rejection Secondary'!AN33+'Rev DC DC Primary Sorting'!AN33+'Rev Primary (FSM Rejections)'!AN33+'Rev Secondary Sorting'!AN33+'VIA Bag Sorting'!AN33</f>
        <v/>
      </c>
      <c r="AO33" s="7">
        <f>'BBB'!AO33+'Bag Staging'!AO33+'Bag Staging Volumetric'!AO33+'FWD FSM'!AO33+'FWD Manual Pre Primary'!AO33+'FWD Manual Primary'!AO33+'FWD Primary with Scan'!AO33+'FWD Secondary'!AO33+'FWD Volumetric'!AO33+'IB'!AO33+'IB Volumetric'!AO33+'OB'!AO33+'OB Volumetric'!AO33+'OSC Bag Sorting'!AO33+'OSC Bag Sorting Volumetric'!AO33+'REV FSM'!AO33+'Rejection Primary with Scan'!AO33+'Rejection Secondary'!AO33+'Rev DC DC Primary Sorting'!AO33+'Rev Primary (FSM Rejections)'!AO33+'Rev Secondary Sorting'!AO33+'VIA Bag Sorting'!AO33</f>
        <v/>
      </c>
      <c r="AP33" s="7">
        <f>'BBB'!AP33+'Bag Staging'!AP33+'Bag Staging Volumetric'!AP33+'FWD FSM'!AP33+'FWD Manual Pre Primary'!AP33+'FWD Manual Primary'!AP33+'FWD Primary with Scan'!AP33+'FWD Secondary'!AP33+'FWD Volumetric'!AP33+'IB'!AP33+'IB Volumetric'!AP33+'OB'!AP33+'OB Volumetric'!AP33+'OSC Bag Sorting'!AP33+'OSC Bag Sorting Volumetric'!AP33+'REV FSM'!AP33+'Rejection Primary with Scan'!AP33+'Rejection Secondary'!AP33+'Rev DC DC Primary Sorting'!AP33+'Rev Primary (FSM Rejections)'!AP33+'Rev Secondary Sorting'!AP33+'VIA Bag Sorting'!AP33</f>
        <v/>
      </c>
      <c r="AQ33" s="7">
        <f>'BBB'!AQ33+'Bag Staging'!AQ33+'Bag Staging Volumetric'!AQ33+'FWD FSM'!AQ33+'FWD Manual Pre Primary'!AQ33+'FWD Manual Primary'!AQ33+'FWD Primary with Scan'!AQ33+'FWD Secondary'!AQ33+'FWD Volumetric'!AQ33+'IB'!AQ33+'IB Volumetric'!AQ33+'OB'!AQ33+'OB Volumetric'!AQ33+'OSC Bag Sorting'!AQ33+'OSC Bag Sorting Volumetric'!AQ33+'REV FSM'!AQ33+'Rejection Primary with Scan'!AQ33+'Rejection Secondary'!AQ33+'Rev DC DC Primary Sorting'!AQ33+'Rev Primary (FSM Rejections)'!AQ33+'Rev Secondary Sorting'!AQ33+'VIA Bag Sorting'!AQ33</f>
        <v/>
      </c>
      <c r="AR33" s="7">
        <f>'BBB'!AR33+'Bag Staging'!AR33+'Bag Staging Volumetric'!AR33+'FWD FSM'!AR33+'FWD Manual Pre Primary'!AR33+'FWD Manual Primary'!AR33+'FWD Primary with Scan'!AR33+'FWD Secondary'!AR33+'FWD Volumetric'!AR33+'IB'!AR33+'IB Volumetric'!AR33+'OB'!AR33+'OB Volumetric'!AR33+'OSC Bag Sorting'!AR33+'OSC Bag Sorting Volumetric'!AR33+'REV FSM'!AR33+'Rejection Primary with Scan'!AR33+'Rejection Secondary'!AR33+'Rev DC DC Primary Sorting'!AR33+'Rev Primary (FSM Rejections)'!AR33+'Rev Secondary Sorting'!AR33+'VIA Bag Sorting'!AR33</f>
        <v/>
      </c>
      <c r="AS33" s="7">
        <f>'BBB'!AS33+'Bag Staging'!AS33+'Bag Staging Volumetric'!AS33+'FWD FSM'!AS33+'FWD Manual Pre Primary'!AS33+'FWD Manual Primary'!AS33+'FWD Primary with Scan'!AS33+'FWD Secondary'!AS33+'FWD Volumetric'!AS33+'IB'!AS33+'IB Volumetric'!AS33+'OB'!AS33+'OB Volumetric'!AS33+'OSC Bag Sorting'!AS33+'OSC Bag Sorting Volumetric'!AS33+'REV FSM'!AS33+'Rejection Primary with Scan'!AS33+'Rejection Secondary'!AS33+'Rev DC DC Primary Sorting'!AS33+'Rev Primary (FSM Rejections)'!AS33+'Rev Secondary Sorting'!AS33+'VIA Bag Sorting'!AS33</f>
        <v/>
      </c>
      <c r="AT33" s="7">
        <f>'BBB'!AT33+'Bag Staging'!AT33+'Bag Staging Volumetric'!AT33+'FWD FSM'!AT33+'FWD Manual Pre Primary'!AT33+'FWD Manual Primary'!AT33+'FWD Primary with Scan'!AT33+'FWD Secondary'!AT33+'FWD Volumetric'!AT33+'IB'!AT33+'IB Volumetric'!AT33+'OB'!AT33+'OB Volumetric'!AT33+'OSC Bag Sorting'!AT33+'OSC Bag Sorting Volumetric'!AT33+'REV FSM'!AT33+'Rejection Primary with Scan'!AT33+'Rejection Secondary'!AT33+'Rev DC DC Primary Sorting'!AT33+'Rev Primary (FSM Rejections)'!AT33+'Rev Secondary Sorting'!AT33+'VIA Bag Sorting'!AT33</f>
        <v/>
      </c>
      <c r="AU33" s="7">
        <f>'BBB'!AU33+'Bag Staging'!AU33+'Bag Staging Volumetric'!AU33+'FWD FSM'!AU33+'FWD Manual Pre Primary'!AU33+'FWD Manual Primary'!AU33+'FWD Primary with Scan'!AU33+'FWD Secondary'!AU33+'FWD Volumetric'!AU33+'IB'!AU33+'IB Volumetric'!AU33+'OB'!AU33+'OB Volumetric'!AU33+'OSC Bag Sorting'!AU33+'OSC Bag Sorting Volumetric'!AU33+'REV FSM'!AU33+'Rejection Primary with Scan'!AU33+'Rejection Secondary'!AU33+'Rev DC DC Primary Sorting'!AU33+'Rev Primary (FSM Rejections)'!AU33+'Rev Secondary Sorting'!AU33+'VIA Bag Sorting'!AU33</f>
        <v/>
      </c>
      <c r="AV33" s="7">
        <f>'BBB'!AV33+'Bag Staging'!AV33+'Bag Staging Volumetric'!AV33+'FWD FSM'!AV33+'FWD Manual Pre Primary'!AV33+'FWD Manual Primary'!AV33+'FWD Primary with Scan'!AV33+'FWD Secondary'!AV33+'FWD Volumetric'!AV33+'IB'!AV33+'IB Volumetric'!AV33+'OB'!AV33+'OB Volumetric'!AV33+'OSC Bag Sorting'!AV33+'OSC Bag Sorting Volumetric'!AV33+'REV FSM'!AV33+'Rejection Primary with Scan'!AV33+'Rejection Secondary'!AV33+'Rev DC DC Primary Sorting'!AV33+'Rev Primary (FSM Rejections)'!AV33+'Rev Secondary Sorting'!AV33+'VIA Bag Sorting'!AV33</f>
        <v/>
      </c>
      <c r="AW33" s="7">
        <f>'BBB'!AW33+'Bag Staging'!AW33+'Bag Staging Volumetric'!AW33+'FWD FSM'!AW33+'FWD Manual Pre Primary'!AW33+'FWD Manual Primary'!AW33+'FWD Primary with Scan'!AW33+'FWD Secondary'!AW33+'FWD Volumetric'!AW33+'IB'!AW33+'IB Volumetric'!AW33+'OB'!AW33+'OB Volumetric'!AW33+'OSC Bag Sorting'!AW33+'OSC Bag Sorting Volumetric'!AW33+'REV FSM'!AW33+'Rejection Primary with Scan'!AW33+'Rejection Secondary'!AW33+'Rev DC DC Primary Sorting'!AW33+'Rev Primary (FSM Rejections)'!AW33+'Rev Secondary Sorting'!AW33+'VIA Bag Sorting'!AW33</f>
        <v/>
      </c>
      <c r="AX33" s="7">
        <f>'BBB'!AX33+'Bag Staging'!AX33+'Bag Staging Volumetric'!AX33+'FWD FSM'!AX33+'FWD Manual Pre Primary'!AX33+'FWD Manual Primary'!AX33+'FWD Primary with Scan'!AX33+'FWD Secondary'!AX33+'FWD Volumetric'!AX33+'IB'!AX33+'IB Volumetric'!AX33+'OB'!AX33+'OB Volumetric'!AX33+'OSC Bag Sorting'!AX33+'OSC Bag Sorting Volumetric'!AX33+'REV FSM'!AX33+'Rejection Primary with Scan'!AX33+'Rejection Secondary'!AX33+'Rev DC DC Primary Sorting'!AX33+'Rev Primary (FSM Rejections)'!AX33+'Rev Secondary Sorting'!AX33+'VIA Bag Sorting'!AX33</f>
        <v/>
      </c>
      <c r="AY33" s="7">
        <f>'BBB'!AY33+'Bag Staging'!AY33+'Bag Staging Volumetric'!AY33+'FWD FSM'!AY33+'FWD Manual Pre Primary'!AY33+'FWD Manual Primary'!AY33+'FWD Primary with Scan'!AY33+'FWD Secondary'!AY33+'FWD Volumetric'!AY33+'IB'!AY33+'IB Volumetric'!AY33+'OB'!AY33+'OB Volumetric'!AY33+'OSC Bag Sorting'!AY33+'OSC Bag Sorting Volumetric'!AY33+'REV FSM'!AY33+'Rejection Primary with Scan'!AY33+'Rejection Secondary'!AY33+'Rev DC DC Primary Sorting'!AY33+'Rev Primary (FSM Rejections)'!AY33+'Rev Secondary Sorting'!AY33+'VIA Bag Sorting'!AY33</f>
        <v/>
      </c>
      <c r="AZ33" s="7">
        <f>'BBB'!AZ33+'Bag Staging'!AZ33+'Bag Staging Volumetric'!AZ33+'FWD FSM'!AZ33+'FWD Manual Pre Primary'!AZ33+'FWD Manual Primary'!AZ33+'FWD Primary with Scan'!AZ33+'FWD Secondary'!AZ33+'FWD Volumetric'!AZ33+'IB'!AZ33+'IB Volumetric'!AZ33+'OB'!AZ33+'OB Volumetric'!AZ33+'OSC Bag Sorting'!AZ33+'OSC Bag Sorting Volumetric'!AZ33+'REV FSM'!AZ33+'Rejection Primary with Scan'!AZ33+'Rejection Secondary'!AZ33+'Rev DC DC Primary Sorting'!AZ33+'Rev Primary (FSM Rejections)'!AZ33+'Rev Secondary Sorting'!AZ33+'VIA Bag Sorting'!AZ33</f>
        <v/>
      </c>
      <c r="BA33" s="7">
        <f>'BBB'!BA33+'Bag Staging'!BA33+'Bag Staging Volumetric'!BA33+'FWD FSM'!BA33+'FWD Manual Pre Primary'!BA33+'FWD Manual Primary'!BA33+'FWD Primary with Scan'!BA33+'FWD Secondary'!BA33+'FWD Volumetric'!BA33+'IB'!BA33+'IB Volumetric'!BA33+'OB'!BA33+'OB Volumetric'!BA33+'OSC Bag Sorting'!BA33+'OSC Bag Sorting Volumetric'!BA33+'REV FSM'!BA33+'Rejection Primary with Scan'!BA33+'Rejection Secondary'!BA33+'Rev DC DC Primary Sorting'!BA33+'Rev Primary (FSM Rejections)'!BA33+'Rev Secondary Sorting'!BA33+'VIA Bag Sorting'!BA33</f>
        <v/>
      </c>
      <c r="BB33" s="7">
        <f>SUM(AD33:BA33)</f>
        <v/>
      </c>
    </row>
    <row r="34">
      <c r="A34" t="inlineStr">
        <is>
          <t>AMD-FK-SSC</t>
        </is>
      </c>
      <c r="B34" t="inlineStr">
        <is>
          <t>Prime at Client side</t>
        </is>
      </c>
      <c r="C34" s="5" t="n">
        <v>46097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142</v>
      </c>
      <c r="P34" s="6" t="n">
        <v>63</v>
      </c>
      <c r="Q34" s="6" t="n">
        <v>185</v>
      </c>
      <c r="R34" s="6" t="n">
        <v>46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>
        <f>SUM(D34:AA34)</f>
        <v/>
      </c>
      <c r="AC34" s="3" t="inlineStr"/>
      <c r="AD34" s="7">
        <f>'BBB'!AD34+'Bag Staging'!AD34+'Bag Staging Volumetric'!AD34+'FWD FSM'!AD34+'FWD Manual Pre Primary'!AD34+'FWD Manual Primary'!AD34+'FWD Primary with Scan'!AD34+'FWD Secondary'!AD34+'FWD Volumetric'!AD34+'IB'!AD34+'IB Volumetric'!AD34+'OB'!AD34+'OB Volumetric'!AD34+'OSC Bag Sorting'!AD34+'OSC Bag Sorting Volumetric'!AD34+'REV FSM'!AD34+'Rejection Primary with Scan'!AD34+'Rejection Secondary'!AD34+'Rev DC DC Primary Sorting'!AD34+'Rev Primary (FSM Rejections)'!AD34+'Rev Secondary Sorting'!AD34+'VIA Bag Sorting'!AD34</f>
        <v/>
      </c>
      <c r="AE34" s="7">
        <f>'BBB'!AE34+'Bag Staging'!AE34+'Bag Staging Volumetric'!AE34+'FWD FSM'!AE34+'FWD Manual Pre Primary'!AE34+'FWD Manual Primary'!AE34+'FWD Primary with Scan'!AE34+'FWD Secondary'!AE34+'FWD Volumetric'!AE34+'IB'!AE34+'IB Volumetric'!AE34+'OB'!AE34+'OB Volumetric'!AE34+'OSC Bag Sorting'!AE34+'OSC Bag Sorting Volumetric'!AE34+'REV FSM'!AE34+'Rejection Primary with Scan'!AE34+'Rejection Secondary'!AE34+'Rev DC DC Primary Sorting'!AE34+'Rev Primary (FSM Rejections)'!AE34+'Rev Secondary Sorting'!AE34+'VIA Bag Sorting'!AE34</f>
        <v/>
      </c>
      <c r="AF34" s="7">
        <f>'BBB'!AF34+'Bag Staging'!AF34+'Bag Staging Volumetric'!AF34+'FWD FSM'!AF34+'FWD Manual Pre Primary'!AF34+'FWD Manual Primary'!AF34+'FWD Primary with Scan'!AF34+'FWD Secondary'!AF34+'FWD Volumetric'!AF34+'IB'!AF34+'IB Volumetric'!AF34+'OB'!AF34+'OB Volumetric'!AF34+'OSC Bag Sorting'!AF34+'OSC Bag Sorting Volumetric'!AF34+'REV FSM'!AF34+'Rejection Primary with Scan'!AF34+'Rejection Secondary'!AF34+'Rev DC DC Primary Sorting'!AF34+'Rev Primary (FSM Rejections)'!AF34+'Rev Secondary Sorting'!AF34+'VIA Bag Sorting'!AF34</f>
        <v/>
      </c>
      <c r="AG34" s="7">
        <f>'BBB'!AG34+'Bag Staging'!AG34+'Bag Staging Volumetric'!AG34+'FWD FSM'!AG34+'FWD Manual Pre Primary'!AG34+'FWD Manual Primary'!AG34+'FWD Primary with Scan'!AG34+'FWD Secondary'!AG34+'FWD Volumetric'!AG34+'IB'!AG34+'IB Volumetric'!AG34+'OB'!AG34+'OB Volumetric'!AG34+'OSC Bag Sorting'!AG34+'OSC Bag Sorting Volumetric'!AG34+'REV FSM'!AG34+'Rejection Primary with Scan'!AG34+'Rejection Secondary'!AG34+'Rev DC DC Primary Sorting'!AG34+'Rev Primary (FSM Rejections)'!AG34+'Rev Secondary Sorting'!AG34+'VIA Bag Sorting'!AG34</f>
        <v/>
      </c>
      <c r="AH34" s="7">
        <f>'BBB'!AH34+'Bag Staging'!AH34+'Bag Staging Volumetric'!AH34+'FWD FSM'!AH34+'FWD Manual Pre Primary'!AH34+'FWD Manual Primary'!AH34+'FWD Primary with Scan'!AH34+'FWD Secondary'!AH34+'FWD Volumetric'!AH34+'IB'!AH34+'IB Volumetric'!AH34+'OB'!AH34+'OB Volumetric'!AH34+'OSC Bag Sorting'!AH34+'OSC Bag Sorting Volumetric'!AH34+'REV FSM'!AH34+'Rejection Primary with Scan'!AH34+'Rejection Secondary'!AH34+'Rev DC DC Primary Sorting'!AH34+'Rev Primary (FSM Rejections)'!AH34+'Rev Secondary Sorting'!AH34+'VIA Bag Sorting'!AH34</f>
        <v/>
      </c>
      <c r="AI34" s="7">
        <f>'BBB'!AI34+'Bag Staging'!AI34+'Bag Staging Volumetric'!AI34+'FWD FSM'!AI34+'FWD Manual Pre Primary'!AI34+'FWD Manual Primary'!AI34+'FWD Primary with Scan'!AI34+'FWD Secondary'!AI34+'FWD Volumetric'!AI34+'IB'!AI34+'IB Volumetric'!AI34+'OB'!AI34+'OB Volumetric'!AI34+'OSC Bag Sorting'!AI34+'OSC Bag Sorting Volumetric'!AI34+'REV FSM'!AI34+'Rejection Primary with Scan'!AI34+'Rejection Secondary'!AI34+'Rev DC DC Primary Sorting'!AI34+'Rev Primary (FSM Rejections)'!AI34+'Rev Secondary Sorting'!AI34+'VIA Bag Sorting'!AI34</f>
        <v/>
      </c>
      <c r="AJ34" s="7">
        <f>'BBB'!AJ34+'Bag Staging'!AJ34+'Bag Staging Volumetric'!AJ34+'FWD FSM'!AJ34+'FWD Manual Pre Primary'!AJ34+'FWD Manual Primary'!AJ34+'FWD Primary with Scan'!AJ34+'FWD Secondary'!AJ34+'FWD Volumetric'!AJ34+'IB'!AJ34+'IB Volumetric'!AJ34+'OB'!AJ34+'OB Volumetric'!AJ34+'OSC Bag Sorting'!AJ34+'OSC Bag Sorting Volumetric'!AJ34+'REV FSM'!AJ34+'Rejection Primary with Scan'!AJ34+'Rejection Secondary'!AJ34+'Rev DC DC Primary Sorting'!AJ34+'Rev Primary (FSM Rejections)'!AJ34+'Rev Secondary Sorting'!AJ34+'VIA Bag Sorting'!AJ34</f>
        <v/>
      </c>
      <c r="AK34" s="7">
        <f>'BBB'!AK34+'Bag Staging'!AK34+'Bag Staging Volumetric'!AK34+'FWD FSM'!AK34+'FWD Manual Pre Primary'!AK34+'FWD Manual Primary'!AK34+'FWD Primary with Scan'!AK34+'FWD Secondary'!AK34+'FWD Volumetric'!AK34+'IB'!AK34+'IB Volumetric'!AK34+'OB'!AK34+'OB Volumetric'!AK34+'OSC Bag Sorting'!AK34+'OSC Bag Sorting Volumetric'!AK34+'REV FSM'!AK34+'Rejection Primary with Scan'!AK34+'Rejection Secondary'!AK34+'Rev DC DC Primary Sorting'!AK34+'Rev Primary (FSM Rejections)'!AK34+'Rev Secondary Sorting'!AK34+'VIA Bag Sorting'!AK34</f>
        <v/>
      </c>
      <c r="AL34" s="7">
        <f>'BBB'!AL34+'Bag Staging'!AL34+'Bag Staging Volumetric'!AL34+'FWD FSM'!AL34+'FWD Manual Pre Primary'!AL34+'FWD Manual Primary'!AL34+'FWD Primary with Scan'!AL34+'FWD Secondary'!AL34+'FWD Volumetric'!AL34+'IB'!AL34+'IB Volumetric'!AL34+'OB'!AL34+'OB Volumetric'!AL34+'OSC Bag Sorting'!AL34+'OSC Bag Sorting Volumetric'!AL34+'REV FSM'!AL34+'Rejection Primary with Scan'!AL34+'Rejection Secondary'!AL34+'Rev DC DC Primary Sorting'!AL34+'Rev Primary (FSM Rejections)'!AL34+'Rev Secondary Sorting'!AL34+'VIA Bag Sorting'!AL34</f>
        <v/>
      </c>
      <c r="AM34" s="7">
        <f>'BBB'!AM34+'Bag Staging'!AM34+'Bag Staging Volumetric'!AM34+'FWD FSM'!AM34+'FWD Manual Pre Primary'!AM34+'FWD Manual Primary'!AM34+'FWD Primary with Scan'!AM34+'FWD Secondary'!AM34+'FWD Volumetric'!AM34+'IB'!AM34+'IB Volumetric'!AM34+'OB'!AM34+'OB Volumetric'!AM34+'OSC Bag Sorting'!AM34+'OSC Bag Sorting Volumetric'!AM34+'REV FSM'!AM34+'Rejection Primary with Scan'!AM34+'Rejection Secondary'!AM34+'Rev DC DC Primary Sorting'!AM34+'Rev Primary (FSM Rejections)'!AM34+'Rev Secondary Sorting'!AM34+'VIA Bag Sorting'!AM34</f>
        <v/>
      </c>
      <c r="AN34" s="7">
        <f>'BBB'!AN34+'Bag Staging'!AN34+'Bag Staging Volumetric'!AN34+'FWD FSM'!AN34+'FWD Manual Pre Primary'!AN34+'FWD Manual Primary'!AN34+'FWD Primary with Scan'!AN34+'FWD Secondary'!AN34+'FWD Volumetric'!AN34+'IB'!AN34+'IB Volumetric'!AN34+'OB'!AN34+'OB Volumetric'!AN34+'OSC Bag Sorting'!AN34+'OSC Bag Sorting Volumetric'!AN34+'REV FSM'!AN34+'Rejection Primary with Scan'!AN34+'Rejection Secondary'!AN34+'Rev DC DC Primary Sorting'!AN34+'Rev Primary (FSM Rejections)'!AN34+'Rev Secondary Sorting'!AN34+'VIA Bag Sorting'!AN34</f>
        <v/>
      </c>
      <c r="AO34" s="7">
        <f>'BBB'!AO34+'Bag Staging'!AO34+'Bag Staging Volumetric'!AO34+'FWD FSM'!AO34+'FWD Manual Pre Primary'!AO34+'FWD Manual Primary'!AO34+'FWD Primary with Scan'!AO34+'FWD Secondary'!AO34+'FWD Volumetric'!AO34+'IB'!AO34+'IB Volumetric'!AO34+'OB'!AO34+'OB Volumetric'!AO34+'OSC Bag Sorting'!AO34+'OSC Bag Sorting Volumetric'!AO34+'REV FSM'!AO34+'Rejection Primary with Scan'!AO34+'Rejection Secondary'!AO34+'Rev DC DC Primary Sorting'!AO34+'Rev Primary (FSM Rejections)'!AO34+'Rev Secondary Sorting'!AO34+'VIA Bag Sorting'!AO34</f>
        <v/>
      </c>
      <c r="AP34" s="7">
        <f>'BBB'!AP34+'Bag Staging'!AP34+'Bag Staging Volumetric'!AP34+'FWD FSM'!AP34+'FWD Manual Pre Primary'!AP34+'FWD Manual Primary'!AP34+'FWD Primary with Scan'!AP34+'FWD Secondary'!AP34+'FWD Volumetric'!AP34+'IB'!AP34+'IB Volumetric'!AP34+'OB'!AP34+'OB Volumetric'!AP34+'OSC Bag Sorting'!AP34+'OSC Bag Sorting Volumetric'!AP34+'REV FSM'!AP34+'Rejection Primary with Scan'!AP34+'Rejection Secondary'!AP34+'Rev DC DC Primary Sorting'!AP34+'Rev Primary (FSM Rejections)'!AP34+'Rev Secondary Sorting'!AP34+'VIA Bag Sorting'!AP34</f>
        <v/>
      </c>
      <c r="AQ34" s="7">
        <f>'BBB'!AQ34+'Bag Staging'!AQ34+'Bag Staging Volumetric'!AQ34+'FWD FSM'!AQ34+'FWD Manual Pre Primary'!AQ34+'FWD Manual Primary'!AQ34+'FWD Primary with Scan'!AQ34+'FWD Secondary'!AQ34+'FWD Volumetric'!AQ34+'IB'!AQ34+'IB Volumetric'!AQ34+'OB'!AQ34+'OB Volumetric'!AQ34+'OSC Bag Sorting'!AQ34+'OSC Bag Sorting Volumetric'!AQ34+'REV FSM'!AQ34+'Rejection Primary with Scan'!AQ34+'Rejection Secondary'!AQ34+'Rev DC DC Primary Sorting'!AQ34+'Rev Primary (FSM Rejections)'!AQ34+'Rev Secondary Sorting'!AQ34+'VIA Bag Sorting'!AQ34</f>
        <v/>
      </c>
      <c r="AR34" s="7">
        <f>'BBB'!AR34+'Bag Staging'!AR34+'Bag Staging Volumetric'!AR34+'FWD FSM'!AR34+'FWD Manual Pre Primary'!AR34+'FWD Manual Primary'!AR34+'FWD Primary with Scan'!AR34+'FWD Secondary'!AR34+'FWD Volumetric'!AR34+'IB'!AR34+'IB Volumetric'!AR34+'OB'!AR34+'OB Volumetric'!AR34+'OSC Bag Sorting'!AR34+'OSC Bag Sorting Volumetric'!AR34+'REV FSM'!AR34+'Rejection Primary with Scan'!AR34+'Rejection Secondary'!AR34+'Rev DC DC Primary Sorting'!AR34+'Rev Primary (FSM Rejections)'!AR34+'Rev Secondary Sorting'!AR34+'VIA Bag Sorting'!AR34</f>
        <v/>
      </c>
      <c r="AS34" s="7">
        <f>'BBB'!AS34+'Bag Staging'!AS34+'Bag Staging Volumetric'!AS34+'FWD FSM'!AS34+'FWD Manual Pre Primary'!AS34+'FWD Manual Primary'!AS34+'FWD Primary with Scan'!AS34+'FWD Secondary'!AS34+'FWD Volumetric'!AS34+'IB'!AS34+'IB Volumetric'!AS34+'OB'!AS34+'OB Volumetric'!AS34+'OSC Bag Sorting'!AS34+'OSC Bag Sorting Volumetric'!AS34+'REV FSM'!AS34+'Rejection Primary with Scan'!AS34+'Rejection Secondary'!AS34+'Rev DC DC Primary Sorting'!AS34+'Rev Primary (FSM Rejections)'!AS34+'Rev Secondary Sorting'!AS34+'VIA Bag Sorting'!AS34</f>
        <v/>
      </c>
      <c r="AT34" s="7">
        <f>'BBB'!AT34+'Bag Staging'!AT34+'Bag Staging Volumetric'!AT34+'FWD FSM'!AT34+'FWD Manual Pre Primary'!AT34+'FWD Manual Primary'!AT34+'FWD Primary with Scan'!AT34+'FWD Secondary'!AT34+'FWD Volumetric'!AT34+'IB'!AT34+'IB Volumetric'!AT34+'OB'!AT34+'OB Volumetric'!AT34+'OSC Bag Sorting'!AT34+'OSC Bag Sorting Volumetric'!AT34+'REV FSM'!AT34+'Rejection Primary with Scan'!AT34+'Rejection Secondary'!AT34+'Rev DC DC Primary Sorting'!AT34+'Rev Primary (FSM Rejections)'!AT34+'Rev Secondary Sorting'!AT34+'VIA Bag Sorting'!AT34</f>
        <v/>
      </c>
      <c r="AU34" s="7">
        <f>'BBB'!AU34+'Bag Staging'!AU34+'Bag Staging Volumetric'!AU34+'FWD FSM'!AU34+'FWD Manual Pre Primary'!AU34+'FWD Manual Primary'!AU34+'FWD Primary with Scan'!AU34+'FWD Secondary'!AU34+'FWD Volumetric'!AU34+'IB'!AU34+'IB Volumetric'!AU34+'OB'!AU34+'OB Volumetric'!AU34+'OSC Bag Sorting'!AU34+'OSC Bag Sorting Volumetric'!AU34+'REV FSM'!AU34+'Rejection Primary with Scan'!AU34+'Rejection Secondary'!AU34+'Rev DC DC Primary Sorting'!AU34+'Rev Primary (FSM Rejections)'!AU34+'Rev Secondary Sorting'!AU34+'VIA Bag Sorting'!AU34</f>
        <v/>
      </c>
      <c r="AV34" s="7">
        <f>'BBB'!AV34+'Bag Staging'!AV34+'Bag Staging Volumetric'!AV34+'FWD FSM'!AV34+'FWD Manual Pre Primary'!AV34+'FWD Manual Primary'!AV34+'FWD Primary with Scan'!AV34+'FWD Secondary'!AV34+'FWD Volumetric'!AV34+'IB'!AV34+'IB Volumetric'!AV34+'OB'!AV34+'OB Volumetric'!AV34+'OSC Bag Sorting'!AV34+'OSC Bag Sorting Volumetric'!AV34+'REV FSM'!AV34+'Rejection Primary with Scan'!AV34+'Rejection Secondary'!AV34+'Rev DC DC Primary Sorting'!AV34+'Rev Primary (FSM Rejections)'!AV34+'Rev Secondary Sorting'!AV34+'VIA Bag Sorting'!AV34</f>
        <v/>
      </c>
      <c r="AW34" s="7">
        <f>'BBB'!AW34+'Bag Staging'!AW34+'Bag Staging Volumetric'!AW34+'FWD FSM'!AW34+'FWD Manual Pre Primary'!AW34+'FWD Manual Primary'!AW34+'FWD Primary with Scan'!AW34+'FWD Secondary'!AW34+'FWD Volumetric'!AW34+'IB'!AW34+'IB Volumetric'!AW34+'OB'!AW34+'OB Volumetric'!AW34+'OSC Bag Sorting'!AW34+'OSC Bag Sorting Volumetric'!AW34+'REV FSM'!AW34+'Rejection Primary with Scan'!AW34+'Rejection Secondary'!AW34+'Rev DC DC Primary Sorting'!AW34+'Rev Primary (FSM Rejections)'!AW34+'Rev Secondary Sorting'!AW34+'VIA Bag Sorting'!AW34</f>
        <v/>
      </c>
      <c r="AX34" s="7">
        <f>'BBB'!AX34+'Bag Staging'!AX34+'Bag Staging Volumetric'!AX34+'FWD FSM'!AX34+'FWD Manual Pre Primary'!AX34+'FWD Manual Primary'!AX34+'FWD Primary with Scan'!AX34+'FWD Secondary'!AX34+'FWD Volumetric'!AX34+'IB'!AX34+'IB Volumetric'!AX34+'OB'!AX34+'OB Volumetric'!AX34+'OSC Bag Sorting'!AX34+'OSC Bag Sorting Volumetric'!AX34+'REV FSM'!AX34+'Rejection Primary with Scan'!AX34+'Rejection Secondary'!AX34+'Rev DC DC Primary Sorting'!AX34+'Rev Primary (FSM Rejections)'!AX34+'Rev Secondary Sorting'!AX34+'VIA Bag Sorting'!AX34</f>
        <v/>
      </c>
      <c r="AY34" s="7">
        <f>'BBB'!AY34+'Bag Staging'!AY34+'Bag Staging Volumetric'!AY34+'FWD FSM'!AY34+'FWD Manual Pre Primary'!AY34+'FWD Manual Primary'!AY34+'FWD Primary with Scan'!AY34+'FWD Secondary'!AY34+'FWD Volumetric'!AY34+'IB'!AY34+'IB Volumetric'!AY34+'OB'!AY34+'OB Volumetric'!AY34+'OSC Bag Sorting'!AY34+'OSC Bag Sorting Volumetric'!AY34+'REV FSM'!AY34+'Rejection Primary with Scan'!AY34+'Rejection Secondary'!AY34+'Rev DC DC Primary Sorting'!AY34+'Rev Primary (FSM Rejections)'!AY34+'Rev Secondary Sorting'!AY34+'VIA Bag Sorting'!AY34</f>
        <v/>
      </c>
      <c r="AZ34" s="7">
        <f>'BBB'!AZ34+'Bag Staging'!AZ34+'Bag Staging Volumetric'!AZ34+'FWD FSM'!AZ34+'FWD Manual Pre Primary'!AZ34+'FWD Manual Primary'!AZ34+'FWD Primary with Scan'!AZ34+'FWD Secondary'!AZ34+'FWD Volumetric'!AZ34+'IB'!AZ34+'IB Volumetric'!AZ34+'OB'!AZ34+'OB Volumetric'!AZ34+'OSC Bag Sorting'!AZ34+'OSC Bag Sorting Volumetric'!AZ34+'REV FSM'!AZ34+'Rejection Primary with Scan'!AZ34+'Rejection Secondary'!AZ34+'Rev DC DC Primary Sorting'!AZ34+'Rev Primary (FSM Rejections)'!AZ34+'Rev Secondary Sorting'!AZ34+'VIA Bag Sorting'!AZ34</f>
        <v/>
      </c>
      <c r="BA34" s="7">
        <f>'BBB'!BA34+'Bag Staging'!BA34+'Bag Staging Volumetric'!BA34+'FWD FSM'!BA34+'FWD Manual Pre Primary'!BA34+'FWD Manual Primary'!BA34+'FWD Primary with Scan'!BA34+'FWD Secondary'!BA34+'FWD Volumetric'!BA34+'IB'!BA34+'IB Volumetric'!BA34+'OB'!BA34+'OB Volumetric'!BA34+'OSC Bag Sorting'!BA34+'OSC Bag Sorting Volumetric'!BA34+'REV FSM'!BA34+'Rejection Primary with Scan'!BA34+'Rejection Secondary'!BA34+'Rev DC DC Primary Sorting'!BA34+'Rev Primary (FSM Rejections)'!BA34+'Rev Secondary Sorting'!BA34+'VIA Bag Sorting'!BA34</f>
        <v/>
      </c>
      <c r="BB34" s="7">
        <f>SUM(AD34:BA34)</f>
        <v/>
      </c>
    </row>
    <row r="35">
      <c r="A35" t="inlineStr">
        <is>
          <t>AMD-FK-SSC</t>
        </is>
      </c>
      <c r="B35" t="inlineStr">
        <is>
          <t>Prime at Client side</t>
        </is>
      </c>
      <c r="C35" s="5" t="n">
        <v>46098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67</v>
      </c>
      <c r="Q35" s="6" t="n">
        <v>149</v>
      </c>
      <c r="R35" s="6" t="n">
        <v>167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>
        <f>SUM(D35:AA35)</f>
        <v/>
      </c>
      <c r="AC35" s="3" t="inlineStr"/>
      <c r="AD35" s="7">
        <f>'BBB'!AD35+'Bag Staging'!AD35+'Bag Staging Volumetric'!AD35+'FWD FSM'!AD35+'FWD Manual Pre Primary'!AD35+'FWD Manual Primary'!AD35+'FWD Primary with Scan'!AD35+'FWD Secondary'!AD35+'FWD Volumetric'!AD35+'IB'!AD35+'IB Volumetric'!AD35+'OB'!AD35+'OB Volumetric'!AD35+'OSC Bag Sorting'!AD35+'OSC Bag Sorting Volumetric'!AD35+'REV FSM'!AD35+'Rejection Primary with Scan'!AD35+'Rejection Secondary'!AD35+'Rev DC DC Primary Sorting'!AD35+'Rev Primary (FSM Rejections)'!AD35+'Rev Secondary Sorting'!AD35+'VIA Bag Sorting'!AD35</f>
        <v/>
      </c>
      <c r="AE35" s="7">
        <f>'BBB'!AE35+'Bag Staging'!AE35+'Bag Staging Volumetric'!AE35+'FWD FSM'!AE35+'FWD Manual Pre Primary'!AE35+'FWD Manual Primary'!AE35+'FWD Primary with Scan'!AE35+'FWD Secondary'!AE35+'FWD Volumetric'!AE35+'IB'!AE35+'IB Volumetric'!AE35+'OB'!AE35+'OB Volumetric'!AE35+'OSC Bag Sorting'!AE35+'OSC Bag Sorting Volumetric'!AE35+'REV FSM'!AE35+'Rejection Primary with Scan'!AE35+'Rejection Secondary'!AE35+'Rev DC DC Primary Sorting'!AE35+'Rev Primary (FSM Rejections)'!AE35+'Rev Secondary Sorting'!AE35+'VIA Bag Sorting'!AE35</f>
        <v/>
      </c>
      <c r="AF35" s="7">
        <f>'BBB'!AF35+'Bag Staging'!AF35+'Bag Staging Volumetric'!AF35+'FWD FSM'!AF35+'FWD Manual Pre Primary'!AF35+'FWD Manual Primary'!AF35+'FWD Primary with Scan'!AF35+'FWD Secondary'!AF35+'FWD Volumetric'!AF35+'IB'!AF35+'IB Volumetric'!AF35+'OB'!AF35+'OB Volumetric'!AF35+'OSC Bag Sorting'!AF35+'OSC Bag Sorting Volumetric'!AF35+'REV FSM'!AF35+'Rejection Primary with Scan'!AF35+'Rejection Secondary'!AF35+'Rev DC DC Primary Sorting'!AF35+'Rev Primary (FSM Rejections)'!AF35+'Rev Secondary Sorting'!AF35+'VIA Bag Sorting'!AF35</f>
        <v/>
      </c>
      <c r="AG35" s="7">
        <f>'BBB'!AG35+'Bag Staging'!AG35+'Bag Staging Volumetric'!AG35+'FWD FSM'!AG35+'FWD Manual Pre Primary'!AG35+'FWD Manual Primary'!AG35+'FWD Primary with Scan'!AG35+'FWD Secondary'!AG35+'FWD Volumetric'!AG35+'IB'!AG35+'IB Volumetric'!AG35+'OB'!AG35+'OB Volumetric'!AG35+'OSC Bag Sorting'!AG35+'OSC Bag Sorting Volumetric'!AG35+'REV FSM'!AG35+'Rejection Primary with Scan'!AG35+'Rejection Secondary'!AG35+'Rev DC DC Primary Sorting'!AG35+'Rev Primary (FSM Rejections)'!AG35+'Rev Secondary Sorting'!AG35+'VIA Bag Sorting'!AG35</f>
        <v/>
      </c>
      <c r="AH35" s="7">
        <f>'BBB'!AH35+'Bag Staging'!AH35+'Bag Staging Volumetric'!AH35+'FWD FSM'!AH35+'FWD Manual Pre Primary'!AH35+'FWD Manual Primary'!AH35+'FWD Primary with Scan'!AH35+'FWD Secondary'!AH35+'FWD Volumetric'!AH35+'IB'!AH35+'IB Volumetric'!AH35+'OB'!AH35+'OB Volumetric'!AH35+'OSC Bag Sorting'!AH35+'OSC Bag Sorting Volumetric'!AH35+'REV FSM'!AH35+'Rejection Primary with Scan'!AH35+'Rejection Secondary'!AH35+'Rev DC DC Primary Sorting'!AH35+'Rev Primary (FSM Rejections)'!AH35+'Rev Secondary Sorting'!AH35+'VIA Bag Sorting'!AH35</f>
        <v/>
      </c>
      <c r="AI35" s="7">
        <f>'BBB'!AI35+'Bag Staging'!AI35+'Bag Staging Volumetric'!AI35+'FWD FSM'!AI35+'FWD Manual Pre Primary'!AI35+'FWD Manual Primary'!AI35+'FWD Primary with Scan'!AI35+'FWD Secondary'!AI35+'FWD Volumetric'!AI35+'IB'!AI35+'IB Volumetric'!AI35+'OB'!AI35+'OB Volumetric'!AI35+'OSC Bag Sorting'!AI35+'OSC Bag Sorting Volumetric'!AI35+'REV FSM'!AI35+'Rejection Primary with Scan'!AI35+'Rejection Secondary'!AI35+'Rev DC DC Primary Sorting'!AI35+'Rev Primary (FSM Rejections)'!AI35+'Rev Secondary Sorting'!AI35+'VIA Bag Sorting'!AI35</f>
        <v/>
      </c>
      <c r="AJ35" s="7">
        <f>'BBB'!AJ35+'Bag Staging'!AJ35+'Bag Staging Volumetric'!AJ35+'FWD FSM'!AJ35+'FWD Manual Pre Primary'!AJ35+'FWD Manual Primary'!AJ35+'FWD Primary with Scan'!AJ35+'FWD Secondary'!AJ35+'FWD Volumetric'!AJ35+'IB'!AJ35+'IB Volumetric'!AJ35+'OB'!AJ35+'OB Volumetric'!AJ35+'OSC Bag Sorting'!AJ35+'OSC Bag Sorting Volumetric'!AJ35+'REV FSM'!AJ35+'Rejection Primary with Scan'!AJ35+'Rejection Secondary'!AJ35+'Rev DC DC Primary Sorting'!AJ35+'Rev Primary (FSM Rejections)'!AJ35+'Rev Secondary Sorting'!AJ35+'VIA Bag Sorting'!AJ35</f>
        <v/>
      </c>
      <c r="AK35" s="7">
        <f>'BBB'!AK35+'Bag Staging'!AK35+'Bag Staging Volumetric'!AK35+'FWD FSM'!AK35+'FWD Manual Pre Primary'!AK35+'FWD Manual Primary'!AK35+'FWD Primary with Scan'!AK35+'FWD Secondary'!AK35+'FWD Volumetric'!AK35+'IB'!AK35+'IB Volumetric'!AK35+'OB'!AK35+'OB Volumetric'!AK35+'OSC Bag Sorting'!AK35+'OSC Bag Sorting Volumetric'!AK35+'REV FSM'!AK35+'Rejection Primary with Scan'!AK35+'Rejection Secondary'!AK35+'Rev DC DC Primary Sorting'!AK35+'Rev Primary (FSM Rejections)'!AK35+'Rev Secondary Sorting'!AK35+'VIA Bag Sorting'!AK35</f>
        <v/>
      </c>
      <c r="AL35" s="7">
        <f>'BBB'!AL35+'Bag Staging'!AL35+'Bag Staging Volumetric'!AL35+'FWD FSM'!AL35+'FWD Manual Pre Primary'!AL35+'FWD Manual Primary'!AL35+'FWD Primary with Scan'!AL35+'FWD Secondary'!AL35+'FWD Volumetric'!AL35+'IB'!AL35+'IB Volumetric'!AL35+'OB'!AL35+'OB Volumetric'!AL35+'OSC Bag Sorting'!AL35+'OSC Bag Sorting Volumetric'!AL35+'REV FSM'!AL35+'Rejection Primary with Scan'!AL35+'Rejection Secondary'!AL35+'Rev DC DC Primary Sorting'!AL35+'Rev Primary (FSM Rejections)'!AL35+'Rev Secondary Sorting'!AL35+'VIA Bag Sorting'!AL35</f>
        <v/>
      </c>
      <c r="AM35" s="7">
        <f>'BBB'!AM35+'Bag Staging'!AM35+'Bag Staging Volumetric'!AM35+'FWD FSM'!AM35+'FWD Manual Pre Primary'!AM35+'FWD Manual Primary'!AM35+'FWD Primary with Scan'!AM35+'FWD Secondary'!AM35+'FWD Volumetric'!AM35+'IB'!AM35+'IB Volumetric'!AM35+'OB'!AM35+'OB Volumetric'!AM35+'OSC Bag Sorting'!AM35+'OSC Bag Sorting Volumetric'!AM35+'REV FSM'!AM35+'Rejection Primary with Scan'!AM35+'Rejection Secondary'!AM35+'Rev DC DC Primary Sorting'!AM35+'Rev Primary (FSM Rejections)'!AM35+'Rev Secondary Sorting'!AM35+'VIA Bag Sorting'!AM35</f>
        <v/>
      </c>
      <c r="AN35" s="7">
        <f>'BBB'!AN35+'Bag Staging'!AN35+'Bag Staging Volumetric'!AN35+'FWD FSM'!AN35+'FWD Manual Pre Primary'!AN35+'FWD Manual Primary'!AN35+'FWD Primary with Scan'!AN35+'FWD Secondary'!AN35+'FWD Volumetric'!AN35+'IB'!AN35+'IB Volumetric'!AN35+'OB'!AN35+'OB Volumetric'!AN35+'OSC Bag Sorting'!AN35+'OSC Bag Sorting Volumetric'!AN35+'REV FSM'!AN35+'Rejection Primary with Scan'!AN35+'Rejection Secondary'!AN35+'Rev DC DC Primary Sorting'!AN35+'Rev Primary (FSM Rejections)'!AN35+'Rev Secondary Sorting'!AN35+'VIA Bag Sorting'!AN35</f>
        <v/>
      </c>
      <c r="AO35" s="7">
        <f>'BBB'!AO35+'Bag Staging'!AO35+'Bag Staging Volumetric'!AO35+'FWD FSM'!AO35+'FWD Manual Pre Primary'!AO35+'FWD Manual Primary'!AO35+'FWD Primary with Scan'!AO35+'FWD Secondary'!AO35+'FWD Volumetric'!AO35+'IB'!AO35+'IB Volumetric'!AO35+'OB'!AO35+'OB Volumetric'!AO35+'OSC Bag Sorting'!AO35+'OSC Bag Sorting Volumetric'!AO35+'REV FSM'!AO35+'Rejection Primary with Scan'!AO35+'Rejection Secondary'!AO35+'Rev DC DC Primary Sorting'!AO35+'Rev Primary (FSM Rejections)'!AO35+'Rev Secondary Sorting'!AO35+'VIA Bag Sorting'!AO35</f>
        <v/>
      </c>
      <c r="AP35" s="7">
        <f>'BBB'!AP35+'Bag Staging'!AP35+'Bag Staging Volumetric'!AP35+'FWD FSM'!AP35+'FWD Manual Pre Primary'!AP35+'FWD Manual Primary'!AP35+'FWD Primary with Scan'!AP35+'FWD Secondary'!AP35+'FWD Volumetric'!AP35+'IB'!AP35+'IB Volumetric'!AP35+'OB'!AP35+'OB Volumetric'!AP35+'OSC Bag Sorting'!AP35+'OSC Bag Sorting Volumetric'!AP35+'REV FSM'!AP35+'Rejection Primary with Scan'!AP35+'Rejection Secondary'!AP35+'Rev DC DC Primary Sorting'!AP35+'Rev Primary (FSM Rejections)'!AP35+'Rev Secondary Sorting'!AP35+'VIA Bag Sorting'!AP35</f>
        <v/>
      </c>
      <c r="AQ35" s="7">
        <f>'BBB'!AQ35+'Bag Staging'!AQ35+'Bag Staging Volumetric'!AQ35+'FWD FSM'!AQ35+'FWD Manual Pre Primary'!AQ35+'FWD Manual Primary'!AQ35+'FWD Primary with Scan'!AQ35+'FWD Secondary'!AQ35+'FWD Volumetric'!AQ35+'IB'!AQ35+'IB Volumetric'!AQ35+'OB'!AQ35+'OB Volumetric'!AQ35+'OSC Bag Sorting'!AQ35+'OSC Bag Sorting Volumetric'!AQ35+'REV FSM'!AQ35+'Rejection Primary with Scan'!AQ35+'Rejection Secondary'!AQ35+'Rev DC DC Primary Sorting'!AQ35+'Rev Primary (FSM Rejections)'!AQ35+'Rev Secondary Sorting'!AQ35+'VIA Bag Sorting'!AQ35</f>
        <v/>
      </c>
      <c r="AR35" s="7">
        <f>'BBB'!AR35+'Bag Staging'!AR35+'Bag Staging Volumetric'!AR35+'FWD FSM'!AR35+'FWD Manual Pre Primary'!AR35+'FWD Manual Primary'!AR35+'FWD Primary with Scan'!AR35+'FWD Secondary'!AR35+'FWD Volumetric'!AR35+'IB'!AR35+'IB Volumetric'!AR35+'OB'!AR35+'OB Volumetric'!AR35+'OSC Bag Sorting'!AR35+'OSC Bag Sorting Volumetric'!AR35+'REV FSM'!AR35+'Rejection Primary with Scan'!AR35+'Rejection Secondary'!AR35+'Rev DC DC Primary Sorting'!AR35+'Rev Primary (FSM Rejections)'!AR35+'Rev Secondary Sorting'!AR35+'VIA Bag Sorting'!AR35</f>
        <v/>
      </c>
      <c r="AS35" s="7">
        <f>'BBB'!AS35+'Bag Staging'!AS35+'Bag Staging Volumetric'!AS35+'FWD FSM'!AS35+'FWD Manual Pre Primary'!AS35+'FWD Manual Primary'!AS35+'FWD Primary with Scan'!AS35+'FWD Secondary'!AS35+'FWD Volumetric'!AS35+'IB'!AS35+'IB Volumetric'!AS35+'OB'!AS35+'OB Volumetric'!AS35+'OSC Bag Sorting'!AS35+'OSC Bag Sorting Volumetric'!AS35+'REV FSM'!AS35+'Rejection Primary with Scan'!AS35+'Rejection Secondary'!AS35+'Rev DC DC Primary Sorting'!AS35+'Rev Primary (FSM Rejections)'!AS35+'Rev Secondary Sorting'!AS35+'VIA Bag Sorting'!AS35</f>
        <v/>
      </c>
      <c r="AT35" s="7">
        <f>'BBB'!AT35+'Bag Staging'!AT35+'Bag Staging Volumetric'!AT35+'FWD FSM'!AT35+'FWD Manual Pre Primary'!AT35+'FWD Manual Primary'!AT35+'FWD Primary with Scan'!AT35+'FWD Secondary'!AT35+'FWD Volumetric'!AT35+'IB'!AT35+'IB Volumetric'!AT35+'OB'!AT35+'OB Volumetric'!AT35+'OSC Bag Sorting'!AT35+'OSC Bag Sorting Volumetric'!AT35+'REV FSM'!AT35+'Rejection Primary with Scan'!AT35+'Rejection Secondary'!AT35+'Rev DC DC Primary Sorting'!AT35+'Rev Primary (FSM Rejections)'!AT35+'Rev Secondary Sorting'!AT35+'VIA Bag Sorting'!AT35</f>
        <v/>
      </c>
      <c r="AU35" s="7">
        <f>'BBB'!AU35+'Bag Staging'!AU35+'Bag Staging Volumetric'!AU35+'FWD FSM'!AU35+'FWD Manual Pre Primary'!AU35+'FWD Manual Primary'!AU35+'FWD Primary with Scan'!AU35+'FWD Secondary'!AU35+'FWD Volumetric'!AU35+'IB'!AU35+'IB Volumetric'!AU35+'OB'!AU35+'OB Volumetric'!AU35+'OSC Bag Sorting'!AU35+'OSC Bag Sorting Volumetric'!AU35+'REV FSM'!AU35+'Rejection Primary with Scan'!AU35+'Rejection Secondary'!AU35+'Rev DC DC Primary Sorting'!AU35+'Rev Primary (FSM Rejections)'!AU35+'Rev Secondary Sorting'!AU35+'VIA Bag Sorting'!AU35</f>
        <v/>
      </c>
      <c r="AV35" s="7">
        <f>'BBB'!AV35+'Bag Staging'!AV35+'Bag Staging Volumetric'!AV35+'FWD FSM'!AV35+'FWD Manual Pre Primary'!AV35+'FWD Manual Primary'!AV35+'FWD Primary with Scan'!AV35+'FWD Secondary'!AV35+'FWD Volumetric'!AV35+'IB'!AV35+'IB Volumetric'!AV35+'OB'!AV35+'OB Volumetric'!AV35+'OSC Bag Sorting'!AV35+'OSC Bag Sorting Volumetric'!AV35+'REV FSM'!AV35+'Rejection Primary with Scan'!AV35+'Rejection Secondary'!AV35+'Rev DC DC Primary Sorting'!AV35+'Rev Primary (FSM Rejections)'!AV35+'Rev Secondary Sorting'!AV35+'VIA Bag Sorting'!AV35</f>
        <v/>
      </c>
      <c r="AW35" s="7">
        <f>'BBB'!AW35+'Bag Staging'!AW35+'Bag Staging Volumetric'!AW35+'FWD FSM'!AW35+'FWD Manual Pre Primary'!AW35+'FWD Manual Primary'!AW35+'FWD Primary with Scan'!AW35+'FWD Secondary'!AW35+'FWD Volumetric'!AW35+'IB'!AW35+'IB Volumetric'!AW35+'OB'!AW35+'OB Volumetric'!AW35+'OSC Bag Sorting'!AW35+'OSC Bag Sorting Volumetric'!AW35+'REV FSM'!AW35+'Rejection Primary with Scan'!AW35+'Rejection Secondary'!AW35+'Rev DC DC Primary Sorting'!AW35+'Rev Primary (FSM Rejections)'!AW35+'Rev Secondary Sorting'!AW35+'VIA Bag Sorting'!AW35</f>
        <v/>
      </c>
      <c r="AX35" s="7">
        <f>'BBB'!AX35+'Bag Staging'!AX35+'Bag Staging Volumetric'!AX35+'FWD FSM'!AX35+'FWD Manual Pre Primary'!AX35+'FWD Manual Primary'!AX35+'FWD Primary with Scan'!AX35+'FWD Secondary'!AX35+'FWD Volumetric'!AX35+'IB'!AX35+'IB Volumetric'!AX35+'OB'!AX35+'OB Volumetric'!AX35+'OSC Bag Sorting'!AX35+'OSC Bag Sorting Volumetric'!AX35+'REV FSM'!AX35+'Rejection Primary with Scan'!AX35+'Rejection Secondary'!AX35+'Rev DC DC Primary Sorting'!AX35+'Rev Primary (FSM Rejections)'!AX35+'Rev Secondary Sorting'!AX35+'VIA Bag Sorting'!AX35</f>
        <v/>
      </c>
      <c r="AY35" s="7">
        <f>'BBB'!AY35+'Bag Staging'!AY35+'Bag Staging Volumetric'!AY35+'FWD FSM'!AY35+'FWD Manual Pre Primary'!AY35+'FWD Manual Primary'!AY35+'FWD Primary with Scan'!AY35+'FWD Secondary'!AY35+'FWD Volumetric'!AY35+'IB'!AY35+'IB Volumetric'!AY35+'OB'!AY35+'OB Volumetric'!AY35+'OSC Bag Sorting'!AY35+'OSC Bag Sorting Volumetric'!AY35+'REV FSM'!AY35+'Rejection Primary with Scan'!AY35+'Rejection Secondary'!AY35+'Rev DC DC Primary Sorting'!AY35+'Rev Primary (FSM Rejections)'!AY35+'Rev Secondary Sorting'!AY35+'VIA Bag Sorting'!AY35</f>
        <v/>
      </c>
      <c r="AZ35" s="7">
        <f>'BBB'!AZ35+'Bag Staging'!AZ35+'Bag Staging Volumetric'!AZ35+'FWD FSM'!AZ35+'FWD Manual Pre Primary'!AZ35+'FWD Manual Primary'!AZ35+'FWD Primary with Scan'!AZ35+'FWD Secondary'!AZ35+'FWD Volumetric'!AZ35+'IB'!AZ35+'IB Volumetric'!AZ35+'OB'!AZ35+'OB Volumetric'!AZ35+'OSC Bag Sorting'!AZ35+'OSC Bag Sorting Volumetric'!AZ35+'REV FSM'!AZ35+'Rejection Primary with Scan'!AZ35+'Rejection Secondary'!AZ35+'Rev DC DC Primary Sorting'!AZ35+'Rev Primary (FSM Rejections)'!AZ35+'Rev Secondary Sorting'!AZ35+'VIA Bag Sorting'!AZ35</f>
        <v/>
      </c>
      <c r="BA35" s="7">
        <f>'BBB'!BA35+'Bag Staging'!BA35+'Bag Staging Volumetric'!BA35+'FWD FSM'!BA35+'FWD Manual Pre Primary'!BA35+'FWD Manual Primary'!BA35+'FWD Primary with Scan'!BA35+'FWD Secondary'!BA35+'FWD Volumetric'!BA35+'IB'!BA35+'IB Volumetric'!BA35+'OB'!BA35+'OB Volumetric'!BA35+'OSC Bag Sorting'!BA35+'OSC Bag Sorting Volumetric'!BA35+'REV FSM'!BA35+'Rejection Primary with Scan'!BA35+'Rejection Secondary'!BA35+'Rev DC DC Primary Sorting'!BA35+'Rev Primary (FSM Rejections)'!BA35+'Rev Secondary Sorting'!BA35+'VIA Bag Sorting'!BA35</f>
        <v/>
      </c>
      <c r="BB35" s="7">
        <f>SUM(AD35:BA35)</f>
        <v/>
      </c>
    </row>
    <row r="36">
      <c r="A36" t="inlineStr">
        <is>
          <t>AMD-FK-SSC</t>
        </is>
      </c>
      <c r="B36" t="inlineStr">
        <is>
          <t>Prime at Client side</t>
        </is>
      </c>
      <c r="C36" s="5" t="n">
        <v>46099</v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62</v>
      </c>
      <c r="Q36" s="6" t="n">
        <v>220</v>
      </c>
      <c r="R36" s="6" t="n">
        <v>30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>
        <f>SUM(D36:AA36)</f>
        <v/>
      </c>
      <c r="AC36" s="3" t="inlineStr"/>
      <c r="AD36" s="7">
        <f>'BBB'!AD36+'Bag Staging'!AD36+'Bag Staging Volumetric'!AD36+'FWD FSM'!AD36+'FWD Manual Pre Primary'!AD36+'FWD Manual Primary'!AD36+'FWD Primary with Scan'!AD36+'FWD Secondary'!AD36+'FWD Volumetric'!AD36+'IB'!AD36+'IB Volumetric'!AD36+'OB'!AD36+'OB Volumetric'!AD36+'OSC Bag Sorting'!AD36+'OSC Bag Sorting Volumetric'!AD36+'REV FSM'!AD36+'Rejection Primary with Scan'!AD36+'Rejection Secondary'!AD36+'Rev DC DC Primary Sorting'!AD36+'Rev Primary (FSM Rejections)'!AD36+'Rev Secondary Sorting'!AD36+'VIA Bag Sorting'!AD36</f>
        <v/>
      </c>
      <c r="AE36" s="7">
        <f>'BBB'!AE36+'Bag Staging'!AE36+'Bag Staging Volumetric'!AE36+'FWD FSM'!AE36+'FWD Manual Pre Primary'!AE36+'FWD Manual Primary'!AE36+'FWD Primary with Scan'!AE36+'FWD Secondary'!AE36+'FWD Volumetric'!AE36+'IB'!AE36+'IB Volumetric'!AE36+'OB'!AE36+'OB Volumetric'!AE36+'OSC Bag Sorting'!AE36+'OSC Bag Sorting Volumetric'!AE36+'REV FSM'!AE36+'Rejection Primary with Scan'!AE36+'Rejection Secondary'!AE36+'Rev DC DC Primary Sorting'!AE36+'Rev Primary (FSM Rejections)'!AE36+'Rev Secondary Sorting'!AE36+'VIA Bag Sorting'!AE36</f>
        <v/>
      </c>
      <c r="AF36" s="7">
        <f>'BBB'!AF36+'Bag Staging'!AF36+'Bag Staging Volumetric'!AF36+'FWD FSM'!AF36+'FWD Manual Pre Primary'!AF36+'FWD Manual Primary'!AF36+'FWD Primary with Scan'!AF36+'FWD Secondary'!AF36+'FWD Volumetric'!AF36+'IB'!AF36+'IB Volumetric'!AF36+'OB'!AF36+'OB Volumetric'!AF36+'OSC Bag Sorting'!AF36+'OSC Bag Sorting Volumetric'!AF36+'REV FSM'!AF36+'Rejection Primary with Scan'!AF36+'Rejection Secondary'!AF36+'Rev DC DC Primary Sorting'!AF36+'Rev Primary (FSM Rejections)'!AF36+'Rev Secondary Sorting'!AF36+'VIA Bag Sorting'!AF36</f>
        <v/>
      </c>
      <c r="AG36" s="7">
        <f>'BBB'!AG36+'Bag Staging'!AG36+'Bag Staging Volumetric'!AG36+'FWD FSM'!AG36+'FWD Manual Pre Primary'!AG36+'FWD Manual Primary'!AG36+'FWD Primary with Scan'!AG36+'FWD Secondary'!AG36+'FWD Volumetric'!AG36+'IB'!AG36+'IB Volumetric'!AG36+'OB'!AG36+'OB Volumetric'!AG36+'OSC Bag Sorting'!AG36+'OSC Bag Sorting Volumetric'!AG36+'REV FSM'!AG36+'Rejection Primary with Scan'!AG36+'Rejection Secondary'!AG36+'Rev DC DC Primary Sorting'!AG36+'Rev Primary (FSM Rejections)'!AG36+'Rev Secondary Sorting'!AG36+'VIA Bag Sorting'!AG36</f>
        <v/>
      </c>
      <c r="AH36" s="7">
        <f>'BBB'!AH36+'Bag Staging'!AH36+'Bag Staging Volumetric'!AH36+'FWD FSM'!AH36+'FWD Manual Pre Primary'!AH36+'FWD Manual Primary'!AH36+'FWD Primary with Scan'!AH36+'FWD Secondary'!AH36+'FWD Volumetric'!AH36+'IB'!AH36+'IB Volumetric'!AH36+'OB'!AH36+'OB Volumetric'!AH36+'OSC Bag Sorting'!AH36+'OSC Bag Sorting Volumetric'!AH36+'REV FSM'!AH36+'Rejection Primary with Scan'!AH36+'Rejection Secondary'!AH36+'Rev DC DC Primary Sorting'!AH36+'Rev Primary (FSM Rejections)'!AH36+'Rev Secondary Sorting'!AH36+'VIA Bag Sorting'!AH36</f>
        <v/>
      </c>
      <c r="AI36" s="7">
        <f>'BBB'!AI36+'Bag Staging'!AI36+'Bag Staging Volumetric'!AI36+'FWD FSM'!AI36+'FWD Manual Pre Primary'!AI36+'FWD Manual Primary'!AI36+'FWD Primary with Scan'!AI36+'FWD Secondary'!AI36+'FWD Volumetric'!AI36+'IB'!AI36+'IB Volumetric'!AI36+'OB'!AI36+'OB Volumetric'!AI36+'OSC Bag Sorting'!AI36+'OSC Bag Sorting Volumetric'!AI36+'REV FSM'!AI36+'Rejection Primary with Scan'!AI36+'Rejection Secondary'!AI36+'Rev DC DC Primary Sorting'!AI36+'Rev Primary (FSM Rejections)'!AI36+'Rev Secondary Sorting'!AI36+'VIA Bag Sorting'!AI36</f>
        <v/>
      </c>
      <c r="AJ36" s="7">
        <f>'BBB'!AJ36+'Bag Staging'!AJ36+'Bag Staging Volumetric'!AJ36+'FWD FSM'!AJ36+'FWD Manual Pre Primary'!AJ36+'FWD Manual Primary'!AJ36+'FWD Primary with Scan'!AJ36+'FWD Secondary'!AJ36+'FWD Volumetric'!AJ36+'IB'!AJ36+'IB Volumetric'!AJ36+'OB'!AJ36+'OB Volumetric'!AJ36+'OSC Bag Sorting'!AJ36+'OSC Bag Sorting Volumetric'!AJ36+'REV FSM'!AJ36+'Rejection Primary with Scan'!AJ36+'Rejection Secondary'!AJ36+'Rev DC DC Primary Sorting'!AJ36+'Rev Primary (FSM Rejections)'!AJ36+'Rev Secondary Sorting'!AJ36+'VIA Bag Sorting'!AJ36</f>
        <v/>
      </c>
      <c r="AK36" s="7">
        <f>'BBB'!AK36+'Bag Staging'!AK36+'Bag Staging Volumetric'!AK36+'FWD FSM'!AK36+'FWD Manual Pre Primary'!AK36+'FWD Manual Primary'!AK36+'FWD Primary with Scan'!AK36+'FWD Secondary'!AK36+'FWD Volumetric'!AK36+'IB'!AK36+'IB Volumetric'!AK36+'OB'!AK36+'OB Volumetric'!AK36+'OSC Bag Sorting'!AK36+'OSC Bag Sorting Volumetric'!AK36+'REV FSM'!AK36+'Rejection Primary with Scan'!AK36+'Rejection Secondary'!AK36+'Rev DC DC Primary Sorting'!AK36+'Rev Primary (FSM Rejections)'!AK36+'Rev Secondary Sorting'!AK36+'VIA Bag Sorting'!AK36</f>
        <v/>
      </c>
      <c r="AL36" s="7">
        <f>'BBB'!AL36+'Bag Staging'!AL36+'Bag Staging Volumetric'!AL36+'FWD FSM'!AL36+'FWD Manual Pre Primary'!AL36+'FWD Manual Primary'!AL36+'FWD Primary with Scan'!AL36+'FWD Secondary'!AL36+'FWD Volumetric'!AL36+'IB'!AL36+'IB Volumetric'!AL36+'OB'!AL36+'OB Volumetric'!AL36+'OSC Bag Sorting'!AL36+'OSC Bag Sorting Volumetric'!AL36+'REV FSM'!AL36+'Rejection Primary with Scan'!AL36+'Rejection Secondary'!AL36+'Rev DC DC Primary Sorting'!AL36+'Rev Primary (FSM Rejections)'!AL36+'Rev Secondary Sorting'!AL36+'VIA Bag Sorting'!AL36</f>
        <v/>
      </c>
      <c r="AM36" s="7">
        <f>'BBB'!AM36+'Bag Staging'!AM36+'Bag Staging Volumetric'!AM36+'FWD FSM'!AM36+'FWD Manual Pre Primary'!AM36+'FWD Manual Primary'!AM36+'FWD Primary with Scan'!AM36+'FWD Secondary'!AM36+'FWD Volumetric'!AM36+'IB'!AM36+'IB Volumetric'!AM36+'OB'!AM36+'OB Volumetric'!AM36+'OSC Bag Sorting'!AM36+'OSC Bag Sorting Volumetric'!AM36+'REV FSM'!AM36+'Rejection Primary with Scan'!AM36+'Rejection Secondary'!AM36+'Rev DC DC Primary Sorting'!AM36+'Rev Primary (FSM Rejections)'!AM36+'Rev Secondary Sorting'!AM36+'VIA Bag Sorting'!AM36</f>
        <v/>
      </c>
      <c r="AN36" s="7">
        <f>'BBB'!AN36+'Bag Staging'!AN36+'Bag Staging Volumetric'!AN36+'FWD FSM'!AN36+'FWD Manual Pre Primary'!AN36+'FWD Manual Primary'!AN36+'FWD Primary with Scan'!AN36+'FWD Secondary'!AN36+'FWD Volumetric'!AN36+'IB'!AN36+'IB Volumetric'!AN36+'OB'!AN36+'OB Volumetric'!AN36+'OSC Bag Sorting'!AN36+'OSC Bag Sorting Volumetric'!AN36+'REV FSM'!AN36+'Rejection Primary with Scan'!AN36+'Rejection Secondary'!AN36+'Rev DC DC Primary Sorting'!AN36+'Rev Primary (FSM Rejections)'!AN36+'Rev Secondary Sorting'!AN36+'VIA Bag Sorting'!AN36</f>
        <v/>
      </c>
      <c r="AO36" s="7">
        <f>'BBB'!AO36+'Bag Staging'!AO36+'Bag Staging Volumetric'!AO36+'FWD FSM'!AO36+'FWD Manual Pre Primary'!AO36+'FWD Manual Primary'!AO36+'FWD Primary with Scan'!AO36+'FWD Secondary'!AO36+'FWD Volumetric'!AO36+'IB'!AO36+'IB Volumetric'!AO36+'OB'!AO36+'OB Volumetric'!AO36+'OSC Bag Sorting'!AO36+'OSC Bag Sorting Volumetric'!AO36+'REV FSM'!AO36+'Rejection Primary with Scan'!AO36+'Rejection Secondary'!AO36+'Rev DC DC Primary Sorting'!AO36+'Rev Primary (FSM Rejections)'!AO36+'Rev Secondary Sorting'!AO36+'VIA Bag Sorting'!AO36</f>
        <v/>
      </c>
      <c r="AP36" s="7">
        <f>'BBB'!AP36+'Bag Staging'!AP36+'Bag Staging Volumetric'!AP36+'FWD FSM'!AP36+'FWD Manual Pre Primary'!AP36+'FWD Manual Primary'!AP36+'FWD Primary with Scan'!AP36+'FWD Secondary'!AP36+'FWD Volumetric'!AP36+'IB'!AP36+'IB Volumetric'!AP36+'OB'!AP36+'OB Volumetric'!AP36+'OSC Bag Sorting'!AP36+'OSC Bag Sorting Volumetric'!AP36+'REV FSM'!AP36+'Rejection Primary with Scan'!AP36+'Rejection Secondary'!AP36+'Rev DC DC Primary Sorting'!AP36+'Rev Primary (FSM Rejections)'!AP36+'Rev Secondary Sorting'!AP36+'VIA Bag Sorting'!AP36</f>
        <v/>
      </c>
      <c r="AQ36" s="7">
        <f>'BBB'!AQ36+'Bag Staging'!AQ36+'Bag Staging Volumetric'!AQ36+'FWD FSM'!AQ36+'FWD Manual Pre Primary'!AQ36+'FWD Manual Primary'!AQ36+'FWD Primary with Scan'!AQ36+'FWD Secondary'!AQ36+'FWD Volumetric'!AQ36+'IB'!AQ36+'IB Volumetric'!AQ36+'OB'!AQ36+'OB Volumetric'!AQ36+'OSC Bag Sorting'!AQ36+'OSC Bag Sorting Volumetric'!AQ36+'REV FSM'!AQ36+'Rejection Primary with Scan'!AQ36+'Rejection Secondary'!AQ36+'Rev DC DC Primary Sorting'!AQ36+'Rev Primary (FSM Rejections)'!AQ36+'Rev Secondary Sorting'!AQ36+'VIA Bag Sorting'!AQ36</f>
        <v/>
      </c>
      <c r="AR36" s="7">
        <f>'BBB'!AR36+'Bag Staging'!AR36+'Bag Staging Volumetric'!AR36+'FWD FSM'!AR36+'FWD Manual Pre Primary'!AR36+'FWD Manual Primary'!AR36+'FWD Primary with Scan'!AR36+'FWD Secondary'!AR36+'FWD Volumetric'!AR36+'IB'!AR36+'IB Volumetric'!AR36+'OB'!AR36+'OB Volumetric'!AR36+'OSC Bag Sorting'!AR36+'OSC Bag Sorting Volumetric'!AR36+'REV FSM'!AR36+'Rejection Primary with Scan'!AR36+'Rejection Secondary'!AR36+'Rev DC DC Primary Sorting'!AR36+'Rev Primary (FSM Rejections)'!AR36+'Rev Secondary Sorting'!AR36+'VIA Bag Sorting'!AR36</f>
        <v/>
      </c>
      <c r="AS36" s="7">
        <f>'BBB'!AS36+'Bag Staging'!AS36+'Bag Staging Volumetric'!AS36+'FWD FSM'!AS36+'FWD Manual Pre Primary'!AS36+'FWD Manual Primary'!AS36+'FWD Primary with Scan'!AS36+'FWD Secondary'!AS36+'FWD Volumetric'!AS36+'IB'!AS36+'IB Volumetric'!AS36+'OB'!AS36+'OB Volumetric'!AS36+'OSC Bag Sorting'!AS36+'OSC Bag Sorting Volumetric'!AS36+'REV FSM'!AS36+'Rejection Primary with Scan'!AS36+'Rejection Secondary'!AS36+'Rev DC DC Primary Sorting'!AS36+'Rev Primary (FSM Rejections)'!AS36+'Rev Secondary Sorting'!AS36+'VIA Bag Sorting'!AS36</f>
        <v/>
      </c>
      <c r="AT36" s="7">
        <f>'BBB'!AT36+'Bag Staging'!AT36+'Bag Staging Volumetric'!AT36+'FWD FSM'!AT36+'FWD Manual Pre Primary'!AT36+'FWD Manual Primary'!AT36+'FWD Primary with Scan'!AT36+'FWD Secondary'!AT36+'FWD Volumetric'!AT36+'IB'!AT36+'IB Volumetric'!AT36+'OB'!AT36+'OB Volumetric'!AT36+'OSC Bag Sorting'!AT36+'OSC Bag Sorting Volumetric'!AT36+'REV FSM'!AT36+'Rejection Primary with Scan'!AT36+'Rejection Secondary'!AT36+'Rev DC DC Primary Sorting'!AT36+'Rev Primary (FSM Rejections)'!AT36+'Rev Secondary Sorting'!AT36+'VIA Bag Sorting'!AT36</f>
        <v/>
      </c>
      <c r="AU36" s="7">
        <f>'BBB'!AU36+'Bag Staging'!AU36+'Bag Staging Volumetric'!AU36+'FWD FSM'!AU36+'FWD Manual Pre Primary'!AU36+'FWD Manual Primary'!AU36+'FWD Primary with Scan'!AU36+'FWD Secondary'!AU36+'FWD Volumetric'!AU36+'IB'!AU36+'IB Volumetric'!AU36+'OB'!AU36+'OB Volumetric'!AU36+'OSC Bag Sorting'!AU36+'OSC Bag Sorting Volumetric'!AU36+'REV FSM'!AU36+'Rejection Primary with Scan'!AU36+'Rejection Secondary'!AU36+'Rev DC DC Primary Sorting'!AU36+'Rev Primary (FSM Rejections)'!AU36+'Rev Secondary Sorting'!AU36+'VIA Bag Sorting'!AU36</f>
        <v/>
      </c>
      <c r="AV36" s="7">
        <f>'BBB'!AV36+'Bag Staging'!AV36+'Bag Staging Volumetric'!AV36+'FWD FSM'!AV36+'FWD Manual Pre Primary'!AV36+'FWD Manual Primary'!AV36+'FWD Primary with Scan'!AV36+'FWD Secondary'!AV36+'FWD Volumetric'!AV36+'IB'!AV36+'IB Volumetric'!AV36+'OB'!AV36+'OB Volumetric'!AV36+'OSC Bag Sorting'!AV36+'OSC Bag Sorting Volumetric'!AV36+'REV FSM'!AV36+'Rejection Primary with Scan'!AV36+'Rejection Secondary'!AV36+'Rev DC DC Primary Sorting'!AV36+'Rev Primary (FSM Rejections)'!AV36+'Rev Secondary Sorting'!AV36+'VIA Bag Sorting'!AV36</f>
        <v/>
      </c>
      <c r="AW36" s="7">
        <f>'BBB'!AW36+'Bag Staging'!AW36+'Bag Staging Volumetric'!AW36+'FWD FSM'!AW36+'FWD Manual Pre Primary'!AW36+'FWD Manual Primary'!AW36+'FWD Primary with Scan'!AW36+'FWD Secondary'!AW36+'FWD Volumetric'!AW36+'IB'!AW36+'IB Volumetric'!AW36+'OB'!AW36+'OB Volumetric'!AW36+'OSC Bag Sorting'!AW36+'OSC Bag Sorting Volumetric'!AW36+'REV FSM'!AW36+'Rejection Primary with Scan'!AW36+'Rejection Secondary'!AW36+'Rev DC DC Primary Sorting'!AW36+'Rev Primary (FSM Rejections)'!AW36+'Rev Secondary Sorting'!AW36+'VIA Bag Sorting'!AW36</f>
        <v/>
      </c>
      <c r="AX36" s="7">
        <f>'BBB'!AX36+'Bag Staging'!AX36+'Bag Staging Volumetric'!AX36+'FWD FSM'!AX36+'FWD Manual Pre Primary'!AX36+'FWD Manual Primary'!AX36+'FWD Primary with Scan'!AX36+'FWD Secondary'!AX36+'FWD Volumetric'!AX36+'IB'!AX36+'IB Volumetric'!AX36+'OB'!AX36+'OB Volumetric'!AX36+'OSC Bag Sorting'!AX36+'OSC Bag Sorting Volumetric'!AX36+'REV FSM'!AX36+'Rejection Primary with Scan'!AX36+'Rejection Secondary'!AX36+'Rev DC DC Primary Sorting'!AX36+'Rev Primary (FSM Rejections)'!AX36+'Rev Secondary Sorting'!AX36+'VIA Bag Sorting'!AX36</f>
        <v/>
      </c>
      <c r="AY36" s="7">
        <f>'BBB'!AY36+'Bag Staging'!AY36+'Bag Staging Volumetric'!AY36+'FWD FSM'!AY36+'FWD Manual Pre Primary'!AY36+'FWD Manual Primary'!AY36+'FWD Primary with Scan'!AY36+'FWD Secondary'!AY36+'FWD Volumetric'!AY36+'IB'!AY36+'IB Volumetric'!AY36+'OB'!AY36+'OB Volumetric'!AY36+'OSC Bag Sorting'!AY36+'OSC Bag Sorting Volumetric'!AY36+'REV FSM'!AY36+'Rejection Primary with Scan'!AY36+'Rejection Secondary'!AY36+'Rev DC DC Primary Sorting'!AY36+'Rev Primary (FSM Rejections)'!AY36+'Rev Secondary Sorting'!AY36+'VIA Bag Sorting'!AY36</f>
        <v/>
      </c>
      <c r="AZ36" s="7">
        <f>'BBB'!AZ36+'Bag Staging'!AZ36+'Bag Staging Volumetric'!AZ36+'FWD FSM'!AZ36+'FWD Manual Pre Primary'!AZ36+'FWD Manual Primary'!AZ36+'FWD Primary with Scan'!AZ36+'FWD Secondary'!AZ36+'FWD Volumetric'!AZ36+'IB'!AZ36+'IB Volumetric'!AZ36+'OB'!AZ36+'OB Volumetric'!AZ36+'OSC Bag Sorting'!AZ36+'OSC Bag Sorting Volumetric'!AZ36+'REV FSM'!AZ36+'Rejection Primary with Scan'!AZ36+'Rejection Secondary'!AZ36+'Rev DC DC Primary Sorting'!AZ36+'Rev Primary (FSM Rejections)'!AZ36+'Rev Secondary Sorting'!AZ36+'VIA Bag Sorting'!AZ36</f>
        <v/>
      </c>
      <c r="BA36" s="7">
        <f>'BBB'!BA36+'Bag Staging'!BA36+'Bag Staging Volumetric'!BA36+'FWD FSM'!BA36+'FWD Manual Pre Primary'!BA36+'FWD Manual Primary'!BA36+'FWD Primary with Scan'!BA36+'FWD Secondary'!BA36+'FWD Volumetric'!BA36+'IB'!BA36+'IB Volumetric'!BA36+'OB'!BA36+'OB Volumetric'!BA36+'OSC Bag Sorting'!BA36+'OSC Bag Sorting Volumetric'!BA36+'REV FSM'!BA36+'Rejection Primary with Scan'!BA36+'Rejection Secondary'!BA36+'Rev DC DC Primary Sorting'!BA36+'Rev Primary (FSM Rejections)'!BA36+'Rev Secondary Sorting'!BA36+'VIA Bag Sorting'!BA36</f>
        <v/>
      </c>
      <c r="BB36" s="7">
        <f>SUM(AD36:BA36)</f>
        <v/>
      </c>
    </row>
    <row r="37">
      <c r="A37" t="inlineStr">
        <is>
          <t>AMD-FK-SSC</t>
        </is>
      </c>
      <c r="B37" t="inlineStr">
        <is>
          <t>Prime at Client side</t>
        </is>
      </c>
      <c r="C37" s="5" t="n">
        <v>46100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39</v>
      </c>
      <c r="Q37" s="6" t="n">
        <v>159</v>
      </c>
      <c r="R37" s="6" t="n">
        <v>23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>
        <f>SUM(D37:AA37)</f>
        <v/>
      </c>
      <c r="AC37" s="3" t="inlineStr"/>
      <c r="AD37" s="7">
        <f>'BBB'!AD37+'Bag Staging'!AD37+'Bag Staging Volumetric'!AD37+'FWD FSM'!AD37+'FWD Manual Pre Primary'!AD37+'FWD Manual Primary'!AD37+'FWD Primary with Scan'!AD37+'FWD Secondary'!AD37+'FWD Volumetric'!AD37+'IB'!AD37+'IB Volumetric'!AD37+'OB'!AD37+'OB Volumetric'!AD37+'OSC Bag Sorting'!AD37+'OSC Bag Sorting Volumetric'!AD37+'REV FSM'!AD37+'Rejection Primary with Scan'!AD37+'Rejection Secondary'!AD37+'Rev DC DC Primary Sorting'!AD37+'Rev Primary (FSM Rejections)'!AD37+'Rev Secondary Sorting'!AD37+'VIA Bag Sorting'!AD37</f>
        <v/>
      </c>
      <c r="AE37" s="7">
        <f>'BBB'!AE37+'Bag Staging'!AE37+'Bag Staging Volumetric'!AE37+'FWD FSM'!AE37+'FWD Manual Pre Primary'!AE37+'FWD Manual Primary'!AE37+'FWD Primary with Scan'!AE37+'FWD Secondary'!AE37+'FWD Volumetric'!AE37+'IB'!AE37+'IB Volumetric'!AE37+'OB'!AE37+'OB Volumetric'!AE37+'OSC Bag Sorting'!AE37+'OSC Bag Sorting Volumetric'!AE37+'REV FSM'!AE37+'Rejection Primary with Scan'!AE37+'Rejection Secondary'!AE37+'Rev DC DC Primary Sorting'!AE37+'Rev Primary (FSM Rejections)'!AE37+'Rev Secondary Sorting'!AE37+'VIA Bag Sorting'!AE37</f>
        <v/>
      </c>
      <c r="AF37" s="7">
        <f>'BBB'!AF37+'Bag Staging'!AF37+'Bag Staging Volumetric'!AF37+'FWD FSM'!AF37+'FWD Manual Pre Primary'!AF37+'FWD Manual Primary'!AF37+'FWD Primary with Scan'!AF37+'FWD Secondary'!AF37+'FWD Volumetric'!AF37+'IB'!AF37+'IB Volumetric'!AF37+'OB'!AF37+'OB Volumetric'!AF37+'OSC Bag Sorting'!AF37+'OSC Bag Sorting Volumetric'!AF37+'REV FSM'!AF37+'Rejection Primary with Scan'!AF37+'Rejection Secondary'!AF37+'Rev DC DC Primary Sorting'!AF37+'Rev Primary (FSM Rejections)'!AF37+'Rev Secondary Sorting'!AF37+'VIA Bag Sorting'!AF37</f>
        <v/>
      </c>
      <c r="AG37" s="7">
        <f>'BBB'!AG37+'Bag Staging'!AG37+'Bag Staging Volumetric'!AG37+'FWD FSM'!AG37+'FWD Manual Pre Primary'!AG37+'FWD Manual Primary'!AG37+'FWD Primary with Scan'!AG37+'FWD Secondary'!AG37+'FWD Volumetric'!AG37+'IB'!AG37+'IB Volumetric'!AG37+'OB'!AG37+'OB Volumetric'!AG37+'OSC Bag Sorting'!AG37+'OSC Bag Sorting Volumetric'!AG37+'REV FSM'!AG37+'Rejection Primary with Scan'!AG37+'Rejection Secondary'!AG37+'Rev DC DC Primary Sorting'!AG37+'Rev Primary (FSM Rejections)'!AG37+'Rev Secondary Sorting'!AG37+'VIA Bag Sorting'!AG37</f>
        <v/>
      </c>
      <c r="AH37" s="7">
        <f>'BBB'!AH37+'Bag Staging'!AH37+'Bag Staging Volumetric'!AH37+'FWD FSM'!AH37+'FWD Manual Pre Primary'!AH37+'FWD Manual Primary'!AH37+'FWD Primary with Scan'!AH37+'FWD Secondary'!AH37+'FWD Volumetric'!AH37+'IB'!AH37+'IB Volumetric'!AH37+'OB'!AH37+'OB Volumetric'!AH37+'OSC Bag Sorting'!AH37+'OSC Bag Sorting Volumetric'!AH37+'REV FSM'!AH37+'Rejection Primary with Scan'!AH37+'Rejection Secondary'!AH37+'Rev DC DC Primary Sorting'!AH37+'Rev Primary (FSM Rejections)'!AH37+'Rev Secondary Sorting'!AH37+'VIA Bag Sorting'!AH37</f>
        <v/>
      </c>
      <c r="AI37" s="7">
        <f>'BBB'!AI37+'Bag Staging'!AI37+'Bag Staging Volumetric'!AI37+'FWD FSM'!AI37+'FWD Manual Pre Primary'!AI37+'FWD Manual Primary'!AI37+'FWD Primary with Scan'!AI37+'FWD Secondary'!AI37+'FWD Volumetric'!AI37+'IB'!AI37+'IB Volumetric'!AI37+'OB'!AI37+'OB Volumetric'!AI37+'OSC Bag Sorting'!AI37+'OSC Bag Sorting Volumetric'!AI37+'REV FSM'!AI37+'Rejection Primary with Scan'!AI37+'Rejection Secondary'!AI37+'Rev DC DC Primary Sorting'!AI37+'Rev Primary (FSM Rejections)'!AI37+'Rev Secondary Sorting'!AI37+'VIA Bag Sorting'!AI37</f>
        <v/>
      </c>
      <c r="AJ37" s="7">
        <f>'BBB'!AJ37+'Bag Staging'!AJ37+'Bag Staging Volumetric'!AJ37+'FWD FSM'!AJ37+'FWD Manual Pre Primary'!AJ37+'FWD Manual Primary'!AJ37+'FWD Primary with Scan'!AJ37+'FWD Secondary'!AJ37+'FWD Volumetric'!AJ37+'IB'!AJ37+'IB Volumetric'!AJ37+'OB'!AJ37+'OB Volumetric'!AJ37+'OSC Bag Sorting'!AJ37+'OSC Bag Sorting Volumetric'!AJ37+'REV FSM'!AJ37+'Rejection Primary with Scan'!AJ37+'Rejection Secondary'!AJ37+'Rev DC DC Primary Sorting'!AJ37+'Rev Primary (FSM Rejections)'!AJ37+'Rev Secondary Sorting'!AJ37+'VIA Bag Sorting'!AJ37</f>
        <v/>
      </c>
      <c r="AK37" s="7">
        <f>'BBB'!AK37+'Bag Staging'!AK37+'Bag Staging Volumetric'!AK37+'FWD FSM'!AK37+'FWD Manual Pre Primary'!AK37+'FWD Manual Primary'!AK37+'FWD Primary with Scan'!AK37+'FWD Secondary'!AK37+'FWD Volumetric'!AK37+'IB'!AK37+'IB Volumetric'!AK37+'OB'!AK37+'OB Volumetric'!AK37+'OSC Bag Sorting'!AK37+'OSC Bag Sorting Volumetric'!AK37+'REV FSM'!AK37+'Rejection Primary with Scan'!AK37+'Rejection Secondary'!AK37+'Rev DC DC Primary Sorting'!AK37+'Rev Primary (FSM Rejections)'!AK37+'Rev Secondary Sorting'!AK37+'VIA Bag Sorting'!AK37</f>
        <v/>
      </c>
      <c r="AL37" s="7">
        <f>'BBB'!AL37+'Bag Staging'!AL37+'Bag Staging Volumetric'!AL37+'FWD FSM'!AL37+'FWD Manual Pre Primary'!AL37+'FWD Manual Primary'!AL37+'FWD Primary with Scan'!AL37+'FWD Secondary'!AL37+'FWD Volumetric'!AL37+'IB'!AL37+'IB Volumetric'!AL37+'OB'!AL37+'OB Volumetric'!AL37+'OSC Bag Sorting'!AL37+'OSC Bag Sorting Volumetric'!AL37+'REV FSM'!AL37+'Rejection Primary with Scan'!AL37+'Rejection Secondary'!AL37+'Rev DC DC Primary Sorting'!AL37+'Rev Primary (FSM Rejections)'!AL37+'Rev Secondary Sorting'!AL37+'VIA Bag Sorting'!AL37</f>
        <v/>
      </c>
      <c r="AM37" s="7">
        <f>'BBB'!AM37+'Bag Staging'!AM37+'Bag Staging Volumetric'!AM37+'FWD FSM'!AM37+'FWD Manual Pre Primary'!AM37+'FWD Manual Primary'!AM37+'FWD Primary with Scan'!AM37+'FWD Secondary'!AM37+'FWD Volumetric'!AM37+'IB'!AM37+'IB Volumetric'!AM37+'OB'!AM37+'OB Volumetric'!AM37+'OSC Bag Sorting'!AM37+'OSC Bag Sorting Volumetric'!AM37+'REV FSM'!AM37+'Rejection Primary with Scan'!AM37+'Rejection Secondary'!AM37+'Rev DC DC Primary Sorting'!AM37+'Rev Primary (FSM Rejections)'!AM37+'Rev Secondary Sorting'!AM37+'VIA Bag Sorting'!AM37</f>
        <v/>
      </c>
      <c r="AN37" s="7">
        <f>'BBB'!AN37+'Bag Staging'!AN37+'Bag Staging Volumetric'!AN37+'FWD FSM'!AN37+'FWD Manual Pre Primary'!AN37+'FWD Manual Primary'!AN37+'FWD Primary with Scan'!AN37+'FWD Secondary'!AN37+'FWD Volumetric'!AN37+'IB'!AN37+'IB Volumetric'!AN37+'OB'!AN37+'OB Volumetric'!AN37+'OSC Bag Sorting'!AN37+'OSC Bag Sorting Volumetric'!AN37+'REV FSM'!AN37+'Rejection Primary with Scan'!AN37+'Rejection Secondary'!AN37+'Rev DC DC Primary Sorting'!AN37+'Rev Primary (FSM Rejections)'!AN37+'Rev Secondary Sorting'!AN37+'VIA Bag Sorting'!AN37</f>
        <v/>
      </c>
      <c r="AO37" s="7">
        <f>'BBB'!AO37+'Bag Staging'!AO37+'Bag Staging Volumetric'!AO37+'FWD FSM'!AO37+'FWD Manual Pre Primary'!AO37+'FWD Manual Primary'!AO37+'FWD Primary with Scan'!AO37+'FWD Secondary'!AO37+'FWD Volumetric'!AO37+'IB'!AO37+'IB Volumetric'!AO37+'OB'!AO37+'OB Volumetric'!AO37+'OSC Bag Sorting'!AO37+'OSC Bag Sorting Volumetric'!AO37+'REV FSM'!AO37+'Rejection Primary with Scan'!AO37+'Rejection Secondary'!AO37+'Rev DC DC Primary Sorting'!AO37+'Rev Primary (FSM Rejections)'!AO37+'Rev Secondary Sorting'!AO37+'VIA Bag Sorting'!AO37</f>
        <v/>
      </c>
      <c r="AP37" s="7">
        <f>'BBB'!AP37+'Bag Staging'!AP37+'Bag Staging Volumetric'!AP37+'FWD FSM'!AP37+'FWD Manual Pre Primary'!AP37+'FWD Manual Primary'!AP37+'FWD Primary with Scan'!AP37+'FWD Secondary'!AP37+'FWD Volumetric'!AP37+'IB'!AP37+'IB Volumetric'!AP37+'OB'!AP37+'OB Volumetric'!AP37+'OSC Bag Sorting'!AP37+'OSC Bag Sorting Volumetric'!AP37+'REV FSM'!AP37+'Rejection Primary with Scan'!AP37+'Rejection Secondary'!AP37+'Rev DC DC Primary Sorting'!AP37+'Rev Primary (FSM Rejections)'!AP37+'Rev Secondary Sorting'!AP37+'VIA Bag Sorting'!AP37</f>
        <v/>
      </c>
      <c r="AQ37" s="7">
        <f>'BBB'!AQ37+'Bag Staging'!AQ37+'Bag Staging Volumetric'!AQ37+'FWD FSM'!AQ37+'FWD Manual Pre Primary'!AQ37+'FWD Manual Primary'!AQ37+'FWD Primary with Scan'!AQ37+'FWD Secondary'!AQ37+'FWD Volumetric'!AQ37+'IB'!AQ37+'IB Volumetric'!AQ37+'OB'!AQ37+'OB Volumetric'!AQ37+'OSC Bag Sorting'!AQ37+'OSC Bag Sorting Volumetric'!AQ37+'REV FSM'!AQ37+'Rejection Primary with Scan'!AQ37+'Rejection Secondary'!AQ37+'Rev DC DC Primary Sorting'!AQ37+'Rev Primary (FSM Rejections)'!AQ37+'Rev Secondary Sorting'!AQ37+'VIA Bag Sorting'!AQ37</f>
        <v/>
      </c>
      <c r="AR37" s="7">
        <f>'BBB'!AR37+'Bag Staging'!AR37+'Bag Staging Volumetric'!AR37+'FWD FSM'!AR37+'FWD Manual Pre Primary'!AR37+'FWD Manual Primary'!AR37+'FWD Primary with Scan'!AR37+'FWD Secondary'!AR37+'FWD Volumetric'!AR37+'IB'!AR37+'IB Volumetric'!AR37+'OB'!AR37+'OB Volumetric'!AR37+'OSC Bag Sorting'!AR37+'OSC Bag Sorting Volumetric'!AR37+'REV FSM'!AR37+'Rejection Primary with Scan'!AR37+'Rejection Secondary'!AR37+'Rev DC DC Primary Sorting'!AR37+'Rev Primary (FSM Rejections)'!AR37+'Rev Secondary Sorting'!AR37+'VIA Bag Sorting'!AR37</f>
        <v/>
      </c>
      <c r="AS37" s="7">
        <f>'BBB'!AS37+'Bag Staging'!AS37+'Bag Staging Volumetric'!AS37+'FWD FSM'!AS37+'FWD Manual Pre Primary'!AS37+'FWD Manual Primary'!AS37+'FWD Primary with Scan'!AS37+'FWD Secondary'!AS37+'FWD Volumetric'!AS37+'IB'!AS37+'IB Volumetric'!AS37+'OB'!AS37+'OB Volumetric'!AS37+'OSC Bag Sorting'!AS37+'OSC Bag Sorting Volumetric'!AS37+'REV FSM'!AS37+'Rejection Primary with Scan'!AS37+'Rejection Secondary'!AS37+'Rev DC DC Primary Sorting'!AS37+'Rev Primary (FSM Rejections)'!AS37+'Rev Secondary Sorting'!AS37+'VIA Bag Sorting'!AS37</f>
        <v/>
      </c>
      <c r="AT37" s="7">
        <f>'BBB'!AT37+'Bag Staging'!AT37+'Bag Staging Volumetric'!AT37+'FWD FSM'!AT37+'FWD Manual Pre Primary'!AT37+'FWD Manual Primary'!AT37+'FWD Primary with Scan'!AT37+'FWD Secondary'!AT37+'FWD Volumetric'!AT37+'IB'!AT37+'IB Volumetric'!AT37+'OB'!AT37+'OB Volumetric'!AT37+'OSC Bag Sorting'!AT37+'OSC Bag Sorting Volumetric'!AT37+'REV FSM'!AT37+'Rejection Primary with Scan'!AT37+'Rejection Secondary'!AT37+'Rev DC DC Primary Sorting'!AT37+'Rev Primary (FSM Rejections)'!AT37+'Rev Secondary Sorting'!AT37+'VIA Bag Sorting'!AT37</f>
        <v/>
      </c>
      <c r="AU37" s="7">
        <f>'BBB'!AU37+'Bag Staging'!AU37+'Bag Staging Volumetric'!AU37+'FWD FSM'!AU37+'FWD Manual Pre Primary'!AU37+'FWD Manual Primary'!AU37+'FWD Primary with Scan'!AU37+'FWD Secondary'!AU37+'FWD Volumetric'!AU37+'IB'!AU37+'IB Volumetric'!AU37+'OB'!AU37+'OB Volumetric'!AU37+'OSC Bag Sorting'!AU37+'OSC Bag Sorting Volumetric'!AU37+'REV FSM'!AU37+'Rejection Primary with Scan'!AU37+'Rejection Secondary'!AU37+'Rev DC DC Primary Sorting'!AU37+'Rev Primary (FSM Rejections)'!AU37+'Rev Secondary Sorting'!AU37+'VIA Bag Sorting'!AU37</f>
        <v/>
      </c>
      <c r="AV37" s="7">
        <f>'BBB'!AV37+'Bag Staging'!AV37+'Bag Staging Volumetric'!AV37+'FWD FSM'!AV37+'FWD Manual Pre Primary'!AV37+'FWD Manual Primary'!AV37+'FWD Primary with Scan'!AV37+'FWD Secondary'!AV37+'FWD Volumetric'!AV37+'IB'!AV37+'IB Volumetric'!AV37+'OB'!AV37+'OB Volumetric'!AV37+'OSC Bag Sorting'!AV37+'OSC Bag Sorting Volumetric'!AV37+'REV FSM'!AV37+'Rejection Primary with Scan'!AV37+'Rejection Secondary'!AV37+'Rev DC DC Primary Sorting'!AV37+'Rev Primary (FSM Rejections)'!AV37+'Rev Secondary Sorting'!AV37+'VIA Bag Sorting'!AV37</f>
        <v/>
      </c>
      <c r="AW37" s="7">
        <f>'BBB'!AW37+'Bag Staging'!AW37+'Bag Staging Volumetric'!AW37+'FWD FSM'!AW37+'FWD Manual Pre Primary'!AW37+'FWD Manual Primary'!AW37+'FWD Primary with Scan'!AW37+'FWD Secondary'!AW37+'FWD Volumetric'!AW37+'IB'!AW37+'IB Volumetric'!AW37+'OB'!AW37+'OB Volumetric'!AW37+'OSC Bag Sorting'!AW37+'OSC Bag Sorting Volumetric'!AW37+'REV FSM'!AW37+'Rejection Primary with Scan'!AW37+'Rejection Secondary'!AW37+'Rev DC DC Primary Sorting'!AW37+'Rev Primary (FSM Rejections)'!AW37+'Rev Secondary Sorting'!AW37+'VIA Bag Sorting'!AW37</f>
        <v/>
      </c>
      <c r="AX37" s="7">
        <f>'BBB'!AX37+'Bag Staging'!AX37+'Bag Staging Volumetric'!AX37+'FWD FSM'!AX37+'FWD Manual Pre Primary'!AX37+'FWD Manual Primary'!AX37+'FWD Primary with Scan'!AX37+'FWD Secondary'!AX37+'FWD Volumetric'!AX37+'IB'!AX37+'IB Volumetric'!AX37+'OB'!AX37+'OB Volumetric'!AX37+'OSC Bag Sorting'!AX37+'OSC Bag Sorting Volumetric'!AX37+'REV FSM'!AX37+'Rejection Primary with Scan'!AX37+'Rejection Secondary'!AX37+'Rev DC DC Primary Sorting'!AX37+'Rev Primary (FSM Rejections)'!AX37+'Rev Secondary Sorting'!AX37+'VIA Bag Sorting'!AX37</f>
        <v/>
      </c>
      <c r="AY37" s="7">
        <f>'BBB'!AY37+'Bag Staging'!AY37+'Bag Staging Volumetric'!AY37+'FWD FSM'!AY37+'FWD Manual Pre Primary'!AY37+'FWD Manual Primary'!AY37+'FWD Primary with Scan'!AY37+'FWD Secondary'!AY37+'FWD Volumetric'!AY37+'IB'!AY37+'IB Volumetric'!AY37+'OB'!AY37+'OB Volumetric'!AY37+'OSC Bag Sorting'!AY37+'OSC Bag Sorting Volumetric'!AY37+'REV FSM'!AY37+'Rejection Primary with Scan'!AY37+'Rejection Secondary'!AY37+'Rev DC DC Primary Sorting'!AY37+'Rev Primary (FSM Rejections)'!AY37+'Rev Secondary Sorting'!AY37+'VIA Bag Sorting'!AY37</f>
        <v/>
      </c>
      <c r="AZ37" s="7">
        <f>'BBB'!AZ37+'Bag Staging'!AZ37+'Bag Staging Volumetric'!AZ37+'FWD FSM'!AZ37+'FWD Manual Pre Primary'!AZ37+'FWD Manual Primary'!AZ37+'FWD Primary with Scan'!AZ37+'FWD Secondary'!AZ37+'FWD Volumetric'!AZ37+'IB'!AZ37+'IB Volumetric'!AZ37+'OB'!AZ37+'OB Volumetric'!AZ37+'OSC Bag Sorting'!AZ37+'OSC Bag Sorting Volumetric'!AZ37+'REV FSM'!AZ37+'Rejection Primary with Scan'!AZ37+'Rejection Secondary'!AZ37+'Rev DC DC Primary Sorting'!AZ37+'Rev Primary (FSM Rejections)'!AZ37+'Rev Secondary Sorting'!AZ37+'VIA Bag Sorting'!AZ37</f>
        <v/>
      </c>
      <c r="BA37" s="7">
        <f>'BBB'!BA37+'Bag Staging'!BA37+'Bag Staging Volumetric'!BA37+'FWD FSM'!BA37+'FWD Manual Pre Primary'!BA37+'FWD Manual Primary'!BA37+'FWD Primary with Scan'!BA37+'FWD Secondary'!BA37+'FWD Volumetric'!BA37+'IB'!BA37+'IB Volumetric'!BA37+'OB'!BA37+'OB Volumetric'!BA37+'OSC Bag Sorting'!BA37+'OSC Bag Sorting Volumetric'!BA37+'REV FSM'!BA37+'Rejection Primary with Scan'!BA37+'Rejection Secondary'!BA37+'Rev DC DC Primary Sorting'!BA37+'Rev Primary (FSM Rejections)'!BA37+'Rev Secondary Sorting'!BA37+'VIA Bag Sorting'!BA37</f>
        <v/>
      </c>
      <c r="BB37" s="7">
        <f>SUM(AD37:BA37)</f>
        <v/>
      </c>
    </row>
    <row r="38">
      <c r="A38" t="inlineStr">
        <is>
          <t>AMD-FK-SSC</t>
        </is>
      </c>
      <c r="B38" t="inlineStr">
        <is>
          <t>Prime at Client side</t>
        </is>
      </c>
      <c r="C38" s="5" t="n">
        <v>46101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143</v>
      </c>
      <c r="Q38" s="6" t="n">
        <v>72</v>
      </c>
      <c r="R38" s="6" t="n">
        <v>31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>
        <f>SUM(D38:AA38)</f>
        <v/>
      </c>
      <c r="AC38" s="3" t="inlineStr"/>
      <c r="AD38" s="7">
        <f>'BBB'!AD38+'Bag Staging'!AD38+'Bag Staging Volumetric'!AD38+'FWD FSM'!AD38+'FWD Manual Pre Primary'!AD38+'FWD Manual Primary'!AD38+'FWD Primary with Scan'!AD38+'FWD Secondary'!AD38+'FWD Volumetric'!AD38+'IB'!AD38+'IB Volumetric'!AD38+'OB'!AD38+'OB Volumetric'!AD38+'OSC Bag Sorting'!AD38+'OSC Bag Sorting Volumetric'!AD38+'REV FSM'!AD38+'Rejection Primary with Scan'!AD38+'Rejection Secondary'!AD38+'Rev DC DC Primary Sorting'!AD38+'Rev Primary (FSM Rejections)'!AD38+'Rev Secondary Sorting'!AD38+'VIA Bag Sorting'!AD38</f>
        <v/>
      </c>
      <c r="AE38" s="7">
        <f>'BBB'!AE38+'Bag Staging'!AE38+'Bag Staging Volumetric'!AE38+'FWD FSM'!AE38+'FWD Manual Pre Primary'!AE38+'FWD Manual Primary'!AE38+'FWD Primary with Scan'!AE38+'FWD Secondary'!AE38+'FWD Volumetric'!AE38+'IB'!AE38+'IB Volumetric'!AE38+'OB'!AE38+'OB Volumetric'!AE38+'OSC Bag Sorting'!AE38+'OSC Bag Sorting Volumetric'!AE38+'REV FSM'!AE38+'Rejection Primary with Scan'!AE38+'Rejection Secondary'!AE38+'Rev DC DC Primary Sorting'!AE38+'Rev Primary (FSM Rejections)'!AE38+'Rev Secondary Sorting'!AE38+'VIA Bag Sorting'!AE38</f>
        <v/>
      </c>
      <c r="AF38" s="7">
        <f>'BBB'!AF38+'Bag Staging'!AF38+'Bag Staging Volumetric'!AF38+'FWD FSM'!AF38+'FWD Manual Pre Primary'!AF38+'FWD Manual Primary'!AF38+'FWD Primary with Scan'!AF38+'FWD Secondary'!AF38+'FWD Volumetric'!AF38+'IB'!AF38+'IB Volumetric'!AF38+'OB'!AF38+'OB Volumetric'!AF38+'OSC Bag Sorting'!AF38+'OSC Bag Sorting Volumetric'!AF38+'REV FSM'!AF38+'Rejection Primary with Scan'!AF38+'Rejection Secondary'!AF38+'Rev DC DC Primary Sorting'!AF38+'Rev Primary (FSM Rejections)'!AF38+'Rev Secondary Sorting'!AF38+'VIA Bag Sorting'!AF38</f>
        <v/>
      </c>
      <c r="AG38" s="7">
        <f>'BBB'!AG38+'Bag Staging'!AG38+'Bag Staging Volumetric'!AG38+'FWD FSM'!AG38+'FWD Manual Pre Primary'!AG38+'FWD Manual Primary'!AG38+'FWD Primary with Scan'!AG38+'FWD Secondary'!AG38+'FWD Volumetric'!AG38+'IB'!AG38+'IB Volumetric'!AG38+'OB'!AG38+'OB Volumetric'!AG38+'OSC Bag Sorting'!AG38+'OSC Bag Sorting Volumetric'!AG38+'REV FSM'!AG38+'Rejection Primary with Scan'!AG38+'Rejection Secondary'!AG38+'Rev DC DC Primary Sorting'!AG38+'Rev Primary (FSM Rejections)'!AG38+'Rev Secondary Sorting'!AG38+'VIA Bag Sorting'!AG38</f>
        <v/>
      </c>
      <c r="AH38" s="7">
        <f>'BBB'!AH38+'Bag Staging'!AH38+'Bag Staging Volumetric'!AH38+'FWD FSM'!AH38+'FWD Manual Pre Primary'!AH38+'FWD Manual Primary'!AH38+'FWD Primary with Scan'!AH38+'FWD Secondary'!AH38+'FWD Volumetric'!AH38+'IB'!AH38+'IB Volumetric'!AH38+'OB'!AH38+'OB Volumetric'!AH38+'OSC Bag Sorting'!AH38+'OSC Bag Sorting Volumetric'!AH38+'REV FSM'!AH38+'Rejection Primary with Scan'!AH38+'Rejection Secondary'!AH38+'Rev DC DC Primary Sorting'!AH38+'Rev Primary (FSM Rejections)'!AH38+'Rev Secondary Sorting'!AH38+'VIA Bag Sorting'!AH38</f>
        <v/>
      </c>
      <c r="AI38" s="7">
        <f>'BBB'!AI38+'Bag Staging'!AI38+'Bag Staging Volumetric'!AI38+'FWD FSM'!AI38+'FWD Manual Pre Primary'!AI38+'FWD Manual Primary'!AI38+'FWD Primary with Scan'!AI38+'FWD Secondary'!AI38+'FWD Volumetric'!AI38+'IB'!AI38+'IB Volumetric'!AI38+'OB'!AI38+'OB Volumetric'!AI38+'OSC Bag Sorting'!AI38+'OSC Bag Sorting Volumetric'!AI38+'REV FSM'!AI38+'Rejection Primary with Scan'!AI38+'Rejection Secondary'!AI38+'Rev DC DC Primary Sorting'!AI38+'Rev Primary (FSM Rejections)'!AI38+'Rev Secondary Sorting'!AI38+'VIA Bag Sorting'!AI38</f>
        <v/>
      </c>
      <c r="AJ38" s="7">
        <f>'BBB'!AJ38+'Bag Staging'!AJ38+'Bag Staging Volumetric'!AJ38+'FWD FSM'!AJ38+'FWD Manual Pre Primary'!AJ38+'FWD Manual Primary'!AJ38+'FWD Primary with Scan'!AJ38+'FWD Secondary'!AJ38+'FWD Volumetric'!AJ38+'IB'!AJ38+'IB Volumetric'!AJ38+'OB'!AJ38+'OB Volumetric'!AJ38+'OSC Bag Sorting'!AJ38+'OSC Bag Sorting Volumetric'!AJ38+'REV FSM'!AJ38+'Rejection Primary with Scan'!AJ38+'Rejection Secondary'!AJ38+'Rev DC DC Primary Sorting'!AJ38+'Rev Primary (FSM Rejections)'!AJ38+'Rev Secondary Sorting'!AJ38+'VIA Bag Sorting'!AJ38</f>
        <v/>
      </c>
      <c r="AK38" s="7">
        <f>'BBB'!AK38+'Bag Staging'!AK38+'Bag Staging Volumetric'!AK38+'FWD FSM'!AK38+'FWD Manual Pre Primary'!AK38+'FWD Manual Primary'!AK38+'FWD Primary with Scan'!AK38+'FWD Secondary'!AK38+'FWD Volumetric'!AK38+'IB'!AK38+'IB Volumetric'!AK38+'OB'!AK38+'OB Volumetric'!AK38+'OSC Bag Sorting'!AK38+'OSC Bag Sorting Volumetric'!AK38+'REV FSM'!AK38+'Rejection Primary with Scan'!AK38+'Rejection Secondary'!AK38+'Rev DC DC Primary Sorting'!AK38+'Rev Primary (FSM Rejections)'!AK38+'Rev Secondary Sorting'!AK38+'VIA Bag Sorting'!AK38</f>
        <v/>
      </c>
      <c r="AL38" s="7">
        <f>'BBB'!AL38+'Bag Staging'!AL38+'Bag Staging Volumetric'!AL38+'FWD FSM'!AL38+'FWD Manual Pre Primary'!AL38+'FWD Manual Primary'!AL38+'FWD Primary with Scan'!AL38+'FWD Secondary'!AL38+'FWD Volumetric'!AL38+'IB'!AL38+'IB Volumetric'!AL38+'OB'!AL38+'OB Volumetric'!AL38+'OSC Bag Sorting'!AL38+'OSC Bag Sorting Volumetric'!AL38+'REV FSM'!AL38+'Rejection Primary with Scan'!AL38+'Rejection Secondary'!AL38+'Rev DC DC Primary Sorting'!AL38+'Rev Primary (FSM Rejections)'!AL38+'Rev Secondary Sorting'!AL38+'VIA Bag Sorting'!AL38</f>
        <v/>
      </c>
      <c r="AM38" s="7">
        <f>'BBB'!AM38+'Bag Staging'!AM38+'Bag Staging Volumetric'!AM38+'FWD FSM'!AM38+'FWD Manual Pre Primary'!AM38+'FWD Manual Primary'!AM38+'FWD Primary with Scan'!AM38+'FWD Secondary'!AM38+'FWD Volumetric'!AM38+'IB'!AM38+'IB Volumetric'!AM38+'OB'!AM38+'OB Volumetric'!AM38+'OSC Bag Sorting'!AM38+'OSC Bag Sorting Volumetric'!AM38+'REV FSM'!AM38+'Rejection Primary with Scan'!AM38+'Rejection Secondary'!AM38+'Rev DC DC Primary Sorting'!AM38+'Rev Primary (FSM Rejections)'!AM38+'Rev Secondary Sorting'!AM38+'VIA Bag Sorting'!AM38</f>
        <v/>
      </c>
      <c r="AN38" s="7">
        <f>'BBB'!AN38+'Bag Staging'!AN38+'Bag Staging Volumetric'!AN38+'FWD FSM'!AN38+'FWD Manual Pre Primary'!AN38+'FWD Manual Primary'!AN38+'FWD Primary with Scan'!AN38+'FWD Secondary'!AN38+'FWD Volumetric'!AN38+'IB'!AN38+'IB Volumetric'!AN38+'OB'!AN38+'OB Volumetric'!AN38+'OSC Bag Sorting'!AN38+'OSC Bag Sorting Volumetric'!AN38+'REV FSM'!AN38+'Rejection Primary with Scan'!AN38+'Rejection Secondary'!AN38+'Rev DC DC Primary Sorting'!AN38+'Rev Primary (FSM Rejections)'!AN38+'Rev Secondary Sorting'!AN38+'VIA Bag Sorting'!AN38</f>
        <v/>
      </c>
      <c r="AO38" s="7">
        <f>'BBB'!AO38+'Bag Staging'!AO38+'Bag Staging Volumetric'!AO38+'FWD FSM'!AO38+'FWD Manual Pre Primary'!AO38+'FWD Manual Primary'!AO38+'FWD Primary with Scan'!AO38+'FWD Secondary'!AO38+'FWD Volumetric'!AO38+'IB'!AO38+'IB Volumetric'!AO38+'OB'!AO38+'OB Volumetric'!AO38+'OSC Bag Sorting'!AO38+'OSC Bag Sorting Volumetric'!AO38+'REV FSM'!AO38+'Rejection Primary with Scan'!AO38+'Rejection Secondary'!AO38+'Rev DC DC Primary Sorting'!AO38+'Rev Primary (FSM Rejections)'!AO38+'Rev Secondary Sorting'!AO38+'VIA Bag Sorting'!AO38</f>
        <v/>
      </c>
      <c r="AP38" s="7">
        <f>'BBB'!AP38+'Bag Staging'!AP38+'Bag Staging Volumetric'!AP38+'FWD FSM'!AP38+'FWD Manual Pre Primary'!AP38+'FWD Manual Primary'!AP38+'FWD Primary with Scan'!AP38+'FWD Secondary'!AP38+'FWD Volumetric'!AP38+'IB'!AP38+'IB Volumetric'!AP38+'OB'!AP38+'OB Volumetric'!AP38+'OSC Bag Sorting'!AP38+'OSC Bag Sorting Volumetric'!AP38+'REV FSM'!AP38+'Rejection Primary with Scan'!AP38+'Rejection Secondary'!AP38+'Rev DC DC Primary Sorting'!AP38+'Rev Primary (FSM Rejections)'!AP38+'Rev Secondary Sorting'!AP38+'VIA Bag Sorting'!AP38</f>
        <v/>
      </c>
      <c r="AQ38" s="7">
        <f>'BBB'!AQ38+'Bag Staging'!AQ38+'Bag Staging Volumetric'!AQ38+'FWD FSM'!AQ38+'FWD Manual Pre Primary'!AQ38+'FWD Manual Primary'!AQ38+'FWD Primary with Scan'!AQ38+'FWD Secondary'!AQ38+'FWD Volumetric'!AQ38+'IB'!AQ38+'IB Volumetric'!AQ38+'OB'!AQ38+'OB Volumetric'!AQ38+'OSC Bag Sorting'!AQ38+'OSC Bag Sorting Volumetric'!AQ38+'REV FSM'!AQ38+'Rejection Primary with Scan'!AQ38+'Rejection Secondary'!AQ38+'Rev DC DC Primary Sorting'!AQ38+'Rev Primary (FSM Rejections)'!AQ38+'Rev Secondary Sorting'!AQ38+'VIA Bag Sorting'!AQ38</f>
        <v/>
      </c>
      <c r="AR38" s="7">
        <f>'BBB'!AR38+'Bag Staging'!AR38+'Bag Staging Volumetric'!AR38+'FWD FSM'!AR38+'FWD Manual Pre Primary'!AR38+'FWD Manual Primary'!AR38+'FWD Primary with Scan'!AR38+'FWD Secondary'!AR38+'FWD Volumetric'!AR38+'IB'!AR38+'IB Volumetric'!AR38+'OB'!AR38+'OB Volumetric'!AR38+'OSC Bag Sorting'!AR38+'OSC Bag Sorting Volumetric'!AR38+'REV FSM'!AR38+'Rejection Primary with Scan'!AR38+'Rejection Secondary'!AR38+'Rev DC DC Primary Sorting'!AR38+'Rev Primary (FSM Rejections)'!AR38+'Rev Secondary Sorting'!AR38+'VIA Bag Sorting'!AR38</f>
        <v/>
      </c>
      <c r="AS38" s="7">
        <f>'BBB'!AS38+'Bag Staging'!AS38+'Bag Staging Volumetric'!AS38+'FWD FSM'!AS38+'FWD Manual Pre Primary'!AS38+'FWD Manual Primary'!AS38+'FWD Primary with Scan'!AS38+'FWD Secondary'!AS38+'FWD Volumetric'!AS38+'IB'!AS38+'IB Volumetric'!AS38+'OB'!AS38+'OB Volumetric'!AS38+'OSC Bag Sorting'!AS38+'OSC Bag Sorting Volumetric'!AS38+'REV FSM'!AS38+'Rejection Primary with Scan'!AS38+'Rejection Secondary'!AS38+'Rev DC DC Primary Sorting'!AS38+'Rev Primary (FSM Rejections)'!AS38+'Rev Secondary Sorting'!AS38+'VIA Bag Sorting'!AS38</f>
        <v/>
      </c>
      <c r="AT38" s="7">
        <f>'BBB'!AT38+'Bag Staging'!AT38+'Bag Staging Volumetric'!AT38+'FWD FSM'!AT38+'FWD Manual Pre Primary'!AT38+'FWD Manual Primary'!AT38+'FWD Primary with Scan'!AT38+'FWD Secondary'!AT38+'FWD Volumetric'!AT38+'IB'!AT38+'IB Volumetric'!AT38+'OB'!AT38+'OB Volumetric'!AT38+'OSC Bag Sorting'!AT38+'OSC Bag Sorting Volumetric'!AT38+'REV FSM'!AT38+'Rejection Primary with Scan'!AT38+'Rejection Secondary'!AT38+'Rev DC DC Primary Sorting'!AT38+'Rev Primary (FSM Rejections)'!AT38+'Rev Secondary Sorting'!AT38+'VIA Bag Sorting'!AT38</f>
        <v/>
      </c>
      <c r="AU38" s="7">
        <f>'BBB'!AU38+'Bag Staging'!AU38+'Bag Staging Volumetric'!AU38+'FWD FSM'!AU38+'FWD Manual Pre Primary'!AU38+'FWD Manual Primary'!AU38+'FWD Primary with Scan'!AU38+'FWD Secondary'!AU38+'FWD Volumetric'!AU38+'IB'!AU38+'IB Volumetric'!AU38+'OB'!AU38+'OB Volumetric'!AU38+'OSC Bag Sorting'!AU38+'OSC Bag Sorting Volumetric'!AU38+'REV FSM'!AU38+'Rejection Primary with Scan'!AU38+'Rejection Secondary'!AU38+'Rev DC DC Primary Sorting'!AU38+'Rev Primary (FSM Rejections)'!AU38+'Rev Secondary Sorting'!AU38+'VIA Bag Sorting'!AU38</f>
        <v/>
      </c>
      <c r="AV38" s="7">
        <f>'BBB'!AV38+'Bag Staging'!AV38+'Bag Staging Volumetric'!AV38+'FWD FSM'!AV38+'FWD Manual Pre Primary'!AV38+'FWD Manual Primary'!AV38+'FWD Primary with Scan'!AV38+'FWD Secondary'!AV38+'FWD Volumetric'!AV38+'IB'!AV38+'IB Volumetric'!AV38+'OB'!AV38+'OB Volumetric'!AV38+'OSC Bag Sorting'!AV38+'OSC Bag Sorting Volumetric'!AV38+'REV FSM'!AV38+'Rejection Primary with Scan'!AV38+'Rejection Secondary'!AV38+'Rev DC DC Primary Sorting'!AV38+'Rev Primary (FSM Rejections)'!AV38+'Rev Secondary Sorting'!AV38+'VIA Bag Sorting'!AV38</f>
        <v/>
      </c>
      <c r="AW38" s="7">
        <f>'BBB'!AW38+'Bag Staging'!AW38+'Bag Staging Volumetric'!AW38+'FWD FSM'!AW38+'FWD Manual Pre Primary'!AW38+'FWD Manual Primary'!AW38+'FWD Primary with Scan'!AW38+'FWD Secondary'!AW38+'FWD Volumetric'!AW38+'IB'!AW38+'IB Volumetric'!AW38+'OB'!AW38+'OB Volumetric'!AW38+'OSC Bag Sorting'!AW38+'OSC Bag Sorting Volumetric'!AW38+'REV FSM'!AW38+'Rejection Primary with Scan'!AW38+'Rejection Secondary'!AW38+'Rev DC DC Primary Sorting'!AW38+'Rev Primary (FSM Rejections)'!AW38+'Rev Secondary Sorting'!AW38+'VIA Bag Sorting'!AW38</f>
        <v/>
      </c>
      <c r="AX38" s="7">
        <f>'BBB'!AX38+'Bag Staging'!AX38+'Bag Staging Volumetric'!AX38+'FWD FSM'!AX38+'FWD Manual Pre Primary'!AX38+'FWD Manual Primary'!AX38+'FWD Primary with Scan'!AX38+'FWD Secondary'!AX38+'FWD Volumetric'!AX38+'IB'!AX38+'IB Volumetric'!AX38+'OB'!AX38+'OB Volumetric'!AX38+'OSC Bag Sorting'!AX38+'OSC Bag Sorting Volumetric'!AX38+'REV FSM'!AX38+'Rejection Primary with Scan'!AX38+'Rejection Secondary'!AX38+'Rev DC DC Primary Sorting'!AX38+'Rev Primary (FSM Rejections)'!AX38+'Rev Secondary Sorting'!AX38+'VIA Bag Sorting'!AX38</f>
        <v/>
      </c>
      <c r="AY38" s="7">
        <f>'BBB'!AY38+'Bag Staging'!AY38+'Bag Staging Volumetric'!AY38+'FWD FSM'!AY38+'FWD Manual Pre Primary'!AY38+'FWD Manual Primary'!AY38+'FWD Primary with Scan'!AY38+'FWD Secondary'!AY38+'FWD Volumetric'!AY38+'IB'!AY38+'IB Volumetric'!AY38+'OB'!AY38+'OB Volumetric'!AY38+'OSC Bag Sorting'!AY38+'OSC Bag Sorting Volumetric'!AY38+'REV FSM'!AY38+'Rejection Primary with Scan'!AY38+'Rejection Secondary'!AY38+'Rev DC DC Primary Sorting'!AY38+'Rev Primary (FSM Rejections)'!AY38+'Rev Secondary Sorting'!AY38+'VIA Bag Sorting'!AY38</f>
        <v/>
      </c>
      <c r="AZ38" s="7">
        <f>'BBB'!AZ38+'Bag Staging'!AZ38+'Bag Staging Volumetric'!AZ38+'FWD FSM'!AZ38+'FWD Manual Pre Primary'!AZ38+'FWD Manual Primary'!AZ38+'FWD Primary with Scan'!AZ38+'FWD Secondary'!AZ38+'FWD Volumetric'!AZ38+'IB'!AZ38+'IB Volumetric'!AZ38+'OB'!AZ38+'OB Volumetric'!AZ38+'OSC Bag Sorting'!AZ38+'OSC Bag Sorting Volumetric'!AZ38+'REV FSM'!AZ38+'Rejection Primary with Scan'!AZ38+'Rejection Secondary'!AZ38+'Rev DC DC Primary Sorting'!AZ38+'Rev Primary (FSM Rejections)'!AZ38+'Rev Secondary Sorting'!AZ38+'VIA Bag Sorting'!AZ38</f>
        <v/>
      </c>
      <c r="BA38" s="7">
        <f>'BBB'!BA38+'Bag Staging'!BA38+'Bag Staging Volumetric'!BA38+'FWD FSM'!BA38+'FWD Manual Pre Primary'!BA38+'FWD Manual Primary'!BA38+'FWD Primary with Scan'!BA38+'FWD Secondary'!BA38+'FWD Volumetric'!BA38+'IB'!BA38+'IB Volumetric'!BA38+'OB'!BA38+'OB Volumetric'!BA38+'OSC Bag Sorting'!BA38+'OSC Bag Sorting Volumetric'!BA38+'REV FSM'!BA38+'Rejection Primary with Scan'!BA38+'Rejection Secondary'!BA38+'Rev DC DC Primary Sorting'!BA38+'Rev Primary (FSM Rejections)'!BA38+'Rev Secondary Sorting'!BA38+'VIA Bag Sorting'!BA38</f>
        <v/>
      </c>
      <c r="BB38" s="7">
        <f>SUM(AD38:BA38)</f>
        <v/>
      </c>
    </row>
    <row r="39">
      <c r="A39" t="inlineStr">
        <is>
          <t>AMD-FK-SSC</t>
        </is>
      </c>
      <c r="B39" t="inlineStr">
        <is>
          <t>Prime at Client side</t>
        </is>
      </c>
      <c r="C39" s="5" t="n">
        <v>46102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42</v>
      </c>
      <c r="Q39" s="6" t="n">
        <v>143</v>
      </c>
      <c r="R39" s="6" t="n">
        <v>28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>
        <f>SUM(D39:AA39)</f>
        <v/>
      </c>
      <c r="AC39" s="3" t="inlineStr"/>
      <c r="AD39" s="7">
        <f>'BBB'!AD39+'Bag Staging'!AD39+'Bag Staging Volumetric'!AD39+'FWD FSM'!AD39+'FWD Manual Pre Primary'!AD39+'FWD Manual Primary'!AD39+'FWD Primary with Scan'!AD39+'FWD Secondary'!AD39+'FWD Volumetric'!AD39+'IB'!AD39+'IB Volumetric'!AD39+'OB'!AD39+'OB Volumetric'!AD39+'OSC Bag Sorting'!AD39+'OSC Bag Sorting Volumetric'!AD39+'REV FSM'!AD39+'Rejection Primary with Scan'!AD39+'Rejection Secondary'!AD39+'Rev DC DC Primary Sorting'!AD39+'Rev Primary (FSM Rejections)'!AD39+'Rev Secondary Sorting'!AD39+'VIA Bag Sorting'!AD39</f>
        <v/>
      </c>
      <c r="AE39" s="7">
        <f>'BBB'!AE39+'Bag Staging'!AE39+'Bag Staging Volumetric'!AE39+'FWD FSM'!AE39+'FWD Manual Pre Primary'!AE39+'FWD Manual Primary'!AE39+'FWD Primary with Scan'!AE39+'FWD Secondary'!AE39+'FWD Volumetric'!AE39+'IB'!AE39+'IB Volumetric'!AE39+'OB'!AE39+'OB Volumetric'!AE39+'OSC Bag Sorting'!AE39+'OSC Bag Sorting Volumetric'!AE39+'REV FSM'!AE39+'Rejection Primary with Scan'!AE39+'Rejection Secondary'!AE39+'Rev DC DC Primary Sorting'!AE39+'Rev Primary (FSM Rejections)'!AE39+'Rev Secondary Sorting'!AE39+'VIA Bag Sorting'!AE39</f>
        <v/>
      </c>
      <c r="AF39" s="7">
        <f>'BBB'!AF39+'Bag Staging'!AF39+'Bag Staging Volumetric'!AF39+'FWD FSM'!AF39+'FWD Manual Pre Primary'!AF39+'FWD Manual Primary'!AF39+'FWD Primary with Scan'!AF39+'FWD Secondary'!AF39+'FWD Volumetric'!AF39+'IB'!AF39+'IB Volumetric'!AF39+'OB'!AF39+'OB Volumetric'!AF39+'OSC Bag Sorting'!AF39+'OSC Bag Sorting Volumetric'!AF39+'REV FSM'!AF39+'Rejection Primary with Scan'!AF39+'Rejection Secondary'!AF39+'Rev DC DC Primary Sorting'!AF39+'Rev Primary (FSM Rejections)'!AF39+'Rev Secondary Sorting'!AF39+'VIA Bag Sorting'!AF39</f>
        <v/>
      </c>
      <c r="AG39" s="7">
        <f>'BBB'!AG39+'Bag Staging'!AG39+'Bag Staging Volumetric'!AG39+'FWD FSM'!AG39+'FWD Manual Pre Primary'!AG39+'FWD Manual Primary'!AG39+'FWD Primary with Scan'!AG39+'FWD Secondary'!AG39+'FWD Volumetric'!AG39+'IB'!AG39+'IB Volumetric'!AG39+'OB'!AG39+'OB Volumetric'!AG39+'OSC Bag Sorting'!AG39+'OSC Bag Sorting Volumetric'!AG39+'REV FSM'!AG39+'Rejection Primary with Scan'!AG39+'Rejection Secondary'!AG39+'Rev DC DC Primary Sorting'!AG39+'Rev Primary (FSM Rejections)'!AG39+'Rev Secondary Sorting'!AG39+'VIA Bag Sorting'!AG39</f>
        <v/>
      </c>
      <c r="AH39" s="7">
        <f>'BBB'!AH39+'Bag Staging'!AH39+'Bag Staging Volumetric'!AH39+'FWD FSM'!AH39+'FWD Manual Pre Primary'!AH39+'FWD Manual Primary'!AH39+'FWD Primary with Scan'!AH39+'FWD Secondary'!AH39+'FWD Volumetric'!AH39+'IB'!AH39+'IB Volumetric'!AH39+'OB'!AH39+'OB Volumetric'!AH39+'OSC Bag Sorting'!AH39+'OSC Bag Sorting Volumetric'!AH39+'REV FSM'!AH39+'Rejection Primary with Scan'!AH39+'Rejection Secondary'!AH39+'Rev DC DC Primary Sorting'!AH39+'Rev Primary (FSM Rejections)'!AH39+'Rev Secondary Sorting'!AH39+'VIA Bag Sorting'!AH39</f>
        <v/>
      </c>
      <c r="AI39" s="7">
        <f>'BBB'!AI39+'Bag Staging'!AI39+'Bag Staging Volumetric'!AI39+'FWD FSM'!AI39+'FWD Manual Pre Primary'!AI39+'FWD Manual Primary'!AI39+'FWD Primary with Scan'!AI39+'FWD Secondary'!AI39+'FWD Volumetric'!AI39+'IB'!AI39+'IB Volumetric'!AI39+'OB'!AI39+'OB Volumetric'!AI39+'OSC Bag Sorting'!AI39+'OSC Bag Sorting Volumetric'!AI39+'REV FSM'!AI39+'Rejection Primary with Scan'!AI39+'Rejection Secondary'!AI39+'Rev DC DC Primary Sorting'!AI39+'Rev Primary (FSM Rejections)'!AI39+'Rev Secondary Sorting'!AI39+'VIA Bag Sorting'!AI39</f>
        <v/>
      </c>
      <c r="AJ39" s="7">
        <f>'BBB'!AJ39+'Bag Staging'!AJ39+'Bag Staging Volumetric'!AJ39+'FWD FSM'!AJ39+'FWD Manual Pre Primary'!AJ39+'FWD Manual Primary'!AJ39+'FWD Primary with Scan'!AJ39+'FWD Secondary'!AJ39+'FWD Volumetric'!AJ39+'IB'!AJ39+'IB Volumetric'!AJ39+'OB'!AJ39+'OB Volumetric'!AJ39+'OSC Bag Sorting'!AJ39+'OSC Bag Sorting Volumetric'!AJ39+'REV FSM'!AJ39+'Rejection Primary with Scan'!AJ39+'Rejection Secondary'!AJ39+'Rev DC DC Primary Sorting'!AJ39+'Rev Primary (FSM Rejections)'!AJ39+'Rev Secondary Sorting'!AJ39+'VIA Bag Sorting'!AJ39</f>
        <v/>
      </c>
      <c r="AK39" s="7">
        <f>'BBB'!AK39+'Bag Staging'!AK39+'Bag Staging Volumetric'!AK39+'FWD FSM'!AK39+'FWD Manual Pre Primary'!AK39+'FWD Manual Primary'!AK39+'FWD Primary with Scan'!AK39+'FWD Secondary'!AK39+'FWD Volumetric'!AK39+'IB'!AK39+'IB Volumetric'!AK39+'OB'!AK39+'OB Volumetric'!AK39+'OSC Bag Sorting'!AK39+'OSC Bag Sorting Volumetric'!AK39+'REV FSM'!AK39+'Rejection Primary with Scan'!AK39+'Rejection Secondary'!AK39+'Rev DC DC Primary Sorting'!AK39+'Rev Primary (FSM Rejections)'!AK39+'Rev Secondary Sorting'!AK39+'VIA Bag Sorting'!AK39</f>
        <v/>
      </c>
      <c r="AL39" s="7">
        <f>'BBB'!AL39+'Bag Staging'!AL39+'Bag Staging Volumetric'!AL39+'FWD FSM'!AL39+'FWD Manual Pre Primary'!AL39+'FWD Manual Primary'!AL39+'FWD Primary with Scan'!AL39+'FWD Secondary'!AL39+'FWD Volumetric'!AL39+'IB'!AL39+'IB Volumetric'!AL39+'OB'!AL39+'OB Volumetric'!AL39+'OSC Bag Sorting'!AL39+'OSC Bag Sorting Volumetric'!AL39+'REV FSM'!AL39+'Rejection Primary with Scan'!AL39+'Rejection Secondary'!AL39+'Rev DC DC Primary Sorting'!AL39+'Rev Primary (FSM Rejections)'!AL39+'Rev Secondary Sorting'!AL39+'VIA Bag Sorting'!AL39</f>
        <v/>
      </c>
      <c r="AM39" s="7">
        <f>'BBB'!AM39+'Bag Staging'!AM39+'Bag Staging Volumetric'!AM39+'FWD FSM'!AM39+'FWD Manual Pre Primary'!AM39+'FWD Manual Primary'!AM39+'FWD Primary with Scan'!AM39+'FWD Secondary'!AM39+'FWD Volumetric'!AM39+'IB'!AM39+'IB Volumetric'!AM39+'OB'!AM39+'OB Volumetric'!AM39+'OSC Bag Sorting'!AM39+'OSC Bag Sorting Volumetric'!AM39+'REV FSM'!AM39+'Rejection Primary with Scan'!AM39+'Rejection Secondary'!AM39+'Rev DC DC Primary Sorting'!AM39+'Rev Primary (FSM Rejections)'!AM39+'Rev Secondary Sorting'!AM39+'VIA Bag Sorting'!AM39</f>
        <v/>
      </c>
      <c r="AN39" s="7">
        <f>'BBB'!AN39+'Bag Staging'!AN39+'Bag Staging Volumetric'!AN39+'FWD FSM'!AN39+'FWD Manual Pre Primary'!AN39+'FWD Manual Primary'!AN39+'FWD Primary with Scan'!AN39+'FWD Secondary'!AN39+'FWD Volumetric'!AN39+'IB'!AN39+'IB Volumetric'!AN39+'OB'!AN39+'OB Volumetric'!AN39+'OSC Bag Sorting'!AN39+'OSC Bag Sorting Volumetric'!AN39+'REV FSM'!AN39+'Rejection Primary with Scan'!AN39+'Rejection Secondary'!AN39+'Rev DC DC Primary Sorting'!AN39+'Rev Primary (FSM Rejections)'!AN39+'Rev Secondary Sorting'!AN39+'VIA Bag Sorting'!AN39</f>
        <v/>
      </c>
      <c r="AO39" s="7">
        <f>'BBB'!AO39+'Bag Staging'!AO39+'Bag Staging Volumetric'!AO39+'FWD FSM'!AO39+'FWD Manual Pre Primary'!AO39+'FWD Manual Primary'!AO39+'FWD Primary with Scan'!AO39+'FWD Secondary'!AO39+'FWD Volumetric'!AO39+'IB'!AO39+'IB Volumetric'!AO39+'OB'!AO39+'OB Volumetric'!AO39+'OSC Bag Sorting'!AO39+'OSC Bag Sorting Volumetric'!AO39+'REV FSM'!AO39+'Rejection Primary with Scan'!AO39+'Rejection Secondary'!AO39+'Rev DC DC Primary Sorting'!AO39+'Rev Primary (FSM Rejections)'!AO39+'Rev Secondary Sorting'!AO39+'VIA Bag Sorting'!AO39</f>
        <v/>
      </c>
      <c r="AP39" s="7">
        <f>'BBB'!AP39+'Bag Staging'!AP39+'Bag Staging Volumetric'!AP39+'FWD FSM'!AP39+'FWD Manual Pre Primary'!AP39+'FWD Manual Primary'!AP39+'FWD Primary with Scan'!AP39+'FWD Secondary'!AP39+'FWD Volumetric'!AP39+'IB'!AP39+'IB Volumetric'!AP39+'OB'!AP39+'OB Volumetric'!AP39+'OSC Bag Sorting'!AP39+'OSC Bag Sorting Volumetric'!AP39+'REV FSM'!AP39+'Rejection Primary with Scan'!AP39+'Rejection Secondary'!AP39+'Rev DC DC Primary Sorting'!AP39+'Rev Primary (FSM Rejections)'!AP39+'Rev Secondary Sorting'!AP39+'VIA Bag Sorting'!AP39</f>
        <v/>
      </c>
      <c r="AQ39" s="7">
        <f>'BBB'!AQ39+'Bag Staging'!AQ39+'Bag Staging Volumetric'!AQ39+'FWD FSM'!AQ39+'FWD Manual Pre Primary'!AQ39+'FWD Manual Primary'!AQ39+'FWD Primary with Scan'!AQ39+'FWD Secondary'!AQ39+'FWD Volumetric'!AQ39+'IB'!AQ39+'IB Volumetric'!AQ39+'OB'!AQ39+'OB Volumetric'!AQ39+'OSC Bag Sorting'!AQ39+'OSC Bag Sorting Volumetric'!AQ39+'REV FSM'!AQ39+'Rejection Primary with Scan'!AQ39+'Rejection Secondary'!AQ39+'Rev DC DC Primary Sorting'!AQ39+'Rev Primary (FSM Rejections)'!AQ39+'Rev Secondary Sorting'!AQ39+'VIA Bag Sorting'!AQ39</f>
        <v/>
      </c>
      <c r="AR39" s="7">
        <f>'BBB'!AR39+'Bag Staging'!AR39+'Bag Staging Volumetric'!AR39+'FWD FSM'!AR39+'FWD Manual Pre Primary'!AR39+'FWD Manual Primary'!AR39+'FWD Primary with Scan'!AR39+'FWD Secondary'!AR39+'FWD Volumetric'!AR39+'IB'!AR39+'IB Volumetric'!AR39+'OB'!AR39+'OB Volumetric'!AR39+'OSC Bag Sorting'!AR39+'OSC Bag Sorting Volumetric'!AR39+'REV FSM'!AR39+'Rejection Primary with Scan'!AR39+'Rejection Secondary'!AR39+'Rev DC DC Primary Sorting'!AR39+'Rev Primary (FSM Rejections)'!AR39+'Rev Secondary Sorting'!AR39+'VIA Bag Sorting'!AR39</f>
        <v/>
      </c>
      <c r="AS39" s="7">
        <f>'BBB'!AS39+'Bag Staging'!AS39+'Bag Staging Volumetric'!AS39+'FWD FSM'!AS39+'FWD Manual Pre Primary'!AS39+'FWD Manual Primary'!AS39+'FWD Primary with Scan'!AS39+'FWD Secondary'!AS39+'FWD Volumetric'!AS39+'IB'!AS39+'IB Volumetric'!AS39+'OB'!AS39+'OB Volumetric'!AS39+'OSC Bag Sorting'!AS39+'OSC Bag Sorting Volumetric'!AS39+'REV FSM'!AS39+'Rejection Primary with Scan'!AS39+'Rejection Secondary'!AS39+'Rev DC DC Primary Sorting'!AS39+'Rev Primary (FSM Rejections)'!AS39+'Rev Secondary Sorting'!AS39+'VIA Bag Sorting'!AS39</f>
        <v/>
      </c>
      <c r="AT39" s="7">
        <f>'BBB'!AT39+'Bag Staging'!AT39+'Bag Staging Volumetric'!AT39+'FWD FSM'!AT39+'FWD Manual Pre Primary'!AT39+'FWD Manual Primary'!AT39+'FWD Primary with Scan'!AT39+'FWD Secondary'!AT39+'FWD Volumetric'!AT39+'IB'!AT39+'IB Volumetric'!AT39+'OB'!AT39+'OB Volumetric'!AT39+'OSC Bag Sorting'!AT39+'OSC Bag Sorting Volumetric'!AT39+'REV FSM'!AT39+'Rejection Primary with Scan'!AT39+'Rejection Secondary'!AT39+'Rev DC DC Primary Sorting'!AT39+'Rev Primary (FSM Rejections)'!AT39+'Rev Secondary Sorting'!AT39+'VIA Bag Sorting'!AT39</f>
        <v/>
      </c>
      <c r="AU39" s="7">
        <f>'BBB'!AU39+'Bag Staging'!AU39+'Bag Staging Volumetric'!AU39+'FWD FSM'!AU39+'FWD Manual Pre Primary'!AU39+'FWD Manual Primary'!AU39+'FWD Primary with Scan'!AU39+'FWD Secondary'!AU39+'FWD Volumetric'!AU39+'IB'!AU39+'IB Volumetric'!AU39+'OB'!AU39+'OB Volumetric'!AU39+'OSC Bag Sorting'!AU39+'OSC Bag Sorting Volumetric'!AU39+'REV FSM'!AU39+'Rejection Primary with Scan'!AU39+'Rejection Secondary'!AU39+'Rev DC DC Primary Sorting'!AU39+'Rev Primary (FSM Rejections)'!AU39+'Rev Secondary Sorting'!AU39+'VIA Bag Sorting'!AU39</f>
        <v/>
      </c>
      <c r="AV39" s="7">
        <f>'BBB'!AV39+'Bag Staging'!AV39+'Bag Staging Volumetric'!AV39+'FWD FSM'!AV39+'FWD Manual Pre Primary'!AV39+'FWD Manual Primary'!AV39+'FWD Primary with Scan'!AV39+'FWD Secondary'!AV39+'FWD Volumetric'!AV39+'IB'!AV39+'IB Volumetric'!AV39+'OB'!AV39+'OB Volumetric'!AV39+'OSC Bag Sorting'!AV39+'OSC Bag Sorting Volumetric'!AV39+'REV FSM'!AV39+'Rejection Primary with Scan'!AV39+'Rejection Secondary'!AV39+'Rev DC DC Primary Sorting'!AV39+'Rev Primary (FSM Rejections)'!AV39+'Rev Secondary Sorting'!AV39+'VIA Bag Sorting'!AV39</f>
        <v/>
      </c>
      <c r="AW39" s="7">
        <f>'BBB'!AW39+'Bag Staging'!AW39+'Bag Staging Volumetric'!AW39+'FWD FSM'!AW39+'FWD Manual Pre Primary'!AW39+'FWD Manual Primary'!AW39+'FWD Primary with Scan'!AW39+'FWD Secondary'!AW39+'FWD Volumetric'!AW39+'IB'!AW39+'IB Volumetric'!AW39+'OB'!AW39+'OB Volumetric'!AW39+'OSC Bag Sorting'!AW39+'OSC Bag Sorting Volumetric'!AW39+'REV FSM'!AW39+'Rejection Primary with Scan'!AW39+'Rejection Secondary'!AW39+'Rev DC DC Primary Sorting'!AW39+'Rev Primary (FSM Rejections)'!AW39+'Rev Secondary Sorting'!AW39+'VIA Bag Sorting'!AW39</f>
        <v/>
      </c>
      <c r="AX39" s="7">
        <f>'BBB'!AX39+'Bag Staging'!AX39+'Bag Staging Volumetric'!AX39+'FWD FSM'!AX39+'FWD Manual Pre Primary'!AX39+'FWD Manual Primary'!AX39+'FWD Primary with Scan'!AX39+'FWD Secondary'!AX39+'FWD Volumetric'!AX39+'IB'!AX39+'IB Volumetric'!AX39+'OB'!AX39+'OB Volumetric'!AX39+'OSC Bag Sorting'!AX39+'OSC Bag Sorting Volumetric'!AX39+'REV FSM'!AX39+'Rejection Primary with Scan'!AX39+'Rejection Secondary'!AX39+'Rev DC DC Primary Sorting'!AX39+'Rev Primary (FSM Rejections)'!AX39+'Rev Secondary Sorting'!AX39+'VIA Bag Sorting'!AX39</f>
        <v/>
      </c>
      <c r="AY39" s="7">
        <f>'BBB'!AY39+'Bag Staging'!AY39+'Bag Staging Volumetric'!AY39+'FWD FSM'!AY39+'FWD Manual Pre Primary'!AY39+'FWD Manual Primary'!AY39+'FWD Primary with Scan'!AY39+'FWD Secondary'!AY39+'FWD Volumetric'!AY39+'IB'!AY39+'IB Volumetric'!AY39+'OB'!AY39+'OB Volumetric'!AY39+'OSC Bag Sorting'!AY39+'OSC Bag Sorting Volumetric'!AY39+'REV FSM'!AY39+'Rejection Primary with Scan'!AY39+'Rejection Secondary'!AY39+'Rev DC DC Primary Sorting'!AY39+'Rev Primary (FSM Rejections)'!AY39+'Rev Secondary Sorting'!AY39+'VIA Bag Sorting'!AY39</f>
        <v/>
      </c>
      <c r="AZ39" s="7">
        <f>'BBB'!AZ39+'Bag Staging'!AZ39+'Bag Staging Volumetric'!AZ39+'FWD FSM'!AZ39+'FWD Manual Pre Primary'!AZ39+'FWD Manual Primary'!AZ39+'FWD Primary with Scan'!AZ39+'FWD Secondary'!AZ39+'FWD Volumetric'!AZ39+'IB'!AZ39+'IB Volumetric'!AZ39+'OB'!AZ39+'OB Volumetric'!AZ39+'OSC Bag Sorting'!AZ39+'OSC Bag Sorting Volumetric'!AZ39+'REV FSM'!AZ39+'Rejection Primary with Scan'!AZ39+'Rejection Secondary'!AZ39+'Rev DC DC Primary Sorting'!AZ39+'Rev Primary (FSM Rejections)'!AZ39+'Rev Secondary Sorting'!AZ39+'VIA Bag Sorting'!AZ39</f>
        <v/>
      </c>
      <c r="BA39" s="7">
        <f>'BBB'!BA39+'Bag Staging'!BA39+'Bag Staging Volumetric'!BA39+'FWD FSM'!BA39+'FWD Manual Pre Primary'!BA39+'FWD Manual Primary'!BA39+'FWD Primary with Scan'!BA39+'FWD Secondary'!BA39+'FWD Volumetric'!BA39+'IB'!BA39+'IB Volumetric'!BA39+'OB'!BA39+'OB Volumetric'!BA39+'OSC Bag Sorting'!BA39+'OSC Bag Sorting Volumetric'!BA39+'REV FSM'!BA39+'Rejection Primary with Scan'!BA39+'Rejection Secondary'!BA39+'Rev DC DC Primary Sorting'!BA39+'Rev Primary (FSM Rejections)'!BA39+'Rev Secondary Sorting'!BA39+'VIA Bag Sorting'!BA39</f>
        <v/>
      </c>
      <c r="BB39" s="7">
        <f>SUM(AD39:BA39)</f>
        <v/>
      </c>
    </row>
    <row r="40">
      <c r="A40" t="inlineStr">
        <is>
          <t>AMD-FK-SSC</t>
        </is>
      </c>
      <c r="B40" t="inlineStr">
        <is>
          <t>Prime at Client side</t>
        </is>
      </c>
      <c r="C40" s="5" t="n">
        <v>46103</v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0</v>
      </c>
      <c r="M40" s="6" t="n">
        <v>0</v>
      </c>
      <c r="N40" s="6" t="n">
        <v>0</v>
      </c>
      <c r="O40" s="6" t="n">
        <v>0</v>
      </c>
      <c r="P40" s="6" t="n">
        <v>44</v>
      </c>
      <c r="Q40" s="6" t="n">
        <v>149</v>
      </c>
      <c r="R40" s="6" t="n">
        <v>25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>
        <f>SUM(D40:AA40)</f>
        <v/>
      </c>
      <c r="AC40" s="3" t="inlineStr"/>
      <c r="AD40" s="7">
        <f>'BBB'!AD40+'Bag Staging'!AD40+'Bag Staging Volumetric'!AD40+'FWD FSM'!AD40+'FWD Manual Pre Primary'!AD40+'FWD Manual Primary'!AD40+'FWD Primary with Scan'!AD40+'FWD Secondary'!AD40+'FWD Volumetric'!AD40+'IB'!AD40+'IB Volumetric'!AD40+'OB'!AD40+'OB Volumetric'!AD40+'OSC Bag Sorting'!AD40+'OSC Bag Sorting Volumetric'!AD40+'REV FSM'!AD40+'Rejection Primary with Scan'!AD40+'Rejection Secondary'!AD40+'Rev DC DC Primary Sorting'!AD40+'Rev Primary (FSM Rejections)'!AD40+'Rev Secondary Sorting'!AD40+'VIA Bag Sorting'!AD40</f>
        <v/>
      </c>
      <c r="AE40" s="7">
        <f>'BBB'!AE40+'Bag Staging'!AE40+'Bag Staging Volumetric'!AE40+'FWD FSM'!AE40+'FWD Manual Pre Primary'!AE40+'FWD Manual Primary'!AE40+'FWD Primary with Scan'!AE40+'FWD Secondary'!AE40+'FWD Volumetric'!AE40+'IB'!AE40+'IB Volumetric'!AE40+'OB'!AE40+'OB Volumetric'!AE40+'OSC Bag Sorting'!AE40+'OSC Bag Sorting Volumetric'!AE40+'REV FSM'!AE40+'Rejection Primary with Scan'!AE40+'Rejection Secondary'!AE40+'Rev DC DC Primary Sorting'!AE40+'Rev Primary (FSM Rejections)'!AE40+'Rev Secondary Sorting'!AE40+'VIA Bag Sorting'!AE40</f>
        <v/>
      </c>
      <c r="AF40" s="7">
        <f>'BBB'!AF40+'Bag Staging'!AF40+'Bag Staging Volumetric'!AF40+'FWD FSM'!AF40+'FWD Manual Pre Primary'!AF40+'FWD Manual Primary'!AF40+'FWD Primary with Scan'!AF40+'FWD Secondary'!AF40+'FWD Volumetric'!AF40+'IB'!AF40+'IB Volumetric'!AF40+'OB'!AF40+'OB Volumetric'!AF40+'OSC Bag Sorting'!AF40+'OSC Bag Sorting Volumetric'!AF40+'REV FSM'!AF40+'Rejection Primary with Scan'!AF40+'Rejection Secondary'!AF40+'Rev DC DC Primary Sorting'!AF40+'Rev Primary (FSM Rejections)'!AF40+'Rev Secondary Sorting'!AF40+'VIA Bag Sorting'!AF40</f>
        <v/>
      </c>
      <c r="AG40" s="7">
        <f>'BBB'!AG40+'Bag Staging'!AG40+'Bag Staging Volumetric'!AG40+'FWD FSM'!AG40+'FWD Manual Pre Primary'!AG40+'FWD Manual Primary'!AG40+'FWD Primary with Scan'!AG40+'FWD Secondary'!AG40+'FWD Volumetric'!AG40+'IB'!AG40+'IB Volumetric'!AG40+'OB'!AG40+'OB Volumetric'!AG40+'OSC Bag Sorting'!AG40+'OSC Bag Sorting Volumetric'!AG40+'REV FSM'!AG40+'Rejection Primary with Scan'!AG40+'Rejection Secondary'!AG40+'Rev DC DC Primary Sorting'!AG40+'Rev Primary (FSM Rejections)'!AG40+'Rev Secondary Sorting'!AG40+'VIA Bag Sorting'!AG40</f>
        <v/>
      </c>
      <c r="AH40" s="7">
        <f>'BBB'!AH40+'Bag Staging'!AH40+'Bag Staging Volumetric'!AH40+'FWD FSM'!AH40+'FWD Manual Pre Primary'!AH40+'FWD Manual Primary'!AH40+'FWD Primary with Scan'!AH40+'FWD Secondary'!AH40+'FWD Volumetric'!AH40+'IB'!AH40+'IB Volumetric'!AH40+'OB'!AH40+'OB Volumetric'!AH40+'OSC Bag Sorting'!AH40+'OSC Bag Sorting Volumetric'!AH40+'REV FSM'!AH40+'Rejection Primary with Scan'!AH40+'Rejection Secondary'!AH40+'Rev DC DC Primary Sorting'!AH40+'Rev Primary (FSM Rejections)'!AH40+'Rev Secondary Sorting'!AH40+'VIA Bag Sorting'!AH40</f>
        <v/>
      </c>
      <c r="AI40" s="7">
        <f>'BBB'!AI40+'Bag Staging'!AI40+'Bag Staging Volumetric'!AI40+'FWD FSM'!AI40+'FWD Manual Pre Primary'!AI40+'FWD Manual Primary'!AI40+'FWD Primary with Scan'!AI40+'FWD Secondary'!AI40+'FWD Volumetric'!AI40+'IB'!AI40+'IB Volumetric'!AI40+'OB'!AI40+'OB Volumetric'!AI40+'OSC Bag Sorting'!AI40+'OSC Bag Sorting Volumetric'!AI40+'REV FSM'!AI40+'Rejection Primary with Scan'!AI40+'Rejection Secondary'!AI40+'Rev DC DC Primary Sorting'!AI40+'Rev Primary (FSM Rejections)'!AI40+'Rev Secondary Sorting'!AI40+'VIA Bag Sorting'!AI40</f>
        <v/>
      </c>
      <c r="AJ40" s="7">
        <f>'BBB'!AJ40+'Bag Staging'!AJ40+'Bag Staging Volumetric'!AJ40+'FWD FSM'!AJ40+'FWD Manual Pre Primary'!AJ40+'FWD Manual Primary'!AJ40+'FWD Primary with Scan'!AJ40+'FWD Secondary'!AJ40+'FWD Volumetric'!AJ40+'IB'!AJ40+'IB Volumetric'!AJ40+'OB'!AJ40+'OB Volumetric'!AJ40+'OSC Bag Sorting'!AJ40+'OSC Bag Sorting Volumetric'!AJ40+'REV FSM'!AJ40+'Rejection Primary with Scan'!AJ40+'Rejection Secondary'!AJ40+'Rev DC DC Primary Sorting'!AJ40+'Rev Primary (FSM Rejections)'!AJ40+'Rev Secondary Sorting'!AJ40+'VIA Bag Sorting'!AJ40</f>
        <v/>
      </c>
      <c r="AK40" s="7">
        <f>'BBB'!AK40+'Bag Staging'!AK40+'Bag Staging Volumetric'!AK40+'FWD FSM'!AK40+'FWD Manual Pre Primary'!AK40+'FWD Manual Primary'!AK40+'FWD Primary with Scan'!AK40+'FWD Secondary'!AK40+'FWD Volumetric'!AK40+'IB'!AK40+'IB Volumetric'!AK40+'OB'!AK40+'OB Volumetric'!AK40+'OSC Bag Sorting'!AK40+'OSC Bag Sorting Volumetric'!AK40+'REV FSM'!AK40+'Rejection Primary with Scan'!AK40+'Rejection Secondary'!AK40+'Rev DC DC Primary Sorting'!AK40+'Rev Primary (FSM Rejections)'!AK40+'Rev Secondary Sorting'!AK40+'VIA Bag Sorting'!AK40</f>
        <v/>
      </c>
      <c r="AL40" s="7">
        <f>'BBB'!AL40+'Bag Staging'!AL40+'Bag Staging Volumetric'!AL40+'FWD FSM'!AL40+'FWD Manual Pre Primary'!AL40+'FWD Manual Primary'!AL40+'FWD Primary with Scan'!AL40+'FWD Secondary'!AL40+'FWD Volumetric'!AL40+'IB'!AL40+'IB Volumetric'!AL40+'OB'!AL40+'OB Volumetric'!AL40+'OSC Bag Sorting'!AL40+'OSC Bag Sorting Volumetric'!AL40+'REV FSM'!AL40+'Rejection Primary with Scan'!AL40+'Rejection Secondary'!AL40+'Rev DC DC Primary Sorting'!AL40+'Rev Primary (FSM Rejections)'!AL40+'Rev Secondary Sorting'!AL40+'VIA Bag Sorting'!AL40</f>
        <v/>
      </c>
      <c r="AM40" s="7">
        <f>'BBB'!AM40+'Bag Staging'!AM40+'Bag Staging Volumetric'!AM40+'FWD FSM'!AM40+'FWD Manual Pre Primary'!AM40+'FWD Manual Primary'!AM40+'FWD Primary with Scan'!AM40+'FWD Secondary'!AM40+'FWD Volumetric'!AM40+'IB'!AM40+'IB Volumetric'!AM40+'OB'!AM40+'OB Volumetric'!AM40+'OSC Bag Sorting'!AM40+'OSC Bag Sorting Volumetric'!AM40+'REV FSM'!AM40+'Rejection Primary with Scan'!AM40+'Rejection Secondary'!AM40+'Rev DC DC Primary Sorting'!AM40+'Rev Primary (FSM Rejections)'!AM40+'Rev Secondary Sorting'!AM40+'VIA Bag Sorting'!AM40</f>
        <v/>
      </c>
      <c r="AN40" s="7">
        <f>'BBB'!AN40+'Bag Staging'!AN40+'Bag Staging Volumetric'!AN40+'FWD FSM'!AN40+'FWD Manual Pre Primary'!AN40+'FWD Manual Primary'!AN40+'FWD Primary with Scan'!AN40+'FWD Secondary'!AN40+'FWD Volumetric'!AN40+'IB'!AN40+'IB Volumetric'!AN40+'OB'!AN40+'OB Volumetric'!AN40+'OSC Bag Sorting'!AN40+'OSC Bag Sorting Volumetric'!AN40+'REV FSM'!AN40+'Rejection Primary with Scan'!AN40+'Rejection Secondary'!AN40+'Rev DC DC Primary Sorting'!AN40+'Rev Primary (FSM Rejections)'!AN40+'Rev Secondary Sorting'!AN40+'VIA Bag Sorting'!AN40</f>
        <v/>
      </c>
      <c r="AO40" s="7">
        <f>'BBB'!AO40+'Bag Staging'!AO40+'Bag Staging Volumetric'!AO40+'FWD FSM'!AO40+'FWD Manual Pre Primary'!AO40+'FWD Manual Primary'!AO40+'FWD Primary with Scan'!AO40+'FWD Secondary'!AO40+'FWD Volumetric'!AO40+'IB'!AO40+'IB Volumetric'!AO40+'OB'!AO40+'OB Volumetric'!AO40+'OSC Bag Sorting'!AO40+'OSC Bag Sorting Volumetric'!AO40+'REV FSM'!AO40+'Rejection Primary with Scan'!AO40+'Rejection Secondary'!AO40+'Rev DC DC Primary Sorting'!AO40+'Rev Primary (FSM Rejections)'!AO40+'Rev Secondary Sorting'!AO40+'VIA Bag Sorting'!AO40</f>
        <v/>
      </c>
      <c r="AP40" s="7">
        <f>'BBB'!AP40+'Bag Staging'!AP40+'Bag Staging Volumetric'!AP40+'FWD FSM'!AP40+'FWD Manual Pre Primary'!AP40+'FWD Manual Primary'!AP40+'FWD Primary with Scan'!AP40+'FWD Secondary'!AP40+'FWD Volumetric'!AP40+'IB'!AP40+'IB Volumetric'!AP40+'OB'!AP40+'OB Volumetric'!AP40+'OSC Bag Sorting'!AP40+'OSC Bag Sorting Volumetric'!AP40+'REV FSM'!AP40+'Rejection Primary with Scan'!AP40+'Rejection Secondary'!AP40+'Rev DC DC Primary Sorting'!AP40+'Rev Primary (FSM Rejections)'!AP40+'Rev Secondary Sorting'!AP40+'VIA Bag Sorting'!AP40</f>
        <v/>
      </c>
      <c r="AQ40" s="7">
        <f>'BBB'!AQ40+'Bag Staging'!AQ40+'Bag Staging Volumetric'!AQ40+'FWD FSM'!AQ40+'FWD Manual Pre Primary'!AQ40+'FWD Manual Primary'!AQ40+'FWD Primary with Scan'!AQ40+'FWD Secondary'!AQ40+'FWD Volumetric'!AQ40+'IB'!AQ40+'IB Volumetric'!AQ40+'OB'!AQ40+'OB Volumetric'!AQ40+'OSC Bag Sorting'!AQ40+'OSC Bag Sorting Volumetric'!AQ40+'REV FSM'!AQ40+'Rejection Primary with Scan'!AQ40+'Rejection Secondary'!AQ40+'Rev DC DC Primary Sorting'!AQ40+'Rev Primary (FSM Rejections)'!AQ40+'Rev Secondary Sorting'!AQ40+'VIA Bag Sorting'!AQ40</f>
        <v/>
      </c>
      <c r="AR40" s="7">
        <f>'BBB'!AR40+'Bag Staging'!AR40+'Bag Staging Volumetric'!AR40+'FWD FSM'!AR40+'FWD Manual Pre Primary'!AR40+'FWD Manual Primary'!AR40+'FWD Primary with Scan'!AR40+'FWD Secondary'!AR40+'FWD Volumetric'!AR40+'IB'!AR40+'IB Volumetric'!AR40+'OB'!AR40+'OB Volumetric'!AR40+'OSC Bag Sorting'!AR40+'OSC Bag Sorting Volumetric'!AR40+'REV FSM'!AR40+'Rejection Primary with Scan'!AR40+'Rejection Secondary'!AR40+'Rev DC DC Primary Sorting'!AR40+'Rev Primary (FSM Rejections)'!AR40+'Rev Secondary Sorting'!AR40+'VIA Bag Sorting'!AR40</f>
        <v/>
      </c>
      <c r="AS40" s="7">
        <f>'BBB'!AS40+'Bag Staging'!AS40+'Bag Staging Volumetric'!AS40+'FWD FSM'!AS40+'FWD Manual Pre Primary'!AS40+'FWD Manual Primary'!AS40+'FWD Primary with Scan'!AS40+'FWD Secondary'!AS40+'FWD Volumetric'!AS40+'IB'!AS40+'IB Volumetric'!AS40+'OB'!AS40+'OB Volumetric'!AS40+'OSC Bag Sorting'!AS40+'OSC Bag Sorting Volumetric'!AS40+'REV FSM'!AS40+'Rejection Primary with Scan'!AS40+'Rejection Secondary'!AS40+'Rev DC DC Primary Sorting'!AS40+'Rev Primary (FSM Rejections)'!AS40+'Rev Secondary Sorting'!AS40+'VIA Bag Sorting'!AS40</f>
        <v/>
      </c>
      <c r="AT40" s="7">
        <f>'BBB'!AT40+'Bag Staging'!AT40+'Bag Staging Volumetric'!AT40+'FWD FSM'!AT40+'FWD Manual Pre Primary'!AT40+'FWD Manual Primary'!AT40+'FWD Primary with Scan'!AT40+'FWD Secondary'!AT40+'FWD Volumetric'!AT40+'IB'!AT40+'IB Volumetric'!AT40+'OB'!AT40+'OB Volumetric'!AT40+'OSC Bag Sorting'!AT40+'OSC Bag Sorting Volumetric'!AT40+'REV FSM'!AT40+'Rejection Primary with Scan'!AT40+'Rejection Secondary'!AT40+'Rev DC DC Primary Sorting'!AT40+'Rev Primary (FSM Rejections)'!AT40+'Rev Secondary Sorting'!AT40+'VIA Bag Sorting'!AT40</f>
        <v/>
      </c>
      <c r="AU40" s="7">
        <f>'BBB'!AU40+'Bag Staging'!AU40+'Bag Staging Volumetric'!AU40+'FWD FSM'!AU40+'FWD Manual Pre Primary'!AU40+'FWD Manual Primary'!AU40+'FWD Primary with Scan'!AU40+'FWD Secondary'!AU40+'FWD Volumetric'!AU40+'IB'!AU40+'IB Volumetric'!AU40+'OB'!AU40+'OB Volumetric'!AU40+'OSC Bag Sorting'!AU40+'OSC Bag Sorting Volumetric'!AU40+'REV FSM'!AU40+'Rejection Primary with Scan'!AU40+'Rejection Secondary'!AU40+'Rev DC DC Primary Sorting'!AU40+'Rev Primary (FSM Rejections)'!AU40+'Rev Secondary Sorting'!AU40+'VIA Bag Sorting'!AU40</f>
        <v/>
      </c>
      <c r="AV40" s="7">
        <f>'BBB'!AV40+'Bag Staging'!AV40+'Bag Staging Volumetric'!AV40+'FWD FSM'!AV40+'FWD Manual Pre Primary'!AV40+'FWD Manual Primary'!AV40+'FWD Primary with Scan'!AV40+'FWD Secondary'!AV40+'FWD Volumetric'!AV40+'IB'!AV40+'IB Volumetric'!AV40+'OB'!AV40+'OB Volumetric'!AV40+'OSC Bag Sorting'!AV40+'OSC Bag Sorting Volumetric'!AV40+'REV FSM'!AV40+'Rejection Primary with Scan'!AV40+'Rejection Secondary'!AV40+'Rev DC DC Primary Sorting'!AV40+'Rev Primary (FSM Rejections)'!AV40+'Rev Secondary Sorting'!AV40+'VIA Bag Sorting'!AV40</f>
        <v/>
      </c>
      <c r="AW40" s="7">
        <f>'BBB'!AW40+'Bag Staging'!AW40+'Bag Staging Volumetric'!AW40+'FWD FSM'!AW40+'FWD Manual Pre Primary'!AW40+'FWD Manual Primary'!AW40+'FWD Primary with Scan'!AW40+'FWD Secondary'!AW40+'FWD Volumetric'!AW40+'IB'!AW40+'IB Volumetric'!AW40+'OB'!AW40+'OB Volumetric'!AW40+'OSC Bag Sorting'!AW40+'OSC Bag Sorting Volumetric'!AW40+'REV FSM'!AW40+'Rejection Primary with Scan'!AW40+'Rejection Secondary'!AW40+'Rev DC DC Primary Sorting'!AW40+'Rev Primary (FSM Rejections)'!AW40+'Rev Secondary Sorting'!AW40+'VIA Bag Sorting'!AW40</f>
        <v/>
      </c>
      <c r="AX40" s="7">
        <f>'BBB'!AX40+'Bag Staging'!AX40+'Bag Staging Volumetric'!AX40+'FWD FSM'!AX40+'FWD Manual Pre Primary'!AX40+'FWD Manual Primary'!AX40+'FWD Primary with Scan'!AX40+'FWD Secondary'!AX40+'FWD Volumetric'!AX40+'IB'!AX40+'IB Volumetric'!AX40+'OB'!AX40+'OB Volumetric'!AX40+'OSC Bag Sorting'!AX40+'OSC Bag Sorting Volumetric'!AX40+'REV FSM'!AX40+'Rejection Primary with Scan'!AX40+'Rejection Secondary'!AX40+'Rev DC DC Primary Sorting'!AX40+'Rev Primary (FSM Rejections)'!AX40+'Rev Secondary Sorting'!AX40+'VIA Bag Sorting'!AX40</f>
        <v/>
      </c>
      <c r="AY40" s="7">
        <f>'BBB'!AY40+'Bag Staging'!AY40+'Bag Staging Volumetric'!AY40+'FWD FSM'!AY40+'FWD Manual Pre Primary'!AY40+'FWD Manual Primary'!AY40+'FWD Primary with Scan'!AY40+'FWD Secondary'!AY40+'FWD Volumetric'!AY40+'IB'!AY40+'IB Volumetric'!AY40+'OB'!AY40+'OB Volumetric'!AY40+'OSC Bag Sorting'!AY40+'OSC Bag Sorting Volumetric'!AY40+'REV FSM'!AY40+'Rejection Primary with Scan'!AY40+'Rejection Secondary'!AY40+'Rev DC DC Primary Sorting'!AY40+'Rev Primary (FSM Rejections)'!AY40+'Rev Secondary Sorting'!AY40+'VIA Bag Sorting'!AY40</f>
        <v/>
      </c>
      <c r="AZ40" s="7">
        <f>'BBB'!AZ40+'Bag Staging'!AZ40+'Bag Staging Volumetric'!AZ40+'FWD FSM'!AZ40+'FWD Manual Pre Primary'!AZ40+'FWD Manual Primary'!AZ40+'FWD Primary with Scan'!AZ40+'FWD Secondary'!AZ40+'FWD Volumetric'!AZ40+'IB'!AZ40+'IB Volumetric'!AZ40+'OB'!AZ40+'OB Volumetric'!AZ40+'OSC Bag Sorting'!AZ40+'OSC Bag Sorting Volumetric'!AZ40+'REV FSM'!AZ40+'Rejection Primary with Scan'!AZ40+'Rejection Secondary'!AZ40+'Rev DC DC Primary Sorting'!AZ40+'Rev Primary (FSM Rejections)'!AZ40+'Rev Secondary Sorting'!AZ40+'VIA Bag Sorting'!AZ40</f>
        <v/>
      </c>
      <c r="BA40" s="7">
        <f>'BBB'!BA40+'Bag Staging'!BA40+'Bag Staging Volumetric'!BA40+'FWD FSM'!BA40+'FWD Manual Pre Primary'!BA40+'FWD Manual Primary'!BA40+'FWD Primary with Scan'!BA40+'FWD Secondary'!BA40+'FWD Volumetric'!BA40+'IB'!BA40+'IB Volumetric'!BA40+'OB'!BA40+'OB Volumetric'!BA40+'OSC Bag Sorting'!BA40+'OSC Bag Sorting Volumetric'!BA40+'REV FSM'!BA40+'Rejection Primary with Scan'!BA40+'Rejection Secondary'!BA40+'Rev DC DC Primary Sorting'!BA40+'Rev Primary (FSM Rejections)'!BA40+'Rev Secondary Sorting'!BA40+'VIA Bag Sorting'!BA40</f>
        <v/>
      </c>
      <c r="BB40" s="7">
        <f>SUM(AD40:BA40)</f>
        <v/>
      </c>
    </row>
    <row r="41">
      <c r="A41" t="inlineStr">
        <is>
          <t>AMD-FK-SSC</t>
        </is>
      </c>
      <c r="B41" t="inlineStr">
        <is>
          <t>Prime at Client side</t>
        </is>
      </c>
      <c r="C41" s="5" t="n">
        <v>46104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36</v>
      </c>
      <c r="Q41" s="6" t="n">
        <v>150</v>
      </c>
      <c r="R41" s="6" t="n">
        <v>123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>
        <f>SUM(D41:AA41)</f>
        <v/>
      </c>
      <c r="AC41" s="3" t="inlineStr"/>
      <c r="AD41" s="7">
        <f>'BBB'!AD41+'Bag Staging'!AD41+'Bag Staging Volumetric'!AD41+'FWD FSM'!AD41+'FWD Manual Pre Primary'!AD41+'FWD Manual Primary'!AD41+'FWD Primary with Scan'!AD41+'FWD Secondary'!AD41+'FWD Volumetric'!AD41+'IB'!AD41+'IB Volumetric'!AD41+'OB'!AD41+'OB Volumetric'!AD41+'OSC Bag Sorting'!AD41+'OSC Bag Sorting Volumetric'!AD41+'REV FSM'!AD41+'Rejection Primary with Scan'!AD41+'Rejection Secondary'!AD41+'Rev DC DC Primary Sorting'!AD41+'Rev Primary (FSM Rejections)'!AD41+'Rev Secondary Sorting'!AD41+'VIA Bag Sorting'!AD41</f>
        <v/>
      </c>
      <c r="AE41" s="7">
        <f>'BBB'!AE41+'Bag Staging'!AE41+'Bag Staging Volumetric'!AE41+'FWD FSM'!AE41+'FWD Manual Pre Primary'!AE41+'FWD Manual Primary'!AE41+'FWD Primary with Scan'!AE41+'FWD Secondary'!AE41+'FWD Volumetric'!AE41+'IB'!AE41+'IB Volumetric'!AE41+'OB'!AE41+'OB Volumetric'!AE41+'OSC Bag Sorting'!AE41+'OSC Bag Sorting Volumetric'!AE41+'REV FSM'!AE41+'Rejection Primary with Scan'!AE41+'Rejection Secondary'!AE41+'Rev DC DC Primary Sorting'!AE41+'Rev Primary (FSM Rejections)'!AE41+'Rev Secondary Sorting'!AE41+'VIA Bag Sorting'!AE41</f>
        <v/>
      </c>
      <c r="AF41" s="7">
        <f>'BBB'!AF41+'Bag Staging'!AF41+'Bag Staging Volumetric'!AF41+'FWD FSM'!AF41+'FWD Manual Pre Primary'!AF41+'FWD Manual Primary'!AF41+'FWD Primary with Scan'!AF41+'FWD Secondary'!AF41+'FWD Volumetric'!AF41+'IB'!AF41+'IB Volumetric'!AF41+'OB'!AF41+'OB Volumetric'!AF41+'OSC Bag Sorting'!AF41+'OSC Bag Sorting Volumetric'!AF41+'REV FSM'!AF41+'Rejection Primary with Scan'!AF41+'Rejection Secondary'!AF41+'Rev DC DC Primary Sorting'!AF41+'Rev Primary (FSM Rejections)'!AF41+'Rev Secondary Sorting'!AF41+'VIA Bag Sorting'!AF41</f>
        <v/>
      </c>
      <c r="AG41" s="7">
        <f>'BBB'!AG41+'Bag Staging'!AG41+'Bag Staging Volumetric'!AG41+'FWD FSM'!AG41+'FWD Manual Pre Primary'!AG41+'FWD Manual Primary'!AG41+'FWD Primary with Scan'!AG41+'FWD Secondary'!AG41+'FWD Volumetric'!AG41+'IB'!AG41+'IB Volumetric'!AG41+'OB'!AG41+'OB Volumetric'!AG41+'OSC Bag Sorting'!AG41+'OSC Bag Sorting Volumetric'!AG41+'REV FSM'!AG41+'Rejection Primary with Scan'!AG41+'Rejection Secondary'!AG41+'Rev DC DC Primary Sorting'!AG41+'Rev Primary (FSM Rejections)'!AG41+'Rev Secondary Sorting'!AG41+'VIA Bag Sorting'!AG41</f>
        <v/>
      </c>
      <c r="AH41" s="7">
        <f>'BBB'!AH41+'Bag Staging'!AH41+'Bag Staging Volumetric'!AH41+'FWD FSM'!AH41+'FWD Manual Pre Primary'!AH41+'FWD Manual Primary'!AH41+'FWD Primary with Scan'!AH41+'FWD Secondary'!AH41+'FWD Volumetric'!AH41+'IB'!AH41+'IB Volumetric'!AH41+'OB'!AH41+'OB Volumetric'!AH41+'OSC Bag Sorting'!AH41+'OSC Bag Sorting Volumetric'!AH41+'REV FSM'!AH41+'Rejection Primary with Scan'!AH41+'Rejection Secondary'!AH41+'Rev DC DC Primary Sorting'!AH41+'Rev Primary (FSM Rejections)'!AH41+'Rev Secondary Sorting'!AH41+'VIA Bag Sorting'!AH41</f>
        <v/>
      </c>
      <c r="AI41" s="7">
        <f>'BBB'!AI41+'Bag Staging'!AI41+'Bag Staging Volumetric'!AI41+'FWD FSM'!AI41+'FWD Manual Pre Primary'!AI41+'FWD Manual Primary'!AI41+'FWD Primary with Scan'!AI41+'FWD Secondary'!AI41+'FWD Volumetric'!AI41+'IB'!AI41+'IB Volumetric'!AI41+'OB'!AI41+'OB Volumetric'!AI41+'OSC Bag Sorting'!AI41+'OSC Bag Sorting Volumetric'!AI41+'REV FSM'!AI41+'Rejection Primary with Scan'!AI41+'Rejection Secondary'!AI41+'Rev DC DC Primary Sorting'!AI41+'Rev Primary (FSM Rejections)'!AI41+'Rev Secondary Sorting'!AI41+'VIA Bag Sorting'!AI41</f>
        <v/>
      </c>
      <c r="AJ41" s="7">
        <f>'BBB'!AJ41+'Bag Staging'!AJ41+'Bag Staging Volumetric'!AJ41+'FWD FSM'!AJ41+'FWD Manual Pre Primary'!AJ41+'FWD Manual Primary'!AJ41+'FWD Primary with Scan'!AJ41+'FWD Secondary'!AJ41+'FWD Volumetric'!AJ41+'IB'!AJ41+'IB Volumetric'!AJ41+'OB'!AJ41+'OB Volumetric'!AJ41+'OSC Bag Sorting'!AJ41+'OSC Bag Sorting Volumetric'!AJ41+'REV FSM'!AJ41+'Rejection Primary with Scan'!AJ41+'Rejection Secondary'!AJ41+'Rev DC DC Primary Sorting'!AJ41+'Rev Primary (FSM Rejections)'!AJ41+'Rev Secondary Sorting'!AJ41+'VIA Bag Sorting'!AJ41</f>
        <v/>
      </c>
      <c r="AK41" s="7">
        <f>'BBB'!AK41+'Bag Staging'!AK41+'Bag Staging Volumetric'!AK41+'FWD FSM'!AK41+'FWD Manual Pre Primary'!AK41+'FWD Manual Primary'!AK41+'FWD Primary with Scan'!AK41+'FWD Secondary'!AK41+'FWD Volumetric'!AK41+'IB'!AK41+'IB Volumetric'!AK41+'OB'!AK41+'OB Volumetric'!AK41+'OSC Bag Sorting'!AK41+'OSC Bag Sorting Volumetric'!AK41+'REV FSM'!AK41+'Rejection Primary with Scan'!AK41+'Rejection Secondary'!AK41+'Rev DC DC Primary Sorting'!AK41+'Rev Primary (FSM Rejections)'!AK41+'Rev Secondary Sorting'!AK41+'VIA Bag Sorting'!AK41</f>
        <v/>
      </c>
      <c r="AL41" s="7">
        <f>'BBB'!AL41+'Bag Staging'!AL41+'Bag Staging Volumetric'!AL41+'FWD FSM'!AL41+'FWD Manual Pre Primary'!AL41+'FWD Manual Primary'!AL41+'FWD Primary with Scan'!AL41+'FWD Secondary'!AL41+'FWD Volumetric'!AL41+'IB'!AL41+'IB Volumetric'!AL41+'OB'!AL41+'OB Volumetric'!AL41+'OSC Bag Sorting'!AL41+'OSC Bag Sorting Volumetric'!AL41+'REV FSM'!AL41+'Rejection Primary with Scan'!AL41+'Rejection Secondary'!AL41+'Rev DC DC Primary Sorting'!AL41+'Rev Primary (FSM Rejections)'!AL41+'Rev Secondary Sorting'!AL41+'VIA Bag Sorting'!AL41</f>
        <v/>
      </c>
      <c r="AM41" s="7">
        <f>'BBB'!AM41+'Bag Staging'!AM41+'Bag Staging Volumetric'!AM41+'FWD FSM'!AM41+'FWD Manual Pre Primary'!AM41+'FWD Manual Primary'!AM41+'FWD Primary with Scan'!AM41+'FWD Secondary'!AM41+'FWD Volumetric'!AM41+'IB'!AM41+'IB Volumetric'!AM41+'OB'!AM41+'OB Volumetric'!AM41+'OSC Bag Sorting'!AM41+'OSC Bag Sorting Volumetric'!AM41+'REV FSM'!AM41+'Rejection Primary with Scan'!AM41+'Rejection Secondary'!AM41+'Rev DC DC Primary Sorting'!AM41+'Rev Primary (FSM Rejections)'!AM41+'Rev Secondary Sorting'!AM41+'VIA Bag Sorting'!AM41</f>
        <v/>
      </c>
      <c r="AN41" s="7">
        <f>'BBB'!AN41+'Bag Staging'!AN41+'Bag Staging Volumetric'!AN41+'FWD FSM'!AN41+'FWD Manual Pre Primary'!AN41+'FWD Manual Primary'!AN41+'FWD Primary with Scan'!AN41+'FWD Secondary'!AN41+'FWD Volumetric'!AN41+'IB'!AN41+'IB Volumetric'!AN41+'OB'!AN41+'OB Volumetric'!AN41+'OSC Bag Sorting'!AN41+'OSC Bag Sorting Volumetric'!AN41+'REV FSM'!AN41+'Rejection Primary with Scan'!AN41+'Rejection Secondary'!AN41+'Rev DC DC Primary Sorting'!AN41+'Rev Primary (FSM Rejections)'!AN41+'Rev Secondary Sorting'!AN41+'VIA Bag Sorting'!AN41</f>
        <v/>
      </c>
      <c r="AO41" s="7">
        <f>'BBB'!AO41+'Bag Staging'!AO41+'Bag Staging Volumetric'!AO41+'FWD FSM'!AO41+'FWD Manual Pre Primary'!AO41+'FWD Manual Primary'!AO41+'FWD Primary with Scan'!AO41+'FWD Secondary'!AO41+'FWD Volumetric'!AO41+'IB'!AO41+'IB Volumetric'!AO41+'OB'!AO41+'OB Volumetric'!AO41+'OSC Bag Sorting'!AO41+'OSC Bag Sorting Volumetric'!AO41+'REV FSM'!AO41+'Rejection Primary with Scan'!AO41+'Rejection Secondary'!AO41+'Rev DC DC Primary Sorting'!AO41+'Rev Primary (FSM Rejections)'!AO41+'Rev Secondary Sorting'!AO41+'VIA Bag Sorting'!AO41</f>
        <v/>
      </c>
      <c r="AP41" s="7">
        <f>'BBB'!AP41+'Bag Staging'!AP41+'Bag Staging Volumetric'!AP41+'FWD FSM'!AP41+'FWD Manual Pre Primary'!AP41+'FWD Manual Primary'!AP41+'FWD Primary with Scan'!AP41+'FWD Secondary'!AP41+'FWD Volumetric'!AP41+'IB'!AP41+'IB Volumetric'!AP41+'OB'!AP41+'OB Volumetric'!AP41+'OSC Bag Sorting'!AP41+'OSC Bag Sorting Volumetric'!AP41+'REV FSM'!AP41+'Rejection Primary with Scan'!AP41+'Rejection Secondary'!AP41+'Rev DC DC Primary Sorting'!AP41+'Rev Primary (FSM Rejections)'!AP41+'Rev Secondary Sorting'!AP41+'VIA Bag Sorting'!AP41</f>
        <v/>
      </c>
      <c r="AQ41" s="7">
        <f>'BBB'!AQ41+'Bag Staging'!AQ41+'Bag Staging Volumetric'!AQ41+'FWD FSM'!AQ41+'FWD Manual Pre Primary'!AQ41+'FWD Manual Primary'!AQ41+'FWD Primary with Scan'!AQ41+'FWD Secondary'!AQ41+'FWD Volumetric'!AQ41+'IB'!AQ41+'IB Volumetric'!AQ41+'OB'!AQ41+'OB Volumetric'!AQ41+'OSC Bag Sorting'!AQ41+'OSC Bag Sorting Volumetric'!AQ41+'REV FSM'!AQ41+'Rejection Primary with Scan'!AQ41+'Rejection Secondary'!AQ41+'Rev DC DC Primary Sorting'!AQ41+'Rev Primary (FSM Rejections)'!AQ41+'Rev Secondary Sorting'!AQ41+'VIA Bag Sorting'!AQ41</f>
        <v/>
      </c>
      <c r="AR41" s="7">
        <f>'BBB'!AR41+'Bag Staging'!AR41+'Bag Staging Volumetric'!AR41+'FWD FSM'!AR41+'FWD Manual Pre Primary'!AR41+'FWD Manual Primary'!AR41+'FWD Primary with Scan'!AR41+'FWD Secondary'!AR41+'FWD Volumetric'!AR41+'IB'!AR41+'IB Volumetric'!AR41+'OB'!AR41+'OB Volumetric'!AR41+'OSC Bag Sorting'!AR41+'OSC Bag Sorting Volumetric'!AR41+'REV FSM'!AR41+'Rejection Primary with Scan'!AR41+'Rejection Secondary'!AR41+'Rev DC DC Primary Sorting'!AR41+'Rev Primary (FSM Rejections)'!AR41+'Rev Secondary Sorting'!AR41+'VIA Bag Sorting'!AR41</f>
        <v/>
      </c>
      <c r="AS41" s="7">
        <f>'BBB'!AS41+'Bag Staging'!AS41+'Bag Staging Volumetric'!AS41+'FWD FSM'!AS41+'FWD Manual Pre Primary'!AS41+'FWD Manual Primary'!AS41+'FWD Primary with Scan'!AS41+'FWD Secondary'!AS41+'FWD Volumetric'!AS41+'IB'!AS41+'IB Volumetric'!AS41+'OB'!AS41+'OB Volumetric'!AS41+'OSC Bag Sorting'!AS41+'OSC Bag Sorting Volumetric'!AS41+'REV FSM'!AS41+'Rejection Primary with Scan'!AS41+'Rejection Secondary'!AS41+'Rev DC DC Primary Sorting'!AS41+'Rev Primary (FSM Rejections)'!AS41+'Rev Secondary Sorting'!AS41+'VIA Bag Sorting'!AS41</f>
        <v/>
      </c>
      <c r="AT41" s="7">
        <f>'BBB'!AT41+'Bag Staging'!AT41+'Bag Staging Volumetric'!AT41+'FWD FSM'!AT41+'FWD Manual Pre Primary'!AT41+'FWD Manual Primary'!AT41+'FWD Primary with Scan'!AT41+'FWD Secondary'!AT41+'FWD Volumetric'!AT41+'IB'!AT41+'IB Volumetric'!AT41+'OB'!AT41+'OB Volumetric'!AT41+'OSC Bag Sorting'!AT41+'OSC Bag Sorting Volumetric'!AT41+'REV FSM'!AT41+'Rejection Primary with Scan'!AT41+'Rejection Secondary'!AT41+'Rev DC DC Primary Sorting'!AT41+'Rev Primary (FSM Rejections)'!AT41+'Rev Secondary Sorting'!AT41+'VIA Bag Sorting'!AT41</f>
        <v/>
      </c>
      <c r="AU41" s="7">
        <f>'BBB'!AU41+'Bag Staging'!AU41+'Bag Staging Volumetric'!AU41+'FWD FSM'!AU41+'FWD Manual Pre Primary'!AU41+'FWD Manual Primary'!AU41+'FWD Primary with Scan'!AU41+'FWD Secondary'!AU41+'FWD Volumetric'!AU41+'IB'!AU41+'IB Volumetric'!AU41+'OB'!AU41+'OB Volumetric'!AU41+'OSC Bag Sorting'!AU41+'OSC Bag Sorting Volumetric'!AU41+'REV FSM'!AU41+'Rejection Primary with Scan'!AU41+'Rejection Secondary'!AU41+'Rev DC DC Primary Sorting'!AU41+'Rev Primary (FSM Rejections)'!AU41+'Rev Secondary Sorting'!AU41+'VIA Bag Sorting'!AU41</f>
        <v/>
      </c>
      <c r="AV41" s="7">
        <f>'BBB'!AV41+'Bag Staging'!AV41+'Bag Staging Volumetric'!AV41+'FWD FSM'!AV41+'FWD Manual Pre Primary'!AV41+'FWD Manual Primary'!AV41+'FWD Primary with Scan'!AV41+'FWD Secondary'!AV41+'FWD Volumetric'!AV41+'IB'!AV41+'IB Volumetric'!AV41+'OB'!AV41+'OB Volumetric'!AV41+'OSC Bag Sorting'!AV41+'OSC Bag Sorting Volumetric'!AV41+'REV FSM'!AV41+'Rejection Primary with Scan'!AV41+'Rejection Secondary'!AV41+'Rev DC DC Primary Sorting'!AV41+'Rev Primary (FSM Rejections)'!AV41+'Rev Secondary Sorting'!AV41+'VIA Bag Sorting'!AV41</f>
        <v/>
      </c>
      <c r="AW41" s="7">
        <f>'BBB'!AW41+'Bag Staging'!AW41+'Bag Staging Volumetric'!AW41+'FWD FSM'!AW41+'FWD Manual Pre Primary'!AW41+'FWD Manual Primary'!AW41+'FWD Primary with Scan'!AW41+'FWD Secondary'!AW41+'FWD Volumetric'!AW41+'IB'!AW41+'IB Volumetric'!AW41+'OB'!AW41+'OB Volumetric'!AW41+'OSC Bag Sorting'!AW41+'OSC Bag Sorting Volumetric'!AW41+'REV FSM'!AW41+'Rejection Primary with Scan'!AW41+'Rejection Secondary'!AW41+'Rev DC DC Primary Sorting'!AW41+'Rev Primary (FSM Rejections)'!AW41+'Rev Secondary Sorting'!AW41+'VIA Bag Sorting'!AW41</f>
        <v/>
      </c>
      <c r="AX41" s="7">
        <f>'BBB'!AX41+'Bag Staging'!AX41+'Bag Staging Volumetric'!AX41+'FWD FSM'!AX41+'FWD Manual Pre Primary'!AX41+'FWD Manual Primary'!AX41+'FWD Primary with Scan'!AX41+'FWD Secondary'!AX41+'FWD Volumetric'!AX41+'IB'!AX41+'IB Volumetric'!AX41+'OB'!AX41+'OB Volumetric'!AX41+'OSC Bag Sorting'!AX41+'OSC Bag Sorting Volumetric'!AX41+'REV FSM'!AX41+'Rejection Primary with Scan'!AX41+'Rejection Secondary'!AX41+'Rev DC DC Primary Sorting'!AX41+'Rev Primary (FSM Rejections)'!AX41+'Rev Secondary Sorting'!AX41+'VIA Bag Sorting'!AX41</f>
        <v/>
      </c>
      <c r="AY41" s="7">
        <f>'BBB'!AY41+'Bag Staging'!AY41+'Bag Staging Volumetric'!AY41+'FWD FSM'!AY41+'FWD Manual Pre Primary'!AY41+'FWD Manual Primary'!AY41+'FWD Primary with Scan'!AY41+'FWD Secondary'!AY41+'FWD Volumetric'!AY41+'IB'!AY41+'IB Volumetric'!AY41+'OB'!AY41+'OB Volumetric'!AY41+'OSC Bag Sorting'!AY41+'OSC Bag Sorting Volumetric'!AY41+'REV FSM'!AY41+'Rejection Primary with Scan'!AY41+'Rejection Secondary'!AY41+'Rev DC DC Primary Sorting'!AY41+'Rev Primary (FSM Rejections)'!AY41+'Rev Secondary Sorting'!AY41+'VIA Bag Sorting'!AY41</f>
        <v/>
      </c>
      <c r="AZ41" s="7">
        <f>'BBB'!AZ41+'Bag Staging'!AZ41+'Bag Staging Volumetric'!AZ41+'FWD FSM'!AZ41+'FWD Manual Pre Primary'!AZ41+'FWD Manual Primary'!AZ41+'FWD Primary with Scan'!AZ41+'FWD Secondary'!AZ41+'FWD Volumetric'!AZ41+'IB'!AZ41+'IB Volumetric'!AZ41+'OB'!AZ41+'OB Volumetric'!AZ41+'OSC Bag Sorting'!AZ41+'OSC Bag Sorting Volumetric'!AZ41+'REV FSM'!AZ41+'Rejection Primary with Scan'!AZ41+'Rejection Secondary'!AZ41+'Rev DC DC Primary Sorting'!AZ41+'Rev Primary (FSM Rejections)'!AZ41+'Rev Secondary Sorting'!AZ41+'VIA Bag Sorting'!AZ41</f>
        <v/>
      </c>
      <c r="BA41" s="7">
        <f>'BBB'!BA41+'Bag Staging'!BA41+'Bag Staging Volumetric'!BA41+'FWD FSM'!BA41+'FWD Manual Pre Primary'!BA41+'FWD Manual Primary'!BA41+'FWD Primary with Scan'!BA41+'FWD Secondary'!BA41+'FWD Volumetric'!BA41+'IB'!BA41+'IB Volumetric'!BA41+'OB'!BA41+'OB Volumetric'!BA41+'OSC Bag Sorting'!BA41+'OSC Bag Sorting Volumetric'!BA41+'REV FSM'!BA41+'Rejection Primary with Scan'!BA41+'Rejection Secondary'!BA41+'Rev DC DC Primary Sorting'!BA41+'Rev Primary (FSM Rejections)'!BA41+'Rev Secondary Sorting'!BA41+'VIA Bag Sorting'!BA41</f>
        <v/>
      </c>
      <c r="BB41" s="7">
        <f>SUM(AD41:BA41)</f>
        <v/>
      </c>
    </row>
    <row r="42">
      <c r="A42" t="inlineStr">
        <is>
          <t>AMD-FK-SSC</t>
        </is>
      </c>
      <c r="B42" t="inlineStr">
        <is>
          <t>Prime at Client side</t>
        </is>
      </c>
      <c r="C42" s="5" t="n">
        <v>46105</v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6" t="n">
        <v>0</v>
      </c>
      <c r="N42" s="6" t="n">
        <v>0</v>
      </c>
      <c r="O42" s="6" t="n">
        <v>0</v>
      </c>
      <c r="P42" s="6" t="n">
        <v>0</v>
      </c>
      <c r="Q42" s="6" t="n">
        <v>336</v>
      </c>
      <c r="R42" s="6" t="n">
        <v>193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>
        <f>SUM(D42:AA42)</f>
        <v/>
      </c>
      <c r="AC42" s="3" t="inlineStr"/>
      <c r="AD42" s="7">
        <f>'BBB'!AD42+'Bag Staging'!AD42+'Bag Staging Volumetric'!AD42+'FWD FSM'!AD42+'FWD Manual Pre Primary'!AD42+'FWD Manual Primary'!AD42+'FWD Primary with Scan'!AD42+'FWD Secondary'!AD42+'FWD Volumetric'!AD42+'IB'!AD42+'IB Volumetric'!AD42+'OB'!AD42+'OB Volumetric'!AD42+'OSC Bag Sorting'!AD42+'OSC Bag Sorting Volumetric'!AD42+'REV FSM'!AD42+'Rejection Primary with Scan'!AD42+'Rejection Secondary'!AD42+'Rev DC DC Primary Sorting'!AD42+'Rev Primary (FSM Rejections)'!AD42+'Rev Secondary Sorting'!AD42+'VIA Bag Sorting'!AD42</f>
        <v/>
      </c>
      <c r="AE42" s="7">
        <f>'BBB'!AE42+'Bag Staging'!AE42+'Bag Staging Volumetric'!AE42+'FWD FSM'!AE42+'FWD Manual Pre Primary'!AE42+'FWD Manual Primary'!AE42+'FWD Primary with Scan'!AE42+'FWD Secondary'!AE42+'FWD Volumetric'!AE42+'IB'!AE42+'IB Volumetric'!AE42+'OB'!AE42+'OB Volumetric'!AE42+'OSC Bag Sorting'!AE42+'OSC Bag Sorting Volumetric'!AE42+'REV FSM'!AE42+'Rejection Primary with Scan'!AE42+'Rejection Secondary'!AE42+'Rev DC DC Primary Sorting'!AE42+'Rev Primary (FSM Rejections)'!AE42+'Rev Secondary Sorting'!AE42+'VIA Bag Sorting'!AE42</f>
        <v/>
      </c>
      <c r="AF42" s="7">
        <f>'BBB'!AF42+'Bag Staging'!AF42+'Bag Staging Volumetric'!AF42+'FWD FSM'!AF42+'FWD Manual Pre Primary'!AF42+'FWD Manual Primary'!AF42+'FWD Primary with Scan'!AF42+'FWD Secondary'!AF42+'FWD Volumetric'!AF42+'IB'!AF42+'IB Volumetric'!AF42+'OB'!AF42+'OB Volumetric'!AF42+'OSC Bag Sorting'!AF42+'OSC Bag Sorting Volumetric'!AF42+'REV FSM'!AF42+'Rejection Primary with Scan'!AF42+'Rejection Secondary'!AF42+'Rev DC DC Primary Sorting'!AF42+'Rev Primary (FSM Rejections)'!AF42+'Rev Secondary Sorting'!AF42+'VIA Bag Sorting'!AF42</f>
        <v/>
      </c>
      <c r="AG42" s="7">
        <f>'BBB'!AG42+'Bag Staging'!AG42+'Bag Staging Volumetric'!AG42+'FWD FSM'!AG42+'FWD Manual Pre Primary'!AG42+'FWD Manual Primary'!AG42+'FWD Primary with Scan'!AG42+'FWD Secondary'!AG42+'FWD Volumetric'!AG42+'IB'!AG42+'IB Volumetric'!AG42+'OB'!AG42+'OB Volumetric'!AG42+'OSC Bag Sorting'!AG42+'OSC Bag Sorting Volumetric'!AG42+'REV FSM'!AG42+'Rejection Primary with Scan'!AG42+'Rejection Secondary'!AG42+'Rev DC DC Primary Sorting'!AG42+'Rev Primary (FSM Rejections)'!AG42+'Rev Secondary Sorting'!AG42+'VIA Bag Sorting'!AG42</f>
        <v/>
      </c>
      <c r="AH42" s="7">
        <f>'BBB'!AH42+'Bag Staging'!AH42+'Bag Staging Volumetric'!AH42+'FWD FSM'!AH42+'FWD Manual Pre Primary'!AH42+'FWD Manual Primary'!AH42+'FWD Primary with Scan'!AH42+'FWD Secondary'!AH42+'FWD Volumetric'!AH42+'IB'!AH42+'IB Volumetric'!AH42+'OB'!AH42+'OB Volumetric'!AH42+'OSC Bag Sorting'!AH42+'OSC Bag Sorting Volumetric'!AH42+'REV FSM'!AH42+'Rejection Primary with Scan'!AH42+'Rejection Secondary'!AH42+'Rev DC DC Primary Sorting'!AH42+'Rev Primary (FSM Rejections)'!AH42+'Rev Secondary Sorting'!AH42+'VIA Bag Sorting'!AH42</f>
        <v/>
      </c>
      <c r="AI42" s="7">
        <f>'BBB'!AI42+'Bag Staging'!AI42+'Bag Staging Volumetric'!AI42+'FWD FSM'!AI42+'FWD Manual Pre Primary'!AI42+'FWD Manual Primary'!AI42+'FWD Primary with Scan'!AI42+'FWD Secondary'!AI42+'FWD Volumetric'!AI42+'IB'!AI42+'IB Volumetric'!AI42+'OB'!AI42+'OB Volumetric'!AI42+'OSC Bag Sorting'!AI42+'OSC Bag Sorting Volumetric'!AI42+'REV FSM'!AI42+'Rejection Primary with Scan'!AI42+'Rejection Secondary'!AI42+'Rev DC DC Primary Sorting'!AI42+'Rev Primary (FSM Rejections)'!AI42+'Rev Secondary Sorting'!AI42+'VIA Bag Sorting'!AI42</f>
        <v/>
      </c>
      <c r="AJ42" s="7">
        <f>'BBB'!AJ42+'Bag Staging'!AJ42+'Bag Staging Volumetric'!AJ42+'FWD FSM'!AJ42+'FWD Manual Pre Primary'!AJ42+'FWD Manual Primary'!AJ42+'FWD Primary with Scan'!AJ42+'FWD Secondary'!AJ42+'FWD Volumetric'!AJ42+'IB'!AJ42+'IB Volumetric'!AJ42+'OB'!AJ42+'OB Volumetric'!AJ42+'OSC Bag Sorting'!AJ42+'OSC Bag Sorting Volumetric'!AJ42+'REV FSM'!AJ42+'Rejection Primary with Scan'!AJ42+'Rejection Secondary'!AJ42+'Rev DC DC Primary Sorting'!AJ42+'Rev Primary (FSM Rejections)'!AJ42+'Rev Secondary Sorting'!AJ42+'VIA Bag Sorting'!AJ42</f>
        <v/>
      </c>
      <c r="AK42" s="7">
        <f>'BBB'!AK42+'Bag Staging'!AK42+'Bag Staging Volumetric'!AK42+'FWD FSM'!AK42+'FWD Manual Pre Primary'!AK42+'FWD Manual Primary'!AK42+'FWD Primary with Scan'!AK42+'FWD Secondary'!AK42+'FWD Volumetric'!AK42+'IB'!AK42+'IB Volumetric'!AK42+'OB'!AK42+'OB Volumetric'!AK42+'OSC Bag Sorting'!AK42+'OSC Bag Sorting Volumetric'!AK42+'REV FSM'!AK42+'Rejection Primary with Scan'!AK42+'Rejection Secondary'!AK42+'Rev DC DC Primary Sorting'!AK42+'Rev Primary (FSM Rejections)'!AK42+'Rev Secondary Sorting'!AK42+'VIA Bag Sorting'!AK42</f>
        <v/>
      </c>
      <c r="AL42" s="7">
        <f>'BBB'!AL42+'Bag Staging'!AL42+'Bag Staging Volumetric'!AL42+'FWD FSM'!AL42+'FWD Manual Pre Primary'!AL42+'FWD Manual Primary'!AL42+'FWD Primary with Scan'!AL42+'FWD Secondary'!AL42+'FWD Volumetric'!AL42+'IB'!AL42+'IB Volumetric'!AL42+'OB'!AL42+'OB Volumetric'!AL42+'OSC Bag Sorting'!AL42+'OSC Bag Sorting Volumetric'!AL42+'REV FSM'!AL42+'Rejection Primary with Scan'!AL42+'Rejection Secondary'!AL42+'Rev DC DC Primary Sorting'!AL42+'Rev Primary (FSM Rejections)'!AL42+'Rev Secondary Sorting'!AL42+'VIA Bag Sorting'!AL42</f>
        <v/>
      </c>
      <c r="AM42" s="7">
        <f>'BBB'!AM42+'Bag Staging'!AM42+'Bag Staging Volumetric'!AM42+'FWD FSM'!AM42+'FWD Manual Pre Primary'!AM42+'FWD Manual Primary'!AM42+'FWD Primary with Scan'!AM42+'FWD Secondary'!AM42+'FWD Volumetric'!AM42+'IB'!AM42+'IB Volumetric'!AM42+'OB'!AM42+'OB Volumetric'!AM42+'OSC Bag Sorting'!AM42+'OSC Bag Sorting Volumetric'!AM42+'REV FSM'!AM42+'Rejection Primary with Scan'!AM42+'Rejection Secondary'!AM42+'Rev DC DC Primary Sorting'!AM42+'Rev Primary (FSM Rejections)'!AM42+'Rev Secondary Sorting'!AM42+'VIA Bag Sorting'!AM42</f>
        <v/>
      </c>
      <c r="AN42" s="7">
        <f>'BBB'!AN42+'Bag Staging'!AN42+'Bag Staging Volumetric'!AN42+'FWD FSM'!AN42+'FWD Manual Pre Primary'!AN42+'FWD Manual Primary'!AN42+'FWD Primary with Scan'!AN42+'FWD Secondary'!AN42+'FWD Volumetric'!AN42+'IB'!AN42+'IB Volumetric'!AN42+'OB'!AN42+'OB Volumetric'!AN42+'OSC Bag Sorting'!AN42+'OSC Bag Sorting Volumetric'!AN42+'REV FSM'!AN42+'Rejection Primary with Scan'!AN42+'Rejection Secondary'!AN42+'Rev DC DC Primary Sorting'!AN42+'Rev Primary (FSM Rejections)'!AN42+'Rev Secondary Sorting'!AN42+'VIA Bag Sorting'!AN42</f>
        <v/>
      </c>
      <c r="AO42" s="7">
        <f>'BBB'!AO42+'Bag Staging'!AO42+'Bag Staging Volumetric'!AO42+'FWD FSM'!AO42+'FWD Manual Pre Primary'!AO42+'FWD Manual Primary'!AO42+'FWD Primary with Scan'!AO42+'FWD Secondary'!AO42+'FWD Volumetric'!AO42+'IB'!AO42+'IB Volumetric'!AO42+'OB'!AO42+'OB Volumetric'!AO42+'OSC Bag Sorting'!AO42+'OSC Bag Sorting Volumetric'!AO42+'REV FSM'!AO42+'Rejection Primary with Scan'!AO42+'Rejection Secondary'!AO42+'Rev DC DC Primary Sorting'!AO42+'Rev Primary (FSM Rejections)'!AO42+'Rev Secondary Sorting'!AO42+'VIA Bag Sorting'!AO42</f>
        <v/>
      </c>
      <c r="AP42" s="7">
        <f>'BBB'!AP42+'Bag Staging'!AP42+'Bag Staging Volumetric'!AP42+'FWD FSM'!AP42+'FWD Manual Pre Primary'!AP42+'FWD Manual Primary'!AP42+'FWD Primary with Scan'!AP42+'FWD Secondary'!AP42+'FWD Volumetric'!AP42+'IB'!AP42+'IB Volumetric'!AP42+'OB'!AP42+'OB Volumetric'!AP42+'OSC Bag Sorting'!AP42+'OSC Bag Sorting Volumetric'!AP42+'REV FSM'!AP42+'Rejection Primary with Scan'!AP42+'Rejection Secondary'!AP42+'Rev DC DC Primary Sorting'!AP42+'Rev Primary (FSM Rejections)'!AP42+'Rev Secondary Sorting'!AP42+'VIA Bag Sorting'!AP42</f>
        <v/>
      </c>
      <c r="AQ42" s="7">
        <f>'BBB'!AQ42+'Bag Staging'!AQ42+'Bag Staging Volumetric'!AQ42+'FWD FSM'!AQ42+'FWD Manual Pre Primary'!AQ42+'FWD Manual Primary'!AQ42+'FWD Primary with Scan'!AQ42+'FWD Secondary'!AQ42+'FWD Volumetric'!AQ42+'IB'!AQ42+'IB Volumetric'!AQ42+'OB'!AQ42+'OB Volumetric'!AQ42+'OSC Bag Sorting'!AQ42+'OSC Bag Sorting Volumetric'!AQ42+'REV FSM'!AQ42+'Rejection Primary with Scan'!AQ42+'Rejection Secondary'!AQ42+'Rev DC DC Primary Sorting'!AQ42+'Rev Primary (FSM Rejections)'!AQ42+'Rev Secondary Sorting'!AQ42+'VIA Bag Sorting'!AQ42</f>
        <v/>
      </c>
      <c r="AR42" s="7">
        <f>'BBB'!AR42+'Bag Staging'!AR42+'Bag Staging Volumetric'!AR42+'FWD FSM'!AR42+'FWD Manual Pre Primary'!AR42+'FWD Manual Primary'!AR42+'FWD Primary with Scan'!AR42+'FWD Secondary'!AR42+'FWD Volumetric'!AR42+'IB'!AR42+'IB Volumetric'!AR42+'OB'!AR42+'OB Volumetric'!AR42+'OSC Bag Sorting'!AR42+'OSC Bag Sorting Volumetric'!AR42+'REV FSM'!AR42+'Rejection Primary with Scan'!AR42+'Rejection Secondary'!AR42+'Rev DC DC Primary Sorting'!AR42+'Rev Primary (FSM Rejections)'!AR42+'Rev Secondary Sorting'!AR42+'VIA Bag Sorting'!AR42</f>
        <v/>
      </c>
      <c r="AS42" s="7">
        <f>'BBB'!AS42+'Bag Staging'!AS42+'Bag Staging Volumetric'!AS42+'FWD FSM'!AS42+'FWD Manual Pre Primary'!AS42+'FWD Manual Primary'!AS42+'FWD Primary with Scan'!AS42+'FWD Secondary'!AS42+'FWD Volumetric'!AS42+'IB'!AS42+'IB Volumetric'!AS42+'OB'!AS42+'OB Volumetric'!AS42+'OSC Bag Sorting'!AS42+'OSC Bag Sorting Volumetric'!AS42+'REV FSM'!AS42+'Rejection Primary with Scan'!AS42+'Rejection Secondary'!AS42+'Rev DC DC Primary Sorting'!AS42+'Rev Primary (FSM Rejections)'!AS42+'Rev Secondary Sorting'!AS42+'VIA Bag Sorting'!AS42</f>
        <v/>
      </c>
      <c r="AT42" s="7">
        <f>'BBB'!AT42+'Bag Staging'!AT42+'Bag Staging Volumetric'!AT42+'FWD FSM'!AT42+'FWD Manual Pre Primary'!AT42+'FWD Manual Primary'!AT42+'FWD Primary with Scan'!AT42+'FWD Secondary'!AT42+'FWD Volumetric'!AT42+'IB'!AT42+'IB Volumetric'!AT42+'OB'!AT42+'OB Volumetric'!AT42+'OSC Bag Sorting'!AT42+'OSC Bag Sorting Volumetric'!AT42+'REV FSM'!AT42+'Rejection Primary with Scan'!AT42+'Rejection Secondary'!AT42+'Rev DC DC Primary Sorting'!AT42+'Rev Primary (FSM Rejections)'!AT42+'Rev Secondary Sorting'!AT42+'VIA Bag Sorting'!AT42</f>
        <v/>
      </c>
      <c r="AU42" s="7">
        <f>'BBB'!AU42+'Bag Staging'!AU42+'Bag Staging Volumetric'!AU42+'FWD FSM'!AU42+'FWD Manual Pre Primary'!AU42+'FWD Manual Primary'!AU42+'FWD Primary with Scan'!AU42+'FWD Secondary'!AU42+'FWD Volumetric'!AU42+'IB'!AU42+'IB Volumetric'!AU42+'OB'!AU42+'OB Volumetric'!AU42+'OSC Bag Sorting'!AU42+'OSC Bag Sorting Volumetric'!AU42+'REV FSM'!AU42+'Rejection Primary with Scan'!AU42+'Rejection Secondary'!AU42+'Rev DC DC Primary Sorting'!AU42+'Rev Primary (FSM Rejections)'!AU42+'Rev Secondary Sorting'!AU42+'VIA Bag Sorting'!AU42</f>
        <v/>
      </c>
      <c r="AV42" s="7">
        <f>'BBB'!AV42+'Bag Staging'!AV42+'Bag Staging Volumetric'!AV42+'FWD FSM'!AV42+'FWD Manual Pre Primary'!AV42+'FWD Manual Primary'!AV42+'FWD Primary with Scan'!AV42+'FWD Secondary'!AV42+'FWD Volumetric'!AV42+'IB'!AV42+'IB Volumetric'!AV42+'OB'!AV42+'OB Volumetric'!AV42+'OSC Bag Sorting'!AV42+'OSC Bag Sorting Volumetric'!AV42+'REV FSM'!AV42+'Rejection Primary with Scan'!AV42+'Rejection Secondary'!AV42+'Rev DC DC Primary Sorting'!AV42+'Rev Primary (FSM Rejections)'!AV42+'Rev Secondary Sorting'!AV42+'VIA Bag Sorting'!AV42</f>
        <v/>
      </c>
      <c r="AW42" s="7">
        <f>'BBB'!AW42+'Bag Staging'!AW42+'Bag Staging Volumetric'!AW42+'FWD FSM'!AW42+'FWD Manual Pre Primary'!AW42+'FWD Manual Primary'!AW42+'FWD Primary with Scan'!AW42+'FWD Secondary'!AW42+'FWD Volumetric'!AW42+'IB'!AW42+'IB Volumetric'!AW42+'OB'!AW42+'OB Volumetric'!AW42+'OSC Bag Sorting'!AW42+'OSC Bag Sorting Volumetric'!AW42+'REV FSM'!AW42+'Rejection Primary with Scan'!AW42+'Rejection Secondary'!AW42+'Rev DC DC Primary Sorting'!AW42+'Rev Primary (FSM Rejections)'!AW42+'Rev Secondary Sorting'!AW42+'VIA Bag Sorting'!AW42</f>
        <v/>
      </c>
      <c r="AX42" s="7">
        <f>'BBB'!AX42+'Bag Staging'!AX42+'Bag Staging Volumetric'!AX42+'FWD FSM'!AX42+'FWD Manual Pre Primary'!AX42+'FWD Manual Primary'!AX42+'FWD Primary with Scan'!AX42+'FWD Secondary'!AX42+'FWD Volumetric'!AX42+'IB'!AX42+'IB Volumetric'!AX42+'OB'!AX42+'OB Volumetric'!AX42+'OSC Bag Sorting'!AX42+'OSC Bag Sorting Volumetric'!AX42+'REV FSM'!AX42+'Rejection Primary with Scan'!AX42+'Rejection Secondary'!AX42+'Rev DC DC Primary Sorting'!AX42+'Rev Primary (FSM Rejections)'!AX42+'Rev Secondary Sorting'!AX42+'VIA Bag Sorting'!AX42</f>
        <v/>
      </c>
      <c r="AY42" s="7">
        <f>'BBB'!AY42+'Bag Staging'!AY42+'Bag Staging Volumetric'!AY42+'FWD FSM'!AY42+'FWD Manual Pre Primary'!AY42+'FWD Manual Primary'!AY42+'FWD Primary with Scan'!AY42+'FWD Secondary'!AY42+'FWD Volumetric'!AY42+'IB'!AY42+'IB Volumetric'!AY42+'OB'!AY42+'OB Volumetric'!AY42+'OSC Bag Sorting'!AY42+'OSC Bag Sorting Volumetric'!AY42+'REV FSM'!AY42+'Rejection Primary with Scan'!AY42+'Rejection Secondary'!AY42+'Rev DC DC Primary Sorting'!AY42+'Rev Primary (FSM Rejections)'!AY42+'Rev Secondary Sorting'!AY42+'VIA Bag Sorting'!AY42</f>
        <v/>
      </c>
      <c r="AZ42" s="7">
        <f>'BBB'!AZ42+'Bag Staging'!AZ42+'Bag Staging Volumetric'!AZ42+'FWD FSM'!AZ42+'FWD Manual Pre Primary'!AZ42+'FWD Manual Primary'!AZ42+'FWD Primary with Scan'!AZ42+'FWD Secondary'!AZ42+'FWD Volumetric'!AZ42+'IB'!AZ42+'IB Volumetric'!AZ42+'OB'!AZ42+'OB Volumetric'!AZ42+'OSC Bag Sorting'!AZ42+'OSC Bag Sorting Volumetric'!AZ42+'REV FSM'!AZ42+'Rejection Primary with Scan'!AZ42+'Rejection Secondary'!AZ42+'Rev DC DC Primary Sorting'!AZ42+'Rev Primary (FSM Rejections)'!AZ42+'Rev Secondary Sorting'!AZ42+'VIA Bag Sorting'!AZ42</f>
        <v/>
      </c>
      <c r="BA42" s="7">
        <f>'BBB'!BA42+'Bag Staging'!BA42+'Bag Staging Volumetric'!BA42+'FWD FSM'!BA42+'FWD Manual Pre Primary'!BA42+'FWD Manual Primary'!BA42+'FWD Primary with Scan'!BA42+'FWD Secondary'!BA42+'FWD Volumetric'!BA42+'IB'!BA42+'IB Volumetric'!BA42+'OB'!BA42+'OB Volumetric'!BA42+'OSC Bag Sorting'!BA42+'OSC Bag Sorting Volumetric'!BA42+'REV FSM'!BA42+'Rejection Primary with Scan'!BA42+'Rejection Secondary'!BA42+'Rev DC DC Primary Sorting'!BA42+'Rev Primary (FSM Rejections)'!BA42+'Rev Secondary Sorting'!BA42+'VIA Bag Sorting'!BA42</f>
        <v/>
      </c>
      <c r="BB42" s="7">
        <f>SUM(AD42:BA42)</f>
        <v/>
      </c>
    </row>
    <row r="43">
      <c r="A43" t="inlineStr">
        <is>
          <t>AMD-FWDPRI-SSC</t>
        </is>
      </c>
      <c r="B43" t="inlineStr">
        <is>
          <t>FWD Priority OSC</t>
        </is>
      </c>
      <c r="C43" s="5" t="n">
        <v>46098</v>
      </c>
      <c r="D43" s="6" t="n">
        <v>1419</v>
      </c>
      <c r="E43" s="6" t="n">
        <v>1787</v>
      </c>
      <c r="F43" s="6" t="n">
        <v>1434</v>
      </c>
      <c r="G43" s="6" t="n">
        <v>3191</v>
      </c>
      <c r="H43" s="6" t="n">
        <v>1263</v>
      </c>
      <c r="I43" s="6" t="n">
        <v>1336</v>
      </c>
      <c r="J43" s="6" t="n">
        <v>827</v>
      </c>
      <c r="K43" s="6" t="n">
        <v>16</v>
      </c>
      <c r="L43" s="6" t="n">
        <v>129</v>
      </c>
      <c r="M43" s="6" t="n">
        <v>126</v>
      </c>
      <c r="N43" s="6" t="n">
        <v>967</v>
      </c>
      <c r="O43" s="6" t="n">
        <v>1482</v>
      </c>
      <c r="P43" s="6" t="n">
        <v>658</v>
      </c>
      <c r="Q43" s="6" t="n">
        <v>10</v>
      </c>
      <c r="R43" s="6" t="n">
        <v>3073</v>
      </c>
      <c r="S43" s="6" t="n">
        <v>2238</v>
      </c>
      <c r="T43" s="6" t="n">
        <v>992</v>
      </c>
      <c r="U43" s="6" t="n">
        <v>1606</v>
      </c>
      <c r="V43" s="6" t="n">
        <v>2058</v>
      </c>
      <c r="W43" s="6" t="n">
        <v>2696</v>
      </c>
      <c r="X43" s="6" t="n">
        <v>1557</v>
      </c>
      <c r="Y43" s="6" t="n">
        <v>1079</v>
      </c>
      <c r="Z43" s="6" t="n">
        <v>0</v>
      </c>
      <c r="AA43" s="6" t="n">
        <v>458</v>
      </c>
      <c r="AB43" s="6">
        <f>SUM(D43:AA43)</f>
        <v/>
      </c>
      <c r="AC43" s="3" t="inlineStr"/>
      <c r="AD43" s="7">
        <f>'BBB'!AD43+'Bag Staging'!AD43+'Bag Staging Volumetric'!AD43+'FWD FSM'!AD43+'FWD Manual Pre Primary'!AD43+'FWD Manual Primary'!AD43+'FWD Primary with Scan'!AD43+'FWD Secondary'!AD43+'FWD Volumetric'!AD43+'IB'!AD43+'IB Volumetric'!AD43+'OB'!AD43+'OB Volumetric'!AD43+'OSC Bag Sorting'!AD43+'OSC Bag Sorting Volumetric'!AD43+'REV FSM'!AD43+'Rejection Primary with Scan'!AD43+'Rejection Secondary'!AD43+'Rev DC DC Primary Sorting'!AD43+'Rev Primary (FSM Rejections)'!AD43+'Rev Secondary Sorting'!AD43+'VIA Bag Sorting'!AD43</f>
        <v/>
      </c>
      <c r="AE43" s="7">
        <f>'BBB'!AE43+'Bag Staging'!AE43+'Bag Staging Volumetric'!AE43+'FWD FSM'!AE43+'FWD Manual Pre Primary'!AE43+'FWD Manual Primary'!AE43+'FWD Primary with Scan'!AE43+'FWD Secondary'!AE43+'FWD Volumetric'!AE43+'IB'!AE43+'IB Volumetric'!AE43+'OB'!AE43+'OB Volumetric'!AE43+'OSC Bag Sorting'!AE43+'OSC Bag Sorting Volumetric'!AE43+'REV FSM'!AE43+'Rejection Primary with Scan'!AE43+'Rejection Secondary'!AE43+'Rev DC DC Primary Sorting'!AE43+'Rev Primary (FSM Rejections)'!AE43+'Rev Secondary Sorting'!AE43+'VIA Bag Sorting'!AE43</f>
        <v/>
      </c>
      <c r="AF43" s="7">
        <f>'BBB'!AF43+'Bag Staging'!AF43+'Bag Staging Volumetric'!AF43+'FWD FSM'!AF43+'FWD Manual Pre Primary'!AF43+'FWD Manual Primary'!AF43+'FWD Primary with Scan'!AF43+'FWD Secondary'!AF43+'FWD Volumetric'!AF43+'IB'!AF43+'IB Volumetric'!AF43+'OB'!AF43+'OB Volumetric'!AF43+'OSC Bag Sorting'!AF43+'OSC Bag Sorting Volumetric'!AF43+'REV FSM'!AF43+'Rejection Primary with Scan'!AF43+'Rejection Secondary'!AF43+'Rev DC DC Primary Sorting'!AF43+'Rev Primary (FSM Rejections)'!AF43+'Rev Secondary Sorting'!AF43+'VIA Bag Sorting'!AF43</f>
        <v/>
      </c>
      <c r="AG43" s="7">
        <f>'BBB'!AG43+'Bag Staging'!AG43+'Bag Staging Volumetric'!AG43+'FWD FSM'!AG43+'FWD Manual Pre Primary'!AG43+'FWD Manual Primary'!AG43+'FWD Primary with Scan'!AG43+'FWD Secondary'!AG43+'FWD Volumetric'!AG43+'IB'!AG43+'IB Volumetric'!AG43+'OB'!AG43+'OB Volumetric'!AG43+'OSC Bag Sorting'!AG43+'OSC Bag Sorting Volumetric'!AG43+'REV FSM'!AG43+'Rejection Primary with Scan'!AG43+'Rejection Secondary'!AG43+'Rev DC DC Primary Sorting'!AG43+'Rev Primary (FSM Rejections)'!AG43+'Rev Secondary Sorting'!AG43+'VIA Bag Sorting'!AG43</f>
        <v/>
      </c>
      <c r="AH43" s="7">
        <f>'BBB'!AH43+'Bag Staging'!AH43+'Bag Staging Volumetric'!AH43+'FWD FSM'!AH43+'FWD Manual Pre Primary'!AH43+'FWD Manual Primary'!AH43+'FWD Primary with Scan'!AH43+'FWD Secondary'!AH43+'FWD Volumetric'!AH43+'IB'!AH43+'IB Volumetric'!AH43+'OB'!AH43+'OB Volumetric'!AH43+'OSC Bag Sorting'!AH43+'OSC Bag Sorting Volumetric'!AH43+'REV FSM'!AH43+'Rejection Primary with Scan'!AH43+'Rejection Secondary'!AH43+'Rev DC DC Primary Sorting'!AH43+'Rev Primary (FSM Rejections)'!AH43+'Rev Secondary Sorting'!AH43+'VIA Bag Sorting'!AH43</f>
        <v/>
      </c>
      <c r="AI43" s="7">
        <f>'BBB'!AI43+'Bag Staging'!AI43+'Bag Staging Volumetric'!AI43+'FWD FSM'!AI43+'FWD Manual Pre Primary'!AI43+'FWD Manual Primary'!AI43+'FWD Primary with Scan'!AI43+'FWD Secondary'!AI43+'FWD Volumetric'!AI43+'IB'!AI43+'IB Volumetric'!AI43+'OB'!AI43+'OB Volumetric'!AI43+'OSC Bag Sorting'!AI43+'OSC Bag Sorting Volumetric'!AI43+'REV FSM'!AI43+'Rejection Primary with Scan'!AI43+'Rejection Secondary'!AI43+'Rev DC DC Primary Sorting'!AI43+'Rev Primary (FSM Rejections)'!AI43+'Rev Secondary Sorting'!AI43+'VIA Bag Sorting'!AI43</f>
        <v/>
      </c>
      <c r="AJ43" s="7">
        <f>'BBB'!AJ43+'Bag Staging'!AJ43+'Bag Staging Volumetric'!AJ43+'FWD FSM'!AJ43+'FWD Manual Pre Primary'!AJ43+'FWD Manual Primary'!AJ43+'FWD Primary with Scan'!AJ43+'FWD Secondary'!AJ43+'FWD Volumetric'!AJ43+'IB'!AJ43+'IB Volumetric'!AJ43+'OB'!AJ43+'OB Volumetric'!AJ43+'OSC Bag Sorting'!AJ43+'OSC Bag Sorting Volumetric'!AJ43+'REV FSM'!AJ43+'Rejection Primary with Scan'!AJ43+'Rejection Secondary'!AJ43+'Rev DC DC Primary Sorting'!AJ43+'Rev Primary (FSM Rejections)'!AJ43+'Rev Secondary Sorting'!AJ43+'VIA Bag Sorting'!AJ43</f>
        <v/>
      </c>
      <c r="AK43" s="7">
        <f>'BBB'!AK43+'Bag Staging'!AK43+'Bag Staging Volumetric'!AK43+'FWD FSM'!AK43+'FWD Manual Pre Primary'!AK43+'FWD Manual Primary'!AK43+'FWD Primary with Scan'!AK43+'FWD Secondary'!AK43+'FWD Volumetric'!AK43+'IB'!AK43+'IB Volumetric'!AK43+'OB'!AK43+'OB Volumetric'!AK43+'OSC Bag Sorting'!AK43+'OSC Bag Sorting Volumetric'!AK43+'REV FSM'!AK43+'Rejection Primary with Scan'!AK43+'Rejection Secondary'!AK43+'Rev DC DC Primary Sorting'!AK43+'Rev Primary (FSM Rejections)'!AK43+'Rev Secondary Sorting'!AK43+'VIA Bag Sorting'!AK43</f>
        <v/>
      </c>
      <c r="AL43" s="7">
        <f>'BBB'!AL43+'Bag Staging'!AL43+'Bag Staging Volumetric'!AL43+'FWD FSM'!AL43+'FWD Manual Pre Primary'!AL43+'FWD Manual Primary'!AL43+'FWD Primary with Scan'!AL43+'FWD Secondary'!AL43+'FWD Volumetric'!AL43+'IB'!AL43+'IB Volumetric'!AL43+'OB'!AL43+'OB Volumetric'!AL43+'OSC Bag Sorting'!AL43+'OSC Bag Sorting Volumetric'!AL43+'REV FSM'!AL43+'Rejection Primary with Scan'!AL43+'Rejection Secondary'!AL43+'Rev DC DC Primary Sorting'!AL43+'Rev Primary (FSM Rejections)'!AL43+'Rev Secondary Sorting'!AL43+'VIA Bag Sorting'!AL43</f>
        <v/>
      </c>
      <c r="AM43" s="7">
        <f>'BBB'!AM43+'Bag Staging'!AM43+'Bag Staging Volumetric'!AM43+'FWD FSM'!AM43+'FWD Manual Pre Primary'!AM43+'FWD Manual Primary'!AM43+'FWD Primary with Scan'!AM43+'FWD Secondary'!AM43+'FWD Volumetric'!AM43+'IB'!AM43+'IB Volumetric'!AM43+'OB'!AM43+'OB Volumetric'!AM43+'OSC Bag Sorting'!AM43+'OSC Bag Sorting Volumetric'!AM43+'REV FSM'!AM43+'Rejection Primary with Scan'!AM43+'Rejection Secondary'!AM43+'Rev DC DC Primary Sorting'!AM43+'Rev Primary (FSM Rejections)'!AM43+'Rev Secondary Sorting'!AM43+'VIA Bag Sorting'!AM43</f>
        <v/>
      </c>
      <c r="AN43" s="7">
        <f>'BBB'!AN43+'Bag Staging'!AN43+'Bag Staging Volumetric'!AN43+'FWD FSM'!AN43+'FWD Manual Pre Primary'!AN43+'FWD Manual Primary'!AN43+'FWD Primary with Scan'!AN43+'FWD Secondary'!AN43+'FWD Volumetric'!AN43+'IB'!AN43+'IB Volumetric'!AN43+'OB'!AN43+'OB Volumetric'!AN43+'OSC Bag Sorting'!AN43+'OSC Bag Sorting Volumetric'!AN43+'REV FSM'!AN43+'Rejection Primary with Scan'!AN43+'Rejection Secondary'!AN43+'Rev DC DC Primary Sorting'!AN43+'Rev Primary (FSM Rejections)'!AN43+'Rev Secondary Sorting'!AN43+'VIA Bag Sorting'!AN43</f>
        <v/>
      </c>
      <c r="AO43" s="7">
        <f>'BBB'!AO43+'Bag Staging'!AO43+'Bag Staging Volumetric'!AO43+'FWD FSM'!AO43+'FWD Manual Pre Primary'!AO43+'FWD Manual Primary'!AO43+'FWD Primary with Scan'!AO43+'FWD Secondary'!AO43+'FWD Volumetric'!AO43+'IB'!AO43+'IB Volumetric'!AO43+'OB'!AO43+'OB Volumetric'!AO43+'OSC Bag Sorting'!AO43+'OSC Bag Sorting Volumetric'!AO43+'REV FSM'!AO43+'Rejection Primary with Scan'!AO43+'Rejection Secondary'!AO43+'Rev DC DC Primary Sorting'!AO43+'Rev Primary (FSM Rejections)'!AO43+'Rev Secondary Sorting'!AO43+'VIA Bag Sorting'!AO43</f>
        <v/>
      </c>
      <c r="AP43" s="7">
        <f>'BBB'!AP43+'Bag Staging'!AP43+'Bag Staging Volumetric'!AP43+'FWD FSM'!AP43+'FWD Manual Pre Primary'!AP43+'FWD Manual Primary'!AP43+'FWD Primary with Scan'!AP43+'FWD Secondary'!AP43+'FWD Volumetric'!AP43+'IB'!AP43+'IB Volumetric'!AP43+'OB'!AP43+'OB Volumetric'!AP43+'OSC Bag Sorting'!AP43+'OSC Bag Sorting Volumetric'!AP43+'REV FSM'!AP43+'Rejection Primary with Scan'!AP43+'Rejection Secondary'!AP43+'Rev DC DC Primary Sorting'!AP43+'Rev Primary (FSM Rejections)'!AP43+'Rev Secondary Sorting'!AP43+'VIA Bag Sorting'!AP43</f>
        <v/>
      </c>
      <c r="AQ43" s="7">
        <f>'BBB'!AQ43+'Bag Staging'!AQ43+'Bag Staging Volumetric'!AQ43+'FWD FSM'!AQ43+'FWD Manual Pre Primary'!AQ43+'FWD Manual Primary'!AQ43+'FWD Primary with Scan'!AQ43+'FWD Secondary'!AQ43+'FWD Volumetric'!AQ43+'IB'!AQ43+'IB Volumetric'!AQ43+'OB'!AQ43+'OB Volumetric'!AQ43+'OSC Bag Sorting'!AQ43+'OSC Bag Sorting Volumetric'!AQ43+'REV FSM'!AQ43+'Rejection Primary with Scan'!AQ43+'Rejection Secondary'!AQ43+'Rev DC DC Primary Sorting'!AQ43+'Rev Primary (FSM Rejections)'!AQ43+'Rev Secondary Sorting'!AQ43+'VIA Bag Sorting'!AQ43</f>
        <v/>
      </c>
      <c r="AR43" s="7">
        <f>'BBB'!AR43+'Bag Staging'!AR43+'Bag Staging Volumetric'!AR43+'FWD FSM'!AR43+'FWD Manual Pre Primary'!AR43+'FWD Manual Primary'!AR43+'FWD Primary with Scan'!AR43+'FWD Secondary'!AR43+'FWD Volumetric'!AR43+'IB'!AR43+'IB Volumetric'!AR43+'OB'!AR43+'OB Volumetric'!AR43+'OSC Bag Sorting'!AR43+'OSC Bag Sorting Volumetric'!AR43+'REV FSM'!AR43+'Rejection Primary with Scan'!AR43+'Rejection Secondary'!AR43+'Rev DC DC Primary Sorting'!AR43+'Rev Primary (FSM Rejections)'!AR43+'Rev Secondary Sorting'!AR43+'VIA Bag Sorting'!AR43</f>
        <v/>
      </c>
      <c r="AS43" s="7">
        <f>'BBB'!AS43+'Bag Staging'!AS43+'Bag Staging Volumetric'!AS43+'FWD FSM'!AS43+'FWD Manual Pre Primary'!AS43+'FWD Manual Primary'!AS43+'FWD Primary with Scan'!AS43+'FWD Secondary'!AS43+'FWD Volumetric'!AS43+'IB'!AS43+'IB Volumetric'!AS43+'OB'!AS43+'OB Volumetric'!AS43+'OSC Bag Sorting'!AS43+'OSC Bag Sorting Volumetric'!AS43+'REV FSM'!AS43+'Rejection Primary with Scan'!AS43+'Rejection Secondary'!AS43+'Rev DC DC Primary Sorting'!AS43+'Rev Primary (FSM Rejections)'!AS43+'Rev Secondary Sorting'!AS43+'VIA Bag Sorting'!AS43</f>
        <v/>
      </c>
      <c r="AT43" s="7">
        <f>'BBB'!AT43+'Bag Staging'!AT43+'Bag Staging Volumetric'!AT43+'FWD FSM'!AT43+'FWD Manual Pre Primary'!AT43+'FWD Manual Primary'!AT43+'FWD Primary with Scan'!AT43+'FWD Secondary'!AT43+'FWD Volumetric'!AT43+'IB'!AT43+'IB Volumetric'!AT43+'OB'!AT43+'OB Volumetric'!AT43+'OSC Bag Sorting'!AT43+'OSC Bag Sorting Volumetric'!AT43+'REV FSM'!AT43+'Rejection Primary with Scan'!AT43+'Rejection Secondary'!AT43+'Rev DC DC Primary Sorting'!AT43+'Rev Primary (FSM Rejections)'!AT43+'Rev Secondary Sorting'!AT43+'VIA Bag Sorting'!AT43</f>
        <v/>
      </c>
      <c r="AU43" s="7">
        <f>'BBB'!AU43+'Bag Staging'!AU43+'Bag Staging Volumetric'!AU43+'FWD FSM'!AU43+'FWD Manual Pre Primary'!AU43+'FWD Manual Primary'!AU43+'FWD Primary with Scan'!AU43+'FWD Secondary'!AU43+'FWD Volumetric'!AU43+'IB'!AU43+'IB Volumetric'!AU43+'OB'!AU43+'OB Volumetric'!AU43+'OSC Bag Sorting'!AU43+'OSC Bag Sorting Volumetric'!AU43+'REV FSM'!AU43+'Rejection Primary with Scan'!AU43+'Rejection Secondary'!AU43+'Rev DC DC Primary Sorting'!AU43+'Rev Primary (FSM Rejections)'!AU43+'Rev Secondary Sorting'!AU43+'VIA Bag Sorting'!AU43</f>
        <v/>
      </c>
      <c r="AV43" s="7">
        <f>'BBB'!AV43+'Bag Staging'!AV43+'Bag Staging Volumetric'!AV43+'FWD FSM'!AV43+'FWD Manual Pre Primary'!AV43+'FWD Manual Primary'!AV43+'FWD Primary with Scan'!AV43+'FWD Secondary'!AV43+'FWD Volumetric'!AV43+'IB'!AV43+'IB Volumetric'!AV43+'OB'!AV43+'OB Volumetric'!AV43+'OSC Bag Sorting'!AV43+'OSC Bag Sorting Volumetric'!AV43+'REV FSM'!AV43+'Rejection Primary with Scan'!AV43+'Rejection Secondary'!AV43+'Rev DC DC Primary Sorting'!AV43+'Rev Primary (FSM Rejections)'!AV43+'Rev Secondary Sorting'!AV43+'VIA Bag Sorting'!AV43</f>
        <v/>
      </c>
      <c r="AW43" s="7">
        <f>'BBB'!AW43+'Bag Staging'!AW43+'Bag Staging Volumetric'!AW43+'FWD FSM'!AW43+'FWD Manual Pre Primary'!AW43+'FWD Manual Primary'!AW43+'FWD Primary with Scan'!AW43+'FWD Secondary'!AW43+'FWD Volumetric'!AW43+'IB'!AW43+'IB Volumetric'!AW43+'OB'!AW43+'OB Volumetric'!AW43+'OSC Bag Sorting'!AW43+'OSC Bag Sorting Volumetric'!AW43+'REV FSM'!AW43+'Rejection Primary with Scan'!AW43+'Rejection Secondary'!AW43+'Rev DC DC Primary Sorting'!AW43+'Rev Primary (FSM Rejections)'!AW43+'Rev Secondary Sorting'!AW43+'VIA Bag Sorting'!AW43</f>
        <v/>
      </c>
      <c r="AX43" s="7">
        <f>'BBB'!AX43+'Bag Staging'!AX43+'Bag Staging Volumetric'!AX43+'FWD FSM'!AX43+'FWD Manual Pre Primary'!AX43+'FWD Manual Primary'!AX43+'FWD Primary with Scan'!AX43+'FWD Secondary'!AX43+'FWD Volumetric'!AX43+'IB'!AX43+'IB Volumetric'!AX43+'OB'!AX43+'OB Volumetric'!AX43+'OSC Bag Sorting'!AX43+'OSC Bag Sorting Volumetric'!AX43+'REV FSM'!AX43+'Rejection Primary with Scan'!AX43+'Rejection Secondary'!AX43+'Rev DC DC Primary Sorting'!AX43+'Rev Primary (FSM Rejections)'!AX43+'Rev Secondary Sorting'!AX43+'VIA Bag Sorting'!AX43</f>
        <v/>
      </c>
      <c r="AY43" s="7">
        <f>'BBB'!AY43+'Bag Staging'!AY43+'Bag Staging Volumetric'!AY43+'FWD FSM'!AY43+'FWD Manual Pre Primary'!AY43+'FWD Manual Primary'!AY43+'FWD Primary with Scan'!AY43+'FWD Secondary'!AY43+'FWD Volumetric'!AY43+'IB'!AY43+'IB Volumetric'!AY43+'OB'!AY43+'OB Volumetric'!AY43+'OSC Bag Sorting'!AY43+'OSC Bag Sorting Volumetric'!AY43+'REV FSM'!AY43+'Rejection Primary with Scan'!AY43+'Rejection Secondary'!AY43+'Rev DC DC Primary Sorting'!AY43+'Rev Primary (FSM Rejections)'!AY43+'Rev Secondary Sorting'!AY43+'VIA Bag Sorting'!AY43</f>
        <v/>
      </c>
      <c r="AZ43" s="7">
        <f>'BBB'!AZ43+'Bag Staging'!AZ43+'Bag Staging Volumetric'!AZ43+'FWD FSM'!AZ43+'FWD Manual Pre Primary'!AZ43+'FWD Manual Primary'!AZ43+'FWD Primary with Scan'!AZ43+'FWD Secondary'!AZ43+'FWD Volumetric'!AZ43+'IB'!AZ43+'IB Volumetric'!AZ43+'OB'!AZ43+'OB Volumetric'!AZ43+'OSC Bag Sorting'!AZ43+'OSC Bag Sorting Volumetric'!AZ43+'REV FSM'!AZ43+'Rejection Primary with Scan'!AZ43+'Rejection Secondary'!AZ43+'Rev DC DC Primary Sorting'!AZ43+'Rev Primary (FSM Rejections)'!AZ43+'Rev Secondary Sorting'!AZ43+'VIA Bag Sorting'!AZ43</f>
        <v/>
      </c>
      <c r="BA43" s="7">
        <f>'BBB'!BA43+'Bag Staging'!BA43+'Bag Staging Volumetric'!BA43+'FWD FSM'!BA43+'FWD Manual Pre Primary'!BA43+'FWD Manual Primary'!BA43+'FWD Primary with Scan'!BA43+'FWD Secondary'!BA43+'FWD Volumetric'!BA43+'IB'!BA43+'IB Volumetric'!BA43+'OB'!BA43+'OB Volumetric'!BA43+'OSC Bag Sorting'!BA43+'OSC Bag Sorting Volumetric'!BA43+'REV FSM'!BA43+'Rejection Primary with Scan'!BA43+'Rejection Secondary'!BA43+'Rev DC DC Primary Sorting'!BA43+'Rev Primary (FSM Rejections)'!BA43+'Rev Secondary Sorting'!BA43+'VIA Bag Sorting'!BA43</f>
        <v/>
      </c>
      <c r="BB43" s="7">
        <f>SUM(AD43:BA43)</f>
        <v/>
      </c>
    </row>
    <row r="44">
      <c r="A44" t="inlineStr">
        <is>
          <t>AMD-FWDPRI-SSC</t>
        </is>
      </c>
      <c r="B44" t="inlineStr">
        <is>
          <t>FWD Priority OSC</t>
        </is>
      </c>
      <c r="C44" s="5" t="n">
        <v>46099</v>
      </c>
      <c r="D44" s="6" t="n">
        <v>2105</v>
      </c>
      <c r="E44" s="6" t="n">
        <v>480</v>
      </c>
      <c r="F44" s="6" t="n">
        <v>2448</v>
      </c>
      <c r="G44" s="6" t="n">
        <v>2299</v>
      </c>
      <c r="H44" s="6" t="n">
        <v>1804</v>
      </c>
      <c r="I44" s="6" t="n">
        <v>2256</v>
      </c>
      <c r="J44" s="6" t="n">
        <v>2715</v>
      </c>
      <c r="K44" s="6" t="n">
        <v>478</v>
      </c>
      <c r="L44" s="6" t="n">
        <v>0</v>
      </c>
      <c r="M44" s="6" t="n">
        <v>153</v>
      </c>
      <c r="N44" s="6" t="n">
        <v>156</v>
      </c>
      <c r="O44" s="6" t="n">
        <v>2311</v>
      </c>
      <c r="P44" s="6" t="n">
        <v>1375</v>
      </c>
      <c r="Q44" s="6" t="n">
        <v>215</v>
      </c>
      <c r="R44" s="6" t="n">
        <v>3032</v>
      </c>
      <c r="S44" s="6" t="n">
        <v>1903</v>
      </c>
      <c r="T44" s="6" t="n">
        <v>1555</v>
      </c>
      <c r="U44" s="6" t="n">
        <v>252</v>
      </c>
      <c r="V44" s="6" t="n">
        <v>2053</v>
      </c>
      <c r="W44" s="6" t="n">
        <v>1441</v>
      </c>
      <c r="X44" s="6" t="n">
        <v>2051</v>
      </c>
      <c r="Y44" s="6" t="n">
        <v>1783</v>
      </c>
      <c r="Z44" s="6" t="n">
        <v>1</v>
      </c>
      <c r="AA44" s="6" t="n">
        <v>2007</v>
      </c>
      <c r="AB44" s="6">
        <f>SUM(D44:AA44)</f>
        <v/>
      </c>
      <c r="AC44" s="3" t="inlineStr"/>
      <c r="AD44" s="7">
        <f>'BBB'!AD44+'Bag Staging'!AD44+'Bag Staging Volumetric'!AD44+'FWD FSM'!AD44+'FWD Manual Pre Primary'!AD44+'FWD Manual Primary'!AD44+'FWD Primary with Scan'!AD44+'FWD Secondary'!AD44+'FWD Volumetric'!AD44+'IB'!AD44+'IB Volumetric'!AD44+'OB'!AD44+'OB Volumetric'!AD44+'OSC Bag Sorting'!AD44+'OSC Bag Sorting Volumetric'!AD44+'REV FSM'!AD44+'Rejection Primary with Scan'!AD44+'Rejection Secondary'!AD44+'Rev DC DC Primary Sorting'!AD44+'Rev Primary (FSM Rejections)'!AD44+'Rev Secondary Sorting'!AD44+'VIA Bag Sorting'!AD44</f>
        <v/>
      </c>
      <c r="AE44" s="7">
        <f>'BBB'!AE44+'Bag Staging'!AE44+'Bag Staging Volumetric'!AE44+'FWD FSM'!AE44+'FWD Manual Pre Primary'!AE44+'FWD Manual Primary'!AE44+'FWD Primary with Scan'!AE44+'FWD Secondary'!AE44+'FWD Volumetric'!AE44+'IB'!AE44+'IB Volumetric'!AE44+'OB'!AE44+'OB Volumetric'!AE44+'OSC Bag Sorting'!AE44+'OSC Bag Sorting Volumetric'!AE44+'REV FSM'!AE44+'Rejection Primary with Scan'!AE44+'Rejection Secondary'!AE44+'Rev DC DC Primary Sorting'!AE44+'Rev Primary (FSM Rejections)'!AE44+'Rev Secondary Sorting'!AE44+'VIA Bag Sorting'!AE44</f>
        <v/>
      </c>
      <c r="AF44" s="7">
        <f>'BBB'!AF44+'Bag Staging'!AF44+'Bag Staging Volumetric'!AF44+'FWD FSM'!AF44+'FWD Manual Pre Primary'!AF44+'FWD Manual Primary'!AF44+'FWD Primary with Scan'!AF44+'FWD Secondary'!AF44+'FWD Volumetric'!AF44+'IB'!AF44+'IB Volumetric'!AF44+'OB'!AF44+'OB Volumetric'!AF44+'OSC Bag Sorting'!AF44+'OSC Bag Sorting Volumetric'!AF44+'REV FSM'!AF44+'Rejection Primary with Scan'!AF44+'Rejection Secondary'!AF44+'Rev DC DC Primary Sorting'!AF44+'Rev Primary (FSM Rejections)'!AF44+'Rev Secondary Sorting'!AF44+'VIA Bag Sorting'!AF44</f>
        <v/>
      </c>
      <c r="AG44" s="7">
        <f>'BBB'!AG44+'Bag Staging'!AG44+'Bag Staging Volumetric'!AG44+'FWD FSM'!AG44+'FWD Manual Pre Primary'!AG44+'FWD Manual Primary'!AG44+'FWD Primary with Scan'!AG44+'FWD Secondary'!AG44+'FWD Volumetric'!AG44+'IB'!AG44+'IB Volumetric'!AG44+'OB'!AG44+'OB Volumetric'!AG44+'OSC Bag Sorting'!AG44+'OSC Bag Sorting Volumetric'!AG44+'REV FSM'!AG44+'Rejection Primary with Scan'!AG44+'Rejection Secondary'!AG44+'Rev DC DC Primary Sorting'!AG44+'Rev Primary (FSM Rejections)'!AG44+'Rev Secondary Sorting'!AG44+'VIA Bag Sorting'!AG44</f>
        <v/>
      </c>
      <c r="AH44" s="7">
        <f>'BBB'!AH44+'Bag Staging'!AH44+'Bag Staging Volumetric'!AH44+'FWD FSM'!AH44+'FWD Manual Pre Primary'!AH44+'FWD Manual Primary'!AH44+'FWD Primary with Scan'!AH44+'FWD Secondary'!AH44+'FWD Volumetric'!AH44+'IB'!AH44+'IB Volumetric'!AH44+'OB'!AH44+'OB Volumetric'!AH44+'OSC Bag Sorting'!AH44+'OSC Bag Sorting Volumetric'!AH44+'REV FSM'!AH44+'Rejection Primary with Scan'!AH44+'Rejection Secondary'!AH44+'Rev DC DC Primary Sorting'!AH44+'Rev Primary (FSM Rejections)'!AH44+'Rev Secondary Sorting'!AH44+'VIA Bag Sorting'!AH44</f>
        <v/>
      </c>
      <c r="AI44" s="7">
        <f>'BBB'!AI44+'Bag Staging'!AI44+'Bag Staging Volumetric'!AI44+'FWD FSM'!AI44+'FWD Manual Pre Primary'!AI44+'FWD Manual Primary'!AI44+'FWD Primary with Scan'!AI44+'FWD Secondary'!AI44+'FWD Volumetric'!AI44+'IB'!AI44+'IB Volumetric'!AI44+'OB'!AI44+'OB Volumetric'!AI44+'OSC Bag Sorting'!AI44+'OSC Bag Sorting Volumetric'!AI44+'REV FSM'!AI44+'Rejection Primary with Scan'!AI44+'Rejection Secondary'!AI44+'Rev DC DC Primary Sorting'!AI44+'Rev Primary (FSM Rejections)'!AI44+'Rev Secondary Sorting'!AI44+'VIA Bag Sorting'!AI44</f>
        <v/>
      </c>
      <c r="AJ44" s="7">
        <f>'BBB'!AJ44+'Bag Staging'!AJ44+'Bag Staging Volumetric'!AJ44+'FWD FSM'!AJ44+'FWD Manual Pre Primary'!AJ44+'FWD Manual Primary'!AJ44+'FWD Primary with Scan'!AJ44+'FWD Secondary'!AJ44+'FWD Volumetric'!AJ44+'IB'!AJ44+'IB Volumetric'!AJ44+'OB'!AJ44+'OB Volumetric'!AJ44+'OSC Bag Sorting'!AJ44+'OSC Bag Sorting Volumetric'!AJ44+'REV FSM'!AJ44+'Rejection Primary with Scan'!AJ44+'Rejection Secondary'!AJ44+'Rev DC DC Primary Sorting'!AJ44+'Rev Primary (FSM Rejections)'!AJ44+'Rev Secondary Sorting'!AJ44+'VIA Bag Sorting'!AJ44</f>
        <v/>
      </c>
      <c r="AK44" s="7">
        <f>'BBB'!AK44+'Bag Staging'!AK44+'Bag Staging Volumetric'!AK44+'FWD FSM'!AK44+'FWD Manual Pre Primary'!AK44+'FWD Manual Primary'!AK44+'FWD Primary with Scan'!AK44+'FWD Secondary'!AK44+'FWD Volumetric'!AK44+'IB'!AK44+'IB Volumetric'!AK44+'OB'!AK44+'OB Volumetric'!AK44+'OSC Bag Sorting'!AK44+'OSC Bag Sorting Volumetric'!AK44+'REV FSM'!AK44+'Rejection Primary with Scan'!AK44+'Rejection Secondary'!AK44+'Rev DC DC Primary Sorting'!AK44+'Rev Primary (FSM Rejections)'!AK44+'Rev Secondary Sorting'!AK44+'VIA Bag Sorting'!AK44</f>
        <v/>
      </c>
      <c r="AL44" s="7">
        <f>'BBB'!AL44+'Bag Staging'!AL44+'Bag Staging Volumetric'!AL44+'FWD FSM'!AL44+'FWD Manual Pre Primary'!AL44+'FWD Manual Primary'!AL44+'FWD Primary with Scan'!AL44+'FWD Secondary'!AL44+'FWD Volumetric'!AL44+'IB'!AL44+'IB Volumetric'!AL44+'OB'!AL44+'OB Volumetric'!AL44+'OSC Bag Sorting'!AL44+'OSC Bag Sorting Volumetric'!AL44+'REV FSM'!AL44+'Rejection Primary with Scan'!AL44+'Rejection Secondary'!AL44+'Rev DC DC Primary Sorting'!AL44+'Rev Primary (FSM Rejections)'!AL44+'Rev Secondary Sorting'!AL44+'VIA Bag Sorting'!AL44</f>
        <v/>
      </c>
      <c r="AM44" s="7">
        <f>'BBB'!AM44+'Bag Staging'!AM44+'Bag Staging Volumetric'!AM44+'FWD FSM'!AM44+'FWD Manual Pre Primary'!AM44+'FWD Manual Primary'!AM44+'FWD Primary with Scan'!AM44+'FWD Secondary'!AM44+'FWD Volumetric'!AM44+'IB'!AM44+'IB Volumetric'!AM44+'OB'!AM44+'OB Volumetric'!AM44+'OSC Bag Sorting'!AM44+'OSC Bag Sorting Volumetric'!AM44+'REV FSM'!AM44+'Rejection Primary with Scan'!AM44+'Rejection Secondary'!AM44+'Rev DC DC Primary Sorting'!AM44+'Rev Primary (FSM Rejections)'!AM44+'Rev Secondary Sorting'!AM44+'VIA Bag Sorting'!AM44</f>
        <v/>
      </c>
      <c r="AN44" s="7">
        <f>'BBB'!AN44+'Bag Staging'!AN44+'Bag Staging Volumetric'!AN44+'FWD FSM'!AN44+'FWD Manual Pre Primary'!AN44+'FWD Manual Primary'!AN44+'FWD Primary with Scan'!AN44+'FWD Secondary'!AN44+'FWD Volumetric'!AN44+'IB'!AN44+'IB Volumetric'!AN44+'OB'!AN44+'OB Volumetric'!AN44+'OSC Bag Sorting'!AN44+'OSC Bag Sorting Volumetric'!AN44+'REV FSM'!AN44+'Rejection Primary with Scan'!AN44+'Rejection Secondary'!AN44+'Rev DC DC Primary Sorting'!AN44+'Rev Primary (FSM Rejections)'!AN44+'Rev Secondary Sorting'!AN44+'VIA Bag Sorting'!AN44</f>
        <v/>
      </c>
      <c r="AO44" s="7">
        <f>'BBB'!AO44+'Bag Staging'!AO44+'Bag Staging Volumetric'!AO44+'FWD FSM'!AO44+'FWD Manual Pre Primary'!AO44+'FWD Manual Primary'!AO44+'FWD Primary with Scan'!AO44+'FWD Secondary'!AO44+'FWD Volumetric'!AO44+'IB'!AO44+'IB Volumetric'!AO44+'OB'!AO44+'OB Volumetric'!AO44+'OSC Bag Sorting'!AO44+'OSC Bag Sorting Volumetric'!AO44+'REV FSM'!AO44+'Rejection Primary with Scan'!AO44+'Rejection Secondary'!AO44+'Rev DC DC Primary Sorting'!AO44+'Rev Primary (FSM Rejections)'!AO44+'Rev Secondary Sorting'!AO44+'VIA Bag Sorting'!AO44</f>
        <v/>
      </c>
      <c r="AP44" s="7">
        <f>'BBB'!AP44+'Bag Staging'!AP44+'Bag Staging Volumetric'!AP44+'FWD FSM'!AP44+'FWD Manual Pre Primary'!AP44+'FWD Manual Primary'!AP44+'FWD Primary with Scan'!AP44+'FWD Secondary'!AP44+'FWD Volumetric'!AP44+'IB'!AP44+'IB Volumetric'!AP44+'OB'!AP44+'OB Volumetric'!AP44+'OSC Bag Sorting'!AP44+'OSC Bag Sorting Volumetric'!AP44+'REV FSM'!AP44+'Rejection Primary with Scan'!AP44+'Rejection Secondary'!AP44+'Rev DC DC Primary Sorting'!AP44+'Rev Primary (FSM Rejections)'!AP44+'Rev Secondary Sorting'!AP44+'VIA Bag Sorting'!AP44</f>
        <v/>
      </c>
      <c r="AQ44" s="7">
        <f>'BBB'!AQ44+'Bag Staging'!AQ44+'Bag Staging Volumetric'!AQ44+'FWD FSM'!AQ44+'FWD Manual Pre Primary'!AQ44+'FWD Manual Primary'!AQ44+'FWD Primary with Scan'!AQ44+'FWD Secondary'!AQ44+'FWD Volumetric'!AQ44+'IB'!AQ44+'IB Volumetric'!AQ44+'OB'!AQ44+'OB Volumetric'!AQ44+'OSC Bag Sorting'!AQ44+'OSC Bag Sorting Volumetric'!AQ44+'REV FSM'!AQ44+'Rejection Primary with Scan'!AQ44+'Rejection Secondary'!AQ44+'Rev DC DC Primary Sorting'!AQ44+'Rev Primary (FSM Rejections)'!AQ44+'Rev Secondary Sorting'!AQ44+'VIA Bag Sorting'!AQ44</f>
        <v/>
      </c>
      <c r="AR44" s="7">
        <f>'BBB'!AR44+'Bag Staging'!AR44+'Bag Staging Volumetric'!AR44+'FWD FSM'!AR44+'FWD Manual Pre Primary'!AR44+'FWD Manual Primary'!AR44+'FWD Primary with Scan'!AR44+'FWD Secondary'!AR44+'FWD Volumetric'!AR44+'IB'!AR44+'IB Volumetric'!AR44+'OB'!AR44+'OB Volumetric'!AR44+'OSC Bag Sorting'!AR44+'OSC Bag Sorting Volumetric'!AR44+'REV FSM'!AR44+'Rejection Primary with Scan'!AR44+'Rejection Secondary'!AR44+'Rev DC DC Primary Sorting'!AR44+'Rev Primary (FSM Rejections)'!AR44+'Rev Secondary Sorting'!AR44+'VIA Bag Sorting'!AR44</f>
        <v/>
      </c>
      <c r="AS44" s="7">
        <f>'BBB'!AS44+'Bag Staging'!AS44+'Bag Staging Volumetric'!AS44+'FWD FSM'!AS44+'FWD Manual Pre Primary'!AS44+'FWD Manual Primary'!AS44+'FWD Primary with Scan'!AS44+'FWD Secondary'!AS44+'FWD Volumetric'!AS44+'IB'!AS44+'IB Volumetric'!AS44+'OB'!AS44+'OB Volumetric'!AS44+'OSC Bag Sorting'!AS44+'OSC Bag Sorting Volumetric'!AS44+'REV FSM'!AS44+'Rejection Primary with Scan'!AS44+'Rejection Secondary'!AS44+'Rev DC DC Primary Sorting'!AS44+'Rev Primary (FSM Rejections)'!AS44+'Rev Secondary Sorting'!AS44+'VIA Bag Sorting'!AS44</f>
        <v/>
      </c>
      <c r="AT44" s="7">
        <f>'BBB'!AT44+'Bag Staging'!AT44+'Bag Staging Volumetric'!AT44+'FWD FSM'!AT44+'FWD Manual Pre Primary'!AT44+'FWD Manual Primary'!AT44+'FWD Primary with Scan'!AT44+'FWD Secondary'!AT44+'FWD Volumetric'!AT44+'IB'!AT44+'IB Volumetric'!AT44+'OB'!AT44+'OB Volumetric'!AT44+'OSC Bag Sorting'!AT44+'OSC Bag Sorting Volumetric'!AT44+'REV FSM'!AT44+'Rejection Primary with Scan'!AT44+'Rejection Secondary'!AT44+'Rev DC DC Primary Sorting'!AT44+'Rev Primary (FSM Rejections)'!AT44+'Rev Secondary Sorting'!AT44+'VIA Bag Sorting'!AT44</f>
        <v/>
      </c>
      <c r="AU44" s="7">
        <f>'BBB'!AU44+'Bag Staging'!AU44+'Bag Staging Volumetric'!AU44+'FWD FSM'!AU44+'FWD Manual Pre Primary'!AU44+'FWD Manual Primary'!AU44+'FWD Primary with Scan'!AU44+'FWD Secondary'!AU44+'FWD Volumetric'!AU44+'IB'!AU44+'IB Volumetric'!AU44+'OB'!AU44+'OB Volumetric'!AU44+'OSC Bag Sorting'!AU44+'OSC Bag Sorting Volumetric'!AU44+'REV FSM'!AU44+'Rejection Primary with Scan'!AU44+'Rejection Secondary'!AU44+'Rev DC DC Primary Sorting'!AU44+'Rev Primary (FSM Rejections)'!AU44+'Rev Secondary Sorting'!AU44+'VIA Bag Sorting'!AU44</f>
        <v/>
      </c>
      <c r="AV44" s="7">
        <f>'BBB'!AV44+'Bag Staging'!AV44+'Bag Staging Volumetric'!AV44+'FWD FSM'!AV44+'FWD Manual Pre Primary'!AV44+'FWD Manual Primary'!AV44+'FWD Primary with Scan'!AV44+'FWD Secondary'!AV44+'FWD Volumetric'!AV44+'IB'!AV44+'IB Volumetric'!AV44+'OB'!AV44+'OB Volumetric'!AV44+'OSC Bag Sorting'!AV44+'OSC Bag Sorting Volumetric'!AV44+'REV FSM'!AV44+'Rejection Primary with Scan'!AV44+'Rejection Secondary'!AV44+'Rev DC DC Primary Sorting'!AV44+'Rev Primary (FSM Rejections)'!AV44+'Rev Secondary Sorting'!AV44+'VIA Bag Sorting'!AV44</f>
        <v/>
      </c>
      <c r="AW44" s="7">
        <f>'BBB'!AW44+'Bag Staging'!AW44+'Bag Staging Volumetric'!AW44+'FWD FSM'!AW44+'FWD Manual Pre Primary'!AW44+'FWD Manual Primary'!AW44+'FWD Primary with Scan'!AW44+'FWD Secondary'!AW44+'FWD Volumetric'!AW44+'IB'!AW44+'IB Volumetric'!AW44+'OB'!AW44+'OB Volumetric'!AW44+'OSC Bag Sorting'!AW44+'OSC Bag Sorting Volumetric'!AW44+'REV FSM'!AW44+'Rejection Primary with Scan'!AW44+'Rejection Secondary'!AW44+'Rev DC DC Primary Sorting'!AW44+'Rev Primary (FSM Rejections)'!AW44+'Rev Secondary Sorting'!AW44+'VIA Bag Sorting'!AW44</f>
        <v/>
      </c>
      <c r="AX44" s="7">
        <f>'BBB'!AX44+'Bag Staging'!AX44+'Bag Staging Volumetric'!AX44+'FWD FSM'!AX44+'FWD Manual Pre Primary'!AX44+'FWD Manual Primary'!AX44+'FWD Primary with Scan'!AX44+'FWD Secondary'!AX44+'FWD Volumetric'!AX44+'IB'!AX44+'IB Volumetric'!AX44+'OB'!AX44+'OB Volumetric'!AX44+'OSC Bag Sorting'!AX44+'OSC Bag Sorting Volumetric'!AX44+'REV FSM'!AX44+'Rejection Primary with Scan'!AX44+'Rejection Secondary'!AX44+'Rev DC DC Primary Sorting'!AX44+'Rev Primary (FSM Rejections)'!AX44+'Rev Secondary Sorting'!AX44+'VIA Bag Sorting'!AX44</f>
        <v/>
      </c>
      <c r="AY44" s="7">
        <f>'BBB'!AY44+'Bag Staging'!AY44+'Bag Staging Volumetric'!AY44+'FWD FSM'!AY44+'FWD Manual Pre Primary'!AY44+'FWD Manual Primary'!AY44+'FWD Primary with Scan'!AY44+'FWD Secondary'!AY44+'FWD Volumetric'!AY44+'IB'!AY44+'IB Volumetric'!AY44+'OB'!AY44+'OB Volumetric'!AY44+'OSC Bag Sorting'!AY44+'OSC Bag Sorting Volumetric'!AY44+'REV FSM'!AY44+'Rejection Primary with Scan'!AY44+'Rejection Secondary'!AY44+'Rev DC DC Primary Sorting'!AY44+'Rev Primary (FSM Rejections)'!AY44+'Rev Secondary Sorting'!AY44+'VIA Bag Sorting'!AY44</f>
        <v/>
      </c>
      <c r="AZ44" s="7">
        <f>'BBB'!AZ44+'Bag Staging'!AZ44+'Bag Staging Volumetric'!AZ44+'FWD FSM'!AZ44+'FWD Manual Pre Primary'!AZ44+'FWD Manual Primary'!AZ44+'FWD Primary with Scan'!AZ44+'FWD Secondary'!AZ44+'FWD Volumetric'!AZ44+'IB'!AZ44+'IB Volumetric'!AZ44+'OB'!AZ44+'OB Volumetric'!AZ44+'OSC Bag Sorting'!AZ44+'OSC Bag Sorting Volumetric'!AZ44+'REV FSM'!AZ44+'Rejection Primary with Scan'!AZ44+'Rejection Secondary'!AZ44+'Rev DC DC Primary Sorting'!AZ44+'Rev Primary (FSM Rejections)'!AZ44+'Rev Secondary Sorting'!AZ44+'VIA Bag Sorting'!AZ44</f>
        <v/>
      </c>
      <c r="BA44" s="7">
        <f>'BBB'!BA44+'Bag Staging'!BA44+'Bag Staging Volumetric'!BA44+'FWD FSM'!BA44+'FWD Manual Pre Primary'!BA44+'FWD Manual Primary'!BA44+'FWD Primary with Scan'!BA44+'FWD Secondary'!BA44+'FWD Volumetric'!BA44+'IB'!BA44+'IB Volumetric'!BA44+'OB'!BA44+'OB Volumetric'!BA44+'OSC Bag Sorting'!BA44+'OSC Bag Sorting Volumetric'!BA44+'REV FSM'!BA44+'Rejection Primary with Scan'!BA44+'Rejection Secondary'!BA44+'Rev DC DC Primary Sorting'!BA44+'Rev Primary (FSM Rejections)'!BA44+'Rev Secondary Sorting'!BA44+'VIA Bag Sorting'!BA44</f>
        <v/>
      </c>
      <c r="BB44" s="7">
        <f>SUM(AD44:BA44)</f>
        <v/>
      </c>
    </row>
    <row r="45">
      <c r="A45" t="inlineStr">
        <is>
          <t>AMD-FWDPRI-SSC</t>
        </is>
      </c>
      <c r="B45" t="inlineStr">
        <is>
          <t>FWD Priority OSC</t>
        </is>
      </c>
      <c r="C45" s="5" t="n">
        <v>46100</v>
      </c>
      <c r="D45" s="6" t="n">
        <v>2635</v>
      </c>
      <c r="E45" s="6" t="n">
        <v>820</v>
      </c>
      <c r="F45" s="6" t="n">
        <v>2043</v>
      </c>
      <c r="G45" s="6" t="n">
        <v>4540</v>
      </c>
      <c r="H45" s="6" t="n">
        <v>1883</v>
      </c>
      <c r="I45" s="6" t="n">
        <v>4216</v>
      </c>
      <c r="J45" s="6" t="n">
        <v>4326</v>
      </c>
      <c r="K45" s="6" t="n">
        <v>87</v>
      </c>
      <c r="L45" s="6" t="n">
        <v>233</v>
      </c>
      <c r="M45" s="6" t="n">
        <v>901</v>
      </c>
      <c r="N45" s="6" t="n">
        <v>1930</v>
      </c>
      <c r="O45" s="6" t="n">
        <v>1974</v>
      </c>
      <c r="P45" s="6" t="n">
        <v>117</v>
      </c>
      <c r="Q45" s="6" t="n">
        <v>62</v>
      </c>
      <c r="R45" s="6" t="n">
        <v>1108</v>
      </c>
      <c r="S45" s="6" t="n">
        <v>1978</v>
      </c>
      <c r="T45" s="6" t="n">
        <v>590</v>
      </c>
      <c r="U45" s="6" t="n">
        <v>1564</v>
      </c>
      <c r="V45" s="6" t="n">
        <v>1463</v>
      </c>
      <c r="W45" s="6" t="n">
        <v>2076</v>
      </c>
      <c r="X45" s="6" t="n">
        <v>1585</v>
      </c>
      <c r="Y45" s="6" t="n">
        <v>1356</v>
      </c>
      <c r="Z45" s="6" t="n">
        <v>23</v>
      </c>
      <c r="AA45" s="6" t="n">
        <v>0</v>
      </c>
      <c r="AB45" s="6">
        <f>SUM(D45:AA45)</f>
        <v/>
      </c>
      <c r="AC45" s="3" t="inlineStr"/>
      <c r="AD45" s="7">
        <f>'BBB'!AD45+'Bag Staging'!AD45+'Bag Staging Volumetric'!AD45+'FWD FSM'!AD45+'FWD Manual Pre Primary'!AD45+'FWD Manual Primary'!AD45+'FWD Primary with Scan'!AD45+'FWD Secondary'!AD45+'FWD Volumetric'!AD45+'IB'!AD45+'IB Volumetric'!AD45+'OB'!AD45+'OB Volumetric'!AD45+'OSC Bag Sorting'!AD45+'OSC Bag Sorting Volumetric'!AD45+'REV FSM'!AD45+'Rejection Primary with Scan'!AD45+'Rejection Secondary'!AD45+'Rev DC DC Primary Sorting'!AD45+'Rev Primary (FSM Rejections)'!AD45+'Rev Secondary Sorting'!AD45+'VIA Bag Sorting'!AD45</f>
        <v/>
      </c>
      <c r="AE45" s="7">
        <f>'BBB'!AE45+'Bag Staging'!AE45+'Bag Staging Volumetric'!AE45+'FWD FSM'!AE45+'FWD Manual Pre Primary'!AE45+'FWD Manual Primary'!AE45+'FWD Primary with Scan'!AE45+'FWD Secondary'!AE45+'FWD Volumetric'!AE45+'IB'!AE45+'IB Volumetric'!AE45+'OB'!AE45+'OB Volumetric'!AE45+'OSC Bag Sorting'!AE45+'OSC Bag Sorting Volumetric'!AE45+'REV FSM'!AE45+'Rejection Primary with Scan'!AE45+'Rejection Secondary'!AE45+'Rev DC DC Primary Sorting'!AE45+'Rev Primary (FSM Rejections)'!AE45+'Rev Secondary Sorting'!AE45+'VIA Bag Sorting'!AE45</f>
        <v/>
      </c>
      <c r="AF45" s="7">
        <f>'BBB'!AF45+'Bag Staging'!AF45+'Bag Staging Volumetric'!AF45+'FWD FSM'!AF45+'FWD Manual Pre Primary'!AF45+'FWD Manual Primary'!AF45+'FWD Primary with Scan'!AF45+'FWD Secondary'!AF45+'FWD Volumetric'!AF45+'IB'!AF45+'IB Volumetric'!AF45+'OB'!AF45+'OB Volumetric'!AF45+'OSC Bag Sorting'!AF45+'OSC Bag Sorting Volumetric'!AF45+'REV FSM'!AF45+'Rejection Primary with Scan'!AF45+'Rejection Secondary'!AF45+'Rev DC DC Primary Sorting'!AF45+'Rev Primary (FSM Rejections)'!AF45+'Rev Secondary Sorting'!AF45+'VIA Bag Sorting'!AF45</f>
        <v/>
      </c>
      <c r="AG45" s="7">
        <f>'BBB'!AG45+'Bag Staging'!AG45+'Bag Staging Volumetric'!AG45+'FWD FSM'!AG45+'FWD Manual Pre Primary'!AG45+'FWD Manual Primary'!AG45+'FWD Primary with Scan'!AG45+'FWD Secondary'!AG45+'FWD Volumetric'!AG45+'IB'!AG45+'IB Volumetric'!AG45+'OB'!AG45+'OB Volumetric'!AG45+'OSC Bag Sorting'!AG45+'OSC Bag Sorting Volumetric'!AG45+'REV FSM'!AG45+'Rejection Primary with Scan'!AG45+'Rejection Secondary'!AG45+'Rev DC DC Primary Sorting'!AG45+'Rev Primary (FSM Rejections)'!AG45+'Rev Secondary Sorting'!AG45+'VIA Bag Sorting'!AG45</f>
        <v/>
      </c>
      <c r="AH45" s="7">
        <f>'BBB'!AH45+'Bag Staging'!AH45+'Bag Staging Volumetric'!AH45+'FWD FSM'!AH45+'FWD Manual Pre Primary'!AH45+'FWD Manual Primary'!AH45+'FWD Primary with Scan'!AH45+'FWD Secondary'!AH45+'FWD Volumetric'!AH45+'IB'!AH45+'IB Volumetric'!AH45+'OB'!AH45+'OB Volumetric'!AH45+'OSC Bag Sorting'!AH45+'OSC Bag Sorting Volumetric'!AH45+'REV FSM'!AH45+'Rejection Primary with Scan'!AH45+'Rejection Secondary'!AH45+'Rev DC DC Primary Sorting'!AH45+'Rev Primary (FSM Rejections)'!AH45+'Rev Secondary Sorting'!AH45+'VIA Bag Sorting'!AH45</f>
        <v/>
      </c>
      <c r="AI45" s="7">
        <f>'BBB'!AI45+'Bag Staging'!AI45+'Bag Staging Volumetric'!AI45+'FWD FSM'!AI45+'FWD Manual Pre Primary'!AI45+'FWD Manual Primary'!AI45+'FWD Primary with Scan'!AI45+'FWD Secondary'!AI45+'FWD Volumetric'!AI45+'IB'!AI45+'IB Volumetric'!AI45+'OB'!AI45+'OB Volumetric'!AI45+'OSC Bag Sorting'!AI45+'OSC Bag Sorting Volumetric'!AI45+'REV FSM'!AI45+'Rejection Primary with Scan'!AI45+'Rejection Secondary'!AI45+'Rev DC DC Primary Sorting'!AI45+'Rev Primary (FSM Rejections)'!AI45+'Rev Secondary Sorting'!AI45+'VIA Bag Sorting'!AI45</f>
        <v/>
      </c>
      <c r="AJ45" s="7">
        <f>'BBB'!AJ45+'Bag Staging'!AJ45+'Bag Staging Volumetric'!AJ45+'FWD FSM'!AJ45+'FWD Manual Pre Primary'!AJ45+'FWD Manual Primary'!AJ45+'FWD Primary with Scan'!AJ45+'FWD Secondary'!AJ45+'FWD Volumetric'!AJ45+'IB'!AJ45+'IB Volumetric'!AJ45+'OB'!AJ45+'OB Volumetric'!AJ45+'OSC Bag Sorting'!AJ45+'OSC Bag Sorting Volumetric'!AJ45+'REV FSM'!AJ45+'Rejection Primary with Scan'!AJ45+'Rejection Secondary'!AJ45+'Rev DC DC Primary Sorting'!AJ45+'Rev Primary (FSM Rejections)'!AJ45+'Rev Secondary Sorting'!AJ45+'VIA Bag Sorting'!AJ45</f>
        <v/>
      </c>
      <c r="AK45" s="7">
        <f>'BBB'!AK45+'Bag Staging'!AK45+'Bag Staging Volumetric'!AK45+'FWD FSM'!AK45+'FWD Manual Pre Primary'!AK45+'FWD Manual Primary'!AK45+'FWD Primary with Scan'!AK45+'FWD Secondary'!AK45+'FWD Volumetric'!AK45+'IB'!AK45+'IB Volumetric'!AK45+'OB'!AK45+'OB Volumetric'!AK45+'OSC Bag Sorting'!AK45+'OSC Bag Sorting Volumetric'!AK45+'REV FSM'!AK45+'Rejection Primary with Scan'!AK45+'Rejection Secondary'!AK45+'Rev DC DC Primary Sorting'!AK45+'Rev Primary (FSM Rejections)'!AK45+'Rev Secondary Sorting'!AK45+'VIA Bag Sorting'!AK45</f>
        <v/>
      </c>
      <c r="AL45" s="7">
        <f>'BBB'!AL45+'Bag Staging'!AL45+'Bag Staging Volumetric'!AL45+'FWD FSM'!AL45+'FWD Manual Pre Primary'!AL45+'FWD Manual Primary'!AL45+'FWD Primary with Scan'!AL45+'FWD Secondary'!AL45+'FWD Volumetric'!AL45+'IB'!AL45+'IB Volumetric'!AL45+'OB'!AL45+'OB Volumetric'!AL45+'OSC Bag Sorting'!AL45+'OSC Bag Sorting Volumetric'!AL45+'REV FSM'!AL45+'Rejection Primary with Scan'!AL45+'Rejection Secondary'!AL45+'Rev DC DC Primary Sorting'!AL45+'Rev Primary (FSM Rejections)'!AL45+'Rev Secondary Sorting'!AL45+'VIA Bag Sorting'!AL45</f>
        <v/>
      </c>
      <c r="AM45" s="7">
        <f>'BBB'!AM45+'Bag Staging'!AM45+'Bag Staging Volumetric'!AM45+'FWD FSM'!AM45+'FWD Manual Pre Primary'!AM45+'FWD Manual Primary'!AM45+'FWD Primary with Scan'!AM45+'FWD Secondary'!AM45+'FWD Volumetric'!AM45+'IB'!AM45+'IB Volumetric'!AM45+'OB'!AM45+'OB Volumetric'!AM45+'OSC Bag Sorting'!AM45+'OSC Bag Sorting Volumetric'!AM45+'REV FSM'!AM45+'Rejection Primary with Scan'!AM45+'Rejection Secondary'!AM45+'Rev DC DC Primary Sorting'!AM45+'Rev Primary (FSM Rejections)'!AM45+'Rev Secondary Sorting'!AM45+'VIA Bag Sorting'!AM45</f>
        <v/>
      </c>
      <c r="AN45" s="7">
        <f>'BBB'!AN45+'Bag Staging'!AN45+'Bag Staging Volumetric'!AN45+'FWD FSM'!AN45+'FWD Manual Pre Primary'!AN45+'FWD Manual Primary'!AN45+'FWD Primary with Scan'!AN45+'FWD Secondary'!AN45+'FWD Volumetric'!AN45+'IB'!AN45+'IB Volumetric'!AN45+'OB'!AN45+'OB Volumetric'!AN45+'OSC Bag Sorting'!AN45+'OSC Bag Sorting Volumetric'!AN45+'REV FSM'!AN45+'Rejection Primary with Scan'!AN45+'Rejection Secondary'!AN45+'Rev DC DC Primary Sorting'!AN45+'Rev Primary (FSM Rejections)'!AN45+'Rev Secondary Sorting'!AN45+'VIA Bag Sorting'!AN45</f>
        <v/>
      </c>
      <c r="AO45" s="7">
        <f>'BBB'!AO45+'Bag Staging'!AO45+'Bag Staging Volumetric'!AO45+'FWD FSM'!AO45+'FWD Manual Pre Primary'!AO45+'FWD Manual Primary'!AO45+'FWD Primary with Scan'!AO45+'FWD Secondary'!AO45+'FWD Volumetric'!AO45+'IB'!AO45+'IB Volumetric'!AO45+'OB'!AO45+'OB Volumetric'!AO45+'OSC Bag Sorting'!AO45+'OSC Bag Sorting Volumetric'!AO45+'REV FSM'!AO45+'Rejection Primary with Scan'!AO45+'Rejection Secondary'!AO45+'Rev DC DC Primary Sorting'!AO45+'Rev Primary (FSM Rejections)'!AO45+'Rev Secondary Sorting'!AO45+'VIA Bag Sorting'!AO45</f>
        <v/>
      </c>
      <c r="AP45" s="7">
        <f>'BBB'!AP45+'Bag Staging'!AP45+'Bag Staging Volumetric'!AP45+'FWD FSM'!AP45+'FWD Manual Pre Primary'!AP45+'FWD Manual Primary'!AP45+'FWD Primary with Scan'!AP45+'FWD Secondary'!AP45+'FWD Volumetric'!AP45+'IB'!AP45+'IB Volumetric'!AP45+'OB'!AP45+'OB Volumetric'!AP45+'OSC Bag Sorting'!AP45+'OSC Bag Sorting Volumetric'!AP45+'REV FSM'!AP45+'Rejection Primary with Scan'!AP45+'Rejection Secondary'!AP45+'Rev DC DC Primary Sorting'!AP45+'Rev Primary (FSM Rejections)'!AP45+'Rev Secondary Sorting'!AP45+'VIA Bag Sorting'!AP45</f>
        <v/>
      </c>
      <c r="AQ45" s="7">
        <f>'BBB'!AQ45+'Bag Staging'!AQ45+'Bag Staging Volumetric'!AQ45+'FWD FSM'!AQ45+'FWD Manual Pre Primary'!AQ45+'FWD Manual Primary'!AQ45+'FWD Primary with Scan'!AQ45+'FWD Secondary'!AQ45+'FWD Volumetric'!AQ45+'IB'!AQ45+'IB Volumetric'!AQ45+'OB'!AQ45+'OB Volumetric'!AQ45+'OSC Bag Sorting'!AQ45+'OSC Bag Sorting Volumetric'!AQ45+'REV FSM'!AQ45+'Rejection Primary with Scan'!AQ45+'Rejection Secondary'!AQ45+'Rev DC DC Primary Sorting'!AQ45+'Rev Primary (FSM Rejections)'!AQ45+'Rev Secondary Sorting'!AQ45+'VIA Bag Sorting'!AQ45</f>
        <v/>
      </c>
      <c r="AR45" s="7">
        <f>'BBB'!AR45+'Bag Staging'!AR45+'Bag Staging Volumetric'!AR45+'FWD FSM'!AR45+'FWD Manual Pre Primary'!AR45+'FWD Manual Primary'!AR45+'FWD Primary with Scan'!AR45+'FWD Secondary'!AR45+'FWD Volumetric'!AR45+'IB'!AR45+'IB Volumetric'!AR45+'OB'!AR45+'OB Volumetric'!AR45+'OSC Bag Sorting'!AR45+'OSC Bag Sorting Volumetric'!AR45+'REV FSM'!AR45+'Rejection Primary with Scan'!AR45+'Rejection Secondary'!AR45+'Rev DC DC Primary Sorting'!AR45+'Rev Primary (FSM Rejections)'!AR45+'Rev Secondary Sorting'!AR45+'VIA Bag Sorting'!AR45</f>
        <v/>
      </c>
      <c r="AS45" s="7">
        <f>'BBB'!AS45+'Bag Staging'!AS45+'Bag Staging Volumetric'!AS45+'FWD FSM'!AS45+'FWD Manual Pre Primary'!AS45+'FWD Manual Primary'!AS45+'FWD Primary with Scan'!AS45+'FWD Secondary'!AS45+'FWD Volumetric'!AS45+'IB'!AS45+'IB Volumetric'!AS45+'OB'!AS45+'OB Volumetric'!AS45+'OSC Bag Sorting'!AS45+'OSC Bag Sorting Volumetric'!AS45+'REV FSM'!AS45+'Rejection Primary with Scan'!AS45+'Rejection Secondary'!AS45+'Rev DC DC Primary Sorting'!AS45+'Rev Primary (FSM Rejections)'!AS45+'Rev Secondary Sorting'!AS45+'VIA Bag Sorting'!AS45</f>
        <v/>
      </c>
      <c r="AT45" s="7">
        <f>'BBB'!AT45+'Bag Staging'!AT45+'Bag Staging Volumetric'!AT45+'FWD FSM'!AT45+'FWD Manual Pre Primary'!AT45+'FWD Manual Primary'!AT45+'FWD Primary with Scan'!AT45+'FWD Secondary'!AT45+'FWD Volumetric'!AT45+'IB'!AT45+'IB Volumetric'!AT45+'OB'!AT45+'OB Volumetric'!AT45+'OSC Bag Sorting'!AT45+'OSC Bag Sorting Volumetric'!AT45+'REV FSM'!AT45+'Rejection Primary with Scan'!AT45+'Rejection Secondary'!AT45+'Rev DC DC Primary Sorting'!AT45+'Rev Primary (FSM Rejections)'!AT45+'Rev Secondary Sorting'!AT45+'VIA Bag Sorting'!AT45</f>
        <v/>
      </c>
      <c r="AU45" s="7">
        <f>'BBB'!AU45+'Bag Staging'!AU45+'Bag Staging Volumetric'!AU45+'FWD FSM'!AU45+'FWD Manual Pre Primary'!AU45+'FWD Manual Primary'!AU45+'FWD Primary with Scan'!AU45+'FWD Secondary'!AU45+'FWD Volumetric'!AU45+'IB'!AU45+'IB Volumetric'!AU45+'OB'!AU45+'OB Volumetric'!AU45+'OSC Bag Sorting'!AU45+'OSC Bag Sorting Volumetric'!AU45+'REV FSM'!AU45+'Rejection Primary with Scan'!AU45+'Rejection Secondary'!AU45+'Rev DC DC Primary Sorting'!AU45+'Rev Primary (FSM Rejections)'!AU45+'Rev Secondary Sorting'!AU45+'VIA Bag Sorting'!AU45</f>
        <v/>
      </c>
      <c r="AV45" s="7">
        <f>'BBB'!AV45+'Bag Staging'!AV45+'Bag Staging Volumetric'!AV45+'FWD FSM'!AV45+'FWD Manual Pre Primary'!AV45+'FWD Manual Primary'!AV45+'FWD Primary with Scan'!AV45+'FWD Secondary'!AV45+'FWD Volumetric'!AV45+'IB'!AV45+'IB Volumetric'!AV45+'OB'!AV45+'OB Volumetric'!AV45+'OSC Bag Sorting'!AV45+'OSC Bag Sorting Volumetric'!AV45+'REV FSM'!AV45+'Rejection Primary with Scan'!AV45+'Rejection Secondary'!AV45+'Rev DC DC Primary Sorting'!AV45+'Rev Primary (FSM Rejections)'!AV45+'Rev Secondary Sorting'!AV45+'VIA Bag Sorting'!AV45</f>
        <v/>
      </c>
      <c r="AW45" s="7">
        <f>'BBB'!AW45+'Bag Staging'!AW45+'Bag Staging Volumetric'!AW45+'FWD FSM'!AW45+'FWD Manual Pre Primary'!AW45+'FWD Manual Primary'!AW45+'FWD Primary with Scan'!AW45+'FWD Secondary'!AW45+'FWD Volumetric'!AW45+'IB'!AW45+'IB Volumetric'!AW45+'OB'!AW45+'OB Volumetric'!AW45+'OSC Bag Sorting'!AW45+'OSC Bag Sorting Volumetric'!AW45+'REV FSM'!AW45+'Rejection Primary with Scan'!AW45+'Rejection Secondary'!AW45+'Rev DC DC Primary Sorting'!AW45+'Rev Primary (FSM Rejections)'!AW45+'Rev Secondary Sorting'!AW45+'VIA Bag Sorting'!AW45</f>
        <v/>
      </c>
      <c r="AX45" s="7">
        <f>'BBB'!AX45+'Bag Staging'!AX45+'Bag Staging Volumetric'!AX45+'FWD FSM'!AX45+'FWD Manual Pre Primary'!AX45+'FWD Manual Primary'!AX45+'FWD Primary with Scan'!AX45+'FWD Secondary'!AX45+'FWD Volumetric'!AX45+'IB'!AX45+'IB Volumetric'!AX45+'OB'!AX45+'OB Volumetric'!AX45+'OSC Bag Sorting'!AX45+'OSC Bag Sorting Volumetric'!AX45+'REV FSM'!AX45+'Rejection Primary with Scan'!AX45+'Rejection Secondary'!AX45+'Rev DC DC Primary Sorting'!AX45+'Rev Primary (FSM Rejections)'!AX45+'Rev Secondary Sorting'!AX45+'VIA Bag Sorting'!AX45</f>
        <v/>
      </c>
      <c r="AY45" s="7">
        <f>'BBB'!AY45+'Bag Staging'!AY45+'Bag Staging Volumetric'!AY45+'FWD FSM'!AY45+'FWD Manual Pre Primary'!AY45+'FWD Manual Primary'!AY45+'FWD Primary with Scan'!AY45+'FWD Secondary'!AY45+'FWD Volumetric'!AY45+'IB'!AY45+'IB Volumetric'!AY45+'OB'!AY45+'OB Volumetric'!AY45+'OSC Bag Sorting'!AY45+'OSC Bag Sorting Volumetric'!AY45+'REV FSM'!AY45+'Rejection Primary with Scan'!AY45+'Rejection Secondary'!AY45+'Rev DC DC Primary Sorting'!AY45+'Rev Primary (FSM Rejections)'!AY45+'Rev Secondary Sorting'!AY45+'VIA Bag Sorting'!AY45</f>
        <v/>
      </c>
      <c r="AZ45" s="7">
        <f>'BBB'!AZ45+'Bag Staging'!AZ45+'Bag Staging Volumetric'!AZ45+'FWD FSM'!AZ45+'FWD Manual Pre Primary'!AZ45+'FWD Manual Primary'!AZ45+'FWD Primary with Scan'!AZ45+'FWD Secondary'!AZ45+'FWD Volumetric'!AZ45+'IB'!AZ45+'IB Volumetric'!AZ45+'OB'!AZ45+'OB Volumetric'!AZ45+'OSC Bag Sorting'!AZ45+'OSC Bag Sorting Volumetric'!AZ45+'REV FSM'!AZ45+'Rejection Primary with Scan'!AZ45+'Rejection Secondary'!AZ45+'Rev DC DC Primary Sorting'!AZ45+'Rev Primary (FSM Rejections)'!AZ45+'Rev Secondary Sorting'!AZ45+'VIA Bag Sorting'!AZ45</f>
        <v/>
      </c>
      <c r="BA45" s="7">
        <f>'BBB'!BA45+'Bag Staging'!BA45+'Bag Staging Volumetric'!BA45+'FWD FSM'!BA45+'FWD Manual Pre Primary'!BA45+'FWD Manual Primary'!BA45+'FWD Primary with Scan'!BA45+'FWD Secondary'!BA45+'FWD Volumetric'!BA45+'IB'!BA45+'IB Volumetric'!BA45+'OB'!BA45+'OB Volumetric'!BA45+'OSC Bag Sorting'!BA45+'OSC Bag Sorting Volumetric'!BA45+'REV FSM'!BA45+'Rejection Primary with Scan'!BA45+'Rejection Secondary'!BA45+'Rev DC DC Primary Sorting'!BA45+'Rev Primary (FSM Rejections)'!BA45+'Rev Secondary Sorting'!BA45+'VIA Bag Sorting'!BA45</f>
        <v/>
      </c>
      <c r="BB45" s="7">
        <f>SUM(AD45:BA45)</f>
        <v/>
      </c>
    </row>
    <row r="46">
      <c r="A46" t="inlineStr">
        <is>
          <t>AMD-FWDPRI-SSC</t>
        </is>
      </c>
      <c r="B46" t="inlineStr">
        <is>
          <t>FWD Priority OSC</t>
        </is>
      </c>
      <c r="C46" s="5" t="n">
        <v>46101</v>
      </c>
      <c r="D46" s="6" t="n">
        <v>161</v>
      </c>
      <c r="E46" s="6" t="n">
        <v>0</v>
      </c>
      <c r="F46" s="6" t="n">
        <v>40</v>
      </c>
      <c r="G46" s="6" t="n">
        <v>1435</v>
      </c>
      <c r="H46" s="6" t="n">
        <v>1407</v>
      </c>
      <c r="I46" s="6" t="n">
        <v>2136</v>
      </c>
      <c r="J46" s="6" t="n">
        <v>1132</v>
      </c>
      <c r="K46" s="6" t="n">
        <v>188</v>
      </c>
      <c r="L46" s="6" t="n">
        <v>2149</v>
      </c>
      <c r="M46" s="6" t="n">
        <v>560</v>
      </c>
      <c r="N46" s="6" t="n">
        <v>2068</v>
      </c>
      <c r="O46" s="6" t="n">
        <v>1326</v>
      </c>
      <c r="P46" s="6" t="n">
        <v>21</v>
      </c>
      <c r="Q46" s="6" t="n">
        <v>2353</v>
      </c>
      <c r="R46" s="6" t="n">
        <v>1776</v>
      </c>
      <c r="S46" s="6" t="n">
        <v>1550</v>
      </c>
      <c r="T46" s="6" t="n">
        <v>1299</v>
      </c>
      <c r="U46" s="6" t="n">
        <v>7</v>
      </c>
      <c r="V46" s="6" t="n">
        <v>2162</v>
      </c>
      <c r="W46" s="6" t="n">
        <v>1821</v>
      </c>
      <c r="X46" s="6" t="n">
        <v>2317</v>
      </c>
      <c r="Y46" s="6" t="n">
        <v>1444</v>
      </c>
      <c r="Z46" s="6" t="n">
        <v>1</v>
      </c>
      <c r="AA46" s="6" t="n">
        <v>362</v>
      </c>
      <c r="AB46" s="6">
        <f>SUM(D46:AA46)</f>
        <v/>
      </c>
      <c r="AC46" s="3" t="inlineStr"/>
      <c r="AD46" s="7">
        <f>'BBB'!AD46+'Bag Staging'!AD46+'Bag Staging Volumetric'!AD46+'FWD FSM'!AD46+'FWD Manual Pre Primary'!AD46+'FWD Manual Primary'!AD46+'FWD Primary with Scan'!AD46+'FWD Secondary'!AD46+'FWD Volumetric'!AD46+'IB'!AD46+'IB Volumetric'!AD46+'OB'!AD46+'OB Volumetric'!AD46+'OSC Bag Sorting'!AD46+'OSC Bag Sorting Volumetric'!AD46+'REV FSM'!AD46+'Rejection Primary with Scan'!AD46+'Rejection Secondary'!AD46+'Rev DC DC Primary Sorting'!AD46+'Rev Primary (FSM Rejections)'!AD46+'Rev Secondary Sorting'!AD46+'VIA Bag Sorting'!AD46</f>
        <v/>
      </c>
      <c r="AE46" s="7">
        <f>'BBB'!AE46+'Bag Staging'!AE46+'Bag Staging Volumetric'!AE46+'FWD FSM'!AE46+'FWD Manual Pre Primary'!AE46+'FWD Manual Primary'!AE46+'FWD Primary with Scan'!AE46+'FWD Secondary'!AE46+'FWD Volumetric'!AE46+'IB'!AE46+'IB Volumetric'!AE46+'OB'!AE46+'OB Volumetric'!AE46+'OSC Bag Sorting'!AE46+'OSC Bag Sorting Volumetric'!AE46+'REV FSM'!AE46+'Rejection Primary with Scan'!AE46+'Rejection Secondary'!AE46+'Rev DC DC Primary Sorting'!AE46+'Rev Primary (FSM Rejections)'!AE46+'Rev Secondary Sorting'!AE46+'VIA Bag Sorting'!AE46</f>
        <v/>
      </c>
      <c r="AF46" s="7">
        <f>'BBB'!AF46+'Bag Staging'!AF46+'Bag Staging Volumetric'!AF46+'FWD FSM'!AF46+'FWD Manual Pre Primary'!AF46+'FWD Manual Primary'!AF46+'FWD Primary with Scan'!AF46+'FWD Secondary'!AF46+'FWD Volumetric'!AF46+'IB'!AF46+'IB Volumetric'!AF46+'OB'!AF46+'OB Volumetric'!AF46+'OSC Bag Sorting'!AF46+'OSC Bag Sorting Volumetric'!AF46+'REV FSM'!AF46+'Rejection Primary with Scan'!AF46+'Rejection Secondary'!AF46+'Rev DC DC Primary Sorting'!AF46+'Rev Primary (FSM Rejections)'!AF46+'Rev Secondary Sorting'!AF46+'VIA Bag Sorting'!AF46</f>
        <v/>
      </c>
      <c r="AG46" s="7">
        <f>'BBB'!AG46+'Bag Staging'!AG46+'Bag Staging Volumetric'!AG46+'FWD FSM'!AG46+'FWD Manual Pre Primary'!AG46+'FWD Manual Primary'!AG46+'FWD Primary with Scan'!AG46+'FWD Secondary'!AG46+'FWD Volumetric'!AG46+'IB'!AG46+'IB Volumetric'!AG46+'OB'!AG46+'OB Volumetric'!AG46+'OSC Bag Sorting'!AG46+'OSC Bag Sorting Volumetric'!AG46+'REV FSM'!AG46+'Rejection Primary with Scan'!AG46+'Rejection Secondary'!AG46+'Rev DC DC Primary Sorting'!AG46+'Rev Primary (FSM Rejections)'!AG46+'Rev Secondary Sorting'!AG46+'VIA Bag Sorting'!AG46</f>
        <v/>
      </c>
      <c r="AH46" s="7">
        <f>'BBB'!AH46+'Bag Staging'!AH46+'Bag Staging Volumetric'!AH46+'FWD FSM'!AH46+'FWD Manual Pre Primary'!AH46+'FWD Manual Primary'!AH46+'FWD Primary with Scan'!AH46+'FWD Secondary'!AH46+'FWD Volumetric'!AH46+'IB'!AH46+'IB Volumetric'!AH46+'OB'!AH46+'OB Volumetric'!AH46+'OSC Bag Sorting'!AH46+'OSC Bag Sorting Volumetric'!AH46+'REV FSM'!AH46+'Rejection Primary with Scan'!AH46+'Rejection Secondary'!AH46+'Rev DC DC Primary Sorting'!AH46+'Rev Primary (FSM Rejections)'!AH46+'Rev Secondary Sorting'!AH46+'VIA Bag Sorting'!AH46</f>
        <v/>
      </c>
      <c r="AI46" s="7">
        <f>'BBB'!AI46+'Bag Staging'!AI46+'Bag Staging Volumetric'!AI46+'FWD FSM'!AI46+'FWD Manual Pre Primary'!AI46+'FWD Manual Primary'!AI46+'FWD Primary with Scan'!AI46+'FWD Secondary'!AI46+'FWD Volumetric'!AI46+'IB'!AI46+'IB Volumetric'!AI46+'OB'!AI46+'OB Volumetric'!AI46+'OSC Bag Sorting'!AI46+'OSC Bag Sorting Volumetric'!AI46+'REV FSM'!AI46+'Rejection Primary with Scan'!AI46+'Rejection Secondary'!AI46+'Rev DC DC Primary Sorting'!AI46+'Rev Primary (FSM Rejections)'!AI46+'Rev Secondary Sorting'!AI46+'VIA Bag Sorting'!AI46</f>
        <v/>
      </c>
      <c r="AJ46" s="7">
        <f>'BBB'!AJ46+'Bag Staging'!AJ46+'Bag Staging Volumetric'!AJ46+'FWD FSM'!AJ46+'FWD Manual Pre Primary'!AJ46+'FWD Manual Primary'!AJ46+'FWD Primary with Scan'!AJ46+'FWD Secondary'!AJ46+'FWD Volumetric'!AJ46+'IB'!AJ46+'IB Volumetric'!AJ46+'OB'!AJ46+'OB Volumetric'!AJ46+'OSC Bag Sorting'!AJ46+'OSC Bag Sorting Volumetric'!AJ46+'REV FSM'!AJ46+'Rejection Primary with Scan'!AJ46+'Rejection Secondary'!AJ46+'Rev DC DC Primary Sorting'!AJ46+'Rev Primary (FSM Rejections)'!AJ46+'Rev Secondary Sorting'!AJ46+'VIA Bag Sorting'!AJ46</f>
        <v/>
      </c>
      <c r="AK46" s="7">
        <f>'BBB'!AK46+'Bag Staging'!AK46+'Bag Staging Volumetric'!AK46+'FWD FSM'!AK46+'FWD Manual Pre Primary'!AK46+'FWD Manual Primary'!AK46+'FWD Primary with Scan'!AK46+'FWD Secondary'!AK46+'FWD Volumetric'!AK46+'IB'!AK46+'IB Volumetric'!AK46+'OB'!AK46+'OB Volumetric'!AK46+'OSC Bag Sorting'!AK46+'OSC Bag Sorting Volumetric'!AK46+'REV FSM'!AK46+'Rejection Primary with Scan'!AK46+'Rejection Secondary'!AK46+'Rev DC DC Primary Sorting'!AK46+'Rev Primary (FSM Rejections)'!AK46+'Rev Secondary Sorting'!AK46+'VIA Bag Sorting'!AK46</f>
        <v/>
      </c>
      <c r="AL46" s="7">
        <f>'BBB'!AL46+'Bag Staging'!AL46+'Bag Staging Volumetric'!AL46+'FWD FSM'!AL46+'FWD Manual Pre Primary'!AL46+'FWD Manual Primary'!AL46+'FWD Primary with Scan'!AL46+'FWD Secondary'!AL46+'FWD Volumetric'!AL46+'IB'!AL46+'IB Volumetric'!AL46+'OB'!AL46+'OB Volumetric'!AL46+'OSC Bag Sorting'!AL46+'OSC Bag Sorting Volumetric'!AL46+'REV FSM'!AL46+'Rejection Primary with Scan'!AL46+'Rejection Secondary'!AL46+'Rev DC DC Primary Sorting'!AL46+'Rev Primary (FSM Rejections)'!AL46+'Rev Secondary Sorting'!AL46+'VIA Bag Sorting'!AL46</f>
        <v/>
      </c>
      <c r="AM46" s="7">
        <f>'BBB'!AM46+'Bag Staging'!AM46+'Bag Staging Volumetric'!AM46+'FWD FSM'!AM46+'FWD Manual Pre Primary'!AM46+'FWD Manual Primary'!AM46+'FWD Primary with Scan'!AM46+'FWD Secondary'!AM46+'FWD Volumetric'!AM46+'IB'!AM46+'IB Volumetric'!AM46+'OB'!AM46+'OB Volumetric'!AM46+'OSC Bag Sorting'!AM46+'OSC Bag Sorting Volumetric'!AM46+'REV FSM'!AM46+'Rejection Primary with Scan'!AM46+'Rejection Secondary'!AM46+'Rev DC DC Primary Sorting'!AM46+'Rev Primary (FSM Rejections)'!AM46+'Rev Secondary Sorting'!AM46+'VIA Bag Sorting'!AM46</f>
        <v/>
      </c>
      <c r="AN46" s="7">
        <f>'BBB'!AN46+'Bag Staging'!AN46+'Bag Staging Volumetric'!AN46+'FWD FSM'!AN46+'FWD Manual Pre Primary'!AN46+'FWD Manual Primary'!AN46+'FWD Primary with Scan'!AN46+'FWD Secondary'!AN46+'FWD Volumetric'!AN46+'IB'!AN46+'IB Volumetric'!AN46+'OB'!AN46+'OB Volumetric'!AN46+'OSC Bag Sorting'!AN46+'OSC Bag Sorting Volumetric'!AN46+'REV FSM'!AN46+'Rejection Primary with Scan'!AN46+'Rejection Secondary'!AN46+'Rev DC DC Primary Sorting'!AN46+'Rev Primary (FSM Rejections)'!AN46+'Rev Secondary Sorting'!AN46+'VIA Bag Sorting'!AN46</f>
        <v/>
      </c>
      <c r="AO46" s="7">
        <f>'BBB'!AO46+'Bag Staging'!AO46+'Bag Staging Volumetric'!AO46+'FWD FSM'!AO46+'FWD Manual Pre Primary'!AO46+'FWD Manual Primary'!AO46+'FWD Primary with Scan'!AO46+'FWD Secondary'!AO46+'FWD Volumetric'!AO46+'IB'!AO46+'IB Volumetric'!AO46+'OB'!AO46+'OB Volumetric'!AO46+'OSC Bag Sorting'!AO46+'OSC Bag Sorting Volumetric'!AO46+'REV FSM'!AO46+'Rejection Primary with Scan'!AO46+'Rejection Secondary'!AO46+'Rev DC DC Primary Sorting'!AO46+'Rev Primary (FSM Rejections)'!AO46+'Rev Secondary Sorting'!AO46+'VIA Bag Sorting'!AO46</f>
        <v/>
      </c>
      <c r="AP46" s="7">
        <f>'BBB'!AP46+'Bag Staging'!AP46+'Bag Staging Volumetric'!AP46+'FWD FSM'!AP46+'FWD Manual Pre Primary'!AP46+'FWD Manual Primary'!AP46+'FWD Primary with Scan'!AP46+'FWD Secondary'!AP46+'FWD Volumetric'!AP46+'IB'!AP46+'IB Volumetric'!AP46+'OB'!AP46+'OB Volumetric'!AP46+'OSC Bag Sorting'!AP46+'OSC Bag Sorting Volumetric'!AP46+'REV FSM'!AP46+'Rejection Primary with Scan'!AP46+'Rejection Secondary'!AP46+'Rev DC DC Primary Sorting'!AP46+'Rev Primary (FSM Rejections)'!AP46+'Rev Secondary Sorting'!AP46+'VIA Bag Sorting'!AP46</f>
        <v/>
      </c>
      <c r="AQ46" s="7">
        <f>'BBB'!AQ46+'Bag Staging'!AQ46+'Bag Staging Volumetric'!AQ46+'FWD FSM'!AQ46+'FWD Manual Pre Primary'!AQ46+'FWD Manual Primary'!AQ46+'FWD Primary with Scan'!AQ46+'FWD Secondary'!AQ46+'FWD Volumetric'!AQ46+'IB'!AQ46+'IB Volumetric'!AQ46+'OB'!AQ46+'OB Volumetric'!AQ46+'OSC Bag Sorting'!AQ46+'OSC Bag Sorting Volumetric'!AQ46+'REV FSM'!AQ46+'Rejection Primary with Scan'!AQ46+'Rejection Secondary'!AQ46+'Rev DC DC Primary Sorting'!AQ46+'Rev Primary (FSM Rejections)'!AQ46+'Rev Secondary Sorting'!AQ46+'VIA Bag Sorting'!AQ46</f>
        <v/>
      </c>
      <c r="AR46" s="7">
        <f>'BBB'!AR46+'Bag Staging'!AR46+'Bag Staging Volumetric'!AR46+'FWD FSM'!AR46+'FWD Manual Pre Primary'!AR46+'FWD Manual Primary'!AR46+'FWD Primary with Scan'!AR46+'FWD Secondary'!AR46+'FWD Volumetric'!AR46+'IB'!AR46+'IB Volumetric'!AR46+'OB'!AR46+'OB Volumetric'!AR46+'OSC Bag Sorting'!AR46+'OSC Bag Sorting Volumetric'!AR46+'REV FSM'!AR46+'Rejection Primary with Scan'!AR46+'Rejection Secondary'!AR46+'Rev DC DC Primary Sorting'!AR46+'Rev Primary (FSM Rejections)'!AR46+'Rev Secondary Sorting'!AR46+'VIA Bag Sorting'!AR46</f>
        <v/>
      </c>
      <c r="AS46" s="7">
        <f>'BBB'!AS46+'Bag Staging'!AS46+'Bag Staging Volumetric'!AS46+'FWD FSM'!AS46+'FWD Manual Pre Primary'!AS46+'FWD Manual Primary'!AS46+'FWD Primary with Scan'!AS46+'FWD Secondary'!AS46+'FWD Volumetric'!AS46+'IB'!AS46+'IB Volumetric'!AS46+'OB'!AS46+'OB Volumetric'!AS46+'OSC Bag Sorting'!AS46+'OSC Bag Sorting Volumetric'!AS46+'REV FSM'!AS46+'Rejection Primary with Scan'!AS46+'Rejection Secondary'!AS46+'Rev DC DC Primary Sorting'!AS46+'Rev Primary (FSM Rejections)'!AS46+'Rev Secondary Sorting'!AS46+'VIA Bag Sorting'!AS46</f>
        <v/>
      </c>
      <c r="AT46" s="7">
        <f>'BBB'!AT46+'Bag Staging'!AT46+'Bag Staging Volumetric'!AT46+'FWD FSM'!AT46+'FWD Manual Pre Primary'!AT46+'FWD Manual Primary'!AT46+'FWD Primary with Scan'!AT46+'FWD Secondary'!AT46+'FWD Volumetric'!AT46+'IB'!AT46+'IB Volumetric'!AT46+'OB'!AT46+'OB Volumetric'!AT46+'OSC Bag Sorting'!AT46+'OSC Bag Sorting Volumetric'!AT46+'REV FSM'!AT46+'Rejection Primary with Scan'!AT46+'Rejection Secondary'!AT46+'Rev DC DC Primary Sorting'!AT46+'Rev Primary (FSM Rejections)'!AT46+'Rev Secondary Sorting'!AT46+'VIA Bag Sorting'!AT46</f>
        <v/>
      </c>
      <c r="AU46" s="7">
        <f>'BBB'!AU46+'Bag Staging'!AU46+'Bag Staging Volumetric'!AU46+'FWD FSM'!AU46+'FWD Manual Pre Primary'!AU46+'FWD Manual Primary'!AU46+'FWD Primary with Scan'!AU46+'FWD Secondary'!AU46+'FWD Volumetric'!AU46+'IB'!AU46+'IB Volumetric'!AU46+'OB'!AU46+'OB Volumetric'!AU46+'OSC Bag Sorting'!AU46+'OSC Bag Sorting Volumetric'!AU46+'REV FSM'!AU46+'Rejection Primary with Scan'!AU46+'Rejection Secondary'!AU46+'Rev DC DC Primary Sorting'!AU46+'Rev Primary (FSM Rejections)'!AU46+'Rev Secondary Sorting'!AU46+'VIA Bag Sorting'!AU46</f>
        <v/>
      </c>
      <c r="AV46" s="7">
        <f>'BBB'!AV46+'Bag Staging'!AV46+'Bag Staging Volumetric'!AV46+'FWD FSM'!AV46+'FWD Manual Pre Primary'!AV46+'FWD Manual Primary'!AV46+'FWD Primary with Scan'!AV46+'FWD Secondary'!AV46+'FWD Volumetric'!AV46+'IB'!AV46+'IB Volumetric'!AV46+'OB'!AV46+'OB Volumetric'!AV46+'OSC Bag Sorting'!AV46+'OSC Bag Sorting Volumetric'!AV46+'REV FSM'!AV46+'Rejection Primary with Scan'!AV46+'Rejection Secondary'!AV46+'Rev DC DC Primary Sorting'!AV46+'Rev Primary (FSM Rejections)'!AV46+'Rev Secondary Sorting'!AV46+'VIA Bag Sorting'!AV46</f>
        <v/>
      </c>
      <c r="AW46" s="7">
        <f>'BBB'!AW46+'Bag Staging'!AW46+'Bag Staging Volumetric'!AW46+'FWD FSM'!AW46+'FWD Manual Pre Primary'!AW46+'FWD Manual Primary'!AW46+'FWD Primary with Scan'!AW46+'FWD Secondary'!AW46+'FWD Volumetric'!AW46+'IB'!AW46+'IB Volumetric'!AW46+'OB'!AW46+'OB Volumetric'!AW46+'OSC Bag Sorting'!AW46+'OSC Bag Sorting Volumetric'!AW46+'REV FSM'!AW46+'Rejection Primary with Scan'!AW46+'Rejection Secondary'!AW46+'Rev DC DC Primary Sorting'!AW46+'Rev Primary (FSM Rejections)'!AW46+'Rev Secondary Sorting'!AW46+'VIA Bag Sorting'!AW46</f>
        <v/>
      </c>
      <c r="AX46" s="7">
        <f>'BBB'!AX46+'Bag Staging'!AX46+'Bag Staging Volumetric'!AX46+'FWD FSM'!AX46+'FWD Manual Pre Primary'!AX46+'FWD Manual Primary'!AX46+'FWD Primary with Scan'!AX46+'FWD Secondary'!AX46+'FWD Volumetric'!AX46+'IB'!AX46+'IB Volumetric'!AX46+'OB'!AX46+'OB Volumetric'!AX46+'OSC Bag Sorting'!AX46+'OSC Bag Sorting Volumetric'!AX46+'REV FSM'!AX46+'Rejection Primary with Scan'!AX46+'Rejection Secondary'!AX46+'Rev DC DC Primary Sorting'!AX46+'Rev Primary (FSM Rejections)'!AX46+'Rev Secondary Sorting'!AX46+'VIA Bag Sorting'!AX46</f>
        <v/>
      </c>
      <c r="AY46" s="7">
        <f>'BBB'!AY46+'Bag Staging'!AY46+'Bag Staging Volumetric'!AY46+'FWD FSM'!AY46+'FWD Manual Pre Primary'!AY46+'FWD Manual Primary'!AY46+'FWD Primary with Scan'!AY46+'FWD Secondary'!AY46+'FWD Volumetric'!AY46+'IB'!AY46+'IB Volumetric'!AY46+'OB'!AY46+'OB Volumetric'!AY46+'OSC Bag Sorting'!AY46+'OSC Bag Sorting Volumetric'!AY46+'REV FSM'!AY46+'Rejection Primary with Scan'!AY46+'Rejection Secondary'!AY46+'Rev DC DC Primary Sorting'!AY46+'Rev Primary (FSM Rejections)'!AY46+'Rev Secondary Sorting'!AY46+'VIA Bag Sorting'!AY46</f>
        <v/>
      </c>
      <c r="AZ46" s="7">
        <f>'BBB'!AZ46+'Bag Staging'!AZ46+'Bag Staging Volumetric'!AZ46+'FWD FSM'!AZ46+'FWD Manual Pre Primary'!AZ46+'FWD Manual Primary'!AZ46+'FWD Primary with Scan'!AZ46+'FWD Secondary'!AZ46+'FWD Volumetric'!AZ46+'IB'!AZ46+'IB Volumetric'!AZ46+'OB'!AZ46+'OB Volumetric'!AZ46+'OSC Bag Sorting'!AZ46+'OSC Bag Sorting Volumetric'!AZ46+'REV FSM'!AZ46+'Rejection Primary with Scan'!AZ46+'Rejection Secondary'!AZ46+'Rev DC DC Primary Sorting'!AZ46+'Rev Primary (FSM Rejections)'!AZ46+'Rev Secondary Sorting'!AZ46+'VIA Bag Sorting'!AZ46</f>
        <v/>
      </c>
      <c r="BA46" s="7">
        <f>'BBB'!BA46+'Bag Staging'!BA46+'Bag Staging Volumetric'!BA46+'FWD FSM'!BA46+'FWD Manual Pre Primary'!BA46+'FWD Manual Primary'!BA46+'FWD Primary with Scan'!BA46+'FWD Secondary'!BA46+'FWD Volumetric'!BA46+'IB'!BA46+'IB Volumetric'!BA46+'OB'!BA46+'OB Volumetric'!BA46+'OSC Bag Sorting'!BA46+'OSC Bag Sorting Volumetric'!BA46+'REV FSM'!BA46+'Rejection Primary with Scan'!BA46+'Rejection Secondary'!BA46+'Rev DC DC Primary Sorting'!BA46+'Rev Primary (FSM Rejections)'!BA46+'Rev Secondary Sorting'!BA46+'VIA Bag Sorting'!BA46</f>
        <v/>
      </c>
      <c r="BB46" s="7">
        <f>SUM(AD46:BA46)</f>
        <v/>
      </c>
    </row>
    <row r="47">
      <c r="A47" t="inlineStr">
        <is>
          <t>AMD-FWDPRI-SSC</t>
        </is>
      </c>
      <c r="B47" t="inlineStr">
        <is>
          <t>FWD Priority OSC</t>
        </is>
      </c>
      <c r="C47" s="5" t="n">
        <v>46102</v>
      </c>
      <c r="D47" s="6" t="n">
        <v>2438</v>
      </c>
      <c r="E47" s="6" t="n">
        <v>717</v>
      </c>
      <c r="F47" s="6" t="n">
        <v>1957</v>
      </c>
      <c r="G47" s="6" t="n">
        <v>3409</v>
      </c>
      <c r="H47" s="6" t="n">
        <v>2069</v>
      </c>
      <c r="I47" s="6" t="n">
        <v>2986</v>
      </c>
      <c r="J47" s="6" t="n">
        <v>2400</v>
      </c>
      <c r="K47" s="6" t="n">
        <v>348</v>
      </c>
      <c r="L47" s="6" t="n">
        <v>0</v>
      </c>
      <c r="M47" s="6" t="n">
        <v>0</v>
      </c>
      <c r="N47" s="6" t="n">
        <v>560</v>
      </c>
      <c r="O47" s="6" t="n">
        <v>2077</v>
      </c>
      <c r="P47" s="6" t="n">
        <v>1362</v>
      </c>
      <c r="Q47" s="6" t="n">
        <v>22</v>
      </c>
      <c r="R47" s="6" t="n">
        <v>2096</v>
      </c>
      <c r="S47" s="6" t="n">
        <v>1589</v>
      </c>
      <c r="T47" s="6" t="n">
        <v>1738</v>
      </c>
      <c r="U47" s="6" t="n">
        <v>129</v>
      </c>
      <c r="V47" s="6" t="n">
        <v>2301</v>
      </c>
      <c r="W47" s="6" t="n">
        <v>1858</v>
      </c>
      <c r="X47" s="6" t="n">
        <v>2061</v>
      </c>
      <c r="Y47" s="6" t="n">
        <v>1162</v>
      </c>
      <c r="Z47" s="6" t="n">
        <v>31</v>
      </c>
      <c r="AA47" s="6" t="n">
        <v>466</v>
      </c>
      <c r="AB47" s="6">
        <f>SUM(D47:AA47)</f>
        <v/>
      </c>
      <c r="AC47" s="3" t="inlineStr"/>
      <c r="AD47" s="7">
        <f>'BBB'!AD47+'Bag Staging'!AD47+'Bag Staging Volumetric'!AD47+'FWD FSM'!AD47+'FWD Manual Pre Primary'!AD47+'FWD Manual Primary'!AD47+'FWD Primary with Scan'!AD47+'FWD Secondary'!AD47+'FWD Volumetric'!AD47+'IB'!AD47+'IB Volumetric'!AD47+'OB'!AD47+'OB Volumetric'!AD47+'OSC Bag Sorting'!AD47+'OSC Bag Sorting Volumetric'!AD47+'REV FSM'!AD47+'Rejection Primary with Scan'!AD47+'Rejection Secondary'!AD47+'Rev DC DC Primary Sorting'!AD47+'Rev Primary (FSM Rejections)'!AD47+'Rev Secondary Sorting'!AD47+'VIA Bag Sorting'!AD47</f>
        <v/>
      </c>
      <c r="AE47" s="7">
        <f>'BBB'!AE47+'Bag Staging'!AE47+'Bag Staging Volumetric'!AE47+'FWD FSM'!AE47+'FWD Manual Pre Primary'!AE47+'FWD Manual Primary'!AE47+'FWD Primary with Scan'!AE47+'FWD Secondary'!AE47+'FWD Volumetric'!AE47+'IB'!AE47+'IB Volumetric'!AE47+'OB'!AE47+'OB Volumetric'!AE47+'OSC Bag Sorting'!AE47+'OSC Bag Sorting Volumetric'!AE47+'REV FSM'!AE47+'Rejection Primary with Scan'!AE47+'Rejection Secondary'!AE47+'Rev DC DC Primary Sorting'!AE47+'Rev Primary (FSM Rejections)'!AE47+'Rev Secondary Sorting'!AE47+'VIA Bag Sorting'!AE47</f>
        <v/>
      </c>
      <c r="AF47" s="7">
        <f>'BBB'!AF47+'Bag Staging'!AF47+'Bag Staging Volumetric'!AF47+'FWD FSM'!AF47+'FWD Manual Pre Primary'!AF47+'FWD Manual Primary'!AF47+'FWD Primary with Scan'!AF47+'FWD Secondary'!AF47+'FWD Volumetric'!AF47+'IB'!AF47+'IB Volumetric'!AF47+'OB'!AF47+'OB Volumetric'!AF47+'OSC Bag Sorting'!AF47+'OSC Bag Sorting Volumetric'!AF47+'REV FSM'!AF47+'Rejection Primary with Scan'!AF47+'Rejection Secondary'!AF47+'Rev DC DC Primary Sorting'!AF47+'Rev Primary (FSM Rejections)'!AF47+'Rev Secondary Sorting'!AF47+'VIA Bag Sorting'!AF47</f>
        <v/>
      </c>
      <c r="AG47" s="7">
        <f>'BBB'!AG47+'Bag Staging'!AG47+'Bag Staging Volumetric'!AG47+'FWD FSM'!AG47+'FWD Manual Pre Primary'!AG47+'FWD Manual Primary'!AG47+'FWD Primary with Scan'!AG47+'FWD Secondary'!AG47+'FWD Volumetric'!AG47+'IB'!AG47+'IB Volumetric'!AG47+'OB'!AG47+'OB Volumetric'!AG47+'OSC Bag Sorting'!AG47+'OSC Bag Sorting Volumetric'!AG47+'REV FSM'!AG47+'Rejection Primary with Scan'!AG47+'Rejection Secondary'!AG47+'Rev DC DC Primary Sorting'!AG47+'Rev Primary (FSM Rejections)'!AG47+'Rev Secondary Sorting'!AG47+'VIA Bag Sorting'!AG47</f>
        <v/>
      </c>
      <c r="AH47" s="7">
        <f>'BBB'!AH47+'Bag Staging'!AH47+'Bag Staging Volumetric'!AH47+'FWD FSM'!AH47+'FWD Manual Pre Primary'!AH47+'FWD Manual Primary'!AH47+'FWD Primary with Scan'!AH47+'FWD Secondary'!AH47+'FWD Volumetric'!AH47+'IB'!AH47+'IB Volumetric'!AH47+'OB'!AH47+'OB Volumetric'!AH47+'OSC Bag Sorting'!AH47+'OSC Bag Sorting Volumetric'!AH47+'REV FSM'!AH47+'Rejection Primary with Scan'!AH47+'Rejection Secondary'!AH47+'Rev DC DC Primary Sorting'!AH47+'Rev Primary (FSM Rejections)'!AH47+'Rev Secondary Sorting'!AH47+'VIA Bag Sorting'!AH47</f>
        <v/>
      </c>
      <c r="AI47" s="7">
        <f>'BBB'!AI47+'Bag Staging'!AI47+'Bag Staging Volumetric'!AI47+'FWD FSM'!AI47+'FWD Manual Pre Primary'!AI47+'FWD Manual Primary'!AI47+'FWD Primary with Scan'!AI47+'FWD Secondary'!AI47+'FWD Volumetric'!AI47+'IB'!AI47+'IB Volumetric'!AI47+'OB'!AI47+'OB Volumetric'!AI47+'OSC Bag Sorting'!AI47+'OSC Bag Sorting Volumetric'!AI47+'REV FSM'!AI47+'Rejection Primary with Scan'!AI47+'Rejection Secondary'!AI47+'Rev DC DC Primary Sorting'!AI47+'Rev Primary (FSM Rejections)'!AI47+'Rev Secondary Sorting'!AI47+'VIA Bag Sorting'!AI47</f>
        <v/>
      </c>
      <c r="AJ47" s="7">
        <f>'BBB'!AJ47+'Bag Staging'!AJ47+'Bag Staging Volumetric'!AJ47+'FWD FSM'!AJ47+'FWD Manual Pre Primary'!AJ47+'FWD Manual Primary'!AJ47+'FWD Primary with Scan'!AJ47+'FWD Secondary'!AJ47+'FWD Volumetric'!AJ47+'IB'!AJ47+'IB Volumetric'!AJ47+'OB'!AJ47+'OB Volumetric'!AJ47+'OSC Bag Sorting'!AJ47+'OSC Bag Sorting Volumetric'!AJ47+'REV FSM'!AJ47+'Rejection Primary with Scan'!AJ47+'Rejection Secondary'!AJ47+'Rev DC DC Primary Sorting'!AJ47+'Rev Primary (FSM Rejections)'!AJ47+'Rev Secondary Sorting'!AJ47+'VIA Bag Sorting'!AJ47</f>
        <v/>
      </c>
      <c r="AK47" s="7">
        <f>'BBB'!AK47+'Bag Staging'!AK47+'Bag Staging Volumetric'!AK47+'FWD FSM'!AK47+'FWD Manual Pre Primary'!AK47+'FWD Manual Primary'!AK47+'FWD Primary with Scan'!AK47+'FWD Secondary'!AK47+'FWD Volumetric'!AK47+'IB'!AK47+'IB Volumetric'!AK47+'OB'!AK47+'OB Volumetric'!AK47+'OSC Bag Sorting'!AK47+'OSC Bag Sorting Volumetric'!AK47+'REV FSM'!AK47+'Rejection Primary with Scan'!AK47+'Rejection Secondary'!AK47+'Rev DC DC Primary Sorting'!AK47+'Rev Primary (FSM Rejections)'!AK47+'Rev Secondary Sorting'!AK47+'VIA Bag Sorting'!AK47</f>
        <v/>
      </c>
      <c r="AL47" s="7">
        <f>'BBB'!AL47+'Bag Staging'!AL47+'Bag Staging Volumetric'!AL47+'FWD FSM'!AL47+'FWD Manual Pre Primary'!AL47+'FWD Manual Primary'!AL47+'FWD Primary with Scan'!AL47+'FWD Secondary'!AL47+'FWD Volumetric'!AL47+'IB'!AL47+'IB Volumetric'!AL47+'OB'!AL47+'OB Volumetric'!AL47+'OSC Bag Sorting'!AL47+'OSC Bag Sorting Volumetric'!AL47+'REV FSM'!AL47+'Rejection Primary with Scan'!AL47+'Rejection Secondary'!AL47+'Rev DC DC Primary Sorting'!AL47+'Rev Primary (FSM Rejections)'!AL47+'Rev Secondary Sorting'!AL47+'VIA Bag Sorting'!AL47</f>
        <v/>
      </c>
      <c r="AM47" s="7">
        <f>'BBB'!AM47+'Bag Staging'!AM47+'Bag Staging Volumetric'!AM47+'FWD FSM'!AM47+'FWD Manual Pre Primary'!AM47+'FWD Manual Primary'!AM47+'FWD Primary with Scan'!AM47+'FWD Secondary'!AM47+'FWD Volumetric'!AM47+'IB'!AM47+'IB Volumetric'!AM47+'OB'!AM47+'OB Volumetric'!AM47+'OSC Bag Sorting'!AM47+'OSC Bag Sorting Volumetric'!AM47+'REV FSM'!AM47+'Rejection Primary with Scan'!AM47+'Rejection Secondary'!AM47+'Rev DC DC Primary Sorting'!AM47+'Rev Primary (FSM Rejections)'!AM47+'Rev Secondary Sorting'!AM47+'VIA Bag Sorting'!AM47</f>
        <v/>
      </c>
      <c r="AN47" s="7">
        <f>'BBB'!AN47+'Bag Staging'!AN47+'Bag Staging Volumetric'!AN47+'FWD FSM'!AN47+'FWD Manual Pre Primary'!AN47+'FWD Manual Primary'!AN47+'FWD Primary with Scan'!AN47+'FWD Secondary'!AN47+'FWD Volumetric'!AN47+'IB'!AN47+'IB Volumetric'!AN47+'OB'!AN47+'OB Volumetric'!AN47+'OSC Bag Sorting'!AN47+'OSC Bag Sorting Volumetric'!AN47+'REV FSM'!AN47+'Rejection Primary with Scan'!AN47+'Rejection Secondary'!AN47+'Rev DC DC Primary Sorting'!AN47+'Rev Primary (FSM Rejections)'!AN47+'Rev Secondary Sorting'!AN47+'VIA Bag Sorting'!AN47</f>
        <v/>
      </c>
      <c r="AO47" s="7">
        <f>'BBB'!AO47+'Bag Staging'!AO47+'Bag Staging Volumetric'!AO47+'FWD FSM'!AO47+'FWD Manual Pre Primary'!AO47+'FWD Manual Primary'!AO47+'FWD Primary with Scan'!AO47+'FWD Secondary'!AO47+'FWD Volumetric'!AO47+'IB'!AO47+'IB Volumetric'!AO47+'OB'!AO47+'OB Volumetric'!AO47+'OSC Bag Sorting'!AO47+'OSC Bag Sorting Volumetric'!AO47+'REV FSM'!AO47+'Rejection Primary with Scan'!AO47+'Rejection Secondary'!AO47+'Rev DC DC Primary Sorting'!AO47+'Rev Primary (FSM Rejections)'!AO47+'Rev Secondary Sorting'!AO47+'VIA Bag Sorting'!AO47</f>
        <v/>
      </c>
      <c r="AP47" s="7">
        <f>'BBB'!AP47+'Bag Staging'!AP47+'Bag Staging Volumetric'!AP47+'FWD FSM'!AP47+'FWD Manual Pre Primary'!AP47+'FWD Manual Primary'!AP47+'FWD Primary with Scan'!AP47+'FWD Secondary'!AP47+'FWD Volumetric'!AP47+'IB'!AP47+'IB Volumetric'!AP47+'OB'!AP47+'OB Volumetric'!AP47+'OSC Bag Sorting'!AP47+'OSC Bag Sorting Volumetric'!AP47+'REV FSM'!AP47+'Rejection Primary with Scan'!AP47+'Rejection Secondary'!AP47+'Rev DC DC Primary Sorting'!AP47+'Rev Primary (FSM Rejections)'!AP47+'Rev Secondary Sorting'!AP47+'VIA Bag Sorting'!AP47</f>
        <v/>
      </c>
      <c r="AQ47" s="7">
        <f>'BBB'!AQ47+'Bag Staging'!AQ47+'Bag Staging Volumetric'!AQ47+'FWD FSM'!AQ47+'FWD Manual Pre Primary'!AQ47+'FWD Manual Primary'!AQ47+'FWD Primary with Scan'!AQ47+'FWD Secondary'!AQ47+'FWD Volumetric'!AQ47+'IB'!AQ47+'IB Volumetric'!AQ47+'OB'!AQ47+'OB Volumetric'!AQ47+'OSC Bag Sorting'!AQ47+'OSC Bag Sorting Volumetric'!AQ47+'REV FSM'!AQ47+'Rejection Primary with Scan'!AQ47+'Rejection Secondary'!AQ47+'Rev DC DC Primary Sorting'!AQ47+'Rev Primary (FSM Rejections)'!AQ47+'Rev Secondary Sorting'!AQ47+'VIA Bag Sorting'!AQ47</f>
        <v/>
      </c>
      <c r="AR47" s="7">
        <f>'BBB'!AR47+'Bag Staging'!AR47+'Bag Staging Volumetric'!AR47+'FWD FSM'!AR47+'FWD Manual Pre Primary'!AR47+'FWD Manual Primary'!AR47+'FWD Primary with Scan'!AR47+'FWD Secondary'!AR47+'FWD Volumetric'!AR47+'IB'!AR47+'IB Volumetric'!AR47+'OB'!AR47+'OB Volumetric'!AR47+'OSC Bag Sorting'!AR47+'OSC Bag Sorting Volumetric'!AR47+'REV FSM'!AR47+'Rejection Primary with Scan'!AR47+'Rejection Secondary'!AR47+'Rev DC DC Primary Sorting'!AR47+'Rev Primary (FSM Rejections)'!AR47+'Rev Secondary Sorting'!AR47+'VIA Bag Sorting'!AR47</f>
        <v/>
      </c>
      <c r="AS47" s="7">
        <f>'BBB'!AS47+'Bag Staging'!AS47+'Bag Staging Volumetric'!AS47+'FWD FSM'!AS47+'FWD Manual Pre Primary'!AS47+'FWD Manual Primary'!AS47+'FWD Primary with Scan'!AS47+'FWD Secondary'!AS47+'FWD Volumetric'!AS47+'IB'!AS47+'IB Volumetric'!AS47+'OB'!AS47+'OB Volumetric'!AS47+'OSC Bag Sorting'!AS47+'OSC Bag Sorting Volumetric'!AS47+'REV FSM'!AS47+'Rejection Primary with Scan'!AS47+'Rejection Secondary'!AS47+'Rev DC DC Primary Sorting'!AS47+'Rev Primary (FSM Rejections)'!AS47+'Rev Secondary Sorting'!AS47+'VIA Bag Sorting'!AS47</f>
        <v/>
      </c>
      <c r="AT47" s="7">
        <f>'BBB'!AT47+'Bag Staging'!AT47+'Bag Staging Volumetric'!AT47+'FWD FSM'!AT47+'FWD Manual Pre Primary'!AT47+'FWD Manual Primary'!AT47+'FWD Primary with Scan'!AT47+'FWD Secondary'!AT47+'FWD Volumetric'!AT47+'IB'!AT47+'IB Volumetric'!AT47+'OB'!AT47+'OB Volumetric'!AT47+'OSC Bag Sorting'!AT47+'OSC Bag Sorting Volumetric'!AT47+'REV FSM'!AT47+'Rejection Primary with Scan'!AT47+'Rejection Secondary'!AT47+'Rev DC DC Primary Sorting'!AT47+'Rev Primary (FSM Rejections)'!AT47+'Rev Secondary Sorting'!AT47+'VIA Bag Sorting'!AT47</f>
        <v/>
      </c>
      <c r="AU47" s="7">
        <f>'BBB'!AU47+'Bag Staging'!AU47+'Bag Staging Volumetric'!AU47+'FWD FSM'!AU47+'FWD Manual Pre Primary'!AU47+'FWD Manual Primary'!AU47+'FWD Primary with Scan'!AU47+'FWD Secondary'!AU47+'FWD Volumetric'!AU47+'IB'!AU47+'IB Volumetric'!AU47+'OB'!AU47+'OB Volumetric'!AU47+'OSC Bag Sorting'!AU47+'OSC Bag Sorting Volumetric'!AU47+'REV FSM'!AU47+'Rejection Primary with Scan'!AU47+'Rejection Secondary'!AU47+'Rev DC DC Primary Sorting'!AU47+'Rev Primary (FSM Rejections)'!AU47+'Rev Secondary Sorting'!AU47+'VIA Bag Sorting'!AU47</f>
        <v/>
      </c>
      <c r="AV47" s="7">
        <f>'BBB'!AV47+'Bag Staging'!AV47+'Bag Staging Volumetric'!AV47+'FWD FSM'!AV47+'FWD Manual Pre Primary'!AV47+'FWD Manual Primary'!AV47+'FWD Primary with Scan'!AV47+'FWD Secondary'!AV47+'FWD Volumetric'!AV47+'IB'!AV47+'IB Volumetric'!AV47+'OB'!AV47+'OB Volumetric'!AV47+'OSC Bag Sorting'!AV47+'OSC Bag Sorting Volumetric'!AV47+'REV FSM'!AV47+'Rejection Primary with Scan'!AV47+'Rejection Secondary'!AV47+'Rev DC DC Primary Sorting'!AV47+'Rev Primary (FSM Rejections)'!AV47+'Rev Secondary Sorting'!AV47+'VIA Bag Sorting'!AV47</f>
        <v/>
      </c>
      <c r="AW47" s="7">
        <f>'BBB'!AW47+'Bag Staging'!AW47+'Bag Staging Volumetric'!AW47+'FWD FSM'!AW47+'FWD Manual Pre Primary'!AW47+'FWD Manual Primary'!AW47+'FWD Primary with Scan'!AW47+'FWD Secondary'!AW47+'FWD Volumetric'!AW47+'IB'!AW47+'IB Volumetric'!AW47+'OB'!AW47+'OB Volumetric'!AW47+'OSC Bag Sorting'!AW47+'OSC Bag Sorting Volumetric'!AW47+'REV FSM'!AW47+'Rejection Primary with Scan'!AW47+'Rejection Secondary'!AW47+'Rev DC DC Primary Sorting'!AW47+'Rev Primary (FSM Rejections)'!AW47+'Rev Secondary Sorting'!AW47+'VIA Bag Sorting'!AW47</f>
        <v/>
      </c>
      <c r="AX47" s="7">
        <f>'BBB'!AX47+'Bag Staging'!AX47+'Bag Staging Volumetric'!AX47+'FWD FSM'!AX47+'FWD Manual Pre Primary'!AX47+'FWD Manual Primary'!AX47+'FWD Primary with Scan'!AX47+'FWD Secondary'!AX47+'FWD Volumetric'!AX47+'IB'!AX47+'IB Volumetric'!AX47+'OB'!AX47+'OB Volumetric'!AX47+'OSC Bag Sorting'!AX47+'OSC Bag Sorting Volumetric'!AX47+'REV FSM'!AX47+'Rejection Primary with Scan'!AX47+'Rejection Secondary'!AX47+'Rev DC DC Primary Sorting'!AX47+'Rev Primary (FSM Rejections)'!AX47+'Rev Secondary Sorting'!AX47+'VIA Bag Sorting'!AX47</f>
        <v/>
      </c>
      <c r="AY47" s="7">
        <f>'BBB'!AY47+'Bag Staging'!AY47+'Bag Staging Volumetric'!AY47+'FWD FSM'!AY47+'FWD Manual Pre Primary'!AY47+'FWD Manual Primary'!AY47+'FWD Primary with Scan'!AY47+'FWD Secondary'!AY47+'FWD Volumetric'!AY47+'IB'!AY47+'IB Volumetric'!AY47+'OB'!AY47+'OB Volumetric'!AY47+'OSC Bag Sorting'!AY47+'OSC Bag Sorting Volumetric'!AY47+'REV FSM'!AY47+'Rejection Primary with Scan'!AY47+'Rejection Secondary'!AY47+'Rev DC DC Primary Sorting'!AY47+'Rev Primary (FSM Rejections)'!AY47+'Rev Secondary Sorting'!AY47+'VIA Bag Sorting'!AY47</f>
        <v/>
      </c>
      <c r="AZ47" s="7">
        <f>'BBB'!AZ47+'Bag Staging'!AZ47+'Bag Staging Volumetric'!AZ47+'FWD FSM'!AZ47+'FWD Manual Pre Primary'!AZ47+'FWD Manual Primary'!AZ47+'FWD Primary with Scan'!AZ47+'FWD Secondary'!AZ47+'FWD Volumetric'!AZ47+'IB'!AZ47+'IB Volumetric'!AZ47+'OB'!AZ47+'OB Volumetric'!AZ47+'OSC Bag Sorting'!AZ47+'OSC Bag Sorting Volumetric'!AZ47+'REV FSM'!AZ47+'Rejection Primary with Scan'!AZ47+'Rejection Secondary'!AZ47+'Rev DC DC Primary Sorting'!AZ47+'Rev Primary (FSM Rejections)'!AZ47+'Rev Secondary Sorting'!AZ47+'VIA Bag Sorting'!AZ47</f>
        <v/>
      </c>
      <c r="BA47" s="7">
        <f>'BBB'!BA47+'Bag Staging'!BA47+'Bag Staging Volumetric'!BA47+'FWD FSM'!BA47+'FWD Manual Pre Primary'!BA47+'FWD Manual Primary'!BA47+'FWD Primary with Scan'!BA47+'FWD Secondary'!BA47+'FWD Volumetric'!BA47+'IB'!BA47+'IB Volumetric'!BA47+'OB'!BA47+'OB Volumetric'!BA47+'OSC Bag Sorting'!BA47+'OSC Bag Sorting Volumetric'!BA47+'REV FSM'!BA47+'Rejection Primary with Scan'!BA47+'Rejection Secondary'!BA47+'Rev DC DC Primary Sorting'!BA47+'Rev Primary (FSM Rejections)'!BA47+'Rev Secondary Sorting'!BA47+'VIA Bag Sorting'!BA47</f>
        <v/>
      </c>
      <c r="BB47" s="7">
        <f>SUM(AD47:BA47)</f>
        <v/>
      </c>
    </row>
    <row r="48">
      <c r="A48" t="inlineStr">
        <is>
          <t>AMD-FWDPRI-SSC</t>
        </is>
      </c>
      <c r="B48" t="inlineStr">
        <is>
          <t>FWD Priority OSC</t>
        </is>
      </c>
      <c r="C48" s="5" t="n">
        <v>46103</v>
      </c>
      <c r="D48" s="6" t="n">
        <v>3281</v>
      </c>
      <c r="E48" s="6" t="n">
        <v>509</v>
      </c>
      <c r="F48" s="6" t="n">
        <v>1843</v>
      </c>
      <c r="G48" s="6" t="n">
        <v>3233</v>
      </c>
      <c r="H48" s="6" t="n">
        <v>2025</v>
      </c>
      <c r="I48" s="6" t="n">
        <v>1790</v>
      </c>
      <c r="J48" s="6" t="n">
        <v>31</v>
      </c>
      <c r="K48" s="6" t="n">
        <v>0</v>
      </c>
      <c r="L48" s="6" t="n">
        <v>0</v>
      </c>
      <c r="M48" s="6" t="n">
        <v>0</v>
      </c>
      <c r="N48" s="6" t="n">
        <v>619</v>
      </c>
      <c r="O48" s="6" t="n">
        <v>1637</v>
      </c>
      <c r="P48" s="6" t="n">
        <v>733</v>
      </c>
      <c r="Q48" s="6" t="n">
        <v>1004</v>
      </c>
      <c r="R48" s="6" t="n">
        <v>2205</v>
      </c>
      <c r="S48" s="6" t="n">
        <v>1972</v>
      </c>
      <c r="T48" s="6" t="n">
        <v>607</v>
      </c>
      <c r="U48" s="6" t="n">
        <v>1700</v>
      </c>
      <c r="V48" s="6" t="n">
        <v>1926</v>
      </c>
      <c r="W48" s="6" t="n">
        <v>2450</v>
      </c>
      <c r="X48" s="6" t="n">
        <v>2380</v>
      </c>
      <c r="Y48" s="6" t="n">
        <v>2170</v>
      </c>
      <c r="Z48" s="6" t="n">
        <v>0</v>
      </c>
      <c r="AA48" s="6" t="n">
        <v>350</v>
      </c>
      <c r="AB48" s="6">
        <f>SUM(D48:AA48)</f>
        <v/>
      </c>
      <c r="AC48" s="3" t="inlineStr"/>
      <c r="AD48" s="7">
        <f>'BBB'!AD48+'Bag Staging'!AD48+'Bag Staging Volumetric'!AD48+'FWD FSM'!AD48+'FWD Manual Pre Primary'!AD48+'FWD Manual Primary'!AD48+'FWD Primary with Scan'!AD48+'FWD Secondary'!AD48+'FWD Volumetric'!AD48+'IB'!AD48+'IB Volumetric'!AD48+'OB'!AD48+'OB Volumetric'!AD48+'OSC Bag Sorting'!AD48+'OSC Bag Sorting Volumetric'!AD48+'REV FSM'!AD48+'Rejection Primary with Scan'!AD48+'Rejection Secondary'!AD48+'Rev DC DC Primary Sorting'!AD48+'Rev Primary (FSM Rejections)'!AD48+'Rev Secondary Sorting'!AD48+'VIA Bag Sorting'!AD48</f>
        <v/>
      </c>
      <c r="AE48" s="7">
        <f>'BBB'!AE48+'Bag Staging'!AE48+'Bag Staging Volumetric'!AE48+'FWD FSM'!AE48+'FWD Manual Pre Primary'!AE48+'FWD Manual Primary'!AE48+'FWD Primary with Scan'!AE48+'FWD Secondary'!AE48+'FWD Volumetric'!AE48+'IB'!AE48+'IB Volumetric'!AE48+'OB'!AE48+'OB Volumetric'!AE48+'OSC Bag Sorting'!AE48+'OSC Bag Sorting Volumetric'!AE48+'REV FSM'!AE48+'Rejection Primary with Scan'!AE48+'Rejection Secondary'!AE48+'Rev DC DC Primary Sorting'!AE48+'Rev Primary (FSM Rejections)'!AE48+'Rev Secondary Sorting'!AE48+'VIA Bag Sorting'!AE48</f>
        <v/>
      </c>
      <c r="AF48" s="7">
        <f>'BBB'!AF48+'Bag Staging'!AF48+'Bag Staging Volumetric'!AF48+'FWD FSM'!AF48+'FWD Manual Pre Primary'!AF48+'FWD Manual Primary'!AF48+'FWD Primary with Scan'!AF48+'FWD Secondary'!AF48+'FWD Volumetric'!AF48+'IB'!AF48+'IB Volumetric'!AF48+'OB'!AF48+'OB Volumetric'!AF48+'OSC Bag Sorting'!AF48+'OSC Bag Sorting Volumetric'!AF48+'REV FSM'!AF48+'Rejection Primary with Scan'!AF48+'Rejection Secondary'!AF48+'Rev DC DC Primary Sorting'!AF48+'Rev Primary (FSM Rejections)'!AF48+'Rev Secondary Sorting'!AF48+'VIA Bag Sorting'!AF48</f>
        <v/>
      </c>
      <c r="AG48" s="7">
        <f>'BBB'!AG48+'Bag Staging'!AG48+'Bag Staging Volumetric'!AG48+'FWD FSM'!AG48+'FWD Manual Pre Primary'!AG48+'FWD Manual Primary'!AG48+'FWD Primary with Scan'!AG48+'FWD Secondary'!AG48+'FWD Volumetric'!AG48+'IB'!AG48+'IB Volumetric'!AG48+'OB'!AG48+'OB Volumetric'!AG48+'OSC Bag Sorting'!AG48+'OSC Bag Sorting Volumetric'!AG48+'REV FSM'!AG48+'Rejection Primary with Scan'!AG48+'Rejection Secondary'!AG48+'Rev DC DC Primary Sorting'!AG48+'Rev Primary (FSM Rejections)'!AG48+'Rev Secondary Sorting'!AG48+'VIA Bag Sorting'!AG48</f>
        <v/>
      </c>
      <c r="AH48" s="7">
        <f>'BBB'!AH48+'Bag Staging'!AH48+'Bag Staging Volumetric'!AH48+'FWD FSM'!AH48+'FWD Manual Pre Primary'!AH48+'FWD Manual Primary'!AH48+'FWD Primary with Scan'!AH48+'FWD Secondary'!AH48+'FWD Volumetric'!AH48+'IB'!AH48+'IB Volumetric'!AH48+'OB'!AH48+'OB Volumetric'!AH48+'OSC Bag Sorting'!AH48+'OSC Bag Sorting Volumetric'!AH48+'REV FSM'!AH48+'Rejection Primary with Scan'!AH48+'Rejection Secondary'!AH48+'Rev DC DC Primary Sorting'!AH48+'Rev Primary (FSM Rejections)'!AH48+'Rev Secondary Sorting'!AH48+'VIA Bag Sorting'!AH48</f>
        <v/>
      </c>
      <c r="AI48" s="7">
        <f>'BBB'!AI48+'Bag Staging'!AI48+'Bag Staging Volumetric'!AI48+'FWD FSM'!AI48+'FWD Manual Pre Primary'!AI48+'FWD Manual Primary'!AI48+'FWD Primary with Scan'!AI48+'FWD Secondary'!AI48+'FWD Volumetric'!AI48+'IB'!AI48+'IB Volumetric'!AI48+'OB'!AI48+'OB Volumetric'!AI48+'OSC Bag Sorting'!AI48+'OSC Bag Sorting Volumetric'!AI48+'REV FSM'!AI48+'Rejection Primary with Scan'!AI48+'Rejection Secondary'!AI48+'Rev DC DC Primary Sorting'!AI48+'Rev Primary (FSM Rejections)'!AI48+'Rev Secondary Sorting'!AI48+'VIA Bag Sorting'!AI48</f>
        <v/>
      </c>
      <c r="AJ48" s="7">
        <f>'BBB'!AJ48+'Bag Staging'!AJ48+'Bag Staging Volumetric'!AJ48+'FWD FSM'!AJ48+'FWD Manual Pre Primary'!AJ48+'FWD Manual Primary'!AJ48+'FWD Primary with Scan'!AJ48+'FWD Secondary'!AJ48+'FWD Volumetric'!AJ48+'IB'!AJ48+'IB Volumetric'!AJ48+'OB'!AJ48+'OB Volumetric'!AJ48+'OSC Bag Sorting'!AJ48+'OSC Bag Sorting Volumetric'!AJ48+'REV FSM'!AJ48+'Rejection Primary with Scan'!AJ48+'Rejection Secondary'!AJ48+'Rev DC DC Primary Sorting'!AJ48+'Rev Primary (FSM Rejections)'!AJ48+'Rev Secondary Sorting'!AJ48+'VIA Bag Sorting'!AJ48</f>
        <v/>
      </c>
      <c r="AK48" s="7">
        <f>'BBB'!AK48+'Bag Staging'!AK48+'Bag Staging Volumetric'!AK48+'FWD FSM'!AK48+'FWD Manual Pre Primary'!AK48+'FWD Manual Primary'!AK48+'FWD Primary with Scan'!AK48+'FWD Secondary'!AK48+'FWD Volumetric'!AK48+'IB'!AK48+'IB Volumetric'!AK48+'OB'!AK48+'OB Volumetric'!AK48+'OSC Bag Sorting'!AK48+'OSC Bag Sorting Volumetric'!AK48+'REV FSM'!AK48+'Rejection Primary with Scan'!AK48+'Rejection Secondary'!AK48+'Rev DC DC Primary Sorting'!AK48+'Rev Primary (FSM Rejections)'!AK48+'Rev Secondary Sorting'!AK48+'VIA Bag Sorting'!AK48</f>
        <v/>
      </c>
      <c r="AL48" s="7">
        <f>'BBB'!AL48+'Bag Staging'!AL48+'Bag Staging Volumetric'!AL48+'FWD FSM'!AL48+'FWD Manual Pre Primary'!AL48+'FWD Manual Primary'!AL48+'FWD Primary with Scan'!AL48+'FWD Secondary'!AL48+'FWD Volumetric'!AL48+'IB'!AL48+'IB Volumetric'!AL48+'OB'!AL48+'OB Volumetric'!AL48+'OSC Bag Sorting'!AL48+'OSC Bag Sorting Volumetric'!AL48+'REV FSM'!AL48+'Rejection Primary with Scan'!AL48+'Rejection Secondary'!AL48+'Rev DC DC Primary Sorting'!AL48+'Rev Primary (FSM Rejections)'!AL48+'Rev Secondary Sorting'!AL48+'VIA Bag Sorting'!AL48</f>
        <v/>
      </c>
      <c r="AM48" s="7">
        <f>'BBB'!AM48+'Bag Staging'!AM48+'Bag Staging Volumetric'!AM48+'FWD FSM'!AM48+'FWD Manual Pre Primary'!AM48+'FWD Manual Primary'!AM48+'FWD Primary with Scan'!AM48+'FWD Secondary'!AM48+'FWD Volumetric'!AM48+'IB'!AM48+'IB Volumetric'!AM48+'OB'!AM48+'OB Volumetric'!AM48+'OSC Bag Sorting'!AM48+'OSC Bag Sorting Volumetric'!AM48+'REV FSM'!AM48+'Rejection Primary with Scan'!AM48+'Rejection Secondary'!AM48+'Rev DC DC Primary Sorting'!AM48+'Rev Primary (FSM Rejections)'!AM48+'Rev Secondary Sorting'!AM48+'VIA Bag Sorting'!AM48</f>
        <v/>
      </c>
      <c r="AN48" s="7">
        <f>'BBB'!AN48+'Bag Staging'!AN48+'Bag Staging Volumetric'!AN48+'FWD FSM'!AN48+'FWD Manual Pre Primary'!AN48+'FWD Manual Primary'!AN48+'FWD Primary with Scan'!AN48+'FWD Secondary'!AN48+'FWD Volumetric'!AN48+'IB'!AN48+'IB Volumetric'!AN48+'OB'!AN48+'OB Volumetric'!AN48+'OSC Bag Sorting'!AN48+'OSC Bag Sorting Volumetric'!AN48+'REV FSM'!AN48+'Rejection Primary with Scan'!AN48+'Rejection Secondary'!AN48+'Rev DC DC Primary Sorting'!AN48+'Rev Primary (FSM Rejections)'!AN48+'Rev Secondary Sorting'!AN48+'VIA Bag Sorting'!AN48</f>
        <v/>
      </c>
      <c r="AO48" s="7">
        <f>'BBB'!AO48+'Bag Staging'!AO48+'Bag Staging Volumetric'!AO48+'FWD FSM'!AO48+'FWD Manual Pre Primary'!AO48+'FWD Manual Primary'!AO48+'FWD Primary with Scan'!AO48+'FWD Secondary'!AO48+'FWD Volumetric'!AO48+'IB'!AO48+'IB Volumetric'!AO48+'OB'!AO48+'OB Volumetric'!AO48+'OSC Bag Sorting'!AO48+'OSC Bag Sorting Volumetric'!AO48+'REV FSM'!AO48+'Rejection Primary with Scan'!AO48+'Rejection Secondary'!AO48+'Rev DC DC Primary Sorting'!AO48+'Rev Primary (FSM Rejections)'!AO48+'Rev Secondary Sorting'!AO48+'VIA Bag Sorting'!AO48</f>
        <v/>
      </c>
      <c r="AP48" s="7">
        <f>'BBB'!AP48+'Bag Staging'!AP48+'Bag Staging Volumetric'!AP48+'FWD FSM'!AP48+'FWD Manual Pre Primary'!AP48+'FWD Manual Primary'!AP48+'FWD Primary with Scan'!AP48+'FWD Secondary'!AP48+'FWD Volumetric'!AP48+'IB'!AP48+'IB Volumetric'!AP48+'OB'!AP48+'OB Volumetric'!AP48+'OSC Bag Sorting'!AP48+'OSC Bag Sorting Volumetric'!AP48+'REV FSM'!AP48+'Rejection Primary with Scan'!AP48+'Rejection Secondary'!AP48+'Rev DC DC Primary Sorting'!AP48+'Rev Primary (FSM Rejections)'!AP48+'Rev Secondary Sorting'!AP48+'VIA Bag Sorting'!AP48</f>
        <v/>
      </c>
      <c r="AQ48" s="7">
        <f>'BBB'!AQ48+'Bag Staging'!AQ48+'Bag Staging Volumetric'!AQ48+'FWD FSM'!AQ48+'FWD Manual Pre Primary'!AQ48+'FWD Manual Primary'!AQ48+'FWD Primary with Scan'!AQ48+'FWD Secondary'!AQ48+'FWD Volumetric'!AQ48+'IB'!AQ48+'IB Volumetric'!AQ48+'OB'!AQ48+'OB Volumetric'!AQ48+'OSC Bag Sorting'!AQ48+'OSC Bag Sorting Volumetric'!AQ48+'REV FSM'!AQ48+'Rejection Primary with Scan'!AQ48+'Rejection Secondary'!AQ48+'Rev DC DC Primary Sorting'!AQ48+'Rev Primary (FSM Rejections)'!AQ48+'Rev Secondary Sorting'!AQ48+'VIA Bag Sorting'!AQ48</f>
        <v/>
      </c>
      <c r="AR48" s="7">
        <f>'BBB'!AR48+'Bag Staging'!AR48+'Bag Staging Volumetric'!AR48+'FWD FSM'!AR48+'FWD Manual Pre Primary'!AR48+'FWD Manual Primary'!AR48+'FWD Primary with Scan'!AR48+'FWD Secondary'!AR48+'FWD Volumetric'!AR48+'IB'!AR48+'IB Volumetric'!AR48+'OB'!AR48+'OB Volumetric'!AR48+'OSC Bag Sorting'!AR48+'OSC Bag Sorting Volumetric'!AR48+'REV FSM'!AR48+'Rejection Primary with Scan'!AR48+'Rejection Secondary'!AR48+'Rev DC DC Primary Sorting'!AR48+'Rev Primary (FSM Rejections)'!AR48+'Rev Secondary Sorting'!AR48+'VIA Bag Sorting'!AR48</f>
        <v/>
      </c>
      <c r="AS48" s="7">
        <f>'BBB'!AS48+'Bag Staging'!AS48+'Bag Staging Volumetric'!AS48+'FWD FSM'!AS48+'FWD Manual Pre Primary'!AS48+'FWD Manual Primary'!AS48+'FWD Primary with Scan'!AS48+'FWD Secondary'!AS48+'FWD Volumetric'!AS48+'IB'!AS48+'IB Volumetric'!AS48+'OB'!AS48+'OB Volumetric'!AS48+'OSC Bag Sorting'!AS48+'OSC Bag Sorting Volumetric'!AS48+'REV FSM'!AS48+'Rejection Primary with Scan'!AS48+'Rejection Secondary'!AS48+'Rev DC DC Primary Sorting'!AS48+'Rev Primary (FSM Rejections)'!AS48+'Rev Secondary Sorting'!AS48+'VIA Bag Sorting'!AS48</f>
        <v/>
      </c>
      <c r="AT48" s="7">
        <f>'BBB'!AT48+'Bag Staging'!AT48+'Bag Staging Volumetric'!AT48+'FWD FSM'!AT48+'FWD Manual Pre Primary'!AT48+'FWD Manual Primary'!AT48+'FWD Primary with Scan'!AT48+'FWD Secondary'!AT48+'FWD Volumetric'!AT48+'IB'!AT48+'IB Volumetric'!AT48+'OB'!AT48+'OB Volumetric'!AT48+'OSC Bag Sorting'!AT48+'OSC Bag Sorting Volumetric'!AT48+'REV FSM'!AT48+'Rejection Primary with Scan'!AT48+'Rejection Secondary'!AT48+'Rev DC DC Primary Sorting'!AT48+'Rev Primary (FSM Rejections)'!AT48+'Rev Secondary Sorting'!AT48+'VIA Bag Sorting'!AT48</f>
        <v/>
      </c>
      <c r="AU48" s="7">
        <f>'BBB'!AU48+'Bag Staging'!AU48+'Bag Staging Volumetric'!AU48+'FWD FSM'!AU48+'FWD Manual Pre Primary'!AU48+'FWD Manual Primary'!AU48+'FWD Primary with Scan'!AU48+'FWD Secondary'!AU48+'FWD Volumetric'!AU48+'IB'!AU48+'IB Volumetric'!AU48+'OB'!AU48+'OB Volumetric'!AU48+'OSC Bag Sorting'!AU48+'OSC Bag Sorting Volumetric'!AU48+'REV FSM'!AU48+'Rejection Primary with Scan'!AU48+'Rejection Secondary'!AU48+'Rev DC DC Primary Sorting'!AU48+'Rev Primary (FSM Rejections)'!AU48+'Rev Secondary Sorting'!AU48+'VIA Bag Sorting'!AU48</f>
        <v/>
      </c>
      <c r="AV48" s="7">
        <f>'BBB'!AV48+'Bag Staging'!AV48+'Bag Staging Volumetric'!AV48+'FWD FSM'!AV48+'FWD Manual Pre Primary'!AV48+'FWD Manual Primary'!AV48+'FWD Primary with Scan'!AV48+'FWD Secondary'!AV48+'FWD Volumetric'!AV48+'IB'!AV48+'IB Volumetric'!AV48+'OB'!AV48+'OB Volumetric'!AV48+'OSC Bag Sorting'!AV48+'OSC Bag Sorting Volumetric'!AV48+'REV FSM'!AV48+'Rejection Primary with Scan'!AV48+'Rejection Secondary'!AV48+'Rev DC DC Primary Sorting'!AV48+'Rev Primary (FSM Rejections)'!AV48+'Rev Secondary Sorting'!AV48+'VIA Bag Sorting'!AV48</f>
        <v/>
      </c>
      <c r="AW48" s="7">
        <f>'BBB'!AW48+'Bag Staging'!AW48+'Bag Staging Volumetric'!AW48+'FWD FSM'!AW48+'FWD Manual Pre Primary'!AW48+'FWD Manual Primary'!AW48+'FWD Primary with Scan'!AW48+'FWD Secondary'!AW48+'FWD Volumetric'!AW48+'IB'!AW48+'IB Volumetric'!AW48+'OB'!AW48+'OB Volumetric'!AW48+'OSC Bag Sorting'!AW48+'OSC Bag Sorting Volumetric'!AW48+'REV FSM'!AW48+'Rejection Primary with Scan'!AW48+'Rejection Secondary'!AW48+'Rev DC DC Primary Sorting'!AW48+'Rev Primary (FSM Rejections)'!AW48+'Rev Secondary Sorting'!AW48+'VIA Bag Sorting'!AW48</f>
        <v/>
      </c>
      <c r="AX48" s="7">
        <f>'BBB'!AX48+'Bag Staging'!AX48+'Bag Staging Volumetric'!AX48+'FWD FSM'!AX48+'FWD Manual Pre Primary'!AX48+'FWD Manual Primary'!AX48+'FWD Primary with Scan'!AX48+'FWD Secondary'!AX48+'FWD Volumetric'!AX48+'IB'!AX48+'IB Volumetric'!AX48+'OB'!AX48+'OB Volumetric'!AX48+'OSC Bag Sorting'!AX48+'OSC Bag Sorting Volumetric'!AX48+'REV FSM'!AX48+'Rejection Primary with Scan'!AX48+'Rejection Secondary'!AX48+'Rev DC DC Primary Sorting'!AX48+'Rev Primary (FSM Rejections)'!AX48+'Rev Secondary Sorting'!AX48+'VIA Bag Sorting'!AX48</f>
        <v/>
      </c>
      <c r="AY48" s="7">
        <f>'BBB'!AY48+'Bag Staging'!AY48+'Bag Staging Volumetric'!AY48+'FWD FSM'!AY48+'FWD Manual Pre Primary'!AY48+'FWD Manual Primary'!AY48+'FWD Primary with Scan'!AY48+'FWD Secondary'!AY48+'FWD Volumetric'!AY48+'IB'!AY48+'IB Volumetric'!AY48+'OB'!AY48+'OB Volumetric'!AY48+'OSC Bag Sorting'!AY48+'OSC Bag Sorting Volumetric'!AY48+'REV FSM'!AY48+'Rejection Primary with Scan'!AY48+'Rejection Secondary'!AY48+'Rev DC DC Primary Sorting'!AY48+'Rev Primary (FSM Rejections)'!AY48+'Rev Secondary Sorting'!AY48+'VIA Bag Sorting'!AY48</f>
        <v/>
      </c>
      <c r="AZ48" s="7">
        <f>'BBB'!AZ48+'Bag Staging'!AZ48+'Bag Staging Volumetric'!AZ48+'FWD FSM'!AZ48+'FWD Manual Pre Primary'!AZ48+'FWD Manual Primary'!AZ48+'FWD Primary with Scan'!AZ48+'FWD Secondary'!AZ48+'FWD Volumetric'!AZ48+'IB'!AZ48+'IB Volumetric'!AZ48+'OB'!AZ48+'OB Volumetric'!AZ48+'OSC Bag Sorting'!AZ48+'OSC Bag Sorting Volumetric'!AZ48+'REV FSM'!AZ48+'Rejection Primary with Scan'!AZ48+'Rejection Secondary'!AZ48+'Rev DC DC Primary Sorting'!AZ48+'Rev Primary (FSM Rejections)'!AZ48+'Rev Secondary Sorting'!AZ48+'VIA Bag Sorting'!AZ48</f>
        <v/>
      </c>
      <c r="BA48" s="7">
        <f>'BBB'!BA48+'Bag Staging'!BA48+'Bag Staging Volumetric'!BA48+'FWD FSM'!BA48+'FWD Manual Pre Primary'!BA48+'FWD Manual Primary'!BA48+'FWD Primary with Scan'!BA48+'FWD Secondary'!BA48+'FWD Volumetric'!BA48+'IB'!BA48+'IB Volumetric'!BA48+'OB'!BA48+'OB Volumetric'!BA48+'OSC Bag Sorting'!BA48+'OSC Bag Sorting Volumetric'!BA48+'REV FSM'!BA48+'Rejection Primary with Scan'!BA48+'Rejection Secondary'!BA48+'Rev DC DC Primary Sorting'!BA48+'Rev Primary (FSM Rejections)'!BA48+'Rev Secondary Sorting'!BA48+'VIA Bag Sorting'!BA48</f>
        <v/>
      </c>
      <c r="BB48" s="7">
        <f>SUM(AD48:BA48)</f>
        <v/>
      </c>
    </row>
    <row r="49">
      <c r="A49" t="inlineStr">
        <is>
          <t>AMD-FWDPRI-SSC</t>
        </is>
      </c>
      <c r="B49" t="inlineStr">
        <is>
          <t>FWD Priority OSC</t>
        </is>
      </c>
      <c r="C49" s="5" t="n">
        <v>46104</v>
      </c>
      <c r="D49" s="6" t="n">
        <v>3100</v>
      </c>
      <c r="E49" s="6" t="n">
        <v>1678</v>
      </c>
      <c r="F49" s="6" t="n">
        <v>184</v>
      </c>
      <c r="G49" s="6" t="n">
        <v>3308</v>
      </c>
      <c r="H49" s="6" t="n">
        <v>542</v>
      </c>
      <c r="I49" s="6" t="n">
        <v>562</v>
      </c>
      <c r="J49" s="6" t="n">
        <v>4</v>
      </c>
      <c r="K49" s="6" t="n">
        <v>0</v>
      </c>
      <c r="L49" s="6" t="n">
        <v>0</v>
      </c>
      <c r="M49" s="6" t="n">
        <v>0</v>
      </c>
      <c r="N49" s="6" t="n">
        <v>1123</v>
      </c>
      <c r="O49" s="6" t="n">
        <v>2074</v>
      </c>
      <c r="P49" s="6" t="n">
        <v>0</v>
      </c>
      <c r="Q49" s="6" t="n">
        <v>0</v>
      </c>
      <c r="R49" s="6" t="n">
        <v>2732</v>
      </c>
      <c r="S49" s="6" t="n">
        <v>1397</v>
      </c>
      <c r="T49" s="6" t="n">
        <v>633</v>
      </c>
      <c r="U49" s="6" t="n">
        <v>1632</v>
      </c>
      <c r="V49" s="6" t="n">
        <v>2144</v>
      </c>
      <c r="W49" s="6" t="n">
        <v>2052</v>
      </c>
      <c r="X49" s="6" t="n">
        <v>970</v>
      </c>
      <c r="Y49" s="6" t="n">
        <v>0</v>
      </c>
      <c r="Z49" s="6" t="n">
        <v>0</v>
      </c>
      <c r="AA49" s="6" t="n">
        <v>736</v>
      </c>
      <c r="AB49" s="6">
        <f>SUM(D49:AA49)</f>
        <v/>
      </c>
      <c r="AC49" s="3" t="inlineStr"/>
      <c r="AD49" s="7">
        <f>'BBB'!AD49+'Bag Staging'!AD49+'Bag Staging Volumetric'!AD49+'FWD FSM'!AD49+'FWD Manual Pre Primary'!AD49+'FWD Manual Primary'!AD49+'FWD Primary with Scan'!AD49+'FWD Secondary'!AD49+'FWD Volumetric'!AD49+'IB'!AD49+'IB Volumetric'!AD49+'OB'!AD49+'OB Volumetric'!AD49+'OSC Bag Sorting'!AD49+'OSC Bag Sorting Volumetric'!AD49+'REV FSM'!AD49+'Rejection Primary with Scan'!AD49+'Rejection Secondary'!AD49+'Rev DC DC Primary Sorting'!AD49+'Rev Primary (FSM Rejections)'!AD49+'Rev Secondary Sorting'!AD49+'VIA Bag Sorting'!AD49</f>
        <v/>
      </c>
      <c r="AE49" s="7">
        <f>'BBB'!AE49+'Bag Staging'!AE49+'Bag Staging Volumetric'!AE49+'FWD FSM'!AE49+'FWD Manual Pre Primary'!AE49+'FWD Manual Primary'!AE49+'FWD Primary with Scan'!AE49+'FWD Secondary'!AE49+'FWD Volumetric'!AE49+'IB'!AE49+'IB Volumetric'!AE49+'OB'!AE49+'OB Volumetric'!AE49+'OSC Bag Sorting'!AE49+'OSC Bag Sorting Volumetric'!AE49+'REV FSM'!AE49+'Rejection Primary with Scan'!AE49+'Rejection Secondary'!AE49+'Rev DC DC Primary Sorting'!AE49+'Rev Primary (FSM Rejections)'!AE49+'Rev Secondary Sorting'!AE49+'VIA Bag Sorting'!AE49</f>
        <v/>
      </c>
      <c r="AF49" s="7">
        <f>'BBB'!AF49+'Bag Staging'!AF49+'Bag Staging Volumetric'!AF49+'FWD FSM'!AF49+'FWD Manual Pre Primary'!AF49+'FWD Manual Primary'!AF49+'FWD Primary with Scan'!AF49+'FWD Secondary'!AF49+'FWD Volumetric'!AF49+'IB'!AF49+'IB Volumetric'!AF49+'OB'!AF49+'OB Volumetric'!AF49+'OSC Bag Sorting'!AF49+'OSC Bag Sorting Volumetric'!AF49+'REV FSM'!AF49+'Rejection Primary with Scan'!AF49+'Rejection Secondary'!AF49+'Rev DC DC Primary Sorting'!AF49+'Rev Primary (FSM Rejections)'!AF49+'Rev Secondary Sorting'!AF49+'VIA Bag Sorting'!AF49</f>
        <v/>
      </c>
      <c r="AG49" s="7">
        <f>'BBB'!AG49+'Bag Staging'!AG49+'Bag Staging Volumetric'!AG49+'FWD FSM'!AG49+'FWD Manual Pre Primary'!AG49+'FWD Manual Primary'!AG49+'FWD Primary with Scan'!AG49+'FWD Secondary'!AG49+'FWD Volumetric'!AG49+'IB'!AG49+'IB Volumetric'!AG49+'OB'!AG49+'OB Volumetric'!AG49+'OSC Bag Sorting'!AG49+'OSC Bag Sorting Volumetric'!AG49+'REV FSM'!AG49+'Rejection Primary with Scan'!AG49+'Rejection Secondary'!AG49+'Rev DC DC Primary Sorting'!AG49+'Rev Primary (FSM Rejections)'!AG49+'Rev Secondary Sorting'!AG49+'VIA Bag Sorting'!AG49</f>
        <v/>
      </c>
      <c r="AH49" s="7">
        <f>'BBB'!AH49+'Bag Staging'!AH49+'Bag Staging Volumetric'!AH49+'FWD FSM'!AH49+'FWD Manual Pre Primary'!AH49+'FWD Manual Primary'!AH49+'FWD Primary with Scan'!AH49+'FWD Secondary'!AH49+'FWD Volumetric'!AH49+'IB'!AH49+'IB Volumetric'!AH49+'OB'!AH49+'OB Volumetric'!AH49+'OSC Bag Sorting'!AH49+'OSC Bag Sorting Volumetric'!AH49+'REV FSM'!AH49+'Rejection Primary with Scan'!AH49+'Rejection Secondary'!AH49+'Rev DC DC Primary Sorting'!AH49+'Rev Primary (FSM Rejections)'!AH49+'Rev Secondary Sorting'!AH49+'VIA Bag Sorting'!AH49</f>
        <v/>
      </c>
      <c r="AI49" s="7">
        <f>'BBB'!AI49+'Bag Staging'!AI49+'Bag Staging Volumetric'!AI49+'FWD FSM'!AI49+'FWD Manual Pre Primary'!AI49+'FWD Manual Primary'!AI49+'FWD Primary with Scan'!AI49+'FWD Secondary'!AI49+'FWD Volumetric'!AI49+'IB'!AI49+'IB Volumetric'!AI49+'OB'!AI49+'OB Volumetric'!AI49+'OSC Bag Sorting'!AI49+'OSC Bag Sorting Volumetric'!AI49+'REV FSM'!AI49+'Rejection Primary with Scan'!AI49+'Rejection Secondary'!AI49+'Rev DC DC Primary Sorting'!AI49+'Rev Primary (FSM Rejections)'!AI49+'Rev Secondary Sorting'!AI49+'VIA Bag Sorting'!AI49</f>
        <v/>
      </c>
      <c r="AJ49" s="7">
        <f>'BBB'!AJ49+'Bag Staging'!AJ49+'Bag Staging Volumetric'!AJ49+'FWD FSM'!AJ49+'FWD Manual Pre Primary'!AJ49+'FWD Manual Primary'!AJ49+'FWD Primary with Scan'!AJ49+'FWD Secondary'!AJ49+'FWD Volumetric'!AJ49+'IB'!AJ49+'IB Volumetric'!AJ49+'OB'!AJ49+'OB Volumetric'!AJ49+'OSC Bag Sorting'!AJ49+'OSC Bag Sorting Volumetric'!AJ49+'REV FSM'!AJ49+'Rejection Primary with Scan'!AJ49+'Rejection Secondary'!AJ49+'Rev DC DC Primary Sorting'!AJ49+'Rev Primary (FSM Rejections)'!AJ49+'Rev Secondary Sorting'!AJ49+'VIA Bag Sorting'!AJ49</f>
        <v/>
      </c>
      <c r="AK49" s="7">
        <f>'BBB'!AK49+'Bag Staging'!AK49+'Bag Staging Volumetric'!AK49+'FWD FSM'!AK49+'FWD Manual Pre Primary'!AK49+'FWD Manual Primary'!AK49+'FWD Primary with Scan'!AK49+'FWD Secondary'!AK49+'FWD Volumetric'!AK49+'IB'!AK49+'IB Volumetric'!AK49+'OB'!AK49+'OB Volumetric'!AK49+'OSC Bag Sorting'!AK49+'OSC Bag Sorting Volumetric'!AK49+'REV FSM'!AK49+'Rejection Primary with Scan'!AK49+'Rejection Secondary'!AK49+'Rev DC DC Primary Sorting'!AK49+'Rev Primary (FSM Rejections)'!AK49+'Rev Secondary Sorting'!AK49+'VIA Bag Sorting'!AK49</f>
        <v/>
      </c>
      <c r="AL49" s="7">
        <f>'BBB'!AL49+'Bag Staging'!AL49+'Bag Staging Volumetric'!AL49+'FWD FSM'!AL49+'FWD Manual Pre Primary'!AL49+'FWD Manual Primary'!AL49+'FWD Primary with Scan'!AL49+'FWD Secondary'!AL49+'FWD Volumetric'!AL49+'IB'!AL49+'IB Volumetric'!AL49+'OB'!AL49+'OB Volumetric'!AL49+'OSC Bag Sorting'!AL49+'OSC Bag Sorting Volumetric'!AL49+'REV FSM'!AL49+'Rejection Primary with Scan'!AL49+'Rejection Secondary'!AL49+'Rev DC DC Primary Sorting'!AL49+'Rev Primary (FSM Rejections)'!AL49+'Rev Secondary Sorting'!AL49+'VIA Bag Sorting'!AL49</f>
        <v/>
      </c>
      <c r="AM49" s="7">
        <f>'BBB'!AM49+'Bag Staging'!AM49+'Bag Staging Volumetric'!AM49+'FWD FSM'!AM49+'FWD Manual Pre Primary'!AM49+'FWD Manual Primary'!AM49+'FWD Primary with Scan'!AM49+'FWD Secondary'!AM49+'FWD Volumetric'!AM49+'IB'!AM49+'IB Volumetric'!AM49+'OB'!AM49+'OB Volumetric'!AM49+'OSC Bag Sorting'!AM49+'OSC Bag Sorting Volumetric'!AM49+'REV FSM'!AM49+'Rejection Primary with Scan'!AM49+'Rejection Secondary'!AM49+'Rev DC DC Primary Sorting'!AM49+'Rev Primary (FSM Rejections)'!AM49+'Rev Secondary Sorting'!AM49+'VIA Bag Sorting'!AM49</f>
        <v/>
      </c>
      <c r="AN49" s="7">
        <f>'BBB'!AN49+'Bag Staging'!AN49+'Bag Staging Volumetric'!AN49+'FWD FSM'!AN49+'FWD Manual Pre Primary'!AN49+'FWD Manual Primary'!AN49+'FWD Primary with Scan'!AN49+'FWD Secondary'!AN49+'FWD Volumetric'!AN49+'IB'!AN49+'IB Volumetric'!AN49+'OB'!AN49+'OB Volumetric'!AN49+'OSC Bag Sorting'!AN49+'OSC Bag Sorting Volumetric'!AN49+'REV FSM'!AN49+'Rejection Primary with Scan'!AN49+'Rejection Secondary'!AN49+'Rev DC DC Primary Sorting'!AN49+'Rev Primary (FSM Rejections)'!AN49+'Rev Secondary Sorting'!AN49+'VIA Bag Sorting'!AN49</f>
        <v/>
      </c>
      <c r="AO49" s="7">
        <f>'BBB'!AO49+'Bag Staging'!AO49+'Bag Staging Volumetric'!AO49+'FWD FSM'!AO49+'FWD Manual Pre Primary'!AO49+'FWD Manual Primary'!AO49+'FWD Primary with Scan'!AO49+'FWD Secondary'!AO49+'FWD Volumetric'!AO49+'IB'!AO49+'IB Volumetric'!AO49+'OB'!AO49+'OB Volumetric'!AO49+'OSC Bag Sorting'!AO49+'OSC Bag Sorting Volumetric'!AO49+'REV FSM'!AO49+'Rejection Primary with Scan'!AO49+'Rejection Secondary'!AO49+'Rev DC DC Primary Sorting'!AO49+'Rev Primary (FSM Rejections)'!AO49+'Rev Secondary Sorting'!AO49+'VIA Bag Sorting'!AO49</f>
        <v/>
      </c>
      <c r="AP49" s="7">
        <f>'BBB'!AP49+'Bag Staging'!AP49+'Bag Staging Volumetric'!AP49+'FWD FSM'!AP49+'FWD Manual Pre Primary'!AP49+'FWD Manual Primary'!AP49+'FWD Primary with Scan'!AP49+'FWD Secondary'!AP49+'FWD Volumetric'!AP49+'IB'!AP49+'IB Volumetric'!AP49+'OB'!AP49+'OB Volumetric'!AP49+'OSC Bag Sorting'!AP49+'OSC Bag Sorting Volumetric'!AP49+'REV FSM'!AP49+'Rejection Primary with Scan'!AP49+'Rejection Secondary'!AP49+'Rev DC DC Primary Sorting'!AP49+'Rev Primary (FSM Rejections)'!AP49+'Rev Secondary Sorting'!AP49+'VIA Bag Sorting'!AP49</f>
        <v/>
      </c>
      <c r="AQ49" s="7">
        <f>'BBB'!AQ49+'Bag Staging'!AQ49+'Bag Staging Volumetric'!AQ49+'FWD FSM'!AQ49+'FWD Manual Pre Primary'!AQ49+'FWD Manual Primary'!AQ49+'FWD Primary with Scan'!AQ49+'FWD Secondary'!AQ49+'FWD Volumetric'!AQ49+'IB'!AQ49+'IB Volumetric'!AQ49+'OB'!AQ49+'OB Volumetric'!AQ49+'OSC Bag Sorting'!AQ49+'OSC Bag Sorting Volumetric'!AQ49+'REV FSM'!AQ49+'Rejection Primary with Scan'!AQ49+'Rejection Secondary'!AQ49+'Rev DC DC Primary Sorting'!AQ49+'Rev Primary (FSM Rejections)'!AQ49+'Rev Secondary Sorting'!AQ49+'VIA Bag Sorting'!AQ49</f>
        <v/>
      </c>
      <c r="AR49" s="7">
        <f>'BBB'!AR49+'Bag Staging'!AR49+'Bag Staging Volumetric'!AR49+'FWD FSM'!AR49+'FWD Manual Pre Primary'!AR49+'FWD Manual Primary'!AR49+'FWD Primary with Scan'!AR49+'FWD Secondary'!AR49+'FWD Volumetric'!AR49+'IB'!AR49+'IB Volumetric'!AR49+'OB'!AR49+'OB Volumetric'!AR49+'OSC Bag Sorting'!AR49+'OSC Bag Sorting Volumetric'!AR49+'REV FSM'!AR49+'Rejection Primary with Scan'!AR49+'Rejection Secondary'!AR49+'Rev DC DC Primary Sorting'!AR49+'Rev Primary (FSM Rejections)'!AR49+'Rev Secondary Sorting'!AR49+'VIA Bag Sorting'!AR49</f>
        <v/>
      </c>
      <c r="AS49" s="7">
        <f>'BBB'!AS49+'Bag Staging'!AS49+'Bag Staging Volumetric'!AS49+'FWD FSM'!AS49+'FWD Manual Pre Primary'!AS49+'FWD Manual Primary'!AS49+'FWD Primary with Scan'!AS49+'FWD Secondary'!AS49+'FWD Volumetric'!AS49+'IB'!AS49+'IB Volumetric'!AS49+'OB'!AS49+'OB Volumetric'!AS49+'OSC Bag Sorting'!AS49+'OSC Bag Sorting Volumetric'!AS49+'REV FSM'!AS49+'Rejection Primary with Scan'!AS49+'Rejection Secondary'!AS49+'Rev DC DC Primary Sorting'!AS49+'Rev Primary (FSM Rejections)'!AS49+'Rev Secondary Sorting'!AS49+'VIA Bag Sorting'!AS49</f>
        <v/>
      </c>
      <c r="AT49" s="7">
        <f>'BBB'!AT49+'Bag Staging'!AT49+'Bag Staging Volumetric'!AT49+'FWD FSM'!AT49+'FWD Manual Pre Primary'!AT49+'FWD Manual Primary'!AT49+'FWD Primary with Scan'!AT49+'FWD Secondary'!AT49+'FWD Volumetric'!AT49+'IB'!AT49+'IB Volumetric'!AT49+'OB'!AT49+'OB Volumetric'!AT49+'OSC Bag Sorting'!AT49+'OSC Bag Sorting Volumetric'!AT49+'REV FSM'!AT49+'Rejection Primary with Scan'!AT49+'Rejection Secondary'!AT49+'Rev DC DC Primary Sorting'!AT49+'Rev Primary (FSM Rejections)'!AT49+'Rev Secondary Sorting'!AT49+'VIA Bag Sorting'!AT49</f>
        <v/>
      </c>
      <c r="AU49" s="7">
        <f>'BBB'!AU49+'Bag Staging'!AU49+'Bag Staging Volumetric'!AU49+'FWD FSM'!AU49+'FWD Manual Pre Primary'!AU49+'FWD Manual Primary'!AU49+'FWD Primary with Scan'!AU49+'FWD Secondary'!AU49+'FWD Volumetric'!AU49+'IB'!AU49+'IB Volumetric'!AU49+'OB'!AU49+'OB Volumetric'!AU49+'OSC Bag Sorting'!AU49+'OSC Bag Sorting Volumetric'!AU49+'REV FSM'!AU49+'Rejection Primary with Scan'!AU49+'Rejection Secondary'!AU49+'Rev DC DC Primary Sorting'!AU49+'Rev Primary (FSM Rejections)'!AU49+'Rev Secondary Sorting'!AU49+'VIA Bag Sorting'!AU49</f>
        <v/>
      </c>
      <c r="AV49" s="7">
        <f>'BBB'!AV49+'Bag Staging'!AV49+'Bag Staging Volumetric'!AV49+'FWD FSM'!AV49+'FWD Manual Pre Primary'!AV49+'FWD Manual Primary'!AV49+'FWD Primary with Scan'!AV49+'FWD Secondary'!AV49+'FWD Volumetric'!AV49+'IB'!AV49+'IB Volumetric'!AV49+'OB'!AV49+'OB Volumetric'!AV49+'OSC Bag Sorting'!AV49+'OSC Bag Sorting Volumetric'!AV49+'REV FSM'!AV49+'Rejection Primary with Scan'!AV49+'Rejection Secondary'!AV49+'Rev DC DC Primary Sorting'!AV49+'Rev Primary (FSM Rejections)'!AV49+'Rev Secondary Sorting'!AV49+'VIA Bag Sorting'!AV49</f>
        <v/>
      </c>
      <c r="AW49" s="7">
        <f>'BBB'!AW49+'Bag Staging'!AW49+'Bag Staging Volumetric'!AW49+'FWD FSM'!AW49+'FWD Manual Pre Primary'!AW49+'FWD Manual Primary'!AW49+'FWD Primary with Scan'!AW49+'FWD Secondary'!AW49+'FWD Volumetric'!AW49+'IB'!AW49+'IB Volumetric'!AW49+'OB'!AW49+'OB Volumetric'!AW49+'OSC Bag Sorting'!AW49+'OSC Bag Sorting Volumetric'!AW49+'REV FSM'!AW49+'Rejection Primary with Scan'!AW49+'Rejection Secondary'!AW49+'Rev DC DC Primary Sorting'!AW49+'Rev Primary (FSM Rejections)'!AW49+'Rev Secondary Sorting'!AW49+'VIA Bag Sorting'!AW49</f>
        <v/>
      </c>
      <c r="AX49" s="7">
        <f>'BBB'!AX49+'Bag Staging'!AX49+'Bag Staging Volumetric'!AX49+'FWD FSM'!AX49+'FWD Manual Pre Primary'!AX49+'FWD Manual Primary'!AX49+'FWD Primary with Scan'!AX49+'FWD Secondary'!AX49+'FWD Volumetric'!AX49+'IB'!AX49+'IB Volumetric'!AX49+'OB'!AX49+'OB Volumetric'!AX49+'OSC Bag Sorting'!AX49+'OSC Bag Sorting Volumetric'!AX49+'REV FSM'!AX49+'Rejection Primary with Scan'!AX49+'Rejection Secondary'!AX49+'Rev DC DC Primary Sorting'!AX49+'Rev Primary (FSM Rejections)'!AX49+'Rev Secondary Sorting'!AX49+'VIA Bag Sorting'!AX49</f>
        <v/>
      </c>
      <c r="AY49" s="7">
        <f>'BBB'!AY49+'Bag Staging'!AY49+'Bag Staging Volumetric'!AY49+'FWD FSM'!AY49+'FWD Manual Pre Primary'!AY49+'FWD Manual Primary'!AY49+'FWD Primary with Scan'!AY49+'FWD Secondary'!AY49+'FWD Volumetric'!AY49+'IB'!AY49+'IB Volumetric'!AY49+'OB'!AY49+'OB Volumetric'!AY49+'OSC Bag Sorting'!AY49+'OSC Bag Sorting Volumetric'!AY49+'REV FSM'!AY49+'Rejection Primary with Scan'!AY49+'Rejection Secondary'!AY49+'Rev DC DC Primary Sorting'!AY49+'Rev Primary (FSM Rejections)'!AY49+'Rev Secondary Sorting'!AY49+'VIA Bag Sorting'!AY49</f>
        <v/>
      </c>
      <c r="AZ49" s="7">
        <f>'BBB'!AZ49+'Bag Staging'!AZ49+'Bag Staging Volumetric'!AZ49+'FWD FSM'!AZ49+'FWD Manual Pre Primary'!AZ49+'FWD Manual Primary'!AZ49+'FWD Primary with Scan'!AZ49+'FWD Secondary'!AZ49+'FWD Volumetric'!AZ49+'IB'!AZ49+'IB Volumetric'!AZ49+'OB'!AZ49+'OB Volumetric'!AZ49+'OSC Bag Sorting'!AZ49+'OSC Bag Sorting Volumetric'!AZ49+'REV FSM'!AZ49+'Rejection Primary with Scan'!AZ49+'Rejection Secondary'!AZ49+'Rev DC DC Primary Sorting'!AZ49+'Rev Primary (FSM Rejections)'!AZ49+'Rev Secondary Sorting'!AZ49+'VIA Bag Sorting'!AZ49</f>
        <v/>
      </c>
      <c r="BA49" s="7">
        <f>'BBB'!BA49+'Bag Staging'!BA49+'Bag Staging Volumetric'!BA49+'FWD FSM'!BA49+'FWD Manual Pre Primary'!BA49+'FWD Manual Primary'!BA49+'FWD Primary with Scan'!BA49+'FWD Secondary'!BA49+'FWD Volumetric'!BA49+'IB'!BA49+'IB Volumetric'!BA49+'OB'!BA49+'OB Volumetric'!BA49+'OSC Bag Sorting'!BA49+'OSC Bag Sorting Volumetric'!BA49+'REV FSM'!BA49+'Rejection Primary with Scan'!BA49+'Rejection Secondary'!BA49+'Rev DC DC Primary Sorting'!BA49+'Rev Primary (FSM Rejections)'!BA49+'Rev Secondary Sorting'!BA49+'VIA Bag Sorting'!BA49</f>
        <v/>
      </c>
      <c r="BB49" s="7">
        <f>SUM(AD49:BA49)</f>
        <v/>
      </c>
    </row>
    <row r="50">
      <c r="A50" t="inlineStr">
        <is>
          <t>AMD-FWDPRI-SSC</t>
        </is>
      </c>
      <c r="B50" t="inlineStr">
        <is>
          <t>FWD Priority OSC</t>
        </is>
      </c>
      <c r="C50" s="5" t="n">
        <v>46105</v>
      </c>
      <c r="D50" s="6" t="n">
        <v>3123</v>
      </c>
      <c r="E50" s="6" t="n">
        <v>825</v>
      </c>
      <c r="F50" s="6" t="n">
        <v>2172</v>
      </c>
      <c r="G50" s="6" t="n">
        <v>3334</v>
      </c>
      <c r="H50" s="6" t="n">
        <v>2114</v>
      </c>
      <c r="I50" s="6" t="n">
        <v>1479</v>
      </c>
      <c r="J50" s="6" t="n">
        <v>370</v>
      </c>
      <c r="K50" s="6" t="n">
        <v>0</v>
      </c>
      <c r="L50" s="6" t="n">
        <v>0</v>
      </c>
      <c r="M50" s="6" t="n">
        <v>0</v>
      </c>
      <c r="N50" s="6" t="n">
        <v>1447</v>
      </c>
      <c r="O50" s="6" t="n">
        <v>1340</v>
      </c>
      <c r="P50" s="6" t="n">
        <v>39</v>
      </c>
      <c r="Q50" s="6" t="n">
        <v>24</v>
      </c>
      <c r="R50" s="6" t="n">
        <v>8</v>
      </c>
      <c r="S50" s="6" t="n">
        <v>2150</v>
      </c>
      <c r="T50" s="6" t="n">
        <v>819</v>
      </c>
      <c r="U50" s="6" t="n">
        <v>1995</v>
      </c>
      <c r="V50" s="6" t="n">
        <v>1444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0</v>
      </c>
      <c r="AB50" s="6">
        <f>SUM(D50:AA50)</f>
        <v/>
      </c>
      <c r="AC50" s="3" t="inlineStr"/>
      <c r="AD50" s="7">
        <f>'BBB'!AD50+'Bag Staging'!AD50+'Bag Staging Volumetric'!AD50+'FWD FSM'!AD50+'FWD Manual Pre Primary'!AD50+'FWD Manual Primary'!AD50+'FWD Primary with Scan'!AD50+'FWD Secondary'!AD50+'FWD Volumetric'!AD50+'IB'!AD50+'IB Volumetric'!AD50+'OB'!AD50+'OB Volumetric'!AD50+'OSC Bag Sorting'!AD50+'OSC Bag Sorting Volumetric'!AD50+'REV FSM'!AD50+'Rejection Primary with Scan'!AD50+'Rejection Secondary'!AD50+'Rev DC DC Primary Sorting'!AD50+'Rev Primary (FSM Rejections)'!AD50+'Rev Secondary Sorting'!AD50+'VIA Bag Sorting'!AD50</f>
        <v/>
      </c>
      <c r="AE50" s="7">
        <f>'BBB'!AE50+'Bag Staging'!AE50+'Bag Staging Volumetric'!AE50+'FWD FSM'!AE50+'FWD Manual Pre Primary'!AE50+'FWD Manual Primary'!AE50+'FWD Primary with Scan'!AE50+'FWD Secondary'!AE50+'FWD Volumetric'!AE50+'IB'!AE50+'IB Volumetric'!AE50+'OB'!AE50+'OB Volumetric'!AE50+'OSC Bag Sorting'!AE50+'OSC Bag Sorting Volumetric'!AE50+'REV FSM'!AE50+'Rejection Primary with Scan'!AE50+'Rejection Secondary'!AE50+'Rev DC DC Primary Sorting'!AE50+'Rev Primary (FSM Rejections)'!AE50+'Rev Secondary Sorting'!AE50+'VIA Bag Sorting'!AE50</f>
        <v/>
      </c>
      <c r="AF50" s="7">
        <f>'BBB'!AF50+'Bag Staging'!AF50+'Bag Staging Volumetric'!AF50+'FWD FSM'!AF50+'FWD Manual Pre Primary'!AF50+'FWD Manual Primary'!AF50+'FWD Primary with Scan'!AF50+'FWD Secondary'!AF50+'FWD Volumetric'!AF50+'IB'!AF50+'IB Volumetric'!AF50+'OB'!AF50+'OB Volumetric'!AF50+'OSC Bag Sorting'!AF50+'OSC Bag Sorting Volumetric'!AF50+'REV FSM'!AF50+'Rejection Primary with Scan'!AF50+'Rejection Secondary'!AF50+'Rev DC DC Primary Sorting'!AF50+'Rev Primary (FSM Rejections)'!AF50+'Rev Secondary Sorting'!AF50+'VIA Bag Sorting'!AF50</f>
        <v/>
      </c>
      <c r="AG50" s="7">
        <f>'BBB'!AG50+'Bag Staging'!AG50+'Bag Staging Volumetric'!AG50+'FWD FSM'!AG50+'FWD Manual Pre Primary'!AG50+'FWD Manual Primary'!AG50+'FWD Primary with Scan'!AG50+'FWD Secondary'!AG50+'FWD Volumetric'!AG50+'IB'!AG50+'IB Volumetric'!AG50+'OB'!AG50+'OB Volumetric'!AG50+'OSC Bag Sorting'!AG50+'OSC Bag Sorting Volumetric'!AG50+'REV FSM'!AG50+'Rejection Primary with Scan'!AG50+'Rejection Secondary'!AG50+'Rev DC DC Primary Sorting'!AG50+'Rev Primary (FSM Rejections)'!AG50+'Rev Secondary Sorting'!AG50+'VIA Bag Sorting'!AG50</f>
        <v/>
      </c>
      <c r="AH50" s="7">
        <f>'BBB'!AH50+'Bag Staging'!AH50+'Bag Staging Volumetric'!AH50+'FWD FSM'!AH50+'FWD Manual Pre Primary'!AH50+'FWD Manual Primary'!AH50+'FWD Primary with Scan'!AH50+'FWD Secondary'!AH50+'FWD Volumetric'!AH50+'IB'!AH50+'IB Volumetric'!AH50+'OB'!AH50+'OB Volumetric'!AH50+'OSC Bag Sorting'!AH50+'OSC Bag Sorting Volumetric'!AH50+'REV FSM'!AH50+'Rejection Primary with Scan'!AH50+'Rejection Secondary'!AH50+'Rev DC DC Primary Sorting'!AH50+'Rev Primary (FSM Rejections)'!AH50+'Rev Secondary Sorting'!AH50+'VIA Bag Sorting'!AH50</f>
        <v/>
      </c>
      <c r="AI50" s="7">
        <f>'BBB'!AI50+'Bag Staging'!AI50+'Bag Staging Volumetric'!AI50+'FWD FSM'!AI50+'FWD Manual Pre Primary'!AI50+'FWD Manual Primary'!AI50+'FWD Primary with Scan'!AI50+'FWD Secondary'!AI50+'FWD Volumetric'!AI50+'IB'!AI50+'IB Volumetric'!AI50+'OB'!AI50+'OB Volumetric'!AI50+'OSC Bag Sorting'!AI50+'OSC Bag Sorting Volumetric'!AI50+'REV FSM'!AI50+'Rejection Primary with Scan'!AI50+'Rejection Secondary'!AI50+'Rev DC DC Primary Sorting'!AI50+'Rev Primary (FSM Rejections)'!AI50+'Rev Secondary Sorting'!AI50+'VIA Bag Sorting'!AI50</f>
        <v/>
      </c>
      <c r="AJ50" s="7">
        <f>'BBB'!AJ50+'Bag Staging'!AJ50+'Bag Staging Volumetric'!AJ50+'FWD FSM'!AJ50+'FWD Manual Pre Primary'!AJ50+'FWD Manual Primary'!AJ50+'FWD Primary with Scan'!AJ50+'FWD Secondary'!AJ50+'FWD Volumetric'!AJ50+'IB'!AJ50+'IB Volumetric'!AJ50+'OB'!AJ50+'OB Volumetric'!AJ50+'OSC Bag Sorting'!AJ50+'OSC Bag Sorting Volumetric'!AJ50+'REV FSM'!AJ50+'Rejection Primary with Scan'!AJ50+'Rejection Secondary'!AJ50+'Rev DC DC Primary Sorting'!AJ50+'Rev Primary (FSM Rejections)'!AJ50+'Rev Secondary Sorting'!AJ50+'VIA Bag Sorting'!AJ50</f>
        <v/>
      </c>
      <c r="AK50" s="7">
        <f>'BBB'!AK50+'Bag Staging'!AK50+'Bag Staging Volumetric'!AK50+'FWD FSM'!AK50+'FWD Manual Pre Primary'!AK50+'FWD Manual Primary'!AK50+'FWD Primary with Scan'!AK50+'FWD Secondary'!AK50+'FWD Volumetric'!AK50+'IB'!AK50+'IB Volumetric'!AK50+'OB'!AK50+'OB Volumetric'!AK50+'OSC Bag Sorting'!AK50+'OSC Bag Sorting Volumetric'!AK50+'REV FSM'!AK50+'Rejection Primary with Scan'!AK50+'Rejection Secondary'!AK50+'Rev DC DC Primary Sorting'!AK50+'Rev Primary (FSM Rejections)'!AK50+'Rev Secondary Sorting'!AK50+'VIA Bag Sorting'!AK50</f>
        <v/>
      </c>
      <c r="AL50" s="7">
        <f>'BBB'!AL50+'Bag Staging'!AL50+'Bag Staging Volumetric'!AL50+'FWD FSM'!AL50+'FWD Manual Pre Primary'!AL50+'FWD Manual Primary'!AL50+'FWD Primary with Scan'!AL50+'FWD Secondary'!AL50+'FWD Volumetric'!AL50+'IB'!AL50+'IB Volumetric'!AL50+'OB'!AL50+'OB Volumetric'!AL50+'OSC Bag Sorting'!AL50+'OSC Bag Sorting Volumetric'!AL50+'REV FSM'!AL50+'Rejection Primary with Scan'!AL50+'Rejection Secondary'!AL50+'Rev DC DC Primary Sorting'!AL50+'Rev Primary (FSM Rejections)'!AL50+'Rev Secondary Sorting'!AL50+'VIA Bag Sorting'!AL50</f>
        <v/>
      </c>
      <c r="AM50" s="7">
        <f>'BBB'!AM50+'Bag Staging'!AM50+'Bag Staging Volumetric'!AM50+'FWD FSM'!AM50+'FWD Manual Pre Primary'!AM50+'FWD Manual Primary'!AM50+'FWD Primary with Scan'!AM50+'FWD Secondary'!AM50+'FWD Volumetric'!AM50+'IB'!AM50+'IB Volumetric'!AM50+'OB'!AM50+'OB Volumetric'!AM50+'OSC Bag Sorting'!AM50+'OSC Bag Sorting Volumetric'!AM50+'REV FSM'!AM50+'Rejection Primary with Scan'!AM50+'Rejection Secondary'!AM50+'Rev DC DC Primary Sorting'!AM50+'Rev Primary (FSM Rejections)'!AM50+'Rev Secondary Sorting'!AM50+'VIA Bag Sorting'!AM50</f>
        <v/>
      </c>
      <c r="AN50" s="7">
        <f>'BBB'!AN50+'Bag Staging'!AN50+'Bag Staging Volumetric'!AN50+'FWD FSM'!AN50+'FWD Manual Pre Primary'!AN50+'FWD Manual Primary'!AN50+'FWD Primary with Scan'!AN50+'FWD Secondary'!AN50+'FWD Volumetric'!AN50+'IB'!AN50+'IB Volumetric'!AN50+'OB'!AN50+'OB Volumetric'!AN50+'OSC Bag Sorting'!AN50+'OSC Bag Sorting Volumetric'!AN50+'REV FSM'!AN50+'Rejection Primary with Scan'!AN50+'Rejection Secondary'!AN50+'Rev DC DC Primary Sorting'!AN50+'Rev Primary (FSM Rejections)'!AN50+'Rev Secondary Sorting'!AN50+'VIA Bag Sorting'!AN50</f>
        <v/>
      </c>
      <c r="AO50" s="7">
        <f>'BBB'!AO50+'Bag Staging'!AO50+'Bag Staging Volumetric'!AO50+'FWD FSM'!AO50+'FWD Manual Pre Primary'!AO50+'FWD Manual Primary'!AO50+'FWD Primary with Scan'!AO50+'FWD Secondary'!AO50+'FWD Volumetric'!AO50+'IB'!AO50+'IB Volumetric'!AO50+'OB'!AO50+'OB Volumetric'!AO50+'OSC Bag Sorting'!AO50+'OSC Bag Sorting Volumetric'!AO50+'REV FSM'!AO50+'Rejection Primary with Scan'!AO50+'Rejection Secondary'!AO50+'Rev DC DC Primary Sorting'!AO50+'Rev Primary (FSM Rejections)'!AO50+'Rev Secondary Sorting'!AO50+'VIA Bag Sorting'!AO50</f>
        <v/>
      </c>
      <c r="AP50" s="7">
        <f>'BBB'!AP50+'Bag Staging'!AP50+'Bag Staging Volumetric'!AP50+'FWD FSM'!AP50+'FWD Manual Pre Primary'!AP50+'FWD Manual Primary'!AP50+'FWD Primary with Scan'!AP50+'FWD Secondary'!AP50+'FWD Volumetric'!AP50+'IB'!AP50+'IB Volumetric'!AP50+'OB'!AP50+'OB Volumetric'!AP50+'OSC Bag Sorting'!AP50+'OSC Bag Sorting Volumetric'!AP50+'REV FSM'!AP50+'Rejection Primary with Scan'!AP50+'Rejection Secondary'!AP50+'Rev DC DC Primary Sorting'!AP50+'Rev Primary (FSM Rejections)'!AP50+'Rev Secondary Sorting'!AP50+'VIA Bag Sorting'!AP50</f>
        <v/>
      </c>
      <c r="AQ50" s="7">
        <f>'BBB'!AQ50+'Bag Staging'!AQ50+'Bag Staging Volumetric'!AQ50+'FWD FSM'!AQ50+'FWD Manual Pre Primary'!AQ50+'FWD Manual Primary'!AQ50+'FWD Primary with Scan'!AQ50+'FWD Secondary'!AQ50+'FWD Volumetric'!AQ50+'IB'!AQ50+'IB Volumetric'!AQ50+'OB'!AQ50+'OB Volumetric'!AQ50+'OSC Bag Sorting'!AQ50+'OSC Bag Sorting Volumetric'!AQ50+'REV FSM'!AQ50+'Rejection Primary with Scan'!AQ50+'Rejection Secondary'!AQ50+'Rev DC DC Primary Sorting'!AQ50+'Rev Primary (FSM Rejections)'!AQ50+'Rev Secondary Sorting'!AQ50+'VIA Bag Sorting'!AQ50</f>
        <v/>
      </c>
      <c r="AR50" s="7">
        <f>'BBB'!AR50+'Bag Staging'!AR50+'Bag Staging Volumetric'!AR50+'FWD FSM'!AR50+'FWD Manual Pre Primary'!AR50+'FWD Manual Primary'!AR50+'FWD Primary with Scan'!AR50+'FWD Secondary'!AR50+'FWD Volumetric'!AR50+'IB'!AR50+'IB Volumetric'!AR50+'OB'!AR50+'OB Volumetric'!AR50+'OSC Bag Sorting'!AR50+'OSC Bag Sorting Volumetric'!AR50+'REV FSM'!AR50+'Rejection Primary with Scan'!AR50+'Rejection Secondary'!AR50+'Rev DC DC Primary Sorting'!AR50+'Rev Primary (FSM Rejections)'!AR50+'Rev Secondary Sorting'!AR50+'VIA Bag Sorting'!AR50</f>
        <v/>
      </c>
      <c r="AS50" s="7">
        <f>'BBB'!AS50+'Bag Staging'!AS50+'Bag Staging Volumetric'!AS50+'FWD FSM'!AS50+'FWD Manual Pre Primary'!AS50+'FWD Manual Primary'!AS50+'FWD Primary with Scan'!AS50+'FWD Secondary'!AS50+'FWD Volumetric'!AS50+'IB'!AS50+'IB Volumetric'!AS50+'OB'!AS50+'OB Volumetric'!AS50+'OSC Bag Sorting'!AS50+'OSC Bag Sorting Volumetric'!AS50+'REV FSM'!AS50+'Rejection Primary with Scan'!AS50+'Rejection Secondary'!AS50+'Rev DC DC Primary Sorting'!AS50+'Rev Primary (FSM Rejections)'!AS50+'Rev Secondary Sorting'!AS50+'VIA Bag Sorting'!AS50</f>
        <v/>
      </c>
      <c r="AT50" s="7">
        <f>'BBB'!AT50+'Bag Staging'!AT50+'Bag Staging Volumetric'!AT50+'FWD FSM'!AT50+'FWD Manual Pre Primary'!AT50+'FWD Manual Primary'!AT50+'FWD Primary with Scan'!AT50+'FWD Secondary'!AT50+'FWD Volumetric'!AT50+'IB'!AT50+'IB Volumetric'!AT50+'OB'!AT50+'OB Volumetric'!AT50+'OSC Bag Sorting'!AT50+'OSC Bag Sorting Volumetric'!AT50+'REV FSM'!AT50+'Rejection Primary with Scan'!AT50+'Rejection Secondary'!AT50+'Rev DC DC Primary Sorting'!AT50+'Rev Primary (FSM Rejections)'!AT50+'Rev Secondary Sorting'!AT50+'VIA Bag Sorting'!AT50</f>
        <v/>
      </c>
      <c r="AU50" s="7">
        <f>'BBB'!AU50+'Bag Staging'!AU50+'Bag Staging Volumetric'!AU50+'FWD FSM'!AU50+'FWD Manual Pre Primary'!AU50+'FWD Manual Primary'!AU50+'FWD Primary with Scan'!AU50+'FWD Secondary'!AU50+'FWD Volumetric'!AU50+'IB'!AU50+'IB Volumetric'!AU50+'OB'!AU50+'OB Volumetric'!AU50+'OSC Bag Sorting'!AU50+'OSC Bag Sorting Volumetric'!AU50+'REV FSM'!AU50+'Rejection Primary with Scan'!AU50+'Rejection Secondary'!AU50+'Rev DC DC Primary Sorting'!AU50+'Rev Primary (FSM Rejections)'!AU50+'Rev Secondary Sorting'!AU50+'VIA Bag Sorting'!AU50</f>
        <v/>
      </c>
      <c r="AV50" s="7">
        <f>'BBB'!AV50+'Bag Staging'!AV50+'Bag Staging Volumetric'!AV50+'FWD FSM'!AV50+'FWD Manual Pre Primary'!AV50+'FWD Manual Primary'!AV50+'FWD Primary with Scan'!AV50+'FWD Secondary'!AV50+'FWD Volumetric'!AV50+'IB'!AV50+'IB Volumetric'!AV50+'OB'!AV50+'OB Volumetric'!AV50+'OSC Bag Sorting'!AV50+'OSC Bag Sorting Volumetric'!AV50+'REV FSM'!AV50+'Rejection Primary with Scan'!AV50+'Rejection Secondary'!AV50+'Rev DC DC Primary Sorting'!AV50+'Rev Primary (FSM Rejections)'!AV50+'Rev Secondary Sorting'!AV50+'VIA Bag Sorting'!AV50</f>
        <v/>
      </c>
      <c r="AW50" s="7">
        <f>'BBB'!AW50+'Bag Staging'!AW50+'Bag Staging Volumetric'!AW50+'FWD FSM'!AW50+'FWD Manual Pre Primary'!AW50+'FWD Manual Primary'!AW50+'FWD Primary with Scan'!AW50+'FWD Secondary'!AW50+'FWD Volumetric'!AW50+'IB'!AW50+'IB Volumetric'!AW50+'OB'!AW50+'OB Volumetric'!AW50+'OSC Bag Sorting'!AW50+'OSC Bag Sorting Volumetric'!AW50+'REV FSM'!AW50+'Rejection Primary with Scan'!AW50+'Rejection Secondary'!AW50+'Rev DC DC Primary Sorting'!AW50+'Rev Primary (FSM Rejections)'!AW50+'Rev Secondary Sorting'!AW50+'VIA Bag Sorting'!AW50</f>
        <v/>
      </c>
      <c r="AX50" s="7">
        <f>'BBB'!AX50+'Bag Staging'!AX50+'Bag Staging Volumetric'!AX50+'FWD FSM'!AX50+'FWD Manual Pre Primary'!AX50+'FWD Manual Primary'!AX50+'FWD Primary with Scan'!AX50+'FWD Secondary'!AX50+'FWD Volumetric'!AX50+'IB'!AX50+'IB Volumetric'!AX50+'OB'!AX50+'OB Volumetric'!AX50+'OSC Bag Sorting'!AX50+'OSC Bag Sorting Volumetric'!AX50+'REV FSM'!AX50+'Rejection Primary with Scan'!AX50+'Rejection Secondary'!AX50+'Rev DC DC Primary Sorting'!AX50+'Rev Primary (FSM Rejections)'!AX50+'Rev Secondary Sorting'!AX50+'VIA Bag Sorting'!AX50</f>
        <v/>
      </c>
      <c r="AY50" s="7">
        <f>'BBB'!AY50+'Bag Staging'!AY50+'Bag Staging Volumetric'!AY50+'FWD FSM'!AY50+'FWD Manual Pre Primary'!AY50+'FWD Manual Primary'!AY50+'FWD Primary with Scan'!AY50+'FWD Secondary'!AY50+'FWD Volumetric'!AY50+'IB'!AY50+'IB Volumetric'!AY50+'OB'!AY50+'OB Volumetric'!AY50+'OSC Bag Sorting'!AY50+'OSC Bag Sorting Volumetric'!AY50+'REV FSM'!AY50+'Rejection Primary with Scan'!AY50+'Rejection Secondary'!AY50+'Rev DC DC Primary Sorting'!AY50+'Rev Primary (FSM Rejections)'!AY50+'Rev Secondary Sorting'!AY50+'VIA Bag Sorting'!AY50</f>
        <v/>
      </c>
      <c r="AZ50" s="7">
        <f>'BBB'!AZ50+'Bag Staging'!AZ50+'Bag Staging Volumetric'!AZ50+'FWD FSM'!AZ50+'FWD Manual Pre Primary'!AZ50+'FWD Manual Primary'!AZ50+'FWD Primary with Scan'!AZ50+'FWD Secondary'!AZ50+'FWD Volumetric'!AZ50+'IB'!AZ50+'IB Volumetric'!AZ50+'OB'!AZ50+'OB Volumetric'!AZ50+'OSC Bag Sorting'!AZ50+'OSC Bag Sorting Volumetric'!AZ50+'REV FSM'!AZ50+'Rejection Primary with Scan'!AZ50+'Rejection Secondary'!AZ50+'Rev DC DC Primary Sorting'!AZ50+'Rev Primary (FSM Rejections)'!AZ50+'Rev Secondary Sorting'!AZ50+'VIA Bag Sorting'!AZ50</f>
        <v/>
      </c>
      <c r="BA50" s="7">
        <f>'BBB'!BA50+'Bag Staging'!BA50+'Bag Staging Volumetric'!BA50+'FWD FSM'!BA50+'FWD Manual Pre Primary'!BA50+'FWD Manual Primary'!BA50+'FWD Primary with Scan'!BA50+'FWD Secondary'!BA50+'FWD Volumetric'!BA50+'IB'!BA50+'IB Volumetric'!BA50+'OB'!BA50+'OB Volumetric'!BA50+'OSC Bag Sorting'!BA50+'OSC Bag Sorting Volumetric'!BA50+'REV FSM'!BA50+'Rejection Primary with Scan'!BA50+'Rejection Secondary'!BA50+'Rev DC DC Primary Sorting'!BA50+'Rev Primary (FSM Rejections)'!BA50+'Rev Secondary Sorting'!BA50+'VIA Bag Sorting'!BA50</f>
        <v/>
      </c>
      <c r="BB50" s="7">
        <f>SUM(AD50:BA50)</f>
        <v/>
      </c>
    </row>
    <row r="51">
      <c r="A51" t="inlineStr">
        <is>
          <t>AMD-FWDREG-SSC</t>
        </is>
      </c>
      <c r="B51" t="inlineStr">
        <is>
          <t>Forward Regular OSC</t>
        </is>
      </c>
      <c r="C51" s="5" t="n">
        <v>46098</v>
      </c>
      <c r="D51" s="6" t="n">
        <v>1834</v>
      </c>
      <c r="E51" s="6" t="n">
        <v>1912</v>
      </c>
      <c r="F51" s="6" t="n">
        <v>3435</v>
      </c>
      <c r="G51" s="6" t="n">
        <v>7699</v>
      </c>
      <c r="H51" s="6" t="n">
        <v>5842</v>
      </c>
      <c r="I51" s="6" t="n">
        <v>5508</v>
      </c>
      <c r="J51" s="6" t="n">
        <v>4002</v>
      </c>
      <c r="K51" s="6" t="n">
        <v>30</v>
      </c>
      <c r="L51" s="6" t="n">
        <v>3101</v>
      </c>
      <c r="M51" s="6" t="n">
        <v>5854</v>
      </c>
      <c r="N51" s="6" t="n">
        <v>6192</v>
      </c>
      <c r="O51" s="6" t="n">
        <v>5766</v>
      </c>
      <c r="P51" s="6" t="n">
        <v>4575</v>
      </c>
      <c r="Q51" s="6" t="n">
        <v>1979</v>
      </c>
      <c r="R51" s="6" t="n">
        <v>7916</v>
      </c>
      <c r="S51" s="6" t="n">
        <v>6299</v>
      </c>
      <c r="T51" s="6" t="n">
        <v>4063</v>
      </c>
      <c r="U51" s="6" t="n">
        <v>2670</v>
      </c>
      <c r="V51" s="6" t="n">
        <v>4239</v>
      </c>
      <c r="W51" s="6" t="n">
        <v>4284</v>
      </c>
      <c r="X51" s="6" t="n">
        <v>3802</v>
      </c>
      <c r="Y51" s="6" t="n">
        <v>3146</v>
      </c>
      <c r="Z51" s="6" t="n">
        <v>1</v>
      </c>
      <c r="AA51" s="6" t="n">
        <v>2546</v>
      </c>
      <c r="AB51" s="6">
        <f>SUM(D51:AA51)</f>
        <v/>
      </c>
      <c r="AC51" s="3" t="inlineStr"/>
      <c r="AD51" s="7">
        <f>'BBB'!AD51+'Bag Staging'!AD51+'Bag Staging Volumetric'!AD51+'FWD FSM'!AD51+'FWD Manual Pre Primary'!AD51+'FWD Manual Primary'!AD51+'FWD Primary with Scan'!AD51+'FWD Secondary'!AD51+'FWD Volumetric'!AD51+'IB'!AD51+'IB Volumetric'!AD51+'OB'!AD51+'OB Volumetric'!AD51+'OSC Bag Sorting'!AD51+'OSC Bag Sorting Volumetric'!AD51+'REV FSM'!AD51+'Rejection Primary with Scan'!AD51+'Rejection Secondary'!AD51+'Rev DC DC Primary Sorting'!AD51+'Rev Primary (FSM Rejections)'!AD51+'Rev Secondary Sorting'!AD51+'VIA Bag Sorting'!AD51</f>
        <v/>
      </c>
      <c r="AE51" s="7">
        <f>'BBB'!AE51+'Bag Staging'!AE51+'Bag Staging Volumetric'!AE51+'FWD FSM'!AE51+'FWD Manual Pre Primary'!AE51+'FWD Manual Primary'!AE51+'FWD Primary with Scan'!AE51+'FWD Secondary'!AE51+'FWD Volumetric'!AE51+'IB'!AE51+'IB Volumetric'!AE51+'OB'!AE51+'OB Volumetric'!AE51+'OSC Bag Sorting'!AE51+'OSC Bag Sorting Volumetric'!AE51+'REV FSM'!AE51+'Rejection Primary with Scan'!AE51+'Rejection Secondary'!AE51+'Rev DC DC Primary Sorting'!AE51+'Rev Primary (FSM Rejections)'!AE51+'Rev Secondary Sorting'!AE51+'VIA Bag Sorting'!AE51</f>
        <v/>
      </c>
      <c r="AF51" s="7">
        <f>'BBB'!AF51+'Bag Staging'!AF51+'Bag Staging Volumetric'!AF51+'FWD FSM'!AF51+'FWD Manual Pre Primary'!AF51+'FWD Manual Primary'!AF51+'FWD Primary with Scan'!AF51+'FWD Secondary'!AF51+'FWD Volumetric'!AF51+'IB'!AF51+'IB Volumetric'!AF51+'OB'!AF51+'OB Volumetric'!AF51+'OSC Bag Sorting'!AF51+'OSC Bag Sorting Volumetric'!AF51+'REV FSM'!AF51+'Rejection Primary with Scan'!AF51+'Rejection Secondary'!AF51+'Rev DC DC Primary Sorting'!AF51+'Rev Primary (FSM Rejections)'!AF51+'Rev Secondary Sorting'!AF51+'VIA Bag Sorting'!AF51</f>
        <v/>
      </c>
      <c r="AG51" s="7">
        <f>'BBB'!AG51+'Bag Staging'!AG51+'Bag Staging Volumetric'!AG51+'FWD FSM'!AG51+'FWD Manual Pre Primary'!AG51+'FWD Manual Primary'!AG51+'FWD Primary with Scan'!AG51+'FWD Secondary'!AG51+'FWD Volumetric'!AG51+'IB'!AG51+'IB Volumetric'!AG51+'OB'!AG51+'OB Volumetric'!AG51+'OSC Bag Sorting'!AG51+'OSC Bag Sorting Volumetric'!AG51+'REV FSM'!AG51+'Rejection Primary with Scan'!AG51+'Rejection Secondary'!AG51+'Rev DC DC Primary Sorting'!AG51+'Rev Primary (FSM Rejections)'!AG51+'Rev Secondary Sorting'!AG51+'VIA Bag Sorting'!AG51</f>
        <v/>
      </c>
      <c r="AH51" s="7">
        <f>'BBB'!AH51+'Bag Staging'!AH51+'Bag Staging Volumetric'!AH51+'FWD FSM'!AH51+'FWD Manual Pre Primary'!AH51+'FWD Manual Primary'!AH51+'FWD Primary with Scan'!AH51+'FWD Secondary'!AH51+'FWD Volumetric'!AH51+'IB'!AH51+'IB Volumetric'!AH51+'OB'!AH51+'OB Volumetric'!AH51+'OSC Bag Sorting'!AH51+'OSC Bag Sorting Volumetric'!AH51+'REV FSM'!AH51+'Rejection Primary with Scan'!AH51+'Rejection Secondary'!AH51+'Rev DC DC Primary Sorting'!AH51+'Rev Primary (FSM Rejections)'!AH51+'Rev Secondary Sorting'!AH51+'VIA Bag Sorting'!AH51</f>
        <v/>
      </c>
      <c r="AI51" s="7">
        <f>'BBB'!AI51+'Bag Staging'!AI51+'Bag Staging Volumetric'!AI51+'FWD FSM'!AI51+'FWD Manual Pre Primary'!AI51+'FWD Manual Primary'!AI51+'FWD Primary with Scan'!AI51+'FWD Secondary'!AI51+'FWD Volumetric'!AI51+'IB'!AI51+'IB Volumetric'!AI51+'OB'!AI51+'OB Volumetric'!AI51+'OSC Bag Sorting'!AI51+'OSC Bag Sorting Volumetric'!AI51+'REV FSM'!AI51+'Rejection Primary with Scan'!AI51+'Rejection Secondary'!AI51+'Rev DC DC Primary Sorting'!AI51+'Rev Primary (FSM Rejections)'!AI51+'Rev Secondary Sorting'!AI51+'VIA Bag Sorting'!AI51</f>
        <v/>
      </c>
      <c r="AJ51" s="7">
        <f>'BBB'!AJ51+'Bag Staging'!AJ51+'Bag Staging Volumetric'!AJ51+'FWD FSM'!AJ51+'FWD Manual Pre Primary'!AJ51+'FWD Manual Primary'!AJ51+'FWD Primary with Scan'!AJ51+'FWD Secondary'!AJ51+'FWD Volumetric'!AJ51+'IB'!AJ51+'IB Volumetric'!AJ51+'OB'!AJ51+'OB Volumetric'!AJ51+'OSC Bag Sorting'!AJ51+'OSC Bag Sorting Volumetric'!AJ51+'REV FSM'!AJ51+'Rejection Primary with Scan'!AJ51+'Rejection Secondary'!AJ51+'Rev DC DC Primary Sorting'!AJ51+'Rev Primary (FSM Rejections)'!AJ51+'Rev Secondary Sorting'!AJ51+'VIA Bag Sorting'!AJ51</f>
        <v/>
      </c>
      <c r="AK51" s="7">
        <f>'BBB'!AK51+'Bag Staging'!AK51+'Bag Staging Volumetric'!AK51+'FWD FSM'!AK51+'FWD Manual Pre Primary'!AK51+'FWD Manual Primary'!AK51+'FWD Primary with Scan'!AK51+'FWD Secondary'!AK51+'FWD Volumetric'!AK51+'IB'!AK51+'IB Volumetric'!AK51+'OB'!AK51+'OB Volumetric'!AK51+'OSC Bag Sorting'!AK51+'OSC Bag Sorting Volumetric'!AK51+'REV FSM'!AK51+'Rejection Primary with Scan'!AK51+'Rejection Secondary'!AK51+'Rev DC DC Primary Sorting'!AK51+'Rev Primary (FSM Rejections)'!AK51+'Rev Secondary Sorting'!AK51+'VIA Bag Sorting'!AK51</f>
        <v/>
      </c>
      <c r="AL51" s="7">
        <f>'BBB'!AL51+'Bag Staging'!AL51+'Bag Staging Volumetric'!AL51+'FWD FSM'!AL51+'FWD Manual Pre Primary'!AL51+'FWD Manual Primary'!AL51+'FWD Primary with Scan'!AL51+'FWD Secondary'!AL51+'FWD Volumetric'!AL51+'IB'!AL51+'IB Volumetric'!AL51+'OB'!AL51+'OB Volumetric'!AL51+'OSC Bag Sorting'!AL51+'OSC Bag Sorting Volumetric'!AL51+'REV FSM'!AL51+'Rejection Primary with Scan'!AL51+'Rejection Secondary'!AL51+'Rev DC DC Primary Sorting'!AL51+'Rev Primary (FSM Rejections)'!AL51+'Rev Secondary Sorting'!AL51+'VIA Bag Sorting'!AL51</f>
        <v/>
      </c>
      <c r="AM51" s="7">
        <f>'BBB'!AM51+'Bag Staging'!AM51+'Bag Staging Volumetric'!AM51+'FWD FSM'!AM51+'FWD Manual Pre Primary'!AM51+'FWD Manual Primary'!AM51+'FWD Primary with Scan'!AM51+'FWD Secondary'!AM51+'FWD Volumetric'!AM51+'IB'!AM51+'IB Volumetric'!AM51+'OB'!AM51+'OB Volumetric'!AM51+'OSC Bag Sorting'!AM51+'OSC Bag Sorting Volumetric'!AM51+'REV FSM'!AM51+'Rejection Primary with Scan'!AM51+'Rejection Secondary'!AM51+'Rev DC DC Primary Sorting'!AM51+'Rev Primary (FSM Rejections)'!AM51+'Rev Secondary Sorting'!AM51+'VIA Bag Sorting'!AM51</f>
        <v/>
      </c>
      <c r="AN51" s="7">
        <f>'BBB'!AN51+'Bag Staging'!AN51+'Bag Staging Volumetric'!AN51+'FWD FSM'!AN51+'FWD Manual Pre Primary'!AN51+'FWD Manual Primary'!AN51+'FWD Primary with Scan'!AN51+'FWD Secondary'!AN51+'FWD Volumetric'!AN51+'IB'!AN51+'IB Volumetric'!AN51+'OB'!AN51+'OB Volumetric'!AN51+'OSC Bag Sorting'!AN51+'OSC Bag Sorting Volumetric'!AN51+'REV FSM'!AN51+'Rejection Primary with Scan'!AN51+'Rejection Secondary'!AN51+'Rev DC DC Primary Sorting'!AN51+'Rev Primary (FSM Rejections)'!AN51+'Rev Secondary Sorting'!AN51+'VIA Bag Sorting'!AN51</f>
        <v/>
      </c>
      <c r="AO51" s="7">
        <f>'BBB'!AO51+'Bag Staging'!AO51+'Bag Staging Volumetric'!AO51+'FWD FSM'!AO51+'FWD Manual Pre Primary'!AO51+'FWD Manual Primary'!AO51+'FWD Primary with Scan'!AO51+'FWD Secondary'!AO51+'FWD Volumetric'!AO51+'IB'!AO51+'IB Volumetric'!AO51+'OB'!AO51+'OB Volumetric'!AO51+'OSC Bag Sorting'!AO51+'OSC Bag Sorting Volumetric'!AO51+'REV FSM'!AO51+'Rejection Primary with Scan'!AO51+'Rejection Secondary'!AO51+'Rev DC DC Primary Sorting'!AO51+'Rev Primary (FSM Rejections)'!AO51+'Rev Secondary Sorting'!AO51+'VIA Bag Sorting'!AO51</f>
        <v/>
      </c>
      <c r="AP51" s="7">
        <f>'BBB'!AP51+'Bag Staging'!AP51+'Bag Staging Volumetric'!AP51+'FWD FSM'!AP51+'FWD Manual Pre Primary'!AP51+'FWD Manual Primary'!AP51+'FWD Primary with Scan'!AP51+'FWD Secondary'!AP51+'FWD Volumetric'!AP51+'IB'!AP51+'IB Volumetric'!AP51+'OB'!AP51+'OB Volumetric'!AP51+'OSC Bag Sorting'!AP51+'OSC Bag Sorting Volumetric'!AP51+'REV FSM'!AP51+'Rejection Primary with Scan'!AP51+'Rejection Secondary'!AP51+'Rev DC DC Primary Sorting'!AP51+'Rev Primary (FSM Rejections)'!AP51+'Rev Secondary Sorting'!AP51+'VIA Bag Sorting'!AP51</f>
        <v/>
      </c>
      <c r="AQ51" s="7">
        <f>'BBB'!AQ51+'Bag Staging'!AQ51+'Bag Staging Volumetric'!AQ51+'FWD FSM'!AQ51+'FWD Manual Pre Primary'!AQ51+'FWD Manual Primary'!AQ51+'FWD Primary with Scan'!AQ51+'FWD Secondary'!AQ51+'FWD Volumetric'!AQ51+'IB'!AQ51+'IB Volumetric'!AQ51+'OB'!AQ51+'OB Volumetric'!AQ51+'OSC Bag Sorting'!AQ51+'OSC Bag Sorting Volumetric'!AQ51+'REV FSM'!AQ51+'Rejection Primary with Scan'!AQ51+'Rejection Secondary'!AQ51+'Rev DC DC Primary Sorting'!AQ51+'Rev Primary (FSM Rejections)'!AQ51+'Rev Secondary Sorting'!AQ51+'VIA Bag Sorting'!AQ51</f>
        <v/>
      </c>
      <c r="AR51" s="7">
        <f>'BBB'!AR51+'Bag Staging'!AR51+'Bag Staging Volumetric'!AR51+'FWD FSM'!AR51+'FWD Manual Pre Primary'!AR51+'FWD Manual Primary'!AR51+'FWD Primary with Scan'!AR51+'FWD Secondary'!AR51+'FWD Volumetric'!AR51+'IB'!AR51+'IB Volumetric'!AR51+'OB'!AR51+'OB Volumetric'!AR51+'OSC Bag Sorting'!AR51+'OSC Bag Sorting Volumetric'!AR51+'REV FSM'!AR51+'Rejection Primary with Scan'!AR51+'Rejection Secondary'!AR51+'Rev DC DC Primary Sorting'!AR51+'Rev Primary (FSM Rejections)'!AR51+'Rev Secondary Sorting'!AR51+'VIA Bag Sorting'!AR51</f>
        <v/>
      </c>
      <c r="AS51" s="7">
        <f>'BBB'!AS51+'Bag Staging'!AS51+'Bag Staging Volumetric'!AS51+'FWD FSM'!AS51+'FWD Manual Pre Primary'!AS51+'FWD Manual Primary'!AS51+'FWD Primary with Scan'!AS51+'FWD Secondary'!AS51+'FWD Volumetric'!AS51+'IB'!AS51+'IB Volumetric'!AS51+'OB'!AS51+'OB Volumetric'!AS51+'OSC Bag Sorting'!AS51+'OSC Bag Sorting Volumetric'!AS51+'REV FSM'!AS51+'Rejection Primary with Scan'!AS51+'Rejection Secondary'!AS51+'Rev DC DC Primary Sorting'!AS51+'Rev Primary (FSM Rejections)'!AS51+'Rev Secondary Sorting'!AS51+'VIA Bag Sorting'!AS51</f>
        <v/>
      </c>
      <c r="AT51" s="7">
        <f>'BBB'!AT51+'Bag Staging'!AT51+'Bag Staging Volumetric'!AT51+'FWD FSM'!AT51+'FWD Manual Pre Primary'!AT51+'FWD Manual Primary'!AT51+'FWD Primary with Scan'!AT51+'FWD Secondary'!AT51+'FWD Volumetric'!AT51+'IB'!AT51+'IB Volumetric'!AT51+'OB'!AT51+'OB Volumetric'!AT51+'OSC Bag Sorting'!AT51+'OSC Bag Sorting Volumetric'!AT51+'REV FSM'!AT51+'Rejection Primary with Scan'!AT51+'Rejection Secondary'!AT51+'Rev DC DC Primary Sorting'!AT51+'Rev Primary (FSM Rejections)'!AT51+'Rev Secondary Sorting'!AT51+'VIA Bag Sorting'!AT51</f>
        <v/>
      </c>
      <c r="AU51" s="7">
        <f>'BBB'!AU51+'Bag Staging'!AU51+'Bag Staging Volumetric'!AU51+'FWD FSM'!AU51+'FWD Manual Pre Primary'!AU51+'FWD Manual Primary'!AU51+'FWD Primary with Scan'!AU51+'FWD Secondary'!AU51+'FWD Volumetric'!AU51+'IB'!AU51+'IB Volumetric'!AU51+'OB'!AU51+'OB Volumetric'!AU51+'OSC Bag Sorting'!AU51+'OSC Bag Sorting Volumetric'!AU51+'REV FSM'!AU51+'Rejection Primary with Scan'!AU51+'Rejection Secondary'!AU51+'Rev DC DC Primary Sorting'!AU51+'Rev Primary (FSM Rejections)'!AU51+'Rev Secondary Sorting'!AU51+'VIA Bag Sorting'!AU51</f>
        <v/>
      </c>
      <c r="AV51" s="7">
        <f>'BBB'!AV51+'Bag Staging'!AV51+'Bag Staging Volumetric'!AV51+'FWD FSM'!AV51+'FWD Manual Pre Primary'!AV51+'FWD Manual Primary'!AV51+'FWD Primary with Scan'!AV51+'FWD Secondary'!AV51+'FWD Volumetric'!AV51+'IB'!AV51+'IB Volumetric'!AV51+'OB'!AV51+'OB Volumetric'!AV51+'OSC Bag Sorting'!AV51+'OSC Bag Sorting Volumetric'!AV51+'REV FSM'!AV51+'Rejection Primary with Scan'!AV51+'Rejection Secondary'!AV51+'Rev DC DC Primary Sorting'!AV51+'Rev Primary (FSM Rejections)'!AV51+'Rev Secondary Sorting'!AV51+'VIA Bag Sorting'!AV51</f>
        <v/>
      </c>
      <c r="AW51" s="7">
        <f>'BBB'!AW51+'Bag Staging'!AW51+'Bag Staging Volumetric'!AW51+'FWD FSM'!AW51+'FWD Manual Pre Primary'!AW51+'FWD Manual Primary'!AW51+'FWD Primary with Scan'!AW51+'FWD Secondary'!AW51+'FWD Volumetric'!AW51+'IB'!AW51+'IB Volumetric'!AW51+'OB'!AW51+'OB Volumetric'!AW51+'OSC Bag Sorting'!AW51+'OSC Bag Sorting Volumetric'!AW51+'REV FSM'!AW51+'Rejection Primary with Scan'!AW51+'Rejection Secondary'!AW51+'Rev DC DC Primary Sorting'!AW51+'Rev Primary (FSM Rejections)'!AW51+'Rev Secondary Sorting'!AW51+'VIA Bag Sorting'!AW51</f>
        <v/>
      </c>
      <c r="AX51" s="7">
        <f>'BBB'!AX51+'Bag Staging'!AX51+'Bag Staging Volumetric'!AX51+'FWD FSM'!AX51+'FWD Manual Pre Primary'!AX51+'FWD Manual Primary'!AX51+'FWD Primary with Scan'!AX51+'FWD Secondary'!AX51+'FWD Volumetric'!AX51+'IB'!AX51+'IB Volumetric'!AX51+'OB'!AX51+'OB Volumetric'!AX51+'OSC Bag Sorting'!AX51+'OSC Bag Sorting Volumetric'!AX51+'REV FSM'!AX51+'Rejection Primary with Scan'!AX51+'Rejection Secondary'!AX51+'Rev DC DC Primary Sorting'!AX51+'Rev Primary (FSM Rejections)'!AX51+'Rev Secondary Sorting'!AX51+'VIA Bag Sorting'!AX51</f>
        <v/>
      </c>
      <c r="AY51" s="7">
        <f>'BBB'!AY51+'Bag Staging'!AY51+'Bag Staging Volumetric'!AY51+'FWD FSM'!AY51+'FWD Manual Pre Primary'!AY51+'FWD Manual Primary'!AY51+'FWD Primary with Scan'!AY51+'FWD Secondary'!AY51+'FWD Volumetric'!AY51+'IB'!AY51+'IB Volumetric'!AY51+'OB'!AY51+'OB Volumetric'!AY51+'OSC Bag Sorting'!AY51+'OSC Bag Sorting Volumetric'!AY51+'REV FSM'!AY51+'Rejection Primary with Scan'!AY51+'Rejection Secondary'!AY51+'Rev DC DC Primary Sorting'!AY51+'Rev Primary (FSM Rejections)'!AY51+'Rev Secondary Sorting'!AY51+'VIA Bag Sorting'!AY51</f>
        <v/>
      </c>
      <c r="AZ51" s="7">
        <f>'BBB'!AZ51+'Bag Staging'!AZ51+'Bag Staging Volumetric'!AZ51+'FWD FSM'!AZ51+'FWD Manual Pre Primary'!AZ51+'FWD Manual Primary'!AZ51+'FWD Primary with Scan'!AZ51+'FWD Secondary'!AZ51+'FWD Volumetric'!AZ51+'IB'!AZ51+'IB Volumetric'!AZ51+'OB'!AZ51+'OB Volumetric'!AZ51+'OSC Bag Sorting'!AZ51+'OSC Bag Sorting Volumetric'!AZ51+'REV FSM'!AZ51+'Rejection Primary with Scan'!AZ51+'Rejection Secondary'!AZ51+'Rev DC DC Primary Sorting'!AZ51+'Rev Primary (FSM Rejections)'!AZ51+'Rev Secondary Sorting'!AZ51+'VIA Bag Sorting'!AZ51</f>
        <v/>
      </c>
      <c r="BA51" s="7">
        <f>'BBB'!BA51+'Bag Staging'!BA51+'Bag Staging Volumetric'!BA51+'FWD FSM'!BA51+'FWD Manual Pre Primary'!BA51+'FWD Manual Primary'!BA51+'FWD Primary with Scan'!BA51+'FWD Secondary'!BA51+'FWD Volumetric'!BA51+'IB'!BA51+'IB Volumetric'!BA51+'OB'!BA51+'OB Volumetric'!BA51+'OSC Bag Sorting'!BA51+'OSC Bag Sorting Volumetric'!BA51+'REV FSM'!BA51+'Rejection Primary with Scan'!BA51+'Rejection Secondary'!BA51+'Rev DC DC Primary Sorting'!BA51+'Rev Primary (FSM Rejections)'!BA51+'Rev Secondary Sorting'!BA51+'VIA Bag Sorting'!BA51</f>
        <v/>
      </c>
      <c r="BB51" s="7">
        <f>SUM(AD51:BA51)</f>
        <v/>
      </c>
    </row>
    <row r="52">
      <c r="A52" t="inlineStr">
        <is>
          <t>AMD-FWDREG-SSC</t>
        </is>
      </c>
      <c r="B52" t="inlineStr">
        <is>
          <t>Forward Regular OSC</t>
        </is>
      </c>
      <c r="C52" s="5" t="n">
        <v>46099</v>
      </c>
      <c r="D52" s="6" t="n">
        <v>5116</v>
      </c>
      <c r="E52" s="6" t="n">
        <v>728</v>
      </c>
      <c r="F52" s="6" t="n">
        <v>5306</v>
      </c>
      <c r="G52" s="6" t="n">
        <v>4222</v>
      </c>
      <c r="H52" s="6" t="n">
        <v>2796</v>
      </c>
      <c r="I52" s="6" t="n">
        <v>4170</v>
      </c>
      <c r="J52" s="6" t="n">
        <v>3263</v>
      </c>
      <c r="K52" s="6" t="n">
        <v>35</v>
      </c>
      <c r="L52" s="6" t="n">
        <v>4053</v>
      </c>
      <c r="M52" s="6" t="n">
        <v>6762</v>
      </c>
      <c r="N52" s="6" t="n">
        <v>6430</v>
      </c>
      <c r="O52" s="6" t="n">
        <v>5529</v>
      </c>
      <c r="P52" s="6" t="n">
        <v>1930</v>
      </c>
      <c r="Q52" s="6" t="n">
        <v>4639</v>
      </c>
      <c r="R52" s="6" t="n">
        <v>8615</v>
      </c>
      <c r="S52" s="6" t="n">
        <v>8197</v>
      </c>
      <c r="T52" s="6" t="n">
        <v>7602</v>
      </c>
      <c r="U52" s="6" t="n">
        <v>1020</v>
      </c>
      <c r="V52" s="6" t="n">
        <v>2751</v>
      </c>
      <c r="W52" s="6" t="n">
        <v>3452</v>
      </c>
      <c r="X52" s="6" t="n">
        <v>3691</v>
      </c>
      <c r="Y52" s="6" t="n">
        <v>2489</v>
      </c>
      <c r="Z52" s="6" t="n">
        <v>68</v>
      </c>
      <c r="AA52" s="6" t="n">
        <v>4022</v>
      </c>
      <c r="AB52" s="6">
        <f>SUM(D52:AA52)</f>
        <v/>
      </c>
      <c r="AC52" s="3" t="inlineStr"/>
      <c r="AD52" s="7">
        <f>'BBB'!AD52+'Bag Staging'!AD52+'Bag Staging Volumetric'!AD52+'FWD FSM'!AD52+'FWD Manual Pre Primary'!AD52+'FWD Manual Primary'!AD52+'FWD Primary with Scan'!AD52+'FWD Secondary'!AD52+'FWD Volumetric'!AD52+'IB'!AD52+'IB Volumetric'!AD52+'OB'!AD52+'OB Volumetric'!AD52+'OSC Bag Sorting'!AD52+'OSC Bag Sorting Volumetric'!AD52+'REV FSM'!AD52+'Rejection Primary with Scan'!AD52+'Rejection Secondary'!AD52+'Rev DC DC Primary Sorting'!AD52+'Rev Primary (FSM Rejections)'!AD52+'Rev Secondary Sorting'!AD52+'VIA Bag Sorting'!AD52</f>
        <v/>
      </c>
      <c r="AE52" s="7">
        <f>'BBB'!AE52+'Bag Staging'!AE52+'Bag Staging Volumetric'!AE52+'FWD FSM'!AE52+'FWD Manual Pre Primary'!AE52+'FWD Manual Primary'!AE52+'FWD Primary with Scan'!AE52+'FWD Secondary'!AE52+'FWD Volumetric'!AE52+'IB'!AE52+'IB Volumetric'!AE52+'OB'!AE52+'OB Volumetric'!AE52+'OSC Bag Sorting'!AE52+'OSC Bag Sorting Volumetric'!AE52+'REV FSM'!AE52+'Rejection Primary with Scan'!AE52+'Rejection Secondary'!AE52+'Rev DC DC Primary Sorting'!AE52+'Rev Primary (FSM Rejections)'!AE52+'Rev Secondary Sorting'!AE52+'VIA Bag Sorting'!AE52</f>
        <v/>
      </c>
      <c r="AF52" s="7">
        <f>'BBB'!AF52+'Bag Staging'!AF52+'Bag Staging Volumetric'!AF52+'FWD FSM'!AF52+'FWD Manual Pre Primary'!AF52+'FWD Manual Primary'!AF52+'FWD Primary with Scan'!AF52+'FWD Secondary'!AF52+'FWD Volumetric'!AF52+'IB'!AF52+'IB Volumetric'!AF52+'OB'!AF52+'OB Volumetric'!AF52+'OSC Bag Sorting'!AF52+'OSC Bag Sorting Volumetric'!AF52+'REV FSM'!AF52+'Rejection Primary with Scan'!AF52+'Rejection Secondary'!AF52+'Rev DC DC Primary Sorting'!AF52+'Rev Primary (FSM Rejections)'!AF52+'Rev Secondary Sorting'!AF52+'VIA Bag Sorting'!AF52</f>
        <v/>
      </c>
      <c r="AG52" s="7">
        <f>'BBB'!AG52+'Bag Staging'!AG52+'Bag Staging Volumetric'!AG52+'FWD FSM'!AG52+'FWD Manual Pre Primary'!AG52+'FWD Manual Primary'!AG52+'FWD Primary with Scan'!AG52+'FWD Secondary'!AG52+'FWD Volumetric'!AG52+'IB'!AG52+'IB Volumetric'!AG52+'OB'!AG52+'OB Volumetric'!AG52+'OSC Bag Sorting'!AG52+'OSC Bag Sorting Volumetric'!AG52+'REV FSM'!AG52+'Rejection Primary with Scan'!AG52+'Rejection Secondary'!AG52+'Rev DC DC Primary Sorting'!AG52+'Rev Primary (FSM Rejections)'!AG52+'Rev Secondary Sorting'!AG52+'VIA Bag Sorting'!AG52</f>
        <v/>
      </c>
      <c r="AH52" s="7">
        <f>'BBB'!AH52+'Bag Staging'!AH52+'Bag Staging Volumetric'!AH52+'FWD FSM'!AH52+'FWD Manual Pre Primary'!AH52+'FWD Manual Primary'!AH52+'FWD Primary with Scan'!AH52+'FWD Secondary'!AH52+'FWD Volumetric'!AH52+'IB'!AH52+'IB Volumetric'!AH52+'OB'!AH52+'OB Volumetric'!AH52+'OSC Bag Sorting'!AH52+'OSC Bag Sorting Volumetric'!AH52+'REV FSM'!AH52+'Rejection Primary with Scan'!AH52+'Rejection Secondary'!AH52+'Rev DC DC Primary Sorting'!AH52+'Rev Primary (FSM Rejections)'!AH52+'Rev Secondary Sorting'!AH52+'VIA Bag Sorting'!AH52</f>
        <v/>
      </c>
      <c r="AI52" s="7">
        <f>'BBB'!AI52+'Bag Staging'!AI52+'Bag Staging Volumetric'!AI52+'FWD FSM'!AI52+'FWD Manual Pre Primary'!AI52+'FWD Manual Primary'!AI52+'FWD Primary with Scan'!AI52+'FWD Secondary'!AI52+'FWD Volumetric'!AI52+'IB'!AI52+'IB Volumetric'!AI52+'OB'!AI52+'OB Volumetric'!AI52+'OSC Bag Sorting'!AI52+'OSC Bag Sorting Volumetric'!AI52+'REV FSM'!AI52+'Rejection Primary with Scan'!AI52+'Rejection Secondary'!AI52+'Rev DC DC Primary Sorting'!AI52+'Rev Primary (FSM Rejections)'!AI52+'Rev Secondary Sorting'!AI52+'VIA Bag Sorting'!AI52</f>
        <v/>
      </c>
      <c r="AJ52" s="7">
        <f>'BBB'!AJ52+'Bag Staging'!AJ52+'Bag Staging Volumetric'!AJ52+'FWD FSM'!AJ52+'FWD Manual Pre Primary'!AJ52+'FWD Manual Primary'!AJ52+'FWD Primary with Scan'!AJ52+'FWD Secondary'!AJ52+'FWD Volumetric'!AJ52+'IB'!AJ52+'IB Volumetric'!AJ52+'OB'!AJ52+'OB Volumetric'!AJ52+'OSC Bag Sorting'!AJ52+'OSC Bag Sorting Volumetric'!AJ52+'REV FSM'!AJ52+'Rejection Primary with Scan'!AJ52+'Rejection Secondary'!AJ52+'Rev DC DC Primary Sorting'!AJ52+'Rev Primary (FSM Rejections)'!AJ52+'Rev Secondary Sorting'!AJ52+'VIA Bag Sorting'!AJ52</f>
        <v/>
      </c>
      <c r="AK52" s="7">
        <f>'BBB'!AK52+'Bag Staging'!AK52+'Bag Staging Volumetric'!AK52+'FWD FSM'!AK52+'FWD Manual Pre Primary'!AK52+'FWD Manual Primary'!AK52+'FWD Primary with Scan'!AK52+'FWD Secondary'!AK52+'FWD Volumetric'!AK52+'IB'!AK52+'IB Volumetric'!AK52+'OB'!AK52+'OB Volumetric'!AK52+'OSC Bag Sorting'!AK52+'OSC Bag Sorting Volumetric'!AK52+'REV FSM'!AK52+'Rejection Primary with Scan'!AK52+'Rejection Secondary'!AK52+'Rev DC DC Primary Sorting'!AK52+'Rev Primary (FSM Rejections)'!AK52+'Rev Secondary Sorting'!AK52+'VIA Bag Sorting'!AK52</f>
        <v/>
      </c>
      <c r="AL52" s="7">
        <f>'BBB'!AL52+'Bag Staging'!AL52+'Bag Staging Volumetric'!AL52+'FWD FSM'!AL52+'FWD Manual Pre Primary'!AL52+'FWD Manual Primary'!AL52+'FWD Primary with Scan'!AL52+'FWD Secondary'!AL52+'FWD Volumetric'!AL52+'IB'!AL52+'IB Volumetric'!AL52+'OB'!AL52+'OB Volumetric'!AL52+'OSC Bag Sorting'!AL52+'OSC Bag Sorting Volumetric'!AL52+'REV FSM'!AL52+'Rejection Primary with Scan'!AL52+'Rejection Secondary'!AL52+'Rev DC DC Primary Sorting'!AL52+'Rev Primary (FSM Rejections)'!AL52+'Rev Secondary Sorting'!AL52+'VIA Bag Sorting'!AL52</f>
        <v/>
      </c>
      <c r="AM52" s="7">
        <f>'BBB'!AM52+'Bag Staging'!AM52+'Bag Staging Volumetric'!AM52+'FWD FSM'!AM52+'FWD Manual Pre Primary'!AM52+'FWD Manual Primary'!AM52+'FWD Primary with Scan'!AM52+'FWD Secondary'!AM52+'FWD Volumetric'!AM52+'IB'!AM52+'IB Volumetric'!AM52+'OB'!AM52+'OB Volumetric'!AM52+'OSC Bag Sorting'!AM52+'OSC Bag Sorting Volumetric'!AM52+'REV FSM'!AM52+'Rejection Primary with Scan'!AM52+'Rejection Secondary'!AM52+'Rev DC DC Primary Sorting'!AM52+'Rev Primary (FSM Rejections)'!AM52+'Rev Secondary Sorting'!AM52+'VIA Bag Sorting'!AM52</f>
        <v/>
      </c>
      <c r="AN52" s="7">
        <f>'BBB'!AN52+'Bag Staging'!AN52+'Bag Staging Volumetric'!AN52+'FWD FSM'!AN52+'FWD Manual Pre Primary'!AN52+'FWD Manual Primary'!AN52+'FWD Primary with Scan'!AN52+'FWD Secondary'!AN52+'FWD Volumetric'!AN52+'IB'!AN52+'IB Volumetric'!AN52+'OB'!AN52+'OB Volumetric'!AN52+'OSC Bag Sorting'!AN52+'OSC Bag Sorting Volumetric'!AN52+'REV FSM'!AN52+'Rejection Primary with Scan'!AN52+'Rejection Secondary'!AN52+'Rev DC DC Primary Sorting'!AN52+'Rev Primary (FSM Rejections)'!AN52+'Rev Secondary Sorting'!AN52+'VIA Bag Sorting'!AN52</f>
        <v/>
      </c>
      <c r="AO52" s="7">
        <f>'BBB'!AO52+'Bag Staging'!AO52+'Bag Staging Volumetric'!AO52+'FWD FSM'!AO52+'FWD Manual Pre Primary'!AO52+'FWD Manual Primary'!AO52+'FWD Primary with Scan'!AO52+'FWD Secondary'!AO52+'FWD Volumetric'!AO52+'IB'!AO52+'IB Volumetric'!AO52+'OB'!AO52+'OB Volumetric'!AO52+'OSC Bag Sorting'!AO52+'OSC Bag Sorting Volumetric'!AO52+'REV FSM'!AO52+'Rejection Primary with Scan'!AO52+'Rejection Secondary'!AO52+'Rev DC DC Primary Sorting'!AO52+'Rev Primary (FSM Rejections)'!AO52+'Rev Secondary Sorting'!AO52+'VIA Bag Sorting'!AO52</f>
        <v/>
      </c>
      <c r="AP52" s="7">
        <f>'BBB'!AP52+'Bag Staging'!AP52+'Bag Staging Volumetric'!AP52+'FWD FSM'!AP52+'FWD Manual Pre Primary'!AP52+'FWD Manual Primary'!AP52+'FWD Primary with Scan'!AP52+'FWD Secondary'!AP52+'FWD Volumetric'!AP52+'IB'!AP52+'IB Volumetric'!AP52+'OB'!AP52+'OB Volumetric'!AP52+'OSC Bag Sorting'!AP52+'OSC Bag Sorting Volumetric'!AP52+'REV FSM'!AP52+'Rejection Primary with Scan'!AP52+'Rejection Secondary'!AP52+'Rev DC DC Primary Sorting'!AP52+'Rev Primary (FSM Rejections)'!AP52+'Rev Secondary Sorting'!AP52+'VIA Bag Sorting'!AP52</f>
        <v/>
      </c>
      <c r="AQ52" s="7">
        <f>'BBB'!AQ52+'Bag Staging'!AQ52+'Bag Staging Volumetric'!AQ52+'FWD FSM'!AQ52+'FWD Manual Pre Primary'!AQ52+'FWD Manual Primary'!AQ52+'FWD Primary with Scan'!AQ52+'FWD Secondary'!AQ52+'FWD Volumetric'!AQ52+'IB'!AQ52+'IB Volumetric'!AQ52+'OB'!AQ52+'OB Volumetric'!AQ52+'OSC Bag Sorting'!AQ52+'OSC Bag Sorting Volumetric'!AQ52+'REV FSM'!AQ52+'Rejection Primary with Scan'!AQ52+'Rejection Secondary'!AQ52+'Rev DC DC Primary Sorting'!AQ52+'Rev Primary (FSM Rejections)'!AQ52+'Rev Secondary Sorting'!AQ52+'VIA Bag Sorting'!AQ52</f>
        <v/>
      </c>
      <c r="AR52" s="7">
        <f>'BBB'!AR52+'Bag Staging'!AR52+'Bag Staging Volumetric'!AR52+'FWD FSM'!AR52+'FWD Manual Pre Primary'!AR52+'FWD Manual Primary'!AR52+'FWD Primary with Scan'!AR52+'FWD Secondary'!AR52+'FWD Volumetric'!AR52+'IB'!AR52+'IB Volumetric'!AR52+'OB'!AR52+'OB Volumetric'!AR52+'OSC Bag Sorting'!AR52+'OSC Bag Sorting Volumetric'!AR52+'REV FSM'!AR52+'Rejection Primary with Scan'!AR52+'Rejection Secondary'!AR52+'Rev DC DC Primary Sorting'!AR52+'Rev Primary (FSM Rejections)'!AR52+'Rev Secondary Sorting'!AR52+'VIA Bag Sorting'!AR52</f>
        <v/>
      </c>
      <c r="AS52" s="7">
        <f>'BBB'!AS52+'Bag Staging'!AS52+'Bag Staging Volumetric'!AS52+'FWD FSM'!AS52+'FWD Manual Pre Primary'!AS52+'FWD Manual Primary'!AS52+'FWD Primary with Scan'!AS52+'FWD Secondary'!AS52+'FWD Volumetric'!AS52+'IB'!AS52+'IB Volumetric'!AS52+'OB'!AS52+'OB Volumetric'!AS52+'OSC Bag Sorting'!AS52+'OSC Bag Sorting Volumetric'!AS52+'REV FSM'!AS52+'Rejection Primary with Scan'!AS52+'Rejection Secondary'!AS52+'Rev DC DC Primary Sorting'!AS52+'Rev Primary (FSM Rejections)'!AS52+'Rev Secondary Sorting'!AS52+'VIA Bag Sorting'!AS52</f>
        <v/>
      </c>
      <c r="AT52" s="7">
        <f>'BBB'!AT52+'Bag Staging'!AT52+'Bag Staging Volumetric'!AT52+'FWD FSM'!AT52+'FWD Manual Pre Primary'!AT52+'FWD Manual Primary'!AT52+'FWD Primary with Scan'!AT52+'FWD Secondary'!AT52+'FWD Volumetric'!AT52+'IB'!AT52+'IB Volumetric'!AT52+'OB'!AT52+'OB Volumetric'!AT52+'OSC Bag Sorting'!AT52+'OSC Bag Sorting Volumetric'!AT52+'REV FSM'!AT52+'Rejection Primary with Scan'!AT52+'Rejection Secondary'!AT52+'Rev DC DC Primary Sorting'!AT52+'Rev Primary (FSM Rejections)'!AT52+'Rev Secondary Sorting'!AT52+'VIA Bag Sorting'!AT52</f>
        <v/>
      </c>
      <c r="AU52" s="7">
        <f>'BBB'!AU52+'Bag Staging'!AU52+'Bag Staging Volumetric'!AU52+'FWD FSM'!AU52+'FWD Manual Pre Primary'!AU52+'FWD Manual Primary'!AU52+'FWD Primary with Scan'!AU52+'FWD Secondary'!AU52+'FWD Volumetric'!AU52+'IB'!AU52+'IB Volumetric'!AU52+'OB'!AU52+'OB Volumetric'!AU52+'OSC Bag Sorting'!AU52+'OSC Bag Sorting Volumetric'!AU52+'REV FSM'!AU52+'Rejection Primary with Scan'!AU52+'Rejection Secondary'!AU52+'Rev DC DC Primary Sorting'!AU52+'Rev Primary (FSM Rejections)'!AU52+'Rev Secondary Sorting'!AU52+'VIA Bag Sorting'!AU52</f>
        <v/>
      </c>
      <c r="AV52" s="7">
        <f>'BBB'!AV52+'Bag Staging'!AV52+'Bag Staging Volumetric'!AV52+'FWD FSM'!AV52+'FWD Manual Pre Primary'!AV52+'FWD Manual Primary'!AV52+'FWD Primary with Scan'!AV52+'FWD Secondary'!AV52+'FWD Volumetric'!AV52+'IB'!AV52+'IB Volumetric'!AV52+'OB'!AV52+'OB Volumetric'!AV52+'OSC Bag Sorting'!AV52+'OSC Bag Sorting Volumetric'!AV52+'REV FSM'!AV52+'Rejection Primary with Scan'!AV52+'Rejection Secondary'!AV52+'Rev DC DC Primary Sorting'!AV52+'Rev Primary (FSM Rejections)'!AV52+'Rev Secondary Sorting'!AV52+'VIA Bag Sorting'!AV52</f>
        <v/>
      </c>
      <c r="AW52" s="7">
        <f>'BBB'!AW52+'Bag Staging'!AW52+'Bag Staging Volumetric'!AW52+'FWD FSM'!AW52+'FWD Manual Pre Primary'!AW52+'FWD Manual Primary'!AW52+'FWD Primary with Scan'!AW52+'FWD Secondary'!AW52+'FWD Volumetric'!AW52+'IB'!AW52+'IB Volumetric'!AW52+'OB'!AW52+'OB Volumetric'!AW52+'OSC Bag Sorting'!AW52+'OSC Bag Sorting Volumetric'!AW52+'REV FSM'!AW52+'Rejection Primary with Scan'!AW52+'Rejection Secondary'!AW52+'Rev DC DC Primary Sorting'!AW52+'Rev Primary (FSM Rejections)'!AW52+'Rev Secondary Sorting'!AW52+'VIA Bag Sorting'!AW52</f>
        <v/>
      </c>
      <c r="AX52" s="7">
        <f>'BBB'!AX52+'Bag Staging'!AX52+'Bag Staging Volumetric'!AX52+'FWD FSM'!AX52+'FWD Manual Pre Primary'!AX52+'FWD Manual Primary'!AX52+'FWD Primary with Scan'!AX52+'FWD Secondary'!AX52+'FWD Volumetric'!AX52+'IB'!AX52+'IB Volumetric'!AX52+'OB'!AX52+'OB Volumetric'!AX52+'OSC Bag Sorting'!AX52+'OSC Bag Sorting Volumetric'!AX52+'REV FSM'!AX52+'Rejection Primary with Scan'!AX52+'Rejection Secondary'!AX52+'Rev DC DC Primary Sorting'!AX52+'Rev Primary (FSM Rejections)'!AX52+'Rev Secondary Sorting'!AX52+'VIA Bag Sorting'!AX52</f>
        <v/>
      </c>
      <c r="AY52" s="7">
        <f>'BBB'!AY52+'Bag Staging'!AY52+'Bag Staging Volumetric'!AY52+'FWD FSM'!AY52+'FWD Manual Pre Primary'!AY52+'FWD Manual Primary'!AY52+'FWD Primary with Scan'!AY52+'FWD Secondary'!AY52+'FWD Volumetric'!AY52+'IB'!AY52+'IB Volumetric'!AY52+'OB'!AY52+'OB Volumetric'!AY52+'OSC Bag Sorting'!AY52+'OSC Bag Sorting Volumetric'!AY52+'REV FSM'!AY52+'Rejection Primary with Scan'!AY52+'Rejection Secondary'!AY52+'Rev DC DC Primary Sorting'!AY52+'Rev Primary (FSM Rejections)'!AY52+'Rev Secondary Sorting'!AY52+'VIA Bag Sorting'!AY52</f>
        <v/>
      </c>
      <c r="AZ52" s="7">
        <f>'BBB'!AZ52+'Bag Staging'!AZ52+'Bag Staging Volumetric'!AZ52+'FWD FSM'!AZ52+'FWD Manual Pre Primary'!AZ52+'FWD Manual Primary'!AZ52+'FWD Primary with Scan'!AZ52+'FWD Secondary'!AZ52+'FWD Volumetric'!AZ52+'IB'!AZ52+'IB Volumetric'!AZ52+'OB'!AZ52+'OB Volumetric'!AZ52+'OSC Bag Sorting'!AZ52+'OSC Bag Sorting Volumetric'!AZ52+'REV FSM'!AZ52+'Rejection Primary with Scan'!AZ52+'Rejection Secondary'!AZ52+'Rev DC DC Primary Sorting'!AZ52+'Rev Primary (FSM Rejections)'!AZ52+'Rev Secondary Sorting'!AZ52+'VIA Bag Sorting'!AZ52</f>
        <v/>
      </c>
      <c r="BA52" s="7">
        <f>'BBB'!BA52+'Bag Staging'!BA52+'Bag Staging Volumetric'!BA52+'FWD FSM'!BA52+'FWD Manual Pre Primary'!BA52+'FWD Manual Primary'!BA52+'FWD Primary with Scan'!BA52+'FWD Secondary'!BA52+'FWD Volumetric'!BA52+'IB'!BA52+'IB Volumetric'!BA52+'OB'!BA52+'OB Volumetric'!BA52+'OSC Bag Sorting'!BA52+'OSC Bag Sorting Volumetric'!BA52+'REV FSM'!BA52+'Rejection Primary with Scan'!BA52+'Rejection Secondary'!BA52+'Rev DC DC Primary Sorting'!BA52+'Rev Primary (FSM Rejections)'!BA52+'Rev Secondary Sorting'!BA52+'VIA Bag Sorting'!BA52</f>
        <v/>
      </c>
      <c r="BB52" s="7">
        <f>SUM(AD52:BA52)</f>
        <v/>
      </c>
    </row>
    <row r="53">
      <c r="A53" t="inlineStr">
        <is>
          <t>AMD-FWDREG-SSC</t>
        </is>
      </c>
      <c r="B53" t="inlineStr">
        <is>
          <t>Forward Regular OSC</t>
        </is>
      </c>
      <c r="C53" s="5" t="n">
        <v>46100</v>
      </c>
      <c r="D53" s="6" t="n">
        <v>7507</v>
      </c>
      <c r="E53" s="6" t="n">
        <v>2052</v>
      </c>
      <c r="F53" s="6" t="n">
        <v>5665</v>
      </c>
      <c r="G53" s="6" t="n">
        <v>7179</v>
      </c>
      <c r="H53" s="6" t="n">
        <v>3570</v>
      </c>
      <c r="I53" s="6" t="n">
        <v>5713</v>
      </c>
      <c r="J53" s="6" t="n">
        <v>1952</v>
      </c>
      <c r="K53" s="6" t="n">
        <v>142</v>
      </c>
      <c r="L53" s="6" t="n">
        <v>2454</v>
      </c>
      <c r="M53" s="6" t="n">
        <v>5508</v>
      </c>
      <c r="N53" s="6" t="n">
        <v>5851</v>
      </c>
      <c r="O53" s="6" t="n">
        <v>6147</v>
      </c>
      <c r="P53" s="6" t="n">
        <v>5737</v>
      </c>
      <c r="Q53" s="6" t="n">
        <v>2543</v>
      </c>
      <c r="R53" s="6" t="n">
        <v>3858</v>
      </c>
      <c r="S53" s="6" t="n">
        <v>1417</v>
      </c>
      <c r="T53" s="6" t="n">
        <v>932</v>
      </c>
      <c r="U53" s="6" t="n">
        <v>1299</v>
      </c>
      <c r="V53" s="6" t="n">
        <v>1423</v>
      </c>
      <c r="W53" s="6" t="n">
        <v>1619</v>
      </c>
      <c r="X53" s="6" t="n">
        <v>1676</v>
      </c>
      <c r="Y53" s="6" t="n">
        <v>1222</v>
      </c>
      <c r="Z53" s="6" t="n">
        <v>2</v>
      </c>
      <c r="AA53" s="6" t="n">
        <v>0</v>
      </c>
      <c r="AB53" s="6">
        <f>SUM(D53:AA53)</f>
        <v/>
      </c>
      <c r="AC53" s="3" t="inlineStr"/>
      <c r="AD53" s="7">
        <f>'BBB'!AD53+'Bag Staging'!AD53+'Bag Staging Volumetric'!AD53+'FWD FSM'!AD53+'FWD Manual Pre Primary'!AD53+'FWD Manual Primary'!AD53+'FWD Primary with Scan'!AD53+'FWD Secondary'!AD53+'FWD Volumetric'!AD53+'IB'!AD53+'IB Volumetric'!AD53+'OB'!AD53+'OB Volumetric'!AD53+'OSC Bag Sorting'!AD53+'OSC Bag Sorting Volumetric'!AD53+'REV FSM'!AD53+'Rejection Primary with Scan'!AD53+'Rejection Secondary'!AD53+'Rev DC DC Primary Sorting'!AD53+'Rev Primary (FSM Rejections)'!AD53+'Rev Secondary Sorting'!AD53+'VIA Bag Sorting'!AD53</f>
        <v/>
      </c>
      <c r="AE53" s="7">
        <f>'BBB'!AE53+'Bag Staging'!AE53+'Bag Staging Volumetric'!AE53+'FWD FSM'!AE53+'FWD Manual Pre Primary'!AE53+'FWD Manual Primary'!AE53+'FWD Primary with Scan'!AE53+'FWD Secondary'!AE53+'FWD Volumetric'!AE53+'IB'!AE53+'IB Volumetric'!AE53+'OB'!AE53+'OB Volumetric'!AE53+'OSC Bag Sorting'!AE53+'OSC Bag Sorting Volumetric'!AE53+'REV FSM'!AE53+'Rejection Primary with Scan'!AE53+'Rejection Secondary'!AE53+'Rev DC DC Primary Sorting'!AE53+'Rev Primary (FSM Rejections)'!AE53+'Rev Secondary Sorting'!AE53+'VIA Bag Sorting'!AE53</f>
        <v/>
      </c>
      <c r="AF53" s="7">
        <f>'BBB'!AF53+'Bag Staging'!AF53+'Bag Staging Volumetric'!AF53+'FWD FSM'!AF53+'FWD Manual Pre Primary'!AF53+'FWD Manual Primary'!AF53+'FWD Primary with Scan'!AF53+'FWD Secondary'!AF53+'FWD Volumetric'!AF53+'IB'!AF53+'IB Volumetric'!AF53+'OB'!AF53+'OB Volumetric'!AF53+'OSC Bag Sorting'!AF53+'OSC Bag Sorting Volumetric'!AF53+'REV FSM'!AF53+'Rejection Primary with Scan'!AF53+'Rejection Secondary'!AF53+'Rev DC DC Primary Sorting'!AF53+'Rev Primary (FSM Rejections)'!AF53+'Rev Secondary Sorting'!AF53+'VIA Bag Sorting'!AF53</f>
        <v/>
      </c>
      <c r="AG53" s="7">
        <f>'BBB'!AG53+'Bag Staging'!AG53+'Bag Staging Volumetric'!AG53+'FWD FSM'!AG53+'FWD Manual Pre Primary'!AG53+'FWD Manual Primary'!AG53+'FWD Primary with Scan'!AG53+'FWD Secondary'!AG53+'FWD Volumetric'!AG53+'IB'!AG53+'IB Volumetric'!AG53+'OB'!AG53+'OB Volumetric'!AG53+'OSC Bag Sorting'!AG53+'OSC Bag Sorting Volumetric'!AG53+'REV FSM'!AG53+'Rejection Primary with Scan'!AG53+'Rejection Secondary'!AG53+'Rev DC DC Primary Sorting'!AG53+'Rev Primary (FSM Rejections)'!AG53+'Rev Secondary Sorting'!AG53+'VIA Bag Sorting'!AG53</f>
        <v/>
      </c>
      <c r="AH53" s="7">
        <f>'BBB'!AH53+'Bag Staging'!AH53+'Bag Staging Volumetric'!AH53+'FWD FSM'!AH53+'FWD Manual Pre Primary'!AH53+'FWD Manual Primary'!AH53+'FWD Primary with Scan'!AH53+'FWD Secondary'!AH53+'FWD Volumetric'!AH53+'IB'!AH53+'IB Volumetric'!AH53+'OB'!AH53+'OB Volumetric'!AH53+'OSC Bag Sorting'!AH53+'OSC Bag Sorting Volumetric'!AH53+'REV FSM'!AH53+'Rejection Primary with Scan'!AH53+'Rejection Secondary'!AH53+'Rev DC DC Primary Sorting'!AH53+'Rev Primary (FSM Rejections)'!AH53+'Rev Secondary Sorting'!AH53+'VIA Bag Sorting'!AH53</f>
        <v/>
      </c>
      <c r="AI53" s="7">
        <f>'BBB'!AI53+'Bag Staging'!AI53+'Bag Staging Volumetric'!AI53+'FWD FSM'!AI53+'FWD Manual Pre Primary'!AI53+'FWD Manual Primary'!AI53+'FWD Primary with Scan'!AI53+'FWD Secondary'!AI53+'FWD Volumetric'!AI53+'IB'!AI53+'IB Volumetric'!AI53+'OB'!AI53+'OB Volumetric'!AI53+'OSC Bag Sorting'!AI53+'OSC Bag Sorting Volumetric'!AI53+'REV FSM'!AI53+'Rejection Primary with Scan'!AI53+'Rejection Secondary'!AI53+'Rev DC DC Primary Sorting'!AI53+'Rev Primary (FSM Rejections)'!AI53+'Rev Secondary Sorting'!AI53+'VIA Bag Sorting'!AI53</f>
        <v/>
      </c>
      <c r="AJ53" s="7">
        <f>'BBB'!AJ53+'Bag Staging'!AJ53+'Bag Staging Volumetric'!AJ53+'FWD FSM'!AJ53+'FWD Manual Pre Primary'!AJ53+'FWD Manual Primary'!AJ53+'FWD Primary with Scan'!AJ53+'FWD Secondary'!AJ53+'FWD Volumetric'!AJ53+'IB'!AJ53+'IB Volumetric'!AJ53+'OB'!AJ53+'OB Volumetric'!AJ53+'OSC Bag Sorting'!AJ53+'OSC Bag Sorting Volumetric'!AJ53+'REV FSM'!AJ53+'Rejection Primary with Scan'!AJ53+'Rejection Secondary'!AJ53+'Rev DC DC Primary Sorting'!AJ53+'Rev Primary (FSM Rejections)'!AJ53+'Rev Secondary Sorting'!AJ53+'VIA Bag Sorting'!AJ53</f>
        <v/>
      </c>
      <c r="AK53" s="7">
        <f>'BBB'!AK53+'Bag Staging'!AK53+'Bag Staging Volumetric'!AK53+'FWD FSM'!AK53+'FWD Manual Pre Primary'!AK53+'FWD Manual Primary'!AK53+'FWD Primary with Scan'!AK53+'FWD Secondary'!AK53+'FWD Volumetric'!AK53+'IB'!AK53+'IB Volumetric'!AK53+'OB'!AK53+'OB Volumetric'!AK53+'OSC Bag Sorting'!AK53+'OSC Bag Sorting Volumetric'!AK53+'REV FSM'!AK53+'Rejection Primary with Scan'!AK53+'Rejection Secondary'!AK53+'Rev DC DC Primary Sorting'!AK53+'Rev Primary (FSM Rejections)'!AK53+'Rev Secondary Sorting'!AK53+'VIA Bag Sorting'!AK53</f>
        <v/>
      </c>
      <c r="AL53" s="7">
        <f>'BBB'!AL53+'Bag Staging'!AL53+'Bag Staging Volumetric'!AL53+'FWD FSM'!AL53+'FWD Manual Pre Primary'!AL53+'FWD Manual Primary'!AL53+'FWD Primary with Scan'!AL53+'FWD Secondary'!AL53+'FWD Volumetric'!AL53+'IB'!AL53+'IB Volumetric'!AL53+'OB'!AL53+'OB Volumetric'!AL53+'OSC Bag Sorting'!AL53+'OSC Bag Sorting Volumetric'!AL53+'REV FSM'!AL53+'Rejection Primary with Scan'!AL53+'Rejection Secondary'!AL53+'Rev DC DC Primary Sorting'!AL53+'Rev Primary (FSM Rejections)'!AL53+'Rev Secondary Sorting'!AL53+'VIA Bag Sorting'!AL53</f>
        <v/>
      </c>
      <c r="AM53" s="7">
        <f>'BBB'!AM53+'Bag Staging'!AM53+'Bag Staging Volumetric'!AM53+'FWD FSM'!AM53+'FWD Manual Pre Primary'!AM53+'FWD Manual Primary'!AM53+'FWD Primary with Scan'!AM53+'FWD Secondary'!AM53+'FWD Volumetric'!AM53+'IB'!AM53+'IB Volumetric'!AM53+'OB'!AM53+'OB Volumetric'!AM53+'OSC Bag Sorting'!AM53+'OSC Bag Sorting Volumetric'!AM53+'REV FSM'!AM53+'Rejection Primary with Scan'!AM53+'Rejection Secondary'!AM53+'Rev DC DC Primary Sorting'!AM53+'Rev Primary (FSM Rejections)'!AM53+'Rev Secondary Sorting'!AM53+'VIA Bag Sorting'!AM53</f>
        <v/>
      </c>
      <c r="AN53" s="7">
        <f>'BBB'!AN53+'Bag Staging'!AN53+'Bag Staging Volumetric'!AN53+'FWD FSM'!AN53+'FWD Manual Pre Primary'!AN53+'FWD Manual Primary'!AN53+'FWD Primary with Scan'!AN53+'FWD Secondary'!AN53+'FWD Volumetric'!AN53+'IB'!AN53+'IB Volumetric'!AN53+'OB'!AN53+'OB Volumetric'!AN53+'OSC Bag Sorting'!AN53+'OSC Bag Sorting Volumetric'!AN53+'REV FSM'!AN53+'Rejection Primary with Scan'!AN53+'Rejection Secondary'!AN53+'Rev DC DC Primary Sorting'!AN53+'Rev Primary (FSM Rejections)'!AN53+'Rev Secondary Sorting'!AN53+'VIA Bag Sorting'!AN53</f>
        <v/>
      </c>
      <c r="AO53" s="7">
        <f>'BBB'!AO53+'Bag Staging'!AO53+'Bag Staging Volumetric'!AO53+'FWD FSM'!AO53+'FWD Manual Pre Primary'!AO53+'FWD Manual Primary'!AO53+'FWD Primary with Scan'!AO53+'FWD Secondary'!AO53+'FWD Volumetric'!AO53+'IB'!AO53+'IB Volumetric'!AO53+'OB'!AO53+'OB Volumetric'!AO53+'OSC Bag Sorting'!AO53+'OSC Bag Sorting Volumetric'!AO53+'REV FSM'!AO53+'Rejection Primary with Scan'!AO53+'Rejection Secondary'!AO53+'Rev DC DC Primary Sorting'!AO53+'Rev Primary (FSM Rejections)'!AO53+'Rev Secondary Sorting'!AO53+'VIA Bag Sorting'!AO53</f>
        <v/>
      </c>
      <c r="AP53" s="7">
        <f>'BBB'!AP53+'Bag Staging'!AP53+'Bag Staging Volumetric'!AP53+'FWD FSM'!AP53+'FWD Manual Pre Primary'!AP53+'FWD Manual Primary'!AP53+'FWD Primary with Scan'!AP53+'FWD Secondary'!AP53+'FWD Volumetric'!AP53+'IB'!AP53+'IB Volumetric'!AP53+'OB'!AP53+'OB Volumetric'!AP53+'OSC Bag Sorting'!AP53+'OSC Bag Sorting Volumetric'!AP53+'REV FSM'!AP53+'Rejection Primary with Scan'!AP53+'Rejection Secondary'!AP53+'Rev DC DC Primary Sorting'!AP53+'Rev Primary (FSM Rejections)'!AP53+'Rev Secondary Sorting'!AP53+'VIA Bag Sorting'!AP53</f>
        <v/>
      </c>
      <c r="AQ53" s="7">
        <f>'BBB'!AQ53+'Bag Staging'!AQ53+'Bag Staging Volumetric'!AQ53+'FWD FSM'!AQ53+'FWD Manual Pre Primary'!AQ53+'FWD Manual Primary'!AQ53+'FWD Primary with Scan'!AQ53+'FWD Secondary'!AQ53+'FWD Volumetric'!AQ53+'IB'!AQ53+'IB Volumetric'!AQ53+'OB'!AQ53+'OB Volumetric'!AQ53+'OSC Bag Sorting'!AQ53+'OSC Bag Sorting Volumetric'!AQ53+'REV FSM'!AQ53+'Rejection Primary with Scan'!AQ53+'Rejection Secondary'!AQ53+'Rev DC DC Primary Sorting'!AQ53+'Rev Primary (FSM Rejections)'!AQ53+'Rev Secondary Sorting'!AQ53+'VIA Bag Sorting'!AQ53</f>
        <v/>
      </c>
      <c r="AR53" s="7">
        <f>'BBB'!AR53+'Bag Staging'!AR53+'Bag Staging Volumetric'!AR53+'FWD FSM'!AR53+'FWD Manual Pre Primary'!AR53+'FWD Manual Primary'!AR53+'FWD Primary with Scan'!AR53+'FWD Secondary'!AR53+'FWD Volumetric'!AR53+'IB'!AR53+'IB Volumetric'!AR53+'OB'!AR53+'OB Volumetric'!AR53+'OSC Bag Sorting'!AR53+'OSC Bag Sorting Volumetric'!AR53+'REV FSM'!AR53+'Rejection Primary with Scan'!AR53+'Rejection Secondary'!AR53+'Rev DC DC Primary Sorting'!AR53+'Rev Primary (FSM Rejections)'!AR53+'Rev Secondary Sorting'!AR53+'VIA Bag Sorting'!AR53</f>
        <v/>
      </c>
      <c r="AS53" s="7">
        <f>'BBB'!AS53+'Bag Staging'!AS53+'Bag Staging Volumetric'!AS53+'FWD FSM'!AS53+'FWD Manual Pre Primary'!AS53+'FWD Manual Primary'!AS53+'FWD Primary with Scan'!AS53+'FWD Secondary'!AS53+'FWD Volumetric'!AS53+'IB'!AS53+'IB Volumetric'!AS53+'OB'!AS53+'OB Volumetric'!AS53+'OSC Bag Sorting'!AS53+'OSC Bag Sorting Volumetric'!AS53+'REV FSM'!AS53+'Rejection Primary with Scan'!AS53+'Rejection Secondary'!AS53+'Rev DC DC Primary Sorting'!AS53+'Rev Primary (FSM Rejections)'!AS53+'Rev Secondary Sorting'!AS53+'VIA Bag Sorting'!AS53</f>
        <v/>
      </c>
      <c r="AT53" s="7">
        <f>'BBB'!AT53+'Bag Staging'!AT53+'Bag Staging Volumetric'!AT53+'FWD FSM'!AT53+'FWD Manual Pre Primary'!AT53+'FWD Manual Primary'!AT53+'FWD Primary with Scan'!AT53+'FWD Secondary'!AT53+'FWD Volumetric'!AT53+'IB'!AT53+'IB Volumetric'!AT53+'OB'!AT53+'OB Volumetric'!AT53+'OSC Bag Sorting'!AT53+'OSC Bag Sorting Volumetric'!AT53+'REV FSM'!AT53+'Rejection Primary with Scan'!AT53+'Rejection Secondary'!AT53+'Rev DC DC Primary Sorting'!AT53+'Rev Primary (FSM Rejections)'!AT53+'Rev Secondary Sorting'!AT53+'VIA Bag Sorting'!AT53</f>
        <v/>
      </c>
      <c r="AU53" s="7">
        <f>'BBB'!AU53+'Bag Staging'!AU53+'Bag Staging Volumetric'!AU53+'FWD FSM'!AU53+'FWD Manual Pre Primary'!AU53+'FWD Manual Primary'!AU53+'FWD Primary with Scan'!AU53+'FWD Secondary'!AU53+'FWD Volumetric'!AU53+'IB'!AU53+'IB Volumetric'!AU53+'OB'!AU53+'OB Volumetric'!AU53+'OSC Bag Sorting'!AU53+'OSC Bag Sorting Volumetric'!AU53+'REV FSM'!AU53+'Rejection Primary with Scan'!AU53+'Rejection Secondary'!AU53+'Rev DC DC Primary Sorting'!AU53+'Rev Primary (FSM Rejections)'!AU53+'Rev Secondary Sorting'!AU53+'VIA Bag Sorting'!AU53</f>
        <v/>
      </c>
      <c r="AV53" s="7">
        <f>'BBB'!AV53+'Bag Staging'!AV53+'Bag Staging Volumetric'!AV53+'FWD FSM'!AV53+'FWD Manual Pre Primary'!AV53+'FWD Manual Primary'!AV53+'FWD Primary with Scan'!AV53+'FWD Secondary'!AV53+'FWD Volumetric'!AV53+'IB'!AV53+'IB Volumetric'!AV53+'OB'!AV53+'OB Volumetric'!AV53+'OSC Bag Sorting'!AV53+'OSC Bag Sorting Volumetric'!AV53+'REV FSM'!AV53+'Rejection Primary with Scan'!AV53+'Rejection Secondary'!AV53+'Rev DC DC Primary Sorting'!AV53+'Rev Primary (FSM Rejections)'!AV53+'Rev Secondary Sorting'!AV53+'VIA Bag Sorting'!AV53</f>
        <v/>
      </c>
      <c r="AW53" s="7">
        <f>'BBB'!AW53+'Bag Staging'!AW53+'Bag Staging Volumetric'!AW53+'FWD FSM'!AW53+'FWD Manual Pre Primary'!AW53+'FWD Manual Primary'!AW53+'FWD Primary with Scan'!AW53+'FWD Secondary'!AW53+'FWD Volumetric'!AW53+'IB'!AW53+'IB Volumetric'!AW53+'OB'!AW53+'OB Volumetric'!AW53+'OSC Bag Sorting'!AW53+'OSC Bag Sorting Volumetric'!AW53+'REV FSM'!AW53+'Rejection Primary with Scan'!AW53+'Rejection Secondary'!AW53+'Rev DC DC Primary Sorting'!AW53+'Rev Primary (FSM Rejections)'!AW53+'Rev Secondary Sorting'!AW53+'VIA Bag Sorting'!AW53</f>
        <v/>
      </c>
      <c r="AX53" s="7">
        <f>'BBB'!AX53+'Bag Staging'!AX53+'Bag Staging Volumetric'!AX53+'FWD FSM'!AX53+'FWD Manual Pre Primary'!AX53+'FWD Manual Primary'!AX53+'FWD Primary with Scan'!AX53+'FWD Secondary'!AX53+'FWD Volumetric'!AX53+'IB'!AX53+'IB Volumetric'!AX53+'OB'!AX53+'OB Volumetric'!AX53+'OSC Bag Sorting'!AX53+'OSC Bag Sorting Volumetric'!AX53+'REV FSM'!AX53+'Rejection Primary with Scan'!AX53+'Rejection Secondary'!AX53+'Rev DC DC Primary Sorting'!AX53+'Rev Primary (FSM Rejections)'!AX53+'Rev Secondary Sorting'!AX53+'VIA Bag Sorting'!AX53</f>
        <v/>
      </c>
      <c r="AY53" s="7">
        <f>'BBB'!AY53+'Bag Staging'!AY53+'Bag Staging Volumetric'!AY53+'FWD FSM'!AY53+'FWD Manual Pre Primary'!AY53+'FWD Manual Primary'!AY53+'FWD Primary with Scan'!AY53+'FWD Secondary'!AY53+'FWD Volumetric'!AY53+'IB'!AY53+'IB Volumetric'!AY53+'OB'!AY53+'OB Volumetric'!AY53+'OSC Bag Sorting'!AY53+'OSC Bag Sorting Volumetric'!AY53+'REV FSM'!AY53+'Rejection Primary with Scan'!AY53+'Rejection Secondary'!AY53+'Rev DC DC Primary Sorting'!AY53+'Rev Primary (FSM Rejections)'!AY53+'Rev Secondary Sorting'!AY53+'VIA Bag Sorting'!AY53</f>
        <v/>
      </c>
      <c r="AZ53" s="7">
        <f>'BBB'!AZ53+'Bag Staging'!AZ53+'Bag Staging Volumetric'!AZ53+'FWD FSM'!AZ53+'FWD Manual Pre Primary'!AZ53+'FWD Manual Primary'!AZ53+'FWD Primary with Scan'!AZ53+'FWD Secondary'!AZ53+'FWD Volumetric'!AZ53+'IB'!AZ53+'IB Volumetric'!AZ53+'OB'!AZ53+'OB Volumetric'!AZ53+'OSC Bag Sorting'!AZ53+'OSC Bag Sorting Volumetric'!AZ53+'REV FSM'!AZ53+'Rejection Primary with Scan'!AZ53+'Rejection Secondary'!AZ53+'Rev DC DC Primary Sorting'!AZ53+'Rev Primary (FSM Rejections)'!AZ53+'Rev Secondary Sorting'!AZ53+'VIA Bag Sorting'!AZ53</f>
        <v/>
      </c>
      <c r="BA53" s="7">
        <f>'BBB'!BA53+'Bag Staging'!BA53+'Bag Staging Volumetric'!BA53+'FWD FSM'!BA53+'FWD Manual Pre Primary'!BA53+'FWD Manual Primary'!BA53+'FWD Primary with Scan'!BA53+'FWD Secondary'!BA53+'FWD Volumetric'!BA53+'IB'!BA53+'IB Volumetric'!BA53+'OB'!BA53+'OB Volumetric'!BA53+'OSC Bag Sorting'!BA53+'OSC Bag Sorting Volumetric'!BA53+'REV FSM'!BA53+'Rejection Primary with Scan'!BA53+'Rejection Secondary'!BA53+'Rev DC DC Primary Sorting'!BA53+'Rev Primary (FSM Rejections)'!BA53+'Rev Secondary Sorting'!BA53+'VIA Bag Sorting'!BA53</f>
        <v/>
      </c>
      <c r="BB53" s="7">
        <f>SUM(AD53:BA53)</f>
        <v/>
      </c>
    </row>
    <row r="54">
      <c r="A54" t="inlineStr">
        <is>
          <t>AMD-FWDREG-SSC</t>
        </is>
      </c>
      <c r="B54" t="inlineStr">
        <is>
          <t>Forward Regular OSC</t>
        </is>
      </c>
      <c r="C54" s="5" t="n">
        <v>46101</v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644</v>
      </c>
      <c r="M54" s="6" t="n">
        <v>5286</v>
      </c>
      <c r="N54" s="6" t="n">
        <v>6147</v>
      </c>
      <c r="O54" s="6" t="n">
        <v>5606</v>
      </c>
      <c r="P54" s="6" t="n">
        <v>2239</v>
      </c>
      <c r="Q54" s="6" t="n">
        <v>5819</v>
      </c>
      <c r="R54" s="6" t="n">
        <v>7286</v>
      </c>
      <c r="S54" s="6" t="n">
        <v>8409</v>
      </c>
      <c r="T54" s="6" t="n">
        <v>7910</v>
      </c>
      <c r="U54" s="6" t="n">
        <v>360</v>
      </c>
      <c r="V54" s="6" t="n">
        <v>5655</v>
      </c>
      <c r="W54" s="6" t="n">
        <v>5250</v>
      </c>
      <c r="X54" s="6" t="n">
        <v>4992</v>
      </c>
      <c r="Y54" s="6" t="n">
        <v>1538</v>
      </c>
      <c r="Z54" s="6" t="n">
        <v>20</v>
      </c>
      <c r="AA54" s="6" t="n">
        <v>2169</v>
      </c>
      <c r="AB54" s="6">
        <f>SUM(D54:AA54)</f>
        <v/>
      </c>
      <c r="AC54" s="3" t="inlineStr"/>
      <c r="AD54" s="7">
        <f>'BBB'!AD54+'Bag Staging'!AD54+'Bag Staging Volumetric'!AD54+'FWD FSM'!AD54+'FWD Manual Pre Primary'!AD54+'FWD Manual Primary'!AD54+'FWD Primary with Scan'!AD54+'FWD Secondary'!AD54+'FWD Volumetric'!AD54+'IB'!AD54+'IB Volumetric'!AD54+'OB'!AD54+'OB Volumetric'!AD54+'OSC Bag Sorting'!AD54+'OSC Bag Sorting Volumetric'!AD54+'REV FSM'!AD54+'Rejection Primary with Scan'!AD54+'Rejection Secondary'!AD54+'Rev DC DC Primary Sorting'!AD54+'Rev Primary (FSM Rejections)'!AD54+'Rev Secondary Sorting'!AD54+'VIA Bag Sorting'!AD54</f>
        <v/>
      </c>
      <c r="AE54" s="7">
        <f>'BBB'!AE54+'Bag Staging'!AE54+'Bag Staging Volumetric'!AE54+'FWD FSM'!AE54+'FWD Manual Pre Primary'!AE54+'FWD Manual Primary'!AE54+'FWD Primary with Scan'!AE54+'FWD Secondary'!AE54+'FWD Volumetric'!AE54+'IB'!AE54+'IB Volumetric'!AE54+'OB'!AE54+'OB Volumetric'!AE54+'OSC Bag Sorting'!AE54+'OSC Bag Sorting Volumetric'!AE54+'REV FSM'!AE54+'Rejection Primary with Scan'!AE54+'Rejection Secondary'!AE54+'Rev DC DC Primary Sorting'!AE54+'Rev Primary (FSM Rejections)'!AE54+'Rev Secondary Sorting'!AE54+'VIA Bag Sorting'!AE54</f>
        <v/>
      </c>
      <c r="AF54" s="7">
        <f>'BBB'!AF54+'Bag Staging'!AF54+'Bag Staging Volumetric'!AF54+'FWD FSM'!AF54+'FWD Manual Pre Primary'!AF54+'FWD Manual Primary'!AF54+'FWD Primary with Scan'!AF54+'FWD Secondary'!AF54+'FWD Volumetric'!AF54+'IB'!AF54+'IB Volumetric'!AF54+'OB'!AF54+'OB Volumetric'!AF54+'OSC Bag Sorting'!AF54+'OSC Bag Sorting Volumetric'!AF54+'REV FSM'!AF54+'Rejection Primary with Scan'!AF54+'Rejection Secondary'!AF54+'Rev DC DC Primary Sorting'!AF54+'Rev Primary (FSM Rejections)'!AF54+'Rev Secondary Sorting'!AF54+'VIA Bag Sorting'!AF54</f>
        <v/>
      </c>
      <c r="AG54" s="7">
        <f>'BBB'!AG54+'Bag Staging'!AG54+'Bag Staging Volumetric'!AG54+'FWD FSM'!AG54+'FWD Manual Pre Primary'!AG54+'FWD Manual Primary'!AG54+'FWD Primary with Scan'!AG54+'FWD Secondary'!AG54+'FWD Volumetric'!AG54+'IB'!AG54+'IB Volumetric'!AG54+'OB'!AG54+'OB Volumetric'!AG54+'OSC Bag Sorting'!AG54+'OSC Bag Sorting Volumetric'!AG54+'REV FSM'!AG54+'Rejection Primary with Scan'!AG54+'Rejection Secondary'!AG54+'Rev DC DC Primary Sorting'!AG54+'Rev Primary (FSM Rejections)'!AG54+'Rev Secondary Sorting'!AG54+'VIA Bag Sorting'!AG54</f>
        <v/>
      </c>
      <c r="AH54" s="7">
        <f>'BBB'!AH54+'Bag Staging'!AH54+'Bag Staging Volumetric'!AH54+'FWD FSM'!AH54+'FWD Manual Pre Primary'!AH54+'FWD Manual Primary'!AH54+'FWD Primary with Scan'!AH54+'FWD Secondary'!AH54+'FWD Volumetric'!AH54+'IB'!AH54+'IB Volumetric'!AH54+'OB'!AH54+'OB Volumetric'!AH54+'OSC Bag Sorting'!AH54+'OSC Bag Sorting Volumetric'!AH54+'REV FSM'!AH54+'Rejection Primary with Scan'!AH54+'Rejection Secondary'!AH54+'Rev DC DC Primary Sorting'!AH54+'Rev Primary (FSM Rejections)'!AH54+'Rev Secondary Sorting'!AH54+'VIA Bag Sorting'!AH54</f>
        <v/>
      </c>
      <c r="AI54" s="7">
        <f>'BBB'!AI54+'Bag Staging'!AI54+'Bag Staging Volumetric'!AI54+'FWD FSM'!AI54+'FWD Manual Pre Primary'!AI54+'FWD Manual Primary'!AI54+'FWD Primary with Scan'!AI54+'FWD Secondary'!AI54+'FWD Volumetric'!AI54+'IB'!AI54+'IB Volumetric'!AI54+'OB'!AI54+'OB Volumetric'!AI54+'OSC Bag Sorting'!AI54+'OSC Bag Sorting Volumetric'!AI54+'REV FSM'!AI54+'Rejection Primary with Scan'!AI54+'Rejection Secondary'!AI54+'Rev DC DC Primary Sorting'!AI54+'Rev Primary (FSM Rejections)'!AI54+'Rev Secondary Sorting'!AI54+'VIA Bag Sorting'!AI54</f>
        <v/>
      </c>
      <c r="AJ54" s="7">
        <f>'BBB'!AJ54+'Bag Staging'!AJ54+'Bag Staging Volumetric'!AJ54+'FWD FSM'!AJ54+'FWD Manual Pre Primary'!AJ54+'FWD Manual Primary'!AJ54+'FWD Primary with Scan'!AJ54+'FWD Secondary'!AJ54+'FWD Volumetric'!AJ54+'IB'!AJ54+'IB Volumetric'!AJ54+'OB'!AJ54+'OB Volumetric'!AJ54+'OSC Bag Sorting'!AJ54+'OSC Bag Sorting Volumetric'!AJ54+'REV FSM'!AJ54+'Rejection Primary with Scan'!AJ54+'Rejection Secondary'!AJ54+'Rev DC DC Primary Sorting'!AJ54+'Rev Primary (FSM Rejections)'!AJ54+'Rev Secondary Sorting'!AJ54+'VIA Bag Sorting'!AJ54</f>
        <v/>
      </c>
      <c r="AK54" s="7">
        <f>'BBB'!AK54+'Bag Staging'!AK54+'Bag Staging Volumetric'!AK54+'FWD FSM'!AK54+'FWD Manual Pre Primary'!AK54+'FWD Manual Primary'!AK54+'FWD Primary with Scan'!AK54+'FWD Secondary'!AK54+'FWD Volumetric'!AK54+'IB'!AK54+'IB Volumetric'!AK54+'OB'!AK54+'OB Volumetric'!AK54+'OSC Bag Sorting'!AK54+'OSC Bag Sorting Volumetric'!AK54+'REV FSM'!AK54+'Rejection Primary with Scan'!AK54+'Rejection Secondary'!AK54+'Rev DC DC Primary Sorting'!AK54+'Rev Primary (FSM Rejections)'!AK54+'Rev Secondary Sorting'!AK54+'VIA Bag Sorting'!AK54</f>
        <v/>
      </c>
      <c r="AL54" s="7">
        <f>'BBB'!AL54+'Bag Staging'!AL54+'Bag Staging Volumetric'!AL54+'FWD FSM'!AL54+'FWD Manual Pre Primary'!AL54+'FWD Manual Primary'!AL54+'FWD Primary with Scan'!AL54+'FWD Secondary'!AL54+'FWD Volumetric'!AL54+'IB'!AL54+'IB Volumetric'!AL54+'OB'!AL54+'OB Volumetric'!AL54+'OSC Bag Sorting'!AL54+'OSC Bag Sorting Volumetric'!AL54+'REV FSM'!AL54+'Rejection Primary with Scan'!AL54+'Rejection Secondary'!AL54+'Rev DC DC Primary Sorting'!AL54+'Rev Primary (FSM Rejections)'!AL54+'Rev Secondary Sorting'!AL54+'VIA Bag Sorting'!AL54</f>
        <v/>
      </c>
      <c r="AM54" s="7">
        <f>'BBB'!AM54+'Bag Staging'!AM54+'Bag Staging Volumetric'!AM54+'FWD FSM'!AM54+'FWD Manual Pre Primary'!AM54+'FWD Manual Primary'!AM54+'FWD Primary with Scan'!AM54+'FWD Secondary'!AM54+'FWD Volumetric'!AM54+'IB'!AM54+'IB Volumetric'!AM54+'OB'!AM54+'OB Volumetric'!AM54+'OSC Bag Sorting'!AM54+'OSC Bag Sorting Volumetric'!AM54+'REV FSM'!AM54+'Rejection Primary with Scan'!AM54+'Rejection Secondary'!AM54+'Rev DC DC Primary Sorting'!AM54+'Rev Primary (FSM Rejections)'!AM54+'Rev Secondary Sorting'!AM54+'VIA Bag Sorting'!AM54</f>
        <v/>
      </c>
      <c r="AN54" s="7">
        <f>'BBB'!AN54+'Bag Staging'!AN54+'Bag Staging Volumetric'!AN54+'FWD FSM'!AN54+'FWD Manual Pre Primary'!AN54+'FWD Manual Primary'!AN54+'FWD Primary with Scan'!AN54+'FWD Secondary'!AN54+'FWD Volumetric'!AN54+'IB'!AN54+'IB Volumetric'!AN54+'OB'!AN54+'OB Volumetric'!AN54+'OSC Bag Sorting'!AN54+'OSC Bag Sorting Volumetric'!AN54+'REV FSM'!AN54+'Rejection Primary with Scan'!AN54+'Rejection Secondary'!AN54+'Rev DC DC Primary Sorting'!AN54+'Rev Primary (FSM Rejections)'!AN54+'Rev Secondary Sorting'!AN54+'VIA Bag Sorting'!AN54</f>
        <v/>
      </c>
      <c r="AO54" s="7">
        <f>'BBB'!AO54+'Bag Staging'!AO54+'Bag Staging Volumetric'!AO54+'FWD FSM'!AO54+'FWD Manual Pre Primary'!AO54+'FWD Manual Primary'!AO54+'FWD Primary with Scan'!AO54+'FWD Secondary'!AO54+'FWD Volumetric'!AO54+'IB'!AO54+'IB Volumetric'!AO54+'OB'!AO54+'OB Volumetric'!AO54+'OSC Bag Sorting'!AO54+'OSC Bag Sorting Volumetric'!AO54+'REV FSM'!AO54+'Rejection Primary with Scan'!AO54+'Rejection Secondary'!AO54+'Rev DC DC Primary Sorting'!AO54+'Rev Primary (FSM Rejections)'!AO54+'Rev Secondary Sorting'!AO54+'VIA Bag Sorting'!AO54</f>
        <v/>
      </c>
      <c r="AP54" s="7">
        <f>'BBB'!AP54+'Bag Staging'!AP54+'Bag Staging Volumetric'!AP54+'FWD FSM'!AP54+'FWD Manual Pre Primary'!AP54+'FWD Manual Primary'!AP54+'FWD Primary with Scan'!AP54+'FWD Secondary'!AP54+'FWD Volumetric'!AP54+'IB'!AP54+'IB Volumetric'!AP54+'OB'!AP54+'OB Volumetric'!AP54+'OSC Bag Sorting'!AP54+'OSC Bag Sorting Volumetric'!AP54+'REV FSM'!AP54+'Rejection Primary with Scan'!AP54+'Rejection Secondary'!AP54+'Rev DC DC Primary Sorting'!AP54+'Rev Primary (FSM Rejections)'!AP54+'Rev Secondary Sorting'!AP54+'VIA Bag Sorting'!AP54</f>
        <v/>
      </c>
      <c r="AQ54" s="7">
        <f>'BBB'!AQ54+'Bag Staging'!AQ54+'Bag Staging Volumetric'!AQ54+'FWD FSM'!AQ54+'FWD Manual Pre Primary'!AQ54+'FWD Manual Primary'!AQ54+'FWD Primary with Scan'!AQ54+'FWD Secondary'!AQ54+'FWD Volumetric'!AQ54+'IB'!AQ54+'IB Volumetric'!AQ54+'OB'!AQ54+'OB Volumetric'!AQ54+'OSC Bag Sorting'!AQ54+'OSC Bag Sorting Volumetric'!AQ54+'REV FSM'!AQ54+'Rejection Primary with Scan'!AQ54+'Rejection Secondary'!AQ54+'Rev DC DC Primary Sorting'!AQ54+'Rev Primary (FSM Rejections)'!AQ54+'Rev Secondary Sorting'!AQ54+'VIA Bag Sorting'!AQ54</f>
        <v/>
      </c>
      <c r="AR54" s="7">
        <f>'BBB'!AR54+'Bag Staging'!AR54+'Bag Staging Volumetric'!AR54+'FWD FSM'!AR54+'FWD Manual Pre Primary'!AR54+'FWD Manual Primary'!AR54+'FWD Primary with Scan'!AR54+'FWD Secondary'!AR54+'FWD Volumetric'!AR54+'IB'!AR54+'IB Volumetric'!AR54+'OB'!AR54+'OB Volumetric'!AR54+'OSC Bag Sorting'!AR54+'OSC Bag Sorting Volumetric'!AR54+'REV FSM'!AR54+'Rejection Primary with Scan'!AR54+'Rejection Secondary'!AR54+'Rev DC DC Primary Sorting'!AR54+'Rev Primary (FSM Rejections)'!AR54+'Rev Secondary Sorting'!AR54+'VIA Bag Sorting'!AR54</f>
        <v/>
      </c>
      <c r="AS54" s="7">
        <f>'BBB'!AS54+'Bag Staging'!AS54+'Bag Staging Volumetric'!AS54+'FWD FSM'!AS54+'FWD Manual Pre Primary'!AS54+'FWD Manual Primary'!AS54+'FWD Primary with Scan'!AS54+'FWD Secondary'!AS54+'FWD Volumetric'!AS54+'IB'!AS54+'IB Volumetric'!AS54+'OB'!AS54+'OB Volumetric'!AS54+'OSC Bag Sorting'!AS54+'OSC Bag Sorting Volumetric'!AS54+'REV FSM'!AS54+'Rejection Primary with Scan'!AS54+'Rejection Secondary'!AS54+'Rev DC DC Primary Sorting'!AS54+'Rev Primary (FSM Rejections)'!AS54+'Rev Secondary Sorting'!AS54+'VIA Bag Sorting'!AS54</f>
        <v/>
      </c>
      <c r="AT54" s="7">
        <f>'BBB'!AT54+'Bag Staging'!AT54+'Bag Staging Volumetric'!AT54+'FWD FSM'!AT54+'FWD Manual Pre Primary'!AT54+'FWD Manual Primary'!AT54+'FWD Primary with Scan'!AT54+'FWD Secondary'!AT54+'FWD Volumetric'!AT54+'IB'!AT54+'IB Volumetric'!AT54+'OB'!AT54+'OB Volumetric'!AT54+'OSC Bag Sorting'!AT54+'OSC Bag Sorting Volumetric'!AT54+'REV FSM'!AT54+'Rejection Primary with Scan'!AT54+'Rejection Secondary'!AT54+'Rev DC DC Primary Sorting'!AT54+'Rev Primary (FSM Rejections)'!AT54+'Rev Secondary Sorting'!AT54+'VIA Bag Sorting'!AT54</f>
        <v/>
      </c>
      <c r="AU54" s="7">
        <f>'BBB'!AU54+'Bag Staging'!AU54+'Bag Staging Volumetric'!AU54+'FWD FSM'!AU54+'FWD Manual Pre Primary'!AU54+'FWD Manual Primary'!AU54+'FWD Primary with Scan'!AU54+'FWD Secondary'!AU54+'FWD Volumetric'!AU54+'IB'!AU54+'IB Volumetric'!AU54+'OB'!AU54+'OB Volumetric'!AU54+'OSC Bag Sorting'!AU54+'OSC Bag Sorting Volumetric'!AU54+'REV FSM'!AU54+'Rejection Primary with Scan'!AU54+'Rejection Secondary'!AU54+'Rev DC DC Primary Sorting'!AU54+'Rev Primary (FSM Rejections)'!AU54+'Rev Secondary Sorting'!AU54+'VIA Bag Sorting'!AU54</f>
        <v/>
      </c>
      <c r="AV54" s="7">
        <f>'BBB'!AV54+'Bag Staging'!AV54+'Bag Staging Volumetric'!AV54+'FWD FSM'!AV54+'FWD Manual Pre Primary'!AV54+'FWD Manual Primary'!AV54+'FWD Primary with Scan'!AV54+'FWD Secondary'!AV54+'FWD Volumetric'!AV54+'IB'!AV54+'IB Volumetric'!AV54+'OB'!AV54+'OB Volumetric'!AV54+'OSC Bag Sorting'!AV54+'OSC Bag Sorting Volumetric'!AV54+'REV FSM'!AV54+'Rejection Primary with Scan'!AV54+'Rejection Secondary'!AV54+'Rev DC DC Primary Sorting'!AV54+'Rev Primary (FSM Rejections)'!AV54+'Rev Secondary Sorting'!AV54+'VIA Bag Sorting'!AV54</f>
        <v/>
      </c>
      <c r="AW54" s="7">
        <f>'BBB'!AW54+'Bag Staging'!AW54+'Bag Staging Volumetric'!AW54+'FWD FSM'!AW54+'FWD Manual Pre Primary'!AW54+'FWD Manual Primary'!AW54+'FWD Primary with Scan'!AW54+'FWD Secondary'!AW54+'FWD Volumetric'!AW54+'IB'!AW54+'IB Volumetric'!AW54+'OB'!AW54+'OB Volumetric'!AW54+'OSC Bag Sorting'!AW54+'OSC Bag Sorting Volumetric'!AW54+'REV FSM'!AW54+'Rejection Primary with Scan'!AW54+'Rejection Secondary'!AW54+'Rev DC DC Primary Sorting'!AW54+'Rev Primary (FSM Rejections)'!AW54+'Rev Secondary Sorting'!AW54+'VIA Bag Sorting'!AW54</f>
        <v/>
      </c>
      <c r="AX54" s="7">
        <f>'BBB'!AX54+'Bag Staging'!AX54+'Bag Staging Volumetric'!AX54+'FWD FSM'!AX54+'FWD Manual Pre Primary'!AX54+'FWD Manual Primary'!AX54+'FWD Primary with Scan'!AX54+'FWD Secondary'!AX54+'FWD Volumetric'!AX54+'IB'!AX54+'IB Volumetric'!AX54+'OB'!AX54+'OB Volumetric'!AX54+'OSC Bag Sorting'!AX54+'OSC Bag Sorting Volumetric'!AX54+'REV FSM'!AX54+'Rejection Primary with Scan'!AX54+'Rejection Secondary'!AX54+'Rev DC DC Primary Sorting'!AX54+'Rev Primary (FSM Rejections)'!AX54+'Rev Secondary Sorting'!AX54+'VIA Bag Sorting'!AX54</f>
        <v/>
      </c>
      <c r="AY54" s="7">
        <f>'BBB'!AY54+'Bag Staging'!AY54+'Bag Staging Volumetric'!AY54+'FWD FSM'!AY54+'FWD Manual Pre Primary'!AY54+'FWD Manual Primary'!AY54+'FWD Primary with Scan'!AY54+'FWD Secondary'!AY54+'FWD Volumetric'!AY54+'IB'!AY54+'IB Volumetric'!AY54+'OB'!AY54+'OB Volumetric'!AY54+'OSC Bag Sorting'!AY54+'OSC Bag Sorting Volumetric'!AY54+'REV FSM'!AY54+'Rejection Primary with Scan'!AY54+'Rejection Secondary'!AY54+'Rev DC DC Primary Sorting'!AY54+'Rev Primary (FSM Rejections)'!AY54+'Rev Secondary Sorting'!AY54+'VIA Bag Sorting'!AY54</f>
        <v/>
      </c>
      <c r="AZ54" s="7">
        <f>'BBB'!AZ54+'Bag Staging'!AZ54+'Bag Staging Volumetric'!AZ54+'FWD FSM'!AZ54+'FWD Manual Pre Primary'!AZ54+'FWD Manual Primary'!AZ54+'FWD Primary with Scan'!AZ54+'FWD Secondary'!AZ54+'FWD Volumetric'!AZ54+'IB'!AZ54+'IB Volumetric'!AZ54+'OB'!AZ54+'OB Volumetric'!AZ54+'OSC Bag Sorting'!AZ54+'OSC Bag Sorting Volumetric'!AZ54+'REV FSM'!AZ54+'Rejection Primary with Scan'!AZ54+'Rejection Secondary'!AZ54+'Rev DC DC Primary Sorting'!AZ54+'Rev Primary (FSM Rejections)'!AZ54+'Rev Secondary Sorting'!AZ54+'VIA Bag Sorting'!AZ54</f>
        <v/>
      </c>
      <c r="BA54" s="7">
        <f>'BBB'!BA54+'Bag Staging'!BA54+'Bag Staging Volumetric'!BA54+'FWD FSM'!BA54+'FWD Manual Pre Primary'!BA54+'FWD Manual Primary'!BA54+'FWD Primary with Scan'!BA54+'FWD Secondary'!BA54+'FWD Volumetric'!BA54+'IB'!BA54+'IB Volumetric'!BA54+'OB'!BA54+'OB Volumetric'!BA54+'OSC Bag Sorting'!BA54+'OSC Bag Sorting Volumetric'!BA54+'REV FSM'!BA54+'Rejection Primary with Scan'!BA54+'Rejection Secondary'!BA54+'Rev DC DC Primary Sorting'!BA54+'Rev Primary (FSM Rejections)'!BA54+'Rev Secondary Sorting'!BA54+'VIA Bag Sorting'!BA54</f>
        <v/>
      </c>
      <c r="BB54" s="7">
        <f>SUM(AD54:BA54)</f>
        <v/>
      </c>
    </row>
    <row r="55">
      <c r="A55" t="inlineStr">
        <is>
          <t>AMD-FWDREG-SSC</t>
        </is>
      </c>
      <c r="B55" t="inlineStr">
        <is>
          <t>Forward Regular OSC</t>
        </is>
      </c>
      <c r="C55" s="5" t="n">
        <v>46102</v>
      </c>
      <c r="D55" s="6" t="n">
        <v>4727</v>
      </c>
      <c r="E55" s="6" t="n">
        <v>1837</v>
      </c>
      <c r="F55" s="6" t="n">
        <v>4575</v>
      </c>
      <c r="G55" s="6" t="n">
        <v>4709</v>
      </c>
      <c r="H55" s="6" t="n">
        <v>2681</v>
      </c>
      <c r="I55" s="6" t="n">
        <v>2244</v>
      </c>
      <c r="J55" s="6" t="n">
        <v>2405</v>
      </c>
      <c r="K55" s="6" t="n">
        <v>65</v>
      </c>
      <c r="L55" s="6" t="n">
        <v>0</v>
      </c>
      <c r="M55" s="6" t="n">
        <v>5571</v>
      </c>
      <c r="N55" s="6" t="n">
        <v>5530</v>
      </c>
      <c r="O55" s="6" t="n">
        <v>4854</v>
      </c>
      <c r="P55" s="6" t="n">
        <v>3330</v>
      </c>
      <c r="Q55" s="6" t="n">
        <v>2955</v>
      </c>
      <c r="R55" s="6" t="n">
        <v>1283</v>
      </c>
      <c r="S55" s="6" t="n">
        <v>1221</v>
      </c>
      <c r="T55" s="6" t="n">
        <v>1400</v>
      </c>
      <c r="U55" s="6" t="n">
        <v>104</v>
      </c>
      <c r="V55" s="6" t="n">
        <v>2</v>
      </c>
      <c r="W55" s="6" t="n">
        <v>141</v>
      </c>
      <c r="X55" s="6" t="n">
        <v>0</v>
      </c>
      <c r="Y55" s="6" t="n">
        <v>0</v>
      </c>
      <c r="Z55" s="6" t="n">
        <v>0</v>
      </c>
      <c r="AA55" s="6" t="n">
        <v>179</v>
      </c>
      <c r="AB55" s="6">
        <f>SUM(D55:AA55)</f>
        <v/>
      </c>
      <c r="AC55" s="3" t="inlineStr"/>
      <c r="AD55" s="7">
        <f>'BBB'!AD55+'Bag Staging'!AD55+'Bag Staging Volumetric'!AD55+'FWD FSM'!AD55+'FWD Manual Pre Primary'!AD55+'FWD Manual Primary'!AD55+'FWD Primary with Scan'!AD55+'FWD Secondary'!AD55+'FWD Volumetric'!AD55+'IB'!AD55+'IB Volumetric'!AD55+'OB'!AD55+'OB Volumetric'!AD55+'OSC Bag Sorting'!AD55+'OSC Bag Sorting Volumetric'!AD55+'REV FSM'!AD55+'Rejection Primary with Scan'!AD55+'Rejection Secondary'!AD55+'Rev DC DC Primary Sorting'!AD55+'Rev Primary (FSM Rejections)'!AD55+'Rev Secondary Sorting'!AD55+'VIA Bag Sorting'!AD55</f>
        <v/>
      </c>
      <c r="AE55" s="7">
        <f>'BBB'!AE55+'Bag Staging'!AE55+'Bag Staging Volumetric'!AE55+'FWD FSM'!AE55+'FWD Manual Pre Primary'!AE55+'FWD Manual Primary'!AE55+'FWD Primary with Scan'!AE55+'FWD Secondary'!AE55+'FWD Volumetric'!AE55+'IB'!AE55+'IB Volumetric'!AE55+'OB'!AE55+'OB Volumetric'!AE55+'OSC Bag Sorting'!AE55+'OSC Bag Sorting Volumetric'!AE55+'REV FSM'!AE55+'Rejection Primary with Scan'!AE55+'Rejection Secondary'!AE55+'Rev DC DC Primary Sorting'!AE55+'Rev Primary (FSM Rejections)'!AE55+'Rev Secondary Sorting'!AE55+'VIA Bag Sorting'!AE55</f>
        <v/>
      </c>
      <c r="AF55" s="7">
        <f>'BBB'!AF55+'Bag Staging'!AF55+'Bag Staging Volumetric'!AF55+'FWD FSM'!AF55+'FWD Manual Pre Primary'!AF55+'FWD Manual Primary'!AF55+'FWD Primary with Scan'!AF55+'FWD Secondary'!AF55+'FWD Volumetric'!AF55+'IB'!AF55+'IB Volumetric'!AF55+'OB'!AF55+'OB Volumetric'!AF55+'OSC Bag Sorting'!AF55+'OSC Bag Sorting Volumetric'!AF55+'REV FSM'!AF55+'Rejection Primary with Scan'!AF55+'Rejection Secondary'!AF55+'Rev DC DC Primary Sorting'!AF55+'Rev Primary (FSM Rejections)'!AF55+'Rev Secondary Sorting'!AF55+'VIA Bag Sorting'!AF55</f>
        <v/>
      </c>
      <c r="AG55" s="7">
        <f>'BBB'!AG55+'Bag Staging'!AG55+'Bag Staging Volumetric'!AG55+'FWD FSM'!AG55+'FWD Manual Pre Primary'!AG55+'FWD Manual Primary'!AG55+'FWD Primary with Scan'!AG55+'FWD Secondary'!AG55+'FWD Volumetric'!AG55+'IB'!AG55+'IB Volumetric'!AG55+'OB'!AG55+'OB Volumetric'!AG55+'OSC Bag Sorting'!AG55+'OSC Bag Sorting Volumetric'!AG55+'REV FSM'!AG55+'Rejection Primary with Scan'!AG55+'Rejection Secondary'!AG55+'Rev DC DC Primary Sorting'!AG55+'Rev Primary (FSM Rejections)'!AG55+'Rev Secondary Sorting'!AG55+'VIA Bag Sorting'!AG55</f>
        <v/>
      </c>
      <c r="AH55" s="7">
        <f>'BBB'!AH55+'Bag Staging'!AH55+'Bag Staging Volumetric'!AH55+'FWD FSM'!AH55+'FWD Manual Pre Primary'!AH55+'FWD Manual Primary'!AH55+'FWD Primary with Scan'!AH55+'FWD Secondary'!AH55+'FWD Volumetric'!AH55+'IB'!AH55+'IB Volumetric'!AH55+'OB'!AH55+'OB Volumetric'!AH55+'OSC Bag Sorting'!AH55+'OSC Bag Sorting Volumetric'!AH55+'REV FSM'!AH55+'Rejection Primary with Scan'!AH55+'Rejection Secondary'!AH55+'Rev DC DC Primary Sorting'!AH55+'Rev Primary (FSM Rejections)'!AH55+'Rev Secondary Sorting'!AH55+'VIA Bag Sorting'!AH55</f>
        <v/>
      </c>
      <c r="AI55" s="7">
        <f>'BBB'!AI55+'Bag Staging'!AI55+'Bag Staging Volumetric'!AI55+'FWD FSM'!AI55+'FWD Manual Pre Primary'!AI55+'FWD Manual Primary'!AI55+'FWD Primary with Scan'!AI55+'FWD Secondary'!AI55+'FWD Volumetric'!AI55+'IB'!AI55+'IB Volumetric'!AI55+'OB'!AI55+'OB Volumetric'!AI55+'OSC Bag Sorting'!AI55+'OSC Bag Sorting Volumetric'!AI55+'REV FSM'!AI55+'Rejection Primary with Scan'!AI55+'Rejection Secondary'!AI55+'Rev DC DC Primary Sorting'!AI55+'Rev Primary (FSM Rejections)'!AI55+'Rev Secondary Sorting'!AI55+'VIA Bag Sorting'!AI55</f>
        <v/>
      </c>
      <c r="AJ55" s="7">
        <f>'BBB'!AJ55+'Bag Staging'!AJ55+'Bag Staging Volumetric'!AJ55+'FWD FSM'!AJ55+'FWD Manual Pre Primary'!AJ55+'FWD Manual Primary'!AJ55+'FWD Primary with Scan'!AJ55+'FWD Secondary'!AJ55+'FWD Volumetric'!AJ55+'IB'!AJ55+'IB Volumetric'!AJ55+'OB'!AJ55+'OB Volumetric'!AJ55+'OSC Bag Sorting'!AJ55+'OSC Bag Sorting Volumetric'!AJ55+'REV FSM'!AJ55+'Rejection Primary with Scan'!AJ55+'Rejection Secondary'!AJ55+'Rev DC DC Primary Sorting'!AJ55+'Rev Primary (FSM Rejections)'!AJ55+'Rev Secondary Sorting'!AJ55+'VIA Bag Sorting'!AJ55</f>
        <v/>
      </c>
      <c r="AK55" s="7">
        <f>'BBB'!AK55+'Bag Staging'!AK55+'Bag Staging Volumetric'!AK55+'FWD FSM'!AK55+'FWD Manual Pre Primary'!AK55+'FWD Manual Primary'!AK55+'FWD Primary with Scan'!AK55+'FWD Secondary'!AK55+'FWD Volumetric'!AK55+'IB'!AK55+'IB Volumetric'!AK55+'OB'!AK55+'OB Volumetric'!AK55+'OSC Bag Sorting'!AK55+'OSC Bag Sorting Volumetric'!AK55+'REV FSM'!AK55+'Rejection Primary with Scan'!AK55+'Rejection Secondary'!AK55+'Rev DC DC Primary Sorting'!AK55+'Rev Primary (FSM Rejections)'!AK55+'Rev Secondary Sorting'!AK55+'VIA Bag Sorting'!AK55</f>
        <v/>
      </c>
      <c r="AL55" s="7">
        <f>'BBB'!AL55+'Bag Staging'!AL55+'Bag Staging Volumetric'!AL55+'FWD FSM'!AL55+'FWD Manual Pre Primary'!AL55+'FWD Manual Primary'!AL55+'FWD Primary with Scan'!AL55+'FWD Secondary'!AL55+'FWD Volumetric'!AL55+'IB'!AL55+'IB Volumetric'!AL55+'OB'!AL55+'OB Volumetric'!AL55+'OSC Bag Sorting'!AL55+'OSC Bag Sorting Volumetric'!AL55+'REV FSM'!AL55+'Rejection Primary with Scan'!AL55+'Rejection Secondary'!AL55+'Rev DC DC Primary Sorting'!AL55+'Rev Primary (FSM Rejections)'!AL55+'Rev Secondary Sorting'!AL55+'VIA Bag Sorting'!AL55</f>
        <v/>
      </c>
      <c r="AM55" s="7">
        <f>'BBB'!AM55+'Bag Staging'!AM55+'Bag Staging Volumetric'!AM55+'FWD FSM'!AM55+'FWD Manual Pre Primary'!AM55+'FWD Manual Primary'!AM55+'FWD Primary with Scan'!AM55+'FWD Secondary'!AM55+'FWD Volumetric'!AM55+'IB'!AM55+'IB Volumetric'!AM55+'OB'!AM55+'OB Volumetric'!AM55+'OSC Bag Sorting'!AM55+'OSC Bag Sorting Volumetric'!AM55+'REV FSM'!AM55+'Rejection Primary with Scan'!AM55+'Rejection Secondary'!AM55+'Rev DC DC Primary Sorting'!AM55+'Rev Primary (FSM Rejections)'!AM55+'Rev Secondary Sorting'!AM55+'VIA Bag Sorting'!AM55</f>
        <v/>
      </c>
      <c r="AN55" s="7">
        <f>'BBB'!AN55+'Bag Staging'!AN55+'Bag Staging Volumetric'!AN55+'FWD FSM'!AN55+'FWD Manual Pre Primary'!AN55+'FWD Manual Primary'!AN55+'FWD Primary with Scan'!AN55+'FWD Secondary'!AN55+'FWD Volumetric'!AN55+'IB'!AN55+'IB Volumetric'!AN55+'OB'!AN55+'OB Volumetric'!AN55+'OSC Bag Sorting'!AN55+'OSC Bag Sorting Volumetric'!AN55+'REV FSM'!AN55+'Rejection Primary with Scan'!AN55+'Rejection Secondary'!AN55+'Rev DC DC Primary Sorting'!AN55+'Rev Primary (FSM Rejections)'!AN55+'Rev Secondary Sorting'!AN55+'VIA Bag Sorting'!AN55</f>
        <v/>
      </c>
      <c r="AO55" s="7">
        <f>'BBB'!AO55+'Bag Staging'!AO55+'Bag Staging Volumetric'!AO55+'FWD FSM'!AO55+'FWD Manual Pre Primary'!AO55+'FWD Manual Primary'!AO55+'FWD Primary with Scan'!AO55+'FWD Secondary'!AO55+'FWD Volumetric'!AO55+'IB'!AO55+'IB Volumetric'!AO55+'OB'!AO55+'OB Volumetric'!AO55+'OSC Bag Sorting'!AO55+'OSC Bag Sorting Volumetric'!AO55+'REV FSM'!AO55+'Rejection Primary with Scan'!AO55+'Rejection Secondary'!AO55+'Rev DC DC Primary Sorting'!AO55+'Rev Primary (FSM Rejections)'!AO55+'Rev Secondary Sorting'!AO55+'VIA Bag Sorting'!AO55</f>
        <v/>
      </c>
      <c r="AP55" s="7">
        <f>'BBB'!AP55+'Bag Staging'!AP55+'Bag Staging Volumetric'!AP55+'FWD FSM'!AP55+'FWD Manual Pre Primary'!AP55+'FWD Manual Primary'!AP55+'FWD Primary with Scan'!AP55+'FWD Secondary'!AP55+'FWD Volumetric'!AP55+'IB'!AP55+'IB Volumetric'!AP55+'OB'!AP55+'OB Volumetric'!AP55+'OSC Bag Sorting'!AP55+'OSC Bag Sorting Volumetric'!AP55+'REV FSM'!AP55+'Rejection Primary with Scan'!AP55+'Rejection Secondary'!AP55+'Rev DC DC Primary Sorting'!AP55+'Rev Primary (FSM Rejections)'!AP55+'Rev Secondary Sorting'!AP55+'VIA Bag Sorting'!AP55</f>
        <v/>
      </c>
      <c r="AQ55" s="7">
        <f>'BBB'!AQ55+'Bag Staging'!AQ55+'Bag Staging Volumetric'!AQ55+'FWD FSM'!AQ55+'FWD Manual Pre Primary'!AQ55+'FWD Manual Primary'!AQ55+'FWD Primary with Scan'!AQ55+'FWD Secondary'!AQ55+'FWD Volumetric'!AQ55+'IB'!AQ55+'IB Volumetric'!AQ55+'OB'!AQ55+'OB Volumetric'!AQ55+'OSC Bag Sorting'!AQ55+'OSC Bag Sorting Volumetric'!AQ55+'REV FSM'!AQ55+'Rejection Primary with Scan'!AQ55+'Rejection Secondary'!AQ55+'Rev DC DC Primary Sorting'!AQ55+'Rev Primary (FSM Rejections)'!AQ55+'Rev Secondary Sorting'!AQ55+'VIA Bag Sorting'!AQ55</f>
        <v/>
      </c>
      <c r="AR55" s="7">
        <f>'BBB'!AR55+'Bag Staging'!AR55+'Bag Staging Volumetric'!AR55+'FWD FSM'!AR55+'FWD Manual Pre Primary'!AR55+'FWD Manual Primary'!AR55+'FWD Primary with Scan'!AR55+'FWD Secondary'!AR55+'FWD Volumetric'!AR55+'IB'!AR55+'IB Volumetric'!AR55+'OB'!AR55+'OB Volumetric'!AR55+'OSC Bag Sorting'!AR55+'OSC Bag Sorting Volumetric'!AR55+'REV FSM'!AR55+'Rejection Primary with Scan'!AR55+'Rejection Secondary'!AR55+'Rev DC DC Primary Sorting'!AR55+'Rev Primary (FSM Rejections)'!AR55+'Rev Secondary Sorting'!AR55+'VIA Bag Sorting'!AR55</f>
        <v/>
      </c>
      <c r="AS55" s="7">
        <f>'BBB'!AS55+'Bag Staging'!AS55+'Bag Staging Volumetric'!AS55+'FWD FSM'!AS55+'FWD Manual Pre Primary'!AS55+'FWD Manual Primary'!AS55+'FWD Primary with Scan'!AS55+'FWD Secondary'!AS55+'FWD Volumetric'!AS55+'IB'!AS55+'IB Volumetric'!AS55+'OB'!AS55+'OB Volumetric'!AS55+'OSC Bag Sorting'!AS55+'OSC Bag Sorting Volumetric'!AS55+'REV FSM'!AS55+'Rejection Primary with Scan'!AS55+'Rejection Secondary'!AS55+'Rev DC DC Primary Sorting'!AS55+'Rev Primary (FSM Rejections)'!AS55+'Rev Secondary Sorting'!AS55+'VIA Bag Sorting'!AS55</f>
        <v/>
      </c>
      <c r="AT55" s="7">
        <f>'BBB'!AT55+'Bag Staging'!AT55+'Bag Staging Volumetric'!AT55+'FWD FSM'!AT55+'FWD Manual Pre Primary'!AT55+'FWD Manual Primary'!AT55+'FWD Primary with Scan'!AT55+'FWD Secondary'!AT55+'FWD Volumetric'!AT55+'IB'!AT55+'IB Volumetric'!AT55+'OB'!AT55+'OB Volumetric'!AT55+'OSC Bag Sorting'!AT55+'OSC Bag Sorting Volumetric'!AT55+'REV FSM'!AT55+'Rejection Primary with Scan'!AT55+'Rejection Secondary'!AT55+'Rev DC DC Primary Sorting'!AT55+'Rev Primary (FSM Rejections)'!AT55+'Rev Secondary Sorting'!AT55+'VIA Bag Sorting'!AT55</f>
        <v/>
      </c>
      <c r="AU55" s="7">
        <f>'BBB'!AU55+'Bag Staging'!AU55+'Bag Staging Volumetric'!AU55+'FWD FSM'!AU55+'FWD Manual Pre Primary'!AU55+'FWD Manual Primary'!AU55+'FWD Primary with Scan'!AU55+'FWD Secondary'!AU55+'FWD Volumetric'!AU55+'IB'!AU55+'IB Volumetric'!AU55+'OB'!AU55+'OB Volumetric'!AU55+'OSC Bag Sorting'!AU55+'OSC Bag Sorting Volumetric'!AU55+'REV FSM'!AU55+'Rejection Primary with Scan'!AU55+'Rejection Secondary'!AU55+'Rev DC DC Primary Sorting'!AU55+'Rev Primary (FSM Rejections)'!AU55+'Rev Secondary Sorting'!AU55+'VIA Bag Sorting'!AU55</f>
        <v/>
      </c>
      <c r="AV55" s="7">
        <f>'BBB'!AV55+'Bag Staging'!AV55+'Bag Staging Volumetric'!AV55+'FWD FSM'!AV55+'FWD Manual Pre Primary'!AV55+'FWD Manual Primary'!AV55+'FWD Primary with Scan'!AV55+'FWD Secondary'!AV55+'FWD Volumetric'!AV55+'IB'!AV55+'IB Volumetric'!AV55+'OB'!AV55+'OB Volumetric'!AV55+'OSC Bag Sorting'!AV55+'OSC Bag Sorting Volumetric'!AV55+'REV FSM'!AV55+'Rejection Primary with Scan'!AV55+'Rejection Secondary'!AV55+'Rev DC DC Primary Sorting'!AV55+'Rev Primary (FSM Rejections)'!AV55+'Rev Secondary Sorting'!AV55+'VIA Bag Sorting'!AV55</f>
        <v/>
      </c>
      <c r="AW55" s="7">
        <f>'BBB'!AW55+'Bag Staging'!AW55+'Bag Staging Volumetric'!AW55+'FWD FSM'!AW55+'FWD Manual Pre Primary'!AW55+'FWD Manual Primary'!AW55+'FWD Primary with Scan'!AW55+'FWD Secondary'!AW55+'FWD Volumetric'!AW55+'IB'!AW55+'IB Volumetric'!AW55+'OB'!AW55+'OB Volumetric'!AW55+'OSC Bag Sorting'!AW55+'OSC Bag Sorting Volumetric'!AW55+'REV FSM'!AW55+'Rejection Primary with Scan'!AW55+'Rejection Secondary'!AW55+'Rev DC DC Primary Sorting'!AW55+'Rev Primary (FSM Rejections)'!AW55+'Rev Secondary Sorting'!AW55+'VIA Bag Sorting'!AW55</f>
        <v/>
      </c>
      <c r="AX55" s="7">
        <f>'BBB'!AX55+'Bag Staging'!AX55+'Bag Staging Volumetric'!AX55+'FWD FSM'!AX55+'FWD Manual Pre Primary'!AX55+'FWD Manual Primary'!AX55+'FWD Primary with Scan'!AX55+'FWD Secondary'!AX55+'FWD Volumetric'!AX55+'IB'!AX55+'IB Volumetric'!AX55+'OB'!AX55+'OB Volumetric'!AX55+'OSC Bag Sorting'!AX55+'OSC Bag Sorting Volumetric'!AX55+'REV FSM'!AX55+'Rejection Primary with Scan'!AX55+'Rejection Secondary'!AX55+'Rev DC DC Primary Sorting'!AX55+'Rev Primary (FSM Rejections)'!AX55+'Rev Secondary Sorting'!AX55+'VIA Bag Sorting'!AX55</f>
        <v/>
      </c>
      <c r="AY55" s="7">
        <f>'BBB'!AY55+'Bag Staging'!AY55+'Bag Staging Volumetric'!AY55+'FWD FSM'!AY55+'FWD Manual Pre Primary'!AY55+'FWD Manual Primary'!AY55+'FWD Primary with Scan'!AY55+'FWD Secondary'!AY55+'FWD Volumetric'!AY55+'IB'!AY55+'IB Volumetric'!AY55+'OB'!AY55+'OB Volumetric'!AY55+'OSC Bag Sorting'!AY55+'OSC Bag Sorting Volumetric'!AY55+'REV FSM'!AY55+'Rejection Primary with Scan'!AY55+'Rejection Secondary'!AY55+'Rev DC DC Primary Sorting'!AY55+'Rev Primary (FSM Rejections)'!AY55+'Rev Secondary Sorting'!AY55+'VIA Bag Sorting'!AY55</f>
        <v/>
      </c>
      <c r="AZ55" s="7">
        <f>'BBB'!AZ55+'Bag Staging'!AZ55+'Bag Staging Volumetric'!AZ55+'FWD FSM'!AZ55+'FWD Manual Pre Primary'!AZ55+'FWD Manual Primary'!AZ55+'FWD Primary with Scan'!AZ55+'FWD Secondary'!AZ55+'FWD Volumetric'!AZ55+'IB'!AZ55+'IB Volumetric'!AZ55+'OB'!AZ55+'OB Volumetric'!AZ55+'OSC Bag Sorting'!AZ55+'OSC Bag Sorting Volumetric'!AZ55+'REV FSM'!AZ55+'Rejection Primary with Scan'!AZ55+'Rejection Secondary'!AZ55+'Rev DC DC Primary Sorting'!AZ55+'Rev Primary (FSM Rejections)'!AZ55+'Rev Secondary Sorting'!AZ55+'VIA Bag Sorting'!AZ55</f>
        <v/>
      </c>
      <c r="BA55" s="7">
        <f>'BBB'!BA55+'Bag Staging'!BA55+'Bag Staging Volumetric'!BA55+'FWD FSM'!BA55+'FWD Manual Pre Primary'!BA55+'FWD Manual Primary'!BA55+'FWD Primary with Scan'!BA55+'FWD Secondary'!BA55+'FWD Volumetric'!BA55+'IB'!BA55+'IB Volumetric'!BA55+'OB'!BA55+'OB Volumetric'!BA55+'OSC Bag Sorting'!BA55+'OSC Bag Sorting Volumetric'!BA55+'REV FSM'!BA55+'Rejection Primary with Scan'!BA55+'Rejection Secondary'!BA55+'Rev DC DC Primary Sorting'!BA55+'Rev Primary (FSM Rejections)'!BA55+'Rev Secondary Sorting'!BA55+'VIA Bag Sorting'!BA55</f>
        <v/>
      </c>
      <c r="BB55" s="7">
        <f>SUM(AD55:BA55)</f>
        <v/>
      </c>
    </row>
    <row r="56">
      <c r="A56" t="inlineStr">
        <is>
          <t>AMD-FWDREG-SSC</t>
        </is>
      </c>
      <c r="B56" t="inlineStr">
        <is>
          <t>Forward Regular OSC</t>
        </is>
      </c>
      <c r="C56" s="5" t="n">
        <v>46103</v>
      </c>
      <c r="D56" s="6" t="n">
        <v>5721</v>
      </c>
      <c r="E56" s="6" t="n">
        <v>1278</v>
      </c>
      <c r="F56" s="6" t="n">
        <v>3840</v>
      </c>
      <c r="G56" s="6" t="n">
        <v>5285</v>
      </c>
      <c r="H56" s="6" t="n">
        <v>3071</v>
      </c>
      <c r="I56" s="6" t="n">
        <v>2734</v>
      </c>
      <c r="J56" s="6" t="n">
        <v>316</v>
      </c>
      <c r="K56" s="6" t="n">
        <v>14</v>
      </c>
      <c r="L56" s="6" t="n">
        <v>0</v>
      </c>
      <c r="M56" s="6" t="n">
        <v>4721</v>
      </c>
      <c r="N56" s="6" t="n">
        <v>5591</v>
      </c>
      <c r="O56" s="6" t="n">
        <v>4719</v>
      </c>
      <c r="P56" s="6" t="n">
        <v>1724</v>
      </c>
      <c r="Q56" s="6" t="n">
        <v>1014</v>
      </c>
      <c r="R56" s="6" t="n">
        <v>5359</v>
      </c>
      <c r="S56" s="6" t="n">
        <v>1992</v>
      </c>
      <c r="T56" s="6" t="n">
        <v>105</v>
      </c>
      <c r="U56" s="6" t="n">
        <v>367</v>
      </c>
      <c r="V56" s="6" t="n">
        <v>207</v>
      </c>
      <c r="W56" s="6" t="n">
        <v>927</v>
      </c>
      <c r="X56" s="6" t="n">
        <v>1026</v>
      </c>
      <c r="Y56" s="6" t="n">
        <v>1050</v>
      </c>
      <c r="Z56" s="6" t="n">
        <v>41</v>
      </c>
      <c r="AA56" s="6" t="n">
        <v>0</v>
      </c>
      <c r="AB56" s="6">
        <f>SUM(D56:AA56)</f>
        <v/>
      </c>
      <c r="AC56" s="3" t="inlineStr"/>
      <c r="AD56" s="7">
        <f>'BBB'!AD56+'Bag Staging'!AD56+'Bag Staging Volumetric'!AD56+'FWD FSM'!AD56+'FWD Manual Pre Primary'!AD56+'FWD Manual Primary'!AD56+'FWD Primary with Scan'!AD56+'FWD Secondary'!AD56+'FWD Volumetric'!AD56+'IB'!AD56+'IB Volumetric'!AD56+'OB'!AD56+'OB Volumetric'!AD56+'OSC Bag Sorting'!AD56+'OSC Bag Sorting Volumetric'!AD56+'REV FSM'!AD56+'Rejection Primary with Scan'!AD56+'Rejection Secondary'!AD56+'Rev DC DC Primary Sorting'!AD56+'Rev Primary (FSM Rejections)'!AD56+'Rev Secondary Sorting'!AD56+'VIA Bag Sorting'!AD56</f>
        <v/>
      </c>
      <c r="AE56" s="7">
        <f>'BBB'!AE56+'Bag Staging'!AE56+'Bag Staging Volumetric'!AE56+'FWD FSM'!AE56+'FWD Manual Pre Primary'!AE56+'FWD Manual Primary'!AE56+'FWD Primary with Scan'!AE56+'FWD Secondary'!AE56+'FWD Volumetric'!AE56+'IB'!AE56+'IB Volumetric'!AE56+'OB'!AE56+'OB Volumetric'!AE56+'OSC Bag Sorting'!AE56+'OSC Bag Sorting Volumetric'!AE56+'REV FSM'!AE56+'Rejection Primary with Scan'!AE56+'Rejection Secondary'!AE56+'Rev DC DC Primary Sorting'!AE56+'Rev Primary (FSM Rejections)'!AE56+'Rev Secondary Sorting'!AE56+'VIA Bag Sorting'!AE56</f>
        <v/>
      </c>
      <c r="AF56" s="7">
        <f>'BBB'!AF56+'Bag Staging'!AF56+'Bag Staging Volumetric'!AF56+'FWD FSM'!AF56+'FWD Manual Pre Primary'!AF56+'FWD Manual Primary'!AF56+'FWD Primary with Scan'!AF56+'FWD Secondary'!AF56+'FWD Volumetric'!AF56+'IB'!AF56+'IB Volumetric'!AF56+'OB'!AF56+'OB Volumetric'!AF56+'OSC Bag Sorting'!AF56+'OSC Bag Sorting Volumetric'!AF56+'REV FSM'!AF56+'Rejection Primary with Scan'!AF56+'Rejection Secondary'!AF56+'Rev DC DC Primary Sorting'!AF56+'Rev Primary (FSM Rejections)'!AF56+'Rev Secondary Sorting'!AF56+'VIA Bag Sorting'!AF56</f>
        <v/>
      </c>
      <c r="AG56" s="7">
        <f>'BBB'!AG56+'Bag Staging'!AG56+'Bag Staging Volumetric'!AG56+'FWD FSM'!AG56+'FWD Manual Pre Primary'!AG56+'FWD Manual Primary'!AG56+'FWD Primary with Scan'!AG56+'FWD Secondary'!AG56+'FWD Volumetric'!AG56+'IB'!AG56+'IB Volumetric'!AG56+'OB'!AG56+'OB Volumetric'!AG56+'OSC Bag Sorting'!AG56+'OSC Bag Sorting Volumetric'!AG56+'REV FSM'!AG56+'Rejection Primary with Scan'!AG56+'Rejection Secondary'!AG56+'Rev DC DC Primary Sorting'!AG56+'Rev Primary (FSM Rejections)'!AG56+'Rev Secondary Sorting'!AG56+'VIA Bag Sorting'!AG56</f>
        <v/>
      </c>
      <c r="AH56" s="7">
        <f>'BBB'!AH56+'Bag Staging'!AH56+'Bag Staging Volumetric'!AH56+'FWD FSM'!AH56+'FWD Manual Pre Primary'!AH56+'FWD Manual Primary'!AH56+'FWD Primary with Scan'!AH56+'FWD Secondary'!AH56+'FWD Volumetric'!AH56+'IB'!AH56+'IB Volumetric'!AH56+'OB'!AH56+'OB Volumetric'!AH56+'OSC Bag Sorting'!AH56+'OSC Bag Sorting Volumetric'!AH56+'REV FSM'!AH56+'Rejection Primary with Scan'!AH56+'Rejection Secondary'!AH56+'Rev DC DC Primary Sorting'!AH56+'Rev Primary (FSM Rejections)'!AH56+'Rev Secondary Sorting'!AH56+'VIA Bag Sorting'!AH56</f>
        <v/>
      </c>
      <c r="AI56" s="7">
        <f>'BBB'!AI56+'Bag Staging'!AI56+'Bag Staging Volumetric'!AI56+'FWD FSM'!AI56+'FWD Manual Pre Primary'!AI56+'FWD Manual Primary'!AI56+'FWD Primary with Scan'!AI56+'FWD Secondary'!AI56+'FWD Volumetric'!AI56+'IB'!AI56+'IB Volumetric'!AI56+'OB'!AI56+'OB Volumetric'!AI56+'OSC Bag Sorting'!AI56+'OSC Bag Sorting Volumetric'!AI56+'REV FSM'!AI56+'Rejection Primary with Scan'!AI56+'Rejection Secondary'!AI56+'Rev DC DC Primary Sorting'!AI56+'Rev Primary (FSM Rejections)'!AI56+'Rev Secondary Sorting'!AI56+'VIA Bag Sorting'!AI56</f>
        <v/>
      </c>
      <c r="AJ56" s="7">
        <f>'BBB'!AJ56+'Bag Staging'!AJ56+'Bag Staging Volumetric'!AJ56+'FWD FSM'!AJ56+'FWD Manual Pre Primary'!AJ56+'FWD Manual Primary'!AJ56+'FWD Primary with Scan'!AJ56+'FWD Secondary'!AJ56+'FWD Volumetric'!AJ56+'IB'!AJ56+'IB Volumetric'!AJ56+'OB'!AJ56+'OB Volumetric'!AJ56+'OSC Bag Sorting'!AJ56+'OSC Bag Sorting Volumetric'!AJ56+'REV FSM'!AJ56+'Rejection Primary with Scan'!AJ56+'Rejection Secondary'!AJ56+'Rev DC DC Primary Sorting'!AJ56+'Rev Primary (FSM Rejections)'!AJ56+'Rev Secondary Sorting'!AJ56+'VIA Bag Sorting'!AJ56</f>
        <v/>
      </c>
      <c r="AK56" s="7">
        <f>'BBB'!AK56+'Bag Staging'!AK56+'Bag Staging Volumetric'!AK56+'FWD FSM'!AK56+'FWD Manual Pre Primary'!AK56+'FWD Manual Primary'!AK56+'FWD Primary with Scan'!AK56+'FWD Secondary'!AK56+'FWD Volumetric'!AK56+'IB'!AK56+'IB Volumetric'!AK56+'OB'!AK56+'OB Volumetric'!AK56+'OSC Bag Sorting'!AK56+'OSC Bag Sorting Volumetric'!AK56+'REV FSM'!AK56+'Rejection Primary with Scan'!AK56+'Rejection Secondary'!AK56+'Rev DC DC Primary Sorting'!AK56+'Rev Primary (FSM Rejections)'!AK56+'Rev Secondary Sorting'!AK56+'VIA Bag Sorting'!AK56</f>
        <v/>
      </c>
      <c r="AL56" s="7">
        <f>'BBB'!AL56+'Bag Staging'!AL56+'Bag Staging Volumetric'!AL56+'FWD FSM'!AL56+'FWD Manual Pre Primary'!AL56+'FWD Manual Primary'!AL56+'FWD Primary with Scan'!AL56+'FWD Secondary'!AL56+'FWD Volumetric'!AL56+'IB'!AL56+'IB Volumetric'!AL56+'OB'!AL56+'OB Volumetric'!AL56+'OSC Bag Sorting'!AL56+'OSC Bag Sorting Volumetric'!AL56+'REV FSM'!AL56+'Rejection Primary with Scan'!AL56+'Rejection Secondary'!AL56+'Rev DC DC Primary Sorting'!AL56+'Rev Primary (FSM Rejections)'!AL56+'Rev Secondary Sorting'!AL56+'VIA Bag Sorting'!AL56</f>
        <v/>
      </c>
      <c r="AM56" s="7">
        <f>'BBB'!AM56+'Bag Staging'!AM56+'Bag Staging Volumetric'!AM56+'FWD FSM'!AM56+'FWD Manual Pre Primary'!AM56+'FWD Manual Primary'!AM56+'FWD Primary with Scan'!AM56+'FWD Secondary'!AM56+'FWD Volumetric'!AM56+'IB'!AM56+'IB Volumetric'!AM56+'OB'!AM56+'OB Volumetric'!AM56+'OSC Bag Sorting'!AM56+'OSC Bag Sorting Volumetric'!AM56+'REV FSM'!AM56+'Rejection Primary with Scan'!AM56+'Rejection Secondary'!AM56+'Rev DC DC Primary Sorting'!AM56+'Rev Primary (FSM Rejections)'!AM56+'Rev Secondary Sorting'!AM56+'VIA Bag Sorting'!AM56</f>
        <v/>
      </c>
      <c r="AN56" s="7">
        <f>'BBB'!AN56+'Bag Staging'!AN56+'Bag Staging Volumetric'!AN56+'FWD FSM'!AN56+'FWD Manual Pre Primary'!AN56+'FWD Manual Primary'!AN56+'FWD Primary with Scan'!AN56+'FWD Secondary'!AN56+'FWD Volumetric'!AN56+'IB'!AN56+'IB Volumetric'!AN56+'OB'!AN56+'OB Volumetric'!AN56+'OSC Bag Sorting'!AN56+'OSC Bag Sorting Volumetric'!AN56+'REV FSM'!AN56+'Rejection Primary with Scan'!AN56+'Rejection Secondary'!AN56+'Rev DC DC Primary Sorting'!AN56+'Rev Primary (FSM Rejections)'!AN56+'Rev Secondary Sorting'!AN56+'VIA Bag Sorting'!AN56</f>
        <v/>
      </c>
      <c r="AO56" s="7">
        <f>'BBB'!AO56+'Bag Staging'!AO56+'Bag Staging Volumetric'!AO56+'FWD FSM'!AO56+'FWD Manual Pre Primary'!AO56+'FWD Manual Primary'!AO56+'FWD Primary with Scan'!AO56+'FWD Secondary'!AO56+'FWD Volumetric'!AO56+'IB'!AO56+'IB Volumetric'!AO56+'OB'!AO56+'OB Volumetric'!AO56+'OSC Bag Sorting'!AO56+'OSC Bag Sorting Volumetric'!AO56+'REV FSM'!AO56+'Rejection Primary with Scan'!AO56+'Rejection Secondary'!AO56+'Rev DC DC Primary Sorting'!AO56+'Rev Primary (FSM Rejections)'!AO56+'Rev Secondary Sorting'!AO56+'VIA Bag Sorting'!AO56</f>
        <v/>
      </c>
      <c r="AP56" s="7">
        <f>'BBB'!AP56+'Bag Staging'!AP56+'Bag Staging Volumetric'!AP56+'FWD FSM'!AP56+'FWD Manual Pre Primary'!AP56+'FWD Manual Primary'!AP56+'FWD Primary with Scan'!AP56+'FWD Secondary'!AP56+'FWD Volumetric'!AP56+'IB'!AP56+'IB Volumetric'!AP56+'OB'!AP56+'OB Volumetric'!AP56+'OSC Bag Sorting'!AP56+'OSC Bag Sorting Volumetric'!AP56+'REV FSM'!AP56+'Rejection Primary with Scan'!AP56+'Rejection Secondary'!AP56+'Rev DC DC Primary Sorting'!AP56+'Rev Primary (FSM Rejections)'!AP56+'Rev Secondary Sorting'!AP56+'VIA Bag Sorting'!AP56</f>
        <v/>
      </c>
      <c r="AQ56" s="7">
        <f>'BBB'!AQ56+'Bag Staging'!AQ56+'Bag Staging Volumetric'!AQ56+'FWD FSM'!AQ56+'FWD Manual Pre Primary'!AQ56+'FWD Manual Primary'!AQ56+'FWD Primary with Scan'!AQ56+'FWD Secondary'!AQ56+'FWD Volumetric'!AQ56+'IB'!AQ56+'IB Volumetric'!AQ56+'OB'!AQ56+'OB Volumetric'!AQ56+'OSC Bag Sorting'!AQ56+'OSC Bag Sorting Volumetric'!AQ56+'REV FSM'!AQ56+'Rejection Primary with Scan'!AQ56+'Rejection Secondary'!AQ56+'Rev DC DC Primary Sorting'!AQ56+'Rev Primary (FSM Rejections)'!AQ56+'Rev Secondary Sorting'!AQ56+'VIA Bag Sorting'!AQ56</f>
        <v/>
      </c>
      <c r="AR56" s="7">
        <f>'BBB'!AR56+'Bag Staging'!AR56+'Bag Staging Volumetric'!AR56+'FWD FSM'!AR56+'FWD Manual Pre Primary'!AR56+'FWD Manual Primary'!AR56+'FWD Primary with Scan'!AR56+'FWD Secondary'!AR56+'FWD Volumetric'!AR56+'IB'!AR56+'IB Volumetric'!AR56+'OB'!AR56+'OB Volumetric'!AR56+'OSC Bag Sorting'!AR56+'OSC Bag Sorting Volumetric'!AR56+'REV FSM'!AR56+'Rejection Primary with Scan'!AR56+'Rejection Secondary'!AR56+'Rev DC DC Primary Sorting'!AR56+'Rev Primary (FSM Rejections)'!AR56+'Rev Secondary Sorting'!AR56+'VIA Bag Sorting'!AR56</f>
        <v/>
      </c>
      <c r="AS56" s="7">
        <f>'BBB'!AS56+'Bag Staging'!AS56+'Bag Staging Volumetric'!AS56+'FWD FSM'!AS56+'FWD Manual Pre Primary'!AS56+'FWD Manual Primary'!AS56+'FWD Primary with Scan'!AS56+'FWD Secondary'!AS56+'FWD Volumetric'!AS56+'IB'!AS56+'IB Volumetric'!AS56+'OB'!AS56+'OB Volumetric'!AS56+'OSC Bag Sorting'!AS56+'OSC Bag Sorting Volumetric'!AS56+'REV FSM'!AS56+'Rejection Primary with Scan'!AS56+'Rejection Secondary'!AS56+'Rev DC DC Primary Sorting'!AS56+'Rev Primary (FSM Rejections)'!AS56+'Rev Secondary Sorting'!AS56+'VIA Bag Sorting'!AS56</f>
        <v/>
      </c>
      <c r="AT56" s="7">
        <f>'BBB'!AT56+'Bag Staging'!AT56+'Bag Staging Volumetric'!AT56+'FWD FSM'!AT56+'FWD Manual Pre Primary'!AT56+'FWD Manual Primary'!AT56+'FWD Primary with Scan'!AT56+'FWD Secondary'!AT56+'FWD Volumetric'!AT56+'IB'!AT56+'IB Volumetric'!AT56+'OB'!AT56+'OB Volumetric'!AT56+'OSC Bag Sorting'!AT56+'OSC Bag Sorting Volumetric'!AT56+'REV FSM'!AT56+'Rejection Primary with Scan'!AT56+'Rejection Secondary'!AT56+'Rev DC DC Primary Sorting'!AT56+'Rev Primary (FSM Rejections)'!AT56+'Rev Secondary Sorting'!AT56+'VIA Bag Sorting'!AT56</f>
        <v/>
      </c>
      <c r="AU56" s="7">
        <f>'BBB'!AU56+'Bag Staging'!AU56+'Bag Staging Volumetric'!AU56+'FWD FSM'!AU56+'FWD Manual Pre Primary'!AU56+'FWD Manual Primary'!AU56+'FWD Primary with Scan'!AU56+'FWD Secondary'!AU56+'FWD Volumetric'!AU56+'IB'!AU56+'IB Volumetric'!AU56+'OB'!AU56+'OB Volumetric'!AU56+'OSC Bag Sorting'!AU56+'OSC Bag Sorting Volumetric'!AU56+'REV FSM'!AU56+'Rejection Primary with Scan'!AU56+'Rejection Secondary'!AU56+'Rev DC DC Primary Sorting'!AU56+'Rev Primary (FSM Rejections)'!AU56+'Rev Secondary Sorting'!AU56+'VIA Bag Sorting'!AU56</f>
        <v/>
      </c>
      <c r="AV56" s="7">
        <f>'BBB'!AV56+'Bag Staging'!AV56+'Bag Staging Volumetric'!AV56+'FWD FSM'!AV56+'FWD Manual Pre Primary'!AV56+'FWD Manual Primary'!AV56+'FWD Primary with Scan'!AV56+'FWD Secondary'!AV56+'FWD Volumetric'!AV56+'IB'!AV56+'IB Volumetric'!AV56+'OB'!AV56+'OB Volumetric'!AV56+'OSC Bag Sorting'!AV56+'OSC Bag Sorting Volumetric'!AV56+'REV FSM'!AV56+'Rejection Primary with Scan'!AV56+'Rejection Secondary'!AV56+'Rev DC DC Primary Sorting'!AV56+'Rev Primary (FSM Rejections)'!AV56+'Rev Secondary Sorting'!AV56+'VIA Bag Sorting'!AV56</f>
        <v/>
      </c>
      <c r="AW56" s="7">
        <f>'BBB'!AW56+'Bag Staging'!AW56+'Bag Staging Volumetric'!AW56+'FWD FSM'!AW56+'FWD Manual Pre Primary'!AW56+'FWD Manual Primary'!AW56+'FWD Primary with Scan'!AW56+'FWD Secondary'!AW56+'FWD Volumetric'!AW56+'IB'!AW56+'IB Volumetric'!AW56+'OB'!AW56+'OB Volumetric'!AW56+'OSC Bag Sorting'!AW56+'OSC Bag Sorting Volumetric'!AW56+'REV FSM'!AW56+'Rejection Primary with Scan'!AW56+'Rejection Secondary'!AW56+'Rev DC DC Primary Sorting'!AW56+'Rev Primary (FSM Rejections)'!AW56+'Rev Secondary Sorting'!AW56+'VIA Bag Sorting'!AW56</f>
        <v/>
      </c>
      <c r="AX56" s="7">
        <f>'BBB'!AX56+'Bag Staging'!AX56+'Bag Staging Volumetric'!AX56+'FWD FSM'!AX56+'FWD Manual Pre Primary'!AX56+'FWD Manual Primary'!AX56+'FWD Primary with Scan'!AX56+'FWD Secondary'!AX56+'FWD Volumetric'!AX56+'IB'!AX56+'IB Volumetric'!AX56+'OB'!AX56+'OB Volumetric'!AX56+'OSC Bag Sorting'!AX56+'OSC Bag Sorting Volumetric'!AX56+'REV FSM'!AX56+'Rejection Primary with Scan'!AX56+'Rejection Secondary'!AX56+'Rev DC DC Primary Sorting'!AX56+'Rev Primary (FSM Rejections)'!AX56+'Rev Secondary Sorting'!AX56+'VIA Bag Sorting'!AX56</f>
        <v/>
      </c>
      <c r="AY56" s="7">
        <f>'BBB'!AY56+'Bag Staging'!AY56+'Bag Staging Volumetric'!AY56+'FWD FSM'!AY56+'FWD Manual Pre Primary'!AY56+'FWD Manual Primary'!AY56+'FWD Primary with Scan'!AY56+'FWD Secondary'!AY56+'FWD Volumetric'!AY56+'IB'!AY56+'IB Volumetric'!AY56+'OB'!AY56+'OB Volumetric'!AY56+'OSC Bag Sorting'!AY56+'OSC Bag Sorting Volumetric'!AY56+'REV FSM'!AY56+'Rejection Primary with Scan'!AY56+'Rejection Secondary'!AY56+'Rev DC DC Primary Sorting'!AY56+'Rev Primary (FSM Rejections)'!AY56+'Rev Secondary Sorting'!AY56+'VIA Bag Sorting'!AY56</f>
        <v/>
      </c>
      <c r="AZ56" s="7">
        <f>'BBB'!AZ56+'Bag Staging'!AZ56+'Bag Staging Volumetric'!AZ56+'FWD FSM'!AZ56+'FWD Manual Pre Primary'!AZ56+'FWD Manual Primary'!AZ56+'FWD Primary with Scan'!AZ56+'FWD Secondary'!AZ56+'FWD Volumetric'!AZ56+'IB'!AZ56+'IB Volumetric'!AZ56+'OB'!AZ56+'OB Volumetric'!AZ56+'OSC Bag Sorting'!AZ56+'OSC Bag Sorting Volumetric'!AZ56+'REV FSM'!AZ56+'Rejection Primary with Scan'!AZ56+'Rejection Secondary'!AZ56+'Rev DC DC Primary Sorting'!AZ56+'Rev Primary (FSM Rejections)'!AZ56+'Rev Secondary Sorting'!AZ56+'VIA Bag Sorting'!AZ56</f>
        <v/>
      </c>
      <c r="BA56" s="7">
        <f>'BBB'!BA56+'Bag Staging'!BA56+'Bag Staging Volumetric'!BA56+'FWD FSM'!BA56+'FWD Manual Pre Primary'!BA56+'FWD Manual Primary'!BA56+'FWD Primary with Scan'!BA56+'FWD Secondary'!BA56+'FWD Volumetric'!BA56+'IB'!BA56+'IB Volumetric'!BA56+'OB'!BA56+'OB Volumetric'!BA56+'OSC Bag Sorting'!BA56+'OSC Bag Sorting Volumetric'!BA56+'REV FSM'!BA56+'Rejection Primary with Scan'!BA56+'Rejection Secondary'!BA56+'Rev DC DC Primary Sorting'!BA56+'Rev Primary (FSM Rejections)'!BA56+'Rev Secondary Sorting'!BA56+'VIA Bag Sorting'!BA56</f>
        <v/>
      </c>
      <c r="BB56" s="7">
        <f>SUM(AD56:BA56)</f>
        <v/>
      </c>
    </row>
    <row r="57">
      <c r="A57" t="inlineStr">
        <is>
          <t>AMD-FWDREG-SSC</t>
        </is>
      </c>
      <c r="B57" t="inlineStr">
        <is>
          <t>Forward Regular OSC</t>
        </is>
      </c>
      <c r="C57" s="5" t="n">
        <v>46104</v>
      </c>
      <c r="D57" s="6" t="n">
        <v>4178</v>
      </c>
      <c r="E57" s="6" t="n">
        <v>3198</v>
      </c>
      <c r="F57" s="6" t="n">
        <v>93</v>
      </c>
      <c r="G57" s="6" t="n">
        <v>4611</v>
      </c>
      <c r="H57" s="6" t="n">
        <v>2367</v>
      </c>
      <c r="I57" s="6" t="n">
        <v>3068</v>
      </c>
      <c r="J57" s="6" t="n">
        <v>156</v>
      </c>
      <c r="K57" s="6" t="n">
        <v>0</v>
      </c>
      <c r="L57" s="6" t="n">
        <v>121</v>
      </c>
      <c r="M57" s="6" t="n">
        <v>8214</v>
      </c>
      <c r="N57" s="6" t="n">
        <v>4528</v>
      </c>
      <c r="O57" s="6" t="n">
        <v>22</v>
      </c>
      <c r="P57" s="6" t="n">
        <v>0</v>
      </c>
      <c r="Q57" s="6" t="n">
        <v>9</v>
      </c>
      <c r="R57" s="6" t="n">
        <v>1842</v>
      </c>
      <c r="S57" s="6" t="n">
        <v>1420</v>
      </c>
      <c r="T57" s="6" t="n">
        <v>146</v>
      </c>
      <c r="U57" s="6" t="n">
        <v>1294</v>
      </c>
      <c r="V57" s="6" t="n">
        <v>796</v>
      </c>
      <c r="W57" s="6" t="n">
        <v>781</v>
      </c>
      <c r="X57" s="6" t="n">
        <v>610</v>
      </c>
      <c r="Y57" s="6" t="n">
        <v>185</v>
      </c>
      <c r="Z57" s="6" t="n">
        <v>0</v>
      </c>
      <c r="AA57" s="6" t="n">
        <v>740</v>
      </c>
      <c r="AB57" s="6">
        <f>SUM(D57:AA57)</f>
        <v/>
      </c>
      <c r="AC57" s="3" t="inlineStr"/>
      <c r="AD57" s="7">
        <f>'BBB'!AD57+'Bag Staging'!AD57+'Bag Staging Volumetric'!AD57+'FWD FSM'!AD57+'FWD Manual Pre Primary'!AD57+'FWD Manual Primary'!AD57+'FWD Primary with Scan'!AD57+'FWD Secondary'!AD57+'FWD Volumetric'!AD57+'IB'!AD57+'IB Volumetric'!AD57+'OB'!AD57+'OB Volumetric'!AD57+'OSC Bag Sorting'!AD57+'OSC Bag Sorting Volumetric'!AD57+'REV FSM'!AD57+'Rejection Primary with Scan'!AD57+'Rejection Secondary'!AD57+'Rev DC DC Primary Sorting'!AD57+'Rev Primary (FSM Rejections)'!AD57+'Rev Secondary Sorting'!AD57+'VIA Bag Sorting'!AD57</f>
        <v/>
      </c>
      <c r="AE57" s="7">
        <f>'BBB'!AE57+'Bag Staging'!AE57+'Bag Staging Volumetric'!AE57+'FWD FSM'!AE57+'FWD Manual Pre Primary'!AE57+'FWD Manual Primary'!AE57+'FWD Primary with Scan'!AE57+'FWD Secondary'!AE57+'FWD Volumetric'!AE57+'IB'!AE57+'IB Volumetric'!AE57+'OB'!AE57+'OB Volumetric'!AE57+'OSC Bag Sorting'!AE57+'OSC Bag Sorting Volumetric'!AE57+'REV FSM'!AE57+'Rejection Primary with Scan'!AE57+'Rejection Secondary'!AE57+'Rev DC DC Primary Sorting'!AE57+'Rev Primary (FSM Rejections)'!AE57+'Rev Secondary Sorting'!AE57+'VIA Bag Sorting'!AE57</f>
        <v/>
      </c>
      <c r="AF57" s="7">
        <f>'BBB'!AF57+'Bag Staging'!AF57+'Bag Staging Volumetric'!AF57+'FWD FSM'!AF57+'FWD Manual Pre Primary'!AF57+'FWD Manual Primary'!AF57+'FWD Primary with Scan'!AF57+'FWD Secondary'!AF57+'FWD Volumetric'!AF57+'IB'!AF57+'IB Volumetric'!AF57+'OB'!AF57+'OB Volumetric'!AF57+'OSC Bag Sorting'!AF57+'OSC Bag Sorting Volumetric'!AF57+'REV FSM'!AF57+'Rejection Primary with Scan'!AF57+'Rejection Secondary'!AF57+'Rev DC DC Primary Sorting'!AF57+'Rev Primary (FSM Rejections)'!AF57+'Rev Secondary Sorting'!AF57+'VIA Bag Sorting'!AF57</f>
        <v/>
      </c>
      <c r="AG57" s="7">
        <f>'BBB'!AG57+'Bag Staging'!AG57+'Bag Staging Volumetric'!AG57+'FWD FSM'!AG57+'FWD Manual Pre Primary'!AG57+'FWD Manual Primary'!AG57+'FWD Primary with Scan'!AG57+'FWD Secondary'!AG57+'FWD Volumetric'!AG57+'IB'!AG57+'IB Volumetric'!AG57+'OB'!AG57+'OB Volumetric'!AG57+'OSC Bag Sorting'!AG57+'OSC Bag Sorting Volumetric'!AG57+'REV FSM'!AG57+'Rejection Primary with Scan'!AG57+'Rejection Secondary'!AG57+'Rev DC DC Primary Sorting'!AG57+'Rev Primary (FSM Rejections)'!AG57+'Rev Secondary Sorting'!AG57+'VIA Bag Sorting'!AG57</f>
        <v/>
      </c>
      <c r="AH57" s="7">
        <f>'BBB'!AH57+'Bag Staging'!AH57+'Bag Staging Volumetric'!AH57+'FWD FSM'!AH57+'FWD Manual Pre Primary'!AH57+'FWD Manual Primary'!AH57+'FWD Primary with Scan'!AH57+'FWD Secondary'!AH57+'FWD Volumetric'!AH57+'IB'!AH57+'IB Volumetric'!AH57+'OB'!AH57+'OB Volumetric'!AH57+'OSC Bag Sorting'!AH57+'OSC Bag Sorting Volumetric'!AH57+'REV FSM'!AH57+'Rejection Primary with Scan'!AH57+'Rejection Secondary'!AH57+'Rev DC DC Primary Sorting'!AH57+'Rev Primary (FSM Rejections)'!AH57+'Rev Secondary Sorting'!AH57+'VIA Bag Sorting'!AH57</f>
        <v/>
      </c>
      <c r="AI57" s="7">
        <f>'BBB'!AI57+'Bag Staging'!AI57+'Bag Staging Volumetric'!AI57+'FWD FSM'!AI57+'FWD Manual Pre Primary'!AI57+'FWD Manual Primary'!AI57+'FWD Primary with Scan'!AI57+'FWD Secondary'!AI57+'FWD Volumetric'!AI57+'IB'!AI57+'IB Volumetric'!AI57+'OB'!AI57+'OB Volumetric'!AI57+'OSC Bag Sorting'!AI57+'OSC Bag Sorting Volumetric'!AI57+'REV FSM'!AI57+'Rejection Primary with Scan'!AI57+'Rejection Secondary'!AI57+'Rev DC DC Primary Sorting'!AI57+'Rev Primary (FSM Rejections)'!AI57+'Rev Secondary Sorting'!AI57+'VIA Bag Sorting'!AI57</f>
        <v/>
      </c>
      <c r="AJ57" s="7">
        <f>'BBB'!AJ57+'Bag Staging'!AJ57+'Bag Staging Volumetric'!AJ57+'FWD FSM'!AJ57+'FWD Manual Pre Primary'!AJ57+'FWD Manual Primary'!AJ57+'FWD Primary with Scan'!AJ57+'FWD Secondary'!AJ57+'FWD Volumetric'!AJ57+'IB'!AJ57+'IB Volumetric'!AJ57+'OB'!AJ57+'OB Volumetric'!AJ57+'OSC Bag Sorting'!AJ57+'OSC Bag Sorting Volumetric'!AJ57+'REV FSM'!AJ57+'Rejection Primary with Scan'!AJ57+'Rejection Secondary'!AJ57+'Rev DC DC Primary Sorting'!AJ57+'Rev Primary (FSM Rejections)'!AJ57+'Rev Secondary Sorting'!AJ57+'VIA Bag Sorting'!AJ57</f>
        <v/>
      </c>
      <c r="AK57" s="7">
        <f>'BBB'!AK57+'Bag Staging'!AK57+'Bag Staging Volumetric'!AK57+'FWD FSM'!AK57+'FWD Manual Pre Primary'!AK57+'FWD Manual Primary'!AK57+'FWD Primary with Scan'!AK57+'FWD Secondary'!AK57+'FWD Volumetric'!AK57+'IB'!AK57+'IB Volumetric'!AK57+'OB'!AK57+'OB Volumetric'!AK57+'OSC Bag Sorting'!AK57+'OSC Bag Sorting Volumetric'!AK57+'REV FSM'!AK57+'Rejection Primary with Scan'!AK57+'Rejection Secondary'!AK57+'Rev DC DC Primary Sorting'!AK57+'Rev Primary (FSM Rejections)'!AK57+'Rev Secondary Sorting'!AK57+'VIA Bag Sorting'!AK57</f>
        <v/>
      </c>
      <c r="AL57" s="7">
        <f>'BBB'!AL57+'Bag Staging'!AL57+'Bag Staging Volumetric'!AL57+'FWD FSM'!AL57+'FWD Manual Pre Primary'!AL57+'FWD Manual Primary'!AL57+'FWD Primary with Scan'!AL57+'FWD Secondary'!AL57+'FWD Volumetric'!AL57+'IB'!AL57+'IB Volumetric'!AL57+'OB'!AL57+'OB Volumetric'!AL57+'OSC Bag Sorting'!AL57+'OSC Bag Sorting Volumetric'!AL57+'REV FSM'!AL57+'Rejection Primary with Scan'!AL57+'Rejection Secondary'!AL57+'Rev DC DC Primary Sorting'!AL57+'Rev Primary (FSM Rejections)'!AL57+'Rev Secondary Sorting'!AL57+'VIA Bag Sorting'!AL57</f>
        <v/>
      </c>
      <c r="AM57" s="7">
        <f>'BBB'!AM57+'Bag Staging'!AM57+'Bag Staging Volumetric'!AM57+'FWD FSM'!AM57+'FWD Manual Pre Primary'!AM57+'FWD Manual Primary'!AM57+'FWD Primary with Scan'!AM57+'FWD Secondary'!AM57+'FWD Volumetric'!AM57+'IB'!AM57+'IB Volumetric'!AM57+'OB'!AM57+'OB Volumetric'!AM57+'OSC Bag Sorting'!AM57+'OSC Bag Sorting Volumetric'!AM57+'REV FSM'!AM57+'Rejection Primary with Scan'!AM57+'Rejection Secondary'!AM57+'Rev DC DC Primary Sorting'!AM57+'Rev Primary (FSM Rejections)'!AM57+'Rev Secondary Sorting'!AM57+'VIA Bag Sorting'!AM57</f>
        <v/>
      </c>
      <c r="AN57" s="7">
        <f>'BBB'!AN57+'Bag Staging'!AN57+'Bag Staging Volumetric'!AN57+'FWD FSM'!AN57+'FWD Manual Pre Primary'!AN57+'FWD Manual Primary'!AN57+'FWD Primary with Scan'!AN57+'FWD Secondary'!AN57+'FWD Volumetric'!AN57+'IB'!AN57+'IB Volumetric'!AN57+'OB'!AN57+'OB Volumetric'!AN57+'OSC Bag Sorting'!AN57+'OSC Bag Sorting Volumetric'!AN57+'REV FSM'!AN57+'Rejection Primary with Scan'!AN57+'Rejection Secondary'!AN57+'Rev DC DC Primary Sorting'!AN57+'Rev Primary (FSM Rejections)'!AN57+'Rev Secondary Sorting'!AN57+'VIA Bag Sorting'!AN57</f>
        <v/>
      </c>
      <c r="AO57" s="7">
        <f>'BBB'!AO57+'Bag Staging'!AO57+'Bag Staging Volumetric'!AO57+'FWD FSM'!AO57+'FWD Manual Pre Primary'!AO57+'FWD Manual Primary'!AO57+'FWD Primary with Scan'!AO57+'FWD Secondary'!AO57+'FWD Volumetric'!AO57+'IB'!AO57+'IB Volumetric'!AO57+'OB'!AO57+'OB Volumetric'!AO57+'OSC Bag Sorting'!AO57+'OSC Bag Sorting Volumetric'!AO57+'REV FSM'!AO57+'Rejection Primary with Scan'!AO57+'Rejection Secondary'!AO57+'Rev DC DC Primary Sorting'!AO57+'Rev Primary (FSM Rejections)'!AO57+'Rev Secondary Sorting'!AO57+'VIA Bag Sorting'!AO57</f>
        <v/>
      </c>
      <c r="AP57" s="7">
        <f>'BBB'!AP57+'Bag Staging'!AP57+'Bag Staging Volumetric'!AP57+'FWD FSM'!AP57+'FWD Manual Pre Primary'!AP57+'FWD Manual Primary'!AP57+'FWD Primary with Scan'!AP57+'FWD Secondary'!AP57+'FWD Volumetric'!AP57+'IB'!AP57+'IB Volumetric'!AP57+'OB'!AP57+'OB Volumetric'!AP57+'OSC Bag Sorting'!AP57+'OSC Bag Sorting Volumetric'!AP57+'REV FSM'!AP57+'Rejection Primary with Scan'!AP57+'Rejection Secondary'!AP57+'Rev DC DC Primary Sorting'!AP57+'Rev Primary (FSM Rejections)'!AP57+'Rev Secondary Sorting'!AP57+'VIA Bag Sorting'!AP57</f>
        <v/>
      </c>
      <c r="AQ57" s="7">
        <f>'BBB'!AQ57+'Bag Staging'!AQ57+'Bag Staging Volumetric'!AQ57+'FWD FSM'!AQ57+'FWD Manual Pre Primary'!AQ57+'FWD Manual Primary'!AQ57+'FWD Primary with Scan'!AQ57+'FWD Secondary'!AQ57+'FWD Volumetric'!AQ57+'IB'!AQ57+'IB Volumetric'!AQ57+'OB'!AQ57+'OB Volumetric'!AQ57+'OSC Bag Sorting'!AQ57+'OSC Bag Sorting Volumetric'!AQ57+'REV FSM'!AQ57+'Rejection Primary with Scan'!AQ57+'Rejection Secondary'!AQ57+'Rev DC DC Primary Sorting'!AQ57+'Rev Primary (FSM Rejections)'!AQ57+'Rev Secondary Sorting'!AQ57+'VIA Bag Sorting'!AQ57</f>
        <v/>
      </c>
      <c r="AR57" s="7">
        <f>'BBB'!AR57+'Bag Staging'!AR57+'Bag Staging Volumetric'!AR57+'FWD FSM'!AR57+'FWD Manual Pre Primary'!AR57+'FWD Manual Primary'!AR57+'FWD Primary with Scan'!AR57+'FWD Secondary'!AR57+'FWD Volumetric'!AR57+'IB'!AR57+'IB Volumetric'!AR57+'OB'!AR57+'OB Volumetric'!AR57+'OSC Bag Sorting'!AR57+'OSC Bag Sorting Volumetric'!AR57+'REV FSM'!AR57+'Rejection Primary with Scan'!AR57+'Rejection Secondary'!AR57+'Rev DC DC Primary Sorting'!AR57+'Rev Primary (FSM Rejections)'!AR57+'Rev Secondary Sorting'!AR57+'VIA Bag Sorting'!AR57</f>
        <v/>
      </c>
      <c r="AS57" s="7">
        <f>'BBB'!AS57+'Bag Staging'!AS57+'Bag Staging Volumetric'!AS57+'FWD FSM'!AS57+'FWD Manual Pre Primary'!AS57+'FWD Manual Primary'!AS57+'FWD Primary with Scan'!AS57+'FWD Secondary'!AS57+'FWD Volumetric'!AS57+'IB'!AS57+'IB Volumetric'!AS57+'OB'!AS57+'OB Volumetric'!AS57+'OSC Bag Sorting'!AS57+'OSC Bag Sorting Volumetric'!AS57+'REV FSM'!AS57+'Rejection Primary with Scan'!AS57+'Rejection Secondary'!AS57+'Rev DC DC Primary Sorting'!AS57+'Rev Primary (FSM Rejections)'!AS57+'Rev Secondary Sorting'!AS57+'VIA Bag Sorting'!AS57</f>
        <v/>
      </c>
      <c r="AT57" s="7">
        <f>'BBB'!AT57+'Bag Staging'!AT57+'Bag Staging Volumetric'!AT57+'FWD FSM'!AT57+'FWD Manual Pre Primary'!AT57+'FWD Manual Primary'!AT57+'FWD Primary with Scan'!AT57+'FWD Secondary'!AT57+'FWD Volumetric'!AT57+'IB'!AT57+'IB Volumetric'!AT57+'OB'!AT57+'OB Volumetric'!AT57+'OSC Bag Sorting'!AT57+'OSC Bag Sorting Volumetric'!AT57+'REV FSM'!AT57+'Rejection Primary with Scan'!AT57+'Rejection Secondary'!AT57+'Rev DC DC Primary Sorting'!AT57+'Rev Primary (FSM Rejections)'!AT57+'Rev Secondary Sorting'!AT57+'VIA Bag Sorting'!AT57</f>
        <v/>
      </c>
      <c r="AU57" s="7">
        <f>'BBB'!AU57+'Bag Staging'!AU57+'Bag Staging Volumetric'!AU57+'FWD FSM'!AU57+'FWD Manual Pre Primary'!AU57+'FWD Manual Primary'!AU57+'FWD Primary with Scan'!AU57+'FWD Secondary'!AU57+'FWD Volumetric'!AU57+'IB'!AU57+'IB Volumetric'!AU57+'OB'!AU57+'OB Volumetric'!AU57+'OSC Bag Sorting'!AU57+'OSC Bag Sorting Volumetric'!AU57+'REV FSM'!AU57+'Rejection Primary with Scan'!AU57+'Rejection Secondary'!AU57+'Rev DC DC Primary Sorting'!AU57+'Rev Primary (FSM Rejections)'!AU57+'Rev Secondary Sorting'!AU57+'VIA Bag Sorting'!AU57</f>
        <v/>
      </c>
      <c r="AV57" s="7">
        <f>'BBB'!AV57+'Bag Staging'!AV57+'Bag Staging Volumetric'!AV57+'FWD FSM'!AV57+'FWD Manual Pre Primary'!AV57+'FWD Manual Primary'!AV57+'FWD Primary with Scan'!AV57+'FWD Secondary'!AV57+'FWD Volumetric'!AV57+'IB'!AV57+'IB Volumetric'!AV57+'OB'!AV57+'OB Volumetric'!AV57+'OSC Bag Sorting'!AV57+'OSC Bag Sorting Volumetric'!AV57+'REV FSM'!AV57+'Rejection Primary with Scan'!AV57+'Rejection Secondary'!AV57+'Rev DC DC Primary Sorting'!AV57+'Rev Primary (FSM Rejections)'!AV57+'Rev Secondary Sorting'!AV57+'VIA Bag Sorting'!AV57</f>
        <v/>
      </c>
      <c r="AW57" s="7">
        <f>'BBB'!AW57+'Bag Staging'!AW57+'Bag Staging Volumetric'!AW57+'FWD FSM'!AW57+'FWD Manual Pre Primary'!AW57+'FWD Manual Primary'!AW57+'FWD Primary with Scan'!AW57+'FWD Secondary'!AW57+'FWD Volumetric'!AW57+'IB'!AW57+'IB Volumetric'!AW57+'OB'!AW57+'OB Volumetric'!AW57+'OSC Bag Sorting'!AW57+'OSC Bag Sorting Volumetric'!AW57+'REV FSM'!AW57+'Rejection Primary with Scan'!AW57+'Rejection Secondary'!AW57+'Rev DC DC Primary Sorting'!AW57+'Rev Primary (FSM Rejections)'!AW57+'Rev Secondary Sorting'!AW57+'VIA Bag Sorting'!AW57</f>
        <v/>
      </c>
      <c r="AX57" s="7">
        <f>'BBB'!AX57+'Bag Staging'!AX57+'Bag Staging Volumetric'!AX57+'FWD FSM'!AX57+'FWD Manual Pre Primary'!AX57+'FWD Manual Primary'!AX57+'FWD Primary with Scan'!AX57+'FWD Secondary'!AX57+'FWD Volumetric'!AX57+'IB'!AX57+'IB Volumetric'!AX57+'OB'!AX57+'OB Volumetric'!AX57+'OSC Bag Sorting'!AX57+'OSC Bag Sorting Volumetric'!AX57+'REV FSM'!AX57+'Rejection Primary with Scan'!AX57+'Rejection Secondary'!AX57+'Rev DC DC Primary Sorting'!AX57+'Rev Primary (FSM Rejections)'!AX57+'Rev Secondary Sorting'!AX57+'VIA Bag Sorting'!AX57</f>
        <v/>
      </c>
      <c r="AY57" s="7">
        <f>'BBB'!AY57+'Bag Staging'!AY57+'Bag Staging Volumetric'!AY57+'FWD FSM'!AY57+'FWD Manual Pre Primary'!AY57+'FWD Manual Primary'!AY57+'FWD Primary with Scan'!AY57+'FWD Secondary'!AY57+'FWD Volumetric'!AY57+'IB'!AY57+'IB Volumetric'!AY57+'OB'!AY57+'OB Volumetric'!AY57+'OSC Bag Sorting'!AY57+'OSC Bag Sorting Volumetric'!AY57+'REV FSM'!AY57+'Rejection Primary with Scan'!AY57+'Rejection Secondary'!AY57+'Rev DC DC Primary Sorting'!AY57+'Rev Primary (FSM Rejections)'!AY57+'Rev Secondary Sorting'!AY57+'VIA Bag Sorting'!AY57</f>
        <v/>
      </c>
      <c r="AZ57" s="7">
        <f>'BBB'!AZ57+'Bag Staging'!AZ57+'Bag Staging Volumetric'!AZ57+'FWD FSM'!AZ57+'FWD Manual Pre Primary'!AZ57+'FWD Manual Primary'!AZ57+'FWD Primary with Scan'!AZ57+'FWD Secondary'!AZ57+'FWD Volumetric'!AZ57+'IB'!AZ57+'IB Volumetric'!AZ57+'OB'!AZ57+'OB Volumetric'!AZ57+'OSC Bag Sorting'!AZ57+'OSC Bag Sorting Volumetric'!AZ57+'REV FSM'!AZ57+'Rejection Primary with Scan'!AZ57+'Rejection Secondary'!AZ57+'Rev DC DC Primary Sorting'!AZ57+'Rev Primary (FSM Rejections)'!AZ57+'Rev Secondary Sorting'!AZ57+'VIA Bag Sorting'!AZ57</f>
        <v/>
      </c>
      <c r="BA57" s="7">
        <f>'BBB'!BA57+'Bag Staging'!BA57+'Bag Staging Volumetric'!BA57+'FWD FSM'!BA57+'FWD Manual Pre Primary'!BA57+'FWD Manual Primary'!BA57+'FWD Primary with Scan'!BA57+'FWD Secondary'!BA57+'FWD Volumetric'!BA57+'IB'!BA57+'IB Volumetric'!BA57+'OB'!BA57+'OB Volumetric'!BA57+'OSC Bag Sorting'!BA57+'OSC Bag Sorting Volumetric'!BA57+'REV FSM'!BA57+'Rejection Primary with Scan'!BA57+'Rejection Secondary'!BA57+'Rev DC DC Primary Sorting'!BA57+'Rev Primary (FSM Rejections)'!BA57+'Rev Secondary Sorting'!BA57+'VIA Bag Sorting'!BA57</f>
        <v/>
      </c>
      <c r="BB57" s="7">
        <f>SUM(AD57:BA57)</f>
        <v/>
      </c>
    </row>
    <row r="58">
      <c r="A58" t="inlineStr">
        <is>
          <t>AMD-FWDREG-SSC</t>
        </is>
      </c>
      <c r="B58" t="inlineStr">
        <is>
          <t>Forward Regular OSC</t>
        </is>
      </c>
      <c r="C58" s="5" t="n">
        <v>46105</v>
      </c>
      <c r="D58" s="6" t="n">
        <v>9271</v>
      </c>
      <c r="E58" s="6" t="n">
        <v>1681</v>
      </c>
      <c r="F58" s="6" t="n">
        <v>5321</v>
      </c>
      <c r="G58" s="6" t="n">
        <v>4553</v>
      </c>
      <c r="H58" s="6" t="n">
        <v>2872</v>
      </c>
      <c r="I58" s="6" t="n">
        <v>5469</v>
      </c>
      <c r="J58" s="6" t="n">
        <v>4531</v>
      </c>
      <c r="K58" s="6" t="n">
        <v>0</v>
      </c>
      <c r="L58" s="6" t="n">
        <v>10</v>
      </c>
      <c r="M58" s="6" t="n">
        <v>9298</v>
      </c>
      <c r="N58" s="6" t="n">
        <v>6168</v>
      </c>
      <c r="O58" s="6" t="n">
        <v>5305</v>
      </c>
      <c r="P58" s="6" t="n">
        <v>3296</v>
      </c>
      <c r="Q58" s="6" t="n">
        <v>7377</v>
      </c>
      <c r="R58" s="6" t="n">
        <v>3922</v>
      </c>
      <c r="S58" s="6" t="n">
        <v>201</v>
      </c>
      <c r="T58" s="6" t="n">
        <v>802</v>
      </c>
      <c r="U58" s="6" t="n">
        <v>1998</v>
      </c>
      <c r="V58" s="6" t="n">
        <v>1282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0</v>
      </c>
      <c r="AB58" s="6">
        <f>SUM(D58:AA58)</f>
        <v/>
      </c>
      <c r="AC58" s="3" t="inlineStr"/>
      <c r="AD58" s="7">
        <f>'BBB'!AD58+'Bag Staging'!AD58+'Bag Staging Volumetric'!AD58+'FWD FSM'!AD58+'FWD Manual Pre Primary'!AD58+'FWD Manual Primary'!AD58+'FWD Primary with Scan'!AD58+'FWD Secondary'!AD58+'FWD Volumetric'!AD58+'IB'!AD58+'IB Volumetric'!AD58+'OB'!AD58+'OB Volumetric'!AD58+'OSC Bag Sorting'!AD58+'OSC Bag Sorting Volumetric'!AD58+'REV FSM'!AD58+'Rejection Primary with Scan'!AD58+'Rejection Secondary'!AD58+'Rev DC DC Primary Sorting'!AD58+'Rev Primary (FSM Rejections)'!AD58+'Rev Secondary Sorting'!AD58+'VIA Bag Sorting'!AD58</f>
        <v/>
      </c>
      <c r="AE58" s="7">
        <f>'BBB'!AE58+'Bag Staging'!AE58+'Bag Staging Volumetric'!AE58+'FWD FSM'!AE58+'FWD Manual Pre Primary'!AE58+'FWD Manual Primary'!AE58+'FWD Primary with Scan'!AE58+'FWD Secondary'!AE58+'FWD Volumetric'!AE58+'IB'!AE58+'IB Volumetric'!AE58+'OB'!AE58+'OB Volumetric'!AE58+'OSC Bag Sorting'!AE58+'OSC Bag Sorting Volumetric'!AE58+'REV FSM'!AE58+'Rejection Primary with Scan'!AE58+'Rejection Secondary'!AE58+'Rev DC DC Primary Sorting'!AE58+'Rev Primary (FSM Rejections)'!AE58+'Rev Secondary Sorting'!AE58+'VIA Bag Sorting'!AE58</f>
        <v/>
      </c>
      <c r="AF58" s="7">
        <f>'BBB'!AF58+'Bag Staging'!AF58+'Bag Staging Volumetric'!AF58+'FWD FSM'!AF58+'FWD Manual Pre Primary'!AF58+'FWD Manual Primary'!AF58+'FWD Primary with Scan'!AF58+'FWD Secondary'!AF58+'FWD Volumetric'!AF58+'IB'!AF58+'IB Volumetric'!AF58+'OB'!AF58+'OB Volumetric'!AF58+'OSC Bag Sorting'!AF58+'OSC Bag Sorting Volumetric'!AF58+'REV FSM'!AF58+'Rejection Primary with Scan'!AF58+'Rejection Secondary'!AF58+'Rev DC DC Primary Sorting'!AF58+'Rev Primary (FSM Rejections)'!AF58+'Rev Secondary Sorting'!AF58+'VIA Bag Sorting'!AF58</f>
        <v/>
      </c>
      <c r="AG58" s="7">
        <f>'BBB'!AG58+'Bag Staging'!AG58+'Bag Staging Volumetric'!AG58+'FWD FSM'!AG58+'FWD Manual Pre Primary'!AG58+'FWD Manual Primary'!AG58+'FWD Primary with Scan'!AG58+'FWD Secondary'!AG58+'FWD Volumetric'!AG58+'IB'!AG58+'IB Volumetric'!AG58+'OB'!AG58+'OB Volumetric'!AG58+'OSC Bag Sorting'!AG58+'OSC Bag Sorting Volumetric'!AG58+'REV FSM'!AG58+'Rejection Primary with Scan'!AG58+'Rejection Secondary'!AG58+'Rev DC DC Primary Sorting'!AG58+'Rev Primary (FSM Rejections)'!AG58+'Rev Secondary Sorting'!AG58+'VIA Bag Sorting'!AG58</f>
        <v/>
      </c>
      <c r="AH58" s="7">
        <f>'BBB'!AH58+'Bag Staging'!AH58+'Bag Staging Volumetric'!AH58+'FWD FSM'!AH58+'FWD Manual Pre Primary'!AH58+'FWD Manual Primary'!AH58+'FWD Primary with Scan'!AH58+'FWD Secondary'!AH58+'FWD Volumetric'!AH58+'IB'!AH58+'IB Volumetric'!AH58+'OB'!AH58+'OB Volumetric'!AH58+'OSC Bag Sorting'!AH58+'OSC Bag Sorting Volumetric'!AH58+'REV FSM'!AH58+'Rejection Primary with Scan'!AH58+'Rejection Secondary'!AH58+'Rev DC DC Primary Sorting'!AH58+'Rev Primary (FSM Rejections)'!AH58+'Rev Secondary Sorting'!AH58+'VIA Bag Sorting'!AH58</f>
        <v/>
      </c>
      <c r="AI58" s="7">
        <f>'BBB'!AI58+'Bag Staging'!AI58+'Bag Staging Volumetric'!AI58+'FWD FSM'!AI58+'FWD Manual Pre Primary'!AI58+'FWD Manual Primary'!AI58+'FWD Primary with Scan'!AI58+'FWD Secondary'!AI58+'FWD Volumetric'!AI58+'IB'!AI58+'IB Volumetric'!AI58+'OB'!AI58+'OB Volumetric'!AI58+'OSC Bag Sorting'!AI58+'OSC Bag Sorting Volumetric'!AI58+'REV FSM'!AI58+'Rejection Primary with Scan'!AI58+'Rejection Secondary'!AI58+'Rev DC DC Primary Sorting'!AI58+'Rev Primary (FSM Rejections)'!AI58+'Rev Secondary Sorting'!AI58+'VIA Bag Sorting'!AI58</f>
        <v/>
      </c>
      <c r="AJ58" s="7">
        <f>'BBB'!AJ58+'Bag Staging'!AJ58+'Bag Staging Volumetric'!AJ58+'FWD FSM'!AJ58+'FWD Manual Pre Primary'!AJ58+'FWD Manual Primary'!AJ58+'FWD Primary with Scan'!AJ58+'FWD Secondary'!AJ58+'FWD Volumetric'!AJ58+'IB'!AJ58+'IB Volumetric'!AJ58+'OB'!AJ58+'OB Volumetric'!AJ58+'OSC Bag Sorting'!AJ58+'OSC Bag Sorting Volumetric'!AJ58+'REV FSM'!AJ58+'Rejection Primary with Scan'!AJ58+'Rejection Secondary'!AJ58+'Rev DC DC Primary Sorting'!AJ58+'Rev Primary (FSM Rejections)'!AJ58+'Rev Secondary Sorting'!AJ58+'VIA Bag Sorting'!AJ58</f>
        <v/>
      </c>
      <c r="AK58" s="7">
        <f>'BBB'!AK58+'Bag Staging'!AK58+'Bag Staging Volumetric'!AK58+'FWD FSM'!AK58+'FWD Manual Pre Primary'!AK58+'FWD Manual Primary'!AK58+'FWD Primary with Scan'!AK58+'FWD Secondary'!AK58+'FWD Volumetric'!AK58+'IB'!AK58+'IB Volumetric'!AK58+'OB'!AK58+'OB Volumetric'!AK58+'OSC Bag Sorting'!AK58+'OSC Bag Sorting Volumetric'!AK58+'REV FSM'!AK58+'Rejection Primary with Scan'!AK58+'Rejection Secondary'!AK58+'Rev DC DC Primary Sorting'!AK58+'Rev Primary (FSM Rejections)'!AK58+'Rev Secondary Sorting'!AK58+'VIA Bag Sorting'!AK58</f>
        <v/>
      </c>
      <c r="AL58" s="7">
        <f>'BBB'!AL58+'Bag Staging'!AL58+'Bag Staging Volumetric'!AL58+'FWD FSM'!AL58+'FWD Manual Pre Primary'!AL58+'FWD Manual Primary'!AL58+'FWD Primary with Scan'!AL58+'FWD Secondary'!AL58+'FWD Volumetric'!AL58+'IB'!AL58+'IB Volumetric'!AL58+'OB'!AL58+'OB Volumetric'!AL58+'OSC Bag Sorting'!AL58+'OSC Bag Sorting Volumetric'!AL58+'REV FSM'!AL58+'Rejection Primary with Scan'!AL58+'Rejection Secondary'!AL58+'Rev DC DC Primary Sorting'!AL58+'Rev Primary (FSM Rejections)'!AL58+'Rev Secondary Sorting'!AL58+'VIA Bag Sorting'!AL58</f>
        <v/>
      </c>
      <c r="AM58" s="7">
        <f>'BBB'!AM58+'Bag Staging'!AM58+'Bag Staging Volumetric'!AM58+'FWD FSM'!AM58+'FWD Manual Pre Primary'!AM58+'FWD Manual Primary'!AM58+'FWD Primary with Scan'!AM58+'FWD Secondary'!AM58+'FWD Volumetric'!AM58+'IB'!AM58+'IB Volumetric'!AM58+'OB'!AM58+'OB Volumetric'!AM58+'OSC Bag Sorting'!AM58+'OSC Bag Sorting Volumetric'!AM58+'REV FSM'!AM58+'Rejection Primary with Scan'!AM58+'Rejection Secondary'!AM58+'Rev DC DC Primary Sorting'!AM58+'Rev Primary (FSM Rejections)'!AM58+'Rev Secondary Sorting'!AM58+'VIA Bag Sorting'!AM58</f>
        <v/>
      </c>
      <c r="AN58" s="7">
        <f>'BBB'!AN58+'Bag Staging'!AN58+'Bag Staging Volumetric'!AN58+'FWD FSM'!AN58+'FWD Manual Pre Primary'!AN58+'FWD Manual Primary'!AN58+'FWD Primary with Scan'!AN58+'FWD Secondary'!AN58+'FWD Volumetric'!AN58+'IB'!AN58+'IB Volumetric'!AN58+'OB'!AN58+'OB Volumetric'!AN58+'OSC Bag Sorting'!AN58+'OSC Bag Sorting Volumetric'!AN58+'REV FSM'!AN58+'Rejection Primary with Scan'!AN58+'Rejection Secondary'!AN58+'Rev DC DC Primary Sorting'!AN58+'Rev Primary (FSM Rejections)'!AN58+'Rev Secondary Sorting'!AN58+'VIA Bag Sorting'!AN58</f>
        <v/>
      </c>
      <c r="AO58" s="7">
        <f>'BBB'!AO58+'Bag Staging'!AO58+'Bag Staging Volumetric'!AO58+'FWD FSM'!AO58+'FWD Manual Pre Primary'!AO58+'FWD Manual Primary'!AO58+'FWD Primary with Scan'!AO58+'FWD Secondary'!AO58+'FWD Volumetric'!AO58+'IB'!AO58+'IB Volumetric'!AO58+'OB'!AO58+'OB Volumetric'!AO58+'OSC Bag Sorting'!AO58+'OSC Bag Sorting Volumetric'!AO58+'REV FSM'!AO58+'Rejection Primary with Scan'!AO58+'Rejection Secondary'!AO58+'Rev DC DC Primary Sorting'!AO58+'Rev Primary (FSM Rejections)'!AO58+'Rev Secondary Sorting'!AO58+'VIA Bag Sorting'!AO58</f>
        <v/>
      </c>
      <c r="AP58" s="7">
        <f>'BBB'!AP58+'Bag Staging'!AP58+'Bag Staging Volumetric'!AP58+'FWD FSM'!AP58+'FWD Manual Pre Primary'!AP58+'FWD Manual Primary'!AP58+'FWD Primary with Scan'!AP58+'FWD Secondary'!AP58+'FWD Volumetric'!AP58+'IB'!AP58+'IB Volumetric'!AP58+'OB'!AP58+'OB Volumetric'!AP58+'OSC Bag Sorting'!AP58+'OSC Bag Sorting Volumetric'!AP58+'REV FSM'!AP58+'Rejection Primary with Scan'!AP58+'Rejection Secondary'!AP58+'Rev DC DC Primary Sorting'!AP58+'Rev Primary (FSM Rejections)'!AP58+'Rev Secondary Sorting'!AP58+'VIA Bag Sorting'!AP58</f>
        <v/>
      </c>
      <c r="AQ58" s="7">
        <f>'BBB'!AQ58+'Bag Staging'!AQ58+'Bag Staging Volumetric'!AQ58+'FWD FSM'!AQ58+'FWD Manual Pre Primary'!AQ58+'FWD Manual Primary'!AQ58+'FWD Primary with Scan'!AQ58+'FWD Secondary'!AQ58+'FWD Volumetric'!AQ58+'IB'!AQ58+'IB Volumetric'!AQ58+'OB'!AQ58+'OB Volumetric'!AQ58+'OSC Bag Sorting'!AQ58+'OSC Bag Sorting Volumetric'!AQ58+'REV FSM'!AQ58+'Rejection Primary with Scan'!AQ58+'Rejection Secondary'!AQ58+'Rev DC DC Primary Sorting'!AQ58+'Rev Primary (FSM Rejections)'!AQ58+'Rev Secondary Sorting'!AQ58+'VIA Bag Sorting'!AQ58</f>
        <v/>
      </c>
      <c r="AR58" s="7">
        <f>'BBB'!AR58+'Bag Staging'!AR58+'Bag Staging Volumetric'!AR58+'FWD FSM'!AR58+'FWD Manual Pre Primary'!AR58+'FWD Manual Primary'!AR58+'FWD Primary with Scan'!AR58+'FWD Secondary'!AR58+'FWD Volumetric'!AR58+'IB'!AR58+'IB Volumetric'!AR58+'OB'!AR58+'OB Volumetric'!AR58+'OSC Bag Sorting'!AR58+'OSC Bag Sorting Volumetric'!AR58+'REV FSM'!AR58+'Rejection Primary with Scan'!AR58+'Rejection Secondary'!AR58+'Rev DC DC Primary Sorting'!AR58+'Rev Primary (FSM Rejections)'!AR58+'Rev Secondary Sorting'!AR58+'VIA Bag Sorting'!AR58</f>
        <v/>
      </c>
      <c r="AS58" s="7">
        <f>'BBB'!AS58+'Bag Staging'!AS58+'Bag Staging Volumetric'!AS58+'FWD FSM'!AS58+'FWD Manual Pre Primary'!AS58+'FWD Manual Primary'!AS58+'FWD Primary with Scan'!AS58+'FWD Secondary'!AS58+'FWD Volumetric'!AS58+'IB'!AS58+'IB Volumetric'!AS58+'OB'!AS58+'OB Volumetric'!AS58+'OSC Bag Sorting'!AS58+'OSC Bag Sorting Volumetric'!AS58+'REV FSM'!AS58+'Rejection Primary with Scan'!AS58+'Rejection Secondary'!AS58+'Rev DC DC Primary Sorting'!AS58+'Rev Primary (FSM Rejections)'!AS58+'Rev Secondary Sorting'!AS58+'VIA Bag Sorting'!AS58</f>
        <v/>
      </c>
      <c r="AT58" s="7">
        <f>'BBB'!AT58+'Bag Staging'!AT58+'Bag Staging Volumetric'!AT58+'FWD FSM'!AT58+'FWD Manual Pre Primary'!AT58+'FWD Manual Primary'!AT58+'FWD Primary with Scan'!AT58+'FWD Secondary'!AT58+'FWD Volumetric'!AT58+'IB'!AT58+'IB Volumetric'!AT58+'OB'!AT58+'OB Volumetric'!AT58+'OSC Bag Sorting'!AT58+'OSC Bag Sorting Volumetric'!AT58+'REV FSM'!AT58+'Rejection Primary with Scan'!AT58+'Rejection Secondary'!AT58+'Rev DC DC Primary Sorting'!AT58+'Rev Primary (FSM Rejections)'!AT58+'Rev Secondary Sorting'!AT58+'VIA Bag Sorting'!AT58</f>
        <v/>
      </c>
      <c r="AU58" s="7">
        <f>'BBB'!AU58+'Bag Staging'!AU58+'Bag Staging Volumetric'!AU58+'FWD FSM'!AU58+'FWD Manual Pre Primary'!AU58+'FWD Manual Primary'!AU58+'FWD Primary with Scan'!AU58+'FWD Secondary'!AU58+'FWD Volumetric'!AU58+'IB'!AU58+'IB Volumetric'!AU58+'OB'!AU58+'OB Volumetric'!AU58+'OSC Bag Sorting'!AU58+'OSC Bag Sorting Volumetric'!AU58+'REV FSM'!AU58+'Rejection Primary with Scan'!AU58+'Rejection Secondary'!AU58+'Rev DC DC Primary Sorting'!AU58+'Rev Primary (FSM Rejections)'!AU58+'Rev Secondary Sorting'!AU58+'VIA Bag Sorting'!AU58</f>
        <v/>
      </c>
      <c r="AV58" s="7">
        <f>'BBB'!AV58+'Bag Staging'!AV58+'Bag Staging Volumetric'!AV58+'FWD FSM'!AV58+'FWD Manual Pre Primary'!AV58+'FWD Manual Primary'!AV58+'FWD Primary with Scan'!AV58+'FWD Secondary'!AV58+'FWD Volumetric'!AV58+'IB'!AV58+'IB Volumetric'!AV58+'OB'!AV58+'OB Volumetric'!AV58+'OSC Bag Sorting'!AV58+'OSC Bag Sorting Volumetric'!AV58+'REV FSM'!AV58+'Rejection Primary with Scan'!AV58+'Rejection Secondary'!AV58+'Rev DC DC Primary Sorting'!AV58+'Rev Primary (FSM Rejections)'!AV58+'Rev Secondary Sorting'!AV58+'VIA Bag Sorting'!AV58</f>
        <v/>
      </c>
      <c r="AW58" s="7">
        <f>'BBB'!AW58+'Bag Staging'!AW58+'Bag Staging Volumetric'!AW58+'FWD FSM'!AW58+'FWD Manual Pre Primary'!AW58+'FWD Manual Primary'!AW58+'FWD Primary with Scan'!AW58+'FWD Secondary'!AW58+'FWD Volumetric'!AW58+'IB'!AW58+'IB Volumetric'!AW58+'OB'!AW58+'OB Volumetric'!AW58+'OSC Bag Sorting'!AW58+'OSC Bag Sorting Volumetric'!AW58+'REV FSM'!AW58+'Rejection Primary with Scan'!AW58+'Rejection Secondary'!AW58+'Rev DC DC Primary Sorting'!AW58+'Rev Primary (FSM Rejections)'!AW58+'Rev Secondary Sorting'!AW58+'VIA Bag Sorting'!AW58</f>
        <v/>
      </c>
      <c r="AX58" s="7">
        <f>'BBB'!AX58+'Bag Staging'!AX58+'Bag Staging Volumetric'!AX58+'FWD FSM'!AX58+'FWD Manual Pre Primary'!AX58+'FWD Manual Primary'!AX58+'FWD Primary with Scan'!AX58+'FWD Secondary'!AX58+'FWD Volumetric'!AX58+'IB'!AX58+'IB Volumetric'!AX58+'OB'!AX58+'OB Volumetric'!AX58+'OSC Bag Sorting'!AX58+'OSC Bag Sorting Volumetric'!AX58+'REV FSM'!AX58+'Rejection Primary with Scan'!AX58+'Rejection Secondary'!AX58+'Rev DC DC Primary Sorting'!AX58+'Rev Primary (FSM Rejections)'!AX58+'Rev Secondary Sorting'!AX58+'VIA Bag Sorting'!AX58</f>
        <v/>
      </c>
      <c r="AY58" s="7">
        <f>'BBB'!AY58+'Bag Staging'!AY58+'Bag Staging Volumetric'!AY58+'FWD FSM'!AY58+'FWD Manual Pre Primary'!AY58+'FWD Manual Primary'!AY58+'FWD Primary with Scan'!AY58+'FWD Secondary'!AY58+'FWD Volumetric'!AY58+'IB'!AY58+'IB Volumetric'!AY58+'OB'!AY58+'OB Volumetric'!AY58+'OSC Bag Sorting'!AY58+'OSC Bag Sorting Volumetric'!AY58+'REV FSM'!AY58+'Rejection Primary with Scan'!AY58+'Rejection Secondary'!AY58+'Rev DC DC Primary Sorting'!AY58+'Rev Primary (FSM Rejections)'!AY58+'Rev Secondary Sorting'!AY58+'VIA Bag Sorting'!AY58</f>
        <v/>
      </c>
      <c r="AZ58" s="7">
        <f>'BBB'!AZ58+'Bag Staging'!AZ58+'Bag Staging Volumetric'!AZ58+'FWD FSM'!AZ58+'FWD Manual Pre Primary'!AZ58+'FWD Manual Primary'!AZ58+'FWD Primary with Scan'!AZ58+'FWD Secondary'!AZ58+'FWD Volumetric'!AZ58+'IB'!AZ58+'IB Volumetric'!AZ58+'OB'!AZ58+'OB Volumetric'!AZ58+'OSC Bag Sorting'!AZ58+'OSC Bag Sorting Volumetric'!AZ58+'REV FSM'!AZ58+'Rejection Primary with Scan'!AZ58+'Rejection Secondary'!AZ58+'Rev DC DC Primary Sorting'!AZ58+'Rev Primary (FSM Rejections)'!AZ58+'Rev Secondary Sorting'!AZ58+'VIA Bag Sorting'!AZ58</f>
        <v/>
      </c>
      <c r="BA58" s="7">
        <f>'BBB'!BA58+'Bag Staging'!BA58+'Bag Staging Volumetric'!BA58+'FWD FSM'!BA58+'FWD Manual Pre Primary'!BA58+'FWD Manual Primary'!BA58+'FWD Primary with Scan'!BA58+'FWD Secondary'!BA58+'FWD Volumetric'!BA58+'IB'!BA58+'IB Volumetric'!BA58+'OB'!BA58+'OB Volumetric'!BA58+'OSC Bag Sorting'!BA58+'OSC Bag Sorting Volumetric'!BA58+'REV FSM'!BA58+'Rejection Primary with Scan'!BA58+'Rejection Secondary'!BA58+'Rev DC DC Primary Sorting'!BA58+'Rev Primary (FSM Rejections)'!BA58+'Rev Secondary Sorting'!BA58+'VIA Bag Sorting'!BA58</f>
        <v/>
      </c>
      <c r="BB58" s="7">
        <f>SUM(AD58:BA58)</f>
        <v/>
      </c>
    </row>
    <row r="59">
      <c r="A59" t="inlineStr">
        <is>
          <t>AMD-INTRA-SSC</t>
        </is>
      </c>
      <c r="B59" t="inlineStr">
        <is>
          <t>Forward Regular OSC</t>
        </is>
      </c>
      <c r="C59" s="5" t="n">
        <v>46098</v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Q59" s="6" t="n">
        <v>0</v>
      </c>
      <c r="R59" s="6" t="n">
        <v>0</v>
      </c>
      <c r="S59" s="6" t="n">
        <v>0</v>
      </c>
      <c r="T59" s="6" t="n">
        <v>140</v>
      </c>
      <c r="U59" s="6" t="n">
        <v>121</v>
      </c>
      <c r="V59" s="6" t="n">
        <v>0</v>
      </c>
      <c r="W59" s="6" t="n">
        <v>0</v>
      </c>
      <c r="X59" s="6" t="n">
        <v>0</v>
      </c>
      <c r="Y59" s="6" t="n">
        <v>116</v>
      </c>
      <c r="Z59" s="6" t="n">
        <v>213</v>
      </c>
      <c r="AA59" s="6" t="n">
        <v>154</v>
      </c>
      <c r="AB59" s="6">
        <f>SUM(D59:AA59)</f>
        <v/>
      </c>
      <c r="AC59" s="3" t="inlineStr"/>
      <c r="AD59" s="7">
        <f>'BBB'!AD59+'Bag Staging'!AD59+'Bag Staging Volumetric'!AD59+'FWD FSM'!AD59+'FWD Manual Pre Primary'!AD59+'FWD Manual Primary'!AD59+'FWD Primary with Scan'!AD59+'FWD Secondary'!AD59+'FWD Volumetric'!AD59+'IB'!AD59+'IB Volumetric'!AD59+'OB'!AD59+'OB Volumetric'!AD59+'OSC Bag Sorting'!AD59+'OSC Bag Sorting Volumetric'!AD59+'REV FSM'!AD59+'Rejection Primary with Scan'!AD59+'Rejection Secondary'!AD59+'Rev DC DC Primary Sorting'!AD59+'Rev Primary (FSM Rejections)'!AD59+'Rev Secondary Sorting'!AD59+'VIA Bag Sorting'!AD59</f>
        <v/>
      </c>
      <c r="AE59" s="7">
        <f>'BBB'!AE59+'Bag Staging'!AE59+'Bag Staging Volumetric'!AE59+'FWD FSM'!AE59+'FWD Manual Pre Primary'!AE59+'FWD Manual Primary'!AE59+'FWD Primary with Scan'!AE59+'FWD Secondary'!AE59+'FWD Volumetric'!AE59+'IB'!AE59+'IB Volumetric'!AE59+'OB'!AE59+'OB Volumetric'!AE59+'OSC Bag Sorting'!AE59+'OSC Bag Sorting Volumetric'!AE59+'REV FSM'!AE59+'Rejection Primary with Scan'!AE59+'Rejection Secondary'!AE59+'Rev DC DC Primary Sorting'!AE59+'Rev Primary (FSM Rejections)'!AE59+'Rev Secondary Sorting'!AE59+'VIA Bag Sorting'!AE59</f>
        <v/>
      </c>
      <c r="AF59" s="7">
        <f>'BBB'!AF59+'Bag Staging'!AF59+'Bag Staging Volumetric'!AF59+'FWD FSM'!AF59+'FWD Manual Pre Primary'!AF59+'FWD Manual Primary'!AF59+'FWD Primary with Scan'!AF59+'FWD Secondary'!AF59+'FWD Volumetric'!AF59+'IB'!AF59+'IB Volumetric'!AF59+'OB'!AF59+'OB Volumetric'!AF59+'OSC Bag Sorting'!AF59+'OSC Bag Sorting Volumetric'!AF59+'REV FSM'!AF59+'Rejection Primary with Scan'!AF59+'Rejection Secondary'!AF59+'Rev DC DC Primary Sorting'!AF59+'Rev Primary (FSM Rejections)'!AF59+'Rev Secondary Sorting'!AF59+'VIA Bag Sorting'!AF59</f>
        <v/>
      </c>
      <c r="AG59" s="7">
        <f>'BBB'!AG59+'Bag Staging'!AG59+'Bag Staging Volumetric'!AG59+'FWD FSM'!AG59+'FWD Manual Pre Primary'!AG59+'FWD Manual Primary'!AG59+'FWD Primary with Scan'!AG59+'FWD Secondary'!AG59+'FWD Volumetric'!AG59+'IB'!AG59+'IB Volumetric'!AG59+'OB'!AG59+'OB Volumetric'!AG59+'OSC Bag Sorting'!AG59+'OSC Bag Sorting Volumetric'!AG59+'REV FSM'!AG59+'Rejection Primary with Scan'!AG59+'Rejection Secondary'!AG59+'Rev DC DC Primary Sorting'!AG59+'Rev Primary (FSM Rejections)'!AG59+'Rev Secondary Sorting'!AG59+'VIA Bag Sorting'!AG59</f>
        <v/>
      </c>
      <c r="AH59" s="7">
        <f>'BBB'!AH59+'Bag Staging'!AH59+'Bag Staging Volumetric'!AH59+'FWD FSM'!AH59+'FWD Manual Pre Primary'!AH59+'FWD Manual Primary'!AH59+'FWD Primary with Scan'!AH59+'FWD Secondary'!AH59+'FWD Volumetric'!AH59+'IB'!AH59+'IB Volumetric'!AH59+'OB'!AH59+'OB Volumetric'!AH59+'OSC Bag Sorting'!AH59+'OSC Bag Sorting Volumetric'!AH59+'REV FSM'!AH59+'Rejection Primary with Scan'!AH59+'Rejection Secondary'!AH59+'Rev DC DC Primary Sorting'!AH59+'Rev Primary (FSM Rejections)'!AH59+'Rev Secondary Sorting'!AH59+'VIA Bag Sorting'!AH59</f>
        <v/>
      </c>
      <c r="AI59" s="7">
        <f>'BBB'!AI59+'Bag Staging'!AI59+'Bag Staging Volumetric'!AI59+'FWD FSM'!AI59+'FWD Manual Pre Primary'!AI59+'FWD Manual Primary'!AI59+'FWD Primary with Scan'!AI59+'FWD Secondary'!AI59+'FWD Volumetric'!AI59+'IB'!AI59+'IB Volumetric'!AI59+'OB'!AI59+'OB Volumetric'!AI59+'OSC Bag Sorting'!AI59+'OSC Bag Sorting Volumetric'!AI59+'REV FSM'!AI59+'Rejection Primary with Scan'!AI59+'Rejection Secondary'!AI59+'Rev DC DC Primary Sorting'!AI59+'Rev Primary (FSM Rejections)'!AI59+'Rev Secondary Sorting'!AI59+'VIA Bag Sorting'!AI59</f>
        <v/>
      </c>
      <c r="AJ59" s="7">
        <f>'BBB'!AJ59+'Bag Staging'!AJ59+'Bag Staging Volumetric'!AJ59+'FWD FSM'!AJ59+'FWD Manual Pre Primary'!AJ59+'FWD Manual Primary'!AJ59+'FWD Primary with Scan'!AJ59+'FWD Secondary'!AJ59+'FWD Volumetric'!AJ59+'IB'!AJ59+'IB Volumetric'!AJ59+'OB'!AJ59+'OB Volumetric'!AJ59+'OSC Bag Sorting'!AJ59+'OSC Bag Sorting Volumetric'!AJ59+'REV FSM'!AJ59+'Rejection Primary with Scan'!AJ59+'Rejection Secondary'!AJ59+'Rev DC DC Primary Sorting'!AJ59+'Rev Primary (FSM Rejections)'!AJ59+'Rev Secondary Sorting'!AJ59+'VIA Bag Sorting'!AJ59</f>
        <v/>
      </c>
      <c r="AK59" s="7">
        <f>'BBB'!AK59+'Bag Staging'!AK59+'Bag Staging Volumetric'!AK59+'FWD FSM'!AK59+'FWD Manual Pre Primary'!AK59+'FWD Manual Primary'!AK59+'FWD Primary with Scan'!AK59+'FWD Secondary'!AK59+'FWD Volumetric'!AK59+'IB'!AK59+'IB Volumetric'!AK59+'OB'!AK59+'OB Volumetric'!AK59+'OSC Bag Sorting'!AK59+'OSC Bag Sorting Volumetric'!AK59+'REV FSM'!AK59+'Rejection Primary with Scan'!AK59+'Rejection Secondary'!AK59+'Rev DC DC Primary Sorting'!AK59+'Rev Primary (FSM Rejections)'!AK59+'Rev Secondary Sorting'!AK59+'VIA Bag Sorting'!AK59</f>
        <v/>
      </c>
      <c r="AL59" s="7">
        <f>'BBB'!AL59+'Bag Staging'!AL59+'Bag Staging Volumetric'!AL59+'FWD FSM'!AL59+'FWD Manual Pre Primary'!AL59+'FWD Manual Primary'!AL59+'FWD Primary with Scan'!AL59+'FWD Secondary'!AL59+'FWD Volumetric'!AL59+'IB'!AL59+'IB Volumetric'!AL59+'OB'!AL59+'OB Volumetric'!AL59+'OSC Bag Sorting'!AL59+'OSC Bag Sorting Volumetric'!AL59+'REV FSM'!AL59+'Rejection Primary with Scan'!AL59+'Rejection Secondary'!AL59+'Rev DC DC Primary Sorting'!AL59+'Rev Primary (FSM Rejections)'!AL59+'Rev Secondary Sorting'!AL59+'VIA Bag Sorting'!AL59</f>
        <v/>
      </c>
      <c r="AM59" s="7">
        <f>'BBB'!AM59+'Bag Staging'!AM59+'Bag Staging Volumetric'!AM59+'FWD FSM'!AM59+'FWD Manual Pre Primary'!AM59+'FWD Manual Primary'!AM59+'FWD Primary with Scan'!AM59+'FWD Secondary'!AM59+'FWD Volumetric'!AM59+'IB'!AM59+'IB Volumetric'!AM59+'OB'!AM59+'OB Volumetric'!AM59+'OSC Bag Sorting'!AM59+'OSC Bag Sorting Volumetric'!AM59+'REV FSM'!AM59+'Rejection Primary with Scan'!AM59+'Rejection Secondary'!AM59+'Rev DC DC Primary Sorting'!AM59+'Rev Primary (FSM Rejections)'!AM59+'Rev Secondary Sorting'!AM59+'VIA Bag Sorting'!AM59</f>
        <v/>
      </c>
      <c r="AN59" s="7">
        <f>'BBB'!AN59+'Bag Staging'!AN59+'Bag Staging Volumetric'!AN59+'FWD FSM'!AN59+'FWD Manual Pre Primary'!AN59+'FWD Manual Primary'!AN59+'FWD Primary with Scan'!AN59+'FWD Secondary'!AN59+'FWD Volumetric'!AN59+'IB'!AN59+'IB Volumetric'!AN59+'OB'!AN59+'OB Volumetric'!AN59+'OSC Bag Sorting'!AN59+'OSC Bag Sorting Volumetric'!AN59+'REV FSM'!AN59+'Rejection Primary with Scan'!AN59+'Rejection Secondary'!AN59+'Rev DC DC Primary Sorting'!AN59+'Rev Primary (FSM Rejections)'!AN59+'Rev Secondary Sorting'!AN59+'VIA Bag Sorting'!AN59</f>
        <v/>
      </c>
      <c r="AO59" s="7">
        <f>'BBB'!AO59+'Bag Staging'!AO59+'Bag Staging Volumetric'!AO59+'FWD FSM'!AO59+'FWD Manual Pre Primary'!AO59+'FWD Manual Primary'!AO59+'FWD Primary with Scan'!AO59+'FWD Secondary'!AO59+'FWD Volumetric'!AO59+'IB'!AO59+'IB Volumetric'!AO59+'OB'!AO59+'OB Volumetric'!AO59+'OSC Bag Sorting'!AO59+'OSC Bag Sorting Volumetric'!AO59+'REV FSM'!AO59+'Rejection Primary with Scan'!AO59+'Rejection Secondary'!AO59+'Rev DC DC Primary Sorting'!AO59+'Rev Primary (FSM Rejections)'!AO59+'Rev Secondary Sorting'!AO59+'VIA Bag Sorting'!AO59</f>
        <v/>
      </c>
      <c r="AP59" s="7">
        <f>'BBB'!AP59+'Bag Staging'!AP59+'Bag Staging Volumetric'!AP59+'FWD FSM'!AP59+'FWD Manual Pre Primary'!AP59+'FWD Manual Primary'!AP59+'FWD Primary with Scan'!AP59+'FWD Secondary'!AP59+'FWD Volumetric'!AP59+'IB'!AP59+'IB Volumetric'!AP59+'OB'!AP59+'OB Volumetric'!AP59+'OSC Bag Sorting'!AP59+'OSC Bag Sorting Volumetric'!AP59+'REV FSM'!AP59+'Rejection Primary with Scan'!AP59+'Rejection Secondary'!AP59+'Rev DC DC Primary Sorting'!AP59+'Rev Primary (FSM Rejections)'!AP59+'Rev Secondary Sorting'!AP59+'VIA Bag Sorting'!AP59</f>
        <v/>
      </c>
      <c r="AQ59" s="7">
        <f>'BBB'!AQ59+'Bag Staging'!AQ59+'Bag Staging Volumetric'!AQ59+'FWD FSM'!AQ59+'FWD Manual Pre Primary'!AQ59+'FWD Manual Primary'!AQ59+'FWD Primary with Scan'!AQ59+'FWD Secondary'!AQ59+'FWD Volumetric'!AQ59+'IB'!AQ59+'IB Volumetric'!AQ59+'OB'!AQ59+'OB Volumetric'!AQ59+'OSC Bag Sorting'!AQ59+'OSC Bag Sorting Volumetric'!AQ59+'REV FSM'!AQ59+'Rejection Primary with Scan'!AQ59+'Rejection Secondary'!AQ59+'Rev DC DC Primary Sorting'!AQ59+'Rev Primary (FSM Rejections)'!AQ59+'Rev Secondary Sorting'!AQ59+'VIA Bag Sorting'!AQ59</f>
        <v/>
      </c>
      <c r="AR59" s="7">
        <f>'BBB'!AR59+'Bag Staging'!AR59+'Bag Staging Volumetric'!AR59+'FWD FSM'!AR59+'FWD Manual Pre Primary'!AR59+'FWD Manual Primary'!AR59+'FWD Primary with Scan'!AR59+'FWD Secondary'!AR59+'FWD Volumetric'!AR59+'IB'!AR59+'IB Volumetric'!AR59+'OB'!AR59+'OB Volumetric'!AR59+'OSC Bag Sorting'!AR59+'OSC Bag Sorting Volumetric'!AR59+'REV FSM'!AR59+'Rejection Primary with Scan'!AR59+'Rejection Secondary'!AR59+'Rev DC DC Primary Sorting'!AR59+'Rev Primary (FSM Rejections)'!AR59+'Rev Secondary Sorting'!AR59+'VIA Bag Sorting'!AR59</f>
        <v/>
      </c>
      <c r="AS59" s="7">
        <f>'BBB'!AS59+'Bag Staging'!AS59+'Bag Staging Volumetric'!AS59+'FWD FSM'!AS59+'FWD Manual Pre Primary'!AS59+'FWD Manual Primary'!AS59+'FWD Primary with Scan'!AS59+'FWD Secondary'!AS59+'FWD Volumetric'!AS59+'IB'!AS59+'IB Volumetric'!AS59+'OB'!AS59+'OB Volumetric'!AS59+'OSC Bag Sorting'!AS59+'OSC Bag Sorting Volumetric'!AS59+'REV FSM'!AS59+'Rejection Primary with Scan'!AS59+'Rejection Secondary'!AS59+'Rev DC DC Primary Sorting'!AS59+'Rev Primary (FSM Rejections)'!AS59+'Rev Secondary Sorting'!AS59+'VIA Bag Sorting'!AS59</f>
        <v/>
      </c>
      <c r="AT59" s="7">
        <f>'BBB'!AT59+'Bag Staging'!AT59+'Bag Staging Volumetric'!AT59+'FWD FSM'!AT59+'FWD Manual Pre Primary'!AT59+'FWD Manual Primary'!AT59+'FWD Primary with Scan'!AT59+'FWD Secondary'!AT59+'FWD Volumetric'!AT59+'IB'!AT59+'IB Volumetric'!AT59+'OB'!AT59+'OB Volumetric'!AT59+'OSC Bag Sorting'!AT59+'OSC Bag Sorting Volumetric'!AT59+'REV FSM'!AT59+'Rejection Primary with Scan'!AT59+'Rejection Secondary'!AT59+'Rev DC DC Primary Sorting'!AT59+'Rev Primary (FSM Rejections)'!AT59+'Rev Secondary Sorting'!AT59+'VIA Bag Sorting'!AT59</f>
        <v/>
      </c>
      <c r="AU59" s="7">
        <f>'BBB'!AU59+'Bag Staging'!AU59+'Bag Staging Volumetric'!AU59+'FWD FSM'!AU59+'FWD Manual Pre Primary'!AU59+'FWD Manual Primary'!AU59+'FWD Primary with Scan'!AU59+'FWD Secondary'!AU59+'FWD Volumetric'!AU59+'IB'!AU59+'IB Volumetric'!AU59+'OB'!AU59+'OB Volumetric'!AU59+'OSC Bag Sorting'!AU59+'OSC Bag Sorting Volumetric'!AU59+'REV FSM'!AU59+'Rejection Primary with Scan'!AU59+'Rejection Secondary'!AU59+'Rev DC DC Primary Sorting'!AU59+'Rev Primary (FSM Rejections)'!AU59+'Rev Secondary Sorting'!AU59+'VIA Bag Sorting'!AU59</f>
        <v/>
      </c>
      <c r="AV59" s="7">
        <f>'BBB'!AV59+'Bag Staging'!AV59+'Bag Staging Volumetric'!AV59+'FWD FSM'!AV59+'FWD Manual Pre Primary'!AV59+'FWD Manual Primary'!AV59+'FWD Primary with Scan'!AV59+'FWD Secondary'!AV59+'FWD Volumetric'!AV59+'IB'!AV59+'IB Volumetric'!AV59+'OB'!AV59+'OB Volumetric'!AV59+'OSC Bag Sorting'!AV59+'OSC Bag Sorting Volumetric'!AV59+'REV FSM'!AV59+'Rejection Primary with Scan'!AV59+'Rejection Secondary'!AV59+'Rev DC DC Primary Sorting'!AV59+'Rev Primary (FSM Rejections)'!AV59+'Rev Secondary Sorting'!AV59+'VIA Bag Sorting'!AV59</f>
        <v/>
      </c>
      <c r="AW59" s="7">
        <f>'BBB'!AW59+'Bag Staging'!AW59+'Bag Staging Volumetric'!AW59+'FWD FSM'!AW59+'FWD Manual Pre Primary'!AW59+'FWD Manual Primary'!AW59+'FWD Primary with Scan'!AW59+'FWD Secondary'!AW59+'FWD Volumetric'!AW59+'IB'!AW59+'IB Volumetric'!AW59+'OB'!AW59+'OB Volumetric'!AW59+'OSC Bag Sorting'!AW59+'OSC Bag Sorting Volumetric'!AW59+'REV FSM'!AW59+'Rejection Primary with Scan'!AW59+'Rejection Secondary'!AW59+'Rev DC DC Primary Sorting'!AW59+'Rev Primary (FSM Rejections)'!AW59+'Rev Secondary Sorting'!AW59+'VIA Bag Sorting'!AW59</f>
        <v/>
      </c>
      <c r="AX59" s="7">
        <f>'BBB'!AX59+'Bag Staging'!AX59+'Bag Staging Volumetric'!AX59+'FWD FSM'!AX59+'FWD Manual Pre Primary'!AX59+'FWD Manual Primary'!AX59+'FWD Primary with Scan'!AX59+'FWD Secondary'!AX59+'FWD Volumetric'!AX59+'IB'!AX59+'IB Volumetric'!AX59+'OB'!AX59+'OB Volumetric'!AX59+'OSC Bag Sorting'!AX59+'OSC Bag Sorting Volumetric'!AX59+'REV FSM'!AX59+'Rejection Primary with Scan'!AX59+'Rejection Secondary'!AX59+'Rev DC DC Primary Sorting'!AX59+'Rev Primary (FSM Rejections)'!AX59+'Rev Secondary Sorting'!AX59+'VIA Bag Sorting'!AX59</f>
        <v/>
      </c>
      <c r="AY59" s="7">
        <f>'BBB'!AY59+'Bag Staging'!AY59+'Bag Staging Volumetric'!AY59+'FWD FSM'!AY59+'FWD Manual Pre Primary'!AY59+'FWD Manual Primary'!AY59+'FWD Primary with Scan'!AY59+'FWD Secondary'!AY59+'FWD Volumetric'!AY59+'IB'!AY59+'IB Volumetric'!AY59+'OB'!AY59+'OB Volumetric'!AY59+'OSC Bag Sorting'!AY59+'OSC Bag Sorting Volumetric'!AY59+'REV FSM'!AY59+'Rejection Primary with Scan'!AY59+'Rejection Secondary'!AY59+'Rev DC DC Primary Sorting'!AY59+'Rev Primary (FSM Rejections)'!AY59+'Rev Secondary Sorting'!AY59+'VIA Bag Sorting'!AY59</f>
        <v/>
      </c>
      <c r="AZ59" s="7">
        <f>'BBB'!AZ59+'Bag Staging'!AZ59+'Bag Staging Volumetric'!AZ59+'FWD FSM'!AZ59+'FWD Manual Pre Primary'!AZ59+'FWD Manual Primary'!AZ59+'FWD Primary with Scan'!AZ59+'FWD Secondary'!AZ59+'FWD Volumetric'!AZ59+'IB'!AZ59+'IB Volumetric'!AZ59+'OB'!AZ59+'OB Volumetric'!AZ59+'OSC Bag Sorting'!AZ59+'OSC Bag Sorting Volumetric'!AZ59+'REV FSM'!AZ59+'Rejection Primary with Scan'!AZ59+'Rejection Secondary'!AZ59+'Rev DC DC Primary Sorting'!AZ59+'Rev Primary (FSM Rejections)'!AZ59+'Rev Secondary Sorting'!AZ59+'VIA Bag Sorting'!AZ59</f>
        <v/>
      </c>
      <c r="BA59" s="7">
        <f>'BBB'!BA59+'Bag Staging'!BA59+'Bag Staging Volumetric'!BA59+'FWD FSM'!BA59+'FWD Manual Pre Primary'!BA59+'FWD Manual Primary'!BA59+'FWD Primary with Scan'!BA59+'FWD Secondary'!BA59+'FWD Volumetric'!BA59+'IB'!BA59+'IB Volumetric'!BA59+'OB'!BA59+'OB Volumetric'!BA59+'OSC Bag Sorting'!BA59+'OSC Bag Sorting Volumetric'!BA59+'REV FSM'!BA59+'Rejection Primary with Scan'!BA59+'Rejection Secondary'!BA59+'Rev DC DC Primary Sorting'!BA59+'Rev Primary (FSM Rejections)'!BA59+'Rev Secondary Sorting'!BA59+'VIA Bag Sorting'!BA59</f>
        <v/>
      </c>
      <c r="BB59" s="7">
        <f>SUM(AD59:BA59)</f>
        <v/>
      </c>
    </row>
    <row r="60">
      <c r="A60" t="inlineStr">
        <is>
          <t>AMD-INTRA-SSC</t>
        </is>
      </c>
      <c r="B60" t="inlineStr">
        <is>
          <t>Forward Regular OSC</t>
        </is>
      </c>
      <c r="C60" s="5" t="n">
        <v>46099</v>
      </c>
      <c r="D60" s="6" t="n">
        <v>274</v>
      </c>
      <c r="E60" s="6" t="n">
        <v>114</v>
      </c>
      <c r="F60" s="6" t="n">
        <v>205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0</v>
      </c>
      <c r="Q60" s="6" t="n">
        <v>115</v>
      </c>
      <c r="R60" s="6" t="n">
        <v>120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176</v>
      </c>
      <c r="Z60" s="6" t="n">
        <v>0</v>
      </c>
      <c r="AA60" s="6" t="n">
        <v>232</v>
      </c>
      <c r="AB60" s="6">
        <f>SUM(D60:AA60)</f>
        <v/>
      </c>
      <c r="AC60" s="3" t="inlineStr"/>
      <c r="AD60" s="7">
        <f>'BBB'!AD60+'Bag Staging'!AD60+'Bag Staging Volumetric'!AD60+'FWD FSM'!AD60+'FWD Manual Pre Primary'!AD60+'FWD Manual Primary'!AD60+'FWD Primary with Scan'!AD60+'FWD Secondary'!AD60+'FWD Volumetric'!AD60+'IB'!AD60+'IB Volumetric'!AD60+'OB'!AD60+'OB Volumetric'!AD60+'OSC Bag Sorting'!AD60+'OSC Bag Sorting Volumetric'!AD60+'REV FSM'!AD60+'Rejection Primary with Scan'!AD60+'Rejection Secondary'!AD60+'Rev DC DC Primary Sorting'!AD60+'Rev Primary (FSM Rejections)'!AD60+'Rev Secondary Sorting'!AD60+'VIA Bag Sorting'!AD60</f>
        <v/>
      </c>
      <c r="AE60" s="7">
        <f>'BBB'!AE60+'Bag Staging'!AE60+'Bag Staging Volumetric'!AE60+'FWD FSM'!AE60+'FWD Manual Pre Primary'!AE60+'FWD Manual Primary'!AE60+'FWD Primary with Scan'!AE60+'FWD Secondary'!AE60+'FWD Volumetric'!AE60+'IB'!AE60+'IB Volumetric'!AE60+'OB'!AE60+'OB Volumetric'!AE60+'OSC Bag Sorting'!AE60+'OSC Bag Sorting Volumetric'!AE60+'REV FSM'!AE60+'Rejection Primary with Scan'!AE60+'Rejection Secondary'!AE60+'Rev DC DC Primary Sorting'!AE60+'Rev Primary (FSM Rejections)'!AE60+'Rev Secondary Sorting'!AE60+'VIA Bag Sorting'!AE60</f>
        <v/>
      </c>
      <c r="AF60" s="7">
        <f>'BBB'!AF60+'Bag Staging'!AF60+'Bag Staging Volumetric'!AF60+'FWD FSM'!AF60+'FWD Manual Pre Primary'!AF60+'FWD Manual Primary'!AF60+'FWD Primary with Scan'!AF60+'FWD Secondary'!AF60+'FWD Volumetric'!AF60+'IB'!AF60+'IB Volumetric'!AF60+'OB'!AF60+'OB Volumetric'!AF60+'OSC Bag Sorting'!AF60+'OSC Bag Sorting Volumetric'!AF60+'REV FSM'!AF60+'Rejection Primary with Scan'!AF60+'Rejection Secondary'!AF60+'Rev DC DC Primary Sorting'!AF60+'Rev Primary (FSM Rejections)'!AF60+'Rev Secondary Sorting'!AF60+'VIA Bag Sorting'!AF60</f>
        <v/>
      </c>
      <c r="AG60" s="7">
        <f>'BBB'!AG60+'Bag Staging'!AG60+'Bag Staging Volumetric'!AG60+'FWD FSM'!AG60+'FWD Manual Pre Primary'!AG60+'FWD Manual Primary'!AG60+'FWD Primary with Scan'!AG60+'FWD Secondary'!AG60+'FWD Volumetric'!AG60+'IB'!AG60+'IB Volumetric'!AG60+'OB'!AG60+'OB Volumetric'!AG60+'OSC Bag Sorting'!AG60+'OSC Bag Sorting Volumetric'!AG60+'REV FSM'!AG60+'Rejection Primary with Scan'!AG60+'Rejection Secondary'!AG60+'Rev DC DC Primary Sorting'!AG60+'Rev Primary (FSM Rejections)'!AG60+'Rev Secondary Sorting'!AG60+'VIA Bag Sorting'!AG60</f>
        <v/>
      </c>
      <c r="AH60" s="7">
        <f>'BBB'!AH60+'Bag Staging'!AH60+'Bag Staging Volumetric'!AH60+'FWD FSM'!AH60+'FWD Manual Pre Primary'!AH60+'FWD Manual Primary'!AH60+'FWD Primary with Scan'!AH60+'FWD Secondary'!AH60+'FWD Volumetric'!AH60+'IB'!AH60+'IB Volumetric'!AH60+'OB'!AH60+'OB Volumetric'!AH60+'OSC Bag Sorting'!AH60+'OSC Bag Sorting Volumetric'!AH60+'REV FSM'!AH60+'Rejection Primary with Scan'!AH60+'Rejection Secondary'!AH60+'Rev DC DC Primary Sorting'!AH60+'Rev Primary (FSM Rejections)'!AH60+'Rev Secondary Sorting'!AH60+'VIA Bag Sorting'!AH60</f>
        <v/>
      </c>
      <c r="AI60" s="7">
        <f>'BBB'!AI60+'Bag Staging'!AI60+'Bag Staging Volumetric'!AI60+'FWD FSM'!AI60+'FWD Manual Pre Primary'!AI60+'FWD Manual Primary'!AI60+'FWD Primary with Scan'!AI60+'FWD Secondary'!AI60+'FWD Volumetric'!AI60+'IB'!AI60+'IB Volumetric'!AI60+'OB'!AI60+'OB Volumetric'!AI60+'OSC Bag Sorting'!AI60+'OSC Bag Sorting Volumetric'!AI60+'REV FSM'!AI60+'Rejection Primary with Scan'!AI60+'Rejection Secondary'!AI60+'Rev DC DC Primary Sorting'!AI60+'Rev Primary (FSM Rejections)'!AI60+'Rev Secondary Sorting'!AI60+'VIA Bag Sorting'!AI60</f>
        <v/>
      </c>
      <c r="AJ60" s="7">
        <f>'BBB'!AJ60+'Bag Staging'!AJ60+'Bag Staging Volumetric'!AJ60+'FWD FSM'!AJ60+'FWD Manual Pre Primary'!AJ60+'FWD Manual Primary'!AJ60+'FWD Primary with Scan'!AJ60+'FWD Secondary'!AJ60+'FWD Volumetric'!AJ60+'IB'!AJ60+'IB Volumetric'!AJ60+'OB'!AJ60+'OB Volumetric'!AJ60+'OSC Bag Sorting'!AJ60+'OSC Bag Sorting Volumetric'!AJ60+'REV FSM'!AJ60+'Rejection Primary with Scan'!AJ60+'Rejection Secondary'!AJ60+'Rev DC DC Primary Sorting'!AJ60+'Rev Primary (FSM Rejections)'!AJ60+'Rev Secondary Sorting'!AJ60+'VIA Bag Sorting'!AJ60</f>
        <v/>
      </c>
      <c r="AK60" s="7">
        <f>'BBB'!AK60+'Bag Staging'!AK60+'Bag Staging Volumetric'!AK60+'FWD FSM'!AK60+'FWD Manual Pre Primary'!AK60+'FWD Manual Primary'!AK60+'FWD Primary with Scan'!AK60+'FWD Secondary'!AK60+'FWD Volumetric'!AK60+'IB'!AK60+'IB Volumetric'!AK60+'OB'!AK60+'OB Volumetric'!AK60+'OSC Bag Sorting'!AK60+'OSC Bag Sorting Volumetric'!AK60+'REV FSM'!AK60+'Rejection Primary with Scan'!AK60+'Rejection Secondary'!AK60+'Rev DC DC Primary Sorting'!AK60+'Rev Primary (FSM Rejections)'!AK60+'Rev Secondary Sorting'!AK60+'VIA Bag Sorting'!AK60</f>
        <v/>
      </c>
      <c r="AL60" s="7">
        <f>'BBB'!AL60+'Bag Staging'!AL60+'Bag Staging Volumetric'!AL60+'FWD FSM'!AL60+'FWD Manual Pre Primary'!AL60+'FWD Manual Primary'!AL60+'FWD Primary with Scan'!AL60+'FWD Secondary'!AL60+'FWD Volumetric'!AL60+'IB'!AL60+'IB Volumetric'!AL60+'OB'!AL60+'OB Volumetric'!AL60+'OSC Bag Sorting'!AL60+'OSC Bag Sorting Volumetric'!AL60+'REV FSM'!AL60+'Rejection Primary with Scan'!AL60+'Rejection Secondary'!AL60+'Rev DC DC Primary Sorting'!AL60+'Rev Primary (FSM Rejections)'!AL60+'Rev Secondary Sorting'!AL60+'VIA Bag Sorting'!AL60</f>
        <v/>
      </c>
      <c r="AM60" s="7">
        <f>'BBB'!AM60+'Bag Staging'!AM60+'Bag Staging Volumetric'!AM60+'FWD FSM'!AM60+'FWD Manual Pre Primary'!AM60+'FWD Manual Primary'!AM60+'FWD Primary with Scan'!AM60+'FWD Secondary'!AM60+'FWD Volumetric'!AM60+'IB'!AM60+'IB Volumetric'!AM60+'OB'!AM60+'OB Volumetric'!AM60+'OSC Bag Sorting'!AM60+'OSC Bag Sorting Volumetric'!AM60+'REV FSM'!AM60+'Rejection Primary with Scan'!AM60+'Rejection Secondary'!AM60+'Rev DC DC Primary Sorting'!AM60+'Rev Primary (FSM Rejections)'!AM60+'Rev Secondary Sorting'!AM60+'VIA Bag Sorting'!AM60</f>
        <v/>
      </c>
      <c r="AN60" s="7">
        <f>'BBB'!AN60+'Bag Staging'!AN60+'Bag Staging Volumetric'!AN60+'FWD FSM'!AN60+'FWD Manual Pre Primary'!AN60+'FWD Manual Primary'!AN60+'FWD Primary with Scan'!AN60+'FWD Secondary'!AN60+'FWD Volumetric'!AN60+'IB'!AN60+'IB Volumetric'!AN60+'OB'!AN60+'OB Volumetric'!AN60+'OSC Bag Sorting'!AN60+'OSC Bag Sorting Volumetric'!AN60+'REV FSM'!AN60+'Rejection Primary with Scan'!AN60+'Rejection Secondary'!AN60+'Rev DC DC Primary Sorting'!AN60+'Rev Primary (FSM Rejections)'!AN60+'Rev Secondary Sorting'!AN60+'VIA Bag Sorting'!AN60</f>
        <v/>
      </c>
      <c r="AO60" s="7">
        <f>'BBB'!AO60+'Bag Staging'!AO60+'Bag Staging Volumetric'!AO60+'FWD FSM'!AO60+'FWD Manual Pre Primary'!AO60+'FWD Manual Primary'!AO60+'FWD Primary with Scan'!AO60+'FWD Secondary'!AO60+'FWD Volumetric'!AO60+'IB'!AO60+'IB Volumetric'!AO60+'OB'!AO60+'OB Volumetric'!AO60+'OSC Bag Sorting'!AO60+'OSC Bag Sorting Volumetric'!AO60+'REV FSM'!AO60+'Rejection Primary with Scan'!AO60+'Rejection Secondary'!AO60+'Rev DC DC Primary Sorting'!AO60+'Rev Primary (FSM Rejections)'!AO60+'Rev Secondary Sorting'!AO60+'VIA Bag Sorting'!AO60</f>
        <v/>
      </c>
      <c r="AP60" s="7">
        <f>'BBB'!AP60+'Bag Staging'!AP60+'Bag Staging Volumetric'!AP60+'FWD FSM'!AP60+'FWD Manual Pre Primary'!AP60+'FWD Manual Primary'!AP60+'FWD Primary with Scan'!AP60+'FWD Secondary'!AP60+'FWD Volumetric'!AP60+'IB'!AP60+'IB Volumetric'!AP60+'OB'!AP60+'OB Volumetric'!AP60+'OSC Bag Sorting'!AP60+'OSC Bag Sorting Volumetric'!AP60+'REV FSM'!AP60+'Rejection Primary with Scan'!AP60+'Rejection Secondary'!AP60+'Rev DC DC Primary Sorting'!AP60+'Rev Primary (FSM Rejections)'!AP60+'Rev Secondary Sorting'!AP60+'VIA Bag Sorting'!AP60</f>
        <v/>
      </c>
      <c r="AQ60" s="7">
        <f>'BBB'!AQ60+'Bag Staging'!AQ60+'Bag Staging Volumetric'!AQ60+'FWD FSM'!AQ60+'FWD Manual Pre Primary'!AQ60+'FWD Manual Primary'!AQ60+'FWD Primary with Scan'!AQ60+'FWD Secondary'!AQ60+'FWD Volumetric'!AQ60+'IB'!AQ60+'IB Volumetric'!AQ60+'OB'!AQ60+'OB Volumetric'!AQ60+'OSC Bag Sorting'!AQ60+'OSC Bag Sorting Volumetric'!AQ60+'REV FSM'!AQ60+'Rejection Primary with Scan'!AQ60+'Rejection Secondary'!AQ60+'Rev DC DC Primary Sorting'!AQ60+'Rev Primary (FSM Rejections)'!AQ60+'Rev Secondary Sorting'!AQ60+'VIA Bag Sorting'!AQ60</f>
        <v/>
      </c>
      <c r="AR60" s="7">
        <f>'BBB'!AR60+'Bag Staging'!AR60+'Bag Staging Volumetric'!AR60+'FWD FSM'!AR60+'FWD Manual Pre Primary'!AR60+'FWD Manual Primary'!AR60+'FWD Primary with Scan'!AR60+'FWD Secondary'!AR60+'FWD Volumetric'!AR60+'IB'!AR60+'IB Volumetric'!AR60+'OB'!AR60+'OB Volumetric'!AR60+'OSC Bag Sorting'!AR60+'OSC Bag Sorting Volumetric'!AR60+'REV FSM'!AR60+'Rejection Primary with Scan'!AR60+'Rejection Secondary'!AR60+'Rev DC DC Primary Sorting'!AR60+'Rev Primary (FSM Rejections)'!AR60+'Rev Secondary Sorting'!AR60+'VIA Bag Sorting'!AR60</f>
        <v/>
      </c>
      <c r="AS60" s="7">
        <f>'BBB'!AS60+'Bag Staging'!AS60+'Bag Staging Volumetric'!AS60+'FWD FSM'!AS60+'FWD Manual Pre Primary'!AS60+'FWD Manual Primary'!AS60+'FWD Primary with Scan'!AS60+'FWD Secondary'!AS60+'FWD Volumetric'!AS60+'IB'!AS60+'IB Volumetric'!AS60+'OB'!AS60+'OB Volumetric'!AS60+'OSC Bag Sorting'!AS60+'OSC Bag Sorting Volumetric'!AS60+'REV FSM'!AS60+'Rejection Primary with Scan'!AS60+'Rejection Secondary'!AS60+'Rev DC DC Primary Sorting'!AS60+'Rev Primary (FSM Rejections)'!AS60+'Rev Secondary Sorting'!AS60+'VIA Bag Sorting'!AS60</f>
        <v/>
      </c>
      <c r="AT60" s="7">
        <f>'BBB'!AT60+'Bag Staging'!AT60+'Bag Staging Volumetric'!AT60+'FWD FSM'!AT60+'FWD Manual Pre Primary'!AT60+'FWD Manual Primary'!AT60+'FWD Primary with Scan'!AT60+'FWD Secondary'!AT60+'FWD Volumetric'!AT60+'IB'!AT60+'IB Volumetric'!AT60+'OB'!AT60+'OB Volumetric'!AT60+'OSC Bag Sorting'!AT60+'OSC Bag Sorting Volumetric'!AT60+'REV FSM'!AT60+'Rejection Primary with Scan'!AT60+'Rejection Secondary'!AT60+'Rev DC DC Primary Sorting'!AT60+'Rev Primary (FSM Rejections)'!AT60+'Rev Secondary Sorting'!AT60+'VIA Bag Sorting'!AT60</f>
        <v/>
      </c>
      <c r="AU60" s="7">
        <f>'BBB'!AU60+'Bag Staging'!AU60+'Bag Staging Volumetric'!AU60+'FWD FSM'!AU60+'FWD Manual Pre Primary'!AU60+'FWD Manual Primary'!AU60+'FWD Primary with Scan'!AU60+'FWD Secondary'!AU60+'FWD Volumetric'!AU60+'IB'!AU60+'IB Volumetric'!AU60+'OB'!AU60+'OB Volumetric'!AU60+'OSC Bag Sorting'!AU60+'OSC Bag Sorting Volumetric'!AU60+'REV FSM'!AU60+'Rejection Primary with Scan'!AU60+'Rejection Secondary'!AU60+'Rev DC DC Primary Sorting'!AU60+'Rev Primary (FSM Rejections)'!AU60+'Rev Secondary Sorting'!AU60+'VIA Bag Sorting'!AU60</f>
        <v/>
      </c>
      <c r="AV60" s="7">
        <f>'BBB'!AV60+'Bag Staging'!AV60+'Bag Staging Volumetric'!AV60+'FWD FSM'!AV60+'FWD Manual Pre Primary'!AV60+'FWD Manual Primary'!AV60+'FWD Primary with Scan'!AV60+'FWD Secondary'!AV60+'FWD Volumetric'!AV60+'IB'!AV60+'IB Volumetric'!AV60+'OB'!AV60+'OB Volumetric'!AV60+'OSC Bag Sorting'!AV60+'OSC Bag Sorting Volumetric'!AV60+'REV FSM'!AV60+'Rejection Primary with Scan'!AV60+'Rejection Secondary'!AV60+'Rev DC DC Primary Sorting'!AV60+'Rev Primary (FSM Rejections)'!AV60+'Rev Secondary Sorting'!AV60+'VIA Bag Sorting'!AV60</f>
        <v/>
      </c>
      <c r="AW60" s="7">
        <f>'BBB'!AW60+'Bag Staging'!AW60+'Bag Staging Volumetric'!AW60+'FWD FSM'!AW60+'FWD Manual Pre Primary'!AW60+'FWD Manual Primary'!AW60+'FWD Primary with Scan'!AW60+'FWD Secondary'!AW60+'FWD Volumetric'!AW60+'IB'!AW60+'IB Volumetric'!AW60+'OB'!AW60+'OB Volumetric'!AW60+'OSC Bag Sorting'!AW60+'OSC Bag Sorting Volumetric'!AW60+'REV FSM'!AW60+'Rejection Primary with Scan'!AW60+'Rejection Secondary'!AW60+'Rev DC DC Primary Sorting'!AW60+'Rev Primary (FSM Rejections)'!AW60+'Rev Secondary Sorting'!AW60+'VIA Bag Sorting'!AW60</f>
        <v/>
      </c>
      <c r="AX60" s="7">
        <f>'BBB'!AX60+'Bag Staging'!AX60+'Bag Staging Volumetric'!AX60+'FWD FSM'!AX60+'FWD Manual Pre Primary'!AX60+'FWD Manual Primary'!AX60+'FWD Primary with Scan'!AX60+'FWD Secondary'!AX60+'FWD Volumetric'!AX60+'IB'!AX60+'IB Volumetric'!AX60+'OB'!AX60+'OB Volumetric'!AX60+'OSC Bag Sorting'!AX60+'OSC Bag Sorting Volumetric'!AX60+'REV FSM'!AX60+'Rejection Primary with Scan'!AX60+'Rejection Secondary'!AX60+'Rev DC DC Primary Sorting'!AX60+'Rev Primary (FSM Rejections)'!AX60+'Rev Secondary Sorting'!AX60+'VIA Bag Sorting'!AX60</f>
        <v/>
      </c>
      <c r="AY60" s="7">
        <f>'BBB'!AY60+'Bag Staging'!AY60+'Bag Staging Volumetric'!AY60+'FWD FSM'!AY60+'FWD Manual Pre Primary'!AY60+'FWD Manual Primary'!AY60+'FWD Primary with Scan'!AY60+'FWD Secondary'!AY60+'FWD Volumetric'!AY60+'IB'!AY60+'IB Volumetric'!AY60+'OB'!AY60+'OB Volumetric'!AY60+'OSC Bag Sorting'!AY60+'OSC Bag Sorting Volumetric'!AY60+'REV FSM'!AY60+'Rejection Primary with Scan'!AY60+'Rejection Secondary'!AY60+'Rev DC DC Primary Sorting'!AY60+'Rev Primary (FSM Rejections)'!AY60+'Rev Secondary Sorting'!AY60+'VIA Bag Sorting'!AY60</f>
        <v/>
      </c>
      <c r="AZ60" s="7">
        <f>'BBB'!AZ60+'Bag Staging'!AZ60+'Bag Staging Volumetric'!AZ60+'FWD FSM'!AZ60+'FWD Manual Pre Primary'!AZ60+'FWD Manual Primary'!AZ60+'FWD Primary with Scan'!AZ60+'FWD Secondary'!AZ60+'FWD Volumetric'!AZ60+'IB'!AZ60+'IB Volumetric'!AZ60+'OB'!AZ60+'OB Volumetric'!AZ60+'OSC Bag Sorting'!AZ60+'OSC Bag Sorting Volumetric'!AZ60+'REV FSM'!AZ60+'Rejection Primary with Scan'!AZ60+'Rejection Secondary'!AZ60+'Rev DC DC Primary Sorting'!AZ60+'Rev Primary (FSM Rejections)'!AZ60+'Rev Secondary Sorting'!AZ60+'VIA Bag Sorting'!AZ60</f>
        <v/>
      </c>
      <c r="BA60" s="7">
        <f>'BBB'!BA60+'Bag Staging'!BA60+'Bag Staging Volumetric'!BA60+'FWD FSM'!BA60+'FWD Manual Pre Primary'!BA60+'FWD Manual Primary'!BA60+'FWD Primary with Scan'!BA60+'FWD Secondary'!BA60+'FWD Volumetric'!BA60+'IB'!BA60+'IB Volumetric'!BA60+'OB'!BA60+'OB Volumetric'!BA60+'OSC Bag Sorting'!BA60+'OSC Bag Sorting Volumetric'!BA60+'REV FSM'!BA60+'Rejection Primary with Scan'!BA60+'Rejection Secondary'!BA60+'Rev DC DC Primary Sorting'!BA60+'Rev Primary (FSM Rejections)'!BA60+'Rev Secondary Sorting'!BA60+'VIA Bag Sorting'!BA60</f>
        <v/>
      </c>
      <c r="BB60" s="7">
        <f>SUM(AD60:BA60)</f>
        <v/>
      </c>
    </row>
    <row r="61">
      <c r="A61" t="inlineStr">
        <is>
          <t>AMD-INTRA-SSC</t>
        </is>
      </c>
      <c r="B61" t="inlineStr">
        <is>
          <t>Forward Regular OSC</t>
        </is>
      </c>
      <c r="C61" s="5" t="n">
        <v>46100</v>
      </c>
      <c r="D61" s="6" t="n">
        <v>250</v>
      </c>
      <c r="E61" s="6" t="n">
        <v>59</v>
      </c>
      <c r="F61" s="6" t="n">
        <v>146</v>
      </c>
      <c r="G61" s="6" t="n">
        <v>0</v>
      </c>
      <c r="H61" s="6" t="n">
        <v>0</v>
      </c>
      <c r="I61" s="6" t="n">
        <v>63</v>
      </c>
      <c r="J61" s="6" t="n">
        <v>0</v>
      </c>
      <c r="K61" s="6" t="n">
        <v>0</v>
      </c>
      <c r="L61" s="6" t="n">
        <v>0</v>
      </c>
      <c r="M61" s="6" t="n">
        <v>4</v>
      </c>
      <c r="N61" s="6" t="n">
        <v>0</v>
      </c>
      <c r="O61" s="6" t="n">
        <v>0</v>
      </c>
      <c r="P61" s="6" t="n">
        <v>0</v>
      </c>
      <c r="Q61" s="6" t="n">
        <v>118</v>
      </c>
      <c r="R61" s="6" t="n">
        <v>117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17</v>
      </c>
      <c r="X61" s="6" t="n">
        <v>23</v>
      </c>
      <c r="Y61" s="6" t="n">
        <v>115</v>
      </c>
      <c r="Z61" s="6" t="n">
        <v>0</v>
      </c>
      <c r="AA61" s="6" t="n">
        <v>208</v>
      </c>
      <c r="AB61" s="6">
        <f>SUM(D61:AA61)</f>
        <v/>
      </c>
      <c r="AC61" s="3" t="inlineStr"/>
      <c r="AD61" s="7">
        <f>'BBB'!AD61+'Bag Staging'!AD61+'Bag Staging Volumetric'!AD61+'FWD FSM'!AD61+'FWD Manual Pre Primary'!AD61+'FWD Manual Primary'!AD61+'FWD Primary with Scan'!AD61+'FWD Secondary'!AD61+'FWD Volumetric'!AD61+'IB'!AD61+'IB Volumetric'!AD61+'OB'!AD61+'OB Volumetric'!AD61+'OSC Bag Sorting'!AD61+'OSC Bag Sorting Volumetric'!AD61+'REV FSM'!AD61+'Rejection Primary with Scan'!AD61+'Rejection Secondary'!AD61+'Rev DC DC Primary Sorting'!AD61+'Rev Primary (FSM Rejections)'!AD61+'Rev Secondary Sorting'!AD61+'VIA Bag Sorting'!AD61</f>
        <v/>
      </c>
      <c r="AE61" s="7">
        <f>'BBB'!AE61+'Bag Staging'!AE61+'Bag Staging Volumetric'!AE61+'FWD FSM'!AE61+'FWD Manual Pre Primary'!AE61+'FWD Manual Primary'!AE61+'FWD Primary with Scan'!AE61+'FWD Secondary'!AE61+'FWD Volumetric'!AE61+'IB'!AE61+'IB Volumetric'!AE61+'OB'!AE61+'OB Volumetric'!AE61+'OSC Bag Sorting'!AE61+'OSC Bag Sorting Volumetric'!AE61+'REV FSM'!AE61+'Rejection Primary with Scan'!AE61+'Rejection Secondary'!AE61+'Rev DC DC Primary Sorting'!AE61+'Rev Primary (FSM Rejections)'!AE61+'Rev Secondary Sorting'!AE61+'VIA Bag Sorting'!AE61</f>
        <v/>
      </c>
      <c r="AF61" s="7">
        <f>'BBB'!AF61+'Bag Staging'!AF61+'Bag Staging Volumetric'!AF61+'FWD FSM'!AF61+'FWD Manual Pre Primary'!AF61+'FWD Manual Primary'!AF61+'FWD Primary with Scan'!AF61+'FWD Secondary'!AF61+'FWD Volumetric'!AF61+'IB'!AF61+'IB Volumetric'!AF61+'OB'!AF61+'OB Volumetric'!AF61+'OSC Bag Sorting'!AF61+'OSC Bag Sorting Volumetric'!AF61+'REV FSM'!AF61+'Rejection Primary with Scan'!AF61+'Rejection Secondary'!AF61+'Rev DC DC Primary Sorting'!AF61+'Rev Primary (FSM Rejections)'!AF61+'Rev Secondary Sorting'!AF61+'VIA Bag Sorting'!AF61</f>
        <v/>
      </c>
      <c r="AG61" s="7">
        <f>'BBB'!AG61+'Bag Staging'!AG61+'Bag Staging Volumetric'!AG61+'FWD FSM'!AG61+'FWD Manual Pre Primary'!AG61+'FWD Manual Primary'!AG61+'FWD Primary with Scan'!AG61+'FWD Secondary'!AG61+'FWD Volumetric'!AG61+'IB'!AG61+'IB Volumetric'!AG61+'OB'!AG61+'OB Volumetric'!AG61+'OSC Bag Sorting'!AG61+'OSC Bag Sorting Volumetric'!AG61+'REV FSM'!AG61+'Rejection Primary with Scan'!AG61+'Rejection Secondary'!AG61+'Rev DC DC Primary Sorting'!AG61+'Rev Primary (FSM Rejections)'!AG61+'Rev Secondary Sorting'!AG61+'VIA Bag Sorting'!AG61</f>
        <v/>
      </c>
      <c r="AH61" s="7">
        <f>'BBB'!AH61+'Bag Staging'!AH61+'Bag Staging Volumetric'!AH61+'FWD FSM'!AH61+'FWD Manual Pre Primary'!AH61+'FWD Manual Primary'!AH61+'FWD Primary with Scan'!AH61+'FWD Secondary'!AH61+'FWD Volumetric'!AH61+'IB'!AH61+'IB Volumetric'!AH61+'OB'!AH61+'OB Volumetric'!AH61+'OSC Bag Sorting'!AH61+'OSC Bag Sorting Volumetric'!AH61+'REV FSM'!AH61+'Rejection Primary with Scan'!AH61+'Rejection Secondary'!AH61+'Rev DC DC Primary Sorting'!AH61+'Rev Primary (FSM Rejections)'!AH61+'Rev Secondary Sorting'!AH61+'VIA Bag Sorting'!AH61</f>
        <v/>
      </c>
      <c r="AI61" s="7">
        <f>'BBB'!AI61+'Bag Staging'!AI61+'Bag Staging Volumetric'!AI61+'FWD FSM'!AI61+'FWD Manual Pre Primary'!AI61+'FWD Manual Primary'!AI61+'FWD Primary with Scan'!AI61+'FWD Secondary'!AI61+'FWD Volumetric'!AI61+'IB'!AI61+'IB Volumetric'!AI61+'OB'!AI61+'OB Volumetric'!AI61+'OSC Bag Sorting'!AI61+'OSC Bag Sorting Volumetric'!AI61+'REV FSM'!AI61+'Rejection Primary with Scan'!AI61+'Rejection Secondary'!AI61+'Rev DC DC Primary Sorting'!AI61+'Rev Primary (FSM Rejections)'!AI61+'Rev Secondary Sorting'!AI61+'VIA Bag Sorting'!AI61</f>
        <v/>
      </c>
      <c r="AJ61" s="7">
        <f>'BBB'!AJ61+'Bag Staging'!AJ61+'Bag Staging Volumetric'!AJ61+'FWD FSM'!AJ61+'FWD Manual Pre Primary'!AJ61+'FWD Manual Primary'!AJ61+'FWD Primary with Scan'!AJ61+'FWD Secondary'!AJ61+'FWD Volumetric'!AJ61+'IB'!AJ61+'IB Volumetric'!AJ61+'OB'!AJ61+'OB Volumetric'!AJ61+'OSC Bag Sorting'!AJ61+'OSC Bag Sorting Volumetric'!AJ61+'REV FSM'!AJ61+'Rejection Primary with Scan'!AJ61+'Rejection Secondary'!AJ61+'Rev DC DC Primary Sorting'!AJ61+'Rev Primary (FSM Rejections)'!AJ61+'Rev Secondary Sorting'!AJ61+'VIA Bag Sorting'!AJ61</f>
        <v/>
      </c>
      <c r="AK61" s="7">
        <f>'BBB'!AK61+'Bag Staging'!AK61+'Bag Staging Volumetric'!AK61+'FWD FSM'!AK61+'FWD Manual Pre Primary'!AK61+'FWD Manual Primary'!AK61+'FWD Primary with Scan'!AK61+'FWD Secondary'!AK61+'FWD Volumetric'!AK61+'IB'!AK61+'IB Volumetric'!AK61+'OB'!AK61+'OB Volumetric'!AK61+'OSC Bag Sorting'!AK61+'OSC Bag Sorting Volumetric'!AK61+'REV FSM'!AK61+'Rejection Primary with Scan'!AK61+'Rejection Secondary'!AK61+'Rev DC DC Primary Sorting'!AK61+'Rev Primary (FSM Rejections)'!AK61+'Rev Secondary Sorting'!AK61+'VIA Bag Sorting'!AK61</f>
        <v/>
      </c>
      <c r="AL61" s="7">
        <f>'BBB'!AL61+'Bag Staging'!AL61+'Bag Staging Volumetric'!AL61+'FWD FSM'!AL61+'FWD Manual Pre Primary'!AL61+'FWD Manual Primary'!AL61+'FWD Primary with Scan'!AL61+'FWD Secondary'!AL61+'FWD Volumetric'!AL61+'IB'!AL61+'IB Volumetric'!AL61+'OB'!AL61+'OB Volumetric'!AL61+'OSC Bag Sorting'!AL61+'OSC Bag Sorting Volumetric'!AL61+'REV FSM'!AL61+'Rejection Primary with Scan'!AL61+'Rejection Secondary'!AL61+'Rev DC DC Primary Sorting'!AL61+'Rev Primary (FSM Rejections)'!AL61+'Rev Secondary Sorting'!AL61+'VIA Bag Sorting'!AL61</f>
        <v/>
      </c>
      <c r="AM61" s="7">
        <f>'BBB'!AM61+'Bag Staging'!AM61+'Bag Staging Volumetric'!AM61+'FWD FSM'!AM61+'FWD Manual Pre Primary'!AM61+'FWD Manual Primary'!AM61+'FWD Primary with Scan'!AM61+'FWD Secondary'!AM61+'FWD Volumetric'!AM61+'IB'!AM61+'IB Volumetric'!AM61+'OB'!AM61+'OB Volumetric'!AM61+'OSC Bag Sorting'!AM61+'OSC Bag Sorting Volumetric'!AM61+'REV FSM'!AM61+'Rejection Primary with Scan'!AM61+'Rejection Secondary'!AM61+'Rev DC DC Primary Sorting'!AM61+'Rev Primary (FSM Rejections)'!AM61+'Rev Secondary Sorting'!AM61+'VIA Bag Sorting'!AM61</f>
        <v/>
      </c>
      <c r="AN61" s="7">
        <f>'BBB'!AN61+'Bag Staging'!AN61+'Bag Staging Volumetric'!AN61+'FWD FSM'!AN61+'FWD Manual Pre Primary'!AN61+'FWD Manual Primary'!AN61+'FWD Primary with Scan'!AN61+'FWD Secondary'!AN61+'FWD Volumetric'!AN61+'IB'!AN61+'IB Volumetric'!AN61+'OB'!AN61+'OB Volumetric'!AN61+'OSC Bag Sorting'!AN61+'OSC Bag Sorting Volumetric'!AN61+'REV FSM'!AN61+'Rejection Primary with Scan'!AN61+'Rejection Secondary'!AN61+'Rev DC DC Primary Sorting'!AN61+'Rev Primary (FSM Rejections)'!AN61+'Rev Secondary Sorting'!AN61+'VIA Bag Sorting'!AN61</f>
        <v/>
      </c>
      <c r="AO61" s="7">
        <f>'BBB'!AO61+'Bag Staging'!AO61+'Bag Staging Volumetric'!AO61+'FWD FSM'!AO61+'FWD Manual Pre Primary'!AO61+'FWD Manual Primary'!AO61+'FWD Primary with Scan'!AO61+'FWD Secondary'!AO61+'FWD Volumetric'!AO61+'IB'!AO61+'IB Volumetric'!AO61+'OB'!AO61+'OB Volumetric'!AO61+'OSC Bag Sorting'!AO61+'OSC Bag Sorting Volumetric'!AO61+'REV FSM'!AO61+'Rejection Primary with Scan'!AO61+'Rejection Secondary'!AO61+'Rev DC DC Primary Sorting'!AO61+'Rev Primary (FSM Rejections)'!AO61+'Rev Secondary Sorting'!AO61+'VIA Bag Sorting'!AO61</f>
        <v/>
      </c>
      <c r="AP61" s="7">
        <f>'BBB'!AP61+'Bag Staging'!AP61+'Bag Staging Volumetric'!AP61+'FWD FSM'!AP61+'FWD Manual Pre Primary'!AP61+'FWD Manual Primary'!AP61+'FWD Primary with Scan'!AP61+'FWD Secondary'!AP61+'FWD Volumetric'!AP61+'IB'!AP61+'IB Volumetric'!AP61+'OB'!AP61+'OB Volumetric'!AP61+'OSC Bag Sorting'!AP61+'OSC Bag Sorting Volumetric'!AP61+'REV FSM'!AP61+'Rejection Primary with Scan'!AP61+'Rejection Secondary'!AP61+'Rev DC DC Primary Sorting'!AP61+'Rev Primary (FSM Rejections)'!AP61+'Rev Secondary Sorting'!AP61+'VIA Bag Sorting'!AP61</f>
        <v/>
      </c>
      <c r="AQ61" s="7">
        <f>'BBB'!AQ61+'Bag Staging'!AQ61+'Bag Staging Volumetric'!AQ61+'FWD FSM'!AQ61+'FWD Manual Pre Primary'!AQ61+'FWD Manual Primary'!AQ61+'FWD Primary with Scan'!AQ61+'FWD Secondary'!AQ61+'FWD Volumetric'!AQ61+'IB'!AQ61+'IB Volumetric'!AQ61+'OB'!AQ61+'OB Volumetric'!AQ61+'OSC Bag Sorting'!AQ61+'OSC Bag Sorting Volumetric'!AQ61+'REV FSM'!AQ61+'Rejection Primary with Scan'!AQ61+'Rejection Secondary'!AQ61+'Rev DC DC Primary Sorting'!AQ61+'Rev Primary (FSM Rejections)'!AQ61+'Rev Secondary Sorting'!AQ61+'VIA Bag Sorting'!AQ61</f>
        <v/>
      </c>
      <c r="AR61" s="7">
        <f>'BBB'!AR61+'Bag Staging'!AR61+'Bag Staging Volumetric'!AR61+'FWD FSM'!AR61+'FWD Manual Pre Primary'!AR61+'FWD Manual Primary'!AR61+'FWD Primary with Scan'!AR61+'FWD Secondary'!AR61+'FWD Volumetric'!AR61+'IB'!AR61+'IB Volumetric'!AR61+'OB'!AR61+'OB Volumetric'!AR61+'OSC Bag Sorting'!AR61+'OSC Bag Sorting Volumetric'!AR61+'REV FSM'!AR61+'Rejection Primary with Scan'!AR61+'Rejection Secondary'!AR61+'Rev DC DC Primary Sorting'!AR61+'Rev Primary (FSM Rejections)'!AR61+'Rev Secondary Sorting'!AR61+'VIA Bag Sorting'!AR61</f>
        <v/>
      </c>
      <c r="AS61" s="7">
        <f>'BBB'!AS61+'Bag Staging'!AS61+'Bag Staging Volumetric'!AS61+'FWD FSM'!AS61+'FWD Manual Pre Primary'!AS61+'FWD Manual Primary'!AS61+'FWD Primary with Scan'!AS61+'FWD Secondary'!AS61+'FWD Volumetric'!AS61+'IB'!AS61+'IB Volumetric'!AS61+'OB'!AS61+'OB Volumetric'!AS61+'OSC Bag Sorting'!AS61+'OSC Bag Sorting Volumetric'!AS61+'REV FSM'!AS61+'Rejection Primary with Scan'!AS61+'Rejection Secondary'!AS61+'Rev DC DC Primary Sorting'!AS61+'Rev Primary (FSM Rejections)'!AS61+'Rev Secondary Sorting'!AS61+'VIA Bag Sorting'!AS61</f>
        <v/>
      </c>
      <c r="AT61" s="7">
        <f>'BBB'!AT61+'Bag Staging'!AT61+'Bag Staging Volumetric'!AT61+'FWD FSM'!AT61+'FWD Manual Pre Primary'!AT61+'FWD Manual Primary'!AT61+'FWD Primary with Scan'!AT61+'FWD Secondary'!AT61+'FWD Volumetric'!AT61+'IB'!AT61+'IB Volumetric'!AT61+'OB'!AT61+'OB Volumetric'!AT61+'OSC Bag Sorting'!AT61+'OSC Bag Sorting Volumetric'!AT61+'REV FSM'!AT61+'Rejection Primary with Scan'!AT61+'Rejection Secondary'!AT61+'Rev DC DC Primary Sorting'!AT61+'Rev Primary (FSM Rejections)'!AT61+'Rev Secondary Sorting'!AT61+'VIA Bag Sorting'!AT61</f>
        <v/>
      </c>
      <c r="AU61" s="7">
        <f>'BBB'!AU61+'Bag Staging'!AU61+'Bag Staging Volumetric'!AU61+'FWD FSM'!AU61+'FWD Manual Pre Primary'!AU61+'FWD Manual Primary'!AU61+'FWD Primary with Scan'!AU61+'FWD Secondary'!AU61+'FWD Volumetric'!AU61+'IB'!AU61+'IB Volumetric'!AU61+'OB'!AU61+'OB Volumetric'!AU61+'OSC Bag Sorting'!AU61+'OSC Bag Sorting Volumetric'!AU61+'REV FSM'!AU61+'Rejection Primary with Scan'!AU61+'Rejection Secondary'!AU61+'Rev DC DC Primary Sorting'!AU61+'Rev Primary (FSM Rejections)'!AU61+'Rev Secondary Sorting'!AU61+'VIA Bag Sorting'!AU61</f>
        <v/>
      </c>
      <c r="AV61" s="7">
        <f>'BBB'!AV61+'Bag Staging'!AV61+'Bag Staging Volumetric'!AV61+'FWD FSM'!AV61+'FWD Manual Pre Primary'!AV61+'FWD Manual Primary'!AV61+'FWD Primary with Scan'!AV61+'FWD Secondary'!AV61+'FWD Volumetric'!AV61+'IB'!AV61+'IB Volumetric'!AV61+'OB'!AV61+'OB Volumetric'!AV61+'OSC Bag Sorting'!AV61+'OSC Bag Sorting Volumetric'!AV61+'REV FSM'!AV61+'Rejection Primary with Scan'!AV61+'Rejection Secondary'!AV61+'Rev DC DC Primary Sorting'!AV61+'Rev Primary (FSM Rejections)'!AV61+'Rev Secondary Sorting'!AV61+'VIA Bag Sorting'!AV61</f>
        <v/>
      </c>
      <c r="AW61" s="7">
        <f>'BBB'!AW61+'Bag Staging'!AW61+'Bag Staging Volumetric'!AW61+'FWD FSM'!AW61+'FWD Manual Pre Primary'!AW61+'FWD Manual Primary'!AW61+'FWD Primary with Scan'!AW61+'FWD Secondary'!AW61+'FWD Volumetric'!AW61+'IB'!AW61+'IB Volumetric'!AW61+'OB'!AW61+'OB Volumetric'!AW61+'OSC Bag Sorting'!AW61+'OSC Bag Sorting Volumetric'!AW61+'REV FSM'!AW61+'Rejection Primary with Scan'!AW61+'Rejection Secondary'!AW61+'Rev DC DC Primary Sorting'!AW61+'Rev Primary (FSM Rejections)'!AW61+'Rev Secondary Sorting'!AW61+'VIA Bag Sorting'!AW61</f>
        <v/>
      </c>
      <c r="AX61" s="7">
        <f>'BBB'!AX61+'Bag Staging'!AX61+'Bag Staging Volumetric'!AX61+'FWD FSM'!AX61+'FWD Manual Pre Primary'!AX61+'FWD Manual Primary'!AX61+'FWD Primary with Scan'!AX61+'FWD Secondary'!AX61+'FWD Volumetric'!AX61+'IB'!AX61+'IB Volumetric'!AX61+'OB'!AX61+'OB Volumetric'!AX61+'OSC Bag Sorting'!AX61+'OSC Bag Sorting Volumetric'!AX61+'REV FSM'!AX61+'Rejection Primary with Scan'!AX61+'Rejection Secondary'!AX61+'Rev DC DC Primary Sorting'!AX61+'Rev Primary (FSM Rejections)'!AX61+'Rev Secondary Sorting'!AX61+'VIA Bag Sorting'!AX61</f>
        <v/>
      </c>
      <c r="AY61" s="7">
        <f>'BBB'!AY61+'Bag Staging'!AY61+'Bag Staging Volumetric'!AY61+'FWD FSM'!AY61+'FWD Manual Pre Primary'!AY61+'FWD Manual Primary'!AY61+'FWD Primary with Scan'!AY61+'FWD Secondary'!AY61+'FWD Volumetric'!AY61+'IB'!AY61+'IB Volumetric'!AY61+'OB'!AY61+'OB Volumetric'!AY61+'OSC Bag Sorting'!AY61+'OSC Bag Sorting Volumetric'!AY61+'REV FSM'!AY61+'Rejection Primary with Scan'!AY61+'Rejection Secondary'!AY61+'Rev DC DC Primary Sorting'!AY61+'Rev Primary (FSM Rejections)'!AY61+'Rev Secondary Sorting'!AY61+'VIA Bag Sorting'!AY61</f>
        <v/>
      </c>
      <c r="AZ61" s="7">
        <f>'BBB'!AZ61+'Bag Staging'!AZ61+'Bag Staging Volumetric'!AZ61+'FWD FSM'!AZ61+'FWD Manual Pre Primary'!AZ61+'FWD Manual Primary'!AZ61+'FWD Primary with Scan'!AZ61+'FWD Secondary'!AZ61+'FWD Volumetric'!AZ61+'IB'!AZ61+'IB Volumetric'!AZ61+'OB'!AZ61+'OB Volumetric'!AZ61+'OSC Bag Sorting'!AZ61+'OSC Bag Sorting Volumetric'!AZ61+'REV FSM'!AZ61+'Rejection Primary with Scan'!AZ61+'Rejection Secondary'!AZ61+'Rev DC DC Primary Sorting'!AZ61+'Rev Primary (FSM Rejections)'!AZ61+'Rev Secondary Sorting'!AZ61+'VIA Bag Sorting'!AZ61</f>
        <v/>
      </c>
      <c r="BA61" s="7">
        <f>'BBB'!BA61+'Bag Staging'!BA61+'Bag Staging Volumetric'!BA61+'FWD FSM'!BA61+'FWD Manual Pre Primary'!BA61+'FWD Manual Primary'!BA61+'FWD Primary with Scan'!BA61+'FWD Secondary'!BA61+'FWD Volumetric'!BA61+'IB'!BA61+'IB Volumetric'!BA61+'OB'!BA61+'OB Volumetric'!BA61+'OSC Bag Sorting'!BA61+'OSC Bag Sorting Volumetric'!BA61+'REV FSM'!BA61+'Rejection Primary with Scan'!BA61+'Rejection Secondary'!BA61+'Rev DC DC Primary Sorting'!BA61+'Rev Primary (FSM Rejections)'!BA61+'Rev Secondary Sorting'!BA61+'VIA Bag Sorting'!BA61</f>
        <v/>
      </c>
      <c r="BB61" s="7">
        <f>SUM(AD61:BA61)</f>
        <v/>
      </c>
    </row>
    <row r="62">
      <c r="A62" t="inlineStr">
        <is>
          <t>AMD-INTRA-SSC</t>
        </is>
      </c>
      <c r="B62" t="inlineStr">
        <is>
          <t>Forward Regular OSC</t>
        </is>
      </c>
      <c r="C62" s="5" t="n">
        <v>46101</v>
      </c>
      <c r="D62" s="6" t="n">
        <v>220</v>
      </c>
      <c r="E62" s="6" t="n">
        <v>0</v>
      </c>
      <c r="F62" s="6" t="n">
        <v>35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0</v>
      </c>
      <c r="M62" s="6" t="n">
        <v>116</v>
      </c>
      <c r="N62" s="6" t="n">
        <v>0</v>
      </c>
      <c r="O62" s="6" t="n">
        <v>0</v>
      </c>
      <c r="P62" s="6" t="n">
        <v>0</v>
      </c>
      <c r="Q62" s="6" t="n">
        <v>194</v>
      </c>
      <c r="R62" s="6" t="n">
        <v>11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81</v>
      </c>
      <c r="Z62" s="6" t="n">
        <v>166</v>
      </c>
      <c r="AA62" s="6" t="n">
        <v>216</v>
      </c>
      <c r="AB62" s="6">
        <f>SUM(D62:AA62)</f>
        <v/>
      </c>
      <c r="AC62" s="3" t="inlineStr"/>
      <c r="AD62" s="7">
        <f>'BBB'!AD62+'Bag Staging'!AD62+'Bag Staging Volumetric'!AD62+'FWD FSM'!AD62+'FWD Manual Pre Primary'!AD62+'FWD Manual Primary'!AD62+'FWD Primary with Scan'!AD62+'FWD Secondary'!AD62+'FWD Volumetric'!AD62+'IB'!AD62+'IB Volumetric'!AD62+'OB'!AD62+'OB Volumetric'!AD62+'OSC Bag Sorting'!AD62+'OSC Bag Sorting Volumetric'!AD62+'REV FSM'!AD62+'Rejection Primary with Scan'!AD62+'Rejection Secondary'!AD62+'Rev DC DC Primary Sorting'!AD62+'Rev Primary (FSM Rejections)'!AD62+'Rev Secondary Sorting'!AD62+'VIA Bag Sorting'!AD62</f>
        <v/>
      </c>
      <c r="AE62" s="7">
        <f>'BBB'!AE62+'Bag Staging'!AE62+'Bag Staging Volumetric'!AE62+'FWD FSM'!AE62+'FWD Manual Pre Primary'!AE62+'FWD Manual Primary'!AE62+'FWD Primary with Scan'!AE62+'FWD Secondary'!AE62+'FWD Volumetric'!AE62+'IB'!AE62+'IB Volumetric'!AE62+'OB'!AE62+'OB Volumetric'!AE62+'OSC Bag Sorting'!AE62+'OSC Bag Sorting Volumetric'!AE62+'REV FSM'!AE62+'Rejection Primary with Scan'!AE62+'Rejection Secondary'!AE62+'Rev DC DC Primary Sorting'!AE62+'Rev Primary (FSM Rejections)'!AE62+'Rev Secondary Sorting'!AE62+'VIA Bag Sorting'!AE62</f>
        <v/>
      </c>
      <c r="AF62" s="7">
        <f>'BBB'!AF62+'Bag Staging'!AF62+'Bag Staging Volumetric'!AF62+'FWD FSM'!AF62+'FWD Manual Pre Primary'!AF62+'FWD Manual Primary'!AF62+'FWD Primary with Scan'!AF62+'FWD Secondary'!AF62+'FWD Volumetric'!AF62+'IB'!AF62+'IB Volumetric'!AF62+'OB'!AF62+'OB Volumetric'!AF62+'OSC Bag Sorting'!AF62+'OSC Bag Sorting Volumetric'!AF62+'REV FSM'!AF62+'Rejection Primary with Scan'!AF62+'Rejection Secondary'!AF62+'Rev DC DC Primary Sorting'!AF62+'Rev Primary (FSM Rejections)'!AF62+'Rev Secondary Sorting'!AF62+'VIA Bag Sorting'!AF62</f>
        <v/>
      </c>
      <c r="AG62" s="7">
        <f>'BBB'!AG62+'Bag Staging'!AG62+'Bag Staging Volumetric'!AG62+'FWD FSM'!AG62+'FWD Manual Pre Primary'!AG62+'FWD Manual Primary'!AG62+'FWD Primary with Scan'!AG62+'FWD Secondary'!AG62+'FWD Volumetric'!AG62+'IB'!AG62+'IB Volumetric'!AG62+'OB'!AG62+'OB Volumetric'!AG62+'OSC Bag Sorting'!AG62+'OSC Bag Sorting Volumetric'!AG62+'REV FSM'!AG62+'Rejection Primary with Scan'!AG62+'Rejection Secondary'!AG62+'Rev DC DC Primary Sorting'!AG62+'Rev Primary (FSM Rejections)'!AG62+'Rev Secondary Sorting'!AG62+'VIA Bag Sorting'!AG62</f>
        <v/>
      </c>
      <c r="AH62" s="7">
        <f>'BBB'!AH62+'Bag Staging'!AH62+'Bag Staging Volumetric'!AH62+'FWD FSM'!AH62+'FWD Manual Pre Primary'!AH62+'FWD Manual Primary'!AH62+'FWD Primary with Scan'!AH62+'FWD Secondary'!AH62+'FWD Volumetric'!AH62+'IB'!AH62+'IB Volumetric'!AH62+'OB'!AH62+'OB Volumetric'!AH62+'OSC Bag Sorting'!AH62+'OSC Bag Sorting Volumetric'!AH62+'REV FSM'!AH62+'Rejection Primary with Scan'!AH62+'Rejection Secondary'!AH62+'Rev DC DC Primary Sorting'!AH62+'Rev Primary (FSM Rejections)'!AH62+'Rev Secondary Sorting'!AH62+'VIA Bag Sorting'!AH62</f>
        <v/>
      </c>
      <c r="AI62" s="7">
        <f>'BBB'!AI62+'Bag Staging'!AI62+'Bag Staging Volumetric'!AI62+'FWD FSM'!AI62+'FWD Manual Pre Primary'!AI62+'FWD Manual Primary'!AI62+'FWD Primary with Scan'!AI62+'FWD Secondary'!AI62+'FWD Volumetric'!AI62+'IB'!AI62+'IB Volumetric'!AI62+'OB'!AI62+'OB Volumetric'!AI62+'OSC Bag Sorting'!AI62+'OSC Bag Sorting Volumetric'!AI62+'REV FSM'!AI62+'Rejection Primary with Scan'!AI62+'Rejection Secondary'!AI62+'Rev DC DC Primary Sorting'!AI62+'Rev Primary (FSM Rejections)'!AI62+'Rev Secondary Sorting'!AI62+'VIA Bag Sorting'!AI62</f>
        <v/>
      </c>
      <c r="AJ62" s="7">
        <f>'BBB'!AJ62+'Bag Staging'!AJ62+'Bag Staging Volumetric'!AJ62+'FWD FSM'!AJ62+'FWD Manual Pre Primary'!AJ62+'FWD Manual Primary'!AJ62+'FWD Primary with Scan'!AJ62+'FWD Secondary'!AJ62+'FWD Volumetric'!AJ62+'IB'!AJ62+'IB Volumetric'!AJ62+'OB'!AJ62+'OB Volumetric'!AJ62+'OSC Bag Sorting'!AJ62+'OSC Bag Sorting Volumetric'!AJ62+'REV FSM'!AJ62+'Rejection Primary with Scan'!AJ62+'Rejection Secondary'!AJ62+'Rev DC DC Primary Sorting'!AJ62+'Rev Primary (FSM Rejections)'!AJ62+'Rev Secondary Sorting'!AJ62+'VIA Bag Sorting'!AJ62</f>
        <v/>
      </c>
      <c r="AK62" s="7">
        <f>'BBB'!AK62+'Bag Staging'!AK62+'Bag Staging Volumetric'!AK62+'FWD FSM'!AK62+'FWD Manual Pre Primary'!AK62+'FWD Manual Primary'!AK62+'FWD Primary with Scan'!AK62+'FWD Secondary'!AK62+'FWD Volumetric'!AK62+'IB'!AK62+'IB Volumetric'!AK62+'OB'!AK62+'OB Volumetric'!AK62+'OSC Bag Sorting'!AK62+'OSC Bag Sorting Volumetric'!AK62+'REV FSM'!AK62+'Rejection Primary with Scan'!AK62+'Rejection Secondary'!AK62+'Rev DC DC Primary Sorting'!AK62+'Rev Primary (FSM Rejections)'!AK62+'Rev Secondary Sorting'!AK62+'VIA Bag Sorting'!AK62</f>
        <v/>
      </c>
      <c r="AL62" s="7">
        <f>'BBB'!AL62+'Bag Staging'!AL62+'Bag Staging Volumetric'!AL62+'FWD FSM'!AL62+'FWD Manual Pre Primary'!AL62+'FWD Manual Primary'!AL62+'FWD Primary with Scan'!AL62+'FWD Secondary'!AL62+'FWD Volumetric'!AL62+'IB'!AL62+'IB Volumetric'!AL62+'OB'!AL62+'OB Volumetric'!AL62+'OSC Bag Sorting'!AL62+'OSC Bag Sorting Volumetric'!AL62+'REV FSM'!AL62+'Rejection Primary with Scan'!AL62+'Rejection Secondary'!AL62+'Rev DC DC Primary Sorting'!AL62+'Rev Primary (FSM Rejections)'!AL62+'Rev Secondary Sorting'!AL62+'VIA Bag Sorting'!AL62</f>
        <v/>
      </c>
      <c r="AM62" s="7">
        <f>'BBB'!AM62+'Bag Staging'!AM62+'Bag Staging Volumetric'!AM62+'FWD FSM'!AM62+'FWD Manual Pre Primary'!AM62+'FWD Manual Primary'!AM62+'FWD Primary with Scan'!AM62+'FWD Secondary'!AM62+'FWD Volumetric'!AM62+'IB'!AM62+'IB Volumetric'!AM62+'OB'!AM62+'OB Volumetric'!AM62+'OSC Bag Sorting'!AM62+'OSC Bag Sorting Volumetric'!AM62+'REV FSM'!AM62+'Rejection Primary with Scan'!AM62+'Rejection Secondary'!AM62+'Rev DC DC Primary Sorting'!AM62+'Rev Primary (FSM Rejections)'!AM62+'Rev Secondary Sorting'!AM62+'VIA Bag Sorting'!AM62</f>
        <v/>
      </c>
      <c r="AN62" s="7">
        <f>'BBB'!AN62+'Bag Staging'!AN62+'Bag Staging Volumetric'!AN62+'FWD FSM'!AN62+'FWD Manual Pre Primary'!AN62+'FWD Manual Primary'!AN62+'FWD Primary with Scan'!AN62+'FWD Secondary'!AN62+'FWD Volumetric'!AN62+'IB'!AN62+'IB Volumetric'!AN62+'OB'!AN62+'OB Volumetric'!AN62+'OSC Bag Sorting'!AN62+'OSC Bag Sorting Volumetric'!AN62+'REV FSM'!AN62+'Rejection Primary with Scan'!AN62+'Rejection Secondary'!AN62+'Rev DC DC Primary Sorting'!AN62+'Rev Primary (FSM Rejections)'!AN62+'Rev Secondary Sorting'!AN62+'VIA Bag Sorting'!AN62</f>
        <v/>
      </c>
      <c r="AO62" s="7">
        <f>'BBB'!AO62+'Bag Staging'!AO62+'Bag Staging Volumetric'!AO62+'FWD FSM'!AO62+'FWD Manual Pre Primary'!AO62+'FWD Manual Primary'!AO62+'FWD Primary with Scan'!AO62+'FWD Secondary'!AO62+'FWD Volumetric'!AO62+'IB'!AO62+'IB Volumetric'!AO62+'OB'!AO62+'OB Volumetric'!AO62+'OSC Bag Sorting'!AO62+'OSC Bag Sorting Volumetric'!AO62+'REV FSM'!AO62+'Rejection Primary with Scan'!AO62+'Rejection Secondary'!AO62+'Rev DC DC Primary Sorting'!AO62+'Rev Primary (FSM Rejections)'!AO62+'Rev Secondary Sorting'!AO62+'VIA Bag Sorting'!AO62</f>
        <v/>
      </c>
      <c r="AP62" s="7">
        <f>'BBB'!AP62+'Bag Staging'!AP62+'Bag Staging Volumetric'!AP62+'FWD FSM'!AP62+'FWD Manual Pre Primary'!AP62+'FWD Manual Primary'!AP62+'FWD Primary with Scan'!AP62+'FWD Secondary'!AP62+'FWD Volumetric'!AP62+'IB'!AP62+'IB Volumetric'!AP62+'OB'!AP62+'OB Volumetric'!AP62+'OSC Bag Sorting'!AP62+'OSC Bag Sorting Volumetric'!AP62+'REV FSM'!AP62+'Rejection Primary with Scan'!AP62+'Rejection Secondary'!AP62+'Rev DC DC Primary Sorting'!AP62+'Rev Primary (FSM Rejections)'!AP62+'Rev Secondary Sorting'!AP62+'VIA Bag Sorting'!AP62</f>
        <v/>
      </c>
      <c r="AQ62" s="7">
        <f>'BBB'!AQ62+'Bag Staging'!AQ62+'Bag Staging Volumetric'!AQ62+'FWD FSM'!AQ62+'FWD Manual Pre Primary'!AQ62+'FWD Manual Primary'!AQ62+'FWD Primary with Scan'!AQ62+'FWD Secondary'!AQ62+'FWD Volumetric'!AQ62+'IB'!AQ62+'IB Volumetric'!AQ62+'OB'!AQ62+'OB Volumetric'!AQ62+'OSC Bag Sorting'!AQ62+'OSC Bag Sorting Volumetric'!AQ62+'REV FSM'!AQ62+'Rejection Primary with Scan'!AQ62+'Rejection Secondary'!AQ62+'Rev DC DC Primary Sorting'!AQ62+'Rev Primary (FSM Rejections)'!AQ62+'Rev Secondary Sorting'!AQ62+'VIA Bag Sorting'!AQ62</f>
        <v/>
      </c>
      <c r="AR62" s="7">
        <f>'BBB'!AR62+'Bag Staging'!AR62+'Bag Staging Volumetric'!AR62+'FWD FSM'!AR62+'FWD Manual Pre Primary'!AR62+'FWD Manual Primary'!AR62+'FWD Primary with Scan'!AR62+'FWD Secondary'!AR62+'FWD Volumetric'!AR62+'IB'!AR62+'IB Volumetric'!AR62+'OB'!AR62+'OB Volumetric'!AR62+'OSC Bag Sorting'!AR62+'OSC Bag Sorting Volumetric'!AR62+'REV FSM'!AR62+'Rejection Primary with Scan'!AR62+'Rejection Secondary'!AR62+'Rev DC DC Primary Sorting'!AR62+'Rev Primary (FSM Rejections)'!AR62+'Rev Secondary Sorting'!AR62+'VIA Bag Sorting'!AR62</f>
        <v/>
      </c>
      <c r="AS62" s="7">
        <f>'BBB'!AS62+'Bag Staging'!AS62+'Bag Staging Volumetric'!AS62+'FWD FSM'!AS62+'FWD Manual Pre Primary'!AS62+'FWD Manual Primary'!AS62+'FWD Primary with Scan'!AS62+'FWD Secondary'!AS62+'FWD Volumetric'!AS62+'IB'!AS62+'IB Volumetric'!AS62+'OB'!AS62+'OB Volumetric'!AS62+'OSC Bag Sorting'!AS62+'OSC Bag Sorting Volumetric'!AS62+'REV FSM'!AS62+'Rejection Primary with Scan'!AS62+'Rejection Secondary'!AS62+'Rev DC DC Primary Sorting'!AS62+'Rev Primary (FSM Rejections)'!AS62+'Rev Secondary Sorting'!AS62+'VIA Bag Sorting'!AS62</f>
        <v/>
      </c>
      <c r="AT62" s="7">
        <f>'BBB'!AT62+'Bag Staging'!AT62+'Bag Staging Volumetric'!AT62+'FWD FSM'!AT62+'FWD Manual Pre Primary'!AT62+'FWD Manual Primary'!AT62+'FWD Primary with Scan'!AT62+'FWD Secondary'!AT62+'FWD Volumetric'!AT62+'IB'!AT62+'IB Volumetric'!AT62+'OB'!AT62+'OB Volumetric'!AT62+'OSC Bag Sorting'!AT62+'OSC Bag Sorting Volumetric'!AT62+'REV FSM'!AT62+'Rejection Primary with Scan'!AT62+'Rejection Secondary'!AT62+'Rev DC DC Primary Sorting'!AT62+'Rev Primary (FSM Rejections)'!AT62+'Rev Secondary Sorting'!AT62+'VIA Bag Sorting'!AT62</f>
        <v/>
      </c>
      <c r="AU62" s="7">
        <f>'BBB'!AU62+'Bag Staging'!AU62+'Bag Staging Volumetric'!AU62+'FWD FSM'!AU62+'FWD Manual Pre Primary'!AU62+'FWD Manual Primary'!AU62+'FWD Primary with Scan'!AU62+'FWD Secondary'!AU62+'FWD Volumetric'!AU62+'IB'!AU62+'IB Volumetric'!AU62+'OB'!AU62+'OB Volumetric'!AU62+'OSC Bag Sorting'!AU62+'OSC Bag Sorting Volumetric'!AU62+'REV FSM'!AU62+'Rejection Primary with Scan'!AU62+'Rejection Secondary'!AU62+'Rev DC DC Primary Sorting'!AU62+'Rev Primary (FSM Rejections)'!AU62+'Rev Secondary Sorting'!AU62+'VIA Bag Sorting'!AU62</f>
        <v/>
      </c>
      <c r="AV62" s="7">
        <f>'BBB'!AV62+'Bag Staging'!AV62+'Bag Staging Volumetric'!AV62+'FWD FSM'!AV62+'FWD Manual Pre Primary'!AV62+'FWD Manual Primary'!AV62+'FWD Primary with Scan'!AV62+'FWD Secondary'!AV62+'FWD Volumetric'!AV62+'IB'!AV62+'IB Volumetric'!AV62+'OB'!AV62+'OB Volumetric'!AV62+'OSC Bag Sorting'!AV62+'OSC Bag Sorting Volumetric'!AV62+'REV FSM'!AV62+'Rejection Primary with Scan'!AV62+'Rejection Secondary'!AV62+'Rev DC DC Primary Sorting'!AV62+'Rev Primary (FSM Rejections)'!AV62+'Rev Secondary Sorting'!AV62+'VIA Bag Sorting'!AV62</f>
        <v/>
      </c>
      <c r="AW62" s="7">
        <f>'BBB'!AW62+'Bag Staging'!AW62+'Bag Staging Volumetric'!AW62+'FWD FSM'!AW62+'FWD Manual Pre Primary'!AW62+'FWD Manual Primary'!AW62+'FWD Primary with Scan'!AW62+'FWD Secondary'!AW62+'FWD Volumetric'!AW62+'IB'!AW62+'IB Volumetric'!AW62+'OB'!AW62+'OB Volumetric'!AW62+'OSC Bag Sorting'!AW62+'OSC Bag Sorting Volumetric'!AW62+'REV FSM'!AW62+'Rejection Primary with Scan'!AW62+'Rejection Secondary'!AW62+'Rev DC DC Primary Sorting'!AW62+'Rev Primary (FSM Rejections)'!AW62+'Rev Secondary Sorting'!AW62+'VIA Bag Sorting'!AW62</f>
        <v/>
      </c>
      <c r="AX62" s="7">
        <f>'BBB'!AX62+'Bag Staging'!AX62+'Bag Staging Volumetric'!AX62+'FWD FSM'!AX62+'FWD Manual Pre Primary'!AX62+'FWD Manual Primary'!AX62+'FWD Primary with Scan'!AX62+'FWD Secondary'!AX62+'FWD Volumetric'!AX62+'IB'!AX62+'IB Volumetric'!AX62+'OB'!AX62+'OB Volumetric'!AX62+'OSC Bag Sorting'!AX62+'OSC Bag Sorting Volumetric'!AX62+'REV FSM'!AX62+'Rejection Primary with Scan'!AX62+'Rejection Secondary'!AX62+'Rev DC DC Primary Sorting'!AX62+'Rev Primary (FSM Rejections)'!AX62+'Rev Secondary Sorting'!AX62+'VIA Bag Sorting'!AX62</f>
        <v/>
      </c>
      <c r="AY62" s="7">
        <f>'BBB'!AY62+'Bag Staging'!AY62+'Bag Staging Volumetric'!AY62+'FWD FSM'!AY62+'FWD Manual Pre Primary'!AY62+'FWD Manual Primary'!AY62+'FWD Primary with Scan'!AY62+'FWD Secondary'!AY62+'FWD Volumetric'!AY62+'IB'!AY62+'IB Volumetric'!AY62+'OB'!AY62+'OB Volumetric'!AY62+'OSC Bag Sorting'!AY62+'OSC Bag Sorting Volumetric'!AY62+'REV FSM'!AY62+'Rejection Primary with Scan'!AY62+'Rejection Secondary'!AY62+'Rev DC DC Primary Sorting'!AY62+'Rev Primary (FSM Rejections)'!AY62+'Rev Secondary Sorting'!AY62+'VIA Bag Sorting'!AY62</f>
        <v/>
      </c>
      <c r="AZ62" s="7">
        <f>'BBB'!AZ62+'Bag Staging'!AZ62+'Bag Staging Volumetric'!AZ62+'FWD FSM'!AZ62+'FWD Manual Pre Primary'!AZ62+'FWD Manual Primary'!AZ62+'FWD Primary with Scan'!AZ62+'FWD Secondary'!AZ62+'FWD Volumetric'!AZ62+'IB'!AZ62+'IB Volumetric'!AZ62+'OB'!AZ62+'OB Volumetric'!AZ62+'OSC Bag Sorting'!AZ62+'OSC Bag Sorting Volumetric'!AZ62+'REV FSM'!AZ62+'Rejection Primary with Scan'!AZ62+'Rejection Secondary'!AZ62+'Rev DC DC Primary Sorting'!AZ62+'Rev Primary (FSM Rejections)'!AZ62+'Rev Secondary Sorting'!AZ62+'VIA Bag Sorting'!AZ62</f>
        <v/>
      </c>
      <c r="BA62" s="7">
        <f>'BBB'!BA62+'Bag Staging'!BA62+'Bag Staging Volumetric'!BA62+'FWD FSM'!BA62+'FWD Manual Pre Primary'!BA62+'FWD Manual Primary'!BA62+'FWD Primary with Scan'!BA62+'FWD Secondary'!BA62+'FWD Volumetric'!BA62+'IB'!BA62+'IB Volumetric'!BA62+'OB'!BA62+'OB Volumetric'!BA62+'OSC Bag Sorting'!BA62+'OSC Bag Sorting Volumetric'!BA62+'REV FSM'!BA62+'Rejection Primary with Scan'!BA62+'Rejection Secondary'!BA62+'Rev DC DC Primary Sorting'!BA62+'Rev Primary (FSM Rejections)'!BA62+'Rev Secondary Sorting'!BA62+'VIA Bag Sorting'!BA62</f>
        <v/>
      </c>
      <c r="BB62" s="7">
        <f>SUM(AD62:BA62)</f>
        <v/>
      </c>
    </row>
    <row r="63">
      <c r="A63" t="inlineStr">
        <is>
          <t>AMD-INTRA-SSC</t>
        </is>
      </c>
      <c r="B63" t="inlineStr">
        <is>
          <t>Forward Regular OSC</t>
        </is>
      </c>
      <c r="C63" s="5" t="n">
        <v>46102</v>
      </c>
      <c r="D63" s="6" t="n">
        <v>156</v>
      </c>
      <c r="E63" s="6" t="n">
        <v>94</v>
      </c>
      <c r="F63" s="6" t="n">
        <v>98</v>
      </c>
      <c r="G63" s="6" t="n">
        <v>22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218</v>
      </c>
      <c r="N63" s="6" t="n">
        <v>0</v>
      </c>
      <c r="O63" s="6" t="n">
        <v>0</v>
      </c>
      <c r="P63" s="6" t="n">
        <v>0</v>
      </c>
      <c r="Q63" s="6" t="n">
        <v>0</v>
      </c>
      <c r="R63" s="6" t="n">
        <v>145</v>
      </c>
      <c r="S63" s="6" t="n">
        <v>0</v>
      </c>
      <c r="T63" s="6" t="n">
        <v>0</v>
      </c>
      <c r="U63" s="6" t="n">
        <v>0</v>
      </c>
      <c r="V63" s="6" t="n">
        <v>0</v>
      </c>
      <c r="W63" s="6" t="n">
        <v>0</v>
      </c>
      <c r="X63" s="6" t="n">
        <v>163</v>
      </c>
      <c r="Y63" s="6" t="n">
        <v>17</v>
      </c>
      <c r="Z63" s="6" t="n">
        <v>0</v>
      </c>
      <c r="AA63" s="6" t="n">
        <v>245</v>
      </c>
      <c r="AB63" s="6">
        <f>SUM(D63:AA63)</f>
        <v/>
      </c>
      <c r="AC63" s="3" t="inlineStr"/>
      <c r="AD63" s="7">
        <f>'BBB'!AD63+'Bag Staging'!AD63+'Bag Staging Volumetric'!AD63+'FWD FSM'!AD63+'FWD Manual Pre Primary'!AD63+'FWD Manual Primary'!AD63+'FWD Primary with Scan'!AD63+'FWD Secondary'!AD63+'FWD Volumetric'!AD63+'IB'!AD63+'IB Volumetric'!AD63+'OB'!AD63+'OB Volumetric'!AD63+'OSC Bag Sorting'!AD63+'OSC Bag Sorting Volumetric'!AD63+'REV FSM'!AD63+'Rejection Primary with Scan'!AD63+'Rejection Secondary'!AD63+'Rev DC DC Primary Sorting'!AD63+'Rev Primary (FSM Rejections)'!AD63+'Rev Secondary Sorting'!AD63+'VIA Bag Sorting'!AD63</f>
        <v/>
      </c>
      <c r="AE63" s="7">
        <f>'BBB'!AE63+'Bag Staging'!AE63+'Bag Staging Volumetric'!AE63+'FWD FSM'!AE63+'FWD Manual Pre Primary'!AE63+'FWD Manual Primary'!AE63+'FWD Primary with Scan'!AE63+'FWD Secondary'!AE63+'FWD Volumetric'!AE63+'IB'!AE63+'IB Volumetric'!AE63+'OB'!AE63+'OB Volumetric'!AE63+'OSC Bag Sorting'!AE63+'OSC Bag Sorting Volumetric'!AE63+'REV FSM'!AE63+'Rejection Primary with Scan'!AE63+'Rejection Secondary'!AE63+'Rev DC DC Primary Sorting'!AE63+'Rev Primary (FSM Rejections)'!AE63+'Rev Secondary Sorting'!AE63+'VIA Bag Sorting'!AE63</f>
        <v/>
      </c>
      <c r="AF63" s="7">
        <f>'BBB'!AF63+'Bag Staging'!AF63+'Bag Staging Volumetric'!AF63+'FWD FSM'!AF63+'FWD Manual Pre Primary'!AF63+'FWD Manual Primary'!AF63+'FWD Primary with Scan'!AF63+'FWD Secondary'!AF63+'FWD Volumetric'!AF63+'IB'!AF63+'IB Volumetric'!AF63+'OB'!AF63+'OB Volumetric'!AF63+'OSC Bag Sorting'!AF63+'OSC Bag Sorting Volumetric'!AF63+'REV FSM'!AF63+'Rejection Primary with Scan'!AF63+'Rejection Secondary'!AF63+'Rev DC DC Primary Sorting'!AF63+'Rev Primary (FSM Rejections)'!AF63+'Rev Secondary Sorting'!AF63+'VIA Bag Sorting'!AF63</f>
        <v/>
      </c>
      <c r="AG63" s="7">
        <f>'BBB'!AG63+'Bag Staging'!AG63+'Bag Staging Volumetric'!AG63+'FWD FSM'!AG63+'FWD Manual Pre Primary'!AG63+'FWD Manual Primary'!AG63+'FWD Primary with Scan'!AG63+'FWD Secondary'!AG63+'FWD Volumetric'!AG63+'IB'!AG63+'IB Volumetric'!AG63+'OB'!AG63+'OB Volumetric'!AG63+'OSC Bag Sorting'!AG63+'OSC Bag Sorting Volumetric'!AG63+'REV FSM'!AG63+'Rejection Primary with Scan'!AG63+'Rejection Secondary'!AG63+'Rev DC DC Primary Sorting'!AG63+'Rev Primary (FSM Rejections)'!AG63+'Rev Secondary Sorting'!AG63+'VIA Bag Sorting'!AG63</f>
        <v/>
      </c>
      <c r="AH63" s="7">
        <f>'BBB'!AH63+'Bag Staging'!AH63+'Bag Staging Volumetric'!AH63+'FWD FSM'!AH63+'FWD Manual Pre Primary'!AH63+'FWD Manual Primary'!AH63+'FWD Primary with Scan'!AH63+'FWD Secondary'!AH63+'FWD Volumetric'!AH63+'IB'!AH63+'IB Volumetric'!AH63+'OB'!AH63+'OB Volumetric'!AH63+'OSC Bag Sorting'!AH63+'OSC Bag Sorting Volumetric'!AH63+'REV FSM'!AH63+'Rejection Primary with Scan'!AH63+'Rejection Secondary'!AH63+'Rev DC DC Primary Sorting'!AH63+'Rev Primary (FSM Rejections)'!AH63+'Rev Secondary Sorting'!AH63+'VIA Bag Sorting'!AH63</f>
        <v/>
      </c>
      <c r="AI63" s="7">
        <f>'BBB'!AI63+'Bag Staging'!AI63+'Bag Staging Volumetric'!AI63+'FWD FSM'!AI63+'FWD Manual Pre Primary'!AI63+'FWD Manual Primary'!AI63+'FWD Primary with Scan'!AI63+'FWD Secondary'!AI63+'FWD Volumetric'!AI63+'IB'!AI63+'IB Volumetric'!AI63+'OB'!AI63+'OB Volumetric'!AI63+'OSC Bag Sorting'!AI63+'OSC Bag Sorting Volumetric'!AI63+'REV FSM'!AI63+'Rejection Primary with Scan'!AI63+'Rejection Secondary'!AI63+'Rev DC DC Primary Sorting'!AI63+'Rev Primary (FSM Rejections)'!AI63+'Rev Secondary Sorting'!AI63+'VIA Bag Sorting'!AI63</f>
        <v/>
      </c>
      <c r="AJ63" s="7">
        <f>'BBB'!AJ63+'Bag Staging'!AJ63+'Bag Staging Volumetric'!AJ63+'FWD FSM'!AJ63+'FWD Manual Pre Primary'!AJ63+'FWD Manual Primary'!AJ63+'FWD Primary with Scan'!AJ63+'FWD Secondary'!AJ63+'FWD Volumetric'!AJ63+'IB'!AJ63+'IB Volumetric'!AJ63+'OB'!AJ63+'OB Volumetric'!AJ63+'OSC Bag Sorting'!AJ63+'OSC Bag Sorting Volumetric'!AJ63+'REV FSM'!AJ63+'Rejection Primary with Scan'!AJ63+'Rejection Secondary'!AJ63+'Rev DC DC Primary Sorting'!AJ63+'Rev Primary (FSM Rejections)'!AJ63+'Rev Secondary Sorting'!AJ63+'VIA Bag Sorting'!AJ63</f>
        <v/>
      </c>
      <c r="AK63" s="7">
        <f>'BBB'!AK63+'Bag Staging'!AK63+'Bag Staging Volumetric'!AK63+'FWD FSM'!AK63+'FWD Manual Pre Primary'!AK63+'FWD Manual Primary'!AK63+'FWD Primary with Scan'!AK63+'FWD Secondary'!AK63+'FWD Volumetric'!AK63+'IB'!AK63+'IB Volumetric'!AK63+'OB'!AK63+'OB Volumetric'!AK63+'OSC Bag Sorting'!AK63+'OSC Bag Sorting Volumetric'!AK63+'REV FSM'!AK63+'Rejection Primary with Scan'!AK63+'Rejection Secondary'!AK63+'Rev DC DC Primary Sorting'!AK63+'Rev Primary (FSM Rejections)'!AK63+'Rev Secondary Sorting'!AK63+'VIA Bag Sorting'!AK63</f>
        <v/>
      </c>
      <c r="AL63" s="7">
        <f>'BBB'!AL63+'Bag Staging'!AL63+'Bag Staging Volumetric'!AL63+'FWD FSM'!AL63+'FWD Manual Pre Primary'!AL63+'FWD Manual Primary'!AL63+'FWD Primary with Scan'!AL63+'FWD Secondary'!AL63+'FWD Volumetric'!AL63+'IB'!AL63+'IB Volumetric'!AL63+'OB'!AL63+'OB Volumetric'!AL63+'OSC Bag Sorting'!AL63+'OSC Bag Sorting Volumetric'!AL63+'REV FSM'!AL63+'Rejection Primary with Scan'!AL63+'Rejection Secondary'!AL63+'Rev DC DC Primary Sorting'!AL63+'Rev Primary (FSM Rejections)'!AL63+'Rev Secondary Sorting'!AL63+'VIA Bag Sorting'!AL63</f>
        <v/>
      </c>
      <c r="AM63" s="7">
        <f>'BBB'!AM63+'Bag Staging'!AM63+'Bag Staging Volumetric'!AM63+'FWD FSM'!AM63+'FWD Manual Pre Primary'!AM63+'FWD Manual Primary'!AM63+'FWD Primary with Scan'!AM63+'FWD Secondary'!AM63+'FWD Volumetric'!AM63+'IB'!AM63+'IB Volumetric'!AM63+'OB'!AM63+'OB Volumetric'!AM63+'OSC Bag Sorting'!AM63+'OSC Bag Sorting Volumetric'!AM63+'REV FSM'!AM63+'Rejection Primary with Scan'!AM63+'Rejection Secondary'!AM63+'Rev DC DC Primary Sorting'!AM63+'Rev Primary (FSM Rejections)'!AM63+'Rev Secondary Sorting'!AM63+'VIA Bag Sorting'!AM63</f>
        <v/>
      </c>
      <c r="AN63" s="7">
        <f>'BBB'!AN63+'Bag Staging'!AN63+'Bag Staging Volumetric'!AN63+'FWD FSM'!AN63+'FWD Manual Pre Primary'!AN63+'FWD Manual Primary'!AN63+'FWD Primary with Scan'!AN63+'FWD Secondary'!AN63+'FWD Volumetric'!AN63+'IB'!AN63+'IB Volumetric'!AN63+'OB'!AN63+'OB Volumetric'!AN63+'OSC Bag Sorting'!AN63+'OSC Bag Sorting Volumetric'!AN63+'REV FSM'!AN63+'Rejection Primary with Scan'!AN63+'Rejection Secondary'!AN63+'Rev DC DC Primary Sorting'!AN63+'Rev Primary (FSM Rejections)'!AN63+'Rev Secondary Sorting'!AN63+'VIA Bag Sorting'!AN63</f>
        <v/>
      </c>
      <c r="AO63" s="7">
        <f>'BBB'!AO63+'Bag Staging'!AO63+'Bag Staging Volumetric'!AO63+'FWD FSM'!AO63+'FWD Manual Pre Primary'!AO63+'FWD Manual Primary'!AO63+'FWD Primary with Scan'!AO63+'FWD Secondary'!AO63+'FWD Volumetric'!AO63+'IB'!AO63+'IB Volumetric'!AO63+'OB'!AO63+'OB Volumetric'!AO63+'OSC Bag Sorting'!AO63+'OSC Bag Sorting Volumetric'!AO63+'REV FSM'!AO63+'Rejection Primary with Scan'!AO63+'Rejection Secondary'!AO63+'Rev DC DC Primary Sorting'!AO63+'Rev Primary (FSM Rejections)'!AO63+'Rev Secondary Sorting'!AO63+'VIA Bag Sorting'!AO63</f>
        <v/>
      </c>
      <c r="AP63" s="7">
        <f>'BBB'!AP63+'Bag Staging'!AP63+'Bag Staging Volumetric'!AP63+'FWD FSM'!AP63+'FWD Manual Pre Primary'!AP63+'FWD Manual Primary'!AP63+'FWD Primary with Scan'!AP63+'FWD Secondary'!AP63+'FWD Volumetric'!AP63+'IB'!AP63+'IB Volumetric'!AP63+'OB'!AP63+'OB Volumetric'!AP63+'OSC Bag Sorting'!AP63+'OSC Bag Sorting Volumetric'!AP63+'REV FSM'!AP63+'Rejection Primary with Scan'!AP63+'Rejection Secondary'!AP63+'Rev DC DC Primary Sorting'!AP63+'Rev Primary (FSM Rejections)'!AP63+'Rev Secondary Sorting'!AP63+'VIA Bag Sorting'!AP63</f>
        <v/>
      </c>
      <c r="AQ63" s="7">
        <f>'BBB'!AQ63+'Bag Staging'!AQ63+'Bag Staging Volumetric'!AQ63+'FWD FSM'!AQ63+'FWD Manual Pre Primary'!AQ63+'FWD Manual Primary'!AQ63+'FWD Primary with Scan'!AQ63+'FWD Secondary'!AQ63+'FWD Volumetric'!AQ63+'IB'!AQ63+'IB Volumetric'!AQ63+'OB'!AQ63+'OB Volumetric'!AQ63+'OSC Bag Sorting'!AQ63+'OSC Bag Sorting Volumetric'!AQ63+'REV FSM'!AQ63+'Rejection Primary with Scan'!AQ63+'Rejection Secondary'!AQ63+'Rev DC DC Primary Sorting'!AQ63+'Rev Primary (FSM Rejections)'!AQ63+'Rev Secondary Sorting'!AQ63+'VIA Bag Sorting'!AQ63</f>
        <v/>
      </c>
      <c r="AR63" s="7">
        <f>'BBB'!AR63+'Bag Staging'!AR63+'Bag Staging Volumetric'!AR63+'FWD FSM'!AR63+'FWD Manual Pre Primary'!AR63+'FWD Manual Primary'!AR63+'FWD Primary with Scan'!AR63+'FWD Secondary'!AR63+'FWD Volumetric'!AR63+'IB'!AR63+'IB Volumetric'!AR63+'OB'!AR63+'OB Volumetric'!AR63+'OSC Bag Sorting'!AR63+'OSC Bag Sorting Volumetric'!AR63+'REV FSM'!AR63+'Rejection Primary with Scan'!AR63+'Rejection Secondary'!AR63+'Rev DC DC Primary Sorting'!AR63+'Rev Primary (FSM Rejections)'!AR63+'Rev Secondary Sorting'!AR63+'VIA Bag Sorting'!AR63</f>
        <v/>
      </c>
      <c r="AS63" s="7">
        <f>'BBB'!AS63+'Bag Staging'!AS63+'Bag Staging Volumetric'!AS63+'FWD FSM'!AS63+'FWD Manual Pre Primary'!AS63+'FWD Manual Primary'!AS63+'FWD Primary with Scan'!AS63+'FWD Secondary'!AS63+'FWD Volumetric'!AS63+'IB'!AS63+'IB Volumetric'!AS63+'OB'!AS63+'OB Volumetric'!AS63+'OSC Bag Sorting'!AS63+'OSC Bag Sorting Volumetric'!AS63+'REV FSM'!AS63+'Rejection Primary with Scan'!AS63+'Rejection Secondary'!AS63+'Rev DC DC Primary Sorting'!AS63+'Rev Primary (FSM Rejections)'!AS63+'Rev Secondary Sorting'!AS63+'VIA Bag Sorting'!AS63</f>
        <v/>
      </c>
      <c r="AT63" s="7">
        <f>'BBB'!AT63+'Bag Staging'!AT63+'Bag Staging Volumetric'!AT63+'FWD FSM'!AT63+'FWD Manual Pre Primary'!AT63+'FWD Manual Primary'!AT63+'FWD Primary with Scan'!AT63+'FWD Secondary'!AT63+'FWD Volumetric'!AT63+'IB'!AT63+'IB Volumetric'!AT63+'OB'!AT63+'OB Volumetric'!AT63+'OSC Bag Sorting'!AT63+'OSC Bag Sorting Volumetric'!AT63+'REV FSM'!AT63+'Rejection Primary with Scan'!AT63+'Rejection Secondary'!AT63+'Rev DC DC Primary Sorting'!AT63+'Rev Primary (FSM Rejections)'!AT63+'Rev Secondary Sorting'!AT63+'VIA Bag Sorting'!AT63</f>
        <v/>
      </c>
      <c r="AU63" s="7">
        <f>'BBB'!AU63+'Bag Staging'!AU63+'Bag Staging Volumetric'!AU63+'FWD FSM'!AU63+'FWD Manual Pre Primary'!AU63+'FWD Manual Primary'!AU63+'FWD Primary with Scan'!AU63+'FWD Secondary'!AU63+'FWD Volumetric'!AU63+'IB'!AU63+'IB Volumetric'!AU63+'OB'!AU63+'OB Volumetric'!AU63+'OSC Bag Sorting'!AU63+'OSC Bag Sorting Volumetric'!AU63+'REV FSM'!AU63+'Rejection Primary with Scan'!AU63+'Rejection Secondary'!AU63+'Rev DC DC Primary Sorting'!AU63+'Rev Primary (FSM Rejections)'!AU63+'Rev Secondary Sorting'!AU63+'VIA Bag Sorting'!AU63</f>
        <v/>
      </c>
      <c r="AV63" s="7">
        <f>'BBB'!AV63+'Bag Staging'!AV63+'Bag Staging Volumetric'!AV63+'FWD FSM'!AV63+'FWD Manual Pre Primary'!AV63+'FWD Manual Primary'!AV63+'FWD Primary with Scan'!AV63+'FWD Secondary'!AV63+'FWD Volumetric'!AV63+'IB'!AV63+'IB Volumetric'!AV63+'OB'!AV63+'OB Volumetric'!AV63+'OSC Bag Sorting'!AV63+'OSC Bag Sorting Volumetric'!AV63+'REV FSM'!AV63+'Rejection Primary with Scan'!AV63+'Rejection Secondary'!AV63+'Rev DC DC Primary Sorting'!AV63+'Rev Primary (FSM Rejections)'!AV63+'Rev Secondary Sorting'!AV63+'VIA Bag Sorting'!AV63</f>
        <v/>
      </c>
      <c r="AW63" s="7">
        <f>'BBB'!AW63+'Bag Staging'!AW63+'Bag Staging Volumetric'!AW63+'FWD FSM'!AW63+'FWD Manual Pre Primary'!AW63+'FWD Manual Primary'!AW63+'FWD Primary with Scan'!AW63+'FWD Secondary'!AW63+'FWD Volumetric'!AW63+'IB'!AW63+'IB Volumetric'!AW63+'OB'!AW63+'OB Volumetric'!AW63+'OSC Bag Sorting'!AW63+'OSC Bag Sorting Volumetric'!AW63+'REV FSM'!AW63+'Rejection Primary with Scan'!AW63+'Rejection Secondary'!AW63+'Rev DC DC Primary Sorting'!AW63+'Rev Primary (FSM Rejections)'!AW63+'Rev Secondary Sorting'!AW63+'VIA Bag Sorting'!AW63</f>
        <v/>
      </c>
      <c r="AX63" s="7">
        <f>'BBB'!AX63+'Bag Staging'!AX63+'Bag Staging Volumetric'!AX63+'FWD FSM'!AX63+'FWD Manual Pre Primary'!AX63+'FWD Manual Primary'!AX63+'FWD Primary with Scan'!AX63+'FWD Secondary'!AX63+'FWD Volumetric'!AX63+'IB'!AX63+'IB Volumetric'!AX63+'OB'!AX63+'OB Volumetric'!AX63+'OSC Bag Sorting'!AX63+'OSC Bag Sorting Volumetric'!AX63+'REV FSM'!AX63+'Rejection Primary with Scan'!AX63+'Rejection Secondary'!AX63+'Rev DC DC Primary Sorting'!AX63+'Rev Primary (FSM Rejections)'!AX63+'Rev Secondary Sorting'!AX63+'VIA Bag Sorting'!AX63</f>
        <v/>
      </c>
      <c r="AY63" s="7">
        <f>'BBB'!AY63+'Bag Staging'!AY63+'Bag Staging Volumetric'!AY63+'FWD FSM'!AY63+'FWD Manual Pre Primary'!AY63+'FWD Manual Primary'!AY63+'FWD Primary with Scan'!AY63+'FWD Secondary'!AY63+'FWD Volumetric'!AY63+'IB'!AY63+'IB Volumetric'!AY63+'OB'!AY63+'OB Volumetric'!AY63+'OSC Bag Sorting'!AY63+'OSC Bag Sorting Volumetric'!AY63+'REV FSM'!AY63+'Rejection Primary with Scan'!AY63+'Rejection Secondary'!AY63+'Rev DC DC Primary Sorting'!AY63+'Rev Primary (FSM Rejections)'!AY63+'Rev Secondary Sorting'!AY63+'VIA Bag Sorting'!AY63</f>
        <v/>
      </c>
      <c r="AZ63" s="7">
        <f>'BBB'!AZ63+'Bag Staging'!AZ63+'Bag Staging Volumetric'!AZ63+'FWD FSM'!AZ63+'FWD Manual Pre Primary'!AZ63+'FWD Manual Primary'!AZ63+'FWD Primary with Scan'!AZ63+'FWD Secondary'!AZ63+'FWD Volumetric'!AZ63+'IB'!AZ63+'IB Volumetric'!AZ63+'OB'!AZ63+'OB Volumetric'!AZ63+'OSC Bag Sorting'!AZ63+'OSC Bag Sorting Volumetric'!AZ63+'REV FSM'!AZ63+'Rejection Primary with Scan'!AZ63+'Rejection Secondary'!AZ63+'Rev DC DC Primary Sorting'!AZ63+'Rev Primary (FSM Rejections)'!AZ63+'Rev Secondary Sorting'!AZ63+'VIA Bag Sorting'!AZ63</f>
        <v/>
      </c>
      <c r="BA63" s="7">
        <f>'BBB'!BA63+'Bag Staging'!BA63+'Bag Staging Volumetric'!BA63+'FWD FSM'!BA63+'FWD Manual Pre Primary'!BA63+'FWD Manual Primary'!BA63+'FWD Primary with Scan'!BA63+'FWD Secondary'!BA63+'FWD Volumetric'!BA63+'IB'!BA63+'IB Volumetric'!BA63+'OB'!BA63+'OB Volumetric'!BA63+'OSC Bag Sorting'!BA63+'OSC Bag Sorting Volumetric'!BA63+'REV FSM'!BA63+'Rejection Primary with Scan'!BA63+'Rejection Secondary'!BA63+'Rev DC DC Primary Sorting'!BA63+'Rev Primary (FSM Rejections)'!BA63+'Rev Secondary Sorting'!BA63+'VIA Bag Sorting'!BA63</f>
        <v/>
      </c>
      <c r="BB63" s="7">
        <f>SUM(AD63:BA63)</f>
        <v/>
      </c>
    </row>
    <row r="64">
      <c r="A64" t="inlineStr">
        <is>
          <t>AMD-INTRA-SSC</t>
        </is>
      </c>
      <c r="B64" t="inlineStr">
        <is>
          <t>Forward Regular OSC</t>
        </is>
      </c>
      <c r="C64" s="5" t="n">
        <v>46103</v>
      </c>
      <c r="D64" s="6" t="n">
        <v>146</v>
      </c>
      <c r="E64" s="6" t="n">
        <v>76</v>
      </c>
      <c r="F64" s="6" t="n">
        <v>56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0</v>
      </c>
      <c r="M64" s="6" t="n">
        <v>155</v>
      </c>
      <c r="N64" s="6" t="n">
        <v>239</v>
      </c>
      <c r="O64" s="6" t="n">
        <v>0</v>
      </c>
      <c r="P64" s="6" t="n">
        <v>0</v>
      </c>
      <c r="Q64" s="6" t="n">
        <v>100</v>
      </c>
      <c r="R64" s="6" t="n">
        <v>183</v>
      </c>
      <c r="S64" s="6" t="n">
        <v>0</v>
      </c>
      <c r="T64" s="6" t="n">
        <v>0</v>
      </c>
      <c r="U64" s="6" t="n">
        <v>0</v>
      </c>
      <c r="V64" s="6" t="n">
        <v>0</v>
      </c>
      <c r="W64" s="6" t="n">
        <v>4</v>
      </c>
      <c r="X64" s="6" t="n">
        <v>187</v>
      </c>
      <c r="Y64" s="6" t="n">
        <v>0</v>
      </c>
      <c r="Z64" s="6" t="n">
        <v>148</v>
      </c>
      <c r="AA64" s="6" t="n">
        <v>182</v>
      </c>
      <c r="AB64" s="6">
        <f>SUM(D64:AA64)</f>
        <v/>
      </c>
      <c r="AC64" s="3" t="inlineStr"/>
      <c r="AD64" s="7">
        <f>'BBB'!AD64+'Bag Staging'!AD64+'Bag Staging Volumetric'!AD64+'FWD FSM'!AD64+'FWD Manual Pre Primary'!AD64+'FWD Manual Primary'!AD64+'FWD Primary with Scan'!AD64+'FWD Secondary'!AD64+'FWD Volumetric'!AD64+'IB'!AD64+'IB Volumetric'!AD64+'OB'!AD64+'OB Volumetric'!AD64+'OSC Bag Sorting'!AD64+'OSC Bag Sorting Volumetric'!AD64+'REV FSM'!AD64+'Rejection Primary with Scan'!AD64+'Rejection Secondary'!AD64+'Rev DC DC Primary Sorting'!AD64+'Rev Primary (FSM Rejections)'!AD64+'Rev Secondary Sorting'!AD64+'VIA Bag Sorting'!AD64</f>
        <v/>
      </c>
      <c r="AE64" s="7">
        <f>'BBB'!AE64+'Bag Staging'!AE64+'Bag Staging Volumetric'!AE64+'FWD FSM'!AE64+'FWD Manual Pre Primary'!AE64+'FWD Manual Primary'!AE64+'FWD Primary with Scan'!AE64+'FWD Secondary'!AE64+'FWD Volumetric'!AE64+'IB'!AE64+'IB Volumetric'!AE64+'OB'!AE64+'OB Volumetric'!AE64+'OSC Bag Sorting'!AE64+'OSC Bag Sorting Volumetric'!AE64+'REV FSM'!AE64+'Rejection Primary with Scan'!AE64+'Rejection Secondary'!AE64+'Rev DC DC Primary Sorting'!AE64+'Rev Primary (FSM Rejections)'!AE64+'Rev Secondary Sorting'!AE64+'VIA Bag Sorting'!AE64</f>
        <v/>
      </c>
      <c r="AF64" s="7">
        <f>'BBB'!AF64+'Bag Staging'!AF64+'Bag Staging Volumetric'!AF64+'FWD FSM'!AF64+'FWD Manual Pre Primary'!AF64+'FWD Manual Primary'!AF64+'FWD Primary with Scan'!AF64+'FWD Secondary'!AF64+'FWD Volumetric'!AF64+'IB'!AF64+'IB Volumetric'!AF64+'OB'!AF64+'OB Volumetric'!AF64+'OSC Bag Sorting'!AF64+'OSC Bag Sorting Volumetric'!AF64+'REV FSM'!AF64+'Rejection Primary with Scan'!AF64+'Rejection Secondary'!AF64+'Rev DC DC Primary Sorting'!AF64+'Rev Primary (FSM Rejections)'!AF64+'Rev Secondary Sorting'!AF64+'VIA Bag Sorting'!AF64</f>
        <v/>
      </c>
      <c r="AG64" s="7">
        <f>'BBB'!AG64+'Bag Staging'!AG64+'Bag Staging Volumetric'!AG64+'FWD FSM'!AG64+'FWD Manual Pre Primary'!AG64+'FWD Manual Primary'!AG64+'FWD Primary with Scan'!AG64+'FWD Secondary'!AG64+'FWD Volumetric'!AG64+'IB'!AG64+'IB Volumetric'!AG64+'OB'!AG64+'OB Volumetric'!AG64+'OSC Bag Sorting'!AG64+'OSC Bag Sorting Volumetric'!AG64+'REV FSM'!AG64+'Rejection Primary with Scan'!AG64+'Rejection Secondary'!AG64+'Rev DC DC Primary Sorting'!AG64+'Rev Primary (FSM Rejections)'!AG64+'Rev Secondary Sorting'!AG64+'VIA Bag Sorting'!AG64</f>
        <v/>
      </c>
      <c r="AH64" s="7">
        <f>'BBB'!AH64+'Bag Staging'!AH64+'Bag Staging Volumetric'!AH64+'FWD FSM'!AH64+'FWD Manual Pre Primary'!AH64+'FWD Manual Primary'!AH64+'FWD Primary with Scan'!AH64+'FWD Secondary'!AH64+'FWD Volumetric'!AH64+'IB'!AH64+'IB Volumetric'!AH64+'OB'!AH64+'OB Volumetric'!AH64+'OSC Bag Sorting'!AH64+'OSC Bag Sorting Volumetric'!AH64+'REV FSM'!AH64+'Rejection Primary with Scan'!AH64+'Rejection Secondary'!AH64+'Rev DC DC Primary Sorting'!AH64+'Rev Primary (FSM Rejections)'!AH64+'Rev Secondary Sorting'!AH64+'VIA Bag Sorting'!AH64</f>
        <v/>
      </c>
      <c r="AI64" s="7">
        <f>'BBB'!AI64+'Bag Staging'!AI64+'Bag Staging Volumetric'!AI64+'FWD FSM'!AI64+'FWD Manual Pre Primary'!AI64+'FWD Manual Primary'!AI64+'FWD Primary with Scan'!AI64+'FWD Secondary'!AI64+'FWD Volumetric'!AI64+'IB'!AI64+'IB Volumetric'!AI64+'OB'!AI64+'OB Volumetric'!AI64+'OSC Bag Sorting'!AI64+'OSC Bag Sorting Volumetric'!AI64+'REV FSM'!AI64+'Rejection Primary with Scan'!AI64+'Rejection Secondary'!AI64+'Rev DC DC Primary Sorting'!AI64+'Rev Primary (FSM Rejections)'!AI64+'Rev Secondary Sorting'!AI64+'VIA Bag Sorting'!AI64</f>
        <v/>
      </c>
      <c r="AJ64" s="7">
        <f>'BBB'!AJ64+'Bag Staging'!AJ64+'Bag Staging Volumetric'!AJ64+'FWD FSM'!AJ64+'FWD Manual Pre Primary'!AJ64+'FWD Manual Primary'!AJ64+'FWD Primary with Scan'!AJ64+'FWD Secondary'!AJ64+'FWD Volumetric'!AJ64+'IB'!AJ64+'IB Volumetric'!AJ64+'OB'!AJ64+'OB Volumetric'!AJ64+'OSC Bag Sorting'!AJ64+'OSC Bag Sorting Volumetric'!AJ64+'REV FSM'!AJ64+'Rejection Primary with Scan'!AJ64+'Rejection Secondary'!AJ64+'Rev DC DC Primary Sorting'!AJ64+'Rev Primary (FSM Rejections)'!AJ64+'Rev Secondary Sorting'!AJ64+'VIA Bag Sorting'!AJ64</f>
        <v/>
      </c>
      <c r="AK64" s="7">
        <f>'BBB'!AK64+'Bag Staging'!AK64+'Bag Staging Volumetric'!AK64+'FWD FSM'!AK64+'FWD Manual Pre Primary'!AK64+'FWD Manual Primary'!AK64+'FWD Primary with Scan'!AK64+'FWD Secondary'!AK64+'FWD Volumetric'!AK64+'IB'!AK64+'IB Volumetric'!AK64+'OB'!AK64+'OB Volumetric'!AK64+'OSC Bag Sorting'!AK64+'OSC Bag Sorting Volumetric'!AK64+'REV FSM'!AK64+'Rejection Primary with Scan'!AK64+'Rejection Secondary'!AK64+'Rev DC DC Primary Sorting'!AK64+'Rev Primary (FSM Rejections)'!AK64+'Rev Secondary Sorting'!AK64+'VIA Bag Sorting'!AK64</f>
        <v/>
      </c>
      <c r="AL64" s="7">
        <f>'BBB'!AL64+'Bag Staging'!AL64+'Bag Staging Volumetric'!AL64+'FWD FSM'!AL64+'FWD Manual Pre Primary'!AL64+'FWD Manual Primary'!AL64+'FWD Primary with Scan'!AL64+'FWD Secondary'!AL64+'FWD Volumetric'!AL64+'IB'!AL64+'IB Volumetric'!AL64+'OB'!AL64+'OB Volumetric'!AL64+'OSC Bag Sorting'!AL64+'OSC Bag Sorting Volumetric'!AL64+'REV FSM'!AL64+'Rejection Primary with Scan'!AL64+'Rejection Secondary'!AL64+'Rev DC DC Primary Sorting'!AL64+'Rev Primary (FSM Rejections)'!AL64+'Rev Secondary Sorting'!AL64+'VIA Bag Sorting'!AL64</f>
        <v/>
      </c>
      <c r="AM64" s="7">
        <f>'BBB'!AM64+'Bag Staging'!AM64+'Bag Staging Volumetric'!AM64+'FWD FSM'!AM64+'FWD Manual Pre Primary'!AM64+'FWD Manual Primary'!AM64+'FWD Primary with Scan'!AM64+'FWD Secondary'!AM64+'FWD Volumetric'!AM64+'IB'!AM64+'IB Volumetric'!AM64+'OB'!AM64+'OB Volumetric'!AM64+'OSC Bag Sorting'!AM64+'OSC Bag Sorting Volumetric'!AM64+'REV FSM'!AM64+'Rejection Primary with Scan'!AM64+'Rejection Secondary'!AM64+'Rev DC DC Primary Sorting'!AM64+'Rev Primary (FSM Rejections)'!AM64+'Rev Secondary Sorting'!AM64+'VIA Bag Sorting'!AM64</f>
        <v/>
      </c>
      <c r="AN64" s="7">
        <f>'BBB'!AN64+'Bag Staging'!AN64+'Bag Staging Volumetric'!AN64+'FWD FSM'!AN64+'FWD Manual Pre Primary'!AN64+'FWD Manual Primary'!AN64+'FWD Primary with Scan'!AN64+'FWD Secondary'!AN64+'FWD Volumetric'!AN64+'IB'!AN64+'IB Volumetric'!AN64+'OB'!AN64+'OB Volumetric'!AN64+'OSC Bag Sorting'!AN64+'OSC Bag Sorting Volumetric'!AN64+'REV FSM'!AN64+'Rejection Primary with Scan'!AN64+'Rejection Secondary'!AN64+'Rev DC DC Primary Sorting'!AN64+'Rev Primary (FSM Rejections)'!AN64+'Rev Secondary Sorting'!AN64+'VIA Bag Sorting'!AN64</f>
        <v/>
      </c>
      <c r="AO64" s="7">
        <f>'BBB'!AO64+'Bag Staging'!AO64+'Bag Staging Volumetric'!AO64+'FWD FSM'!AO64+'FWD Manual Pre Primary'!AO64+'FWD Manual Primary'!AO64+'FWD Primary with Scan'!AO64+'FWD Secondary'!AO64+'FWD Volumetric'!AO64+'IB'!AO64+'IB Volumetric'!AO64+'OB'!AO64+'OB Volumetric'!AO64+'OSC Bag Sorting'!AO64+'OSC Bag Sorting Volumetric'!AO64+'REV FSM'!AO64+'Rejection Primary with Scan'!AO64+'Rejection Secondary'!AO64+'Rev DC DC Primary Sorting'!AO64+'Rev Primary (FSM Rejections)'!AO64+'Rev Secondary Sorting'!AO64+'VIA Bag Sorting'!AO64</f>
        <v/>
      </c>
      <c r="AP64" s="7">
        <f>'BBB'!AP64+'Bag Staging'!AP64+'Bag Staging Volumetric'!AP64+'FWD FSM'!AP64+'FWD Manual Pre Primary'!AP64+'FWD Manual Primary'!AP64+'FWD Primary with Scan'!AP64+'FWD Secondary'!AP64+'FWD Volumetric'!AP64+'IB'!AP64+'IB Volumetric'!AP64+'OB'!AP64+'OB Volumetric'!AP64+'OSC Bag Sorting'!AP64+'OSC Bag Sorting Volumetric'!AP64+'REV FSM'!AP64+'Rejection Primary with Scan'!AP64+'Rejection Secondary'!AP64+'Rev DC DC Primary Sorting'!AP64+'Rev Primary (FSM Rejections)'!AP64+'Rev Secondary Sorting'!AP64+'VIA Bag Sorting'!AP64</f>
        <v/>
      </c>
      <c r="AQ64" s="7">
        <f>'BBB'!AQ64+'Bag Staging'!AQ64+'Bag Staging Volumetric'!AQ64+'FWD FSM'!AQ64+'FWD Manual Pre Primary'!AQ64+'FWD Manual Primary'!AQ64+'FWD Primary with Scan'!AQ64+'FWD Secondary'!AQ64+'FWD Volumetric'!AQ64+'IB'!AQ64+'IB Volumetric'!AQ64+'OB'!AQ64+'OB Volumetric'!AQ64+'OSC Bag Sorting'!AQ64+'OSC Bag Sorting Volumetric'!AQ64+'REV FSM'!AQ64+'Rejection Primary with Scan'!AQ64+'Rejection Secondary'!AQ64+'Rev DC DC Primary Sorting'!AQ64+'Rev Primary (FSM Rejections)'!AQ64+'Rev Secondary Sorting'!AQ64+'VIA Bag Sorting'!AQ64</f>
        <v/>
      </c>
      <c r="AR64" s="7">
        <f>'BBB'!AR64+'Bag Staging'!AR64+'Bag Staging Volumetric'!AR64+'FWD FSM'!AR64+'FWD Manual Pre Primary'!AR64+'FWD Manual Primary'!AR64+'FWD Primary with Scan'!AR64+'FWD Secondary'!AR64+'FWD Volumetric'!AR64+'IB'!AR64+'IB Volumetric'!AR64+'OB'!AR64+'OB Volumetric'!AR64+'OSC Bag Sorting'!AR64+'OSC Bag Sorting Volumetric'!AR64+'REV FSM'!AR64+'Rejection Primary with Scan'!AR64+'Rejection Secondary'!AR64+'Rev DC DC Primary Sorting'!AR64+'Rev Primary (FSM Rejections)'!AR64+'Rev Secondary Sorting'!AR64+'VIA Bag Sorting'!AR64</f>
        <v/>
      </c>
      <c r="AS64" s="7">
        <f>'BBB'!AS64+'Bag Staging'!AS64+'Bag Staging Volumetric'!AS64+'FWD FSM'!AS64+'FWD Manual Pre Primary'!AS64+'FWD Manual Primary'!AS64+'FWD Primary with Scan'!AS64+'FWD Secondary'!AS64+'FWD Volumetric'!AS64+'IB'!AS64+'IB Volumetric'!AS64+'OB'!AS64+'OB Volumetric'!AS64+'OSC Bag Sorting'!AS64+'OSC Bag Sorting Volumetric'!AS64+'REV FSM'!AS64+'Rejection Primary with Scan'!AS64+'Rejection Secondary'!AS64+'Rev DC DC Primary Sorting'!AS64+'Rev Primary (FSM Rejections)'!AS64+'Rev Secondary Sorting'!AS64+'VIA Bag Sorting'!AS64</f>
        <v/>
      </c>
      <c r="AT64" s="7">
        <f>'BBB'!AT64+'Bag Staging'!AT64+'Bag Staging Volumetric'!AT64+'FWD FSM'!AT64+'FWD Manual Pre Primary'!AT64+'FWD Manual Primary'!AT64+'FWD Primary with Scan'!AT64+'FWD Secondary'!AT64+'FWD Volumetric'!AT64+'IB'!AT64+'IB Volumetric'!AT64+'OB'!AT64+'OB Volumetric'!AT64+'OSC Bag Sorting'!AT64+'OSC Bag Sorting Volumetric'!AT64+'REV FSM'!AT64+'Rejection Primary with Scan'!AT64+'Rejection Secondary'!AT64+'Rev DC DC Primary Sorting'!AT64+'Rev Primary (FSM Rejections)'!AT64+'Rev Secondary Sorting'!AT64+'VIA Bag Sorting'!AT64</f>
        <v/>
      </c>
      <c r="AU64" s="7">
        <f>'BBB'!AU64+'Bag Staging'!AU64+'Bag Staging Volumetric'!AU64+'FWD FSM'!AU64+'FWD Manual Pre Primary'!AU64+'FWD Manual Primary'!AU64+'FWD Primary with Scan'!AU64+'FWD Secondary'!AU64+'FWD Volumetric'!AU64+'IB'!AU64+'IB Volumetric'!AU64+'OB'!AU64+'OB Volumetric'!AU64+'OSC Bag Sorting'!AU64+'OSC Bag Sorting Volumetric'!AU64+'REV FSM'!AU64+'Rejection Primary with Scan'!AU64+'Rejection Secondary'!AU64+'Rev DC DC Primary Sorting'!AU64+'Rev Primary (FSM Rejections)'!AU64+'Rev Secondary Sorting'!AU64+'VIA Bag Sorting'!AU64</f>
        <v/>
      </c>
      <c r="AV64" s="7">
        <f>'BBB'!AV64+'Bag Staging'!AV64+'Bag Staging Volumetric'!AV64+'FWD FSM'!AV64+'FWD Manual Pre Primary'!AV64+'FWD Manual Primary'!AV64+'FWD Primary with Scan'!AV64+'FWD Secondary'!AV64+'FWD Volumetric'!AV64+'IB'!AV64+'IB Volumetric'!AV64+'OB'!AV64+'OB Volumetric'!AV64+'OSC Bag Sorting'!AV64+'OSC Bag Sorting Volumetric'!AV64+'REV FSM'!AV64+'Rejection Primary with Scan'!AV64+'Rejection Secondary'!AV64+'Rev DC DC Primary Sorting'!AV64+'Rev Primary (FSM Rejections)'!AV64+'Rev Secondary Sorting'!AV64+'VIA Bag Sorting'!AV64</f>
        <v/>
      </c>
      <c r="AW64" s="7">
        <f>'BBB'!AW64+'Bag Staging'!AW64+'Bag Staging Volumetric'!AW64+'FWD FSM'!AW64+'FWD Manual Pre Primary'!AW64+'FWD Manual Primary'!AW64+'FWD Primary with Scan'!AW64+'FWD Secondary'!AW64+'FWD Volumetric'!AW64+'IB'!AW64+'IB Volumetric'!AW64+'OB'!AW64+'OB Volumetric'!AW64+'OSC Bag Sorting'!AW64+'OSC Bag Sorting Volumetric'!AW64+'REV FSM'!AW64+'Rejection Primary with Scan'!AW64+'Rejection Secondary'!AW64+'Rev DC DC Primary Sorting'!AW64+'Rev Primary (FSM Rejections)'!AW64+'Rev Secondary Sorting'!AW64+'VIA Bag Sorting'!AW64</f>
        <v/>
      </c>
      <c r="AX64" s="7">
        <f>'BBB'!AX64+'Bag Staging'!AX64+'Bag Staging Volumetric'!AX64+'FWD FSM'!AX64+'FWD Manual Pre Primary'!AX64+'FWD Manual Primary'!AX64+'FWD Primary with Scan'!AX64+'FWD Secondary'!AX64+'FWD Volumetric'!AX64+'IB'!AX64+'IB Volumetric'!AX64+'OB'!AX64+'OB Volumetric'!AX64+'OSC Bag Sorting'!AX64+'OSC Bag Sorting Volumetric'!AX64+'REV FSM'!AX64+'Rejection Primary with Scan'!AX64+'Rejection Secondary'!AX64+'Rev DC DC Primary Sorting'!AX64+'Rev Primary (FSM Rejections)'!AX64+'Rev Secondary Sorting'!AX64+'VIA Bag Sorting'!AX64</f>
        <v/>
      </c>
      <c r="AY64" s="7">
        <f>'BBB'!AY64+'Bag Staging'!AY64+'Bag Staging Volumetric'!AY64+'FWD FSM'!AY64+'FWD Manual Pre Primary'!AY64+'FWD Manual Primary'!AY64+'FWD Primary with Scan'!AY64+'FWD Secondary'!AY64+'FWD Volumetric'!AY64+'IB'!AY64+'IB Volumetric'!AY64+'OB'!AY64+'OB Volumetric'!AY64+'OSC Bag Sorting'!AY64+'OSC Bag Sorting Volumetric'!AY64+'REV FSM'!AY64+'Rejection Primary with Scan'!AY64+'Rejection Secondary'!AY64+'Rev DC DC Primary Sorting'!AY64+'Rev Primary (FSM Rejections)'!AY64+'Rev Secondary Sorting'!AY64+'VIA Bag Sorting'!AY64</f>
        <v/>
      </c>
      <c r="AZ64" s="7">
        <f>'BBB'!AZ64+'Bag Staging'!AZ64+'Bag Staging Volumetric'!AZ64+'FWD FSM'!AZ64+'FWD Manual Pre Primary'!AZ64+'FWD Manual Primary'!AZ64+'FWD Primary with Scan'!AZ64+'FWD Secondary'!AZ64+'FWD Volumetric'!AZ64+'IB'!AZ64+'IB Volumetric'!AZ64+'OB'!AZ64+'OB Volumetric'!AZ64+'OSC Bag Sorting'!AZ64+'OSC Bag Sorting Volumetric'!AZ64+'REV FSM'!AZ64+'Rejection Primary with Scan'!AZ64+'Rejection Secondary'!AZ64+'Rev DC DC Primary Sorting'!AZ64+'Rev Primary (FSM Rejections)'!AZ64+'Rev Secondary Sorting'!AZ64+'VIA Bag Sorting'!AZ64</f>
        <v/>
      </c>
      <c r="BA64" s="7">
        <f>'BBB'!BA64+'Bag Staging'!BA64+'Bag Staging Volumetric'!BA64+'FWD FSM'!BA64+'FWD Manual Pre Primary'!BA64+'FWD Manual Primary'!BA64+'FWD Primary with Scan'!BA64+'FWD Secondary'!BA64+'FWD Volumetric'!BA64+'IB'!BA64+'IB Volumetric'!BA64+'OB'!BA64+'OB Volumetric'!BA64+'OSC Bag Sorting'!BA64+'OSC Bag Sorting Volumetric'!BA64+'REV FSM'!BA64+'Rejection Primary with Scan'!BA64+'Rejection Secondary'!BA64+'Rev DC DC Primary Sorting'!BA64+'Rev Primary (FSM Rejections)'!BA64+'Rev Secondary Sorting'!BA64+'VIA Bag Sorting'!BA64</f>
        <v/>
      </c>
      <c r="BB64" s="7">
        <f>SUM(AD64:BA64)</f>
        <v/>
      </c>
    </row>
    <row r="65">
      <c r="A65" t="inlineStr">
        <is>
          <t>AMD-INTRA-SSC</t>
        </is>
      </c>
      <c r="B65" t="inlineStr">
        <is>
          <t>Forward Regular OSC</t>
        </is>
      </c>
      <c r="C65" s="5" t="n">
        <v>46104</v>
      </c>
      <c r="D65" s="6" t="n">
        <v>170</v>
      </c>
      <c r="E65" s="6" t="n">
        <v>223</v>
      </c>
      <c r="F65" s="6" t="n">
        <v>53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318</v>
      </c>
      <c r="N65" s="6" t="n">
        <v>0</v>
      </c>
      <c r="O65" s="6" t="n">
        <v>0</v>
      </c>
      <c r="P65" s="6" t="n">
        <v>0</v>
      </c>
      <c r="Q65" s="6" t="n">
        <v>59</v>
      </c>
      <c r="R65" s="6" t="n">
        <v>138</v>
      </c>
      <c r="S65" s="6" t="n">
        <v>0</v>
      </c>
      <c r="T65" s="6" t="n">
        <v>0</v>
      </c>
      <c r="U65" s="6" t="n">
        <v>0</v>
      </c>
      <c r="V65" s="6" t="n">
        <v>0</v>
      </c>
      <c r="W65" s="6" t="n">
        <v>1</v>
      </c>
      <c r="X65" s="6" t="n">
        <v>114</v>
      </c>
      <c r="Y65" s="6" t="n">
        <v>22</v>
      </c>
      <c r="Z65" s="6" t="n">
        <v>325</v>
      </c>
      <c r="AA65" s="6" t="n">
        <v>162</v>
      </c>
      <c r="AB65" s="6">
        <f>SUM(D65:AA65)</f>
        <v/>
      </c>
      <c r="AC65" s="3" t="inlineStr"/>
      <c r="AD65" s="7">
        <f>'BBB'!AD65+'Bag Staging'!AD65+'Bag Staging Volumetric'!AD65+'FWD FSM'!AD65+'FWD Manual Pre Primary'!AD65+'FWD Manual Primary'!AD65+'FWD Primary with Scan'!AD65+'FWD Secondary'!AD65+'FWD Volumetric'!AD65+'IB'!AD65+'IB Volumetric'!AD65+'OB'!AD65+'OB Volumetric'!AD65+'OSC Bag Sorting'!AD65+'OSC Bag Sorting Volumetric'!AD65+'REV FSM'!AD65+'Rejection Primary with Scan'!AD65+'Rejection Secondary'!AD65+'Rev DC DC Primary Sorting'!AD65+'Rev Primary (FSM Rejections)'!AD65+'Rev Secondary Sorting'!AD65+'VIA Bag Sorting'!AD65</f>
        <v/>
      </c>
      <c r="AE65" s="7">
        <f>'BBB'!AE65+'Bag Staging'!AE65+'Bag Staging Volumetric'!AE65+'FWD FSM'!AE65+'FWD Manual Pre Primary'!AE65+'FWD Manual Primary'!AE65+'FWD Primary with Scan'!AE65+'FWD Secondary'!AE65+'FWD Volumetric'!AE65+'IB'!AE65+'IB Volumetric'!AE65+'OB'!AE65+'OB Volumetric'!AE65+'OSC Bag Sorting'!AE65+'OSC Bag Sorting Volumetric'!AE65+'REV FSM'!AE65+'Rejection Primary with Scan'!AE65+'Rejection Secondary'!AE65+'Rev DC DC Primary Sorting'!AE65+'Rev Primary (FSM Rejections)'!AE65+'Rev Secondary Sorting'!AE65+'VIA Bag Sorting'!AE65</f>
        <v/>
      </c>
      <c r="AF65" s="7">
        <f>'BBB'!AF65+'Bag Staging'!AF65+'Bag Staging Volumetric'!AF65+'FWD FSM'!AF65+'FWD Manual Pre Primary'!AF65+'FWD Manual Primary'!AF65+'FWD Primary with Scan'!AF65+'FWD Secondary'!AF65+'FWD Volumetric'!AF65+'IB'!AF65+'IB Volumetric'!AF65+'OB'!AF65+'OB Volumetric'!AF65+'OSC Bag Sorting'!AF65+'OSC Bag Sorting Volumetric'!AF65+'REV FSM'!AF65+'Rejection Primary with Scan'!AF65+'Rejection Secondary'!AF65+'Rev DC DC Primary Sorting'!AF65+'Rev Primary (FSM Rejections)'!AF65+'Rev Secondary Sorting'!AF65+'VIA Bag Sorting'!AF65</f>
        <v/>
      </c>
      <c r="AG65" s="7">
        <f>'BBB'!AG65+'Bag Staging'!AG65+'Bag Staging Volumetric'!AG65+'FWD FSM'!AG65+'FWD Manual Pre Primary'!AG65+'FWD Manual Primary'!AG65+'FWD Primary with Scan'!AG65+'FWD Secondary'!AG65+'FWD Volumetric'!AG65+'IB'!AG65+'IB Volumetric'!AG65+'OB'!AG65+'OB Volumetric'!AG65+'OSC Bag Sorting'!AG65+'OSC Bag Sorting Volumetric'!AG65+'REV FSM'!AG65+'Rejection Primary with Scan'!AG65+'Rejection Secondary'!AG65+'Rev DC DC Primary Sorting'!AG65+'Rev Primary (FSM Rejections)'!AG65+'Rev Secondary Sorting'!AG65+'VIA Bag Sorting'!AG65</f>
        <v/>
      </c>
      <c r="AH65" s="7">
        <f>'BBB'!AH65+'Bag Staging'!AH65+'Bag Staging Volumetric'!AH65+'FWD FSM'!AH65+'FWD Manual Pre Primary'!AH65+'FWD Manual Primary'!AH65+'FWD Primary with Scan'!AH65+'FWD Secondary'!AH65+'FWD Volumetric'!AH65+'IB'!AH65+'IB Volumetric'!AH65+'OB'!AH65+'OB Volumetric'!AH65+'OSC Bag Sorting'!AH65+'OSC Bag Sorting Volumetric'!AH65+'REV FSM'!AH65+'Rejection Primary with Scan'!AH65+'Rejection Secondary'!AH65+'Rev DC DC Primary Sorting'!AH65+'Rev Primary (FSM Rejections)'!AH65+'Rev Secondary Sorting'!AH65+'VIA Bag Sorting'!AH65</f>
        <v/>
      </c>
      <c r="AI65" s="7">
        <f>'BBB'!AI65+'Bag Staging'!AI65+'Bag Staging Volumetric'!AI65+'FWD FSM'!AI65+'FWD Manual Pre Primary'!AI65+'FWD Manual Primary'!AI65+'FWD Primary with Scan'!AI65+'FWD Secondary'!AI65+'FWD Volumetric'!AI65+'IB'!AI65+'IB Volumetric'!AI65+'OB'!AI65+'OB Volumetric'!AI65+'OSC Bag Sorting'!AI65+'OSC Bag Sorting Volumetric'!AI65+'REV FSM'!AI65+'Rejection Primary with Scan'!AI65+'Rejection Secondary'!AI65+'Rev DC DC Primary Sorting'!AI65+'Rev Primary (FSM Rejections)'!AI65+'Rev Secondary Sorting'!AI65+'VIA Bag Sorting'!AI65</f>
        <v/>
      </c>
      <c r="AJ65" s="7">
        <f>'BBB'!AJ65+'Bag Staging'!AJ65+'Bag Staging Volumetric'!AJ65+'FWD FSM'!AJ65+'FWD Manual Pre Primary'!AJ65+'FWD Manual Primary'!AJ65+'FWD Primary with Scan'!AJ65+'FWD Secondary'!AJ65+'FWD Volumetric'!AJ65+'IB'!AJ65+'IB Volumetric'!AJ65+'OB'!AJ65+'OB Volumetric'!AJ65+'OSC Bag Sorting'!AJ65+'OSC Bag Sorting Volumetric'!AJ65+'REV FSM'!AJ65+'Rejection Primary with Scan'!AJ65+'Rejection Secondary'!AJ65+'Rev DC DC Primary Sorting'!AJ65+'Rev Primary (FSM Rejections)'!AJ65+'Rev Secondary Sorting'!AJ65+'VIA Bag Sorting'!AJ65</f>
        <v/>
      </c>
      <c r="AK65" s="7">
        <f>'BBB'!AK65+'Bag Staging'!AK65+'Bag Staging Volumetric'!AK65+'FWD FSM'!AK65+'FWD Manual Pre Primary'!AK65+'FWD Manual Primary'!AK65+'FWD Primary with Scan'!AK65+'FWD Secondary'!AK65+'FWD Volumetric'!AK65+'IB'!AK65+'IB Volumetric'!AK65+'OB'!AK65+'OB Volumetric'!AK65+'OSC Bag Sorting'!AK65+'OSC Bag Sorting Volumetric'!AK65+'REV FSM'!AK65+'Rejection Primary with Scan'!AK65+'Rejection Secondary'!AK65+'Rev DC DC Primary Sorting'!AK65+'Rev Primary (FSM Rejections)'!AK65+'Rev Secondary Sorting'!AK65+'VIA Bag Sorting'!AK65</f>
        <v/>
      </c>
      <c r="AL65" s="7">
        <f>'BBB'!AL65+'Bag Staging'!AL65+'Bag Staging Volumetric'!AL65+'FWD FSM'!AL65+'FWD Manual Pre Primary'!AL65+'FWD Manual Primary'!AL65+'FWD Primary with Scan'!AL65+'FWD Secondary'!AL65+'FWD Volumetric'!AL65+'IB'!AL65+'IB Volumetric'!AL65+'OB'!AL65+'OB Volumetric'!AL65+'OSC Bag Sorting'!AL65+'OSC Bag Sorting Volumetric'!AL65+'REV FSM'!AL65+'Rejection Primary with Scan'!AL65+'Rejection Secondary'!AL65+'Rev DC DC Primary Sorting'!AL65+'Rev Primary (FSM Rejections)'!AL65+'Rev Secondary Sorting'!AL65+'VIA Bag Sorting'!AL65</f>
        <v/>
      </c>
      <c r="AM65" s="7">
        <f>'BBB'!AM65+'Bag Staging'!AM65+'Bag Staging Volumetric'!AM65+'FWD FSM'!AM65+'FWD Manual Pre Primary'!AM65+'FWD Manual Primary'!AM65+'FWD Primary with Scan'!AM65+'FWD Secondary'!AM65+'FWD Volumetric'!AM65+'IB'!AM65+'IB Volumetric'!AM65+'OB'!AM65+'OB Volumetric'!AM65+'OSC Bag Sorting'!AM65+'OSC Bag Sorting Volumetric'!AM65+'REV FSM'!AM65+'Rejection Primary with Scan'!AM65+'Rejection Secondary'!AM65+'Rev DC DC Primary Sorting'!AM65+'Rev Primary (FSM Rejections)'!AM65+'Rev Secondary Sorting'!AM65+'VIA Bag Sorting'!AM65</f>
        <v/>
      </c>
      <c r="AN65" s="7">
        <f>'BBB'!AN65+'Bag Staging'!AN65+'Bag Staging Volumetric'!AN65+'FWD FSM'!AN65+'FWD Manual Pre Primary'!AN65+'FWD Manual Primary'!AN65+'FWD Primary with Scan'!AN65+'FWD Secondary'!AN65+'FWD Volumetric'!AN65+'IB'!AN65+'IB Volumetric'!AN65+'OB'!AN65+'OB Volumetric'!AN65+'OSC Bag Sorting'!AN65+'OSC Bag Sorting Volumetric'!AN65+'REV FSM'!AN65+'Rejection Primary with Scan'!AN65+'Rejection Secondary'!AN65+'Rev DC DC Primary Sorting'!AN65+'Rev Primary (FSM Rejections)'!AN65+'Rev Secondary Sorting'!AN65+'VIA Bag Sorting'!AN65</f>
        <v/>
      </c>
      <c r="AO65" s="7">
        <f>'BBB'!AO65+'Bag Staging'!AO65+'Bag Staging Volumetric'!AO65+'FWD FSM'!AO65+'FWD Manual Pre Primary'!AO65+'FWD Manual Primary'!AO65+'FWD Primary with Scan'!AO65+'FWD Secondary'!AO65+'FWD Volumetric'!AO65+'IB'!AO65+'IB Volumetric'!AO65+'OB'!AO65+'OB Volumetric'!AO65+'OSC Bag Sorting'!AO65+'OSC Bag Sorting Volumetric'!AO65+'REV FSM'!AO65+'Rejection Primary with Scan'!AO65+'Rejection Secondary'!AO65+'Rev DC DC Primary Sorting'!AO65+'Rev Primary (FSM Rejections)'!AO65+'Rev Secondary Sorting'!AO65+'VIA Bag Sorting'!AO65</f>
        <v/>
      </c>
      <c r="AP65" s="7">
        <f>'BBB'!AP65+'Bag Staging'!AP65+'Bag Staging Volumetric'!AP65+'FWD FSM'!AP65+'FWD Manual Pre Primary'!AP65+'FWD Manual Primary'!AP65+'FWD Primary with Scan'!AP65+'FWD Secondary'!AP65+'FWD Volumetric'!AP65+'IB'!AP65+'IB Volumetric'!AP65+'OB'!AP65+'OB Volumetric'!AP65+'OSC Bag Sorting'!AP65+'OSC Bag Sorting Volumetric'!AP65+'REV FSM'!AP65+'Rejection Primary with Scan'!AP65+'Rejection Secondary'!AP65+'Rev DC DC Primary Sorting'!AP65+'Rev Primary (FSM Rejections)'!AP65+'Rev Secondary Sorting'!AP65+'VIA Bag Sorting'!AP65</f>
        <v/>
      </c>
      <c r="AQ65" s="7">
        <f>'BBB'!AQ65+'Bag Staging'!AQ65+'Bag Staging Volumetric'!AQ65+'FWD FSM'!AQ65+'FWD Manual Pre Primary'!AQ65+'FWD Manual Primary'!AQ65+'FWD Primary with Scan'!AQ65+'FWD Secondary'!AQ65+'FWD Volumetric'!AQ65+'IB'!AQ65+'IB Volumetric'!AQ65+'OB'!AQ65+'OB Volumetric'!AQ65+'OSC Bag Sorting'!AQ65+'OSC Bag Sorting Volumetric'!AQ65+'REV FSM'!AQ65+'Rejection Primary with Scan'!AQ65+'Rejection Secondary'!AQ65+'Rev DC DC Primary Sorting'!AQ65+'Rev Primary (FSM Rejections)'!AQ65+'Rev Secondary Sorting'!AQ65+'VIA Bag Sorting'!AQ65</f>
        <v/>
      </c>
      <c r="AR65" s="7">
        <f>'BBB'!AR65+'Bag Staging'!AR65+'Bag Staging Volumetric'!AR65+'FWD FSM'!AR65+'FWD Manual Pre Primary'!AR65+'FWD Manual Primary'!AR65+'FWD Primary with Scan'!AR65+'FWD Secondary'!AR65+'FWD Volumetric'!AR65+'IB'!AR65+'IB Volumetric'!AR65+'OB'!AR65+'OB Volumetric'!AR65+'OSC Bag Sorting'!AR65+'OSC Bag Sorting Volumetric'!AR65+'REV FSM'!AR65+'Rejection Primary with Scan'!AR65+'Rejection Secondary'!AR65+'Rev DC DC Primary Sorting'!AR65+'Rev Primary (FSM Rejections)'!AR65+'Rev Secondary Sorting'!AR65+'VIA Bag Sorting'!AR65</f>
        <v/>
      </c>
      <c r="AS65" s="7">
        <f>'BBB'!AS65+'Bag Staging'!AS65+'Bag Staging Volumetric'!AS65+'FWD FSM'!AS65+'FWD Manual Pre Primary'!AS65+'FWD Manual Primary'!AS65+'FWD Primary with Scan'!AS65+'FWD Secondary'!AS65+'FWD Volumetric'!AS65+'IB'!AS65+'IB Volumetric'!AS65+'OB'!AS65+'OB Volumetric'!AS65+'OSC Bag Sorting'!AS65+'OSC Bag Sorting Volumetric'!AS65+'REV FSM'!AS65+'Rejection Primary with Scan'!AS65+'Rejection Secondary'!AS65+'Rev DC DC Primary Sorting'!AS65+'Rev Primary (FSM Rejections)'!AS65+'Rev Secondary Sorting'!AS65+'VIA Bag Sorting'!AS65</f>
        <v/>
      </c>
      <c r="AT65" s="7">
        <f>'BBB'!AT65+'Bag Staging'!AT65+'Bag Staging Volumetric'!AT65+'FWD FSM'!AT65+'FWD Manual Pre Primary'!AT65+'FWD Manual Primary'!AT65+'FWD Primary with Scan'!AT65+'FWD Secondary'!AT65+'FWD Volumetric'!AT65+'IB'!AT65+'IB Volumetric'!AT65+'OB'!AT65+'OB Volumetric'!AT65+'OSC Bag Sorting'!AT65+'OSC Bag Sorting Volumetric'!AT65+'REV FSM'!AT65+'Rejection Primary with Scan'!AT65+'Rejection Secondary'!AT65+'Rev DC DC Primary Sorting'!AT65+'Rev Primary (FSM Rejections)'!AT65+'Rev Secondary Sorting'!AT65+'VIA Bag Sorting'!AT65</f>
        <v/>
      </c>
      <c r="AU65" s="7">
        <f>'BBB'!AU65+'Bag Staging'!AU65+'Bag Staging Volumetric'!AU65+'FWD FSM'!AU65+'FWD Manual Pre Primary'!AU65+'FWD Manual Primary'!AU65+'FWD Primary with Scan'!AU65+'FWD Secondary'!AU65+'FWD Volumetric'!AU65+'IB'!AU65+'IB Volumetric'!AU65+'OB'!AU65+'OB Volumetric'!AU65+'OSC Bag Sorting'!AU65+'OSC Bag Sorting Volumetric'!AU65+'REV FSM'!AU65+'Rejection Primary with Scan'!AU65+'Rejection Secondary'!AU65+'Rev DC DC Primary Sorting'!AU65+'Rev Primary (FSM Rejections)'!AU65+'Rev Secondary Sorting'!AU65+'VIA Bag Sorting'!AU65</f>
        <v/>
      </c>
      <c r="AV65" s="7">
        <f>'BBB'!AV65+'Bag Staging'!AV65+'Bag Staging Volumetric'!AV65+'FWD FSM'!AV65+'FWD Manual Pre Primary'!AV65+'FWD Manual Primary'!AV65+'FWD Primary with Scan'!AV65+'FWD Secondary'!AV65+'FWD Volumetric'!AV65+'IB'!AV65+'IB Volumetric'!AV65+'OB'!AV65+'OB Volumetric'!AV65+'OSC Bag Sorting'!AV65+'OSC Bag Sorting Volumetric'!AV65+'REV FSM'!AV65+'Rejection Primary with Scan'!AV65+'Rejection Secondary'!AV65+'Rev DC DC Primary Sorting'!AV65+'Rev Primary (FSM Rejections)'!AV65+'Rev Secondary Sorting'!AV65+'VIA Bag Sorting'!AV65</f>
        <v/>
      </c>
      <c r="AW65" s="7">
        <f>'BBB'!AW65+'Bag Staging'!AW65+'Bag Staging Volumetric'!AW65+'FWD FSM'!AW65+'FWD Manual Pre Primary'!AW65+'FWD Manual Primary'!AW65+'FWD Primary with Scan'!AW65+'FWD Secondary'!AW65+'FWD Volumetric'!AW65+'IB'!AW65+'IB Volumetric'!AW65+'OB'!AW65+'OB Volumetric'!AW65+'OSC Bag Sorting'!AW65+'OSC Bag Sorting Volumetric'!AW65+'REV FSM'!AW65+'Rejection Primary with Scan'!AW65+'Rejection Secondary'!AW65+'Rev DC DC Primary Sorting'!AW65+'Rev Primary (FSM Rejections)'!AW65+'Rev Secondary Sorting'!AW65+'VIA Bag Sorting'!AW65</f>
        <v/>
      </c>
      <c r="AX65" s="7">
        <f>'BBB'!AX65+'Bag Staging'!AX65+'Bag Staging Volumetric'!AX65+'FWD FSM'!AX65+'FWD Manual Pre Primary'!AX65+'FWD Manual Primary'!AX65+'FWD Primary with Scan'!AX65+'FWD Secondary'!AX65+'FWD Volumetric'!AX65+'IB'!AX65+'IB Volumetric'!AX65+'OB'!AX65+'OB Volumetric'!AX65+'OSC Bag Sorting'!AX65+'OSC Bag Sorting Volumetric'!AX65+'REV FSM'!AX65+'Rejection Primary with Scan'!AX65+'Rejection Secondary'!AX65+'Rev DC DC Primary Sorting'!AX65+'Rev Primary (FSM Rejections)'!AX65+'Rev Secondary Sorting'!AX65+'VIA Bag Sorting'!AX65</f>
        <v/>
      </c>
      <c r="AY65" s="7">
        <f>'BBB'!AY65+'Bag Staging'!AY65+'Bag Staging Volumetric'!AY65+'FWD FSM'!AY65+'FWD Manual Pre Primary'!AY65+'FWD Manual Primary'!AY65+'FWD Primary with Scan'!AY65+'FWD Secondary'!AY65+'FWD Volumetric'!AY65+'IB'!AY65+'IB Volumetric'!AY65+'OB'!AY65+'OB Volumetric'!AY65+'OSC Bag Sorting'!AY65+'OSC Bag Sorting Volumetric'!AY65+'REV FSM'!AY65+'Rejection Primary with Scan'!AY65+'Rejection Secondary'!AY65+'Rev DC DC Primary Sorting'!AY65+'Rev Primary (FSM Rejections)'!AY65+'Rev Secondary Sorting'!AY65+'VIA Bag Sorting'!AY65</f>
        <v/>
      </c>
      <c r="AZ65" s="7">
        <f>'BBB'!AZ65+'Bag Staging'!AZ65+'Bag Staging Volumetric'!AZ65+'FWD FSM'!AZ65+'FWD Manual Pre Primary'!AZ65+'FWD Manual Primary'!AZ65+'FWD Primary with Scan'!AZ65+'FWD Secondary'!AZ65+'FWD Volumetric'!AZ65+'IB'!AZ65+'IB Volumetric'!AZ65+'OB'!AZ65+'OB Volumetric'!AZ65+'OSC Bag Sorting'!AZ65+'OSC Bag Sorting Volumetric'!AZ65+'REV FSM'!AZ65+'Rejection Primary with Scan'!AZ65+'Rejection Secondary'!AZ65+'Rev DC DC Primary Sorting'!AZ65+'Rev Primary (FSM Rejections)'!AZ65+'Rev Secondary Sorting'!AZ65+'VIA Bag Sorting'!AZ65</f>
        <v/>
      </c>
      <c r="BA65" s="7">
        <f>'BBB'!BA65+'Bag Staging'!BA65+'Bag Staging Volumetric'!BA65+'FWD FSM'!BA65+'FWD Manual Pre Primary'!BA65+'FWD Manual Primary'!BA65+'FWD Primary with Scan'!BA65+'FWD Secondary'!BA65+'FWD Volumetric'!BA65+'IB'!BA65+'IB Volumetric'!BA65+'OB'!BA65+'OB Volumetric'!BA65+'OSC Bag Sorting'!BA65+'OSC Bag Sorting Volumetric'!BA65+'REV FSM'!BA65+'Rejection Primary with Scan'!BA65+'Rejection Secondary'!BA65+'Rev DC DC Primary Sorting'!BA65+'Rev Primary (FSM Rejections)'!BA65+'Rev Secondary Sorting'!BA65+'VIA Bag Sorting'!BA65</f>
        <v/>
      </c>
      <c r="BB65" s="7">
        <f>SUM(AD65:BA65)</f>
        <v/>
      </c>
    </row>
    <row r="66">
      <c r="A66" t="inlineStr">
        <is>
          <t>AMD-INTRA-SSC</t>
        </is>
      </c>
      <c r="B66" t="inlineStr">
        <is>
          <t>Forward Regular OSC</t>
        </is>
      </c>
      <c r="C66" s="5" t="n">
        <v>46105</v>
      </c>
      <c r="D66" s="6" t="n">
        <v>168</v>
      </c>
      <c r="E66" s="6" t="n">
        <v>172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332</v>
      </c>
      <c r="N66" s="6" t="n">
        <v>22</v>
      </c>
      <c r="O66" s="6" t="n">
        <v>0</v>
      </c>
      <c r="P66" s="6" t="n">
        <v>0</v>
      </c>
      <c r="Q66" s="6" t="n">
        <v>121</v>
      </c>
      <c r="R66" s="6" t="n">
        <v>118</v>
      </c>
      <c r="S66" s="6" t="n">
        <v>0</v>
      </c>
      <c r="T66" s="6" t="n">
        <v>0</v>
      </c>
      <c r="U66" s="6" t="n">
        <v>0</v>
      </c>
      <c r="V66" s="6" t="n">
        <v>0</v>
      </c>
      <c r="W66" s="6" t="n">
        <v>0</v>
      </c>
      <c r="X66" s="6" t="n">
        <v>0</v>
      </c>
      <c r="Y66" s="6" t="n">
        <v>0</v>
      </c>
      <c r="Z66" s="6" t="n">
        <v>0</v>
      </c>
      <c r="AA66" s="6" t="n">
        <v>0</v>
      </c>
      <c r="AB66" s="6">
        <f>SUM(D66:AA66)</f>
        <v/>
      </c>
      <c r="AC66" s="3" t="inlineStr"/>
      <c r="AD66" s="7">
        <f>'BBB'!AD66+'Bag Staging'!AD66+'Bag Staging Volumetric'!AD66+'FWD FSM'!AD66+'FWD Manual Pre Primary'!AD66+'FWD Manual Primary'!AD66+'FWD Primary with Scan'!AD66+'FWD Secondary'!AD66+'FWD Volumetric'!AD66+'IB'!AD66+'IB Volumetric'!AD66+'OB'!AD66+'OB Volumetric'!AD66+'OSC Bag Sorting'!AD66+'OSC Bag Sorting Volumetric'!AD66+'REV FSM'!AD66+'Rejection Primary with Scan'!AD66+'Rejection Secondary'!AD66+'Rev DC DC Primary Sorting'!AD66+'Rev Primary (FSM Rejections)'!AD66+'Rev Secondary Sorting'!AD66+'VIA Bag Sorting'!AD66</f>
        <v/>
      </c>
      <c r="AE66" s="7">
        <f>'BBB'!AE66+'Bag Staging'!AE66+'Bag Staging Volumetric'!AE66+'FWD FSM'!AE66+'FWD Manual Pre Primary'!AE66+'FWD Manual Primary'!AE66+'FWD Primary with Scan'!AE66+'FWD Secondary'!AE66+'FWD Volumetric'!AE66+'IB'!AE66+'IB Volumetric'!AE66+'OB'!AE66+'OB Volumetric'!AE66+'OSC Bag Sorting'!AE66+'OSC Bag Sorting Volumetric'!AE66+'REV FSM'!AE66+'Rejection Primary with Scan'!AE66+'Rejection Secondary'!AE66+'Rev DC DC Primary Sorting'!AE66+'Rev Primary (FSM Rejections)'!AE66+'Rev Secondary Sorting'!AE66+'VIA Bag Sorting'!AE66</f>
        <v/>
      </c>
      <c r="AF66" s="7">
        <f>'BBB'!AF66+'Bag Staging'!AF66+'Bag Staging Volumetric'!AF66+'FWD FSM'!AF66+'FWD Manual Pre Primary'!AF66+'FWD Manual Primary'!AF66+'FWD Primary with Scan'!AF66+'FWD Secondary'!AF66+'FWD Volumetric'!AF66+'IB'!AF66+'IB Volumetric'!AF66+'OB'!AF66+'OB Volumetric'!AF66+'OSC Bag Sorting'!AF66+'OSC Bag Sorting Volumetric'!AF66+'REV FSM'!AF66+'Rejection Primary with Scan'!AF66+'Rejection Secondary'!AF66+'Rev DC DC Primary Sorting'!AF66+'Rev Primary (FSM Rejections)'!AF66+'Rev Secondary Sorting'!AF66+'VIA Bag Sorting'!AF66</f>
        <v/>
      </c>
      <c r="AG66" s="7">
        <f>'BBB'!AG66+'Bag Staging'!AG66+'Bag Staging Volumetric'!AG66+'FWD FSM'!AG66+'FWD Manual Pre Primary'!AG66+'FWD Manual Primary'!AG66+'FWD Primary with Scan'!AG66+'FWD Secondary'!AG66+'FWD Volumetric'!AG66+'IB'!AG66+'IB Volumetric'!AG66+'OB'!AG66+'OB Volumetric'!AG66+'OSC Bag Sorting'!AG66+'OSC Bag Sorting Volumetric'!AG66+'REV FSM'!AG66+'Rejection Primary with Scan'!AG66+'Rejection Secondary'!AG66+'Rev DC DC Primary Sorting'!AG66+'Rev Primary (FSM Rejections)'!AG66+'Rev Secondary Sorting'!AG66+'VIA Bag Sorting'!AG66</f>
        <v/>
      </c>
      <c r="AH66" s="7">
        <f>'BBB'!AH66+'Bag Staging'!AH66+'Bag Staging Volumetric'!AH66+'FWD FSM'!AH66+'FWD Manual Pre Primary'!AH66+'FWD Manual Primary'!AH66+'FWD Primary with Scan'!AH66+'FWD Secondary'!AH66+'FWD Volumetric'!AH66+'IB'!AH66+'IB Volumetric'!AH66+'OB'!AH66+'OB Volumetric'!AH66+'OSC Bag Sorting'!AH66+'OSC Bag Sorting Volumetric'!AH66+'REV FSM'!AH66+'Rejection Primary with Scan'!AH66+'Rejection Secondary'!AH66+'Rev DC DC Primary Sorting'!AH66+'Rev Primary (FSM Rejections)'!AH66+'Rev Secondary Sorting'!AH66+'VIA Bag Sorting'!AH66</f>
        <v/>
      </c>
      <c r="AI66" s="7">
        <f>'BBB'!AI66+'Bag Staging'!AI66+'Bag Staging Volumetric'!AI66+'FWD FSM'!AI66+'FWD Manual Pre Primary'!AI66+'FWD Manual Primary'!AI66+'FWD Primary with Scan'!AI66+'FWD Secondary'!AI66+'FWD Volumetric'!AI66+'IB'!AI66+'IB Volumetric'!AI66+'OB'!AI66+'OB Volumetric'!AI66+'OSC Bag Sorting'!AI66+'OSC Bag Sorting Volumetric'!AI66+'REV FSM'!AI66+'Rejection Primary with Scan'!AI66+'Rejection Secondary'!AI66+'Rev DC DC Primary Sorting'!AI66+'Rev Primary (FSM Rejections)'!AI66+'Rev Secondary Sorting'!AI66+'VIA Bag Sorting'!AI66</f>
        <v/>
      </c>
      <c r="AJ66" s="7">
        <f>'BBB'!AJ66+'Bag Staging'!AJ66+'Bag Staging Volumetric'!AJ66+'FWD FSM'!AJ66+'FWD Manual Pre Primary'!AJ66+'FWD Manual Primary'!AJ66+'FWD Primary with Scan'!AJ66+'FWD Secondary'!AJ66+'FWD Volumetric'!AJ66+'IB'!AJ66+'IB Volumetric'!AJ66+'OB'!AJ66+'OB Volumetric'!AJ66+'OSC Bag Sorting'!AJ66+'OSC Bag Sorting Volumetric'!AJ66+'REV FSM'!AJ66+'Rejection Primary with Scan'!AJ66+'Rejection Secondary'!AJ66+'Rev DC DC Primary Sorting'!AJ66+'Rev Primary (FSM Rejections)'!AJ66+'Rev Secondary Sorting'!AJ66+'VIA Bag Sorting'!AJ66</f>
        <v/>
      </c>
      <c r="AK66" s="7">
        <f>'BBB'!AK66+'Bag Staging'!AK66+'Bag Staging Volumetric'!AK66+'FWD FSM'!AK66+'FWD Manual Pre Primary'!AK66+'FWD Manual Primary'!AK66+'FWD Primary with Scan'!AK66+'FWD Secondary'!AK66+'FWD Volumetric'!AK66+'IB'!AK66+'IB Volumetric'!AK66+'OB'!AK66+'OB Volumetric'!AK66+'OSC Bag Sorting'!AK66+'OSC Bag Sorting Volumetric'!AK66+'REV FSM'!AK66+'Rejection Primary with Scan'!AK66+'Rejection Secondary'!AK66+'Rev DC DC Primary Sorting'!AK66+'Rev Primary (FSM Rejections)'!AK66+'Rev Secondary Sorting'!AK66+'VIA Bag Sorting'!AK66</f>
        <v/>
      </c>
      <c r="AL66" s="7">
        <f>'BBB'!AL66+'Bag Staging'!AL66+'Bag Staging Volumetric'!AL66+'FWD FSM'!AL66+'FWD Manual Pre Primary'!AL66+'FWD Manual Primary'!AL66+'FWD Primary with Scan'!AL66+'FWD Secondary'!AL66+'FWD Volumetric'!AL66+'IB'!AL66+'IB Volumetric'!AL66+'OB'!AL66+'OB Volumetric'!AL66+'OSC Bag Sorting'!AL66+'OSC Bag Sorting Volumetric'!AL66+'REV FSM'!AL66+'Rejection Primary with Scan'!AL66+'Rejection Secondary'!AL66+'Rev DC DC Primary Sorting'!AL66+'Rev Primary (FSM Rejections)'!AL66+'Rev Secondary Sorting'!AL66+'VIA Bag Sorting'!AL66</f>
        <v/>
      </c>
      <c r="AM66" s="7">
        <f>'BBB'!AM66+'Bag Staging'!AM66+'Bag Staging Volumetric'!AM66+'FWD FSM'!AM66+'FWD Manual Pre Primary'!AM66+'FWD Manual Primary'!AM66+'FWD Primary with Scan'!AM66+'FWD Secondary'!AM66+'FWD Volumetric'!AM66+'IB'!AM66+'IB Volumetric'!AM66+'OB'!AM66+'OB Volumetric'!AM66+'OSC Bag Sorting'!AM66+'OSC Bag Sorting Volumetric'!AM66+'REV FSM'!AM66+'Rejection Primary with Scan'!AM66+'Rejection Secondary'!AM66+'Rev DC DC Primary Sorting'!AM66+'Rev Primary (FSM Rejections)'!AM66+'Rev Secondary Sorting'!AM66+'VIA Bag Sorting'!AM66</f>
        <v/>
      </c>
      <c r="AN66" s="7">
        <f>'BBB'!AN66+'Bag Staging'!AN66+'Bag Staging Volumetric'!AN66+'FWD FSM'!AN66+'FWD Manual Pre Primary'!AN66+'FWD Manual Primary'!AN66+'FWD Primary with Scan'!AN66+'FWD Secondary'!AN66+'FWD Volumetric'!AN66+'IB'!AN66+'IB Volumetric'!AN66+'OB'!AN66+'OB Volumetric'!AN66+'OSC Bag Sorting'!AN66+'OSC Bag Sorting Volumetric'!AN66+'REV FSM'!AN66+'Rejection Primary with Scan'!AN66+'Rejection Secondary'!AN66+'Rev DC DC Primary Sorting'!AN66+'Rev Primary (FSM Rejections)'!AN66+'Rev Secondary Sorting'!AN66+'VIA Bag Sorting'!AN66</f>
        <v/>
      </c>
      <c r="AO66" s="7">
        <f>'BBB'!AO66+'Bag Staging'!AO66+'Bag Staging Volumetric'!AO66+'FWD FSM'!AO66+'FWD Manual Pre Primary'!AO66+'FWD Manual Primary'!AO66+'FWD Primary with Scan'!AO66+'FWD Secondary'!AO66+'FWD Volumetric'!AO66+'IB'!AO66+'IB Volumetric'!AO66+'OB'!AO66+'OB Volumetric'!AO66+'OSC Bag Sorting'!AO66+'OSC Bag Sorting Volumetric'!AO66+'REV FSM'!AO66+'Rejection Primary with Scan'!AO66+'Rejection Secondary'!AO66+'Rev DC DC Primary Sorting'!AO66+'Rev Primary (FSM Rejections)'!AO66+'Rev Secondary Sorting'!AO66+'VIA Bag Sorting'!AO66</f>
        <v/>
      </c>
      <c r="AP66" s="7">
        <f>'BBB'!AP66+'Bag Staging'!AP66+'Bag Staging Volumetric'!AP66+'FWD FSM'!AP66+'FWD Manual Pre Primary'!AP66+'FWD Manual Primary'!AP66+'FWD Primary with Scan'!AP66+'FWD Secondary'!AP66+'FWD Volumetric'!AP66+'IB'!AP66+'IB Volumetric'!AP66+'OB'!AP66+'OB Volumetric'!AP66+'OSC Bag Sorting'!AP66+'OSC Bag Sorting Volumetric'!AP66+'REV FSM'!AP66+'Rejection Primary with Scan'!AP66+'Rejection Secondary'!AP66+'Rev DC DC Primary Sorting'!AP66+'Rev Primary (FSM Rejections)'!AP66+'Rev Secondary Sorting'!AP66+'VIA Bag Sorting'!AP66</f>
        <v/>
      </c>
      <c r="AQ66" s="7">
        <f>'BBB'!AQ66+'Bag Staging'!AQ66+'Bag Staging Volumetric'!AQ66+'FWD FSM'!AQ66+'FWD Manual Pre Primary'!AQ66+'FWD Manual Primary'!AQ66+'FWD Primary with Scan'!AQ66+'FWD Secondary'!AQ66+'FWD Volumetric'!AQ66+'IB'!AQ66+'IB Volumetric'!AQ66+'OB'!AQ66+'OB Volumetric'!AQ66+'OSC Bag Sorting'!AQ66+'OSC Bag Sorting Volumetric'!AQ66+'REV FSM'!AQ66+'Rejection Primary with Scan'!AQ66+'Rejection Secondary'!AQ66+'Rev DC DC Primary Sorting'!AQ66+'Rev Primary (FSM Rejections)'!AQ66+'Rev Secondary Sorting'!AQ66+'VIA Bag Sorting'!AQ66</f>
        <v/>
      </c>
      <c r="AR66" s="7">
        <f>'BBB'!AR66+'Bag Staging'!AR66+'Bag Staging Volumetric'!AR66+'FWD FSM'!AR66+'FWD Manual Pre Primary'!AR66+'FWD Manual Primary'!AR66+'FWD Primary with Scan'!AR66+'FWD Secondary'!AR66+'FWD Volumetric'!AR66+'IB'!AR66+'IB Volumetric'!AR66+'OB'!AR66+'OB Volumetric'!AR66+'OSC Bag Sorting'!AR66+'OSC Bag Sorting Volumetric'!AR66+'REV FSM'!AR66+'Rejection Primary with Scan'!AR66+'Rejection Secondary'!AR66+'Rev DC DC Primary Sorting'!AR66+'Rev Primary (FSM Rejections)'!AR66+'Rev Secondary Sorting'!AR66+'VIA Bag Sorting'!AR66</f>
        <v/>
      </c>
      <c r="AS66" s="7">
        <f>'BBB'!AS66+'Bag Staging'!AS66+'Bag Staging Volumetric'!AS66+'FWD FSM'!AS66+'FWD Manual Pre Primary'!AS66+'FWD Manual Primary'!AS66+'FWD Primary with Scan'!AS66+'FWD Secondary'!AS66+'FWD Volumetric'!AS66+'IB'!AS66+'IB Volumetric'!AS66+'OB'!AS66+'OB Volumetric'!AS66+'OSC Bag Sorting'!AS66+'OSC Bag Sorting Volumetric'!AS66+'REV FSM'!AS66+'Rejection Primary with Scan'!AS66+'Rejection Secondary'!AS66+'Rev DC DC Primary Sorting'!AS66+'Rev Primary (FSM Rejections)'!AS66+'Rev Secondary Sorting'!AS66+'VIA Bag Sorting'!AS66</f>
        <v/>
      </c>
      <c r="AT66" s="7">
        <f>'BBB'!AT66+'Bag Staging'!AT66+'Bag Staging Volumetric'!AT66+'FWD FSM'!AT66+'FWD Manual Pre Primary'!AT66+'FWD Manual Primary'!AT66+'FWD Primary with Scan'!AT66+'FWD Secondary'!AT66+'FWD Volumetric'!AT66+'IB'!AT66+'IB Volumetric'!AT66+'OB'!AT66+'OB Volumetric'!AT66+'OSC Bag Sorting'!AT66+'OSC Bag Sorting Volumetric'!AT66+'REV FSM'!AT66+'Rejection Primary with Scan'!AT66+'Rejection Secondary'!AT66+'Rev DC DC Primary Sorting'!AT66+'Rev Primary (FSM Rejections)'!AT66+'Rev Secondary Sorting'!AT66+'VIA Bag Sorting'!AT66</f>
        <v/>
      </c>
      <c r="AU66" s="7">
        <f>'BBB'!AU66+'Bag Staging'!AU66+'Bag Staging Volumetric'!AU66+'FWD FSM'!AU66+'FWD Manual Pre Primary'!AU66+'FWD Manual Primary'!AU66+'FWD Primary with Scan'!AU66+'FWD Secondary'!AU66+'FWD Volumetric'!AU66+'IB'!AU66+'IB Volumetric'!AU66+'OB'!AU66+'OB Volumetric'!AU66+'OSC Bag Sorting'!AU66+'OSC Bag Sorting Volumetric'!AU66+'REV FSM'!AU66+'Rejection Primary with Scan'!AU66+'Rejection Secondary'!AU66+'Rev DC DC Primary Sorting'!AU66+'Rev Primary (FSM Rejections)'!AU66+'Rev Secondary Sorting'!AU66+'VIA Bag Sorting'!AU66</f>
        <v/>
      </c>
      <c r="AV66" s="7">
        <f>'BBB'!AV66+'Bag Staging'!AV66+'Bag Staging Volumetric'!AV66+'FWD FSM'!AV66+'FWD Manual Pre Primary'!AV66+'FWD Manual Primary'!AV66+'FWD Primary with Scan'!AV66+'FWD Secondary'!AV66+'FWD Volumetric'!AV66+'IB'!AV66+'IB Volumetric'!AV66+'OB'!AV66+'OB Volumetric'!AV66+'OSC Bag Sorting'!AV66+'OSC Bag Sorting Volumetric'!AV66+'REV FSM'!AV66+'Rejection Primary with Scan'!AV66+'Rejection Secondary'!AV66+'Rev DC DC Primary Sorting'!AV66+'Rev Primary (FSM Rejections)'!AV66+'Rev Secondary Sorting'!AV66+'VIA Bag Sorting'!AV66</f>
        <v/>
      </c>
      <c r="AW66" s="7">
        <f>'BBB'!AW66+'Bag Staging'!AW66+'Bag Staging Volumetric'!AW66+'FWD FSM'!AW66+'FWD Manual Pre Primary'!AW66+'FWD Manual Primary'!AW66+'FWD Primary with Scan'!AW66+'FWD Secondary'!AW66+'FWD Volumetric'!AW66+'IB'!AW66+'IB Volumetric'!AW66+'OB'!AW66+'OB Volumetric'!AW66+'OSC Bag Sorting'!AW66+'OSC Bag Sorting Volumetric'!AW66+'REV FSM'!AW66+'Rejection Primary with Scan'!AW66+'Rejection Secondary'!AW66+'Rev DC DC Primary Sorting'!AW66+'Rev Primary (FSM Rejections)'!AW66+'Rev Secondary Sorting'!AW66+'VIA Bag Sorting'!AW66</f>
        <v/>
      </c>
      <c r="AX66" s="7">
        <f>'BBB'!AX66+'Bag Staging'!AX66+'Bag Staging Volumetric'!AX66+'FWD FSM'!AX66+'FWD Manual Pre Primary'!AX66+'FWD Manual Primary'!AX66+'FWD Primary with Scan'!AX66+'FWD Secondary'!AX66+'FWD Volumetric'!AX66+'IB'!AX66+'IB Volumetric'!AX66+'OB'!AX66+'OB Volumetric'!AX66+'OSC Bag Sorting'!AX66+'OSC Bag Sorting Volumetric'!AX66+'REV FSM'!AX66+'Rejection Primary with Scan'!AX66+'Rejection Secondary'!AX66+'Rev DC DC Primary Sorting'!AX66+'Rev Primary (FSM Rejections)'!AX66+'Rev Secondary Sorting'!AX66+'VIA Bag Sorting'!AX66</f>
        <v/>
      </c>
      <c r="AY66" s="7">
        <f>'BBB'!AY66+'Bag Staging'!AY66+'Bag Staging Volumetric'!AY66+'FWD FSM'!AY66+'FWD Manual Pre Primary'!AY66+'FWD Manual Primary'!AY66+'FWD Primary with Scan'!AY66+'FWD Secondary'!AY66+'FWD Volumetric'!AY66+'IB'!AY66+'IB Volumetric'!AY66+'OB'!AY66+'OB Volumetric'!AY66+'OSC Bag Sorting'!AY66+'OSC Bag Sorting Volumetric'!AY66+'REV FSM'!AY66+'Rejection Primary with Scan'!AY66+'Rejection Secondary'!AY66+'Rev DC DC Primary Sorting'!AY66+'Rev Primary (FSM Rejections)'!AY66+'Rev Secondary Sorting'!AY66+'VIA Bag Sorting'!AY66</f>
        <v/>
      </c>
      <c r="AZ66" s="7">
        <f>'BBB'!AZ66+'Bag Staging'!AZ66+'Bag Staging Volumetric'!AZ66+'FWD FSM'!AZ66+'FWD Manual Pre Primary'!AZ66+'FWD Manual Primary'!AZ66+'FWD Primary with Scan'!AZ66+'FWD Secondary'!AZ66+'FWD Volumetric'!AZ66+'IB'!AZ66+'IB Volumetric'!AZ66+'OB'!AZ66+'OB Volumetric'!AZ66+'OSC Bag Sorting'!AZ66+'OSC Bag Sorting Volumetric'!AZ66+'REV FSM'!AZ66+'Rejection Primary with Scan'!AZ66+'Rejection Secondary'!AZ66+'Rev DC DC Primary Sorting'!AZ66+'Rev Primary (FSM Rejections)'!AZ66+'Rev Secondary Sorting'!AZ66+'VIA Bag Sorting'!AZ66</f>
        <v/>
      </c>
      <c r="BA66" s="7">
        <f>'BBB'!BA66+'Bag Staging'!BA66+'Bag Staging Volumetric'!BA66+'FWD FSM'!BA66+'FWD Manual Pre Primary'!BA66+'FWD Manual Primary'!BA66+'FWD Primary with Scan'!BA66+'FWD Secondary'!BA66+'FWD Volumetric'!BA66+'IB'!BA66+'IB Volumetric'!BA66+'OB'!BA66+'OB Volumetric'!BA66+'OSC Bag Sorting'!BA66+'OSC Bag Sorting Volumetric'!BA66+'REV FSM'!BA66+'Rejection Primary with Scan'!BA66+'Rejection Secondary'!BA66+'Rev DC DC Primary Sorting'!BA66+'Rev Primary (FSM Rejections)'!BA66+'Rev Secondary Sorting'!BA66+'VIA Bag Sorting'!BA66</f>
        <v/>
      </c>
      <c r="BB66" s="7">
        <f>SUM(AD66:BA66)</f>
        <v/>
      </c>
    </row>
    <row r="67">
      <c r="A67" t="inlineStr">
        <is>
          <t>AMD-M1</t>
        </is>
      </c>
      <c r="B67" t="inlineStr">
        <is>
          <t>Forward Regular OSC</t>
        </is>
      </c>
      <c r="C67" s="5" t="n">
        <v>46089</v>
      </c>
      <c r="D67" s="6" t="n">
        <v>1391</v>
      </c>
      <c r="E67" s="6" t="n">
        <v>648</v>
      </c>
      <c r="F67" s="6" t="n">
        <v>1054</v>
      </c>
      <c r="G67" s="6" t="n">
        <v>1610</v>
      </c>
      <c r="H67" s="6" t="n">
        <v>1623</v>
      </c>
      <c r="I67" s="6" t="n">
        <v>2099</v>
      </c>
      <c r="J67" s="6" t="n">
        <v>1163</v>
      </c>
      <c r="K67" s="6" t="n">
        <v>407</v>
      </c>
      <c r="L67" s="6" t="n">
        <v>0</v>
      </c>
      <c r="M67" s="6" t="n">
        <v>268</v>
      </c>
      <c r="N67" s="6" t="n">
        <v>1101</v>
      </c>
      <c r="O67" s="6" t="n">
        <v>1232</v>
      </c>
      <c r="P67" s="6" t="n">
        <v>1704</v>
      </c>
      <c r="Q67" s="6" t="n">
        <v>350</v>
      </c>
      <c r="R67" s="6" t="n">
        <v>749</v>
      </c>
      <c r="S67" s="6" t="n">
        <v>1863</v>
      </c>
      <c r="T67" s="6" t="n">
        <v>349</v>
      </c>
      <c r="U67" s="6" t="n">
        <v>0</v>
      </c>
      <c r="V67" s="6" t="n">
        <v>0</v>
      </c>
      <c r="W67" s="6" t="n">
        <v>77</v>
      </c>
      <c r="X67" s="6" t="n">
        <v>0</v>
      </c>
      <c r="Y67" s="6" t="n">
        <v>0</v>
      </c>
      <c r="Z67" s="6" t="n">
        <v>0</v>
      </c>
      <c r="AA67" s="6" t="n">
        <v>1092</v>
      </c>
      <c r="AB67" s="6">
        <f>SUM(D67:AA67)</f>
        <v/>
      </c>
      <c r="AC67" s="3" t="inlineStr"/>
      <c r="AD67" s="7">
        <f>'BBB'!AD67+'Bag Staging'!AD67+'Bag Staging Volumetric'!AD67+'FWD FSM'!AD67+'FWD Manual Pre Primary'!AD67+'FWD Manual Primary'!AD67+'FWD Primary with Scan'!AD67+'FWD Secondary'!AD67+'FWD Volumetric'!AD67+'IB'!AD67+'IB Volumetric'!AD67+'OB'!AD67+'OB Volumetric'!AD67+'OSC Bag Sorting'!AD67+'OSC Bag Sorting Volumetric'!AD67+'REV FSM'!AD67+'Rejection Primary with Scan'!AD67+'Rejection Secondary'!AD67+'Rev DC DC Primary Sorting'!AD67+'Rev Primary (FSM Rejections)'!AD67+'Rev Secondary Sorting'!AD67+'VIA Bag Sorting'!AD67</f>
        <v/>
      </c>
      <c r="AE67" s="7">
        <f>'BBB'!AE67+'Bag Staging'!AE67+'Bag Staging Volumetric'!AE67+'FWD FSM'!AE67+'FWD Manual Pre Primary'!AE67+'FWD Manual Primary'!AE67+'FWD Primary with Scan'!AE67+'FWD Secondary'!AE67+'FWD Volumetric'!AE67+'IB'!AE67+'IB Volumetric'!AE67+'OB'!AE67+'OB Volumetric'!AE67+'OSC Bag Sorting'!AE67+'OSC Bag Sorting Volumetric'!AE67+'REV FSM'!AE67+'Rejection Primary with Scan'!AE67+'Rejection Secondary'!AE67+'Rev DC DC Primary Sorting'!AE67+'Rev Primary (FSM Rejections)'!AE67+'Rev Secondary Sorting'!AE67+'VIA Bag Sorting'!AE67</f>
        <v/>
      </c>
      <c r="AF67" s="7">
        <f>'BBB'!AF67+'Bag Staging'!AF67+'Bag Staging Volumetric'!AF67+'FWD FSM'!AF67+'FWD Manual Pre Primary'!AF67+'FWD Manual Primary'!AF67+'FWD Primary with Scan'!AF67+'FWD Secondary'!AF67+'FWD Volumetric'!AF67+'IB'!AF67+'IB Volumetric'!AF67+'OB'!AF67+'OB Volumetric'!AF67+'OSC Bag Sorting'!AF67+'OSC Bag Sorting Volumetric'!AF67+'REV FSM'!AF67+'Rejection Primary with Scan'!AF67+'Rejection Secondary'!AF67+'Rev DC DC Primary Sorting'!AF67+'Rev Primary (FSM Rejections)'!AF67+'Rev Secondary Sorting'!AF67+'VIA Bag Sorting'!AF67</f>
        <v/>
      </c>
      <c r="AG67" s="7">
        <f>'BBB'!AG67+'Bag Staging'!AG67+'Bag Staging Volumetric'!AG67+'FWD FSM'!AG67+'FWD Manual Pre Primary'!AG67+'FWD Manual Primary'!AG67+'FWD Primary with Scan'!AG67+'FWD Secondary'!AG67+'FWD Volumetric'!AG67+'IB'!AG67+'IB Volumetric'!AG67+'OB'!AG67+'OB Volumetric'!AG67+'OSC Bag Sorting'!AG67+'OSC Bag Sorting Volumetric'!AG67+'REV FSM'!AG67+'Rejection Primary with Scan'!AG67+'Rejection Secondary'!AG67+'Rev DC DC Primary Sorting'!AG67+'Rev Primary (FSM Rejections)'!AG67+'Rev Secondary Sorting'!AG67+'VIA Bag Sorting'!AG67</f>
        <v/>
      </c>
      <c r="AH67" s="7">
        <f>'BBB'!AH67+'Bag Staging'!AH67+'Bag Staging Volumetric'!AH67+'FWD FSM'!AH67+'FWD Manual Pre Primary'!AH67+'FWD Manual Primary'!AH67+'FWD Primary with Scan'!AH67+'FWD Secondary'!AH67+'FWD Volumetric'!AH67+'IB'!AH67+'IB Volumetric'!AH67+'OB'!AH67+'OB Volumetric'!AH67+'OSC Bag Sorting'!AH67+'OSC Bag Sorting Volumetric'!AH67+'REV FSM'!AH67+'Rejection Primary with Scan'!AH67+'Rejection Secondary'!AH67+'Rev DC DC Primary Sorting'!AH67+'Rev Primary (FSM Rejections)'!AH67+'Rev Secondary Sorting'!AH67+'VIA Bag Sorting'!AH67</f>
        <v/>
      </c>
      <c r="AI67" s="7">
        <f>'BBB'!AI67+'Bag Staging'!AI67+'Bag Staging Volumetric'!AI67+'FWD FSM'!AI67+'FWD Manual Pre Primary'!AI67+'FWD Manual Primary'!AI67+'FWD Primary with Scan'!AI67+'FWD Secondary'!AI67+'FWD Volumetric'!AI67+'IB'!AI67+'IB Volumetric'!AI67+'OB'!AI67+'OB Volumetric'!AI67+'OSC Bag Sorting'!AI67+'OSC Bag Sorting Volumetric'!AI67+'REV FSM'!AI67+'Rejection Primary with Scan'!AI67+'Rejection Secondary'!AI67+'Rev DC DC Primary Sorting'!AI67+'Rev Primary (FSM Rejections)'!AI67+'Rev Secondary Sorting'!AI67+'VIA Bag Sorting'!AI67</f>
        <v/>
      </c>
      <c r="AJ67" s="7">
        <f>'BBB'!AJ67+'Bag Staging'!AJ67+'Bag Staging Volumetric'!AJ67+'FWD FSM'!AJ67+'FWD Manual Pre Primary'!AJ67+'FWD Manual Primary'!AJ67+'FWD Primary with Scan'!AJ67+'FWD Secondary'!AJ67+'FWD Volumetric'!AJ67+'IB'!AJ67+'IB Volumetric'!AJ67+'OB'!AJ67+'OB Volumetric'!AJ67+'OSC Bag Sorting'!AJ67+'OSC Bag Sorting Volumetric'!AJ67+'REV FSM'!AJ67+'Rejection Primary with Scan'!AJ67+'Rejection Secondary'!AJ67+'Rev DC DC Primary Sorting'!AJ67+'Rev Primary (FSM Rejections)'!AJ67+'Rev Secondary Sorting'!AJ67+'VIA Bag Sorting'!AJ67</f>
        <v/>
      </c>
      <c r="AK67" s="7">
        <f>'BBB'!AK67+'Bag Staging'!AK67+'Bag Staging Volumetric'!AK67+'FWD FSM'!AK67+'FWD Manual Pre Primary'!AK67+'FWD Manual Primary'!AK67+'FWD Primary with Scan'!AK67+'FWD Secondary'!AK67+'FWD Volumetric'!AK67+'IB'!AK67+'IB Volumetric'!AK67+'OB'!AK67+'OB Volumetric'!AK67+'OSC Bag Sorting'!AK67+'OSC Bag Sorting Volumetric'!AK67+'REV FSM'!AK67+'Rejection Primary with Scan'!AK67+'Rejection Secondary'!AK67+'Rev DC DC Primary Sorting'!AK67+'Rev Primary (FSM Rejections)'!AK67+'Rev Secondary Sorting'!AK67+'VIA Bag Sorting'!AK67</f>
        <v/>
      </c>
      <c r="AL67" s="7">
        <f>'BBB'!AL67+'Bag Staging'!AL67+'Bag Staging Volumetric'!AL67+'FWD FSM'!AL67+'FWD Manual Pre Primary'!AL67+'FWD Manual Primary'!AL67+'FWD Primary with Scan'!AL67+'FWD Secondary'!AL67+'FWD Volumetric'!AL67+'IB'!AL67+'IB Volumetric'!AL67+'OB'!AL67+'OB Volumetric'!AL67+'OSC Bag Sorting'!AL67+'OSC Bag Sorting Volumetric'!AL67+'REV FSM'!AL67+'Rejection Primary with Scan'!AL67+'Rejection Secondary'!AL67+'Rev DC DC Primary Sorting'!AL67+'Rev Primary (FSM Rejections)'!AL67+'Rev Secondary Sorting'!AL67+'VIA Bag Sorting'!AL67</f>
        <v/>
      </c>
      <c r="AM67" s="7">
        <f>'BBB'!AM67+'Bag Staging'!AM67+'Bag Staging Volumetric'!AM67+'FWD FSM'!AM67+'FWD Manual Pre Primary'!AM67+'FWD Manual Primary'!AM67+'FWD Primary with Scan'!AM67+'FWD Secondary'!AM67+'FWD Volumetric'!AM67+'IB'!AM67+'IB Volumetric'!AM67+'OB'!AM67+'OB Volumetric'!AM67+'OSC Bag Sorting'!AM67+'OSC Bag Sorting Volumetric'!AM67+'REV FSM'!AM67+'Rejection Primary with Scan'!AM67+'Rejection Secondary'!AM67+'Rev DC DC Primary Sorting'!AM67+'Rev Primary (FSM Rejections)'!AM67+'Rev Secondary Sorting'!AM67+'VIA Bag Sorting'!AM67</f>
        <v/>
      </c>
      <c r="AN67" s="7">
        <f>'BBB'!AN67+'Bag Staging'!AN67+'Bag Staging Volumetric'!AN67+'FWD FSM'!AN67+'FWD Manual Pre Primary'!AN67+'FWD Manual Primary'!AN67+'FWD Primary with Scan'!AN67+'FWD Secondary'!AN67+'FWD Volumetric'!AN67+'IB'!AN67+'IB Volumetric'!AN67+'OB'!AN67+'OB Volumetric'!AN67+'OSC Bag Sorting'!AN67+'OSC Bag Sorting Volumetric'!AN67+'REV FSM'!AN67+'Rejection Primary with Scan'!AN67+'Rejection Secondary'!AN67+'Rev DC DC Primary Sorting'!AN67+'Rev Primary (FSM Rejections)'!AN67+'Rev Secondary Sorting'!AN67+'VIA Bag Sorting'!AN67</f>
        <v/>
      </c>
      <c r="AO67" s="7">
        <f>'BBB'!AO67+'Bag Staging'!AO67+'Bag Staging Volumetric'!AO67+'FWD FSM'!AO67+'FWD Manual Pre Primary'!AO67+'FWD Manual Primary'!AO67+'FWD Primary with Scan'!AO67+'FWD Secondary'!AO67+'FWD Volumetric'!AO67+'IB'!AO67+'IB Volumetric'!AO67+'OB'!AO67+'OB Volumetric'!AO67+'OSC Bag Sorting'!AO67+'OSC Bag Sorting Volumetric'!AO67+'REV FSM'!AO67+'Rejection Primary with Scan'!AO67+'Rejection Secondary'!AO67+'Rev DC DC Primary Sorting'!AO67+'Rev Primary (FSM Rejections)'!AO67+'Rev Secondary Sorting'!AO67+'VIA Bag Sorting'!AO67</f>
        <v/>
      </c>
      <c r="AP67" s="7">
        <f>'BBB'!AP67+'Bag Staging'!AP67+'Bag Staging Volumetric'!AP67+'FWD FSM'!AP67+'FWD Manual Pre Primary'!AP67+'FWD Manual Primary'!AP67+'FWD Primary with Scan'!AP67+'FWD Secondary'!AP67+'FWD Volumetric'!AP67+'IB'!AP67+'IB Volumetric'!AP67+'OB'!AP67+'OB Volumetric'!AP67+'OSC Bag Sorting'!AP67+'OSC Bag Sorting Volumetric'!AP67+'REV FSM'!AP67+'Rejection Primary with Scan'!AP67+'Rejection Secondary'!AP67+'Rev DC DC Primary Sorting'!AP67+'Rev Primary (FSM Rejections)'!AP67+'Rev Secondary Sorting'!AP67+'VIA Bag Sorting'!AP67</f>
        <v/>
      </c>
      <c r="AQ67" s="7">
        <f>'BBB'!AQ67+'Bag Staging'!AQ67+'Bag Staging Volumetric'!AQ67+'FWD FSM'!AQ67+'FWD Manual Pre Primary'!AQ67+'FWD Manual Primary'!AQ67+'FWD Primary with Scan'!AQ67+'FWD Secondary'!AQ67+'FWD Volumetric'!AQ67+'IB'!AQ67+'IB Volumetric'!AQ67+'OB'!AQ67+'OB Volumetric'!AQ67+'OSC Bag Sorting'!AQ67+'OSC Bag Sorting Volumetric'!AQ67+'REV FSM'!AQ67+'Rejection Primary with Scan'!AQ67+'Rejection Secondary'!AQ67+'Rev DC DC Primary Sorting'!AQ67+'Rev Primary (FSM Rejections)'!AQ67+'Rev Secondary Sorting'!AQ67+'VIA Bag Sorting'!AQ67</f>
        <v/>
      </c>
      <c r="AR67" s="7">
        <f>'BBB'!AR67+'Bag Staging'!AR67+'Bag Staging Volumetric'!AR67+'FWD FSM'!AR67+'FWD Manual Pre Primary'!AR67+'FWD Manual Primary'!AR67+'FWD Primary with Scan'!AR67+'FWD Secondary'!AR67+'FWD Volumetric'!AR67+'IB'!AR67+'IB Volumetric'!AR67+'OB'!AR67+'OB Volumetric'!AR67+'OSC Bag Sorting'!AR67+'OSC Bag Sorting Volumetric'!AR67+'REV FSM'!AR67+'Rejection Primary with Scan'!AR67+'Rejection Secondary'!AR67+'Rev DC DC Primary Sorting'!AR67+'Rev Primary (FSM Rejections)'!AR67+'Rev Secondary Sorting'!AR67+'VIA Bag Sorting'!AR67</f>
        <v/>
      </c>
      <c r="AS67" s="7">
        <f>'BBB'!AS67+'Bag Staging'!AS67+'Bag Staging Volumetric'!AS67+'FWD FSM'!AS67+'FWD Manual Pre Primary'!AS67+'FWD Manual Primary'!AS67+'FWD Primary with Scan'!AS67+'FWD Secondary'!AS67+'FWD Volumetric'!AS67+'IB'!AS67+'IB Volumetric'!AS67+'OB'!AS67+'OB Volumetric'!AS67+'OSC Bag Sorting'!AS67+'OSC Bag Sorting Volumetric'!AS67+'REV FSM'!AS67+'Rejection Primary with Scan'!AS67+'Rejection Secondary'!AS67+'Rev DC DC Primary Sorting'!AS67+'Rev Primary (FSM Rejections)'!AS67+'Rev Secondary Sorting'!AS67+'VIA Bag Sorting'!AS67</f>
        <v/>
      </c>
      <c r="AT67" s="7">
        <f>'BBB'!AT67+'Bag Staging'!AT67+'Bag Staging Volumetric'!AT67+'FWD FSM'!AT67+'FWD Manual Pre Primary'!AT67+'FWD Manual Primary'!AT67+'FWD Primary with Scan'!AT67+'FWD Secondary'!AT67+'FWD Volumetric'!AT67+'IB'!AT67+'IB Volumetric'!AT67+'OB'!AT67+'OB Volumetric'!AT67+'OSC Bag Sorting'!AT67+'OSC Bag Sorting Volumetric'!AT67+'REV FSM'!AT67+'Rejection Primary with Scan'!AT67+'Rejection Secondary'!AT67+'Rev DC DC Primary Sorting'!AT67+'Rev Primary (FSM Rejections)'!AT67+'Rev Secondary Sorting'!AT67+'VIA Bag Sorting'!AT67</f>
        <v/>
      </c>
      <c r="AU67" s="7">
        <f>'BBB'!AU67+'Bag Staging'!AU67+'Bag Staging Volumetric'!AU67+'FWD FSM'!AU67+'FWD Manual Pre Primary'!AU67+'FWD Manual Primary'!AU67+'FWD Primary with Scan'!AU67+'FWD Secondary'!AU67+'FWD Volumetric'!AU67+'IB'!AU67+'IB Volumetric'!AU67+'OB'!AU67+'OB Volumetric'!AU67+'OSC Bag Sorting'!AU67+'OSC Bag Sorting Volumetric'!AU67+'REV FSM'!AU67+'Rejection Primary with Scan'!AU67+'Rejection Secondary'!AU67+'Rev DC DC Primary Sorting'!AU67+'Rev Primary (FSM Rejections)'!AU67+'Rev Secondary Sorting'!AU67+'VIA Bag Sorting'!AU67</f>
        <v/>
      </c>
      <c r="AV67" s="7">
        <f>'BBB'!AV67+'Bag Staging'!AV67+'Bag Staging Volumetric'!AV67+'FWD FSM'!AV67+'FWD Manual Pre Primary'!AV67+'FWD Manual Primary'!AV67+'FWD Primary with Scan'!AV67+'FWD Secondary'!AV67+'FWD Volumetric'!AV67+'IB'!AV67+'IB Volumetric'!AV67+'OB'!AV67+'OB Volumetric'!AV67+'OSC Bag Sorting'!AV67+'OSC Bag Sorting Volumetric'!AV67+'REV FSM'!AV67+'Rejection Primary with Scan'!AV67+'Rejection Secondary'!AV67+'Rev DC DC Primary Sorting'!AV67+'Rev Primary (FSM Rejections)'!AV67+'Rev Secondary Sorting'!AV67+'VIA Bag Sorting'!AV67</f>
        <v/>
      </c>
      <c r="AW67" s="7">
        <f>'BBB'!AW67+'Bag Staging'!AW67+'Bag Staging Volumetric'!AW67+'FWD FSM'!AW67+'FWD Manual Pre Primary'!AW67+'FWD Manual Primary'!AW67+'FWD Primary with Scan'!AW67+'FWD Secondary'!AW67+'FWD Volumetric'!AW67+'IB'!AW67+'IB Volumetric'!AW67+'OB'!AW67+'OB Volumetric'!AW67+'OSC Bag Sorting'!AW67+'OSC Bag Sorting Volumetric'!AW67+'REV FSM'!AW67+'Rejection Primary with Scan'!AW67+'Rejection Secondary'!AW67+'Rev DC DC Primary Sorting'!AW67+'Rev Primary (FSM Rejections)'!AW67+'Rev Secondary Sorting'!AW67+'VIA Bag Sorting'!AW67</f>
        <v/>
      </c>
      <c r="AX67" s="7">
        <f>'BBB'!AX67+'Bag Staging'!AX67+'Bag Staging Volumetric'!AX67+'FWD FSM'!AX67+'FWD Manual Pre Primary'!AX67+'FWD Manual Primary'!AX67+'FWD Primary with Scan'!AX67+'FWD Secondary'!AX67+'FWD Volumetric'!AX67+'IB'!AX67+'IB Volumetric'!AX67+'OB'!AX67+'OB Volumetric'!AX67+'OSC Bag Sorting'!AX67+'OSC Bag Sorting Volumetric'!AX67+'REV FSM'!AX67+'Rejection Primary with Scan'!AX67+'Rejection Secondary'!AX67+'Rev DC DC Primary Sorting'!AX67+'Rev Primary (FSM Rejections)'!AX67+'Rev Secondary Sorting'!AX67+'VIA Bag Sorting'!AX67</f>
        <v/>
      </c>
      <c r="AY67" s="7">
        <f>'BBB'!AY67+'Bag Staging'!AY67+'Bag Staging Volumetric'!AY67+'FWD FSM'!AY67+'FWD Manual Pre Primary'!AY67+'FWD Manual Primary'!AY67+'FWD Primary with Scan'!AY67+'FWD Secondary'!AY67+'FWD Volumetric'!AY67+'IB'!AY67+'IB Volumetric'!AY67+'OB'!AY67+'OB Volumetric'!AY67+'OSC Bag Sorting'!AY67+'OSC Bag Sorting Volumetric'!AY67+'REV FSM'!AY67+'Rejection Primary with Scan'!AY67+'Rejection Secondary'!AY67+'Rev DC DC Primary Sorting'!AY67+'Rev Primary (FSM Rejections)'!AY67+'Rev Secondary Sorting'!AY67+'VIA Bag Sorting'!AY67</f>
        <v/>
      </c>
      <c r="AZ67" s="7">
        <f>'BBB'!AZ67+'Bag Staging'!AZ67+'Bag Staging Volumetric'!AZ67+'FWD FSM'!AZ67+'FWD Manual Pre Primary'!AZ67+'FWD Manual Primary'!AZ67+'FWD Primary with Scan'!AZ67+'FWD Secondary'!AZ67+'FWD Volumetric'!AZ67+'IB'!AZ67+'IB Volumetric'!AZ67+'OB'!AZ67+'OB Volumetric'!AZ67+'OSC Bag Sorting'!AZ67+'OSC Bag Sorting Volumetric'!AZ67+'REV FSM'!AZ67+'Rejection Primary with Scan'!AZ67+'Rejection Secondary'!AZ67+'Rev DC DC Primary Sorting'!AZ67+'Rev Primary (FSM Rejections)'!AZ67+'Rev Secondary Sorting'!AZ67+'VIA Bag Sorting'!AZ67</f>
        <v/>
      </c>
      <c r="BA67" s="7">
        <f>'BBB'!BA67+'Bag Staging'!BA67+'Bag Staging Volumetric'!BA67+'FWD FSM'!BA67+'FWD Manual Pre Primary'!BA67+'FWD Manual Primary'!BA67+'FWD Primary with Scan'!BA67+'FWD Secondary'!BA67+'FWD Volumetric'!BA67+'IB'!BA67+'IB Volumetric'!BA67+'OB'!BA67+'OB Volumetric'!BA67+'OSC Bag Sorting'!BA67+'OSC Bag Sorting Volumetric'!BA67+'REV FSM'!BA67+'Rejection Primary with Scan'!BA67+'Rejection Secondary'!BA67+'Rev DC DC Primary Sorting'!BA67+'Rev Primary (FSM Rejections)'!BA67+'Rev Secondary Sorting'!BA67+'VIA Bag Sorting'!BA67</f>
        <v/>
      </c>
      <c r="BB67" s="7">
        <f>SUM(AD67:BA67)</f>
        <v/>
      </c>
    </row>
    <row r="68">
      <c r="A68" t="inlineStr">
        <is>
          <t>AMD-M1</t>
        </is>
      </c>
      <c r="B68" t="inlineStr">
        <is>
          <t>Forward Regular OSC</t>
        </is>
      </c>
      <c r="C68" s="5" t="n">
        <v>46090</v>
      </c>
      <c r="D68" s="6" t="n">
        <v>1468</v>
      </c>
      <c r="E68" s="6" t="n">
        <v>646</v>
      </c>
      <c r="F68" s="6" t="n">
        <v>1375</v>
      </c>
      <c r="G68" s="6" t="n">
        <v>1799</v>
      </c>
      <c r="H68" s="6" t="n">
        <v>263</v>
      </c>
      <c r="I68" s="6" t="n">
        <v>15</v>
      </c>
      <c r="J68" s="6" t="n">
        <v>6</v>
      </c>
      <c r="K68" s="6" t="n">
        <v>0</v>
      </c>
      <c r="L68" s="6" t="n">
        <v>225</v>
      </c>
      <c r="M68" s="6" t="n">
        <v>1119</v>
      </c>
      <c r="N68" s="6" t="n">
        <v>879</v>
      </c>
      <c r="O68" s="6" t="n">
        <v>1637</v>
      </c>
      <c r="P68" s="6" t="n">
        <v>595</v>
      </c>
      <c r="Q68" s="6" t="n">
        <v>2026</v>
      </c>
      <c r="R68" s="6" t="n">
        <v>2310</v>
      </c>
      <c r="S68" s="6" t="n">
        <v>2503</v>
      </c>
      <c r="T68" s="6" t="n">
        <v>2125</v>
      </c>
      <c r="U68" s="6" t="n">
        <v>109</v>
      </c>
      <c r="V68" s="6" t="n">
        <v>877</v>
      </c>
      <c r="W68" s="6" t="n">
        <v>896</v>
      </c>
      <c r="X68" s="6" t="n">
        <v>1378</v>
      </c>
      <c r="Y68" s="6" t="n">
        <v>196</v>
      </c>
      <c r="Z68" s="6" t="n">
        <v>93</v>
      </c>
      <c r="AA68" s="6" t="n">
        <v>1812</v>
      </c>
      <c r="AB68" s="6">
        <f>SUM(D68:AA68)</f>
        <v/>
      </c>
      <c r="AC68" s="3" t="inlineStr"/>
      <c r="AD68" s="7">
        <f>'BBB'!AD68+'Bag Staging'!AD68+'Bag Staging Volumetric'!AD68+'FWD FSM'!AD68+'FWD Manual Pre Primary'!AD68+'FWD Manual Primary'!AD68+'FWD Primary with Scan'!AD68+'FWD Secondary'!AD68+'FWD Volumetric'!AD68+'IB'!AD68+'IB Volumetric'!AD68+'OB'!AD68+'OB Volumetric'!AD68+'OSC Bag Sorting'!AD68+'OSC Bag Sorting Volumetric'!AD68+'REV FSM'!AD68+'Rejection Primary with Scan'!AD68+'Rejection Secondary'!AD68+'Rev DC DC Primary Sorting'!AD68+'Rev Primary (FSM Rejections)'!AD68+'Rev Secondary Sorting'!AD68+'VIA Bag Sorting'!AD68</f>
        <v/>
      </c>
      <c r="AE68" s="7">
        <f>'BBB'!AE68+'Bag Staging'!AE68+'Bag Staging Volumetric'!AE68+'FWD FSM'!AE68+'FWD Manual Pre Primary'!AE68+'FWD Manual Primary'!AE68+'FWD Primary with Scan'!AE68+'FWD Secondary'!AE68+'FWD Volumetric'!AE68+'IB'!AE68+'IB Volumetric'!AE68+'OB'!AE68+'OB Volumetric'!AE68+'OSC Bag Sorting'!AE68+'OSC Bag Sorting Volumetric'!AE68+'REV FSM'!AE68+'Rejection Primary with Scan'!AE68+'Rejection Secondary'!AE68+'Rev DC DC Primary Sorting'!AE68+'Rev Primary (FSM Rejections)'!AE68+'Rev Secondary Sorting'!AE68+'VIA Bag Sorting'!AE68</f>
        <v/>
      </c>
      <c r="AF68" s="7">
        <f>'BBB'!AF68+'Bag Staging'!AF68+'Bag Staging Volumetric'!AF68+'FWD FSM'!AF68+'FWD Manual Pre Primary'!AF68+'FWD Manual Primary'!AF68+'FWD Primary with Scan'!AF68+'FWD Secondary'!AF68+'FWD Volumetric'!AF68+'IB'!AF68+'IB Volumetric'!AF68+'OB'!AF68+'OB Volumetric'!AF68+'OSC Bag Sorting'!AF68+'OSC Bag Sorting Volumetric'!AF68+'REV FSM'!AF68+'Rejection Primary with Scan'!AF68+'Rejection Secondary'!AF68+'Rev DC DC Primary Sorting'!AF68+'Rev Primary (FSM Rejections)'!AF68+'Rev Secondary Sorting'!AF68+'VIA Bag Sorting'!AF68</f>
        <v/>
      </c>
      <c r="AG68" s="7">
        <f>'BBB'!AG68+'Bag Staging'!AG68+'Bag Staging Volumetric'!AG68+'FWD FSM'!AG68+'FWD Manual Pre Primary'!AG68+'FWD Manual Primary'!AG68+'FWD Primary with Scan'!AG68+'FWD Secondary'!AG68+'FWD Volumetric'!AG68+'IB'!AG68+'IB Volumetric'!AG68+'OB'!AG68+'OB Volumetric'!AG68+'OSC Bag Sorting'!AG68+'OSC Bag Sorting Volumetric'!AG68+'REV FSM'!AG68+'Rejection Primary with Scan'!AG68+'Rejection Secondary'!AG68+'Rev DC DC Primary Sorting'!AG68+'Rev Primary (FSM Rejections)'!AG68+'Rev Secondary Sorting'!AG68+'VIA Bag Sorting'!AG68</f>
        <v/>
      </c>
      <c r="AH68" s="7">
        <f>'BBB'!AH68+'Bag Staging'!AH68+'Bag Staging Volumetric'!AH68+'FWD FSM'!AH68+'FWD Manual Pre Primary'!AH68+'FWD Manual Primary'!AH68+'FWD Primary with Scan'!AH68+'FWD Secondary'!AH68+'FWD Volumetric'!AH68+'IB'!AH68+'IB Volumetric'!AH68+'OB'!AH68+'OB Volumetric'!AH68+'OSC Bag Sorting'!AH68+'OSC Bag Sorting Volumetric'!AH68+'REV FSM'!AH68+'Rejection Primary with Scan'!AH68+'Rejection Secondary'!AH68+'Rev DC DC Primary Sorting'!AH68+'Rev Primary (FSM Rejections)'!AH68+'Rev Secondary Sorting'!AH68+'VIA Bag Sorting'!AH68</f>
        <v/>
      </c>
      <c r="AI68" s="7">
        <f>'BBB'!AI68+'Bag Staging'!AI68+'Bag Staging Volumetric'!AI68+'FWD FSM'!AI68+'FWD Manual Pre Primary'!AI68+'FWD Manual Primary'!AI68+'FWD Primary with Scan'!AI68+'FWD Secondary'!AI68+'FWD Volumetric'!AI68+'IB'!AI68+'IB Volumetric'!AI68+'OB'!AI68+'OB Volumetric'!AI68+'OSC Bag Sorting'!AI68+'OSC Bag Sorting Volumetric'!AI68+'REV FSM'!AI68+'Rejection Primary with Scan'!AI68+'Rejection Secondary'!AI68+'Rev DC DC Primary Sorting'!AI68+'Rev Primary (FSM Rejections)'!AI68+'Rev Secondary Sorting'!AI68+'VIA Bag Sorting'!AI68</f>
        <v/>
      </c>
      <c r="AJ68" s="7">
        <f>'BBB'!AJ68+'Bag Staging'!AJ68+'Bag Staging Volumetric'!AJ68+'FWD FSM'!AJ68+'FWD Manual Pre Primary'!AJ68+'FWD Manual Primary'!AJ68+'FWD Primary with Scan'!AJ68+'FWD Secondary'!AJ68+'FWD Volumetric'!AJ68+'IB'!AJ68+'IB Volumetric'!AJ68+'OB'!AJ68+'OB Volumetric'!AJ68+'OSC Bag Sorting'!AJ68+'OSC Bag Sorting Volumetric'!AJ68+'REV FSM'!AJ68+'Rejection Primary with Scan'!AJ68+'Rejection Secondary'!AJ68+'Rev DC DC Primary Sorting'!AJ68+'Rev Primary (FSM Rejections)'!AJ68+'Rev Secondary Sorting'!AJ68+'VIA Bag Sorting'!AJ68</f>
        <v/>
      </c>
      <c r="AK68" s="7">
        <f>'BBB'!AK68+'Bag Staging'!AK68+'Bag Staging Volumetric'!AK68+'FWD FSM'!AK68+'FWD Manual Pre Primary'!AK68+'FWD Manual Primary'!AK68+'FWD Primary with Scan'!AK68+'FWD Secondary'!AK68+'FWD Volumetric'!AK68+'IB'!AK68+'IB Volumetric'!AK68+'OB'!AK68+'OB Volumetric'!AK68+'OSC Bag Sorting'!AK68+'OSC Bag Sorting Volumetric'!AK68+'REV FSM'!AK68+'Rejection Primary with Scan'!AK68+'Rejection Secondary'!AK68+'Rev DC DC Primary Sorting'!AK68+'Rev Primary (FSM Rejections)'!AK68+'Rev Secondary Sorting'!AK68+'VIA Bag Sorting'!AK68</f>
        <v/>
      </c>
      <c r="AL68" s="7">
        <f>'BBB'!AL68+'Bag Staging'!AL68+'Bag Staging Volumetric'!AL68+'FWD FSM'!AL68+'FWD Manual Pre Primary'!AL68+'FWD Manual Primary'!AL68+'FWD Primary with Scan'!AL68+'FWD Secondary'!AL68+'FWD Volumetric'!AL68+'IB'!AL68+'IB Volumetric'!AL68+'OB'!AL68+'OB Volumetric'!AL68+'OSC Bag Sorting'!AL68+'OSC Bag Sorting Volumetric'!AL68+'REV FSM'!AL68+'Rejection Primary with Scan'!AL68+'Rejection Secondary'!AL68+'Rev DC DC Primary Sorting'!AL68+'Rev Primary (FSM Rejections)'!AL68+'Rev Secondary Sorting'!AL68+'VIA Bag Sorting'!AL68</f>
        <v/>
      </c>
      <c r="AM68" s="7">
        <f>'BBB'!AM68+'Bag Staging'!AM68+'Bag Staging Volumetric'!AM68+'FWD FSM'!AM68+'FWD Manual Pre Primary'!AM68+'FWD Manual Primary'!AM68+'FWD Primary with Scan'!AM68+'FWD Secondary'!AM68+'FWD Volumetric'!AM68+'IB'!AM68+'IB Volumetric'!AM68+'OB'!AM68+'OB Volumetric'!AM68+'OSC Bag Sorting'!AM68+'OSC Bag Sorting Volumetric'!AM68+'REV FSM'!AM68+'Rejection Primary with Scan'!AM68+'Rejection Secondary'!AM68+'Rev DC DC Primary Sorting'!AM68+'Rev Primary (FSM Rejections)'!AM68+'Rev Secondary Sorting'!AM68+'VIA Bag Sorting'!AM68</f>
        <v/>
      </c>
      <c r="AN68" s="7">
        <f>'BBB'!AN68+'Bag Staging'!AN68+'Bag Staging Volumetric'!AN68+'FWD FSM'!AN68+'FWD Manual Pre Primary'!AN68+'FWD Manual Primary'!AN68+'FWD Primary with Scan'!AN68+'FWD Secondary'!AN68+'FWD Volumetric'!AN68+'IB'!AN68+'IB Volumetric'!AN68+'OB'!AN68+'OB Volumetric'!AN68+'OSC Bag Sorting'!AN68+'OSC Bag Sorting Volumetric'!AN68+'REV FSM'!AN68+'Rejection Primary with Scan'!AN68+'Rejection Secondary'!AN68+'Rev DC DC Primary Sorting'!AN68+'Rev Primary (FSM Rejections)'!AN68+'Rev Secondary Sorting'!AN68+'VIA Bag Sorting'!AN68</f>
        <v/>
      </c>
      <c r="AO68" s="7">
        <f>'BBB'!AO68+'Bag Staging'!AO68+'Bag Staging Volumetric'!AO68+'FWD FSM'!AO68+'FWD Manual Pre Primary'!AO68+'FWD Manual Primary'!AO68+'FWD Primary with Scan'!AO68+'FWD Secondary'!AO68+'FWD Volumetric'!AO68+'IB'!AO68+'IB Volumetric'!AO68+'OB'!AO68+'OB Volumetric'!AO68+'OSC Bag Sorting'!AO68+'OSC Bag Sorting Volumetric'!AO68+'REV FSM'!AO68+'Rejection Primary with Scan'!AO68+'Rejection Secondary'!AO68+'Rev DC DC Primary Sorting'!AO68+'Rev Primary (FSM Rejections)'!AO68+'Rev Secondary Sorting'!AO68+'VIA Bag Sorting'!AO68</f>
        <v/>
      </c>
      <c r="AP68" s="7">
        <f>'BBB'!AP68+'Bag Staging'!AP68+'Bag Staging Volumetric'!AP68+'FWD FSM'!AP68+'FWD Manual Pre Primary'!AP68+'FWD Manual Primary'!AP68+'FWD Primary with Scan'!AP68+'FWD Secondary'!AP68+'FWD Volumetric'!AP68+'IB'!AP68+'IB Volumetric'!AP68+'OB'!AP68+'OB Volumetric'!AP68+'OSC Bag Sorting'!AP68+'OSC Bag Sorting Volumetric'!AP68+'REV FSM'!AP68+'Rejection Primary with Scan'!AP68+'Rejection Secondary'!AP68+'Rev DC DC Primary Sorting'!AP68+'Rev Primary (FSM Rejections)'!AP68+'Rev Secondary Sorting'!AP68+'VIA Bag Sorting'!AP68</f>
        <v/>
      </c>
      <c r="AQ68" s="7">
        <f>'BBB'!AQ68+'Bag Staging'!AQ68+'Bag Staging Volumetric'!AQ68+'FWD FSM'!AQ68+'FWD Manual Pre Primary'!AQ68+'FWD Manual Primary'!AQ68+'FWD Primary with Scan'!AQ68+'FWD Secondary'!AQ68+'FWD Volumetric'!AQ68+'IB'!AQ68+'IB Volumetric'!AQ68+'OB'!AQ68+'OB Volumetric'!AQ68+'OSC Bag Sorting'!AQ68+'OSC Bag Sorting Volumetric'!AQ68+'REV FSM'!AQ68+'Rejection Primary with Scan'!AQ68+'Rejection Secondary'!AQ68+'Rev DC DC Primary Sorting'!AQ68+'Rev Primary (FSM Rejections)'!AQ68+'Rev Secondary Sorting'!AQ68+'VIA Bag Sorting'!AQ68</f>
        <v/>
      </c>
      <c r="AR68" s="7">
        <f>'BBB'!AR68+'Bag Staging'!AR68+'Bag Staging Volumetric'!AR68+'FWD FSM'!AR68+'FWD Manual Pre Primary'!AR68+'FWD Manual Primary'!AR68+'FWD Primary with Scan'!AR68+'FWD Secondary'!AR68+'FWD Volumetric'!AR68+'IB'!AR68+'IB Volumetric'!AR68+'OB'!AR68+'OB Volumetric'!AR68+'OSC Bag Sorting'!AR68+'OSC Bag Sorting Volumetric'!AR68+'REV FSM'!AR68+'Rejection Primary with Scan'!AR68+'Rejection Secondary'!AR68+'Rev DC DC Primary Sorting'!AR68+'Rev Primary (FSM Rejections)'!AR68+'Rev Secondary Sorting'!AR68+'VIA Bag Sorting'!AR68</f>
        <v/>
      </c>
      <c r="AS68" s="7">
        <f>'BBB'!AS68+'Bag Staging'!AS68+'Bag Staging Volumetric'!AS68+'FWD FSM'!AS68+'FWD Manual Pre Primary'!AS68+'FWD Manual Primary'!AS68+'FWD Primary with Scan'!AS68+'FWD Secondary'!AS68+'FWD Volumetric'!AS68+'IB'!AS68+'IB Volumetric'!AS68+'OB'!AS68+'OB Volumetric'!AS68+'OSC Bag Sorting'!AS68+'OSC Bag Sorting Volumetric'!AS68+'REV FSM'!AS68+'Rejection Primary with Scan'!AS68+'Rejection Secondary'!AS68+'Rev DC DC Primary Sorting'!AS68+'Rev Primary (FSM Rejections)'!AS68+'Rev Secondary Sorting'!AS68+'VIA Bag Sorting'!AS68</f>
        <v/>
      </c>
      <c r="AT68" s="7">
        <f>'BBB'!AT68+'Bag Staging'!AT68+'Bag Staging Volumetric'!AT68+'FWD FSM'!AT68+'FWD Manual Pre Primary'!AT68+'FWD Manual Primary'!AT68+'FWD Primary with Scan'!AT68+'FWD Secondary'!AT68+'FWD Volumetric'!AT68+'IB'!AT68+'IB Volumetric'!AT68+'OB'!AT68+'OB Volumetric'!AT68+'OSC Bag Sorting'!AT68+'OSC Bag Sorting Volumetric'!AT68+'REV FSM'!AT68+'Rejection Primary with Scan'!AT68+'Rejection Secondary'!AT68+'Rev DC DC Primary Sorting'!AT68+'Rev Primary (FSM Rejections)'!AT68+'Rev Secondary Sorting'!AT68+'VIA Bag Sorting'!AT68</f>
        <v/>
      </c>
      <c r="AU68" s="7">
        <f>'BBB'!AU68+'Bag Staging'!AU68+'Bag Staging Volumetric'!AU68+'FWD FSM'!AU68+'FWD Manual Pre Primary'!AU68+'FWD Manual Primary'!AU68+'FWD Primary with Scan'!AU68+'FWD Secondary'!AU68+'FWD Volumetric'!AU68+'IB'!AU68+'IB Volumetric'!AU68+'OB'!AU68+'OB Volumetric'!AU68+'OSC Bag Sorting'!AU68+'OSC Bag Sorting Volumetric'!AU68+'REV FSM'!AU68+'Rejection Primary with Scan'!AU68+'Rejection Secondary'!AU68+'Rev DC DC Primary Sorting'!AU68+'Rev Primary (FSM Rejections)'!AU68+'Rev Secondary Sorting'!AU68+'VIA Bag Sorting'!AU68</f>
        <v/>
      </c>
      <c r="AV68" s="7">
        <f>'BBB'!AV68+'Bag Staging'!AV68+'Bag Staging Volumetric'!AV68+'FWD FSM'!AV68+'FWD Manual Pre Primary'!AV68+'FWD Manual Primary'!AV68+'FWD Primary with Scan'!AV68+'FWD Secondary'!AV68+'FWD Volumetric'!AV68+'IB'!AV68+'IB Volumetric'!AV68+'OB'!AV68+'OB Volumetric'!AV68+'OSC Bag Sorting'!AV68+'OSC Bag Sorting Volumetric'!AV68+'REV FSM'!AV68+'Rejection Primary with Scan'!AV68+'Rejection Secondary'!AV68+'Rev DC DC Primary Sorting'!AV68+'Rev Primary (FSM Rejections)'!AV68+'Rev Secondary Sorting'!AV68+'VIA Bag Sorting'!AV68</f>
        <v/>
      </c>
      <c r="AW68" s="7">
        <f>'BBB'!AW68+'Bag Staging'!AW68+'Bag Staging Volumetric'!AW68+'FWD FSM'!AW68+'FWD Manual Pre Primary'!AW68+'FWD Manual Primary'!AW68+'FWD Primary with Scan'!AW68+'FWD Secondary'!AW68+'FWD Volumetric'!AW68+'IB'!AW68+'IB Volumetric'!AW68+'OB'!AW68+'OB Volumetric'!AW68+'OSC Bag Sorting'!AW68+'OSC Bag Sorting Volumetric'!AW68+'REV FSM'!AW68+'Rejection Primary with Scan'!AW68+'Rejection Secondary'!AW68+'Rev DC DC Primary Sorting'!AW68+'Rev Primary (FSM Rejections)'!AW68+'Rev Secondary Sorting'!AW68+'VIA Bag Sorting'!AW68</f>
        <v/>
      </c>
      <c r="AX68" s="7">
        <f>'BBB'!AX68+'Bag Staging'!AX68+'Bag Staging Volumetric'!AX68+'FWD FSM'!AX68+'FWD Manual Pre Primary'!AX68+'FWD Manual Primary'!AX68+'FWD Primary with Scan'!AX68+'FWD Secondary'!AX68+'FWD Volumetric'!AX68+'IB'!AX68+'IB Volumetric'!AX68+'OB'!AX68+'OB Volumetric'!AX68+'OSC Bag Sorting'!AX68+'OSC Bag Sorting Volumetric'!AX68+'REV FSM'!AX68+'Rejection Primary with Scan'!AX68+'Rejection Secondary'!AX68+'Rev DC DC Primary Sorting'!AX68+'Rev Primary (FSM Rejections)'!AX68+'Rev Secondary Sorting'!AX68+'VIA Bag Sorting'!AX68</f>
        <v/>
      </c>
      <c r="AY68" s="7">
        <f>'BBB'!AY68+'Bag Staging'!AY68+'Bag Staging Volumetric'!AY68+'FWD FSM'!AY68+'FWD Manual Pre Primary'!AY68+'FWD Manual Primary'!AY68+'FWD Primary with Scan'!AY68+'FWD Secondary'!AY68+'FWD Volumetric'!AY68+'IB'!AY68+'IB Volumetric'!AY68+'OB'!AY68+'OB Volumetric'!AY68+'OSC Bag Sorting'!AY68+'OSC Bag Sorting Volumetric'!AY68+'REV FSM'!AY68+'Rejection Primary with Scan'!AY68+'Rejection Secondary'!AY68+'Rev DC DC Primary Sorting'!AY68+'Rev Primary (FSM Rejections)'!AY68+'Rev Secondary Sorting'!AY68+'VIA Bag Sorting'!AY68</f>
        <v/>
      </c>
      <c r="AZ68" s="7">
        <f>'BBB'!AZ68+'Bag Staging'!AZ68+'Bag Staging Volumetric'!AZ68+'FWD FSM'!AZ68+'FWD Manual Pre Primary'!AZ68+'FWD Manual Primary'!AZ68+'FWD Primary with Scan'!AZ68+'FWD Secondary'!AZ68+'FWD Volumetric'!AZ68+'IB'!AZ68+'IB Volumetric'!AZ68+'OB'!AZ68+'OB Volumetric'!AZ68+'OSC Bag Sorting'!AZ68+'OSC Bag Sorting Volumetric'!AZ68+'REV FSM'!AZ68+'Rejection Primary with Scan'!AZ68+'Rejection Secondary'!AZ68+'Rev DC DC Primary Sorting'!AZ68+'Rev Primary (FSM Rejections)'!AZ68+'Rev Secondary Sorting'!AZ68+'VIA Bag Sorting'!AZ68</f>
        <v/>
      </c>
      <c r="BA68" s="7">
        <f>'BBB'!BA68+'Bag Staging'!BA68+'Bag Staging Volumetric'!BA68+'FWD FSM'!BA68+'FWD Manual Pre Primary'!BA68+'FWD Manual Primary'!BA68+'FWD Primary with Scan'!BA68+'FWD Secondary'!BA68+'FWD Volumetric'!BA68+'IB'!BA68+'IB Volumetric'!BA68+'OB'!BA68+'OB Volumetric'!BA68+'OSC Bag Sorting'!BA68+'OSC Bag Sorting Volumetric'!BA68+'REV FSM'!BA68+'Rejection Primary with Scan'!BA68+'Rejection Secondary'!BA68+'Rev DC DC Primary Sorting'!BA68+'Rev Primary (FSM Rejections)'!BA68+'Rev Secondary Sorting'!BA68+'VIA Bag Sorting'!BA68</f>
        <v/>
      </c>
      <c r="BB68" s="7">
        <f>SUM(AD68:BA68)</f>
        <v/>
      </c>
    </row>
    <row r="69">
      <c r="A69" t="inlineStr">
        <is>
          <t>AMD-M1</t>
        </is>
      </c>
      <c r="B69" t="inlineStr">
        <is>
          <t>Forward Regular OSC</t>
        </is>
      </c>
      <c r="C69" s="5" t="n">
        <v>46091</v>
      </c>
      <c r="D69" s="6" t="n">
        <v>1601</v>
      </c>
      <c r="E69" s="6" t="n">
        <v>605</v>
      </c>
      <c r="F69" s="6" t="n">
        <v>1801</v>
      </c>
      <c r="G69" s="6" t="n">
        <v>2854</v>
      </c>
      <c r="H69" s="6" t="n">
        <v>1477</v>
      </c>
      <c r="I69" s="6" t="n">
        <v>2730</v>
      </c>
      <c r="J69" s="6" t="n">
        <v>368</v>
      </c>
      <c r="K69" s="6" t="n">
        <v>191</v>
      </c>
      <c r="L69" s="6" t="n">
        <v>1524</v>
      </c>
      <c r="M69" s="6" t="n">
        <v>1296</v>
      </c>
      <c r="N69" s="6" t="n">
        <v>2028</v>
      </c>
      <c r="O69" s="6" t="n">
        <v>1827</v>
      </c>
      <c r="P69" s="6" t="n">
        <v>1329</v>
      </c>
      <c r="Q69" s="6" t="n">
        <v>2909</v>
      </c>
      <c r="R69" s="6" t="n">
        <v>3870</v>
      </c>
      <c r="S69" s="6" t="n">
        <v>3470</v>
      </c>
      <c r="T69" s="6" t="n">
        <v>1090</v>
      </c>
      <c r="U69" s="6" t="n">
        <v>2</v>
      </c>
      <c r="V69" s="6" t="n">
        <v>0</v>
      </c>
      <c r="W69" s="6" t="n">
        <v>0</v>
      </c>
      <c r="X69" s="6" t="n">
        <v>0</v>
      </c>
      <c r="Y69" s="6" t="n">
        <v>57</v>
      </c>
      <c r="Z69" s="6" t="n">
        <v>13</v>
      </c>
      <c r="AA69" s="6" t="n">
        <v>1891</v>
      </c>
      <c r="AB69" s="6">
        <f>SUM(D69:AA69)</f>
        <v/>
      </c>
      <c r="AC69" s="3" t="inlineStr"/>
      <c r="AD69" s="7">
        <f>'BBB'!AD69+'Bag Staging'!AD69+'Bag Staging Volumetric'!AD69+'FWD FSM'!AD69+'FWD Manual Pre Primary'!AD69+'FWD Manual Primary'!AD69+'FWD Primary with Scan'!AD69+'FWD Secondary'!AD69+'FWD Volumetric'!AD69+'IB'!AD69+'IB Volumetric'!AD69+'OB'!AD69+'OB Volumetric'!AD69+'OSC Bag Sorting'!AD69+'OSC Bag Sorting Volumetric'!AD69+'REV FSM'!AD69+'Rejection Primary with Scan'!AD69+'Rejection Secondary'!AD69+'Rev DC DC Primary Sorting'!AD69+'Rev Primary (FSM Rejections)'!AD69+'Rev Secondary Sorting'!AD69+'VIA Bag Sorting'!AD69</f>
        <v/>
      </c>
      <c r="AE69" s="7">
        <f>'BBB'!AE69+'Bag Staging'!AE69+'Bag Staging Volumetric'!AE69+'FWD FSM'!AE69+'FWD Manual Pre Primary'!AE69+'FWD Manual Primary'!AE69+'FWD Primary with Scan'!AE69+'FWD Secondary'!AE69+'FWD Volumetric'!AE69+'IB'!AE69+'IB Volumetric'!AE69+'OB'!AE69+'OB Volumetric'!AE69+'OSC Bag Sorting'!AE69+'OSC Bag Sorting Volumetric'!AE69+'REV FSM'!AE69+'Rejection Primary with Scan'!AE69+'Rejection Secondary'!AE69+'Rev DC DC Primary Sorting'!AE69+'Rev Primary (FSM Rejections)'!AE69+'Rev Secondary Sorting'!AE69+'VIA Bag Sorting'!AE69</f>
        <v/>
      </c>
      <c r="AF69" s="7">
        <f>'BBB'!AF69+'Bag Staging'!AF69+'Bag Staging Volumetric'!AF69+'FWD FSM'!AF69+'FWD Manual Pre Primary'!AF69+'FWD Manual Primary'!AF69+'FWD Primary with Scan'!AF69+'FWD Secondary'!AF69+'FWD Volumetric'!AF69+'IB'!AF69+'IB Volumetric'!AF69+'OB'!AF69+'OB Volumetric'!AF69+'OSC Bag Sorting'!AF69+'OSC Bag Sorting Volumetric'!AF69+'REV FSM'!AF69+'Rejection Primary with Scan'!AF69+'Rejection Secondary'!AF69+'Rev DC DC Primary Sorting'!AF69+'Rev Primary (FSM Rejections)'!AF69+'Rev Secondary Sorting'!AF69+'VIA Bag Sorting'!AF69</f>
        <v/>
      </c>
      <c r="AG69" s="7">
        <f>'BBB'!AG69+'Bag Staging'!AG69+'Bag Staging Volumetric'!AG69+'FWD FSM'!AG69+'FWD Manual Pre Primary'!AG69+'FWD Manual Primary'!AG69+'FWD Primary with Scan'!AG69+'FWD Secondary'!AG69+'FWD Volumetric'!AG69+'IB'!AG69+'IB Volumetric'!AG69+'OB'!AG69+'OB Volumetric'!AG69+'OSC Bag Sorting'!AG69+'OSC Bag Sorting Volumetric'!AG69+'REV FSM'!AG69+'Rejection Primary with Scan'!AG69+'Rejection Secondary'!AG69+'Rev DC DC Primary Sorting'!AG69+'Rev Primary (FSM Rejections)'!AG69+'Rev Secondary Sorting'!AG69+'VIA Bag Sorting'!AG69</f>
        <v/>
      </c>
      <c r="AH69" s="7">
        <f>'BBB'!AH69+'Bag Staging'!AH69+'Bag Staging Volumetric'!AH69+'FWD FSM'!AH69+'FWD Manual Pre Primary'!AH69+'FWD Manual Primary'!AH69+'FWD Primary with Scan'!AH69+'FWD Secondary'!AH69+'FWD Volumetric'!AH69+'IB'!AH69+'IB Volumetric'!AH69+'OB'!AH69+'OB Volumetric'!AH69+'OSC Bag Sorting'!AH69+'OSC Bag Sorting Volumetric'!AH69+'REV FSM'!AH69+'Rejection Primary with Scan'!AH69+'Rejection Secondary'!AH69+'Rev DC DC Primary Sorting'!AH69+'Rev Primary (FSM Rejections)'!AH69+'Rev Secondary Sorting'!AH69+'VIA Bag Sorting'!AH69</f>
        <v/>
      </c>
      <c r="AI69" s="7">
        <f>'BBB'!AI69+'Bag Staging'!AI69+'Bag Staging Volumetric'!AI69+'FWD FSM'!AI69+'FWD Manual Pre Primary'!AI69+'FWD Manual Primary'!AI69+'FWD Primary with Scan'!AI69+'FWD Secondary'!AI69+'FWD Volumetric'!AI69+'IB'!AI69+'IB Volumetric'!AI69+'OB'!AI69+'OB Volumetric'!AI69+'OSC Bag Sorting'!AI69+'OSC Bag Sorting Volumetric'!AI69+'REV FSM'!AI69+'Rejection Primary with Scan'!AI69+'Rejection Secondary'!AI69+'Rev DC DC Primary Sorting'!AI69+'Rev Primary (FSM Rejections)'!AI69+'Rev Secondary Sorting'!AI69+'VIA Bag Sorting'!AI69</f>
        <v/>
      </c>
      <c r="AJ69" s="7">
        <f>'BBB'!AJ69+'Bag Staging'!AJ69+'Bag Staging Volumetric'!AJ69+'FWD FSM'!AJ69+'FWD Manual Pre Primary'!AJ69+'FWD Manual Primary'!AJ69+'FWD Primary with Scan'!AJ69+'FWD Secondary'!AJ69+'FWD Volumetric'!AJ69+'IB'!AJ69+'IB Volumetric'!AJ69+'OB'!AJ69+'OB Volumetric'!AJ69+'OSC Bag Sorting'!AJ69+'OSC Bag Sorting Volumetric'!AJ69+'REV FSM'!AJ69+'Rejection Primary with Scan'!AJ69+'Rejection Secondary'!AJ69+'Rev DC DC Primary Sorting'!AJ69+'Rev Primary (FSM Rejections)'!AJ69+'Rev Secondary Sorting'!AJ69+'VIA Bag Sorting'!AJ69</f>
        <v/>
      </c>
      <c r="AK69" s="7">
        <f>'BBB'!AK69+'Bag Staging'!AK69+'Bag Staging Volumetric'!AK69+'FWD FSM'!AK69+'FWD Manual Pre Primary'!AK69+'FWD Manual Primary'!AK69+'FWD Primary with Scan'!AK69+'FWD Secondary'!AK69+'FWD Volumetric'!AK69+'IB'!AK69+'IB Volumetric'!AK69+'OB'!AK69+'OB Volumetric'!AK69+'OSC Bag Sorting'!AK69+'OSC Bag Sorting Volumetric'!AK69+'REV FSM'!AK69+'Rejection Primary with Scan'!AK69+'Rejection Secondary'!AK69+'Rev DC DC Primary Sorting'!AK69+'Rev Primary (FSM Rejections)'!AK69+'Rev Secondary Sorting'!AK69+'VIA Bag Sorting'!AK69</f>
        <v/>
      </c>
      <c r="AL69" s="7">
        <f>'BBB'!AL69+'Bag Staging'!AL69+'Bag Staging Volumetric'!AL69+'FWD FSM'!AL69+'FWD Manual Pre Primary'!AL69+'FWD Manual Primary'!AL69+'FWD Primary with Scan'!AL69+'FWD Secondary'!AL69+'FWD Volumetric'!AL69+'IB'!AL69+'IB Volumetric'!AL69+'OB'!AL69+'OB Volumetric'!AL69+'OSC Bag Sorting'!AL69+'OSC Bag Sorting Volumetric'!AL69+'REV FSM'!AL69+'Rejection Primary with Scan'!AL69+'Rejection Secondary'!AL69+'Rev DC DC Primary Sorting'!AL69+'Rev Primary (FSM Rejections)'!AL69+'Rev Secondary Sorting'!AL69+'VIA Bag Sorting'!AL69</f>
        <v/>
      </c>
      <c r="AM69" s="7">
        <f>'BBB'!AM69+'Bag Staging'!AM69+'Bag Staging Volumetric'!AM69+'FWD FSM'!AM69+'FWD Manual Pre Primary'!AM69+'FWD Manual Primary'!AM69+'FWD Primary with Scan'!AM69+'FWD Secondary'!AM69+'FWD Volumetric'!AM69+'IB'!AM69+'IB Volumetric'!AM69+'OB'!AM69+'OB Volumetric'!AM69+'OSC Bag Sorting'!AM69+'OSC Bag Sorting Volumetric'!AM69+'REV FSM'!AM69+'Rejection Primary with Scan'!AM69+'Rejection Secondary'!AM69+'Rev DC DC Primary Sorting'!AM69+'Rev Primary (FSM Rejections)'!AM69+'Rev Secondary Sorting'!AM69+'VIA Bag Sorting'!AM69</f>
        <v/>
      </c>
      <c r="AN69" s="7">
        <f>'BBB'!AN69+'Bag Staging'!AN69+'Bag Staging Volumetric'!AN69+'FWD FSM'!AN69+'FWD Manual Pre Primary'!AN69+'FWD Manual Primary'!AN69+'FWD Primary with Scan'!AN69+'FWD Secondary'!AN69+'FWD Volumetric'!AN69+'IB'!AN69+'IB Volumetric'!AN69+'OB'!AN69+'OB Volumetric'!AN69+'OSC Bag Sorting'!AN69+'OSC Bag Sorting Volumetric'!AN69+'REV FSM'!AN69+'Rejection Primary with Scan'!AN69+'Rejection Secondary'!AN69+'Rev DC DC Primary Sorting'!AN69+'Rev Primary (FSM Rejections)'!AN69+'Rev Secondary Sorting'!AN69+'VIA Bag Sorting'!AN69</f>
        <v/>
      </c>
      <c r="AO69" s="7">
        <f>'BBB'!AO69+'Bag Staging'!AO69+'Bag Staging Volumetric'!AO69+'FWD FSM'!AO69+'FWD Manual Pre Primary'!AO69+'FWD Manual Primary'!AO69+'FWD Primary with Scan'!AO69+'FWD Secondary'!AO69+'FWD Volumetric'!AO69+'IB'!AO69+'IB Volumetric'!AO69+'OB'!AO69+'OB Volumetric'!AO69+'OSC Bag Sorting'!AO69+'OSC Bag Sorting Volumetric'!AO69+'REV FSM'!AO69+'Rejection Primary with Scan'!AO69+'Rejection Secondary'!AO69+'Rev DC DC Primary Sorting'!AO69+'Rev Primary (FSM Rejections)'!AO69+'Rev Secondary Sorting'!AO69+'VIA Bag Sorting'!AO69</f>
        <v/>
      </c>
      <c r="AP69" s="7">
        <f>'BBB'!AP69+'Bag Staging'!AP69+'Bag Staging Volumetric'!AP69+'FWD FSM'!AP69+'FWD Manual Pre Primary'!AP69+'FWD Manual Primary'!AP69+'FWD Primary with Scan'!AP69+'FWD Secondary'!AP69+'FWD Volumetric'!AP69+'IB'!AP69+'IB Volumetric'!AP69+'OB'!AP69+'OB Volumetric'!AP69+'OSC Bag Sorting'!AP69+'OSC Bag Sorting Volumetric'!AP69+'REV FSM'!AP69+'Rejection Primary with Scan'!AP69+'Rejection Secondary'!AP69+'Rev DC DC Primary Sorting'!AP69+'Rev Primary (FSM Rejections)'!AP69+'Rev Secondary Sorting'!AP69+'VIA Bag Sorting'!AP69</f>
        <v/>
      </c>
      <c r="AQ69" s="7">
        <f>'BBB'!AQ69+'Bag Staging'!AQ69+'Bag Staging Volumetric'!AQ69+'FWD FSM'!AQ69+'FWD Manual Pre Primary'!AQ69+'FWD Manual Primary'!AQ69+'FWD Primary with Scan'!AQ69+'FWD Secondary'!AQ69+'FWD Volumetric'!AQ69+'IB'!AQ69+'IB Volumetric'!AQ69+'OB'!AQ69+'OB Volumetric'!AQ69+'OSC Bag Sorting'!AQ69+'OSC Bag Sorting Volumetric'!AQ69+'REV FSM'!AQ69+'Rejection Primary with Scan'!AQ69+'Rejection Secondary'!AQ69+'Rev DC DC Primary Sorting'!AQ69+'Rev Primary (FSM Rejections)'!AQ69+'Rev Secondary Sorting'!AQ69+'VIA Bag Sorting'!AQ69</f>
        <v/>
      </c>
      <c r="AR69" s="7">
        <f>'BBB'!AR69+'Bag Staging'!AR69+'Bag Staging Volumetric'!AR69+'FWD FSM'!AR69+'FWD Manual Pre Primary'!AR69+'FWD Manual Primary'!AR69+'FWD Primary with Scan'!AR69+'FWD Secondary'!AR69+'FWD Volumetric'!AR69+'IB'!AR69+'IB Volumetric'!AR69+'OB'!AR69+'OB Volumetric'!AR69+'OSC Bag Sorting'!AR69+'OSC Bag Sorting Volumetric'!AR69+'REV FSM'!AR69+'Rejection Primary with Scan'!AR69+'Rejection Secondary'!AR69+'Rev DC DC Primary Sorting'!AR69+'Rev Primary (FSM Rejections)'!AR69+'Rev Secondary Sorting'!AR69+'VIA Bag Sorting'!AR69</f>
        <v/>
      </c>
      <c r="AS69" s="7">
        <f>'BBB'!AS69+'Bag Staging'!AS69+'Bag Staging Volumetric'!AS69+'FWD FSM'!AS69+'FWD Manual Pre Primary'!AS69+'FWD Manual Primary'!AS69+'FWD Primary with Scan'!AS69+'FWD Secondary'!AS69+'FWD Volumetric'!AS69+'IB'!AS69+'IB Volumetric'!AS69+'OB'!AS69+'OB Volumetric'!AS69+'OSC Bag Sorting'!AS69+'OSC Bag Sorting Volumetric'!AS69+'REV FSM'!AS69+'Rejection Primary with Scan'!AS69+'Rejection Secondary'!AS69+'Rev DC DC Primary Sorting'!AS69+'Rev Primary (FSM Rejections)'!AS69+'Rev Secondary Sorting'!AS69+'VIA Bag Sorting'!AS69</f>
        <v/>
      </c>
      <c r="AT69" s="7">
        <f>'BBB'!AT69+'Bag Staging'!AT69+'Bag Staging Volumetric'!AT69+'FWD FSM'!AT69+'FWD Manual Pre Primary'!AT69+'FWD Manual Primary'!AT69+'FWD Primary with Scan'!AT69+'FWD Secondary'!AT69+'FWD Volumetric'!AT69+'IB'!AT69+'IB Volumetric'!AT69+'OB'!AT69+'OB Volumetric'!AT69+'OSC Bag Sorting'!AT69+'OSC Bag Sorting Volumetric'!AT69+'REV FSM'!AT69+'Rejection Primary with Scan'!AT69+'Rejection Secondary'!AT69+'Rev DC DC Primary Sorting'!AT69+'Rev Primary (FSM Rejections)'!AT69+'Rev Secondary Sorting'!AT69+'VIA Bag Sorting'!AT69</f>
        <v/>
      </c>
      <c r="AU69" s="7">
        <f>'BBB'!AU69+'Bag Staging'!AU69+'Bag Staging Volumetric'!AU69+'FWD FSM'!AU69+'FWD Manual Pre Primary'!AU69+'FWD Manual Primary'!AU69+'FWD Primary with Scan'!AU69+'FWD Secondary'!AU69+'FWD Volumetric'!AU69+'IB'!AU69+'IB Volumetric'!AU69+'OB'!AU69+'OB Volumetric'!AU69+'OSC Bag Sorting'!AU69+'OSC Bag Sorting Volumetric'!AU69+'REV FSM'!AU69+'Rejection Primary with Scan'!AU69+'Rejection Secondary'!AU69+'Rev DC DC Primary Sorting'!AU69+'Rev Primary (FSM Rejections)'!AU69+'Rev Secondary Sorting'!AU69+'VIA Bag Sorting'!AU69</f>
        <v/>
      </c>
      <c r="AV69" s="7">
        <f>'BBB'!AV69+'Bag Staging'!AV69+'Bag Staging Volumetric'!AV69+'FWD FSM'!AV69+'FWD Manual Pre Primary'!AV69+'FWD Manual Primary'!AV69+'FWD Primary with Scan'!AV69+'FWD Secondary'!AV69+'FWD Volumetric'!AV69+'IB'!AV69+'IB Volumetric'!AV69+'OB'!AV69+'OB Volumetric'!AV69+'OSC Bag Sorting'!AV69+'OSC Bag Sorting Volumetric'!AV69+'REV FSM'!AV69+'Rejection Primary with Scan'!AV69+'Rejection Secondary'!AV69+'Rev DC DC Primary Sorting'!AV69+'Rev Primary (FSM Rejections)'!AV69+'Rev Secondary Sorting'!AV69+'VIA Bag Sorting'!AV69</f>
        <v/>
      </c>
      <c r="AW69" s="7">
        <f>'BBB'!AW69+'Bag Staging'!AW69+'Bag Staging Volumetric'!AW69+'FWD FSM'!AW69+'FWD Manual Pre Primary'!AW69+'FWD Manual Primary'!AW69+'FWD Primary with Scan'!AW69+'FWD Secondary'!AW69+'FWD Volumetric'!AW69+'IB'!AW69+'IB Volumetric'!AW69+'OB'!AW69+'OB Volumetric'!AW69+'OSC Bag Sorting'!AW69+'OSC Bag Sorting Volumetric'!AW69+'REV FSM'!AW69+'Rejection Primary with Scan'!AW69+'Rejection Secondary'!AW69+'Rev DC DC Primary Sorting'!AW69+'Rev Primary (FSM Rejections)'!AW69+'Rev Secondary Sorting'!AW69+'VIA Bag Sorting'!AW69</f>
        <v/>
      </c>
      <c r="AX69" s="7">
        <f>'BBB'!AX69+'Bag Staging'!AX69+'Bag Staging Volumetric'!AX69+'FWD FSM'!AX69+'FWD Manual Pre Primary'!AX69+'FWD Manual Primary'!AX69+'FWD Primary with Scan'!AX69+'FWD Secondary'!AX69+'FWD Volumetric'!AX69+'IB'!AX69+'IB Volumetric'!AX69+'OB'!AX69+'OB Volumetric'!AX69+'OSC Bag Sorting'!AX69+'OSC Bag Sorting Volumetric'!AX69+'REV FSM'!AX69+'Rejection Primary with Scan'!AX69+'Rejection Secondary'!AX69+'Rev DC DC Primary Sorting'!AX69+'Rev Primary (FSM Rejections)'!AX69+'Rev Secondary Sorting'!AX69+'VIA Bag Sorting'!AX69</f>
        <v/>
      </c>
      <c r="AY69" s="7">
        <f>'BBB'!AY69+'Bag Staging'!AY69+'Bag Staging Volumetric'!AY69+'FWD FSM'!AY69+'FWD Manual Pre Primary'!AY69+'FWD Manual Primary'!AY69+'FWD Primary with Scan'!AY69+'FWD Secondary'!AY69+'FWD Volumetric'!AY69+'IB'!AY69+'IB Volumetric'!AY69+'OB'!AY69+'OB Volumetric'!AY69+'OSC Bag Sorting'!AY69+'OSC Bag Sorting Volumetric'!AY69+'REV FSM'!AY69+'Rejection Primary with Scan'!AY69+'Rejection Secondary'!AY69+'Rev DC DC Primary Sorting'!AY69+'Rev Primary (FSM Rejections)'!AY69+'Rev Secondary Sorting'!AY69+'VIA Bag Sorting'!AY69</f>
        <v/>
      </c>
      <c r="AZ69" s="7">
        <f>'BBB'!AZ69+'Bag Staging'!AZ69+'Bag Staging Volumetric'!AZ69+'FWD FSM'!AZ69+'FWD Manual Pre Primary'!AZ69+'FWD Manual Primary'!AZ69+'FWD Primary with Scan'!AZ69+'FWD Secondary'!AZ69+'FWD Volumetric'!AZ69+'IB'!AZ69+'IB Volumetric'!AZ69+'OB'!AZ69+'OB Volumetric'!AZ69+'OSC Bag Sorting'!AZ69+'OSC Bag Sorting Volumetric'!AZ69+'REV FSM'!AZ69+'Rejection Primary with Scan'!AZ69+'Rejection Secondary'!AZ69+'Rev DC DC Primary Sorting'!AZ69+'Rev Primary (FSM Rejections)'!AZ69+'Rev Secondary Sorting'!AZ69+'VIA Bag Sorting'!AZ69</f>
        <v/>
      </c>
      <c r="BA69" s="7">
        <f>'BBB'!BA69+'Bag Staging'!BA69+'Bag Staging Volumetric'!BA69+'FWD FSM'!BA69+'FWD Manual Pre Primary'!BA69+'FWD Manual Primary'!BA69+'FWD Primary with Scan'!BA69+'FWD Secondary'!BA69+'FWD Volumetric'!BA69+'IB'!BA69+'IB Volumetric'!BA69+'OB'!BA69+'OB Volumetric'!BA69+'OSC Bag Sorting'!BA69+'OSC Bag Sorting Volumetric'!BA69+'REV FSM'!BA69+'Rejection Primary with Scan'!BA69+'Rejection Secondary'!BA69+'Rev DC DC Primary Sorting'!BA69+'Rev Primary (FSM Rejections)'!BA69+'Rev Secondary Sorting'!BA69+'VIA Bag Sorting'!BA69</f>
        <v/>
      </c>
      <c r="BB69" s="7">
        <f>SUM(AD69:BA69)</f>
        <v/>
      </c>
    </row>
    <row r="70">
      <c r="A70" t="inlineStr">
        <is>
          <t>AMD-M1</t>
        </is>
      </c>
      <c r="B70" t="inlineStr">
        <is>
          <t>Forward Regular OSC</t>
        </is>
      </c>
      <c r="C70" s="5" t="n">
        <v>46092</v>
      </c>
      <c r="D70" s="6" t="n">
        <v>2246</v>
      </c>
      <c r="E70" s="6" t="n">
        <v>774</v>
      </c>
      <c r="F70" s="6" t="n">
        <v>2307</v>
      </c>
      <c r="G70" s="6" t="n">
        <v>2955</v>
      </c>
      <c r="H70" s="6" t="n">
        <v>1889</v>
      </c>
      <c r="I70" s="6" t="n">
        <v>3024</v>
      </c>
      <c r="J70" s="6" t="n">
        <v>1071</v>
      </c>
      <c r="K70" s="6" t="n">
        <v>82</v>
      </c>
      <c r="L70" s="6" t="n">
        <v>0</v>
      </c>
      <c r="M70" s="6" t="n">
        <v>359</v>
      </c>
      <c r="N70" s="6" t="n">
        <v>1476</v>
      </c>
      <c r="O70" s="6" t="n">
        <v>1649</v>
      </c>
      <c r="P70" s="6" t="n">
        <v>48</v>
      </c>
      <c r="Q70" s="6" t="n">
        <v>335</v>
      </c>
      <c r="R70" s="6" t="n">
        <v>1127</v>
      </c>
      <c r="S70" s="6" t="n">
        <v>508</v>
      </c>
      <c r="T70" s="6" t="n">
        <v>0</v>
      </c>
      <c r="U70" s="6" t="n">
        <v>0</v>
      </c>
      <c r="V70" s="6" t="n">
        <v>0</v>
      </c>
      <c r="W70" s="6" t="n">
        <v>0</v>
      </c>
      <c r="X70" s="6" t="n">
        <v>0</v>
      </c>
      <c r="Y70" s="6" t="n">
        <v>0</v>
      </c>
      <c r="Z70" s="6" t="n">
        <v>42</v>
      </c>
      <c r="AA70" s="6" t="n">
        <v>1807</v>
      </c>
      <c r="AB70" s="6">
        <f>SUM(D70:AA70)</f>
        <v/>
      </c>
      <c r="AC70" s="3" t="inlineStr"/>
      <c r="AD70" s="7">
        <f>'BBB'!AD70+'Bag Staging'!AD70+'Bag Staging Volumetric'!AD70+'FWD FSM'!AD70+'FWD Manual Pre Primary'!AD70+'FWD Manual Primary'!AD70+'FWD Primary with Scan'!AD70+'FWD Secondary'!AD70+'FWD Volumetric'!AD70+'IB'!AD70+'IB Volumetric'!AD70+'OB'!AD70+'OB Volumetric'!AD70+'OSC Bag Sorting'!AD70+'OSC Bag Sorting Volumetric'!AD70+'REV FSM'!AD70+'Rejection Primary with Scan'!AD70+'Rejection Secondary'!AD70+'Rev DC DC Primary Sorting'!AD70+'Rev Primary (FSM Rejections)'!AD70+'Rev Secondary Sorting'!AD70+'VIA Bag Sorting'!AD70</f>
        <v/>
      </c>
      <c r="AE70" s="7">
        <f>'BBB'!AE70+'Bag Staging'!AE70+'Bag Staging Volumetric'!AE70+'FWD FSM'!AE70+'FWD Manual Pre Primary'!AE70+'FWD Manual Primary'!AE70+'FWD Primary with Scan'!AE70+'FWD Secondary'!AE70+'FWD Volumetric'!AE70+'IB'!AE70+'IB Volumetric'!AE70+'OB'!AE70+'OB Volumetric'!AE70+'OSC Bag Sorting'!AE70+'OSC Bag Sorting Volumetric'!AE70+'REV FSM'!AE70+'Rejection Primary with Scan'!AE70+'Rejection Secondary'!AE70+'Rev DC DC Primary Sorting'!AE70+'Rev Primary (FSM Rejections)'!AE70+'Rev Secondary Sorting'!AE70+'VIA Bag Sorting'!AE70</f>
        <v/>
      </c>
      <c r="AF70" s="7">
        <f>'BBB'!AF70+'Bag Staging'!AF70+'Bag Staging Volumetric'!AF70+'FWD FSM'!AF70+'FWD Manual Pre Primary'!AF70+'FWD Manual Primary'!AF70+'FWD Primary with Scan'!AF70+'FWD Secondary'!AF70+'FWD Volumetric'!AF70+'IB'!AF70+'IB Volumetric'!AF70+'OB'!AF70+'OB Volumetric'!AF70+'OSC Bag Sorting'!AF70+'OSC Bag Sorting Volumetric'!AF70+'REV FSM'!AF70+'Rejection Primary with Scan'!AF70+'Rejection Secondary'!AF70+'Rev DC DC Primary Sorting'!AF70+'Rev Primary (FSM Rejections)'!AF70+'Rev Secondary Sorting'!AF70+'VIA Bag Sorting'!AF70</f>
        <v/>
      </c>
      <c r="AG70" s="7">
        <f>'BBB'!AG70+'Bag Staging'!AG70+'Bag Staging Volumetric'!AG70+'FWD FSM'!AG70+'FWD Manual Pre Primary'!AG70+'FWD Manual Primary'!AG70+'FWD Primary with Scan'!AG70+'FWD Secondary'!AG70+'FWD Volumetric'!AG70+'IB'!AG70+'IB Volumetric'!AG70+'OB'!AG70+'OB Volumetric'!AG70+'OSC Bag Sorting'!AG70+'OSC Bag Sorting Volumetric'!AG70+'REV FSM'!AG70+'Rejection Primary with Scan'!AG70+'Rejection Secondary'!AG70+'Rev DC DC Primary Sorting'!AG70+'Rev Primary (FSM Rejections)'!AG70+'Rev Secondary Sorting'!AG70+'VIA Bag Sorting'!AG70</f>
        <v/>
      </c>
      <c r="AH70" s="7">
        <f>'BBB'!AH70+'Bag Staging'!AH70+'Bag Staging Volumetric'!AH70+'FWD FSM'!AH70+'FWD Manual Pre Primary'!AH70+'FWD Manual Primary'!AH70+'FWD Primary with Scan'!AH70+'FWD Secondary'!AH70+'FWD Volumetric'!AH70+'IB'!AH70+'IB Volumetric'!AH70+'OB'!AH70+'OB Volumetric'!AH70+'OSC Bag Sorting'!AH70+'OSC Bag Sorting Volumetric'!AH70+'REV FSM'!AH70+'Rejection Primary with Scan'!AH70+'Rejection Secondary'!AH70+'Rev DC DC Primary Sorting'!AH70+'Rev Primary (FSM Rejections)'!AH70+'Rev Secondary Sorting'!AH70+'VIA Bag Sorting'!AH70</f>
        <v/>
      </c>
      <c r="AI70" s="7">
        <f>'BBB'!AI70+'Bag Staging'!AI70+'Bag Staging Volumetric'!AI70+'FWD FSM'!AI70+'FWD Manual Pre Primary'!AI70+'FWD Manual Primary'!AI70+'FWD Primary with Scan'!AI70+'FWD Secondary'!AI70+'FWD Volumetric'!AI70+'IB'!AI70+'IB Volumetric'!AI70+'OB'!AI70+'OB Volumetric'!AI70+'OSC Bag Sorting'!AI70+'OSC Bag Sorting Volumetric'!AI70+'REV FSM'!AI70+'Rejection Primary with Scan'!AI70+'Rejection Secondary'!AI70+'Rev DC DC Primary Sorting'!AI70+'Rev Primary (FSM Rejections)'!AI70+'Rev Secondary Sorting'!AI70+'VIA Bag Sorting'!AI70</f>
        <v/>
      </c>
      <c r="AJ70" s="7">
        <f>'BBB'!AJ70+'Bag Staging'!AJ70+'Bag Staging Volumetric'!AJ70+'FWD FSM'!AJ70+'FWD Manual Pre Primary'!AJ70+'FWD Manual Primary'!AJ70+'FWD Primary with Scan'!AJ70+'FWD Secondary'!AJ70+'FWD Volumetric'!AJ70+'IB'!AJ70+'IB Volumetric'!AJ70+'OB'!AJ70+'OB Volumetric'!AJ70+'OSC Bag Sorting'!AJ70+'OSC Bag Sorting Volumetric'!AJ70+'REV FSM'!AJ70+'Rejection Primary with Scan'!AJ70+'Rejection Secondary'!AJ70+'Rev DC DC Primary Sorting'!AJ70+'Rev Primary (FSM Rejections)'!AJ70+'Rev Secondary Sorting'!AJ70+'VIA Bag Sorting'!AJ70</f>
        <v/>
      </c>
      <c r="AK70" s="7">
        <f>'BBB'!AK70+'Bag Staging'!AK70+'Bag Staging Volumetric'!AK70+'FWD FSM'!AK70+'FWD Manual Pre Primary'!AK70+'FWD Manual Primary'!AK70+'FWD Primary with Scan'!AK70+'FWD Secondary'!AK70+'FWD Volumetric'!AK70+'IB'!AK70+'IB Volumetric'!AK70+'OB'!AK70+'OB Volumetric'!AK70+'OSC Bag Sorting'!AK70+'OSC Bag Sorting Volumetric'!AK70+'REV FSM'!AK70+'Rejection Primary with Scan'!AK70+'Rejection Secondary'!AK70+'Rev DC DC Primary Sorting'!AK70+'Rev Primary (FSM Rejections)'!AK70+'Rev Secondary Sorting'!AK70+'VIA Bag Sorting'!AK70</f>
        <v/>
      </c>
      <c r="AL70" s="7">
        <f>'BBB'!AL70+'Bag Staging'!AL70+'Bag Staging Volumetric'!AL70+'FWD FSM'!AL70+'FWD Manual Pre Primary'!AL70+'FWD Manual Primary'!AL70+'FWD Primary with Scan'!AL70+'FWD Secondary'!AL70+'FWD Volumetric'!AL70+'IB'!AL70+'IB Volumetric'!AL70+'OB'!AL70+'OB Volumetric'!AL70+'OSC Bag Sorting'!AL70+'OSC Bag Sorting Volumetric'!AL70+'REV FSM'!AL70+'Rejection Primary with Scan'!AL70+'Rejection Secondary'!AL70+'Rev DC DC Primary Sorting'!AL70+'Rev Primary (FSM Rejections)'!AL70+'Rev Secondary Sorting'!AL70+'VIA Bag Sorting'!AL70</f>
        <v/>
      </c>
      <c r="AM70" s="7">
        <f>'BBB'!AM70+'Bag Staging'!AM70+'Bag Staging Volumetric'!AM70+'FWD FSM'!AM70+'FWD Manual Pre Primary'!AM70+'FWD Manual Primary'!AM70+'FWD Primary with Scan'!AM70+'FWD Secondary'!AM70+'FWD Volumetric'!AM70+'IB'!AM70+'IB Volumetric'!AM70+'OB'!AM70+'OB Volumetric'!AM70+'OSC Bag Sorting'!AM70+'OSC Bag Sorting Volumetric'!AM70+'REV FSM'!AM70+'Rejection Primary with Scan'!AM70+'Rejection Secondary'!AM70+'Rev DC DC Primary Sorting'!AM70+'Rev Primary (FSM Rejections)'!AM70+'Rev Secondary Sorting'!AM70+'VIA Bag Sorting'!AM70</f>
        <v/>
      </c>
      <c r="AN70" s="7">
        <f>'BBB'!AN70+'Bag Staging'!AN70+'Bag Staging Volumetric'!AN70+'FWD FSM'!AN70+'FWD Manual Pre Primary'!AN70+'FWD Manual Primary'!AN70+'FWD Primary with Scan'!AN70+'FWD Secondary'!AN70+'FWD Volumetric'!AN70+'IB'!AN70+'IB Volumetric'!AN70+'OB'!AN70+'OB Volumetric'!AN70+'OSC Bag Sorting'!AN70+'OSC Bag Sorting Volumetric'!AN70+'REV FSM'!AN70+'Rejection Primary with Scan'!AN70+'Rejection Secondary'!AN70+'Rev DC DC Primary Sorting'!AN70+'Rev Primary (FSM Rejections)'!AN70+'Rev Secondary Sorting'!AN70+'VIA Bag Sorting'!AN70</f>
        <v/>
      </c>
      <c r="AO70" s="7">
        <f>'BBB'!AO70+'Bag Staging'!AO70+'Bag Staging Volumetric'!AO70+'FWD FSM'!AO70+'FWD Manual Pre Primary'!AO70+'FWD Manual Primary'!AO70+'FWD Primary with Scan'!AO70+'FWD Secondary'!AO70+'FWD Volumetric'!AO70+'IB'!AO70+'IB Volumetric'!AO70+'OB'!AO70+'OB Volumetric'!AO70+'OSC Bag Sorting'!AO70+'OSC Bag Sorting Volumetric'!AO70+'REV FSM'!AO70+'Rejection Primary with Scan'!AO70+'Rejection Secondary'!AO70+'Rev DC DC Primary Sorting'!AO70+'Rev Primary (FSM Rejections)'!AO70+'Rev Secondary Sorting'!AO70+'VIA Bag Sorting'!AO70</f>
        <v/>
      </c>
      <c r="AP70" s="7">
        <f>'BBB'!AP70+'Bag Staging'!AP70+'Bag Staging Volumetric'!AP70+'FWD FSM'!AP70+'FWD Manual Pre Primary'!AP70+'FWD Manual Primary'!AP70+'FWD Primary with Scan'!AP70+'FWD Secondary'!AP70+'FWD Volumetric'!AP70+'IB'!AP70+'IB Volumetric'!AP70+'OB'!AP70+'OB Volumetric'!AP70+'OSC Bag Sorting'!AP70+'OSC Bag Sorting Volumetric'!AP70+'REV FSM'!AP70+'Rejection Primary with Scan'!AP70+'Rejection Secondary'!AP70+'Rev DC DC Primary Sorting'!AP70+'Rev Primary (FSM Rejections)'!AP70+'Rev Secondary Sorting'!AP70+'VIA Bag Sorting'!AP70</f>
        <v/>
      </c>
      <c r="AQ70" s="7">
        <f>'BBB'!AQ70+'Bag Staging'!AQ70+'Bag Staging Volumetric'!AQ70+'FWD FSM'!AQ70+'FWD Manual Pre Primary'!AQ70+'FWD Manual Primary'!AQ70+'FWD Primary with Scan'!AQ70+'FWD Secondary'!AQ70+'FWD Volumetric'!AQ70+'IB'!AQ70+'IB Volumetric'!AQ70+'OB'!AQ70+'OB Volumetric'!AQ70+'OSC Bag Sorting'!AQ70+'OSC Bag Sorting Volumetric'!AQ70+'REV FSM'!AQ70+'Rejection Primary with Scan'!AQ70+'Rejection Secondary'!AQ70+'Rev DC DC Primary Sorting'!AQ70+'Rev Primary (FSM Rejections)'!AQ70+'Rev Secondary Sorting'!AQ70+'VIA Bag Sorting'!AQ70</f>
        <v/>
      </c>
      <c r="AR70" s="7">
        <f>'BBB'!AR70+'Bag Staging'!AR70+'Bag Staging Volumetric'!AR70+'FWD FSM'!AR70+'FWD Manual Pre Primary'!AR70+'FWD Manual Primary'!AR70+'FWD Primary with Scan'!AR70+'FWD Secondary'!AR70+'FWD Volumetric'!AR70+'IB'!AR70+'IB Volumetric'!AR70+'OB'!AR70+'OB Volumetric'!AR70+'OSC Bag Sorting'!AR70+'OSC Bag Sorting Volumetric'!AR70+'REV FSM'!AR70+'Rejection Primary with Scan'!AR70+'Rejection Secondary'!AR70+'Rev DC DC Primary Sorting'!AR70+'Rev Primary (FSM Rejections)'!AR70+'Rev Secondary Sorting'!AR70+'VIA Bag Sorting'!AR70</f>
        <v/>
      </c>
      <c r="AS70" s="7">
        <f>'BBB'!AS70+'Bag Staging'!AS70+'Bag Staging Volumetric'!AS70+'FWD FSM'!AS70+'FWD Manual Pre Primary'!AS70+'FWD Manual Primary'!AS70+'FWD Primary with Scan'!AS70+'FWD Secondary'!AS70+'FWD Volumetric'!AS70+'IB'!AS70+'IB Volumetric'!AS70+'OB'!AS70+'OB Volumetric'!AS70+'OSC Bag Sorting'!AS70+'OSC Bag Sorting Volumetric'!AS70+'REV FSM'!AS70+'Rejection Primary with Scan'!AS70+'Rejection Secondary'!AS70+'Rev DC DC Primary Sorting'!AS70+'Rev Primary (FSM Rejections)'!AS70+'Rev Secondary Sorting'!AS70+'VIA Bag Sorting'!AS70</f>
        <v/>
      </c>
      <c r="AT70" s="7">
        <f>'BBB'!AT70+'Bag Staging'!AT70+'Bag Staging Volumetric'!AT70+'FWD FSM'!AT70+'FWD Manual Pre Primary'!AT70+'FWD Manual Primary'!AT70+'FWD Primary with Scan'!AT70+'FWD Secondary'!AT70+'FWD Volumetric'!AT70+'IB'!AT70+'IB Volumetric'!AT70+'OB'!AT70+'OB Volumetric'!AT70+'OSC Bag Sorting'!AT70+'OSC Bag Sorting Volumetric'!AT70+'REV FSM'!AT70+'Rejection Primary with Scan'!AT70+'Rejection Secondary'!AT70+'Rev DC DC Primary Sorting'!AT70+'Rev Primary (FSM Rejections)'!AT70+'Rev Secondary Sorting'!AT70+'VIA Bag Sorting'!AT70</f>
        <v/>
      </c>
      <c r="AU70" s="7">
        <f>'BBB'!AU70+'Bag Staging'!AU70+'Bag Staging Volumetric'!AU70+'FWD FSM'!AU70+'FWD Manual Pre Primary'!AU70+'FWD Manual Primary'!AU70+'FWD Primary with Scan'!AU70+'FWD Secondary'!AU70+'FWD Volumetric'!AU70+'IB'!AU70+'IB Volumetric'!AU70+'OB'!AU70+'OB Volumetric'!AU70+'OSC Bag Sorting'!AU70+'OSC Bag Sorting Volumetric'!AU70+'REV FSM'!AU70+'Rejection Primary with Scan'!AU70+'Rejection Secondary'!AU70+'Rev DC DC Primary Sorting'!AU70+'Rev Primary (FSM Rejections)'!AU70+'Rev Secondary Sorting'!AU70+'VIA Bag Sorting'!AU70</f>
        <v/>
      </c>
      <c r="AV70" s="7">
        <f>'BBB'!AV70+'Bag Staging'!AV70+'Bag Staging Volumetric'!AV70+'FWD FSM'!AV70+'FWD Manual Pre Primary'!AV70+'FWD Manual Primary'!AV70+'FWD Primary with Scan'!AV70+'FWD Secondary'!AV70+'FWD Volumetric'!AV70+'IB'!AV70+'IB Volumetric'!AV70+'OB'!AV70+'OB Volumetric'!AV70+'OSC Bag Sorting'!AV70+'OSC Bag Sorting Volumetric'!AV70+'REV FSM'!AV70+'Rejection Primary with Scan'!AV70+'Rejection Secondary'!AV70+'Rev DC DC Primary Sorting'!AV70+'Rev Primary (FSM Rejections)'!AV70+'Rev Secondary Sorting'!AV70+'VIA Bag Sorting'!AV70</f>
        <v/>
      </c>
      <c r="AW70" s="7">
        <f>'BBB'!AW70+'Bag Staging'!AW70+'Bag Staging Volumetric'!AW70+'FWD FSM'!AW70+'FWD Manual Pre Primary'!AW70+'FWD Manual Primary'!AW70+'FWD Primary with Scan'!AW70+'FWD Secondary'!AW70+'FWD Volumetric'!AW70+'IB'!AW70+'IB Volumetric'!AW70+'OB'!AW70+'OB Volumetric'!AW70+'OSC Bag Sorting'!AW70+'OSC Bag Sorting Volumetric'!AW70+'REV FSM'!AW70+'Rejection Primary with Scan'!AW70+'Rejection Secondary'!AW70+'Rev DC DC Primary Sorting'!AW70+'Rev Primary (FSM Rejections)'!AW70+'Rev Secondary Sorting'!AW70+'VIA Bag Sorting'!AW70</f>
        <v/>
      </c>
      <c r="AX70" s="7">
        <f>'BBB'!AX70+'Bag Staging'!AX70+'Bag Staging Volumetric'!AX70+'FWD FSM'!AX70+'FWD Manual Pre Primary'!AX70+'FWD Manual Primary'!AX70+'FWD Primary with Scan'!AX70+'FWD Secondary'!AX70+'FWD Volumetric'!AX70+'IB'!AX70+'IB Volumetric'!AX70+'OB'!AX70+'OB Volumetric'!AX70+'OSC Bag Sorting'!AX70+'OSC Bag Sorting Volumetric'!AX70+'REV FSM'!AX70+'Rejection Primary with Scan'!AX70+'Rejection Secondary'!AX70+'Rev DC DC Primary Sorting'!AX70+'Rev Primary (FSM Rejections)'!AX70+'Rev Secondary Sorting'!AX70+'VIA Bag Sorting'!AX70</f>
        <v/>
      </c>
      <c r="AY70" s="7">
        <f>'BBB'!AY70+'Bag Staging'!AY70+'Bag Staging Volumetric'!AY70+'FWD FSM'!AY70+'FWD Manual Pre Primary'!AY70+'FWD Manual Primary'!AY70+'FWD Primary with Scan'!AY70+'FWD Secondary'!AY70+'FWD Volumetric'!AY70+'IB'!AY70+'IB Volumetric'!AY70+'OB'!AY70+'OB Volumetric'!AY70+'OSC Bag Sorting'!AY70+'OSC Bag Sorting Volumetric'!AY70+'REV FSM'!AY70+'Rejection Primary with Scan'!AY70+'Rejection Secondary'!AY70+'Rev DC DC Primary Sorting'!AY70+'Rev Primary (FSM Rejections)'!AY70+'Rev Secondary Sorting'!AY70+'VIA Bag Sorting'!AY70</f>
        <v/>
      </c>
      <c r="AZ70" s="7">
        <f>'BBB'!AZ70+'Bag Staging'!AZ70+'Bag Staging Volumetric'!AZ70+'FWD FSM'!AZ70+'FWD Manual Pre Primary'!AZ70+'FWD Manual Primary'!AZ70+'FWD Primary with Scan'!AZ70+'FWD Secondary'!AZ70+'FWD Volumetric'!AZ70+'IB'!AZ70+'IB Volumetric'!AZ70+'OB'!AZ70+'OB Volumetric'!AZ70+'OSC Bag Sorting'!AZ70+'OSC Bag Sorting Volumetric'!AZ70+'REV FSM'!AZ70+'Rejection Primary with Scan'!AZ70+'Rejection Secondary'!AZ70+'Rev DC DC Primary Sorting'!AZ70+'Rev Primary (FSM Rejections)'!AZ70+'Rev Secondary Sorting'!AZ70+'VIA Bag Sorting'!AZ70</f>
        <v/>
      </c>
      <c r="BA70" s="7">
        <f>'BBB'!BA70+'Bag Staging'!BA70+'Bag Staging Volumetric'!BA70+'FWD FSM'!BA70+'FWD Manual Pre Primary'!BA70+'FWD Manual Primary'!BA70+'FWD Primary with Scan'!BA70+'FWD Secondary'!BA70+'FWD Volumetric'!BA70+'IB'!BA70+'IB Volumetric'!BA70+'OB'!BA70+'OB Volumetric'!BA70+'OSC Bag Sorting'!BA70+'OSC Bag Sorting Volumetric'!BA70+'REV FSM'!BA70+'Rejection Primary with Scan'!BA70+'Rejection Secondary'!BA70+'Rev DC DC Primary Sorting'!BA70+'Rev Primary (FSM Rejections)'!BA70+'Rev Secondary Sorting'!BA70+'VIA Bag Sorting'!BA70</f>
        <v/>
      </c>
      <c r="BB70" s="7">
        <f>SUM(AD70:BA70)</f>
        <v/>
      </c>
    </row>
    <row r="71">
      <c r="A71" t="inlineStr">
        <is>
          <t>AMD-M1</t>
        </is>
      </c>
      <c r="B71" t="inlineStr">
        <is>
          <t>Forward Regular OSC</t>
        </is>
      </c>
      <c r="C71" s="5" t="n">
        <v>46093</v>
      </c>
      <c r="D71" s="6" t="n">
        <v>1780</v>
      </c>
      <c r="E71" s="6" t="n">
        <v>800</v>
      </c>
      <c r="F71" s="6" t="n">
        <v>1483</v>
      </c>
      <c r="G71" s="6" t="n">
        <v>2172</v>
      </c>
      <c r="H71" s="6" t="n">
        <v>1595</v>
      </c>
      <c r="I71" s="6" t="n">
        <v>2364</v>
      </c>
      <c r="J71" s="6" t="n">
        <v>965</v>
      </c>
      <c r="K71" s="6" t="n">
        <v>6</v>
      </c>
      <c r="L71" s="6" t="n">
        <v>0</v>
      </c>
      <c r="M71" s="6" t="n">
        <v>386</v>
      </c>
      <c r="N71" s="6" t="n">
        <v>751</v>
      </c>
      <c r="O71" s="6" t="n">
        <v>1679</v>
      </c>
      <c r="P71" s="6" t="n">
        <v>108</v>
      </c>
      <c r="Q71" s="6" t="n">
        <v>0</v>
      </c>
      <c r="R71" s="6" t="n">
        <v>0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218</v>
      </c>
      <c r="X71" s="6" t="n">
        <v>249</v>
      </c>
      <c r="Y71" s="6" t="n">
        <v>185</v>
      </c>
      <c r="Z71" s="6" t="n">
        <v>213</v>
      </c>
      <c r="AA71" s="6" t="n">
        <v>1183</v>
      </c>
      <c r="AB71" s="6">
        <f>SUM(D71:AA71)</f>
        <v/>
      </c>
      <c r="AC71" s="3" t="inlineStr"/>
      <c r="AD71" s="7">
        <f>'BBB'!AD71+'Bag Staging'!AD71+'Bag Staging Volumetric'!AD71+'FWD FSM'!AD71+'FWD Manual Pre Primary'!AD71+'FWD Manual Primary'!AD71+'FWD Primary with Scan'!AD71+'FWD Secondary'!AD71+'FWD Volumetric'!AD71+'IB'!AD71+'IB Volumetric'!AD71+'OB'!AD71+'OB Volumetric'!AD71+'OSC Bag Sorting'!AD71+'OSC Bag Sorting Volumetric'!AD71+'REV FSM'!AD71+'Rejection Primary with Scan'!AD71+'Rejection Secondary'!AD71+'Rev DC DC Primary Sorting'!AD71+'Rev Primary (FSM Rejections)'!AD71+'Rev Secondary Sorting'!AD71+'VIA Bag Sorting'!AD71</f>
        <v/>
      </c>
      <c r="AE71" s="7">
        <f>'BBB'!AE71+'Bag Staging'!AE71+'Bag Staging Volumetric'!AE71+'FWD FSM'!AE71+'FWD Manual Pre Primary'!AE71+'FWD Manual Primary'!AE71+'FWD Primary with Scan'!AE71+'FWD Secondary'!AE71+'FWD Volumetric'!AE71+'IB'!AE71+'IB Volumetric'!AE71+'OB'!AE71+'OB Volumetric'!AE71+'OSC Bag Sorting'!AE71+'OSC Bag Sorting Volumetric'!AE71+'REV FSM'!AE71+'Rejection Primary with Scan'!AE71+'Rejection Secondary'!AE71+'Rev DC DC Primary Sorting'!AE71+'Rev Primary (FSM Rejections)'!AE71+'Rev Secondary Sorting'!AE71+'VIA Bag Sorting'!AE71</f>
        <v/>
      </c>
      <c r="AF71" s="7">
        <f>'BBB'!AF71+'Bag Staging'!AF71+'Bag Staging Volumetric'!AF71+'FWD FSM'!AF71+'FWD Manual Pre Primary'!AF71+'FWD Manual Primary'!AF71+'FWD Primary with Scan'!AF71+'FWD Secondary'!AF71+'FWD Volumetric'!AF71+'IB'!AF71+'IB Volumetric'!AF71+'OB'!AF71+'OB Volumetric'!AF71+'OSC Bag Sorting'!AF71+'OSC Bag Sorting Volumetric'!AF71+'REV FSM'!AF71+'Rejection Primary with Scan'!AF71+'Rejection Secondary'!AF71+'Rev DC DC Primary Sorting'!AF71+'Rev Primary (FSM Rejections)'!AF71+'Rev Secondary Sorting'!AF71+'VIA Bag Sorting'!AF71</f>
        <v/>
      </c>
      <c r="AG71" s="7">
        <f>'BBB'!AG71+'Bag Staging'!AG71+'Bag Staging Volumetric'!AG71+'FWD FSM'!AG71+'FWD Manual Pre Primary'!AG71+'FWD Manual Primary'!AG71+'FWD Primary with Scan'!AG71+'FWD Secondary'!AG71+'FWD Volumetric'!AG71+'IB'!AG71+'IB Volumetric'!AG71+'OB'!AG71+'OB Volumetric'!AG71+'OSC Bag Sorting'!AG71+'OSC Bag Sorting Volumetric'!AG71+'REV FSM'!AG71+'Rejection Primary with Scan'!AG71+'Rejection Secondary'!AG71+'Rev DC DC Primary Sorting'!AG71+'Rev Primary (FSM Rejections)'!AG71+'Rev Secondary Sorting'!AG71+'VIA Bag Sorting'!AG71</f>
        <v/>
      </c>
      <c r="AH71" s="7">
        <f>'BBB'!AH71+'Bag Staging'!AH71+'Bag Staging Volumetric'!AH71+'FWD FSM'!AH71+'FWD Manual Pre Primary'!AH71+'FWD Manual Primary'!AH71+'FWD Primary with Scan'!AH71+'FWD Secondary'!AH71+'FWD Volumetric'!AH71+'IB'!AH71+'IB Volumetric'!AH71+'OB'!AH71+'OB Volumetric'!AH71+'OSC Bag Sorting'!AH71+'OSC Bag Sorting Volumetric'!AH71+'REV FSM'!AH71+'Rejection Primary with Scan'!AH71+'Rejection Secondary'!AH71+'Rev DC DC Primary Sorting'!AH71+'Rev Primary (FSM Rejections)'!AH71+'Rev Secondary Sorting'!AH71+'VIA Bag Sorting'!AH71</f>
        <v/>
      </c>
      <c r="AI71" s="7">
        <f>'BBB'!AI71+'Bag Staging'!AI71+'Bag Staging Volumetric'!AI71+'FWD FSM'!AI71+'FWD Manual Pre Primary'!AI71+'FWD Manual Primary'!AI71+'FWD Primary with Scan'!AI71+'FWD Secondary'!AI71+'FWD Volumetric'!AI71+'IB'!AI71+'IB Volumetric'!AI71+'OB'!AI71+'OB Volumetric'!AI71+'OSC Bag Sorting'!AI71+'OSC Bag Sorting Volumetric'!AI71+'REV FSM'!AI71+'Rejection Primary with Scan'!AI71+'Rejection Secondary'!AI71+'Rev DC DC Primary Sorting'!AI71+'Rev Primary (FSM Rejections)'!AI71+'Rev Secondary Sorting'!AI71+'VIA Bag Sorting'!AI71</f>
        <v/>
      </c>
      <c r="AJ71" s="7">
        <f>'BBB'!AJ71+'Bag Staging'!AJ71+'Bag Staging Volumetric'!AJ71+'FWD FSM'!AJ71+'FWD Manual Pre Primary'!AJ71+'FWD Manual Primary'!AJ71+'FWD Primary with Scan'!AJ71+'FWD Secondary'!AJ71+'FWD Volumetric'!AJ71+'IB'!AJ71+'IB Volumetric'!AJ71+'OB'!AJ71+'OB Volumetric'!AJ71+'OSC Bag Sorting'!AJ71+'OSC Bag Sorting Volumetric'!AJ71+'REV FSM'!AJ71+'Rejection Primary with Scan'!AJ71+'Rejection Secondary'!AJ71+'Rev DC DC Primary Sorting'!AJ71+'Rev Primary (FSM Rejections)'!AJ71+'Rev Secondary Sorting'!AJ71+'VIA Bag Sorting'!AJ71</f>
        <v/>
      </c>
      <c r="AK71" s="7">
        <f>'BBB'!AK71+'Bag Staging'!AK71+'Bag Staging Volumetric'!AK71+'FWD FSM'!AK71+'FWD Manual Pre Primary'!AK71+'FWD Manual Primary'!AK71+'FWD Primary with Scan'!AK71+'FWD Secondary'!AK71+'FWD Volumetric'!AK71+'IB'!AK71+'IB Volumetric'!AK71+'OB'!AK71+'OB Volumetric'!AK71+'OSC Bag Sorting'!AK71+'OSC Bag Sorting Volumetric'!AK71+'REV FSM'!AK71+'Rejection Primary with Scan'!AK71+'Rejection Secondary'!AK71+'Rev DC DC Primary Sorting'!AK71+'Rev Primary (FSM Rejections)'!AK71+'Rev Secondary Sorting'!AK71+'VIA Bag Sorting'!AK71</f>
        <v/>
      </c>
      <c r="AL71" s="7">
        <f>'BBB'!AL71+'Bag Staging'!AL71+'Bag Staging Volumetric'!AL71+'FWD FSM'!AL71+'FWD Manual Pre Primary'!AL71+'FWD Manual Primary'!AL71+'FWD Primary with Scan'!AL71+'FWD Secondary'!AL71+'FWD Volumetric'!AL71+'IB'!AL71+'IB Volumetric'!AL71+'OB'!AL71+'OB Volumetric'!AL71+'OSC Bag Sorting'!AL71+'OSC Bag Sorting Volumetric'!AL71+'REV FSM'!AL71+'Rejection Primary with Scan'!AL71+'Rejection Secondary'!AL71+'Rev DC DC Primary Sorting'!AL71+'Rev Primary (FSM Rejections)'!AL71+'Rev Secondary Sorting'!AL71+'VIA Bag Sorting'!AL71</f>
        <v/>
      </c>
      <c r="AM71" s="7">
        <f>'BBB'!AM71+'Bag Staging'!AM71+'Bag Staging Volumetric'!AM71+'FWD FSM'!AM71+'FWD Manual Pre Primary'!AM71+'FWD Manual Primary'!AM71+'FWD Primary with Scan'!AM71+'FWD Secondary'!AM71+'FWD Volumetric'!AM71+'IB'!AM71+'IB Volumetric'!AM71+'OB'!AM71+'OB Volumetric'!AM71+'OSC Bag Sorting'!AM71+'OSC Bag Sorting Volumetric'!AM71+'REV FSM'!AM71+'Rejection Primary with Scan'!AM71+'Rejection Secondary'!AM71+'Rev DC DC Primary Sorting'!AM71+'Rev Primary (FSM Rejections)'!AM71+'Rev Secondary Sorting'!AM71+'VIA Bag Sorting'!AM71</f>
        <v/>
      </c>
      <c r="AN71" s="7">
        <f>'BBB'!AN71+'Bag Staging'!AN71+'Bag Staging Volumetric'!AN71+'FWD FSM'!AN71+'FWD Manual Pre Primary'!AN71+'FWD Manual Primary'!AN71+'FWD Primary with Scan'!AN71+'FWD Secondary'!AN71+'FWD Volumetric'!AN71+'IB'!AN71+'IB Volumetric'!AN71+'OB'!AN71+'OB Volumetric'!AN71+'OSC Bag Sorting'!AN71+'OSC Bag Sorting Volumetric'!AN71+'REV FSM'!AN71+'Rejection Primary with Scan'!AN71+'Rejection Secondary'!AN71+'Rev DC DC Primary Sorting'!AN71+'Rev Primary (FSM Rejections)'!AN71+'Rev Secondary Sorting'!AN71+'VIA Bag Sorting'!AN71</f>
        <v/>
      </c>
      <c r="AO71" s="7">
        <f>'BBB'!AO71+'Bag Staging'!AO71+'Bag Staging Volumetric'!AO71+'FWD FSM'!AO71+'FWD Manual Pre Primary'!AO71+'FWD Manual Primary'!AO71+'FWD Primary with Scan'!AO71+'FWD Secondary'!AO71+'FWD Volumetric'!AO71+'IB'!AO71+'IB Volumetric'!AO71+'OB'!AO71+'OB Volumetric'!AO71+'OSC Bag Sorting'!AO71+'OSC Bag Sorting Volumetric'!AO71+'REV FSM'!AO71+'Rejection Primary with Scan'!AO71+'Rejection Secondary'!AO71+'Rev DC DC Primary Sorting'!AO71+'Rev Primary (FSM Rejections)'!AO71+'Rev Secondary Sorting'!AO71+'VIA Bag Sorting'!AO71</f>
        <v/>
      </c>
      <c r="AP71" s="7">
        <f>'BBB'!AP71+'Bag Staging'!AP71+'Bag Staging Volumetric'!AP71+'FWD FSM'!AP71+'FWD Manual Pre Primary'!AP71+'FWD Manual Primary'!AP71+'FWD Primary with Scan'!AP71+'FWD Secondary'!AP71+'FWD Volumetric'!AP71+'IB'!AP71+'IB Volumetric'!AP71+'OB'!AP71+'OB Volumetric'!AP71+'OSC Bag Sorting'!AP71+'OSC Bag Sorting Volumetric'!AP71+'REV FSM'!AP71+'Rejection Primary with Scan'!AP71+'Rejection Secondary'!AP71+'Rev DC DC Primary Sorting'!AP71+'Rev Primary (FSM Rejections)'!AP71+'Rev Secondary Sorting'!AP71+'VIA Bag Sorting'!AP71</f>
        <v/>
      </c>
      <c r="AQ71" s="7">
        <f>'BBB'!AQ71+'Bag Staging'!AQ71+'Bag Staging Volumetric'!AQ71+'FWD FSM'!AQ71+'FWD Manual Pre Primary'!AQ71+'FWD Manual Primary'!AQ71+'FWD Primary with Scan'!AQ71+'FWD Secondary'!AQ71+'FWD Volumetric'!AQ71+'IB'!AQ71+'IB Volumetric'!AQ71+'OB'!AQ71+'OB Volumetric'!AQ71+'OSC Bag Sorting'!AQ71+'OSC Bag Sorting Volumetric'!AQ71+'REV FSM'!AQ71+'Rejection Primary with Scan'!AQ71+'Rejection Secondary'!AQ71+'Rev DC DC Primary Sorting'!AQ71+'Rev Primary (FSM Rejections)'!AQ71+'Rev Secondary Sorting'!AQ71+'VIA Bag Sorting'!AQ71</f>
        <v/>
      </c>
      <c r="AR71" s="7">
        <f>'BBB'!AR71+'Bag Staging'!AR71+'Bag Staging Volumetric'!AR71+'FWD FSM'!AR71+'FWD Manual Pre Primary'!AR71+'FWD Manual Primary'!AR71+'FWD Primary with Scan'!AR71+'FWD Secondary'!AR71+'FWD Volumetric'!AR71+'IB'!AR71+'IB Volumetric'!AR71+'OB'!AR71+'OB Volumetric'!AR71+'OSC Bag Sorting'!AR71+'OSC Bag Sorting Volumetric'!AR71+'REV FSM'!AR71+'Rejection Primary with Scan'!AR71+'Rejection Secondary'!AR71+'Rev DC DC Primary Sorting'!AR71+'Rev Primary (FSM Rejections)'!AR71+'Rev Secondary Sorting'!AR71+'VIA Bag Sorting'!AR71</f>
        <v/>
      </c>
      <c r="AS71" s="7">
        <f>'BBB'!AS71+'Bag Staging'!AS71+'Bag Staging Volumetric'!AS71+'FWD FSM'!AS71+'FWD Manual Pre Primary'!AS71+'FWD Manual Primary'!AS71+'FWD Primary with Scan'!AS71+'FWD Secondary'!AS71+'FWD Volumetric'!AS71+'IB'!AS71+'IB Volumetric'!AS71+'OB'!AS71+'OB Volumetric'!AS71+'OSC Bag Sorting'!AS71+'OSC Bag Sorting Volumetric'!AS71+'REV FSM'!AS71+'Rejection Primary with Scan'!AS71+'Rejection Secondary'!AS71+'Rev DC DC Primary Sorting'!AS71+'Rev Primary (FSM Rejections)'!AS71+'Rev Secondary Sorting'!AS71+'VIA Bag Sorting'!AS71</f>
        <v/>
      </c>
      <c r="AT71" s="7">
        <f>'BBB'!AT71+'Bag Staging'!AT71+'Bag Staging Volumetric'!AT71+'FWD FSM'!AT71+'FWD Manual Pre Primary'!AT71+'FWD Manual Primary'!AT71+'FWD Primary with Scan'!AT71+'FWD Secondary'!AT71+'FWD Volumetric'!AT71+'IB'!AT71+'IB Volumetric'!AT71+'OB'!AT71+'OB Volumetric'!AT71+'OSC Bag Sorting'!AT71+'OSC Bag Sorting Volumetric'!AT71+'REV FSM'!AT71+'Rejection Primary with Scan'!AT71+'Rejection Secondary'!AT71+'Rev DC DC Primary Sorting'!AT71+'Rev Primary (FSM Rejections)'!AT71+'Rev Secondary Sorting'!AT71+'VIA Bag Sorting'!AT71</f>
        <v/>
      </c>
      <c r="AU71" s="7">
        <f>'BBB'!AU71+'Bag Staging'!AU71+'Bag Staging Volumetric'!AU71+'FWD FSM'!AU71+'FWD Manual Pre Primary'!AU71+'FWD Manual Primary'!AU71+'FWD Primary with Scan'!AU71+'FWD Secondary'!AU71+'FWD Volumetric'!AU71+'IB'!AU71+'IB Volumetric'!AU71+'OB'!AU71+'OB Volumetric'!AU71+'OSC Bag Sorting'!AU71+'OSC Bag Sorting Volumetric'!AU71+'REV FSM'!AU71+'Rejection Primary with Scan'!AU71+'Rejection Secondary'!AU71+'Rev DC DC Primary Sorting'!AU71+'Rev Primary (FSM Rejections)'!AU71+'Rev Secondary Sorting'!AU71+'VIA Bag Sorting'!AU71</f>
        <v/>
      </c>
      <c r="AV71" s="7">
        <f>'BBB'!AV71+'Bag Staging'!AV71+'Bag Staging Volumetric'!AV71+'FWD FSM'!AV71+'FWD Manual Pre Primary'!AV71+'FWD Manual Primary'!AV71+'FWD Primary with Scan'!AV71+'FWD Secondary'!AV71+'FWD Volumetric'!AV71+'IB'!AV71+'IB Volumetric'!AV71+'OB'!AV71+'OB Volumetric'!AV71+'OSC Bag Sorting'!AV71+'OSC Bag Sorting Volumetric'!AV71+'REV FSM'!AV71+'Rejection Primary with Scan'!AV71+'Rejection Secondary'!AV71+'Rev DC DC Primary Sorting'!AV71+'Rev Primary (FSM Rejections)'!AV71+'Rev Secondary Sorting'!AV71+'VIA Bag Sorting'!AV71</f>
        <v/>
      </c>
      <c r="AW71" s="7">
        <f>'BBB'!AW71+'Bag Staging'!AW71+'Bag Staging Volumetric'!AW71+'FWD FSM'!AW71+'FWD Manual Pre Primary'!AW71+'FWD Manual Primary'!AW71+'FWD Primary with Scan'!AW71+'FWD Secondary'!AW71+'FWD Volumetric'!AW71+'IB'!AW71+'IB Volumetric'!AW71+'OB'!AW71+'OB Volumetric'!AW71+'OSC Bag Sorting'!AW71+'OSC Bag Sorting Volumetric'!AW71+'REV FSM'!AW71+'Rejection Primary with Scan'!AW71+'Rejection Secondary'!AW71+'Rev DC DC Primary Sorting'!AW71+'Rev Primary (FSM Rejections)'!AW71+'Rev Secondary Sorting'!AW71+'VIA Bag Sorting'!AW71</f>
        <v/>
      </c>
      <c r="AX71" s="7">
        <f>'BBB'!AX71+'Bag Staging'!AX71+'Bag Staging Volumetric'!AX71+'FWD FSM'!AX71+'FWD Manual Pre Primary'!AX71+'FWD Manual Primary'!AX71+'FWD Primary with Scan'!AX71+'FWD Secondary'!AX71+'FWD Volumetric'!AX71+'IB'!AX71+'IB Volumetric'!AX71+'OB'!AX71+'OB Volumetric'!AX71+'OSC Bag Sorting'!AX71+'OSC Bag Sorting Volumetric'!AX71+'REV FSM'!AX71+'Rejection Primary with Scan'!AX71+'Rejection Secondary'!AX71+'Rev DC DC Primary Sorting'!AX71+'Rev Primary (FSM Rejections)'!AX71+'Rev Secondary Sorting'!AX71+'VIA Bag Sorting'!AX71</f>
        <v/>
      </c>
      <c r="AY71" s="7">
        <f>'BBB'!AY71+'Bag Staging'!AY71+'Bag Staging Volumetric'!AY71+'FWD FSM'!AY71+'FWD Manual Pre Primary'!AY71+'FWD Manual Primary'!AY71+'FWD Primary with Scan'!AY71+'FWD Secondary'!AY71+'FWD Volumetric'!AY71+'IB'!AY71+'IB Volumetric'!AY71+'OB'!AY71+'OB Volumetric'!AY71+'OSC Bag Sorting'!AY71+'OSC Bag Sorting Volumetric'!AY71+'REV FSM'!AY71+'Rejection Primary with Scan'!AY71+'Rejection Secondary'!AY71+'Rev DC DC Primary Sorting'!AY71+'Rev Primary (FSM Rejections)'!AY71+'Rev Secondary Sorting'!AY71+'VIA Bag Sorting'!AY71</f>
        <v/>
      </c>
      <c r="AZ71" s="7">
        <f>'BBB'!AZ71+'Bag Staging'!AZ71+'Bag Staging Volumetric'!AZ71+'FWD FSM'!AZ71+'FWD Manual Pre Primary'!AZ71+'FWD Manual Primary'!AZ71+'FWD Primary with Scan'!AZ71+'FWD Secondary'!AZ71+'FWD Volumetric'!AZ71+'IB'!AZ71+'IB Volumetric'!AZ71+'OB'!AZ71+'OB Volumetric'!AZ71+'OSC Bag Sorting'!AZ71+'OSC Bag Sorting Volumetric'!AZ71+'REV FSM'!AZ71+'Rejection Primary with Scan'!AZ71+'Rejection Secondary'!AZ71+'Rev DC DC Primary Sorting'!AZ71+'Rev Primary (FSM Rejections)'!AZ71+'Rev Secondary Sorting'!AZ71+'VIA Bag Sorting'!AZ71</f>
        <v/>
      </c>
      <c r="BA71" s="7">
        <f>'BBB'!BA71+'Bag Staging'!BA71+'Bag Staging Volumetric'!BA71+'FWD FSM'!BA71+'FWD Manual Pre Primary'!BA71+'FWD Manual Primary'!BA71+'FWD Primary with Scan'!BA71+'FWD Secondary'!BA71+'FWD Volumetric'!BA71+'IB'!BA71+'IB Volumetric'!BA71+'OB'!BA71+'OB Volumetric'!BA71+'OSC Bag Sorting'!BA71+'OSC Bag Sorting Volumetric'!BA71+'REV FSM'!BA71+'Rejection Primary with Scan'!BA71+'Rejection Secondary'!BA71+'Rev DC DC Primary Sorting'!BA71+'Rev Primary (FSM Rejections)'!BA71+'Rev Secondary Sorting'!BA71+'VIA Bag Sorting'!BA71</f>
        <v/>
      </c>
      <c r="BB71" s="7">
        <f>SUM(AD71:BA71)</f>
        <v/>
      </c>
    </row>
    <row r="72">
      <c r="A72" t="inlineStr">
        <is>
          <t>AMD-M1</t>
        </is>
      </c>
      <c r="B72" t="inlineStr">
        <is>
          <t>Forward Regular OSC</t>
        </is>
      </c>
      <c r="C72" s="5" t="n">
        <v>46094</v>
      </c>
      <c r="D72" s="6" t="n">
        <v>1925</v>
      </c>
      <c r="E72" s="6" t="n">
        <v>786</v>
      </c>
      <c r="F72" s="6" t="n">
        <v>1524</v>
      </c>
      <c r="G72" s="6" t="n">
        <v>2582</v>
      </c>
      <c r="H72" s="6" t="n">
        <v>2654</v>
      </c>
      <c r="I72" s="6" t="n">
        <v>1904</v>
      </c>
      <c r="J72" s="6" t="n">
        <v>160</v>
      </c>
      <c r="K72" s="6" t="n">
        <v>0</v>
      </c>
      <c r="L72" s="6" t="n">
        <v>0</v>
      </c>
      <c r="M72" s="6" t="n">
        <v>417</v>
      </c>
      <c r="N72" s="6" t="n">
        <v>634</v>
      </c>
      <c r="O72" s="6" t="n">
        <v>1662</v>
      </c>
      <c r="P72" s="6" t="n">
        <v>1605</v>
      </c>
      <c r="Q72" s="6" t="n">
        <v>269</v>
      </c>
      <c r="R72" s="6" t="n">
        <v>1091</v>
      </c>
      <c r="S72" s="6" t="n">
        <v>1353</v>
      </c>
      <c r="T72" s="6" t="n">
        <v>47</v>
      </c>
      <c r="U72" s="6" t="n">
        <v>0</v>
      </c>
      <c r="V72" s="6" t="n">
        <v>0</v>
      </c>
      <c r="W72" s="6" t="n">
        <v>0</v>
      </c>
      <c r="X72" s="6" t="n">
        <v>0</v>
      </c>
      <c r="Y72" s="6" t="n">
        <v>128</v>
      </c>
      <c r="Z72" s="6" t="n">
        <v>0</v>
      </c>
      <c r="AA72" s="6" t="n">
        <v>1352</v>
      </c>
      <c r="AB72" s="6">
        <f>SUM(D72:AA72)</f>
        <v/>
      </c>
      <c r="AC72" s="3" t="inlineStr"/>
      <c r="AD72" s="7">
        <f>'BBB'!AD72+'Bag Staging'!AD72+'Bag Staging Volumetric'!AD72+'FWD FSM'!AD72+'FWD Manual Pre Primary'!AD72+'FWD Manual Primary'!AD72+'FWD Primary with Scan'!AD72+'FWD Secondary'!AD72+'FWD Volumetric'!AD72+'IB'!AD72+'IB Volumetric'!AD72+'OB'!AD72+'OB Volumetric'!AD72+'OSC Bag Sorting'!AD72+'OSC Bag Sorting Volumetric'!AD72+'REV FSM'!AD72+'Rejection Primary with Scan'!AD72+'Rejection Secondary'!AD72+'Rev DC DC Primary Sorting'!AD72+'Rev Primary (FSM Rejections)'!AD72+'Rev Secondary Sorting'!AD72+'VIA Bag Sorting'!AD72</f>
        <v/>
      </c>
      <c r="AE72" s="7">
        <f>'BBB'!AE72+'Bag Staging'!AE72+'Bag Staging Volumetric'!AE72+'FWD FSM'!AE72+'FWD Manual Pre Primary'!AE72+'FWD Manual Primary'!AE72+'FWD Primary with Scan'!AE72+'FWD Secondary'!AE72+'FWD Volumetric'!AE72+'IB'!AE72+'IB Volumetric'!AE72+'OB'!AE72+'OB Volumetric'!AE72+'OSC Bag Sorting'!AE72+'OSC Bag Sorting Volumetric'!AE72+'REV FSM'!AE72+'Rejection Primary with Scan'!AE72+'Rejection Secondary'!AE72+'Rev DC DC Primary Sorting'!AE72+'Rev Primary (FSM Rejections)'!AE72+'Rev Secondary Sorting'!AE72+'VIA Bag Sorting'!AE72</f>
        <v/>
      </c>
      <c r="AF72" s="7">
        <f>'BBB'!AF72+'Bag Staging'!AF72+'Bag Staging Volumetric'!AF72+'FWD FSM'!AF72+'FWD Manual Pre Primary'!AF72+'FWD Manual Primary'!AF72+'FWD Primary with Scan'!AF72+'FWD Secondary'!AF72+'FWD Volumetric'!AF72+'IB'!AF72+'IB Volumetric'!AF72+'OB'!AF72+'OB Volumetric'!AF72+'OSC Bag Sorting'!AF72+'OSC Bag Sorting Volumetric'!AF72+'REV FSM'!AF72+'Rejection Primary with Scan'!AF72+'Rejection Secondary'!AF72+'Rev DC DC Primary Sorting'!AF72+'Rev Primary (FSM Rejections)'!AF72+'Rev Secondary Sorting'!AF72+'VIA Bag Sorting'!AF72</f>
        <v/>
      </c>
      <c r="AG72" s="7">
        <f>'BBB'!AG72+'Bag Staging'!AG72+'Bag Staging Volumetric'!AG72+'FWD FSM'!AG72+'FWD Manual Pre Primary'!AG72+'FWD Manual Primary'!AG72+'FWD Primary with Scan'!AG72+'FWD Secondary'!AG72+'FWD Volumetric'!AG72+'IB'!AG72+'IB Volumetric'!AG72+'OB'!AG72+'OB Volumetric'!AG72+'OSC Bag Sorting'!AG72+'OSC Bag Sorting Volumetric'!AG72+'REV FSM'!AG72+'Rejection Primary with Scan'!AG72+'Rejection Secondary'!AG72+'Rev DC DC Primary Sorting'!AG72+'Rev Primary (FSM Rejections)'!AG72+'Rev Secondary Sorting'!AG72+'VIA Bag Sorting'!AG72</f>
        <v/>
      </c>
      <c r="AH72" s="7">
        <f>'BBB'!AH72+'Bag Staging'!AH72+'Bag Staging Volumetric'!AH72+'FWD FSM'!AH72+'FWD Manual Pre Primary'!AH72+'FWD Manual Primary'!AH72+'FWD Primary with Scan'!AH72+'FWD Secondary'!AH72+'FWD Volumetric'!AH72+'IB'!AH72+'IB Volumetric'!AH72+'OB'!AH72+'OB Volumetric'!AH72+'OSC Bag Sorting'!AH72+'OSC Bag Sorting Volumetric'!AH72+'REV FSM'!AH72+'Rejection Primary with Scan'!AH72+'Rejection Secondary'!AH72+'Rev DC DC Primary Sorting'!AH72+'Rev Primary (FSM Rejections)'!AH72+'Rev Secondary Sorting'!AH72+'VIA Bag Sorting'!AH72</f>
        <v/>
      </c>
      <c r="AI72" s="7">
        <f>'BBB'!AI72+'Bag Staging'!AI72+'Bag Staging Volumetric'!AI72+'FWD FSM'!AI72+'FWD Manual Pre Primary'!AI72+'FWD Manual Primary'!AI72+'FWD Primary with Scan'!AI72+'FWD Secondary'!AI72+'FWD Volumetric'!AI72+'IB'!AI72+'IB Volumetric'!AI72+'OB'!AI72+'OB Volumetric'!AI72+'OSC Bag Sorting'!AI72+'OSC Bag Sorting Volumetric'!AI72+'REV FSM'!AI72+'Rejection Primary with Scan'!AI72+'Rejection Secondary'!AI72+'Rev DC DC Primary Sorting'!AI72+'Rev Primary (FSM Rejections)'!AI72+'Rev Secondary Sorting'!AI72+'VIA Bag Sorting'!AI72</f>
        <v/>
      </c>
      <c r="AJ72" s="7">
        <f>'BBB'!AJ72+'Bag Staging'!AJ72+'Bag Staging Volumetric'!AJ72+'FWD FSM'!AJ72+'FWD Manual Pre Primary'!AJ72+'FWD Manual Primary'!AJ72+'FWD Primary with Scan'!AJ72+'FWD Secondary'!AJ72+'FWD Volumetric'!AJ72+'IB'!AJ72+'IB Volumetric'!AJ72+'OB'!AJ72+'OB Volumetric'!AJ72+'OSC Bag Sorting'!AJ72+'OSC Bag Sorting Volumetric'!AJ72+'REV FSM'!AJ72+'Rejection Primary with Scan'!AJ72+'Rejection Secondary'!AJ72+'Rev DC DC Primary Sorting'!AJ72+'Rev Primary (FSM Rejections)'!AJ72+'Rev Secondary Sorting'!AJ72+'VIA Bag Sorting'!AJ72</f>
        <v/>
      </c>
      <c r="AK72" s="7">
        <f>'BBB'!AK72+'Bag Staging'!AK72+'Bag Staging Volumetric'!AK72+'FWD FSM'!AK72+'FWD Manual Pre Primary'!AK72+'FWD Manual Primary'!AK72+'FWD Primary with Scan'!AK72+'FWD Secondary'!AK72+'FWD Volumetric'!AK72+'IB'!AK72+'IB Volumetric'!AK72+'OB'!AK72+'OB Volumetric'!AK72+'OSC Bag Sorting'!AK72+'OSC Bag Sorting Volumetric'!AK72+'REV FSM'!AK72+'Rejection Primary with Scan'!AK72+'Rejection Secondary'!AK72+'Rev DC DC Primary Sorting'!AK72+'Rev Primary (FSM Rejections)'!AK72+'Rev Secondary Sorting'!AK72+'VIA Bag Sorting'!AK72</f>
        <v/>
      </c>
      <c r="AL72" s="7">
        <f>'BBB'!AL72+'Bag Staging'!AL72+'Bag Staging Volumetric'!AL72+'FWD FSM'!AL72+'FWD Manual Pre Primary'!AL72+'FWD Manual Primary'!AL72+'FWD Primary with Scan'!AL72+'FWD Secondary'!AL72+'FWD Volumetric'!AL72+'IB'!AL72+'IB Volumetric'!AL72+'OB'!AL72+'OB Volumetric'!AL72+'OSC Bag Sorting'!AL72+'OSC Bag Sorting Volumetric'!AL72+'REV FSM'!AL72+'Rejection Primary with Scan'!AL72+'Rejection Secondary'!AL72+'Rev DC DC Primary Sorting'!AL72+'Rev Primary (FSM Rejections)'!AL72+'Rev Secondary Sorting'!AL72+'VIA Bag Sorting'!AL72</f>
        <v/>
      </c>
      <c r="AM72" s="7">
        <f>'BBB'!AM72+'Bag Staging'!AM72+'Bag Staging Volumetric'!AM72+'FWD FSM'!AM72+'FWD Manual Pre Primary'!AM72+'FWD Manual Primary'!AM72+'FWD Primary with Scan'!AM72+'FWD Secondary'!AM72+'FWD Volumetric'!AM72+'IB'!AM72+'IB Volumetric'!AM72+'OB'!AM72+'OB Volumetric'!AM72+'OSC Bag Sorting'!AM72+'OSC Bag Sorting Volumetric'!AM72+'REV FSM'!AM72+'Rejection Primary with Scan'!AM72+'Rejection Secondary'!AM72+'Rev DC DC Primary Sorting'!AM72+'Rev Primary (FSM Rejections)'!AM72+'Rev Secondary Sorting'!AM72+'VIA Bag Sorting'!AM72</f>
        <v/>
      </c>
      <c r="AN72" s="7">
        <f>'BBB'!AN72+'Bag Staging'!AN72+'Bag Staging Volumetric'!AN72+'FWD FSM'!AN72+'FWD Manual Pre Primary'!AN72+'FWD Manual Primary'!AN72+'FWD Primary with Scan'!AN72+'FWD Secondary'!AN72+'FWD Volumetric'!AN72+'IB'!AN72+'IB Volumetric'!AN72+'OB'!AN72+'OB Volumetric'!AN72+'OSC Bag Sorting'!AN72+'OSC Bag Sorting Volumetric'!AN72+'REV FSM'!AN72+'Rejection Primary with Scan'!AN72+'Rejection Secondary'!AN72+'Rev DC DC Primary Sorting'!AN72+'Rev Primary (FSM Rejections)'!AN72+'Rev Secondary Sorting'!AN72+'VIA Bag Sorting'!AN72</f>
        <v/>
      </c>
      <c r="AO72" s="7">
        <f>'BBB'!AO72+'Bag Staging'!AO72+'Bag Staging Volumetric'!AO72+'FWD FSM'!AO72+'FWD Manual Pre Primary'!AO72+'FWD Manual Primary'!AO72+'FWD Primary with Scan'!AO72+'FWD Secondary'!AO72+'FWD Volumetric'!AO72+'IB'!AO72+'IB Volumetric'!AO72+'OB'!AO72+'OB Volumetric'!AO72+'OSC Bag Sorting'!AO72+'OSC Bag Sorting Volumetric'!AO72+'REV FSM'!AO72+'Rejection Primary with Scan'!AO72+'Rejection Secondary'!AO72+'Rev DC DC Primary Sorting'!AO72+'Rev Primary (FSM Rejections)'!AO72+'Rev Secondary Sorting'!AO72+'VIA Bag Sorting'!AO72</f>
        <v/>
      </c>
      <c r="AP72" s="7">
        <f>'BBB'!AP72+'Bag Staging'!AP72+'Bag Staging Volumetric'!AP72+'FWD FSM'!AP72+'FWD Manual Pre Primary'!AP72+'FWD Manual Primary'!AP72+'FWD Primary with Scan'!AP72+'FWD Secondary'!AP72+'FWD Volumetric'!AP72+'IB'!AP72+'IB Volumetric'!AP72+'OB'!AP72+'OB Volumetric'!AP72+'OSC Bag Sorting'!AP72+'OSC Bag Sorting Volumetric'!AP72+'REV FSM'!AP72+'Rejection Primary with Scan'!AP72+'Rejection Secondary'!AP72+'Rev DC DC Primary Sorting'!AP72+'Rev Primary (FSM Rejections)'!AP72+'Rev Secondary Sorting'!AP72+'VIA Bag Sorting'!AP72</f>
        <v/>
      </c>
      <c r="AQ72" s="7">
        <f>'BBB'!AQ72+'Bag Staging'!AQ72+'Bag Staging Volumetric'!AQ72+'FWD FSM'!AQ72+'FWD Manual Pre Primary'!AQ72+'FWD Manual Primary'!AQ72+'FWD Primary with Scan'!AQ72+'FWD Secondary'!AQ72+'FWD Volumetric'!AQ72+'IB'!AQ72+'IB Volumetric'!AQ72+'OB'!AQ72+'OB Volumetric'!AQ72+'OSC Bag Sorting'!AQ72+'OSC Bag Sorting Volumetric'!AQ72+'REV FSM'!AQ72+'Rejection Primary with Scan'!AQ72+'Rejection Secondary'!AQ72+'Rev DC DC Primary Sorting'!AQ72+'Rev Primary (FSM Rejections)'!AQ72+'Rev Secondary Sorting'!AQ72+'VIA Bag Sorting'!AQ72</f>
        <v/>
      </c>
      <c r="AR72" s="7">
        <f>'BBB'!AR72+'Bag Staging'!AR72+'Bag Staging Volumetric'!AR72+'FWD FSM'!AR72+'FWD Manual Pre Primary'!AR72+'FWD Manual Primary'!AR72+'FWD Primary with Scan'!AR72+'FWD Secondary'!AR72+'FWD Volumetric'!AR72+'IB'!AR72+'IB Volumetric'!AR72+'OB'!AR72+'OB Volumetric'!AR72+'OSC Bag Sorting'!AR72+'OSC Bag Sorting Volumetric'!AR72+'REV FSM'!AR72+'Rejection Primary with Scan'!AR72+'Rejection Secondary'!AR72+'Rev DC DC Primary Sorting'!AR72+'Rev Primary (FSM Rejections)'!AR72+'Rev Secondary Sorting'!AR72+'VIA Bag Sorting'!AR72</f>
        <v/>
      </c>
      <c r="AS72" s="7">
        <f>'BBB'!AS72+'Bag Staging'!AS72+'Bag Staging Volumetric'!AS72+'FWD FSM'!AS72+'FWD Manual Pre Primary'!AS72+'FWD Manual Primary'!AS72+'FWD Primary with Scan'!AS72+'FWD Secondary'!AS72+'FWD Volumetric'!AS72+'IB'!AS72+'IB Volumetric'!AS72+'OB'!AS72+'OB Volumetric'!AS72+'OSC Bag Sorting'!AS72+'OSC Bag Sorting Volumetric'!AS72+'REV FSM'!AS72+'Rejection Primary with Scan'!AS72+'Rejection Secondary'!AS72+'Rev DC DC Primary Sorting'!AS72+'Rev Primary (FSM Rejections)'!AS72+'Rev Secondary Sorting'!AS72+'VIA Bag Sorting'!AS72</f>
        <v/>
      </c>
      <c r="AT72" s="7">
        <f>'BBB'!AT72+'Bag Staging'!AT72+'Bag Staging Volumetric'!AT72+'FWD FSM'!AT72+'FWD Manual Pre Primary'!AT72+'FWD Manual Primary'!AT72+'FWD Primary with Scan'!AT72+'FWD Secondary'!AT72+'FWD Volumetric'!AT72+'IB'!AT72+'IB Volumetric'!AT72+'OB'!AT72+'OB Volumetric'!AT72+'OSC Bag Sorting'!AT72+'OSC Bag Sorting Volumetric'!AT72+'REV FSM'!AT72+'Rejection Primary with Scan'!AT72+'Rejection Secondary'!AT72+'Rev DC DC Primary Sorting'!AT72+'Rev Primary (FSM Rejections)'!AT72+'Rev Secondary Sorting'!AT72+'VIA Bag Sorting'!AT72</f>
        <v/>
      </c>
      <c r="AU72" s="7">
        <f>'BBB'!AU72+'Bag Staging'!AU72+'Bag Staging Volumetric'!AU72+'FWD FSM'!AU72+'FWD Manual Pre Primary'!AU72+'FWD Manual Primary'!AU72+'FWD Primary with Scan'!AU72+'FWD Secondary'!AU72+'FWD Volumetric'!AU72+'IB'!AU72+'IB Volumetric'!AU72+'OB'!AU72+'OB Volumetric'!AU72+'OSC Bag Sorting'!AU72+'OSC Bag Sorting Volumetric'!AU72+'REV FSM'!AU72+'Rejection Primary with Scan'!AU72+'Rejection Secondary'!AU72+'Rev DC DC Primary Sorting'!AU72+'Rev Primary (FSM Rejections)'!AU72+'Rev Secondary Sorting'!AU72+'VIA Bag Sorting'!AU72</f>
        <v/>
      </c>
      <c r="AV72" s="7">
        <f>'BBB'!AV72+'Bag Staging'!AV72+'Bag Staging Volumetric'!AV72+'FWD FSM'!AV72+'FWD Manual Pre Primary'!AV72+'FWD Manual Primary'!AV72+'FWD Primary with Scan'!AV72+'FWD Secondary'!AV72+'FWD Volumetric'!AV72+'IB'!AV72+'IB Volumetric'!AV72+'OB'!AV72+'OB Volumetric'!AV72+'OSC Bag Sorting'!AV72+'OSC Bag Sorting Volumetric'!AV72+'REV FSM'!AV72+'Rejection Primary with Scan'!AV72+'Rejection Secondary'!AV72+'Rev DC DC Primary Sorting'!AV72+'Rev Primary (FSM Rejections)'!AV72+'Rev Secondary Sorting'!AV72+'VIA Bag Sorting'!AV72</f>
        <v/>
      </c>
      <c r="AW72" s="7">
        <f>'BBB'!AW72+'Bag Staging'!AW72+'Bag Staging Volumetric'!AW72+'FWD FSM'!AW72+'FWD Manual Pre Primary'!AW72+'FWD Manual Primary'!AW72+'FWD Primary with Scan'!AW72+'FWD Secondary'!AW72+'FWD Volumetric'!AW72+'IB'!AW72+'IB Volumetric'!AW72+'OB'!AW72+'OB Volumetric'!AW72+'OSC Bag Sorting'!AW72+'OSC Bag Sorting Volumetric'!AW72+'REV FSM'!AW72+'Rejection Primary with Scan'!AW72+'Rejection Secondary'!AW72+'Rev DC DC Primary Sorting'!AW72+'Rev Primary (FSM Rejections)'!AW72+'Rev Secondary Sorting'!AW72+'VIA Bag Sorting'!AW72</f>
        <v/>
      </c>
      <c r="AX72" s="7">
        <f>'BBB'!AX72+'Bag Staging'!AX72+'Bag Staging Volumetric'!AX72+'FWD FSM'!AX72+'FWD Manual Pre Primary'!AX72+'FWD Manual Primary'!AX72+'FWD Primary with Scan'!AX72+'FWD Secondary'!AX72+'FWD Volumetric'!AX72+'IB'!AX72+'IB Volumetric'!AX72+'OB'!AX72+'OB Volumetric'!AX72+'OSC Bag Sorting'!AX72+'OSC Bag Sorting Volumetric'!AX72+'REV FSM'!AX72+'Rejection Primary with Scan'!AX72+'Rejection Secondary'!AX72+'Rev DC DC Primary Sorting'!AX72+'Rev Primary (FSM Rejections)'!AX72+'Rev Secondary Sorting'!AX72+'VIA Bag Sorting'!AX72</f>
        <v/>
      </c>
      <c r="AY72" s="7">
        <f>'BBB'!AY72+'Bag Staging'!AY72+'Bag Staging Volumetric'!AY72+'FWD FSM'!AY72+'FWD Manual Pre Primary'!AY72+'FWD Manual Primary'!AY72+'FWD Primary with Scan'!AY72+'FWD Secondary'!AY72+'FWD Volumetric'!AY72+'IB'!AY72+'IB Volumetric'!AY72+'OB'!AY72+'OB Volumetric'!AY72+'OSC Bag Sorting'!AY72+'OSC Bag Sorting Volumetric'!AY72+'REV FSM'!AY72+'Rejection Primary with Scan'!AY72+'Rejection Secondary'!AY72+'Rev DC DC Primary Sorting'!AY72+'Rev Primary (FSM Rejections)'!AY72+'Rev Secondary Sorting'!AY72+'VIA Bag Sorting'!AY72</f>
        <v/>
      </c>
      <c r="AZ72" s="7">
        <f>'BBB'!AZ72+'Bag Staging'!AZ72+'Bag Staging Volumetric'!AZ72+'FWD FSM'!AZ72+'FWD Manual Pre Primary'!AZ72+'FWD Manual Primary'!AZ72+'FWD Primary with Scan'!AZ72+'FWD Secondary'!AZ72+'FWD Volumetric'!AZ72+'IB'!AZ72+'IB Volumetric'!AZ72+'OB'!AZ72+'OB Volumetric'!AZ72+'OSC Bag Sorting'!AZ72+'OSC Bag Sorting Volumetric'!AZ72+'REV FSM'!AZ72+'Rejection Primary with Scan'!AZ72+'Rejection Secondary'!AZ72+'Rev DC DC Primary Sorting'!AZ72+'Rev Primary (FSM Rejections)'!AZ72+'Rev Secondary Sorting'!AZ72+'VIA Bag Sorting'!AZ72</f>
        <v/>
      </c>
      <c r="BA72" s="7">
        <f>'BBB'!BA72+'Bag Staging'!BA72+'Bag Staging Volumetric'!BA72+'FWD FSM'!BA72+'FWD Manual Pre Primary'!BA72+'FWD Manual Primary'!BA72+'FWD Primary with Scan'!BA72+'FWD Secondary'!BA72+'FWD Volumetric'!BA72+'IB'!BA72+'IB Volumetric'!BA72+'OB'!BA72+'OB Volumetric'!BA72+'OSC Bag Sorting'!BA72+'OSC Bag Sorting Volumetric'!BA72+'REV FSM'!BA72+'Rejection Primary with Scan'!BA72+'Rejection Secondary'!BA72+'Rev DC DC Primary Sorting'!BA72+'Rev Primary (FSM Rejections)'!BA72+'Rev Secondary Sorting'!BA72+'VIA Bag Sorting'!BA72</f>
        <v/>
      </c>
      <c r="BB72" s="7">
        <f>SUM(AD72:BA72)</f>
        <v/>
      </c>
    </row>
    <row r="73">
      <c r="A73" t="inlineStr">
        <is>
          <t>AMD-M1</t>
        </is>
      </c>
      <c r="B73" t="inlineStr">
        <is>
          <t>Forward Regular OSC</t>
        </is>
      </c>
      <c r="C73" s="5" t="n">
        <v>46095</v>
      </c>
      <c r="D73" s="6" t="n">
        <v>2229</v>
      </c>
      <c r="E73" s="6" t="n">
        <v>509</v>
      </c>
      <c r="F73" s="6" t="n">
        <v>1737</v>
      </c>
      <c r="G73" s="6" t="n">
        <v>2401</v>
      </c>
      <c r="H73" s="6" t="n">
        <v>1739</v>
      </c>
      <c r="I73" s="6" t="n">
        <v>1840</v>
      </c>
      <c r="J73" s="6" t="n">
        <v>97</v>
      </c>
      <c r="K73" s="6" t="n">
        <v>71</v>
      </c>
      <c r="L73" s="6" t="n">
        <v>0</v>
      </c>
      <c r="M73" s="6" t="n">
        <v>204</v>
      </c>
      <c r="N73" s="6" t="n">
        <v>1046</v>
      </c>
      <c r="O73" s="6" t="n">
        <v>966</v>
      </c>
      <c r="P73" s="6" t="n">
        <v>2147</v>
      </c>
      <c r="Q73" s="6" t="n">
        <v>766</v>
      </c>
      <c r="R73" s="6" t="n">
        <v>1411</v>
      </c>
      <c r="S73" s="6" t="n">
        <v>1148</v>
      </c>
      <c r="T73" s="6" t="n">
        <v>58</v>
      </c>
      <c r="U73" s="6" t="n">
        <v>0</v>
      </c>
      <c r="V73" s="6" t="n">
        <v>0</v>
      </c>
      <c r="W73" s="6" t="n">
        <v>0</v>
      </c>
      <c r="X73" s="6" t="n">
        <v>44</v>
      </c>
      <c r="Y73" s="6" t="n">
        <v>0</v>
      </c>
      <c r="Z73" s="6" t="n">
        <v>37</v>
      </c>
      <c r="AA73" s="6" t="n">
        <v>2169</v>
      </c>
      <c r="AB73" s="6">
        <f>SUM(D73:AA73)</f>
        <v/>
      </c>
      <c r="AC73" s="3" t="inlineStr"/>
      <c r="AD73" s="7">
        <f>'BBB'!AD73+'Bag Staging'!AD73+'Bag Staging Volumetric'!AD73+'FWD FSM'!AD73+'FWD Manual Pre Primary'!AD73+'FWD Manual Primary'!AD73+'FWD Primary with Scan'!AD73+'FWD Secondary'!AD73+'FWD Volumetric'!AD73+'IB'!AD73+'IB Volumetric'!AD73+'OB'!AD73+'OB Volumetric'!AD73+'OSC Bag Sorting'!AD73+'OSC Bag Sorting Volumetric'!AD73+'REV FSM'!AD73+'Rejection Primary with Scan'!AD73+'Rejection Secondary'!AD73+'Rev DC DC Primary Sorting'!AD73+'Rev Primary (FSM Rejections)'!AD73+'Rev Secondary Sorting'!AD73+'VIA Bag Sorting'!AD73</f>
        <v/>
      </c>
      <c r="AE73" s="7">
        <f>'BBB'!AE73+'Bag Staging'!AE73+'Bag Staging Volumetric'!AE73+'FWD FSM'!AE73+'FWD Manual Pre Primary'!AE73+'FWD Manual Primary'!AE73+'FWD Primary with Scan'!AE73+'FWD Secondary'!AE73+'FWD Volumetric'!AE73+'IB'!AE73+'IB Volumetric'!AE73+'OB'!AE73+'OB Volumetric'!AE73+'OSC Bag Sorting'!AE73+'OSC Bag Sorting Volumetric'!AE73+'REV FSM'!AE73+'Rejection Primary with Scan'!AE73+'Rejection Secondary'!AE73+'Rev DC DC Primary Sorting'!AE73+'Rev Primary (FSM Rejections)'!AE73+'Rev Secondary Sorting'!AE73+'VIA Bag Sorting'!AE73</f>
        <v/>
      </c>
      <c r="AF73" s="7">
        <f>'BBB'!AF73+'Bag Staging'!AF73+'Bag Staging Volumetric'!AF73+'FWD FSM'!AF73+'FWD Manual Pre Primary'!AF73+'FWD Manual Primary'!AF73+'FWD Primary with Scan'!AF73+'FWD Secondary'!AF73+'FWD Volumetric'!AF73+'IB'!AF73+'IB Volumetric'!AF73+'OB'!AF73+'OB Volumetric'!AF73+'OSC Bag Sorting'!AF73+'OSC Bag Sorting Volumetric'!AF73+'REV FSM'!AF73+'Rejection Primary with Scan'!AF73+'Rejection Secondary'!AF73+'Rev DC DC Primary Sorting'!AF73+'Rev Primary (FSM Rejections)'!AF73+'Rev Secondary Sorting'!AF73+'VIA Bag Sorting'!AF73</f>
        <v/>
      </c>
      <c r="AG73" s="7">
        <f>'BBB'!AG73+'Bag Staging'!AG73+'Bag Staging Volumetric'!AG73+'FWD FSM'!AG73+'FWD Manual Pre Primary'!AG73+'FWD Manual Primary'!AG73+'FWD Primary with Scan'!AG73+'FWD Secondary'!AG73+'FWD Volumetric'!AG73+'IB'!AG73+'IB Volumetric'!AG73+'OB'!AG73+'OB Volumetric'!AG73+'OSC Bag Sorting'!AG73+'OSC Bag Sorting Volumetric'!AG73+'REV FSM'!AG73+'Rejection Primary with Scan'!AG73+'Rejection Secondary'!AG73+'Rev DC DC Primary Sorting'!AG73+'Rev Primary (FSM Rejections)'!AG73+'Rev Secondary Sorting'!AG73+'VIA Bag Sorting'!AG73</f>
        <v/>
      </c>
      <c r="AH73" s="7">
        <f>'BBB'!AH73+'Bag Staging'!AH73+'Bag Staging Volumetric'!AH73+'FWD FSM'!AH73+'FWD Manual Pre Primary'!AH73+'FWD Manual Primary'!AH73+'FWD Primary with Scan'!AH73+'FWD Secondary'!AH73+'FWD Volumetric'!AH73+'IB'!AH73+'IB Volumetric'!AH73+'OB'!AH73+'OB Volumetric'!AH73+'OSC Bag Sorting'!AH73+'OSC Bag Sorting Volumetric'!AH73+'REV FSM'!AH73+'Rejection Primary with Scan'!AH73+'Rejection Secondary'!AH73+'Rev DC DC Primary Sorting'!AH73+'Rev Primary (FSM Rejections)'!AH73+'Rev Secondary Sorting'!AH73+'VIA Bag Sorting'!AH73</f>
        <v/>
      </c>
      <c r="AI73" s="7">
        <f>'BBB'!AI73+'Bag Staging'!AI73+'Bag Staging Volumetric'!AI73+'FWD FSM'!AI73+'FWD Manual Pre Primary'!AI73+'FWD Manual Primary'!AI73+'FWD Primary with Scan'!AI73+'FWD Secondary'!AI73+'FWD Volumetric'!AI73+'IB'!AI73+'IB Volumetric'!AI73+'OB'!AI73+'OB Volumetric'!AI73+'OSC Bag Sorting'!AI73+'OSC Bag Sorting Volumetric'!AI73+'REV FSM'!AI73+'Rejection Primary with Scan'!AI73+'Rejection Secondary'!AI73+'Rev DC DC Primary Sorting'!AI73+'Rev Primary (FSM Rejections)'!AI73+'Rev Secondary Sorting'!AI73+'VIA Bag Sorting'!AI73</f>
        <v/>
      </c>
      <c r="AJ73" s="7">
        <f>'BBB'!AJ73+'Bag Staging'!AJ73+'Bag Staging Volumetric'!AJ73+'FWD FSM'!AJ73+'FWD Manual Pre Primary'!AJ73+'FWD Manual Primary'!AJ73+'FWD Primary with Scan'!AJ73+'FWD Secondary'!AJ73+'FWD Volumetric'!AJ73+'IB'!AJ73+'IB Volumetric'!AJ73+'OB'!AJ73+'OB Volumetric'!AJ73+'OSC Bag Sorting'!AJ73+'OSC Bag Sorting Volumetric'!AJ73+'REV FSM'!AJ73+'Rejection Primary with Scan'!AJ73+'Rejection Secondary'!AJ73+'Rev DC DC Primary Sorting'!AJ73+'Rev Primary (FSM Rejections)'!AJ73+'Rev Secondary Sorting'!AJ73+'VIA Bag Sorting'!AJ73</f>
        <v/>
      </c>
      <c r="AK73" s="7">
        <f>'BBB'!AK73+'Bag Staging'!AK73+'Bag Staging Volumetric'!AK73+'FWD FSM'!AK73+'FWD Manual Pre Primary'!AK73+'FWD Manual Primary'!AK73+'FWD Primary with Scan'!AK73+'FWD Secondary'!AK73+'FWD Volumetric'!AK73+'IB'!AK73+'IB Volumetric'!AK73+'OB'!AK73+'OB Volumetric'!AK73+'OSC Bag Sorting'!AK73+'OSC Bag Sorting Volumetric'!AK73+'REV FSM'!AK73+'Rejection Primary with Scan'!AK73+'Rejection Secondary'!AK73+'Rev DC DC Primary Sorting'!AK73+'Rev Primary (FSM Rejections)'!AK73+'Rev Secondary Sorting'!AK73+'VIA Bag Sorting'!AK73</f>
        <v/>
      </c>
      <c r="AL73" s="7">
        <f>'BBB'!AL73+'Bag Staging'!AL73+'Bag Staging Volumetric'!AL73+'FWD FSM'!AL73+'FWD Manual Pre Primary'!AL73+'FWD Manual Primary'!AL73+'FWD Primary with Scan'!AL73+'FWD Secondary'!AL73+'FWD Volumetric'!AL73+'IB'!AL73+'IB Volumetric'!AL73+'OB'!AL73+'OB Volumetric'!AL73+'OSC Bag Sorting'!AL73+'OSC Bag Sorting Volumetric'!AL73+'REV FSM'!AL73+'Rejection Primary with Scan'!AL73+'Rejection Secondary'!AL73+'Rev DC DC Primary Sorting'!AL73+'Rev Primary (FSM Rejections)'!AL73+'Rev Secondary Sorting'!AL73+'VIA Bag Sorting'!AL73</f>
        <v/>
      </c>
      <c r="AM73" s="7">
        <f>'BBB'!AM73+'Bag Staging'!AM73+'Bag Staging Volumetric'!AM73+'FWD FSM'!AM73+'FWD Manual Pre Primary'!AM73+'FWD Manual Primary'!AM73+'FWD Primary with Scan'!AM73+'FWD Secondary'!AM73+'FWD Volumetric'!AM73+'IB'!AM73+'IB Volumetric'!AM73+'OB'!AM73+'OB Volumetric'!AM73+'OSC Bag Sorting'!AM73+'OSC Bag Sorting Volumetric'!AM73+'REV FSM'!AM73+'Rejection Primary with Scan'!AM73+'Rejection Secondary'!AM73+'Rev DC DC Primary Sorting'!AM73+'Rev Primary (FSM Rejections)'!AM73+'Rev Secondary Sorting'!AM73+'VIA Bag Sorting'!AM73</f>
        <v/>
      </c>
      <c r="AN73" s="7">
        <f>'BBB'!AN73+'Bag Staging'!AN73+'Bag Staging Volumetric'!AN73+'FWD FSM'!AN73+'FWD Manual Pre Primary'!AN73+'FWD Manual Primary'!AN73+'FWD Primary with Scan'!AN73+'FWD Secondary'!AN73+'FWD Volumetric'!AN73+'IB'!AN73+'IB Volumetric'!AN73+'OB'!AN73+'OB Volumetric'!AN73+'OSC Bag Sorting'!AN73+'OSC Bag Sorting Volumetric'!AN73+'REV FSM'!AN73+'Rejection Primary with Scan'!AN73+'Rejection Secondary'!AN73+'Rev DC DC Primary Sorting'!AN73+'Rev Primary (FSM Rejections)'!AN73+'Rev Secondary Sorting'!AN73+'VIA Bag Sorting'!AN73</f>
        <v/>
      </c>
      <c r="AO73" s="7">
        <f>'BBB'!AO73+'Bag Staging'!AO73+'Bag Staging Volumetric'!AO73+'FWD FSM'!AO73+'FWD Manual Pre Primary'!AO73+'FWD Manual Primary'!AO73+'FWD Primary with Scan'!AO73+'FWD Secondary'!AO73+'FWD Volumetric'!AO73+'IB'!AO73+'IB Volumetric'!AO73+'OB'!AO73+'OB Volumetric'!AO73+'OSC Bag Sorting'!AO73+'OSC Bag Sorting Volumetric'!AO73+'REV FSM'!AO73+'Rejection Primary with Scan'!AO73+'Rejection Secondary'!AO73+'Rev DC DC Primary Sorting'!AO73+'Rev Primary (FSM Rejections)'!AO73+'Rev Secondary Sorting'!AO73+'VIA Bag Sorting'!AO73</f>
        <v/>
      </c>
      <c r="AP73" s="7">
        <f>'BBB'!AP73+'Bag Staging'!AP73+'Bag Staging Volumetric'!AP73+'FWD FSM'!AP73+'FWD Manual Pre Primary'!AP73+'FWD Manual Primary'!AP73+'FWD Primary with Scan'!AP73+'FWD Secondary'!AP73+'FWD Volumetric'!AP73+'IB'!AP73+'IB Volumetric'!AP73+'OB'!AP73+'OB Volumetric'!AP73+'OSC Bag Sorting'!AP73+'OSC Bag Sorting Volumetric'!AP73+'REV FSM'!AP73+'Rejection Primary with Scan'!AP73+'Rejection Secondary'!AP73+'Rev DC DC Primary Sorting'!AP73+'Rev Primary (FSM Rejections)'!AP73+'Rev Secondary Sorting'!AP73+'VIA Bag Sorting'!AP73</f>
        <v/>
      </c>
      <c r="AQ73" s="7">
        <f>'BBB'!AQ73+'Bag Staging'!AQ73+'Bag Staging Volumetric'!AQ73+'FWD FSM'!AQ73+'FWD Manual Pre Primary'!AQ73+'FWD Manual Primary'!AQ73+'FWD Primary with Scan'!AQ73+'FWD Secondary'!AQ73+'FWD Volumetric'!AQ73+'IB'!AQ73+'IB Volumetric'!AQ73+'OB'!AQ73+'OB Volumetric'!AQ73+'OSC Bag Sorting'!AQ73+'OSC Bag Sorting Volumetric'!AQ73+'REV FSM'!AQ73+'Rejection Primary with Scan'!AQ73+'Rejection Secondary'!AQ73+'Rev DC DC Primary Sorting'!AQ73+'Rev Primary (FSM Rejections)'!AQ73+'Rev Secondary Sorting'!AQ73+'VIA Bag Sorting'!AQ73</f>
        <v/>
      </c>
      <c r="AR73" s="7">
        <f>'BBB'!AR73+'Bag Staging'!AR73+'Bag Staging Volumetric'!AR73+'FWD FSM'!AR73+'FWD Manual Pre Primary'!AR73+'FWD Manual Primary'!AR73+'FWD Primary with Scan'!AR73+'FWD Secondary'!AR73+'FWD Volumetric'!AR73+'IB'!AR73+'IB Volumetric'!AR73+'OB'!AR73+'OB Volumetric'!AR73+'OSC Bag Sorting'!AR73+'OSC Bag Sorting Volumetric'!AR73+'REV FSM'!AR73+'Rejection Primary with Scan'!AR73+'Rejection Secondary'!AR73+'Rev DC DC Primary Sorting'!AR73+'Rev Primary (FSM Rejections)'!AR73+'Rev Secondary Sorting'!AR73+'VIA Bag Sorting'!AR73</f>
        <v/>
      </c>
      <c r="AS73" s="7">
        <f>'BBB'!AS73+'Bag Staging'!AS73+'Bag Staging Volumetric'!AS73+'FWD FSM'!AS73+'FWD Manual Pre Primary'!AS73+'FWD Manual Primary'!AS73+'FWD Primary with Scan'!AS73+'FWD Secondary'!AS73+'FWD Volumetric'!AS73+'IB'!AS73+'IB Volumetric'!AS73+'OB'!AS73+'OB Volumetric'!AS73+'OSC Bag Sorting'!AS73+'OSC Bag Sorting Volumetric'!AS73+'REV FSM'!AS73+'Rejection Primary with Scan'!AS73+'Rejection Secondary'!AS73+'Rev DC DC Primary Sorting'!AS73+'Rev Primary (FSM Rejections)'!AS73+'Rev Secondary Sorting'!AS73+'VIA Bag Sorting'!AS73</f>
        <v/>
      </c>
      <c r="AT73" s="7">
        <f>'BBB'!AT73+'Bag Staging'!AT73+'Bag Staging Volumetric'!AT73+'FWD FSM'!AT73+'FWD Manual Pre Primary'!AT73+'FWD Manual Primary'!AT73+'FWD Primary with Scan'!AT73+'FWD Secondary'!AT73+'FWD Volumetric'!AT73+'IB'!AT73+'IB Volumetric'!AT73+'OB'!AT73+'OB Volumetric'!AT73+'OSC Bag Sorting'!AT73+'OSC Bag Sorting Volumetric'!AT73+'REV FSM'!AT73+'Rejection Primary with Scan'!AT73+'Rejection Secondary'!AT73+'Rev DC DC Primary Sorting'!AT73+'Rev Primary (FSM Rejections)'!AT73+'Rev Secondary Sorting'!AT73+'VIA Bag Sorting'!AT73</f>
        <v/>
      </c>
      <c r="AU73" s="7">
        <f>'BBB'!AU73+'Bag Staging'!AU73+'Bag Staging Volumetric'!AU73+'FWD FSM'!AU73+'FWD Manual Pre Primary'!AU73+'FWD Manual Primary'!AU73+'FWD Primary with Scan'!AU73+'FWD Secondary'!AU73+'FWD Volumetric'!AU73+'IB'!AU73+'IB Volumetric'!AU73+'OB'!AU73+'OB Volumetric'!AU73+'OSC Bag Sorting'!AU73+'OSC Bag Sorting Volumetric'!AU73+'REV FSM'!AU73+'Rejection Primary with Scan'!AU73+'Rejection Secondary'!AU73+'Rev DC DC Primary Sorting'!AU73+'Rev Primary (FSM Rejections)'!AU73+'Rev Secondary Sorting'!AU73+'VIA Bag Sorting'!AU73</f>
        <v/>
      </c>
      <c r="AV73" s="7">
        <f>'BBB'!AV73+'Bag Staging'!AV73+'Bag Staging Volumetric'!AV73+'FWD FSM'!AV73+'FWD Manual Pre Primary'!AV73+'FWD Manual Primary'!AV73+'FWD Primary with Scan'!AV73+'FWD Secondary'!AV73+'FWD Volumetric'!AV73+'IB'!AV73+'IB Volumetric'!AV73+'OB'!AV73+'OB Volumetric'!AV73+'OSC Bag Sorting'!AV73+'OSC Bag Sorting Volumetric'!AV73+'REV FSM'!AV73+'Rejection Primary with Scan'!AV73+'Rejection Secondary'!AV73+'Rev DC DC Primary Sorting'!AV73+'Rev Primary (FSM Rejections)'!AV73+'Rev Secondary Sorting'!AV73+'VIA Bag Sorting'!AV73</f>
        <v/>
      </c>
      <c r="AW73" s="7">
        <f>'BBB'!AW73+'Bag Staging'!AW73+'Bag Staging Volumetric'!AW73+'FWD FSM'!AW73+'FWD Manual Pre Primary'!AW73+'FWD Manual Primary'!AW73+'FWD Primary with Scan'!AW73+'FWD Secondary'!AW73+'FWD Volumetric'!AW73+'IB'!AW73+'IB Volumetric'!AW73+'OB'!AW73+'OB Volumetric'!AW73+'OSC Bag Sorting'!AW73+'OSC Bag Sorting Volumetric'!AW73+'REV FSM'!AW73+'Rejection Primary with Scan'!AW73+'Rejection Secondary'!AW73+'Rev DC DC Primary Sorting'!AW73+'Rev Primary (FSM Rejections)'!AW73+'Rev Secondary Sorting'!AW73+'VIA Bag Sorting'!AW73</f>
        <v/>
      </c>
      <c r="AX73" s="7">
        <f>'BBB'!AX73+'Bag Staging'!AX73+'Bag Staging Volumetric'!AX73+'FWD FSM'!AX73+'FWD Manual Pre Primary'!AX73+'FWD Manual Primary'!AX73+'FWD Primary with Scan'!AX73+'FWD Secondary'!AX73+'FWD Volumetric'!AX73+'IB'!AX73+'IB Volumetric'!AX73+'OB'!AX73+'OB Volumetric'!AX73+'OSC Bag Sorting'!AX73+'OSC Bag Sorting Volumetric'!AX73+'REV FSM'!AX73+'Rejection Primary with Scan'!AX73+'Rejection Secondary'!AX73+'Rev DC DC Primary Sorting'!AX73+'Rev Primary (FSM Rejections)'!AX73+'Rev Secondary Sorting'!AX73+'VIA Bag Sorting'!AX73</f>
        <v/>
      </c>
      <c r="AY73" s="7">
        <f>'BBB'!AY73+'Bag Staging'!AY73+'Bag Staging Volumetric'!AY73+'FWD FSM'!AY73+'FWD Manual Pre Primary'!AY73+'FWD Manual Primary'!AY73+'FWD Primary with Scan'!AY73+'FWD Secondary'!AY73+'FWD Volumetric'!AY73+'IB'!AY73+'IB Volumetric'!AY73+'OB'!AY73+'OB Volumetric'!AY73+'OSC Bag Sorting'!AY73+'OSC Bag Sorting Volumetric'!AY73+'REV FSM'!AY73+'Rejection Primary with Scan'!AY73+'Rejection Secondary'!AY73+'Rev DC DC Primary Sorting'!AY73+'Rev Primary (FSM Rejections)'!AY73+'Rev Secondary Sorting'!AY73+'VIA Bag Sorting'!AY73</f>
        <v/>
      </c>
      <c r="AZ73" s="7">
        <f>'BBB'!AZ73+'Bag Staging'!AZ73+'Bag Staging Volumetric'!AZ73+'FWD FSM'!AZ73+'FWD Manual Pre Primary'!AZ73+'FWD Manual Primary'!AZ73+'FWD Primary with Scan'!AZ73+'FWD Secondary'!AZ73+'FWD Volumetric'!AZ73+'IB'!AZ73+'IB Volumetric'!AZ73+'OB'!AZ73+'OB Volumetric'!AZ73+'OSC Bag Sorting'!AZ73+'OSC Bag Sorting Volumetric'!AZ73+'REV FSM'!AZ73+'Rejection Primary with Scan'!AZ73+'Rejection Secondary'!AZ73+'Rev DC DC Primary Sorting'!AZ73+'Rev Primary (FSM Rejections)'!AZ73+'Rev Secondary Sorting'!AZ73+'VIA Bag Sorting'!AZ73</f>
        <v/>
      </c>
      <c r="BA73" s="7">
        <f>'BBB'!BA73+'Bag Staging'!BA73+'Bag Staging Volumetric'!BA73+'FWD FSM'!BA73+'FWD Manual Pre Primary'!BA73+'FWD Manual Primary'!BA73+'FWD Primary with Scan'!BA73+'FWD Secondary'!BA73+'FWD Volumetric'!BA73+'IB'!BA73+'IB Volumetric'!BA73+'OB'!BA73+'OB Volumetric'!BA73+'OSC Bag Sorting'!BA73+'OSC Bag Sorting Volumetric'!BA73+'REV FSM'!BA73+'Rejection Primary with Scan'!BA73+'Rejection Secondary'!BA73+'Rev DC DC Primary Sorting'!BA73+'Rev Primary (FSM Rejections)'!BA73+'Rev Secondary Sorting'!BA73+'VIA Bag Sorting'!BA73</f>
        <v/>
      </c>
      <c r="BB73" s="7">
        <f>SUM(AD73:BA73)</f>
        <v/>
      </c>
    </row>
    <row r="74">
      <c r="A74" t="inlineStr">
        <is>
          <t>AMD-M1</t>
        </is>
      </c>
      <c r="B74" t="inlineStr">
        <is>
          <t>Forward Regular OSC</t>
        </is>
      </c>
      <c r="C74" s="5" t="n">
        <v>46096</v>
      </c>
      <c r="D74" s="6" t="n">
        <v>2018</v>
      </c>
      <c r="E74" s="6" t="n">
        <v>883</v>
      </c>
      <c r="F74" s="6" t="n">
        <v>1630</v>
      </c>
      <c r="G74" s="6" t="n">
        <v>3782</v>
      </c>
      <c r="H74" s="6" t="n">
        <v>612</v>
      </c>
      <c r="I74" s="6" t="n">
        <v>178</v>
      </c>
      <c r="J74" s="6" t="n">
        <v>110</v>
      </c>
      <c r="K74" s="6" t="n">
        <v>0</v>
      </c>
      <c r="L74" s="6" t="n">
        <v>124</v>
      </c>
      <c r="M74" s="6" t="n">
        <v>385</v>
      </c>
      <c r="N74" s="6" t="n">
        <v>1114</v>
      </c>
      <c r="O74" s="6" t="n">
        <v>2310</v>
      </c>
      <c r="P74" s="6" t="n">
        <v>567</v>
      </c>
      <c r="Q74" s="6" t="n">
        <v>0</v>
      </c>
      <c r="R74" s="6" t="n">
        <v>122</v>
      </c>
      <c r="S74" s="6" t="n">
        <v>0</v>
      </c>
      <c r="T74" s="6" t="n">
        <v>0</v>
      </c>
      <c r="U74" s="6" t="n">
        <v>0</v>
      </c>
      <c r="V74" s="6" t="n">
        <v>0</v>
      </c>
      <c r="W74" s="6" t="n">
        <v>0</v>
      </c>
      <c r="X74" s="6" t="n">
        <v>0</v>
      </c>
      <c r="Y74" s="6" t="n">
        <v>38</v>
      </c>
      <c r="Z74" s="6" t="n">
        <v>0</v>
      </c>
      <c r="AA74" s="6" t="n">
        <v>827</v>
      </c>
      <c r="AB74" s="6">
        <f>SUM(D74:AA74)</f>
        <v/>
      </c>
      <c r="AC74" s="3" t="inlineStr"/>
      <c r="AD74" s="7">
        <f>'BBB'!AD74+'Bag Staging'!AD74+'Bag Staging Volumetric'!AD74+'FWD FSM'!AD74+'FWD Manual Pre Primary'!AD74+'FWD Manual Primary'!AD74+'FWD Primary with Scan'!AD74+'FWD Secondary'!AD74+'FWD Volumetric'!AD74+'IB'!AD74+'IB Volumetric'!AD74+'OB'!AD74+'OB Volumetric'!AD74+'OSC Bag Sorting'!AD74+'OSC Bag Sorting Volumetric'!AD74+'REV FSM'!AD74+'Rejection Primary with Scan'!AD74+'Rejection Secondary'!AD74+'Rev DC DC Primary Sorting'!AD74+'Rev Primary (FSM Rejections)'!AD74+'Rev Secondary Sorting'!AD74+'VIA Bag Sorting'!AD74</f>
        <v/>
      </c>
      <c r="AE74" s="7">
        <f>'BBB'!AE74+'Bag Staging'!AE74+'Bag Staging Volumetric'!AE74+'FWD FSM'!AE74+'FWD Manual Pre Primary'!AE74+'FWD Manual Primary'!AE74+'FWD Primary with Scan'!AE74+'FWD Secondary'!AE74+'FWD Volumetric'!AE74+'IB'!AE74+'IB Volumetric'!AE74+'OB'!AE74+'OB Volumetric'!AE74+'OSC Bag Sorting'!AE74+'OSC Bag Sorting Volumetric'!AE74+'REV FSM'!AE74+'Rejection Primary with Scan'!AE74+'Rejection Secondary'!AE74+'Rev DC DC Primary Sorting'!AE74+'Rev Primary (FSM Rejections)'!AE74+'Rev Secondary Sorting'!AE74+'VIA Bag Sorting'!AE74</f>
        <v/>
      </c>
      <c r="AF74" s="7">
        <f>'BBB'!AF74+'Bag Staging'!AF74+'Bag Staging Volumetric'!AF74+'FWD FSM'!AF74+'FWD Manual Pre Primary'!AF74+'FWD Manual Primary'!AF74+'FWD Primary with Scan'!AF74+'FWD Secondary'!AF74+'FWD Volumetric'!AF74+'IB'!AF74+'IB Volumetric'!AF74+'OB'!AF74+'OB Volumetric'!AF74+'OSC Bag Sorting'!AF74+'OSC Bag Sorting Volumetric'!AF74+'REV FSM'!AF74+'Rejection Primary with Scan'!AF74+'Rejection Secondary'!AF74+'Rev DC DC Primary Sorting'!AF74+'Rev Primary (FSM Rejections)'!AF74+'Rev Secondary Sorting'!AF74+'VIA Bag Sorting'!AF74</f>
        <v/>
      </c>
      <c r="AG74" s="7">
        <f>'BBB'!AG74+'Bag Staging'!AG74+'Bag Staging Volumetric'!AG74+'FWD FSM'!AG74+'FWD Manual Pre Primary'!AG74+'FWD Manual Primary'!AG74+'FWD Primary with Scan'!AG74+'FWD Secondary'!AG74+'FWD Volumetric'!AG74+'IB'!AG74+'IB Volumetric'!AG74+'OB'!AG74+'OB Volumetric'!AG74+'OSC Bag Sorting'!AG74+'OSC Bag Sorting Volumetric'!AG74+'REV FSM'!AG74+'Rejection Primary with Scan'!AG74+'Rejection Secondary'!AG74+'Rev DC DC Primary Sorting'!AG74+'Rev Primary (FSM Rejections)'!AG74+'Rev Secondary Sorting'!AG74+'VIA Bag Sorting'!AG74</f>
        <v/>
      </c>
      <c r="AH74" s="7">
        <f>'BBB'!AH74+'Bag Staging'!AH74+'Bag Staging Volumetric'!AH74+'FWD FSM'!AH74+'FWD Manual Pre Primary'!AH74+'FWD Manual Primary'!AH74+'FWD Primary with Scan'!AH74+'FWD Secondary'!AH74+'FWD Volumetric'!AH74+'IB'!AH74+'IB Volumetric'!AH74+'OB'!AH74+'OB Volumetric'!AH74+'OSC Bag Sorting'!AH74+'OSC Bag Sorting Volumetric'!AH74+'REV FSM'!AH74+'Rejection Primary with Scan'!AH74+'Rejection Secondary'!AH74+'Rev DC DC Primary Sorting'!AH74+'Rev Primary (FSM Rejections)'!AH74+'Rev Secondary Sorting'!AH74+'VIA Bag Sorting'!AH74</f>
        <v/>
      </c>
      <c r="AI74" s="7">
        <f>'BBB'!AI74+'Bag Staging'!AI74+'Bag Staging Volumetric'!AI74+'FWD FSM'!AI74+'FWD Manual Pre Primary'!AI74+'FWD Manual Primary'!AI74+'FWD Primary with Scan'!AI74+'FWD Secondary'!AI74+'FWD Volumetric'!AI74+'IB'!AI74+'IB Volumetric'!AI74+'OB'!AI74+'OB Volumetric'!AI74+'OSC Bag Sorting'!AI74+'OSC Bag Sorting Volumetric'!AI74+'REV FSM'!AI74+'Rejection Primary with Scan'!AI74+'Rejection Secondary'!AI74+'Rev DC DC Primary Sorting'!AI74+'Rev Primary (FSM Rejections)'!AI74+'Rev Secondary Sorting'!AI74+'VIA Bag Sorting'!AI74</f>
        <v/>
      </c>
      <c r="AJ74" s="7">
        <f>'BBB'!AJ74+'Bag Staging'!AJ74+'Bag Staging Volumetric'!AJ74+'FWD FSM'!AJ74+'FWD Manual Pre Primary'!AJ74+'FWD Manual Primary'!AJ74+'FWD Primary with Scan'!AJ74+'FWD Secondary'!AJ74+'FWD Volumetric'!AJ74+'IB'!AJ74+'IB Volumetric'!AJ74+'OB'!AJ74+'OB Volumetric'!AJ74+'OSC Bag Sorting'!AJ74+'OSC Bag Sorting Volumetric'!AJ74+'REV FSM'!AJ74+'Rejection Primary with Scan'!AJ74+'Rejection Secondary'!AJ74+'Rev DC DC Primary Sorting'!AJ74+'Rev Primary (FSM Rejections)'!AJ74+'Rev Secondary Sorting'!AJ74+'VIA Bag Sorting'!AJ74</f>
        <v/>
      </c>
      <c r="AK74" s="7">
        <f>'BBB'!AK74+'Bag Staging'!AK74+'Bag Staging Volumetric'!AK74+'FWD FSM'!AK74+'FWD Manual Pre Primary'!AK74+'FWD Manual Primary'!AK74+'FWD Primary with Scan'!AK74+'FWD Secondary'!AK74+'FWD Volumetric'!AK74+'IB'!AK74+'IB Volumetric'!AK74+'OB'!AK74+'OB Volumetric'!AK74+'OSC Bag Sorting'!AK74+'OSC Bag Sorting Volumetric'!AK74+'REV FSM'!AK74+'Rejection Primary with Scan'!AK74+'Rejection Secondary'!AK74+'Rev DC DC Primary Sorting'!AK74+'Rev Primary (FSM Rejections)'!AK74+'Rev Secondary Sorting'!AK74+'VIA Bag Sorting'!AK74</f>
        <v/>
      </c>
      <c r="AL74" s="7">
        <f>'BBB'!AL74+'Bag Staging'!AL74+'Bag Staging Volumetric'!AL74+'FWD FSM'!AL74+'FWD Manual Pre Primary'!AL74+'FWD Manual Primary'!AL74+'FWD Primary with Scan'!AL74+'FWD Secondary'!AL74+'FWD Volumetric'!AL74+'IB'!AL74+'IB Volumetric'!AL74+'OB'!AL74+'OB Volumetric'!AL74+'OSC Bag Sorting'!AL74+'OSC Bag Sorting Volumetric'!AL74+'REV FSM'!AL74+'Rejection Primary with Scan'!AL74+'Rejection Secondary'!AL74+'Rev DC DC Primary Sorting'!AL74+'Rev Primary (FSM Rejections)'!AL74+'Rev Secondary Sorting'!AL74+'VIA Bag Sorting'!AL74</f>
        <v/>
      </c>
      <c r="AM74" s="7">
        <f>'BBB'!AM74+'Bag Staging'!AM74+'Bag Staging Volumetric'!AM74+'FWD FSM'!AM74+'FWD Manual Pre Primary'!AM74+'FWD Manual Primary'!AM74+'FWD Primary with Scan'!AM74+'FWD Secondary'!AM74+'FWD Volumetric'!AM74+'IB'!AM74+'IB Volumetric'!AM74+'OB'!AM74+'OB Volumetric'!AM74+'OSC Bag Sorting'!AM74+'OSC Bag Sorting Volumetric'!AM74+'REV FSM'!AM74+'Rejection Primary with Scan'!AM74+'Rejection Secondary'!AM74+'Rev DC DC Primary Sorting'!AM74+'Rev Primary (FSM Rejections)'!AM74+'Rev Secondary Sorting'!AM74+'VIA Bag Sorting'!AM74</f>
        <v/>
      </c>
      <c r="AN74" s="7">
        <f>'BBB'!AN74+'Bag Staging'!AN74+'Bag Staging Volumetric'!AN74+'FWD FSM'!AN74+'FWD Manual Pre Primary'!AN74+'FWD Manual Primary'!AN74+'FWD Primary with Scan'!AN74+'FWD Secondary'!AN74+'FWD Volumetric'!AN74+'IB'!AN74+'IB Volumetric'!AN74+'OB'!AN74+'OB Volumetric'!AN74+'OSC Bag Sorting'!AN74+'OSC Bag Sorting Volumetric'!AN74+'REV FSM'!AN74+'Rejection Primary with Scan'!AN74+'Rejection Secondary'!AN74+'Rev DC DC Primary Sorting'!AN74+'Rev Primary (FSM Rejections)'!AN74+'Rev Secondary Sorting'!AN74+'VIA Bag Sorting'!AN74</f>
        <v/>
      </c>
      <c r="AO74" s="7">
        <f>'BBB'!AO74+'Bag Staging'!AO74+'Bag Staging Volumetric'!AO74+'FWD FSM'!AO74+'FWD Manual Pre Primary'!AO74+'FWD Manual Primary'!AO74+'FWD Primary with Scan'!AO74+'FWD Secondary'!AO74+'FWD Volumetric'!AO74+'IB'!AO74+'IB Volumetric'!AO74+'OB'!AO74+'OB Volumetric'!AO74+'OSC Bag Sorting'!AO74+'OSC Bag Sorting Volumetric'!AO74+'REV FSM'!AO74+'Rejection Primary with Scan'!AO74+'Rejection Secondary'!AO74+'Rev DC DC Primary Sorting'!AO74+'Rev Primary (FSM Rejections)'!AO74+'Rev Secondary Sorting'!AO74+'VIA Bag Sorting'!AO74</f>
        <v/>
      </c>
      <c r="AP74" s="7">
        <f>'BBB'!AP74+'Bag Staging'!AP74+'Bag Staging Volumetric'!AP74+'FWD FSM'!AP74+'FWD Manual Pre Primary'!AP74+'FWD Manual Primary'!AP74+'FWD Primary with Scan'!AP74+'FWD Secondary'!AP74+'FWD Volumetric'!AP74+'IB'!AP74+'IB Volumetric'!AP74+'OB'!AP74+'OB Volumetric'!AP74+'OSC Bag Sorting'!AP74+'OSC Bag Sorting Volumetric'!AP74+'REV FSM'!AP74+'Rejection Primary with Scan'!AP74+'Rejection Secondary'!AP74+'Rev DC DC Primary Sorting'!AP74+'Rev Primary (FSM Rejections)'!AP74+'Rev Secondary Sorting'!AP74+'VIA Bag Sorting'!AP74</f>
        <v/>
      </c>
      <c r="AQ74" s="7">
        <f>'BBB'!AQ74+'Bag Staging'!AQ74+'Bag Staging Volumetric'!AQ74+'FWD FSM'!AQ74+'FWD Manual Pre Primary'!AQ74+'FWD Manual Primary'!AQ74+'FWD Primary with Scan'!AQ74+'FWD Secondary'!AQ74+'FWD Volumetric'!AQ74+'IB'!AQ74+'IB Volumetric'!AQ74+'OB'!AQ74+'OB Volumetric'!AQ74+'OSC Bag Sorting'!AQ74+'OSC Bag Sorting Volumetric'!AQ74+'REV FSM'!AQ74+'Rejection Primary with Scan'!AQ74+'Rejection Secondary'!AQ74+'Rev DC DC Primary Sorting'!AQ74+'Rev Primary (FSM Rejections)'!AQ74+'Rev Secondary Sorting'!AQ74+'VIA Bag Sorting'!AQ74</f>
        <v/>
      </c>
      <c r="AR74" s="7">
        <f>'BBB'!AR74+'Bag Staging'!AR74+'Bag Staging Volumetric'!AR74+'FWD FSM'!AR74+'FWD Manual Pre Primary'!AR74+'FWD Manual Primary'!AR74+'FWD Primary with Scan'!AR74+'FWD Secondary'!AR74+'FWD Volumetric'!AR74+'IB'!AR74+'IB Volumetric'!AR74+'OB'!AR74+'OB Volumetric'!AR74+'OSC Bag Sorting'!AR74+'OSC Bag Sorting Volumetric'!AR74+'REV FSM'!AR74+'Rejection Primary with Scan'!AR74+'Rejection Secondary'!AR74+'Rev DC DC Primary Sorting'!AR74+'Rev Primary (FSM Rejections)'!AR74+'Rev Secondary Sorting'!AR74+'VIA Bag Sorting'!AR74</f>
        <v/>
      </c>
      <c r="AS74" s="7">
        <f>'BBB'!AS74+'Bag Staging'!AS74+'Bag Staging Volumetric'!AS74+'FWD FSM'!AS74+'FWD Manual Pre Primary'!AS74+'FWD Manual Primary'!AS74+'FWD Primary with Scan'!AS74+'FWD Secondary'!AS74+'FWD Volumetric'!AS74+'IB'!AS74+'IB Volumetric'!AS74+'OB'!AS74+'OB Volumetric'!AS74+'OSC Bag Sorting'!AS74+'OSC Bag Sorting Volumetric'!AS74+'REV FSM'!AS74+'Rejection Primary with Scan'!AS74+'Rejection Secondary'!AS74+'Rev DC DC Primary Sorting'!AS74+'Rev Primary (FSM Rejections)'!AS74+'Rev Secondary Sorting'!AS74+'VIA Bag Sorting'!AS74</f>
        <v/>
      </c>
      <c r="AT74" s="7">
        <f>'BBB'!AT74+'Bag Staging'!AT74+'Bag Staging Volumetric'!AT74+'FWD FSM'!AT74+'FWD Manual Pre Primary'!AT74+'FWD Manual Primary'!AT74+'FWD Primary with Scan'!AT74+'FWD Secondary'!AT74+'FWD Volumetric'!AT74+'IB'!AT74+'IB Volumetric'!AT74+'OB'!AT74+'OB Volumetric'!AT74+'OSC Bag Sorting'!AT74+'OSC Bag Sorting Volumetric'!AT74+'REV FSM'!AT74+'Rejection Primary with Scan'!AT74+'Rejection Secondary'!AT74+'Rev DC DC Primary Sorting'!AT74+'Rev Primary (FSM Rejections)'!AT74+'Rev Secondary Sorting'!AT74+'VIA Bag Sorting'!AT74</f>
        <v/>
      </c>
      <c r="AU74" s="7">
        <f>'BBB'!AU74+'Bag Staging'!AU74+'Bag Staging Volumetric'!AU74+'FWD FSM'!AU74+'FWD Manual Pre Primary'!AU74+'FWD Manual Primary'!AU74+'FWD Primary with Scan'!AU74+'FWD Secondary'!AU74+'FWD Volumetric'!AU74+'IB'!AU74+'IB Volumetric'!AU74+'OB'!AU74+'OB Volumetric'!AU74+'OSC Bag Sorting'!AU74+'OSC Bag Sorting Volumetric'!AU74+'REV FSM'!AU74+'Rejection Primary with Scan'!AU74+'Rejection Secondary'!AU74+'Rev DC DC Primary Sorting'!AU74+'Rev Primary (FSM Rejections)'!AU74+'Rev Secondary Sorting'!AU74+'VIA Bag Sorting'!AU74</f>
        <v/>
      </c>
      <c r="AV74" s="7">
        <f>'BBB'!AV74+'Bag Staging'!AV74+'Bag Staging Volumetric'!AV74+'FWD FSM'!AV74+'FWD Manual Pre Primary'!AV74+'FWD Manual Primary'!AV74+'FWD Primary with Scan'!AV74+'FWD Secondary'!AV74+'FWD Volumetric'!AV74+'IB'!AV74+'IB Volumetric'!AV74+'OB'!AV74+'OB Volumetric'!AV74+'OSC Bag Sorting'!AV74+'OSC Bag Sorting Volumetric'!AV74+'REV FSM'!AV74+'Rejection Primary with Scan'!AV74+'Rejection Secondary'!AV74+'Rev DC DC Primary Sorting'!AV74+'Rev Primary (FSM Rejections)'!AV74+'Rev Secondary Sorting'!AV74+'VIA Bag Sorting'!AV74</f>
        <v/>
      </c>
      <c r="AW74" s="7">
        <f>'BBB'!AW74+'Bag Staging'!AW74+'Bag Staging Volumetric'!AW74+'FWD FSM'!AW74+'FWD Manual Pre Primary'!AW74+'FWD Manual Primary'!AW74+'FWD Primary with Scan'!AW74+'FWD Secondary'!AW74+'FWD Volumetric'!AW74+'IB'!AW74+'IB Volumetric'!AW74+'OB'!AW74+'OB Volumetric'!AW74+'OSC Bag Sorting'!AW74+'OSC Bag Sorting Volumetric'!AW74+'REV FSM'!AW74+'Rejection Primary with Scan'!AW74+'Rejection Secondary'!AW74+'Rev DC DC Primary Sorting'!AW74+'Rev Primary (FSM Rejections)'!AW74+'Rev Secondary Sorting'!AW74+'VIA Bag Sorting'!AW74</f>
        <v/>
      </c>
      <c r="AX74" s="7">
        <f>'BBB'!AX74+'Bag Staging'!AX74+'Bag Staging Volumetric'!AX74+'FWD FSM'!AX74+'FWD Manual Pre Primary'!AX74+'FWD Manual Primary'!AX74+'FWD Primary with Scan'!AX74+'FWD Secondary'!AX74+'FWD Volumetric'!AX74+'IB'!AX74+'IB Volumetric'!AX74+'OB'!AX74+'OB Volumetric'!AX74+'OSC Bag Sorting'!AX74+'OSC Bag Sorting Volumetric'!AX74+'REV FSM'!AX74+'Rejection Primary with Scan'!AX74+'Rejection Secondary'!AX74+'Rev DC DC Primary Sorting'!AX74+'Rev Primary (FSM Rejections)'!AX74+'Rev Secondary Sorting'!AX74+'VIA Bag Sorting'!AX74</f>
        <v/>
      </c>
      <c r="AY74" s="7">
        <f>'BBB'!AY74+'Bag Staging'!AY74+'Bag Staging Volumetric'!AY74+'FWD FSM'!AY74+'FWD Manual Pre Primary'!AY74+'FWD Manual Primary'!AY74+'FWD Primary with Scan'!AY74+'FWD Secondary'!AY74+'FWD Volumetric'!AY74+'IB'!AY74+'IB Volumetric'!AY74+'OB'!AY74+'OB Volumetric'!AY74+'OSC Bag Sorting'!AY74+'OSC Bag Sorting Volumetric'!AY74+'REV FSM'!AY74+'Rejection Primary with Scan'!AY74+'Rejection Secondary'!AY74+'Rev DC DC Primary Sorting'!AY74+'Rev Primary (FSM Rejections)'!AY74+'Rev Secondary Sorting'!AY74+'VIA Bag Sorting'!AY74</f>
        <v/>
      </c>
      <c r="AZ74" s="7">
        <f>'BBB'!AZ74+'Bag Staging'!AZ74+'Bag Staging Volumetric'!AZ74+'FWD FSM'!AZ74+'FWD Manual Pre Primary'!AZ74+'FWD Manual Primary'!AZ74+'FWD Primary with Scan'!AZ74+'FWD Secondary'!AZ74+'FWD Volumetric'!AZ74+'IB'!AZ74+'IB Volumetric'!AZ74+'OB'!AZ74+'OB Volumetric'!AZ74+'OSC Bag Sorting'!AZ74+'OSC Bag Sorting Volumetric'!AZ74+'REV FSM'!AZ74+'Rejection Primary with Scan'!AZ74+'Rejection Secondary'!AZ74+'Rev DC DC Primary Sorting'!AZ74+'Rev Primary (FSM Rejections)'!AZ74+'Rev Secondary Sorting'!AZ74+'VIA Bag Sorting'!AZ74</f>
        <v/>
      </c>
      <c r="BA74" s="7">
        <f>'BBB'!BA74+'Bag Staging'!BA74+'Bag Staging Volumetric'!BA74+'FWD FSM'!BA74+'FWD Manual Pre Primary'!BA74+'FWD Manual Primary'!BA74+'FWD Primary with Scan'!BA74+'FWD Secondary'!BA74+'FWD Volumetric'!BA74+'IB'!BA74+'IB Volumetric'!BA74+'OB'!BA74+'OB Volumetric'!BA74+'OSC Bag Sorting'!BA74+'OSC Bag Sorting Volumetric'!BA74+'REV FSM'!BA74+'Rejection Primary with Scan'!BA74+'Rejection Secondary'!BA74+'Rev DC DC Primary Sorting'!BA74+'Rev Primary (FSM Rejections)'!BA74+'Rev Secondary Sorting'!BA74+'VIA Bag Sorting'!BA74</f>
        <v/>
      </c>
      <c r="BB74" s="7">
        <f>SUM(AD74:BA74)</f>
        <v/>
      </c>
    </row>
    <row r="75">
      <c r="A75" t="inlineStr">
        <is>
          <t>AMD-M1</t>
        </is>
      </c>
      <c r="B75" t="inlineStr">
        <is>
          <t>Forward Regular OSC</t>
        </is>
      </c>
      <c r="C75" s="5" t="n">
        <v>46097</v>
      </c>
      <c r="D75" s="6" t="n">
        <v>2104</v>
      </c>
      <c r="E75" s="6" t="n">
        <v>658</v>
      </c>
      <c r="F75" s="6" t="n">
        <v>1828</v>
      </c>
      <c r="G75" s="6" t="n">
        <v>2778</v>
      </c>
      <c r="H75" s="6" t="n">
        <v>903</v>
      </c>
      <c r="I75" s="6" t="n">
        <v>20</v>
      </c>
      <c r="J75" s="6" t="n">
        <v>132</v>
      </c>
      <c r="K75" s="6" t="n">
        <v>0</v>
      </c>
      <c r="L75" s="6" t="n">
        <v>0</v>
      </c>
      <c r="M75" s="6" t="n">
        <v>576</v>
      </c>
      <c r="N75" s="6" t="n">
        <v>1823</v>
      </c>
      <c r="O75" s="6" t="n">
        <v>269</v>
      </c>
      <c r="P75" s="6" t="n">
        <v>0</v>
      </c>
      <c r="Q75" s="6" t="n">
        <v>0</v>
      </c>
      <c r="R75" s="6" t="n">
        <v>0</v>
      </c>
      <c r="S75" s="6" t="n">
        <v>0</v>
      </c>
      <c r="T75" s="6" t="n">
        <v>0</v>
      </c>
      <c r="U75" s="6" t="n">
        <v>0</v>
      </c>
      <c r="V75" s="6" t="n">
        <v>0</v>
      </c>
      <c r="W75" s="6" t="n">
        <v>0</v>
      </c>
      <c r="X75" s="6" t="n">
        <v>0</v>
      </c>
      <c r="Y75" s="6" t="n">
        <v>125</v>
      </c>
      <c r="Z75" s="6" t="n">
        <v>1</v>
      </c>
      <c r="AA75" s="6" t="n">
        <v>0</v>
      </c>
      <c r="AB75" s="6">
        <f>SUM(D75:AA75)</f>
        <v/>
      </c>
      <c r="AC75" s="3" t="inlineStr"/>
      <c r="AD75" s="7">
        <f>'BBB'!AD75+'Bag Staging'!AD75+'Bag Staging Volumetric'!AD75+'FWD FSM'!AD75+'FWD Manual Pre Primary'!AD75+'FWD Manual Primary'!AD75+'FWD Primary with Scan'!AD75+'FWD Secondary'!AD75+'FWD Volumetric'!AD75+'IB'!AD75+'IB Volumetric'!AD75+'OB'!AD75+'OB Volumetric'!AD75+'OSC Bag Sorting'!AD75+'OSC Bag Sorting Volumetric'!AD75+'REV FSM'!AD75+'Rejection Primary with Scan'!AD75+'Rejection Secondary'!AD75+'Rev DC DC Primary Sorting'!AD75+'Rev Primary (FSM Rejections)'!AD75+'Rev Secondary Sorting'!AD75+'VIA Bag Sorting'!AD75</f>
        <v/>
      </c>
      <c r="AE75" s="7">
        <f>'BBB'!AE75+'Bag Staging'!AE75+'Bag Staging Volumetric'!AE75+'FWD FSM'!AE75+'FWD Manual Pre Primary'!AE75+'FWD Manual Primary'!AE75+'FWD Primary with Scan'!AE75+'FWD Secondary'!AE75+'FWD Volumetric'!AE75+'IB'!AE75+'IB Volumetric'!AE75+'OB'!AE75+'OB Volumetric'!AE75+'OSC Bag Sorting'!AE75+'OSC Bag Sorting Volumetric'!AE75+'REV FSM'!AE75+'Rejection Primary with Scan'!AE75+'Rejection Secondary'!AE75+'Rev DC DC Primary Sorting'!AE75+'Rev Primary (FSM Rejections)'!AE75+'Rev Secondary Sorting'!AE75+'VIA Bag Sorting'!AE75</f>
        <v/>
      </c>
      <c r="AF75" s="7">
        <f>'BBB'!AF75+'Bag Staging'!AF75+'Bag Staging Volumetric'!AF75+'FWD FSM'!AF75+'FWD Manual Pre Primary'!AF75+'FWD Manual Primary'!AF75+'FWD Primary with Scan'!AF75+'FWD Secondary'!AF75+'FWD Volumetric'!AF75+'IB'!AF75+'IB Volumetric'!AF75+'OB'!AF75+'OB Volumetric'!AF75+'OSC Bag Sorting'!AF75+'OSC Bag Sorting Volumetric'!AF75+'REV FSM'!AF75+'Rejection Primary with Scan'!AF75+'Rejection Secondary'!AF75+'Rev DC DC Primary Sorting'!AF75+'Rev Primary (FSM Rejections)'!AF75+'Rev Secondary Sorting'!AF75+'VIA Bag Sorting'!AF75</f>
        <v/>
      </c>
      <c r="AG75" s="7">
        <f>'BBB'!AG75+'Bag Staging'!AG75+'Bag Staging Volumetric'!AG75+'FWD FSM'!AG75+'FWD Manual Pre Primary'!AG75+'FWD Manual Primary'!AG75+'FWD Primary with Scan'!AG75+'FWD Secondary'!AG75+'FWD Volumetric'!AG75+'IB'!AG75+'IB Volumetric'!AG75+'OB'!AG75+'OB Volumetric'!AG75+'OSC Bag Sorting'!AG75+'OSC Bag Sorting Volumetric'!AG75+'REV FSM'!AG75+'Rejection Primary with Scan'!AG75+'Rejection Secondary'!AG75+'Rev DC DC Primary Sorting'!AG75+'Rev Primary (FSM Rejections)'!AG75+'Rev Secondary Sorting'!AG75+'VIA Bag Sorting'!AG75</f>
        <v/>
      </c>
      <c r="AH75" s="7">
        <f>'BBB'!AH75+'Bag Staging'!AH75+'Bag Staging Volumetric'!AH75+'FWD FSM'!AH75+'FWD Manual Pre Primary'!AH75+'FWD Manual Primary'!AH75+'FWD Primary with Scan'!AH75+'FWD Secondary'!AH75+'FWD Volumetric'!AH75+'IB'!AH75+'IB Volumetric'!AH75+'OB'!AH75+'OB Volumetric'!AH75+'OSC Bag Sorting'!AH75+'OSC Bag Sorting Volumetric'!AH75+'REV FSM'!AH75+'Rejection Primary with Scan'!AH75+'Rejection Secondary'!AH75+'Rev DC DC Primary Sorting'!AH75+'Rev Primary (FSM Rejections)'!AH75+'Rev Secondary Sorting'!AH75+'VIA Bag Sorting'!AH75</f>
        <v/>
      </c>
      <c r="AI75" s="7">
        <f>'BBB'!AI75+'Bag Staging'!AI75+'Bag Staging Volumetric'!AI75+'FWD FSM'!AI75+'FWD Manual Pre Primary'!AI75+'FWD Manual Primary'!AI75+'FWD Primary with Scan'!AI75+'FWD Secondary'!AI75+'FWD Volumetric'!AI75+'IB'!AI75+'IB Volumetric'!AI75+'OB'!AI75+'OB Volumetric'!AI75+'OSC Bag Sorting'!AI75+'OSC Bag Sorting Volumetric'!AI75+'REV FSM'!AI75+'Rejection Primary with Scan'!AI75+'Rejection Secondary'!AI75+'Rev DC DC Primary Sorting'!AI75+'Rev Primary (FSM Rejections)'!AI75+'Rev Secondary Sorting'!AI75+'VIA Bag Sorting'!AI75</f>
        <v/>
      </c>
      <c r="AJ75" s="7">
        <f>'BBB'!AJ75+'Bag Staging'!AJ75+'Bag Staging Volumetric'!AJ75+'FWD FSM'!AJ75+'FWD Manual Pre Primary'!AJ75+'FWD Manual Primary'!AJ75+'FWD Primary with Scan'!AJ75+'FWD Secondary'!AJ75+'FWD Volumetric'!AJ75+'IB'!AJ75+'IB Volumetric'!AJ75+'OB'!AJ75+'OB Volumetric'!AJ75+'OSC Bag Sorting'!AJ75+'OSC Bag Sorting Volumetric'!AJ75+'REV FSM'!AJ75+'Rejection Primary with Scan'!AJ75+'Rejection Secondary'!AJ75+'Rev DC DC Primary Sorting'!AJ75+'Rev Primary (FSM Rejections)'!AJ75+'Rev Secondary Sorting'!AJ75+'VIA Bag Sorting'!AJ75</f>
        <v/>
      </c>
      <c r="AK75" s="7">
        <f>'BBB'!AK75+'Bag Staging'!AK75+'Bag Staging Volumetric'!AK75+'FWD FSM'!AK75+'FWD Manual Pre Primary'!AK75+'FWD Manual Primary'!AK75+'FWD Primary with Scan'!AK75+'FWD Secondary'!AK75+'FWD Volumetric'!AK75+'IB'!AK75+'IB Volumetric'!AK75+'OB'!AK75+'OB Volumetric'!AK75+'OSC Bag Sorting'!AK75+'OSC Bag Sorting Volumetric'!AK75+'REV FSM'!AK75+'Rejection Primary with Scan'!AK75+'Rejection Secondary'!AK75+'Rev DC DC Primary Sorting'!AK75+'Rev Primary (FSM Rejections)'!AK75+'Rev Secondary Sorting'!AK75+'VIA Bag Sorting'!AK75</f>
        <v/>
      </c>
      <c r="AL75" s="7">
        <f>'BBB'!AL75+'Bag Staging'!AL75+'Bag Staging Volumetric'!AL75+'FWD FSM'!AL75+'FWD Manual Pre Primary'!AL75+'FWD Manual Primary'!AL75+'FWD Primary with Scan'!AL75+'FWD Secondary'!AL75+'FWD Volumetric'!AL75+'IB'!AL75+'IB Volumetric'!AL75+'OB'!AL75+'OB Volumetric'!AL75+'OSC Bag Sorting'!AL75+'OSC Bag Sorting Volumetric'!AL75+'REV FSM'!AL75+'Rejection Primary with Scan'!AL75+'Rejection Secondary'!AL75+'Rev DC DC Primary Sorting'!AL75+'Rev Primary (FSM Rejections)'!AL75+'Rev Secondary Sorting'!AL75+'VIA Bag Sorting'!AL75</f>
        <v/>
      </c>
      <c r="AM75" s="7">
        <f>'BBB'!AM75+'Bag Staging'!AM75+'Bag Staging Volumetric'!AM75+'FWD FSM'!AM75+'FWD Manual Pre Primary'!AM75+'FWD Manual Primary'!AM75+'FWD Primary with Scan'!AM75+'FWD Secondary'!AM75+'FWD Volumetric'!AM75+'IB'!AM75+'IB Volumetric'!AM75+'OB'!AM75+'OB Volumetric'!AM75+'OSC Bag Sorting'!AM75+'OSC Bag Sorting Volumetric'!AM75+'REV FSM'!AM75+'Rejection Primary with Scan'!AM75+'Rejection Secondary'!AM75+'Rev DC DC Primary Sorting'!AM75+'Rev Primary (FSM Rejections)'!AM75+'Rev Secondary Sorting'!AM75+'VIA Bag Sorting'!AM75</f>
        <v/>
      </c>
      <c r="AN75" s="7">
        <f>'BBB'!AN75+'Bag Staging'!AN75+'Bag Staging Volumetric'!AN75+'FWD FSM'!AN75+'FWD Manual Pre Primary'!AN75+'FWD Manual Primary'!AN75+'FWD Primary with Scan'!AN75+'FWD Secondary'!AN75+'FWD Volumetric'!AN75+'IB'!AN75+'IB Volumetric'!AN75+'OB'!AN75+'OB Volumetric'!AN75+'OSC Bag Sorting'!AN75+'OSC Bag Sorting Volumetric'!AN75+'REV FSM'!AN75+'Rejection Primary with Scan'!AN75+'Rejection Secondary'!AN75+'Rev DC DC Primary Sorting'!AN75+'Rev Primary (FSM Rejections)'!AN75+'Rev Secondary Sorting'!AN75+'VIA Bag Sorting'!AN75</f>
        <v/>
      </c>
      <c r="AO75" s="7">
        <f>'BBB'!AO75+'Bag Staging'!AO75+'Bag Staging Volumetric'!AO75+'FWD FSM'!AO75+'FWD Manual Pre Primary'!AO75+'FWD Manual Primary'!AO75+'FWD Primary with Scan'!AO75+'FWD Secondary'!AO75+'FWD Volumetric'!AO75+'IB'!AO75+'IB Volumetric'!AO75+'OB'!AO75+'OB Volumetric'!AO75+'OSC Bag Sorting'!AO75+'OSC Bag Sorting Volumetric'!AO75+'REV FSM'!AO75+'Rejection Primary with Scan'!AO75+'Rejection Secondary'!AO75+'Rev DC DC Primary Sorting'!AO75+'Rev Primary (FSM Rejections)'!AO75+'Rev Secondary Sorting'!AO75+'VIA Bag Sorting'!AO75</f>
        <v/>
      </c>
      <c r="AP75" s="7">
        <f>'BBB'!AP75+'Bag Staging'!AP75+'Bag Staging Volumetric'!AP75+'FWD FSM'!AP75+'FWD Manual Pre Primary'!AP75+'FWD Manual Primary'!AP75+'FWD Primary with Scan'!AP75+'FWD Secondary'!AP75+'FWD Volumetric'!AP75+'IB'!AP75+'IB Volumetric'!AP75+'OB'!AP75+'OB Volumetric'!AP75+'OSC Bag Sorting'!AP75+'OSC Bag Sorting Volumetric'!AP75+'REV FSM'!AP75+'Rejection Primary with Scan'!AP75+'Rejection Secondary'!AP75+'Rev DC DC Primary Sorting'!AP75+'Rev Primary (FSM Rejections)'!AP75+'Rev Secondary Sorting'!AP75+'VIA Bag Sorting'!AP75</f>
        <v/>
      </c>
      <c r="AQ75" s="7">
        <f>'BBB'!AQ75+'Bag Staging'!AQ75+'Bag Staging Volumetric'!AQ75+'FWD FSM'!AQ75+'FWD Manual Pre Primary'!AQ75+'FWD Manual Primary'!AQ75+'FWD Primary with Scan'!AQ75+'FWD Secondary'!AQ75+'FWD Volumetric'!AQ75+'IB'!AQ75+'IB Volumetric'!AQ75+'OB'!AQ75+'OB Volumetric'!AQ75+'OSC Bag Sorting'!AQ75+'OSC Bag Sorting Volumetric'!AQ75+'REV FSM'!AQ75+'Rejection Primary with Scan'!AQ75+'Rejection Secondary'!AQ75+'Rev DC DC Primary Sorting'!AQ75+'Rev Primary (FSM Rejections)'!AQ75+'Rev Secondary Sorting'!AQ75+'VIA Bag Sorting'!AQ75</f>
        <v/>
      </c>
      <c r="AR75" s="7">
        <f>'BBB'!AR75+'Bag Staging'!AR75+'Bag Staging Volumetric'!AR75+'FWD FSM'!AR75+'FWD Manual Pre Primary'!AR75+'FWD Manual Primary'!AR75+'FWD Primary with Scan'!AR75+'FWD Secondary'!AR75+'FWD Volumetric'!AR75+'IB'!AR75+'IB Volumetric'!AR75+'OB'!AR75+'OB Volumetric'!AR75+'OSC Bag Sorting'!AR75+'OSC Bag Sorting Volumetric'!AR75+'REV FSM'!AR75+'Rejection Primary with Scan'!AR75+'Rejection Secondary'!AR75+'Rev DC DC Primary Sorting'!AR75+'Rev Primary (FSM Rejections)'!AR75+'Rev Secondary Sorting'!AR75+'VIA Bag Sorting'!AR75</f>
        <v/>
      </c>
      <c r="AS75" s="7">
        <f>'BBB'!AS75+'Bag Staging'!AS75+'Bag Staging Volumetric'!AS75+'FWD FSM'!AS75+'FWD Manual Pre Primary'!AS75+'FWD Manual Primary'!AS75+'FWD Primary with Scan'!AS75+'FWD Secondary'!AS75+'FWD Volumetric'!AS75+'IB'!AS75+'IB Volumetric'!AS75+'OB'!AS75+'OB Volumetric'!AS75+'OSC Bag Sorting'!AS75+'OSC Bag Sorting Volumetric'!AS75+'REV FSM'!AS75+'Rejection Primary with Scan'!AS75+'Rejection Secondary'!AS75+'Rev DC DC Primary Sorting'!AS75+'Rev Primary (FSM Rejections)'!AS75+'Rev Secondary Sorting'!AS75+'VIA Bag Sorting'!AS75</f>
        <v/>
      </c>
      <c r="AT75" s="7">
        <f>'BBB'!AT75+'Bag Staging'!AT75+'Bag Staging Volumetric'!AT75+'FWD FSM'!AT75+'FWD Manual Pre Primary'!AT75+'FWD Manual Primary'!AT75+'FWD Primary with Scan'!AT75+'FWD Secondary'!AT75+'FWD Volumetric'!AT75+'IB'!AT75+'IB Volumetric'!AT75+'OB'!AT75+'OB Volumetric'!AT75+'OSC Bag Sorting'!AT75+'OSC Bag Sorting Volumetric'!AT75+'REV FSM'!AT75+'Rejection Primary with Scan'!AT75+'Rejection Secondary'!AT75+'Rev DC DC Primary Sorting'!AT75+'Rev Primary (FSM Rejections)'!AT75+'Rev Secondary Sorting'!AT75+'VIA Bag Sorting'!AT75</f>
        <v/>
      </c>
      <c r="AU75" s="7">
        <f>'BBB'!AU75+'Bag Staging'!AU75+'Bag Staging Volumetric'!AU75+'FWD FSM'!AU75+'FWD Manual Pre Primary'!AU75+'FWD Manual Primary'!AU75+'FWD Primary with Scan'!AU75+'FWD Secondary'!AU75+'FWD Volumetric'!AU75+'IB'!AU75+'IB Volumetric'!AU75+'OB'!AU75+'OB Volumetric'!AU75+'OSC Bag Sorting'!AU75+'OSC Bag Sorting Volumetric'!AU75+'REV FSM'!AU75+'Rejection Primary with Scan'!AU75+'Rejection Secondary'!AU75+'Rev DC DC Primary Sorting'!AU75+'Rev Primary (FSM Rejections)'!AU75+'Rev Secondary Sorting'!AU75+'VIA Bag Sorting'!AU75</f>
        <v/>
      </c>
      <c r="AV75" s="7">
        <f>'BBB'!AV75+'Bag Staging'!AV75+'Bag Staging Volumetric'!AV75+'FWD FSM'!AV75+'FWD Manual Pre Primary'!AV75+'FWD Manual Primary'!AV75+'FWD Primary with Scan'!AV75+'FWD Secondary'!AV75+'FWD Volumetric'!AV75+'IB'!AV75+'IB Volumetric'!AV75+'OB'!AV75+'OB Volumetric'!AV75+'OSC Bag Sorting'!AV75+'OSC Bag Sorting Volumetric'!AV75+'REV FSM'!AV75+'Rejection Primary with Scan'!AV75+'Rejection Secondary'!AV75+'Rev DC DC Primary Sorting'!AV75+'Rev Primary (FSM Rejections)'!AV75+'Rev Secondary Sorting'!AV75+'VIA Bag Sorting'!AV75</f>
        <v/>
      </c>
      <c r="AW75" s="7">
        <f>'BBB'!AW75+'Bag Staging'!AW75+'Bag Staging Volumetric'!AW75+'FWD FSM'!AW75+'FWD Manual Pre Primary'!AW75+'FWD Manual Primary'!AW75+'FWD Primary with Scan'!AW75+'FWD Secondary'!AW75+'FWD Volumetric'!AW75+'IB'!AW75+'IB Volumetric'!AW75+'OB'!AW75+'OB Volumetric'!AW75+'OSC Bag Sorting'!AW75+'OSC Bag Sorting Volumetric'!AW75+'REV FSM'!AW75+'Rejection Primary with Scan'!AW75+'Rejection Secondary'!AW75+'Rev DC DC Primary Sorting'!AW75+'Rev Primary (FSM Rejections)'!AW75+'Rev Secondary Sorting'!AW75+'VIA Bag Sorting'!AW75</f>
        <v/>
      </c>
      <c r="AX75" s="7">
        <f>'BBB'!AX75+'Bag Staging'!AX75+'Bag Staging Volumetric'!AX75+'FWD FSM'!AX75+'FWD Manual Pre Primary'!AX75+'FWD Manual Primary'!AX75+'FWD Primary with Scan'!AX75+'FWD Secondary'!AX75+'FWD Volumetric'!AX75+'IB'!AX75+'IB Volumetric'!AX75+'OB'!AX75+'OB Volumetric'!AX75+'OSC Bag Sorting'!AX75+'OSC Bag Sorting Volumetric'!AX75+'REV FSM'!AX75+'Rejection Primary with Scan'!AX75+'Rejection Secondary'!AX75+'Rev DC DC Primary Sorting'!AX75+'Rev Primary (FSM Rejections)'!AX75+'Rev Secondary Sorting'!AX75+'VIA Bag Sorting'!AX75</f>
        <v/>
      </c>
      <c r="AY75" s="7">
        <f>'BBB'!AY75+'Bag Staging'!AY75+'Bag Staging Volumetric'!AY75+'FWD FSM'!AY75+'FWD Manual Pre Primary'!AY75+'FWD Manual Primary'!AY75+'FWD Primary with Scan'!AY75+'FWD Secondary'!AY75+'FWD Volumetric'!AY75+'IB'!AY75+'IB Volumetric'!AY75+'OB'!AY75+'OB Volumetric'!AY75+'OSC Bag Sorting'!AY75+'OSC Bag Sorting Volumetric'!AY75+'REV FSM'!AY75+'Rejection Primary with Scan'!AY75+'Rejection Secondary'!AY75+'Rev DC DC Primary Sorting'!AY75+'Rev Primary (FSM Rejections)'!AY75+'Rev Secondary Sorting'!AY75+'VIA Bag Sorting'!AY75</f>
        <v/>
      </c>
      <c r="AZ75" s="7">
        <f>'BBB'!AZ75+'Bag Staging'!AZ75+'Bag Staging Volumetric'!AZ75+'FWD FSM'!AZ75+'FWD Manual Pre Primary'!AZ75+'FWD Manual Primary'!AZ75+'FWD Primary with Scan'!AZ75+'FWD Secondary'!AZ75+'FWD Volumetric'!AZ75+'IB'!AZ75+'IB Volumetric'!AZ75+'OB'!AZ75+'OB Volumetric'!AZ75+'OSC Bag Sorting'!AZ75+'OSC Bag Sorting Volumetric'!AZ75+'REV FSM'!AZ75+'Rejection Primary with Scan'!AZ75+'Rejection Secondary'!AZ75+'Rev DC DC Primary Sorting'!AZ75+'Rev Primary (FSM Rejections)'!AZ75+'Rev Secondary Sorting'!AZ75+'VIA Bag Sorting'!AZ75</f>
        <v/>
      </c>
      <c r="BA75" s="7">
        <f>'BBB'!BA75+'Bag Staging'!BA75+'Bag Staging Volumetric'!BA75+'FWD FSM'!BA75+'FWD Manual Pre Primary'!BA75+'FWD Manual Primary'!BA75+'FWD Primary with Scan'!BA75+'FWD Secondary'!BA75+'FWD Volumetric'!BA75+'IB'!BA75+'IB Volumetric'!BA75+'OB'!BA75+'OB Volumetric'!BA75+'OSC Bag Sorting'!BA75+'OSC Bag Sorting Volumetric'!BA75+'REV FSM'!BA75+'Rejection Primary with Scan'!BA75+'Rejection Secondary'!BA75+'Rev DC DC Primary Sorting'!BA75+'Rev Primary (FSM Rejections)'!BA75+'Rev Secondary Sorting'!BA75+'VIA Bag Sorting'!BA75</f>
        <v/>
      </c>
      <c r="BB75" s="7">
        <f>SUM(AD75:BA75)</f>
        <v/>
      </c>
    </row>
    <row r="76">
      <c r="A76" t="inlineStr">
        <is>
          <t>AMD-M2</t>
        </is>
      </c>
      <c r="B76" t="inlineStr">
        <is>
          <t>Forward Regular OSC</t>
        </is>
      </c>
      <c r="C76" s="5" t="n">
        <v>46089</v>
      </c>
      <c r="D76" s="6" t="n">
        <v>4635</v>
      </c>
      <c r="E76" s="6" t="n">
        <v>1520</v>
      </c>
      <c r="F76" s="6" t="n">
        <v>4184</v>
      </c>
      <c r="G76" s="6" t="n">
        <v>3869</v>
      </c>
      <c r="H76" s="6" t="n">
        <v>3998</v>
      </c>
      <c r="I76" s="6" t="n">
        <v>4451</v>
      </c>
      <c r="J76" s="6" t="n">
        <v>2478</v>
      </c>
      <c r="K76" s="6" t="n">
        <v>22</v>
      </c>
      <c r="L76" s="6" t="n">
        <v>2770</v>
      </c>
      <c r="M76" s="6" t="n">
        <v>4351</v>
      </c>
      <c r="N76" s="6" t="n">
        <v>5942</v>
      </c>
      <c r="O76" s="6" t="n">
        <v>5271</v>
      </c>
      <c r="P76" s="6" t="n">
        <v>1971</v>
      </c>
      <c r="Q76" s="6" t="n">
        <v>3545</v>
      </c>
      <c r="R76" s="6" t="n">
        <v>5716</v>
      </c>
      <c r="S76" s="6" t="n">
        <v>3646</v>
      </c>
      <c r="T76" s="6" t="n">
        <v>1229</v>
      </c>
      <c r="U76" s="6" t="n">
        <v>1</v>
      </c>
      <c r="V76" s="6" t="n">
        <v>0</v>
      </c>
      <c r="W76" s="6" t="n">
        <v>0</v>
      </c>
      <c r="X76" s="6" t="n">
        <v>0</v>
      </c>
      <c r="Y76" s="6" t="n">
        <v>0</v>
      </c>
      <c r="Z76" s="6" t="n">
        <v>37</v>
      </c>
      <c r="AA76" s="6" t="n">
        <v>3369</v>
      </c>
      <c r="AB76" s="6">
        <f>SUM(D76:AA76)</f>
        <v/>
      </c>
      <c r="AC76" s="3" t="inlineStr"/>
      <c r="AD76" s="7">
        <f>'BBB'!AD76+'Bag Staging'!AD76+'Bag Staging Volumetric'!AD76+'FWD FSM'!AD76+'FWD Manual Pre Primary'!AD76+'FWD Manual Primary'!AD76+'FWD Primary with Scan'!AD76+'FWD Secondary'!AD76+'FWD Volumetric'!AD76+'IB'!AD76+'IB Volumetric'!AD76+'OB'!AD76+'OB Volumetric'!AD76+'OSC Bag Sorting'!AD76+'OSC Bag Sorting Volumetric'!AD76+'REV FSM'!AD76+'Rejection Primary with Scan'!AD76+'Rejection Secondary'!AD76+'Rev DC DC Primary Sorting'!AD76+'Rev Primary (FSM Rejections)'!AD76+'Rev Secondary Sorting'!AD76+'VIA Bag Sorting'!AD76</f>
        <v/>
      </c>
      <c r="AE76" s="7">
        <f>'BBB'!AE76+'Bag Staging'!AE76+'Bag Staging Volumetric'!AE76+'FWD FSM'!AE76+'FWD Manual Pre Primary'!AE76+'FWD Manual Primary'!AE76+'FWD Primary with Scan'!AE76+'FWD Secondary'!AE76+'FWD Volumetric'!AE76+'IB'!AE76+'IB Volumetric'!AE76+'OB'!AE76+'OB Volumetric'!AE76+'OSC Bag Sorting'!AE76+'OSC Bag Sorting Volumetric'!AE76+'REV FSM'!AE76+'Rejection Primary with Scan'!AE76+'Rejection Secondary'!AE76+'Rev DC DC Primary Sorting'!AE76+'Rev Primary (FSM Rejections)'!AE76+'Rev Secondary Sorting'!AE76+'VIA Bag Sorting'!AE76</f>
        <v/>
      </c>
      <c r="AF76" s="7">
        <f>'BBB'!AF76+'Bag Staging'!AF76+'Bag Staging Volumetric'!AF76+'FWD FSM'!AF76+'FWD Manual Pre Primary'!AF76+'FWD Manual Primary'!AF76+'FWD Primary with Scan'!AF76+'FWD Secondary'!AF76+'FWD Volumetric'!AF76+'IB'!AF76+'IB Volumetric'!AF76+'OB'!AF76+'OB Volumetric'!AF76+'OSC Bag Sorting'!AF76+'OSC Bag Sorting Volumetric'!AF76+'REV FSM'!AF76+'Rejection Primary with Scan'!AF76+'Rejection Secondary'!AF76+'Rev DC DC Primary Sorting'!AF76+'Rev Primary (FSM Rejections)'!AF76+'Rev Secondary Sorting'!AF76+'VIA Bag Sorting'!AF76</f>
        <v/>
      </c>
      <c r="AG76" s="7">
        <f>'BBB'!AG76+'Bag Staging'!AG76+'Bag Staging Volumetric'!AG76+'FWD FSM'!AG76+'FWD Manual Pre Primary'!AG76+'FWD Manual Primary'!AG76+'FWD Primary with Scan'!AG76+'FWD Secondary'!AG76+'FWD Volumetric'!AG76+'IB'!AG76+'IB Volumetric'!AG76+'OB'!AG76+'OB Volumetric'!AG76+'OSC Bag Sorting'!AG76+'OSC Bag Sorting Volumetric'!AG76+'REV FSM'!AG76+'Rejection Primary with Scan'!AG76+'Rejection Secondary'!AG76+'Rev DC DC Primary Sorting'!AG76+'Rev Primary (FSM Rejections)'!AG76+'Rev Secondary Sorting'!AG76+'VIA Bag Sorting'!AG76</f>
        <v/>
      </c>
      <c r="AH76" s="7">
        <f>'BBB'!AH76+'Bag Staging'!AH76+'Bag Staging Volumetric'!AH76+'FWD FSM'!AH76+'FWD Manual Pre Primary'!AH76+'FWD Manual Primary'!AH76+'FWD Primary with Scan'!AH76+'FWD Secondary'!AH76+'FWD Volumetric'!AH76+'IB'!AH76+'IB Volumetric'!AH76+'OB'!AH76+'OB Volumetric'!AH76+'OSC Bag Sorting'!AH76+'OSC Bag Sorting Volumetric'!AH76+'REV FSM'!AH76+'Rejection Primary with Scan'!AH76+'Rejection Secondary'!AH76+'Rev DC DC Primary Sorting'!AH76+'Rev Primary (FSM Rejections)'!AH76+'Rev Secondary Sorting'!AH76+'VIA Bag Sorting'!AH76</f>
        <v/>
      </c>
      <c r="AI76" s="7">
        <f>'BBB'!AI76+'Bag Staging'!AI76+'Bag Staging Volumetric'!AI76+'FWD FSM'!AI76+'FWD Manual Pre Primary'!AI76+'FWD Manual Primary'!AI76+'FWD Primary with Scan'!AI76+'FWD Secondary'!AI76+'FWD Volumetric'!AI76+'IB'!AI76+'IB Volumetric'!AI76+'OB'!AI76+'OB Volumetric'!AI76+'OSC Bag Sorting'!AI76+'OSC Bag Sorting Volumetric'!AI76+'REV FSM'!AI76+'Rejection Primary with Scan'!AI76+'Rejection Secondary'!AI76+'Rev DC DC Primary Sorting'!AI76+'Rev Primary (FSM Rejections)'!AI76+'Rev Secondary Sorting'!AI76+'VIA Bag Sorting'!AI76</f>
        <v/>
      </c>
      <c r="AJ76" s="7">
        <f>'BBB'!AJ76+'Bag Staging'!AJ76+'Bag Staging Volumetric'!AJ76+'FWD FSM'!AJ76+'FWD Manual Pre Primary'!AJ76+'FWD Manual Primary'!AJ76+'FWD Primary with Scan'!AJ76+'FWD Secondary'!AJ76+'FWD Volumetric'!AJ76+'IB'!AJ76+'IB Volumetric'!AJ76+'OB'!AJ76+'OB Volumetric'!AJ76+'OSC Bag Sorting'!AJ76+'OSC Bag Sorting Volumetric'!AJ76+'REV FSM'!AJ76+'Rejection Primary with Scan'!AJ76+'Rejection Secondary'!AJ76+'Rev DC DC Primary Sorting'!AJ76+'Rev Primary (FSM Rejections)'!AJ76+'Rev Secondary Sorting'!AJ76+'VIA Bag Sorting'!AJ76</f>
        <v/>
      </c>
      <c r="AK76" s="7">
        <f>'BBB'!AK76+'Bag Staging'!AK76+'Bag Staging Volumetric'!AK76+'FWD FSM'!AK76+'FWD Manual Pre Primary'!AK76+'FWD Manual Primary'!AK76+'FWD Primary with Scan'!AK76+'FWD Secondary'!AK76+'FWD Volumetric'!AK76+'IB'!AK76+'IB Volumetric'!AK76+'OB'!AK76+'OB Volumetric'!AK76+'OSC Bag Sorting'!AK76+'OSC Bag Sorting Volumetric'!AK76+'REV FSM'!AK76+'Rejection Primary with Scan'!AK76+'Rejection Secondary'!AK76+'Rev DC DC Primary Sorting'!AK76+'Rev Primary (FSM Rejections)'!AK76+'Rev Secondary Sorting'!AK76+'VIA Bag Sorting'!AK76</f>
        <v/>
      </c>
      <c r="AL76" s="7">
        <f>'BBB'!AL76+'Bag Staging'!AL76+'Bag Staging Volumetric'!AL76+'FWD FSM'!AL76+'FWD Manual Pre Primary'!AL76+'FWD Manual Primary'!AL76+'FWD Primary with Scan'!AL76+'FWD Secondary'!AL76+'FWD Volumetric'!AL76+'IB'!AL76+'IB Volumetric'!AL76+'OB'!AL76+'OB Volumetric'!AL76+'OSC Bag Sorting'!AL76+'OSC Bag Sorting Volumetric'!AL76+'REV FSM'!AL76+'Rejection Primary with Scan'!AL76+'Rejection Secondary'!AL76+'Rev DC DC Primary Sorting'!AL76+'Rev Primary (FSM Rejections)'!AL76+'Rev Secondary Sorting'!AL76+'VIA Bag Sorting'!AL76</f>
        <v/>
      </c>
      <c r="AM76" s="7">
        <f>'BBB'!AM76+'Bag Staging'!AM76+'Bag Staging Volumetric'!AM76+'FWD FSM'!AM76+'FWD Manual Pre Primary'!AM76+'FWD Manual Primary'!AM76+'FWD Primary with Scan'!AM76+'FWD Secondary'!AM76+'FWD Volumetric'!AM76+'IB'!AM76+'IB Volumetric'!AM76+'OB'!AM76+'OB Volumetric'!AM76+'OSC Bag Sorting'!AM76+'OSC Bag Sorting Volumetric'!AM76+'REV FSM'!AM76+'Rejection Primary with Scan'!AM76+'Rejection Secondary'!AM76+'Rev DC DC Primary Sorting'!AM76+'Rev Primary (FSM Rejections)'!AM76+'Rev Secondary Sorting'!AM76+'VIA Bag Sorting'!AM76</f>
        <v/>
      </c>
      <c r="AN76" s="7">
        <f>'BBB'!AN76+'Bag Staging'!AN76+'Bag Staging Volumetric'!AN76+'FWD FSM'!AN76+'FWD Manual Pre Primary'!AN76+'FWD Manual Primary'!AN76+'FWD Primary with Scan'!AN76+'FWD Secondary'!AN76+'FWD Volumetric'!AN76+'IB'!AN76+'IB Volumetric'!AN76+'OB'!AN76+'OB Volumetric'!AN76+'OSC Bag Sorting'!AN76+'OSC Bag Sorting Volumetric'!AN76+'REV FSM'!AN76+'Rejection Primary with Scan'!AN76+'Rejection Secondary'!AN76+'Rev DC DC Primary Sorting'!AN76+'Rev Primary (FSM Rejections)'!AN76+'Rev Secondary Sorting'!AN76+'VIA Bag Sorting'!AN76</f>
        <v/>
      </c>
      <c r="AO76" s="7">
        <f>'BBB'!AO76+'Bag Staging'!AO76+'Bag Staging Volumetric'!AO76+'FWD FSM'!AO76+'FWD Manual Pre Primary'!AO76+'FWD Manual Primary'!AO76+'FWD Primary with Scan'!AO76+'FWD Secondary'!AO76+'FWD Volumetric'!AO76+'IB'!AO76+'IB Volumetric'!AO76+'OB'!AO76+'OB Volumetric'!AO76+'OSC Bag Sorting'!AO76+'OSC Bag Sorting Volumetric'!AO76+'REV FSM'!AO76+'Rejection Primary with Scan'!AO76+'Rejection Secondary'!AO76+'Rev DC DC Primary Sorting'!AO76+'Rev Primary (FSM Rejections)'!AO76+'Rev Secondary Sorting'!AO76+'VIA Bag Sorting'!AO76</f>
        <v/>
      </c>
      <c r="AP76" s="7">
        <f>'BBB'!AP76+'Bag Staging'!AP76+'Bag Staging Volumetric'!AP76+'FWD FSM'!AP76+'FWD Manual Pre Primary'!AP76+'FWD Manual Primary'!AP76+'FWD Primary with Scan'!AP76+'FWD Secondary'!AP76+'FWD Volumetric'!AP76+'IB'!AP76+'IB Volumetric'!AP76+'OB'!AP76+'OB Volumetric'!AP76+'OSC Bag Sorting'!AP76+'OSC Bag Sorting Volumetric'!AP76+'REV FSM'!AP76+'Rejection Primary with Scan'!AP76+'Rejection Secondary'!AP76+'Rev DC DC Primary Sorting'!AP76+'Rev Primary (FSM Rejections)'!AP76+'Rev Secondary Sorting'!AP76+'VIA Bag Sorting'!AP76</f>
        <v/>
      </c>
      <c r="AQ76" s="7">
        <f>'BBB'!AQ76+'Bag Staging'!AQ76+'Bag Staging Volumetric'!AQ76+'FWD FSM'!AQ76+'FWD Manual Pre Primary'!AQ76+'FWD Manual Primary'!AQ76+'FWD Primary with Scan'!AQ76+'FWD Secondary'!AQ76+'FWD Volumetric'!AQ76+'IB'!AQ76+'IB Volumetric'!AQ76+'OB'!AQ76+'OB Volumetric'!AQ76+'OSC Bag Sorting'!AQ76+'OSC Bag Sorting Volumetric'!AQ76+'REV FSM'!AQ76+'Rejection Primary with Scan'!AQ76+'Rejection Secondary'!AQ76+'Rev DC DC Primary Sorting'!AQ76+'Rev Primary (FSM Rejections)'!AQ76+'Rev Secondary Sorting'!AQ76+'VIA Bag Sorting'!AQ76</f>
        <v/>
      </c>
      <c r="AR76" s="7">
        <f>'BBB'!AR76+'Bag Staging'!AR76+'Bag Staging Volumetric'!AR76+'FWD FSM'!AR76+'FWD Manual Pre Primary'!AR76+'FWD Manual Primary'!AR76+'FWD Primary with Scan'!AR76+'FWD Secondary'!AR76+'FWD Volumetric'!AR76+'IB'!AR76+'IB Volumetric'!AR76+'OB'!AR76+'OB Volumetric'!AR76+'OSC Bag Sorting'!AR76+'OSC Bag Sorting Volumetric'!AR76+'REV FSM'!AR76+'Rejection Primary with Scan'!AR76+'Rejection Secondary'!AR76+'Rev DC DC Primary Sorting'!AR76+'Rev Primary (FSM Rejections)'!AR76+'Rev Secondary Sorting'!AR76+'VIA Bag Sorting'!AR76</f>
        <v/>
      </c>
      <c r="AS76" s="7">
        <f>'BBB'!AS76+'Bag Staging'!AS76+'Bag Staging Volumetric'!AS76+'FWD FSM'!AS76+'FWD Manual Pre Primary'!AS76+'FWD Manual Primary'!AS76+'FWD Primary with Scan'!AS76+'FWD Secondary'!AS76+'FWD Volumetric'!AS76+'IB'!AS76+'IB Volumetric'!AS76+'OB'!AS76+'OB Volumetric'!AS76+'OSC Bag Sorting'!AS76+'OSC Bag Sorting Volumetric'!AS76+'REV FSM'!AS76+'Rejection Primary with Scan'!AS76+'Rejection Secondary'!AS76+'Rev DC DC Primary Sorting'!AS76+'Rev Primary (FSM Rejections)'!AS76+'Rev Secondary Sorting'!AS76+'VIA Bag Sorting'!AS76</f>
        <v/>
      </c>
      <c r="AT76" s="7">
        <f>'BBB'!AT76+'Bag Staging'!AT76+'Bag Staging Volumetric'!AT76+'FWD FSM'!AT76+'FWD Manual Pre Primary'!AT76+'FWD Manual Primary'!AT76+'FWD Primary with Scan'!AT76+'FWD Secondary'!AT76+'FWD Volumetric'!AT76+'IB'!AT76+'IB Volumetric'!AT76+'OB'!AT76+'OB Volumetric'!AT76+'OSC Bag Sorting'!AT76+'OSC Bag Sorting Volumetric'!AT76+'REV FSM'!AT76+'Rejection Primary with Scan'!AT76+'Rejection Secondary'!AT76+'Rev DC DC Primary Sorting'!AT76+'Rev Primary (FSM Rejections)'!AT76+'Rev Secondary Sorting'!AT76+'VIA Bag Sorting'!AT76</f>
        <v/>
      </c>
      <c r="AU76" s="7">
        <f>'BBB'!AU76+'Bag Staging'!AU76+'Bag Staging Volumetric'!AU76+'FWD FSM'!AU76+'FWD Manual Pre Primary'!AU76+'FWD Manual Primary'!AU76+'FWD Primary with Scan'!AU76+'FWD Secondary'!AU76+'FWD Volumetric'!AU76+'IB'!AU76+'IB Volumetric'!AU76+'OB'!AU76+'OB Volumetric'!AU76+'OSC Bag Sorting'!AU76+'OSC Bag Sorting Volumetric'!AU76+'REV FSM'!AU76+'Rejection Primary with Scan'!AU76+'Rejection Secondary'!AU76+'Rev DC DC Primary Sorting'!AU76+'Rev Primary (FSM Rejections)'!AU76+'Rev Secondary Sorting'!AU76+'VIA Bag Sorting'!AU76</f>
        <v/>
      </c>
      <c r="AV76" s="7">
        <f>'BBB'!AV76+'Bag Staging'!AV76+'Bag Staging Volumetric'!AV76+'FWD FSM'!AV76+'FWD Manual Pre Primary'!AV76+'FWD Manual Primary'!AV76+'FWD Primary with Scan'!AV76+'FWD Secondary'!AV76+'FWD Volumetric'!AV76+'IB'!AV76+'IB Volumetric'!AV76+'OB'!AV76+'OB Volumetric'!AV76+'OSC Bag Sorting'!AV76+'OSC Bag Sorting Volumetric'!AV76+'REV FSM'!AV76+'Rejection Primary with Scan'!AV76+'Rejection Secondary'!AV76+'Rev DC DC Primary Sorting'!AV76+'Rev Primary (FSM Rejections)'!AV76+'Rev Secondary Sorting'!AV76+'VIA Bag Sorting'!AV76</f>
        <v/>
      </c>
      <c r="AW76" s="7">
        <f>'BBB'!AW76+'Bag Staging'!AW76+'Bag Staging Volumetric'!AW76+'FWD FSM'!AW76+'FWD Manual Pre Primary'!AW76+'FWD Manual Primary'!AW76+'FWD Primary with Scan'!AW76+'FWD Secondary'!AW76+'FWD Volumetric'!AW76+'IB'!AW76+'IB Volumetric'!AW76+'OB'!AW76+'OB Volumetric'!AW76+'OSC Bag Sorting'!AW76+'OSC Bag Sorting Volumetric'!AW76+'REV FSM'!AW76+'Rejection Primary with Scan'!AW76+'Rejection Secondary'!AW76+'Rev DC DC Primary Sorting'!AW76+'Rev Primary (FSM Rejections)'!AW76+'Rev Secondary Sorting'!AW76+'VIA Bag Sorting'!AW76</f>
        <v/>
      </c>
      <c r="AX76" s="7">
        <f>'BBB'!AX76+'Bag Staging'!AX76+'Bag Staging Volumetric'!AX76+'FWD FSM'!AX76+'FWD Manual Pre Primary'!AX76+'FWD Manual Primary'!AX76+'FWD Primary with Scan'!AX76+'FWD Secondary'!AX76+'FWD Volumetric'!AX76+'IB'!AX76+'IB Volumetric'!AX76+'OB'!AX76+'OB Volumetric'!AX76+'OSC Bag Sorting'!AX76+'OSC Bag Sorting Volumetric'!AX76+'REV FSM'!AX76+'Rejection Primary with Scan'!AX76+'Rejection Secondary'!AX76+'Rev DC DC Primary Sorting'!AX76+'Rev Primary (FSM Rejections)'!AX76+'Rev Secondary Sorting'!AX76+'VIA Bag Sorting'!AX76</f>
        <v/>
      </c>
      <c r="AY76" s="7">
        <f>'BBB'!AY76+'Bag Staging'!AY76+'Bag Staging Volumetric'!AY76+'FWD FSM'!AY76+'FWD Manual Pre Primary'!AY76+'FWD Manual Primary'!AY76+'FWD Primary with Scan'!AY76+'FWD Secondary'!AY76+'FWD Volumetric'!AY76+'IB'!AY76+'IB Volumetric'!AY76+'OB'!AY76+'OB Volumetric'!AY76+'OSC Bag Sorting'!AY76+'OSC Bag Sorting Volumetric'!AY76+'REV FSM'!AY76+'Rejection Primary with Scan'!AY76+'Rejection Secondary'!AY76+'Rev DC DC Primary Sorting'!AY76+'Rev Primary (FSM Rejections)'!AY76+'Rev Secondary Sorting'!AY76+'VIA Bag Sorting'!AY76</f>
        <v/>
      </c>
      <c r="AZ76" s="7">
        <f>'BBB'!AZ76+'Bag Staging'!AZ76+'Bag Staging Volumetric'!AZ76+'FWD FSM'!AZ76+'FWD Manual Pre Primary'!AZ76+'FWD Manual Primary'!AZ76+'FWD Primary with Scan'!AZ76+'FWD Secondary'!AZ76+'FWD Volumetric'!AZ76+'IB'!AZ76+'IB Volumetric'!AZ76+'OB'!AZ76+'OB Volumetric'!AZ76+'OSC Bag Sorting'!AZ76+'OSC Bag Sorting Volumetric'!AZ76+'REV FSM'!AZ76+'Rejection Primary with Scan'!AZ76+'Rejection Secondary'!AZ76+'Rev DC DC Primary Sorting'!AZ76+'Rev Primary (FSM Rejections)'!AZ76+'Rev Secondary Sorting'!AZ76+'VIA Bag Sorting'!AZ76</f>
        <v/>
      </c>
      <c r="BA76" s="7">
        <f>'BBB'!BA76+'Bag Staging'!BA76+'Bag Staging Volumetric'!BA76+'FWD FSM'!BA76+'FWD Manual Pre Primary'!BA76+'FWD Manual Primary'!BA76+'FWD Primary with Scan'!BA76+'FWD Secondary'!BA76+'FWD Volumetric'!BA76+'IB'!BA76+'IB Volumetric'!BA76+'OB'!BA76+'OB Volumetric'!BA76+'OSC Bag Sorting'!BA76+'OSC Bag Sorting Volumetric'!BA76+'REV FSM'!BA76+'Rejection Primary with Scan'!BA76+'Rejection Secondary'!BA76+'Rev DC DC Primary Sorting'!BA76+'Rev Primary (FSM Rejections)'!BA76+'Rev Secondary Sorting'!BA76+'VIA Bag Sorting'!BA76</f>
        <v/>
      </c>
      <c r="BB76" s="7">
        <f>SUM(AD76:BA76)</f>
        <v/>
      </c>
    </row>
    <row r="77">
      <c r="A77" t="inlineStr">
        <is>
          <t>AMD-M2</t>
        </is>
      </c>
      <c r="B77" t="inlineStr">
        <is>
          <t>Forward Regular OSC</t>
        </is>
      </c>
      <c r="C77" s="5" t="n">
        <v>46090</v>
      </c>
      <c r="D77" s="6" t="n">
        <v>3424</v>
      </c>
      <c r="E77" s="6" t="n">
        <v>1261</v>
      </c>
      <c r="F77" s="6" t="n">
        <v>3033</v>
      </c>
      <c r="G77" s="6" t="n">
        <v>4664</v>
      </c>
      <c r="H77" s="6" t="n">
        <v>3278</v>
      </c>
      <c r="I77" s="6" t="n">
        <v>3289</v>
      </c>
      <c r="J77" s="6" t="n">
        <v>3073</v>
      </c>
      <c r="K77" s="6" t="n">
        <v>3872</v>
      </c>
      <c r="L77" s="6" t="n">
        <v>6168</v>
      </c>
      <c r="M77" s="6" t="n">
        <v>4874</v>
      </c>
      <c r="N77" s="6" t="n">
        <v>6323</v>
      </c>
      <c r="O77" s="6" t="n">
        <v>6458</v>
      </c>
      <c r="P77" s="6" t="n">
        <v>2608</v>
      </c>
      <c r="Q77" s="6" t="n">
        <v>4553</v>
      </c>
      <c r="R77" s="6" t="n">
        <v>5213</v>
      </c>
      <c r="S77" s="6" t="n">
        <v>5220</v>
      </c>
      <c r="T77" s="6" t="n">
        <v>5260</v>
      </c>
      <c r="U77" s="6" t="n">
        <v>797</v>
      </c>
      <c r="V77" s="6" t="n">
        <v>1572</v>
      </c>
      <c r="W77" s="6" t="n">
        <v>1069</v>
      </c>
      <c r="X77" s="6" t="n">
        <v>98</v>
      </c>
      <c r="Y77" s="6" t="n">
        <v>1184</v>
      </c>
      <c r="Z77" s="6" t="n">
        <v>847</v>
      </c>
      <c r="AA77" s="6" t="n">
        <v>8159</v>
      </c>
      <c r="AB77" s="6">
        <f>SUM(D77:AA77)</f>
        <v/>
      </c>
      <c r="AC77" s="3" t="inlineStr"/>
      <c r="AD77" s="7">
        <f>'BBB'!AD77+'Bag Staging'!AD77+'Bag Staging Volumetric'!AD77+'FWD FSM'!AD77+'FWD Manual Pre Primary'!AD77+'FWD Manual Primary'!AD77+'FWD Primary with Scan'!AD77+'FWD Secondary'!AD77+'FWD Volumetric'!AD77+'IB'!AD77+'IB Volumetric'!AD77+'OB'!AD77+'OB Volumetric'!AD77+'OSC Bag Sorting'!AD77+'OSC Bag Sorting Volumetric'!AD77+'REV FSM'!AD77+'Rejection Primary with Scan'!AD77+'Rejection Secondary'!AD77+'Rev DC DC Primary Sorting'!AD77+'Rev Primary (FSM Rejections)'!AD77+'Rev Secondary Sorting'!AD77+'VIA Bag Sorting'!AD77</f>
        <v/>
      </c>
      <c r="AE77" s="7">
        <f>'BBB'!AE77+'Bag Staging'!AE77+'Bag Staging Volumetric'!AE77+'FWD FSM'!AE77+'FWD Manual Pre Primary'!AE77+'FWD Manual Primary'!AE77+'FWD Primary with Scan'!AE77+'FWD Secondary'!AE77+'FWD Volumetric'!AE77+'IB'!AE77+'IB Volumetric'!AE77+'OB'!AE77+'OB Volumetric'!AE77+'OSC Bag Sorting'!AE77+'OSC Bag Sorting Volumetric'!AE77+'REV FSM'!AE77+'Rejection Primary with Scan'!AE77+'Rejection Secondary'!AE77+'Rev DC DC Primary Sorting'!AE77+'Rev Primary (FSM Rejections)'!AE77+'Rev Secondary Sorting'!AE77+'VIA Bag Sorting'!AE77</f>
        <v/>
      </c>
      <c r="AF77" s="7">
        <f>'BBB'!AF77+'Bag Staging'!AF77+'Bag Staging Volumetric'!AF77+'FWD FSM'!AF77+'FWD Manual Pre Primary'!AF77+'FWD Manual Primary'!AF77+'FWD Primary with Scan'!AF77+'FWD Secondary'!AF77+'FWD Volumetric'!AF77+'IB'!AF77+'IB Volumetric'!AF77+'OB'!AF77+'OB Volumetric'!AF77+'OSC Bag Sorting'!AF77+'OSC Bag Sorting Volumetric'!AF77+'REV FSM'!AF77+'Rejection Primary with Scan'!AF77+'Rejection Secondary'!AF77+'Rev DC DC Primary Sorting'!AF77+'Rev Primary (FSM Rejections)'!AF77+'Rev Secondary Sorting'!AF77+'VIA Bag Sorting'!AF77</f>
        <v/>
      </c>
      <c r="AG77" s="7">
        <f>'BBB'!AG77+'Bag Staging'!AG77+'Bag Staging Volumetric'!AG77+'FWD FSM'!AG77+'FWD Manual Pre Primary'!AG77+'FWD Manual Primary'!AG77+'FWD Primary with Scan'!AG77+'FWD Secondary'!AG77+'FWD Volumetric'!AG77+'IB'!AG77+'IB Volumetric'!AG77+'OB'!AG77+'OB Volumetric'!AG77+'OSC Bag Sorting'!AG77+'OSC Bag Sorting Volumetric'!AG77+'REV FSM'!AG77+'Rejection Primary with Scan'!AG77+'Rejection Secondary'!AG77+'Rev DC DC Primary Sorting'!AG77+'Rev Primary (FSM Rejections)'!AG77+'Rev Secondary Sorting'!AG77+'VIA Bag Sorting'!AG77</f>
        <v/>
      </c>
      <c r="AH77" s="7">
        <f>'BBB'!AH77+'Bag Staging'!AH77+'Bag Staging Volumetric'!AH77+'FWD FSM'!AH77+'FWD Manual Pre Primary'!AH77+'FWD Manual Primary'!AH77+'FWD Primary with Scan'!AH77+'FWD Secondary'!AH77+'FWD Volumetric'!AH77+'IB'!AH77+'IB Volumetric'!AH77+'OB'!AH77+'OB Volumetric'!AH77+'OSC Bag Sorting'!AH77+'OSC Bag Sorting Volumetric'!AH77+'REV FSM'!AH77+'Rejection Primary with Scan'!AH77+'Rejection Secondary'!AH77+'Rev DC DC Primary Sorting'!AH77+'Rev Primary (FSM Rejections)'!AH77+'Rev Secondary Sorting'!AH77+'VIA Bag Sorting'!AH77</f>
        <v/>
      </c>
      <c r="AI77" s="7">
        <f>'BBB'!AI77+'Bag Staging'!AI77+'Bag Staging Volumetric'!AI77+'FWD FSM'!AI77+'FWD Manual Pre Primary'!AI77+'FWD Manual Primary'!AI77+'FWD Primary with Scan'!AI77+'FWD Secondary'!AI77+'FWD Volumetric'!AI77+'IB'!AI77+'IB Volumetric'!AI77+'OB'!AI77+'OB Volumetric'!AI77+'OSC Bag Sorting'!AI77+'OSC Bag Sorting Volumetric'!AI77+'REV FSM'!AI77+'Rejection Primary with Scan'!AI77+'Rejection Secondary'!AI77+'Rev DC DC Primary Sorting'!AI77+'Rev Primary (FSM Rejections)'!AI77+'Rev Secondary Sorting'!AI77+'VIA Bag Sorting'!AI77</f>
        <v/>
      </c>
      <c r="AJ77" s="7">
        <f>'BBB'!AJ77+'Bag Staging'!AJ77+'Bag Staging Volumetric'!AJ77+'FWD FSM'!AJ77+'FWD Manual Pre Primary'!AJ77+'FWD Manual Primary'!AJ77+'FWD Primary with Scan'!AJ77+'FWD Secondary'!AJ77+'FWD Volumetric'!AJ77+'IB'!AJ77+'IB Volumetric'!AJ77+'OB'!AJ77+'OB Volumetric'!AJ77+'OSC Bag Sorting'!AJ77+'OSC Bag Sorting Volumetric'!AJ77+'REV FSM'!AJ77+'Rejection Primary with Scan'!AJ77+'Rejection Secondary'!AJ77+'Rev DC DC Primary Sorting'!AJ77+'Rev Primary (FSM Rejections)'!AJ77+'Rev Secondary Sorting'!AJ77+'VIA Bag Sorting'!AJ77</f>
        <v/>
      </c>
      <c r="AK77" s="7">
        <f>'BBB'!AK77+'Bag Staging'!AK77+'Bag Staging Volumetric'!AK77+'FWD FSM'!AK77+'FWD Manual Pre Primary'!AK77+'FWD Manual Primary'!AK77+'FWD Primary with Scan'!AK77+'FWD Secondary'!AK77+'FWD Volumetric'!AK77+'IB'!AK77+'IB Volumetric'!AK77+'OB'!AK77+'OB Volumetric'!AK77+'OSC Bag Sorting'!AK77+'OSC Bag Sorting Volumetric'!AK77+'REV FSM'!AK77+'Rejection Primary with Scan'!AK77+'Rejection Secondary'!AK77+'Rev DC DC Primary Sorting'!AK77+'Rev Primary (FSM Rejections)'!AK77+'Rev Secondary Sorting'!AK77+'VIA Bag Sorting'!AK77</f>
        <v/>
      </c>
      <c r="AL77" s="7">
        <f>'BBB'!AL77+'Bag Staging'!AL77+'Bag Staging Volumetric'!AL77+'FWD FSM'!AL77+'FWD Manual Pre Primary'!AL77+'FWD Manual Primary'!AL77+'FWD Primary with Scan'!AL77+'FWD Secondary'!AL77+'FWD Volumetric'!AL77+'IB'!AL77+'IB Volumetric'!AL77+'OB'!AL77+'OB Volumetric'!AL77+'OSC Bag Sorting'!AL77+'OSC Bag Sorting Volumetric'!AL77+'REV FSM'!AL77+'Rejection Primary with Scan'!AL77+'Rejection Secondary'!AL77+'Rev DC DC Primary Sorting'!AL77+'Rev Primary (FSM Rejections)'!AL77+'Rev Secondary Sorting'!AL77+'VIA Bag Sorting'!AL77</f>
        <v/>
      </c>
      <c r="AM77" s="7">
        <f>'BBB'!AM77+'Bag Staging'!AM77+'Bag Staging Volumetric'!AM77+'FWD FSM'!AM77+'FWD Manual Pre Primary'!AM77+'FWD Manual Primary'!AM77+'FWD Primary with Scan'!AM77+'FWD Secondary'!AM77+'FWD Volumetric'!AM77+'IB'!AM77+'IB Volumetric'!AM77+'OB'!AM77+'OB Volumetric'!AM77+'OSC Bag Sorting'!AM77+'OSC Bag Sorting Volumetric'!AM77+'REV FSM'!AM77+'Rejection Primary with Scan'!AM77+'Rejection Secondary'!AM77+'Rev DC DC Primary Sorting'!AM77+'Rev Primary (FSM Rejections)'!AM77+'Rev Secondary Sorting'!AM77+'VIA Bag Sorting'!AM77</f>
        <v/>
      </c>
      <c r="AN77" s="7">
        <f>'BBB'!AN77+'Bag Staging'!AN77+'Bag Staging Volumetric'!AN77+'FWD FSM'!AN77+'FWD Manual Pre Primary'!AN77+'FWD Manual Primary'!AN77+'FWD Primary with Scan'!AN77+'FWD Secondary'!AN77+'FWD Volumetric'!AN77+'IB'!AN77+'IB Volumetric'!AN77+'OB'!AN77+'OB Volumetric'!AN77+'OSC Bag Sorting'!AN77+'OSC Bag Sorting Volumetric'!AN77+'REV FSM'!AN77+'Rejection Primary with Scan'!AN77+'Rejection Secondary'!AN77+'Rev DC DC Primary Sorting'!AN77+'Rev Primary (FSM Rejections)'!AN77+'Rev Secondary Sorting'!AN77+'VIA Bag Sorting'!AN77</f>
        <v/>
      </c>
      <c r="AO77" s="7">
        <f>'BBB'!AO77+'Bag Staging'!AO77+'Bag Staging Volumetric'!AO77+'FWD FSM'!AO77+'FWD Manual Pre Primary'!AO77+'FWD Manual Primary'!AO77+'FWD Primary with Scan'!AO77+'FWD Secondary'!AO77+'FWD Volumetric'!AO77+'IB'!AO77+'IB Volumetric'!AO77+'OB'!AO77+'OB Volumetric'!AO77+'OSC Bag Sorting'!AO77+'OSC Bag Sorting Volumetric'!AO77+'REV FSM'!AO77+'Rejection Primary with Scan'!AO77+'Rejection Secondary'!AO77+'Rev DC DC Primary Sorting'!AO77+'Rev Primary (FSM Rejections)'!AO77+'Rev Secondary Sorting'!AO77+'VIA Bag Sorting'!AO77</f>
        <v/>
      </c>
      <c r="AP77" s="7">
        <f>'BBB'!AP77+'Bag Staging'!AP77+'Bag Staging Volumetric'!AP77+'FWD FSM'!AP77+'FWD Manual Pre Primary'!AP77+'FWD Manual Primary'!AP77+'FWD Primary with Scan'!AP77+'FWD Secondary'!AP77+'FWD Volumetric'!AP77+'IB'!AP77+'IB Volumetric'!AP77+'OB'!AP77+'OB Volumetric'!AP77+'OSC Bag Sorting'!AP77+'OSC Bag Sorting Volumetric'!AP77+'REV FSM'!AP77+'Rejection Primary with Scan'!AP77+'Rejection Secondary'!AP77+'Rev DC DC Primary Sorting'!AP77+'Rev Primary (FSM Rejections)'!AP77+'Rev Secondary Sorting'!AP77+'VIA Bag Sorting'!AP77</f>
        <v/>
      </c>
      <c r="AQ77" s="7">
        <f>'BBB'!AQ77+'Bag Staging'!AQ77+'Bag Staging Volumetric'!AQ77+'FWD FSM'!AQ77+'FWD Manual Pre Primary'!AQ77+'FWD Manual Primary'!AQ77+'FWD Primary with Scan'!AQ77+'FWD Secondary'!AQ77+'FWD Volumetric'!AQ77+'IB'!AQ77+'IB Volumetric'!AQ77+'OB'!AQ77+'OB Volumetric'!AQ77+'OSC Bag Sorting'!AQ77+'OSC Bag Sorting Volumetric'!AQ77+'REV FSM'!AQ77+'Rejection Primary with Scan'!AQ77+'Rejection Secondary'!AQ77+'Rev DC DC Primary Sorting'!AQ77+'Rev Primary (FSM Rejections)'!AQ77+'Rev Secondary Sorting'!AQ77+'VIA Bag Sorting'!AQ77</f>
        <v/>
      </c>
      <c r="AR77" s="7">
        <f>'BBB'!AR77+'Bag Staging'!AR77+'Bag Staging Volumetric'!AR77+'FWD FSM'!AR77+'FWD Manual Pre Primary'!AR77+'FWD Manual Primary'!AR77+'FWD Primary with Scan'!AR77+'FWD Secondary'!AR77+'FWD Volumetric'!AR77+'IB'!AR77+'IB Volumetric'!AR77+'OB'!AR77+'OB Volumetric'!AR77+'OSC Bag Sorting'!AR77+'OSC Bag Sorting Volumetric'!AR77+'REV FSM'!AR77+'Rejection Primary with Scan'!AR77+'Rejection Secondary'!AR77+'Rev DC DC Primary Sorting'!AR77+'Rev Primary (FSM Rejections)'!AR77+'Rev Secondary Sorting'!AR77+'VIA Bag Sorting'!AR77</f>
        <v/>
      </c>
      <c r="AS77" s="7">
        <f>'BBB'!AS77+'Bag Staging'!AS77+'Bag Staging Volumetric'!AS77+'FWD FSM'!AS77+'FWD Manual Pre Primary'!AS77+'FWD Manual Primary'!AS77+'FWD Primary with Scan'!AS77+'FWD Secondary'!AS77+'FWD Volumetric'!AS77+'IB'!AS77+'IB Volumetric'!AS77+'OB'!AS77+'OB Volumetric'!AS77+'OSC Bag Sorting'!AS77+'OSC Bag Sorting Volumetric'!AS77+'REV FSM'!AS77+'Rejection Primary with Scan'!AS77+'Rejection Secondary'!AS77+'Rev DC DC Primary Sorting'!AS77+'Rev Primary (FSM Rejections)'!AS77+'Rev Secondary Sorting'!AS77+'VIA Bag Sorting'!AS77</f>
        <v/>
      </c>
      <c r="AT77" s="7">
        <f>'BBB'!AT77+'Bag Staging'!AT77+'Bag Staging Volumetric'!AT77+'FWD FSM'!AT77+'FWD Manual Pre Primary'!AT77+'FWD Manual Primary'!AT77+'FWD Primary with Scan'!AT77+'FWD Secondary'!AT77+'FWD Volumetric'!AT77+'IB'!AT77+'IB Volumetric'!AT77+'OB'!AT77+'OB Volumetric'!AT77+'OSC Bag Sorting'!AT77+'OSC Bag Sorting Volumetric'!AT77+'REV FSM'!AT77+'Rejection Primary with Scan'!AT77+'Rejection Secondary'!AT77+'Rev DC DC Primary Sorting'!AT77+'Rev Primary (FSM Rejections)'!AT77+'Rev Secondary Sorting'!AT77+'VIA Bag Sorting'!AT77</f>
        <v/>
      </c>
      <c r="AU77" s="7">
        <f>'BBB'!AU77+'Bag Staging'!AU77+'Bag Staging Volumetric'!AU77+'FWD FSM'!AU77+'FWD Manual Pre Primary'!AU77+'FWD Manual Primary'!AU77+'FWD Primary with Scan'!AU77+'FWD Secondary'!AU77+'FWD Volumetric'!AU77+'IB'!AU77+'IB Volumetric'!AU77+'OB'!AU77+'OB Volumetric'!AU77+'OSC Bag Sorting'!AU77+'OSC Bag Sorting Volumetric'!AU77+'REV FSM'!AU77+'Rejection Primary with Scan'!AU77+'Rejection Secondary'!AU77+'Rev DC DC Primary Sorting'!AU77+'Rev Primary (FSM Rejections)'!AU77+'Rev Secondary Sorting'!AU77+'VIA Bag Sorting'!AU77</f>
        <v/>
      </c>
      <c r="AV77" s="7">
        <f>'BBB'!AV77+'Bag Staging'!AV77+'Bag Staging Volumetric'!AV77+'FWD FSM'!AV77+'FWD Manual Pre Primary'!AV77+'FWD Manual Primary'!AV77+'FWD Primary with Scan'!AV77+'FWD Secondary'!AV77+'FWD Volumetric'!AV77+'IB'!AV77+'IB Volumetric'!AV77+'OB'!AV77+'OB Volumetric'!AV77+'OSC Bag Sorting'!AV77+'OSC Bag Sorting Volumetric'!AV77+'REV FSM'!AV77+'Rejection Primary with Scan'!AV77+'Rejection Secondary'!AV77+'Rev DC DC Primary Sorting'!AV77+'Rev Primary (FSM Rejections)'!AV77+'Rev Secondary Sorting'!AV77+'VIA Bag Sorting'!AV77</f>
        <v/>
      </c>
      <c r="AW77" s="7">
        <f>'BBB'!AW77+'Bag Staging'!AW77+'Bag Staging Volumetric'!AW77+'FWD FSM'!AW77+'FWD Manual Pre Primary'!AW77+'FWD Manual Primary'!AW77+'FWD Primary with Scan'!AW77+'FWD Secondary'!AW77+'FWD Volumetric'!AW77+'IB'!AW77+'IB Volumetric'!AW77+'OB'!AW77+'OB Volumetric'!AW77+'OSC Bag Sorting'!AW77+'OSC Bag Sorting Volumetric'!AW77+'REV FSM'!AW77+'Rejection Primary with Scan'!AW77+'Rejection Secondary'!AW77+'Rev DC DC Primary Sorting'!AW77+'Rev Primary (FSM Rejections)'!AW77+'Rev Secondary Sorting'!AW77+'VIA Bag Sorting'!AW77</f>
        <v/>
      </c>
      <c r="AX77" s="7">
        <f>'BBB'!AX77+'Bag Staging'!AX77+'Bag Staging Volumetric'!AX77+'FWD FSM'!AX77+'FWD Manual Pre Primary'!AX77+'FWD Manual Primary'!AX77+'FWD Primary with Scan'!AX77+'FWD Secondary'!AX77+'FWD Volumetric'!AX77+'IB'!AX77+'IB Volumetric'!AX77+'OB'!AX77+'OB Volumetric'!AX77+'OSC Bag Sorting'!AX77+'OSC Bag Sorting Volumetric'!AX77+'REV FSM'!AX77+'Rejection Primary with Scan'!AX77+'Rejection Secondary'!AX77+'Rev DC DC Primary Sorting'!AX77+'Rev Primary (FSM Rejections)'!AX77+'Rev Secondary Sorting'!AX77+'VIA Bag Sorting'!AX77</f>
        <v/>
      </c>
      <c r="AY77" s="7">
        <f>'BBB'!AY77+'Bag Staging'!AY77+'Bag Staging Volumetric'!AY77+'FWD FSM'!AY77+'FWD Manual Pre Primary'!AY77+'FWD Manual Primary'!AY77+'FWD Primary with Scan'!AY77+'FWD Secondary'!AY77+'FWD Volumetric'!AY77+'IB'!AY77+'IB Volumetric'!AY77+'OB'!AY77+'OB Volumetric'!AY77+'OSC Bag Sorting'!AY77+'OSC Bag Sorting Volumetric'!AY77+'REV FSM'!AY77+'Rejection Primary with Scan'!AY77+'Rejection Secondary'!AY77+'Rev DC DC Primary Sorting'!AY77+'Rev Primary (FSM Rejections)'!AY77+'Rev Secondary Sorting'!AY77+'VIA Bag Sorting'!AY77</f>
        <v/>
      </c>
      <c r="AZ77" s="7">
        <f>'BBB'!AZ77+'Bag Staging'!AZ77+'Bag Staging Volumetric'!AZ77+'FWD FSM'!AZ77+'FWD Manual Pre Primary'!AZ77+'FWD Manual Primary'!AZ77+'FWD Primary with Scan'!AZ77+'FWD Secondary'!AZ77+'FWD Volumetric'!AZ77+'IB'!AZ77+'IB Volumetric'!AZ77+'OB'!AZ77+'OB Volumetric'!AZ77+'OSC Bag Sorting'!AZ77+'OSC Bag Sorting Volumetric'!AZ77+'REV FSM'!AZ77+'Rejection Primary with Scan'!AZ77+'Rejection Secondary'!AZ77+'Rev DC DC Primary Sorting'!AZ77+'Rev Primary (FSM Rejections)'!AZ77+'Rev Secondary Sorting'!AZ77+'VIA Bag Sorting'!AZ77</f>
        <v/>
      </c>
      <c r="BA77" s="7">
        <f>'BBB'!BA77+'Bag Staging'!BA77+'Bag Staging Volumetric'!BA77+'FWD FSM'!BA77+'FWD Manual Pre Primary'!BA77+'FWD Manual Primary'!BA77+'FWD Primary with Scan'!BA77+'FWD Secondary'!BA77+'FWD Volumetric'!BA77+'IB'!BA77+'IB Volumetric'!BA77+'OB'!BA77+'OB Volumetric'!BA77+'OSC Bag Sorting'!BA77+'OSC Bag Sorting Volumetric'!BA77+'REV FSM'!BA77+'Rejection Primary with Scan'!BA77+'Rejection Secondary'!BA77+'Rev DC DC Primary Sorting'!BA77+'Rev Primary (FSM Rejections)'!BA77+'Rev Secondary Sorting'!BA77+'VIA Bag Sorting'!BA77</f>
        <v/>
      </c>
      <c r="BB77" s="7">
        <f>SUM(AD77:BA77)</f>
        <v/>
      </c>
    </row>
    <row r="78">
      <c r="A78" t="inlineStr">
        <is>
          <t>AMD-M2</t>
        </is>
      </c>
      <c r="B78" t="inlineStr">
        <is>
          <t>Forward Regular OSC</t>
        </is>
      </c>
      <c r="C78" s="5" t="n">
        <v>46091</v>
      </c>
      <c r="D78" s="6" t="n">
        <v>7860</v>
      </c>
      <c r="E78" s="6" t="n">
        <v>5165</v>
      </c>
      <c r="F78" s="6" t="n">
        <v>5111</v>
      </c>
      <c r="G78" s="6" t="n">
        <v>8250</v>
      </c>
      <c r="H78" s="6" t="n">
        <v>5553</v>
      </c>
      <c r="I78" s="6" t="n">
        <v>5799</v>
      </c>
      <c r="J78" s="6" t="n">
        <v>4499</v>
      </c>
      <c r="K78" s="6" t="n">
        <v>2513</v>
      </c>
      <c r="L78" s="6" t="n">
        <v>6123</v>
      </c>
      <c r="M78" s="6" t="n">
        <v>5479</v>
      </c>
      <c r="N78" s="6" t="n">
        <v>6569</v>
      </c>
      <c r="O78" s="6" t="n">
        <v>6230</v>
      </c>
      <c r="P78" s="6" t="n">
        <v>2196</v>
      </c>
      <c r="Q78" s="6" t="n">
        <v>6382</v>
      </c>
      <c r="R78" s="6" t="n">
        <v>6639</v>
      </c>
      <c r="S78" s="6" t="n">
        <v>7259</v>
      </c>
      <c r="T78" s="6" t="n">
        <v>8504</v>
      </c>
      <c r="U78" s="6" t="n">
        <v>210</v>
      </c>
      <c r="V78" s="6" t="n">
        <v>3130</v>
      </c>
      <c r="W78" s="6" t="n">
        <v>2526</v>
      </c>
      <c r="X78" s="6" t="n">
        <v>452</v>
      </c>
      <c r="Y78" s="6" t="n">
        <v>0</v>
      </c>
      <c r="Z78" s="6" t="n">
        <v>137</v>
      </c>
      <c r="AA78" s="6" t="n">
        <v>6809</v>
      </c>
      <c r="AB78" s="6">
        <f>SUM(D78:AA78)</f>
        <v/>
      </c>
      <c r="AC78" s="3" t="inlineStr"/>
      <c r="AD78" s="7">
        <f>'BBB'!AD78+'Bag Staging'!AD78+'Bag Staging Volumetric'!AD78+'FWD FSM'!AD78+'FWD Manual Pre Primary'!AD78+'FWD Manual Primary'!AD78+'FWD Primary with Scan'!AD78+'FWD Secondary'!AD78+'FWD Volumetric'!AD78+'IB'!AD78+'IB Volumetric'!AD78+'OB'!AD78+'OB Volumetric'!AD78+'OSC Bag Sorting'!AD78+'OSC Bag Sorting Volumetric'!AD78+'REV FSM'!AD78+'Rejection Primary with Scan'!AD78+'Rejection Secondary'!AD78+'Rev DC DC Primary Sorting'!AD78+'Rev Primary (FSM Rejections)'!AD78+'Rev Secondary Sorting'!AD78+'VIA Bag Sorting'!AD78</f>
        <v/>
      </c>
      <c r="AE78" s="7">
        <f>'BBB'!AE78+'Bag Staging'!AE78+'Bag Staging Volumetric'!AE78+'FWD FSM'!AE78+'FWD Manual Pre Primary'!AE78+'FWD Manual Primary'!AE78+'FWD Primary with Scan'!AE78+'FWD Secondary'!AE78+'FWD Volumetric'!AE78+'IB'!AE78+'IB Volumetric'!AE78+'OB'!AE78+'OB Volumetric'!AE78+'OSC Bag Sorting'!AE78+'OSC Bag Sorting Volumetric'!AE78+'REV FSM'!AE78+'Rejection Primary with Scan'!AE78+'Rejection Secondary'!AE78+'Rev DC DC Primary Sorting'!AE78+'Rev Primary (FSM Rejections)'!AE78+'Rev Secondary Sorting'!AE78+'VIA Bag Sorting'!AE78</f>
        <v/>
      </c>
      <c r="AF78" s="7">
        <f>'BBB'!AF78+'Bag Staging'!AF78+'Bag Staging Volumetric'!AF78+'FWD FSM'!AF78+'FWD Manual Pre Primary'!AF78+'FWD Manual Primary'!AF78+'FWD Primary with Scan'!AF78+'FWD Secondary'!AF78+'FWD Volumetric'!AF78+'IB'!AF78+'IB Volumetric'!AF78+'OB'!AF78+'OB Volumetric'!AF78+'OSC Bag Sorting'!AF78+'OSC Bag Sorting Volumetric'!AF78+'REV FSM'!AF78+'Rejection Primary with Scan'!AF78+'Rejection Secondary'!AF78+'Rev DC DC Primary Sorting'!AF78+'Rev Primary (FSM Rejections)'!AF78+'Rev Secondary Sorting'!AF78+'VIA Bag Sorting'!AF78</f>
        <v/>
      </c>
      <c r="AG78" s="7">
        <f>'BBB'!AG78+'Bag Staging'!AG78+'Bag Staging Volumetric'!AG78+'FWD FSM'!AG78+'FWD Manual Pre Primary'!AG78+'FWD Manual Primary'!AG78+'FWD Primary with Scan'!AG78+'FWD Secondary'!AG78+'FWD Volumetric'!AG78+'IB'!AG78+'IB Volumetric'!AG78+'OB'!AG78+'OB Volumetric'!AG78+'OSC Bag Sorting'!AG78+'OSC Bag Sorting Volumetric'!AG78+'REV FSM'!AG78+'Rejection Primary with Scan'!AG78+'Rejection Secondary'!AG78+'Rev DC DC Primary Sorting'!AG78+'Rev Primary (FSM Rejections)'!AG78+'Rev Secondary Sorting'!AG78+'VIA Bag Sorting'!AG78</f>
        <v/>
      </c>
      <c r="AH78" s="7">
        <f>'BBB'!AH78+'Bag Staging'!AH78+'Bag Staging Volumetric'!AH78+'FWD FSM'!AH78+'FWD Manual Pre Primary'!AH78+'FWD Manual Primary'!AH78+'FWD Primary with Scan'!AH78+'FWD Secondary'!AH78+'FWD Volumetric'!AH78+'IB'!AH78+'IB Volumetric'!AH78+'OB'!AH78+'OB Volumetric'!AH78+'OSC Bag Sorting'!AH78+'OSC Bag Sorting Volumetric'!AH78+'REV FSM'!AH78+'Rejection Primary with Scan'!AH78+'Rejection Secondary'!AH78+'Rev DC DC Primary Sorting'!AH78+'Rev Primary (FSM Rejections)'!AH78+'Rev Secondary Sorting'!AH78+'VIA Bag Sorting'!AH78</f>
        <v/>
      </c>
      <c r="AI78" s="7">
        <f>'BBB'!AI78+'Bag Staging'!AI78+'Bag Staging Volumetric'!AI78+'FWD FSM'!AI78+'FWD Manual Pre Primary'!AI78+'FWD Manual Primary'!AI78+'FWD Primary with Scan'!AI78+'FWD Secondary'!AI78+'FWD Volumetric'!AI78+'IB'!AI78+'IB Volumetric'!AI78+'OB'!AI78+'OB Volumetric'!AI78+'OSC Bag Sorting'!AI78+'OSC Bag Sorting Volumetric'!AI78+'REV FSM'!AI78+'Rejection Primary with Scan'!AI78+'Rejection Secondary'!AI78+'Rev DC DC Primary Sorting'!AI78+'Rev Primary (FSM Rejections)'!AI78+'Rev Secondary Sorting'!AI78+'VIA Bag Sorting'!AI78</f>
        <v/>
      </c>
      <c r="AJ78" s="7">
        <f>'BBB'!AJ78+'Bag Staging'!AJ78+'Bag Staging Volumetric'!AJ78+'FWD FSM'!AJ78+'FWD Manual Pre Primary'!AJ78+'FWD Manual Primary'!AJ78+'FWD Primary with Scan'!AJ78+'FWD Secondary'!AJ78+'FWD Volumetric'!AJ78+'IB'!AJ78+'IB Volumetric'!AJ78+'OB'!AJ78+'OB Volumetric'!AJ78+'OSC Bag Sorting'!AJ78+'OSC Bag Sorting Volumetric'!AJ78+'REV FSM'!AJ78+'Rejection Primary with Scan'!AJ78+'Rejection Secondary'!AJ78+'Rev DC DC Primary Sorting'!AJ78+'Rev Primary (FSM Rejections)'!AJ78+'Rev Secondary Sorting'!AJ78+'VIA Bag Sorting'!AJ78</f>
        <v/>
      </c>
      <c r="AK78" s="7">
        <f>'BBB'!AK78+'Bag Staging'!AK78+'Bag Staging Volumetric'!AK78+'FWD FSM'!AK78+'FWD Manual Pre Primary'!AK78+'FWD Manual Primary'!AK78+'FWD Primary with Scan'!AK78+'FWD Secondary'!AK78+'FWD Volumetric'!AK78+'IB'!AK78+'IB Volumetric'!AK78+'OB'!AK78+'OB Volumetric'!AK78+'OSC Bag Sorting'!AK78+'OSC Bag Sorting Volumetric'!AK78+'REV FSM'!AK78+'Rejection Primary with Scan'!AK78+'Rejection Secondary'!AK78+'Rev DC DC Primary Sorting'!AK78+'Rev Primary (FSM Rejections)'!AK78+'Rev Secondary Sorting'!AK78+'VIA Bag Sorting'!AK78</f>
        <v/>
      </c>
      <c r="AL78" s="7">
        <f>'BBB'!AL78+'Bag Staging'!AL78+'Bag Staging Volumetric'!AL78+'FWD FSM'!AL78+'FWD Manual Pre Primary'!AL78+'FWD Manual Primary'!AL78+'FWD Primary with Scan'!AL78+'FWD Secondary'!AL78+'FWD Volumetric'!AL78+'IB'!AL78+'IB Volumetric'!AL78+'OB'!AL78+'OB Volumetric'!AL78+'OSC Bag Sorting'!AL78+'OSC Bag Sorting Volumetric'!AL78+'REV FSM'!AL78+'Rejection Primary with Scan'!AL78+'Rejection Secondary'!AL78+'Rev DC DC Primary Sorting'!AL78+'Rev Primary (FSM Rejections)'!AL78+'Rev Secondary Sorting'!AL78+'VIA Bag Sorting'!AL78</f>
        <v/>
      </c>
      <c r="AM78" s="7">
        <f>'BBB'!AM78+'Bag Staging'!AM78+'Bag Staging Volumetric'!AM78+'FWD FSM'!AM78+'FWD Manual Pre Primary'!AM78+'FWD Manual Primary'!AM78+'FWD Primary with Scan'!AM78+'FWD Secondary'!AM78+'FWD Volumetric'!AM78+'IB'!AM78+'IB Volumetric'!AM78+'OB'!AM78+'OB Volumetric'!AM78+'OSC Bag Sorting'!AM78+'OSC Bag Sorting Volumetric'!AM78+'REV FSM'!AM78+'Rejection Primary with Scan'!AM78+'Rejection Secondary'!AM78+'Rev DC DC Primary Sorting'!AM78+'Rev Primary (FSM Rejections)'!AM78+'Rev Secondary Sorting'!AM78+'VIA Bag Sorting'!AM78</f>
        <v/>
      </c>
      <c r="AN78" s="7">
        <f>'BBB'!AN78+'Bag Staging'!AN78+'Bag Staging Volumetric'!AN78+'FWD FSM'!AN78+'FWD Manual Pre Primary'!AN78+'FWD Manual Primary'!AN78+'FWD Primary with Scan'!AN78+'FWD Secondary'!AN78+'FWD Volumetric'!AN78+'IB'!AN78+'IB Volumetric'!AN78+'OB'!AN78+'OB Volumetric'!AN78+'OSC Bag Sorting'!AN78+'OSC Bag Sorting Volumetric'!AN78+'REV FSM'!AN78+'Rejection Primary with Scan'!AN78+'Rejection Secondary'!AN78+'Rev DC DC Primary Sorting'!AN78+'Rev Primary (FSM Rejections)'!AN78+'Rev Secondary Sorting'!AN78+'VIA Bag Sorting'!AN78</f>
        <v/>
      </c>
      <c r="AO78" s="7">
        <f>'BBB'!AO78+'Bag Staging'!AO78+'Bag Staging Volumetric'!AO78+'FWD FSM'!AO78+'FWD Manual Pre Primary'!AO78+'FWD Manual Primary'!AO78+'FWD Primary with Scan'!AO78+'FWD Secondary'!AO78+'FWD Volumetric'!AO78+'IB'!AO78+'IB Volumetric'!AO78+'OB'!AO78+'OB Volumetric'!AO78+'OSC Bag Sorting'!AO78+'OSC Bag Sorting Volumetric'!AO78+'REV FSM'!AO78+'Rejection Primary with Scan'!AO78+'Rejection Secondary'!AO78+'Rev DC DC Primary Sorting'!AO78+'Rev Primary (FSM Rejections)'!AO78+'Rev Secondary Sorting'!AO78+'VIA Bag Sorting'!AO78</f>
        <v/>
      </c>
      <c r="AP78" s="7">
        <f>'BBB'!AP78+'Bag Staging'!AP78+'Bag Staging Volumetric'!AP78+'FWD FSM'!AP78+'FWD Manual Pre Primary'!AP78+'FWD Manual Primary'!AP78+'FWD Primary with Scan'!AP78+'FWD Secondary'!AP78+'FWD Volumetric'!AP78+'IB'!AP78+'IB Volumetric'!AP78+'OB'!AP78+'OB Volumetric'!AP78+'OSC Bag Sorting'!AP78+'OSC Bag Sorting Volumetric'!AP78+'REV FSM'!AP78+'Rejection Primary with Scan'!AP78+'Rejection Secondary'!AP78+'Rev DC DC Primary Sorting'!AP78+'Rev Primary (FSM Rejections)'!AP78+'Rev Secondary Sorting'!AP78+'VIA Bag Sorting'!AP78</f>
        <v/>
      </c>
      <c r="AQ78" s="7">
        <f>'BBB'!AQ78+'Bag Staging'!AQ78+'Bag Staging Volumetric'!AQ78+'FWD FSM'!AQ78+'FWD Manual Pre Primary'!AQ78+'FWD Manual Primary'!AQ78+'FWD Primary with Scan'!AQ78+'FWD Secondary'!AQ78+'FWD Volumetric'!AQ78+'IB'!AQ78+'IB Volumetric'!AQ78+'OB'!AQ78+'OB Volumetric'!AQ78+'OSC Bag Sorting'!AQ78+'OSC Bag Sorting Volumetric'!AQ78+'REV FSM'!AQ78+'Rejection Primary with Scan'!AQ78+'Rejection Secondary'!AQ78+'Rev DC DC Primary Sorting'!AQ78+'Rev Primary (FSM Rejections)'!AQ78+'Rev Secondary Sorting'!AQ78+'VIA Bag Sorting'!AQ78</f>
        <v/>
      </c>
      <c r="AR78" s="7">
        <f>'BBB'!AR78+'Bag Staging'!AR78+'Bag Staging Volumetric'!AR78+'FWD FSM'!AR78+'FWD Manual Pre Primary'!AR78+'FWD Manual Primary'!AR78+'FWD Primary with Scan'!AR78+'FWD Secondary'!AR78+'FWD Volumetric'!AR78+'IB'!AR78+'IB Volumetric'!AR78+'OB'!AR78+'OB Volumetric'!AR78+'OSC Bag Sorting'!AR78+'OSC Bag Sorting Volumetric'!AR78+'REV FSM'!AR78+'Rejection Primary with Scan'!AR78+'Rejection Secondary'!AR78+'Rev DC DC Primary Sorting'!AR78+'Rev Primary (FSM Rejections)'!AR78+'Rev Secondary Sorting'!AR78+'VIA Bag Sorting'!AR78</f>
        <v/>
      </c>
      <c r="AS78" s="7">
        <f>'BBB'!AS78+'Bag Staging'!AS78+'Bag Staging Volumetric'!AS78+'FWD FSM'!AS78+'FWD Manual Pre Primary'!AS78+'FWD Manual Primary'!AS78+'FWD Primary with Scan'!AS78+'FWD Secondary'!AS78+'FWD Volumetric'!AS78+'IB'!AS78+'IB Volumetric'!AS78+'OB'!AS78+'OB Volumetric'!AS78+'OSC Bag Sorting'!AS78+'OSC Bag Sorting Volumetric'!AS78+'REV FSM'!AS78+'Rejection Primary with Scan'!AS78+'Rejection Secondary'!AS78+'Rev DC DC Primary Sorting'!AS78+'Rev Primary (FSM Rejections)'!AS78+'Rev Secondary Sorting'!AS78+'VIA Bag Sorting'!AS78</f>
        <v/>
      </c>
      <c r="AT78" s="7">
        <f>'BBB'!AT78+'Bag Staging'!AT78+'Bag Staging Volumetric'!AT78+'FWD FSM'!AT78+'FWD Manual Pre Primary'!AT78+'FWD Manual Primary'!AT78+'FWD Primary with Scan'!AT78+'FWD Secondary'!AT78+'FWD Volumetric'!AT78+'IB'!AT78+'IB Volumetric'!AT78+'OB'!AT78+'OB Volumetric'!AT78+'OSC Bag Sorting'!AT78+'OSC Bag Sorting Volumetric'!AT78+'REV FSM'!AT78+'Rejection Primary with Scan'!AT78+'Rejection Secondary'!AT78+'Rev DC DC Primary Sorting'!AT78+'Rev Primary (FSM Rejections)'!AT78+'Rev Secondary Sorting'!AT78+'VIA Bag Sorting'!AT78</f>
        <v/>
      </c>
      <c r="AU78" s="7">
        <f>'BBB'!AU78+'Bag Staging'!AU78+'Bag Staging Volumetric'!AU78+'FWD FSM'!AU78+'FWD Manual Pre Primary'!AU78+'FWD Manual Primary'!AU78+'FWD Primary with Scan'!AU78+'FWD Secondary'!AU78+'FWD Volumetric'!AU78+'IB'!AU78+'IB Volumetric'!AU78+'OB'!AU78+'OB Volumetric'!AU78+'OSC Bag Sorting'!AU78+'OSC Bag Sorting Volumetric'!AU78+'REV FSM'!AU78+'Rejection Primary with Scan'!AU78+'Rejection Secondary'!AU78+'Rev DC DC Primary Sorting'!AU78+'Rev Primary (FSM Rejections)'!AU78+'Rev Secondary Sorting'!AU78+'VIA Bag Sorting'!AU78</f>
        <v/>
      </c>
      <c r="AV78" s="7">
        <f>'BBB'!AV78+'Bag Staging'!AV78+'Bag Staging Volumetric'!AV78+'FWD FSM'!AV78+'FWD Manual Pre Primary'!AV78+'FWD Manual Primary'!AV78+'FWD Primary with Scan'!AV78+'FWD Secondary'!AV78+'FWD Volumetric'!AV78+'IB'!AV78+'IB Volumetric'!AV78+'OB'!AV78+'OB Volumetric'!AV78+'OSC Bag Sorting'!AV78+'OSC Bag Sorting Volumetric'!AV78+'REV FSM'!AV78+'Rejection Primary with Scan'!AV78+'Rejection Secondary'!AV78+'Rev DC DC Primary Sorting'!AV78+'Rev Primary (FSM Rejections)'!AV78+'Rev Secondary Sorting'!AV78+'VIA Bag Sorting'!AV78</f>
        <v/>
      </c>
      <c r="AW78" s="7">
        <f>'BBB'!AW78+'Bag Staging'!AW78+'Bag Staging Volumetric'!AW78+'FWD FSM'!AW78+'FWD Manual Pre Primary'!AW78+'FWD Manual Primary'!AW78+'FWD Primary with Scan'!AW78+'FWD Secondary'!AW78+'FWD Volumetric'!AW78+'IB'!AW78+'IB Volumetric'!AW78+'OB'!AW78+'OB Volumetric'!AW78+'OSC Bag Sorting'!AW78+'OSC Bag Sorting Volumetric'!AW78+'REV FSM'!AW78+'Rejection Primary with Scan'!AW78+'Rejection Secondary'!AW78+'Rev DC DC Primary Sorting'!AW78+'Rev Primary (FSM Rejections)'!AW78+'Rev Secondary Sorting'!AW78+'VIA Bag Sorting'!AW78</f>
        <v/>
      </c>
      <c r="AX78" s="7">
        <f>'BBB'!AX78+'Bag Staging'!AX78+'Bag Staging Volumetric'!AX78+'FWD FSM'!AX78+'FWD Manual Pre Primary'!AX78+'FWD Manual Primary'!AX78+'FWD Primary with Scan'!AX78+'FWD Secondary'!AX78+'FWD Volumetric'!AX78+'IB'!AX78+'IB Volumetric'!AX78+'OB'!AX78+'OB Volumetric'!AX78+'OSC Bag Sorting'!AX78+'OSC Bag Sorting Volumetric'!AX78+'REV FSM'!AX78+'Rejection Primary with Scan'!AX78+'Rejection Secondary'!AX78+'Rev DC DC Primary Sorting'!AX78+'Rev Primary (FSM Rejections)'!AX78+'Rev Secondary Sorting'!AX78+'VIA Bag Sorting'!AX78</f>
        <v/>
      </c>
      <c r="AY78" s="7">
        <f>'BBB'!AY78+'Bag Staging'!AY78+'Bag Staging Volumetric'!AY78+'FWD FSM'!AY78+'FWD Manual Pre Primary'!AY78+'FWD Manual Primary'!AY78+'FWD Primary with Scan'!AY78+'FWD Secondary'!AY78+'FWD Volumetric'!AY78+'IB'!AY78+'IB Volumetric'!AY78+'OB'!AY78+'OB Volumetric'!AY78+'OSC Bag Sorting'!AY78+'OSC Bag Sorting Volumetric'!AY78+'REV FSM'!AY78+'Rejection Primary with Scan'!AY78+'Rejection Secondary'!AY78+'Rev DC DC Primary Sorting'!AY78+'Rev Primary (FSM Rejections)'!AY78+'Rev Secondary Sorting'!AY78+'VIA Bag Sorting'!AY78</f>
        <v/>
      </c>
      <c r="AZ78" s="7">
        <f>'BBB'!AZ78+'Bag Staging'!AZ78+'Bag Staging Volumetric'!AZ78+'FWD FSM'!AZ78+'FWD Manual Pre Primary'!AZ78+'FWD Manual Primary'!AZ78+'FWD Primary with Scan'!AZ78+'FWD Secondary'!AZ78+'FWD Volumetric'!AZ78+'IB'!AZ78+'IB Volumetric'!AZ78+'OB'!AZ78+'OB Volumetric'!AZ78+'OSC Bag Sorting'!AZ78+'OSC Bag Sorting Volumetric'!AZ78+'REV FSM'!AZ78+'Rejection Primary with Scan'!AZ78+'Rejection Secondary'!AZ78+'Rev DC DC Primary Sorting'!AZ78+'Rev Primary (FSM Rejections)'!AZ78+'Rev Secondary Sorting'!AZ78+'VIA Bag Sorting'!AZ78</f>
        <v/>
      </c>
      <c r="BA78" s="7">
        <f>'BBB'!BA78+'Bag Staging'!BA78+'Bag Staging Volumetric'!BA78+'FWD FSM'!BA78+'FWD Manual Pre Primary'!BA78+'FWD Manual Primary'!BA78+'FWD Primary with Scan'!BA78+'FWD Secondary'!BA78+'FWD Volumetric'!BA78+'IB'!BA78+'IB Volumetric'!BA78+'OB'!BA78+'OB Volumetric'!BA78+'OSC Bag Sorting'!BA78+'OSC Bag Sorting Volumetric'!BA78+'REV FSM'!BA78+'Rejection Primary with Scan'!BA78+'Rejection Secondary'!BA78+'Rev DC DC Primary Sorting'!BA78+'Rev Primary (FSM Rejections)'!BA78+'Rev Secondary Sorting'!BA78+'VIA Bag Sorting'!BA78</f>
        <v/>
      </c>
      <c r="BB78" s="7">
        <f>SUM(AD78:BA78)</f>
        <v/>
      </c>
    </row>
    <row r="79">
      <c r="A79" t="inlineStr">
        <is>
          <t>AMD-M2</t>
        </is>
      </c>
      <c r="B79" t="inlineStr">
        <is>
          <t>Forward Regular OSC</t>
        </is>
      </c>
      <c r="C79" s="5" t="n">
        <v>46092</v>
      </c>
      <c r="D79" s="6" t="n">
        <v>5908</v>
      </c>
      <c r="E79" s="6" t="n">
        <v>3318</v>
      </c>
      <c r="F79" s="6" t="n">
        <v>6301</v>
      </c>
      <c r="G79" s="6" t="n">
        <v>8343</v>
      </c>
      <c r="H79" s="6" t="n">
        <v>4519</v>
      </c>
      <c r="I79" s="6" t="n">
        <v>6781</v>
      </c>
      <c r="J79" s="6" t="n">
        <v>5200</v>
      </c>
      <c r="K79" s="6" t="n">
        <v>911</v>
      </c>
      <c r="L79" s="6" t="n">
        <v>8757</v>
      </c>
      <c r="M79" s="6" t="n">
        <v>4410</v>
      </c>
      <c r="N79" s="6" t="n">
        <v>8332</v>
      </c>
      <c r="O79" s="6" t="n">
        <v>7340</v>
      </c>
      <c r="P79" s="6" t="n">
        <v>2312</v>
      </c>
      <c r="Q79" s="6" t="n">
        <v>3889</v>
      </c>
      <c r="R79" s="6" t="n">
        <v>6486</v>
      </c>
      <c r="S79" s="6" t="n">
        <v>5341</v>
      </c>
      <c r="T79" s="6" t="n">
        <v>1089</v>
      </c>
      <c r="U79" s="6" t="n">
        <v>0</v>
      </c>
      <c r="V79" s="6" t="n">
        <v>0</v>
      </c>
      <c r="W79" s="6" t="n">
        <v>0</v>
      </c>
      <c r="X79" s="6" t="n">
        <v>0</v>
      </c>
      <c r="Y79" s="6" t="n">
        <v>0</v>
      </c>
      <c r="Z79" s="6" t="n">
        <v>7</v>
      </c>
      <c r="AA79" s="6" t="n">
        <v>7278</v>
      </c>
      <c r="AB79" s="6">
        <f>SUM(D79:AA79)</f>
        <v/>
      </c>
      <c r="AC79" s="3" t="inlineStr"/>
      <c r="AD79" s="7">
        <f>'BBB'!AD79+'Bag Staging'!AD79+'Bag Staging Volumetric'!AD79+'FWD FSM'!AD79+'FWD Manual Pre Primary'!AD79+'FWD Manual Primary'!AD79+'FWD Primary with Scan'!AD79+'FWD Secondary'!AD79+'FWD Volumetric'!AD79+'IB'!AD79+'IB Volumetric'!AD79+'OB'!AD79+'OB Volumetric'!AD79+'OSC Bag Sorting'!AD79+'OSC Bag Sorting Volumetric'!AD79+'REV FSM'!AD79+'Rejection Primary with Scan'!AD79+'Rejection Secondary'!AD79+'Rev DC DC Primary Sorting'!AD79+'Rev Primary (FSM Rejections)'!AD79+'Rev Secondary Sorting'!AD79+'VIA Bag Sorting'!AD79</f>
        <v/>
      </c>
      <c r="AE79" s="7">
        <f>'BBB'!AE79+'Bag Staging'!AE79+'Bag Staging Volumetric'!AE79+'FWD FSM'!AE79+'FWD Manual Pre Primary'!AE79+'FWD Manual Primary'!AE79+'FWD Primary with Scan'!AE79+'FWD Secondary'!AE79+'FWD Volumetric'!AE79+'IB'!AE79+'IB Volumetric'!AE79+'OB'!AE79+'OB Volumetric'!AE79+'OSC Bag Sorting'!AE79+'OSC Bag Sorting Volumetric'!AE79+'REV FSM'!AE79+'Rejection Primary with Scan'!AE79+'Rejection Secondary'!AE79+'Rev DC DC Primary Sorting'!AE79+'Rev Primary (FSM Rejections)'!AE79+'Rev Secondary Sorting'!AE79+'VIA Bag Sorting'!AE79</f>
        <v/>
      </c>
      <c r="AF79" s="7">
        <f>'BBB'!AF79+'Bag Staging'!AF79+'Bag Staging Volumetric'!AF79+'FWD FSM'!AF79+'FWD Manual Pre Primary'!AF79+'FWD Manual Primary'!AF79+'FWD Primary with Scan'!AF79+'FWD Secondary'!AF79+'FWD Volumetric'!AF79+'IB'!AF79+'IB Volumetric'!AF79+'OB'!AF79+'OB Volumetric'!AF79+'OSC Bag Sorting'!AF79+'OSC Bag Sorting Volumetric'!AF79+'REV FSM'!AF79+'Rejection Primary with Scan'!AF79+'Rejection Secondary'!AF79+'Rev DC DC Primary Sorting'!AF79+'Rev Primary (FSM Rejections)'!AF79+'Rev Secondary Sorting'!AF79+'VIA Bag Sorting'!AF79</f>
        <v/>
      </c>
      <c r="AG79" s="7">
        <f>'BBB'!AG79+'Bag Staging'!AG79+'Bag Staging Volumetric'!AG79+'FWD FSM'!AG79+'FWD Manual Pre Primary'!AG79+'FWD Manual Primary'!AG79+'FWD Primary with Scan'!AG79+'FWD Secondary'!AG79+'FWD Volumetric'!AG79+'IB'!AG79+'IB Volumetric'!AG79+'OB'!AG79+'OB Volumetric'!AG79+'OSC Bag Sorting'!AG79+'OSC Bag Sorting Volumetric'!AG79+'REV FSM'!AG79+'Rejection Primary with Scan'!AG79+'Rejection Secondary'!AG79+'Rev DC DC Primary Sorting'!AG79+'Rev Primary (FSM Rejections)'!AG79+'Rev Secondary Sorting'!AG79+'VIA Bag Sorting'!AG79</f>
        <v/>
      </c>
      <c r="AH79" s="7">
        <f>'BBB'!AH79+'Bag Staging'!AH79+'Bag Staging Volumetric'!AH79+'FWD FSM'!AH79+'FWD Manual Pre Primary'!AH79+'FWD Manual Primary'!AH79+'FWD Primary with Scan'!AH79+'FWD Secondary'!AH79+'FWD Volumetric'!AH79+'IB'!AH79+'IB Volumetric'!AH79+'OB'!AH79+'OB Volumetric'!AH79+'OSC Bag Sorting'!AH79+'OSC Bag Sorting Volumetric'!AH79+'REV FSM'!AH79+'Rejection Primary with Scan'!AH79+'Rejection Secondary'!AH79+'Rev DC DC Primary Sorting'!AH79+'Rev Primary (FSM Rejections)'!AH79+'Rev Secondary Sorting'!AH79+'VIA Bag Sorting'!AH79</f>
        <v/>
      </c>
      <c r="AI79" s="7">
        <f>'BBB'!AI79+'Bag Staging'!AI79+'Bag Staging Volumetric'!AI79+'FWD FSM'!AI79+'FWD Manual Pre Primary'!AI79+'FWD Manual Primary'!AI79+'FWD Primary with Scan'!AI79+'FWD Secondary'!AI79+'FWD Volumetric'!AI79+'IB'!AI79+'IB Volumetric'!AI79+'OB'!AI79+'OB Volumetric'!AI79+'OSC Bag Sorting'!AI79+'OSC Bag Sorting Volumetric'!AI79+'REV FSM'!AI79+'Rejection Primary with Scan'!AI79+'Rejection Secondary'!AI79+'Rev DC DC Primary Sorting'!AI79+'Rev Primary (FSM Rejections)'!AI79+'Rev Secondary Sorting'!AI79+'VIA Bag Sorting'!AI79</f>
        <v/>
      </c>
      <c r="AJ79" s="7">
        <f>'BBB'!AJ79+'Bag Staging'!AJ79+'Bag Staging Volumetric'!AJ79+'FWD FSM'!AJ79+'FWD Manual Pre Primary'!AJ79+'FWD Manual Primary'!AJ79+'FWD Primary with Scan'!AJ79+'FWD Secondary'!AJ79+'FWD Volumetric'!AJ79+'IB'!AJ79+'IB Volumetric'!AJ79+'OB'!AJ79+'OB Volumetric'!AJ79+'OSC Bag Sorting'!AJ79+'OSC Bag Sorting Volumetric'!AJ79+'REV FSM'!AJ79+'Rejection Primary with Scan'!AJ79+'Rejection Secondary'!AJ79+'Rev DC DC Primary Sorting'!AJ79+'Rev Primary (FSM Rejections)'!AJ79+'Rev Secondary Sorting'!AJ79+'VIA Bag Sorting'!AJ79</f>
        <v/>
      </c>
      <c r="AK79" s="7">
        <f>'BBB'!AK79+'Bag Staging'!AK79+'Bag Staging Volumetric'!AK79+'FWD FSM'!AK79+'FWD Manual Pre Primary'!AK79+'FWD Manual Primary'!AK79+'FWD Primary with Scan'!AK79+'FWD Secondary'!AK79+'FWD Volumetric'!AK79+'IB'!AK79+'IB Volumetric'!AK79+'OB'!AK79+'OB Volumetric'!AK79+'OSC Bag Sorting'!AK79+'OSC Bag Sorting Volumetric'!AK79+'REV FSM'!AK79+'Rejection Primary with Scan'!AK79+'Rejection Secondary'!AK79+'Rev DC DC Primary Sorting'!AK79+'Rev Primary (FSM Rejections)'!AK79+'Rev Secondary Sorting'!AK79+'VIA Bag Sorting'!AK79</f>
        <v/>
      </c>
      <c r="AL79" s="7">
        <f>'BBB'!AL79+'Bag Staging'!AL79+'Bag Staging Volumetric'!AL79+'FWD FSM'!AL79+'FWD Manual Pre Primary'!AL79+'FWD Manual Primary'!AL79+'FWD Primary with Scan'!AL79+'FWD Secondary'!AL79+'FWD Volumetric'!AL79+'IB'!AL79+'IB Volumetric'!AL79+'OB'!AL79+'OB Volumetric'!AL79+'OSC Bag Sorting'!AL79+'OSC Bag Sorting Volumetric'!AL79+'REV FSM'!AL79+'Rejection Primary with Scan'!AL79+'Rejection Secondary'!AL79+'Rev DC DC Primary Sorting'!AL79+'Rev Primary (FSM Rejections)'!AL79+'Rev Secondary Sorting'!AL79+'VIA Bag Sorting'!AL79</f>
        <v/>
      </c>
      <c r="AM79" s="7">
        <f>'BBB'!AM79+'Bag Staging'!AM79+'Bag Staging Volumetric'!AM79+'FWD FSM'!AM79+'FWD Manual Pre Primary'!AM79+'FWD Manual Primary'!AM79+'FWD Primary with Scan'!AM79+'FWD Secondary'!AM79+'FWD Volumetric'!AM79+'IB'!AM79+'IB Volumetric'!AM79+'OB'!AM79+'OB Volumetric'!AM79+'OSC Bag Sorting'!AM79+'OSC Bag Sorting Volumetric'!AM79+'REV FSM'!AM79+'Rejection Primary with Scan'!AM79+'Rejection Secondary'!AM79+'Rev DC DC Primary Sorting'!AM79+'Rev Primary (FSM Rejections)'!AM79+'Rev Secondary Sorting'!AM79+'VIA Bag Sorting'!AM79</f>
        <v/>
      </c>
      <c r="AN79" s="7">
        <f>'BBB'!AN79+'Bag Staging'!AN79+'Bag Staging Volumetric'!AN79+'FWD FSM'!AN79+'FWD Manual Pre Primary'!AN79+'FWD Manual Primary'!AN79+'FWD Primary with Scan'!AN79+'FWD Secondary'!AN79+'FWD Volumetric'!AN79+'IB'!AN79+'IB Volumetric'!AN79+'OB'!AN79+'OB Volumetric'!AN79+'OSC Bag Sorting'!AN79+'OSC Bag Sorting Volumetric'!AN79+'REV FSM'!AN79+'Rejection Primary with Scan'!AN79+'Rejection Secondary'!AN79+'Rev DC DC Primary Sorting'!AN79+'Rev Primary (FSM Rejections)'!AN79+'Rev Secondary Sorting'!AN79+'VIA Bag Sorting'!AN79</f>
        <v/>
      </c>
      <c r="AO79" s="7">
        <f>'BBB'!AO79+'Bag Staging'!AO79+'Bag Staging Volumetric'!AO79+'FWD FSM'!AO79+'FWD Manual Pre Primary'!AO79+'FWD Manual Primary'!AO79+'FWD Primary with Scan'!AO79+'FWD Secondary'!AO79+'FWD Volumetric'!AO79+'IB'!AO79+'IB Volumetric'!AO79+'OB'!AO79+'OB Volumetric'!AO79+'OSC Bag Sorting'!AO79+'OSC Bag Sorting Volumetric'!AO79+'REV FSM'!AO79+'Rejection Primary with Scan'!AO79+'Rejection Secondary'!AO79+'Rev DC DC Primary Sorting'!AO79+'Rev Primary (FSM Rejections)'!AO79+'Rev Secondary Sorting'!AO79+'VIA Bag Sorting'!AO79</f>
        <v/>
      </c>
      <c r="AP79" s="7">
        <f>'BBB'!AP79+'Bag Staging'!AP79+'Bag Staging Volumetric'!AP79+'FWD FSM'!AP79+'FWD Manual Pre Primary'!AP79+'FWD Manual Primary'!AP79+'FWD Primary with Scan'!AP79+'FWD Secondary'!AP79+'FWD Volumetric'!AP79+'IB'!AP79+'IB Volumetric'!AP79+'OB'!AP79+'OB Volumetric'!AP79+'OSC Bag Sorting'!AP79+'OSC Bag Sorting Volumetric'!AP79+'REV FSM'!AP79+'Rejection Primary with Scan'!AP79+'Rejection Secondary'!AP79+'Rev DC DC Primary Sorting'!AP79+'Rev Primary (FSM Rejections)'!AP79+'Rev Secondary Sorting'!AP79+'VIA Bag Sorting'!AP79</f>
        <v/>
      </c>
      <c r="AQ79" s="7">
        <f>'BBB'!AQ79+'Bag Staging'!AQ79+'Bag Staging Volumetric'!AQ79+'FWD FSM'!AQ79+'FWD Manual Pre Primary'!AQ79+'FWD Manual Primary'!AQ79+'FWD Primary with Scan'!AQ79+'FWD Secondary'!AQ79+'FWD Volumetric'!AQ79+'IB'!AQ79+'IB Volumetric'!AQ79+'OB'!AQ79+'OB Volumetric'!AQ79+'OSC Bag Sorting'!AQ79+'OSC Bag Sorting Volumetric'!AQ79+'REV FSM'!AQ79+'Rejection Primary with Scan'!AQ79+'Rejection Secondary'!AQ79+'Rev DC DC Primary Sorting'!AQ79+'Rev Primary (FSM Rejections)'!AQ79+'Rev Secondary Sorting'!AQ79+'VIA Bag Sorting'!AQ79</f>
        <v/>
      </c>
      <c r="AR79" s="7">
        <f>'BBB'!AR79+'Bag Staging'!AR79+'Bag Staging Volumetric'!AR79+'FWD FSM'!AR79+'FWD Manual Pre Primary'!AR79+'FWD Manual Primary'!AR79+'FWD Primary with Scan'!AR79+'FWD Secondary'!AR79+'FWD Volumetric'!AR79+'IB'!AR79+'IB Volumetric'!AR79+'OB'!AR79+'OB Volumetric'!AR79+'OSC Bag Sorting'!AR79+'OSC Bag Sorting Volumetric'!AR79+'REV FSM'!AR79+'Rejection Primary with Scan'!AR79+'Rejection Secondary'!AR79+'Rev DC DC Primary Sorting'!AR79+'Rev Primary (FSM Rejections)'!AR79+'Rev Secondary Sorting'!AR79+'VIA Bag Sorting'!AR79</f>
        <v/>
      </c>
      <c r="AS79" s="7">
        <f>'BBB'!AS79+'Bag Staging'!AS79+'Bag Staging Volumetric'!AS79+'FWD FSM'!AS79+'FWD Manual Pre Primary'!AS79+'FWD Manual Primary'!AS79+'FWD Primary with Scan'!AS79+'FWD Secondary'!AS79+'FWD Volumetric'!AS79+'IB'!AS79+'IB Volumetric'!AS79+'OB'!AS79+'OB Volumetric'!AS79+'OSC Bag Sorting'!AS79+'OSC Bag Sorting Volumetric'!AS79+'REV FSM'!AS79+'Rejection Primary with Scan'!AS79+'Rejection Secondary'!AS79+'Rev DC DC Primary Sorting'!AS79+'Rev Primary (FSM Rejections)'!AS79+'Rev Secondary Sorting'!AS79+'VIA Bag Sorting'!AS79</f>
        <v/>
      </c>
      <c r="AT79" s="7">
        <f>'BBB'!AT79+'Bag Staging'!AT79+'Bag Staging Volumetric'!AT79+'FWD FSM'!AT79+'FWD Manual Pre Primary'!AT79+'FWD Manual Primary'!AT79+'FWD Primary with Scan'!AT79+'FWD Secondary'!AT79+'FWD Volumetric'!AT79+'IB'!AT79+'IB Volumetric'!AT79+'OB'!AT79+'OB Volumetric'!AT79+'OSC Bag Sorting'!AT79+'OSC Bag Sorting Volumetric'!AT79+'REV FSM'!AT79+'Rejection Primary with Scan'!AT79+'Rejection Secondary'!AT79+'Rev DC DC Primary Sorting'!AT79+'Rev Primary (FSM Rejections)'!AT79+'Rev Secondary Sorting'!AT79+'VIA Bag Sorting'!AT79</f>
        <v/>
      </c>
      <c r="AU79" s="7">
        <f>'BBB'!AU79+'Bag Staging'!AU79+'Bag Staging Volumetric'!AU79+'FWD FSM'!AU79+'FWD Manual Pre Primary'!AU79+'FWD Manual Primary'!AU79+'FWD Primary with Scan'!AU79+'FWD Secondary'!AU79+'FWD Volumetric'!AU79+'IB'!AU79+'IB Volumetric'!AU79+'OB'!AU79+'OB Volumetric'!AU79+'OSC Bag Sorting'!AU79+'OSC Bag Sorting Volumetric'!AU79+'REV FSM'!AU79+'Rejection Primary with Scan'!AU79+'Rejection Secondary'!AU79+'Rev DC DC Primary Sorting'!AU79+'Rev Primary (FSM Rejections)'!AU79+'Rev Secondary Sorting'!AU79+'VIA Bag Sorting'!AU79</f>
        <v/>
      </c>
      <c r="AV79" s="7">
        <f>'BBB'!AV79+'Bag Staging'!AV79+'Bag Staging Volumetric'!AV79+'FWD FSM'!AV79+'FWD Manual Pre Primary'!AV79+'FWD Manual Primary'!AV79+'FWD Primary with Scan'!AV79+'FWD Secondary'!AV79+'FWD Volumetric'!AV79+'IB'!AV79+'IB Volumetric'!AV79+'OB'!AV79+'OB Volumetric'!AV79+'OSC Bag Sorting'!AV79+'OSC Bag Sorting Volumetric'!AV79+'REV FSM'!AV79+'Rejection Primary with Scan'!AV79+'Rejection Secondary'!AV79+'Rev DC DC Primary Sorting'!AV79+'Rev Primary (FSM Rejections)'!AV79+'Rev Secondary Sorting'!AV79+'VIA Bag Sorting'!AV79</f>
        <v/>
      </c>
      <c r="AW79" s="7">
        <f>'BBB'!AW79+'Bag Staging'!AW79+'Bag Staging Volumetric'!AW79+'FWD FSM'!AW79+'FWD Manual Pre Primary'!AW79+'FWD Manual Primary'!AW79+'FWD Primary with Scan'!AW79+'FWD Secondary'!AW79+'FWD Volumetric'!AW79+'IB'!AW79+'IB Volumetric'!AW79+'OB'!AW79+'OB Volumetric'!AW79+'OSC Bag Sorting'!AW79+'OSC Bag Sorting Volumetric'!AW79+'REV FSM'!AW79+'Rejection Primary with Scan'!AW79+'Rejection Secondary'!AW79+'Rev DC DC Primary Sorting'!AW79+'Rev Primary (FSM Rejections)'!AW79+'Rev Secondary Sorting'!AW79+'VIA Bag Sorting'!AW79</f>
        <v/>
      </c>
      <c r="AX79" s="7">
        <f>'BBB'!AX79+'Bag Staging'!AX79+'Bag Staging Volumetric'!AX79+'FWD FSM'!AX79+'FWD Manual Pre Primary'!AX79+'FWD Manual Primary'!AX79+'FWD Primary with Scan'!AX79+'FWD Secondary'!AX79+'FWD Volumetric'!AX79+'IB'!AX79+'IB Volumetric'!AX79+'OB'!AX79+'OB Volumetric'!AX79+'OSC Bag Sorting'!AX79+'OSC Bag Sorting Volumetric'!AX79+'REV FSM'!AX79+'Rejection Primary with Scan'!AX79+'Rejection Secondary'!AX79+'Rev DC DC Primary Sorting'!AX79+'Rev Primary (FSM Rejections)'!AX79+'Rev Secondary Sorting'!AX79+'VIA Bag Sorting'!AX79</f>
        <v/>
      </c>
      <c r="AY79" s="7">
        <f>'BBB'!AY79+'Bag Staging'!AY79+'Bag Staging Volumetric'!AY79+'FWD FSM'!AY79+'FWD Manual Pre Primary'!AY79+'FWD Manual Primary'!AY79+'FWD Primary with Scan'!AY79+'FWD Secondary'!AY79+'FWD Volumetric'!AY79+'IB'!AY79+'IB Volumetric'!AY79+'OB'!AY79+'OB Volumetric'!AY79+'OSC Bag Sorting'!AY79+'OSC Bag Sorting Volumetric'!AY79+'REV FSM'!AY79+'Rejection Primary with Scan'!AY79+'Rejection Secondary'!AY79+'Rev DC DC Primary Sorting'!AY79+'Rev Primary (FSM Rejections)'!AY79+'Rev Secondary Sorting'!AY79+'VIA Bag Sorting'!AY79</f>
        <v/>
      </c>
      <c r="AZ79" s="7">
        <f>'BBB'!AZ79+'Bag Staging'!AZ79+'Bag Staging Volumetric'!AZ79+'FWD FSM'!AZ79+'FWD Manual Pre Primary'!AZ79+'FWD Manual Primary'!AZ79+'FWD Primary with Scan'!AZ79+'FWD Secondary'!AZ79+'FWD Volumetric'!AZ79+'IB'!AZ79+'IB Volumetric'!AZ79+'OB'!AZ79+'OB Volumetric'!AZ79+'OSC Bag Sorting'!AZ79+'OSC Bag Sorting Volumetric'!AZ79+'REV FSM'!AZ79+'Rejection Primary with Scan'!AZ79+'Rejection Secondary'!AZ79+'Rev DC DC Primary Sorting'!AZ79+'Rev Primary (FSM Rejections)'!AZ79+'Rev Secondary Sorting'!AZ79+'VIA Bag Sorting'!AZ79</f>
        <v/>
      </c>
      <c r="BA79" s="7">
        <f>'BBB'!BA79+'Bag Staging'!BA79+'Bag Staging Volumetric'!BA79+'FWD FSM'!BA79+'FWD Manual Pre Primary'!BA79+'FWD Manual Primary'!BA79+'FWD Primary with Scan'!BA79+'FWD Secondary'!BA79+'FWD Volumetric'!BA79+'IB'!BA79+'IB Volumetric'!BA79+'OB'!BA79+'OB Volumetric'!BA79+'OSC Bag Sorting'!BA79+'OSC Bag Sorting Volumetric'!BA79+'REV FSM'!BA79+'Rejection Primary with Scan'!BA79+'Rejection Secondary'!BA79+'Rev DC DC Primary Sorting'!BA79+'Rev Primary (FSM Rejections)'!BA79+'Rev Secondary Sorting'!BA79+'VIA Bag Sorting'!BA79</f>
        <v/>
      </c>
      <c r="BB79" s="7">
        <f>SUM(AD79:BA79)</f>
        <v/>
      </c>
    </row>
    <row r="80">
      <c r="A80" t="inlineStr">
        <is>
          <t>AMD-M2</t>
        </is>
      </c>
      <c r="B80" t="inlineStr">
        <is>
          <t>Forward Regular OSC</t>
        </is>
      </c>
      <c r="C80" s="5" t="n">
        <v>46093</v>
      </c>
      <c r="D80" s="6" t="n">
        <v>6936</v>
      </c>
      <c r="E80" s="6" t="n">
        <v>2372</v>
      </c>
      <c r="F80" s="6" t="n">
        <v>5175</v>
      </c>
      <c r="G80" s="6" t="n">
        <v>7376</v>
      </c>
      <c r="H80" s="6" t="n">
        <v>4166</v>
      </c>
      <c r="I80" s="6" t="n">
        <v>4381</v>
      </c>
      <c r="J80" s="6" t="n">
        <v>2456</v>
      </c>
      <c r="K80" s="6" t="n">
        <v>45</v>
      </c>
      <c r="L80" s="6" t="n">
        <v>6206</v>
      </c>
      <c r="M80" s="6" t="n">
        <v>3409</v>
      </c>
      <c r="N80" s="6" t="n">
        <v>6977</v>
      </c>
      <c r="O80" s="6" t="n">
        <v>3453</v>
      </c>
      <c r="P80" s="6" t="n">
        <v>7012</v>
      </c>
      <c r="Q80" s="6" t="n">
        <v>1064</v>
      </c>
      <c r="R80" s="6" t="n">
        <v>0</v>
      </c>
      <c r="S80" s="6" t="n">
        <v>1451</v>
      </c>
      <c r="T80" s="6" t="n">
        <v>400</v>
      </c>
      <c r="U80" s="6" t="n">
        <v>1602</v>
      </c>
      <c r="V80" s="6" t="n">
        <v>930</v>
      </c>
      <c r="W80" s="6" t="n">
        <v>1415</v>
      </c>
      <c r="X80" s="6" t="n">
        <v>910</v>
      </c>
      <c r="Y80" s="6" t="n">
        <v>434</v>
      </c>
      <c r="Z80" s="6" t="n">
        <v>5</v>
      </c>
      <c r="AA80" s="6" t="n">
        <v>7236</v>
      </c>
      <c r="AB80" s="6">
        <f>SUM(D80:AA80)</f>
        <v/>
      </c>
      <c r="AC80" s="3" t="inlineStr"/>
      <c r="AD80" s="7">
        <f>'BBB'!AD80+'Bag Staging'!AD80+'Bag Staging Volumetric'!AD80+'FWD FSM'!AD80+'FWD Manual Pre Primary'!AD80+'FWD Manual Primary'!AD80+'FWD Primary with Scan'!AD80+'FWD Secondary'!AD80+'FWD Volumetric'!AD80+'IB'!AD80+'IB Volumetric'!AD80+'OB'!AD80+'OB Volumetric'!AD80+'OSC Bag Sorting'!AD80+'OSC Bag Sorting Volumetric'!AD80+'REV FSM'!AD80+'Rejection Primary with Scan'!AD80+'Rejection Secondary'!AD80+'Rev DC DC Primary Sorting'!AD80+'Rev Primary (FSM Rejections)'!AD80+'Rev Secondary Sorting'!AD80+'VIA Bag Sorting'!AD80</f>
        <v/>
      </c>
      <c r="AE80" s="7">
        <f>'BBB'!AE80+'Bag Staging'!AE80+'Bag Staging Volumetric'!AE80+'FWD FSM'!AE80+'FWD Manual Pre Primary'!AE80+'FWD Manual Primary'!AE80+'FWD Primary with Scan'!AE80+'FWD Secondary'!AE80+'FWD Volumetric'!AE80+'IB'!AE80+'IB Volumetric'!AE80+'OB'!AE80+'OB Volumetric'!AE80+'OSC Bag Sorting'!AE80+'OSC Bag Sorting Volumetric'!AE80+'REV FSM'!AE80+'Rejection Primary with Scan'!AE80+'Rejection Secondary'!AE80+'Rev DC DC Primary Sorting'!AE80+'Rev Primary (FSM Rejections)'!AE80+'Rev Secondary Sorting'!AE80+'VIA Bag Sorting'!AE80</f>
        <v/>
      </c>
      <c r="AF80" s="7">
        <f>'BBB'!AF80+'Bag Staging'!AF80+'Bag Staging Volumetric'!AF80+'FWD FSM'!AF80+'FWD Manual Pre Primary'!AF80+'FWD Manual Primary'!AF80+'FWD Primary with Scan'!AF80+'FWD Secondary'!AF80+'FWD Volumetric'!AF80+'IB'!AF80+'IB Volumetric'!AF80+'OB'!AF80+'OB Volumetric'!AF80+'OSC Bag Sorting'!AF80+'OSC Bag Sorting Volumetric'!AF80+'REV FSM'!AF80+'Rejection Primary with Scan'!AF80+'Rejection Secondary'!AF80+'Rev DC DC Primary Sorting'!AF80+'Rev Primary (FSM Rejections)'!AF80+'Rev Secondary Sorting'!AF80+'VIA Bag Sorting'!AF80</f>
        <v/>
      </c>
      <c r="AG80" s="7">
        <f>'BBB'!AG80+'Bag Staging'!AG80+'Bag Staging Volumetric'!AG80+'FWD FSM'!AG80+'FWD Manual Pre Primary'!AG80+'FWD Manual Primary'!AG80+'FWD Primary with Scan'!AG80+'FWD Secondary'!AG80+'FWD Volumetric'!AG80+'IB'!AG80+'IB Volumetric'!AG80+'OB'!AG80+'OB Volumetric'!AG80+'OSC Bag Sorting'!AG80+'OSC Bag Sorting Volumetric'!AG80+'REV FSM'!AG80+'Rejection Primary with Scan'!AG80+'Rejection Secondary'!AG80+'Rev DC DC Primary Sorting'!AG80+'Rev Primary (FSM Rejections)'!AG80+'Rev Secondary Sorting'!AG80+'VIA Bag Sorting'!AG80</f>
        <v/>
      </c>
      <c r="AH80" s="7">
        <f>'BBB'!AH80+'Bag Staging'!AH80+'Bag Staging Volumetric'!AH80+'FWD FSM'!AH80+'FWD Manual Pre Primary'!AH80+'FWD Manual Primary'!AH80+'FWD Primary with Scan'!AH80+'FWD Secondary'!AH80+'FWD Volumetric'!AH80+'IB'!AH80+'IB Volumetric'!AH80+'OB'!AH80+'OB Volumetric'!AH80+'OSC Bag Sorting'!AH80+'OSC Bag Sorting Volumetric'!AH80+'REV FSM'!AH80+'Rejection Primary with Scan'!AH80+'Rejection Secondary'!AH80+'Rev DC DC Primary Sorting'!AH80+'Rev Primary (FSM Rejections)'!AH80+'Rev Secondary Sorting'!AH80+'VIA Bag Sorting'!AH80</f>
        <v/>
      </c>
      <c r="AI80" s="7">
        <f>'BBB'!AI80+'Bag Staging'!AI80+'Bag Staging Volumetric'!AI80+'FWD FSM'!AI80+'FWD Manual Pre Primary'!AI80+'FWD Manual Primary'!AI80+'FWD Primary with Scan'!AI80+'FWD Secondary'!AI80+'FWD Volumetric'!AI80+'IB'!AI80+'IB Volumetric'!AI80+'OB'!AI80+'OB Volumetric'!AI80+'OSC Bag Sorting'!AI80+'OSC Bag Sorting Volumetric'!AI80+'REV FSM'!AI80+'Rejection Primary with Scan'!AI80+'Rejection Secondary'!AI80+'Rev DC DC Primary Sorting'!AI80+'Rev Primary (FSM Rejections)'!AI80+'Rev Secondary Sorting'!AI80+'VIA Bag Sorting'!AI80</f>
        <v/>
      </c>
      <c r="AJ80" s="7">
        <f>'BBB'!AJ80+'Bag Staging'!AJ80+'Bag Staging Volumetric'!AJ80+'FWD FSM'!AJ80+'FWD Manual Pre Primary'!AJ80+'FWD Manual Primary'!AJ80+'FWD Primary with Scan'!AJ80+'FWD Secondary'!AJ80+'FWD Volumetric'!AJ80+'IB'!AJ80+'IB Volumetric'!AJ80+'OB'!AJ80+'OB Volumetric'!AJ80+'OSC Bag Sorting'!AJ80+'OSC Bag Sorting Volumetric'!AJ80+'REV FSM'!AJ80+'Rejection Primary with Scan'!AJ80+'Rejection Secondary'!AJ80+'Rev DC DC Primary Sorting'!AJ80+'Rev Primary (FSM Rejections)'!AJ80+'Rev Secondary Sorting'!AJ80+'VIA Bag Sorting'!AJ80</f>
        <v/>
      </c>
      <c r="AK80" s="7">
        <f>'BBB'!AK80+'Bag Staging'!AK80+'Bag Staging Volumetric'!AK80+'FWD FSM'!AK80+'FWD Manual Pre Primary'!AK80+'FWD Manual Primary'!AK80+'FWD Primary with Scan'!AK80+'FWD Secondary'!AK80+'FWD Volumetric'!AK80+'IB'!AK80+'IB Volumetric'!AK80+'OB'!AK80+'OB Volumetric'!AK80+'OSC Bag Sorting'!AK80+'OSC Bag Sorting Volumetric'!AK80+'REV FSM'!AK80+'Rejection Primary with Scan'!AK80+'Rejection Secondary'!AK80+'Rev DC DC Primary Sorting'!AK80+'Rev Primary (FSM Rejections)'!AK80+'Rev Secondary Sorting'!AK80+'VIA Bag Sorting'!AK80</f>
        <v/>
      </c>
      <c r="AL80" s="7">
        <f>'BBB'!AL80+'Bag Staging'!AL80+'Bag Staging Volumetric'!AL80+'FWD FSM'!AL80+'FWD Manual Pre Primary'!AL80+'FWD Manual Primary'!AL80+'FWD Primary with Scan'!AL80+'FWD Secondary'!AL80+'FWD Volumetric'!AL80+'IB'!AL80+'IB Volumetric'!AL80+'OB'!AL80+'OB Volumetric'!AL80+'OSC Bag Sorting'!AL80+'OSC Bag Sorting Volumetric'!AL80+'REV FSM'!AL80+'Rejection Primary with Scan'!AL80+'Rejection Secondary'!AL80+'Rev DC DC Primary Sorting'!AL80+'Rev Primary (FSM Rejections)'!AL80+'Rev Secondary Sorting'!AL80+'VIA Bag Sorting'!AL80</f>
        <v/>
      </c>
      <c r="AM80" s="7">
        <f>'BBB'!AM80+'Bag Staging'!AM80+'Bag Staging Volumetric'!AM80+'FWD FSM'!AM80+'FWD Manual Pre Primary'!AM80+'FWD Manual Primary'!AM80+'FWD Primary with Scan'!AM80+'FWD Secondary'!AM80+'FWD Volumetric'!AM80+'IB'!AM80+'IB Volumetric'!AM80+'OB'!AM80+'OB Volumetric'!AM80+'OSC Bag Sorting'!AM80+'OSC Bag Sorting Volumetric'!AM80+'REV FSM'!AM80+'Rejection Primary with Scan'!AM80+'Rejection Secondary'!AM80+'Rev DC DC Primary Sorting'!AM80+'Rev Primary (FSM Rejections)'!AM80+'Rev Secondary Sorting'!AM80+'VIA Bag Sorting'!AM80</f>
        <v/>
      </c>
      <c r="AN80" s="7">
        <f>'BBB'!AN80+'Bag Staging'!AN80+'Bag Staging Volumetric'!AN80+'FWD FSM'!AN80+'FWD Manual Pre Primary'!AN80+'FWD Manual Primary'!AN80+'FWD Primary with Scan'!AN80+'FWD Secondary'!AN80+'FWD Volumetric'!AN80+'IB'!AN80+'IB Volumetric'!AN80+'OB'!AN80+'OB Volumetric'!AN80+'OSC Bag Sorting'!AN80+'OSC Bag Sorting Volumetric'!AN80+'REV FSM'!AN80+'Rejection Primary with Scan'!AN80+'Rejection Secondary'!AN80+'Rev DC DC Primary Sorting'!AN80+'Rev Primary (FSM Rejections)'!AN80+'Rev Secondary Sorting'!AN80+'VIA Bag Sorting'!AN80</f>
        <v/>
      </c>
      <c r="AO80" s="7">
        <f>'BBB'!AO80+'Bag Staging'!AO80+'Bag Staging Volumetric'!AO80+'FWD FSM'!AO80+'FWD Manual Pre Primary'!AO80+'FWD Manual Primary'!AO80+'FWD Primary with Scan'!AO80+'FWD Secondary'!AO80+'FWD Volumetric'!AO80+'IB'!AO80+'IB Volumetric'!AO80+'OB'!AO80+'OB Volumetric'!AO80+'OSC Bag Sorting'!AO80+'OSC Bag Sorting Volumetric'!AO80+'REV FSM'!AO80+'Rejection Primary with Scan'!AO80+'Rejection Secondary'!AO80+'Rev DC DC Primary Sorting'!AO80+'Rev Primary (FSM Rejections)'!AO80+'Rev Secondary Sorting'!AO80+'VIA Bag Sorting'!AO80</f>
        <v/>
      </c>
      <c r="AP80" s="7">
        <f>'BBB'!AP80+'Bag Staging'!AP80+'Bag Staging Volumetric'!AP80+'FWD FSM'!AP80+'FWD Manual Pre Primary'!AP80+'FWD Manual Primary'!AP80+'FWD Primary with Scan'!AP80+'FWD Secondary'!AP80+'FWD Volumetric'!AP80+'IB'!AP80+'IB Volumetric'!AP80+'OB'!AP80+'OB Volumetric'!AP80+'OSC Bag Sorting'!AP80+'OSC Bag Sorting Volumetric'!AP80+'REV FSM'!AP80+'Rejection Primary with Scan'!AP80+'Rejection Secondary'!AP80+'Rev DC DC Primary Sorting'!AP80+'Rev Primary (FSM Rejections)'!AP80+'Rev Secondary Sorting'!AP80+'VIA Bag Sorting'!AP80</f>
        <v/>
      </c>
      <c r="AQ80" s="7">
        <f>'BBB'!AQ80+'Bag Staging'!AQ80+'Bag Staging Volumetric'!AQ80+'FWD FSM'!AQ80+'FWD Manual Pre Primary'!AQ80+'FWD Manual Primary'!AQ80+'FWD Primary with Scan'!AQ80+'FWD Secondary'!AQ80+'FWD Volumetric'!AQ80+'IB'!AQ80+'IB Volumetric'!AQ80+'OB'!AQ80+'OB Volumetric'!AQ80+'OSC Bag Sorting'!AQ80+'OSC Bag Sorting Volumetric'!AQ80+'REV FSM'!AQ80+'Rejection Primary with Scan'!AQ80+'Rejection Secondary'!AQ80+'Rev DC DC Primary Sorting'!AQ80+'Rev Primary (FSM Rejections)'!AQ80+'Rev Secondary Sorting'!AQ80+'VIA Bag Sorting'!AQ80</f>
        <v/>
      </c>
      <c r="AR80" s="7">
        <f>'BBB'!AR80+'Bag Staging'!AR80+'Bag Staging Volumetric'!AR80+'FWD FSM'!AR80+'FWD Manual Pre Primary'!AR80+'FWD Manual Primary'!AR80+'FWD Primary with Scan'!AR80+'FWD Secondary'!AR80+'FWD Volumetric'!AR80+'IB'!AR80+'IB Volumetric'!AR80+'OB'!AR80+'OB Volumetric'!AR80+'OSC Bag Sorting'!AR80+'OSC Bag Sorting Volumetric'!AR80+'REV FSM'!AR80+'Rejection Primary with Scan'!AR80+'Rejection Secondary'!AR80+'Rev DC DC Primary Sorting'!AR80+'Rev Primary (FSM Rejections)'!AR80+'Rev Secondary Sorting'!AR80+'VIA Bag Sorting'!AR80</f>
        <v/>
      </c>
      <c r="AS80" s="7">
        <f>'BBB'!AS80+'Bag Staging'!AS80+'Bag Staging Volumetric'!AS80+'FWD FSM'!AS80+'FWD Manual Pre Primary'!AS80+'FWD Manual Primary'!AS80+'FWD Primary with Scan'!AS80+'FWD Secondary'!AS80+'FWD Volumetric'!AS80+'IB'!AS80+'IB Volumetric'!AS80+'OB'!AS80+'OB Volumetric'!AS80+'OSC Bag Sorting'!AS80+'OSC Bag Sorting Volumetric'!AS80+'REV FSM'!AS80+'Rejection Primary with Scan'!AS80+'Rejection Secondary'!AS80+'Rev DC DC Primary Sorting'!AS80+'Rev Primary (FSM Rejections)'!AS80+'Rev Secondary Sorting'!AS80+'VIA Bag Sorting'!AS80</f>
        <v/>
      </c>
      <c r="AT80" s="7">
        <f>'BBB'!AT80+'Bag Staging'!AT80+'Bag Staging Volumetric'!AT80+'FWD FSM'!AT80+'FWD Manual Pre Primary'!AT80+'FWD Manual Primary'!AT80+'FWD Primary with Scan'!AT80+'FWD Secondary'!AT80+'FWD Volumetric'!AT80+'IB'!AT80+'IB Volumetric'!AT80+'OB'!AT80+'OB Volumetric'!AT80+'OSC Bag Sorting'!AT80+'OSC Bag Sorting Volumetric'!AT80+'REV FSM'!AT80+'Rejection Primary with Scan'!AT80+'Rejection Secondary'!AT80+'Rev DC DC Primary Sorting'!AT80+'Rev Primary (FSM Rejections)'!AT80+'Rev Secondary Sorting'!AT80+'VIA Bag Sorting'!AT80</f>
        <v/>
      </c>
      <c r="AU80" s="7">
        <f>'BBB'!AU80+'Bag Staging'!AU80+'Bag Staging Volumetric'!AU80+'FWD FSM'!AU80+'FWD Manual Pre Primary'!AU80+'FWD Manual Primary'!AU80+'FWD Primary with Scan'!AU80+'FWD Secondary'!AU80+'FWD Volumetric'!AU80+'IB'!AU80+'IB Volumetric'!AU80+'OB'!AU80+'OB Volumetric'!AU80+'OSC Bag Sorting'!AU80+'OSC Bag Sorting Volumetric'!AU80+'REV FSM'!AU80+'Rejection Primary with Scan'!AU80+'Rejection Secondary'!AU80+'Rev DC DC Primary Sorting'!AU80+'Rev Primary (FSM Rejections)'!AU80+'Rev Secondary Sorting'!AU80+'VIA Bag Sorting'!AU80</f>
        <v/>
      </c>
      <c r="AV80" s="7">
        <f>'BBB'!AV80+'Bag Staging'!AV80+'Bag Staging Volumetric'!AV80+'FWD FSM'!AV80+'FWD Manual Pre Primary'!AV80+'FWD Manual Primary'!AV80+'FWD Primary with Scan'!AV80+'FWD Secondary'!AV80+'FWD Volumetric'!AV80+'IB'!AV80+'IB Volumetric'!AV80+'OB'!AV80+'OB Volumetric'!AV80+'OSC Bag Sorting'!AV80+'OSC Bag Sorting Volumetric'!AV80+'REV FSM'!AV80+'Rejection Primary with Scan'!AV80+'Rejection Secondary'!AV80+'Rev DC DC Primary Sorting'!AV80+'Rev Primary (FSM Rejections)'!AV80+'Rev Secondary Sorting'!AV80+'VIA Bag Sorting'!AV80</f>
        <v/>
      </c>
      <c r="AW80" s="7">
        <f>'BBB'!AW80+'Bag Staging'!AW80+'Bag Staging Volumetric'!AW80+'FWD FSM'!AW80+'FWD Manual Pre Primary'!AW80+'FWD Manual Primary'!AW80+'FWD Primary with Scan'!AW80+'FWD Secondary'!AW80+'FWD Volumetric'!AW80+'IB'!AW80+'IB Volumetric'!AW80+'OB'!AW80+'OB Volumetric'!AW80+'OSC Bag Sorting'!AW80+'OSC Bag Sorting Volumetric'!AW80+'REV FSM'!AW80+'Rejection Primary with Scan'!AW80+'Rejection Secondary'!AW80+'Rev DC DC Primary Sorting'!AW80+'Rev Primary (FSM Rejections)'!AW80+'Rev Secondary Sorting'!AW80+'VIA Bag Sorting'!AW80</f>
        <v/>
      </c>
      <c r="AX80" s="7">
        <f>'BBB'!AX80+'Bag Staging'!AX80+'Bag Staging Volumetric'!AX80+'FWD FSM'!AX80+'FWD Manual Pre Primary'!AX80+'FWD Manual Primary'!AX80+'FWD Primary with Scan'!AX80+'FWD Secondary'!AX80+'FWD Volumetric'!AX80+'IB'!AX80+'IB Volumetric'!AX80+'OB'!AX80+'OB Volumetric'!AX80+'OSC Bag Sorting'!AX80+'OSC Bag Sorting Volumetric'!AX80+'REV FSM'!AX80+'Rejection Primary with Scan'!AX80+'Rejection Secondary'!AX80+'Rev DC DC Primary Sorting'!AX80+'Rev Primary (FSM Rejections)'!AX80+'Rev Secondary Sorting'!AX80+'VIA Bag Sorting'!AX80</f>
        <v/>
      </c>
      <c r="AY80" s="7">
        <f>'BBB'!AY80+'Bag Staging'!AY80+'Bag Staging Volumetric'!AY80+'FWD FSM'!AY80+'FWD Manual Pre Primary'!AY80+'FWD Manual Primary'!AY80+'FWD Primary with Scan'!AY80+'FWD Secondary'!AY80+'FWD Volumetric'!AY80+'IB'!AY80+'IB Volumetric'!AY80+'OB'!AY80+'OB Volumetric'!AY80+'OSC Bag Sorting'!AY80+'OSC Bag Sorting Volumetric'!AY80+'REV FSM'!AY80+'Rejection Primary with Scan'!AY80+'Rejection Secondary'!AY80+'Rev DC DC Primary Sorting'!AY80+'Rev Primary (FSM Rejections)'!AY80+'Rev Secondary Sorting'!AY80+'VIA Bag Sorting'!AY80</f>
        <v/>
      </c>
      <c r="AZ80" s="7">
        <f>'BBB'!AZ80+'Bag Staging'!AZ80+'Bag Staging Volumetric'!AZ80+'FWD FSM'!AZ80+'FWD Manual Pre Primary'!AZ80+'FWD Manual Primary'!AZ80+'FWD Primary with Scan'!AZ80+'FWD Secondary'!AZ80+'FWD Volumetric'!AZ80+'IB'!AZ80+'IB Volumetric'!AZ80+'OB'!AZ80+'OB Volumetric'!AZ80+'OSC Bag Sorting'!AZ80+'OSC Bag Sorting Volumetric'!AZ80+'REV FSM'!AZ80+'Rejection Primary with Scan'!AZ80+'Rejection Secondary'!AZ80+'Rev DC DC Primary Sorting'!AZ80+'Rev Primary (FSM Rejections)'!AZ80+'Rev Secondary Sorting'!AZ80+'VIA Bag Sorting'!AZ80</f>
        <v/>
      </c>
      <c r="BA80" s="7">
        <f>'BBB'!BA80+'Bag Staging'!BA80+'Bag Staging Volumetric'!BA80+'FWD FSM'!BA80+'FWD Manual Pre Primary'!BA80+'FWD Manual Primary'!BA80+'FWD Primary with Scan'!BA80+'FWD Secondary'!BA80+'FWD Volumetric'!BA80+'IB'!BA80+'IB Volumetric'!BA80+'OB'!BA80+'OB Volumetric'!BA80+'OSC Bag Sorting'!BA80+'OSC Bag Sorting Volumetric'!BA80+'REV FSM'!BA80+'Rejection Primary with Scan'!BA80+'Rejection Secondary'!BA80+'Rev DC DC Primary Sorting'!BA80+'Rev Primary (FSM Rejections)'!BA80+'Rev Secondary Sorting'!BA80+'VIA Bag Sorting'!BA80</f>
        <v/>
      </c>
      <c r="BB80" s="7">
        <f>SUM(AD80:BA80)</f>
        <v/>
      </c>
    </row>
    <row r="81">
      <c r="A81" t="inlineStr">
        <is>
          <t>AMD-M2</t>
        </is>
      </c>
      <c r="B81" t="inlineStr">
        <is>
          <t>Forward Regular OSC</t>
        </is>
      </c>
      <c r="C81" s="5" t="n">
        <v>46094</v>
      </c>
      <c r="D81" s="6" t="n">
        <v>6328</v>
      </c>
      <c r="E81" s="6" t="n">
        <v>3463</v>
      </c>
      <c r="F81" s="6" t="n">
        <v>6044</v>
      </c>
      <c r="G81" s="6" t="n">
        <v>6241</v>
      </c>
      <c r="H81" s="6" t="n">
        <v>2898</v>
      </c>
      <c r="I81" s="6" t="n">
        <v>5049</v>
      </c>
      <c r="J81" s="6" t="n">
        <v>3596</v>
      </c>
      <c r="K81" s="6" t="n">
        <v>1</v>
      </c>
      <c r="L81" s="6" t="n">
        <v>7645</v>
      </c>
      <c r="M81" s="6" t="n">
        <v>4378</v>
      </c>
      <c r="N81" s="6" t="n">
        <v>6520</v>
      </c>
      <c r="O81" s="6" t="n">
        <v>6711</v>
      </c>
      <c r="P81" s="6" t="n">
        <v>2306</v>
      </c>
      <c r="Q81" s="6" t="n">
        <v>6571</v>
      </c>
      <c r="R81" s="6" t="n">
        <v>1331</v>
      </c>
      <c r="S81" s="6" t="n">
        <v>0</v>
      </c>
      <c r="T81" s="6" t="n">
        <v>0</v>
      </c>
      <c r="U81" s="6" t="n">
        <v>0</v>
      </c>
      <c r="V81" s="6" t="n">
        <v>0</v>
      </c>
      <c r="W81" s="6" t="n">
        <v>0</v>
      </c>
      <c r="X81" s="6" t="n">
        <v>0</v>
      </c>
      <c r="Y81" s="6" t="n">
        <v>0</v>
      </c>
      <c r="Z81" s="6" t="n">
        <v>351</v>
      </c>
      <c r="AA81" s="6" t="n">
        <v>5145</v>
      </c>
      <c r="AB81" s="6">
        <f>SUM(D81:AA81)</f>
        <v/>
      </c>
      <c r="AC81" s="3" t="inlineStr"/>
      <c r="AD81" s="7">
        <f>'BBB'!AD81+'Bag Staging'!AD81+'Bag Staging Volumetric'!AD81+'FWD FSM'!AD81+'FWD Manual Pre Primary'!AD81+'FWD Manual Primary'!AD81+'FWD Primary with Scan'!AD81+'FWD Secondary'!AD81+'FWD Volumetric'!AD81+'IB'!AD81+'IB Volumetric'!AD81+'OB'!AD81+'OB Volumetric'!AD81+'OSC Bag Sorting'!AD81+'OSC Bag Sorting Volumetric'!AD81+'REV FSM'!AD81+'Rejection Primary with Scan'!AD81+'Rejection Secondary'!AD81+'Rev DC DC Primary Sorting'!AD81+'Rev Primary (FSM Rejections)'!AD81+'Rev Secondary Sorting'!AD81+'VIA Bag Sorting'!AD81</f>
        <v/>
      </c>
      <c r="AE81" s="7">
        <f>'BBB'!AE81+'Bag Staging'!AE81+'Bag Staging Volumetric'!AE81+'FWD FSM'!AE81+'FWD Manual Pre Primary'!AE81+'FWD Manual Primary'!AE81+'FWD Primary with Scan'!AE81+'FWD Secondary'!AE81+'FWD Volumetric'!AE81+'IB'!AE81+'IB Volumetric'!AE81+'OB'!AE81+'OB Volumetric'!AE81+'OSC Bag Sorting'!AE81+'OSC Bag Sorting Volumetric'!AE81+'REV FSM'!AE81+'Rejection Primary with Scan'!AE81+'Rejection Secondary'!AE81+'Rev DC DC Primary Sorting'!AE81+'Rev Primary (FSM Rejections)'!AE81+'Rev Secondary Sorting'!AE81+'VIA Bag Sorting'!AE81</f>
        <v/>
      </c>
      <c r="AF81" s="7">
        <f>'BBB'!AF81+'Bag Staging'!AF81+'Bag Staging Volumetric'!AF81+'FWD FSM'!AF81+'FWD Manual Pre Primary'!AF81+'FWD Manual Primary'!AF81+'FWD Primary with Scan'!AF81+'FWD Secondary'!AF81+'FWD Volumetric'!AF81+'IB'!AF81+'IB Volumetric'!AF81+'OB'!AF81+'OB Volumetric'!AF81+'OSC Bag Sorting'!AF81+'OSC Bag Sorting Volumetric'!AF81+'REV FSM'!AF81+'Rejection Primary with Scan'!AF81+'Rejection Secondary'!AF81+'Rev DC DC Primary Sorting'!AF81+'Rev Primary (FSM Rejections)'!AF81+'Rev Secondary Sorting'!AF81+'VIA Bag Sorting'!AF81</f>
        <v/>
      </c>
      <c r="AG81" s="7">
        <f>'BBB'!AG81+'Bag Staging'!AG81+'Bag Staging Volumetric'!AG81+'FWD FSM'!AG81+'FWD Manual Pre Primary'!AG81+'FWD Manual Primary'!AG81+'FWD Primary with Scan'!AG81+'FWD Secondary'!AG81+'FWD Volumetric'!AG81+'IB'!AG81+'IB Volumetric'!AG81+'OB'!AG81+'OB Volumetric'!AG81+'OSC Bag Sorting'!AG81+'OSC Bag Sorting Volumetric'!AG81+'REV FSM'!AG81+'Rejection Primary with Scan'!AG81+'Rejection Secondary'!AG81+'Rev DC DC Primary Sorting'!AG81+'Rev Primary (FSM Rejections)'!AG81+'Rev Secondary Sorting'!AG81+'VIA Bag Sorting'!AG81</f>
        <v/>
      </c>
      <c r="AH81" s="7">
        <f>'BBB'!AH81+'Bag Staging'!AH81+'Bag Staging Volumetric'!AH81+'FWD FSM'!AH81+'FWD Manual Pre Primary'!AH81+'FWD Manual Primary'!AH81+'FWD Primary with Scan'!AH81+'FWD Secondary'!AH81+'FWD Volumetric'!AH81+'IB'!AH81+'IB Volumetric'!AH81+'OB'!AH81+'OB Volumetric'!AH81+'OSC Bag Sorting'!AH81+'OSC Bag Sorting Volumetric'!AH81+'REV FSM'!AH81+'Rejection Primary with Scan'!AH81+'Rejection Secondary'!AH81+'Rev DC DC Primary Sorting'!AH81+'Rev Primary (FSM Rejections)'!AH81+'Rev Secondary Sorting'!AH81+'VIA Bag Sorting'!AH81</f>
        <v/>
      </c>
      <c r="AI81" s="7">
        <f>'BBB'!AI81+'Bag Staging'!AI81+'Bag Staging Volumetric'!AI81+'FWD FSM'!AI81+'FWD Manual Pre Primary'!AI81+'FWD Manual Primary'!AI81+'FWD Primary with Scan'!AI81+'FWD Secondary'!AI81+'FWD Volumetric'!AI81+'IB'!AI81+'IB Volumetric'!AI81+'OB'!AI81+'OB Volumetric'!AI81+'OSC Bag Sorting'!AI81+'OSC Bag Sorting Volumetric'!AI81+'REV FSM'!AI81+'Rejection Primary with Scan'!AI81+'Rejection Secondary'!AI81+'Rev DC DC Primary Sorting'!AI81+'Rev Primary (FSM Rejections)'!AI81+'Rev Secondary Sorting'!AI81+'VIA Bag Sorting'!AI81</f>
        <v/>
      </c>
      <c r="AJ81" s="7">
        <f>'BBB'!AJ81+'Bag Staging'!AJ81+'Bag Staging Volumetric'!AJ81+'FWD FSM'!AJ81+'FWD Manual Pre Primary'!AJ81+'FWD Manual Primary'!AJ81+'FWD Primary with Scan'!AJ81+'FWD Secondary'!AJ81+'FWD Volumetric'!AJ81+'IB'!AJ81+'IB Volumetric'!AJ81+'OB'!AJ81+'OB Volumetric'!AJ81+'OSC Bag Sorting'!AJ81+'OSC Bag Sorting Volumetric'!AJ81+'REV FSM'!AJ81+'Rejection Primary with Scan'!AJ81+'Rejection Secondary'!AJ81+'Rev DC DC Primary Sorting'!AJ81+'Rev Primary (FSM Rejections)'!AJ81+'Rev Secondary Sorting'!AJ81+'VIA Bag Sorting'!AJ81</f>
        <v/>
      </c>
      <c r="AK81" s="7">
        <f>'BBB'!AK81+'Bag Staging'!AK81+'Bag Staging Volumetric'!AK81+'FWD FSM'!AK81+'FWD Manual Pre Primary'!AK81+'FWD Manual Primary'!AK81+'FWD Primary with Scan'!AK81+'FWD Secondary'!AK81+'FWD Volumetric'!AK81+'IB'!AK81+'IB Volumetric'!AK81+'OB'!AK81+'OB Volumetric'!AK81+'OSC Bag Sorting'!AK81+'OSC Bag Sorting Volumetric'!AK81+'REV FSM'!AK81+'Rejection Primary with Scan'!AK81+'Rejection Secondary'!AK81+'Rev DC DC Primary Sorting'!AK81+'Rev Primary (FSM Rejections)'!AK81+'Rev Secondary Sorting'!AK81+'VIA Bag Sorting'!AK81</f>
        <v/>
      </c>
      <c r="AL81" s="7">
        <f>'BBB'!AL81+'Bag Staging'!AL81+'Bag Staging Volumetric'!AL81+'FWD FSM'!AL81+'FWD Manual Pre Primary'!AL81+'FWD Manual Primary'!AL81+'FWD Primary with Scan'!AL81+'FWD Secondary'!AL81+'FWD Volumetric'!AL81+'IB'!AL81+'IB Volumetric'!AL81+'OB'!AL81+'OB Volumetric'!AL81+'OSC Bag Sorting'!AL81+'OSC Bag Sorting Volumetric'!AL81+'REV FSM'!AL81+'Rejection Primary with Scan'!AL81+'Rejection Secondary'!AL81+'Rev DC DC Primary Sorting'!AL81+'Rev Primary (FSM Rejections)'!AL81+'Rev Secondary Sorting'!AL81+'VIA Bag Sorting'!AL81</f>
        <v/>
      </c>
      <c r="AM81" s="7">
        <f>'BBB'!AM81+'Bag Staging'!AM81+'Bag Staging Volumetric'!AM81+'FWD FSM'!AM81+'FWD Manual Pre Primary'!AM81+'FWD Manual Primary'!AM81+'FWD Primary with Scan'!AM81+'FWD Secondary'!AM81+'FWD Volumetric'!AM81+'IB'!AM81+'IB Volumetric'!AM81+'OB'!AM81+'OB Volumetric'!AM81+'OSC Bag Sorting'!AM81+'OSC Bag Sorting Volumetric'!AM81+'REV FSM'!AM81+'Rejection Primary with Scan'!AM81+'Rejection Secondary'!AM81+'Rev DC DC Primary Sorting'!AM81+'Rev Primary (FSM Rejections)'!AM81+'Rev Secondary Sorting'!AM81+'VIA Bag Sorting'!AM81</f>
        <v/>
      </c>
      <c r="AN81" s="7">
        <f>'BBB'!AN81+'Bag Staging'!AN81+'Bag Staging Volumetric'!AN81+'FWD FSM'!AN81+'FWD Manual Pre Primary'!AN81+'FWD Manual Primary'!AN81+'FWD Primary with Scan'!AN81+'FWD Secondary'!AN81+'FWD Volumetric'!AN81+'IB'!AN81+'IB Volumetric'!AN81+'OB'!AN81+'OB Volumetric'!AN81+'OSC Bag Sorting'!AN81+'OSC Bag Sorting Volumetric'!AN81+'REV FSM'!AN81+'Rejection Primary with Scan'!AN81+'Rejection Secondary'!AN81+'Rev DC DC Primary Sorting'!AN81+'Rev Primary (FSM Rejections)'!AN81+'Rev Secondary Sorting'!AN81+'VIA Bag Sorting'!AN81</f>
        <v/>
      </c>
      <c r="AO81" s="7">
        <f>'BBB'!AO81+'Bag Staging'!AO81+'Bag Staging Volumetric'!AO81+'FWD FSM'!AO81+'FWD Manual Pre Primary'!AO81+'FWD Manual Primary'!AO81+'FWD Primary with Scan'!AO81+'FWD Secondary'!AO81+'FWD Volumetric'!AO81+'IB'!AO81+'IB Volumetric'!AO81+'OB'!AO81+'OB Volumetric'!AO81+'OSC Bag Sorting'!AO81+'OSC Bag Sorting Volumetric'!AO81+'REV FSM'!AO81+'Rejection Primary with Scan'!AO81+'Rejection Secondary'!AO81+'Rev DC DC Primary Sorting'!AO81+'Rev Primary (FSM Rejections)'!AO81+'Rev Secondary Sorting'!AO81+'VIA Bag Sorting'!AO81</f>
        <v/>
      </c>
      <c r="AP81" s="7">
        <f>'BBB'!AP81+'Bag Staging'!AP81+'Bag Staging Volumetric'!AP81+'FWD FSM'!AP81+'FWD Manual Pre Primary'!AP81+'FWD Manual Primary'!AP81+'FWD Primary with Scan'!AP81+'FWD Secondary'!AP81+'FWD Volumetric'!AP81+'IB'!AP81+'IB Volumetric'!AP81+'OB'!AP81+'OB Volumetric'!AP81+'OSC Bag Sorting'!AP81+'OSC Bag Sorting Volumetric'!AP81+'REV FSM'!AP81+'Rejection Primary with Scan'!AP81+'Rejection Secondary'!AP81+'Rev DC DC Primary Sorting'!AP81+'Rev Primary (FSM Rejections)'!AP81+'Rev Secondary Sorting'!AP81+'VIA Bag Sorting'!AP81</f>
        <v/>
      </c>
      <c r="AQ81" s="7">
        <f>'BBB'!AQ81+'Bag Staging'!AQ81+'Bag Staging Volumetric'!AQ81+'FWD FSM'!AQ81+'FWD Manual Pre Primary'!AQ81+'FWD Manual Primary'!AQ81+'FWD Primary with Scan'!AQ81+'FWD Secondary'!AQ81+'FWD Volumetric'!AQ81+'IB'!AQ81+'IB Volumetric'!AQ81+'OB'!AQ81+'OB Volumetric'!AQ81+'OSC Bag Sorting'!AQ81+'OSC Bag Sorting Volumetric'!AQ81+'REV FSM'!AQ81+'Rejection Primary with Scan'!AQ81+'Rejection Secondary'!AQ81+'Rev DC DC Primary Sorting'!AQ81+'Rev Primary (FSM Rejections)'!AQ81+'Rev Secondary Sorting'!AQ81+'VIA Bag Sorting'!AQ81</f>
        <v/>
      </c>
      <c r="AR81" s="7">
        <f>'BBB'!AR81+'Bag Staging'!AR81+'Bag Staging Volumetric'!AR81+'FWD FSM'!AR81+'FWD Manual Pre Primary'!AR81+'FWD Manual Primary'!AR81+'FWD Primary with Scan'!AR81+'FWD Secondary'!AR81+'FWD Volumetric'!AR81+'IB'!AR81+'IB Volumetric'!AR81+'OB'!AR81+'OB Volumetric'!AR81+'OSC Bag Sorting'!AR81+'OSC Bag Sorting Volumetric'!AR81+'REV FSM'!AR81+'Rejection Primary with Scan'!AR81+'Rejection Secondary'!AR81+'Rev DC DC Primary Sorting'!AR81+'Rev Primary (FSM Rejections)'!AR81+'Rev Secondary Sorting'!AR81+'VIA Bag Sorting'!AR81</f>
        <v/>
      </c>
      <c r="AS81" s="7">
        <f>'BBB'!AS81+'Bag Staging'!AS81+'Bag Staging Volumetric'!AS81+'FWD FSM'!AS81+'FWD Manual Pre Primary'!AS81+'FWD Manual Primary'!AS81+'FWD Primary with Scan'!AS81+'FWD Secondary'!AS81+'FWD Volumetric'!AS81+'IB'!AS81+'IB Volumetric'!AS81+'OB'!AS81+'OB Volumetric'!AS81+'OSC Bag Sorting'!AS81+'OSC Bag Sorting Volumetric'!AS81+'REV FSM'!AS81+'Rejection Primary with Scan'!AS81+'Rejection Secondary'!AS81+'Rev DC DC Primary Sorting'!AS81+'Rev Primary (FSM Rejections)'!AS81+'Rev Secondary Sorting'!AS81+'VIA Bag Sorting'!AS81</f>
        <v/>
      </c>
      <c r="AT81" s="7">
        <f>'BBB'!AT81+'Bag Staging'!AT81+'Bag Staging Volumetric'!AT81+'FWD FSM'!AT81+'FWD Manual Pre Primary'!AT81+'FWD Manual Primary'!AT81+'FWD Primary with Scan'!AT81+'FWD Secondary'!AT81+'FWD Volumetric'!AT81+'IB'!AT81+'IB Volumetric'!AT81+'OB'!AT81+'OB Volumetric'!AT81+'OSC Bag Sorting'!AT81+'OSC Bag Sorting Volumetric'!AT81+'REV FSM'!AT81+'Rejection Primary with Scan'!AT81+'Rejection Secondary'!AT81+'Rev DC DC Primary Sorting'!AT81+'Rev Primary (FSM Rejections)'!AT81+'Rev Secondary Sorting'!AT81+'VIA Bag Sorting'!AT81</f>
        <v/>
      </c>
      <c r="AU81" s="7">
        <f>'BBB'!AU81+'Bag Staging'!AU81+'Bag Staging Volumetric'!AU81+'FWD FSM'!AU81+'FWD Manual Pre Primary'!AU81+'FWD Manual Primary'!AU81+'FWD Primary with Scan'!AU81+'FWD Secondary'!AU81+'FWD Volumetric'!AU81+'IB'!AU81+'IB Volumetric'!AU81+'OB'!AU81+'OB Volumetric'!AU81+'OSC Bag Sorting'!AU81+'OSC Bag Sorting Volumetric'!AU81+'REV FSM'!AU81+'Rejection Primary with Scan'!AU81+'Rejection Secondary'!AU81+'Rev DC DC Primary Sorting'!AU81+'Rev Primary (FSM Rejections)'!AU81+'Rev Secondary Sorting'!AU81+'VIA Bag Sorting'!AU81</f>
        <v/>
      </c>
      <c r="AV81" s="7">
        <f>'BBB'!AV81+'Bag Staging'!AV81+'Bag Staging Volumetric'!AV81+'FWD FSM'!AV81+'FWD Manual Pre Primary'!AV81+'FWD Manual Primary'!AV81+'FWD Primary with Scan'!AV81+'FWD Secondary'!AV81+'FWD Volumetric'!AV81+'IB'!AV81+'IB Volumetric'!AV81+'OB'!AV81+'OB Volumetric'!AV81+'OSC Bag Sorting'!AV81+'OSC Bag Sorting Volumetric'!AV81+'REV FSM'!AV81+'Rejection Primary with Scan'!AV81+'Rejection Secondary'!AV81+'Rev DC DC Primary Sorting'!AV81+'Rev Primary (FSM Rejections)'!AV81+'Rev Secondary Sorting'!AV81+'VIA Bag Sorting'!AV81</f>
        <v/>
      </c>
      <c r="AW81" s="7">
        <f>'BBB'!AW81+'Bag Staging'!AW81+'Bag Staging Volumetric'!AW81+'FWD FSM'!AW81+'FWD Manual Pre Primary'!AW81+'FWD Manual Primary'!AW81+'FWD Primary with Scan'!AW81+'FWD Secondary'!AW81+'FWD Volumetric'!AW81+'IB'!AW81+'IB Volumetric'!AW81+'OB'!AW81+'OB Volumetric'!AW81+'OSC Bag Sorting'!AW81+'OSC Bag Sorting Volumetric'!AW81+'REV FSM'!AW81+'Rejection Primary with Scan'!AW81+'Rejection Secondary'!AW81+'Rev DC DC Primary Sorting'!AW81+'Rev Primary (FSM Rejections)'!AW81+'Rev Secondary Sorting'!AW81+'VIA Bag Sorting'!AW81</f>
        <v/>
      </c>
      <c r="AX81" s="7">
        <f>'BBB'!AX81+'Bag Staging'!AX81+'Bag Staging Volumetric'!AX81+'FWD FSM'!AX81+'FWD Manual Pre Primary'!AX81+'FWD Manual Primary'!AX81+'FWD Primary with Scan'!AX81+'FWD Secondary'!AX81+'FWD Volumetric'!AX81+'IB'!AX81+'IB Volumetric'!AX81+'OB'!AX81+'OB Volumetric'!AX81+'OSC Bag Sorting'!AX81+'OSC Bag Sorting Volumetric'!AX81+'REV FSM'!AX81+'Rejection Primary with Scan'!AX81+'Rejection Secondary'!AX81+'Rev DC DC Primary Sorting'!AX81+'Rev Primary (FSM Rejections)'!AX81+'Rev Secondary Sorting'!AX81+'VIA Bag Sorting'!AX81</f>
        <v/>
      </c>
      <c r="AY81" s="7">
        <f>'BBB'!AY81+'Bag Staging'!AY81+'Bag Staging Volumetric'!AY81+'FWD FSM'!AY81+'FWD Manual Pre Primary'!AY81+'FWD Manual Primary'!AY81+'FWD Primary with Scan'!AY81+'FWD Secondary'!AY81+'FWD Volumetric'!AY81+'IB'!AY81+'IB Volumetric'!AY81+'OB'!AY81+'OB Volumetric'!AY81+'OSC Bag Sorting'!AY81+'OSC Bag Sorting Volumetric'!AY81+'REV FSM'!AY81+'Rejection Primary with Scan'!AY81+'Rejection Secondary'!AY81+'Rev DC DC Primary Sorting'!AY81+'Rev Primary (FSM Rejections)'!AY81+'Rev Secondary Sorting'!AY81+'VIA Bag Sorting'!AY81</f>
        <v/>
      </c>
      <c r="AZ81" s="7">
        <f>'BBB'!AZ81+'Bag Staging'!AZ81+'Bag Staging Volumetric'!AZ81+'FWD FSM'!AZ81+'FWD Manual Pre Primary'!AZ81+'FWD Manual Primary'!AZ81+'FWD Primary with Scan'!AZ81+'FWD Secondary'!AZ81+'FWD Volumetric'!AZ81+'IB'!AZ81+'IB Volumetric'!AZ81+'OB'!AZ81+'OB Volumetric'!AZ81+'OSC Bag Sorting'!AZ81+'OSC Bag Sorting Volumetric'!AZ81+'REV FSM'!AZ81+'Rejection Primary with Scan'!AZ81+'Rejection Secondary'!AZ81+'Rev DC DC Primary Sorting'!AZ81+'Rev Primary (FSM Rejections)'!AZ81+'Rev Secondary Sorting'!AZ81+'VIA Bag Sorting'!AZ81</f>
        <v/>
      </c>
      <c r="BA81" s="7">
        <f>'BBB'!BA81+'Bag Staging'!BA81+'Bag Staging Volumetric'!BA81+'FWD FSM'!BA81+'FWD Manual Pre Primary'!BA81+'FWD Manual Primary'!BA81+'FWD Primary with Scan'!BA81+'FWD Secondary'!BA81+'FWD Volumetric'!BA81+'IB'!BA81+'IB Volumetric'!BA81+'OB'!BA81+'OB Volumetric'!BA81+'OSC Bag Sorting'!BA81+'OSC Bag Sorting Volumetric'!BA81+'REV FSM'!BA81+'Rejection Primary with Scan'!BA81+'Rejection Secondary'!BA81+'Rev DC DC Primary Sorting'!BA81+'Rev Primary (FSM Rejections)'!BA81+'Rev Secondary Sorting'!BA81+'VIA Bag Sorting'!BA81</f>
        <v/>
      </c>
      <c r="BB81" s="7">
        <f>SUM(AD81:BA81)</f>
        <v/>
      </c>
    </row>
    <row r="82">
      <c r="A82" t="inlineStr">
        <is>
          <t>AMD-M2</t>
        </is>
      </c>
      <c r="B82" t="inlineStr">
        <is>
          <t>Forward Regular OSC</t>
        </is>
      </c>
      <c r="C82" s="5" t="n">
        <v>46095</v>
      </c>
      <c r="D82" s="6" t="n">
        <v>5366</v>
      </c>
      <c r="E82" s="6" t="n">
        <v>3624</v>
      </c>
      <c r="F82" s="6" t="n">
        <v>3168</v>
      </c>
      <c r="G82" s="6" t="n">
        <v>5673</v>
      </c>
      <c r="H82" s="6" t="n">
        <v>4173</v>
      </c>
      <c r="I82" s="6" t="n">
        <v>7001</v>
      </c>
      <c r="J82" s="6" t="n">
        <v>3785</v>
      </c>
      <c r="K82" s="6" t="n">
        <v>664</v>
      </c>
      <c r="L82" s="6" t="n">
        <v>6794</v>
      </c>
      <c r="M82" s="6" t="n">
        <v>4882</v>
      </c>
      <c r="N82" s="6" t="n">
        <v>6565</v>
      </c>
      <c r="O82" s="6" t="n">
        <v>6339</v>
      </c>
      <c r="P82" s="6" t="n">
        <v>2540</v>
      </c>
      <c r="Q82" s="6" t="n">
        <v>8735</v>
      </c>
      <c r="R82" s="6" t="n">
        <v>4333</v>
      </c>
      <c r="S82" s="6" t="n">
        <v>169</v>
      </c>
      <c r="T82" s="6" t="n">
        <v>0</v>
      </c>
      <c r="U82" s="6" t="n">
        <v>0</v>
      </c>
      <c r="V82" s="6" t="n">
        <v>0</v>
      </c>
      <c r="W82" s="6" t="n">
        <v>959</v>
      </c>
      <c r="X82" s="6" t="n">
        <v>2679</v>
      </c>
      <c r="Y82" s="6" t="n">
        <v>1703</v>
      </c>
      <c r="Z82" s="6" t="n">
        <v>950</v>
      </c>
      <c r="AA82" s="6" t="n">
        <v>7423</v>
      </c>
      <c r="AB82" s="6">
        <f>SUM(D82:AA82)</f>
        <v/>
      </c>
      <c r="AC82" s="3" t="inlineStr"/>
      <c r="AD82" s="7">
        <f>'BBB'!AD82+'Bag Staging'!AD82+'Bag Staging Volumetric'!AD82+'FWD FSM'!AD82+'FWD Manual Pre Primary'!AD82+'FWD Manual Primary'!AD82+'FWD Primary with Scan'!AD82+'FWD Secondary'!AD82+'FWD Volumetric'!AD82+'IB'!AD82+'IB Volumetric'!AD82+'OB'!AD82+'OB Volumetric'!AD82+'OSC Bag Sorting'!AD82+'OSC Bag Sorting Volumetric'!AD82+'REV FSM'!AD82+'Rejection Primary with Scan'!AD82+'Rejection Secondary'!AD82+'Rev DC DC Primary Sorting'!AD82+'Rev Primary (FSM Rejections)'!AD82+'Rev Secondary Sorting'!AD82+'VIA Bag Sorting'!AD82</f>
        <v/>
      </c>
      <c r="AE82" s="7">
        <f>'BBB'!AE82+'Bag Staging'!AE82+'Bag Staging Volumetric'!AE82+'FWD FSM'!AE82+'FWD Manual Pre Primary'!AE82+'FWD Manual Primary'!AE82+'FWD Primary with Scan'!AE82+'FWD Secondary'!AE82+'FWD Volumetric'!AE82+'IB'!AE82+'IB Volumetric'!AE82+'OB'!AE82+'OB Volumetric'!AE82+'OSC Bag Sorting'!AE82+'OSC Bag Sorting Volumetric'!AE82+'REV FSM'!AE82+'Rejection Primary with Scan'!AE82+'Rejection Secondary'!AE82+'Rev DC DC Primary Sorting'!AE82+'Rev Primary (FSM Rejections)'!AE82+'Rev Secondary Sorting'!AE82+'VIA Bag Sorting'!AE82</f>
        <v/>
      </c>
      <c r="AF82" s="7">
        <f>'BBB'!AF82+'Bag Staging'!AF82+'Bag Staging Volumetric'!AF82+'FWD FSM'!AF82+'FWD Manual Pre Primary'!AF82+'FWD Manual Primary'!AF82+'FWD Primary with Scan'!AF82+'FWD Secondary'!AF82+'FWD Volumetric'!AF82+'IB'!AF82+'IB Volumetric'!AF82+'OB'!AF82+'OB Volumetric'!AF82+'OSC Bag Sorting'!AF82+'OSC Bag Sorting Volumetric'!AF82+'REV FSM'!AF82+'Rejection Primary with Scan'!AF82+'Rejection Secondary'!AF82+'Rev DC DC Primary Sorting'!AF82+'Rev Primary (FSM Rejections)'!AF82+'Rev Secondary Sorting'!AF82+'VIA Bag Sorting'!AF82</f>
        <v/>
      </c>
      <c r="AG82" s="7">
        <f>'BBB'!AG82+'Bag Staging'!AG82+'Bag Staging Volumetric'!AG82+'FWD FSM'!AG82+'FWD Manual Pre Primary'!AG82+'FWD Manual Primary'!AG82+'FWD Primary with Scan'!AG82+'FWD Secondary'!AG82+'FWD Volumetric'!AG82+'IB'!AG82+'IB Volumetric'!AG82+'OB'!AG82+'OB Volumetric'!AG82+'OSC Bag Sorting'!AG82+'OSC Bag Sorting Volumetric'!AG82+'REV FSM'!AG82+'Rejection Primary with Scan'!AG82+'Rejection Secondary'!AG82+'Rev DC DC Primary Sorting'!AG82+'Rev Primary (FSM Rejections)'!AG82+'Rev Secondary Sorting'!AG82+'VIA Bag Sorting'!AG82</f>
        <v/>
      </c>
      <c r="AH82" s="7">
        <f>'BBB'!AH82+'Bag Staging'!AH82+'Bag Staging Volumetric'!AH82+'FWD FSM'!AH82+'FWD Manual Pre Primary'!AH82+'FWD Manual Primary'!AH82+'FWD Primary with Scan'!AH82+'FWD Secondary'!AH82+'FWD Volumetric'!AH82+'IB'!AH82+'IB Volumetric'!AH82+'OB'!AH82+'OB Volumetric'!AH82+'OSC Bag Sorting'!AH82+'OSC Bag Sorting Volumetric'!AH82+'REV FSM'!AH82+'Rejection Primary with Scan'!AH82+'Rejection Secondary'!AH82+'Rev DC DC Primary Sorting'!AH82+'Rev Primary (FSM Rejections)'!AH82+'Rev Secondary Sorting'!AH82+'VIA Bag Sorting'!AH82</f>
        <v/>
      </c>
      <c r="AI82" s="7">
        <f>'BBB'!AI82+'Bag Staging'!AI82+'Bag Staging Volumetric'!AI82+'FWD FSM'!AI82+'FWD Manual Pre Primary'!AI82+'FWD Manual Primary'!AI82+'FWD Primary with Scan'!AI82+'FWD Secondary'!AI82+'FWD Volumetric'!AI82+'IB'!AI82+'IB Volumetric'!AI82+'OB'!AI82+'OB Volumetric'!AI82+'OSC Bag Sorting'!AI82+'OSC Bag Sorting Volumetric'!AI82+'REV FSM'!AI82+'Rejection Primary with Scan'!AI82+'Rejection Secondary'!AI82+'Rev DC DC Primary Sorting'!AI82+'Rev Primary (FSM Rejections)'!AI82+'Rev Secondary Sorting'!AI82+'VIA Bag Sorting'!AI82</f>
        <v/>
      </c>
      <c r="AJ82" s="7">
        <f>'BBB'!AJ82+'Bag Staging'!AJ82+'Bag Staging Volumetric'!AJ82+'FWD FSM'!AJ82+'FWD Manual Pre Primary'!AJ82+'FWD Manual Primary'!AJ82+'FWD Primary with Scan'!AJ82+'FWD Secondary'!AJ82+'FWD Volumetric'!AJ82+'IB'!AJ82+'IB Volumetric'!AJ82+'OB'!AJ82+'OB Volumetric'!AJ82+'OSC Bag Sorting'!AJ82+'OSC Bag Sorting Volumetric'!AJ82+'REV FSM'!AJ82+'Rejection Primary with Scan'!AJ82+'Rejection Secondary'!AJ82+'Rev DC DC Primary Sorting'!AJ82+'Rev Primary (FSM Rejections)'!AJ82+'Rev Secondary Sorting'!AJ82+'VIA Bag Sorting'!AJ82</f>
        <v/>
      </c>
      <c r="AK82" s="7">
        <f>'BBB'!AK82+'Bag Staging'!AK82+'Bag Staging Volumetric'!AK82+'FWD FSM'!AK82+'FWD Manual Pre Primary'!AK82+'FWD Manual Primary'!AK82+'FWD Primary with Scan'!AK82+'FWD Secondary'!AK82+'FWD Volumetric'!AK82+'IB'!AK82+'IB Volumetric'!AK82+'OB'!AK82+'OB Volumetric'!AK82+'OSC Bag Sorting'!AK82+'OSC Bag Sorting Volumetric'!AK82+'REV FSM'!AK82+'Rejection Primary with Scan'!AK82+'Rejection Secondary'!AK82+'Rev DC DC Primary Sorting'!AK82+'Rev Primary (FSM Rejections)'!AK82+'Rev Secondary Sorting'!AK82+'VIA Bag Sorting'!AK82</f>
        <v/>
      </c>
      <c r="AL82" s="7">
        <f>'BBB'!AL82+'Bag Staging'!AL82+'Bag Staging Volumetric'!AL82+'FWD FSM'!AL82+'FWD Manual Pre Primary'!AL82+'FWD Manual Primary'!AL82+'FWD Primary with Scan'!AL82+'FWD Secondary'!AL82+'FWD Volumetric'!AL82+'IB'!AL82+'IB Volumetric'!AL82+'OB'!AL82+'OB Volumetric'!AL82+'OSC Bag Sorting'!AL82+'OSC Bag Sorting Volumetric'!AL82+'REV FSM'!AL82+'Rejection Primary with Scan'!AL82+'Rejection Secondary'!AL82+'Rev DC DC Primary Sorting'!AL82+'Rev Primary (FSM Rejections)'!AL82+'Rev Secondary Sorting'!AL82+'VIA Bag Sorting'!AL82</f>
        <v/>
      </c>
      <c r="AM82" s="7">
        <f>'BBB'!AM82+'Bag Staging'!AM82+'Bag Staging Volumetric'!AM82+'FWD FSM'!AM82+'FWD Manual Pre Primary'!AM82+'FWD Manual Primary'!AM82+'FWD Primary with Scan'!AM82+'FWD Secondary'!AM82+'FWD Volumetric'!AM82+'IB'!AM82+'IB Volumetric'!AM82+'OB'!AM82+'OB Volumetric'!AM82+'OSC Bag Sorting'!AM82+'OSC Bag Sorting Volumetric'!AM82+'REV FSM'!AM82+'Rejection Primary with Scan'!AM82+'Rejection Secondary'!AM82+'Rev DC DC Primary Sorting'!AM82+'Rev Primary (FSM Rejections)'!AM82+'Rev Secondary Sorting'!AM82+'VIA Bag Sorting'!AM82</f>
        <v/>
      </c>
      <c r="AN82" s="7">
        <f>'BBB'!AN82+'Bag Staging'!AN82+'Bag Staging Volumetric'!AN82+'FWD FSM'!AN82+'FWD Manual Pre Primary'!AN82+'FWD Manual Primary'!AN82+'FWD Primary with Scan'!AN82+'FWD Secondary'!AN82+'FWD Volumetric'!AN82+'IB'!AN82+'IB Volumetric'!AN82+'OB'!AN82+'OB Volumetric'!AN82+'OSC Bag Sorting'!AN82+'OSC Bag Sorting Volumetric'!AN82+'REV FSM'!AN82+'Rejection Primary with Scan'!AN82+'Rejection Secondary'!AN82+'Rev DC DC Primary Sorting'!AN82+'Rev Primary (FSM Rejections)'!AN82+'Rev Secondary Sorting'!AN82+'VIA Bag Sorting'!AN82</f>
        <v/>
      </c>
      <c r="AO82" s="7">
        <f>'BBB'!AO82+'Bag Staging'!AO82+'Bag Staging Volumetric'!AO82+'FWD FSM'!AO82+'FWD Manual Pre Primary'!AO82+'FWD Manual Primary'!AO82+'FWD Primary with Scan'!AO82+'FWD Secondary'!AO82+'FWD Volumetric'!AO82+'IB'!AO82+'IB Volumetric'!AO82+'OB'!AO82+'OB Volumetric'!AO82+'OSC Bag Sorting'!AO82+'OSC Bag Sorting Volumetric'!AO82+'REV FSM'!AO82+'Rejection Primary with Scan'!AO82+'Rejection Secondary'!AO82+'Rev DC DC Primary Sorting'!AO82+'Rev Primary (FSM Rejections)'!AO82+'Rev Secondary Sorting'!AO82+'VIA Bag Sorting'!AO82</f>
        <v/>
      </c>
      <c r="AP82" s="7">
        <f>'BBB'!AP82+'Bag Staging'!AP82+'Bag Staging Volumetric'!AP82+'FWD FSM'!AP82+'FWD Manual Pre Primary'!AP82+'FWD Manual Primary'!AP82+'FWD Primary with Scan'!AP82+'FWD Secondary'!AP82+'FWD Volumetric'!AP82+'IB'!AP82+'IB Volumetric'!AP82+'OB'!AP82+'OB Volumetric'!AP82+'OSC Bag Sorting'!AP82+'OSC Bag Sorting Volumetric'!AP82+'REV FSM'!AP82+'Rejection Primary with Scan'!AP82+'Rejection Secondary'!AP82+'Rev DC DC Primary Sorting'!AP82+'Rev Primary (FSM Rejections)'!AP82+'Rev Secondary Sorting'!AP82+'VIA Bag Sorting'!AP82</f>
        <v/>
      </c>
      <c r="AQ82" s="7">
        <f>'BBB'!AQ82+'Bag Staging'!AQ82+'Bag Staging Volumetric'!AQ82+'FWD FSM'!AQ82+'FWD Manual Pre Primary'!AQ82+'FWD Manual Primary'!AQ82+'FWD Primary with Scan'!AQ82+'FWD Secondary'!AQ82+'FWD Volumetric'!AQ82+'IB'!AQ82+'IB Volumetric'!AQ82+'OB'!AQ82+'OB Volumetric'!AQ82+'OSC Bag Sorting'!AQ82+'OSC Bag Sorting Volumetric'!AQ82+'REV FSM'!AQ82+'Rejection Primary with Scan'!AQ82+'Rejection Secondary'!AQ82+'Rev DC DC Primary Sorting'!AQ82+'Rev Primary (FSM Rejections)'!AQ82+'Rev Secondary Sorting'!AQ82+'VIA Bag Sorting'!AQ82</f>
        <v/>
      </c>
      <c r="AR82" s="7">
        <f>'BBB'!AR82+'Bag Staging'!AR82+'Bag Staging Volumetric'!AR82+'FWD FSM'!AR82+'FWD Manual Pre Primary'!AR82+'FWD Manual Primary'!AR82+'FWD Primary with Scan'!AR82+'FWD Secondary'!AR82+'FWD Volumetric'!AR82+'IB'!AR82+'IB Volumetric'!AR82+'OB'!AR82+'OB Volumetric'!AR82+'OSC Bag Sorting'!AR82+'OSC Bag Sorting Volumetric'!AR82+'REV FSM'!AR82+'Rejection Primary with Scan'!AR82+'Rejection Secondary'!AR82+'Rev DC DC Primary Sorting'!AR82+'Rev Primary (FSM Rejections)'!AR82+'Rev Secondary Sorting'!AR82+'VIA Bag Sorting'!AR82</f>
        <v/>
      </c>
      <c r="AS82" s="7">
        <f>'BBB'!AS82+'Bag Staging'!AS82+'Bag Staging Volumetric'!AS82+'FWD FSM'!AS82+'FWD Manual Pre Primary'!AS82+'FWD Manual Primary'!AS82+'FWD Primary with Scan'!AS82+'FWD Secondary'!AS82+'FWD Volumetric'!AS82+'IB'!AS82+'IB Volumetric'!AS82+'OB'!AS82+'OB Volumetric'!AS82+'OSC Bag Sorting'!AS82+'OSC Bag Sorting Volumetric'!AS82+'REV FSM'!AS82+'Rejection Primary with Scan'!AS82+'Rejection Secondary'!AS82+'Rev DC DC Primary Sorting'!AS82+'Rev Primary (FSM Rejections)'!AS82+'Rev Secondary Sorting'!AS82+'VIA Bag Sorting'!AS82</f>
        <v/>
      </c>
      <c r="AT82" s="7">
        <f>'BBB'!AT82+'Bag Staging'!AT82+'Bag Staging Volumetric'!AT82+'FWD FSM'!AT82+'FWD Manual Pre Primary'!AT82+'FWD Manual Primary'!AT82+'FWD Primary with Scan'!AT82+'FWD Secondary'!AT82+'FWD Volumetric'!AT82+'IB'!AT82+'IB Volumetric'!AT82+'OB'!AT82+'OB Volumetric'!AT82+'OSC Bag Sorting'!AT82+'OSC Bag Sorting Volumetric'!AT82+'REV FSM'!AT82+'Rejection Primary with Scan'!AT82+'Rejection Secondary'!AT82+'Rev DC DC Primary Sorting'!AT82+'Rev Primary (FSM Rejections)'!AT82+'Rev Secondary Sorting'!AT82+'VIA Bag Sorting'!AT82</f>
        <v/>
      </c>
      <c r="AU82" s="7">
        <f>'BBB'!AU82+'Bag Staging'!AU82+'Bag Staging Volumetric'!AU82+'FWD FSM'!AU82+'FWD Manual Pre Primary'!AU82+'FWD Manual Primary'!AU82+'FWD Primary with Scan'!AU82+'FWD Secondary'!AU82+'FWD Volumetric'!AU82+'IB'!AU82+'IB Volumetric'!AU82+'OB'!AU82+'OB Volumetric'!AU82+'OSC Bag Sorting'!AU82+'OSC Bag Sorting Volumetric'!AU82+'REV FSM'!AU82+'Rejection Primary with Scan'!AU82+'Rejection Secondary'!AU82+'Rev DC DC Primary Sorting'!AU82+'Rev Primary (FSM Rejections)'!AU82+'Rev Secondary Sorting'!AU82+'VIA Bag Sorting'!AU82</f>
        <v/>
      </c>
      <c r="AV82" s="7">
        <f>'BBB'!AV82+'Bag Staging'!AV82+'Bag Staging Volumetric'!AV82+'FWD FSM'!AV82+'FWD Manual Pre Primary'!AV82+'FWD Manual Primary'!AV82+'FWD Primary with Scan'!AV82+'FWD Secondary'!AV82+'FWD Volumetric'!AV82+'IB'!AV82+'IB Volumetric'!AV82+'OB'!AV82+'OB Volumetric'!AV82+'OSC Bag Sorting'!AV82+'OSC Bag Sorting Volumetric'!AV82+'REV FSM'!AV82+'Rejection Primary with Scan'!AV82+'Rejection Secondary'!AV82+'Rev DC DC Primary Sorting'!AV82+'Rev Primary (FSM Rejections)'!AV82+'Rev Secondary Sorting'!AV82+'VIA Bag Sorting'!AV82</f>
        <v/>
      </c>
      <c r="AW82" s="7">
        <f>'BBB'!AW82+'Bag Staging'!AW82+'Bag Staging Volumetric'!AW82+'FWD FSM'!AW82+'FWD Manual Pre Primary'!AW82+'FWD Manual Primary'!AW82+'FWD Primary with Scan'!AW82+'FWD Secondary'!AW82+'FWD Volumetric'!AW82+'IB'!AW82+'IB Volumetric'!AW82+'OB'!AW82+'OB Volumetric'!AW82+'OSC Bag Sorting'!AW82+'OSC Bag Sorting Volumetric'!AW82+'REV FSM'!AW82+'Rejection Primary with Scan'!AW82+'Rejection Secondary'!AW82+'Rev DC DC Primary Sorting'!AW82+'Rev Primary (FSM Rejections)'!AW82+'Rev Secondary Sorting'!AW82+'VIA Bag Sorting'!AW82</f>
        <v/>
      </c>
      <c r="AX82" s="7">
        <f>'BBB'!AX82+'Bag Staging'!AX82+'Bag Staging Volumetric'!AX82+'FWD FSM'!AX82+'FWD Manual Pre Primary'!AX82+'FWD Manual Primary'!AX82+'FWD Primary with Scan'!AX82+'FWD Secondary'!AX82+'FWD Volumetric'!AX82+'IB'!AX82+'IB Volumetric'!AX82+'OB'!AX82+'OB Volumetric'!AX82+'OSC Bag Sorting'!AX82+'OSC Bag Sorting Volumetric'!AX82+'REV FSM'!AX82+'Rejection Primary with Scan'!AX82+'Rejection Secondary'!AX82+'Rev DC DC Primary Sorting'!AX82+'Rev Primary (FSM Rejections)'!AX82+'Rev Secondary Sorting'!AX82+'VIA Bag Sorting'!AX82</f>
        <v/>
      </c>
      <c r="AY82" s="7">
        <f>'BBB'!AY82+'Bag Staging'!AY82+'Bag Staging Volumetric'!AY82+'FWD FSM'!AY82+'FWD Manual Pre Primary'!AY82+'FWD Manual Primary'!AY82+'FWD Primary with Scan'!AY82+'FWD Secondary'!AY82+'FWD Volumetric'!AY82+'IB'!AY82+'IB Volumetric'!AY82+'OB'!AY82+'OB Volumetric'!AY82+'OSC Bag Sorting'!AY82+'OSC Bag Sorting Volumetric'!AY82+'REV FSM'!AY82+'Rejection Primary with Scan'!AY82+'Rejection Secondary'!AY82+'Rev DC DC Primary Sorting'!AY82+'Rev Primary (FSM Rejections)'!AY82+'Rev Secondary Sorting'!AY82+'VIA Bag Sorting'!AY82</f>
        <v/>
      </c>
      <c r="AZ82" s="7">
        <f>'BBB'!AZ82+'Bag Staging'!AZ82+'Bag Staging Volumetric'!AZ82+'FWD FSM'!AZ82+'FWD Manual Pre Primary'!AZ82+'FWD Manual Primary'!AZ82+'FWD Primary with Scan'!AZ82+'FWD Secondary'!AZ82+'FWD Volumetric'!AZ82+'IB'!AZ82+'IB Volumetric'!AZ82+'OB'!AZ82+'OB Volumetric'!AZ82+'OSC Bag Sorting'!AZ82+'OSC Bag Sorting Volumetric'!AZ82+'REV FSM'!AZ82+'Rejection Primary with Scan'!AZ82+'Rejection Secondary'!AZ82+'Rev DC DC Primary Sorting'!AZ82+'Rev Primary (FSM Rejections)'!AZ82+'Rev Secondary Sorting'!AZ82+'VIA Bag Sorting'!AZ82</f>
        <v/>
      </c>
      <c r="BA82" s="7">
        <f>'BBB'!BA82+'Bag Staging'!BA82+'Bag Staging Volumetric'!BA82+'FWD FSM'!BA82+'FWD Manual Pre Primary'!BA82+'FWD Manual Primary'!BA82+'FWD Primary with Scan'!BA82+'FWD Secondary'!BA82+'FWD Volumetric'!BA82+'IB'!BA82+'IB Volumetric'!BA82+'OB'!BA82+'OB Volumetric'!BA82+'OSC Bag Sorting'!BA82+'OSC Bag Sorting Volumetric'!BA82+'REV FSM'!BA82+'Rejection Primary with Scan'!BA82+'Rejection Secondary'!BA82+'Rev DC DC Primary Sorting'!BA82+'Rev Primary (FSM Rejections)'!BA82+'Rev Secondary Sorting'!BA82+'VIA Bag Sorting'!BA82</f>
        <v/>
      </c>
      <c r="BB82" s="7">
        <f>SUM(AD82:BA82)</f>
        <v/>
      </c>
    </row>
    <row r="83">
      <c r="A83" t="inlineStr">
        <is>
          <t>AMD-M2</t>
        </is>
      </c>
      <c r="B83" t="inlineStr">
        <is>
          <t>Forward Regular OSC</t>
        </is>
      </c>
      <c r="C83" s="5" t="n">
        <v>46096</v>
      </c>
      <c r="D83" s="6" t="n">
        <v>5582</v>
      </c>
      <c r="E83" s="6" t="n">
        <v>1803</v>
      </c>
      <c r="F83" s="6" t="n">
        <v>4809</v>
      </c>
      <c r="G83" s="6" t="n">
        <v>6867</v>
      </c>
      <c r="H83" s="6" t="n">
        <v>3522</v>
      </c>
      <c r="I83" s="6" t="n">
        <v>6599</v>
      </c>
      <c r="J83" s="6" t="n">
        <v>6137</v>
      </c>
      <c r="K83" s="6" t="n">
        <v>38</v>
      </c>
      <c r="L83" s="6" t="n">
        <v>6625</v>
      </c>
      <c r="M83" s="6" t="n">
        <v>5217</v>
      </c>
      <c r="N83" s="6" t="n">
        <v>5418</v>
      </c>
      <c r="O83" s="6" t="n">
        <v>5400</v>
      </c>
      <c r="P83" s="6" t="n">
        <v>3670</v>
      </c>
      <c r="Q83" s="6" t="n">
        <v>6979</v>
      </c>
      <c r="R83" s="6" t="n">
        <v>183</v>
      </c>
      <c r="S83" s="6" t="n">
        <v>0</v>
      </c>
      <c r="T83" s="6" t="n">
        <v>0</v>
      </c>
      <c r="U83" s="6" t="n">
        <v>0</v>
      </c>
      <c r="V83" s="6" t="n">
        <v>0</v>
      </c>
      <c r="W83" s="6" t="n">
        <v>0</v>
      </c>
      <c r="X83" s="6" t="n">
        <v>0</v>
      </c>
      <c r="Y83" s="6" t="n">
        <v>0</v>
      </c>
      <c r="Z83" s="6" t="n">
        <v>7</v>
      </c>
      <c r="AA83" s="6" t="n">
        <v>5783</v>
      </c>
      <c r="AB83" s="6">
        <f>SUM(D83:AA83)</f>
        <v/>
      </c>
      <c r="AC83" s="3" t="inlineStr"/>
      <c r="AD83" s="7">
        <f>'BBB'!AD83+'Bag Staging'!AD83+'Bag Staging Volumetric'!AD83+'FWD FSM'!AD83+'FWD Manual Pre Primary'!AD83+'FWD Manual Primary'!AD83+'FWD Primary with Scan'!AD83+'FWD Secondary'!AD83+'FWD Volumetric'!AD83+'IB'!AD83+'IB Volumetric'!AD83+'OB'!AD83+'OB Volumetric'!AD83+'OSC Bag Sorting'!AD83+'OSC Bag Sorting Volumetric'!AD83+'REV FSM'!AD83+'Rejection Primary with Scan'!AD83+'Rejection Secondary'!AD83+'Rev DC DC Primary Sorting'!AD83+'Rev Primary (FSM Rejections)'!AD83+'Rev Secondary Sorting'!AD83+'VIA Bag Sorting'!AD83</f>
        <v/>
      </c>
      <c r="AE83" s="7">
        <f>'BBB'!AE83+'Bag Staging'!AE83+'Bag Staging Volumetric'!AE83+'FWD FSM'!AE83+'FWD Manual Pre Primary'!AE83+'FWD Manual Primary'!AE83+'FWD Primary with Scan'!AE83+'FWD Secondary'!AE83+'FWD Volumetric'!AE83+'IB'!AE83+'IB Volumetric'!AE83+'OB'!AE83+'OB Volumetric'!AE83+'OSC Bag Sorting'!AE83+'OSC Bag Sorting Volumetric'!AE83+'REV FSM'!AE83+'Rejection Primary with Scan'!AE83+'Rejection Secondary'!AE83+'Rev DC DC Primary Sorting'!AE83+'Rev Primary (FSM Rejections)'!AE83+'Rev Secondary Sorting'!AE83+'VIA Bag Sorting'!AE83</f>
        <v/>
      </c>
      <c r="AF83" s="7">
        <f>'BBB'!AF83+'Bag Staging'!AF83+'Bag Staging Volumetric'!AF83+'FWD FSM'!AF83+'FWD Manual Pre Primary'!AF83+'FWD Manual Primary'!AF83+'FWD Primary with Scan'!AF83+'FWD Secondary'!AF83+'FWD Volumetric'!AF83+'IB'!AF83+'IB Volumetric'!AF83+'OB'!AF83+'OB Volumetric'!AF83+'OSC Bag Sorting'!AF83+'OSC Bag Sorting Volumetric'!AF83+'REV FSM'!AF83+'Rejection Primary with Scan'!AF83+'Rejection Secondary'!AF83+'Rev DC DC Primary Sorting'!AF83+'Rev Primary (FSM Rejections)'!AF83+'Rev Secondary Sorting'!AF83+'VIA Bag Sorting'!AF83</f>
        <v/>
      </c>
      <c r="AG83" s="7">
        <f>'BBB'!AG83+'Bag Staging'!AG83+'Bag Staging Volumetric'!AG83+'FWD FSM'!AG83+'FWD Manual Pre Primary'!AG83+'FWD Manual Primary'!AG83+'FWD Primary with Scan'!AG83+'FWD Secondary'!AG83+'FWD Volumetric'!AG83+'IB'!AG83+'IB Volumetric'!AG83+'OB'!AG83+'OB Volumetric'!AG83+'OSC Bag Sorting'!AG83+'OSC Bag Sorting Volumetric'!AG83+'REV FSM'!AG83+'Rejection Primary with Scan'!AG83+'Rejection Secondary'!AG83+'Rev DC DC Primary Sorting'!AG83+'Rev Primary (FSM Rejections)'!AG83+'Rev Secondary Sorting'!AG83+'VIA Bag Sorting'!AG83</f>
        <v/>
      </c>
      <c r="AH83" s="7">
        <f>'BBB'!AH83+'Bag Staging'!AH83+'Bag Staging Volumetric'!AH83+'FWD FSM'!AH83+'FWD Manual Pre Primary'!AH83+'FWD Manual Primary'!AH83+'FWD Primary with Scan'!AH83+'FWD Secondary'!AH83+'FWD Volumetric'!AH83+'IB'!AH83+'IB Volumetric'!AH83+'OB'!AH83+'OB Volumetric'!AH83+'OSC Bag Sorting'!AH83+'OSC Bag Sorting Volumetric'!AH83+'REV FSM'!AH83+'Rejection Primary with Scan'!AH83+'Rejection Secondary'!AH83+'Rev DC DC Primary Sorting'!AH83+'Rev Primary (FSM Rejections)'!AH83+'Rev Secondary Sorting'!AH83+'VIA Bag Sorting'!AH83</f>
        <v/>
      </c>
      <c r="AI83" s="7">
        <f>'BBB'!AI83+'Bag Staging'!AI83+'Bag Staging Volumetric'!AI83+'FWD FSM'!AI83+'FWD Manual Pre Primary'!AI83+'FWD Manual Primary'!AI83+'FWD Primary with Scan'!AI83+'FWD Secondary'!AI83+'FWD Volumetric'!AI83+'IB'!AI83+'IB Volumetric'!AI83+'OB'!AI83+'OB Volumetric'!AI83+'OSC Bag Sorting'!AI83+'OSC Bag Sorting Volumetric'!AI83+'REV FSM'!AI83+'Rejection Primary with Scan'!AI83+'Rejection Secondary'!AI83+'Rev DC DC Primary Sorting'!AI83+'Rev Primary (FSM Rejections)'!AI83+'Rev Secondary Sorting'!AI83+'VIA Bag Sorting'!AI83</f>
        <v/>
      </c>
      <c r="AJ83" s="7">
        <f>'BBB'!AJ83+'Bag Staging'!AJ83+'Bag Staging Volumetric'!AJ83+'FWD FSM'!AJ83+'FWD Manual Pre Primary'!AJ83+'FWD Manual Primary'!AJ83+'FWD Primary with Scan'!AJ83+'FWD Secondary'!AJ83+'FWD Volumetric'!AJ83+'IB'!AJ83+'IB Volumetric'!AJ83+'OB'!AJ83+'OB Volumetric'!AJ83+'OSC Bag Sorting'!AJ83+'OSC Bag Sorting Volumetric'!AJ83+'REV FSM'!AJ83+'Rejection Primary with Scan'!AJ83+'Rejection Secondary'!AJ83+'Rev DC DC Primary Sorting'!AJ83+'Rev Primary (FSM Rejections)'!AJ83+'Rev Secondary Sorting'!AJ83+'VIA Bag Sorting'!AJ83</f>
        <v/>
      </c>
      <c r="AK83" s="7">
        <f>'BBB'!AK83+'Bag Staging'!AK83+'Bag Staging Volumetric'!AK83+'FWD FSM'!AK83+'FWD Manual Pre Primary'!AK83+'FWD Manual Primary'!AK83+'FWD Primary with Scan'!AK83+'FWD Secondary'!AK83+'FWD Volumetric'!AK83+'IB'!AK83+'IB Volumetric'!AK83+'OB'!AK83+'OB Volumetric'!AK83+'OSC Bag Sorting'!AK83+'OSC Bag Sorting Volumetric'!AK83+'REV FSM'!AK83+'Rejection Primary with Scan'!AK83+'Rejection Secondary'!AK83+'Rev DC DC Primary Sorting'!AK83+'Rev Primary (FSM Rejections)'!AK83+'Rev Secondary Sorting'!AK83+'VIA Bag Sorting'!AK83</f>
        <v/>
      </c>
      <c r="AL83" s="7">
        <f>'BBB'!AL83+'Bag Staging'!AL83+'Bag Staging Volumetric'!AL83+'FWD FSM'!AL83+'FWD Manual Pre Primary'!AL83+'FWD Manual Primary'!AL83+'FWD Primary with Scan'!AL83+'FWD Secondary'!AL83+'FWD Volumetric'!AL83+'IB'!AL83+'IB Volumetric'!AL83+'OB'!AL83+'OB Volumetric'!AL83+'OSC Bag Sorting'!AL83+'OSC Bag Sorting Volumetric'!AL83+'REV FSM'!AL83+'Rejection Primary with Scan'!AL83+'Rejection Secondary'!AL83+'Rev DC DC Primary Sorting'!AL83+'Rev Primary (FSM Rejections)'!AL83+'Rev Secondary Sorting'!AL83+'VIA Bag Sorting'!AL83</f>
        <v/>
      </c>
      <c r="AM83" s="7">
        <f>'BBB'!AM83+'Bag Staging'!AM83+'Bag Staging Volumetric'!AM83+'FWD FSM'!AM83+'FWD Manual Pre Primary'!AM83+'FWD Manual Primary'!AM83+'FWD Primary with Scan'!AM83+'FWD Secondary'!AM83+'FWD Volumetric'!AM83+'IB'!AM83+'IB Volumetric'!AM83+'OB'!AM83+'OB Volumetric'!AM83+'OSC Bag Sorting'!AM83+'OSC Bag Sorting Volumetric'!AM83+'REV FSM'!AM83+'Rejection Primary with Scan'!AM83+'Rejection Secondary'!AM83+'Rev DC DC Primary Sorting'!AM83+'Rev Primary (FSM Rejections)'!AM83+'Rev Secondary Sorting'!AM83+'VIA Bag Sorting'!AM83</f>
        <v/>
      </c>
      <c r="AN83" s="7">
        <f>'BBB'!AN83+'Bag Staging'!AN83+'Bag Staging Volumetric'!AN83+'FWD FSM'!AN83+'FWD Manual Pre Primary'!AN83+'FWD Manual Primary'!AN83+'FWD Primary with Scan'!AN83+'FWD Secondary'!AN83+'FWD Volumetric'!AN83+'IB'!AN83+'IB Volumetric'!AN83+'OB'!AN83+'OB Volumetric'!AN83+'OSC Bag Sorting'!AN83+'OSC Bag Sorting Volumetric'!AN83+'REV FSM'!AN83+'Rejection Primary with Scan'!AN83+'Rejection Secondary'!AN83+'Rev DC DC Primary Sorting'!AN83+'Rev Primary (FSM Rejections)'!AN83+'Rev Secondary Sorting'!AN83+'VIA Bag Sorting'!AN83</f>
        <v/>
      </c>
      <c r="AO83" s="7">
        <f>'BBB'!AO83+'Bag Staging'!AO83+'Bag Staging Volumetric'!AO83+'FWD FSM'!AO83+'FWD Manual Pre Primary'!AO83+'FWD Manual Primary'!AO83+'FWD Primary with Scan'!AO83+'FWD Secondary'!AO83+'FWD Volumetric'!AO83+'IB'!AO83+'IB Volumetric'!AO83+'OB'!AO83+'OB Volumetric'!AO83+'OSC Bag Sorting'!AO83+'OSC Bag Sorting Volumetric'!AO83+'REV FSM'!AO83+'Rejection Primary with Scan'!AO83+'Rejection Secondary'!AO83+'Rev DC DC Primary Sorting'!AO83+'Rev Primary (FSM Rejections)'!AO83+'Rev Secondary Sorting'!AO83+'VIA Bag Sorting'!AO83</f>
        <v/>
      </c>
      <c r="AP83" s="7">
        <f>'BBB'!AP83+'Bag Staging'!AP83+'Bag Staging Volumetric'!AP83+'FWD FSM'!AP83+'FWD Manual Pre Primary'!AP83+'FWD Manual Primary'!AP83+'FWD Primary with Scan'!AP83+'FWD Secondary'!AP83+'FWD Volumetric'!AP83+'IB'!AP83+'IB Volumetric'!AP83+'OB'!AP83+'OB Volumetric'!AP83+'OSC Bag Sorting'!AP83+'OSC Bag Sorting Volumetric'!AP83+'REV FSM'!AP83+'Rejection Primary with Scan'!AP83+'Rejection Secondary'!AP83+'Rev DC DC Primary Sorting'!AP83+'Rev Primary (FSM Rejections)'!AP83+'Rev Secondary Sorting'!AP83+'VIA Bag Sorting'!AP83</f>
        <v/>
      </c>
      <c r="AQ83" s="7">
        <f>'BBB'!AQ83+'Bag Staging'!AQ83+'Bag Staging Volumetric'!AQ83+'FWD FSM'!AQ83+'FWD Manual Pre Primary'!AQ83+'FWD Manual Primary'!AQ83+'FWD Primary with Scan'!AQ83+'FWD Secondary'!AQ83+'FWD Volumetric'!AQ83+'IB'!AQ83+'IB Volumetric'!AQ83+'OB'!AQ83+'OB Volumetric'!AQ83+'OSC Bag Sorting'!AQ83+'OSC Bag Sorting Volumetric'!AQ83+'REV FSM'!AQ83+'Rejection Primary with Scan'!AQ83+'Rejection Secondary'!AQ83+'Rev DC DC Primary Sorting'!AQ83+'Rev Primary (FSM Rejections)'!AQ83+'Rev Secondary Sorting'!AQ83+'VIA Bag Sorting'!AQ83</f>
        <v/>
      </c>
      <c r="AR83" s="7">
        <f>'BBB'!AR83+'Bag Staging'!AR83+'Bag Staging Volumetric'!AR83+'FWD FSM'!AR83+'FWD Manual Pre Primary'!AR83+'FWD Manual Primary'!AR83+'FWD Primary with Scan'!AR83+'FWD Secondary'!AR83+'FWD Volumetric'!AR83+'IB'!AR83+'IB Volumetric'!AR83+'OB'!AR83+'OB Volumetric'!AR83+'OSC Bag Sorting'!AR83+'OSC Bag Sorting Volumetric'!AR83+'REV FSM'!AR83+'Rejection Primary with Scan'!AR83+'Rejection Secondary'!AR83+'Rev DC DC Primary Sorting'!AR83+'Rev Primary (FSM Rejections)'!AR83+'Rev Secondary Sorting'!AR83+'VIA Bag Sorting'!AR83</f>
        <v/>
      </c>
      <c r="AS83" s="7">
        <f>'BBB'!AS83+'Bag Staging'!AS83+'Bag Staging Volumetric'!AS83+'FWD FSM'!AS83+'FWD Manual Pre Primary'!AS83+'FWD Manual Primary'!AS83+'FWD Primary with Scan'!AS83+'FWD Secondary'!AS83+'FWD Volumetric'!AS83+'IB'!AS83+'IB Volumetric'!AS83+'OB'!AS83+'OB Volumetric'!AS83+'OSC Bag Sorting'!AS83+'OSC Bag Sorting Volumetric'!AS83+'REV FSM'!AS83+'Rejection Primary with Scan'!AS83+'Rejection Secondary'!AS83+'Rev DC DC Primary Sorting'!AS83+'Rev Primary (FSM Rejections)'!AS83+'Rev Secondary Sorting'!AS83+'VIA Bag Sorting'!AS83</f>
        <v/>
      </c>
      <c r="AT83" s="7">
        <f>'BBB'!AT83+'Bag Staging'!AT83+'Bag Staging Volumetric'!AT83+'FWD FSM'!AT83+'FWD Manual Pre Primary'!AT83+'FWD Manual Primary'!AT83+'FWD Primary with Scan'!AT83+'FWD Secondary'!AT83+'FWD Volumetric'!AT83+'IB'!AT83+'IB Volumetric'!AT83+'OB'!AT83+'OB Volumetric'!AT83+'OSC Bag Sorting'!AT83+'OSC Bag Sorting Volumetric'!AT83+'REV FSM'!AT83+'Rejection Primary with Scan'!AT83+'Rejection Secondary'!AT83+'Rev DC DC Primary Sorting'!AT83+'Rev Primary (FSM Rejections)'!AT83+'Rev Secondary Sorting'!AT83+'VIA Bag Sorting'!AT83</f>
        <v/>
      </c>
      <c r="AU83" s="7">
        <f>'BBB'!AU83+'Bag Staging'!AU83+'Bag Staging Volumetric'!AU83+'FWD FSM'!AU83+'FWD Manual Pre Primary'!AU83+'FWD Manual Primary'!AU83+'FWD Primary with Scan'!AU83+'FWD Secondary'!AU83+'FWD Volumetric'!AU83+'IB'!AU83+'IB Volumetric'!AU83+'OB'!AU83+'OB Volumetric'!AU83+'OSC Bag Sorting'!AU83+'OSC Bag Sorting Volumetric'!AU83+'REV FSM'!AU83+'Rejection Primary with Scan'!AU83+'Rejection Secondary'!AU83+'Rev DC DC Primary Sorting'!AU83+'Rev Primary (FSM Rejections)'!AU83+'Rev Secondary Sorting'!AU83+'VIA Bag Sorting'!AU83</f>
        <v/>
      </c>
      <c r="AV83" s="7">
        <f>'BBB'!AV83+'Bag Staging'!AV83+'Bag Staging Volumetric'!AV83+'FWD FSM'!AV83+'FWD Manual Pre Primary'!AV83+'FWD Manual Primary'!AV83+'FWD Primary with Scan'!AV83+'FWD Secondary'!AV83+'FWD Volumetric'!AV83+'IB'!AV83+'IB Volumetric'!AV83+'OB'!AV83+'OB Volumetric'!AV83+'OSC Bag Sorting'!AV83+'OSC Bag Sorting Volumetric'!AV83+'REV FSM'!AV83+'Rejection Primary with Scan'!AV83+'Rejection Secondary'!AV83+'Rev DC DC Primary Sorting'!AV83+'Rev Primary (FSM Rejections)'!AV83+'Rev Secondary Sorting'!AV83+'VIA Bag Sorting'!AV83</f>
        <v/>
      </c>
      <c r="AW83" s="7">
        <f>'BBB'!AW83+'Bag Staging'!AW83+'Bag Staging Volumetric'!AW83+'FWD FSM'!AW83+'FWD Manual Pre Primary'!AW83+'FWD Manual Primary'!AW83+'FWD Primary with Scan'!AW83+'FWD Secondary'!AW83+'FWD Volumetric'!AW83+'IB'!AW83+'IB Volumetric'!AW83+'OB'!AW83+'OB Volumetric'!AW83+'OSC Bag Sorting'!AW83+'OSC Bag Sorting Volumetric'!AW83+'REV FSM'!AW83+'Rejection Primary with Scan'!AW83+'Rejection Secondary'!AW83+'Rev DC DC Primary Sorting'!AW83+'Rev Primary (FSM Rejections)'!AW83+'Rev Secondary Sorting'!AW83+'VIA Bag Sorting'!AW83</f>
        <v/>
      </c>
      <c r="AX83" s="7">
        <f>'BBB'!AX83+'Bag Staging'!AX83+'Bag Staging Volumetric'!AX83+'FWD FSM'!AX83+'FWD Manual Pre Primary'!AX83+'FWD Manual Primary'!AX83+'FWD Primary with Scan'!AX83+'FWD Secondary'!AX83+'FWD Volumetric'!AX83+'IB'!AX83+'IB Volumetric'!AX83+'OB'!AX83+'OB Volumetric'!AX83+'OSC Bag Sorting'!AX83+'OSC Bag Sorting Volumetric'!AX83+'REV FSM'!AX83+'Rejection Primary with Scan'!AX83+'Rejection Secondary'!AX83+'Rev DC DC Primary Sorting'!AX83+'Rev Primary (FSM Rejections)'!AX83+'Rev Secondary Sorting'!AX83+'VIA Bag Sorting'!AX83</f>
        <v/>
      </c>
      <c r="AY83" s="7">
        <f>'BBB'!AY83+'Bag Staging'!AY83+'Bag Staging Volumetric'!AY83+'FWD FSM'!AY83+'FWD Manual Pre Primary'!AY83+'FWD Manual Primary'!AY83+'FWD Primary with Scan'!AY83+'FWD Secondary'!AY83+'FWD Volumetric'!AY83+'IB'!AY83+'IB Volumetric'!AY83+'OB'!AY83+'OB Volumetric'!AY83+'OSC Bag Sorting'!AY83+'OSC Bag Sorting Volumetric'!AY83+'REV FSM'!AY83+'Rejection Primary with Scan'!AY83+'Rejection Secondary'!AY83+'Rev DC DC Primary Sorting'!AY83+'Rev Primary (FSM Rejections)'!AY83+'Rev Secondary Sorting'!AY83+'VIA Bag Sorting'!AY83</f>
        <v/>
      </c>
      <c r="AZ83" s="7">
        <f>'BBB'!AZ83+'Bag Staging'!AZ83+'Bag Staging Volumetric'!AZ83+'FWD FSM'!AZ83+'FWD Manual Pre Primary'!AZ83+'FWD Manual Primary'!AZ83+'FWD Primary with Scan'!AZ83+'FWD Secondary'!AZ83+'FWD Volumetric'!AZ83+'IB'!AZ83+'IB Volumetric'!AZ83+'OB'!AZ83+'OB Volumetric'!AZ83+'OSC Bag Sorting'!AZ83+'OSC Bag Sorting Volumetric'!AZ83+'REV FSM'!AZ83+'Rejection Primary with Scan'!AZ83+'Rejection Secondary'!AZ83+'Rev DC DC Primary Sorting'!AZ83+'Rev Primary (FSM Rejections)'!AZ83+'Rev Secondary Sorting'!AZ83+'VIA Bag Sorting'!AZ83</f>
        <v/>
      </c>
      <c r="BA83" s="7">
        <f>'BBB'!BA83+'Bag Staging'!BA83+'Bag Staging Volumetric'!BA83+'FWD FSM'!BA83+'FWD Manual Pre Primary'!BA83+'FWD Manual Primary'!BA83+'FWD Primary with Scan'!BA83+'FWD Secondary'!BA83+'FWD Volumetric'!BA83+'IB'!BA83+'IB Volumetric'!BA83+'OB'!BA83+'OB Volumetric'!BA83+'OSC Bag Sorting'!BA83+'OSC Bag Sorting Volumetric'!BA83+'REV FSM'!BA83+'Rejection Primary with Scan'!BA83+'Rejection Secondary'!BA83+'Rev DC DC Primary Sorting'!BA83+'Rev Primary (FSM Rejections)'!BA83+'Rev Secondary Sorting'!BA83+'VIA Bag Sorting'!BA83</f>
        <v/>
      </c>
      <c r="BB83" s="7">
        <f>SUM(AD83:BA83)</f>
        <v/>
      </c>
    </row>
    <row r="84">
      <c r="A84" t="inlineStr">
        <is>
          <t>AMD-M2</t>
        </is>
      </c>
      <c r="B84" t="inlineStr">
        <is>
          <t>Forward Regular OSC</t>
        </is>
      </c>
      <c r="C84" s="5" t="n">
        <v>46097</v>
      </c>
      <c r="D84" s="6" t="n">
        <v>4728</v>
      </c>
      <c r="E84" s="6" t="n">
        <v>2535</v>
      </c>
      <c r="F84" s="6" t="n">
        <v>4721</v>
      </c>
      <c r="G84" s="6" t="n">
        <v>5167</v>
      </c>
      <c r="H84" s="6" t="n">
        <v>3452</v>
      </c>
      <c r="I84" s="6" t="n">
        <v>4906</v>
      </c>
      <c r="J84" s="6" t="n">
        <v>2108</v>
      </c>
      <c r="K84" s="6" t="n">
        <v>0</v>
      </c>
      <c r="L84" s="6" t="n">
        <v>5680</v>
      </c>
      <c r="M84" s="6" t="n">
        <v>4611</v>
      </c>
      <c r="N84" s="6" t="n">
        <v>6444</v>
      </c>
      <c r="O84" s="6" t="n">
        <v>5462</v>
      </c>
      <c r="P84" s="6" t="n">
        <v>3069</v>
      </c>
      <c r="Q84" s="6" t="n">
        <v>5215</v>
      </c>
      <c r="R84" s="6" t="n">
        <v>2224</v>
      </c>
      <c r="S84" s="6" t="n">
        <v>11</v>
      </c>
      <c r="T84" s="6" t="n">
        <v>0</v>
      </c>
      <c r="U84" s="6" t="n">
        <v>0</v>
      </c>
      <c r="V84" s="6" t="n">
        <v>0</v>
      </c>
      <c r="W84" s="6" t="n">
        <v>0</v>
      </c>
      <c r="X84" s="6" t="n">
        <v>0</v>
      </c>
      <c r="Y84" s="6" t="n">
        <v>0</v>
      </c>
      <c r="Z84" s="6" t="n">
        <v>0</v>
      </c>
      <c r="AA84" s="6" t="n">
        <v>0</v>
      </c>
      <c r="AB84" s="6">
        <f>SUM(D84:AA84)</f>
        <v/>
      </c>
      <c r="AC84" s="3" t="inlineStr"/>
      <c r="AD84" s="7">
        <f>'BBB'!AD84+'Bag Staging'!AD84+'Bag Staging Volumetric'!AD84+'FWD FSM'!AD84+'FWD Manual Pre Primary'!AD84+'FWD Manual Primary'!AD84+'FWD Primary with Scan'!AD84+'FWD Secondary'!AD84+'FWD Volumetric'!AD84+'IB'!AD84+'IB Volumetric'!AD84+'OB'!AD84+'OB Volumetric'!AD84+'OSC Bag Sorting'!AD84+'OSC Bag Sorting Volumetric'!AD84+'REV FSM'!AD84+'Rejection Primary with Scan'!AD84+'Rejection Secondary'!AD84+'Rev DC DC Primary Sorting'!AD84+'Rev Primary (FSM Rejections)'!AD84+'Rev Secondary Sorting'!AD84+'VIA Bag Sorting'!AD84</f>
        <v/>
      </c>
      <c r="AE84" s="7">
        <f>'BBB'!AE84+'Bag Staging'!AE84+'Bag Staging Volumetric'!AE84+'FWD FSM'!AE84+'FWD Manual Pre Primary'!AE84+'FWD Manual Primary'!AE84+'FWD Primary with Scan'!AE84+'FWD Secondary'!AE84+'FWD Volumetric'!AE84+'IB'!AE84+'IB Volumetric'!AE84+'OB'!AE84+'OB Volumetric'!AE84+'OSC Bag Sorting'!AE84+'OSC Bag Sorting Volumetric'!AE84+'REV FSM'!AE84+'Rejection Primary with Scan'!AE84+'Rejection Secondary'!AE84+'Rev DC DC Primary Sorting'!AE84+'Rev Primary (FSM Rejections)'!AE84+'Rev Secondary Sorting'!AE84+'VIA Bag Sorting'!AE84</f>
        <v/>
      </c>
      <c r="AF84" s="7">
        <f>'BBB'!AF84+'Bag Staging'!AF84+'Bag Staging Volumetric'!AF84+'FWD FSM'!AF84+'FWD Manual Pre Primary'!AF84+'FWD Manual Primary'!AF84+'FWD Primary with Scan'!AF84+'FWD Secondary'!AF84+'FWD Volumetric'!AF84+'IB'!AF84+'IB Volumetric'!AF84+'OB'!AF84+'OB Volumetric'!AF84+'OSC Bag Sorting'!AF84+'OSC Bag Sorting Volumetric'!AF84+'REV FSM'!AF84+'Rejection Primary with Scan'!AF84+'Rejection Secondary'!AF84+'Rev DC DC Primary Sorting'!AF84+'Rev Primary (FSM Rejections)'!AF84+'Rev Secondary Sorting'!AF84+'VIA Bag Sorting'!AF84</f>
        <v/>
      </c>
      <c r="AG84" s="7">
        <f>'BBB'!AG84+'Bag Staging'!AG84+'Bag Staging Volumetric'!AG84+'FWD FSM'!AG84+'FWD Manual Pre Primary'!AG84+'FWD Manual Primary'!AG84+'FWD Primary with Scan'!AG84+'FWD Secondary'!AG84+'FWD Volumetric'!AG84+'IB'!AG84+'IB Volumetric'!AG84+'OB'!AG84+'OB Volumetric'!AG84+'OSC Bag Sorting'!AG84+'OSC Bag Sorting Volumetric'!AG84+'REV FSM'!AG84+'Rejection Primary with Scan'!AG84+'Rejection Secondary'!AG84+'Rev DC DC Primary Sorting'!AG84+'Rev Primary (FSM Rejections)'!AG84+'Rev Secondary Sorting'!AG84+'VIA Bag Sorting'!AG84</f>
        <v/>
      </c>
      <c r="AH84" s="7">
        <f>'BBB'!AH84+'Bag Staging'!AH84+'Bag Staging Volumetric'!AH84+'FWD FSM'!AH84+'FWD Manual Pre Primary'!AH84+'FWD Manual Primary'!AH84+'FWD Primary with Scan'!AH84+'FWD Secondary'!AH84+'FWD Volumetric'!AH84+'IB'!AH84+'IB Volumetric'!AH84+'OB'!AH84+'OB Volumetric'!AH84+'OSC Bag Sorting'!AH84+'OSC Bag Sorting Volumetric'!AH84+'REV FSM'!AH84+'Rejection Primary with Scan'!AH84+'Rejection Secondary'!AH84+'Rev DC DC Primary Sorting'!AH84+'Rev Primary (FSM Rejections)'!AH84+'Rev Secondary Sorting'!AH84+'VIA Bag Sorting'!AH84</f>
        <v/>
      </c>
      <c r="AI84" s="7">
        <f>'BBB'!AI84+'Bag Staging'!AI84+'Bag Staging Volumetric'!AI84+'FWD FSM'!AI84+'FWD Manual Pre Primary'!AI84+'FWD Manual Primary'!AI84+'FWD Primary with Scan'!AI84+'FWD Secondary'!AI84+'FWD Volumetric'!AI84+'IB'!AI84+'IB Volumetric'!AI84+'OB'!AI84+'OB Volumetric'!AI84+'OSC Bag Sorting'!AI84+'OSC Bag Sorting Volumetric'!AI84+'REV FSM'!AI84+'Rejection Primary with Scan'!AI84+'Rejection Secondary'!AI84+'Rev DC DC Primary Sorting'!AI84+'Rev Primary (FSM Rejections)'!AI84+'Rev Secondary Sorting'!AI84+'VIA Bag Sorting'!AI84</f>
        <v/>
      </c>
      <c r="AJ84" s="7">
        <f>'BBB'!AJ84+'Bag Staging'!AJ84+'Bag Staging Volumetric'!AJ84+'FWD FSM'!AJ84+'FWD Manual Pre Primary'!AJ84+'FWD Manual Primary'!AJ84+'FWD Primary with Scan'!AJ84+'FWD Secondary'!AJ84+'FWD Volumetric'!AJ84+'IB'!AJ84+'IB Volumetric'!AJ84+'OB'!AJ84+'OB Volumetric'!AJ84+'OSC Bag Sorting'!AJ84+'OSC Bag Sorting Volumetric'!AJ84+'REV FSM'!AJ84+'Rejection Primary with Scan'!AJ84+'Rejection Secondary'!AJ84+'Rev DC DC Primary Sorting'!AJ84+'Rev Primary (FSM Rejections)'!AJ84+'Rev Secondary Sorting'!AJ84+'VIA Bag Sorting'!AJ84</f>
        <v/>
      </c>
      <c r="AK84" s="7">
        <f>'BBB'!AK84+'Bag Staging'!AK84+'Bag Staging Volumetric'!AK84+'FWD FSM'!AK84+'FWD Manual Pre Primary'!AK84+'FWD Manual Primary'!AK84+'FWD Primary with Scan'!AK84+'FWD Secondary'!AK84+'FWD Volumetric'!AK84+'IB'!AK84+'IB Volumetric'!AK84+'OB'!AK84+'OB Volumetric'!AK84+'OSC Bag Sorting'!AK84+'OSC Bag Sorting Volumetric'!AK84+'REV FSM'!AK84+'Rejection Primary with Scan'!AK84+'Rejection Secondary'!AK84+'Rev DC DC Primary Sorting'!AK84+'Rev Primary (FSM Rejections)'!AK84+'Rev Secondary Sorting'!AK84+'VIA Bag Sorting'!AK84</f>
        <v/>
      </c>
      <c r="AL84" s="7">
        <f>'BBB'!AL84+'Bag Staging'!AL84+'Bag Staging Volumetric'!AL84+'FWD FSM'!AL84+'FWD Manual Pre Primary'!AL84+'FWD Manual Primary'!AL84+'FWD Primary with Scan'!AL84+'FWD Secondary'!AL84+'FWD Volumetric'!AL84+'IB'!AL84+'IB Volumetric'!AL84+'OB'!AL84+'OB Volumetric'!AL84+'OSC Bag Sorting'!AL84+'OSC Bag Sorting Volumetric'!AL84+'REV FSM'!AL84+'Rejection Primary with Scan'!AL84+'Rejection Secondary'!AL84+'Rev DC DC Primary Sorting'!AL84+'Rev Primary (FSM Rejections)'!AL84+'Rev Secondary Sorting'!AL84+'VIA Bag Sorting'!AL84</f>
        <v/>
      </c>
      <c r="AM84" s="7">
        <f>'BBB'!AM84+'Bag Staging'!AM84+'Bag Staging Volumetric'!AM84+'FWD FSM'!AM84+'FWD Manual Pre Primary'!AM84+'FWD Manual Primary'!AM84+'FWD Primary with Scan'!AM84+'FWD Secondary'!AM84+'FWD Volumetric'!AM84+'IB'!AM84+'IB Volumetric'!AM84+'OB'!AM84+'OB Volumetric'!AM84+'OSC Bag Sorting'!AM84+'OSC Bag Sorting Volumetric'!AM84+'REV FSM'!AM84+'Rejection Primary with Scan'!AM84+'Rejection Secondary'!AM84+'Rev DC DC Primary Sorting'!AM84+'Rev Primary (FSM Rejections)'!AM84+'Rev Secondary Sorting'!AM84+'VIA Bag Sorting'!AM84</f>
        <v/>
      </c>
      <c r="AN84" s="7">
        <f>'BBB'!AN84+'Bag Staging'!AN84+'Bag Staging Volumetric'!AN84+'FWD FSM'!AN84+'FWD Manual Pre Primary'!AN84+'FWD Manual Primary'!AN84+'FWD Primary with Scan'!AN84+'FWD Secondary'!AN84+'FWD Volumetric'!AN84+'IB'!AN84+'IB Volumetric'!AN84+'OB'!AN84+'OB Volumetric'!AN84+'OSC Bag Sorting'!AN84+'OSC Bag Sorting Volumetric'!AN84+'REV FSM'!AN84+'Rejection Primary with Scan'!AN84+'Rejection Secondary'!AN84+'Rev DC DC Primary Sorting'!AN84+'Rev Primary (FSM Rejections)'!AN84+'Rev Secondary Sorting'!AN84+'VIA Bag Sorting'!AN84</f>
        <v/>
      </c>
      <c r="AO84" s="7">
        <f>'BBB'!AO84+'Bag Staging'!AO84+'Bag Staging Volumetric'!AO84+'FWD FSM'!AO84+'FWD Manual Pre Primary'!AO84+'FWD Manual Primary'!AO84+'FWD Primary with Scan'!AO84+'FWD Secondary'!AO84+'FWD Volumetric'!AO84+'IB'!AO84+'IB Volumetric'!AO84+'OB'!AO84+'OB Volumetric'!AO84+'OSC Bag Sorting'!AO84+'OSC Bag Sorting Volumetric'!AO84+'REV FSM'!AO84+'Rejection Primary with Scan'!AO84+'Rejection Secondary'!AO84+'Rev DC DC Primary Sorting'!AO84+'Rev Primary (FSM Rejections)'!AO84+'Rev Secondary Sorting'!AO84+'VIA Bag Sorting'!AO84</f>
        <v/>
      </c>
      <c r="AP84" s="7">
        <f>'BBB'!AP84+'Bag Staging'!AP84+'Bag Staging Volumetric'!AP84+'FWD FSM'!AP84+'FWD Manual Pre Primary'!AP84+'FWD Manual Primary'!AP84+'FWD Primary with Scan'!AP84+'FWD Secondary'!AP84+'FWD Volumetric'!AP84+'IB'!AP84+'IB Volumetric'!AP84+'OB'!AP84+'OB Volumetric'!AP84+'OSC Bag Sorting'!AP84+'OSC Bag Sorting Volumetric'!AP84+'REV FSM'!AP84+'Rejection Primary with Scan'!AP84+'Rejection Secondary'!AP84+'Rev DC DC Primary Sorting'!AP84+'Rev Primary (FSM Rejections)'!AP84+'Rev Secondary Sorting'!AP84+'VIA Bag Sorting'!AP84</f>
        <v/>
      </c>
      <c r="AQ84" s="7">
        <f>'BBB'!AQ84+'Bag Staging'!AQ84+'Bag Staging Volumetric'!AQ84+'FWD FSM'!AQ84+'FWD Manual Pre Primary'!AQ84+'FWD Manual Primary'!AQ84+'FWD Primary with Scan'!AQ84+'FWD Secondary'!AQ84+'FWD Volumetric'!AQ84+'IB'!AQ84+'IB Volumetric'!AQ84+'OB'!AQ84+'OB Volumetric'!AQ84+'OSC Bag Sorting'!AQ84+'OSC Bag Sorting Volumetric'!AQ84+'REV FSM'!AQ84+'Rejection Primary with Scan'!AQ84+'Rejection Secondary'!AQ84+'Rev DC DC Primary Sorting'!AQ84+'Rev Primary (FSM Rejections)'!AQ84+'Rev Secondary Sorting'!AQ84+'VIA Bag Sorting'!AQ84</f>
        <v/>
      </c>
      <c r="AR84" s="7">
        <f>'BBB'!AR84+'Bag Staging'!AR84+'Bag Staging Volumetric'!AR84+'FWD FSM'!AR84+'FWD Manual Pre Primary'!AR84+'FWD Manual Primary'!AR84+'FWD Primary with Scan'!AR84+'FWD Secondary'!AR84+'FWD Volumetric'!AR84+'IB'!AR84+'IB Volumetric'!AR84+'OB'!AR84+'OB Volumetric'!AR84+'OSC Bag Sorting'!AR84+'OSC Bag Sorting Volumetric'!AR84+'REV FSM'!AR84+'Rejection Primary with Scan'!AR84+'Rejection Secondary'!AR84+'Rev DC DC Primary Sorting'!AR84+'Rev Primary (FSM Rejections)'!AR84+'Rev Secondary Sorting'!AR84+'VIA Bag Sorting'!AR84</f>
        <v/>
      </c>
      <c r="AS84" s="7">
        <f>'BBB'!AS84+'Bag Staging'!AS84+'Bag Staging Volumetric'!AS84+'FWD FSM'!AS84+'FWD Manual Pre Primary'!AS84+'FWD Manual Primary'!AS84+'FWD Primary with Scan'!AS84+'FWD Secondary'!AS84+'FWD Volumetric'!AS84+'IB'!AS84+'IB Volumetric'!AS84+'OB'!AS84+'OB Volumetric'!AS84+'OSC Bag Sorting'!AS84+'OSC Bag Sorting Volumetric'!AS84+'REV FSM'!AS84+'Rejection Primary with Scan'!AS84+'Rejection Secondary'!AS84+'Rev DC DC Primary Sorting'!AS84+'Rev Primary (FSM Rejections)'!AS84+'Rev Secondary Sorting'!AS84+'VIA Bag Sorting'!AS84</f>
        <v/>
      </c>
      <c r="AT84" s="7">
        <f>'BBB'!AT84+'Bag Staging'!AT84+'Bag Staging Volumetric'!AT84+'FWD FSM'!AT84+'FWD Manual Pre Primary'!AT84+'FWD Manual Primary'!AT84+'FWD Primary with Scan'!AT84+'FWD Secondary'!AT84+'FWD Volumetric'!AT84+'IB'!AT84+'IB Volumetric'!AT84+'OB'!AT84+'OB Volumetric'!AT84+'OSC Bag Sorting'!AT84+'OSC Bag Sorting Volumetric'!AT84+'REV FSM'!AT84+'Rejection Primary with Scan'!AT84+'Rejection Secondary'!AT84+'Rev DC DC Primary Sorting'!AT84+'Rev Primary (FSM Rejections)'!AT84+'Rev Secondary Sorting'!AT84+'VIA Bag Sorting'!AT84</f>
        <v/>
      </c>
      <c r="AU84" s="7">
        <f>'BBB'!AU84+'Bag Staging'!AU84+'Bag Staging Volumetric'!AU84+'FWD FSM'!AU84+'FWD Manual Pre Primary'!AU84+'FWD Manual Primary'!AU84+'FWD Primary with Scan'!AU84+'FWD Secondary'!AU84+'FWD Volumetric'!AU84+'IB'!AU84+'IB Volumetric'!AU84+'OB'!AU84+'OB Volumetric'!AU84+'OSC Bag Sorting'!AU84+'OSC Bag Sorting Volumetric'!AU84+'REV FSM'!AU84+'Rejection Primary with Scan'!AU84+'Rejection Secondary'!AU84+'Rev DC DC Primary Sorting'!AU84+'Rev Primary (FSM Rejections)'!AU84+'Rev Secondary Sorting'!AU84+'VIA Bag Sorting'!AU84</f>
        <v/>
      </c>
      <c r="AV84" s="7">
        <f>'BBB'!AV84+'Bag Staging'!AV84+'Bag Staging Volumetric'!AV84+'FWD FSM'!AV84+'FWD Manual Pre Primary'!AV84+'FWD Manual Primary'!AV84+'FWD Primary with Scan'!AV84+'FWD Secondary'!AV84+'FWD Volumetric'!AV84+'IB'!AV84+'IB Volumetric'!AV84+'OB'!AV84+'OB Volumetric'!AV84+'OSC Bag Sorting'!AV84+'OSC Bag Sorting Volumetric'!AV84+'REV FSM'!AV84+'Rejection Primary with Scan'!AV84+'Rejection Secondary'!AV84+'Rev DC DC Primary Sorting'!AV84+'Rev Primary (FSM Rejections)'!AV84+'Rev Secondary Sorting'!AV84+'VIA Bag Sorting'!AV84</f>
        <v/>
      </c>
      <c r="AW84" s="7">
        <f>'BBB'!AW84+'Bag Staging'!AW84+'Bag Staging Volumetric'!AW84+'FWD FSM'!AW84+'FWD Manual Pre Primary'!AW84+'FWD Manual Primary'!AW84+'FWD Primary with Scan'!AW84+'FWD Secondary'!AW84+'FWD Volumetric'!AW84+'IB'!AW84+'IB Volumetric'!AW84+'OB'!AW84+'OB Volumetric'!AW84+'OSC Bag Sorting'!AW84+'OSC Bag Sorting Volumetric'!AW84+'REV FSM'!AW84+'Rejection Primary with Scan'!AW84+'Rejection Secondary'!AW84+'Rev DC DC Primary Sorting'!AW84+'Rev Primary (FSM Rejections)'!AW84+'Rev Secondary Sorting'!AW84+'VIA Bag Sorting'!AW84</f>
        <v/>
      </c>
      <c r="AX84" s="7">
        <f>'BBB'!AX84+'Bag Staging'!AX84+'Bag Staging Volumetric'!AX84+'FWD FSM'!AX84+'FWD Manual Pre Primary'!AX84+'FWD Manual Primary'!AX84+'FWD Primary with Scan'!AX84+'FWD Secondary'!AX84+'FWD Volumetric'!AX84+'IB'!AX84+'IB Volumetric'!AX84+'OB'!AX84+'OB Volumetric'!AX84+'OSC Bag Sorting'!AX84+'OSC Bag Sorting Volumetric'!AX84+'REV FSM'!AX84+'Rejection Primary with Scan'!AX84+'Rejection Secondary'!AX84+'Rev DC DC Primary Sorting'!AX84+'Rev Primary (FSM Rejections)'!AX84+'Rev Secondary Sorting'!AX84+'VIA Bag Sorting'!AX84</f>
        <v/>
      </c>
      <c r="AY84" s="7">
        <f>'BBB'!AY84+'Bag Staging'!AY84+'Bag Staging Volumetric'!AY84+'FWD FSM'!AY84+'FWD Manual Pre Primary'!AY84+'FWD Manual Primary'!AY84+'FWD Primary with Scan'!AY84+'FWD Secondary'!AY84+'FWD Volumetric'!AY84+'IB'!AY84+'IB Volumetric'!AY84+'OB'!AY84+'OB Volumetric'!AY84+'OSC Bag Sorting'!AY84+'OSC Bag Sorting Volumetric'!AY84+'REV FSM'!AY84+'Rejection Primary with Scan'!AY84+'Rejection Secondary'!AY84+'Rev DC DC Primary Sorting'!AY84+'Rev Primary (FSM Rejections)'!AY84+'Rev Secondary Sorting'!AY84+'VIA Bag Sorting'!AY84</f>
        <v/>
      </c>
      <c r="AZ84" s="7">
        <f>'BBB'!AZ84+'Bag Staging'!AZ84+'Bag Staging Volumetric'!AZ84+'FWD FSM'!AZ84+'FWD Manual Pre Primary'!AZ84+'FWD Manual Primary'!AZ84+'FWD Primary with Scan'!AZ84+'FWD Secondary'!AZ84+'FWD Volumetric'!AZ84+'IB'!AZ84+'IB Volumetric'!AZ84+'OB'!AZ84+'OB Volumetric'!AZ84+'OSC Bag Sorting'!AZ84+'OSC Bag Sorting Volumetric'!AZ84+'REV FSM'!AZ84+'Rejection Primary with Scan'!AZ84+'Rejection Secondary'!AZ84+'Rev DC DC Primary Sorting'!AZ84+'Rev Primary (FSM Rejections)'!AZ84+'Rev Secondary Sorting'!AZ84+'VIA Bag Sorting'!AZ84</f>
        <v/>
      </c>
      <c r="BA84" s="7">
        <f>'BBB'!BA84+'Bag Staging'!BA84+'Bag Staging Volumetric'!BA84+'FWD FSM'!BA84+'FWD Manual Pre Primary'!BA84+'FWD Manual Primary'!BA84+'FWD Primary with Scan'!BA84+'FWD Secondary'!BA84+'FWD Volumetric'!BA84+'IB'!BA84+'IB Volumetric'!BA84+'OB'!BA84+'OB Volumetric'!BA84+'OSC Bag Sorting'!BA84+'OSC Bag Sorting Volumetric'!BA84+'REV FSM'!BA84+'Rejection Primary with Scan'!BA84+'Rejection Secondary'!BA84+'Rev DC DC Primary Sorting'!BA84+'Rev Primary (FSM Rejections)'!BA84+'Rev Secondary Sorting'!BA84+'VIA Bag Sorting'!BA84</f>
        <v/>
      </c>
      <c r="BB84" s="7">
        <f>SUM(AD84:BA84)</f>
        <v/>
      </c>
    </row>
    <row r="85">
      <c r="A85" t="inlineStr">
        <is>
          <t>AMD-MU-01</t>
        </is>
      </c>
      <c r="B85" t="inlineStr">
        <is>
          <t>Forward Regular OSC</t>
        </is>
      </c>
      <c r="C85" s="5" t="n">
        <v>46091</v>
      </c>
      <c r="D85" s="6" t="n">
        <v>1</v>
      </c>
      <c r="E85" s="6" t="n">
        <v>0</v>
      </c>
      <c r="F85" s="6" t="n">
        <v>0</v>
      </c>
      <c r="G85" s="6" t="n">
        <v>0</v>
      </c>
      <c r="H85" s="6" t="n">
        <v>0</v>
      </c>
      <c r="I85" s="6" t="n">
        <v>0</v>
      </c>
      <c r="J85" s="6" t="n">
        <v>0</v>
      </c>
      <c r="K85" s="6" t="n">
        <v>0</v>
      </c>
      <c r="L85" s="6" t="n">
        <v>0</v>
      </c>
      <c r="M85" s="6" t="n">
        <v>0</v>
      </c>
      <c r="N85" s="6" t="n">
        <v>0</v>
      </c>
      <c r="O85" s="6" t="n">
        <v>0</v>
      </c>
      <c r="P85" s="6" t="n">
        <v>0</v>
      </c>
      <c r="Q85" s="6" t="n">
        <v>0</v>
      </c>
      <c r="R85" s="6" t="n">
        <v>0</v>
      </c>
      <c r="S85" s="6" t="n">
        <v>0</v>
      </c>
      <c r="T85" s="6" t="n">
        <v>0</v>
      </c>
      <c r="U85" s="6" t="n">
        <v>0</v>
      </c>
      <c r="V85" s="6" t="n">
        <v>0</v>
      </c>
      <c r="W85" s="6" t="n">
        <v>0</v>
      </c>
      <c r="X85" s="6" t="n">
        <v>0</v>
      </c>
      <c r="Y85" s="6" t="n">
        <v>0</v>
      </c>
      <c r="Z85" s="6" t="n">
        <v>0</v>
      </c>
      <c r="AA85" s="6" t="n">
        <v>0</v>
      </c>
      <c r="AB85" s="6">
        <f>SUM(D85:AA85)</f>
        <v/>
      </c>
      <c r="AC85" s="3" t="inlineStr"/>
      <c r="AD85" s="7">
        <f>'BBB'!AD85+'Bag Staging'!AD85+'Bag Staging Volumetric'!AD85+'FWD FSM'!AD85+'FWD Manual Pre Primary'!AD85+'FWD Manual Primary'!AD85+'FWD Primary with Scan'!AD85+'FWD Secondary'!AD85+'FWD Volumetric'!AD85+'IB'!AD85+'IB Volumetric'!AD85+'OB'!AD85+'OB Volumetric'!AD85+'OSC Bag Sorting'!AD85+'OSC Bag Sorting Volumetric'!AD85+'REV FSM'!AD85+'Rejection Primary with Scan'!AD85+'Rejection Secondary'!AD85+'Rev DC DC Primary Sorting'!AD85+'Rev Primary (FSM Rejections)'!AD85+'Rev Secondary Sorting'!AD85+'VIA Bag Sorting'!AD85</f>
        <v/>
      </c>
      <c r="AE85" s="7">
        <f>'BBB'!AE85+'Bag Staging'!AE85+'Bag Staging Volumetric'!AE85+'FWD FSM'!AE85+'FWD Manual Pre Primary'!AE85+'FWD Manual Primary'!AE85+'FWD Primary with Scan'!AE85+'FWD Secondary'!AE85+'FWD Volumetric'!AE85+'IB'!AE85+'IB Volumetric'!AE85+'OB'!AE85+'OB Volumetric'!AE85+'OSC Bag Sorting'!AE85+'OSC Bag Sorting Volumetric'!AE85+'REV FSM'!AE85+'Rejection Primary with Scan'!AE85+'Rejection Secondary'!AE85+'Rev DC DC Primary Sorting'!AE85+'Rev Primary (FSM Rejections)'!AE85+'Rev Secondary Sorting'!AE85+'VIA Bag Sorting'!AE85</f>
        <v/>
      </c>
      <c r="AF85" s="7">
        <f>'BBB'!AF85+'Bag Staging'!AF85+'Bag Staging Volumetric'!AF85+'FWD FSM'!AF85+'FWD Manual Pre Primary'!AF85+'FWD Manual Primary'!AF85+'FWD Primary with Scan'!AF85+'FWD Secondary'!AF85+'FWD Volumetric'!AF85+'IB'!AF85+'IB Volumetric'!AF85+'OB'!AF85+'OB Volumetric'!AF85+'OSC Bag Sorting'!AF85+'OSC Bag Sorting Volumetric'!AF85+'REV FSM'!AF85+'Rejection Primary with Scan'!AF85+'Rejection Secondary'!AF85+'Rev DC DC Primary Sorting'!AF85+'Rev Primary (FSM Rejections)'!AF85+'Rev Secondary Sorting'!AF85+'VIA Bag Sorting'!AF85</f>
        <v/>
      </c>
      <c r="AG85" s="7">
        <f>'BBB'!AG85+'Bag Staging'!AG85+'Bag Staging Volumetric'!AG85+'FWD FSM'!AG85+'FWD Manual Pre Primary'!AG85+'FWD Manual Primary'!AG85+'FWD Primary with Scan'!AG85+'FWD Secondary'!AG85+'FWD Volumetric'!AG85+'IB'!AG85+'IB Volumetric'!AG85+'OB'!AG85+'OB Volumetric'!AG85+'OSC Bag Sorting'!AG85+'OSC Bag Sorting Volumetric'!AG85+'REV FSM'!AG85+'Rejection Primary with Scan'!AG85+'Rejection Secondary'!AG85+'Rev DC DC Primary Sorting'!AG85+'Rev Primary (FSM Rejections)'!AG85+'Rev Secondary Sorting'!AG85+'VIA Bag Sorting'!AG85</f>
        <v/>
      </c>
      <c r="AH85" s="7">
        <f>'BBB'!AH85+'Bag Staging'!AH85+'Bag Staging Volumetric'!AH85+'FWD FSM'!AH85+'FWD Manual Pre Primary'!AH85+'FWD Manual Primary'!AH85+'FWD Primary with Scan'!AH85+'FWD Secondary'!AH85+'FWD Volumetric'!AH85+'IB'!AH85+'IB Volumetric'!AH85+'OB'!AH85+'OB Volumetric'!AH85+'OSC Bag Sorting'!AH85+'OSC Bag Sorting Volumetric'!AH85+'REV FSM'!AH85+'Rejection Primary with Scan'!AH85+'Rejection Secondary'!AH85+'Rev DC DC Primary Sorting'!AH85+'Rev Primary (FSM Rejections)'!AH85+'Rev Secondary Sorting'!AH85+'VIA Bag Sorting'!AH85</f>
        <v/>
      </c>
      <c r="AI85" s="7">
        <f>'BBB'!AI85+'Bag Staging'!AI85+'Bag Staging Volumetric'!AI85+'FWD FSM'!AI85+'FWD Manual Pre Primary'!AI85+'FWD Manual Primary'!AI85+'FWD Primary with Scan'!AI85+'FWD Secondary'!AI85+'FWD Volumetric'!AI85+'IB'!AI85+'IB Volumetric'!AI85+'OB'!AI85+'OB Volumetric'!AI85+'OSC Bag Sorting'!AI85+'OSC Bag Sorting Volumetric'!AI85+'REV FSM'!AI85+'Rejection Primary with Scan'!AI85+'Rejection Secondary'!AI85+'Rev DC DC Primary Sorting'!AI85+'Rev Primary (FSM Rejections)'!AI85+'Rev Secondary Sorting'!AI85+'VIA Bag Sorting'!AI85</f>
        <v/>
      </c>
      <c r="AJ85" s="7">
        <f>'BBB'!AJ85+'Bag Staging'!AJ85+'Bag Staging Volumetric'!AJ85+'FWD FSM'!AJ85+'FWD Manual Pre Primary'!AJ85+'FWD Manual Primary'!AJ85+'FWD Primary with Scan'!AJ85+'FWD Secondary'!AJ85+'FWD Volumetric'!AJ85+'IB'!AJ85+'IB Volumetric'!AJ85+'OB'!AJ85+'OB Volumetric'!AJ85+'OSC Bag Sorting'!AJ85+'OSC Bag Sorting Volumetric'!AJ85+'REV FSM'!AJ85+'Rejection Primary with Scan'!AJ85+'Rejection Secondary'!AJ85+'Rev DC DC Primary Sorting'!AJ85+'Rev Primary (FSM Rejections)'!AJ85+'Rev Secondary Sorting'!AJ85+'VIA Bag Sorting'!AJ85</f>
        <v/>
      </c>
      <c r="AK85" s="7">
        <f>'BBB'!AK85+'Bag Staging'!AK85+'Bag Staging Volumetric'!AK85+'FWD FSM'!AK85+'FWD Manual Pre Primary'!AK85+'FWD Manual Primary'!AK85+'FWD Primary with Scan'!AK85+'FWD Secondary'!AK85+'FWD Volumetric'!AK85+'IB'!AK85+'IB Volumetric'!AK85+'OB'!AK85+'OB Volumetric'!AK85+'OSC Bag Sorting'!AK85+'OSC Bag Sorting Volumetric'!AK85+'REV FSM'!AK85+'Rejection Primary with Scan'!AK85+'Rejection Secondary'!AK85+'Rev DC DC Primary Sorting'!AK85+'Rev Primary (FSM Rejections)'!AK85+'Rev Secondary Sorting'!AK85+'VIA Bag Sorting'!AK85</f>
        <v/>
      </c>
      <c r="AL85" s="7">
        <f>'BBB'!AL85+'Bag Staging'!AL85+'Bag Staging Volumetric'!AL85+'FWD FSM'!AL85+'FWD Manual Pre Primary'!AL85+'FWD Manual Primary'!AL85+'FWD Primary with Scan'!AL85+'FWD Secondary'!AL85+'FWD Volumetric'!AL85+'IB'!AL85+'IB Volumetric'!AL85+'OB'!AL85+'OB Volumetric'!AL85+'OSC Bag Sorting'!AL85+'OSC Bag Sorting Volumetric'!AL85+'REV FSM'!AL85+'Rejection Primary with Scan'!AL85+'Rejection Secondary'!AL85+'Rev DC DC Primary Sorting'!AL85+'Rev Primary (FSM Rejections)'!AL85+'Rev Secondary Sorting'!AL85+'VIA Bag Sorting'!AL85</f>
        <v/>
      </c>
      <c r="AM85" s="7">
        <f>'BBB'!AM85+'Bag Staging'!AM85+'Bag Staging Volumetric'!AM85+'FWD FSM'!AM85+'FWD Manual Pre Primary'!AM85+'FWD Manual Primary'!AM85+'FWD Primary with Scan'!AM85+'FWD Secondary'!AM85+'FWD Volumetric'!AM85+'IB'!AM85+'IB Volumetric'!AM85+'OB'!AM85+'OB Volumetric'!AM85+'OSC Bag Sorting'!AM85+'OSC Bag Sorting Volumetric'!AM85+'REV FSM'!AM85+'Rejection Primary with Scan'!AM85+'Rejection Secondary'!AM85+'Rev DC DC Primary Sorting'!AM85+'Rev Primary (FSM Rejections)'!AM85+'Rev Secondary Sorting'!AM85+'VIA Bag Sorting'!AM85</f>
        <v/>
      </c>
      <c r="AN85" s="7">
        <f>'BBB'!AN85+'Bag Staging'!AN85+'Bag Staging Volumetric'!AN85+'FWD FSM'!AN85+'FWD Manual Pre Primary'!AN85+'FWD Manual Primary'!AN85+'FWD Primary with Scan'!AN85+'FWD Secondary'!AN85+'FWD Volumetric'!AN85+'IB'!AN85+'IB Volumetric'!AN85+'OB'!AN85+'OB Volumetric'!AN85+'OSC Bag Sorting'!AN85+'OSC Bag Sorting Volumetric'!AN85+'REV FSM'!AN85+'Rejection Primary with Scan'!AN85+'Rejection Secondary'!AN85+'Rev DC DC Primary Sorting'!AN85+'Rev Primary (FSM Rejections)'!AN85+'Rev Secondary Sorting'!AN85+'VIA Bag Sorting'!AN85</f>
        <v/>
      </c>
      <c r="AO85" s="7">
        <f>'BBB'!AO85+'Bag Staging'!AO85+'Bag Staging Volumetric'!AO85+'FWD FSM'!AO85+'FWD Manual Pre Primary'!AO85+'FWD Manual Primary'!AO85+'FWD Primary with Scan'!AO85+'FWD Secondary'!AO85+'FWD Volumetric'!AO85+'IB'!AO85+'IB Volumetric'!AO85+'OB'!AO85+'OB Volumetric'!AO85+'OSC Bag Sorting'!AO85+'OSC Bag Sorting Volumetric'!AO85+'REV FSM'!AO85+'Rejection Primary with Scan'!AO85+'Rejection Secondary'!AO85+'Rev DC DC Primary Sorting'!AO85+'Rev Primary (FSM Rejections)'!AO85+'Rev Secondary Sorting'!AO85+'VIA Bag Sorting'!AO85</f>
        <v/>
      </c>
      <c r="AP85" s="7">
        <f>'BBB'!AP85+'Bag Staging'!AP85+'Bag Staging Volumetric'!AP85+'FWD FSM'!AP85+'FWD Manual Pre Primary'!AP85+'FWD Manual Primary'!AP85+'FWD Primary with Scan'!AP85+'FWD Secondary'!AP85+'FWD Volumetric'!AP85+'IB'!AP85+'IB Volumetric'!AP85+'OB'!AP85+'OB Volumetric'!AP85+'OSC Bag Sorting'!AP85+'OSC Bag Sorting Volumetric'!AP85+'REV FSM'!AP85+'Rejection Primary with Scan'!AP85+'Rejection Secondary'!AP85+'Rev DC DC Primary Sorting'!AP85+'Rev Primary (FSM Rejections)'!AP85+'Rev Secondary Sorting'!AP85+'VIA Bag Sorting'!AP85</f>
        <v/>
      </c>
      <c r="AQ85" s="7">
        <f>'BBB'!AQ85+'Bag Staging'!AQ85+'Bag Staging Volumetric'!AQ85+'FWD FSM'!AQ85+'FWD Manual Pre Primary'!AQ85+'FWD Manual Primary'!AQ85+'FWD Primary with Scan'!AQ85+'FWD Secondary'!AQ85+'FWD Volumetric'!AQ85+'IB'!AQ85+'IB Volumetric'!AQ85+'OB'!AQ85+'OB Volumetric'!AQ85+'OSC Bag Sorting'!AQ85+'OSC Bag Sorting Volumetric'!AQ85+'REV FSM'!AQ85+'Rejection Primary with Scan'!AQ85+'Rejection Secondary'!AQ85+'Rev DC DC Primary Sorting'!AQ85+'Rev Primary (FSM Rejections)'!AQ85+'Rev Secondary Sorting'!AQ85+'VIA Bag Sorting'!AQ85</f>
        <v/>
      </c>
      <c r="AR85" s="7">
        <f>'BBB'!AR85+'Bag Staging'!AR85+'Bag Staging Volumetric'!AR85+'FWD FSM'!AR85+'FWD Manual Pre Primary'!AR85+'FWD Manual Primary'!AR85+'FWD Primary with Scan'!AR85+'FWD Secondary'!AR85+'FWD Volumetric'!AR85+'IB'!AR85+'IB Volumetric'!AR85+'OB'!AR85+'OB Volumetric'!AR85+'OSC Bag Sorting'!AR85+'OSC Bag Sorting Volumetric'!AR85+'REV FSM'!AR85+'Rejection Primary with Scan'!AR85+'Rejection Secondary'!AR85+'Rev DC DC Primary Sorting'!AR85+'Rev Primary (FSM Rejections)'!AR85+'Rev Secondary Sorting'!AR85+'VIA Bag Sorting'!AR85</f>
        <v/>
      </c>
      <c r="AS85" s="7">
        <f>'BBB'!AS85+'Bag Staging'!AS85+'Bag Staging Volumetric'!AS85+'FWD FSM'!AS85+'FWD Manual Pre Primary'!AS85+'FWD Manual Primary'!AS85+'FWD Primary with Scan'!AS85+'FWD Secondary'!AS85+'FWD Volumetric'!AS85+'IB'!AS85+'IB Volumetric'!AS85+'OB'!AS85+'OB Volumetric'!AS85+'OSC Bag Sorting'!AS85+'OSC Bag Sorting Volumetric'!AS85+'REV FSM'!AS85+'Rejection Primary with Scan'!AS85+'Rejection Secondary'!AS85+'Rev DC DC Primary Sorting'!AS85+'Rev Primary (FSM Rejections)'!AS85+'Rev Secondary Sorting'!AS85+'VIA Bag Sorting'!AS85</f>
        <v/>
      </c>
      <c r="AT85" s="7">
        <f>'BBB'!AT85+'Bag Staging'!AT85+'Bag Staging Volumetric'!AT85+'FWD FSM'!AT85+'FWD Manual Pre Primary'!AT85+'FWD Manual Primary'!AT85+'FWD Primary with Scan'!AT85+'FWD Secondary'!AT85+'FWD Volumetric'!AT85+'IB'!AT85+'IB Volumetric'!AT85+'OB'!AT85+'OB Volumetric'!AT85+'OSC Bag Sorting'!AT85+'OSC Bag Sorting Volumetric'!AT85+'REV FSM'!AT85+'Rejection Primary with Scan'!AT85+'Rejection Secondary'!AT85+'Rev DC DC Primary Sorting'!AT85+'Rev Primary (FSM Rejections)'!AT85+'Rev Secondary Sorting'!AT85+'VIA Bag Sorting'!AT85</f>
        <v/>
      </c>
      <c r="AU85" s="7">
        <f>'BBB'!AU85+'Bag Staging'!AU85+'Bag Staging Volumetric'!AU85+'FWD FSM'!AU85+'FWD Manual Pre Primary'!AU85+'FWD Manual Primary'!AU85+'FWD Primary with Scan'!AU85+'FWD Secondary'!AU85+'FWD Volumetric'!AU85+'IB'!AU85+'IB Volumetric'!AU85+'OB'!AU85+'OB Volumetric'!AU85+'OSC Bag Sorting'!AU85+'OSC Bag Sorting Volumetric'!AU85+'REV FSM'!AU85+'Rejection Primary with Scan'!AU85+'Rejection Secondary'!AU85+'Rev DC DC Primary Sorting'!AU85+'Rev Primary (FSM Rejections)'!AU85+'Rev Secondary Sorting'!AU85+'VIA Bag Sorting'!AU85</f>
        <v/>
      </c>
      <c r="AV85" s="7">
        <f>'BBB'!AV85+'Bag Staging'!AV85+'Bag Staging Volumetric'!AV85+'FWD FSM'!AV85+'FWD Manual Pre Primary'!AV85+'FWD Manual Primary'!AV85+'FWD Primary with Scan'!AV85+'FWD Secondary'!AV85+'FWD Volumetric'!AV85+'IB'!AV85+'IB Volumetric'!AV85+'OB'!AV85+'OB Volumetric'!AV85+'OSC Bag Sorting'!AV85+'OSC Bag Sorting Volumetric'!AV85+'REV FSM'!AV85+'Rejection Primary with Scan'!AV85+'Rejection Secondary'!AV85+'Rev DC DC Primary Sorting'!AV85+'Rev Primary (FSM Rejections)'!AV85+'Rev Secondary Sorting'!AV85+'VIA Bag Sorting'!AV85</f>
        <v/>
      </c>
      <c r="AW85" s="7">
        <f>'BBB'!AW85+'Bag Staging'!AW85+'Bag Staging Volumetric'!AW85+'FWD FSM'!AW85+'FWD Manual Pre Primary'!AW85+'FWD Manual Primary'!AW85+'FWD Primary with Scan'!AW85+'FWD Secondary'!AW85+'FWD Volumetric'!AW85+'IB'!AW85+'IB Volumetric'!AW85+'OB'!AW85+'OB Volumetric'!AW85+'OSC Bag Sorting'!AW85+'OSC Bag Sorting Volumetric'!AW85+'REV FSM'!AW85+'Rejection Primary with Scan'!AW85+'Rejection Secondary'!AW85+'Rev DC DC Primary Sorting'!AW85+'Rev Primary (FSM Rejections)'!AW85+'Rev Secondary Sorting'!AW85+'VIA Bag Sorting'!AW85</f>
        <v/>
      </c>
      <c r="AX85" s="7">
        <f>'BBB'!AX85+'Bag Staging'!AX85+'Bag Staging Volumetric'!AX85+'FWD FSM'!AX85+'FWD Manual Pre Primary'!AX85+'FWD Manual Primary'!AX85+'FWD Primary with Scan'!AX85+'FWD Secondary'!AX85+'FWD Volumetric'!AX85+'IB'!AX85+'IB Volumetric'!AX85+'OB'!AX85+'OB Volumetric'!AX85+'OSC Bag Sorting'!AX85+'OSC Bag Sorting Volumetric'!AX85+'REV FSM'!AX85+'Rejection Primary with Scan'!AX85+'Rejection Secondary'!AX85+'Rev DC DC Primary Sorting'!AX85+'Rev Primary (FSM Rejections)'!AX85+'Rev Secondary Sorting'!AX85+'VIA Bag Sorting'!AX85</f>
        <v/>
      </c>
      <c r="AY85" s="7">
        <f>'BBB'!AY85+'Bag Staging'!AY85+'Bag Staging Volumetric'!AY85+'FWD FSM'!AY85+'FWD Manual Pre Primary'!AY85+'FWD Manual Primary'!AY85+'FWD Primary with Scan'!AY85+'FWD Secondary'!AY85+'FWD Volumetric'!AY85+'IB'!AY85+'IB Volumetric'!AY85+'OB'!AY85+'OB Volumetric'!AY85+'OSC Bag Sorting'!AY85+'OSC Bag Sorting Volumetric'!AY85+'REV FSM'!AY85+'Rejection Primary with Scan'!AY85+'Rejection Secondary'!AY85+'Rev DC DC Primary Sorting'!AY85+'Rev Primary (FSM Rejections)'!AY85+'Rev Secondary Sorting'!AY85+'VIA Bag Sorting'!AY85</f>
        <v/>
      </c>
      <c r="AZ85" s="7">
        <f>'BBB'!AZ85+'Bag Staging'!AZ85+'Bag Staging Volumetric'!AZ85+'FWD FSM'!AZ85+'FWD Manual Pre Primary'!AZ85+'FWD Manual Primary'!AZ85+'FWD Primary with Scan'!AZ85+'FWD Secondary'!AZ85+'FWD Volumetric'!AZ85+'IB'!AZ85+'IB Volumetric'!AZ85+'OB'!AZ85+'OB Volumetric'!AZ85+'OSC Bag Sorting'!AZ85+'OSC Bag Sorting Volumetric'!AZ85+'REV FSM'!AZ85+'Rejection Primary with Scan'!AZ85+'Rejection Secondary'!AZ85+'Rev DC DC Primary Sorting'!AZ85+'Rev Primary (FSM Rejections)'!AZ85+'Rev Secondary Sorting'!AZ85+'VIA Bag Sorting'!AZ85</f>
        <v/>
      </c>
      <c r="BA85" s="7">
        <f>'BBB'!BA85+'Bag Staging'!BA85+'Bag Staging Volumetric'!BA85+'FWD FSM'!BA85+'FWD Manual Pre Primary'!BA85+'FWD Manual Primary'!BA85+'FWD Primary with Scan'!BA85+'FWD Secondary'!BA85+'FWD Volumetric'!BA85+'IB'!BA85+'IB Volumetric'!BA85+'OB'!BA85+'OB Volumetric'!BA85+'OSC Bag Sorting'!BA85+'OSC Bag Sorting Volumetric'!BA85+'REV FSM'!BA85+'Rejection Primary with Scan'!BA85+'Rejection Secondary'!BA85+'Rev DC DC Primary Sorting'!BA85+'Rev Primary (FSM Rejections)'!BA85+'Rev Secondary Sorting'!BA85+'VIA Bag Sorting'!BA85</f>
        <v/>
      </c>
      <c r="BB85" s="7">
        <f>SUM(AD85:BA85)</f>
        <v/>
      </c>
    </row>
    <row r="86">
      <c r="A86" t="inlineStr">
        <is>
          <t>AMD-RTS-RCLS-1302-SSC</t>
        </is>
      </c>
      <c r="B86" t="inlineStr">
        <is>
          <t>Rev OSC</t>
        </is>
      </c>
      <c r="C86" s="5" t="n">
        <v>46089</v>
      </c>
      <c r="D86" s="6" t="n">
        <v>0</v>
      </c>
      <c r="E86" s="6" t="n">
        <v>0</v>
      </c>
      <c r="F86" s="6" t="n">
        <v>630</v>
      </c>
      <c r="G86" s="6" t="n">
        <v>1385</v>
      </c>
      <c r="H86" s="6" t="n">
        <v>848</v>
      </c>
      <c r="I86" s="6" t="n">
        <v>1349</v>
      </c>
      <c r="J86" s="6" t="n">
        <v>1379</v>
      </c>
      <c r="K86" s="6" t="n">
        <v>0</v>
      </c>
      <c r="L86" s="6" t="n">
        <v>0</v>
      </c>
      <c r="M86" s="6" t="n">
        <v>0</v>
      </c>
      <c r="N86" s="6" t="n">
        <v>0</v>
      </c>
      <c r="O86" s="6" t="n">
        <v>0</v>
      </c>
      <c r="P86" s="6" t="n">
        <v>0</v>
      </c>
      <c r="Q86" s="6" t="n">
        <v>26</v>
      </c>
      <c r="R86" s="6" t="n">
        <v>190</v>
      </c>
      <c r="S86" s="6" t="n">
        <v>743</v>
      </c>
      <c r="T86" s="6" t="n">
        <v>550</v>
      </c>
      <c r="U86" s="6" t="n">
        <v>790</v>
      </c>
      <c r="V86" s="6" t="n">
        <v>947</v>
      </c>
      <c r="W86" s="6" t="n">
        <v>824</v>
      </c>
      <c r="X86" s="6" t="n">
        <v>555</v>
      </c>
      <c r="Y86" s="6" t="n">
        <v>48</v>
      </c>
      <c r="Z86" s="6" t="n">
        <v>0</v>
      </c>
      <c r="AA86" s="6" t="n">
        <v>0</v>
      </c>
      <c r="AB86" s="6">
        <f>SUM(D86:AA86)</f>
        <v/>
      </c>
      <c r="AC86" s="3" t="inlineStr"/>
      <c r="AD86" s="7">
        <f>'BBB'!AD86+'Bag Staging'!AD86+'Bag Staging Volumetric'!AD86+'FWD FSM'!AD86+'FWD Manual Pre Primary'!AD86+'FWD Manual Primary'!AD86+'FWD Primary with Scan'!AD86+'FWD Secondary'!AD86+'FWD Volumetric'!AD86+'IB'!AD86+'IB Volumetric'!AD86+'OB'!AD86+'OB Volumetric'!AD86+'OSC Bag Sorting'!AD86+'OSC Bag Sorting Volumetric'!AD86+'REV FSM'!AD86+'Rejection Primary with Scan'!AD86+'Rejection Secondary'!AD86+'Rev DC DC Primary Sorting'!AD86+'Rev Primary (FSM Rejections)'!AD86+'Rev Secondary Sorting'!AD86+'VIA Bag Sorting'!AD86</f>
        <v/>
      </c>
      <c r="AE86" s="7">
        <f>'BBB'!AE86+'Bag Staging'!AE86+'Bag Staging Volumetric'!AE86+'FWD FSM'!AE86+'FWD Manual Pre Primary'!AE86+'FWD Manual Primary'!AE86+'FWD Primary with Scan'!AE86+'FWD Secondary'!AE86+'FWD Volumetric'!AE86+'IB'!AE86+'IB Volumetric'!AE86+'OB'!AE86+'OB Volumetric'!AE86+'OSC Bag Sorting'!AE86+'OSC Bag Sorting Volumetric'!AE86+'REV FSM'!AE86+'Rejection Primary with Scan'!AE86+'Rejection Secondary'!AE86+'Rev DC DC Primary Sorting'!AE86+'Rev Primary (FSM Rejections)'!AE86+'Rev Secondary Sorting'!AE86+'VIA Bag Sorting'!AE86</f>
        <v/>
      </c>
      <c r="AF86" s="7">
        <f>'BBB'!AF86+'Bag Staging'!AF86+'Bag Staging Volumetric'!AF86+'FWD FSM'!AF86+'FWD Manual Pre Primary'!AF86+'FWD Manual Primary'!AF86+'FWD Primary with Scan'!AF86+'FWD Secondary'!AF86+'FWD Volumetric'!AF86+'IB'!AF86+'IB Volumetric'!AF86+'OB'!AF86+'OB Volumetric'!AF86+'OSC Bag Sorting'!AF86+'OSC Bag Sorting Volumetric'!AF86+'REV FSM'!AF86+'Rejection Primary with Scan'!AF86+'Rejection Secondary'!AF86+'Rev DC DC Primary Sorting'!AF86+'Rev Primary (FSM Rejections)'!AF86+'Rev Secondary Sorting'!AF86+'VIA Bag Sorting'!AF86</f>
        <v/>
      </c>
      <c r="AG86" s="7">
        <f>'BBB'!AG86+'Bag Staging'!AG86+'Bag Staging Volumetric'!AG86+'FWD FSM'!AG86+'FWD Manual Pre Primary'!AG86+'FWD Manual Primary'!AG86+'FWD Primary with Scan'!AG86+'FWD Secondary'!AG86+'FWD Volumetric'!AG86+'IB'!AG86+'IB Volumetric'!AG86+'OB'!AG86+'OB Volumetric'!AG86+'OSC Bag Sorting'!AG86+'OSC Bag Sorting Volumetric'!AG86+'REV FSM'!AG86+'Rejection Primary with Scan'!AG86+'Rejection Secondary'!AG86+'Rev DC DC Primary Sorting'!AG86+'Rev Primary (FSM Rejections)'!AG86+'Rev Secondary Sorting'!AG86+'VIA Bag Sorting'!AG86</f>
        <v/>
      </c>
      <c r="AH86" s="7">
        <f>'BBB'!AH86+'Bag Staging'!AH86+'Bag Staging Volumetric'!AH86+'FWD FSM'!AH86+'FWD Manual Pre Primary'!AH86+'FWD Manual Primary'!AH86+'FWD Primary with Scan'!AH86+'FWD Secondary'!AH86+'FWD Volumetric'!AH86+'IB'!AH86+'IB Volumetric'!AH86+'OB'!AH86+'OB Volumetric'!AH86+'OSC Bag Sorting'!AH86+'OSC Bag Sorting Volumetric'!AH86+'REV FSM'!AH86+'Rejection Primary with Scan'!AH86+'Rejection Secondary'!AH86+'Rev DC DC Primary Sorting'!AH86+'Rev Primary (FSM Rejections)'!AH86+'Rev Secondary Sorting'!AH86+'VIA Bag Sorting'!AH86</f>
        <v/>
      </c>
      <c r="AI86" s="7">
        <f>'BBB'!AI86+'Bag Staging'!AI86+'Bag Staging Volumetric'!AI86+'FWD FSM'!AI86+'FWD Manual Pre Primary'!AI86+'FWD Manual Primary'!AI86+'FWD Primary with Scan'!AI86+'FWD Secondary'!AI86+'FWD Volumetric'!AI86+'IB'!AI86+'IB Volumetric'!AI86+'OB'!AI86+'OB Volumetric'!AI86+'OSC Bag Sorting'!AI86+'OSC Bag Sorting Volumetric'!AI86+'REV FSM'!AI86+'Rejection Primary with Scan'!AI86+'Rejection Secondary'!AI86+'Rev DC DC Primary Sorting'!AI86+'Rev Primary (FSM Rejections)'!AI86+'Rev Secondary Sorting'!AI86+'VIA Bag Sorting'!AI86</f>
        <v/>
      </c>
      <c r="AJ86" s="7">
        <f>'BBB'!AJ86+'Bag Staging'!AJ86+'Bag Staging Volumetric'!AJ86+'FWD FSM'!AJ86+'FWD Manual Pre Primary'!AJ86+'FWD Manual Primary'!AJ86+'FWD Primary with Scan'!AJ86+'FWD Secondary'!AJ86+'FWD Volumetric'!AJ86+'IB'!AJ86+'IB Volumetric'!AJ86+'OB'!AJ86+'OB Volumetric'!AJ86+'OSC Bag Sorting'!AJ86+'OSC Bag Sorting Volumetric'!AJ86+'REV FSM'!AJ86+'Rejection Primary with Scan'!AJ86+'Rejection Secondary'!AJ86+'Rev DC DC Primary Sorting'!AJ86+'Rev Primary (FSM Rejections)'!AJ86+'Rev Secondary Sorting'!AJ86+'VIA Bag Sorting'!AJ86</f>
        <v/>
      </c>
      <c r="AK86" s="7">
        <f>'BBB'!AK86+'Bag Staging'!AK86+'Bag Staging Volumetric'!AK86+'FWD FSM'!AK86+'FWD Manual Pre Primary'!AK86+'FWD Manual Primary'!AK86+'FWD Primary with Scan'!AK86+'FWD Secondary'!AK86+'FWD Volumetric'!AK86+'IB'!AK86+'IB Volumetric'!AK86+'OB'!AK86+'OB Volumetric'!AK86+'OSC Bag Sorting'!AK86+'OSC Bag Sorting Volumetric'!AK86+'REV FSM'!AK86+'Rejection Primary with Scan'!AK86+'Rejection Secondary'!AK86+'Rev DC DC Primary Sorting'!AK86+'Rev Primary (FSM Rejections)'!AK86+'Rev Secondary Sorting'!AK86+'VIA Bag Sorting'!AK86</f>
        <v/>
      </c>
      <c r="AL86" s="7">
        <f>'BBB'!AL86+'Bag Staging'!AL86+'Bag Staging Volumetric'!AL86+'FWD FSM'!AL86+'FWD Manual Pre Primary'!AL86+'FWD Manual Primary'!AL86+'FWD Primary with Scan'!AL86+'FWD Secondary'!AL86+'FWD Volumetric'!AL86+'IB'!AL86+'IB Volumetric'!AL86+'OB'!AL86+'OB Volumetric'!AL86+'OSC Bag Sorting'!AL86+'OSC Bag Sorting Volumetric'!AL86+'REV FSM'!AL86+'Rejection Primary with Scan'!AL86+'Rejection Secondary'!AL86+'Rev DC DC Primary Sorting'!AL86+'Rev Primary (FSM Rejections)'!AL86+'Rev Secondary Sorting'!AL86+'VIA Bag Sorting'!AL86</f>
        <v/>
      </c>
      <c r="AM86" s="7">
        <f>'BBB'!AM86+'Bag Staging'!AM86+'Bag Staging Volumetric'!AM86+'FWD FSM'!AM86+'FWD Manual Pre Primary'!AM86+'FWD Manual Primary'!AM86+'FWD Primary with Scan'!AM86+'FWD Secondary'!AM86+'FWD Volumetric'!AM86+'IB'!AM86+'IB Volumetric'!AM86+'OB'!AM86+'OB Volumetric'!AM86+'OSC Bag Sorting'!AM86+'OSC Bag Sorting Volumetric'!AM86+'REV FSM'!AM86+'Rejection Primary with Scan'!AM86+'Rejection Secondary'!AM86+'Rev DC DC Primary Sorting'!AM86+'Rev Primary (FSM Rejections)'!AM86+'Rev Secondary Sorting'!AM86+'VIA Bag Sorting'!AM86</f>
        <v/>
      </c>
      <c r="AN86" s="7">
        <f>'BBB'!AN86+'Bag Staging'!AN86+'Bag Staging Volumetric'!AN86+'FWD FSM'!AN86+'FWD Manual Pre Primary'!AN86+'FWD Manual Primary'!AN86+'FWD Primary with Scan'!AN86+'FWD Secondary'!AN86+'FWD Volumetric'!AN86+'IB'!AN86+'IB Volumetric'!AN86+'OB'!AN86+'OB Volumetric'!AN86+'OSC Bag Sorting'!AN86+'OSC Bag Sorting Volumetric'!AN86+'REV FSM'!AN86+'Rejection Primary with Scan'!AN86+'Rejection Secondary'!AN86+'Rev DC DC Primary Sorting'!AN86+'Rev Primary (FSM Rejections)'!AN86+'Rev Secondary Sorting'!AN86+'VIA Bag Sorting'!AN86</f>
        <v/>
      </c>
      <c r="AO86" s="7">
        <f>'BBB'!AO86+'Bag Staging'!AO86+'Bag Staging Volumetric'!AO86+'FWD FSM'!AO86+'FWD Manual Pre Primary'!AO86+'FWD Manual Primary'!AO86+'FWD Primary with Scan'!AO86+'FWD Secondary'!AO86+'FWD Volumetric'!AO86+'IB'!AO86+'IB Volumetric'!AO86+'OB'!AO86+'OB Volumetric'!AO86+'OSC Bag Sorting'!AO86+'OSC Bag Sorting Volumetric'!AO86+'REV FSM'!AO86+'Rejection Primary with Scan'!AO86+'Rejection Secondary'!AO86+'Rev DC DC Primary Sorting'!AO86+'Rev Primary (FSM Rejections)'!AO86+'Rev Secondary Sorting'!AO86+'VIA Bag Sorting'!AO86</f>
        <v/>
      </c>
      <c r="AP86" s="7">
        <f>'BBB'!AP86+'Bag Staging'!AP86+'Bag Staging Volumetric'!AP86+'FWD FSM'!AP86+'FWD Manual Pre Primary'!AP86+'FWD Manual Primary'!AP86+'FWD Primary with Scan'!AP86+'FWD Secondary'!AP86+'FWD Volumetric'!AP86+'IB'!AP86+'IB Volumetric'!AP86+'OB'!AP86+'OB Volumetric'!AP86+'OSC Bag Sorting'!AP86+'OSC Bag Sorting Volumetric'!AP86+'REV FSM'!AP86+'Rejection Primary with Scan'!AP86+'Rejection Secondary'!AP86+'Rev DC DC Primary Sorting'!AP86+'Rev Primary (FSM Rejections)'!AP86+'Rev Secondary Sorting'!AP86+'VIA Bag Sorting'!AP86</f>
        <v/>
      </c>
      <c r="AQ86" s="7">
        <f>'BBB'!AQ86+'Bag Staging'!AQ86+'Bag Staging Volumetric'!AQ86+'FWD FSM'!AQ86+'FWD Manual Pre Primary'!AQ86+'FWD Manual Primary'!AQ86+'FWD Primary with Scan'!AQ86+'FWD Secondary'!AQ86+'FWD Volumetric'!AQ86+'IB'!AQ86+'IB Volumetric'!AQ86+'OB'!AQ86+'OB Volumetric'!AQ86+'OSC Bag Sorting'!AQ86+'OSC Bag Sorting Volumetric'!AQ86+'REV FSM'!AQ86+'Rejection Primary with Scan'!AQ86+'Rejection Secondary'!AQ86+'Rev DC DC Primary Sorting'!AQ86+'Rev Primary (FSM Rejections)'!AQ86+'Rev Secondary Sorting'!AQ86+'VIA Bag Sorting'!AQ86</f>
        <v/>
      </c>
      <c r="AR86" s="7">
        <f>'BBB'!AR86+'Bag Staging'!AR86+'Bag Staging Volumetric'!AR86+'FWD FSM'!AR86+'FWD Manual Pre Primary'!AR86+'FWD Manual Primary'!AR86+'FWD Primary with Scan'!AR86+'FWD Secondary'!AR86+'FWD Volumetric'!AR86+'IB'!AR86+'IB Volumetric'!AR86+'OB'!AR86+'OB Volumetric'!AR86+'OSC Bag Sorting'!AR86+'OSC Bag Sorting Volumetric'!AR86+'REV FSM'!AR86+'Rejection Primary with Scan'!AR86+'Rejection Secondary'!AR86+'Rev DC DC Primary Sorting'!AR86+'Rev Primary (FSM Rejections)'!AR86+'Rev Secondary Sorting'!AR86+'VIA Bag Sorting'!AR86</f>
        <v/>
      </c>
      <c r="AS86" s="7">
        <f>'BBB'!AS86+'Bag Staging'!AS86+'Bag Staging Volumetric'!AS86+'FWD FSM'!AS86+'FWD Manual Pre Primary'!AS86+'FWD Manual Primary'!AS86+'FWD Primary with Scan'!AS86+'FWD Secondary'!AS86+'FWD Volumetric'!AS86+'IB'!AS86+'IB Volumetric'!AS86+'OB'!AS86+'OB Volumetric'!AS86+'OSC Bag Sorting'!AS86+'OSC Bag Sorting Volumetric'!AS86+'REV FSM'!AS86+'Rejection Primary with Scan'!AS86+'Rejection Secondary'!AS86+'Rev DC DC Primary Sorting'!AS86+'Rev Primary (FSM Rejections)'!AS86+'Rev Secondary Sorting'!AS86+'VIA Bag Sorting'!AS86</f>
        <v/>
      </c>
      <c r="AT86" s="7">
        <f>'BBB'!AT86+'Bag Staging'!AT86+'Bag Staging Volumetric'!AT86+'FWD FSM'!AT86+'FWD Manual Pre Primary'!AT86+'FWD Manual Primary'!AT86+'FWD Primary with Scan'!AT86+'FWD Secondary'!AT86+'FWD Volumetric'!AT86+'IB'!AT86+'IB Volumetric'!AT86+'OB'!AT86+'OB Volumetric'!AT86+'OSC Bag Sorting'!AT86+'OSC Bag Sorting Volumetric'!AT86+'REV FSM'!AT86+'Rejection Primary with Scan'!AT86+'Rejection Secondary'!AT86+'Rev DC DC Primary Sorting'!AT86+'Rev Primary (FSM Rejections)'!AT86+'Rev Secondary Sorting'!AT86+'VIA Bag Sorting'!AT86</f>
        <v/>
      </c>
      <c r="AU86" s="7">
        <f>'BBB'!AU86+'Bag Staging'!AU86+'Bag Staging Volumetric'!AU86+'FWD FSM'!AU86+'FWD Manual Pre Primary'!AU86+'FWD Manual Primary'!AU86+'FWD Primary with Scan'!AU86+'FWD Secondary'!AU86+'FWD Volumetric'!AU86+'IB'!AU86+'IB Volumetric'!AU86+'OB'!AU86+'OB Volumetric'!AU86+'OSC Bag Sorting'!AU86+'OSC Bag Sorting Volumetric'!AU86+'REV FSM'!AU86+'Rejection Primary with Scan'!AU86+'Rejection Secondary'!AU86+'Rev DC DC Primary Sorting'!AU86+'Rev Primary (FSM Rejections)'!AU86+'Rev Secondary Sorting'!AU86+'VIA Bag Sorting'!AU86</f>
        <v/>
      </c>
      <c r="AV86" s="7">
        <f>'BBB'!AV86+'Bag Staging'!AV86+'Bag Staging Volumetric'!AV86+'FWD FSM'!AV86+'FWD Manual Pre Primary'!AV86+'FWD Manual Primary'!AV86+'FWD Primary with Scan'!AV86+'FWD Secondary'!AV86+'FWD Volumetric'!AV86+'IB'!AV86+'IB Volumetric'!AV86+'OB'!AV86+'OB Volumetric'!AV86+'OSC Bag Sorting'!AV86+'OSC Bag Sorting Volumetric'!AV86+'REV FSM'!AV86+'Rejection Primary with Scan'!AV86+'Rejection Secondary'!AV86+'Rev DC DC Primary Sorting'!AV86+'Rev Primary (FSM Rejections)'!AV86+'Rev Secondary Sorting'!AV86+'VIA Bag Sorting'!AV86</f>
        <v/>
      </c>
      <c r="AW86" s="7">
        <f>'BBB'!AW86+'Bag Staging'!AW86+'Bag Staging Volumetric'!AW86+'FWD FSM'!AW86+'FWD Manual Pre Primary'!AW86+'FWD Manual Primary'!AW86+'FWD Primary with Scan'!AW86+'FWD Secondary'!AW86+'FWD Volumetric'!AW86+'IB'!AW86+'IB Volumetric'!AW86+'OB'!AW86+'OB Volumetric'!AW86+'OSC Bag Sorting'!AW86+'OSC Bag Sorting Volumetric'!AW86+'REV FSM'!AW86+'Rejection Primary with Scan'!AW86+'Rejection Secondary'!AW86+'Rev DC DC Primary Sorting'!AW86+'Rev Primary (FSM Rejections)'!AW86+'Rev Secondary Sorting'!AW86+'VIA Bag Sorting'!AW86</f>
        <v/>
      </c>
      <c r="AX86" s="7">
        <f>'BBB'!AX86+'Bag Staging'!AX86+'Bag Staging Volumetric'!AX86+'FWD FSM'!AX86+'FWD Manual Pre Primary'!AX86+'FWD Manual Primary'!AX86+'FWD Primary with Scan'!AX86+'FWD Secondary'!AX86+'FWD Volumetric'!AX86+'IB'!AX86+'IB Volumetric'!AX86+'OB'!AX86+'OB Volumetric'!AX86+'OSC Bag Sorting'!AX86+'OSC Bag Sorting Volumetric'!AX86+'REV FSM'!AX86+'Rejection Primary with Scan'!AX86+'Rejection Secondary'!AX86+'Rev DC DC Primary Sorting'!AX86+'Rev Primary (FSM Rejections)'!AX86+'Rev Secondary Sorting'!AX86+'VIA Bag Sorting'!AX86</f>
        <v/>
      </c>
      <c r="AY86" s="7">
        <f>'BBB'!AY86+'Bag Staging'!AY86+'Bag Staging Volumetric'!AY86+'FWD FSM'!AY86+'FWD Manual Pre Primary'!AY86+'FWD Manual Primary'!AY86+'FWD Primary with Scan'!AY86+'FWD Secondary'!AY86+'FWD Volumetric'!AY86+'IB'!AY86+'IB Volumetric'!AY86+'OB'!AY86+'OB Volumetric'!AY86+'OSC Bag Sorting'!AY86+'OSC Bag Sorting Volumetric'!AY86+'REV FSM'!AY86+'Rejection Primary with Scan'!AY86+'Rejection Secondary'!AY86+'Rev DC DC Primary Sorting'!AY86+'Rev Primary (FSM Rejections)'!AY86+'Rev Secondary Sorting'!AY86+'VIA Bag Sorting'!AY86</f>
        <v/>
      </c>
      <c r="AZ86" s="7">
        <f>'BBB'!AZ86+'Bag Staging'!AZ86+'Bag Staging Volumetric'!AZ86+'FWD FSM'!AZ86+'FWD Manual Pre Primary'!AZ86+'FWD Manual Primary'!AZ86+'FWD Primary with Scan'!AZ86+'FWD Secondary'!AZ86+'FWD Volumetric'!AZ86+'IB'!AZ86+'IB Volumetric'!AZ86+'OB'!AZ86+'OB Volumetric'!AZ86+'OSC Bag Sorting'!AZ86+'OSC Bag Sorting Volumetric'!AZ86+'REV FSM'!AZ86+'Rejection Primary with Scan'!AZ86+'Rejection Secondary'!AZ86+'Rev DC DC Primary Sorting'!AZ86+'Rev Primary (FSM Rejections)'!AZ86+'Rev Secondary Sorting'!AZ86+'VIA Bag Sorting'!AZ86</f>
        <v/>
      </c>
      <c r="BA86" s="7">
        <f>'BBB'!BA86+'Bag Staging'!BA86+'Bag Staging Volumetric'!BA86+'FWD FSM'!BA86+'FWD Manual Pre Primary'!BA86+'FWD Manual Primary'!BA86+'FWD Primary with Scan'!BA86+'FWD Secondary'!BA86+'FWD Volumetric'!BA86+'IB'!BA86+'IB Volumetric'!BA86+'OB'!BA86+'OB Volumetric'!BA86+'OSC Bag Sorting'!BA86+'OSC Bag Sorting Volumetric'!BA86+'REV FSM'!BA86+'Rejection Primary with Scan'!BA86+'Rejection Secondary'!BA86+'Rev DC DC Primary Sorting'!BA86+'Rev Primary (FSM Rejections)'!BA86+'Rev Secondary Sorting'!BA86+'VIA Bag Sorting'!BA86</f>
        <v/>
      </c>
      <c r="BB86" s="7">
        <f>SUM(AD86:BA86)</f>
        <v/>
      </c>
    </row>
    <row r="87">
      <c r="A87" t="inlineStr">
        <is>
          <t>AMD-RTS-RCLS-1302-SSC</t>
        </is>
      </c>
      <c r="B87" t="inlineStr">
        <is>
          <t>Rev OSC</t>
        </is>
      </c>
      <c r="C87" s="5" t="n">
        <v>46090</v>
      </c>
      <c r="D87" s="6" t="n">
        <v>0</v>
      </c>
      <c r="E87" s="6" t="n">
        <v>0</v>
      </c>
      <c r="F87" s="6" t="n">
        <v>0</v>
      </c>
      <c r="G87" s="6" t="n">
        <v>49</v>
      </c>
      <c r="H87" s="6" t="n">
        <v>751</v>
      </c>
      <c r="I87" s="6" t="n">
        <v>703</v>
      </c>
      <c r="J87" s="6" t="n">
        <v>391</v>
      </c>
      <c r="K87" s="6" t="n">
        <v>0</v>
      </c>
      <c r="L87" s="6" t="n">
        <v>0</v>
      </c>
      <c r="M87" s="6" t="n">
        <v>0</v>
      </c>
      <c r="N87" s="6" t="n">
        <v>0</v>
      </c>
      <c r="O87" s="6" t="n">
        <v>0</v>
      </c>
      <c r="P87" s="6" t="n">
        <v>0</v>
      </c>
      <c r="Q87" s="6" t="n">
        <v>0</v>
      </c>
      <c r="R87" s="6" t="n">
        <v>0</v>
      </c>
      <c r="S87" s="6" t="n">
        <v>0</v>
      </c>
      <c r="T87" s="6" t="n">
        <v>0</v>
      </c>
      <c r="U87" s="6" t="n">
        <v>0</v>
      </c>
      <c r="V87" s="6" t="n">
        <v>392</v>
      </c>
      <c r="W87" s="6" t="n">
        <v>659</v>
      </c>
      <c r="X87" s="6" t="n">
        <v>877</v>
      </c>
      <c r="Y87" s="6" t="n">
        <v>1007</v>
      </c>
      <c r="Z87" s="6" t="n">
        <v>275</v>
      </c>
      <c r="AA87" s="6" t="n">
        <v>0</v>
      </c>
      <c r="AB87" s="6">
        <f>SUM(D87:AA87)</f>
        <v/>
      </c>
      <c r="AC87" s="3" t="inlineStr"/>
      <c r="AD87" s="7">
        <f>'BBB'!AD87+'Bag Staging'!AD87+'Bag Staging Volumetric'!AD87+'FWD FSM'!AD87+'FWD Manual Pre Primary'!AD87+'FWD Manual Primary'!AD87+'FWD Primary with Scan'!AD87+'FWD Secondary'!AD87+'FWD Volumetric'!AD87+'IB'!AD87+'IB Volumetric'!AD87+'OB'!AD87+'OB Volumetric'!AD87+'OSC Bag Sorting'!AD87+'OSC Bag Sorting Volumetric'!AD87+'REV FSM'!AD87+'Rejection Primary with Scan'!AD87+'Rejection Secondary'!AD87+'Rev DC DC Primary Sorting'!AD87+'Rev Primary (FSM Rejections)'!AD87+'Rev Secondary Sorting'!AD87+'VIA Bag Sorting'!AD87</f>
        <v/>
      </c>
      <c r="AE87" s="7">
        <f>'BBB'!AE87+'Bag Staging'!AE87+'Bag Staging Volumetric'!AE87+'FWD FSM'!AE87+'FWD Manual Pre Primary'!AE87+'FWD Manual Primary'!AE87+'FWD Primary with Scan'!AE87+'FWD Secondary'!AE87+'FWD Volumetric'!AE87+'IB'!AE87+'IB Volumetric'!AE87+'OB'!AE87+'OB Volumetric'!AE87+'OSC Bag Sorting'!AE87+'OSC Bag Sorting Volumetric'!AE87+'REV FSM'!AE87+'Rejection Primary with Scan'!AE87+'Rejection Secondary'!AE87+'Rev DC DC Primary Sorting'!AE87+'Rev Primary (FSM Rejections)'!AE87+'Rev Secondary Sorting'!AE87+'VIA Bag Sorting'!AE87</f>
        <v/>
      </c>
      <c r="AF87" s="7">
        <f>'BBB'!AF87+'Bag Staging'!AF87+'Bag Staging Volumetric'!AF87+'FWD FSM'!AF87+'FWD Manual Pre Primary'!AF87+'FWD Manual Primary'!AF87+'FWD Primary with Scan'!AF87+'FWD Secondary'!AF87+'FWD Volumetric'!AF87+'IB'!AF87+'IB Volumetric'!AF87+'OB'!AF87+'OB Volumetric'!AF87+'OSC Bag Sorting'!AF87+'OSC Bag Sorting Volumetric'!AF87+'REV FSM'!AF87+'Rejection Primary with Scan'!AF87+'Rejection Secondary'!AF87+'Rev DC DC Primary Sorting'!AF87+'Rev Primary (FSM Rejections)'!AF87+'Rev Secondary Sorting'!AF87+'VIA Bag Sorting'!AF87</f>
        <v/>
      </c>
      <c r="AG87" s="7">
        <f>'BBB'!AG87+'Bag Staging'!AG87+'Bag Staging Volumetric'!AG87+'FWD FSM'!AG87+'FWD Manual Pre Primary'!AG87+'FWD Manual Primary'!AG87+'FWD Primary with Scan'!AG87+'FWD Secondary'!AG87+'FWD Volumetric'!AG87+'IB'!AG87+'IB Volumetric'!AG87+'OB'!AG87+'OB Volumetric'!AG87+'OSC Bag Sorting'!AG87+'OSC Bag Sorting Volumetric'!AG87+'REV FSM'!AG87+'Rejection Primary with Scan'!AG87+'Rejection Secondary'!AG87+'Rev DC DC Primary Sorting'!AG87+'Rev Primary (FSM Rejections)'!AG87+'Rev Secondary Sorting'!AG87+'VIA Bag Sorting'!AG87</f>
        <v/>
      </c>
      <c r="AH87" s="7">
        <f>'BBB'!AH87+'Bag Staging'!AH87+'Bag Staging Volumetric'!AH87+'FWD FSM'!AH87+'FWD Manual Pre Primary'!AH87+'FWD Manual Primary'!AH87+'FWD Primary with Scan'!AH87+'FWD Secondary'!AH87+'FWD Volumetric'!AH87+'IB'!AH87+'IB Volumetric'!AH87+'OB'!AH87+'OB Volumetric'!AH87+'OSC Bag Sorting'!AH87+'OSC Bag Sorting Volumetric'!AH87+'REV FSM'!AH87+'Rejection Primary with Scan'!AH87+'Rejection Secondary'!AH87+'Rev DC DC Primary Sorting'!AH87+'Rev Primary (FSM Rejections)'!AH87+'Rev Secondary Sorting'!AH87+'VIA Bag Sorting'!AH87</f>
        <v/>
      </c>
      <c r="AI87" s="7">
        <f>'BBB'!AI87+'Bag Staging'!AI87+'Bag Staging Volumetric'!AI87+'FWD FSM'!AI87+'FWD Manual Pre Primary'!AI87+'FWD Manual Primary'!AI87+'FWD Primary with Scan'!AI87+'FWD Secondary'!AI87+'FWD Volumetric'!AI87+'IB'!AI87+'IB Volumetric'!AI87+'OB'!AI87+'OB Volumetric'!AI87+'OSC Bag Sorting'!AI87+'OSC Bag Sorting Volumetric'!AI87+'REV FSM'!AI87+'Rejection Primary with Scan'!AI87+'Rejection Secondary'!AI87+'Rev DC DC Primary Sorting'!AI87+'Rev Primary (FSM Rejections)'!AI87+'Rev Secondary Sorting'!AI87+'VIA Bag Sorting'!AI87</f>
        <v/>
      </c>
      <c r="AJ87" s="7">
        <f>'BBB'!AJ87+'Bag Staging'!AJ87+'Bag Staging Volumetric'!AJ87+'FWD FSM'!AJ87+'FWD Manual Pre Primary'!AJ87+'FWD Manual Primary'!AJ87+'FWD Primary with Scan'!AJ87+'FWD Secondary'!AJ87+'FWD Volumetric'!AJ87+'IB'!AJ87+'IB Volumetric'!AJ87+'OB'!AJ87+'OB Volumetric'!AJ87+'OSC Bag Sorting'!AJ87+'OSC Bag Sorting Volumetric'!AJ87+'REV FSM'!AJ87+'Rejection Primary with Scan'!AJ87+'Rejection Secondary'!AJ87+'Rev DC DC Primary Sorting'!AJ87+'Rev Primary (FSM Rejections)'!AJ87+'Rev Secondary Sorting'!AJ87+'VIA Bag Sorting'!AJ87</f>
        <v/>
      </c>
      <c r="AK87" s="7">
        <f>'BBB'!AK87+'Bag Staging'!AK87+'Bag Staging Volumetric'!AK87+'FWD FSM'!AK87+'FWD Manual Pre Primary'!AK87+'FWD Manual Primary'!AK87+'FWD Primary with Scan'!AK87+'FWD Secondary'!AK87+'FWD Volumetric'!AK87+'IB'!AK87+'IB Volumetric'!AK87+'OB'!AK87+'OB Volumetric'!AK87+'OSC Bag Sorting'!AK87+'OSC Bag Sorting Volumetric'!AK87+'REV FSM'!AK87+'Rejection Primary with Scan'!AK87+'Rejection Secondary'!AK87+'Rev DC DC Primary Sorting'!AK87+'Rev Primary (FSM Rejections)'!AK87+'Rev Secondary Sorting'!AK87+'VIA Bag Sorting'!AK87</f>
        <v/>
      </c>
      <c r="AL87" s="7">
        <f>'BBB'!AL87+'Bag Staging'!AL87+'Bag Staging Volumetric'!AL87+'FWD FSM'!AL87+'FWD Manual Pre Primary'!AL87+'FWD Manual Primary'!AL87+'FWD Primary with Scan'!AL87+'FWD Secondary'!AL87+'FWD Volumetric'!AL87+'IB'!AL87+'IB Volumetric'!AL87+'OB'!AL87+'OB Volumetric'!AL87+'OSC Bag Sorting'!AL87+'OSC Bag Sorting Volumetric'!AL87+'REV FSM'!AL87+'Rejection Primary with Scan'!AL87+'Rejection Secondary'!AL87+'Rev DC DC Primary Sorting'!AL87+'Rev Primary (FSM Rejections)'!AL87+'Rev Secondary Sorting'!AL87+'VIA Bag Sorting'!AL87</f>
        <v/>
      </c>
      <c r="AM87" s="7">
        <f>'BBB'!AM87+'Bag Staging'!AM87+'Bag Staging Volumetric'!AM87+'FWD FSM'!AM87+'FWD Manual Pre Primary'!AM87+'FWD Manual Primary'!AM87+'FWD Primary with Scan'!AM87+'FWD Secondary'!AM87+'FWD Volumetric'!AM87+'IB'!AM87+'IB Volumetric'!AM87+'OB'!AM87+'OB Volumetric'!AM87+'OSC Bag Sorting'!AM87+'OSC Bag Sorting Volumetric'!AM87+'REV FSM'!AM87+'Rejection Primary with Scan'!AM87+'Rejection Secondary'!AM87+'Rev DC DC Primary Sorting'!AM87+'Rev Primary (FSM Rejections)'!AM87+'Rev Secondary Sorting'!AM87+'VIA Bag Sorting'!AM87</f>
        <v/>
      </c>
      <c r="AN87" s="7">
        <f>'BBB'!AN87+'Bag Staging'!AN87+'Bag Staging Volumetric'!AN87+'FWD FSM'!AN87+'FWD Manual Pre Primary'!AN87+'FWD Manual Primary'!AN87+'FWD Primary with Scan'!AN87+'FWD Secondary'!AN87+'FWD Volumetric'!AN87+'IB'!AN87+'IB Volumetric'!AN87+'OB'!AN87+'OB Volumetric'!AN87+'OSC Bag Sorting'!AN87+'OSC Bag Sorting Volumetric'!AN87+'REV FSM'!AN87+'Rejection Primary with Scan'!AN87+'Rejection Secondary'!AN87+'Rev DC DC Primary Sorting'!AN87+'Rev Primary (FSM Rejections)'!AN87+'Rev Secondary Sorting'!AN87+'VIA Bag Sorting'!AN87</f>
        <v/>
      </c>
      <c r="AO87" s="7">
        <f>'BBB'!AO87+'Bag Staging'!AO87+'Bag Staging Volumetric'!AO87+'FWD FSM'!AO87+'FWD Manual Pre Primary'!AO87+'FWD Manual Primary'!AO87+'FWD Primary with Scan'!AO87+'FWD Secondary'!AO87+'FWD Volumetric'!AO87+'IB'!AO87+'IB Volumetric'!AO87+'OB'!AO87+'OB Volumetric'!AO87+'OSC Bag Sorting'!AO87+'OSC Bag Sorting Volumetric'!AO87+'REV FSM'!AO87+'Rejection Primary with Scan'!AO87+'Rejection Secondary'!AO87+'Rev DC DC Primary Sorting'!AO87+'Rev Primary (FSM Rejections)'!AO87+'Rev Secondary Sorting'!AO87+'VIA Bag Sorting'!AO87</f>
        <v/>
      </c>
      <c r="AP87" s="7">
        <f>'BBB'!AP87+'Bag Staging'!AP87+'Bag Staging Volumetric'!AP87+'FWD FSM'!AP87+'FWD Manual Pre Primary'!AP87+'FWD Manual Primary'!AP87+'FWD Primary with Scan'!AP87+'FWD Secondary'!AP87+'FWD Volumetric'!AP87+'IB'!AP87+'IB Volumetric'!AP87+'OB'!AP87+'OB Volumetric'!AP87+'OSC Bag Sorting'!AP87+'OSC Bag Sorting Volumetric'!AP87+'REV FSM'!AP87+'Rejection Primary with Scan'!AP87+'Rejection Secondary'!AP87+'Rev DC DC Primary Sorting'!AP87+'Rev Primary (FSM Rejections)'!AP87+'Rev Secondary Sorting'!AP87+'VIA Bag Sorting'!AP87</f>
        <v/>
      </c>
      <c r="AQ87" s="7">
        <f>'BBB'!AQ87+'Bag Staging'!AQ87+'Bag Staging Volumetric'!AQ87+'FWD FSM'!AQ87+'FWD Manual Pre Primary'!AQ87+'FWD Manual Primary'!AQ87+'FWD Primary with Scan'!AQ87+'FWD Secondary'!AQ87+'FWD Volumetric'!AQ87+'IB'!AQ87+'IB Volumetric'!AQ87+'OB'!AQ87+'OB Volumetric'!AQ87+'OSC Bag Sorting'!AQ87+'OSC Bag Sorting Volumetric'!AQ87+'REV FSM'!AQ87+'Rejection Primary with Scan'!AQ87+'Rejection Secondary'!AQ87+'Rev DC DC Primary Sorting'!AQ87+'Rev Primary (FSM Rejections)'!AQ87+'Rev Secondary Sorting'!AQ87+'VIA Bag Sorting'!AQ87</f>
        <v/>
      </c>
      <c r="AR87" s="7">
        <f>'BBB'!AR87+'Bag Staging'!AR87+'Bag Staging Volumetric'!AR87+'FWD FSM'!AR87+'FWD Manual Pre Primary'!AR87+'FWD Manual Primary'!AR87+'FWD Primary with Scan'!AR87+'FWD Secondary'!AR87+'FWD Volumetric'!AR87+'IB'!AR87+'IB Volumetric'!AR87+'OB'!AR87+'OB Volumetric'!AR87+'OSC Bag Sorting'!AR87+'OSC Bag Sorting Volumetric'!AR87+'REV FSM'!AR87+'Rejection Primary with Scan'!AR87+'Rejection Secondary'!AR87+'Rev DC DC Primary Sorting'!AR87+'Rev Primary (FSM Rejections)'!AR87+'Rev Secondary Sorting'!AR87+'VIA Bag Sorting'!AR87</f>
        <v/>
      </c>
      <c r="AS87" s="7">
        <f>'BBB'!AS87+'Bag Staging'!AS87+'Bag Staging Volumetric'!AS87+'FWD FSM'!AS87+'FWD Manual Pre Primary'!AS87+'FWD Manual Primary'!AS87+'FWD Primary with Scan'!AS87+'FWD Secondary'!AS87+'FWD Volumetric'!AS87+'IB'!AS87+'IB Volumetric'!AS87+'OB'!AS87+'OB Volumetric'!AS87+'OSC Bag Sorting'!AS87+'OSC Bag Sorting Volumetric'!AS87+'REV FSM'!AS87+'Rejection Primary with Scan'!AS87+'Rejection Secondary'!AS87+'Rev DC DC Primary Sorting'!AS87+'Rev Primary (FSM Rejections)'!AS87+'Rev Secondary Sorting'!AS87+'VIA Bag Sorting'!AS87</f>
        <v/>
      </c>
      <c r="AT87" s="7">
        <f>'BBB'!AT87+'Bag Staging'!AT87+'Bag Staging Volumetric'!AT87+'FWD FSM'!AT87+'FWD Manual Pre Primary'!AT87+'FWD Manual Primary'!AT87+'FWD Primary with Scan'!AT87+'FWD Secondary'!AT87+'FWD Volumetric'!AT87+'IB'!AT87+'IB Volumetric'!AT87+'OB'!AT87+'OB Volumetric'!AT87+'OSC Bag Sorting'!AT87+'OSC Bag Sorting Volumetric'!AT87+'REV FSM'!AT87+'Rejection Primary with Scan'!AT87+'Rejection Secondary'!AT87+'Rev DC DC Primary Sorting'!AT87+'Rev Primary (FSM Rejections)'!AT87+'Rev Secondary Sorting'!AT87+'VIA Bag Sorting'!AT87</f>
        <v/>
      </c>
      <c r="AU87" s="7">
        <f>'BBB'!AU87+'Bag Staging'!AU87+'Bag Staging Volumetric'!AU87+'FWD FSM'!AU87+'FWD Manual Pre Primary'!AU87+'FWD Manual Primary'!AU87+'FWD Primary with Scan'!AU87+'FWD Secondary'!AU87+'FWD Volumetric'!AU87+'IB'!AU87+'IB Volumetric'!AU87+'OB'!AU87+'OB Volumetric'!AU87+'OSC Bag Sorting'!AU87+'OSC Bag Sorting Volumetric'!AU87+'REV FSM'!AU87+'Rejection Primary with Scan'!AU87+'Rejection Secondary'!AU87+'Rev DC DC Primary Sorting'!AU87+'Rev Primary (FSM Rejections)'!AU87+'Rev Secondary Sorting'!AU87+'VIA Bag Sorting'!AU87</f>
        <v/>
      </c>
      <c r="AV87" s="7">
        <f>'BBB'!AV87+'Bag Staging'!AV87+'Bag Staging Volumetric'!AV87+'FWD FSM'!AV87+'FWD Manual Pre Primary'!AV87+'FWD Manual Primary'!AV87+'FWD Primary with Scan'!AV87+'FWD Secondary'!AV87+'FWD Volumetric'!AV87+'IB'!AV87+'IB Volumetric'!AV87+'OB'!AV87+'OB Volumetric'!AV87+'OSC Bag Sorting'!AV87+'OSC Bag Sorting Volumetric'!AV87+'REV FSM'!AV87+'Rejection Primary with Scan'!AV87+'Rejection Secondary'!AV87+'Rev DC DC Primary Sorting'!AV87+'Rev Primary (FSM Rejections)'!AV87+'Rev Secondary Sorting'!AV87+'VIA Bag Sorting'!AV87</f>
        <v/>
      </c>
      <c r="AW87" s="7">
        <f>'BBB'!AW87+'Bag Staging'!AW87+'Bag Staging Volumetric'!AW87+'FWD FSM'!AW87+'FWD Manual Pre Primary'!AW87+'FWD Manual Primary'!AW87+'FWD Primary with Scan'!AW87+'FWD Secondary'!AW87+'FWD Volumetric'!AW87+'IB'!AW87+'IB Volumetric'!AW87+'OB'!AW87+'OB Volumetric'!AW87+'OSC Bag Sorting'!AW87+'OSC Bag Sorting Volumetric'!AW87+'REV FSM'!AW87+'Rejection Primary with Scan'!AW87+'Rejection Secondary'!AW87+'Rev DC DC Primary Sorting'!AW87+'Rev Primary (FSM Rejections)'!AW87+'Rev Secondary Sorting'!AW87+'VIA Bag Sorting'!AW87</f>
        <v/>
      </c>
      <c r="AX87" s="7">
        <f>'BBB'!AX87+'Bag Staging'!AX87+'Bag Staging Volumetric'!AX87+'FWD FSM'!AX87+'FWD Manual Pre Primary'!AX87+'FWD Manual Primary'!AX87+'FWD Primary with Scan'!AX87+'FWD Secondary'!AX87+'FWD Volumetric'!AX87+'IB'!AX87+'IB Volumetric'!AX87+'OB'!AX87+'OB Volumetric'!AX87+'OSC Bag Sorting'!AX87+'OSC Bag Sorting Volumetric'!AX87+'REV FSM'!AX87+'Rejection Primary with Scan'!AX87+'Rejection Secondary'!AX87+'Rev DC DC Primary Sorting'!AX87+'Rev Primary (FSM Rejections)'!AX87+'Rev Secondary Sorting'!AX87+'VIA Bag Sorting'!AX87</f>
        <v/>
      </c>
      <c r="AY87" s="7">
        <f>'BBB'!AY87+'Bag Staging'!AY87+'Bag Staging Volumetric'!AY87+'FWD FSM'!AY87+'FWD Manual Pre Primary'!AY87+'FWD Manual Primary'!AY87+'FWD Primary with Scan'!AY87+'FWD Secondary'!AY87+'FWD Volumetric'!AY87+'IB'!AY87+'IB Volumetric'!AY87+'OB'!AY87+'OB Volumetric'!AY87+'OSC Bag Sorting'!AY87+'OSC Bag Sorting Volumetric'!AY87+'REV FSM'!AY87+'Rejection Primary with Scan'!AY87+'Rejection Secondary'!AY87+'Rev DC DC Primary Sorting'!AY87+'Rev Primary (FSM Rejections)'!AY87+'Rev Secondary Sorting'!AY87+'VIA Bag Sorting'!AY87</f>
        <v/>
      </c>
      <c r="AZ87" s="7">
        <f>'BBB'!AZ87+'Bag Staging'!AZ87+'Bag Staging Volumetric'!AZ87+'FWD FSM'!AZ87+'FWD Manual Pre Primary'!AZ87+'FWD Manual Primary'!AZ87+'FWD Primary with Scan'!AZ87+'FWD Secondary'!AZ87+'FWD Volumetric'!AZ87+'IB'!AZ87+'IB Volumetric'!AZ87+'OB'!AZ87+'OB Volumetric'!AZ87+'OSC Bag Sorting'!AZ87+'OSC Bag Sorting Volumetric'!AZ87+'REV FSM'!AZ87+'Rejection Primary with Scan'!AZ87+'Rejection Secondary'!AZ87+'Rev DC DC Primary Sorting'!AZ87+'Rev Primary (FSM Rejections)'!AZ87+'Rev Secondary Sorting'!AZ87+'VIA Bag Sorting'!AZ87</f>
        <v/>
      </c>
      <c r="BA87" s="7">
        <f>'BBB'!BA87+'Bag Staging'!BA87+'Bag Staging Volumetric'!BA87+'FWD FSM'!BA87+'FWD Manual Pre Primary'!BA87+'FWD Manual Primary'!BA87+'FWD Primary with Scan'!BA87+'FWD Secondary'!BA87+'FWD Volumetric'!BA87+'IB'!BA87+'IB Volumetric'!BA87+'OB'!BA87+'OB Volumetric'!BA87+'OSC Bag Sorting'!BA87+'OSC Bag Sorting Volumetric'!BA87+'REV FSM'!BA87+'Rejection Primary with Scan'!BA87+'Rejection Secondary'!BA87+'Rev DC DC Primary Sorting'!BA87+'Rev Primary (FSM Rejections)'!BA87+'Rev Secondary Sorting'!BA87+'VIA Bag Sorting'!BA87</f>
        <v/>
      </c>
      <c r="BB87" s="7">
        <f>SUM(AD87:BA87)</f>
        <v/>
      </c>
    </row>
    <row r="88">
      <c r="A88" t="inlineStr">
        <is>
          <t>AMD-RTS-RCLS-1302-SSC</t>
        </is>
      </c>
      <c r="B88" t="inlineStr">
        <is>
          <t>Rev OSC</t>
        </is>
      </c>
      <c r="C88" s="5" t="n">
        <v>46092</v>
      </c>
      <c r="D88" s="6" t="n">
        <v>279</v>
      </c>
      <c r="E88" s="6" t="n">
        <v>0</v>
      </c>
      <c r="F88" s="6" t="n">
        <v>689</v>
      </c>
      <c r="G88" s="6" t="n">
        <v>118</v>
      </c>
      <c r="H88" s="6" t="n">
        <v>160</v>
      </c>
      <c r="I88" s="6" t="n">
        <v>851</v>
      </c>
      <c r="J88" s="6" t="n">
        <v>835</v>
      </c>
      <c r="K88" s="6" t="n">
        <v>320</v>
      </c>
      <c r="L88" s="6" t="n">
        <v>0</v>
      </c>
      <c r="M88" s="6" t="n">
        <v>0</v>
      </c>
      <c r="N88" s="6" t="n">
        <v>0</v>
      </c>
      <c r="O88" s="6" t="n">
        <v>601</v>
      </c>
      <c r="P88" s="6" t="n">
        <v>186</v>
      </c>
      <c r="Q88" s="6" t="n">
        <v>134</v>
      </c>
      <c r="R88" s="6" t="n">
        <v>1953</v>
      </c>
      <c r="S88" s="6" t="n">
        <v>1527</v>
      </c>
      <c r="T88" s="6" t="n">
        <v>666</v>
      </c>
      <c r="U88" s="6" t="n">
        <v>1875</v>
      </c>
      <c r="V88" s="6" t="n">
        <v>2577</v>
      </c>
      <c r="W88" s="6" t="n">
        <v>2635</v>
      </c>
      <c r="X88" s="6" t="n">
        <v>2756</v>
      </c>
      <c r="Y88" s="6" t="n">
        <v>2114</v>
      </c>
      <c r="Z88" s="6" t="n">
        <v>1</v>
      </c>
      <c r="AA88" s="6" t="n">
        <v>0</v>
      </c>
      <c r="AB88" s="6">
        <f>SUM(D88:AA88)</f>
        <v/>
      </c>
      <c r="AC88" s="3" t="inlineStr"/>
      <c r="AD88" s="7">
        <f>'BBB'!AD88+'Bag Staging'!AD88+'Bag Staging Volumetric'!AD88+'FWD FSM'!AD88+'FWD Manual Pre Primary'!AD88+'FWD Manual Primary'!AD88+'FWD Primary with Scan'!AD88+'FWD Secondary'!AD88+'FWD Volumetric'!AD88+'IB'!AD88+'IB Volumetric'!AD88+'OB'!AD88+'OB Volumetric'!AD88+'OSC Bag Sorting'!AD88+'OSC Bag Sorting Volumetric'!AD88+'REV FSM'!AD88+'Rejection Primary with Scan'!AD88+'Rejection Secondary'!AD88+'Rev DC DC Primary Sorting'!AD88+'Rev Primary (FSM Rejections)'!AD88+'Rev Secondary Sorting'!AD88+'VIA Bag Sorting'!AD88</f>
        <v/>
      </c>
      <c r="AE88" s="7">
        <f>'BBB'!AE88+'Bag Staging'!AE88+'Bag Staging Volumetric'!AE88+'FWD FSM'!AE88+'FWD Manual Pre Primary'!AE88+'FWD Manual Primary'!AE88+'FWD Primary with Scan'!AE88+'FWD Secondary'!AE88+'FWD Volumetric'!AE88+'IB'!AE88+'IB Volumetric'!AE88+'OB'!AE88+'OB Volumetric'!AE88+'OSC Bag Sorting'!AE88+'OSC Bag Sorting Volumetric'!AE88+'REV FSM'!AE88+'Rejection Primary with Scan'!AE88+'Rejection Secondary'!AE88+'Rev DC DC Primary Sorting'!AE88+'Rev Primary (FSM Rejections)'!AE88+'Rev Secondary Sorting'!AE88+'VIA Bag Sorting'!AE88</f>
        <v/>
      </c>
      <c r="AF88" s="7">
        <f>'BBB'!AF88+'Bag Staging'!AF88+'Bag Staging Volumetric'!AF88+'FWD FSM'!AF88+'FWD Manual Pre Primary'!AF88+'FWD Manual Primary'!AF88+'FWD Primary with Scan'!AF88+'FWD Secondary'!AF88+'FWD Volumetric'!AF88+'IB'!AF88+'IB Volumetric'!AF88+'OB'!AF88+'OB Volumetric'!AF88+'OSC Bag Sorting'!AF88+'OSC Bag Sorting Volumetric'!AF88+'REV FSM'!AF88+'Rejection Primary with Scan'!AF88+'Rejection Secondary'!AF88+'Rev DC DC Primary Sorting'!AF88+'Rev Primary (FSM Rejections)'!AF88+'Rev Secondary Sorting'!AF88+'VIA Bag Sorting'!AF88</f>
        <v/>
      </c>
      <c r="AG88" s="7">
        <f>'BBB'!AG88+'Bag Staging'!AG88+'Bag Staging Volumetric'!AG88+'FWD FSM'!AG88+'FWD Manual Pre Primary'!AG88+'FWD Manual Primary'!AG88+'FWD Primary with Scan'!AG88+'FWD Secondary'!AG88+'FWD Volumetric'!AG88+'IB'!AG88+'IB Volumetric'!AG88+'OB'!AG88+'OB Volumetric'!AG88+'OSC Bag Sorting'!AG88+'OSC Bag Sorting Volumetric'!AG88+'REV FSM'!AG88+'Rejection Primary with Scan'!AG88+'Rejection Secondary'!AG88+'Rev DC DC Primary Sorting'!AG88+'Rev Primary (FSM Rejections)'!AG88+'Rev Secondary Sorting'!AG88+'VIA Bag Sorting'!AG88</f>
        <v/>
      </c>
      <c r="AH88" s="7">
        <f>'BBB'!AH88+'Bag Staging'!AH88+'Bag Staging Volumetric'!AH88+'FWD FSM'!AH88+'FWD Manual Pre Primary'!AH88+'FWD Manual Primary'!AH88+'FWD Primary with Scan'!AH88+'FWD Secondary'!AH88+'FWD Volumetric'!AH88+'IB'!AH88+'IB Volumetric'!AH88+'OB'!AH88+'OB Volumetric'!AH88+'OSC Bag Sorting'!AH88+'OSC Bag Sorting Volumetric'!AH88+'REV FSM'!AH88+'Rejection Primary with Scan'!AH88+'Rejection Secondary'!AH88+'Rev DC DC Primary Sorting'!AH88+'Rev Primary (FSM Rejections)'!AH88+'Rev Secondary Sorting'!AH88+'VIA Bag Sorting'!AH88</f>
        <v/>
      </c>
      <c r="AI88" s="7">
        <f>'BBB'!AI88+'Bag Staging'!AI88+'Bag Staging Volumetric'!AI88+'FWD FSM'!AI88+'FWD Manual Pre Primary'!AI88+'FWD Manual Primary'!AI88+'FWD Primary with Scan'!AI88+'FWD Secondary'!AI88+'FWD Volumetric'!AI88+'IB'!AI88+'IB Volumetric'!AI88+'OB'!AI88+'OB Volumetric'!AI88+'OSC Bag Sorting'!AI88+'OSC Bag Sorting Volumetric'!AI88+'REV FSM'!AI88+'Rejection Primary with Scan'!AI88+'Rejection Secondary'!AI88+'Rev DC DC Primary Sorting'!AI88+'Rev Primary (FSM Rejections)'!AI88+'Rev Secondary Sorting'!AI88+'VIA Bag Sorting'!AI88</f>
        <v/>
      </c>
      <c r="AJ88" s="7">
        <f>'BBB'!AJ88+'Bag Staging'!AJ88+'Bag Staging Volumetric'!AJ88+'FWD FSM'!AJ88+'FWD Manual Pre Primary'!AJ88+'FWD Manual Primary'!AJ88+'FWD Primary with Scan'!AJ88+'FWD Secondary'!AJ88+'FWD Volumetric'!AJ88+'IB'!AJ88+'IB Volumetric'!AJ88+'OB'!AJ88+'OB Volumetric'!AJ88+'OSC Bag Sorting'!AJ88+'OSC Bag Sorting Volumetric'!AJ88+'REV FSM'!AJ88+'Rejection Primary with Scan'!AJ88+'Rejection Secondary'!AJ88+'Rev DC DC Primary Sorting'!AJ88+'Rev Primary (FSM Rejections)'!AJ88+'Rev Secondary Sorting'!AJ88+'VIA Bag Sorting'!AJ88</f>
        <v/>
      </c>
      <c r="AK88" s="7">
        <f>'BBB'!AK88+'Bag Staging'!AK88+'Bag Staging Volumetric'!AK88+'FWD FSM'!AK88+'FWD Manual Pre Primary'!AK88+'FWD Manual Primary'!AK88+'FWD Primary with Scan'!AK88+'FWD Secondary'!AK88+'FWD Volumetric'!AK88+'IB'!AK88+'IB Volumetric'!AK88+'OB'!AK88+'OB Volumetric'!AK88+'OSC Bag Sorting'!AK88+'OSC Bag Sorting Volumetric'!AK88+'REV FSM'!AK88+'Rejection Primary with Scan'!AK88+'Rejection Secondary'!AK88+'Rev DC DC Primary Sorting'!AK88+'Rev Primary (FSM Rejections)'!AK88+'Rev Secondary Sorting'!AK88+'VIA Bag Sorting'!AK88</f>
        <v/>
      </c>
      <c r="AL88" s="7">
        <f>'BBB'!AL88+'Bag Staging'!AL88+'Bag Staging Volumetric'!AL88+'FWD FSM'!AL88+'FWD Manual Pre Primary'!AL88+'FWD Manual Primary'!AL88+'FWD Primary with Scan'!AL88+'FWD Secondary'!AL88+'FWD Volumetric'!AL88+'IB'!AL88+'IB Volumetric'!AL88+'OB'!AL88+'OB Volumetric'!AL88+'OSC Bag Sorting'!AL88+'OSC Bag Sorting Volumetric'!AL88+'REV FSM'!AL88+'Rejection Primary with Scan'!AL88+'Rejection Secondary'!AL88+'Rev DC DC Primary Sorting'!AL88+'Rev Primary (FSM Rejections)'!AL88+'Rev Secondary Sorting'!AL88+'VIA Bag Sorting'!AL88</f>
        <v/>
      </c>
      <c r="AM88" s="7">
        <f>'BBB'!AM88+'Bag Staging'!AM88+'Bag Staging Volumetric'!AM88+'FWD FSM'!AM88+'FWD Manual Pre Primary'!AM88+'FWD Manual Primary'!AM88+'FWD Primary with Scan'!AM88+'FWD Secondary'!AM88+'FWD Volumetric'!AM88+'IB'!AM88+'IB Volumetric'!AM88+'OB'!AM88+'OB Volumetric'!AM88+'OSC Bag Sorting'!AM88+'OSC Bag Sorting Volumetric'!AM88+'REV FSM'!AM88+'Rejection Primary with Scan'!AM88+'Rejection Secondary'!AM88+'Rev DC DC Primary Sorting'!AM88+'Rev Primary (FSM Rejections)'!AM88+'Rev Secondary Sorting'!AM88+'VIA Bag Sorting'!AM88</f>
        <v/>
      </c>
      <c r="AN88" s="7">
        <f>'BBB'!AN88+'Bag Staging'!AN88+'Bag Staging Volumetric'!AN88+'FWD FSM'!AN88+'FWD Manual Pre Primary'!AN88+'FWD Manual Primary'!AN88+'FWD Primary with Scan'!AN88+'FWD Secondary'!AN88+'FWD Volumetric'!AN88+'IB'!AN88+'IB Volumetric'!AN88+'OB'!AN88+'OB Volumetric'!AN88+'OSC Bag Sorting'!AN88+'OSC Bag Sorting Volumetric'!AN88+'REV FSM'!AN88+'Rejection Primary with Scan'!AN88+'Rejection Secondary'!AN88+'Rev DC DC Primary Sorting'!AN88+'Rev Primary (FSM Rejections)'!AN88+'Rev Secondary Sorting'!AN88+'VIA Bag Sorting'!AN88</f>
        <v/>
      </c>
      <c r="AO88" s="7">
        <f>'BBB'!AO88+'Bag Staging'!AO88+'Bag Staging Volumetric'!AO88+'FWD FSM'!AO88+'FWD Manual Pre Primary'!AO88+'FWD Manual Primary'!AO88+'FWD Primary with Scan'!AO88+'FWD Secondary'!AO88+'FWD Volumetric'!AO88+'IB'!AO88+'IB Volumetric'!AO88+'OB'!AO88+'OB Volumetric'!AO88+'OSC Bag Sorting'!AO88+'OSC Bag Sorting Volumetric'!AO88+'REV FSM'!AO88+'Rejection Primary with Scan'!AO88+'Rejection Secondary'!AO88+'Rev DC DC Primary Sorting'!AO88+'Rev Primary (FSM Rejections)'!AO88+'Rev Secondary Sorting'!AO88+'VIA Bag Sorting'!AO88</f>
        <v/>
      </c>
      <c r="AP88" s="7">
        <f>'BBB'!AP88+'Bag Staging'!AP88+'Bag Staging Volumetric'!AP88+'FWD FSM'!AP88+'FWD Manual Pre Primary'!AP88+'FWD Manual Primary'!AP88+'FWD Primary with Scan'!AP88+'FWD Secondary'!AP88+'FWD Volumetric'!AP88+'IB'!AP88+'IB Volumetric'!AP88+'OB'!AP88+'OB Volumetric'!AP88+'OSC Bag Sorting'!AP88+'OSC Bag Sorting Volumetric'!AP88+'REV FSM'!AP88+'Rejection Primary with Scan'!AP88+'Rejection Secondary'!AP88+'Rev DC DC Primary Sorting'!AP88+'Rev Primary (FSM Rejections)'!AP88+'Rev Secondary Sorting'!AP88+'VIA Bag Sorting'!AP88</f>
        <v/>
      </c>
      <c r="AQ88" s="7">
        <f>'BBB'!AQ88+'Bag Staging'!AQ88+'Bag Staging Volumetric'!AQ88+'FWD FSM'!AQ88+'FWD Manual Pre Primary'!AQ88+'FWD Manual Primary'!AQ88+'FWD Primary with Scan'!AQ88+'FWD Secondary'!AQ88+'FWD Volumetric'!AQ88+'IB'!AQ88+'IB Volumetric'!AQ88+'OB'!AQ88+'OB Volumetric'!AQ88+'OSC Bag Sorting'!AQ88+'OSC Bag Sorting Volumetric'!AQ88+'REV FSM'!AQ88+'Rejection Primary with Scan'!AQ88+'Rejection Secondary'!AQ88+'Rev DC DC Primary Sorting'!AQ88+'Rev Primary (FSM Rejections)'!AQ88+'Rev Secondary Sorting'!AQ88+'VIA Bag Sorting'!AQ88</f>
        <v/>
      </c>
      <c r="AR88" s="7">
        <f>'BBB'!AR88+'Bag Staging'!AR88+'Bag Staging Volumetric'!AR88+'FWD FSM'!AR88+'FWD Manual Pre Primary'!AR88+'FWD Manual Primary'!AR88+'FWD Primary with Scan'!AR88+'FWD Secondary'!AR88+'FWD Volumetric'!AR88+'IB'!AR88+'IB Volumetric'!AR88+'OB'!AR88+'OB Volumetric'!AR88+'OSC Bag Sorting'!AR88+'OSC Bag Sorting Volumetric'!AR88+'REV FSM'!AR88+'Rejection Primary with Scan'!AR88+'Rejection Secondary'!AR88+'Rev DC DC Primary Sorting'!AR88+'Rev Primary (FSM Rejections)'!AR88+'Rev Secondary Sorting'!AR88+'VIA Bag Sorting'!AR88</f>
        <v/>
      </c>
      <c r="AS88" s="7">
        <f>'BBB'!AS88+'Bag Staging'!AS88+'Bag Staging Volumetric'!AS88+'FWD FSM'!AS88+'FWD Manual Pre Primary'!AS88+'FWD Manual Primary'!AS88+'FWD Primary with Scan'!AS88+'FWD Secondary'!AS88+'FWD Volumetric'!AS88+'IB'!AS88+'IB Volumetric'!AS88+'OB'!AS88+'OB Volumetric'!AS88+'OSC Bag Sorting'!AS88+'OSC Bag Sorting Volumetric'!AS88+'REV FSM'!AS88+'Rejection Primary with Scan'!AS88+'Rejection Secondary'!AS88+'Rev DC DC Primary Sorting'!AS88+'Rev Primary (FSM Rejections)'!AS88+'Rev Secondary Sorting'!AS88+'VIA Bag Sorting'!AS88</f>
        <v/>
      </c>
      <c r="AT88" s="7">
        <f>'BBB'!AT88+'Bag Staging'!AT88+'Bag Staging Volumetric'!AT88+'FWD FSM'!AT88+'FWD Manual Pre Primary'!AT88+'FWD Manual Primary'!AT88+'FWD Primary with Scan'!AT88+'FWD Secondary'!AT88+'FWD Volumetric'!AT88+'IB'!AT88+'IB Volumetric'!AT88+'OB'!AT88+'OB Volumetric'!AT88+'OSC Bag Sorting'!AT88+'OSC Bag Sorting Volumetric'!AT88+'REV FSM'!AT88+'Rejection Primary with Scan'!AT88+'Rejection Secondary'!AT88+'Rev DC DC Primary Sorting'!AT88+'Rev Primary (FSM Rejections)'!AT88+'Rev Secondary Sorting'!AT88+'VIA Bag Sorting'!AT88</f>
        <v/>
      </c>
      <c r="AU88" s="7">
        <f>'BBB'!AU88+'Bag Staging'!AU88+'Bag Staging Volumetric'!AU88+'FWD FSM'!AU88+'FWD Manual Pre Primary'!AU88+'FWD Manual Primary'!AU88+'FWD Primary with Scan'!AU88+'FWD Secondary'!AU88+'FWD Volumetric'!AU88+'IB'!AU88+'IB Volumetric'!AU88+'OB'!AU88+'OB Volumetric'!AU88+'OSC Bag Sorting'!AU88+'OSC Bag Sorting Volumetric'!AU88+'REV FSM'!AU88+'Rejection Primary with Scan'!AU88+'Rejection Secondary'!AU88+'Rev DC DC Primary Sorting'!AU88+'Rev Primary (FSM Rejections)'!AU88+'Rev Secondary Sorting'!AU88+'VIA Bag Sorting'!AU88</f>
        <v/>
      </c>
      <c r="AV88" s="7">
        <f>'BBB'!AV88+'Bag Staging'!AV88+'Bag Staging Volumetric'!AV88+'FWD FSM'!AV88+'FWD Manual Pre Primary'!AV88+'FWD Manual Primary'!AV88+'FWD Primary with Scan'!AV88+'FWD Secondary'!AV88+'FWD Volumetric'!AV88+'IB'!AV88+'IB Volumetric'!AV88+'OB'!AV88+'OB Volumetric'!AV88+'OSC Bag Sorting'!AV88+'OSC Bag Sorting Volumetric'!AV88+'REV FSM'!AV88+'Rejection Primary with Scan'!AV88+'Rejection Secondary'!AV88+'Rev DC DC Primary Sorting'!AV88+'Rev Primary (FSM Rejections)'!AV88+'Rev Secondary Sorting'!AV88+'VIA Bag Sorting'!AV88</f>
        <v/>
      </c>
      <c r="AW88" s="7">
        <f>'BBB'!AW88+'Bag Staging'!AW88+'Bag Staging Volumetric'!AW88+'FWD FSM'!AW88+'FWD Manual Pre Primary'!AW88+'FWD Manual Primary'!AW88+'FWD Primary with Scan'!AW88+'FWD Secondary'!AW88+'FWD Volumetric'!AW88+'IB'!AW88+'IB Volumetric'!AW88+'OB'!AW88+'OB Volumetric'!AW88+'OSC Bag Sorting'!AW88+'OSC Bag Sorting Volumetric'!AW88+'REV FSM'!AW88+'Rejection Primary with Scan'!AW88+'Rejection Secondary'!AW88+'Rev DC DC Primary Sorting'!AW88+'Rev Primary (FSM Rejections)'!AW88+'Rev Secondary Sorting'!AW88+'VIA Bag Sorting'!AW88</f>
        <v/>
      </c>
      <c r="AX88" s="7">
        <f>'BBB'!AX88+'Bag Staging'!AX88+'Bag Staging Volumetric'!AX88+'FWD FSM'!AX88+'FWD Manual Pre Primary'!AX88+'FWD Manual Primary'!AX88+'FWD Primary with Scan'!AX88+'FWD Secondary'!AX88+'FWD Volumetric'!AX88+'IB'!AX88+'IB Volumetric'!AX88+'OB'!AX88+'OB Volumetric'!AX88+'OSC Bag Sorting'!AX88+'OSC Bag Sorting Volumetric'!AX88+'REV FSM'!AX88+'Rejection Primary with Scan'!AX88+'Rejection Secondary'!AX88+'Rev DC DC Primary Sorting'!AX88+'Rev Primary (FSM Rejections)'!AX88+'Rev Secondary Sorting'!AX88+'VIA Bag Sorting'!AX88</f>
        <v/>
      </c>
      <c r="AY88" s="7">
        <f>'BBB'!AY88+'Bag Staging'!AY88+'Bag Staging Volumetric'!AY88+'FWD FSM'!AY88+'FWD Manual Pre Primary'!AY88+'FWD Manual Primary'!AY88+'FWD Primary with Scan'!AY88+'FWD Secondary'!AY88+'FWD Volumetric'!AY88+'IB'!AY88+'IB Volumetric'!AY88+'OB'!AY88+'OB Volumetric'!AY88+'OSC Bag Sorting'!AY88+'OSC Bag Sorting Volumetric'!AY88+'REV FSM'!AY88+'Rejection Primary with Scan'!AY88+'Rejection Secondary'!AY88+'Rev DC DC Primary Sorting'!AY88+'Rev Primary (FSM Rejections)'!AY88+'Rev Secondary Sorting'!AY88+'VIA Bag Sorting'!AY88</f>
        <v/>
      </c>
      <c r="AZ88" s="7">
        <f>'BBB'!AZ88+'Bag Staging'!AZ88+'Bag Staging Volumetric'!AZ88+'FWD FSM'!AZ88+'FWD Manual Pre Primary'!AZ88+'FWD Manual Primary'!AZ88+'FWD Primary with Scan'!AZ88+'FWD Secondary'!AZ88+'FWD Volumetric'!AZ88+'IB'!AZ88+'IB Volumetric'!AZ88+'OB'!AZ88+'OB Volumetric'!AZ88+'OSC Bag Sorting'!AZ88+'OSC Bag Sorting Volumetric'!AZ88+'REV FSM'!AZ88+'Rejection Primary with Scan'!AZ88+'Rejection Secondary'!AZ88+'Rev DC DC Primary Sorting'!AZ88+'Rev Primary (FSM Rejections)'!AZ88+'Rev Secondary Sorting'!AZ88+'VIA Bag Sorting'!AZ88</f>
        <v/>
      </c>
      <c r="BA88" s="7">
        <f>'BBB'!BA88+'Bag Staging'!BA88+'Bag Staging Volumetric'!BA88+'FWD FSM'!BA88+'FWD Manual Pre Primary'!BA88+'FWD Manual Primary'!BA88+'FWD Primary with Scan'!BA88+'FWD Secondary'!BA88+'FWD Volumetric'!BA88+'IB'!BA88+'IB Volumetric'!BA88+'OB'!BA88+'OB Volumetric'!BA88+'OSC Bag Sorting'!BA88+'OSC Bag Sorting Volumetric'!BA88+'REV FSM'!BA88+'Rejection Primary with Scan'!BA88+'Rejection Secondary'!BA88+'Rev DC DC Primary Sorting'!BA88+'Rev Primary (FSM Rejections)'!BA88+'Rev Secondary Sorting'!BA88+'VIA Bag Sorting'!BA88</f>
        <v/>
      </c>
      <c r="BB88" s="7">
        <f>SUM(AD88:BA88)</f>
        <v/>
      </c>
    </row>
    <row r="89">
      <c r="A89" t="inlineStr">
        <is>
          <t>AMD-RTS-RCLS-1302-SSC</t>
        </is>
      </c>
      <c r="B89" t="inlineStr">
        <is>
          <t>Rev OSC</t>
        </is>
      </c>
      <c r="C89" s="5" t="n">
        <v>46093</v>
      </c>
      <c r="D89" s="6" t="n">
        <v>1234</v>
      </c>
      <c r="E89" s="6" t="n">
        <v>348</v>
      </c>
      <c r="F89" s="6" t="n">
        <v>1341</v>
      </c>
      <c r="G89" s="6" t="n">
        <v>1387</v>
      </c>
      <c r="H89" s="6" t="n">
        <v>1272</v>
      </c>
      <c r="I89" s="6" t="n">
        <v>1714</v>
      </c>
      <c r="J89" s="6" t="n">
        <v>1447</v>
      </c>
      <c r="K89" s="6" t="n">
        <v>10</v>
      </c>
      <c r="L89" s="6" t="n">
        <v>612</v>
      </c>
      <c r="M89" s="6" t="n">
        <v>734</v>
      </c>
      <c r="N89" s="6" t="n">
        <v>1491</v>
      </c>
      <c r="O89" s="6" t="n">
        <v>383</v>
      </c>
      <c r="P89" s="6" t="n">
        <v>51</v>
      </c>
      <c r="Q89" s="6" t="n">
        <v>787</v>
      </c>
      <c r="R89" s="6" t="n">
        <v>3617</v>
      </c>
      <c r="S89" s="6" t="n">
        <v>3175</v>
      </c>
      <c r="T89" s="6" t="n">
        <v>6</v>
      </c>
      <c r="U89" s="6" t="n">
        <v>874</v>
      </c>
      <c r="V89" s="6" t="n">
        <v>1025</v>
      </c>
      <c r="W89" s="6" t="n">
        <v>1761</v>
      </c>
      <c r="X89" s="6" t="n">
        <v>1258</v>
      </c>
      <c r="Y89" s="6" t="n">
        <v>1453</v>
      </c>
      <c r="Z89" s="6" t="n">
        <v>12</v>
      </c>
      <c r="AA89" s="6" t="n">
        <v>653</v>
      </c>
      <c r="AB89" s="6">
        <f>SUM(D89:AA89)</f>
        <v/>
      </c>
      <c r="AC89" s="3" t="inlineStr"/>
      <c r="AD89" s="7">
        <f>'BBB'!AD89+'Bag Staging'!AD89+'Bag Staging Volumetric'!AD89+'FWD FSM'!AD89+'FWD Manual Pre Primary'!AD89+'FWD Manual Primary'!AD89+'FWD Primary with Scan'!AD89+'FWD Secondary'!AD89+'FWD Volumetric'!AD89+'IB'!AD89+'IB Volumetric'!AD89+'OB'!AD89+'OB Volumetric'!AD89+'OSC Bag Sorting'!AD89+'OSC Bag Sorting Volumetric'!AD89+'REV FSM'!AD89+'Rejection Primary with Scan'!AD89+'Rejection Secondary'!AD89+'Rev DC DC Primary Sorting'!AD89+'Rev Primary (FSM Rejections)'!AD89+'Rev Secondary Sorting'!AD89+'VIA Bag Sorting'!AD89</f>
        <v/>
      </c>
      <c r="AE89" s="7">
        <f>'BBB'!AE89+'Bag Staging'!AE89+'Bag Staging Volumetric'!AE89+'FWD FSM'!AE89+'FWD Manual Pre Primary'!AE89+'FWD Manual Primary'!AE89+'FWD Primary with Scan'!AE89+'FWD Secondary'!AE89+'FWD Volumetric'!AE89+'IB'!AE89+'IB Volumetric'!AE89+'OB'!AE89+'OB Volumetric'!AE89+'OSC Bag Sorting'!AE89+'OSC Bag Sorting Volumetric'!AE89+'REV FSM'!AE89+'Rejection Primary with Scan'!AE89+'Rejection Secondary'!AE89+'Rev DC DC Primary Sorting'!AE89+'Rev Primary (FSM Rejections)'!AE89+'Rev Secondary Sorting'!AE89+'VIA Bag Sorting'!AE89</f>
        <v/>
      </c>
      <c r="AF89" s="7">
        <f>'BBB'!AF89+'Bag Staging'!AF89+'Bag Staging Volumetric'!AF89+'FWD FSM'!AF89+'FWD Manual Pre Primary'!AF89+'FWD Manual Primary'!AF89+'FWD Primary with Scan'!AF89+'FWD Secondary'!AF89+'FWD Volumetric'!AF89+'IB'!AF89+'IB Volumetric'!AF89+'OB'!AF89+'OB Volumetric'!AF89+'OSC Bag Sorting'!AF89+'OSC Bag Sorting Volumetric'!AF89+'REV FSM'!AF89+'Rejection Primary with Scan'!AF89+'Rejection Secondary'!AF89+'Rev DC DC Primary Sorting'!AF89+'Rev Primary (FSM Rejections)'!AF89+'Rev Secondary Sorting'!AF89+'VIA Bag Sorting'!AF89</f>
        <v/>
      </c>
      <c r="AG89" s="7">
        <f>'BBB'!AG89+'Bag Staging'!AG89+'Bag Staging Volumetric'!AG89+'FWD FSM'!AG89+'FWD Manual Pre Primary'!AG89+'FWD Manual Primary'!AG89+'FWD Primary with Scan'!AG89+'FWD Secondary'!AG89+'FWD Volumetric'!AG89+'IB'!AG89+'IB Volumetric'!AG89+'OB'!AG89+'OB Volumetric'!AG89+'OSC Bag Sorting'!AG89+'OSC Bag Sorting Volumetric'!AG89+'REV FSM'!AG89+'Rejection Primary with Scan'!AG89+'Rejection Secondary'!AG89+'Rev DC DC Primary Sorting'!AG89+'Rev Primary (FSM Rejections)'!AG89+'Rev Secondary Sorting'!AG89+'VIA Bag Sorting'!AG89</f>
        <v/>
      </c>
      <c r="AH89" s="7">
        <f>'BBB'!AH89+'Bag Staging'!AH89+'Bag Staging Volumetric'!AH89+'FWD FSM'!AH89+'FWD Manual Pre Primary'!AH89+'FWD Manual Primary'!AH89+'FWD Primary with Scan'!AH89+'FWD Secondary'!AH89+'FWD Volumetric'!AH89+'IB'!AH89+'IB Volumetric'!AH89+'OB'!AH89+'OB Volumetric'!AH89+'OSC Bag Sorting'!AH89+'OSC Bag Sorting Volumetric'!AH89+'REV FSM'!AH89+'Rejection Primary with Scan'!AH89+'Rejection Secondary'!AH89+'Rev DC DC Primary Sorting'!AH89+'Rev Primary (FSM Rejections)'!AH89+'Rev Secondary Sorting'!AH89+'VIA Bag Sorting'!AH89</f>
        <v/>
      </c>
      <c r="AI89" s="7">
        <f>'BBB'!AI89+'Bag Staging'!AI89+'Bag Staging Volumetric'!AI89+'FWD FSM'!AI89+'FWD Manual Pre Primary'!AI89+'FWD Manual Primary'!AI89+'FWD Primary with Scan'!AI89+'FWD Secondary'!AI89+'FWD Volumetric'!AI89+'IB'!AI89+'IB Volumetric'!AI89+'OB'!AI89+'OB Volumetric'!AI89+'OSC Bag Sorting'!AI89+'OSC Bag Sorting Volumetric'!AI89+'REV FSM'!AI89+'Rejection Primary with Scan'!AI89+'Rejection Secondary'!AI89+'Rev DC DC Primary Sorting'!AI89+'Rev Primary (FSM Rejections)'!AI89+'Rev Secondary Sorting'!AI89+'VIA Bag Sorting'!AI89</f>
        <v/>
      </c>
      <c r="AJ89" s="7">
        <f>'BBB'!AJ89+'Bag Staging'!AJ89+'Bag Staging Volumetric'!AJ89+'FWD FSM'!AJ89+'FWD Manual Pre Primary'!AJ89+'FWD Manual Primary'!AJ89+'FWD Primary with Scan'!AJ89+'FWD Secondary'!AJ89+'FWD Volumetric'!AJ89+'IB'!AJ89+'IB Volumetric'!AJ89+'OB'!AJ89+'OB Volumetric'!AJ89+'OSC Bag Sorting'!AJ89+'OSC Bag Sorting Volumetric'!AJ89+'REV FSM'!AJ89+'Rejection Primary with Scan'!AJ89+'Rejection Secondary'!AJ89+'Rev DC DC Primary Sorting'!AJ89+'Rev Primary (FSM Rejections)'!AJ89+'Rev Secondary Sorting'!AJ89+'VIA Bag Sorting'!AJ89</f>
        <v/>
      </c>
      <c r="AK89" s="7">
        <f>'BBB'!AK89+'Bag Staging'!AK89+'Bag Staging Volumetric'!AK89+'FWD FSM'!AK89+'FWD Manual Pre Primary'!AK89+'FWD Manual Primary'!AK89+'FWD Primary with Scan'!AK89+'FWD Secondary'!AK89+'FWD Volumetric'!AK89+'IB'!AK89+'IB Volumetric'!AK89+'OB'!AK89+'OB Volumetric'!AK89+'OSC Bag Sorting'!AK89+'OSC Bag Sorting Volumetric'!AK89+'REV FSM'!AK89+'Rejection Primary with Scan'!AK89+'Rejection Secondary'!AK89+'Rev DC DC Primary Sorting'!AK89+'Rev Primary (FSM Rejections)'!AK89+'Rev Secondary Sorting'!AK89+'VIA Bag Sorting'!AK89</f>
        <v/>
      </c>
      <c r="AL89" s="7">
        <f>'BBB'!AL89+'Bag Staging'!AL89+'Bag Staging Volumetric'!AL89+'FWD FSM'!AL89+'FWD Manual Pre Primary'!AL89+'FWD Manual Primary'!AL89+'FWD Primary with Scan'!AL89+'FWD Secondary'!AL89+'FWD Volumetric'!AL89+'IB'!AL89+'IB Volumetric'!AL89+'OB'!AL89+'OB Volumetric'!AL89+'OSC Bag Sorting'!AL89+'OSC Bag Sorting Volumetric'!AL89+'REV FSM'!AL89+'Rejection Primary with Scan'!AL89+'Rejection Secondary'!AL89+'Rev DC DC Primary Sorting'!AL89+'Rev Primary (FSM Rejections)'!AL89+'Rev Secondary Sorting'!AL89+'VIA Bag Sorting'!AL89</f>
        <v/>
      </c>
      <c r="AM89" s="7">
        <f>'BBB'!AM89+'Bag Staging'!AM89+'Bag Staging Volumetric'!AM89+'FWD FSM'!AM89+'FWD Manual Pre Primary'!AM89+'FWD Manual Primary'!AM89+'FWD Primary with Scan'!AM89+'FWD Secondary'!AM89+'FWD Volumetric'!AM89+'IB'!AM89+'IB Volumetric'!AM89+'OB'!AM89+'OB Volumetric'!AM89+'OSC Bag Sorting'!AM89+'OSC Bag Sorting Volumetric'!AM89+'REV FSM'!AM89+'Rejection Primary with Scan'!AM89+'Rejection Secondary'!AM89+'Rev DC DC Primary Sorting'!AM89+'Rev Primary (FSM Rejections)'!AM89+'Rev Secondary Sorting'!AM89+'VIA Bag Sorting'!AM89</f>
        <v/>
      </c>
      <c r="AN89" s="7">
        <f>'BBB'!AN89+'Bag Staging'!AN89+'Bag Staging Volumetric'!AN89+'FWD FSM'!AN89+'FWD Manual Pre Primary'!AN89+'FWD Manual Primary'!AN89+'FWD Primary with Scan'!AN89+'FWD Secondary'!AN89+'FWD Volumetric'!AN89+'IB'!AN89+'IB Volumetric'!AN89+'OB'!AN89+'OB Volumetric'!AN89+'OSC Bag Sorting'!AN89+'OSC Bag Sorting Volumetric'!AN89+'REV FSM'!AN89+'Rejection Primary with Scan'!AN89+'Rejection Secondary'!AN89+'Rev DC DC Primary Sorting'!AN89+'Rev Primary (FSM Rejections)'!AN89+'Rev Secondary Sorting'!AN89+'VIA Bag Sorting'!AN89</f>
        <v/>
      </c>
      <c r="AO89" s="7">
        <f>'BBB'!AO89+'Bag Staging'!AO89+'Bag Staging Volumetric'!AO89+'FWD FSM'!AO89+'FWD Manual Pre Primary'!AO89+'FWD Manual Primary'!AO89+'FWD Primary with Scan'!AO89+'FWD Secondary'!AO89+'FWD Volumetric'!AO89+'IB'!AO89+'IB Volumetric'!AO89+'OB'!AO89+'OB Volumetric'!AO89+'OSC Bag Sorting'!AO89+'OSC Bag Sorting Volumetric'!AO89+'REV FSM'!AO89+'Rejection Primary with Scan'!AO89+'Rejection Secondary'!AO89+'Rev DC DC Primary Sorting'!AO89+'Rev Primary (FSM Rejections)'!AO89+'Rev Secondary Sorting'!AO89+'VIA Bag Sorting'!AO89</f>
        <v/>
      </c>
      <c r="AP89" s="7">
        <f>'BBB'!AP89+'Bag Staging'!AP89+'Bag Staging Volumetric'!AP89+'FWD FSM'!AP89+'FWD Manual Pre Primary'!AP89+'FWD Manual Primary'!AP89+'FWD Primary with Scan'!AP89+'FWD Secondary'!AP89+'FWD Volumetric'!AP89+'IB'!AP89+'IB Volumetric'!AP89+'OB'!AP89+'OB Volumetric'!AP89+'OSC Bag Sorting'!AP89+'OSC Bag Sorting Volumetric'!AP89+'REV FSM'!AP89+'Rejection Primary with Scan'!AP89+'Rejection Secondary'!AP89+'Rev DC DC Primary Sorting'!AP89+'Rev Primary (FSM Rejections)'!AP89+'Rev Secondary Sorting'!AP89+'VIA Bag Sorting'!AP89</f>
        <v/>
      </c>
      <c r="AQ89" s="7">
        <f>'BBB'!AQ89+'Bag Staging'!AQ89+'Bag Staging Volumetric'!AQ89+'FWD FSM'!AQ89+'FWD Manual Pre Primary'!AQ89+'FWD Manual Primary'!AQ89+'FWD Primary with Scan'!AQ89+'FWD Secondary'!AQ89+'FWD Volumetric'!AQ89+'IB'!AQ89+'IB Volumetric'!AQ89+'OB'!AQ89+'OB Volumetric'!AQ89+'OSC Bag Sorting'!AQ89+'OSC Bag Sorting Volumetric'!AQ89+'REV FSM'!AQ89+'Rejection Primary with Scan'!AQ89+'Rejection Secondary'!AQ89+'Rev DC DC Primary Sorting'!AQ89+'Rev Primary (FSM Rejections)'!AQ89+'Rev Secondary Sorting'!AQ89+'VIA Bag Sorting'!AQ89</f>
        <v/>
      </c>
      <c r="AR89" s="7">
        <f>'BBB'!AR89+'Bag Staging'!AR89+'Bag Staging Volumetric'!AR89+'FWD FSM'!AR89+'FWD Manual Pre Primary'!AR89+'FWD Manual Primary'!AR89+'FWD Primary with Scan'!AR89+'FWD Secondary'!AR89+'FWD Volumetric'!AR89+'IB'!AR89+'IB Volumetric'!AR89+'OB'!AR89+'OB Volumetric'!AR89+'OSC Bag Sorting'!AR89+'OSC Bag Sorting Volumetric'!AR89+'REV FSM'!AR89+'Rejection Primary with Scan'!AR89+'Rejection Secondary'!AR89+'Rev DC DC Primary Sorting'!AR89+'Rev Primary (FSM Rejections)'!AR89+'Rev Secondary Sorting'!AR89+'VIA Bag Sorting'!AR89</f>
        <v/>
      </c>
      <c r="AS89" s="7">
        <f>'BBB'!AS89+'Bag Staging'!AS89+'Bag Staging Volumetric'!AS89+'FWD FSM'!AS89+'FWD Manual Pre Primary'!AS89+'FWD Manual Primary'!AS89+'FWD Primary with Scan'!AS89+'FWD Secondary'!AS89+'FWD Volumetric'!AS89+'IB'!AS89+'IB Volumetric'!AS89+'OB'!AS89+'OB Volumetric'!AS89+'OSC Bag Sorting'!AS89+'OSC Bag Sorting Volumetric'!AS89+'REV FSM'!AS89+'Rejection Primary with Scan'!AS89+'Rejection Secondary'!AS89+'Rev DC DC Primary Sorting'!AS89+'Rev Primary (FSM Rejections)'!AS89+'Rev Secondary Sorting'!AS89+'VIA Bag Sorting'!AS89</f>
        <v/>
      </c>
      <c r="AT89" s="7">
        <f>'BBB'!AT89+'Bag Staging'!AT89+'Bag Staging Volumetric'!AT89+'FWD FSM'!AT89+'FWD Manual Pre Primary'!AT89+'FWD Manual Primary'!AT89+'FWD Primary with Scan'!AT89+'FWD Secondary'!AT89+'FWD Volumetric'!AT89+'IB'!AT89+'IB Volumetric'!AT89+'OB'!AT89+'OB Volumetric'!AT89+'OSC Bag Sorting'!AT89+'OSC Bag Sorting Volumetric'!AT89+'REV FSM'!AT89+'Rejection Primary with Scan'!AT89+'Rejection Secondary'!AT89+'Rev DC DC Primary Sorting'!AT89+'Rev Primary (FSM Rejections)'!AT89+'Rev Secondary Sorting'!AT89+'VIA Bag Sorting'!AT89</f>
        <v/>
      </c>
      <c r="AU89" s="7">
        <f>'BBB'!AU89+'Bag Staging'!AU89+'Bag Staging Volumetric'!AU89+'FWD FSM'!AU89+'FWD Manual Pre Primary'!AU89+'FWD Manual Primary'!AU89+'FWD Primary with Scan'!AU89+'FWD Secondary'!AU89+'FWD Volumetric'!AU89+'IB'!AU89+'IB Volumetric'!AU89+'OB'!AU89+'OB Volumetric'!AU89+'OSC Bag Sorting'!AU89+'OSC Bag Sorting Volumetric'!AU89+'REV FSM'!AU89+'Rejection Primary with Scan'!AU89+'Rejection Secondary'!AU89+'Rev DC DC Primary Sorting'!AU89+'Rev Primary (FSM Rejections)'!AU89+'Rev Secondary Sorting'!AU89+'VIA Bag Sorting'!AU89</f>
        <v/>
      </c>
      <c r="AV89" s="7">
        <f>'BBB'!AV89+'Bag Staging'!AV89+'Bag Staging Volumetric'!AV89+'FWD FSM'!AV89+'FWD Manual Pre Primary'!AV89+'FWD Manual Primary'!AV89+'FWD Primary with Scan'!AV89+'FWD Secondary'!AV89+'FWD Volumetric'!AV89+'IB'!AV89+'IB Volumetric'!AV89+'OB'!AV89+'OB Volumetric'!AV89+'OSC Bag Sorting'!AV89+'OSC Bag Sorting Volumetric'!AV89+'REV FSM'!AV89+'Rejection Primary with Scan'!AV89+'Rejection Secondary'!AV89+'Rev DC DC Primary Sorting'!AV89+'Rev Primary (FSM Rejections)'!AV89+'Rev Secondary Sorting'!AV89+'VIA Bag Sorting'!AV89</f>
        <v/>
      </c>
      <c r="AW89" s="7">
        <f>'BBB'!AW89+'Bag Staging'!AW89+'Bag Staging Volumetric'!AW89+'FWD FSM'!AW89+'FWD Manual Pre Primary'!AW89+'FWD Manual Primary'!AW89+'FWD Primary with Scan'!AW89+'FWD Secondary'!AW89+'FWD Volumetric'!AW89+'IB'!AW89+'IB Volumetric'!AW89+'OB'!AW89+'OB Volumetric'!AW89+'OSC Bag Sorting'!AW89+'OSC Bag Sorting Volumetric'!AW89+'REV FSM'!AW89+'Rejection Primary with Scan'!AW89+'Rejection Secondary'!AW89+'Rev DC DC Primary Sorting'!AW89+'Rev Primary (FSM Rejections)'!AW89+'Rev Secondary Sorting'!AW89+'VIA Bag Sorting'!AW89</f>
        <v/>
      </c>
      <c r="AX89" s="7">
        <f>'BBB'!AX89+'Bag Staging'!AX89+'Bag Staging Volumetric'!AX89+'FWD FSM'!AX89+'FWD Manual Pre Primary'!AX89+'FWD Manual Primary'!AX89+'FWD Primary with Scan'!AX89+'FWD Secondary'!AX89+'FWD Volumetric'!AX89+'IB'!AX89+'IB Volumetric'!AX89+'OB'!AX89+'OB Volumetric'!AX89+'OSC Bag Sorting'!AX89+'OSC Bag Sorting Volumetric'!AX89+'REV FSM'!AX89+'Rejection Primary with Scan'!AX89+'Rejection Secondary'!AX89+'Rev DC DC Primary Sorting'!AX89+'Rev Primary (FSM Rejections)'!AX89+'Rev Secondary Sorting'!AX89+'VIA Bag Sorting'!AX89</f>
        <v/>
      </c>
      <c r="AY89" s="7">
        <f>'BBB'!AY89+'Bag Staging'!AY89+'Bag Staging Volumetric'!AY89+'FWD FSM'!AY89+'FWD Manual Pre Primary'!AY89+'FWD Manual Primary'!AY89+'FWD Primary with Scan'!AY89+'FWD Secondary'!AY89+'FWD Volumetric'!AY89+'IB'!AY89+'IB Volumetric'!AY89+'OB'!AY89+'OB Volumetric'!AY89+'OSC Bag Sorting'!AY89+'OSC Bag Sorting Volumetric'!AY89+'REV FSM'!AY89+'Rejection Primary with Scan'!AY89+'Rejection Secondary'!AY89+'Rev DC DC Primary Sorting'!AY89+'Rev Primary (FSM Rejections)'!AY89+'Rev Secondary Sorting'!AY89+'VIA Bag Sorting'!AY89</f>
        <v/>
      </c>
      <c r="AZ89" s="7">
        <f>'BBB'!AZ89+'Bag Staging'!AZ89+'Bag Staging Volumetric'!AZ89+'FWD FSM'!AZ89+'FWD Manual Pre Primary'!AZ89+'FWD Manual Primary'!AZ89+'FWD Primary with Scan'!AZ89+'FWD Secondary'!AZ89+'FWD Volumetric'!AZ89+'IB'!AZ89+'IB Volumetric'!AZ89+'OB'!AZ89+'OB Volumetric'!AZ89+'OSC Bag Sorting'!AZ89+'OSC Bag Sorting Volumetric'!AZ89+'REV FSM'!AZ89+'Rejection Primary with Scan'!AZ89+'Rejection Secondary'!AZ89+'Rev DC DC Primary Sorting'!AZ89+'Rev Primary (FSM Rejections)'!AZ89+'Rev Secondary Sorting'!AZ89+'VIA Bag Sorting'!AZ89</f>
        <v/>
      </c>
      <c r="BA89" s="7">
        <f>'BBB'!BA89+'Bag Staging'!BA89+'Bag Staging Volumetric'!BA89+'FWD FSM'!BA89+'FWD Manual Pre Primary'!BA89+'FWD Manual Primary'!BA89+'FWD Primary with Scan'!BA89+'FWD Secondary'!BA89+'FWD Volumetric'!BA89+'IB'!BA89+'IB Volumetric'!BA89+'OB'!BA89+'OB Volumetric'!BA89+'OSC Bag Sorting'!BA89+'OSC Bag Sorting Volumetric'!BA89+'REV FSM'!BA89+'Rejection Primary with Scan'!BA89+'Rejection Secondary'!BA89+'Rev DC DC Primary Sorting'!BA89+'Rev Primary (FSM Rejections)'!BA89+'Rev Secondary Sorting'!BA89+'VIA Bag Sorting'!BA89</f>
        <v/>
      </c>
      <c r="BB89" s="7">
        <f>SUM(AD89:BA89)</f>
        <v/>
      </c>
    </row>
    <row r="90">
      <c r="A90" t="inlineStr">
        <is>
          <t>AMD-RTS-RCLS-1302-SSC</t>
        </is>
      </c>
      <c r="B90" t="inlineStr">
        <is>
          <t>Rev OSC</t>
        </is>
      </c>
      <c r="C90" s="5" t="n">
        <v>46094</v>
      </c>
      <c r="D90" s="6" t="n">
        <v>1294</v>
      </c>
      <c r="E90" s="6" t="n">
        <v>317</v>
      </c>
      <c r="F90" s="6" t="n">
        <v>1122</v>
      </c>
      <c r="G90" s="6" t="n">
        <v>1144</v>
      </c>
      <c r="H90" s="6" t="n">
        <v>1478</v>
      </c>
      <c r="I90" s="6" t="n">
        <v>1788</v>
      </c>
      <c r="J90" s="6" t="n">
        <v>2072</v>
      </c>
      <c r="K90" s="6" t="n">
        <v>269</v>
      </c>
      <c r="L90" s="6" t="n">
        <v>0</v>
      </c>
      <c r="M90" s="6" t="n">
        <v>0</v>
      </c>
      <c r="N90" s="6" t="n">
        <v>0</v>
      </c>
      <c r="O90" s="6" t="n">
        <v>288</v>
      </c>
      <c r="P90" s="6" t="n">
        <v>0</v>
      </c>
      <c r="Q90" s="6" t="n">
        <v>129</v>
      </c>
      <c r="R90" s="6" t="n">
        <v>1613</v>
      </c>
      <c r="S90" s="6" t="n">
        <v>2310</v>
      </c>
      <c r="T90" s="6" t="n">
        <v>324</v>
      </c>
      <c r="U90" s="6" t="n">
        <v>1987</v>
      </c>
      <c r="V90" s="6" t="n">
        <v>1560</v>
      </c>
      <c r="W90" s="6" t="n">
        <v>2103</v>
      </c>
      <c r="X90" s="6" t="n">
        <v>2375</v>
      </c>
      <c r="Y90" s="6" t="n">
        <v>2510</v>
      </c>
      <c r="Z90" s="6" t="n">
        <v>0</v>
      </c>
      <c r="AA90" s="6" t="n">
        <v>0</v>
      </c>
      <c r="AB90" s="6">
        <f>SUM(D90:AA90)</f>
        <v/>
      </c>
      <c r="AC90" s="3" t="inlineStr"/>
      <c r="AD90" s="7">
        <f>'BBB'!AD90+'Bag Staging'!AD90+'Bag Staging Volumetric'!AD90+'FWD FSM'!AD90+'FWD Manual Pre Primary'!AD90+'FWD Manual Primary'!AD90+'FWD Primary with Scan'!AD90+'FWD Secondary'!AD90+'FWD Volumetric'!AD90+'IB'!AD90+'IB Volumetric'!AD90+'OB'!AD90+'OB Volumetric'!AD90+'OSC Bag Sorting'!AD90+'OSC Bag Sorting Volumetric'!AD90+'REV FSM'!AD90+'Rejection Primary with Scan'!AD90+'Rejection Secondary'!AD90+'Rev DC DC Primary Sorting'!AD90+'Rev Primary (FSM Rejections)'!AD90+'Rev Secondary Sorting'!AD90+'VIA Bag Sorting'!AD90</f>
        <v/>
      </c>
      <c r="AE90" s="7">
        <f>'BBB'!AE90+'Bag Staging'!AE90+'Bag Staging Volumetric'!AE90+'FWD FSM'!AE90+'FWD Manual Pre Primary'!AE90+'FWD Manual Primary'!AE90+'FWD Primary with Scan'!AE90+'FWD Secondary'!AE90+'FWD Volumetric'!AE90+'IB'!AE90+'IB Volumetric'!AE90+'OB'!AE90+'OB Volumetric'!AE90+'OSC Bag Sorting'!AE90+'OSC Bag Sorting Volumetric'!AE90+'REV FSM'!AE90+'Rejection Primary with Scan'!AE90+'Rejection Secondary'!AE90+'Rev DC DC Primary Sorting'!AE90+'Rev Primary (FSM Rejections)'!AE90+'Rev Secondary Sorting'!AE90+'VIA Bag Sorting'!AE90</f>
        <v/>
      </c>
      <c r="AF90" s="7">
        <f>'BBB'!AF90+'Bag Staging'!AF90+'Bag Staging Volumetric'!AF90+'FWD FSM'!AF90+'FWD Manual Pre Primary'!AF90+'FWD Manual Primary'!AF90+'FWD Primary with Scan'!AF90+'FWD Secondary'!AF90+'FWD Volumetric'!AF90+'IB'!AF90+'IB Volumetric'!AF90+'OB'!AF90+'OB Volumetric'!AF90+'OSC Bag Sorting'!AF90+'OSC Bag Sorting Volumetric'!AF90+'REV FSM'!AF90+'Rejection Primary with Scan'!AF90+'Rejection Secondary'!AF90+'Rev DC DC Primary Sorting'!AF90+'Rev Primary (FSM Rejections)'!AF90+'Rev Secondary Sorting'!AF90+'VIA Bag Sorting'!AF90</f>
        <v/>
      </c>
      <c r="AG90" s="7">
        <f>'BBB'!AG90+'Bag Staging'!AG90+'Bag Staging Volumetric'!AG90+'FWD FSM'!AG90+'FWD Manual Pre Primary'!AG90+'FWD Manual Primary'!AG90+'FWD Primary with Scan'!AG90+'FWD Secondary'!AG90+'FWD Volumetric'!AG90+'IB'!AG90+'IB Volumetric'!AG90+'OB'!AG90+'OB Volumetric'!AG90+'OSC Bag Sorting'!AG90+'OSC Bag Sorting Volumetric'!AG90+'REV FSM'!AG90+'Rejection Primary with Scan'!AG90+'Rejection Secondary'!AG90+'Rev DC DC Primary Sorting'!AG90+'Rev Primary (FSM Rejections)'!AG90+'Rev Secondary Sorting'!AG90+'VIA Bag Sorting'!AG90</f>
        <v/>
      </c>
      <c r="AH90" s="7">
        <f>'BBB'!AH90+'Bag Staging'!AH90+'Bag Staging Volumetric'!AH90+'FWD FSM'!AH90+'FWD Manual Pre Primary'!AH90+'FWD Manual Primary'!AH90+'FWD Primary with Scan'!AH90+'FWD Secondary'!AH90+'FWD Volumetric'!AH90+'IB'!AH90+'IB Volumetric'!AH90+'OB'!AH90+'OB Volumetric'!AH90+'OSC Bag Sorting'!AH90+'OSC Bag Sorting Volumetric'!AH90+'REV FSM'!AH90+'Rejection Primary with Scan'!AH90+'Rejection Secondary'!AH90+'Rev DC DC Primary Sorting'!AH90+'Rev Primary (FSM Rejections)'!AH90+'Rev Secondary Sorting'!AH90+'VIA Bag Sorting'!AH90</f>
        <v/>
      </c>
      <c r="AI90" s="7">
        <f>'BBB'!AI90+'Bag Staging'!AI90+'Bag Staging Volumetric'!AI90+'FWD FSM'!AI90+'FWD Manual Pre Primary'!AI90+'FWD Manual Primary'!AI90+'FWD Primary with Scan'!AI90+'FWD Secondary'!AI90+'FWD Volumetric'!AI90+'IB'!AI90+'IB Volumetric'!AI90+'OB'!AI90+'OB Volumetric'!AI90+'OSC Bag Sorting'!AI90+'OSC Bag Sorting Volumetric'!AI90+'REV FSM'!AI90+'Rejection Primary with Scan'!AI90+'Rejection Secondary'!AI90+'Rev DC DC Primary Sorting'!AI90+'Rev Primary (FSM Rejections)'!AI90+'Rev Secondary Sorting'!AI90+'VIA Bag Sorting'!AI90</f>
        <v/>
      </c>
      <c r="AJ90" s="7">
        <f>'BBB'!AJ90+'Bag Staging'!AJ90+'Bag Staging Volumetric'!AJ90+'FWD FSM'!AJ90+'FWD Manual Pre Primary'!AJ90+'FWD Manual Primary'!AJ90+'FWD Primary with Scan'!AJ90+'FWD Secondary'!AJ90+'FWD Volumetric'!AJ90+'IB'!AJ90+'IB Volumetric'!AJ90+'OB'!AJ90+'OB Volumetric'!AJ90+'OSC Bag Sorting'!AJ90+'OSC Bag Sorting Volumetric'!AJ90+'REV FSM'!AJ90+'Rejection Primary with Scan'!AJ90+'Rejection Secondary'!AJ90+'Rev DC DC Primary Sorting'!AJ90+'Rev Primary (FSM Rejections)'!AJ90+'Rev Secondary Sorting'!AJ90+'VIA Bag Sorting'!AJ90</f>
        <v/>
      </c>
      <c r="AK90" s="7">
        <f>'BBB'!AK90+'Bag Staging'!AK90+'Bag Staging Volumetric'!AK90+'FWD FSM'!AK90+'FWD Manual Pre Primary'!AK90+'FWD Manual Primary'!AK90+'FWD Primary with Scan'!AK90+'FWD Secondary'!AK90+'FWD Volumetric'!AK90+'IB'!AK90+'IB Volumetric'!AK90+'OB'!AK90+'OB Volumetric'!AK90+'OSC Bag Sorting'!AK90+'OSC Bag Sorting Volumetric'!AK90+'REV FSM'!AK90+'Rejection Primary with Scan'!AK90+'Rejection Secondary'!AK90+'Rev DC DC Primary Sorting'!AK90+'Rev Primary (FSM Rejections)'!AK90+'Rev Secondary Sorting'!AK90+'VIA Bag Sorting'!AK90</f>
        <v/>
      </c>
      <c r="AL90" s="7">
        <f>'BBB'!AL90+'Bag Staging'!AL90+'Bag Staging Volumetric'!AL90+'FWD FSM'!AL90+'FWD Manual Pre Primary'!AL90+'FWD Manual Primary'!AL90+'FWD Primary with Scan'!AL90+'FWD Secondary'!AL90+'FWD Volumetric'!AL90+'IB'!AL90+'IB Volumetric'!AL90+'OB'!AL90+'OB Volumetric'!AL90+'OSC Bag Sorting'!AL90+'OSC Bag Sorting Volumetric'!AL90+'REV FSM'!AL90+'Rejection Primary with Scan'!AL90+'Rejection Secondary'!AL90+'Rev DC DC Primary Sorting'!AL90+'Rev Primary (FSM Rejections)'!AL90+'Rev Secondary Sorting'!AL90+'VIA Bag Sorting'!AL90</f>
        <v/>
      </c>
      <c r="AM90" s="7">
        <f>'BBB'!AM90+'Bag Staging'!AM90+'Bag Staging Volumetric'!AM90+'FWD FSM'!AM90+'FWD Manual Pre Primary'!AM90+'FWD Manual Primary'!AM90+'FWD Primary with Scan'!AM90+'FWD Secondary'!AM90+'FWD Volumetric'!AM90+'IB'!AM90+'IB Volumetric'!AM90+'OB'!AM90+'OB Volumetric'!AM90+'OSC Bag Sorting'!AM90+'OSC Bag Sorting Volumetric'!AM90+'REV FSM'!AM90+'Rejection Primary with Scan'!AM90+'Rejection Secondary'!AM90+'Rev DC DC Primary Sorting'!AM90+'Rev Primary (FSM Rejections)'!AM90+'Rev Secondary Sorting'!AM90+'VIA Bag Sorting'!AM90</f>
        <v/>
      </c>
      <c r="AN90" s="7">
        <f>'BBB'!AN90+'Bag Staging'!AN90+'Bag Staging Volumetric'!AN90+'FWD FSM'!AN90+'FWD Manual Pre Primary'!AN90+'FWD Manual Primary'!AN90+'FWD Primary with Scan'!AN90+'FWD Secondary'!AN90+'FWD Volumetric'!AN90+'IB'!AN90+'IB Volumetric'!AN90+'OB'!AN90+'OB Volumetric'!AN90+'OSC Bag Sorting'!AN90+'OSC Bag Sorting Volumetric'!AN90+'REV FSM'!AN90+'Rejection Primary with Scan'!AN90+'Rejection Secondary'!AN90+'Rev DC DC Primary Sorting'!AN90+'Rev Primary (FSM Rejections)'!AN90+'Rev Secondary Sorting'!AN90+'VIA Bag Sorting'!AN90</f>
        <v/>
      </c>
      <c r="AO90" s="7">
        <f>'BBB'!AO90+'Bag Staging'!AO90+'Bag Staging Volumetric'!AO90+'FWD FSM'!AO90+'FWD Manual Pre Primary'!AO90+'FWD Manual Primary'!AO90+'FWD Primary with Scan'!AO90+'FWD Secondary'!AO90+'FWD Volumetric'!AO90+'IB'!AO90+'IB Volumetric'!AO90+'OB'!AO90+'OB Volumetric'!AO90+'OSC Bag Sorting'!AO90+'OSC Bag Sorting Volumetric'!AO90+'REV FSM'!AO90+'Rejection Primary with Scan'!AO90+'Rejection Secondary'!AO90+'Rev DC DC Primary Sorting'!AO90+'Rev Primary (FSM Rejections)'!AO90+'Rev Secondary Sorting'!AO90+'VIA Bag Sorting'!AO90</f>
        <v/>
      </c>
      <c r="AP90" s="7">
        <f>'BBB'!AP90+'Bag Staging'!AP90+'Bag Staging Volumetric'!AP90+'FWD FSM'!AP90+'FWD Manual Pre Primary'!AP90+'FWD Manual Primary'!AP90+'FWD Primary with Scan'!AP90+'FWD Secondary'!AP90+'FWD Volumetric'!AP90+'IB'!AP90+'IB Volumetric'!AP90+'OB'!AP90+'OB Volumetric'!AP90+'OSC Bag Sorting'!AP90+'OSC Bag Sorting Volumetric'!AP90+'REV FSM'!AP90+'Rejection Primary with Scan'!AP90+'Rejection Secondary'!AP90+'Rev DC DC Primary Sorting'!AP90+'Rev Primary (FSM Rejections)'!AP90+'Rev Secondary Sorting'!AP90+'VIA Bag Sorting'!AP90</f>
        <v/>
      </c>
      <c r="AQ90" s="7">
        <f>'BBB'!AQ90+'Bag Staging'!AQ90+'Bag Staging Volumetric'!AQ90+'FWD FSM'!AQ90+'FWD Manual Pre Primary'!AQ90+'FWD Manual Primary'!AQ90+'FWD Primary with Scan'!AQ90+'FWD Secondary'!AQ90+'FWD Volumetric'!AQ90+'IB'!AQ90+'IB Volumetric'!AQ90+'OB'!AQ90+'OB Volumetric'!AQ90+'OSC Bag Sorting'!AQ90+'OSC Bag Sorting Volumetric'!AQ90+'REV FSM'!AQ90+'Rejection Primary with Scan'!AQ90+'Rejection Secondary'!AQ90+'Rev DC DC Primary Sorting'!AQ90+'Rev Primary (FSM Rejections)'!AQ90+'Rev Secondary Sorting'!AQ90+'VIA Bag Sorting'!AQ90</f>
        <v/>
      </c>
      <c r="AR90" s="7">
        <f>'BBB'!AR90+'Bag Staging'!AR90+'Bag Staging Volumetric'!AR90+'FWD FSM'!AR90+'FWD Manual Pre Primary'!AR90+'FWD Manual Primary'!AR90+'FWD Primary with Scan'!AR90+'FWD Secondary'!AR90+'FWD Volumetric'!AR90+'IB'!AR90+'IB Volumetric'!AR90+'OB'!AR90+'OB Volumetric'!AR90+'OSC Bag Sorting'!AR90+'OSC Bag Sorting Volumetric'!AR90+'REV FSM'!AR90+'Rejection Primary with Scan'!AR90+'Rejection Secondary'!AR90+'Rev DC DC Primary Sorting'!AR90+'Rev Primary (FSM Rejections)'!AR90+'Rev Secondary Sorting'!AR90+'VIA Bag Sorting'!AR90</f>
        <v/>
      </c>
      <c r="AS90" s="7">
        <f>'BBB'!AS90+'Bag Staging'!AS90+'Bag Staging Volumetric'!AS90+'FWD FSM'!AS90+'FWD Manual Pre Primary'!AS90+'FWD Manual Primary'!AS90+'FWD Primary with Scan'!AS90+'FWD Secondary'!AS90+'FWD Volumetric'!AS90+'IB'!AS90+'IB Volumetric'!AS90+'OB'!AS90+'OB Volumetric'!AS90+'OSC Bag Sorting'!AS90+'OSC Bag Sorting Volumetric'!AS90+'REV FSM'!AS90+'Rejection Primary with Scan'!AS90+'Rejection Secondary'!AS90+'Rev DC DC Primary Sorting'!AS90+'Rev Primary (FSM Rejections)'!AS90+'Rev Secondary Sorting'!AS90+'VIA Bag Sorting'!AS90</f>
        <v/>
      </c>
      <c r="AT90" s="7">
        <f>'BBB'!AT90+'Bag Staging'!AT90+'Bag Staging Volumetric'!AT90+'FWD FSM'!AT90+'FWD Manual Pre Primary'!AT90+'FWD Manual Primary'!AT90+'FWD Primary with Scan'!AT90+'FWD Secondary'!AT90+'FWD Volumetric'!AT90+'IB'!AT90+'IB Volumetric'!AT90+'OB'!AT90+'OB Volumetric'!AT90+'OSC Bag Sorting'!AT90+'OSC Bag Sorting Volumetric'!AT90+'REV FSM'!AT90+'Rejection Primary with Scan'!AT90+'Rejection Secondary'!AT90+'Rev DC DC Primary Sorting'!AT90+'Rev Primary (FSM Rejections)'!AT90+'Rev Secondary Sorting'!AT90+'VIA Bag Sorting'!AT90</f>
        <v/>
      </c>
      <c r="AU90" s="7">
        <f>'BBB'!AU90+'Bag Staging'!AU90+'Bag Staging Volumetric'!AU90+'FWD FSM'!AU90+'FWD Manual Pre Primary'!AU90+'FWD Manual Primary'!AU90+'FWD Primary with Scan'!AU90+'FWD Secondary'!AU90+'FWD Volumetric'!AU90+'IB'!AU90+'IB Volumetric'!AU90+'OB'!AU90+'OB Volumetric'!AU90+'OSC Bag Sorting'!AU90+'OSC Bag Sorting Volumetric'!AU90+'REV FSM'!AU90+'Rejection Primary with Scan'!AU90+'Rejection Secondary'!AU90+'Rev DC DC Primary Sorting'!AU90+'Rev Primary (FSM Rejections)'!AU90+'Rev Secondary Sorting'!AU90+'VIA Bag Sorting'!AU90</f>
        <v/>
      </c>
      <c r="AV90" s="7">
        <f>'BBB'!AV90+'Bag Staging'!AV90+'Bag Staging Volumetric'!AV90+'FWD FSM'!AV90+'FWD Manual Pre Primary'!AV90+'FWD Manual Primary'!AV90+'FWD Primary with Scan'!AV90+'FWD Secondary'!AV90+'FWD Volumetric'!AV90+'IB'!AV90+'IB Volumetric'!AV90+'OB'!AV90+'OB Volumetric'!AV90+'OSC Bag Sorting'!AV90+'OSC Bag Sorting Volumetric'!AV90+'REV FSM'!AV90+'Rejection Primary with Scan'!AV90+'Rejection Secondary'!AV90+'Rev DC DC Primary Sorting'!AV90+'Rev Primary (FSM Rejections)'!AV90+'Rev Secondary Sorting'!AV90+'VIA Bag Sorting'!AV90</f>
        <v/>
      </c>
      <c r="AW90" s="7">
        <f>'BBB'!AW90+'Bag Staging'!AW90+'Bag Staging Volumetric'!AW90+'FWD FSM'!AW90+'FWD Manual Pre Primary'!AW90+'FWD Manual Primary'!AW90+'FWD Primary with Scan'!AW90+'FWD Secondary'!AW90+'FWD Volumetric'!AW90+'IB'!AW90+'IB Volumetric'!AW90+'OB'!AW90+'OB Volumetric'!AW90+'OSC Bag Sorting'!AW90+'OSC Bag Sorting Volumetric'!AW90+'REV FSM'!AW90+'Rejection Primary with Scan'!AW90+'Rejection Secondary'!AW90+'Rev DC DC Primary Sorting'!AW90+'Rev Primary (FSM Rejections)'!AW90+'Rev Secondary Sorting'!AW90+'VIA Bag Sorting'!AW90</f>
        <v/>
      </c>
      <c r="AX90" s="7">
        <f>'BBB'!AX90+'Bag Staging'!AX90+'Bag Staging Volumetric'!AX90+'FWD FSM'!AX90+'FWD Manual Pre Primary'!AX90+'FWD Manual Primary'!AX90+'FWD Primary with Scan'!AX90+'FWD Secondary'!AX90+'FWD Volumetric'!AX90+'IB'!AX90+'IB Volumetric'!AX90+'OB'!AX90+'OB Volumetric'!AX90+'OSC Bag Sorting'!AX90+'OSC Bag Sorting Volumetric'!AX90+'REV FSM'!AX90+'Rejection Primary with Scan'!AX90+'Rejection Secondary'!AX90+'Rev DC DC Primary Sorting'!AX90+'Rev Primary (FSM Rejections)'!AX90+'Rev Secondary Sorting'!AX90+'VIA Bag Sorting'!AX90</f>
        <v/>
      </c>
      <c r="AY90" s="7">
        <f>'BBB'!AY90+'Bag Staging'!AY90+'Bag Staging Volumetric'!AY90+'FWD FSM'!AY90+'FWD Manual Pre Primary'!AY90+'FWD Manual Primary'!AY90+'FWD Primary with Scan'!AY90+'FWD Secondary'!AY90+'FWD Volumetric'!AY90+'IB'!AY90+'IB Volumetric'!AY90+'OB'!AY90+'OB Volumetric'!AY90+'OSC Bag Sorting'!AY90+'OSC Bag Sorting Volumetric'!AY90+'REV FSM'!AY90+'Rejection Primary with Scan'!AY90+'Rejection Secondary'!AY90+'Rev DC DC Primary Sorting'!AY90+'Rev Primary (FSM Rejections)'!AY90+'Rev Secondary Sorting'!AY90+'VIA Bag Sorting'!AY90</f>
        <v/>
      </c>
      <c r="AZ90" s="7">
        <f>'BBB'!AZ90+'Bag Staging'!AZ90+'Bag Staging Volumetric'!AZ90+'FWD FSM'!AZ90+'FWD Manual Pre Primary'!AZ90+'FWD Manual Primary'!AZ90+'FWD Primary with Scan'!AZ90+'FWD Secondary'!AZ90+'FWD Volumetric'!AZ90+'IB'!AZ90+'IB Volumetric'!AZ90+'OB'!AZ90+'OB Volumetric'!AZ90+'OSC Bag Sorting'!AZ90+'OSC Bag Sorting Volumetric'!AZ90+'REV FSM'!AZ90+'Rejection Primary with Scan'!AZ90+'Rejection Secondary'!AZ90+'Rev DC DC Primary Sorting'!AZ90+'Rev Primary (FSM Rejections)'!AZ90+'Rev Secondary Sorting'!AZ90+'VIA Bag Sorting'!AZ90</f>
        <v/>
      </c>
      <c r="BA90" s="7">
        <f>'BBB'!BA90+'Bag Staging'!BA90+'Bag Staging Volumetric'!BA90+'FWD FSM'!BA90+'FWD Manual Pre Primary'!BA90+'FWD Manual Primary'!BA90+'FWD Primary with Scan'!BA90+'FWD Secondary'!BA90+'FWD Volumetric'!BA90+'IB'!BA90+'IB Volumetric'!BA90+'OB'!BA90+'OB Volumetric'!BA90+'OSC Bag Sorting'!BA90+'OSC Bag Sorting Volumetric'!BA90+'REV FSM'!BA90+'Rejection Primary with Scan'!BA90+'Rejection Secondary'!BA90+'Rev DC DC Primary Sorting'!BA90+'Rev Primary (FSM Rejections)'!BA90+'Rev Secondary Sorting'!BA90+'VIA Bag Sorting'!BA90</f>
        <v/>
      </c>
      <c r="BB90" s="7">
        <f>SUM(AD90:BA90)</f>
        <v/>
      </c>
    </row>
    <row r="91">
      <c r="A91" t="inlineStr">
        <is>
          <t>AMD-RTS-RCLS-1302-SSC</t>
        </is>
      </c>
      <c r="B91" t="inlineStr">
        <is>
          <t>Rev OSC</t>
        </is>
      </c>
      <c r="C91" s="5" t="n">
        <v>46095</v>
      </c>
      <c r="D91" s="6" t="n">
        <v>858</v>
      </c>
      <c r="E91" s="6" t="n">
        <v>673</v>
      </c>
      <c r="F91" s="6" t="n">
        <v>777</v>
      </c>
      <c r="G91" s="6" t="n">
        <v>1766</v>
      </c>
      <c r="H91" s="6" t="n">
        <v>1021</v>
      </c>
      <c r="I91" s="6" t="n">
        <v>1428</v>
      </c>
      <c r="J91" s="6" t="n">
        <v>1564</v>
      </c>
      <c r="K91" s="6" t="n">
        <v>64</v>
      </c>
      <c r="L91" s="6" t="n">
        <v>964</v>
      </c>
      <c r="M91" s="6" t="n">
        <v>753</v>
      </c>
      <c r="N91" s="6" t="n">
        <v>467</v>
      </c>
      <c r="O91" s="6" t="n">
        <v>87</v>
      </c>
      <c r="P91" s="6" t="n">
        <v>0</v>
      </c>
      <c r="Q91" s="6" t="n">
        <v>0</v>
      </c>
      <c r="R91" s="6" t="n">
        <v>1034</v>
      </c>
      <c r="S91" s="6" t="n">
        <v>2730</v>
      </c>
      <c r="T91" s="6" t="n">
        <v>430</v>
      </c>
      <c r="U91" s="6" t="n">
        <v>2297</v>
      </c>
      <c r="V91" s="6" t="n">
        <v>1865</v>
      </c>
      <c r="W91" s="6" t="n">
        <v>2956</v>
      </c>
      <c r="X91" s="6" t="n">
        <v>2695</v>
      </c>
      <c r="Y91" s="6" t="n">
        <v>1537</v>
      </c>
      <c r="Z91" s="6" t="n">
        <v>0</v>
      </c>
      <c r="AA91" s="6" t="n">
        <v>0</v>
      </c>
      <c r="AB91" s="6">
        <f>SUM(D91:AA91)</f>
        <v/>
      </c>
      <c r="AC91" s="3" t="inlineStr"/>
      <c r="AD91" s="7">
        <f>'BBB'!AD91+'Bag Staging'!AD91+'Bag Staging Volumetric'!AD91+'FWD FSM'!AD91+'FWD Manual Pre Primary'!AD91+'FWD Manual Primary'!AD91+'FWD Primary with Scan'!AD91+'FWD Secondary'!AD91+'FWD Volumetric'!AD91+'IB'!AD91+'IB Volumetric'!AD91+'OB'!AD91+'OB Volumetric'!AD91+'OSC Bag Sorting'!AD91+'OSC Bag Sorting Volumetric'!AD91+'REV FSM'!AD91+'Rejection Primary with Scan'!AD91+'Rejection Secondary'!AD91+'Rev DC DC Primary Sorting'!AD91+'Rev Primary (FSM Rejections)'!AD91+'Rev Secondary Sorting'!AD91+'VIA Bag Sorting'!AD91</f>
        <v/>
      </c>
      <c r="AE91" s="7">
        <f>'BBB'!AE91+'Bag Staging'!AE91+'Bag Staging Volumetric'!AE91+'FWD FSM'!AE91+'FWD Manual Pre Primary'!AE91+'FWD Manual Primary'!AE91+'FWD Primary with Scan'!AE91+'FWD Secondary'!AE91+'FWD Volumetric'!AE91+'IB'!AE91+'IB Volumetric'!AE91+'OB'!AE91+'OB Volumetric'!AE91+'OSC Bag Sorting'!AE91+'OSC Bag Sorting Volumetric'!AE91+'REV FSM'!AE91+'Rejection Primary with Scan'!AE91+'Rejection Secondary'!AE91+'Rev DC DC Primary Sorting'!AE91+'Rev Primary (FSM Rejections)'!AE91+'Rev Secondary Sorting'!AE91+'VIA Bag Sorting'!AE91</f>
        <v/>
      </c>
      <c r="AF91" s="7">
        <f>'BBB'!AF91+'Bag Staging'!AF91+'Bag Staging Volumetric'!AF91+'FWD FSM'!AF91+'FWD Manual Pre Primary'!AF91+'FWD Manual Primary'!AF91+'FWD Primary with Scan'!AF91+'FWD Secondary'!AF91+'FWD Volumetric'!AF91+'IB'!AF91+'IB Volumetric'!AF91+'OB'!AF91+'OB Volumetric'!AF91+'OSC Bag Sorting'!AF91+'OSC Bag Sorting Volumetric'!AF91+'REV FSM'!AF91+'Rejection Primary with Scan'!AF91+'Rejection Secondary'!AF91+'Rev DC DC Primary Sorting'!AF91+'Rev Primary (FSM Rejections)'!AF91+'Rev Secondary Sorting'!AF91+'VIA Bag Sorting'!AF91</f>
        <v/>
      </c>
      <c r="AG91" s="7">
        <f>'BBB'!AG91+'Bag Staging'!AG91+'Bag Staging Volumetric'!AG91+'FWD FSM'!AG91+'FWD Manual Pre Primary'!AG91+'FWD Manual Primary'!AG91+'FWD Primary with Scan'!AG91+'FWD Secondary'!AG91+'FWD Volumetric'!AG91+'IB'!AG91+'IB Volumetric'!AG91+'OB'!AG91+'OB Volumetric'!AG91+'OSC Bag Sorting'!AG91+'OSC Bag Sorting Volumetric'!AG91+'REV FSM'!AG91+'Rejection Primary with Scan'!AG91+'Rejection Secondary'!AG91+'Rev DC DC Primary Sorting'!AG91+'Rev Primary (FSM Rejections)'!AG91+'Rev Secondary Sorting'!AG91+'VIA Bag Sorting'!AG91</f>
        <v/>
      </c>
      <c r="AH91" s="7">
        <f>'BBB'!AH91+'Bag Staging'!AH91+'Bag Staging Volumetric'!AH91+'FWD FSM'!AH91+'FWD Manual Pre Primary'!AH91+'FWD Manual Primary'!AH91+'FWD Primary with Scan'!AH91+'FWD Secondary'!AH91+'FWD Volumetric'!AH91+'IB'!AH91+'IB Volumetric'!AH91+'OB'!AH91+'OB Volumetric'!AH91+'OSC Bag Sorting'!AH91+'OSC Bag Sorting Volumetric'!AH91+'REV FSM'!AH91+'Rejection Primary with Scan'!AH91+'Rejection Secondary'!AH91+'Rev DC DC Primary Sorting'!AH91+'Rev Primary (FSM Rejections)'!AH91+'Rev Secondary Sorting'!AH91+'VIA Bag Sorting'!AH91</f>
        <v/>
      </c>
      <c r="AI91" s="7">
        <f>'BBB'!AI91+'Bag Staging'!AI91+'Bag Staging Volumetric'!AI91+'FWD FSM'!AI91+'FWD Manual Pre Primary'!AI91+'FWD Manual Primary'!AI91+'FWD Primary with Scan'!AI91+'FWD Secondary'!AI91+'FWD Volumetric'!AI91+'IB'!AI91+'IB Volumetric'!AI91+'OB'!AI91+'OB Volumetric'!AI91+'OSC Bag Sorting'!AI91+'OSC Bag Sorting Volumetric'!AI91+'REV FSM'!AI91+'Rejection Primary with Scan'!AI91+'Rejection Secondary'!AI91+'Rev DC DC Primary Sorting'!AI91+'Rev Primary (FSM Rejections)'!AI91+'Rev Secondary Sorting'!AI91+'VIA Bag Sorting'!AI91</f>
        <v/>
      </c>
      <c r="AJ91" s="7">
        <f>'BBB'!AJ91+'Bag Staging'!AJ91+'Bag Staging Volumetric'!AJ91+'FWD FSM'!AJ91+'FWD Manual Pre Primary'!AJ91+'FWD Manual Primary'!AJ91+'FWD Primary with Scan'!AJ91+'FWD Secondary'!AJ91+'FWD Volumetric'!AJ91+'IB'!AJ91+'IB Volumetric'!AJ91+'OB'!AJ91+'OB Volumetric'!AJ91+'OSC Bag Sorting'!AJ91+'OSC Bag Sorting Volumetric'!AJ91+'REV FSM'!AJ91+'Rejection Primary with Scan'!AJ91+'Rejection Secondary'!AJ91+'Rev DC DC Primary Sorting'!AJ91+'Rev Primary (FSM Rejections)'!AJ91+'Rev Secondary Sorting'!AJ91+'VIA Bag Sorting'!AJ91</f>
        <v/>
      </c>
      <c r="AK91" s="7">
        <f>'BBB'!AK91+'Bag Staging'!AK91+'Bag Staging Volumetric'!AK91+'FWD FSM'!AK91+'FWD Manual Pre Primary'!AK91+'FWD Manual Primary'!AK91+'FWD Primary with Scan'!AK91+'FWD Secondary'!AK91+'FWD Volumetric'!AK91+'IB'!AK91+'IB Volumetric'!AK91+'OB'!AK91+'OB Volumetric'!AK91+'OSC Bag Sorting'!AK91+'OSC Bag Sorting Volumetric'!AK91+'REV FSM'!AK91+'Rejection Primary with Scan'!AK91+'Rejection Secondary'!AK91+'Rev DC DC Primary Sorting'!AK91+'Rev Primary (FSM Rejections)'!AK91+'Rev Secondary Sorting'!AK91+'VIA Bag Sorting'!AK91</f>
        <v/>
      </c>
      <c r="AL91" s="7">
        <f>'BBB'!AL91+'Bag Staging'!AL91+'Bag Staging Volumetric'!AL91+'FWD FSM'!AL91+'FWD Manual Pre Primary'!AL91+'FWD Manual Primary'!AL91+'FWD Primary with Scan'!AL91+'FWD Secondary'!AL91+'FWD Volumetric'!AL91+'IB'!AL91+'IB Volumetric'!AL91+'OB'!AL91+'OB Volumetric'!AL91+'OSC Bag Sorting'!AL91+'OSC Bag Sorting Volumetric'!AL91+'REV FSM'!AL91+'Rejection Primary with Scan'!AL91+'Rejection Secondary'!AL91+'Rev DC DC Primary Sorting'!AL91+'Rev Primary (FSM Rejections)'!AL91+'Rev Secondary Sorting'!AL91+'VIA Bag Sorting'!AL91</f>
        <v/>
      </c>
      <c r="AM91" s="7">
        <f>'BBB'!AM91+'Bag Staging'!AM91+'Bag Staging Volumetric'!AM91+'FWD FSM'!AM91+'FWD Manual Pre Primary'!AM91+'FWD Manual Primary'!AM91+'FWD Primary with Scan'!AM91+'FWD Secondary'!AM91+'FWD Volumetric'!AM91+'IB'!AM91+'IB Volumetric'!AM91+'OB'!AM91+'OB Volumetric'!AM91+'OSC Bag Sorting'!AM91+'OSC Bag Sorting Volumetric'!AM91+'REV FSM'!AM91+'Rejection Primary with Scan'!AM91+'Rejection Secondary'!AM91+'Rev DC DC Primary Sorting'!AM91+'Rev Primary (FSM Rejections)'!AM91+'Rev Secondary Sorting'!AM91+'VIA Bag Sorting'!AM91</f>
        <v/>
      </c>
      <c r="AN91" s="7">
        <f>'BBB'!AN91+'Bag Staging'!AN91+'Bag Staging Volumetric'!AN91+'FWD FSM'!AN91+'FWD Manual Pre Primary'!AN91+'FWD Manual Primary'!AN91+'FWD Primary with Scan'!AN91+'FWD Secondary'!AN91+'FWD Volumetric'!AN91+'IB'!AN91+'IB Volumetric'!AN91+'OB'!AN91+'OB Volumetric'!AN91+'OSC Bag Sorting'!AN91+'OSC Bag Sorting Volumetric'!AN91+'REV FSM'!AN91+'Rejection Primary with Scan'!AN91+'Rejection Secondary'!AN91+'Rev DC DC Primary Sorting'!AN91+'Rev Primary (FSM Rejections)'!AN91+'Rev Secondary Sorting'!AN91+'VIA Bag Sorting'!AN91</f>
        <v/>
      </c>
      <c r="AO91" s="7">
        <f>'BBB'!AO91+'Bag Staging'!AO91+'Bag Staging Volumetric'!AO91+'FWD FSM'!AO91+'FWD Manual Pre Primary'!AO91+'FWD Manual Primary'!AO91+'FWD Primary with Scan'!AO91+'FWD Secondary'!AO91+'FWD Volumetric'!AO91+'IB'!AO91+'IB Volumetric'!AO91+'OB'!AO91+'OB Volumetric'!AO91+'OSC Bag Sorting'!AO91+'OSC Bag Sorting Volumetric'!AO91+'REV FSM'!AO91+'Rejection Primary with Scan'!AO91+'Rejection Secondary'!AO91+'Rev DC DC Primary Sorting'!AO91+'Rev Primary (FSM Rejections)'!AO91+'Rev Secondary Sorting'!AO91+'VIA Bag Sorting'!AO91</f>
        <v/>
      </c>
      <c r="AP91" s="7">
        <f>'BBB'!AP91+'Bag Staging'!AP91+'Bag Staging Volumetric'!AP91+'FWD FSM'!AP91+'FWD Manual Pre Primary'!AP91+'FWD Manual Primary'!AP91+'FWD Primary with Scan'!AP91+'FWD Secondary'!AP91+'FWD Volumetric'!AP91+'IB'!AP91+'IB Volumetric'!AP91+'OB'!AP91+'OB Volumetric'!AP91+'OSC Bag Sorting'!AP91+'OSC Bag Sorting Volumetric'!AP91+'REV FSM'!AP91+'Rejection Primary with Scan'!AP91+'Rejection Secondary'!AP91+'Rev DC DC Primary Sorting'!AP91+'Rev Primary (FSM Rejections)'!AP91+'Rev Secondary Sorting'!AP91+'VIA Bag Sorting'!AP91</f>
        <v/>
      </c>
      <c r="AQ91" s="7">
        <f>'BBB'!AQ91+'Bag Staging'!AQ91+'Bag Staging Volumetric'!AQ91+'FWD FSM'!AQ91+'FWD Manual Pre Primary'!AQ91+'FWD Manual Primary'!AQ91+'FWD Primary with Scan'!AQ91+'FWD Secondary'!AQ91+'FWD Volumetric'!AQ91+'IB'!AQ91+'IB Volumetric'!AQ91+'OB'!AQ91+'OB Volumetric'!AQ91+'OSC Bag Sorting'!AQ91+'OSC Bag Sorting Volumetric'!AQ91+'REV FSM'!AQ91+'Rejection Primary with Scan'!AQ91+'Rejection Secondary'!AQ91+'Rev DC DC Primary Sorting'!AQ91+'Rev Primary (FSM Rejections)'!AQ91+'Rev Secondary Sorting'!AQ91+'VIA Bag Sorting'!AQ91</f>
        <v/>
      </c>
      <c r="AR91" s="7">
        <f>'BBB'!AR91+'Bag Staging'!AR91+'Bag Staging Volumetric'!AR91+'FWD FSM'!AR91+'FWD Manual Pre Primary'!AR91+'FWD Manual Primary'!AR91+'FWD Primary with Scan'!AR91+'FWD Secondary'!AR91+'FWD Volumetric'!AR91+'IB'!AR91+'IB Volumetric'!AR91+'OB'!AR91+'OB Volumetric'!AR91+'OSC Bag Sorting'!AR91+'OSC Bag Sorting Volumetric'!AR91+'REV FSM'!AR91+'Rejection Primary with Scan'!AR91+'Rejection Secondary'!AR91+'Rev DC DC Primary Sorting'!AR91+'Rev Primary (FSM Rejections)'!AR91+'Rev Secondary Sorting'!AR91+'VIA Bag Sorting'!AR91</f>
        <v/>
      </c>
      <c r="AS91" s="7">
        <f>'BBB'!AS91+'Bag Staging'!AS91+'Bag Staging Volumetric'!AS91+'FWD FSM'!AS91+'FWD Manual Pre Primary'!AS91+'FWD Manual Primary'!AS91+'FWD Primary with Scan'!AS91+'FWD Secondary'!AS91+'FWD Volumetric'!AS91+'IB'!AS91+'IB Volumetric'!AS91+'OB'!AS91+'OB Volumetric'!AS91+'OSC Bag Sorting'!AS91+'OSC Bag Sorting Volumetric'!AS91+'REV FSM'!AS91+'Rejection Primary with Scan'!AS91+'Rejection Secondary'!AS91+'Rev DC DC Primary Sorting'!AS91+'Rev Primary (FSM Rejections)'!AS91+'Rev Secondary Sorting'!AS91+'VIA Bag Sorting'!AS91</f>
        <v/>
      </c>
      <c r="AT91" s="7">
        <f>'BBB'!AT91+'Bag Staging'!AT91+'Bag Staging Volumetric'!AT91+'FWD FSM'!AT91+'FWD Manual Pre Primary'!AT91+'FWD Manual Primary'!AT91+'FWD Primary with Scan'!AT91+'FWD Secondary'!AT91+'FWD Volumetric'!AT91+'IB'!AT91+'IB Volumetric'!AT91+'OB'!AT91+'OB Volumetric'!AT91+'OSC Bag Sorting'!AT91+'OSC Bag Sorting Volumetric'!AT91+'REV FSM'!AT91+'Rejection Primary with Scan'!AT91+'Rejection Secondary'!AT91+'Rev DC DC Primary Sorting'!AT91+'Rev Primary (FSM Rejections)'!AT91+'Rev Secondary Sorting'!AT91+'VIA Bag Sorting'!AT91</f>
        <v/>
      </c>
      <c r="AU91" s="7">
        <f>'BBB'!AU91+'Bag Staging'!AU91+'Bag Staging Volumetric'!AU91+'FWD FSM'!AU91+'FWD Manual Pre Primary'!AU91+'FWD Manual Primary'!AU91+'FWD Primary with Scan'!AU91+'FWD Secondary'!AU91+'FWD Volumetric'!AU91+'IB'!AU91+'IB Volumetric'!AU91+'OB'!AU91+'OB Volumetric'!AU91+'OSC Bag Sorting'!AU91+'OSC Bag Sorting Volumetric'!AU91+'REV FSM'!AU91+'Rejection Primary with Scan'!AU91+'Rejection Secondary'!AU91+'Rev DC DC Primary Sorting'!AU91+'Rev Primary (FSM Rejections)'!AU91+'Rev Secondary Sorting'!AU91+'VIA Bag Sorting'!AU91</f>
        <v/>
      </c>
      <c r="AV91" s="7">
        <f>'BBB'!AV91+'Bag Staging'!AV91+'Bag Staging Volumetric'!AV91+'FWD FSM'!AV91+'FWD Manual Pre Primary'!AV91+'FWD Manual Primary'!AV91+'FWD Primary with Scan'!AV91+'FWD Secondary'!AV91+'FWD Volumetric'!AV91+'IB'!AV91+'IB Volumetric'!AV91+'OB'!AV91+'OB Volumetric'!AV91+'OSC Bag Sorting'!AV91+'OSC Bag Sorting Volumetric'!AV91+'REV FSM'!AV91+'Rejection Primary with Scan'!AV91+'Rejection Secondary'!AV91+'Rev DC DC Primary Sorting'!AV91+'Rev Primary (FSM Rejections)'!AV91+'Rev Secondary Sorting'!AV91+'VIA Bag Sorting'!AV91</f>
        <v/>
      </c>
      <c r="AW91" s="7">
        <f>'BBB'!AW91+'Bag Staging'!AW91+'Bag Staging Volumetric'!AW91+'FWD FSM'!AW91+'FWD Manual Pre Primary'!AW91+'FWD Manual Primary'!AW91+'FWD Primary with Scan'!AW91+'FWD Secondary'!AW91+'FWD Volumetric'!AW91+'IB'!AW91+'IB Volumetric'!AW91+'OB'!AW91+'OB Volumetric'!AW91+'OSC Bag Sorting'!AW91+'OSC Bag Sorting Volumetric'!AW91+'REV FSM'!AW91+'Rejection Primary with Scan'!AW91+'Rejection Secondary'!AW91+'Rev DC DC Primary Sorting'!AW91+'Rev Primary (FSM Rejections)'!AW91+'Rev Secondary Sorting'!AW91+'VIA Bag Sorting'!AW91</f>
        <v/>
      </c>
      <c r="AX91" s="7">
        <f>'BBB'!AX91+'Bag Staging'!AX91+'Bag Staging Volumetric'!AX91+'FWD FSM'!AX91+'FWD Manual Pre Primary'!AX91+'FWD Manual Primary'!AX91+'FWD Primary with Scan'!AX91+'FWD Secondary'!AX91+'FWD Volumetric'!AX91+'IB'!AX91+'IB Volumetric'!AX91+'OB'!AX91+'OB Volumetric'!AX91+'OSC Bag Sorting'!AX91+'OSC Bag Sorting Volumetric'!AX91+'REV FSM'!AX91+'Rejection Primary with Scan'!AX91+'Rejection Secondary'!AX91+'Rev DC DC Primary Sorting'!AX91+'Rev Primary (FSM Rejections)'!AX91+'Rev Secondary Sorting'!AX91+'VIA Bag Sorting'!AX91</f>
        <v/>
      </c>
      <c r="AY91" s="7">
        <f>'BBB'!AY91+'Bag Staging'!AY91+'Bag Staging Volumetric'!AY91+'FWD FSM'!AY91+'FWD Manual Pre Primary'!AY91+'FWD Manual Primary'!AY91+'FWD Primary with Scan'!AY91+'FWD Secondary'!AY91+'FWD Volumetric'!AY91+'IB'!AY91+'IB Volumetric'!AY91+'OB'!AY91+'OB Volumetric'!AY91+'OSC Bag Sorting'!AY91+'OSC Bag Sorting Volumetric'!AY91+'REV FSM'!AY91+'Rejection Primary with Scan'!AY91+'Rejection Secondary'!AY91+'Rev DC DC Primary Sorting'!AY91+'Rev Primary (FSM Rejections)'!AY91+'Rev Secondary Sorting'!AY91+'VIA Bag Sorting'!AY91</f>
        <v/>
      </c>
      <c r="AZ91" s="7">
        <f>'BBB'!AZ91+'Bag Staging'!AZ91+'Bag Staging Volumetric'!AZ91+'FWD FSM'!AZ91+'FWD Manual Pre Primary'!AZ91+'FWD Manual Primary'!AZ91+'FWD Primary with Scan'!AZ91+'FWD Secondary'!AZ91+'FWD Volumetric'!AZ91+'IB'!AZ91+'IB Volumetric'!AZ91+'OB'!AZ91+'OB Volumetric'!AZ91+'OSC Bag Sorting'!AZ91+'OSC Bag Sorting Volumetric'!AZ91+'REV FSM'!AZ91+'Rejection Primary with Scan'!AZ91+'Rejection Secondary'!AZ91+'Rev DC DC Primary Sorting'!AZ91+'Rev Primary (FSM Rejections)'!AZ91+'Rev Secondary Sorting'!AZ91+'VIA Bag Sorting'!AZ91</f>
        <v/>
      </c>
      <c r="BA91" s="7">
        <f>'BBB'!BA91+'Bag Staging'!BA91+'Bag Staging Volumetric'!BA91+'FWD FSM'!BA91+'FWD Manual Pre Primary'!BA91+'FWD Manual Primary'!BA91+'FWD Primary with Scan'!BA91+'FWD Secondary'!BA91+'FWD Volumetric'!BA91+'IB'!BA91+'IB Volumetric'!BA91+'OB'!BA91+'OB Volumetric'!BA91+'OSC Bag Sorting'!BA91+'OSC Bag Sorting Volumetric'!BA91+'REV FSM'!BA91+'Rejection Primary with Scan'!BA91+'Rejection Secondary'!BA91+'Rev DC DC Primary Sorting'!BA91+'Rev Primary (FSM Rejections)'!BA91+'Rev Secondary Sorting'!BA91+'VIA Bag Sorting'!BA91</f>
        <v/>
      </c>
      <c r="BB91" s="7">
        <f>SUM(AD91:BA91)</f>
        <v/>
      </c>
    </row>
    <row r="92">
      <c r="A92" t="inlineStr">
        <is>
          <t>AMD-RTS-RCLS-1302-SSC</t>
        </is>
      </c>
      <c r="B92" t="inlineStr">
        <is>
          <t>Rev OSC</t>
        </is>
      </c>
      <c r="C92" s="5" t="n">
        <v>46096</v>
      </c>
      <c r="D92" s="6" t="n">
        <v>530</v>
      </c>
      <c r="E92" s="6" t="n">
        <v>287</v>
      </c>
      <c r="F92" s="6" t="n">
        <v>732</v>
      </c>
      <c r="G92" s="6" t="n">
        <v>971</v>
      </c>
      <c r="H92" s="6" t="n">
        <v>234</v>
      </c>
      <c r="I92" s="6" t="n">
        <v>770</v>
      </c>
      <c r="J92" s="6" t="n">
        <v>426</v>
      </c>
      <c r="K92" s="6" t="n">
        <v>0</v>
      </c>
      <c r="L92" s="6" t="n">
        <v>0</v>
      </c>
      <c r="M92" s="6" t="n">
        <v>0</v>
      </c>
      <c r="N92" s="6" t="n">
        <v>0</v>
      </c>
      <c r="O92" s="6" t="n">
        <v>0</v>
      </c>
      <c r="P92" s="6" t="n">
        <v>0</v>
      </c>
      <c r="Q92" s="6" t="n">
        <v>0</v>
      </c>
      <c r="R92" s="6" t="n">
        <v>986</v>
      </c>
      <c r="S92" s="6" t="n">
        <v>2726</v>
      </c>
      <c r="T92" s="6" t="n">
        <v>740</v>
      </c>
      <c r="U92" s="6" t="n">
        <v>2245</v>
      </c>
      <c r="V92" s="6" t="n">
        <v>2213</v>
      </c>
      <c r="W92" s="6" t="n">
        <v>2459</v>
      </c>
      <c r="X92" s="6" t="n">
        <v>2643</v>
      </c>
      <c r="Y92" s="6" t="n">
        <v>3327</v>
      </c>
      <c r="Z92" s="6" t="n">
        <v>63</v>
      </c>
      <c r="AA92" s="6" t="n">
        <v>0</v>
      </c>
      <c r="AB92" s="6">
        <f>SUM(D92:AA92)</f>
        <v/>
      </c>
      <c r="AC92" s="3" t="inlineStr"/>
      <c r="AD92" s="7">
        <f>'BBB'!AD92+'Bag Staging'!AD92+'Bag Staging Volumetric'!AD92+'FWD FSM'!AD92+'FWD Manual Pre Primary'!AD92+'FWD Manual Primary'!AD92+'FWD Primary with Scan'!AD92+'FWD Secondary'!AD92+'FWD Volumetric'!AD92+'IB'!AD92+'IB Volumetric'!AD92+'OB'!AD92+'OB Volumetric'!AD92+'OSC Bag Sorting'!AD92+'OSC Bag Sorting Volumetric'!AD92+'REV FSM'!AD92+'Rejection Primary with Scan'!AD92+'Rejection Secondary'!AD92+'Rev DC DC Primary Sorting'!AD92+'Rev Primary (FSM Rejections)'!AD92+'Rev Secondary Sorting'!AD92+'VIA Bag Sorting'!AD92</f>
        <v/>
      </c>
      <c r="AE92" s="7">
        <f>'BBB'!AE92+'Bag Staging'!AE92+'Bag Staging Volumetric'!AE92+'FWD FSM'!AE92+'FWD Manual Pre Primary'!AE92+'FWD Manual Primary'!AE92+'FWD Primary with Scan'!AE92+'FWD Secondary'!AE92+'FWD Volumetric'!AE92+'IB'!AE92+'IB Volumetric'!AE92+'OB'!AE92+'OB Volumetric'!AE92+'OSC Bag Sorting'!AE92+'OSC Bag Sorting Volumetric'!AE92+'REV FSM'!AE92+'Rejection Primary with Scan'!AE92+'Rejection Secondary'!AE92+'Rev DC DC Primary Sorting'!AE92+'Rev Primary (FSM Rejections)'!AE92+'Rev Secondary Sorting'!AE92+'VIA Bag Sorting'!AE92</f>
        <v/>
      </c>
      <c r="AF92" s="7">
        <f>'BBB'!AF92+'Bag Staging'!AF92+'Bag Staging Volumetric'!AF92+'FWD FSM'!AF92+'FWD Manual Pre Primary'!AF92+'FWD Manual Primary'!AF92+'FWD Primary with Scan'!AF92+'FWD Secondary'!AF92+'FWD Volumetric'!AF92+'IB'!AF92+'IB Volumetric'!AF92+'OB'!AF92+'OB Volumetric'!AF92+'OSC Bag Sorting'!AF92+'OSC Bag Sorting Volumetric'!AF92+'REV FSM'!AF92+'Rejection Primary with Scan'!AF92+'Rejection Secondary'!AF92+'Rev DC DC Primary Sorting'!AF92+'Rev Primary (FSM Rejections)'!AF92+'Rev Secondary Sorting'!AF92+'VIA Bag Sorting'!AF92</f>
        <v/>
      </c>
      <c r="AG92" s="7">
        <f>'BBB'!AG92+'Bag Staging'!AG92+'Bag Staging Volumetric'!AG92+'FWD FSM'!AG92+'FWD Manual Pre Primary'!AG92+'FWD Manual Primary'!AG92+'FWD Primary with Scan'!AG92+'FWD Secondary'!AG92+'FWD Volumetric'!AG92+'IB'!AG92+'IB Volumetric'!AG92+'OB'!AG92+'OB Volumetric'!AG92+'OSC Bag Sorting'!AG92+'OSC Bag Sorting Volumetric'!AG92+'REV FSM'!AG92+'Rejection Primary with Scan'!AG92+'Rejection Secondary'!AG92+'Rev DC DC Primary Sorting'!AG92+'Rev Primary (FSM Rejections)'!AG92+'Rev Secondary Sorting'!AG92+'VIA Bag Sorting'!AG92</f>
        <v/>
      </c>
      <c r="AH92" s="7">
        <f>'BBB'!AH92+'Bag Staging'!AH92+'Bag Staging Volumetric'!AH92+'FWD FSM'!AH92+'FWD Manual Pre Primary'!AH92+'FWD Manual Primary'!AH92+'FWD Primary with Scan'!AH92+'FWD Secondary'!AH92+'FWD Volumetric'!AH92+'IB'!AH92+'IB Volumetric'!AH92+'OB'!AH92+'OB Volumetric'!AH92+'OSC Bag Sorting'!AH92+'OSC Bag Sorting Volumetric'!AH92+'REV FSM'!AH92+'Rejection Primary with Scan'!AH92+'Rejection Secondary'!AH92+'Rev DC DC Primary Sorting'!AH92+'Rev Primary (FSM Rejections)'!AH92+'Rev Secondary Sorting'!AH92+'VIA Bag Sorting'!AH92</f>
        <v/>
      </c>
      <c r="AI92" s="7">
        <f>'BBB'!AI92+'Bag Staging'!AI92+'Bag Staging Volumetric'!AI92+'FWD FSM'!AI92+'FWD Manual Pre Primary'!AI92+'FWD Manual Primary'!AI92+'FWD Primary with Scan'!AI92+'FWD Secondary'!AI92+'FWD Volumetric'!AI92+'IB'!AI92+'IB Volumetric'!AI92+'OB'!AI92+'OB Volumetric'!AI92+'OSC Bag Sorting'!AI92+'OSC Bag Sorting Volumetric'!AI92+'REV FSM'!AI92+'Rejection Primary with Scan'!AI92+'Rejection Secondary'!AI92+'Rev DC DC Primary Sorting'!AI92+'Rev Primary (FSM Rejections)'!AI92+'Rev Secondary Sorting'!AI92+'VIA Bag Sorting'!AI92</f>
        <v/>
      </c>
      <c r="AJ92" s="7">
        <f>'BBB'!AJ92+'Bag Staging'!AJ92+'Bag Staging Volumetric'!AJ92+'FWD FSM'!AJ92+'FWD Manual Pre Primary'!AJ92+'FWD Manual Primary'!AJ92+'FWD Primary with Scan'!AJ92+'FWD Secondary'!AJ92+'FWD Volumetric'!AJ92+'IB'!AJ92+'IB Volumetric'!AJ92+'OB'!AJ92+'OB Volumetric'!AJ92+'OSC Bag Sorting'!AJ92+'OSC Bag Sorting Volumetric'!AJ92+'REV FSM'!AJ92+'Rejection Primary with Scan'!AJ92+'Rejection Secondary'!AJ92+'Rev DC DC Primary Sorting'!AJ92+'Rev Primary (FSM Rejections)'!AJ92+'Rev Secondary Sorting'!AJ92+'VIA Bag Sorting'!AJ92</f>
        <v/>
      </c>
      <c r="AK92" s="7">
        <f>'BBB'!AK92+'Bag Staging'!AK92+'Bag Staging Volumetric'!AK92+'FWD FSM'!AK92+'FWD Manual Pre Primary'!AK92+'FWD Manual Primary'!AK92+'FWD Primary with Scan'!AK92+'FWD Secondary'!AK92+'FWD Volumetric'!AK92+'IB'!AK92+'IB Volumetric'!AK92+'OB'!AK92+'OB Volumetric'!AK92+'OSC Bag Sorting'!AK92+'OSC Bag Sorting Volumetric'!AK92+'REV FSM'!AK92+'Rejection Primary with Scan'!AK92+'Rejection Secondary'!AK92+'Rev DC DC Primary Sorting'!AK92+'Rev Primary (FSM Rejections)'!AK92+'Rev Secondary Sorting'!AK92+'VIA Bag Sorting'!AK92</f>
        <v/>
      </c>
      <c r="AL92" s="7">
        <f>'BBB'!AL92+'Bag Staging'!AL92+'Bag Staging Volumetric'!AL92+'FWD FSM'!AL92+'FWD Manual Pre Primary'!AL92+'FWD Manual Primary'!AL92+'FWD Primary with Scan'!AL92+'FWD Secondary'!AL92+'FWD Volumetric'!AL92+'IB'!AL92+'IB Volumetric'!AL92+'OB'!AL92+'OB Volumetric'!AL92+'OSC Bag Sorting'!AL92+'OSC Bag Sorting Volumetric'!AL92+'REV FSM'!AL92+'Rejection Primary with Scan'!AL92+'Rejection Secondary'!AL92+'Rev DC DC Primary Sorting'!AL92+'Rev Primary (FSM Rejections)'!AL92+'Rev Secondary Sorting'!AL92+'VIA Bag Sorting'!AL92</f>
        <v/>
      </c>
      <c r="AM92" s="7">
        <f>'BBB'!AM92+'Bag Staging'!AM92+'Bag Staging Volumetric'!AM92+'FWD FSM'!AM92+'FWD Manual Pre Primary'!AM92+'FWD Manual Primary'!AM92+'FWD Primary with Scan'!AM92+'FWD Secondary'!AM92+'FWD Volumetric'!AM92+'IB'!AM92+'IB Volumetric'!AM92+'OB'!AM92+'OB Volumetric'!AM92+'OSC Bag Sorting'!AM92+'OSC Bag Sorting Volumetric'!AM92+'REV FSM'!AM92+'Rejection Primary with Scan'!AM92+'Rejection Secondary'!AM92+'Rev DC DC Primary Sorting'!AM92+'Rev Primary (FSM Rejections)'!AM92+'Rev Secondary Sorting'!AM92+'VIA Bag Sorting'!AM92</f>
        <v/>
      </c>
      <c r="AN92" s="7">
        <f>'BBB'!AN92+'Bag Staging'!AN92+'Bag Staging Volumetric'!AN92+'FWD FSM'!AN92+'FWD Manual Pre Primary'!AN92+'FWD Manual Primary'!AN92+'FWD Primary with Scan'!AN92+'FWD Secondary'!AN92+'FWD Volumetric'!AN92+'IB'!AN92+'IB Volumetric'!AN92+'OB'!AN92+'OB Volumetric'!AN92+'OSC Bag Sorting'!AN92+'OSC Bag Sorting Volumetric'!AN92+'REV FSM'!AN92+'Rejection Primary with Scan'!AN92+'Rejection Secondary'!AN92+'Rev DC DC Primary Sorting'!AN92+'Rev Primary (FSM Rejections)'!AN92+'Rev Secondary Sorting'!AN92+'VIA Bag Sorting'!AN92</f>
        <v/>
      </c>
      <c r="AO92" s="7">
        <f>'BBB'!AO92+'Bag Staging'!AO92+'Bag Staging Volumetric'!AO92+'FWD FSM'!AO92+'FWD Manual Pre Primary'!AO92+'FWD Manual Primary'!AO92+'FWD Primary with Scan'!AO92+'FWD Secondary'!AO92+'FWD Volumetric'!AO92+'IB'!AO92+'IB Volumetric'!AO92+'OB'!AO92+'OB Volumetric'!AO92+'OSC Bag Sorting'!AO92+'OSC Bag Sorting Volumetric'!AO92+'REV FSM'!AO92+'Rejection Primary with Scan'!AO92+'Rejection Secondary'!AO92+'Rev DC DC Primary Sorting'!AO92+'Rev Primary (FSM Rejections)'!AO92+'Rev Secondary Sorting'!AO92+'VIA Bag Sorting'!AO92</f>
        <v/>
      </c>
      <c r="AP92" s="7">
        <f>'BBB'!AP92+'Bag Staging'!AP92+'Bag Staging Volumetric'!AP92+'FWD FSM'!AP92+'FWD Manual Pre Primary'!AP92+'FWD Manual Primary'!AP92+'FWD Primary with Scan'!AP92+'FWD Secondary'!AP92+'FWD Volumetric'!AP92+'IB'!AP92+'IB Volumetric'!AP92+'OB'!AP92+'OB Volumetric'!AP92+'OSC Bag Sorting'!AP92+'OSC Bag Sorting Volumetric'!AP92+'REV FSM'!AP92+'Rejection Primary with Scan'!AP92+'Rejection Secondary'!AP92+'Rev DC DC Primary Sorting'!AP92+'Rev Primary (FSM Rejections)'!AP92+'Rev Secondary Sorting'!AP92+'VIA Bag Sorting'!AP92</f>
        <v/>
      </c>
      <c r="AQ92" s="7">
        <f>'BBB'!AQ92+'Bag Staging'!AQ92+'Bag Staging Volumetric'!AQ92+'FWD FSM'!AQ92+'FWD Manual Pre Primary'!AQ92+'FWD Manual Primary'!AQ92+'FWD Primary with Scan'!AQ92+'FWD Secondary'!AQ92+'FWD Volumetric'!AQ92+'IB'!AQ92+'IB Volumetric'!AQ92+'OB'!AQ92+'OB Volumetric'!AQ92+'OSC Bag Sorting'!AQ92+'OSC Bag Sorting Volumetric'!AQ92+'REV FSM'!AQ92+'Rejection Primary with Scan'!AQ92+'Rejection Secondary'!AQ92+'Rev DC DC Primary Sorting'!AQ92+'Rev Primary (FSM Rejections)'!AQ92+'Rev Secondary Sorting'!AQ92+'VIA Bag Sorting'!AQ92</f>
        <v/>
      </c>
      <c r="AR92" s="7">
        <f>'BBB'!AR92+'Bag Staging'!AR92+'Bag Staging Volumetric'!AR92+'FWD FSM'!AR92+'FWD Manual Pre Primary'!AR92+'FWD Manual Primary'!AR92+'FWD Primary with Scan'!AR92+'FWD Secondary'!AR92+'FWD Volumetric'!AR92+'IB'!AR92+'IB Volumetric'!AR92+'OB'!AR92+'OB Volumetric'!AR92+'OSC Bag Sorting'!AR92+'OSC Bag Sorting Volumetric'!AR92+'REV FSM'!AR92+'Rejection Primary with Scan'!AR92+'Rejection Secondary'!AR92+'Rev DC DC Primary Sorting'!AR92+'Rev Primary (FSM Rejections)'!AR92+'Rev Secondary Sorting'!AR92+'VIA Bag Sorting'!AR92</f>
        <v/>
      </c>
      <c r="AS92" s="7">
        <f>'BBB'!AS92+'Bag Staging'!AS92+'Bag Staging Volumetric'!AS92+'FWD FSM'!AS92+'FWD Manual Pre Primary'!AS92+'FWD Manual Primary'!AS92+'FWD Primary with Scan'!AS92+'FWD Secondary'!AS92+'FWD Volumetric'!AS92+'IB'!AS92+'IB Volumetric'!AS92+'OB'!AS92+'OB Volumetric'!AS92+'OSC Bag Sorting'!AS92+'OSC Bag Sorting Volumetric'!AS92+'REV FSM'!AS92+'Rejection Primary with Scan'!AS92+'Rejection Secondary'!AS92+'Rev DC DC Primary Sorting'!AS92+'Rev Primary (FSM Rejections)'!AS92+'Rev Secondary Sorting'!AS92+'VIA Bag Sorting'!AS92</f>
        <v/>
      </c>
      <c r="AT92" s="7">
        <f>'BBB'!AT92+'Bag Staging'!AT92+'Bag Staging Volumetric'!AT92+'FWD FSM'!AT92+'FWD Manual Pre Primary'!AT92+'FWD Manual Primary'!AT92+'FWD Primary with Scan'!AT92+'FWD Secondary'!AT92+'FWD Volumetric'!AT92+'IB'!AT92+'IB Volumetric'!AT92+'OB'!AT92+'OB Volumetric'!AT92+'OSC Bag Sorting'!AT92+'OSC Bag Sorting Volumetric'!AT92+'REV FSM'!AT92+'Rejection Primary with Scan'!AT92+'Rejection Secondary'!AT92+'Rev DC DC Primary Sorting'!AT92+'Rev Primary (FSM Rejections)'!AT92+'Rev Secondary Sorting'!AT92+'VIA Bag Sorting'!AT92</f>
        <v/>
      </c>
      <c r="AU92" s="7">
        <f>'BBB'!AU92+'Bag Staging'!AU92+'Bag Staging Volumetric'!AU92+'FWD FSM'!AU92+'FWD Manual Pre Primary'!AU92+'FWD Manual Primary'!AU92+'FWD Primary with Scan'!AU92+'FWD Secondary'!AU92+'FWD Volumetric'!AU92+'IB'!AU92+'IB Volumetric'!AU92+'OB'!AU92+'OB Volumetric'!AU92+'OSC Bag Sorting'!AU92+'OSC Bag Sorting Volumetric'!AU92+'REV FSM'!AU92+'Rejection Primary with Scan'!AU92+'Rejection Secondary'!AU92+'Rev DC DC Primary Sorting'!AU92+'Rev Primary (FSM Rejections)'!AU92+'Rev Secondary Sorting'!AU92+'VIA Bag Sorting'!AU92</f>
        <v/>
      </c>
      <c r="AV92" s="7">
        <f>'BBB'!AV92+'Bag Staging'!AV92+'Bag Staging Volumetric'!AV92+'FWD FSM'!AV92+'FWD Manual Pre Primary'!AV92+'FWD Manual Primary'!AV92+'FWD Primary with Scan'!AV92+'FWD Secondary'!AV92+'FWD Volumetric'!AV92+'IB'!AV92+'IB Volumetric'!AV92+'OB'!AV92+'OB Volumetric'!AV92+'OSC Bag Sorting'!AV92+'OSC Bag Sorting Volumetric'!AV92+'REV FSM'!AV92+'Rejection Primary with Scan'!AV92+'Rejection Secondary'!AV92+'Rev DC DC Primary Sorting'!AV92+'Rev Primary (FSM Rejections)'!AV92+'Rev Secondary Sorting'!AV92+'VIA Bag Sorting'!AV92</f>
        <v/>
      </c>
      <c r="AW92" s="7">
        <f>'BBB'!AW92+'Bag Staging'!AW92+'Bag Staging Volumetric'!AW92+'FWD FSM'!AW92+'FWD Manual Pre Primary'!AW92+'FWD Manual Primary'!AW92+'FWD Primary with Scan'!AW92+'FWD Secondary'!AW92+'FWD Volumetric'!AW92+'IB'!AW92+'IB Volumetric'!AW92+'OB'!AW92+'OB Volumetric'!AW92+'OSC Bag Sorting'!AW92+'OSC Bag Sorting Volumetric'!AW92+'REV FSM'!AW92+'Rejection Primary with Scan'!AW92+'Rejection Secondary'!AW92+'Rev DC DC Primary Sorting'!AW92+'Rev Primary (FSM Rejections)'!AW92+'Rev Secondary Sorting'!AW92+'VIA Bag Sorting'!AW92</f>
        <v/>
      </c>
      <c r="AX92" s="7">
        <f>'BBB'!AX92+'Bag Staging'!AX92+'Bag Staging Volumetric'!AX92+'FWD FSM'!AX92+'FWD Manual Pre Primary'!AX92+'FWD Manual Primary'!AX92+'FWD Primary with Scan'!AX92+'FWD Secondary'!AX92+'FWD Volumetric'!AX92+'IB'!AX92+'IB Volumetric'!AX92+'OB'!AX92+'OB Volumetric'!AX92+'OSC Bag Sorting'!AX92+'OSC Bag Sorting Volumetric'!AX92+'REV FSM'!AX92+'Rejection Primary with Scan'!AX92+'Rejection Secondary'!AX92+'Rev DC DC Primary Sorting'!AX92+'Rev Primary (FSM Rejections)'!AX92+'Rev Secondary Sorting'!AX92+'VIA Bag Sorting'!AX92</f>
        <v/>
      </c>
      <c r="AY92" s="7">
        <f>'BBB'!AY92+'Bag Staging'!AY92+'Bag Staging Volumetric'!AY92+'FWD FSM'!AY92+'FWD Manual Pre Primary'!AY92+'FWD Manual Primary'!AY92+'FWD Primary with Scan'!AY92+'FWD Secondary'!AY92+'FWD Volumetric'!AY92+'IB'!AY92+'IB Volumetric'!AY92+'OB'!AY92+'OB Volumetric'!AY92+'OSC Bag Sorting'!AY92+'OSC Bag Sorting Volumetric'!AY92+'REV FSM'!AY92+'Rejection Primary with Scan'!AY92+'Rejection Secondary'!AY92+'Rev DC DC Primary Sorting'!AY92+'Rev Primary (FSM Rejections)'!AY92+'Rev Secondary Sorting'!AY92+'VIA Bag Sorting'!AY92</f>
        <v/>
      </c>
      <c r="AZ92" s="7">
        <f>'BBB'!AZ92+'Bag Staging'!AZ92+'Bag Staging Volumetric'!AZ92+'FWD FSM'!AZ92+'FWD Manual Pre Primary'!AZ92+'FWD Manual Primary'!AZ92+'FWD Primary with Scan'!AZ92+'FWD Secondary'!AZ92+'FWD Volumetric'!AZ92+'IB'!AZ92+'IB Volumetric'!AZ92+'OB'!AZ92+'OB Volumetric'!AZ92+'OSC Bag Sorting'!AZ92+'OSC Bag Sorting Volumetric'!AZ92+'REV FSM'!AZ92+'Rejection Primary with Scan'!AZ92+'Rejection Secondary'!AZ92+'Rev DC DC Primary Sorting'!AZ92+'Rev Primary (FSM Rejections)'!AZ92+'Rev Secondary Sorting'!AZ92+'VIA Bag Sorting'!AZ92</f>
        <v/>
      </c>
      <c r="BA92" s="7">
        <f>'BBB'!BA92+'Bag Staging'!BA92+'Bag Staging Volumetric'!BA92+'FWD FSM'!BA92+'FWD Manual Pre Primary'!BA92+'FWD Manual Primary'!BA92+'FWD Primary with Scan'!BA92+'FWD Secondary'!BA92+'FWD Volumetric'!BA92+'IB'!BA92+'IB Volumetric'!BA92+'OB'!BA92+'OB Volumetric'!BA92+'OSC Bag Sorting'!BA92+'OSC Bag Sorting Volumetric'!BA92+'REV FSM'!BA92+'Rejection Primary with Scan'!BA92+'Rejection Secondary'!BA92+'Rev DC DC Primary Sorting'!BA92+'Rev Primary (FSM Rejections)'!BA92+'Rev Secondary Sorting'!BA92+'VIA Bag Sorting'!BA92</f>
        <v/>
      </c>
      <c r="BB92" s="7">
        <f>SUM(AD92:BA92)</f>
        <v/>
      </c>
    </row>
    <row r="93">
      <c r="A93" t="inlineStr">
        <is>
          <t>AMD-RTS-RCLS-1302-SSC</t>
        </is>
      </c>
      <c r="B93" t="inlineStr">
        <is>
          <t>Rev OSC</t>
        </is>
      </c>
      <c r="C93" s="5" t="n">
        <v>46097</v>
      </c>
      <c r="D93" s="6" t="n">
        <v>0</v>
      </c>
      <c r="E93" s="6" t="n">
        <v>0</v>
      </c>
      <c r="F93" s="6" t="n">
        <v>0</v>
      </c>
      <c r="G93" s="6" t="n">
        <v>0</v>
      </c>
      <c r="H93" s="6" t="n">
        <v>0</v>
      </c>
      <c r="I93" s="6" t="n">
        <v>0</v>
      </c>
      <c r="J93" s="6" t="n">
        <v>0</v>
      </c>
      <c r="K93" s="6" t="n">
        <v>0</v>
      </c>
      <c r="L93" s="6" t="n">
        <v>0</v>
      </c>
      <c r="M93" s="6" t="n">
        <v>0</v>
      </c>
      <c r="N93" s="6" t="n">
        <v>0</v>
      </c>
      <c r="O93" s="6" t="n">
        <v>0</v>
      </c>
      <c r="P93" s="6" t="n">
        <v>0</v>
      </c>
      <c r="Q93" s="6" t="n">
        <v>0</v>
      </c>
      <c r="R93" s="6" t="n">
        <v>1110</v>
      </c>
      <c r="S93" s="6" t="n">
        <v>2312</v>
      </c>
      <c r="T93" s="6" t="n">
        <v>798</v>
      </c>
      <c r="U93" s="6" t="n">
        <v>1350</v>
      </c>
      <c r="V93" s="6" t="n">
        <v>1508</v>
      </c>
      <c r="W93" s="6" t="n">
        <v>939</v>
      </c>
      <c r="X93" s="6" t="n">
        <v>1017</v>
      </c>
      <c r="Y93" s="6" t="n">
        <v>477</v>
      </c>
      <c r="Z93" s="6" t="n">
        <v>0</v>
      </c>
      <c r="AA93" s="6" t="n">
        <v>0</v>
      </c>
      <c r="AB93" s="6">
        <f>SUM(D93:AA93)</f>
        <v/>
      </c>
      <c r="AC93" s="3" t="inlineStr"/>
      <c r="AD93" s="7">
        <f>'BBB'!AD93+'Bag Staging'!AD93+'Bag Staging Volumetric'!AD93+'FWD FSM'!AD93+'FWD Manual Pre Primary'!AD93+'FWD Manual Primary'!AD93+'FWD Primary with Scan'!AD93+'FWD Secondary'!AD93+'FWD Volumetric'!AD93+'IB'!AD93+'IB Volumetric'!AD93+'OB'!AD93+'OB Volumetric'!AD93+'OSC Bag Sorting'!AD93+'OSC Bag Sorting Volumetric'!AD93+'REV FSM'!AD93+'Rejection Primary with Scan'!AD93+'Rejection Secondary'!AD93+'Rev DC DC Primary Sorting'!AD93+'Rev Primary (FSM Rejections)'!AD93+'Rev Secondary Sorting'!AD93+'VIA Bag Sorting'!AD93</f>
        <v/>
      </c>
      <c r="AE93" s="7">
        <f>'BBB'!AE93+'Bag Staging'!AE93+'Bag Staging Volumetric'!AE93+'FWD FSM'!AE93+'FWD Manual Pre Primary'!AE93+'FWD Manual Primary'!AE93+'FWD Primary with Scan'!AE93+'FWD Secondary'!AE93+'FWD Volumetric'!AE93+'IB'!AE93+'IB Volumetric'!AE93+'OB'!AE93+'OB Volumetric'!AE93+'OSC Bag Sorting'!AE93+'OSC Bag Sorting Volumetric'!AE93+'REV FSM'!AE93+'Rejection Primary with Scan'!AE93+'Rejection Secondary'!AE93+'Rev DC DC Primary Sorting'!AE93+'Rev Primary (FSM Rejections)'!AE93+'Rev Secondary Sorting'!AE93+'VIA Bag Sorting'!AE93</f>
        <v/>
      </c>
      <c r="AF93" s="7">
        <f>'BBB'!AF93+'Bag Staging'!AF93+'Bag Staging Volumetric'!AF93+'FWD FSM'!AF93+'FWD Manual Pre Primary'!AF93+'FWD Manual Primary'!AF93+'FWD Primary with Scan'!AF93+'FWD Secondary'!AF93+'FWD Volumetric'!AF93+'IB'!AF93+'IB Volumetric'!AF93+'OB'!AF93+'OB Volumetric'!AF93+'OSC Bag Sorting'!AF93+'OSC Bag Sorting Volumetric'!AF93+'REV FSM'!AF93+'Rejection Primary with Scan'!AF93+'Rejection Secondary'!AF93+'Rev DC DC Primary Sorting'!AF93+'Rev Primary (FSM Rejections)'!AF93+'Rev Secondary Sorting'!AF93+'VIA Bag Sorting'!AF93</f>
        <v/>
      </c>
      <c r="AG93" s="7">
        <f>'BBB'!AG93+'Bag Staging'!AG93+'Bag Staging Volumetric'!AG93+'FWD FSM'!AG93+'FWD Manual Pre Primary'!AG93+'FWD Manual Primary'!AG93+'FWD Primary with Scan'!AG93+'FWD Secondary'!AG93+'FWD Volumetric'!AG93+'IB'!AG93+'IB Volumetric'!AG93+'OB'!AG93+'OB Volumetric'!AG93+'OSC Bag Sorting'!AG93+'OSC Bag Sorting Volumetric'!AG93+'REV FSM'!AG93+'Rejection Primary with Scan'!AG93+'Rejection Secondary'!AG93+'Rev DC DC Primary Sorting'!AG93+'Rev Primary (FSM Rejections)'!AG93+'Rev Secondary Sorting'!AG93+'VIA Bag Sorting'!AG93</f>
        <v/>
      </c>
      <c r="AH93" s="7">
        <f>'BBB'!AH93+'Bag Staging'!AH93+'Bag Staging Volumetric'!AH93+'FWD FSM'!AH93+'FWD Manual Pre Primary'!AH93+'FWD Manual Primary'!AH93+'FWD Primary with Scan'!AH93+'FWD Secondary'!AH93+'FWD Volumetric'!AH93+'IB'!AH93+'IB Volumetric'!AH93+'OB'!AH93+'OB Volumetric'!AH93+'OSC Bag Sorting'!AH93+'OSC Bag Sorting Volumetric'!AH93+'REV FSM'!AH93+'Rejection Primary with Scan'!AH93+'Rejection Secondary'!AH93+'Rev DC DC Primary Sorting'!AH93+'Rev Primary (FSM Rejections)'!AH93+'Rev Secondary Sorting'!AH93+'VIA Bag Sorting'!AH93</f>
        <v/>
      </c>
      <c r="AI93" s="7">
        <f>'BBB'!AI93+'Bag Staging'!AI93+'Bag Staging Volumetric'!AI93+'FWD FSM'!AI93+'FWD Manual Pre Primary'!AI93+'FWD Manual Primary'!AI93+'FWD Primary with Scan'!AI93+'FWD Secondary'!AI93+'FWD Volumetric'!AI93+'IB'!AI93+'IB Volumetric'!AI93+'OB'!AI93+'OB Volumetric'!AI93+'OSC Bag Sorting'!AI93+'OSC Bag Sorting Volumetric'!AI93+'REV FSM'!AI93+'Rejection Primary with Scan'!AI93+'Rejection Secondary'!AI93+'Rev DC DC Primary Sorting'!AI93+'Rev Primary (FSM Rejections)'!AI93+'Rev Secondary Sorting'!AI93+'VIA Bag Sorting'!AI93</f>
        <v/>
      </c>
      <c r="AJ93" s="7">
        <f>'BBB'!AJ93+'Bag Staging'!AJ93+'Bag Staging Volumetric'!AJ93+'FWD FSM'!AJ93+'FWD Manual Pre Primary'!AJ93+'FWD Manual Primary'!AJ93+'FWD Primary with Scan'!AJ93+'FWD Secondary'!AJ93+'FWD Volumetric'!AJ93+'IB'!AJ93+'IB Volumetric'!AJ93+'OB'!AJ93+'OB Volumetric'!AJ93+'OSC Bag Sorting'!AJ93+'OSC Bag Sorting Volumetric'!AJ93+'REV FSM'!AJ93+'Rejection Primary with Scan'!AJ93+'Rejection Secondary'!AJ93+'Rev DC DC Primary Sorting'!AJ93+'Rev Primary (FSM Rejections)'!AJ93+'Rev Secondary Sorting'!AJ93+'VIA Bag Sorting'!AJ93</f>
        <v/>
      </c>
      <c r="AK93" s="7">
        <f>'BBB'!AK93+'Bag Staging'!AK93+'Bag Staging Volumetric'!AK93+'FWD FSM'!AK93+'FWD Manual Pre Primary'!AK93+'FWD Manual Primary'!AK93+'FWD Primary with Scan'!AK93+'FWD Secondary'!AK93+'FWD Volumetric'!AK93+'IB'!AK93+'IB Volumetric'!AK93+'OB'!AK93+'OB Volumetric'!AK93+'OSC Bag Sorting'!AK93+'OSC Bag Sorting Volumetric'!AK93+'REV FSM'!AK93+'Rejection Primary with Scan'!AK93+'Rejection Secondary'!AK93+'Rev DC DC Primary Sorting'!AK93+'Rev Primary (FSM Rejections)'!AK93+'Rev Secondary Sorting'!AK93+'VIA Bag Sorting'!AK93</f>
        <v/>
      </c>
      <c r="AL93" s="7">
        <f>'BBB'!AL93+'Bag Staging'!AL93+'Bag Staging Volumetric'!AL93+'FWD FSM'!AL93+'FWD Manual Pre Primary'!AL93+'FWD Manual Primary'!AL93+'FWD Primary with Scan'!AL93+'FWD Secondary'!AL93+'FWD Volumetric'!AL93+'IB'!AL93+'IB Volumetric'!AL93+'OB'!AL93+'OB Volumetric'!AL93+'OSC Bag Sorting'!AL93+'OSC Bag Sorting Volumetric'!AL93+'REV FSM'!AL93+'Rejection Primary with Scan'!AL93+'Rejection Secondary'!AL93+'Rev DC DC Primary Sorting'!AL93+'Rev Primary (FSM Rejections)'!AL93+'Rev Secondary Sorting'!AL93+'VIA Bag Sorting'!AL93</f>
        <v/>
      </c>
      <c r="AM93" s="7">
        <f>'BBB'!AM93+'Bag Staging'!AM93+'Bag Staging Volumetric'!AM93+'FWD FSM'!AM93+'FWD Manual Pre Primary'!AM93+'FWD Manual Primary'!AM93+'FWD Primary with Scan'!AM93+'FWD Secondary'!AM93+'FWD Volumetric'!AM93+'IB'!AM93+'IB Volumetric'!AM93+'OB'!AM93+'OB Volumetric'!AM93+'OSC Bag Sorting'!AM93+'OSC Bag Sorting Volumetric'!AM93+'REV FSM'!AM93+'Rejection Primary with Scan'!AM93+'Rejection Secondary'!AM93+'Rev DC DC Primary Sorting'!AM93+'Rev Primary (FSM Rejections)'!AM93+'Rev Secondary Sorting'!AM93+'VIA Bag Sorting'!AM93</f>
        <v/>
      </c>
      <c r="AN93" s="7">
        <f>'BBB'!AN93+'Bag Staging'!AN93+'Bag Staging Volumetric'!AN93+'FWD FSM'!AN93+'FWD Manual Pre Primary'!AN93+'FWD Manual Primary'!AN93+'FWD Primary with Scan'!AN93+'FWD Secondary'!AN93+'FWD Volumetric'!AN93+'IB'!AN93+'IB Volumetric'!AN93+'OB'!AN93+'OB Volumetric'!AN93+'OSC Bag Sorting'!AN93+'OSC Bag Sorting Volumetric'!AN93+'REV FSM'!AN93+'Rejection Primary with Scan'!AN93+'Rejection Secondary'!AN93+'Rev DC DC Primary Sorting'!AN93+'Rev Primary (FSM Rejections)'!AN93+'Rev Secondary Sorting'!AN93+'VIA Bag Sorting'!AN93</f>
        <v/>
      </c>
      <c r="AO93" s="7">
        <f>'BBB'!AO93+'Bag Staging'!AO93+'Bag Staging Volumetric'!AO93+'FWD FSM'!AO93+'FWD Manual Pre Primary'!AO93+'FWD Manual Primary'!AO93+'FWD Primary with Scan'!AO93+'FWD Secondary'!AO93+'FWD Volumetric'!AO93+'IB'!AO93+'IB Volumetric'!AO93+'OB'!AO93+'OB Volumetric'!AO93+'OSC Bag Sorting'!AO93+'OSC Bag Sorting Volumetric'!AO93+'REV FSM'!AO93+'Rejection Primary with Scan'!AO93+'Rejection Secondary'!AO93+'Rev DC DC Primary Sorting'!AO93+'Rev Primary (FSM Rejections)'!AO93+'Rev Secondary Sorting'!AO93+'VIA Bag Sorting'!AO93</f>
        <v/>
      </c>
      <c r="AP93" s="7">
        <f>'BBB'!AP93+'Bag Staging'!AP93+'Bag Staging Volumetric'!AP93+'FWD FSM'!AP93+'FWD Manual Pre Primary'!AP93+'FWD Manual Primary'!AP93+'FWD Primary with Scan'!AP93+'FWD Secondary'!AP93+'FWD Volumetric'!AP93+'IB'!AP93+'IB Volumetric'!AP93+'OB'!AP93+'OB Volumetric'!AP93+'OSC Bag Sorting'!AP93+'OSC Bag Sorting Volumetric'!AP93+'REV FSM'!AP93+'Rejection Primary with Scan'!AP93+'Rejection Secondary'!AP93+'Rev DC DC Primary Sorting'!AP93+'Rev Primary (FSM Rejections)'!AP93+'Rev Secondary Sorting'!AP93+'VIA Bag Sorting'!AP93</f>
        <v/>
      </c>
      <c r="AQ93" s="7">
        <f>'BBB'!AQ93+'Bag Staging'!AQ93+'Bag Staging Volumetric'!AQ93+'FWD FSM'!AQ93+'FWD Manual Pre Primary'!AQ93+'FWD Manual Primary'!AQ93+'FWD Primary with Scan'!AQ93+'FWD Secondary'!AQ93+'FWD Volumetric'!AQ93+'IB'!AQ93+'IB Volumetric'!AQ93+'OB'!AQ93+'OB Volumetric'!AQ93+'OSC Bag Sorting'!AQ93+'OSC Bag Sorting Volumetric'!AQ93+'REV FSM'!AQ93+'Rejection Primary with Scan'!AQ93+'Rejection Secondary'!AQ93+'Rev DC DC Primary Sorting'!AQ93+'Rev Primary (FSM Rejections)'!AQ93+'Rev Secondary Sorting'!AQ93+'VIA Bag Sorting'!AQ93</f>
        <v/>
      </c>
      <c r="AR93" s="7">
        <f>'BBB'!AR93+'Bag Staging'!AR93+'Bag Staging Volumetric'!AR93+'FWD FSM'!AR93+'FWD Manual Pre Primary'!AR93+'FWD Manual Primary'!AR93+'FWD Primary with Scan'!AR93+'FWD Secondary'!AR93+'FWD Volumetric'!AR93+'IB'!AR93+'IB Volumetric'!AR93+'OB'!AR93+'OB Volumetric'!AR93+'OSC Bag Sorting'!AR93+'OSC Bag Sorting Volumetric'!AR93+'REV FSM'!AR93+'Rejection Primary with Scan'!AR93+'Rejection Secondary'!AR93+'Rev DC DC Primary Sorting'!AR93+'Rev Primary (FSM Rejections)'!AR93+'Rev Secondary Sorting'!AR93+'VIA Bag Sorting'!AR93</f>
        <v/>
      </c>
      <c r="AS93" s="7">
        <f>'BBB'!AS93+'Bag Staging'!AS93+'Bag Staging Volumetric'!AS93+'FWD FSM'!AS93+'FWD Manual Pre Primary'!AS93+'FWD Manual Primary'!AS93+'FWD Primary with Scan'!AS93+'FWD Secondary'!AS93+'FWD Volumetric'!AS93+'IB'!AS93+'IB Volumetric'!AS93+'OB'!AS93+'OB Volumetric'!AS93+'OSC Bag Sorting'!AS93+'OSC Bag Sorting Volumetric'!AS93+'REV FSM'!AS93+'Rejection Primary with Scan'!AS93+'Rejection Secondary'!AS93+'Rev DC DC Primary Sorting'!AS93+'Rev Primary (FSM Rejections)'!AS93+'Rev Secondary Sorting'!AS93+'VIA Bag Sorting'!AS93</f>
        <v/>
      </c>
      <c r="AT93" s="7">
        <f>'BBB'!AT93+'Bag Staging'!AT93+'Bag Staging Volumetric'!AT93+'FWD FSM'!AT93+'FWD Manual Pre Primary'!AT93+'FWD Manual Primary'!AT93+'FWD Primary with Scan'!AT93+'FWD Secondary'!AT93+'FWD Volumetric'!AT93+'IB'!AT93+'IB Volumetric'!AT93+'OB'!AT93+'OB Volumetric'!AT93+'OSC Bag Sorting'!AT93+'OSC Bag Sorting Volumetric'!AT93+'REV FSM'!AT93+'Rejection Primary with Scan'!AT93+'Rejection Secondary'!AT93+'Rev DC DC Primary Sorting'!AT93+'Rev Primary (FSM Rejections)'!AT93+'Rev Secondary Sorting'!AT93+'VIA Bag Sorting'!AT93</f>
        <v/>
      </c>
      <c r="AU93" s="7">
        <f>'BBB'!AU93+'Bag Staging'!AU93+'Bag Staging Volumetric'!AU93+'FWD FSM'!AU93+'FWD Manual Pre Primary'!AU93+'FWD Manual Primary'!AU93+'FWD Primary with Scan'!AU93+'FWD Secondary'!AU93+'FWD Volumetric'!AU93+'IB'!AU93+'IB Volumetric'!AU93+'OB'!AU93+'OB Volumetric'!AU93+'OSC Bag Sorting'!AU93+'OSC Bag Sorting Volumetric'!AU93+'REV FSM'!AU93+'Rejection Primary with Scan'!AU93+'Rejection Secondary'!AU93+'Rev DC DC Primary Sorting'!AU93+'Rev Primary (FSM Rejections)'!AU93+'Rev Secondary Sorting'!AU93+'VIA Bag Sorting'!AU93</f>
        <v/>
      </c>
      <c r="AV93" s="7">
        <f>'BBB'!AV93+'Bag Staging'!AV93+'Bag Staging Volumetric'!AV93+'FWD FSM'!AV93+'FWD Manual Pre Primary'!AV93+'FWD Manual Primary'!AV93+'FWD Primary with Scan'!AV93+'FWD Secondary'!AV93+'FWD Volumetric'!AV93+'IB'!AV93+'IB Volumetric'!AV93+'OB'!AV93+'OB Volumetric'!AV93+'OSC Bag Sorting'!AV93+'OSC Bag Sorting Volumetric'!AV93+'REV FSM'!AV93+'Rejection Primary with Scan'!AV93+'Rejection Secondary'!AV93+'Rev DC DC Primary Sorting'!AV93+'Rev Primary (FSM Rejections)'!AV93+'Rev Secondary Sorting'!AV93+'VIA Bag Sorting'!AV93</f>
        <v/>
      </c>
      <c r="AW93" s="7">
        <f>'BBB'!AW93+'Bag Staging'!AW93+'Bag Staging Volumetric'!AW93+'FWD FSM'!AW93+'FWD Manual Pre Primary'!AW93+'FWD Manual Primary'!AW93+'FWD Primary with Scan'!AW93+'FWD Secondary'!AW93+'FWD Volumetric'!AW93+'IB'!AW93+'IB Volumetric'!AW93+'OB'!AW93+'OB Volumetric'!AW93+'OSC Bag Sorting'!AW93+'OSC Bag Sorting Volumetric'!AW93+'REV FSM'!AW93+'Rejection Primary with Scan'!AW93+'Rejection Secondary'!AW93+'Rev DC DC Primary Sorting'!AW93+'Rev Primary (FSM Rejections)'!AW93+'Rev Secondary Sorting'!AW93+'VIA Bag Sorting'!AW93</f>
        <v/>
      </c>
      <c r="AX93" s="7">
        <f>'BBB'!AX93+'Bag Staging'!AX93+'Bag Staging Volumetric'!AX93+'FWD FSM'!AX93+'FWD Manual Pre Primary'!AX93+'FWD Manual Primary'!AX93+'FWD Primary with Scan'!AX93+'FWD Secondary'!AX93+'FWD Volumetric'!AX93+'IB'!AX93+'IB Volumetric'!AX93+'OB'!AX93+'OB Volumetric'!AX93+'OSC Bag Sorting'!AX93+'OSC Bag Sorting Volumetric'!AX93+'REV FSM'!AX93+'Rejection Primary with Scan'!AX93+'Rejection Secondary'!AX93+'Rev DC DC Primary Sorting'!AX93+'Rev Primary (FSM Rejections)'!AX93+'Rev Secondary Sorting'!AX93+'VIA Bag Sorting'!AX93</f>
        <v/>
      </c>
      <c r="AY93" s="7">
        <f>'BBB'!AY93+'Bag Staging'!AY93+'Bag Staging Volumetric'!AY93+'FWD FSM'!AY93+'FWD Manual Pre Primary'!AY93+'FWD Manual Primary'!AY93+'FWD Primary with Scan'!AY93+'FWD Secondary'!AY93+'FWD Volumetric'!AY93+'IB'!AY93+'IB Volumetric'!AY93+'OB'!AY93+'OB Volumetric'!AY93+'OSC Bag Sorting'!AY93+'OSC Bag Sorting Volumetric'!AY93+'REV FSM'!AY93+'Rejection Primary with Scan'!AY93+'Rejection Secondary'!AY93+'Rev DC DC Primary Sorting'!AY93+'Rev Primary (FSM Rejections)'!AY93+'Rev Secondary Sorting'!AY93+'VIA Bag Sorting'!AY93</f>
        <v/>
      </c>
      <c r="AZ93" s="7">
        <f>'BBB'!AZ93+'Bag Staging'!AZ93+'Bag Staging Volumetric'!AZ93+'FWD FSM'!AZ93+'FWD Manual Pre Primary'!AZ93+'FWD Manual Primary'!AZ93+'FWD Primary with Scan'!AZ93+'FWD Secondary'!AZ93+'FWD Volumetric'!AZ93+'IB'!AZ93+'IB Volumetric'!AZ93+'OB'!AZ93+'OB Volumetric'!AZ93+'OSC Bag Sorting'!AZ93+'OSC Bag Sorting Volumetric'!AZ93+'REV FSM'!AZ93+'Rejection Primary with Scan'!AZ93+'Rejection Secondary'!AZ93+'Rev DC DC Primary Sorting'!AZ93+'Rev Primary (FSM Rejections)'!AZ93+'Rev Secondary Sorting'!AZ93+'VIA Bag Sorting'!AZ93</f>
        <v/>
      </c>
      <c r="BA93" s="7">
        <f>'BBB'!BA93+'Bag Staging'!BA93+'Bag Staging Volumetric'!BA93+'FWD FSM'!BA93+'FWD Manual Pre Primary'!BA93+'FWD Manual Primary'!BA93+'FWD Primary with Scan'!BA93+'FWD Secondary'!BA93+'FWD Volumetric'!BA93+'IB'!BA93+'IB Volumetric'!BA93+'OB'!BA93+'OB Volumetric'!BA93+'OSC Bag Sorting'!BA93+'OSC Bag Sorting Volumetric'!BA93+'REV FSM'!BA93+'Rejection Primary with Scan'!BA93+'Rejection Secondary'!BA93+'Rev DC DC Primary Sorting'!BA93+'Rev Primary (FSM Rejections)'!BA93+'Rev Secondary Sorting'!BA93+'VIA Bag Sorting'!BA93</f>
        <v/>
      </c>
      <c r="BB93" s="7">
        <f>SUM(AD93:BA93)</f>
        <v/>
      </c>
    </row>
    <row r="94">
      <c r="A94" t="inlineStr">
        <is>
          <t>AMD-RTS-RCLS-1302-SSC</t>
        </is>
      </c>
      <c r="B94" t="inlineStr">
        <is>
          <t>Rev OSC</t>
        </is>
      </c>
      <c r="C94" s="5" t="n">
        <v>46100</v>
      </c>
      <c r="D94" s="6" t="n">
        <v>0</v>
      </c>
      <c r="E94" s="6" t="n">
        <v>0</v>
      </c>
      <c r="F94" s="6" t="n">
        <v>0</v>
      </c>
      <c r="G94" s="6" t="n">
        <v>0</v>
      </c>
      <c r="H94" s="6" t="n">
        <v>0</v>
      </c>
      <c r="I94" s="6" t="n">
        <v>0</v>
      </c>
      <c r="J94" s="6" t="n">
        <v>0</v>
      </c>
      <c r="K94" s="6" t="n">
        <v>0</v>
      </c>
      <c r="L94" s="6" t="n">
        <v>0</v>
      </c>
      <c r="M94" s="6" t="n">
        <v>0</v>
      </c>
      <c r="N94" s="6" t="n">
        <v>0</v>
      </c>
      <c r="O94" s="6" t="n">
        <v>34</v>
      </c>
      <c r="P94" s="6" t="n">
        <v>520</v>
      </c>
      <c r="Q94" s="6" t="n">
        <v>11</v>
      </c>
      <c r="R94" s="6" t="n">
        <v>2042</v>
      </c>
      <c r="S94" s="6" t="n">
        <v>3122</v>
      </c>
      <c r="T94" s="6" t="n">
        <v>927</v>
      </c>
      <c r="U94" s="6" t="n">
        <v>1752</v>
      </c>
      <c r="V94" s="6" t="n">
        <v>1751</v>
      </c>
      <c r="W94" s="6" t="n">
        <v>2791</v>
      </c>
      <c r="X94" s="6" t="n">
        <v>2858</v>
      </c>
      <c r="Y94" s="6" t="n">
        <v>2650</v>
      </c>
      <c r="Z94" s="6" t="n">
        <v>2</v>
      </c>
      <c r="AA94" s="6" t="n">
        <v>0</v>
      </c>
      <c r="AB94" s="6">
        <f>SUM(D94:AA94)</f>
        <v/>
      </c>
      <c r="AC94" s="3" t="inlineStr"/>
      <c r="AD94" s="7">
        <f>'BBB'!AD94+'Bag Staging'!AD94+'Bag Staging Volumetric'!AD94+'FWD FSM'!AD94+'FWD Manual Pre Primary'!AD94+'FWD Manual Primary'!AD94+'FWD Primary with Scan'!AD94+'FWD Secondary'!AD94+'FWD Volumetric'!AD94+'IB'!AD94+'IB Volumetric'!AD94+'OB'!AD94+'OB Volumetric'!AD94+'OSC Bag Sorting'!AD94+'OSC Bag Sorting Volumetric'!AD94+'REV FSM'!AD94+'Rejection Primary with Scan'!AD94+'Rejection Secondary'!AD94+'Rev DC DC Primary Sorting'!AD94+'Rev Primary (FSM Rejections)'!AD94+'Rev Secondary Sorting'!AD94+'VIA Bag Sorting'!AD94</f>
        <v/>
      </c>
      <c r="AE94" s="7">
        <f>'BBB'!AE94+'Bag Staging'!AE94+'Bag Staging Volumetric'!AE94+'FWD FSM'!AE94+'FWD Manual Pre Primary'!AE94+'FWD Manual Primary'!AE94+'FWD Primary with Scan'!AE94+'FWD Secondary'!AE94+'FWD Volumetric'!AE94+'IB'!AE94+'IB Volumetric'!AE94+'OB'!AE94+'OB Volumetric'!AE94+'OSC Bag Sorting'!AE94+'OSC Bag Sorting Volumetric'!AE94+'REV FSM'!AE94+'Rejection Primary with Scan'!AE94+'Rejection Secondary'!AE94+'Rev DC DC Primary Sorting'!AE94+'Rev Primary (FSM Rejections)'!AE94+'Rev Secondary Sorting'!AE94+'VIA Bag Sorting'!AE94</f>
        <v/>
      </c>
      <c r="AF94" s="7">
        <f>'BBB'!AF94+'Bag Staging'!AF94+'Bag Staging Volumetric'!AF94+'FWD FSM'!AF94+'FWD Manual Pre Primary'!AF94+'FWD Manual Primary'!AF94+'FWD Primary with Scan'!AF94+'FWD Secondary'!AF94+'FWD Volumetric'!AF94+'IB'!AF94+'IB Volumetric'!AF94+'OB'!AF94+'OB Volumetric'!AF94+'OSC Bag Sorting'!AF94+'OSC Bag Sorting Volumetric'!AF94+'REV FSM'!AF94+'Rejection Primary with Scan'!AF94+'Rejection Secondary'!AF94+'Rev DC DC Primary Sorting'!AF94+'Rev Primary (FSM Rejections)'!AF94+'Rev Secondary Sorting'!AF94+'VIA Bag Sorting'!AF94</f>
        <v/>
      </c>
      <c r="AG94" s="7">
        <f>'BBB'!AG94+'Bag Staging'!AG94+'Bag Staging Volumetric'!AG94+'FWD FSM'!AG94+'FWD Manual Pre Primary'!AG94+'FWD Manual Primary'!AG94+'FWD Primary with Scan'!AG94+'FWD Secondary'!AG94+'FWD Volumetric'!AG94+'IB'!AG94+'IB Volumetric'!AG94+'OB'!AG94+'OB Volumetric'!AG94+'OSC Bag Sorting'!AG94+'OSC Bag Sorting Volumetric'!AG94+'REV FSM'!AG94+'Rejection Primary with Scan'!AG94+'Rejection Secondary'!AG94+'Rev DC DC Primary Sorting'!AG94+'Rev Primary (FSM Rejections)'!AG94+'Rev Secondary Sorting'!AG94+'VIA Bag Sorting'!AG94</f>
        <v/>
      </c>
      <c r="AH94" s="7">
        <f>'BBB'!AH94+'Bag Staging'!AH94+'Bag Staging Volumetric'!AH94+'FWD FSM'!AH94+'FWD Manual Pre Primary'!AH94+'FWD Manual Primary'!AH94+'FWD Primary with Scan'!AH94+'FWD Secondary'!AH94+'FWD Volumetric'!AH94+'IB'!AH94+'IB Volumetric'!AH94+'OB'!AH94+'OB Volumetric'!AH94+'OSC Bag Sorting'!AH94+'OSC Bag Sorting Volumetric'!AH94+'REV FSM'!AH94+'Rejection Primary with Scan'!AH94+'Rejection Secondary'!AH94+'Rev DC DC Primary Sorting'!AH94+'Rev Primary (FSM Rejections)'!AH94+'Rev Secondary Sorting'!AH94+'VIA Bag Sorting'!AH94</f>
        <v/>
      </c>
      <c r="AI94" s="7">
        <f>'BBB'!AI94+'Bag Staging'!AI94+'Bag Staging Volumetric'!AI94+'FWD FSM'!AI94+'FWD Manual Pre Primary'!AI94+'FWD Manual Primary'!AI94+'FWD Primary with Scan'!AI94+'FWD Secondary'!AI94+'FWD Volumetric'!AI94+'IB'!AI94+'IB Volumetric'!AI94+'OB'!AI94+'OB Volumetric'!AI94+'OSC Bag Sorting'!AI94+'OSC Bag Sorting Volumetric'!AI94+'REV FSM'!AI94+'Rejection Primary with Scan'!AI94+'Rejection Secondary'!AI94+'Rev DC DC Primary Sorting'!AI94+'Rev Primary (FSM Rejections)'!AI94+'Rev Secondary Sorting'!AI94+'VIA Bag Sorting'!AI94</f>
        <v/>
      </c>
      <c r="AJ94" s="7">
        <f>'BBB'!AJ94+'Bag Staging'!AJ94+'Bag Staging Volumetric'!AJ94+'FWD FSM'!AJ94+'FWD Manual Pre Primary'!AJ94+'FWD Manual Primary'!AJ94+'FWD Primary with Scan'!AJ94+'FWD Secondary'!AJ94+'FWD Volumetric'!AJ94+'IB'!AJ94+'IB Volumetric'!AJ94+'OB'!AJ94+'OB Volumetric'!AJ94+'OSC Bag Sorting'!AJ94+'OSC Bag Sorting Volumetric'!AJ94+'REV FSM'!AJ94+'Rejection Primary with Scan'!AJ94+'Rejection Secondary'!AJ94+'Rev DC DC Primary Sorting'!AJ94+'Rev Primary (FSM Rejections)'!AJ94+'Rev Secondary Sorting'!AJ94+'VIA Bag Sorting'!AJ94</f>
        <v/>
      </c>
      <c r="AK94" s="7">
        <f>'BBB'!AK94+'Bag Staging'!AK94+'Bag Staging Volumetric'!AK94+'FWD FSM'!AK94+'FWD Manual Pre Primary'!AK94+'FWD Manual Primary'!AK94+'FWD Primary with Scan'!AK94+'FWD Secondary'!AK94+'FWD Volumetric'!AK94+'IB'!AK94+'IB Volumetric'!AK94+'OB'!AK94+'OB Volumetric'!AK94+'OSC Bag Sorting'!AK94+'OSC Bag Sorting Volumetric'!AK94+'REV FSM'!AK94+'Rejection Primary with Scan'!AK94+'Rejection Secondary'!AK94+'Rev DC DC Primary Sorting'!AK94+'Rev Primary (FSM Rejections)'!AK94+'Rev Secondary Sorting'!AK94+'VIA Bag Sorting'!AK94</f>
        <v/>
      </c>
      <c r="AL94" s="7">
        <f>'BBB'!AL94+'Bag Staging'!AL94+'Bag Staging Volumetric'!AL94+'FWD FSM'!AL94+'FWD Manual Pre Primary'!AL94+'FWD Manual Primary'!AL94+'FWD Primary with Scan'!AL94+'FWD Secondary'!AL94+'FWD Volumetric'!AL94+'IB'!AL94+'IB Volumetric'!AL94+'OB'!AL94+'OB Volumetric'!AL94+'OSC Bag Sorting'!AL94+'OSC Bag Sorting Volumetric'!AL94+'REV FSM'!AL94+'Rejection Primary with Scan'!AL94+'Rejection Secondary'!AL94+'Rev DC DC Primary Sorting'!AL94+'Rev Primary (FSM Rejections)'!AL94+'Rev Secondary Sorting'!AL94+'VIA Bag Sorting'!AL94</f>
        <v/>
      </c>
      <c r="AM94" s="7">
        <f>'BBB'!AM94+'Bag Staging'!AM94+'Bag Staging Volumetric'!AM94+'FWD FSM'!AM94+'FWD Manual Pre Primary'!AM94+'FWD Manual Primary'!AM94+'FWD Primary with Scan'!AM94+'FWD Secondary'!AM94+'FWD Volumetric'!AM94+'IB'!AM94+'IB Volumetric'!AM94+'OB'!AM94+'OB Volumetric'!AM94+'OSC Bag Sorting'!AM94+'OSC Bag Sorting Volumetric'!AM94+'REV FSM'!AM94+'Rejection Primary with Scan'!AM94+'Rejection Secondary'!AM94+'Rev DC DC Primary Sorting'!AM94+'Rev Primary (FSM Rejections)'!AM94+'Rev Secondary Sorting'!AM94+'VIA Bag Sorting'!AM94</f>
        <v/>
      </c>
      <c r="AN94" s="7">
        <f>'BBB'!AN94+'Bag Staging'!AN94+'Bag Staging Volumetric'!AN94+'FWD FSM'!AN94+'FWD Manual Pre Primary'!AN94+'FWD Manual Primary'!AN94+'FWD Primary with Scan'!AN94+'FWD Secondary'!AN94+'FWD Volumetric'!AN94+'IB'!AN94+'IB Volumetric'!AN94+'OB'!AN94+'OB Volumetric'!AN94+'OSC Bag Sorting'!AN94+'OSC Bag Sorting Volumetric'!AN94+'REV FSM'!AN94+'Rejection Primary with Scan'!AN94+'Rejection Secondary'!AN94+'Rev DC DC Primary Sorting'!AN94+'Rev Primary (FSM Rejections)'!AN94+'Rev Secondary Sorting'!AN94+'VIA Bag Sorting'!AN94</f>
        <v/>
      </c>
      <c r="AO94" s="7">
        <f>'BBB'!AO94+'Bag Staging'!AO94+'Bag Staging Volumetric'!AO94+'FWD FSM'!AO94+'FWD Manual Pre Primary'!AO94+'FWD Manual Primary'!AO94+'FWD Primary with Scan'!AO94+'FWD Secondary'!AO94+'FWD Volumetric'!AO94+'IB'!AO94+'IB Volumetric'!AO94+'OB'!AO94+'OB Volumetric'!AO94+'OSC Bag Sorting'!AO94+'OSC Bag Sorting Volumetric'!AO94+'REV FSM'!AO94+'Rejection Primary with Scan'!AO94+'Rejection Secondary'!AO94+'Rev DC DC Primary Sorting'!AO94+'Rev Primary (FSM Rejections)'!AO94+'Rev Secondary Sorting'!AO94+'VIA Bag Sorting'!AO94</f>
        <v/>
      </c>
      <c r="AP94" s="7">
        <f>'BBB'!AP94+'Bag Staging'!AP94+'Bag Staging Volumetric'!AP94+'FWD FSM'!AP94+'FWD Manual Pre Primary'!AP94+'FWD Manual Primary'!AP94+'FWD Primary with Scan'!AP94+'FWD Secondary'!AP94+'FWD Volumetric'!AP94+'IB'!AP94+'IB Volumetric'!AP94+'OB'!AP94+'OB Volumetric'!AP94+'OSC Bag Sorting'!AP94+'OSC Bag Sorting Volumetric'!AP94+'REV FSM'!AP94+'Rejection Primary with Scan'!AP94+'Rejection Secondary'!AP94+'Rev DC DC Primary Sorting'!AP94+'Rev Primary (FSM Rejections)'!AP94+'Rev Secondary Sorting'!AP94+'VIA Bag Sorting'!AP94</f>
        <v/>
      </c>
      <c r="AQ94" s="7">
        <f>'BBB'!AQ94+'Bag Staging'!AQ94+'Bag Staging Volumetric'!AQ94+'FWD FSM'!AQ94+'FWD Manual Pre Primary'!AQ94+'FWD Manual Primary'!AQ94+'FWD Primary with Scan'!AQ94+'FWD Secondary'!AQ94+'FWD Volumetric'!AQ94+'IB'!AQ94+'IB Volumetric'!AQ94+'OB'!AQ94+'OB Volumetric'!AQ94+'OSC Bag Sorting'!AQ94+'OSC Bag Sorting Volumetric'!AQ94+'REV FSM'!AQ94+'Rejection Primary with Scan'!AQ94+'Rejection Secondary'!AQ94+'Rev DC DC Primary Sorting'!AQ94+'Rev Primary (FSM Rejections)'!AQ94+'Rev Secondary Sorting'!AQ94+'VIA Bag Sorting'!AQ94</f>
        <v/>
      </c>
      <c r="AR94" s="7">
        <f>'BBB'!AR94+'Bag Staging'!AR94+'Bag Staging Volumetric'!AR94+'FWD FSM'!AR94+'FWD Manual Pre Primary'!AR94+'FWD Manual Primary'!AR94+'FWD Primary with Scan'!AR94+'FWD Secondary'!AR94+'FWD Volumetric'!AR94+'IB'!AR94+'IB Volumetric'!AR94+'OB'!AR94+'OB Volumetric'!AR94+'OSC Bag Sorting'!AR94+'OSC Bag Sorting Volumetric'!AR94+'REV FSM'!AR94+'Rejection Primary with Scan'!AR94+'Rejection Secondary'!AR94+'Rev DC DC Primary Sorting'!AR94+'Rev Primary (FSM Rejections)'!AR94+'Rev Secondary Sorting'!AR94+'VIA Bag Sorting'!AR94</f>
        <v/>
      </c>
      <c r="AS94" s="7">
        <f>'BBB'!AS94+'Bag Staging'!AS94+'Bag Staging Volumetric'!AS94+'FWD FSM'!AS94+'FWD Manual Pre Primary'!AS94+'FWD Manual Primary'!AS94+'FWD Primary with Scan'!AS94+'FWD Secondary'!AS94+'FWD Volumetric'!AS94+'IB'!AS94+'IB Volumetric'!AS94+'OB'!AS94+'OB Volumetric'!AS94+'OSC Bag Sorting'!AS94+'OSC Bag Sorting Volumetric'!AS94+'REV FSM'!AS94+'Rejection Primary with Scan'!AS94+'Rejection Secondary'!AS94+'Rev DC DC Primary Sorting'!AS94+'Rev Primary (FSM Rejections)'!AS94+'Rev Secondary Sorting'!AS94+'VIA Bag Sorting'!AS94</f>
        <v/>
      </c>
      <c r="AT94" s="7">
        <f>'BBB'!AT94+'Bag Staging'!AT94+'Bag Staging Volumetric'!AT94+'FWD FSM'!AT94+'FWD Manual Pre Primary'!AT94+'FWD Manual Primary'!AT94+'FWD Primary with Scan'!AT94+'FWD Secondary'!AT94+'FWD Volumetric'!AT94+'IB'!AT94+'IB Volumetric'!AT94+'OB'!AT94+'OB Volumetric'!AT94+'OSC Bag Sorting'!AT94+'OSC Bag Sorting Volumetric'!AT94+'REV FSM'!AT94+'Rejection Primary with Scan'!AT94+'Rejection Secondary'!AT94+'Rev DC DC Primary Sorting'!AT94+'Rev Primary (FSM Rejections)'!AT94+'Rev Secondary Sorting'!AT94+'VIA Bag Sorting'!AT94</f>
        <v/>
      </c>
      <c r="AU94" s="7">
        <f>'BBB'!AU94+'Bag Staging'!AU94+'Bag Staging Volumetric'!AU94+'FWD FSM'!AU94+'FWD Manual Pre Primary'!AU94+'FWD Manual Primary'!AU94+'FWD Primary with Scan'!AU94+'FWD Secondary'!AU94+'FWD Volumetric'!AU94+'IB'!AU94+'IB Volumetric'!AU94+'OB'!AU94+'OB Volumetric'!AU94+'OSC Bag Sorting'!AU94+'OSC Bag Sorting Volumetric'!AU94+'REV FSM'!AU94+'Rejection Primary with Scan'!AU94+'Rejection Secondary'!AU94+'Rev DC DC Primary Sorting'!AU94+'Rev Primary (FSM Rejections)'!AU94+'Rev Secondary Sorting'!AU94+'VIA Bag Sorting'!AU94</f>
        <v/>
      </c>
      <c r="AV94" s="7">
        <f>'BBB'!AV94+'Bag Staging'!AV94+'Bag Staging Volumetric'!AV94+'FWD FSM'!AV94+'FWD Manual Pre Primary'!AV94+'FWD Manual Primary'!AV94+'FWD Primary with Scan'!AV94+'FWD Secondary'!AV94+'FWD Volumetric'!AV94+'IB'!AV94+'IB Volumetric'!AV94+'OB'!AV94+'OB Volumetric'!AV94+'OSC Bag Sorting'!AV94+'OSC Bag Sorting Volumetric'!AV94+'REV FSM'!AV94+'Rejection Primary with Scan'!AV94+'Rejection Secondary'!AV94+'Rev DC DC Primary Sorting'!AV94+'Rev Primary (FSM Rejections)'!AV94+'Rev Secondary Sorting'!AV94+'VIA Bag Sorting'!AV94</f>
        <v/>
      </c>
      <c r="AW94" s="7">
        <f>'BBB'!AW94+'Bag Staging'!AW94+'Bag Staging Volumetric'!AW94+'FWD FSM'!AW94+'FWD Manual Pre Primary'!AW94+'FWD Manual Primary'!AW94+'FWD Primary with Scan'!AW94+'FWD Secondary'!AW94+'FWD Volumetric'!AW94+'IB'!AW94+'IB Volumetric'!AW94+'OB'!AW94+'OB Volumetric'!AW94+'OSC Bag Sorting'!AW94+'OSC Bag Sorting Volumetric'!AW94+'REV FSM'!AW94+'Rejection Primary with Scan'!AW94+'Rejection Secondary'!AW94+'Rev DC DC Primary Sorting'!AW94+'Rev Primary (FSM Rejections)'!AW94+'Rev Secondary Sorting'!AW94+'VIA Bag Sorting'!AW94</f>
        <v/>
      </c>
      <c r="AX94" s="7">
        <f>'BBB'!AX94+'Bag Staging'!AX94+'Bag Staging Volumetric'!AX94+'FWD FSM'!AX94+'FWD Manual Pre Primary'!AX94+'FWD Manual Primary'!AX94+'FWD Primary with Scan'!AX94+'FWD Secondary'!AX94+'FWD Volumetric'!AX94+'IB'!AX94+'IB Volumetric'!AX94+'OB'!AX94+'OB Volumetric'!AX94+'OSC Bag Sorting'!AX94+'OSC Bag Sorting Volumetric'!AX94+'REV FSM'!AX94+'Rejection Primary with Scan'!AX94+'Rejection Secondary'!AX94+'Rev DC DC Primary Sorting'!AX94+'Rev Primary (FSM Rejections)'!AX94+'Rev Secondary Sorting'!AX94+'VIA Bag Sorting'!AX94</f>
        <v/>
      </c>
      <c r="AY94" s="7">
        <f>'BBB'!AY94+'Bag Staging'!AY94+'Bag Staging Volumetric'!AY94+'FWD FSM'!AY94+'FWD Manual Pre Primary'!AY94+'FWD Manual Primary'!AY94+'FWD Primary with Scan'!AY94+'FWD Secondary'!AY94+'FWD Volumetric'!AY94+'IB'!AY94+'IB Volumetric'!AY94+'OB'!AY94+'OB Volumetric'!AY94+'OSC Bag Sorting'!AY94+'OSC Bag Sorting Volumetric'!AY94+'REV FSM'!AY94+'Rejection Primary with Scan'!AY94+'Rejection Secondary'!AY94+'Rev DC DC Primary Sorting'!AY94+'Rev Primary (FSM Rejections)'!AY94+'Rev Secondary Sorting'!AY94+'VIA Bag Sorting'!AY94</f>
        <v/>
      </c>
      <c r="AZ94" s="7">
        <f>'BBB'!AZ94+'Bag Staging'!AZ94+'Bag Staging Volumetric'!AZ94+'FWD FSM'!AZ94+'FWD Manual Pre Primary'!AZ94+'FWD Manual Primary'!AZ94+'FWD Primary with Scan'!AZ94+'FWD Secondary'!AZ94+'FWD Volumetric'!AZ94+'IB'!AZ94+'IB Volumetric'!AZ94+'OB'!AZ94+'OB Volumetric'!AZ94+'OSC Bag Sorting'!AZ94+'OSC Bag Sorting Volumetric'!AZ94+'REV FSM'!AZ94+'Rejection Primary with Scan'!AZ94+'Rejection Secondary'!AZ94+'Rev DC DC Primary Sorting'!AZ94+'Rev Primary (FSM Rejections)'!AZ94+'Rev Secondary Sorting'!AZ94+'VIA Bag Sorting'!AZ94</f>
        <v/>
      </c>
      <c r="BA94" s="7">
        <f>'BBB'!BA94+'Bag Staging'!BA94+'Bag Staging Volumetric'!BA94+'FWD FSM'!BA94+'FWD Manual Pre Primary'!BA94+'FWD Manual Primary'!BA94+'FWD Primary with Scan'!BA94+'FWD Secondary'!BA94+'FWD Volumetric'!BA94+'IB'!BA94+'IB Volumetric'!BA94+'OB'!BA94+'OB Volumetric'!BA94+'OSC Bag Sorting'!BA94+'OSC Bag Sorting Volumetric'!BA94+'REV FSM'!BA94+'Rejection Primary with Scan'!BA94+'Rejection Secondary'!BA94+'Rev DC DC Primary Sorting'!BA94+'Rev Primary (FSM Rejections)'!BA94+'Rev Secondary Sorting'!BA94+'VIA Bag Sorting'!BA94</f>
        <v/>
      </c>
      <c r="BB94" s="7">
        <f>SUM(AD94:BA94)</f>
        <v/>
      </c>
    </row>
    <row r="95">
      <c r="A95" t="inlineStr">
        <is>
          <t>AMD-RTS-RCLS-1302-SSC</t>
        </is>
      </c>
      <c r="B95" t="inlineStr">
        <is>
          <t>Rev OSC</t>
        </is>
      </c>
      <c r="C95" s="5" t="n">
        <v>46102</v>
      </c>
      <c r="D95" s="6" t="n">
        <v>0</v>
      </c>
      <c r="E95" s="6" t="n">
        <v>0</v>
      </c>
      <c r="F95" s="6" t="n">
        <v>0</v>
      </c>
      <c r="G95" s="6" t="n">
        <v>2878</v>
      </c>
      <c r="H95" s="6" t="n">
        <v>1180</v>
      </c>
      <c r="I95" s="6" t="n">
        <v>972</v>
      </c>
      <c r="J95" s="6" t="n">
        <v>1784</v>
      </c>
      <c r="K95" s="6" t="n">
        <v>121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0</v>
      </c>
      <c r="Q95" s="6" t="n">
        <v>2</v>
      </c>
      <c r="R95" s="6" t="n">
        <v>1674</v>
      </c>
      <c r="S95" s="6" t="n">
        <v>2522</v>
      </c>
      <c r="T95" s="6" t="n">
        <v>2653</v>
      </c>
      <c r="U95" s="6" t="n">
        <v>599</v>
      </c>
      <c r="V95" s="6" t="n">
        <v>3308</v>
      </c>
      <c r="W95" s="6" t="n">
        <v>3412</v>
      </c>
      <c r="X95" s="6" t="n">
        <v>3419</v>
      </c>
      <c r="Y95" s="6" t="n">
        <v>2135</v>
      </c>
      <c r="Z95" s="6" t="n">
        <v>0</v>
      </c>
      <c r="AA95" s="6" t="n">
        <v>0</v>
      </c>
      <c r="AB95" s="6">
        <f>SUM(D95:AA95)</f>
        <v/>
      </c>
      <c r="AC95" s="3" t="inlineStr"/>
      <c r="AD95" s="7">
        <f>'BBB'!AD95+'Bag Staging'!AD95+'Bag Staging Volumetric'!AD95+'FWD FSM'!AD95+'FWD Manual Pre Primary'!AD95+'FWD Manual Primary'!AD95+'FWD Primary with Scan'!AD95+'FWD Secondary'!AD95+'FWD Volumetric'!AD95+'IB'!AD95+'IB Volumetric'!AD95+'OB'!AD95+'OB Volumetric'!AD95+'OSC Bag Sorting'!AD95+'OSC Bag Sorting Volumetric'!AD95+'REV FSM'!AD95+'Rejection Primary with Scan'!AD95+'Rejection Secondary'!AD95+'Rev DC DC Primary Sorting'!AD95+'Rev Primary (FSM Rejections)'!AD95+'Rev Secondary Sorting'!AD95+'VIA Bag Sorting'!AD95</f>
        <v/>
      </c>
      <c r="AE95" s="7">
        <f>'BBB'!AE95+'Bag Staging'!AE95+'Bag Staging Volumetric'!AE95+'FWD FSM'!AE95+'FWD Manual Pre Primary'!AE95+'FWD Manual Primary'!AE95+'FWD Primary with Scan'!AE95+'FWD Secondary'!AE95+'FWD Volumetric'!AE95+'IB'!AE95+'IB Volumetric'!AE95+'OB'!AE95+'OB Volumetric'!AE95+'OSC Bag Sorting'!AE95+'OSC Bag Sorting Volumetric'!AE95+'REV FSM'!AE95+'Rejection Primary with Scan'!AE95+'Rejection Secondary'!AE95+'Rev DC DC Primary Sorting'!AE95+'Rev Primary (FSM Rejections)'!AE95+'Rev Secondary Sorting'!AE95+'VIA Bag Sorting'!AE95</f>
        <v/>
      </c>
      <c r="AF95" s="7">
        <f>'BBB'!AF95+'Bag Staging'!AF95+'Bag Staging Volumetric'!AF95+'FWD FSM'!AF95+'FWD Manual Pre Primary'!AF95+'FWD Manual Primary'!AF95+'FWD Primary with Scan'!AF95+'FWD Secondary'!AF95+'FWD Volumetric'!AF95+'IB'!AF95+'IB Volumetric'!AF95+'OB'!AF95+'OB Volumetric'!AF95+'OSC Bag Sorting'!AF95+'OSC Bag Sorting Volumetric'!AF95+'REV FSM'!AF95+'Rejection Primary with Scan'!AF95+'Rejection Secondary'!AF95+'Rev DC DC Primary Sorting'!AF95+'Rev Primary (FSM Rejections)'!AF95+'Rev Secondary Sorting'!AF95+'VIA Bag Sorting'!AF95</f>
        <v/>
      </c>
      <c r="AG95" s="7">
        <f>'BBB'!AG95+'Bag Staging'!AG95+'Bag Staging Volumetric'!AG95+'FWD FSM'!AG95+'FWD Manual Pre Primary'!AG95+'FWD Manual Primary'!AG95+'FWD Primary with Scan'!AG95+'FWD Secondary'!AG95+'FWD Volumetric'!AG95+'IB'!AG95+'IB Volumetric'!AG95+'OB'!AG95+'OB Volumetric'!AG95+'OSC Bag Sorting'!AG95+'OSC Bag Sorting Volumetric'!AG95+'REV FSM'!AG95+'Rejection Primary with Scan'!AG95+'Rejection Secondary'!AG95+'Rev DC DC Primary Sorting'!AG95+'Rev Primary (FSM Rejections)'!AG95+'Rev Secondary Sorting'!AG95+'VIA Bag Sorting'!AG95</f>
        <v/>
      </c>
      <c r="AH95" s="7">
        <f>'BBB'!AH95+'Bag Staging'!AH95+'Bag Staging Volumetric'!AH95+'FWD FSM'!AH95+'FWD Manual Pre Primary'!AH95+'FWD Manual Primary'!AH95+'FWD Primary with Scan'!AH95+'FWD Secondary'!AH95+'FWD Volumetric'!AH95+'IB'!AH95+'IB Volumetric'!AH95+'OB'!AH95+'OB Volumetric'!AH95+'OSC Bag Sorting'!AH95+'OSC Bag Sorting Volumetric'!AH95+'REV FSM'!AH95+'Rejection Primary with Scan'!AH95+'Rejection Secondary'!AH95+'Rev DC DC Primary Sorting'!AH95+'Rev Primary (FSM Rejections)'!AH95+'Rev Secondary Sorting'!AH95+'VIA Bag Sorting'!AH95</f>
        <v/>
      </c>
      <c r="AI95" s="7">
        <f>'BBB'!AI95+'Bag Staging'!AI95+'Bag Staging Volumetric'!AI95+'FWD FSM'!AI95+'FWD Manual Pre Primary'!AI95+'FWD Manual Primary'!AI95+'FWD Primary with Scan'!AI95+'FWD Secondary'!AI95+'FWD Volumetric'!AI95+'IB'!AI95+'IB Volumetric'!AI95+'OB'!AI95+'OB Volumetric'!AI95+'OSC Bag Sorting'!AI95+'OSC Bag Sorting Volumetric'!AI95+'REV FSM'!AI95+'Rejection Primary with Scan'!AI95+'Rejection Secondary'!AI95+'Rev DC DC Primary Sorting'!AI95+'Rev Primary (FSM Rejections)'!AI95+'Rev Secondary Sorting'!AI95+'VIA Bag Sorting'!AI95</f>
        <v/>
      </c>
      <c r="AJ95" s="7">
        <f>'BBB'!AJ95+'Bag Staging'!AJ95+'Bag Staging Volumetric'!AJ95+'FWD FSM'!AJ95+'FWD Manual Pre Primary'!AJ95+'FWD Manual Primary'!AJ95+'FWD Primary with Scan'!AJ95+'FWD Secondary'!AJ95+'FWD Volumetric'!AJ95+'IB'!AJ95+'IB Volumetric'!AJ95+'OB'!AJ95+'OB Volumetric'!AJ95+'OSC Bag Sorting'!AJ95+'OSC Bag Sorting Volumetric'!AJ95+'REV FSM'!AJ95+'Rejection Primary with Scan'!AJ95+'Rejection Secondary'!AJ95+'Rev DC DC Primary Sorting'!AJ95+'Rev Primary (FSM Rejections)'!AJ95+'Rev Secondary Sorting'!AJ95+'VIA Bag Sorting'!AJ95</f>
        <v/>
      </c>
      <c r="AK95" s="7">
        <f>'BBB'!AK95+'Bag Staging'!AK95+'Bag Staging Volumetric'!AK95+'FWD FSM'!AK95+'FWD Manual Pre Primary'!AK95+'FWD Manual Primary'!AK95+'FWD Primary with Scan'!AK95+'FWD Secondary'!AK95+'FWD Volumetric'!AK95+'IB'!AK95+'IB Volumetric'!AK95+'OB'!AK95+'OB Volumetric'!AK95+'OSC Bag Sorting'!AK95+'OSC Bag Sorting Volumetric'!AK95+'REV FSM'!AK95+'Rejection Primary with Scan'!AK95+'Rejection Secondary'!AK95+'Rev DC DC Primary Sorting'!AK95+'Rev Primary (FSM Rejections)'!AK95+'Rev Secondary Sorting'!AK95+'VIA Bag Sorting'!AK95</f>
        <v/>
      </c>
      <c r="AL95" s="7">
        <f>'BBB'!AL95+'Bag Staging'!AL95+'Bag Staging Volumetric'!AL95+'FWD FSM'!AL95+'FWD Manual Pre Primary'!AL95+'FWD Manual Primary'!AL95+'FWD Primary with Scan'!AL95+'FWD Secondary'!AL95+'FWD Volumetric'!AL95+'IB'!AL95+'IB Volumetric'!AL95+'OB'!AL95+'OB Volumetric'!AL95+'OSC Bag Sorting'!AL95+'OSC Bag Sorting Volumetric'!AL95+'REV FSM'!AL95+'Rejection Primary with Scan'!AL95+'Rejection Secondary'!AL95+'Rev DC DC Primary Sorting'!AL95+'Rev Primary (FSM Rejections)'!AL95+'Rev Secondary Sorting'!AL95+'VIA Bag Sorting'!AL95</f>
        <v/>
      </c>
      <c r="AM95" s="7">
        <f>'BBB'!AM95+'Bag Staging'!AM95+'Bag Staging Volumetric'!AM95+'FWD FSM'!AM95+'FWD Manual Pre Primary'!AM95+'FWD Manual Primary'!AM95+'FWD Primary with Scan'!AM95+'FWD Secondary'!AM95+'FWD Volumetric'!AM95+'IB'!AM95+'IB Volumetric'!AM95+'OB'!AM95+'OB Volumetric'!AM95+'OSC Bag Sorting'!AM95+'OSC Bag Sorting Volumetric'!AM95+'REV FSM'!AM95+'Rejection Primary with Scan'!AM95+'Rejection Secondary'!AM95+'Rev DC DC Primary Sorting'!AM95+'Rev Primary (FSM Rejections)'!AM95+'Rev Secondary Sorting'!AM95+'VIA Bag Sorting'!AM95</f>
        <v/>
      </c>
      <c r="AN95" s="7">
        <f>'BBB'!AN95+'Bag Staging'!AN95+'Bag Staging Volumetric'!AN95+'FWD FSM'!AN95+'FWD Manual Pre Primary'!AN95+'FWD Manual Primary'!AN95+'FWD Primary with Scan'!AN95+'FWD Secondary'!AN95+'FWD Volumetric'!AN95+'IB'!AN95+'IB Volumetric'!AN95+'OB'!AN95+'OB Volumetric'!AN95+'OSC Bag Sorting'!AN95+'OSC Bag Sorting Volumetric'!AN95+'REV FSM'!AN95+'Rejection Primary with Scan'!AN95+'Rejection Secondary'!AN95+'Rev DC DC Primary Sorting'!AN95+'Rev Primary (FSM Rejections)'!AN95+'Rev Secondary Sorting'!AN95+'VIA Bag Sorting'!AN95</f>
        <v/>
      </c>
      <c r="AO95" s="7">
        <f>'BBB'!AO95+'Bag Staging'!AO95+'Bag Staging Volumetric'!AO95+'FWD FSM'!AO95+'FWD Manual Pre Primary'!AO95+'FWD Manual Primary'!AO95+'FWD Primary with Scan'!AO95+'FWD Secondary'!AO95+'FWD Volumetric'!AO95+'IB'!AO95+'IB Volumetric'!AO95+'OB'!AO95+'OB Volumetric'!AO95+'OSC Bag Sorting'!AO95+'OSC Bag Sorting Volumetric'!AO95+'REV FSM'!AO95+'Rejection Primary with Scan'!AO95+'Rejection Secondary'!AO95+'Rev DC DC Primary Sorting'!AO95+'Rev Primary (FSM Rejections)'!AO95+'Rev Secondary Sorting'!AO95+'VIA Bag Sorting'!AO95</f>
        <v/>
      </c>
      <c r="AP95" s="7">
        <f>'BBB'!AP95+'Bag Staging'!AP95+'Bag Staging Volumetric'!AP95+'FWD FSM'!AP95+'FWD Manual Pre Primary'!AP95+'FWD Manual Primary'!AP95+'FWD Primary with Scan'!AP95+'FWD Secondary'!AP95+'FWD Volumetric'!AP95+'IB'!AP95+'IB Volumetric'!AP95+'OB'!AP95+'OB Volumetric'!AP95+'OSC Bag Sorting'!AP95+'OSC Bag Sorting Volumetric'!AP95+'REV FSM'!AP95+'Rejection Primary with Scan'!AP95+'Rejection Secondary'!AP95+'Rev DC DC Primary Sorting'!AP95+'Rev Primary (FSM Rejections)'!AP95+'Rev Secondary Sorting'!AP95+'VIA Bag Sorting'!AP95</f>
        <v/>
      </c>
      <c r="AQ95" s="7">
        <f>'BBB'!AQ95+'Bag Staging'!AQ95+'Bag Staging Volumetric'!AQ95+'FWD FSM'!AQ95+'FWD Manual Pre Primary'!AQ95+'FWD Manual Primary'!AQ95+'FWD Primary with Scan'!AQ95+'FWD Secondary'!AQ95+'FWD Volumetric'!AQ95+'IB'!AQ95+'IB Volumetric'!AQ95+'OB'!AQ95+'OB Volumetric'!AQ95+'OSC Bag Sorting'!AQ95+'OSC Bag Sorting Volumetric'!AQ95+'REV FSM'!AQ95+'Rejection Primary with Scan'!AQ95+'Rejection Secondary'!AQ95+'Rev DC DC Primary Sorting'!AQ95+'Rev Primary (FSM Rejections)'!AQ95+'Rev Secondary Sorting'!AQ95+'VIA Bag Sorting'!AQ95</f>
        <v/>
      </c>
      <c r="AR95" s="7">
        <f>'BBB'!AR95+'Bag Staging'!AR95+'Bag Staging Volumetric'!AR95+'FWD FSM'!AR95+'FWD Manual Pre Primary'!AR95+'FWD Manual Primary'!AR95+'FWD Primary with Scan'!AR95+'FWD Secondary'!AR95+'FWD Volumetric'!AR95+'IB'!AR95+'IB Volumetric'!AR95+'OB'!AR95+'OB Volumetric'!AR95+'OSC Bag Sorting'!AR95+'OSC Bag Sorting Volumetric'!AR95+'REV FSM'!AR95+'Rejection Primary with Scan'!AR95+'Rejection Secondary'!AR95+'Rev DC DC Primary Sorting'!AR95+'Rev Primary (FSM Rejections)'!AR95+'Rev Secondary Sorting'!AR95+'VIA Bag Sorting'!AR95</f>
        <v/>
      </c>
      <c r="AS95" s="7">
        <f>'BBB'!AS95+'Bag Staging'!AS95+'Bag Staging Volumetric'!AS95+'FWD FSM'!AS95+'FWD Manual Pre Primary'!AS95+'FWD Manual Primary'!AS95+'FWD Primary with Scan'!AS95+'FWD Secondary'!AS95+'FWD Volumetric'!AS95+'IB'!AS95+'IB Volumetric'!AS95+'OB'!AS95+'OB Volumetric'!AS95+'OSC Bag Sorting'!AS95+'OSC Bag Sorting Volumetric'!AS95+'REV FSM'!AS95+'Rejection Primary with Scan'!AS95+'Rejection Secondary'!AS95+'Rev DC DC Primary Sorting'!AS95+'Rev Primary (FSM Rejections)'!AS95+'Rev Secondary Sorting'!AS95+'VIA Bag Sorting'!AS95</f>
        <v/>
      </c>
      <c r="AT95" s="7">
        <f>'BBB'!AT95+'Bag Staging'!AT95+'Bag Staging Volumetric'!AT95+'FWD FSM'!AT95+'FWD Manual Pre Primary'!AT95+'FWD Manual Primary'!AT95+'FWD Primary with Scan'!AT95+'FWD Secondary'!AT95+'FWD Volumetric'!AT95+'IB'!AT95+'IB Volumetric'!AT95+'OB'!AT95+'OB Volumetric'!AT95+'OSC Bag Sorting'!AT95+'OSC Bag Sorting Volumetric'!AT95+'REV FSM'!AT95+'Rejection Primary with Scan'!AT95+'Rejection Secondary'!AT95+'Rev DC DC Primary Sorting'!AT95+'Rev Primary (FSM Rejections)'!AT95+'Rev Secondary Sorting'!AT95+'VIA Bag Sorting'!AT95</f>
        <v/>
      </c>
      <c r="AU95" s="7">
        <f>'BBB'!AU95+'Bag Staging'!AU95+'Bag Staging Volumetric'!AU95+'FWD FSM'!AU95+'FWD Manual Pre Primary'!AU95+'FWD Manual Primary'!AU95+'FWD Primary with Scan'!AU95+'FWD Secondary'!AU95+'FWD Volumetric'!AU95+'IB'!AU95+'IB Volumetric'!AU95+'OB'!AU95+'OB Volumetric'!AU95+'OSC Bag Sorting'!AU95+'OSC Bag Sorting Volumetric'!AU95+'REV FSM'!AU95+'Rejection Primary with Scan'!AU95+'Rejection Secondary'!AU95+'Rev DC DC Primary Sorting'!AU95+'Rev Primary (FSM Rejections)'!AU95+'Rev Secondary Sorting'!AU95+'VIA Bag Sorting'!AU95</f>
        <v/>
      </c>
      <c r="AV95" s="7">
        <f>'BBB'!AV95+'Bag Staging'!AV95+'Bag Staging Volumetric'!AV95+'FWD FSM'!AV95+'FWD Manual Pre Primary'!AV95+'FWD Manual Primary'!AV95+'FWD Primary with Scan'!AV95+'FWD Secondary'!AV95+'FWD Volumetric'!AV95+'IB'!AV95+'IB Volumetric'!AV95+'OB'!AV95+'OB Volumetric'!AV95+'OSC Bag Sorting'!AV95+'OSC Bag Sorting Volumetric'!AV95+'REV FSM'!AV95+'Rejection Primary with Scan'!AV95+'Rejection Secondary'!AV95+'Rev DC DC Primary Sorting'!AV95+'Rev Primary (FSM Rejections)'!AV95+'Rev Secondary Sorting'!AV95+'VIA Bag Sorting'!AV95</f>
        <v/>
      </c>
      <c r="AW95" s="7">
        <f>'BBB'!AW95+'Bag Staging'!AW95+'Bag Staging Volumetric'!AW95+'FWD FSM'!AW95+'FWD Manual Pre Primary'!AW95+'FWD Manual Primary'!AW95+'FWD Primary with Scan'!AW95+'FWD Secondary'!AW95+'FWD Volumetric'!AW95+'IB'!AW95+'IB Volumetric'!AW95+'OB'!AW95+'OB Volumetric'!AW95+'OSC Bag Sorting'!AW95+'OSC Bag Sorting Volumetric'!AW95+'REV FSM'!AW95+'Rejection Primary with Scan'!AW95+'Rejection Secondary'!AW95+'Rev DC DC Primary Sorting'!AW95+'Rev Primary (FSM Rejections)'!AW95+'Rev Secondary Sorting'!AW95+'VIA Bag Sorting'!AW95</f>
        <v/>
      </c>
      <c r="AX95" s="7">
        <f>'BBB'!AX95+'Bag Staging'!AX95+'Bag Staging Volumetric'!AX95+'FWD FSM'!AX95+'FWD Manual Pre Primary'!AX95+'FWD Manual Primary'!AX95+'FWD Primary with Scan'!AX95+'FWD Secondary'!AX95+'FWD Volumetric'!AX95+'IB'!AX95+'IB Volumetric'!AX95+'OB'!AX95+'OB Volumetric'!AX95+'OSC Bag Sorting'!AX95+'OSC Bag Sorting Volumetric'!AX95+'REV FSM'!AX95+'Rejection Primary with Scan'!AX95+'Rejection Secondary'!AX95+'Rev DC DC Primary Sorting'!AX95+'Rev Primary (FSM Rejections)'!AX95+'Rev Secondary Sorting'!AX95+'VIA Bag Sorting'!AX95</f>
        <v/>
      </c>
      <c r="AY95" s="7">
        <f>'BBB'!AY95+'Bag Staging'!AY95+'Bag Staging Volumetric'!AY95+'FWD FSM'!AY95+'FWD Manual Pre Primary'!AY95+'FWD Manual Primary'!AY95+'FWD Primary with Scan'!AY95+'FWD Secondary'!AY95+'FWD Volumetric'!AY95+'IB'!AY95+'IB Volumetric'!AY95+'OB'!AY95+'OB Volumetric'!AY95+'OSC Bag Sorting'!AY95+'OSC Bag Sorting Volumetric'!AY95+'REV FSM'!AY95+'Rejection Primary with Scan'!AY95+'Rejection Secondary'!AY95+'Rev DC DC Primary Sorting'!AY95+'Rev Primary (FSM Rejections)'!AY95+'Rev Secondary Sorting'!AY95+'VIA Bag Sorting'!AY95</f>
        <v/>
      </c>
      <c r="AZ95" s="7">
        <f>'BBB'!AZ95+'Bag Staging'!AZ95+'Bag Staging Volumetric'!AZ95+'FWD FSM'!AZ95+'FWD Manual Pre Primary'!AZ95+'FWD Manual Primary'!AZ95+'FWD Primary with Scan'!AZ95+'FWD Secondary'!AZ95+'FWD Volumetric'!AZ95+'IB'!AZ95+'IB Volumetric'!AZ95+'OB'!AZ95+'OB Volumetric'!AZ95+'OSC Bag Sorting'!AZ95+'OSC Bag Sorting Volumetric'!AZ95+'REV FSM'!AZ95+'Rejection Primary with Scan'!AZ95+'Rejection Secondary'!AZ95+'Rev DC DC Primary Sorting'!AZ95+'Rev Primary (FSM Rejections)'!AZ95+'Rev Secondary Sorting'!AZ95+'VIA Bag Sorting'!AZ95</f>
        <v/>
      </c>
      <c r="BA95" s="7">
        <f>'BBB'!BA95+'Bag Staging'!BA95+'Bag Staging Volumetric'!BA95+'FWD FSM'!BA95+'FWD Manual Pre Primary'!BA95+'FWD Manual Primary'!BA95+'FWD Primary with Scan'!BA95+'FWD Secondary'!BA95+'FWD Volumetric'!BA95+'IB'!BA95+'IB Volumetric'!BA95+'OB'!BA95+'OB Volumetric'!BA95+'OSC Bag Sorting'!BA95+'OSC Bag Sorting Volumetric'!BA95+'REV FSM'!BA95+'Rejection Primary with Scan'!BA95+'Rejection Secondary'!BA95+'Rev DC DC Primary Sorting'!BA95+'Rev Primary (FSM Rejections)'!BA95+'Rev Secondary Sorting'!BA95+'VIA Bag Sorting'!BA95</f>
        <v/>
      </c>
      <c r="BB95" s="7">
        <f>SUM(AD95:BA95)</f>
        <v/>
      </c>
    </row>
    <row r="96">
      <c r="A96" t="inlineStr">
        <is>
          <t>AMD-RTS-RCLS-1302-SSC</t>
        </is>
      </c>
      <c r="B96" t="inlineStr">
        <is>
          <t>Rev OSC</t>
        </is>
      </c>
      <c r="C96" s="5" t="n">
        <v>46103</v>
      </c>
      <c r="D96" s="6" t="n">
        <v>64</v>
      </c>
      <c r="E96" s="6" t="n">
        <v>1932</v>
      </c>
      <c r="F96" s="6" t="n">
        <v>1598</v>
      </c>
      <c r="G96" s="6" t="n">
        <v>1917</v>
      </c>
      <c r="H96" s="6" t="n">
        <v>527</v>
      </c>
      <c r="I96" s="6" t="n">
        <v>1911</v>
      </c>
      <c r="J96" s="6" t="n">
        <v>1856</v>
      </c>
      <c r="K96" s="6" t="n">
        <v>0</v>
      </c>
      <c r="L96" s="6" t="n">
        <v>0</v>
      </c>
      <c r="M96" s="6" t="n">
        <v>0</v>
      </c>
      <c r="N96" s="6" t="n">
        <v>0</v>
      </c>
      <c r="O96" s="6" t="n">
        <v>0</v>
      </c>
      <c r="P96" s="6" t="n">
        <v>0</v>
      </c>
      <c r="Q96" s="6" t="n">
        <v>0</v>
      </c>
      <c r="R96" s="6" t="n">
        <v>1235</v>
      </c>
      <c r="S96" s="6" t="n">
        <v>1734</v>
      </c>
      <c r="T96" s="6" t="n">
        <v>536</v>
      </c>
      <c r="U96" s="6" t="n">
        <v>1790</v>
      </c>
      <c r="V96" s="6" t="n">
        <v>1931</v>
      </c>
      <c r="W96" s="6" t="n">
        <v>1159</v>
      </c>
      <c r="X96" s="6" t="n">
        <v>1165</v>
      </c>
      <c r="Y96" s="6" t="n">
        <v>1783</v>
      </c>
      <c r="Z96" s="6" t="n">
        <v>30</v>
      </c>
      <c r="AA96" s="6" t="n">
        <v>0</v>
      </c>
      <c r="AB96" s="6">
        <f>SUM(D96:AA96)</f>
        <v/>
      </c>
      <c r="AC96" s="3" t="inlineStr"/>
      <c r="AD96" s="7">
        <f>'BBB'!AD96+'Bag Staging'!AD96+'Bag Staging Volumetric'!AD96+'FWD FSM'!AD96+'FWD Manual Pre Primary'!AD96+'FWD Manual Primary'!AD96+'FWD Primary with Scan'!AD96+'FWD Secondary'!AD96+'FWD Volumetric'!AD96+'IB'!AD96+'IB Volumetric'!AD96+'OB'!AD96+'OB Volumetric'!AD96+'OSC Bag Sorting'!AD96+'OSC Bag Sorting Volumetric'!AD96+'REV FSM'!AD96+'Rejection Primary with Scan'!AD96+'Rejection Secondary'!AD96+'Rev DC DC Primary Sorting'!AD96+'Rev Primary (FSM Rejections)'!AD96+'Rev Secondary Sorting'!AD96+'VIA Bag Sorting'!AD96</f>
        <v/>
      </c>
      <c r="AE96" s="7">
        <f>'BBB'!AE96+'Bag Staging'!AE96+'Bag Staging Volumetric'!AE96+'FWD FSM'!AE96+'FWD Manual Pre Primary'!AE96+'FWD Manual Primary'!AE96+'FWD Primary with Scan'!AE96+'FWD Secondary'!AE96+'FWD Volumetric'!AE96+'IB'!AE96+'IB Volumetric'!AE96+'OB'!AE96+'OB Volumetric'!AE96+'OSC Bag Sorting'!AE96+'OSC Bag Sorting Volumetric'!AE96+'REV FSM'!AE96+'Rejection Primary with Scan'!AE96+'Rejection Secondary'!AE96+'Rev DC DC Primary Sorting'!AE96+'Rev Primary (FSM Rejections)'!AE96+'Rev Secondary Sorting'!AE96+'VIA Bag Sorting'!AE96</f>
        <v/>
      </c>
      <c r="AF96" s="7">
        <f>'BBB'!AF96+'Bag Staging'!AF96+'Bag Staging Volumetric'!AF96+'FWD FSM'!AF96+'FWD Manual Pre Primary'!AF96+'FWD Manual Primary'!AF96+'FWD Primary with Scan'!AF96+'FWD Secondary'!AF96+'FWD Volumetric'!AF96+'IB'!AF96+'IB Volumetric'!AF96+'OB'!AF96+'OB Volumetric'!AF96+'OSC Bag Sorting'!AF96+'OSC Bag Sorting Volumetric'!AF96+'REV FSM'!AF96+'Rejection Primary with Scan'!AF96+'Rejection Secondary'!AF96+'Rev DC DC Primary Sorting'!AF96+'Rev Primary (FSM Rejections)'!AF96+'Rev Secondary Sorting'!AF96+'VIA Bag Sorting'!AF96</f>
        <v/>
      </c>
      <c r="AG96" s="7">
        <f>'BBB'!AG96+'Bag Staging'!AG96+'Bag Staging Volumetric'!AG96+'FWD FSM'!AG96+'FWD Manual Pre Primary'!AG96+'FWD Manual Primary'!AG96+'FWD Primary with Scan'!AG96+'FWD Secondary'!AG96+'FWD Volumetric'!AG96+'IB'!AG96+'IB Volumetric'!AG96+'OB'!AG96+'OB Volumetric'!AG96+'OSC Bag Sorting'!AG96+'OSC Bag Sorting Volumetric'!AG96+'REV FSM'!AG96+'Rejection Primary with Scan'!AG96+'Rejection Secondary'!AG96+'Rev DC DC Primary Sorting'!AG96+'Rev Primary (FSM Rejections)'!AG96+'Rev Secondary Sorting'!AG96+'VIA Bag Sorting'!AG96</f>
        <v/>
      </c>
      <c r="AH96" s="7">
        <f>'BBB'!AH96+'Bag Staging'!AH96+'Bag Staging Volumetric'!AH96+'FWD FSM'!AH96+'FWD Manual Pre Primary'!AH96+'FWD Manual Primary'!AH96+'FWD Primary with Scan'!AH96+'FWD Secondary'!AH96+'FWD Volumetric'!AH96+'IB'!AH96+'IB Volumetric'!AH96+'OB'!AH96+'OB Volumetric'!AH96+'OSC Bag Sorting'!AH96+'OSC Bag Sorting Volumetric'!AH96+'REV FSM'!AH96+'Rejection Primary with Scan'!AH96+'Rejection Secondary'!AH96+'Rev DC DC Primary Sorting'!AH96+'Rev Primary (FSM Rejections)'!AH96+'Rev Secondary Sorting'!AH96+'VIA Bag Sorting'!AH96</f>
        <v/>
      </c>
      <c r="AI96" s="7">
        <f>'BBB'!AI96+'Bag Staging'!AI96+'Bag Staging Volumetric'!AI96+'FWD FSM'!AI96+'FWD Manual Pre Primary'!AI96+'FWD Manual Primary'!AI96+'FWD Primary with Scan'!AI96+'FWD Secondary'!AI96+'FWD Volumetric'!AI96+'IB'!AI96+'IB Volumetric'!AI96+'OB'!AI96+'OB Volumetric'!AI96+'OSC Bag Sorting'!AI96+'OSC Bag Sorting Volumetric'!AI96+'REV FSM'!AI96+'Rejection Primary with Scan'!AI96+'Rejection Secondary'!AI96+'Rev DC DC Primary Sorting'!AI96+'Rev Primary (FSM Rejections)'!AI96+'Rev Secondary Sorting'!AI96+'VIA Bag Sorting'!AI96</f>
        <v/>
      </c>
      <c r="AJ96" s="7">
        <f>'BBB'!AJ96+'Bag Staging'!AJ96+'Bag Staging Volumetric'!AJ96+'FWD FSM'!AJ96+'FWD Manual Pre Primary'!AJ96+'FWD Manual Primary'!AJ96+'FWD Primary with Scan'!AJ96+'FWD Secondary'!AJ96+'FWD Volumetric'!AJ96+'IB'!AJ96+'IB Volumetric'!AJ96+'OB'!AJ96+'OB Volumetric'!AJ96+'OSC Bag Sorting'!AJ96+'OSC Bag Sorting Volumetric'!AJ96+'REV FSM'!AJ96+'Rejection Primary with Scan'!AJ96+'Rejection Secondary'!AJ96+'Rev DC DC Primary Sorting'!AJ96+'Rev Primary (FSM Rejections)'!AJ96+'Rev Secondary Sorting'!AJ96+'VIA Bag Sorting'!AJ96</f>
        <v/>
      </c>
      <c r="AK96" s="7">
        <f>'BBB'!AK96+'Bag Staging'!AK96+'Bag Staging Volumetric'!AK96+'FWD FSM'!AK96+'FWD Manual Pre Primary'!AK96+'FWD Manual Primary'!AK96+'FWD Primary with Scan'!AK96+'FWD Secondary'!AK96+'FWD Volumetric'!AK96+'IB'!AK96+'IB Volumetric'!AK96+'OB'!AK96+'OB Volumetric'!AK96+'OSC Bag Sorting'!AK96+'OSC Bag Sorting Volumetric'!AK96+'REV FSM'!AK96+'Rejection Primary with Scan'!AK96+'Rejection Secondary'!AK96+'Rev DC DC Primary Sorting'!AK96+'Rev Primary (FSM Rejections)'!AK96+'Rev Secondary Sorting'!AK96+'VIA Bag Sorting'!AK96</f>
        <v/>
      </c>
      <c r="AL96" s="7">
        <f>'BBB'!AL96+'Bag Staging'!AL96+'Bag Staging Volumetric'!AL96+'FWD FSM'!AL96+'FWD Manual Pre Primary'!AL96+'FWD Manual Primary'!AL96+'FWD Primary with Scan'!AL96+'FWD Secondary'!AL96+'FWD Volumetric'!AL96+'IB'!AL96+'IB Volumetric'!AL96+'OB'!AL96+'OB Volumetric'!AL96+'OSC Bag Sorting'!AL96+'OSC Bag Sorting Volumetric'!AL96+'REV FSM'!AL96+'Rejection Primary with Scan'!AL96+'Rejection Secondary'!AL96+'Rev DC DC Primary Sorting'!AL96+'Rev Primary (FSM Rejections)'!AL96+'Rev Secondary Sorting'!AL96+'VIA Bag Sorting'!AL96</f>
        <v/>
      </c>
      <c r="AM96" s="7">
        <f>'BBB'!AM96+'Bag Staging'!AM96+'Bag Staging Volumetric'!AM96+'FWD FSM'!AM96+'FWD Manual Pre Primary'!AM96+'FWD Manual Primary'!AM96+'FWD Primary with Scan'!AM96+'FWD Secondary'!AM96+'FWD Volumetric'!AM96+'IB'!AM96+'IB Volumetric'!AM96+'OB'!AM96+'OB Volumetric'!AM96+'OSC Bag Sorting'!AM96+'OSC Bag Sorting Volumetric'!AM96+'REV FSM'!AM96+'Rejection Primary with Scan'!AM96+'Rejection Secondary'!AM96+'Rev DC DC Primary Sorting'!AM96+'Rev Primary (FSM Rejections)'!AM96+'Rev Secondary Sorting'!AM96+'VIA Bag Sorting'!AM96</f>
        <v/>
      </c>
      <c r="AN96" s="7">
        <f>'BBB'!AN96+'Bag Staging'!AN96+'Bag Staging Volumetric'!AN96+'FWD FSM'!AN96+'FWD Manual Pre Primary'!AN96+'FWD Manual Primary'!AN96+'FWD Primary with Scan'!AN96+'FWD Secondary'!AN96+'FWD Volumetric'!AN96+'IB'!AN96+'IB Volumetric'!AN96+'OB'!AN96+'OB Volumetric'!AN96+'OSC Bag Sorting'!AN96+'OSC Bag Sorting Volumetric'!AN96+'REV FSM'!AN96+'Rejection Primary with Scan'!AN96+'Rejection Secondary'!AN96+'Rev DC DC Primary Sorting'!AN96+'Rev Primary (FSM Rejections)'!AN96+'Rev Secondary Sorting'!AN96+'VIA Bag Sorting'!AN96</f>
        <v/>
      </c>
      <c r="AO96" s="7">
        <f>'BBB'!AO96+'Bag Staging'!AO96+'Bag Staging Volumetric'!AO96+'FWD FSM'!AO96+'FWD Manual Pre Primary'!AO96+'FWD Manual Primary'!AO96+'FWD Primary with Scan'!AO96+'FWD Secondary'!AO96+'FWD Volumetric'!AO96+'IB'!AO96+'IB Volumetric'!AO96+'OB'!AO96+'OB Volumetric'!AO96+'OSC Bag Sorting'!AO96+'OSC Bag Sorting Volumetric'!AO96+'REV FSM'!AO96+'Rejection Primary with Scan'!AO96+'Rejection Secondary'!AO96+'Rev DC DC Primary Sorting'!AO96+'Rev Primary (FSM Rejections)'!AO96+'Rev Secondary Sorting'!AO96+'VIA Bag Sorting'!AO96</f>
        <v/>
      </c>
      <c r="AP96" s="7">
        <f>'BBB'!AP96+'Bag Staging'!AP96+'Bag Staging Volumetric'!AP96+'FWD FSM'!AP96+'FWD Manual Pre Primary'!AP96+'FWD Manual Primary'!AP96+'FWD Primary with Scan'!AP96+'FWD Secondary'!AP96+'FWD Volumetric'!AP96+'IB'!AP96+'IB Volumetric'!AP96+'OB'!AP96+'OB Volumetric'!AP96+'OSC Bag Sorting'!AP96+'OSC Bag Sorting Volumetric'!AP96+'REV FSM'!AP96+'Rejection Primary with Scan'!AP96+'Rejection Secondary'!AP96+'Rev DC DC Primary Sorting'!AP96+'Rev Primary (FSM Rejections)'!AP96+'Rev Secondary Sorting'!AP96+'VIA Bag Sorting'!AP96</f>
        <v/>
      </c>
      <c r="AQ96" s="7">
        <f>'BBB'!AQ96+'Bag Staging'!AQ96+'Bag Staging Volumetric'!AQ96+'FWD FSM'!AQ96+'FWD Manual Pre Primary'!AQ96+'FWD Manual Primary'!AQ96+'FWD Primary with Scan'!AQ96+'FWD Secondary'!AQ96+'FWD Volumetric'!AQ96+'IB'!AQ96+'IB Volumetric'!AQ96+'OB'!AQ96+'OB Volumetric'!AQ96+'OSC Bag Sorting'!AQ96+'OSC Bag Sorting Volumetric'!AQ96+'REV FSM'!AQ96+'Rejection Primary with Scan'!AQ96+'Rejection Secondary'!AQ96+'Rev DC DC Primary Sorting'!AQ96+'Rev Primary (FSM Rejections)'!AQ96+'Rev Secondary Sorting'!AQ96+'VIA Bag Sorting'!AQ96</f>
        <v/>
      </c>
      <c r="AR96" s="7">
        <f>'BBB'!AR96+'Bag Staging'!AR96+'Bag Staging Volumetric'!AR96+'FWD FSM'!AR96+'FWD Manual Pre Primary'!AR96+'FWD Manual Primary'!AR96+'FWD Primary with Scan'!AR96+'FWD Secondary'!AR96+'FWD Volumetric'!AR96+'IB'!AR96+'IB Volumetric'!AR96+'OB'!AR96+'OB Volumetric'!AR96+'OSC Bag Sorting'!AR96+'OSC Bag Sorting Volumetric'!AR96+'REV FSM'!AR96+'Rejection Primary with Scan'!AR96+'Rejection Secondary'!AR96+'Rev DC DC Primary Sorting'!AR96+'Rev Primary (FSM Rejections)'!AR96+'Rev Secondary Sorting'!AR96+'VIA Bag Sorting'!AR96</f>
        <v/>
      </c>
      <c r="AS96" s="7">
        <f>'BBB'!AS96+'Bag Staging'!AS96+'Bag Staging Volumetric'!AS96+'FWD FSM'!AS96+'FWD Manual Pre Primary'!AS96+'FWD Manual Primary'!AS96+'FWD Primary with Scan'!AS96+'FWD Secondary'!AS96+'FWD Volumetric'!AS96+'IB'!AS96+'IB Volumetric'!AS96+'OB'!AS96+'OB Volumetric'!AS96+'OSC Bag Sorting'!AS96+'OSC Bag Sorting Volumetric'!AS96+'REV FSM'!AS96+'Rejection Primary with Scan'!AS96+'Rejection Secondary'!AS96+'Rev DC DC Primary Sorting'!AS96+'Rev Primary (FSM Rejections)'!AS96+'Rev Secondary Sorting'!AS96+'VIA Bag Sorting'!AS96</f>
        <v/>
      </c>
      <c r="AT96" s="7">
        <f>'BBB'!AT96+'Bag Staging'!AT96+'Bag Staging Volumetric'!AT96+'FWD FSM'!AT96+'FWD Manual Pre Primary'!AT96+'FWD Manual Primary'!AT96+'FWD Primary with Scan'!AT96+'FWD Secondary'!AT96+'FWD Volumetric'!AT96+'IB'!AT96+'IB Volumetric'!AT96+'OB'!AT96+'OB Volumetric'!AT96+'OSC Bag Sorting'!AT96+'OSC Bag Sorting Volumetric'!AT96+'REV FSM'!AT96+'Rejection Primary with Scan'!AT96+'Rejection Secondary'!AT96+'Rev DC DC Primary Sorting'!AT96+'Rev Primary (FSM Rejections)'!AT96+'Rev Secondary Sorting'!AT96+'VIA Bag Sorting'!AT96</f>
        <v/>
      </c>
      <c r="AU96" s="7">
        <f>'BBB'!AU96+'Bag Staging'!AU96+'Bag Staging Volumetric'!AU96+'FWD FSM'!AU96+'FWD Manual Pre Primary'!AU96+'FWD Manual Primary'!AU96+'FWD Primary with Scan'!AU96+'FWD Secondary'!AU96+'FWD Volumetric'!AU96+'IB'!AU96+'IB Volumetric'!AU96+'OB'!AU96+'OB Volumetric'!AU96+'OSC Bag Sorting'!AU96+'OSC Bag Sorting Volumetric'!AU96+'REV FSM'!AU96+'Rejection Primary with Scan'!AU96+'Rejection Secondary'!AU96+'Rev DC DC Primary Sorting'!AU96+'Rev Primary (FSM Rejections)'!AU96+'Rev Secondary Sorting'!AU96+'VIA Bag Sorting'!AU96</f>
        <v/>
      </c>
      <c r="AV96" s="7">
        <f>'BBB'!AV96+'Bag Staging'!AV96+'Bag Staging Volumetric'!AV96+'FWD FSM'!AV96+'FWD Manual Pre Primary'!AV96+'FWD Manual Primary'!AV96+'FWD Primary with Scan'!AV96+'FWD Secondary'!AV96+'FWD Volumetric'!AV96+'IB'!AV96+'IB Volumetric'!AV96+'OB'!AV96+'OB Volumetric'!AV96+'OSC Bag Sorting'!AV96+'OSC Bag Sorting Volumetric'!AV96+'REV FSM'!AV96+'Rejection Primary with Scan'!AV96+'Rejection Secondary'!AV96+'Rev DC DC Primary Sorting'!AV96+'Rev Primary (FSM Rejections)'!AV96+'Rev Secondary Sorting'!AV96+'VIA Bag Sorting'!AV96</f>
        <v/>
      </c>
      <c r="AW96" s="7">
        <f>'BBB'!AW96+'Bag Staging'!AW96+'Bag Staging Volumetric'!AW96+'FWD FSM'!AW96+'FWD Manual Pre Primary'!AW96+'FWD Manual Primary'!AW96+'FWD Primary with Scan'!AW96+'FWD Secondary'!AW96+'FWD Volumetric'!AW96+'IB'!AW96+'IB Volumetric'!AW96+'OB'!AW96+'OB Volumetric'!AW96+'OSC Bag Sorting'!AW96+'OSC Bag Sorting Volumetric'!AW96+'REV FSM'!AW96+'Rejection Primary with Scan'!AW96+'Rejection Secondary'!AW96+'Rev DC DC Primary Sorting'!AW96+'Rev Primary (FSM Rejections)'!AW96+'Rev Secondary Sorting'!AW96+'VIA Bag Sorting'!AW96</f>
        <v/>
      </c>
      <c r="AX96" s="7">
        <f>'BBB'!AX96+'Bag Staging'!AX96+'Bag Staging Volumetric'!AX96+'FWD FSM'!AX96+'FWD Manual Pre Primary'!AX96+'FWD Manual Primary'!AX96+'FWD Primary with Scan'!AX96+'FWD Secondary'!AX96+'FWD Volumetric'!AX96+'IB'!AX96+'IB Volumetric'!AX96+'OB'!AX96+'OB Volumetric'!AX96+'OSC Bag Sorting'!AX96+'OSC Bag Sorting Volumetric'!AX96+'REV FSM'!AX96+'Rejection Primary with Scan'!AX96+'Rejection Secondary'!AX96+'Rev DC DC Primary Sorting'!AX96+'Rev Primary (FSM Rejections)'!AX96+'Rev Secondary Sorting'!AX96+'VIA Bag Sorting'!AX96</f>
        <v/>
      </c>
      <c r="AY96" s="7">
        <f>'BBB'!AY96+'Bag Staging'!AY96+'Bag Staging Volumetric'!AY96+'FWD FSM'!AY96+'FWD Manual Pre Primary'!AY96+'FWD Manual Primary'!AY96+'FWD Primary with Scan'!AY96+'FWD Secondary'!AY96+'FWD Volumetric'!AY96+'IB'!AY96+'IB Volumetric'!AY96+'OB'!AY96+'OB Volumetric'!AY96+'OSC Bag Sorting'!AY96+'OSC Bag Sorting Volumetric'!AY96+'REV FSM'!AY96+'Rejection Primary with Scan'!AY96+'Rejection Secondary'!AY96+'Rev DC DC Primary Sorting'!AY96+'Rev Primary (FSM Rejections)'!AY96+'Rev Secondary Sorting'!AY96+'VIA Bag Sorting'!AY96</f>
        <v/>
      </c>
      <c r="AZ96" s="7">
        <f>'BBB'!AZ96+'Bag Staging'!AZ96+'Bag Staging Volumetric'!AZ96+'FWD FSM'!AZ96+'FWD Manual Pre Primary'!AZ96+'FWD Manual Primary'!AZ96+'FWD Primary with Scan'!AZ96+'FWD Secondary'!AZ96+'FWD Volumetric'!AZ96+'IB'!AZ96+'IB Volumetric'!AZ96+'OB'!AZ96+'OB Volumetric'!AZ96+'OSC Bag Sorting'!AZ96+'OSC Bag Sorting Volumetric'!AZ96+'REV FSM'!AZ96+'Rejection Primary with Scan'!AZ96+'Rejection Secondary'!AZ96+'Rev DC DC Primary Sorting'!AZ96+'Rev Primary (FSM Rejections)'!AZ96+'Rev Secondary Sorting'!AZ96+'VIA Bag Sorting'!AZ96</f>
        <v/>
      </c>
      <c r="BA96" s="7">
        <f>'BBB'!BA96+'Bag Staging'!BA96+'Bag Staging Volumetric'!BA96+'FWD FSM'!BA96+'FWD Manual Pre Primary'!BA96+'FWD Manual Primary'!BA96+'FWD Primary with Scan'!BA96+'FWD Secondary'!BA96+'FWD Volumetric'!BA96+'IB'!BA96+'IB Volumetric'!BA96+'OB'!BA96+'OB Volumetric'!BA96+'OSC Bag Sorting'!BA96+'OSC Bag Sorting Volumetric'!BA96+'REV FSM'!BA96+'Rejection Primary with Scan'!BA96+'Rejection Secondary'!BA96+'Rev DC DC Primary Sorting'!BA96+'Rev Primary (FSM Rejections)'!BA96+'Rev Secondary Sorting'!BA96+'VIA Bag Sorting'!BA96</f>
        <v/>
      </c>
      <c r="BB96" s="7">
        <f>SUM(AD96:BA96)</f>
        <v/>
      </c>
    </row>
    <row r="97">
      <c r="A97" t="inlineStr">
        <is>
          <t>AMD-RTS-RCLS-1302-SSC</t>
        </is>
      </c>
      <c r="B97" t="inlineStr">
        <is>
          <t>Rev OSC</t>
        </is>
      </c>
      <c r="C97" s="5" t="n">
        <v>46104</v>
      </c>
      <c r="D97" s="6" t="n">
        <v>0</v>
      </c>
      <c r="E97" s="6" t="n">
        <v>0</v>
      </c>
      <c r="F97" s="6" t="n">
        <v>0</v>
      </c>
      <c r="G97" s="6" t="n">
        <v>0</v>
      </c>
      <c r="H97" s="6" t="n">
        <v>0</v>
      </c>
      <c r="I97" s="6" t="n">
        <v>0</v>
      </c>
      <c r="J97" s="6" t="n">
        <v>0</v>
      </c>
      <c r="K97" s="6" t="n">
        <v>0</v>
      </c>
      <c r="L97" s="6" t="n">
        <v>0</v>
      </c>
      <c r="M97" s="6" t="n">
        <v>0</v>
      </c>
      <c r="N97" s="6" t="n">
        <v>251</v>
      </c>
      <c r="O97" s="6" t="n">
        <v>418</v>
      </c>
      <c r="P97" s="6" t="n">
        <v>34</v>
      </c>
      <c r="Q97" s="6" t="n">
        <v>38</v>
      </c>
      <c r="R97" s="6" t="n">
        <v>2755</v>
      </c>
      <c r="S97" s="6" t="n">
        <v>1922</v>
      </c>
      <c r="T97" s="6" t="n">
        <v>909</v>
      </c>
      <c r="U97" s="6" t="n">
        <v>2047</v>
      </c>
      <c r="V97" s="6" t="n">
        <v>2503</v>
      </c>
      <c r="W97" s="6" t="n">
        <v>3015</v>
      </c>
      <c r="X97" s="6" t="n">
        <v>3246</v>
      </c>
      <c r="Y97" s="6" t="n">
        <v>2830</v>
      </c>
      <c r="Z97" s="6" t="n">
        <v>0</v>
      </c>
      <c r="AA97" s="6" t="n">
        <v>0</v>
      </c>
      <c r="AB97" s="6">
        <f>SUM(D97:AA97)</f>
        <v/>
      </c>
      <c r="AC97" s="3" t="inlineStr"/>
      <c r="AD97" s="7">
        <f>'BBB'!AD97+'Bag Staging'!AD97+'Bag Staging Volumetric'!AD97+'FWD FSM'!AD97+'FWD Manual Pre Primary'!AD97+'FWD Manual Primary'!AD97+'FWD Primary with Scan'!AD97+'FWD Secondary'!AD97+'FWD Volumetric'!AD97+'IB'!AD97+'IB Volumetric'!AD97+'OB'!AD97+'OB Volumetric'!AD97+'OSC Bag Sorting'!AD97+'OSC Bag Sorting Volumetric'!AD97+'REV FSM'!AD97+'Rejection Primary with Scan'!AD97+'Rejection Secondary'!AD97+'Rev DC DC Primary Sorting'!AD97+'Rev Primary (FSM Rejections)'!AD97+'Rev Secondary Sorting'!AD97+'VIA Bag Sorting'!AD97</f>
        <v/>
      </c>
      <c r="AE97" s="7">
        <f>'BBB'!AE97+'Bag Staging'!AE97+'Bag Staging Volumetric'!AE97+'FWD FSM'!AE97+'FWD Manual Pre Primary'!AE97+'FWD Manual Primary'!AE97+'FWD Primary with Scan'!AE97+'FWD Secondary'!AE97+'FWD Volumetric'!AE97+'IB'!AE97+'IB Volumetric'!AE97+'OB'!AE97+'OB Volumetric'!AE97+'OSC Bag Sorting'!AE97+'OSC Bag Sorting Volumetric'!AE97+'REV FSM'!AE97+'Rejection Primary with Scan'!AE97+'Rejection Secondary'!AE97+'Rev DC DC Primary Sorting'!AE97+'Rev Primary (FSM Rejections)'!AE97+'Rev Secondary Sorting'!AE97+'VIA Bag Sorting'!AE97</f>
        <v/>
      </c>
      <c r="AF97" s="7">
        <f>'BBB'!AF97+'Bag Staging'!AF97+'Bag Staging Volumetric'!AF97+'FWD FSM'!AF97+'FWD Manual Pre Primary'!AF97+'FWD Manual Primary'!AF97+'FWD Primary with Scan'!AF97+'FWD Secondary'!AF97+'FWD Volumetric'!AF97+'IB'!AF97+'IB Volumetric'!AF97+'OB'!AF97+'OB Volumetric'!AF97+'OSC Bag Sorting'!AF97+'OSC Bag Sorting Volumetric'!AF97+'REV FSM'!AF97+'Rejection Primary with Scan'!AF97+'Rejection Secondary'!AF97+'Rev DC DC Primary Sorting'!AF97+'Rev Primary (FSM Rejections)'!AF97+'Rev Secondary Sorting'!AF97+'VIA Bag Sorting'!AF97</f>
        <v/>
      </c>
      <c r="AG97" s="7">
        <f>'BBB'!AG97+'Bag Staging'!AG97+'Bag Staging Volumetric'!AG97+'FWD FSM'!AG97+'FWD Manual Pre Primary'!AG97+'FWD Manual Primary'!AG97+'FWD Primary with Scan'!AG97+'FWD Secondary'!AG97+'FWD Volumetric'!AG97+'IB'!AG97+'IB Volumetric'!AG97+'OB'!AG97+'OB Volumetric'!AG97+'OSC Bag Sorting'!AG97+'OSC Bag Sorting Volumetric'!AG97+'REV FSM'!AG97+'Rejection Primary with Scan'!AG97+'Rejection Secondary'!AG97+'Rev DC DC Primary Sorting'!AG97+'Rev Primary (FSM Rejections)'!AG97+'Rev Secondary Sorting'!AG97+'VIA Bag Sorting'!AG97</f>
        <v/>
      </c>
      <c r="AH97" s="7">
        <f>'BBB'!AH97+'Bag Staging'!AH97+'Bag Staging Volumetric'!AH97+'FWD FSM'!AH97+'FWD Manual Pre Primary'!AH97+'FWD Manual Primary'!AH97+'FWD Primary with Scan'!AH97+'FWD Secondary'!AH97+'FWD Volumetric'!AH97+'IB'!AH97+'IB Volumetric'!AH97+'OB'!AH97+'OB Volumetric'!AH97+'OSC Bag Sorting'!AH97+'OSC Bag Sorting Volumetric'!AH97+'REV FSM'!AH97+'Rejection Primary with Scan'!AH97+'Rejection Secondary'!AH97+'Rev DC DC Primary Sorting'!AH97+'Rev Primary (FSM Rejections)'!AH97+'Rev Secondary Sorting'!AH97+'VIA Bag Sorting'!AH97</f>
        <v/>
      </c>
      <c r="AI97" s="7">
        <f>'BBB'!AI97+'Bag Staging'!AI97+'Bag Staging Volumetric'!AI97+'FWD FSM'!AI97+'FWD Manual Pre Primary'!AI97+'FWD Manual Primary'!AI97+'FWD Primary with Scan'!AI97+'FWD Secondary'!AI97+'FWD Volumetric'!AI97+'IB'!AI97+'IB Volumetric'!AI97+'OB'!AI97+'OB Volumetric'!AI97+'OSC Bag Sorting'!AI97+'OSC Bag Sorting Volumetric'!AI97+'REV FSM'!AI97+'Rejection Primary with Scan'!AI97+'Rejection Secondary'!AI97+'Rev DC DC Primary Sorting'!AI97+'Rev Primary (FSM Rejections)'!AI97+'Rev Secondary Sorting'!AI97+'VIA Bag Sorting'!AI97</f>
        <v/>
      </c>
      <c r="AJ97" s="7">
        <f>'BBB'!AJ97+'Bag Staging'!AJ97+'Bag Staging Volumetric'!AJ97+'FWD FSM'!AJ97+'FWD Manual Pre Primary'!AJ97+'FWD Manual Primary'!AJ97+'FWD Primary with Scan'!AJ97+'FWD Secondary'!AJ97+'FWD Volumetric'!AJ97+'IB'!AJ97+'IB Volumetric'!AJ97+'OB'!AJ97+'OB Volumetric'!AJ97+'OSC Bag Sorting'!AJ97+'OSC Bag Sorting Volumetric'!AJ97+'REV FSM'!AJ97+'Rejection Primary with Scan'!AJ97+'Rejection Secondary'!AJ97+'Rev DC DC Primary Sorting'!AJ97+'Rev Primary (FSM Rejections)'!AJ97+'Rev Secondary Sorting'!AJ97+'VIA Bag Sorting'!AJ97</f>
        <v/>
      </c>
      <c r="AK97" s="7">
        <f>'BBB'!AK97+'Bag Staging'!AK97+'Bag Staging Volumetric'!AK97+'FWD FSM'!AK97+'FWD Manual Pre Primary'!AK97+'FWD Manual Primary'!AK97+'FWD Primary with Scan'!AK97+'FWD Secondary'!AK97+'FWD Volumetric'!AK97+'IB'!AK97+'IB Volumetric'!AK97+'OB'!AK97+'OB Volumetric'!AK97+'OSC Bag Sorting'!AK97+'OSC Bag Sorting Volumetric'!AK97+'REV FSM'!AK97+'Rejection Primary with Scan'!AK97+'Rejection Secondary'!AK97+'Rev DC DC Primary Sorting'!AK97+'Rev Primary (FSM Rejections)'!AK97+'Rev Secondary Sorting'!AK97+'VIA Bag Sorting'!AK97</f>
        <v/>
      </c>
      <c r="AL97" s="7">
        <f>'BBB'!AL97+'Bag Staging'!AL97+'Bag Staging Volumetric'!AL97+'FWD FSM'!AL97+'FWD Manual Pre Primary'!AL97+'FWD Manual Primary'!AL97+'FWD Primary with Scan'!AL97+'FWD Secondary'!AL97+'FWD Volumetric'!AL97+'IB'!AL97+'IB Volumetric'!AL97+'OB'!AL97+'OB Volumetric'!AL97+'OSC Bag Sorting'!AL97+'OSC Bag Sorting Volumetric'!AL97+'REV FSM'!AL97+'Rejection Primary with Scan'!AL97+'Rejection Secondary'!AL97+'Rev DC DC Primary Sorting'!AL97+'Rev Primary (FSM Rejections)'!AL97+'Rev Secondary Sorting'!AL97+'VIA Bag Sorting'!AL97</f>
        <v/>
      </c>
      <c r="AM97" s="7">
        <f>'BBB'!AM97+'Bag Staging'!AM97+'Bag Staging Volumetric'!AM97+'FWD FSM'!AM97+'FWD Manual Pre Primary'!AM97+'FWD Manual Primary'!AM97+'FWD Primary with Scan'!AM97+'FWD Secondary'!AM97+'FWD Volumetric'!AM97+'IB'!AM97+'IB Volumetric'!AM97+'OB'!AM97+'OB Volumetric'!AM97+'OSC Bag Sorting'!AM97+'OSC Bag Sorting Volumetric'!AM97+'REV FSM'!AM97+'Rejection Primary with Scan'!AM97+'Rejection Secondary'!AM97+'Rev DC DC Primary Sorting'!AM97+'Rev Primary (FSM Rejections)'!AM97+'Rev Secondary Sorting'!AM97+'VIA Bag Sorting'!AM97</f>
        <v/>
      </c>
      <c r="AN97" s="7">
        <f>'BBB'!AN97+'Bag Staging'!AN97+'Bag Staging Volumetric'!AN97+'FWD FSM'!AN97+'FWD Manual Pre Primary'!AN97+'FWD Manual Primary'!AN97+'FWD Primary with Scan'!AN97+'FWD Secondary'!AN97+'FWD Volumetric'!AN97+'IB'!AN97+'IB Volumetric'!AN97+'OB'!AN97+'OB Volumetric'!AN97+'OSC Bag Sorting'!AN97+'OSC Bag Sorting Volumetric'!AN97+'REV FSM'!AN97+'Rejection Primary with Scan'!AN97+'Rejection Secondary'!AN97+'Rev DC DC Primary Sorting'!AN97+'Rev Primary (FSM Rejections)'!AN97+'Rev Secondary Sorting'!AN97+'VIA Bag Sorting'!AN97</f>
        <v/>
      </c>
      <c r="AO97" s="7">
        <f>'BBB'!AO97+'Bag Staging'!AO97+'Bag Staging Volumetric'!AO97+'FWD FSM'!AO97+'FWD Manual Pre Primary'!AO97+'FWD Manual Primary'!AO97+'FWD Primary with Scan'!AO97+'FWD Secondary'!AO97+'FWD Volumetric'!AO97+'IB'!AO97+'IB Volumetric'!AO97+'OB'!AO97+'OB Volumetric'!AO97+'OSC Bag Sorting'!AO97+'OSC Bag Sorting Volumetric'!AO97+'REV FSM'!AO97+'Rejection Primary with Scan'!AO97+'Rejection Secondary'!AO97+'Rev DC DC Primary Sorting'!AO97+'Rev Primary (FSM Rejections)'!AO97+'Rev Secondary Sorting'!AO97+'VIA Bag Sorting'!AO97</f>
        <v/>
      </c>
      <c r="AP97" s="7">
        <f>'BBB'!AP97+'Bag Staging'!AP97+'Bag Staging Volumetric'!AP97+'FWD FSM'!AP97+'FWD Manual Pre Primary'!AP97+'FWD Manual Primary'!AP97+'FWD Primary with Scan'!AP97+'FWD Secondary'!AP97+'FWD Volumetric'!AP97+'IB'!AP97+'IB Volumetric'!AP97+'OB'!AP97+'OB Volumetric'!AP97+'OSC Bag Sorting'!AP97+'OSC Bag Sorting Volumetric'!AP97+'REV FSM'!AP97+'Rejection Primary with Scan'!AP97+'Rejection Secondary'!AP97+'Rev DC DC Primary Sorting'!AP97+'Rev Primary (FSM Rejections)'!AP97+'Rev Secondary Sorting'!AP97+'VIA Bag Sorting'!AP97</f>
        <v/>
      </c>
      <c r="AQ97" s="7">
        <f>'BBB'!AQ97+'Bag Staging'!AQ97+'Bag Staging Volumetric'!AQ97+'FWD FSM'!AQ97+'FWD Manual Pre Primary'!AQ97+'FWD Manual Primary'!AQ97+'FWD Primary with Scan'!AQ97+'FWD Secondary'!AQ97+'FWD Volumetric'!AQ97+'IB'!AQ97+'IB Volumetric'!AQ97+'OB'!AQ97+'OB Volumetric'!AQ97+'OSC Bag Sorting'!AQ97+'OSC Bag Sorting Volumetric'!AQ97+'REV FSM'!AQ97+'Rejection Primary with Scan'!AQ97+'Rejection Secondary'!AQ97+'Rev DC DC Primary Sorting'!AQ97+'Rev Primary (FSM Rejections)'!AQ97+'Rev Secondary Sorting'!AQ97+'VIA Bag Sorting'!AQ97</f>
        <v/>
      </c>
      <c r="AR97" s="7">
        <f>'BBB'!AR97+'Bag Staging'!AR97+'Bag Staging Volumetric'!AR97+'FWD FSM'!AR97+'FWD Manual Pre Primary'!AR97+'FWD Manual Primary'!AR97+'FWD Primary with Scan'!AR97+'FWD Secondary'!AR97+'FWD Volumetric'!AR97+'IB'!AR97+'IB Volumetric'!AR97+'OB'!AR97+'OB Volumetric'!AR97+'OSC Bag Sorting'!AR97+'OSC Bag Sorting Volumetric'!AR97+'REV FSM'!AR97+'Rejection Primary with Scan'!AR97+'Rejection Secondary'!AR97+'Rev DC DC Primary Sorting'!AR97+'Rev Primary (FSM Rejections)'!AR97+'Rev Secondary Sorting'!AR97+'VIA Bag Sorting'!AR97</f>
        <v/>
      </c>
      <c r="AS97" s="7">
        <f>'BBB'!AS97+'Bag Staging'!AS97+'Bag Staging Volumetric'!AS97+'FWD FSM'!AS97+'FWD Manual Pre Primary'!AS97+'FWD Manual Primary'!AS97+'FWD Primary with Scan'!AS97+'FWD Secondary'!AS97+'FWD Volumetric'!AS97+'IB'!AS97+'IB Volumetric'!AS97+'OB'!AS97+'OB Volumetric'!AS97+'OSC Bag Sorting'!AS97+'OSC Bag Sorting Volumetric'!AS97+'REV FSM'!AS97+'Rejection Primary with Scan'!AS97+'Rejection Secondary'!AS97+'Rev DC DC Primary Sorting'!AS97+'Rev Primary (FSM Rejections)'!AS97+'Rev Secondary Sorting'!AS97+'VIA Bag Sorting'!AS97</f>
        <v/>
      </c>
      <c r="AT97" s="7">
        <f>'BBB'!AT97+'Bag Staging'!AT97+'Bag Staging Volumetric'!AT97+'FWD FSM'!AT97+'FWD Manual Pre Primary'!AT97+'FWD Manual Primary'!AT97+'FWD Primary with Scan'!AT97+'FWD Secondary'!AT97+'FWD Volumetric'!AT97+'IB'!AT97+'IB Volumetric'!AT97+'OB'!AT97+'OB Volumetric'!AT97+'OSC Bag Sorting'!AT97+'OSC Bag Sorting Volumetric'!AT97+'REV FSM'!AT97+'Rejection Primary with Scan'!AT97+'Rejection Secondary'!AT97+'Rev DC DC Primary Sorting'!AT97+'Rev Primary (FSM Rejections)'!AT97+'Rev Secondary Sorting'!AT97+'VIA Bag Sorting'!AT97</f>
        <v/>
      </c>
      <c r="AU97" s="7">
        <f>'BBB'!AU97+'Bag Staging'!AU97+'Bag Staging Volumetric'!AU97+'FWD FSM'!AU97+'FWD Manual Pre Primary'!AU97+'FWD Manual Primary'!AU97+'FWD Primary with Scan'!AU97+'FWD Secondary'!AU97+'FWD Volumetric'!AU97+'IB'!AU97+'IB Volumetric'!AU97+'OB'!AU97+'OB Volumetric'!AU97+'OSC Bag Sorting'!AU97+'OSC Bag Sorting Volumetric'!AU97+'REV FSM'!AU97+'Rejection Primary with Scan'!AU97+'Rejection Secondary'!AU97+'Rev DC DC Primary Sorting'!AU97+'Rev Primary (FSM Rejections)'!AU97+'Rev Secondary Sorting'!AU97+'VIA Bag Sorting'!AU97</f>
        <v/>
      </c>
      <c r="AV97" s="7">
        <f>'BBB'!AV97+'Bag Staging'!AV97+'Bag Staging Volumetric'!AV97+'FWD FSM'!AV97+'FWD Manual Pre Primary'!AV97+'FWD Manual Primary'!AV97+'FWD Primary with Scan'!AV97+'FWD Secondary'!AV97+'FWD Volumetric'!AV97+'IB'!AV97+'IB Volumetric'!AV97+'OB'!AV97+'OB Volumetric'!AV97+'OSC Bag Sorting'!AV97+'OSC Bag Sorting Volumetric'!AV97+'REV FSM'!AV97+'Rejection Primary with Scan'!AV97+'Rejection Secondary'!AV97+'Rev DC DC Primary Sorting'!AV97+'Rev Primary (FSM Rejections)'!AV97+'Rev Secondary Sorting'!AV97+'VIA Bag Sorting'!AV97</f>
        <v/>
      </c>
      <c r="AW97" s="7">
        <f>'BBB'!AW97+'Bag Staging'!AW97+'Bag Staging Volumetric'!AW97+'FWD FSM'!AW97+'FWD Manual Pre Primary'!AW97+'FWD Manual Primary'!AW97+'FWD Primary with Scan'!AW97+'FWD Secondary'!AW97+'FWD Volumetric'!AW97+'IB'!AW97+'IB Volumetric'!AW97+'OB'!AW97+'OB Volumetric'!AW97+'OSC Bag Sorting'!AW97+'OSC Bag Sorting Volumetric'!AW97+'REV FSM'!AW97+'Rejection Primary with Scan'!AW97+'Rejection Secondary'!AW97+'Rev DC DC Primary Sorting'!AW97+'Rev Primary (FSM Rejections)'!AW97+'Rev Secondary Sorting'!AW97+'VIA Bag Sorting'!AW97</f>
        <v/>
      </c>
      <c r="AX97" s="7">
        <f>'BBB'!AX97+'Bag Staging'!AX97+'Bag Staging Volumetric'!AX97+'FWD FSM'!AX97+'FWD Manual Pre Primary'!AX97+'FWD Manual Primary'!AX97+'FWD Primary with Scan'!AX97+'FWD Secondary'!AX97+'FWD Volumetric'!AX97+'IB'!AX97+'IB Volumetric'!AX97+'OB'!AX97+'OB Volumetric'!AX97+'OSC Bag Sorting'!AX97+'OSC Bag Sorting Volumetric'!AX97+'REV FSM'!AX97+'Rejection Primary with Scan'!AX97+'Rejection Secondary'!AX97+'Rev DC DC Primary Sorting'!AX97+'Rev Primary (FSM Rejections)'!AX97+'Rev Secondary Sorting'!AX97+'VIA Bag Sorting'!AX97</f>
        <v/>
      </c>
      <c r="AY97" s="7">
        <f>'BBB'!AY97+'Bag Staging'!AY97+'Bag Staging Volumetric'!AY97+'FWD FSM'!AY97+'FWD Manual Pre Primary'!AY97+'FWD Manual Primary'!AY97+'FWD Primary with Scan'!AY97+'FWD Secondary'!AY97+'FWD Volumetric'!AY97+'IB'!AY97+'IB Volumetric'!AY97+'OB'!AY97+'OB Volumetric'!AY97+'OSC Bag Sorting'!AY97+'OSC Bag Sorting Volumetric'!AY97+'REV FSM'!AY97+'Rejection Primary with Scan'!AY97+'Rejection Secondary'!AY97+'Rev DC DC Primary Sorting'!AY97+'Rev Primary (FSM Rejections)'!AY97+'Rev Secondary Sorting'!AY97+'VIA Bag Sorting'!AY97</f>
        <v/>
      </c>
      <c r="AZ97" s="7">
        <f>'BBB'!AZ97+'Bag Staging'!AZ97+'Bag Staging Volumetric'!AZ97+'FWD FSM'!AZ97+'FWD Manual Pre Primary'!AZ97+'FWD Manual Primary'!AZ97+'FWD Primary with Scan'!AZ97+'FWD Secondary'!AZ97+'FWD Volumetric'!AZ97+'IB'!AZ97+'IB Volumetric'!AZ97+'OB'!AZ97+'OB Volumetric'!AZ97+'OSC Bag Sorting'!AZ97+'OSC Bag Sorting Volumetric'!AZ97+'REV FSM'!AZ97+'Rejection Primary with Scan'!AZ97+'Rejection Secondary'!AZ97+'Rev DC DC Primary Sorting'!AZ97+'Rev Primary (FSM Rejections)'!AZ97+'Rev Secondary Sorting'!AZ97+'VIA Bag Sorting'!AZ97</f>
        <v/>
      </c>
      <c r="BA97" s="7">
        <f>'BBB'!BA97+'Bag Staging'!BA97+'Bag Staging Volumetric'!BA97+'FWD FSM'!BA97+'FWD Manual Pre Primary'!BA97+'FWD Manual Primary'!BA97+'FWD Primary with Scan'!BA97+'FWD Secondary'!BA97+'FWD Volumetric'!BA97+'IB'!BA97+'IB Volumetric'!BA97+'OB'!BA97+'OB Volumetric'!BA97+'OSC Bag Sorting'!BA97+'OSC Bag Sorting Volumetric'!BA97+'REV FSM'!BA97+'Rejection Primary with Scan'!BA97+'Rejection Secondary'!BA97+'Rev DC DC Primary Sorting'!BA97+'Rev Primary (FSM Rejections)'!BA97+'Rev Secondary Sorting'!BA97+'VIA Bag Sorting'!BA97</f>
        <v/>
      </c>
      <c r="BB97" s="7">
        <f>SUM(AD97:BA97)</f>
        <v/>
      </c>
    </row>
    <row r="98">
      <c r="A98" t="inlineStr">
        <is>
          <t>AMD-RTS-RCLS-1302-SSC</t>
        </is>
      </c>
      <c r="B98" t="inlineStr">
        <is>
          <t>Rev OSC</t>
        </is>
      </c>
      <c r="C98" s="5" t="n">
        <v>46105</v>
      </c>
      <c r="D98" s="6" t="n">
        <v>0</v>
      </c>
      <c r="E98" s="6" t="n">
        <v>0</v>
      </c>
      <c r="F98" s="6" t="n">
        <v>1367</v>
      </c>
      <c r="G98" s="6" t="n">
        <v>1657</v>
      </c>
      <c r="H98" s="6" t="n">
        <v>893</v>
      </c>
      <c r="I98" s="6" t="n">
        <v>11</v>
      </c>
      <c r="J98" s="6" t="n">
        <v>0</v>
      </c>
      <c r="K98" s="6" t="n">
        <v>0</v>
      </c>
      <c r="L98" s="6" t="n">
        <v>0</v>
      </c>
      <c r="M98" s="6" t="n">
        <v>0</v>
      </c>
      <c r="N98" s="6" t="n">
        <v>0</v>
      </c>
      <c r="O98" s="6" t="n">
        <v>0</v>
      </c>
      <c r="P98" s="6" t="n">
        <v>0</v>
      </c>
      <c r="Q98" s="6" t="n">
        <v>0</v>
      </c>
      <c r="R98" s="6" t="n">
        <v>2881</v>
      </c>
      <c r="S98" s="6" t="n">
        <v>2870</v>
      </c>
      <c r="T98" s="6" t="n">
        <v>934</v>
      </c>
      <c r="U98" s="6" t="n">
        <v>2593</v>
      </c>
      <c r="V98" s="6" t="n">
        <v>2416</v>
      </c>
      <c r="W98" s="6" t="n">
        <v>0</v>
      </c>
      <c r="X98" s="6" t="n">
        <v>0</v>
      </c>
      <c r="Y98" s="6" t="n">
        <v>0</v>
      </c>
      <c r="Z98" s="6" t="n">
        <v>0</v>
      </c>
      <c r="AA98" s="6" t="n">
        <v>0</v>
      </c>
      <c r="AB98" s="6">
        <f>SUM(D98:AA98)</f>
        <v/>
      </c>
      <c r="AC98" s="3" t="inlineStr"/>
      <c r="AD98" s="7">
        <f>'BBB'!AD98+'Bag Staging'!AD98+'Bag Staging Volumetric'!AD98+'FWD FSM'!AD98+'FWD Manual Pre Primary'!AD98+'FWD Manual Primary'!AD98+'FWD Primary with Scan'!AD98+'FWD Secondary'!AD98+'FWD Volumetric'!AD98+'IB'!AD98+'IB Volumetric'!AD98+'OB'!AD98+'OB Volumetric'!AD98+'OSC Bag Sorting'!AD98+'OSC Bag Sorting Volumetric'!AD98+'REV FSM'!AD98+'Rejection Primary with Scan'!AD98+'Rejection Secondary'!AD98+'Rev DC DC Primary Sorting'!AD98+'Rev Primary (FSM Rejections)'!AD98+'Rev Secondary Sorting'!AD98+'VIA Bag Sorting'!AD98</f>
        <v/>
      </c>
      <c r="AE98" s="7">
        <f>'BBB'!AE98+'Bag Staging'!AE98+'Bag Staging Volumetric'!AE98+'FWD FSM'!AE98+'FWD Manual Pre Primary'!AE98+'FWD Manual Primary'!AE98+'FWD Primary with Scan'!AE98+'FWD Secondary'!AE98+'FWD Volumetric'!AE98+'IB'!AE98+'IB Volumetric'!AE98+'OB'!AE98+'OB Volumetric'!AE98+'OSC Bag Sorting'!AE98+'OSC Bag Sorting Volumetric'!AE98+'REV FSM'!AE98+'Rejection Primary with Scan'!AE98+'Rejection Secondary'!AE98+'Rev DC DC Primary Sorting'!AE98+'Rev Primary (FSM Rejections)'!AE98+'Rev Secondary Sorting'!AE98+'VIA Bag Sorting'!AE98</f>
        <v/>
      </c>
      <c r="AF98" s="7">
        <f>'BBB'!AF98+'Bag Staging'!AF98+'Bag Staging Volumetric'!AF98+'FWD FSM'!AF98+'FWD Manual Pre Primary'!AF98+'FWD Manual Primary'!AF98+'FWD Primary with Scan'!AF98+'FWD Secondary'!AF98+'FWD Volumetric'!AF98+'IB'!AF98+'IB Volumetric'!AF98+'OB'!AF98+'OB Volumetric'!AF98+'OSC Bag Sorting'!AF98+'OSC Bag Sorting Volumetric'!AF98+'REV FSM'!AF98+'Rejection Primary with Scan'!AF98+'Rejection Secondary'!AF98+'Rev DC DC Primary Sorting'!AF98+'Rev Primary (FSM Rejections)'!AF98+'Rev Secondary Sorting'!AF98+'VIA Bag Sorting'!AF98</f>
        <v/>
      </c>
      <c r="AG98" s="7">
        <f>'BBB'!AG98+'Bag Staging'!AG98+'Bag Staging Volumetric'!AG98+'FWD FSM'!AG98+'FWD Manual Pre Primary'!AG98+'FWD Manual Primary'!AG98+'FWD Primary with Scan'!AG98+'FWD Secondary'!AG98+'FWD Volumetric'!AG98+'IB'!AG98+'IB Volumetric'!AG98+'OB'!AG98+'OB Volumetric'!AG98+'OSC Bag Sorting'!AG98+'OSC Bag Sorting Volumetric'!AG98+'REV FSM'!AG98+'Rejection Primary with Scan'!AG98+'Rejection Secondary'!AG98+'Rev DC DC Primary Sorting'!AG98+'Rev Primary (FSM Rejections)'!AG98+'Rev Secondary Sorting'!AG98+'VIA Bag Sorting'!AG98</f>
        <v/>
      </c>
      <c r="AH98" s="7">
        <f>'BBB'!AH98+'Bag Staging'!AH98+'Bag Staging Volumetric'!AH98+'FWD FSM'!AH98+'FWD Manual Pre Primary'!AH98+'FWD Manual Primary'!AH98+'FWD Primary with Scan'!AH98+'FWD Secondary'!AH98+'FWD Volumetric'!AH98+'IB'!AH98+'IB Volumetric'!AH98+'OB'!AH98+'OB Volumetric'!AH98+'OSC Bag Sorting'!AH98+'OSC Bag Sorting Volumetric'!AH98+'REV FSM'!AH98+'Rejection Primary with Scan'!AH98+'Rejection Secondary'!AH98+'Rev DC DC Primary Sorting'!AH98+'Rev Primary (FSM Rejections)'!AH98+'Rev Secondary Sorting'!AH98+'VIA Bag Sorting'!AH98</f>
        <v/>
      </c>
      <c r="AI98" s="7">
        <f>'BBB'!AI98+'Bag Staging'!AI98+'Bag Staging Volumetric'!AI98+'FWD FSM'!AI98+'FWD Manual Pre Primary'!AI98+'FWD Manual Primary'!AI98+'FWD Primary with Scan'!AI98+'FWD Secondary'!AI98+'FWD Volumetric'!AI98+'IB'!AI98+'IB Volumetric'!AI98+'OB'!AI98+'OB Volumetric'!AI98+'OSC Bag Sorting'!AI98+'OSC Bag Sorting Volumetric'!AI98+'REV FSM'!AI98+'Rejection Primary with Scan'!AI98+'Rejection Secondary'!AI98+'Rev DC DC Primary Sorting'!AI98+'Rev Primary (FSM Rejections)'!AI98+'Rev Secondary Sorting'!AI98+'VIA Bag Sorting'!AI98</f>
        <v/>
      </c>
      <c r="AJ98" s="7">
        <f>'BBB'!AJ98+'Bag Staging'!AJ98+'Bag Staging Volumetric'!AJ98+'FWD FSM'!AJ98+'FWD Manual Pre Primary'!AJ98+'FWD Manual Primary'!AJ98+'FWD Primary with Scan'!AJ98+'FWD Secondary'!AJ98+'FWD Volumetric'!AJ98+'IB'!AJ98+'IB Volumetric'!AJ98+'OB'!AJ98+'OB Volumetric'!AJ98+'OSC Bag Sorting'!AJ98+'OSC Bag Sorting Volumetric'!AJ98+'REV FSM'!AJ98+'Rejection Primary with Scan'!AJ98+'Rejection Secondary'!AJ98+'Rev DC DC Primary Sorting'!AJ98+'Rev Primary (FSM Rejections)'!AJ98+'Rev Secondary Sorting'!AJ98+'VIA Bag Sorting'!AJ98</f>
        <v/>
      </c>
      <c r="AK98" s="7">
        <f>'BBB'!AK98+'Bag Staging'!AK98+'Bag Staging Volumetric'!AK98+'FWD FSM'!AK98+'FWD Manual Pre Primary'!AK98+'FWD Manual Primary'!AK98+'FWD Primary with Scan'!AK98+'FWD Secondary'!AK98+'FWD Volumetric'!AK98+'IB'!AK98+'IB Volumetric'!AK98+'OB'!AK98+'OB Volumetric'!AK98+'OSC Bag Sorting'!AK98+'OSC Bag Sorting Volumetric'!AK98+'REV FSM'!AK98+'Rejection Primary with Scan'!AK98+'Rejection Secondary'!AK98+'Rev DC DC Primary Sorting'!AK98+'Rev Primary (FSM Rejections)'!AK98+'Rev Secondary Sorting'!AK98+'VIA Bag Sorting'!AK98</f>
        <v/>
      </c>
      <c r="AL98" s="7">
        <f>'BBB'!AL98+'Bag Staging'!AL98+'Bag Staging Volumetric'!AL98+'FWD FSM'!AL98+'FWD Manual Pre Primary'!AL98+'FWD Manual Primary'!AL98+'FWD Primary with Scan'!AL98+'FWD Secondary'!AL98+'FWD Volumetric'!AL98+'IB'!AL98+'IB Volumetric'!AL98+'OB'!AL98+'OB Volumetric'!AL98+'OSC Bag Sorting'!AL98+'OSC Bag Sorting Volumetric'!AL98+'REV FSM'!AL98+'Rejection Primary with Scan'!AL98+'Rejection Secondary'!AL98+'Rev DC DC Primary Sorting'!AL98+'Rev Primary (FSM Rejections)'!AL98+'Rev Secondary Sorting'!AL98+'VIA Bag Sorting'!AL98</f>
        <v/>
      </c>
      <c r="AM98" s="7">
        <f>'BBB'!AM98+'Bag Staging'!AM98+'Bag Staging Volumetric'!AM98+'FWD FSM'!AM98+'FWD Manual Pre Primary'!AM98+'FWD Manual Primary'!AM98+'FWD Primary with Scan'!AM98+'FWD Secondary'!AM98+'FWD Volumetric'!AM98+'IB'!AM98+'IB Volumetric'!AM98+'OB'!AM98+'OB Volumetric'!AM98+'OSC Bag Sorting'!AM98+'OSC Bag Sorting Volumetric'!AM98+'REV FSM'!AM98+'Rejection Primary with Scan'!AM98+'Rejection Secondary'!AM98+'Rev DC DC Primary Sorting'!AM98+'Rev Primary (FSM Rejections)'!AM98+'Rev Secondary Sorting'!AM98+'VIA Bag Sorting'!AM98</f>
        <v/>
      </c>
      <c r="AN98" s="7">
        <f>'BBB'!AN98+'Bag Staging'!AN98+'Bag Staging Volumetric'!AN98+'FWD FSM'!AN98+'FWD Manual Pre Primary'!AN98+'FWD Manual Primary'!AN98+'FWD Primary with Scan'!AN98+'FWD Secondary'!AN98+'FWD Volumetric'!AN98+'IB'!AN98+'IB Volumetric'!AN98+'OB'!AN98+'OB Volumetric'!AN98+'OSC Bag Sorting'!AN98+'OSC Bag Sorting Volumetric'!AN98+'REV FSM'!AN98+'Rejection Primary with Scan'!AN98+'Rejection Secondary'!AN98+'Rev DC DC Primary Sorting'!AN98+'Rev Primary (FSM Rejections)'!AN98+'Rev Secondary Sorting'!AN98+'VIA Bag Sorting'!AN98</f>
        <v/>
      </c>
      <c r="AO98" s="7">
        <f>'BBB'!AO98+'Bag Staging'!AO98+'Bag Staging Volumetric'!AO98+'FWD FSM'!AO98+'FWD Manual Pre Primary'!AO98+'FWD Manual Primary'!AO98+'FWD Primary with Scan'!AO98+'FWD Secondary'!AO98+'FWD Volumetric'!AO98+'IB'!AO98+'IB Volumetric'!AO98+'OB'!AO98+'OB Volumetric'!AO98+'OSC Bag Sorting'!AO98+'OSC Bag Sorting Volumetric'!AO98+'REV FSM'!AO98+'Rejection Primary with Scan'!AO98+'Rejection Secondary'!AO98+'Rev DC DC Primary Sorting'!AO98+'Rev Primary (FSM Rejections)'!AO98+'Rev Secondary Sorting'!AO98+'VIA Bag Sorting'!AO98</f>
        <v/>
      </c>
      <c r="AP98" s="7">
        <f>'BBB'!AP98+'Bag Staging'!AP98+'Bag Staging Volumetric'!AP98+'FWD FSM'!AP98+'FWD Manual Pre Primary'!AP98+'FWD Manual Primary'!AP98+'FWD Primary with Scan'!AP98+'FWD Secondary'!AP98+'FWD Volumetric'!AP98+'IB'!AP98+'IB Volumetric'!AP98+'OB'!AP98+'OB Volumetric'!AP98+'OSC Bag Sorting'!AP98+'OSC Bag Sorting Volumetric'!AP98+'REV FSM'!AP98+'Rejection Primary with Scan'!AP98+'Rejection Secondary'!AP98+'Rev DC DC Primary Sorting'!AP98+'Rev Primary (FSM Rejections)'!AP98+'Rev Secondary Sorting'!AP98+'VIA Bag Sorting'!AP98</f>
        <v/>
      </c>
      <c r="AQ98" s="7">
        <f>'BBB'!AQ98+'Bag Staging'!AQ98+'Bag Staging Volumetric'!AQ98+'FWD FSM'!AQ98+'FWD Manual Pre Primary'!AQ98+'FWD Manual Primary'!AQ98+'FWD Primary with Scan'!AQ98+'FWD Secondary'!AQ98+'FWD Volumetric'!AQ98+'IB'!AQ98+'IB Volumetric'!AQ98+'OB'!AQ98+'OB Volumetric'!AQ98+'OSC Bag Sorting'!AQ98+'OSC Bag Sorting Volumetric'!AQ98+'REV FSM'!AQ98+'Rejection Primary with Scan'!AQ98+'Rejection Secondary'!AQ98+'Rev DC DC Primary Sorting'!AQ98+'Rev Primary (FSM Rejections)'!AQ98+'Rev Secondary Sorting'!AQ98+'VIA Bag Sorting'!AQ98</f>
        <v/>
      </c>
      <c r="AR98" s="7">
        <f>'BBB'!AR98+'Bag Staging'!AR98+'Bag Staging Volumetric'!AR98+'FWD FSM'!AR98+'FWD Manual Pre Primary'!AR98+'FWD Manual Primary'!AR98+'FWD Primary with Scan'!AR98+'FWD Secondary'!AR98+'FWD Volumetric'!AR98+'IB'!AR98+'IB Volumetric'!AR98+'OB'!AR98+'OB Volumetric'!AR98+'OSC Bag Sorting'!AR98+'OSC Bag Sorting Volumetric'!AR98+'REV FSM'!AR98+'Rejection Primary with Scan'!AR98+'Rejection Secondary'!AR98+'Rev DC DC Primary Sorting'!AR98+'Rev Primary (FSM Rejections)'!AR98+'Rev Secondary Sorting'!AR98+'VIA Bag Sorting'!AR98</f>
        <v/>
      </c>
      <c r="AS98" s="7">
        <f>'BBB'!AS98+'Bag Staging'!AS98+'Bag Staging Volumetric'!AS98+'FWD FSM'!AS98+'FWD Manual Pre Primary'!AS98+'FWD Manual Primary'!AS98+'FWD Primary with Scan'!AS98+'FWD Secondary'!AS98+'FWD Volumetric'!AS98+'IB'!AS98+'IB Volumetric'!AS98+'OB'!AS98+'OB Volumetric'!AS98+'OSC Bag Sorting'!AS98+'OSC Bag Sorting Volumetric'!AS98+'REV FSM'!AS98+'Rejection Primary with Scan'!AS98+'Rejection Secondary'!AS98+'Rev DC DC Primary Sorting'!AS98+'Rev Primary (FSM Rejections)'!AS98+'Rev Secondary Sorting'!AS98+'VIA Bag Sorting'!AS98</f>
        <v/>
      </c>
      <c r="AT98" s="7">
        <f>'BBB'!AT98+'Bag Staging'!AT98+'Bag Staging Volumetric'!AT98+'FWD FSM'!AT98+'FWD Manual Pre Primary'!AT98+'FWD Manual Primary'!AT98+'FWD Primary with Scan'!AT98+'FWD Secondary'!AT98+'FWD Volumetric'!AT98+'IB'!AT98+'IB Volumetric'!AT98+'OB'!AT98+'OB Volumetric'!AT98+'OSC Bag Sorting'!AT98+'OSC Bag Sorting Volumetric'!AT98+'REV FSM'!AT98+'Rejection Primary with Scan'!AT98+'Rejection Secondary'!AT98+'Rev DC DC Primary Sorting'!AT98+'Rev Primary (FSM Rejections)'!AT98+'Rev Secondary Sorting'!AT98+'VIA Bag Sorting'!AT98</f>
        <v/>
      </c>
      <c r="AU98" s="7">
        <f>'BBB'!AU98+'Bag Staging'!AU98+'Bag Staging Volumetric'!AU98+'FWD FSM'!AU98+'FWD Manual Pre Primary'!AU98+'FWD Manual Primary'!AU98+'FWD Primary with Scan'!AU98+'FWD Secondary'!AU98+'FWD Volumetric'!AU98+'IB'!AU98+'IB Volumetric'!AU98+'OB'!AU98+'OB Volumetric'!AU98+'OSC Bag Sorting'!AU98+'OSC Bag Sorting Volumetric'!AU98+'REV FSM'!AU98+'Rejection Primary with Scan'!AU98+'Rejection Secondary'!AU98+'Rev DC DC Primary Sorting'!AU98+'Rev Primary (FSM Rejections)'!AU98+'Rev Secondary Sorting'!AU98+'VIA Bag Sorting'!AU98</f>
        <v/>
      </c>
      <c r="AV98" s="7">
        <f>'BBB'!AV98+'Bag Staging'!AV98+'Bag Staging Volumetric'!AV98+'FWD FSM'!AV98+'FWD Manual Pre Primary'!AV98+'FWD Manual Primary'!AV98+'FWD Primary with Scan'!AV98+'FWD Secondary'!AV98+'FWD Volumetric'!AV98+'IB'!AV98+'IB Volumetric'!AV98+'OB'!AV98+'OB Volumetric'!AV98+'OSC Bag Sorting'!AV98+'OSC Bag Sorting Volumetric'!AV98+'REV FSM'!AV98+'Rejection Primary with Scan'!AV98+'Rejection Secondary'!AV98+'Rev DC DC Primary Sorting'!AV98+'Rev Primary (FSM Rejections)'!AV98+'Rev Secondary Sorting'!AV98+'VIA Bag Sorting'!AV98</f>
        <v/>
      </c>
      <c r="AW98" s="7">
        <f>'BBB'!AW98+'Bag Staging'!AW98+'Bag Staging Volumetric'!AW98+'FWD FSM'!AW98+'FWD Manual Pre Primary'!AW98+'FWD Manual Primary'!AW98+'FWD Primary with Scan'!AW98+'FWD Secondary'!AW98+'FWD Volumetric'!AW98+'IB'!AW98+'IB Volumetric'!AW98+'OB'!AW98+'OB Volumetric'!AW98+'OSC Bag Sorting'!AW98+'OSC Bag Sorting Volumetric'!AW98+'REV FSM'!AW98+'Rejection Primary with Scan'!AW98+'Rejection Secondary'!AW98+'Rev DC DC Primary Sorting'!AW98+'Rev Primary (FSM Rejections)'!AW98+'Rev Secondary Sorting'!AW98+'VIA Bag Sorting'!AW98</f>
        <v/>
      </c>
      <c r="AX98" s="7">
        <f>'BBB'!AX98+'Bag Staging'!AX98+'Bag Staging Volumetric'!AX98+'FWD FSM'!AX98+'FWD Manual Pre Primary'!AX98+'FWD Manual Primary'!AX98+'FWD Primary with Scan'!AX98+'FWD Secondary'!AX98+'FWD Volumetric'!AX98+'IB'!AX98+'IB Volumetric'!AX98+'OB'!AX98+'OB Volumetric'!AX98+'OSC Bag Sorting'!AX98+'OSC Bag Sorting Volumetric'!AX98+'REV FSM'!AX98+'Rejection Primary with Scan'!AX98+'Rejection Secondary'!AX98+'Rev DC DC Primary Sorting'!AX98+'Rev Primary (FSM Rejections)'!AX98+'Rev Secondary Sorting'!AX98+'VIA Bag Sorting'!AX98</f>
        <v/>
      </c>
      <c r="AY98" s="7">
        <f>'BBB'!AY98+'Bag Staging'!AY98+'Bag Staging Volumetric'!AY98+'FWD FSM'!AY98+'FWD Manual Pre Primary'!AY98+'FWD Manual Primary'!AY98+'FWD Primary with Scan'!AY98+'FWD Secondary'!AY98+'FWD Volumetric'!AY98+'IB'!AY98+'IB Volumetric'!AY98+'OB'!AY98+'OB Volumetric'!AY98+'OSC Bag Sorting'!AY98+'OSC Bag Sorting Volumetric'!AY98+'REV FSM'!AY98+'Rejection Primary with Scan'!AY98+'Rejection Secondary'!AY98+'Rev DC DC Primary Sorting'!AY98+'Rev Primary (FSM Rejections)'!AY98+'Rev Secondary Sorting'!AY98+'VIA Bag Sorting'!AY98</f>
        <v/>
      </c>
      <c r="AZ98" s="7">
        <f>'BBB'!AZ98+'Bag Staging'!AZ98+'Bag Staging Volumetric'!AZ98+'FWD FSM'!AZ98+'FWD Manual Pre Primary'!AZ98+'FWD Manual Primary'!AZ98+'FWD Primary with Scan'!AZ98+'FWD Secondary'!AZ98+'FWD Volumetric'!AZ98+'IB'!AZ98+'IB Volumetric'!AZ98+'OB'!AZ98+'OB Volumetric'!AZ98+'OSC Bag Sorting'!AZ98+'OSC Bag Sorting Volumetric'!AZ98+'REV FSM'!AZ98+'Rejection Primary with Scan'!AZ98+'Rejection Secondary'!AZ98+'Rev DC DC Primary Sorting'!AZ98+'Rev Primary (FSM Rejections)'!AZ98+'Rev Secondary Sorting'!AZ98+'VIA Bag Sorting'!AZ98</f>
        <v/>
      </c>
      <c r="BA98" s="7">
        <f>'BBB'!BA98+'Bag Staging'!BA98+'Bag Staging Volumetric'!BA98+'FWD FSM'!BA98+'FWD Manual Pre Primary'!BA98+'FWD Manual Primary'!BA98+'FWD Primary with Scan'!BA98+'FWD Secondary'!BA98+'FWD Volumetric'!BA98+'IB'!BA98+'IB Volumetric'!BA98+'OB'!BA98+'OB Volumetric'!BA98+'OSC Bag Sorting'!BA98+'OSC Bag Sorting Volumetric'!BA98+'REV FSM'!BA98+'Rejection Primary with Scan'!BA98+'Rejection Secondary'!BA98+'Rev DC DC Primary Sorting'!BA98+'Rev Primary (FSM Rejections)'!BA98+'Rev Secondary Sorting'!BA98+'VIA Bag Sorting'!BA98</f>
        <v/>
      </c>
      <c r="BB98" s="7">
        <f>SUM(AD98:BA98)</f>
        <v/>
      </c>
    </row>
    <row r="99">
      <c r="A99" t="inlineStr">
        <is>
          <t>AMD-RTS-RCLS-1302-SSC_1</t>
        </is>
      </c>
      <c r="B99" t="inlineStr">
        <is>
          <t>Rev OSC</t>
        </is>
      </c>
      <c r="C99" s="5" t="n">
        <v>46090</v>
      </c>
      <c r="D99" s="6" t="n">
        <v>0</v>
      </c>
      <c r="E99" s="6" t="n">
        <v>0</v>
      </c>
      <c r="F99" s="6" t="n">
        <v>0</v>
      </c>
      <c r="G99" s="6" t="n">
        <v>0</v>
      </c>
      <c r="H99" s="6" t="n">
        <v>0</v>
      </c>
      <c r="I99" s="6" t="n">
        <v>0</v>
      </c>
      <c r="J99" s="6" t="n">
        <v>0</v>
      </c>
      <c r="K99" s="6" t="n">
        <v>0</v>
      </c>
      <c r="L99" s="6" t="n">
        <v>0</v>
      </c>
      <c r="M99" s="6" t="n">
        <v>0</v>
      </c>
      <c r="N99" s="6" t="n">
        <v>0</v>
      </c>
      <c r="O99" s="6" t="n">
        <v>0</v>
      </c>
      <c r="P99" s="6" t="n">
        <v>0</v>
      </c>
      <c r="Q99" s="6" t="n">
        <v>0</v>
      </c>
      <c r="R99" s="6" t="n">
        <v>0</v>
      </c>
      <c r="S99" s="6" t="n">
        <v>0</v>
      </c>
      <c r="T99" s="6" t="n">
        <v>0</v>
      </c>
      <c r="U99" s="6" t="n">
        <v>0</v>
      </c>
      <c r="V99" s="6" t="n">
        <v>0</v>
      </c>
      <c r="W99" s="6" t="n">
        <v>5</v>
      </c>
      <c r="X99" s="6" t="n">
        <v>851</v>
      </c>
      <c r="Y99" s="6" t="n">
        <v>965</v>
      </c>
      <c r="Z99" s="6" t="n">
        <v>222</v>
      </c>
      <c r="AA99" s="6" t="n">
        <v>0</v>
      </c>
      <c r="AB99" s="6">
        <f>SUM(D99:AA99)</f>
        <v/>
      </c>
      <c r="AC99" s="3" t="inlineStr"/>
      <c r="AD99" s="7">
        <f>'BBB'!AD99+'Bag Staging'!AD99+'Bag Staging Volumetric'!AD99+'FWD FSM'!AD99+'FWD Manual Pre Primary'!AD99+'FWD Manual Primary'!AD99+'FWD Primary with Scan'!AD99+'FWD Secondary'!AD99+'FWD Volumetric'!AD99+'IB'!AD99+'IB Volumetric'!AD99+'OB'!AD99+'OB Volumetric'!AD99+'OSC Bag Sorting'!AD99+'OSC Bag Sorting Volumetric'!AD99+'REV FSM'!AD99+'Rejection Primary with Scan'!AD99+'Rejection Secondary'!AD99+'Rev DC DC Primary Sorting'!AD99+'Rev Primary (FSM Rejections)'!AD99+'Rev Secondary Sorting'!AD99+'VIA Bag Sorting'!AD99</f>
        <v/>
      </c>
      <c r="AE99" s="7">
        <f>'BBB'!AE99+'Bag Staging'!AE99+'Bag Staging Volumetric'!AE99+'FWD FSM'!AE99+'FWD Manual Pre Primary'!AE99+'FWD Manual Primary'!AE99+'FWD Primary with Scan'!AE99+'FWD Secondary'!AE99+'FWD Volumetric'!AE99+'IB'!AE99+'IB Volumetric'!AE99+'OB'!AE99+'OB Volumetric'!AE99+'OSC Bag Sorting'!AE99+'OSC Bag Sorting Volumetric'!AE99+'REV FSM'!AE99+'Rejection Primary with Scan'!AE99+'Rejection Secondary'!AE99+'Rev DC DC Primary Sorting'!AE99+'Rev Primary (FSM Rejections)'!AE99+'Rev Secondary Sorting'!AE99+'VIA Bag Sorting'!AE99</f>
        <v/>
      </c>
      <c r="AF99" s="7">
        <f>'BBB'!AF99+'Bag Staging'!AF99+'Bag Staging Volumetric'!AF99+'FWD FSM'!AF99+'FWD Manual Pre Primary'!AF99+'FWD Manual Primary'!AF99+'FWD Primary with Scan'!AF99+'FWD Secondary'!AF99+'FWD Volumetric'!AF99+'IB'!AF99+'IB Volumetric'!AF99+'OB'!AF99+'OB Volumetric'!AF99+'OSC Bag Sorting'!AF99+'OSC Bag Sorting Volumetric'!AF99+'REV FSM'!AF99+'Rejection Primary with Scan'!AF99+'Rejection Secondary'!AF99+'Rev DC DC Primary Sorting'!AF99+'Rev Primary (FSM Rejections)'!AF99+'Rev Secondary Sorting'!AF99+'VIA Bag Sorting'!AF99</f>
        <v/>
      </c>
      <c r="AG99" s="7">
        <f>'BBB'!AG99+'Bag Staging'!AG99+'Bag Staging Volumetric'!AG99+'FWD FSM'!AG99+'FWD Manual Pre Primary'!AG99+'FWD Manual Primary'!AG99+'FWD Primary with Scan'!AG99+'FWD Secondary'!AG99+'FWD Volumetric'!AG99+'IB'!AG99+'IB Volumetric'!AG99+'OB'!AG99+'OB Volumetric'!AG99+'OSC Bag Sorting'!AG99+'OSC Bag Sorting Volumetric'!AG99+'REV FSM'!AG99+'Rejection Primary with Scan'!AG99+'Rejection Secondary'!AG99+'Rev DC DC Primary Sorting'!AG99+'Rev Primary (FSM Rejections)'!AG99+'Rev Secondary Sorting'!AG99+'VIA Bag Sorting'!AG99</f>
        <v/>
      </c>
      <c r="AH99" s="7">
        <f>'BBB'!AH99+'Bag Staging'!AH99+'Bag Staging Volumetric'!AH99+'FWD FSM'!AH99+'FWD Manual Pre Primary'!AH99+'FWD Manual Primary'!AH99+'FWD Primary with Scan'!AH99+'FWD Secondary'!AH99+'FWD Volumetric'!AH99+'IB'!AH99+'IB Volumetric'!AH99+'OB'!AH99+'OB Volumetric'!AH99+'OSC Bag Sorting'!AH99+'OSC Bag Sorting Volumetric'!AH99+'REV FSM'!AH99+'Rejection Primary with Scan'!AH99+'Rejection Secondary'!AH99+'Rev DC DC Primary Sorting'!AH99+'Rev Primary (FSM Rejections)'!AH99+'Rev Secondary Sorting'!AH99+'VIA Bag Sorting'!AH99</f>
        <v/>
      </c>
      <c r="AI99" s="7">
        <f>'BBB'!AI99+'Bag Staging'!AI99+'Bag Staging Volumetric'!AI99+'FWD FSM'!AI99+'FWD Manual Pre Primary'!AI99+'FWD Manual Primary'!AI99+'FWD Primary with Scan'!AI99+'FWD Secondary'!AI99+'FWD Volumetric'!AI99+'IB'!AI99+'IB Volumetric'!AI99+'OB'!AI99+'OB Volumetric'!AI99+'OSC Bag Sorting'!AI99+'OSC Bag Sorting Volumetric'!AI99+'REV FSM'!AI99+'Rejection Primary with Scan'!AI99+'Rejection Secondary'!AI99+'Rev DC DC Primary Sorting'!AI99+'Rev Primary (FSM Rejections)'!AI99+'Rev Secondary Sorting'!AI99+'VIA Bag Sorting'!AI99</f>
        <v/>
      </c>
      <c r="AJ99" s="7">
        <f>'BBB'!AJ99+'Bag Staging'!AJ99+'Bag Staging Volumetric'!AJ99+'FWD FSM'!AJ99+'FWD Manual Pre Primary'!AJ99+'FWD Manual Primary'!AJ99+'FWD Primary with Scan'!AJ99+'FWD Secondary'!AJ99+'FWD Volumetric'!AJ99+'IB'!AJ99+'IB Volumetric'!AJ99+'OB'!AJ99+'OB Volumetric'!AJ99+'OSC Bag Sorting'!AJ99+'OSC Bag Sorting Volumetric'!AJ99+'REV FSM'!AJ99+'Rejection Primary with Scan'!AJ99+'Rejection Secondary'!AJ99+'Rev DC DC Primary Sorting'!AJ99+'Rev Primary (FSM Rejections)'!AJ99+'Rev Secondary Sorting'!AJ99+'VIA Bag Sorting'!AJ99</f>
        <v/>
      </c>
      <c r="AK99" s="7">
        <f>'BBB'!AK99+'Bag Staging'!AK99+'Bag Staging Volumetric'!AK99+'FWD FSM'!AK99+'FWD Manual Pre Primary'!AK99+'FWD Manual Primary'!AK99+'FWD Primary with Scan'!AK99+'FWD Secondary'!AK99+'FWD Volumetric'!AK99+'IB'!AK99+'IB Volumetric'!AK99+'OB'!AK99+'OB Volumetric'!AK99+'OSC Bag Sorting'!AK99+'OSC Bag Sorting Volumetric'!AK99+'REV FSM'!AK99+'Rejection Primary with Scan'!AK99+'Rejection Secondary'!AK99+'Rev DC DC Primary Sorting'!AK99+'Rev Primary (FSM Rejections)'!AK99+'Rev Secondary Sorting'!AK99+'VIA Bag Sorting'!AK99</f>
        <v/>
      </c>
      <c r="AL99" s="7">
        <f>'BBB'!AL99+'Bag Staging'!AL99+'Bag Staging Volumetric'!AL99+'FWD FSM'!AL99+'FWD Manual Pre Primary'!AL99+'FWD Manual Primary'!AL99+'FWD Primary with Scan'!AL99+'FWD Secondary'!AL99+'FWD Volumetric'!AL99+'IB'!AL99+'IB Volumetric'!AL99+'OB'!AL99+'OB Volumetric'!AL99+'OSC Bag Sorting'!AL99+'OSC Bag Sorting Volumetric'!AL99+'REV FSM'!AL99+'Rejection Primary with Scan'!AL99+'Rejection Secondary'!AL99+'Rev DC DC Primary Sorting'!AL99+'Rev Primary (FSM Rejections)'!AL99+'Rev Secondary Sorting'!AL99+'VIA Bag Sorting'!AL99</f>
        <v/>
      </c>
      <c r="AM99" s="7">
        <f>'BBB'!AM99+'Bag Staging'!AM99+'Bag Staging Volumetric'!AM99+'FWD FSM'!AM99+'FWD Manual Pre Primary'!AM99+'FWD Manual Primary'!AM99+'FWD Primary with Scan'!AM99+'FWD Secondary'!AM99+'FWD Volumetric'!AM99+'IB'!AM99+'IB Volumetric'!AM99+'OB'!AM99+'OB Volumetric'!AM99+'OSC Bag Sorting'!AM99+'OSC Bag Sorting Volumetric'!AM99+'REV FSM'!AM99+'Rejection Primary with Scan'!AM99+'Rejection Secondary'!AM99+'Rev DC DC Primary Sorting'!AM99+'Rev Primary (FSM Rejections)'!AM99+'Rev Secondary Sorting'!AM99+'VIA Bag Sorting'!AM99</f>
        <v/>
      </c>
      <c r="AN99" s="7">
        <f>'BBB'!AN99+'Bag Staging'!AN99+'Bag Staging Volumetric'!AN99+'FWD FSM'!AN99+'FWD Manual Pre Primary'!AN99+'FWD Manual Primary'!AN99+'FWD Primary with Scan'!AN99+'FWD Secondary'!AN99+'FWD Volumetric'!AN99+'IB'!AN99+'IB Volumetric'!AN99+'OB'!AN99+'OB Volumetric'!AN99+'OSC Bag Sorting'!AN99+'OSC Bag Sorting Volumetric'!AN99+'REV FSM'!AN99+'Rejection Primary with Scan'!AN99+'Rejection Secondary'!AN99+'Rev DC DC Primary Sorting'!AN99+'Rev Primary (FSM Rejections)'!AN99+'Rev Secondary Sorting'!AN99+'VIA Bag Sorting'!AN99</f>
        <v/>
      </c>
      <c r="AO99" s="7">
        <f>'BBB'!AO99+'Bag Staging'!AO99+'Bag Staging Volumetric'!AO99+'FWD FSM'!AO99+'FWD Manual Pre Primary'!AO99+'FWD Manual Primary'!AO99+'FWD Primary with Scan'!AO99+'FWD Secondary'!AO99+'FWD Volumetric'!AO99+'IB'!AO99+'IB Volumetric'!AO99+'OB'!AO99+'OB Volumetric'!AO99+'OSC Bag Sorting'!AO99+'OSC Bag Sorting Volumetric'!AO99+'REV FSM'!AO99+'Rejection Primary with Scan'!AO99+'Rejection Secondary'!AO99+'Rev DC DC Primary Sorting'!AO99+'Rev Primary (FSM Rejections)'!AO99+'Rev Secondary Sorting'!AO99+'VIA Bag Sorting'!AO99</f>
        <v/>
      </c>
      <c r="AP99" s="7">
        <f>'BBB'!AP99+'Bag Staging'!AP99+'Bag Staging Volumetric'!AP99+'FWD FSM'!AP99+'FWD Manual Pre Primary'!AP99+'FWD Manual Primary'!AP99+'FWD Primary with Scan'!AP99+'FWD Secondary'!AP99+'FWD Volumetric'!AP99+'IB'!AP99+'IB Volumetric'!AP99+'OB'!AP99+'OB Volumetric'!AP99+'OSC Bag Sorting'!AP99+'OSC Bag Sorting Volumetric'!AP99+'REV FSM'!AP99+'Rejection Primary with Scan'!AP99+'Rejection Secondary'!AP99+'Rev DC DC Primary Sorting'!AP99+'Rev Primary (FSM Rejections)'!AP99+'Rev Secondary Sorting'!AP99+'VIA Bag Sorting'!AP99</f>
        <v/>
      </c>
      <c r="AQ99" s="7">
        <f>'BBB'!AQ99+'Bag Staging'!AQ99+'Bag Staging Volumetric'!AQ99+'FWD FSM'!AQ99+'FWD Manual Pre Primary'!AQ99+'FWD Manual Primary'!AQ99+'FWD Primary with Scan'!AQ99+'FWD Secondary'!AQ99+'FWD Volumetric'!AQ99+'IB'!AQ99+'IB Volumetric'!AQ99+'OB'!AQ99+'OB Volumetric'!AQ99+'OSC Bag Sorting'!AQ99+'OSC Bag Sorting Volumetric'!AQ99+'REV FSM'!AQ99+'Rejection Primary with Scan'!AQ99+'Rejection Secondary'!AQ99+'Rev DC DC Primary Sorting'!AQ99+'Rev Primary (FSM Rejections)'!AQ99+'Rev Secondary Sorting'!AQ99+'VIA Bag Sorting'!AQ99</f>
        <v/>
      </c>
      <c r="AR99" s="7">
        <f>'BBB'!AR99+'Bag Staging'!AR99+'Bag Staging Volumetric'!AR99+'FWD FSM'!AR99+'FWD Manual Pre Primary'!AR99+'FWD Manual Primary'!AR99+'FWD Primary with Scan'!AR99+'FWD Secondary'!AR99+'FWD Volumetric'!AR99+'IB'!AR99+'IB Volumetric'!AR99+'OB'!AR99+'OB Volumetric'!AR99+'OSC Bag Sorting'!AR99+'OSC Bag Sorting Volumetric'!AR99+'REV FSM'!AR99+'Rejection Primary with Scan'!AR99+'Rejection Secondary'!AR99+'Rev DC DC Primary Sorting'!AR99+'Rev Primary (FSM Rejections)'!AR99+'Rev Secondary Sorting'!AR99+'VIA Bag Sorting'!AR99</f>
        <v/>
      </c>
      <c r="AS99" s="7">
        <f>'BBB'!AS99+'Bag Staging'!AS99+'Bag Staging Volumetric'!AS99+'FWD FSM'!AS99+'FWD Manual Pre Primary'!AS99+'FWD Manual Primary'!AS99+'FWD Primary with Scan'!AS99+'FWD Secondary'!AS99+'FWD Volumetric'!AS99+'IB'!AS99+'IB Volumetric'!AS99+'OB'!AS99+'OB Volumetric'!AS99+'OSC Bag Sorting'!AS99+'OSC Bag Sorting Volumetric'!AS99+'REV FSM'!AS99+'Rejection Primary with Scan'!AS99+'Rejection Secondary'!AS99+'Rev DC DC Primary Sorting'!AS99+'Rev Primary (FSM Rejections)'!AS99+'Rev Secondary Sorting'!AS99+'VIA Bag Sorting'!AS99</f>
        <v/>
      </c>
      <c r="AT99" s="7">
        <f>'BBB'!AT99+'Bag Staging'!AT99+'Bag Staging Volumetric'!AT99+'FWD FSM'!AT99+'FWD Manual Pre Primary'!AT99+'FWD Manual Primary'!AT99+'FWD Primary with Scan'!AT99+'FWD Secondary'!AT99+'FWD Volumetric'!AT99+'IB'!AT99+'IB Volumetric'!AT99+'OB'!AT99+'OB Volumetric'!AT99+'OSC Bag Sorting'!AT99+'OSC Bag Sorting Volumetric'!AT99+'REV FSM'!AT99+'Rejection Primary with Scan'!AT99+'Rejection Secondary'!AT99+'Rev DC DC Primary Sorting'!AT99+'Rev Primary (FSM Rejections)'!AT99+'Rev Secondary Sorting'!AT99+'VIA Bag Sorting'!AT99</f>
        <v/>
      </c>
      <c r="AU99" s="7">
        <f>'BBB'!AU99+'Bag Staging'!AU99+'Bag Staging Volumetric'!AU99+'FWD FSM'!AU99+'FWD Manual Pre Primary'!AU99+'FWD Manual Primary'!AU99+'FWD Primary with Scan'!AU99+'FWD Secondary'!AU99+'FWD Volumetric'!AU99+'IB'!AU99+'IB Volumetric'!AU99+'OB'!AU99+'OB Volumetric'!AU99+'OSC Bag Sorting'!AU99+'OSC Bag Sorting Volumetric'!AU99+'REV FSM'!AU99+'Rejection Primary with Scan'!AU99+'Rejection Secondary'!AU99+'Rev DC DC Primary Sorting'!AU99+'Rev Primary (FSM Rejections)'!AU99+'Rev Secondary Sorting'!AU99+'VIA Bag Sorting'!AU99</f>
        <v/>
      </c>
      <c r="AV99" s="7">
        <f>'BBB'!AV99+'Bag Staging'!AV99+'Bag Staging Volumetric'!AV99+'FWD FSM'!AV99+'FWD Manual Pre Primary'!AV99+'FWD Manual Primary'!AV99+'FWD Primary with Scan'!AV99+'FWD Secondary'!AV99+'FWD Volumetric'!AV99+'IB'!AV99+'IB Volumetric'!AV99+'OB'!AV99+'OB Volumetric'!AV99+'OSC Bag Sorting'!AV99+'OSC Bag Sorting Volumetric'!AV99+'REV FSM'!AV99+'Rejection Primary with Scan'!AV99+'Rejection Secondary'!AV99+'Rev DC DC Primary Sorting'!AV99+'Rev Primary (FSM Rejections)'!AV99+'Rev Secondary Sorting'!AV99+'VIA Bag Sorting'!AV99</f>
        <v/>
      </c>
      <c r="AW99" s="7">
        <f>'BBB'!AW99+'Bag Staging'!AW99+'Bag Staging Volumetric'!AW99+'FWD FSM'!AW99+'FWD Manual Pre Primary'!AW99+'FWD Manual Primary'!AW99+'FWD Primary with Scan'!AW99+'FWD Secondary'!AW99+'FWD Volumetric'!AW99+'IB'!AW99+'IB Volumetric'!AW99+'OB'!AW99+'OB Volumetric'!AW99+'OSC Bag Sorting'!AW99+'OSC Bag Sorting Volumetric'!AW99+'REV FSM'!AW99+'Rejection Primary with Scan'!AW99+'Rejection Secondary'!AW99+'Rev DC DC Primary Sorting'!AW99+'Rev Primary (FSM Rejections)'!AW99+'Rev Secondary Sorting'!AW99+'VIA Bag Sorting'!AW99</f>
        <v/>
      </c>
      <c r="AX99" s="7">
        <f>'BBB'!AX99+'Bag Staging'!AX99+'Bag Staging Volumetric'!AX99+'FWD FSM'!AX99+'FWD Manual Pre Primary'!AX99+'FWD Manual Primary'!AX99+'FWD Primary with Scan'!AX99+'FWD Secondary'!AX99+'FWD Volumetric'!AX99+'IB'!AX99+'IB Volumetric'!AX99+'OB'!AX99+'OB Volumetric'!AX99+'OSC Bag Sorting'!AX99+'OSC Bag Sorting Volumetric'!AX99+'REV FSM'!AX99+'Rejection Primary with Scan'!AX99+'Rejection Secondary'!AX99+'Rev DC DC Primary Sorting'!AX99+'Rev Primary (FSM Rejections)'!AX99+'Rev Secondary Sorting'!AX99+'VIA Bag Sorting'!AX99</f>
        <v/>
      </c>
      <c r="AY99" s="7">
        <f>'BBB'!AY99+'Bag Staging'!AY99+'Bag Staging Volumetric'!AY99+'FWD FSM'!AY99+'FWD Manual Pre Primary'!AY99+'FWD Manual Primary'!AY99+'FWD Primary with Scan'!AY99+'FWD Secondary'!AY99+'FWD Volumetric'!AY99+'IB'!AY99+'IB Volumetric'!AY99+'OB'!AY99+'OB Volumetric'!AY99+'OSC Bag Sorting'!AY99+'OSC Bag Sorting Volumetric'!AY99+'REV FSM'!AY99+'Rejection Primary with Scan'!AY99+'Rejection Secondary'!AY99+'Rev DC DC Primary Sorting'!AY99+'Rev Primary (FSM Rejections)'!AY99+'Rev Secondary Sorting'!AY99+'VIA Bag Sorting'!AY99</f>
        <v/>
      </c>
      <c r="AZ99" s="7">
        <f>'BBB'!AZ99+'Bag Staging'!AZ99+'Bag Staging Volumetric'!AZ99+'FWD FSM'!AZ99+'FWD Manual Pre Primary'!AZ99+'FWD Manual Primary'!AZ99+'FWD Primary with Scan'!AZ99+'FWD Secondary'!AZ99+'FWD Volumetric'!AZ99+'IB'!AZ99+'IB Volumetric'!AZ99+'OB'!AZ99+'OB Volumetric'!AZ99+'OSC Bag Sorting'!AZ99+'OSC Bag Sorting Volumetric'!AZ99+'REV FSM'!AZ99+'Rejection Primary with Scan'!AZ99+'Rejection Secondary'!AZ99+'Rev DC DC Primary Sorting'!AZ99+'Rev Primary (FSM Rejections)'!AZ99+'Rev Secondary Sorting'!AZ99+'VIA Bag Sorting'!AZ99</f>
        <v/>
      </c>
      <c r="BA99" s="7">
        <f>'BBB'!BA99+'Bag Staging'!BA99+'Bag Staging Volumetric'!BA99+'FWD FSM'!BA99+'FWD Manual Pre Primary'!BA99+'FWD Manual Primary'!BA99+'FWD Primary with Scan'!BA99+'FWD Secondary'!BA99+'FWD Volumetric'!BA99+'IB'!BA99+'IB Volumetric'!BA99+'OB'!BA99+'OB Volumetric'!BA99+'OSC Bag Sorting'!BA99+'OSC Bag Sorting Volumetric'!BA99+'REV FSM'!BA99+'Rejection Primary with Scan'!BA99+'Rejection Secondary'!BA99+'Rev DC DC Primary Sorting'!BA99+'Rev Primary (FSM Rejections)'!BA99+'Rev Secondary Sorting'!BA99+'VIA Bag Sorting'!BA99</f>
        <v/>
      </c>
      <c r="BB99" s="7">
        <f>SUM(AD99:BA99)</f>
        <v/>
      </c>
    </row>
    <row r="100">
      <c r="A100" t="inlineStr">
        <is>
          <t>AMD-RTS-RCLS-1302-SSC_1</t>
        </is>
      </c>
      <c r="B100" t="inlineStr">
        <is>
          <t>Rev OSC</t>
        </is>
      </c>
      <c r="C100" s="5" t="n">
        <v>46093</v>
      </c>
      <c r="D100" s="6" t="n">
        <v>0</v>
      </c>
      <c r="E100" s="6" t="n">
        <v>0</v>
      </c>
      <c r="F100" s="6" t="n">
        <v>0</v>
      </c>
      <c r="G100" s="6" t="n">
        <v>0</v>
      </c>
      <c r="H100" s="6" t="n">
        <v>0</v>
      </c>
      <c r="I100" s="6" t="n">
        <v>0</v>
      </c>
      <c r="J100" s="6" t="n">
        <v>0</v>
      </c>
      <c r="K100" s="6" t="n">
        <v>0</v>
      </c>
      <c r="L100" s="6" t="n">
        <v>0</v>
      </c>
      <c r="M100" s="6" t="n">
        <v>0</v>
      </c>
      <c r="N100" s="6" t="n">
        <v>0</v>
      </c>
      <c r="O100" s="6" t="n">
        <v>0</v>
      </c>
      <c r="P100" s="6" t="n">
        <v>0</v>
      </c>
      <c r="Q100" s="6" t="n">
        <v>0</v>
      </c>
      <c r="R100" s="6" t="n">
        <v>402</v>
      </c>
      <c r="S100" s="6" t="n">
        <v>182</v>
      </c>
      <c r="T100" s="6" t="n">
        <v>0</v>
      </c>
      <c r="U100" s="6" t="n">
        <v>0</v>
      </c>
      <c r="V100" s="6" t="n">
        <v>0</v>
      </c>
      <c r="W100" s="6" t="n">
        <v>0</v>
      </c>
      <c r="X100" s="6" t="n">
        <v>0</v>
      </c>
      <c r="Y100" s="6" t="n">
        <v>0</v>
      </c>
      <c r="Z100" s="6" t="n">
        <v>0</v>
      </c>
      <c r="AA100" s="6" t="n">
        <v>0</v>
      </c>
      <c r="AB100" s="6">
        <f>SUM(D100:AA100)</f>
        <v/>
      </c>
      <c r="AC100" s="3" t="inlineStr"/>
      <c r="AD100" s="7">
        <f>'BBB'!AD100+'Bag Staging'!AD100+'Bag Staging Volumetric'!AD100+'FWD FSM'!AD100+'FWD Manual Pre Primary'!AD100+'FWD Manual Primary'!AD100+'FWD Primary with Scan'!AD100+'FWD Secondary'!AD100+'FWD Volumetric'!AD100+'IB'!AD100+'IB Volumetric'!AD100+'OB'!AD100+'OB Volumetric'!AD100+'OSC Bag Sorting'!AD100+'OSC Bag Sorting Volumetric'!AD100+'REV FSM'!AD100+'Rejection Primary with Scan'!AD100+'Rejection Secondary'!AD100+'Rev DC DC Primary Sorting'!AD100+'Rev Primary (FSM Rejections)'!AD100+'Rev Secondary Sorting'!AD100+'VIA Bag Sorting'!AD100</f>
        <v/>
      </c>
      <c r="AE100" s="7">
        <f>'BBB'!AE100+'Bag Staging'!AE100+'Bag Staging Volumetric'!AE100+'FWD FSM'!AE100+'FWD Manual Pre Primary'!AE100+'FWD Manual Primary'!AE100+'FWD Primary with Scan'!AE100+'FWD Secondary'!AE100+'FWD Volumetric'!AE100+'IB'!AE100+'IB Volumetric'!AE100+'OB'!AE100+'OB Volumetric'!AE100+'OSC Bag Sorting'!AE100+'OSC Bag Sorting Volumetric'!AE100+'REV FSM'!AE100+'Rejection Primary with Scan'!AE100+'Rejection Secondary'!AE100+'Rev DC DC Primary Sorting'!AE100+'Rev Primary (FSM Rejections)'!AE100+'Rev Secondary Sorting'!AE100+'VIA Bag Sorting'!AE100</f>
        <v/>
      </c>
      <c r="AF100" s="7">
        <f>'BBB'!AF100+'Bag Staging'!AF100+'Bag Staging Volumetric'!AF100+'FWD FSM'!AF100+'FWD Manual Pre Primary'!AF100+'FWD Manual Primary'!AF100+'FWD Primary with Scan'!AF100+'FWD Secondary'!AF100+'FWD Volumetric'!AF100+'IB'!AF100+'IB Volumetric'!AF100+'OB'!AF100+'OB Volumetric'!AF100+'OSC Bag Sorting'!AF100+'OSC Bag Sorting Volumetric'!AF100+'REV FSM'!AF100+'Rejection Primary with Scan'!AF100+'Rejection Secondary'!AF100+'Rev DC DC Primary Sorting'!AF100+'Rev Primary (FSM Rejections)'!AF100+'Rev Secondary Sorting'!AF100+'VIA Bag Sorting'!AF100</f>
        <v/>
      </c>
      <c r="AG100" s="7">
        <f>'BBB'!AG100+'Bag Staging'!AG100+'Bag Staging Volumetric'!AG100+'FWD FSM'!AG100+'FWD Manual Pre Primary'!AG100+'FWD Manual Primary'!AG100+'FWD Primary with Scan'!AG100+'FWD Secondary'!AG100+'FWD Volumetric'!AG100+'IB'!AG100+'IB Volumetric'!AG100+'OB'!AG100+'OB Volumetric'!AG100+'OSC Bag Sorting'!AG100+'OSC Bag Sorting Volumetric'!AG100+'REV FSM'!AG100+'Rejection Primary with Scan'!AG100+'Rejection Secondary'!AG100+'Rev DC DC Primary Sorting'!AG100+'Rev Primary (FSM Rejections)'!AG100+'Rev Secondary Sorting'!AG100+'VIA Bag Sorting'!AG100</f>
        <v/>
      </c>
      <c r="AH100" s="7">
        <f>'BBB'!AH100+'Bag Staging'!AH100+'Bag Staging Volumetric'!AH100+'FWD FSM'!AH100+'FWD Manual Pre Primary'!AH100+'FWD Manual Primary'!AH100+'FWD Primary with Scan'!AH100+'FWD Secondary'!AH100+'FWD Volumetric'!AH100+'IB'!AH100+'IB Volumetric'!AH100+'OB'!AH100+'OB Volumetric'!AH100+'OSC Bag Sorting'!AH100+'OSC Bag Sorting Volumetric'!AH100+'REV FSM'!AH100+'Rejection Primary with Scan'!AH100+'Rejection Secondary'!AH100+'Rev DC DC Primary Sorting'!AH100+'Rev Primary (FSM Rejections)'!AH100+'Rev Secondary Sorting'!AH100+'VIA Bag Sorting'!AH100</f>
        <v/>
      </c>
      <c r="AI100" s="7">
        <f>'BBB'!AI100+'Bag Staging'!AI100+'Bag Staging Volumetric'!AI100+'FWD FSM'!AI100+'FWD Manual Pre Primary'!AI100+'FWD Manual Primary'!AI100+'FWD Primary with Scan'!AI100+'FWD Secondary'!AI100+'FWD Volumetric'!AI100+'IB'!AI100+'IB Volumetric'!AI100+'OB'!AI100+'OB Volumetric'!AI100+'OSC Bag Sorting'!AI100+'OSC Bag Sorting Volumetric'!AI100+'REV FSM'!AI100+'Rejection Primary with Scan'!AI100+'Rejection Secondary'!AI100+'Rev DC DC Primary Sorting'!AI100+'Rev Primary (FSM Rejections)'!AI100+'Rev Secondary Sorting'!AI100+'VIA Bag Sorting'!AI100</f>
        <v/>
      </c>
      <c r="AJ100" s="7">
        <f>'BBB'!AJ100+'Bag Staging'!AJ100+'Bag Staging Volumetric'!AJ100+'FWD FSM'!AJ100+'FWD Manual Pre Primary'!AJ100+'FWD Manual Primary'!AJ100+'FWD Primary with Scan'!AJ100+'FWD Secondary'!AJ100+'FWD Volumetric'!AJ100+'IB'!AJ100+'IB Volumetric'!AJ100+'OB'!AJ100+'OB Volumetric'!AJ100+'OSC Bag Sorting'!AJ100+'OSC Bag Sorting Volumetric'!AJ100+'REV FSM'!AJ100+'Rejection Primary with Scan'!AJ100+'Rejection Secondary'!AJ100+'Rev DC DC Primary Sorting'!AJ100+'Rev Primary (FSM Rejections)'!AJ100+'Rev Secondary Sorting'!AJ100+'VIA Bag Sorting'!AJ100</f>
        <v/>
      </c>
      <c r="AK100" s="7">
        <f>'BBB'!AK100+'Bag Staging'!AK100+'Bag Staging Volumetric'!AK100+'FWD FSM'!AK100+'FWD Manual Pre Primary'!AK100+'FWD Manual Primary'!AK100+'FWD Primary with Scan'!AK100+'FWD Secondary'!AK100+'FWD Volumetric'!AK100+'IB'!AK100+'IB Volumetric'!AK100+'OB'!AK100+'OB Volumetric'!AK100+'OSC Bag Sorting'!AK100+'OSC Bag Sorting Volumetric'!AK100+'REV FSM'!AK100+'Rejection Primary with Scan'!AK100+'Rejection Secondary'!AK100+'Rev DC DC Primary Sorting'!AK100+'Rev Primary (FSM Rejections)'!AK100+'Rev Secondary Sorting'!AK100+'VIA Bag Sorting'!AK100</f>
        <v/>
      </c>
      <c r="AL100" s="7">
        <f>'BBB'!AL100+'Bag Staging'!AL100+'Bag Staging Volumetric'!AL100+'FWD FSM'!AL100+'FWD Manual Pre Primary'!AL100+'FWD Manual Primary'!AL100+'FWD Primary with Scan'!AL100+'FWD Secondary'!AL100+'FWD Volumetric'!AL100+'IB'!AL100+'IB Volumetric'!AL100+'OB'!AL100+'OB Volumetric'!AL100+'OSC Bag Sorting'!AL100+'OSC Bag Sorting Volumetric'!AL100+'REV FSM'!AL100+'Rejection Primary with Scan'!AL100+'Rejection Secondary'!AL100+'Rev DC DC Primary Sorting'!AL100+'Rev Primary (FSM Rejections)'!AL100+'Rev Secondary Sorting'!AL100+'VIA Bag Sorting'!AL100</f>
        <v/>
      </c>
      <c r="AM100" s="7">
        <f>'BBB'!AM100+'Bag Staging'!AM100+'Bag Staging Volumetric'!AM100+'FWD FSM'!AM100+'FWD Manual Pre Primary'!AM100+'FWD Manual Primary'!AM100+'FWD Primary with Scan'!AM100+'FWD Secondary'!AM100+'FWD Volumetric'!AM100+'IB'!AM100+'IB Volumetric'!AM100+'OB'!AM100+'OB Volumetric'!AM100+'OSC Bag Sorting'!AM100+'OSC Bag Sorting Volumetric'!AM100+'REV FSM'!AM100+'Rejection Primary with Scan'!AM100+'Rejection Secondary'!AM100+'Rev DC DC Primary Sorting'!AM100+'Rev Primary (FSM Rejections)'!AM100+'Rev Secondary Sorting'!AM100+'VIA Bag Sorting'!AM100</f>
        <v/>
      </c>
      <c r="AN100" s="7">
        <f>'BBB'!AN100+'Bag Staging'!AN100+'Bag Staging Volumetric'!AN100+'FWD FSM'!AN100+'FWD Manual Pre Primary'!AN100+'FWD Manual Primary'!AN100+'FWD Primary with Scan'!AN100+'FWD Secondary'!AN100+'FWD Volumetric'!AN100+'IB'!AN100+'IB Volumetric'!AN100+'OB'!AN100+'OB Volumetric'!AN100+'OSC Bag Sorting'!AN100+'OSC Bag Sorting Volumetric'!AN100+'REV FSM'!AN100+'Rejection Primary with Scan'!AN100+'Rejection Secondary'!AN100+'Rev DC DC Primary Sorting'!AN100+'Rev Primary (FSM Rejections)'!AN100+'Rev Secondary Sorting'!AN100+'VIA Bag Sorting'!AN100</f>
        <v/>
      </c>
      <c r="AO100" s="7">
        <f>'BBB'!AO100+'Bag Staging'!AO100+'Bag Staging Volumetric'!AO100+'FWD FSM'!AO100+'FWD Manual Pre Primary'!AO100+'FWD Manual Primary'!AO100+'FWD Primary with Scan'!AO100+'FWD Secondary'!AO100+'FWD Volumetric'!AO100+'IB'!AO100+'IB Volumetric'!AO100+'OB'!AO100+'OB Volumetric'!AO100+'OSC Bag Sorting'!AO100+'OSC Bag Sorting Volumetric'!AO100+'REV FSM'!AO100+'Rejection Primary with Scan'!AO100+'Rejection Secondary'!AO100+'Rev DC DC Primary Sorting'!AO100+'Rev Primary (FSM Rejections)'!AO100+'Rev Secondary Sorting'!AO100+'VIA Bag Sorting'!AO100</f>
        <v/>
      </c>
      <c r="AP100" s="7">
        <f>'BBB'!AP100+'Bag Staging'!AP100+'Bag Staging Volumetric'!AP100+'FWD FSM'!AP100+'FWD Manual Pre Primary'!AP100+'FWD Manual Primary'!AP100+'FWD Primary with Scan'!AP100+'FWD Secondary'!AP100+'FWD Volumetric'!AP100+'IB'!AP100+'IB Volumetric'!AP100+'OB'!AP100+'OB Volumetric'!AP100+'OSC Bag Sorting'!AP100+'OSC Bag Sorting Volumetric'!AP100+'REV FSM'!AP100+'Rejection Primary with Scan'!AP100+'Rejection Secondary'!AP100+'Rev DC DC Primary Sorting'!AP100+'Rev Primary (FSM Rejections)'!AP100+'Rev Secondary Sorting'!AP100+'VIA Bag Sorting'!AP100</f>
        <v/>
      </c>
      <c r="AQ100" s="7">
        <f>'BBB'!AQ100+'Bag Staging'!AQ100+'Bag Staging Volumetric'!AQ100+'FWD FSM'!AQ100+'FWD Manual Pre Primary'!AQ100+'FWD Manual Primary'!AQ100+'FWD Primary with Scan'!AQ100+'FWD Secondary'!AQ100+'FWD Volumetric'!AQ100+'IB'!AQ100+'IB Volumetric'!AQ100+'OB'!AQ100+'OB Volumetric'!AQ100+'OSC Bag Sorting'!AQ100+'OSC Bag Sorting Volumetric'!AQ100+'REV FSM'!AQ100+'Rejection Primary with Scan'!AQ100+'Rejection Secondary'!AQ100+'Rev DC DC Primary Sorting'!AQ100+'Rev Primary (FSM Rejections)'!AQ100+'Rev Secondary Sorting'!AQ100+'VIA Bag Sorting'!AQ100</f>
        <v/>
      </c>
      <c r="AR100" s="7">
        <f>'BBB'!AR100+'Bag Staging'!AR100+'Bag Staging Volumetric'!AR100+'FWD FSM'!AR100+'FWD Manual Pre Primary'!AR100+'FWD Manual Primary'!AR100+'FWD Primary with Scan'!AR100+'FWD Secondary'!AR100+'FWD Volumetric'!AR100+'IB'!AR100+'IB Volumetric'!AR100+'OB'!AR100+'OB Volumetric'!AR100+'OSC Bag Sorting'!AR100+'OSC Bag Sorting Volumetric'!AR100+'REV FSM'!AR100+'Rejection Primary with Scan'!AR100+'Rejection Secondary'!AR100+'Rev DC DC Primary Sorting'!AR100+'Rev Primary (FSM Rejections)'!AR100+'Rev Secondary Sorting'!AR100+'VIA Bag Sorting'!AR100</f>
        <v/>
      </c>
      <c r="AS100" s="7">
        <f>'BBB'!AS100+'Bag Staging'!AS100+'Bag Staging Volumetric'!AS100+'FWD FSM'!AS100+'FWD Manual Pre Primary'!AS100+'FWD Manual Primary'!AS100+'FWD Primary with Scan'!AS100+'FWD Secondary'!AS100+'FWD Volumetric'!AS100+'IB'!AS100+'IB Volumetric'!AS100+'OB'!AS100+'OB Volumetric'!AS100+'OSC Bag Sorting'!AS100+'OSC Bag Sorting Volumetric'!AS100+'REV FSM'!AS100+'Rejection Primary with Scan'!AS100+'Rejection Secondary'!AS100+'Rev DC DC Primary Sorting'!AS100+'Rev Primary (FSM Rejections)'!AS100+'Rev Secondary Sorting'!AS100+'VIA Bag Sorting'!AS100</f>
        <v/>
      </c>
      <c r="AT100" s="7">
        <f>'BBB'!AT100+'Bag Staging'!AT100+'Bag Staging Volumetric'!AT100+'FWD FSM'!AT100+'FWD Manual Pre Primary'!AT100+'FWD Manual Primary'!AT100+'FWD Primary with Scan'!AT100+'FWD Secondary'!AT100+'FWD Volumetric'!AT100+'IB'!AT100+'IB Volumetric'!AT100+'OB'!AT100+'OB Volumetric'!AT100+'OSC Bag Sorting'!AT100+'OSC Bag Sorting Volumetric'!AT100+'REV FSM'!AT100+'Rejection Primary with Scan'!AT100+'Rejection Secondary'!AT100+'Rev DC DC Primary Sorting'!AT100+'Rev Primary (FSM Rejections)'!AT100+'Rev Secondary Sorting'!AT100+'VIA Bag Sorting'!AT100</f>
        <v/>
      </c>
      <c r="AU100" s="7">
        <f>'BBB'!AU100+'Bag Staging'!AU100+'Bag Staging Volumetric'!AU100+'FWD FSM'!AU100+'FWD Manual Pre Primary'!AU100+'FWD Manual Primary'!AU100+'FWD Primary with Scan'!AU100+'FWD Secondary'!AU100+'FWD Volumetric'!AU100+'IB'!AU100+'IB Volumetric'!AU100+'OB'!AU100+'OB Volumetric'!AU100+'OSC Bag Sorting'!AU100+'OSC Bag Sorting Volumetric'!AU100+'REV FSM'!AU100+'Rejection Primary with Scan'!AU100+'Rejection Secondary'!AU100+'Rev DC DC Primary Sorting'!AU100+'Rev Primary (FSM Rejections)'!AU100+'Rev Secondary Sorting'!AU100+'VIA Bag Sorting'!AU100</f>
        <v/>
      </c>
      <c r="AV100" s="7">
        <f>'BBB'!AV100+'Bag Staging'!AV100+'Bag Staging Volumetric'!AV100+'FWD FSM'!AV100+'FWD Manual Pre Primary'!AV100+'FWD Manual Primary'!AV100+'FWD Primary with Scan'!AV100+'FWD Secondary'!AV100+'FWD Volumetric'!AV100+'IB'!AV100+'IB Volumetric'!AV100+'OB'!AV100+'OB Volumetric'!AV100+'OSC Bag Sorting'!AV100+'OSC Bag Sorting Volumetric'!AV100+'REV FSM'!AV100+'Rejection Primary with Scan'!AV100+'Rejection Secondary'!AV100+'Rev DC DC Primary Sorting'!AV100+'Rev Primary (FSM Rejections)'!AV100+'Rev Secondary Sorting'!AV100+'VIA Bag Sorting'!AV100</f>
        <v/>
      </c>
      <c r="AW100" s="7">
        <f>'BBB'!AW100+'Bag Staging'!AW100+'Bag Staging Volumetric'!AW100+'FWD FSM'!AW100+'FWD Manual Pre Primary'!AW100+'FWD Manual Primary'!AW100+'FWD Primary with Scan'!AW100+'FWD Secondary'!AW100+'FWD Volumetric'!AW100+'IB'!AW100+'IB Volumetric'!AW100+'OB'!AW100+'OB Volumetric'!AW100+'OSC Bag Sorting'!AW100+'OSC Bag Sorting Volumetric'!AW100+'REV FSM'!AW100+'Rejection Primary with Scan'!AW100+'Rejection Secondary'!AW100+'Rev DC DC Primary Sorting'!AW100+'Rev Primary (FSM Rejections)'!AW100+'Rev Secondary Sorting'!AW100+'VIA Bag Sorting'!AW100</f>
        <v/>
      </c>
      <c r="AX100" s="7">
        <f>'BBB'!AX100+'Bag Staging'!AX100+'Bag Staging Volumetric'!AX100+'FWD FSM'!AX100+'FWD Manual Pre Primary'!AX100+'FWD Manual Primary'!AX100+'FWD Primary with Scan'!AX100+'FWD Secondary'!AX100+'FWD Volumetric'!AX100+'IB'!AX100+'IB Volumetric'!AX100+'OB'!AX100+'OB Volumetric'!AX100+'OSC Bag Sorting'!AX100+'OSC Bag Sorting Volumetric'!AX100+'REV FSM'!AX100+'Rejection Primary with Scan'!AX100+'Rejection Secondary'!AX100+'Rev DC DC Primary Sorting'!AX100+'Rev Primary (FSM Rejections)'!AX100+'Rev Secondary Sorting'!AX100+'VIA Bag Sorting'!AX100</f>
        <v/>
      </c>
      <c r="AY100" s="7">
        <f>'BBB'!AY100+'Bag Staging'!AY100+'Bag Staging Volumetric'!AY100+'FWD FSM'!AY100+'FWD Manual Pre Primary'!AY100+'FWD Manual Primary'!AY100+'FWD Primary with Scan'!AY100+'FWD Secondary'!AY100+'FWD Volumetric'!AY100+'IB'!AY100+'IB Volumetric'!AY100+'OB'!AY100+'OB Volumetric'!AY100+'OSC Bag Sorting'!AY100+'OSC Bag Sorting Volumetric'!AY100+'REV FSM'!AY100+'Rejection Primary with Scan'!AY100+'Rejection Secondary'!AY100+'Rev DC DC Primary Sorting'!AY100+'Rev Primary (FSM Rejections)'!AY100+'Rev Secondary Sorting'!AY100+'VIA Bag Sorting'!AY100</f>
        <v/>
      </c>
      <c r="AZ100" s="7">
        <f>'BBB'!AZ100+'Bag Staging'!AZ100+'Bag Staging Volumetric'!AZ100+'FWD FSM'!AZ100+'FWD Manual Pre Primary'!AZ100+'FWD Manual Primary'!AZ100+'FWD Primary with Scan'!AZ100+'FWD Secondary'!AZ100+'FWD Volumetric'!AZ100+'IB'!AZ100+'IB Volumetric'!AZ100+'OB'!AZ100+'OB Volumetric'!AZ100+'OSC Bag Sorting'!AZ100+'OSC Bag Sorting Volumetric'!AZ100+'REV FSM'!AZ100+'Rejection Primary with Scan'!AZ100+'Rejection Secondary'!AZ100+'Rev DC DC Primary Sorting'!AZ100+'Rev Primary (FSM Rejections)'!AZ100+'Rev Secondary Sorting'!AZ100+'VIA Bag Sorting'!AZ100</f>
        <v/>
      </c>
      <c r="BA100" s="7">
        <f>'BBB'!BA100+'Bag Staging'!BA100+'Bag Staging Volumetric'!BA100+'FWD FSM'!BA100+'FWD Manual Pre Primary'!BA100+'FWD Manual Primary'!BA100+'FWD Primary with Scan'!BA100+'FWD Secondary'!BA100+'FWD Volumetric'!BA100+'IB'!BA100+'IB Volumetric'!BA100+'OB'!BA100+'OB Volumetric'!BA100+'OSC Bag Sorting'!BA100+'OSC Bag Sorting Volumetric'!BA100+'REV FSM'!BA100+'Rejection Primary with Scan'!BA100+'Rejection Secondary'!BA100+'Rev DC DC Primary Sorting'!BA100+'Rev Primary (FSM Rejections)'!BA100+'Rev Secondary Sorting'!BA100+'VIA Bag Sorting'!BA100</f>
        <v/>
      </c>
      <c r="BB100" s="7">
        <f>SUM(AD100:BA100)</f>
        <v/>
      </c>
    </row>
    <row r="101">
      <c r="A101" t="inlineStr">
        <is>
          <t>AMD-RTS-RCLS-1302-SSC_1</t>
        </is>
      </c>
      <c r="B101" t="inlineStr">
        <is>
          <t>Rev OSC</t>
        </is>
      </c>
      <c r="C101" s="5" t="n">
        <v>46094</v>
      </c>
      <c r="D101" s="6" t="n">
        <v>0</v>
      </c>
      <c r="E101" s="6" t="n">
        <v>0</v>
      </c>
      <c r="F101" s="6" t="n">
        <v>0</v>
      </c>
      <c r="G101" s="6" t="n">
        <v>0</v>
      </c>
      <c r="H101" s="6" t="n">
        <v>0</v>
      </c>
      <c r="I101" s="6" t="n">
        <v>0</v>
      </c>
      <c r="J101" s="6" t="n">
        <v>0</v>
      </c>
      <c r="K101" s="6" t="n">
        <v>0</v>
      </c>
      <c r="L101" s="6" t="n">
        <v>0</v>
      </c>
      <c r="M101" s="6" t="n">
        <v>0</v>
      </c>
      <c r="N101" s="6" t="n">
        <v>0</v>
      </c>
      <c r="O101" s="6" t="n">
        <v>0</v>
      </c>
      <c r="P101" s="6" t="n">
        <v>0</v>
      </c>
      <c r="Q101" s="6" t="n">
        <v>0</v>
      </c>
      <c r="R101" s="6" t="n">
        <v>201</v>
      </c>
      <c r="S101" s="6" t="n">
        <v>84</v>
      </c>
      <c r="T101" s="6" t="n">
        <v>0</v>
      </c>
      <c r="U101" s="6" t="n">
        <v>0</v>
      </c>
      <c r="V101" s="6" t="n">
        <v>0</v>
      </c>
      <c r="W101" s="6" t="n">
        <v>0</v>
      </c>
      <c r="X101" s="6" t="n">
        <v>0</v>
      </c>
      <c r="Y101" s="6" t="n">
        <v>0</v>
      </c>
      <c r="Z101" s="6" t="n">
        <v>0</v>
      </c>
      <c r="AA101" s="6" t="n">
        <v>0</v>
      </c>
      <c r="AB101" s="6">
        <f>SUM(D101:AA101)</f>
        <v/>
      </c>
      <c r="AC101" s="3" t="inlineStr"/>
      <c r="AD101" s="7">
        <f>'BBB'!AD101+'Bag Staging'!AD101+'Bag Staging Volumetric'!AD101+'FWD FSM'!AD101+'FWD Manual Pre Primary'!AD101+'FWD Manual Primary'!AD101+'FWD Primary with Scan'!AD101+'FWD Secondary'!AD101+'FWD Volumetric'!AD101+'IB'!AD101+'IB Volumetric'!AD101+'OB'!AD101+'OB Volumetric'!AD101+'OSC Bag Sorting'!AD101+'OSC Bag Sorting Volumetric'!AD101+'REV FSM'!AD101+'Rejection Primary with Scan'!AD101+'Rejection Secondary'!AD101+'Rev DC DC Primary Sorting'!AD101+'Rev Primary (FSM Rejections)'!AD101+'Rev Secondary Sorting'!AD101+'VIA Bag Sorting'!AD101</f>
        <v/>
      </c>
      <c r="AE101" s="7">
        <f>'BBB'!AE101+'Bag Staging'!AE101+'Bag Staging Volumetric'!AE101+'FWD FSM'!AE101+'FWD Manual Pre Primary'!AE101+'FWD Manual Primary'!AE101+'FWD Primary with Scan'!AE101+'FWD Secondary'!AE101+'FWD Volumetric'!AE101+'IB'!AE101+'IB Volumetric'!AE101+'OB'!AE101+'OB Volumetric'!AE101+'OSC Bag Sorting'!AE101+'OSC Bag Sorting Volumetric'!AE101+'REV FSM'!AE101+'Rejection Primary with Scan'!AE101+'Rejection Secondary'!AE101+'Rev DC DC Primary Sorting'!AE101+'Rev Primary (FSM Rejections)'!AE101+'Rev Secondary Sorting'!AE101+'VIA Bag Sorting'!AE101</f>
        <v/>
      </c>
      <c r="AF101" s="7">
        <f>'BBB'!AF101+'Bag Staging'!AF101+'Bag Staging Volumetric'!AF101+'FWD FSM'!AF101+'FWD Manual Pre Primary'!AF101+'FWD Manual Primary'!AF101+'FWD Primary with Scan'!AF101+'FWD Secondary'!AF101+'FWD Volumetric'!AF101+'IB'!AF101+'IB Volumetric'!AF101+'OB'!AF101+'OB Volumetric'!AF101+'OSC Bag Sorting'!AF101+'OSC Bag Sorting Volumetric'!AF101+'REV FSM'!AF101+'Rejection Primary with Scan'!AF101+'Rejection Secondary'!AF101+'Rev DC DC Primary Sorting'!AF101+'Rev Primary (FSM Rejections)'!AF101+'Rev Secondary Sorting'!AF101+'VIA Bag Sorting'!AF101</f>
        <v/>
      </c>
      <c r="AG101" s="7">
        <f>'BBB'!AG101+'Bag Staging'!AG101+'Bag Staging Volumetric'!AG101+'FWD FSM'!AG101+'FWD Manual Pre Primary'!AG101+'FWD Manual Primary'!AG101+'FWD Primary with Scan'!AG101+'FWD Secondary'!AG101+'FWD Volumetric'!AG101+'IB'!AG101+'IB Volumetric'!AG101+'OB'!AG101+'OB Volumetric'!AG101+'OSC Bag Sorting'!AG101+'OSC Bag Sorting Volumetric'!AG101+'REV FSM'!AG101+'Rejection Primary with Scan'!AG101+'Rejection Secondary'!AG101+'Rev DC DC Primary Sorting'!AG101+'Rev Primary (FSM Rejections)'!AG101+'Rev Secondary Sorting'!AG101+'VIA Bag Sorting'!AG101</f>
        <v/>
      </c>
      <c r="AH101" s="7">
        <f>'BBB'!AH101+'Bag Staging'!AH101+'Bag Staging Volumetric'!AH101+'FWD FSM'!AH101+'FWD Manual Pre Primary'!AH101+'FWD Manual Primary'!AH101+'FWD Primary with Scan'!AH101+'FWD Secondary'!AH101+'FWD Volumetric'!AH101+'IB'!AH101+'IB Volumetric'!AH101+'OB'!AH101+'OB Volumetric'!AH101+'OSC Bag Sorting'!AH101+'OSC Bag Sorting Volumetric'!AH101+'REV FSM'!AH101+'Rejection Primary with Scan'!AH101+'Rejection Secondary'!AH101+'Rev DC DC Primary Sorting'!AH101+'Rev Primary (FSM Rejections)'!AH101+'Rev Secondary Sorting'!AH101+'VIA Bag Sorting'!AH101</f>
        <v/>
      </c>
      <c r="AI101" s="7">
        <f>'BBB'!AI101+'Bag Staging'!AI101+'Bag Staging Volumetric'!AI101+'FWD FSM'!AI101+'FWD Manual Pre Primary'!AI101+'FWD Manual Primary'!AI101+'FWD Primary with Scan'!AI101+'FWD Secondary'!AI101+'FWD Volumetric'!AI101+'IB'!AI101+'IB Volumetric'!AI101+'OB'!AI101+'OB Volumetric'!AI101+'OSC Bag Sorting'!AI101+'OSC Bag Sorting Volumetric'!AI101+'REV FSM'!AI101+'Rejection Primary with Scan'!AI101+'Rejection Secondary'!AI101+'Rev DC DC Primary Sorting'!AI101+'Rev Primary (FSM Rejections)'!AI101+'Rev Secondary Sorting'!AI101+'VIA Bag Sorting'!AI101</f>
        <v/>
      </c>
      <c r="AJ101" s="7">
        <f>'BBB'!AJ101+'Bag Staging'!AJ101+'Bag Staging Volumetric'!AJ101+'FWD FSM'!AJ101+'FWD Manual Pre Primary'!AJ101+'FWD Manual Primary'!AJ101+'FWD Primary with Scan'!AJ101+'FWD Secondary'!AJ101+'FWD Volumetric'!AJ101+'IB'!AJ101+'IB Volumetric'!AJ101+'OB'!AJ101+'OB Volumetric'!AJ101+'OSC Bag Sorting'!AJ101+'OSC Bag Sorting Volumetric'!AJ101+'REV FSM'!AJ101+'Rejection Primary with Scan'!AJ101+'Rejection Secondary'!AJ101+'Rev DC DC Primary Sorting'!AJ101+'Rev Primary (FSM Rejections)'!AJ101+'Rev Secondary Sorting'!AJ101+'VIA Bag Sorting'!AJ101</f>
        <v/>
      </c>
      <c r="AK101" s="7">
        <f>'BBB'!AK101+'Bag Staging'!AK101+'Bag Staging Volumetric'!AK101+'FWD FSM'!AK101+'FWD Manual Pre Primary'!AK101+'FWD Manual Primary'!AK101+'FWD Primary with Scan'!AK101+'FWD Secondary'!AK101+'FWD Volumetric'!AK101+'IB'!AK101+'IB Volumetric'!AK101+'OB'!AK101+'OB Volumetric'!AK101+'OSC Bag Sorting'!AK101+'OSC Bag Sorting Volumetric'!AK101+'REV FSM'!AK101+'Rejection Primary with Scan'!AK101+'Rejection Secondary'!AK101+'Rev DC DC Primary Sorting'!AK101+'Rev Primary (FSM Rejections)'!AK101+'Rev Secondary Sorting'!AK101+'VIA Bag Sorting'!AK101</f>
        <v/>
      </c>
      <c r="AL101" s="7">
        <f>'BBB'!AL101+'Bag Staging'!AL101+'Bag Staging Volumetric'!AL101+'FWD FSM'!AL101+'FWD Manual Pre Primary'!AL101+'FWD Manual Primary'!AL101+'FWD Primary with Scan'!AL101+'FWD Secondary'!AL101+'FWD Volumetric'!AL101+'IB'!AL101+'IB Volumetric'!AL101+'OB'!AL101+'OB Volumetric'!AL101+'OSC Bag Sorting'!AL101+'OSC Bag Sorting Volumetric'!AL101+'REV FSM'!AL101+'Rejection Primary with Scan'!AL101+'Rejection Secondary'!AL101+'Rev DC DC Primary Sorting'!AL101+'Rev Primary (FSM Rejections)'!AL101+'Rev Secondary Sorting'!AL101+'VIA Bag Sorting'!AL101</f>
        <v/>
      </c>
      <c r="AM101" s="7">
        <f>'BBB'!AM101+'Bag Staging'!AM101+'Bag Staging Volumetric'!AM101+'FWD FSM'!AM101+'FWD Manual Pre Primary'!AM101+'FWD Manual Primary'!AM101+'FWD Primary with Scan'!AM101+'FWD Secondary'!AM101+'FWD Volumetric'!AM101+'IB'!AM101+'IB Volumetric'!AM101+'OB'!AM101+'OB Volumetric'!AM101+'OSC Bag Sorting'!AM101+'OSC Bag Sorting Volumetric'!AM101+'REV FSM'!AM101+'Rejection Primary with Scan'!AM101+'Rejection Secondary'!AM101+'Rev DC DC Primary Sorting'!AM101+'Rev Primary (FSM Rejections)'!AM101+'Rev Secondary Sorting'!AM101+'VIA Bag Sorting'!AM101</f>
        <v/>
      </c>
      <c r="AN101" s="7">
        <f>'BBB'!AN101+'Bag Staging'!AN101+'Bag Staging Volumetric'!AN101+'FWD FSM'!AN101+'FWD Manual Pre Primary'!AN101+'FWD Manual Primary'!AN101+'FWD Primary with Scan'!AN101+'FWD Secondary'!AN101+'FWD Volumetric'!AN101+'IB'!AN101+'IB Volumetric'!AN101+'OB'!AN101+'OB Volumetric'!AN101+'OSC Bag Sorting'!AN101+'OSC Bag Sorting Volumetric'!AN101+'REV FSM'!AN101+'Rejection Primary with Scan'!AN101+'Rejection Secondary'!AN101+'Rev DC DC Primary Sorting'!AN101+'Rev Primary (FSM Rejections)'!AN101+'Rev Secondary Sorting'!AN101+'VIA Bag Sorting'!AN101</f>
        <v/>
      </c>
      <c r="AO101" s="7">
        <f>'BBB'!AO101+'Bag Staging'!AO101+'Bag Staging Volumetric'!AO101+'FWD FSM'!AO101+'FWD Manual Pre Primary'!AO101+'FWD Manual Primary'!AO101+'FWD Primary with Scan'!AO101+'FWD Secondary'!AO101+'FWD Volumetric'!AO101+'IB'!AO101+'IB Volumetric'!AO101+'OB'!AO101+'OB Volumetric'!AO101+'OSC Bag Sorting'!AO101+'OSC Bag Sorting Volumetric'!AO101+'REV FSM'!AO101+'Rejection Primary with Scan'!AO101+'Rejection Secondary'!AO101+'Rev DC DC Primary Sorting'!AO101+'Rev Primary (FSM Rejections)'!AO101+'Rev Secondary Sorting'!AO101+'VIA Bag Sorting'!AO101</f>
        <v/>
      </c>
      <c r="AP101" s="7">
        <f>'BBB'!AP101+'Bag Staging'!AP101+'Bag Staging Volumetric'!AP101+'FWD FSM'!AP101+'FWD Manual Pre Primary'!AP101+'FWD Manual Primary'!AP101+'FWD Primary with Scan'!AP101+'FWD Secondary'!AP101+'FWD Volumetric'!AP101+'IB'!AP101+'IB Volumetric'!AP101+'OB'!AP101+'OB Volumetric'!AP101+'OSC Bag Sorting'!AP101+'OSC Bag Sorting Volumetric'!AP101+'REV FSM'!AP101+'Rejection Primary with Scan'!AP101+'Rejection Secondary'!AP101+'Rev DC DC Primary Sorting'!AP101+'Rev Primary (FSM Rejections)'!AP101+'Rev Secondary Sorting'!AP101+'VIA Bag Sorting'!AP101</f>
        <v/>
      </c>
      <c r="AQ101" s="7">
        <f>'BBB'!AQ101+'Bag Staging'!AQ101+'Bag Staging Volumetric'!AQ101+'FWD FSM'!AQ101+'FWD Manual Pre Primary'!AQ101+'FWD Manual Primary'!AQ101+'FWD Primary with Scan'!AQ101+'FWD Secondary'!AQ101+'FWD Volumetric'!AQ101+'IB'!AQ101+'IB Volumetric'!AQ101+'OB'!AQ101+'OB Volumetric'!AQ101+'OSC Bag Sorting'!AQ101+'OSC Bag Sorting Volumetric'!AQ101+'REV FSM'!AQ101+'Rejection Primary with Scan'!AQ101+'Rejection Secondary'!AQ101+'Rev DC DC Primary Sorting'!AQ101+'Rev Primary (FSM Rejections)'!AQ101+'Rev Secondary Sorting'!AQ101+'VIA Bag Sorting'!AQ101</f>
        <v/>
      </c>
      <c r="AR101" s="7">
        <f>'BBB'!AR101+'Bag Staging'!AR101+'Bag Staging Volumetric'!AR101+'FWD FSM'!AR101+'FWD Manual Pre Primary'!AR101+'FWD Manual Primary'!AR101+'FWD Primary with Scan'!AR101+'FWD Secondary'!AR101+'FWD Volumetric'!AR101+'IB'!AR101+'IB Volumetric'!AR101+'OB'!AR101+'OB Volumetric'!AR101+'OSC Bag Sorting'!AR101+'OSC Bag Sorting Volumetric'!AR101+'REV FSM'!AR101+'Rejection Primary with Scan'!AR101+'Rejection Secondary'!AR101+'Rev DC DC Primary Sorting'!AR101+'Rev Primary (FSM Rejections)'!AR101+'Rev Secondary Sorting'!AR101+'VIA Bag Sorting'!AR101</f>
        <v/>
      </c>
      <c r="AS101" s="7">
        <f>'BBB'!AS101+'Bag Staging'!AS101+'Bag Staging Volumetric'!AS101+'FWD FSM'!AS101+'FWD Manual Pre Primary'!AS101+'FWD Manual Primary'!AS101+'FWD Primary with Scan'!AS101+'FWD Secondary'!AS101+'FWD Volumetric'!AS101+'IB'!AS101+'IB Volumetric'!AS101+'OB'!AS101+'OB Volumetric'!AS101+'OSC Bag Sorting'!AS101+'OSC Bag Sorting Volumetric'!AS101+'REV FSM'!AS101+'Rejection Primary with Scan'!AS101+'Rejection Secondary'!AS101+'Rev DC DC Primary Sorting'!AS101+'Rev Primary (FSM Rejections)'!AS101+'Rev Secondary Sorting'!AS101+'VIA Bag Sorting'!AS101</f>
        <v/>
      </c>
      <c r="AT101" s="7">
        <f>'BBB'!AT101+'Bag Staging'!AT101+'Bag Staging Volumetric'!AT101+'FWD FSM'!AT101+'FWD Manual Pre Primary'!AT101+'FWD Manual Primary'!AT101+'FWD Primary with Scan'!AT101+'FWD Secondary'!AT101+'FWD Volumetric'!AT101+'IB'!AT101+'IB Volumetric'!AT101+'OB'!AT101+'OB Volumetric'!AT101+'OSC Bag Sorting'!AT101+'OSC Bag Sorting Volumetric'!AT101+'REV FSM'!AT101+'Rejection Primary with Scan'!AT101+'Rejection Secondary'!AT101+'Rev DC DC Primary Sorting'!AT101+'Rev Primary (FSM Rejections)'!AT101+'Rev Secondary Sorting'!AT101+'VIA Bag Sorting'!AT101</f>
        <v/>
      </c>
      <c r="AU101" s="7">
        <f>'BBB'!AU101+'Bag Staging'!AU101+'Bag Staging Volumetric'!AU101+'FWD FSM'!AU101+'FWD Manual Pre Primary'!AU101+'FWD Manual Primary'!AU101+'FWD Primary with Scan'!AU101+'FWD Secondary'!AU101+'FWD Volumetric'!AU101+'IB'!AU101+'IB Volumetric'!AU101+'OB'!AU101+'OB Volumetric'!AU101+'OSC Bag Sorting'!AU101+'OSC Bag Sorting Volumetric'!AU101+'REV FSM'!AU101+'Rejection Primary with Scan'!AU101+'Rejection Secondary'!AU101+'Rev DC DC Primary Sorting'!AU101+'Rev Primary (FSM Rejections)'!AU101+'Rev Secondary Sorting'!AU101+'VIA Bag Sorting'!AU101</f>
        <v/>
      </c>
      <c r="AV101" s="7">
        <f>'BBB'!AV101+'Bag Staging'!AV101+'Bag Staging Volumetric'!AV101+'FWD FSM'!AV101+'FWD Manual Pre Primary'!AV101+'FWD Manual Primary'!AV101+'FWD Primary with Scan'!AV101+'FWD Secondary'!AV101+'FWD Volumetric'!AV101+'IB'!AV101+'IB Volumetric'!AV101+'OB'!AV101+'OB Volumetric'!AV101+'OSC Bag Sorting'!AV101+'OSC Bag Sorting Volumetric'!AV101+'REV FSM'!AV101+'Rejection Primary with Scan'!AV101+'Rejection Secondary'!AV101+'Rev DC DC Primary Sorting'!AV101+'Rev Primary (FSM Rejections)'!AV101+'Rev Secondary Sorting'!AV101+'VIA Bag Sorting'!AV101</f>
        <v/>
      </c>
      <c r="AW101" s="7">
        <f>'BBB'!AW101+'Bag Staging'!AW101+'Bag Staging Volumetric'!AW101+'FWD FSM'!AW101+'FWD Manual Pre Primary'!AW101+'FWD Manual Primary'!AW101+'FWD Primary with Scan'!AW101+'FWD Secondary'!AW101+'FWD Volumetric'!AW101+'IB'!AW101+'IB Volumetric'!AW101+'OB'!AW101+'OB Volumetric'!AW101+'OSC Bag Sorting'!AW101+'OSC Bag Sorting Volumetric'!AW101+'REV FSM'!AW101+'Rejection Primary with Scan'!AW101+'Rejection Secondary'!AW101+'Rev DC DC Primary Sorting'!AW101+'Rev Primary (FSM Rejections)'!AW101+'Rev Secondary Sorting'!AW101+'VIA Bag Sorting'!AW101</f>
        <v/>
      </c>
      <c r="AX101" s="7">
        <f>'BBB'!AX101+'Bag Staging'!AX101+'Bag Staging Volumetric'!AX101+'FWD FSM'!AX101+'FWD Manual Pre Primary'!AX101+'FWD Manual Primary'!AX101+'FWD Primary with Scan'!AX101+'FWD Secondary'!AX101+'FWD Volumetric'!AX101+'IB'!AX101+'IB Volumetric'!AX101+'OB'!AX101+'OB Volumetric'!AX101+'OSC Bag Sorting'!AX101+'OSC Bag Sorting Volumetric'!AX101+'REV FSM'!AX101+'Rejection Primary with Scan'!AX101+'Rejection Secondary'!AX101+'Rev DC DC Primary Sorting'!AX101+'Rev Primary (FSM Rejections)'!AX101+'Rev Secondary Sorting'!AX101+'VIA Bag Sorting'!AX101</f>
        <v/>
      </c>
      <c r="AY101" s="7">
        <f>'BBB'!AY101+'Bag Staging'!AY101+'Bag Staging Volumetric'!AY101+'FWD FSM'!AY101+'FWD Manual Pre Primary'!AY101+'FWD Manual Primary'!AY101+'FWD Primary with Scan'!AY101+'FWD Secondary'!AY101+'FWD Volumetric'!AY101+'IB'!AY101+'IB Volumetric'!AY101+'OB'!AY101+'OB Volumetric'!AY101+'OSC Bag Sorting'!AY101+'OSC Bag Sorting Volumetric'!AY101+'REV FSM'!AY101+'Rejection Primary with Scan'!AY101+'Rejection Secondary'!AY101+'Rev DC DC Primary Sorting'!AY101+'Rev Primary (FSM Rejections)'!AY101+'Rev Secondary Sorting'!AY101+'VIA Bag Sorting'!AY101</f>
        <v/>
      </c>
      <c r="AZ101" s="7">
        <f>'BBB'!AZ101+'Bag Staging'!AZ101+'Bag Staging Volumetric'!AZ101+'FWD FSM'!AZ101+'FWD Manual Pre Primary'!AZ101+'FWD Manual Primary'!AZ101+'FWD Primary with Scan'!AZ101+'FWD Secondary'!AZ101+'FWD Volumetric'!AZ101+'IB'!AZ101+'IB Volumetric'!AZ101+'OB'!AZ101+'OB Volumetric'!AZ101+'OSC Bag Sorting'!AZ101+'OSC Bag Sorting Volumetric'!AZ101+'REV FSM'!AZ101+'Rejection Primary with Scan'!AZ101+'Rejection Secondary'!AZ101+'Rev DC DC Primary Sorting'!AZ101+'Rev Primary (FSM Rejections)'!AZ101+'Rev Secondary Sorting'!AZ101+'VIA Bag Sorting'!AZ101</f>
        <v/>
      </c>
      <c r="BA101" s="7">
        <f>'BBB'!BA101+'Bag Staging'!BA101+'Bag Staging Volumetric'!BA101+'FWD FSM'!BA101+'FWD Manual Pre Primary'!BA101+'FWD Manual Primary'!BA101+'FWD Primary with Scan'!BA101+'FWD Secondary'!BA101+'FWD Volumetric'!BA101+'IB'!BA101+'IB Volumetric'!BA101+'OB'!BA101+'OB Volumetric'!BA101+'OSC Bag Sorting'!BA101+'OSC Bag Sorting Volumetric'!BA101+'REV FSM'!BA101+'Rejection Primary with Scan'!BA101+'Rejection Secondary'!BA101+'Rev DC DC Primary Sorting'!BA101+'Rev Primary (FSM Rejections)'!BA101+'Rev Secondary Sorting'!BA101+'VIA Bag Sorting'!BA101</f>
        <v/>
      </c>
      <c r="BB101" s="7">
        <f>SUM(AD101:BA101)</f>
        <v/>
      </c>
    </row>
    <row r="102">
      <c r="A102" t="inlineStr">
        <is>
          <t>AMD-RTS-RCLS-1302-SSC_1</t>
        </is>
      </c>
      <c r="B102" t="inlineStr">
        <is>
          <t>Rev OSC</t>
        </is>
      </c>
      <c r="C102" s="5" t="n">
        <v>46095</v>
      </c>
      <c r="D102" s="6" t="n">
        <v>0</v>
      </c>
      <c r="E102" s="6" t="n">
        <v>0</v>
      </c>
      <c r="F102" s="6" t="n">
        <v>0</v>
      </c>
      <c r="G102" s="6" t="n">
        <v>0</v>
      </c>
      <c r="H102" s="6" t="n">
        <v>0</v>
      </c>
      <c r="I102" s="6" t="n">
        <v>0</v>
      </c>
      <c r="J102" s="6" t="n">
        <v>0</v>
      </c>
      <c r="K102" s="6" t="n">
        <v>0</v>
      </c>
      <c r="L102" s="6" t="n">
        <v>74</v>
      </c>
      <c r="M102" s="6" t="n">
        <v>374</v>
      </c>
      <c r="N102" s="6" t="n">
        <v>155</v>
      </c>
      <c r="O102" s="6" t="n">
        <v>0</v>
      </c>
      <c r="P102" s="6" t="n">
        <v>0</v>
      </c>
      <c r="Q102" s="6" t="n">
        <v>0</v>
      </c>
      <c r="R102" s="6" t="n">
        <v>6</v>
      </c>
      <c r="S102" s="6" t="n">
        <v>589</v>
      </c>
      <c r="T102" s="6" t="n">
        <v>62</v>
      </c>
      <c r="U102" s="6" t="n">
        <v>0</v>
      </c>
      <c r="V102" s="6" t="n">
        <v>0</v>
      </c>
      <c r="W102" s="6" t="n">
        <v>0</v>
      </c>
      <c r="X102" s="6" t="n">
        <v>0</v>
      </c>
      <c r="Y102" s="6" t="n">
        <v>0</v>
      </c>
      <c r="Z102" s="6" t="n">
        <v>0</v>
      </c>
      <c r="AA102" s="6" t="n">
        <v>0</v>
      </c>
      <c r="AB102" s="6">
        <f>SUM(D102:AA102)</f>
        <v/>
      </c>
      <c r="AC102" s="3" t="inlineStr"/>
      <c r="AD102" s="7">
        <f>'BBB'!AD102+'Bag Staging'!AD102+'Bag Staging Volumetric'!AD102+'FWD FSM'!AD102+'FWD Manual Pre Primary'!AD102+'FWD Manual Primary'!AD102+'FWD Primary with Scan'!AD102+'FWD Secondary'!AD102+'FWD Volumetric'!AD102+'IB'!AD102+'IB Volumetric'!AD102+'OB'!AD102+'OB Volumetric'!AD102+'OSC Bag Sorting'!AD102+'OSC Bag Sorting Volumetric'!AD102+'REV FSM'!AD102+'Rejection Primary with Scan'!AD102+'Rejection Secondary'!AD102+'Rev DC DC Primary Sorting'!AD102+'Rev Primary (FSM Rejections)'!AD102+'Rev Secondary Sorting'!AD102+'VIA Bag Sorting'!AD102</f>
        <v/>
      </c>
      <c r="AE102" s="7">
        <f>'BBB'!AE102+'Bag Staging'!AE102+'Bag Staging Volumetric'!AE102+'FWD FSM'!AE102+'FWD Manual Pre Primary'!AE102+'FWD Manual Primary'!AE102+'FWD Primary with Scan'!AE102+'FWD Secondary'!AE102+'FWD Volumetric'!AE102+'IB'!AE102+'IB Volumetric'!AE102+'OB'!AE102+'OB Volumetric'!AE102+'OSC Bag Sorting'!AE102+'OSC Bag Sorting Volumetric'!AE102+'REV FSM'!AE102+'Rejection Primary with Scan'!AE102+'Rejection Secondary'!AE102+'Rev DC DC Primary Sorting'!AE102+'Rev Primary (FSM Rejections)'!AE102+'Rev Secondary Sorting'!AE102+'VIA Bag Sorting'!AE102</f>
        <v/>
      </c>
      <c r="AF102" s="7">
        <f>'BBB'!AF102+'Bag Staging'!AF102+'Bag Staging Volumetric'!AF102+'FWD FSM'!AF102+'FWD Manual Pre Primary'!AF102+'FWD Manual Primary'!AF102+'FWD Primary with Scan'!AF102+'FWD Secondary'!AF102+'FWD Volumetric'!AF102+'IB'!AF102+'IB Volumetric'!AF102+'OB'!AF102+'OB Volumetric'!AF102+'OSC Bag Sorting'!AF102+'OSC Bag Sorting Volumetric'!AF102+'REV FSM'!AF102+'Rejection Primary with Scan'!AF102+'Rejection Secondary'!AF102+'Rev DC DC Primary Sorting'!AF102+'Rev Primary (FSM Rejections)'!AF102+'Rev Secondary Sorting'!AF102+'VIA Bag Sorting'!AF102</f>
        <v/>
      </c>
      <c r="AG102" s="7">
        <f>'BBB'!AG102+'Bag Staging'!AG102+'Bag Staging Volumetric'!AG102+'FWD FSM'!AG102+'FWD Manual Pre Primary'!AG102+'FWD Manual Primary'!AG102+'FWD Primary with Scan'!AG102+'FWD Secondary'!AG102+'FWD Volumetric'!AG102+'IB'!AG102+'IB Volumetric'!AG102+'OB'!AG102+'OB Volumetric'!AG102+'OSC Bag Sorting'!AG102+'OSC Bag Sorting Volumetric'!AG102+'REV FSM'!AG102+'Rejection Primary with Scan'!AG102+'Rejection Secondary'!AG102+'Rev DC DC Primary Sorting'!AG102+'Rev Primary (FSM Rejections)'!AG102+'Rev Secondary Sorting'!AG102+'VIA Bag Sorting'!AG102</f>
        <v/>
      </c>
      <c r="AH102" s="7">
        <f>'BBB'!AH102+'Bag Staging'!AH102+'Bag Staging Volumetric'!AH102+'FWD FSM'!AH102+'FWD Manual Pre Primary'!AH102+'FWD Manual Primary'!AH102+'FWD Primary with Scan'!AH102+'FWD Secondary'!AH102+'FWD Volumetric'!AH102+'IB'!AH102+'IB Volumetric'!AH102+'OB'!AH102+'OB Volumetric'!AH102+'OSC Bag Sorting'!AH102+'OSC Bag Sorting Volumetric'!AH102+'REV FSM'!AH102+'Rejection Primary with Scan'!AH102+'Rejection Secondary'!AH102+'Rev DC DC Primary Sorting'!AH102+'Rev Primary (FSM Rejections)'!AH102+'Rev Secondary Sorting'!AH102+'VIA Bag Sorting'!AH102</f>
        <v/>
      </c>
      <c r="AI102" s="7">
        <f>'BBB'!AI102+'Bag Staging'!AI102+'Bag Staging Volumetric'!AI102+'FWD FSM'!AI102+'FWD Manual Pre Primary'!AI102+'FWD Manual Primary'!AI102+'FWD Primary with Scan'!AI102+'FWD Secondary'!AI102+'FWD Volumetric'!AI102+'IB'!AI102+'IB Volumetric'!AI102+'OB'!AI102+'OB Volumetric'!AI102+'OSC Bag Sorting'!AI102+'OSC Bag Sorting Volumetric'!AI102+'REV FSM'!AI102+'Rejection Primary with Scan'!AI102+'Rejection Secondary'!AI102+'Rev DC DC Primary Sorting'!AI102+'Rev Primary (FSM Rejections)'!AI102+'Rev Secondary Sorting'!AI102+'VIA Bag Sorting'!AI102</f>
        <v/>
      </c>
      <c r="AJ102" s="7">
        <f>'BBB'!AJ102+'Bag Staging'!AJ102+'Bag Staging Volumetric'!AJ102+'FWD FSM'!AJ102+'FWD Manual Pre Primary'!AJ102+'FWD Manual Primary'!AJ102+'FWD Primary with Scan'!AJ102+'FWD Secondary'!AJ102+'FWD Volumetric'!AJ102+'IB'!AJ102+'IB Volumetric'!AJ102+'OB'!AJ102+'OB Volumetric'!AJ102+'OSC Bag Sorting'!AJ102+'OSC Bag Sorting Volumetric'!AJ102+'REV FSM'!AJ102+'Rejection Primary with Scan'!AJ102+'Rejection Secondary'!AJ102+'Rev DC DC Primary Sorting'!AJ102+'Rev Primary (FSM Rejections)'!AJ102+'Rev Secondary Sorting'!AJ102+'VIA Bag Sorting'!AJ102</f>
        <v/>
      </c>
      <c r="AK102" s="7">
        <f>'BBB'!AK102+'Bag Staging'!AK102+'Bag Staging Volumetric'!AK102+'FWD FSM'!AK102+'FWD Manual Pre Primary'!AK102+'FWD Manual Primary'!AK102+'FWD Primary with Scan'!AK102+'FWD Secondary'!AK102+'FWD Volumetric'!AK102+'IB'!AK102+'IB Volumetric'!AK102+'OB'!AK102+'OB Volumetric'!AK102+'OSC Bag Sorting'!AK102+'OSC Bag Sorting Volumetric'!AK102+'REV FSM'!AK102+'Rejection Primary with Scan'!AK102+'Rejection Secondary'!AK102+'Rev DC DC Primary Sorting'!AK102+'Rev Primary (FSM Rejections)'!AK102+'Rev Secondary Sorting'!AK102+'VIA Bag Sorting'!AK102</f>
        <v/>
      </c>
      <c r="AL102" s="7">
        <f>'BBB'!AL102+'Bag Staging'!AL102+'Bag Staging Volumetric'!AL102+'FWD FSM'!AL102+'FWD Manual Pre Primary'!AL102+'FWD Manual Primary'!AL102+'FWD Primary with Scan'!AL102+'FWD Secondary'!AL102+'FWD Volumetric'!AL102+'IB'!AL102+'IB Volumetric'!AL102+'OB'!AL102+'OB Volumetric'!AL102+'OSC Bag Sorting'!AL102+'OSC Bag Sorting Volumetric'!AL102+'REV FSM'!AL102+'Rejection Primary with Scan'!AL102+'Rejection Secondary'!AL102+'Rev DC DC Primary Sorting'!AL102+'Rev Primary (FSM Rejections)'!AL102+'Rev Secondary Sorting'!AL102+'VIA Bag Sorting'!AL102</f>
        <v/>
      </c>
      <c r="AM102" s="7">
        <f>'BBB'!AM102+'Bag Staging'!AM102+'Bag Staging Volumetric'!AM102+'FWD FSM'!AM102+'FWD Manual Pre Primary'!AM102+'FWD Manual Primary'!AM102+'FWD Primary with Scan'!AM102+'FWD Secondary'!AM102+'FWD Volumetric'!AM102+'IB'!AM102+'IB Volumetric'!AM102+'OB'!AM102+'OB Volumetric'!AM102+'OSC Bag Sorting'!AM102+'OSC Bag Sorting Volumetric'!AM102+'REV FSM'!AM102+'Rejection Primary with Scan'!AM102+'Rejection Secondary'!AM102+'Rev DC DC Primary Sorting'!AM102+'Rev Primary (FSM Rejections)'!AM102+'Rev Secondary Sorting'!AM102+'VIA Bag Sorting'!AM102</f>
        <v/>
      </c>
      <c r="AN102" s="7">
        <f>'BBB'!AN102+'Bag Staging'!AN102+'Bag Staging Volumetric'!AN102+'FWD FSM'!AN102+'FWD Manual Pre Primary'!AN102+'FWD Manual Primary'!AN102+'FWD Primary with Scan'!AN102+'FWD Secondary'!AN102+'FWD Volumetric'!AN102+'IB'!AN102+'IB Volumetric'!AN102+'OB'!AN102+'OB Volumetric'!AN102+'OSC Bag Sorting'!AN102+'OSC Bag Sorting Volumetric'!AN102+'REV FSM'!AN102+'Rejection Primary with Scan'!AN102+'Rejection Secondary'!AN102+'Rev DC DC Primary Sorting'!AN102+'Rev Primary (FSM Rejections)'!AN102+'Rev Secondary Sorting'!AN102+'VIA Bag Sorting'!AN102</f>
        <v/>
      </c>
      <c r="AO102" s="7">
        <f>'BBB'!AO102+'Bag Staging'!AO102+'Bag Staging Volumetric'!AO102+'FWD FSM'!AO102+'FWD Manual Pre Primary'!AO102+'FWD Manual Primary'!AO102+'FWD Primary with Scan'!AO102+'FWD Secondary'!AO102+'FWD Volumetric'!AO102+'IB'!AO102+'IB Volumetric'!AO102+'OB'!AO102+'OB Volumetric'!AO102+'OSC Bag Sorting'!AO102+'OSC Bag Sorting Volumetric'!AO102+'REV FSM'!AO102+'Rejection Primary with Scan'!AO102+'Rejection Secondary'!AO102+'Rev DC DC Primary Sorting'!AO102+'Rev Primary (FSM Rejections)'!AO102+'Rev Secondary Sorting'!AO102+'VIA Bag Sorting'!AO102</f>
        <v/>
      </c>
      <c r="AP102" s="7">
        <f>'BBB'!AP102+'Bag Staging'!AP102+'Bag Staging Volumetric'!AP102+'FWD FSM'!AP102+'FWD Manual Pre Primary'!AP102+'FWD Manual Primary'!AP102+'FWD Primary with Scan'!AP102+'FWD Secondary'!AP102+'FWD Volumetric'!AP102+'IB'!AP102+'IB Volumetric'!AP102+'OB'!AP102+'OB Volumetric'!AP102+'OSC Bag Sorting'!AP102+'OSC Bag Sorting Volumetric'!AP102+'REV FSM'!AP102+'Rejection Primary with Scan'!AP102+'Rejection Secondary'!AP102+'Rev DC DC Primary Sorting'!AP102+'Rev Primary (FSM Rejections)'!AP102+'Rev Secondary Sorting'!AP102+'VIA Bag Sorting'!AP102</f>
        <v/>
      </c>
      <c r="AQ102" s="7">
        <f>'BBB'!AQ102+'Bag Staging'!AQ102+'Bag Staging Volumetric'!AQ102+'FWD FSM'!AQ102+'FWD Manual Pre Primary'!AQ102+'FWD Manual Primary'!AQ102+'FWD Primary with Scan'!AQ102+'FWD Secondary'!AQ102+'FWD Volumetric'!AQ102+'IB'!AQ102+'IB Volumetric'!AQ102+'OB'!AQ102+'OB Volumetric'!AQ102+'OSC Bag Sorting'!AQ102+'OSC Bag Sorting Volumetric'!AQ102+'REV FSM'!AQ102+'Rejection Primary with Scan'!AQ102+'Rejection Secondary'!AQ102+'Rev DC DC Primary Sorting'!AQ102+'Rev Primary (FSM Rejections)'!AQ102+'Rev Secondary Sorting'!AQ102+'VIA Bag Sorting'!AQ102</f>
        <v/>
      </c>
      <c r="AR102" s="7">
        <f>'BBB'!AR102+'Bag Staging'!AR102+'Bag Staging Volumetric'!AR102+'FWD FSM'!AR102+'FWD Manual Pre Primary'!AR102+'FWD Manual Primary'!AR102+'FWD Primary with Scan'!AR102+'FWD Secondary'!AR102+'FWD Volumetric'!AR102+'IB'!AR102+'IB Volumetric'!AR102+'OB'!AR102+'OB Volumetric'!AR102+'OSC Bag Sorting'!AR102+'OSC Bag Sorting Volumetric'!AR102+'REV FSM'!AR102+'Rejection Primary with Scan'!AR102+'Rejection Secondary'!AR102+'Rev DC DC Primary Sorting'!AR102+'Rev Primary (FSM Rejections)'!AR102+'Rev Secondary Sorting'!AR102+'VIA Bag Sorting'!AR102</f>
        <v/>
      </c>
      <c r="AS102" s="7">
        <f>'BBB'!AS102+'Bag Staging'!AS102+'Bag Staging Volumetric'!AS102+'FWD FSM'!AS102+'FWD Manual Pre Primary'!AS102+'FWD Manual Primary'!AS102+'FWD Primary with Scan'!AS102+'FWD Secondary'!AS102+'FWD Volumetric'!AS102+'IB'!AS102+'IB Volumetric'!AS102+'OB'!AS102+'OB Volumetric'!AS102+'OSC Bag Sorting'!AS102+'OSC Bag Sorting Volumetric'!AS102+'REV FSM'!AS102+'Rejection Primary with Scan'!AS102+'Rejection Secondary'!AS102+'Rev DC DC Primary Sorting'!AS102+'Rev Primary (FSM Rejections)'!AS102+'Rev Secondary Sorting'!AS102+'VIA Bag Sorting'!AS102</f>
        <v/>
      </c>
      <c r="AT102" s="7">
        <f>'BBB'!AT102+'Bag Staging'!AT102+'Bag Staging Volumetric'!AT102+'FWD FSM'!AT102+'FWD Manual Pre Primary'!AT102+'FWD Manual Primary'!AT102+'FWD Primary with Scan'!AT102+'FWD Secondary'!AT102+'FWD Volumetric'!AT102+'IB'!AT102+'IB Volumetric'!AT102+'OB'!AT102+'OB Volumetric'!AT102+'OSC Bag Sorting'!AT102+'OSC Bag Sorting Volumetric'!AT102+'REV FSM'!AT102+'Rejection Primary with Scan'!AT102+'Rejection Secondary'!AT102+'Rev DC DC Primary Sorting'!AT102+'Rev Primary (FSM Rejections)'!AT102+'Rev Secondary Sorting'!AT102+'VIA Bag Sorting'!AT102</f>
        <v/>
      </c>
      <c r="AU102" s="7">
        <f>'BBB'!AU102+'Bag Staging'!AU102+'Bag Staging Volumetric'!AU102+'FWD FSM'!AU102+'FWD Manual Pre Primary'!AU102+'FWD Manual Primary'!AU102+'FWD Primary with Scan'!AU102+'FWD Secondary'!AU102+'FWD Volumetric'!AU102+'IB'!AU102+'IB Volumetric'!AU102+'OB'!AU102+'OB Volumetric'!AU102+'OSC Bag Sorting'!AU102+'OSC Bag Sorting Volumetric'!AU102+'REV FSM'!AU102+'Rejection Primary with Scan'!AU102+'Rejection Secondary'!AU102+'Rev DC DC Primary Sorting'!AU102+'Rev Primary (FSM Rejections)'!AU102+'Rev Secondary Sorting'!AU102+'VIA Bag Sorting'!AU102</f>
        <v/>
      </c>
      <c r="AV102" s="7">
        <f>'BBB'!AV102+'Bag Staging'!AV102+'Bag Staging Volumetric'!AV102+'FWD FSM'!AV102+'FWD Manual Pre Primary'!AV102+'FWD Manual Primary'!AV102+'FWD Primary with Scan'!AV102+'FWD Secondary'!AV102+'FWD Volumetric'!AV102+'IB'!AV102+'IB Volumetric'!AV102+'OB'!AV102+'OB Volumetric'!AV102+'OSC Bag Sorting'!AV102+'OSC Bag Sorting Volumetric'!AV102+'REV FSM'!AV102+'Rejection Primary with Scan'!AV102+'Rejection Secondary'!AV102+'Rev DC DC Primary Sorting'!AV102+'Rev Primary (FSM Rejections)'!AV102+'Rev Secondary Sorting'!AV102+'VIA Bag Sorting'!AV102</f>
        <v/>
      </c>
      <c r="AW102" s="7">
        <f>'BBB'!AW102+'Bag Staging'!AW102+'Bag Staging Volumetric'!AW102+'FWD FSM'!AW102+'FWD Manual Pre Primary'!AW102+'FWD Manual Primary'!AW102+'FWD Primary with Scan'!AW102+'FWD Secondary'!AW102+'FWD Volumetric'!AW102+'IB'!AW102+'IB Volumetric'!AW102+'OB'!AW102+'OB Volumetric'!AW102+'OSC Bag Sorting'!AW102+'OSC Bag Sorting Volumetric'!AW102+'REV FSM'!AW102+'Rejection Primary with Scan'!AW102+'Rejection Secondary'!AW102+'Rev DC DC Primary Sorting'!AW102+'Rev Primary (FSM Rejections)'!AW102+'Rev Secondary Sorting'!AW102+'VIA Bag Sorting'!AW102</f>
        <v/>
      </c>
      <c r="AX102" s="7">
        <f>'BBB'!AX102+'Bag Staging'!AX102+'Bag Staging Volumetric'!AX102+'FWD FSM'!AX102+'FWD Manual Pre Primary'!AX102+'FWD Manual Primary'!AX102+'FWD Primary with Scan'!AX102+'FWD Secondary'!AX102+'FWD Volumetric'!AX102+'IB'!AX102+'IB Volumetric'!AX102+'OB'!AX102+'OB Volumetric'!AX102+'OSC Bag Sorting'!AX102+'OSC Bag Sorting Volumetric'!AX102+'REV FSM'!AX102+'Rejection Primary with Scan'!AX102+'Rejection Secondary'!AX102+'Rev DC DC Primary Sorting'!AX102+'Rev Primary (FSM Rejections)'!AX102+'Rev Secondary Sorting'!AX102+'VIA Bag Sorting'!AX102</f>
        <v/>
      </c>
      <c r="AY102" s="7">
        <f>'BBB'!AY102+'Bag Staging'!AY102+'Bag Staging Volumetric'!AY102+'FWD FSM'!AY102+'FWD Manual Pre Primary'!AY102+'FWD Manual Primary'!AY102+'FWD Primary with Scan'!AY102+'FWD Secondary'!AY102+'FWD Volumetric'!AY102+'IB'!AY102+'IB Volumetric'!AY102+'OB'!AY102+'OB Volumetric'!AY102+'OSC Bag Sorting'!AY102+'OSC Bag Sorting Volumetric'!AY102+'REV FSM'!AY102+'Rejection Primary with Scan'!AY102+'Rejection Secondary'!AY102+'Rev DC DC Primary Sorting'!AY102+'Rev Primary (FSM Rejections)'!AY102+'Rev Secondary Sorting'!AY102+'VIA Bag Sorting'!AY102</f>
        <v/>
      </c>
      <c r="AZ102" s="7">
        <f>'BBB'!AZ102+'Bag Staging'!AZ102+'Bag Staging Volumetric'!AZ102+'FWD FSM'!AZ102+'FWD Manual Pre Primary'!AZ102+'FWD Manual Primary'!AZ102+'FWD Primary with Scan'!AZ102+'FWD Secondary'!AZ102+'FWD Volumetric'!AZ102+'IB'!AZ102+'IB Volumetric'!AZ102+'OB'!AZ102+'OB Volumetric'!AZ102+'OSC Bag Sorting'!AZ102+'OSC Bag Sorting Volumetric'!AZ102+'REV FSM'!AZ102+'Rejection Primary with Scan'!AZ102+'Rejection Secondary'!AZ102+'Rev DC DC Primary Sorting'!AZ102+'Rev Primary (FSM Rejections)'!AZ102+'Rev Secondary Sorting'!AZ102+'VIA Bag Sorting'!AZ102</f>
        <v/>
      </c>
      <c r="BA102" s="7">
        <f>'BBB'!BA102+'Bag Staging'!BA102+'Bag Staging Volumetric'!BA102+'FWD FSM'!BA102+'FWD Manual Pre Primary'!BA102+'FWD Manual Primary'!BA102+'FWD Primary with Scan'!BA102+'FWD Secondary'!BA102+'FWD Volumetric'!BA102+'IB'!BA102+'IB Volumetric'!BA102+'OB'!BA102+'OB Volumetric'!BA102+'OSC Bag Sorting'!BA102+'OSC Bag Sorting Volumetric'!BA102+'REV FSM'!BA102+'Rejection Primary with Scan'!BA102+'Rejection Secondary'!BA102+'Rev DC DC Primary Sorting'!BA102+'Rev Primary (FSM Rejections)'!BA102+'Rev Secondary Sorting'!BA102+'VIA Bag Sorting'!BA102</f>
        <v/>
      </c>
      <c r="BB102" s="7">
        <f>SUM(AD102:BA102)</f>
        <v/>
      </c>
    </row>
    <row r="103">
      <c r="A103" t="inlineStr">
        <is>
          <t>AMD-RTS-RCLS-1302-SSC_1</t>
        </is>
      </c>
      <c r="B103" t="inlineStr">
        <is>
          <t>Rev OSC</t>
        </is>
      </c>
      <c r="C103" s="5" t="n">
        <v>46100</v>
      </c>
      <c r="D103" s="6" t="n">
        <v>0</v>
      </c>
      <c r="E103" s="6" t="n">
        <v>0</v>
      </c>
      <c r="F103" s="6" t="n">
        <v>0</v>
      </c>
      <c r="G103" s="6" t="n">
        <v>0</v>
      </c>
      <c r="H103" s="6" t="n">
        <v>0</v>
      </c>
      <c r="I103" s="6" t="n">
        <v>0</v>
      </c>
      <c r="J103" s="6" t="n">
        <v>0</v>
      </c>
      <c r="K103" s="6" t="n">
        <v>0</v>
      </c>
      <c r="L103" s="6" t="n">
        <v>0</v>
      </c>
      <c r="M103" s="6" t="n">
        <v>0</v>
      </c>
      <c r="N103" s="6" t="n">
        <v>0</v>
      </c>
      <c r="O103" s="6" t="n">
        <v>0</v>
      </c>
      <c r="P103" s="6" t="n">
        <v>0</v>
      </c>
      <c r="Q103" s="6" t="n">
        <v>0</v>
      </c>
      <c r="R103" s="6" t="n">
        <v>0</v>
      </c>
      <c r="S103" s="6" t="n">
        <v>1073</v>
      </c>
      <c r="T103" s="6" t="n">
        <v>261</v>
      </c>
      <c r="U103" s="6" t="n">
        <v>0</v>
      </c>
      <c r="V103" s="6" t="n">
        <v>316</v>
      </c>
      <c r="W103" s="6" t="n">
        <v>504</v>
      </c>
      <c r="X103" s="6" t="n">
        <v>386</v>
      </c>
      <c r="Y103" s="6" t="n">
        <v>650</v>
      </c>
      <c r="Z103" s="6" t="n">
        <v>96</v>
      </c>
      <c r="AA103" s="6" t="n">
        <v>0</v>
      </c>
      <c r="AB103" s="6">
        <f>SUM(D103:AA103)</f>
        <v/>
      </c>
      <c r="AC103" s="3" t="inlineStr"/>
      <c r="AD103" s="7">
        <f>'BBB'!AD103+'Bag Staging'!AD103+'Bag Staging Volumetric'!AD103+'FWD FSM'!AD103+'FWD Manual Pre Primary'!AD103+'FWD Manual Primary'!AD103+'FWD Primary with Scan'!AD103+'FWD Secondary'!AD103+'FWD Volumetric'!AD103+'IB'!AD103+'IB Volumetric'!AD103+'OB'!AD103+'OB Volumetric'!AD103+'OSC Bag Sorting'!AD103+'OSC Bag Sorting Volumetric'!AD103+'REV FSM'!AD103+'Rejection Primary with Scan'!AD103+'Rejection Secondary'!AD103+'Rev DC DC Primary Sorting'!AD103+'Rev Primary (FSM Rejections)'!AD103+'Rev Secondary Sorting'!AD103+'VIA Bag Sorting'!AD103</f>
        <v/>
      </c>
      <c r="AE103" s="7">
        <f>'BBB'!AE103+'Bag Staging'!AE103+'Bag Staging Volumetric'!AE103+'FWD FSM'!AE103+'FWD Manual Pre Primary'!AE103+'FWD Manual Primary'!AE103+'FWD Primary with Scan'!AE103+'FWD Secondary'!AE103+'FWD Volumetric'!AE103+'IB'!AE103+'IB Volumetric'!AE103+'OB'!AE103+'OB Volumetric'!AE103+'OSC Bag Sorting'!AE103+'OSC Bag Sorting Volumetric'!AE103+'REV FSM'!AE103+'Rejection Primary with Scan'!AE103+'Rejection Secondary'!AE103+'Rev DC DC Primary Sorting'!AE103+'Rev Primary (FSM Rejections)'!AE103+'Rev Secondary Sorting'!AE103+'VIA Bag Sorting'!AE103</f>
        <v/>
      </c>
      <c r="AF103" s="7">
        <f>'BBB'!AF103+'Bag Staging'!AF103+'Bag Staging Volumetric'!AF103+'FWD FSM'!AF103+'FWD Manual Pre Primary'!AF103+'FWD Manual Primary'!AF103+'FWD Primary with Scan'!AF103+'FWD Secondary'!AF103+'FWD Volumetric'!AF103+'IB'!AF103+'IB Volumetric'!AF103+'OB'!AF103+'OB Volumetric'!AF103+'OSC Bag Sorting'!AF103+'OSC Bag Sorting Volumetric'!AF103+'REV FSM'!AF103+'Rejection Primary with Scan'!AF103+'Rejection Secondary'!AF103+'Rev DC DC Primary Sorting'!AF103+'Rev Primary (FSM Rejections)'!AF103+'Rev Secondary Sorting'!AF103+'VIA Bag Sorting'!AF103</f>
        <v/>
      </c>
      <c r="AG103" s="7">
        <f>'BBB'!AG103+'Bag Staging'!AG103+'Bag Staging Volumetric'!AG103+'FWD FSM'!AG103+'FWD Manual Pre Primary'!AG103+'FWD Manual Primary'!AG103+'FWD Primary with Scan'!AG103+'FWD Secondary'!AG103+'FWD Volumetric'!AG103+'IB'!AG103+'IB Volumetric'!AG103+'OB'!AG103+'OB Volumetric'!AG103+'OSC Bag Sorting'!AG103+'OSC Bag Sorting Volumetric'!AG103+'REV FSM'!AG103+'Rejection Primary with Scan'!AG103+'Rejection Secondary'!AG103+'Rev DC DC Primary Sorting'!AG103+'Rev Primary (FSM Rejections)'!AG103+'Rev Secondary Sorting'!AG103+'VIA Bag Sorting'!AG103</f>
        <v/>
      </c>
      <c r="AH103" s="7">
        <f>'BBB'!AH103+'Bag Staging'!AH103+'Bag Staging Volumetric'!AH103+'FWD FSM'!AH103+'FWD Manual Pre Primary'!AH103+'FWD Manual Primary'!AH103+'FWD Primary with Scan'!AH103+'FWD Secondary'!AH103+'FWD Volumetric'!AH103+'IB'!AH103+'IB Volumetric'!AH103+'OB'!AH103+'OB Volumetric'!AH103+'OSC Bag Sorting'!AH103+'OSC Bag Sorting Volumetric'!AH103+'REV FSM'!AH103+'Rejection Primary with Scan'!AH103+'Rejection Secondary'!AH103+'Rev DC DC Primary Sorting'!AH103+'Rev Primary (FSM Rejections)'!AH103+'Rev Secondary Sorting'!AH103+'VIA Bag Sorting'!AH103</f>
        <v/>
      </c>
      <c r="AI103" s="7">
        <f>'BBB'!AI103+'Bag Staging'!AI103+'Bag Staging Volumetric'!AI103+'FWD FSM'!AI103+'FWD Manual Pre Primary'!AI103+'FWD Manual Primary'!AI103+'FWD Primary with Scan'!AI103+'FWD Secondary'!AI103+'FWD Volumetric'!AI103+'IB'!AI103+'IB Volumetric'!AI103+'OB'!AI103+'OB Volumetric'!AI103+'OSC Bag Sorting'!AI103+'OSC Bag Sorting Volumetric'!AI103+'REV FSM'!AI103+'Rejection Primary with Scan'!AI103+'Rejection Secondary'!AI103+'Rev DC DC Primary Sorting'!AI103+'Rev Primary (FSM Rejections)'!AI103+'Rev Secondary Sorting'!AI103+'VIA Bag Sorting'!AI103</f>
        <v/>
      </c>
      <c r="AJ103" s="7">
        <f>'BBB'!AJ103+'Bag Staging'!AJ103+'Bag Staging Volumetric'!AJ103+'FWD FSM'!AJ103+'FWD Manual Pre Primary'!AJ103+'FWD Manual Primary'!AJ103+'FWD Primary with Scan'!AJ103+'FWD Secondary'!AJ103+'FWD Volumetric'!AJ103+'IB'!AJ103+'IB Volumetric'!AJ103+'OB'!AJ103+'OB Volumetric'!AJ103+'OSC Bag Sorting'!AJ103+'OSC Bag Sorting Volumetric'!AJ103+'REV FSM'!AJ103+'Rejection Primary with Scan'!AJ103+'Rejection Secondary'!AJ103+'Rev DC DC Primary Sorting'!AJ103+'Rev Primary (FSM Rejections)'!AJ103+'Rev Secondary Sorting'!AJ103+'VIA Bag Sorting'!AJ103</f>
        <v/>
      </c>
      <c r="AK103" s="7">
        <f>'BBB'!AK103+'Bag Staging'!AK103+'Bag Staging Volumetric'!AK103+'FWD FSM'!AK103+'FWD Manual Pre Primary'!AK103+'FWD Manual Primary'!AK103+'FWD Primary with Scan'!AK103+'FWD Secondary'!AK103+'FWD Volumetric'!AK103+'IB'!AK103+'IB Volumetric'!AK103+'OB'!AK103+'OB Volumetric'!AK103+'OSC Bag Sorting'!AK103+'OSC Bag Sorting Volumetric'!AK103+'REV FSM'!AK103+'Rejection Primary with Scan'!AK103+'Rejection Secondary'!AK103+'Rev DC DC Primary Sorting'!AK103+'Rev Primary (FSM Rejections)'!AK103+'Rev Secondary Sorting'!AK103+'VIA Bag Sorting'!AK103</f>
        <v/>
      </c>
      <c r="AL103" s="7">
        <f>'BBB'!AL103+'Bag Staging'!AL103+'Bag Staging Volumetric'!AL103+'FWD FSM'!AL103+'FWD Manual Pre Primary'!AL103+'FWD Manual Primary'!AL103+'FWD Primary with Scan'!AL103+'FWD Secondary'!AL103+'FWD Volumetric'!AL103+'IB'!AL103+'IB Volumetric'!AL103+'OB'!AL103+'OB Volumetric'!AL103+'OSC Bag Sorting'!AL103+'OSC Bag Sorting Volumetric'!AL103+'REV FSM'!AL103+'Rejection Primary with Scan'!AL103+'Rejection Secondary'!AL103+'Rev DC DC Primary Sorting'!AL103+'Rev Primary (FSM Rejections)'!AL103+'Rev Secondary Sorting'!AL103+'VIA Bag Sorting'!AL103</f>
        <v/>
      </c>
      <c r="AM103" s="7">
        <f>'BBB'!AM103+'Bag Staging'!AM103+'Bag Staging Volumetric'!AM103+'FWD FSM'!AM103+'FWD Manual Pre Primary'!AM103+'FWD Manual Primary'!AM103+'FWD Primary with Scan'!AM103+'FWD Secondary'!AM103+'FWD Volumetric'!AM103+'IB'!AM103+'IB Volumetric'!AM103+'OB'!AM103+'OB Volumetric'!AM103+'OSC Bag Sorting'!AM103+'OSC Bag Sorting Volumetric'!AM103+'REV FSM'!AM103+'Rejection Primary with Scan'!AM103+'Rejection Secondary'!AM103+'Rev DC DC Primary Sorting'!AM103+'Rev Primary (FSM Rejections)'!AM103+'Rev Secondary Sorting'!AM103+'VIA Bag Sorting'!AM103</f>
        <v/>
      </c>
      <c r="AN103" s="7">
        <f>'BBB'!AN103+'Bag Staging'!AN103+'Bag Staging Volumetric'!AN103+'FWD FSM'!AN103+'FWD Manual Pre Primary'!AN103+'FWD Manual Primary'!AN103+'FWD Primary with Scan'!AN103+'FWD Secondary'!AN103+'FWD Volumetric'!AN103+'IB'!AN103+'IB Volumetric'!AN103+'OB'!AN103+'OB Volumetric'!AN103+'OSC Bag Sorting'!AN103+'OSC Bag Sorting Volumetric'!AN103+'REV FSM'!AN103+'Rejection Primary with Scan'!AN103+'Rejection Secondary'!AN103+'Rev DC DC Primary Sorting'!AN103+'Rev Primary (FSM Rejections)'!AN103+'Rev Secondary Sorting'!AN103+'VIA Bag Sorting'!AN103</f>
        <v/>
      </c>
      <c r="AO103" s="7">
        <f>'BBB'!AO103+'Bag Staging'!AO103+'Bag Staging Volumetric'!AO103+'FWD FSM'!AO103+'FWD Manual Pre Primary'!AO103+'FWD Manual Primary'!AO103+'FWD Primary with Scan'!AO103+'FWD Secondary'!AO103+'FWD Volumetric'!AO103+'IB'!AO103+'IB Volumetric'!AO103+'OB'!AO103+'OB Volumetric'!AO103+'OSC Bag Sorting'!AO103+'OSC Bag Sorting Volumetric'!AO103+'REV FSM'!AO103+'Rejection Primary with Scan'!AO103+'Rejection Secondary'!AO103+'Rev DC DC Primary Sorting'!AO103+'Rev Primary (FSM Rejections)'!AO103+'Rev Secondary Sorting'!AO103+'VIA Bag Sorting'!AO103</f>
        <v/>
      </c>
      <c r="AP103" s="7">
        <f>'BBB'!AP103+'Bag Staging'!AP103+'Bag Staging Volumetric'!AP103+'FWD FSM'!AP103+'FWD Manual Pre Primary'!AP103+'FWD Manual Primary'!AP103+'FWD Primary with Scan'!AP103+'FWD Secondary'!AP103+'FWD Volumetric'!AP103+'IB'!AP103+'IB Volumetric'!AP103+'OB'!AP103+'OB Volumetric'!AP103+'OSC Bag Sorting'!AP103+'OSC Bag Sorting Volumetric'!AP103+'REV FSM'!AP103+'Rejection Primary with Scan'!AP103+'Rejection Secondary'!AP103+'Rev DC DC Primary Sorting'!AP103+'Rev Primary (FSM Rejections)'!AP103+'Rev Secondary Sorting'!AP103+'VIA Bag Sorting'!AP103</f>
        <v/>
      </c>
      <c r="AQ103" s="7">
        <f>'BBB'!AQ103+'Bag Staging'!AQ103+'Bag Staging Volumetric'!AQ103+'FWD FSM'!AQ103+'FWD Manual Pre Primary'!AQ103+'FWD Manual Primary'!AQ103+'FWD Primary with Scan'!AQ103+'FWD Secondary'!AQ103+'FWD Volumetric'!AQ103+'IB'!AQ103+'IB Volumetric'!AQ103+'OB'!AQ103+'OB Volumetric'!AQ103+'OSC Bag Sorting'!AQ103+'OSC Bag Sorting Volumetric'!AQ103+'REV FSM'!AQ103+'Rejection Primary with Scan'!AQ103+'Rejection Secondary'!AQ103+'Rev DC DC Primary Sorting'!AQ103+'Rev Primary (FSM Rejections)'!AQ103+'Rev Secondary Sorting'!AQ103+'VIA Bag Sorting'!AQ103</f>
        <v/>
      </c>
      <c r="AR103" s="7">
        <f>'BBB'!AR103+'Bag Staging'!AR103+'Bag Staging Volumetric'!AR103+'FWD FSM'!AR103+'FWD Manual Pre Primary'!AR103+'FWD Manual Primary'!AR103+'FWD Primary with Scan'!AR103+'FWD Secondary'!AR103+'FWD Volumetric'!AR103+'IB'!AR103+'IB Volumetric'!AR103+'OB'!AR103+'OB Volumetric'!AR103+'OSC Bag Sorting'!AR103+'OSC Bag Sorting Volumetric'!AR103+'REV FSM'!AR103+'Rejection Primary with Scan'!AR103+'Rejection Secondary'!AR103+'Rev DC DC Primary Sorting'!AR103+'Rev Primary (FSM Rejections)'!AR103+'Rev Secondary Sorting'!AR103+'VIA Bag Sorting'!AR103</f>
        <v/>
      </c>
      <c r="AS103" s="7">
        <f>'BBB'!AS103+'Bag Staging'!AS103+'Bag Staging Volumetric'!AS103+'FWD FSM'!AS103+'FWD Manual Pre Primary'!AS103+'FWD Manual Primary'!AS103+'FWD Primary with Scan'!AS103+'FWD Secondary'!AS103+'FWD Volumetric'!AS103+'IB'!AS103+'IB Volumetric'!AS103+'OB'!AS103+'OB Volumetric'!AS103+'OSC Bag Sorting'!AS103+'OSC Bag Sorting Volumetric'!AS103+'REV FSM'!AS103+'Rejection Primary with Scan'!AS103+'Rejection Secondary'!AS103+'Rev DC DC Primary Sorting'!AS103+'Rev Primary (FSM Rejections)'!AS103+'Rev Secondary Sorting'!AS103+'VIA Bag Sorting'!AS103</f>
        <v/>
      </c>
      <c r="AT103" s="7">
        <f>'BBB'!AT103+'Bag Staging'!AT103+'Bag Staging Volumetric'!AT103+'FWD FSM'!AT103+'FWD Manual Pre Primary'!AT103+'FWD Manual Primary'!AT103+'FWD Primary with Scan'!AT103+'FWD Secondary'!AT103+'FWD Volumetric'!AT103+'IB'!AT103+'IB Volumetric'!AT103+'OB'!AT103+'OB Volumetric'!AT103+'OSC Bag Sorting'!AT103+'OSC Bag Sorting Volumetric'!AT103+'REV FSM'!AT103+'Rejection Primary with Scan'!AT103+'Rejection Secondary'!AT103+'Rev DC DC Primary Sorting'!AT103+'Rev Primary (FSM Rejections)'!AT103+'Rev Secondary Sorting'!AT103+'VIA Bag Sorting'!AT103</f>
        <v/>
      </c>
      <c r="AU103" s="7">
        <f>'BBB'!AU103+'Bag Staging'!AU103+'Bag Staging Volumetric'!AU103+'FWD FSM'!AU103+'FWD Manual Pre Primary'!AU103+'FWD Manual Primary'!AU103+'FWD Primary with Scan'!AU103+'FWD Secondary'!AU103+'FWD Volumetric'!AU103+'IB'!AU103+'IB Volumetric'!AU103+'OB'!AU103+'OB Volumetric'!AU103+'OSC Bag Sorting'!AU103+'OSC Bag Sorting Volumetric'!AU103+'REV FSM'!AU103+'Rejection Primary with Scan'!AU103+'Rejection Secondary'!AU103+'Rev DC DC Primary Sorting'!AU103+'Rev Primary (FSM Rejections)'!AU103+'Rev Secondary Sorting'!AU103+'VIA Bag Sorting'!AU103</f>
        <v/>
      </c>
      <c r="AV103" s="7">
        <f>'BBB'!AV103+'Bag Staging'!AV103+'Bag Staging Volumetric'!AV103+'FWD FSM'!AV103+'FWD Manual Pre Primary'!AV103+'FWD Manual Primary'!AV103+'FWD Primary with Scan'!AV103+'FWD Secondary'!AV103+'FWD Volumetric'!AV103+'IB'!AV103+'IB Volumetric'!AV103+'OB'!AV103+'OB Volumetric'!AV103+'OSC Bag Sorting'!AV103+'OSC Bag Sorting Volumetric'!AV103+'REV FSM'!AV103+'Rejection Primary with Scan'!AV103+'Rejection Secondary'!AV103+'Rev DC DC Primary Sorting'!AV103+'Rev Primary (FSM Rejections)'!AV103+'Rev Secondary Sorting'!AV103+'VIA Bag Sorting'!AV103</f>
        <v/>
      </c>
      <c r="AW103" s="7">
        <f>'BBB'!AW103+'Bag Staging'!AW103+'Bag Staging Volumetric'!AW103+'FWD FSM'!AW103+'FWD Manual Pre Primary'!AW103+'FWD Manual Primary'!AW103+'FWD Primary with Scan'!AW103+'FWD Secondary'!AW103+'FWD Volumetric'!AW103+'IB'!AW103+'IB Volumetric'!AW103+'OB'!AW103+'OB Volumetric'!AW103+'OSC Bag Sorting'!AW103+'OSC Bag Sorting Volumetric'!AW103+'REV FSM'!AW103+'Rejection Primary with Scan'!AW103+'Rejection Secondary'!AW103+'Rev DC DC Primary Sorting'!AW103+'Rev Primary (FSM Rejections)'!AW103+'Rev Secondary Sorting'!AW103+'VIA Bag Sorting'!AW103</f>
        <v/>
      </c>
      <c r="AX103" s="7">
        <f>'BBB'!AX103+'Bag Staging'!AX103+'Bag Staging Volumetric'!AX103+'FWD FSM'!AX103+'FWD Manual Pre Primary'!AX103+'FWD Manual Primary'!AX103+'FWD Primary with Scan'!AX103+'FWD Secondary'!AX103+'FWD Volumetric'!AX103+'IB'!AX103+'IB Volumetric'!AX103+'OB'!AX103+'OB Volumetric'!AX103+'OSC Bag Sorting'!AX103+'OSC Bag Sorting Volumetric'!AX103+'REV FSM'!AX103+'Rejection Primary with Scan'!AX103+'Rejection Secondary'!AX103+'Rev DC DC Primary Sorting'!AX103+'Rev Primary (FSM Rejections)'!AX103+'Rev Secondary Sorting'!AX103+'VIA Bag Sorting'!AX103</f>
        <v/>
      </c>
      <c r="AY103" s="7">
        <f>'BBB'!AY103+'Bag Staging'!AY103+'Bag Staging Volumetric'!AY103+'FWD FSM'!AY103+'FWD Manual Pre Primary'!AY103+'FWD Manual Primary'!AY103+'FWD Primary with Scan'!AY103+'FWD Secondary'!AY103+'FWD Volumetric'!AY103+'IB'!AY103+'IB Volumetric'!AY103+'OB'!AY103+'OB Volumetric'!AY103+'OSC Bag Sorting'!AY103+'OSC Bag Sorting Volumetric'!AY103+'REV FSM'!AY103+'Rejection Primary with Scan'!AY103+'Rejection Secondary'!AY103+'Rev DC DC Primary Sorting'!AY103+'Rev Primary (FSM Rejections)'!AY103+'Rev Secondary Sorting'!AY103+'VIA Bag Sorting'!AY103</f>
        <v/>
      </c>
      <c r="AZ103" s="7">
        <f>'BBB'!AZ103+'Bag Staging'!AZ103+'Bag Staging Volumetric'!AZ103+'FWD FSM'!AZ103+'FWD Manual Pre Primary'!AZ103+'FWD Manual Primary'!AZ103+'FWD Primary with Scan'!AZ103+'FWD Secondary'!AZ103+'FWD Volumetric'!AZ103+'IB'!AZ103+'IB Volumetric'!AZ103+'OB'!AZ103+'OB Volumetric'!AZ103+'OSC Bag Sorting'!AZ103+'OSC Bag Sorting Volumetric'!AZ103+'REV FSM'!AZ103+'Rejection Primary with Scan'!AZ103+'Rejection Secondary'!AZ103+'Rev DC DC Primary Sorting'!AZ103+'Rev Primary (FSM Rejections)'!AZ103+'Rev Secondary Sorting'!AZ103+'VIA Bag Sorting'!AZ103</f>
        <v/>
      </c>
      <c r="BA103" s="7">
        <f>'BBB'!BA103+'Bag Staging'!BA103+'Bag Staging Volumetric'!BA103+'FWD FSM'!BA103+'FWD Manual Pre Primary'!BA103+'FWD Manual Primary'!BA103+'FWD Primary with Scan'!BA103+'FWD Secondary'!BA103+'FWD Volumetric'!BA103+'IB'!BA103+'IB Volumetric'!BA103+'OB'!BA103+'OB Volumetric'!BA103+'OSC Bag Sorting'!BA103+'OSC Bag Sorting Volumetric'!BA103+'REV FSM'!BA103+'Rejection Primary with Scan'!BA103+'Rejection Secondary'!BA103+'Rev DC DC Primary Sorting'!BA103+'Rev Primary (FSM Rejections)'!BA103+'Rev Secondary Sorting'!BA103+'VIA Bag Sorting'!BA103</f>
        <v/>
      </c>
      <c r="BB103" s="7">
        <f>SUM(AD103:BA103)</f>
        <v/>
      </c>
    </row>
    <row r="104">
      <c r="A104" t="inlineStr">
        <is>
          <t>AMD-RTS-RCLS-1302-SSC_1</t>
        </is>
      </c>
      <c r="B104" t="inlineStr">
        <is>
          <t>Rev OSC</t>
        </is>
      </c>
      <c r="C104" s="5" t="n">
        <v>46102</v>
      </c>
      <c r="D104" s="6" t="n">
        <v>0</v>
      </c>
      <c r="E104" s="6" t="n">
        <v>0</v>
      </c>
      <c r="F104" s="6" t="n">
        <v>0</v>
      </c>
      <c r="G104" s="6" t="n">
        <v>0</v>
      </c>
      <c r="H104" s="6" t="n">
        <v>0</v>
      </c>
      <c r="I104" s="6" t="n">
        <v>0</v>
      </c>
      <c r="J104" s="6" t="n">
        <v>0</v>
      </c>
      <c r="K104" s="6" t="n">
        <v>0</v>
      </c>
      <c r="L104" s="6" t="n">
        <v>0</v>
      </c>
      <c r="M104" s="6" t="n">
        <v>0</v>
      </c>
      <c r="N104" s="6" t="n">
        <v>0</v>
      </c>
      <c r="O104" s="6" t="n">
        <v>0</v>
      </c>
      <c r="P104" s="6" t="n">
        <v>0</v>
      </c>
      <c r="Q104" s="6" t="n">
        <v>0</v>
      </c>
      <c r="R104" s="6" t="n">
        <v>1165</v>
      </c>
      <c r="S104" s="6" t="n">
        <v>3675</v>
      </c>
      <c r="T104" s="6" t="n">
        <v>2257</v>
      </c>
      <c r="U104" s="6" t="n">
        <v>1</v>
      </c>
      <c r="V104" s="6" t="n">
        <v>0</v>
      </c>
      <c r="W104" s="6" t="n">
        <v>0</v>
      </c>
      <c r="X104" s="6" t="n">
        <v>0</v>
      </c>
      <c r="Y104" s="6" t="n">
        <v>0</v>
      </c>
      <c r="Z104" s="6" t="n">
        <v>0</v>
      </c>
      <c r="AA104" s="6" t="n">
        <v>0</v>
      </c>
      <c r="AB104" s="6">
        <f>SUM(D104:AA104)</f>
        <v/>
      </c>
      <c r="AC104" s="3" t="inlineStr"/>
      <c r="AD104" s="7">
        <f>'BBB'!AD104+'Bag Staging'!AD104+'Bag Staging Volumetric'!AD104+'FWD FSM'!AD104+'FWD Manual Pre Primary'!AD104+'FWD Manual Primary'!AD104+'FWD Primary with Scan'!AD104+'FWD Secondary'!AD104+'FWD Volumetric'!AD104+'IB'!AD104+'IB Volumetric'!AD104+'OB'!AD104+'OB Volumetric'!AD104+'OSC Bag Sorting'!AD104+'OSC Bag Sorting Volumetric'!AD104+'REV FSM'!AD104+'Rejection Primary with Scan'!AD104+'Rejection Secondary'!AD104+'Rev DC DC Primary Sorting'!AD104+'Rev Primary (FSM Rejections)'!AD104+'Rev Secondary Sorting'!AD104+'VIA Bag Sorting'!AD104</f>
        <v/>
      </c>
      <c r="AE104" s="7">
        <f>'BBB'!AE104+'Bag Staging'!AE104+'Bag Staging Volumetric'!AE104+'FWD FSM'!AE104+'FWD Manual Pre Primary'!AE104+'FWD Manual Primary'!AE104+'FWD Primary with Scan'!AE104+'FWD Secondary'!AE104+'FWD Volumetric'!AE104+'IB'!AE104+'IB Volumetric'!AE104+'OB'!AE104+'OB Volumetric'!AE104+'OSC Bag Sorting'!AE104+'OSC Bag Sorting Volumetric'!AE104+'REV FSM'!AE104+'Rejection Primary with Scan'!AE104+'Rejection Secondary'!AE104+'Rev DC DC Primary Sorting'!AE104+'Rev Primary (FSM Rejections)'!AE104+'Rev Secondary Sorting'!AE104+'VIA Bag Sorting'!AE104</f>
        <v/>
      </c>
      <c r="AF104" s="7">
        <f>'BBB'!AF104+'Bag Staging'!AF104+'Bag Staging Volumetric'!AF104+'FWD FSM'!AF104+'FWD Manual Pre Primary'!AF104+'FWD Manual Primary'!AF104+'FWD Primary with Scan'!AF104+'FWD Secondary'!AF104+'FWD Volumetric'!AF104+'IB'!AF104+'IB Volumetric'!AF104+'OB'!AF104+'OB Volumetric'!AF104+'OSC Bag Sorting'!AF104+'OSC Bag Sorting Volumetric'!AF104+'REV FSM'!AF104+'Rejection Primary with Scan'!AF104+'Rejection Secondary'!AF104+'Rev DC DC Primary Sorting'!AF104+'Rev Primary (FSM Rejections)'!AF104+'Rev Secondary Sorting'!AF104+'VIA Bag Sorting'!AF104</f>
        <v/>
      </c>
      <c r="AG104" s="7">
        <f>'BBB'!AG104+'Bag Staging'!AG104+'Bag Staging Volumetric'!AG104+'FWD FSM'!AG104+'FWD Manual Pre Primary'!AG104+'FWD Manual Primary'!AG104+'FWD Primary with Scan'!AG104+'FWD Secondary'!AG104+'FWD Volumetric'!AG104+'IB'!AG104+'IB Volumetric'!AG104+'OB'!AG104+'OB Volumetric'!AG104+'OSC Bag Sorting'!AG104+'OSC Bag Sorting Volumetric'!AG104+'REV FSM'!AG104+'Rejection Primary with Scan'!AG104+'Rejection Secondary'!AG104+'Rev DC DC Primary Sorting'!AG104+'Rev Primary (FSM Rejections)'!AG104+'Rev Secondary Sorting'!AG104+'VIA Bag Sorting'!AG104</f>
        <v/>
      </c>
      <c r="AH104" s="7">
        <f>'BBB'!AH104+'Bag Staging'!AH104+'Bag Staging Volumetric'!AH104+'FWD FSM'!AH104+'FWD Manual Pre Primary'!AH104+'FWD Manual Primary'!AH104+'FWD Primary with Scan'!AH104+'FWD Secondary'!AH104+'FWD Volumetric'!AH104+'IB'!AH104+'IB Volumetric'!AH104+'OB'!AH104+'OB Volumetric'!AH104+'OSC Bag Sorting'!AH104+'OSC Bag Sorting Volumetric'!AH104+'REV FSM'!AH104+'Rejection Primary with Scan'!AH104+'Rejection Secondary'!AH104+'Rev DC DC Primary Sorting'!AH104+'Rev Primary (FSM Rejections)'!AH104+'Rev Secondary Sorting'!AH104+'VIA Bag Sorting'!AH104</f>
        <v/>
      </c>
      <c r="AI104" s="7">
        <f>'BBB'!AI104+'Bag Staging'!AI104+'Bag Staging Volumetric'!AI104+'FWD FSM'!AI104+'FWD Manual Pre Primary'!AI104+'FWD Manual Primary'!AI104+'FWD Primary with Scan'!AI104+'FWD Secondary'!AI104+'FWD Volumetric'!AI104+'IB'!AI104+'IB Volumetric'!AI104+'OB'!AI104+'OB Volumetric'!AI104+'OSC Bag Sorting'!AI104+'OSC Bag Sorting Volumetric'!AI104+'REV FSM'!AI104+'Rejection Primary with Scan'!AI104+'Rejection Secondary'!AI104+'Rev DC DC Primary Sorting'!AI104+'Rev Primary (FSM Rejections)'!AI104+'Rev Secondary Sorting'!AI104+'VIA Bag Sorting'!AI104</f>
        <v/>
      </c>
      <c r="AJ104" s="7">
        <f>'BBB'!AJ104+'Bag Staging'!AJ104+'Bag Staging Volumetric'!AJ104+'FWD FSM'!AJ104+'FWD Manual Pre Primary'!AJ104+'FWD Manual Primary'!AJ104+'FWD Primary with Scan'!AJ104+'FWD Secondary'!AJ104+'FWD Volumetric'!AJ104+'IB'!AJ104+'IB Volumetric'!AJ104+'OB'!AJ104+'OB Volumetric'!AJ104+'OSC Bag Sorting'!AJ104+'OSC Bag Sorting Volumetric'!AJ104+'REV FSM'!AJ104+'Rejection Primary with Scan'!AJ104+'Rejection Secondary'!AJ104+'Rev DC DC Primary Sorting'!AJ104+'Rev Primary (FSM Rejections)'!AJ104+'Rev Secondary Sorting'!AJ104+'VIA Bag Sorting'!AJ104</f>
        <v/>
      </c>
      <c r="AK104" s="7">
        <f>'BBB'!AK104+'Bag Staging'!AK104+'Bag Staging Volumetric'!AK104+'FWD FSM'!AK104+'FWD Manual Pre Primary'!AK104+'FWD Manual Primary'!AK104+'FWD Primary with Scan'!AK104+'FWD Secondary'!AK104+'FWD Volumetric'!AK104+'IB'!AK104+'IB Volumetric'!AK104+'OB'!AK104+'OB Volumetric'!AK104+'OSC Bag Sorting'!AK104+'OSC Bag Sorting Volumetric'!AK104+'REV FSM'!AK104+'Rejection Primary with Scan'!AK104+'Rejection Secondary'!AK104+'Rev DC DC Primary Sorting'!AK104+'Rev Primary (FSM Rejections)'!AK104+'Rev Secondary Sorting'!AK104+'VIA Bag Sorting'!AK104</f>
        <v/>
      </c>
      <c r="AL104" s="7">
        <f>'BBB'!AL104+'Bag Staging'!AL104+'Bag Staging Volumetric'!AL104+'FWD FSM'!AL104+'FWD Manual Pre Primary'!AL104+'FWD Manual Primary'!AL104+'FWD Primary with Scan'!AL104+'FWD Secondary'!AL104+'FWD Volumetric'!AL104+'IB'!AL104+'IB Volumetric'!AL104+'OB'!AL104+'OB Volumetric'!AL104+'OSC Bag Sorting'!AL104+'OSC Bag Sorting Volumetric'!AL104+'REV FSM'!AL104+'Rejection Primary with Scan'!AL104+'Rejection Secondary'!AL104+'Rev DC DC Primary Sorting'!AL104+'Rev Primary (FSM Rejections)'!AL104+'Rev Secondary Sorting'!AL104+'VIA Bag Sorting'!AL104</f>
        <v/>
      </c>
      <c r="AM104" s="7">
        <f>'BBB'!AM104+'Bag Staging'!AM104+'Bag Staging Volumetric'!AM104+'FWD FSM'!AM104+'FWD Manual Pre Primary'!AM104+'FWD Manual Primary'!AM104+'FWD Primary with Scan'!AM104+'FWD Secondary'!AM104+'FWD Volumetric'!AM104+'IB'!AM104+'IB Volumetric'!AM104+'OB'!AM104+'OB Volumetric'!AM104+'OSC Bag Sorting'!AM104+'OSC Bag Sorting Volumetric'!AM104+'REV FSM'!AM104+'Rejection Primary with Scan'!AM104+'Rejection Secondary'!AM104+'Rev DC DC Primary Sorting'!AM104+'Rev Primary (FSM Rejections)'!AM104+'Rev Secondary Sorting'!AM104+'VIA Bag Sorting'!AM104</f>
        <v/>
      </c>
      <c r="AN104" s="7">
        <f>'BBB'!AN104+'Bag Staging'!AN104+'Bag Staging Volumetric'!AN104+'FWD FSM'!AN104+'FWD Manual Pre Primary'!AN104+'FWD Manual Primary'!AN104+'FWD Primary with Scan'!AN104+'FWD Secondary'!AN104+'FWD Volumetric'!AN104+'IB'!AN104+'IB Volumetric'!AN104+'OB'!AN104+'OB Volumetric'!AN104+'OSC Bag Sorting'!AN104+'OSC Bag Sorting Volumetric'!AN104+'REV FSM'!AN104+'Rejection Primary with Scan'!AN104+'Rejection Secondary'!AN104+'Rev DC DC Primary Sorting'!AN104+'Rev Primary (FSM Rejections)'!AN104+'Rev Secondary Sorting'!AN104+'VIA Bag Sorting'!AN104</f>
        <v/>
      </c>
      <c r="AO104" s="7">
        <f>'BBB'!AO104+'Bag Staging'!AO104+'Bag Staging Volumetric'!AO104+'FWD FSM'!AO104+'FWD Manual Pre Primary'!AO104+'FWD Manual Primary'!AO104+'FWD Primary with Scan'!AO104+'FWD Secondary'!AO104+'FWD Volumetric'!AO104+'IB'!AO104+'IB Volumetric'!AO104+'OB'!AO104+'OB Volumetric'!AO104+'OSC Bag Sorting'!AO104+'OSC Bag Sorting Volumetric'!AO104+'REV FSM'!AO104+'Rejection Primary with Scan'!AO104+'Rejection Secondary'!AO104+'Rev DC DC Primary Sorting'!AO104+'Rev Primary (FSM Rejections)'!AO104+'Rev Secondary Sorting'!AO104+'VIA Bag Sorting'!AO104</f>
        <v/>
      </c>
      <c r="AP104" s="7">
        <f>'BBB'!AP104+'Bag Staging'!AP104+'Bag Staging Volumetric'!AP104+'FWD FSM'!AP104+'FWD Manual Pre Primary'!AP104+'FWD Manual Primary'!AP104+'FWD Primary with Scan'!AP104+'FWD Secondary'!AP104+'FWD Volumetric'!AP104+'IB'!AP104+'IB Volumetric'!AP104+'OB'!AP104+'OB Volumetric'!AP104+'OSC Bag Sorting'!AP104+'OSC Bag Sorting Volumetric'!AP104+'REV FSM'!AP104+'Rejection Primary with Scan'!AP104+'Rejection Secondary'!AP104+'Rev DC DC Primary Sorting'!AP104+'Rev Primary (FSM Rejections)'!AP104+'Rev Secondary Sorting'!AP104+'VIA Bag Sorting'!AP104</f>
        <v/>
      </c>
      <c r="AQ104" s="7">
        <f>'BBB'!AQ104+'Bag Staging'!AQ104+'Bag Staging Volumetric'!AQ104+'FWD FSM'!AQ104+'FWD Manual Pre Primary'!AQ104+'FWD Manual Primary'!AQ104+'FWD Primary with Scan'!AQ104+'FWD Secondary'!AQ104+'FWD Volumetric'!AQ104+'IB'!AQ104+'IB Volumetric'!AQ104+'OB'!AQ104+'OB Volumetric'!AQ104+'OSC Bag Sorting'!AQ104+'OSC Bag Sorting Volumetric'!AQ104+'REV FSM'!AQ104+'Rejection Primary with Scan'!AQ104+'Rejection Secondary'!AQ104+'Rev DC DC Primary Sorting'!AQ104+'Rev Primary (FSM Rejections)'!AQ104+'Rev Secondary Sorting'!AQ104+'VIA Bag Sorting'!AQ104</f>
        <v/>
      </c>
      <c r="AR104" s="7">
        <f>'BBB'!AR104+'Bag Staging'!AR104+'Bag Staging Volumetric'!AR104+'FWD FSM'!AR104+'FWD Manual Pre Primary'!AR104+'FWD Manual Primary'!AR104+'FWD Primary with Scan'!AR104+'FWD Secondary'!AR104+'FWD Volumetric'!AR104+'IB'!AR104+'IB Volumetric'!AR104+'OB'!AR104+'OB Volumetric'!AR104+'OSC Bag Sorting'!AR104+'OSC Bag Sorting Volumetric'!AR104+'REV FSM'!AR104+'Rejection Primary with Scan'!AR104+'Rejection Secondary'!AR104+'Rev DC DC Primary Sorting'!AR104+'Rev Primary (FSM Rejections)'!AR104+'Rev Secondary Sorting'!AR104+'VIA Bag Sorting'!AR104</f>
        <v/>
      </c>
      <c r="AS104" s="7">
        <f>'BBB'!AS104+'Bag Staging'!AS104+'Bag Staging Volumetric'!AS104+'FWD FSM'!AS104+'FWD Manual Pre Primary'!AS104+'FWD Manual Primary'!AS104+'FWD Primary with Scan'!AS104+'FWD Secondary'!AS104+'FWD Volumetric'!AS104+'IB'!AS104+'IB Volumetric'!AS104+'OB'!AS104+'OB Volumetric'!AS104+'OSC Bag Sorting'!AS104+'OSC Bag Sorting Volumetric'!AS104+'REV FSM'!AS104+'Rejection Primary with Scan'!AS104+'Rejection Secondary'!AS104+'Rev DC DC Primary Sorting'!AS104+'Rev Primary (FSM Rejections)'!AS104+'Rev Secondary Sorting'!AS104+'VIA Bag Sorting'!AS104</f>
        <v/>
      </c>
      <c r="AT104" s="7">
        <f>'BBB'!AT104+'Bag Staging'!AT104+'Bag Staging Volumetric'!AT104+'FWD FSM'!AT104+'FWD Manual Pre Primary'!AT104+'FWD Manual Primary'!AT104+'FWD Primary with Scan'!AT104+'FWD Secondary'!AT104+'FWD Volumetric'!AT104+'IB'!AT104+'IB Volumetric'!AT104+'OB'!AT104+'OB Volumetric'!AT104+'OSC Bag Sorting'!AT104+'OSC Bag Sorting Volumetric'!AT104+'REV FSM'!AT104+'Rejection Primary with Scan'!AT104+'Rejection Secondary'!AT104+'Rev DC DC Primary Sorting'!AT104+'Rev Primary (FSM Rejections)'!AT104+'Rev Secondary Sorting'!AT104+'VIA Bag Sorting'!AT104</f>
        <v/>
      </c>
      <c r="AU104" s="7">
        <f>'BBB'!AU104+'Bag Staging'!AU104+'Bag Staging Volumetric'!AU104+'FWD FSM'!AU104+'FWD Manual Pre Primary'!AU104+'FWD Manual Primary'!AU104+'FWD Primary with Scan'!AU104+'FWD Secondary'!AU104+'FWD Volumetric'!AU104+'IB'!AU104+'IB Volumetric'!AU104+'OB'!AU104+'OB Volumetric'!AU104+'OSC Bag Sorting'!AU104+'OSC Bag Sorting Volumetric'!AU104+'REV FSM'!AU104+'Rejection Primary with Scan'!AU104+'Rejection Secondary'!AU104+'Rev DC DC Primary Sorting'!AU104+'Rev Primary (FSM Rejections)'!AU104+'Rev Secondary Sorting'!AU104+'VIA Bag Sorting'!AU104</f>
        <v/>
      </c>
      <c r="AV104" s="7">
        <f>'BBB'!AV104+'Bag Staging'!AV104+'Bag Staging Volumetric'!AV104+'FWD FSM'!AV104+'FWD Manual Pre Primary'!AV104+'FWD Manual Primary'!AV104+'FWD Primary with Scan'!AV104+'FWD Secondary'!AV104+'FWD Volumetric'!AV104+'IB'!AV104+'IB Volumetric'!AV104+'OB'!AV104+'OB Volumetric'!AV104+'OSC Bag Sorting'!AV104+'OSC Bag Sorting Volumetric'!AV104+'REV FSM'!AV104+'Rejection Primary with Scan'!AV104+'Rejection Secondary'!AV104+'Rev DC DC Primary Sorting'!AV104+'Rev Primary (FSM Rejections)'!AV104+'Rev Secondary Sorting'!AV104+'VIA Bag Sorting'!AV104</f>
        <v/>
      </c>
      <c r="AW104" s="7">
        <f>'BBB'!AW104+'Bag Staging'!AW104+'Bag Staging Volumetric'!AW104+'FWD FSM'!AW104+'FWD Manual Pre Primary'!AW104+'FWD Manual Primary'!AW104+'FWD Primary with Scan'!AW104+'FWD Secondary'!AW104+'FWD Volumetric'!AW104+'IB'!AW104+'IB Volumetric'!AW104+'OB'!AW104+'OB Volumetric'!AW104+'OSC Bag Sorting'!AW104+'OSC Bag Sorting Volumetric'!AW104+'REV FSM'!AW104+'Rejection Primary with Scan'!AW104+'Rejection Secondary'!AW104+'Rev DC DC Primary Sorting'!AW104+'Rev Primary (FSM Rejections)'!AW104+'Rev Secondary Sorting'!AW104+'VIA Bag Sorting'!AW104</f>
        <v/>
      </c>
      <c r="AX104" s="7">
        <f>'BBB'!AX104+'Bag Staging'!AX104+'Bag Staging Volumetric'!AX104+'FWD FSM'!AX104+'FWD Manual Pre Primary'!AX104+'FWD Manual Primary'!AX104+'FWD Primary with Scan'!AX104+'FWD Secondary'!AX104+'FWD Volumetric'!AX104+'IB'!AX104+'IB Volumetric'!AX104+'OB'!AX104+'OB Volumetric'!AX104+'OSC Bag Sorting'!AX104+'OSC Bag Sorting Volumetric'!AX104+'REV FSM'!AX104+'Rejection Primary with Scan'!AX104+'Rejection Secondary'!AX104+'Rev DC DC Primary Sorting'!AX104+'Rev Primary (FSM Rejections)'!AX104+'Rev Secondary Sorting'!AX104+'VIA Bag Sorting'!AX104</f>
        <v/>
      </c>
      <c r="AY104" s="7">
        <f>'BBB'!AY104+'Bag Staging'!AY104+'Bag Staging Volumetric'!AY104+'FWD FSM'!AY104+'FWD Manual Pre Primary'!AY104+'FWD Manual Primary'!AY104+'FWD Primary with Scan'!AY104+'FWD Secondary'!AY104+'FWD Volumetric'!AY104+'IB'!AY104+'IB Volumetric'!AY104+'OB'!AY104+'OB Volumetric'!AY104+'OSC Bag Sorting'!AY104+'OSC Bag Sorting Volumetric'!AY104+'REV FSM'!AY104+'Rejection Primary with Scan'!AY104+'Rejection Secondary'!AY104+'Rev DC DC Primary Sorting'!AY104+'Rev Primary (FSM Rejections)'!AY104+'Rev Secondary Sorting'!AY104+'VIA Bag Sorting'!AY104</f>
        <v/>
      </c>
      <c r="AZ104" s="7">
        <f>'BBB'!AZ104+'Bag Staging'!AZ104+'Bag Staging Volumetric'!AZ104+'FWD FSM'!AZ104+'FWD Manual Pre Primary'!AZ104+'FWD Manual Primary'!AZ104+'FWD Primary with Scan'!AZ104+'FWD Secondary'!AZ104+'FWD Volumetric'!AZ104+'IB'!AZ104+'IB Volumetric'!AZ104+'OB'!AZ104+'OB Volumetric'!AZ104+'OSC Bag Sorting'!AZ104+'OSC Bag Sorting Volumetric'!AZ104+'REV FSM'!AZ104+'Rejection Primary with Scan'!AZ104+'Rejection Secondary'!AZ104+'Rev DC DC Primary Sorting'!AZ104+'Rev Primary (FSM Rejections)'!AZ104+'Rev Secondary Sorting'!AZ104+'VIA Bag Sorting'!AZ104</f>
        <v/>
      </c>
      <c r="BA104" s="7">
        <f>'BBB'!BA104+'Bag Staging'!BA104+'Bag Staging Volumetric'!BA104+'FWD FSM'!BA104+'FWD Manual Pre Primary'!BA104+'FWD Manual Primary'!BA104+'FWD Primary with Scan'!BA104+'FWD Secondary'!BA104+'FWD Volumetric'!BA104+'IB'!BA104+'IB Volumetric'!BA104+'OB'!BA104+'OB Volumetric'!BA104+'OSC Bag Sorting'!BA104+'OSC Bag Sorting Volumetric'!BA104+'REV FSM'!BA104+'Rejection Primary with Scan'!BA104+'Rejection Secondary'!BA104+'Rev DC DC Primary Sorting'!BA104+'Rev Primary (FSM Rejections)'!BA104+'Rev Secondary Sorting'!BA104+'VIA Bag Sorting'!BA104</f>
        <v/>
      </c>
      <c r="BB104" s="7">
        <f>SUM(AD104:BA104)</f>
        <v/>
      </c>
    </row>
    <row r="105">
      <c r="A105" t="inlineStr">
        <is>
          <t>AMD-RTS-RCLS-1302-SSC_1</t>
        </is>
      </c>
      <c r="B105" t="inlineStr">
        <is>
          <t>Rev OSC</t>
        </is>
      </c>
      <c r="C105" s="5" t="n">
        <v>46103</v>
      </c>
      <c r="D105" s="6" t="n">
        <v>0</v>
      </c>
      <c r="E105" s="6" t="n">
        <v>0</v>
      </c>
      <c r="F105" s="6" t="n">
        <v>0</v>
      </c>
      <c r="G105" s="6" t="n">
        <v>0</v>
      </c>
      <c r="H105" s="6" t="n">
        <v>0</v>
      </c>
      <c r="I105" s="6" t="n">
        <v>0</v>
      </c>
      <c r="J105" s="6" t="n">
        <v>0</v>
      </c>
      <c r="K105" s="6" t="n">
        <v>0</v>
      </c>
      <c r="L105" s="6" t="n">
        <v>0</v>
      </c>
      <c r="M105" s="6" t="n">
        <v>0</v>
      </c>
      <c r="N105" s="6" t="n">
        <v>0</v>
      </c>
      <c r="O105" s="6" t="n">
        <v>0</v>
      </c>
      <c r="P105" s="6" t="n">
        <v>0</v>
      </c>
      <c r="Q105" s="6" t="n">
        <v>0</v>
      </c>
      <c r="R105" s="6" t="n">
        <v>0</v>
      </c>
      <c r="S105" s="6" t="n">
        <v>0</v>
      </c>
      <c r="T105" s="6" t="n">
        <v>1643</v>
      </c>
      <c r="U105" s="6" t="n">
        <v>3</v>
      </c>
      <c r="V105" s="6" t="n">
        <v>0</v>
      </c>
      <c r="W105" s="6" t="n">
        <v>0</v>
      </c>
      <c r="X105" s="6" t="n">
        <v>0</v>
      </c>
      <c r="Y105" s="6" t="n">
        <v>0</v>
      </c>
      <c r="Z105" s="6" t="n">
        <v>0</v>
      </c>
      <c r="AA105" s="6" t="n">
        <v>0</v>
      </c>
      <c r="AB105" s="6">
        <f>SUM(D105:AA105)</f>
        <v/>
      </c>
      <c r="AC105" s="3" t="inlineStr"/>
      <c r="AD105" s="7">
        <f>'BBB'!AD105+'Bag Staging'!AD105+'Bag Staging Volumetric'!AD105+'FWD FSM'!AD105+'FWD Manual Pre Primary'!AD105+'FWD Manual Primary'!AD105+'FWD Primary with Scan'!AD105+'FWD Secondary'!AD105+'FWD Volumetric'!AD105+'IB'!AD105+'IB Volumetric'!AD105+'OB'!AD105+'OB Volumetric'!AD105+'OSC Bag Sorting'!AD105+'OSC Bag Sorting Volumetric'!AD105+'REV FSM'!AD105+'Rejection Primary with Scan'!AD105+'Rejection Secondary'!AD105+'Rev DC DC Primary Sorting'!AD105+'Rev Primary (FSM Rejections)'!AD105+'Rev Secondary Sorting'!AD105+'VIA Bag Sorting'!AD105</f>
        <v/>
      </c>
      <c r="AE105" s="7">
        <f>'BBB'!AE105+'Bag Staging'!AE105+'Bag Staging Volumetric'!AE105+'FWD FSM'!AE105+'FWD Manual Pre Primary'!AE105+'FWD Manual Primary'!AE105+'FWD Primary with Scan'!AE105+'FWD Secondary'!AE105+'FWD Volumetric'!AE105+'IB'!AE105+'IB Volumetric'!AE105+'OB'!AE105+'OB Volumetric'!AE105+'OSC Bag Sorting'!AE105+'OSC Bag Sorting Volumetric'!AE105+'REV FSM'!AE105+'Rejection Primary with Scan'!AE105+'Rejection Secondary'!AE105+'Rev DC DC Primary Sorting'!AE105+'Rev Primary (FSM Rejections)'!AE105+'Rev Secondary Sorting'!AE105+'VIA Bag Sorting'!AE105</f>
        <v/>
      </c>
      <c r="AF105" s="7">
        <f>'BBB'!AF105+'Bag Staging'!AF105+'Bag Staging Volumetric'!AF105+'FWD FSM'!AF105+'FWD Manual Pre Primary'!AF105+'FWD Manual Primary'!AF105+'FWD Primary with Scan'!AF105+'FWD Secondary'!AF105+'FWD Volumetric'!AF105+'IB'!AF105+'IB Volumetric'!AF105+'OB'!AF105+'OB Volumetric'!AF105+'OSC Bag Sorting'!AF105+'OSC Bag Sorting Volumetric'!AF105+'REV FSM'!AF105+'Rejection Primary with Scan'!AF105+'Rejection Secondary'!AF105+'Rev DC DC Primary Sorting'!AF105+'Rev Primary (FSM Rejections)'!AF105+'Rev Secondary Sorting'!AF105+'VIA Bag Sorting'!AF105</f>
        <v/>
      </c>
      <c r="AG105" s="7">
        <f>'BBB'!AG105+'Bag Staging'!AG105+'Bag Staging Volumetric'!AG105+'FWD FSM'!AG105+'FWD Manual Pre Primary'!AG105+'FWD Manual Primary'!AG105+'FWD Primary with Scan'!AG105+'FWD Secondary'!AG105+'FWD Volumetric'!AG105+'IB'!AG105+'IB Volumetric'!AG105+'OB'!AG105+'OB Volumetric'!AG105+'OSC Bag Sorting'!AG105+'OSC Bag Sorting Volumetric'!AG105+'REV FSM'!AG105+'Rejection Primary with Scan'!AG105+'Rejection Secondary'!AG105+'Rev DC DC Primary Sorting'!AG105+'Rev Primary (FSM Rejections)'!AG105+'Rev Secondary Sorting'!AG105+'VIA Bag Sorting'!AG105</f>
        <v/>
      </c>
      <c r="AH105" s="7">
        <f>'BBB'!AH105+'Bag Staging'!AH105+'Bag Staging Volumetric'!AH105+'FWD FSM'!AH105+'FWD Manual Pre Primary'!AH105+'FWD Manual Primary'!AH105+'FWD Primary with Scan'!AH105+'FWD Secondary'!AH105+'FWD Volumetric'!AH105+'IB'!AH105+'IB Volumetric'!AH105+'OB'!AH105+'OB Volumetric'!AH105+'OSC Bag Sorting'!AH105+'OSC Bag Sorting Volumetric'!AH105+'REV FSM'!AH105+'Rejection Primary with Scan'!AH105+'Rejection Secondary'!AH105+'Rev DC DC Primary Sorting'!AH105+'Rev Primary (FSM Rejections)'!AH105+'Rev Secondary Sorting'!AH105+'VIA Bag Sorting'!AH105</f>
        <v/>
      </c>
      <c r="AI105" s="7">
        <f>'BBB'!AI105+'Bag Staging'!AI105+'Bag Staging Volumetric'!AI105+'FWD FSM'!AI105+'FWD Manual Pre Primary'!AI105+'FWD Manual Primary'!AI105+'FWD Primary with Scan'!AI105+'FWD Secondary'!AI105+'FWD Volumetric'!AI105+'IB'!AI105+'IB Volumetric'!AI105+'OB'!AI105+'OB Volumetric'!AI105+'OSC Bag Sorting'!AI105+'OSC Bag Sorting Volumetric'!AI105+'REV FSM'!AI105+'Rejection Primary with Scan'!AI105+'Rejection Secondary'!AI105+'Rev DC DC Primary Sorting'!AI105+'Rev Primary (FSM Rejections)'!AI105+'Rev Secondary Sorting'!AI105+'VIA Bag Sorting'!AI105</f>
        <v/>
      </c>
      <c r="AJ105" s="7">
        <f>'BBB'!AJ105+'Bag Staging'!AJ105+'Bag Staging Volumetric'!AJ105+'FWD FSM'!AJ105+'FWD Manual Pre Primary'!AJ105+'FWD Manual Primary'!AJ105+'FWD Primary with Scan'!AJ105+'FWD Secondary'!AJ105+'FWD Volumetric'!AJ105+'IB'!AJ105+'IB Volumetric'!AJ105+'OB'!AJ105+'OB Volumetric'!AJ105+'OSC Bag Sorting'!AJ105+'OSC Bag Sorting Volumetric'!AJ105+'REV FSM'!AJ105+'Rejection Primary with Scan'!AJ105+'Rejection Secondary'!AJ105+'Rev DC DC Primary Sorting'!AJ105+'Rev Primary (FSM Rejections)'!AJ105+'Rev Secondary Sorting'!AJ105+'VIA Bag Sorting'!AJ105</f>
        <v/>
      </c>
      <c r="AK105" s="7">
        <f>'BBB'!AK105+'Bag Staging'!AK105+'Bag Staging Volumetric'!AK105+'FWD FSM'!AK105+'FWD Manual Pre Primary'!AK105+'FWD Manual Primary'!AK105+'FWD Primary with Scan'!AK105+'FWD Secondary'!AK105+'FWD Volumetric'!AK105+'IB'!AK105+'IB Volumetric'!AK105+'OB'!AK105+'OB Volumetric'!AK105+'OSC Bag Sorting'!AK105+'OSC Bag Sorting Volumetric'!AK105+'REV FSM'!AK105+'Rejection Primary with Scan'!AK105+'Rejection Secondary'!AK105+'Rev DC DC Primary Sorting'!AK105+'Rev Primary (FSM Rejections)'!AK105+'Rev Secondary Sorting'!AK105+'VIA Bag Sorting'!AK105</f>
        <v/>
      </c>
      <c r="AL105" s="7">
        <f>'BBB'!AL105+'Bag Staging'!AL105+'Bag Staging Volumetric'!AL105+'FWD FSM'!AL105+'FWD Manual Pre Primary'!AL105+'FWD Manual Primary'!AL105+'FWD Primary with Scan'!AL105+'FWD Secondary'!AL105+'FWD Volumetric'!AL105+'IB'!AL105+'IB Volumetric'!AL105+'OB'!AL105+'OB Volumetric'!AL105+'OSC Bag Sorting'!AL105+'OSC Bag Sorting Volumetric'!AL105+'REV FSM'!AL105+'Rejection Primary with Scan'!AL105+'Rejection Secondary'!AL105+'Rev DC DC Primary Sorting'!AL105+'Rev Primary (FSM Rejections)'!AL105+'Rev Secondary Sorting'!AL105+'VIA Bag Sorting'!AL105</f>
        <v/>
      </c>
      <c r="AM105" s="7">
        <f>'BBB'!AM105+'Bag Staging'!AM105+'Bag Staging Volumetric'!AM105+'FWD FSM'!AM105+'FWD Manual Pre Primary'!AM105+'FWD Manual Primary'!AM105+'FWD Primary with Scan'!AM105+'FWD Secondary'!AM105+'FWD Volumetric'!AM105+'IB'!AM105+'IB Volumetric'!AM105+'OB'!AM105+'OB Volumetric'!AM105+'OSC Bag Sorting'!AM105+'OSC Bag Sorting Volumetric'!AM105+'REV FSM'!AM105+'Rejection Primary with Scan'!AM105+'Rejection Secondary'!AM105+'Rev DC DC Primary Sorting'!AM105+'Rev Primary (FSM Rejections)'!AM105+'Rev Secondary Sorting'!AM105+'VIA Bag Sorting'!AM105</f>
        <v/>
      </c>
      <c r="AN105" s="7">
        <f>'BBB'!AN105+'Bag Staging'!AN105+'Bag Staging Volumetric'!AN105+'FWD FSM'!AN105+'FWD Manual Pre Primary'!AN105+'FWD Manual Primary'!AN105+'FWD Primary with Scan'!AN105+'FWD Secondary'!AN105+'FWD Volumetric'!AN105+'IB'!AN105+'IB Volumetric'!AN105+'OB'!AN105+'OB Volumetric'!AN105+'OSC Bag Sorting'!AN105+'OSC Bag Sorting Volumetric'!AN105+'REV FSM'!AN105+'Rejection Primary with Scan'!AN105+'Rejection Secondary'!AN105+'Rev DC DC Primary Sorting'!AN105+'Rev Primary (FSM Rejections)'!AN105+'Rev Secondary Sorting'!AN105+'VIA Bag Sorting'!AN105</f>
        <v/>
      </c>
      <c r="AO105" s="7">
        <f>'BBB'!AO105+'Bag Staging'!AO105+'Bag Staging Volumetric'!AO105+'FWD FSM'!AO105+'FWD Manual Pre Primary'!AO105+'FWD Manual Primary'!AO105+'FWD Primary with Scan'!AO105+'FWD Secondary'!AO105+'FWD Volumetric'!AO105+'IB'!AO105+'IB Volumetric'!AO105+'OB'!AO105+'OB Volumetric'!AO105+'OSC Bag Sorting'!AO105+'OSC Bag Sorting Volumetric'!AO105+'REV FSM'!AO105+'Rejection Primary with Scan'!AO105+'Rejection Secondary'!AO105+'Rev DC DC Primary Sorting'!AO105+'Rev Primary (FSM Rejections)'!AO105+'Rev Secondary Sorting'!AO105+'VIA Bag Sorting'!AO105</f>
        <v/>
      </c>
      <c r="AP105" s="7">
        <f>'BBB'!AP105+'Bag Staging'!AP105+'Bag Staging Volumetric'!AP105+'FWD FSM'!AP105+'FWD Manual Pre Primary'!AP105+'FWD Manual Primary'!AP105+'FWD Primary with Scan'!AP105+'FWD Secondary'!AP105+'FWD Volumetric'!AP105+'IB'!AP105+'IB Volumetric'!AP105+'OB'!AP105+'OB Volumetric'!AP105+'OSC Bag Sorting'!AP105+'OSC Bag Sorting Volumetric'!AP105+'REV FSM'!AP105+'Rejection Primary with Scan'!AP105+'Rejection Secondary'!AP105+'Rev DC DC Primary Sorting'!AP105+'Rev Primary (FSM Rejections)'!AP105+'Rev Secondary Sorting'!AP105+'VIA Bag Sorting'!AP105</f>
        <v/>
      </c>
      <c r="AQ105" s="7">
        <f>'BBB'!AQ105+'Bag Staging'!AQ105+'Bag Staging Volumetric'!AQ105+'FWD FSM'!AQ105+'FWD Manual Pre Primary'!AQ105+'FWD Manual Primary'!AQ105+'FWD Primary with Scan'!AQ105+'FWD Secondary'!AQ105+'FWD Volumetric'!AQ105+'IB'!AQ105+'IB Volumetric'!AQ105+'OB'!AQ105+'OB Volumetric'!AQ105+'OSC Bag Sorting'!AQ105+'OSC Bag Sorting Volumetric'!AQ105+'REV FSM'!AQ105+'Rejection Primary with Scan'!AQ105+'Rejection Secondary'!AQ105+'Rev DC DC Primary Sorting'!AQ105+'Rev Primary (FSM Rejections)'!AQ105+'Rev Secondary Sorting'!AQ105+'VIA Bag Sorting'!AQ105</f>
        <v/>
      </c>
      <c r="AR105" s="7">
        <f>'BBB'!AR105+'Bag Staging'!AR105+'Bag Staging Volumetric'!AR105+'FWD FSM'!AR105+'FWD Manual Pre Primary'!AR105+'FWD Manual Primary'!AR105+'FWD Primary with Scan'!AR105+'FWD Secondary'!AR105+'FWD Volumetric'!AR105+'IB'!AR105+'IB Volumetric'!AR105+'OB'!AR105+'OB Volumetric'!AR105+'OSC Bag Sorting'!AR105+'OSC Bag Sorting Volumetric'!AR105+'REV FSM'!AR105+'Rejection Primary with Scan'!AR105+'Rejection Secondary'!AR105+'Rev DC DC Primary Sorting'!AR105+'Rev Primary (FSM Rejections)'!AR105+'Rev Secondary Sorting'!AR105+'VIA Bag Sorting'!AR105</f>
        <v/>
      </c>
      <c r="AS105" s="7">
        <f>'BBB'!AS105+'Bag Staging'!AS105+'Bag Staging Volumetric'!AS105+'FWD FSM'!AS105+'FWD Manual Pre Primary'!AS105+'FWD Manual Primary'!AS105+'FWD Primary with Scan'!AS105+'FWD Secondary'!AS105+'FWD Volumetric'!AS105+'IB'!AS105+'IB Volumetric'!AS105+'OB'!AS105+'OB Volumetric'!AS105+'OSC Bag Sorting'!AS105+'OSC Bag Sorting Volumetric'!AS105+'REV FSM'!AS105+'Rejection Primary with Scan'!AS105+'Rejection Secondary'!AS105+'Rev DC DC Primary Sorting'!AS105+'Rev Primary (FSM Rejections)'!AS105+'Rev Secondary Sorting'!AS105+'VIA Bag Sorting'!AS105</f>
        <v/>
      </c>
      <c r="AT105" s="7">
        <f>'BBB'!AT105+'Bag Staging'!AT105+'Bag Staging Volumetric'!AT105+'FWD FSM'!AT105+'FWD Manual Pre Primary'!AT105+'FWD Manual Primary'!AT105+'FWD Primary with Scan'!AT105+'FWD Secondary'!AT105+'FWD Volumetric'!AT105+'IB'!AT105+'IB Volumetric'!AT105+'OB'!AT105+'OB Volumetric'!AT105+'OSC Bag Sorting'!AT105+'OSC Bag Sorting Volumetric'!AT105+'REV FSM'!AT105+'Rejection Primary with Scan'!AT105+'Rejection Secondary'!AT105+'Rev DC DC Primary Sorting'!AT105+'Rev Primary (FSM Rejections)'!AT105+'Rev Secondary Sorting'!AT105+'VIA Bag Sorting'!AT105</f>
        <v/>
      </c>
      <c r="AU105" s="7">
        <f>'BBB'!AU105+'Bag Staging'!AU105+'Bag Staging Volumetric'!AU105+'FWD FSM'!AU105+'FWD Manual Pre Primary'!AU105+'FWD Manual Primary'!AU105+'FWD Primary with Scan'!AU105+'FWD Secondary'!AU105+'FWD Volumetric'!AU105+'IB'!AU105+'IB Volumetric'!AU105+'OB'!AU105+'OB Volumetric'!AU105+'OSC Bag Sorting'!AU105+'OSC Bag Sorting Volumetric'!AU105+'REV FSM'!AU105+'Rejection Primary with Scan'!AU105+'Rejection Secondary'!AU105+'Rev DC DC Primary Sorting'!AU105+'Rev Primary (FSM Rejections)'!AU105+'Rev Secondary Sorting'!AU105+'VIA Bag Sorting'!AU105</f>
        <v/>
      </c>
      <c r="AV105" s="7">
        <f>'BBB'!AV105+'Bag Staging'!AV105+'Bag Staging Volumetric'!AV105+'FWD FSM'!AV105+'FWD Manual Pre Primary'!AV105+'FWD Manual Primary'!AV105+'FWD Primary with Scan'!AV105+'FWD Secondary'!AV105+'FWD Volumetric'!AV105+'IB'!AV105+'IB Volumetric'!AV105+'OB'!AV105+'OB Volumetric'!AV105+'OSC Bag Sorting'!AV105+'OSC Bag Sorting Volumetric'!AV105+'REV FSM'!AV105+'Rejection Primary with Scan'!AV105+'Rejection Secondary'!AV105+'Rev DC DC Primary Sorting'!AV105+'Rev Primary (FSM Rejections)'!AV105+'Rev Secondary Sorting'!AV105+'VIA Bag Sorting'!AV105</f>
        <v/>
      </c>
      <c r="AW105" s="7">
        <f>'BBB'!AW105+'Bag Staging'!AW105+'Bag Staging Volumetric'!AW105+'FWD FSM'!AW105+'FWD Manual Pre Primary'!AW105+'FWD Manual Primary'!AW105+'FWD Primary with Scan'!AW105+'FWD Secondary'!AW105+'FWD Volumetric'!AW105+'IB'!AW105+'IB Volumetric'!AW105+'OB'!AW105+'OB Volumetric'!AW105+'OSC Bag Sorting'!AW105+'OSC Bag Sorting Volumetric'!AW105+'REV FSM'!AW105+'Rejection Primary with Scan'!AW105+'Rejection Secondary'!AW105+'Rev DC DC Primary Sorting'!AW105+'Rev Primary (FSM Rejections)'!AW105+'Rev Secondary Sorting'!AW105+'VIA Bag Sorting'!AW105</f>
        <v/>
      </c>
      <c r="AX105" s="7">
        <f>'BBB'!AX105+'Bag Staging'!AX105+'Bag Staging Volumetric'!AX105+'FWD FSM'!AX105+'FWD Manual Pre Primary'!AX105+'FWD Manual Primary'!AX105+'FWD Primary with Scan'!AX105+'FWD Secondary'!AX105+'FWD Volumetric'!AX105+'IB'!AX105+'IB Volumetric'!AX105+'OB'!AX105+'OB Volumetric'!AX105+'OSC Bag Sorting'!AX105+'OSC Bag Sorting Volumetric'!AX105+'REV FSM'!AX105+'Rejection Primary with Scan'!AX105+'Rejection Secondary'!AX105+'Rev DC DC Primary Sorting'!AX105+'Rev Primary (FSM Rejections)'!AX105+'Rev Secondary Sorting'!AX105+'VIA Bag Sorting'!AX105</f>
        <v/>
      </c>
      <c r="AY105" s="7">
        <f>'BBB'!AY105+'Bag Staging'!AY105+'Bag Staging Volumetric'!AY105+'FWD FSM'!AY105+'FWD Manual Pre Primary'!AY105+'FWD Manual Primary'!AY105+'FWD Primary with Scan'!AY105+'FWD Secondary'!AY105+'FWD Volumetric'!AY105+'IB'!AY105+'IB Volumetric'!AY105+'OB'!AY105+'OB Volumetric'!AY105+'OSC Bag Sorting'!AY105+'OSC Bag Sorting Volumetric'!AY105+'REV FSM'!AY105+'Rejection Primary with Scan'!AY105+'Rejection Secondary'!AY105+'Rev DC DC Primary Sorting'!AY105+'Rev Primary (FSM Rejections)'!AY105+'Rev Secondary Sorting'!AY105+'VIA Bag Sorting'!AY105</f>
        <v/>
      </c>
      <c r="AZ105" s="7">
        <f>'BBB'!AZ105+'Bag Staging'!AZ105+'Bag Staging Volumetric'!AZ105+'FWD FSM'!AZ105+'FWD Manual Pre Primary'!AZ105+'FWD Manual Primary'!AZ105+'FWD Primary with Scan'!AZ105+'FWD Secondary'!AZ105+'FWD Volumetric'!AZ105+'IB'!AZ105+'IB Volumetric'!AZ105+'OB'!AZ105+'OB Volumetric'!AZ105+'OSC Bag Sorting'!AZ105+'OSC Bag Sorting Volumetric'!AZ105+'REV FSM'!AZ105+'Rejection Primary with Scan'!AZ105+'Rejection Secondary'!AZ105+'Rev DC DC Primary Sorting'!AZ105+'Rev Primary (FSM Rejections)'!AZ105+'Rev Secondary Sorting'!AZ105+'VIA Bag Sorting'!AZ105</f>
        <v/>
      </c>
      <c r="BA105" s="7">
        <f>'BBB'!BA105+'Bag Staging'!BA105+'Bag Staging Volumetric'!BA105+'FWD FSM'!BA105+'FWD Manual Pre Primary'!BA105+'FWD Manual Primary'!BA105+'FWD Primary with Scan'!BA105+'FWD Secondary'!BA105+'FWD Volumetric'!BA105+'IB'!BA105+'IB Volumetric'!BA105+'OB'!BA105+'OB Volumetric'!BA105+'OSC Bag Sorting'!BA105+'OSC Bag Sorting Volumetric'!BA105+'REV FSM'!BA105+'Rejection Primary with Scan'!BA105+'Rejection Secondary'!BA105+'Rev DC DC Primary Sorting'!BA105+'Rev Primary (FSM Rejections)'!BA105+'Rev Secondary Sorting'!BA105+'VIA Bag Sorting'!BA105</f>
        <v/>
      </c>
      <c r="BB105" s="7">
        <f>SUM(AD105:BA105)</f>
        <v/>
      </c>
    </row>
    <row r="106">
      <c r="A106" t="inlineStr">
        <is>
          <t>AMD-RTS-RCLS-1302-SSC_1</t>
        </is>
      </c>
      <c r="B106" t="inlineStr">
        <is>
          <t>Rev OSC</t>
        </is>
      </c>
      <c r="C106" s="5" t="n">
        <v>46104</v>
      </c>
      <c r="D106" s="6" t="n">
        <v>0</v>
      </c>
      <c r="E106" s="6" t="n">
        <v>0</v>
      </c>
      <c r="F106" s="6" t="n">
        <v>0</v>
      </c>
      <c r="G106" s="6" t="n">
        <v>0</v>
      </c>
      <c r="H106" s="6" t="n">
        <v>0</v>
      </c>
      <c r="I106" s="6" t="n">
        <v>0</v>
      </c>
      <c r="J106" s="6" t="n">
        <v>0</v>
      </c>
      <c r="K106" s="6" t="n">
        <v>0</v>
      </c>
      <c r="L106" s="6" t="n">
        <v>0</v>
      </c>
      <c r="M106" s="6" t="n">
        <v>0</v>
      </c>
      <c r="N106" s="6" t="n">
        <v>0</v>
      </c>
      <c r="O106" s="6" t="n">
        <v>870</v>
      </c>
      <c r="P106" s="6" t="n">
        <v>312</v>
      </c>
      <c r="Q106" s="6" t="n">
        <v>4071</v>
      </c>
      <c r="R106" s="6" t="n">
        <v>3441</v>
      </c>
      <c r="S106" s="6" t="n">
        <v>3003</v>
      </c>
      <c r="T106" s="6" t="n">
        <v>1142</v>
      </c>
      <c r="U106" s="6" t="n">
        <v>0</v>
      </c>
      <c r="V106" s="6" t="n">
        <v>0</v>
      </c>
      <c r="W106" s="6" t="n">
        <v>22</v>
      </c>
      <c r="X106" s="6" t="n">
        <v>354</v>
      </c>
      <c r="Y106" s="6" t="n">
        <v>522</v>
      </c>
      <c r="Z106" s="6" t="n">
        <v>0</v>
      </c>
      <c r="AA106" s="6" t="n">
        <v>0</v>
      </c>
      <c r="AB106" s="6">
        <f>SUM(D106:AA106)</f>
        <v/>
      </c>
      <c r="AC106" s="3" t="inlineStr"/>
      <c r="AD106" s="7">
        <f>'BBB'!AD106+'Bag Staging'!AD106+'Bag Staging Volumetric'!AD106+'FWD FSM'!AD106+'FWD Manual Pre Primary'!AD106+'FWD Manual Primary'!AD106+'FWD Primary with Scan'!AD106+'FWD Secondary'!AD106+'FWD Volumetric'!AD106+'IB'!AD106+'IB Volumetric'!AD106+'OB'!AD106+'OB Volumetric'!AD106+'OSC Bag Sorting'!AD106+'OSC Bag Sorting Volumetric'!AD106+'REV FSM'!AD106+'Rejection Primary with Scan'!AD106+'Rejection Secondary'!AD106+'Rev DC DC Primary Sorting'!AD106+'Rev Primary (FSM Rejections)'!AD106+'Rev Secondary Sorting'!AD106+'VIA Bag Sorting'!AD106</f>
        <v/>
      </c>
      <c r="AE106" s="7">
        <f>'BBB'!AE106+'Bag Staging'!AE106+'Bag Staging Volumetric'!AE106+'FWD FSM'!AE106+'FWD Manual Pre Primary'!AE106+'FWD Manual Primary'!AE106+'FWD Primary with Scan'!AE106+'FWD Secondary'!AE106+'FWD Volumetric'!AE106+'IB'!AE106+'IB Volumetric'!AE106+'OB'!AE106+'OB Volumetric'!AE106+'OSC Bag Sorting'!AE106+'OSC Bag Sorting Volumetric'!AE106+'REV FSM'!AE106+'Rejection Primary with Scan'!AE106+'Rejection Secondary'!AE106+'Rev DC DC Primary Sorting'!AE106+'Rev Primary (FSM Rejections)'!AE106+'Rev Secondary Sorting'!AE106+'VIA Bag Sorting'!AE106</f>
        <v/>
      </c>
      <c r="AF106" s="7">
        <f>'BBB'!AF106+'Bag Staging'!AF106+'Bag Staging Volumetric'!AF106+'FWD FSM'!AF106+'FWD Manual Pre Primary'!AF106+'FWD Manual Primary'!AF106+'FWD Primary with Scan'!AF106+'FWD Secondary'!AF106+'FWD Volumetric'!AF106+'IB'!AF106+'IB Volumetric'!AF106+'OB'!AF106+'OB Volumetric'!AF106+'OSC Bag Sorting'!AF106+'OSC Bag Sorting Volumetric'!AF106+'REV FSM'!AF106+'Rejection Primary with Scan'!AF106+'Rejection Secondary'!AF106+'Rev DC DC Primary Sorting'!AF106+'Rev Primary (FSM Rejections)'!AF106+'Rev Secondary Sorting'!AF106+'VIA Bag Sorting'!AF106</f>
        <v/>
      </c>
      <c r="AG106" s="7">
        <f>'BBB'!AG106+'Bag Staging'!AG106+'Bag Staging Volumetric'!AG106+'FWD FSM'!AG106+'FWD Manual Pre Primary'!AG106+'FWD Manual Primary'!AG106+'FWD Primary with Scan'!AG106+'FWD Secondary'!AG106+'FWD Volumetric'!AG106+'IB'!AG106+'IB Volumetric'!AG106+'OB'!AG106+'OB Volumetric'!AG106+'OSC Bag Sorting'!AG106+'OSC Bag Sorting Volumetric'!AG106+'REV FSM'!AG106+'Rejection Primary with Scan'!AG106+'Rejection Secondary'!AG106+'Rev DC DC Primary Sorting'!AG106+'Rev Primary (FSM Rejections)'!AG106+'Rev Secondary Sorting'!AG106+'VIA Bag Sorting'!AG106</f>
        <v/>
      </c>
      <c r="AH106" s="7">
        <f>'BBB'!AH106+'Bag Staging'!AH106+'Bag Staging Volumetric'!AH106+'FWD FSM'!AH106+'FWD Manual Pre Primary'!AH106+'FWD Manual Primary'!AH106+'FWD Primary with Scan'!AH106+'FWD Secondary'!AH106+'FWD Volumetric'!AH106+'IB'!AH106+'IB Volumetric'!AH106+'OB'!AH106+'OB Volumetric'!AH106+'OSC Bag Sorting'!AH106+'OSC Bag Sorting Volumetric'!AH106+'REV FSM'!AH106+'Rejection Primary with Scan'!AH106+'Rejection Secondary'!AH106+'Rev DC DC Primary Sorting'!AH106+'Rev Primary (FSM Rejections)'!AH106+'Rev Secondary Sorting'!AH106+'VIA Bag Sorting'!AH106</f>
        <v/>
      </c>
      <c r="AI106" s="7">
        <f>'BBB'!AI106+'Bag Staging'!AI106+'Bag Staging Volumetric'!AI106+'FWD FSM'!AI106+'FWD Manual Pre Primary'!AI106+'FWD Manual Primary'!AI106+'FWD Primary with Scan'!AI106+'FWD Secondary'!AI106+'FWD Volumetric'!AI106+'IB'!AI106+'IB Volumetric'!AI106+'OB'!AI106+'OB Volumetric'!AI106+'OSC Bag Sorting'!AI106+'OSC Bag Sorting Volumetric'!AI106+'REV FSM'!AI106+'Rejection Primary with Scan'!AI106+'Rejection Secondary'!AI106+'Rev DC DC Primary Sorting'!AI106+'Rev Primary (FSM Rejections)'!AI106+'Rev Secondary Sorting'!AI106+'VIA Bag Sorting'!AI106</f>
        <v/>
      </c>
      <c r="AJ106" s="7">
        <f>'BBB'!AJ106+'Bag Staging'!AJ106+'Bag Staging Volumetric'!AJ106+'FWD FSM'!AJ106+'FWD Manual Pre Primary'!AJ106+'FWD Manual Primary'!AJ106+'FWD Primary with Scan'!AJ106+'FWD Secondary'!AJ106+'FWD Volumetric'!AJ106+'IB'!AJ106+'IB Volumetric'!AJ106+'OB'!AJ106+'OB Volumetric'!AJ106+'OSC Bag Sorting'!AJ106+'OSC Bag Sorting Volumetric'!AJ106+'REV FSM'!AJ106+'Rejection Primary with Scan'!AJ106+'Rejection Secondary'!AJ106+'Rev DC DC Primary Sorting'!AJ106+'Rev Primary (FSM Rejections)'!AJ106+'Rev Secondary Sorting'!AJ106+'VIA Bag Sorting'!AJ106</f>
        <v/>
      </c>
      <c r="AK106" s="7">
        <f>'BBB'!AK106+'Bag Staging'!AK106+'Bag Staging Volumetric'!AK106+'FWD FSM'!AK106+'FWD Manual Pre Primary'!AK106+'FWD Manual Primary'!AK106+'FWD Primary with Scan'!AK106+'FWD Secondary'!AK106+'FWD Volumetric'!AK106+'IB'!AK106+'IB Volumetric'!AK106+'OB'!AK106+'OB Volumetric'!AK106+'OSC Bag Sorting'!AK106+'OSC Bag Sorting Volumetric'!AK106+'REV FSM'!AK106+'Rejection Primary with Scan'!AK106+'Rejection Secondary'!AK106+'Rev DC DC Primary Sorting'!AK106+'Rev Primary (FSM Rejections)'!AK106+'Rev Secondary Sorting'!AK106+'VIA Bag Sorting'!AK106</f>
        <v/>
      </c>
      <c r="AL106" s="7">
        <f>'BBB'!AL106+'Bag Staging'!AL106+'Bag Staging Volumetric'!AL106+'FWD FSM'!AL106+'FWD Manual Pre Primary'!AL106+'FWD Manual Primary'!AL106+'FWD Primary with Scan'!AL106+'FWD Secondary'!AL106+'FWD Volumetric'!AL106+'IB'!AL106+'IB Volumetric'!AL106+'OB'!AL106+'OB Volumetric'!AL106+'OSC Bag Sorting'!AL106+'OSC Bag Sorting Volumetric'!AL106+'REV FSM'!AL106+'Rejection Primary with Scan'!AL106+'Rejection Secondary'!AL106+'Rev DC DC Primary Sorting'!AL106+'Rev Primary (FSM Rejections)'!AL106+'Rev Secondary Sorting'!AL106+'VIA Bag Sorting'!AL106</f>
        <v/>
      </c>
      <c r="AM106" s="7">
        <f>'BBB'!AM106+'Bag Staging'!AM106+'Bag Staging Volumetric'!AM106+'FWD FSM'!AM106+'FWD Manual Pre Primary'!AM106+'FWD Manual Primary'!AM106+'FWD Primary with Scan'!AM106+'FWD Secondary'!AM106+'FWD Volumetric'!AM106+'IB'!AM106+'IB Volumetric'!AM106+'OB'!AM106+'OB Volumetric'!AM106+'OSC Bag Sorting'!AM106+'OSC Bag Sorting Volumetric'!AM106+'REV FSM'!AM106+'Rejection Primary with Scan'!AM106+'Rejection Secondary'!AM106+'Rev DC DC Primary Sorting'!AM106+'Rev Primary (FSM Rejections)'!AM106+'Rev Secondary Sorting'!AM106+'VIA Bag Sorting'!AM106</f>
        <v/>
      </c>
      <c r="AN106" s="7">
        <f>'BBB'!AN106+'Bag Staging'!AN106+'Bag Staging Volumetric'!AN106+'FWD FSM'!AN106+'FWD Manual Pre Primary'!AN106+'FWD Manual Primary'!AN106+'FWD Primary with Scan'!AN106+'FWD Secondary'!AN106+'FWD Volumetric'!AN106+'IB'!AN106+'IB Volumetric'!AN106+'OB'!AN106+'OB Volumetric'!AN106+'OSC Bag Sorting'!AN106+'OSC Bag Sorting Volumetric'!AN106+'REV FSM'!AN106+'Rejection Primary with Scan'!AN106+'Rejection Secondary'!AN106+'Rev DC DC Primary Sorting'!AN106+'Rev Primary (FSM Rejections)'!AN106+'Rev Secondary Sorting'!AN106+'VIA Bag Sorting'!AN106</f>
        <v/>
      </c>
      <c r="AO106" s="7">
        <f>'BBB'!AO106+'Bag Staging'!AO106+'Bag Staging Volumetric'!AO106+'FWD FSM'!AO106+'FWD Manual Pre Primary'!AO106+'FWD Manual Primary'!AO106+'FWD Primary with Scan'!AO106+'FWD Secondary'!AO106+'FWD Volumetric'!AO106+'IB'!AO106+'IB Volumetric'!AO106+'OB'!AO106+'OB Volumetric'!AO106+'OSC Bag Sorting'!AO106+'OSC Bag Sorting Volumetric'!AO106+'REV FSM'!AO106+'Rejection Primary with Scan'!AO106+'Rejection Secondary'!AO106+'Rev DC DC Primary Sorting'!AO106+'Rev Primary (FSM Rejections)'!AO106+'Rev Secondary Sorting'!AO106+'VIA Bag Sorting'!AO106</f>
        <v/>
      </c>
      <c r="AP106" s="7">
        <f>'BBB'!AP106+'Bag Staging'!AP106+'Bag Staging Volumetric'!AP106+'FWD FSM'!AP106+'FWD Manual Pre Primary'!AP106+'FWD Manual Primary'!AP106+'FWD Primary with Scan'!AP106+'FWD Secondary'!AP106+'FWD Volumetric'!AP106+'IB'!AP106+'IB Volumetric'!AP106+'OB'!AP106+'OB Volumetric'!AP106+'OSC Bag Sorting'!AP106+'OSC Bag Sorting Volumetric'!AP106+'REV FSM'!AP106+'Rejection Primary with Scan'!AP106+'Rejection Secondary'!AP106+'Rev DC DC Primary Sorting'!AP106+'Rev Primary (FSM Rejections)'!AP106+'Rev Secondary Sorting'!AP106+'VIA Bag Sorting'!AP106</f>
        <v/>
      </c>
      <c r="AQ106" s="7">
        <f>'BBB'!AQ106+'Bag Staging'!AQ106+'Bag Staging Volumetric'!AQ106+'FWD FSM'!AQ106+'FWD Manual Pre Primary'!AQ106+'FWD Manual Primary'!AQ106+'FWD Primary with Scan'!AQ106+'FWD Secondary'!AQ106+'FWD Volumetric'!AQ106+'IB'!AQ106+'IB Volumetric'!AQ106+'OB'!AQ106+'OB Volumetric'!AQ106+'OSC Bag Sorting'!AQ106+'OSC Bag Sorting Volumetric'!AQ106+'REV FSM'!AQ106+'Rejection Primary with Scan'!AQ106+'Rejection Secondary'!AQ106+'Rev DC DC Primary Sorting'!AQ106+'Rev Primary (FSM Rejections)'!AQ106+'Rev Secondary Sorting'!AQ106+'VIA Bag Sorting'!AQ106</f>
        <v/>
      </c>
      <c r="AR106" s="7">
        <f>'BBB'!AR106+'Bag Staging'!AR106+'Bag Staging Volumetric'!AR106+'FWD FSM'!AR106+'FWD Manual Pre Primary'!AR106+'FWD Manual Primary'!AR106+'FWD Primary with Scan'!AR106+'FWD Secondary'!AR106+'FWD Volumetric'!AR106+'IB'!AR106+'IB Volumetric'!AR106+'OB'!AR106+'OB Volumetric'!AR106+'OSC Bag Sorting'!AR106+'OSC Bag Sorting Volumetric'!AR106+'REV FSM'!AR106+'Rejection Primary with Scan'!AR106+'Rejection Secondary'!AR106+'Rev DC DC Primary Sorting'!AR106+'Rev Primary (FSM Rejections)'!AR106+'Rev Secondary Sorting'!AR106+'VIA Bag Sorting'!AR106</f>
        <v/>
      </c>
      <c r="AS106" s="7">
        <f>'BBB'!AS106+'Bag Staging'!AS106+'Bag Staging Volumetric'!AS106+'FWD FSM'!AS106+'FWD Manual Pre Primary'!AS106+'FWD Manual Primary'!AS106+'FWD Primary with Scan'!AS106+'FWD Secondary'!AS106+'FWD Volumetric'!AS106+'IB'!AS106+'IB Volumetric'!AS106+'OB'!AS106+'OB Volumetric'!AS106+'OSC Bag Sorting'!AS106+'OSC Bag Sorting Volumetric'!AS106+'REV FSM'!AS106+'Rejection Primary with Scan'!AS106+'Rejection Secondary'!AS106+'Rev DC DC Primary Sorting'!AS106+'Rev Primary (FSM Rejections)'!AS106+'Rev Secondary Sorting'!AS106+'VIA Bag Sorting'!AS106</f>
        <v/>
      </c>
      <c r="AT106" s="7">
        <f>'BBB'!AT106+'Bag Staging'!AT106+'Bag Staging Volumetric'!AT106+'FWD FSM'!AT106+'FWD Manual Pre Primary'!AT106+'FWD Manual Primary'!AT106+'FWD Primary with Scan'!AT106+'FWD Secondary'!AT106+'FWD Volumetric'!AT106+'IB'!AT106+'IB Volumetric'!AT106+'OB'!AT106+'OB Volumetric'!AT106+'OSC Bag Sorting'!AT106+'OSC Bag Sorting Volumetric'!AT106+'REV FSM'!AT106+'Rejection Primary with Scan'!AT106+'Rejection Secondary'!AT106+'Rev DC DC Primary Sorting'!AT106+'Rev Primary (FSM Rejections)'!AT106+'Rev Secondary Sorting'!AT106+'VIA Bag Sorting'!AT106</f>
        <v/>
      </c>
      <c r="AU106" s="7">
        <f>'BBB'!AU106+'Bag Staging'!AU106+'Bag Staging Volumetric'!AU106+'FWD FSM'!AU106+'FWD Manual Pre Primary'!AU106+'FWD Manual Primary'!AU106+'FWD Primary with Scan'!AU106+'FWD Secondary'!AU106+'FWD Volumetric'!AU106+'IB'!AU106+'IB Volumetric'!AU106+'OB'!AU106+'OB Volumetric'!AU106+'OSC Bag Sorting'!AU106+'OSC Bag Sorting Volumetric'!AU106+'REV FSM'!AU106+'Rejection Primary with Scan'!AU106+'Rejection Secondary'!AU106+'Rev DC DC Primary Sorting'!AU106+'Rev Primary (FSM Rejections)'!AU106+'Rev Secondary Sorting'!AU106+'VIA Bag Sorting'!AU106</f>
        <v/>
      </c>
      <c r="AV106" s="7">
        <f>'BBB'!AV106+'Bag Staging'!AV106+'Bag Staging Volumetric'!AV106+'FWD FSM'!AV106+'FWD Manual Pre Primary'!AV106+'FWD Manual Primary'!AV106+'FWD Primary with Scan'!AV106+'FWD Secondary'!AV106+'FWD Volumetric'!AV106+'IB'!AV106+'IB Volumetric'!AV106+'OB'!AV106+'OB Volumetric'!AV106+'OSC Bag Sorting'!AV106+'OSC Bag Sorting Volumetric'!AV106+'REV FSM'!AV106+'Rejection Primary with Scan'!AV106+'Rejection Secondary'!AV106+'Rev DC DC Primary Sorting'!AV106+'Rev Primary (FSM Rejections)'!AV106+'Rev Secondary Sorting'!AV106+'VIA Bag Sorting'!AV106</f>
        <v/>
      </c>
      <c r="AW106" s="7">
        <f>'BBB'!AW106+'Bag Staging'!AW106+'Bag Staging Volumetric'!AW106+'FWD FSM'!AW106+'FWD Manual Pre Primary'!AW106+'FWD Manual Primary'!AW106+'FWD Primary with Scan'!AW106+'FWD Secondary'!AW106+'FWD Volumetric'!AW106+'IB'!AW106+'IB Volumetric'!AW106+'OB'!AW106+'OB Volumetric'!AW106+'OSC Bag Sorting'!AW106+'OSC Bag Sorting Volumetric'!AW106+'REV FSM'!AW106+'Rejection Primary with Scan'!AW106+'Rejection Secondary'!AW106+'Rev DC DC Primary Sorting'!AW106+'Rev Primary (FSM Rejections)'!AW106+'Rev Secondary Sorting'!AW106+'VIA Bag Sorting'!AW106</f>
        <v/>
      </c>
      <c r="AX106" s="7">
        <f>'BBB'!AX106+'Bag Staging'!AX106+'Bag Staging Volumetric'!AX106+'FWD FSM'!AX106+'FWD Manual Pre Primary'!AX106+'FWD Manual Primary'!AX106+'FWD Primary with Scan'!AX106+'FWD Secondary'!AX106+'FWD Volumetric'!AX106+'IB'!AX106+'IB Volumetric'!AX106+'OB'!AX106+'OB Volumetric'!AX106+'OSC Bag Sorting'!AX106+'OSC Bag Sorting Volumetric'!AX106+'REV FSM'!AX106+'Rejection Primary with Scan'!AX106+'Rejection Secondary'!AX106+'Rev DC DC Primary Sorting'!AX106+'Rev Primary (FSM Rejections)'!AX106+'Rev Secondary Sorting'!AX106+'VIA Bag Sorting'!AX106</f>
        <v/>
      </c>
      <c r="AY106" s="7">
        <f>'BBB'!AY106+'Bag Staging'!AY106+'Bag Staging Volumetric'!AY106+'FWD FSM'!AY106+'FWD Manual Pre Primary'!AY106+'FWD Manual Primary'!AY106+'FWD Primary with Scan'!AY106+'FWD Secondary'!AY106+'FWD Volumetric'!AY106+'IB'!AY106+'IB Volumetric'!AY106+'OB'!AY106+'OB Volumetric'!AY106+'OSC Bag Sorting'!AY106+'OSC Bag Sorting Volumetric'!AY106+'REV FSM'!AY106+'Rejection Primary with Scan'!AY106+'Rejection Secondary'!AY106+'Rev DC DC Primary Sorting'!AY106+'Rev Primary (FSM Rejections)'!AY106+'Rev Secondary Sorting'!AY106+'VIA Bag Sorting'!AY106</f>
        <v/>
      </c>
      <c r="AZ106" s="7">
        <f>'BBB'!AZ106+'Bag Staging'!AZ106+'Bag Staging Volumetric'!AZ106+'FWD FSM'!AZ106+'FWD Manual Pre Primary'!AZ106+'FWD Manual Primary'!AZ106+'FWD Primary with Scan'!AZ106+'FWD Secondary'!AZ106+'FWD Volumetric'!AZ106+'IB'!AZ106+'IB Volumetric'!AZ106+'OB'!AZ106+'OB Volumetric'!AZ106+'OSC Bag Sorting'!AZ106+'OSC Bag Sorting Volumetric'!AZ106+'REV FSM'!AZ106+'Rejection Primary with Scan'!AZ106+'Rejection Secondary'!AZ106+'Rev DC DC Primary Sorting'!AZ106+'Rev Primary (FSM Rejections)'!AZ106+'Rev Secondary Sorting'!AZ106+'VIA Bag Sorting'!AZ106</f>
        <v/>
      </c>
      <c r="BA106" s="7">
        <f>'BBB'!BA106+'Bag Staging'!BA106+'Bag Staging Volumetric'!BA106+'FWD FSM'!BA106+'FWD Manual Pre Primary'!BA106+'FWD Manual Primary'!BA106+'FWD Primary with Scan'!BA106+'FWD Secondary'!BA106+'FWD Volumetric'!BA106+'IB'!BA106+'IB Volumetric'!BA106+'OB'!BA106+'OB Volumetric'!BA106+'OSC Bag Sorting'!BA106+'OSC Bag Sorting Volumetric'!BA106+'REV FSM'!BA106+'Rejection Primary with Scan'!BA106+'Rejection Secondary'!BA106+'Rev DC DC Primary Sorting'!BA106+'Rev Primary (FSM Rejections)'!BA106+'Rev Secondary Sorting'!BA106+'VIA Bag Sorting'!BA106</f>
        <v/>
      </c>
      <c r="BB106" s="7">
        <f>SUM(AD106:BA106)</f>
        <v/>
      </c>
    </row>
    <row r="107">
      <c r="A107" t="inlineStr">
        <is>
          <t>AMD-RTS-RCLS-1302-SSC_1</t>
        </is>
      </c>
      <c r="B107" t="inlineStr">
        <is>
          <t>Rev OSC</t>
        </is>
      </c>
      <c r="C107" s="5" t="n">
        <v>46105</v>
      </c>
      <c r="D107" s="6" t="n">
        <v>0</v>
      </c>
      <c r="E107" s="6" t="n">
        <v>0</v>
      </c>
      <c r="F107" s="6" t="n">
        <v>0</v>
      </c>
      <c r="G107" s="6" t="n">
        <v>0</v>
      </c>
      <c r="H107" s="6" t="n">
        <v>0</v>
      </c>
      <c r="I107" s="6" t="n">
        <v>0</v>
      </c>
      <c r="J107" s="6" t="n">
        <v>0</v>
      </c>
      <c r="K107" s="6" t="n">
        <v>0</v>
      </c>
      <c r="L107" s="6" t="n">
        <v>0</v>
      </c>
      <c r="M107" s="6" t="n">
        <v>0</v>
      </c>
      <c r="N107" s="6" t="n">
        <v>0</v>
      </c>
      <c r="O107" s="6" t="n">
        <v>0</v>
      </c>
      <c r="P107" s="6" t="n">
        <v>0</v>
      </c>
      <c r="Q107" s="6" t="n">
        <v>0</v>
      </c>
      <c r="R107" s="6" t="n">
        <v>0</v>
      </c>
      <c r="S107" s="6" t="n">
        <v>2071</v>
      </c>
      <c r="T107" s="6" t="n">
        <v>181</v>
      </c>
      <c r="U107" s="6" t="n">
        <v>0</v>
      </c>
      <c r="V107" s="6" t="n">
        <v>87</v>
      </c>
      <c r="W107" s="6" t="n">
        <v>0</v>
      </c>
      <c r="X107" s="6" t="n">
        <v>0</v>
      </c>
      <c r="Y107" s="6" t="n">
        <v>0</v>
      </c>
      <c r="Z107" s="6" t="n">
        <v>0</v>
      </c>
      <c r="AA107" s="6" t="n">
        <v>0</v>
      </c>
      <c r="AB107" s="6">
        <f>SUM(D107:AA107)</f>
        <v/>
      </c>
      <c r="AC107" s="3" t="inlineStr"/>
      <c r="AD107" s="7">
        <f>'BBB'!AD107+'Bag Staging'!AD107+'Bag Staging Volumetric'!AD107+'FWD FSM'!AD107+'FWD Manual Pre Primary'!AD107+'FWD Manual Primary'!AD107+'FWD Primary with Scan'!AD107+'FWD Secondary'!AD107+'FWD Volumetric'!AD107+'IB'!AD107+'IB Volumetric'!AD107+'OB'!AD107+'OB Volumetric'!AD107+'OSC Bag Sorting'!AD107+'OSC Bag Sorting Volumetric'!AD107+'REV FSM'!AD107+'Rejection Primary with Scan'!AD107+'Rejection Secondary'!AD107+'Rev DC DC Primary Sorting'!AD107+'Rev Primary (FSM Rejections)'!AD107+'Rev Secondary Sorting'!AD107+'VIA Bag Sorting'!AD107</f>
        <v/>
      </c>
      <c r="AE107" s="7">
        <f>'BBB'!AE107+'Bag Staging'!AE107+'Bag Staging Volumetric'!AE107+'FWD FSM'!AE107+'FWD Manual Pre Primary'!AE107+'FWD Manual Primary'!AE107+'FWD Primary with Scan'!AE107+'FWD Secondary'!AE107+'FWD Volumetric'!AE107+'IB'!AE107+'IB Volumetric'!AE107+'OB'!AE107+'OB Volumetric'!AE107+'OSC Bag Sorting'!AE107+'OSC Bag Sorting Volumetric'!AE107+'REV FSM'!AE107+'Rejection Primary with Scan'!AE107+'Rejection Secondary'!AE107+'Rev DC DC Primary Sorting'!AE107+'Rev Primary (FSM Rejections)'!AE107+'Rev Secondary Sorting'!AE107+'VIA Bag Sorting'!AE107</f>
        <v/>
      </c>
      <c r="AF107" s="7">
        <f>'BBB'!AF107+'Bag Staging'!AF107+'Bag Staging Volumetric'!AF107+'FWD FSM'!AF107+'FWD Manual Pre Primary'!AF107+'FWD Manual Primary'!AF107+'FWD Primary with Scan'!AF107+'FWD Secondary'!AF107+'FWD Volumetric'!AF107+'IB'!AF107+'IB Volumetric'!AF107+'OB'!AF107+'OB Volumetric'!AF107+'OSC Bag Sorting'!AF107+'OSC Bag Sorting Volumetric'!AF107+'REV FSM'!AF107+'Rejection Primary with Scan'!AF107+'Rejection Secondary'!AF107+'Rev DC DC Primary Sorting'!AF107+'Rev Primary (FSM Rejections)'!AF107+'Rev Secondary Sorting'!AF107+'VIA Bag Sorting'!AF107</f>
        <v/>
      </c>
      <c r="AG107" s="7">
        <f>'BBB'!AG107+'Bag Staging'!AG107+'Bag Staging Volumetric'!AG107+'FWD FSM'!AG107+'FWD Manual Pre Primary'!AG107+'FWD Manual Primary'!AG107+'FWD Primary with Scan'!AG107+'FWD Secondary'!AG107+'FWD Volumetric'!AG107+'IB'!AG107+'IB Volumetric'!AG107+'OB'!AG107+'OB Volumetric'!AG107+'OSC Bag Sorting'!AG107+'OSC Bag Sorting Volumetric'!AG107+'REV FSM'!AG107+'Rejection Primary with Scan'!AG107+'Rejection Secondary'!AG107+'Rev DC DC Primary Sorting'!AG107+'Rev Primary (FSM Rejections)'!AG107+'Rev Secondary Sorting'!AG107+'VIA Bag Sorting'!AG107</f>
        <v/>
      </c>
      <c r="AH107" s="7">
        <f>'BBB'!AH107+'Bag Staging'!AH107+'Bag Staging Volumetric'!AH107+'FWD FSM'!AH107+'FWD Manual Pre Primary'!AH107+'FWD Manual Primary'!AH107+'FWD Primary with Scan'!AH107+'FWD Secondary'!AH107+'FWD Volumetric'!AH107+'IB'!AH107+'IB Volumetric'!AH107+'OB'!AH107+'OB Volumetric'!AH107+'OSC Bag Sorting'!AH107+'OSC Bag Sorting Volumetric'!AH107+'REV FSM'!AH107+'Rejection Primary with Scan'!AH107+'Rejection Secondary'!AH107+'Rev DC DC Primary Sorting'!AH107+'Rev Primary (FSM Rejections)'!AH107+'Rev Secondary Sorting'!AH107+'VIA Bag Sorting'!AH107</f>
        <v/>
      </c>
      <c r="AI107" s="7">
        <f>'BBB'!AI107+'Bag Staging'!AI107+'Bag Staging Volumetric'!AI107+'FWD FSM'!AI107+'FWD Manual Pre Primary'!AI107+'FWD Manual Primary'!AI107+'FWD Primary with Scan'!AI107+'FWD Secondary'!AI107+'FWD Volumetric'!AI107+'IB'!AI107+'IB Volumetric'!AI107+'OB'!AI107+'OB Volumetric'!AI107+'OSC Bag Sorting'!AI107+'OSC Bag Sorting Volumetric'!AI107+'REV FSM'!AI107+'Rejection Primary with Scan'!AI107+'Rejection Secondary'!AI107+'Rev DC DC Primary Sorting'!AI107+'Rev Primary (FSM Rejections)'!AI107+'Rev Secondary Sorting'!AI107+'VIA Bag Sorting'!AI107</f>
        <v/>
      </c>
      <c r="AJ107" s="7">
        <f>'BBB'!AJ107+'Bag Staging'!AJ107+'Bag Staging Volumetric'!AJ107+'FWD FSM'!AJ107+'FWD Manual Pre Primary'!AJ107+'FWD Manual Primary'!AJ107+'FWD Primary with Scan'!AJ107+'FWD Secondary'!AJ107+'FWD Volumetric'!AJ107+'IB'!AJ107+'IB Volumetric'!AJ107+'OB'!AJ107+'OB Volumetric'!AJ107+'OSC Bag Sorting'!AJ107+'OSC Bag Sorting Volumetric'!AJ107+'REV FSM'!AJ107+'Rejection Primary with Scan'!AJ107+'Rejection Secondary'!AJ107+'Rev DC DC Primary Sorting'!AJ107+'Rev Primary (FSM Rejections)'!AJ107+'Rev Secondary Sorting'!AJ107+'VIA Bag Sorting'!AJ107</f>
        <v/>
      </c>
      <c r="AK107" s="7">
        <f>'BBB'!AK107+'Bag Staging'!AK107+'Bag Staging Volumetric'!AK107+'FWD FSM'!AK107+'FWD Manual Pre Primary'!AK107+'FWD Manual Primary'!AK107+'FWD Primary with Scan'!AK107+'FWD Secondary'!AK107+'FWD Volumetric'!AK107+'IB'!AK107+'IB Volumetric'!AK107+'OB'!AK107+'OB Volumetric'!AK107+'OSC Bag Sorting'!AK107+'OSC Bag Sorting Volumetric'!AK107+'REV FSM'!AK107+'Rejection Primary with Scan'!AK107+'Rejection Secondary'!AK107+'Rev DC DC Primary Sorting'!AK107+'Rev Primary (FSM Rejections)'!AK107+'Rev Secondary Sorting'!AK107+'VIA Bag Sorting'!AK107</f>
        <v/>
      </c>
      <c r="AL107" s="7">
        <f>'BBB'!AL107+'Bag Staging'!AL107+'Bag Staging Volumetric'!AL107+'FWD FSM'!AL107+'FWD Manual Pre Primary'!AL107+'FWD Manual Primary'!AL107+'FWD Primary with Scan'!AL107+'FWD Secondary'!AL107+'FWD Volumetric'!AL107+'IB'!AL107+'IB Volumetric'!AL107+'OB'!AL107+'OB Volumetric'!AL107+'OSC Bag Sorting'!AL107+'OSC Bag Sorting Volumetric'!AL107+'REV FSM'!AL107+'Rejection Primary with Scan'!AL107+'Rejection Secondary'!AL107+'Rev DC DC Primary Sorting'!AL107+'Rev Primary (FSM Rejections)'!AL107+'Rev Secondary Sorting'!AL107+'VIA Bag Sorting'!AL107</f>
        <v/>
      </c>
      <c r="AM107" s="7">
        <f>'BBB'!AM107+'Bag Staging'!AM107+'Bag Staging Volumetric'!AM107+'FWD FSM'!AM107+'FWD Manual Pre Primary'!AM107+'FWD Manual Primary'!AM107+'FWD Primary with Scan'!AM107+'FWD Secondary'!AM107+'FWD Volumetric'!AM107+'IB'!AM107+'IB Volumetric'!AM107+'OB'!AM107+'OB Volumetric'!AM107+'OSC Bag Sorting'!AM107+'OSC Bag Sorting Volumetric'!AM107+'REV FSM'!AM107+'Rejection Primary with Scan'!AM107+'Rejection Secondary'!AM107+'Rev DC DC Primary Sorting'!AM107+'Rev Primary (FSM Rejections)'!AM107+'Rev Secondary Sorting'!AM107+'VIA Bag Sorting'!AM107</f>
        <v/>
      </c>
      <c r="AN107" s="7">
        <f>'BBB'!AN107+'Bag Staging'!AN107+'Bag Staging Volumetric'!AN107+'FWD FSM'!AN107+'FWD Manual Pre Primary'!AN107+'FWD Manual Primary'!AN107+'FWD Primary with Scan'!AN107+'FWD Secondary'!AN107+'FWD Volumetric'!AN107+'IB'!AN107+'IB Volumetric'!AN107+'OB'!AN107+'OB Volumetric'!AN107+'OSC Bag Sorting'!AN107+'OSC Bag Sorting Volumetric'!AN107+'REV FSM'!AN107+'Rejection Primary with Scan'!AN107+'Rejection Secondary'!AN107+'Rev DC DC Primary Sorting'!AN107+'Rev Primary (FSM Rejections)'!AN107+'Rev Secondary Sorting'!AN107+'VIA Bag Sorting'!AN107</f>
        <v/>
      </c>
      <c r="AO107" s="7">
        <f>'BBB'!AO107+'Bag Staging'!AO107+'Bag Staging Volumetric'!AO107+'FWD FSM'!AO107+'FWD Manual Pre Primary'!AO107+'FWD Manual Primary'!AO107+'FWD Primary with Scan'!AO107+'FWD Secondary'!AO107+'FWD Volumetric'!AO107+'IB'!AO107+'IB Volumetric'!AO107+'OB'!AO107+'OB Volumetric'!AO107+'OSC Bag Sorting'!AO107+'OSC Bag Sorting Volumetric'!AO107+'REV FSM'!AO107+'Rejection Primary with Scan'!AO107+'Rejection Secondary'!AO107+'Rev DC DC Primary Sorting'!AO107+'Rev Primary (FSM Rejections)'!AO107+'Rev Secondary Sorting'!AO107+'VIA Bag Sorting'!AO107</f>
        <v/>
      </c>
      <c r="AP107" s="7">
        <f>'BBB'!AP107+'Bag Staging'!AP107+'Bag Staging Volumetric'!AP107+'FWD FSM'!AP107+'FWD Manual Pre Primary'!AP107+'FWD Manual Primary'!AP107+'FWD Primary with Scan'!AP107+'FWD Secondary'!AP107+'FWD Volumetric'!AP107+'IB'!AP107+'IB Volumetric'!AP107+'OB'!AP107+'OB Volumetric'!AP107+'OSC Bag Sorting'!AP107+'OSC Bag Sorting Volumetric'!AP107+'REV FSM'!AP107+'Rejection Primary with Scan'!AP107+'Rejection Secondary'!AP107+'Rev DC DC Primary Sorting'!AP107+'Rev Primary (FSM Rejections)'!AP107+'Rev Secondary Sorting'!AP107+'VIA Bag Sorting'!AP107</f>
        <v/>
      </c>
      <c r="AQ107" s="7">
        <f>'BBB'!AQ107+'Bag Staging'!AQ107+'Bag Staging Volumetric'!AQ107+'FWD FSM'!AQ107+'FWD Manual Pre Primary'!AQ107+'FWD Manual Primary'!AQ107+'FWD Primary with Scan'!AQ107+'FWD Secondary'!AQ107+'FWD Volumetric'!AQ107+'IB'!AQ107+'IB Volumetric'!AQ107+'OB'!AQ107+'OB Volumetric'!AQ107+'OSC Bag Sorting'!AQ107+'OSC Bag Sorting Volumetric'!AQ107+'REV FSM'!AQ107+'Rejection Primary with Scan'!AQ107+'Rejection Secondary'!AQ107+'Rev DC DC Primary Sorting'!AQ107+'Rev Primary (FSM Rejections)'!AQ107+'Rev Secondary Sorting'!AQ107+'VIA Bag Sorting'!AQ107</f>
        <v/>
      </c>
      <c r="AR107" s="7">
        <f>'BBB'!AR107+'Bag Staging'!AR107+'Bag Staging Volumetric'!AR107+'FWD FSM'!AR107+'FWD Manual Pre Primary'!AR107+'FWD Manual Primary'!AR107+'FWD Primary with Scan'!AR107+'FWD Secondary'!AR107+'FWD Volumetric'!AR107+'IB'!AR107+'IB Volumetric'!AR107+'OB'!AR107+'OB Volumetric'!AR107+'OSC Bag Sorting'!AR107+'OSC Bag Sorting Volumetric'!AR107+'REV FSM'!AR107+'Rejection Primary with Scan'!AR107+'Rejection Secondary'!AR107+'Rev DC DC Primary Sorting'!AR107+'Rev Primary (FSM Rejections)'!AR107+'Rev Secondary Sorting'!AR107+'VIA Bag Sorting'!AR107</f>
        <v/>
      </c>
      <c r="AS107" s="7">
        <f>'BBB'!AS107+'Bag Staging'!AS107+'Bag Staging Volumetric'!AS107+'FWD FSM'!AS107+'FWD Manual Pre Primary'!AS107+'FWD Manual Primary'!AS107+'FWD Primary with Scan'!AS107+'FWD Secondary'!AS107+'FWD Volumetric'!AS107+'IB'!AS107+'IB Volumetric'!AS107+'OB'!AS107+'OB Volumetric'!AS107+'OSC Bag Sorting'!AS107+'OSC Bag Sorting Volumetric'!AS107+'REV FSM'!AS107+'Rejection Primary with Scan'!AS107+'Rejection Secondary'!AS107+'Rev DC DC Primary Sorting'!AS107+'Rev Primary (FSM Rejections)'!AS107+'Rev Secondary Sorting'!AS107+'VIA Bag Sorting'!AS107</f>
        <v/>
      </c>
      <c r="AT107" s="7">
        <f>'BBB'!AT107+'Bag Staging'!AT107+'Bag Staging Volumetric'!AT107+'FWD FSM'!AT107+'FWD Manual Pre Primary'!AT107+'FWD Manual Primary'!AT107+'FWD Primary with Scan'!AT107+'FWD Secondary'!AT107+'FWD Volumetric'!AT107+'IB'!AT107+'IB Volumetric'!AT107+'OB'!AT107+'OB Volumetric'!AT107+'OSC Bag Sorting'!AT107+'OSC Bag Sorting Volumetric'!AT107+'REV FSM'!AT107+'Rejection Primary with Scan'!AT107+'Rejection Secondary'!AT107+'Rev DC DC Primary Sorting'!AT107+'Rev Primary (FSM Rejections)'!AT107+'Rev Secondary Sorting'!AT107+'VIA Bag Sorting'!AT107</f>
        <v/>
      </c>
      <c r="AU107" s="7">
        <f>'BBB'!AU107+'Bag Staging'!AU107+'Bag Staging Volumetric'!AU107+'FWD FSM'!AU107+'FWD Manual Pre Primary'!AU107+'FWD Manual Primary'!AU107+'FWD Primary with Scan'!AU107+'FWD Secondary'!AU107+'FWD Volumetric'!AU107+'IB'!AU107+'IB Volumetric'!AU107+'OB'!AU107+'OB Volumetric'!AU107+'OSC Bag Sorting'!AU107+'OSC Bag Sorting Volumetric'!AU107+'REV FSM'!AU107+'Rejection Primary with Scan'!AU107+'Rejection Secondary'!AU107+'Rev DC DC Primary Sorting'!AU107+'Rev Primary (FSM Rejections)'!AU107+'Rev Secondary Sorting'!AU107+'VIA Bag Sorting'!AU107</f>
        <v/>
      </c>
      <c r="AV107" s="7">
        <f>'BBB'!AV107+'Bag Staging'!AV107+'Bag Staging Volumetric'!AV107+'FWD FSM'!AV107+'FWD Manual Pre Primary'!AV107+'FWD Manual Primary'!AV107+'FWD Primary with Scan'!AV107+'FWD Secondary'!AV107+'FWD Volumetric'!AV107+'IB'!AV107+'IB Volumetric'!AV107+'OB'!AV107+'OB Volumetric'!AV107+'OSC Bag Sorting'!AV107+'OSC Bag Sorting Volumetric'!AV107+'REV FSM'!AV107+'Rejection Primary with Scan'!AV107+'Rejection Secondary'!AV107+'Rev DC DC Primary Sorting'!AV107+'Rev Primary (FSM Rejections)'!AV107+'Rev Secondary Sorting'!AV107+'VIA Bag Sorting'!AV107</f>
        <v/>
      </c>
      <c r="AW107" s="7">
        <f>'BBB'!AW107+'Bag Staging'!AW107+'Bag Staging Volumetric'!AW107+'FWD FSM'!AW107+'FWD Manual Pre Primary'!AW107+'FWD Manual Primary'!AW107+'FWD Primary with Scan'!AW107+'FWD Secondary'!AW107+'FWD Volumetric'!AW107+'IB'!AW107+'IB Volumetric'!AW107+'OB'!AW107+'OB Volumetric'!AW107+'OSC Bag Sorting'!AW107+'OSC Bag Sorting Volumetric'!AW107+'REV FSM'!AW107+'Rejection Primary with Scan'!AW107+'Rejection Secondary'!AW107+'Rev DC DC Primary Sorting'!AW107+'Rev Primary (FSM Rejections)'!AW107+'Rev Secondary Sorting'!AW107+'VIA Bag Sorting'!AW107</f>
        <v/>
      </c>
      <c r="AX107" s="7">
        <f>'BBB'!AX107+'Bag Staging'!AX107+'Bag Staging Volumetric'!AX107+'FWD FSM'!AX107+'FWD Manual Pre Primary'!AX107+'FWD Manual Primary'!AX107+'FWD Primary with Scan'!AX107+'FWD Secondary'!AX107+'FWD Volumetric'!AX107+'IB'!AX107+'IB Volumetric'!AX107+'OB'!AX107+'OB Volumetric'!AX107+'OSC Bag Sorting'!AX107+'OSC Bag Sorting Volumetric'!AX107+'REV FSM'!AX107+'Rejection Primary with Scan'!AX107+'Rejection Secondary'!AX107+'Rev DC DC Primary Sorting'!AX107+'Rev Primary (FSM Rejections)'!AX107+'Rev Secondary Sorting'!AX107+'VIA Bag Sorting'!AX107</f>
        <v/>
      </c>
      <c r="AY107" s="7">
        <f>'BBB'!AY107+'Bag Staging'!AY107+'Bag Staging Volumetric'!AY107+'FWD FSM'!AY107+'FWD Manual Pre Primary'!AY107+'FWD Manual Primary'!AY107+'FWD Primary with Scan'!AY107+'FWD Secondary'!AY107+'FWD Volumetric'!AY107+'IB'!AY107+'IB Volumetric'!AY107+'OB'!AY107+'OB Volumetric'!AY107+'OSC Bag Sorting'!AY107+'OSC Bag Sorting Volumetric'!AY107+'REV FSM'!AY107+'Rejection Primary with Scan'!AY107+'Rejection Secondary'!AY107+'Rev DC DC Primary Sorting'!AY107+'Rev Primary (FSM Rejections)'!AY107+'Rev Secondary Sorting'!AY107+'VIA Bag Sorting'!AY107</f>
        <v/>
      </c>
      <c r="AZ107" s="7">
        <f>'BBB'!AZ107+'Bag Staging'!AZ107+'Bag Staging Volumetric'!AZ107+'FWD FSM'!AZ107+'FWD Manual Pre Primary'!AZ107+'FWD Manual Primary'!AZ107+'FWD Primary with Scan'!AZ107+'FWD Secondary'!AZ107+'FWD Volumetric'!AZ107+'IB'!AZ107+'IB Volumetric'!AZ107+'OB'!AZ107+'OB Volumetric'!AZ107+'OSC Bag Sorting'!AZ107+'OSC Bag Sorting Volumetric'!AZ107+'REV FSM'!AZ107+'Rejection Primary with Scan'!AZ107+'Rejection Secondary'!AZ107+'Rev DC DC Primary Sorting'!AZ107+'Rev Primary (FSM Rejections)'!AZ107+'Rev Secondary Sorting'!AZ107+'VIA Bag Sorting'!AZ107</f>
        <v/>
      </c>
      <c r="BA107" s="7">
        <f>'BBB'!BA107+'Bag Staging'!BA107+'Bag Staging Volumetric'!BA107+'FWD FSM'!BA107+'FWD Manual Pre Primary'!BA107+'FWD Manual Primary'!BA107+'FWD Primary with Scan'!BA107+'FWD Secondary'!BA107+'FWD Volumetric'!BA107+'IB'!BA107+'IB Volumetric'!BA107+'OB'!BA107+'OB Volumetric'!BA107+'OSC Bag Sorting'!BA107+'OSC Bag Sorting Volumetric'!BA107+'REV FSM'!BA107+'Rejection Primary with Scan'!BA107+'Rejection Secondary'!BA107+'Rev DC DC Primary Sorting'!BA107+'Rev Primary (FSM Rejections)'!BA107+'Rev Secondary Sorting'!BA107+'VIA Bag Sorting'!BA107</f>
        <v/>
      </c>
      <c r="BB107" s="7">
        <f>SUM(AD107:BA107)</f>
        <v/>
      </c>
    </row>
    <row r="108">
      <c r="A108" t="inlineStr">
        <is>
          <t>AMD-RTS-RCLS-1302-SSC_2</t>
        </is>
      </c>
      <c r="B108" t="inlineStr">
        <is>
          <t>Rev OSC</t>
        </is>
      </c>
      <c r="C108" s="5" t="n">
        <v>46100</v>
      </c>
      <c r="D108" s="6" t="n">
        <v>0</v>
      </c>
      <c r="E108" s="6" t="n">
        <v>0</v>
      </c>
      <c r="F108" s="6" t="n">
        <v>0</v>
      </c>
      <c r="G108" s="6" t="n">
        <v>0</v>
      </c>
      <c r="H108" s="6" t="n">
        <v>0</v>
      </c>
      <c r="I108" s="6" t="n">
        <v>0</v>
      </c>
      <c r="J108" s="6" t="n">
        <v>0</v>
      </c>
      <c r="K108" s="6" t="n">
        <v>0</v>
      </c>
      <c r="L108" s="6" t="n">
        <v>0</v>
      </c>
      <c r="M108" s="6" t="n">
        <v>0</v>
      </c>
      <c r="N108" s="6" t="n">
        <v>0</v>
      </c>
      <c r="O108" s="6" t="n">
        <v>0</v>
      </c>
      <c r="P108" s="6" t="n">
        <v>0</v>
      </c>
      <c r="Q108" s="6" t="n">
        <v>0</v>
      </c>
      <c r="R108" s="6" t="n">
        <v>0</v>
      </c>
      <c r="S108" s="6" t="n">
        <v>956</v>
      </c>
      <c r="T108" s="6" t="n">
        <v>239</v>
      </c>
      <c r="U108" s="6" t="n">
        <v>0</v>
      </c>
      <c r="V108" s="6" t="n">
        <v>0</v>
      </c>
      <c r="W108" s="6" t="n">
        <v>0</v>
      </c>
      <c r="X108" s="6" t="n">
        <v>0</v>
      </c>
      <c r="Y108" s="6" t="n">
        <v>0</v>
      </c>
      <c r="Z108" s="6" t="n">
        <v>0</v>
      </c>
      <c r="AA108" s="6" t="n">
        <v>0</v>
      </c>
      <c r="AB108" s="6">
        <f>SUM(D108:AA108)</f>
        <v/>
      </c>
      <c r="AC108" s="3" t="inlineStr"/>
      <c r="AD108" s="7">
        <f>'BBB'!AD108+'Bag Staging'!AD108+'Bag Staging Volumetric'!AD108+'FWD FSM'!AD108+'FWD Manual Pre Primary'!AD108+'FWD Manual Primary'!AD108+'FWD Primary with Scan'!AD108+'FWD Secondary'!AD108+'FWD Volumetric'!AD108+'IB'!AD108+'IB Volumetric'!AD108+'OB'!AD108+'OB Volumetric'!AD108+'OSC Bag Sorting'!AD108+'OSC Bag Sorting Volumetric'!AD108+'REV FSM'!AD108+'Rejection Primary with Scan'!AD108+'Rejection Secondary'!AD108+'Rev DC DC Primary Sorting'!AD108+'Rev Primary (FSM Rejections)'!AD108+'Rev Secondary Sorting'!AD108+'VIA Bag Sorting'!AD108</f>
        <v/>
      </c>
      <c r="AE108" s="7">
        <f>'BBB'!AE108+'Bag Staging'!AE108+'Bag Staging Volumetric'!AE108+'FWD FSM'!AE108+'FWD Manual Pre Primary'!AE108+'FWD Manual Primary'!AE108+'FWD Primary with Scan'!AE108+'FWD Secondary'!AE108+'FWD Volumetric'!AE108+'IB'!AE108+'IB Volumetric'!AE108+'OB'!AE108+'OB Volumetric'!AE108+'OSC Bag Sorting'!AE108+'OSC Bag Sorting Volumetric'!AE108+'REV FSM'!AE108+'Rejection Primary with Scan'!AE108+'Rejection Secondary'!AE108+'Rev DC DC Primary Sorting'!AE108+'Rev Primary (FSM Rejections)'!AE108+'Rev Secondary Sorting'!AE108+'VIA Bag Sorting'!AE108</f>
        <v/>
      </c>
      <c r="AF108" s="7">
        <f>'BBB'!AF108+'Bag Staging'!AF108+'Bag Staging Volumetric'!AF108+'FWD FSM'!AF108+'FWD Manual Pre Primary'!AF108+'FWD Manual Primary'!AF108+'FWD Primary with Scan'!AF108+'FWD Secondary'!AF108+'FWD Volumetric'!AF108+'IB'!AF108+'IB Volumetric'!AF108+'OB'!AF108+'OB Volumetric'!AF108+'OSC Bag Sorting'!AF108+'OSC Bag Sorting Volumetric'!AF108+'REV FSM'!AF108+'Rejection Primary with Scan'!AF108+'Rejection Secondary'!AF108+'Rev DC DC Primary Sorting'!AF108+'Rev Primary (FSM Rejections)'!AF108+'Rev Secondary Sorting'!AF108+'VIA Bag Sorting'!AF108</f>
        <v/>
      </c>
      <c r="AG108" s="7">
        <f>'BBB'!AG108+'Bag Staging'!AG108+'Bag Staging Volumetric'!AG108+'FWD FSM'!AG108+'FWD Manual Pre Primary'!AG108+'FWD Manual Primary'!AG108+'FWD Primary with Scan'!AG108+'FWD Secondary'!AG108+'FWD Volumetric'!AG108+'IB'!AG108+'IB Volumetric'!AG108+'OB'!AG108+'OB Volumetric'!AG108+'OSC Bag Sorting'!AG108+'OSC Bag Sorting Volumetric'!AG108+'REV FSM'!AG108+'Rejection Primary with Scan'!AG108+'Rejection Secondary'!AG108+'Rev DC DC Primary Sorting'!AG108+'Rev Primary (FSM Rejections)'!AG108+'Rev Secondary Sorting'!AG108+'VIA Bag Sorting'!AG108</f>
        <v/>
      </c>
      <c r="AH108" s="7">
        <f>'BBB'!AH108+'Bag Staging'!AH108+'Bag Staging Volumetric'!AH108+'FWD FSM'!AH108+'FWD Manual Pre Primary'!AH108+'FWD Manual Primary'!AH108+'FWD Primary with Scan'!AH108+'FWD Secondary'!AH108+'FWD Volumetric'!AH108+'IB'!AH108+'IB Volumetric'!AH108+'OB'!AH108+'OB Volumetric'!AH108+'OSC Bag Sorting'!AH108+'OSC Bag Sorting Volumetric'!AH108+'REV FSM'!AH108+'Rejection Primary with Scan'!AH108+'Rejection Secondary'!AH108+'Rev DC DC Primary Sorting'!AH108+'Rev Primary (FSM Rejections)'!AH108+'Rev Secondary Sorting'!AH108+'VIA Bag Sorting'!AH108</f>
        <v/>
      </c>
      <c r="AI108" s="7">
        <f>'BBB'!AI108+'Bag Staging'!AI108+'Bag Staging Volumetric'!AI108+'FWD FSM'!AI108+'FWD Manual Pre Primary'!AI108+'FWD Manual Primary'!AI108+'FWD Primary with Scan'!AI108+'FWD Secondary'!AI108+'FWD Volumetric'!AI108+'IB'!AI108+'IB Volumetric'!AI108+'OB'!AI108+'OB Volumetric'!AI108+'OSC Bag Sorting'!AI108+'OSC Bag Sorting Volumetric'!AI108+'REV FSM'!AI108+'Rejection Primary with Scan'!AI108+'Rejection Secondary'!AI108+'Rev DC DC Primary Sorting'!AI108+'Rev Primary (FSM Rejections)'!AI108+'Rev Secondary Sorting'!AI108+'VIA Bag Sorting'!AI108</f>
        <v/>
      </c>
      <c r="AJ108" s="7">
        <f>'BBB'!AJ108+'Bag Staging'!AJ108+'Bag Staging Volumetric'!AJ108+'FWD FSM'!AJ108+'FWD Manual Pre Primary'!AJ108+'FWD Manual Primary'!AJ108+'FWD Primary with Scan'!AJ108+'FWD Secondary'!AJ108+'FWD Volumetric'!AJ108+'IB'!AJ108+'IB Volumetric'!AJ108+'OB'!AJ108+'OB Volumetric'!AJ108+'OSC Bag Sorting'!AJ108+'OSC Bag Sorting Volumetric'!AJ108+'REV FSM'!AJ108+'Rejection Primary with Scan'!AJ108+'Rejection Secondary'!AJ108+'Rev DC DC Primary Sorting'!AJ108+'Rev Primary (FSM Rejections)'!AJ108+'Rev Secondary Sorting'!AJ108+'VIA Bag Sorting'!AJ108</f>
        <v/>
      </c>
      <c r="AK108" s="7">
        <f>'BBB'!AK108+'Bag Staging'!AK108+'Bag Staging Volumetric'!AK108+'FWD FSM'!AK108+'FWD Manual Pre Primary'!AK108+'FWD Manual Primary'!AK108+'FWD Primary with Scan'!AK108+'FWD Secondary'!AK108+'FWD Volumetric'!AK108+'IB'!AK108+'IB Volumetric'!AK108+'OB'!AK108+'OB Volumetric'!AK108+'OSC Bag Sorting'!AK108+'OSC Bag Sorting Volumetric'!AK108+'REV FSM'!AK108+'Rejection Primary with Scan'!AK108+'Rejection Secondary'!AK108+'Rev DC DC Primary Sorting'!AK108+'Rev Primary (FSM Rejections)'!AK108+'Rev Secondary Sorting'!AK108+'VIA Bag Sorting'!AK108</f>
        <v/>
      </c>
      <c r="AL108" s="7">
        <f>'BBB'!AL108+'Bag Staging'!AL108+'Bag Staging Volumetric'!AL108+'FWD FSM'!AL108+'FWD Manual Pre Primary'!AL108+'FWD Manual Primary'!AL108+'FWD Primary with Scan'!AL108+'FWD Secondary'!AL108+'FWD Volumetric'!AL108+'IB'!AL108+'IB Volumetric'!AL108+'OB'!AL108+'OB Volumetric'!AL108+'OSC Bag Sorting'!AL108+'OSC Bag Sorting Volumetric'!AL108+'REV FSM'!AL108+'Rejection Primary with Scan'!AL108+'Rejection Secondary'!AL108+'Rev DC DC Primary Sorting'!AL108+'Rev Primary (FSM Rejections)'!AL108+'Rev Secondary Sorting'!AL108+'VIA Bag Sorting'!AL108</f>
        <v/>
      </c>
      <c r="AM108" s="7">
        <f>'BBB'!AM108+'Bag Staging'!AM108+'Bag Staging Volumetric'!AM108+'FWD FSM'!AM108+'FWD Manual Pre Primary'!AM108+'FWD Manual Primary'!AM108+'FWD Primary with Scan'!AM108+'FWD Secondary'!AM108+'FWD Volumetric'!AM108+'IB'!AM108+'IB Volumetric'!AM108+'OB'!AM108+'OB Volumetric'!AM108+'OSC Bag Sorting'!AM108+'OSC Bag Sorting Volumetric'!AM108+'REV FSM'!AM108+'Rejection Primary with Scan'!AM108+'Rejection Secondary'!AM108+'Rev DC DC Primary Sorting'!AM108+'Rev Primary (FSM Rejections)'!AM108+'Rev Secondary Sorting'!AM108+'VIA Bag Sorting'!AM108</f>
        <v/>
      </c>
      <c r="AN108" s="7">
        <f>'BBB'!AN108+'Bag Staging'!AN108+'Bag Staging Volumetric'!AN108+'FWD FSM'!AN108+'FWD Manual Pre Primary'!AN108+'FWD Manual Primary'!AN108+'FWD Primary with Scan'!AN108+'FWD Secondary'!AN108+'FWD Volumetric'!AN108+'IB'!AN108+'IB Volumetric'!AN108+'OB'!AN108+'OB Volumetric'!AN108+'OSC Bag Sorting'!AN108+'OSC Bag Sorting Volumetric'!AN108+'REV FSM'!AN108+'Rejection Primary with Scan'!AN108+'Rejection Secondary'!AN108+'Rev DC DC Primary Sorting'!AN108+'Rev Primary (FSM Rejections)'!AN108+'Rev Secondary Sorting'!AN108+'VIA Bag Sorting'!AN108</f>
        <v/>
      </c>
      <c r="AO108" s="7">
        <f>'BBB'!AO108+'Bag Staging'!AO108+'Bag Staging Volumetric'!AO108+'FWD FSM'!AO108+'FWD Manual Pre Primary'!AO108+'FWD Manual Primary'!AO108+'FWD Primary with Scan'!AO108+'FWD Secondary'!AO108+'FWD Volumetric'!AO108+'IB'!AO108+'IB Volumetric'!AO108+'OB'!AO108+'OB Volumetric'!AO108+'OSC Bag Sorting'!AO108+'OSC Bag Sorting Volumetric'!AO108+'REV FSM'!AO108+'Rejection Primary with Scan'!AO108+'Rejection Secondary'!AO108+'Rev DC DC Primary Sorting'!AO108+'Rev Primary (FSM Rejections)'!AO108+'Rev Secondary Sorting'!AO108+'VIA Bag Sorting'!AO108</f>
        <v/>
      </c>
      <c r="AP108" s="7">
        <f>'BBB'!AP108+'Bag Staging'!AP108+'Bag Staging Volumetric'!AP108+'FWD FSM'!AP108+'FWD Manual Pre Primary'!AP108+'FWD Manual Primary'!AP108+'FWD Primary with Scan'!AP108+'FWD Secondary'!AP108+'FWD Volumetric'!AP108+'IB'!AP108+'IB Volumetric'!AP108+'OB'!AP108+'OB Volumetric'!AP108+'OSC Bag Sorting'!AP108+'OSC Bag Sorting Volumetric'!AP108+'REV FSM'!AP108+'Rejection Primary with Scan'!AP108+'Rejection Secondary'!AP108+'Rev DC DC Primary Sorting'!AP108+'Rev Primary (FSM Rejections)'!AP108+'Rev Secondary Sorting'!AP108+'VIA Bag Sorting'!AP108</f>
        <v/>
      </c>
      <c r="AQ108" s="7">
        <f>'BBB'!AQ108+'Bag Staging'!AQ108+'Bag Staging Volumetric'!AQ108+'FWD FSM'!AQ108+'FWD Manual Pre Primary'!AQ108+'FWD Manual Primary'!AQ108+'FWD Primary with Scan'!AQ108+'FWD Secondary'!AQ108+'FWD Volumetric'!AQ108+'IB'!AQ108+'IB Volumetric'!AQ108+'OB'!AQ108+'OB Volumetric'!AQ108+'OSC Bag Sorting'!AQ108+'OSC Bag Sorting Volumetric'!AQ108+'REV FSM'!AQ108+'Rejection Primary with Scan'!AQ108+'Rejection Secondary'!AQ108+'Rev DC DC Primary Sorting'!AQ108+'Rev Primary (FSM Rejections)'!AQ108+'Rev Secondary Sorting'!AQ108+'VIA Bag Sorting'!AQ108</f>
        <v/>
      </c>
      <c r="AR108" s="7">
        <f>'BBB'!AR108+'Bag Staging'!AR108+'Bag Staging Volumetric'!AR108+'FWD FSM'!AR108+'FWD Manual Pre Primary'!AR108+'FWD Manual Primary'!AR108+'FWD Primary with Scan'!AR108+'FWD Secondary'!AR108+'FWD Volumetric'!AR108+'IB'!AR108+'IB Volumetric'!AR108+'OB'!AR108+'OB Volumetric'!AR108+'OSC Bag Sorting'!AR108+'OSC Bag Sorting Volumetric'!AR108+'REV FSM'!AR108+'Rejection Primary with Scan'!AR108+'Rejection Secondary'!AR108+'Rev DC DC Primary Sorting'!AR108+'Rev Primary (FSM Rejections)'!AR108+'Rev Secondary Sorting'!AR108+'VIA Bag Sorting'!AR108</f>
        <v/>
      </c>
      <c r="AS108" s="7">
        <f>'BBB'!AS108+'Bag Staging'!AS108+'Bag Staging Volumetric'!AS108+'FWD FSM'!AS108+'FWD Manual Pre Primary'!AS108+'FWD Manual Primary'!AS108+'FWD Primary with Scan'!AS108+'FWD Secondary'!AS108+'FWD Volumetric'!AS108+'IB'!AS108+'IB Volumetric'!AS108+'OB'!AS108+'OB Volumetric'!AS108+'OSC Bag Sorting'!AS108+'OSC Bag Sorting Volumetric'!AS108+'REV FSM'!AS108+'Rejection Primary with Scan'!AS108+'Rejection Secondary'!AS108+'Rev DC DC Primary Sorting'!AS108+'Rev Primary (FSM Rejections)'!AS108+'Rev Secondary Sorting'!AS108+'VIA Bag Sorting'!AS108</f>
        <v/>
      </c>
      <c r="AT108" s="7">
        <f>'BBB'!AT108+'Bag Staging'!AT108+'Bag Staging Volumetric'!AT108+'FWD FSM'!AT108+'FWD Manual Pre Primary'!AT108+'FWD Manual Primary'!AT108+'FWD Primary with Scan'!AT108+'FWD Secondary'!AT108+'FWD Volumetric'!AT108+'IB'!AT108+'IB Volumetric'!AT108+'OB'!AT108+'OB Volumetric'!AT108+'OSC Bag Sorting'!AT108+'OSC Bag Sorting Volumetric'!AT108+'REV FSM'!AT108+'Rejection Primary with Scan'!AT108+'Rejection Secondary'!AT108+'Rev DC DC Primary Sorting'!AT108+'Rev Primary (FSM Rejections)'!AT108+'Rev Secondary Sorting'!AT108+'VIA Bag Sorting'!AT108</f>
        <v/>
      </c>
      <c r="AU108" s="7">
        <f>'BBB'!AU108+'Bag Staging'!AU108+'Bag Staging Volumetric'!AU108+'FWD FSM'!AU108+'FWD Manual Pre Primary'!AU108+'FWD Manual Primary'!AU108+'FWD Primary with Scan'!AU108+'FWD Secondary'!AU108+'FWD Volumetric'!AU108+'IB'!AU108+'IB Volumetric'!AU108+'OB'!AU108+'OB Volumetric'!AU108+'OSC Bag Sorting'!AU108+'OSC Bag Sorting Volumetric'!AU108+'REV FSM'!AU108+'Rejection Primary with Scan'!AU108+'Rejection Secondary'!AU108+'Rev DC DC Primary Sorting'!AU108+'Rev Primary (FSM Rejections)'!AU108+'Rev Secondary Sorting'!AU108+'VIA Bag Sorting'!AU108</f>
        <v/>
      </c>
      <c r="AV108" s="7">
        <f>'BBB'!AV108+'Bag Staging'!AV108+'Bag Staging Volumetric'!AV108+'FWD FSM'!AV108+'FWD Manual Pre Primary'!AV108+'FWD Manual Primary'!AV108+'FWD Primary with Scan'!AV108+'FWD Secondary'!AV108+'FWD Volumetric'!AV108+'IB'!AV108+'IB Volumetric'!AV108+'OB'!AV108+'OB Volumetric'!AV108+'OSC Bag Sorting'!AV108+'OSC Bag Sorting Volumetric'!AV108+'REV FSM'!AV108+'Rejection Primary with Scan'!AV108+'Rejection Secondary'!AV108+'Rev DC DC Primary Sorting'!AV108+'Rev Primary (FSM Rejections)'!AV108+'Rev Secondary Sorting'!AV108+'VIA Bag Sorting'!AV108</f>
        <v/>
      </c>
      <c r="AW108" s="7">
        <f>'BBB'!AW108+'Bag Staging'!AW108+'Bag Staging Volumetric'!AW108+'FWD FSM'!AW108+'FWD Manual Pre Primary'!AW108+'FWD Manual Primary'!AW108+'FWD Primary with Scan'!AW108+'FWD Secondary'!AW108+'FWD Volumetric'!AW108+'IB'!AW108+'IB Volumetric'!AW108+'OB'!AW108+'OB Volumetric'!AW108+'OSC Bag Sorting'!AW108+'OSC Bag Sorting Volumetric'!AW108+'REV FSM'!AW108+'Rejection Primary with Scan'!AW108+'Rejection Secondary'!AW108+'Rev DC DC Primary Sorting'!AW108+'Rev Primary (FSM Rejections)'!AW108+'Rev Secondary Sorting'!AW108+'VIA Bag Sorting'!AW108</f>
        <v/>
      </c>
      <c r="AX108" s="7">
        <f>'BBB'!AX108+'Bag Staging'!AX108+'Bag Staging Volumetric'!AX108+'FWD FSM'!AX108+'FWD Manual Pre Primary'!AX108+'FWD Manual Primary'!AX108+'FWD Primary with Scan'!AX108+'FWD Secondary'!AX108+'FWD Volumetric'!AX108+'IB'!AX108+'IB Volumetric'!AX108+'OB'!AX108+'OB Volumetric'!AX108+'OSC Bag Sorting'!AX108+'OSC Bag Sorting Volumetric'!AX108+'REV FSM'!AX108+'Rejection Primary with Scan'!AX108+'Rejection Secondary'!AX108+'Rev DC DC Primary Sorting'!AX108+'Rev Primary (FSM Rejections)'!AX108+'Rev Secondary Sorting'!AX108+'VIA Bag Sorting'!AX108</f>
        <v/>
      </c>
      <c r="AY108" s="7">
        <f>'BBB'!AY108+'Bag Staging'!AY108+'Bag Staging Volumetric'!AY108+'FWD FSM'!AY108+'FWD Manual Pre Primary'!AY108+'FWD Manual Primary'!AY108+'FWD Primary with Scan'!AY108+'FWD Secondary'!AY108+'FWD Volumetric'!AY108+'IB'!AY108+'IB Volumetric'!AY108+'OB'!AY108+'OB Volumetric'!AY108+'OSC Bag Sorting'!AY108+'OSC Bag Sorting Volumetric'!AY108+'REV FSM'!AY108+'Rejection Primary with Scan'!AY108+'Rejection Secondary'!AY108+'Rev DC DC Primary Sorting'!AY108+'Rev Primary (FSM Rejections)'!AY108+'Rev Secondary Sorting'!AY108+'VIA Bag Sorting'!AY108</f>
        <v/>
      </c>
      <c r="AZ108" s="7">
        <f>'BBB'!AZ108+'Bag Staging'!AZ108+'Bag Staging Volumetric'!AZ108+'FWD FSM'!AZ108+'FWD Manual Pre Primary'!AZ108+'FWD Manual Primary'!AZ108+'FWD Primary with Scan'!AZ108+'FWD Secondary'!AZ108+'FWD Volumetric'!AZ108+'IB'!AZ108+'IB Volumetric'!AZ108+'OB'!AZ108+'OB Volumetric'!AZ108+'OSC Bag Sorting'!AZ108+'OSC Bag Sorting Volumetric'!AZ108+'REV FSM'!AZ108+'Rejection Primary with Scan'!AZ108+'Rejection Secondary'!AZ108+'Rev DC DC Primary Sorting'!AZ108+'Rev Primary (FSM Rejections)'!AZ108+'Rev Secondary Sorting'!AZ108+'VIA Bag Sorting'!AZ108</f>
        <v/>
      </c>
      <c r="BA108" s="7">
        <f>'BBB'!BA108+'Bag Staging'!BA108+'Bag Staging Volumetric'!BA108+'FWD FSM'!BA108+'FWD Manual Pre Primary'!BA108+'FWD Manual Primary'!BA108+'FWD Primary with Scan'!BA108+'FWD Secondary'!BA108+'FWD Volumetric'!BA108+'IB'!BA108+'IB Volumetric'!BA108+'OB'!BA108+'OB Volumetric'!BA108+'OSC Bag Sorting'!BA108+'OSC Bag Sorting Volumetric'!BA108+'REV FSM'!BA108+'Rejection Primary with Scan'!BA108+'Rejection Secondary'!BA108+'Rev DC DC Primary Sorting'!BA108+'Rev Primary (FSM Rejections)'!BA108+'Rev Secondary Sorting'!BA108+'VIA Bag Sorting'!BA108</f>
        <v/>
      </c>
      <c r="BB108" s="7">
        <f>SUM(AD108:BA108)</f>
        <v/>
      </c>
    </row>
    <row r="109">
      <c r="A109" t="inlineStr">
        <is>
          <t>AMD-RTS-RCLS-1302-SSC_2</t>
        </is>
      </c>
      <c r="B109" t="inlineStr">
        <is>
          <t>Rev OSC</t>
        </is>
      </c>
      <c r="C109" s="5" t="n">
        <v>46102</v>
      </c>
      <c r="D109" s="6" t="n">
        <v>0</v>
      </c>
      <c r="E109" s="6" t="n">
        <v>0</v>
      </c>
      <c r="F109" s="6" t="n">
        <v>0</v>
      </c>
      <c r="G109" s="6" t="n">
        <v>0</v>
      </c>
      <c r="H109" s="6" t="n">
        <v>0</v>
      </c>
      <c r="I109" s="6" t="n">
        <v>0</v>
      </c>
      <c r="J109" s="6" t="n">
        <v>0</v>
      </c>
      <c r="K109" s="6" t="n">
        <v>0</v>
      </c>
      <c r="L109" s="6" t="n">
        <v>0</v>
      </c>
      <c r="M109" s="6" t="n">
        <v>0</v>
      </c>
      <c r="N109" s="6" t="n">
        <v>0</v>
      </c>
      <c r="O109" s="6" t="n">
        <v>0</v>
      </c>
      <c r="P109" s="6" t="n">
        <v>0</v>
      </c>
      <c r="Q109" s="6" t="n">
        <v>0</v>
      </c>
      <c r="R109" s="6" t="n">
        <v>607</v>
      </c>
      <c r="S109" s="6" t="n">
        <v>1080</v>
      </c>
      <c r="T109" s="6" t="n">
        <v>1455</v>
      </c>
      <c r="U109" s="6" t="n">
        <v>10</v>
      </c>
      <c r="V109" s="6" t="n">
        <v>0</v>
      </c>
      <c r="W109" s="6" t="n">
        <v>0</v>
      </c>
      <c r="X109" s="6" t="n">
        <v>0</v>
      </c>
      <c r="Y109" s="6" t="n">
        <v>0</v>
      </c>
      <c r="Z109" s="6" t="n">
        <v>0</v>
      </c>
      <c r="AA109" s="6" t="n">
        <v>0</v>
      </c>
      <c r="AB109" s="6">
        <f>SUM(D109:AA109)</f>
        <v/>
      </c>
      <c r="AC109" s="3" t="inlineStr"/>
      <c r="AD109" s="7">
        <f>'BBB'!AD109+'Bag Staging'!AD109+'Bag Staging Volumetric'!AD109+'FWD FSM'!AD109+'FWD Manual Pre Primary'!AD109+'FWD Manual Primary'!AD109+'FWD Primary with Scan'!AD109+'FWD Secondary'!AD109+'FWD Volumetric'!AD109+'IB'!AD109+'IB Volumetric'!AD109+'OB'!AD109+'OB Volumetric'!AD109+'OSC Bag Sorting'!AD109+'OSC Bag Sorting Volumetric'!AD109+'REV FSM'!AD109+'Rejection Primary with Scan'!AD109+'Rejection Secondary'!AD109+'Rev DC DC Primary Sorting'!AD109+'Rev Primary (FSM Rejections)'!AD109+'Rev Secondary Sorting'!AD109+'VIA Bag Sorting'!AD109</f>
        <v/>
      </c>
      <c r="AE109" s="7">
        <f>'BBB'!AE109+'Bag Staging'!AE109+'Bag Staging Volumetric'!AE109+'FWD FSM'!AE109+'FWD Manual Pre Primary'!AE109+'FWD Manual Primary'!AE109+'FWD Primary with Scan'!AE109+'FWD Secondary'!AE109+'FWD Volumetric'!AE109+'IB'!AE109+'IB Volumetric'!AE109+'OB'!AE109+'OB Volumetric'!AE109+'OSC Bag Sorting'!AE109+'OSC Bag Sorting Volumetric'!AE109+'REV FSM'!AE109+'Rejection Primary with Scan'!AE109+'Rejection Secondary'!AE109+'Rev DC DC Primary Sorting'!AE109+'Rev Primary (FSM Rejections)'!AE109+'Rev Secondary Sorting'!AE109+'VIA Bag Sorting'!AE109</f>
        <v/>
      </c>
      <c r="AF109" s="7">
        <f>'BBB'!AF109+'Bag Staging'!AF109+'Bag Staging Volumetric'!AF109+'FWD FSM'!AF109+'FWD Manual Pre Primary'!AF109+'FWD Manual Primary'!AF109+'FWD Primary with Scan'!AF109+'FWD Secondary'!AF109+'FWD Volumetric'!AF109+'IB'!AF109+'IB Volumetric'!AF109+'OB'!AF109+'OB Volumetric'!AF109+'OSC Bag Sorting'!AF109+'OSC Bag Sorting Volumetric'!AF109+'REV FSM'!AF109+'Rejection Primary with Scan'!AF109+'Rejection Secondary'!AF109+'Rev DC DC Primary Sorting'!AF109+'Rev Primary (FSM Rejections)'!AF109+'Rev Secondary Sorting'!AF109+'VIA Bag Sorting'!AF109</f>
        <v/>
      </c>
      <c r="AG109" s="7">
        <f>'BBB'!AG109+'Bag Staging'!AG109+'Bag Staging Volumetric'!AG109+'FWD FSM'!AG109+'FWD Manual Pre Primary'!AG109+'FWD Manual Primary'!AG109+'FWD Primary with Scan'!AG109+'FWD Secondary'!AG109+'FWD Volumetric'!AG109+'IB'!AG109+'IB Volumetric'!AG109+'OB'!AG109+'OB Volumetric'!AG109+'OSC Bag Sorting'!AG109+'OSC Bag Sorting Volumetric'!AG109+'REV FSM'!AG109+'Rejection Primary with Scan'!AG109+'Rejection Secondary'!AG109+'Rev DC DC Primary Sorting'!AG109+'Rev Primary (FSM Rejections)'!AG109+'Rev Secondary Sorting'!AG109+'VIA Bag Sorting'!AG109</f>
        <v/>
      </c>
      <c r="AH109" s="7">
        <f>'BBB'!AH109+'Bag Staging'!AH109+'Bag Staging Volumetric'!AH109+'FWD FSM'!AH109+'FWD Manual Pre Primary'!AH109+'FWD Manual Primary'!AH109+'FWD Primary with Scan'!AH109+'FWD Secondary'!AH109+'FWD Volumetric'!AH109+'IB'!AH109+'IB Volumetric'!AH109+'OB'!AH109+'OB Volumetric'!AH109+'OSC Bag Sorting'!AH109+'OSC Bag Sorting Volumetric'!AH109+'REV FSM'!AH109+'Rejection Primary with Scan'!AH109+'Rejection Secondary'!AH109+'Rev DC DC Primary Sorting'!AH109+'Rev Primary (FSM Rejections)'!AH109+'Rev Secondary Sorting'!AH109+'VIA Bag Sorting'!AH109</f>
        <v/>
      </c>
      <c r="AI109" s="7">
        <f>'BBB'!AI109+'Bag Staging'!AI109+'Bag Staging Volumetric'!AI109+'FWD FSM'!AI109+'FWD Manual Pre Primary'!AI109+'FWD Manual Primary'!AI109+'FWD Primary with Scan'!AI109+'FWD Secondary'!AI109+'FWD Volumetric'!AI109+'IB'!AI109+'IB Volumetric'!AI109+'OB'!AI109+'OB Volumetric'!AI109+'OSC Bag Sorting'!AI109+'OSC Bag Sorting Volumetric'!AI109+'REV FSM'!AI109+'Rejection Primary with Scan'!AI109+'Rejection Secondary'!AI109+'Rev DC DC Primary Sorting'!AI109+'Rev Primary (FSM Rejections)'!AI109+'Rev Secondary Sorting'!AI109+'VIA Bag Sorting'!AI109</f>
        <v/>
      </c>
      <c r="AJ109" s="7">
        <f>'BBB'!AJ109+'Bag Staging'!AJ109+'Bag Staging Volumetric'!AJ109+'FWD FSM'!AJ109+'FWD Manual Pre Primary'!AJ109+'FWD Manual Primary'!AJ109+'FWD Primary with Scan'!AJ109+'FWD Secondary'!AJ109+'FWD Volumetric'!AJ109+'IB'!AJ109+'IB Volumetric'!AJ109+'OB'!AJ109+'OB Volumetric'!AJ109+'OSC Bag Sorting'!AJ109+'OSC Bag Sorting Volumetric'!AJ109+'REV FSM'!AJ109+'Rejection Primary with Scan'!AJ109+'Rejection Secondary'!AJ109+'Rev DC DC Primary Sorting'!AJ109+'Rev Primary (FSM Rejections)'!AJ109+'Rev Secondary Sorting'!AJ109+'VIA Bag Sorting'!AJ109</f>
        <v/>
      </c>
      <c r="AK109" s="7">
        <f>'BBB'!AK109+'Bag Staging'!AK109+'Bag Staging Volumetric'!AK109+'FWD FSM'!AK109+'FWD Manual Pre Primary'!AK109+'FWD Manual Primary'!AK109+'FWD Primary with Scan'!AK109+'FWD Secondary'!AK109+'FWD Volumetric'!AK109+'IB'!AK109+'IB Volumetric'!AK109+'OB'!AK109+'OB Volumetric'!AK109+'OSC Bag Sorting'!AK109+'OSC Bag Sorting Volumetric'!AK109+'REV FSM'!AK109+'Rejection Primary with Scan'!AK109+'Rejection Secondary'!AK109+'Rev DC DC Primary Sorting'!AK109+'Rev Primary (FSM Rejections)'!AK109+'Rev Secondary Sorting'!AK109+'VIA Bag Sorting'!AK109</f>
        <v/>
      </c>
      <c r="AL109" s="7">
        <f>'BBB'!AL109+'Bag Staging'!AL109+'Bag Staging Volumetric'!AL109+'FWD FSM'!AL109+'FWD Manual Pre Primary'!AL109+'FWD Manual Primary'!AL109+'FWD Primary with Scan'!AL109+'FWD Secondary'!AL109+'FWD Volumetric'!AL109+'IB'!AL109+'IB Volumetric'!AL109+'OB'!AL109+'OB Volumetric'!AL109+'OSC Bag Sorting'!AL109+'OSC Bag Sorting Volumetric'!AL109+'REV FSM'!AL109+'Rejection Primary with Scan'!AL109+'Rejection Secondary'!AL109+'Rev DC DC Primary Sorting'!AL109+'Rev Primary (FSM Rejections)'!AL109+'Rev Secondary Sorting'!AL109+'VIA Bag Sorting'!AL109</f>
        <v/>
      </c>
      <c r="AM109" s="7">
        <f>'BBB'!AM109+'Bag Staging'!AM109+'Bag Staging Volumetric'!AM109+'FWD FSM'!AM109+'FWD Manual Pre Primary'!AM109+'FWD Manual Primary'!AM109+'FWD Primary with Scan'!AM109+'FWD Secondary'!AM109+'FWD Volumetric'!AM109+'IB'!AM109+'IB Volumetric'!AM109+'OB'!AM109+'OB Volumetric'!AM109+'OSC Bag Sorting'!AM109+'OSC Bag Sorting Volumetric'!AM109+'REV FSM'!AM109+'Rejection Primary with Scan'!AM109+'Rejection Secondary'!AM109+'Rev DC DC Primary Sorting'!AM109+'Rev Primary (FSM Rejections)'!AM109+'Rev Secondary Sorting'!AM109+'VIA Bag Sorting'!AM109</f>
        <v/>
      </c>
      <c r="AN109" s="7">
        <f>'BBB'!AN109+'Bag Staging'!AN109+'Bag Staging Volumetric'!AN109+'FWD FSM'!AN109+'FWD Manual Pre Primary'!AN109+'FWD Manual Primary'!AN109+'FWD Primary with Scan'!AN109+'FWD Secondary'!AN109+'FWD Volumetric'!AN109+'IB'!AN109+'IB Volumetric'!AN109+'OB'!AN109+'OB Volumetric'!AN109+'OSC Bag Sorting'!AN109+'OSC Bag Sorting Volumetric'!AN109+'REV FSM'!AN109+'Rejection Primary with Scan'!AN109+'Rejection Secondary'!AN109+'Rev DC DC Primary Sorting'!AN109+'Rev Primary (FSM Rejections)'!AN109+'Rev Secondary Sorting'!AN109+'VIA Bag Sorting'!AN109</f>
        <v/>
      </c>
      <c r="AO109" s="7">
        <f>'BBB'!AO109+'Bag Staging'!AO109+'Bag Staging Volumetric'!AO109+'FWD FSM'!AO109+'FWD Manual Pre Primary'!AO109+'FWD Manual Primary'!AO109+'FWD Primary with Scan'!AO109+'FWD Secondary'!AO109+'FWD Volumetric'!AO109+'IB'!AO109+'IB Volumetric'!AO109+'OB'!AO109+'OB Volumetric'!AO109+'OSC Bag Sorting'!AO109+'OSC Bag Sorting Volumetric'!AO109+'REV FSM'!AO109+'Rejection Primary with Scan'!AO109+'Rejection Secondary'!AO109+'Rev DC DC Primary Sorting'!AO109+'Rev Primary (FSM Rejections)'!AO109+'Rev Secondary Sorting'!AO109+'VIA Bag Sorting'!AO109</f>
        <v/>
      </c>
      <c r="AP109" s="7">
        <f>'BBB'!AP109+'Bag Staging'!AP109+'Bag Staging Volumetric'!AP109+'FWD FSM'!AP109+'FWD Manual Pre Primary'!AP109+'FWD Manual Primary'!AP109+'FWD Primary with Scan'!AP109+'FWD Secondary'!AP109+'FWD Volumetric'!AP109+'IB'!AP109+'IB Volumetric'!AP109+'OB'!AP109+'OB Volumetric'!AP109+'OSC Bag Sorting'!AP109+'OSC Bag Sorting Volumetric'!AP109+'REV FSM'!AP109+'Rejection Primary with Scan'!AP109+'Rejection Secondary'!AP109+'Rev DC DC Primary Sorting'!AP109+'Rev Primary (FSM Rejections)'!AP109+'Rev Secondary Sorting'!AP109+'VIA Bag Sorting'!AP109</f>
        <v/>
      </c>
      <c r="AQ109" s="7">
        <f>'BBB'!AQ109+'Bag Staging'!AQ109+'Bag Staging Volumetric'!AQ109+'FWD FSM'!AQ109+'FWD Manual Pre Primary'!AQ109+'FWD Manual Primary'!AQ109+'FWD Primary with Scan'!AQ109+'FWD Secondary'!AQ109+'FWD Volumetric'!AQ109+'IB'!AQ109+'IB Volumetric'!AQ109+'OB'!AQ109+'OB Volumetric'!AQ109+'OSC Bag Sorting'!AQ109+'OSC Bag Sorting Volumetric'!AQ109+'REV FSM'!AQ109+'Rejection Primary with Scan'!AQ109+'Rejection Secondary'!AQ109+'Rev DC DC Primary Sorting'!AQ109+'Rev Primary (FSM Rejections)'!AQ109+'Rev Secondary Sorting'!AQ109+'VIA Bag Sorting'!AQ109</f>
        <v/>
      </c>
      <c r="AR109" s="7">
        <f>'BBB'!AR109+'Bag Staging'!AR109+'Bag Staging Volumetric'!AR109+'FWD FSM'!AR109+'FWD Manual Pre Primary'!AR109+'FWD Manual Primary'!AR109+'FWD Primary with Scan'!AR109+'FWD Secondary'!AR109+'FWD Volumetric'!AR109+'IB'!AR109+'IB Volumetric'!AR109+'OB'!AR109+'OB Volumetric'!AR109+'OSC Bag Sorting'!AR109+'OSC Bag Sorting Volumetric'!AR109+'REV FSM'!AR109+'Rejection Primary with Scan'!AR109+'Rejection Secondary'!AR109+'Rev DC DC Primary Sorting'!AR109+'Rev Primary (FSM Rejections)'!AR109+'Rev Secondary Sorting'!AR109+'VIA Bag Sorting'!AR109</f>
        <v/>
      </c>
      <c r="AS109" s="7">
        <f>'BBB'!AS109+'Bag Staging'!AS109+'Bag Staging Volumetric'!AS109+'FWD FSM'!AS109+'FWD Manual Pre Primary'!AS109+'FWD Manual Primary'!AS109+'FWD Primary with Scan'!AS109+'FWD Secondary'!AS109+'FWD Volumetric'!AS109+'IB'!AS109+'IB Volumetric'!AS109+'OB'!AS109+'OB Volumetric'!AS109+'OSC Bag Sorting'!AS109+'OSC Bag Sorting Volumetric'!AS109+'REV FSM'!AS109+'Rejection Primary with Scan'!AS109+'Rejection Secondary'!AS109+'Rev DC DC Primary Sorting'!AS109+'Rev Primary (FSM Rejections)'!AS109+'Rev Secondary Sorting'!AS109+'VIA Bag Sorting'!AS109</f>
        <v/>
      </c>
      <c r="AT109" s="7">
        <f>'BBB'!AT109+'Bag Staging'!AT109+'Bag Staging Volumetric'!AT109+'FWD FSM'!AT109+'FWD Manual Pre Primary'!AT109+'FWD Manual Primary'!AT109+'FWD Primary with Scan'!AT109+'FWD Secondary'!AT109+'FWD Volumetric'!AT109+'IB'!AT109+'IB Volumetric'!AT109+'OB'!AT109+'OB Volumetric'!AT109+'OSC Bag Sorting'!AT109+'OSC Bag Sorting Volumetric'!AT109+'REV FSM'!AT109+'Rejection Primary with Scan'!AT109+'Rejection Secondary'!AT109+'Rev DC DC Primary Sorting'!AT109+'Rev Primary (FSM Rejections)'!AT109+'Rev Secondary Sorting'!AT109+'VIA Bag Sorting'!AT109</f>
        <v/>
      </c>
      <c r="AU109" s="7">
        <f>'BBB'!AU109+'Bag Staging'!AU109+'Bag Staging Volumetric'!AU109+'FWD FSM'!AU109+'FWD Manual Pre Primary'!AU109+'FWD Manual Primary'!AU109+'FWD Primary with Scan'!AU109+'FWD Secondary'!AU109+'FWD Volumetric'!AU109+'IB'!AU109+'IB Volumetric'!AU109+'OB'!AU109+'OB Volumetric'!AU109+'OSC Bag Sorting'!AU109+'OSC Bag Sorting Volumetric'!AU109+'REV FSM'!AU109+'Rejection Primary with Scan'!AU109+'Rejection Secondary'!AU109+'Rev DC DC Primary Sorting'!AU109+'Rev Primary (FSM Rejections)'!AU109+'Rev Secondary Sorting'!AU109+'VIA Bag Sorting'!AU109</f>
        <v/>
      </c>
      <c r="AV109" s="7">
        <f>'BBB'!AV109+'Bag Staging'!AV109+'Bag Staging Volumetric'!AV109+'FWD FSM'!AV109+'FWD Manual Pre Primary'!AV109+'FWD Manual Primary'!AV109+'FWD Primary with Scan'!AV109+'FWD Secondary'!AV109+'FWD Volumetric'!AV109+'IB'!AV109+'IB Volumetric'!AV109+'OB'!AV109+'OB Volumetric'!AV109+'OSC Bag Sorting'!AV109+'OSC Bag Sorting Volumetric'!AV109+'REV FSM'!AV109+'Rejection Primary with Scan'!AV109+'Rejection Secondary'!AV109+'Rev DC DC Primary Sorting'!AV109+'Rev Primary (FSM Rejections)'!AV109+'Rev Secondary Sorting'!AV109+'VIA Bag Sorting'!AV109</f>
        <v/>
      </c>
      <c r="AW109" s="7">
        <f>'BBB'!AW109+'Bag Staging'!AW109+'Bag Staging Volumetric'!AW109+'FWD FSM'!AW109+'FWD Manual Pre Primary'!AW109+'FWD Manual Primary'!AW109+'FWD Primary with Scan'!AW109+'FWD Secondary'!AW109+'FWD Volumetric'!AW109+'IB'!AW109+'IB Volumetric'!AW109+'OB'!AW109+'OB Volumetric'!AW109+'OSC Bag Sorting'!AW109+'OSC Bag Sorting Volumetric'!AW109+'REV FSM'!AW109+'Rejection Primary with Scan'!AW109+'Rejection Secondary'!AW109+'Rev DC DC Primary Sorting'!AW109+'Rev Primary (FSM Rejections)'!AW109+'Rev Secondary Sorting'!AW109+'VIA Bag Sorting'!AW109</f>
        <v/>
      </c>
      <c r="AX109" s="7">
        <f>'BBB'!AX109+'Bag Staging'!AX109+'Bag Staging Volumetric'!AX109+'FWD FSM'!AX109+'FWD Manual Pre Primary'!AX109+'FWD Manual Primary'!AX109+'FWD Primary with Scan'!AX109+'FWD Secondary'!AX109+'FWD Volumetric'!AX109+'IB'!AX109+'IB Volumetric'!AX109+'OB'!AX109+'OB Volumetric'!AX109+'OSC Bag Sorting'!AX109+'OSC Bag Sorting Volumetric'!AX109+'REV FSM'!AX109+'Rejection Primary with Scan'!AX109+'Rejection Secondary'!AX109+'Rev DC DC Primary Sorting'!AX109+'Rev Primary (FSM Rejections)'!AX109+'Rev Secondary Sorting'!AX109+'VIA Bag Sorting'!AX109</f>
        <v/>
      </c>
      <c r="AY109" s="7">
        <f>'BBB'!AY109+'Bag Staging'!AY109+'Bag Staging Volumetric'!AY109+'FWD FSM'!AY109+'FWD Manual Pre Primary'!AY109+'FWD Manual Primary'!AY109+'FWD Primary with Scan'!AY109+'FWD Secondary'!AY109+'FWD Volumetric'!AY109+'IB'!AY109+'IB Volumetric'!AY109+'OB'!AY109+'OB Volumetric'!AY109+'OSC Bag Sorting'!AY109+'OSC Bag Sorting Volumetric'!AY109+'REV FSM'!AY109+'Rejection Primary with Scan'!AY109+'Rejection Secondary'!AY109+'Rev DC DC Primary Sorting'!AY109+'Rev Primary (FSM Rejections)'!AY109+'Rev Secondary Sorting'!AY109+'VIA Bag Sorting'!AY109</f>
        <v/>
      </c>
      <c r="AZ109" s="7">
        <f>'BBB'!AZ109+'Bag Staging'!AZ109+'Bag Staging Volumetric'!AZ109+'FWD FSM'!AZ109+'FWD Manual Pre Primary'!AZ109+'FWD Manual Primary'!AZ109+'FWD Primary with Scan'!AZ109+'FWD Secondary'!AZ109+'FWD Volumetric'!AZ109+'IB'!AZ109+'IB Volumetric'!AZ109+'OB'!AZ109+'OB Volumetric'!AZ109+'OSC Bag Sorting'!AZ109+'OSC Bag Sorting Volumetric'!AZ109+'REV FSM'!AZ109+'Rejection Primary with Scan'!AZ109+'Rejection Secondary'!AZ109+'Rev DC DC Primary Sorting'!AZ109+'Rev Primary (FSM Rejections)'!AZ109+'Rev Secondary Sorting'!AZ109+'VIA Bag Sorting'!AZ109</f>
        <v/>
      </c>
      <c r="BA109" s="7">
        <f>'BBB'!BA109+'Bag Staging'!BA109+'Bag Staging Volumetric'!BA109+'FWD FSM'!BA109+'FWD Manual Pre Primary'!BA109+'FWD Manual Primary'!BA109+'FWD Primary with Scan'!BA109+'FWD Secondary'!BA109+'FWD Volumetric'!BA109+'IB'!BA109+'IB Volumetric'!BA109+'OB'!BA109+'OB Volumetric'!BA109+'OSC Bag Sorting'!BA109+'OSC Bag Sorting Volumetric'!BA109+'REV FSM'!BA109+'Rejection Primary with Scan'!BA109+'Rejection Secondary'!BA109+'Rev DC DC Primary Sorting'!BA109+'Rev Primary (FSM Rejections)'!BA109+'Rev Secondary Sorting'!BA109+'VIA Bag Sorting'!BA109</f>
        <v/>
      </c>
      <c r="BB109" s="7">
        <f>SUM(AD109:BA109)</f>
        <v/>
      </c>
    </row>
    <row r="110">
      <c r="A110" t="inlineStr">
        <is>
          <t>AMD-RTS-RCLS-1302-SSC_2</t>
        </is>
      </c>
      <c r="B110" t="inlineStr">
        <is>
          <t>Rev OSC</t>
        </is>
      </c>
      <c r="C110" s="5" t="n">
        <v>46104</v>
      </c>
      <c r="D110" s="6" t="n">
        <v>0</v>
      </c>
      <c r="E110" s="6" t="n">
        <v>0</v>
      </c>
      <c r="F110" s="6" t="n">
        <v>0</v>
      </c>
      <c r="G110" s="6" t="n">
        <v>0</v>
      </c>
      <c r="H110" s="6" t="n">
        <v>0</v>
      </c>
      <c r="I110" s="6" t="n">
        <v>0</v>
      </c>
      <c r="J110" s="6" t="n">
        <v>0</v>
      </c>
      <c r="K110" s="6" t="n">
        <v>0</v>
      </c>
      <c r="L110" s="6" t="n">
        <v>0</v>
      </c>
      <c r="M110" s="6" t="n">
        <v>0</v>
      </c>
      <c r="N110" s="6" t="n">
        <v>0</v>
      </c>
      <c r="O110" s="6" t="n">
        <v>0</v>
      </c>
      <c r="P110" s="6" t="n">
        <v>0</v>
      </c>
      <c r="Q110" s="6" t="n">
        <v>406</v>
      </c>
      <c r="R110" s="6" t="n">
        <v>525</v>
      </c>
      <c r="S110" s="6" t="n">
        <v>1180</v>
      </c>
      <c r="T110" s="6" t="n">
        <v>431</v>
      </c>
      <c r="U110" s="6" t="n">
        <v>0</v>
      </c>
      <c r="V110" s="6" t="n">
        <v>0</v>
      </c>
      <c r="W110" s="6" t="n">
        <v>0</v>
      </c>
      <c r="X110" s="6" t="n">
        <v>0</v>
      </c>
      <c r="Y110" s="6" t="n">
        <v>0</v>
      </c>
      <c r="Z110" s="6" t="n">
        <v>0</v>
      </c>
      <c r="AA110" s="6" t="n">
        <v>0</v>
      </c>
      <c r="AB110" s="6">
        <f>SUM(D110:AA110)</f>
        <v/>
      </c>
      <c r="AC110" s="3" t="inlineStr"/>
      <c r="AD110" s="7">
        <f>'BBB'!AD110+'Bag Staging'!AD110+'Bag Staging Volumetric'!AD110+'FWD FSM'!AD110+'FWD Manual Pre Primary'!AD110+'FWD Manual Primary'!AD110+'FWD Primary with Scan'!AD110+'FWD Secondary'!AD110+'FWD Volumetric'!AD110+'IB'!AD110+'IB Volumetric'!AD110+'OB'!AD110+'OB Volumetric'!AD110+'OSC Bag Sorting'!AD110+'OSC Bag Sorting Volumetric'!AD110+'REV FSM'!AD110+'Rejection Primary with Scan'!AD110+'Rejection Secondary'!AD110+'Rev DC DC Primary Sorting'!AD110+'Rev Primary (FSM Rejections)'!AD110+'Rev Secondary Sorting'!AD110+'VIA Bag Sorting'!AD110</f>
        <v/>
      </c>
      <c r="AE110" s="7">
        <f>'BBB'!AE110+'Bag Staging'!AE110+'Bag Staging Volumetric'!AE110+'FWD FSM'!AE110+'FWD Manual Pre Primary'!AE110+'FWD Manual Primary'!AE110+'FWD Primary with Scan'!AE110+'FWD Secondary'!AE110+'FWD Volumetric'!AE110+'IB'!AE110+'IB Volumetric'!AE110+'OB'!AE110+'OB Volumetric'!AE110+'OSC Bag Sorting'!AE110+'OSC Bag Sorting Volumetric'!AE110+'REV FSM'!AE110+'Rejection Primary with Scan'!AE110+'Rejection Secondary'!AE110+'Rev DC DC Primary Sorting'!AE110+'Rev Primary (FSM Rejections)'!AE110+'Rev Secondary Sorting'!AE110+'VIA Bag Sorting'!AE110</f>
        <v/>
      </c>
      <c r="AF110" s="7">
        <f>'BBB'!AF110+'Bag Staging'!AF110+'Bag Staging Volumetric'!AF110+'FWD FSM'!AF110+'FWD Manual Pre Primary'!AF110+'FWD Manual Primary'!AF110+'FWD Primary with Scan'!AF110+'FWD Secondary'!AF110+'FWD Volumetric'!AF110+'IB'!AF110+'IB Volumetric'!AF110+'OB'!AF110+'OB Volumetric'!AF110+'OSC Bag Sorting'!AF110+'OSC Bag Sorting Volumetric'!AF110+'REV FSM'!AF110+'Rejection Primary with Scan'!AF110+'Rejection Secondary'!AF110+'Rev DC DC Primary Sorting'!AF110+'Rev Primary (FSM Rejections)'!AF110+'Rev Secondary Sorting'!AF110+'VIA Bag Sorting'!AF110</f>
        <v/>
      </c>
      <c r="AG110" s="7">
        <f>'BBB'!AG110+'Bag Staging'!AG110+'Bag Staging Volumetric'!AG110+'FWD FSM'!AG110+'FWD Manual Pre Primary'!AG110+'FWD Manual Primary'!AG110+'FWD Primary with Scan'!AG110+'FWD Secondary'!AG110+'FWD Volumetric'!AG110+'IB'!AG110+'IB Volumetric'!AG110+'OB'!AG110+'OB Volumetric'!AG110+'OSC Bag Sorting'!AG110+'OSC Bag Sorting Volumetric'!AG110+'REV FSM'!AG110+'Rejection Primary with Scan'!AG110+'Rejection Secondary'!AG110+'Rev DC DC Primary Sorting'!AG110+'Rev Primary (FSM Rejections)'!AG110+'Rev Secondary Sorting'!AG110+'VIA Bag Sorting'!AG110</f>
        <v/>
      </c>
      <c r="AH110" s="7">
        <f>'BBB'!AH110+'Bag Staging'!AH110+'Bag Staging Volumetric'!AH110+'FWD FSM'!AH110+'FWD Manual Pre Primary'!AH110+'FWD Manual Primary'!AH110+'FWD Primary with Scan'!AH110+'FWD Secondary'!AH110+'FWD Volumetric'!AH110+'IB'!AH110+'IB Volumetric'!AH110+'OB'!AH110+'OB Volumetric'!AH110+'OSC Bag Sorting'!AH110+'OSC Bag Sorting Volumetric'!AH110+'REV FSM'!AH110+'Rejection Primary with Scan'!AH110+'Rejection Secondary'!AH110+'Rev DC DC Primary Sorting'!AH110+'Rev Primary (FSM Rejections)'!AH110+'Rev Secondary Sorting'!AH110+'VIA Bag Sorting'!AH110</f>
        <v/>
      </c>
      <c r="AI110" s="7">
        <f>'BBB'!AI110+'Bag Staging'!AI110+'Bag Staging Volumetric'!AI110+'FWD FSM'!AI110+'FWD Manual Pre Primary'!AI110+'FWD Manual Primary'!AI110+'FWD Primary with Scan'!AI110+'FWD Secondary'!AI110+'FWD Volumetric'!AI110+'IB'!AI110+'IB Volumetric'!AI110+'OB'!AI110+'OB Volumetric'!AI110+'OSC Bag Sorting'!AI110+'OSC Bag Sorting Volumetric'!AI110+'REV FSM'!AI110+'Rejection Primary with Scan'!AI110+'Rejection Secondary'!AI110+'Rev DC DC Primary Sorting'!AI110+'Rev Primary (FSM Rejections)'!AI110+'Rev Secondary Sorting'!AI110+'VIA Bag Sorting'!AI110</f>
        <v/>
      </c>
      <c r="AJ110" s="7">
        <f>'BBB'!AJ110+'Bag Staging'!AJ110+'Bag Staging Volumetric'!AJ110+'FWD FSM'!AJ110+'FWD Manual Pre Primary'!AJ110+'FWD Manual Primary'!AJ110+'FWD Primary with Scan'!AJ110+'FWD Secondary'!AJ110+'FWD Volumetric'!AJ110+'IB'!AJ110+'IB Volumetric'!AJ110+'OB'!AJ110+'OB Volumetric'!AJ110+'OSC Bag Sorting'!AJ110+'OSC Bag Sorting Volumetric'!AJ110+'REV FSM'!AJ110+'Rejection Primary with Scan'!AJ110+'Rejection Secondary'!AJ110+'Rev DC DC Primary Sorting'!AJ110+'Rev Primary (FSM Rejections)'!AJ110+'Rev Secondary Sorting'!AJ110+'VIA Bag Sorting'!AJ110</f>
        <v/>
      </c>
      <c r="AK110" s="7">
        <f>'BBB'!AK110+'Bag Staging'!AK110+'Bag Staging Volumetric'!AK110+'FWD FSM'!AK110+'FWD Manual Pre Primary'!AK110+'FWD Manual Primary'!AK110+'FWD Primary with Scan'!AK110+'FWD Secondary'!AK110+'FWD Volumetric'!AK110+'IB'!AK110+'IB Volumetric'!AK110+'OB'!AK110+'OB Volumetric'!AK110+'OSC Bag Sorting'!AK110+'OSC Bag Sorting Volumetric'!AK110+'REV FSM'!AK110+'Rejection Primary with Scan'!AK110+'Rejection Secondary'!AK110+'Rev DC DC Primary Sorting'!AK110+'Rev Primary (FSM Rejections)'!AK110+'Rev Secondary Sorting'!AK110+'VIA Bag Sorting'!AK110</f>
        <v/>
      </c>
      <c r="AL110" s="7">
        <f>'BBB'!AL110+'Bag Staging'!AL110+'Bag Staging Volumetric'!AL110+'FWD FSM'!AL110+'FWD Manual Pre Primary'!AL110+'FWD Manual Primary'!AL110+'FWD Primary with Scan'!AL110+'FWD Secondary'!AL110+'FWD Volumetric'!AL110+'IB'!AL110+'IB Volumetric'!AL110+'OB'!AL110+'OB Volumetric'!AL110+'OSC Bag Sorting'!AL110+'OSC Bag Sorting Volumetric'!AL110+'REV FSM'!AL110+'Rejection Primary with Scan'!AL110+'Rejection Secondary'!AL110+'Rev DC DC Primary Sorting'!AL110+'Rev Primary (FSM Rejections)'!AL110+'Rev Secondary Sorting'!AL110+'VIA Bag Sorting'!AL110</f>
        <v/>
      </c>
      <c r="AM110" s="7">
        <f>'BBB'!AM110+'Bag Staging'!AM110+'Bag Staging Volumetric'!AM110+'FWD FSM'!AM110+'FWD Manual Pre Primary'!AM110+'FWD Manual Primary'!AM110+'FWD Primary with Scan'!AM110+'FWD Secondary'!AM110+'FWD Volumetric'!AM110+'IB'!AM110+'IB Volumetric'!AM110+'OB'!AM110+'OB Volumetric'!AM110+'OSC Bag Sorting'!AM110+'OSC Bag Sorting Volumetric'!AM110+'REV FSM'!AM110+'Rejection Primary with Scan'!AM110+'Rejection Secondary'!AM110+'Rev DC DC Primary Sorting'!AM110+'Rev Primary (FSM Rejections)'!AM110+'Rev Secondary Sorting'!AM110+'VIA Bag Sorting'!AM110</f>
        <v/>
      </c>
      <c r="AN110" s="7">
        <f>'BBB'!AN110+'Bag Staging'!AN110+'Bag Staging Volumetric'!AN110+'FWD FSM'!AN110+'FWD Manual Pre Primary'!AN110+'FWD Manual Primary'!AN110+'FWD Primary with Scan'!AN110+'FWD Secondary'!AN110+'FWD Volumetric'!AN110+'IB'!AN110+'IB Volumetric'!AN110+'OB'!AN110+'OB Volumetric'!AN110+'OSC Bag Sorting'!AN110+'OSC Bag Sorting Volumetric'!AN110+'REV FSM'!AN110+'Rejection Primary with Scan'!AN110+'Rejection Secondary'!AN110+'Rev DC DC Primary Sorting'!AN110+'Rev Primary (FSM Rejections)'!AN110+'Rev Secondary Sorting'!AN110+'VIA Bag Sorting'!AN110</f>
        <v/>
      </c>
      <c r="AO110" s="7">
        <f>'BBB'!AO110+'Bag Staging'!AO110+'Bag Staging Volumetric'!AO110+'FWD FSM'!AO110+'FWD Manual Pre Primary'!AO110+'FWD Manual Primary'!AO110+'FWD Primary with Scan'!AO110+'FWD Secondary'!AO110+'FWD Volumetric'!AO110+'IB'!AO110+'IB Volumetric'!AO110+'OB'!AO110+'OB Volumetric'!AO110+'OSC Bag Sorting'!AO110+'OSC Bag Sorting Volumetric'!AO110+'REV FSM'!AO110+'Rejection Primary with Scan'!AO110+'Rejection Secondary'!AO110+'Rev DC DC Primary Sorting'!AO110+'Rev Primary (FSM Rejections)'!AO110+'Rev Secondary Sorting'!AO110+'VIA Bag Sorting'!AO110</f>
        <v/>
      </c>
      <c r="AP110" s="7">
        <f>'BBB'!AP110+'Bag Staging'!AP110+'Bag Staging Volumetric'!AP110+'FWD FSM'!AP110+'FWD Manual Pre Primary'!AP110+'FWD Manual Primary'!AP110+'FWD Primary with Scan'!AP110+'FWD Secondary'!AP110+'FWD Volumetric'!AP110+'IB'!AP110+'IB Volumetric'!AP110+'OB'!AP110+'OB Volumetric'!AP110+'OSC Bag Sorting'!AP110+'OSC Bag Sorting Volumetric'!AP110+'REV FSM'!AP110+'Rejection Primary with Scan'!AP110+'Rejection Secondary'!AP110+'Rev DC DC Primary Sorting'!AP110+'Rev Primary (FSM Rejections)'!AP110+'Rev Secondary Sorting'!AP110+'VIA Bag Sorting'!AP110</f>
        <v/>
      </c>
      <c r="AQ110" s="7">
        <f>'BBB'!AQ110+'Bag Staging'!AQ110+'Bag Staging Volumetric'!AQ110+'FWD FSM'!AQ110+'FWD Manual Pre Primary'!AQ110+'FWD Manual Primary'!AQ110+'FWD Primary with Scan'!AQ110+'FWD Secondary'!AQ110+'FWD Volumetric'!AQ110+'IB'!AQ110+'IB Volumetric'!AQ110+'OB'!AQ110+'OB Volumetric'!AQ110+'OSC Bag Sorting'!AQ110+'OSC Bag Sorting Volumetric'!AQ110+'REV FSM'!AQ110+'Rejection Primary with Scan'!AQ110+'Rejection Secondary'!AQ110+'Rev DC DC Primary Sorting'!AQ110+'Rev Primary (FSM Rejections)'!AQ110+'Rev Secondary Sorting'!AQ110+'VIA Bag Sorting'!AQ110</f>
        <v/>
      </c>
      <c r="AR110" s="7">
        <f>'BBB'!AR110+'Bag Staging'!AR110+'Bag Staging Volumetric'!AR110+'FWD FSM'!AR110+'FWD Manual Pre Primary'!AR110+'FWD Manual Primary'!AR110+'FWD Primary with Scan'!AR110+'FWD Secondary'!AR110+'FWD Volumetric'!AR110+'IB'!AR110+'IB Volumetric'!AR110+'OB'!AR110+'OB Volumetric'!AR110+'OSC Bag Sorting'!AR110+'OSC Bag Sorting Volumetric'!AR110+'REV FSM'!AR110+'Rejection Primary with Scan'!AR110+'Rejection Secondary'!AR110+'Rev DC DC Primary Sorting'!AR110+'Rev Primary (FSM Rejections)'!AR110+'Rev Secondary Sorting'!AR110+'VIA Bag Sorting'!AR110</f>
        <v/>
      </c>
      <c r="AS110" s="7">
        <f>'BBB'!AS110+'Bag Staging'!AS110+'Bag Staging Volumetric'!AS110+'FWD FSM'!AS110+'FWD Manual Pre Primary'!AS110+'FWD Manual Primary'!AS110+'FWD Primary with Scan'!AS110+'FWD Secondary'!AS110+'FWD Volumetric'!AS110+'IB'!AS110+'IB Volumetric'!AS110+'OB'!AS110+'OB Volumetric'!AS110+'OSC Bag Sorting'!AS110+'OSC Bag Sorting Volumetric'!AS110+'REV FSM'!AS110+'Rejection Primary with Scan'!AS110+'Rejection Secondary'!AS110+'Rev DC DC Primary Sorting'!AS110+'Rev Primary (FSM Rejections)'!AS110+'Rev Secondary Sorting'!AS110+'VIA Bag Sorting'!AS110</f>
        <v/>
      </c>
      <c r="AT110" s="7">
        <f>'BBB'!AT110+'Bag Staging'!AT110+'Bag Staging Volumetric'!AT110+'FWD FSM'!AT110+'FWD Manual Pre Primary'!AT110+'FWD Manual Primary'!AT110+'FWD Primary with Scan'!AT110+'FWD Secondary'!AT110+'FWD Volumetric'!AT110+'IB'!AT110+'IB Volumetric'!AT110+'OB'!AT110+'OB Volumetric'!AT110+'OSC Bag Sorting'!AT110+'OSC Bag Sorting Volumetric'!AT110+'REV FSM'!AT110+'Rejection Primary with Scan'!AT110+'Rejection Secondary'!AT110+'Rev DC DC Primary Sorting'!AT110+'Rev Primary (FSM Rejections)'!AT110+'Rev Secondary Sorting'!AT110+'VIA Bag Sorting'!AT110</f>
        <v/>
      </c>
      <c r="AU110" s="7">
        <f>'BBB'!AU110+'Bag Staging'!AU110+'Bag Staging Volumetric'!AU110+'FWD FSM'!AU110+'FWD Manual Pre Primary'!AU110+'FWD Manual Primary'!AU110+'FWD Primary with Scan'!AU110+'FWD Secondary'!AU110+'FWD Volumetric'!AU110+'IB'!AU110+'IB Volumetric'!AU110+'OB'!AU110+'OB Volumetric'!AU110+'OSC Bag Sorting'!AU110+'OSC Bag Sorting Volumetric'!AU110+'REV FSM'!AU110+'Rejection Primary with Scan'!AU110+'Rejection Secondary'!AU110+'Rev DC DC Primary Sorting'!AU110+'Rev Primary (FSM Rejections)'!AU110+'Rev Secondary Sorting'!AU110+'VIA Bag Sorting'!AU110</f>
        <v/>
      </c>
      <c r="AV110" s="7">
        <f>'BBB'!AV110+'Bag Staging'!AV110+'Bag Staging Volumetric'!AV110+'FWD FSM'!AV110+'FWD Manual Pre Primary'!AV110+'FWD Manual Primary'!AV110+'FWD Primary with Scan'!AV110+'FWD Secondary'!AV110+'FWD Volumetric'!AV110+'IB'!AV110+'IB Volumetric'!AV110+'OB'!AV110+'OB Volumetric'!AV110+'OSC Bag Sorting'!AV110+'OSC Bag Sorting Volumetric'!AV110+'REV FSM'!AV110+'Rejection Primary with Scan'!AV110+'Rejection Secondary'!AV110+'Rev DC DC Primary Sorting'!AV110+'Rev Primary (FSM Rejections)'!AV110+'Rev Secondary Sorting'!AV110+'VIA Bag Sorting'!AV110</f>
        <v/>
      </c>
      <c r="AW110" s="7">
        <f>'BBB'!AW110+'Bag Staging'!AW110+'Bag Staging Volumetric'!AW110+'FWD FSM'!AW110+'FWD Manual Pre Primary'!AW110+'FWD Manual Primary'!AW110+'FWD Primary with Scan'!AW110+'FWD Secondary'!AW110+'FWD Volumetric'!AW110+'IB'!AW110+'IB Volumetric'!AW110+'OB'!AW110+'OB Volumetric'!AW110+'OSC Bag Sorting'!AW110+'OSC Bag Sorting Volumetric'!AW110+'REV FSM'!AW110+'Rejection Primary with Scan'!AW110+'Rejection Secondary'!AW110+'Rev DC DC Primary Sorting'!AW110+'Rev Primary (FSM Rejections)'!AW110+'Rev Secondary Sorting'!AW110+'VIA Bag Sorting'!AW110</f>
        <v/>
      </c>
      <c r="AX110" s="7">
        <f>'BBB'!AX110+'Bag Staging'!AX110+'Bag Staging Volumetric'!AX110+'FWD FSM'!AX110+'FWD Manual Pre Primary'!AX110+'FWD Manual Primary'!AX110+'FWD Primary with Scan'!AX110+'FWD Secondary'!AX110+'FWD Volumetric'!AX110+'IB'!AX110+'IB Volumetric'!AX110+'OB'!AX110+'OB Volumetric'!AX110+'OSC Bag Sorting'!AX110+'OSC Bag Sorting Volumetric'!AX110+'REV FSM'!AX110+'Rejection Primary with Scan'!AX110+'Rejection Secondary'!AX110+'Rev DC DC Primary Sorting'!AX110+'Rev Primary (FSM Rejections)'!AX110+'Rev Secondary Sorting'!AX110+'VIA Bag Sorting'!AX110</f>
        <v/>
      </c>
      <c r="AY110" s="7">
        <f>'BBB'!AY110+'Bag Staging'!AY110+'Bag Staging Volumetric'!AY110+'FWD FSM'!AY110+'FWD Manual Pre Primary'!AY110+'FWD Manual Primary'!AY110+'FWD Primary with Scan'!AY110+'FWD Secondary'!AY110+'FWD Volumetric'!AY110+'IB'!AY110+'IB Volumetric'!AY110+'OB'!AY110+'OB Volumetric'!AY110+'OSC Bag Sorting'!AY110+'OSC Bag Sorting Volumetric'!AY110+'REV FSM'!AY110+'Rejection Primary with Scan'!AY110+'Rejection Secondary'!AY110+'Rev DC DC Primary Sorting'!AY110+'Rev Primary (FSM Rejections)'!AY110+'Rev Secondary Sorting'!AY110+'VIA Bag Sorting'!AY110</f>
        <v/>
      </c>
      <c r="AZ110" s="7">
        <f>'BBB'!AZ110+'Bag Staging'!AZ110+'Bag Staging Volumetric'!AZ110+'FWD FSM'!AZ110+'FWD Manual Pre Primary'!AZ110+'FWD Manual Primary'!AZ110+'FWD Primary with Scan'!AZ110+'FWD Secondary'!AZ110+'FWD Volumetric'!AZ110+'IB'!AZ110+'IB Volumetric'!AZ110+'OB'!AZ110+'OB Volumetric'!AZ110+'OSC Bag Sorting'!AZ110+'OSC Bag Sorting Volumetric'!AZ110+'REV FSM'!AZ110+'Rejection Primary with Scan'!AZ110+'Rejection Secondary'!AZ110+'Rev DC DC Primary Sorting'!AZ110+'Rev Primary (FSM Rejections)'!AZ110+'Rev Secondary Sorting'!AZ110+'VIA Bag Sorting'!AZ110</f>
        <v/>
      </c>
      <c r="BA110" s="7">
        <f>'BBB'!BA110+'Bag Staging'!BA110+'Bag Staging Volumetric'!BA110+'FWD FSM'!BA110+'FWD Manual Pre Primary'!BA110+'FWD Manual Primary'!BA110+'FWD Primary with Scan'!BA110+'FWD Secondary'!BA110+'FWD Volumetric'!BA110+'IB'!BA110+'IB Volumetric'!BA110+'OB'!BA110+'OB Volumetric'!BA110+'OSC Bag Sorting'!BA110+'OSC Bag Sorting Volumetric'!BA110+'REV FSM'!BA110+'Rejection Primary with Scan'!BA110+'Rejection Secondary'!BA110+'Rev DC DC Primary Sorting'!BA110+'Rev Primary (FSM Rejections)'!BA110+'Rev Secondary Sorting'!BA110+'VIA Bag Sorting'!BA110</f>
        <v/>
      </c>
      <c r="BB110" s="7">
        <f>SUM(AD110:BA110)</f>
        <v/>
      </c>
    </row>
    <row r="111">
      <c r="A111" t="inlineStr">
        <is>
          <t>DC-10-1</t>
        </is>
      </c>
      <c r="B111" t="inlineStr">
        <is>
          <t>DSC Manual</t>
        </is>
      </c>
      <c r="C111" s="5" t="n">
        <v>46089</v>
      </c>
      <c r="D111" s="6" t="n">
        <v>432</v>
      </c>
      <c r="E111" s="6" t="n">
        <v>150</v>
      </c>
      <c r="F111" s="6" t="n">
        <v>175</v>
      </c>
      <c r="G111" s="6" t="n">
        <v>277</v>
      </c>
      <c r="H111" s="6" t="n">
        <v>185</v>
      </c>
      <c r="I111" s="6" t="n">
        <v>491</v>
      </c>
      <c r="J111" s="6" t="n">
        <v>379</v>
      </c>
      <c r="K111" s="6" t="n">
        <v>46</v>
      </c>
      <c r="L111" s="6" t="n">
        <v>0</v>
      </c>
      <c r="M111" s="6" t="n">
        <v>0</v>
      </c>
      <c r="N111" s="6" t="n">
        <v>0</v>
      </c>
      <c r="O111" s="6" t="n">
        <v>0</v>
      </c>
      <c r="P111" s="6" t="n">
        <v>0</v>
      </c>
      <c r="Q111" s="6" t="n">
        <v>0</v>
      </c>
      <c r="R111" s="6" t="n">
        <v>2765</v>
      </c>
      <c r="S111" s="6" t="n">
        <v>3598</v>
      </c>
      <c r="T111" s="6" t="n">
        <v>441</v>
      </c>
      <c r="U111" s="6" t="n">
        <v>3194</v>
      </c>
      <c r="V111" s="6" t="n">
        <v>2752</v>
      </c>
      <c r="W111" s="6" t="n">
        <v>3530</v>
      </c>
      <c r="X111" s="6" t="n">
        <v>3212</v>
      </c>
      <c r="Y111" s="6" t="n">
        <v>3143</v>
      </c>
      <c r="Z111" s="6" t="n">
        <v>1</v>
      </c>
      <c r="AA111" s="6" t="n">
        <v>0</v>
      </c>
      <c r="AB111" s="6">
        <f>SUM(D111:AA111)</f>
        <v/>
      </c>
      <c r="AC111" s="3" t="inlineStr"/>
      <c r="AD111" s="7">
        <f>'BBB'!AD111+'Bag Staging'!AD111+'Bag Staging Volumetric'!AD111+'FWD FSM'!AD111+'FWD Manual Pre Primary'!AD111+'FWD Manual Primary'!AD111+'FWD Primary with Scan'!AD111+'FWD Secondary'!AD111+'FWD Volumetric'!AD111+'IB'!AD111+'IB Volumetric'!AD111+'OB'!AD111+'OB Volumetric'!AD111+'OSC Bag Sorting'!AD111+'OSC Bag Sorting Volumetric'!AD111+'REV FSM'!AD111+'Rejection Primary with Scan'!AD111+'Rejection Secondary'!AD111+'Rev DC DC Primary Sorting'!AD111+'Rev Primary (FSM Rejections)'!AD111+'Rev Secondary Sorting'!AD111+'VIA Bag Sorting'!AD111</f>
        <v/>
      </c>
      <c r="AE111" s="7">
        <f>'BBB'!AE111+'Bag Staging'!AE111+'Bag Staging Volumetric'!AE111+'FWD FSM'!AE111+'FWD Manual Pre Primary'!AE111+'FWD Manual Primary'!AE111+'FWD Primary with Scan'!AE111+'FWD Secondary'!AE111+'FWD Volumetric'!AE111+'IB'!AE111+'IB Volumetric'!AE111+'OB'!AE111+'OB Volumetric'!AE111+'OSC Bag Sorting'!AE111+'OSC Bag Sorting Volumetric'!AE111+'REV FSM'!AE111+'Rejection Primary with Scan'!AE111+'Rejection Secondary'!AE111+'Rev DC DC Primary Sorting'!AE111+'Rev Primary (FSM Rejections)'!AE111+'Rev Secondary Sorting'!AE111+'VIA Bag Sorting'!AE111</f>
        <v/>
      </c>
      <c r="AF111" s="7">
        <f>'BBB'!AF111+'Bag Staging'!AF111+'Bag Staging Volumetric'!AF111+'FWD FSM'!AF111+'FWD Manual Pre Primary'!AF111+'FWD Manual Primary'!AF111+'FWD Primary with Scan'!AF111+'FWD Secondary'!AF111+'FWD Volumetric'!AF111+'IB'!AF111+'IB Volumetric'!AF111+'OB'!AF111+'OB Volumetric'!AF111+'OSC Bag Sorting'!AF111+'OSC Bag Sorting Volumetric'!AF111+'REV FSM'!AF111+'Rejection Primary with Scan'!AF111+'Rejection Secondary'!AF111+'Rev DC DC Primary Sorting'!AF111+'Rev Primary (FSM Rejections)'!AF111+'Rev Secondary Sorting'!AF111+'VIA Bag Sorting'!AF111</f>
        <v/>
      </c>
      <c r="AG111" s="7">
        <f>'BBB'!AG111+'Bag Staging'!AG111+'Bag Staging Volumetric'!AG111+'FWD FSM'!AG111+'FWD Manual Pre Primary'!AG111+'FWD Manual Primary'!AG111+'FWD Primary with Scan'!AG111+'FWD Secondary'!AG111+'FWD Volumetric'!AG111+'IB'!AG111+'IB Volumetric'!AG111+'OB'!AG111+'OB Volumetric'!AG111+'OSC Bag Sorting'!AG111+'OSC Bag Sorting Volumetric'!AG111+'REV FSM'!AG111+'Rejection Primary with Scan'!AG111+'Rejection Secondary'!AG111+'Rev DC DC Primary Sorting'!AG111+'Rev Primary (FSM Rejections)'!AG111+'Rev Secondary Sorting'!AG111+'VIA Bag Sorting'!AG111</f>
        <v/>
      </c>
      <c r="AH111" s="7">
        <f>'BBB'!AH111+'Bag Staging'!AH111+'Bag Staging Volumetric'!AH111+'FWD FSM'!AH111+'FWD Manual Pre Primary'!AH111+'FWD Manual Primary'!AH111+'FWD Primary with Scan'!AH111+'FWD Secondary'!AH111+'FWD Volumetric'!AH111+'IB'!AH111+'IB Volumetric'!AH111+'OB'!AH111+'OB Volumetric'!AH111+'OSC Bag Sorting'!AH111+'OSC Bag Sorting Volumetric'!AH111+'REV FSM'!AH111+'Rejection Primary with Scan'!AH111+'Rejection Secondary'!AH111+'Rev DC DC Primary Sorting'!AH111+'Rev Primary (FSM Rejections)'!AH111+'Rev Secondary Sorting'!AH111+'VIA Bag Sorting'!AH111</f>
        <v/>
      </c>
      <c r="AI111" s="7">
        <f>'BBB'!AI111+'Bag Staging'!AI111+'Bag Staging Volumetric'!AI111+'FWD FSM'!AI111+'FWD Manual Pre Primary'!AI111+'FWD Manual Primary'!AI111+'FWD Primary with Scan'!AI111+'FWD Secondary'!AI111+'FWD Volumetric'!AI111+'IB'!AI111+'IB Volumetric'!AI111+'OB'!AI111+'OB Volumetric'!AI111+'OSC Bag Sorting'!AI111+'OSC Bag Sorting Volumetric'!AI111+'REV FSM'!AI111+'Rejection Primary with Scan'!AI111+'Rejection Secondary'!AI111+'Rev DC DC Primary Sorting'!AI111+'Rev Primary (FSM Rejections)'!AI111+'Rev Secondary Sorting'!AI111+'VIA Bag Sorting'!AI111</f>
        <v/>
      </c>
      <c r="AJ111" s="7">
        <f>'BBB'!AJ111+'Bag Staging'!AJ111+'Bag Staging Volumetric'!AJ111+'FWD FSM'!AJ111+'FWD Manual Pre Primary'!AJ111+'FWD Manual Primary'!AJ111+'FWD Primary with Scan'!AJ111+'FWD Secondary'!AJ111+'FWD Volumetric'!AJ111+'IB'!AJ111+'IB Volumetric'!AJ111+'OB'!AJ111+'OB Volumetric'!AJ111+'OSC Bag Sorting'!AJ111+'OSC Bag Sorting Volumetric'!AJ111+'REV FSM'!AJ111+'Rejection Primary with Scan'!AJ111+'Rejection Secondary'!AJ111+'Rev DC DC Primary Sorting'!AJ111+'Rev Primary (FSM Rejections)'!AJ111+'Rev Secondary Sorting'!AJ111+'VIA Bag Sorting'!AJ111</f>
        <v/>
      </c>
      <c r="AK111" s="7">
        <f>'BBB'!AK111+'Bag Staging'!AK111+'Bag Staging Volumetric'!AK111+'FWD FSM'!AK111+'FWD Manual Pre Primary'!AK111+'FWD Manual Primary'!AK111+'FWD Primary with Scan'!AK111+'FWD Secondary'!AK111+'FWD Volumetric'!AK111+'IB'!AK111+'IB Volumetric'!AK111+'OB'!AK111+'OB Volumetric'!AK111+'OSC Bag Sorting'!AK111+'OSC Bag Sorting Volumetric'!AK111+'REV FSM'!AK111+'Rejection Primary with Scan'!AK111+'Rejection Secondary'!AK111+'Rev DC DC Primary Sorting'!AK111+'Rev Primary (FSM Rejections)'!AK111+'Rev Secondary Sorting'!AK111+'VIA Bag Sorting'!AK111</f>
        <v/>
      </c>
      <c r="AL111" s="7">
        <f>'BBB'!AL111+'Bag Staging'!AL111+'Bag Staging Volumetric'!AL111+'FWD FSM'!AL111+'FWD Manual Pre Primary'!AL111+'FWD Manual Primary'!AL111+'FWD Primary with Scan'!AL111+'FWD Secondary'!AL111+'FWD Volumetric'!AL111+'IB'!AL111+'IB Volumetric'!AL111+'OB'!AL111+'OB Volumetric'!AL111+'OSC Bag Sorting'!AL111+'OSC Bag Sorting Volumetric'!AL111+'REV FSM'!AL111+'Rejection Primary with Scan'!AL111+'Rejection Secondary'!AL111+'Rev DC DC Primary Sorting'!AL111+'Rev Primary (FSM Rejections)'!AL111+'Rev Secondary Sorting'!AL111+'VIA Bag Sorting'!AL111</f>
        <v/>
      </c>
      <c r="AM111" s="7">
        <f>'BBB'!AM111+'Bag Staging'!AM111+'Bag Staging Volumetric'!AM111+'FWD FSM'!AM111+'FWD Manual Pre Primary'!AM111+'FWD Manual Primary'!AM111+'FWD Primary with Scan'!AM111+'FWD Secondary'!AM111+'FWD Volumetric'!AM111+'IB'!AM111+'IB Volumetric'!AM111+'OB'!AM111+'OB Volumetric'!AM111+'OSC Bag Sorting'!AM111+'OSC Bag Sorting Volumetric'!AM111+'REV FSM'!AM111+'Rejection Primary with Scan'!AM111+'Rejection Secondary'!AM111+'Rev DC DC Primary Sorting'!AM111+'Rev Primary (FSM Rejections)'!AM111+'Rev Secondary Sorting'!AM111+'VIA Bag Sorting'!AM111</f>
        <v/>
      </c>
      <c r="AN111" s="7">
        <f>'BBB'!AN111+'Bag Staging'!AN111+'Bag Staging Volumetric'!AN111+'FWD FSM'!AN111+'FWD Manual Pre Primary'!AN111+'FWD Manual Primary'!AN111+'FWD Primary with Scan'!AN111+'FWD Secondary'!AN111+'FWD Volumetric'!AN111+'IB'!AN111+'IB Volumetric'!AN111+'OB'!AN111+'OB Volumetric'!AN111+'OSC Bag Sorting'!AN111+'OSC Bag Sorting Volumetric'!AN111+'REV FSM'!AN111+'Rejection Primary with Scan'!AN111+'Rejection Secondary'!AN111+'Rev DC DC Primary Sorting'!AN111+'Rev Primary (FSM Rejections)'!AN111+'Rev Secondary Sorting'!AN111+'VIA Bag Sorting'!AN111</f>
        <v/>
      </c>
      <c r="AO111" s="7">
        <f>'BBB'!AO111+'Bag Staging'!AO111+'Bag Staging Volumetric'!AO111+'FWD FSM'!AO111+'FWD Manual Pre Primary'!AO111+'FWD Manual Primary'!AO111+'FWD Primary with Scan'!AO111+'FWD Secondary'!AO111+'FWD Volumetric'!AO111+'IB'!AO111+'IB Volumetric'!AO111+'OB'!AO111+'OB Volumetric'!AO111+'OSC Bag Sorting'!AO111+'OSC Bag Sorting Volumetric'!AO111+'REV FSM'!AO111+'Rejection Primary with Scan'!AO111+'Rejection Secondary'!AO111+'Rev DC DC Primary Sorting'!AO111+'Rev Primary (FSM Rejections)'!AO111+'Rev Secondary Sorting'!AO111+'VIA Bag Sorting'!AO111</f>
        <v/>
      </c>
      <c r="AP111" s="7">
        <f>'BBB'!AP111+'Bag Staging'!AP111+'Bag Staging Volumetric'!AP111+'FWD FSM'!AP111+'FWD Manual Pre Primary'!AP111+'FWD Manual Primary'!AP111+'FWD Primary with Scan'!AP111+'FWD Secondary'!AP111+'FWD Volumetric'!AP111+'IB'!AP111+'IB Volumetric'!AP111+'OB'!AP111+'OB Volumetric'!AP111+'OSC Bag Sorting'!AP111+'OSC Bag Sorting Volumetric'!AP111+'REV FSM'!AP111+'Rejection Primary with Scan'!AP111+'Rejection Secondary'!AP111+'Rev DC DC Primary Sorting'!AP111+'Rev Primary (FSM Rejections)'!AP111+'Rev Secondary Sorting'!AP111+'VIA Bag Sorting'!AP111</f>
        <v/>
      </c>
      <c r="AQ111" s="7">
        <f>'BBB'!AQ111+'Bag Staging'!AQ111+'Bag Staging Volumetric'!AQ111+'FWD FSM'!AQ111+'FWD Manual Pre Primary'!AQ111+'FWD Manual Primary'!AQ111+'FWD Primary with Scan'!AQ111+'FWD Secondary'!AQ111+'FWD Volumetric'!AQ111+'IB'!AQ111+'IB Volumetric'!AQ111+'OB'!AQ111+'OB Volumetric'!AQ111+'OSC Bag Sorting'!AQ111+'OSC Bag Sorting Volumetric'!AQ111+'REV FSM'!AQ111+'Rejection Primary with Scan'!AQ111+'Rejection Secondary'!AQ111+'Rev DC DC Primary Sorting'!AQ111+'Rev Primary (FSM Rejections)'!AQ111+'Rev Secondary Sorting'!AQ111+'VIA Bag Sorting'!AQ111</f>
        <v/>
      </c>
      <c r="AR111" s="7">
        <f>'BBB'!AR111+'Bag Staging'!AR111+'Bag Staging Volumetric'!AR111+'FWD FSM'!AR111+'FWD Manual Pre Primary'!AR111+'FWD Manual Primary'!AR111+'FWD Primary with Scan'!AR111+'FWD Secondary'!AR111+'FWD Volumetric'!AR111+'IB'!AR111+'IB Volumetric'!AR111+'OB'!AR111+'OB Volumetric'!AR111+'OSC Bag Sorting'!AR111+'OSC Bag Sorting Volumetric'!AR111+'REV FSM'!AR111+'Rejection Primary with Scan'!AR111+'Rejection Secondary'!AR111+'Rev DC DC Primary Sorting'!AR111+'Rev Primary (FSM Rejections)'!AR111+'Rev Secondary Sorting'!AR111+'VIA Bag Sorting'!AR111</f>
        <v/>
      </c>
      <c r="AS111" s="7">
        <f>'BBB'!AS111+'Bag Staging'!AS111+'Bag Staging Volumetric'!AS111+'FWD FSM'!AS111+'FWD Manual Pre Primary'!AS111+'FWD Manual Primary'!AS111+'FWD Primary with Scan'!AS111+'FWD Secondary'!AS111+'FWD Volumetric'!AS111+'IB'!AS111+'IB Volumetric'!AS111+'OB'!AS111+'OB Volumetric'!AS111+'OSC Bag Sorting'!AS111+'OSC Bag Sorting Volumetric'!AS111+'REV FSM'!AS111+'Rejection Primary with Scan'!AS111+'Rejection Secondary'!AS111+'Rev DC DC Primary Sorting'!AS111+'Rev Primary (FSM Rejections)'!AS111+'Rev Secondary Sorting'!AS111+'VIA Bag Sorting'!AS111</f>
        <v/>
      </c>
      <c r="AT111" s="7">
        <f>'BBB'!AT111+'Bag Staging'!AT111+'Bag Staging Volumetric'!AT111+'FWD FSM'!AT111+'FWD Manual Pre Primary'!AT111+'FWD Manual Primary'!AT111+'FWD Primary with Scan'!AT111+'FWD Secondary'!AT111+'FWD Volumetric'!AT111+'IB'!AT111+'IB Volumetric'!AT111+'OB'!AT111+'OB Volumetric'!AT111+'OSC Bag Sorting'!AT111+'OSC Bag Sorting Volumetric'!AT111+'REV FSM'!AT111+'Rejection Primary with Scan'!AT111+'Rejection Secondary'!AT111+'Rev DC DC Primary Sorting'!AT111+'Rev Primary (FSM Rejections)'!AT111+'Rev Secondary Sorting'!AT111+'VIA Bag Sorting'!AT111</f>
        <v/>
      </c>
      <c r="AU111" s="7">
        <f>'BBB'!AU111+'Bag Staging'!AU111+'Bag Staging Volumetric'!AU111+'FWD FSM'!AU111+'FWD Manual Pre Primary'!AU111+'FWD Manual Primary'!AU111+'FWD Primary with Scan'!AU111+'FWD Secondary'!AU111+'FWD Volumetric'!AU111+'IB'!AU111+'IB Volumetric'!AU111+'OB'!AU111+'OB Volumetric'!AU111+'OSC Bag Sorting'!AU111+'OSC Bag Sorting Volumetric'!AU111+'REV FSM'!AU111+'Rejection Primary with Scan'!AU111+'Rejection Secondary'!AU111+'Rev DC DC Primary Sorting'!AU111+'Rev Primary (FSM Rejections)'!AU111+'Rev Secondary Sorting'!AU111+'VIA Bag Sorting'!AU111</f>
        <v/>
      </c>
      <c r="AV111" s="7">
        <f>'BBB'!AV111+'Bag Staging'!AV111+'Bag Staging Volumetric'!AV111+'FWD FSM'!AV111+'FWD Manual Pre Primary'!AV111+'FWD Manual Primary'!AV111+'FWD Primary with Scan'!AV111+'FWD Secondary'!AV111+'FWD Volumetric'!AV111+'IB'!AV111+'IB Volumetric'!AV111+'OB'!AV111+'OB Volumetric'!AV111+'OSC Bag Sorting'!AV111+'OSC Bag Sorting Volumetric'!AV111+'REV FSM'!AV111+'Rejection Primary with Scan'!AV111+'Rejection Secondary'!AV111+'Rev DC DC Primary Sorting'!AV111+'Rev Primary (FSM Rejections)'!AV111+'Rev Secondary Sorting'!AV111+'VIA Bag Sorting'!AV111</f>
        <v/>
      </c>
      <c r="AW111" s="7">
        <f>'BBB'!AW111+'Bag Staging'!AW111+'Bag Staging Volumetric'!AW111+'FWD FSM'!AW111+'FWD Manual Pre Primary'!AW111+'FWD Manual Primary'!AW111+'FWD Primary with Scan'!AW111+'FWD Secondary'!AW111+'FWD Volumetric'!AW111+'IB'!AW111+'IB Volumetric'!AW111+'OB'!AW111+'OB Volumetric'!AW111+'OSC Bag Sorting'!AW111+'OSC Bag Sorting Volumetric'!AW111+'REV FSM'!AW111+'Rejection Primary with Scan'!AW111+'Rejection Secondary'!AW111+'Rev DC DC Primary Sorting'!AW111+'Rev Primary (FSM Rejections)'!AW111+'Rev Secondary Sorting'!AW111+'VIA Bag Sorting'!AW111</f>
        <v/>
      </c>
      <c r="AX111" s="7">
        <f>'BBB'!AX111+'Bag Staging'!AX111+'Bag Staging Volumetric'!AX111+'FWD FSM'!AX111+'FWD Manual Pre Primary'!AX111+'FWD Manual Primary'!AX111+'FWD Primary with Scan'!AX111+'FWD Secondary'!AX111+'FWD Volumetric'!AX111+'IB'!AX111+'IB Volumetric'!AX111+'OB'!AX111+'OB Volumetric'!AX111+'OSC Bag Sorting'!AX111+'OSC Bag Sorting Volumetric'!AX111+'REV FSM'!AX111+'Rejection Primary with Scan'!AX111+'Rejection Secondary'!AX111+'Rev DC DC Primary Sorting'!AX111+'Rev Primary (FSM Rejections)'!AX111+'Rev Secondary Sorting'!AX111+'VIA Bag Sorting'!AX111</f>
        <v/>
      </c>
      <c r="AY111" s="7">
        <f>'BBB'!AY111+'Bag Staging'!AY111+'Bag Staging Volumetric'!AY111+'FWD FSM'!AY111+'FWD Manual Pre Primary'!AY111+'FWD Manual Primary'!AY111+'FWD Primary with Scan'!AY111+'FWD Secondary'!AY111+'FWD Volumetric'!AY111+'IB'!AY111+'IB Volumetric'!AY111+'OB'!AY111+'OB Volumetric'!AY111+'OSC Bag Sorting'!AY111+'OSC Bag Sorting Volumetric'!AY111+'REV FSM'!AY111+'Rejection Primary with Scan'!AY111+'Rejection Secondary'!AY111+'Rev DC DC Primary Sorting'!AY111+'Rev Primary (FSM Rejections)'!AY111+'Rev Secondary Sorting'!AY111+'VIA Bag Sorting'!AY111</f>
        <v/>
      </c>
      <c r="AZ111" s="7">
        <f>'BBB'!AZ111+'Bag Staging'!AZ111+'Bag Staging Volumetric'!AZ111+'FWD FSM'!AZ111+'FWD Manual Pre Primary'!AZ111+'FWD Manual Primary'!AZ111+'FWD Primary with Scan'!AZ111+'FWD Secondary'!AZ111+'FWD Volumetric'!AZ111+'IB'!AZ111+'IB Volumetric'!AZ111+'OB'!AZ111+'OB Volumetric'!AZ111+'OSC Bag Sorting'!AZ111+'OSC Bag Sorting Volumetric'!AZ111+'REV FSM'!AZ111+'Rejection Primary with Scan'!AZ111+'Rejection Secondary'!AZ111+'Rev DC DC Primary Sorting'!AZ111+'Rev Primary (FSM Rejections)'!AZ111+'Rev Secondary Sorting'!AZ111+'VIA Bag Sorting'!AZ111</f>
        <v/>
      </c>
      <c r="BA111" s="7">
        <f>'BBB'!BA111+'Bag Staging'!BA111+'Bag Staging Volumetric'!BA111+'FWD FSM'!BA111+'FWD Manual Pre Primary'!BA111+'FWD Manual Primary'!BA111+'FWD Primary with Scan'!BA111+'FWD Secondary'!BA111+'FWD Volumetric'!BA111+'IB'!BA111+'IB Volumetric'!BA111+'OB'!BA111+'OB Volumetric'!BA111+'OSC Bag Sorting'!BA111+'OSC Bag Sorting Volumetric'!BA111+'REV FSM'!BA111+'Rejection Primary with Scan'!BA111+'Rejection Secondary'!BA111+'Rev DC DC Primary Sorting'!BA111+'Rev Primary (FSM Rejections)'!BA111+'Rev Secondary Sorting'!BA111+'VIA Bag Sorting'!BA111</f>
        <v/>
      </c>
      <c r="BB111" s="7">
        <f>SUM(AD111:BA111)</f>
        <v/>
      </c>
    </row>
    <row r="112">
      <c r="A112" t="inlineStr">
        <is>
          <t>DC-10-1</t>
        </is>
      </c>
      <c r="B112" t="inlineStr">
        <is>
          <t>DSC Manual</t>
        </is>
      </c>
      <c r="C112" s="5" t="n">
        <v>46090</v>
      </c>
      <c r="D112" s="6" t="n">
        <v>654</v>
      </c>
      <c r="E112" s="6" t="n">
        <v>319</v>
      </c>
      <c r="F112" s="6" t="n">
        <v>346</v>
      </c>
      <c r="G112" s="6" t="n">
        <v>793</v>
      </c>
      <c r="H112" s="6" t="n">
        <v>673</v>
      </c>
      <c r="I112" s="6" t="n">
        <v>607</v>
      </c>
      <c r="J112" s="6" t="n">
        <v>328</v>
      </c>
      <c r="K112" s="6" t="n">
        <v>0</v>
      </c>
      <c r="L112" s="6" t="n">
        <v>0</v>
      </c>
      <c r="M112" s="6" t="n">
        <v>0</v>
      </c>
      <c r="N112" s="6" t="n">
        <v>0</v>
      </c>
      <c r="O112" s="6" t="n">
        <v>0</v>
      </c>
      <c r="P112" s="6" t="n">
        <v>0</v>
      </c>
      <c r="Q112" s="6" t="n">
        <v>1127</v>
      </c>
      <c r="R112" s="6" t="n">
        <v>1695</v>
      </c>
      <c r="S112" s="6" t="n">
        <v>1994</v>
      </c>
      <c r="T112" s="6" t="n">
        <v>2330</v>
      </c>
      <c r="U112" s="6" t="n">
        <v>364</v>
      </c>
      <c r="V112" s="6" t="n">
        <v>3077</v>
      </c>
      <c r="W112" s="6" t="n">
        <v>3463</v>
      </c>
      <c r="X112" s="6" t="n">
        <v>3165</v>
      </c>
      <c r="Y112" s="6" t="n">
        <v>2930</v>
      </c>
      <c r="Z112" s="6" t="n">
        <v>255</v>
      </c>
      <c r="AA112" s="6" t="n">
        <v>0</v>
      </c>
      <c r="AB112" s="6">
        <f>SUM(D112:AA112)</f>
        <v/>
      </c>
      <c r="AC112" s="3" t="inlineStr"/>
      <c r="AD112" s="7">
        <f>'BBB'!AD112+'Bag Staging'!AD112+'Bag Staging Volumetric'!AD112+'FWD FSM'!AD112+'FWD Manual Pre Primary'!AD112+'FWD Manual Primary'!AD112+'FWD Primary with Scan'!AD112+'FWD Secondary'!AD112+'FWD Volumetric'!AD112+'IB'!AD112+'IB Volumetric'!AD112+'OB'!AD112+'OB Volumetric'!AD112+'OSC Bag Sorting'!AD112+'OSC Bag Sorting Volumetric'!AD112+'REV FSM'!AD112+'Rejection Primary with Scan'!AD112+'Rejection Secondary'!AD112+'Rev DC DC Primary Sorting'!AD112+'Rev Primary (FSM Rejections)'!AD112+'Rev Secondary Sorting'!AD112+'VIA Bag Sorting'!AD112</f>
        <v/>
      </c>
      <c r="AE112" s="7">
        <f>'BBB'!AE112+'Bag Staging'!AE112+'Bag Staging Volumetric'!AE112+'FWD FSM'!AE112+'FWD Manual Pre Primary'!AE112+'FWD Manual Primary'!AE112+'FWD Primary with Scan'!AE112+'FWD Secondary'!AE112+'FWD Volumetric'!AE112+'IB'!AE112+'IB Volumetric'!AE112+'OB'!AE112+'OB Volumetric'!AE112+'OSC Bag Sorting'!AE112+'OSC Bag Sorting Volumetric'!AE112+'REV FSM'!AE112+'Rejection Primary with Scan'!AE112+'Rejection Secondary'!AE112+'Rev DC DC Primary Sorting'!AE112+'Rev Primary (FSM Rejections)'!AE112+'Rev Secondary Sorting'!AE112+'VIA Bag Sorting'!AE112</f>
        <v/>
      </c>
      <c r="AF112" s="7">
        <f>'BBB'!AF112+'Bag Staging'!AF112+'Bag Staging Volumetric'!AF112+'FWD FSM'!AF112+'FWD Manual Pre Primary'!AF112+'FWD Manual Primary'!AF112+'FWD Primary with Scan'!AF112+'FWD Secondary'!AF112+'FWD Volumetric'!AF112+'IB'!AF112+'IB Volumetric'!AF112+'OB'!AF112+'OB Volumetric'!AF112+'OSC Bag Sorting'!AF112+'OSC Bag Sorting Volumetric'!AF112+'REV FSM'!AF112+'Rejection Primary with Scan'!AF112+'Rejection Secondary'!AF112+'Rev DC DC Primary Sorting'!AF112+'Rev Primary (FSM Rejections)'!AF112+'Rev Secondary Sorting'!AF112+'VIA Bag Sorting'!AF112</f>
        <v/>
      </c>
      <c r="AG112" s="7">
        <f>'BBB'!AG112+'Bag Staging'!AG112+'Bag Staging Volumetric'!AG112+'FWD FSM'!AG112+'FWD Manual Pre Primary'!AG112+'FWD Manual Primary'!AG112+'FWD Primary with Scan'!AG112+'FWD Secondary'!AG112+'FWD Volumetric'!AG112+'IB'!AG112+'IB Volumetric'!AG112+'OB'!AG112+'OB Volumetric'!AG112+'OSC Bag Sorting'!AG112+'OSC Bag Sorting Volumetric'!AG112+'REV FSM'!AG112+'Rejection Primary with Scan'!AG112+'Rejection Secondary'!AG112+'Rev DC DC Primary Sorting'!AG112+'Rev Primary (FSM Rejections)'!AG112+'Rev Secondary Sorting'!AG112+'VIA Bag Sorting'!AG112</f>
        <v/>
      </c>
      <c r="AH112" s="7">
        <f>'BBB'!AH112+'Bag Staging'!AH112+'Bag Staging Volumetric'!AH112+'FWD FSM'!AH112+'FWD Manual Pre Primary'!AH112+'FWD Manual Primary'!AH112+'FWD Primary with Scan'!AH112+'FWD Secondary'!AH112+'FWD Volumetric'!AH112+'IB'!AH112+'IB Volumetric'!AH112+'OB'!AH112+'OB Volumetric'!AH112+'OSC Bag Sorting'!AH112+'OSC Bag Sorting Volumetric'!AH112+'REV FSM'!AH112+'Rejection Primary with Scan'!AH112+'Rejection Secondary'!AH112+'Rev DC DC Primary Sorting'!AH112+'Rev Primary (FSM Rejections)'!AH112+'Rev Secondary Sorting'!AH112+'VIA Bag Sorting'!AH112</f>
        <v/>
      </c>
      <c r="AI112" s="7">
        <f>'BBB'!AI112+'Bag Staging'!AI112+'Bag Staging Volumetric'!AI112+'FWD FSM'!AI112+'FWD Manual Pre Primary'!AI112+'FWD Manual Primary'!AI112+'FWD Primary with Scan'!AI112+'FWD Secondary'!AI112+'FWD Volumetric'!AI112+'IB'!AI112+'IB Volumetric'!AI112+'OB'!AI112+'OB Volumetric'!AI112+'OSC Bag Sorting'!AI112+'OSC Bag Sorting Volumetric'!AI112+'REV FSM'!AI112+'Rejection Primary with Scan'!AI112+'Rejection Secondary'!AI112+'Rev DC DC Primary Sorting'!AI112+'Rev Primary (FSM Rejections)'!AI112+'Rev Secondary Sorting'!AI112+'VIA Bag Sorting'!AI112</f>
        <v/>
      </c>
      <c r="AJ112" s="7">
        <f>'BBB'!AJ112+'Bag Staging'!AJ112+'Bag Staging Volumetric'!AJ112+'FWD FSM'!AJ112+'FWD Manual Pre Primary'!AJ112+'FWD Manual Primary'!AJ112+'FWD Primary with Scan'!AJ112+'FWD Secondary'!AJ112+'FWD Volumetric'!AJ112+'IB'!AJ112+'IB Volumetric'!AJ112+'OB'!AJ112+'OB Volumetric'!AJ112+'OSC Bag Sorting'!AJ112+'OSC Bag Sorting Volumetric'!AJ112+'REV FSM'!AJ112+'Rejection Primary with Scan'!AJ112+'Rejection Secondary'!AJ112+'Rev DC DC Primary Sorting'!AJ112+'Rev Primary (FSM Rejections)'!AJ112+'Rev Secondary Sorting'!AJ112+'VIA Bag Sorting'!AJ112</f>
        <v/>
      </c>
      <c r="AK112" s="7">
        <f>'BBB'!AK112+'Bag Staging'!AK112+'Bag Staging Volumetric'!AK112+'FWD FSM'!AK112+'FWD Manual Pre Primary'!AK112+'FWD Manual Primary'!AK112+'FWD Primary with Scan'!AK112+'FWD Secondary'!AK112+'FWD Volumetric'!AK112+'IB'!AK112+'IB Volumetric'!AK112+'OB'!AK112+'OB Volumetric'!AK112+'OSC Bag Sorting'!AK112+'OSC Bag Sorting Volumetric'!AK112+'REV FSM'!AK112+'Rejection Primary with Scan'!AK112+'Rejection Secondary'!AK112+'Rev DC DC Primary Sorting'!AK112+'Rev Primary (FSM Rejections)'!AK112+'Rev Secondary Sorting'!AK112+'VIA Bag Sorting'!AK112</f>
        <v/>
      </c>
      <c r="AL112" s="7">
        <f>'BBB'!AL112+'Bag Staging'!AL112+'Bag Staging Volumetric'!AL112+'FWD FSM'!AL112+'FWD Manual Pre Primary'!AL112+'FWD Manual Primary'!AL112+'FWD Primary with Scan'!AL112+'FWD Secondary'!AL112+'FWD Volumetric'!AL112+'IB'!AL112+'IB Volumetric'!AL112+'OB'!AL112+'OB Volumetric'!AL112+'OSC Bag Sorting'!AL112+'OSC Bag Sorting Volumetric'!AL112+'REV FSM'!AL112+'Rejection Primary with Scan'!AL112+'Rejection Secondary'!AL112+'Rev DC DC Primary Sorting'!AL112+'Rev Primary (FSM Rejections)'!AL112+'Rev Secondary Sorting'!AL112+'VIA Bag Sorting'!AL112</f>
        <v/>
      </c>
      <c r="AM112" s="7">
        <f>'BBB'!AM112+'Bag Staging'!AM112+'Bag Staging Volumetric'!AM112+'FWD FSM'!AM112+'FWD Manual Pre Primary'!AM112+'FWD Manual Primary'!AM112+'FWD Primary with Scan'!AM112+'FWD Secondary'!AM112+'FWD Volumetric'!AM112+'IB'!AM112+'IB Volumetric'!AM112+'OB'!AM112+'OB Volumetric'!AM112+'OSC Bag Sorting'!AM112+'OSC Bag Sorting Volumetric'!AM112+'REV FSM'!AM112+'Rejection Primary with Scan'!AM112+'Rejection Secondary'!AM112+'Rev DC DC Primary Sorting'!AM112+'Rev Primary (FSM Rejections)'!AM112+'Rev Secondary Sorting'!AM112+'VIA Bag Sorting'!AM112</f>
        <v/>
      </c>
      <c r="AN112" s="7">
        <f>'BBB'!AN112+'Bag Staging'!AN112+'Bag Staging Volumetric'!AN112+'FWD FSM'!AN112+'FWD Manual Pre Primary'!AN112+'FWD Manual Primary'!AN112+'FWD Primary with Scan'!AN112+'FWD Secondary'!AN112+'FWD Volumetric'!AN112+'IB'!AN112+'IB Volumetric'!AN112+'OB'!AN112+'OB Volumetric'!AN112+'OSC Bag Sorting'!AN112+'OSC Bag Sorting Volumetric'!AN112+'REV FSM'!AN112+'Rejection Primary with Scan'!AN112+'Rejection Secondary'!AN112+'Rev DC DC Primary Sorting'!AN112+'Rev Primary (FSM Rejections)'!AN112+'Rev Secondary Sorting'!AN112+'VIA Bag Sorting'!AN112</f>
        <v/>
      </c>
      <c r="AO112" s="7">
        <f>'BBB'!AO112+'Bag Staging'!AO112+'Bag Staging Volumetric'!AO112+'FWD FSM'!AO112+'FWD Manual Pre Primary'!AO112+'FWD Manual Primary'!AO112+'FWD Primary with Scan'!AO112+'FWD Secondary'!AO112+'FWD Volumetric'!AO112+'IB'!AO112+'IB Volumetric'!AO112+'OB'!AO112+'OB Volumetric'!AO112+'OSC Bag Sorting'!AO112+'OSC Bag Sorting Volumetric'!AO112+'REV FSM'!AO112+'Rejection Primary with Scan'!AO112+'Rejection Secondary'!AO112+'Rev DC DC Primary Sorting'!AO112+'Rev Primary (FSM Rejections)'!AO112+'Rev Secondary Sorting'!AO112+'VIA Bag Sorting'!AO112</f>
        <v/>
      </c>
      <c r="AP112" s="7">
        <f>'BBB'!AP112+'Bag Staging'!AP112+'Bag Staging Volumetric'!AP112+'FWD FSM'!AP112+'FWD Manual Pre Primary'!AP112+'FWD Manual Primary'!AP112+'FWD Primary with Scan'!AP112+'FWD Secondary'!AP112+'FWD Volumetric'!AP112+'IB'!AP112+'IB Volumetric'!AP112+'OB'!AP112+'OB Volumetric'!AP112+'OSC Bag Sorting'!AP112+'OSC Bag Sorting Volumetric'!AP112+'REV FSM'!AP112+'Rejection Primary with Scan'!AP112+'Rejection Secondary'!AP112+'Rev DC DC Primary Sorting'!AP112+'Rev Primary (FSM Rejections)'!AP112+'Rev Secondary Sorting'!AP112+'VIA Bag Sorting'!AP112</f>
        <v/>
      </c>
      <c r="AQ112" s="7">
        <f>'BBB'!AQ112+'Bag Staging'!AQ112+'Bag Staging Volumetric'!AQ112+'FWD FSM'!AQ112+'FWD Manual Pre Primary'!AQ112+'FWD Manual Primary'!AQ112+'FWD Primary with Scan'!AQ112+'FWD Secondary'!AQ112+'FWD Volumetric'!AQ112+'IB'!AQ112+'IB Volumetric'!AQ112+'OB'!AQ112+'OB Volumetric'!AQ112+'OSC Bag Sorting'!AQ112+'OSC Bag Sorting Volumetric'!AQ112+'REV FSM'!AQ112+'Rejection Primary with Scan'!AQ112+'Rejection Secondary'!AQ112+'Rev DC DC Primary Sorting'!AQ112+'Rev Primary (FSM Rejections)'!AQ112+'Rev Secondary Sorting'!AQ112+'VIA Bag Sorting'!AQ112</f>
        <v/>
      </c>
      <c r="AR112" s="7">
        <f>'BBB'!AR112+'Bag Staging'!AR112+'Bag Staging Volumetric'!AR112+'FWD FSM'!AR112+'FWD Manual Pre Primary'!AR112+'FWD Manual Primary'!AR112+'FWD Primary with Scan'!AR112+'FWD Secondary'!AR112+'FWD Volumetric'!AR112+'IB'!AR112+'IB Volumetric'!AR112+'OB'!AR112+'OB Volumetric'!AR112+'OSC Bag Sorting'!AR112+'OSC Bag Sorting Volumetric'!AR112+'REV FSM'!AR112+'Rejection Primary with Scan'!AR112+'Rejection Secondary'!AR112+'Rev DC DC Primary Sorting'!AR112+'Rev Primary (FSM Rejections)'!AR112+'Rev Secondary Sorting'!AR112+'VIA Bag Sorting'!AR112</f>
        <v/>
      </c>
      <c r="AS112" s="7">
        <f>'BBB'!AS112+'Bag Staging'!AS112+'Bag Staging Volumetric'!AS112+'FWD FSM'!AS112+'FWD Manual Pre Primary'!AS112+'FWD Manual Primary'!AS112+'FWD Primary with Scan'!AS112+'FWD Secondary'!AS112+'FWD Volumetric'!AS112+'IB'!AS112+'IB Volumetric'!AS112+'OB'!AS112+'OB Volumetric'!AS112+'OSC Bag Sorting'!AS112+'OSC Bag Sorting Volumetric'!AS112+'REV FSM'!AS112+'Rejection Primary with Scan'!AS112+'Rejection Secondary'!AS112+'Rev DC DC Primary Sorting'!AS112+'Rev Primary (FSM Rejections)'!AS112+'Rev Secondary Sorting'!AS112+'VIA Bag Sorting'!AS112</f>
        <v/>
      </c>
      <c r="AT112" s="7">
        <f>'BBB'!AT112+'Bag Staging'!AT112+'Bag Staging Volumetric'!AT112+'FWD FSM'!AT112+'FWD Manual Pre Primary'!AT112+'FWD Manual Primary'!AT112+'FWD Primary with Scan'!AT112+'FWD Secondary'!AT112+'FWD Volumetric'!AT112+'IB'!AT112+'IB Volumetric'!AT112+'OB'!AT112+'OB Volumetric'!AT112+'OSC Bag Sorting'!AT112+'OSC Bag Sorting Volumetric'!AT112+'REV FSM'!AT112+'Rejection Primary with Scan'!AT112+'Rejection Secondary'!AT112+'Rev DC DC Primary Sorting'!AT112+'Rev Primary (FSM Rejections)'!AT112+'Rev Secondary Sorting'!AT112+'VIA Bag Sorting'!AT112</f>
        <v/>
      </c>
      <c r="AU112" s="7">
        <f>'BBB'!AU112+'Bag Staging'!AU112+'Bag Staging Volumetric'!AU112+'FWD FSM'!AU112+'FWD Manual Pre Primary'!AU112+'FWD Manual Primary'!AU112+'FWD Primary with Scan'!AU112+'FWD Secondary'!AU112+'FWD Volumetric'!AU112+'IB'!AU112+'IB Volumetric'!AU112+'OB'!AU112+'OB Volumetric'!AU112+'OSC Bag Sorting'!AU112+'OSC Bag Sorting Volumetric'!AU112+'REV FSM'!AU112+'Rejection Primary with Scan'!AU112+'Rejection Secondary'!AU112+'Rev DC DC Primary Sorting'!AU112+'Rev Primary (FSM Rejections)'!AU112+'Rev Secondary Sorting'!AU112+'VIA Bag Sorting'!AU112</f>
        <v/>
      </c>
      <c r="AV112" s="7">
        <f>'BBB'!AV112+'Bag Staging'!AV112+'Bag Staging Volumetric'!AV112+'FWD FSM'!AV112+'FWD Manual Pre Primary'!AV112+'FWD Manual Primary'!AV112+'FWD Primary with Scan'!AV112+'FWD Secondary'!AV112+'FWD Volumetric'!AV112+'IB'!AV112+'IB Volumetric'!AV112+'OB'!AV112+'OB Volumetric'!AV112+'OSC Bag Sorting'!AV112+'OSC Bag Sorting Volumetric'!AV112+'REV FSM'!AV112+'Rejection Primary with Scan'!AV112+'Rejection Secondary'!AV112+'Rev DC DC Primary Sorting'!AV112+'Rev Primary (FSM Rejections)'!AV112+'Rev Secondary Sorting'!AV112+'VIA Bag Sorting'!AV112</f>
        <v/>
      </c>
      <c r="AW112" s="7">
        <f>'BBB'!AW112+'Bag Staging'!AW112+'Bag Staging Volumetric'!AW112+'FWD FSM'!AW112+'FWD Manual Pre Primary'!AW112+'FWD Manual Primary'!AW112+'FWD Primary with Scan'!AW112+'FWD Secondary'!AW112+'FWD Volumetric'!AW112+'IB'!AW112+'IB Volumetric'!AW112+'OB'!AW112+'OB Volumetric'!AW112+'OSC Bag Sorting'!AW112+'OSC Bag Sorting Volumetric'!AW112+'REV FSM'!AW112+'Rejection Primary with Scan'!AW112+'Rejection Secondary'!AW112+'Rev DC DC Primary Sorting'!AW112+'Rev Primary (FSM Rejections)'!AW112+'Rev Secondary Sorting'!AW112+'VIA Bag Sorting'!AW112</f>
        <v/>
      </c>
      <c r="AX112" s="7">
        <f>'BBB'!AX112+'Bag Staging'!AX112+'Bag Staging Volumetric'!AX112+'FWD FSM'!AX112+'FWD Manual Pre Primary'!AX112+'FWD Manual Primary'!AX112+'FWD Primary with Scan'!AX112+'FWD Secondary'!AX112+'FWD Volumetric'!AX112+'IB'!AX112+'IB Volumetric'!AX112+'OB'!AX112+'OB Volumetric'!AX112+'OSC Bag Sorting'!AX112+'OSC Bag Sorting Volumetric'!AX112+'REV FSM'!AX112+'Rejection Primary with Scan'!AX112+'Rejection Secondary'!AX112+'Rev DC DC Primary Sorting'!AX112+'Rev Primary (FSM Rejections)'!AX112+'Rev Secondary Sorting'!AX112+'VIA Bag Sorting'!AX112</f>
        <v/>
      </c>
      <c r="AY112" s="7">
        <f>'BBB'!AY112+'Bag Staging'!AY112+'Bag Staging Volumetric'!AY112+'FWD FSM'!AY112+'FWD Manual Pre Primary'!AY112+'FWD Manual Primary'!AY112+'FWD Primary with Scan'!AY112+'FWD Secondary'!AY112+'FWD Volumetric'!AY112+'IB'!AY112+'IB Volumetric'!AY112+'OB'!AY112+'OB Volumetric'!AY112+'OSC Bag Sorting'!AY112+'OSC Bag Sorting Volumetric'!AY112+'REV FSM'!AY112+'Rejection Primary with Scan'!AY112+'Rejection Secondary'!AY112+'Rev DC DC Primary Sorting'!AY112+'Rev Primary (FSM Rejections)'!AY112+'Rev Secondary Sorting'!AY112+'VIA Bag Sorting'!AY112</f>
        <v/>
      </c>
      <c r="AZ112" s="7">
        <f>'BBB'!AZ112+'Bag Staging'!AZ112+'Bag Staging Volumetric'!AZ112+'FWD FSM'!AZ112+'FWD Manual Pre Primary'!AZ112+'FWD Manual Primary'!AZ112+'FWD Primary with Scan'!AZ112+'FWD Secondary'!AZ112+'FWD Volumetric'!AZ112+'IB'!AZ112+'IB Volumetric'!AZ112+'OB'!AZ112+'OB Volumetric'!AZ112+'OSC Bag Sorting'!AZ112+'OSC Bag Sorting Volumetric'!AZ112+'REV FSM'!AZ112+'Rejection Primary with Scan'!AZ112+'Rejection Secondary'!AZ112+'Rev DC DC Primary Sorting'!AZ112+'Rev Primary (FSM Rejections)'!AZ112+'Rev Secondary Sorting'!AZ112+'VIA Bag Sorting'!AZ112</f>
        <v/>
      </c>
      <c r="BA112" s="7">
        <f>'BBB'!BA112+'Bag Staging'!BA112+'Bag Staging Volumetric'!BA112+'FWD FSM'!BA112+'FWD Manual Pre Primary'!BA112+'FWD Manual Primary'!BA112+'FWD Primary with Scan'!BA112+'FWD Secondary'!BA112+'FWD Volumetric'!BA112+'IB'!BA112+'IB Volumetric'!BA112+'OB'!BA112+'OB Volumetric'!BA112+'OSC Bag Sorting'!BA112+'OSC Bag Sorting Volumetric'!BA112+'REV FSM'!BA112+'Rejection Primary with Scan'!BA112+'Rejection Secondary'!BA112+'Rev DC DC Primary Sorting'!BA112+'Rev Primary (FSM Rejections)'!BA112+'Rev Secondary Sorting'!BA112+'VIA Bag Sorting'!BA112</f>
        <v/>
      </c>
      <c r="BB112" s="7">
        <f>SUM(AD112:BA112)</f>
        <v/>
      </c>
    </row>
    <row r="113">
      <c r="A113" t="inlineStr">
        <is>
          <t>DC-10-1</t>
        </is>
      </c>
      <c r="B113" t="inlineStr">
        <is>
          <t>DSC Manual</t>
        </is>
      </c>
      <c r="C113" s="5" t="n">
        <v>46091</v>
      </c>
      <c r="D113" s="6" t="n">
        <v>553</v>
      </c>
      <c r="E113" s="6" t="n">
        <v>84</v>
      </c>
      <c r="F113" s="6" t="n">
        <v>0</v>
      </c>
      <c r="G113" s="6" t="n">
        <v>950</v>
      </c>
      <c r="H113" s="6" t="n">
        <v>639</v>
      </c>
      <c r="I113" s="6" t="n">
        <v>810</v>
      </c>
      <c r="J113" s="6" t="n">
        <v>245</v>
      </c>
      <c r="K113" s="6" t="n">
        <v>0</v>
      </c>
      <c r="L113" s="6" t="n">
        <v>0</v>
      </c>
      <c r="M113" s="6" t="n">
        <v>0</v>
      </c>
      <c r="N113" s="6" t="n">
        <v>0</v>
      </c>
      <c r="O113" s="6" t="n">
        <v>0</v>
      </c>
      <c r="P113" s="6" t="n">
        <v>555</v>
      </c>
      <c r="Q113" s="6" t="n">
        <v>2592</v>
      </c>
      <c r="R113" s="6" t="n">
        <v>3516</v>
      </c>
      <c r="S113" s="6" t="n">
        <v>3071</v>
      </c>
      <c r="T113" s="6" t="n">
        <v>3034</v>
      </c>
      <c r="U113" s="6" t="n">
        <v>196</v>
      </c>
      <c r="V113" s="6" t="n">
        <v>4539</v>
      </c>
      <c r="W113" s="6" t="n">
        <v>3880</v>
      </c>
      <c r="X113" s="6" t="n">
        <v>4363</v>
      </c>
      <c r="Y113" s="6" t="n">
        <v>3720</v>
      </c>
      <c r="Z113" s="6" t="n">
        <v>0</v>
      </c>
      <c r="AA113" s="6" t="n">
        <v>517</v>
      </c>
      <c r="AB113" s="6">
        <f>SUM(D113:AA113)</f>
        <v/>
      </c>
      <c r="AC113" s="3" t="inlineStr"/>
      <c r="AD113" s="7">
        <f>'BBB'!AD113+'Bag Staging'!AD113+'Bag Staging Volumetric'!AD113+'FWD FSM'!AD113+'FWD Manual Pre Primary'!AD113+'FWD Manual Primary'!AD113+'FWD Primary with Scan'!AD113+'FWD Secondary'!AD113+'FWD Volumetric'!AD113+'IB'!AD113+'IB Volumetric'!AD113+'OB'!AD113+'OB Volumetric'!AD113+'OSC Bag Sorting'!AD113+'OSC Bag Sorting Volumetric'!AD113+'REV FSM'!AD113+'Rejection Primary with Scan'!AD113+'Rejection Secondary'!AD113+'Rev DC DC Primary Sorting'!AD113+'Rev Primary (FSM Rejections)'!AD113+'Rev Secondary Sorting'!AD113+'VIA Bag Sorting'!AD113</f>
        <v/>
      </c>
      <c r="AE113" s="7">
        <f>'BBB'!AE113+'Bag Staging'!AE113+'Bag Staging Volumetric'!AE113+'FWD FSM'!AE113+'FWD Manual Pre Primary'!AE113+'FWD Manual Primary'!AE113+'FWD Primary with Scan'!AE113+'FWD Secondary'!AE113+'FWD Volumetric'!AE113+'IB'!AE113+'IB Volumetric'!AE113+'OB'!AE113+'OB Volumetric'!AE113+'OSC Bag Sorting'!AE113+'OSC Bag Sorting Volumetric'!AE113+'REV FSM'!AE113+'Rejection Primary with Scan'!AE113+'Rejection Secondary'!AE113+'Rev DC DC Primary Sorting'!AE113+'Rev Primary (FSM Rejections)'!AE113+'Rev Secondary Sorting'!AE113+'VIA Bag Sorting'!AE113</f>
        <v/>
      </c>
      <c r="AF113" s="7">
        <f>'BBB'!AF113+'Bag Staging'!AF113+'Bag Staging Volumetric'!AF113+'FWD FSM'!AF113+'FWD Manual Pre Primary'!AF113+'FWD Manual Primary'!AF113+'FWD Primary with Scan'!AF113+'FWD Secondary'!AF113+'FWD Volumetric'!AF113+'IB'!AF113+'IB Volumetric'!AF113+'OB'!AF113+'OB Volumetric'!AF113+'OSC Bag Sorting'!AF113+'OSC Bag Sorting Volumetric'!AF113+'REV FSM'!AF113+'Rejection Primary with Scan'!AF113+'Rejection Secondary'!AF113+'Rev DC DC Primary Sorting'!AF113+'Rev Primary (FSM Rejections)'!AF113+'Rev Secondary Sorting'!AF113+'VIA Bag Sorting'!AF113</f>
        <v/>
      </c>
      <c r="AG113" s="7">
        <f>'BBB'!AG113+'Bag Staging'!AG113+'Bag Staging Volumetric'!AG113+'FWD FSM'!AG113+'FWD Manual Pre Primary'!AG113+'FWD Manual Primary'!AG113+'FWD Primary with Scan'!AG113+'FWD Secondary'!AG113+'FWD Volumetric'!AG113+'IB'!AG113+'IB Volumetric'!AG113+'OB'!AG113+'OB Volumetric'!AG113+'OSC Bag Sorting'!AG113+'OSC Bag Sorting Volumetric'!AG113+'REV FSM'!AG113+'Rejection Primary with Scan'!AG113+'Rejection Secondary'!AG113+'Rev DC DC Primary Sorting'!AG113+'Rev Primary (FSM Rejections)'!AG113+'Rev Secondary Sorting'!AG113+'VIA Bag Sorting'!AG113</f>
        <v/>
      </c>
      <c r="AH113" s="7">
        <f>'BBB'!AH113+'Bag Staging'!AH113+'Bag Staging Volumetric'!AH113+'FWD FSM'!AH113+'FWD Manual Pre Primary'!AH113+'FWD Manual Primary'!AH113+'FWD Primary with Scan'!AH113+'FWD Secondary'!AH113+'FWD Volumetric'!AH113+'IB'!AH113+'IB Volumetric'!AH113+'OB'!AH113+'OB Volumetric'!AH113+'OSC Bag Sorting'!AH113+'OSC Bag Sorting Volumetric'!AH113+'REV FSM'!AH113+'Rejection Primary with Scan'!AH113+'Rejection Secondary'!AH113+'Rev DC DC Primary Sorting'!AH113+'Rev Primary (FSM Rejections)'!AH113+'Rev Secondary Sorting'!AH113+'VIA Bag Sorting'!AH113</f>
        <v/>
      </c>
      <c r="AI113" s="7">
        <f>'BBB'!AI113+'Bag Staging'!AI113+'Bag Staging Volumetric'!AI113+'FWD FSM'!AI113+'FWD Manual Pre Primary'!AI113+'FWD Manual Primary'!AI113+'FWD Primary with Scan'!AI113+'FWD Secondary'!AI113+'FWD Volumetric'!AI113+'IB'!AI113+'IB Volumetric'!AI113+'OB'!AI113+'OB Volumetric'!AI113+'OSC Bag Sorting'!AI113+'OSC Bag Sorting Volumetric'!AI113+'REV FSM'!AI113+'Rejection Primary with Scan'!AI113+'Rejection Secondary'!AI113+'Rev DC DC Primary Sorting'!AI113+'Rev Primary (FSM Rejections)'!AI113+'Rev Secondary Sorting'!AI113+'VIA Bag Sorting'!AI113</f>
        <v/>
      </c>
      <c r="AJ113" s="7">
        <f>'BBB'!AJ113+'Bag Staging'!AJ113+'Bag Staging Volumetric'!AJ113+'FWD FSM'!AJ113+'FWD Manual Pre Primary'!AJ113+'FWD Manual Primary'!AJ113+'FWD Primary with Scan'!AJ113+'FWD Secondary'!AJ113+'FWD Volumetric'!AJ113+'IB'!AJ113+'IB Volumetric'!AJ113+'OB'!AJ113+'OB Volumetric'!AJ113+'OSC Bag Sorting'!AJ113+'OSC Bag Sorting Volumetric'!AJ113+'REV FSM'!AJ113+'Rejection Primary with Scan'!AJ113+'Rejection Secondary'!AJ113+'Rev DC DC Primary Sorting'!AJ113+'Rev Primary (FSM Rejections)'!AJ113+'Rev Secondary Sorting'!AJ113+'VIA Bag Sorting'!AJ113</f>
        <v/>
      </c>
      <c r="AK113" s="7">
        <f>'BBB'!AK113+'Bag Staging'!AK113+'Bag Staging Volumetric'!AK113+'FWD FSM'!AK113+'FWD Manual Pre Primary'!AK113+'FWD Manual Primary'!AK113+'FWD Primary with Scan'!AK113+'FWD Secondary'!AK113+'FWD Volumetric'!AK113+'IB'!AK113+'IB Volumetric'!AK113+'OB'!AK113+'OB Volumetric'!AK113+'OSC Bag Sorting'!AK113+'OSC Bag Sorting Volumetric'!AK113+'REV FSM'!AK113+'Rejection Primary with Scan'!AK113+'Rejection Secondary'!AK113+'Rev DC DC Primary Sorting'!AK113+'Rev Primary (FSM Rejections)'!AK113+'Rev Secondary Sorting'!AK113+'VIA Bag Sorting'!AK113</f>
        <v/>
      </c>
      <c r="AL113" s="7">
        <f>'BBB'!AL113+'Bag Staging'!AL113+'Bag Staging Volumetric'!AL113+'FWD FSM'!AL113+'FWD Manual Pre Primary'!AL113+'FWD Manual Primary'!AL113+'FWD Primary with Scan'!AL113+'FWD Secondary'!AL113+'FWD Volumetric'!AL113+'IB'!AL113+'IB Volumetric'!AL113+'OB'!AL113+'OB Volumetric'!AL113+'OSC Bag Sorting'!AL113+'OSC Bag Sorting Volumetric'!AL113+'REV FSM'!AL113+'Rejection Primary with Scan'!AL113+'Rejection Secondary'!AL113+'Rev DC DC Primary Sorting'!AL113+'Rev Primary (FSM Rejections)'!AL113+'Rev Secondary Sorting'!AL113+'VIA Bag Sorting'!AL113</f>
        <v/>
      </c>
      <c r="AM113" s="7">
        <f>'BBB'!AM113+'Bag Staging'!AM113+'Bag Staging Volumetric'!AM113+'FWD FSM'!AM113+'FWD Manual Pre Primary'!AM113+'FWD Manual Primary'!AM113+'FWD Primary with Scan'!AM113+'FWD Secondary'!AM113+'FWD Volumetric'!AM113+'IB'!AM113+'IB Volumetric'!AM113+'OB'!AM113+'OB Volumetric'!AM113+'OSC Bag Sorting'!AM113+'OSC Bag Sorting Volumetric'!AM113+'REV FSM'!AM113+'Rejection Primary with Scan'!AM113+'Rejection Secondary'!AM113+'Rev DC DC Primary Sorting'!AM113+'Rev Primary (FSM Rejections)'!AM113+'Rev Secondary Sorting'!AM113+'VIA Bag Sorting'!AM113</f>
        <v/>
      </c>
      <c r="AN113" s="7">
        <f>'BBB'!AN113+'Bag Staging'!AN113+'Bag Staging Volumetric'!AN113+'FWD FSM'!AN113+'FWD Manual Pre Primary'!AN113+'FWD Manual Primary'!AN113+'FWD Primary with Scan'!AN113+'FWD Secondary'!AN113+'FWD Volumetric'!AN113+'IB'!AN113+'IB Volumetric'!AN113+'OB'!AN113+'OB Volumetric'!AN113+'OSC Bag Sorting'!AN113+'OSC Bag Sorting Volumetric'!AN113+'REV FSM'!AN113+'Rejection Primary with Scan'!AN113+'Rejection Secondary'!AN113+'Rev DC DC Primary Sorting'!AN113+'Rev Primary (FSM Rejections)'!AN113+'Rev Secondary Sorting'!AN113+'VIA Bag Sorting'!AN113</f>
        <v/>
      </c>
      <c r="AO113" s="7">
        <f>'BBB'!AO113+'Bag Staging'!AO113+'Bag Staging Volumetric'!AO113+'FWD FSM'!AO113+'FWD Manual Pre Primary'!AO113+'FWD Manual Primary'!AO113+'FWD Primary with Scan'!AO113+'FWD Secondary'!AO113+'FWD Volumetric'!AO113+'IB'!AO113+'IB Volumetric'!AO113+'OB'!AO113+'OB Volumetric'!AO113+'OSC Bag Sorting'!AO113+'OSC Bag Sorting Volumetric'!AO113+'REV FSM'!AO113+'Rejection Primary with Scan'!AO113+'Rejection Secondary'!AO113+'Rev DC DC Primary Sorting'!AO113+'Rev Primary (FSM Rejections)'!AO113+'Rev Secondary Sorting'!AO113+'VIA Bag Sorting'!AO113</f>
        <v/>
      </c>
      <c r="AP113" s="7">
        <f>'BBB'!AP113+'Bag Staging'!AP113+'Bag Staging Volumetric'!AP113+'FWD FSM'!AP113+'FWD Manual Pre Primary'!AP113+'FWD Manual Primary'!AP113+'FWD Primary with Scan'!AP113+'FWD Secondary'!AP113+'FWD Volumetric'!AP113+'IB'!AP113+'IB Volumetric'!AP113+'OB'!AP113+'OB Volumetric'!AP113+'OSC Bag Sorting'!AP113+'OSC Bag Sorting Volumetric'!AP113+'REV FSM'!AP113+'Rejection Primary with Scan'!AP113+'Rejection Secondary'!AP113+'Rev DC DC Primary Sorting'!AP113+'Rev Primary (FSM Rejections)'!AP113+'Rev Secondary Sorting'!AP113+'VIA Bag Sorting'!AP113</f>
        <v/>
      </c>
      <c r="AQ113" s="7">
        <f>'BBB'!AQ113+'Bag Staging'!AQ113+'Bag Staging Volumetric'!AQ113+'FWD FSM'!AQ113+'FWD Manual Pre Primary'!AQ113+'FWD Manual Primary'!AQ113+'FWD Primary with Scan'!AQ113+'FWD Secondary'!AQ113+'FWD Volumetric'!AQ113+'IB'!AQ113+'IB Volumetric'!AQ113+'OB'!AQ113+'OB Volumetric'!AQ113+'OSC Bag Sorting'!AQ113+'OSC Bag Sorting Volumetric'!AQ113+'REV FSM'!AQ113+'Rejection Primary with Scan'!AQ113+'Rejection Secondary'!AQ113+'Rev DC DC Primary Sorting'!AQ113+'Rev Primary (FSM Rejections)'!AQ113+'Rev Secondary Sorting'!AQ113+'VIA Bag Sorting'!AQ113</f>
        <v/>
      </c>
      <c r="AR113" s="7">
        <f>'BBB'!AR113+'Bag Staging'!AR113+'Bag Staging Volumetric'!AR113+'FWD FSM'!AR113+'FWD Manual Pre Primary'!AR113+'FWD Manual Primary'!AR113+'FWD Primary with Scan'!AR113+'FWD Secondary'!AR113+'FWD Volumetric'!AR113+'IB'!AR113+'IB Volumetric'!AR113+'OB'!AR113+'OB Volumetric'!AR113+'OSC Bag Sorting'!AR113+'OSC Bag Sorting Volumetric'!AR113+'REV FSM'!AR113+'Rejection Primary with Scan'!AR113+'Rejection Secondary'!AR113+'Rev DC DC Primary Sorting'!AR113+'Rev Primary (FSM Rejections)'!AR113+'Rev Secondary Sorting'!AR113+'VIA Bag Sorting'!AR113</f>
        <v/>
      </c>
      <c r="AS113" s="7">
        <f>'BBB'!AS113+'Bag Staging'!AS113+'Bag Staging Volumetric'!AS113+'FWD FSM'!AS113+'FWD Manual Pre Primary'!AS113+'FWD Manual Primary'!AS113+'FWD Primary with Scan'!AS113+'FWD Secondary'!AS113+'FWD Volumetric'!AS113+'IB'!AS113+'IB Volumetric'!AS113+'OB'!AS113+'OB Volumetric'!AS113+'OSC Bag Sorting'!AS113+'OSC Bag Sorting Volumetric'!AS113+'REV FSM'!AS113+'Rejection Primary with Scan'!AS113+'Rejection Secondary'!AS113+'Rev DC DC Primary Sorting'!AS113+'Rev Primary (FSM Rejections)'!AS113+'Rev Secondary Sorting'!AS113+'VIA Bag Sorting'!AS113</f>
        <v/>
      </c>
      <c r="AT113" s="7">
        <f>'BBB'!AT113+'Bag Staging'!AT113+'Bag Staging Volumetric'!AT113+'FWD FSM'!AT113+'FWD Manual Pre Primary'!AT113+'FWD Manual Primary'!AT113+'FWD Primary with Scan'!AT113+'FWD Secondary'!AT113+'FWD Volumetric'!AT113+'IB'!AT113+'IB Volumetric'!AT113+'OB'!AT113+'OB Volumetric'!AT113+'OSC Bag Sorting'!AT113+'OSC Bag Sorting Volumetric'!AT113+'REV FSM'!AT113+'Rejection Primary with Scan'!AT113+'Rejection Secondary'!AT113+'Rev DC DC Primary Sorting'!AT113+'Rev Primary (FSM Rejections)'!AT113+'Rev Secondary Sorting'!AT113+'VIA Bag Sorting'!AT113</f>
        <v/>
      </c>
      <c r="AU113" s="7">
        <f>'BBB'!AU113+'Bag Staging'!AU113+'Bag Staging Volumetric'!AU113+'FWD FSM'!AU113+'FWD Manual Pre Primary'!AU113+'FWD Manual Primary'!AU113+'FWD Primary with Scan'!AU113+'FWD Secondary'!AU113+'FWD Volumetric'!AU113+'IB'!AU113+'IB Volumetric'!AU113+'OB'!AU113+'OB Volumetric'!AU113+'OSC Bag Sorting'!AU113+'OSC Bag Sorting Volumetric'!AU113+'REV FSM'!AU113+'Rejection Primary with Scan'!AU113+'Rejection Secondary'!AU113+'Rev DC DC Primary Sorting'!AU113+'Rev Primary (FSM Rejections)'!AU113+'Rev Secondary Sorting'!AU113+'VIA Bag Sorting'!AU113</f>
        <v/>
      </c>
      <c r="AV113" s="7">
        <f>'BBB'!AV113+'Bag Staging'!AV113+'Bag Staging Volumetric'!AV113+'FWD FSM'!AV113+'FWD Manual Pre Primary'!AV113+'FWD Manual Primary'!AV113+'FWD Primary with Scan'!AV113+'FWD Secondary'!AV113+'FWD Volumetric'!AV113+'IB'!AV113+'IB Volumetric'!AV113+'OB'!AV113+'OB Volumetric'!AV113+'OSC Bag Sorting'!AV113+'OSC Bag Sorting Volumetric'!AV113+'REV FSM'!AV113+'Rejection Primary with Scan'!AV113+'Rejection Secondary'!AV113+'Rev DC DC Primary Sorting'!AV113+'Rev Primary (FSM Rejections)'!AV113+'Rev Secondary Sorting'!AV113+'VIA Bag Sorting'!AV113</f>
        <v/>
      </c>
      <c r="AW113" s="7">
        <f>'BBB'!AW113+'Bag Staging'!AW113+'Bag Staging Volumetric'!AW113+'FWD FSM'!AW113+'FWD Manual Pre Primary'!AW113+'FWD Manual Primary'!AW113+'FWD Primary with Scan'!AW113+'FWD Secondary'!AW113+'FWD Volumetric'!AW113+'IB'!AW113+'IB Volumetric'!AW113+'OB'!AW113+'OB Volumetric'!AW113+'OSC Bag Sorting'!AW113+'OSC Bag Sorting Volumetric'!AW113+'REV FSM'!AW113+'Rejection Primary with Scan'!AW113+'Rejection Secondary'!AW113+'Rev DC DC Primary Sorting'!AW113+'Rev Primary (FSM Rejections)'!AW113+'Rev Secondary Sorting'!AW113+'VIA Bag Sorting'!AW113</f>
        <v/>
      </c>
      <c r="AX113" s="7">
        <f>'BBB'!AX113+'Bag Staging'!AX113+'Bag Staging Volumetric'!AX113+'FWD FSM'!AX113+'FWD Manual Pre Primary'!AX113+'FWD Manual Primary'!AX113+'FWD Primary with Scan'!AX113+'FWD Secondary'!AX113+'FWD Volumetric'!AX113+'IB'!AX113+'IB Volumetric'!AX113+'OB'!AX113+'OB Volumetric'!AX113+'OSC Bag Sorting'!AX113+'OSC Bag Sorting Volumetric'!AX113+'REV FSM'!AX113+'Rejection Primary with Scan'!AX113+'Rejection Secondary'!AX113+'Rev DC DC Primary Sorting'!AX113+'Rev Primary (FSM Rejections)'!AX113+'Rev Secondary Sorting'!AX113+'VIA Bag Sorting'!AX113</f>
        <v/>
      </c>
      <c r="AY113" s="7">
        <f>'BBB'!AY113+'Bag Staging'!AY113+'Bag Staging Volumetric'!AY113+'FWD FSM'!AY113+'FWD Manual Pre Primary'!AY113+'FWD Manual Primary'!AY113+'FWD Primary with Scan'!AY113+'FWD Secondary'!AY113+'FWD Volumetric'!AY113+'IB'!AY113+'IB Volumetric'!AY113+'OB'!AY113+'OB Volumetric'!AY113+'OSC Bag Sorting'!AY113+'OSC Bag Sorting Volumetric'!AY113+'REV FSM'!AY113+'Rejection Primary with Scan'!AY113+'Rejection Secondary'!AY113+'Rev DC DC Primary Sorting'!AY113+'Rev Primary (FSM Rejections)'!AY113+'Rev Secondary Sorting'!AY113+'VIA Bag Sorting'!AY113</f>
        <v/>
      </c>
      <c r="AZ113" s="7">
        <f>'BBB'!AZ113+'Bag Staging'!AZ113+'Bag Staging Volumetric'!AZ113+'FWD FSM'!AZ113+'FWD Manual Pre Primary'!AZ113+'FWD Manual Primary'!AZ113+'FWD Primary with Scan'!AZ113+'FWD Secondary'!AZ113+'FWD Volumetric'!AZ113+'IB'!AZ113+'IB Volumetric'!AZ113+'OB'!AZ113+'OB Volumetric'!AZ113+'OSC Bag Sorting'!AZ113+'OSC Bag Sorting Volumetric'!AZ113+'REV FSM'!AZ113+'Rejection Primary with Scan'!AZ113+'Rejection Secondary'!AZ113+'Rev DC DC Primary Sorting'!AZ113+'Rev Primary (FSM Rejections)'!AZ113+'Rev Secondary Sorting'!AZ113+'VIA Bag Sorting'!AZ113</f>
        <v/>
      </c>
      <c r="BA113" s="7">
        <f>'BBB'!BA113+'Bag Staging'!BA113+'Bag Staging Volumetric'!BA113+'FWD FSM'!BA113+'FWD Manual Pre Primary'!BA113+'FWD Manual Primary'!BA113+'FWD Primary with Scan'!BA113+'FWD Secondary'!BA113+'FWD Volumetric'!BA113+'IB'!BA113+'IB Volumetric'!BA113+'OB'!BA113+'OB Volumetric'!BA113+'OSC Bag Sorting'!BA113+'OSC Bag Sorting Volumetric'!BA113+'REV FSM'!BA113+'Rejection Primary with Scan'!BA113+'Rejection Secondary'!BA113+'Rev DC DC Primary Sorting'!BA113+'Rev Primary (FSM Rejections)'!BA113+'Rev Secondary Sorting'!BA113+'VIA Bag Sorting'!BA113</f>
        <v/>
      </c>
      <c r="BB113" s="7">
        <f>SUM(AD113:BA113)</f>
        <v/>
      </c>
    </row>
    <row r="114">
      <c r="A114" t="inlineStr">
        <is>
          <t>DC-10-1</t>
        </is>
      </c>
      <c r="B114" t="inlineStr">
        <is>
          <t>DSC Manual</t>
        </is>
      </c>
      <c r="C114" s="5" t="n">
        <v>46092</v>
      </c>
      <c r="D114" s="6" t="n">
        <v>511</v>
      </c>
      <c r="E114" s="6" t="n">
        <v>45</v>
      </c>
      <c r="F114" s="6" t="n">
        <v>430</v>
      </c>
      <c r="G114" s="6" t="n">
        <v>1242</v>
      </c>
      <c r="H114" s="6" t="n">
        <v>330</v>
      </c>
      <c r="I114" s="6" t="n">
        <v>1135</v>
      </c>
      <c r="J114" s="6" t="n">
        <v>573</v>
      </c>
      <c r="K114" s="6" t="n">
        <v>73</v>
      </c>
      <c r="L114" s="6" t="n">
        <v>0</v>
      </c>
      <c r="M114" s="6" t="n">
        <v>0</v>
      </c>
      <c r="N114" s="6" t="n">
        <v>0</v>
      </c>
      <c r="O114" s="6" t="n">
        <v>0</v>
      </c>
      <c r="P114" s="6" t="n">
        <v>0</v>
      </c>
      <c r="Q114" s="6" t="n">
        <v>2023</v>
      </c>
      <c r="R114" s="6" t="n">
        <v>3728</v>
      </c>
      <c r="S114" s="6" t="n">
        <v>3252</v>
      </c>
      <c r="T114" s="6" t="n">
        <v>952</v>
      </c>
      <c r="U114" s="6" t="n">
        <v>3417</v>
      </c>
      <c r="V114" s="6" t="n">
        <v>3974</v>
      </c>
      <c r="W114" s="6" t="n">
        <v>4428</v>
      </c>
      <c r="X114" s="6" t="n">
        <v>4441</v>
      </c>
      <c r="Y114" s="6" t="n">
        <v>4359</v>
      </c>
      <c r="Z114" s="6" t="n">
        <v>74</v>
      </c>
      <c r="AA114" s="6" t="n">
        <v>635</v>
      </c>
      <c r="AB114" s="6">
        <f>SUM(D114:AA114)</f>
        <v/>
      </c>
      <c r="AC114" s="3" t="inlineStr"/>
      <c r="AD114" s="7">
        <f>'BBB'!AD114+'Bag Staging'!AD114+'Bag Staging Volumetric'!AD114+'FWD FSM'!AD114+'FWD Manual Pre Primary'!AD114+'FWD Manual Primary'!AD114+'FWD Primary with Scan'!AD114+'FWD Secondary'!AD114+'FWD Volumetric'!AD114+'IB'!AD114+'IB Volumetric'!AD114+'OB'!AD114+'OB Volumetric'!AD114+'OSC Bag Sorting'!AD114+'OSC Bag Sorting Volumetric'!AD114+'REV FSM'!AD114+'Rejection Primary with Scan'!AD114+'Rejection Secondary'!AD114+'Rev DC DC Primary Sorting'!AD114+'Rev Primary (FSM Rejections)'!AD114+'Rev Secondary Sorting'!AD114+'VIA Bag Sorting'!AD114</f>
        <v/>
      </c>
      <c r="AE114" s="7">
        <f>'BBB'!AE114+'Bag Staging'!AE114+'Bag Staging Volumetric'!AE114+'FWD FSM'!AE114+'FWD Manual Pre Primary'!AE114+'FWD Manual Primary'!AE114+'FWD Primary with Scan'!AE114+'FWD Secondary'!AE114+'FWD Volumetric'!AE114+'IB'!AE114+'IB Volumetric'!AE114+'OB'!AE114+'OB Volumetric'!AE114+'OSC Bag Sorting'!AE114+'OSC Bag Sorting Volumetric'!AE114+'REV FSM'!AE114+'Rejection Primary with Scan'!AE114+'Rejection Secondary'!AE114+'Rev DC DC Primary Sorting'!AE114+'Rev Primary (FSM Rejections)'!AE114+'Rev Secondary Sorting'!AE114+'VIA Bag Sorting'!AE114</f>
        <v/>
      </c>
      <c r="AF114" s="7">
        <f>'BBB'!AF114+'Bag Staging'!AF114+'Bag Staging Volumetric'!AF114+'FWD FSM'!AF114+'FWD Manual Pre Primary'!AF114+'FWD Manual Primary'!AF114+'FWD Primary with Scan'!AF114+'FWD Secondary'!AF114+'FWD Volumetric'!AF114+'IB'!AF114+'IB Volumetric'!AF114+'OB'!AF114+'OB Volumetric'!AF114+'OSC Bag Sorting'!AF114+'OSC Bag Sorting Volumetric'!AF114+'REV FSM'!AF114+'Rejection Primary with Scan'!AF114+'Rejection Secondary'!AF114+'Rev DC DC Primary Sorting'!AF114+'Rev Primary (FSM Rejections)'!AF114+'Rev Secondary Sorting'!AF114+'VIA Bag Sorting'!AF114</f>
        <v/>
      </c>
      <c r="AG114" s="7">
        <f>'BBB'!AG114+'Bag Staging'!AG114+'Bag Staging Volumetric'!AG114+'FWD FSM'!AG114+'FWD Manual Pre Primary'!AG114+'FWD Manual Primary'!AG114+'FWD Primary with Scan'!AG114+'FWD Secondary'!AG114+'FWD Volumetric'!AG114+'IB'!AG114+'IB Volumetric'!AG114+'OB'!AG114+'OB Volumetric'!AG114+'OSC Bag Sorting'!AG114+'OSC Bag Sorting Volumetric'!AG114+'REV FSM'!AG114+'Rejection Primary with Scan'!AG114+'Rejection Secondary'!AG114+'Rev DC DC Primary Sorting'!AG114+'Rev Primary (FSM Rejections)'!AG114+'Rev Secondary Sorting'!AG114+'VIA Bag Sorting'!AG114</f>
        <v/>
      </c>
      <c r="AH114" s="7">
        <f>'BBB'!AH114+'Bag Staging'!AH114+'Bag Staging Volumetric'!AH114+'FWD FSM'!AH114+'FWD Manual Pre Primary'!AH114+'FWD Manual Primary'!AH114+'FWD Primary with Scan'!AH114+'FWD Secondary'!AH114+'FWD Volumetric'!AH114+'IB'!AH114+'IB Volumetric'!AH114+'OB'!AH114+'OB Volumetric'!AH114+'OSC Bag Sorting'!AH114+'OSC Bag Sorting Volumetric'!AH114+'REV FSM'!AH114+'Rejection Primary with Scan'!AH114+'Rejection Secondary'!AH114+'Rev DC DC Primary Sorting'!AH114+'Rev Primary (FSM Rejections)'!AH114+'Rev Secondary Sorting'!AH114+'VIA Bag Sorting'!AH114</f>
        <v/>
      </c>
      <c r="AI114" s="7">
        <f>'BBB'!AI114+'Bag Staging'!AI114+'Bag Staging Volumetric'!AI114+'FWD FSM'!AI114+'FWD Manual Pre Primary'!AI114+'FWD Manual Primary'!AI114+'FWD Primary with Scan'!AI114+'FWD Secondary'!AI114+'FWD Volumetric'!AI114+'IB'!AI114+'IB Volumetric'!AI114+'OB'!AI114+'OB Volumetric'!AI114+'OSC Bag Sorting'!AI114+'OSC Bag Sorting Volumetric'!AI114+'REV FSM'!AI114+'Rejection Primary with Scan'!AI114+'Rejection Secondary'!AI114+'Rev DC DC Primary Sorting'!AI114+'Rev Primary (FSM Rejections)'!AI114+'Rev Secondary Sorting'!AI114+'VIA Bag Sorting'!AI114</f>
        <v/>
      </c>
      <c r="AJ114" s="7">
        <f>'BBB'!AJ114+'Bag Staging'!AJ114+'Bag Staging Volumetric'!AJ114+'FWD FSM'!AJ114+'FWD Manual Pre Primary'!AJ114+'FWD Manual Primary'!AJ114+'FWD Primary with Scan'!AJ114+'FWD Secondary'!AJ114+'FWD Volumetric'!AJ114+'IB'!AJ114+'IB Volumetric'!AJ114+'OB'!AJ114+'OB Volumetric'!AJ114+'OSC Bag Sorting'!AJ114+'OSC Bag Sorting Volumetric'!AJ114+'REV FSM'!AJ114+'Rejection Primary with Scan'!AJ114+'Rejection Secondary'!AJ114+'Rev DC DC Primary Sorting'!AJ114+'Rev Primary (FSM Rejections)'!AJ114+'Rev Secondary Sorting'!AJ114+'VIA Bag Sorting'!AJ114</f>
        <v/>
      </c>
      <c r="AK114" s="7">
        <f>'BBB'!AK114+'Bag Staging'!AK114+'Bag Staging Volumetric'!AK114+'FWD FSM'!AK114+'FWD Manual Pre Primary'!AK114+'FWD Manual Primary'!AK114+'FWD Primary with Scan'!AK114+'FWD Secondary'!AK114+'FWD Volumetric'!AK114+'IB'!AK114+'IB Volumetric'!AK114+'OB'!AK114+'OB Volumetric'!AK114+'OSC Bag Sorting'!AK114+'OSC Bag Sorting Volumetric'!AK114+'REV FSM'!AK114+'Rejection Primary with Scan'!AK114+'Rejection Secondary'!AK114+'Rev DC DC Primary Sorting'!AK114+'Rev Primary (FSM Rejections)'!AK114+'Rev Secondary Sorting'!AK114+'VIA Bag Sorting'!AK114</f>
        <v/>
      </c>
      <c r="AL114" s="7">
        <f>'BBB'!AL114+'Bag Staging'!AL114+'Bag Staging Volumetric'!AL114+'FWD FSM'!AL114+'FWD Manual Pre Primary'!AL114+'FWD Manual Primary'!AL114+'FWD Primary with Scan'!AL114+'FWD Secondary'!AL114+'FWD Volumetric'!AL114+'IB'!AL114+'IB Volumetric'!AL114+'OB'!AL114+'OB Volumetric'!AL114+'OSC Bag Sorting'!AL114+'OSC Bag Sorting Volumetric'!AL114+'REV FSM'!AL114+'Rejection Primary with Scan'!AL114+'Rejection Secondary'!AL114+'Rev DC DC Primary Sorting'!AL114+'Rev Primary (FSM Rejections)'!AL114+'Rev Secondary Sorting'!AL114+'VIA Bag Sorting'!AL114</f>
        <v/>
      </c>
      <c r="AM114" s="7">
        <f>'BBB'!AM114+'Bag Staging'!AM114+'Bag Staging Volumetric'!AM114+'FWD FSM'!AM114+'FWD Manual Pre Primary'!AM114+'FWD Manual Primary'!AM114+'FWD Primary with Scan'!AM114+'FWD Secondary'!AM114+'FWD Volumetric'!AM114+'IB'!AM114+'IB Volumetric'!AM114+'OB'!AM114+'OB Volumetric'!AM114+'OSC Bag Sorting'!AM114+'OSC Bag Sorting Volumetric'!AM114+'REV FSM'!AM114+'Rejection Primary with Scan'!AM114+'Rejection Secondary'!AM114+'Rev DC DC Primary Sorting'!AM114+'Rev Primary (FSM Rejections)'!AM114+'Rev Secondary Sorting'!AM114+'VIA Bag Sorting'!AM114</f>
        <v/>
      </c>
      <c r="AN114" s="7">
        <f>'BBB'!AN114+'Bag Staging'!AN114+'Bag Staging Volumetric'!AN114+'FWD FSM'!AN114+'FWD Manual Pre Primary'!AN114+'FWD Manual Primary'!AN114+'FWD Primary with Scan'!AN114+'FWD Secondary'!AN114+'FWD Volumetric'!AN114+'IB'!AN114+'IB Volumetric'!AN114+'OB'!AN114+'OB Volumetric'!AN114+'OSC Bag Sorting'!AN114+'OSC Bag Sorting Volumetric'!AN114+'REV FSM'!AN114+'Rejection Primary with Scan'!AN114+'Rejection Secondary'!AN114+'Rev DC DC Primary Sorting'!AN114+'Rev Primary (FSM Rejections)'!AN114+'Rev Secondary Sorting'!AN114+'VIA Bag Sorting'!AN114</f>
        <v/>
      </c>
      <c r="AO114" s="7">
        <f>'BBB'!AO114+'Bag Staging'!AO114+'Bag Staging Volumetric'!AO114+'FWD FSM'!AO114+'FWD Manual Pre Primary'!AO114+'FWD Manual Primary'!AO114+'FWD Primary with Scan'!AO114+'FWD Secondary'!AO114+'FWD Volumetric'!AO114+'IB'!AO114+'IB Volumetric'!AO114+'OB'!AO114+'OB Volumetric'!AO114+'OSC Bag Sorting'!AO114+'OSC Bag Sorting Volumetric'!AO114+'REV FSM'!AO114+'Rejection Primary with Scan'!AO114+'Rejection Secondary'!AO114+'Rev DC DC Primary Sorting'!AO114+'Rev Primary (FSM Rejections)'!AO114+'Rev Secondary Sorting'!AO114+'VIA Bag Sorting'!AO114</f>
        <v/>
      </c>
      <c r="AP114" s="7">
        <f>'BBB'!AP114+'Bag Staging'!AP114+'Bag Staging Volumetric'!AP114+'FWD FSM'!AP114+'FWD Manual Pre Primary'!AP114+'FWD Manual Primary'!AP114+'FWD Primary with Scan'!AP114+'FWD Secondary'!AP114+'FWD Volumetric'!AP114+'IB'!AP114+'IB Volumetric'!AP114+'OB'!AP114+'OB Volumetric'!AP114+'OSC Bag Sorting'!AP114+'OSC Bag Sorting Volumetric'!AP114+'REV FSM'!AP114+'Rejection Primary with Scan'!AP114+'Rejection Secondary'!AP114+'Rev DC DC Primary Sorting'!AP114+'Rev Primary (FSM Rejections)'!AP114+'Rev Secondary Sorting'!AP114+'VIA Bag Sorting'!AP114</f>
        <v/>
      </c>
      <c r="AQ114" s="7">
        <f>'BBB'!AQ114+'Bag Staging'!AQ114+'Bag Staging Volumetric'!AQ114+'FWD FSM'!AQ114+'FWD Manual Pre Primary'!AQ114+'FWD Manual Primary'!AQ114+'FWD Primary with Scan'!AQ114+'FWD Secondary'!AQ114+'FWD Volumetric'!AQ114+'IB'!AQ114+'IB Volumetric'!AQ114+'OB'!AQ114+'OB Volumetric'!AQ114+'OSC Bag Sorting'!AQ114+'OSC Bag Sorting Volumetric'!AQ114+'REV FSM'!AQ114+'Rejection Primary with Scan'!AQ114+'Rejection Secondary'!AQ114+'Rev DC DC Primary Sorting'!AQ114+'Rev Primary (FSM Rejections)'!AQ114+'Rev Secondary Sorting'!AQ114+'VIA Bag Sorting'!AQ114</f>
        <v/>
      </c>
      <c r="AR114" s="7">
        <f>'BBB'!AR114+'Bag Staging'!AR114+'Bag Staging Volumetric'!AR114+'FWD FSM'!AR114+'FWD Manual Pre Primary'!AR114+'FWD Manual Primary'!AR114+'FWD Primary with Scan'!AR114+'FWD Secondary'!AR114+'FWD Volumetric'!AR114+'IB'!AR114+'IB Volumetric'!AR114+'OB'!AR114+'OB Volumetric'!AR114+'OSC Bag Sorting'!AR114+'OSC Bag Sorting Volumetric'!AR114+'REV FSM'!AR114+'Rejection Primary with Scan'!AR114+'Rejection Secondary'!AR114+'Rev DC DC Primary Sorting'!AR114+'Rev Primary (FSM Rejections)'!AR114+'Rev Secondary Sorting'!AR114+'VIA Bag Sorting'!AR114</f>
        <v/>
      </c>
      <c r="AS114" s="7">
        <f>'BBB'!AS114+'Bag Staging'!AS114+'Bag Staging Volumetric'!AS114+'FWD FSM'!AS114+'FWD Manual Pre Primary'!AS114+'FWD Manual Primary'!AS114+'FWD Primary with Scan'!AS114+'FWD Secondary'!AS114+'FWD Volumetric'!AS114+'IB'!AS114+'IB Volumetric'!AS114+'OB'!AS114+'OB Volumetric'!AS114+'OSC Bag Sorting'!AS114+'OSC Bag Sorting Volumetric'!AS114+'REV FSM'!AS114+'Rejection Primary with Scan'!AS114+'Rejection Secondary'!AS114+'Rev DC DC Primary Sorting'!AS114+'Rev Primary (FSM Rejections)'!AS114+'Rev Secondary Sorting'!AS114+'VIA Bag Sorting'!AS114</f>
        <v/>
      </c>
      <c r="AT114" s="7">
        <f>'BBB'!AT114+'Bag Staging'!AT114+'Bag Staging Volumetric'!AT114+'FWD FSM'!AT114+'FWD Manual Pre Primary'!AT114+'FWD Manual Primary'!AT114+'FWD Primary with Scan'!AT114+'FWD Secondary'!AT114+'FWD Volumetric'!AT114+'IB'!AT114+'IB Volumetric'!AT114+'OB'!AT114+'OB Volumetric'!AT114+'OSC Bag Sorting'!AT114+'OSC Bag Sorting Volumetric'!AT114+'REV FSM'!AT114+'Rejection Primary with Scan'!AT114+'Rejection Secondary'!AT114+'Rev DC DC Primary Sorting'!AT114+'Rev Primary (FSM Rejections)'!AT114+'Rev Secondary Sorting'!AT114+'VIA Bag Sorting'!AT114</f>
        <v/>
      </c>
      <c r="AU114" s="7">
        <f>'BBB'!AU114+'Bag Staging'!AU114+'Bag Staging Volumetric'!AU114+'FWD FSM'!AU114+'FWD Manual Pre Primary'!AU114+'FWD Manual Primary'!AU114+'FWD Primary with Scan'!AU114+'FWD Secondary'!AU114+'FWD Volumetric'!AU114+'IB'!AU114+'IB Volumetric'!AU114+'OB'!AU114+'OB Volumetric'!AU114+'OSC Bag Sorting'!AU114+'OSC Bag Sorting Volumetric'!AU114+'REV FSM'!AU114+'Rejection Primary with Scan'!AU114+'Rejection Secondary'!AU114+'Rev DC DC Primary Sorting'!AU114+'Rev Primary (FSM Rejections)'!AU114+'Rev Secondary Sorting'!AU114+'VIA Bag Sorting'!AU114</f>
        <v/>
      </c>
      <c r="AV114" s="7">
        <f>'BBB'!AV114+'Bag Staging'!AV114+'Bag Staging Volumetric'!AV114+'FWD FSM'!AV114+'FWD Manual Pre Primary'!AV114+'FWD Manual Primary'!AV114+'FWD Primary with Scan'!AV114+'FWD Secondary'!AV114+'FWD Volumetric'!AV114+'IB'!AV114+'IB Volumetric'!AV114+'OB'!AV114+'OB Volumetric'!AV114+'OSC Bag Sorting'!AV114+'OSC Bag Sorting Volumetric'!AV114+'REV FSM'!AV114+'Rejection Primary with Scan'!AV114+'Rejection Secondary'!AV114+'Rev DC DC Primary Sorting'!AV114+'Rev Primary (FSM Rejections)'!AV114+'Rev Secondary Sorting'!AV114+'VIA Bag Sorting'!AV114</f>
        <v/>
      </c>
      <c r="AW114" s="7">
        <f>'BBB'!AW114+'Bag Staging'!AW114+'Bag Staging Volumetric'!AW114+'FWD FSM'!AW114+'FWD Manual Pre Primary'!AW114+'FWD Manual Primary'!AW114+'FWD Primary with Scan'!AW114+'FWD Secondary'!AW114+'FWD Volumetric'!AW114+'IB'!AW114+'IB Volumetric'!AW114+'OB'!AW114+'OB Volumetric'!AW114+'OSC Bag Sorting'!AW114+'OSC Bag Sorting Volumetric'!AW114+'REV FSM'!AW114+'Rejection Primary with Scan'!AW114+'Rejection Secondary'!AW114+'Rev DC DC Primary Sorting'!AW114+'Rev Primary (FSM Rejections)'!AW114+'Rev Secondary Sorting'!AW114+'VIA Bag Sorting'!AW114</f>
        <v/>
      </c>
      <c r="AX114" s="7">
        <f>'BBB'!AX114+'Bag Staging'!AX114+'Bag Staging Volumetric'!AX114+'FWD FSM'!AX114+'FWD Manual Pre Primary'!AX114+'FWD Manual Primary'!AX114+'FWD Primary with Scan'!AX114+'FWD Secondary'!AX114+'FWD Volumetric'!AX114+'IB'!AX114+'IB Volumetric'!AX114+'OB'!AX114+'OB Volumetric'!AX114+'OSC Bag Sorting'!AX114+'OSC Bag Sorting Volumetric'!AX114+'REV FSM'!AX114+'Rejection Primary with Scan'!AX114+'Rejection Secondary'!AX114+'Rev DC DC Primary Sorting'!AX114+'Rev Primary (FSM Rejections)'!AX114+'Rev Secondary Sorting'!AX114+'VIA Bag Sorting'!AX114</f>
        <v/>
      </c>
      <c r="AY114" s="7">
        <f>'BBB'!AY114+'Bag Staging'!AY114+'Bag Staging Volumetric'!AY114+'FWD FSM'!AY114+'FWD Manual Pre Primary'!AY114+'FWD Manual Primary'!AY114+'FWD Primary with Scan'!AY114+'FWD Secondary'!AY114+'FWD Volumetric'!AY114+'IB'!AY114+'IB Volumetric'!AY114+'OB'!AY114+'OB Volumetric'!AY114+'OSC Bag Sorting'!AY114+'OSC Bag Sorting Volumetric'!AY114+'REV FSM'!AY114+'Rejection Primary with Scan'!AY114+'Rejection Secondary'!AY114+'Rev DC DC Primary Sorting'!AY114+'Rev Primary (FSM Rejections)'!AY114+'Rev Secondary Sorting'!AY114+'VIA Bag Sorting'!AY114</f>
        <v/>
      </c>
      <c r="AZ114" s="7">
        <f>'BBB'!AZ114+'Bag Staging'!AZ114+'Bag Staging Volumetric'!AZ114+'FWD FSM'!AZ114+'FWD Manual Pre Primary'!AZ114+'FWD Manual Primary'!AZ114+'FWD Primary with Scan'!AZ114+'FWD Secondary'!AZ114+'FWD Volumetric'!AZ114+'IB'!AZ114+'IB Volumetric'!AZ114+'OB'!AZ114+'OB Volumetric'!AZ114+'OSC Bag Sorting'!AZ114+'OSC Bag Sorting Volumetric'!AZ114+'REV FSM'!AZ114+'Rejection Primary with Scan'!AZ114+'Rejection Secondary'!AZ114+'Rev DC DC Primary Sorting'!AZ114+'Rev Primary (FSM Rejections)'!AZ114+'Rev Secondary Sorting'!AZ114+'VIA Bag Sorting'!AZ114</f>
        <v/>
      </c>
      <c r="BA114" s="7">
        <f>'BBB'!BA114+'Bag Staging'!BA114+'Bag Staging Volumetric'!BA114+'FWD FSM'!BA114+'FWD Manual Pre Primary'!BA114+'FWD Manual Primary'!BA114+'FWD Primary with Scan'!BA114+'FWD Secondary'!BA114+'FWD Volumetric'!BA114+'IB'!BA114+'IB Volumetric'!BA114+'OB'!BA114+'OB Volumetric'!BA114+'OSC Bag Sorting'!BA114+'OSC Bag Sorting Volumetric'!BA114+'REV FSM'!BA114+'Rejection Primary with Scan'!BA114+'Rejection Secondary'!BA114+'Rev DC DC Primary Sorting'!BA114+'Rev Primary (FSM Rejections)'!BA114+'Rev Secondary Sorting'!BA114+'VIA Bag Sorting'!BA114</f>
        <v/>
      </c>
      <c r="BB114" s="7">
        <f>SUM(AD114:BA114)</f>
        <v/>
      </c>
    </row>
    <row r="115">
      <c r="A115" t="inlineStr">
        <is>
          <t>DC-10-1</t>
        </is>
      </c>
      <c r="B115" t="inlineStr">
        <is>
          <t>DSC Manual</t>
        </is>
      </c>
      <c r="C115" s="5" t="n">
        <v>46093</v>
      </c>
      <c r="D115" s="6" t="n">
        <v>1313</v>
      </c>
      <c r="E115" s="6" t="n">
        <v>188</v>
      </c>
      <c r="F115" s="6" t="n">
        <v>762</v>
      </c>
      <c r="G115" s="6" t="n">
        <v>1188</v>
      </c>
      <c r="H115" s="6" t="n">
        <v>755</v>
      </c>
      <c r="I115" s="6" t="n">
        <v>922</v>
      </c>
      <c r="J115" s="6" t="n">
        <v>1018</v>
      </c>
      <c r="K115" s="6" t="n">
        <v>251</v>
      </c>
      <c r="L115" s="6" t="n">
        <v>0</v>
      </c>
      <c r="M115" s="6" t="n">
        <v>0</v>
      </c>
      <c r="N115" s="6" t="n">
        <v>77</v>
      </c>
      <c r="O115" s="6" t="n">
        <v>506</v>
      </c>
      <c r="P115" s="6" t="n">
        <v>0</v>
      </c>
      <c r="Q115" s="6" t="n">
        <v>2</v>
      </c>
      <c r="R115" s="6" t="n">
        <v>4798</v>
      </c>
      <c r="S115" s="6" t="n">
        <v>3881</v>
      </c>
      <c r="T115" s="6" t="n">
        <v>1280</v>
      </c>
      <c r="U115" s="6" t="n">
        <v>2910</v>
      </c>
      <c r="V115" s="6" t="n">
        <v>3033</v>
      </c>
      <c r="W115" s="6" t="n">
        <v>3355</v>
      </c>
      <c r="X115" s="6" t="n">
        <v>3018</v>
      </c>
      <c r="Y115" s="6" t="n">
        <v>3335</v>
      </c>
      <c r="Z115" s="6" t="n">
        <v>137</v>
      </c>
      <c r="AA115" s="6" t="n">
        <v>841</v>
      </c>
      <c r="AB115" s="6">
        <f>SUM(D115:AA115)</f>
        <v/>
      </c>
      <c r="AC115" s="3" t="inlineStr"/>
      <c r="AD115" s="7">
        <f>'BBB'!AD115+'Bag Staging'!AD115+'Bag Staging Volumetric'!AD115+'FWD FSM'!AD115+'FWD Manual Pre Primary'!AD115+'FWD Manual Primary'!AD115+'FWD Primary with Scan'!AD115+'FWD Secondary'!AD115+'FWD Volumetric'!AD115+'IB'!AD115+'IB Volumetric'!AD115+'OB'!AD115+'OB Volumetric'!AD115+'OSC Bag Sorting'!AD115+'OSC Bag Sorting Volumetric'!AD115+'REV FSM'!AD115+'Rejection Primary with Scan'!AD115+'Rejection Secondary'!AD115+'Rev DC DC Primary Sorting'!AD115+'Rev Primary (FSM Rejections)'!AD115+'Rev Secondary Sorting'!AD115+'VIA Bag Sorting'!AD115</f>
        <v/>
      </c>
      <c r="AE115" s="7">
        <f>'BBB'!AE115+'Bag Staging'!AE115+'Bag Staging Volumetric'!AE115+'FWD FSM'!AE115+'FWD Manual Pre Primary'!AE115+'FWD Manual Primary'!AE115+'FWD Primary with Scan'!AE115+'FWD Secondary'!AE115+'FWD Volumetric'!AE115+'IB'!AE115+'IB Volumetric'!AE115+'OB'!AE115+'OB Volumetric'!AE115+'OSC Bag Sorting'!AE115+'OSC Bag Sorting Volumetric'!AE115+'REV FSM'!AE115+'Rejection Primary with Scan'!AE115+'Rejection Secondary'!AE115+'Rev DC DC Primary Sorting'!AE115+'Rev Primary (FSM Rejections)'!AE115+'Rev Secondary Sorting'!AE115+'VIA Bag Sorting'!AE115</f>
        <v/>
      </c>
      <c r="AF115" s="7">
        <f>'BBB'!AF115+'Bag Staging'!AF115+'Bag Staging Volumetric'!AF115+'FWD FSM'!AF115+'FWD Manual Pre Primary'!AF115+'FWD Manual Primary'!AF115+'FWD Primary with Scan'!AF115+'FWD Secondary'!AF115+'FWD Volumetric'!AF115+'IB'!AF115+'IB Volumetric'!AF115+'OB'!AF115+'OB Volumetric'!AF115+'OSC Bag Sorting'!AF115+'OSC Bag Sorting Volumetric'!AF115+'REV FSM'!AF115+'Rejection Primary with Scan'!AF115+'Rejection Secondary'!AF115+'Rev DC DC Primary Sorting'!AF115+'Rev Primary (FSM Rejections)'!AF115+'Rev Secondary Sorting'!AF115+'VIA Bag Sorting'!AF115</f>
        <v/>
      </c>
      <c r="AG115" s="7">
        <f>'BBB'!AG115+'Bag Staging'!AG115+'Bag Staging Volumetric'!AG115+'FWD FSM'!AG115+'FWD Manual Pre Primary'!AG115+'FWD Manual Primary'!AG115+'FWD Primary with Scan'!AG115+'FWD Secondary'!AG115+'FWD Volumetric'!AG115+'IB'!AG115+'IB Volumetric'!AG115+'OB'!AG115+'OB Volumetric'!AG115+'OSC Bag Sorting'!AG115+'OSC Bag Sorting Volumetric'!AG115+'REV FSM'!AG115+'Rejection Primary with Scan'!AG115+'Rejection Secondary'!AG115+'Rev DC DC Primary Sorting'!AG115+'Rev Primary (FSM Rejections)'!AG115+'Rev Secondary Sorting'!AG115+'VIA Bag Sorting'!AG115</f>
        <v/>
      </c>
      <c r="AH115" s="7">
        <f>'BBB'!AH115+'Bag Staging'!AH115+'Bag Staging Volumetric'!AH115+'FWD FSM'!AH115+'FWD Manual Pre Primary'!AH115+'FWD Manual Primary'!AH115+'FWD Primary with Scan'!AH115+'FWD Secondary'!AH115+'FWD Volumetric'!AH115+'IB'!AH115+'IB Volumetric'!AH115+'OB'!AH115+'OB Volumetric'!AH115+'OSC Bag Sorting'!AH115+'OSC Bag Sorting Volumetric'!AH115+'REV FSM'!AH115+'Rejection Primary with Scan'!AH115+'Rejection Secondary'!AH115+'Rev DC DC Primary Sorting'!AH115+'Rev Primary (FSM Rejections)'!AH115+'Rev Secondary Sorting'!AH115+'VIA Bag Sorting'!AH115</f>
        <v/>
      </c>
      <c r="AI115" s="7">
        <f>'BBB'!AI115+'Bag Staging'!AI115+'Bag Staging Volumetric'!AI115+'FWD FSM'!AI115+'FWD Manual Pre Primary'!AI115+'FWD Manual Primary'!AI115+'FWD Primary with Scan'!AI115+'FWD Secondary'!AI115+'FWD Volumetric'!AI115+'IB'!AI115+'IB Volumetric'!AI115+'OB'!AI115+'OB Volumetric'!AI115+'OSC Bag Sorting'!AI115+'OSC Bag Sorting Volumetric'!AI115+'REV FSM'!AI115+'Rejection Primary with Scan'!AI115+'Rejection Secondary'!AI115+'Rev DC DC Primary Sorting'!AI115+'Rev Primary (FSM Rejections)'!AI115+'Rev Secondary Sorting'!AI115+'VIA Bag Sorting'!AI115</f>
        <v/>
      </c>
      <c r="AJ115" s="7">
        <f>'BBB'!AJ115+'Bag Staging'!AJ115+'Bag Staging Volumetric'!AJ115+'FWD FSM'!AJ115+'FWD Manual Pre Primary'!AJ115+'FWD Manual Primary'!AJ115+'FWD Primary with Scan'!AJ115+'FWD Secondary'!AJ115+'FWD Volumetric'!AJ115+'IB'!AJ115+'IB Volumetric'!AJ115+'OB'!AJ115+'OB Volumetric'!AJ115+'OSC Bag Sorting'!AJ115+'OSC Bag Sorting Volumetric'!AJ115+'REV FSM'!AJ115+'Rejection Primary with Scan'!AJ115+'Rejection Secondary'!AJ115+'Rev DC DC Primary Sorting'!AJ115+'Rev Primary (FSM Rejections)'!AJ115+'Rev Secondary Sorting'!AJ115+'VIA Bag Sorting'!AJ115</f>
        <v/>
      </c>
      <c r="AK115" s="7">
        <f>'BBB'!AK115+'Bag Staging'!AK115+'Bag Staging Volumetric'!AK115+'FWD FSM'!AK115+'FWD Manual Pre Primary'!AK115+'FWD Manual Primary'!AK115+'FWD Primary with Scan'!AK115+'FWD Secondary'!AK115+'FWD Volumetric'!AK115+'IB'!AK115+'IB Volumetric'!AK115+'OB'!AK115+'OB Volumetric'!AK115+'OSC Bag Sorting'!AK115+'OSC Bag Sorting Volumetric'!AK115+'REV FSM'!AK115+'Rejection Primary with Scan'!AK115+'Rejection Secondary'!AK115+'Rev DC DC Primary Sorting'!AK115+'Rev Primary (FSM Rejections)'!AK115+'Rev Secondary Sorting'!AK115+'VIA Bag Sorting'!AK115</f>
        <v/>
      </c>
      <c r="AL115" s="7">
        <f>'BBB'!AL115+'Bag Staging'!AL115+'Bag Staging Volumetric'!AL115+'FWD FSM'!AL115+'FWD Manual Pre Primary'!AL115+'FWD Manual Primary'!AL115+'FWD Primary with Scan'!AL115+'FWD Secondary'!AL115+'FWD Volumetric'!AL115+'IB'!AL115+'IB Volumetric'!AL115+'OB'!AL115+'OB Volumetric'!AL115+'OSC Bag Sorting'!AL115+'OSC Bag Sorting Volumetric'!AL115+'REV FSM'!AL115+'Rejection Primary with Scan'!AL115+'Rejection Secondary'!AL115+'Rev DC DC Primary Sorting'!AL115+'Rev Primary (FSM Rejections)'!AL115+'Rev Secondary Sorting'!AL115+'VIA Bag Sorting'!AL115</f>
        <v/>
      </c>
      <c r="AM115" s="7">
        <f>'BBB'!AM115+'Bag Staging'!AM115+'Bag Staging Volumetric'!AM115+'FWD FSM'!AM115+'FWD Manual Pre Primary'!AM115+'FWD Manual Primary'!AM115+'FWD Primary with Scan'!AM115+'FWD Secondary'!AM115+'FWD Volumetric'!AM115+'IB'!AM115+'IB Volumetric'!AM115+'OB'!AM115+'OB Volumetric'!AM115+'OSC Bag Sorting'!AM115+'OSC Bag Sorting Volumetric'!AM115+'REV FSM'!AM115+'Rejection Primary with Scan'!AM115+'Rejection Secondary'!AM115+'Rev DC DC Primary Sorting'!AM115+'Rev Primary (FSM Rejections)'!AM115+'Rev Secondary Sorting'!AM115+'VIA Bag Sorting'!AM115</f>
        <v/>
      </c>
      <c r="AN115" s="7">
        <f>'BBB'!AN115+'Bag Staging'!AN115+'Bag Staging Volumetric'!AN115+'FWD FSM'!AN115+'FWD Manual Pre Primary'!AN115+'FWD Manual Primary'!AN115+'FWD Primary with Scan'!AN115+'FWD Secondary'!AN115+'FWD Volumetric'!AN115+'IB'!AN115+'IB Volumetric'!AN115+'OB'!AN115+'OB Volumetric'!AN115+'OSC Bag Sorting'!AN115+'OSC Bag Sorting Volumetric'!AN115+'REV FSM'!AN115+'Rejection Primary with Scan'!AN115+'Rejection Secondary'!AN115+'Rev DC DC Primary Sorting'!AN115+'Rev Primary (FSM Rejections)'!AN115+'Rev Secondary Sorting'!AN115+'VIA Bag Sorting'!AN115</f>
        <v/>
      </c>
      <c r="AO115" s="7">
        <f>'BBB'!AO115+'Bag Staging'!AO115+'Bag Staging Volumetric'!AO115+'FWD FSM'!AO115+'FWD Manual Pre Primary'!AO115+'FWD Manual Primary'!AO115+'FWD Primary with Scan'!AO115+'FWD Secondary'!AO115+'FWD Volumetric'!AO115+'IB'!AO115+'IB Volumetric'!AO115+'OB'!AO115+'OB Volumetric'!AO115+'OSC Bag Sorting'!AO115+'OSC Bag Sorting Volumetric'!AO115+'REV FSM'!AO115+'Rejection Primary with Scan'!AO115+'Rejection Secondary'!AO115+'Rev DC DC Primary Sorting'!AO115+'Rev Primary (FSM Rejections)'!AO115+'Rev Secondary Sorting'!AO115+'VIA Bag Sorting'!AO115</f>
        <v/>
      </c>
      <c r="AP115" s="7">
        <f>'BBB'!AP115+'Bag Staging'!AP115+'Bag Staging Volumetric'!AP115+'FWD FSM'!AP115+'FWD Manual Pre Primary'!AP115+'FWD Manual Primary'!AP115+'FWD Primary with Scan'!AP115+'FWD Secondary'!AP115+'FWD Volumetric'!AP115+'IB'!AP115+'IB Volumetric'!AP115+'OB'!AP115+'OB Volumetric'!AP115+'OSC Bag Sorting'!AP115+'OSC Bag Sorting Volumetric'!AP115+'REV FSM'!AP115+'Rejection Primary with Scan'!AP115+'Rejection Secondary'!AP115+'Rev DC DC Primary Sorting'!AP115+'Rev Primary (FSM Rejections)'!AP115+'Rev Secondary Sorting'!AP115+'VIA Bag Sorting'!AP115</f>
        <v/>
      </c>
      <c r="AQ115" s="7">
        <f>'BBB'!AQ115+'Bag Staging'!AQ115+'Bag Staging Volumetric'!AQ115+'FWD FSM'!AQ115+'FWD Manual Pre Primary'!AQ115+'FWD Manual Primary'!AQ115+'FWD Primary with Scan'!AQ115+'FWD Secondary'!AQ115+'FWD Volumetric'!AQ115+'IB'!AQ115+'IB Volumetric'!AQ115+'OB'!AQ115+'OB Volumetric'!AQ115+'OSC Bag Sorting'!AQ115+'OSC Bag Sorting Volumetric'!AQ115+'REV FSM'!AQ115+'Rejection Primary with Scan'!AQ115+'Rejection Secondary'!AQ115+'Rev DC DC Primary Sorting'!AQ115+'Rev Primary (FSM Rejections)'!AQ115+'Rev Secondary Sorting'!AQ115+'VIA Bag Sorting'!AQ115</f>
        <v/>
      </c>
      <c r="AR115" s="7">
        <f>'BBB'!AR115+'Bag Staging'!AR115+'Bag Staging Volumetric'!AR115+'FWD FSM'!AR115+'FWD Manual Pre Primary'!AR115+'FWD Manual Primary'!AR115+'FWD Primary with Scan'!AR115+'FWD Secondary'!AR115+'FWD Volumetric'!AR115+'IB'!AR115+'IB Volumetric'!AR115+'OB'!AR115+'OB Volumetric'!AR115+'OSC Bag Sorting'!AR115+'OSC Bag Sorting Volumetric'!AR115+'REV FSM'!AR115+'Rejection Primary with Scan'!AR115+'Rejection Secondary'!AR115+'Rev DC DC Primary Sorting'!AR115+'Rev Primary (FSM Rejections)'!AR115+'Rev Secondary Sorting'!AR115+'VIA Bag Sorting'!AR115</f>
        <v/>
      </c>
      <c r="AS115" s="7">
        <f>'BBB'!AS115+'Bag Staging'!AS115+'Bag Staging Volumetric'!AS115+'FWD FSM'!AS115+'FWD Manual Pre Primary'!AS115+'FWD Manual Primary'!AS115+'FWD Primary with Scan'!AS115+'FWD Secondary'!AS115+'FWD Volumetric'!AS115+'IB'!AS115+'IB Volumetric'!AS115+'OB'!AS115+'OB Volumetric'!AS115+'OSC Bag Sorting'!AS115+'OSC Bag Sorting Volumetric'!AS115+'REV FSM'!AS115+'Rejection Primary with Scan'!AS115+'Rejection Secondary'!AS115+'Rev DC DC Primary Sorting'!AS115+'Rev Primary (FSM Rejections)'!AS115+'Rev Secondary Sorting'!AS115+'VIA Bag Sorting'!AS115</f>
        <v/>
      </c>
      <c r="AT115" s="7">
        <f>'BBB'!AT115+'Bag Staging'!AT115+'Bag Staging Volumetric'!AT115+'FWD FSM'!AT115+'FWD Manual Pre Primary'!AT115+'FWD Manual Primary'!AT115+'FWD Primary with Scan'!AT115+'FWD Secondary'!AT115+'FWD Volumetric'!AT115+'IB'!AT115+'IB Volumetric'!AT115+'OB'!AT115+'OB Volumetric'!AT115+'OSC Bag Sorting'!AT115+'OSC Bag Sorting Volumetric'!AT115+'REV FSM'!AT115+'Rejection Primary with Scan'!AT115+'Rejection Secondary'!AT115+'Rev DC DC Primary Sorting'!AT115+'Rev Primary (FSM Rejections)'!AT115+'Rev Secondary Sorting'!AT115+'VIA Bag Sorting'!AT115</f>
        <v/>
      </c>
      <c r="AU115" s="7">
        <f>'BBB'!AU115+'Bag Staging'!AU115+'Bag Staging Volumetric'!AU115+'FWD FSM'!AU115+'FWD Manual Pre Primary'!AU115+'FWD Manual Primary'!AU115+'FWD Primary with Scan'!AU115+'FWD Secondary'!AU115+'FWD Volumetric'!AU115+'IB'!AU115+'IB Volumetric'!AU115+'OB'!AU115+'OB Volumetric'!AU115+'OSC Bag Sorting'!AU115+'OSC Bag Sorting Volumetric'!AU115+'REV FSM'!AU115+'Rejection Primary with Scan'!AU115+'Rejection Secondary'!AU115+'Rev DC DC Primary Sorting'!AU115+'Rev Primary (FSM Rejections)'!AU115+'Rev Secondary Sorting'!AU115+'VIA Bag Sorting'!AU115</f>
        <v/>
      </c>
      <c r="AV115" s="7">
        <f>'BBB'!AV115+'Bag Staging'!AV115+'Bag Staging Volumetric'!AV115+'FWD FSM'!AV115+'FWD Manual Pre Primary'!AV115+'FWD Manual Primary'!AV115+'FWD Primary with Scan'!AV115+'FWD Secondary'!AV115+'FWD Volumetric'!AV115+'IB'!AV115+'IB Volumetric'!AV115+'OB'!AV115+'OB Volumetric'!AV115+'OSC Bag Sorting'!AV115+'OSC Bag Sorting Volumetric'!AV115+'REV FSM'!AV115+'Rejection Primary with Scan'!AV115+'Rejection Secondary'!AV115+'Rev DC DC Primary Sorting'!AV115+'Rev Primary (FSM Rejections)'!AV115+'Rev Secondary Sorting'!AV115+'VIA Bag Sorting'!AV115</f>
        <v/>
      </c>
      <c r="AW115" s="7">
        <f>'BBB'!AW115+'Bag Staging'!AW115+'Bag Staging Volumetric'!AW115+'FWD FSM'!AW115+'FWD Manual Pre Primary'!AW115+'FWD Manual Primary'!AW115+'FWD Primary with Scan'!AW115+'FWD Secondary'!AW115+'FWD Volumetric'!AW115+'IB'!AW115+'IB Volumetric'!AW115+'OB'!AW115+'OB Volumetric'!AW115+'OSC Bag Sorting'!AW115+'OSC Bag Sorting Volumetric'!AW115+'REV FSM'!AW115+'Rejection Primary with Scan'!AW115+'Rejection Secondary'!AW115+'Rev DC DC Primary Sorting'!AW115+'Rev Primary (FSM Rejections)'!AW115+'Rev Secondary Sorting'!AW115+'VIA Bag Sorting'!AW115</f>
        <v/>
      </c>
      <c r="AX115" s="7">
        <f>'BBB'!AX115+'Bag Staging'!AX115+'Bag Staging Volumetric'!AX115+'FWD FSM'!AX115+'FWD Manual Pre Primary'!AX115+'FWD Manual Primary'!AX115+'FWD Primary with Scan'!AX115+'FWD Secondary'!AX115+'FWD Volumetric'!AX115+'IB'!AX115+'IB Volumetric'!AX115+'OB'!AX115+'OB Volumetric'!AX115+'OSC Bag Sorting'!AX115+'OSC Bag Sorting Volumetric'!AX115+'REV FSM'!AX115+'Rejection Primary with Scan'!AX115+'Rejection Secondary'!AX115+'Rev DC DC Primary Sorting'!AX115+'Rev Primary (FSM Rejections)'!AX115+'Rev Secondary Sorting'!AX115+'VIA Bag Sorting'!AX115</f>
        <v/>
      </c>
      <c r="AY115" s="7">
        <f>'BBB'!AY115+'Bag Staging'!AY115+'Bag Staging Volumetric'!AY115+'FWD FSM'!AY115+'FWD Manual Pre Primary'!AY115+'FWD Manual Primary'!AY115+'FWD Primary with Scan'!AY115+'FWD Secondary'!AY115+'FWD Volumetric'!AY115+'IB'!AY115+'IB Volumetric'!AY115+'OB'!AY115+'OB Volumetric'!AY115+'OSC Bag Sorting'!AY115+'OSC Bag Sorting Volumetric'!AY115+'REV FSM'!AY115+'Rejection Primary with Scan'!AY115+'Rejection Secondary'!AY115+'Rev DC DC Primary Sorting'!AY115+'Rev Primary (FSM Rejections)'!AY115+'Rev Secondary Sorting'!AY115+'VIA Bag Sorting'!AY115</f>
        <v/>
      </c>
      <c r="AZ115" s="7">
        <f>'BBB'!AZ115+'Bag Staging'!AZ115+'Bag Staging Volumetric'!AZ115+'FWD FSM'!AZ115+'FWD Manual Pre Primary'!AZ115+'FWD Manual Primary'!AZ115+'FWD Primary with Scan'!AZ115+'FWD Secondary'!AZ115+'FWD Volumetric'!AZ115+'IB'!AZ115+'IB Volumetric'!AZ115+'OB'!AZ115+'OB Volumetric'!AZ115+'OSC Bag Sorting'!AZ115+'OSC Bag Sorting Volumetric'!AZ115+'REV FSM'!AZ115+'Rejection Primary with Scan'!AZ115+'Rejection Secondary'!AZ115+'Rev DC DC Primary Sorting'!AZ115+'Rev Primary (FSM Rejections)'!AZ115+'Rev Secondary Sorting'!AZ115+'VIA Bag Sorting'!AZ115</f>
        <v/>
      </c>
      <c r="BA115" s="7">
        <f>'BBB'!BA115+'Bag Staging'!BA115+'Bag Staging Volumetric'!BA115+'FWD FSM'!BA115+'FWD Manual Pre Primary'!BA115+'FWD Manual Primary'!BA115+'FWD Primary with Scan'!BA115+'FWD Secondary'!BA115+'FWD Volumetric'!BA115+'IB'!BA115+'IB Volumetric'!BA115+'OB'!BA115+'OB Volumetric'!BA115+'OSC Bag Sorting'!BA115+'OSC Bag Sorting Volumetric'!BA115+'REV FSM'!BA115+'Rejection Primary with Scan'!BA115+'Rejection Secondary'!BA115+'Rev DC DC Primary Sorting'!BA115+'Rev Primary (FSM Rejections)'!BA115+'Rev Secondary Sorting'!BA115+'VIA Bag Sorting'!BA115</f>
        <v/>
      </c>
      <c r="BB115" s="7">
        <f>SUM(AD115:BA115)</f>
        <v/>
      </c>
    </row>
    <row r="116">
      <c r="A116" t="inlineStr">
        <is>
          <t>DC-10-1</t>
        </is>
      </c>
      <c r="B116" t="inlineStr">
        <is>
          <t>DSC Manual</t>
        </is>
      </c>
      <c r="C116" s="5" t="n">
        <v>46094</v>
      </c>
      <c r="D116" s="6" t="n">
        <v>795</v>
      </c>
      <c r="E116" s="6" t="n">
        <v>77</v>
      </c>
      <c r="F116" s="6" t="n">
        <v>514</v>
      </c>
      <c r="G116" s="6" t="n">
        <v>554</v>
      </c>
      <c r="H116" s="6" t="n">
        <v>446</v>
      </c>
      <c r="I116" s="6" t="n">
        <v>491</v>
      </c>
      <c r="J116" s="6" t="n">
        <v>338</v>
      </c>
      <c r="K116" s="6" t="n">
        <v>19</v>
      </c>
      <c r="L116" s="6" t="n">
        <v>436</v>
      </c>
      <c r="M116" s="6" t="n">
        <v>832</v>
      </c>
      <c r="N116" s="6" t="n">
        <v>1198</v>
      </c>
      <c r="O116" s="6" t="n">
        <v>37</v>
      </c>
      <c r="P116" s="6" t="n">
        <v>0</v>
      </c>
      <c r="Q116" s="6" t="n">
        <v>2</v>
      </c>
      <c r="R116" s="6" t="n">
        <v>3532</v>
      </c>
      <c r="S116" s="6" t="n">
        <v>4020</v>
      </c>
      <c r="T116" s="6" t="n">
        <v>1626</v>
      </c>
      <c r="U116" s="6" t="n">
        <v>4284</v>
      </c>
      <c r="V116" s="6" t="n">
        <v>3999</v>
      </c>
      <c r="W116" s="6" t="n">
        <v>5645</v>
      </c>
      <c r="X116" s="6" t="n">
        <v>3636</v>
      </c>
      <c r="Y116" s="6" t="n">
        <v>27</v>
      </c>
      <c r="Z116" s="6" t="n">
        <v>0</v>
      </c>
      <c r="AA116" s="6" t="n">
        <v>162</v>
      </c>
      <c r="AB116" s="6">
        <f>SUM(D116:AA116)</f>
        <v/>
      </c>
      <c r="AC116" s="3" t="inlineStr"/>
      <c r="AD116" s="7">
        <f>'BBB'!AD116+'Bag Staging'!AD116+'Bag Staging Volumetric'!AD116+'FWD FSM'!AD116+'FWD Manual Pre Primary'!AD116+'FWD Manual Primary'!AD116+'FWD Primary with Scan'!AD116+'FWD Secondary'!AD116+'FWD Volumetric'!AD116+'IB'!AD116+'IB Volumetric'!AD116+'OB'!AD116+'OB Volumetric'!AD116+'OSC Bag Sorting'!AD116+'OSC Bag Sorting Volumetric'!AD116+'REV FSM'!AD116+'Rejection Primary with Scan'!AD116+'Rejection Secondary'!AD116+'Rev DC DC Primary Sorting'!AD116+'Rev Primary (FSM Rejections)'!AD116+'Rev Secondary Sorting'!AD116+'VIA Bag Sorting'!AD116</f>
        <v/>
      </c>
      <c r="AE116" s="7">
        <f>'BBB'!AE116+'Bag Staging'!AE116+'Bag Staging Volumetric'!AE116+'FWD FSM'!AE116+'FWD Manual Pre Primary'!AE116+'FWD Manual Primary'!AE116+'FWD Primary with Scan'!AE116+'FWD Secondary'!AE116+'FWD Volumetric'!AE116+'IB'!AE116+'IB Volumetric'!AE116+'OB'!AE116+'OB Volumetric'!AE116+'OSC Bag Sorting'!AE116+'OSC Bag Sorting Volumetric'!AE116+'REV FSM'!AE116+'Rejection Primary with Scan'!AE116+'Rejection Secondary'!AE116+'Rev DC DC Primary Sorting'!AE116+'Rev Primary (FSM Rejections)'!AE116+'Rev Secondary Sorting'!AE116+'VIA Bag Sorting'!AE116</f>
        <v/>
      </c>
      <c r="AF116" s="7">
        <f>'BBB'!AF116+'Bag Staging'!AF116+'Bag Staging Volumetric'!AF116+'FWD FSM'!AF116+'FWD Manual Pre Primary'!AF116+'FWD Manual Primary'!AF116+'FWD Primary with Scan'!AF116+'FWD Secondary'!AF116+'FWD Volumetric'!AF116+'IB'!AF116+'IB Volumetric'!AF116+'OB'!AF116+'OB Volumetric'!AF116+'OSC Bag Sorting'!AF116+'OSC Bag Sorting Volumetric'!AF116+'REV FSM'!AF116+'Rejection Primary with Scan'!AF116+'Rejection Secondary'!AF116+'Rev DC DC Primary Sorting'!AF116+'Rev Primary (FSM Rejections)'!AF116+'Rev Secondary Sorting'!AF116+'VIA Bag Sorting'!AF116</f>
        <v/>
      </c>
      <c r="AG116" s="7">
        <f>'BBB'!AG116+'Bag Staging'!AG116+'Bag Staging Volumetric'!AG116+'FWD FSM'!AG116+'FWD Manual Pre Primary'!AG116+'FWD Manual Primary'!AG116+'FWD Primary with Scan'!AG116+'FWD Secondary'!AG116+'FWD Volumetric'!AG116+'IB'!AG116+'IB Volumetric'!AG116+'OB'!AG116+'OB Volumetric'!AG116+'OSC Bag Sorting'!AG116+'OSC Bag Sorting Volumetric'!AG116+'REV FSM'!AG116+'Rejection Primary with Scan'!AG116+'Rejection Secondary'!AG116+'Rev DC DC Primary Sorting'!AG116+'Rev Primary (FSM Rejections)'!AG116+'Rev Secondary Sorting'!AG116+'VIA Bag Sorting'!AG116</f>
        <v/>
      </c>
      <c r="AH116" s="7">
        <f>'BBB'!AH116+'Bag Staging'!AH116+'Bag Staging Volumetric'!AH116+'FWD FSM'!AH116+'FWD Manual Pre Primary'!AH116+'FWD Manual Primary'!AH116+'FWD Primary with Scan'!AH116+'FWD Secondary'!AH116+'FWD Volumetric'!AH116+'IB'!AH116+'IB Volumetric'!AH116+'OB'!AH116+'OB Volumetric'!AH116+'OSC Bag Sorting'!AH116+'OSC Bag Sorting Volumetric'!AH116+'REV FSM'!AH116+'Rejection Primary with Scan'!AH116+'Rejection Secondary'!AH116+'Rev DC DC Primary Sorting'!AH116+'Rev Primary (FSM Rejections)'!AH116+'Rev Secondary Sorting'!AH116+'VIA Bag Sorting'!AH116</f>
        <v/>
      </c>
      <c r="AI116" s="7">
        <f>'BBB'!AI116+'Bag Staging'!AI116+'Bag Staging Volumetric'!AI116+'FWD FSM'!AI116+'FWD Manual Pre Primary'!AI116+'FWD Manual Primary'!AI116+'FWD Primary with Scan'!AI116+'FWD Secondary'!AI116+'FWD Volumetric'!AI116+'IB'!AI116+'IB Volumetric'!AI116+'OB'!AI116+'OB Volumetric'!AI116+'OSC Bag Sorting'!AI116+'OSC Bag Sorting Volumetric'!AI116+'REV FSM'!AI116+'Rejection Primary with Scan'!AI116+'Rejection Secondary'!AI116+'Rev DC DC Primary Sorting'!AI116+'Rev Primary (FSM Rejections)'!AI116+'Rev Secondary Sorting'!AI116+'VIA Bag Sorting'!AI116</f>
        <v/>
      </c>
      <c r="AJ116" s="7">
        <f>'BBB'!AJ116+'Bag Staging'!AJ116+'Bag Staging Volumetric'!AJ116+'FWD FSM'!AJ116+'FWD Manual Pre Primary'!AJ116+'FWD Manual Primary'!AJ116+'FWD Primary with Scan'!AJ116+'FWD Secondary'!AJ116+'FWD Volumetric'!AJ116+'IB'!AJ116+'IB Volumetric'!AJ116+'OB'!AJ116+'OB Volumetric'!AJ116+'OSC Bag Sorting'!AJ116+'OSC Bag Sorting Volumetric'!AJ116+'REV FSM'!AJ116+'Rejection Primary with Scan'!AJ116+'Rejection Secondary'!AJ116+'Rev DC DC Primary Sorting'!AJ116+'Rev Primary (FSM Rejections)'!AJ116+'Rev Secondary Sorting'!AJ116+'VIA Bag Sorting'!AJ116</f>
        <v/>
      </c>
      <c r="AK116" s="7">
        <f>'BBB'!AK116+'Bag Staging'!AK116+'Bag Staging Volumetric'!AK116+'FWD FSM'!AK116+'FWD Manual Pre Primary'!AK116+'FWD Manual Primary'!AK116+'FWD Primary with Scan'!AK116+'FWD Secondary'!AK116+'FWD Volumetric'!AK116+'IB'!AK116+'IB Volumetric'!AK116+'OB'!AK116+'OB Volumetric'!AK116+'OSC Bag Sorting'!AK116+'OSC Bag Sorting Volumetric'!AK116+'REV FSM'!AK116+'Rejection Primary with Scan'!AK116+'Rejection Secondary'!AK116+'Rev DC DC Primary Sorting'!AK116+'Rev Primary (FSM Rejections)'!AK116+'Rev Secondary Sorting'!AK116+'VIA Bag Sorting'!AK116</f>
        <v/>
      </c>
      <c r="AL116" s="7">
        <f>'BBB'!AL116+'Bag Staging'!AL116+'Bag Staging Volumetric'!AL116+'FWD FSM'!AL116+'FWD Manual Pre Primary'!AL116+'FWD Manual Primary'!AL116+'FWD Primary with Scan'!AL116+'FWD Secondary'!AL116+'FWD Volumetric'!AL116+'IB'!AL116+'IB Volumetric'!AL116+'OB'!AL116+'OB Volumetric'!AL116+'OSC Bag Sorting'!AL116+'OSC Bag Sorting Volumetric'!AL116+'REV FSM'!AL116+'Rejection Primary with Scan'!AL116+'Rejection Secondary'!AL116+'Rev DC DC Primary Sorting'!AL116+'Rev Primary (FSM Rejections)'!AL116+'Rev Secondary Sorting'!AL116+'VIA Bag Sorting'!AL116</f>
        <v/>
      </c>
      <c r="AM116" s="7">
        <f>'BBB'!AM116+'Bag Staging'!AM116+'Bag Staging Volumetric'!AM116+'FWD FSM'!AM116+'FWD Manual Pre Primary'!AM116+'FWD Manual Primary'!AM116+'FWD Primary with Scan'!AM116+'FWD Secondary'!AM116+'FWD Volumetric'!AM116+'IB'!AM116+'IB Volumetric'!AM116+'OB'!AM116+'OB Volumetric'!AM116+'OSC Bag Sorting'!AM116+'OSC Bag Sorting Volumetric'!AM116+'REV FSM'!AM116+'Rejection Primary with Scan'!AM116+'Rejection Secondary'!AM116+'Rev DC DC Primary Sorting'!AM116+'Rev Primary (FSM Rejections)'!AM116+'Rev Secondary Sorting'!AM116+'VIA Bag Sorting'!AM116</f>
        <v/>
      </c>
      <c r="AN116" s="7">
        <f>'BBB'!AN116+'Bag Staging'!AN116+'Bag Staging Volumetric'!AN116+'FWD FSM'!AN116+'FWD Manual Pre Primary'!AN116+'FWD Manual Primary'!AN116+'FWD Primary with Scan'!AN116+'FWD Secondary'!AN116+'FWD Volumetric'!AN116+'IB'!AN116+'IB Volumetric'!AN116+'OB'!AN116+'OB Volumetric'!AN116+'OSC Bag Sorting'!AN116+'OSC Bag Sorting Volumetric'!AN116+'REV FSM'!AN116+'Rejection Primary with Scan'!AN116+'Rejection Secondary'!AN116+'Rev DC DC Primary Sorting'!AN116+'Rev Primary (FSM Rejections)'!AN116+'Rev Secondary Sorting'!AN116+'VIA Bag Sorting'!AN116</f>
        <v/>
      </c>
      <c r="AO116" s="7">
        <f>'BBB'!AO116+'Bag Staging'!AO116+'Bag Staging Volumetric'!AO116+'FWD FSM'!AO116+'FWD Manual Pre Primary'!AO116+'FWD Manual Primary'!AO116+'FWD Primary with Scan'!AO116+'FWD Secondary'!AO116+'FWD Volumetric'!AO116+'IB'!AO116+'IB Volumetric'!AO116+'OB'!AO116+'OB Volumetric'!AO116+'OSC Bag Sorting'!AO116+'OSC Bag Sorting Volumetric'!AO116+'REV FSM'!AO116+'Rejection Primary with Scan'!AO116+'Rejection Secondary'!AO116+'Rev DC DC Primary Sorting'!AO116+'Rev Primary (FSM Rejections)'!AO116+'Rev Secondary Sorting'!AO116+'VIA Bag Sorting'!AO116</f>
        <v/>
      </c>
      <c r="AP116" s="7">
        <f>'BBB'!AP116+'Bag Staging'!AP116+'Bag Staging Volumetric'!AP116+'FWD FSM'!AP116+'FWD Manual Pre Primary'!AP116+'FWD Manual Primary'!AP116+'FWD Primary with Scan'!AP116+'FWD Secondary'!AP116+'FWD Volumetric'!AP116+'IB'!AP116+'IB Volumetric'!AP116+'OB'!AP116+'OB Volumetric'!AP116+'OSC Bag Sorting'!AP116+'OSC Bag Sorting Volumetric'!AP116+'REV FSM'!AP116+'Rejection Primary with Scan'!AP116+'Rejection Secondary'!AP116+'Rev DC DC Primary Sorting'!AP116+'Rev Primary (FSM Rejections)'!AP116+'Rev Secondary Sorting'!AP116+'VIA Bag Sorting'!AP116</f>
        <v/>
      </c>
      <c r="AQ116" s="7">
        <f>'BBB'!AQ116+'Bag Staging'!AQ116+'Bag Staging Volumetric'!AQ116+'FWD FSM'!AQ116+'FWD Manual Pre Primary'!AQ116+'FWD Manual Primary'!AQ116+'FWD Primary with Scan'!AQ116+'FWD Secondary'!AQ116+'FWD Volumetric'!AQ116+'IB'!AQ116+'IB Volumetric'!AQ116+'OB'!AQ116+'OB Volumetric'!AQ116+'OSC Bag Sorting'!AQ116+'OSC Bag Sorting Volumetric'!AQ116+'REV FSM'!AQ116+'Rejection Primary with Scan'!AQ116+'Rejection Secondary'!AQ116+'Rev DC DC Primary Sorting'!AQ116+'Rev Primary (FSM Rejections)'!AQ116+'Rev Secondary Sorting'!AQ116+'VIA Bag Sorting'!AQ116</f>
        <v/>
      </c>
      <c r="AR116" s="7">
        <f>'BBB'!AR116+'Bag Staging'!AR116+'Bag Staging Volumetric'!AR116+'FWD FSM'!AR116+'FWD Manual Pre Primary'!AR116+'FWD Manual Primary'!AR116+'FWD Primary with Scan'!AR116+'FWD Secondary'!AR116+'FWD Volumetric'!AR116+'IB'!AR116+'IB Volumetric'!AR116+'OB'!AR116+'OB Volumetric'!AR116+'OSC Bag Sorting'!AR116+'OSC Bag Sorting Volumetric'!AR116+'REV FSM'!AR116+'Rejection Primary with Scan'!AR116+'Rejection Secondary'!AR116+'Rev DC DC Primary Sorting'!AR116+'Rev Primary (FSM Rejections)'!AR116+'Rev Secondary Sorting'!AR116+'VIA Bag Sorting'!AR116</f>
        <v/>
      </c>
      <c r="AS116" s="7">
        <f>'BBB'!AS116+'Bag Staging'!AS116+'Bag Staging Volumetric'!AS116+'FWD FSM'!AS116+'FWD Manual Pre Primary'!AS116+'FWD Manual Primary'!AS116+'FWD Primary with Scan'!AS116+'FWD Secondary'!AS116+'FWD Volumetric'!AS116+'IB'!AS116+'IB Volumetric'!AS116+'OB'!AS116+'OB Volumetric'!AS116+'OSC Bag Sorting'!AS116+'OSC Bag Sorting Volumetric'!AS116+'REV FSM'!AS116+'Rejection Primary with Scan'!AS116+'Rejection Secondary'!AS116+'Rev DC DC Primary Sorting'!AS116+'Rev Primary (FSM Rejections)'!AS116+'Rev Secondary Sorting'!AS116+'VIA Bag Sorting'!AS116</f>
        <v/>
      </c>
      <c r="AT116" s="7">
        <f>'BBB'!AT116+'Bag Staging'!AT116+'Bag Staging Volumetric'!AT116+'FWD FSM'!AT116+'FWD Manual Pre Primary'!AT116+'FWD Manual Primary'!AT116+'FWD Primary with Scan'!AT116+'FWD Secondary'!AT116+'FWD Volumetric'!AT116+'IB'!AT116+'IB Volumetric'!AT116+'OB'!AT116+'OB Volumetric'!AT116+'OSC Bag Sorting'!AT116+'OSC Bag Sorting Volumetric'!AT116+'REV FSM'!AT116+'Rejection Primary with Scan'!AT116+'Rejection Secondary'!AT116+'Rev DC DC Primary Sorting'!AT116+'Rev Primary (FSM Rejections)'!AT116+'Rev Secondary Sorting'!AT116+'VIA Bag Sorting'!AT116</f>
        <v/>
      </c>
      <c r="AU116" s="7">
        <f>'BBB'!AU116+'Bag Staging'!AU116+'Bag Staging Volumetric'!AU116+'FWD FSM'!AU116+'FWD Manual Pre Primary'!AU116+'FWD Manual Primary'!AU116+'FWD Primary with Scan'!AU116+'FWD Secondary'!AU116+'FWD Volumetric'!AU116+'IB'!AU116+'IB Volumetric'!AU116+'OB'!AU116+'OB Volumetric'!AU116+'OSC Bag Sorting'!AU116+'OSC Bag Sorting Volumetric'!AU116+'REV FSM'!AU116+'Rejection Primary with Scan'!AU116+'Rejection Secondary'!AU116+'Rev DC DC Primary Sorting'!AU116+'Rev Primary (FSM Rejections)'!AU116+'Rev Secondary Sorting'!AU116+'VIA Bag Sorting'!AU116</f>
        <v/>
      </c>
      <c r="AV116" s="7">
        <f>'BBB'!AV116+'Bag Staging'!AV116+'Bag Staging Volumetric'!AV116+'FWD FSM'!AV116+'FWD Manual Pre Primary'!AV116+'FWD Manual Primary'!AV116+'FWD Primary with Scan'!AV116+'FWD Secondary'!AV116+'FWD Volumetric'!AV116+'IB'!AV116+'IB Volumetric'!AV116+'OB'!AV116+'OB Volumetric'!AV116+'OSC Bag Sorting'!AV116+'OSC Bag Sorting Volumetric'!AV116+'REV FSM'!AV116+'Rejection Primary with Scan'!AV116+'Rejection Secondary'!AV116+'Rev DC DC Primary Sorting'!AV116+'Rev Primary (FSM Rejections)'!AV116+'Rev Secondary Sorting'!AV116+'VIA Bag Sorting'!AV116</f>
        <v/>
      </c>
      <c r="AW116" s="7">
        <f>'BBB'!AW116+'Bag Staging'!AW116+'Bag Staging Volumetric'!AW116+'FWD FSM'!AW116+'FWD Manual Pre Primary'!AW116+'FWD Manual Primary'!AW116+'FWD Primary with Scan'!AW116+'FWD Secondary'!AW116+'FWD Volumetric'!AW116+'IB'!AW116+'IB Volumetric'!AW116+'OB'!AW116+'OB Volumetric'!AW116+'OSC Bag Sorting'!AW116+'OSC Bag Sorting Volumetric'!AW116+'REV FSM'!AW116+'Rejection Primary with Scan'!AW116+'Rejection Secondary'!AW116+'Rev DC DC Primary Sorting'!AW116+'Rev Primary (FSM Rejections)'!AW116+'Rev Secondary Sorting'!AW116+'VIA Bag Sorting'!AW116</f>
        <v/>
      </c>
      <c r="AX116" s="7">
        <f>'BBB'!AX116+'Bag Staging'!AX116+'Bag Staging Volumetric'!AX116+'FWD FSM'!AX116+'FWD Manual Pre Primary'!AX116+'FWD Manual Primary'!AX116+'FWD Primary with Scan'!AX116+'FWD Secondary'!AX116+'FWD Volumetric'!AX116+'IB'!AX116+'IB Volumetric'!AX116+'OB'!AX116+'OB Volumetric'!AX116+'OSC Bag Sorting'!AX116+'OSC Bag Sorting Volumetric'!AX116+'REV FSM'!AX116+'Rejection Primary with Scan'!AX116+'Rejection Secondary'!AX116+'Rev DC DC Primary Sorting'!AX116+'Rev Primary (FSM Rejections)'!AX116+'Rev Secondary Sorting'!AX116+'VIA Bag Sorting'!AX116</f>
        <v/>
      </c>
      <c r="AY116" s="7">
        <f>'BBB'!AY116+'Bag Staging'!AY116+'Bag Staging Volumetric'!AY116+'FWD FSM'!AY116+'FWD Manual Pre Primary'!AY116+'FWD Manual Primary'!AY116+'FWD Primary with Scan'!AY116+'FWD Secondary'!AY116+'FWD Volumetric'!AY116+'IB'!AY116+'IB Volumetric'!AY116+'OB'!AY116+'OB Volumetric'!AY116+'OSC Bag Sorting'!AY116+'OSC Bag Sorting Volumetric'!AY116+'REV FSM'!AY116+'Rejection Primary with Scan'!AY116+'Rejection Secondary'!AY116+'Rev DC DC Primary Sorting'!AY116+'Rev Primary (FSM Rejections)'!AY116+'Rev Secondary Sorting'!AY116+'VIA Bag Sorting'!AY116</f>
        <v/>
      </c>
      <c r="AZ116" s="7">
        <f>'BBB'!AZ116+'Bag Staging'!AZ116+'Bag Staging Volumetric'!AZ116+'FWD FSM'!AZ116+'FWD Manual Pre Primary'!AZ116+'FWD Manual Primary'!AZ116+'FWD Primary with Scan'!AZ116+'FWD Secondary'!AZ116+'FWD Volumetric'!AZ116+'IB'!AZ116+'IB Volumetric'!AZ116+'OB'!AZ116+'OB Volumetric'!AZ116+'OSC Bag Sorting'!AZ116+'OSC Bag Sorting Volumetric'!AZ116+'REV FSM'!AZ116+'Rejection Primary with Scan'!AZ116+'Rejection Secondary'!AZ116+'Rev DC DC Primary Sorting'!AZ116+'Rev Primary (FSM Rejections)'!AZ116+'Rev Secondary Sorting'!AZ116+'VIA Bag Sorting'!AZ116</f>
        <v/>
      </c>
      <c r="BA116" s="7">
        <f>'BBB'!BA116+'Bag Staging'!BA116+'Bag Staging Volumetric'!BA116+'FWD FSM'!BA116+'FWD Manual Pre Primary'!BA116+'FWD Manual Primary'!BA116+'FWD Primary with Scan'!BA116+'FWD Secondary'!BA116+'FWD Volumetric'!BA116+'IB'!BA116+'IB Volumetric'!BA116+'OB'!BA116+'OB Volumetric'!BA116+'OSC Bag Sorting'!BA116+'OSC Bag Sorting Volumetric'!BA116+'REV FSM'!BA116+'Rejection Primary with Scan'!BA116+'Rejection Secondary'!BA116+'Rev DC DC Primary Sorting'!BA116+'Rev Primary (FSM Rejections)'!BA116+'Rev Secondary Sorting'!BA116+'VIA Bag Sorting'!BA116</f>
        <v/>
      </c>
      <c r="BB116" s="7">
        <f>SUM(AD116:BA116)</f>
        <v/>
      </c>
    </row>
    <row r="117">
      <c r="A117" t="inlineStr">
        <is>
          <t>DC-10-1</t>
        </is>
      </c>
      <c r="B117" t="inlineStr">
        <is>
          <t>DSC Manual</t>
        </is>
      </c>
      <c r="C117" s="5" t="n">
        <v>46095</v>
      </c>
      <c r="D117" s="6" t="n">
        <v>403</v>
      </c>
      <c r="E117" s="6" t="n">
        <v>31</v>
      </c>
      <c r="F117" s="6" t="n">
        <v>211</v>
      </c>
      <c r="G117" s="6" t="n">
        <v>396</v>
      </c>
      <c r="H117" s="6" t="n">
        <v>395</v>
      </c>
      <c r="I117" s="6" t="n">
        <v>923</v>
      </c>
      <c r="J117" s="6" t="n">
        <v>1007</v>
      </c>
      <c r="K117" s="6" t="n">
        <v>0</v>
      </c>
      <c r="L117" s="6" t="n">
        <v>0</v>
      </c>
      <c r="M117" s="6" t="n">
        <v>1013</v>
      </c>
      <c r="N117" s="6" t="n">
        <v>848</v>
      </c>
      <c r="O117" s="6" t="n">
        <v>593</v>
      </c>
      <c r="P117" s="6" t="n">
        <v>33</v>
      </c>
      <c r="Q117" s="6" t="n">
        <v>20</v>
      </c>
      <c r="R117" s="6" t="n">
        <v>5076</v>
      </c>
      <c r="S117" s="6" t="n">
        <v>4154</v>
      </c>
      <c r="T117" s="6" t="n">
        <v>648</v>
      </c>
      <c r="U117" s="6" t="n">
        <v>4410</v>
      </c>
      <c r="V117" s="6" t="n">
        <v>3402</v>
      </c>
      <c r="W117" s="6" t="n">
        <v>1188</v>
      </c>
      <c r="X117" s="6" t="n">
        <v>95</v>
      </c>
      <c r="Y117" s="6" t="n">
        <v>45</v>
      </c>
      <c r="Z117" s="6" t="n">
        <v>190</v>
      </c>
      <c r="AA117" s="6" t="n">
        <v>1119</v>
      </c>
      <c r="AB117" s="6">
        <f>SUM(D117:AA117)</f>
        <v/>
      </c>
      <c r="AC117" s="3" t="inlineStr"/>
      <c r="AD117" s="7">
        <f>'BBB'!AD117+'Bag Staging'!AD117+'Bag Staging Volumetric'!AD117+'FWD FSM'!AD117+'FWD Manual Pre Primary'!AD117+'FWD Manual Primary'!AD117+'FWD Primary with Scan'!AD117+'FWD Secondary'!AD117+'FWD Volumetric'!AD117+'IB'!AD117+'IB Volumetric'!AD117+'OB'!AD117+'OB Volumetric'!AD117+'OSC Bag Sorting'!AD117+'OSC Bag Sorting Volumetric'!AD117+'REV FSM'!AD117+'Rejection Primary with Scan'!AD117+'Rejection Secondary'!AD117+'Rev DC DC Primary Sorting'!AD117+'Rev Primary (FSM Rejections)'!AD117+'Rev Secondary Sorting'!AD117+'VIA Bag Sorting'!AD117</f>
        <v/>
      </c>
      <c r="AE117" s="7">
        <f>'BBB'!AE117+'Bag Staging'!AE117+'Bag Staging Volumetric'!AE117+'FWD FSM'!AE117+'FWD Manual Pre Primary'!AE117+'FWD Manual Primary'!AE117+'FWD Primary with Scan'!AE117+'FWD Secondary'!AE117+'FWD Volumetric'!AE117+'IB'!AE117+'IB Volumetric'!AE117+'OB'!AE117+'OB Volumetric'!AE117+'OSC Bag Sorting'!AE117+'OSC Bag Sorting Volumetric'!AE117+'REV FSM'!AE117+'Rejection Primary with Scan'!AE117+'Rejection Secondary'!AE117+'Rev DC DC Primary Sorting'!AE117+'Rev Primary (FSM Rejections)'!AE117+'Rev Secondary Sorting'!AE117+'VIA Bag Sorting'!AE117</f>
        <v/>
      </c>
      <c r="AF117" s="7">
        <f>'BBB'!AF117+'Bag Staging'!AF117+'Bag Staging Volumetric'!AF117+'FWD FSM'!AF117+'FWD Manual Pre Primary'!AF117+'FWD Manual Primary'!AF117+'FWD Primary with Scan'!AF117+'FWD Secondary'!AF117+'FWD Volumetric'!AF117+'IB'!AF117+'IB Volumetric'!AF117+'OB'!AF117+'OB Volumetric'!AF117+'OSC Bag Sorting'!AF117+'OSC Bag Sorting Volumetric'!AF117+'REV FSM'!AF117+'Rejection Primary with Scan'!AF117+'Rejection Secondary'!AF117+'Rev DC DC Primary Sorting'!AF117+'Rev Primary (FSM Rejections)'!AF117+'Rev Secondary Sorting'!AF117+'VIA Bag Sorting'!AF117</f>
        <v/>
      </c>
      <c r="AG117" s="7">
        <f>'BBB'!AG117+'Bag Staging'!AG117+'Bag Staging Volumetric'!AG117+'FWD FSM'!AG117+'FWD Manual Pre Primary'!AG117+'FWD Manual Primary'!AG117+'FWD Primary with Scan'!AG117+'FWD Secondary'!AG117+'FWD Volumetric'!AG117+'IB'!AG117+'IB Volumetric'!AG117+'OB'!AG117+'OB Volumetric'!AG117+'OSC Bag Sorting'!AG117+'OSC Bag Sorting Volumetric'!AG117+'REV FSM'!AG117+'Rejection Primary with Scan'!AG117+'Rejection Secondary'!AG117+'Rev DC DC Primary Sorting'!AG117+'Rev Primary (FSM Rejections)'!AG117+'Rev Secondary Sorting'!AG117+'VIA Bag Sorting'!AG117</f>
        <v/>
      </c>
      <c r="AH117" s="7">
        <f>'BBB'!AH117+'Bag Staging'!AH117+'Bag Staging Volumetric'!AH117+'FWD FSM'!AH117+'FWD Manual Pre Primary'!AH117+'FWD Manual Primary'!AH117+'FWD Primary with Scan'!AH117+'FWD Secondary'!AH117+'FWD Volumetric'!AH117+'IB'!AH117+'IB Volumetric'!AH117+'OB'!AH117+'OB Volumetric'!AH117+'OSC Bag Sorting'!AH117+'OSC Bag Sorting Volumetric'!AH117+'REV FSM'!AH117+'Rejection Primary with Scan'!AH117+'Rejection Secondary'!AH117+'Rev DC DC Primary Sorting'!AH117+'Rev Primary (FSM Rejections)'!AH117+'Rev Secondary Sorting'!AH117+'VIA Bag Sorting'!AH117</f>
        <v/>
      </c>
      <c r="AI117" s="7">
        <f>'BBB'!AI117+'Bag Staging'!AI117+'Bag Staging Volumetric'!AI117+'FWD FSM'!AI117+'FWD Manual Pre Primary'!AI117+'FWD Manual Primary'!AI117+'FWD Primary with Scan'!AI117+'FWD Secondary'!AI117+'FWD Volumetric'!AI117+'IB'!AI117+'IB Volumetric'!AI117+'OB'!AI117+'OB Volumetric'!AI117+'OSC Bag Sorting'!AI117+'OSC Bag Sorting Volumetric'!AI117+'REV FSM'!AI117+'Rejection Primary with Scan'!AI117+'Rejection Secondary'!AI117+'Rev DC DC Primary Sorting'!AI117+'Rev Primary (FSM Rejections)'!AI117+'Rev Secondary Sorting'!AI117+'VIA Bag Sorting'!AI117</f>
        <v/>
      </c>
      <c r="AJ117" s="7">
        <f>'BBB'!AJ117+'Bag Staging'!AJ117+'Bag Staging Volumetric'!AJ117+'FWD FSM'!AJ117+'FWD Manual Pre Primary'!AJ117+'FWD Manual Primary'!AJ117+'FWD Primary with Scan'!AJ117+'FWD Secondary'!AJ117+'FWD Volumetric'!AJ117+'IB'!AJ117+'IB Volumetric'!AJ117+'OB'!AJ117+'OB Volumetric'!AJ117+'OSC Bag Sorting'!AJ117+'OSC Bag Sorting Volumetric'!AJ117+'REV FSM'!AJ117+'Rejection Primary with Scan'!AJ117+'Rejection Secondary'!AJ117+'Rev DC DC Primary Sorting'!AJ117+'Rev Primary (FSM Rejections)'!AJ117+'Rev Secondary Sorting'!AJ117+'VIA Bag Sorting'!AJ117</f>
        <v/>
      </c>
      <c r="AK117" s="7">
        <f>'BBB'!AK117+'Bag Staging'!AK117+'Bag Staging Volumetric'!AK117+'FWD FSM'!AK117+'FWD Manual Pre Primary'!AK117+'FWD Manual Primary'!AK117+'FWD Primary with Scan'!AK117+'FWD Secondary'!AK117+'FWD Volumetric'!AK117+'IB'!AK117+'IB Volumetric'!AK117+'OB'!AK117+'OB Volumetric'!AK117+'OSC Bag Sorting'!AK117+'OSC Bag Sorting Volumetric'!AK117+'REV FSM'!AK117+'Rejection Primary with Scan'!AK117+'Rejection Secondary'!AK117+'Rev DC DC Primary Sorting'!AK117+'Rev Primary (FSM Rejections)'!AK117+'Rev Secondary Sorting'!AK117+'VIA Bag Sorting'!AK117</f>
        <v/>
      </c>
      <c r="AL117" s="7">
        <f>'BBB'!AL117+'Bag Staging'!AL117+'Bag Staging Volumetric'!AL117+'FWD FSM'!AL117+'FWD Manual Pre Primary'!AL117+'FWD Manual Primary'!AL117+'FWD Primary with Scan'!AL117+'FWD Secondary'!AL117+'FWD Volumetric'!AL117+'IB'!AL117+'IB Volumetric'!AL117+'OB'!AL117+'OB Volumetric'!AL117+'OSC Bag Sorting'!AL117+'OSC Bag Sorting Volumetric'!AL117+'REV FSM'!AL117+'Rejection Primary with Scan'!AL117+'Rejection Secondary'!AL117+'Rev DC DC Primary Sorting'!AL117+'Rev Primary (FSM Rejections)'!AL117+'Rev Secondary Sorting'!AL117+'VIA Bag Sorting'!AL117</f>
        <v/>
      </c>
      <c r="AM117" s="7">
        <f>'BBB'!AM117+'Bag Staging'!AM117+'Bag Staging Volumetric'!AM117+'FWD FSM'!AM117+'FWD Manual Pre Primary'!AM117+'FWD Manual Primary'!AM117+'FWD Primary with Scan'!AM117+'FWD Secondary'!AM117+'FWD Volumetric'!AM117+'IB'!AM117+'IB Volumetric'!AM117+'OB'!AM117+'OB Volumetric'!AM117+'OSC Bag Sorting'!AM117+'OSC Bag Sorting Volumetric'!AM117+'REV FSM'!AM117+'Rejection Primary with Scan'!AM117+'Rejection Secondary'!AM117+'Rev DC DC Primary Sorting'!AM117+'Rev Primary (FSM Rejections)'!AM117+'Rev Secondary Sorting'!AM117+'VIA Bag Sorting'!AM117</f>
        <v/>
      </c>
      <c r="AN117" s="7">
        <f>'BBB'!AN117+'Bag Staging'!AN117+'Bag Staging Volumetric'!AN117+'FWD FSM'!AN117+'FWD Manual Pre Primary'!AN117+'FWD Manual Primary'!AN117+'FWD Primary with Scan'!AN117+'FWD Secondary'!AN117+'FWD Volumetric'!AN117+'IB'!AN117+'IB Volumetric'!AN117+'OB'!AN117+'OB Volumetric'!AN117+'OSC Bag Sorting'!AN117+'OSC Bag Sorting Volumetric'!AN117+'REV FSM'!AN117+'Rejection Primary with Scan'!AN117+'Rejection Secondary'!AN117+'Rev DC DC Primary Sorting'!AN117+'Rev Primary (FSM Rejections)'!AN117+'Rev Secondary Sorting'!AN117+'VIA Bag Sorting'!AN117</f>
        <v/>
      </c>
      <c r="AO117" s="7">
        <f>'BBB'!AO117+'Bag Staging'!AO117+'Bag Staging Volumetric'!AO117+'FWD FSM'!AO117+'FWD Manual Pre Primary'!AO117+'FWD Manual Primary'!AO117+'FWD Primary with Scan'!AO117+'FWD Secondary'!AO117+'FWD Volumetric'!AO117+'IB'!AO117+'IB Volumetric'!AO117+'OB'!AO117+'OB Volumetric'!AO117+'OSC Bag Sorting'!AO117+'OSC Bag Sorting Volumetric'!AO117+'REV FSM'!AO117+'Rejection Primary with Scan'!AO117+'Rejection Secondary'!AO117+'Rev DC DC Primary Sorting'!AO117+'Rev Primary (FSM Rejections)'!AO117+'Rev Secondary Sorting'!AO117+'VIA Bag Sorting'!AO117</f>
        <v/>
      </c>
      <c r="AP117" s="7">
        <f>'BBB'!AP117+'Bag Staging'!AP117+'Bag Staging Volumetric'!AP117+'FWD FSM'!AP117+'FWD Manual Pre Primary'!AP117+'FWD Manual Primary'!AP117+'FWD Primary with Scan'!AP117+'FWD Secondary'!AP117+'FWD Volumetric'!AP117+'IB'!AP117+'IB Volumetric'!AP117+'OB'!AP117+'OB Volumetric'!AP117+'OSC Bag Sorting'!AP117+'OSC Bag Sorting Volumetric'!AP117+'REV FSM'!AP117+'Rejection Primary with Scan'!AP117+'Rejection Secondary'!AP117+'Rev DC DC Primary Sorting'!AP117+'Rev Primary (FSM Rejections)'!AP117+'Rev Secondary Sorting'!AP117+'VIA Bag Sorting'!AP117</f>
        <v/>
      </c>
      <c r="AQ117" s="7">
        <f>'BBB'!AQ117+'Bag Staging'!AQ117+'Bag Staging Volumetric'!AQ117+'FWD FSM'!AQ117+'FWD Manual Pre Primary'!AQ117+'FWD Manual Primary'!AQ117+'FWD Primary with Scan'!AQ117+'FWD Secondary'!AQ117+'FWD Volumetric'!AQ117+'IB'!AQ117+'IB Volumetric'!AQ117+'OB'!AQ117+'OB Volumetric'!AQ117+'OSC Bag Sorting'!AQ117+'OSC Bag Sorting Volumetric'!AQ117+'REV FSM'!AQ117+'Rejection Primary with Scan'!AQ117+'Rejection Secondary'!AQ117+'Rev DC DC Primary Sorting'!AQ117+'Rev Primary (FSM Rejections)'!AQ117+'Rev Secondary Sorting'!AQ117+'VIA Bag Sorting'!AQ117</f>
        <v/>
      </c>
      <c r="AR117" s="7">
        <f>'BBB'!AR117+'Bag Staging'!AR117+'Bag Staging Volumetric'!AR117+'FWD FSM'!AR117+'FWD Manual Pre Primary'!AR117+'FWD Manual Primary'!AR117+'FWD Primary with Scan'!AR117+'FWD Secondary'!AR117+'FWD Volumetric'!AR117+'IB'!AR117+'IB Volumetric'!AR117+'OB'!AR117+'OB Volumetric'!AR117+'OSC Bag Sorting'!AR117+'OSC Bag Sorting Volumetric'!AR117+'REV FSM'!AR117+'Rejection Primary with Scan'!AR117+'Rejection Secondary'!AR117+'Rev DC DC Primary Sorting'!AR117+'Rev Primary (FSM Rejections)'!AR117+'Rev Secondary Sorting'!AR117+'VIA Bag Sorting'!AR117</f>
        <v/>
      </c>
      <c r="AS117" s="7">
        <f>'BBB'!AS117+'Bag Staging'!AS117+'Bag Staging Volumetric'!AS117+'FWD FSM'!AS117+'FWD Manual Pre Primary'!AS117+'FWD Manual Primary'!AS117+'FWD Primary with Scan'!AS117+'FWD Secondary'!AS117+'FWD Volumetric'!AS117+'IB'!AS117+'IB Volumetric'!AS117+'OB'!AS117+'OB Volumetric'!AS117+'OSC Bag Sorting'!AS117+'OSC Bag Sorting Volumetric'!AS117+'REV FSM'!AS117+'Rejection Primary with Scan'!AS117+'Rejection Secondary'!AS117+'Rev DC DC Primary Sorting'!AS117+'Rev Primary (FSM Rejections)'!AS117+'Rev Secondary Sorting'!AS117+'VIA Bag Sorting'!AS117</f>
        <v/>
      </c>
      <c r="AT117" s="7">
        <f>'BBB'!AT117+'Bag Staging'!AT117+'Bag Staging Volumetric'!AT117+'FWD FSM'!AT117+'FWD Manual Pre Primary'!AT117+'FWD Manual Primary'!AT117+'FWD Primary with Scan'!AT117+'FWD Secondary'!AT117+'FWD Volumetric'!AT117+'IB'!AT117+'IB Volumetric'!AT117+'OB'!AT117+'OB Volumetric'!AT117+'OSC Bag Sorting'!AT117+'OSC Bag Sorting Volumetric'!AT117+'REV FSM'!AT117+'Rejection Primary with Scan'!AT117+'Rejection Secondary'!AT117+'Rev DC DC Primary Sorting'!AT117+'Rev Primary (FSM Rejections)'!AT117+'Rev Secondary Sorting'!AT117+'VIA Bag Sorting'!AT117</f>
        <v/>
      </c>
      <c r="AU117" s="7">
        <f>'BBB'!AU117+'Bag Staging'!AU117+'Bag Staging Volumetric'!AU117+'FWD FSM'!AU117+'FWD Manual Pre Primary'!AU117+'FWD Manual Primary'!AU117+'FWD Primary with Scan'!AU117+'FWD Secondary'!AU117+'FWD Volumetric'!AU117+'IB'!AU117+'IB Volumetric'!AU117+'OB'!AU117+'OB Volumetric'!AU117+'OSC Bag Sorting'!AU117+'OSC Bag Sorting Volumetric'!AU117+'REV FSM'!AU117+'Rejection Primary with Scan'!AU117+'Rejection Secondary'!AU117+'Rev DC DC Primary Sorting'!AU117+'Rev Primary (FSM Rejections)'!AU117+'Rev Secondary Sorting'!AU117+'VIA Bag Sorting'!AU117</f>
        <v/>
      </c>
      <c r="AV117" s="7">
        <f>'BBB'!AV117+'Bag Staging'!AV117+'Bag Staging Volumetric'!AV117+'FWD FSM'!AV117+'FWD Manual Pre Primary'!AV117+'FWD Manual Primary'!AV117+'FWD Primary with Scan'!AV117+'FWD Secondary'!AV117+'FWD Volumetric'!AV117+'IB'!AV117+'IB Volumetric'!AV117+'OB'!AV117+'OB Volumetric'!AV117+'OSC Bag Sorting'!AV117+'OSC Bag Sorting Volumetric'!AV117+'REV FSM'!AV117+'Rejection Primary with Scan'!AV117+'Rejection Secondary'!AV117+'Rev DC DC Primary Sorting'!AV117+'Rev Primary (FSM Rejections)'!AV117+'Rev Secondary Sorting'!AV117+'VIA Bag Sorting'!AV117</f>
        <v/>
      </c>
      <c r="AW117" s="7">
        <f>'BBB'!AW117+'Bag Staging'!AW117+'Bag Staging Volumetric'!AW117+'FWD FSM'!AW117+'FWD Manual Pre Primary'!AW117+'FWD Manual Primary'!AW117+'FWD Primary with Scan'!AW117+'FWD Secondary'!AW117+'FWD Volumetric'!AW117+'IB'!AW117+'IB Volumetric'!AW117+'OB'!AW117+'OB Volumetric'!AW117+'OSC Bag Sorting'!AW117+'OSC Bag Sorting Volumetric'!AW117+'REV FSM'!AW117+'Rejection Primary with Scan'!AW117+'Rejection Secondary'!AW117+'Rev DC DC Primary Sorting'!AW117+'Rev Primary (FSM Rejections)'!AW117+'Rev Secondary Sorting'!AW117+'VIA Bag Sorting'!AW117</f>
        <v/>
      </c>
      <c r="AX117" s="7">
        <f>'BBB'!AX117+'Bag Staging'!AX117+'Bag Staging Volumetric'!AX117+'FWD FSM'!AX117+'FWD Manual Pre Primary'!AX117+'FWD Manual Primary'!AX117+'FWD Primary with Scan'!AX117+'FWD Secondary'!AX117+'FWD Volumetric'!AX117+'IB'!AX117+'IB Volumetric'!AX117+'OB'!AX117+'OB Volumetric'!AX117+'OSC Bag Sorting'!AX117+'OSC Bag Sorting Volumetric'!AX117+'REV FSM'!AX117+'Rejection Primary with Scan'!AX117+'Rejection Secondary'!AX117+'Rev DC DC Primary Sorting'!AX117+'Rev Primary (FSM Rejections)'!AX117+'Rev Secondary Sorting'!AX117+'VIA Bag Sorting'!AX117</f>
        <v/>
      </c>
      <c r="AY117" s="7">
        <f>'BBB'!AY117+'Bag Staging'!AY117+'Bag Staging Volumetric'!AY117+'FWD FSM'!AY117+'FWD Manual Pre Primary'!AY117+'FWD Manual Primary'!AY117+'FWD Primary with Scan'!AY117+'FWD Secondary'!AY117+'FWD Volumetric'!AY117+'IB'!AY117+'IB Volumetric'!AY117+'OB'!AY117+'OB Volumetric'!AY117+'OSC Bag Sorting'!AY117+'OSC Bag Sorting Volumetric'!AY117+'REV FSM'!AY117+'Rejection Primary with Scan'!AY117+'Rejection Secondary'!AY117+'Rev DC DC Primary Sorting'!AY117+'Rev Primary (FSM Rejections)'!AY117+'Rev Secondary Sorting'!AY117+'VIA Bag Sorting'!AY117</f>
        <v/>
      </c>
      <c r="AZ117" s="7">
        <f>'BBB'!AZ117+'Bag Staging'!AZ117+'Bag Staging Volumetric'!AZ117+'FWD FSM'!AZ117+'FWD Manual Pre Primary'!AZ117+'FWD Manual Primary'!AZ117+'FWD Primary with Scan'!AZ117+'FWD Secondary'!AZ117+'FWD Volumetric'!AZ117+'IB'!AZ117+'IB Volumetric'!AZ117+'OB'!AZ117+'OB Volumetric'!AZ117+'OSC Bag Sorting'!AZ117+'OSC Bag Sorting Volumetric'!AZ117+'REV FSM'!AZ117+'Rejection Primary with Scan'!AZ117+'Rejection Secondary'!AZ117+'Rev DC DC Primary Sorting'!AZ117+'Rev Primary (FSM Rejections)'!AZ117+'Rev Secondary Sorting'!AZ117+'VIA Bag Sorting'!AZ117</f>
        <v/>
      </c>
      <c r="BA117" s="7">
        <f>'BBB'!BA117+'Bag Staging'!BA117+'Bag Staging Volumetric'!BA117+'FWD FSM'!BA117+'FWD Manual Pre Primary'!BA117+'FWD Manual Primary'!BA117+'FWD Primary with Scan'!BA117+'FWD Secondary'!BA117+'FWD Volumetric'!BA117+'IB'!BA117+'IB Volumetric'!BA117+'OB'!BA117+'OB Volumetric'!BA117+'OSC Bag Sorting'!BA117+'OSC Bag Sorting Volumetric'!BA117+'REV FSM'!BA117+'Rejection Primary with Scan'!BA117+'Rejection Secondary'!BA117+'Rev DC DC Primary Sorting'!BA117+'Rev Primary (FSM Rejections)'!BA117+'Rev Secondary Sorting'!BA117+'VIA Bag Sorting'!BA117</f>
        <v/>
      </c>
      <c r="BB117" s="7">
        <f>SUM(AD117:BA117)</f>
        <v/>
      </c>
    </row>
    <row r="118">
      <c r="A118" t="inlineStr">
        <is>
          <t>DC-10-1</t>
        </is>
      </c>
      <c r="B118" t="inlineStr">
        <is>
          <t>DSC Manual</t>
        </is>
      </c>
      <c r="C118" s="5" t="n">
        <v>46096</v>
      </c>
      <c r="D118" s="6" t="n">
        <v>603</v>
      </c>
      <c r="E118" s="6" t="n">
        <v>317</v>
      </c>
      <c r="F118" s="6" t="n">
        <v>658</v>
      </c>
      <c r="G118" s="6" t="n">
        <v>844</v>
      </c>
      <c r="H118" s="6" t="n">
        <v>473</v>
      </c>
      <c r="I118" s="6" t="n">
        <v>550</v>
      </c>
      <c r="J118" s="6" t="n">
        <v>360</v>
      </c>
      <c r="K118" s="6" t="n">
        <v>69</v>
      </c>
      <c r="L118" s="6" t="n">
        <v>0</v>
      </c>
      <c r="M118" s="6" t="n">
        <v>0</v>
      </c>
      <c r="N118" s="6" t="n">
        <v>0</v>
      </c>
      <c r="O118" s="6" t="n">
        <v>0</v>
      </c>
      <c r="P118" s="6" t="n">
        <v>0</v>
      </c>
      <c r="Q118" s="6" t="n">
        <v>0</v>
      </c>
      <c r="R118" s="6" t="n">
        <v>3978</v>
      </c>
      <c r="S118" s="6" t="n">
        <v>3034</v>
      </c>
      <c r="T118" s="6" t="n">
        <v>1301</v>
      </c>
      <c r="U118" s="6" t="n">
        <v>3570</v>
      </c>
      <c r="V118" s="6" t="n">
        <v>3365</v>
      </c>
      <c r="W118" s="6" t="n">
        <v>4288</v>
      </c>
      <c r="X118" s="6" t="n">
        <v>4940</v>
      </c>
      <c r="Y118" s="6" t="n">
        <v>527</v>
      </c>
      <c r="Z118" s="6" t="n">
        <v>0</v>
      </c>
      <c r="AA118" s="6" t="n">
        <v>283</v>
      </c>
      <c r="AB118" s="6">
        <f>SUM(D118:AA118)</f>
        <v/>
      </c>
      <c r="AC118" s="3" t="inlineStr"/>
      <c r="AD118" s="7">
        <f>'BBB'!AD118+'Bag Staging'!AD118+'Bag Staging Volumetric'!AD118+'FWD FSM'!AD118+'FWD Manual Pre Primary'!AD118+'FWD Manual Primary'!AD118+'FWD Primary with Scan'!AD118+'FWD Secondary'!AD118+'FWD Volumetric'!AD118+'IB'!AD118+'IB Volumetric'!AD118+'OB'!AD118+'OB Volumetric'!AD118+'OSC Bag Sorting'!AD118+'OSC Bag Sorting Volumetric'!AD118+'REV FSM'!AD118+'Rejection Primary with Scan'!AD118+'Rejection Secondary'!AD118+'Rev DC DC Primary Sorting'!AD118+'Rev Primary (FSM Rejections)'!AD118+'Rev Secondary Sorting'!AD118+'VIA Bag Sorting'!AD118</f>
        <v/>
      </c>
      <c r="AE118" s="7">
        <f>'BBB'!AE118+'Bag Staging'!AE118+'Bag Staging Volumetric'!AE118+'FWD FSM'!AE118+'FWD Manual Pre Primary'!AE118+'FWD Manual Primary'!AE118+'FWD Primary with Scan'!AE118+'FWD Secondary'!AE118+'FWD Volumetric'!AE118+'IB'!AE118+'IB Volumetric'!AE118+'OB'!AE118+'OB Volumetric'!AE118+'OSC Bag Sorting'!AE118+'OSC Bag Sorting Volumetric'!AE118+'REV FSM'!AE118+'Rejection Primary with Scan'!AE118+'Rejection Secondary'!AE118+'Rev DC DC Primary Sorting'!AE118+'Rev Primary (FSM Rejections)'!AE118+'Rev Secondary Sorting'!AE118+'VIA Bag Sorting'!AE118</f>
        <v/>
      </c>
      <c r="AF118" s="7">
        <f>'BBB'!AF118+'Bag Staging'!AF118+'Bag Staging Volumetric'!AF118+'FWD FSM'!AF118+'FWD Manual Pre Primary'!AF118+'FWD Manual Primary'!AF118+'FWD Primary with Scan'!AF118+'FWD Secondary'!AF118+'FWD Volumetric'!AF118+'IB'!AF118+'IB Volumetric'!AF118+'OB'!AF118+'OB Volumetric'!AF118+'OSC Bag Sorting'!AF118+'OSC Bag Sorting Volumetric'!AF118+'REV FSM'!AF118+'Rejection Primary with Scan'!AF118+'Rejection Secondary'!AF118+'Rev DC DC Primary Sorting'!AF118+'Rev Primary (FSM Rejections)'!AF118+'Rev Secondary Sorting'!AF118+'VIA Bag Sorting'!AF118</f>
        <v/>
      </c>
      <c r="AG118" s="7">
        <f>'BBB'!AG118+'Bag Staging'!AG118+'Bag Staging Volumetric'!AG118+'FWD FSM'!AG118+'FWD Manual Pre Primary'!AG118+'FWD Manual Primary'!AG118+'FWD Primary with Scan'!AG118+'FWD Secondary'!AG118+'FWD Volumetric'!AG118+'IB'!AG118+'IB Volumetric'!AG118+'OB'!AG118+'OB Volumetric'!AG118+'OSC Bag Sorting'!AG118+'OSC Bag Sorting Volumetric'!AG118+'REV FSM'!AG118+'Rejection Primary with Scan'!AG118+'Rejection Secondary'!AG118+'Rev DC DC Primary Sorting'!AG118+'Rev Primary (FSM Rejections)'!AG118+'Rev Secondary Sorting'!AG118+'VIA Bag Sorting'!AG118</f>
        <v/>
      </c>
      <c r="AH118" s="7">
        <f>'BBB'!AH118+'Bag Staging'!AH118+'Bag Staging Volumetric'!AH118+'FWD FSM'!AH118+'FWD Manual Pre Primary'!AH118+'FWD Manual Primary'!AH118+'FWD Primary with Scan'!AH118+'FWD Secondary'!AH118+'FWD Volumetric'!AH118+'IB'!AH118+'IB Volumetric'!AH118+'OB'!AH118+'OB Volumetric'!AH118+'OSC Bag Sorting'!AH118+'OSC Bag Sorting Volumetric'!AH118+'REV FSM'!AH118+'Rejection Primary with Scan'!AH118+'Rejection Secondary'!AH118+'Rev DC DC Primary Sorting'!AH118+'Rev Primary (FSM Rejections)'!AH118+'Rev Secondary Sorting'!AH118+'VIA Bag Sorting'!AH118</f>
        <v/>
      </c>
      <c r="AI118" s="7">
        <f>'BBB'!AI118+'Bag Staging'!AI118+'Bag Staging Volumetric'!AI118+'FWD FSM'!AI118+'FWD Manual Pre Primary'!AI118+'FWD Manual Primary'!AI118+'FWD Primary with Scan'!AI118+'FWD Secondary'!AI118+'FWD Volumetric'!AI118+'IB'!AI118+'IB Volumetric'!AI118+'OB'!AI118+'OB Volumetric'!AI118+'OSC Bag Sorting'!AI118+'OSC Bag Sorting Volumetric'!AI118+'REV FSM'!AI118+'Rejection Primary with Scan'!AI118+'Rejection Secondary'!AI118+'Rev DC DC Primary Sorting'!AI118+'Rev Primary (FSM Rejections)'!AI118+'Rev Secondary Sorting'!AI118+'VIA Bag Sorting'!AI118</f>
        <v/>
      </c>
      <c r="AJ118" s="7">
        <f>'BBB'!AJ118+'Bag Staging'!AJ118+'Bag Staging Volumetric'!AJ118+'FWD FSM'!AJ118+'FWD Manual Pre Primary'!AJ118+'FWD Manual Primary'!AJ118+'FWD Primary with Scan'!AJ118+'FWD Secondary'!AJ118+'FWD Volumetric'!AJ118+'IB'!AJ118+'IB Volumetric'!AJ118+'OB'!AJ118+'OB Volumetric'!AJ118+'OSC Bag Sorting'!AJ118+'OSC Bag Sorting Volumetric'!AJ118+'REV FSM'!AJ118+'Rejection Primary with Scan'!AJ118+'Rejection Secondary'!AJ118+'Rev DC DC Primary Sorting'!AJ118+'Rev Primary (FSM Rejections)'!AJ118+'Rev Secondary Sorting'!AJ118+'VIA Bag Sorting'!AJ118</f>
        <v/>
      </c>
      <c r="AK118" s="7">
        <f>'BBB'!AK118+'Bag Staging'!AK118+'Bag Staging Volumetric'!AK118+'FWD FSM'!AK118+'FWD Manual Pre Primary'!AK118+'FWD Manual Primary'!AK118+'FWD Primary with Scan'!AK118+'FWD Secondary'!AK118+'FWD Volumetric'!AK118+'IB'!AK118+'IB Volumetric'!AK118+'OB'!AK118+'OB Volumetric'!AK118+'OSC Bag Sorting'!AK118+'OSC Bag Sorting Volumetric'!AK118+'REV FSM'!AK118+'Rejection Primary with Scan'!AK118+'Rejection Secondary'!AK118+'Rev DC DC Primary Sorting'!AK118+'Rev Primary (FSM Rejections)'!AK118+'Rev Secondary Sorting'!AK118+'VIA Bag Sorting'!AK118</f>
        <v/>
      </c>
      <c r="AL118" s="7">
        <f>'BBB'!AL118+'Bag Staging'!AL118+'Bag Staging Volumetric'!AL118+'FWD FSM'!AL118+'FWD Manual Pre Primary'!AL118+'FWD Manual Primary'!AL118+'FWD Primary with Scan'!AL118+'FWD Secondary'!AL118+'FWD Volumetric'!AL118+'IB'!AL118+'IB Volumetric'!AL118+'OB'!AL118+'OB Volumetric'!AL118+'OSC Bag Sorting'!AL118+'OSC Bag Sorting Volumetric'!AL118+'REV FSM'!AL118+'Rejection Primary with Scan'!AL118+'Rejection Secondary'!AL118+'Rev DC DC Primary Sorting'!AL118+'Rev Primary (FSM Rejections)'!AL118+'Rev Secondary Sorting'!AL118+'VIA Bag Sorting'!AL118</f>
        <v/>
      </c>
      <c r="AM118" s="7">
        <f>'BBB'!AM118+'Bag Staging'!AM118+'Bag Staging Volumetric'!AM118+'FWD FSM'!AM118+'FWD Manual Pre Primary'!AM118+'FWD Manual Primary'!AM118+'FWD Primary with Scan'!AM118+'FWD Secondary'!AM118+'FWD Volumetric'!AM118+'IB'!AM118+'IB Volumetric'!AM118+'OB'!AM118+'OB Volumetric'!AM118+'OSC Bag Sorting'!AM118+'OSC Bag Sorting Volumetric'!AM118+'REV FSM'!AM118+'Rejection Primary with Scan'!AM118+'Rejection Secondary'!AM118+'Rev DC DC Primary Sorting'!AM118+'Rev Primary (FSM Rejections)'!AM118+'Rev Secondary Sorting'!AM118+'VIA Bag Sorting'!AM118</f>
        <v/>
      </c>
      <c r="AN118" s="7">
        <f>'BBB'!AN118+'Bag Staging'!AN118+'Bag Staging Volumetric'!AN118+'FWD FSM'!AN118+'FWD Manual Pre Primary'!AN118+'FWD Manual Primary'!AN118+'FWD Primary with Scan'!AN118+'FWD Secondary'!AN118+'FWD Volumetric'!AN118+'IB'!AN118+'IB Volumetric'!AN118+'OB'!AN118+'OB Volumetric'!AN118+'OSC Bag Sorting'!AN118+'OSC Bag Sorting Volumetric'!AN118+'REV FSM'!AN118+'Rejection Primary with Scan'!AN118+'Rejection Secondary'!AN118+'Rev DC DC Primary Sorting'!AN118+'Rev Primary (FSM Rejections)'!AN118+'Rev Secondary Sorting'!AN118+'VIA Bag Sorting'!AN118</f>
        <v/>
      </c>
      <c r="AO118" s="7">
        <f>'BBB'!AO118+'Bag Staging'!AO118+'Bag Staging Volumetric'!AO118+'FWD FSM'!AO118+'FWD Manual Pre Primary'!AO118+'FWD Manual Primary'!AO118+'FWD Primary with Scan'!AO118+'FWD Secondary'!AO118+'FWD Volumetric'!AO118+'IB'!AO118+'IB Volumetric'!AO118+'OB'!AO118+'OB Volumetric'!AO118+'OSC Bag Sorting'!AO118+'OSC Bag Sorting Volumetric'!AO118+'REV FSM'!AO118+'Rejection Primary with Scan'!AO118+'Rejection Secondary'!AO118+'Rev DC DC Primary Sorting'!AO118+'Rev Primary (FSM Rejections)'!AO118+'Rev Secondary Sorting'!AO118+'VIA Bag Sorting'!AO118</f>
        <v/>
      </c>
      <c r="AP118" s="7">
        <f>'BBB'!AP118+'Bag Staging'!AP118+'Bag Staging Volumetric'!AP118+'FWD FSM'!AP118+'FWD Manual Pre Primary'!AP118+'FWD Manual Primary'!AP118+'FWD Primary with Scan'!AP118+'FWD Secondary'!AP118+'FWD Volumetric'!AP118+'IB'!AP118+'IB Volumetric'!AP118+'OB'!AP118+'OB Volumetric'!AP118+'OSC Bag Sorting'!AP118+'OSC Bag Sorting Volumetric'!AP118+'REV FSM'!AP118+'Rejection Primary with Scan'!AP118+'Rejection Secondary'!AP118+'Rev DC DC Primary Sorting'!AP118+'Rev Primary (FSM Rejections)'!AP118+'Rev Secondary Sorting'!AP118+'VIA Bag Sorting'!AP118</f>
        <v/>
      </c>
      <c r="AQ118" s="7">
        <f>'BBB'!AQ118+'Bag Staging'!AQ118+'Bag Staging Volumetric'!AQ118+'FWD FSM'!AQ118+'FWD Manual Pre Primary'!AQ118+'FWD Manual Primary'!AQ118+'FWD Primary with Scan'!AQ118+'FWD Secondary'!AQ118+'FWD Volumetric'!AQ118+'IB'!AQ118+'IB Volumetric'!AQ118+'OB'!AQ118+'OB Volumetric'!AQ118+'OSC Bag Sorting'!AQ118+'OSC Bag Sorting Volumetric'!AQ118+'REV FSM'!AQ118+'Rejection Primary with Scan'!AQ118+'Rejection Secondary'!AQ118+'Rev DC DC Primary Sorting'!AQ118+'Rev Primary (FSM Rejections)'!AQ118+'Rev Secondary Sorting'!AQ118+'VIA Bag Sorting'!AQ118</f>
        <v/>
      </c>
      <c r="AR118" s="7">
        <f>'BBB'!AR118+'Bag Staging'!AR118+'Bag Staging Volumetric'!AR118+'FWD FSM'!AR118+'FWD Manual Pre Primary'!AR118+'FWD Manual Primary'!AR118+'FWD Primary with Scan'!AR118+'FWD Secondary'!AR118+'FWD Volumetric'!AR118+'IB'!AR118+'IB Volumetric'!AR118+'OB'!AR118+'OB Volumetric'!AR118+'OSC Bag Sorting'!AR118+'OSC Bag Sorting Volumetric'!AR118+'REV FSM'!AR118+'Rejection Primary with Scan'!AR118+'Rejection Secondary'!AR118+'Rev DC DC Primary Sorting'!AR118+'Rev Primary (FSM Rejections)'!AR118+'Rev Secondary Sorting'!AR118+'VIA Bag Sorting'!AR118</f>
        <v/>
      </c>
      <c r="AS118" s="7">
        <f>'BBB'!AS118+'Bag Staging'!AS118+'Bag Staging Volumetric'!AS118+'FWD FSM'!AS118+'FWD Manual Pre Primary'!AS118+'FWD Manual Primary'!AS118+'FWD Primary with Scan'!AS118+'FWD Secondary'!AS118+'FWD Volumetric'!AS118+'IB'!AS118+'IB Volumetric'!AS118+'OB'!AS118+'OB Volumetric'!AS118+'OSC Bag Sorting'!AS118+'OSC Bag Sorting Volumetric'!AS118+'REV FSM'!AS118+'Rejection Primary with Scan'!AS118+'Rejection Secondary'!AS118+'Rev DC DC Primary Sorting'!AS118+'Rev Primary (FSM Rejections)'!AS118+'Rev Secondary Sorting'!AS118+'VIA Bag Sorting'!AS118</f>
        <v/>
      </c>
      <c r="AT118" s="7">
        <f>'BBB'!AT118+'Bag Staging'!AT118+'Bag Staging Volumetric'!AT118+'FWD FSM'!AT118+'FWD Manual Pre Primary'!AT118+'FWD Manual Primary'!AT118+'FWD Primary with Scan'!AT118+'FWD Secondary'!AT118+'FWD Volumetric'!AT118+'IB'!AT118+'IB Volumetric'!AT118+'OB'!AT118+'OB Volumetric'!AT118+'OSC Bag Sorting'!AT118+'OSC Bag Sorting Volumetric'!AT118+'REV FSM'!AT118+'Rejection Primary with Scan'!AT118+'Rejection Secondary'!AT118+'Rev DC DC Primary Sorting'!AT118+'Rev Primary (FSM Rejections)'!AT118+'Rev Secondary Sorting'!AT118+'VIA Bag Sorting'!AT118</f>
        <v/>
      </c>
      <c r="AU118" s="7">
        <f>'BBB'!AU118+'Bag Staging'!AU118+'Bag Staging Volumetric'!AU118+'FWD FSM'!AU118+'FWD Manual Pre Primary'!AU118+'FWD Manual Primary'!AU118+'FWD Primary with Scan'!AU118+'FWD Secondary'!AU118+'FWD Volumetric'!AU118+'IB'!AU118+'IB Volumetric'!AU118+'OB'!AU118+'OB Volumetric'!AU118+'OSC Bag Sorting'!AU118+'OSC Bag Sorting Volumetric'!AU118+'REV FSM'!AU118+'Rejection Primary with Scan'!AU118+'Rejection Secondary'!AU118+'Rev DC DC Primary Sorting'!AU118+'Rev Primary (FSM Rejections)'!AU118+'Rev Secondary Sorting'!AU118+'VIA Bag Sorting'!AU118</f>
        <v/>
      </c>
      <c r="AV118" s="7">
        <f>'BBB'!AV118+'Bag Staging'!AV118+'Bag Staging Volumetric'!AV118+'FWD FSM'!AV118+'FWD Manual Pre Primary'!AV118+'FWD Manual Primary'!AV118+'FWD Primary with Scan'!AV118+'FWD Secondary'!AV118+'FWD Volumetric'!AV118+'IB'!AV118+'IB Volumetric'!AV118+'OB'!AV118+'OB Volumetric'!AV118+'OSC Bag Sorting'!AV118+'OSC Bag Sorting Volumetric'!AV118+'REV FSM'!AV118+'Rejection Primary with Scan'!AV118+'Rejection Secondary'!AV118+'Rev DC DC Primary Sorting'!AV118+'Rev Primary (FSM Rejections)'!AV118+'Rev Secondary Sorting'!AV118+'VIA Bag Sorting'!AV118</f>
        <v/>
      </c>
      <c r="AW118" s="7">
        <f>'BBB'!AW118+'Bag Staging'!AW118+'Bag Staging Volumetric'!AW118+'FWD FSM'!AW118+'FWD Manual Pre Primary'!AW118+'FWD Manual Primary'!AW118+'FWD Primary with Scan'!AW118+'FWD Secondary'!AW118+'FWD Volumetric'!AW118+'IB'!AW118+'IB Volumetric'!AW118+'OB'!AW118+'OB Volumetric'!AW118+'OSC Bag Sorting'!AW118+'OSC Bag Sorting Volumetric'!AW118+'REV FSM'!AW118+'Rejection Primary with Scan'!AW118+'Rejection Secondary'!AW118+'Rev DC DC Primary Sorting'!AW118+'Rev Primary (FSM Rejections)'!AW118+'Rev Secondary Sorting'!AW118+'VIA Bag Sorting'!AW118</f>
        <v/>
      </c>
      <c r="AX118" s="7">
        <f>'BBB'!AX118+'Bag Staging'!AX118+'Bag Staging Volumetric'!AX118+'FWD FSM'!AX118+'FWD Manual Pre Primary'!AX118+'FWD Manual Primary'!AX118+'FWD Primary with Scan'!AX118+'FWD Secondary'!AX118+'FWD Volumetric'!AX118+'IB'!AX118+'IB Volumetric'!AX118+'OB'!AX118+'OB Volumetric'!AX118+'OSC Bag Sorting'!AX118+'OSC Bag Sorting Volumetric'!AX118+'REV FSM'!AX118+'Rejection Primary with Scan'!AX118+'Rejection Secondary'!AX118+'Rev DC DC Primary Sorting'!AX118+'Rev Primary (FSM Rejections)'!AX118+'Rev Secondary Sorting'!AX118+'VIA Bag Sorting'!AX118</f>
        <v/>
      </c>
      <c r="AY118" s="7">
        <f>'BBB'!AY118+'Bag Staging'!AY118+'Bag Staging Volumetric'!AY118+'FWD FSM'!AY118+'FWD Manual Pre Primary'!AY118+'FWD Manual Primary'!AY118+'FWD Primary with Scan'!AY118+'FWD Secondary'!AY118+'FWD Volumetric'!AY118+'IB'!AY118+'IB Volumetric'!AY118+'OB'!AY118+'OB Volumetric'!AY118+'OSC Bag Sorting'!AY118+'OSC Bag Sorting Volumetric'!AY118+'REV FSM'!AY118+'Rejection Primary with Scan'!AY118+'Rejection Secondary'!AY118+'Rev DC DC Primary Sorting'!AY118+'Rev Primary (FSM Rejections)'!AY118+'Rev Secondary Sorting'!AY118+'VIA Bag Sorting'!AY118</f>
        <v/>
      </c>
      <c r="AZ118" s="7">
        <f>'BBB'!AZ118+'Bag Staging'!AZ118+'Bag Staging Volumetric'!AZ118+'FWD FSM'!AZ118+'FWD Manual Pre Primary'!AZ118+'FWD Manual Primary'!AZ118+'FWD Primary with Scan'!AZ118+'FWD Secondary'!AZ118+'FWD Volumetric'!AZ118+'IB'!AZ118+'IB Volumetric'!AZ118+'OB'!AZ118+'OB Volumetric'!AZ118+'OSC Bag Sorting'!AZ118+'OSC Bag Sorting Volumetric'!AZ118+'REV FSM'!AZ118+'Rejection Primary with Scan'!AZ118+'Rejection Secondary'!AZ118+'Rev DC DC Primary Sorting'!AZ118+'Rev Primary (FSM Rejections)'!AZ118+'Rev Secondary Sorting'!AZ118+'VIA Bag Sorting'!AZ118</f>
        <v/>
      </c>
      <c r="BA118" s="7">
        <f>'BBB'!BA118+'Bag Staging'!BA118+'Bag Staging Volumetric'!BA118+'FWD FSM'!BA118+'FWD Manual Pre Primary'!BA118+'FWD Manual Primary'!BA118+'FWD Primary with Scan'!BA118+'FWD Secondary'!BA118+'FWD Volumetric'!BA118+'IB'!BA118+'IB Volumetric'!BA118+'OB'!BA118+'OB Volumetric'!BA118+'OSC Bag Sorting'!BA118+'OSC Bag Sorting Volumetric'!BA118+'REV FSM'!BA118+'Rejection Primary with Scan'!BA118+'Rejection Secondary'!BA118+'Rev DC DC Primary Sorting'!BA118+'Rev Primary (FSM Rejections)'!BA118+'Rev Secondary Sorting'!BA118+'VIA Bag Sorting'!BA118</f>
        <v/>
      </c>
      <c r="BB118" s="7">
        <f>SUM(AD118:BA118)</f>
        <v/>
      </c>
    </row>
    <row r="119">
      <c r="A119" t="inlineStr">
        <is>
          <t>DC-10-1</t>
        </is>
      </c>
      <c r="B119" t="inlineStr">
        <is>
          <t>DSC Manual</t>
        </is>
      </c>
      <c r="C119" s="5" t="n">
        <v>46097</v>
      </c>
      <c r="D119" s="6" t="n">
        <v>153</v>
      </c>
      <c r="E119" s="6" t="n">
        <v>93</v>
      </c>
      <c r="F119" s="6" t="n">
        <v>251</v>
      </c>
      <c r="G119" s="6" t="n">
        <v>672</v>
      </c>
      <c r="H119" s="6" t="n">
        <v>467</v>
      </c>
      <c r="I119" s="6" t="n">
        <v>450</v>
      </c>
      <c r="J119" s="6" t="n">
        <v>49</v>
      </c>
      <c r="K119" s="6" t="n">
        <v>0</v>
      </c>
      <c r="L119" s="6" t="n">
        <v>0</v>
      </c>
      <c r="M119" s="6" t="n">
        <v>0</v>
      </c>
      <c r="N119" s="6" t="n">
        <v>0</v>
      </c>
      <c r="O119" s="6" t="n">
        <v>0</v>
      </c>
      <c r="P119" s="6" t="n">
        <v>0</v>
      </c>
      <c r="Q119" s="6" t="n">
        <v>0</v>
      </c>
      <c r="R119" s="6" t="n">
        <v>4515</v>
      </c>
      <c r="S119" s="6" t="n">
        <v>3528</v>
      </c>
      <c r="T119" s="6" t="n">
        <v>963</v>
      </c>
      <c r="U119" s="6" t="n">
        <v>2896</v>
      </c>
      <c r="V119" s="6" t="n">
        <v>3389</v>
      </c>
      <c r="W119" s="6" t="n">
        <v>4059</v>
      </c>
      <c r="X119" s="6" t="n">
        <v>4450</v>
      </c>
      <c r="Y119" s="6" t="n">
        <v>2964</v>
      </c>
      <c r="Z119" s="6" t="n">
        <v>0</v>
      </c>
      <c r="AA119" s="6" t="n">
        <v>0</v>
      </c>
      <c r="AB119" s="6">
        <f>SUM(D119:AA119)</f>
        <v/>
      </c>
      <c r="AC119" s="3" t="inlineStr"/>
      <c r="AD119" s="7">
        <f>'BBB'!AD119+'Bag Staging'!AD119+'Bag Staging Volumetric'!AD119+'FWD FSM'!AD119+'FWD Manual Pre Primary'!AD119+'FWD Manual Primary'!AD119+'FWD Primary with Scan'!AD119+'FWD Secondary'!AD119+'FWD Volumetric'!AD119+'IB'!AD119+'IB Volumetric'!AD119+'OB'!AD119+'OB Volumetric'!AD119+'OSC Bag Sorting'!AD119+'OSC Bag Sorting Volumetric'!AD119+'REV FSM'!AD119+'Rejection Primary with Scan'!AD119+'Rejection Secondary'!AD119+'Rev DC DC Primary Sorting'!AD119+'Rev Primary (FSM Rejections)'!AD119+'Rev Secondary Sorting'!AD119+'VIA Bag Sorting'!AD119</f>
        <v/>
      </c>
      <c r="AE119" s="7">
        <f>'BBB'!AE119+'Bag Staging'!AE119+'Bag Staging Volumetric'!AE119+'FWD FSM'!AE119+'FWD Manual Pre Primary'!AE119+'FWD Manual Primary'!AE119+'FWD Primary with Scan'!AE119+'FWD Secondary'!AE119+'FWD Volumetric'!AE119+'IB'!AE119+'IB Volumetric'!AE119+'OB'!AE119+'OB Volumetric'!AE119+'OSC Bag Sorting'!AE119+'OSC Bag Sorting Volumetric'!AE119+'REV FSM'!AE119+'Rejection Primary with Scan'!AE119+'Rejection Secondary'!AE119+'Rev DC DC Primary Sorting'!AE119+'Rev Primary (FSM Rejections)'!AE119+'Rev Secondary Sorting'!AE119+'VIA Bag Sorting'!AE119</f>
        <v/>
      </c>
      <c r="AF119" s="7">
        <f>'BBB'!AF119+'Bag Staging'!AF119+'Bag Staging Volumetric'!AF119+'FWD FSM'!AF119+'FWD Manual Pre Primary'!AF119+'FWD Manual Primary'!AF119+'FWD Primary with Scan'!AF119+'FWD Secondary'!AF119+'FWD Volumetric'!AF119+'IB'!AF119+'IB Volumetric'!AF119+'OB'!AF119+'OB Volumetric'!AF119+'OSC Bag Sorting'!AF119+'OSC Bag Sorting Volumetric'!AF119+'REV FSM'!AF119+'Rejection Primary with Scan'!AF119+'Rejection Secondary'!AF119+'Rev DC DC Primary Sorting'!AF119+'Rev Primary (FSM Rejections)'!AF119+'Rev Secondary Sorting'!AF119+'VIA Bag Sorting'!AF119</f>
        <v/>
      </c>
      <c r="AG119" s="7">
        <f>'BBB'!AG119+'Bag Staging'!AG119+'Bag Staging Volumetric'!AG119+'FWD FSM'!AG119+'FWD Manual Pre Primary'!AG119+'FWD Manual Primary'!AG119+'FWD Primary with Scan'!AG119+'FWD Secondary'!AG119+'FWD Volumetric'!AG119+'IB'!AG119+'IB Volumetric'!AG119+'OB'!AG119+'OB Volumetric'!AG119+'OSC Bag Sorting'!AG119+'OSC Bag Sorting Volumetric'!AG119+'REV FSM'!AG119+'Rejection Primary with Scan'!AG119+'Rejection Secondary'!AG119+'Rev DC DC Primary Sorting'!AG119+'Rev Primary (FSM Rejections)'!AG119+'Rev Secondary Sorting'!AG119+'VIA Bag Sorting'!AG119</f>
        <v/>
      </c>
      <c r="AH119" s="7">
        <f>'BBB'!AH119+'Bag Staging'!AH119+'Bag Staging Volumetric'!AH119+'FWD FSM'!AH119+'FWD Manual Pre Primary'!AH119+'FWD Manual Primary'!AH119+'FWD Primary with Scan'!AH119+'FWD Secondary'!AH119+'FWD Volumetric'!AH119+'IB'!AH119+'IB Volumetric'!AH119+'OB'!AH119+'OB Volumetric'!AH119+'OSC Bag Sorting'!AH119+'OSC Bag Sorting Volumetric'!AH119+'REV FSM'!AH119+'Rejection Primary with Scan'!AH119+'Rejection Secondary'!AH119+'Rev DC DC Primary Sorting'!AH119+'Rev Primary (FSM Rejections)'!AH119+'Rev Secondary Sorting'!AH119+'VIA Bag Sorting'!AH119</f>
        <v/>
      </c>
      <c r="AI119" s="7">
        <f>'BBB'!AI119+'Bag Staging'!AI119+'Bag Staging Volumetric'!AI119+'FWD FSM'!AI119+'FWD Manual Pre Primary'!AI119+'FWD Manual Primary'!AI119+'FWD Primary with Scan'!AI119+'FWD Secondary'!AI119+'FWD Volumetric'!AI119+'IB'!AI119+'IB Volumetric'!AI119+'OB'!AI119+'OB Volumetric'!AI119+'OSC Bag Sorting'!AI119+'OSC Bag Sorting Volumetric'!AI119+'REV FSM'!AI119+'Rejection Primary with Scan'!AI119+'Rejection Secondary'!AI119+'Rev DC DC Primary Sorting'!AI119+'Rev Primary (FSM Rejections)'!AI119+'Rev Secondary Sorting'!AI119+'VIA Bag Sorting'!AI119</f>
        <v/>
      </c>
      <c r="AJ119" s="7">
        <f>'BBB'!AJ119+'Bag Staging'!AJ119+'Bag Staging Volumetric'!AJ119+'FWD FSM'!AJ119+'FWD Manual Pre Primary'!AJ119+'FWD Manual Primary'!AJ119+'FWD Primary with Scan'!AJ119+'FWD Secondary'!AJ119+'FWD Volumetric'!AJ119+'IB'!AJ119+'IB Volumetric'!AJ119+'OB'!AJ119+'OB Volumetric'!AJ119+'OSC Bag Sorting'!AJ119+'OSC Bag Sorting Volumetric'!AJ119+'REV FSM'!AJ119+'Rejection Primary with Scan'!AJ119+'Rejection Secondary'!AJ119+'Rev DC DC Primary Sorting'!AJ119+'Rev Primary (FSM Rejections)'!AJ119+'Rev Secondary Sorting'!AJ119+'VIA Bag Sorting'!AJ119</f>
        <v/>
      </c>
      <c r="AK119" s="7">
        <f>'BBB'!AK119+'Bag Staging'!AK119+'Bag Staging Volumetric'!AK119+'FWD FSM'!AK119+'FWD Manual Pre Primary'!AK119+'FWD Manual Primary'!AK119+'FWD Primary with Scan'!AK119+'FWD Secondary'!AK119+'FWD Volumetric'!AK119+'IB'!AK119+'IB Volumetric'!AK119+'OB'!AK119+'OB Volumetric'!AK119+'OSC Bag Sorting'!AK119+'OSC Bag Sorting Volumetric'!AK119+'REV FSM'!AK119+'Rejection Primary with Scan'!AK119+'Rejection Secondary'!AK119+'Rev DC DC Primary Sorting'!AK119+'Rev Primary (FSM Rejections)'!AK119+'Rev Secondary Sorting'!AK119+'VIA Bag Sorting'!AK119</f>
        <v/>
      </c>
      <c r="AL119" s="7">
        <f>'BBB'!AL119+'Bag Staging'!AL119+'Bag Staging Volumetric'!AL119+'FWD FSM'!AL119+'FWD Manual Pre Primary'!AL119+'FWD Manual Primary'!AL119+'FWD Primary with Scan'!AL119+'FWD Secondary'!AL119+'FWD Volumetric'!AL119+'IB'!AL119+'IB Volumetric'!AL119+'OB'!AL119+'OB Volumetric'!AL119+'OSC Bag Sorting'!AL119+'OSC Bag Sorting Volumetric'!AL119+'REV FSM'!AL119+'Rejection Primary with Scan'!AL119+'Rejection Secondary'!AL119+'Rev DC DC Primary Sorting'!AL119+'Rev Primary (FSM Rejections)'!AL119+'Rev Secondary Sorting'!AL119+'VIA Bag Sorting'!AL119</f>
        <v/>
      </c>
      <c r="AM119" s="7">
        <f>'BBB'!AM119+'Bag Staging'!AM119+'Bag Staging Volumetric'!AM119+'FWD FSM'!AM119+'FWD Manual Pre Primary'!AM119+'FWD Manual Primary'!AM119+'FWD Primary with Scan'!AM119+'FWD Secondary'!AM119+'FWD Volumetric'!AM119+'IB'!AM119+'IB Volumetric'!AM119+'OB'!AM119+'OB Volumetric'!AM119+'OSC Bag Sorting'!AM119+'OSC Bag Sorting Volumetric'!AM119+'REV FSM'!AM119+'Rejection Primary with Scan'!AM119+'Rejection Secondary'!AM119+'Rev DC DC Primary Sorting'!AM119+'Rev Primary (FSM Rejections)'!AM119+'Rev Secondary Sorting'!AM119+'VIA Bag Sorting'!AM119</f>
        <v/>
      </c>
      <c r="AN119" s="7">
        <f>'BBB'!AN119+'Bag Staging'!AN119+'Bag Staging Volumetric'!AN119+'FWD FSM'!AN119+'FWD Manual Pre Primary'!AN119+'FWD Manual Primary'!AN119+'FWD Primary with Scan'!AN119+'FWD Secondary'!AN119+'FWD Volumetric'!AN119+'IB'!AN119+'IB Volumetric'!AN119+'OB'!AN119+'OB Volumetric'!AN119+'OSC Bag Sorting'!AN119+'OSC Bag Sorting Volumetric'!AN119+'REV FSM'!AN119+'Rejection Primary with Scan'!AN119+'Rejection Secondary'!AN119+'Rev DC DC Primary Sorting'!AN119+'Rev Primary (FSM Rejections)'!AN119+'Rev Secondary Sorting'!AN119+'VIA Bag Sorting'!AN119</f>
        <v/>
      </c>
      <c r="AO119" s="7">
        <f>'BBB'!AO119+'Bag Staging'!AO119+'Bag Staging Volumetric'!AO119+'FWD FSM'!AO119+'FWD Manual Pre Primary'!AO119+'FWD Manual Primary'!AO119+'FWD Primary with Scan'!AO119+'FWD Secondary'!AO119+'FWD Volumetric'!AO119+'IB'!AO119+'IB Volumetric'!AO119+'OB'!AO119+'OB Volumetric'!AO119+'OSC Bag Sorting'!AO119+'OSC Bag Sorting Volumetric'!AO119+'REV FSM'!AO119+'Rejection Primary with Scan'!AO119+'Rejection Secondary'!AO119+'Rev DC DC Primary Sorting'!AO119+'Rev Primary (FSM Rejections)'!AO119+'Rev Secondary Sorting'!AO119+'VIA Bag Sorting'!AO119</f>
        <v/>
      </c>
      <c r="AP119" s="7">
        <f>'BBB'!AP119+'Bag Staging'!AP119+'Bag Staging Volumetric'!AP119+'FWD FSM'!AP119+'FWD Manual Pre Primary'!AP119+'FWD Manual Primary'!AP119+'FWD Primary with Scan'!AP119+'FWD Secondary'!AP119+'FWD Volumetric'!AP119+'IB'!AP119+'IB Volumetric'!AP119+'OB'!AP119+'OB Volumetric'!AP119+'OSC Bag Sorting'!AP119+'OSC Bag Sorting Volumetric'!AP119+'REV FSM'!AP119+'Rejection Primary with Scan'!AP119+'Rejection Secondary'!AP119+'Rev DC DC Primary Sorting'!AP119+'Rev Primary (FSM Rejections)'!AP119+'Rev Secondary Sorting'!AP119+'VIA Bag Sorting'!AP119</f>
        <v/>
      </c>
      <c r="AQ119" s="7">
        <f>'BBB'!AQ119+'Bag Staging'!AQ119+'Bag Staging Volumetric'!AQ119+'FWD FSM'!AQ119+'FWD Manual Pre Primary'!AQ119+'FWD Manual Primary'!AQ119+'FWD Primary with Scan'!AQ119+'FWD Secondary'!AQ119+'FWD Volumetric'!AQ119+'IB'!AQ119+'IB Volumetric'!AQ119+'OB'!AQ119+'OB Volumetric'!AQ119+'OSC Bag Sorting'!AQ119+'OSC Bag Sorting Volumetric'!AQ119+'REV FSM'!AQ119+'Rejection Primary with Scan'!AQ119+'Rejection Secondary'!AQ119+'Rev DC DC Primary Sorting'!AQ119+'Rev Primary (FSM Rejections)'!AQ119+'Rev Secondary Sorting'!AQ119+'VIA Bag Sorting'!AQ119</f>
        <v/>
      </c>
      <c r="AR119" s="7">
        <f>'BBB'!AR119+'Bag Staging'!AR119+'Bag Staging Volumetric'!AR119+'FWD FSM'!AR119+'FWD Manual Pre Primary'!AR119+'FWD Manual Primary'!AR119+'FWD Primary with Scan'!AR119+'FWD Secondary'!AR119+'FWD Volumetric'!AR119+'IB'!AR119+'IB Volumetric'!AR119+'OB'!AR119+'OB Volumetric'!AR119+'OSC Bag Sorting'!AR119+'OSC Bag Sorting Volumetric'!AR119+'REV FSM'!AR119+'Rejection Primary with Scan'!AR119+'Rejection Secondary'!AR119+'Rev DC DC Primary Sorting'!AR119+'Rev Primary (FSM Rejections)'!AR119+'Rev Secondary Sorting'!AR119+'VIA Bag Sorting'!AR119</f>
        <v/>
      </c>
      <c r="AS119" s="7">
        <f>'BBB'!AS119+'Bag Staging'!AS119+'Bag Staging Volumetric'!AS119+'FWD FSM'!AS119+'FWD Manual Pre Primary'!AS119+'FWD Manual Primary'!AS119+'FWD Primary with Scan'!AS119+'FWD Secondary'!AS119+'FWD Volumetric'!AS119+'IB'!AS119+'IB Volumetric'!AS119+'OB'!AS119+'OB Volumetric'!AS119+'OSC Bag Sorting'!AS119+'OSC Bag Sorting Volumetric'!AS119+'REV FSM'!AS119+'Rejection Primary with Scan'!AS119+'Rejection Secondary'!AS119+'Rev DC DC Primary Sorting'!AS119+'Rev Primary (FSM Rejections)'!AS119+'Rev Secondary Sorting'!AS119+'VIA Bag Sorting'!AS119</f>
        <v/>
      </c>
      <c r="AT119" s="7">
        <f>'BBB'!AT119+'Bag Staging'!AT119+'Bag Staging Volumetric'!AT119+'FWD FSM'!AT119+'FWD Manual Pre Primary'!AT119+'FWD Manual Primary'!AT119+'FWD Primary with Scan'!AT119+'FWD Secondary'!AT119+'FWD Volumetric'!AT119+'IB'!AT119+'IB Volumetric'!AT119+'OB'!AT119+'OB Volumetric'!AT119+'OSC Bag Sorting'!AT119+'OSC Bag Sorting Volumetric'!AT119+'REV FSM'!AT119+'Rejection Primary with Scan'!AT119+'Rejection Secondary'!AT119+'Rev DC DC Primary Sorting'!AT119+'Rev Primary (FSM Rejections)'!AT119+'Rev Secondary Sorting'!AT119+'VIA Bag Sorting'!AT119</f>
        <v/>
      </c>
      <c r="AU119" s="7">
        <f>'BBB'!AU119+'Bag Staging'!AU119+'Bag Staging Volumetric'!AU119+'FWD FSM'!AU119+'FWD Manual Pre Primary'!AU119+'FWD Manual Primary'!AU119+'FWD Primary with Scan'!AU119+'FWD Secondary'!AU119+'FWD Volumetric'!AU119+'IB'!AU119+'IB Volumetric'!AU119+'OB'!AU119+'OB Volumetric'!AU119+'OSC Bag Sorting'!AU119+'OSC Bag Sorting Volumetric'!AU119+'REV FSM'!AU119+'Rejection Primary with Scan'!AU119+'Rejection Secondary'!AU119+'Rev DC DC Primary Sorting'!AU119+'Rev Primary (FSM Rejections)'!AU119+'Rev Secondary Sorting'!AU119+'VIA Bag Sorting'!AU119</f>
        <v/>
      </c>
      <c r="AV119" s="7">
        <f>'BBB'!AV119+'Bag Staging'!AV119+'Bag Staging Volumetric'!AV119+'FWD FSM'!AV119+'FWD Manual Pre Primary'!AV119+'FWD Manual Primary'!AV119+'FWD Primary with Scan'!AV119+'FWD Secondary'!AV119+'FWD Volumetric'!AV119+'IB'!AV119+'IB Volumetric'!AV119+'OB'!AV119+'OB Volumetric'!AV119+'OSC Bag Sorting'!AV119+'OSC Bag Sorting Volumetric'!AV119+'REV FSM'!AV119+'Rejection Primary with Scan'!AV119+'Rejection Secondary'!AV119+'Rev DC DC Primary Sorting'!AV119+'Rev Primary (FSM Rejections)'!AV119+'Rev Secondary Sorting'!AV119+'VIA Bag Sorting'!AV119</f>
        <v/>
      </c>
      <c r="AW119" s="7">
        <f>'BBB'!AW119+'Bag Staging'!AW119+'Bag Staging Volumetric'!AW119+'FWD FSM'!AW119+'FWD Manual Pre Primary'!AW119+'FWD Manual Primary'!AW119+'FWD Primary with Scan'!AW119+'FWD Secondary'!AW119+'FWD Volumetric'!AW119+'IB'!AW119+'IB Volumetric'!AW119+'OB'!AW119+'OB Volumetric'!AW119+'OSC Bag Sorting'!AW119+'OSC Bag Sorting Volumetric'!AW119+'REV FSM'!AW119+'Rejection Primary with Scan'!AW119+'Rejection Secondary'!AW119+'Rev DC DC Primary Sorting'!AW119+'Rev Primary (FSM Rejections)'!AW119+'Rev Secondary Sorting'!AW119+'VIA Bag Sorting'!AW119</f>
        <v/>
      </c>
      <c r="AX119" s="7">
        <f>'BBB'!AX119+'Bag Staging'!AX119+'Bag Staging Volumetric'!AX119+'FWD FSM'!AX119+'FWD Manual Pre Primary'!AX119+'FWD Manual Primary'!AX119+'FWD Primary with Scan'!AX119+'FWD Secondary'!AX119+'FWD Volumetric'!AX119+'IB'!AX119+'IB Volumetric'!AX119+'OB'!AX119+'OB Volumetric'!AX119+'OSC Bag Sorting'!AX119+'OSC Bag Sorting Volumetric'!AX119+'REV FSM'!AX119+'Rejection Primary with Scan'!AX119+'Rejection Secondary'!AX119+'Rev DC DC Primary Sorting'!AX119+'Rev Primary (FSM Rejections)'!AX119+'Rev Secondary Sorting'!AX119+'VIA Bag Sorting'!AX119</f>
        <v/>
      </c>
      <c r="AY119" s="7">
        <f>'BBB'!AY119+'Bag Staging'!AY119+'Bag Staging Volumetric'!AY119+'FWD FSM'!AY119+'FWD Manual Pre Primary'!AY119+'FWD Manual Primary'!AY119+'FWD Primary with Scan'!AY119+'FWD Secondary'!AY119+'FWD Volumetric'!AY119+'IB'!AY119+'IB Volumetric'!AY119+'OB'!AY119+'OB Volumetric'!AY119+'OSC Bag Sorting'!AY119+'OSC Bag Sorting Volumetric'!AY119+'REV FSM'!AY119+'Rejection Primary with Scan'!AY119+'Rejection Secondary'!AY119+'Rev DC DC Primary Sorting'!AY119+'Rev Primary (FSM Rejections)'!AY119+'Rev Secondary Sorting'!AY119+'VIA Bag Sorting'!AY119</f>
        <v/>
      </c>
      <c r="AZ119" s="7">
        <f>'BBB'!AZ119+'Bag Staging'!AZ119+'Bag Staging Volumetric'!AZ119+'FWD FSM'!AZ119+'FWD Manual Pre Primary'!AZ119+'FWD Manual Primary'!AZ119+'FWD Primary with Scan'!AZ119+'FWD Secondary'!AZ119+'FWD Volumetric'!AZ119+'IB'!AZ119+'IB Volumetric'!AZ119+'OB'!AZ119+'OB Volumetric'!AZ119+'OSC Bag Sorting'!AZ119+'OSC Bag Sorting Volumetric'!AZ119+'REV FSM'!AZ119+'Rejection Primary with Scan'!AZ119+'Rejection Secondary'!AZ119+'Rev DC DC Primary Sorting'!AZ119+'Rev Primary (FSM Rejections)'!AZ119+'Rev Secondary Sorting'!AZ119+'VIA Bag Sorting'!AZ119</f>
        <v/>
      </c>
      <c r="BA119" s="7">
        <f>'BBB'!BA119+'Bag Staging'!BA119+'Bag Staging Volumetric'!BA119+'FWD FSM'!BA119+'FWD Manual Pre Primary'!BA119+'FWD Manual Primary'!BA119+'FWD Primary with Scan'!BA119+'FWD Secondary'!BA119+'FWD Volumetric'!BA119+'IB'!BA119+'IB Volumetric'!BA119+'OB'!BA119+'OB Volumetric'!BA119+'OSC Bag Sorting'!BA119+'OSC Bag Sorting Volumetric'!BA119+'REV FSM'!BA119+'Rejection Primary with Scan'!BA119+'Rejection Secondary'!BA119+'Rev DC DC Primary Sorting'!BA119+'Rev Primary (FSM Rejections)'!BA119+'Rev Secondary Sorting'!BA119+'VIA Bag Sorting'!BA119</f>
        <v/>
      </c>
      <c r="BB119" s="7">
        <f>SUM(AD119:BA119)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1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Layout</t>
        </is>
      </c>
      <c r="B1" s="1" t="inlineStr">
        <is>
          <t>Layout Type</t>
        </is>
      </c>
      <c r="C1" s="1" t="inlineStr">
        <is>
          <t>Date</t>
        </is>
      </c>
      <c r="D1" s="2" t="inlineStr">
        <is>
          <t>Act Vol 12 AM</t>
        </is>
      </c>
      <c r="E1" s="2" t="inlineStr">
        <is>
          <t>Act Vol 1 AM</t>
        </is>
      </c>
      <c r="F1" s="2" t="inlineStr">
        <is>
          <t>Act Vol 2 AM</t>
        </is>
      </c>
      <c r="G1" s="2" t="inlineStr">
        <is>
          <t>Act Vol 3 AM</t>
        </is>
      </c>
      <c r="H1" s="2" t="inlineStr">
        <is>
          <t>Act Vol 4 AM</t>
        </is>
      </c>
      <c r="I1" s="2" t="inlineStr">
        <is>
          <t>Act Vol 5 AM</t>
        </is>
      </c>
      <c r="J1" s="2" t="inlineStr">
        <is>
          <t>Act Vol 6 AM</t>
        </is>
      </c>
      <c r="K1" s="2" t="inlineStr">
        <is>
          <t>Act Vol 7 AM</t>
        </is>
      </c>
      <c r="L1" s="2" t="inlineStr">
        <is>
          <t>Act Vol 8 AM</t>
        </is>
      </c>
      <c r="M1" s="2" t="inlineStr">
        <is>
          <t>Act Vol 9 AM</t>
        </is>
      </c>
      <c r="N1" s="2" t="inlineStr">
        <is>
          <t>Act Vol 10 AM</t>
        </is>
      </c>
      <c r="O1" s="2" t="inlineStr">
        <is>
          <t>Act Vol 11 AM</t>
        </is>
      </c>
      <c r="P1" s="2" t="inlineStr">
        <is>
          <t>Act Vol 12 PM</t>
        </is>
      </c>
      <c r="Q1" s="2" t="inlineStr">
        <is>
          <t>Act Vol 1 PM</t>
        </is>
      </c>
      <c r="R1" s="2" t="inlineStr">
        <is>
          <t>Act Vol 2 PM</t>
        </is>
      </c>
      <c r="S1" s="2" t="inlineStr">
        <is>
          <t>Act Vol 3 PM</t>
        </is>
      </c>
      <c r="T1" s="2" t="inlineStr">
        <is>
          <t>Act Vol 4 PM</t>
        </is>
      </c>
      <c r="U1" s="2" t="inlineStr">
        <is>
          <t>Act Vol 5 PM</t>
        </is>
      </c>
      <c r="V1" s="2" t="inlineStr">
        <is>
          <t>Act Vol 6 PM</t>
        </is>
      </c>
      <c r="W1" s="2" t="inlineStr">
        <is>
          <t>Act Vol 7 PM</t>
        </is>
      </c>
      <c r="X1" s="2" t="inlineStr">
        <is>
          <t>Act Vol 8 PM</t>
        </is>
      </c>
      <c r="Y1" s="2" t="inlineStr">
        <is>
          <t>Act Vol 9 PM</t>
        </is>
      </c>
      <c r="Z1" s="2" t="inlineStr">
        <is>
          <t>Act Vol 10 PM</t>
        </is>
      </c>
      <c r="AA1" s="2" t="inlineStr">
        <is>
          <t>Act Vol 11 PM</t>
        </is>
      </c>
      <c r="AB1" s="2" t="inlineStr">
        <is>
          <t>Act Vol Total</t>
        </is>
      </c>
      <c r="AC1" s="3" t="inlineStr"/>
      <c r="AD1" s="4" t="inlineStr">
        <is>
          <t>MH 12 AM</t>
        </is>
      </c>
      <c r="AE1" s="4" t="inlineStr">
        <is>
          <t>MH 1 AM</t>
        </is>
      </c>
      <c r="AF1" s="4" t="inlineStr">
        <is>
          <t>MH 2 AM</t>
        </is>
      </c>
      <c r="AG1" s="4" t="inlineStr">
        <is>
          <t>MH 3 AM</t>
        </is>
      </c>
      <c r="AH1" s="4" t="inlineStr">
        <is>
          <t>MH 4 AM</t>
        </is>
      </c>
      <c r="AI1" s="4" t="inlineStr">
        <is>
          <t>MH 5 AM</t>
        </is>
      </c>
      <c r="AJ1" s="4" t="inlineStr">
        <is>
          <t>MH 6 AM</t>
        </is>
      </c>
      <c r="AK1" s="4" t="inlineStr">
        <is>
          <t>MH 7 AM</t>
        </is>
      </c>
      <c r="AL1" s="4" t="inlineStr">
        <is>
          <t>MH 8 AM</t>
        </is>
      </c>
      <c r="AM1" s="4" t="inlineStr">
        <is>
          <t>MH 9 AM</t>
        </is>
      </c>
      <c r="AN1" s="4" t="inlineStr">
        <is>
          <t>MH 10 AM</t>
        </is>
      </c>
      <c r="AO1" s="4" t="inlineStr">
        <is>
          <t>MH 11 AM</t>
        </is>
      </c>
      <c r="AP1" s="4" t="inlineStr">
        <is>
          <t>MH 12 PM</t>
        </is>
      </c>
      <c r="AQ1" s="4" t="inlineStr">
        <is>
          <t>MH 1 PM</t>
        </is>
      </c>
      <c r="AR1" s="4" t="inlineStr">
        <is>
          <t>MH 2 PM</t>
        </is>
      </c>
      <c r="AS1" s="4" t="inlineStr">
        <is>
          <t>MH 3 PM</t>
        </is>
      </c>
      <c r="AT1" s="4" t="inlineStr">
        <is>
          <t>MH 4 PM</t>
        </is>
      </c>
      <c r="AU1" s="4" t="inlineStr">
        <is>
          <t>MH 5 PM</t>
        </is>
      </c>
      <c r="AV1" s="4" t="inlineStr">
        <is>
          <t>MH 6 PM</t>
        </is>
      </c>
      <c r="AW1" s="4" t="inlineStr">
        <is>
          <t>MH 7 PM</t>
        </is>
      </c>
      <c r="AX1" s="4" t="inlineStr">
        <is>
          <t>MH 8 PM</t>
        </is>
      </c>
      <c r="AY1" s="4" t="inlineStr">
        <is>
          <t>MH 9 PM</t>
        </is>
      </c>
      <c r="AZ1" s="4" t="inlineStr">
        <is>
          <t>MH 10 PM</t>
        </is>
      </c>
      <c r="BA1" s="4" t="inlineStr">
        <is>
          <t>MH 11 PM</t>
        </is>
      </c>
      <c r="BB1" s="4" t="inlineStr">
        <is>
          <t>MH Total</t>
        </is>
      </c>
    </row>
    <row r="2">
      <c r="A2" t="inlineStr">
        <is>
          <t>AMD-AIR-NEW-SSC</t>
        </is>
      </c>
      <c r="B2" t="inlineStr">
        <is>
          <t>Forward Regular OSC</t>
        </is>
      </c>
      <c r="C2" s="5" t="n">
        <v>46093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v>0</v>
      </c>
      <c r="N2" s="6" t="n">
        <v>0</v>
      </c>
      <c r="O2" s="6" t="n">
        <v>0</v>
      </c>
      <c r="P2" s="6" t="n">
        <v>0</v>
      </c>
      <c r="Q2" s="6" t="n">
        <v>0</v>
      </c>
      <c r="R2" s="6" t="n">
        <v>0</v>
      </c>
      <c r="S2" s="6" t="n">
        <v>0</v>
      </c>
      <c r="T2" s="6" t="n">
        <v>0</v>
      </c>
      <c r="U2" s="6" t="n">
        <v>0</v>
      </c>
      <c r="V2" s="6" t="n">
        <v>0</v>
      </c>
      <c r="W2" s="6" t="n">
        <v>0</v>
      </c>
      <c r="X2" s="6" t="n">
        <v>0</v>
      </c>
      <c r="Y2" s="6" t="n">
        <v>0</v>
      </c>
      <c r="Z2" s="6" t="n">
        <v>0</v>
      </c>
      <c r="AA2" s="6" t="n">
        <v>0</v>
      </c>
      <c r="AB2" s="6">
        <f>SUM(D2:AA2)</f>
        <v/>
      </c>
      <c r="AC2" s="3" t="inlineStr"/>
      <c r="AD2" s="7" t="n">
        <v>0</v>
      </c>
      <c r="AE2" s="7" t="n">
        <v>0</v>
      </c>
      <c r="AF2" s="7" t="n">
        <v>0</v>
      </c>
      <c r="AG2" s="7" t="n">
        <v>0</v>
      </c>
      <c r="AH2" s="7" t="n">
        <v>0</v>
      </c>
      <c r="AI2" s="7" t="n">
        <v>0</v>
      </c>
      <c r="AJ2" s="7" t="n">
        <v>0</v>
      </c>
      <c r="AK2" s="7" t="n">
        <v>0</v>
      </c>
      <c r="AL2" s="7" t="n">
        <v>0</v>
      </c>
      <c r="AM2" s="7" t="n">
        <v>0</v>
      </c>
      <c r="AN2" s="7" t="n">
        <v>0</v>
      </c>
      <c r="AO2" s="7" t="n">
        <v>0</v>
      </c>
      <c r="AP2" s="7" t="n">
        <v>0</v>
      </c>
      <c r="AQ2" s="7" t="n">
        <v>0</v>
      </c>
      <c r="AR2" s="7" t="n">
        <v>0</v>
      </c>
      <c r="AS2" s="7" t="n">
        <v>0</v>
      </c>
      <c r="AT2" s="7" t="n">
        <v>0</v>
      </c>
      <c r="AU2" s="7" t="n">
        <v>0</v>
      </c>
      <c r="AV2" s="7" t="n">
        <v>0</v>
      </c>
      <c r="AW2" s="7" t="n">
        <v>0</v>
      </c>
      <c r="AX2" s="7" t="n">
        <v>0</v>
      </c>
      <c r="AY2" s="7" t="n">
        <v>0</v>
      </c>
      <c r="AZ2" s="7" t="n">
        <v>0</v>
      </c>
      <c r="BA2" s="7" t="n">
        <v>0</v>
      </c>
      <c r="BB2" s="7">
        <f>SUM(AD2:BA2)</f>
        <v/>
      </c>
    </row>
    <row r="3">
      <c r="A3" t="inlineStr">
        <is>
          <t>AMD-AIR-NEW-SSC</t>
        </is>
      </c>
      <c r="B3" t="inlineStr">
        <is>
          <t>Forward Regular OSC</t>
        </is>
      </c>
      <c r="C3" s="5" t="n">
        <v>46094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>
        <f>SUM(D3:AA3)</f>
        <v/>
      </c>
      <c r="AC3" s="3" t="inlineStr"/>
      <c r="AD3" s="7" t="n">
        <v>0</v>
      </c>
      <c r="AE3" s="7" t="n">
        <v>0</v>
      </c>
      <c r="AF3" s="7" t="n">
        <v>0</v>
      </c>
      <c r="AG3" s="7" t="n">
        <v>0</v>
      </c>
      <c r="AH3" s="7" t="n">
        <v>0</v>
      </c>
      <c r="AI3" s="7" t="n">
        <v>0</v>
      </c>
      <c r="AJ3" s="7" t="n">
        <v>0</v>
      </c>
      <c r="AK3" s="7" t="n">
        <v>0</v>
      </c>
      <c r="AL3" s="7" t="n">
        <v>0</v>
      </c>
      <c r="AM3" s="7" t="n">
        <v>0</v>
      </c>
      <c r="AN3" s="7" t="n">
        <v>0</v>
      </c>
      <c r="AO3" s="7" t="n">
        <v>0</v>
      </c>
      <c r="AP3" s="7" t="n">
        <v>0</v>
      </c>
      <c r="AQ3" s="7" t="n">
        <v>0</v>
      </c>
      <c r="AR3" s="7" t="n">
        <v>0</v>
      </c>
      <c r="AS3" s="7" t="n">
        <v>0</v>
      </c>
      <c r="AT3" s="7" t="n">
        <v>0</v>
      </c>
      <c r="AU3" s="7" t="n">
        <v>0</v>
      </c>
      <c r="AV3" s="7" t="n">
        <v>0</v>
      </c>
      <c r="AW3" s="7" t="n">
        <v>0</v>
      </c>
      <c r="AX3" s="7" t="n">
        <v>0</v>
      </c>
      <c r="AY3" s="7" t="n">
        <v>0</v>
      </c>
      <c r="AZ3" s="7" t="n">
        <v>0</v>
      </c>
      <c r="BA3" s="7" t="n">
        <v>0</v>
      </c>
      <c r="BB3" s="7">
        <f>SUM(AD3:BA3)</f>
        <v/>
      </c>
    </row>
    <row r="4">
      <c r="A4" t="inlineStr">
        <is>
          <t>AMD-AIR-NEW-SSC</t>
        </is>
      </c>
      <c r="B4" t="inlineStr">
        <is>
          <t>Forward Regular OSC</t>
        </is>
      </c>
      <c r="C4" s="5" t="n">
        <v>46096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0</v>
      </c>
      <c r="R4" s="6" t="n">
        <v>0</v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0</v>
      </c>
      <c r="AB4" s="6">
        <f>SUM(D4:AA4)</f>
        <v/>
      </c>
      <c r="AC4" s="3" t="inlineStr"/>
      <c r="AD4" s="7" t="n">
        <v>0</v>
      </c>
      <c r="AE4" s="7" t="n">
        <v>0</v>
      </c>
      <c r="AF4" s="7" t="n">
        <v>0</v>
      </c>
      <c r="AG4" s="7" t="n">
        <v>0</v>
      </c>
      <c r="AH4" s="7" t="n">
        <v>0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0</v>
      </c>
      <c r="AP4" s="7" t="n">
        <v>0</v>
      </c>
      <c r="AQ4" s="7" t="n">
        <v>0</v>
      </c>
      <c r="AR4" s="7" t="n">
        <v>0</v>
      </c>
      <c r="AS4" s="7" t="n">
        <v>0</v>
      </c>
      <c r="AT4" s="7" t="n">
        <v>0</v>
      </c>
      <c r="AU4" s="7" t="n">
        <v>0</v>
      </c>
      <c r="AV4" s="7" t="n">
        <v>0</v>
      </c>
      <c r="AW4" s="7" t="n">
        <v>0</v>
      </c>
      <c r="AX4" s="7" t="n">
        <v>0</v>
      </c>
      <c r="AY4" s="7" t="n">
        <v>0</v>
      </c>
      <c r="AZ4" s="7" t="n">
        <v>0</v>
      </c>
      <c r="BA4" s="7" t="n">
        <v>0</v>
      </c>
      <c r="BB4" s="7">
        <f>SUM(AD4:BA4)</f>
        <v/>
      </c>
    </row>
    <row r="5">
      <c r="A5" t="inlineStr">
        <is>
          <t>AMD-AIR-NEW-SSC</t>
        </is>
      </c>
      <c r="B5" t="inlineStr">
        <is>
          <t>Forward Regular OSC</t>
        </is>
      </c>
      <c r="C5" s="5" t="n">
        <v>46097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>
        <f>SUM(D5:AA5)</f>
        <v/>
      </c>
      <c r="AC5" s="3" t="inlineStr"/>
      <c r="AD5" s="7" t="n">
        <v>0</v>
      </c>
      <c r="AE5" s="7" t="n">
        <v>0</v>
      </c>
      <c r="AF5" s="7" t="n">
        <v>0</v>
      </c>
      <c r="AG5" s="7" t="n">
        <v>0</v>
      </c>
      <c r="AH5" s="7" t="n">
        <v>0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0</v>
      </c>
      <c r="AP5" s="7" t="n">
        <v>0</v>
      </c>
      <c r="AQ5" s="7" t="n">
        <v>0</v>
      </c>
      <c r="AR5" s="7" t="n">
        <v>0</v>
      </c>
      <c r="AS5" s="7" t="n">
        <v>0</v>
      </c>
      <c r="AT5" s="7" t="n">
        <v>0</v>
      </c>
      <c r="AU5" s="7" t="n">
        <v>0</v>
      </c>
      <c r="AV5" s="7" t="n">
        <v>0</v>
      </c>
      <c r="AW5" s="7" t="n">
        <v>0</v>
      </c>
      <c r="AX5" s="7" t="n">
        <v>0</v>
      </c>
      <c r="AY5" s="7" t="n">
        <v>0</v>
      </c>
      <c r="AZ5" s="7" t="n">
        <v>0</v>
      </c>
      <c r="BA5" s="7" t="n">
        <v>0</v>
      </c>
      <c r="BB5" s="7">
        <f>SUM(AD5:BA5)</f>
        <v/>
      </c>
    </row>
    <row r="6">
      <c r="A6" t="inlineStr">
        <is>
          <t>AMD-AIR-NEW-SSC</t>
        </is>
      </c>
      <c r="B6" t="inlineStr">
        <is>
          <t>Forward Regular OSC</t>
        </is>
      </c>
      <c r="C6" s="5" t="n">
        <v>46100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>
        <f>SUM(D6:AA6)</f>
        <v/>
      </c>
      <c r="AC6" s="3" t="inlineStr"/>
      <c r="AD6" s="7" t="n">
        <v>0</v>
      </c>
      <c r="AE6" s="7" t="n">
        <v>0</v>
      </c>
      <c r="AF6" s="7" t="n">
        <v>0</v>
      </c>
      <c r="AG6" s="7" t="n">
        <v>0</v>
      </c>
      <c r="AH6" s="7" t="n">
        <v>0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0</v>
      </c>
      <c r="AN6" s="7" t="n">
        <v>0</v>
      </c>
      <c r="AO6" s="7" t="n">
        <v>0</v>
      </c>
      <c r="AP6" s="7" t="n">
        <v>0</v>
      </c>
      <c r="AQ6" s="7" t="n">
        <v>0</v>
      </c>
      <c r="AR6" s="7" t="n">
        <v>0</v>
      </c>
      <c r="AS6" s="7" t="n">
        <v>0</v>
      </c>
      <c r="AT6" s="7" t="n">
        <v>0</v>
      </c>
      <c r="AU6" s="7" t="n">
        <v>0</v>
      </c>
      <c r="AV6" s="7" t="n">
        <v>0</v>
      </c>
      <c r="AW6" s="7" t="n">
        <v>0</v>
      </c>
      <c r="AX6" s="7" t="n">
        <v>0</v>
      </c>
      <c r="AY6" s="7" t="n">
        <v>0</v>
      </c>
      <c r="AZ6" s="7" t="n">
        <v>0</v>
      </c>
      <c r="BA6" s="7" t="n">
        <v>0</v>
      </c>
      <c r="BB6" s="7">
        <f>SUM(AD6:BA6)</f>
        <v/>
      </c>
    </row>
    <row r="7">
      <c r="A7" t="inlineStr">
        <is>
          <t>AMD-AIR-NEW-SSC</t>
        </is>
      </c>
      <c r="B7" t="inlineStr">
        <is>
          <t>Forward Regular OSC</t>
        </is>
      </c>
      <c r="C7" s="5" t="n">
        <v>46101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>
        <f>SUM(D7:AA7)</f>
        <v/>
      </c>
      <c r="AC7" s="3" t="inlineStr"/>
      <c r="AD7" s="7" t="n">
        <v>0</v>
      </c>
      <c r="AE7" s="7" t="n">
        <v>0</v>
      </c>
      <c r="AF7" s="7" t="n">
        <v>0</v>
      </c>
      <c r="AG7" s="7" t="n">
        <v>0</v>
      </c>
      <c r="AH7" s="7" t="n">
        <v>0</v>
      </c>
      <c r="AI7" s="7" t="n">
        <v>0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0</v>
      </c>
      <c r="AP7" s="7" t="n">
        <v>0</v>
      </c>
      <c r="AQ7" s="7" t="n">
        <v>0</v>
      </c>
      <c r="AR7" s="7" t="n">
        <v>0</v>
      </c>
      <c r="AS7" s="7" t="n">
        <v>0</v>
      </c>
      <c r="AT7" s="7" t="n">
        <v>0</v>
      </c>
      <c r="AU7" s="7" t="n">
        <v>0</v>
      </c>
      <c r="AV7" s="7" t="n">
        <v>0</v>
      </c>
      <c r="AW7" s="7" t="n">
        <v>0</v>
      </c>
      <c r="AX7" s="7" t="n">
        <v>0</v>
      </c>
      <c r="AY7" s="7" t="n">
        <v>0</v>
      </c>
      <c r="AZ7" s="7" t="n">
        <v>0</v>
      </c>
      <c r="BA7" s="7" t="n">
        <v>0</v>
      </c>
      <c r="BB7" s="7">
        <f>SUM(AD7:BA7)</f>
        <v/>
      </c>
    </row>
    <row r="8">
      <c r="A8" t="inlineStr">
        <is>
          <t>AMD-AIR-NEW-SSC</t>
        </is>
      </c>
      <c r="B8" t="inlineStr">
        <is>
          <t>Forward Regular OSC</t>
        </is>
      </c>
      <c r="C8" s="5" t="n">
        <v>46102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>
        <f>SUM(D8:AA8)</f>
        <v/>
      </c>
      <c r="AC8" s="3" t="inlineStr"/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0</v>
      </c>
      <c r="AP8" s="7" t="n">
        <v>0</v>
      </c>
      <c r="AQ8" s="7" t="n">
        <v>0</v>
      </c>
      <c r="AR8" s="7" t="n">
        <v>0</v>
      </c>
      <c r="AS8" s="7" t="n">
        <v>0</v>
      </c>
      <c r="AT8" s="7" t="n">
        <v>0</v>
      </c>
      <c r="AU8" s="7" t="n">
        <v>0</v>
      </c>
      <c r="AV8" s="7" t="n">
        <v>0</v>
      </c>
      <c r="AW8" s="7" t="n">
        <v>0</v>
      </c>
      <c r="AX8" s="7" t="n">
        <v>0</v>
      </c>
      <c r="AY8" s="7" t="n">
        <v>0</v>
      </c>
      <c r="AZ8" s="7" t="n">
        <v>0</v>
      </c>
      <c r="BA8" s="7" t="n">
        <v>0</v>
      </c>
      <c r="BB8" s="7">
        <f>SUM(AD8:BA8)</f>
        <v/>
      </c>
    </row>
    <row r="9">
      <c r="A9" t="inlineStr">
        <is>
          <t>AMD-AIR-NEW-SSC</t>
        </is>
      </c>
      <c r="B9" t="inlineStr">
        <is>
          <t>Forward Regular OSC</t>
        </is>
      </c>
      <c r="C9" s="5" t="n">
        <v>46103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>
        <f>SUM(D9:AA9)</f>
        <v/>
      </c>
      <c r="AC9" s="3" t="inlineStr"/>
      <c r="AD9" s="7" t="n">
        <v>0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0</v>
      </c>
      <c r="AS9" s="7" t="n">
        <v>0</v>
      </c>
      <c r="AT9" s="7" t="n">
        <v>0</v>
      </c>
      <c r="AU9" s="7" t="n">
        <v>0</v>
      </c>
      <c r="AV9" s="7" t="n">
        <v>0</v>
      </c>
      <c r="AW9" s="7" t="n">
        <v>0</v>
      </c>
      <c r="AX9" s="7" t="n">
        <v>0</v>
      </c>
      <c r="AY9" s="7" t="n">
        <v>0</v>
      </c>
      <c r="AZ9" s="7" t="n">
        <v>0</v>
      </c>
      <c r="BA9" s="7" t="n">
        <v>0</v>
      </c>
      <c r="BB9" s="7">
        <f>SUM(AD9:BA9)</f>
        <v/>
      </c>
    </row>
    <row r="10">
      <c r="A10" t="inlineStr">
        <is>
          <t>AMD-AIR-NEW-SSC</t>
        </is>
      </c>
      <c r="B10" t="inlineStr">
        <is>
          <t>Forward Regular OSC</t>
        </is>
      </c>
      <c r="C10" s="5" t="n">
        <v>46104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>
        <f>SUM(D10:AA10)</f>
        <v/>
      </c>
      <c r="AC10" s="3" t="inlineStr"/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0</v>
      </c>
      <c r="AP10" s="7" t="n">
        <v>0</v>
      </c>
      <c r="AQ10" s="7" t="n">
        <v>0</v>
      </c>
      <c r="AR10" s="7" t="n">
        <v>0</v>
      </c>
      <c r="AS10" s="7" t="n">
        <v>0</v>
      </c>
      <c r="AT10" s="7" t="n">
        <v>0</v>
      </c>
      <c r="AU10" s="7" t="n">
        <v>0</v>
      </c>
      <c r="AV10" s="7" t="n">
        <v>0</v>
      </c>
      <c r="AW10" s="7" t="n">
        <v>0</v>
      </c>
      <c r="AX10" s="7" t="n">
        <v>0</v>
      </c>
      <c r="AY10" s="7" t="n">
        <v>0</v>
      </c>
      <c r="AZ10" s="7" t="n">
        <v>0</v>
      </c>
      <c r="BA10" s="7" t="n">
        <v>0</v>
      </c>
      <c r="BB10" s="7">
        <f>SUM(AD10:BA10)</f>
        <v/>
      </c>
    </row>
    <row r="11">
      <c r="A11" t="inlineStr">
        <is>
          <t>AMD-EXPR</t>
        </is>
      </c>
      <c r="B11" t="inlineStr">
        <is>
          <t>DSC Manual</t>
        </is>
      </c>
      <c r="C11" s="5" t="n">
        <v>46089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>
        <f>SUM(D11:AA11)</f>
        <v/>
      </c>
      <c r="AC11" s="3" t="inlineStr"/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0</v>
      </c>
      <c r="AP11" s="7" t="n">
        <v>0</v>
      </c>
      <c r="AQ11" s="7" t="n">
        <v>0</v>
      </c>
      <c r="AR11" s="7" t="n">
        <v>0</v>
      </c>
      <c r="AS11" s="7" t="n">
        <v>0</v>
      </c>
      <c r="AT11" s="7" t="n">
        <v>0</v>
      </c>
      <c r="AU11" s="7" t="n">
        <v>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0</v>
      </c>
      <c r="BA11" s="7" t="n">
        <v>0</v>
      </c>
      <c r="BB11" s="7">
        <f>SUM(AD11:BA11)</f>
        <v/>
      </c>
    </row>
    <row r="12">
      <c r="A12" t="inlineStr">
        <is>
          <t>AMD-EXPR</t>
        </is>
      </c>
      <c r="B12" t="inlineStr">
        <is>
          <t>DSC Manual</t>
        </is>
      </c>
      <c r="C12" s="5" t="n">
        <v>46090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>
        <f>SUM(D12:AA12)</f>
        <v/>
      </c>
      <c r="AC12" s="3" t="inlineStr"/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0</v>
      </c>
      <c r="AT12" s="7" t="n">
        <v>0</v>
      </c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0</v>
      </c>
      <c r="BA12" s="7" t="n">
        <v>0</v>
      </c>
      <c r="BB12" s="7">
        <f>SUM(AD12:BA12)</f>
        <v/>
      </c>
    </row>
    <row r="13">
      <c r="A13" t="inlineStr">
        <is>
          <t>AMD-EXPR</t>
        </is>
      </c>
      <c r="B13" t="inlineStr">
        <is>
          <t>DSC Manual</t>
        </is>
      </c>
      <c r="C13" s="5" t="n">
        <v>46091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>
        <f>SUM(D13:AA13)</f>
        <v/>
      </c>
      <c r="AC13" s="3" t="inlineStr"/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0</v>
      </c>
      <c r="AP13" s="7" t="n">
        <v>0</v>
      </c>
      <c r="AQ13" s="7" t="n">
        <v>0</v>
      </c>
      <c r="AR13" s="7" t="n">
        <v>0</v>
      </c>
      <c r="AS13" s="7" t="n">
        <v>0</v>
      </c>
      <c r="AT13" s="7" t="n">
        <v>0</v>
      </c>
      <c r="AU13" s="7" t="n">
        <v>0</v>
      </c>
      <c r="AV13" s="7" t="n">
        <v>0</v>
      </c>
      <c r="AW13" s="7" t="n">
        <v>0</v>
      </c>
      <c r="AX13" s="7" t="n">
        <v>0</v>
      </c>
      <c r="AY13" s="7" t="n">
        <v>0</v>
      </c>
      <c r="AZ13" s="7" t="n">
        <v>0</v>
      </c>
      <c r="BA13" s="7" t="n">
        <v>0</v>
      </c>
      <c r="BB13" s="7">
        <f>SUM(AD13:BA13)</f>
        <v/>
      </c>
    </row>
    <row r="14">
      <c r="A14" t="inlineStr">
        <is>
          <t>AMD-EXPR</t>
        </is>
      </c>
      <c r="B14" t="inlineStr">
        <is>
          <t>DSC Manual</t>
        </is>
      </c>
      <c r="C14" s="5" t="n">
        <v>46092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>
        <f>SUM(D14:AA14)</f>
        <v/>
      </c>
      <c r="AC14" s="3" t="inlineStr"/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0</v>
      </c>
      <c r="AP14" s="7" t="n">
        <v>0</v>
      </c>
      <c r="AQ14" s="7" t="n">
        <v>0</v>
      </c>
      <c r="AR14" s="7" t="n">
        <v>0</v>
      </c>
      <c r="AS14" s="7" t="n">
        <v>0</v>
      </c>
      <c r="AT14" s="7" t="n">
        <v>0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0</v>
      </c>
      <c r="BA14" s="7" t="n">
        <v>0</v>
      </c>
      <c r="BB14" s="7">
        <f>SUM(AD14:BA14)</f>
        <v/>
      </c>
    </row>
    <row r="15">
      <c r="A15" t="inlineStr">
        <is>
          <t>AMD-EXPR</t>
        </is>
      </c>
      <c r="B15" t="inlineStr">
        <is>
          <t>DSC Manual</t>
        </is>
      </c>
      <c r="C15" s="5" t="n">
        <v>46093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  <c r="AB15" s="6">
        <f>SUM(D15:AA15)</f>
        <v/>
      </c>
      <c r="AC15" s="3" t="inlineStr"/>
      <c r="AD15" s="7" t="n">
        <v>0</v>
      </c>
      <c r="AE15" s="7" t="n">
        <v>0</v>
      </c>
      <c r="AF15" s="7" t="n">
        <v>0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0</v>
      </c>
      <c r="AL15" s="7" t="n">
        <v>0</v>
      </c>
      <c r="AM15" s="7" t="n">
        <v>0</v>
      </c>
      <c r="AN15" s="7" t="n">
        <v>0</v>
      </c>
      <c r="AO15" s="7" t="n">
        <v>0</v>
      </c>
      <c r="AP15" s="7" t="n">
        <v>0</v>
      </c>
      <c r="AQ15" s="7" t="n">
        <v>0</v>
      </c>
      <c r="AR15" s="7" t="n">
        <v>0</v>
      </c>
      <c r="AS15" s="7" t="n">
        <v>0</v>
      </c>
      <c r="AT15" s="7" t="n">
        <v>0</v>
      </c>
      <c r="AU15" s="7" t="n">
        <v>0</v>
      </c>
      <c r="AV15" s="7" t="n">
        <v>0</v>
      </c>
      <c r="AW15" s="7" t="n">
        <v>0</v>
      </c>
      <c r="AX15" s="7" t="n">
        <v>0</v>
      </c>
      <c r="AY15" s="7" t="n">
        <v>0</v>
      </c>
      <c r="AZ15" s="7" t="n">
        <v>0</v>
      </c>
      <c r="BA15" s="7" t="n">
        <v>0</v>
      </c>
      <c r="BB15" s="7">
        <f>SUM(AD15:BA15)</f>
        <v/>
      </c>
    </row>
    <row r="16">
      <c r="A16" t="inlineStr">
        <is>
          <t>AMD-EXPR</t>
        </is>
      </c>
      <c r="B16" t="inlineStr">
        <is>
          <t>DSC Manual</t>
        </is>
      </c>
      <c r="C16" s="5" t="n">
        <v>46094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  <c r="AB16" s="6">
        <f>SUM(D16:AA16)</f>
        <v/>
      </c>
      <c r="AC16" s="3" t="inlineStr"/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0</v>
      </c>
      <c r="AS16" s="7" t="n">
        <v>0</v>
      </c>
      <c r="AT16" s="7" t="n">
        <v>0</v>
      </c>
      <c r="AU16" s="7" t="n">
        <v>0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0</v>
      </c>
      <c r="BA16" s="7" t="n">
        <v>0</v>
      </c>
      <c r="BB16" s="7">
        <f>SUM(AD16:BA16)</f>
        <v/>
      </c>
    </row>
    <row r="17">
      <c r="A17" t="inlineStr">
        <is>
          <t>AMD-EXPR</t>
        </is>
      </c>
      <c r="B17" t="inlineStr">
        <is>
          <t>DSC Manual</t>
        </is>
      </c>
      <c r="C17" s="5" t="n">
        <v>46095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6">
        <f>SUM(D17:AA17)</f>
        <v/>
      </c>
      <c r="AC17" s="3" t="inlineStr"/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0</v>
      </c>
      <c r="AI17" s="7" t="n">
        <v>0</v>
      </c>
      <c r="AJ17" s="7" t="n">
        <v>0</v>
      </c>
      <c r="AK17" s="7" t="n">
        <v>0</v>
      </c>
      <c r="AL17" s="7" t="n">
        <v>0</v>
      </c>
      <c r="AM17" s="7" t="n">
        <v>0</v>
      </c>
      <c r="AN17" s="7" t="n">
        <v>0</v>
      </c>
      <c r="AO17" s="7" t="n">
        <v>0</v>
      </c>
      <c r="AP17" s="7" t="n">
        <v>0</v>
      </c>
      <c r="AQ17" s="7" t="n">
        <v>0</v>
      </c>
      <c r="AR17" s="7" t="n">
        <v>0</v>
      </c>
      <c r="AS17" s="7" t="n">
        <v>0</v>
      </c>
      <c r="AT17" s="7" t="n">
        <v>0</v>
      </c>
      <c r="AU17" s="7" t="n">
        <v>0</v>
      </c>
      <c r="AV17" s="7" t="n">
        <v>0</v>
      </c>
      <c r="AW17" s="7" t="n">
        <v>0</v>
      </c>
      <c r="AX17" s="7" t="n">
        <v>0</v>
      </c>
      <c r="AY17" s="7" t="n">
        <v>0</v>
      </c>
      <c r="AZ17" s="7" t="n">
        <v>0</v>
      </c>
      <c r="BA17" s="7" t="n">
        <v>0</v>
      </c>
      <c r="BB17" s="7">
        <f>SUM(AD17:BA17)</f>
        <v/>
      </c>
    </row>
    <row r="18">
      <c r="A18" t="inlineStr">
        <is>
          <t>AMD-EXPR</t>
        </is>
      </c>
      <c r="B18" t="inlineStr">
        <is>
          <t>DSC Manual</t>
        </is>
      </c>
      <c r="C18" s="5" t="n">
        <v>46096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  <c r="AB18" s="6">
        <f>SUM(D18:AA18)</f>
        <v/>
      </c>
      <c r="AC18" s="3" t="inlineStr"/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0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0</v>
      </c>
      <c r="BA18" s="7" t="n">
        <v>0</v>
      </c>
      <c r="BB18" s="7">
        <f>SUM(AD18:BA18)</f>
        <v/>
      </c>
    </row>
    <row r="19">
      <c r="A19" t="inlineStr">
        <is>
          <t>AMD-EXPR</t>
        </is>
      </c>
      <c r="B19" t="inlineStr">
        <is>
          <t>DSC Manual</t>
        </is>
      </c>
      <c r="C19" s="5" t="n">
        <v>46097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>
        <f>SUM(D19:AA19)</f>
        <v/>
      </c>
      <c r="AC19" s="3" t="inlineStr"/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0</v>
      </c>
      <c r="AR19" s="7" t="n">
        <v>0</v>
      </c>
      <c r="AS19" s="7" t="n">
        <v>0</v>
      </c>
      <c r="AT19" s="7" t="n">
        <v>0</v>
      </c>
      <c r="AU19" s="7" t="n">
        <v>0</v>
      </c>
      <c r="AV19" s="7" t="n">
        <v>0</v>
      </c>
      <c r="AW19" s="7" t="n">
        <v>0</v>
      </c>
      <c r="AX19" s="7" t="n">
        <v>0</v>
      </c>
      <c r="AY19" s="7" t="n">
        <v>0</v>
      </c>
      <c r="AZ19" s="7" t="n">
        <v>0</v>
      </c>
      <c r="BA19" s="7" t="n">
        <v>0</v>
      </c>
      <c r="BB19" s="7">
        <f>SUM(AD19:BA19)</f>
        <v/>
      </c>
    </row>
    <row r="20">
      <c r="A20" t="inlineStr">
        <is>
          <t>AMD-EXPR</t>
        </is>
      </c>
      <c r="B20" t="inlineStr">
        <is>
          <t>DSC Manual</t>
        </is>
      </c>
      <c r="C20" s="5" t="n">
        <v>46099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>
        <f>SUM(D20:AA20)</f>
        <v/>
      </c>
      <c r="AC20" s="3" t="inlineStr"/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0</v>
      </c>
      <c r="BA20" s="7" t="n">
        <v>0</v>
      </c>
      <c r="BB20" s="7">
        <f>SUM(AD20:BA20)</f>
        <v/>
      </c>
    </row>
    <row r="21">
      <c r="A21" t="inlineStr">
        <is>
          <t>AMD-EXPR</t>
        </is>
      </c>
      <c r="B21" t="inlineStr">
        <is>
          <t>DSC Manual</t>
        </is>
      </c>
      <c r="C21" s="5" t="n">
        <v>46100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>
        <f>SUM(D21:AA21)</f>
        <v/>
      </c>
      <c r="AC21" s="3" t="inlineStr"/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0</v>
      </c>
      <c r="AS21" s="7" t="n">
        <v>0</v>
      </c>
      <c r="AT21" s="7" t="n">
        <v>0</v>
      </c>
      <c r="AU21" s="7" t="n">
        <v>0</v>
      </c>
      <c r="AV21" s="7" t="n">
        <v>0</v>
      </c>
      <c r="AW21" s="7" t="n">
        <v>0</v>
      </c>
      <c r="AX21" s="7" t="n">
        <v>0</v>
      </c>
      <c r="AY21" s="7" t="n">
        <v>0</v>
      </c>
      <c r="AZ21" s="7" t="n">
        <v>0</v>
      </c>
      <c r="BA21" s="7" t="n">
        <v>0</v>
      </c>
      <c r="BB21" s="7">
        <f>SUM(AD21:BA21)</f>
        <v/>
      </c>
    </row>
    <row r="22">
      <c r="A22" t="inlineStr">
        <is>
          <t>AMD-EXPR</t>
        </is>
      </c>
      <c r="B22" t="inlineStr">
        <is>
          <t>DSC Manual</t>
        </is>
      </c>
      <c r="C22" s="5" t="n">
        <v>46102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>
        <f>SUM(D22:AA22)</f>
        <v/>
      </c>
      <c r="AC22" s="3" t="inlineStr"/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7" t="n">
        <v>0</v>
      </c>
      <c r="BB22" s="7">
        <f>SUM(AD22:BA22)</f>
        <v/>
      </c>
    </row>
    <row r="23">
      <c r="A23" t="inlineStr">
        <is>
          <t>AMD-EXPR</t>
        </is>
      </c>
      <c r="B23" t="inlineStr">
        <is>
          <t>DSC Manual</t>
        </is>
      </c>
      <c r="C23" s="5" t="n">
        <v>46103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>
        <f>SUM(D23:AA23)</f>
        <v/>
      </c>
      <c r="AC23" s="3" t="inlineStr"/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0</v>
      </c>
      <c r="BA23" s="7" t="n">
        <v>0</v>
      </c>
      <c r="BB23" s="7">
        <f>SUM(AD23:BA23)</f>
        <v/>
      </c>
    </row>
    <row r="24">
      <c r="A24" t="inlineStr">
        <is>
          <t>AMD-EXPR</t>
        </is>
      </c>
      <c r="B24" t="inlineStr">
        <is>
          <t>DSC Manual</t>
        </is>
      </c>
      <c r="C24" s="5" t="n">
        <v>46104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>
        <f>SUM(D24:AA24)</f>
        <v/>
      </c>
      <c r="AC24" s="3" t="inlineStr"/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0</v>
      </c>
      <c r="BA24" s="7" t="n">
        <v>0</v>
      </c>
      <c r="BB24" s="7">
        <f>SUM(AD24:BA24)</f>
        <v/>
      </c>
    </row>
    <row r="25">
      <c r="A25" t="inlineStr">
        <is>
          <t>AMD-EXPR</t>
        </is>
      </c>
      <c r="B25" t="inlineStr">
        <is>
          <t>DSC Manual</t>
        </is>
      </c>
      <c r="C25" s="5" t="n">
        <v>46105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>
        <f>SUM(D25:AA25)</f>
        <v/>
      </c>
      <c r="AC25" s="3" t="inlineStr"/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7" t="n">
        <v>0</v>
      </c>
      <c r="BB25" s="7">
        <f>SUM(AD25:BA25)</f>
        <v/>
      </c>
    </row>
    <row r="26">
      <c r="A26" t="inlineStr">
        <is>
          <t>AMD-FK-SSC</t>
        </is>
      </c>
      <c r="B26" t="inlineStr">
        <is>
          <t>Prime at Client side</t>
        </is>
      </c>
      <c r="C26" s="5" t="n">
        <v>46089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>
        <f>SUM(D26:AA26)</f>
        <v/>
      </c>
      <c r="AC26" s="3" t="inlineStr"/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7" t="n">
        <v>0</v>
      </c>
      <c r="BB26" s="7">
        <f>SUM(AD26:BA26)</f>
        <v/>
      </c>
    </row>
    <row r="27">
      <c r="A27" t="inlineStr">
        <is>
          <t>AMD-FK-SSC</t>
        </is>
      </c>
      <c r="B27" t="inlineStr">
        <is>
          <t>Prime at Client side</t>
        </is>
      </c>
      <c r="C27" s="5" t="n">
        <v>46090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>
        <f>SUM(D27:AA27)</f>
        <v/>
      </c>
      <c r="AC27" s="3" t="inlineStr"/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7" t="n">
        <v>0</v>
      </c>
      <c r="BB27" s="7">
        <f>SUM(AD27:BA27)</f>
        <v/>
      </c>
    </row>
    <row r="28">
      <c r="A28" t="inlineStr">
        <is>
          <t>AMD-FK-SSC</t>
        </is>
      </c>
      <c r="B28" t="inlineStr">
        <is>
          <t>Prime at Client side</t>
        </is>
      </c>
      <c r="C28" s="5" t="n">
        <v>46091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>
        <f>SUM(D28:AA28)</f>
        <v/>
      </c>
      <c r="AC28" s="3" t="inlineStr"/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7" t="n">
        <v>0</v>
      </c>
      <c r="BB28" s="7">
        <f>SUM(AD28:BA28)</f>
        <v/>
      </c>
    </row>
    <row r="29">
      <c r="A29" t="inlineStr">
        <is>
          <t>AMD-FK-SSC</t>
        </is>
      </c>
      <c r="B29" t="inlineStr">
        <is>
          <t>Prime at Client side</t>
        </is>
      </c>
      <c r="C29" s="5" t="n">
        <v>46092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>
        <f>SUM(D29:AA29)</f>
        <v/>
      </c>
      <c r="AC29" s="3" t="inlineStr"/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7" t="n">
        <v>0</v>
      </c>
      <c r="AQ29" s="7" t="n">
        <v>0</v>
      </c>
      <c r="AR29" s="7" t="n">
        <v>0</v>
      </c>
      <c r="AS29" s="7" t="n">
        <v>0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0</v>
      </c>
      <c r="BA29" s="7" t="n">
        <v>0</v>
      </c>
      <c r="BB29" s="7">
        <f>SUM(AD29:BA29)</f>
        <v/>
      </c>
    </row>
    <row r="30">
      <c r="A30" t="inlineStr">
        <is>
          <t>AMD-FK-SSC</t>
        </is>
      </c>
      <c r="B30" t="inlineStr">
        <is>
          <t>Prime at Client side</t>
        </is>
      </c>
      <c r="C30" s="5" t="n">
        <v>46093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>
        <f>SUM(D30:AA30)</f>
        <v/>
      </c>
      <c r="AC30" s="3" t="inlineStr"/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0</v>
      </c>
      <c r="AS30" s="7" t="n">
        <v>0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7" t="n">
        <v>0</v>
      </c>
      <c r="BB30" s="7">
        <f>SUM(AD30:BA30)</f>
        <v/>
      </c>
    </row>
    <row r="31">
      <c r="A31" t="inlineStr">
        <is>
          <t>AMD-FK-SSC</t>
        </is>
      </c>
      <c r="B31" t="inlineStr">
        <is>
          <t>Prime at Client side</t>
        </is>
      </c>
      <c r="C31" s="5" t="n">
        <v>46094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>
        <f>SUM(D31:AA31)</f>
        <v/>
      </c>
      <c r="AC31" s="3" t="inlineStr"/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0</v>
      </c>
      <c r="AT31" s="7" t="n">
        <v>0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0</v>
      </c>
      <c r="BA31" s="7" t="n">
        <v>0</v>
      </c>
      <c r="BB31" s="7">
        <f>SUM(AD31:BA31)</f>
        <v/>
      </c>
    </row>
    <row r="32">
      <c r="A32" t="inlineStr">
        <is>
          <t>AMD-FK-SSC</t>
        </is>
      </c>
      <c r="B32" t="inlineStr">
        <is>
          <t>Prime at Client side</t>
        </is>
      </c>
      <c r="C32" s="5" t="n">
        <v>46095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>
        <f>SUM(D32:AA32)</f>
        <v/>
      </c>
      <c r="AC32" s="3" t="inlineStr"/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7" t="n">
        <v>0</v>
      </c>
      <c r="BB32" s="7">
        <f>SUM(AD32:BA32)</f>
        <v/>
      </c>
    </row>
    <row r="33">
      <c r="A33" t="inlineStr">
        <is>
          <t>AMD-FK-SSC</t>
        </is>
      </c>
      <c r="B33" t="inlineStr">
        <is>
          <t>Prime at Client side</t>
        </is>
      </c>
      <c r="C33" s="5" t="n">
        <v>46096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6">
        <f>SUM(D33:AA33)</f>
        <v/>
      </c>
      <c r="AC33" s="3" t="inlineStr"/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0</v>
      </c>
      <c r="AS33" s="7" t="n">
        <v>0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7" t="n">
        <v>0</v>
      </c>
      <c r="BB33" s="7">
        <f>SUM(AD33:BA33)</f>
        <v/>
      </c>
    </row>
    <row r="34">
      <c r="A34" t="inlineStr">
        <is>
          <t>AMD-FK-SSC</t>
        </is>
      </c>
      <c r="B34" t="inlineStr">
        <is>
          <t>Prime at Client side</t>
        </is>
      </c>
      <c r="C34" s="5" t="n">
        <v>46097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>
        <f>SUM(D34:AA34)</f>
        <v/>
      </c>
      <c r="AC34" s="3" t="inlineStr"/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7" t="n">
        <v>0</v>
      </c>
      <c r="BB34" s="7">
        <f>SUM(AD34:BA34)</f>
        <v/>
      </c>
    </row>
    <row r="35">
      <c r="A35" t="inlineStr">
        <is>
          <t>AMD-FK-SSC</t>
        </is>
      </c>
      <c r="B35" t="inlineStr">
        <is>
          <t>Prime at Client side</t>
        </is>
      </c>
      <c r="C35" s="5" t="n">
        <v>46098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>
        <f>SUM(D35:AA35)</f>
        <v/>
      </c>
      <c r="AC35" s="3" t="inlineStr"/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7" t="n">
        <v>0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0</v>
      </c>
      <c r="BA35" s="7" t="n">
        <v>0</v>
      </c>
      <c r="BB35" s="7">
        <f>SUM(AD35:BA35)</f>
        <v/>
      </c>
    </row>
    <row r="36">
      <c r="A36" t="inlineStr">
        <is>
          <t>AMD-FK-SSC</t>
        </is>
      </c>
      <c r="B36" t="inlineStr">
        <is>
          <t>Prime at Client side</t>
        </is>
      </c>
      <c r="C36" s="5" t="n">
        <v>46099</v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>
        <f>SUM(D36:AA36)</f>
        <v/>
      </c>
      <c r="AC36" s="3" t="inlineStr"/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0</v>
      </c>
      <c r="AT36" s="7" t="n">
        <v>0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0</v>
      </c>
      <c r="BA36" s="7" t="n">
        <v>0</v>
      </c>
      <c r="BB36" s="7">
        <f>SUM(AD36:BA36)</f>
        <v/>
      </c>
    </row>
    <row r="37">
      <c r="A37" t="inlineStr">
        <is>
          <t>AMD-FK-SSC</t>
        </is>
      </c>
      <c r="B37" t="inlineStr">
        <is>
          <t>Prime at Client side</t>
        </is>
      </c>
      <c r="C37" s="5" t="n">
        <v>46100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>
        <f>SUM(D37:AA37)</f>
        <v/>
      </c>
      <c r="AC37" s="3" t="inlineStr"/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0</v>
      </c>
      <c r="AP37" s="7" t="n">
        <v>0</v>
      </c>
      <c r="AQ37" s="7" t="n">
        <v>0</v>
      </c>
      <c r="AR37" s="7" t="n">
        <v>0</v>
      </c>
      <c r="AS37" s="7" t="n">
        <v>0</v>
      </c>
      <c r="AT37" s="7" t="n">
        <v>0</v>
      </c>
      <c r="AU37" s="7" t="n">
        <v>0</v>
      </c>
      <c r="AV37" s="7" t="n">
        <v>0</v>
      </c>
      <c r="AW37" s="7" t="n">
        <v>0</v>
      </c>
      <c r="AX37" s="7" t="n">
        <v>0</v>
      </c>
      <c r="AY37" s="7" t="n">
        <v>0</v>
      </c>
      <c r="AZ37" s="7" t="n">
        <v>0</v>
      </c>
      <c r="BA37" s="7" t="n">
        <v>0</v>
      </c>
      <c r="BB37" s="7">
        <f>SUM(AD37:BA37)</f>
        <v/>
      </c>
    </row>
    <row r="38">
      <c r="A38" t="inlineStr">
        <is>
          <t>AMD-FK-SSC</t>
        </is>
      </c>
      <c r="B38" t="inlineStr">
        <is>
          <t>Prime at Client side</t>
        </is>
      </c>
      <c r="C38" s="5" t="n">
        <v>46101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0</v>
      </c>
      <c r="Q38" s="6" t="n">
        <v>0</v>
      </c>
      <c r="R38" s="6" t="n">
        <v>0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>
        <f>SUM(D38:AA38)</f>
        <v/>
      </c>
      <c r="AC38" s="3" t="inlineStr"/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0</v>
      </c>
      <c r="AP38" s="7" t="n">
        <v>0</v>
      </c>
      <c r="AQ38" s="7" t="n">
        <v>0</v>
      </c>
      <c r="AR38" s="7" t="n">
        <v>0</v>
      </c>
      <c r="AS38" s="7" t="n">
        <v>0</v>
      </c>
      <c r="AT38" s="7" t="n">
        <v>0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0</v>
      </c>
      <c r="BA38" s="7" t="n">
        <v>0</v>
      </c>
      <c r="BB38" s="7">
        <f>SUM(AD38:BA38)</f>
        <v/>
      </c>
    </row>
    <row r="39">
      <c r="A39" t="inlineStr">
        <is>
          <t>AMD-FK-SSC</t>
        </is>
      </c>
      <c r="B39" t="inlineStr">
        <is>
          <t>Prime at Client side</t>
        </is>
      </c>
      <c r="C39" s="5" t="n">
        <v>46102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>
        <f>SUM(D39:AA39)</f>
        <v/>
      </c>
      <c r="AC39" s="3" t="inlineStr"/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0</v>
      </c>
      <c r="AP39" s="7" t="n">
        <v>0</v>
      </c>
      <c r="AQ39" s="7" t="n">
        <v>0</v>
      </c>
      <c r="AR39" s="7" t="n">
        <v>0</v>
      </c>
      <c r="AS39" s="7" t="n">
        <v>0</v>
      </c>
      <c r="AT39" s="7" t="n">
        <v>0</v>
      </c>
      <c r="AU39" s="7" t="n">
        <v>0</v>
      </c>
      <c r="AV39" s="7" t="n">
        <v>0</v>
      </c>
      <c r="AW39" s="7" t="n">
        <v>0</v>
      </c>
      <c r="AX39" s="7" t="n">
        <v>0</v>
      </c>
      <c r="AY39" s="7" t="n">
        <v>0</v>
      </c>
      <c r="AZ39" s="7" t="n">
        <v>0</v>
      </c>
      <c r="BA39" s="7" t="n">
        <v>0</v>
      </c>
      <c r="BB39" s="7">
        <f>SUM(AD39:BA39)</f>
        <v/>
      </c>
    </row>
    <row r="40">
      <c r="A40" t="inlineStr">
        <is>
          <t>AMD-FK-SSC</t>
        </is>
      </c>
      <c r="B40" t="inlineStr">
        <is>
          <t>Prime at Client side</t>
        </is>
      </c>
      <c r="C40" s="5" t="n">
        <v>46103</v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0</v>
      </c>
      <c r="M40" s="6" t="n">
        <v>0</v>
      </c>
      <c r="N40" s="6" t="n">
        <v>0</v>
      </c>
      <c r="O40" s="6" t="n">
        <v>0</v>
      </c>
      <c r="P40" s="6" t="n">
        <v>0</v>
      </c>
      <c r="Q40" s="6" t="n">
        <v>0</v>
      </c>
      <c r="R40" s="6" t="n">
        <v>0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>
        <f>SUM(D40:AA40)</f>
        <v/>
      </c>
      <c r="AC40" s="3" t="inlineStr"/>
      <c r="AD40" s="7" t="n">
        <v>0</v>
      </c>
      <c r="AE40" s="7" t="n">
        <v>0</v>
      </c>
      <c r="AF40" s="7" t="n">
        <v>0</v>
      </c>
      <c r="AG40" s="7" t="n">
        <v>0</v>
      </c>
      <c r="AH40" s="7" t="n">
        <v>0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0</v>
      </c>
      <c r="AS40" s="7" t="n">
        <v>0</v>
      </c>
      <c r="AT40" s="7" t="n">
        <v>0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0</v>
      </c>
      <c r="BA40" s="7" t="n">
        <v>0</v>
      </c>
      <c r="BB40" s="7">
        <f>SUM(AD40:BA40)</f>
        <v/>
      </c>
    </row>
    <row r="41">
      <c r="A41" t="inlineStr">
        <is>
          <t>AMD-FK-SSC</t>
        </is>
      </c>
      <c r="B41" t="inlineStr">
        <is>
          <t>Prime at Client side</t>
        </is>
      </c>
      <c r="C41" s="5" t="n">
        <v>46104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>
        <f>SUM(D41:AA41)</f>
        <v/>
      </c>
      <c r="AC41" s="3" t="inlineStr"/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</v>
      </c>
      <c r="AP41" s="7" t="n">
        <v>0</v>
      </c>
      <c r="AQ41" s="7" t="n">
        <v>0</v>
      </c>
      <c r="AR41" s="7" t="n">
        <v>0</v>
      </c>
      <c r="AS41" s="7" t="n">
        <v>0</v>
      </c>
      <c r="AT41" s="7" t="n">
        <v>0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0</v>
      </c>
      <c r="BA41" s="7" t="n">
        <v>0</v>
      </c>
      <c r="BB41" s="7">
        <f>SUM(AD41:BA41)</f>
        <v/>
      </c>
    </row>
    <row r="42">
      <c r="A42" t="inlineStr">
        <is>
          <t>AMD-FK-SSC</t>
        </is>
      </c>
      <c r="B42" t="inlineStr">
        <is>
          <t>Prime at Client side</t>
        </is>
      </c>
      <c r="C42" s="5" t="n">
        <v>46105</v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6" t="n">
        <v>0</v>
      </c>
      <c r="N42" s="6" t="n">
        <v>0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>
        <f>SUM(D42:AA42)</f>
        <v/>
      </c>
      <c r="AC42" s="3" t="inlineStr"/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7" t="n">
        <v>0</v>
      </c>
      <c r="BB42" s="7">
        <f>SUM(AD42:BA42)</f>
        <v/>
      </c>
    </row>
    <row r="43">
      <c r="A43" t="inlineStr">
        <is>
          <t>AMD-FWDPRI-SSC</t>
        </is>
      </c>
      <c r="B43" t="inlineStr">
        <is>
          <t>FWD Priority OSC</t>
        </is>
      </c>
      <c r="C43" s="5" t="n">
        <v>46098</v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0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0</v>
      </c>
      <c r="AA43" s="6" t="n">
        <v>0</v>
      </c>
      <c r="AB43" s="6">
        <f>SUM(D43:AA43)</f>
        <v/>
      </c>
      <c r="AC43" s="3" t="inlineStr"/>
      <c r="AD43" s="7" t="n">
        <v>0</v>
      </c>
      <c r="AE43" s="7" t="n">
        <v>0</v>
      </c>
      <c r="AF43" s="7" t="n">
        <v>0</v>
      </c>
      <c r="AG43" s="7" t="n">
        <v>0</v>
      </c>
      <c r="AH43" s="7" t="n">
        <v>0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0</v>
      </c>
      <c r="AP43" s="7" t="n">
        <v>0</v>
      </c>
      <c r="AQ43" s="7" t="n">
        <v>0</v>
      </c>
      <c r="AR43" s="7" t="n">
        <v>0</v>
      </c>
      <c r="AS43" s="7" t="n">
        <v>0</v>
      </c>
      <c r="AT43" s="7" t="n">
        <v>0</v>
      </c>
      <c r="AU43" s="7" t="n">
        <v>0</v>
      </c>
      <c r="AV43" s="7" t="n">
        <v>0</v>
      </c>
      <c r="AW43" s="7" t="n">
        <v>0</v>
      </c>
      <c r="AX43" s="7" t="n">
        <v>0</v>
      </c>
      <c r="AY43" s="7" t="n">
        <v>0</v>
      </c>
      <c r="AZ43" s="7" t="n">
        <v>0</v>
      </c>
      <c r="BA43" s="7" t="n">
        <v>0</v>
      </c>
      <c r="BB43" s="7">
        <f>SUM(AD43:BA43)</f>
        <v/>
      </c>
    </row>
    <row r="44">
      <c r="A44" t="inlineStr">
        <is>
          <t>AMD-FWDPRI-SSC</t>
        </is>
      </c>
      <c r="B44" t="inlineStr">
        <is>
          <t>FWD Priority OSC</t>
        </is>
      </c>
      <c r="C44" s="5" t="n">
        <v>46099</v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0</v>
      </c>
      <c r="M44" s="6" t="n">
        <v>0</v>
      </c>
      <c r="N44" s="6" t="n">
        <v>0</v>
      </c>
      <c r="O44" s="6" t="n">
        <v>0</v>
      </c>
      <c r="P44" s="6" t="n">
        <v>0</v>
      </c>
      <c r="Q44" s="6" t="n">
        <v>0</v>
      </c>
      <c r="R44" s="6" t="n">
        <v>0</v>
      </c>
      <c r="S44" s="6" t="n">
        <v>0</v>
      </c>
      <c r="T44" s="6" t="n">
        <v>0</v>
      </c>
      <c r="U44" s="6" t="n">
        <v>0</v>
      </c>
      <c r="V44" s="6" t="n">
        <v>0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0</v>
      </c>
      <c r="AB44" s="6">
        <f>SUM(D44:AA44)</f>
        <v/>
      </c>
      <c r="AC44" s="3" t="inlineStr"/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0</v>
      </c>
      <c r="AP44" s="7" t="n">
        <v>0</v>
      </c>
      <c r="AQ44" s="7" t="n">
        <v>0</v>
      </c>
      <c r="AR44" s="7" t="n">
        <v>0</v>
      </c>
      <c r="AS44" s="7" t="n">
        <v>0</v>
      </c>
      <c r="AT44" s="7" t="n">
        <v>0</v>
      </c>
      <c r="AU44" s="7" t="n">
        <v>0</v>
      </c>
      <c r="AV44" s="7" t="n">
        <v>0</v>
      </c>
      <c r="AW44" s="7" t="n">
        <v>0</v>
      </c>
      <c r="AX44" s="7" t="n">
        <v>0</v>
      </c>
      <c r="AY44" s="7" t="n">
        <v>0</v>
      </c>
      <c r="AZ44" s="7" t="n">
        <v>0</v>
      </c>
      <c r="BA44" s="7" t="n">
        <v>0</v>
      </c>
      <c r="BB44" s="7">
        <f>SUM(AD44:BA44)</f>
        <v/>
      </c>
    </row>
    <row r="45">
      <c r="A45" t="inlineStr">
        <is>
          <t>AMD-FWDPRI-SSC</t>
        </is>
      </c>
      <c r="B45" t="inlineStr">
        <is>
          <t>FWD Priority OSC</t>
        </is>
      </c>
      <c r="C45" s="5" t="n">
        <v>46100</v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0</v>
      </c>
      <c r="S45" s="6" t="n">
        <v>0</v>
      </c>
      <c r="T45" s="6" t="n">
        <v>0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  <c r="AB45" s="6">
        <f>SUM(D45:AA45)</f>
        <v/>
      </c>
      <c r="AC45" s="3" t="inlineStr"/>
      <c r="AD45" s="7" t="n">
        <v>0</v>
      </c>
      <c r="AE45" s="7" t="n">
        <v>0</v>
      </c>
      <c r="AF45" s="7" t="n">
        <v>0</v>
      </c>
      <c r="AG45" s="7" t="n">
        <v>0</v>
      </c>
      <c r="AH45" s="7" t="n">
        <v>0</v>
      </c>
      <c r="AI45" s="7" t="n">
        <v>0</v>
      </c>
      <c r="AJ45" s="7" t="n">
        <v>0</v>
      </c>
      <c r="AK45" s="7" t="n">
        <v>0</v>
      </c>
      <c r="AL45" s="7" t="n">
        <v>0</v>
      </c>
      <c r="AM45" s="7" t="n">
        <v>0</v>
      </c>
      <c r="AN45" s="7" t="n">
        <v>0</v>
      </c>
      <c r="AO45" s="7" t="n">
        <v>0</v>
      </c>
      <c r="AP45" s="7" t="n">
        <v>0</v>
      </c>
      <c r="AQ45" s="7" t="n">
        <v>0</v>
      </c>
      <c r="AR45" s="7" t="n">
        <v>0</v>
      </c>
      <c r="AS45" s="7" t="n">
        <v>0</v>
      </c>
      <c r="AT45" s="7" t="n">
        <v>0</v>
      </c>
      <c r="AU45" s="7" t="n">
        <v>0</v>
      </c>
      <c r="AV45" s="7" t="n">
        <v>0</v>
      </c>
      <c r="AW45" s="7" t="n">
        <v>0</v>
      </c>
      <c r="AX45" s="7" t="n">
        <v>0</v>
      </c>
      <c r="AY45" s="7" t="n">
        <v>0</v>
      </c>
      <c r="AZ45" s="7" t="n">
        <v>0</v>
      </c>
      <c r="BA45" s="7" t="n">
        <v>0</v>
      </c>
      <c r="BB45" s="7">
        <f>SUM(AD45:BA45)</f>
        <v/>
      </c>
    </row>
    <row r="46">
      <c r="A46" t="inlineStr">
        <is>
          <t>AMD-FWDPRI-SSC</t>
        </is>
      </c>
      <c r="B46" t="inlineStr">
        <is>
          <t>FWD Priority OSC</t>
        </is>
      </c>
      <c r="C46" s="5" t="n">
        <v>46101</v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0</v>
      </c>
      <c r="M46" s="6" t="n">
        <v>0</v>
      </c>
      <c r="N46" s="6" t="n">
        <v>0</v>
      </c>
      <c r="O46" s="6" t="n">
        <v>0</v>
      </c>
      <c r="P46" s="6" t="n">
        <v>0</v>
      </c>
      <c r="Q46" s="6" t="n">
        <v>0</v>
      </c>
      <c r="R46" s="6" t="n">
        <v>0</v>
      </c>
      <c r="S46" s="6" t="n">
        <v>0</v>
      </c>
      <c r="T46" s="6" t="n">
        <v>0</v>
      </c>
      <c r="U46" s="6" t="n">
        <v>0</v>
      </c>
      <c r="V46" s="6" t="n">
        <v>0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0</v>
      </c>
      <c r="AB46" s="6">
        <f>SUM(D46:AA46)</f>
        <v/>
      </c>
      <c r="AC46" s="3" t="inlineStr"/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  <c r="AS46" s="7" t="n">
        <v>0</v>
      </c>
      <c r="AT46" s="7" t="n">
        <v>0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0</v>
      </c>
      <c r="BA46" s="7" t="n">
        <v>0</v>
      </c>
      <c r="BB46" s="7">
        <f>SUM(AD46:BA46)</f>
        <v/>
      </c>
    </row>
    <row r="47">
      <c r="A47" t="inlineStr">
        <is>
          <t>AMD-FWDPRI-SSC</t>
        </is>
      </c>
      <c r="B47" t="inlineStr">
        <is>
          <t>FWD Priority OSC</t>
        </is>
      </c>
      <c r="C47" s="5" t="n">
        <v>46102</v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6">
        <f>SUM(D47:AA47)</f>
        <v/>
      </c>
      <c r="AC47" s="3" t="inlineStr"/>
      <c r="AD47" s="7" t="n">
        <v>0</v>
      </c>
      <c r="AE47" s="7" t="n">
        <v>0</v>
      </c>
      <c r="AF47" s="7" t="n">
        <v>0</v>
      </c>
      <c r="AG47" s="7" t="n">
        <v>0</v>
      </c>
      <c r="AH47" s="7" t="n">
        <v>0</v>
      </c>
      <c r="AI47" s="7" t="n">
        <v>0</v>
      </c>
      <c r="AJ47" s="7" t="n">
        <v>0</v>
      </c>
      <c r="AK47" s="7" t="n">
        <v>0</v>
      </c>
      <c r="AL47" s="7" t="n">
        <v>0</v>
      </c>
      <c r="AM47" s="7" t="n">
        <v>0</v>
      </c>
      <c r="AN47" s="7" t="n">
        <v>0</v>
      </c>
      <c r="AO47" s="7" t="n">
        <v>0</v>
      </c>
      <c r="AP47" s="7" t="n">
        <v>0</v>
      </c>
      <c r="AQ47" s="7" t="n">
        <v>0</v>
      </c>
      <c r="AR47" s="7" t="n">
        <v>0</v>
      </c>
      <c r="AS47" s="7" t="n">
        <v>0</v>
      </c>
      <c r="AT47" s="7" t="n">
        <v>0</v>
      </c>
      <c r="AU47" s="7" t="n">
        <v>0</v>
      </c>
      <c r="AV47" s="7" t="n">
        <v>0</v>
      </c>
      <c r="AW47" s="7" t="n">
        <v>0</v>
      </c>
      <c r="AX47" s="7" t="n">
        <v>0</v>
      </c>
      <c r="AY47" s="7" t="n">
        <v>0</v>
      </c>
      <c r="AZ47" s="7" t="n">
        <v>0</v>
      </c>
      <c r="BA47" s="7" t="n">
        <v>0</v>
      </c>
      <c r="BB47" s="7">
        <f>SUM(AD47:BA47)</f>
        <v/>
      </c>
    </row>
    <row r="48">
      <c r="A48" t="inlineStr">
        <is>
          <t>AMD-FWDPRI-SSC</t>
        </is>
      </c>
      <c r="B48" t="inlineStr">
        <is>
          <t>FWD Priority OSC</t>
        </is>
      </c>
      <c r="C48" s="5" t="n">
        <v>46103</v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6" t="n">
        <v>0</v>
      </c>
      <c r="AB48" s="6">
        <f>SUM(D48:AA48)</f>
        <v/>
      </c>
      <c r="AC48" s="3" t="inlineStr"/>
      <c r="AD48" s="7" t="n">
        <v>0</v>
      </c>
      <c r="AE48" s="7" t="n">
        <v>0</v>
      </c>
      <c r="AF48" s="7" t="n">
        <v>0</v>
      </c>
      <c r="AG48" s="7" t="n">
        <v>0</v>
      </c>
      <c r="AH48" s="7" t="n">
        <v>0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0</v>
      </c>
      <c r="AP48" s="7" t="n">
        <v>0</v>
      </c>
      <c r="AQ48" s="7" t="n">
        <v>0</v>
      </c>
      <c r="AR48" s="7" t="n">
        <v>0</v>
      </c>
      <c r="AS48" s="7" t="n">
        <v>0</v>
      </c>
      <c r="AT48" s="7" t="n">
        <v>0</v>
      </c>
      <c r="AU48" s="7" t="n">
        <v>0</v>
      </c>
      <c r="AV48" s="7" t="n">
        <v>0</v>
      </c>
      <c r="AW48" s="7" t="n">
        <v>0</v>
      </c>
      <c r="AX48" s="7" t="n">
        <v>0</v>
      </c>
      <c r="AY48" s="7" t="n">
        <v>0</v>
      </c>
      <c r="AZ48" s="7" t="n">
        <v>0</v>
      </c>
      <c r="BA48" s="7" t="n">
        <v>0</v>
      </c>
      <c r="BB48" s="7">
        <f>SUM(AD48:BA48)</f>
        <v/>
      </c>
    </row>
    <row r="49">
      <c r="A49" t="inlineStr">
        <is>
          <t>AMD-FWDPRI-SSC</t>
        </is>
      </c>
      <c r="B49" t="inlineStr">
        <is>
          <t>FWD Priority OSC</t>
        </is>
      </c>
      <c r="C49" s="5" t="n">
        <v>46104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0</v>
      </c>
      <c r="AB49" s="6">
        <f>SUM(D49:AA49)</f>
        <v/>
      </c>
      <c r="AC49" s="3" t="inlineStr"/>
      <c r="AD49" s="7" t="n">
        <v>0</v>
      </c>
      <c r="AE49" s="7" t="n">
        <v>0</v>
      </c>
      <c r="AF49" s="7" t="n">
        <v>0</v>
      </c>
      <c r="AG49" s="7" t="n">
        <v>0</v>
      </c>
      <c r="AH49" s="7" t="n">
        <v>0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0</v>
      </c>
      <c r="AN49" s="7" t="n">
        <v>0</v>
      </c>
      <c r="AO49" s="7" t="n">
        <v>0</v>
      </c>
      <c r="AP49" s="7" t="n">
        <v>0</v>
      </c>
      <c r="AQ49" s="7" t="n">
        <v>0</v>
      </c>
      <c r="AR49" s="7" t="n">
        <v>0</v>
      </c>
      <c r="AS49" s="7" t="n">
        <v>0</v>
      </c>
      <c r="AT49" s="7" t="n">
        <v>0</v>
      </c>
      <c r="AU49" s="7" t="n">
        <v>0</v>
      </c>
      <c r="AV49" s="7" t="n">
        <v>0</v>
      </c>
      <c r="AW49" s="7" t="n">
        <v>0</v>
      </c>
      <c r="AX49" s="7" t="n">
        <v>0</v>
      </c>
      <c r="AY49" s="7" t="n">
        <v>0</v>
      </c>
      <c r="AZ49" s="7" t="n">
        <v>0</v>
      </c>
      <c r="BA49" s="7" t="n">
        <v>0</v>
      </c>
      <c r="BB49" s="7">
        <f>SUM(AD49:BA49)</f>
        <v/>
      </c>
    </row>
    <row r="50">
      <c r="A50" t="inlineStr">
        <is>
          <t>AMD-FWDPRI-SSC</t>
        </is>
      </c>
      <c r="B50" t="inlineStr">
        <is>
          <t>FWD Priority OSC</t>
        </is>
      </c>
      <c r="C50" s="5" t="n">
        <v>46105</v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0</v>
      </c>
      <c r="M50" s="6" t="n">
        <v>0</v>
      </c>
      <c r="N50" s="6" t="n">
        <v>0</v>
      </c>
      <c r="O50" s="6" t="n">
        <v>0</v>
      </c>
      <c r="P50" s="6" t="n">
        <v>0</v>
      </c>
      <c r="Q50" s="6" t="n">
        <v>0</v>
      </c>
      <c r="R50" s="6" t="n">
        <v>0</v>
      </c>
      <c r="S50" s="6" t="n">
        <v>0</v>
      </c>
      <c r="T50" s="6" t="n">
        <v>0</v>
      </c>
      <c r="U50" s="6" t="n">
        <v>0</v>
      </c>
      <c r="V50" s="6" t="n">
        <v>0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0</v>
      </c>
      <c r="AB50" s="6">
        <f>SUM(D50:AA50)</f>
        <v/>
      </c>
      <c r="AC50" s="3" t="inlineStr"/>
      <c r="AD50" s="7" t="n">
        <v>0</v>
      </c>
      <c r="AE50" s="7" t="n">
        <v>0</v>
      </c>
      <c r="AF50" s="7" t="n">
        <v>0</v>
      </c>
      <c r="AG50" s="7" t="n">
        <v>0</v>
      </c>
      <c r="AH50" s="7" t="n">
        <v>0</v>
      </c>
      <c r="AI50" s="7" t="n">
        <v>0</v>
      </c>
      <c r="AJ50" s="7" t="n">
        <v>0</v>
      </c>
      <c r="AK50" s="7" t="n">
        <v>0</v>
      </c>
      <c r="AL50" s="7" t="n">
        <v>0</v>
      </c>
      <c r="AM50" s="7" t="n">
        <v>0</v>
      </c>
      <c r="AN50" s="7" t="n">
        <v>0</v>
      </c>
      <c r="AO50" s="7" t="n">
        <v>0</v>
      </c>
      <c r="AP50" s="7" t="n">
        <v>0</v>
      </c>
      <c r="AQ50" s="7" t="n">
        <v>0</v>
      </c>
      <c r="AR50" s="7" t="n">
        <v>0</v>
      </c>
      <c r="AS50" s="7" t="n">
        <v>0</v>
      </c>
      <c r="AT50" s="7" t="n">
        <v>0</v>
      </c>
      <c r="AU50" s="7" t="n">
        <v>0</v>
      </c>
      <c r="AV50" s="7" t="n">
        <v>0</v>
      </c>
      <c r="AW50" s="7" t="n">
        <v>0</v>
      </c>
      <c r="AX50" s="7" t="n">
        <v>0</v>
      </c>
      <c r="AY50" s="7" t="n">
        <v>0</v>
      </c>
      <c r="AZ50" s="7" t="n">
        <v>0</v>
      </c>
      <c r="BA50" s="7" t="n">
        <v>0</v>
      </c>
      <c r="BB50" s="7">
        <f>SUM(AD50:BA50)</f>
        <v/>
      </c>
    </row>
    <row r="51">
      <c r="A51" t="inlineStr">
        <is>
          <t>AMD-FWDREG-SSC</t>
        </is>
      </c>
      <c r="B51" t="inlineStr">
        <is>
          <t>Forward Regular OSC</t>
        </is>
      </c>
      <c r="C51" s="5" t="n">
        <v>46098</v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0</v>
      </c>
      <c r="O51" s="6" t="n">
        <v>0</v>
      </c>
      <c r="P51" s="6" t="n">
        <v>0</v>
      </c>
      <c r="Q51" s="6" t="n">
        <v>0</v>
      </c>
      <c r="R51" s="6" t="n">
        <v>0</v>
      </c>
      <c r="S51" s="6" t="n">
        <v>0</v>
      </c>
      <c r="T51" s="6" t="n">
        <v>0</v>
      </c>
      <c r="U51" s="6" t="n">
        <v>0</v>
      </c>
      <c r="V51" s="6" t="n">
        <v>0</v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6">
        <f>SUM(D51:AA51)</f>
        <v/>
      </c>
      <c r="AC51" s="3" t="inlineStr"/>
      <c r="AD51" s="7" t="n">
        <v>0</v>
      </c>
      <c r="AE51" s="7" t="n">
        <v>0</v>
      </c>
      <c r="AF51" s="7" t="n">
        <v>0</v>
      </c>
      <c r="AG51" s="7" t="n">
        <v>0</v>
      </c>
      <c r="AH51" s="7" t="n">
        <v>0</v>
      </c>
      <c r="AI51" s="7" t="n">
        <v>0</v>
      </c>
      <c r="AJ51" s="7" t="n">
        <v>0</v>
      </c>
      <c r="AK51" s="7" t="n">
        <v>0</v>
      </c>
      <c r="AL51" s="7" t="n">
        <v>0</v>
      </c>
      <c r="AM51" s="7" t="n">
        <v>0</v>
      </c>
      <c r="AN51" s="7" t="n">
        <v>0</v>
      </c>
      <c r="AO51" s="7" t="n">
        <v>0</v>
      </c>
      <c r="AP51" s="7" t="n">
        <v>0</v>
      </c>
      <c r="AQ51" s="7" t="n">
        <v>0</v>
      </c>
      <c r="AR51" s="7" t="n">
        <v>0</v>
      </c>
      <c r="AS51" s="7" t="n">
        <v>0</v>
      </c>
      <c r="AT51" s="7" t="n">
        <v>0</v>
      </c>
      <c r="AU51" s="7" t="n">
        <v>0</v>
      </c>
      <c r="AV51" s="7" t="n">
        <v>0</v>
      </c>
      <c r="AW51" s="7" t="n">
        <v>0</v>
      </c>
      <c r="AX51" s="7" t="n">
        <v>0</v>
      </c>
      <c r="AY51" s="7" t="n">
        <v>0</v>
      </c>
      <c r="AZ51" s="7" t="n">
        <v>0</v>
      </c>
      <c r="BA51" s="7" t="n">
        <v>0</v>
      </c>
      <c r="BB51" s="7">
        <f>SUM(AD51:BA51)</f>
        <v/>
      </c>
    </row>
    <row r="52">
      <c r="A52" t="inlineStr">
        <is>
          <t>AMD-FWDREG-SSC</t>
        </is>
      </c>
      <c r="B52" t="inlineStr">
        <is>
          <t>Forward Regular OSC</t>
        </is>
      </c>
      <c r="C52" s="5" t="n">
        <v>46099</v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</v>
      </c>
      <c r="L52" s="6" t="n">
        <v>0</v>
      </c>
      <c r="M52" s="6" t="n">
        <v>0</v>
      </c>
      <c r="N52" s="6" t="n">
        <v>0</v>
      </c>
      <c r="O52" s="6" t="n">
        <v>0</v>
      </c>
      <c r="P52" s="6" t="n">
        <v>0</v>
      </c>
      <c r="Q52" s="6" t="n">
        <v>0</v>
      </c>
      <c r="R52" s="6" t="n">
        <v>0</v>
      </c>
      <c r="S52" s="6" t="n">
        <v>0</v>
      </c>
      <c r="T52" s="6" t="n">
        <v>0</v>
      </c>
      <c r="U52" s="6" t="n">
        <v>0</v>
      </c>
      <c r="V52" s="6" t="n">
        <v>0</v>
      </c>
      <c r="W52" s="6" t="n">
        <v>0</v>
      </c>
      <c r="X52" s="6" t="n">
        <v>0</v>
      </c>
      <c r="Y52" s="6" t="n">
        <v>0</v>
      </c>
      <c r="Z52" s="6" t="n">
        <v>0</v>
      </c>
      <c r="AA52" s="6" t="n">
        <v>0</v>
      </c>
      <c r="AB52" s="6">
        <f>SUM(D52:AA52)</f>
        <v/>
      </c>
      <c r="AC52" s="3" t="inlineStr"/>
      <c r="AD52" s="7" t="n">
        <v>0</v>
      </c>
      <c r="AE52" s="7" t="n">
        <v>0</v>
      </c>
      <c r="AF52" s="7" t="n">
        <v>0</v>
      </c>
      <c r="AG52" s="7" t="n">
        <v>0</v>
      </c>
      <c r="AH52" s="7" t="n">
        <v>0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0</v>
      </c>
      <c r="AP52" s="7" t="n">
        <v>0</v>
      </c>
      <c r="AQ52" s="7" t="n">
        <v>0</v>
      </c>
      <c r="AR52" s="7" t="n">
        <v>0</v>
      </c>
      <c r="AS52" s="7" t="n">
        <v>0</v>
      </c>
      <c r="AT52" s="7" t="n">
        <v>0</v>
      </c>
      <c r="AU52" s="7" t="n">
        <v>0</v>
      </c>
      <c r="AV52" s="7" t="n">
        <v>0</v>
      </c>
      <c r="AW52" s="7" t="n">
        <v>0</v>
      </c>
      <c r="AX52" s="7" t="n">
        <v>0</v>
      </c>
      <c r="AY52" s="7" t="n">
        <v>0</v>
      </c>
      <c r="AZ52" s="7" t="n">
        <v>0</v>
      </c>
      <c r="BA52" s="7" t="n">
        <v>0</v>
      </c>
      <c r="BB52" s="7">
        <f>SUM(AD52:BA52)</f>
        <v/>
      </c>
    </row>
    <row r="53">
      <c r="A53" t="inlineStr">
        <is>
          <t>AMD-FWDREG-SSC</t>
        </is>
      </c>
      <c r="B53" t="inlineStr">
        <is>
          <t>Forward Regular OSC</t>
        </is>
      </c>
      <c r="C53" s="5" t="n">
        <v>46100</v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0</v>
      </c>
      <c r="O53" s="6" t="n">
        <v>0</v>
      </c>
      <c r="P53" s="6" t="n">
        <v>0</v>
      </c>
      <c r="Q53" s="6" t="n">
        <v>0</v>
      </c>
      <c r="R53" s="6" t="n">
        <v>0</v>
      </c>
      <c r="S53" s="6" t="n">
        <v>0</v>
      </c>
      <c r="T53" s="6" t="n">
        <v>0</v>
      </c>
      <c r="U53" s="6" t="n">
        <v>0</v>
      </c>
      <c r="V53" s="6" t="n">
        <v>0</v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6">
        <f>SUM(D53:AA53)</f>
        <v/>
      </c>
      <c r="AC53" s="3" t="inlineStr"/>
      <c r="AD53" s="7" t="n">
        <v>0</v>
      </c>
      <c r="AE53" s="7" t="n">
        <v>0</v>
      </c>
      <c r="AF53" s="7" t="n">
        <v>0</v>
      </c>
      <c r="AG53" s="7" t="n">
        <v>0</v>
      </c>
      <c r="AH53" s="7" t="n">
        <v>0</v>
      </c>
      <c r="AI53" s="7" t="n">
        <v>0</v>
      </c>
      <c r="AJ53" s="7" t="n">
        <v>0</v>
      </c>
      <c r="AK53" s="7" t="n">
        <v>0</v>
      </c>
      <c r="AL53" s="7" t="n">
        <v>0</v>
      </c>
      <c r="AM53" s="7" t="n">
        <v>0</v>
      </c>
      <c r="AN53" s="7" t="n">
        <v>0</v>
      </c>
      <c r="AO53" s="7" t="n">
        <v>0</v>
      </c>
      <c r="AP53" s="7" t="n">
        <v>0</v>
      </c>
      <c r="AQ53" s="7" t="n">
        <v>0</v>
      </c>
      <c r="AR53" s="7" t="n">
        <v>0</v>
      </c>
      <c r="AS53" s="7" t="n">
        <v>0</v>
      </c>
      <c r="AT53" s="7" t="n">
        <v>0</v>
      </c>
      <c r="AU53" s="7" t="n">
        <v>0</v>
      </c>
      <c r="AV53" s="7" t="n">
        <v>0</v>
      </c>
      <c r="AW53" s="7" t="n">
        <v>0</v>
      </c>
      <c r="AX53" s="7" t="n">
        <v>0</v>
      </c>
      <c r="AY53" s="7" t="n">
        <v>0</v>
      </c>
      <c r="AZ53" s="7" t="n">
        <v>0</v>
      </c>
      <c r="BA53" s="7" t="n">
        <v>0</v>
      </c>
      <c r="BB53" s="7">
        <f>SUM(AD53:BA53)</f>
        <v/>
      </c>
    </row>
    <row r="54">
      <c r="A54" t="inlineStr">
        <is>
          <t>AMD-FWDREG-SSC</t>
        </is>
      </c>
      <c r="B54" t="inlineStr">
        <is>
          <t>Forward Regular OSC</t>
        </is>
      </c>
      <c r="C54" s="5" t="n">
        <v>46101</v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0</v>
      </c>
      <c r="M54" s="6" t="n">
        <v>0</v>
      </c>
      <c r="N54" s="6" t="n">
        <v>0</v>
      </c>
      <c r="O54" s="6" t="n">
        <v>0</v>
      </c>
      <c r="P54" s="6" t="n">
        <v>0</v>
      </c>
      <c r="Q54" s="6" t="n">
        <v>0</v>
      </c>
      <c r="R54" s="6" t="n">
        <v>0</v>
      </c>
      <c r="S54" s="6" t="n">
        <v>0</v>
      </c>
      <c r="T54" s="6" t="n">
        <v>0</v>
      </c>
      <c r="U54" s="6" t="n">
        <v>0</v>
      </c>
      <c r="V54" s="6" t="n">
        <v>0</v>
      </c>
      <c r="W54" s="6" t="n">
        <v>0</v>
      </c>
      <c r="X54" s="6" t="n">
        <v>0</v>
      </c>
      <c r="Y54" s="6" t="n">
        <v>0</v>
      </c>
      <c r="Z54" s="6" t="n">
        <v>0</v>
      </c>
      <c r="AA54" s="6" t="n">
        <v>0</v>
      </c>
      <c r="AB54" s="6">
        <f>SUM(D54:AA54)</f>
        <v/>
      </c>
      <c r="AC54" s="3" t="inlineStr"/>
      <c r="AD54" s="7" t="n">
        <v>0</v>
      </c>
      <c r="AE54" s="7" t="n">
        <v>0</v>
      </c>
      <c r="AF54" s="7" t="n">
        <v>0</v>
      </c>
      <c r="AG54" s="7" t="n">
        <v>0</v>
      </c>
      <c r="AH54" s="7" t="n">
        <v>0</v>
      </c>
      <c r="AI54" s="7" t="n">
        <v>0</v>
      </c>
      <c r="AJ54" s="7" t="n">
        <v>0</v>
      </c>
      <c r="AK54" s="7" t="n">
        <v>0</v>
      </c>
      <c r="AL54" s="7" t="n">
        <v>0</v>
      </c>
      <c r="AM54" s="7" t="n">
        <v>0</v>
      </c>
      <c r="AN54" s="7" t="n">
        <v>0</v>
      </c>
      <c r="AO54" s="7" t="n">
        <v>0</v>
      </c>
      <c r="AP54" s="7" t="n">
        <v>0</v>
      </c>
      <c r="AQ54" s="7" t="n">
        <v>0</v>
      </c>
      <c r="AR54" s="7" t="n">
        <v>0</v>
      </c>
      <c r="AS54" s="7" t="n">
        <v>0</v>
      </c>
      <c r="AT54" s="7" t="n">
        <v>0</v>
      </c>
      <c r="AU54" s="7" t="n">
        <v>0</v>
      </c>
      <c r="AV54" s="7" t="n">
        <v>0</v>
      </c>
      <c r="AW54" s="7" t="n">
        <v>0</v>
      </c>
      <c r="AX54" s="7" t="n">
        <v>0</v>
      </c>
      <c r="AY54" s="7" t="n">
        <v>0</v>
      </c>
      <c r="AZ54" s="7" t="n">
        <v>0</v>
      </c>
      <c r="BA54" s="7" t="n">
        <v>0</v>
      </c>
      <c r="BB54" s="7">
        <f>SUM(AD54:BA54)</f>
        <v/>
      </c>
    </row>
    <row r="55">
      <c r="A55" t="inlineStr">
        <is>
          <t>AMD-FWDREG-SSC</t>
        </is>
      </c>
      <c r="B55" t="inlineStr">
        <is>
          <t>Forward Regular OSC</t>
        </is>
      </c>
      <c r="C55" s="5" t="n">
        <v>46102</v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6" t="n">
        <v>0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s="6" t="n">
        <v>0</v>
      </c>
      <c r="T55" s="6" t="n">
        <v>0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0</v>
      </c>
      <c r="AB55" s="6">
        <f>SUM(D55:AA55)</f>
        <v/>
      </c>
      <c r="AC55" s="3" t="inlineStr"/>
      <c r="AD55" s="7" t="n">
        <v>0</v>
      </c>
      <c r="AE55" s="7" t="n">
        <v>0</v>
      </c>
      <c r="AF55" s="7" t="n">
        <v>0</v>
      </c>
      <c r="AG55" s="7" t="n">
        <v>0</v>
      </c>
      <c r="AH55" s="7" t="n">
        <v>0</v>
      </c>
      <c r="AI55" s="7" t="n">
        <v>0</v>
      </c>
      <c r="AJ55" s="7" t="n">
        <v>0</v>
      </c>
      <c r="AK55" s="7" t="n">
        <v>0</v>
      </c>
      <c r="AL55" s="7" t="n">
        <v>0</v>
      </c>
      <c r="AM55" s="7" t="n">
        <v>0</v>
      </c>
      <c r="AN55" s="7" t="n">
        <v>0</v>
      </c>
      <c r="AO55" s="7" t="n">
        <v>0</v>
      </c>
      <c r="AP55" s="7" t="n">
        <v>0</v>
      </c>
      <c r="AQ55" s="7" t="n">
        <v>0</v>
      </c>
      <c r="AR55" s="7" t="n">
        <v>0</v>
      </c>
      <c r="AS55" s="7" t="n">
        <v>0</v>
      </c>
      <c r="AT55" s="7" t="n">
        <v>0</v>
      </c>
      <c r="AU55" s="7" t="n">
        <v>0</v>
      </c>
      <c r="AV55" s="7" t="n">
        <v>0</v>
      </c>
      <c r="AW55" s="7" t="n">
        <v>0</v>
      </c>
      <c r="AX55" s="7" t="n">
        <v>0</v>
      </c>
      <c r="AY55" s="7" t="n">
        <v>0</v>
      </c>
      <c r="AZ55" s="7" t="n">
        <v>0</v>
      </c>
      <c r="BA55" s="7" t="n">
        <v>0</v>
      </c>
      <c r="BB55" s="7">
        <f>SUM(AD55:BA55)</f>
        <v/>
      </c>
    </row>
    <row r="56">
      <c r="A56" t="inlineStr">
        <is>
          <t>AMD-FWDREG-SSC</t>
        </is>
      </c>
      <c r="B56" t="inlineStr">
        <is>
          <t>Forward Regular OSC</t>
        </is>
      </c>
      <c r="C56" s="5" t="n">
        <v>46103</v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0</v>
      </c>
      <c r="M56" s="6" t="n">
        <v>0</v>
      </c>
      <c r="N56" s="6" t="n">
        <v>0</v>
      </c>
      <c r="O56" s="6" t="n">
        <v>0</v>
      </c>
      <c r="P56" s="6" t="n">
        <v>0</v>
      </c>
      <c r="Q56" s="6" t="n">
        <v>0</v>
      </c>
      <c r="R56" s="6" t="n">
        <v>0</v>
      </c>
      <c r="S56" s="6" t="n">
        <v>0</v>
      </c>
      <c r="T56" s="6" t="n">
        <v>0</v>
      </c>
      <c r="U56" s="6" t="n">
        <v>0</v>
      </c>
      <c r="V56" s="6" t="n">
        <v>0</v>
      </c>
      <c r="W56" s="6" t="n">
        <v>0</v>
      </c>
      <c r="X56" s="6" t="n">
        <v>0</v>
      </c>
      <c r="Y56" s="6" t="n">
        <v>0</v>
      </c>
      <c r="Z56" s="6" t="n">
        <v>0</v>
      </c>
      <c r="AA56" s="6" t="n">
        <v>0</v>
      </c>
      <c r="AB56" s="6">
        <f>SUM(D56:AA56)</f>
        <v/>
      </c>
      <c r="AC56" s="3" t="inlineStr"/>
      <c r="AD56" s="7" t="n">
        <v>0</v>
      </c>
      <c r="AE56" s="7" t="n">
        <v>0</v>
      </c>
      <c r="AF56" s="7" t="n">
        <v>0</v>
      </c>
      <c r="AG56" s="7" t="n">
        <v>0</v>
      </c>
      <c r="AH56" s="7" t="n">
        <v>0</v>
      </c>
      <c r="AI56" s="7" t="n">
        <v>0</v>
      </c>
      <c r="AJ56" s="7" t="n">
        <v>0</v>
      </c>
      <c r="AK56" s="7" t="n">
        <v>0</v>
      </c>
      <c r="AL56" s="7" t="n">
        <v>0</v>
      </c>
      <c r="AM56" s="7" t="n">
        <v>0</v>
      </c>
      <c r="AN56" s="7" t="n">
        <v>0</v>
      </c>
      <c r="AO56" s="7" t="n">
        <v>0</v>
      </c>
      <c r="AP56" s="7" t="n">
        <v>0</v>
      </c>
      <c r="AQ56" s="7" t="n">
        <v>0</v>
      </c>
      <c r="AR56" s="7" t="n">
        <v>0</v>
      </c>
      <c r="AS56" s="7" t="n">
        <v>0</v>
      </c>
      <c r="AT56" s="7" t="n">
        <v>0</v>
      </c>
      <c r="AU56" s="7" t="n">
        <v>0</v>
      </c>
      <c r="AV56" s="7" t="n">
        <v>0</v>
      </c>
      <c r="AW56" s="7" t="n">
        <v>0</v>
      </c>
      <c r="AX56" s="7" t="n">
        <v>0</v>
      </c>
      <c r="AY56" s="7" t="n">
        <v>0</v>
      </c>
      <c r="AZ56" s="7" t="n">
        <v>0</v>
      </c>
      <c r="BA56" s="7" t="n">
        <v>0</v>
      </c>
      <c r="BB56" s="7">
        <f>SUM(AD56:BA56)</f>
        <v/>
      </c>
    </row>
    <row r="57">
      <c r="A57" t="inlineStr">
        <is>
          <t>AMD-FWDREG-SSC</t>
        </is>
      </c>
      <c r="B57" t="inlineStr">
        <is>
          <t>Forward Regular OSC</t>
        </is>
      </c>
      <c r="C57" s="5" t="n">
        <v>46104</v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0</v>
      </c>
      <c r="Q57" s="6" t="n">
        <v>0</v>
      </c>
      <c r="R57" s="6" t="n">
        <v>0</v>
      </c>
      <c r="S57" s="6" t="n">
        <v>0</v>
      </c>
      <c r="T57" s="6" t="n">
        <v>0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0</v>
      </c>
      <c r="AA57" s="6" t="n">
        <v>0</v>
      </c>
      <c r="AB57" s="6">
        <f>SUM(D57:AA57)</f>
        <v/>
      </c>
      <c r="AC57" s="3" t="inlineStr"/>
      <c r="AD57" s="7" t="n">
        <v>0</v>
      </c>
      <c r="AE57" s="7" t="n">
        <v>0</v>
      </c>
      <c r="AF57" s="7" t="n">
        <v>0</v>
      </c>
      <c r="AG57" s="7" t="n">
        <v>0</v>
      </c>
      <c r="AH57" s="7" t="n">
        <v>0</v>
      </c>
      <c r="AI57" s="7" t="n">
        <v>0</v>
      </c>
      <c r="AJ57" s="7" t="n">
        <v>0</v>
      </c>
      <c r="AK57" s="7" t="n">
        <v>0</v>
      </c>
      <c r="AL57" s="7" t="n">
        <v>0</v>
      </c>
      <c r="AM57" s="7" t="n">
        <v>0</v>
      </c>
      <c r="AN57" s="7" t="n">
        <v>0</v>
      </c>
      <c r="AO57" s="7" t="n">
        <v>0</v>
      </c>
      <c r="AP57" s="7" t="n">
        <v>0</v>
      </c>
      <c r="AQ57" s="7" t="n">
        <v>0</v>
      </c>
      <c r="AR57" s="7" t="n">
        <v>0</v>
      </c>
      <c r="AS57" s="7" t="n">
        <v>0</v>
      </c>
      <c r="AT57" s="7" t="n">
        <v>0</v>
      </c>
      <c r="AU57" s="7" t="n">
        <v>0</v>
      </c>
      <c r="AV57" s="7" t="n">
        <v>0</v>
      </c>
      <c r="AW57" s="7" t="n">
        <v>0</v>
      </c>
      <c r="AX57" s="7" t="n">
        <v>0</v>
      </c>
      <c r="AY57" s="7" t="n">
        <v>0</v>
      </c>
      <c r="AZ57" s="7" t="n">
        <v>0</v>
      </c>
      <c r="BA57" s="7" t="n">
        <v>0</v>
      </c>
      <c r="BB57" s="7">
        <f>SUM(AD57:BA57)</f>
        <v/>
      </c>
    </row>
    <row r="58">
      <c r="A58" t="inlineStr">
        <is>
          <t>AMD-FWDREG-SSC</t>
        </is>
      </c>
      <c r="B58" t="inlineStr">
        <is>
          <t>Forward Regular OSC</t>
        </is>
      </c>
      <c r="C58" s="5" t="n">
        <v>46105</v>
      </c>
      <c r="D58" s="6" t="n">
        <v>0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</v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0</v>
      </c>
      <c r="R58" s="6" t="n">
        <v>0</v>
      </c>
      <c r="S58" s="6" t="n">
        <v>0</v>
      </c>
      <c r="T58" s="6" t="n">
        <v>0</v>
      </c>
      <c r="U58" s="6" t="n">
        <v>0</v>
      </c>
      <c r="V58" s="6" t="n">
        <v>0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0</v>
      </c>
      <c r="AB58" s="6">
        <f>SUM(D58:AA58)</f>
        <v/>
      </c>
      <c r="AC58" s="3" t="inlineStr"/>
      <c r="AD58" s="7" t="n">
        <v>0</v>
      </c>
      <c r="AE58" s="7" t="n">
        <v>0</v>
      </c>
      <c r="AF58" s="7" t="n">
        <v>0</v>
      </c>
      <c r="AG58" s="7" t="n">
        <v>0</v>
      </c>
      <c r="AH58" s="7" t="n">
        <v>0</v>
      </c>
      <c r="AI58" s="7" t="n">
        <v>0</v>
      </c>
      <c r="AJ58" s="7" t="n">
        <v>0</v>
      </c>
      <c r="AK58" s="7" t="n">
        <v>0</v>
      </c>
      <c r="AL58" s="7" t="n">
        <v>0</v>
      </c>
      <c r="AM58" s="7" t="n">
        <v>0</v>
      </c>
      <c r="AN58" s="7" t="n">
        <v>0</v>
      </c>
      <c r="AO58" s="7" t="n">
        <v>0</v>
      </c>
      <c r="AP58" s="7" t="n">
        <v>0</v>
      </c>
      <c r="AQ58" s="7" t="n">
        <v>0</v>
      </c>
      <c r="AR58" s="7" t="n">
        <v>0</v>
      </c>
      <c r="AS58" s="7" t="n">
        <v>0</v>
      </c>
      <c r="AT58" s="7" t="n">
        <v>0</v>
      </c>
      <c r="AU58" s="7" t="n">
        <v>0</v>
      </c>
      <c r="AV58" s="7" t="n">
        <v>0</v>
      </c>
      <c r="AW58" s="7" t="n">
        <v>0</v>
      </c>
      <c r="AX58" s="7" t="n">
        <v>0</v>
      </c>
      <c r="AY58" s="7" t="n">
        <v>0</v>
      </c>
      <c r="AZ58" s="7" t="n">
        <v>0</v>
      </c>
      <c r="BA58" s="7" t="n">
        <v>0</v>
      </c>
      <c r="BB58" s="7">
        <f>SUM(AD58:BA58)</f>
        <v/>
      </c>
    </row>
    <row r="59">
      <c r="A59" t="inlineStr">
        <is>
          <t>AMD-INTRA-SSC</t>
        </is>
      </c>
      <c r="B59" t="inlineStr">
        <is>
          <t>Forward Regular OSC</t>
        </is>
      </c>
      <c r="C59" s="5" t="n">
        <v>46098</v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Q59" s="6" t="n">
        <v>0</v>
      </c>
      <c r="R59" s="6" t="n">
        <v>0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0</v>
      </c>
      <c r="Z59" s="6" t="n">
        <v>0</v>
      </c>
      <c r="AA59" s="6" t="n">
        <v>0</v>
      </c>
      <c r="AB59" s="6">
        <f>SUM(D59:AA59)</f>
        <v/>
      </c>
      <c r="AC59" s="3" t="inlineStr"/>
      <c r="AD59" s="7" t="n">
        <v>0</v>
      </c>
      <c r="AE59" s="7" t="n">
        <v>0</v>
      </c>
      <c r="AF59" s="7" t="n">
        <v>0</v>
      </c>
      <c r="AG59" s="7" t="n">
        <v>0</v>
      </c>
      <c r="AH59" s="7" t="n">
        <v>0</v>
      </c>
      <c r="AI59" s="7" t="n">
        <v>0</v>
      </c>
      <c r="AJ59" s="7" t="n">
        <v>0</v>
      </c>
      <c r="AK59" s="7" t="n">
        <v>0</v>
      </c>
      <c r="AL59" s="7" t="n">
        <v>0</v>
      </c>
      <c r="AM59" s="7" t="n">
        <v>0</v>
      </c>
      <c r="AN59" s="7" t="n">
        <v>0</v>
      </c>
      <c r="AO59" s="7" t="n">
        <v>0</v>
      </c>
      <c r="AP59" s="7" t="n">
        <v>0</v>
      </c>
      <c r="AQ59" s="7" t="n">
        <v>0</v>
      </c>
      <c r="AR59" s="7" t="n">
        <v>0</v>
      </c>
      <c r="AS59" s="7" t="n">
        <v>0</v>
      </c>
      <c r="AT59" s="7" t="n">
        <v>0</v>
      </c>
      <c r="AU59" s="7" t="n">
        <v>0</v>
      </c>
      <c r="AV59" s="7" t="n">
        <v>0</v>
      </c>
      <c r="AW59" s="7" t="n">
        <v>0</v>
      </c>
      <c r="AX59" s="7" t="n">
        <v>0</v>
      </c>
      <c r="AY59" s="7" t="n">
        <v>0</v>
      </c>
      <c r="AZ59" s="7" t="n">
        <v>0</v>
      </c>
      <c r="BA59" s="7" t="n">
        <v>0</v>
      </c>
      <c r="BB59" s="7">
        <f>SUM(AD59:BA59)</f>
        <v/>
      </c>
    </row>
    <row r="60">
      <c r="A60" t="inlineStr">
        <is>
          <t>AMD-INTRA-SSC</t>
        </is>
      </c>
      <c r="B60" t="inlineStr">
        <is>
          <t>Forward Regular OSC</t>
        </is>
      </c>
      <c r="C60" s="5" t="n">
        <v>46099</v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0</v>
      </c>
      <c r="Q60" s="6" t="n">
        <v>0</v>
      </c>
      <c r="R60" s="6" t="n">
        <v>0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0</v>
      </c>
      <c r="Z60" s="6" t="n">
        <v>0</v>
      </c>
      <c r="AA60" s="6" t="n">
        <v>0</v>
      </c>
      <c r="AB60" s="6">
        <f>SUM(D60:AA60)</f>
        <v/>
      </c>
      <c r="AC60" s="3" t="inlineStr"/>
      <c r="AD60" s="7" t="n">
        <v>0</v>
      </c>
      <c r="AE60" s="7" t="n">
        <v>0</v>
      </c>
      <c r="AF60" s="7" t="n">
        <v>0</v>
      </c>
      <c r="AG60" s="7" t="n">
        <v>0</v>
      </c>
      <c r="AH60" s="7" t="n">
        <v>0</v>
      </c>
      <c r="AI60" s="7" t="n">
        <v>0</v>
      </c>
      <c r="AJ60" s="7" t="n">
        <v>0</v>
      </c>
      <c r="AK60" s="7" t="n">
        <v>0</v>
      </c>
      <c r="AL60" s="7" t="n">
        <v>0</v>
      </c>
      <c r="AM60" s="7" t="n">
        <v>0</v>
      </c>
      <c r="AN60" s="7" t="n">
        <v>0</v>
      </c>
      <c r="AO60" s="7" t="n">
        <v>0</v>
      </c>
      <c r="AP60" s="7" t="n">
        <v>0</v>
      </c>
      <c r="AQ60" s="7" t="n">
        <v>0</v>
      </c>
      <c r="AR60" s="7" t="n">
        <v>0</v>
      </c>
      <c r="AS60" s="7" t="n">
        <v>0</v>
      </c>
      <c r="AT60" s="7" t="n">
        <v>0</v>
      </c>
      <c r="AU60" s="7" t="n">
        <v>0</v>
      </c>
      <c r="AV60" s="7" t="n">
        <v>0</v>
      </c>
      <c r="AW60" s="7" t="n">
        <v>0</v>
      </c>
      <c r="AX60" s="7" t="n">
        <v>0</v>
      </c>
      <c r="AY60" s="7" t="n">
        <v>0</v>
      </c>
      <c r="AZ60" s="7" t="n">
        <v>0</v>
      </c>
      <c r="BA60" s="7" t="n">
        <v>0</v>
      </c>
      <c r="BB60" s="7">
        <f>SUM(AD60:BA60)</f>
        <v/>
      </c>
    </row>
    <row r="61">
      <c r="A61" t="inlineStr">
        <is>
          <t>AMD-INTRA-SSC</t>
        </is>
      </c>
      <c r="B61" t="inlineStr">
        <is>
          <t>Forward Regular OSC</t>
        </is>
      </c>
      <c r="C61" s="5" t="n">
        <v>46100</v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0</v>
      </c>
      <c r="Q61" s="6" t="n">
        <v>0</v>
      </c>
      <c r="R61" s="6" t="n">
        <v>0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0</v>
      </c>
      <c r="X61" s="6" t="n">
        <v>0</v>
      </c>
      <c r="Y61" s="6" t="n">
        <v>0</v>
      </c>
      <c r="Z61" s="6" t="n">
        <v>0</v>
      </c>
      <c r="AA61" s="6" t="n">
        <v>0</v>
      </c>
      <c r="AB61" s="6">
        <f>SUM(D61:AA61)</f>
        <v/>
      </c>
      <c r="AC61" s="3" t="inlineStr"/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7" t="n">
        <v>0</v>
      </c>
      <c r="BB61" s="7">
        <f>SUM(AD61:BA61)</f>
        <v/>
      </c>
    </row>
    <row r="62">
      <c r="A62" t="inlineStr">
        <is>
          <t>AMD-INTRA-SSC</t>
        </is>
      </c>
      <c r="B62" t="inlineStr">
        <is>
          <t>Forward Regular OSC</t>
        </is>
      </c>
      <c r="C62" s="5" t="n">
        <v>46101</v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0</v>
      </c>
      <c r="M62" s="6" t="n">
        <v>0</v>
      </c>
      <c r="N62" s="6" t="n">
        <v>0</v>
      </c>
      <c r="O62" s="6" t="n">
        <v>0</v>
      </c>
      <c r="P62" s="6" t="n">
        <v>0</v>
      </c>
      <c r="Q62" s="6" t="n">
        <v>0</v>
      </c>
      <c r="R62" s="6" t="n">
        <v>0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0</v>
      </c>
      <c r="Z62" s="6" t="n">
        <v>0</v>
      </c>
      <c r="AA62" s="6" t="n">
        <v>0</v>
      </c>
      <c r="AB62" s="6">
        <f>SUM(D62:AA62)</f>
        <v/>
      </c>
      <c r="AC62" s="3" t="inlineStr"/>
      <c r="AD62" s="7" t="n">
        <v>0</v>
      </c>
      <c r="AE62" s="7" t="n">
        <v>0</v>
      </c>
      <c r="AF62" s="7" t="n">
        <v>0</v>
      </c>
      <c r="AG62" s="7" t="n">
        <v>0</v>
      </c>
      <c r="AH62" s="7" t="n">
        <v>0</v>
      </c>
      <c r="AI62" s="7" t="n">
        <v>0</v>
      </c>
      <c r="AJ62" s="7" t="n">
        <v>0</v>
      </c>
      <c r="AK62" s="7" t="n">
        <v>0</v>
      </c>
      <c r="AL62" s="7" t="n">
        <v>0</v>
      </c>
      <c r="AM62" s="7" t="n">
        <v>0</v>
      </c>
      <c r="AN62" s="7" t="n">
        <v>0</v>
      </c>
      <c r="AO62" s="7" t="n">
        <v>0</v>
      </c>
      <c r="AP62" s="7" t="n">
        <v>0</v>
      </c>
      <c r="AQ62" s="7" t="n">
        <v>0</v>
      </c>
      <c r="AR62" s="7" t="n">
        <v>0</v>
      </c>
      <c r="AS62" s="7" t="n">
        <v>0</v>
      </c>
      <c r="AT62" s="7" t="n">
        <v>0</v>
      </c>
      <c r="AU62" s="7" t="n">
        <v>0</v>
      </c>
      <c r="AV62" s="7" t="n">
        <v>0</v>
      </c>
      <c r="AW62" s="7" t="n">
        <v>0</v>
      </c>
      <c r="AX62" s="7" t="n">
        <v>0</v>
      </c>
      <c r="AY62" s="7" t="n">
        <v>0</v>
      </c>
      <c r="AZ62" s="7" t="n">
        <v>0</v>
      </c>
      <c r="BA62" s="7" t="n">
        <v>0</v>
      </c>
      <c r="BB62" s="7">
        <f>SUM(AD62:BA62)</f>
        <v/>
      </c>
    </row>
    <row r="63">
      <c r="A63" t="inlineStr">
        <is>
          <t>AMD-INTRA-SSC</t>
        </is>
      </c>
      <c r="B63" t="inlineStr">
        <is>
          <t>Forward Regular OSC</t>
        </is>
      </c>
      <c r="C63" s="5" t="n">
        <v>46102</v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0</v>
      </c>
      <c r="Q63" s="6" t="n">
        <v>0</v>
      </c>
      <c r="R63" s="6" t="n">
        <v>0</v>
      </c>
      <c r="S63" s="6" t="n">
        <v>0</v>
      </c>
      <c r="T63" s="6" t="n">
        <v>0</v>
      </c>
      <c r="U63" s="6" t="n">
        <v>0</v>
      </c>
      <c r="V63" s="6" t="n">
        <v>0</v>
      </c>
      <c r="W63" s="6" t="n">
        <v>0</v>
      </c>
      <c r="X63" s="6" t="n">
        <v>0</v>
      </c>
      <c r="Y63" s="6" t="n">
        <v>0</v>
      </c>
      <c r="Z63" s="6" t="n">
        <v>0</v>
      </c>
      <c r="AA63" s="6" t="n">
        <v>0</v>
      </c>
      <c r="AB63" s="6">
        <f>SUM(D63:AA63)</f>
        <v/>
      </c>
      <c r="AC63" s="3" t="inlineStr"/>
      <c r="AD63" s="7" t="n">
        <v>0</v>
      </c>
      <c r="AE63" s="7" t="n">
        <v>0</v>
      </c>
      <c r="AF63" s="7" t="n">
        <v>0</v>
      </c>
      <c r="AG63" s="7" t="n">
        <v>0</v>
      </c>
      <c r="AH63" s="7" t="n">
        <v>0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0</v>
      </c>
      <c r="AO63" s="7" t="n">
        <v>0</v>
      </c>
      <c r="AP63" s="7" t="n">
        <v>0</v>
      </c>
      <c r="AQ63" s="7" t="n">
        <v>0</v>
      </c>
      <c r="AR63" s="7" t="n">
        <v>0</v>
      </c>
      <c r="AS63" s="7" t="n">
        <v>0</v>
      </c>
      <c r="AT63" s="7" t="n">
        <v>0</v>
      </c>
      <c r="AU63" s="7" t="n">
        <v>0</v>
      </c>
      <c r="AV63" s="7" t="n">
        <v>0</v>
      </c>
      <c r="AW63" s="7" t="n">
        <v>0</v>
      </c>
      <c r="AX63" s="7" t="n">
        <v>0</v>
      </c>
      <c r="AY63" s="7" t="n">
        <v>0</v>
      </c>
      <c r="AZ63" s="7" t="n">
        <v>0</v>
      </c>
      <c r="BA63" s="7" t="n">
        <v>0</v>
      </c>
      <c r="BB63" s="7">
        <f>SUM(AD63:BA63)</f>
        <v/>
      </c>
    </row>
    <row r="64">
      <c r="A64" t="inlineStr">
        <is>
          <t>AMD-INTRA-SSC</t>
        </is>
      </c>
      <c r="B64" t="inlineStr">
        <is>
          <t>Forward Regular OSC</t>
        </is>
      </c>
      <c r="C64" s="5" t="n">
        <v>46103</v>
      </c>
      <c r="D64" s="6" t="n">
        <v>0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0</v>
      </c>
      <c r="M64" s="6" t="n">
        <v>0</v>
      </c>
      <c r="N64" s="6" t="n">
        <v>0</v>
      </c>
      <c r="O64" s="6" t="n">
        <v>0</v>
      </c>
      <c r="P64" s="6" t="n">
        <v>0</v>
      </c>
      <c r="Q64" s="6" t="n">
        <v>0</v>
      </c>
      <c r="R64" s="6" t="n">
        <v>0</v>
      </c>
      <c r="S64" s="6" t="n">
        <v>0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0</v>
      </c>
      <c r="AB64" s="6">
        <f>SUM(D64:AA64)</f>
        <v/>
      </c>
      <c r="AC64" s="3" t="inlineStr"/>
      <c r="AD64" s="7" t="n">
        <v>0</v>
      </c>
      <c r="AE64" s="7" t="n">
        <v>0</v>
      </c>
      <c r="AF64" s="7" t="n">
        <v>0</v>
      </c>
      <c r="AG64" s="7" t="n">
        <v>0</v>
      </c>
      <c r="AH64" s="7" t="n">
        <v>0</v>
      </c>
      <c r="AI64" s="7" t="n">
        <v>0</v>
      </c>
      <c r="AJ64" s="7" t="n">
        <v>0</v>
      </c>
      <c r="AK64" s="7" t="n">
        <v>0</v>
      </c>
      <c r="AL64" s="7" t="n">
        <v>0</v>
      </c>
      <c r="AM64" s="7" t="n">
        <v>0</v>
      </c>
      <c r="AN64" s="7" t="n">
        <v>0</v>
      </c>
      <c r="AO64" s="7" t="n">
        <v>0</v>
      </c>
      <c r="AP64" s="7" t="n">
        <v>0</v>
      </c>
      <c r="AQ64" s="7" t="n">
        <v>0</v>
      </c>
      <c r="AR64" s="7" t="n">
        <v>0</v>
      </c>
      <c r="AS64" s="7" t="n">
        <v>0</v>
      </c>
      <c r="AT64" s="7" t="n">
        <v>0</v>
      </c>
      <c r="AU64" s="7" t="n">
        <v>0</v>
      </c>
      <c r="AV64" s="7" t="n">
        <v>0</v>
      </c>
      <c r="AW64" s="7" t="n">
        <v>0</v>
      </c>
      <c r="AX64" s="7" t="n">
        <v>0</v>
      </c>
      <c r="AY64" s="7" t="n">
        <v>0</v>
      </c>
      <c r="AZ64" s="7" t="n">
        <v>0</v>
      </c>
      <c r="BA64" s="7" t="n">
        <v>0</v>
      </c>
      <c r="BB64" s="7">
        <f>SUM(AD64:BA64)</f>
        <v/>
      </c>
    </row>
    <row r="65">
      <c r="A65" t="inlineStr">
        <is>
          <t>AMD-INTRA-SSC</t>
        </is>
      </c>
      <c r="B65" t="inlineStr">
        <is>
          <t>Forward Regular OSC</t>
        </is>
      </c>
      <c r="C65" s="5" t="n">
        <v>46104</v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0</v>
      </c>
      <c r="Q65" s="6" t="n">
        <v>0</v>
      </c>
      <c r="R65" s="6" t="n">
        <v>0</v>
      </c>
      <c r="S65" s="6" t="n">
        <v>0</v>
      </c>
      <c r="T65" s="6" t="n">
        <v>0</v>
      </c>
      <c r="U65" s="6" t="n">
        <v>0</v>
      </c>
      <c r="V65" s="6" t="n">
        <v>0</v>
      </c>
      <c r="W65" s="6" t="n">
        <v>0</v>
      </c>
      <c r="X65" s="6" t="n">
        <v>0</v>
      </c>
      <c r="Y65" s="6" t="n">
        <v>0</v>
      </c>
      <c r="Z65" s="6" t="n">
        <v>0</v>
      </c>
      <c r="AA65" s="6" t="n">
        <v>0</v>
      </c>
      <c r="AB65" s="6">
        <f>SUM(D65:AA65)</f>
        <v/>
      </c>
      <c r="AC65" s="3" t="inlineStr"/>
      <c r="AD65" s="7" t="n">
        <v>0</v>
      </c>
      <c r="AE65" s="7" t="n">
        <v>0</v>
      </c>
      <c r="AF65" s="7" t="n">
        <v>0</v>
      </c>
      <c r="AG65" s="7" t="n">
        <v>0</v>
      </c>
      <c r="AH65" s="7" t="n">
        <v>0</v>
      </c>
      <c r="AI65" s="7" t="n">
        <v>0</v>
      </c>
      <c r="AJ65" s="7" t="n">
        <v>0</v>
      </c>
      <c r="AK65" s="7" t="n">
        <v>0</v>
      </c>
      <c r="AL65" s="7" t="n">
        <v>0</v>
      </c>
      <c r="AM65" s="7" t="n">
        <v>0</v>
      </c>
      <c r="AN65" s="7" t="n">
        <v>0</v>
      </c>
      <c r="AO65" s="7" t="n">
        <v>0</v>
      </c>
      <c r="AP65" s="7" t="n">
        <v>0</v>
      </c>
      <c r="AQ65" s="7" t="n">
        <v>0</v>
      </c>
      <c r="AR65" s="7" t="n">
        <v>0</v>
      </c>
      <c r="AS65" s="7" t="n">
        <v>0</v>
      </c>
      <c r="AT65" s="7" t="n">
        <v>0</v>
      </c>
      <c r="AU65" s="7" t="n">
        <v>0</v>
      </c>
      <c r="AV65" s="7" t="n">
        <v>0</v>
      </c>
      <c r="AW65" s="7" t="n">
        <v>0</v>
      </c>
      <c r="AX65" s="7" t="n">
        <v>0</v>
      </c>
      <c r="AY65" s="7" t="n">
        <v>0</v>
      </c>
      <c r="AZ65" s="7" t="n">
        <v>0</v>
      </c>
      <c r="BA65" s="7" t="n">
        <v>0</v>
      </c>
      <c r="BB65" s="7">
        <f>SUM(AD65:BA65)</f>
        <v/>
      </c>
    </row>
    <row r="66">
      <c r="A66" t="inlineStr">
        <is>
          <t>AMD-INTRA-SSC</t>
        </is>
      </c>
      <c r="B66" t="inlineStr">
        <is>
          <t>Forward Regular OSC</t>
        </is>
      </c>
      <c r="C66" s="5" t="n">
        <v>46105</v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0</v>
      </c>
      <c r="N66" s="6" t="n">
        <v>0</v>
      </c>
      <c r="O66" s="6" t="n">
        <v>0</v>
      </c>
      <c r="P66" s="6" t="n">
        <v>0</v>
      </c>
      <c r="Q66" s="6" t="n">
        <v>0</v>
      </c>
      <c r="R66" s="6" t="n">
        <v>0</v>
      </c>
      <c r="S66" s="6" t="n">
        <v>0</v>
      </c>
      <c r="T66" s="6" t="n">
        <v>0</v>
      </c>
      <c r="U66" s="6" t="n">
        <v>0</v>
      </c>
      <c r="V66" s="6" t="n">
        <v>0</v>
      </c>
      <c r="W66" s="6" t="n">
        <v>0</v>
      </c>
      <c r="X66" s="6" t="n">
        <v>0</v>
      </c>
      <c r="Y66" s="6" t="n">
        <v>0</v>
      </c>
      <c r="Z66" s="6" t="n">
        <v>0</v>
      </c>
      <c r="AA66" s="6" t="n">
        <v>0</v>
      </c>
      <c r="AB66" s="6">
        <f>SUM(D66:AA66)</f>
        <v/>
      </c>
      <c r="AC66" s="3" t="inlineStr"/>
      <c r="AD66" s="7" t="n">
        <v>0</v>
      </c>
      <c r="AE66" s="7" t="n">
        <v>0</v>
      </c>
      <c r="AF66" s="7" t="n">
        <v>0</v>
      </c>
      <c r="AG66" s="7" t="n">
        <v>0</v>
      </c>
      <c r="AH66" s="7" t="n">
        <v>0</v>
      </c>
      <c r="AI66" s="7" t="n">
        <v>0</v>
      </c>
      <c r="AJ66" s="7" t="n">
        <v>0</v>
      </c>
      <c r="AK66" s="7" t="n">
        <v>0</v>
      </c>
      <c r="AL66" s="7" t="n">
        <v>0</v>
      </c>
      <c r="AM66" s="7" t="n">
        <v>0</v>
      </c>
      <c r="AN66" s="7" t="n">
        <v>0</v>
      </c>
      <c r="AO66" s="7" t="n">
        <v>0</v>
      </c>
      <c r="AP66" s="7" t="n">
        <v>0</v>
      </c>
      <c r="AQ66" s="7" t="n">
        <v>0</v>
      </c>
      <c r="AR66" s="7" t="n">
        <v>0</v>
      </c>
      <c r="AS66" s="7" t="n">
        <v>0</v>
      </c>
      <c r="AT66" s="7" t="n">
        <v>0</v>
      </c>
      <c r="AU66" s="7" t="n">
        <v>0</v>
      </c>
      <c r="AV66" s="7" t="n">
        <v>0</v>
      </c>
      <c r="AW66" s="7" t="n">
        <v>0</v>
      </c>
      <c r="AX66" s="7" t="n">
        <v>0</v>
      </c>
      <c r="AY66" s="7" t="n">
        <v>0</v>
      </c>
      <c r="AZ66" s="7" t="n">
        <v>0</v>
      </c>
      <c r="BA66" s="7" t="n">
        <v>0</v>
      </c>
      <c r="BB66" s="7">
        <f>SUM(AD66:BA66)</f>
        <v/>
      </c>
    </row>
    <row r="67">
      <c r="A67" t="inlineStr">
        <is>
          <t>AMD-M1</t>
        </is>
      </c>
      <c r="B67" t="inlineStr">
        <is>
          <t>Forward Regular OSC</t>
        </is>
      </c>
      <c r="C67" s="5" t="n">
        <v>46089</v>
      </c>
      <c r="D67" s="6" t="n">
        <v>0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  <c r="S67" s="6" t="n">
        <v>0</v>
      </c>
      <c r="T67" s="6" t="n">
        <v>0</v>
      </c>
      <c r="U67" s="6" t="n">
        <v>0</v>
      </c>
      <c r="V67" s="6" t="n">
        <v>0</v>
      </c>
      <c r="W67" s="6" t="n">
        <v>0</v>
      </c>
      <c r="X67" s="6" t="n">
        <v>0</v>
      </c>
      <c r="Y67" s="6" t="n">
        <v>0</v>
      </c>
      <c r="Z67" s="6" t="n">
        <v>0</v>
      </c>
      <c r="AA67" s="6" t="n">
        <v>0</v>
      </c>
      <c r="AB67" s="6">
        <f>SUM(D67:AA67)</f>
        <v/>
      </c>
      <c r="AC67" s="3" t="inlineStr"/>
      <c r="AD67" s="7" t="n">
        <v>0</v>
      </c>
      <c r="AE67" s="7" t="n">
        <v>0</v>
      </c>
      <c r="AF67" s="7" t="n">
        <v>0</v>
      </c>
      <c r="AG67" s="7" t="n">
        <v>0</v>
      </c>
      <c r="AH67" s="7" t="n">
        <v>0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</v>
      </c>
      <c r="AN67" s="7" t="n">
        <v>0</v>
      </c>
      <c r="AO67" s="7" t="n">
        <v>0</v>
      </c>
      <c r="AP67" s="7" t="n">
        <v>0</v>
      </c>
      <c r="AQ67" s="7" t="n">
        <v>0</v>
      </c>
      <c r="AR67" s="7" t="n">
        <v>0</v>
      </c>
      <c r="AS67" s="7" t="n">
        <v>0</v>
      </c>
      <c r="AT67" s="7" t="n">
        <v>0</v>
      </c>
      <c r="AU67" s="7" t="n">
        <v>0</v>
      </c>
      <c r="AV67" s="7" t="n">
        <v>0</v>
      </c>
      <c r="AW67" s="7" t="n">
        <v>0</v>
      </c>
      <c r="AX67" s="7" t="n">
        <v>0</v>
      </c>
      <c r="AY67" s="7" t="n">
        <v>0</v>
      </c>
      <c r="AZ67" s="7" t="n">
        <v>0</v>
      </c>
      <c r="BA67" s="7" t="n">
        <v>0</v>
      </c>
      <c r="BB67" s="7">
        <f>SUM(AD67:BA67)</f>
        <v/>
      </c>
    </row>
    <row r="68">
      <c r="A68" t="inlineStr">
        <is>
          <t>AMD-M1</t>
        </is>
      </c>
      <c r="B68" t="inlineStr">
        <is>
          <t>Forward Regular OSC</t>
        </is>
      </c>
      <c r="C68" s="5" t="n">
        <v>46090</v>
      </c>
      <c r="D68" s="6" t="n">
        <v>0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0</v>
      </c>
      <c r="M68" s="6" t="n">
        <v>0</v>
      </c>
      <c r="N68" s="6" t="n">
        <v>0</v>
      </c>
      <c r="O68" s="6" t="n">
        <v>0</v>
      </c>
      <c r="P68" s="6" t="n">
        <v>0</v>
      </c>
      <c r="Q68" s="6" t="n">
        <v>0</v>
      </c>
      <c r="R68" s="6" t="n">
        <v>0</v>
      </c>
      <c r="S68" s="6" t="n">
        <v>0</v>
      </c>
      <c r="T68" s="6" t="n">
        <v>0</v>
      </c>
      <c r="U68" s="6" t="n">
        <v>0</v>
      </c>
      <c r="V68" s="6" t="n">
        <v>0</v>
      </c>
      <c r="W68" s="6" t="n">
        <v>0</v>
      </c>
      <c r="X68" s="6" t="n">
        <v>0</v>
      </c>
      <c r="Y68" s="6" t="n">
        <v>0</v>
      </c>
      <c r="Z68" s="6" t="n">
        <v>0</v>
      </c>
      <c r="AA68" s="6" t="n">
        <v>0</v>
      </c>
      <c r="AB68" s="6">
        <f>SUM(D68:AA68)</f>
        <v/>
      </c>
      <c r="AC68" s="3" t="inlineStr"/>
      <c r="AD68" s="7" t="n">
        <v>0</v>
      </c>
      <c r="AE68" s="7" t="n">
        <v>0</v>
      </c>
      <c r="AF68" s="7" t="n">
        <v>0</v>
      </c>
      <c r="AG68" s="7" t="n">
        <v>0</v>
      </c>
      <c r="AH68" s="7" t="n">
        <v>0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0</v>
      </c>
      <c r="AO68" s="7" t="n">
        <v>0</v>
      </c>
      <c r="AP68" s="7" t="n">
        <v>0</v>
      </c>
      <c r="AQ68" s="7" t="n">
        <v>0</v>
      </c>
      <c r="AR68" s="7" t="n">
        <v>0</v>
      </c>
      <c r="AS68" s="7" t="n">
        <v>0</v>
      </c>
      <c r="AT68" s="7" t="n">
        <v>0</v>
      </c>
      <c r="AU68" s="7" t="n">
        <v>0</v>
      </c>
      <c r="AV68" s="7" t="n">
        <v>0</v>
      </c>
      <c r="AW68" s="7" t="n">
        <v>0</v>
      </c>
      <c r="AX68" s="7" t="n">
        <v>0</v>
      </c>
      <c r="AY68" s="7" t="n">
        <v>0</v>
      </c>
      <c r="AZ68" s="7" t="n">
        <v>0</v>
      </c>
      <c r="BA68" s="7" t="n">
        <v>0</v>
      </c>
      <c r="BB68" s="7">
        <f>SUM(AD68:BA68)</f>
        <v/>
      </c>
    </row>
    <row r="69">
      <c r="A69" t="inlineStr">
        <is>
          <t>AMD-M1</t>
        </is>
      </c>
      <c r="B69" t="inlineStr">
        <is>
          <t>Forward Regular OSC</t>
        </is>
      </c>
      <c r="C69" s="5" t="n">
        <v>46091</v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>
        <f>SUM(D69:AA69)</f>
        <v/>
      </c>
      <c r="AC69" s="3" t="inlineStr"/>
      <c r="AD69" s="7" t="n">
        <v>0</v>
      </c>
      <c r="AE69" s="7" t="n">
        <v>0</v>
      </c>
      <c r="AF69" s="7" t="n">
        <v>0</v>
      </c>
      <c r="AG69" s="7" t="n">
        <v>0</v>
      </c>
      <c r="AH69" s="7" t="n">
        <v>0</v>
      </c>
      <c r="AI69" s="7" t="n">
        <v>0</v>
      </c>
      <c r="AJ69" s="7" t="n">
        <v>0</v>
      </c>
      <c r="AK69" s="7" t="n">
        <v>0</v>
      </c>
      <c r="AL69" s="7" t="n">
        <v>0</v>
      </c>
      <c r="AM69" s="7" t="n">
        <v>0</v>
      </c>
      <c r="AN69" s="7" t="n">
        <v>0</v>
      </c>
      <c r="AO69" s="7" t="n">
        <v>0</v>
      </c>
      <c r="AP69" s="7" t="n">
        <v>0</v>
      </c>
      <c r="AQ69" s="7" t="n">
        <v>0</v>
      </c>
      <c r="AR69" s="7" t="n">
        <v>0</v>
      </c>
      <c r="AS69" s="7" t="n">
        <v>0</v>
      </c>
      <c r="AT69" s="7" t="n">
        <v>0</v>
      </c>
      <c r="AU69" s="7" t="n">
        <v>0</v>
      </c>
      <c r="AV69" s="7" t="n">
        <v>0</v>
      </c>
      <c r="AW69" s="7" t="n">
        <v>0</v>
      </c>
      <c r="AX69" s="7" t="n">
        <v>0</v>
      </c>
      <c r="AY69" s="7" t="n">
        <v>0</v>
      </c>
      <c r="AZ69" s="7" t="n">
        <v>0</v>
      </c>
      <c r="BA69" s="7" t="n">
        <v>0</v>
      </c>
      <c r="BB69" s="7">
        <f>SUM(AD69:BA69)</f>
        <v/>
      </c>
    </row>
    <row r="70">
      <c r="A70" t="inlineStr">
        <is>
          <t>AMD-M1</t>
        </is>
      </c>
      <c r="B70" t="inlineStr">
        <is>
          <t>Forward Regular OSC</t>
        </is>
      </c>
      <c r="C70" s="5" t="n">
        <v>46092</v>
      </c>
      <c r="D70" s="6" t="n">
        <v>0</v>
      </c>
      <c r="E70" s="6" t="n">
        <v>0</v>
      </c>
      <c r="F70" s="6" t="n">
        <v>0</v>
      </c>
      <c r="G70" s="6" t="n">
        <v>0</v>
      </c>
      <c r="H70" s="6" t="n">
        <v>0</v>
      </c>
      <c r="I70" s="6" t="n">
        <v>0</v>
      </c>
      <c r="J70" s="6" t="n">
        <v>0</v>
      </c>
      <c r="K70" s="6" t="n">
        <v>0</v>
      </c>
      <c r="L70" s="6" t="n">
        <v>0</v>
      </c>
      <c r="M70" s="6" t="n">
        <v>0</v>
      </c>
      <c r="N70" s="6" t="n">
        <v>0</v>
      </c>
      <c r="O70" s="6" t="n">
        <v>0</v>
      </c>
      <c r="P70" s="6" t="n">
        <v>0</v>
      </c>
      <c r="Q70" s="6" t="n">
        <v>0</v>
      </c>
      <c r="R70" s="6" t="n">
        <v>0</v>
      </c>
      <c r="S70" s="6" t="n">
        <v>0</v>
      </c>
      <c r="T70" s="6" t="n">
        <v>0</v>
      </c>
      <c r="U70" s="6" t="n">
        <v>0</v>
      </c>
      <c r="V70" s="6" t="n">
        <v>0</v>
      </c>
      <c r="W70" s="6" t="n">
        <v>0</v>
      </c>
      <c r="X70" s="6" t="n">
        <v>0</v>
      </c>
      <c r="Y70" s="6" t="n">
        <v>0</v>
      </c>
      <c r="Z70" s="6" t="n">
        <v>0</v>
      </c>
      <c r="AA70" s="6" t="n">
        <v>0</v>
      </c>
      <c r="AB70" s="6">
        <f>SUM(D70:AA70)</f>
        <v/>
      </c>
      <c r="AC70" s="3" t="inlineStr"/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>
        <f>SUM(AD70:BA70)</f>
        <v/>
      </c>
    </row>
    <row r="71">
      <c r="A71" t="inlineStr">
        <is>
          <t>AMD-M1</t>
        </is>
      </c>
      <c r="B71" t="inlineStr">
        <is>
          <t>Forward Regular OSC</t>
        </is>
      </c>
      <c r="C71" s="5" t="n">
        <v>46093</v>
      </c>
      <c r="D71" s="6" t="n">
        <v>0</v>
      </c>
      <c r="E71" s="6" t="n">
        <v>0</v>
      </c>
      <c r="F71" s="6" t="n">
        <v>0</v>
      </c>
      <c r="G71" s="6" t="n">
        <v>0</v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0</v>
      </c>
      <c r="Z71" s="6" t="n">
        <v>0</v>
      </c>
      <c r="AA71" s="6" t="n">
        <v>0</v>
      </c>
      <c r="AB71" s="6">
        <f>SUM(D71:AA71)</f>
        <v/>
      </c>
      <c r="AC71" s="3" t="inlineStr"/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  <c r="AS71" s="7" t="n">
        <v>0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7" t="n">
        <v>0</v>
      </c>
      <c r="BB71" s="7">
        <f>SUM(AD71:BA71)</f>
        <v/>
      </c>
    </row>
    <row r="72">
      <c r="A72" t="inlineStr">
        <is>
          <t>AMD-M1</t>
        </is>
      </c>
      <c r="B72" t="inlineStr">
        <is>
          <t>Forward Regular OSC</t>
        </is>
      </c>
      <c r="C72" s="5" t="n">
        <v>46094</v>
      </c>
      <c r="D72" s="6" t="n">
        <v>0</v>
      </c>
      <c r="E72" s="6" t="n">
        <v>0</v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0</v>
      </c>
      <c r="K72" s="6" t="n">
        <v>0</v>
      </c>
      <c r="L72" s="6" t="n">
        <v>0</v>
      </c>
      <c r="M72" s="6" t="n">
        <v>0</v>
      </c>
      <c r="N72" s="6" t="n">
        <v>0</v>
      </c>
      <c r="O72" s="6" t="n">
        <v>0</v>
      </c>
      <c r="P72" s="6" t="n">
        <v>0</v>
      </c>
      <c r="Q72" s="6" t="n">
        <v>0</v>
      </c>
      <c r="R72" s="6" t="n">
        <v>0</v>
      </c>
      <c r="S72" s="6" t="n">
        <v>0</v>
      </c>
      <c r="T72" s="6" t="n">
        <v>0</v>
      </c>
      <c r="U72" s="6" t="n">
        <v>0</v>
      </c>
      <c r="V72" s="6" t="n">
        <v>0</v>
      </c>
      <c r="W72" s="6" t="n">
        <v>0</v>
      </c>
      <c r="X72" s="6" t="n">
        <v>0</v>
      </c>
      <c r="Y72" s="6" t="n">
        <v>0</v>
      </c>
      <c r="Z72" s="6" t="n">
        <v>0</v>
      </c>
      <c r="AA72" s="6" t="n">
        <v>0</v>
      </c>
      <c r="AB72" s="6">
        <f>SUM(D72:AA72)</f>
        <v/>
      </c>
      <c r="AC72" s="3" t="inlineStr"/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0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0</v>
      </c>
      <c r="AO72" s="7" t="n">
        <v>0</v>
      </c>
      <c r="AP72" s="7" t="n">
        <v>0</v>
      </c>
      <c r="AQ72" s="7" t="n">
        <v>0</v>
      </c>
      <c r="AR72" s="7" t="n">
        <v>0</v>
      </c>
      <c r="AS72" s="7" t="n">
        <v>0</v>
      </c>
      <c r="AT72" s="7" t="n">
        <v>0</v>
      </c>
      <c r="AU72" s="7" t="n">
        <v>0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0</v>
      </c>
      <c r="BA72" s="7" t="n">
        <v>0</v>
      </c>
      <c r="BB72" s="7">
        <f>SUM(AD72:BA72)</f>
        <v/>
      </c>
    </row>
    <row r="73">
      <c r="A73" t="inlineStr">
        <is>
          <t>AMD-M1</t>
        </is>
      </c>
      <c r="B73" t="inlineStr">
        <is>
          <t>Forward Regular OSC</t>
        </is>
      </c>
      <c r="C73" s="5" t="n">
        <v>46095</v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  <c r="S73" s="6" t="n">
        <v>0</v>
      </c>
      <c r="T73" s="6" t="n">
        <v>0</v>
      </c>
      <c r="U73" s="6" t="n">
        <v>0</v>
      </c>
      <c r="V73" s="6" t="n">
        <v>0</v>
      </c>
      <c r="W73" s="6" t="n">
        <v>0</v>
      </c>
      <c r="X73" s="6" t="n">
        <v>0</v>
      </c>
      <c r="Y73" s="6" t="n">
        <v>0</v>
      </c>
      <c r="Z73" s="6" t="n">
        <v>0</v>
      </c>
      <c r="AA73" s="6" t="n">
        <v>0</v>
      </c>
      <c r="AB73" s="6">
        <f>SUM(D73:AA73)</f>
        <v/>
      </c>
      <c r="AC73" s="3" t="inlineStr"/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7" t="n">
        <v>0</v>
      </c>
      <c r="BB73" s="7">
        <f>SUM(AD73:BA73)</f>
        <v/>
      </c>
    </row>
    <row r="74">
      <c r="A74" t="inlineStr">
        <is>
          <t>AMD-M1</t>
        </is>
      </c>
      <c r="B74" t="inlineStr">
        <is>
          <t>Forward Regular OSC</t>
        </is>
      </c>
      <c r="C74" s="5" t="n">
        <v>46096</v>
      </c>
      <c r="D74" s="6" t="n">
        <v>0</v>
      </c>
      <c r="E74" s="6" t="n">
        <v>0</v>
      </c>
      <c r="F74" s="6" t="n">
        <v>0</v>
      </c>
      <c r="G74" s="6" t="n">
        <v>0</v>
      </c>
      <c r="H74" s="6" t="n">
        <v>0</v>
      </c>
      <c r="I74" s="6" t="n">
        <v>0</v>
      </c>
      <c r="J74" s="6" t="n">
        <v>0</v>
      </c>
      <c r="K74" s="6" t="n">
        <v>0</v>
      </c>
      <c r="L74" s="6" t="n">
        <v>0</v>
      </c>
      <c r="M74" s="6" t="n">
        <v>0</v>
      </c>
      <c r="N74" s="6" t="n">
        <v>0</v>
      </c>
      <c r="O74" s="6" t="n">
        <v>0</v>
      </c>
      <c r="P74" s="6" t="n">
        <v>0</v>
      </c>
      <c r="Q74" s="6" t="n">
        <v>0</v>
      </c>
      <c r="R74" s="6" t="n">
        <v>0</v>
      </c>
      <c r="S74" s="6" t="n">
        <v>0</v>
      </c>
      <c r="T74" s="6" t="n">
        <v>0</v>
      </c>
      <c r="U74" s="6" t="n">
        <v>0</v>
      </c>
      <c r="V74" s="6" t="n">
        <v>0</v>
      </c>
      <c r="W74" s="6" t="n">
        <v>0</v>
      </c>
      <c r="X74" s="6" t="n">
        <v>0</v>
      </c>
      <c r="Y74" s="6" t="n">
        <v>0</v>
      </c>
      <c r="Z74" s="6" t="n">
        <v>0</v>
      </c>
      <c r="AA74" s="6" t="n">
        <v>0</v>
      </c>
      <c r="AB74" s="6">
        <f>SUM(D74:AA74)</f>
        <v/>
      </c>
      <c r="AC74" s="3" t="inlineStr"/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>
        <f>SUM(AD74:BA74)</f>
        <v/>
      </c>
    </row>
    <row r="75">
      <c r="A75" t="inlineStr">
        <is>
          <t>AMD-M1</t>
        </is>
      </c>
      <c r="B75" t="inlineStr">
        <is>
          <t>Forward Regular OSC</t>
        </is>
      </c>
      <c r="C75" s="5" t="n">
        <v>46097</v>
      </c>
      <c r="D75" s="6" t="n">
        <v>0</v>
      </c>
      <c r="E75" s="6" t="n">
        <v>0</v>
      </c>
      <c r="F75" s="6" t="n">
        <v>0</v>
      </c>
      <c r="G75" s="6" t="n">
        <v>0</v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  <c r="O75" s="6" t="n">
        <v>0</v>
      </c>
      <c r="P75" s="6" t="n">
        <v>0</v>
      </c>
      <c r="Q75" s="6" t="n">
        <v>0</v>
      </c>
      <c r="R75" s="6" t="n">
        <v>0</v>
      </c>
      <c r="S75" s="6" t="n">
        <v>0</v>
      </c>
      <c r="T75" s="6" t="n">
        <v>0</v>
      </c>
      <c r="U75" s="6" t="n">
        <v>0</v>
      </c>
      <c r="V75" s="6" t="n">
        <v>0</v>
      </c>
      <c r="W75" s="6" t="n">
        <v>0</v>
      </c>
      <c r="X75" s="6" t="n">
        <v>0</v>
      </c>
      <c r="Y75" s="6" t="n">
        <v>0</v>
      </c>
      <c r="Z75" s="6" t="n">
        <v>0</v>
      </c>
      <c r="AA75" s="6" t="n">
        <v>0</v>
      </c>
      <c r="AB75" s="6">
        <f>SUM(D75:AA75)</f>
        <v/>
      </c>
      <c r="AC75" s="3" t="inlineStr"/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7" t="n">
        <v>0</v>
      </c>
      <c r="AP75" s="7" t="n">
        <v>0</v>
      </c>
      <c r="AQ75" s="7" t="n">
        <v>0</v>
      </c>
      <c r="AR75" s="7" t="n">
        <v>0</v>
      </c>
      <c r="AS75" s="7" t="n">
        <v>0</v>
      </c>
      <c r="AT75" s="7" t="n">
        <v>0</v>
      </c>
      <c r="AU75" s="7" t="n">
        <v>0</v>
      </c>
      <c r="AV75" s="7" t="n">
        <v>0</v>
      </c>
      <c r="AW75" s="7" t="n">
        <v>0</v>
      </c>
      <c r="AX75" s="7" t="n">
        <v>0</v>
      </c>
      <c r="AY75" s="7" t="n">
        <v>0</v>
      </c>
      <c r="AZ75" s="7" t="n">
        <v>0</v>
      </c>
      <c r="BA75" s="7" t="n">
        <v>0</v>
      </c>
      <c r="BB75" s="7">
        <f>SUM(AD75:BA75)</f>
        <v/>
      </c>
    </row>
    <row r="76">
      <c r="A76" t="inlineStr">
        <is>
          <t>AMD-M2</t>
        </is>
      </c>
      <c r="B76" t="inlineStr">
        <is>
          <t>Forward Regular OSC</t>
        </is>
      </c>
      <c r="C76" s="5" t="n">
        <v>46089</v>
      </c>
      <c r="D76" s="6" t="n">
        <v>0</v>
      </c>
      <c r="E76" s="6" t="n">
        <v>0</v>
      </c>
      <c r="F76" s="6" t="n">
        <v>0</v>
      </c>
      <c r="G76" s="6" t="n">
        <v>0</v>
      </c>
      <c r="H76" s="6" t="n">
        <v>0</v>
      </c>
      <c r="I76" s="6" t="n">
        <v>0</v>
      </c>
      <c r="J76" s="6" t="n">
        <v>0</v>
      </c>
      <c r="K76" s="6" t="n">
        <v>0</v>
      </c>
      <c r="L76" s="6" t="n">
        <v>0</v>
      </c>
      <c r="M76" s="6" t="n">
        <v>0</v>
      </c>
      <c r="N76" s="6" t="n">
        <v>0</v>
      </c>
      <c r="O76" s="6" t="n">
        <v>0</v>
      </c>
      <c r="P76" s="6" t="n">
        <v>0</v>
      </c>
      <c r="Q76" s="6" t="n">
        <v>0</v>
      </c>
      <c r="R76" s="6" t="n">
        <v>0</v>
      </c>
      <c r="S76" s="6" t="n">
        <v>0</v>
      </c>
      <c r="T76" s="6" t="n">
        <v>0</v>
      </c>
      <c r="U76" s="6" t="n">
        <v>0</v>
      </c>
      <c r="V76" s="6" t="n">
        <v>0</v>
      </c>
      <c r="W76" s="6" t="n">
        <v>0</v>
      </c>
      <c r="X76" s="6" t="n">
        <v>0</v>
      </c>
      <c r="Y76" s="6" t="n">
        <v>0</v>
      </c>
      <c r="Z76" s="6" t="n">
        <v>0</v>
      </c>
      <c r="AA76" s="6" t="n">
        <v>0</v>
      </c>
      <c r="AB76" s="6">
        <f>SUM(D76:AA76)</f>
        <v/>
      </c>
      <c r="AC76" s="3" t="inlineStr"/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0</v>
      </c>
      <c r="AP76" s="7" t="n">
        <v>0</v>
      </c>
      <c r="AQ76" s="7" t="n">
        <v>0</v>
      </c>
      <c r="AR76" s="7" t="n">
        <v>0</v>
      </c>
      <c r="AS76" s="7" t="n">
        <v>0</v>
      </c>
      <c r="AT76" s="7" t="n">
        <v>0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0</v>
      </c>
      <c r="BA76" s="7" t="n">
        <v>0</v>
      </c>
      <c r="BB76" s="7">
        <f>SUM(AD76:BA76)</f>
        <v/>
      </c>
    </row>
    <row r="77">
      <c r="A77" t="inlineStr">
        <is>
          <t>AMD-M2</t>
        </is>
      </c>
      <c r="B77" t="inlineStr">
        <is>
          <t>Forward Regular OSC</t>
        </is>
      </c>
      <c r="C77" s="5" t="n">
        <v>46090</v>
      </c>
      <c r="D77" s="6" t="n">
        <v>0</v>
      </c>
      <c r="E77" s="6" t="n">
        <v>0</v>
      </c>
      <c r="F77" s="6" t="n">
        <v>0</v>
      </c>
      <c r="G77" s="6" t="n">
        <v>0</v>
      </c>
      <c r="H77" s="6" t="n">
        <v>0</v>
      </c>
      <c r="I77" s="6" t="n">
        <v>0</v>
      </c>
      <c r="J77" s="6" t="n">
        <v>0</v>
      </c>
      <c r="K77" s="6" t="n">
        <v>0</v>
      </c>
      <c r="L77" s="6" t="n">
        <v>0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</v>
      </c>
      <c r="R77" s="6" t="n">
        <v>0</v>
      </c>
      <c r="S77" s="6" t="n">
        <v>0</v>
      </c>
      <c r="T77" s="6" t="n">
        <v>0</v>
      </c>
      <c r="U77" s="6" t="n">
        <v>0</v>
      </c>
      <c r="V77" s="6" t="n">
        <v>0</v>
      </c>
      <c r="W77" s="6" t="n">
        <v>0</v>
      </c>
      <c r="X77" s="6" t="n">
        <v>0</v>
      </c>
      <c r="Y77" s="6" t="n">
        <v>0</v>
      </c>
      <c r="Z77" s="6" t="n">
        <v>0</v>
      </c>
      <c r="AA77" s="6" t="n">
        <v>0</v>
      </c>
      <c r="AB77" s="6">
        <f>SUM(D77:AA77)</f>
        <v/>
      </c>
      <c r="AC77" s="3" t="inlineStr"/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0</v>
      </c>
      <c r="AP77" s="7" t="n">
        <v>0</v>
      </c>
      <c r="AQ77" s="7" t="n">
        <v>0</v>
      </c>
      <c r="AR77" s="7" t="n">
        <v>0</v>
      </c>
      <c r="AS77" s="7" t="n">
        <v>0</v>
      </c>
      <c r="AT77" s="7" t="n">
        <v>0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0</v>
      </c>
      <c r="BA77" s="7" t="n">
        <v>0</v>
      </c>
      <c r="BB77" s="7">
        <f>SUM(AD77:BA77)</f>
        <v/>
      </c>
    </row>
    <row r="78">
      <c r="A78" t="inlineStr">
        <is>
          <t>AMD-M2</t>
        </is>
      </c>
      <c r="B78" t="inlineStr">
        <is>
          <t>Forward Regular OSC</t>
        </is>
      </c>
      <c r="C78" s="5" t="n">
        <v>46091</v>
      </c>
      <c r="D78" s="6" t="n">
        <v>0</v>
      </c>
      <c r="E78" s="6" t="n">
        <v>0</v>
      </c>
      <c r="F78" s="6" t="n">
        <v>0</v>
      </c>
      <c r="G78" s="6" t="n">
        <v>0</v>
      </c>
      <c r="H78" s="6" t="n">
        <v>0</v>
      </c>
      <c r="I78" s="6" t="n">
        <v>0</v>
      </c>
      <c r="J78" s="6" t="n">
        <v>0</v>
      </c>
      <c r="K78" s="6" t="n">
        <v>0</v>
      </c>
      <c r="L78" s="6" t="n">
        <v>0</v>
      </c>
      <c r="M78" s="6" t="n">
        <v>0</v>
      </c>
      <c r="N78" s="6" t="n">
        <v>0</v>
      </c>
      <c r="O78" s="6" t="n">
        <v>0</v>
      </c>
      <c r="P78" s="6" t="n">
        <v>0</v>
      </c>
      <c r="Q78" s="6" t="n">
        <v>0</v>
      </c>
      <c r="R78" s="6" t="n">
        <v>0</v>
      </c>
      <c r="S78" s="6" t="n">
        <v>0</v>
      </c>
      <c r="T78" s="6" t="n">
        <v>0</v>
      </c>
      <c r="U78" s="6" t="n">
        <v>0</v>
      </c>
      <c r="V78" s="6" t="n">
        <v>0</v>
      </c>
      <c r="W78" s="6" t="n">
        <v>0</v>
      </c>
      <c r="X78" s="6" t="n">
        <v>0</v>
      </c>
      <c r="Y78" s="6" t="n">
        <v>0</v>
      </c>
      <c r="Z78" s="6" t="n">
        <v>0</v>
      </c>
      <c r="AA78" s="6" t="n">
        <v>0</v>
      </c>
      <c r="AB78" s="6">
        <f>SUM(D78:AA78)</f>
        <v/>
      </c>
      <c r="AC78" s="3" t="inlineStr"/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0</v>
      </c>
      <c r="AP78" s="7" t="n">
        <v>0</v>
      </c>
      <c r="AQ78" s="7" t="n">
        <v>0</v>
      </c>
      <c r="AR78" s="7" t="n">
        <v>0</v>
      </c>
      <c r="AS78" s="7" t="n">
        <v>0</v>
      </c>
      <c r="AT78" s="7" t="n">
        <v>0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0</v>
      </c>
      <c r="BA78" s="7" t="n">
        <v>0</v>
      </c>
      <c r="BB78" s="7">
        <f>SUM(AD78:BA78)</f>
        <v/>
      </c>
    </row>
    <row r="79">
      <c r="A79" t="inlineStr">
        <is>
          <t>AMD-M2</t>
        </is>
      </c>
      <c r="B79" t="inlineStr">
        <is>
          <t>Forward Regular OSC</t>
        </is>
      </c>
      <c r="C79" s="5" t="n">
        <v>46092</v>
      </c>
      <c r="D79" s="6" t="n">
        <v>0</v>
      </c>
      <c r="E79" s="6" t="n">
        <v>0</v>
      </c>
      <c r="F79" s="6" t="n">
        <v>0</v>
      </c>
      <c r="G79" s="6" t="n">
        <v>0</v>
      </c>
      <c r="H79" s="6" t="n">
        <v>0</v>
      </c>
      <c r="I79" s="6" t="n">
        <v>0</v>
      </c>
      <c r="J79" s="6" t="n">
        <v>0</v>
      </c>
      <c r="K79" s="6" t="n">
        <v>0</v>
      </c>
      <c r="L79" s="6" t="n">
        <v>0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0</v>
      </c>
      <c r="T79" s="6" t="n">
        <v>0</v>
      </c>
      <c r="U79" s="6" t="n">
        <v>0</v>
      </c>
      <c r="V79" s="6" t="n">
        <v>0</v>
      </c>
      <c r="W79" s="6" t="n">
        <v>0</v>
      </c>
      <c r="X79" s="6" t="n">
        <v>0</v>
      </c>
      <c r="Y79" s="6" t="n">
        <v>0</v>
      </c>
      <c r="Z79" s="6" t="n">
        <v>0</v>
      </c>
      <c r="AA79" s="6" t="n">
        <v>0</v>
      </c>
      <c r="AB79" s="6">
        <f>SUM(D79:AA79)</f>
        <v/>
      </c>
      <c r="AC79" s="3" t="inlineStr"/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0</v>
      </c>
      <c r="AP79" s="7" t="n">
        <v>0</v>
      </c>
      <c r="AQ79" s="7" t="n">
        <v>0</v>
      </c>
      <c r="AR79" s="7" t="n">
        <v>0</v>
      </c>
      <c r="AS79" s="7" t="n">
        <v>0</v>
      </c>
      <c r="AT79" s="7" t="n">
        <v>0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0</v>
      </c>
      <c r="BA79" s="7" t="n">
        <v>0</v>
      </c>
      <c r="BB79" s="7">
        <f>SUM(AD79:BA79)</f>
        <v/>
      </c>
    </row>
    <row r="80">
      <c r="A80" t="inlineStr">
        <is>
          <t>AMD-M2</t>
        </is>
      </c>
      <c r="B80" t="inlineStr">
        <is>
          <t>Forward Regular OSC</t>
        </is>
      </c>
      <c r="C80" s="5" t="n">
        <v>46093</v>
      </c>
      <c r="D80" s="6" t="n">
        <v>0</v>
      </c>
      <c r="E80" s="6" t="n">
        <v>0</v>
      </c>
      <c r="F80" s="6" t="n">
        <v>0</v>
      </c>
      <c r="G80" s="6" t="n">
        <v>0</v>
      </c>
      <c r="H80" s="6" t="n">
        <v>0</v>
      </c>
      <c r="I80" s="6" t="n">
        <v>0</v>
      </c>
      <c r="J80" s="6" t="n">
        <v>0</v>
      </c>
      <c r="K80" s="6" t="n">
        <v>0</v>
      </c>
      <c r="L80" s="6" t="n">
        <v>0</v>
      </c>
      <c r="M80" s="6" t="n">
        <v>0</v>
      </c>
      <c r="N80" s="6" t="n">
        <v>0</v>
      </c>
      <c r="O80" s="6" t="n">
        <v>0</v>
      </c>
      <c r="P80" s="6" t="n">
        <v>0</v>
      </c>
      <c r="Q80" s="6" t="n">
        <v>0</v>
      </c>
      <c r="R80" s="6" t="n">
        <v>0</v>
      </c>
      <c r="S80" s="6" t="n">
        <v>0</v>
      </c>
      <c r="T80" s="6" t="n">
        <v>0</v>
      </c>
      <c r="U80" s="6" t="n">
        <v>0</v>
      </c>
      <c r="V80" s="6" t="n">
        <v>0</v>
      </c>
      <c r="W80" s="6" t="n">
        <v>0</v>
      </c>
      <c r="X80" s="6" t="n">
        <v>0</v>
      </c>
      <c r="Y80" s="6" t="n">
        <v>0</v>
      </c>
      <c r="Z80" s="6" t="n">
        <v>0</v>
      </c>
      <c r="AA80" s="6" t="n">
        <v>0</v>
      </c>
      <c r="AB80" s="6">
        <f>SUM(D80:AA80)</f>
        <v/>
      </c>
      <c r="AC80" s="3" t="inlineStr"/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0</v>
      </c>
      <c r="AP80" s="7" t="n">
        <v>0</v>
      </c>
      <c r="AQ80" s="7" t="n">
        <v>0</v>
      </c>
      <c r="AR80" s="7" t="n">
        <v>0</v>
      </c>
      <c r="AS80" s="7" t="n">
        <v>0</v>
      </c>
      <c r="AT80" s="7" t="n">
        <v>0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0</v>
      </c>
      <c r="BA80" s="7" t="n">
        <v>0</v>
      </c>
      <c r="BB80" s="7">
        <f>SUM(AD80:BA80)</f>
        <v/>
      </c>
    </row>
    <row r="81">
      <c r="A81" t="inlineStr">
        <is>
          <t>AMD-M2</t>
        </is>
      </c>
      <c r="B81" t="inlineStr">
        <is>
          <t>Forward Regular OSC</t>
        </is>
      </c>
      <c r="C81" s="5" t="n">
        <v>46094</v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  <c r="R81" s="6" t="n">
        <v>0</v>
      </c>
      <c r="S81" s="6" t="n">
        <v>0</v>
      </c>
      <c r="T81" s="6" t="n">
        <v>0</v>
      </c>
      <c r="U81" s="6" t="n">
        <v>0</v>
      </c>
      <c r="V81" s="6" t="n">
        <v>0</v>
      </c>
      <c r="W81" s="6" t="n">
        <v>0</v>
      </c>
      <c r="X81" s="6" t="n">
        <v>0</v>
      </c>
      <c r="Y81" s="6" t="n">
        <v>0</v>
      </c>
      <c r="Z81" s="6" t="n">
        <v>0</v>
      </c>
      <c r="AA81" s="6" t="n">
        <v>0</v>
      </c>
      <c r="AB81" s="6">
        <f>SUM(D81:AA81)</f>
        <v/>
      </c>
      <c r="AC81" s="3" t="inlineStr"/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0</v>
      </c>
      <c r="AP81" s="7" t="n">
        <v>0</v>
      </c>
      <c r="AQ81" s="7" t="n">
        <v>0</v>
      </c>
      <c r="AR81" s="7" t="n">
        <v>0</v>
      </c>
      <c r="AS81" s="7" t="n">
        <v>0</v>
      </c>
      <c r="AT81" s="7" t="n">
        <v>0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0</v>
      </c>
      <c r="BA81" s="7" t="n">
        <v>0</v>
      </c>
      <c r="BB81" s="7">
        <f>SUM(AD81:BA81)</f>
        <v/>
      </c>
    </row>
    <row r="82">
      <c r="A82" t="inlineStr">
        <is>
          <t>AMD-M2</t>
        </is>
      </c>
      <c r="B82" t="inlineStr">
        <is>
          <t>Forward Regular OSC</t>
        </is>
      </c>
      <c r="C82" s="5" t="n">
        <v>46095</v>
      </c>
      <c r="D82" s="6" t="n">
        <v>0</v>
      </c>
      <c r="E82" s="6" t="n">
        <v>0</v>
      </c>
      <c r="F82" s="6" t="n">
        <v>0</v>
      </c>
      <c r="G82" s="6" t="n">
        <v>0</v>
      </c>
      <c r="H82" s="6" t="n">
        <v>0</v>
      </c>
      <c r="I82" s="6" t="n">
        <v>0</v>
      </c>
      <c r="J82" s="6" t="n">
        <v>0</v>
      </c>
      <c r="K82" s="6" t="n">
        <v>0</v>
      </c>
      <c r="L82" s="6" t="n">
        <v>0</v>
      </c>
      <c r="M82" s="6" t="n">
        <v>0</v>
      </c>
      <c r="N82" s="6" t="n">
        <v>0</v>
      </c>
      <c r="O82" s="6" t="n">
        <v>0</v>
      </c>
      <c r="P82" s="6" t="n">
        <v>0</v>
      </c>
      <c r="Q82" s="6" t="n">
        <v>0</v>
      </c>
      <c r="R82" s="6" t="n">
        <v>0</v>
      </c>
      <c r="S82" s="6" t="n">
        <v>0</v>
      </c>
      <c r="T82" s="6" t="n">
        <v>0</v>
      </c>
      <c r="U82" s="6" t="n">
        <v>0</v>
      </c>
      <c r="V82" s="6" t="n">
        <v>0</v>
      </c>
      <c r="W82" s="6" t="n">
        <v>0</v>
      </c>
      <c r="X82" s="6" t="n">
        <v>0</v>
      </c>
      <c r="Y82" s="6" t="n">
        <v>0</v>
      </c>
      <c r="Z82" s="6" t="n">
        <v>0</v>
      </c>
      <c r="AA82" s="6" t="n">
        <v>0</v>
      </c>
      <c r="AB82" s="6">
        <f>SUM(D82:AA82)</f>
        <v/>
      </c>
      <c r="AC82" s="3" t="inlineStr"/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0</v>
      </c>
      <c r="AP82" s="7" t="n">
        <v>0</v>
      </c>
      <c r="AQ82" s="7" t="n">
        <v>0</v>
      </c>
      <c r="AR82" s="7" t="n">
        <v>0</v>
      </c>
      <c r="AS82" s="7" t="n">
        <v>0</v>
      </c>
      <c r="AT82" s="7" t="n">
        <v>0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7" t="n">
        <v>0</v>
      </c>
      <c r="BB82" s="7">
        <f>SUM(AD82:BA82)</f>
        <v/>
      </c>
    </row>
    <row r="83">
      <c r="A83" t="inlineStr">
        <is>
          <t>AMD-M2</t>
        </is>
      </c>
      <c r="B83" t="inlineStr">
        <is>
          <t>Forward Regular OSC</t>
        </is>
      </c>
      <c r="C83" s="5" t="n">
        <v>46096</v>
      </c>
      <c r="D83" s="6" t="n">
        <v>0</v>
      </c>
      <c r="E83" s="6" t="n">
        <v>0</v>
      </c>
      <c r="F83" s="6" t="n">
        <v>0</v>
      </c>
      <c r="G83" s="6" t="n">
        <v>0</v>
      </c>
      <c r="H83" s="6" t="n">
        <v>0</v>
      </c>
      <c r="I83" s="6" t="n">
        <v>0</v>
      </c>
      <c r="J83" s="6" t="n">
        <v>0</v>
      </c>
      <c r="K83" s="6" t="n">
        <v>0</v>
      </c>
      <c r="L83" s="6" t="n">
        <v>0</v>
      </c>
      <c r="M83" s="6" t="n">
        <v>0</v>
      </c>
      <c r="N83" s="6" t="n">
        <v>0</v>
      </c>
      <c r="O83" s="6" t="n">
        <v>0</v>
      </c>
      <c r="P83" s="6" t="n">
        <v>0</v>
      </c>
      <c r="Q83" s="6" t="n">
        <v>0</v>
      </c>
      <c r="R83" s="6" t="n">
        <v>0</v>
      </c>
      <c r="S83" s="6" t="n">
        <v>0</v>
      </c>
      <c r="T83" s="6" t="n">
        <v>0</v>
      </c>
      <c r="U83" s="6" t="n">
        <v>0</v>
      </c>
      <c r="V83" s="6" t="n">
        <v>0</v>
      </c>
      <c r="W83" s="6" t="n">
        <v>0</v>
      </c>
      <c r="X83" s="6" t="n">
        <v>0</v>
      </c>
      <c r="Y83" s="6" t="n">
        <v>0</v>
      </c>
      <c r="Z83" s="6" t="n">
        <v>0</v>
      </c>
      <c r="AA83" s="6" t="n">
        <v>0</v>
      </c>
      <c r="AB83" s="6">
        <f>SUM(D83:AA83)</f>
        <v/>
      </c>
      <c r="AC83" s="3" t="inlineStr"/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0</v>
      </c>
      <c r="AP83" s="7" t="n">
        <v>0</v>
      </c>
      <c r="AQ83" s="7" t="n">
        <v>0</v>
      </c>
      <c r="AR83" s="7" t="n">
        <v>0</v>
      </c>
      <c r="AS83" s="7" t="n">
        <v>0</v>
      </c>
      <c r="AT83" s="7" t="n">
        <v>0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0</v>
      </c>
      <c r="BA83" s="7" t="n">
        <v>0</v>
      </c>
      <c r="BB83" s="7">
        <f>SUM(AD83:BA83)</f>
        <v/>
      </c>
    </row>
    <row r="84">
      <c r="A84" t="inlineStr">
        <is>
          <t>AMD-M2</t>
        </is>
      </c>
      <c r="B84" t="inlineStr">
        <is>
          <t>Forward Regular OSC</t>
        </is>
      </c>
      <c r="C84" s="5" t="n">
        <v>46097</v>
      </c>
      <c r="D84" s="6" t="n">
        <v>0</v>
      </c>
      <c r="E84" s="6" t="n">
        <v>0</v>
      </c>
      <c r="F84" s="6" t="n">
        <v>0</v>
      </c>
      <c r="G84" s="6" t="n">
        <v>0</v>
      </c>
      <c r="H84" s="6" t="n">
        <v>0</v>
      </c>
      <c r="I84" s="6" t="n">
        <v>0</v>
      </c>
      <c r="J84" s="6" t="n">
        <v>0</v>
      </c>
      <c r="K84" s="6" t="n">
        <v>0</v>
      </c>
      <c r="L84" s="6" t="n">
        <v>0</v>
      </c>
      <c r="M84" s="6" t="n">
        <v>0</v>
      </c>
      <c r="N84" s="6" t="n">
        <v>0</v>
      </c>
      <c r="O84" s="6" t="n">
        <v>0</v>
      </c>
      <c r="P84" s="6" t="n">
        <v>0</v>
      </c>
      <c r="Q84" s="6" t="n">
        <v>0</v>
      </c>
      <c r="R84" s="6" t="n">
        <v>0</v>
      </c>
      <c r="S84" s="6" t="n">
        <v>0</v>
      </c>
      <c r="T84" s="6" t="n">
        <v>0</v>
      </c>
      <c r="U84" s="6" t="n">
        <v>0</v>
      </c>
      <c r="V84" s="6" t="n">
        <v>0</v>
      </c>
      <c r="W84" s="6" t="n">
        <v>0</v>
      </c>
      <c r="X84" s="6" t="n">
        <v>0</v>
      </c>
      <c r="Y84" s="6" t="n">
        <v>0</v>
      </c>
      <c r="Z84" s="6" t="n">
        <v>0</v>
      </c>
      <c r="AA84" s="6" t="n">
        <v>0</v>
      </c>
      <c r="AB84" s="6">
        <f>SUM(D84:AA84)</f>
        <v/>
      </c>
      <c r="AC84" s="3" t="inlineStr"/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0</v>
      </c>
      <c r="AP84" s="7" t="n">
        <v>0</v>
      </c>
      <c r="AQ84" s="7" t="n">
        <v>0</v>
      </c>
      <c r="AR84" s="7" t="n">
        <v>0</v>
      </c>
      <c r="AS84" s="7" t="n">
        <v>0</v>
      </c>
      <c r="AT84" s="7" t="n">
        <v>0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0</v>
      </c>
      <c r="BA84" s="7" t="n">
        <v>0</v>
      </c>
      <c r="BB84" s="7">
        <f>SUM(AD84:BA84)</f>
        <v/>
      </c>
    </row>
    <row r="85">
      <c r="A85" t="inlineStr">
        <is>
          <t>AMD-MU-01</t>
        </is>
      </c>
      <c r="B85" t="inlineStr">
        <is>
          <t>Forward Regular OSC</t>
        </is>
      </c>
      <c r="C85" s="5" t="n">
        <v>46091</v>
      </c>
      <c r="D85" s="6" t="n">
        <v>0</v>
      </c>
      <c r="E85" s="6" t="n">
        <v>0</v>
      </c>
      <c r="F85" s="6" t="n">
        <v>0</v>
      </c>
      <c r="G85" s="6" t="n">
        <v>0</v>
      </c>
      <c r="H85" s="6" t="n">
        <v>0</v>
      </c>
      <c r="I85" s="6" t="n">
        <v>0</v>
      </c>
      <c r="J85" s="6" t="n">
        <v>0</v>
      </c>
      <c r="K85" s="6" t="n">
        <v>0</v>
      </c>
      <c r="L85" s="6" t="n">
        <v>0</v>
      </c>
      <c r="M85" s="6" t="n">
        <v>0</v>
      </c>
      <c r="N85" s="6" t="n">
        <v>0</v>
      </c>
      <c r="O85" s="6" t="n">
        <v>0</v>
      </c>
      <c r="P85" s="6" t="n">
        <v>0</v>
      </c>
      <c r="Q85" s="6" t="n">
        <v>0</v>
      </c>
      <c r="R85" s="6" t="n">
        <v>0</v>
      </c>
      <c r="S85" s="6" t="n">
        <v>0</v>
      </c>
      <c r="T85" s="6" t="n">
        <v>0</v>
      </c>
      <c r="U85" s="6" t="n">
        <v>0</v>
      </c>
      <c r="V85" s="6" t="n">
        <v>0</v>
      </c>
      <c r="W85" s="6" t="n">
        <v>0</v>
      </c>
      <c r="X85" s="6" t="n">
        <v>0</v>
      </c>
      <c r="Y85" s="6" t="n">
        <v>0</v>
      </c>
      <c r="Z85" s="6" t="n">
        <v>0</v>
      </c>
      <c r="AA85" s="6" t="n">
        <v>0</v>
      </c>
      <c r="AB85" s="6">
        <f>SUM(D85:AA85)</f>
        <v/>
      </c>
      <c r="AC85" s="3" t="inlineStr"/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0</v>
      </c>
      <c r="AP85" s="7" t="n">
        <v>0</v>
      </c>
      <c r="AQ85" s="7" t="n">
        <v>0</v>
      </c>
      <c r="AR85" s="7" t="n">
        <v>0</v>
      </c>
      <c r="AS85" s="7" t="n">
        <v>0</v>
      </c>
      <c r="AT85" s="7" t="n">
        <v>0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0</v>
      </c>
      <c r="BA85" s="7" t="n">
        <v>0</v>
      </c>
      <c r="BB85" s="7">
        <f>SUM(AD85:BA85)</f>
        <v/>
      </c>
    </row>
    <row r="86">
      <c r="A86" t="inlineStr">
        <is>
          <t>AMD-RTS-RCLS-1302-SSC</t>
        </is>
      </c>
      <c r="B86" t="inlineStr">
        <is>
          <t>Rev OSC</t>
        </is>
      </c>
      <c r="C86" s="5" t="n">
        <v>46089</v>
      </c>
      <c r="D86" s="6">
        <f>Summary!D86</f>
        <v/>
      </c>
      <c r="E86" s="6">
        <f>Summary!E86</f>
        <v/>
      </c>
      <c r="F86" s="6">
        <f>Summary!F86</f>
        <v/>
      </c>
      <c r="G86" s="6">
        <f>Summary!G86</f>
        <v/>
      </c>
      <c r="H86" s="6">
        <f>Summary!H86</f>
        <v/>
      </c>
      <c r="I86" s="6">
        <f>Summary!I86</f>
        <v/>
      </c>
      <c r="J86" s="6">
        <f>Summary!J86</f>
        <v/>
      </c>
      <c r="K86" s="6">
        <f>Summary!K86</f>
        <v/>
      </c>
      <c r="L86" s="6">
        <f>Summary!L86</f>
        <v/>
      </c>
      <c r="M86" s="6">
        <f>Summary!M86</f>
        <v/>
      </c>
      <c r="N86" s="6">
        <f>Summary!N86</f>
        <v/>
      </c>
      <c r="O86" s="6">
        <f>Summary!O86</f>
        <v/>
      </c>
      <c r="P86" s="6">
        <f>Summary!P86</f>
        <v/>
      </c>
      <c r="Q86" s="6">
        <f>Summary!Q86</f>
        <v/>
      </c>
      <c r="R86" s="6">
        <f>Summary!R86</f>
        <v/>
      </c>
      <c r="S86" s="6">
        <f>Summary!S86</f>
        <v/>
      </c>
      <c r="T86" s="6">
        <f>Summary!T86</f>
        <v/>
      </c>
      <c r="U86" s="6">
        <f>Summary!U86</f>
        <v/>
      </c>
      <c r="V86" s="6">
        <f>Summary!V86</f>
        <v/>
      </c>
      <c r="W86" s="6">
        <f>Summary!W86</f>
        <v/>
      </c>
      <c r="X86" s="6">
        <f>Summary!X86</f>
        <v/>
      </c>
      <c r="Y86" s="6">
        <f>Summary!Y86</f>
        <v/>
      </c>
      <c r="Z86" s="6">
        <f>Summary!Z86</f>
        <v/>
      </c>
      <c r="AA86" s="6">
        <f>Summary!AA86</f>
        <v/>
      </c>
      <c r="AB86" s="6">
        <f>SUM(D86:AA86)</f>
        <v/>
      </c>
      <c r="AC86" s="3" t="inlineStr"/>
      <c r="AD86" s="7">
        <f>E86*0.000830415+D86*0.000830415</f>
        <v/>
      </c>
      <c r="AE86" s="7">
        <f>F86*0.000830415+E86*0.000830415</f>
        <v/>
      </c>
      <c r="AF86" s="7">
        <f>G86*0.000830415+F86*0.000830415</f>
        <v/>
      </c>
      <c r="AG86" s="7">
        <f>H86*0.000830415+G86*0.000830415</f>
        <v/>
      </c>
      <c r="AH86" s="7">
        <f>I86*0.000830415+H86*0.000830415</f>
        <v/>
      </c>
      <c r="AI86" s="7">
        <f>J86*0.000830415+I86*0.000830415</f>
        <v/>
      </c>
      <c r="AJ86" s="7">
        <f>K86*0.000830415+J86*0.000830415</f>
        <v/>
      </c>
      <c r="AK86" s="7">
        <f>L86*0.000830415+K86*0.000830415</f>
        <v/>
      </c>
      <c r="AL86" s="7">
        <f>M86*0.000830415+L86*0.000830415</f>
        <v/>
      </c>
      <c r="AM86" s="7">
        <f>N86*0.000830415+M86*0.000830415</f>
        <v/>
      </c>
      <c r="AN86" s="7">
        <f>O86*0.000830415+N86*0.000830415</f>
        <v/>
      </c>
      <c r="AO86" s="7">
        <f>P86*0.000830415+O86*0.000830415</f>
        <v/>
      </c>
      <c r="AP86" s="7">
        <f>Q86*0.000830415+P86*0.000830415</f>
        <v/>
      </c>
      <c r="AQ86" s="7">
        <f>R86*0.000830415+Q86*0.000830415</f>
        <v/>
      </c>
      <c r="AR86" s="7">
        <f>S86*0.000830415+R86*0.000830415</f>
        <v/>
      </c>
      <c r="AS86" s="7">
        <f>T86*0.000830415+S86*0.000830415</f>
        <v/>
      </c>
      <c r="AT86" s="7">
        <f>U86*0.000830415+T86*0.000830415</f>
        <v/>
      </c>
      <c r="AU86" s="7">
        <f>V86*0.000830415+U86*0.000830415</f>
        <v/>
      </c>
      <c r="AV86" s="7">
        <f>W86*0.000830415+V86*0.000830415</f>
        <v/>
      </c>
      <c r="AW86" s="7">
        <f>X86*0.000830415+W86*0.000830415</f>
        <v/>
      </c>
      <c r="AX86" s="7">
        <f>Y86*0.000830415+X86*0.000830415</f>
        <v/>
      </c>
      <c r="AY86" s="7">
        <f>Z86*0.000830415+Y86*0.000830415</f>
        <v/>
      </c>
      <c r="AZ86" s="7">
        <f>AA86*0.000830415+Z86*0.000830415</f>
        <v/>
      </c>
      <c r="BA86" s="7">
        <f>D86*0.000830415+AA86*0.000830415</f>
        <v/>
      </c>
      <c r="BB86" s="7">
        <f>SUM(AD86:BA86)</f>
        <v/>
      </c>
    </row>
    <row r="87">
      <c r="A87" t="inlineStr">
        <is>
          <t>AMD-RTS-RCLS-1302-SSC</t>
        </is>
      </c>
      <c r="B87" t="inlineStr">
        <is>
          <t>Rev OSC</t>
        </is>
      </c>
      <c r="C87" s="5" t="n">
        <v>46090</v>
      </c>
      <c r="D87" s="6">
        <f>Summary!D87</f>
        <v/>
      </c>
      <c r="E87" s="6">
        <f>Summary!E87</f>
        <v/>
      </c>
      <c r="F87" s="6">
        <f>Summary!F87</f>
        <v/>
      </c>
      <c r="G87" s="6">
        <f>Summary!G87</f>
        <v/>
      </c>
      <c r="H87" s="6">
        <f>Summary!H87</f>
        <v/>
      </c>
      <c r="I87" s="6">
        <f>Summary!I87</f>
        <v/>
      </c>
      <c r="J87" s="6">
        <f>Summary!J87</f>
        <v/>
      </c>
      <c r="K87" s="6">
        <f>Summary!K87</f>
        <v/>
      </c>
      <c r="L87" s="6">
        <f>Summary!L87</f>
        <v/>
      </c>
      <c r="M87" s="6">
        <f>Summary!M87</f>
        <v/>
      </c>
      <c r="N87" s="6">
        <f>Summary!N87</f>
        <v/>
      </c>
      <c r="O87" s="6">
        <f>Summary!O87</f>
        <v/>
      </c>
      <c r="P87" s="6">
        <f>Summary!P87</f>
        <v/>
      </c>
      <c r="Q87" s="6">
        <f>Summary!Q87</f>
        <v/>
      </c>
      <c r="R87" s="6">
        <f>Summary!R87</f>
        <v/>
      </c>
      <c r="S87" s="6">
        <f>Summary!S87</f>
        <v/>
      </c>
      <c r="T87" s="6">
        <f>Summary!T87</f>
        <v/>
      </c>
      <c r="U87" s="6">
        <f>Summary!U87</f>
        <v/>
      </c>
      <c r="V87" s="6">
        <f>Summary!V87</f>
        <v/>
      </c>
      <c r="W87" s="6">
        <f>Summary!W87</f>
        <v/>
      </c>
      <c r="X87" s="6">
        <f>Summary!X87</f>
        <v/>
      </c>
      <c r="Y87" s="6">
        <f>Summary!Y87</f>
        <v/>
      </c>
      <c r="Z87" s="6">
        <f>Summary!Z87</f>
        <v/>
      </c>
      <c r="AA87" s="6">
        <f>Summary!AA87</f>
        <v/>
      </c>
      <c r="AB87" s="6">
        <f>SUM(D87:AA87)</f>
        <v/>
      </c>
      <c r="AC87" s="3" t="inlineStr"/>
      <c r="AD87" s="7">
        <f>E87*0.000830415+D87*0.000830415</f>
        <v/>
      </c>
      <c r="AE87" s="7">
        <f>F87*0.000830415+E87*0.000830415</f>
        <v/>
      </c>
      <c r="AF87" s="7">
        <f>G87*0.000830415+F87*0.000830415</f>
        <v/>
      </c>
      <c r="AG87" s="7">
        <f>H87*0.000830415+G87*0.000830415</f>
        <v/>
      </c>
      <c r="AH87" s="7">
        <f>I87*0.000830415+H87*0.000830415</f>
        <v/>
      </c>
      <c r="AI87" s="7">
        <f>J87*0.000830415+I87*0.000830415</f>
        <v/>
      </c>
      <c r="AJ87" s="7">
        <f>K87*0.000830415+J87*0.000830415</f>
        <v/>
      </c>
      <c r="AK87" s="7">
        <f>L87*0.000830415+K87*0.000830415</f>
        <v/>
      </c>
      <c r="AL87" s="7">
        <f>M87*0.000830415+L87*0.000830415</f>
        <v/>
      </c>
      <c r="AM87" s="7">
        <f>N87*0.000830415+M87*0.000830415</f>
        <v/>
      </c>
      <c r="AN87" s="7">
        <f>O87*0.000830415+N87*0.000830415</f>
        <v/>
      </c>
      <c r="AO87" s="7">
        <f>P87*0.000830415+O87*0.000830415</f>
        <v/>
      </c>
      <c r="AP87" s="7">
        <f>Q87*0.000830415+P87*0.000830415</f>
        <v/>
      </c>
      <c r="AQ87" s="7">
        <f>R87*0.000830415+Q87*0.000830415</f>
        <v/>
      </c>
      <c r="AR87" s="7">
        <f>S87*0.000830415+R87*0.000830415</f>
        <v/>
      </c>
      <c r="AS87" s="7">
        <f>T87*0.000830415+S87*0.000830415</f>
        <v/>
      </c>
      <c r="AT87" s="7">
        <f>U87*0.000830415+T87*0.000830415</f>
        <v/>
      </c>
      <c r="AU87" s="7">
        <f>V87*0.000830415+U87*0.000830415</f>
        <v/>
      </c>
      <c r="AV87" s="7">
        <f>W87*0.000830415+V87*0.000830415</f>
        <v/>
      </c>
      <c r="AW87" s="7">
        <f>X87*0.000830415+W87*0.000830415</f>
        <v/>
      </c>
      <c r="AX87" s="7">
        <f>Y87*0.000830415+X87*0.000830415</f>
        <v/>
      </c>
      <c r="AY87" s="7">
        <f>Z87*0.000830415+Y87*0.000830415</f>
        <v/>
      </c>
      <c r="AZ87" s="7">
        <f>AA87*0.000830415+Z87*0.000830415</f>
        <v/>
      </c>
      <c r="BA87" s="7">
        <f>D87*0.000830415+AA87*0.000830415</f>
        <v/>
      </c>
      <c r="BB87" s="7">
        <f>SUM(AD87:BA87)</f>
        <v/>
      </c>
    </row>
    <row r="88">
      <c r="A88" t="inlineStr">
        <is>
          <t>AMD-RTS-RCLS-1302-SSC</t>
        </is>
      </c>
      <c r="B88" t="inlineStr">
        <is>
          <t>Rev OSC</t>
        </is>
      </c>
      <c r="C88" s="5" t="n">
        <v>46092</v>
      </c>
      <c r="D88" s="6">
        <f>Summary!D88</f>
        <v/>
      </c>
      <c r="E88" s="6">
        <f>Summary!E88</f>
        <v/>
      </c>
      <c r="F88" s="6">
        <f>Summary!F88</f>
        <v/>
      </c>
      <c r="G88" s="6">
        <f>Summary!G88</f>
        <v/>
      </c>
      <c r="H88" s="6">
        <f>Summary!H88</f>
        <v/>
      </c>
      <c r="I88" s="6">
        <f>Summary!I88</f>
        <v/>
      </c>
      <c r="J88" s="6">
        <f>Summary!J88</f>
        <v/>
      </c>
      <c r="K88" s="6">
        <f>Summary!K88</f>
        <v/>
      </c>
      <c r="L88" s="6">
        <f>Summary!L88</f>
        <v/>
      </c>
      <c r="M88" s="6">
        <f>Summary!M88</f>
        <v/>
      </c>
      <c r="N88" s="6">
        <f>Summary!N88</f>
        <v/>
      </c>
      <c r="O88" s="6">
        <f>Summary!O88</f>
        <v/>
      </c>
      <c r="P88" s="6">
        <f>Summary!P88</f>
        <v/>
      </c>
      <c r="Q88" s="6">
        <f>Summary!Q88</f>
        <v/>
      </c>
      <c r="R88" s="6">
        <f>Summary!R88</f>
        <v/>
      </c>
      <c r="S88" s="6">
        <f>Summary!S88</f>
        <v/>
      </c>
      <c r="T88" s="6">
        <f>Summary!T88</f>
        <v/>
      </c>
      <c r="U88" s="6">
        <f>Summary!U88</f>
        <v/>
      </c>
      <c r="V88" s="6">
        <f>Summary!V88</f>
        <v/>
      </c>
      <c r="W88" s="6">
        <f>Summary!W88</f>
        <v/>
      </c>
      <c r="X88" s="6">
        <f>Summary!X88</f>
        <v/>
      </c>
      <c r="Y88" s="6">
        <f>Summary!Y88</f>
        <v/>
      </c>
      <c r="Z88" s="6">
        <f>Summary!Z88</f>
        <v/>
      </c>
      <c r="AA88" s="6">
        <f>Summary!AA88</f>
        <v/>
      </c>
      <c r="AB88" s="6">
        <f>SUM(D88:AA88)</f>
        <v/>
      </c>
      <c r="AC88" s="3" t="inlineStr"/>
      <c r="AD88" s="7">
        <f>E88*0.000830415+D88*0.000830415</f>
        <v/>
      </c>
      <c r="AE88" s="7">
        <f>F88*0.000830415+E88*0.000830415</f>
        <v/>
      </c>
      <c r="AF88" s="7">
        <f>G88*0.000830415+F88*0.000830415</f>
        <v/>
      </c>
      <c r="AG88" s="7">
        <f>H88*0.000830415+G88*0.000830415</f>
        <v/>
      </c>
      <c r="AH88" s="7">
        <f>I88*0.000830415+H88*0.000830415</f>
        <v/>
      </c>
      <c r="AI88" s="7">
        <f>J88*0.000830415+I88*0.000830415</f>
        <v/>
      </c>
      <c r="AJ88" s="7">
        <f>K88*0.000830415+J88*0.000830415</f>
        <v/>
      </c>
      <c r="AK88" s="7">
        <f>L88*0.000830415+K88*0.000830415</f>
        <v/>
      </c>
      <c r="AL88" s="7">
        <f>M88*0.000830415+L88*0.000830415</f>
        <v/>
      </c>
      <c r="AM88" s="7">
        <f>N88*0.000830415+M88*0.000830415</f>
        <v/>
      </c>
      <c r="AN88" s="7">
        <f>O88*0.000830415+N88*0.000830415</f>
        <v/>
      </c>
      <c r="AO88" s="7">
        <f>P88*0.000830415+O88*0.000830415</f>
        <v/>
      </c>
      <c r="AP88" s="7">
        <f>Q88*0.000830415+P88*0.000830415</f>
        <v/>
      </c>
      <c r="AQ88" s="7">
        <f>R88*0.000830415+Q88*0.000830415</f>
        <v/>
      </c>
      <c r="AR88" s="7">
        <f>S88*0.000830415+R88*0.000830415</f>
        <v/>
      </c>
      <c r="AS88" s="7">
        <f>T88*0.000830415+S88*0.000830415</f>
        <v/>
      </c>
      <c r="AT88" s="7">
        <f>U88*0.000830415+T88*0.000830415</f>
        <v/>
      </c>
      <c r="AU88" s="7">
        <f>V88*0.000830415+U88*0.000830415</f>
        <v/>
      </c>
      <c r="AV88" s="7">
        <f>W88*0.000830415+V88*0.000830415</f>
        <v/>
      </c>
      <c r="AW88" s="7">
        <f>X88*0.000830415+W88*0.000830415</f>
        <v/>
      </c>
      <c r="AX88" s="7">
        <f>Y88*0.000830415+X88*0.000830415</f>
        <v/>
      </c>
      <c r="AY88" s="7">
        <f>Z88*0.000830415+Y88*0.000830415</f>
        <v/>
      </c>
      <c r="AZ88" s="7">
        <f>AA88*0.000830415+Z88*0.000830415</f>
        <v/>
      </c>
      <c r="BA88" s="7">
        <f>D88*0.000830415+AA88*0.000830415</f>
        <v/>
      </c>
      <c r="BB88" s="7">
        <f>SUM(AD88:BA88)</f>
        <v/>
      </c>
    </row>
    <row r="89">
      <c r="A89" t="inlineStr">
        <is>
          <t>AMD-RTS-RCLS-1302-SSC</t>
        </is>
      </c>
      <c r="B89" t="inlineStr">
        <is>
          <t>Rev OSC</t>
        </is>
      </c>
      <c r="C89" s="5" t="n">
        <v>46093</v>
      </c>
      <c r="D89" s="6">
        <f>Summary!D89</f>
        <v/>
      </c>
      <c r="E89" s="6">
        <f>Summary!E89</f>
        <v/>
      </c>
      <c r="F89" s="6">
        <f>Summary!F89</f>
        <v/>
      </c>
      <c r="G89" s="6">
        <f>Summary!G89</f>
        <v/>
      </c>
      <c r="H89" s="6">
        <f>Summary!H89</f>
        <v/>
      </c>
      <c r="I89" s="6">
        <f>Summary!I89</f>
        <v/>
      </c>
      <c r="J89" s="6">
        <f>Summary!J89</f>
        <v/>
      </c>
      <c r="K89" s="6">
        <f>Summary!K89</f>
        <v/>
      </c>
      <c r="L89" s="6">
        <f>Summary!L89</f>
        <v/>
      </c>
      <c r="M89" s="6">
        <f>Summary!M89</f>
        <v/>
      </c>
      <c r="N89" s="6">
        <f>Summary!N89</f>
        <v/>
      </c>
      <c r="O89" s="6">
        <f>Summary!O89</f>
        <v/>
      </c>
      <c r="P89" s="6">
        <f>Summary!P89</f>
        <v/>
      </c>
      <c r="Q89" s="6">
        <f>Summary!Q89</f>
        <v/>
      </c>
      <c r="R89" s="6">
        <f>Summary!R89</f>
        <v/>
      </c>
      <c r="S89" s="6">
        <f>Summary!S89</f>
        <v/>
      </c>
      <c r="T89" s="6">
        <f>Summary!T89</f>
        <v/>
      </c>
      <c r="U89" s="6">
        <f>Summary!U89</f>
        <v/>
      </c>
      <c r="V89" s="6">
        <f>Summary!V89</f>
        <v/>
      </c>
      <c r="W89" s="6">
        <f>Summary!W89</f>
        <v/>
      </c>
      <c r="X89" s="6">
        <f>Summary!X89</f>
        <v/>
      </c>
      <c r="Y89" s="6">
        <f>Summary!Y89</f>
        <v/>
      </c>
      <c r="Z89" s="6">
        <f>Summary!Z89</f>
        <v/>
      </c>
      <c r="AA89" s="6">
        <f>Summary!AA89</f>
        <v/>
      </c>
      <c r="AB89" s="6">
        <f>SUM(D89:AA89)</f>
        <v/>
      </c>
      <c r="AC89" s="3" t="inlineStr"/>
      <c r="AD89" s="7">
        <f>E89*0.000830415+D89*0.000830415</f>
        <v/>
      </c>
      <c r="AE89" s="7">
        <f>F89*0.000830415+E89*0.000830415</f>
        <v/>
      </c>
      <c r="AF89" s="7">
        <f>G89*0.000830415+F89*0.000830415</f>
        <v/>
      </c>
      <c r="AG89" s="7">
        <f>H89*0.000830415+G89*0.000830415</f>
        <v/>
      </c>
      <c r="AH89" s="7">
        <f>I89*0.000830415+H89*0.000830415</f>
        <v/>
      </c>
      <c r="AI89" s="7">
        <f>J89*0.000830415+I89*0.000830415</f>
        <v/>
      </c>
      <c r="AJ89" s="7">
        <f>K89*0.000830415+J89*0.000830415</f>
        <v/>
      </c>
      <c r="AK89" s="7">
        <f>L89*0.000830415+K89*0.000830415</f>
        <v/>
      </c>
      <c r="AL89" s="7">
        <f>M89*0.000830415+L89*0.000830415</f>
        <v/>
      </c>
      <c r="AM89" s="7">
        <f>N89*0.000830415+M89*0.000830415</f>
        <v/>
      </c>
      <c r="AN89" s="7">
        <f>O89*0.000830415+N89*0.000830415</f>
        <v/>
      </c>
      <c r="AO89" s="7">
        <f>P89*0.000830415+O89*0.000830415</f>
        <v/>
      </c>
      <c r="AP89" s="7">
        <f>Q89*0.000830415+P89*0.000830415</f>
        <v/>
      </c>
      <c r="AQ89" s="7">
        <f>R89*0.000830415+Q89*0.000830415</f>
        <v/>
      </c>
      <c r="AR89" s="7">
        <f>S89*0.000830415+R89*0.000830415</f>
        <v/>
      </c>
      <c r="AS89" s="7">
        <f>T89*0.000830415+S89*0.000830415</f>
        <v/>
      </c>
      <c r="AT89" s="7">
        <f>U89*0.000830415+T89*0.000830415</f>
        <v/>
      </c>
      <c r="AU89" s="7">
        <f>V89*0.000830415+U89*0.000830415</f>
        <v/>
      </c>
      <c r="AV89" s="7">
        <f>W89*0.000830415+V89*0.000830415</f>
        <v/>
      </c>
      <c r="AW89" s="7">
        <f>X89*0.000830415+W89*0.000830415</f>
        <v/>
      </c>
      <c r="AX89" s="7">
        <f>Y89*0.000830415+X89*0.000830415</f>
        <v/>
      </c>
      <c r="AY89" s="7">
        <f>Z89*0.000830415+Y89*0.000830415</f>
        <v/>
      </c>
      <c r="AZ89" s="7">
        <f>AA89*0.000830415+Z89*0.000830415</f>
        <v/>
      </c>
      <c r="BA89" s="7">
        <f>D89*0.000830415+AA89*0.000830415</f>
        <v/>
      </c>
      <c r="BB89" s="7">
        <f>SUM(AD89:BA89)</f>
        <v/>
      </c>
    </row>
    <row r="90">
      <c r="A90" t="inlineStr">
        <is>
          <t>AMD-RTS-RCLS-1302-SSC</t>
        </is>
      </c>
      <c r="B90" t="inlineStr">
        <is>
          <t>Rev OSC</t>
        </is>
      </c>
      <c r="C90" s="5" t="n">
        <v>46094</v>
      </c>
      <c r="D90" s="6">
        <f>Summary!D90</f>
        <v/>
      </c>
      <c r="E90" s="6">
        <f>Summary!E90</f>
        <v/>
      </c>
      <c r="F90" s="6">
        <f>Summary!F90</f>
        <v/>
      </c>
      <c r="G90" s="6">
        <f>Summary!G90</f>
        <v/>
      </c>
      <c r="H90" s="6">
        <f>Summary!H90</f>
        <v/>
      </c>
      <c r="I90" s="6">
        <f>Summary!I90</f>
        <v/>
      </c>
      <c r="J90" s="6">
        <f>Summary!J90</f>
        <v/>
      </c>
      <c r="K90" s="6">
        <f>Summary!K90</f>
        <v/>
      </c>
      <c r="L90" s="6">
        <f>Summary!L90</f>
        <v/>
      </c>
      <c r="M90" s="6">
        <f>Summary!M90</f>
        <v/>
      </c>
      <c r="N90" s="6">
        <f>Summary!N90</f>
        <v/>
      </c>
      <c r="O90" s="6">
        <f>Summary!O90</f>
        <v/>
      </c>
      <c r="P90" s="6">
        <f>Summary!P90</f>
        <v/>
      </c>
      <c r="Q90" s="6">
        <f>Summary!Q90</f>
        <v/>
      </c>
      <c r="R90" s="6">
        <f>Summary!R90</f>
        <v/>
      </c>
      <c r="S90" s="6">
        <f>Summary!S90</f>
        <v/>
      </c>
      <c r="T90" s="6">
        <f>Summary!T90</f>
        <v/>
      </c>
      <c r="U90" s="6">
        <f>Summary!U90</f>
        <v/>
      </c>
      <c r="V90" s="6">
        <f>Summary!V90</f>
        <v/>
      </c>
      <c r="W90" s="6">
        <f>Summary!W90</f>
        <v/>
      </c>
      <c r="X90" s="6">
        <f>Summary!X90</f>
        <v/>
      </c>
      <c r="Y90" s="6">
        <f>Summary!Y90</f>
        <v/>
      </c>
      <c r="Z90" s="6">
        <f>Summary!Z90</f>
        <v/>
      </c>
      <c r="AA90" s="6">
        <f>Summary!AA90</f>
        <v/>
      </c>
      <c r="AB90" s="6">
        <f>SUM(D90:AA90)</f>
        <v/>
      </c>
      <c r="AC90" s="3" t="inlineStr"/>
      <c r="AD90" s="7">
        <f>E90*0.000830415+D90*0.000830415</f>
        <v/>
      </c>
      <c r="AE90" s="7">
        <f>F90*0.000830415+E90*0.000830415</f>
        <v/>
      </c>
      <c r="AF90" s="7">
        <f>G90*0.000830415+F90*0.000830415</f>
        <v/>
      </c>
      <c r="AG90" s="7">
        <f>H90*0.000830415+G90*0.000830415</f>
        <v/>
      </c>
      <c r="AH90" s="7">
        <f>I90*0.000830415+H90*0.000830415</f>
        <v/>
      </c>
      <c r="AI90" s="7">
        <f>J90*0.000830415+I90*0.000830415</f>
        <v/>
      </c>
      <c r="AJ90" s="7">
        <f>K90*0.000830415+J90*0.000830415</f>
        <v/>
      </c>
      <c r="AK90" s="7">
        <f>L90*0.000830415+K90*0.000830415</f>
        <v/>
      </c>
      <c r="AL90" s="7">
        <f>M90*0.000830415+L90*0.000830415</f>
        <v/>
      </c>
      <c r="AM90" s="7">
        <f>N90*0.000830415+M90*0.000830415</f>
        <v/>
      </c>
      <c r="AN90" s="7">
        <f>O90*0.000830415+N90*0.000830415</f>
        <v/>
      </c>
      <c r="AO90" s="7">
        <f>P90*0.000830415+O90*0.000830415</f>
        <v/>
      </c>
      <c r="AP90" s="7">
        <f>Q90*0.000830415+P90*0.000830415</f>
        <v/>
      </c>
      <c r="AQ90" s="7">
        <f>R90*0.000830415+Q90*0.000830415</f>
        <v/>
      </c>
      <c r="AR90" s="7">
        <f>S90*0.000830415+R90*0.000830415</f>
        <v/>
      </c>
      <c r="AS90" s="7">
        <f>T90*0.000830415+S90*0.000830415</f>
        <v/>
      </c>
      <c r="AT90" s="7">
        <f>U90*0.000830415+T90*0.000830415</f>
        <v/>
      </c>
      <c r="AU90" s="7">
        <f>V90*0.000830415+U90*0.000830415</f>
        <v/>
      </c>
      <c r="AV90" s="7">
        <f>W90*0.000830415+V90*0.000830415</f>
        <v/>
      </c>
      <c r="AW90" s="7">
        <f>X90*0.000830415+W90*0.000830415</f>
        <v/>
      </c>
      <c r="AX90" s="7">
        <f>Y90*0.000830415+X90*0.000830415</f>
        <v/>
      </c>
      <c r="AY90" s="7">
        <f>Z90*0.000830415+Y90*0.000830415</f>
        <v/>
      </c>
      <c r="AZ90" s="7">
        <f>AA90*0.000830415+Z90*0.000830415</f>
        <v/>
      </c>
      <c r="BA90" s="7">
        <f>D90*0.000830415+AA90*0.000830415</f>
        <v/>
      </c>
      <c r="BB90" s="7">
        <f>SUM(AD90:BA90)</f>
        <v/>
      </c>
    </row>
    <row r="91">
      <c r="A91" t="inlineStr">
        <is>
          <t>AMD-RTS-RCLS-1302-SSC</t>
        </is>
      </c>
      <c r="B91" t="inlineStr">
        <is>
          <t>Rev OSC</t>
        </is>
      </c>
      <c r="C91" s="5" t="n">
        <v>46095</v>
      </c>
      <c r="D91" s="6">
        <f>Summary!D91</f>
        <v/>
      </c>
      <c r="E91" s="6">
        <f>Summary!E91</f>
        <v/>
      </c>
      <c r="F91" s="6">
        <f>Summary!F91</f>
        <v/>
      </c>
      <c r="G91" s="6">
        <f>Summary!G91</f>
        <v/>
      </c>
      <c r="H91" s="6">
        <f>Summary!H91</f>
        <v/>
      </c>
      <c r="I91" s="6">
        <f>Summary!I91</f>
        <v/>
      </c>
      <c r="J91" s="6">
        <f>Summary!J91</f>
        <v/>
      </c>
      <c r="K91" s="6">
        <f>Summary!K91</f>
        <v/>
      </c>
      <c r="L91" s="6">
        <f>Summary!L91</f>
        <v/>
      </c>
      <c r="M91" s="6">
        <f>Summary!M91</f>
        <v/>
      </c>
      <c r="N91" s="6">
        <f>Summary!N91</f>
        <v/>
      </c>
      <c r="O91" s="6">
        <f>Summary!O91</f>
        <v/>
      </c>
      <c r="P91" s="6">
        <f>Summary!P91</f>
        <v/>
      </c>
      <c r="Q91" s="6">
        <f>Summary!Q91</f>
        <v/>
      </c>
      <c r="R91" s="6">
        <f>Summary!R91</f>
        <v/>
      </c>
      <c r="S91" s="6">
        <f>Summary!S91</f>
        <v/>
      </c>
      <c r="T91" s="6">
        <f>Summary!T91</f>
        <v/>
      </c>
      <c r="U91" s="6">
        <f>Summary!U91</f>
        <v/>
      </c>
      <c r="V91" s="6">
        <f>Summary!V91</f>
        <v/>
      </c>
      <c r="W91" s="6">
        <f>Summary!W91</f>
        <v/>
      </c>
      <c r="X91" s="6">
        <f>Summary!X91</f>
        <v/>
      </c>
      <c r="Y91" s="6">
        <f>Summary!Y91</f>
        <v/>
      </c>
      <c r="Z91" s="6">
        <f>Summary!Z91</f>
        <v/>
      </c>
      <c r="AA91" s="6">
        <f>Summary!AA91</f>
        <v/>
      </c>
      <c r="AB91" s="6">
        <f>SUM(D91:AA91)</f>
        <v/>
      </c>
      <c r="AC91" s="3" t="inlineStr"/>
      <c r="AD91" s="7">
        <f>E91*0.000830415+D91*0.000830415</f>
        <v/>
      </c>
      <c r="AE91" s="7">
        <f>F91*0.000830415+E91*0.000830415</f>
        <v/>
      </c>
      <c r="AF91" s="7">
        <f>G91*0.000830415+F91*0.000830415</f>
        <v/>
      </c>
      <c r="AG91" s="7">
        <f>H91*0.000830415+G91*0.000830415</f>
        <v/>
      </c>
      <c r="AH91" s="7">
        <f>I91*0.000830415+H91*0.000830415</f>
        <v/>
      </c>
      <c r="AI91" s="7">
        <f>J91*0.000830415+I91*0.000830415</f>
        <v/>
      </c>
      <c r="AJ91" s="7">
        <f>K91*0.000830415+J91*0.000830415</f>
        <v/>
      </c>
      <c r="AK91" s="7">
        <f>L91*0.000830415+K91*0.000830415</f>
        <v/>
      </c>
      <c r="AL91" s="7">
        <f>M91*0.000830415+L91*0.000830415</f>
        <v/>
      </c>
      <c r="AM91" s="7">
        <f>N91*0.000830415+M91*0.000830415</f>
        <v/>
      </c>
      <c r="AN91" s="7">
        <f>O91*0.000830415+N91*0.000830415</f>
        <v/>
      </c>
      <c r="AO91" s="7">
        <f>P91*0.000830415+O91*0.000830415</f>
        <v/>
      </c>
      <c r="AP91" s="7">
        <f>Q91*0.000830415+P91*0.000830415</f>
        <v/>
      </c>
      <c r="AQ91" s="7">
        <f>R91*0.000830415+Q91*0.000830415</f>
        <v/>
      </c>
      <c r="AR91" s="7">
        <f>S91*0.000830415+R91*0.000830415</f>
        <v/>
      </c>
      <c r="AS91" s="7">
        <f>T91*0.000830415+S91*0.000830415</f>
        <v/>
      </c>
      <c r="AT91" s="7">
        <f>U91*0.000830415+T91*0.000830415</f>
        <v/>
      </c>
      <c r="AU91" s="7">
        <f>V91*0.000830415+U91*0.000830415</f>
        <v/>
      </c>
      <c r="AV91" s="7">
        <f>W91*0.000830415+V91*0.000830415</f>
        <v/>
      </c>
      <c r="AW91" s="7">
        <f>X91*0.000830415+W91*0.000830415</f>
        <v/>
      </c>
      <c r="AX91" s="7">
        <f>Y91*0.000830415+X91*0.000830415</f>
        <v/>
      </c>
      <c r="AY91" s="7">
        <f>Z91*0.000830415+Y91*0.000830415</f>
        <v/>
      </c>
      <c r="AZ91" s="7">
        <f>AA91*0.000830415+Z91*0.000830415</f>
        <v/>
      </c>
      <c r="BA91" s="7">
        <f>D91*0.000830415+AA91*0.000830415</f>
        <v/>
      </c>
      <c r="BB91" s="7">
        <f>SUM(AD91:BA91)</f>
        <v/>
      </c>
    </row>
    <row r="92">
      <c r="A92" t="inlineStr">
        <is>
          <t>AMD-RTS-RCLS-1302-SSC</t>
        </is>
      </c>
      <c r="B92" t="inlineStr">
        <is>
          <t>Rev OSC</t>
        </is>
      </c>
      <c r="C92" s="5" t="n">
        <v>46096</v>
      </c>
      <c r="D92" s="6">
        <f>Summary!D92</f>
        <v/>
      </c>
      <c r="E92" s="6">
        <f>Summary!E92</f>
        <v/>
      </c>
      <c r="F92" s="6">
        <f>Summary!F92</f>
        <v/>
      </c>
      <c r="G92" s="6">
        <f>Summary!G92</f>
        <v/>
      </c>
      <c r="H92" s="6">
        <f>Summary!H92</f>
        <v/>
      </c>
      <c r="I92" s="6">
        <f>Summary!I92</f>
        <v/>
      </c>
      <c r="J92" s="6">
        <f>Summary!J92</f>
        <v/>
      </c>
      <c r="K92" s="6">
        <f>Summary!K92</f>
        <v/>
      </c>
      <c r="L92" s="6">
        <f>Summary!L92</f>
        <v/>
      </c>
      <c r="M92" s="6">
        <f>Summary!M92</f>
        <v/>
      </c>
      <c r="N92" s="6">
        <f>Summary!N92</f>
        <v/>
      </c>
      <c r="O92" s="6">
        <f>Summary!O92</f>
        <v/>
      </c>
      <c r="P92" s="6">
        <f>Summary!P92</f>
        <v/>
      </c>
      <c r="Q92" s="6">
        <f>Summary!Q92</f>
        <v/>
      </c>
      <c r="R92" s="6">
        <f>Summary!R92</f>
        <v/>
      </c>
      <c r="S92" s="6">
        <f>Summary!S92</f>
        <v/>
      </c>
      <c r="T92" s="6">
        <f>Summary!T92</f>
        <v/>
      </c>
      <c r="U92" s="6">
        <f>Summary!U92</f>
        <v/>
      </c>
      <c r="V92" s="6">
        <f>Summary!V92</f>
        <v/>
      </c>
      <c r="W92" s="6">
        <f>Summary!W92</f>
        <v/>
      </c>
      <c r="X92" s="6">
        <f>Summary!X92</f>
        <v/>
      </c>
      <c r="Y92" s="6">
        <f>Summary!Y92</f>
        <v/>
      </c>
      <c r="Z92" s="6">
        <f>Summary!Z92</f>
        <v/>
      </c>
      <c r="AA92" s="6">
        <f>Summary!AA92</f>
        <v/>
      </c>
      <c r="AB92" s="6">
        <f>SUM(D92:AA92)</f>
        <v/>
      </c>
      <c r="AC92" s="3" t="inlineStr"/>
      <c r="AD92" s="7">
        <f>E92*0.000830415+D92*0.000830415</f>
        <v/>
      </c>
      <c r="AE92" s="7">
        <f>F92*0.000830415+E92*0.000830415</f>
        <v/>
      </c>
      <c r="AF92" s="7">
        <f>G92*0.000830415+F92*0.000830415</f>
        <v/>
      </c>
      <c r="AG92" s="7">
        <f>H92*0.000830415+G92*0.000830415</f>
        <v/>
      </c>
      <c r="AH92" s="7">
        <f>I92*0.000830415+H92*0.000830415</f>
        <v/>
      </c>
      <c r="AI92" s="7">
        <f>J92*0.000830415+I92*0.000830415</f>
        <v/>
      </c>
      <c r="AJ92" s="7">
        <f>K92*0.000830415+J92*0.000830415</f>
        <v/>
      </c>
      <c r="AK92" s="7">
        <f>L92*0.000830415+K92*0.000830415</f>
        <v/>
      </c>
      <c r="AL92" s="7">
        <f>M92*0.000830415+L92*0.000830415</f>
        <v/>
      </c>
      <c r="AM92" s="7">
        <f>N92*0.000830415+M92*0.000830415</f>
        <v/>
      </c>
      <c r="AN92" s="7">
        <f>O92*0.000830415+N92*0.000830415</f>
        <v/>
      </c>
      <c r="AO92" s="7">
        <f>P92*0.000830415+O92*0.000830415</f>
        <v/>
      </c>
      <c r="AP92" s="7">
        <f>Q92*0.000830415+P92*0.000830415</f>
        <v/>
      </c>
      <c r="AQ92" s="7">
        <f>R92*0.000830415+Q92*0.000830415</f>
        <v/>
      </c>
      <c r="AR92" s="7">
        <f>S92*0.000830415+R92*0.000830415</f>
        <v/>
      </c>
      <c r="AS92" s="7">
        <f>T92*0.000830415+S92*0.000830415</f>
        <v/>
      </c>
      <c r="AT92" s="7">
        <f>U92*0.000830415+T92*0.000830415</f>
        <v/>
      </c>
      <c r="AU92" s="7">
        <f>V92*0.000830415+U92*0.000830415</f>
        <v/>
      </c>
      <c r="AV92" s="7">
        <f>W92*0.000830415+V92*0.000830415</f>
        <v/>
      </c>
      <c r="AW92" s="7">
        <f>X92*0.000830415+W92*0.000830415</f>
        <v/>
      </c>
      <c r="AX92" s="7">
        <f>Y92*0.000830415+X92*0.000830415</f>
        <v/>
      </c>
      <c r="AY92" s="7">
        <f>Z92*0.000830415+Y92*0.000830415</f>
        <v/>
      </c>
      <c r="AZ92" s="7">
        <f>AA92*0.000830415+Z92*0.000830415</f>
        <v/>
      </c>
      <c r="BA92" s="7">
        <f>D92*0.000830415+AA92*0.000830415</f>
        <v/>
      </c>
      <c r="BB92" s="7">
        <f>SUM(AD92:BA92)</f>
        <v/>
      </c>
    </row>
    <row r="93">
      <c r="A93" t="inlineStr">
        <is>
          <t>AMD-RTS-RCLS-1302-SSC</t>
        </is>
      </c>
      <c r="B93" t="inlineStr">
        <is>
          <t>Rev OSC</t>
        </is>
      </c>
      <c r="C93" s="5" t="n">
        <v>46097</v>
      </c>
      <c r="D93" s="6">
        <f>Summary!D93</f>
        <v/>
      </c>
      <c r="E93" s="6">
        <f>Summary!E93</f>
        <v/>
      </c>
      <c r="F93" s="6">
        <f>Summary!F93</f>
        <v/>
      </c>
      <c r="G93" s="6">
        <f>Summary!G93</f>
        <v/>
      </c>
      <c r="H93" s="6">
        <f>Summary!H93</f>
        <v/>
      </c>
      <c r="I93" s="6">
        <f>Summary!I93</f>
        <v/>
      </c>
      <c r="J93" s="6">
        <f>Summary!J93</f>
        <v/>
      </c>
      <c r="K93" s="6">
        <f>Summary!K93</f>
        <v/>
      </c>
      <c r="L93" s="6">
        <f>Summary!L93</f>
        <v/>
      </c>
      <c r="M93" s="6">
        <f>Summary!M93</f>
        <v/>
      </c>
      <c r="N93" s="6">
        <f>Summary!N93</f>
        <v/>
      </c>
      <c r="O93" s="6">
        <f>Summary!O93</f>
        <v/>
      </c>
      <c r="P93" s="6">
        <f>Summary!P93</f>
        <v/>
      </c>
      <c r="Q93" s="6">
        <f>Summary!Q93</f>
        <v/>
      </c>
      <c r="R93" s="6">
        <f>Summary!R93</f>
        <v/>
      </c>
      <c r="S93" s="6">
        <f>Summary!S93</f>
        <v/>
      </c>
      <c r="T93" s="6">
        <f>Summary!T93</f>
        <v/>
      </c>
      <c r="U93" s="6">
        <f>Summary!U93</f>
        <v/>
      </c>
      <c r="V93" s="6">
        <f>Summary!V93</f>
        <v/>
      </c>
      <c r="W93" s="6">
        <f>Summary!W93</f>
        <v/>
      </c>
      <c r="X93" s="6">
        <f>Summary!X93</f>
        <v/>
      </c>
      <c r="Y93" s="6">
        <f>Summary!Y93</f>
        <v/>
      </c>
      <c r="Z93" s="6">
        <f>Summary!Z93</f>
        <v/>
      </c>
      <c r="AA93" s="6">
        <f>Summary!AA93</f>
        <v/>
      </c>
      <c r="AB93" s="6">
        <f>SUM(D93:AA93)</f>
        <v/>
      </c>
      <c r="AC93" s="3" t="inlineStr"/>
      <c r="AD93" s="7">
        <f>E93*0.000830415+D93*0.000830415</f>
        <v/>
      </c>
      <c r="AE93" s="7">
        <f>F93*0.000830415+E93*0.000830415</f>
        <v/>
      </c>
      <c r="AF93" s="7">
        <f>G93*0.000830415+F93*0.000830415</f>
        <v/>
      </c>
      <c r="AG93" s="7">
        <f>H93*0.000830415+G93*0.000830415</f>
        <v/>
      </c>
      <c r="AH93" s="7">
        <f>I93*0.000830415+H93*0.000830415</f>
        <v/>
      </c>
      <c r="AI93" s="7">
        <f>J93*0.000830415+I93*0.000830415</f>
        <v/>
      </c>
      <c r="AJ93" s="7">
        <f>K93*0.000830415+J93*0.000830415</f>
        <v/>
      </c>
      <c r="AK93" s="7">
        <f>L93*0.000830415+K93*0.000830415</f>
        <v/>
      </c>
      <c r="AL93" s="7">
        <f>M93*0.000830415+L93*0.000830415</f>
        <v/>
      </c>
      <c r="AM93" s="7">
        <f>N93*0.000830415+M93*0.000830415</f>
        <v/>
      </c>
      <c r="AN93" s="7">
        <f>O93*0.000830415+N93*0.000830415</f>
        <v/>
      </c>
      <c r="AO93" s="7">
        <f>P93*0.000830415+O93*0.000830415</f>
        <v/>
      </c>
      <c r="AP93" s="7">
        <f>Q93*0.000830415+P93*0.000830415</f>
        <v/>
      </c>
      <c r="AQ93" s="7">
        <f>R93*0.000830415+Q93*0.000830415</f>
        <v/>
      </c>
      <c r="AR93" s="7">
        <f>S93*0.000830415+R93*0.000830415</f>
        <v/>
      </c>
      <c r="AS93" s="7">
        <f>T93*0.000830415+S93*0.000830415</f>
        <v/>
      </c>
      <c r="AT93" s="7">
        <f>U93*0.000830415+T93*0.000830415</f>
        <v/>
      </c>
      <c r="AU93" s="7">
        <f>V93*0.000830415+U93*0.000830415</f>
        <v/>
      </c>
      <c r="AV93" s="7">
        <f>W93*0.000830415+V93*0.000830415</f>
        <v/>
      </c>
      <c r="AW93" s="7">
        <f>X93*0.000830415+W93*0.000830415</f>
        <v/>
      </c>
      <c r="AX93" s="7">
        <f>Y93*0.000830415+X93*0.000830415</f>
        <v/>
      </c>
      <c r="AY93" s="7">
        <f>Z93*0.000830415+Y93*0.000830415</f>
        <v/>
      </c>
      <c r="AZ93" s="7">
        <f>AA93*0.000830415+Z93*0.000830415</f>
        <v/>
      </c>
      <c r="BA93" s="7">
        <f>D93*0.000830415+AA93*0.000830415</f>
        <v/>
      </c>
      <c r="BB93" s="7">
        <f>SUM(AD93:BA93)</f>
        <v/>
      </c>
    </row>
    <row r="94">
      <c r="A94" t="inlineStr">
        <is>
          <t>AMD-RTS-RCLS-1302-SSC</t>
        </is>
      </c>
      <c r="B94" t="inlineStr">
        <is>
          <t>Rev OSC</t>
        </is>
      </c>
      <c r="C94" s="5" t="n">
        <v>46100</v>
      </c>
      <c r="D94" s="6">
        <f>Summary!D94</f>
        <v/>
      </c>
      <c r="E94" s="6">
        <f>Summary!E94</f>
        <v/>
      </c>
      <c r="F94" s="6">
        <f>Summary!F94</f>
        <v/>
      </c>
      <c r="G94" s="6">
        <f>Summary!G94</f>
        <v/>
      </c>
      <c r="H94" s="6">
        <f>Summary!H94</f>
        <v/>
      </c>
      <c r="I94" s="6">
        <f>Summary!I94</f>
        <v/>
      </c>
      <c r="J94" s="6">
        <f>Summary!J94</f>
        <v/>
      </c>
      <c r="K94" s="6">
        <f>Summary!K94</f>
        <v/>
      </c>
      <c r="L94" s="6">
        <f>Summary!L94</f>
        <v/>
      </c>
      <c r="M94" s="6">
        <f>Summary!M94</f>
        <v/>
      </c>
      <c r="N94" s="6">
        <f>Summary!N94</f>
        <v/>
      </c>
      <c r="O94" s="6">
        <f>Summary!O94</f>
        <v/>
      </c>
      <c r="P94" s="6">
        <f>Summary!P94</f>
        <v/>
      </c>
      <c r="Q94" s="6">
        <f>Summary!Q94</f>
        <v/>
      </c>
      <c r="R94" s="6">
        <f>Summary!R94</f>
        <v/>
      </c>
      <c r="S94" s="6">
        <f>Summary!S94</f>
        <v/>
      </c>
      <c r="T94" s="6">
        <f>Summary!T94</f>
        <v/>
      </c>
      <c r="U94" s="6">
        <f>Summary!U94</f>
        <v/>
      </c>
      <c r="V94" s="6">
        <f>Summary!V94</f>
        <v/>
      </c>
      <c r="W94" s="6">
        <f>Summary!W94</f>
        <v/>
      </c>
      <c r="X94" s="6">
        <f>Summary!X94</f>
        <v/>
      </c>
      <c r="Y94" s="6">
        <f>Summary!Y94</f>
        <v/>
      </c>
      <c r="Z94" s="6">
        <f>Summary!Z94</f>
        <v/>
      </c>
      <c r="AA94" s="6">
        <f>Summary!AA94</f>
        <v/>
      </c>
      <c r="AB94" s="6">
        <f>SUM(D94:AA94)</f>
        <v/>
      </c>
      <c r="AC94" s="3" t="inlineStr"/>
      <c r="AD94" s="7">
        <f>E94*0.000830415+D94*0.000830415</f>
        <v/>
      </c>
      <c r="AE94" s="7">
        <f>F94*0.000830415+E94*0.000830415</f>
        <v/>
      </c>
      <c r="AF94" s="7">
        <f>G94*0.000830415+F94*0.000830415</f>
        <v/>
      </c>
      <c r="AG94" s="7">
        <f>H94*0.000830415+G94*0.000830415</f>
        <v/>
      </c>
      <c r="AH94" s="7">
        <f>I94*0.000830415+H94*0.000830415</f>
        <v/>
      </c>
      <c r="AI94" s="7">
        <f>J94*0.000830415+I94*0.000830415</f>
        <v/>
      </c>
      <c r="AJ94" s="7">
        <f>K94*0.000830415+J94*0.000830415</f>
        <v/>
      </c>
      <c r="AK94" s="7">
        <f>L94*0.000830415+K94*0.000830415</f>
        <v/>
      </c>
      <c r="AL94" s="7">
        <f>M94*0.000830415+L94*0.000830415</f>
        <v/>
      </c>
      <c r="AM94" s="7">
        <f>N94*0.000830415+M94*0.000830415</f>
        <v/>
      </c>
      <c r="AN94" s="7">
        <f>O94*0.000830415+N94*0.000830415</f>
        <v/>
      </c>
      <c r="AO94" s="7">
        <f>P94*0.000830415+O94*0.000830415</f>
        <v/>
      </c>
      <c r="AP94" s="7">
        <f>Q94*0.000830415+P94*0.000830415</f>
        <v/>
      </c>
      <c r="AQ94" s="7">
        <f>R94*0.000830415+Q94*0.000830415</f>
        <v/>
      </c>
      <c r="AR94" s="7">
        <f>S94*0.000830415+R94*0.000830415</f>
        <v/>
      </c>
      <c r="AS94" s="7">
        <f>T94*0.000830415+S94*0.000830415</f>
        <v/>
      </c>
      <c r="AT94" s="7">
        <f>U94*0.000830415+T94*0.000830415</f>
        <v/>
      </c>
      <c r="AU94" s="7">
        <f>V94*0.000830415+U94*0.000830415</f>
        <v/>
      </c>
      <c r="AV94" s="7">
        <f>W94*0.000830415+V94*0.000830415</f>
        <v/>
      </c>
      <c r="AW94" s="7">
        <f>X94*0.000830415+W94*0.000830415</f>
        <v/>
      </c>
      <c r="AX94" s="7">
        <f>Y94*0.000830415+X94*0.000830415</f>
        <v/>
      </c>
      <c r="AY94" s="7">
        <f>Z94*0.000830415+Y94*0.000830415</f>
        <v/>
      </c>
      <c r="AZ94" s="7">
        <f>AA94*0.000830415+Z94*0.000830415</f>
        <v/>
      </c>
      <c r="BA94" s="7">
        <f>D94*0.000830415+AA94*0.000830415</f>
        <v/>
      </c>
      <c r="BB94" s="7">
        <f>SUM(AD94:BA94)</f>
        <v/>
      </c>
    </row>
    <row r="95">
      <c r="A95" t="inlineStr">
        <is>
          <t>AMD-RTS-RCLS-1302-SSC</t>
        </is>
      </c>
      <c r="B95" t="inlineStr">
        <is>
          <t>Rev OSC</t>
        </is>
      </c>
      <c r="C95" s="5" t="n">
        <v>46102</v>
      </c>
      <c r="D95" s="6">
        <f>Summary!D95</f>
        <v/>
      </c>
      <c r="E95" s="6">
        <f>Summary!E95</f>
        <v/>
      </c>
      <c r="F95" s="6">
        <f>Summary!F95</f>
        <v/>
      </c>
      <c r="G95" s="6">
        <f>Summary!G95</f>
        <v/>
      </c>
      <c r="H95" s="6">
        <f>Summary!H95</f>
        <v/>
      </c>
      <c r="I95" s="6">
        <f>Summary!I95</f>
        <v/>
      </c>
      <c r="J95" s="6">
        <f>Summary!J95</f>
        <v/>
      </c>
      <c r="K95" s="6">
        <f>Summary!K95</f>
        <v/>
      </c>
      <c r="L95" s="6">
        <f>Summary!L95</f>
        <v/>
      </c>
      <c r="M95" s="6">
        <f>Summary!M95</f>
        <v/>
      </c>
      <c r="N95" s="6">
        <f>Summary!N95</f>
        <v/>
      </c>
      <c r="O95" s="6">
        <f>Summary!O95</f>
        <v/>
      </c>
      <c r="P95" s="6">
        <f>Summary!P95</f>
        <v/>
      </c>
      <c r="Q95" s="6">
        <f>Summary!Q95</f>
        <v/>
      </c>
      <c r="R95" s="6">
        <f>Summary!R95</f>
        <v/>
      </c>
      <c r="S95" s="6">
        <f>Summary!S95</f>
        <v/>
      </c>
      <c r="T95" s="6">
        <f>Summary!T95</f>
        <v/>
      </c>
      <c r="U95" s="6">
        <f>Summary!U95</f>
        <v/>
      </c>
      <c r="V95" s="6">
        <f>Summary!V95</f>
        <v/>
      </c>
      <c r="W95" s="6">
        <f>Summary!W95</f>
        <v/>
      </c>
      <c r="X95" s="6">
        <f>Summary!X95</f>
        <v/>
      </c>
      <c r="Y95" s="6">
        <f>Summary!Y95</f>
        <v/>
      </c>
      <c r="Z95" s="6">
        <f>Summary!Z95</f>
        <v/>
      </c>
      <c r="AA95" s="6">
        <f>Summary!AA95</f>
        <v/>
      </c>
      <c r="AB95" s="6">
        <f>SUM(D95:AA95)</f>
        <v/>
      </c>
      <c r="AC95" s="3" t="inlineStr"/>
      <c r="AD95" s="7">
        <f>E95*0.000830415+D95*0.000830415</f>
        <v/>
      </c>
      <c r="AE95" s="7">
        <f>F95*0.000830415+E95*0.000830415</f>
        <v/>
      </c>
      <c r="AF95" s="7">
        <f>G95*0.000830415+F95*0.000830415</f>
        <v/>
      </c>
      <c r="AG95" s="7">
        <f>H95*0.000830415+G95*0.000830415</f>
        <v/>
      </c>
      <c r="AH95" s="7">
        <f>I95*0.000830415+H95*0.000830415</f>
        <v/>
      </c>
      <c r="AI95" s="7">
        <f>J95*0.000830415+I95*0.000830415</f>
        <v/>
      </c>
      <c r="AJ95" s="7">
        <f>K95*0.000830415+J95*0.000830415</f>
        <v/>
      </c>
      <c r="AK95" s="7">
        <f>L95*0.000830415+K95*0.000830415</f>
        <v/>
      </c>
      <c r="AL95" s="7">
        <f>M95*0.000830415+L95*0.000830415</f>
        <v/>
      </c>
      <c r="AM95" s="7">
        <f>N95*0.000830415+M95*0.000830415</f>
        <v/>
      </c>
      <c r="AN95" s="7">
        <f>O95*0.000830415+N95*0.000830415</f>
        <v/>
      </c>
      <c r="AO95" s="7">
        <f>P95*0.000830415+O95*0.000830415</f>
        <v/>
      </c>
      <c r="AP95" s="7">
        <f>Q95*0.000830415+P95*0.000830415</f>
        <v/>
      </c>
      <c r="AQ95" s="7">
        <f>R95*0.000830415+Q95*0.000830415</f>
        <v/>
      </c>
      <c r="AR95" s="7">
        <f>S95*0.000830415+R95*0.000830415</f>
        <v/>
      </c>
      <c r="AS95" s="7">
        <f>T95*0.000830415+S95*0.000830415</f>
        <v/>
      </c>
      <c r="AT95" s="7">
        <f>U95*0.000830415+T95*0.000830415</f>
        <v/>
      </c>
      <c r="AU95" s="7">
        <f>V95*0.000830415+U95*0.000830415</f>
        <v/>
      </c>
      <c r="AV95" s="7">
        <f>W95*0.000830415+V95*0.000830415</f>
        <v/>
      </c>
      <c r="AW95" s="7">
        <f>X95*0.000830415+W95*0.000830415</f>
        <v/>
      </c>
      <c r="AX95" s="7">
        <f>Y95*0.000830415+X95*0.000830415</f>
        <v/>
      </c>
      <c r="AY95" s="7">
        <f>Z95*0.000830415+Y95*0.000830415</f>
        <v/>
      </c>
      <c r="AZ95" s="7">
        <f>AA95*0.000830415+Z95*0.000830415</f>
        <v/>
      </c>
      <c r="BA95" s="7">
        <f>D95*0.000830415+AA95*0.000830415</f>
        <v/>
      </c>
      <c r="BB95" s="7">
        <f>SUM(AD95:BA95)</f>
        <v/>
      </c>
    </row>
    <row r="96">
      <c r="A96" t="inlineStr">
        <is>
          <t>AMD-RTS-RCLS-1302-SSC</t>
        </is>
      </c>
      <c r="B96" t="inlineStr">
        <is>
          <t>Rev OSC</t>
        </is>
      </c>
      <c r="C96" s="5" t="n">
        <v>46103</v>
      </c>
      <c r="D96" s="6">
        <f>Summary!D96</f>
        <v/>
      </c>
      <c r="E96" s="6">
        <f>Summary!E96</f>
        <v/>
      </c>
      <c r="F96" s="6">
        <f>Summary!F96</f>
        <v/>
      </c>
      <c r="G96" s="6">
        <f>Summary!G96</f>
        <v/>
      </c>
      <c r="H96" s="6">
        <f>Summary!H96</f>
        <v/>
      </c>
      <c r="I96" s="6">
        <f>Summary!I96</f>
        <v/>
      </c>
      <c r="J96" s="6">
        <f>Summary!J96</f>
        <v/>
      </c>
      <c r="K96" s="6">
        <f>Summary!K96</f>
        <v/>
      </c>
      <c r="L96" s="6">
        <f>Summary!L96</f>
        <v/>
      </c>
      <c r="M96" s="6">
        <f>Summary!M96</f>
        <v/>
      </c>
      <c r="N96" s="6">
        <f>Summary!N96</f>
        <v/>
      </c>
      <c r="O96" s="6">
        <f>Summary!O96</f>
        <v/>
      </c>
      <c r="P96" s="6">
        <f>Summary!P96</f>
        <v/>
      </c>
      <c r="Q96" s="6">
        <f>Summary!Q96</f>
        <v/>
      </c>
      <c r="R96" s="6">
        <f>Summary!R96</f>
        <v/>
      </c>
      <c r="S96" s="6">
        <f>Summary!S96</f>
        <v/>
      </c>
      <c r="T96" s="6">
        <f>Summary!T96</f>
        <v/>
      </c>
      <c r="U96" s="6">
        <f>Summary!U96</f>
        <v/>
      </c>
      <c r="V96" s="6">
        <f>Summary!V96</f>
        <v/>
      </c>
      <c r="W96" s="6">
        <f>Summary!W96</f>
        <v/>
      </c>
      <c r="X96" s="6">
        <f>Summary!X96</f>
        <v/>
      </c>
      <c r="Y96" s="6">
        <f>Summary!Y96</f>
        <v/>
      </c>
      <c r="Z96" s="6">
        <f>Summary!Z96</f>
        <v/>
      </c>
      <c r="AA96" s="6">
        <f>Summary!AA96</f>
        <v/>
      </c>
      <c r="AB96" s="6">
        <f>SUM(D96:AA96)</f>
        <v/>
      </c>
      <c r="AC96" s="3" t="inlineStr"/>
      <c r="AD96" s="7">
        <f>E96*0.000830415+D96*0.000830415</f>
        <v/>
      </c>
      <c r="AE96" s="7">
        <f>F96*0.000830415+E96*0.000830415</f>
        <v/>
      </c>
      <c r="AF96" s="7">
        <f>G96*0.000830415+F96*0.000830415</f>
        <v/>
      </c>
      <c r="AG96" s="7">
        <f>H96*0.000830415+G96*0.000830415</f>
        <v/>
      </c>
      <c r="AH96" s="7">
        <f>I96*0.000830415+H96*0.000830415</f>
        <v/>
      </c>
      <c r="AI96" s="7">
        <f>J96*0.000830415+I96*0.000830415</f>
        <v/>
      </c>
      <c r="AJ96" s="7">
        <f>K96*0.000830415+J96*0.000830415</f>
        <v/>
      </c>
      <c r="AK96" s="7">
        <f>L96*0.000830415+K96*0.000830415</f>
        <v/>
      </c>
      <c r="AL96" s="7">
        <f>M96*0.000830415+L96*0.000830415</f>
        <v/>
      </c>
      <c r="AM96" s="7">
        <f>N96*0.000830415+M96*0.000830415</f>
        <v/>
      </c>
      <c r="AN96" s="7">
        <f>O96*0.000830415+N96*0.000830415</f>
        <v/>
      </c>
      <c r="AO96" s="7">
        <f>P96*0.000830415+O96*0.000830415</f>
        <v/>
      </c>
      <c r="AP96" s="7">
        <f>Q96*0.000830415+P96*0.000830415</f>
        <v/>
      </c>
      <c r="AQ96" s="7">
        <f>R96*0.000830415+Q96*0.000830415</f>
        <v/>
      </c>
      <c r="AR96" s="7">
        <f>S96*0.000830415+R96*0.000830415</f>
        <v/>
      </c>
      <c r="AS96" s="7">
        <f>T96*0.000830415+S96*0.000830415</f>
        <v/>
      </c>
      <c r="AT96" s="7">
        <f>U96*0.000830415+T96*0.000830415</f>
        <v/>
      </c>
      <c r="AU96" s="7">
        <f>V96*0.000830415+U96*0.000830415</f>
        <v/>
      </c>
      <c r="AV96" s="7">
        <f>W96*0.000830415+V96*0.000830415</f>
        <v/>
      </c>
      <c r="AW96" s="7">
        <f>X96*0.000830415+W96*0.000830415</f>
        <v/>
      </c>
      <c r="AX96" s="7">
        <f>Y96*0.000830415+X96*0.000830415</f>
        <v/>
      </c>
      <c r="AY96" s="7">
        <f>Z96*0.000830415+Y96*0.000830415</f>
        <v/>
      </c>
      <c r="AZ96" s="7">
        <f>AA96*0.000830415+Z96*0.000830415</f>
        <v/>
      </c>
      <c r="BA96" s="7">
        <f>D96*0.000830415+AA96*0.000830415</f>
        <v/>
      </c>
      <c r="BB96" s="7">
        <f>SUM(AD96:BA96)</f>
        <v/>
      </c>
    </row>
    <row r="97">
      <c r="A97" t="inlineStr">
        <is>
          <t>AMD-RTS-RCLS-1302-SSC</t>
        </is>
      </c>
      <c r="B97" t="inlineStr">
        <is>
          <t>Rev OSC</t>
        </is>
      </c>
      <c r="C97" s="5" t="n">
        <v>46104</v>
      </c>
      <c r="D97" s="6">
        <f>Summary!D97</f>
        <v/>
      </c>
      <c r="E97" s="6">
        <f>Summary!E97</f>
        <v/>
      </c>
      <c r="F97" s="6">
        <f>Summary!F97</f>
        <v/>
      </c>
      <c r="G97" s="6">
        <f>Summary!G97</f>
        <v/>
      </c>
      <c r="H97" s="6">
        <f>Summary!H97</f>
        <v/>
      </c>
      <c r="I97" s="6">
        <f>Summary!I97</f>
        <v/>
      </c>
      <c r="J97" s="6">
        <f>Summary!J97</f>
        <v/>
      </c>
      <c r="K97" s="6">
        <f>Summary!K97</f>
        <v/>
      </c>
      <c r="L97" s="6">
        <f>Summary!L97</f>
        <v/>
      </c>
      <c r="M97" s="6">
        <f>Summary!M97</f>
        <v/>
      </c>
      <c r="N97" s="6">
        <f>Summary!N97</f>
        <v/>
      </c>
      <c r="O97" s="6">
        <f>Summary!O97</f>
        <v/>
      </c>
      <c r="P97" s="6">
        <f>Summary!P97</f>
        <v/>
      </c>
      <c r="Q97" s="6">
        <f>Summary!Q97</f>
        <v/>
      </c>
      <c r="R97" s="6">
        <f>Summary!R97</f>
        <v/>
      </c>
      <c r="S97" s="6">
        <f>Summary!S97</f>
        <v/>
      </c>
      <c r="T97" s="6">
        <f>Summary!T97</f>
        <v/>
      </c>
      <c r="U97" s="6">
        <f>Summary!U97</f>
        <v/>
      </c>
      <c r="V97" s="6">
        <f>Summary!V97</f>
        <v/>
      </c>
      <c r="W97" s="6">
        <f>Summary!W97</f>
        <v/>
      </c>
      <c r="X97" s="6">
        <f>Summary!X97</f>
        <v/>
      </c>
      <c r="Y97" s="6">
        <f>Summary!Y97</f>
        <v/>
      </c>
      <c r="Z97" s="6">
        <f>Summary!Z97</f>
        <v/>
      </c>
      <c r="AA97" s="6">
        <f>Summary!AA97</f>
        <v/>
      </c>
      <c r="AB97" s="6">
        <f>SUM(D97:AA97)</f>
        <v/>
      </c>
      <c r="AC97" s="3" t="inlineStr"/>
      <c r="AD97" s="7">
        <f>E97*0.000830415+D97*0.000830415</f>
        <v/>
      </c>
      <c r="AE97" s="7">
        <f>F97*0.000830415+E97*0.000830415</f>
        <v/>
      </c>
      <c r="AF97" s="7">
        <f>G97*0.000830415+F97*0.000830415</f>
        <v/>
      </c>
      <c r="AG97" s="7">
        <f>H97*0.000830415+G97*0.000830415</f>
        <v/>
      </c>
      <c r="AH97" s="7">
        <f>I97*0.000830415+H97*0.000830415</f>
        <v/>
      </c>
      <c r="AI97" s="7">
        <f>J97*0.000830415+I97*0.000830415</f>
        <v/>
      </c>
      <c r="AJ97" s="7">
        <f>K97*0.000830415+J97*0.000830415</f>
        <v/>
      </c>
      <c r="AK97" s="7">
        <f>L97*0.000830415+K97*0.000830415</f>
        <v/>
      </c>
      <c r="AL97" s="7">
        <f>M97*0.000830415+L97*0.000830415</f>
        <v/>
      </c>
      <c r="AM97" s="7">
        <f>N97*0.000830415+M97*0.000830415</f>
        <v/>
      </c>
      <c r="AN97" s="7">
        <f>O97*0.000830415+N97*0.000830415</f>
        <v/>
      </c>
      <c r="AO97" s="7">
        <f>P97*0.000830415+O97*0.000830415</f>
        <v/>
      </c>
      <c r="AP97" s="7">
        <f>Q97*0.000830415+P97*0.000830415</f>
        <v/>
      </c>
      <c r="AQ97" s="7">
        <f>R97*0.000830415+Q97*0.000830415</f>
        <v/>
      </c>
      <c r="AR97" s="7">
        <f>S97*0.000830415+R97*0.000830415</f>
        <v/>
      </c>
      <c r="AS97" s="7">
        <f>T97*0.000830415+S97*0.000830415</f>
        <v/>
      </c>
      <c r="AT97" s="7">
        <f>U97*0.000830415+T97*0.000830415</f>
        <v/>
      </c>
      <c r="AU97" s="7">
        <f>V97*0.000830415+U97*0.000830415</f>
        <v/>
      </c>
      <c r="AV97" s="7">
        <f>W97*0.000830415+V97*0.000830415</f>
        <v/>
      </c>
      <c r="AW97" s="7">
        <f>X97*0.000830415+W97*0.000830415</f>
        <v/>
      </c>
      <c r="AX97" s="7">
        <f>Y97*0.000830415+X97*0.000830415</f>
        <v/>
      </c>
      <c r="AY97" s="7">
        <f>Z97*0.000830415+Y97*0.000830415</f>
        <v/>
      </c>
      <c r="AZ97" s="7">
        <f>AA97*0.000830415+Z97*0.000830415</f>
        <v/>
      </c>
      <c r="BA97" s="7">
        <f>D97*0.000830415+AA97*0.000830415</f>
        <v/>
      </c>
      <c r="BB97" s="7">
        <f>SUM(AD97:BA97)</f>
        <v/>
      </c>
    </row>
    <row r="98">
      <c r="A98" t="inlineStr">
        <is>
          <t>AMD-RTS-RCLS-1302-SSC</t>
        </is>
      </c>
      <c r="B98" t="inlineStr">
        <is>
          <t>Rev OSC</t>
        </is>
      </c>
      <c r="C98" s="5" t="n">
        <v>46105</v>
      </c>
      <c r="D98" s="6">
        <f>Summary!D98</f>
        <v/>
      </c>
      <c r="E98" s="6">
        <f>Summary!E98</f>
        <v/>
      </c>
      <c r="F98" s="6">
        <f>Summary!F98</f>
        <v/>
      </c>
      <c r="G98" s="6">
        <f>Summary!G98</f>
        <v/>
      </c>
      <c r="H98" s="6">
        <f>Summary!H98</f>
        <v/>
      </c>
      <c r="I98" s="6">
        <f>Summary!I98</f>
        <v/>
      </c>
      <c r="J98" s="6">
        <f>Summary!J98</f>
        <v/>
      </c>
      <c r="K98" s="6">
        <f>Summary!K98</f>
        <v/>
      </c>
      <c r="L98" s="6">
        <f>Summary!L98</f>
        <v/>
      </c>
      <c r="M98" s="6">
        <f>Summary!M98</f>
        <v/>
      </c>
      <c r="N98" s="6">
        <f>Summary!N98</f>
        <v/>
      </c>
      <c r="O98" s="6">
        <f>Summary!O98</f>
        <v/>
      </c>
      <c r="P98" s="6">
        <f>Summary!P98</f>
        <v/>
      </c>
      <c r="Q98" s="6">
        <f>Summary!Q98</f>
        <v/>
      </c>
      <c r="R98" s="6">
        <f>Summary!R98</f>
        <v/>
      </c>
      <c r="S98" s="6">
        <f>Summary!S98</f>
        <v/>
      </c>
      <c r="T98" s="6">
        <f>Summary!T98</f>
        <v/>
      </c>
      <c r="U98" s="6">
        <f>Summary!U98</f>
        <v/>
      </c>
      <c r="V98" s="6">
        <f>Summary!V98</f>
        <v/>
      </c>
      <c r="W98" s="6">
        <f>Summary!W98</f>
        <v/>
      </c>
      <c r="X98" s="6">
        <f>Summary!X98</f>
        <v/>
      </c>
      <c r="Y98" s="6">
        <f>Summary!Y98</f>
        <v/>
      </c>
      <c r="Z98" s="6">
        <f>Summary!Z98</f>
        <v/>
      </c>
      <c r="AA98" s="6">
        <f>Summary!AA98</f>
        <v/>
      </c>
      <c r="AB98" s="6">
        <f>SUM(D98:AA98)</f>
        <v/>
      </c>
      <c r="AC98" s="3" t="inlineStr"/>
      <c r="AD98" s="7">
        <f>E98*0.000830415+D98*0.000830415</f>
        <v/>
      </c>
      <c r="AE98" s="7">
        <f>F98*0.000830415+E98*0.000830415</f>
        <v/>
      </c>
      <c r="AF98" s="7">
        <f>G98*0.000830415+F98*0.000830415</f>
        <v/>
      </c>
      <c r="AG98" s="7">
        <f>H98*0.000830415+G98*0.000830415</f>
        <v/>
      </c>
      <c r="AH98" s="7">
        <f>I98*0.000830415+H98*0.000830415</f>
        <v/>
      </c>
      <c r="AI98" s="7">
        <f>J98*0.000830415+I98*0.000830415</f>
        <v/>
      </c>
      <c r="AJ98" s="7">
        <f>K98*0.000830415+J98*0.000830415</f>
        <v/>
      </c>
      <c r="AK98" s="7">
        <f>L98*0.000830415+K98*0.000830415</f>
        <v/>
      </c>
      <c r="AL98" s="7">
        <f>M98*0.000830415+L98*0.000830415</f>
        <v/>
      </c>
      <c r="AM98" s="7">
        <f>N98*0.000830415+M98*0.000830415</f>
        <v/>
      </c>
      <c r="AN98" s="7">
        <f>O98*0.000830415+N98*0.000830415</f>
        <v/>
      </c>
      <c r="AO98" s="7">
        <f>P98*0.000830415+O98*0.000830415</f>
        <v/>
      </c>
      <c r="AP98" s="7">
        <f>Q98*0.000830415+P98*0.000830415</f>
        <v/>
      </c>
      <c r="AQ98" s="7">
        <f>R98*0.000830415+Q98*0.000830415</f>
        <v/>
      </c>
      <c r="AR98" s="7">
        <f>S98*0.000830415+R98*0.000830415</f>
        <v/>
      </c>
      <c r="AS98" s="7">
        <f>T98*0.000830415+S98*0.000830415</f>
        <v/>
      </c>
      <c r="AT98" s="7">
        <f>U98*0.000830415+T98*0.000830415</f>
        <v/>
      </c>
      <c r="AU98" s="7">
        <f>V98*0.000830415+U98*0.000830415</f>
        <v/>
      </c>
      <c r="AV98" s="7">
        <f>W98*0.000830415+V98*0.000830415</f>
        <v/>
      </c>
      <c r="AW98" s="7">
        <f>X98*0.000830415+W98*0.000830415</f>
        <v/>
      </c>
      <c r="AX98" s="7">
        <f>Y98*0.000830415+X98*0.000830415</f>
        <v/>
      </c>
      <c r="AY98" s="7">
        <f>Z98*0.000830415+Y98*0.000830415</f>
        <v/>
      </c>
      <c r="AZ98" s="7">
        <f>AA98*0.000830415+Z98*0.000830415</f>
        <v/>
      </c>
      <c r="BA98" s="7">
        <f>D98*0.000830415+AA98*0.000830415</f>
        <v/>
      </c>
      <c r="BB98" s="7">
        <f>SUM(AD98:BA98)</f>
        <v/>
      </c>
    </row>
    <row r="99">
      <c r="A99" t="inlineStr">
        <is>
          <t>AMD-RTS-RCLS-1302-SSC_1</t>
        </is>
      </c>
      <c r="B99" t="inlineStr">
        <is>
          <t>Rev OSC</t>
        </is>
      </c>
      <c r="C99" s="5" t="n">
        <v>46090</v>
      </c>
      <c r="D99" s="6">
        <f>Summary!D99</f>
        <v/>
      </c>
      <c r="E99" s="6">
        <f>Summary!E99</f>
        <v/>
      </c>
      <c r="F99" s="6">
        <f>Summary!F99</f>
        <v/>
      </c>
      <c r="G99" s="6">
        <f>Summary!G99</f>
        <v/>
      </c>
      <c r="H99" s="6">
        <f>Summary!H99</f>
        <v/>
      </c>
      <c r="I99" s="6">
        <f>Summary!I99</f>
        <v/>
      </c>
      <c r="J99" s="6">
        <f>Summary!J99</f>
        <v/>
      </c>
      <c r="K99" s="6">
        <f>Summary!K99</f>
        <v/>
      </c>
      <c r="L99" s="6">
        <f>Summary!L99</f>
        <v/>
      </c>
      <c r="M99" s="6">
        <f>Summary!M99</f>
        <v/>
      </c>
      <c r="N99" s="6">
        <f>Summary!N99</f>
        <v/>
      </c>
      <c r="O99" s="6">
        <f>Summary!O99</f>
        <v/>
      </c>
      <c r="P99" s="6">
        <f>Summary!P99</f>
        <v/>
      </c>
      <c r="Q99" s="6">
        <f>Summary!Q99</f>
        <v/>
      </c>
      <c r="R99" s="6">
        <f>Summary!R99</f>
        <v/>
      </c>
      <c r="S99" s="6">
        <f>Summary!S99</f>
        <v/>
      </c>
      <c r="T99" s="6">
        <f>Summary!T99</f>
        <v/>
      </c>
      <c r="U99" s="6">
        <f>Summary!U99</f>
        <v/>
      </c>
      <c r="V99" s="6">
        <f>Summary!V99</f>
        <v/>
      </c>
      <c r="W99" s="6">
        <f>Summary!W99</f>
        <v/>
      </c>
      <c r="X99" s="6">
        <f>Summary!X99</f>
        <v/>
      </c>
      <c r="Y99" s="6">
        <f>Summary!Y99</f>
        <v/>
      </c>
      <c r="Z99" s="6">
        <f>Summary!Z99</f>
        <v/>
      </c>
      <c r="AA99" s="6">
        <f>Summary!AA99</f>
        <v/>
      </c>
      <c r="AB99" s="6">
        <f>SUM(D99:AA99)</f>
        <v/>
      </c>
      <c r="AC99" s="3" t="inlineStr"/>
      <c r="AD99" s="7">
        <f>E99*0.000830415+D99*0.000830415</f>
        <v/>
      </c>
      <c r="AE99" s="7">
        <f>F99*0.000830415+E99*0.000830415</f>
        <v/>
      </c>
      <c r="AF99" s="7">
        <f>G99*0.000830415+F99*0.000830415</f>
        <v/>
      </c>
      <c r="AG99" s="7">
        <f>H99*0.000830415+G99*0.000830415</f>
        <v/>
      </c>
      <c r="AH99" s="7">
        <f>I99*0.000830415+H99*0.000830415</f>
        <v/>
      </c>
      <c r="AI99" s="7">
        <f>J99*0.000830415+I99*0.000830415</f>
        <v/>
      </c>
      <c r="AJ99" s="7">
        <f>K99*0.000830415+J99*0.000830415</f>
        <v/>
      </c>
      <c r="AK99" s="7">
        <f>L99*0.000830415+K99*0.000830415</f>
        <v/>
      </c>
      <c r="AL99" s="7">
        <f>M99*0.000830415+L99*0.000830415</f>
        <v/>
      </c>
      <c r="AM99" s="7">
        <f>N99*0.000830415+M99*0.000830415</f>
        <v/>
      </c>
      <c r="AN99" s="7">
        <f>O99*0.000830415+N99*0.000830415</f>
        <v/>
      </c>
      <c r="AO99" s="7">
        <f>P99*0.000830415+O99*0.000830415</f>
        <v/>
      </c>
      <c r="AP99" s="7">
        <f>Q99*0.000830415+P99*0.000830415</f>
        <v/>
      </c>
      <c r="AQ99" s="7">
        <f>R99*0.000830415+Q99*0.000830415</f>
        <v/>
      </c>
      <c r="AR99" s="7">
        <f>S99*0.000830415+R99*0.000830415</f>
        <v/>
      </c>
      <c r="AS99" s="7">
        <f>T99*0.000830415+S99*0.000830415</f>
        <v/>
      </c>
      <c r="AT99" s="7">
        <f>U99*0.000830415+T99*0.000830415</f>
        <v/>
      </c>
      <c r="AU99" s="7">
        <f>V99*0.000830415+U99*0.000830415</f>
        <v/>
      </c>
      <c r="AV99" s="7">
        <f>W99*0.000830415+V99*0.000830415</f>
        <v/>
      </c>
      <c r="AW99" s="7">
        <f>X99*0.000830415+W99*0.000830415</f>
        <v/>
      </c>
      <c r="AX99" s="7">
        <f>Y99*0.000830415+X99*0.000830415</f>
        <v/>
      </c>
      <c r="AY99" s="7">
        <f>Z99*0.000830415+Y99*0.000830415</f>
        <v/>
      </c>
      <c r="AZ99" s="7">
        <f>AA99*0.000830415+Z99*0.000830415</f>
        <v/>
      </c>
      <c r="BA99" s="7">
        <f>D99*0.000830415+AA99*0.000830415</f>
        <v/>
      </c>
      <c r="BB99" s="7">
        <f>SUM(AD99:BA99)</f>
        <v/>
      </c>
    </row>
    <row r="100">
      <c r="A100" t="inlineStr">
        <is>
          <t>AMD-RTS-RCLS-1302-SSC_1</t>
        </is>
      </c>
      <c r="B100" t="inlineStr">
        <is>
          <t>Rev OSC</t>
        </is>
      </c>
      <c r="C100" s="5" t="n">
        <v>46093</v>
      </c>
      <c r="D100" s="6">
        <f>Summary!D100</f>
        <v/>
      </c>
      <c r="E100" s="6">
        <f>Summary!E100</f>
        <v/>
      </c>
      <c r="F100" s="6">
        <f>Summary!F100</f>
        <v/>
      </c>
      <c r="G100" s="6">
        <f>Summary!G100</f>
        <v/>
      </c>
      <c r="H100" s="6">
        <f>Summary!H100</f>
        <v/>
      </c>
      <c r="I100" s="6">
        <f>Summary!I100</f>
        <v/>
      </c>
      <c r="J100" s="6">
        <f>Summary!J100</f>
        <v/>
      </c>
      <c r="K100" s="6">
        <f>Summary!K100</f>
        <v/>
      </c>
      <c r="L100" s="6">
        <f>Summary!L100</f>
        <v/>
      </c>
      <c r="M100" s="6">
        <f>Summary!M100</f>
        <v/>
      </c>
      <c r="N100" s="6">
        <f>Summary!N100</f>
        <v/>
      </c>
      <c r="O100" s="6">
        <f>Summary!O100</f>
        <v/>
      </c>
      <c r="P100" s="6">
        <f>Summary!P100</f>
        <v/>
      </c>
      <c r="Q100" s="6">
        <f>Summary!Q100</f>
        <v/>
      </c>
      <c r="R100" s="6">
        <f>Summary!R100</f>
        <v/>
      </c>
      <c r="S100" s="6">
        <f>Summary!S100</f>
        <v/>
      </c>
      <c r="T100" s="6">
        <f>Summary!T100</f>
        <v/>
      </c>
      <c r="U100" s="6">
        <f>Summary!U100</f>
        <v/>
      </c>
      <c r="V100" s="6">
        <f>Summary!V100</f>
        <v/>
      </c>
      <c r="W100" s="6">
        <f>Summary!W100</f>
        <v/>
      </c>
      <c r="X100" s="6">
        <f>Summary!X100</f>
        <v/>
      </c>
      <c r="Y100" s="6">
        <f>Summary!Y100</f>
        <v/>
      </c>
      <c r="Z100" s="6">
        <f>Summary!Z100</f>
        <v/>
      </c>
      <c r="AA100" s="6">
        <f>Summary!AA100</f>
        <v/>
      </c>
      <c r="AB100" s="6">
        <f>SUM(D100:AA100)</f>
        <v/>
      </c>
      <c r="AC100" s="3" t="inlineStr"/>
      <c r="AD100" s="7">
        <f>E100*0.000830415+D100*0.000830415</f>
        <v/>
      </c>
      <c r="AE100" s="7">
        <f>F100*0.000830415+E100*0.000830415</f>
        <v/>
      </c>
      <c r="AF100" s="7">
        <f>G100*0.000830415+F100*0.000830415</f>
        <v/>
      </c>
      <c r="AG100" s="7">
        <f>H100*0.000830415+G100*0.000830415</f>
        <v/>
      </c>
      <c r="AH100" s="7">
        <f>I100*0.000830415+H100*0.000830415</f>
        <v/>
      </c>
      <c r="AI100" s="7">
        <f>J100*0.000830415+I100*0.000830415</f>
        <v/>
      </c>
      <c r="AJ100" s="7">
        <f>K100*0.000830415+J100*0.000830415</f>
        <v/>
      </c>
      <c r="AK100" s="7">
        <f>L100*0.000830415+K100*0.000830415</f>
        <v/>
      </c>
      <c r="AL100" s="7">
        <f>M100*0.000830415+L100*0.000830415</f>
        <v/>
      </c>
      <c r="AM100" s="7">
        <f>N100*0.000830415+M100*0.000830415</f>
        <v/>
      </c>
      <c r="AN100" s="7">
        <f>O100*0.000830415+N100*0.000830415</f>
        <v/>
      </c>
      <c r="AO100" s="7">
        <f>P100*0.000830415+O100*0.000830415</f>
        <v/>
      </c>
      <c r="AP100" s="7">
        <f>Q100*0.000830415+P100*0.000830415</f>
        <v/>
      </c>
      <c r="AQ100" s="7">
        <f>R100*0.000830415+Q100*0.000830415</f>
        <v/>
      </c>
      <c r="AR100" s="7">
        <f>S100*0.000830415+R100*0.000830415</f>
        <v/>
      </c>
      <c r="AS100" s="7">
        <f>T100*0.000830415+S100*0.000830415</f>
        <v/>
      </c>
      <c r="AT100" s="7">
        <f>U100*0.000830415+T100*0.000830415</f>
        <v/>
      </c>
      <c r="AU100" s="7">
        <f>V100*0.000830415+U100*0.000830415</f>
        <v/>
      </c>
      <c r="AV100" s="7">
        <f>W100*0.000830415+V100*0.000830415</f>
        <v/>
      </c>
      <c r="AW100" s="7">
        <f>X100*0.000830415+W100*0.000830415</f>
        <v/>
      </c>
      <c r="AX100" s="7">
        <f>Y100*0.000830415+X100*0.000830415</f>
        <v/>
      </c>
      <c r="AY100" s="7">
        <f>Z100*0.000830415+Y100*0.000830415</f>
        <v/>
      </c>
      <c r="AZ100" s="7">
        <f>AA100*0.000830415+Z100*0.000830415</f>
        <v/>
      </c>
      <c r="BA100" s="7">
        <f>D100*0.000830415+AA100*0.000830415</f>
        <v/>
      </c>
      <c r="BB100" s="7">
        <f>SUM(AD100:BA100)</f>
        <v/>
      </c>
    </row>
    <row r="101">
      <c r="A101" t="inlineStr">
        <is>
          <t>AMD-RTS-RCLS-1302-SSC_1</t>
        </is>
      </c>
      <c r="B101" t="inlineStr">
        <is>
          <t>Rev OSC</t>
        </is>
      </c>
      <c r="C101" s="5" t="n">
        <v>46094</v>
      </c>
      <c r="D101" s="6">
        <f>Summary!D101</f>
        <v/>
      </c>
      <c r="E101" s="6">
        <f>Summary!E101</f>
        <v/>
      </c>
      <c r="F101" s="6">
        <f>Summary!F101</f>
        <v/>
      </c>
      <c r="G101" s="6">
        <f>Summary!G101</f>
        <v/>
      </c>
      <c r="H101" s="6">
        <f>Summary!H101</f>
        <v/>
      </c>
      <c r="I101" s="6">
        <f>Summary!I101</f>
        <v/>
      </c>
      <c r="J101" s="6">
        <f>Summary!J101</f>
        <v/>
      </c>
      <c r="K101" s="6">
        <f>Summary!K101</f>
        <v/>
      </c>
      <c r="L101" s="6">
        <f>Summary!L101</f>
        <v/>
      </c>
      <c r="M101" s="6">
        <f>Summary!M101</f>
        <v/>
      </c>
      <c r="N101" s="6">
        <f>Summary!N101</f>
        <v/>
      </c>
      <c r="O101" s="6">
        <f>Summary!O101</f>
        <v/>
      </c>
      <c r="P101" s="6">
        <f>Summary!P101</f>
        <v/>
      </c>
      <c r="Q101" s="6">
        <f>Summary!Q101</f>
        <v/>
      </c>
      <c r="R101" s="6">
        <f>Summary!R101</f>
        <v/>
      </c>
      <c r="S101" s="6">
        <f>Summary!S101</f>
        <v/>
      </c>
      <c r="T101" s="6">
        <f>Summary!T101</f>
        <v/>
      </c>
      <c r="U101" s="6">
        <f>Summary!U101</f>
        <v/>
      </c>
      <c r="V101" s="6">
        <f>Summary!V101</f>
        <v/>
      </c>
      <c r="W101" s="6">
        <f>Summary!W101</f>
        <v/>
      </c>
      <c r="X101" s="6">
        <f>Summary!X101</f>
        <v/>
      </c>
      <c r="Y101" s="6">
        <f>Summary!Y101</f>
        <v/>
      </c>
      <c r="Z101" s="6">
        <f>Summary!Z101</f>
        <v/>
      </c>
      <c r="AA101" s="6">
        <f>Summary!AA101</f>
        <v/>
      </c>
      <c r="AB101" s="6">
        <f>SUM(D101:AA101)</f>
        <v/>
      </c>
      <c r="AC101" s="3" t="inlineStr"/>
      <c r="AD101" s="7">
        <f>E101*0.000830415+D101*0.000830415</f>
        <v/>
      </c>
      <c r="AE101" s="7">
        <f>F101*0.000830415+E101*0.000830415</f>
        <v/>
      </c>
      <c r="AF101" s="7">
        <f>G101*0.000830415+F101*0.000830415</f>
        <v/>
      </c>
      <c r="AG101" s="7">
        <f>H101*0.000830415+G101*0.000830415</f>
        <v/>
      </c>
      <c r="AH101" s="7">
        <f>I101*0.000830415+H101*0.000830415</f>
        <v/>
      </c>
      <c r="AI101" s="7">
        <f>J101*0.000830415+I101*0.000830415</f>
        <v/>
      </c>
      <c r="AJ101" s="7">
        <f>K101*0.000830415+J101*0.000830415</f>
        <v/>
      </c>
      <c r="AK101" s="7">
        <f>L101*0.000830415+K101*0.000830415</f>
        <v/>
      </c>
      <c r="AL101" s="7">
        <f>M101*0.000830415+L101*0.000830415</f>
        <v/>
      </c>
      <c r="AM101" s="7">
        <f>N101*0.000830415+M101*0.000830415</f>
        <v/>
      </c>
      <c r="AN101" s="7">
        <f>O101*0.000830415+N101*0.000830415</f>
        <v/>
      </c>
      <c r="AO101" s="7">
        <f>P101*0.000830415+O101*0.000830415</f>
        <v/>
      </c>
      <c r="AP101" s="7">
        <f>Q101*0.000830415+P101*0.000830415</f>
        <v/>
      </c>
      <c r="AQ101" s="7">
        <f>R101*0.000830415+Q101*0.000830415</f>
        <v/>
      </c>
      <c r="AR101" s="7">
        <f>S101*0.000830415+R101*0.000830415</f>
        <v/>
      </c>
      <c r="AS101" s="7">
        <f>T101*0.000830415+S101*0.000830415</f>
        <v/>
      </c>
      <c r="AT101" s="7">
        <f>U101*0.000830415+T101*0.000830415</f>
        <v/>
      </c>
      <c r="AU101" s="7">
        <f>V101*0.000830415+U101*0.000830415</f>
        <v/>
      </c>
      <c r="AV101" s="7">
        <f>W101*0.000830415+V101*0.000830415</f>
        <v/>
      </c>
      <c r="AW101" s="7">
        <f>X101*0.000830415+W101*0.000830415</f>
        <v/>
      </c>
      <c r="AX101" s="7">
        <f>Y101*0.000830415+X101*0.000830415</f>
        <v/>
      </c>
      <c r="AY101" s="7">
        <f>Z101*0.000830415+Y101*0.000830415</f>
        <v/>
      </c>
      <c r="AZ101" s="7">
        <f>AA101*0.000830415+Z101*0.000830415</f>
        <v/>
      </c>
      <c r="BA101" s="7">
        <f>D101*0.000830415+AA101*0.000830415</f>
        <v/>
      </c>
      <c r="BB101" s="7">
        <f>SUM(AD101:BA101)</f>
        <v/>
      </c>
    </row>
    <row r="102">
      <c r="A102" t="inlineStr">
        <is>
          <t>AMD-RTS-RCLS-1302-SSC_1</t>
        </is>
      </c>
      <c r="B102" t="inlineStr">
        <is>
          <t>Rev OSC</t>
        </is>
      </c>
      <c r="C102" s="5" t="n">
        <v>46095</v>
      </c>
      <c r="D102" s="6">
        <f>Summary!D102</f>
        <v/>
      </c>
      <c r="E102" s="6">
        <f>Summary!E102</f>
        <v/>
      </c>
      <c r="F102" s="6">
        <f>Summary!F102</f>
        <v/>
      </c>
      <c r="G102" s="6">
        <f>Summary!G102</f>
        <v/>
      </c>
      <c r="H102" s="6">
        <f>Summary!H102</f>
        <v/>
      </c>
      <c r="I102" s="6">
        <f>Summary!I102</f>
        <v/>
      </c>
      <c r="J102" s="6">
        <f>Summary!J102</f>
        <v/>
      </c>
      <c r="K102" s="6">
        <f>Summary!K102</f>
        <v/>
      </c>
      <c r="L102" s="6">
        <f>Summary!L102</f>
        <v/>
      </c>
      <c r="M102" s="6">
        <f>Summary!M102</f>
        <v/>
      </c>
      <c r="N102" s="6">
        <f>Summary!N102</f>
        <v/>
      </c>
      <c r="O102" s="6">
        <f>Summary!O102</f>
        <v/>
      </c>
      <c r="P102" s="6">
        <f>Summary!P102</f>
        <v/>
      </c>
      <c r="Q102" s="6">
        <f>Summary!Q102</f>
        <v/>
      </c>
      <c r="R102" s="6">
        <f>Summary!R102</f>
        <v/>
      </c>
      <c r="S102" s="6">
        <f>Summary!S102</f>
        <v/>
      </c>
      <c r="T102" s="6">
        <f>Summary!T102</f>
        <v/>
      </c>
      <c r="U102" s="6">
        <f>Summary!U102</f>
        <v/>
      </c>
      <c r="V102" s="6">
        <f>Summary!V102</f>
        <v/>
      </c>
      <c r="W102" s="6">
        <f>Summary!W102</f>
        <v/>
      </c>
      <c r="X102" s="6">
        <f>Summary!X102</f>
        <v/>
      </c>
      <c r="Y102" s="6">
        <f>Summary!Y102</f>
        <v/>
      </c>
      <c r="Z102" s="6">
        <f>Summary!Z102</f>
        <v/>
      </c>
      <c r="AA102" s="6">
        <f>Summary!AA102</f>
        <v/>
      </c>
      <c r="AB102" s="6">
        <f>SUM(D102:AA102)</f>
        <v/>
      </c>
      <c r="AC102" s="3" t="inlineStr"/>
      <c r="AD102" s="7">
        <f>E102*0.000830415+D102*0.000830415</f>
        <v/>
      </c>
      <c r="AE102" s="7">
        <f>F102*0.000830415+E102*0.000830415</f>
        <v/>
      </c>
      <c r="AF102" s="7">
        <f>G102*0.000830415+F102*0.000830415</f>
        <v/>
      </c>
      <c r="AG102" s="7">
        <f>H102*0.000830415+G102*0.000830415</f>
        <v/>
      </c>
      <c r="AH102" s="7">
        <f>I102*0.000830415+H102*0.000830415</f>
        <v/>
      </c>
      <c r="AI102" s="7">
        <f>J102*0.000830415+I102*0.000830415</f>
        <v/>
      </c>
      <c r="AJ102" s="7">
        <f>K102*0.000830415+J102*0.000830415</f>
        <v/>
      </c>
      <c r="AK102" s="7">
        <f>L102*0.000830415+K102*0.000830415</f>
        <v/>
      </c>
      <c r="AL102" s="7">
        <f>M102*0.000830415+L102*0.000830415</f>
        <v/>
      </c>
      <c r="AM102" s="7">
        <f>N102*0.000830415+M102*0.000830415</f>
        <v/>
      </c>
      <c r="AN102" s="7">
        <f>O102*0.000830415+N102*0.000830415</f>
        <v/>
      </c>
      <c r="AO102" s="7">
        <f>P102*0.000830415+O102*0.000830415</f>
        <v/>
      </c>
      <c r="AP102" s="7">
        <f>Q102*0.000830415+P102*0.000830415</f>
        <v/>
      </c>
      <c r="AQ102" s="7">
        <f>R102*0.000830415+Q102*0.000830415</f>
        <v/>
      </c>
      <c r="AR102" s="7">
        <f>S102*0.000830415+R102*0.000830415</f>
        <v/>
      </c>
      <c r="AS102" s="7">
        <f>T102*0.000830415+S102*0.000830415</f>
        <v/>
      </c>
      <c r="AT102" s="7">
        <f>U102*0.000830415+T102*0.000830415</f>
        <v/>
      </c>
      <c r="AU102" s="7">
        <f>V102*0.000830415+U102*0.000830415</f>
        <v/>
      </c>
      <c r="AV102" s="7">
        <f>W102*0.000830415+V102*0.000830415</f>
        <v/>
      </c>
      <c r="AW102" s="7">
        <f>X102*0.000830415+W102*0.000830415</f>
        <v/>
      </c>
      <c r="AX102" s="7">
        <f>Y102*0.000830415+X102*0.000830415</f>
        <v/>
      </c>
      <c r="AY102" s="7">
        <f>Z102*0.000830415+Y102*0.000830415</f>
        <v/>
      </c>
      <c r="AZ102" s="7">
        <f>AA102*0.000830415+Z102*0.000830415</f>
        <v/>
      </c>
      <c r="BA102" s="7">
        <f>D102*0.000830415+AA102*0.000830415</f>
        <v/>
      </c>
      <c r="BB102" s="7">
        <f>SUM(AD102:BA102)</f>
        <v/>
      </c>
    </row>
    <row r="103">
      <c r="A103" t="inlineStr">
        <is>
          <t>AMD-RTS-RCLS-1302-SSC_1</t>
        </is>
      </c>
      <c r="B103" t="inlineStr">
        <is>
          <t>Rev OSC</t>
        </is>
      </c>
      <c r="C103" s="5" t="n">
        <v>46100</v>
      </c>
      <c r="D103" s="6">
        <f>Summary!D103</f>
        <v/>
      </c>
      <c r="E103" s="6">
        <f>Summary!E103</f>
        <v/>
      </c>
      <c r="F103" s="6">
        <f>Summary!F103</f>
        <v/>
      </c>
      <c r="G103" s="6">
        <f>Summary!G103</f>
        <v/>
      </c>
      <c r="H103" s="6">
        <f>Summary!H103</f>
        <v/>
      </c>
      <c r="I103" s="6">
        <f>Summary!I103</f>
        <v/>
      </c>
      <c r="J103" s="6">
        <f>Summary!J103</f>
        <v/>
      </c>
      <c r="K103" s="6">
        <f>Summary!K103</f>
        <v/>
      </c>
      <c r="L103" s="6">
        <f>Summary!L103</f>
        <v/>
      </c>
      <c r="M103" s="6">
        <f>Summary!M103</f>
        <v/>
      </c>
      <c r="N103" s="6">
        <f>Summary!N103</f>
        <v/>
      </c>
      <c r="O103" s="6">
        <f>Summary!O103</f>
        <v/>
      </c>
      <c r="P103" s="6">
        <f>Summary!P103</f>
        <v/>
      </c>
      <c r="Q103" s="6">
        <f>Summary!Q103</f>
        <v/>
      </c>
      <c r="R103" s="6">
        <f>Summary!R103</f>
        <v/>
      </c>
      <c r="S103" s="6">
        <f>Summary!S103</f>
        <v/>
      </c>
      <c r="T103" s="6">
        <f>Summary!T103</f>
        <v/>
      </c>
      <c r="U103" s="6">
        <f>Summary!U103</f>
        <v/>
      </c>
      <c r="V103" s="6">
        <f>Summary!V103</f>
        <v/>
      </c>
      <c r="W103" s="6">
        <f>Summary!W103</f>
        <v/>
      </c>
      <c r="X103" s="6">
        <f>Summary!X103</f>
        <v/>
      </c>
      <c r="Y103" s="6">
        <f>Summary!Y103</f>
        <v/>
      </c>
      <c r="Z103" s="6">
        <f>Summary!Z103</f>
        <v/>
      </c>
      <c r="AA103" s="6">
        <f>Summary!AA103</f>
        <v/>
      </c>
      <c r="AB103" s="6">
        <f>SUM(D103:AA103)</f>
        <v/>
      </c>
      <c r="AC103" s="3" t="inlineStr"/>
      <c r="AD103" s="7">
        <f>E103*0.000830415+D103*0.000830415</f>
        <v/>
      </c>
      <c r="AE103" s="7">
        <f>F103*0.000830415+E103*0.000830415</f>
        <v/>
      </c>
      <c r="AF103" s="7">
        <f>G103*0.000830415+F103*0.000830415</f>
        <v/>
      </c>
      <c r="AG103" s="7">
        <f>H103*0.000830415+G103*0.000830415</f>
        <v/>
      </c>
      <c r="AH103" s="7">
        <f>I103*0.000830415+H103*0.000830415</f>
        <v/>
      </c>
      <c r="AI103" s="7">
        <f>J103*0.000830415+I103*0.000830415</f>
        <v/>
      </c>
      <c r="AJ103" s="7">
        <f>K103*0.000830415+J103*0.000830415</f>
        <v/>
      </c>
      <c r="AK103" s="7">
        <f>L103*0.000830415+K103*0.000830415</f>
        <v/>
      </c>
      <c r="AL103" s="7">
        <f>M103*0.000830415+L103*0.000830415</f>
        <v/>
      </c>
      <c r="AM103" s="7">
        <f>N103*0.000830415+M103*0.000830415</f>
        <v/>
      </c>
      <c r="AN103" s="7">
        <f>O103*0.000830415+N103*0.000830415</f>
        <v/>
      </c>
      <c r="AO103" s="7">
        <f>P103*0.000830415+O103*0.000830415</f>
        <v/>
      </c>
      <c r="AP103" s="7">
        <f>Q103*0.000830415+P103*0.000830415</f>
        <v/>
      </c>
      <c r="AQ103" s="7">
        <f>R103*0.000830415+Q103*0.000830415</f>
        <v/>
      </c>
      <c r="AR103" s="7">
        <f>S103*0.000830415+R103*0.000830415</f>
        <v/>
      </c>
      <c r="AS103" s="7">
        <f>T103*0.000830415+S103*0.000830415</f>
        <v/>
      </c>
      <c r="AT103" s="7">
        <f>U103*0.000830415+T103*0.000830415</f>
        <v/>
      </c>
      <c r="AU103" s="7">
        <f>V103*0.000830415+U103*0.000830415</f>
        <v/>
      </c>
      <c r="AV103" s="7">
        <f>W103*0.000830415+V103*0.000830415</f>
        <v/>
      </c>
      <c r="AW103" s="7">
        <f>X103*0.000830415+W103*0.000830415</f>
        <v/>
      </c>
      <c r="AX103" s="7">
        <f>Y103*0.000830415+X103*0.000830415</f>
        <v/>
      </c>
      <c r="AY103" s="7">
        <f>Z103*0.000830415+Y103*0.000830415</f>
        <v/>
      </c>
      <c r="AZ103" s="7">
        <f>AA103*0.000830415+Z103*0.000830415</f>
        <v/>
      </c>
      <c r="BA103" s="7">
        <f>D103*0.000830415+AA103*0.000830415</f>
        <v/>
      </c>
      <c r="BB103" s="7">
        <f>SUM(AD103:BA103)</f>
        <v/>
      </c>
    </row>
    <row r="104">
      <c r="A104" t="inlineStr">
        <is>
          <t>AMD-RTS-RCLS-1302-SSC_1</t>
        </is>
      </c>
      <c r="B104" t="inlineStr">
        <is>
          <t>Rev OSC</t>
        </is>
      </c>
      <c r="C104" s="5" t="n">
        <v>46102</v>
      </c>
      <c r="D104" s="6">
        <f>Summary!D104</f>
        <v/>
      </c>
      <c r="E104" s="6">
        <f>Summary!E104</f>
        <v/>
      </c>
      <c r="F104" s="6">
        <f>Summary!F104</f>
        <v/>
      </c>
      <c r="G104" s="6">
        <f>Summary!G104</f>
        <v/>
      </c>
      <c r="H104" s="6">
        <f>Summary!H104</f>
        <v/>
      </c>
      <c r="I104" s="6">
        <f>Summary!I104</f>
        <v/>
      </c>
      <c r="J104" s="6">
        <f>Summary!J104</f>
        <v/>
      </c>
      <c r="K104" s="6">
        <f>Summary!K104</f>
        <v/>
      </c>
      <c r="L104" s="6">
        <f>Summary!L104</f>
        <v/>
      </c>
      <c r="M104" s="6">
        <f>Summary!M104</f>
        <v/>
      </c>
      <c r="N104" s="6">
        <f>Summary!N104</f>
        <v/>
      </c>
      <c r="O104" s="6">
        <f>Summary!O104</f>
        <v/>
      </c>
      <c r="P104" s="6">
        <f>Summary!P104</f>
        <v/>
      </c>
      <c r="Q104" s="6">
        <f>Summary!Q104</f>
        <v/>
      </c>
      <c r="R104" s="6">
        <f>Summary!R104</f>
        <v/>
      </c>
      <c r="S104" s="6">
        <f>Summary!S104</f>
        <v/>
      </c>
      <c r="T104" s="6">
        <f>Summary!T104</f>
        <v/>
      </c>
      <c r="U104" s="6">
        <f>Summary!U104</f>
        <v/>
      </c>
      <c r="V104" s="6">
        <f>Summary!V104</f>
        <v/>
      </c>
      <c r="W104" s="6">
        <f>Summary!W104</f>
        <v/>
      </c>
      <c r="X104" s="6">
        <f>Summary!X104</f>
        <v/>
      </c>
      <c r="Y104" s="6">
        <f>Summary!Y104</f>
        <v/>
      </c>
      <c r="Z104" s="6">
        <f>Summary!Z104</f>
        <v/>
      </c>
      <c r="AA104" s="6">
        <f>Summary!AA104</f>
        <v/>
      </c>
      <c r="AB104" s="6">
        <f>SUM(D104:AA104)</f>
        <v/>
      </c>
      <c r="AC104" s="3" t="inlineStr"/>
      <c r="AD104" s="7">
        <f>E104*0.000830415+D104*0.000830415</f>
        <v/>
      </c>
      <c r="AE104" s="7">
        <f>F104*0.000830415+E104*0.000830415</f>
        <v/>
      </c>
      <c r="AF104" s="7">
        <f>G104*0.000830415+F104*0.000830415</f>
        <v/>
      </c>
      <c r="AG104" s="7">
        <f>H104*0.000830415+G104*0.000830415</f>
        <v/>
      </c>
      <c r="AH104" s="7">
        <f>I104*0.000830415+H104*0.000830415</f>
        <v/>
      </c>
      <c r="AI104" s="7">
        <f>J104*0.000830415+I104*0.000830415</f>
        <v/>
      </c>
      <c r="AJ104" s="7">
        <f>K104*0.000830415+J104*0.000830415</f>
        <v/>
      </c>
      <c r="AK104" s="7">
        <f>L104*0.000830415+K104*0.000830415</f>
        <v/>
      </c>
      <c r="AL104" s="7">
        <f>M104*0.000830415+L104*0.000830415</f>
        <v/>
      </c>
      <c r="AM104" s="7">
        <f>N104*0.000830415+M104*0.000830415</f>
        <v/>
      </c>
      <c r="AN104" s="7">
        <f>O104*0.000830415+N104*0.000830415</f>
        <v/>
      </c>
      <c r="AO104" s="7">
        <f>P104*0.000830415+O104*0.000830415</f>
        <v/>
      </c>
      <c r="AP104" s="7">
        <f>Q104*0.000830415+P104*0.000830415</f>
        <v/>
      </c>
      <c r="AQ104" s="7">
        <f>R104*0.000830415+Q104*0.000830415</f>
        <v/>
      </c>
      <c r="AR104" s="7">
        <f>S104*0.000830415+R104*0.000830415</f>
        <v/>
      </c>
      <c r="AS104" s="7">
        <f>T104*0.000830415+S104*0.000830415</f>
        <v/>
      </c>
      <c r="AT104" s="7">
        <f>U104*0.000830415+T104*0.000830415</f>
        <v/>
      </c>
      <c r="AU104" s="7">
        <f>V104*0.000830415+U104*0.000830415</f>
        <v/>
      </c>
      <c r="AV104" s="7">
        <f>W104*0.000830415+V104*0.000830415</f>
        <v/>
      </c>
      <c r="AW104" s="7">
        <f>X104*0.000830415+W104*0.000830415</f>
        <v/>
      </c>
      <c r="AX104" s="7">
        <f>Y104*0.000830415+X104*0.000830415</f>
        <v/>
      </c>
      <c r="AY104" s="7">
        <f>Z104*0.000830415+Y104*0.000830415</f>
        <v/>
      </c>
      <c r="AZ104" s="7">
        <f>AA104*0.000830415+Z104*0.000830415</f>
        <v/>
      </c>
      <c r="BA104" s="7">
        <f>D104*0.000830415+AA104*0.000830415</f>
        <v/>
      </c>
      <c r="BB104" s="7">
        <f>SUM(AD104:BA104)</f>
        <v/>
      </c>
    </row>
    <row r="105">
      <c r="A105" t="inlineStr">
        <is>
          <t>AMD-RTS-RCLS-1302-SSC_1</t>
        </is>
      </c>
      <c r="B105" t="inlineStr">
        <is>
          <t>Rev OSC</t>
        </is>
      </c>
      <c r="C105" s="5" t="n">
        <v>46103</v>
      </c>
      <c r="D105" s="6">
        <f>Summary!D105</f>
        <v/>
      </c>
      <c r="E105" s="6">
        <f>Summary!E105</f>
        <v/>
      </c>
      <c r="F105" s="6">
        <f>Summary!F105</f>
        <v/>
      </c>
      <c r="G105" s="6">
        <f>Summary!G105</f>
        <v/>
      </c>
      <c r="H105" s="6">
        <f>Summary!H105</f>
        <v/>
      </c>
      <c r="I105" s="6">
        <f>Summary!I105</f>
        <v/>
      </c>
      <c r="J105" s="6">
        <f>Summary!J105</f>
        <v/>
      </c>
      <c r="K105" s="6">
        <f>Summary!K105</f>
        <v/>
      </c>
      <c r="L105" s="6">
        <f>Summary!L105</f>
        <v/>
      </c>
      <c r="M105" s="6">
        <f>Summary!M105</f>
        <v/>
      </c>
      <c r="N105" s="6">
        <f>Summary!N105</f>
        <v/>
      </c>
      <c r="O105" s="6">
        <f>Summary!O105</f>
        <v/>
      </c>
      <c r="P105" s="6">
        <f>Summary!P105</f>
        <v/>
      </c>
      <c r="Q105" s="6">
        <f>Summary!Q105</f>
        <v/>
      </c>
      <c r="R105" s="6">
        <f>Summary!R105</f>
        <v/>
      </c>
      <c r="S105" s="6">
        <f>Summary!S105</f>
        <v/>
      </c>
      <c r="T105" s="6">
        <f>Summary!T105</f>
        <v/>
      </c>
      <c r="U105" s="6">
        <f>Summary!U105</f>
        <v/>
      </c>
      <c r="V105" s="6">
        <f>Summary!V105</f>
        <v/>
      </c>
      <c r="W105" s="6">
        <f>Summary!W105</f>
        <v/>
      </c>
      <c r="X105" s="6">
        <f>Summary!X105</f>
        <v/>
      </c>
      <c r="Y105" s="6">
        <f>Summary!Y105</f>
        <v/>
      </c>
      <c r="Z105" s="6">
        <f>Summary!Z105</f>
        <v/>
      </c>
      <c r="AA105" s="6">
        <f>Summary!AA105</f>
        <v/>
      </c>
      <c r="AB105" s="6">
        <f>SUM(D105:AA105)</f>
        <v/>
      </c>
      <c r="AC105" s="3" t="inlineStr"/>
      <c r="AD105" s="7">
        <f>E105*0.000830415+D105*0.000830415</f>
        <v/>
      </c>
      <c r="AE105" s="7">
        <f>F105*0.000830415+E105*0.000830415</f>
        <v/>
      </c>
      <c r="AF105" s="7">
        <f>G105*0.000830415+F105*0.000830415</f>
        <v/>
      </c>
      <c r="AG105" s="7">
        <f>H105*0.000830415+G105*0.000830415</f>
        <v/>
      </c>
      <c r="AH105" s="7">
        <f>I105*0.000830415+H105*0.000830415</f>
        <v/>
      </c>
      <c r="AI105" s="7">
        <f>J105*0.000830415+I105*0.000830415</f>
        <v/>
      </c>
      <c r="AJ105" s="7">
        <f>K105*0.000830415+J105*0.000830415</f>
        <v/>
      </c>
      <c r="AK105" s="7">
        <f>L105*0.000830415+K105*0.000830415</f>
        <v/>
      </c>
      <c r="AL105" s="7">
        <f>M105*0.000830415+L105*0.000830415</f>
        <v/>
      </c>
      <c r="AM105" s="7">
        <f>N105*0.000830415+M105*0.000830415</f>
        <v/>
      </c>
      <c r="AN105" s="7">
        <f>O105*0.000830415+N105*0.000830415</f>
        <v/>
      </c>
      <c r="AO105" s="7">
        <f>P105*0.000830415+O105*0.000830415</f>
        <v/>
      </c>
      <c r="AP105" s="7">
        <f>Q105*0.000830415+P105*0.000830415</f>
        <v/>
      </c>
      <c r="AQ105" s="7">
        <f>R105*0.000830415+Q105*0.000830415</f>
        <v/>
      </c>
      <c r="AR105" s="7">
        <f>S105*0.000830415+R105*0.000830415</f>
        <v/>
      </c>
      <c r="AS105" s="7">
        <f>T105*0.000830415+S105*0.000830415</f>
        <v/>
      </c>
      <c r="AT105" s="7">
        <f>U105*0.000830415+T105*0.000830415</f>
        <v/>
      </c>
      <c r="AU105" s="7">
        <f>V105*0.000830415+U105*0.000830415</f>
        <v/>
      </c>
      <c r="AV105" s="7">
        <f>W105*0.000830415+V105*0.000830415</f>
        <v/>
      </c>
      <c r="AW105" s="7">
        <f>X105*0.000830415+W105*0.000830415</f>
        <v/>
      </c>
      <c r="AX105" s="7">
        <f>Y105*0.000830415+X105*0.000830415</f>
        <v/>
      </c>
      <c r="AY105" s="7">
        <f>Z105*0.000830415+Y105*0.000830415</f>
        <v/>
      </c>
      <c r="AZ105" s="7">
        <f>AA105*0.000830415+Z105*0.000830415</f>
        <v/>
      </c>
      <c r="BA105" s="7">
        <f>D105*0.000830415+AA105*0.000830415</f>
        <v/>
      </c>
      <c r="BB105" s="7">
        <f>SUM(AD105:BA105)</f>
        <v/>
      </c>
    </row>
    <row r="106">
      <c r="A106" t="inlineStr">
        <is>
          <t>AMD-RTS-RCLS-1302-SSC_1</t>
        </is>
      </c>
      <c r="B106" t="inlineStr">
        <is>
          <t>Rev OSC</t>
        </is>
      </c>
      <c r="C106" s="5" t="n">
        <v>46104</v>
      </c>
      <c r="D106" s="6">
        <f>Summary!D106</f>
        <v/>
      </c>
      <c r="E106" s="6">
        <f>Summary!E106</f>
        <v/>
      </c>
      <c r="F106" s="6">
        <f>Summary!F106</f>
        <v/>
      </c>
      <c r="G106" s="6">
        <f>Summary!G106</f>
        <v/>
      </c>
      <c r="H106" s="6">
        <f>Summary!H106</f>
        <v/>
      </c>
      <c r="I106" s="6">
        <f>Summary!I106</f>
        <v/>
      </c>
      <c r="J106" s="6">
        <f>Summary!J106</f>
        <v/>
      </c>
      <c r="K106" s="6">
        <f>Summary!K106</f>
        <v/>
      </c>
      <c r="L106" s="6">
        <f>Summary!L106</f>
        <v/>
      </c>
      <c r="M106" s="6">
        <f>Summary!M106</f>
        <v/>
      </c>
      <c r="N106" s="6">
        <f>Summary!N106</f>
        <v/>
      </c>
      <c r="O106" s="6">
        <f>Summary!O106</f>
        <v/>
      </c>
      <c r="P106" s="6">
        <f>Summary!P106</f>
        <v/>
      </c>
      <c r="Q106" s="6">
        <f>Summary!Q106</f>
        <v/>
      </c>
      <c r="R106" s="6">
        <f>Summary!R106</f>
        <v/>
      </c>
      <c r="S106" s="6">
        <f>Summary!S106</f>
        <v/>
      </c>
      <c r="T106" s="6">
        <f>Summary!T106</f>
        <v/>
      </c>
      <c r="U106" s="6">
        <f>Summary!U106</f>
        <v/>
      </c>
      <c r="V106" s="6">
        <f>Summary!V106</f>
        <v/>
      </c>
      <c r="W106" s="6">
        <f>Summary!W106</f>
        <v/>
      </c>
      <c r="X106" s="6">
        <f>Summary!X106</f>
        <v/>
      </c>
      <c r="Y106" s="6">
        <f>Summary!Y106</f>
        <v/>
      </c>
      <c r="Z106" s="6">
        <f>Summary!Z106</f>
        <v/>
      </c>
      <c r="AA106" s="6">
        <f>Summary!AA106</f>
        <v/>
      </c>
      <c r="AB106" s="6">
        <f>SUM(D106:AA106)</f>
        <v/>
      </c>
      <c r="AC106" s="3" t="inlineStr"/>
      <c r="AD106" s="7">
        <f>E106*0.000830415+D106*0.000830415</f>
        <v/>
      </c>
      <c r="AE106" s="7">
        <f>F106*0.000830415+E106*0.000830415</f>
        <v/>
      </c>
      <c r="AF106" s="7">
        <f>G106*0.000830415+F106*0.000830415</f>
        <v/>
      </c>
      <c r="AG106" s="7">
        <f>H106*0.000830415+G106*0.000830415</f>
        <v/>
      </c>
      <c r="AH106" s="7">
        <f>I106*0.000830415+H106*0.000830415</f>
        <v/>
      </c>
      <c r="AI106" s="7">
        <f>J106*0.000830415+I106*0.000830415</f>
        <v/>
      </c>
      <c r="AJ106" s="7">
        <f>K106*0.000830415+J106*0.000830415</f>
        <v/>
      </c>
      <c r="AK106" s="7">
        <f>L106*0.000830415+K106*0.000830415</f>
        <v/>
      </c>
      <c r="AL106" s="7">
        <f>M106*0.000830415+L106*0.000830415</f>
        <v/>
      </c>
      <c r="AM106" s="7">
        <f>N106*0.000830415+M106*0.000830415</f>
        <v/>
      </c>
      <c r="AN106" s="7">
        <f>O106*0.000830415+N106*0.000830415</f>
        <v/>
      </c>
      <c r="AO106" s="7">
        <f>P106*0.000830415+O106*0.000830415</f>
        <v/>
      </c>
      <c r="AP106" s="7">
        <f>Q106*0.000830415+P106*0.000830415</f>
        <v/>
      </c>
      <c r="AQ106" s="7">
        <f>R106*0.000830415+Q106*0.000830415</f>
        <v/>
      </c>
      <c r="AR106" s="7">
        <f>S106*0.000830415+R106*0.000830415</f>
        <v/>
      </c>
      <c r="AS106" s="7">
        <f>T106*0.000830415+S106*0.000830415</f>
        <v/>
      </c>
      <c r="AT106" s="7">
        <f>U106*0.000830415+T106*0.000830415</f>
        <v/>
      </c>
      <c r="AU106" s="7">
        <f>V106*0.000830415+U106*0.000830415</f>
        <v/>
      </c>
      <c r="AV106" s="7">
        <f>W106*0.000830415+V106*0.000830415</f>
        <v/>
      </c>
      <c r="AW106" s="7">
        <f>X106*0.000830415+W106*0.000830415</f>
        <v/>
      </c>
      <c r="AX106" s="7">
        <f>Y106*0.000830415+X106*0.000830415</f>
        <v/>
      </c>
      <c r="AY106" s="7">
        <f>Z106*0.000830415+Y106*0.000830415</f>
        <v/>
      </c>
      <c r="AZ106" s="7">
        <f>AA106*0.000830415+Z106*0.000830415</f>
        <v/>
      </c>
      <c r="BA106" s="7">
        <f>D106*0.000830415+AA106*0.000830415</f>
        <v/>
      </c>
      <c r="BB106" s="7">
        <f>SUM(AD106:BA106)</f>
        <v/>
      </c>
    </row>
    <row r="107">
      <c r="A107" t="inlineStr">
        <is>
          <t>AMD-RTS-RCLS-1302-SSC_1</t>
        </is>
      </c>
      <c r="B107" t="inlineStr">
        <is>
          <t>Rev OSC</t>
        </is>
      </c>
      <c r="C107" s="5" t="n">
        <v>46105</v>
      </c>
      <c r="D107" s="6">
        <f>Summary!D107</f>
        <v/>
      </c>
      <c r="E107" s="6">
        <f>Summary!E107</f>
        <v/>
      </c>
      <c r="F107" s="6">
        <f>Summary!F107</f>
        <v/>
      </c>
      <c r="G107" s="6">
        <f>Summary!G107</f>
        <v/>
      </c>
      <c r="H107" s="6">
        <f>Summary!H107</f>
        <v/>
      </c>
      <c r="I107" s="6">
        <f>Summary!I107</f>
        <v/>
      </c>
      <c r="J107" s="6">
        <f>Summary!J107</f>
        <v/>
      </c>
      <c r="K107" s="6">
        <f>Summary!K107</f>
        <v/>
      </c>
      <c r="L107" s="6">
        <f>Summary!L107</f>
        <v/>
      </c>
      <c r="M107" s="6">
        <f>Summary!M107</f>
        <v/>
      </c>
      <c r="N107" s="6">
        <f>Summary!N107</f>
        <v/>
      </c>
      <c r="O107" s="6">
        <f>Summary!O107</f>
        <v/>
      </c>
      <c r="P107" s="6">
        <f>Summary!P107</f>
        <v/>
      </c>
      <c r="Q107" s="6">
        <f>Summary!Q107</f>
        <v/>
      </c>
      <c r="R107" s="6">
        <f>Summary!R107</f>
        <v/>
      </c>
      <c r="S107" s="6">
        <f>Summary!S107</f>
        <v/>
      </c>
      <c r="T107" s="6">
        <f>Summary!T107</f>
        <v/>
      </c>
      <c r="U107" s="6">
        <f>Summary!U107</f>
        <v/>
      </c>
      <c r="V107" s="6">
        <f>Summary!V107</f>
        <v/>
      </c>
      <c r="W107" s="6">
        <f>Summary!W107</f>
        <v/>
      </c>
      <c r="X107" s="6">
        <f>Summary!X107</f>
        <v/>
      </c>
      <c r="Y107" s="6">
        <f>Summary!Y107</f>
        <v/>
      </c>
      <c r="Z107" s="6">
        <f>Summary!Z107</f>
        <v/>
      </c>
      <c r="AA107" s="6">
        <f>Summary!AA107</f>
        <v/>
      </c>
      <c r="AB107" s="6">
        <f>SUM(D107:AA107)</f>
        <v/>
      </c>
      <c r="AC107" s="3" t="inlineStr"/>
      <c r="AD107" s="7">
        <f>E107*0.000830415+D107*0.000830415</f>
        <v/>
      </c>
      <c r="AE107" s="7">
        <f>F107*0.000830415+E107*0.000830415</f>
        <v/>
      </c>
      <c r="AF107" s="7">
        <f>G107*0.000830415+F107*0.000830415</f>
        <v/>
      </c>
      <c r="AG107" s="7">
        <f>H107*0.000830415+G107*0.000830415</f>
        <v/>
      </c>
      <c r="AH107" s="7">
        <f>I107*0.000830415+H107*0.000830415</f>
        <v/>
      </c>
      <c r="AI107" s="7">
        <f>J107*0.000830415+I107*0.000830415</f>
        <v/>
      </c>
      <c r="AJ107" s="7">
        <f>K107*0.000830415+J107*0.000830415</f>
        <v/>
      </c>
      <c r="AK107" s="7">
        <f>L107*0.000830415+K107*0.000830415</f>
        <v/>
      </c>
      <c r="AL107" s="7">
        <f>M107*0.000830415+L107*0.000830415</f>
        <v/>
      </c>
      <c r="AM107" s="7">
        <f>N107*0.000830415+M107*0.000830415</f>
        <v/>
      </c>
      <c r="AN107" s="7">
        <f>O107*0.000830415+N107*0.000830415</f>
        <v/>
      </c>
      <c r="AO107" s="7">
        <f>P107*0.000830415+O107*0.000830415</f>
        <v/>
      </c>
      <c r="AP107" s="7">
        <f>Q107*0.000830415+P107*0.000830415</f>
        <v/>
      </c>
      <c r="AQ107" s="7">
        <f>R107*0.000830415+Q107*0.000830415</f>
        <v/>
      </c>
      <c r="AR107" s="7">
        <f>S107*0.000830415+R107*0.000830415</f>
        <v/>
      </c>
      <c r="AS107" s="7">
        <f>T107*0.000830415+S107*0.000830415</f>
        <v/>
      </c>
      <c r="AT107" s="7">
        <f>U107*0.000830415+T107*0.000830415</f>
        <v/>
      </c>
      <c r="AU107" s="7">
        <f>V107*0.000830415+U107*0.000830415</f>
        <v/>
      </c>
      <c r="AV107" s="7">
        <f>W107*0.000830415+V107*0.000830415</f>
        <v/>
      </c>
      <c r="AW107" s="7">
        <f>X107*0.000830415+W107*0.000830415</f>
        <v/>
      </c>
      <c r="AX107" s="7">
        <f>Y107*0.000830415+X107*0.000830415</f>
        <v/>
      </c>
      <c r="AY107" s="7">
        <f>Z107*0.000830415+Y107*0.000830415</f>
        <v/>
      </c>
      <c r="AZ107" s="7">
        <f>AA107*0.000830415+Z107*0.000830415</f>
        <v/>
      </c>
      <c r="BA107" s="7">
        <f>D107*0.000830415+AA107*0.000830415</f>
        <v/>
      </c>
      <c r="BB107" s="7">
        <f>SUM(AD107:BA107)</f>
        <v/>
      </c>
    </row>
    <row r="108">
      <c r="A108" t="inlineStr">
        <is>
          <t>AMD-RTS-RCLS-1302-SSC_2</t>
        </is>
      </c>
      <c r="B108" t="inlineStr">
        <is>
          <t>Rev OSC</t>
        </is>
      </c>
      <c r="C108" s="5" t="n">
        <v>46100</v>
      </c>
      <c r="D108" s="6">
        <f>Summary!D108</f>
        <v/>
      </c>
      <c r="E108" s="6">
        <f>Summary!E108</f>
        <v/>
      </c>
      <c r="F108" s="6">
        <f>Summary!F108</f>
        <v/>
      </c>
      <c r="G108" s="6">
        <f>Summary!G108</f>
        <v/>
      </c>
      <c r="H108" s="6">
        <f>Summary!H108</f>
        <v/>
      </c>
      <c r="I108" s="6">
        <f>Summary!I108</f>
        <v/>
      </c>
      <c r="J108" s="6">
        <f>Summary!J108</f>
        <v/>
      </c>
      <c r="K108" s="6">
        <f>Summary!K108</f>
        <v/>
      </c>
      <c r="L108" s="6">
        <f>Summary!L108</f>
        <v/>
      </c>
      <c r="M108" s="6">
        <f>Summary!M108</f>
        <v/>
      </c>
      <c r="N108" s="6">
        <f>Summary!N108</f>
        <v/>
      </c>
      <c r="O108" s="6">
        <f>Summary!O108</f>
        <v/>
      </c>
      <c r="P108" s="6">
        <f>Summary!P108</f>
        <v/>
      </c>
      <c r="Q108" s="6">
        <f>Summary!Q108</f>
        <v/>
      </c>
      <c r="R108" s="6">
        <f>Summary!R108</f>
        <v/>
      </c>
      <c r="S108" s="6">
        <f>Summary!S108</f>
        <v/>
      </c>
      <c r="T108" s="6">
        <f>Summary!T108</f>
        <v/>
      </c>
      <c r="U108" s="6">
        <f>Summary!U108</f>
        <v/>
      </c>
      <c r="V108" s="6">
        <f>Summary!V108</f>
        <v/>
      </c>
      <c r="W108" s="6">
        <f>Summary!W108</f>
        <v/>
      </c>
      <c r="X108" s="6">
        <f>Summary!X108</f>
        <v/>
      </c>
      <c r="Y108" s="6">
        <f>Summary!Y108</f>
        <v/>
      </c>
      <c r="Z108" s="6">
        <f>Summary!Z108</f>
        <v/>
      </c>
      <c r="AA108" s="6">
        <f>Summary!AA108</f>
        <v/>
      </c>
      <c r="AB108" s="6">
        <f>SUM(D108:AA108)</f>
        <v/>
      </c>
      <c r="AC108" s="3" t="inlineStr"/>
      <c r="AD108" s="7">
        <f>E108*0.000830415+D108*0.000830415</f>
        <v/>
      </c>
      <c r="AE108" s="7">
        <f>F108*0.000830415+E108*0.000830415</f>
        <v/>
      </c>
      <c r="AF108" s="7">
        <f>G108*0.000830415+F108*0.000830415</f>
        <v/>
      </c>
      <c r="AG108" s="7">
        <f>H108*0.000830415+G108*0.000830415</f>
        <v/>
      </c>
      <c r="AH108" s="7">
        <f>I108*0.000830415+H108*0.000830415</f>
        <v/>
      </c>
      <c r="AI108" s="7">
        <f>J108*0.000830415+I108*0.000830415</f>
        <v/>
      </c>
      <c r="AJ108" s="7">
        <f>K108*0.000830415+J108*0.000830415</f>
        <v/>
      </c>
      <c r="AK108" s="7">
        <f>L108*0.000830415+K108*0.000830415</f>
        <v/>
      </c>
      <c r="AL108" s="7">
        <f>M108*0.000830415+L108*0.000830415</f>
        <v/>
      </c>
      <c r="AM108" s="7">
        <f>N108*0.000830415+M108*0.000830415</f>
        <v/>
      </c>
      <c r="AN108" s="7">
        <f>O108*0.000830415+N108*0.000830415</f>
        <v/>
      </c>
      <c r="AO108" s="7">
        <f>P108*0.000830415+O108*0.000830415</f>
        <v/>
      </c>
      <c r="AP108" s="7">
        <f>Q108*0.000830415+P108*0.000830415</f>
        <v/>
      </c>
      <c r="AQ108" s="7">
        <f>R108*0.000830415+Q108*0.000830415</f>
        <v/>
      </c>
      <c r="AR108" s="7">
        <f>S108*0.000830415+R108*0.000830415</f>
        <v/>
      </c>
      <c r="AS108" s="7">
        <f>T108*0.000830415+S108*0.000830415</f>
        <v/>
      </c>
      <c r="AT108" s="7">
        <f>U108*0.000830415+T108*0.000830415</f>
        <v/>
      </c>
      <c r="AU108" s="7">
        <f>V108*0.000830415+U108*0.000830415</f>
        <v/>
      </c>
      <c r="AV108" s="7">
        <f>W108*0.000830415+V108*0.000830415</f>
        <v/>
      </c>
      <c r="AW108" s="7">
        <f>X108*0.000830415+W108*0.000830415</f>
        <v/>
      </c>
      <c r="AX108" s="7">
        <f>Y108*0.000830415+X108*0.000830415</f>
        <v/>
      </c>
      <c r="AY108" s="7">
        <f>Z108*0.000830415+Y108*0.000830415</f>
        <v/>
      </c>
      <c r="AZ108" s="7">
        <f>AA108*0.000830415+Z108*0.000830415</f>
        <v/>
      </c>
      <c r="BA108" s="7">
        <f>D108*0.000830415+AA108*0.000830415</f>
        <v/>
      </c>
      <c r="BB108" s="7">
        <f>SUM(AD108:BA108)</f>
        <v/>
      </c>
    </row>
    <row r="109">
      <c r="A109" t="inlineStr">
        <is>
          <t>AMD-RTS-RCLS-1302-SSC_2</t>
        </is>
      </c>
      <c r="B109" t="inlineStr">
        <is>
          <t>Rev OSC</t>
        </is>
      </c>
      <c r="C109" s="5" t="n">
        <v>46102</v>
      </c>
      <c r="D109" s="6">
        <f>Summary!D109</f>
        <v/>
      </c>
      <c r="E109" s="6">
        <f>Summary!E109</f>
        <v/>
      </c>
      <c r="F109" s="6">
        <f>Summary!F109</f>
        <v/>
      </c>
      <c r="G109" s="6">
        <f>Summary!G109</f>
        <v/>
      </c>
      <c r="H109" s="6">
        <f>Summary!H109</f>
        <v/>
      </c>
      <c r="I109" s="6">
        <f>Summary!I109</f>
        <v/>
      </c>
      <c r="J109" s="6">
        <f>Summary!J109</f>
        <v/>
      </c>
      <c r="K109" s="6">
        <f>Summary!K109</f>
        <v/>
      </c>
      <c r="L109" s="6">
        <f>Summary!L109</f>
        <v/>
      </c>
      <c r="M109" s="6">
        <f>Summary!M109</f>
        <v/>
      </c>
      <c r="N109" s="6">
        <f>Summary!N109</f>
        <v/>
      </c>
      <c r="O109" s="6">
        <f>Summary!O109</f>
        <v/>
      </c>
      <c r="P109" s="6">
        <f>Summary!P109</f>
        <v/>
      </c>
      <c r="Q109" s="6">
        <f>Summary!Q109</f>
        <v/>
      </c>
      <c r="R109" s="6">
        <f>Summary!R109</f>
        <v/>
      </c>
      <c r="S109" s="6">
        <f>Summary!S109</f>
        <v/>
      </c>
      <c r="T109" s="6">
        <f>Summary!T109</f>
        <v/>
      </c>
      <c r="U109" s="6">
        <f>Summary!U109</f>
        <v/>
      </c>
      <c r="V109" s="6">
        <f>Summary!V109</f>
        <v/>
      </c>
      <c r="W109" s="6">
        <f>Summary!W109</f>
        <v/>
      </c>
      <c r="X109" s="6">
        <f>Summary!X109</f>
        <v/>
      </c>
      <c r="Y109" s="6">
        <f>Summary!Y109</f>
        <v/>
      </c>
      <c r="Z109" s="6">
        <f>Summary!Z109</f>
        <v/>
      </c>
      <c r="AA109" s="6">
        <f>Summary!AA109</f>
        <v/>
      </c>
      <c r="AB109" s="6">
        <f>SUM(D109:AA109)</f>
        <v/>
      </c>
      <c r="AC109" s="3" t="inlineStr"/>
      <c r="AD109" s="7">
        <f>E109*0.000830415+D109*0.000830415</f>
        <v/>
      </c>
      <c r="AE109" s="7">
        <f>F109*0.000830415+E109*0.000830415</f>
        <v/>
      </c>
      <c r="AF109" s="7">
        <f>G109*0.000830415+F109*0.000830415</f>
        <v/>
      </c>
      <c r="AG109" s="7">
        <f>H109*0.000830415+G109*0.000830415</f>
        <v/>
      </c>
      <c r="AH109" s="7">
        <f>I109*0.000830415+H109*0.000830415</f>
        <v/>
      </c>
      <c r="AI109" s="7">
        <f>J109*0.000830415+I109*0.000830415</f>
        <v/>
      </c>
      <c r="AJ109" s="7">
        <f>K109*0.000830415+J109*0.000830415</f>
        <v/>
      </c>
      <c r="AK109" s="7">
        <f>L109*0.000830415+K109*0.000830415</f>
        <v/>
      </c>
      <c r="AL109" s="7">
        <f>M109*0.000830415+L109*0.000830415</f>
        <v/>
      </c>
      <c r="AM109" s="7">
        <f>N109*0.000830415+M109*0.000830415</f>
        <v/>
      </c>
      <c r="AN109" s="7">
        <f>O109*0.000830415+N109*0.000830415</f>
        <v/>
      </c>
      <c r="AO109" s="7">
        <f>P109*0.000830415+O109*0.000830415</f>
        <v/>
      </c>
      <c r="AP109" s="7">
        <f>Q109*0.000830415+P109*0.000830415</f>
        <v/>
      </c>
      <c r="AQ109" s="7">
        <f>R109*0.000830415+Q109*0.000830415</f>
        <v/>
      </c>
      <c r="AR109" s="7">
        <f>S109*0.000830415+R109*0.000830415</f>
        <v/>
      </c>
      <c r="AS109" s="7">
        <f>T109*0.000830415+S109*0.000830415</f>
        <v/>
      </c>
      <c r="AT109" s="7">
        <f>U109*0.000830415+T109*0.000830415</f>
        <v/>
      </c>
      <c r="AU109" s="7">
        <f>V109*0.000830415+U109*0.000830415</f>
        <v/>
      </c>
      <c r="AV109" s="7">
        <f>W109*0.000830415+V109*0.000830415</f>
        <v/>
      </c>
      <c r="AW109" s="7">
        <f>X109*0.000830415+W109*0.000830415</f>
        <v/>
      </c>
      <c r="AX109" s="7">
        <f>Y109*0.000830415+X109*0.000830415</f>
        <v/>
      </c>
      <c r="AY109" s="7">
        <f>Z109*0.000830415+Y109*0.000830415</f>
        <v/>
      </c>
      <c r="AZ109" s="7">
        <f>AA109*0.000830415+Z109*0.000830415</f>
        <v/>
      </c>
      <c r="BA109" s="7">
        <f>D109*0.000830415+AA109*0.000830415</f>
        <v/>
      </c>
      <c r="BB109" s="7">
        <f>SUM(AD109:BA109)</f>
        <v/>
      </c>
    </row>
    <row r="110">
      <c r="A110" t="inlineStr">
        <is>
          <t>AMD-RTS-RCLS-1302-SSC_2</t>
        </is>
      </c>
      <c r="B110" t="inlineStr">
        <is>
          <t>Rev OSC</t>
        </is>
      </c>
      <c r="C110" s="5" t="n">
        <v>46104</v>
      </c>
      <c r="D110" s="6">
        <f>Summary!D110</f>
        <v/>
      </c>
      <c r="E110" s="6">
        <f>Summary!E110</f>
        <v/>
      </c>
      <c r="F110" s="6">
        <f>Summary!F110</f>
        <v/>
      </c>
      <c r="G110" s="6">
        <f>Summary!G110</f>
        <v/>
      </c>
      <c r="H110" s="6">
        <f>Summary!H110</f>
        <v/>
      </c>
      <c r="I110" s="6">
        <f>Summary!I110</f>
        <v/>
      </c>
      <c r="J110" s="6">
        <f>Summary!J110</f>
        <v/>
      </c>
      <c r="K110" s="6">
        <f>Summary!K110</f>
        <v/>
      </c>
      <c r="L110" s="6">
        <f>Summary!L110</f>
        <v/>
      </c>
      <c r="M110" s="6">
        <f>Summary!M110</f>
        <v/>
      </c>
      <c r="N110" s="6">
        <f>Summary!N110</f>
        <v/>
      </c>
      <c r="O110" s="6">
        <f>Summary!O110</f>
        <v/>
      </c>
      <c r="P110" s="6">
        <f>Summary!P110</f>
        <v/>
      </c>
      <c r="Q110" s="6">
        <f>Summary!Q110</f>
        <v/>
      </c>
      <c r="R110" s="6">
        <f>Summary!R110</f>
        <v/>
      </c>
      <c r="S110" s="6">
        <f>Summary!S110</f>
        <v/>
      </c>
      <c r="T110" s="6">
        <f>Summary!T110</f>
        <v/>
      </c>
      <c r="U110" s="6">
        <f>Summary!U110</f>
        <v/>
      </c>
      <c r="V110" s="6">
        <f>Summary!V110</f>
        <v/>
      </c>
      <c r="W110" s="6">
        <f>Summary!W110</f>
        <v/>
      </c>
      <c r="X110" s="6">
        <f>Summary!X110</f>
        <v/>
      </c>
      <c r="Y110" s="6">
        <f>Summary!Y110</f>
        <v/>
      </c>
      <c r="Z110" s="6">
        <f>Summary!Z110</f>
        <v/>
      </c>
      <c r="AA110" s="6">
        <f>Summary!AA110</f>
        <v/>
      </c>
      <c r="AB110" s="6">
        <f>SUM(D110:AA110)</f>
        <v/>
      </c>
      <c r="AC110" s="3" t="inlineStr"/>
      <c r="AD110" s="7">
        <f>E110*0.000830415+D110*0.000830415</f>
        <v/>
      </c>
      <c r="AE110" s="7">
        <f>F110*0.000830415+E110*0.000830415</f>
        <v/>
      </c>
      <c r="AF110" s="7">
        <f>G110*0.000830415+F110*0.000830415</f>
        <v/>
      </c>
      <c r="AG110" s="7">
        <f>H110*0.000830415+G110*0.000830415</f>
        <v/>
      </c>
      <c r="AH110" s="7">
        <f>I110*0.000830415+H110*0.000830415</f>
        <v/>
      </c>
      <c r="AI110" s="7">
        <f>J110*0.000830415+I110*0.000830415</f>
        <v/>
      </c>
      <c r="AJ110" s="7">
        <f>K110*0.000830415+J110*0.000830415</f>
        <v/>
      </c>
      <c r="AK110" s="7">
        <f>L110*0.000830415+K110*0.000830415</f>
        <v/>
      </c>
      <c r="AL110" s="7">
        <f>M110*0.000830415+L110*0.000830415</f>
        <v/>
      </c>
      <c r="AM110" s="7">
        <f>N110*0.000830415+M110*0.000830415</f>
        <v/>
      </c>
      <c r="AN110" s="7">
        <f>O110*0.000830415+N110*0.000830415</f>
        <v/>
      </c>
      <c r="AO110" s="7">
        <f>P110*0.000830415+O110*0.000830415</f>
        <v/>
      </c>
      <c r="AP110" s="7">
        <f>Q110*0.000830415+P110*0.000830415</f>
        <v/>
      </c>
      <c r="AQ110" s="7">
        <f>R110*0.000830415+Q110*0.000830415</f>
        <v/>
      </c>
      <c r="AR110" s="7">
        <f>S110*0.000830415+R110*0.000830415</f>
        <v/>
      </c>
      <c r="AS110" s="7">
        <f>T110*0.000830415+S110*0.000830415</f>
        <v/>
      </c>
      <c r="AT110" s="7">
        <f>U110*0.000830415+T110*0.000830415</f>
        <v/>
      </c>
      <c r="AU110" s="7">
        <f>V110*0.000830415+U110*0.000830415</f>
        <v/>
      </c>
      <c r="AV110" s="7">
        <f>W110*0.000830415+V110*0.000830415</f>
        <v/>
      </c>
      <c r="AW110" s="7">
        <f>X110*0.000830415+W110*0.000830415</f>
        <v/>
      </c>
      <c r="AX110" s="7">
        <f>Y110*0.000830415+X110*0.000830415</f>
        <v/>
      </c>
      <c r="AY110" s="7">
        <f>Z110*0.000830415+Y110*0.000830415</f>
        <v/>
      </c>
      <c r="AZ110" s="7">
        <f>AA110*0.000830415+Z110*0.000830415</f>
        <v/>
      </c>
      <c r="BA110" s="7">
        <f>D110*0.000830415+AA110*0.000830415</f>
        <v/>
      </c>
      <c r="BB110" s="7">
        <f>SUM(AD110:BA110)</f>
        <v/>
      </c>
    </row>
    <row r="111">
      <c r="A111" t="inlineStr">
        <is>
          <t>DC-10-1</t>
        </is>
      </c>
      <c r="B111" t="inlineStr">
        <is>
          <t>DSC Manual</t>
        </is>
      </c>
      <c r="C111" s="5" t="n">
        <v>46089</v>
      </c>
      <c r="D111" s="6" t="n">
        <v>0</v>
      </c>
      <c r="E111" s="6" t="n">
        <v>0</v>
      </c>
      <c r="F111" s="6" t="n">
        <v>0</v>
      </c>
      <c r="G111" s="6" t="n">
        <v>0</v>
      </c>
      <c r="H111" s="6" t="n">
        <v>0</v>
      </c>
      <c r="I111" s="6" t="n">
        <v>0</v>
      </c>
      <c r="J111" s="6" t="n">
        <v>0</v>
      </c>
      <c r="K111" s="6" t="n">
        <v>0</v>
      </c>
      <c r="L111" s="6" t="n">
        <v>0</v>
      </c>
      <c r="M111" s="6" t="n">
        <v>0</v>
      </c>
      <c r="N111" s="6" t="n">
        <v>0</v>
      </c>
      <c r="O111" s="6" t="n">
        <v>0</v>
      </c>
      <c r="P111" s="6" t="n">
        <v>0</v>
      </c>
      <c r="Q111" s="6" t="n">
        <v>0</v>
      </c>
      <c r="R111" s="6" t="n">
        <v>0</v>
      </c>
      <c r="S111" s="6" t="n">
        <v>0</v>
      </c>
      <c r="T111" s="6" t="n">
        <v>0</v>
      </c>
      <c r="U111" s="6" t="n">
        <v>0</v>
      </c>
      <c r="V111" s="6" t="n">
        <v>0</v>
      </c>
      <c r="W111" s="6" t="n">
        <v>0</v>
      </c>
      <c r="X111" s="6" t="n">
        <v>0</v>
      </c>
      <c r="Y111" s="6" t="n">
        <v>0</v>
      </c>
      <c r="Z111" s="6" t="n">
        <v>0</v>
      </c>
      <c r="AA111" s="6" t="n">
        <v>0</v>
      </c>
      <c r="AB111" s="6">
        <f>SUM(D111:AA111)</f>
        <v/>
      </c>
      <c r="AC111" s="3" t="inlineStr"/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7" t="n">
        <v>0</v>
      </c>
      <c r="BB111" s="7">
        <f>SUM(AD111:BA111)</f>
        <v/>
      </c>
    </row>
    <row r="112">
      <c r="A112" t="inlineStr">
        <is>
          <t>DC-10-1</t>
        </is>
      </c>
      <c r="B112" t="inlineStr">
        <is>
          <t>DSC Manual</t>
        </is>
      </c>
      <c r="C112" s="5" t="n">
        <v>46090</v>
      </c>
      <c r="D112" s="6" t="n">
        <v>0</v>
      </c>
      <c r="E112" s="6" t="n">
        <v>0</v>
      </c>
      <c r="F112" s="6" t="n">
        <v>0</v>
      </c>
      <c r="G112" s="6" t="n">
        <v>0</v>
      </c>
      <c r="H112" s="6" t="n">
        <v>0</v>
      </c>
      <c r="I112" s="6" t="n">
        <v>0</v>
      </c>
      <c r="J112" s="6" t="n">
        <v>0</v>
      </c>
      <c r="K112" s="6" t="n">
        <v>0</v>
      </c>
      <c r="L112" s="6" t="n">
        <v>0</v>
      </c>
      <c r="M112" s="6" t="n">
        <v>0</v>
      </c>
      <c r="N112" s="6" t="n">
        <v>0</v>
      </c>
      <c r="O112" s="6" t="n">
        <v>0</v>
      </c>
      <c r="P112" s="6" t="n">
        <v>0</v>
      </c>
      <c r="Q112" s="6" t="n">
        <v>0</v>
      </c>
      <c r="R112" s="6" t="n">
        <v>0</v>
      </c>
      <c r="S112" s="6" t="n">
        <v>0</v>
      </c>
      <c r="T112" s="6" t="n">
        <v>0</v>
      </c>
      <c r="U112" s="6" t="n">
        <v>0</v>
      </c>
      <c r="V112" s="6" t="n">
        <v>0</v>
      </c>
      <c r="W112" s="6" t="n">
        <v>0</v>
      </c>
      <c r="X112" s="6" t="n">
        <v>0</v>
      </c>
      <c r="Y112" s="6" t="n">
        <v>0</v>
      </c>
      <c r="Z112" s="6" t="n">
        <v>0</v>
      </c>
      <c r="AA112" s="6" t="n">
        <v>0</v>
      </c>
      <c r="AB112" s="6">
        <f>SUM(D112:AA112)</f>
        <v/>
      </c>
      <c r="AC112" s="3" t="inlineStr"/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>
        <f>SUM(AD112:BA112)</f>
        <v/>
      </c>
    </row>
    <row r="113">
      <c r="A113" t="inlineStr">
        <is>
          <t>DC-10-1</t>
        </is>
      </c>
      <c r="B113" t="inlineStr">
        <is>
          <t>DSC Manual</t>
        </is>
      </c>
      <c r="C113" s="5" t="n">
        <v>46091</v>
      </c>
      <c r="D113" s="6" t="n">
        <v>0</v>
      </c>
      <c r="E113" s="6" t="n">
        <v>0</v>
      </c>
      <c r="F113" s="6" t="n">
        <v>0</v>
      </c>
      <c r="G113" s="6" t="n">
        <v>0</v>
      </c>
      <c r="H113" s="6" t="n">
        <v>0</v>
      </c>
      <c r="I113" s="6" t="n">
        <v>0</v>
      </c>
      <c r="J113" s="6" t="n">
        <v>0</v>
      </c>
      <c r="K113" s="6" t="n">
        <v>0</v>
      </c>
      <c r="L113" s="6" t="n">
        <v>0</v>
      </c>
      <c r="M113" s="6" t="n">
        <v>0</v>
      </c>
      <c r="N113" s="6" t="n">
        <v>0</v>
      </c>
      <c r="O113" s="6" t="n">
        <v>0</v>
      </c>
      <c r="P113" s="6" t="n">
        <v>0</v>
      </c>
      <c r="Q113" s="6" t="n">
        <v>0</v>
      </c>
      <c r="R113" s="6" t="n">
        <v>0</v>
      </c>
      <c r="S113" s="6" t="n">
        <v>0</v>
      </c>
      <c r="T113" s="6" t="n">
        <v>0</v>
      </c>
      <c r="U113" s="6" t="n">
        <v>0</v>
      </c>
      <c r="V113" s="6" t="n">
        <v>0</v>
      </c>
      <c r="W113" s="6" t="n">
        <v>0</v>
      </c>
      <c r="X113" s="6" t="n">
        <v>0</v>
      </c>
      <c r="Y113" s="6" t="n">
        <v>0</v>
      </c>
      <c r="Z113" s="6" t="n">
        <v>0</v>
      </c>
      <c r="AA113" s="6" t="n">
        <v>0</v>
      </c>
      <c r="AB113" s="6">
        <f>SUM(D113:AA113)</f>
        <v/>
      </c>
      <c r="AC113" s="3" t="inlineStr"/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7" t="n">
        <v>0</v>
      </c>
      <c r="BB113" s="7">
        <f>SUM(AD113:BA113)</f>
        <v/>
      </c>
    </row>
    <row r="114">
      <c r="A114" t="inlineStr">
        <is>
          <t>DC-10-1</t>
        </is>
      </c>
      <c r="B114" t="inlineStr">
        <is>
          <t>DSC Manual</t>
        </is>
      </c>
      <c r="C114" s="5" t="n">
        <v>46092</v>
      </c>
      <c r="D114" s="6" t="n">
        <v>0</v>
      </c>
      <c r="E114" s="6" t="n">
        <v>0</v>
      </c>
      <c r="F114" s="6" t="n">
        <v>0</v>
      </c>
      <c r="G114" s="6" t="n">
        <v>0</v>
      </c>
      <c r="H114" s="6" t="n">
        <v>0</v>
      </c>
      <c r="I114" s="6" t="n">
        <v>0</v>
      </c>
      <c r="J114" s="6" t="n">
        <v>0</v>
      </c>
      <c r="K114" s="6" t="n">
        <v>0</v>
      </c>
      <c r="L114" s="6" t="n">
        <v>0</v>
      </c>
      <c r="M114" s="6" t="n">
        <v>0</v>
      </c>
      <c r="N114" s="6" t="n">
        <v>0</v>
      </c>
      <c r="O114" s="6" t="n">
        <v>0</v>
      </c>
      <c r="P114" s="6" t="n">
        <v>0</v>
      </c>
      <c r="Q114" s="6" t="n">
        <v>0</v>
      </c>
      <c r="R114" s="6" t="n">
        <v>0</v>
      </c>
      <c r="S114" s="6" t="n">
        <v>0</v>
      </c>
      <c r="T114" s="6" t="n">
        <v>0</v>
      </c>
      <c r="U114" s="6" t="n">
        <v>0</v>
      </c>
      <c r="V114" s="6" t="n">
        <v>0</v>
      </c>
      <c r="W114" s="6" t="n">
        <v>0</v>
      </c>
      <c r="X114" s="6" t="n">
        <v>0</v>
      </c>
      <c r="Y114" s="6" t="n">
        <v>0</v>
      </c>
      <c r="Z114" s="6" t="n">
        <v>0</v>
      </c>
      <c r="AA114" s="6" t="n">
        <v>0</v>
      </c>
      <c r="AB114" s="6">
        <f>SUM(D114:AA114)</f>
        <v/>
      </c>
      <c r="AC114" s="3" t="inlineStr"/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7" t="n">
        <v>0</v>
      </c>
      <c r="BB114" s="7">
        <f>SUM(AD114:BA114)</f>
        <v/>
      </c>
    </row>
    <row r="115">
      <c r="A115" t="inlineStr">
        <is>
          <t>DC-10-1</t>
        </is>
      </c>
      <c r="B115" t="inlineStr">
        <is>
          <t>DSC Manual</t>
        </is>
      </c>
      <c r="C115" s="5" t="n">
        <v>46093</v>
      </c>
      <c r="D115" s="6" t="n">
        <v>0</v>
      </c>
      <c r="E115" s="6" t="n">
        <v>0</v>
      </c>
      <c r="F115" s="6" t="n">
        <v>0</v>
      </c>
      <c r="G115" s="6" t="n">
        <v>0</v>
      </c>
      <c r="H115" s="6" t="n">
        <v>0</v>
      </c>
      <c r="I115" s="6" t="n">
        <v>0</v>
      </c>
      <c r="J115" s="6" t="n">
        <v>0</v>
      </c>
      <c r="K115" s="6" t="n">
        <v>0</v>
      </c>
      <c r="L115" s="6" t="n">
        <v>0</v>
      </c>
      <c r="M115" s="6" t="n">
        <v>0</v>
      </c>
      <c r="N115" s="6" t="n">
        <v>0</v>
      </c>
      <c r="O115" s="6" t="n">
        <v>0</v>
      </c>
      <c r="P115" s="6" t="n">
        <v>0</v>
      </c>
      <c r="Q115" s="6" t="n">
        <v>0</v>
      </c>
      <c r="R115" s="6" t="n">
        <v>0</v>
      </c>
      <c r="S115" s="6" t="n">
        <v>0</v>
      </c>
      <c r="T115" s="6" t="n">
        <v>0</v>
      </c>
      <c r="U115" s="6" t="n">
        <v>0</v>
      </c>
      <c r="V115" s="6" t="n">
        <v>0</v>
      </c>
      <c r="W115" s="6" t="n">
        <v>0</v>
      </c>
      <c r="X115" s="6" t="n">
        <v>0</v>
      </c>
      <c r="Y115" s="6" t="n">
        <v>0</v>
      </c>
      <c r="Z115" s="6" t="n">
        <v>0</v>
      </c>
      <c r="AA115" s="6" t="n">
        <v>0</v>
      </c>
      <c r="AB115" s="6">
        <f>SUM(D115:AA115)</f>
        <v/>
      </c>
      <c r="AC115" s="3" t="inlineStr"/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>
        <f>SUM(AD115:BA115)</f>
        <v/>
      </c>
    </row>
    <row r="116">
      <c r="A116" t="inlineStr">
        <is>
          <t>DC-10-1</t>
        </is>
      </c>
      <c r="B116" t="inlineStr">
        <is>
          <t>DSC Manual</t>
        </is>
      </c>
      <c r="C116" s="5" t="n">
        <v>46094</v>
      </c>
      <c r="D116" s="6" t="n">
        <v>0</v>
      </c>
      <c r="E116" s="6" t="n">
        <v>0</v>
      </c>
      <c r="F116" s="6" t="n">
        <v>0</v>
      </c>
      <c r="G116" s="6" t="n">
        <v>0</v>
      </c>
      <c r="H116" s="6" t="n">
        <v>0</v>
      </c>
      <c r="I116" s="6" t="n">
        <v>0</v>
      </c>
      <c r="J116" s="6" t="n">
        <v>0</v>
      </c>
      <c r="K116" s="6" t="n">
        <v>0</v>
      </c>
      <c r="L116" s="6" t="n">
        <v>0</v>
      </c>
      <c r="M116" s="6" t="n">
        <v>0</v>
      </c>
      <c r="N116" s="6" t="n">
        <v>0</v>
      </c>
      <c r="O116" s="6" t="n">
        <v>0</v>
      </c>
      <c r="P116" s="6" t="n">
        <v>0</v>
      </c>
      <c r="Q116" s="6" t="n">
        <v>0</v>
      </c>
      <c r="R116" s="6" t="n">
        <v>0</v>
      </c>
      <c r="S116" s="6" t="n">
        <v>0</v>
      </c>
      <c r="T116" s="6" t="n">
        <v>0</v>
      </c>
      <c r="U116" s="6" t="n">
        <v>0</v>
      </c>
      <c r="V116" s="6" t="n">
        <v>0</v>
      </c>
      <c r="W116" s="6" t="n">
        <v>0</v>
      </c>
      <c r="X116" s="6" t="n">
        <v>0</v>
      </c>
      <c r="Y116" s="6" t="n">
        <v>0</v>
      </c>
      <c r="Z116" s="6" t="n">
        <v>0</v>
      </c>
      <c r="AA116" s="6" t="n">
        <v>0</v>
      </c>
      <c r="AB116" s="6">
        <f>SUM(D116:AA116)</f>
        <v/>
      </c>
      <c r="AC116" s="3" t="inlineStr"/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>
        <f>SUM(AD116:BA116)</f>
        <v/>
      </c>
    </row>
    <row r="117">
      <c r="A117" t="inlineStr">
        <is>
          <t>DC-10-1</t>
        </is>
      </c>
      <c r="B117" t="inlineStr">
        <is>
          <t>DSC Manual</t>
        </is>
      </c>
      <c r="C117" s="5" t="n">
        <v>46095</v>
      </c>
      <c r="D117" s="6" t="n">
        <v>0</v>
      </c>
      <c r="E117" s="6" t="n">
        <v>0</v>
      </c>
      <c r="F117" s="6" t="n">
        <v>0</v>
      </c>
      <c r="G117" s="6" t="n">
        <v>0</v>
      </c>
      <c r="H117" s="6" t="n">
        <v>0</v>
      </c>
      <c r="I117" s="6" t="n">
        <v>0</v>
      </c>
      <c r="J117" s="6" t="n">
        <v>0</v>
      </c>
      <c r="K117" s="6" t="n">
        <v>0</v>
      </c>
      <c r="L117" s="6" t="n">
        <v>0</v>
      </c>
      <c r="M117" s="6" t="n">
        <v>0</v>
      </c>
      <c r="N117" s="6" t="n">
        <v>0</v>
      </c>
      <c r="O117" s="6" t="n">
        <v>0</v>
      </c>
      <c r="P117" s="6" t="n">
        <v>0</v>
      </c>
      <c r="Q117" s="6" t="n">
        <v>0</v>
      </c>
      <c r="R117" s="6" t="n">
        <v>0</v>
      </c>
      <c r="S117" s="6" t="n">
        <v>0</v>
      </c>
      <c r="T117" s="6" t="n">
        <v>0</v>
      </c>
      <c r="U117" s="6" t="n">
        <v>0</v>
      </c>
      <c r="V117" s="6" t="n">
        <v>0</v>
      </c>
      <c r="W117" s="6" t="n">
        <v>0</v>
      </c>
      <c r="X117" s="6" t="n">
        <v>0</v>
      </c>
      <c r="Y117" s="6" t="n">
        <v>0</v>
      </c>
      <c r="Z117" s="6" t="n">
        <v>0</v>
      </c>
      <c r="AA117" s="6" t="n">
        <v>0</v>
      </c>
      <c r="AB117" s="6">
        <f>SUM(D117:AA117)</f>
        <v/>
      </c>
      <c r="AC117" s="3" t="inlineStr"/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7" t="n">
        <v>0</v>
      </c>
      <c r="BA117" s="7" t="n">
        <v>0</v>
      </c>
      <c r="BB117" s="7">
        <f>SUM(AD117:BA117)</f>
        <v/>
      </c>
    </row>
    <row r="118">
      <c r="A118" t="inlineStr">
        <is>
          <t>DC-10-1</t>
        </is>
      </c>
      <c r="B118" t="inlineStr">
        <is>
          <t>DSC Manual</t>
        </is>
      </c>
      <c r="C118" s="5" t="n">
        <v>46096</v>
      </c>
      <c r="D118" s="6" t="n">
        <v>0</v>
      </c>
      <c r="E118" s="6" t="n">
        <v>0</v>
      </c>
      <c r="F118" s="6" t="n">
        <v>0</v>
      </c>
      <c r="G118" s="6" t="n">
        <v>0</v>
      </c>
      <c r="H118" s="6" t="n">
        <v>0</v>
      </c>
      <c r="I118" s="6" t="n">
        <v>0</v>
      </c>
      <c r="J118" s="6" t="n">
        <v>0</v>
      </c>
      <c r="K118" s="6" t="n">
        <v>0</v>
      </c>
      <c r="L118" s="6" t="n">
        <v>0</v>
      </c>
      <c r="M118" s="6" t="n">
        <v>0</v>
      </c>
      <c r="N118" s="6" t="n">
        <v>0</v>
      </c>
      <c r="O118" s="6" t="n">
        <v>0</v>
      </c>
      <c r="P118" s="6" t="n">
        <v>0</v>
      </c>
      <c r="Q118" s="6" t="n">
        <v>0</v>
      </c>
      <c r="R118" s="6" t="n">
        <v>0</v>
      </c>
      <c r="S118" s="6" t="n">
        <v>0</v>
      </c>
      <c r="T118" s="6" t="n">
        <v>0</v>
      </c>
      <c r="U118" s="6" t="n">
        <v>0</v>
      </c>
      <c r="V118" s="6" t="n">
        <v>0</v>
      </c>
      <c r="W118" s="6" t="n">
        <v>0</v>
      </c>
      <c r="X118" s="6" t="n">
        <v>0</v>
      </c>
      <c r="Y118" s="6" t="n">
        <v>0</v>
      </c>
      <c r="Z118" s="6" t="n">
        <v>0</v>
      </c>
      <c r="AA118" s="6" t="n">
        <v>0</v>
      </c>
      <c r="AB118" s="6">
        <f>SUM(D118:AA118)</f>
        <v/>
      </c>
      <c r="AC118" s="3" t="inlineStr"/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>
        <f>SUM(AD118:BA118)</f>
        <v/>
      </c>
    </row>
    <row r="119">
      <c r="A119" t="inlineStr">
        <is>
          <t>DC-10-1</t>
        </is>
      </c>
      <c r="B119" t="inlineStr">
        <is>
          <t>DSC Manual</t>
        </is>
      </c>
      <c r="C119" s="5" t="n">
        <v>46097</v>
      </c>
      <c r="D119" s="6" t="n">
        <v>0</v>
      </c>
      <c r="E119" s="6" t="n">
        <v>0</v>
      </c>
      <c r="F119" s="6" t="n">
        <v>0</v>
      </c>
      <c r="G119" s="6" t="n">
        <v>0</v>
      </c>
      <c r="H119" s="6" t="n">
        <v>0</v>
      </c>
      <c r="I119" s="6" t="n">
        <v>0</v>
      </c>
      <c r="J119" s="6" t="n">
        <v>0</v>
      </c>
      <c r="K119" s="6" t="n">
        <v>0</v>
      </c>
      <c r="L119" s="6" t="n">
        <v>0</v>
      </c>
      <c r="M119" s="6" t="n">
        <v>0</v>
      </c>
      <c r="N119" s="6" t="n">
        <v>0</v>
      </c>
      <c r="O119" s="6" t="n">
        <v>0</v>
      </c>
      <c r="P119" s="6" t="n">
        <v>0</v>
      </c>
      <c r="Q119" s="6" t="n">
        <v>0</v>
      </c>
      <c r="R119" s="6" t="n">
        <v>0</v>
      </c>
      <c r="S119" s="6" t="n">
        <v>0</v>
      </c>
      <c r="T119" s="6" t="n">
        <v>0</v>
      </c>
      <c r="U119" s="6" t="n">
        <v>0</v>
      </c>
      <c r="V119" s="6" t="n">
        <v>0</v>
      </c>
      <c r="W119" s="6" t="n">
        <v>0</v>
      </c>
      <c r="X119" s="6" t="n">
        <v>0</v>
      </c>
      <c r="Y119" s="6" t="n">
        <v>0</v>
      </c>
      <c r="Z119" s="6" t="n">
        <v>0</v>
      </c>
      <c r="AA119" s="6" t="n">
        <v>0</v>
      </c>
      <c r="AB119" s="6">
        <f>SUM(D119:AA119)</f>
        <v/>
      </c>
      <c r="AC119" s="3" t="inlineStr"/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n">
        <v>0</v>
      </c>
      <c r="AW119" s="7" t="n">
        <v>0</v>
      </c>
      <c r="AX119" s="7" t="n">
        <v>0</v>
      </c>
      <c r="AY119" s="7" t="n">
        <v>0</v>
      </c>
      <c r="AZ119" s="7" t="n">
        <v>0</v>
      </c>
      <c r="BA119" s="7" t="n">
        <v>0</v>
      </c>
      <c r="BB119" s="7">
        <f>SUM(AD119:BA119)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1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Layout</t>
        </is>
      </c>
      <c r="B1" s="1" t="inlineStr">
        <is>
          <t>Layout Type</t>
        </is>
      </c>
      <c r="C1" s="1" t="inlineStr">
        <is>
          <t>Date</t>
        </is>
      </c>
      <c r="D1" s="2" t="inlineStr">
        <is>
          <t>Act Vol 12 AM</t>
        </is>
      </c>
      <c r="E1" s="2" t="inlineStr">
        <is>
          <t>Act Vol 1 AM</t>
        </is>
      </c>
      <c r="F1" s="2" t="inlineStr">
        <is>
          <t>Act Vol 2 AM</t>
        </is>
      </c>
      <c r="G1" s="2" t="inlineStr">
        <is>
          <t>Act Vol 3 AM</t>
        </is>
      </c>
      <c r="H1" s="2" t="inlineStr">
        <is>
          <t>Act Vol 4 AM</t>
        </is>
      </c>
      <c r="I1" s="2" t="inlineStr">
        <is>
          <t>Act Vol 5 AM</t>
        </is>
      </c>
      <c r="J1" s="2" t="inlineStr">
        <is>
          <t>Act Vol 6 AM</t>
        </is>
      </c>
      <c r="K1" s="2" t="inlineStr">
        <is>
          <t>Act Vol 7 AM</t>
        </is>
      </c>
      <c r="L1" s="2" t="inlineStr">
        <is>
          <t>Act Vol 8 AM</t>
        </is>
      </c>
      <c r="M1" s="2" t="inlineStr">
        <is>
          <t>Act Vol 9 AM</t>
        </is>
      </c>
      <c r="N1" s="2" t="inlineStr">
        <is>
          <t>Act Vol 10 AM</t>
        </is>
      </c>
      <c r="O1" s="2" t="inlineStr">
        <is>
          <t>Act Vol 11 AM</t>
        </is>
      </c>
      <c r="P1" s="2" t="inlineStr">
        <is>
          <t>Act Vol 12 PM</t>
        </is>
      </c>
      <c r="Q1" s="2" t="inlineStr">
        <is>
          <t>Act Vol 1 PM</t>
        </is>
      </c>
      <c r="R1" s="2" t="inlineStr">
        <is>
          <t>Act Vol 2 PM</t>
        </is>
      </c>
      <c r="S1" s="2" t="inlineStr">
        <is>
          <t>Act Vol 3 PM</t>
        </is>
      </c>
      <c r="T1" s="2" t="inlineStr">
        <is>
          <t>Act Vol 4 PM</t>
        </is>
      </c>
      <c r="U1" s="2" t="inlineStr">
        <is>
          <t>Act Vol 5 PM</t>
        </is>
      </c>
      <c r="V1" s="2" t="inlineStr">
        <is>
          <t>Act Vol 6 PM</t>
        </is>
      </c>
      <c r="W1" s="2" t="inlineStr">
        <is>
          <t>Act Vol 7 PM</t>
        </is>
      </c>
      <c r="X1" s="2" t="inlineStr">
        <is>
          <t>Act Vol 8 PM</t>
        </is>
      </c>
      <c r="Y1" s="2" t="inlineStr">
        <is>
          <t>Act Vol 9 PM</t>
        </is>
      </c>
      <c r="Z1" s="2" t="inlineStr">
        <is>
          <t>Act Vol 10 PM</t>
        </is>
      </c>
      <c r="AA1" s="2" t="inlineStr">
        <is>
          <t>Act Vol 11 PM</t>
        </is>
      </c>
      <c r="AB1" s="2" t="inlineStr">
        <is>
          <t>Act Vol Total</t>
        </is>
      </c>
      <c r="AC1" s="3" t="inlineStr"/>
      <c r="AD1" s="4" t="inlineStr">
        <is>
          <t>MH 12 AM</t>
        </is>
      </c>
      <c r="AE1" s="4" t="inlineStr">
        <is>
          <t>MH 1 AM</t>
        </is>
      </c>
      <c r="AF1" s="4" t="inlineStr">
        <is>
          <t>MH 2 AM</t>
        </is>
      </c>
      <c r="AG1" s="4" t="inlineStr">
        <is>
          <t>MH 3 AM</t>
        </is>
      </c>
      <c r="AH1" s="4" t="inlineStr">
        <is>
          <t>MH 4 AM</t>
        </is>
      </c>
      <c r="AI1" s="4" t="inlineStr">
        <is>
          <t>MH 5 AM</t>
        </is>
      </c>
      <c r="AJ1" s="4" t="inlineStr">
        <is>
          <t>MH 6 AM</t>
        </is>
      </c>
      <c r="AK1" s="4" t="inlineStr">
        <is>
          <t>MH 7 AM</t>
        </is>
      </c>
      <c r="AL1" s="4" t="inlineStr">
        <is>
          <t>MH 8 AM</t>
        </is>
      </c>
      <c r="AM1" s="4" t="inlineStr">
        <is>
          <t>MH 9 AM</t>
        </is>
      </c>
      <c r="AN1" s="4" t="inlineStr">
        <is>
          <t>MH 10 AM</t>
        </is>
      </c>
      <c r="AO1" s="4" t="inlineStr">
        <is>
          <t>MH 11 AM</t>
        </is>
      </c>
      <c r="AP1" s="4" t="inlineStr">
        <is>
          <t>MH 12 PM</t>
        </is>
      </c>
      <c r="AQ1" s="4" t="inlineStr">
        <is>
          <t>MH 1 PM</t>
        </is>
      </c>
      <c r="AR1" s="4" t="inlineStr">
        <is>
          <t>MH 2 PM</t>
        </is>
      </c>
      <c r="AS1" s="4" t="inlineStr">
        <is>
          <t>MH 3 PM</t>
        </is>
      </c>
      <c r="AT1" s="4" t="inlineStr">
        <is>
          <t>MH 4 PM</t>
        </is>
      </c>
      <c r="AU1" s="4" t="inlineStr">
        <is>
          <t>MH 5 PM</t>
        </is>
      </c>
      <c r="AV1" s="4" t="inlineStr">
        <is>
          <t>MH 6 PM</t>
        </is>
      </c>
      <c r="AW1" s="4" t="inlineStr">
        <is>
          <t>MH 7 PM</t>
        </is>
      </c>
      <c r="AX1" s="4" t="inlineStr">
        <is>
          <t>MH 8 PM</t>
        </is>
      </c>
      <c r="AY1" s="4" t="inlineStr">
        <is>
          <t>MH 9 PM</t>
        </is>
      </c>
      <c r="AZ1" s="4" t="inlineStr">
        <is>
          <t>MH 10 PM</t>
        </is>
      </c>
      <c r="BA1" s="4" t="inlineStr">
        <is>
          <t>MH 11 PM</t>
        </is>
      </c>
      <c r="BB1" s="4" t="inlineStr">
        <is>
          <t>MH Total</t>
        </is>
      </c>
    </row>
    <row r="2">
      <c r="A2" t="inlineStr">
        <is>
          <t>AMD-AIR-NEW-SSC</t>
        </is>
      </c>
      <c r="B2" t="inlineStr">
        <is>
          <t>Forward Regular OSC</t>
        </is>
      </c>
      <c r="C2" s="5" t="n">
        <v>46093</v>
      </c>
      <c r="D2" s="6">
        <f>Summary!D2</f>
        <v/>
      </c>
      <c r="E2" s="6">
        <f>Summary!E2</f>
        <v/>
      </c>
      <c r="F2" s="6">
        <f>Summary!F2</f>
        <v/>
      </c>
      <c r="G2" s="6">
        <f>Summary!G2</f>
        <v/>
      </c>
      <c r="H2" s="6">
        <f>Summary!H2</f>
        <v/>
      </c>
      <c r="I2" s="6">
        <f>Summary!I2</f>
        <v/>
      </c>
      <c r="J2" s="6">
        <f>Summary!J2</f>
        <v/>
      </c>
      <c r="K2" s="6">
        <f>Summary!K2</f>
        <v/>
      </c>
      <c r="L2" s="6">
        <f>Summary!L2</f>
        <v/>
      </c>
      <c r="M2" s="6">
        <f>Summary!M2</f>
        <v/>
      </c>
      <c r="N2" s="6">
        <f>Summary!N2</f>
        <v/>
      </c>
      <c r="O2" s="6">
        <f>Summary!O2</f>
        <v/>
      </c>
      <c r="P2" s="6">
        <f>Summary!P2</f>
        <v/>
      </c>
      <c r="Q2" s="6">
        <f>Summary!Q2</f>
        <v/>
      </c>
      <c r="R2" s="6">
        <f>Summary!R2</f>
        <v/>
      </c>
      <c r="S2" s="6">
        <f>Summary!S2</f>
        <v/>
      </c>
      <c r="T2" s="6">
        <f>Summary!T2</f>
        <v/>
      </c>
      <c r="U2" s="6">
        <f>Summary!U2</f>
        <v/>
      </c>
      <c r="V2" s="6">
        <f>Summary!V2</f>
        <v/>
      </c>
      <c r="W2" s="6">
        <f>Summary!W2</f>
        <v/>
      </c>
      <c r="X2" s="6">
        <f>Summary!X2</f>
        <v/>
      </c>
      <c r="Y2" s="6">
        <f>Summary!Y2</f>
        <v/>
      </c>
      <c r="Z2" s="6">
        <f>Summary!Z2</f>
        <v/>
      </c>
      <c r="AA2" s="6">
        <f>Summary!AA2</f>
        <v/>
      </c>
      <c r="AB2" s="6">
        <f>SUM(D2:AA2)</f>
        <v/>
      </c>
      <c r="AC2" s="3" t="inlineStr"/>
      <c r="AD2" s="7">
        <f>AA2*0.00028565</f>
        <v/>
      </c>
      <c r="AE2" s="7">
        <f>D2*0.00028565</f>
        <v/>
      </c>
      <c r="AF2" s="7">
        <f>E2*0.00028565</f>
        <v/>
      </c>
      <c r="AG2" s="7">
        <f>F2*0.00028565</f>
        <v/>
      </c>
      <c r="AH2" s="7">
        <f>G2*0.00028565</f>
        <v/>
      </c>
      <c r="AI2" s="7">
        <f>H2*0.00028565</f>
        <v/>
      </c>
      <c r="AJ2" s="7">
        <f>I2*0.00028565</f>
        <v/>
      </c>
      <c r="AK2" s="7">
        <f>J2*0.00028565</f>
        <v/>
      </c>
      <c r="AL2" s="7">
        <f>K2*0.00028565</f>
        <v/>
      </c>
      <c r="AM2" s="7">
        <f>L2*0.00028565</f>
        <v/>
      </c>
      <c r="AN2" s="7">
        <f>M2*0.00028565</f>
        <v/>
      </c>
      <c r="AO2" s="7">
        <f>N2*0.00028565</f>
        <v/>
      </c>
      <c r="AP2" s="7">
        <f>O2*0.00028565</f>
        <v/>
      </c>
      <c r="AQ2" s="7">
        <f>P2*0.00028565</f>
        <v/>
      </c>
      <c r="AR2" s="7">
        <f>Q2*0.00028565</f>
        <v/>
      </c>
      <c r="AS2" s="7">
        <f>R2*0.00028565</f>
        <v/>
      </c>
      <c r="AT2" s="7">
        <f>S2*0.00028565</f>
        <v/>
      </c>
      <c r="AU2" s="7">
        <f>T2*0.00028565</f>
        <v/>
      </c>
      <c r="AV2" s="7">
        <f>U2*0.00028565</f>
        <v/>
      </c>
      <c r="AW2" s="7">
        <f>V2*0.00028565</f>
        <v/>
      </c>
      <c r="AX2" s="7">
        <f>W2*0.00028565</f>
        <v/>
      </c>
      <c r="AY2" s="7">
        <f>X2*0.00028565</f>
        <v/>
      </c>
      <c r="AZ2" s="7">
        <f>Y2*0.00028565</f>
        <v/>
      </c>
      <c r="BA2" s="7">
        <f>Z2*0.00028565</f>
        <v/>
      </c>
      <c r="BB2" s="7">
        <f>SUM(AD2:BA2)</f>
        <v/>
      </c>
    </row>
    <row r="3">
      <c r="A3" t="inlineStr">
        <is>
          <t>AMD-AIR-NEW-SSC</t>
        </is>
      </c>
      <c r="B3" t="inlineStr">
        <is>
          <t>Forward Regular OSC</t>
        </is>
      </c>
      <c r="C3" s="5" t="n">
        <v>46094</v>
      </c>
      <c r="D3" s="6">
        <f>Summary!D3</f>
        <v/>
      </c>
      <c r="E3" s="6">
        <f>Summary!E3</f>
        <v/>
      </c>
      <c r="F3" s="6">
        <f>Summary!F3</f>
        <v/>
      </c>
      <c r="G3" s="6">
        <f>Summary!G3</f>
        <v/>
      </c>
      <c r="H3" s="6">
        <f>Summary!H3</f>
        <v/>
      </c>
      <c r="I3" s="6">
        <f>Summary!I3</f>
        <v/>
      </c>
      <c r="J3" s="6">
        <f>Summary!J3</f>
        <v/>
      </c>
      <c r="K3" s="6">
        <f>Summary!K3</f>
        <v/>
      </c>
      <c r="L3" s="6">
        <f>Summary!L3</f>
        <v/>
      </c>
      <c r="M3" s="6">
        <f>Summary!M3</f>
        <v/>
      </c>
      <c r="N3" s="6">
        <f>Summary!N3</f>
        <v/>
      </c>
      <c r="O3" s="6">
        <f>Summary!O3</f>
        <v/>
      </c>
      <c r="P3" s="6">
        <f>Summary!P3</f>
        <v/>
      </c>
      <c r="Q3" s="6">
        <f>Summary!Q3</f>
        <v/>
      </c>
      <c r="R3" s="6">
        <f>Summary!R3</f>
        <v/>
      </c>
      <c r="S3" s="6">
        <f>Summary!S3</f>
        <v/>
      </c>
      <c r="T3" s="6">
        <f>Summary!T3</f>
        <v/>
      </c>
      <c r="U3" s="6">
        <f>Summary!U3</f>
        <v/>
      </c>
      <c r="V3" s="6">
        <f>Summary!V3</f>
        <v/>
      </c>
      <c r="W3" s="6">
        <f>Summary!W3</f>
        <v/>
      </c>
      <c r="X3" s="6">
        <f>Summary!X3</f>
        <v/>
      </c>
      <c r="Y3" s="6">
        <f>Summary!Y3</f>
        <v/>
      </c>
      <c r="Z3" s="6">
        <f>Summary!Z3</f>
        <v/>
      </c>
      <c r="AA3" s="6">
        <f>Summary!AA3</f>
        <v/>
      </c>
      <c r="AB3" s="6">
        <f>SUM(D3:AA3)</f>
        <v/>
      </c>
      <c r="AC3" s="3" t="inlineStr"/>
      <c r="AD3" s="7">
        <f>AA3*0.00028565</f>
        <v/>
      </c>
      <c r="AE3" s="7">
        <f>D3*0.00028565</f>
        <v/>
      </c>
      <c r="AF3" s="7">
        <f>E3*0.00028565</f>
        <v/>
      </c>
      <c r="AG3" s="7">
        <f>F3*0.00028565</f>
        <v/>
      </c>
      <c r="AH3" s="7">
        <f>G3*0.00028565</f>
        <v/>
      </c>
      <c r="AI3" s="7">
        <f>H3*0.00028565</f>
        <v/>
      </c>
      <c r="AJ3" s="7">
        <f>I3*0.00028565</f>
        <v/>
      </c>
      <c r="AK3" s="7">
        <f>J3*0.00028565</f>
        <v/>
      </c>
      <c r="AL3" s="7">
        <f>K3*0.00028565</f>
        <v/>
      </c>
      <c r="AM3" s="7">
        <f>L3*0.00028565</f>
        <v/>
      </c>
      <c r="AN3" s="7">
        <f>M3*0.00028565</f>
        <v/>
      </c>
      <c r="AO3" s="7">
        <f>N3*0.00028565</f>
        <v/>
      </c>
      <c r="AP3" s="7">
        <f>O3*0.00028565</f>
        <v/>
      </c>
      <c r="AQ3" s="7">
        <f>P3*0.00028565</f>
        <v/>
      </c>
      <c r="AR3" s="7">
        <f>Q3*0.00028565</f>
        <v/>
      </c>
      <c r="AS3" s="7">
        <f>R3*0.00028565</f>
        <v/>
      </c>
      <c r="AT3" s="7">
        <f>S3*0.00028565</f>
        <v/>
      </c>
      <c r="AU3" s="7">
        <f>T3*0.00028565</f>
        <v/>
      </c>
      <c r="AV3" s="7">
        <f>U3*0.00028565</f>
        <v/>
      </c>
      <c r="AW3" s="7">
        <f>V3*0.00028565</f>
        <v/>
      </c>
      <c r="AX3" s="7">
        <f>W3*0.00028565</f>
        <v/>
      </c>
      <c r="AY3" s="7">
        <f>X3*0.00028565</f>
        <v/>
      </c>
      <c r="AZ3" s="7">
        <f>Y3*0.00028565</f>
        <v/>
      </c>
      <c r="BA3" s="7">
        <f>Z3*0.00028565</f>
        <v/>
      </c>
      <c r="BB3" s="7">
        <f>SUM(AD3:BA3)</f>
        <v/>
      </c>
    </row>
    <row r="4">
      <c r="A4" t="inlineStr">
        <is>
          <t>AMD-AIR-NEW-SSC</t>
        </is>
      </c>
      <c r="B4" t="inlineStr">
        <is>
          <t>Forward Regular OSC</t>
        </is>
      </c>
      <c r="C4" s="5" t="n">
        <v>46096</v>
      </c>
      <c r="D4" s="6">
        <f>Summary!D4</f>
        <v/>
      </c>
      <c r="E4" s="6">
        <f>Summary!E4</f>
        <v/>
      </c>
      <c r="F4" s="6">
        <f>Summary!F4</f>
        <v/>
      </c>
      <c r="G4" s="6">
        <f>Summary!G4</f>
        <v/>
      </c>
      <c r="H4" s="6">
        <f>Summary!H4</f>
        <v/>
      </c>
      <c r="I4" s="6">
        <f>Summary!I4</f>
        <v/>
      </c>
      <c r="J4" s="6">
        <f>Summary!J4</f>
        <v/>
      </c>
      <c r="K4" s="6">
        <f>Summary!K4</f>
        <v/>
      </c>
      <c r="L4" s="6">
        <f>Summary!L4</f>
        <v/>
      </c>
      <c r="M4" s="6">
        <f>Summary!M4</f>
        <v/>
      </c>
      <c r="N4" s="6">
        <f>Summary!N4</f>
        <v/>
      </c>
      <c r="O4" s="6">
        <f>Summary!O4</f>
        <v/>
      </c>
      <c r="P4" s="6">
        <f>Summary!P4</f>
        <v/>
      </c>
      <c r="Q4" s="6">
        <f>Summary!Q4</f>
        <v/>
      </c>
      <c r="R4" s="6">
        <f>Summary!R4</f>
        <v/>
      </c>
      <c r="S4" s="6">
        <f>Summary!S4</f>
        <v/>
      </c>
      <c r="T4" s="6">
        <f>Summary!T4</f>
        <v/>
      </c>
      <c r="U4" s="6">
        <f>Summary!U4</f>
        <v/>
      </c>
      <c r="V4" s="6">
        <f>Summary!V4</f>
        <v/>
      </c>
      <c r="W4" s="6">
        <f>Summary!W4</f>
        <v/>
      </c>
      <c r="X4" s="6">
        <f>Summary!X4</f>
        <v/>
      </c>
      <c r="Y4" s="6">
        <f>Summary!Y4</f>
        <v/>
      </c>
      <c r="Z4" s="6">
        <f>Summary!Z4</f>
        <v/>
      </c>
      <c r="AA4" s="6">
        <f>Summary!AA4</f>
        <v/>
      </c>
      <c r="AB4" s="6">
        <f>SUM(D4:AA4)</f>
        <v/>
      </c>
      <c r="AC4" s="3" t="inlineStr"/>
      <c r="AD4" s="7">
        <f>AA4*0.00028565</f>
        <v/>
      </c>
      <c r="AE4" s="7">
        <f>D4*0.00028565</f>
        <v/>
      </c>
      <c r="AF4" s="7">
        <f>E4*0.00028565</f>
        <v/>
      </c>
      <c r="AG4" s="7">
        <f>F4*0.00028565</f>
        <v/>
      </c>
      <c r="AH4" s="7">
        <f>G4*0.00028565</f>
        <v/>
      </c>
      <c r="AI4" s="7">
        <f>H4*0.00028565</f>
        <v/>
      </c>
      <c r="AJ4" s="7">
        <f>I4*0.00028565</f>
        <v/>
      </c>
      <c r="AK4" s="7">
        <f>J4*0.00028565</f>
        <v/>
      </c>
      <c r="AL4" s="7">
        <f>K4*0.00028565</f>
        <v/>
      </c>
      <c r="AM4" s="7">
        <f>L4*0.00028565</f>
        <v/>
      </c>
      <c r="AN4" s="7">
        <f>M4*0.00028565</f>
        <v/>
      </c>
      <c r="AO4" s="7">
        <f>N4*0.00028565</f>
        <v/>
      </c>
      <c r="AP4" s="7">
        <f>O4*0.00028565</f>
        <v/>
      </c>
      <c r="AQ4" s="7">
        <f>P4*0.00028565</f>
        <v/>
      </c>
      <c r="AR4" s="7">
        <f>Q4*0.00028565</f>
        <v/>
      </c>
      <c r="AS4" s="7">
        <f>R4*0.00028565</f>
        <v/>
      </c>
      <c r="AT4" s="7">
        <f>S4*0.00028565</f>
        <v/>
      </c>
      <c r="AU4" s="7">
        <f>T4*0.00028565</f>
        <v/>
      </c>
      <c r="AV4" s="7">
        <f>U4*0.00028565</f>
        <v/>
      </c>
      <c r="AW4" s="7">
        <f>V4*0.00028565</f>
        <v/>
      </c>
      <c r="AX4" s="7">
        <f>W4*0.00028565</f>
        <v/>
      </c>
      <c r="AY4" s="7">
        <f>X4*0.00028565</f>
        <v/>
      </c>
      <c r="AZ4" s="7">
        <f>Y4*0.00028565</f>
        <v/>
      </c>
      <c r="BA4" s="7">
        <f>Z4*0.00028565</f>
        <v/>
      </c>
      <c r="BB4" s="7">
        <f>SUM(AD4:BA4)</f>
        <v/>
      </c>
    </row>
    <row r="5">
      <c r="A5" t="inlineStr">
        <is>
          <t>AMD-AIR-NEW-SSC</t>
        </is>
      </c>
      <c r="B5" t="inlineStr">
        <is>
          <t>Forward Regular OSC</t>
        </is>
      </c>
      <c r="C5" s="5" t="n">
        <v>46097</v>
      </c>
      <c r="D5" s="6">
        <f>Summary!D5</f>
        <v/>
      </c>
      <c r="E5" s="6">
        <f>Summary!E5</f>
        <v/>
      </c>
      <c r="F5" s="6">
        <f>Summary!F5</f>
        <v/>
      </c>
      <c r="G5" s="6">
        <f>Summary!G5</f>
        <v/>
      </c>
      <c r="H5" s="6">
        <f>Summary!H5</f>
        <v/>
      </c>
      <c r="I5" s="6">
        <f>Summary!I5</f>
        <v/>
      </c>
      <c r="J5" s="6">
        <f>Summary!J5</f>
        <v/>
      </c>
      <c r="K5" s="6">
        <f>Summary!K5</f>
        <v/>
      </c>
      <c r="L5" s="6">
        <f>Summary!L5</f>
        <v/>
      </c>
      <c r="M5" s="6">
        <f>Summary!M5</f>
        <v/>
      </c>
      <c r="N5" s="6">
        <f>Summary!N5</f>
        <v/>
      </c>
      <c r="O5" s="6">
        <f>Summary!O5</f>
        <v/>
      </c>
      <c r="P5" s="6">
        <f>Summary!P5</f>
        <v/>
      </c>
      <c r="Q5" s="6">
        <f>Summary!Q5</f>
        <v/>
      </c>
      <c r="R5" s="6">
        <f>Summary!R5</f>
        <v/>
      </c>
      <c r="S5" s="6">
        <f>Summary!S5</f>
        <v/>
      </c>
      <c r="T5" s="6">
        <f>Summary!T5</f>
        <v/>
      </c>
      <c r="U5" s="6">
        <f>Summary!U5</f>
        <v/>
      </c>
      <c r="V5" s="6">
        <f>Summary!V5</f>
        <v/>
      </c>
      <c r="W5" s="6">
        <f>Summary!W5</f>
        <v/>
      </c>
      <c r="X5" s="6">
        <f>Summary!X5</f>
        <v/>
      </c>
      <c r="Y5" s="6">
        <f>Summary!Y5</f>
        <v/>
      </c>
      <c r="Z5" s="6">
        <f>Summary!Z5</f>
        <v/>
      </c>
      <c r="AA5" s="6">
        <f>Summary!AA5</f>
        <v/>
      </c>
      <c r="AB5" s="6">
        <f>SUM(D5:AA5)</f>
        <v/>
      </c>
      <c r="AC5" s="3" t="inlineStr"/>
      <c r="AD5" s="7">
        <f>AA5*0.00028565</f>
        <v/>
      </c>
      <c r="AE5" s="7">
        <f>D5*0.00028565</f>
        <v/>
      </c>
      <c r="AF5" s="7">
        <f>E5*0.00028565</f>
        <v/>
      </c>
      <c r="AG5" s="7">
        <f>F5*0.00028565</f>
        <v/>
      </c>
      <c r="AH5" s="7">
        <f>G5*0.00028565</f>
        <v/>
      </c>
      <c r="AI5" s="7">
        <f>H5*0.00028565</f>
        <v/>
      </c>
      <c r="AJ5" s="7">
        <f>I5*0.00028565</f>
        <v/>
      </c>
      <c r="AK5" s="7">
        <f>J5*0.00028565</f>
        <v/>
      </c>
      <c r="AL5" s="7">
        <f>K5*0.00028565</f>
        <v/>
      </c>
      <c r="AM5" s="7">
        <f>L5*0.00028565</f>
        <v/>
      </c>
      <c r="AN5" s="7">
        <f>M5*0.00028565</f>
        <v/>
      </c>
      <c r="AO5" s="7">
        <f>N5*0.00028565</f>
        <v/>
      </c>
      <c r="AP5" s="7">
        <f>O5*0.00028565</f>
        <v/>
      </c>
      <c r="AQ5" s="7">
        <f>P5*0.00028565</f>
        <v/>
      </c>
      <c r="AR5" s="7">
        <f>Q5*0.00028565</f>
        <v/>
      </c>
      <c r="AS5" s="7">
        <f>R5*0.00028565</f>
        <v/>
      </c>
      <c r="AT5" s="7">
        <f>S5*0.00028565</f>
        <v/>
      </c>
      <c r="AU5" s="7">
        <f>T5*0.00028565</f>
        <v/>
      </c>
      <c r="AV5" s="7">
        <f>U5*0.00028565</f>
        <v/>
      </c>
      <c r="AW5" s="7">
        <f>V5*0.00028565</f>
        <v/>
      </c>
      <c r="AX5" s="7">
        <f>W5*0.00028565</f>
        <v/>
      </c>
      <c r="AY5" s="7">
        <f>X5*0.00028565</f>
        <v/>
      </c>
      <c r="AZ5" s="7">
        <f>Y5*0.00028565</f>
        <v/>
      </c>
      <c r="BA5" s="7">
        <f>Z5*0.00028565</f>
        <v/>
      </c>
      <c r="BB5" s="7">
        <f>SUM(AD5:BA5)</f>
        <v/>
      </c>
    </row>
    <row r="6">
      <c r="A6" t="inlineStr">
        <is>
          <t>AMD-AIR-NEW-SSC</t>
        </is>
      </c>
      <c r="B6" t="inlineStr">
        <is>
          <t>Forward Regular OSC</t>
        </is>
      </c>
      <c r="C6" s="5" t="n">
        <v>46100</v>
      </c>
      <c r="D6" s="6">
        <f>Summary!D6</f>
        <v/>
      </c>
      <c r="E6" s="6">
        <f>Summary!E6</f>
        <v/>
      </c>
      <c r="F6" s="6">
        <f>Summary!F6</f>
        <v/>
      </c>
      <c r="G6" s="6">
        <f>Summary!G6</f>
        <v/>
      </c>
      <c r="H6" s="6">
        <f>Summary!H6</f>
        <v/>
      </c>
      <c r="I6" s="6">
        <f>Summary!I6</f>
        <v/>
      </c>
      <c r="J6" s="6">
        <f>Summary!J6</f>
        <v/>
      </c>
      <c r="K6" s="6">
        <f>Summary!K6</f>
        <v/>
      </c>
      <c r="L6" s="6">
        <f>Summary!L6</f>
        <v/>
      </c>
      <c r="M6" s="6">
        <f>Summary!M6</f>
        <v/>
      </c>
      <c r="N6" s="6">
        <f>Summary!N6</f>
        <v/>
      </c>
      <c r="O6" s="6">
        <f>Summary!O6</f>
        <v/>
      </c>
      <c r="P6" s="6">
        <f>Summary!P6</f>
        <v/>
      </c>
      <c r="Q6" s="6">
        <f>Summary!Q6</f>
        <v/>
      </c>
      <c r="R6" s="6">
        <f>Summary!R6</f>
        <v/>
      </c>
      <c r="S6" s="6">
        <f>Summary!S6</f>
        <v/>
      </c>
      <c r="T6" s="6">
        <f>Summary!T6</f>
        <v/>
      </c>
      <c r="U6" s="6">
        <f>Summary!U6</f>
        <v/>
      </c>
      <c r="V6" s="6">
        <f>Summary!V6</f>
        <v/>
      </c>
      <c r="W6" s="6">
        <f>Summary!W6</f>
        <v/>
      </c>
      <c r="X6" s="6">
        <f>Summary!X6</f>
        <v/>
      </c>
      <c r="Y6" s="6">
        <f>Summary!Y6</f>
        <v/>
      </c>
      <c r="Z6" s="6">
        <f>Summary!Z6</f>
        <v/>
      </c>
      <c r="AA6" s="6">
        <f>Summary!AA6</f>
        <v/>
      </c>
      <c r="AB6" s="6">
        <f>SUM(D6:AA6)</f>
        <v/>
      </c>
      <c r="AC6" s="3" t="inlineStr"/>
      <c r="AD6" s="7">
        <f>AA6*0.00028565</f>
        <v/>
      </c>
      <c r="AE6" s="7">
        <f>D6*0.00028565</f>
        <v/>
      </c>
      <c r="AF6" s="7">
        <f>E6*0.00028565</f>
        <v/>
      </c>
      <c r="AG6" s="7">
        <f>F6*0.00028565</f>
        <v/>
      </c>
      <c r="AH6" s="7">
        <f>G6*0.00028565</f>
        <v/>
      </c>
      <c r="AI6" s="7">
        <f>H6*0.00028565</f>
        <v/>
      </c>
      <c r="AJ6" s="7">
        <f>I6*0.00028565</f>
        <v/>
      </c>
      <c r="AK6" s="7">
        <f>J6*0.00028565</f>
        <v/>
      </c>
      <c r="AL6" s="7">
        <f>K6*0.00028565</f>
        <v/>
      </c>
      <c r="AM6" s="7">
        <f>L6*0.00028565</f>
        <v/>
      </c>
      <c r="AN6" s="7">
        <f>M6*0.00028565</f>
        <v/>
      </c>
      <c r="AO6" s="7">
        <f>N6*0.00028565</f>
        <v/>
      </c>
      <c r="AP6" s="7">
        <f>O6*0.00028565</f>
        <v/>
      </c>
      <c r="AQ6" s="7">
        <f>P6*0.00028565</f>
        <v/>
      </c>
      <c r="AR6" s="7">
        <f>Q6*0.00028565</f>
        <v/>
      </c>
      <c r="AS6" s="7">
        <f>R6*0.00028565</f>
        <v/>
      </c>
      <c r="AT6" s="7">
        <f>S6*0.00028565</f>
        <v/>
      </c>
      <c r="AU6" s="7">
        <f>T6*0.00028565</f>
        <v/>
      </c>
      <c r="AV6" s="7">
        <f>U6*0.00028565</f>
        <v/>
      </c>
      <c r="AW6" s="7">
        <f>V6*0.00028565</f>
        <v/>
      </c>
      <c r="AX6" s="7">
        <f>W6*0.00028565</f>
        <v/>
      </c>
      <c r="AY6" s="7">
        <f>X6*0.00028565</f>
        <v/>
      </c>
      <c r="AZ6" s="7">
        <f>Y6*0.00028565</f>
        <v/>
      </c>
      <c r="BA6" s="7">
        <f>Z6*0.00028565</f>
        <v/>
      </c>
      <c r="BB6" s="7">
        <f>SUM(AD6:BA6)</f>
        <v/>
      </c>
    </row>
    <row r="7">
      <c r="A7" t="inlineStr">
        <is>
          <t>AMD-AIR-NEW-SSC</t>
        </is>
      </c>
      <c r="B7" t="inlineStr">
        <is>
          <t>Forward Regular OSC</t>
        </is>
      </c>
      <c r="C7" s="5" t="n">
        <v>46101</v>
      </c>
      <c r="D7" s="6">
        <f>Summary!D7</f>
        <v/>
      </c>
      <c r="E7" s="6">
        <f>Summary!E7</f>
        <v/>
      </c>
      <c r="F7" s="6">
        <f>Summary!F7</f>
        <v/>
      </c>
      <c r="G7" s="6">
        <f>Summary!G7</f>
        <v/>
      </c>
      <c r="H7" s="6">
        <f>Summary!H7</f>
        <v/>
      </c>
      <c r="I7" s="6">
        <f>Summary!I7</f>
        <v/>
      </c>
      <c r="J7" s="6">
        <f>Summary!J7</f>
        <v/>
      </c>
      <c r="K7" s="6">
        <f>Summary!K7</f>
        <v/>
      </c>
      <c r="L7" s="6">
        <f>Summary!L7</f>
        <v/>
      </c>
      <c r="M7" s="6">
        <f>Summary!M7</f>
        <v/>
      </c>
      <c r="N7" s="6">
        <f>Summary!N7</f>
        <v/>
      </c>
      <c r="O7" s="6">
        <f>Summary!O7</f>
        <v/>
      </c>
      <c r="P7" s="6">
        <f>Summary!P7</f>
        <v/>
      </c>
      <c r="Q7" s="6">
        <f>Summary!Q7</f>
        <v/>
      </c>
      <c r="R7" s="6">
        <f>Summary!R7</f>
        <v/>
      </c>
      <c r="S7" s="6">
        <f>Summary!S7</f>
        <v/>
      </c>
      <c r="T7" s="6">
        <f>Summary!T7</f>
        <v/>
      </c>
      <c r="U7" s="6">
        <f>Summary!U7</f>
        <v/>
      </c>
      <c r="V7" s="6">
        <f>Summary!V7</f>
        <v/>
      </c>
      <c r="W7" s="6">
        <f>Summary!W7</f>
        <v/>
      </c>
      <c r="X7" s="6">
        <f>Summary!X7</f>
        <v/>
      </c>
      <c r="Y7" s="6">
        <f>Summary!Y7</f>
        <v/>
      </c>
      <c r="Z7" s="6">
        <f>Summary!Z7</f>
        <v/>
      </c>
      <c r="AA7" s="6">
        <f>Summary!AA7</f>
        <v/>
      </c>
      <c r="AB7" s="6">
        <f>SUM(D7:AA7)</f>
        <v/>
      </c>
      <c r="AC7" s="3" t="inlineStr"/>
      <c r="AD7" s="7">
        <f>AA7*0.00028565</f>
        <v/>
      </c>
      <c r="AE7" s="7">
        <f>D7*0.00028565</f>
        <v/>
      </c>
      <c r="AF7" s="7">
        <f>E7*0.00028565</f>
        <v/>
      </c>
      <c r="AG7" s="7">
        <f>F7*0.00028565</f>
        <v/>
      </c>
      <c r="AH7" s="7">
        <f>G7*0.00028565</f>
        <v/>
      </c>
      <c r="AI7" s="7">
        <f>H7*0.00028565</f>
        <v/>
      </c>
      <c r="AJ7" s="7">
        <f>I7*0.00028565</f>
        <v/>
      </c>
      <c r="AK7" s="7">
        <f>J7*0.00028565</f>
        <v/>
      </c>
      <c r="AL7" s="7">
        <f>K7*0.00028565</f>
        <v/>
      </c>
      <c r="AM7" s="7">
        <f>L7*0.00028565</f>
        <v/>
      </c>
      <c r="AN7" s="7">
        <f>M7*0.00028565</f>
        <v/>
      </c>
      <c r="AO7" s="7">
        <f>N7*0.00028565</f>
        <v/>
      </c>
      <c r="AP7" s="7">
        <f>O7*0.00028565</f>
        <v/>
      </c>
      <c r="AQ7" s="7">
        <f>P7*0.00028565</f>
        <v/>
      </c>
      <c r="AR7" s="7">
        <f>Q7*0.00028565</f>
        <v/>
      </c>
      <c r="AS7" s="7">
        <f>R7*0.00028565</f>
        <v/>
      </c>
      <c r="AT7" s="7">
        <f>S7*0.00028565</f>
        <v/>
      </c>
      <c r="AU7" s="7">
        <f>T7*0.00028565</f>
        <v/>
      </c>
      <c r="AV7" s="7">
        <f>U7*0.00028565</f>
        <v/>
      </c>
      <c r="AW7" s="7">
        <f>V7*0.00028565</f>
        <v/>
      </c>
      <c r="AX7" s="7">
        <f>W7*0.00028565</f>
        <v/>
      </c>
      <c r="AY7" s="7">
        <f>X7*0.00028565</f>
        <v/>
      </c>
      <c r="AZ7" s="7">
        <f>Y7*0.00028565</f>
        <v/>
      </c>
      <c r="BA7" s="7">
        <f>Z7*0.00028565</f>
        <v/>
      </c>
      <c r="BB7" s="7">
        <f>SUM(AD7:BA7)</f>
        <v/>
      </c>
    </row>
    <row r="8">
      <c r="A8" t="inlineStr">
        <is>
          <t>AMD-AIR-NEW-SSC</t>
        </is>
      </c>
      <c r="B8" t="inlineStr">
        <is>
          <t>Forward Regular OSC</t>
        </is>
      </c>
      <c r="C8" s="5" t="n">
        <v>46102</v>
      </c>
      <c r="D8" s="6">
        <f>Summary!D8</f>
        <v/>
      </c>
      <c r="E8" s="6">
        <f>Summary!E8</f>
        <v/>
      </c>
      <c r="F8" s="6">
        <f>Summary!F8</f>
        <v/>
      </c>
      <c r="G8" s="6">
        <f>Summary!G8</f>
        <v/>
      </c>
      <c r="H8" s="6">
        <f>Summary!H8</f>
        <v/>
      </c>
      <c r="I8" s="6">
        <f>Summary!I8</f>
        <v/>
      </c>
      <c r="J8" s="6">
        <f>Summary!J8</f>
        <v/>
      </c>
      <c r="K8" s="6">
        <f>Summary!K8</f>
        <v/>
      </c>
      <c r="L8" s="6">
        <f>Summary!L8</f>
        <v/>
      </c>
      <c r="M8" s="6">
        <f>Summary!M8</f>
        <v/>
      </c>
      <c r="N8" s="6">
        <f>Summary!N8</f>
        <v/>
      </c>
      <c r="O8" s="6">
        <f>Summary!O8</f>
        <v/>
      </c>
      <c r="P8" s="6">
        <f>Summary!P8</f>
        <v/>
      </c>
      <c r="Q8" s="6">
        <f>Summary!Q8</f>
        <v/>
      </c>
      <c r="R8" s="6">
        <f>Summary!R8</f>
        <v/>
      </c>
      <c r="S8" s="6">
        <f>Summary!S8</f>
        <v/>
      </c>
      <c r="T8" s="6">
        <f>Summary!T8</f>
        <v/>
      </c>
      <c r="U8" s="6">
        <f>Summary!U8</f>
        <v/>
      </c>
      <c r="V8" s="6">
        <f>Summary!V8</f>
        <v/>
      </c>
      <c r="W8" s="6">
        <f>Summary!W8</f>
        <v/>
      </c>
      <c r="X8" s="6">
        <f>Summary!X8</f>
        <v/>
      </c>
      <c r="Y8" s="6">
        <f>Summary!Y8</f>
        <v/>
      </c>
      <c r="Z8" s="6">
        <f>Summary!Z8</f>
        <v/>
      </c>
      <c r="AA8" s="6">
        <f>Summary!AA8</f>
        <v/>
      </c>
      <c r="AB8" s="6">
        <f>SUM(D8:AA8)</f>
        <v/>
      </c>
      <c r="AC8" s="3" t="inlineStr"/>
      <c r="AD8" s="7">
        <f>AA8*0.00028565</f>
        <v/>
      </c>
      <c r="AE8" s="7">
        <f>D8*0.00028565</f>
        <v/>
      </c>
      <c r="AF8" s="7">
        <f>E8*0.00028565</f>
        <v/>
      </c>
      <c r="AG8" s="7">
        <f>F8*0.00028565</f>
        <v/>
      </c>
      <c r="AH8" s="7">
        <f>G8*0.00028565</f>
        <v/>
      </c>
      <c r="AI8" s="7">
        <f>H8*0.00028565</f>
        <v/>
      </c>
      <c r="AJ8" s="7">
        <f>I8*0.00028565</f>
        <v/>
      </c>
      <c r="AK8" s="7">
        <f>J8*0.00028565</f>
        <v/>
      </c>
      <c r="AL8" s="7">
        <f>K8*0.00028565</f>
        <v/>
      </c>
      <c r="AM8" s="7">
        <f>L8*0.00028565</f>
        <v/>
      </c>
      <c r="AN8" s="7">
        <f>M8*0.00028565</f>
        <v/>
      </c>
      <c r="AO8" s="7">
        <f>N8*0.00028565</f>
        <v/>
      </c>
      <c r="AP8" s="7">
        <f>O8*0.00028565</f>
        <v/>
      </c>
      <c r="AQ8" s="7">
        <f>P8*0.00028565</f>
        <v/>
      </c>
      <c r="AR8" s="7">
        <f>Q8*0.00028565</f>
        <v/>
      </c>
      <c r="AS8" s="7">
        <f>R8*0.00028565</f>
        <v/>
      </c>
      <c r="AT8" s="7">
        <f>S8*0.00028565</f>
        <v/>
      </c>
      <c r="AU8" s="7">
        <f>T8*0.00028565</f>
        <v/>
      </c>
      <c r="AV8" s="7">
        <f>U8*0.00028565</f>
        <v/>
      </c>
      <c r="AW8" s="7">
        <f>V8*0.00028565</f>
        <v/>
      </c>
      <c r="AX8" s="7">
        <f>W8*0.00028565</f>
        <v/>
      </c>
      <c r="AY8" s="7">
        <f>X8*0.00028565</f>
        <v/>
      </c>
      <c r="AZ8" s="7">
        <f>Y8*0.00028565</f>
        <v/>
      </c>
      <c r="BA8" s="7">
        <f>Z8*0.00028565</f>
        <v/>
      </c>
      <c r="BB8" s="7">
        <f>SUM(AD8:BA8)</f>
        <v/>
      </c>
    </row>
    <row r="9">
      <c r="A9" t="inlineStr">
        <is>
          <t>AMD-AIR-NEW-SSC</t>
        </is>
      </c>
      <c r="B9" t="inlineStr">
        <is>
          <t>Forward Regular OSC</t>
        </is>
      </c>
      <c r="C9" s="5" t="n">
        <v>46103</v>
      </c>
      <c r="D9" s="6">
        <f>Summary!D9</f>
        <v/>
      </c>
      <c r="E9" s="6">
        <f>Summary!E9</f>
        <v/>
      </c>
      <c r="F9" s="6">
        <f>Summary!F9</f>
        <v/>
      </c>
      <c r="G9" s="6">
        <f>Summary!G9</f>
        <v/>
      </c>
      <c r="H9" s="6">
        <f>Summary!H9</f>
        <v/>
      </c>
      <c r="I9" s="6">
        <f>Summary!I9</f>
        <v/>
      </c>
      <c r="J9" s="6">
        <f>Summary!J9</f>
        <v/>
      </c>
      <c r="K9" s="6">
        <f>Summary!K9</f>
        <v/>
      </c>
      <c r="L9" s="6">
        <f>Summary!L9</f>
        <v/>
      </c>
      <c r="M9" s="6">
        <f>Summary!M9</f>
        <v/>
      </c>
      <c r="N9" s="6">
        <f>Summary!N9</f>
        <v/>
      </c>
      <c r="O9" s="6">
        <f>Summary!O9</f>
        <v/>
      </c>
      <c r="P9" s="6">
        <f>Summary!P9</f>
        <v/>
      </c>
      <c r="Q9" s="6">
        <f>Summary!Q9</f>
        <v/>
      </c>
      <c r="R9" s="6">
        <f>Summary!R9</f>
        <v/>
      </c>
      <c r="S9" s="6">
        <f>Summary!S9</f>
        <v/>
      </c>
      <c r="T9" s="6">
        <f>Summary!T9</f>
        <v/>
      </c>
      <c r="U9" s="6">
        <f>Summary!U9</f>
        <v/>
      </c>
      <c r="V9" s="6">
        <f>Summary!V9</f>
        <v/>
      </c>
      <c r="W9" s="6">
        <f>Summary!W9</f>
        <v/>
      </c>
      <c r="X9" s="6">
        <f>Summary!X9</f>
        <v/>
      </c>
      <c r="Y9" s="6">
        <f>Summary!Y9</f>
        <v/>
      </c>
      <c r="Z9" s="6">
        <f>Summary!Z9</f>
        <v/>
      </c>
      <c r="AA9" s="6">
        <f>Summary!AA9</f>
        <v/>
      </c>
      <c r="AB9" s="6">
        <f>SUM(D9:AA9)</f>
        <v/>
      </c>
      <c r="AC9" s="3" t="inlineStr"/>
      <c r="AD9" s="7">
        <f>AA9*0.00028565</f>
        <v/>
      </c>
      <c r="AE9" s="7">
        <f>D9*0.00028565</f>
        <v/>
      </c>
      <c r="AF9" s="7">
        <f>E9*0.00028565</f>
        <v/>
      </c>
      <c r="AG9" s="7">
        <f>F9*0.00028565</f>
        <v/>
      </c>
      <c r="AH9" s="7">
        <f>G9*0.00028565</f>
        <v/>
      </c>
      <c r="AI9" s="7">
        <f>H9*0.00028565</f>
        <v/>
      </c>
      <c r="AJ9" s="7">
        <f>I9*0.00028565</f>
        <v/>
      </c>
      <c r="AK9" s="7">
        <f>J9*0.00028565</f>
        <v/>
      </c>
      <c r="AL9" s="7">
        <f>K9*0.00028565</f>
        <v/>
      </c>
      <c r="AM9" s="7">
        <f>L9*0.00028565</f>
        <v/>
      </c>
      <c r="AN9" s="7">
        <f>M9*0.00028565</f>
        <v/>
      </c>
      <c r="AO9" s="7">
        <f>N9*0.00028565</f>
        <v/>
      </c>
      <c r="AP9" s="7">
        <f>O9*0.00028565</f>
        <v/>
      </c>
      <c r="AQ9" s="7">
        <f>P9*0.00028565</f>
        <v/>
      </c>
      <c r="AR9" s="7">
        <f>Q9*0.00028565</f>
        <v/>
      </c>
      <c r="AS9" s="7">
        <f>R9*0.00028565</f>
        <v/>
      </c>
      <c r="AT9" s="7">
        <f>S9*0.00028565</f>
        <v/>
      </c>
      <c r="AU9" s="7">
        <f>T9*0.00028565</f>
        <v/>
      </c>
      <c r="AV9" s="7">
        <f>U9*0.00028565</f>
        <v/>
      </c>
      <c r="AW9" s="7">
        <f>V9*0.00028565</f>
        <v/>
      </c>
      <c r="AX9" s="7">
        <f>W9*0.00028565</f>
        <v/>
      </c>
      <c r="AY9" s="7">
        <f>X9*0.00028565</f>
        <v/>
      </c>
      <c r="AZ9" s="7">
        <f>Y9*0.00028565</f>
        <v/>
      </c>
      <c r="BA9" s="7">
        <f>Z9*0.00028565</f>
        <v/>
      </c>
      <c r="BB9" s="7">
        <f>SUM(AD9:BA9)</f>
        <v/>
      </c>
    </row>
    <row r="10">
      <c r="A10" t="inlineStr">
        <is>
          <t>AMD-AIR-NEW-SSC</t>
        </is>
      </c>
      <c r="B10" t="inlineStr">
        <is>
          <t>Forward Regular OSC</t>
        </is>
      </c>
      <c r="C10" s="5" t="n">
        <v>46104</v>
      </c>
      <c r="D10" s="6">
        <f>Summary!D10</f>
        <v/>
      </c>
      <c r="E10" s="6">
        <f>Summary!E10</f>
        <v/>
      </c>
      <c r="F10" s="6">
        <f>Summary!F10</f>
        <v/>
      </c>
      <c r="G10" s="6">
        <f>Summary!G10</f>
        <v/>
      </c>
      <c r="H10" s="6">
        <f>Summary!H10</f>
        <v/>
      </c>
      <c r="I10" s="6">
        <f>Summary!I10</f>
        <v/>
      </c>
      <c r="J10" s="6">
        <f>Summary!J10</f>
        <v/>
      </c>
      <c r="K10" s="6">
        <f>Summary!K10</f>
        <v/>
      </c>
      <c r="L10" s="6">
        <f>Summary!L10</f>
        <v/>
      </c>
      <c r="M10" s="6">
        <f>Summary!M10</f>
        <v/>
      </c>
      <c r="N10" s="6">
        <f>Summary!N10</f>
        <v/>
      </c>
      <c r="O10" s="6">
        <f>Summary!O10</f>
        <v/>
      </c>
      <c r="P10" s="6">
        <f>Summary!P10</f>
        <v/>
      </c>
      <c r="Q10" s="6">
        <f>Summary!Q10</f>
        <v/>
      </c>
      <c r="R10" s="6">
        <f>Summary!R10</f>
        <v/>
      </c>
      <c r="S10" s="6">
        <f>Summary!S10</f>
        <v/>
      </c>
      <c r="T10" s="6">
        <f>Summary!T10</f>
        <v/>
      </c>
      <c r="U10" s="6">
        <f>Summary!U10</f>
        <v/>
      </c>
      <c r="V10" s="6">
        <f>Summary!V10</f>
        <v/>
      </c>
      <c r="W10" s="6">
        <f>Summary!W10</f>
        <v/>
      </c>
      <c r="X10" s="6">
        <f>Summary!X10</f>
        <v/>
      </c>
      <c r="Y10" s="6">
        <f>Summary!Y10</f>
        <v/>
      </c>
      <c r="Z10" s="6">
        <f>Summary!Z10</f>
        <v/>
      </c>
      <c r="AA10" s="6">
        <f>Summary!AA10</f>
        <v/>
      </c>
      <c r="AB10" s="6">
        <f>SUM(D10:AA10)</f>
        <v/>
      </c>
      <c r="AC10" s="3" t="inlineStr"/>
      <c r="AD10" s="7">
        <f>AA10*0.00028565</f>
        <v/>
      </c>
      <c r="AE10" s="7">
        <f>D10*0.00028565</f>
        <v/>
      </c>
      <c r="AF10" s="7">
        <f>E10*0.00028565</f>
        <v/>
      </c>
      <c r="AG10" s="7">
        <f>F10*0.00028565</f>
        <v/>
      </c>
      <c r="AH10" s="7">
        <f>G10*0.00028565</f>
        <v/>
      </c>
      <c r="AI10" s="7">
        <f>H10*0.00028565</f>
        <v/>
      </c>
      <c r="AJ10" s="7">
        <f>I10*0.00028565</f>
        <v/>
      </c>
      <c r="AK10" s="7">
        <f>J10*0.00028565</f>
        <v/>
      </c>
      <c r="AL10" s="7">
        <f>K10*0.00028565</f>
        <v/>
      </c>
      <c r="AM10" s="7">
        <f>L10*0.00028565</f>
        <v/>
      </c>
      <c r="AN10" s="7">
        <f>M10*0.00028565</f>
        <v/>
      </c>
      <c r="AO10" s="7">
        <f>N10*0.00028565</f>
        <v/>
      </c>
      <c r="AP10" s="7">
        <f>O10*0.00028565</f>
        <v/>
      </c>
      <c r="AQ10" s="7">
        <f>P10*0.00028565</f>
        <v/>
      </c>
      <c r="AR10" s="7">
        <f>Q10*0.00028565</f>
        <v/>
      </c>
      <c r="AS10" s="7">
        <f>R10*0.00028565</f>
        <v/>
      </c>
      <c r="AT10" s="7">
        <f>S10*0.00028565</f>
        <v/>
      </c>
      <c r="AU10" s="7">
        <f>T10*0.00028565</f>
        <v/>
      </c>
      <c r="AV10" s="7">
        <f>U10*0.00028565</f>
        <v/>
      </c>
      <c r="AW10" s="7">
        <f>V10*0.00028565</f>
        <v/>
      </c>
      <c r="AX10" s="7">
        <f>W10*0.00028565</f>
        <v/>
      </c>
      <c r="AY10" s="7">
        <f>X10*0.00028565</f>
        <v/>
      </c>
      <c r="AZ10" s="7">
        <f>Y10*0.00028565</f>
        <v/>
      </c>
      <c r="BA10" s="7">
        <f>Z10*0.00028565</f>
        <v/>
      </c>
      <c r="BB10" s="7">
        <f>SUM(AD10:BA10)</f>
        <v/>
      </c>
    </row>
    <row r="11">
      <c r="A11" t="inlineStr">
        <is>
          <t>AMD-EXPR</t>
        </is>
      </c>
      <c r="B11" t="inlineStr">
        <is>
          <t>DSC Manual</t>
        </is>
      </c>
      <c r="C11" s="5" t="n">
        <v>46089</v>
      </c>
      <c r="D11" s="6">
        <f>Summary!D11</f>
        <v/>
      </c>
      <c r="E11" s="6">
        <f>Summary!E11</f>
        <v/>
      </c>
      <c r="F11" s="6">
        <f>Summary!F11</f>
        <v/>
      </c>
      <c r="G11" s="6">
        <f>Summary!G11</f>
        <v/>
      </c>
      <c r="H11" s="6">
        <f>Summary!H11</f>
        <v/>
      </c>
      <c r="I11" s="6">
        <f>Summary!I11</f>
        <v/>
      </c>
      <c r="J11" s="6">
        <f>Summary!J11</f>
        <v/>
      </c>
      <c r="K11" s="6">
        <f>Summary!K11</f>
        <v/>
      </c>
      <c r="L11" s="6">
        <f>Summary!L11</f>
        <v/>
      </c>
      <c r="M11" s="6">
        <f>Summary!M11</f>
        <v/>
      </c>
      <c r="N11" s="6">
        <f>Summary!N11</f>
        <v/>
      </c>
      <c r="O11" s="6">
        <f>Summary!O11</f>
        <v/>
      </c>
      <c r="P11" s="6">
        <f>Summary!P11</f>
        <v/>
      </c>
      <c r="Q11" s="6">
        <f>Summary!Q11</f>
        <v/>
      </c>
      <c r="R11" s="6">
        <f>Summary!R11</f>
        <v/>
      </c>
      <c r="S11" s="6">
        <f>Summary!S11</f>
        <v/>
      </c>
      <c r="T11" s="6">
        <f>Summary!T11</f>
        <v/>
      </c>
      <c r="U11" s="6">
        <f>Summary!U11</f>
        <v/>
      </c>
      <c r="V11" s="6">
        <f>Summary!V11</f>
        <v/>
      </c>
      <c r="W11" s="6">
        <f>Summary!W11</f>
        <v/>
      </c>
      <c r="X11" s="6">
        <f>Summary!X11</f>
        <v/>
      </c>
      <c r="Y11" s="6">
        <f>Summary!Y11</f>
        <v/>
      </c>
      <c r="Z11" s="6">
        <f>Summary!Z11</f>
        <v/>
      </c>
      <c r="AA11" s="6">
        <f>Summary!AA11</f>
        <v/>
      </c>
      <c r="AB11" s="6">
        <f>SUM(D11:AA11)</f>
        <v/>
      </c>
      <c r="AC11" s="3" t="inlineStr"/>
      <c r="AD11" s="7">
        <f>AA11*0.00028565</f>
        <v/>
      </c>
      <c r="AE11" s="7">
        <f>D11*0.00028565</f>
        <v/>
      </c>
      <c r="AF11" s="7">
        <f>E11*0.00028565</f>
        <v/>
      </c>
      <c r="AG11" s="7">
        <f>F11*0.00028565</f>
        <v/>
      </c>
      <c r="AH11" s="7">
        <f>G11*0.00028565</f>
        <v/>
      </c>
      <c r="AI11" s="7">
        <f>H11*0.00028565</f>
        <v/>
      </c>
      <c r="AJ11" s="7">
        <f>I11*0.00028565</f>
        <v/>
      </c>
      <c r="AK11" s="7">
        <f>J11*0.00028565</f>
        <v/>
      </c>
      <c r="AL11" s="7">
        <f>K11*0.00028565</f>
        <v/>
      </c>
      <c r="AM11" s="7">
        <f>L11*0.00028565</f>
        <v/>
      </c>
      <c r="AN11" s="7">
        <f>M11*0.00028565</f>
        <v/>
      </c>
      <c r="AO11" s="7">
        <f>N11*0.00028565</f>
        <v/>
      </c>
      <c r="AP11" s="7">
        <f>O11*0.00028565</f>
        <v/>
      </c>
      <c r="AQ11" s="7">
        <f>P11*0.00028565</f>
        <v/>
      </c>
      <c r="AR11" s="7">
        <f>Q11*0.00028565</f>
        <v/>
      </c>
      <c r="AS11" s="7">
        <f>R11*0.00028565</f>
        <v/>
      </c>
      <c r="AT11" s="7">
        <f>S11*0.00028565</f>
        <v/>
      </c>
      <c r="AU11" s="7">
        <f>T11*0.00028565</f>
        <v/>
      </c>
      <c r="AV11" s="7">
        <f>U11*0.00028565</f>
        <v/>
      </c>
      <c r="AW11" s="7">
        <f>V11*0.00028565</f>
        <v/>
      </c>
      <c r="AX11" s="7">
        <f>W11*0.00028565</f>
        <v/>
      </c>
      <c r="AY11" s="7">
        <f>X11*0.00028565</f>
        <v/>
      </c>
      <c r="AZ11" s="7">
        <f>Y11*0.00028565</f>
        <v/>
      </c>
      <c r="BA11" s="7">
        <f>Z11*0.00028565</f>
        <v/>
      </c>
      <c r="BB11" s="7">
        <f>SUM(AD11:BA11)</f>
        <v/>
      </c>
    </row>
    <row r="12">
      <c r="A12" t="inlineStr">
        <is>
          <t>AMD-EXPR</t>
        </is>
      </c>
      <c r="B12" t="inlineStr">
        <is>
          <t>DSC Manual</t>
        </is>
      </c>
      <c r="C12" s="5" t="n">
        <v>46090</v>
      </c>
      <c r="D12" s="6">
        <f>Summary!D12</f>
        <v/>
      </c>
      <c r="E12" s="6">
        <f>Summary!E12</f>
        <v/>
      </c>
      <c r="F12" s="6">
        <f>Summary!F12</f>
        <v/>
      </c>
      <c r="G12" s="6">
        <f>Summary!G12</f>
        <v/>
      </c>
      <c r="H12" s="6">
        <f>Summary!H12</f>
        <v/>
      </c>
      <c r="I12" s="6">
        <f>Summary!I12</f>
        <v/>
      </c>
      <c r="J12" s="6">
        <f>Summary!J12</f>
        <v/>
      </c>
      <c r="K12" s="6">
        <f>Summary!K12</f>
        <v/>
      </c>
      <c r="L12" s="6">
        <f>Summary!L12</f>
        <v/>
      </c>
      <c r="M12" s="6">
        <f>Summary!M12</f>
        <v/>
      </c>
      <c r="N12" s="6">
        <f>Summary!N12</f>
        <v/>
      </c>
      <c r="O12" s="6">
        <f>Summary!O12</f>
        <v/>
      </c>
      <c r="P12" s="6">
        <f>Summary!P12</f>
        <v/>
      </c>
      <c r="Q12" s="6">
        <f>Summary!Q12</f>
        <v/>
      </c>
      <c r="R12" s="6">
        <f>Summary!R12</f>
        <v/>
      </c>
      <c r="S12" s="6">
        <f>Summary!S12</f>
        <v/>
      </c>
      <c r="T12" s="6">
        <f>Summary!T12</f>
        <v/>
      </c>
      <c r="U12" s="6">
        <f>Summary!U12</f>
        <v/>
      </c>
      <c r="V12" s="6">
        <f>Summary!V12</f>
        <v/>
      </c>
      <c r="W12" s="6">
        <f>Summary!W12</f>
        <v/>
      </c>
      <c r="X12" s="6">
        <f>Summary!X12</f>
        <v/>
      </c>
      <c r="Y12" s="6">
        <f>Summary!Y12</f>
        <v/>
      </c>
      <c r="Z12" s="6">
        <f>Summary!Z12</f>
        <v/>
      </c>
      <c r="AA12" s="6">
        <f>Summary!AA12</f>
        <v/>
      </c>
      <c r="AB12" s="6">
        <f>SUM(D12:AA12)</f>
        <v/>
      </c>
      <c r="AC12" s="3" t="inlineStr"/>
      <c r="AD12" s="7">
        <f>AA12*0.00028565</f>
        <v/>
      </c>
      <c r="AE12" s="7">
        <f>D12*0.00028565</f>
        <v/>
      </c>
      <c r="AF12" s="7">
        <f>E12*0.00028565</f>
        <v/>
      </c>
      <c r="AG12" s="7">
        <f>F12*0.00028565</f>
        <v/>
      </c>
      <c r="AH12" s="7">
        <f>G12*0.00028565</f>
        <v/>
      </c>
      <c r="AI12" s="7">
        <f>H12*0.00028565</f>
        <v/>
      </c>
      <c r="AJ12" s="7">
        <f>I12*0.00028565</f>
        <v/>
      </c>
      <c r="AK12" s="7">
        <f>J12*0.00028565</f>
        <v/>
      </c>
      <c r="AL12" s="7">
        <f>K12*0.00028565</f>
        <v/>
      </c>
      <c r="AM12" s="7">
        <f>L12*0.00028565</f>
        <v/>
      </c>
      <c r="AN12" s="7">
        <f>M12*0.00028565</f>
        <v/>
      </c>
      <c r="AO12" s="7">
        <f>N12*0.00028565</f>
        <v/>
      </c>
      <c r="AP12" s="7">
        <f>O12*0.00028565</f>
        <v/>
      </c>
      <c r="AQ12" s="7">
        <f>P12*0.00028565</f>
        <v/>
      </c>
      <c r="AR12" s="7">
        <f>Q12*0.00028565</f>
        <v/>
      </c>
      <c r="AS12" s="7">
        <f>R12*0.00028565</f>
        <v/>
      </c>
      <c r="AT12" s="7">
        <f>S12*0.00028565</f>
        <v/>
      </c>
      <c r="AU12" s="7">
        <f>T12*0.00028565</f>
        <v/>
      </c>
      <c r="AV12" s="7">
        <f>U12*0.00028565</f>
        <v/>
      </c>
      <c r="AW12" s="7">
        <f>V12*0.00028565</f>
        <v/>
      </c>
      <c r="AX12" s="7">
        <f>W12*0.00028565</f>
        <v/>
      </c>
      <c r="AY12" s="7">
        <f>X12*0.00028565</f>
        <v/>
      </c>
      <c r="AZ12" s="7">
        <f>Y12*0.00028565</f>
        <v/>
      </c>
      <c r="BA12" s="7">
        <f>Z12*0.00028565</f>
        <v/>
      </c>
      <c r="BB12" s="7">
        <f>SUM(AD12:BA12)</f>
        <v/>
      </c>
    </row>
    <row r="13">
      <c r="A13" t="inlineStr">
        <is>
          <t>AMD-EXPR</t>
        </is>
      </c>
      <c r="B13" t="inlineStr">
        <is>
          <t>DSC Manual</t>
        </is>
      </c>
      <c r="C13" s="5" t="n">
        <v>46091</v>
      </c>
      <c r="D13" s="6">
        <f>Summary!D13</f>
        <v/>
      </c>
      <c r="E13" s="6">
        <f>Summary!E13</f>
        <v/>
      </c>
      <c r="F13" s="6">
        <f>Summary!F13</f>
        <v/>
      </c>
      <c r="G13" s="6">
        <f>Summary!G13</f>
        <v/>
      </c>
      <c r="H13" s="6">
        <f>Summary!H13</f>
        <v/>
      </c>
      <c r="I13" s="6">
        <f>Summary!I13</f>
        <v/>
      </c>
      <c r="J13" s="6">
        <f>Summary!J13</f>
        <v/>
      </c>
      <c r="K13" s="6">
        <f>Summary!K13</f>
        <v/>
      </c>
      <c r="L13" s="6">
        <f>Summary!L13</f>
        <v/>
      </c>
      <c r="M13" s="6">
        <f>Summary!M13</f>
        <v/>
      </c>
      <c r="N13" s="6">
        <f>Summary!N13</f>
        <v/>
      </c>
      <c r="O13" s="6">
        <f>Summary!O13</f>
        <v/>
      </c>
      <c r="P13" s="6">
        <f>Summary!P13</f>
        <v/>
      </c>
      <c r="Q13" s="6">
        <f>Summary!Q13</f>
        <v/>
      </c>
      <c r="R13" s="6">
        <f>Summary!R13</f>
        <v/>
      </c>
      <c r="S13" s="6">
        <f>Summary!S13</f>
        <v/>
      </c>
      <c r="T13" s="6">
        <f>Summary!T13</f>
        <v/>
      </c>
      <c r="U13" s="6">
        <f>Summary!U13</f>
        <v/>
      </c>
      <c r="V13" s="6">
        <f>Summary!V13</f>
        <v/>
      </c>
      <c r="W13" s="6">
        <f>Summary!W13</f>
        <v/>
      </c>
      <c r="X13" s="6">
        <f>Summary!X13</f>
        <v/>
      </c>
      <c r="Y13" s="6">
        <f>Summary!Y13</f>
        <v/>
      </c>
      <c r="Z13" s="6">
        <f>Summary!Z13</f>
        <v/>
      </c>
      <c r="AA13" s="6">
        <f>Summary!AA13</f>
        <v/>
      </c>
      <c r="AB13" s="6">
        <f>SUM(D13:AA13)</f>
        <v/>
      </c>
      <c r="AC13" s="3" t="inlineStr"/>
      <c r="AD13" s="7">
        <f>AA13*0.00028565</f>
        <v/>
      </c>
      <c r="AE13" s="7">
        <f>D13*0.00028565</f>
        <v/>
      </c>
      <c r="AF13" s="7">
        <f>E13*0.00028565</f>
        <v/>
      </c>
      <c r="AG13" s="7">
        <f>F13*0.00028565</f>
        <v/>
      </c>
      <c r="AH13" s="7">
        <f>G13*0.00028565</f>
        <v/>
      </c>
      <c r="AI13" s="7">
        <f>H13*0.00028565</f>
        <v/>
      </c>
      <c r="AJ13" s="7">
        <f>I13*0.00028565</f>
        <v/>
      </c>
      <c r="AK13" s="7">
        <f>J13*0.00028565</f>
        <v/>
      </c>
      <c r="AL13" s="7">
        <f>K13*0.00028565</f>
        <v/>
      </c>
      <c r="AM13" s="7">
        <f>L13*0.00028565</f>
        <v/>
      </c>
      <c r="AN13" s="7">
        <f>M13*0.00028565</f>
        <v/>
      </c>
      <c r="AO13" s="7">
        <f>N13*0.00028565</f>
        <v/>
      </c>
      <c r="AP13" s="7">
        <f>O13*0.00028565</f>
        <v/>
      </c>
      <c r="AQ13" s="7">
        <f>P13*0.00028565</f>
        <v/>
      </c>
      <c r="AR13" s="7">
        <f>Q13*0.00028565</f>
        <v/>
      </c>
      <c r="AS13" s="7">
        <f>R13*0.00028565</f>
        <v/>
      </c>
      <c r="AT13" s="7">
        <f>S13*0.00028565</f>
        <v/>
      </c>
      <c r="AU13" s="7">
        <f>T13*0.00028565</f>
        <v/>
      </c>
      <c r="AV13" s="7">
        <f>U13*0.00028565</f>
        <v/>
      </c>
      <c r="AW13" s="7">
        <f>V13*0.00028565</f>
        <v/>
      </c>
      <c r="AX13" s="7">
        <f>W13*0.00028565</f>
        <v/>
      </c>
      <c r="AY13" s="7">
        <f>X13*0.00028565</f>
        <v/>
      </c>
      <c r="AZ13" s="7">
        <f>Y13*0.00028565</f>
        <v/>
      </c>
      <c r="BA13" s="7">
        <f>Z13*0.00028565</f>
        <v/>
      </c>
      <c r="BB13" s="7">
        <f>SUM(AD13:BA13)</f>
        <v/>
      </c>
    </row>
    <row r="14">
      <c r="A14" t="inlineStr">
        <is>
          <t>AMD-EXPR</t>
        </is>
      </c>
      <c r="B14" t="inlineStr">
        <is>
          <t>DSC Manual</t>
        </is>
      </c>
      <c r="C14" s="5" t="n">
        <v>46092</v>
      </c>
      <c r="D14" s="6">
        <f>Summary!D14</f>
        <v/>
      </c>
      <c r="E14" s="6">
        <f>Summary!E14</f>
        <v/>
      </c>
      <c r="F14" s="6">
        <f>Summary!F14</f>
        <v/>
      </c>
      <c r="G14" s="6">
        <f>Summary!G14</f>
        <v/>
      </c>
      <c r="H14" s="6">
        <f>Summary!H14</f>
        <v/>
      </c>
      <c r="I14" s="6">
        <f>Summary!I14</f>
        <v/>
      </c>
      <c r="J14" s="6">
        <f>Summary!J14</f>
        <v/>
      </c>
      <c r="K14" s="6">
        <f>Summary!K14</f>
        <v/>
      </c>
      <c r="L14" s="6">
        <f>Summary!L14</f>
        <v/>
      </c>
      <c r="M14" s="6">
        <f>Summary!M14</f>
        <v/>
      </c>
      <c r="N14" s="6">
        <f>Summary!N14</f>
        <v/>
      </c>
      <c r="O14" s="6">
        <f>Summary!O14</f>
        <v/>
      </c>
      <c r="P14" s="6">
        <f>Summary!P14</f>
        <v/>
      </c>
      <c r="Q14" s="6">
        <f>Summary!Q14</f>
        <v/>
      </c>
      <c r="R14" s="6">
        <f>Summary!R14</f>
        <v/>
      </c>
      <c r="S14" s="6">
        <f>Summary!S14</f>
        <v/>
      </c>
      <c r="T14" s="6">
        <f>Summary!T14</f>
        <v/>
      </c>
      <c r="U14" s="6">
        <f>Summary!U14</f>
        <v/>
      </c>
      <c r="V14" s="6">
        <f>Summary!V14</f>
        <v/>
      </c>
      <c r="W14" s="6">
        <f>Summary!W14</f>
        <v/>
      </c>
      <c r="X14" s="6">
        <f>Summary!X14</f>
        <v/>
      </c>
      <c r="Y14" s="6">
        <f>Summary!Y14</f>
        <v/>
      </c>
      <c r="Z14" s="6">
        <f>Summary!Z14</f>
        <v/>
      </c>
      <c r="AA14" s="6">
        <f>Summary!AA14</f>
        <v/>
      </c>
      <c r="AB14" s="6">
        <f>SUM(D14:AA14)</f>
        <v/>
      </c>
      <c r="AC14" s="3" t="inlineStr"/>
      <c r="AD14" s="7">
        <f>AA14*0.00028565</f>
        <v/>
      </c>
      <c r="AE14" s="7">
        <f>D14*0.00028565</f>
        <v/>
      </c>
      <c r="AF14" s="7">
        <f>E14*0.00028565</f>
        <v/>
      </c>
      <c r="AG14" s="7">
        <f>F14*0.00028565</f>
        <v/>
      </c>
      <c r="AH14" s="7">
        <f>G14*0.00028565</f>
        <v/>
      </c>
      <c r="AI14" s="7">
        <f>H14*0.00028565</f>
        <v/>
      </c>
      <c r="AJ14" s="7">
        <f>I14*0.00028565</f>
        <v/>
      </c>
      <c r="AK14" s="7">
        <f>J14*0.00028565</f>
        <v/>
      </c>
      <c r="AL14" s="7">
        <f>K14*0.00028565</f>
        <v/>
      </c>
      <c r="AM14" s="7">
        <f>L14*0.00028565</f>
        <v/>
      </c>
      <c r="AN14" s="7">
        <f>M14*0.00028565</f>
        <v/>
      </c>
      <c r="AO14" s="7">
        <f>N14*0.00028565</f>
        <v/>
      </c>
      <c r="AP14" s="7">
        <f>O14*0.00028565</f>
        <v/>
      </c>
      <c r="AQ14" s="7">
        <f>P14*0.00028565</f>
        <v/>
      </c>
      <c r="AR14" s="7">
        <f>Q14*0.00028565</f>
        <v/>
      </c>
      <c r="AS14" s="7">
        <f>R14*0.00028565</f>
        <v/>
      </c>
      <c r="AT14" s="7">
        <f>S14*0.00028565</f>
        <v/>
      </c>
      <c r="AU14" s="7">
        <f>T14*0.00028565</f>
        <v/>
      </c>
      <c r="AV14" s="7">
        <f>U14*0.00028565</f>
        <v/>
      </c>
      <c r="AW14" s="7">
        <f>V14*0.00028565</f>
        <v/>
      </c>
      <c r="AX14" s="7">
        <f>W14*0.00028565</f>
        <v/>
      </c>
      <c r="AY14" s="7">
        <f>X14*0.00028565</f>
        <v/>
      </c>
      <c r="AZ14" s="7">
        <f>Y14*0.00028565</f>
        <v/>
      </c>
      <c r="BA14" s="7">
        <f>Z14*0.00028565</f>
        <v/>
      </c>
      <c r="BB14" s="7">
        <f>SUM(AD14:BA14)</f>
        <v/>
      </c>
    </row>
    <row r="15">
      <c r="A15" t="inlineStr">
        <is>
          <t>AMD-EXPR</t>
        </is>
      </c>
      <c r="B15" t="inlineStr">
        <is>
          <t>DSC Manual</t>
        </is>
      </c>
      <c r="C15" s="5" t="n">
        <v>46093</v>
      </c>
      <c r="D15" s="6">
        <f>Summary!D15</f>
        <v/>
      </c>
      <c r="E15" s="6">
        <f>Summary!E15</f>
        <v/>
      </c>
      <c r="F15" s="6">
        <f>Summary!F15</f>
        <v/>
      </c>
      <c r="G15" s="6">
        <f>Summary!G15</f>
        <v/>
      </c>
      <c r="H15" s="6">
        <f>Summary!H15</f>
        <v/>
      </c>
      <c r="I15" s="6">
        <f>Summary!I15</f>
        <v/>
      </c>
      <c r="J15" s="6">
        <f>Summary!J15</f>
        <v/>
      </c>
      <c r="K15" s="6">
        <f>Summary!K15</f>
        <v/>
      </c>
      <c r="L15" s="6">
        <f>Summary!L15</f>
        <v/>
      </c>
      <c r="M15" s="6">
        <f>Summary!M15</f>
        <v/>
      </c>
      <c r="N15" s="6">
        <f>Summary!N15</f>
        <v/>
      </c>
      <c r="O15" s="6">
        <f>Summary!O15</f>
        <v/>
      </c>
      <c r="P15" s="6">
        <f>Summary!P15</f>
        <v/>
      </c>
      <c r="Q15" s="6">
        <f>Summary!Q15</f>
        <v/>
      </c>
      <c r="R15" s="6">
        <f>Summary!R15</f>
        <v/>
      </c>
      <c r="S15" s="6">
        <f>Summary!S15</f>
        <v/>
      </c>
      <c r="T15" s="6">
        <f>Summary!T15</f>
        <v/>
      </c>
      <c r="U15" s="6">
        <f>Summary!U15</f>
        <v/>
      </c>
      <c r="V15" s="6">
        <f>Summary!V15</f>
        <v/>
      </c>
      <c r="W15" s="6">
        <f>Summary!W15</f>
        <v/>
      </c>
      <c r="X15" s="6">
        <f>Summary!X15</f>
        <v/>
      </c>
      <c r="Y15" s="6">
        <f>Summary!Y15</f>
        <v/>
      </c>
      <c r="Z15" s="6">
        <f>Summary!Z15</f>
        <v/>
      </c>
      <c r="AA15" s="6">
        <f>Summary!AA15</f>
        <v/>
      </c>
      <c r="AB15" s="6">
        <f>SUM(D15:AA15)</f>
        <v/>
      </c>
      <c r="AC15" s="3" t="inlineStr"/>
      <c r="AD15" s="7">
        <f>AA15*0.00028565</f>
        <v/>
      </c>
      <c r="AE15" s="7">
        <f>D15*0.00028565</f>
        <v/>
      </c>
      <c r="AF15" s="7">
        <f>E15*0.00028565</f>
        <v/>
      </c>
      <c r="AG15" s="7">
        <f>F15*0.00028565</f>
        <v/>
      </c>
      <c r="AH15" s="7">
        <f>G15*0.00028565</f>
        <v/>
      </c>
      <c r="AI15" s="7">
        <f>H15*0.00028565</f>
        <v/>
      </c>
      <c r="AJ15" s="7">
        <f>I15*0.00028565</f>
        <v/>
      </c>
      <c r="AK15" s="7">
        <f>J15*0.00028565</f>
        <v/>
      </c>
      <c r="AL15" s="7">
        <f>K15*0.00028565</f>
        <v/>
      </c>
      <c r="AM15" s="7">
        <f>L15*0.00028565</f>
        <v/>
      </c>
      <c r="AN15" s="7">
        <f>M15*0.00028565</f>
        <v/>
      </c>
      <c r="AO15" s="7">
        <f>N15*0.00028565</f>
        <v/>
      </c>
      <c r="AP15" s="7">
        <f>O15*0.00028565</f>
        <v/>
      </c>
      <c r="AQ15" s="7">
        <f>P15*0.00028565</f>
        <v/>
      </c>
      <c r="AR15" s="7">
        <f>Q15*0.00028565</f>
        <v/>
      </c>
      <c r="AS15" s="7">
        <f>R15*0.00028565</f>
        <v/>
      </c>
      <c r="AT15" s="7">
        <f>S15*0.00028565</f>
        <v/>
      </c>
      <c r="AU15" s="7">
        <f>T15*0.00028565</f>
        <v/>
      </c>
      <c r="AV15" s="7">
        <f>U15*0.00028565</f>
        <v/>
      </c>
      <c r="AW15" s="7">
        <f>V15*0.00028565</f>
        <v/>
      </c>
      <c r="AX15" s="7">
        <f>W15*0.00028565</f>
        <v/>
      </c>
      <c r="AY15" s="7">
        <f>X15*0.00028565</f>
        <v/>
      </c>
      <c r="AZ15" s="7">
        <f>Y15*0.00028565</f>
        <v/>
      </c>
      <c r="BA15" s="7">
        <f>Z15*0.00028565</f>
        <v/>
      </c>
      <c r="BB15" s="7">
        <f>SUM(AD15:BA15)</f>
        <v/>
      </c>
    </row>
    <row r="16">
      <c r="A16" t="inlineStr">
        <is>
          <t>AMD-EXPR</t>
        </is>
      </c>
      <c r="B16" t="inlineStr">
        <is>
          <t>DSC Manual</t>
        </is>
      </c>
      <c r="C16" s="5" t="n">
        <v>46094</v>
      </c>
      <c r="D16" s="6">
        <f>Summary!D16</f>
        <v/>
      </c>
      <c r="E16" s="6">
        <f>Summary!E16</f>
        <v/>
      </c>
      <c r="F16" s="6">
        <f>Summary!F16</f>
        <v/>
      </c>
      <c r="G16" s="6">
        <f>Summary!G16</f>
        <v/>
      </c>
      <c r="H16" s="6">
        <f>Summary!H16</f>
        <v/>
      </c>
      <c r="I16" s="6">
        <f>Summary!I16</f>
        <v/>
      </c>
      <c r="J16" s="6">
        <f>Summary!J16</f>
        <v/>
      </c>
      <c r="K16" s="6">
        <f>Summary!K16</f>
        <v/>
      </c>
      <c r="L16" s="6">
        <f>Summary!L16</f>
        <v/>
      </c>
      <c r="M16" s="6">
        <f>Summary!M16</f>
        <v/>
      </c>
      <c r="N16" s="6">
        <f>Summary!N16</f>
        <v/>
      </c>
      <c r="O16" s="6">
        <f>Summary!O16</f>
        <v/>
      </c>
      <c r="P16" s="6">
        <f>Summary!P16</f>
        <v/>
      </c>
      <c r="Q16" s="6">
        <f>Summary!Q16</f>
        <v/>
      </c>
      <c r="R16" s="6">
        <f>Summary!R16</f>
        <v/>
      </c>
      <c r="S16" s="6">
        <f>Summary!S16</f>
        <v/>
      </c>
      <c r="T16" s="6">
        <f>Summary!T16</f>
        <v/>
      </c>
      <c r="U16" s="6">
        <f>Summary!U16</f>
        <v/>
      </c>
      <c r="V16" s="6">
        <f>Summary!V16</f>
        <v/>
      </c>
      <c r="W16" s="6">
        <f>Summary!W16</f>
        <v/>
      </c>
      <c r="X16" s="6">
        <f>Summary!X16</f>
        <v/>
      </c>
      <c r="Y16" s="6">
        <f>Summary!Y16</f>
        <v/>
      </c>
      <c r="Z16" s="6">
        <f>Summary!Z16</f>
        <v/>
      </c>
      <c r="AA16" s="6">
        <f>Summary!AA16</f>
        <v/>
      </c>
      <c r="AB16" s="6">
        <f>SUM(D16:AA16)</f>
        <v/>
      </c>
      <c r="AC16" s="3" t="inlineStr"/>
      <c r="AD16" s="7">
        <f>AA16*0.00028565</f>
        <v/>
      </c>
      <c r="AE16" s="7">
        <f>D16*0.00028565</f>
        <v/>
      </c>
      <c r="AF16" s="7">
        <f>E16*0.00028565</f>
        <v/>
      </c>
      <c r="AG16" s="7">
        <f>F16*0.00028565</f>
        <v/>
      </c>
      <c r="AH16" s="7">
        <f>G16*0.00028565</f>
        <v/>
      </c>
      <c r="AI16" s="7">
        <f>H16*0.00028565</f>
        <v/>
      </c>
      <c r="AJ16" s="7">
        <f>I16*0.00028565</f>
        <v/>
      </c>
      <c r="AK16" s="7">
        <f>J16*0.00028565</f>
        <v/>
      </c>
      <c r="AL16" s="7">
        <f>K16*0.00028565</f>
        <v/>
      </c>
      <c r="AM16" s="7">
        <f>L16*0.00028565</f>
        <v/>
      </c>
      <c r="AN16" s="7">
        <f>M16*0.00028565</f>
        <v/>
      </c>
      <c r="AO16" s="7">
        <f>N16*0.00028565</f>
        <v/>
      </c>
      <c r="AP16" s="7">
        <f>O16*0.00028565</f>
        <v/>
      </c>
      <c r="AQ16" s="7">
        <f>P16*0.00028565</f>
        <v/>
      </c>
      <c r="AR16" s="7">
        <f>Q16*0.00028565</f>
        <v/>
      </c>
      <c r="AS16" s="7">
        <f>R16*0.00028565</f>
        <v/>
      </c>
      <c r="AT16" s="7">
        <f>S16*0.00028565</f>
        <v/>
      </c>
      <c r="AU16" s="7">
        <f>T16*0.00028565</f>
        <v/>
      </c>
      <c r="AV16" s="7">
        <f>U16*0.00028565</f>
        <v/>
      </c>
      <c r="AW16" s="7">
        <f>V16*0.00028565</f>
        <v/>
      </c>
      <c r="AX16" s="7">
        <f>W16*0.00028565</f>
        <v/>
      </c>
      <c r="AY16" s="7">
        <f>X16*0.00028565</f>
        <v/>
      </c>
      <c r="AZ16" s="7">
        <f>Y16*0.00028565</f>
        <v/>
      </c>
      <c r="BA16" s="7">
        <f>Z16*0.00028565</f>
        <v/>
      </c>
      <c r="BB16" s="7">
        <f>SUM(AD16:BA16)</f>
        <v/>
      </c>
    </row>
    <row r="17">
      <c r="A17" t="inlineStr">
        <is>
          <t>AMD-EXPR</t>
        </is>
      </c>
      <c r="B17" t="inlineStr">
        <is>
          <t>DSC Manual</t>
        </is>
      </c>
      <c r="C17" s="5" t="n">
        <v>46095</v>
      </c>
      <c r="D17" s="6">
        <f>Summary!D17</f>
        <v/>
      </c>
      <c r="E17" s="6">
        <f>Summary!E17</f>
        <v/>
      </c>
      <c r="F17" s="6">
        <f>Summary!F17</f>
        <v/>
      </c>
      <c r="G17" s="6">
        <f>Summary!G17</f>
        <v/>
      </c>
      <c r="H17" s="6">
        <f>Summary!H17</f>
        <v/>
      </c>
      <c r="I17" s="6">
        <f>Summary!I17</f>
        <v/>
      </c>
      <c r="J17" s="6">
        <f>Summary!J17</f>
        <v/>
      </c>
      <c r="K17" s="6">
        <f>Summary!K17</f>
        <v/>
      </c>
      <c r="L17" s="6">
        <f>Summary!L17</f>
        <v/>
      </c>
      <c r="M17" s="6">
        <f>Summary!M17</f>
        <v/>
      </c>
      <c r="N17" s="6">
        <f>Summary!N17</f>
        <v/>
      </c>
      <c r="O17" s="6">
        <f>Summary!O17</f>
        <v/>
      </c>
      <c r="P17" s="6">
        <f>Summary!P17</f>
        <v/>
      </c>
      <c r="Q17" s="6">
        <f>Summary!Q17</f>
        <v/>
      </c>
      <c r="R17" s="6">
        <f>Summary!R17</f>
        <v/>
      </c>
      <c r="S17" s="6">
        <f>Summary!S17</f>
        <v/>
      </c>
      <c r="T17" s="6">
        <f>Summary!T17</f>
        <v/>
      </c>
      <c r="U17" s="6">
        <f>Summary!U17</f>
        <v/>
      </c>
      <c r="V17" s="6">
        <f>Summary!V17</f>
        <v/>
      </c>
      <c r="W17" s="6">
        <f>Summary!W17</f>
        <v/>
      </c>
      <c r="X17" s="6">
        <f>Summary!X17</f>
        <v/>
      </c>
      <c r="Y17" s="6">
        <f>Summary!Y17</f>
        <v/>
      </c>
      <c r="Z17" s="6">
        <f>Summary!Z17</f>
        <v/>
      </c>
      <c r="AA17" s="6">
        <f>Summary!AA17</f>
        <v/>
      </c>
      <c r="AB17" s="6">
        <f>SUM(D17:AA17)</f>
        <v/>
      </c>
      <c r="AC17" s="3" t="inlineStr"/>
      <c r="AD17" s="7">
        <f>AA17*0.00028565</f>
        <v/>
      </c>
      <c r="AE17" s="7">
        <f>D17*0.00028565</f>
        <v/>
      </c>
      <c r="AF17" s="7">
        <f>E17*0.00028565</f>
        <v/>
      </c>
      <c r="AG17" s="7">
        <f>F17*0.00028565</f>
        <v/>
      </c>
      <c r="AH17" s="7">
        <f>G17*0.00028565</f>
        <v/>
      </c>
      <c r="AI17" s="7">
        <f>H17*0.00028565</f>
        <v/>
      </c>
      <c r="AJ17" s="7">
        <f>I17*0.00028565</f>
        <v/>
      </c>
      <c r="AK17" s="7">
        <f>J17*0.00028565</f>
        <v/>
      </c>
      <c r="AL17" s="7">
        <f>K17*0.00028565</f>
        <v/>
      </c>
      <c r="AM17" s="7">
        <f>L17*0.00028565</f>
        <v/>
      </c>
      <c r="AN17" s="7">
        <f>M17*0.00028565</f>
        <v/>
      </c>
      <c r="AO17" s="7">
        <f>N17*0.00028565</f>
        <v/>
      </c>
      <c r="AP17" s="7">
        <f>O17*0.00028565</f>
        <v/>
      </c>
      <c r="AQ17" s="7">
        <f>P17*0.00028565</f>
        <v/>
      </c>
      <c r="AR17" s="7">
        <f>Q17*0.00028565</f>
        <v/>
      </c>
      <c r="AS17" s="7">
        <f>R17*0.00028565</f>
        <v/>
      </c>
      <c r="AT17" s="7">
        <f>S17*0.00028565</f>
        <v/>
      </c>
      <c r="AU17" s="7">
        <f>T17*0.00028565</f>
        <v/>
      </c>
      <c r="AV17" s="7">
        <f>U17*0.00028565</f>
        <v/>
      </c>
      <c r="AW17" s="7">
        <f>V17*0.00028565</f>
        <v/>
      </c>
      <c r="AX17" s="7">
        <f>W17*0.00028565</f>
        <v/>
      </c>
      <c r="AY17" s="7">
        <f>X17*0.00028565</f>
        <v/>
      </c>
      <c r="AZ17" s="7">
        <f>Y17*0.00028565</f>
        <v/>
      </c>
      <c r="BA17" s="7">
        <f>Z17*0.00028565</f>
        <v/>
      </c>
      <c r="BB17" s="7">
        <f>SUM(AD17:BA17)</f>
        <v/>
      </c>
    </row>
    <row r="18">
      <c r="A18" t="inlineStr">
        <is>
          <t>AMD-EXPR</t>
        </is>
      </c>
      <c r="B18" t="inlineStr">
        <is>
          <t>DSC Manual</t>
        </is>
      </c>
      <c r="C18" s="5" t="n">
        <v>46096</v>
      </c>
      <c r="D18" s="6">
        <f>Summary!D18</f>
        <v/>
      </c>
      <c r="E18" s="6">
        <f>Summary!E18</f>
        <v/>
      </c>
      <c r="F18" s="6">
        <f>Summary!F18</f>
        <v/>
      </c>
      <c r="G18" s="6">
        <f>Summary!G18</f>
        <v/>
      </c>
      <c r="H18" s="6">
        <f>Summary!H18</f>
        <v/>
      </c>
      <c r="I18" s="6">
        <f>Summary!I18</f>
        <v/>
      </c>
      <c r="J18" s="6">
        <f>Summary!J18</f>
        <v/>
      </c>
      <c r="K18" s="6">
        <f>Summary!K18</f>
        <v/>
      </c>
      <c r="L18" s="6">
        <f>Summary!L18</f>
        <v/>
      </c>
      <c r="M18" s="6">
        <f>Summary!M18</f>
        <v/>
      </c>
      <c r="N18" s="6">
        <f>Summary!N18</f>
        <v/>
      </c>
      <c r="O18" s="6">
        <f>Summary!O18</f>
        <v/>
      </c>
      <c r="P18" s="6">
        <f>Summary!P18</f>
        <v/>
      </c>
      <c r="Q18" s="6">
        <f>Summary!Q18</f>
        <v/>
      </c>
      <c r="R18" s="6">
        <f>Summary!R18</f>
        <v/>
      </c>
      <c r="S18" s="6">
        <f>Summary!S18</f>
        <v/>
      </c>
      <c r="T18" s="6">
        <f>Summary!T18</f>
        <v/>
      </c>
      <c r="U18" s="6">
        <f>Summary!U18</f>
        <v/>
      </c>
      <c r="V18" s="6">
        <f>Summary!V18</f>
        <v/>
      </c>
      <c r="W18" s="6">
        <f>Summary!W18</f>
        <v/>
      </c>
      <c r="X18" s="6">
        <f>Summary!X18</f>
        <v/>
      </c>
      <c r="Y18" s="6">
        <f>Summary!Y18</f>
        <v/>
      </c>
      <c r="Z18" s="6">
        <f>Summary!Z18</f>
        <v/>
      </c>
      <c r="AA18" s="6">
        <f>Summary!AA18</f>
        <v/>
      </c>
      <c r="AB18" s="6">
        <f>SUM(D18:AA18)</f>
        <v/>
      </c>
      <c r="AC18" s="3" t="inlineStr"/>
      <c r="AD18" s="7">
        <f>AA18*0.00028565</f>
        <v/>
      </c>
      <c r="AE18" s="7">
        <f>D18*0.00028565</f>
        <v/>
      </c>
      <c r="AF18" s="7">
        <f>E18*0.00028565</f>
        <v/>
      </c>
      <c r="AG18" s="7">
        <f>F18*0.00028565</f>
        <v/>
      </c>
      <c r="AH18" s="7">
        <f>G18*0.00028565</f>
        <v/>
      </c>
      <c r="AI18" s="7">
        <f>H18*0.00028565</f>
        <v/>
      </c>
      <c r="AJ18" s="7">
        <f>I18*0.00028565</f>
        <v/>
      </c>
      <c r="AK18" s="7">
        <f>J18*0.00028565</f>
        <v/>
      </c>
      <c r="AL18" s="7">
        <f>K18*0.00028565</f>
        <v/>
      </c>
      <c r="AM18" s="7">
        <f>L18*0.00028565</f>
        <v/>
      </c>
      <c r="AN18" s="7">
        <f>M18*0.00028565</f>
        <v/>
      </c>
      <c r="AO18" s="7">
        <f>N18*0.00028565</f>
        <v/>
      </c>
      <c r="AP18" s="7">
        <f>O18*0.00028565</f>
        <v/>
      </c>
      <c r="AQ18" s="7">
        <f>P18*0.00028565</f>
        <v/>
      </c>
      <c r="AR18" s="7">
        <f>Q18*0.00028565</f>
        <v/>
      </c>
      <c r="AS18" s="7">
        <f>R18*0.00028565</f>
        <v/>
      </c>
      <c r="AT18" s="7">
        <f>S18*0.00028565</f>
        <v/>
      </c>
      <c r="AU18" s="7">
        <f>T18*0.00028565</f>
        <v/>
      </c>
      <c r="AV18" s="7">
        <f>U18*0.00028565</f>
        <v/>
      </c>
      <c r="AW18" s="7">
        <f>V18*0.00028565</f>
        <v/>
      </c>
      <c r="AX18" s="7">
        <f>W18*0.00028565</f>
        <v/>
      </c>
      <c r="AY18" s="7">
        <f>X18*0.00028565</f>
        <v/>
      </c>
      <c r="AZ18" s="7">
        <f>Y18*0.00028565</f>
        <v/>
      </c>
      <c r="BA18" s="7">
        <f>Z18*0.00028565</f>
        <v/>
      </c>
      <c r="BB18" s="7">
        <f>SUM(AD18:BA18)</f>
        <v/>
      </c>
    </row>
    <row r="19">
      <c r="A19" t="inlineStr">
        <is>
          <t>AMD-EXPR</t>
        </is>
      </c>
      <c r="B19" t="inlineStr">
        <is>
          <t>DSC Manual</t>
        </is>
      </c>
      <c r="C19" s="5" t="n">
        <v>46097</v>
      </c>
      <c r="D19" s="6">
        <f>Summary!D19</f>
        <v/>
      </c>
      <c r="E19" s="6">
        <f>Summary!E19</f>
        <v/>
      </c>
      <c r="F19" s="6">
        <f>Summary!F19</f>
        <v/>
      </c>
      <c r="G19" s="6">
        <f>Summary!G19</f>
        <v/>
      </c>
      <c r="H19" s="6">
        <f>Summary!H19</f>
        <v/>
      </c>
      <c r="I19" s="6">
        <f>Summary!I19</f>
        <v/>
      </c>
      <c r="J19" s="6">
        <f>Summary!J19</f>
        <v/>
      </c>
      <c r="K19" s="6">
        <f>Summary!K19</f>
        <v/>
      </c>
      <c r="L19" s="6">
        <f>Summary!L19</f>
        <v/>
      </c>
      <c r="M19" s="6">
        <f>Summary!M19</f>
        <v/>
      </c>
      <c r="N19" s="6">
        <f>Summary!N19</f>
        <v/>
      </c>
      <c r="O19" s="6">
        <f>Summary!O19</f>
        <v/>
      </c>
      <c r="P19" s="6">
        <f>Summary!P19</f>
        <v/>
      </c>
      <c r="Q19" s="6">
        <f>Summary!Q19</f>
        <v/>
      </c>
      <c r="R19" s="6">
        <f>Summary!R19</f>
        <v/>
      </c>
      <c r="S19" s="6">
        <f>Summary!S19</f>
        <v/>
      </c>
      <c r="T19" s="6">
        <f>Summary!T19</f>
        <v/>
      </c>
      <c r="U19" s="6">
        <f>Summary!U19</f>
        <v/>
      </c>
      <c r="V19" s="6">
        <f>Summary!V19</f>
        <v/>
      </c>
      <c r="W19" s="6">
        <f>Summary!W19</f>
        <v/>
      </c>
      <c r="X19" s="6">
        <f>Summary!X19</f>
        <v/>
      </c>
      <c r="Y19" s="6">
        <f>Summary!Y19</f>
        <v/>
      </c>
      <c r="Z19" s="6">
        <f>Summary!Z19</f>
        <v/>
      </c>
      <c r="AA19" s="6">
        <f>Summary!AA19</f>
        <v/>
      </c>
      <c r="AB19" s="6">
        <f>SUM(D19:AA19)</f>
        <v/>
      </c>
      <c r="AC19" s="3" t="inlineStr"/>
      <c r="AD19" s="7">
        <f>AA19*0.00028565</f>
        <v/>
      </c>
      <c r="AE19" s="7">
        <f>D19*0.00028565</f>
        <v/>
      </c>
      <c r="AF19" s="7">
        <f>E19*0.00028565</f>
        <v/>
      </c>
      <c r="AG19" s="7">
        <f>F19*0.00028565</f>
        <v/>
      </c>
      <c r="AH19" s="7">
        <f>G19*0.00028565</f>
        <v/>
      </c>
      <c r="AI19" s="7">
        <f>H19*0.00028565</f>
        <v/>
      </c>
      <c r="AJ19" s="7">
        <f>I19*0.00028565</f>
        <v/>
      </c>
      <c r="AK19" s="7">
        <f>J19*0.00028565</f>
        <v/>
      </c>
      <c r="AL19" s="7">
        <f>K19*0.00028565</f>
        <v/>
      </c>
      <c r="AM19" s="7">
        <f>L19*0.00028565</f>
        <v/>
      </c>
      <c r="AN19" s="7">
        <f>M19*0.00028565</f>
        <v/>
      </c>
      <c r="AO19" s="7">
        <f>N19*0.00028565</f>
        <v/>
      </c>
      <c r="AP19" s="7">
        <f>O19*0.00028565</f>
        <v/>
      </c>
      <c r="AQ19" s="7">
        <f>P19*0.00028565</f>
        <v/>
      </c>
      <c r="AR19" s="7">
        <f>Q19*0.00028565</f>
        <v/>
      </c>
      <c r="AS19" s="7">
        <f>R19*0.00028565</f>
        <v/>
      </c>
      <c r="AT19" s="7">
        <f>S19*0.00028565</f>
        <v/>
      </c>
      <c r="AU19" s="7">
        <f>T19*0.00028565</f>
        <v/>
      </c>
      <c r="AV19" s="7">
        <f>U19*0.00028565</f>
        <v/>
      </c>
      <c r="AW19" s="7">
        <f>V19*0.00028565</f>
        <v/>
      </c>
      <c r="AX19" s="7">
        <f>W19*0.00028565</f>
        <v/>
      </c>
      <c r="AY19" s="7">
        <f>X19*0.00028565</f>
        <v/>
      </c>
      <c r="AZ19" s="7">
        <f>Y19*0.00028565</f>
        <v/>
      </c>
      <c r="BA19" s="7">
        <f>Z19*0.00028565</f>
        <v/>
      </c>
      <c r="BB19" s="7">
        <f>SUM(AD19:BA19)</f>
        <v/>
      </c>
    </row>
    <row r="20">
      <c r="A20" t="inlineStr">
        <is>
          <t>AMD-EXPR</t>
        </is>
      </c>
      <c r="B20" t="inlineStr">
        <is>
          <t>DSC Manual</t>
        </is>
      </c>
      <c r="C20" s="5" t="n">
        <v>46099</v>
      </c>
      <c r="D20" s="6">
        <f>Summary!D20</f>
        <v/>
      </c>
      <c r="E20" s="6">
        <f>Summary!E20</f>
        <v/>
      </c>
      <c r="F20" s="6">
        <f>Summary!F20</f>
        <v/>
      </c>
      <c r="G20" s="6">
        <f>Summary!G20</f>
        <v/>
      </c>
      <c r="H20" s="6">
        <f>Summary!H20</f>
        <v/>
      </c>
      <c r="I20" s="6">
        <f>Summary!I20</f>
        <v/>
      </c>
      <c r="J20" s="6">
        <f>Summary!J20</f>
        <v/>
      </c>
      <c r="K20" s="6">
        <f>Summary!K20</f>
        <v/>
      </c>
      <c r="L20" s="6">
        <f>Summary!L20</f>
        <v/>
      </c>
      <c r="M20" s="6">
        <f>Summary!M20</f>
        <v/>
      </c>
      <c r="N20" s="6">
        <f>Summary!N20</f>
        <v/>
      </c>
      <c r="O20" s="6">
        <f>Summary!O20</f>
        <v/>
      </c>
      <c r="P20" s="6">
        <f>Summary!P20</f>
        <v/>
      </c>
      <c r="Q20" s="6">
        <f>Summary!Q20</f>
        <v/>
      </c>
      <c r="R20" s="6">
        <f>Summary!R20</f>
        <v/>
      </c>
      <c r="S20" s="6">
        <f>Summary!S20</f>
        <v/>
      </c>
      <c r="T20" s="6">
        <f>Summary!T20</f>
        <v/>
      </c>
      <c r="U20" s="6">
        <f>Summary!U20</f>
        <v/>
      </c>
      <c r="V20" s="6">
        <f>Summary!V20</f>
        <v/>
      </c>
      <c r="W20" s="6">
        <f>Summary!W20</f>
        <v/>
      </c>
      <c r="X20" s="6">
        <f>Summary!X20</f>
        <v/>
      </c>
      <c r="Y20" s="6">
        <f>Summary!Y20</f>
        <v/>
      </c>
      <c r="Z20" s="6">
        <f>Summary!Z20</f>
        <v/>
      </c>
      <c r="AA20" s="6">
        <f>Summary!AA20</f>
        <v/>
      </c>
      <c r="AB20" s="6">
        <f>SUM(D20:AA20)</f>
        <v/>
      </c>
      <c r="AC20" s="3" t="inlineStr"/>
      <c r="AD20" s="7">
        <f>AA20*0.00028565</f>
        <v/>
      </c>
      <c r="AE20" s="7">
        <f>D20*0.00028565</f>
        <v/>
      </c>
      <c r="AF20" s="7">
        <f>E20*0.00028565</f>
        <v/>
      </c>
      <c r="AG20" s="7">
        <f>F20*0.00028565</f>
        <v/>
      </c>
      <c r="AH20" s="7">
        <f>G20*0.00028565</f>
        <v/>
      </c>
      <c r="AI20" s="7">
        <f>H20*0.00028565</f>
        <v/>
      </c>
      <c r="AJ20" s="7">
        <f>I20*0.00028565</f>
        <v/>
      </c>
      <c r="AK20" s="7">
        <f>J20*0.00028565</f>
        <v/>
      </c>
      <c r="AL20" s="7">
        <f>K20*0.00028565</f>
        <v/>
      </c>
      <c r="AM20" s="7">
        <f>L20*0.00028565</f>
        <v/>
      </c>
      <c r="AN20" s="7">
        <f>M20*0.00028565</f>
        <v/>
      </c>
      <c r="AO20" s="7">
        <f>N20*0.00028565</f>
        <v/>
      </c>
      <c r="AP20" s="7">
        <f>O20*0.00028565</f>
        <v/>
      </c>
      <c r="AQ20" s="7">
        <f>P20*0.00028565</f>
        <v/>
      </c>
      <c r="AR20" s="7">
        <f>Q20*0.00028565</f>
        <v/>
      </c>
      <c r="AS20" s="7">
        <f>R20*0.00028565</f>
        <v/>
      </c>
      <c r="AT20" s="7">
        <f>S20*0.00028565</f>
        <v/>
      </c>
      <c r="AU20" s="7">
        <f>T20*0.00028565</f>
        <v/>
      </c>
      <c r="AV20" s="7">
        <f>U20*0.00028565</f>
        <v/>
      </c>
      <c r="AW20" s="7">
        <f>V20*0.00028565</f>
        <v/>
      </c>
      <c r="AX20" s="7">
        <f>W20*0.00028565</f>
        <v/>
      </c>
      <c r="AY20" s="7">
        <f>X20*0.00028565</f>
        <v/>
      </c>
      <c r="AZ20" s="7">
        <f>Y20*0.00028565</f>
        <v/>
      </c>
      <c r="BA20" s="7">
        <f>Z20*0.00028565</f>
        <v/>
      </c>
      <c r="BB20" s="7">
        <f>SUM(AD20:BA20)</f>
        <v/>
      </c>
    </row>
    <row r="21">
      <c r="A21" t="inlineStr">
        <is>
          <t>AMD-EXPR</t>
        </is>
      </c>
      <c r="B21" t="inlineStr">
        <is>
          <t>DSC Manual</t>
        </is>
      </c>
      <c r="C21" s="5" t="n">
        <v>46100</v>
      </c>
      <c r="D21" s="6">
        <f>Summary!D21</f>
        <v/>
      </c>
      <c r="E21" s="6">
        <f>Summary!E21</f>
        <v/>
      </c>
      <c r="F21" s="6">
        <f>Summary!F21</f>
        <v/>
      </c>
      <c r="G21" s="6">
        <f>Summary!G21</f>
        <v/>
      </c>
      <c r="H21" s="6">
        <f>Summary!H21</f>
        <v/>
      </c>
      <c r="I21" s="6">
        <f>Summary!I21</f>
        <v/>
      </c>
      <c r="J21" s="6">
        <f>Summary!J21</f>
        <v/>
      </c>
      <c r="K21" s="6">
        <f>Summary!K21</f>
        <v/>
      </c>
      <c r="L21" s="6">
        <f>Summary!L21</f>
        <v/>
      </c>
      <c r="M21" s="6">
        <f>Summary!M21</f>
        <v/>
      </c>
      <c r="N21" s="6">
        <f>Summary!N21</f>
        <v/>
      </c>
      <c r="O21" s="6">
        <f>Summary!O21</f>
        <v/>
      </c>
      <c r="P21" s="6">
        <f>Summary!P21</f>
        <v/>
      </c>
      <c r="Q21" s="6">
        <f>Summary!Q21</f>
        <v/>
      </c>
      <c r="R21" s="6">
        <f>Summary!R21</f>
        <v/>
      </c>
      <c r="S21" s="6">
        <f>Summary!S21</f>
        <v/>
      </c>
      <c r="T21" s="6">
        <f>Summary!T21</f>
        <v/>
      </c>
      <c r="U21" s="6">
        <f>Summary!U21</f>
        <v/>
      </c>
      <c r="V21" s="6">
        <f>Summary!V21</f>
        <v/>
      </c>
      <c r="W21" s="6">
        <f>Summary!W21</f>
        <v/>
      </c>
      <c r="X21" s="6">
        <f>Summary!X21</f>
        <v/>
      </c>
      <c r="Y21" s="6">
        <f>Summary!Y21</f>
        <v/>
      </c>
      <c r="Z21" s="6">
        <f>Summary!Z21</f>
        <v/>
      </c>
      <c r="AA21" s="6">
        <f>Summary!AA21</f>
        <v/>
      </c>
      <c r="AB21" s="6">
        <f>SUM(D21:AA21)</f>
        <v/>
      </c>
      <c r="AC21" s="3" t="inlineStr"/>
      <c r="AD21" s="7">
        <f>AA21*0.00028565</f>
        <v/>
      </c>
      <c r="AE21" s="7">
        <f>D21*0.00028565</f>
        <v/>
      </c>
      <c r="AF21" s="7">
        <f>E21*0.00028565</f>
        <v/>
      </c>
      <c r="AG21" s="7">
        <f>F21*0.00028565</f>
        <v/>
      </c>
      <c r="AH21" s="7">
        <f>G21*0.00028565</f>
        <v/>
      </c>
      <c r="AI21" s="7">
        <f>H21*0.00028565</f>
        <v/>
      </c>
      <c r="AJ21" s="7">
        <f>I21*0.00028565</f>
        <v/>
      </c>
      <c r="AK21" s="7">
        <f>J21*0.00028565</f>
        <v/>
      </c>
      <c r="AL21" s="7">
        <f>K21*0.00028565</f>
        <v/>
      </c>
      <c r="AM21" s="7">
        <f>L21*0.00028565</f>
        <v/>
      </c>
      <c r="AN21" s="7">
        <f>M21*0.00028565</f>
        <v/>
      </c>
      <c r="AO21" s="7">
        <f>N21*0.00028565</f>
        <v/>
      </c>
      <c r="AP21" s="7">
        <f>O21*0.00028565</f>
        <v/>
      </c>
      <c r="AQ21" s="7">
        <f>P21*0.00028565</f>
        <v/>
      </c>
      <c r="AR21" s="7">
        <f>Q21*0.00028565</f>
        <v/>
      </c>
      <c r="AS21" s="7">
        <f>R21*0.00028565</f>
        <v/>
      </c>
      <c r="AT21" s="7">
        <f>S21*0.00028565</f>
        <v/>
      </c>
      <c r="AU21" s="7">
        <f>T21*0.00028565</f>
        <v/>
      </c>
      <c r="AV21" s="7">
        <f>U21*0.00028565</f>
        <v/>
      </c>
      <c r="AW21" s="7">
        <f>V21*0.00028565</f>
        <v/>
      </c>
      <c r="AX21" s="7">
        <f>W21*0.00028565</f>
        <v/>
      </c>
      <c r="AY21" s="7">
        <f>X21*0.00028565</f>
        <v/>
      </c>
      <c r="AZ21" s="7">
        <f>Y21*0.00028565</f>
        <v/>
      </c>
      <c r="BA21" s="7">
        <f>Z21*0.00028565</f>
        <v/>
      </c>
      <c r="BB21" s="7">
        <f>SUM(AD21:BA21)</f>
        <v/>
      </c>
    </row>
    <row r="22">
      <c r="A22" t="inlineStr">
        <is>
          <t>AMD-EXPR</t>
        </is>
      </c>
      <c r="B22" t="inlineStr">
        <is>
          <t>DSC Manual</t>
        </is>
      </c>
      <c r="C22" s="5" t="n">
        <v>46102</v>
      </c>
      <c r="D22" s="6">
        <f>Summary!D22</f>
        <v/>
      </c>
      <c r="E22" s="6">
        <f>Summary!E22</f>
        <v/>
      </c>
      <c r="F22" s="6">
        <f>Summary!F22</f>
        <v/>
      </c>
      <c r="G22" s="6">
        <f>Summary!G22</f>
        <v/>
      </c>
      <c r="H22" s="6">
        <f>Summary!H22</f>
        <v/>
      </c>
      <c r="I22" s="6">
        <f>Summary!I22</f>
        <v/>
      </c>
      <c r="J22" s="6">
        <f>Summary!J22</f>
        <v/>
      </c>
      <c r="K22" s="6">
        <f>Summary!K22</f>
        <v/>
      </c>
      <c r="L22" s="6">
        <f>Summary!L22</f>
        <v/>
      </c>
      <c r="M22" s="6">
        <f>Summary!M22</f>
        <v/>
      </c>
      <c r="N22" s="6">
        <f>Summary!N22</f>
        <v/>
      </c>
      <c r="O22" s="6">
        <f>Summary!O22</f>
        <v/>
      </c>
      <c r="P22" s="6">
        <f>Summary!P22</f>
        <v/>
      </c>
      <c r="Q22" s="6">
        <f>Summary!Q22</f>
        <v/>
      </c>
      <c r="R22" s="6">
        <f>Summary!R22</f>
        <v/>
      </c>
      <c r="S22" s="6">
        <f>Summary!S22</f>
        <v/>
      </c>
      <c r="T22" s="6">
        <f>Summary!T22</f>
        <v/>
      </c>
      <c r="U22" s="6">
        <f>Summary!U22</f>
        <v/>
      </c>
      <c r="V22" s="6">
        <f>Summary!V22</f>
        <v/>
      </c>
      <c r="W22" s="6">
        <f>Summary!W22</f>
        <v/>
      </c>
      <c r="X22" s="6">
        <f>Summary!X22</f>
        <v/>
      </c>
      <c r="Y22" s="6">
        <f>Summary!Y22</f>
        <v/>
      </c>
      <c r="Z22" s="6">
        <f>Summary!Z22</f>
        <v/>
      </c>
      <c r="AA22" s="6">
        <f>Summary!AA22</f>
        <v/>
      </c>
      <c r="AB22" s="6">
        <f>SUM(D22:AA22)</f>
        <v/>
      </c>
      <c r="AC22" s="3" t="inlineStr"/>
      <c r="AD22" s="7">
        <f>AA22*0.00028565</f>
        <v/>
      </c>
      <c r="AE22" s="7">
        <f>D22*0.00028565</f>
        <v/>
      </c>
      <c r="AF22" s="7">
        <f>E22*0.00028565</f>
        <v/>
      </c>
      <c r="AG22" s="7">
        <f>F22*0.00028565</f>
        <v/>
      </c>
      <c r="AH22" s="7">
        <f>G22*0.00028565</f>
        <v/>
      </c>
      <c r="AI22" s="7">
        <f>H22*0.00028565</f>
        <v/>
      </c>
      <c r="AJ22" s="7">
        <f>I22*0.00028565</f>
        <v/>
      </c>
      <c r="AK22" s="7">
        <f>J22*0.00028565</f>
        <v/>
      </c>
      <c r="AL22" s="7">
        <f>K22*0.00028565</f>
        <v/>
      </c>
      <c r="AM22" s="7">
        <f>L22*0.00028565</f>
        <v/>
      </c>
      <c r="AN22" s="7">
        <f>M22*0.00028565</f>
        <v/>
      </c>
      <c r="AO22" s="7">
        <f>N22*0.00028565</f>
        <v/>
      </c>
      <c r="AP22" s="7">
        <f>O22*0.00028565</f>
        <v/>
      </c>
      <c r="AQ22" s="7">
        <f>P22*0.00028565</f>
        <v/>
      </c>
      <c r="AR22" s="7">
        <f>Q22*0.00028565</f>
        <v/>
      </c>
      <c r="AS22" s="7">
        <f>R22*0.00028565</f>
        <v/>
      </c>
      <c r="AT22" s="7">
        <f>S22*0.00028565</f>
        <v/>
      </c>
      <c r="AU22" s="7">
        <f>T22*0.00028565</f>
        <v/>
      </c>
      <c r="AV22" s="7">
        <f>U22*0.00028565</f>
        <v/>
      </c>
      <c r="AW22" s="7">
        <f>V22*0.00028565</f>
        <v/>
      </c>
      <c r="AX22" s="7">
        <f>W22*0.00028565</f>
        <v/>
      </c>
      <c r="AY22" s="7">
        <f>X22*0.00028565</f>
        <v/>
      </c>
      <c r="AZ22" s="7">
        <f>Y22*0.00028565</f>
        <v/>
      </c>
      <c r="BA22" s="7">
        <f>Z22*0.00028565</f>
        <v/>
      </c>
      <c r="BB22" s="7">
        <f>SUM(AD22:BA22)</f>
        <v/>
      </c>
    </row>
    <row r="23">
      <c r="A23" t="inlineStr">
        <is>
          <t>AMD-EXPR</t>
        </is>
      </c>
      <c r="B23" t="inlineStr">
        <is>
          <t>DSC Manual</t>
        </is>
      </c>
      <c r="C23" s="5" t="n">
        <v>46103</v>
      </c>
      <c r="D23" s="6">
        <f>Summary!D23</f>
        <v/>
      </c>
      <c r="E23" s="6">
        <f>Summary!E23</f>
        <v/>
      </c>
      <c r="F23" s="6">
        <f>Summary!F23</f>
        <v/>
      </c>
      <c r="G23" s="6">
        <f>Summary!G23</f>
        <v/>
      </c>
      <c r="H23" s="6">
        <f>Summary!H23</f>
        <v/>
      </c>
      <c r="I23" s="6">
        <f>Summary!I23</f>
        <v/>
      </c>
      <c r="J23" s="6">
        <f>Summary!J23</f>
        <v/>
      </c>
      <c r="K23" s="6">
        <f>Summary!K23</f>
        <v/>
      </c>
      <c r="L23" s="6">
        <f>Summary!L23</f>
        <v/>
      </c>
      <c r="M23" s="6">
        <f>Summary!M23</f>
        <v/>
      </c>
      <c r="N23" s="6">
        <f>Summary!N23</f>
        <v/>
      </c>
      <c r="O23" s="6">
        <f>Summary!O23</f>
        <v/>
      </c>
      <c r="P23" s="6">
        <f>Summary!P23</f>
        <v/>
      </c>
      <c r="Q23" s="6">
        <f>Summary!Q23</f>
        <v/>
      </c>
      <c r="R23" s="6">
        <f>Summary!R23</f>
        <v/>
      </c>
      <c r="S23" s="6">
        <f>Summary!S23</f>
        <v/>
      </c>
      <c r="T23" s="6">
        <f>Summary!T23</f>
        <v/>
      </c>
      <c r="U23" s="6">
        <f>Summary!U23</f>
        <v/>
      </c>
      <c r="V23" s="6">
        <f>Summary!V23</f>
        <v/>
      </c>
      <c r="W23" s="6">
        <f>Summary!W23</f>
        <v/>
      </c>
      <c r="X23" s="6">
        <f>Summary!X23</f>
        <v/>
      </c>
      <c r="Y23" s="6">
        <f>Summary!Y23</f>
        <v/>
      </c>
      <c r="Z23" s="6">
        <f>Summary!Z23</f>
        <v/>
      </c>
      <c r="AA23" s="6">
        <f>Summary!AA23</f>
        <v/>
      </c>
      <c r="AB23" s="6">
        <f>SUM(D23:AA23)</f>
        <v/>
      </c>
      <c r="AC23" s="3" t="inlineStr"/>
      <c r="AD23" s="7">
        <f>AA23*0.00028565</f>
        <v/>
      </c>
      <c r="AE23" s="7">
        <f>D23*0.00028565</f>
        <v/>
      </c>
      <c r="AF23" s="7">
        <f>E23*0.00028565</f>
        <v/>
      </c>
      <c r="AG23" s="7">
        <f>F23*0.00028565</f>
        <v/>
      </c>
      <c r="AH23" s="7">
        <f>G23*0.00028565</f>
        <v/>
      </c>
      <c r="AI23" s="7">
        <f>H23*0.00028565</f>
        <v/>
      </c>
      <c r="AJ23" s="7">
        <f>I23*0.00028565</f>
        <v/>
      </c>
      <c r="AK23" s="7">
        <f>J23*0.00028565</f>
        <v/>
      </c>
      <c r="AL23" s="7">
        <f>K23*0.00028565</f>
        <v/>
      </c>
      <c r="AM23" s="7">
        <f>L23*0.00028565</f>
        <v/>
      </c>
      <c r="AN23" s="7">
        <f>M23*0.00028565</f>
        <v/>
      </c>
      <c r="AO23" s="7">
        <f>N23*0.00028565</f>
        <v/>
      </c>
      <c r="AP23" s="7">
        <f>O23*0.00028565</f>
        <v/>
      </c>
      <c r="AQ23" s="7">
        <f>P23*0.00028565</f>
        <v/>
      </c>
      <c r="AR23" s="7">
        <f>Q23*0.00028565</f>
        <v/>
      </c>
      <c r="AS23" s="7">
        <f>R23*0.00028565</f>
        <v/>
      </c>
      <c r="AT23" s="7">
        <f>S23*0.00028565</f>
        <v/>
      </c>
      <c r="AU23" s="7">
        <f>T23*0.00028565</f>
        <v/>
      </c>
      <c r="AV23" s="7">
        <f>U23*0.00028565</f>
        <v/>
      </c>
      <c r="AW23" s="7">
        <f>V23*0.00028565</f>
        <v/>
      </c>
      <c r="AX23" s="7">
        <f>W23*0.00028565</f>
        <v/>
      </c>
      <c r="AY23" s="7">
        <f>X23*0.00028565</f>
        <v/>
      </c>
      <c r="AZ23" s="7">
        <f>Y23*0.00028565</f>
        <v/>
      </c>
      <c r="BA23" s="7">
        <f>Z23*0.00028565</f>
        <v/>
      </c>
      <c r="BB23" s="7">
        <f>SUM(AD23:BA23)</f>
        <v/>
      </c>
    </row>
    <row r="24">
      <c r="A24" t="inlineStr">
        <is>
          <t>AMD-EXPR</t>
        </is>
      </c>
      <c r="B24" t="inlineStr">
        <is>
          <t>DSC Manual</t>
        </is>
      </c>
      <c r="C24" s="5" t="n">
        <v>46104</v>
      </c>
      <c r="D24" s="6">
        <f>Summary!D24</f>
        <v/>
      </c>
      <c r="E24" s="6">
        <f>Summary!E24</f>
        <v/>
      </c>
      <c r="F24" s="6">
        <f>Summary!F24</f>
        <v/>
      </c>
      <c r="G24" s="6">
        <f>Summary!G24</f>
        <v/>
      </c>
      <c r="H24" s="6">
        <f>Summary!H24</f>
        <v/>
      </c>
      <c r="I24" s="6">
        <f>Summary!I24</f>
        <v/>
      </c>
      <c r="J24" s="6">
        <f>Summary!J24</f>
        <v/>
      </c>
      <c r="K24" s="6">
        <f>Summary!K24</f>
        <v/>
      </c>
      <c r="L24" s="6">
        <f>Summary!L24</f>
        <v/>
      </c>
      <c r="M24" s="6">
        <f>Summary!M24</f>
        <v/>
      </c>
      <c r="N24" s="6">
        <f>Summary!N24</f>
        <v/>
      </c>
      <c r="O24" s="6">
        <f>Summary!O24</f>
        <v/>
      </c>
      <c r="P24" s="6">
        <f>Summary!P24</f>
        <v/>
      </c>
      <c r="Q24" s="6">
        <f>Summary!Q24</f>
        <v/>
      </c>
      <c r="R24" s="6">
        <f>Summary!R24</f>
        <v/>
      </c>
      <c r="S24" s="6">
        <f>Summary!S24</f>
        <v/>
      </c>
      <c r="T24" s="6">
        <f>Summary!T24</f>
        <v/>
      </c>
      <c r="U24" s="6">
        <f>Summary!U24</f>
        <v/>
      </c>
      <c r="V24" s="6">
        <f>Summary!V24</f>
        <v/>
      </c>
      <c r="W24" s="6">
        <f>Summary!W24</f>
        <v/>
      </c>
      <c r="X24" s="6">
        <f>Summary!X24</f>
        <v/>
      </c>
      <c r="Y24" s="6">
        <f>Summary!Y24</f>
        <v/>
      </c>
      <c r="Z24" s="6">
        <f>Summary!Z24</f>
        <v/>
      </c>
      <c r="AA24" s="6">
        <f>Summary!AA24</f>
        <v/>
      </c>
      <c r="AB24" s="6">
        <f>SUM(D24:AA24)</f>
        <v/>
      </c>
      <c r="AC24" s="3" t="inlineStr"/>
      <c r="AD24" s="7">
        <f>AA24*0.00028565</f>
        <v/>
      </c>
      <c r="AE24" s="7">
        <f>D24*0.00028565</f>
        <v/>
      </c>
      <c r="AF24" s="7">
        <f>E24*0.00028565</f>
        <v/>
      </c>
      <c r="AG24" s="7">
        <f>F24*0.00028565</f>
        <v/>
      </c>
      <c r="AH24" s="7">
        <f>G24*0.00028565</f>
        <v/>
      </c>
      <c r="AI24" s="7">
        <f>H24*0.00028565</f>
        <v/>
      </c>
      <c r="AJ24" s="7">
        <f>I24*0.00028565</f>
        <v/>
      </c>
      <c r="AK24" s="7">
        <f>J24*0.00028565</f>
        <v/>
      </c>
      <c r="AL24" s="7">
        <f>K24*0.00028565</f>
        <v/>
      </c>
      <c r="AM24" s="7">
        <f>L24*0.00028565</f>
        <v/>
      </c>
      <c r="AN24" s="7">
        <f>M24*0.00028565</f>
        <v/>
      </c>
      <c r="AO24" s="7">
        <f>N24*0.00028565</f>
        <v/>
      </c>
      <c r="AP24" s="7">
        <f>O24*0.00028565</f>
        <v/>
      </c>
      <c r="AQ24" s="7">
        <f>P24*0.00028565</f>
        <v/>
      </c>
      <c r="AR24" s="7">
        <f>Q24*0.00028565</f>
        <v/>
      </c>
      <c r="AS24" s="7">
        <f>R24*0.00028565</f>
        <v/>
      </c>
      <c r="AT24" s="7">
        <f>S24*0.00028565</f>
        <v/>
      </c>
      <c r="AU24" s="7">
        <f>T24*0.00028565</f>
        <v/>
      </c>
      <c r="AV24" s="7">
        <f>U24*0.00028565</f>
        <v/>
      </c>
      <c r="AW24" s="7">
        <f>V24*0.00028565</f>
        <v/>
      </c>
      <c r="AX24" s="7">
        <f>W24*0.00028565</f>
        <v/>
      </c>
      <c r="AY24" s="7">
        <f>X24*0.00028565</f>
        <v/>
      </c>
      <c r="AZ24" s="7">
        <f>Y24*0.00028565</f>
        <v/>
      </c>
      <c r="BA24" s="7">
        <f>Z24*0.00028565</f>
        <v/>
      </c>
      <c r="BB24" s="7">
        <f>SUM(AD24:BA24)</f>
        <v/>
      </c>
    </row>
    <row r="25">
      <c r="A25" t="inlineStr">
        <is>
          <t>AMD-EXPR</t>
        </is>
      </c>
      <c r="B25" t="inlineStr">
        <is>
          <t>DSC Manual</t>
        </is>
      </c>
      <c r="C25" s="5" t="n">
        <v>46105</v>
      </c>
      <c r="D25" s="6">
        <f>Summary!D25</f>
        <v/>
      </c>
      <c r="E25" s="6">
        <f>Summary!E25</f>
        <v/>
      </c>
      <c r="F25" s="6">
        <f>Summary!F25</f>
        <v/>
      </c>
      <c r="G25" s="6">
        <f>Summary!G25</f>
        <v/>
      </c>
      <c r="H25" s="6">
        <f>Summary!H25</f>
        <v/>
      </c>
      <c r="I25" s="6">
        <f>Summary!I25</f>
        <v/>
      </c>
      <c r="J25" s="6">
        <f>Summary!J25</f>
        <v/>
      </c>
      <c r="K25" s="6">
        <f>Summary!K25</f>
        <v/>
      </c>
      <c r="L25" s="6">
        <f>Summary!L25</f>
        <v/>
      </c>
      <c r="M25" s="6">
        <f>Summary!M25</f>
        <v/>
      </c>
      <c r="N25" s="6">
        <f>Summary!N25</f>
        <v/>
      </c>
      <c r="O25" s="6">
        <f>Summary!O25</f>
        <v/>
      </c>
      <c r="P25" s="6">
        <f>Summary!P25</f>
        <v/>
      </c>
      <c r="Q25" s="6">
        <f>Summary!Q25</f>
        <v/>
      </c>
      <c r="R25" s="6">
        <f>Summary!R25</f>
        <v/>
      </c>
      <c r="S25" s="6">
        <f>Summary!S25</f>
        <v/>
      </c>
      <c r="T25" s="6">
        <f>Summary!T25</f>
        <v/>
      </c>
      <c r="U25" s="6">
        <f>Summary!U25</f>
        <v/>
      </c>
      <c r="V25" s="6">
        <f>Summary!V25</f>
        <v/>
      </c>
      <c r="W25" s="6">
        <f>Summary!W25</f>
        <v/>
      </c>
      <c r="X25" s="6">
        <f>Summary!X25</f>
        <v/>
      </c>
      <c r="Y25" s="6">
        <f>Summary!Y25</f>
        <v/>
      </c>
      <c r="Z25" s="6">
        <f>Summary!Z25</f>
        <v/>
      </c>
      <c r="AA25" s="6">
        <f>Summary!AA25</f>
        <v/>
      </c>
      <c r="AB25" s="6">
        <f>SUM(D25:AA25)</f>
        <v/>
      </c>
      <c r="AC25" s="3" t="inlineStr"/>
      <c r="AD25" s="7">
        <f>AA25*0.00028565</f>
        <v/>
      </c>
      <c r="AE25" s="7">
        <f>D25*0.00028565</f>
        <v/>
      </c>
      <c r="AF25" s="7">
        <f>E25*0.00028565</f>
        <v/>
      </c>
      <c r="AG25" s="7">
        <f>F25*0.00028565</f>
        <v/>
      </c>
      <c r="AH25" s="7">
        <f>G25*0.00028565</f>
        <v/>
      </c>
      <c r="AI25" s="7">
        <f>H25*0.00028565</f>
        <v/>
      </c>
      <c r="AJ25" s="7">
        <f>I25*0.00028565</f>
        <v/>
      </c>
      <c r="AK25" s="7">
        <f>J25*0.00028565</f>
        <v/>
      </c>
      <c r="AL25" s="7">
        <f>K25*0.00028565</f>
        <v/>
      </c>
      <c r="AM25" s="7">
        <f>L25*0.00028565</f>
        <v/>
      </c>
      <c r="AN25" s="7">
        <f>M25*0.00028565</f>
        <v/>
      </c>
      <c r="AO25" s="7">
        <f>N25*0.00028565</f>
        <v/>
      </c>
      <c r="AP25" s="7">
        <f>O25*0.00028565</f>
        <v/>
      </c>
      <c r="AQ25" s="7">
        <f>P25*0.00028565</f>
        <v/>
      </c>
      <c r="AR25" s="7">
        <f>Q25*0.00028565</f>
        <v/>
      </c>
      <c r="AS25" s="7">
        <f>R25*0.00028565</f>
        <v/>
      </c>
      <c r="AT25" s="7">
        <f>S25*0.00028565</f>
        <v/>
      </c>
      <c r="AU25" s="7">
        <f>T25*0.00028565</f>
        <v/>
      </c>
      <c r="AV25" s="7">
        <f>U25*0.00028565</f>
        <v/>
      </c>
      <c r="AW25" s="7">
        <f>V25*0.00028565</f>
        <v/>
      </c>
      <c r="AX25" s="7">
        <f>W25*0.00028565</f>
        <v/>
      </c>
      <c r="AY25" s="7">
        <f>X25*0.00028565</f>
        <v/>
      </c>
      <c r="AZ25" s="7">
        <f>Y25*0.00028565</f>
        <v/>
      </c>
      <c r="BA25" s="7">
        <f>Z25*0.00028565</f>
        <v/>
      </c>
      <c r="BB25" s="7">
        <f>SUM(AD25:BA25)</f>
        <v/>
      </c>
    </row>
    <row r="26">
      <c r="A26" t="inlineStr">
        <is>
          <t>AMD-FK-SSC</t>
        </is>
      </c>
      <c r="B26" t="inlineStr">
        <is>
          <t>Prime at Client side</t>
        </is>
      </c>
      <c r="C26" s="5" t="n">
        <v>46089</v>
      </c>
      <c r="D26" s="6">
        <f>Summary!D26</f>
        <v/>
      </c>
      <c r="E26" s="6">
        <f>Summary!E26</f>
        <v/>
      </c>
      <c r="F26" s="6">
        <f>Summary!F26</f>
        <v/>
      </c>
      <c r="G26" s="6">
        <f>Summary!G26</f>
        <v/>
      </c>
      <c r="H26" s="6">
        <f>Summary!H26</f>
        <v/>
      </c>
      <c r="I26" s="6">
        <f>Summary!I26</f>
        <v/>
      </c>
      <c r="J26" s="6">
        <f>Summary!J26</f>
        <v/>
      </c>
      <c r="K26" s="6">
        <f>Summary!K26</f>
        <v/>
      </c>
      <c r="L26" s="6">
        <f>Summary!L26</f>
        <v/>
      </c>
      <c r="M26" s="6">
        <f>Summary!M26</f>
        <v/>
      </c>
      <c r="N26" s="6">
        <f>Summary!N26</f>
        <v/>
      </c>
      <c r="O26" s="6">
        <f>Summary!O26</f>
        <v/>
      </c>
      <c r="P26" s="6">
        <f>Summary!P26</f>
        <v/>
      </c>
      <c r="Q26" s="6">
        <f>Summary!Q26</f>
        <v/>
      </c>
      <c r="R26" s="6">
        <f>Summary!R26</f>
        <v/>
      </c>
      <c r="S26" s="6">
        <f>Summary!S26</f>
        <v/>
      </c>
      <c r="T26" s="6">
        <f>Summary!T26</f>
        <v/>
      </c>
      <c r="U26" s="6">
        <f>Summary!U26</f>
        <v/>
      </c>
      <c r="V26" s="6">
        <f>Summary!V26</f>
        <v/>
      </c>
      <c r="W26" s="6">
        <f>Summary!W26</f>
        <v/>
      </c>
      <c r="X26" s="6">
        <f>Summary!X26</f>
        <v/>
      </c>
      <c r="Y26" s="6">
        <f>Summary!Y26</f>
        <v/>
      </c>
      <c r="Z26" s="6">
        <f>Summary!Z26</f>
        <v/>
      </c>
      <c r="AA26" s="6">
        <f>Summary!AA26</f>
        <v/>
      </c>
      <c r="AB26" s="6">
        <f>SUM(D26:AA26)</f>
        <v/>
      </c>
      <c r="AC26" s="3" t="inlineStr"/>
      <c r="AD26" s="7">
        <f>AA26*0.00028565</f>
        <v/>
      </c>
      <c r="AE26" s="7">
        <f>D26*0.00028565</f>
        <v/>
      </c>
      <c r="AF26" s="7">
        <f>E26*0.00028565</f>
        <v/>
      </c>
      <c r="AG26" s="7">
        <f>F26*0.00028565</f>
        <v/>
      </c>
      <c r="AH26" s="7">
        <f>G26*0.00028565</f>
        <v/>
      </c>
      <c r="AI26" s="7">
        <f>H26*0.00028565</f>
        <v/>
      </c>
      <c r="AJ26" s="7">
        <f>I26*0.00028565</f>
        <v/>
      </c>
      <c r="AK26" s="7">
        <f>J26*0.00028565</f>
        <v/>
      </c>
      <c r="AL26" s="7">
        <f>K26*0.00028565</f>
        <v/>
      </c>
      <c r="AM26" s="7">
        <f>L26*0.00028565</f>
        <v/>
      </c>
      <c r="AN26" s="7">
        <f>M26*0.00028565</f>
        <v/>
      </c>
      <c r="AO26" s="7">
        <f>N26*0.00028565</f>
        <v/>
      </c>
      <c r="AP26" s="7">
        <f>O26*0.00028565</f>
        <v/>
      </c>
      <c r="AQ26" s="7">
        <f>P26*0.00028565</f>
        <v/>
      </c>
      <c r="AR26" s="7">
        <f>Q26*0.00028565</f>
        <v/>
      </c>
      <c r="AS26" s="7">
        <f>R26*0.00028565</f>
        <v/>
      </c>
      <c r="AT26" s="7">
        <f>S26*0.00028565</f>
        <v/>
      </c>
      <c r="AU26" s="7">
        <f>T26*0.00028565</f>
        <v/>
      </c>
      <c r="AV26" s="7">
        <f>U26*0.00028565</f>
        <v/>
      </c>
      <c r="AW26" s="7">
        <f>V26*0.00028565</f>
        <v/>
      </c>
      <c r="AX26" s="7">
        <f>W26*0.00028565</f>
        <v/>
      </c>
      <c r="AY26" s="7">
        <f>X26*0.00028565</f>
        <v/>
      </c>
      <c r="AZ26" s="7">
        <f>Y26*0.00028565</f>
        <v/>
      </c>
      <c r="BA26" s="7">
        <f>Z26*0.00028565</f>
        <v/>
      </c>
      <c r="BB26" s="7">
        <f>SUM(AD26:BA26)</f>
        <v/>
      </c>
    </row>
    <row r="27">
      <c r="A27" t="inlineStr">
        <is>
          <t>AMD-FK-SSC</t>
        </is>
      </c>
      <c r="B27" t="inlineStr">
        <is>
          <t>Prime at Client side</t>
        </is>
      </c>
      <c r="C27" s="5" t="n">
        <v>46090</v>
      </c>
      <c r="D27" s="6">
        <f>Summary!D27</f>
        <v/>
      </c>
      <c r="E27" s="6">
        <f>Summary!E27</f>
        <v/>
      </c>
      <c r="F27" s="6">
        <f>Summary!F27</f>
        <v/>
      </c>
      <c r="G27" s="6">
        <f>Summary!G27</f>
        <v/>
      </c>
      <c r="H27" s="6">
        <f>Summary!H27</f>
        <v/>
      </c>
      <c r="I27" s="6">
        <f>Summary!I27</f>
        <v/>
      </c>
      <c r="J27" s="6">
        <f>Summary!J27</f>
        <v/>
      </c>
      <c r="K27" s="6">
        <f>Summary!K27</f>
        <v/>
      </c>
      <c r="L27" s="6">
        <f>Summary!L27</f>
        <v/>
      </c>
      <c r="M27" s="6">
        <f>Summary!M27</f>
        <v/>
      </c>
      <c r="N27" s="6">
        <f>Summary!N27</f>
        <v/>
      </c>
      <c r="O27" s="6">
        <f>Summary!O27</f>
        <v/>
      </c>
      <c r="P27" s="6">
        <f>Summary!P27</f>
        <v/>
      </c>
      <c r="Q27" s="6">
        <f>Summary!Q27</f>
        <v/>
      </c>
      <c r="R27" s="6">
        <f>Summary!R27</f>
        <v/>
      </c>
      <c r="S27" s="6">
        <f>Summary!S27</f>
        <v/>
      </c>
      <c r="T27" s="6">
        <f>Summary!T27</f>
        <v/>
      </c>
      <c r="U27" s="6">
        <f>Summary!U27</f>
        <v/>
      </c>
      <c r="V27" s="6">
        <f>Summary!V27</f>
        <v/>
      </c>
      <c r="W27" s="6">
        <f>Summary!W27</f>
        <v/>
      </c>
      <c r="X27" s="6">
        <f>Summary!X27</f>
        <v/>
      </c>
      <c r="Y27" s="6">
        <f>Summary!Y27</f>
        <v/>
      </c>
      <c r="Z27" s="6">
        <f>Summary!Z27</f>
        <v/>
      </c>
      <c r="AA27" s="6">
        <f>Summary!AA27</f>
        <v/>
      </c>
      <c r="AB27" s="6">
        <f>SUM(D27:AA27)</f>
        <v/>
      </c>
      <c r="AC27" s="3" t="inlineStr"/>
      <c r="AD27" s="7">
        <f>AA27*0.00028565</f>
        <v/>
      </c>
      <c r="AE27" s="7">
        <f>D27*0.00028565</f>
        <v/>
      </c>
      <c r="AF27" s="7">
        <f>E27*0.00028565</f>
        <v/>
      </c>
      <c r="AG27" s="7">
        <f>F27*0.00028565</f>
        <v/>
      </c>
      <c r="AH27" s="7">
        <f>G27*0.00028565</f>
        <v/>
      </c>
      <c r="AI27" s="7">
        <f>H27*0.00028565</f>
        <v/>
      </c>
      <c r="AJ27" s="7">
        <f>I27*0.00028565</f>
        <v/>
      </c>
      <c r="AK27" s="7">
        <f>J27*0.00028565</f>
        <v/>
      </c>
      <c r="AL27" s="7">
        <f>K27*0.00028565</f>
        <v/>
      </c>
      <c r="AM27" s="7">
        <f>L27*0.00028565</f>
        <v/>
      </c>
      <c r="AN27" s="7">
        <f>M27*0.00028565</f>
        <v/>
      </c>
      <c r="AO27" s="7">
        <f>N27*0.00028565</f>
        <v/>
      </c>
      <c r="AP27" s="7">
        <f>O27*0.00028565</f>
        <v/>
      </c>
      <c r="AQ27" s="7">
        <f>P27*0.00028565</f>
        <v/>
      </c>
      <c r="AR27" s="7">
        <f>Q27*0.00028565</f>
        <v/>
      </c>
      <c r="AS27" s="7">
        <f>R27*0.00028565</f>
        <v/>
      </c>
      <c r="AT27" s="7">
        <f>S27*0.00028565</f>
        <v/>
      </c>
      <c r="AU27" s="7">
        <f>T27*0.00028565</f>
        <v/>
      </c>
      <c r="AV27" s="7">
        <f>U27*0.00028565</f>
        <v/>
      </c>
      <c r="AW27" s="7">
        <f>V27*0.00028565</f>
        <v/>
      </c>
      <c r="AX27" s="7">
        <f>W27*0.00028565</f>
        <v/>
      </c>
      <c r="AY27" s="7">
        <f>X27*0.00028565</f>
        <v/>
      </c>
      <c r="AZ27" s="7">
        <f>Y27*0.00028565</f>
        <v/>
      </c>
      <c r="BA27" s="7">
        <f>Z27*0.00028565</f>
        <v/>
      </c>
      <c r="BB27" s="7">
        <f>SUM(AD27:BA27)</f>
        <v/>
      </c>
    </row>
    <row r="28">
      <c r="A28" t="inlineStr">
        <is>
          <t>AMD-FK-SSC</t>
        </is>
      </c>
      <c r="B28" t="inlineStr">
        <is>
          <t>Prime at Client side</t>
        </is>
      </c>
      <c r="C28" s="5" t="n">
        <v>46091</v>
      </c>
      <c r="D28" s="6">
        <f>Summary!D28</f>
        <v/>
      </c>
      <c r="E28" s="6">
        <f>Summary!E28</f>
        <v/>
      </c>
      <c r="F28" s="6">
        <f>Summary!F28</f>
        <v/>
      </c>
      <c r="G28" s="6">
        <f>Summary!G28</f>
        <v/>
      </c>
      <c r="H28" s="6">
        <f>Summary!H28</f>
        <v/>
      </c>
      <c r="I28" s="6">
        <f>Summary!I28</f>
        <v/>
      </c>
      <c r="J28" s="6">
        <f>Summary!J28</f>
        <v/>
      </c>
      <c r="K28" s="6">
        <f>Summary!K28</f>
        <v/>
      </c>
      <c r="L28" s="6">
        <f>Summary!L28</f>
        <v/>
      </c>
      <c r="M28" s="6">
        <f>Summary!M28</f>
        <v/>
      </c>
      <c r="N28" s="6">
        <f>Summary!N28</f>
        <v/>
      </c>
      <c r="O28" s="6">
        <f>Summary!O28</f>
        <v/>
      </c>
      <c r="P28" s="6">
        <f>Summary!P28</f>
        <v/>
      </c>
      <c r="Q28" s="6">
        <f>Summary!Q28</f>
        <v/>
      </c>
      <c r="R28" s="6">
        <f>Summary!R28</f>
        <v/>
      </c>
      <c r="S28" s="6">
        <f>Summary!S28</f>
        <v/>
      </c>
      <c r="T28" s="6">
        <f>Summary!T28</f>
        <v/>
      </c>
      <c r="U28" s="6">
        <f>Summary!U28</f>
        <v/>
      </c>
      <c r="V28" s="6">
        <f>Summary!V28</f>
        <v/>
      </c>
      <c r="W28" s="6">
        <f>Summary!W28</f>
        <v/>
      </c>
      <c r="X28" s="6">
        <f>Summary!X28</f>
        <v/>
      </c>
      <c r="Y28" s="6">
        <f>Summary!Y28</f>
        <v/>
      </c>
      <c r="Z28" s="6">
        <f>Summary!Z28</f>
        <v/>
      </c>
      <c r="AA28" s="6">
        <f>Summary!AA28</f>
        <v/>
      </c>
      <c r="AB28" s="6">
        <f>SUM(D28:AA28)</f>
        <v/>
      </c>
      <c r="AC28" s="3" t="inlineStr"/>
      <c r="AD28" s="7">
        <f>AA28*0.00028565</f>
        <v/>
      </c>
      <c r="AE28" s="7">
        <f>D28*0.00028565</f>
        <v/>
      </c>
      <c r="AF28" s="7">
        <f>E28*0.00028565</f>
        <v/>
      </c>
      <c r="AG28" s="7">
        <f>F28*0.00028565</f>
        <v/>
      </c>
      <c r="AH28" s="7">
        <f>G28*0.00028565</f>
        <v/>
      </c>
      <c r="AI28" s="7">
        <f>H28*0.00028565</f>
        <v/>
      </c>
      <c r="AJ28" s="7">
        <f>I28*0.00028565</f>
        <v/>
      </c>
      <c r="AK28" s="7">
        <f>J28*0.00028565</f>
        <v/>
      </c>
      <c r="AL28" s="7">
        <f>K28*0.00028565</f>
        <v/>
      </c>
      <c r="AM28" s="7">
        <f>L28*0.00028565</f>
        <v/>
      </c>
      <c r="AN28" s="7">
        <f>M28*0.00028565</f>
        <v/>
      </c>
      <c r="AO28" s="7">
        <f>N28*0.00028565</f>
        <v/>
      </c>
      <c r="AP28" s="7">
        <f>O28*0.00028565</f>
        <v/>
      </c>
      <c r="AQ28" s="7">
        <f>P28*0.00028565</f>
        <v/>
      </c>
      <c r="AR28" s="7">
        <f>Q28*0.00028565</f>
        <v/>
      </c>
      <c r="AS28" s="7">
        <f>R28*0.00028565</f>
        <v/>
      </c>
      <c r="AT28" s="7">
        <f>S28*0.00028565</f>
        <v/>
      </c>
      <c r="AU28" s="7">
        <f>T28*0.00028565</f>
        <v/>
      </c>
      <c r="AV28" s="7">
        <f>U28*0.00028565</f>
        <v/>
      </c>
      <c r="AW28" s="7">
        <f>V28*0.00028565</f>
        <v/>
      </c>
      <c r="AX28" s="7">
        <f>W28*0.00028565</f>
        <v/>
      </c>
      <c r="AY28" s="7">
        <f>X28*0.00028565</f>
        <v/>
      </c>
      <c r="AZ28" s="7">
        <f>Y28*0.00028565</f>
        <v/>
      </c>
      <c r="BA28" s="7">
        <f>Z28*0.00028565</f>
        <v/>
      </c>
      <c r="BB28" s="7">
        <f>SUM(AD28:BA28)</f>
        <v/>
      </c>
    </row>
    <row r="29">
      <c r="A29" t="inlineStr">
        <is>
          <t>AMD-FK-SSC</t>
        </is>
      </c>
      <c r="B29" t="inlineStr">
        <is>
          <t>Prime at Client side</t>
        </is>
      </c>
      <c r="C29" s="5" t="n">
        <v>46092</v>
      </c>
      <c r="D29" s="6">
        <f>Summary!D29</f>
        <v/>
      </c>
      <c r="E29" s="6">
        <f>Summary!E29</f>
        <v/>
      </c>
      <c r="F29" s="6">
        <f>Summary!F29</f>
        <v/>
      </c>
      <c r="G29" s="6">
        <f>Summary!G29</f>
        <v/>
      </c>
      <c r="H29" s="6">
        <f>Summary!H29</f>
        <v/>
      </c>
      <c r="I29" s="6">
        <f>Summary!I29</f>
        <v/>
      </c>
      <c r="J29" s="6">
        <f>Summary!J29</f>
        <v/>
      </c>
      <c r="K29" s="6">
        <f>Summary!K29</f>
        <v/>
      </c>
      <c r="L29" s="6">
        <f>Summary!L29</f>
        <v/>
      </c>
      <c r="M29" s="6">
        <f>Summary!M29</f>
        <v/>
      </c>
      <c r="N29" s="6">
        <f>Summary!N29</f>
        <v/>
      </c>
      <c r="O29" s="6">
        <f>Summary!O29</f>
        <v/>
      </c>
      <c r="P29" s="6">
        <f>Summary!P29</f>
        <v/>
      </c>
      <c r="Q29" s="6">
        <f>Summary!Q29</f>
        <v/>
      </c>
      <c r="R29" s="6">
        <f>Summary!R29</f>
        <v/>
      </c>
      <c r="S29" s="6">
        <f>Summary!S29</f>
        <v/>
      </c>
      <c r="T29" s="6">
        <f>Summary!T29</f>
        <v/>
      </c>
      <c r="U29" s="6">
        <f>Summary!U29</f>
        <v/>
      </c>
      <c r="V29" s="6">
        <f>Summary!V29</f>
        <v/>
      </c>
      <c r="W29" s="6">
        <f>Summary!W29</f>
        <v/>
      </c>
      <c r="X29" s="6">
        <f>Summary!X29</f>
        <v/>
      </c>
      <c r="Y29" s="6">
        <f>Summary!Y29</f>
        <v/>
      </c>
      <c r="Z29" s="6">
        <f>Summary!Z29</f>
        <v/>
      </c>
      <c r="AA29" s="6">
        <f>Summary!AA29</f>
        <v/>
      </c>
      <c r="AB29" s="6">
        <f>SUM(D29:AA29)</f>
        <v/>
      </c>
      <c r="AC29" s="3" t="inlineStr"/>
      <c r="AD29" s="7">
        <f>AA29*0.00028565</f>
        <v/>
      </c>
      <c r="AE29" s="7">
        <f>D29*0.00028565</f>
        <v/>
      </c>
      <c r="AF29" s="7">
        <f>E29*0.00028565</f>
        <v/>
      </c>
      <c r="AG29" s="7">
        <f>F29*0.00028565</f>
        <v/>
      </c>
      <c r="AH29" s="7">
        <f>G29*0.00028565</f>
        <v/>
      </c>
      <c r="AI29" s="7">
        <f>H29*0.00028565</f>
        <v/>
      </c>
      <c r="AJ29" s="7">
        <f>I29*0.00028565</f>
        <v/>
      </c>
      <c r="AK29" s="7">
        <f>J29*0.00028565</f>
        <v/>
      </c>
      <c r="AL29" s="7">
        <f>K29*0.00028565</f>
        <v/>
      </c>
      <c r="AM29" s="7">
        <f>L29*0.00028565</f>
        <v/>
      </c>
      <c r="AN29" s="7">
        <f>M29*0.00028565</f>
        <v/>
      </c>
      <c r="AO29" s="7">
        <f>N29*0.00028565</f>
        <v/>
      </c>
      <c r="AP29" s="7">
        <f>O29*0.00028565</f>
        <v/>
      </c>
      <c r="AQ29" s="7">
        <f>P29*0.00028565</f>
        <v/>
      </c>
      <c r="AR29" s="7">
        <f>Q29*0.00028565</f>
        <v/>
      </c>
      <c r="AS29" s="7">
        <f>R29*0.00028565</f>
        <v/>
      </c>
      <c r="AT29" s="7">
        <f>S29*0.00028565</f>
        <v/>
      </c>
      <c r="AU29" s="7">
        <f>T29*0.00028565</f>
        <v/>
      </c>
      <c r="AV29" s="7">
        <f>U29*0.00028565</f>
        <v/>
      </c>
      <c r="AW29" s="7">
        <f>V29*0.00028565</f>
        <v/>
      </c>
      <c r="AX29" s="7">
        <f>W29*0.00028565</f>
        <v/>
      </c>
      <c r="AY29" s="7">
        <f>X29*0.00028565</f>
        <v/>
      </c>
      <c r="AZ29" s="7">
        <f>Y29*0.00028565</f>
        <v/>
      </c>
      <c r="BA29" s="7">
        <f>Z29*0.00028565</f>
        <v/>
      </c>
      <c r="BB29" s="7">
        <f>SUM(AD29:BA29)</f>
        <v/>
      </c>
    </row>
    <row r="30">
      <c r="A30" t="inlineStr">
        <is>
          <t>AMD-FK-SSC</t>
        </is>
      </c>
      <c r="B30" t="inlineStr">
        <is>
          <t>Prime at Client side</t>
        </is>
      </c>
      <c r="C30" s="5" t="n">
        <v>46093</v>
      </c>
      <c r="D30" s="6">
        <f>Summary!D30</f>
        <v/>
      </c>
      <c r="E30" s="6">
        <f>Summary!E30</f>
        <v/>
      </c>
      <c r="F30" s="6">
        <f>Summary!F30</f>
        <v/>
      </c>
      <c r="G30" s="6">
        <f>Summary!G30</f>
        <v/>
      </c>
      <c r="H30" s="6">
        <f>Summary!H30</f>
        <v/>
      </c>
      <c r="I30" s="6">
        <f>Summary!I30</f>
        <v/>
      </c>
      <c r="J30" s="6">
        <f>Summary!J30</f>
        <v/>
      </c>
      <c r="K30" s="6">
        <f>Summary!K30</f>
        <v/>
      </c>
      <c r="L30" s="6">
        <f>Summary!L30</f>
        <v/>
      </c>
      <c r="M30" s="6">
        <f>Summary!M30</f>
        <v/>
      </c>
      <c r="N30" s="6">
        <f>Summary!N30</f>
        <v/>
      </c>
      <c r="O30" s="6">
        <f>Summary!O30</f>
        <v/>
      </c>
      <c r="P30" s="6">
        <f>Summary!P30</f>
        <v/>
      </c>
      <c r="Q30" s="6">
        <f>Summary!Q30</f>
        <v/>
      </c>
      <c r="R30" s="6">
        <f>Summary!R30</f>
        <v/>
      </c>
      <c r="S30" s="6">
        <f>Summary!S30</f>
        <v/>
      </c>
      <c r="T30" s="6">
        <f>Summary!T30</f>
        <v/>
      </c>
      <c r="U30" s="6">
        <f>Summary!U30</f>
        <v/>
      </c>
      <c r="V30" s="6">
        <f>Summary!V30</f>
        <v/>
      </c>
      <c r="W30" s="6">
        <f>Summary!W30</f>
        <v/>
      </c>
      <c r="X30" s="6">
        <f>Summary!X30</f>
        <v/>
      </c>
      <c r="Y30" s="6">
        <f>Summary!Y30</f>
        <v/>
      </c>
      <c r="Z30" s="6">
        <f>Summary!Z30</f>
        <v/>
      </c>
      <c r="AA30" s="6">
        <f>Summary!AA30</f>
        <v/>
      </c>
      <c r="AB30" s="6">
        <f>SUM(D30:AA30)</f>
        <v/>
      </c>
      <c r="AC30" s="3" t="inlineStr"/>
      <c r="AD30" s="7">
        <f>AA30*0.00028565</f>
        <v/>
      </c>
      <c r="AE30" s="7">
        <f>D30*0.00028565</f>
        <v/>
      </c>
      <c r="AF30" s="7">
        <f>E30*0.00028565</f>
        <v/>
      </c>
      <c r="AG30" s="7">
        <f>F30*0.00028565</f>
        <v/>
      </c>
      <c r="AH30" s="7">
        <f>G30*0.00028565</f>
        <v/>
      </c>
      <c r="AI30" s="7">
        <f>H30*0.00028565</f>
        <v/>
      </c>
      <c r="AJ30" s="7">
        <f>I30*0.00028565</f>
        <v/>
      </c>
      <c r="AK30" s="7">
        <f>J30*0.00028565</f>
        <v/>
      </c>
      <c r="AL30" s="7">
        <f>K30*0.00028565</f>
        <v/>
      </c>
      <c r="AM30" s="7">
        <f>L30*0.00028565</f>
        <v/>
      </c>
      <c r="AN30" s="7">
        <f>M30*0.00028565</f>
        <v/>
      </c>
      <c r="AO30" s="7">
        <f>N30*0.00028565</f>
        <v/>
      </c>
      <c r="AP30" s="7">
        <f>O30*0.00028565</f>
        <v/>
      </c>
      <c r="AQ30" s="7">
        <f>P30*0.00028565</f>
        <v/>
      </c>
      <c r="AR30" s="7">
        <f>Q30*0.00028565</f>
        <v/>
      </c>
      <c r="AS30" s="7">
        <f>R30*0.00028565</f>
        <v/>
      </c>
      <c r="AT30" s="7">
        <f>S30*0.00028565</f>
        <v/>
      </c>
      <c r="AU30" s="7">
        <f>T30*0.00028565</f>
        <v/>
      </c>
      <c r="AV30" s="7">
        <f>U30*0.00028565</f>
        <v/>
      </c>
      <c r="AW30" s="7">
        <f>V30*0.00028565</f>
        <v/>
      </c>
      <c r="AX30" s="7">
        <f>W30*0.00028565</f>
        <v/>
      </c>
      <c r="AY30" s="7">
        <f>X30*0.00028565</f>
        <v/>
      </c>
      <c r="AZ30" s="7">
        <f>Y30*0.00028565</f>
        <v/>
      </c>
      <c r="BA30" s="7">
        <f>Z30*0.00028565</f>
        <v/>
      </c>
      <c r="BB30" s="7">
        <f>SUM(AD30:BA30)</f>
        <v/>
      </c>
    </row>
    <row r="31">
      <c r="A31" t="inlineStr">
        <is>
          <t>AMD-FK-SSC</t>
        </is>
      </c>
      <c r="B31" t="inlineStr">
        <is>
          <t>Prime at Client side</t>
        </is>
      </c>
      <c r="C31" s="5" t="n">
        <v>46094</v>
      </c>
      <c r="D31" s="6">
        <f>Summary!D31</f>
        <v/>
      </c>
      <c r="E31" s="6">
        <f>Summary!E31</f>
        <v/>
      </c>
      <c r="F31" s="6">
        <f>Summary!F31</f>
        <v/>
      </c>
      <c r="G31" s="6">
        <f>Summary!G31</f>
        <v/>
      </c>
      <c r="H31" s="6">
        <f>Summary!H31</f>
        <v/>
      </c>
      <c r="I31" s="6">
        <f>Summary!I31</f>
        <v/>
      </c>
      <c r="J31" s="6">
        <f>Summary!J31</f>
        <v/>
      </c>
      <c r="K31" s="6">
        <f>Summary!K31</f>
        <v/>
      </c>
      <c r="L31" s="6">
        <f>Summary!L31</f>
        <v/>
      </c>
      <c r="M31" s="6">
        <f>Summary!M31</f>
        <v/>
      </c>
      <c r="N31" s="6">
        <f>Summary!N31</f>
        <v/>
      </c>
      <c r="O31" s="6">
        <f>Summary!O31</f>
        <v/>
      </c>
      <c r="P31" s="6">
        <f>Summary!P31</f>
        <v/>
      </c>
      <c r="Q31" s="6">
        <f>Summary!Q31</f>
        <v/>
      </c>
      <c r="R31" s="6">
        <f>Summary!R31</f>
        <v/>
      </c>
      <c r="S31" s="6">
        <f>Summary!S31</f>
        <v/>
      </c>
      <c r="T31" s="6">
        <f>Summary!T31</f>
        <v/>
      </c>
      <c r="U31" s="6">
        <f>Summary!U31</f>
        <v/>
      </c>
      <c r="V31" s="6">
        <f>Summary!V31</f>
        <v/>
      </c>
      <c r="W31" s="6">
        <f>Summary!W31</f>
        <v/>
      </c>
      <c r="X31" s="6">
        <f>Summary!X31</f>
        <v/>
      </c>
      <c r="Y31" s="6">
        <f>Summary!Y31</f>
        <v/>
      </c>
      <c r="Z31" s="6">
        <f>Summary!Z31</f>
        <v/>
      </c>
      <c r="AA31" s="6">
        <f>Summary!AA31</f>
        <v/>
      </c>
      <c r="AB31" s="6">
        <f>SUM(D31:AA31)</f>
        <v/>
      </c>
      <c r="AC31" s="3" t="inlineStr"/>
      <c r="AD31" s="7">
        <f>AA31*0.00028565</f>
        <v/>
      </c>
      <c r="AE31" s="7">
        <f>D31*0.00028565</f>
        <v/>
      </c>
      <c r="AF31" s="7">
        <f>E31*0.00028565</f>
        <v/>
      </c>
      <c r="AG31" s="7">
        <f>F31*0.00028565</f>
        <v/>
      </c>
      <c r="AH31" s="7">
        <f>G31*0.00028565</f>
        <v/>
      </c>
      <c r="AI31" s="7">
        <f>H31*0.00028565</f>
        <v/>
      </c>
      <c r="AJ31" s="7">
        <f>I31*0.00028565</f>
        <v/>
      </c>
      <c r="AK31" s="7">
        <f>J31*0.00028565</f>
        <v/>
      </c>
      <c r="AL31" s="7">
        <f>K31*0.00028565</f>
        <v/>
      </c>
      <c r="AM31" s="7">
        <f>L31*0.00028565</f>
        <v/>
      </c>
      <c r="AN31" s="7">
        <f>M31*0.00028565</f>
        <v/>
      </c>
      <c r="AO31" s="7">
        <f>N31*0.00028565</f>
        <v/>
      </c>
      <c r="AP31" s="7">
        <f>O31*0.00028565</f>
        <v/>
      </c>
      <c r="AQ31" s="7">
        <f>P31*0.00028565</f>
        <v/>
      </c>
      <c r="AR31" s="7">
        <f>Q31*0.00028565</f>
        <v/>
      </c>
      <c r="AS31" s="7">
        <f>R31*0.00028565</f>
        <v/>
      </c>
      <c r="AT31" s="7">
        <f>S31*0.00028565</f>
        <v/>
      </c>
      <c r="AU31" s="7">
        <f>T31*0.00028565</f>
        <v/>
      </c>
      <c r="AV31" s="7">
        <f>U31*0.00028565</f>
        <v/>
      </c>
      <c r="AW31" s="7">
        <f>V31*0.00028565</f>
        <v/>
      </c>
      <c r="AX31" s="7">
        <f>W31*0.00028565</f>
        <v/>
      </c>
      <c r="AY31" s="7">
        <f>X31*0.00028565</f>
        <v/>
      </c>
      <c r="AZ31" s="7">
        <f>Y31*0.00028565</f>
        <v/>
      </c>
      <c r="BA31" s="7">
        <f>Z31*0.00028565</f>
        <v/>
      </c>
      <c r="BB31" s="7">
        <f>SUM(AD31:BA31)</f>
        <v/>
      </c>
    </row>
    <row r="32">
      <c r="A32" t="inlineStr">
        <is>
          <t>AMD-FK-SSC</t>
        </is>
      </c>
      <c r="B32" t="inlineStr">
        <is>
          <t>Prime at Client side</t>
        </is>
      </c>
      <c r="C32" s="5" t="n">
        <v>46095</v>
      </c>
      <c r="D32" s="6">
        <f>Summary!D32</f>
        <v/>
      </c>
      <c r="E32" s="6">
        <f>Summary!E32</f>
        <v/>
      </c>
      <c r="F32" s="6">
        <f>Summary!F32</f>
        <v/>
      </c>
      <c r="G32" s="6">
        <f>Summary!G32</f>
        <v/>
      </c>
      <c r="H32" s="6">
        <f>Summary!H32</f>
        <v/>
      </c>
      <c r="I32" s="6">
        <f>Summary!I32</f>
        <v/>
      </c>
      <c r="J32" s="6">
        <f>Summary!J32</f>
        <v/>
      </c>
      <c r="K32" s="6">
        <f>Summary!K32</f>
        <v/>
      </c>
      <c r="L32" s="6">
        <f>Summary!L32</f>
        <v/>
      </c>
      <c r="M32" s="6">
        <f>Summary!M32</f>
        <v/>
      </c>
      <c r="N32" s="6">
        <f>Summary!N32</f>
        <v/>
      </c>
      <c r="O32" s="6">
        <f>Summary!O32</f>
        <v/>
      </c>
      <c r="P32" s="6">
        <f>Summary!P32</f>
        <v/>
      </c>
      <c r="Q32" s="6">
        <f>Summary!Q32</f>
        <v/>
      </c>
      <c r="R32" s="6">
        <f>Summary!R32</f>
        <v/>
      </c>
      <c r="S32" s="6">
        <f>Summary!S32</f>
        <v/>
      </c>
      <c r="T32" s="6">
        <f>Summary!T32</f>
        <v/>
      </c>
      <c r="U32" s="6">
        <f>Summary!U32</f>
        <v/>
      </c>
      <c r="V32" s="6">
        <f>Summary!V32</f>
        <v/>
      </c>
      <c r="W32" s="6">
        <f>Summary!W32</f>
        <v/>
      </c>
      <c r="X32" s="6">
        <f>Summary!X32</f>
        <v/>
      </c>
      <c r="Y32" s="6">
        <f>Summary!Y32</f>
        <v/>
      </c>
      <c r="Z32" s="6">
        <f>Summary!Z32</f>
        <v/>
      </c>
      <c r="AA32" s="6">
        <f>Summary!AA32</f>
        <v/>
      </c>
      <c r="AB32" s="6">
        <f>SUM(D32:AA32)</f>
        <v/>
      </c>
      <c r="AC32" s="3" t="inlineStr"/>
      <c r="AD32" s="7">
        <f>AA32*0.00028565</f>
        <v/>
      </c>
      <c r="AE32" s="7">
        <f>D32*0.00028565</f>
        <v/>
      </c>
      <c r="AF32" s="7">
        <f>E32*0.00028565</f>
        <v/>
      </c>
      <c r="AG32" s="7">
        <f>F32*0.00028565</f>
        <v/>
      </c>
      <c r="AH32" s="7">
        <f>G32*0.00028565</f>
        <v/>
      </c>
      <c r="AI32" s="7">
        <f>H32*0.00028565</f>
        <v/>
      </c>
      <c r="AJ32" s="7">
        <f>I32*0.00028565</f>
        <v/>
      </c>
      <c r="AK32" s="7">
        <f>J32*0.00028565</f>
        <v/>
      </c>
      <c r="AL32" s="7">
        <f>K32*0.00028565</f>
        <v/>
      </c>
      <c r="AM32" s="7">
        <f>L32*0.00028565</f>
        <v/>
      </c>
      <c r="AN32" s="7">
        <f>M32*0.00028565</f>
        <v/>
      </c>
      <c r="AO32" s="7">
        <f>N32*0.00028565</f>
        <v/>
      </c>
      <c r="AP32" s="7">
        <f>O32*0.00028565</f>
        <v/>
      </c>
      <c r="AQ32" s="7">
        <f>P32*0.00028565</f>
        <v/>
      </c>
      <c r="AR32" s="7">
        <f>Q32*0.00028565</f>
        <v/>
      </c>
      <c r="AS32" s="7">
        <f>R32*0.00028565</f>
        <v/>
      </c>
      <c r="AT32" s="7">
        <f>S32*0.00028565</f>
        <v/>
      </c>
      <c r="AU32" s="7">
        <f>T32*0.00028565</f>
        <v/>
      </c>
      <c r="AV32" s="7">
        <f>U32*0.00028565</f>
        <v/>
      </c>
      <c r="AW32" s="7">
        <f>V32*0.00028565</f>
        <v/>
      </c>
      <c r="AX32" s="7">
        <f>W32*0.00028565</f>
        <v/>
      </c>
      <c r="AY32" s="7">
        <f>X32*0.00028565</f>
        <v/>
      </c>
      <c r="AZ32" s="7">
        <f>Y32*0.00028565</f>
        <v/>
      </c>
      <c r="BA32" s="7">
        <f>Z32*0.00028565</f>
        <v/>
      </c>
      <c r="BB32" s="7">
        <f>SUM(AD32:BA32)</f>
        <v/>
      </c>
    </row>
    <row r="33">
      <c r="A33" t="inlineStr">
        <is>
          <t>AMD-FK-SSC</t>
        </is>
      </c>
      <c r="B33" t="inlineStr">
        <is>
          <t>Prime at Client side</t>
        </is>
      </c>
      <c r="C33" s="5" t="n">
        <v>46096</v>
      </c>
      <c r="D33" s="6">
        <f>Summary!D33</f>
        <v/>
      </c>
      <c r="E33" s="6">
        <f>Summary!E33</f>
        <v/>
      </c>
      <c r="F33" s="6">
        <f>Summary!F33</f>
        <v/>
      </c>
      <c r="G33" s="6">
        <f>Summary!G33</f>
        <v/>
      </c>
      <c r="H33" s="6">
        <f>Summary!H33</f>
        <v/>
      </c>
      <c r="I33" s="6">
        <f>Summary!I33</f>
        <v/>
      </c>
      <c r="J33" s="6">
        <f>Summary!J33</f>
        <v/>
      </c>
      <c r="K33" s="6">
        <f>Summary!K33</f>
        <v/>
      </c>
      <c r="L33" s="6">
        <f>Summary!L33</f>
        <v/>
      </c>
      <c r="M33" s="6">
        <f>Summary!M33</f>
        <v/>
      </c>
      <c r="N33" s="6">
        <f>Summary!N33</f>
        <v/>
      </c>
      <c r="O33" s="6">
        <f>Summary!O33</f>
        <v/>
      </c>
      <c r="P33" s="6">
        <f>Summary!P33</f>
        <v/>
      </c>
      <c r="Q33" s="6">
        <f>Summary!Q33</f>
        <v/>
      </c>
      <c r="R33" s="6">
        <f>Summary!R33</f>
        <v/>
      </c>
      <c r="S33" s="6">
        <f>Summary!S33</f>
        <v/>
      </c>
      <c r="T33" s="6">
        <f>Summary!T33</f>
        <v/>
      </c>
      <c r="U33" s="6">
        <f>Summary!U33</f>
        <v/>
      </c>
      <c r="V33" s="6">
        <f>Summary!V33</f>
        <v/>
      </c>
      <c r="W33" s="6">
        <f>Summary!W33</f>
        <v/>
      </c>
      <c r="X33" s="6">
        <f>Summary!X33</f>
        <v/>
      </c>
      <c r="Y33" s="6">
        <f>Summary!Y33</f>
        <v/>
      </c>
      <c r="Z33" s="6">
        <f>Summary!Z33</f>
        <v/>
      </c>
      <c r="AA33" s="6">
        <f>Summary!AA33</f>
        <v/>
      </c>
      <c r="AB33" s="6">
        <f>SUM(D33:AA33)</f>
        <v/>
      </c>
      <c r="AC33" s="3" t="inlineStr"/>
      <c r="AD33" s="7">
        <f>AA33*0.00028565</f>
        <v/>
      </c>
      <c r="AE33" s="7">
        <f>D33*0.00028565</f>
        <v/>
      </c>
      <c r="AF33" s="7">
        <f>E33*0.00028565</f>
        <v/>
      </c>
      <c r="AG33" s="7">
        <f>F33*0.00028565</f>
        <v/>
      </c>
      <c r="AH33" s="7">
        <f>G33*0.00028565</f>
        <v/>
      </c>
      <c r="AI33" s="7">
        <f>H33*0.00028565</f>
        <v/>
      </c>
      <c r="AJ33" s="7">
        <f>I33*0.00028565</f>
        <v/>
      </c>
      <c r="AK33" s="7">
        <f>J33*0.00028565</f>
        <v/>
      </c>
      <c r="AL33" s="7">
        <f>K33*0.00028565</f>
        <v/>
      </c>
      <c r="AM33" s="7">
        <f>L33*0.00028565</f>
        <v/>
      </c>
      <c r="AN33" s="7">
        <f>M33*0.00028565</f>
        <v/>
      </c>
      <c r="AO33" s="7">
        <f>N33*0.00028565</f>
        <v/>
      </c>
      <c r="AP33" s="7">
        <f>O33*0.00028565</f>
        <v/>
      </c>
      <c r="AQ33" s="7">
        <f>P33*0.00028565</f>
        <v/>
      </c>
      <c r="AR33" s="7">
        <f>Q33*0.00028565</f>
        <v/>
      </c>
      <c r="AS33" s="7">
        <f>R33*0.00028565</f>
        <v/>
      </c>
      <c r="AT33" s="7">
        <f>S33*0.00028565</f>
        <v/>
      </c>
      <c r="AU33" s="7">
        <f>T33*0.00028565</f>
        <v/>
      </c>
      <c r="AV33" s="7">
        <f>U33*0.00028565</f>
        <v/>
      </c>
      <c r="AW33" s="7">
        <f>V33*0.00028565</f>
        <v/>
      </c>
      <c r="AX33" s="7">
        <f>W33*0.00028565</f>
        <v/>
      </c>
      <c r="AY33" s="7">
        <f>X33*0.00028565</f>
        <v/>
      </c>
      <c r="AZ33" s="7">
        <f>Y33*0.00028565</f>
        <v/>
      </c>
      <c r="BA33" s="7">
        <f>Z33*0.00028565</f>
        <v/>
      </c>
      <c r="BB33" s="7">
        <f>SUM(AD33:BA33)</f>
        <v/>
      </c>
    </row>
    <row r="34">
      <c r="A34" t="inlineStr">
        <is>
          <t>AMD-FK-SSC</t>
        </is>
      </c>
      <c r="B34" t="inlineStr">
        <is>
          <t>Prime at Client side</t>
        </is>
      </c>
      <c r="C34" s="5" t="n">
        <v>46097</v>
      </c>
      <c r="D34" s="6">
        <f>Summary!D34</f>
        <v/>
      </c>
      <c r="E34" s="6">
        <f>Summary!E34</f>
        <v/>
      </c>
      <c r="F34" s="6">
        <f>Summary!F34</f>
        <v/>
      </c>
      <c r="G34" s="6">
        <f>Summary!G34</f>
        <v/>
      </c>
      <c r="H34" s="6">
        <f>Summary!H34</f>
        <v/>
      </c>
      <c r="I34" s="6">
        <f>Summary!I34</f>
        <v/>
      </c>
      <c r="J34" s="6">
        <f>Summary!J34</f>
        <v/>
      </c>
      <c r="K34" s="6">
        <f>Summary!K34</f>
        <v/>
      </c>
      <c r="L34" s="6">
        <f>Summary!L34</f>
        <v/>
      </c>
      <c r="M34" s="6">
        <f>Summary!M34</f>
        <v/>
      </c>
      <c r="N34" s="6">
        <f>Summary!N34</f>
        <v/>
      </c>
      <c r="O34" s="6">
        <f>Summary!O34</f>
        <v/>
      </c>
      <c r="P34" s="6">
        <f>Summary!P34</f>
        <v/>
      </c>
      <c r="Q34" s="6">
        <f>Summary!Q34</f>
        <v/>
      </c>
      <c r="R34" s="6">
        <f>Summary!R34</f>
        <v/>
      </c>
      <c r="S34" s="6">
        <f>Summary!S34</f>
        <v/>
      </c>
      <c r="T34" s="6">
        <f>Summary!T34</f>
        <v/>
      </c>
      <c r="U34" s="6">
        <f>Summary!U34</f>
        <v/>
      </c>
      <c r="V34" s="6">
        <f>Summary!V34</f>
        <v/>
      </c>
      <c r="W34" s="6">
        <f>Summary!W34</f>
        <v/>
      </c>
      <c r="X34" s="6">
        <f>Summary!X34</f>
        <v/>
      </c>
      <c r="Y34" s="6">
        <f>Summary!Y34</f>
        <v/>
      </c>
      <c r="Z34" s="6">
        <f>Summary!Z34</f>
        <v/>
      </c>
      <c r="AA34" s="6">
        <f>Summary!AA34</f>
        <v/>
      </c>
      <c r="AB34" s="6">
        <f>SUM(D34:AA34)</f>
        <v/>
      </c>
      <c r="AC34" s="3" t="inlineStr"/>
      <c r="AD34" s="7">
        <f>AA34*0.00028565</f>
        <v/>
      </c>
      <c r="AE34" s="7">
        <f>D34*0.00028565</f>
        <v/>
      </c>
      <c r="AF34" s="7">
        <f>E34*0.00028565</f>
        <v/>
      </c>
      <c r="AG34" s="7">
        <f>F34*0.00028565</f>
        <v/>
      </c>
      <c r="AH34" s="7">
        <f>G34*0.00028565</f>
        <v/>
      </c>
      <c r="AI34" s="7">
        <f>H34*0.00028565</f>
        <v/>
      </c>
      <c r="AJ34" s="7">
        <f>I34*0.00028565</f>
        <v/>
      </c>
      <c r="AK34" s="7">
        <f>J34*0.00028565</f>
        <v/>
      </c>
      <c r="AL34" s="7">
        <f>K34*0.00028565</f>
        <v/>
      </c>
      <c r="AM34" s="7">
        <f>L34*0.00028565</f>
        <v/>
      </c>
      <c r="AN34" s="7">
        <f>M34*0.00028565</f>
        <v/>
      </c>
      <c r="AO34" s="7">
        <f>N34*0.00028565</f>
        <v/>
      </c>
      <c r="AP34" s="7">
        <f>O34*0.00028565</f>
        <v/>
      </c>
      <c r="AQ34" s="7">
        <f>P34*0.00028565</f>
        <v/>
      </c>
      <c r="AR34" s="7">
        <f>Q34*0.00028565</f>
        <v/>
      </c>
      <c r="AS34" s="7">
        <f>R34*0.00028565</f>
        <v/>
      </c>
      <c r="AT34" s="7">
        <f>S34*0.00028565</f>
        <v/>
      </c>
      <c r="AU34" s="7">
        <f>T34*0.00028565</f>
        <v/>
      </c>
      <c r="AV34" s="7">
        <f>U34*0.00028565</f>
        <v/>
      </c>
      <c r="AW34" s="7">
        <f>V34*0.00028565</f>
        <v/>
      </c>
      <c r="AX34" s="7">
        <f>W34*0.00028565</f>
        <v/>
      </c>
      <c r="AY34" s="7">
        <f>X34*0.00028565</f>
        <v/>
      </c>
      <c r="AZ34" s="7">
        <f>Y34*0.00028565</f>
        <v/>
      </c>
      <c r="BA34" s="7">
        <f>Z34*0.00028565</f>
        <v/>
      </c>
      <c r="BB34" s="7">
        <f>SUM(AD34:BA34)</f>
        <v/>
      </c>
    </row>
    <row r="35">
      <c r="A35" t="inlineStr">
        <is>
          <t>AMD-FK-SSC</t>
        </is>
      </c>
      <c r="B35" t="inlineStr">
        <is>
          <t>Prime at Client side</t>
        </is>
      </c>
      <c r="C35" s="5" t="n">
        <v>46098</v>
      </c>
      <c r="D35" s="6">
        <f>Summary!D35</f>
        <v/>
      </c>
      <c r="E35" s="6">
        <f>Summary!E35</f>
        <v/>
      </c>
      <c r="F35" s="6">
        <f>Summary!F35</f>
        <v/>
      </c>
      <c r="G35" s="6">
        <f>Summary!G35</f>
        <v/>
      </c>
      <c r="H35" s="6">
        <f>Summary!H35</f>
        <v/>
      </c>
      <c r="I35" s="6">
        <f>Summary!I35</f>
        <v/>
      </c>
      <c r="J35" s="6">
        <f>Summary!J35</f>
        <v/>
      </c>
      <c r="K35" s="6">
        <f>Summary!K35</f>
        <v/>
      </c>
      <c r="L35" s="6">
        <f>Summary!L35</f>
        <v/>
      </c>
      <c r="M35" s="6">
        <f>Summary!M35</f>
        <v/>
      </c>
      <c r="N35" s="6">
        <f>Summary!N35</f>
        <v/>
      </c>
      <c r="O35" s="6">
        <f>Summary!O35</f>
        <v/>
      </c>
      <c r="P35" s="6">
        <f>Summary!P35</f>
        <v/>
      </c>
      <c r="Q35" s="6">
        <f>Summary!Q35</f>
        <v/>
      </c>
      <c r="R35" s="6">
        <f>Summary!R35</f>
        <v/>
      </c>
      <c r="S35" s="6">
        <f>Summary!S35</f>
        <v/>
      </c>
      <c r="T35" s="6">
        <f>Summary!T35</f>
        <v/>
      </c>
      <c r="U35" s="6">
        <f>Summary!U35</f>
        <v/>
      </c>
      <c r="V35" s="6">
        <f>Summary!V35</f>
        <v/>
      </c>
      <c r="W35" s="6">
        <f>Summary!W35</f>
        <v/>
      </c>
      <c r="X35" s="6">
        <f>Summary!X35</f>
        <v/>
      </c>
      <c r="Y35" s="6">
        <f>Summary!Y35</f>
        <v/>
      </c>
      <c r="Z35" s="6">
        <f>Summary!Z35</f>
        <v/>
      </c>
      <c r="AA35" s="6">
        <f>Summary!AA35</f>
        <v/>
      </c>
      <c r="AB35" s="6">
        <f>SUM(D35:AA35)</f>
        <v/>
      </c>
      <c r="AC35" s="3" t="inlineStr"/>
      <c r="AD35" s="7">
        <f>AA35*0.00028565</f>
        <v/>
      </c>
      <c r="AE35" s="7">
        <f>D35*0.00028565</f>
        <v/>
      </c>
      <c r="AF35" s="7">
        <f>E35*0.00028565</f>
        <v/>
      </c>
      <c r="AG35" s="7">
        <f>F35*0.00028565</f>
        <v/>
      </c>
      <c r="AH35" s="7">
        <f>G35*0.00028565</f>
        <v/>
      </c>
      <c r="AI35" s="7">
        <f>H35*0.00028565</f>
        <v/>
      </c>
      <c r="AJ35" s="7">
        <f>I35*0.00028565</f>
        <v/>
      </c>
      <c r="AK35" s="7">
        <f>J35*0.00028565</f>
        <v/>
      </c>
      <c r="AL35" s="7">
        <f>K35*0.00028565</f>
        <v/>
      </c>
      <c r="AM35" s="7">
        <f>L35*0.00028565</f>
        <v/>
      </c>
      <c r="AN35" s="7">
        <f>M35*0.00028565</f>
        <v/>
      </c>
      <c r="AO35" s="7">
        <f>N35*0.00028565</f>
        <v/>
      </c>
      <c r="AP35" s="7">
        <f>O35*0.00028565</f>
        <v/>
      </c>
      <c r="AQ35" s="7">
        <f>P35*0.00028565</f>
        <v/>
      </c>
      <c r="AR35" s="7">
        <f>Q35*0.00028565</f>
        <v/>
      </c>
      <c r="AS35" s="7">
        <f>R35*0.00028565</f>
        <v/>
      </c>
      <c r="AT35" s="7">
        <f>S35*0.00028565</f>
        <v/>
      </c>
      <c r="AU35" s="7">
        <f>T35*0.00028565</f>
        <v/>
      </c>
      <c r="AV35" s="7">
        <f>U35*0.00028565</f>
        <v/>
      </c>
      <c r="AW35" s="7">
        <f>V35*0.00028565</f>
        <v/>
      </c>
      <c r="AX35" s="7">
        <f>W35*0.00028565</f>
        <v/>
      </c>
      <c r="AY35" s="7">
        <f>X35*0.00028565</f>
        <v/>
      </c>
      <c r="AZ35" s="7">
        <f>Y35*0.00028565</f>
        <v/>
      </c>
      <c r="BA35" s="7">
        <f>Z35*0.00028565</f>
        <v/>
      </c>
      <c r="BB35" s="7">
        <f>SUM(AD35:BA35)</f>
        <v/>
      </c>
    </row>
    <row r="36">
      <c r="A36" t="inlineStr">
        <is>
          <t>AMD-FK-SSC</t>
        </is>
      </c>
      <c r="B36" t="inlineStr">
        <is>
          <t>Prime at Client side</t>
        </is>
      </c>
      <c r="C36" s="5" t="n">
        <v>46099</v>
      </c>
      <c r="D36" s="6">
        <f>Summary!D36</f>
        <v/>
      </c>
      <c r="E36" s="6">
        <f>Summary!E36</f>
        <v/>
      </c>
      <c r="F36" s="6">
        <f>Summary!F36</f>
        <v/>
      </c>
      <c r="G36" s="6">
        <f>Summary!G36</f>
        <v/>
      </c>
      <c r="H36" s="6">
        <f>Summary!H36</f>
        <v/>
      </c>
      <c r="I36" s="6">
        <f>Summary!I36</f>
        <v/>
      </c>
      <c r="J36" s="6">
        <f>Summary!J36</f>
        <v/>
      </c>
      <c r="K36" s="6">
        <f>Summary!K36</f>
        <v/>
      </c>
      <c r="L36" s="6">
        <f>Summary!L36</f>
        <v/>
      </c>
      <c r="M36" s="6">
        <f>Summary!M36</f>
        <v/>
      </c>
      <c r="N36" s="6">
        <f>Summary!N36</f>
        <v/>
      </c>
      <c r="O36" s="6">
        <f>Summary!O36</f>
        <v/>
      </c>
      <c r="P36" s="6">
        <f>Summary!P36</f>
        <v/>
      </c>
      <c r="Q36" s="6">
        <f>Summary!Q36</f>
        <v/>
      </c>
      <c r="R36" s="6">
        <f>Summary!R36</f>
        <v/>
      </c>
      <c r="S36" s="6">
        <f>Summary!S36</f>
        <v/>
      </c>
      <c r="T36" s="6">
        <f>Summary!T36</f>
        <v/>
      </c>
      <c r="U36" s="6">
        <f>Summary!U36</f>
        <v/>
      </c>
      <c r="V36" s="6">
        <f>Summary!V36</f>
        <v/>
      </c>
      <c r="W36" s="6">
        <f>Summary!W36</f>
        <v/>
      </c>
      <c r="X36" s="6">
        <f>Summary!X36</f>
        <v/>
      </c>
      <c r="Y36" s="6">
        <f>Summary!Y36</f>
        <v/>
      </c>
      <c r="Z36" s="6">
        <f>Summary!Z36</f>
        <v/>
      </c>
      <c r="AA36" s="6">
        <f>Summary!AA36</f>
        <v/>
      </c>
      <c r="AB36" s="6">
        <f>SUM(D36:AA36)</f>
        <v/>
      </c>
      <c r="AC36" s="3" t="inlineStr"/>
      <c r="AD36" s="7">
        <f>AA36*0.00028565</f>
        <v/>
      </c>
      <c r="AE36" s="7">
        <f>D36*0.00028565</f>
        <v/>
      </c>
      <c r="AF36" s="7">
        <f>E36*0.00028565</f>
        <v/>
      </c>
      <c r="AG36" s="7">
        <f>F36*0.00028565</f>
        <v/>
      </c>
      <c r="AH36" s="7">
        <f>G36*0.00028565</f>
        <v/>
      </c>
      <c r="AI36" s="7">
        <f>H36*0.00028565</f>
        <v/>
      </c>
      <c r="AJ36" s="7">
        <f>I36*0.00028565</f>
        <v/>
      </c>
      <c r="AK36" s="7">
        <f>J36*0.00028565</f>
        <v/>
      </c>
      <c r="AL36" s="7">
        <f>K36*0.00028565</f>
        <v/>
      </c>
      <c r="AM36" s="7">
        <f>L36*0.00028565</f>
        <v/>
      </c>
      <c r="AN36" s="7">
        <f>M36*0.00028565</f>
        <v/>
      </c>
      <c r="AO36" s="7">
        <f>N36*0.00028565</f>
        <v/>
      </c>
      <c r="AP36" s="7">
        <f>O36*0.00028565</f>
        <v/>
      </c>
      <c r="AQ36" s="7">
        <f>P36*0.00028565</f>
        <v/>
      </c>
      <c r="AR36" s="7">
        <f>Q36*0.00028565</f>
        <v/>
      </c>
      <c r="AS36" s="7">
        <f>R36*0.00028565</f>
        <v/>
      </c>
      <c r="AT36" s="7">
        <f>S36*0.00028565</f>
        <v/>
      </c>
      <c r="AU36" s="7">
        <f>T36*0.00028565</f>
        <v/>
      </c>
      <c r="AV36" s="7">
        <f>U36*0.00028565</f>
        <v/>
      </c>
      <c r="AW36" s="7">
        <f>V36*0.00028565</f>
        <v/>
      </c>
      <c r="AX36" s="7">
        <f>W36*0.00028565</f>
        <v/>
      </c>
      <c r="AY36" s="7">
        <f>X36*0.00028565</f>
        <v/>
      </c>
      <c r="AZ36" s="7">
        <f>Y36*0.00028565</f>
        <v/>
      </c>
      <c r="BA36" s="7">
        <f>Z36*0.00028565</f>
        <v/>
      </c>
      <c r="BB36" s="7">
        <f>SUM(AD36:BA36)</f>
        <v/>
      </c>
    </row>
    <row r="37">
      <c r="A37" t="inlineStr">
        <is>
          <t>AMD-FK-SSC</t>
        </is>
      </c>
      <c r="B37" t="inlineStr">
        <is>
          <t>Prime at Client side</t>
        </is>
      </c>
      <c r="C37" s="5" t="n">
        <v>46100</v>
      </c>
      <c r="D37" s="6">
        <f>Summary!D37</f>
        <v/>
      </c>
      <c r="E37" s="6">
        <f>Summary!E37</f>
        <v/>
      </c>
      <c r="F37" s="6">
        <f>Summary!F37</f>
        <v/>
      </c>
      <c r="G37" s="6">
        <f>Summary!G37</f>
        <v/>
      </c>
      <c r="H37" s="6">
        <f>Summary!H37</f>
        <v/>
      </c>
      <c r="I37" s="6">
        <f>Summary!I37</f>
        <v/>
      </c>
      <c r="J37" s="6">
        <f>Summary!J37</f>
        <v/>
      </c>
      <c r="K37" s="6">
        <f>Summary!K37</f>
        <v/>
      </c>
      <c r="L37" s="6">
        <f>Summary!L37</f>
        <v/>
      </c>
      <c r="M37" s="6">
        <f>Summary!M37</f>
        <v/>
      </c>
      <c r="N37" s="6">
        <f>Summary!N37</f>
        <v/>
      </c>
      <c r="O37" s="6">
        <f>Summary!O37</f>
        <v/>
      </c>
      <c r="P37" s="6">
        <f>Summary!P37</f>
        <v/>
      </c>
      <c r="Q37" s="6">
        <f>Summary!Q37</f>
        <v/>
      </c>
      <c r="R37" s="6">
        <f>Summary!R37</f>
        <v/>
      </c>
      <c r="S37" s="6">
        <f>Summary!S37</f>
        <v/>
      </c>
      <c r="T37" s="6">
        <f>Summary!T37</f>
        <v/>
      </c>
      <c r="U37" s="6">
        <f>Summary!U37</f>
        <v/>
      </c>
      <c r="V37" s="6">
        <f>Summary!V37</f>
        <v/>
      </c>
      <c r="W37" s="6">
        <f>Summary!W37</f>
        <v/>
      </c>
      <c r="X37" s="6">
        <f>Summary!X37</f>
        <v/>
      </c>
      <c r="Y37" s="6">
        <f>Summary!Y37</f>
        <v/>
      </c>
      <c r="Z37" s="6">
        <f>Summary!Z37</f>
        <v/>
      </c>
      <c r="AA37" s="6">
        <f>Summary!AA37</f>
        <v/>
      </c>
      <c r="AB37" s="6">
        <f>SUM(D37:AA37)</f>
        <v/>
      </c>
      <c r="AC37" s="3" t="inlineStr"/>
      <c r="AD37" s="7">
        <f>AA37*0.00028565</f>
        <v/>
      </c>
      <c r="AE37" s="7">
        <f>D37*0.00028565</f>
        <v/>
      </c>
      <c r="AF37" s="7">
        <f>E37*0.00028565</f>
        <v/>
      </c>
      <c r="AG37" s="7">
        <f>F37*0.00028565</f>
        <v/>
      </c>
      <c r="AH37" s="7">
        <f>G37*0.00028565</f>
        <v/>
      </c>
      <c r="AI37" s="7">
        <f>H37*0.00028565</f>
        <v/>
      </c>
      <c r="AJ37" s="7">
        <f>I37*0.00028565</f>
        <v/>
      </c>
      <c r="AK37" s="7">
        <f>J37*0.00028565</f>
        <v/>
      </c>
      <c r="AL37" s="7">
        <f>K37*0.00028565</f>
        <v/>
      </c>
      <c r="AM37" s="7">
        <f>L37*0.00028565</f>
        <v/>
      </c>
      <c r="AN37" s="7">
        <f>M37*0.00028565</f>
        <v/>
      </c>
      <c r="AO37" s="7">
        <f>N37*0.00028565</f>
        <v/>
      </c>
      <c r="AP37" s="7">
        <f>O37*0.00028565</f>
        <v/>
      </c>
      <c r="AQ37" s="7">
        <f>P37*0.00028565</f>
        <v/>
      </c>
      <c r="AR37" s="7">
        <f>Q37*0.00028565</f>
        <v/>
      </c>
      <c r="AS37" s="7">
        <f>R37*0.00028565</f>
        <v/>
      </c>
      <c r="AT37" s="7">
        <f>S37*0.00028565</f>
        <v/>
      </c>
      <c r="AU37" s="7">
        <f>T37*0.00028565</f>
        <v/>
      </c>
      <c r="AV37" s="7">
        <f>U37*0.00028565</f>
        <v/>
      </c>
      <c r="AW37" s="7">
        <f>V37*0.00028565</f>
        <v/>
      </c>
      <c r="AX37" s="7">
        <f>W37*0.00028565</f>
        <v/>
      </c>
      <c r="AY37" s="7">
        <f>X37*0.00028565</f>
        <v/>
      </c>
      <c r="AZ37" s="7">
        <f>Y37*0.00028565</f>
        <v/>
      </c>
      <c r="BA37" s="7">
        <f>Z37*0.00028565</f>
        <v/>
      </c>
      <c r="BB37" s="7">
        <f>SUM(AD37:BA37)</f>
        <v/>
      </c>
    </row>
    <row r="38">
      <c r="A38" t="inlineStr">
        <is>
          <t>AMD-FK-SSC</t>
        </is>
      </c>
      <c r="B38" t="inlineStr">
        <is>
          <t>Prime at Client side</t>
        </is>
      </c>
      <c r="C38" s="5" t="n">
        <v>46101</v>
      </c>
      <c r="D38" s="6">
        <f>Summary!D38</f>
        <v/>
      </c>
      <c r="E38" s="6">
        <f>Summary!E38</f>
        <v/>
      </c>
      <c r="F38" s="6">
        <f>Summary!F38</f>
        <v/>
      </c>
      <c r="G38" s="6">
        <f>Summary!G38</f>
        <v/>
      </c>
      <c r="H38" s="6">
        <f>Summary!H38</f>
        <v/>
      </c>
      <c r="I38" s="6">
        <f>Summary!I38</f>
        <v/>
      </c>
      <c r="J38" s="6">
        <f>Summary!J38</f>
        <v/>
      </c>
      <c r="K38" s="6">
        <f>Summary!K38</f>
        <v/>
      </c>
      <c r="L38" s="6">
        <f>Summary!L38</f>
        <v/>
      </c>
      <c r="M38" s="6">
        <f>Summary!M38</f>
        <v/>
      </c>
      <c r="N38" s="6">
        <f>Summary!N38</f>
        <v/>
      </c>
      <c r="O38" s="6">
        <f>Summary!O38</f>
        <v/>
      </c>
      <c r="P38" s="6">
        <f>Summary!P38</f>
        <v/>
      </c>
      <c r="Q38" s="6">
        <f>Summary!Q38</f>
        <v/>
      </c>
      <c r="R38" s="6">
        <f>Summary!R38</f>
        <v/>
      </c>
      <c r="S38" s="6">
        <f>Summary!S38</f>
        <v/>
      </c>
      <c r="T38" s="6">
        <f>Summary!T38</f>
        <v/>
      </c>
      <c r="U38" s="6">
        <f>Summary!U38</f>
        <v/>
      </c>
      <c r="V38" s="6">
        <f>Summary!V38</f>
        <v/>
      </c>
      <c r="W38" s="6">
        <f>Summary!W38</f>
        <v/>
      </c>
      <c r="X38" s="6">
        <f>Summary!X38</f>
        <v/>
      </c>
      <c r="Y38" s="6">
        <f>Summary!Y38</f>
        <v/>
      </c>
      <c r="Z38" s="6">
        <f>Summary!Z38</f>
        <v/>
      </c>
      <c r="AA38" s="6">
        <f>Summary!AA38</f>
        <v/>
      </c>
      <c r="AB38" s="6">
        <f>SUM(D38:AA38)</f>
        <v/>
      </c>
      <c r="AC38" s="3" t="inlineStr"/>
      <c r="AD38" s="7">
        <f>AA38*0.00028565</f>
        <v/>
      </c>
      <c r="AE38" s="7">
        <f>D38*0.00028565</f>
        <v/>
      </c>
      <c r="AF38" s="7">
        <f>E38*0.00028565</f>
        <v/>
      </c>
      <c r="AG38" s="7">
        <f>F38*0.00028565</f>
        <v/>
      </c>
      <c r="AH38" s="7">
        <f>G38*0.00028565</f>
        <v/>
      </c>
      <c r="AI38" s="7">
        <f>H38*0.00028565</f>
        <v/>
      </c>
      <c r="AJ38" s="7">
        <f>I38*0.00028565</f>
        <v/>
      </c>
      <c r="AK38" s="7">
        <f>J38*0.00028565</f>
        <v/>
      </c>
      <c r="AL38" s="7">
        <f>K38*0.00028565</f>
        <v/>
      </c>
      <c r="AM38" s="7">
        <f>L38*0.00028565</f>
        <v/>
      </c>
      <c r="AN38" s="7">
        <f>M38*0.00028565</f>
        <v/>
      </c>
      <c r="AO38" s="7">
        <f>N38*0.00028565</f>
        <v/>
      </c>
      <c r="AP38" s="7">
        <f>O38*0.00028565</f>
        <v/>
      </c>
      <c r="AQ38" s="7">
        <f>P38*0.00028565</f>
        <v/>
      </c>
      <c r="AR38" s="7">
        <f>Q38*0.00028565</f>
        <v/>
      </c>
      <c r="AS38" s="7">
        <f>R38*0.00028565</f>
        <v/>
      </c>
      <c r="AT38" s="7">
        <f>S38*0.00028565</f>
        <v/>
      </c>
      <c r="AU38" s="7">
        <f>T38*0.00028565</f>
        <v/>
      </c>
      <c r="AV38" s="7">
        <f>U38*0.00028565</f>
        <v/>
      </c>
      <c r="AW38" s="7">
        <f>V38*0.00028565</f>
        <v/>
      </c>
      <c r="AX38" s="7">
        <f>W38*0.00028565</f>
        <v/>
      </c>
      <c r="AY38" s="7">
        <f>X38*0.00028565</f>
        <v/>
      </c>
      <c r="AZ38" s="7">
        <f>Y38*0.00028565</f>
        <v/>
      </c>
      <c r="BA38" s="7">
        <f>Z38*0.00028565</f>
        <v/>
      </c>
      <c r="BB38" s="7">
        <f>SUM(AD38:BA38)</f>
        <v/>
      </c>
    </row>
    <row r="39">
      <c r="A39" t="inlineStr">
        <is>
          <t>AMD-FK-SSC</t>
        </is>
      </c>
      <c r="B39" t="inlineStr">
        <is>
          <t>Prime at Client side</t>
        </is>
      </c>
      <c r="C39" s="5" t="n">
        <v>46102</v>
      </c>
      <c r="D39" s="6">
        <f>Summary!D39</f>
        <v/>
      </c>
      <c r="E39" s="6">
        <f>Summary!E39</f>
        <v/>
      </c>
      <c r="F39" s="6">
        <f>Summary!F39</f>
        <v/>
      </c>
      <c r="G39" s="6">
        <f>Summary!G39</f>
        <v/>
      </c>
      <c r="H39" s="6">
        <f>Summary!H39</f>
        <v/>
      </c>
      <c r="I39" s="6">
        <f>Summary!I39</f>
        <v/>
      </c>
      <c r="J39" s="6">
        <f>Summary!J39</f>
        <v/>
      </c>
      <c r="K39" s="6">
        <f>Summary!K39</f>
        <v/>
      </c>
      <c r="L39" s="6">
        <f>Summary!L39</f>
        <v/>
      </c>
      <c r="M39" s="6">
        <f>Summary!M39</f>
        <v/>
      </c>
      <c r="N39" s="6">
        <f>Summary!N39</f>
        <v/>
      </c>
      <c r="O39" s="6">
        <f>Summary!O39</f>
        <v/>
      </c>
      <c r="P39" s="6">
        <f>Summary!P39</f>
        <v/>
      </c>
      <c r="Q39" s="6">
        <f>Summary!Q39</f>
        <v/>
      </c>
      <c r="R39" s="6">
        <f>Summary!R39</f>
        <v/>
      </c>
      <c r="S39" s="6">
        <f>Summary!S39</f>
        <v/>
      </c>
      <c r="T39" s="6">
        <f>Summary!T39</f>
        <v/>
      </c>
      <c r="U39" s="6">
        <f>Summary!U39</f>
        <v/>
      </c>
      <c r="V39" s="6">
        <f>Summary!V39</f>
        <v/>
      </c>
      <c r="W39" s="6">
        <f>Summary!W39</f>
        <v/>
      </c>
      <c r="X39" s="6">
        <f>Summary!X39</f>
        <v/>
      </c>
      <c r="Y39" s="6">
        <f>Summary!Y39</f>
        <v/>
      </c>
      <c r="Z39" s="6">
        <f>Summary!Z39</f>
        <v/>
      </c>
      <c r="AA39" s="6">
        <f>Summary!AA39</f>
        <v/>
      </c>
      <c r="AB39" s="6">
        <f>SUM(D39:AA39)</f>
        <v/>
      </c>
      <c r="AC39" s="3" t="inlineStr"/>
      <c r="AD39" s="7">
        <f>AA39*0.00028565</f>
        <v/>
      </c>
      <c r="AE39" s="7">
        <f>D39*0.00028565</f>
        <v/>
      </c>
      <c r="AF39" s="7">
        <f>E39*0.00028565</f>
        <v/>
      </c>
      <c r="AG39" s="7">
        <f>F39*0.00028565</f>
        <v/>
      </c>
      <c r="AH39" s="7">
        <f>G39*0.00028565</f>
        <v/>
      </c>
      <c r="AI39" s="7">
        <f>H39*0.00028565</f>
        <v/>
      </c>
      <c r="AJ39" s="7">
        <f>I39*0.00028565</f>
        <v/>
      </c>
      <c r="AK39" s="7">
        <f>J39*0.00028565</f>
        <v/>
      </c>
      <c r="AL39" s="7">
        <f>K39*0.00028565</f>
        <v/>
      </c>
      <c r="AM39" s="7">
        <f>L39*0.00028565</f>
        <v/>
      </c>
      <c r="AN39" s="7">
        <f>M39*0.00028565</f>
        <v/>
      </c>
      <c r="AO39" s="7">
        <f>N39*0.00028565</f>
        <v/>
      </c>
      <c r="AP39" s="7">
        <f>O39*0.00028565</f>
        <v/>
      </c>
      <c r="AQ39" s="7">
        <f>P39*0.00028565</f>
        <v/>
      </c>
      <c r="AR39" s="7">
        <f>Q39*0.00028565</f>
        <v/>
      </c>
      <c r="AS39" s="7">
        <f>R39*0.00028565</f>
        <v/>
      </c>
      <c r="AT39" s="7">
        <f>S39*0.00028565</f>
        <v/>
      </c>
      <c r="AU39" s="7">
        <f>T39*0.00028565</f>
        <v/>
      </c>
      <c r="AV39" s="7">
        <f>U39*0.00028565</f>
        <v/>
      </c>
      <c r="AW39" s="7">
        <f>V39*0.00028565</f>
        <v/>
      </c>
      <c r="AX39" s="7">
        <f>W39*0.00028565</f>
        <v/>
      </c>
      <c r="AY39" s="7">
        <f>X39*0.00028565</f>
        <v/>
      </c>
      <c r="AZ39" s="7">
        <f>Y39*0.00028565</f>
        <v/>
      </c>
      <c r="BA39" s="7">
        <f>Z39*0.00028565</f>
        <v/>
      </c>
      <c r="BB39" s="7">
        <f>SUM(AD39:BA39)</f>
        <v/>
      </c>
    </row>
    <row r="40">
      <c r="A40" t="inlineStr">
        <is>
          <t>AMD-FK-SSC</t>
        </is>
      </c>
      <c r="B40" t="inlineStr">
        <is>
          <t>Prime at Client side</t>
        </is>
      </c>
      <c r="C40" s="5" t="n">
        <v>46103</v>
      </c>
      <c r="D40" s="6">
        <f>Summary!D40</f>
        <v/>
      </c>
      <c r="E40" s="6">
        <f>Summary!E40</f>
        <v/>
      </c>
      <c r="F40" s="6">
        <f>Summary!F40</f>
        <v/>
      </c>
      <c r="G40" s="6">
        <f>Summary!G40</f>
        <v/>
      </c>
      <c r="H40" s="6">
        <f>Summary!H40</f>
        <v/>
      </c>
      <c r="I40" s="6">
        <f>Summary!I40</f>
        <v/>
      </c>
      <c r="J40" s="6">
        <f>Summary!J40</f>
        <v/>
      </c>
      <c r="K40" s="6">
        <f>Summary!K40</f>
        <v/>
      </c>
      <c r="L40" s="6">
        <f>Summary!L40</f>
        <v/>
      </c>
      <c r="M40" s="6">
        <f>Summary!M40</f>
        <v/>
      </c>
      <c r="N40" s="6">
        <f>Summary!N40</f>
        <v/>
      </c>
      <c r="O40" s="6">
        <f>Summary!O40</f>
        <v/>
      </c>
      <c r="P40" s="6">
        <f>Summary!P40</f>
        <v/>
      </c>
      <c r="Q40" s="6">
        <f>Summary!Q40</f>
        <v/>
      </c>
      <c r="R40" s="6">
        <f>Summary!R40</f>
        <v/>
      </c>
      <c r="S40" s="6">
        <f>Summary!S40</f>
        <v/>
      </c>
      <c r="T40" s="6">
        <f>Summary!T40</f>
        <v/>
      </c>
      <c r="U40" s="6">
        <f>Summary!U40</f>
        <v/>
      </c>
      <c r="V40" s="6">
        <f>Summary!V40</f>
        <v/>
      </c>
      <c r="W40" s="6">
        <f>Summary!W40</f>
        <v/>
      </c>
      <c r="X40" s="6">
        <f>Summary!X40</f>
        <v/>
      </c>
      <c r="Y40" s="6">
        <f>Summary!Y40</f>
        <v/>
      </c>
      <c r="Z40" s="6">
        <f>Summary!Z40</f>
        <v/>
      </c>
      <c r="AA40" s="6">
        <f>Summary!AA40</f>
        <v/>
      </c>
      <c r="AB40" s="6">
        <f>SUM(D40:AA40)</f>
        <v/>
      </c>
      <c r="AC40" s="3" t="inlineStr"/>
      <c r="AD40" s="7">
        <f>AA40*0.00028565</f>
        <v/>
      </c>
      <c r="AE40" s="7">
        <f>D40*0.00028565</f>
        <v/>
      </c>
      <c r="AF40" s="7">
        <f>E40*0.00028565</f>
        <v/>
      </c>
      <c r="AG40" s="7">
        <f>F40*0.00028565</f>
        <v/>
      </c>
      <c r="AH40" s="7">
        <f>G40*0.00028565</f>
        <v/>
      </c>
      <c r="AI40" s="7">
        <f>H40*0.00028565</f>
        <v/>
      </c>
      <c r="AJ40" s="7">
        <f>I40*0.00028565</f>
        <v/>
      </c>
      <c r="AK40" s="7">
        <f>J40*0.00028565</f>
        <v/>
      </c>
      <c r="AL40" s="7">
        <f>K40*0.00028565</f>
        <v/>
      </c>
      <c r="AM40" s="7">
        <f>L40*0.00028565</f>
        <v/>
      </c>
      <c r="AN40" s="7">
        <f>M40*0.00028565</f>
        <v/>
      </c>
      <c r="AO40" s="7">
        <f>N40*0.00028565</f>
        <v/>
      </c>
      <c r="AP40" s="7">
        <f>O40*0.00028565</f>
        <v/>
      </c>
      <c r="AQ40" s="7">
        <f>P40*0.00028565</f>
        <v/>
      </c>
      <c r="AR40" s="7">
        <f>Q40*0.00028565</f>
        <v/>
      </c>
      <c r="AS40" s="7">
        <f>R40*0.00028565</f>
        <v/>
      </c>
      <c r="AT40" s="7">
        <f>S40*0.00028565</f>
        <v/>
      </c>
      <c r="AU40" s="7">
        <f>T40*0.00028565</f>
        <v/>
      </c>
      <c r="AV40" s="7">
        <f>U40*0.00028565</f>
        <v/>
      </c>
      <c r="AW40" s="7">
        <f>V40*0.00028565</f>
        <v/>
      </c>
      <c r="AX40" s="7">
        <f>W40*0.00028565</f>
        <v/>
      </c>
      <c r="AY40" s="7">
        <f>X40*0.00028565</f>
        <v/>
      </c>
      <c r="AZ40" s="7">
        <f>Y40*0.00028565</f>
        <v/>
      </c>
      <c r="BA40" s="7">
        <f>Z40*0.00028565</f>
        <v/>
      </c>
      <c r="BB40" s="7">
        <f>SUM(AD40:BA40)</f>
        <v/>
      </c>
    </row>
    <row r="41">
      <c r="A41" t="inlineStr">
        <is>
          <t>AMD-FK-SSC</t>
        </is>
      </c>
      <c r="B41" t="inlineStr">
        <is>
          <t>Prime at Client side</t>
        </is>
      </c>
      <c r="C41" s="5" t="n">
        <v>46104</v>
      </c>
      <c r="D41" s="6">
        <f>Summary!D41</f>
        <v/>
      </c>
      <c r="E41" s="6">
        <f>Summary!E41</f>
        <v/>
      </c>
      <c r="F41" s="6">
        <f>Summary!F41</f>
        <v/>
      </c>
      <c r="G41" s="6">
        <f>Summary!G41</f>
        <v/>
      </c>
      <c r="H41" s="6">
        <f>Summary!H41</f>
        <v/>
      </c>
      <c r="I41" s="6">
        <f>Summary!I41</f>
        <v/>
      </c>
      <c r="J41" s="6">
        <f>Summary!J41</f>
        <v/>
      </c>
      <c r="K41" s="6">
        <f>Summary!K41</f>
        <v/>
      </c>
      <c r="L41" s="6">
        <f>Summary!L41</f>
        <v/>
      </c>
      <c r="M41" s="6">
        <f>Summary!M41</f>
        <v/>
      </c>
      <c r="N41" s="6">
        <f>Summary!N41</f>
        <v/>
      </c>
      <c r="O41" s="6">
        <f>Summary!O41</f>
        <v/>
      </c>
      <c r="P41" s="6">
        <f>Summary!P41</f>
        <v/>
      </c>
      <c r="Q41" s="6">
        <f>Summary!Q41</f>
        <v/>
      </c>
      <c r="R41" s="6">
        <f>Summary!R41</f>
        <v/>
      </c>
      <c r="S41" s="6">
        <f>Summary!S41</f>
        <v/>
      </c>
      <c r="T41" s="6">
        <f>Summary!T41</f>
        <v/>
      </c>
      <c r="U41" s="6">
        <f>Summary!U41</f>
        <v/>
      </c>
      <c r="V41" s="6">
        <f>Summary!V41</f>
        <v/>
      </c>
      <c r="W41" s="6">
        <f>Summary!W41</f>
        <v/>
      </c>
      <c r="X41" s="6">
        <f>Summary!X41</f>
        <v/>
      </c>
      <c r="Y41" s="6">
        <f>Summary!Y41</f>
        <v/>
      </c>
      <c r="Z41" s="6">
        <f>Summary!Z41</f>
        <v/>
      </c>
      <c r="AA41" s="6">
        <f>Summary!AA41</f>
        <v/>
      </c>
      <c r="AB41" s="6">
        <f>SUM(D41:AA41)</f>
        <v/>
      </c>
      <c r="AC41" s="3" t="inlineStr"/>
      <c r="AD41" s="7">
        <f>AA41*0.00028565</f>
        <v/>
      </c>
      <c r="AE41" s="7">
        <f>D41*0.00028565</f>
        <v/>
      </c>
      <c r="AF41" s="7">
        <f>E41*0.00028565</f>
        <v/>
      </c>
      <c r="AG41" s="7">
        <f>F41*0.00028565</f>
        <v/>
      </c>
      <c r="AH41" s="7">
        <f>G41*0.00028565</f>
        <v/>
      </c>
      <c r="AI41" s="7">
        <f>H41*0.00028565</f>
        <v/>
      </c>
      <c r="AJ41" s="7">
        <f>I41*0.00028565</f>
        <v/>
      </c>
      <c r="AK41" s="7">
        <f>J41*0.00028565</f>
        <v/>
      </c>
      <c r="AL41" s="7">
        <f>K41*0.00028565</f>
        <v/>
      </c>
      <c r="AM41" s="7">
        <f>L41*0.00028565</f>
        <v/>
      </c>
      <c r="AN41" s="7">
        <f>M41*0.00028565</f>
        <v/>
      </c>
      <c r="AO41" s="7">
        <f>N41*0.00028565</f>
        <v/>
      </c>
      <c r="AP41" s="7">
        <f>O41*0.00028565</f>
        <v/>
      </c>
      <c r="AQ41" s="7">
        <f>P41*0.00028565</f>
        <v/>
      </c>
      <c r="AR41" s="7">
        <f>Q41*0.00028565</f>
        <v/>
      </c>
      <c r="AS41" s="7">
        <f>R41*0.00028565</f>
        <v/>
      </c>
      <c r="AT41" s="7">
        <f>S41*0.00028565</f>
        <v/>
      </c>
      <c r="AU41" s="7">
        <f>T41*0.00028565</f>
        <v/>
      </c>
      <c r="AV41" s="7">
        <f>U41*0.00028565</f>
        <v/>
      </c>
      <c r="AW41" s="7">
        <f>V41*0.00028565</f>
        <v/>
      </c>
      <c r="AX41" s="7">
        <f>W41*0.00028565</f>
        <v/>
      </c>
      <c r="AY41" s="7">
        <f>X41*0.00028565</f>
        <v/>
      </c>
      <c r="AZ41" s="7">
        <f>Y41*0.00028565</f>
        <v/>
      </c>
      <c r="BA41" s="7">
        <f>Z41*0.00028565</f>
        <v/>
      </c>
      <c r="BB41" s="7">
        <f>SUM(AD41:BA41)</f>
        <v/>
      </c>
    </row>
    <row r="42">
      <c r="A42" t="inlineStr">
        <is>
          <t>AMD-FK-SSC</t>
        </is>
      </c>
      <c r="B42" t="inlineStr">
        <is>
          <t>Prime at Client side</t>
        </is>
      </c>
      <c r="C42" s="5" t="n">
        <v>46105</v>
      </c>
      <c r="D42" s="6">
        <f>Summary!D42</f>
        <v/>
      </c>
      <c r="E42" s="6">
        <f>Summary!E42</f>
        <v/>
      </c>
      <c r="F42" s="6">
        <f>Summary!F42</f>
        <v/>
      </c>
      <c r="G42" s="6">
        <f>Summary!G42</f>
        <v/>
      </c>
      <c r="H42" s="6">
        <f>Summary!H42</f>
        <v/>
      </c>
      <c r="I42" s="6">
        <f>Summary!I42</f>
        <v/>
      </c>
      <c r="J42" s="6">
        <f>Summary!J42</f>
        <v/>
      </c>
      <c r="K42" s="6">
        <f>Summary!K42</f>
        <v/>
      </c>
      <c r="L42" s="6">
        <f>Summary!L42</f>
        <v/>
      </c>
      <c r="M42" s="6">
        <f>Summary!M42</f>
        <v/>
      </c>
      <c r="N42" s="6">
        <f>Summary!N42</f>
        <v/>
      </c>
      <c r="O42" s="6">
        <f>Summary!O42</f>
        <v/>
      </c>
      <c r="P42" s="6">
        <f>Summary!P42</f>
        <v/>
      </c>
      <c r="Q42" s="6">
        <f>Summary!Q42</f>
        <v/>
      </c>
      <c r="R42" s="6">
        <f>Summary!R42</f>
        <v/>
      </c>
      <c r="S42" s="6">
        <f>Summary!S42</f>
        <v/>
      </c>
      <c r="T42" s="6">
        <f>Summary!T42</f>
        <v/>
      </c>
      <c r="U42" s="6">
        <f>Summary!U42</f>
        <v/>
      </c>
      <c r="V42" s="6">
        <f>Summary!V42</f>
        <v/>
      </c>
      <c r="W42" s="6">
        <f>Summary!W42</f>
        <v/>
      </c>
      <c r="X42" s="6">
        <f>Summary!X42</f>
        <v/>
      </c>
      <c r="Y42" s="6">
        <f>Summary!Y42</f>
        <v/>
      </c>
      <c r="Z42" s="6">
        <f>Summary!Z42</f>
        <v/>
      </c>
      <c r="AA42" s="6">
        <f>Summary!AA42</f>
        <v/>
      </c>
      <c r="AB42" s="6">
        <f>SUM(D42:AA42)</f>
        <v/>
      </c>
      <c r="AC42" s="3" t="inlineStr"/>
      <c r="AD42" s="7">
        <f>AA42*0.00028565</f>
        <v/>
      </c>
      <c r="AE42" s="7">
        <f>D42*0.00028565</f>
        <v/>
      </c>
      <c r="AF42" s="7">
        <f>E42*0.00028565</f>
        <v/>
      </c>
      <c r="AG42" s="7">
        <f>F42*0.00028565</f>
        <v/>
      </c>
      <c r="AH42" s="7">
        <f>G42*0.00028565</f>
        <v/>
      </c>
      <c r="AI42" s="7">
        <f>H42*0.00028565</f>
        <v/>
      </c>
      <c r="AJ42" s="7">
        <f>I42*0.00028565</f>
        <v/>
      </c>
      <c r="AK42" s="7">
        <f>J42*0.00028565</f>
        <v/>
      </c>
      <c r="AL42" s="7">
        <f>K42*0.00028565</f>
        <v/>
      </c>
      <c r="AM42" s="7">
        <f>L42*0.00028565</f>
        <v/>
      </c>
      <c r="AN42" s="7">
        <f>M42*0.00028565</f>
        <v/>
      </c>
      <c r="AO42" s="7">
        <f>N42*0.00028565</f>
        <v/>
      </c>
      <c r="AP42" s="7">
        <f>O42*0.00028565</f>
        <v/>
      </c>
      <c r="AQ42" s="7">
        <f>P42*0.00028565</f>
        <v/>
      </c>
      <c r="AR42" s="7">
        <f>Q42*0.00028565</f>
        <v/>
      </c>
      <c r="AS42" s="7">
        <f>R42*0.00028565</f>
        <v/>
      </c>
      <c r="AT42" s="7">
        <f>S42*0.00028565</f>
        <v/>
      </c>
      <c r="AU42" s="7">
        <f>T42*0.00028565</f>
        <v/>
      </c>
      <c r="AV42" s="7">
        <f>U42*0.00028565</f>
        <v/>
      </c>
      <c r="AW42" s="7">
        <f>V42*0.00028565</f>
        <v/>
      </c>
      <c r="AX42" s="7">
        <f>W42*0.00028565</f>
        <v/>
      </c>
      <c r="AY42" s="7">
        <f>X42*0.00028565</f>
        <v/>
      </c>
      <c r="AZ42" s="7">
        <f>Y42*0.00028565</f>
        <v/>
      </c>
      <c r="BA42" s="7">
        <f>Z42*0.00028565</f>
        <v/>
      </c>
      <c r="BB42" s="7">
        <f>SUM(AD42:BA42)</f>
        <v/>
      </c>
    </row>
    <row r="43">
      <c r="A43" t="inlineStr">
        <is>
          <t>AMD-FWDPRI-SSC</t>
        </is>
      </c>
      <c r="B43" t="inlineStr">
        <is>
          <t>FWD Priority OSC</t>
        </is>
      </c>
      <c r="C43" s="5" t="n">
        <v>46098</v>
      </c>
      <c r="D43" s="6">
        <f>Summary!D43</f>
        <v/>
      </c>
      <c r="E43" s="6">
        <f>Summary!E43</f>
        <v/>
      </c>
      <c r="F43" s="6">
        <f>Summary!F43</f>
        <v/>
      </c>
      <c r="G43" s="6">
        <f>Summary!G43</f>
        <v/>
      </c>
      <c r="H43" s="6">
        <f>Summary!H43</f>
        <v/>
      </c>
      <c r="I43" s="6">
        <f>Summary!I43</f>
        <v/>
      </c>
      <c r="J43" s="6">
        <f>Summary!J43</f>
        <v/>
      </c>
      <c r="K43" s="6">
        <f>Summary!K43</f>
        <v/>
      </c>
      <c r="L43" s="6">
        <f>Summary!L43</f>
        <v/>
      </c>
      <c r="M43" s="6">
        <f>Summary!M43</f>
        <v/>
      </c>
      <c r="N43" s="6">
        <f>Summary!N43</f>
        <v/>
      </c>
      <c r="O43" s="6">
        <f>Summary!O43</f>
        <v/>
      </c>
      <c r="P43" s="6">
        <f>Summary!P43</f>
        <v/>
      </c>
      <c r="Q43" s="6">
        <f>Summary!Q43</f>
        <v/>
      </c>
      <c r="R43" s="6">
        <f>Summary!R43</f>
        <v/>
      </c>
      <c r="S43" s="6">
        <f>Summary!S43</f>
        <v/>
      </c>
      <c r="T43" s="6">
        <f>Summary!T43</f>
        <v/>
      </c>
      <c r="U43" s="6">
        <f>Summary!U43</f>
        <v/>
      </c>
      <c r="V43" s="6">
        <f>Summary!V43</f>
        <v/>
      </c>
      <c r="W43" s="6">
        <f>Summary!W43</f>
        <v/>
      </c>
      <c r="X43" s="6">
        <f>Summary!X43</f>
        <v/>
      </c>
      <c r="Y43" s="6">
        <f>Summary!Y43</f>
        <v/>
      </c>
      <c r="Z43" s="6">
        <f>Summary!Z43</f>
        <v/>
      </c>
      <c r="AA43" s="6">
        <f>Summary!AA43</f>
        <v/>
      </c>
      <c r="AB43" s="6">
        <f>SUM(D43:AA43)</f>
        <v/>
      </c>
      <c r="AC43" s="3" t="inlineStr"/>
      <c r="AD43" s="7">
        <f>AA43*0.00028565</f>
        <v/>
      </c>
      <c r="AE43" s="7">
        <f>D43*0.00028565</f>
        <v/>
      </c>
      <c r="AF43" s="7">
        <f>E43*0.00028565</f>
        <v/>
      </c>
      <c r="AG43" s="7">
        <f>F43*0.00028565</f>
        <v/>
      </c>
      <c r="AH43" s="7">
        <f>G43*0.00028565</f>
        <v/>
      </c>
      <c r="AI43" s="7">
        <f>H43*0.00028565</f>
        <v/>
      </c>
      <c r="AJ43" s="7">
        <f>I43*0.00028565</f>
        <v/>
      </c>
      <c r="AK43" s="7">
        <f>J43*0.00028565</f>
        <v/>
      </c>
      <c r="AL43" s="7">
        <f>K43*0.00028565</f>
        <v/>
      </c>
      <c r="AM43" s="7">
        <f>L43*0.00028565</f>
        <v/>
      </c>
      <c r="AN43" s="7">
        <f>M43*0.00028565</f>
        <v/>
      </c>
      <c r="AO43" s="7">
        <f>N43*0.00028565</f>
        <v/>
      </c>
      <c r="AP43" s="7">
        <f>O43*0.00028565</f>
        <v/>
      </c>
      <c r="AQ43" s="7">
        <f>P43*0.00028565</f>
        <v/>
      </c>
      <c r="AR43" s="7">
        <f>Q43*0.00028565</f>
        <v/>
      </c>
      <c r="AS43" s="7">
        <f>R43*0.00028565</f>
        <v/>
      </c>
      <c r="AT43" s="7">
        <f>S43*0.00028565</f>
        <v/>
      </c>
      <c r="AU43" s="7">
        <f>T43*0.00028565</f>
        <v/>
      </c>
      <c r="AV43" s="7">
        <f>U43*0.00028565</f>
        <v/>
      </c>
      <c r="AW43" s="7">
        <f>V43*0.00028565</f>
        <v/>
      </c>
      <c r="AX43" s="7">
        <f>W43*0.00028565</f>
        <v/>
      </c>
      <c r="AY43" s="7">
        <f>X43*0.00028565</f>
        <v/>
      </c>
      <c r="AZ43" s="7">
        <f>Y43*0.00028565</f>
        <v/>
      </c>
      <c r="BA43" s="7">
        <f>Z43*0.00028565</f>
        <v/>
      </c>
      <c r="BB43" s="7">
        <f>SUM(AD43:BA43)</f>
        <v/>
      </c>
    </row>
    <row r="44">
      <c r="A44" t="inlineStr">
        <is>
          <t>AMD-FWDPRI-SSC</t>
        </is>
      </c>
      <c r="B44" t="inlineStr">
        <is>
          <t>FWD Priority OSC</t>
        </is>
      </c>
      <c r="C44" s="5" t="n">
        <v>46099</v>
      </c>
      <c r="D44" s="6">
        <f>Summary!D44</f>
        <v/>
      </c>
      <c r="E44" s="6">
        <f>Summary!E44</f>
        <v/>
      </c>
      <c r="F44" s="6">
        <f>Summary!F44</f>
        <v/>
      </c>
      <c r="G44" s="6">
        <f>Summary!G44</f>
        <v/>
      </c>
      <c r="H44" s="6">
        <f>Summary!H44</f>
        <v/>
      </c>
      <c r="I44" s="6">
        <f>Summary!I44</f>
        <v/>
      </c>
      <c r="J44" s="6">
        <f>Summary!J44</f>
        <v/>
      </c>
      <c r="K44" s="6">
        <f>Summary!K44</f>
        <v/>
      </c>
      <c r="L44" s="6">
        <f>Summary!L44</f>
        <v/>
      </c>
      <c r="M44" s="6">
        <f>Summary!M44</f>
        <v/>
      </c>
      <c r="N44" s="6">
        <f>Summary!N44</f>
        <v/>
      </c>
      <c r="O44" s="6">
        <f>Summary!O44</f>
        <v/>
      </c>
      <c r="P44" s="6">
        <f>Summary!P44</f>
        <v/>
      </c>
      <c r="Q44" s="6">
        <f>Summary!Q44</f>
        <v/>
      </c>
      <c r="R44" s="6">
        <f>Summary!R44</f>
        <v/>
      </c>
      <c r="S44" s="6">
        <f>Summary!S44</f>
        <v/>
      </c>
      <c r="T44" s="6">
        <f>Summary!T44</f>
        <v/>
      </c>
      <c r="U44" s="6">
        <f>Summary!U44</f>
        <v/>
      </c>
      <c r="V44" s="6">
        <f>Summary!V44</f>
        <v/>
      </c>
      <c r="W44" s="6">
        <f>Summary!W44</f>
        <v/>
      </c>
      <c r="X44" s="6">
        <f>Summary!X44</f>
        <v/>
      </c>
      <c r="Y44" s="6">
        <f>Summary!Y44</f>
        <v/>
      </c>
      <c r="Z44" s="6">
        <f>Summary!Z44</f>
        <v/>
      </c>
      <c r="AA44" s="6">
        <f>Summary!AA44</f>
        <v/>
      </c>
      <c r="AB44" s="6">
        <f>SUM(D44:AA44)</f>
        <v/>
      </c>
      <c r="AC44" s="3" t="inlineStr"/>
      <c r="AD44" s="7">
        <f>AA44*0.00028565</f>
        <v/>
      </c>
      <c r="AE44" s="7">
        <f>D44*0.00028565</f>
        <v/>
      </c>
      <c r="AF44" s="7">
        <f>E44*0.00028565</f>
        <v/>
      </c>
      <c r="AG44" s="7">
        <f>F44*0.00028565</f>
        <v/>
      </c>
      <c r="AH44" s="7">
        <f>G44*0.00028565</f>
        <v/>
      </c>
      <c r="AI44" s="7">
        <f>H44*0.00028565</f>
        <v/>
      </c>
      <c r="AJ44" s="7">
        <f>I44*0.00028565</f>
        <v/>
      </c>
      <c r="AK44" s="7">
        <f>J44*0.00028565</f>
        <v/>
      </c>
      <c r="AL44" s="7">
        <f>K44*0.00028565</f>
        <v/>
      </c>
      <c r="AM44" s="7">
        <f>L44*0.00028565</f>
        <v/>
      </c>
      <c r="AN44" s="7">
        <f>M44*0.00028565</f>
        <v/>
      </c>
      <c r="AO44" s="7">
        <f>N44*0.00028565</f>
        <v/>
      </c>
      <c r="AP44" s="7">
        <f>O44*0.00028565</f>
        <v/>
      </c>
      <c r="AQ44" s="7">
        <f>P44*0.00028565</f>
        <v/>
      </c>
      <c r="AR44" s="7">
        <f>Q44*0.00028565</f>
        <v/>
      </c>
      <c r="AS44" s="7">
        <f>R44*0.00028565</f>
        <v/>
      </c>
      <c r="AT44" s="7">
        <f>S44*0.00028565</f>
        <v/>
      </c>
      <c r="AU44" s="7">
        <f>T44*0.00028565</f>
        <v/>
      </c>
      <c r="AV44" s="7">
        <f>U44*0.00028565</f>
        <v/>
      </c>
      <c r="AW44" s="7">
        <f>V44*0.00028565</f>
        <v/>
      </c>
      <c r="AX44" s="7">
        <f>W44*0.00028565</f>
        <v/>
      </c>
      <c r="AY44" s="7">
        <f>X44*0.00028565</f>
        <v/>
      </c>
      <c r="AZ44" s="7">
        <f>Y44*0.00028565</f>
        <v/>
      </c>
      <c r="BA44" s="7">
        <f>Z44*0.00028565</f>
        <v/>
      </c>
      <c r="BB44" s="7">
        <f>SUM(AD44:BA44)</f>
        <v/>
      </c>
    </row>
    <row r="45">
      <c r="A45" t="inlineStr">
        <is>
          <t>AMD-FWDPRI-SSC</t>
        </is>
      </c>
      <c r="B45" t="inlineStr">
        <is>
          <t>FWD Priority OSC</t>
        </is>
      </c>
      <c r="C45" s="5" t="n">
        <v>46100</v>
      </c>
      <c r="D45" s="6">
        <f>Summary!D45</f>
        <v/>
      </c>
      <c r="E45" s="6">
        <f>Summary!E45</f>
        <v/>
      </c>
      <c r="F45" s="6">
        <f>Summary!F45</f>
        <v/>
      </c>
      <c r="G45" s="6">
        <f>Summary!G45</f>
        <v/>
      </c>
      <c r="H45" s="6">
        <f>Summary!H45</f>
        <v/>
      </c>
      <c r="I45" s="6">
        <f>Summary!I45</f>
        <v/>
      </c>
      <c r="J45" s="6">
        <f>Summary!J45</f>
        <v/>
      </c>
      <c r="K45" s="6">
        <f>Summary!K45</f>
        <v/>
      </c>
      <c r="L45" s="6">
        <f>Summary!L45</f>
        <v/>
      </c>
      <c r="M45" s="6">
        <f>Summary!M45</f>
        <v/>
      </c>
      <c r="N45" s="6">
        <f>Summary!N45</f>
        <v/>
      </c>
      <c r="O45" s="6">
        <f>Summary!O45</f>
        <v/>
      </c>
      <c r="P45" s="6">
        <f>Summary!P45</f>
        <v/>
      </c>
      <c r="Q45" s="6">
        <f>Summary!Q45</f>
        <v/>
      </c>
      <c r="R45" s="6">
        <f>Summary!R45</f>
        <v/>
      </c>
      <c r="S45" s="6">
        <f>Summary!S45</f>
        <v/>
      </c>
      <c r="T45" s="6">
        <f>Summary!T45</f>
        <v/>
      </c>
      <c r="U45" s="6">
        <f>Summary!U45</f>
        <v/>
      </c>
      <c r="V45" s="6">
        <f>Summary!V45</f>
        <v/>
      </c>
      <c r="W45" s="6">
        <f>Summary!W45</f>
        <v/>
      </c>
      <c r="X45" s="6">
        <f>Summary!X45</f>
        <v/>
      </c>
      <c r="Y45" s="6">
        <f>Summary!Y45</f>
        <v/>
      </c>
      <c r="Z45" s="6">
        <f>Summary!Z45</f>
        <v/>
      </c>
      <c r="AA45" s="6">
        <f>Summary!AA45</f>
        <v/>
      </c>
      <c r="AB45" s="6">
        <f>SUM(D45:AA45)</f>
        <v/>
      </c>
      <c r="AC45" s="3" t="inlineStr"/>
      <c r="AD45" s="7">
        <f>AA45*0.00028565</f>
        <v/>
      </c>
      <c r="AE45" s="7">
        <f>D45*0.00028565</f>
        <v/>
      </c>
      <c r="AF45" s="7">
        <f>E45*0.00028565</f>
        <v/>
      </c>
      <c r="AG45" s="7">
        <f>F45*0.00028565</f>
        <v/>
      </c>
      <c r="AH45" s="7">
        <f>G45*0.00028565</f>
        <v/>
      </c>
      <c r="AI45" s="7">
        <f>H45*0.00028565</f>
        <v/>
      </c>
      <c r="AJ45" s="7">
        <f>I45*0.00028565</f>
        <v/>
      </c>
      <c r="AK45" s="7">
        <f>J45*0.00028565</f>
        <v/>
      </c>
      <c r="AL45" s="7">
        <f>K45*0.00028565</f>
        <v/>
      </c>
      <c r="AM45" s="7">
        <f>L45*0.00028565</f>
        <v/>
      </c>
      <c r="AN45" s="7">
        <f>M45*0.00028565</f>
        <v/>
      </c>
      <c r="AO45" s="7">
        <f>N45*0.00028565</f>
        <v/>
      </c>
      <c r="AP45" s="7">
        <f>O45*0.00028565</f>
        <v/>
      </c>
      <c r="AQ45" s="7">
        <f>P45*0.00028565</f>
        <v/>
      </c>
      <c r="AR45" s="7">
        <f>Q45*0.00028565</f>
        <v/>
      </c>
      <c r="AS45" s="7">
        <f>R45*0.00028565</f>
        <v/>
      </c>
      <c r="AT45" s="7">
        <f>S45*0.00028565</f>
        <v/>
      </c>
      <c r="AU45" s="7">
        <f>T45*0.00028565</f>
        <v/>
      </c>
      <c r="AV45" s="7">
        <f>U45*0.00028565</f>
        <v/>
      </c>
      <c r="AW45" s="7">
        <f>V45*0.00028565</f>
        <v/>
      </c>
      <c r="AX45" s="7">
        <f>W45*0.00028565</f>
        <v/>
      </c>
      <c r="AY45" s="7">
        <f>X45*0.00028565</f>
        <v/>
      </c>
      <c r="AZ45" s="7">
        <f>Y45*0.00028565</f>
        <v/>
      </c>
      <c r="BA45" s="7">
        <f>Z45*0.00028565</f>
        <v/>
      </c>
      <c r="BB45" s="7">
        <f>SUM(AD45:BA45)</f>
        <v/>
      </c>
    </row>
    <row r="46">
      <c r="A46" t="inlineStr">
        <is>
          <t>AMD-FWDPRI-SSC</t>
        </is>
      </c>
      <c r="B46" t="inlineStr">
        <is>
          <t>FWD Priority OSC</t>
        </is>
      </c>
      <c r="C46" s="5" t="n">
        <v>46101</v>
      </c>
      <c r="D46" s="6">
        <f>Summary!D46</f>
        <v/>
      </c>
      <c r="E46" s="6">
        <f>Summary!E46</f>
        <v/>
      </c>
      <c r="F46" s="6">
        <f>Summary!F46</f>
        <v/>
      </c>
      <c r="G46" s="6">
        <f>Summary!G46</f>
        <v/>
      </c>
      <c r="H46" s="6">
        <f>Summary!H46</f>
        <v/>
      </c>
      <c r="I46" s="6">
        <f>Summary!I46</f>
        <v/>
      </c>
      <c r="J46" s="6">
        <f>Summary!J46</f>
        <v/>
      </c>
      <c r="K46" s="6">
        <f>Summary!K46</f>
        <v/>
      </c>
      <c r="L46" s="6">
        <f>Summary!L46</f>
        <v/>
      </c>
      <c r="M46" s="6">
        <f>Summary!M46</f>
        <v/>
      </c>
      <c r="N46" s="6">
        <f>Summary!N46</f>
        <v/>
      </c>
      <c r="O46" s="6">
        <f>Summary!O46</f>
        <v/>
      </c>
      <c r="P46" s="6">
        <f>Summary!P46</f>
        <v/>
      </c>
      <c r="Q46" s="6">
        <f>Summary!Q46</f>
        <v/>
      </c>
      <c r="R46" s="6">
        <f>Summary!R46</f>
        <v/>
      </c>
      <c r="S46" s="6">
        <f>Summary!S46</f>
        <v/>
      </c>
      <c r="T46" s="6">
        <f>Summary!T46</f>
        <v/>
      </c>
      <c r="U46" s="6">
        <f>Summary!U46</f>
        <v/>
      </c>
      <c r="V46" s="6">
        <f>Summary!V46</f>
        <v/>
      </c>
      <c r="W46" s="6">
        <f>Summary!W46</f>
        <v/>
      </c>
      <c r="X46" s="6">
        <f>Summary!X46</f>
        <v/>
      </c>
      <c r="Y46" s="6">
        <f>Summary!Y46</f>
        <v/>
      </c>
      <c r="Z46" s="6">
        <f>Summary!Z46</f>
        <v/>
      </c>
      <c r="AA46" s="6">
        <f>Summary!AA46</f>
        <v/>
      </c>
      <c r="AB46" s="6">
        <f>SUM(D46:AA46)</f>
        <v/>
      </c>
      <c r="AC46" s="3" t="inlineStr"/>
      <c r="AD46" s="7">
        <f>AA46*0.00028565</f>
        <v/>
      </c>
      <c r="AE46" s="7">
        <f>D46*0.00028565</f>
        <v/>
      </c>
      <c r="AF46" s="7">
        <f>E46*0.00028565</f>
        <v/>
      </c>
      <c r="AG46" s="7">
        <f>F46*0.00028565</f>
        <v/>
      </c>
      <c r="AH46" s="7">
        <f>G46*0.00028565</f>
        <v/>
      </c>
      <c r="AI46" s="7">
        <f>H46*0.00028565</f>
        <v/>
      </c>
      <c r="AJ46" s="7">
        <f>I46*0.00028565</f>
        <v/>
      </c>
      <c r="AK46" s="7">
        <f>J46*0.00028565</f>
        <v/>
      </c>
      <c r="AL46" s="7">
        <f>K46*0.00028565</f>
        <v/>
      </c>
      <c r="AM46" s="7">
        <f>L46*0.00028565</f>
        <v/>
      </c>
      <c r="AN46" s="7">
        <f>M46*0.00028565</f>
        <v/>
      </c>
      <c r="AO46" s="7">
        <f>N46*0.00028565</f>
        <v/>
      </c>
      <c r="AP46" s="7">
        <f>O46*0.00028565</f>
        <v/>
      </c>
      <c r="AQ46" s="7">
        <f>P46*0.00028565</f>
        <v/>
      </c>
      <c r="AR46" s="7">
        <f>Q46*0.00028565</f>
        <v/>
      </c>
      <c r="AS46" s="7">
        <f>R46*0.00028565</f>
        <v/>
      </c>
      <c r="AT46" s="7">
        <f>S46*0.00028565</f>
        <v/>
      </c>
      <c r="AU46" s="7">
        <f>T46*0.00028565</f>
        <v/>
      </c>
      <c r="AV46" s="7">
        <f>U46*0.00028565</f>
        <v/>
      </c>
      <c r="AW46" s="7">
        <f>V46*0.00028565</f>
        <v/>
      </c>
      <c r="AX46" s="7">
        <f>W46*0.00028565</f>
        <v/>
      </c>
      <c r="AY46" s="7">
        <f>X46*0.00028565</f>
        <v/>
      </c>
      <c r="AZ46" s="7">
        <f>Y46*0.00028565</f>
        <v/>
      </c>
      <c r="BA46" s="7">
        <f>Z46*0.00028565</f>
        <v/>
      </c>
      <c r="BB46" s="7">
        <f>SUM(AD46:BA46)</f>
        <v/>
      </c>
    </row>
    <row r="47">
      <c r="A47" t="inlineStr">
        <is>
          <t>AMD-FWDPRI-SSC</t>
        </is>
      </c>
      <c r="B47" t="inlineStr">
        <is>
          <t>FWD Priority OSC</t>
        </is>
      </c>
      <c r="C47" s="5" t="n">
        <v>46102</v>
      </c>
      <c r="D47" s="6">
        <f>Summary!D47</f>
        <v/>
      </c>
      <c r="E47" s="6">
        <f>Summary!E47</f>
        <v/>
      </c>
      <c r="F47" s="6">
        <f>Summary!F47</f>
        <v/>
      </c>
      <c r="G47" s="6">
        <f>Summary!G47</f>
        <v/>
      </c>
      <c r="H47" s="6">
        <f>Summary!H47</f>
        <v/>
      </c>
      <c r="I47" s="6">
        <f>Summary!I47</f>
        <v/>
      </c>
      <c r="J47" s="6">
        <f>Summary!J47</f>
        <v/>
      </c>
      <c r="K47" s="6">
        <f>Summary!K47</f>
        <v/>
      </c>
      <c r="L47" s="6">
        <f>Summary!L47</f>
        <v/>
      </c>
      <c r="M47" s="6">
        <f>Summary!M47</f>
        <v/>
      </c>
      <c r="N47" s="6">
        <f>Summary!N47</f>
        <v/>
      </c>
      <c r="O47" s="6">
        <f>Summary!O47</f>
        <v/>
      </c>
      <c r="P47" s="6">
        <f>Summary!P47</f>
        <v/>
      </c>
      <c r="Q47" s="6">
        <f>Summary!Q47</f>
        <v/>
      </c>
      <c r="R47" s="6">
        <f>Summary!R47</f>
        <v/>
      </c>
      <c r="S47" s="6">
        <f>Summary!S47</f>
        <v/>
      </c>
      <c r="T47" s="6">
        <f>Summary!T47</f>
        <v/>
      </c>
      <c r="U47" s="6">
        <f>Summary!U47</f>
        <v/>
      </c>
      <c r="V47" s="6">
        <f>Summary!V47</f>
        <v/>
      </c>
      <c r="W47" s="6">
        <f>Summary!W47</f>
        <v/>
      </c>
      <c r="X47" s="6">
        <f>Summary!X47</f>
        <v/>
      </c>
      <c r="Y47" s="6">
        <f>Summary!Y47</f>
        <v/>
      </c>
      <c r="Z47" s="6">
        <f>Summary!Z47</f>
        <v/>
      </c>
      <c r="AA47" s="6">
        <f>Summary!AA47</f>
        <v/>
      </c>
      <c r="AB47" s="6">
        <f>SUM(D47:AA47)</f>
        <v/>
      </c>
      <c r="AC47" s="3" t="inlineStr"/>
      <c r="AD47" s="7">
        <f>AA47*0.00028565</f>
        <v/>
      </c>
      <c r="AE47" s="7">
        <f>D47*0.00028565</f>
        <v/>
      </c>
      <c r="AF47" s="7">
        <f>E47*0.00028565</f>
        <v/>
      </c>
      <c r="AG47" s="7">
        <f>F47*0.00028565</f>
        <v/>
      </c>
      <c r="AH47" s="7">
        <f>G47*0.00028565</f>
        <v/>
      </c>
      <c r="AI47" s="7">
        <f>H47*0.00028565</f>
        <v/>
      </c>
      <c r="AJ47" s="7">
        <f>I47*0.00028565</f>
        <v/>
      </c>
      <c r="AK47" s="7">
        <f>J47*0.00028565</f>
        <v/>
      </c>
      <c r="AL47" s="7">
        <f>K47*0.00028565</f>
        <v/>
      </c>
      <c r="AM47" s="7">
        <f>L47*0.00028565</f>
        <v/>
      </c>
      <c r="AN47" s="7">
        <f>M47*0.00028565</f>
        <v/>
      </c>
      <c r="AO47" s="7">
        <f>N47*0.00028565</f>
        <v/>
      </c>
      <c r="AP47" s="7">
        <f>O47*0.00028565</f>
        <v/>
      </c>
      <c r="AQ47" s="7">
        <f>P47*0.00028565</f>
        <v/>
      </c>
      <c r="AR47" s="7">
        <f>Q47*0.00028565</f>
        <v/>
      </c>
      <c r="AS47" s="7">
        <f>R47*0.00028565</f>
        <v/>
      </c>
      <c r="AT47" s="7">
        <f>S47*0.00028565</f>
        <v/>
      </c>
      <c r="AU47" s="7">
        <f>T47*0.00028565</f>
        <v/>
      </c>
      <c r="AV47" s="7">
        <f>U47*0.00028565</f>
        <v/>
      </c>
      <c r="AW47" s="7">
        <f>V47*0.00028565</f>
        <v/>
      </c>
      <c r="AX47" s="7">
        <f>W47*0.00028565</f>
        <v/>
      </c>
      <c r="AY47" s="7">
        <f>X47*0.00028565</f>
        <v/>
      </c>
      <c r="AZ47" s="7">
        <f>Y47*0.00028565</f>
        <v/>
      </c>
      <c r="BA47" s="7">
        <f>Z47*0.00028565</f>
        <v/>
      </c>
      <c r="BB47" s="7">
        <f>SUM(AD47:BA47)</f>
        <v/>
      </c>
    </row>
    <row r="48">
      <c r="A48" t="inlineStr">
        <is>
          <t>AMD-FWDPRI-SSC</t>
        </is>
      </c>
      <c r="B48" t="inlineStr">
        <is>
          <t>FWD Priority OSC</t>
        </is>
      </c>
      <c r="C48" s="5" t="n">
        <v>46103</v>
      </c>
      <c r="D48" s="6">
        <f>Summary!D48</f>
        <v/>
      </c>
      <c r="E48" s="6">
        <f>Summary!E48</f>
        <v/>
      </c>
      <c r="F48" s="6">
        <f>Summary!F48</f>
        <v/>
      </c>
      <c r="G48" s="6">
        <f>Summary!G48</f>
        <v/>
      </c>
      <c r="H48" s="6">
        <f>Summary!H48</f>
        <v/>
      </c>
      <c r="I48" s="6">
        <f>Summary!I48</f>
        <v/>
      </c>
      <c r="J48" s="6">
        <f>Summary!J48</f>
        <v/>
      </c>
      <c r="K48" s="6">
        <f>Summary!K48</f>
        <v/>
      </c>
      <c r="L48" s="6">
        <f>Summary!L48</f>
        <v/>
      </c>
      <c r="M48" s="6">
        <f>Summary!M48</f>
        <v/>
      </c>
      <c r="N48" s="6">
        <f>Summary!N48</f>
        <v/>
      </c>
      <c r="O48" s="6">
        <f>Summary!O48</f>
        <v/>
      </c>
      <c r="P48" s="6">
        <f>Summary!P48</f>
        <v/>
      </c>
      <c r="Q48" s="6">
        <f>Summary!Q48</f>
        <v/>
      </c>
      <c r="R48" s="6">
        <f>Summary!R48</f>
        <v/>
      </c>
      <c r="S48" s="6">
        <f>Summary!S48</f>
        <v/>
      </c>
      <c r="T48" s="6">
        <f>Summary!T48</f>
        <v/>
      </c>
      <c r="U48" s="6">
        <f>Summary!U48</f>
        <v/>
      </c>
      <c r="V48" s="6">
        <f>Summary!V48</f>
        <v/>
      </c>
      <c r="W48" s="6">
        <f>Summary!W48</f>
        <v/>
      </c>
      <c r="X48" s="6">
        <f>Summary!X48</f>
        <v/>
      </c>
      <c r="Y48" s="6">
        <f>Summary!Y48</f>
        <v/>
      </c>
      <c r="Z48" s="6">
        <f>Summary!Z48</f>
        <v/>
      </c>
      <c r="AA48" s="6">
        <f>Summary!AA48</f>
        <v/>
      </c>
      <c r="AB48" s="6">
        <f>SUM(D48:AA48)</f>
        <v/>
      </c>
      <c r="AC48" s="3" t="inlineStr"/>
      <c r="AD48" s="7">
        <f>AA48*0.00028565</f>
        <v/>
      </c>
      <c r="AE48" s="7">
        <f>D48*0.00028565</f>
        <v/>
      </c>
      <c r="AF48" s="7">
        <f>E48*0.00028565</f>
        <v/>
      </c>
      <c r="AG48" s="7">
        <f>F48*0.00028565</f>
        <v/>
      </c>
      <c r="AH48" s="7">
        <f>G48*0.00028565</f>
        <v/>
      </c>
      <c r="AI48" s="7">
        <f>H48*0.00028565</f>
        <v/>
      </c>
      <c r="AJ48" s="7">
        <f>I48*0.00028565</f>
        <v/>
      </c>
      <c r="AK48" s="7">
        <f>J48*0.00028565</f>
        <v/>
      </c>
      <c r="AL48" s="7">
        <f>K48*0.00028565</f>
        <v/>
      </c>
      <c r="AM48" s="7">
        <f>L48*0.00028565</f>
        <v/>
      </c>
      <c r="AN48" s="7">
        <f>M48*0.00028565</f>
        <v/>
      </c>
      <c r="AO48" s="7">
        <f>N48*0.00028565</f>
        <v/>
      </c>
      <c r="AP48" s="7">
        <f>O48*0.00028565</f>
        <v/>
      </c>
      <c r="AQ48" s="7">
        <f>P48*0.00028565</f>
        <v/>
      </c>
      <c r="AR48" s="7">
        <f>Q48*0.00028565</f>
        <v/>
      </c>
      <c r="AS48" s="7">
        <f>R48*0.00028565</f>
        <v/>
      </c>
      <c r="AT48" s="7">
        <f>S48*0.00028565</f>
        <v/>
      </c>
      <c r="AU48" s="7">
        <f>T48*0.00028565</f>
        <v/>
      </c>
      <c r="AV48" s="7">
        <f>U48*0.00028565</f>
        <v/>
      </c>
      <c r="AW48" s="7">
        <f>V48*0.00028565</f>
        <v/>
      </c>
      <c r="AX48" s="7">
        <f>W48*0.00028565</f>
        <v/>
      </c>
      <c r="AY48" s="7">
        <f>X48*0.00028565</f>
        <v/>
      </c>
      <c r="AZ48" s="7">
        <f>Y48*0.00028565</f>
        <v/>
      </c>
      <c r="BA48" s="7">
        <f>Z48*0.00028565</f>
        <v/>
      </c>
      <c r="BB48" s="7">
        <f>SUM(AD48:BA48)</f>
        <v/>
      </c>
    </row>
    <row r="49">
      <c r="A49" t="inlineStr">
        <is>
          <t>AMD-FWDPRI-SSC</t>
        </is>
      </c>
      <c r="B49" t="inlineStr">
        <is>
          <t>FWD Priority OSC</t>
        </is>
      </c>
      <c r="C49" s="5" t="n">
        <v>46104</v>
      </c>
      <c r="D49" s="6">
        <f>Summary!D49</f>
        <v/>
      </c>
      <c r="E49" s="6">
        <f>Summary!E49</f>
        <v/>
      </c>
      <c r="F49" s="6">
        <f>Summary!F49</f>
        <v/>
      </c>
      <c r="G49" s="6">
        <f>Summary!G49</f>
        <v/>
      </c>
      <c r="H49" s="6">
        <f>Summary!H49</f>
        <v/>
      </c>
      <c r="I49" s="6">
        <f>Summary!I49</f>
        <v/>
      </c>
      <c r="J49" s="6">
        <f>Summary!J49</f>
        <v/>
      </c>
      <c r="K49" s="6">
        <f>Summary!K49</f>
        <v/>
      </c>
      <c r="L49" s="6">
        <f>Summary!L49</f>
        <v/>
      </c>
      <c r="M49" s="6">
        <f>Summary!M49</f>
        <v/>
      </c>
      <c r="N49" s="6">
        <f>Summary!N49</f>
        <v/>
      </c>
      <c r="O49" s="6">
        <f>Summary!O49</f>
        <v/>
      </c>
      <c r="P49" s="6">
        <f>Summary!P49</f>
        <v/>
      </c>
      <c r="Q49" s="6">
        <f>Summary!Q49</f>
        <v/>
      </c>
      <c r="R49" s="6">
        <f>Summary!R49</f>
        <v/>
      </c>
      <c r="S49" s="6">
        <f>Summary!S49</f>
        <v/>
      </c>
      <c r="T49" s="6">
        <f>Summary!T49</f>
        <v/>
      </c>
      <c r="U49" s="6">
        <f>Summary!U49</f>
        <v/>
      </c>
      <c r="V49" s="6">
        <f>Summary!V49</f>
        <v/>
      </c>
      <c r="W49" s="6">
        <f>Summary!W49</f>
        <v/>
      </c>
      <c r="X49" s="6">
        <f>Summary!X49</f>
        <v/>
      </c>
      <c r="Y49" s="6">
        <f>Summary!Y49</f>
        <v/>
      </c>
      <c r="Z49" s="6">
        <f>Summary!Z49</f>
        <v/>
      </c>
      <c r="AA49" s="6">
        <f>Summary!AA49</f>
        <v/>
      </c>
      <c r="AB49" s="6">
        <f>SUM(D49:AA49)</f>
        <v/>
      </c>
      <c r="AC49" s="3" t="inlineStr"/>
      <c r="AD49" s="7">
        <f>AA49*0.00028565</f>
        <v/>
      </c>
      <c r="AE49" s="7">
        <f>D49*0.00028565</f>
        <v/>
      </c>
      <c r="AF49" s="7">
        <f>E49*0.00028565</f>
        <v/>
      </c>
      <c r="AG49" s="7">
        <f>F49*0.00028565</f>
        <v/>
      </c>
      <c r="AH49" s="7">
        <f>G49*0.00028565</f>
        <v/>
      </c>
      <c r="AI49" s="7">
        <f>H49*0.00028565</f>
        <v/>
      </c>
      <c r="AJ49" s="7">
        <f>I49*0.00028565</f>
        <v/>
      </c>
      <c r="AK49" s="7">
        <f>J49*0.00028565</f>
        <v/>
      </c>
      <c r="AL49" s="7">
        <f>K49*0.00028565</f>
        <v/>
      </c>
      <c r="AM49" s="7">
        <f>L49*0.00028565</f>
        <v/>
      </c>
      <c r="AN49" s="7">
        <f>M49*0.00028565</f>
        <v/>
      </c>
      <c r="AO49" s="7">
        <f>N49*0.00028565</f>
        <v/>
      </c>
      <c r="AP49" s="7">
        <f>O49*0.00028565</f>
        <v/>
      </c>
      <c r="AQ49" s="7">
        <f>P49*0.00028565</f>
        <v/>
      </c>
      <c r="AR49" s="7">
        <f>Q49*0.00028565</f>
        <v/>
      </c>
      <c r="AS49" s="7">
        <f>R49*0.00028565</f>
        <v/>
      </c>
      <c r="AT49" s="7">
        <f>S49*0.00028565</f>
        <v/>
      </c>
      <c r="AU49" s="7">
        <f>T49*0.00028565</f>
        <v/>
      </c>
      <c r="AV49" s="7">
        <f>U49*0.00028565</f>
        <v/>
      </c>
      <c r="AW49" s="7">
        <f>V49*0.00028565</f>
        <v/>
      </c>
      <c r="AX49" s="7">
        <f>W49*0.00028565</f>
        <v/>
      </c>
      <c r="AY49" s="7">
        <f>X49*0.00028565</f>
        <v/>
      </c>
      <c r="AZ49" s="7">
        <f>Y49*0.00028565</f>
        <v/>
      </c>
      <c r="BA49" s="7">
        <f>Z49*0.00028565</f>
        <v/>
      </c>
      <c r="BB49" s="7">
        <f>SUM(AD49:BA49)</f>
        <v/>
      </c>
    </row>
    <row r="50">
      <c r="A50" t="inlineStr">
        <is>
          <t>AMD-FWDPRI-SSC</t>
        </is>
      </c>
      <c r="B50" t="inlineStr">
        <is>
          <t>FWD Priority OSC</t>
        </is>
      </c>
      <c r="C50" s="5" t="n">
        <v>46105</v>
      </c>
      <c r="D50" s="6">
        <f>Summary!D50</f>
        <v/>
      </c>
      <c r="E50" s="6">
        <f>Summary!E50</f>
        <v/>
      </c>
      <c r="F50" s="6">
        <f>Summary!F50</f>
        <v/>
      </c>
      <c r="G50" s="6">
        <f>Summary!G50</f>
        <v/>
      </c>
      <c r="H50" s="6">
        <f>Summary!H50</f>
        <v/>
      </c>
      <c r="I50" s="6">
        <f>Summary!I50</f>
        <v/>
      </c>
      <c r="J50" s="6">
        <f>Summary!J50</f>
        <v/>
      </c>
      <c r="K50" s="6">
        <f>Summary!K50</f>
        <v/>
      </c>
      <c r="L50" s="6">
        <f>Summary!L50</f>
        <v/>
      </c>
      <c r="M50" s="6">
        <f>Summary!M50</f>
        <v/>
      </c>
      <c r="N50" s="6">
        <f>Summary!N50</f>
        <v/>
      </c>
      <c r="O50" s="6">
        <f>Summary!O50</f>
        <v/>
      </c>
      <c r="P50" s="6">
        <f>Summary!P50</f>
        <v/>
      </c>
      <c r="Q50" s="6">
        <f>Summary!Q50</f>
        <v/>
      </c>
      <c r="R50" s="6">
        <f>Summary!R50</f>
        <v/>
      </c>
      <c r="S50" s="6">
        <f>Summary!S50</f>
        <v/>
      </c>
      <c r="T50" s="6">
        <f>Summary!T50</f>
        <v/>
      </c>
      <c r="U50" s="6">
        <f>Summary!U50</f>
        <v/>
      </c>
      <c r="V50" s="6">
        <f>Summary!V50</f>
        <v/>
      </c>
      <c r="W50" s="6">
        <f>Summary!W50</f>
        <v/>
      </c>
      <c r="X50" s="6">
        <f>Summary!X50</f>
        <v/>
      </c>
      <c r="Y50" s="6">
        <f>Summary!Y50</f>
        <v/>
      </c>
      <c r="Z50" s="6">
        <f>Summary!Z50</f>
        <v/>
      </c>
      <c r="AA50" s="6">
        <f>Summary!AA50</f>
        <v/>
      </c>
      <c r="AB50" s="6">
        <f>SUM(D50:AA50)</f>
        <v/>
      </c>
      <c r="AC50" s="3" t="inlineStr"/>
      <c r="AD50" s="7">
        <f>AA50*0.00028565</f>
        <v/>
      </c>
      <c r="AE50" s="7">
        <f>D50*0.00028565</f>
        <v/>
      </c>
      <c r="AF50" s="7">
        <f>E50*0.00028565</f>
        <v/>
      </c>
      <c r="AG50" s="7">
        <f>F50*0.00028565</f>
        <v/>
      </c>
      <c r="AH50" s="7">
        <f>G50*0.00028565</f>
        <v/>
      </c>
      <c r="AI50" s="7">
        <f>H50*0.00028565</f>
        <v/>
      </c>
      <c r="AJ50" s="7">
        <f>I50*0.00028565</f>
        <v/>
      </c>
      <c r="AK50" s="7">
        <f>J50*0.00028565</f>
        <v/>
      </c>
      <c r="AL50" s="7">
        <f>K50*0.00028565</f>
        <v/>
      </c>
      <c r="AM50" s="7">
        <f>L50*0.00028565</f>
        <v/>
      </c>
      <c r="AN50" s="7">
        <f>M50*0.00028565</f>
        <v/>
      </c>
      <c r="AO50" s="7">
        <f>N50*0.00028565</f>
        <v/>
      </c>
      <c r="AP50" s="7">
        <f>O50*0.00028565</f>
        <v/>
      </c>
      <c r="AQ50" s="7">
        <f>P50*0.00028565</f>
        <v/>
      </c>
      <c r="AR50" s="7">
        <f>Q50*0.00028565</f>
        <v/>
      </c>
      <c r="AS50" s="7">
        <f>R50*0.00028565</f>
        <v/>
      </c>
      <c r="AT50" s="7">
        <f>S50*0.00028565</f>
        <v/>
      </c>
      <c r="AU50" s="7">
        <f>T50*0.00028565</f>
        <v/>
      </c>
      <c r="AV50" s="7">
        <f>U50*0.00028565</f>
        <v/>
      </c>
      <c r="AW50" s="7">
        <f>V50*0.00028565</f>
        <v/>
      </c>
      <c r="AX50" s="7">
        <f>W50*0.00028565</f>
        <v/>
      </c>
      <c r="AY50" s="7">
        <f>X50*0.00028565</f>
        <v/>
      </c>
      <c r="AZ50" s="7">
        <f>Y50*0.00028565</f>
        <v/>
      </c>
      <c r="BA50" s="7">
        <f>Z50*0.00028565</f>
        <v/>
      </c>
      <c r="BB50" s="7">
        <f>SUM(AD50:BA50)</f>
        <v/>
      </c>
    </row>
    <row r="51">
      <c r="A51" t="inlineStr">
        <is>
          <t>AMD-FWDREG-SSC</t>
        </is>
      </c>
      <c r="B51" t="inlineStr">
        <is>
          <t>Forward Regular OSC</t>
        </is>
      </c>
      <c r="C51" s="5" t="n">
        <v>46098</v>
      </c>
      <c r="D51" s="6">
        <f>Summary!D51</f>
        <v/>
      </c>
      <c r="E51" s="6">
        <f>Summary!E51</f>
        <v/>
      </c>
      <c r="F51" s="6">
        <f>Summary!F51</f>
        <v/>
      </c>
      <c r="G51" s="6">
        <f>Summary!G51</f>
        <v/>
      </c>
      <c r="H51" s="6">
        <f>Summary!H51</f>
        <v/>
      </c>
      <c r="I51" s="6">
        <f>Summary!I51</f>
        <v/>
      </c>
      <c r="J51" s="6">
        <f>Summary!J51</f>
        <v/>
      </c>
      <c r="K51" s="6">
        <f>Summary!K51</f>
        <v/>
      </c>
      <c r="L51" s="6">
        <f>Summary!L51</f>
        <v/>
      </c>
      <c r="M51" s="6">
        <f>Summary!M51</f>
        <v/>
      </c>
      <c r="N51" s="6">
        <f>Summary!N51</f>
        <v/>
      </c>
      <c r="O51" s="6">
        <f>Summary!O51</f>
        <v/>
      </c>
      <c r="P51" s="6">
        <f>Summary!P51</f>
        <v/>
      </c>
      <c r="Q51" s="6">
        <f>Summary!Q51</f>
        <v/>
      </c>
      <c r="R51" s="6">
        <f>Summary!R51</f>
        <v/>
      </c>
      <c r="S51" s="6">
        <f>Summary!S51</f>
        <v/>
      </c>
      <c r="T51" s="6">
        <f>Summary!T51</f>
        <v/>
      </c>
      <c r="U51" s="6">
        <f>Summary!U51</f>
        <v/>
      </c>
      <c r="V51" s="6">
        <f>Summary!V51</f>
        <v/>
      </c>
      <c r="W51" s="6">
        <f>Summary!W51</f>
        <v/>
      </c>
      <c r="X51" s="6">
        <f>Summary!X51</f>
        <v/>
      </c>
      <c r="Y51" s="6">
        <f>Summary!Y51</f>
        <v/>
      </c>
      <c r="Z51" s="6">
        <f>Summary!Z51</f>
        <v/>
      </c>
      <c r="AA51" s="6">
        <f>Summary!AA51</f>
        <v/>
      </c>
      <c r="AB51" s="6">
        <f>SUM(D51:AA51)</f>
        <v/>
      </c>
      <c r="AC51" s="3" t="inlineStr"/>
      <c r="AD51" s="7">
        <f>AA51*0.00028565</f>
        <v/>
      </c>
      <c r="AE51" s="7">
        <f>D51*0.00028565</f>
        <v/>
      </c>
      <c r="AF51" s="7">
        <f>E51*0.00028565</f>
        <v/>
      </c>
      <c r="AG51" s="7">
        <f>F51*0.00028565</f>
        <v/>
      </c>
      <c r="AH51" s="7">
        <f>G51*0.00028565</f>
        <v/>
      </c>
      <c r="AI51" s="7">
        <f>H51*0.00028565</f>
        <v/>
      </c>
      <c r="AJ51" s="7">
        <f>I51*0.00028565</f>
        <v/>
      </c>
      <c r="AK51" s="7">
        <f>J51*0.00028565</f>
        <v/>
      </c>
      <c r="AL51" s="7">
        <f>K51*0.00028565</f>
        <v/>
      </c>
      <c r="AM51" s="7">
        <f>L51*0.00028565</f>
        <v/>
      </c>
      <c r="AN51" s="7">
        <f>M51*0.00028565</f>
        <v/>
      </c>
      <c r="AO51" s="7">
        <f>N51*0.00028565</f>
        <v/>
      </c>
      <c r="AP51" s="7">
        <f>O51*0.00028565</f>
        <v/>
      </c>
      <c r="AQ51" s="7">
        <f>P51*0.00028565</f>
        <v/>
      </c>
      <c r="AR51" s="7">
        <f>Q51*0.00028565</f>
        <v/>
      </c>
      <c r="AS51" s="7">
        <f>R51*0.00028565</f>
        <v/>
      </c>
      <c r="AT51" s="7">
        <f>S51*0.00028565</f>
        <v/>
      </c>
      <c r="AU51" s="7">
        <f>T51*0.00028565</f>
        <v/>
      </c>
      <c r="AV51" s="7">
        <f>U51*0.00028565</f>
        <v/>
      </c>
      <c r="AW51" s="7">
        <f>V51*0.00028565</f>
        <v/>
      </c>
      <c r="AX51" s="7">
        <f>W51*0.00028565</f>
        <v/>
      </c>
      <c r="AY51" s="7">
        <f>X51*0.00028565</f>
        <v/>
      </c>
      <c r="AZ51" s="7">
        <f>Y51*0.00028565</f>
        <v/>
      </c>
      <c r="BA51" s="7">
        <f>Z51*0.00028565</f>
        <v/>
      </c>
      <c r="BB51" s="7">
        <f>SUM(AD51:BA51)</f>
        <v/>
      </c>
    </row>
    <row r="52">
      <c r="A52" t="inlineStr">
        <is>
          <t>AMD-FWDREG-SSC</t>
        </is>
      </c>
      <c r="B52" t="inlineStr">
        <is>
          <t>Forward Regular OSC</t>
        </is>
      </c>
      <c r="C52" s="5" t="n">
        <v>46099</v>
      </c>
      <c r="D52" s="6">
        <f>Summary!D52</f>
        <v/>
      </c>
      <c r="E52" s="6">
        <f>Summary!E52</f>
        <v/>
      </c>
      <c r="F52" s="6">
        <f>Summary!F52</f>
        <v/>
      </c>
      <c r="G52" s="6">
        <f>Summary!G52</f>
        <v/>
      </c>
      <c r="H52" s="6">
        <f>Summary!H52</f>
        <v/>
      </c>
      <c r="I52" s="6">
        <f>Summary!I52</f>
        <v/>
      </c>
      <c r="J52" s="6">
        <f>Summary!J52</f>
        <v/>
      </c>
      <c r="K52" s="6">
        <f>Summary!K52</f>
        <v/>
      </c>
      <c r="L52" s="6">
        <f>Summary!L52</f>
        <v/>
      </c>
      <c r="M52" s="6">
        <f>Summary!M52</f>
        <v/>
      </c>
      <c r="N52" s="6">
        <f>Summary!N52</f>
        <v/>
      </c>
      <c r="O52" s="6">
        <f>Summary!O52</f>
        <v/>
      </c>
      <c r="P52" s="6">
        <f>Summary!P52</f>
        <v/>
      </c>
      <c r="Q52" s="6">
        <f>Summary!Q52</f>
        <v/>
      </c>
      <c r="R52" s="6">
        <f>Summary!R52</f>
        <v/>
      </c>
      <c r="S52" s="6">
        <f>Summary!S52</f>
        <v/>
      </c>
      <c r="T52" s="6">
        <f>Summary!T52</f>
        <v/>
      </c>
      <c r="U52" s="6">
        <f>Summary!U52</f>
        <v/>
      </c>
      <c r="V52" s="6">
        <f>Summary!V52</f>
        <v/>
      </c>
      <c r="W52" s="6">
        <f>Summary!W52</f>
        <v/>
      </c>
      <c r="X52" s="6">
        <f>Summary!X52</f>
        <v/>
      </c>
      <c r="Y52" s="6">
        <f>Summary!Y52</f>
        <v/>
      </c>
      <c r="Z52" s="6">
        <f>Summary!Z52</f>
        <v/>
      </c>
      <c r="AA52" s="6">
        <f>Summary!AA52</f>
        <v/>
      </c>
      <c r="AB52" s="6">
        <f>SUM(D52:AA52)</f>
        <v/>
      </c>
      <c r="AC52" s="3" t="inlineStr"/>
      <c r="AD52" s="7">
        <f>AA52*0.00028565</f>
        <v/>
      </c>
      <c r="AE52" s="7">
        <f>D52*0.00028565</f>
        <v/>
      </c>
      <c r="AF52" s="7">
        <f>E52*0.00028565</f>
        <v/>
      </c>
      <c r="AG52" s="7">
        <f>F52*0.00028565</f>
        <v/>
      </c>
      <c r="AH52" s="7">
        <f>G52*0.00028565</f>
        <v/>
      </c>
      <c r="AI52" s="7">
        <f>H52*0.00028565</f>
        <v/>
      </c>
      <c r="AJ52" s="7">
        <f>I52*0.00028565</f>
        <v/>
      </c>
      <c r="AK52" s="7">
        <f>J52*0.00028565</f>
        <v/>
      </c>
      <c r="AL52" s="7">
        <f>K52*0.00028565</f>
        <v/>
      </c>
      <c r="AM52" s="7">
        <f>L52*0.00028565</f>
        <v/>
      </c>
      <c r="AN52" s="7">
        <f>M52*0.00028565</f>
        <v/>
      </c>
      <c r="AO52" s="7">
        <f>N52*0.00028565</f>
        <v/>
      </c>
      <c r="AP52" s="7">
        <f>O52*0.00028565</f>
        <v/>
      </c>
      <c r="AQ52" s="7">
        <f>P52*0.00028565</f>
        <v/>
      </c>
      <c r="AR52" s="7">
        <f>Q52*0.00028565</f>
        <v/>
      </c>
      <c r="AS52" s="7">
        <f>R52*0.00028565</f>
        <v/>
      </c>
      <c r="AT52" s="7">
        <f>S52*0.00028565</f>
        <v/>
      </c>
      <c r="AU52" s="7">
        <f>T52*0.00028565</f>
        <v/>
      </c>
      <c r="AV52" s="7">
        <f>U52*0.00028565</f>
        <v/>
      </c>
      <c r="AW52" s="7">
        <f>V52*0.00028565</f>
        <v/>
      </c>
      <c r="AX52" s="7">
        <f>W52*0.00028565</f>
        <v/>
      </c>
      <c r="AY52" s="7">
        <f>X52*0.00028565</f>
        <v/>
      </c>
      <c r="AZ52" s="7">
        <f>Y52*0.00028565</f>
        <v/>
      </c>
      <c r="BA52" s="7">
        <f>Z52*0.00028565</f>
        <v/>
      </c>
      <c r="BB52" s="7">
        <f>SUM(AD52:BA52)</f>
        <v/>
      </c>
    </row>
    <row r="53">
      <c r="A53" t="inlineStr">
        <is>
          <t>AMD-FWDREG-SSC</t>
        </is>
      </c>
      <c r="B53" t="inlineStr">
        <is>
          <t>Forward Regular OSC</t>
        </is>
      </c>
      <c r="C53" s="5" t="n">
        <v>46100</v>
      </c>
      <c r="D53" s="6">
        <f>Summary!D53</f>
        <v/>
      </c>
      <c r="E53" s="6">
        <f>Summary!E53</f>
        <v/>
      </c>
      <c r="F53" s="6">
        <f>Summary!F53</f>
        <v/>
      </c>
      <c r="G53" s="6">
        <f>Summary!G53</f>
        <v/>
      </c>
      <c r="H53" s="6">
        <f>Summary!H53</f>
        <v/>
      </c>
      <c r="I53" s="6">
        <f>Summary!I53</f>
        <v/>
      </c>
      <c r="J53" s="6">
        <f>Summary!J53</f>
        <v/>
      </c>
      <c r="K53" s="6">
        <f>Summary!K53</f>
        <v/>
      </c>
      <c r="L53" s="6">
        <f>Summary!L53</f>
        <v/>
      </c>
      <c r="M53" s="6">
        <f>Summary!M53</f>
        <v/>
      </c>
      <c r="N53" s="6">
        <f>Summary!N53</f>
        <v/>
      </c>
      <c r="O53" s="6">
        <f>Summary!O53</f>
        <v/>
      </c>
      <c r="P53" s="6">
        <f>Summary!P53</f>
        <v/>
      </c>
      <c r="Q53" s="6">
        <f>Summary!Q53</f>
        <v/>
      </c>
      <c r="R53" s="6">
        <f>Summary!R53</f>
        <v/>
      </c>
      <c r="S53" s="6">
        <f>Summary!S53</f>
        <v/>
      </c>
      <c r="T53" s="6">
        <f>Summary!T53</f>
        <v/>
      </c>
      <c r="U53" s="6">
        <f>Summary!U53</f>
        <v/>
      </c>
      <c r="V53" s="6">
        <f>Summary!V53</f>
        <v/>
      </c>
      <c r="W53" s="6">
        <f>Summary!W53</f>
        <v/>
      </c>
      <c r="X53" s="6">
        <f>Summary!X53</f>
        <v/>
      </c>
      <c r="Y53" s="6">
        <f>Summary!Y53</f>
        <v/>
      </c>
      <c r="Z53" s="6">
        <f>Summary!Z53</f>
        <v/>
      </c>
      <c r="AA53" s="6">
        <f>Summary!AA53</f>
        <v/>
      </c>
      <c r="AB53" s="6">
        <f>SUM(D53:AA53)</f>
        <v/>
      </c>
      <c r="AC53" s="3" t="inlineStr"/>
      <c r="AD53" s="7">
        <f>AA53*0.00028565</f>
        <v/>
      </c>
      <c r="AE53" s="7">
        <f>D53*0.00028565</f>
        <v/>
      </c>
      <c r="AF53" s="7">
        <f>E53*0.00028565</f>
        <v/>
      </c>
      <c r="AG53" s="7">
        <f>F53*0.00028565</f>
        <v/>
      </c>
      <c r="AH53" s="7">
        <f>G53*0.00028565</f>
        <v/>
      </c>
      <c r="AI53" s="7">
        <f>H53*0.00028565</f>
        <v/>
      </c>
      <c r="AJ53" s="7">
        <f>I53*0.00028565</f>
        <v/>
      </c>
      <c r="AK53" s="7">
        <f>J53*0.00028565</f>
        <v/>
      </c>
      <c r="AL53" s="7">
        <f>K53*0.00028565</f>
        <v/>
      </c>
      <c r="AM53" s="7">
        <f>L53*0.00028565</f>
        <v/>
      </c>
      <c r="AN53" s="7">
        <f>M53*0.00028565</f>
        <v/>
      </c>
      <c r="AO53" s="7">
        <f>N53*0.00028565</f>
        <v/>
      </c>
      <c r="AP53" s="7">
        <f>O53*0.00028565</f>
        <v/>
      </c>
      <c r="AQ53" s="7">
        <f>P53*0.00028565</f>
        <v/>
      </c>
      <c r="AR53" s="7">
        <f>Q53*0.00028565</f>
        <v/>
      </c>
      <c r="AS53" s="7">
        <f>R53*0.00028565</f>
        <v/>
      </c>
      <c r="AT53" s="7">
        <f>S53*0.00028565</f>
        <v/>
      </c>
      <c r="AU53" s="7">
        <f>T53*0.00028565</f>
        <v/>
      </c>
      <c r="AV53" s="7">
        <f>U53*0.00028565</f>
        <v/>
      </c>
      <c r="AW53" s="7">
        <f>V53*0.00028565</f>
        <v/>
      </c>
      <c r="AX53" s="7">
        <f>W53*0.00028565</f>
        <v/>
      </c>
      <c r="AY53" s="7">
        <f>X53*0.00028565</f>
        <v/>
      </c>
      <c r="AZ53" s="7">
        <f>Y53*0.00028565</f>
        <v/>
      </c>
      <c r="BA53" s="7">
        <f>Z53*0.00028565</f>
        <v/>
      </c>
      <c r="BB53" s="7">
        <f>SUM(AD53:BA53)</f>
        <v/>
      </c>
    </row>
    <row r="54">
      <c r="A54" t="inlineStr">
        <is>
          <t>AMD-FWDREG-SSC</t>
        </is>
      </c>
      <c r="B54" t="inlineStr">
        <is>
          <t>Forward Regular OSC</t>
        </is>
      </c>
      <c r="C54" s="5" t="n">
        <v>46101</v>
      </c>
      <c r="D54" s="6">
        <f>Summary!D54</f>
        <v/>
      </c>
      <c r="E54" s="6">
        <f>Summary!E54</f>
        <v/>
      </c>
      <c r="F54" s="6">
        <f>Summary!F54</f>
        <v/>
      </c>
      <c r="G54" s="6">
        <f>Summary!G54</f>
        <v/>
      </c>
      <c r="H54" s="6">
        <f>Summary!H54</f>
        <v/>
      </c>
      <c r="I54" s="6">
        <f>Summary!I54</f>
        <v/>
      </c>
      <c r="J54" s="6">
        <f>Summary!J54</f>
        <v/>
      </c>
      <c r="K54" s="6">
        <f>Summary!K54</f>
        <v/>
      </c>
      <c r="L54" s="6">
        <f>Summary!L54</f>
        <v/>
      </c>
      <c r="M54" s="6">
        <f>Summary!M54</f>
        <v/>
      </c>
      <c r="N54" s="6">
        <f>Summary!N54</f>
        <v/>
      </c>
      <c r="O54" s="6">
        <f>Summary!O54</f>
        <v/>
      </c>
      <c r="P54" s="6">
        <f>Summary!P54</f>
        <v/>
      </c>
      <c r="Q54" s="6">
        <f>Summary!Q54</f>
        <v/>
      </c>
      <c r="R54" s="6">
        <f>Summary!R54</f>
        <v/>
      </c>
      <c r="S54" s="6">
        <f>Summary!S54</f>
        <v/>
      </c>
      <c r="T54" s="6">
        <f>Summary!T54</f>
        <v/>
      </c>
      <c r="U54" s="6">
        <f>Summary!U54</f>
        <v/>
      </c>
      <c r="V54" s="6">
        <f>Summary!V54</f>
        <v/>
      </c>
      <c r="W54" s="6">
        <f>Summary!W54</f>
        <v/>
      </c>
      <c r="X54" s="6">
        <f>Summary!X54</f>
        <v/>
      </c>
      <c r="Y54" s="6">
        <f>Summary!Y54</f>
        <v/>
      </c>
      <c r="Z54" s="6">
        <f>Summary!Z54</f>
        <v/>
      </c>
      <c r="AA54" s="6">
        <f>Summary!AA54</f>
        <v/>
      </c>
      <c r="AB54" s="6">
        <f>SUM(D54:AA54)</f>
        <v/>
      </c>
      <c r="AC54" s="3" t="inlineStr"/>
      <c r="AD54" s="7">
        <f>AA54*0.00028565</f>
        <v/>
      </c>
      <c r="AE54" s="7">
        <f>D54*0.00028565</f>
        <v/>
      </c>
      <c r="AF54" s="7">
        <f>E54*0.00028565</f>
        <v/>
      </c>
      <c r="AG54" s="7">
        <f>F54*0.00028565</f>
        <v/>
      </c>
      <c r="AH54" s="7">
        <f>G54*0.00028565</f>
        <v/>
      </c>
      <c r="AI54" s="7">
        <f>H54*0.00028565</f>
        <v/>
      </c>
      <c r="AJ54" s="7">
        <f>I54*0.00028565</f>
        <v/>
      </c>
      <c r="AK54" s="7">
        <f>J54*0.00028565</f>
        <v/>
      </c>
      <c r="AL54" s="7">
        <f>K54*0.00028565</f>
        <v/>
      </c>
      <c r="AM54" s="7">
        <f>L54*0.00028565</f>
        <v/>
      </c>
      <c r="AN54" s="7">
        <f>M54*0.00028565</f>
        <v/>
      </c>
      <c r="AO54" s="7">
        <f>N54*0.00028565</f>
        <v/>
      </c>
      <c r="AP54" s="7">
        <f>O54*0.00028565</f>
        <v/>
      </c>
      <c r="AQ54" s="7">
        <f>P54*0.00028565</f>
        <v/>
      </c>
      <c r="AR54" s="7">
        <f>Q54*0.00028565</f>
        <v/>
      </c>
      <c r="AS54" s="7">
        <f>R54*0.00028565</f>
        <v/>
      </c>
      <c r="AT54" s="7">
        <f>S54*0.00028565</f>
        <v/>
      </c>
      <c r="AU54" s="7">
        <f>T54*0.00028565</f>
        <v/>
      </c>
      <c r="AV54" s="7">
        <f>U54*0.00028565</f>
        <v/>
      </c>
      <c r="AW54" s="7">
        <f>V54*0.00028565</f>
        <v/>
      </c>
      <c r="AX54" s="7">
        <f>W54*0.00028565</f>
        <v/>
      </c>
      <c r="AY54" s="7">
        <f>X54*0.00028565</f>
        <v/>
      </c>
      <c r="AZ54" s="7">
        <f>Y54*0.00028565</f>
        <v/>
      </c>
      <c r="BA54" s="7">
        <f>Z54*0.00028565</f>
        <v/>
      </c>
      <c r="BB54" s="7">
        <f>SUM(AD54:BA54)</f>
        <v/>
      </c>
    </row>
    <row r="55">
      <c r="A55" t="inlineStr">
        <is>
          <t>AMD-FWDREG-SSC</t>
        </is>
      </c>
      <c r="B55" t="inlineStr">
        <is>
          <t>Forward Regular OSC</t>
        </is>
      </c>
      <c r="C55" s="5" t="n">
        <v>46102</v>
      </c>
      <c r="D55" s="6">
        <f>Summary!D55</f>
        <v/>
      </c>
      <c r="E55" s="6">
        <f>Summary!E55</f>
        <v/>
      </c>
      <c r="F55" s="6">
        <f>Summary!F55</f>
        <v/>
      </c>
      <c r="G55" s="6">
        <f>Summary!G55</f>
        <v/>
      </c>
      <c r="H55" s="6">
        <f>Summary!H55</f>
        <v/>
      </c>
      <c r="I55" s="6">
        <f>Summary!I55</f>
        <v/>
      </c>
      <c r="J55" s="6">
        <f>Summary!J55</f>
        <v/>
      </c>
      <c r="K55" s="6">
        <f>Summary!K55</f>
        <v/>
      </c>
      <c r="L55" s="6">
        <f>Summary!L55</f>
        <v/>
      </c>
      <c r="M55" s="6">
        <f>Summary!M55</f>
        <v/>
      </c>
      <c r="N55" s="6">
        <f>Summary!N55</f>
        <v/>
      </c>
      <c r="O55" s="6">
        <f>Summary!O55</f>
        <v/>
      </c>
      <c r="P55" s="6">
        <f>Summary!P55</f>
        <v/>
      </c>
      <c r="Q55" s="6">
        <f>Summary!Q55</f>
        <v/>
      </c>
      <c r="R55" s="6">
        <f>Summary!R55</f>
        <v/>
      </c>
      <c r="S55" s="6">
        <f>Summary!S55</f>
        <v/>
      </c>
      <c r="T55" s="6">
        <f>Summary!T55</f>
        <v/>
      </c>
      <c r="U55" s="6">
        <f>Summary!U55</f>
        <v/>
      </c>
      <c r="V55" s="6">
        <f>Summary!V55</f>
        <v/>
      </c>
      <c r="W55" s="6">
        <f>Summary!W55</f>
        <v/>
      </c>
      <c r="X55" s="6">
        <f>Summary!X55</f>
        <v/>
      </c>
      <c r="Y55" s="6">
        <f>Summary!Y55</f>
        <v/>
      </c>
      <c r="Z55" s="6">
        <f>Summary!Z55</f>
        <v/>
      </c>
      <c r="AA55" s="6">
        <f>Summary!AA55</f>
        <v/>
      </c>
      <c r="AB55" s="6">
        <f>SUM(D55:AA55)</f>
        <v/>
      </c>
      <c r="AC55" s="3" t="inlineStr"/>
      <c r="AD55" s="7">
        <f>AA55*0.00028565</f>
        <v/>
      </c>
      <c r="AE55" s="7">
        <f>D55*0.00028565</f>
        <v/>
      </c>
      <c r="AF55" s="7">
        <f>E55*0.00028565</f>
        <v/>
      </c>
      <c r="AG55" s="7">
        <f>F55*0.00028565</f>
        <v/>
      </c>
      <c r="AH55" s="7">
        <f>G55*0.00028565</f>
        <v/>
      </c>
      <c r="AI55" s="7">
        <f>H55*0.00028565</f>
        <v/>
      </c>
      <c r="AJ55" s="7">
        <f>I55*0.00028565</f>
        <v/>
      </c>
      <c r="AK55" s="7">
        <f>J55*0.00028565</f>
        <v/>
      </c>
      <c r="AL55" s="7">
        <f>K55*0.00028565</f>
        <v/>
      </c>
      <c r="AM55" s="7">
        <f>L55*0.00028565</f>
        <v/>
      </c>
      <c r="AN55" s="7">
        <f>M55*0.00028565</f>
        <v/>
      </c>
      <c r="AO55" s="7">
        <f>N55*0.00028565</f>
        <v/>
      </c>
      <c r="AP55" s="7">
        <f>O55*0.00028565</f>
        <v/>
      </c>
      <c r="AQ55" s="7">
        <f>P55*0.00028565</f>
        <v/>
      </c>
      <c r="AR55" s="7">
        <f>Q55*0.00028565</f>
        <v/>
      </c>
      <c r="AS55" s="7">
        <f>R55*0.00028565</f>
        <v/>
      </c>
      <c r="AT55" s="7">
        <f>S55*0.00028565</f>
        <v/>
      </c>
      <c r="AU55" s="7">
        <f>T55*0.00028565</f>
        <v/>
      </c>
      <c r="AV55" s="7">
        <f>U55*0.00028565</f>
        <v/>
      </c>
      <c r="AW55" s="7">
        <f>V55*0.00028565</f>
        <v/>
      </c>
      <c r="AX55" s="7">
        <f>W55*0.00028565</f>
        <v/>
      </c>
      <c r="AY55" s="7">
        <f>X55*0.00028565</f>
        <v/>
      </c>
      <c r="AZ55" s="7">
        <f>Y55*0.00028565</f>
        <v/>
      </c>
      <c r="BA55" s="7">
        <f>Z55*0.00028565</f>
        <v/>
      </c>
      <c r="BB55" s="7">
        <f>SUM(AD55:BA55)</f>
        <v/>
      </c>
    </row>
    <row r="56">
      <c r="A56" t="inlineStr">
        <is>
          <t>AMD-FWDREG-SSC</t>
        </is>
      </c>
      <c r="B56" t="inlineStr">
        <is>
          <t>Forward Regular OSC</t>
        </is>
      </c>
      <c r="C56" s="5" t="n">
        <v>46103</v>
      </c>
      <c r="D56" s="6">
        <f>Summary!D56</f>
        <v/>
      </c>
      <c r="E56" s="6">
        <f>Summary!E56</f>
        <v/>
      </c>
      <c r="F56" s="6">
        <f>Summary!F56</f>
        <v/>
      </c>
      <c r="G56" s="6">
        <f>Summary!G56</f>
        <v/>
      </c>
      <c r="H56" s="6">
        <f>Summary!H56</f>
        <v/>
      </c>
      <c r="I56" s="6">
        <f>Summary!I56</f>
        <v/>
      </c>
      <c r="J56" s="6">
        <f>Summary!J56</f>
        <v/>
      </c>
      <c r="K56" s="6">
        <f>Summary!K56</f>
        <v/>
      </c>
      <c r="L56" s="6">
        <f>Summary!L56</f>
        <v/>
      </c>
      <c r="M56" s="6">
        <f>Summary!M56</f>
        <v/>
      </c>
      <c r="N56" s="6">
        <f>Summary!N56</f>
        <v/>
      </c>
      <c r="O56" s="6">
        <f>Summary!O56</f>
        <v/>
      </c>
      <c r="P56" s="6">
        <f>Summary!P56</f>
        <v/>
      </c>
      <c r="Q56" s="6">
        <f>Summary!Q56</f>
        <v/>
      </c>
      <c r="R56" s="6">
        <f>Summary!R56</f>
        <v/>
      </c>
      <c r="S56" s="6">
        <f>Summary!S56</f>
        <v/>
      </c>
      <c r="T56" s="6">
        <f>Summary!T56</f>
        <v/>
      </c>
      <c r="U56" s="6">
        <f>Summary!U56</f>
        <v/>
      </c>
      <c r="V56" s="6">
        <f>Summary!V56</f>
        <v/>
      </c>
      <c r="W56" s="6">
        <f>Summary!W56</f>
        <v/>
      </c>
      <c r="X56" s="6">
        <f>Summary!X56</f>
        <v/>
      </c>
      <c r="Y56" s="6">
        <f>Summary!Y56</f>
        <v/>
      </c>
      <c r="Z56" s="6">
        <f>Summary!Z56</f>
        <v/>
      </c>
      <c r="AA56" s="6">
        <f>Summary!AA56</f>
        <v/>
      </c>
      <c r="AB56" s="6">
        <f>SUM(D56:AA56)</f>
        <v/>
      </c>
      <c r="AC56" s="3" t="inlineStr"/>
      <c r="AD56" s="7">
        <f>AA56*0.00028565</f>
        <v/>
      </c>
      <c r="AE56" s="7">
        <f>D56*0.00028565</f>
        <v/>
      </c>
      <c r="AF56" s="7">
        <f>E56*0.00028565</f>
        <v/>
      </c>
      <c r="AG56" s="7">
        <f>F56*0.00028565</f>
        <v/>
      </c>
      <c r="AH56" s="7">
        <f>G56*0.00028565</f>
        <v/>
      </c>
      <c r="AI56" s="7">
        <f>H56*0.00028565</f>
        <v/>
      </c>
      <c r="AJ56" s="7">
        <f>I56*0.00028565</f>
        <v/>
      </c>
      <c r="AK56" s="7">
        <f>J56*0.00028565</f>
        <v/>
      </c>
      <c r="AL56" s="7">
        <f>K56*0.00028565</f>
        <v/>
      </c>
      <c r="AM56" s="7">
        <f>L56*0.00028565</f>
        <v/>
      </c>
      <c r="AN56" s="7">
        <f>M56*0.00028565</f>
        <v/>
      </c>
      <c r="AO56" s="7">
        <f>N56*0.00028565</f>
        <v/>
      </c>
      <c r="AP56" s="7">
        <f>O56*0.00028565</f>
        <v/>
      </c>
      <c r="AQ56" s="7">
        <f>P56*0.00028565</f>
        <v/>
      </c>
      <c r="AR56" s="7">
        <f>Q56*0.00028565</f>
        <v/>
      </c>
      <c r="AS56" s="7">
        <f>R56*0.00028565</f>
        <v/>
      </c>
      <c r="AT56" s="7">
        <f>S56*0.00028565</f>
        <v/>
      </c>
      <c r="AU56" s="7">
        <f>T56*0.00028565</f>
        <v/>
      </c>
      <c r="AV56" s="7">
        <f>U56*0.00028565</f>
        <v/>
      </c>
      <c r="AW56" s="7">
        <f>V56*0.00028565</f>
        <v/>
      </c>
      <c r="AX56" s="7">
        <f>W56*0.00028565</f>
        <v/>
      </c>
      <c r="AY56" s="7">
        <f>X56*0.00028565</f>
        <v/>
      </c>
      <c r="AZ56" s="7">
        <f>Y56*0.00028565</f>
        <v/>
      </c>
      <c r="BA56" s="7">
        <f>Z56*0.00028565</f>
        <v/>
      </c>
      <c r="BB56" s="7">
        <f>SUM(AD56:BA56)</f>
        <v/>
      </c>
    </row>
    <row r="57">
      <c r="A57" t="inlineStr">
        <is>
          <t>AMD-FWDREG-SSC</t>
        </is>
      </c>
      <c r="B57" t="inlineStr">
        <is>
          <t>Forward Regular OSC</t>
        </is>
      </c>
      <c r="C57" s="5" t="n">
        <v>46104</v>
      </c>
      <c r="D57" s="6">
        <f>Summary!D57</f>
        <v/>
      </c>
      <c r="E57" s="6">
        <f>Summary!E57</f>
        <v/>
      </c>
      <c r="F57" s="6">
        <f>Summary!F57</f>
        <v/>
      </c>
      <c r="G57" s="6">
        <f>Summary!G57</f>
        <v/>
      </c>
      <c r="H57" s="6">
        <f>Summary!H57</f>
        <v/>
      </c>
      <c r="I57" s="6">
        <f>Summary!I57</f>
        <v/>
      </c>
      <c r="J57" s="6">
        <f>Summary!J57</f>
        <v/>
      </c>
      <c r="K57" s="6">
        <f>Summary!K57</f>
        <v/>
      </c>
      <c r="L57" s="6">
        <f>Summary!L57</f>
        <v/>
      </c>
      <c r="M57" s="6">
        <f>Summary!M57</f>
        <v/>
      </c>
      <c r="N57" s="6">
        <f>Summary!N57</f>
        <v/>
      </c>
      <c r="O57" s="6">
        <f>Summary!O57</f>
        <v/>
      </c>
      <c r="P57" s="6">
        <f>Summary!P57</f>
        <v/>
      </c>
      <c r="Q57" s="6">
        <f>Summary!Q57</f>
        <v/>
      </c>
      <c r="R57" s="6">
        <f>Summary!R57</f>
        <v/>
      </c>
      <c r="S57" s="6">
        <f>Summary!S57</f>
        <v/>
      </c>
      <c r="T57" s="6">
        <f>Summary!T57</f>
        <v/>
      </c>
      <c r="U57" s="6">
        <f>Summary!U57</f>
        <v/>
      </c>
      <c r="V57" s="6">
        <f>Summary!V57</f>
        <v/>
      </c>
      <c r="W57" s="6">
        <f>Summary!W57</f>
        <v/>
      </c>
      <c r="X57" s="6">
        <f>Summary!X57</f>
        <v/>
      </c>
      <c r="Y57" s="6">
        <f>Summary!Y57</f>
        <v/>
      </c>
      <c r="Z57" s="6">
        <f>Summary!Z57</f>
        <v/>
      </c>
      <c r="AA57" s="6">
        <f>Summary!AA57</f>
        <v/>
      </c>
      <c r="AB57" s="6">
        <f>SUM(D57:AA57)</f>
        <v/>
      </c>
      <c r="AC57" s="3" t="inlineStr"/>
      <c r="AD57" s="7">
        <f>AA57*0.00028565</f>
        <v/>
      </c>
      <c r="AE57" s="7">
        <f>D57*0.00028565</f>
        <v/>
      </c>
      <c r="AF57" s="7">
        <f>E57*0.00028565</f>
        <v/>
      </c>
      <c r="AG57" s="7">
        <f>F57*0.00028565</f>
        <v/>
      </c>
      <c r="AH57" s="7">
        <f>G57*0.00028565</f>
        <v/>
      </c>
      <c r="AI57" s="7">
        <f>H57*0.00028565</f>
        <v/>
      </c>
      <c r="AJ57" s="7">
        <f>I57*0.00028565</f>
        <v/>
      </c>
      <c r="AK57" s="7">
        <f>J57*0.00028565</f>
        <v/>
      </c>
      <c r="AL57" s="7">
        <f>K57*0.00028565</f>
        <v/>
      </c>
      <c r="AM57" s="7">
        <f>L57*0.00028565</f>
        <v/>
      </c>
      <c r="AN57" s="7">
        <f>M57*0.00028565</f>
        <v/>
      </c>
      <c r="AO57" s="7">
        <f>N57*0.00028565</f>
        <v/>
      </c>
      <c r="AP57" s="7">
        <f>O57*0.00028565</f>
        <v/>
      </c>
      <c r="AQ57" s="7">
        <f>P57*0.00028565</f>
        <v/>
      </c>
      <c r="AR57" s="7">
        <f>Q57*0.00028565</f>
        <v/>
      </c>
      <c r="AS57" s="7">
        <f>R57*0.00028565</f>
        <v/>
      </c>
      <c r="AT57" s="7">
        <f>S57*0.00028565</f>
        <v/>
      </c>
      <c r="AU57" s="7">
        <f>T57*0.00028565</f>
        <v/>
      </c>
      <c r="AV57" s="7">
        <f>U57*0.00028565</f>
        <v/>
      </c>
      <c r="AW57" s="7">
        <f>V57*0.00028565</f>
        <v/>
      </c>
      <c r="AX57" s="7">
        <f>W57*0.00028565</f>
        <v/>
      </c>
      <c r="AY57" s="7">
        <f>X57*0.00028565</f>
        <v/>
      </c>
      <c r="AZ57" s="7">
        <f>Y57*0.00028565</f>
        <v/>
      </c>
      <c r="BA57" s="7">
        <f>Z57*0.00028565</f>
        <v/>
      </c>
      <c r="BB57" s="7">
        <f>SUM(AD57:BA57)</f>
        <v/>
      </c>
    </row>
    <row r="58">
      <c r="A58" t="inlineStr">
        <is>
          <t>AMD-FWDREG-SSC</t>
        </is>
      </c>
      <c r="B58" t="inlineStr">
        <is>
          <t>Forward Regular OSC</t>
        </is>
      </c>
      <c r="C58" s="5" t="n">
        <v>46105</v>
      </c>
      <c r="D58" s="6">
        <f>Summary!D58</f>
        <v/>
      </c>
      <c r="E58" s="6">
        <f>Summary!E58</f>
        <v/>
      </c>
      <c r="F58" s="6">
        <f>Summary!F58</f>
        <v/>
      </c>
      <c r="G58" s="6">
        <f>Summary!G58</f>
        <v/>
      </c>
      <c r="H58" s="6">
        <f>Summary!H58</f>
        <v/>
      </c>
      <c r="I58" s="6">
        <f>Summary!I58</f>
        <v/>
      </c>
      <c r="J58" s="6">
        <f>Summary!J58</f>
        <v/>
      </c>
      <c r="K58" s="6">
        <f>Summary!K58</f>
        <v/>
      </c>
      <c r="L58" s="6">
        <f>Summary!L58</f>
        <v/>
      </c>
      <c r="M58" s="6">
        <f>Summary!M58</f>
        <v/>
      </c>
      <c r="N58" s="6">
        <f>Summary!N58</f>
        <v/>
      </c>
      <c r="O58" s="6">
        <f>Summary!O58</f>
        <v/>
      </c>
      <c r="P58" s="6">
        <f>Summary!P58</f>
        <v/>
      </c>
      <c r="Q58" s="6">
        <f>Summary!Q58</f>
        <v/>
      </c>
      <c r="R58" s="6">
        <f>Summary!R58</f>
        <v/>
      </c>
      <c r="S58" s="6">
        <f>Summary!S58</f>
        <v/>
      </c>
      <c r="T58" s="6">
        <f>Summary!T58</f>
        <v/>
      </c>
      <c r="U58" s="6">
        <f>Summary!U58</f>
        <v/>
      </c>
      <c r="V58" s="6">
        <f>Summary!V58</f>
        <v/>
      </c>
      <c r="W58" s="6">
        <f>Summary!W58</f>
        <v/>
      </c>
      <c r="X58" s="6">
        <f>Summary!X58</f>
        <v/>
      </c>
      <c r="Y58" s="6">
        <f>Summary!Y58</f>
        <v/>
      </c>
      <c r="Z58" s="6">
        <f>Summary!Z58</f>
        <v/>
      </c>
      <c r="AA58" s="6">
        <f>Summary!AA58</f>
        <v/>
      </c>
      <c r="AB58" s="6">
        <f>SUM(D58:AA58)</f>
        <v/>
      </c>
      <c r="AC58" s="3" t="inlineStr"/>
      <c r="AD58" s="7">
        <f>AA58*0.00028565</f>
        <v/>
      </c>
      <c r="AE58" s="7">
        <f>D58*0.00028565</f>
        <v/>
      </c>
      <c r="AF58" s="7">
        <f>E58*0.00028565</f>
        <v/>
      </c>
      <c r="AG58" s="7">
        <f>F58*0.00028565</f>
        <v/>
      </c>
      <c r="AH58" s="7">
        <f>G58*0.00028565</f>
        <v/>
      </c>
      <c r="AI58" s="7">
        <f>H58*0.00028565</f>
        <v/>
      </c>
      <c r="AJ58" s="7">
        <f>I58*0.00028565</f>
        <v/>
      </c>
      <c r="AK58" s="7">
        <f>J58*0.00028565</f>
        <v/>
      </c>
      <c r="AL58" s="7">
        <f>K58*0.00028565</f>
        <v/>
      </c>
      <c r="AM58" s="7">
        <f>L58*0.00028565</f>
        <v/>
      </c>
      <c r="AN58" s="7">
        <f>M58*0.00028565</f>
        <v/>
      </c>
      <c r="AO58" s="7">
        <f>N58*0.00028565</f>
        <v/>
      </c>
      <c r="AP58" s="7">
        <f>O58*0.00028565</f>
        <v/>
      </c>
      <c r="AQ58" s="7">
        <f>P58*0.00028565</f>
        <v/>
      </c>
      <c r="AR58" s="7">
        <f>Q58*0.00028565</f>
        <v/>
      </c>
      <c r="AS58" s="7">
        <f>R58*0.00028565</f>
        <v/>
      </c>
      <c r="AT58" s="7">
        <f>S58*0.00028565</f>
        <v/>
      </c>
      <c r="AU58" s="7">
        <f>T58*0.00028565</f>
        <v/>
      </c>
      <c r="AV58" s="7">
        <f>U58*0.00028565</f>
        <v/>
      </c>
      <c r="AW58" s="7">
        <f>V58*0.00028565</f>
        <v/>
      </c>
      <c r="AX58" s="7">
        <f>W58*0.00028565</f>
        <v/>
      </c>
      <c r="AY58" s="7">
        <f>X58*0.00028565</f>
        <v/>
      </c>
      <c r="AZ58" s="7">
        <f>Y58*0.00028565</f>
        <v/>
      </c>
      <c r="BA58" s="7">
        <f>Z58*0.00028565</f>
        <v/>
      </c>
      <c r="BB58" s="7">
        <f>SUM(AD58:BA58)</f>
        <v/>
      </c>
    </row>
    <row r="59">
      <c r="A59" t="inlineStr">
        <is>
          <t>AMD-INTRA-SSC</t>
        </is>
      </c>
      <c r="B59" t="inlineStr">
        <is>
          <t>Forward Regular OSC</t>
        </is>
      </c>
      <c r="C59" s="5" t="n">
        <v>46098</v>
      </c>
      <c r="D59" s="6">
        <f>Summary!D59</f>
        <v/>
      </c>
      <c r="E59" s="6">
        <f>Summary!E59</f>
        <v/>
      </c>
      <c r="F59" s="6">
        <f>Summary!F59</f>
        <v/>
      </c>
      <c r="G59" s="6">
        <f>Summary!G59</f>
        <v/>
      </c>
      <c r="H59" s="6">
        <f>Summary!H59</f>
        <v/>
      </c>
      <c r="I59" s="6">
        <f>Summary!I59</f>
        <v/>
      </c>
      <c r="J59" s="6">
        <f>Summary!J59</f>
        <v/>
      </c>
      <c r="K59" s="6">
        <f>Summary!K59</f>
        <v/>
      </c>
      <c r="L59" s="6">
        <f>Summary!L59</f>
        <v/>
      </c>
      <c r="M59" s="6">
        <f>Summary!M59</f>
        <v/>
      </c>
      <c r="N59" s="6">
        <f>Summary!N59</f>
        <v/>
      </c>
      <c r="O59" s="6">
        <f>Summary!O59</f>
        <v/>
      </c>
      <c r="P59" s="6">
        <f>Summary!P59</f>
        <v/>
      </c>
      <c r="Q59" s="6">
        <f>Summary!Q59</f>
        <v/>
      </c>
      <c r="R59" s="6">
        <f>Summary!R59</f>
        <v/>
      </c>
      <c r="S59" s="6">
        <f>Summary!S59</f>
        <v/>
      </c>
      <c r="T59" s="6">
        <f>Summary!T59</f>
        <v/>
      </c>
      <c r="U59" s="6">
        <f>Summary!U59</f>
        <v/>
      </c>
      <c r="V59" s="6">
        <f>Summary!V59</f>
        <v/>
      </c>
      <c r="W59" s="6">
        <f>Summary!W59</f>
        <v/>
      </c>
      <c r="X59" s="6">
        <f>Summary!X59</f>
        <v/>
      </c>
      <c r="Y59" s="6">
        <f>Summary!Y59</f>
        <v/>
      </c>
      <c r="Z59" s="6">
        <f>Summary!Z59</f>
        <v/>
      </c>
      <c r="AA59" s="6">
        <f>Summary!AA59</f>
        <v/>
      </c>
      <c r="AB59" s="6">
        <f>SUM(D59:AA59)</f>
        <v/>
      </c>
      <c r="AC59" s="3" t="inlineStr"/>
      <c r="AD59" s="7">
        <f>AA59*0.00028565</f>
        <v/>
      </c>
      <c r="AE59" s="7">
        <f>D59*0.00028565</f>
        <v/>
      </c>
      <c r="AF59" s="7">
        <f>E59*0.00028565</f>
        <v/>
      </c>
      <c r="AG59" s="7">
        <f>F59*0.00028565</f>
        <v/>
      </c>
      <c r="AH59" s="7">
        <f>G59*0.00028565</f>
        <v/>
      </c>
      <c r="AI59" s="7">
        <f>H59*0.00028565</f>
        <v/>
      </c>
      <c r="AJ59" s="7">
        <f>I59*0.00028565</f>
        <v/>
      </c>
      <c r="AK59" s="7">
        <f>J59*0.00028565</f>
        <v/>
      </c>
      <c r="AL59" s="7">
        <f>K59*0.00028565</f>
        <v/>
      </c>
      <c r="AM59" s="7">
        <f>L59*0.00028565</f>
        <v/>
      </c>
      <c r="AN59" s="7">
        <f>M59*0.00028565</f>
        <v/>
      </c>
      <c r="AO59" s="7">
        <f>N59*0.00028565</f>
        <v/>
      </c>
      <c r="AP59" s="7">
        <f>O59*0.00028565</f>
        <v/>
      </c>
      <c r="AQ59" s="7">
        <f>P59*0.00028565</f>
        <v/>
      </c>
      <c r="AR59" s="7">
        <f>Q59*0.00028565</f>
        <v/>
      </c>
      <c r="AS59" s="7">
        <f>R59*0.00028565</f>
        <v/>
      </c>
      <c r="AT59" s="7">
        <f>S59*0.00028565</f>
        <v/>
      </c>
      <c r="AU59" s="7">
        <f>T59*0.00028565</f>
        <v/>
      </c>
      <c r="AV59" s="7">
        <f>U59*0.00028565</f>
        <v/>
      </c>
      <c r="AW59" s="7">
        <f>V59*0.00028565</f>
        <v/>
      </c>
      <c r="AX59" s="7">
        <f>W59*0.00028565</f>
        <v/>
      </c>
      <c r="AY59" s="7">
        <f>X59*0.00028565</f>
        <v/>
      </c>
      <c r="AZ59" s="7">
        <f>Y59*0.00028565</f>
        <v/>
      </c>
      <c r="BA59" s="7">
        <f>Z59*0.00028565</f>
        <v/>
      </c>
      <c r="BB59" s="7">
        <f>SUM(AD59:BA59)</f>
        <v/>
      </c>
    </row>
    <row r="60">
      <c r="A60" t="inlineStr">
        <is>
          <t>AMD-INTRA-SSC</t>
        </is>
      </c>
      <c r="B60" t="inlineStr">
        <is>
          <t>Forward Regular OSC</t>
        </is>
      </c>
      <c r="C60" s="5" t="n">
        <v>46099</v>
      </c>
      <c r="D60" s="6">
        <f>Summary!D60</f>
        <v/>
      </c>
      <c r="E60" s="6">
        <f>Summary!E60</f>
        <v/>
      </c>
      <c r="F60" s="6">
        <f>Summary!F60</f>
        <v/>
      </c>
      <c r="G60" s="6">
        <f>Summary!G60</f>
        <v/>
      </c>
      <c r="H60" s="6">
        <f>Summary!H60</f>
        <v/>
      </c>
      <c r="I60" s="6">
        <f>Summary!I60</f>
        <v/>
      </c>
      <c r="J60" s="6">
        <f>Summary!J60</f>
        <v/>
      </c>
      <c r="K60" s="6">
        <f>Summary!K60</f>
        <v/>
      </c>
      <c r="L60" s="6">
        <f>Summary!L60</f>
        <v/>
      </c>
      <c r="M60" s="6">
        <f>Summary!M60</f>
        <v/>
      </c>
      <c r="N60" s="6">
        <f>Summary!N60</f>
        <v/>
      </c>
      <c r="O60" s="6">
        <f>Summary!O60</f>
        <v/>
      </c>
      <c r="P60" s="6">
        <f>Summary!P60</f>
        <v/>
      </c>
      <c r="Q60" s="6">
        <f>Summary!Q60</f>
        <v/>
      </c>
      <c r="R60" s="6">
        <f>Summary!R60</f>
        <v/>
      </c>
      <c r="S60" s="6">
        <f>Summary!S60</f>
        <v/>
      </c>
      <c r="T60" s="6">
        <f>Summary!T60</f>
        <v/>
      </c>
      <c r="U60" s="6">
        <f>Summary!U60</f>
        <v/>
      </c>
      <c r="V60" s="6">
        <f>Summary!V60</f>
        <v/>
      </c>
      <c r="W60" s="6">
        <f>Summary!W60</f>
        <v/>
      </c>
      <c r="X60" s="6">
        <f>Summary!X60</f>
        <v/>
      </c>
      <c r="Y60" s="6">
        <f>Summary!Y60</f>
        <v/>
      </c>
      <c r="Z60" s="6">
        <f>Summary!Z60</f>
        <v/>
      </c>
      <c r="AA60" s="6">
        <f>Summary!AA60</f>
        <v/>
      </c>
      <c r="AB60" s="6">
        <f>SUM(D60:AA60)</f>
        <v/>
      </c>
      <c r="AC60" s="3" t="inlineStr"/>
      <c r="AD60" s="7">
        <f>AA60*0.00028565</f>
        <v/>
      </c>
      <c r="AE60" s="7">
        <f>D60*0.00028565</f>
        <v/>
      </c>
      <c r="AF60" s="7">
        <f>E60*0.00028565</f>
        <v/>
      </c>
      <c r="AG60" s="7">
        <f>F60*0.00028565</f>
        <v/>
      </c>
      <c r="AH60" s="7">
        <f>G60*0.00028565</f>
        <v/>
      </c>
      <c r="AI60" s="7">
        <f>H60*0.00028565</f>
        <v/>
      </c>
      <c r="AJ60" s="7">
        <f>I60*0.00028565</f>
        <v/>
      </c>
      <c r="AK60" s="7">
        <f>J60*0.00028565</f>
        <v/>
      </c>
      <c r="AL60" s="7">
        <f>K60*0.00028565</f>
        <v/>
      </c>
      <c r="AM60" s="7">
        <f>L60*0.00028565</f>
        <v/>
      </c>
      <c r="AN60" s="7">
        <f>M60*0.00028565</f>
        <v/>
      </c>
      <c r="AO60" s="7">
        <f>N60*0.00028565</f>
        <v/>
      </c>
      <c r="AP60" s="7">
        <f>O60*0.00028565</f>
        <v/>
      </c>
      <c r="AQ60" s="7">
        <f>P60*0.00028565</f>
        <v/>
      </c>
      <c r="AR60" s="7">
        <f>Q60*0.00028565</f>
        <v/>
      </c>
      <c r="AS60" s="7">
        <f>R60*0.00028565</f>
        <v/>
      </c>
      <c r="AT60" s="7">
        <f>S60*0.00028565</f>
        <v/>
      </c>
      <c r="AU60" s="7">
        <f>T60*0.00028565</f>
        <v/>
      </c>
      <c r="AV60" s="7">
        <f>U60*0.00028565</f>
        <v/>
      </c>
      <c r="AW60" s="7">
        <f>V60*0.00028565</f>
        <v/>
      </c>
      <c r="AX60" s="7">
        <f>W60*0.00028565</f>
        <v/>
      </c>
      <c r="AY60" s="7">
        <f>X60*0.00028565</f>
        <v/>
      </c>
      <c r="AZ60" s="7">
        <f>Y60*0.00028565</f>
        <v/>
      </c>
      <c r="BA60" s="7">
        <f>Z60*0.00028565</f>
        <v/>
      </c>
      <c r="BB60" s="7">
        <f>SUM(AD60:BA60)</f>
        <v/>
      </c>
    </row>
    <row r="61">
      <c r="A61" t="inlineStr">
        <is>
          <t>AMD-INTRA-SSC</t>
        </is>
      </c>
      <c r="B61" t="inlineStr">
        <is>
          <t>Forward Regular OSC</t>
        </is>
      </c>
      <c r="C61" s="5" t="n">
        <v>46100</v>
      </c>
      <c r="D61" s="6">
        <f>Summary!D61</f>
        <v/>
      </c>
      <c r="E61" s="6">
        <f>Summary!E61</f>
        <v/>
      </c>
      <c r="F61" s="6">
        <f>Summary!F61</f>
        <v/>
      </c>
      <c r="G61" s="6">
        <f>Summary!G61</f>
        <v/>
      </c>
      <c r="H61" s="6">
        <f>Summary!H61</f>
        <v/>
      </c>
      <c r="I61" s="6">
        <f>Summary!I61</f>
        <v/>
      </c>
      <c r="J61" s="6">
        <f>Summary!J61</f>
        <v/>
      </c>
      <c r="K61" s="6">
        <f>Summary!K61</f>
        <v/>
      </c>
      <c r="L61" s="6">
        <f>Summary!L61</f>
        <v/>
      </c>
      <c r="M61" s="6">
        <f>Summary!M61</f>
        <v/>
      </c>
      <c r="N61" s="6">
        <f>Summary!N61</f>
        <v/>
      </c>
      <c r="O61" s="6">
        <f>Summary!O61</f>
        <v/>
      </c>
      <c r="P61" s="6">
        <f>Summary!P61</f>
        <v/>
      </c>
      <c r="Q61" s="6">
        <f>Summary!Q61</f>
        <v/>
      </c>
      <c r="R61" s="6">
        <f>Summary!R61</f>
        <v/>
      </c>
      <c r="S61" s="6">
        <f>Summary!S61</f>
        <v/>
      </c>
      <c r="T61" s="6">
        <f>Summary!T61</f>
        <v/>
      </c>
      <c r="U61" s="6">
        <f>Summary!U61</f>
        <v/>
      </c>
      <c r="V61" s="6">
        <f>Summary!V61</f>
        <v/>
      </c>
      <c r="W61" s="6">
        <f>Summary!W61</f>
        <v/>
      </c>
      <c r="X61" s="6">
        <f>Summary!X61</f>
        <v/>
      </c>
      <c r="Y61" s="6">
        <f>Summary!Y61</f>
        <v/>
      </c>
      <c r="Z61" s="6">
        <f>Summary!Z61</f>
        <v/>
      </c>
      <c r="AA61" s="6">
        <f>Summary!AA61</f>
        <v/>
      </c>
      <c r="AB61" s="6">
        <f>SUM(D61:AA61)</f>
        <v/>
      </c>
      <c r="AC61" s="3" t="inlineStr"/>
      <c r="AD61" s="7">
        <f>AA61*0.00028565</f>
        <v/>
      </c>
      <c r="AE61" s="7">
        <f>D61*0.00028565</f>
        <v/>
      </c>
      <c r="AF61" s="7">
        <f>E61*0.00028565</f>
        <v/>
      </c>
      <c r="AG61" s="7">
        <f>F61*0.00028565</f>
        <v/>
      </c>
      <c r="AH61" s="7">
        <f>G61*0.00028565</f>
        <v/>
      </c>
      <c r="AI61" s="7">
        <f>H61*0.00028565</f>
        <v/>
      </c>
      <c r="AJ61" s="7">
        <f>I61*0.00028565</f>
        <v/>
      </c>
      <c r="AK61" s="7">
        <f>J61*0.00028565</f>
        <v/>
      </c>
      <c r="AL61" s="7">
        <f>K61*0.00028565</f>
        <v/>
      </c>
      <c r="AM61" s="7">
        <f>L61*0.00028565</f>
        <v/>
      </c>
      <c r="AN61" s="7">
        <f>M61*0.00028565</f>
        <v/>
      </c>
      <c r="AO61" s="7">
        <f>N61*0.00028565</f>
        <v/>
      </c>
      <c r="AP61" s="7">
        <f>O61*0.00028565</f>
        <v/>
      </c>
      <c r="AQ61" s="7">
        <f>P61*0.00028565</f>
        <v/>
      </c>
      <c r="AR61" s="7">
        <f>Q61*0.00028565</f>
        <v/>
      </c>
      <c r="AS61" s="7">
        <f>R61*0.00028565</f>
        <v/>
      </c>
      <c r="AT61" s="7">
        <f>S61*0.00028565</f>
        <v/>
      </c>
      <c r="AU61" s="7">
        <f>T61*0.00028565</f>
        <v/>
      </c>
      <c r="AV61" s="7">
        <f>U61*0.00028565</f>
        <v/>
      </c>
      <c r="AW61" s="7">
        <f>V61*0.00028565</f>
        <v/>
      </c>
      <c r="AX61" s="7">
        <f>W61*0.00028565</f>
        <v/>
      </c>
      <c r="AY61" s="7">
        <f>X61*0.00028565</f>
        <v/>
      </c>
      <c r="AZ61" s="7">
        <f>Y61*0.00028565</f>
        <v/>
      </c>
      <c r="BA61" s="7">
        <f>Z61*0.00028565</f>
        <v/>
      </c>
      <c r="BB61" s="7">
        <f>SUM(AD61:BA61)</f>
        <v/>
      </c>
    </row>
    <row r="62">
      <c r="A62" t="inlineStr">
        <is>
          <t>AMD-INTRA-SSC</t>
        </is>
      </c>
      <c r="B62" t="inlineStr">
        <is>
          <t>Forward Regular OSC</t>
        </is>
      </c>
      <c r="C62" s="5" t="n">
        <v>46101</v>
      </c>
      <c r="D62" s="6">
        <f>Summary!D62</f>
        <v/>
      </c>
      <c r="E62" s="6">
        <f>Summary!E62</f>
        <v/>
      </c>
      <c r="F62" s="6">
        <f>Summary!F62</f>
        <v/>
      </c>
      <c r="G62" s="6">
        <f>Summary!G62</f>
        <v/>
      </c>
      <c r="H62" s="6">
        <f>Summary!H62</f>
        <v/>
      </c>
      <c r="I62" s="6">
        <f>Summary!I62</f>
        <v/>
      </c>
      <c r="J62" s="6">
        <f>Summary!J62</f>
        <v/>
      </c>
      <c r="K62" s="6">
        <f>Summary!K62</f>
        <v/>
      </c>
      <c r="L62" s="6">
        <f>Summary!L62</f>
        <v/>
      </c>
      <c r="M62" s="6">
        <f>Summary!M62</f>
        <v/>
      </c>
      <c r="N62" s="6">
        <f>Summary!N62</f>
        <v/>
      </c>
      <c r="O62" s="6">
        <f>Summary!O62</f>
        <v/>
      </c>
      <c r="P62" s="6">
        <f>Summary!P62</f>
        <v/>
      </c>
      <c r="Q62" s="6">
        <f>Summary!Q62</f>
        <v/>
      </c>
      <c r="R62" s="6">
        <f>Summary!R62</f>
        <v/>
      </c>
      <c r="S62" s="6">
        <f>Summary!S62</f>
        <v/>
      </c>
      <c r="T62" s="6">
        <f>Summary!T62</f>
        <v/>
      </c>
      <c r="U62" s="6">
        <f>Summary!U62</f>
        <v/>
      </c>
      <c r="V62" s="6">
        <f>Summary!V62</f>
        <v/>
      </c>
      <c r="W62" s="6">
        <f>Summary!W62</f>
        <v/>
      </c>
      <c r="X62" s="6">
        <f>Summary!X62</f>
        <v/>
      </c>
      <c r="Y62" s="6">
        <f>Summary!Y62</f>
        <v/>
      </c>
      <c r="Z62" s="6">
        <f>Summary!Z62</f>
        <v/>
      </c>
      <c r="AA62" s="6">
        <f>Summary!AA62</f>
        <v/>
      </c>
      <c r="AB62" s="6">
        <f>SUM(D62:AA62)</f>
        <v/>
      </c>
      <c r="AC62" s="3" t="inlineStr"/>
      <c r="AD62" s="7">
        <f>AA62*0.00028565</f>
        <v/>
      </c>
      <c r="AE62" s="7">
        <f>D62*0.00028565</f>
        <v/>
      </c>
      <c r="AF62" s="7">
        <f>E62*0.00028565</f>
        <v/>
      </c>
      <c r="AG62" s="7">
        <f>F62*0.00028565</f>
        <v/>
      </c>
      <c r="AH62" s="7">
        <f>G62*0.00028565</f>
        <v/>
      </c>
      <c r="AI62" s="7">
        <f>H62*0.00028565</f>
        <v/>
      </c>
      <c r="AJ62" s="7">
        <f>I62*0.00028565</f>
        <v/>
      </c>
      <c r="AK62" s="7">
        <f>J62*0.00028565</f>
        <v/>
      </c>
      <c r="AL62" s="7">
        <f>K62*0.00028565</f>
        <v/>
      </c>
      <c r="AM62" s="7">
        <f>L62*0.00028565</f>
        <v/>
      </c>
      <c r="AN62" s="7">
        <f>M62*0.00028565</f>
        <v/>
      </c>
      <c r="AO62" s="7">
        <f>N62*0.00028565</f>
        <v/>
      </c>
      <c r="AP62" s="7">
        <f>O62*0.00028565</f>
        <v/>
      </c>
      <c r="AQ62" s="7">
        <f>P62*0.00028565</f>
        <v/>
      </c>
      <c r="AR62" s="7">
        <f>Q62*0.00028565</f>
        <v/>
      </c>
      <c r="AS62" s="7">
        <f>R62*0.00028565</f>
        <v/>
      </c>
      <c r="AT62" s="7">
        <f>S62*0.00028565</f>
        <v/>
      </c>
      <c r="AU62" s="7">
        <f>T62*0.00028565</f>
        <v/>
      </c>
      <c r="AV62" s="7">
        <f>U62*0.00028565</f>
        <v/>
      </c>
      <c r="AW62" s="7">
        <f>V62*0.00028565</f>
        <v/>
      </c>
      <c r="AX62" s="7">
        <f>W62*0.00028565</f>
        <v/>
      </c>
      <c r="AY62" s="7">
        <f>X62*0.00028565</f>
        <v/>
      </c>
      <c r="AZ62" s="7">
        <f>Y62*0.00028565</f>
        <v/>
      </c>
      <c r="BA62" s="7">
        <f>Z62*0.00028565</f>
        <v/>
      </c>
      <c r="BB62" s="7">
        <f>SUM(AD62:BA62)</f>
        <v/>
      </c>
    </row>
    <row r="63">
      <c r="A63" t="inlineStr">
        <is>
          <t>AMD-INTRA-SSC</t>
        </is>
      </c>
      <c r="B63" t="inlineStr">
        <is>
          <t>Forward Regular OSC</t>
        </is>
      </c>
      <c r="C63" s="5" t="n">
        <v>46102</v>
      </c>
      <c r="D63" s="6">
        <f>Summary!D63</f>
        <v/>
      </c>
      <c r="E63" s="6">
        <f>Summary!E63</f>
        <v/>
      </c>
      <c r="F63" s="6">
        <f>Summary!F63</f>
        <v/>
      </c>
      <c r="G63" s="6">
        <f>Summary!G63</f>
        <v/>
      </c>
      <c r="H63" s="6">
        <f>Summary!H63</f>
        <v/>
      </c>
      <c r="I63" s="6">
        <f>Summary!I63</f>
        <v/>
      </c>
      <c r="J63" s="6">
        <f>Summary!J63</f>
        <v/>
      </c>
      <c r="K63" s="6">
        <f>Summary!K63</f>
        <v/>
      </c>
      <c r="L63" s="6">
        <f>Summary!L63</f>
        <v/>
      </c>
      <c r="M63" s="6">
        <f>Summary!M63</f>
        <v/>
      </c>
      <c r="N63" s="6">
        <f>Summary!N63</f>
        <v/>
      </c>
      <c r="O63" s="6">
        <f>Summary!O63</f>
        <v/>
      </c>
      <c r="P63" s="6">
        <f>Summary!P63</f>
        <v/>
      </c>
      <c r="Q63" s="6">
        <f>Summary!Q63</f>
        <v/>
      </c>
      <c r="R63" s="6">
        <f>Summary!R63</f>
        <v/>
      </c>
      <c r="S63" s="6">
        <f>Summary!S63</f>
        <v/>
      </c>
      <c r="T63" s="6">
        <f>Summary!T63</f>
        <v/>
      </c>
      <c r="U63" s="6">
        <f>Summary!U63</f>
        <v/>
      </c>
      <c r="V63" s="6">
        <f>Summary!V63</f>
        <v/>
      </c>
      <c r="W63" s="6">
        <f>Summary!W63</f>
        <v/>
      </c>
      <c r="X63" s="6">
        <f>Summary!X63</f>
        <v/>
      </c>
      <c r="Y63" s="6">
        <f>Summary!Y63</f>
        <v/>
      </c>
      <c r="Z63" s="6">
        <f>Summary!Z63</f>
        <v/>
      </c>
      <c r="AA63" s="6">
        <f>Summary!AA63</f>
        <v/>
      </c>
      <c r="AB63" s="6">
        <f>SUM(D63:AA63)</f>
        <v/>
      </c>
      <c r="AC63" s="3" t="inlineStr"/>
      <c r="AD63" s="7">
        <f>AA63*0.00028565</f>
        <v/>
      </c>
      <c r="AE63" s="7">
        <f>D63*0.00028565</f>
        <v/>
      </c>
      <c r="AF63" s="7">
        <f>E63*0.00028565</f>
        <v/>
      </c>
      <c r="AG63" s="7">
        <f>F63*0.00028565</f>
        <v/>
      </c>
      <c r="AH63" s="7">
        <f>G63*0.00028565</f>
        <v/>
      </c>
      <c r="AI63" s="7">
        <f>H63*0.00028565</f>
        <v/>
      </c>
      <c r="AJ63" s="7">
        <f>I63*0.00028565</f>
        <v/>
      </c>
      <c r="AK63" s="7">
        <f>J63*0.00028565</f>
        <v/>
      </c>
      <c r="AL63" s="7">
        <f>K63*0.00028565</f>
        <v/>
      </c>
      <c r="AM63" s="7">
        <f>L63*0.00028565</f>
        <v/>
      </c>
      <c r="AN63" s="7">
        <f>M63*0.00028565</f>
        <v/>
      </c>
      <c r="AO63" s="7">
        <f>N63*0.00028565</f>
        <v/>
      </c>
      <c r="AP63" s="7">
        <f>O63*0.00028565</f>
        <v/>
      </c>
      <c r="AQ63" s="7">
        <f>P63*0.00028565</f>
        <v/>
      </c>
      <c r="AR63" s="7">
        <f>Q63*0.00028565</f>
        <v/>
      </c>
      <c r="AS63" s="7">
        <f>R63*0.00028565</f>
        <v/>
      </c>
      <c r="AT63" s="7">
        <f>S63*0.00028565</f>
        <v/>
      </c>
      <c r="AU63" s="7">
        <f>T63*0.00028565</f>
        <v/>
      </c>
      <c r="AV63" s="7">
        <f>U63*0.00028565</f>
        <v/>
      </c>
      <c r="AW63" s="7">
        <f>V63*0.00028565</f>
        <v/>
      </c>
      <c r="AX63" s="7">
        <f>W63*0.00028565</f>
        <v/>
      </c>
      <c r="AY63" s="7">
        <f>X63*0.00028565</f>
        <v/>
      </c>
      <c r="AZ63" s="7">
        <f>Y63*0.00028565</f>
        <v/>
      </c>
      <c r="BA63" s="7">
        <f>Z63*0.00028565</f>
        <v/>
      </c>
      <c r="BB63" s="7">
        <f>SUM(AD63:BA63)</f>
        <v/>
      </c>
    </row>
    <row r="64">
      <c r="A64" t="inlineStr">
        <is>
          <t>AMD-INTRA-SSC</t>
        </is>
      </c>
      <c r="B64" t="inlineStr">
        <is>
          <t>Forward Regular OSC</t>
        </is>
      </c>
      <c r="C64" s="5" t="n">
        <v>46103</v>
      </c>
      <c r="D64" s="6">
        <f>Summary!D64</f>
        <v/>
      </c>
      <c r="E64" s="6">
        <f>Summary!E64</f>
        <v/>
      </c>
      <c r="F64" s="6">
        <f>Summary!F64</f>
        <v/>
      </c>
      <c r="G64" s="6">
        <f>Summary!G64</f>
        <v/>
      </c>
      <c r="H64" s="6">
        <f>Summary!H64</f>
        <v/>
      </c>
      <c r="I64" s="6">
        <f>Summary!I64</f>
        <v/>
      </c>
      <c r="J64" s="6">
        <f>Summary!J64</f>
        <v/>
      </c>
      <c r="K64" s="6">
        <f>Summary!K64</f>
        <v/>
      </c>
      <c r="L64" s="6">
        <f>Summary!L64</f>
        <v/>
      </c>
      <c r="M64" s="6">
        <f>Summary!M64</f>
        <v/>
      </c>
      <c r="N64" s="6">
        <f>Summary!N64</f>
        <v/>
      </c>
      <c r="O64" s="6">
        <f>Summary!O64</f>
        <v/>
      </c>
      <c r="P64" s="6">
        <f>Summary!P64</f>
        <v/>
      </c>
      <c r="Q64" s="6">
        <f>Summary!Q64</f>
        <v/>
      </c>
      <c r="R64" s="6">
        <f>Summary!R64</f>
        <v/>
      </c>
      <c r="S64" s="6">
        <f>Summary!S64</f>
        <v/>
      </c>
      <c r="T64" s="6">
        <f>Summary!T64</f>
        <v/>
      </c>
      <c r="U64" s="6">
        <f>Summary!U64</f>
        <v/>
      </c>
      <c r="V64" s="6">
        <f>Summary!V64</f>
        <v/>
      </c>
      <c r="W64" s="6">
        <f>Summary!W64</f>
        <v/>
      </c>
      <c r="X64" s="6">
        <f>Summary!X64</f>
        <v/>
      </c>
      <c r="Y64" s="6">
        <f>Summary!Y64</f>
        <v/>
      </c>
      <c r="Z64" s="6">
        <f>Summary!Z64</f>
        <v/>
      </c>
      <c r="AA64" s="6">
        <f>Summary!AA64</f>
        <v/>
      </c>
      <c r="AB64" s="6">
        <f>SUM(D64:AA64)</f>
        <v/>
      </c>
      <c r="AC64" s="3" t="inlineStr"/>
      <c r="AD64" s="7">
        <f>AA64*0.00028565</f>
        <v/>
      </c>
      <c r="AE64" s="7">
        <f>D64*0.00028565</f>
        <v/>
      </c>
      <c r="AF64" s="7">
        <f>E64*0.00028565</f>
        <v/>
      </c>
      <c r="AG64" s="7">
        <f>F64*0.00028565</f>
        <v/>
      </c>
      <c r="AH64" s="7">
        <f>G64*0.00028565</f>
        <v/>
      </c>
      <c r="AI64" s="7">
        <f>H64*0.00028565</f>
        <v/>
      </c>
      <c r="AJ64" s="7">
        <f>I64*0.00028565</f>
        <v/>
      </c>
      <c r="AK64" s="7">
        <f>J64*0.00028565</f>
        <v/>
      </c>
      <c r="AL64" s="7">
        <f>K64*0.00028565</f>
        <v/>
      </c>
      <c r="AM64" s="7">
        <f>L64*0.00028565</f>
        <v/>
      </c>
      <c r="AN64" s="7">
        <f>M64*0.00028565</f>
        <v/>
      </c>
      <c r="AO64" s="7">
        <f>N64*0.00028565</f>
        <v/>
      </c>
      <c r="AP64" s="7">
        <f>O64*0.00028565</f>
        <v/>
      </c>
      <c r="AQ64" s="7">
        <f>P64*0.00028565</f>
        <v/>
      </c>
      <c r="AR64" s="7">
        <f>Q64*0.00028565</f>
        <v/>
      </c>
      <c r="AS64" s="7">
        <f>R64*0.00028565</f>
        <v/>
      </c>
      <c r="AT64" s="7">
        <f>S64*0.00028565</f>
        <v/>
      </c>
      <c r="AU64" s="7">
        <f>T64*0.00028565</f>
        <v/>
      </c>
      <c r="AV64" s="7">
        <f>U64*0.00028565</f>
        <v/>
      </c>
      <c r="AW64" s="7">
        <f>V64*0.00028565</f>
        <v/>
      </c>
      <c r="AX64" s="7">
        <f>W64*0.00028565</f>
        <v/>
      </c>
      <c r="AY64" s="7">
        <f>X64*0.00028565</f>
        <v/>
      </c>
      <c r="AZ64" s="7">
        <f>Y64*0.00028565</f>
        <v/>
      </c>
      <c r="BA64" s="7">
        <f>Z64*0.00028565</f>
        <v/>
      </c>
      <c r="BB64" s="7">
        <f>SUM(AD64:BA64)</f>
        <v/>
      </c>
    </row>
    <row r="65">
      <c r="A65" t="inlineStr">
        <is>
          <t>AMD-INTRA-SSC</t>
        </is>
      </c>
      <c r="B65" t="inlineStr">
        <is>
          <t>Forward Regular OSC</t>
        </is>
      </c>
      <c r="C65" s="5" t="n">
        <v>46104</v>
      </c>
      <c r="D65" s="6">
        <f>Summary!D65</f>
        <v/>
      </c>
      <c r="E65" s="6">
        <f>Summary!E65</f>
        <v/>
      </c>
      <c r="F65" s="6">
        <f>Summary!F65</f>
        <v/>
      </c>
      <c r="G65" s="6">
        <f>Summary!G65</f>
        <v/>
      </c>
      <c r="H65" s="6">
        <f>Summary!H65</f>
        <v/>
      </c>
      <c r="I65" s="6">
        <f>Summary!I65</f>
        <v/>
      </c>
      <c r="J65" s="6">
        <f>Summary!J65</f>
        <v/>
      </c>
      <c r="K65" s="6">
        <f>Summary!K65</f>
        <v/>
      </c>
      <c r="L65" s="6">
        <f>Summary!L65</f>
        <v/>
      </c>
      <c r="M65" s="6">
        <f>Summary!M65</f>
        <v/>
      </c>
      <c r="N65" s="6">
        <f>Summary!N65</f>
        <v/>
      </c>
      <c r="O65" s="6">
        <f>Summary!O65</f>
        <v/>
      </c>
      <c r="P65" s="6">
        <f>Summary!P65</f>
        <v/>
      </c>
      <c r="Q65" s="6">
        <f>Summary!Q65</f>
        <v/>
      </c>
      <c r="R65" s="6">
        <f>Summary!R65</f>
        <v/>
      </c>
      <c r="S65" s="6">
        <f>Summary!S65</f>
        <v/>
      </c>
      <c r="T65" s="6">
        <f>Summary!T65</f>
        <v/>
      </c>
      <c r="U65" s="6">
        <f>Summary!U65</f>
        <v/>
      </c>
      <c r="V65" s="6">
        <f>Summary!V65</f>
        <v/>
      </c>
      <c r="W65" s="6">
        <f>Summary!W65</f>
        <v/>
      </c>
      <c r="X65" s="6">
        <f>Summary!X65</f>
        <v/>
      </c>
      <c r="Y65" s="6">
        <f>Summary!Y65</f>
        <v/>
      </c>
      <c r="Z65" s="6">
        <f>Summary!Z65</f>
        <v/>
      </c>
      <c r="AA65" s="6">
        <f>Summary!AA65</f>
        <v/>
      </c>
      <c r="AB65" s="6">
        <f>SUM(D65:AA65)</f>
        <v/>
      </c>
      <c r="AC65" s="3" t="inlineStr"/>
      <c r="AD65" s="7">
        <f>AA65*0.00028565</f>
        <v/>
      </c>
      <c r="AE65" s="7">
        <f>D65*0.00028565</f>
        <v/>
      </c>
      <c r="AF65" s="7">
        <f>E65*0.00028565</f>
        <v/>
      </c>
      <c r="AG65" s="7">
        <f>F65*0.00028565</f>
        <v/>
      </c>
      <c r="AH65" s="7">
        <f>G65*0.00028565</f>
        <v/>
      </c>
      <c r="AI65" s="7">
        <f>H65*0.00028565</f>
        <v/>
      </c>
      <c r="AJ65" s="7">
        <f>I65*0.00028565</f>
        <v/>
      </c>
      <c r="AK65" s="7">
        <f>J65*0.00028565</f>
        <v/>
      </c>
      <c r="AL65" s="7">
        <f>K65*0.00028565</f>
        <v/>
      </c>
      <c r="AM65" s="7">
        <f>L65*0.00028565</f>
        <v/>
      </c>
      <c r="AN65" s="7">
        <f>M65*0.00028565</f>
        <v/>
      </c>
      <c r="AO65" s="7">
        <f>N65*0.00028565</f>
        <v/>
      </c>
      <c r="AP65" s="7">
        <f>O65*0.00028565</f>
        <v/>
      </c>
      <c r="AQ65" s="7">
        <f>P65*0.00028565</f>
        <v/>
      </c>
      <c r="AR65" s="7">
        <f>Q65*0.00028565</f>
        <v/>
      </c>
      <c r="AS65" s="7">
        <f>R65*0.00028565</f>
        <v/>
      </c>
      <c r="AT65" s="7">
        <f>S65*0.00028565</f>
        <v/>
      </c>
      <c r="AU65" s="7">
        <f>T65*0.00028565</f>
        <v/>
      </c>
      <c r="AV65" s="7">
        <f>U65*0.00028565</f>
        <v/>
      </c>
      <c r="AW65" s="7">
        <f>V65*0.00028565</f>
        <v/>
      </c>
      <c r="AX65" s="7">
        <f>W65*0.00028565</f>
        <v/>
      </c>
      <c r="AY65" s="7">
        <f>X65*0.00028565</f>
        <v/>
      </c>
      <c r="AZ65" s="7">
        <f>Y65*0.00028565</f>
        <v/>
      </c>
      <c r="BA65" s="7">
        <f>Z65*0.00028565</f>
        <v/>
      </c>
      <c r="BB65" s="7">
        <f>SUM(AD65:BA65)</f>
        <v/>
      </c>
    </row>
    <row r="66">
      <c r="A66" t="inlineStr">
        <is>
          <t>AMD-INTRA-SSC</t>
        </is>
      </c>
      <c r="B66" t="inlineStr">
        <is>
          <t>Forward Regular OSC</t>
        </is>
      </c>
      <c r="C66" s="5" t="n">
        <v>46105</v>
      </c>
      <c r="D66" s="6">
        <f>Summary!D66</f>
        <v/>
      </c>
      <c r="E66" s="6">
        <f>Summary!E66</f>
        <v/>
      </c>
      <c r="F66" s="6">
        <f>Summary!F66</f>
        <v/>
      </c>
      <c r="G66" s="6">
        <f>Summary!G66</f>
        <v/>
      </c>
      <c r="H66" s="6">
        <f>Summary!H66</f>
        <v/>
      </c>
      <c r="I66" s="6">
        <f>Summary!I66</f>
        <v/>
      </c>
      <c r="J66" s="6">
        <f>Summary!J66</f>
        <v/>
      </c>
      <c r="K66" s="6">
        <f>Summary!K66</f>
        <v/>
      </c>
      <c r="L66" s="6">
        <f>Summary!L66</f>
        <v/>
      </c>
      <c r="M66" s="6">
        <f>Summary!M66</f>
        <v/>
      </c>
      <c r="N66" s="6">
        <f>Summary!N66</f>
        <v/>
      </c>
      <c r="O66" s="6">
        <f>Summary!O66</f>
        <v/>
      </c>
      <c r="P66" s="6">
        <f>Summary!P66</f>
        <v/>
      </c>
      <c r="Q66" s="6">
        <f>Summary!Q66</f>
        <v/>
      </c>
      <c r="R66" s="6">
        <f>Summary!R66</f>
        <v/>
      </c>
      <c r="S66" s="6">
        <f>Summary!S66</f>
        <v/>
      </c>
      <c r="T66" s="6">
        <f>Summary!T66</f>
        <v/>
      </c>
      <c r="U66" s="6">
        <f>Summary!U66</f>
        <v/>
      </c>
      <c r="V66" s="6">
        <f>Summary!V66</f>
        <v/>
      </c>
      <c r="W66" s="6">
        <f>Summary!W66</f>
        <v/>
      </c>
      <c r="X66" s="6">
        <f>Summary!X66</f>
        <v/>
      </c>
      <c r="Y66" s="6">
        <f>Summary!Y66</f>
        <v/>
      </c>
      <c r="Z66" s="6">
        <f>Summary!Z66</f>
        <v/>
      </c>
      <c r="AA66" s="6">
        <f>Summary!AA66</f>
        <v/>
      </c>
      <c r="AB66" s="6">
        <f>SUM(D66:AA66)</f>
        <v/>
      </c>
      <c r="AC66" s="3" t="inlineStr"/>
      <c r="AD66" s="7">
        <f>AA66*0.00028565</f>
        <v/>
      </c>
      <c r="AE66" s="7">
        <f>D66*0.00028565</f>
        <v/>
      </c>
      <c r="AF66" s="7">
        <f>E66*0.00028565</f>
        <v/>
      </c>
      <c r="AG66" s="7">
        <f>F66*0.00028565</f>
        <v/>
      </c>
      <c r="AH66" s="7">
        <f>G66*0.00028565</f>
        <v/>
      </c>
      <c r="AI66" s="7">
        <f>H66*0.00028565</f>
        <v/>
      </c>
      <c r="AJ66" s="7">
        <f>I66*0.00028565</f>
        <v/>
      </c>
      <c r="AK66" s="7">
        <f>J66*0.00028565</f>
        <v/>
      </c>
      <c r="AL66" s="7">
        <f>K66*0.00028565</f>
        <v/>
      </c>
      <c r="AM66" s="7">
        <f>L66*0.00028565</f>
        <v/>
      </c>
      <c r="AN66" s="7">
        <f>M66*0.00028565</f>
        <v/>
      </c>
      <c r="AO66" s="7">
        <f>N66*0.00028565</f>
        <v/>
      </c>
      <c r="AP66" s="7">
        <f>O66*0.00028565</f>
        <v/>
      </c>
      <c r="AQ66" s="7">
        <f>P66*0.00028565</f>
        <v/>
      </c>
      <c r="AR66" s="7">
        <f>Q66*0.00028565</f>
        <v/>
      </c>
      <c r="AS66" s="7">
        <f>R66*0.00028565</f>
        <v/>
      </c>
      <c r="AT66" s="7">
        <f>S66*0.00028565</f>
        <v/>
      </c>
      <c r="AU66" s="7">
        <f>T66*0.00028565</f>
        <v/>
      </c>
      <c r="AV66" s="7">
        <f>U66*0.00028565</f>
        <v/>
      </c>
      <c r="AW66" s="7">
        <f>V66*0.00028565</f>
        <v/>
      </c>
      <c r="AX66" s="7">
        <f>W66*0.00028565</f>
        <v/>
      </c>
      <c r="AY66" s="7">
        <f>X66*0.00028565</f>
        <v/>
      </c>
      <c r="AZ66" s="7">
        <f>Y66*0.00028565</f>
        <v/>
      </c>
      <c r="BA66" s="7">
        <f>Z66*0.00028565</f>
        <v/>
      </c>
      <c r="BB66" s="7">
        <f>SUM(AD66:BA66)</f>
        <v/>
      </c>
    </row>
    <row r="67">
      <c r="A67" t="inlineStr">
        <is>
          <t>AMD-M1</t>
        </is>
      </c>
      <c r="B67" t="inlineStr">
        <is>
          <t>Forward Regular OSC</t>
        </is>
      </c>
      <c r="C67" s="5" t="n">
        <v>46089</v>
      </c>
      <c r="D67" s="6">
        <f>Summary!D67</f>
        <v/>
      </c>
      <c r="E67" s="6">
        <f>Summary!E67</f>
        <v/>
      </c>
      <c r="F67" s="6">
        <f>Summary!F67</f>
        <v/>
      </c>
      <c r="G67" s="6">
        <f>Summary!G67</f>
        <v/>
      </c>
      <c r="H67" s="6">
        <f>Summary!H67</f>
        <v/>
      </c>
      <c r="I67" s="6">
        <f>Summary!I67</f>
        <v/>
      </c>
      <c r="J67" s="6">
        <f>Summary!J67</f>
        <v/>
      </c>
      <c r="K67" s="6">
        <f>Summary!K67</f>
        <v/>
      </c>
      <c r="L67" s="6">
        <f>Summary!L67</f>
        <v/>
      </c>
      <c r="M67" s="6">
        <f>Summary!M67</f>
        <v/>
      </c>
      <c r="N67" s="6">
        <f>Summary!N67</f>
        <v/>
      </c>
      <c r="O67" s="6">
        <f>Summary!O67</f>
        <v/>
      </c>
      <c r="P67" s="6">
        <f>Summary!P67</f>
        <v/>
      </c>
      <c r="Q67" s="6">
        <f>Summary!Q67</f>
        <v/>
      </c>
      <c r="R67" s="6">
        <f>Summary!R67</f>
        <v/>
      </c>
      <c r="S67" s="6">
        <f>Summary!S67</f>
        <v/>
      </c>
      <c r="T67" s="6">
        <f>Summary!T67</f>
        <v/>
      </c>
      <c r="U67" s="6">
        <f>Summary!U67</f>
        <v/>
      </c>
      <c r="V67" s="6">
        <f>Summary!V67</f>
        <v/>
      </c>
      <c r="W67" s="6">
        <f>Summary!W67</f>
        <v/>
      </c>
      <c r="X67" s="6">
        <f>Summary!X67</f>
        <v/>
      </c>
      <c r="Y67" s="6">
        <f>Summary!Y67</f>
        <v/>
      </c>
      <c r="Z67" s="6">
        <f>Summary!Z67</f>
        <v/>
      </c>
      <c r="AA67" s="6">
        <f>Summary!AA67</f>
        <v/>
      </c>
      <c r="AB67" s="6">
        <f>SUM(D67:AA67)</f>
        <v/>
      </c>
      <c r="AC67" s="3" t="inlineStr"/>
      <c r="AD67" s="7">
        <f>AA67*0.00028565</f>
        <v/>
      </c>
      <c r="AE67" s="7">
        <f>D67*0.00028565</f>
        <v/>
      </c>
      <c r="AF67" s="7">
        <f>E67*0.00028565</f>
        <v/>
      </c>
      <c r="AG67" s="7">
        <f>F67*0.00028565</f>
        <v/>
      </c>
      <c r="AH67" s="7">
        <f>G67*0.00028565</f>
        <v/>
      </c>
      <c r="AI67" s="7">
        <f>H67*0.00028565</f>
        <v/>
      </c>
      <c r="AJ67" s="7">
        <f>I67*0.00028565</f>
        <v/>
      </c>
      <c r="AK67" s="7">
        <f>J67*0.00028565</f>
        <v/>
      </c>
      <c r="AL67" s="7">
        <f>K67*0.00028565</f>
        <v/>
      </c>
      <c r="AM67" s="7">
        <f>L67*0.00028565</f>
        <v/>
      </c>
      <c r="AN67" s="7">
        <f>M67*0.00028565</f>
        <v/>
      </c>
      <c r="AO67" s="7">
        <f>N67*0.00028565</f>
        <v/>
      </c>
      <c r="AP67" s="7">
        <f>O67*0.00028565</f>
        <v/>
      </c>
      <c r="AQ67" s="7">
        <f>P67*0.00028565</f>
        <v/>
      </c>
      <c r="AR67" s="7">
        <f>Q67*0.00028565</f>
        <v/>
      </c>
      <c r="AS67" s="7">
        <f>R67*0.00028565</f>
        <v/>
      </c>
      <c r="AT67" s="7">
        <f>S67*0.00028565</f>
        <v/>
      </c>
      <c r="AU67" s="7">
        <f>T67*0.00028565</f>
        <v/>
      </c>
      <c r="AV67" s="7">
        <f>U67*0.00028565</f>
        <v/>
      </c>
      <c r="AW67" s="7">
        <f>V67*0.00028565</f>
        <v/>
      </c>
      <c r="AX67" s="7">
        <f>W67*0.00028565</f>
        <v/>
      </c>
      <c r="AY67" s="7">
        <f>X67*0.00028565</f>
        <v/>
      </c>
      <c r="AZ67" s="7">
        <f>Y67*0.00028565</f>
        <v/>
      </c>
      <c r="BA67" s="7">
        <f>Z67*0.00028565</f>
        <v/>
      </c>
      <c r="BB67" s="7">
        <f>SUM(AD67:BA67)</f>
        <v/>
      </c>
    </row>
    <row r="68">
      <c r="A68" t="inlineStr">
        <is>
          <t>AMD-M1</t>
        </is>
      </c>
      <c r="B68" t="inlineStr">
        <is>
          <t>Forward Regular OSC</t>
        </is>
      </c>
      <c r="C68" s="5" t="n">
        <v>46090</v>
      </c>
      <c r="D68" s="6">
        <f>Summary!D68</f>
        <v/>
      </c>
      <c r="E68" s="6">
        <f>Summary!E68</f>
        <v/>
      </c>
      <c r="F68" s="6">
        <f>Summary!F68</f>
        <v/>
      </c>
      <c r="G68" s="6">
        <f>Summary!G68</f>
        <v/>
      </c>
      <c r="H68" s="6">
        <f>Summary!H68</f>
        <v/>
      </c>
      <c r="I68" s="6">
        <f>Summary!I68</f>
        <v/>
      </c>
      <c r="J68" s="6">
        <f>Summary!J68</f>
        <v/>
      </c>
      <c r="K68" s="6">
        <f>Summary!K68</f>
        <v/>
      </c>
      <c r="L68" s="6">
        <f>Summary!L68</f>
        <v/>
      </c>
      <c r="M68" s="6">
        <f>Summary!M68</f>
        <v/>
      </c>
      <c r="N68" s="6">
        <f>Summary!N68</f>
        <v/>
      </c>
      <c r="O68" s="6">
        <f>Summary!O68</f>
        <v/>
      </c>
      <c r="P68" s="6">
        <f>Summary!P68</f>
        <v/>
      </c>
      <c r="Q68" s="6">
        <f>Summary!Q68</f>
        <v/>
      </c>
      <c r="R68" s="6">
        <f>Summary!R68</f>
        <v/>
      </c>
      <c r="S68" s="6">
        <f>Summary!S68</f>
        <v/>
      </c>
      <c r="T68" s="6">
        <f>Summary!T68</f>
        <v/>
      </c>
      <c r="U68" s="6">
        <f>Summary!U68</f>
        <v/>
      </c>
      <c r="V68" s="6">
        <f>Summary!V68</f>
        <v/>
      </c>
      <c r="W68" s="6">
        <f>Summary!W68</f>
        <v/>
      </c>
      <c r="X68" s="6">
        <f>Summary!X68</f>
        <v/>
      </c>
      <c r="Y68" s="6">
        <f>Summary!Y68</f>
        <v/>
      </c>
      <c r="Z68" s="6">
        <f>Summary!Z68</f>
        <v/>
      </c>
      <c r="AA68" s="6">
        <f>Summary!AA68</f>
        <v/>
      </c>
      <c r="AB68" s="6">
        <f>SUM(D68:AA68)</f>
        <v/>
      </c>
      <c r="AC68" s="3" t="inlineStr"/>
      <c r="AD68" s="7">
        <f>AA68*0.00028565</f>
        <v/>
      </c>
      <c r="AE68" s="7">
        <f>D68*0.00028565</f>
        <v/>
      </c>
      <c r="AF68" s="7">
        <f>E68*0.00028565</f>
        <v/>
      </c>
      <c r="AG68" s="7">
        <f>F68*0.00028565</f>
        <v/>
      </c>
      <c r="AH68" s="7">
        <f>G68*0.00028565</f>
        <v/>
      </c>
      <c r="AI68" s="7">
        <f>H68*0.00028565</f>
        <v/>
      </c>
      <c r="AJ68" s="7">
        <f>I68*0.00028565</f>
        <v/>
      </c>
      <c r="AK68" s="7">
        <f>J68*0.00028565</f>
        <v/>
      </c>
      <c r="AL68" s="7">
        <f>K68*0.00028565</f>
        <v/>
      </c>
      <c r="AM68" s="7">
        <f>L68*0.00028565</f>
        <v/>
      </c>
      <c r="AN68" s="7">
        <f>M68*0.00028565</f>
        <v/>
      </c>
      <c r="AO68" s="7">
        <f>N68*0.00028565</f>
        <v/>
      </c>
      <c r="AP68" s="7">
        <f>O68*0.00028565</f>
        <v/>
      </c>
      <c r="AQ68" s="7">
        <f>P68*0.00028565</f>
        <v/>
      </c>
      <c r="AR68" s="7">
        <f>Q68*0.00028565</f>
        <v/>
      </c>
      <c r="AS68" s="7">
        <f>R68*0.00028565</f>
        <v/>
      </c>
      <c r="AT68" s="7">
        <f>S68*0.00028565</f>
        <v/>
      </c>
      <c r="AU68" s="7">
        <f>T68*0.00028565</f>
        <v/>
      </c>
      <c r="AV68" s="7">
        <f>U68*0.00028565</f>
        <v/>
      </c>
      <c r="AW68" s="7">
        <f>V68*0.00028565</f>
        <v/>
      </c>
      <c r="AX68" s="7">
        <f>W68*0.00028565</f>
        <v/>
      </c>
      <c r="AY68" s="7">
        <f>X68*0.00028565</f>
        <v/>
      </c>
      <c r="AZ68" s="7">
        <f>Y68*0.00028565</f>
        <v/>
      </c>
      <c r="BA68" s="7">
        <f>Z68*0.00028565</f>
        <v/>
      </c>
      <c r="BB68" s="7">
        <f>SUM(AD68:BA68)</f>
        <v/>
      </c>
    </row>
    <row r="69">
      <c r="A69" t="inlineStr">
        <is>
          <t>AMD-M1</t>
        </is>
      </c>
      <c r="B69" t="inlineStr">
        <is>
          <t>Forward Regular OSC</t>
        </is>
      </c>
      <c r="C69" s="5" t="n">
        <v>46091</v>
      </c>
      <c r="D69" s="6">
        <f>Summary!D69</f>
        <v/>
      </c>
      <c r="E69" s="6">
        <f>Summary!E69</f>
        <v/>
      </c>
      <c r="F69" s="6">
        <f>Summary!F69</f>
        <v/>
      </c>
      <c r="G69" s="6">
        <f>Summary!G69</f>
        <v/>
      </c>
      <c r="H69" s="6">
        <f>Summary!H69</f>
        <v/>
      </c>
      <c r="I69" s="6">
        <f>Summary!I69</f>
        <v/>
      </c>
      <c r="J69" s="6">
        <f>Summary!J69</f>
        <v/>
      </c>
      <c r="K69" s="6">
        <f>Summary!K69</f>
        <v/>
      </c>
      <c r="L69" s="6">
        <f>Summary!L69</f>
        <v/>
      </c>
      <c r="M69" s="6">
        <f>Summary!M69</f>
        <v/>
      </c>
      <c r="N69" s="6">
        <f>Summary!N69</f>
        <v/>
      </c>
      <c r="O69" s="6">
        <f>Summary!O69</f>
        <v/>
      </c>
      <c r="P69" s="6">
        <f>Summary!P69</f>
        <v/>
      </c>
      <c r="Q69" s="6">
        <f>Summary!Q69</f>
        <v/>
      </c>
      <c r="R69" s="6">
        <f>Summary!R69</f>
        <v/>
      </c>
      <c r="S69" s="6">
        <f>Summary!S69</f>
        <v/>
      </c>
      <c r="T69" s="6">
        <f>Summary!T69</f>
        <v/>
      </c>
      <c r="U69" s="6">
        <f>Summary!U69</f>
        <v/>
      </c>
      <c r="V69" s="6">
        <f>Summary!V69</f>
        <v/>
      </c>
      <c r="W69" s="6">
        <f>Summary!W69</f>
        <v/>
      </c>
      <c r="X69" s="6">
        <f>Summary!X69</f>
        <v/>
      </c>
      <c r="Y69" s="6">
        <f>Summary!Y69</f>
        <v/>
      </c>
      <c r="Z69" s="6">
        <f>Summary!Z69</f>
        <v/>
      </c>
      <c r="AA69" s="6">
        <f>Summary!AA69</f>
        <v/>
      </c>
      <c r="AB69" s="6">
        <f>SUM(D69:AA69)</f>
        <v/>
      </c>
      <c r="AC69" s="3" t="inlineStr"/>
      <c r="AD69" s="7">
        <f>AA69*0.00028565</f>
        <v/>
      </c>
      <c r="AE69" s="7">
        <f>D69*0.00028565</f>
        <v/>
      </c>
      <c r="AF69" s="7">
        <f>E69*0.00028565</f>
        <v/>
      </c>
      <c r="AG69" s="7">
        <f>F69*0.00028565</f>
        <v/>
      </c>
      <c r="AH69" s="7">
        <f>G69*0.00028565</f>
        <v/>
      </c>
      <c r="AI69" s="7">
        <f>H69*0.00028565</f>
        <v/>
      </c>
      <c r="AJ69" s="7">
        <f>I69*0.00028565</f>
        <v/>
      </c>
      <c r="AK69" s="7">
        <f>J69*0.00028565</f>
        <v/>
      </c>
      <c r="AL69" s="7">
        <f>K69*0.00028565</f>
        <v/>
      </c>
      <c r="AM69" s="7">
        <f>L69*0.00028565</f>
        <v/>
      </c>
      <c r="AN69" s="7">
        <f>M69*0.00028565</f>
        <v/>
      </c>
      <c r="AO69" s="7">
        <f>N69*0.00028565</f>
        <v/>
      </c>
      <c r="AP69" s="7">
        <f>O69*0.00028565</f>
        <v/>
      </c>
      <c r="AQ69" s="7">
        <f>P69*0.00028565</f>
        <v/>
      </c>
      <c r="AR69" s="7">
        <f>Q69*0.00028565</f>
        <v/>
      </c>
      <c r="AS69" s="7">
        <f>R69*0.00028565</f>
        <v/>
      </c>
      <c r="AT69" s="7">
        <f>S69*0.00028565</f>
        <v/>
      </c>
      <c r="AU69" s="7">
        <f>T69*0.00028565</f>
        <v/>
      </c>
      <c r="AV69" s="7">
        <f>U69*0.00028565</f>
        <v/>
      </c>
      <c r="AW69" s="7">
        <f>V69*0.00028565</f>
        <v/>
      </c>
      <c r="AX69" s="7">
        <f>W69*0.00028565</f>
        <v/>
      </c>
      <c r="AY69" s="7">
        <f>X69*0.00028565</f>
        <v/>
      </c>
      <c r="AZ69" s="7">
        <f>Y69*0.00028565</f>
        <v/>
      </c>
      <c r="BA69" s="7">
        <f>Z69*0.00028565</f>
        <v/>
      </c>
      <c r="BB69" s="7">
        <f>SUM(AD69:BA69)</f>
        <v/>
      </c>
    </row>
    <row r="70">
      <c r="A70" t="inlineStr">
        <is>
          <t>AMD-M1</t>
        </is>
      </c>
      <c r="B70" t="inlineStr">
        <is>
          <t>Forward Regular OSC</t>
        </is>
      </c>
      <c r="C70" s="5" t="n">
        <v>46092</v>
      </c>
      <c r="D70" s="6">
        <f>Summary!D70</f>
        <v/>
      </c>
      <c r="E70" s="6">
        <f>Summary!E70</f>
        <v/>
      </c>
      <c r="F70" s="6">
        <f>Summary!F70</f>
        <v/>
      </c>
      <c r="G70" s="6">
        <f>Summary!G70</f>
        <v/>
      </c>
      <c r="H70" s="6">
        <f>Summary!H70</f>
        <v/>
      </c>
      <c r="I70" s="6">
        <f>Summary!I70</f>
        <v/>
      </c>
      <c r="J70" s="6">
        <f>Summary!J70</f>
        <v/>
      </c>
      <c r="K70" s="6">
        <f>Summary!K70</f>
        <v/>
      </c>
      <c r="L70" s="6">
        <f>Summary!L70</f>
        <v/>
      </c>
      <c r="M70" s="6">
        <f>Summary!M70</f>
        <v/>
      </c>
      <c r="N70" s="6">
        <f>Summary!N70</f>
        <v/>
      </c>
      <c r="O70" s="6">
        <f>Summary!O70</f>
        <v/>
      </c>
      <c r="P70" s="6">
        <f>Summary!P70</f>
        <v/>
      </c>
      <c r="Q70" s="6">
        <f>Summary!Q70</f>
        <v/>
      </c>
      <c r="R70" s="6">
        <f>Summary!R70</f>
        <v/>
      </c>
      <c r="S70" s="6">
        <f>Summary!S70</f>
        <v/>
      </c>
      <c r="T70" s="6">
        <f>Summary!T70</f>
        <v/>
      </c>
      <c r="U70" s="6">
        <f>Summary!U70</f>
        <v/>
      </c>
      <c r="V70" s="6">
        <f>Summary!V70</f>
        <v/>
      </c>
      <c r="W70" s="6">
        <f>Summary!W70</f>
        <v/>
      </c>
      <c r="X70" s="6">
        <f>Summary!X70</f>
        <v/>
      </c>
      <c r="Y70" s="6">
        <f>Summary!Y70</f>
        <v/>
      </c>
      <c r="Z70" s="6">
        <f>Summary!Z70</f>
        <v/>
      </c>
      <c r="AA70" s="6">
        <f>Summary!AA70</f>
        <v/>
      </c>
      <c r="AB70" s="6">
        <f>SUM(D70:AA70)</f>
        <v/>
      </c>
      <c r="AC70" s="3" t="inlineStr"/>
      <c r="AD70" s="7">
        <f>AA70*0.00028565</f>
        <v/>
      </c>
      <c r="AE70" s="7">
        <f>D70*0.00028565</f>
        <v/>
      </c>
      <c r="AF70" s="7">
        <f>E70*0.00028565</f>
        <v/>
      </c>
      <c r="AG70" s="7">
        <f>F70*0.00028565</f>
        <v/>
      </c>
      <c r="AH70" s="7">
        <f>G70*0.00028565</f>
        <v/>
      </c>
      <c r="AI70" s="7">
        <f>H70*0.00028565</f>
        <v/>
      </c>
      <c r="AJ70" s="7">
        <f>I70*0.00028565</f>
        <v/>
      </c>
      <c r="AK70" s="7">
        <f>J70*0.00028565</f>
        <v/>
      </c>
      <c r="AL70" s="7">
        <f>K70*0.00028565</f>
        <v/>
      </c>
      <c r="AM70" s="7">
        <f>L70*0.00028565</f>
        <v/>
      </c>
      <c r="AN70" s="7">
        <f>M70*0.00028565</f>
        <v/>
      </c>
      <c r="AO70" s="7">
        <f>N70*0.00028565</f>
        <v/>
      </c>
      <c r="AP70" s="7">
        <f>O70*0.00028565</f>
        <v/>
      </c>
      <c r="AQ70" s="7">
        <f>P70*0.00028565</f>
        <v/>
      </c>
      <c r="AR70" s="7">
        <f>Q70*0.00028565</f>
        <v/>
      </c>
      <c r="AS70" s="7">
        <f>R70*0.00028565</f>
        <v/>
      </c>
      <c r="AT70" s="7">
        <f>S70*0.00028565</f>
        <v/>
      </c>
      <c r="AU70" s="7">
        <f>T70*0.00028565</f>
        <v/>
      </c>
      <c r="AV70" s="7">
        <f>U70*0.00028565</f>
        <v/>
      </c>
      <c r="AW70" s="7">
        <f>V70*0.00028565</f>
        <v/>
      </c>
      <c r="AX70" s="7">
        <f>W70*0.00028565</f>
        <v/>
      </c>
      <c r="AY70" s="7">
        <f>X70*0.00028565</f>
        <v/>
      </c>
      <c r="AZ70" s="7">
        <f>Y70*0.00028565</f>
        <v/>
      </c>
      <c r="BA70" s="7">
        <f>Z70*0.00028565</f>
        <v/>
      </c>
      <c r="BB70" s="7">
        <f>SUM(AD70:BA70)</f>
        <v/>
      </c>
    </row>
    <row r="71">
      <c r="A71" t="inlineStr">
        <is>
          <t>AMD-M1</t>
        </is>
      </c>
      <c r="B71" t="inlineStr">
        <is>
          <t>Forward Regular OSC</t>
        </is>
      </c>
      <c r="C71" s="5" t="n">
        <v>46093</v>
      </c>
      <c r="D71" s="6">
        <f>Summary!D71</f>
        <v/>
      </c>
      <c r="E71" s="6">
        <f>Summary!E71</f>
        <v/>
      </c>
      <c r="F71" s="6">
        <f>Summary!F71</f>
        <v/>
      </c>
      <c r="G71" s="6">
        <f>Summary!G71</f>
        <v/>
      </c>
      <c r="H71" s="6">
        <f>Summary!H71</f>
        <v/>
      </c>
      <c r="I71" s="6">
        <f>Summary!I71</f>
        <v/>
      </c>
      <c r="J71" s="6">
        <f>Summary!J71</f>
        <v/>
      </c>
      <c r="K71" s="6">
        <f>Summary!K71</f>
        <v/>
      </c>
      <c r="L71" s="6">
        <f>Summary!L71</f>
        <v/>
      </c>
      <c r="M71" s="6">
        <f>Summary!M71</f>
        <v/>
      </c>
      <c r="N71" s="6">
        <f>Summary!N71</f>
        <v/>
      </c>
      <c r="O71" s="6">
        <f>Summary!O71</f>
        <v/>
      </c>
      <c r="P71" s="6">
        <f>Summary!P71</f>
        <v/>
      </c>
      <c r="Q71" s="6">
        <f>Summary!Q71</f>
        <v/>
      </c>
      <c r="R71" s="6">
        <f>Summary!R71</f>
        <v/>
      </c>
      <c r="S71" s="6">
        <f>Summary!S71</f>
        <v/>
      </c>
      <c r="T71" s="6">
        <f>Summary!T71</f>
        <v/>
      </c>
      <c r="U71" s="6">
        <f>Summary!U71</f>
        <v/>
      </c>
      <c r="V71" s="6">
        <f>Summary!V71</f>
        <v/>
      </c>
      <c r="W71" s="6">
        <f>Summary!W71</f>
        <v/>
      </c>
      <c r="X71" s="6">
        <f>Summary!X71</f>
        <v/>
      </c>
      <c r="Y71" s="6">
        <f>Summary!Y71</f>
        <v/>
      </c>
      <c r="Z71" s="6">
        <f>Summary!Z71</f>
        <v/>
      </c>
      <c r="AA71" s="6">
        <f>Summary!AA71</f>
        <v/>
      </c>
      <c r="AB71" s="6">
        <f>SUM(D71:AA71)</f>
        <v/>
      </c>
      <c r="AC71" s="3" t="inlineStr"/>
      <c r="AD71" s="7">
        <f>AA71*0.00028565</f>
        <v/>
      </c>
      <c r="AE71" s="7">
        <f>D71*0.00028565</f>
        <v/>
      </c>
      <c r="AF71" s="7">
        <f>E71*0.00028565</f>
        <v/>
      </c>
      <c r="AG71" s="7">
        <f>F71*0.00028565</f>
        <v/>
      </c>
      <c r="AH71" s="7">
        <f>G71*0.00028565</f>
        <v/>
      </c>
      <c r="AI71" s="7">
        <f>H71*0.00028565</f>
        <v/>
      </c>
      <c r="AJ71" s="7">
        <f>I71*0.00028565</f>
        <v/>
      </c>
      <c r="AK71" s="7">
        <f>J71*0.00028565</f>
        <v/>
      </c>
      <c r="AL71" s="7">
        <f>K71*0.00028565</f>
        <v/>
      </c>
      <c r="AM71" s="7">
        <f>L71*0.00028565</f>
        <v/>
      </c>
      <c r="AN71" s="7">
        <f>M71*0.00028565</f>
        <v/>
      </c>
      <c r="AO71" s="7">
        <f>N71*0.00028565</f>
        <v/>
      </c>
      <c r="AP71" s="7">
        <f>O71*0.00028565</f>
        <v/>
      </c>
      <c r="AQ71" s="7">
        <f>P71*0.00028565</f>
        <v/>
      </c>
      <c r="AR71" s="7">
        <f>Q71*0.00028565</f>
        <v/>
      </c>
      <c r="AS71" s="7">
        <f>R71*0.00028565</f>
        <v/>
      </c>
      <c r="AT71" s="7">
        <f>S71*0.00028565</f>
        <v/>
      </c>
      <c r="AU71" s="7">
        <f>T71*0.00028565</f>
        <v/>
      </c>
      <c r="AV71" s="7">
        <f>U71*0.00028565</f>
        <v/>
      </c>
      <c r="AW71" s="7">
        <f>V71*0.00028565</f>
        <v/>
      </c>
      <c r="AX71" s="7">
        <f>W71*0.00028565</f>
        <v/>
      </c>
      <c r="AY71" s="7">
        <f>X71*0.00028565</f>
        <v/>
      </c>
      <c r="AZ71" s="7">
        <f>Y71*0.00028565</f>
        <v/>
      </c>
      <c r="BA71" s="7">
        <f>Z71*0.00028565</f>
        <v/>
      </c>
      <c r="BB71" s="7">
        <f>SUM(AD71:BA71)</f>
        <v/>
      </c>
    </row>
    <row r="72">
      <c r="A72" t="inlineStr">
        <is>
          <t>AMD-M1</t>
        </is>
      </c>
      <c r="B72" t="inlineStr">
        <is>
          <t>Forward Regular OSC</t>
        </is>
      </c>
      <c r="C72" s="5" t="n">
        <v>46094</v>
      </c>
      <c r="D72" s="6">
        <f>Summary!D72</f>
        <v/>
      </c>
      <c r="E72" s="6">
        <f>Summary!E72</f>
        <v/>
      </c>
      <c r="F72" s="6">
        <f>Summary!F72</f>
        <v/>
      </c>
      <c r="G72" s="6">
        <f>Summary!G72</f>
        <v/>
      </c>
      <c r="H72" s="6">
        <f>Summary!H72</f>
        <v/>
      </c>
      <c r="I72" s="6">
        <f>Summary!I72</f>
        <v/>
      </c>
      <c r="J72" s="6">
        <f>Summary!J72</f>
        <v/>
      </c>
      <c r="K72" s="6">
        <f>Summary!K72</f>
        <v/>
      </c>
      <c r="L72" s="6">
        <f>Summary!L72</f>
        <v/>
      </c>
      <c r="M72" s="6">
        <f>Summary!M72</f>
        <v/>
      </c>
      <c r="N72" s="6">
        <f>Summary!N72</f>
        <v/>
      </c>
      <c r="O72" s="6">
        <f>Summary!O72</f>
        <v/>
      </c>
      <c r="P72" s="6">
        <f>Summary!P72</f>
        <v/>
      </c>
      <c r="Q72" s="6">
        <f>Summary!Q72</f>
        <v/>
      </c>
      <c r="R72" s="6">
        <f>Summary!R72</f>
        <v/>
      </c>
      <c r="S72" s="6">
        <f>Summary!S72</f>
        <v/>
      </c>
      <c r="T72" s="6">
        <f>Summary!T72</f>
        <v/>
      </c>
      <c r="U72" s="6">
        <f>Summary!U72</f>
        <v/>
      </c>
      <c r="V72" s="6">
        <f>Summary!V72</f>
        <v/>
      </c>
      <c r="W72" s="6">
        <f>Summary!W72</f>
        <v/>
      </c>
      <c r="X72" s="6">
        <f>Summary!X72</f>
        <v/>
      </c>
      <c r="Y72" s="6">
        <f>Summary!Y72</f>
        <v/>
      </c>
      <c r="Z72" s="6">
        <f>Summary!Z72</f>
        <v/>
      </c>
      <c r="AA72" s="6">
        <f>Summary!AA72</f>
        <v/>
      </c>
      <c r="AB72" s="6">
        <f>SUM(D72:AA72)</f>
        <v/>
      </c>
      <c r="AC72" s="3" t="inlineStr"/>
      <c r="AD72" s="7">
        <f>AA72*0.00028565</f>
        <v/>
      </c>
      <c r="AE72" s="7">
        <f>D72*0.00028565</f>
        <v/>
      </c>
      <c r="AF72" s="7">
        <f>E72*0.00028565</f>
        <v/>
      </c>
      <c r="AG72" s="7">
        <f>F72*0.00028565</f>
        <v/>
      </c>
      <c r="AH72" s="7">
        <f>G72*0.00028565</f>
        <v/>
      </c>
      <c r="AI72" s="7">
        <f>H72*0.00028565</f>
        <v/>
      </c>
      <c r="AJ72" s="7">
        <f>I72*0.00028565</f>
        <v/>
      </c>
      <c r="AK72" s="7">
        <f>J72*0.00028565</f>
        <v/>
      </c>
      <c r="AL72" s="7">
        <f>K72*0.00028565</f>
        <v/>
      </c>
      <c r="AM72" s="7">
        <f>L72*0.00028565</f>
        <v/>
      </c>
      <c r="AN72" s="7">
        <f>M72*0.00028565</f>
        <v/>
      </c>
      <c r="AO72" s="7">
        <f>N72*0.00028565</f>
        <v/>
      </c>
      <c r="AP72" s="7">
        <f>O72*0.00028565</f>
        <v/>
      </c>
      <c r="AQ72" s="7">
        <f>P72*0.00028565</f>
        <v/>
      </c>
      <c r="AR72" s="7">
        <f>Q72*0.00028565</f>
        <v/>
      </c>
      <c r="AS72" s="7">
        <f>R72*0.00028565</f>
        <v/>
      </c>
      <c r="AT72" s="7">
        <f>S72*0.00028565</f>
        <v/>
      </c>
      <c r="AU72" s="7">
        <f>T72*0.00028565</f>
        <v/>
      </c>
      <c r="AV72" s="7">
        <f>U72*0.00028565</f>
        <v/>
      </c>
      <c r="AW72" s="7">
        <f>V72*0.00028565</f>
        <v/>
      </c>
      <c r="AX72" s="7">
        <f>W72*0.00028565</f>
        <v/>
      </c>
      <c r="AY72" s="7">
        <f>X72*0.00028565</f>
        <v/>
      </c>
      <c r="AZ72" s="7">
        <f>Y72*0.00028565</f>
        <v/>
      </c>
      <c r="BA72" s="7">
        <f>Z72*0.00028565</f>
        <v/>
      </c>
      <c r="BB72" s="7">
        <f>SUM(AD72:BA72)</f>
        <v/>
      </c>
    </row>
    <row r="73">
      <c r="A73" t="inlineStr">
        <is>
          <t>AMD-M1</t>
        </is>
      </c>
      <c r="B73" t="inlineStr">
        <is>
          <t>Forward Regular OSC</t>
        </is>
      </c>
      <c r="C73" s="5" t="n">
        <v>46095</v>
      </c>
      <c r="D73" s="6">
        <f>Summary!D73</f>
        <v/>
      </c>
      <c r="E73" s="6">
        <f>Summary!E73</f>
        <v/>
      </c>
      <c r="F73" s="6">
        <f>Summary!F73</f>
        <v/>
      </c>
      <c r="G73" s="6">
        <f>Summary!G73</f>
        <v/>
      </c>
      <c r="H73" s="6">
        <f>Summary!H73</f>
        <v/>
      </c>
      <c r="I73" s="6">
        <f>Summary!I73</f>
        <v/>
      </c>
      <c r="J73" s="6">
        <f>Summary!J73</f>
        <v/>
      </c>
      <c r="K73" s="6">
        <f>Summary!K73</f>
        <v/>
      </c>
      <c r="L73" s="6">
        <f>Summary!L73</f>
        <v/>
      </c>
      <c r="M73" s="6">
        <f>Summary!M73</f>
        <v/>
      </c>
      <c r="N73" s="6">
        <f>Summary!N73</f>
        <v/>
      </c>
      <c r="O73" s="6">
        <f>Summary!O73</f>
        <v/>
      </c>
      <c r="P73" s="6">
        <f>Summary!P73</f>
        <v/>
      </c>
      <c r="Q73" s="6">
        <f>Summary!Q73</f>
        <v/>
      </c>
      <c r="R73" s="6">
        <f>Summary!R73</f>
        <v/>
      </c>
      <c r="S73" s="6">
        <f>Summary!S73</f>
        <v/>
      </c>
      <c r="T73" s="6">
        <f>Summary!T73</f>
        <v/>
      </c>
      <c r="U73" s="6">
        <f>Summary!U73</f>
        <v/>
      </c>
      <c r="V73" s="6">
        <f>Summary!V73</f>
        <v/>
      </c>
      <c r="W73" s="6">
        <f>Summary!W73</f>
        <v/>
      </c>
      <c r="X73" s="6">
        <f>Summary!X73</f>
        <v/>
      </c>
      <c r="Y73" s="6">
        <f>Summary!Y73</f>
        <v/>
      </c>
      <c r="Z73" s="6">
        <f>Summary!Z73</f>
        <v/>
      </c>
      <c r="AA73" s="6">
        <f>Summary!AA73</f>
        <v/>
      </c>
      <c r="AB73" s="6">
        <f>SUM(D73:AA73)</f>
        <v/>
      </c>
      <c r="AC73" s="3" t="inlineStr"/>
      <c r="AD73" s="7">
        <f>AA73*0.00028565</f>
        <v/>
      </c>
      <c r="AE73" s="7">
        <f>D73*0.00028565</f>
        <v/>
      </c>
      <c r="AF73" s="7">
        <f>E73*0.00028565</f>
        <v/>
      </c>
      <c r="AG73" s="7">
        <f>F73*0.00028565</f>
        <v/>
      </c>
      <c r="AH73" s="7">
        <f>G73*0.00028565</f>
        <v/>
      </c>
      <c r="AI73" s="7">
        <f>H73*0.00028565</f>
        <v/>
      </c>
      <c r="AJ73" s="7">
        <f>I73*0.00028565</f>
        <v/>
      </c>
      <c r="AK73" s="7">
        <f>J73*0.00028565</f>
        <v/>
      </c>
      <c r="AL73" s="7">
        <f>K73*0.00028565</f>
        <v/>
      </c>
      <c r="AM73" s="7">
        <f>L73*0.00028565</f>
        <v/>
      </c>
      <c r="AN73" s="7">
        <f>M73*0.00028565</f>
        <v/>
      </c>
      <c r="AO73" s="7">
        <f>N73*0.00028565</f>
        <v/>
      </c>
      <c r="AP73" s="7">
        <f>O73*0.00028565</f>
        <v/>
      </c>
      <c r="AQ73" s="7">
        <f>P73*0.00028565</f>
        <v/>
      </c>
      <c r="AR73" s="7">
        <f>Q73*0.00028565</f>
        <v/>
      </c>
      <c r="AS73" s="7">
        <f>R73*0.00028565</f>
        <v/>
      </c>
      <c r="AT73" s="7">
        <f>S73*0.00028565</f>
        <v/>
      </c>
      <c r="AU73" s="7">
        <f>T73*0.00028565</f>
        <v/>
      </c>
      <c r="AV73" s="7">
        <f>U73*0.00028565</f>
        <v/>
      </c>
      <c r="AW73" s="7">
        <f>V73*0.00028565</f>
        <v/>
      </c>
      <c r="AX73" s="7">
        <f>W73*0.00028565</f>
        <v/>
      </c>
      <c r="AY73" s="7">
        <f>X73*0.00028565</f>
        <v/>
      </c>
      <c r="AZ73" s="7">
        <f>Y73*0.00028565</f>
        <v/>
      </c>
      <c r="BA73" s="7">
        <f>Z73*0.00028565</f>
        <v/>
      </c>
      <c r="BB73" s="7">
        <f>SUM(AD73:BA73)</f>
        <v/>
      </c>
    </row>
    <row r="74">
      <c r="A74" t="inlineStr">
        <is>
          <t>AMD-M1</t>
        </is>
      </c>
      <c r="B74" t="inlineStr">
        <is>
          <t>Forward Regular OSC</t>
        </is>
      </c>
      <c r="C74" s="5" t="n">
        <v>46096</v>
      </c>
      <c r="D74" s="6">
        <f>Summary!D74</f>
        <v/>
      </c>
      <c r="E74" s="6">
        <f>Summary!E74</f>
        <v/>
      </c>
      <c r="F74" s="6">
        <f>Summary!F74</f>
        <v/>
      </c>
      <c r="G74" s="6">
        <f>Summary!G74</f>
        <v/>
      </c>
      <c r="H74" s="6">
        <f>Summary!H74</f>
        <v/>
      </c>
      <c r="I74" s="6">
        <f>Summary!I74</f>
        <v/>
      </c>
      <c r="J74" s="6">
        <f>Summary!J74</f>
        <v/>
      </c>
      <c r="K74" s="6">
        <f>Summary!K74</f>
        <v/>
      </c>
      <c r="L74" s="6">
        <f>Summary!L74</f>
        <v/>
      </c>
      <c r="M74" s="6">
        <f>Summary!M74</f>
        <v/>
      </c>
      <c r="N74" s="6">
        <f>Summary!N74</f>
        <v/>
      </c>
      <c r="O74" s="6">
        <f>Summary!O74</f>
        <v/>
      </c>
      <c r="P74" s="6">
        <f>Summary!P74</f>
        <v/>
      </c>
      <c r="Q74" s="6">
        <f>Summary!Q74</f>
        <v/>
      </c>
      <c r="R74" s="6">
        <f>Summary!R74</f>
        <v/>
      </c>
      <c r="S74" s="6">
        <f>Summary!S74</f>
        <v/>
      </c>
      <c r="T74" s="6">
        <f>Summary!T74</f>
        <v/>
      </c>
      <c r="U74" s="6">
        <f>Summary!U74</f>
        <v/>
      </c>
      <c r="V74" s="6">
        <f>Summary!V74</f>
        <v/>
      </c>
      <c r="W74" s="6">
        <f>Summary!W74</f>
        <v/>
      </c>
      <c r="X74" s="6">
        <f>Summary!X74</f>
        <v/>
      </c>
      <c r="Y74" s="6">
        <f>Summary!Y74</f>
        <v/>
      </c>
      <c r="Z74" s="6">
        <f>Summary!Z74</f>
        <v/>
      </c>
      <c r="AA74" s="6">
        <f>Summary!AA74</f>
        <v/>
      </c>
      <c r="AB74" s="6">
        <f>SUM(D74:AA74)</f>
        <v/>
      </c>
      <c r="AC74" s="3" t="inlineStr"/>
      <c r="AD74" s="7">
        <f>AA74*0.00028565</f>
        <v/>
      </c>
      <c r="AE74" s="7">
        <f>D74*0.00028565</f>
        <v/>
      </c>
      <c r="AF74" s="7">
        <f>E74*0.00028565</f>
        <v/>
      </c>
      <c r="AG74" s="7">
        <f>F74*0.00028565</f>
        <v/>
      </c>
      <c r="AH74" s="7">
        <f>G74*0.00028565</f>
        <v/>
      </c>
      <c r="AI74" s="7">
        <f>H74*0.00028565</f>
        <v/>
      </c>
      <c r="AJ74" s="7">
        <f>I74*0.00028565</f>
        <v/>
      </c>
      <c r="AK74" s="7">
        <f>J74*0.00028565</f>
        <v/>
      </c>
      <c r="AL74" s="7">
        <f>K74*0.00028565</f>
        <v/>
      </c>
      <c r="AM74" s="7">
        <f>L74*0.00028565</f>
        <v/>
      </c>
      <c r="AN74" s="7">
        <f>M74*0.00028565</f>
        <v/>
      </c>
      <c r="AO74" s="7">
        <f>N74*0.00028565</f>
        <v/>
      </c>
      <c r="AP74" s="7">
        <f>O74*0.00028565</f>
        <v/>
      </c>
      <c r="AQ74" s="7">
        <f>P74*0.00028565</f>
        <v/>
      </c>
      <c r="AR74" s="7">
        <f>Q74*0.00028565</f>
        <v/>
      </c>
      <c r="AS74" s="7">
        <f>R74*0.00028565</f>
        <v/>
      </c>
      <c r="AT74" s="7">
        <f>S74*0.00028565</f>
        <v/>
      </c>
      <c r="AU74" s="7">
        <f>T74*0.00028565</f>
        <v/>
      </c>
      <c r="AV74" s="7">
        <f>U74*0.00028565</f>
        <v/>
      </c>
      <c r="AW74" s="7">
        <f>V74*0.00028565</f>
        <v/>
      </c>
      <c r="AX74" s="7">
        <f>W74*0.00028565</f>
        <v/>
      </c>
      <c r="AY74" s="7">
        <f>X74*0.00028565</f>
        <v/>
      </c>
      <c r="AZ74" s="7">
        <f>Y74*0.00028565</f>
        <v/>
      </c>
      <c r="BA74" s="7">
        <f>Z74*0.00028565</f>
        <v/>
      </c>
      <c r="BB74" s="7">
        <f>SUM(AD74:BA74)</f>
        <v/>
      </c>
    </row>
    <row r="75">
      <c r="A75" t="inlineStr">
        <is>
          <t>AMD-M1</t>
        </is>
      </c>
      <c r="B75" t="inlineStr">
        <is>
          <t>Forward Regular OSC</t>
        </is>
      </c>
      <c r="C75" s="5" t="n">
        <v>46097</v>
      </c>
      <c r="D75" s="6">
        <f>Summary!D75</f>
        <v/>
      </c>
      <c r="E75" s="6">
        <f>Summary!E75</f>
        <v/>
      </c>
      <c r="F75" s="6">
        <f>Summary!F75</f>
        <v/>
      </c>
      <c r="G75" s="6">
        <f>Summary!G75</f>
        <v/>
      </c>
      <c r="H75" s="6">
        <f>Summary!H75</f>
        <v/>
      </c>
      <c r="I75" s="6">
        <f>Summary!I75</f>
        <v/>
      </c>
      <c r="J75" s="6">
        <f>Summary!J75</f>
        <v/>
      </c>
      <c r="K75" s="6">
        <f>Summary!K75</f>
        <v/>
      </c>
      <c r="L75" s="6">
        <f>Summary!L75</f>
        <v/>
      </c>
      <c r="M75" s="6">
        <f>Summary!M75</f>
        <v/>
      </c>
      <c r="N75" s="6">
        <f>Summary!N75</f>
        <v/>
      </c>
      <c r="O75" s="6">
        <f>Summary!O75</f>
        <v/>
      </c>
      <c r="P75" s="6">
        <f>Summary!P75</f>
        <v/>
      </c>
      <c r="Q75" s="6">
        <f>Summary!Q75</f>
        <v/>
      </c>
      <c r="R75" s="6">
        <f>Summary!R75</f>
        <v/>
      </c>
      <c r="S75" s="6">
        <f>Summary!S75</f>
        <v/>
      </c>
      <c r="T75" s="6">
        <f>Summary!T75</f>
        <v/>
      </c>
      <c r="U75" s="6">
        <f>Summary!U75</f>
        <v/>
      </c>
      <c r="V75" s="6">
        <f>Summary!V75</f>
        <v/>
      </c>
      <c r="W75" s="6">
        <f>Summary!W75</f>
        <v/>
      </c>
      <c r="X75" s="6">
        <f>Summary!X75</f>
        <v/>
      </c>
      <c r="Y75" s="6">
        <f>Summary!Y75</f>
        <v/>
      </c>
      <c r="Z75" s="6">
        <f>Summary!Z75</f>
        <v/>
      </c>
      <c r="AA75" s="6">
        <f>Summary!AA75</f>
        <v/>
      </c>
      <c r="AB75" s="6">
        <f>SUM(D75:AA75)</f>
        <v/>
      </c>
      <c r="AC75" s="3" t="inlineStr"/>
      <c r="AD75" s="7">
        <f>AA75*0.00028565</f>
        <v/>
      </c>
      <c r="AE75" s="7">
        <f>D75*0.00028565</f>
        <v/>
      </c>
      <c r="AF75" s="7">
        <f>E75*0.00028565</f>
        <v/>
      </c>
      <c r="AG75" s="7">
        <f>F75*0.00028565</f>
        <v/>
      </c>
      <c r="AH75" s="7">
        <f>G75*0.00028565</f>
        <v/>
      </c>
      <c r="AI75" s="7">
        <f>H75*0.00028565</f>
        <v/>
      </c>
      <c r="AJ75" s="7">
        <f>I75*0.00028565</f>
        <v/>
      </c>
      <c r="AK75" s="7">
        <f>J75*0.00028565</f>
        <v/>
      </c>
      <c r="AL75" s="7">
        <f>K75*0.00028565</f>
        <v/>
      </c>
      <c r="AM75" s="7">
        <f>L75*0.00028565</f>
        <v/>
      </c>
      <c r="AN75" s="7">
        <f>M75*0.00028565</f>
        <v/>
      </c>
      <c r="AO75" s="7">
        <f>N75*0.00028565</f>
        <v/>
      </c>
      <c r="AP75" s="7">
        <f>O75*0.00028565</f>
        <v/>
      </c>
      <c r="AQ75" s="7">
        <f>P75*0.00028565</f>
        <v/>
      </c>
      <c r="AR75" s="7">
        <f>Q75*0.00028565</f>
        <v/>
      </c>
      <c r="AS75" s="7">
        <f>R75*0.00028565</f>
        <v/>
      </c>
      <c r="AT75" s="7">
        <f>S75*0.00028565</f>
        <v/>
      </c>
      <c r="AU75" s="7">
        <f>T75*0.00028565</f>
        <v/>
      </c>
      <c r="AV75" s="7">
        <f>U75*0.00028565</f>
        <v/>
      </c>
      <c r="AW75" s="7">
        <f>V75*0.00028565</f>
        <v/>
      </c>
      <c r="AX75" s="7">
        <f>W75*0.00028565</f>
        <v/>
      </c>
      <c r="AY75" s="7">
        <f>X75*0.00028565</f>
        <v/>
      </c>
      <c r="AZ75" s="7">
        <f>Y75*0.00028565</f>
        <v/>
      </c>
      <c r="BA75" s="7">
        <f>Z75*0.00028565</f>
        <v/>
      </c>
      <c r="BB75" s="7">
        <f>SUM(AD75:BA75)</f>
        <v/>
      </c>
    </row>
    <row r="76">
      <c r="A76" t="inlineStr">
        <is>
          <t>AMD-M2</t>
        </is>
      </c>
      <c r="B76" t="inlineStr">
        <is>
          <t>Forward Regular OSC</t>
        </is>
      </c>
      <c r="C76" s="5" t="n">
        <v>46089</v>
      </c>
      <c r="D76" s="6">
        <f>Summary!D76</f>
        <v/>
      </c>
      <c r="E76" s="6">
        <f>Summary!E76</f>
        <v/>
      </c>
      <c r="F76" s="6">
        <f>Summary!F76</f>
        <v/>
      </c>
      <c r="G76" s="6">
        <f>Summary!G76</f>
        <v/>
      </c>
      <c r="H76" s="6">
        <f>Summary!H76</f>
        <v/>
      </c>
      <c r="I76" s="6">
        <f>Summary!I76</f>
        <v/>
      </c>
      <c r="J76" s="6">
        <f>Summary!J76</f>
        <v/>
      </c>
      <c r="K76" s="6">
        <f>Summary!K76</f>
        <v/>
      </c>
      <c r="L76" s="6">
        <f>Summary!L76</f>
        <v/>
      </c>
      <c r="M76" s="6">
        <f>Summary!M76</f>
        <v/>
      </c>
      <c r="N76" s="6">
        <f>Summary!N76</f>
        <v/>
      </c>
      <c r="O76" s="6">
        <f>Summary!O76</f>
        <v/>
      </c>
      <c r="P76" s="6">
        <f>Summary!P76</f>
        <v/>
      </c>
      <c r="Q76" s="6">
        <f>Summary!Q76</f>
        <v/>
      </c>
      <c r="R76" s="6">
        <f>Summary!R76</f>
        <v/>
      </c>
      <c r="S76" s="6">
        <f>Summary!S76</f>
        <v/>
      </c>
      <c r="T76" s="6">
        <f>Summary!T76</f>
        <v/>
      </c>
      <c r="U76" s="6">
        <f>Summary!U76</f>
        <v/>
      </c>
      <c r="V76" s="6">
        <f>Summary!V76</f>
        <v/>
      </c>
      <c r="W76" s="6">
        <f>Summary!W76</f>
        <v/>
      </c>
      <c r="X76" s="6">
        <f>Summary!X76</f>
        <v/>
      </c>
      <c r="Y76" s="6">
        <f>Summary!Y76</f>
        <v/>
      </c>
      <c r="Z76" s="6">
        <f>Summary!Z76</f>
        <v/>
      </c>
      <c r="AA76" s="6">
        <f>Summary!AA76</f>
        <v/>
      </c>
      <c r="AB76" s="6">
        <f>SUM(D76:AA76)</f>
        <v/>
      </c>
      <c r="AC76" s="3" t="inlineStr"/>
      <c r="AD76" s="7">
        <f>AA76*0.00028565</f>
        <v/>
      </c>
      <c r="AE76" s="7">
        <f>D76*0.00028565</f>
        <v/>
      </c>
      <c r="AF76" s="7">
        <f>E76*0.00028565</f>
        <v/>
      </c>
      <c r="AG76" s="7">
        <f>F76*0.00028565</f>
        <v/>
      </c>
      <c r="AH76" s="7">
        <f>G76*0.00028565</f>
        <v/>
      </c>
      <c r="AI76" s="7">
        <f>H76*0.00028565</f>
        <v/>
      </c>
      <c r="AJ76" s="7">
        <f>I76*0.00028565</f>
        <v/>
      </c>
      <c r="AK76" s="7">
        <f>J76*0.00028565</f>
        <v/>
      </c>
      <c r="AL76" s="7">
        <f>K76*0.00028565</f>
        <v/>
      </c>
      <c r="AM76" s="7">
        <f>L76*0.00028565</f>
        <v/>
      </c>
      <c r="AN76" s="7">
        <f>M76*0.00028565</f>
        <v/>
      </c>
      <c r="AO76" s="7">
        <f>N76*0.00028565</f>
        <v/>
      </c>
      <c r="AP76" s="7">
        <f>O76*0.00028565</f>
        <v/>
      </c>
      <c r="AQ76" s="7">
        <f>P76*0.00028565</f>
        <v/>
      </c>
      <c r="AR76" s="7">
        <f>Q76*0.00028565</f>
        <v/>
      </c>
      <c r="AS76" s="7">
        <f>R76*0.00028565</f>
        <v/>
      </c>
      <c r="AT76" s="7">
        <f>S76*0.00028565</f>
        <v/>
      </c>
      <c r="AU76" s="7">
        <f>T76*0.00028565</f>
        <v/>
      </c>
      <c r="AV76" s="7">
        <f>U76*0.00028565</f>
        <v/>
      </c>
      <c r="AW76" s="7">
        <f>V76*0.00028565</f>
        <v/>
      </c>
      <c r="AX76" s="7">
        <f>W76*0.00028565</f>
        <v/>
      </c>
      <c r="AY76" s="7">
        <f>X76*0.00028565</f>
        <v/>
      </c>
      <c r="AZ76" s="7">
        <f>Y76*0.00028565</f>
        <v/>
      </c>
      <c r="BA76" s="7">
        <f>Z76*0.00028565</f>
        <v/>
      </c>
      <c r="BB76" s="7">
        <f>SUM(AD76:BA76)</f>
        <v/>
      </c>
    </row>
    <row r="77">
      <c r="A77" t="inlineStr">
        <is>
          <t>AMD-M2</t>
        </is>
      </c>
      <c r="B77" t="inlineStr">
        <is>
          <t>Forward Regular OSC</t>
        </is>
      </c>
      <c r="C77" s="5" t="n">
        <v>46090</v>
      </c>
      <c r="D77" s="6">
        <f>Summary!D77</f>
        <v/>
      </c>
      <c r="E77" s="6">
        <f>Summary!E77</f>
        <v/>
      </c>
      <c r="F77" s="6">
        <f>Summary!F77</f>
        <v/>
      </c>
      <c r="G77" s="6">
        <f>Summary!G77</f>
        <v/>
      </c>
      <c r="H77" s="6">
        <f>Summary!H77</f>
        <v/>
      </c>
      <c r="I77" s="6">
        <f>Summary!I77</f>
        <v/>
      </c>
      <c r="J77" s="6">
        <f>Summary!J77</f>
        <v/>
      </c>
      <c r="K77" s="6">
        <f>Summary!K77</f>
        <v/>
      </c>
      <c r="L77" s="6">
        <f>Summary!L77</f>
        <v/>
      </c>
      <c r="M77" s="6">
        <f>Summary!M77</f>
        <v/>
      </c>
      <c r="N77" s="6">
        <f>Summary!N77</f>
        <v/>
      </c>
      <c r="O77" s="6">
        <f>Summary!O77</f>
        <v/>
      </c>
      <c r="P77" s="6">
        <f>Summary!P77</f>
        <v/>
      </c>
      <c r="Q77" s="6">
        <f>Summary!Q77</f>
        <v/>
      </c>
      <c r="R77" s="6">
        <f>Summary!R77</f>
        <v/>
      </c>
      <c r="S77" s="6">
        <f>Summary!S77</f>
        <v/>
      </c>
      <c r="T77" s="6">
        <f>Summary!T77</f>
        <v/>
      </c>
      <c r="U77" s="6">
        <f>Summary!U77</f>
        <v/>
      </c>
      <c r="V77" s="6">
        <f>Summary!V77</f>
        <v/>
      </c>
      <c r="W77" s="6">
        <f>Summary!W77</f>
        <v/>
      </c>
      <c r="X77" s="6">
        <f>Summary!X77</f>
        <v/>
      </c>
      <c r="Y77" s="6">
        <f>Summary!Y77</f>
        <v/>
      </c>
      <c r="Z77" s="6">
        <f>Summary!Z77</f>
        <v/>
      </c>
      <c r="AA77" s="6">
        <f>Summary!AA77</f>
        <v/>
      </c>
      <c r="AB77" s="6">
        <f>SUM(D77:AA77)</f>
        <v/>
      </c>
      <c r="AC77" s="3" t="inlineStr"/>
      <c r="AD77" s="7">
        <f>AA77*0.00028565</f>
        <v/>
      </c>
      <c r="AE77" s="7">
        <f>D77*0.00028565</f>
        <v/>
      </c>
      <c r="AF77" s="7">
        <f>E77*0.00028565</f>
        <v/>
      </c>
      <c r="AG77" s="7">
        <f>F77*0.00028565</f>
        <v/>
      </c>
      <c r="AH77" s="7">
        <f>G77*0.00028565</f>
        <v/>
      </c>
      <c r="AI77" s="7">
        <f>H77*0.00028565</f>
        <v/>
      </c>
      <c r="AJ77" s="7">
        <f>I77*0.00028565</f>
        <v/>
      </c>
      <c r="AK77" s="7">
        <f>J77*0.00028565</f>
        <v/>
      </c>
      <c r="AL77" s="7">
        <f>K77*0.00028565</f>
        <v/>
      </c>
      <c r="AM77" s="7">
        <f>L77*0.00028565</f>
        <v/>
      </c>
      <c r="AN77" s="7">
        <f>M77*0.00028565</f>
        <v/>
      </c>
      <c r="AO77" s="7">
        <f>N77*0.00028565</f>
        <v/>
      </c>
      <c r="AP77" s="7">
        <f>O77*0.00028565</f>
        <v/>
      </c>
      <c r="AQ77" s="7">
        <f>P77*0.00028565</f>
        <v/>
      </c>
      <c r="AR77" s="7">
        <f>Q77*0.00028565</f>
        <v/>
      </c>
      <c r="AS77" s="7">
        <f>R77*0.00028565</f>
        <v/>
      </c>
      <c r="AT77" s="7">
        <f>S77*0.00028565</f>
        <v/>
      </c>
      <c r="AU77" s="7">
        <f>T77*0.00028565</f>
        <v/>
      </c>
      <c r="AV77" s="7">
        <f>U77*0.00028565</f>
        <v/>
      </c>
      <c r="AW77" s="7">
        <f>V77*0.00028565</f>
        <v/>
      </c>
      <c r="AX77" s="7">
        <f>W77*0.00028565</f>
        <v/>
      </c>
      <c r="AY77" s="7">
        <f>X77*0.00028565</f>
        <v/>
      </c>
      <c r="AZ77" s="7">
        <f>Y77*0.00028565</f>
        <v/>
      </c>
      <c r="BA77" s="7">
        <f>Z77*0.00028565</f>
        <v/>
      </c>
      <c r="BB77" s="7">
        <f>SUM(AD77:BA77)</f>
        <v/>
      </c>
    </row>
    <row r="78">
      <c r="A78" t="inlineStr">
        <is>
          <t>AMD-M2</t>
        </is>
      </c>
      <c r="B78" t="inlineStr">
        <is>
          <t>Forward Regular OSC</t>
        </is>
      </c>
      <c r="C78" s="5" t="n">
        <v>46091</v>
      </c>
      <c r="D78" s="6">
        <f>Summary!D78</f>
        <v/>
      </c>
      <c r="E78" s="6">
        <f>Summary!E78</f>
        <v/>
      </c>
      <c r="F78" s="6">
        <f>Summary!F78</f>
        <v/>
      </c>
      <c r="G78" s="6">
        <f>Summary!G78</f>
        <v/>
      </c>
      <c r="H78" s="6">
        <f>Summary!H78</f>
        <v/>
      </c>
      <c r="I78" s="6">
        <f>Summary!I78</f>
        <v/>
      </c>
      <c r="J78" s="6">
        <f>Summary!J78</f>
        <v/>
      </c>
      <c r="K78" s="6">
        <f>Summary!K78</f>
        <v/>
      </c>
      <c r="L78" s="6">
        <f>Summary!L78</f>
        <v/>
      </c>
      <c r="M78" s="6">
        <f>Summary!M78</f>
        <v/>
      </c>
      <c r="N78" s="6">
        <f>Summary!N78</f>
        <v/>
      </c>
      <c r="O78" s="6">
        <f>Summary!O78</f>
        <v/>
      </c>
      <c r="P78" s="6">
        <f>Summary!P78</f>
        <v/>
      </c>
      <c r="Q78" s="6">
        <f>Summary!Q78</f>
        <v/>
      </c>
      <c r="R78" s="6">
        <f>Summary!R78</f>
        <v/>
      </c>
      <c r="S78" s="6">
        <f>Summary!S78</f>
        <v/>
      </c>
      <c r="T78" s="6">
        <f>Summary!T78</f>
        <v/>
      </c>
      <c r="U78" s="6">
        <f>Summary!U78</f>
        <v/>
      </c>
      <c r="V78" s="6">
        <f>Summary!V78</f>
        <v/>
      </c>
      <c r="W78" s="6">
        <f>Summary!W78</f>
        <v/>
      </c>
      <c r="X78" s="6">
        <f>Summary!X78</f>
        <v/>
      </c>
      <c r="Y78" s="6">
        <f>Summary!Y78</f>
        <v/>
      </c>
      <c r="Z78" s="6">
        <f>Summary!Z78</f>
        <v/>
      </c>
      <c r="AA78" s="6">
        <f>Summary!AA78</f>
        <v/>
      </c>
      <c r="AB78" s="6">
        <f>SUM(D78:AA78)</f>
        <v/>
      </c>
      <c r="AC78" s="3" t="inlineStr"/>
      <c r="AD78" s="7">
        <f>AA78*0.00028565</f>
        <v/>
      </c>
      <c r="AE78" s="7">
        <f>D78*0.00028565</f>
        <v/>
      </c>
      <c r="AF78" s="7">
        <f>E78*0.00028565</f>
        <v/>
      </c>
      <c r="AG78" s="7">
        <f>F78*0.00028565</f>
        <v/>
      </c>
      <c r="AH78" s="7">
        <f>G78*0.00028565</f>
        <v/>
      </c>
      <c r="AI78" s="7">
        <f>H78*0.00028565</f>
        <v/>
      </c>
      <c r="AJ78" s="7">
        <f>I78*0.00028565</f>
        <v/>
      </c>
      <c r="AK78" s="7">
        <f>J78*0.00028565</f>
        <v/>
      </c>
      <c r="AL78" s="7">
        <f>K78*0.00028565</f>
        <v/>
      </c>
      <c r="AM78" s="7">
        <f>L78*0.00028565</f>
        <v/>
      </c>
      <c r="AN78" s="7">
        <f>M78*0.00028565</f>
        <v/>
      </c>
      <c r="AO78" s="7">
        <f>N78*0.00028565</f>
        <v/>
      </c>
      <c r="AP78" s="7">
        <f>O78*0.00028565</f>
        <v/>
      </c>
      <c r="AQ78" s="7">
        <f>P78*0.00028565</f>
        <v/>
      </c>
      <c r="AR78" s="7">
        <f>Q78*0.00028565</f>
        <v/>
      </c>
      <c r="AS78" s="7">
        <f>R78*0.00028565</f>
        <v/>
      </c>
      <c r="AT78" s="7">
        <f>S78*0.00028565</f>
        <v/>
      </c>
      <c r="AU78" s="7">
        <f>T78*0.00028565</f>
        <v/>
      </c>
      <c r="AV78" s="7">
        <f>U78*0.00028565</f>
        <v/>
      </c>
      <c r="AW78" s="7">
        <f>V78*0.00028565</f>
        <v/>
      </c>
      <c r="AX78" s="7">
        <f>W78*0.00028565</f>
        <v/>
      </c>
      <c r="AY78" s="7">
        <f>X78*0.00028565</f>
        <v/>
      </c>
      <c r="AZ78" s="7">
        <f>Y78*0.00028565</f>
        <v/>
      </c>
      <c r="BA78" s="7">
        <f>Z78*0.00028565</f>
        <v/>
      </c>
      <c r="BB78" s="7">
        <f>SUM(AD78:BA78)</f>
        <v/>
      </c>
    </row>
    <row r="79">
      <c r="A79" t="inlineStr">
        <is>
          <t>AMD-M2</t>
        </is>
      </c>
      <c r="B79" t="inlineStr">
        <is>
          <t>Forward Regular OSC</t>
        </is>
      </c>
      <c r="C79" s="5" t="n">
        <v>46092</v>
      </c>
      <c r="D79" s="6">
        <f>Summary!D79</f>
        <v/>
      </c>
      <c r="E79" s="6">
        <f>Summary!E79</f>
        <v/>
      </c>
      <c r="F79" s="6">
        <f>Summary!F79</f>
        <v/>
      </c>
      <c r="G79" s="6">
        <f>Summary!G79</f>
        <v/>
      </c>
      <c r="H79" s="6">
        <f>Summary!H79</f>
        <v/>
      </c>
      <c r="I79" s="6">
        <f>Summary!I79</f>
        <v/>
      </c>
      <c r="J79" s="6">
        <f>Summary!J79</f>
        <v/>
      </c>
      <c r="K79" s="6">
        <f>Summary!K79</f>
        <v/>
      </c>
      <c r="L79" s="6">
        <f>Summary!L79</f>
        <v/>
      </c>
      <c r="M79" s="6">
        <f>Summary!M79</f>
        <v/>
      </c>
      <c r="N79" s="6">
        <f>Summary!N79</f>
        <v/>
      </c>
      <c r="O79" s="6">
        <f>Summary!O79</f>
        <v/>
      </c>
      <c r="P79" s="6">
        <f>Summary!P79</f>
        <v/>
      </c>
      <c r="Q79" s="6">
        <f>Summary!Q79</f>
        <v/>
      </c>
      <c r="R79" s="6">
        <f>Summary!R79</f>
        <v/>
      </c>
      <c r="S79" s="6">
        <f>Summary!S79</f>
        <v/>
      </c>
      <c r="T79" s="6">
        <f>Summary!T79</f>
        <v/>
      </c>
      <c r="U79" s="6">
        <f>Summary!U79</f>
        <v/>
      </c>
      <c r="V79" s="6">
        <f>Summary!V79</f>
        <v/>
      </c>
      <c r="W79" s="6">
        <f>Summary!W79</f>
        <v/>
      </c>
      <c r="X79" s="6">
        <f>Summary!X79</f>
        <v/>
      </c>
      <c r="Y79" s="6">
        <f>Summary!Y79</f>
        <v/>
      </c>
      <c r="Z79" s="6">
        <f>Summary!Z79</f>
        <v/>
      </c>
      <c r="AA79" s="6">
        <f>Summary!AA79</f>
        <v/>
      </c>
      <c r="AB79" s="6">
        <f>SUM(D79:AA79)</f>
        <v/>
      </c>
      <c r="AC79" s="3" t="inlineStr"/>
      <c r="AD79" s="7">
        <f>AA79*0.00028565</f>
        <v/>
      </c>
      <c r="AE79" s="7">
        <f>D79*0.00028565</f>
        <v/>
      </c>
      <c r="AF79" s="7">
        <f>E79*0.00028565</f>
        <v/>
      </c>
      <c r="AG79" s="7">
        <f>F79*0.00028565</f>
        <v/>
      </c>
      <c r="AH79" s="7">
        <f>G79*0.00028565</f>
        <v/>
      </c>
      <c r="AI79" s="7">
        <f>H79*0.00028565</f>
        <v/>
      </c>
      <c r="AJ79" s="7">
        <f>I79*0.00028565</f>
        <v/>
      </c>
      <c r="AK79" s="7">
        <f>J79*0.00028565</f>
        <v/>
      </c>
      <c r="AL79" s="7">
        <f>K79*0.00028565</f>
        <v/>
      </c>
      <c r="AM79" s="7">
        <f>L79*0.00028565</f>
        <v/>
      </c>
      <c r="AN79" s="7">
        <f>M79*0.00028565</f>
        <v/>
      </c>
      <c r="AO79" s="7">
        <f>N79*0.00028565</f>
        <v/>
      </c>
      <c r="AP79" s="7">
        <f>O79*0.00028565</f>
        <v/>
      </c>
      <c r="AQ79" s="7">
        <f>P79*0.00028565</f>
        <v/>
      </c>
      <c r="AR79" s="7">
        <f>Q79*0.00028565</f>
        <v/>
      </c>
      <c r="AS79" s="7">
        <f>R79*0.00028565</f>
        <v/>
      </c>
      <c r="AT79" s="7">
        <f>S79*0.00028565</f>
        <v/>
      </c>
      <c r="AU79" s="7">
        <f>T79*0.00028565</f>
        <v/>
      </c>
      <c r="AV79" s="7">
        <f>U79*0.00028565</f>
        <v/>
      </c>
      <c r="AW79" s="7">
        <f>V79*0.00028565</f>
        <v/>
      </c>
      <c r="AX79" s="7">
        <f>W79*0.00028565</f>
        <v/>
      </c>
      <c r="AY79" s="7">
        <f>X79*0.00028565</f>
        <v/>
      </c>
      <c r="AZ79" s="7">
        <f>Y79*0.00028565</f>
        <v/>
      </c>
      <c r="BA79" s="7">
        <f>Z79*0.00028565</f>
        <v/>
      </c>
      <c r="BB79" s="7">
        <f>SUM(AD79:BA79)</f>
        <v/>
      </c>
    </row>
    <row r="80">
      <c r="A80" t="inlineStr">
        <is>
          <t>AMD-M2</t>
        </is>
      </c>
      <c r="B80" t="inlineStr">
        <is>
          <t>Forward Regular OSC</t>
        </is>
      </c>
      <c r="C80" s="5" t="n">
        <v>46093</v>
      </c>
      <c r="D80" s="6">
        <f>Summary!D80</f>
        <v/>
      </c>
      <c r="E80" s="6">
        <f>Summary!E80</f>
        <v/>
      </c>
      <c r="F80" s="6">
        <f>Summary!F80</f>
        <v/>
      </c>
      <c r="G80" s="6">
        <f>Summary!G80</f>
        <v/>
      </c>
      <c r="H80" s="6">
        <f>Summary!H80</f>
        <v/>
      </c>
      <c r="I80" s="6">
        <f>Summary!I80</f>
        <v/>
      </c>
      <c r="J80" s="6">
        <f>Summary!J80</f>
        <v/>
      </c>
      <c r="K80" s="6">
        <f>Summary!K80</f>
        <v/>
      </c>
      <c r="L80" s="6">
        <f>Summary!L80</f>
        <v/>
      </c>
      <c r="M80" s="6">
        <f>Summary!M80</f>
        <v/>
      </c>
      <c r="N80" s="6">
        <f>Summary!N80</f>
        <v/>
      </c>
      <c r="O80" s="6">
        <f>Summary!O80</f>
        <v/>
      </c>
      <c r="P80" s="6">
        <f>Summary!P80</f>
        <v/>
      </c>
      <c r="Q80" s="6">
        <f>Summary!Q80</f>
        <v/>
      </c>
      <c r="R80" s="6">
        <f>Summary!R80</f>
        <v/>
      </c>
      <c r="S80" s="6">
        <f>Summary!S80</f>
        <v/>
      </c>
      <c r="T80" s="6">
        <f>Summary!T80</f>
        <v/>
      </c>
      <c r="U80" s="6">
        <f>Summary!U80</f>
        <v/>
      </c>
      <c r="V80" s="6">
        <f>Summary!V80</f>
        <v/>
      </c>
      <c r="W80" s="6">
        <f>Summary!W80</f>
        <v/>
      </c>
      <c r="X80" s="6">
        <f>Summary!X80</f>
        <v/>
      </c>
      <c r="Y80" s="6">
        <f>Summary!Y80</f>
        <v/>
      </c>
      <c r="Z80" s="6">
        <f>Summary!Z80</f>
        <v/>
      </c>
      <c r="AA80" s="6">
        <f>Summary!AA80</f>
        <v/>
      </c>
      <c r="AB80" s="6">
        <f>SUM(D80:AA80)</f>
        <v/>
      </c>
      <c r="AC80" s="3" t="inlineStr"/>
      <c r="AD80" s="7">
        <f>AA80*0.00028565</f>
        <v/>
      </c>
      <c r="AE80" s="7">
        <f>D80*0.00028565</f>
        <v/>
      </c>
      <c r="AF80" s="7">
        <f>E80*0.00028565</f>
        <v/>
      </c>
      <c r="AG80" s="7">
        <f>F80*0.00028565</f>
        <v/>
      </c>
      <c r="AH80" s="7">
        <f>G80*0.00028565</f>
        <v/>
      </c>
      <c r="AI80" s="7">
        <f>H80*0.00028565</f>
        <v/>
      </c>
      <c r="AJ80" s="7">
        <f>I80*0.00028565</f>
        <v/>
      </c>
      <c r="AK80" s="7">
        <f>J80*0.00028565</f>
        <v/>
      </c>
      <c r="AL80" s="7">
        <f>K80*0.00028565</f>
        <v/>
      </c>
      <c r="AM80" s="7">
        <f>L80*0.00028565</f>
        <v/>
      </c>
      <c r="AN80" s="7">
        <f>M80*0.00028565</f>
        <v/>
      </c>
      <c r="AO80" s="7">
        <f>N80*0.00028565</f>
        <v/>
      </c>
      <c r="AP80" s="7">
        <f>O80*0.00028565</f>
        <v/>
      </c>
      <c r="AQ80" s="7">
        <f>P80*0.00028565</f>
        <v/>
      </c>
      <c r="AR80" s="7">
        <f>Q80*0.00028565</f>
        <v/>
      </c>
      <c r="AS80" s="7">
        <f>R80*0.00028565</f>
        <v/>
      </c>
      <c r="AT80" s="7">
        <f>S80*0.00028565</f>
        <v/>
      </c>
      <c r="AU80" s="7">
        <f>T80*0.00028565</f>
        <v/>
      </c>
      <c r="AV80" s="7">
        <f>U80*0.00028565</f>
        <v/>
      </c>
      <c r="AW80" s="7">
        <f>V80*0.00028565</f>
        <v/>
      </c>
      <c r="AX80" s="7">
        <f>W80*0.00028565</f>
        <v/>
      </c>
      <c r="AY80" s="7">
        <f>X80*0.00028565</f>
        <v/>
      </c>
      <c r="AZ80" s="7">
        <f>Y80*0.00028565</f>
        <v/>
      </c>
      <c r="BA80" s="7">
        <f>Z80*0.00028565</f>
        <v/>
      </c>
      <c r="BB80" s="7">
        <f>SUM(AD80:BA80)</f>
        <v/>
      </c>
    </row>
    <row r="81">
      <c r="A81" t="inlineStr">
        <is>
          <t>AMD-M2</t>
        </is>
      </c>
      <c r="B81" t="inlineStr">
        <is>
          <t>Forward Regular OSC</t>
        </is>
      </c>
      <c r="C81" s="5" t="n">
        <v>46094</v>
      </c>
      <c r="D81" s="6">
        <f>Summary!D81</f>
        <v/>
      </c>
      <c r="E81" s="6">
        <f>Summary!E81</f>
        <v/>
      </c>
      <c r="F81" s="6">
        <f>Summary!F81</f>
        <v/>
      </c>
      <c r="G81" s="6">
        <f>Summary!G81</f>
        <v/>
      </c>
      <c r="H81" s="6">
        <f>Summary!H81</f>
        <v/>
      </c>
      <c r="I81" s="6">
        <f>Summary!I81</f>
        <v/>
      </c>
      <c r="J81" s="6">
        <f>Summary!J81</f>
        <v/>
      </c>
      <c r="K81" s="6">
        <f>Summary!K81</f>
        <v/>
      </c>
      <c r="L81" s="6">
        <f>Summary!L81</f>
        <v/>
      </c>
      <c r="M81" s="6">
        <f>Summary!M81</f>
        <v/>
      </c>
      <c r="N81" s="6">
        <f>Summary!N81</f>
        <v/>
      </c>
      <c r="O81" s="6">
        <f>Summary!O81</f>
        <v/>
      </c>
      <c r="P81" s="6">
        <f>Summary!P81</f>
        <v/>
      </c>
      <c r="Q81" s="6">
        <f>Summary!Q81</f>
        <v/>
      </c>
      <c r="R81" s="6">
        <f>Summary!R81</f>
        <v/>
      </c>
      <c r="S81" s="6">
        <f>Summary!S81</f>
        <v/>
      </c>
      <c r="T81" s="6">
        <f>Summary!T81</f>
        <v/>
      </c>
      <c r="U81" s="6">
        <f>Summary!U81</f>
        <v/>
      </c>
      <c r="V81" s="6">
        <f>Summary!V81</f>
        <v/>
      </c>
      <c r="W81" s="6">
        <f>Summary!W81</f>
        <v/>
      </c>
      <c r="X81" s="6">
        <f>Summary!X81</f>
        <v/>
      </c>
      <c r="Y81" s="6">
        <f>Summary!Y81</f>
        <v/>
      </c>
      <c r="Z81" s="6">
        <f>Summary!Z81</f>
        <v/>
      </c>
      <c r="AA81" s="6">
        <f>Summary!AA81</f>
        <v/>
      </c>
      <c r="AB81" s="6">
        <f>SUM(D81:AA81)</f>
        <v/>
      </c>
      <c r="AC81" s="3" t="inlineStr"/>
      <c r="AD81" s="7">
        <f>AA81*0.00028565</f>
        <v/>
      </c>
      <c r="AE81" s="7">
        <f>D81*0.00028565</f>
        <v/>
      </c>
      <c r="AF81" s="7">
        <f>E81*0.00028565</f>
        <v/>
      </c>
      <c r="AG81" s="7">
        <f>F81*0.00028565</f>
        <v/>
      </c>
      <c r="AH81" s="7">
        <f>G81*0.00028565</f>
        <v/>
      </c>
      <c r="AI81" s="7">
        <f>H81*0.00028565</f>
        <v/>
      </c>
      <c r="AJ81" s="7">
        <f>I81*0.00028565</f>
        <v/>
      </c>
      <c r="AK81" s="7">
        <f>J81*0.00028565</f>
        <v/>
      </c>
      <c r="AL81" s="7">
        <f>K81*0.00028565</f>
        <v/>
      </c>
      <c r="AM81" s="7">
        <f>L81*0.00028565</f>
        <v/>
      </c>
      <c r="AN81" s="7">
        <f>M81*0.00028565</f>
        <v/>
      </c>
      <c r="AO81" s="7">
        <f>N81*0.00028565</f>
        <v/>
      </c>
      <c r="AP81" s="7">
        <f>O81*0.00028565</f>
        <v/>
      </c>
      <c r="AQ81" s="7">
        <f>P81*0.00028565</f>
        <v/>
      </c>
      <c r="AR81" s="7">
        <f>Q81*0.00028565</f>
        <v/>
      </c>
      <c r="AS81" s="7">
        <f>R81*0.00028565</f>
        <v/>
      </c>
      <c r="AT81" s="7">
        <f>S81*0.00028565</f>
        <v/>
      </c>
      <c r="AU81" s="7">
        <f>T81*0.00028565</f>
        <v/>
      </c>
      <c r="AV81" s="7">
        <f>U81*0.00028565</f>
        <v/>
      </c>
      <c r="AW81" s="7">
        <f>V81*0.00028565</f>
        <v/>
      </c>
      <c r="AX81" s="7">
        <f>W81*0.00028565</f>
        <v/>
      </c>
      <c r="AY81" s="7">
        <f>X81*0.00028565</f>
        <v/>
      </c>
      <c r="AZ81" s="7">
        <f>Y81*0.00028565</f>
        <v/>
      </c>
      <c r="BA81" s="7">
        <f>Z81*0.00028565</f>
        <v/>
      </c>
      <c r="BB81" s="7">
        <f>SUM(AD81:BA81)</f>
        <v/>
      </c>
    </row>
    <row r="82">
      <c r="A82" t="inlineStr">
        <is>
          <t>AMD-M2</t>
        </is>
      </c>
      <c r="B82" t="inlineStr">
        <is>
          <t>Forward Regular OSC</t>
        </is>
      </c>
      <c r="C82" s="5" t="n">
        <v>46095</v>
      </c>
      <c r="D82" s="6">
        <f>Summary!D82</f>
        <v/>
      </c>
      <c r="E82" s="6">
        <f>Summary!E82</f>
        <v/>
      </c>
      <c r="F82" s="6">
        <f>Summary!F82</f>
        <v/>
      </c>
      <c r="G82" s="6">
        <f>Summary!G82</f>
        <v/>
      </c>
      <c r="H82" s="6">
        <f>Summary!H82</f>
        <v/>
      </c>
      <c r="I82" s="6">
        <f>Summary!I82</f>
        <v/>
      </c>
      <c r="J82" s="6">
        <f>Summary!J82</f>
        <v/>
      </c>
      <c r="K82" s="6">
        <f>Summary!K82</f>
        <v/>
      </c>
      <c r="L82" s="6">
        <f>Summary!L82</f>
        <v/>
      </c>
      <c r="M82" s="6">
        <f>Summary!M82</f>
        <v/>
      </c>
      <c r="N82" s="6">
        <f>Summary!N82</f>
        <v/>
      </c>
      <c r="O82" s="6">
        <f>Summary!O82</f>
        <v/>
      </c>
      <c r="P82" s="6">
        <f>Summary!P82</f>
        <v/>
      </c>
      <c r="Q82" s="6">
        <f>Summary!Q82</f>
        <v/>
      </c>
      <c r="R82" s="6">
        <f>Summary!R82</f>
        <v/>
      </c>
      <c r="S82" s="6">
        <f>Summary!S82</f>
        <v/>
      </c>
      <c r="T82" s="6">
        <f>Summary!T82</f>
        <v/>
      </c>
      <c r="U82" s="6">
        <f>Summary!U82</f>
        <v/>
      </c>
      <c r="V82" s="6">
        <f>Summary!V82</f>
        <v/>
      </c>
      <c r="W82" s="6">
        <f>Summary!W82</f>
        <v/>
      </c>
      <c r="X82" s="6">
        <f>Summary!X82</f>
        <v/>
      </c>
      <c r="Y82" s="6">
        <f>Summary!Y82</f>
        <v/>
      </c>
      <c r="Z82" s="6">
        <f>Summary!Z82</f>
        <v/>
      </c>
      <c r="AA82" s="6">
        <f>Summary!AA82</f>
        <v/>
      </c>
      <c r="AB82" s="6">
        <f>SUM(D82:AA82)</f>
        <v/>
      </c>
      <c r="AC82" s="3" t="inlineStr"/>
      <c r="AD82" s="7">
        <f>AA82*0.00028565</f>
        <v/>
      </c>
      <c r="AE82" s="7">
        <f>D82*0.00028565</f>
        <v/>
      </c>
      <c r="AF82" s="7">
        <f>E82*0.00028565</f>
        <v/>
      </c>
      <c r="AG82" s="7">
        <f>F82*0.00028565</f>
        <v/>
      </c>
      <c r="AH82" s="7">
        <f>G82*0.00028565</f>
        <v/>
      </c>
      <c r="AI82" s="7">
        <f>H82*0.00028565</f>
        <v/>
      </c>
      <c r="AJ82" s="7">
        <f>I82*0.00028565</f>
        <v/>
      </c>
      <c r="AK82" s="7">
        <f>J82*0.00028565</f>
        <v/>
      </c>
      <c r="AL82" s="7">
        <f>K82*0.00028565</f>
        <v/>
      </c>
      <c r="AM82" s="7">
        <f>L82*0.00028565</f>
        <v/>
      </c>
      <c r="AN82" s="7">
        <f>M82*0.00028565</f>
        <v/>
      </c>
      <c r="AO82" s="7">
        <f>N82*0.00028565</f>
        <v/>
      </c>
      <c r="AP82" s="7">
        <f>O82*0.00028565</f>
        <v/>
      </c>
      <c r="AQ82" s="7">
        <f>P82*0.00028565</f>
        <v/>
      </c>
      <c r="AR82" s="7">
        <f>Q82*0.00028565</f>
        <v/>
      </c>
      <c r="AS82" s="7">
        <f>R82*0.00028565</f>
        <v/>
      </c>
      <c r="AT82" s="7">
        <f>S82*0.00028565</f>
        <v/>
      </c>
      <c r="AU82" s="7">
        <f>T82*0.00028565</f>
        <v/>
      </c>
      <c r="AV82" s="7">
        <f>U82*0.00028565</f>
        <v/>
      </c>
      <c r="AW82" s="7">
        <f>V82*0.00028565</f>
        <v/>
      </c>
      <c r="AX82" s="7">
        <f>W82*0.00028565</f>
        <v/>
      </c>
      <c r="AY82" s="7">
        <f>X82*0.00028565</f>
        <v/>
      </c>
      <c r="AZ82" s="7">
        <f>Y82*0.00028565</f>
        <v/>
      </c>
      <c r="BA82" s="7">
        <f>Z82*0.00028565</f>
        <v/>
      </c>
      <c r="BB82" s="7">
        <f>SUM(AD82:BA82)</f>
        <v/>
      </c>
    </row>
    <row r="83">
      <c r="A83" t="inlineStr">
        <is>
          <t>AMD-M2</t>
        </is>
      </c>
      <c r="B83" t="inlineStr">
        <is>
          <t>Forward Regular OSC</t>
        </is>
      </c>
      <c r="C83" s="5" t="n">
        <v>46096</v>
      </c>
      <c r="D83" s="6">
        <f>Summary!D83</f>
        <v/>
      </c>
      <c r="E83" s="6">
        <f>Summary!E83</f>
        <v/>
      </c>
      <c r="F83" s="6">
        <f>Summary!F83</f>
        <v/>
      </c>
      <c r="G83" s="6">
        <f>Summary!G83</f>
        <v/>
      </c>
      <c r="H83" s="6">
        <f>Summary!H83</f>
        <v/>
      </c>
      <c r="I83" s="6">
        <f>Summary!I83</f>
        <v/>
      </c>
      <c r="J83" s="6">
        <f>Summary!J83</f>
        <v/>
      </c>
      <c r="K83" s="6">
        <f>Summary!K83</f>
        <v/>
      </c>
      <c r="L83" s="6">
        <f>Summary!L83</f>
        <v/>
      </c>
      <c r="M83" s="6">
        <f>Summary!M83</f>
        <v/>
      </c>
      <c r="N83" s="6">
        <f>Summary!N83</f>
        <v/>
      </c>
      <c r="O83" s="6">
        <f>Summary!O83</f>
        <v/>
      </c>
      <c r="P83" s="6">
        <f>Summary!P83</f>
        <v/>
      </c>
      <c r="Q83" s="6">
        <f>Summary!Q83</f>
        <v/>
      </c>
      <c r="R83" s="6">
        <f>Summary!R83</f>
        <v/>
      </c>
      <c r="S83" s="6">
        <f>Summary!S83</f>
        <v/>
      </c>
      <c r="T83" s="6">
        <f>Summary!T83</f>
        <v/>
      </c>
      <c r="U83" s="6">
        <f>Summary!U83</f>
        <v/>
      </c>
      <c r="V83" s="6">
        <f>Summary!V83</f>
        <v/>
      </c>
      <c r="W83" s="6">
        <f>Summary!W83</f>
        <v/>
      </c>
      <c r="X83" s="6">
        <f>Summary!X83</f>
        <v/>
      </c>
      <c r="Y83" s="6">
        <f>Summary!Y83</f>
        <v/>
      </c>
      <c r="Z83" s="6">
        <f>Summary!Z83</f>
        <v/>
      </c>
      <c r="AA83" s="6">
        <f>Summary!AA83</f>
        <v/>
      </c>
      <c r="AB83" s="6">
        <f>SUM(D83:AA83)</f>
        <v/>
      </c>
      <c r="AC83" s="3" t="inlineStr"/>
      <c r="AD83" s="7">
        <f>AA83*0.00028565</f>
        <v/>
      </c>
      <c r="AE83" s="7">
        <f>D83*0.00028565</f>
        <v/>
      </c>
      <c r="AF83" s="7">
        <f>E83*0.00028565</f>
        <v/>
      </c>
      <c r="AG83" s="7">
        <f>F83*0.00028565</f>
        <v/>
      </c>
      <c r="AH83" s="7">
        <f>G83*0.00028565</f>
        <v/>
      </c>
      <c r="AI83" s="7">
        <f>H83*0.00028565</f>
        <v/>
      </c>
      <c r="AJ83" s="7">
        <f>I83*0.00028565</f>
        <v/>
      </c>
      <c r="AK83" s="7">
        <f>J83*0.00028565</f>
        <v/>
      </c>
      <c r="AL83" s="7">
        <f>K83*0.00028565</f>
        <v/>
      </c>
      <c r="AM83" s="7">
        <f>L83*0.00028565</f>
        <v/>
      </c>
      <c r="AN83" s="7">
        <f>M83*0.00028565</f>
        <v/>
      </c>
      <c r="AO83" s="7">
        <f>N83*0.00028565</f>
        <v/>
      </c>
      <c r="AP83" s="7">
        <f>O83*0.00028565</f>
        <v/>
      </c>
      <c r="AQ83" s="7">
        <f>P83*0.00028565</f>
        <v/>
      </c>
      <c r="AR83" s="7">
        <f>Q83*0.00028565</f>
        <v/>
      </c>
      <c r="AS83" s="7">
        <f>R83*0.00028565</f>
        <v/>
      </c>
      <c r="AT83" s="7">
        <f>S83*0.00028565</f>
        <v/>
      </c>
      <c r="AU83" s="7">
        <f>T83*0.00028565</f>
        <v/>
      </c>
      <c r="AV83" s="7">
        <f>U83*0.00028565</f>
        <v/>
      </c>
      <c r="AW83" s="7">
        <f>V83*0.00028565</f>
        <v/>
      </c>
      <c r="AX83" s="7">
        <f>W83*0.00028565</f>
        <v/>
      </c>
      <c r="AY83" s="7">
        <f>X83*0.00028565</f>
        <v/>
      </c>
      <c r="AZ83" s="7">
        <f>Y83*0.00028565</f>
        <v/>
      </c>
      <c r="BA83" s="7">
        <f>Z83*0.00028565</f>
        <v/>
      </c>
      <c r="BB83" s="7">
        <f>SUM(AD83:BA83)</f>
        <v/>
      </c>
    </row>
    <row r="84">
      <c r="A84" t="inlineStr">
        <is>
          <t>AMD-M2</t>
        </is>
      </c>
      <c r="B84" t="inlineStr">
        <is>
          <t>Forward Regular OSC</t>
        </is>
      </c>
      <c r="C84" s="5" t="n">
        <v>46097</v>
      </c>
      <c r="D84" s="6">
        <f>Summary!D84</f>
        <v/>
      </c>
      <c r="E84" s="6">
        <f>Summary!E84</f>
        <v/>
      </c>
      <c r="F84" s="6">
        <f>Summary!F84</f>
        <v/>
      </c>
      <c r="G84" s="6">
        <f>Summary!G84</f>
        <v/>
      </c>
      <c r="H84" s="6">
        <f>Summary!H84</f>
        <v/>
      </c>
      <c r="I84" s="6">
        <f>Summary!I84</f>
        <v/>
      </c>
      <c r="J84" s="6">
        <f>Summary!J84</f>
        <v/>
      </c>
      <c r="K84" s="6">
        <f>Summary!K84</f>
        <v/>
      </c>
      <c r="L84" s="6">
        <f>Summary!L84</f>
        <v/>
      </c>
      <c r="M84" s="6">
        <f>Summary!M84</f>
        <v/>
      </c>
      <c r="N84" s="6">
        <f>Summary!N84</f>
        <v/>
      </c>
      <c r="O84" s="6">
        <f>Summary!O84</f>
        <v/>
      </c>
      <c r="P84" s="6">
        <f>Summary!P84</f>
        <v/>
      </c>
      <c r="Q84" s="6">
        <f>Summary!Q84</f>
        <v/>
      </c>
      <c r="R84" s="6">
        <f>Summary!R84</f>
        <v/>
      </c>
      <c r="S84" s="6">
        <f>Summary!S84</f>
        <v/>
      </c>
      <c r="T84" s="6">
        <f>Summary!T84</f>
        <v/>
      </c>
      <c r="U84" s="6">
        <f>Summary!U84</f>
        <v/>
      </c>
      <c r="V84" s="6">
        <f>Summary!V84</f>
        <v/>
      </c>
      <c r="W84" s="6">
        <f>Summary!W84</f>
        <v/>
      </c>
      <c r="X84" s="6">
        <f>Summary!X84</f>
        <v/>
      </c>
      <c r="Y84" s="6">
        <f>Summary!Y84</f>
        <v/>
      </c>
      <c r="Z84" s="6">
        <f>Summary!Z84</f>
        <v/>
      </c>
      <c r="AA84" s="6">
        <f>Summary!AA84</f>
        <v/>
      </c>
      <c r="AB84" s="6">
        <f>SUM(D84:AA84)</f>
        <v/>
      </c>
      <c r="AC84" s="3" t="inlineStr"/>
      <c r="AD84" s="7">
        <f>AA84*0.00028565</f>
        <v/>
      </c>
      <c r="AE84" s="7">
        <f>D84*0.00028565</f>
        <v/>
      </c>
      <c r="AF84" s="7">
        <f>E84*0.00028565</f>
        <v/>
      </c>
      <c r="AG84" s="7">
        <f>F84*0.00028565</f>
        <v/>
      </c>
      <c r="AH84" s="7">
        <f>G84*0.00028565</f>
        <v/>
      </c>
      <c r="AI84" s="7">
        <f>H84*0.00028565</f>
        <v/>
      </c>
      <c r="AJ84" s="7">
        <f>I84*0.00028565</f>
        <v/>
      </c>
      <c r="AK84" s="7">
        <f>J84*0.00028565</f>
        <v/>
      </c>
      <c r="AL84" s="7">
        <f>K84*0.00028565</f>
        <v/>
      </c>
      <c r="AM84" s="7">
        <f>L84*0.00028565</f>
        <v/>
      </c>
      <c r="AN84" s="7">
        <f>M84*0.00028565</f>
        <v/>
      </c>
      <c r="AO84" s="7">
        <f>N84*0.00028565</f>
        <v/>
      </c>
      <c r="AP84" s="7">
        <f>O84*0.00028565</f>
        <v/>
      </c>
      <c r="AQ84" s="7">
        <f>P84*0.00028565</f>
        <v/>
      </c>
      <c r="AR84" s="7">
        <f>Q84*0.00028565</f>
        <v/>
      </c>
      <c r="AS84" s="7">
        <f>R84*0.00028565</f>
        <v/>
      </c>
      <c r="AT84" s="7">
        <f>S84*0.00028565</f>
        <v/>
      </c>
      <c r="AU84" s="7">
        <f>T84*0.00028565</f>
        <v/>
      </c>
      <c r="AV84" s="7">
        <f>U84*0.00028565</f>
        <v/>
      </c>
      <c r="AW84" s="7">
        <f>V84*0.00028565</f>
        <v/>
      </c>
      <c r="AX84" s="7">
        <f>W84*0.00028565</f>
        <v/>
      </c>
      <c r="AY84" s="7">
        <f>X84*0.00028565</f>
        <v/>
      </c>
      <c r="AZ84" s="7">
        <f>Y84*0.00028565</f>
        <v/>
      </c>
      <c r="BA84" s="7">
        <f>Z84*0.00028565</f>
        <v/>
      </c>
      <c r="BB84" s="7">
        <f>SUM(AD84:BA84)</f>
        <v/>
      </c>
    </row>
    <row r="85">
      <c r="A85" t="inlineStr">
        <is>
          <t>AMD-MU-01</t>
        </is>
      </c>
      <c r="B85" t="inlineStr">
        <is>
          <t>Forward Regular OSC</t>
        </is>
      </c>
      <c r="C85" s="5" t="n">
        <v>46091</v>
      </c>
      <c r="D85" s="6">
        <f>Summary!D85</f>
        <v/>
      </c>
      <c r="E85" s="6">
        <f>Summary!E85</f>
        <v/>
      </c>
      <c r="F85" s="6">
        <f>Summary!F85</f>
        <v/>
      </c>
      <c r="G85" s="6">
        <f>Summary!G85</f>
        <v/>
      </c>
      <c r="H85" s="6">
        <f>Summary!H85</f>
        <v/>
      </c>
      <c r="I85" s="6">
        <f>Summary!I85</f>
        <v/>
      </c>
      <c r="J85" s="6">
        <f>Summary!J85</f>
        <v/>
      </c>
      <c r="K85" s="6">
        <f>Summary!K85</f>
        <v/>
      </c>
      <c r="L85" s="6">
        <f>Summary!L85</f>
        <v/>
      </c>
      <c r="M85" s="6">
        <f>Summary!M85</f>
        <v/>
      </c>
      <c r="N85" s="6">
        <f>Summary!N85</f>
        <v/>
      </c>
      <c r="O85" s="6">
        <f>Summary!O85</f>
        <v/>
      </c>
      <c r="P85" s="6">
        <f>Summary!P85</f>
        <v/>
      </c>
      <c r="Q85" s="6">
        <f>Summary!Q85</f>
        <v/>
      </c>
      <c r="R85" s="6">
        <f>Summary!R85</f>
        <v/>
      </c>
      <c r="S85" s="6">
        <f>Summary!S85</f>
        <v/>
      </c>
      <c r="T85" s="6">
        <f>Summary!T85</f>
        <v/>
      </c>
      <c r="U85" s="6">
        <f>Summary!U85</f>
        <v/>
      </c>
      <c r="V85" s="6">
        <f>Summary!V85</f>
        <v/>
      </c>
      <c r="W85" s="6">
        <f>Summary!W85</f>
        <v/>
      </c>
      <c r="X85" s="6">
        <f>Summary!X85</f>
        <v/>
      </c>
      <c r="Y85" s="6">
        <f>Summary!Y85</f>
        <v/>
      </c>
      <c r="Z85" s="6">
        <f>Summary!Z85</f>
        <v/>
      </c>
      <c r="AA85" s="6">
        <f>Summary!AA85</f>
        <v/>
      </c>
      <c r="AB85" s="6">
        <f>SUM(D85:AA85)</f>
        <v/>
      </c>
      <c r="AC85" s="3" t="inlineStr"/>
      <c r="AD85" s="7">
        <f>AA85*0.00028565</f>
        <v/>
      </c>
      <c r="AE85" s="7">
        <f>D85*0.00028565</f>
        <v/>
      </c>
      <c r="AF85" s="7">
        <f>E85*0.00028565</f>
        <v/>
      </c>
      <c r="AG85" s="7">
        <f>F85*0.00028565</f>
        <v/>
      </c>
      <c r="AH85" s="7">
        <f>G85*0.00028565</f>
        <v/>
      </c>
      <c r="AI85" s="7">
        <f>H85*0.00028565</f>
        <v/>
      </c>
      <c r="AJ85" s="7">
        <f>I85*0.00028565</f>
        <v/>
      </c>
      <c r="AK85" s="7">
        <f>J85*0.00028565</f>
        <v/>
      </c>
      <c r="AL85" s="7">
        <f>K85*0.00028565</f>
        <v/>
      </c>
      <c r="AM85" s="7">
        <f>L85*0.00028565</f>
        <v/>
      </c>
      <c r="AN85" s="7">
        <f>M85*0.00028565</f>
        <v/>
      </c>
      <c r="AO85" s="7">
        <f>N85*0.00028565</f>
        <v/>
      </c>
      <c r="AP85" s="7">
        <f>O85*0.00028565</f>
        <v/>
      </c>
      <c r="AQ85" s="7">
        <f>P85*0.00028565</f>
        <v/>
      </c>
      <c r="AR85" s="7">
        <f>Q85*0.00028565</f>
        <v/>
      </c>
      <c r="AS85" s="7">
        <f>R85*0.00028565</f>
        <v/>
      </c>
      <c r="AT85" s="7">
        <f>S85*0.00028565</f>
        <v/>
      </c>
      <c r="AU85" s="7">
        <f>T85*0.00028565</f>
        <v/>
      </c>
      <c r="AV85" s="7">
        <f>U85*0.00028565</f>
        <v/>
      </c>
      <c r="AW85" s="7">
        <f>V85*0.00028565</f>
        <v/>
      </c>
      <c r="AX85" s="7">
        <f>W85*0.00028565</f>
        <v/>
      </c>
      <c r="AY85" s="7">
        <f>X85*0.00028565</f>
        <v/>
      </c>
      <c r="AZ85" s="7">
        <f>Y85*0.00028565</f>
        <v/>
      </c>
      <c r="BA85" s="7">
        <f>Z85*0.00028565</f>
        <v/>
      </c>
      <c r="BB85" s="7">
        <f>SUM(AD85:BA85)</f>
        <v/>
      </c>
    </row>
    <row r="86">
      <c r="A86" t="inlineStr">
        <is>
          <t>AMD-RTS-RCLS-1302-SSC</t>
        </is>
      </c>
      <c r="B86" t="inlineStr">
        <is>
          <t>Rev OSC</t>
        </is>
      </c>
      <c r="C86" s="5" t="n">
        <v>46089</v>
      </c>
      <c r="D86" s="6">
        <f>Summary!D86</f>
        <v/>
      </c>
      <c r="E86" s="6">
        <f>Summary!E86</f>
        <v/>
      </c>
      <c r="F86" s="6">
        <f>Summary!F86</f>
        <v/>
      </c>
      <c r="G86" s="6">
        <f>Summary!G86</f>
        <v/>
      </c>
      <c r="H86" s="6">
        <f>Summary!H86</f>
        <v/>
      </c>
      <c r="I86" s="6">
        <f>Summary!I86</f>
        <v/>
      </c>
      <c r="J86" s="6">
        <f>Summary!J86</f>
        <v/>
      </c>
      <c r="K86" s="6">
        <f>Summary!K86</f>
        <v/>
      </c>
      <c r="L86" s="6">
        <f>Summary!L86</f>
        <v/>
      </c>
      <c r="M86" s="6">
        <f>Summary!M86</f>
        <v/>
      </c>
      <c r="N86" s="6">
        <f>Summary!N86</f>
        <v/>
      </c>
      <c r="O86" s="6">
        <f>Summary!O86</f>
        <v/>
      </c>
      <c r="P86" s="6">
        <f>Summary!P86</f>
        <v/>
      </c>
      <c r="Q86" s="6">
        <f>Summary!Q86</f>
        <v/>
      </c>
      <c r="R86" s="6">
        <f>Summary!R86</f>
        <v/>
      </c>
      <c r="S86" s="6">
        <f>Summary!S86</f>
        <v/>
      </c>
      <c r="T86" s="6">
        <f>Summary!T86</f>
        <v/>
      </c>
      <c r="U86" s="6">
        <f>Summary!U86</f>
        <v/>
      </c>
      <c r="V86" s="6">
        <f>Summary!V86</f>
        <v/>
      </c>
      <c r="W86" s="6">
        <f>Summary!W86</f>
        <v/>
      </c>
      <c r="X86" s="6">
        <f>Summary!X86</f>
        <v/>
      </c>
      <c r="Y86" s="6">
        <f>Summary!Y86</f>
        <v/>
      </c>
      <c r="Z86" s="6">
        <f>Summary!Z86</f>
        <v/>
      </c>
      <c r="AA86" s="6">
        <f>Summary!AA86</f>
        <v/>
      </c>
      <c r="AB86" s="6">
        <f>SUM(D86:AA86)</f>
        <v/>
      </c>
      <c r="AC86" s="3" t="inlineStr"/>
      <c r="AD86" s="7">
        <f>AA86*0.00028565</f>
        <v/>
      </c>
      <c r="AE86" s="7">
        <f>D86*0.00028565</f>
        <v/>
      </c>
      <c r="AF86" s="7">
        <f>E86*0.00028565</f>
        <v/>
      </c>
      <c r="AG86" s="7">
        <f>F86*0.00028565</f>
        <v/>
      </c>
      <c r="AH86" s="7">
        <f>G86*0.00028565</f>
        <v/>
      </c>
      <c r="AI86" s="7">
        <f>H86*0.00028565</f>
        <v/>
      </c>
      <c r="AJ86" s="7">
        <f>I86*0.00028565</f>
        <v/>
      </c>
      <c r="AK86" s="7">
        <f>J86*0.00028565</f>
        <v/>
      </c>
      <c r="AL86" s="7">
        <f>K86*0.00028565</f>
        <v/>
      </c>
      <c r="AM86" s="7">
        <f>L86*0.00028565</f>
        <v/>
      </c>
      <c r="AN86" s="7">
        <f>M86*0.00028565</f>
        <v/>
      </c>
      <c r="AO86" s="7">
        <f>N86*0.00028565</f>
        <v/>
      </c>
      <c r="AP86" s="7">
        <f>O86*0.00028565</f>
        <v/>
      </c>
      <c r="AQ86" s="7">
        <f>P86*0.00028565</f>
        <v/>
      </c>
      <c r="AR86" s="7">
        <f>Q86*0.00028565</f>
        <v/>
      </c>
      <c r="AS86" s="7">
        <f>R86*0.00028565</f>
        <v/>
      </c>
      <c r="AT86" s="7">
        <f>S86*0.00028565</f>
        <v/>
      </c>
      <c r="AU86" s="7">
        <f>T86*0.00028565</f>
        <v/>
      </c>
      <c r="AV86" s="7">
        <f>U86*0.00028565</f>
        <v/>
      </c>
      <c r="AW86" s="7">
        <f>V86*0.00028565</f>
        <v/>
      </c>
      <c r="AX86" s="7">
        <f>W86*0.00028565</f>
        <v/>
      </c>
      <c r="AY86" s="7">
        <f>X86*0.00028565</f>
        <v/>
      </c>
      <c r="AZ86" s="7">
        <f>Y86*0.00028565</f>
        <v/>
      </c>
      <c r="BA86" s="7">
        <f>Z86*0.00028565</f>
        <v/>
      </c>
      <c r="BB86" s="7">
        <f>SUM(AD86:BA86)</f>
        <v/>
      </c>
    </row>
    <row r="87">
      <c r="A87" t="inlineStr">
        <is>
          <t>AMD-RTS-RCLS-1302-SSC</t>
        </is>
      </c>
      <c r="B87" t="inlineStr">
        <is>
          <t>Rev OSC</t>
        </is>
      </c>
      <c r="C87" s="5" t="n">
        <v>46090</v>
      </c>
      <c r="D87" s="6">
        <f>Summary!D87</f>
        <v/>
      </c>
      <c r="E87" s="6">
        <f>Summary!E87</f>
        <v/>
      </c>
      <c r="F87" s="6">
        <f>Summary!F87</f>
        <v/>
      </c>
      <c r="G87" s="6">
        <f>Summary!G87</f>
        <v/>
      </c>
      <c r="H87" s="6">
        <f>Summary!H87</f>
        <v/>
      </c>
      <c r="I87" s="6">
        <f>Summary!I87</f>
        <v/>
      </c>
      <c r="J87" s="6">
        <f>Summary!J87</f>
        <v/>
      </c>
      <c r="K87" s="6">
        <f>Summary!K87</f>
        <v/>
      </c>
      <c r="L87" s="6">
        <f>Summary!L87</f>
        <v/>
      </c>
      <c r="M87" s="6">
        <f>Summary!M87</f>
        <v/>
      </c>
      <c r="N87" s="6">
        <f>Summary!N87</f>
        <v/>
      </c>
      <c r="O87" s="6">
        <f>Summary!O87</f>
        <v/>
      </c>
      <c r="P87" s="6">
        <f>Summary!P87</f>
        <v/>
      </c>
      <c r="Q87" s="6">
        <f>Summary!Q87</f>
        <v/>
      </c>
      <c r="R87" s="6">
        <f>Summary!R87</f>
        <v/>
      </c>
      <c r="S87" s="6">
        <f>Summary!S87</f>
        <v/>
      </c>
      <c r="T87" s="6">
        <f>Summary!T87</f>
        <v/>
      </c>
      <c r="U87" s="6">
        <f>Summary!U87</f>
        <v/>
      </c>
      <c r="V87" s="6">
        <f>Summary!V87</f>
        <v/>
      </c>
      <c r="W87" s="6">
        <f>Summary!W87</f>
        <v/>
      </c>
      <c r="X87" s="6">
        <f>Summary!X87</f>
        <v/>
      </c>
      <c r="Y87" s="6">
        <f>Summary!Y87</f>
        <v/>
      </c>
      <c r="Z87" s="6">
        <f>Summary!Z87</f>
        <v/>
      </c>
      <c r="AA87" s="6">
        <f>Summary!AA87</f>
        <v/>
      </c>
      <c r="AB87" s="6">
        <f>SUM(D87:AA87)</f>
        <v/>
      </c>
      <c r="AC87" s="3" t="inlineStr"/>
      <c r="AD87" s="7">
        <f>AA87*0.00028565</f>
        <v/>
      </c>
      <c r="AE87" s="7">
        <f>D87*0.00028565</f>
        <v/>
      </c>
      <c r="AF87" s="7">
        <f>E87*0.00028565</f>
        <v/>
      </c>
      <c r="AG87" s="7">
        <f>F87*0.00028565</f>
        <v/>
      </c>
      <c r="AH87" s="7">
        <f>G87*0.00028565</f>
        <v/>
      </c>
      <c r="AI87" s="7">
        <f>H87*0.00028565</f>
        <v/>
      </c>
      <c r="AJ87" s="7">
        <f>I87*0.00028565</f>
        <v/>
      </c>
      <c r="AK87" s="7">
        <f>J87*0.00028565</f>
        <v/>
      </c>
      <c r="AL87" s="7">
        <f>K87*0.00028565</f>
        <v/>
      </c>
      <c r="AM87" s="7">
        <f>L87*0.00028565</f>
        <v/>
      </c>
      <c r="AN87" s="7">
        <f>M87*0.00028565</f>
        <v/>
      </c>
      <c r="AO87" s="7">
        <f>N87*0.00028565</f>
        <v/>
      </c>
      <c r="AP87" s="7">
        <f>O87*0.00028565</f>
        <v/>
      </c>
      <c r="AQ87" s="7">
        <f>P87*0.00028565</f>
        <v/>
      </c>
      <c r="AR87" s="7">
        <f>Q87*0.00028565</f>
        <v/>
      </c>
      <c r="AS87" s="7">
        <f>R87*0.00028565</f>
        <v/>
      </c>
      <c r="AT87" s="7">
        <f>S87*0.00028565</f>
        <v/>
      </c>
      <c r="AU87" s="7">
        <f>T87*0.00028565</f>
        <v/>
      </c>
      <c r="AV87" s="7">
        <f>U87*0.00028565</f>
        <v/>
      </c>
      <c r="AW87" s="7">
        <f>V87*0.00028565</f>
        <v/>
      </c>
      <c r="AX87" s="7">
        <f>W87*0.00028565</f>
        <v/>
      </c>
      <c r="AY87" s="7">
        <f>X87*0.00028565</f>
        <v/>
      </c>
      <c r="AZ87" s="7">
        <f>Y87*0.00028565</f>
        <v/>
      </c>
      <c r="BA87" s="7">
        <f>Z87*0.00028565</f>
        <v/>
      </c>
      <c r="BB87" s="7">
        <f>SUM(AD87:BA87)</f>
        <v/>
      </c>
    </row>
    <row r="88">
      <c r="A88" t="inlineStr">
        <is>
          <t>AMD-RTS-RCLS-1302-SSC</t>
        </is>
      </c>
      <c r="B88" t="inlineStr">
        <is>
          <t>Rev OSC</t>
        </is>
      </c>
      <c r="C88" s="5" t="n">
        <v>46092</v>
      </c>
      <c r="D88" s="6">
        <f>Summary!D88</f>
        <v/>
      </c>
      <c r="E88" s="6">
        <f>Summary!E88</f>
        <v/>
      </c>
      <c r="F88" s="6">
        <f>Summary!F88</f>
        <v/>
      </c>
      <c r="G88" s="6">
        <f>Summary!G88</f>
        <v/>
      </c>
      <c r="H88" s="6">
        <f>Summary!H88</f>
        <v/>
      </c>
      <c r="I88" s="6">
        <f>Summary!I88</f>
        <v/>
      </c>
      <c r="J88" s="6">
        <f>Summary!J88</f>
        <v/>
      </c>
      <c r="K88" s="6">
        <f>Summary!K88</f>
        <v/>
      </c>
      <c r="L88" s="6">
        <f>Summary!L88</f>
        <v/>
      </c>
      <c r="M88" s="6">
        <f>Summary!M88</f>
        <v/>
      </c>
      <c r="N88" s="6">
        <f>Summary!N88</f>
        <v/>
      </c>
      <c r="O88" s="6">
        <f>Summary!O88</f>
        <v/>
      </c>
      <c r="P88" s="6">
        <f>Summary!P88</f>
        <v/>
      </c>
      <c r="Q88" s="6">
        <f>Summary!Q88</f>
        <v/>
      </c>
      <c r="R88" s="6">
        <f>Summary!R88</f>
        <v/>
      </c>
      <c r="S88" s="6">
        <f>Summary!S88</f>
        <v/>
      </c>
      <c r="T88" s="6">
        <f>Summary!T88</f>
        <v/>
      </c>
      <c r="U88" s="6">
        <f>Summary!U88</f>
        <v/>
      </c>
      <c r="V88" s="6">
        <f>Summary!V88</f>
        <v/>
      </c>
      <c r="W88" s="6">
        <f>Summary!W88</f>
        <v/>
      </c>
      <c r="X88" s="6">
        <f>Summary!X88</f>
        <v/>
      </c>
      <c r="Y88" s="6">
        <f>Summary!Y88</f>
        <v/>
      </c>
      <c r="Z88" s="6">
        <f>Summary!Z88</f>
        <v/>
      </c>
      <c r="AA88" s="6">
        <f>Summary!AA88</f>
        <v/>
      </c>
      <c r="AB88" s="6">
        <f>SUM(D88:AA88)</f>
        <v/>
      </c>
      <c r="AC88" s="3" t="inlineStr"/>
      <c r="AD88" s="7">
        <f>AA88*0.00028565</f>
        <v/>
      </c>
      <c r="AE88" s="7">
        <f>D88*0.00028565</f>
        <v/>
      </c>
      <c r="AF88" s="7">
        <f>E88*0.00028565</f>
        <v/>
      </c>
      <c r="AG88" s="7">
        <f>F88*0.00028565</f>
        <v/>
      </c>
      <c r="AH88" s="7">
        <f>G88*0.00028565</f>
        <v/>
      </c>
      <c r="AI88" s="7">
        <f>H88*0.00028565</f>
        <v/>
      </c>
      <c r="AJ88" s="7">
        <f>I88*0.00028565</f>
        <v/>
      </c>
      <c r="AK88" s="7">
        <f>J88*0.00028565</f>
        <v/>
      </c>
      <c r="AL88" s="7">
        <f>K88*0.00028565</f>
        <v/>
      </c>
      <c r="AM88" s="7">
        <f>L88*0.00028565</f>
        <v/>
      </c>
      <c r="AN88" s="7">
        <f>M88*0.00028565</f>
        <v/>
      </c>
      <c r="AO88" s="7">
        <f>N88*0.00028565</f>
        <v/>
      </c>
      <c r="AP88" s="7">
        <f>O88*0.00028565</f>
        <v/>
      </c>
      <c r="AQ88" s="7">
        <f>P88*0.00028565</f>
        <v/>
      </c>
      <c r="AR88" s="7">
        <f>Q88*0.00028565</f>
        <v/>
      </c>
      <c r="AS88" s="7">
        <f>R88*0.00028565</f>
        <v/>
      </c>
      <c r="AT88" s="7">
        <f>S88*0.00028565</f>
        <v/>
      </c>
      <c r="AU88" s="7">
        <f>T88*0.00028565</f>
        <v/>
      </c>
      <c r="AV88" s="7">
        <f>U88*0.00028565</f>
        <v/>
      </c>
      <c r="AW88" s="7">
        <f>V88*0.00028565</f>
        <v/>
      </c>
      <c r="AX88" s="7">
        <f>W88*0.00028565</f>
        <v/>
      </c>
      <c r="AY88" s="7">
        <f>X88*0.00028565</f>
        <v/>
      </c>
      <c r="AZ88" s="7">
        <f>Y88*0.00028565</f>
        <v/>
      </c>
      <c r="BA88" s="7">
        <f>Z88*0.00028565</f>
        <v/>
      </c>
      <c r="BB88" s="7">
        <f>SUM(AD88:BA88)</f>
        <v/>
      </c>
    </row>
    <row r="89">
      <c r="A89" t="inlineStr">
        <is>
          <t>AMD-RTS-RCLS-1302-SSC</t>
        </is>
      </c>
      <c r="B89" t="inlineStr">
        <is>
          <t>Rev OSC</t>
        </is>
      </c>
      <c r="C89" s="5" t="n">
        <v>46093</v>
      </c>
      <c r="D89" s="6">
        <f>Summary!D89</f>
        <v/>
      </c>
      <c r="E89" s="6">
        <f>Summary!E89</f>
        <v/>
      </c>
      <c r="F89" s="6">
        <f>Summary!F89</f>
        <v/>
      </c>
      <c r="G89" s="6">
        <f>Summary!G89</f>
        <v/>
      </c>
      <c r="H89" s="6">
        <f>Summary!H89</f>
        <v/>
      </c>
      <c r="I89" s="6">
        <f>Summary!I89</f>
        <v/>
      </c>
      <c r="J89" s="6">
        <f>Summary!J89</f>
        <v/>
      </c>
      <c r="K89" s="6">
        <f>Summary!K89</f>
        <v/>
      </c>
      <c r="L89" s="6">
        <f>Summary!L89</f>
        <v/>
      </c>
      <c r="M89" s="6">
        <f>Summary!M89</f>
        <v/>
      </c>
      <c r="N89" s="6">
        <f>Summary!N89</f>
        <v/>
      </c>
      <c r="O89" s="6">
        <f>Summary!O89</f>
        <v/>
      </c>
      <c r="P89" s="6">
        <f>Summary!P89</f>
        <v/>
      </c>
      <c r="Q89" s="6">
        <f>Summary!Q89</f>
        <v/>
      </c>
      <c r="R89" s="6">
        <f>Summary!R89</f>
        <v/>
      </c>
      <c r="S89" s="6">
        <f>Summary!S89</f>
        <v/>
      </c>
      <c r="T89" s="6">
        <f>Summary!T89</f>
        <v/>
      </c>
      <c r="U89" s="6">
        <f>Summary!U89</f>
        <v/>
      </c>
      <c r="V89" s="6">
        <f>Summary!V89</f>
        <v/>
      </c>
      <c r="W89" s="6">
        <f>Summary!W89</f>
        <v/>
      </c>
      <c r="X89" s="6">
        <f>Summary!X89</f>
        <v/>
      </c>
      <c r="Y89" s="6">
        <f>Summary!Y89</f>
        <v/>
      </c>
      <c r="Z89" s="6">
        <f>Summary!Z89</f>
        <v/>
      </c>
      <c r="AA89" s="6">
        <f>Summary!AA89</f>
        <v/>
      </c>
      <c r="AB89" s="6">
        <f>SUM(D89:AA89)</f>
        <v/>
      </c>
      <c r="AC89" s="3" t="inlineStr"/>
      <c r="AD89" s="7">
        <f>AA89*0.00028565</f>
        <v/>
      </c>
      <c r="AE89" s="7">
        <f>D89*0.00028565</f>
        <v/>
      </c>
      <c r="AF89" s="7">
        <f>E89*0.00028565</f>
        <v/>
      </c>
      <c r="AG89" s="7">
        <f>F89*0.00028565</f>
        <v/>
      </c>
      <c r="AH89" s="7">
        <f>G89*0.00028565</f>
        <v/>
      </c>
      <c r="AI89" s="7">
        <f>H89*0.00028565</f>
        <v/>
      </c>
      <c r="AJ89" s="7">
        <f>I89*0.00028565</f>
        <v/>
      </c>
      <c r="AK89" s="7">
        <f>J89*0.00028565</f>
        <v/>
      </c>
      <c r="AL89" s="7">
        <f>K89*0.00028565</f>
        <v/>
      </c>
      <c r="AM89" s="7">
        <f>L89*0.00028565</f>
        <v/>
      </c>
      <c r="AN89" s="7">
        <f>M89*0.00028565</f>
        <v/>
      </c>
      <c r="AO89" s="7">
        <f>N89*0.00028565</f>
        <v/>
      </c>
      <c r="AP89" s="7">
        <f>O89*0.00028565</f>
        <v/>
      </c>
      <c r="AQ89" s="7">
        <f>P89*0.00028565</f>
        <v/>
      </c>
      <c r="AR89" s="7">
        <f>Q89*0.00028565</f>
        <v/>
      </c>
      <c r="AS89" s="7">
        <f>R89*0.00028565</f>
        <v/>
      </c>
      <c r="AT89" s="7">
        <f>S89*0.00028565</f>
        <v/>
      </c>
      <c r="AU89" s="7">
        <f>T89*0.00028565</f>
        <v/>
      </c>
      <c r="AV89" s="7">
        <f>U89*0.00028565</f>
        <v/>
      </c>
      <c r="AW89" s="7">
        <f>V89*0.00028565</f>
        <v/>
      </c>
      <c r="AX89" s="7">
        <f>W89*0.00028565</f>
        <v/>
      </c>
      <c r="AY89" s="7">
        <f>X89*0.00028565</f>
        <v/>
      </c>
      <c r="AZ89" s="7">
        <f>Y89*0.00028565</f>
        <v/>
      </c>
      <c r="BA89" s="7">
        <f>Z89*0.00028565</f>
        <v/>
      </c>
      <c r="BB89" s="7">
        <f>SUM(AD89:BA89)</f>
        <v/>
      </c>
    </row>
    <row r="90">
      <c r="A90" t="inlineStr">
        <is>
          <t>AMD-RTS-RCLS-1302-SSC</t>
        </is>
      </c>
      <c r="B90" t="inlineStr">
        <is>
          <t>Rev OSC</t>
        </is>
      </c>
      <c r="C90" s="5" t="n">
        <v>46094</v>
      </c>
      <c r="D90" s="6">
        <f>Summary!D90</f>
        <v/>
      </c>
      <c r="E90" s="6">
        <f>Summary!E90</f>
        <v/>
      </c>
      <c r="F90" s="6">
        <f>Summary!F90</f>
        <v/>
      </c>
      <c r="G90" s="6">
        <f>Summary!G90</f>
        <v/>
      </c>
      <c r="H90" s="6">
        <f>Summary!H90</f>
        <v/>
      </c>
      <c r="I90" s="6">
        <f>Summary!I90</f>
        <v/>
      </c>
      <c r="J90" s="6">
        <f>Summary!J90</f>
        <v/>
      </c>
      <c r="K90" s="6">
        <f>Summary!K90</f>
        <v/>
      </c>
      <c r="L90" s="6">
        <f>Summary!L90</f>
        <v/>
      </c>
      <c r="M90" s="6">
        <f>Summary!M90</f>
        <v/>
      </c>
      <c r="N90" s="6">
        <f>Summary!N90</f>
        <v/>
      </c>
      <c r="O90" s="6">
        <f>Summary!O90</f>
        <v/>
      </c>
      <c r="P90" s="6">
        <f>Summary!P90</f>
        <v/>
      </c>
      <c r="Q90" s="6">
        <f>Summary!Q90</f>
        <v/>
      </c>
      <c r="R90" s="6">
        <f>Summary!R90</f>
        <v/>
      </c>
      <c r="S90" s="6">
        <f>Summary!S90</f>
        <v/>
      </c>
      <c r="T90" s="6">
        <f>Summary!T90</f>
        <v/>
      </c>
      <c r="U90" s="6">
        <f>Summary!U90</f>
        <v/>
      </c>
      <c r="V90" s="6">
        <f>Summary!V90</f>
        <v/>
      </c>
      <c r="W90" s="6">
        <f>Summary!W90</f>
        <v/>
      </c>
      <c r="X90" s="6">
        <f>Summary!X90</f>
        <v/>
      </c>
      <c r="Y90" s="6">
        <f>Summary!Y90</f>
        <v/>
      </c>
      <c r="Z90" s="6">
        <f>Summary!Z90</f>
        <v/>
      </c>
      <c r="AA90" s="6">
        <f>Summary!AA90</f>
        <v/>
      </c>
      <c r="AB90" s="6">
        <f>SUM(D90:AA90)</f>
        <v/>
      </c>
      <c r="AC90" s="3" t="inlineStr"/>
      <c r="AD90" s="7">
        <f>AA90*0.00028565</f>
        <v/>
      </c>
      <c r="AE90" s="7">
        <f>D90*0.00028565</f>
        <v/>
      </c>
      <c r="AF90" s="7">
        <f>E90*0.00028565</f>
        <v/>
      </c>
      <c r="AG90" s="7">
        <f>F90*0.00028565</f>
        <v/>
      </c>
      <c r="AH90" s="7">
        <f>G90*0.00028565</f>
        <v/>
      </c>
      <c r="AI90" s="7">
        <f>H90*0.00028565</f>
        <v/>
      </c>
      <c r="AJ90" s="7">
        <f>I90*0.00028565</f>
        <v/>
      </c>
      <c r="AK90" s="7">
        <f>J90*0.00028565</f>
        <v/>
      </c>
      <c r="AL90" s="7">
        <f>K90*0.00028565</f>
        <v/>
      </c>
      <c r="AM90" s="7">
        <f>L90*0.00028565</f>
        <v/>
      </c>
      <c r="AN90" s="7">
        <f>M90*0.00028565</f>
        <v/>
      </c>
      <c r="AO90" s="7">
        <f>N90*0.00028565</f>
        <v/>
      </c>
      <c r="AP90" s="7">
        <f>O90*0.00028565</f>
        <v/>
      </c>
      <c r="AQ90" s="7">
        <f>P90*0.00028565</f>
        <v/>
      </c>
      <c r="AR90" s="7">
        <f>Q90*0.00028565</f>
        <v/>
      </c>
      <c r="AS90" s="7">
        <f>R90*0.00028565</f>
        <v/>
      </c>
      <c r="AT90" s="7">
        <f>S90*0.00028565</f>
        <v/>
      </c>
      <c r="AU90" s="7">
        <f>T90*0.00028565</f>
        <v/>
      </c>
      <c r="AV90" s="7">
        <f>U90*0.00028565</f>
        <v/>
      </c>
      <c r="AW90" s="7">
        <f>V90*0.00028565</f>
        <v/>
      </c>
      <c r="AX90" s="7">
        <f>W90*0.00028565</f>
        <v/>
      </c>
      <c r="AY90" s="7">
        <f>X90*0.00028565</f>
        <v/>
      </c>
      <c r="AZ90" s="7">
        <f>Y90*0.00028565</f>
        <v/>
      </c>
      <c r="BA90" s="7">
        <f>Z90*0.00028565</f>
        <v/>
      </c>
      <c r="BB90" s="7">
        <f>SUM(AD90:BA90)</f>
        <v/>
      </c>
    </row>
    <row r="91">
      <c r="A91" t="inlineStr">
        <is>
          <t>AMD-RTS-RCLS-1302-SSC</t>
        </is>
      </c>
      <c r="B91" t="inlineStr">
        <is>
          <t>Rev OSC</t>
        </is>
      </c>
      <c r="C91" s="5" t="n">
        <v>46095</v>
      </c>
      <c r="D91" s="6">
        <f>Summary!D91</f>
        <v/>
      </c>
      <c r="E91" s="6">
        <f>Summary!E91</f>
        <v/>
      </c>
      <c r="F91" s="6">
        <f>Summary!F91</f>
        <v/>
      </c>
      <c r="G91" s="6">
        <f>Summary!G91</f>
        <v/>
      </c>
      <c r="H91" s="6">
        <f>Summary!H91</f>
        <v/>
      </c>
      <c r="I91" s="6">
        <f>Summary!I91</f>
        <v/>
      </c>
      <c r="J91" s="6">
        <f>Summary!J91</f>
        <v/>
      </c>
      <c r="K91" s="6">
        <f>Summary!K91</f>
        <v/>
      </c>
      <c r="L91" s="6">
        <f>Summary!L91</f>
        <v/>
      </c>
      <c r="M91" s="6">
        <f>Summary!M91</f>
        <v/>
      </c>
      <c r="N91" s="6">
        <f>Summary!N91</f>
        <v/>
      </c>
      <c r="O91" s="6">
        <f>Summary!O91</f>
        <v/>
      </c>
      <c r="P91" s="6">
        <f>Summary!P91</f>
        <v/>
      </c>
      <c r="Q91" s="6">
        <f>Summary!Q91</f>
        <v/>
      </c>
      <c r="R91" s="6">
        <f>Summary!R91</f>
        <v/>
      </c>
      <c r="S91" s="6">
        <f>Summary!S91</f>
        <v/>
      </c>
      <c r="T91" s="6">
        <f>Summary!T91</f>
        <v/>
      </c>
      <c r="U91" s="6">
        <f>Summary!U91</f>
        <v/>
      </c>
      <c r="V91" s="6">
        <f>Summary!V91</f>
        <v/>
      </c>
      <c r="W91" s="6">
        <f>Summary!W91</f>
        <v/>
      </c>
      <c r="X91" s="6">
        <f>Summary!X91</f>
        <v/>
      </c>
      <c r="Y91" s="6">
        <f>Summary!Y91</f>
        <v/>
      </c>
      <c r="Z91" s="6">
        <f>Summary!Z91</f>
        <v/>
      </c>
      <c r="AA91" s="6">
        <f>Summary!AA91</f>
        <v/>
      </c>
      <c r="AB91" s="6">
        <f>SUM(D91:AA91)</f>
        <v/>
      </c>
      <c r="AC91" s="3" t="inlineStr"/>
      <c r="AD91" s="7">
        <f>AA91*0.00028565</f>
        <v/>
      </c>
      <c r="AE91" s="7">
        <f>D91*0.00028565</f>
        <v/>
      </c>
      <c r="AF91" s="7">
        <f>E91*0.00028565</f>
        <v/>
      </c>
      <c r="AG91" s="7">
        <f>F91*0.00028565</f>
        <v/>
      </c>
      <c r="AH91" s="7">
        <f>G91*0.00028565</f>
        <v/>
      </c>
      <c r="AI91" s="7">
        <f>H91*0.00028565</f>
        <v/>
      </c>
      <c r="AJ91" s="7">
        <f>I91*0.00028565</f>
        <v/>
      </c>
      <c r="AK91" s="7">
        <f>J91*0.00028565</f>
        <v/>
      </c>
      <c r="AL91" s="7">
        <f>K91*0.00028565</f>
        <v/>
      </c>
      <c r="AM91" s="7">
        <f>L91*0.00028565</f>
        <v/>
      </c>
      <c r="AN91" s="7">
        <f>M91*0.00028565</f>
        <v/>
      </c>
      <c r="AO91" s="7">
        <f>N91*0.00028565</f>
        <v/>
      </c>
      <c r="AP91" s="7">
        <f>O91*0.00028565</f>
        <v/>
      </c>
      <c r="AQ91" s="7">
        <f>P91*0.00028565</f>
        <v/>
      </c>
      <c r="AR91" s="7">
        <f>Q91*0.00028565</f>
        <v/>
      </c>
      <c r="AS91" s="7">
        <f>R91*0.00028565</f>
        <v/>
      </c>
      <c r="AT91" s="7">
        <f>S91*0.00028565</f>
        <v/>
      </c>
      <c r="AU91" s="7">
        <f>T91*0.00028565</f>
        <v/>
      </c>
      <c r="AV91" s="7">
        <f>U91*0.00028565</f>
        <v/>
      </c>
      <c r="AW91" s="7">
        <f>V91*0.00028565</f>
        <v/>
      </c>
      <c r="AX91" s="7">
        <f>W91*0.00028565</f>
        <v/>
      </c>
      <c r="AY91" s="7">
        <f>X91*0.00028565</f>
        <v/>
      </c>
      <c r="AZ91" s="7">
        <f>Y91*0.00028565</f>
        <v/>
      </c>
      <c r="BA91" s="7">
        <f>Z91*0.00028565</f>
        <v/>
      </c>
      <c r="BB91" s="7">
        <f>SUM(AD91:BA91)</f>
        <v/>
      </c>
    </row>
    <row r="92">
      <c r="A92" t="inlineStr">
        <is>
          <t>AMD-RTS-RCLS-1302-SSC</t>
        </is>
      </c>
      <c r="B92" t="inlineStr">
        <is>
          <t>Rev OSC</t>
        </is>
      </c>
      <c r="C92" s="5" t="n">
        <v>46096</v>
      </c>
      <c r="D92" s="6">
        <f>Summary!D92</f>
        <v/>
      </c>
      <c r="E92" s="6">
        <f>Summary!E92</f>
        <v/>
      </c>
      <c r="F92" s="6">
        <f>Summary!F92</f>
        <v/>
      </c>
      <c r="G92" s="6">
        <f>Summary!G92</f>
        <v/>
      </c>
      <c r="H92" s="6">
        <f>Summary!H92</f>
        <v/>
      </c>
      <c r="I92" s="6">
        <f>Summary!I92</f>
        <v/>
      </c>
      <c r="J92" s="6">
        <f>Summary!J92</f>
        <v/>
      </c>
      <c r="K92" s="6">
        <f>Summary!K92</f>
        <v/>
      </c>
      <c r="L92" s="6">
        <f>Summary!L92</f>
        <v/>
      </c>
      <c r="M92" s="6">
        <f>Summary!M92</f>
        <v/>
      </c>
      <c r="N92" s="6">
        <f>Summary!N92</f>
        <v/>
      </c>
      <c r="O92" s="6">
        <f>Summary!O92</f>
        <v/>
      </c>
      <c r="P92" s="6">
        <f>Summary!P92</f>
        <v/>
      </c>
      <c r="Q92" s="6">
        <f>Summary!Q92</f>
        <v/>
      </c>
      <c r="R92" s="6">
        <f>Summary!R92</f>
        <v/>
      </c>
      <c r="S92" s="6">
        <f>Summary!S92</f>
        <v/>
      </c>
      <c r="T92" s="6">
        <f>Summary!T92</f>
        <v/>
      </c>
      <c r="U92" s="6">
        <f>Summary!U92</f>
        <v/>
      </c>
      <c r="V92" s="6">
        <f>Summary!V92</f>
        <v/>
      </c>
      <c r="W92" s="6">
        <f>Summary!W92</f>
        <v/>
      </c>
      <c r="X92" s="6">
        <f>Summary!X92</f>
        <v/>
      </c>
      <c r="Y92" s="6">
        <f>Summary!Y92</f>
        <v/>
      </c>
      <c r="Z92" s="6">
        <f>Summary!Z92</f>
        <v/>
      </c>
      <c r="AA92" s="6">
        <f>Summary!AA92</f>
        <v/>
      </c>
      <c r="AB92" s="6">
        <f>SUM(D92:AA92)</f>
        <v/>
      </c>
      <c r="AC92" s="3" t="inlineStr"/>
      <c r="AD92" s="7">
        <f>AA92*0.00028565</f>
        <v/>
      </c>
      <c r="AE92" s="7">
        <f>D92*0.00028565</f>
        <v/>
      </c>
      <c r="AF92" s="7">
        <f>E92*0.00028565</f>
        <v/>
      </c>
      <c r="AG92" s="7">
        <f>F92*0.00028565</f>
        <v/>
      </c>
      <c r="AH92" s="7">
        <f>G92*0.00028565</f>
        <v/>
      </c>
      <c r="AI92" s="7">
        <f>H92*0.00028565</f>
        <v/>
      </c>
      <c r="AJ92" s="7">
        <f>I92*0.00028565</f>
        <v/>
      </c>
      <c r="AK92" s="7">
        <f>J92*0.00028565</f>
        <v/>
      </c>
      <c r="AL92" s="7">
        <f>K92*0.00028565</f>
        <v/>
      </c>
      <c r="AM92" s="7">
        <f>L92*0.00028565</f>
        <v/>
      </c>
      <c r="AN92" s="7">
        <f>M92*0.00028565</f>
        <v/>
      </c>
      <c r="AO92" s="7">
        <f>N92*0.00028565</f>
        <v/>
      </c>
      <c r="AP92" s="7">
        <f>O92*0.00028565</f>
        <v/>
      </c>
      <c r="AQ92" s="7">
        <f>P92*0.00028565</f>
        <v/>
      </c>
      <c r="AR92" s="7">
        <f>Q92*0.00028565</f>
        <v/>
      </c>
      <c r="AS92" s="7">
        <f>R92*0.00028565</f>
        <v/>
      </c>
      <c r="AT92" s="7">
        <f>S92*0.00028565</f>
        <v/>
      </c>
      <c r="AU92" s="7">
        <f>T92*0.00028565</f>
        <v/>
      </c>
      <c r="AV92" s="7">
        <f>U92*0.00028565</f>
        <v/>
      </c>
      <c r="AW92" s="7">
        <f>V92*0.00028565</f>
        <v/>
      </c>
      <c r="AX92" s="7">
        <f>W92*0.00028565</f>
        <v/>
      </c>
      <c r="AY92" s="7">
        <f>X92*0.00028565</f>
        <v/>
      </c>
      <c r="AZ92" s="7">
        <f>Y92*0.00028565</f>
        <v/>
      </c>
      <c r="BA92" s="7">
        <f>Z92*0.00028565</f>
        <v/>
      </c>
      <c r="BB92" s="7">
        <f>SUM(AD92:BA92)</f>
        <v/>
      </c>
    </row>
    <row r="93">
      <c r="A93" t="inlineStr">
        <is>
          <t>AMD-RTS-RCLS-1302-SSC</t>
        </is>
      </c>
      <c r="B93" t="inlineStr">
        <is>
          <t>Rev OSC</t>
        </is>
      </c>
      <c r="C93" s="5" t="n">
        <v>46097</v>
      </c>
      <c r="D93" s="6">
        <f>Summary!D93</f>
        <v/>
      </c>
      <c r="E93" s="6">
        <f>Summary!E93</f>
        <v/>
      </c>
      <c r="F93" s="6">
        <f>Summary!F93</f>
        <v/>
      </c>
      <c r="G93" s="6">
        <f>Summary!G93</f>
        <v/>
      </c>
      <c r="H93" s="6">
        <f>Summary!H93</f>
        <v/>
      </c>
      <c r="I93" s="6">
        <f>Summary!I93</f>
        <v/>
      </c>
      <c r="J93" s="6">
        <f>Summary!J93</f>
        <v/>
      </c>
      <c r="K93" s="6">
        <f>Summary!K93</f>
        <v/>
      </c>
      <c r="L93" s="6">
        <f>Summary!L93</f>
        <v/>
      </c>
      <c r="M93" s="6">
        <f>Summary!M93</f>
        <v/>
      </c>
      <c r="N93" s="6">
        <f>Summary!N93</f>
        <v/>
      </c>
      <c r="O93" s="6">
        <f>Summary!O93</f>
        <v/>
      </c>
      <c r="P93" s="6">
        <f>Summary!P93</f>
        <v/>
      </c>
      <c r="Q93" s="6">
        <f>Summary!Q93</f>
        <v/>
      </c>
      <c r="R93" s="6">
        <f>Summary!R93</f>
        <v/>
      </c>
      <c r="S93" s="6">
        <f>Summary!S93</f>
        <v/>
      </c>
      <c r="T93" s="6">
        <f>Summary!T93</f>
        <v/>
      </c>
      <c r="U93" s="6">
        <f>Summary!U93</f>
        <v/>
      </c>
      <c r="V93" s="6">
        <f>Summary!V93</f>
        <v/>
      </c>
      <c r="W93" s="6">
        <f>Summary!W93</f>
        <v/>
      </c>
      <c r="X93" s="6">
        <f>Summary!X93</f>
        <v/>
      </c>
      <c r="Y93" s="6">
        <f>Summary!Y93</f>
        <v/>
      </c>
      <c r="Z93" s="6">
        <f>Summary!Z93</f>
        <v/>
      </c>
      <c r="AA93" s="6">
        <f>Summary!AA93</f>
        <v/>
      </c>
      <c r="AB93" s="6">
        <f>SUM(D93:AA93)</f>
        <v/>
      </c>
      <c r="AC93" s="3" t="inlineStr"/>
      <c r="AD93" s="7">
        <f>AA93*0.00028565</f>
        <v/>
      </c>
      <c r="AE93" s="7">
        <f>D93*0.00028565</f>
        <v/>
      </c>
      <c r="AF93" s="7">
        <f>E93*0.00028565</f>
        <v/>
      </c>
      <c r="AG93" s="7">
        <f>F93*0.00028565</f>
        <v/>
      </c>
      <c r="AH93" s="7">
        <f>G93*0.00028565</f>
        <v/>
      </c>
      <c r="AI93" s="7">
        <f>H93*0.00028565</f>
        <v/>
      </c>
      <c r="AJ93" s="7">
        <f>I93*0.00028565</f>
        <v/>
      </c>
      <c r="AK93" s="7">
        <f>J93*0.00028565</f>
        <v/>
      </c>
      <c r="AL93" s="7">
        <f>K93*0.00028565</f>
        <v/>
      </c>
      <c r="AM93" s="7">
        <f>L93*0.00028565</f>
        <v/>
      </c>
      <c r="AN93" s="7">
        <f>M93*0.00028565</f>
        <v/>
      </c>
      <c r="AO93" s="7">
        <f>N93*0.00028565</f>
        <v/>
      </c>
      <c r="AP93" s="7">
        <f>O93*0.00028565</f>
        <v/>
      </c>
      <c r="AQ93" s="7">
        <f>P93*0.00028565</f>
        <v/>
      </c>
      <c r="AR93" s="7">
        <f>Q93*0.00028565</f>
        <v/>
      </c>
      <c r="AS93" s="7">
        <f>R93*0.00028565</f>
        <v/>
      </c>
      <c r="AT93" s="7">
        <f>S93*0.00028565</f>
        <v/>
      </c>
      <c r="AU93" s="7">
        <f>T93*0.00028565</f>
        <v/>
      </c>
      <c r="AV93" s="7">
        <f>U93*0.00028565</f>
        <v/>
      </c>
      <c r="AW93" s="7">
        <f>V93*0.00028565</f>
        <v/>
      </c>
      <c r="AX93" s="7">
        <f>W93*0.00028565</f>
        <v/>
      </c>
      <c r="AY93" s="7">
        <f>X93*0.00028565</f>
        <v/>
      </c>
      <c r="AZ93" s="7">
        <f>Y93*0.00028565</f>
        <v/>
      </c>
      <c r="BA93" s="7">
        <f>Z93*0.00028565</f>
        <v/>
      </c>
      <c r="BB93" s="7">
        <f>SUM(AD93:BA93)</f>
        <v/>
      </c>
    </row>
    <row r="94">
      <c r="A94" t="inlineStr">
        <is>
          <t>AMD-RTS-RCLS-1302-SSC</t>
        </is>
      </c>
      <c r="B94" t="inlineStr">
        <is>
          <t>Rev OSC</t>
        </is>
      </c>
      <c r="C94" s="5" t="n">
        <v>46100</v>
      </c>
      <c r="D94" s="6">
        <f>Summary!D94</f>
        <v/>
      </c>
      <c r="E94" s="6">
        <f>Summary!E94</f>
        <v/>
      </c>
      <c r="F94" s="6">
        <f>Summary!F94</f>
        <v/>
      </c>
      <c r="G94" s="6">
        <f>Summary!G94</f>
        <v/>
      </c>
      <c r="H94" s="6">
        <f>Summary!H94</f>
        <v/>
      </c>
      <c r="I94" s="6">
        <f>Summary!I94</f>
        <v/>
      </c>
      <c r="J94" s="6">
        <f>Summary!J94</f>
        <v/>
      </c>
      <c r="K94" s="6">
        <f>Summary!K94</f>
        <v/>
      </c>
      <c r="L94" s="6">
        <f>Summary!L94</f>
        <v/>
      </c>
      <c r="M94" s="6">
        <f>Summary!M94</f>
        <v/>
      </c>
      <c r="N94" s="6">
        <f>Summary!N94</f>
        <v/>
      </c>
      <c r="O94" s="6">
        <f>Summary!O94</f>
        <v/>
      </c>
      <c r="P94" s="6">
        <f>Summary!P94</f>
        <v/>
      </c>
      <c r="Q94" s="6">
        <f>Summary!Q94</f>
        <v/>
      </c>
      <c r="R94" s="6">
        <f>Summary!R94</f>
        <v/>
      </c>
      <c r="S94" s="6">
        <f>Summary!S94</f>
        <v/>
      </c>
      <c r="T94" s="6">
        <f>Summary!T94</f>
        <v/>
      </c>
      <c r="U94" s="6">
        <f>Summary!U94</f>
        <v/>
      </c>
      <c r="V94" s="6">
        <f>Summary!V94</f>
        <v/>
      </c>
      <c r="W94" s="6">
        <f>Summary!W94</f>
        <v/>
      </c>
      <c r="X94" s="6">
        <f>Summary!X94</f>
        <v/>
      </c>
      <c r="Y94" s="6">
        <f>Summary!Y94</f>
        <v/>
      </c>
      <c r="Z94" s="6">
        <f>Summary!Z94</f>
        <v/>
      </c>
      <c r="AA94" s="6">
        <f>Summary!AA94</f>
        <v/>
      </c>
      <c r="AB94" s="6">
        <f>SUM(D94:AA94)</f>
        <v/>
      </c>
      <c r="AC94" s="3" t="inlineStr"/>
      <c r="AD94" s="7">
        <f>AA94*0.00028565</f>
        <v/>
      </c>
      <c r="AE94" s="7">
        <f>D94*0.00028565</f>
        <v/>
      </c>
      <c r="AF94" s="7">
        <f>E94*0.00028565</f>
        <v/>
      </c>
      <c r="AG94" s="7">
        <f>F94*0.00028565</f>
        <v/>
      </c>
      <c r="AH94" s="7">
        <f>G94*0.00028565</f>
        <v/>
      </c>
      <c r="AI94" s="7">
        <f>H94*0.00028565</f>
        <v/>
      </c>
      <c r="AJ94" s="7">
        <f>I94*0.00028565</f>
        <v/>
      </c>
      <c r="AK94" s="7">
        <f>J94*0.00028565</f>
        <v/>
      </c>
      <c r="AL94" s="7">
        <f>K94*0.00028565</f>
        <v/>
      </c>
      <c r="AM94" s="7">
        <f>L94*0.00028565</f>
        <v/>
      </c>
      <c r="AN94" s="7">
        <f>M94*0.00028565</f>
        <v/>
      </c>
      <c r="AO94" s="7">
        <f>N94*0.00028565</f>
        <v/>
      </c>
      <c r="AP94" s="7">
        <f>O94*0.00028565</f>
        <v/>
      </c>
      <c r="AQ94" s="7">
        <f>P94*0.00028565</f>
        <v/>
      </c>
      <c r="AR94" s="7">
        <f>Q94*0.00028565</f>
        <v/>
      </c>
      <c r="AS94" s="7">
        <f>R94*0.00028565</f>
        <v/>
      </c>
      <c r="AT94" s="7">
        <f>S94*0.00028565</f>
        <v/>
      </c>
      <c r="AU94" s="7">
        <f>T94*0.00028565</f>
        <v/>
      </c>
      <c r="AV94" s="7">
        <f>U94*0.00028565</f>
        <v/>
      </c>
      <c r="AW94" s="7">
        <f>V94*0.00028565</f>
        <v/>
      </c>
      <c r="AX94" s="7">
        <f>W94*0.00028565</f>
        <v/>
      </c>
      <c r="AY94" s="7">
        <f>X94*0.00028565</f>
        <v/>
      </c>
      <c r="AZ94" s="7">
        <f>Y94*0.00028565</f>
        <v/>
      </c>
      <c r="BA94" s="7">
        <f>Z94*0.00028565</f>
        <v/>
      </c>
      <c r="BB94" s="7">
        <f>SUM(AD94:BA94)</f>
        <v/>
      </c>
    </row>
    <row r="95">
      <c r="A95" t="inlineStr">
        <is>
          <t>AMD-RTS-RCLS-1302-SSC</t>
        </is>
      </c>
      <c r="B95" t="inlineStr">
        <is>
          <t>Rev OSC</t>
        </is>
      </c>
      <c r="C95" s="5" t="n">
        <v>46102</v>
      </c>
      <c r="D95" s="6">
        <f>Summary!D95</f>
        <v/>
      </c>
      <c r="E95" s="6">
        <f>Summary!E95</f>
        <v/>
      </c>
      <c r="F95" s="6">
        <f>Summary!F95</f>
        <v/>
      </c>
      <c r="G95" s="6">
        <f>Summary!G95</f>
        <v/>
      </c>
      <c r="H95" s="6">
        <f>Summary!H95</f>
        <v/>
      </c>
      <c r="I95" s="6">
        <f>Summary!I95</f>
        <v/>
      </c>
      <c r="J95" s="6">
        <f>Summary!J95</f>
        <v/>
      </c>
      <c r="K95" s="6">
        <f>Summary!K95</f>
        <v/>
      </c>
      <c r="L95" s="6">
        <f>Summary!L95</f>
        <v/>
      </c>
      <c r="M95" s="6">
        <f>Summary!M95</f>
        <v/>
      </c>
      <c r="N95" s="6">
        <f>Summary!N95</f>
        <v/>
      </c>
      <c r="O95" s="6">
        <f>Summary!O95</f>
        <v/>
      </c>
      <c r="P95" s="6">
        <f>Summary!P95</f>
        <v/>
      </c>
      <c r="Q95" s="6">
        <f>Summary!Q95</f>
        <v/>
      </c>
      <c r="R95" s="6">
        <f>Summary!R95</f>
        <v/>
      </c>
      <c r="S95" s="6">
        <f>Summary!S95</f>
        <v/>
      </c>
      <c r="T95" s="6">
        <f>Summary!T95</f>
        <v/>
      </c>
      <c r="U95" s="6">
        <f>Summary!U95</f>
        <v/>
      </c>
      <c r="V95" s="6">
        <f>Summary!V95</f>
        <v/>
      </c>
      <c r="W95" s="6">
        <f>Summary!W95</f>
        <v/>
      </c>
      <c r="X95" s="6">
        <f>Summary!X95</f>
        <v/>
      </c>
      <c r="Y95" s="6">
        <f>Summary!Y95</f>
        <v/>
      </c>
      <c r="Z95" s="6">
        <f>Summary!Z95</f>
        <v/>
      </c>
      <c r="AA95" s="6">
        <f>Summary!AA95</f>
        <v/>
      </c>
      <c r="AB95" s="6">
        <f>SUM(D95:AA95)</f>
        <v/>
      </c>
      <c r="AC95" s="3" t="inlineStr"/>
      <c r="AD95" s="7">
        <f>AA95*0.00028565</f>
        <v/>
      </c>
      <c r="AE95" s="7">
        <f>D95*0.00028565</f>
        <v/>
      </c>
      <c r="AF95" s="7">
        <f>E95*0.00028565</f>
        <v/>
      </c>
      <c r="AG95" s="7">
        <f>F95*0.00028565</f>
        <v/>
      </c>
      <c r="AH95" s="7">
        <f>G95*0.00028565</f>
        <v/>
      </c>
      <c r="AI95" s="7">
        <f>H95*0.00028565</f>
        <v/>
      </c>
      <c r="AJ95" s="7">
        <f>I95*0.00028565</f>
        <v/>
      </c>
      <c r="AK95" s="7">
        <f>J95*0.00028565</f>
        <v/>
      </c>
      <c r="AL95" s="7">
        <f>K95*0.00028565</f>
        <v/>
      </c>
      <c r="AM95" s="7">
        <f>L95*0.00028565</f>
        <v/>
      </c>
      <c r="AN95" s="7">
        <f>M95*0.00028565</f>
        <v/>
      </c>
      <c r="AO95" s="7">
        <f>N95*0.00028565</f>
        <v/>
      </c>
      <c r="AP95" s="7">
        <f>O95*0.00028565</f>
        <v/>
      </c>
      <c r="AQ95" s="7">
        <f>P95*0.00028565</f>
        <v/>
      </c>
      <c r="AR95" s="7">
        <f>Q95*0.00028565</f>
        <v/>
      </c>
      <c r="AS95" s="7">
        <f>R95*0.00028565</f>
        <v/>
      </c>
      <c r="AT95" s="7">
        <f>S95*0.00028565</f>
        <v/>
      </c>
      <c r="AU95" s="7">
        <f>T95*0.00028565</f>
        <v/>
      </c>
      <c r="AV95" s="7">
        <f>U95*0.00028565</f>
        <v/>
      </c>
      <c r="AW95" s="7">
        <f>V95*0.00028565</f>
        <v/>
      </c>
      <c r="AX95" s="7">
        <f>W95*0.00028565</f>
        <v/>
      </c>
      <c r="AY95" s="7">
        <f>X95*0.00028565</f>
        <v/>
      </c>
      <c r="AZ95" s="7">
        <f>Y95*0.00028565</f>
        <v/>
      </c>
      <c r="BA95" s="7">
        <f>Z95*0.00028565</f>
        <v/>
      </c>
      <c r="BB95" s="7">
        <f>SUM(AD95:BA95)</f>
        <v/>
      </c>
    </row>
    <row r="96">
      <c r="A96" t="inlineStr">
        <is>
          <t>AMD-RTS-RCLS-1302-SSC</t>
        </is>
      </c>
      <c r="B96" t="inlineStr">
        <is>
          <t>Rev OSC</t>
        </is>
      </c>
      <c r="C96" s="5" t="n">
        <v>46103</v>
      </c>
      <c r="D96" s="6">
        <f>Summary!D96</f>
        <v/>
      </c>
      <c r="E96" s="6">
        <f>Summary!E96</f>
        <v/>
      </c>
      <c r="F96" s="6">
        <f>Summary!F96</f>
        <v/>
      </c>
      <c r="G96" s="6">
        <f>Summary!G96</f>
        <v/>
      </c>
      <c r="H96" s="6">
        <f>Summary!H96</f>
        <v/>
      </c>
      <c r="I96" s="6">
        <f>Summary!I96</f>
        <v/>
      </c>
      <c r="J96" s="6">
        <f>Summary!J96</f>
        <v/>
      </c>
      <c r="K96" s="6">
        <f>Summary!K96</f>
        <v/>
      </c>
      <c r="L96" s="6">
        <f>Summary!L96</f>
        <v/>
      </c>
      <c r="M96" s="6">
        <f>Summary!M96</f>
        <v/>
      </c>
      <c r="N96" s="6">
        <f>Summary!N96</f>
        <v/>
      </c>
      <c r="O96" s="6">
        <f>Summary!O96</f>
        <v/>
      </c>
      <c r="P96" s="6">
        <f>Summary!P96</f>
        <v/>
      </c>
      <c r="Q96" s="6">
        <f>Summary!Q96</f>
        <v/>
      </c>
      <c r="R96" s="6">
        <f>Summary!R96</f>
        <v/>
      </c>
      <c r="S96" s="6">
        <f>Summary!S96</f>
        <v/>
      </c>
      <c r="T96" s="6">
        <f>Summary!T96</f>
        <v/>
      </c>
      <c r="U96" s="6">
        <f>Summary!U96</f>
        <v/>
      </c>
      <c r="V96" s="6">
        <f>Summary!V96</f>
        <v/>
      </c>
      <c r="W96" s="6">
        <f>Summary!W96</f>
        <v/>
      </c>
      <c r="X96" s="6">
        <f>Summary!X96</f>
        <v/>
      </c>
      <c r="Y96" s="6">
        <f>Summary!Y96</f>
        <v/>
      </c>
      <c r="Z96" s="6">
        <f>Summary!Z96</f>
        <v/>
      </c>
      <c r="AA96" s="6">
        <f>Summary!AA96</f>
        <v/>
      </c>
      <c r="AB96" s="6">
        <f>SUM(D96:AA96)</f>
        <v/>
      </c>
      <c r="AC96" s="3" t="inlineStr"/>
      <c r="AD96" s="7">
        <f>AA96*0.00028565</f>
        <v/>
      </c>
      <c r="AE96" s="7">
        <f>D96*0.00028565</f>
        <v/>
      </c>
      <c r="AF96" s="7">
        <f>E96*0.00028565</f>
        <v/>
      </c>
      <c r="AG96" s="7">
        <f>F96*0.00028565</f>
        <v/>
      </c>
      <c r="AH96" s="7">
        <f>G96*0.00028565</f>
        <v/>
      </c>
      <c r="AI96" s="7">
        <f>H96*0.00028565</f>
        <v/>
      </c>
      <c r="AJ96" s="7">
        <f>I96*0.00028565</f>
        <v/>
      </c>
      <c r="AK96" s="7">
        <f>J96*0.00028565</f>
        <v/>
      </c>
      <c r="AL96" s="7">
        <f>K96*0.00028565</f>
        <v/>
      </c>
      <c r="AM96" s="7">
        <f>L96*0.00028565</f>
        <v/>
      </c>
      <c r="AN96" s="7">
        <f>M96*0.00028565</f>
        <v/>
      </c>
      <c r="AO96" s="7">
        <f>N96*0.00028565</f>
        <v/>
      </c>
      <c r="AP96" s="7">
        <f>O96*0.00028565</f>
        <v/>
      </c>
      <c r="AQ96" s="7">
        <f>P96*0.00028565</f>
        <v/>
      </c>
      <c r="AR96" s="7">
        <f>Q96*0.00028565</f>
        <v/>
      </c>
      <c r="AS96" s="7">
        <f>R96*0.00028565</f>
        <v/>
      </c>
      <c r="AT96" s="7">
        <f>S96*0.00028565</f>
        <v/>
      </c>
      <c r="AU96" s="7">
        <f>T96*0.00028565</f>
        <v/>
      </c>
      <c r="AV96" s="7">
        <f>U96*0.00028565</f>
        <v/>
      </c>
      <c r="AW96" s="7">
        <f>V96*0.00028565</f>
        <v/>
      </c>
      <c r="AX96" s="7">
        <f>W96*0.00028565</f>
        <v/>
      </c>
      <c r="AY96" s="7">
        <f>X96*0.00028565</f>
        <v/>
      </c>
      <c r="AZ96" s="7">
        <f>Y96*0.00028565</f>
        <v/>
      </c>
      <c r="BA96" s="7">
        <f>Z96*0.00028565</f>
        <v/>
      </c>
      <c r="BB96" s="7">
        <f>SUM(AD96:BA96)</f>
        <v/>
      </c>
    </row>
    <row r="97">
      <c r="A97" t="inlineStr">
        <is>
          <t>AMD-RTS-RCLS-1302-SSC</t>
        </is>
      </c>
      <c r="B97" t="inlineStr">
        <is>
          <t>Rev OSC</t>
        </is>
      </c>
      <c r="C97" s="5" t="n">
        <v>46104</v>
      </c>
      <c r="D97" s="6">
        <f>Summary!D97</f>
        <v/>
      </c>
      <c r="E97" s="6">
        <f>Summary!E97</f>
        <v/>
      </c>
      <c r="F97" s="6">
        <f>Summary!F97</f>
        <v/>
      </c>
      <c r="G97" s="6">
        <f>Summary!G97</f>
        <v/>
      </c>
      <c r="H97" s="6">
        <f>Summary!H97</f>
        <v/>
      </c>
      <c r="I97" s="6">
        <f>Summary!I97</f>
        <v/>
      </c>
      <c r="J97" s="6">
        <f>Summary!J97</f>
        <v/>
      </c>
      <c r="K97" s="6">
        <f>Summary!K97</f>
        <v/>
      </c>
      <c r="L97" s="6">
        <f>Summary!L97</f>
        <v/>
      </c>
      <c r="M97" s="6">
        <f>Summary!M97</f>
        <v/>
      </c>
      <c r="N97" s="6">
        <f>Summary!N97</f>
        <v/>
      </c>
      <c r="O97" s="6">
        <f>Summary!O97</f>
        <v/>
      </c>
      <c r="P97" s="6">
        <f>Summary!P97</f>
        <v/>
      </c>
      <c r="Q97" s="6">
        <f>Summary!Q97</f>
        <v/>
      </c>
      <c r="R97" s="6">
        <f>Summary!R97</f>
        <v/>
      </c>
      <c r="S97" s="6">
        <f>Summary!S97</f>
        <v/>
      </c>
      <c r="T97" s="6">
        <f>Summary!T97</f>
        <v/>
      </c>
      <c r="U97" s="6">
        <f>Summary!U97</f>
        <v/>
      </c>
      <c r="V97" s="6">
        <f>Summary!V97</f>
        <v/>
      </c>
      <c r="W97" s="6">
        <f>Summary!W97</f>
        <v/>
      </c>
      <c r="X97" s="6">
        <f>Summary!X97</f>
        <v/>
      </c>
      <c r="Y97" s="6">
        <f>Summary!Y97</f>
        <v/>
      </c>
      <c r="Z97" s="6">
        <f>Summary!Z97</f>
        <v/>
      </c>
      <c r="AA97" s="6">
        <f>Summary!AA97</f>
        <v/>
      </c>
      <c r="AB97" s="6">
        <f>SUM(D97:AA97)</f>
        <v/>
      </c>
      <c r="AC97" s="3" t="inlineStr"/>
      <c r="AD97" s="7">
        <f>AA97*0.00028565</f>
        <v/>
      </c>
      <c r="AE97" s="7">
        <f>D97*0.00028565</f>
        <v/>
      </c>
      <c r="AF97" s="7">
        <f>E97*0.00028565</f>
        <v/>
      </c>
      <c r="AG97" s="7">
        <f>F97*0.00028565</f>
        <v/>
      </c>
      <c r="AH97" s="7">
        <f>G97*0.00028565</f>
        <v/>
      </c>
      <c r="AI97" s="7">
        <f>H97*0.00028565</f>
        <v/>
      </c>
      <c r="AJ97" s="7">
        <f>I97*0.00028565</f>
        <v/>
      </c>
      <c r="AK97" s="7">
        <f>J97*0.00028565</f>
        <v/>
      </c>
      <c r="AL97" s="7">
        <f>K97*0.00028565</f>
        <v/>
      </c>
      <c r="AM97" s="7">
        <f>L97*0.00028565</f>
        <v/>
      </c>
      <c r="AN97" s="7">
        <f>M97*0.00028565</f>
        <v/>
      </c>
      <c r="AO97" s="7">
        <f>N97*0.00028565</f>
        <v/>
      </c>
      <c r="AP97" s="7">
        <f>O97*0.00028565</f>
        <v/>
      </c>
      <c r="AQ97" s="7">
        <f>P97*0.00028565</f>
        <v/>
      </c>
      <c r="AR97" s="7">
        <f>Q97*0.00028565</f>
        <v/>
      </c>
      <c r="AS97" s="7">
        <f>R97*0.00028565</f>
        <v/>
      </c>
      <c r="AT97" s="7">
        <f>S97*0.00028565</f>
        <v/>
      </c>
      <c r="AU97" s="7">
        <f>T97*0.00028565</f>
        <v/>
      </c>
      <c r="AV97" s="7">
        <f>U97*0.00028565</f>
        <v/>
      </c>
      <c r="AW97" s="7">
        <f>V97*0.00028565</f>
        <v/>
      </c>
      <c r="AX97" s="7">
        <f>W97*0.00028565</f>
        <v/>
      </c>
      <c r="AY97" s="7">
        <f>X97*0.00028565</f>
        <v/>
      </c>
      <c r="AZ97" s="7">
        <f>Y97*0.00028565</f>
        <v/>
      </c>
      <c r="BA97" s="7">
        <f>Z97*0.00028565</f>
        <v/>
      </c>
      <c r="BB97" s="7">
        <f>SUM(AD97:BA97)</f>
        <v/>
      </c>
    </row>
    <row r="98">
      <c r="A98" t="inlineStr">
        <is>
          <t>AMD-RTS-RCLS-1302-SSC</t>
        </is>
      </c>
      <c r="B98" t="inlineStr">
        <is>
          <t>Rev OSC</t>
        </is>
      </c>
      <c r="C98" s="5" t="n">
        <v>46105</v>
      </c>
      <c r="D98" s="6">
        <f>Summary!D98</f>
        <v/>
      </c>
      <c r="E98" s="6">
        <f>Summary!E98</f>
        <v/>
      </c>
      <c r="F98" s="6">
        <f>Summary!F98</f>
        <v/>
      </c>
      <c r="G98" s="6">
        <f>Summary!G98</f>
        <v/>
      </c>
      <c r="H98" s="6">
        <f>Summary!H98</f>
        <v/>
      </c>
      <c r="I98" s="6">
        <f>Summary!I98</f>
        <v/>
      </c>
      <c r="J98" s="6">
        <f>Summary!J98</f>
        <v/>
      </c>
      <c r="K98" s="6">
        <f>Summary!K98</f>
        <v/>
      </c>
      <c r="L98" s="6">
        <f>Summary!L98</f>
        <v/>
      </c>
      <c r="M98" s="6">
        <f>Summary!M98</f>
        <v/>
      </c>
      <c r="N98" s="6">
        <f>Summary!N98</f>
        <v/>
      </c>
      <c r="O98" s="6">
        <f>Summary!O98</f>
        <v/>
      </c>
      <c r="P98" s="6">
        <f>Summary!P98</f>
        <v/>
      </c>
      <c r="Q98" s="6">
        <f>Summary!Q98</f>
        <v/>
      </c>
      <c r="R98" s="6">
        <f>Summary!R98</f>
        <v/>
      </c>
      <c r="S98" s="6">
        <f>Summary!S98</f>
        <v/>
      </c>
      <c r="T98" s="6">
        <f>Summary!T98</f>
        <v/>
      </c>
      <c r="U98" s="6">
        <f>Summary!U98</f>
        <v/>
      </c>
      <c r="V98" s="6">
        <f>Summary!V98</f>
        <v/>
      </c>
      <c r="W98" s="6">
        <f>Summary!W98</f>
        <v/>
      </c>
      <c r="X98" s="6">
        <f>Summary!X98</f>
        <v/>
      </c>
      <c r="Y98" s="6">
        <f>Summary!Y98</f>
        <v/>
      </c>
      <c r="Z98" s="6">
        <f>Summary!Z98</f>
        <v/>
      </c>
      <c r="AA98" s="6">
        <f>Summary!AA98</f>
        <v/>
      </c>
      <c r="AB98" s="6">
        <f>SUM(D98:AA98)</f>
        <v/>
      </c>
      <c r="AC98" s="3" t="inlineStr"/>
      <c r="AD98" s="7">
        <f>AA98*0.00028565</f>
        <v/>
      </c>
      <c r="AE98" s="7">
        <f>D98*0.00028565</f>
        <v/>
      </c>
      <c r="AF98" s="7">
        <f>E98*0.00028565</f>
        <v/>
      </c>
      <c r="AG98" s="7">
        <f>F98*0.00028565</f>
        <v/>
      </c>
      <c r="AH98" s="7">
        <f>G98*0.00028565</f>
        <v/>
      </c>
      <c r="AI98" s="7">
        <f>H98*0.00028565</f>
        <v/>
      </c>
      <c r="AJ98" s="7">
        <f>I98*0.00028565</f>
        <v/>
      </c>
      <c r="AK98" s="7">
        <f>J98*0.00028565</f>
        <v/>
      </c>
      <c r="AL98" s="7">
        <f>K98*0.00028565</f>
        <v/>
      </c>
      <c r="AM98" s="7">
        <f>L98*0.00028565</f>
        <v/>
      </c>
      <c r="AN98" s="7">
        <f>M98*0.00028565</f>
        <v/>
      </c>
      <c r="AO98" s="7">
        <f>N98*0.00028565</f>
        <v/>
      </c>
      <c r="AP98" s="7">
        <f>O98*0.00028565</f>
        <v/>
      </c>
      <c r="AQ98" s="7">
        <f>P98*0.00028565</f>
        <v/>
      </c>
      <c r="AR98" s="7">
        <f>Q98*0.00028565</f>
        <v/>
      </c>
      <c r="AS98" s="7">
        <f>R98*0.00028565</f>
        <v/>
      </c>
      <c r="AT98" s="7">
        <f>S98*0.00028565</f>
        <v/>
      </c>
      <c r="AU98" s="7">
        <f>T98*0.00028565</f>
        <v/>
      </c>
      <c r="AV98" s="7">
        <f>U98*0.00028565</f>
        <v/>
      </c>
      <c r="AW98" s="7">
        <f>V98*0.00028565</f>
        <v/>
      </c>
      <c r="AX98" s="7">
        <f>W98*0.00028565</f>
        <v/>
      </c>
      <c r="AY98" s="7">
        <f>X98*0.00028565</f>
        <v/>
      </c>
      <c r="AZ98" s="7">
        <f>Y98*0.00028565</f>
        <v/>
      </c>
      <c r="BA98" s="7">
        <f>Z98*0.00028565</f>
        <v/>
      </c>
      <c r="BB98" s="7">
        <f>SUM(AD98:BA98)</f>
        <v/>
      </c>
    </row>
    <row r="99">
      <c r="A99" t="inlineStr">
        <is>
          <t>AMD-RTS-RCLS-1302-SSC_1</t>
        </is>
      </c>
      <c r="B99" t="inlineStr">
        <is>
          <t>Rev OSC</t>
        </is>
      </c>
      <c r="C99" s="5" t="n">
        <v>46090</v>
      </c>
      <c r="D99" s="6">
        <f>Summary!D99</f>
        <v/>
      </c>
      <c r="E99" s="6">
        <f>Summary!E99</f>
        <v/>
      </c>
      <c r="F99" s="6">
        <f>Summary!F99</f>
        <v/>
      </c>
      <c r="G99" s="6">
        <f>Summary!G99</f>
        <v/>
      </c>
      <c r="H99" s="6">
        <f>Summary!H99</f>
        <v/>
      </c>
      <c r="I99" s="6">
        <f>Summary!I99</f>
        <v/>
      </c>
      <c r="J99" s="6">
        <f>Summary!J99</f>
        <v/>
      </c>
      <c r="K99" s="6">
        <f>Summary!K99</f>
        <v/>
      </c>
      <c r="L99" s="6">
        <f>Summary!L99</f>
        <v/>
      </c>
      <c r="M99" s="6">
        <f>Summary!M99</f>
        <v/>
      </c>
      <c r="N99" s="6">
        <f>Summary!N99</f>
        <v/>
      </c>
      <c r="O99" s="6">
        <f>Summary!O99</f>
        <v/>
      </c>
      <c r="P99" s="6">
        <f>Summary!P99</f>
        <v/>
      </c>
      <c r="Q99" s="6">
        <f>Summary!Q99</f>
        <v/>
      </c>
      <c r="R99" s="6">
        <f>Summary!R99</f>
        <v/>
      </c>
      <c r="S99" s="6">
        <f>Summary!S99</f>
        <v/>
      </c>
      <c r="T99" s="6">
        <f>Summary!T99</f>
        <v/>
      </c>
      <c r="U99" s="6">
        <f>Summary!U99</f>
        <v/>
      </c>
      <c r="V99" s="6">
        <f>Summary!V99</f>
        <v/>
      </c>
      <c r="W99" s="6">
        <f>Summary!W99</f>
        <v/>
      </c>
      <c r="X99" s="6">
        <f>Summary!X99</f>
        <v/>
      </c>
      <c r="Y99" s="6">
        <f>Summary!Y99</f>
        <v/>
      </c>
      <c r="Z99" s="6">
        <f>Summary!Z99</f>
        <v/>
      </c>
      <c r="AA99" s="6">
        <f>Summary!AA99</f>
        <v/>
      </c>
      <c r="AB99" s="6">
        <f>SUM(D99:AA99)</f>
        <v/>
      </c>
      <c r="AC99" s="3" t="inlineStr"/>
      <c r="AD99" s="7">
        <f>AA99*0.00028565</f>
        <v/>
      </c>
      <c r="AE99" s="7">
        <f>D99*0.00028565</f>
        <v/>
      </c>
      <c r="AF99" s="7">
        <f>E99*0.00028565</f>
        <v/>
      </c>
      <c r="AG99" s="7">
        <f>F99*0.00028565</f>
        <v/>
      </c>
      <c r="AH99" s="7">
        <f>G99*0.00028565</f>
        <v/>
      </c>
      <c r="AI99" s="7">
        <f>H99*0.00028565</f>
        <v/>
      </c>
      <c r="AJ99" s="7">
        <f>I99*0.00028565</f>
        <v/>
      </c>
      <c r="AK99" s="7">
        <f>J99*0.00028565</f>
        <v/>
      </c>
      <c r="AL99" s="7">
        <f>K99*0.00028565</f>
        <v/>
      </c>
      <c r="AM99" s="7">
        <f>L99*0.00028565</f>
        <v/>
      </c>
      <c r="AN99" s="7">
        <f>M99*0.00028565</f>
        <v/>
      </c>
      <c r="AO99" s="7">
        <f>N99*0.00028565</f>
        <v/>
      </c>
      <c r="AP99" s="7">
        <f>O99*0.00028565</f>
        <v/>
      </c>
      <c r="AQ99" s="7">
        <f>P99*0.00028565</f>
        <v/>
      </c>
      <c r="AR99" s="7">
        <f>Q99*0.00028565</f>
        <v/>
      </c>
      <c r="AS99" s="7">
        <f>R99*0.00028565</f>
        <v/>
      </c>
      <c r="AT99" s="7">
        <f>S99*0.00028565</f>
        <v/>
      </c>
      <c r="AU99" s="7">
        <f>T99*0.00028565</f>
        <v/>
      </c>
      <c r="AV99" s="7">
        <f>U99*0.00028565</f>
        <v/>
      </c>
      <c r="AW99" s="7">
        <f>V99*0.00028565</f>
        <v/>
      </c>
      <c r="AX99" s="7">
        <f>W99*0.00028565</f>
        <v/>
      </c>
      <c r="AY99" s="7">
        <f>X99*0.00028565</f>
        <v/>
      </c>
      <c r="AZ99" s="7">
        <f>Y99*0.00028565</f>
        <v/>
      </c>
      <c r="BA99" s="7">
        <f>Z99*0.00028565</f>
        <v/>
      </c>
      <c r="BB99" s="7">
        <f>SUM(AD99:BA99)</f>
        <v/>
      </c>
    </row>
    <row r="100">
      <c r="A100" t="inlineStr">
        <is>
          <t>AMD-RTS-RCLS-1302-SSC_1</t>
        </is>
      </c>
      <c r="B100" t="inlineStr">
        <is>
          <t>Rev OSC</t>
        </is>
      </c>
      <c r="C100" s="5" t="n">
        <v>46093</v>
      </c>
      <c r="D100" s="6">
        <f>Summary!D100</f>
        <v/>
      </c>
      <c r="E100" s="6">
        <f>Summary!E100</f>
        <v/>
      </c>
      <c r="F100" s="6">
        <f>Summary!F100</f>
        <v/>
      </c>
      <c r="G100" s="6">
        <f>Summary!G100</f>
        <v/>
      </c>
      <c r="H100" s="6">
        <f>Summary!H100</f>
        <v/>
      </c>
      <c r="I100" s="6">
        <f>Summary!I100</f>
        <v/>
      </c>
      <c r="J100" s="6">
        <f>Summary!J100</f>
        <v/>
      </c>
      <c r="K100" s="6">
        <f>Summary!K100</f>
        <v/>
      </c>
      <c r="L100" s="6">
        <f>Summary!L100</f>
        <v/>
      </c>
      <c r="M100" s="6">
        <f>Summary!M100</f>
        <v/>
      </c>
      <c r="N100" s="6">
        <f>Summary!N100</f>
        <v/>
      </c>
      <c r="O100" s="6">
        <f>Summary!O100</f>
        <v/>
      </c>
      <c r="P100" s="6">
        <f>Summary!P100</f>
        <v/>
      </c>
      <c r="Q100" s="6">
        <f>Summary!Q100</f>
        <v/>
      </c>
      <c r="R100" s="6">
        <f>Summary!R100</f>
        <v/>
      </c>
      <c r="S100" s="6">
        <f>Summary!S100</f>
        <v/>
      </c>
      <c r="T100" s="6">
        <f>Summary!T100</f>
        <v/>
      </c>
      <c r="U100" s="6">
        <f>Summary!U100</f>
        <v/>
      </c>
      <c r="V100" s="6">
        <f>Summary!V100</f>
        <v/>
      </c>
      <c r="W100" s="6">
        <f>Summary!W100</f>
        <v/>
      </c>
      <c r="X100" s="6">
        <f>Summary!X100</f>
        <v/>
      </c>
      <c r="Y100" s="6">
        <f>Summary!Y100</f>
        <v/>
      </c>
      <c r="Z100" s="6">
        <f>Summary!Z100</f>
        <v/>
      </c>
      <c r="AA100" s="6">
        <f>Summary!AA100</f>
        <v/>
      </c>
      <c r="AB100" s="6">
        <f>SUM(D100:AA100)</f>
        <v/>
      </c>
      <c r="AC100" s="3" t="inlineStr"/>
      <c r="AD100" s="7">
        <f>AA100*0.00028565</f>
        <v/>
      </c>
      <c r="AE100" s="7">
        <f>D100*0.00028565</f>
        <v/>
      </c>
      <c r="AF100" s="7">
        <f>E100*0.00028565</f>
        <v/>
      </c>
      <c r="AG100" s="7">
        <f>F100*0.00028565</f>
        <v/>
      </c>
      <c r="AH100" s="7">
        <f>G100*0.00028565</f>
        <v/>
      </c>
      <c r="AI100" s="7">
        <f>H100*0.00028565</f>
        <v/>
      </c>
      <c r="AJ100" s="7">
        <f>I100*0.00028565</f>
        <v/>
      </c>
      <c r="AK100" s="7">
        <f>J100*0.00028565</f>
        <v/>
      </c>
      <c r="AL100" s="7">
        <f>K100*0.00028565</f>
        <v/>
      </c>
      <c r="AM100" s="7">
        <f>L100*0.00028565</f>
        <v/>
      </c>
      <c r="AN100" s="7">
        <f>M100*0.00028565</f>
        <v/>
      </c>
      <c r="AO100" s="7">
        <f>N100*0.00028565</f>
        <v/>
      </c>
      <c r="AP100" s="7">
        <f>O100*0.00028565</f>
        <v/>
      </c>
      <c r="AQ100" s="7">
        <f>P100*0.00028565</f>
        <v/>
      </c>
      <c r="AR100" s="7">
        <f>Q100*0.00028565</f>
        <v/>
      </c>
      <c r="AS100" s="7">
        <f>R100*0.00028565</f>
        <v/>
      </c>
      <c r="AT100" s="7">
        <f>S100*0.00028565</f>
        <v/>
      </c>
      <c r="AU100" s="7">
        <f>T100*0.00028565</f>
        <v/>
      </c>
      <c r="AV100" s="7">
        <f>U100*0.00028565</f>
        <v/>
      </c>
      <c r="AW100" s="7">
        <f>V100*0.00028565</f>
        <v/>
      </c>
      <c r="AX100" s="7">
        <f>W100*0.00028565</f>
        <v/>
      </c>
      <c r="AY100" s="7">
        <f>X100*0.00028565</f>
        <v/>
      </c>
      <c r="AZ100" s="7">
        <f>Y100*0.00028565</f>
        <v/>
      </c>
      <c r="BA100" s="7">
        <f>Z100*0.00028565</f>
        <v/>
      </c>
      <c r="BB100" s="7">
        <f>SUM(AD100:BA100)</f>
        <v/>
      </c>
    </row>
    <row r="101">
      <c r="A101" t="inlineStr">
        <is>
          <t>AMD-RTS-RCLS-1302-SSC_1</t>
        </is>
      </c>
      <c r="B101" t="inlineStr">
        <is>
          <t>Rev OSC</t>
        </is>
      </c>
      <c r="C101" s="5" t="n">
        <v>46094</v>
      </c>
      <c r="D101" s="6">
        <f>Summary!D101</f>
        <v/>
      </c>
      <c r="E101" s="6">
        <f>Summary!E101</f>
        <v/>
      </c>
      <c r="F101" s="6">
        <f>Summary!F101</f>
        <v/>
      </c>
      <c r="G101" s="6">
        <f>Summary!G101</f>
        <v/>
      </c>
      <c r="H101" s="6">
        <f>Summary!H101</f>
        <v/>
      </c>
      <c r="I101" s="6">
        <f>Summary!I101</f>
        <v/>
      </c>
      <c r="J101" s="6">
        <f>Summary!J101</f>
        <v/>
      </c>
      <c r="K101" s="6">
        <f>Summary!K101</f>
        <v/>
      </c>
      <c r="L101" s="6">
        <f>Summary!L101</f>
        <v/>
      </c>
      <c r="M101" s="6">
        <f>Summary!M101</f>
        <v/>
      </c>
      <c r="N101" s="6">
        <f>Summary!N101</f>
        <v/>
      </c>
      <c r="O101" s="6">
        <f>Summary!O101</f>
        <v/>
      </c>
      <c r="P101" s="6">
        <f>Summary!P101</f>
        <v/>
      </c>
      <c r="Q101" s="6">
        <f>Summary!Q101</f>
        <v/>
      </c>
      <c r="R101" s="6">
        <f>Summary!R101</f>
        <v/>
      </c>
      <c r="S101" s="6">
        <f>Summary!S101</f>
        <v/>
      </c>
      <c r="T101" s="6">
        <f>Summary!T101</f>
        <v/>
      </c>
      <c r="U101" s="6">
        <f>Summary!U101</f>
        <v/>
      </c>
      <c r="V101" s="6">
        <f>Summary!V101</f>
        <v/>
      </c>
      <c r="W101" s="6">
        <f>Summary!W101</f>
        <v/>
      </c>
      <c r="X101" s="6">
        <f>Summary!X101</f>
        <v/>
      </c>
      <c r="Y101" s="6">
        <f>Summary!Y101</f>
        <v/>
      </c>
      <c r="Z101" s="6">
        <f>Summary!Z101</f>
        <v/>
      </c>
      <c r="AA101" s="6">
        <f>Summary!AA101</f>
        <v/>
      </c>
      <c r="AB101" s="6">
        <f>SUM(D101:AA101)</f>
        <v/>
      </c>
      <c r="AC101" s="3" t="inlineStr"/>
      <c r="AD101" s="7">
        <f>AA101*0.00028565</f>
        <v/>
      </c>
      <c r="AE101" s="7">
        <f>D101*0.00028565</f>
        <v/>
      </c>
      <c r="AF101" s="7">
        <f>E101*0.00028565</f>
        <v/>
      </c>
      <c r="AG101" s="7">
        <f>F101*0.00028565</f>
        <v/>
      </c>
      <c r="AH101" s="7">
        <f>G101*0.00028565</f>
        <v/>
      </c>
      <c r="AI101" s="7">
        <f>H101*0.00028565</f>
        <v/>
      </c>
      <c r="AJ101" s="7">
        <f>I101*0.00028565</f>
        <v/>
      </c>
      <c r="AK101" s="7">
        <f>J101*0.00028565</f>
        <v/>
      </c>
      <c r="AL101" s="7">
        <f>K101*0.00028565</f>
        <v/>
      </c>
      <c r="AM101" s="7">
        <f>L101*0.00028565</f>
        <v/>
      </c>
      <c r="AN101" s="7">
        <f>M101*0.00028565</f>
        <v/>
      </c>
      <c r="AO101" s="7">
        <f>N101*0.00028565</f>
        <v/>
      </c>
      <c r="AP101" s="7">
        <f>O101*0.00028565</f>
        <v/>
      </c>
      <c r="AQ101" s="7">
        <f>P101*0.00028565</f>
        <v/>
      </c>
      <c r="AR101" s="7">
        <f>Q101*0.00028565</f>
        <v/>
      </c>
      <c r="AS101" s="7">
        <f>R101*0.00028565</f>
        <v/>
      </c>
      <c r="AT101" s="7">
        <f>S101*0.00028565</f>
        <v/>
      </c>
      <c r="AU101" s="7">
        <f>T101*0.00028565</f>
        <v/>
      </c>
      <c r="AV101" s="7">
        <f>U101*0.00028565</f>
        <v/>
      </c>
      <c r="AW101" s="7">
        <f>V101*0.00028565</f>
        <v/>
      </c>
      <c r="AX101" s="7">
        <f>W101*0.00028565</f>
        <v/>
      </c>
      <c r="AY101" s="7">
        <f>X101*0.00028565</f>
        <v/>
      </c>
      <c r="AZ101" s="7">
        <f>Y101*0.00028565</f>
        <v/>
      </c>
      <c r="BA101" s="7">
        <f>Z101*0.00028565</f>
        <v/>
      </c>
      <c r="BB101" s="7">
        <f>SUM(AD101:BA101)</f>
        <v/>
      </c>
    </row>
    <row r="102">
      <c r="A102" t="inlineStr">
        <is>
          <t>AMD-RTS-RCLS-1302-SSC_1</t>
        </is>
      </c>
      <c r="B102" t="inlineStr">
        <is>
          <t>Rev OSC</t>
        </is>
      </c>
      <c r="C102" s="5" t="n">
        <v>46095</v>
      </c>
      <c r="D102" s="6">
        <f>Summary!D102</f>
        <v/>
      </c>
      <c r="E102" s="6">
        <f>Summary!E102</f>
        <v/>
      </c>
      <c r="F102" s="6">
        <f>Summary!F102</f>
        <v/>
      </c>
      <c r="G102" s="6">
        <f>Summary!G102</f>
        <v/>
      </c>
      <c r="H102" s="6">
        <f>Summary!H102</f>
        <v/>
      </c>
      <c r="I102" s="6">
        <f>Summary!I102</f>
        <v/>
      </c>
      <c r="J102" s="6">
        <f>Summary!J102</f>
        <v/>
      </c>
      <c r="K102" s="6">
        <f>Summary!K102</f>
        <v/>
      </c>
      <c r="L102" s="6">
        <f>Summary!L102</f>
        <v/>
      </c>
      <c r="M102" s="6">
        <f>Summary!M102</f>
        <v/>
      </c>
      <c r="N102" s="6">
        <f>Summary!N102</f>
        <v/>
      </c>
      <c r="O102" s="6">
        <f>Summary!O102</f>
        <v/>
      </c>
      <c r="P102" s="6">
        <f>Summary!P102</f>
        <v/>
      </c>
      <c r="Q102" s="6">
        <f>Summary!Q102</f>
        <v/>
      </c>
      <c r="R102" s="6">
        <f>Summary!R102</f>
        <v/>
      </c>
      <c r="S102" s="6">
        <f>Summary!S102</f>
        <v/>
      </c>
      <c r="T102" s="6">
        <f>Summary!T102</f>
        <v/>
      </c>
      <c r="U102" s="6">
        <f>Summary!U102</f>
        <v/>
      </c>
      <c r="V102" s="6">
        <f>Summary!V102</f>
        <v/>
      </c>
      <c r="W102" s="6">
        <f>Summary!W102</f>
        <v/>
      </c>
      <c r="X102" s="6">
        <f>Summary!X102</f>
        <v/>
      </c>
      <c r="Y102" s="6">
        <f>Summary!Y102</f>
        <v/>
      </c>
      <c r="Z102" s="6">
        <f>Summary!Z102</f>
        <v/>
      </c>
      <c r="AA102" s="6">
        <f>Summary!AA102</f>
        <v/>
      </c>
      <c r="AB102" s="6">
        <f>SUM(D102:AA102)</f>
        <v/>
      </c>
      <c r="AC102" s="3" t="inlineStr"/>
      <c r="AD102" s="7">
        <f>AA102*0.00028565</f>
        <v/>
      </c>
      <c r="AE102" s="7">
        <f>D102*0.00028565</f>
        <v/>
      </c>
      <c r="AF102" s="7">
        <f>E102*0.00028565</f>
        <v/>
      </c>
      <c r="AG102" s="7">
        <f>F102*0.00028565</f>
        <v/>
      </c>
      <c r="AH102" s="7">
        <f>G102*0.00028565</f>
        <v/>
      </c>
      <c r="AI102" s="7">
        <f>H102*0.00028565</f>
        <v/>
      </c>
      <c r="AJ102" s="7">
        <f>I102*0.00028565</f>
        <v/>
      </c>
      <c r="AK102" s="7">
        <f>J102*0.00028565</f>
        <v/>
      </c>
      <c r="AL102" s="7">
        <f>K102*0.00028565</f>
        <v/>
      </c>
      <c r="AM102" s="7">
        <f>L102*0.00028565</f>
        <v/>
      </c>
      <c r="AN102" s="7">
        <f>M102*0.00028565</f>
        <v/>
      </c>
      <c r="AO102" s="7">
        <f>N102*0.00028565</f>
        <v/>
      </c>
      <c r="AP102" s="7">
        <f>O102*0.00028565</f>
        <v/>
      </c>
      <c r="AQ102" s="7">
        <f>P102*0.00028565</f>
        <v/>
      </c>
      <c r="AR102" s="7">
        <f>Q102*0.00028565</f>
        <v/>
      </c>
      <c r="AS102" s="7">
        <f>R102*0.00028565</f>
        <v/>
      </c>
      <c r="AT102" s="7">
        <f>S102*0.00028565</f>
        <v/>
      </c>
      <c r="AU102" s="7">
        <f>T102*0.00028565</f>
        <v/>
      </c>
      <c r="AV102" s="7">
        <f>U102*0.00028565</f>
        <v/>
      </c>
      <c r="AW102" s="7">
        <f>V102*0.00028565</f>
        <v/>
      </c>
      <c r="AX102" s="7">
        <f>W102*0.00028565</f>
        <v/>
      </c>
      <c r="AY102" s="7">
        <f>X102*0.00028565</f>
        <v/>
      </c>
      <c r="AZ102" s="7">
        <f>Y102*0.00028565</f>
        <v/>
      </c>
      <c r="BA102" s="7">
        <f>Z102*0.00028565</f>
        <v/>
      </c>
      <c r="BB102" s="7">
        <f>SUM(AD102:BA102)</f>
        <v/>
      </c>
    </row>
    <row r="103">
      <c r="A103" t="inlineStr">
        <is>
          <t>AMD-RTS-RCLS-1302-SSC_1</t>
        </is>
      </c>
      <c r="B103" t="inlineStr">
        <is>
          <t>Rev OSC</t>
        </is>
      </c>
      <c r="C103" s="5" t="n">
        <v>46100</v>
      </c>
      <c r="D103" s="6">
        <f>Summary!D103</f>
        <v/>
      </c>
      <c r="E103" s="6">
        <f>Summary!E103</f>
        <v/>
      </c>
      <c r="F103" s="6">
        <f>Summary!F103</f>
        <v/>
      </c>
      <c r="G103" s="6">
        <f>Summary!G103</f>
        <v/>
      </c>
      <c r="H103" s="6">
        <f>Summary!H103</f>
        <v/>
      </c>
      <c r="I103" s="6">
        <f>Summary!I103</f>
        <v/>
      </c>
      <c r="J103" s="6">
        <f>Summary!J103</f>
        <v/>
      </c>
      <c r="K103" s="6">
        <f>Summary!K103</f>
        <v/>
      </c>
      <c r="L103" s="6">
        <f>Summary!L103</f>
        <v/>
      </c>
      <c r="M103" s="6">
        <f>Summary!M103</f>
        <v/>
      </c>
      <c r="N103" s="6">
        <f>Summary!N103</f>
        <v/>
      </c>
      <c r="O103" s="6">
        <f>Summary!O103</f>
        <v/>
      </c>
      <c r="P103" s="6">
        <f>Summary!P103</f>
        <v/>
      </c>
      <c r="Q103" s="6">
        <f>Summary!Q103</f>
        <v/>
      </c>
      <c r="R103" s="6">
        <f>Summary!R103</f>
        <v/>
      </c>
      <c r="S103" s="6">
        <f>Summary!S103</f>
        <v/>
      </c>
      <c r="T103" s="6">
        <f>Summary!T103</f>
        <v/>
      </c>
      <c r="U103" s="6">
        <f>Summary!U103</f>
        <v/>
      </c>
      <c r="V103" s="6">
        <f>Summary!V103</f>
        <v/>
      </c>
      <c r="W103" s="6">
        <f>Summary!W103</f>
        <v/>
      </c>
      <c r="X103" s="6">
        <f>Summary!X103</f>
        <v/>
      </c>
      <c r="Y103" s="6">
        <f>Summary!Y103</f>
        <v/>
      </c>
      <c r="Z103" s="6">
        <f>Summary!Z103</f>
        <v/>
      </c>
      <c r="AA103" s="6">
        <f>Summary!AA103</f>
        <v/>
      </c>
      <c r="AB103" s="6">
        <f>SUM(D103:AA103)</f>
        <v/>
      </c>
      <c r="AC103" s="3" t="inlineStr"/>
      <c r="AD103" s="7">
        <f>AA103*0.00028565</f>
        <v/>
      </c>
      <c r="AE103" s="7">
        <f>D103*0.00028565</f>
        <v/>
      </c>
      <c r="AF103" s="7">
        <f>E103*0.00028565</f>
        <v/>
      </c>
      <c r="AG103" s="7">
        <f>F103*0.00028565</f>
        <v/>
      </c>
      <c r="AH103" s="7">
        <f>G103*0.00028565</f>
        <v/>
      </c>
      <c r="AI103" s="7">
        <f>H103*0.00028565</f>
        <v/>
      </c>
      <c r="AJ103" s="7">
        <f>I103*0.00028565</f>
        <v/>
      </c>
      <c r="AK103" s="7">
        <f>J103*0.00028565</f>
        <v/>
      </c>
      <c r="AL103" s="7">
        <f>K103*0.00028565</f>
        <v/>
      </c>
      <c r="AM103" s="7">
        <f>L103*0.00028565</f>
        <v/>
      </c>
      <c r="AN103" s="7">
        <f>M103*0.00028565</f>
        <v/>
      </c>
      <c r="AO103" s="7">
        <f>N103*0.00028565</f>
        <v/>
      </c>
      <c r="AP103" s="7">
        <f>O103*0.00028565</f>
        <v/>
      </c>
      <c r="AQ103" s="7">
        <f>P103*0.00028565</f>
        <v/>
      </c>
      <c r="AR103" s="7">
        <f>Q103*0.00028565</f>
        <v/>
      </c>
      <c r="AS103" s="7">
        <f>R103*0.00028565</f>
        <v/>
      </c>
      <c r="AT103" s="7">
        <f>S103*0.00028565</f>
        <v/>
      </c>
      <c r="AU103" s="7">
        <f>T103*0.00028565</f>
        <v/>
      </c>
      <c r="AV103" s="7">
        <f>U103*0.00028565</f>
        <v/>
      </c>
      <c r="AW103" s="7">
        <f>V103*0.00028565</f>
        <v/>
      </c>
      <c r="AX103" s="7">
        <f>W103*0.00028565</f>
        <v/>
      </c>
      <c r="AY103" s="7">
        <f>X103*0.00028565</f>
        <v/>
      </c>
      <c r="AZ103" s="7">
        <f>Y103*0.00028565</f>
        <v/>
      </c>
      <c r="BA103" s="7">
        <f>Z103*0.00028565</f>
        <v/>
      </c>
      <c r="BB103" s="7">
        <f>SUM(AD103:BA103)</f>
        <v/>
      </c>
    </row>
    <row r="104">
      <c r="A104" t="inlineStr">
        <is>
          <t>AMD-RTS-RCLS-1302-SSC_1</t>
        </is>
      </c>
      <c r="B104" t="inlineStr">
        <is>
          <t>Rev OSC</t>
        </is>
      </c>
      <c r="C104" s="5" t="n">
        <v>46102</v>
      </c>
      <c r="D104" s="6">
        <f>Summary!D104</f>
        <v/>
      </c>
      <c r="E104" s="6">
        <f>Summary!E104</f>
        <v/>
      </c>
      <c r="F104" s="6">
        <f>Summary!F104</f>
        <v/>
      </c>
      <c r="G104" s="6">
        <f>Summary!G104</f>
        <v/>
      </c>
      <c r="H104" s="6">
        <f>Summary!H104</f>
        <v/>
      </c>
      <c r="I104" s="6">
        <f>Summary!I104</f>
        <v/>
      </c>
      <c r="J104" s="6">
        <f>Summary!J104</f>
        <v/>
      </c>
      <c r="K104" s="6">
        <f>Summary!K104</f>
        <v/>
      </c>
      <c r="L104" s="6">
        <f>Summary!L104</f>
        <v/>
      </c>
      <c r="M104" s="6">
        <f>Summary!M104</f>
        <v/>
      </c>
      <c r="N104" s="6">
        <f>Summary!N104</f>
        <v/>
      </c>
      <c r="O104" s="6">
        <f>Summary!O104</f>
        <v/>
      </c>
      <c r="P104" s="6">
        <f>Summary!P104</f>
        <v/>
      </c>
      <c r="Q104" s="6">
        <f>Summary!Q104</f>
        <v/>
      </c>
      <c r="R104" s="6">
        <f>Summary!R104</f>
        <v/>
      </c>
      <c r="S104" s="6">
        <f>Summary!S104</f>
        <v/>
      </c>
      <c r="T104" s="6">
        <f>Summary!T104</f>
        <v/>
      </c>
      <c r="U104" s="6">
        <f>Summary!U104</f>
        <v/>
      </c>
      <c r="V104" s="6">
        <f>Summary!V104</f>
        <v/>
      </c>
      <c r="W104" s="6">
        <f>Summary!W104</f>
        <v/>
      </c>
      <c r="X104" s="6">
        <f>Summary!X104</f>
        <v/>
      </c>
      <c r="Y104" s="6">
        <f>Summary!Y104</f>
        <v/>
      </c>
      <c r="Z104" s="6">
        <f>Summary!Z104</f>
        <v/>
      </c>
      <c r="AA104" s="6">
        <f>Summary!AA104</f>
        <v/>
      </c>
      <c r="AB104" s="6">
        <f>SUM(D104:AA104)</f>
        <v/>
      </c>
      <c r="AC104" s="3" t="inlineStr"/>
      <c r="AD104" s="7">
        <f>AA104*0.00028565</f>
        <v/>
      </c>
      <c r="AE104" s="7">
        <f>D104*0.00028565</f>
        <v/>
      </c>
      <c r="AF104" s="7">
        <f>E104*0.00028565</f>
        <v/>
      </c>
      <c r="AG104" s="7">
        <f>F104*0.00028565</f>
        <v/>
      </c>
      <c r="AH104" s="7">
        <f>G104*0.00028565</f>
        <v/>
      </c>
      <c r="AI104" s="7">
        <f>H104*0.00028565</f>
        <v/>
      </c>
      <c r="AJ104" s="7">
        <f>I104*0.00028565</f>
        <v/>
      </c>
      <c r="AK104" s="7">
        <f>J104*0.00028565</f>
        <v/>
      </c>
      <c r="AL104" s="7">
        <f>K104*0.00028565</f>
        <v/>
      </c>
      <c r="AM104" s="7">
        <f>L104*0.00028565</f>
        <v/>
      </c>
      <c r="AN104" s="7">
        <f>M104*0.00028565</f>
        <v/>
      </c>
      <c r="AO104" s="7">
        <f>N104*0.00028565</f>
        <v/>
      </c>
      <c r="AP104" s="7">
        <f>O104*0.00028565</f>
        <v/>
      </c>
      <c r="AQ104" s="7">
        <f>P104*0.00028565</f>
        <v/>
      </c>
      <c r="AR104" s="7">
        <f>Q104*0.00028565</f>
        <v/>
      </c>
      <c r="AS104" s="7">
        <f>R104*0.00028565</f>
        <v/>
      </c>
      <c r="AT104" s="7">
        <f>S104*0.00028565</f>
        <v/>
      </c>
      <c r="AU104" s="7">
        <f>T104*0.00028565</f>
        <v/>
      </c>
      <c r="AV104" s="7">
        <f>U104*0.00028565</f>
        <v/>
      </c>
      <c r="AW104" s="7">
        <f>V104*0.00028565</f>
        <v/>
      </c>
      <c r="AX104" s="7">
        <f>W104*0.00028565</f>
        <v/>
      </c>
      <c r="AY104" s="7">
        <f>X104*0.00028565</f>
        <v/>
      </c>
      <c r="AZ104" s="7">
        <f>Y104*0.00028565</f>
        <v/>
      </c>
      <c r="BA104" s="7">
        <f>Z104*0.00028565</f>
        <v/>
      </c>
      <c r="BB104" s="7">
        <f>SUM(AD104:BA104)</f>
        <v/>
      </c>
    </row>
    <row r="105">
      <c r="A105" t="inlineStr">
        <is>
          <t>AMD-RTS-RCLS-1302-SSC_1</t>
        </is>
      </c>
      <c r="B105" t="inlineStr">
        <is>
          <t>Rev OSC</t>
        </is>
      </c>
      <c r="C105" s="5" t="n">
        <v>46103</v>
      </c>
      <c r="D105" s="6">
        <f>Summary!D105</f>
        <v/>
      </c>
      <c r="E105" s="6">
        <f>Summary!E105</f>
        <v/>
      </c>
      <c r="F105" s="6">
        <f>Summary!F105</f>
        <v/>
      </c>
      <c r="G105" s="6">
        <f>Summary!G105</f>
        <v/>
      </c>
      <c r="H105" s="6">
        <f>Summary!H105</f>
        <v/>
      </c>
      <c r="I105" s="6">
        <f>Summary!I105</f>
        <v/>
      </c>
      <c r="J105" s="6">
        <f>Summary!J105</f>
        <v/>
      </c>
      <c r="K105" s="6">
        <f>Summary!K105</f>
        <v/>
      </c>
      <c r="L105" s="6">
        <f>Summary!L105</f>
        <v/>
      </c>
      <c r="M105" s="6">
        <f>Summary!M105</f>
        <v/>
      </c>
      <c r="N105" s="6">
        <f>Summary!N105</f>
        <v/>
      </c>
      <c r="O105" s="6">
        <f>Summary!O105</f>
        <v/>
      </c>
      <c r="P105" s="6">
        <f>Summary!P105</f>
        <v/>
      </c>
      <c r="Q105" s="6">
        <f>Summary!Q105</f>
        <v/>
      </c>
      <c r="R105" s="6">
        <f>Summary!R105</f>
        <v/>
      </c>
      <c r="S105" s="6">
        <f>Summary!S105</f>
        <v/>
      </c>
      <c r="T105" s="6">
        <f>Summary!T105</f>
        <v/>
      </c>
      <c r="U105" s="6">
        <f>Summary!U105</f>
        <v/>
      </c>
      <c r="V105" s="6">
        <f>Summary!V105</f>
        <v/>
      </c>
      <c r="W105" s="6">
        <f>Summary!W105</f>
        <v/>
      </c>
      <c r="X105" s="6">
        <f>Summary!X105</f>
        <v/>
      </c>
      <c r="Y105" s="6">
        <f>Summary!Y105</f>
        <v/>
      </c>
      <c r="Z105" s="6">
        <f>Summary!Z105</f>
        <v/>
      </c>
      <c r="AA105" s="6">
        <f>Summary!AA105</f>
        <v/>
      </c>
      <c r="AB105" s="6">
        <f>SUM(D105:AA105)</f>
        <v/>
      </c>
      <c r="AC105" s="3" t="inlineStr"/>
      <c r="AD105" s="7">
        <f>AA105*0.00028565</f>
        <v/>
      </c>
      <c r="AE105" s="7">
        <f>D105*0.00028565</f>
        <v/>
      </c>
      <c r="AF105" s="7">
        <f>E105*0.00028565</f>
        <v/>
      </c>
      <c r="AG105" s="7">
        <f>F105*0.00028565</f>
        <v/>
      </c>
      <c r="AH105" s="7">
        <f>G105*0.00028565</f>
        <v/>
      </c>
      <c r="AI105" s="7">
        <f>H105*0.00028565</f>
        <v/>
      </c>
      <c r="AJ105" s="7">
        <f>I105*0.00028565</f>
        <v/>
      </c>
      <c r="AK105" s="7">
        <f>J105*0.00028565</f>
        <v/>
      </c>
      <c r="AL105" s="7">
        <f>K105*0.00028565</f>
        <v/>
      </c>
      <c r="AM105" s="7">
        <f>L105*0.00028565</f>
        <v/>
      </c>
      <c r="AN105" s="7">
        <f>M105*0.00028565</f>
        <v/>
      </c>
      <c r="AO105" s="7">
        <f>N105*0.00028565</f>
        <v/>
      </c>
      <c r="AP105" s="7">
        <f>O105*0.00028565</f>
        <v/>
      </c>
      <c r="AQ105" s="7">
        <f>P105*0.00028565</f>
        <v/>
      </c>
      <c r="AR105" s="7">
        <f>Q105*0.00028565</f>
        <v/>
      </c>
      <c r="AS105" s="7">
        <f>R105*0.00028565</f>
        <v/>
      </c>
      <c r="AT105" s="7">
        <f>S105*0.00028565</f>
        <v/>
      </c>
      <c r="AU105" s="7">
        <f>T105*0.00028565</f>
        <v/>
      </c>
      <c r="AV105" s="7">
        <f>U105*0.00028565</f>
        <v/>
      </c>
      <c r="AW105" s="7">
        <f>V105*0.00028565</f>
        <v/>
      </c>
      <c r="AX105" s="7">
        <f>W105*0.00028565</f>
        <v/>
      </c>
      <c r="AY105" s="7">
        <f>X105*0.00028565</f>
        <v/>
      </c>
      <c r="AZ105" s="7">
        <f>Y105*0.00028565</f>
        <v/>
      </c>
      <c r="BA105" s="7">
        <f>Z105*0.00028565</f>
        <v/>
      </c>
      <c r="BB105" s="7">
        <f>SUM(AD105:BA105)</f>
        <v/>
      </c>
    </row>
    <row r="106">
      <c r="A106" t="inlineStr">
        <is>
          <t>AMD-RTS-RCLS-1302-SSC_1</t>
        </is>
      </c>
      <c r="B106" t="inlineStr">
        <is>
          <t>Rev OSC</t>
        </is>
      </c>
      <c r="C106" s="5" t="n">
        <v>46104</v>
      </c>
      <c r="D106" s="6">
        <f>Summary!D106</f>
        <v/>
      </c>
      <c r="E106" s="6">
        <f>Summary!E106</f>
        <v/>
      </c>
      <c r="F106" s="6">
        <f>Summary!F106</f>
        <v/>
      </c>
      <c r="G106" s="6">
        <f>Summary!G106</f>
        <v/>
      </c>
      <c r="H106" s="6">
        <f>Summary!H106</f>
        <v/>
      </c>
      <c r="I106" s="6">
        <f>Summary!I106</f>
        <v/>
      </c>
      <c r="J106" s="6">
        <f>Summary!J106</f>
        <v/>
      </c>
      <c r="K106" s="6">
        <f>Summary!K106</f>
        <v/>
      </c>
      <c r="L106" s="6">
        <f>Summary!L106</f>
        <v/>
      </c>
      <c r="M106" s="6">
        <f>Summary!M106</f>
        <v/>
      </c>
      <c r="N106" s="6">
        <f>Summary!N106</f>
        <v/>
      </c>
      <c r="O106" s="6">
        <f>Summary!O106</f>
        <v/>
      </c>
      <c r="P106" s="6">
        <f>Summary!P106</f>
        <v/>
      </c>
      <c r="Q106" s="6">
        <f>Summary!Q106</f>
        <v/>
      </c>
      <c r="R106" s="6">
        <f>Summary!R106</f>
        <v/>
      </c>
      <c r="S106" s="6">
        <f>Summary!S106</f>
        <v/>
      </c>
      <c r="T106" s="6">
        <f>Summary!T106</f>
        <v/>
      </c>
      <c r="U106" s="6">
        <f>Summary!U106</f>
        <v/>
      </c>
      <c r="V106" s="6">
        <f>Summary!V106</f>
        <v/>
      </c>
      <c r="W106" s="6">
        <f>Summary!W106</f>
        <v/>
      </c>
      <c r="X106" s="6">
        <f>Summary!X106</f>
        <v/>
      </c>
      <c r="Y106" s="6">
        <f>Summary!Y106</f>
        <v/>
      </c>
      <c r="Z106" s="6">
        <f>Summary!Z106</f>
        <v/>
      </c>
      <c r="AA106" s="6">
        <f>Summary!AA106</f>
        <v/>
      </c>
      <c r="AB106" s="6">
        <f>SUM(D106:AA106)</f>
        <v/>
      </c>
      <c r="AC106" s="3" t="inlineStr"/>
      <c r="AD106" s="7">
        <f>AA106*0.00028565</f>
        <v/>
      </c>
      <c r="AE106" s="7">
        <f>D106*0.00028565</f>
        <v/>
      </c>
      <c r="AF106" s="7">
        <f>E106*0.00028565</f>
        <v/>
      </c>
      <c r="AG106" s="7">
        <f>F106*0.00028565</f>
        <v/>
      </c>
      <c r="AH106" s="7">
        <f>G106*0.00028565</f>
        <v/>
      </c>
      <c r="AI106" s="7">
        <f>H106*0.00028565</f>
        <v/>
      </c>
      <c r="AJ106" s="7">
        <f>I106*0.00028565</f>
        <v/>
      </c>
      <c r="AK106" s="7">
        <f>J106*0.00028565</f>
        <v/>
      </c>
      <c r="AL106" s="7">
        <f>K106*0.00028565</f>
        <v/>
      </c>
      <c r="AM106" s="7">
        <f>L106*0.00028565</f>
        <v/>
      </c>
      <c r="AN106" s="7">
        <f>M106*0.00028565</f>
        <v/>
      </c>
      <c r="AO106" s="7">
        <f>N106*0.00028565</f>
        <v/>
      </c>
      <c r="AP106" s="7">
        <f>O106*0.00028565</f>
        <v/>
      </c>
      <c r="AQ106" s="7">
        <f>P106*0.00028565</f>
        <v/>
      </c>
      <c r="AR106" s="7">
        <f>Q106*0.00028565</f>
        <v/>
      </c>
      <c r="AS106" s="7">
        <f>R106*0.00028565</f>
        <v/>
      </c>
      <c r="AT106" s="7">
        <f>S106*0.00028565</f>
        <v/>
      </c>
      <c r="AU106" s="7">
        <f>T106*0.00028565</f>
        <v/>
      </c>
      <c r="AV106" s="7">
        <f>U106*0.00028565</f>
        <v/>
      </c>
      <c r="AW106" s="7">
        <f>V106*0.00028565</f>
        <v/>
      </c>
      <c r="AX106" s="7">
        <f>W106*0.00028565</f>
        <v/>
      </c>
      <c r="AY106" s="7">
        <f>X106*0.00028565</f>
        <v/>
      </c>
      <c r="AZ106" s="7">
        <f>Y106*0.00028565</f>
        <v/>
      </c>
      <c r="BA106" s="7">
        <f>Z106*0.00028565</f>
        <v/>
      </c>
      <c r="BB106" s="7">
        <f>SUM(AD106:BA106)</f>
        <v/>
      </c>
    </row>
    <row r="107">
      <c r="A107" t="inlineStr">
        <is>
          <t>AMD-RTS-RCLS-1302-SSC_1</t>
        </is>
      </c>
      <c r="B107" t="inlineStr">
        <is>
          <t>Rev OSC</t>
        </is>
      </c>
      <c r="C107" s="5" t="n">
        <v>46105</v>
      </c>
      <c r="D107" s="6">
        <f>Summary!D107</f>
        <v/>
      </c>
      <c r="E107" s="6">
        <f>Summary!E107</f>
        <v/>
      </c>
      <c r="F107" s="6">
        <f>Summary!F107</f>
        <v/>
      </c>
      <c r="G107" s="6">
        <f>Summary!G107</f>
        <v/>
      </c>
      <c r="H107" s="6">
        <f>Summary!H107</f>
        <v/>
      </c>
      <c r="I107" s="6">
        <f>Summary!I107</f>
        <v/>
      </c>
      <c r="J107" s="6">
        <f>Summary!J107</f>
        <v/>
      </c>
      <c r="K107" s="6">
        <f>Summary!K107</f>
        <v/>
      </c>
      <c r="L107" s="6">
        <f>Summary!L107</f>
        <v/>
      </c>
      <c r="M107" s="6">
        <f>Summary!M107</f>
        <v/>
      </c>
      <c r="N107" s="6">
        <f>Summary!N107</f>
        <v/>
      </c>
      <c r="O107" s="6">
        <f>Summary!O107</f>
        <v/>
      </c>
      <c r="P107" s="6">
        <f>Summary!P107</f>
        <v/>
      </c>
      <c r="Q107" s="6">
        <f>Summary!Q107</f>
        <v/>
      </c>
      <c r="R107" s="6">
        <f>Summary!R107</f>
        <v/>
      </c>
      <c r="S107" s="6">
        <f>Summary!S107</f>
        <v/>
      </c>
      <c r="T107" s="6">
        <f>Summary!T107</f>
        <v/>
      </c>
      <c r="U107" s="6">
        <f>Summary!U107</f>
        <v/>
      </c>
      <c r="V107" s="6">
        <f>Summary!V107</f>
        <v/>
      </c>
      <c r="W107" s="6">
        <f>Summary!W107</f>
        <v/>
      </c>
      <c r="X107" s="6">
        <f>Summary!X107</f>
        <v/>
      </c>
      <c r="Y107" s="6">
        <f>Summary!Y107</f>
        <v/>
      </c>
      <c r="Z107" s="6">
        <f>Summary!Z107</f>
        <v/>
      </c>
      <c r="AA107" s="6">
        <f>Summary!AA107</f>
        <v/>
      </c>
      <c r="AB107" s="6">
        <f>SUM(D107:AA107)</f>
        <v/>
      </c>
      <c r="AC107" s="3" t="inlineStr"/>
      <c r="AD107" s="7">
        <f>AA107*0.00028565</f>
        <v/>
      </c>
      <c r="AE107" s="7">
        <f>D107*0.00028565</f>
        <v/>
      </c>
      <c r="AF107" s="7">
        <f>E107*0.00028565</f>
        <v/>
      </c>
      <c r="AG107" s="7">
        <f>F107*0.00028565</f>
        <v/>
      </c>
      <c r="AH107" s="7">
        <f>G107*0.00028565</f>
        <v/>
      </c>
      <c r="AI107" s="7">
        <f>H107*0.00028565</f>
        <v/>
      </c>
      <c r="AJ107" s="7">
        <f>I107*0.00028565</f>
        <v/>
      </c>
      <c r="AK107" s="7">
        <f>J107*0.00028565</f>
        <v/>
      </c>
      <c r="AL107" s="7">
        <f>K107*0.00028565</f>
        <v/>
      </c>
      <c r="AM107" s="7">
        <f>L107*0.00028565</f>
        <v/>
      </c>
      <c r="AN107" s="7">
        <f>M107*0.00028565</f>
        <v/>
      </c>
      <c r="AO107" s="7">
        <f>N107*0.00028565</f>
        <v/>
      </c>
      <c r="AP107" s="7">
        <f>O107*0.00028565</f>
        <v/>
      </c>
      <c r="AQ107" s="7">
        <f>P107*0.00028565</f>
        <v/>
      </c>
      <c r="AR107" s="7">
        <f>Q107*0.00028565</f>
        <v/>
      </c>
      <c r="AS107" s="7">
        <f>R107*0.00028565</f>
        <v/>
      </c>
      <c r="AT107" s="7">
        <f>S107*0.00028565</f>
        <v/>
      </c>
      <c r="AU107" s="7">
        <f>T107*0.00028565</f>
        <v/>
      </c>
      <c r="AV107" s="7">
        <f>U107*0.00028565</f>
        <v/>
      </c>
      <c r="AW107" s="7">
        <f>V107*0.00028565</f>
        <v/>
      </c>
      <c r="AX107" s="7">
        <f>W107*0.00028565</f>
        <v/>
      </c>
      <c r="AY107" s="7">
        <f>X107*0.00028565</f>
        <v/>
      </c>
      <c r="AZ107" s="7">
        <f>Y107*0.00028565</f>
        <v/>
      </c>
      <c r="BA107" s="7">
        <f>Z107*0.00028565</f>
        <v/>
      </c>
      <c r="BB107" s="7">
        <f>SUM(AD107:BA107)</f>
        <v/>
      </c>
    </row>
    <row r="108">
      <c r="A108" t="inlineStr">
        <is>
          <t>AMD-RTS-RCLS-1302-SSC_2</t>
        </is>
      </c>
      <c r="B108" t="inlineStr">
        <is>
          <t>Rev OSC</t>
        </is>
      </c>
      <c r="C108" s="5" t="n">
        <v>46100</v>
      </c>
      <c r="D108" s="6">
        <f>Summary!D108</f>
        <v/>
      </c>
      <c r="E108" s="6">
        <f>Summary!E108</f>
        <v/>
      </c>
      <c r="F108" s="6">
        <f>Summary!F108</f>
        <v/>
      </c>
      <c r="G108" s="6">
        <f>Summary!G108</f>
        <v/>
      </c>
      <c r="H108" s="6">
        <f>Summary!H108</f>
        <v/>
      </c>
      <c r="I108" s="6">
        <f>Summary!I108</f>
        <v/>
      </c>
      <c r="J108" s="6">
        <f>Summary!J108</f>
        <v/>
      </c>
      <c r="K108" s="6">
        <f>Summary!K108</f>
        <v/>
      </c>
      <c r="L108" s="6">
        <f>Summary!L108</f>
        <v/>
      </c>
      <c r="M108" s="6">
        <f>Summary!M108</f>
        <v/>
      </c>
      <c r="N108" s="6">
        <f>Summary!N108</f>
        <v/>
      </c>
      <c r="O108" s="6">
        <f>Summary!O108</f>
        <v/>
      </c>
      <c r="P108" s="6">
        <f>Summary!P108</f>
        <v/>
      </c>
      <c r="Q108" s="6">
        <f>Summary!Q108</f>
        <v/>
      </c>
      <c r="R108" s="6">
        <f>Summary!R108</f>
        <v/>
      </c>
      <c r="S108" s="6">
        <f>Summary!S108</f>
        <v/>
      </c>
      <c r="T108" s="6">
        <f>Summary!T108</f>
        <v/>
      </c>
      <c r="U108" s="6">
        <f>Summary!U108</f>
        <v/>
      </c>
      <c r="V108" s="6">
        <f>Summary!V108</f>
        <v/>
      </c>
      <c r="W108" s="6">
        <f>Summary!W108</f>
        <v/>
      </c>
      <c r="X108" s="6">
        <f>Summary!X108</f>
        <v/>
      </c>
      <c r="Y108" s="6">
        <f>Summary!Y108</f>
        <v/>
      </c>
      <c r="Z108" s="6">
        <f>Summary!Z108</f>
        <v/>
      </c>
      <c r="AA108" s="6">
        <f>Summary!AA108</f>
        <v/>
      </c>
      <c r="AB108" s="6">
        <f>SUM(D108:AA108)</f>
        <v/>
      </c>
      <c r="AC108" s="3" t="inlineStr"/>
      <c r="AD108" s="7">
        <f>AA108*0.00028565</f>
        <v/>
      </c>
      <c r="AE108" s="7">
        <f>D108*0.00028565</f>
        <v/>
      </c>
      <c r="AF108" s="7">
        <f>E108*0.00028565</f>
        <v/>
      </c>
      <c r="AG108" s="7">
        <f>F108*0.00028565</f>
        <v/>
      </c>
      <c r="AH108" s="7">
        <f>G108*0.00028565</f>
        <v/>
      </c>
      <c r="AI108" s="7">
        <f>H108*0.00028565</f>
        <v/>
      </c>
      <c r="AJ108" s="7">
        <f>I108*0.00028565</f>
        <v/>
      </c>
      <c r="AK108" s="7">
        <f>J108*0.00028565</f>
        <v/>
      </c>
      <c r="AL108" s="7">
        <f>K108*0.00028565</f>
        <v/>
      </c>
      <c r="AM108" s="7">
        <f>L108*0.00028565</f>
        <v/>
      </c>
      <c r="AN108" s="7">
        <f>M108*0.00028565</f>
        <v/>
      </c>
      <c r="AO108" s="7">
        <f>N108*0.00028565</f>
        <v/>
      </c>
      <c r="AP108" s="7">
        <f>O108*0.00028565</f>
        <v/>
      </c>
      <c r="AQ108" s="7">
        <f>P108*0.00028565</f>
        <v/>
      </c>
      <c r="AR108" s="7">
        <f>Q108*0.00028565</f>
        <v/>
      </c>
      <c r="AS108" s="7">
        <f>R108*0.00028565</f>
        <v/>
      </c>
      <c r="AT108" s="7">
        <f>S108*0.00028565</f>
        <v/>
      </c>
      <c r="AU108" s="7">
        <f>T108*0.00028565</f>
        <v/>
      </c>
      <c r="AV108" s="7">
        <f>U108*0.00028565</f>
        <v/>
      </c>
      <c r="AW108" s="7">
        <f>V108*0.00028565</f>
        <v/>
      </c>
      <c r="AX108" s="7">
        <f>W108*0.00028565</f>
        <v/>
      </c>
      <c r="AY108" s="7">
        <f>X108*0.00028565</f>
        <v/>
      </c>
      <c r="AZ108" s="7">
        <f>Y108*0.00028565</f>
        <v/>
      </c>
      <c r="BA108" s="7">
        <f>Z108*0.00028565</f>
        <v/>
      </c>
      <c r="BB108" s="7">
        <f>SUM(AD108:BA108)</f>
        <v/>
      </c>
    </row>
    <row r="109">
      <c r="A109" t="inlineStr">
        <is>
          <t>AMD-RTS-RCLS-1302-SSC_2</t>
        </is>
      </c>
      <c r="B109" t="inlineStr">
        <is>
          <t>Rev OSC</t>
        </is>
      </c>
      <c r="C109" s="5" t="n">
        <v>46102</v>
      </c>
      <c r="D109" s="6">
        <f>Summary!D109</f>
        <v/>
      </c>
      <c r="E109" s="6">
        <f>Summary!E109</f>
        <v/>
      </c>
      <c r="F109" s="6">
        <f>Summary!F109</f>
        <v/>
      </c>
      <c r="G109" s="6">
        <f>Summary!G109</f>
        <v/>
      </c>
      <c r="H109" s="6">
        <f>Summary!H109</f>
        <v/>
      </c>
      <c r="I109" s="6">
        <f>Summary!I109</f>
        <v/>
      </c>
      <c r="J109" s="6">
        <f>Summary!J109</f>
        <v/>
      </c>
      <c r="K109" s="6">
        <f>Summary!K109</f>
        <v/>
      </c>
      <c r="L109" s="6">
        <f>Summary!L109</f>
        <v/>
      </c>
      <c r="M109" s="6">
        <f>Summary!M109</f>
        <v/>
      </c>
      <c r="N109" s="6">
        <f>Summary!N109</f>
        <v/>
      </c>
      <c r="O109" s="6">
        <f>Summary!O109</f>
        <v/>
      </c>
      <c r="P109" s="6">
        <f>Summary!P109</f>
        <v/>
      </c>
      <c r="Q109" s="6">
        <f>Summary!Q109</f>
        <v/>
      </c>
      <c r="R109" s="6">
        <f>Summary!R109</f>
        <v/>
      </c>
      <c r="S109" s="6">
        <f>Summary!S109</f>
        <v/>
      </c>
      <c r="T109" s="6">
        <f>Summary!T109</f>
        <v/>
      </c>
      <c r="U109" s="6">
        <f>Summary!U109</f>
        <v/>
      </c>
      <c r="V109" s="6">
        <f>Summary!V109</f>
        <v/>
      </c>
      <c r="W109" s="6">
        <f>Summary!W109</f>
        <v/>
      </c>
      <c r="X109" s="6">
        <f>Summary!X109</f>
        <v/>
      </c>
      <c r="Y109" s="6">
        <f>Summary!Y109</f>
        <v/>
      </c>
      <c r="Z109" s="6">
        <f>Summary!Z109</f>
        <v/>
      </c>
      <c r="AA109" s="6">
        <f>Summary!AA109</f>
        <v/>
      </c>
      <c r="AB109" s="6">
        <f>SUM(D109:AA109)</f>
        <v/>
      </c>
      <c r="AC109" s="3" t="inlineStr"/>
      <c r="AD109" s="7">
        <f>AA109*0.00028565</f>
        <v/>
      </c>
      <c r="AE109" s="7">
        <f>D109*0.00028565</f>
        <v/>
      </c>
      <c r="AF109" s="7">
        <f>E109*0.00028565</f>
        <v/>
      </c>
      <c r="AG109" s="7">
        <f>F109*0.00028565</f>
        <v/>
      </c>
      <c r="AH109" s="7">
        <f>G109*0.00028565</f>
        <v/>
      </c>
      <c r="AI109" s="7">
        <f>H109*0.00028565</f>
        <v/>
      </c>
      <c r="AJ109" s="7">
        <f>I109*0.00028565</f>
        <v/>
      </c>
      <c r="AK109" s="7">
        <f>J109*0.00028565</f>
        <v/>
      </c>
      <c r="AL109" s="7">
        <f>K109*0.00028565</f>
        <v/>
      </c>
      <c r="AM109" s="7">
        <f>L109*0.00028565</f>
        <v/>
      </c>
      <c r="AN109" s="7">
        <f>M109*0.00028565</f>
        <v/>
      </c>
      <c r="AO109" s="7">
        <f>N109*0.00028565</f>
        <v/>
      </c>
      <c r="AP109" s="7">
        <f>O109*0.00028565</f>
        <v/>
      </c>
      <c r="AQ109" s="7">
        <f>P109*0.00028565</f>
        <v/>
      </c>
      <c r="AR109" s="7">
        <f>Q109*0.00028565</f>
        <v/>
      </c>
      <c r="AS109" s="7">
        <f>R109*0.00028565</f>
        <v/>
      </c>
      <c r="AT109" s="7">
        <f>S109*0.00028565</f>
        <v/>
      </c>
      <c r="AU109" s="7">
        <f>T109*0.00028565</f>
        <v/>
      </c>
      <c r="AV109" s="7">
        <f>U109*0.00028565</f>
        <v/>
      </c>
      <c r="AW109" s="7">
        <f>V109*0.00028565</f>
        <v/>
      </c>
      <c r="AX109" s="7">
        <f>W109*0.00028565</f>
        <v/>
      </c>
      <c r="AY109" s="7">
        <f>X109*0.00028565</f>
        <v/>
      </c>
      <c r="AZ109" s="7">
        <f>Y109*0.00028565</f>
        <v/>
      </c>
      <c r="BA109" s="7">
        <f>Z109*0.00028565</f>
        <v/>
      </c>
      <c r="BB109" s="7">
        <f>SUM(AD109:BA109)</f>
        <v/>
      </c>
    </row>
    <row r="110">
      <c r="A110" t="inlineStr">
        <is>
          <t>AMD-RTS-RCLS-1302-SSC_2</t>
        </is>
      </c>
      <c r="B110" t="inlineStr">
        <is>
          <t>Rev OSC</t>
        </is>
      </c>
      <c r="C110" s="5" t="n">
        <v>46104</v>
      </c>
      <c r="D110" s="6">
        <f>Summary!D110</f>
        <v/>
      </c>
      <c r="E110" s="6">
        <f>Summary!E110</f>
        <v/>
      </c>
      <c r="F110" s="6">
        <f>Summary!F110</f>
        <v/>
      </c>
      <c r="G110" s="6">
        <f>Summary!G110</f>
        <v/>
      </c>
      <c r="H110" s="6">
        <f>Summary!H110</f>
        <v/>
      </c>
      <c r="I110" s="6">
        <f>Summary!I110</f>
        <v/>
      </c>
      <c r="J110" s="6">
        <f>Summary!J110</f>
        <v/>
      </c>
      <c r="K110" s="6">
        <f>Summary!K110</f>
        <v/>
      </c>
      <c r="L110" s="6">
        <f>Summary!L110</f>
        <v/>
      </c>
      <c r="M110" s="6">
        <f>Summary!M110</f>
        <v/>
      </c>
      <c r="N110" s="6">
        <f>Summary!N110</f>
        <v/>
      </c>
      <c r="O110" s="6">
        <f>Summary!O110</f>
        <v/>
      </c>
      <c r="P110" s="6">
        <f>Summary!P110</f>
        <v/>
      </c>
      <c r="Q110" s="6">
        <f>Summary!Q110</f>
        <v/>
      </c>
      <c r="R110" s="6">
        <f>Summary!R110</f>
        <v/>
      </c>
      <c r="S110" s="6">
        <f>Summary!S110</f>
        <v/>
      </c>
      <c r="T110" s="6">
        <f>Summary!T110</f>
        <v/>
      </c>
      <c r="U110" s="6">
        <f>Summary!U110</f>
        <v/>
      </c>
      <c r="V110" s="6">
        <f>Summary!V110</f>
        <v/>
      </c>
      <c r="W110" s="6">
        <f>Summary!W110</f>
        <v/>
      </c>
      <c r="X110" s="6">
        <f>Summary!X110</f>
        <v/>
      </c>
      <c r="Y110" s="6">
        <f>Summary!Y110</f>
        <v/>
      </c>
      <c r="Z110" s="6">
        <f>Summary!Z110</f>
        <v/>
      </c>
      <c r="AA110" s="6">
        <f>Summary!AA110</f>
        <v/>
      </c>
      <c r="AB110" s="6">
        <f>SUM(D110:AA110)</f>
        <v/>
      </c>
      <c r="AC110" s="3" t="inlineStr"/>
      <c r="AD110" s="7">
        <f>AA110*0.00028565</f>
        <v/>
      </c>
      <c r="AE110" s="7">
        <f>D110*0.00028565</f>
        <v/>
      </c>
      <c r="AF110" s="7">
        <f>E110*0.00028565</f>
        <v/>
      </c>
      <c r="AG110" s="7">
        <f>F110*0.00028565</f>
        <v/>
      </c>
      <c r="AH110" s="7">
        <f>G110*0.00028565</f>
        <v/>
      </c>
      <c r="AI110" s="7">
        <f>H110*0.00028565</f>
        <v/>
      </c>
      <c r="AJ110" s="7">
        <f>I110*0.00028565</f>
        <v/>
      </c>
      <c r="AK110" s="7">
        <f>J110*0.00028565</f>
        <v/>
      </c>
      <c r="AL110" s="7">
        <f>K110*0.00028565</f>
        <v/>
      </c>
      <c r="AM110" s="7">
        <f>L110*0.00028565</f>
        <v/>
      </c>
      <c r="AN110" s="7">
        <f>M110*0.00028565</f>
        <v/>
      </c>
      <c r="AO110" s="7">
        <f>N110*0.00028565</f>
        <v/>
      </c>
      <c r="AP110" s="7">
        <f>O110*0.00028565</f>
        <v/>
      </c>
      <c r="AQ110" s="7">
        <f>P110*0.00028565</f>
        <v/>
      </c>
      <c r="AR110" s="7">
        <f>Q110*0.00028565</f>
        <v/>
      </c>
      <c r="AS110" s="7">
        <f>R110*0.00028565</f>
        <v/>
      </c>
      <c r="AT110" s="7">
        <f>S110*0.00028565</f>
        <v/>
      </c>
      <c r="AU110" s="7">
        <f>T110*0.00028565</f>
        <v/>
      </c>
      <c r="AV110" s="7">
        <f>U110*0.00028565</f>
        <v/>
      </c>
      <c r="AW110" s="7">
        <f>V110*0.00028565</f>
        <v/>
      </c>
      <c r="AX110" s="7">
        <f>W110*0.00028565</f>
        <v/>
      </c>
      <c r="AY110" s="7">
        <f>X110*0.00028565</f>
        <v/>
      </c>
      <c r="AZ110" s="7">
        <f>Y110*0.00028565</f>
        <v/>
      </c>
      <c r="BA110" s="7">
        <f>Z110*0.00028565</f>
        <v/>
      </c>
      <c r="BB110" s="7">
        <f>SUM(AD110:BA110)</f>
        <v/>
      </c>
    </row>
    <row r="111">
      <c r="A111" t="inlineStr">
        <is>
          <t>DC-10-1</t>
        </is>
      </c>
      <c r="B111" t="inlineStr">
        <is>
          <t>DSC Manual</t>
        </is>
      </c>
      <c r="C111" s="5" t="n">
        <v>46089</v>
      </c>
      <c r="D111" s="6">
        <f>Summary!D111</f>
        <v/>
      </c>
      <c r="E111" s="6">
        <f>Summary!E111</f>
        <v/>
      </c>
      <c r="F111" s="6">
        <f>Summary!F111</f>
        <v/>
      </c>
      <c r="G111" s="6">
        <f>Summary!G111</f>
        <v/>
      </c>
      <c r="H111" s="6">
        <f>Summary!H111</f>
        <v/>
      </c>
      <c r="I111" s="6">
        <f>Summary!I111</f>
        <v/>
      </c>
      <c r="J111" s="6">
        <f>Summary!J111</f>
        <v/>
      </c>
      <c r="K111" s="6">
        <f>Summary!K111</f>
        <v/>
      </c>
      <c r="L111" s="6">
        <f>Summary!L111</f>
        <v/>
      </c>
      <c r="M111" s="6">
        <f>Summary!M111</f>
        <v/>
      </c>
      <c r="N111" s="6">
        <f>Summary!N111</f>
        <v/>
      </c>
      <c r="O111" s="6">
        <f>Summary!O111</f>
        <v/>
      </c>
      <c r="P111" s="6">
        <f>Summary!P111</f>
        <v/>
      </c>
      <c r="Q111" s="6">
        <f>Summary!Q111</f>
        <v/>
      </c>
      <c r="R111" s="6">
        <f>Summary!R111</f>
        <v/>
      </c>
      <c r="S111" s="6">
        <f>Summary!S111</f>
        <v/>
      </c>
      <c r="T111" s="6">
        <f>Summary!T111</f>
        <v/>
      </c>
      <c r="U111" s="6">
        <f>Summary!U111</f>
        <v/>
      </c>
      <c r="V111" s="6">
        <f>Summary!V111</f>
        <v/>
      </c>
      <c r="W111" s="6">
        <f>Summary!W111</f>
        <v/>
      </c>
      <c r="X111" s="6">
        <f>Summary!X111</f>
        <v/>
      </c>
      <c r="Y111" s="6">
        <f>Summary!Y111</f>
        <v/>
      </c>
      <c r="Z111" s="6">
        <f>Summary!Z111</f>
        <v/>
      </c>
      <c r="AA111" s="6">
        <f>Summary!AA111</f>
        <v/>
      </c>
      <c r="AB111" s="6">
        <f>SUM(D111:AA111)</f>
        <v/>
      </c>
      <c r="AC111" s="3" t="inlineStr"/>
      <c r="AD111" s="7">
        <f>AA111*0.00028565</f>
        <v/>
      </c>
      <c r="AE111" s="7">
        <f>D111*0.00028565</f>
        <v/>
      </c>
      <c r="AF111" s="7">
        <f>E111*0.00028565</f>
        <v/>
      </c>
      <c r="AG111" s="7">
        <f>F111*0.00028565</f>
        <v/>
      </c>
      <c r="AH111" s="7">
        <f>G111*0.00028565</f>
        <v/>
      </c>
      <c r="AI111" s="7">
        <f>H111*0.00028565</f>
        <v/>
      </c>
      <c r="AJ111" s="7">
        <f>I111*0.00028565</f>
        <v/>
      </c>
      <c r="AK111" s="7">
        <f>J111*0.00028565</f>
        <v/>
      </c>
      <c r="AL111" s="7">
        <f>K111*0.00028565</f>
        <v/>
      </c>
      <c r="AM111" s="7">
        <f>L111*0.00028565</f>
        <v/>
      </c>
      <c r="AN111" s="7">
        <f>M111*0.00028565</f>
        <v/>
      </c>
      <c r="AO111" s="7">
        <f>N111*0.00028565</f>
        <v/>
      </c>
      <c r="AP111" s="7">
        <f>O111*0.00028565</f>
        <v/>
      </c>
      <c r="AQ111" s="7">
        <f>P111*0.00028565</f>
        <v/>
      </c>
      <c r="AR111" s="7">
        <f>Q111*0.00028565</f>
        <v/>
      </c>
      <c r="AS111" s="7">
        <f>R111*0.00028565</f>
        <v/>
      </c>
      <c r="AT111" s="7">
        <f>S111*0.00028565</f>
        <v/>
      </c>
      <c r="AU111" s="7">
        <f>T111*0.00028565</f>
        <v/>
      </c>
      <c r="AV111" s="7">
        <f>U111*0.00028565</f>
        <v/>
      </c>
      <c r="AW111" s="7">
        <f>V111*0.00028565</f>
        <v/>
      </c>
      <c r="AX111" s="7">
        <f>W111*0.00028565</f>
        <v/>
      </c>
      <c r="AY111" s="7">
        <f>X111*0.00028565</f>
        <v/>
      </c>
      <c r="AZ111" s="7">
        <f>Y111*0.00028565</f>
        <v/>
      </c>
      <c r="BA111" s="7">
        <f>Z111*0.00028565</f>
        <v/>
      </c>
      <c r="BB111" s="7">
        <f>SUM(AD111:BA111)</f>
        <v/>
      </c>
    </row>
    <row r="112">
      <c r="A112" t="inlineStr">
        <is>
          <t>DC-10-1</t>
        </is>
      </c>
      <c r="B112" t="inlineStr">
        <is>
          <t>DSC Manual</t>
        </is>
      </c>
      <c r="C112" s="5" t="n">
        <v>46090</v>
      </c>
      <c r="D112" s="6">
        <f>Summary!D112</f>
        <v/>
      </c>
      <c r="E112" s="6">
        <f>Summary!E112</f>
        <v/>
      </c>
      <c r="F112" s="6">
        <f>Summary!F112</f>
        <v/>
      </c>
      <c r="G112" s="6">
        <f>Summary!G112</f>
        <v/>
      </c>
      <c r="H112" s="6">
        <f>Summary!H112</f>
        <v/>
      </c>
      <c r="I112" s="6">
        <f>Summary!I112</f>
        <v/>
      </c>
      <c r="J112" s="6">
        <f>Summary!J112</f>
        <v/>
      </c>
      <c r="K112" s="6">
        <f>Summary!K112</f>
        <v/>
      </c>
      <c r="L112" s="6">
        <f>Summary!L112</f>
        <v/>
      </c>
      <c r="M112" s="6">
        <f>Summary!M112</f>
        <v/>
      </c>
      <c r="N112" s="6">
        <f>Summary!N112</f>
        <v/>
      </c>
      <c r="O112" s="6">
        <f>Summary!O112</f>
        <v/>
      </c>
      <c r="P112" s="6">
        <f>Summary!P112</f>
        <v/>
      </c>
      <c r="Q112" s="6">
        <f>Summary!Q112</f>
        <v/>
      </c>
      <c r="R112" s="6">
        <f>Summary!R112</f>
        <v/>
      </c>
      <c r="S112" s="6">
        <f>Summary!S112</f>
        <v/>
      </c>
      <c r="T112" s="6">
        <f>Summary!T112</f>
        <v/>
      </c>
      <c r="U112" s="6">
        <f>Summary!U112</f>
        <v/>
      </c>
      <c r="V112" s="6">
        <f>Summary!V112</f>
        <v/>
      </c>
      <c r="W112" s="6">
        <f>Summary!W112</f>
        <v/>
      </c>
      <c r="X112" s="6">
        <f>Summary!X112</f>
        <v/>
      </c>
      <c r="Y112" s="6">
        <f>Summary!Y112</f>
        <v/>
      </c>
      <c r="Z112" s="6">
        <f>Summary!Z112</f>
        <v/>
      </c>
      <c r="AA112" s="6">
        <f>Summary!AA112</f>
        <v/>
      </c>
      <c r="AB112" s="6">
        <f>SUM(D112:AA112)</f>
        <v/>
      </c>
      <c r="AC112" s="3" t="inlineStr"/>
      <c r="AD112" s="7">
        <f>AA112*0.00028565</f>
        <v/>
      </c>
      <c r="AE112" s="7">
        <f>D112*0.00028565</f>
        <v/>
      </c>
      <c r="AF112" s="7">
        <f>E112*0.00028565</f>
        <v/>
      </c>
      <c r="AG112" s="7">
        <f>F112*0.00028565</f>
        <v/>
      </c>
      <c r="AH112" s="7">
        <f>G112*0.00028565</f>
        <v/>
      </c>
      <c r="AI112" s="7">
        <f>H112*0.00028565</f>
        <v/>
      </c>
      <c r="AJ112" s="7">
        <f>I112*0.00028565</f>
        <v/>
      </c>
      <c r="AK112" s="7">
        <f>J112*0.00028565</f>
        <v/>
      </c>
      <c r="AL112" s="7">
        <f>K112*0.00028565</f>
        <v/>
      </c>
      <c r="AM112" s="7">
        <f>L112*0.00028565</f>
        <v/>
      </c>
      <c r="AN112" s="7">
        <f>M112*0.00028565</f>
        <v/>
      </c>
      <c r="AO112" s="7">
        <f>N112*0.00028565</f>
        <v/>
      </c>
      <c r="AP112" s="7">
        <f>O112*0.00028565</f>
        <v/>
      </c>
      <c r="AQ112" s="7">
        <f>P112*0.00028565</f>
        <v/>
      </c>
      <c r="AR112" s="7">
        <f>Q112*0.00028565</f>
        <v/>
      </c>
      <c r="AS112" s="7">
        <f>R112*0.00028565</f>
        <v/>
      </c>
      <c r="AT112" s="7">
        <f>S112*0.00028565</f>
        <v/>
      </c>
      <c r="AU112" s="7">
        <f>T112*0.00028565</f>
        <v/>
      </c>
      <c r="AV112" s="7">
        <f>U112*0.00028565</f>
        <v/>
      </c>
      <c r="AW112" s="7">
        <f>V112*0.00028565</f>
        <v/>
      </c>
      <c r="AX112" s="7">
        <f>W112*0.00028565</f>
        <v/>
      </c>
      <c r="AY112" s="7">
        <f>X112*0.00028565</f>
        <v/>
      </c>
      <c r="AZ112" s="7">
        <f>Y112*0.00028565</f>
        <v/>
      </c>
      <c r="BA112" s="7">
        <f>Z112*0.00028565</f>
        <v/>
      </c>
      <c r="BB112" s="7">
        <f>SUM(AD112:BA112)</f>
        <v/>
      </c>
    </row>
    <row r="113">
      <c r="A113" t="inlineStr">
        <is>
          <t>DC-10-1</t>
        </is>
      </c>
      <c r="B113" t="inlineStr">
        <is>
          <t>DSC Manual</t>
        </is>
      </c>
      <c r="C113" s="5" t="n">
        <v>46091</v>
      </c>
      <c r="D113" s="6">
        <f>Summary!D113</f>
        <v/>
      </c>
      <c r="E113" s="6">
        <f>Summary!E113</f>
        <v/>
      </c>
      <c r="F113" s="6">
        <f>Summary!F113</f>
        <v/>
      </c>
      <c r="G113" s="6">
        <f>Summary!G113</f>
        <v/>
      </c>
      <c r="H113" s="6">
        <f>Summary!H113</f>
        <v/>
      </c>
      <c r="I113" s="6">
        <f>Summary!I113</f>
        <v/>
      </c>
      <c r="J113" s="6">
        <f>Summary!J113</f>
        <v/>
      </c>
      <c r="K113" s="6">
        <f>Summary!K113</f>
        <v/>
      </c>
      <c r="L113" s="6">
        <f>Summary!L113</f>
        <v/>
      </c>
      <c r="M113" s="6">
        <f>Summary!M113</f>
        <v/>
      </c>
      <c r="N113" s="6">
        <f>Summary!N113</f>
        <v/>
      </c>
      <c r="O113" s="6">
        <f>Summary!O113</f>
        <v/>
      </c>
      <c r="P113" s="6">
        <f>Summary!P113</f>
        <v/>
      </c>
      <c r="Q113" s="6">
        <f>Summary!Q113</f>
        <v/>
      </c>
      <c r="R113" s="6">
        <f>Summary!R113</f>
        <v/>
      </c>
      <c r="S113" s="6">
        <f>Summary!S113</f>
        <v/>
      </c>
      <c r="T113" s="6">
        <f>Summary!T113</f>
        <v/>
      </c>
      <c r="U113" s="6">
        <f>Summary!U113</f>
        <v/>
      </c>
      <c r="V113" s="6">
        <f>Summary!V113</f>
        <v/>
      </c>
      <c r="W113" s="6">
        <f>Summary!W113</f>
        <v/>
      </c>
      <c r="X113" s="6">
        <f>Summary!X113</f>
        <v/>
      </c>
      <c r="Y113" s="6">
        <f>Summary!Y113</f>
        <v/>
      </c>
      <c r="Z113" s="6">
        <f>Summary!Z113</f>
        <v/>
      </c>
      <c r="AA113" s="6">
        <f>Summary!AA113</f>
        <v/>
      </c>
      <c r="AB113" s="6">
        <f>SUM(D113:AA113)</f>
        <v/>
      </c>
      <c r="AC113" s="3" t="inlineStr"/>
      <c r="AD113" s="7">
        <f>AA113*0.00028565</f>
        <v/>
      </c>
      <c r="AE113" s="7">
        <f>D113*0.00028565</f>
        <v/>
      </c>
      <c r="AF113" s="7">
        <f>E113*0.00028565</f>
        <v/>
      </c>
      <c r="AG113" s="7">
        <f>F113*0.00028565</f>
        <v/>
      </c>
      <c r="AH113" s="7">
        <f>G113*0.00028565</f>
        <v/>
      </c>
      <c r="AI113" s="7">
        <f>H113*0.00028565</f>
        <v/>
      </c>
      <c r="AJ113" s="7">
        <f>I113*0.00028565</f>
        <v/>
      </c>
      <c r="AK113" s="7">
        <f>J113*0.00028565</f>
        <v/>
      </c>
      <c r="AL113" s="7">
        <f>K113*0.00028565</f>
        <v/>
      </c>
      <c r="AM113" s="7">
        <f>L113*0.00028565</f>
        <v/>
      </c>
      <c r="AN113" s="7">
        <f>M113*0.00028565</f>
        <v/>
      </c>
      <c r="AO113" s="7">
        <f>N113*0.00028565</f>
        <v/>
      </c>
      <c r="AP113" s="7">
        <f>O113*0.00028565</f>
        <v/>
      </c>
      <c r="AQ113" s="7">
        <f>P113*0.00028565</f>
        <v/>
      </c>
      <c r="AR113" s="7">
        <f>Q113*0.00028565</f>
        <v/>
      </c>
      <c r="AS113" s="7">
        <f>R113*0.00028565</f>
        <v/>
      </c>
      <c r="AT113" s="7">
        <f>S113*0.00028565</f>
        <v/>
      </c>
      <c r="AU113" s="7">
        <f>T113*0.00028565</f>
        <v/>
      </c>
      <c r="AV113" s="7">
        <f>U113*0.00028565</f>
        <v/>
      </c>
      <c r="AW113" s="7">
        <f>V113*0.00028565</f>
        <v/>
      </c>
      <c r="AX113" s="7">
        <f>W113*0.00028565</f>
        <v/>
      </c>
      <c r="AY113" s="7">
        <f>X113*0.00028565</f>
        <v/>
      </c>
      <c r="AZ113" s="7">
        <f>Y113*0.00028565</f>
        <v/>
      </c>
      <c r="BA113" s="7">
        <f>Z113*0.00028565</f>
        <v/>
      </c>
      <c r="BB113" s="7">
        <f>SUM(AD113:BA113)</f>
        <v/>
      </c>
    </row>
    <row r="114">
      <c r="A114" t="inlineStr">
        <is>
          <t>DC-10-1</t>
        </is>
      </c>
      <c r="B114" t="inlineStr">
        <is>
          <t>DSC Manual</t>
        </is>
      </c>
      <c r="C114" s="5" t="n">
        <v>46092</v>
      </c>
      <c r="D114" s="6">
        <f>Summary!D114</f>
        <v/>
      </c>
      <c r="E114" s="6">
        <f>Summary!E114</f>
        <v/>
      </c>
      <c r="F114" s="6">
        <f>Summary!F114</f>
        <v/>
      </c>
      <c r="G114" s="6">
        <f>Summary!G114</f>
        <v/>
      </c>
      <c r="H114" s="6">
        <f>Summary!H114</f>
        <v/>
      </c>
      <c r="I114" s="6">
        <f>Summary!I114</f>
        <v/>
      </c>
      <c r="J114" s="6">
        <f>Summary!J114</f>
        <v/>
      </c>
      <c r="K114" s="6">
        <f>Summary!K114</f>
        <v/>
      </c>
      <c r="L114" s="6">
        <f>Summary!L114</f>
        <v/>
      </c>
      <c r="M114" s="6">
        <f>Summary!M114</f>
        <v/>
      </c>
      <c r="N114" s="6">
        <f>Summary!N114</f>
        <v/>
      </c>
      <c r="O114" s="6">
        <f>Summary!O114</f>
        <v/>
      </c>
      <c r="P114" s="6">
        <f>Summary!P114</f>
        <v/>
      </c>
      <c r="Q114" s="6">
        <f>Summary!Q114</f>
        <v/>
      </c>
      <c r="R114" s="6">
        <f>Summary!R114</f>
        <v/>
      </c>
      <c r="S114" s="6">
        <f>Summary!S114</f>
        <v/>
      </c>
      <c r="T114" s="6">
        <f>Summary!T114</f>
        <v/>
      </c>
      <c r="U114" s="6">
        <f>Summary!U114</f>
        <v/>
      </c>
      <c r="V114" s="6">
        <f>Summary!V114</f>
        <v/>
      </c>
      <c r="W114" s="6">
        <f>Summary!W114</f>
        <v/>
      </c>
      <c r="X114" s="6">
        <f>Summary!X114</f>
        <v/>
      </c>
      <c r="Y114" s="6">
        <f>Summary!Y114</f>
        <v/>
      </c>
      <c r="Z114" s="6">
        <f>Summary!Z114</f>
        <v/>
      </c>
      <c r="AA114" s="6">
        <f>Summary!AA114</f>
        <v/>
      </c>
      <c r="AB114" s="6">
        <f>SUM(D114:AA114)</f>
        <v/>
      </c>
      <c r="AC114" s="3" t="inlineStr"/>
      <c r="AD114" s="7">
        <f>AA114*0.00028565</f>
        <v/>
      </c>
      <c r="AE114" s="7">
        <f>D114*0.00028565</f>
        <v/>
      </c>
      <c r="AF114" s="7">
        <f>E114*0.00028565</f>
        <v/>
      </c>
      <c r="AG114" s="7">
        <f>F114*0.00028565</f>
        <v/>
      </c>
      <c r="AH114" s="7">
        <f>G114*0.00028565</f>
        <v/>
      </c>
      <c r="AI114" s="7">
        <f>H114*0.00028565</f>
        <v/>
      </c>
      <c r="AJ114" s="7">
        <f>I114*0.00028565</f>
        <v/>
      </c>
      <c r="AK114" s="7">
        <f>J114*0.00028565</f>
        <v/>
      </c>
      <c r="AL114" s="7">
        <f>K114*0.00028565</f>
        <v/>
      </c>
      <c r="AM114" s="7">
        <f>L114*0.00028565</f>
        <v/>
      </c>
      <c r="AN114" s="7">
        <f>M114*0.00028565</f>
        <v/>
      </c>
      <c r="AO114" s="7">
        <f>N114*0.00028565</f>
        <v/>
      </c>
      <c r="AP114" s="7">
        <f>O114*0.00028565</f>
        <v/>
      </c>
      <c r="AQ114" s="7">
        <f>P114*0.00028565</f>
        <v/>
      </c>
      <c r="AR114" s="7">
        <f>Q114*0.00028565</f>
        <v/>
      </c>
      <c r="AS114" s="7">
        <f>R114*0.00028565</f>
        <v/>
      </c>
      <c r="AT114" s="7">
        <f>S114*0.00028565</f>
        <v/>
      </c>
      <c r="AU114" s="7">
        <f>T114*0.00028565</f>
        <v/>
      </c>
      <c r="AV114" s="7">
        <f>U114*0.00028565</f>
        <v/>
      </c>
      <c r="AW114" s="7">
        <f>V114*0.00028565</f>
        <v/>
      </c>
      <c r="AX114" s="7">
        <f>W114*0.00028565</f>
        <v/>
      </c>
      <c r="AY114" s="7">
        <f>X114*0.00028565</f>
        <v/>
      </c>
      <c r="AZ114" s="7">
        <f>Y114*0.00028565</f>
        <v/>
      </c>
      <c r="BA114" s="7">
        <f>Z114*0.00028565</f>
        <v/>
      </c>
      <c r="BB114" s="7">
        <f>SUM(AD114:BA114)</f>
        <v/>
      </c>
    </row>
    <row r="115">
      <c r="A115" t="inlineStr">
        <is>
          <t>DC-10-1</t>
        </is>
      </c>
      <c r="B115" t="inlineStr">
        <is>
          <t>DSC Manual</t>
        </is>
      </c>
      <c r="C115" s="5" t="n">
        <v>46093</v>
      </c>
      <c r="D115" s="6">
        <f>Summary!D115</f>
        <v/>
      </c>
      <c r="E115" s="6">
        <f>Summary!E115</f>
        <v/>
      </c>
      <c r="F115" s="6">
        <f>Summary!F115</f>
        <v/>
      </c>
      <c r="G115" s="6">
        <f>Summary!G115</f>
        <v/>
      </c>
      <c r="H115" s="6">
        <f>Summary!H115</f>
        <v/>
      </c>
      <c r="I115" s="6">
        <f>Summary!I115</f>
        <v/>
      </c>
      <c r="J115" s="6">
        <f>Summary!J115</f>
        <v/>
      </c>
      <c r="K115" s="6">
        <f>Summary!K115</f>
        <v/>
      </c>
      <c r="L115" s="6">
        <f>Summary!L115</f>
        <v/>
      </c>
      <c r="M115" s="6">
        <f>Summary!M115</f>
        <v/>
      </c>
      <c r="N115" s="6">
        <f>Summary!N115</f>
        <v/>
      </c>
      <c r="O115" s="6">
        <f>Summary!O115</f>
        <v/>
      </c>
      <c r="P115" s="6">
        <f>Summary!P115</f>
        <v/>
      </c>
      <c r="Q115" s="6">
        <f>Summary!Q115</f>
        <v/>
      </c>
      <c r="R115" s="6">
        <f>Summary!R115</f>
        <v/>
      </c>
      <c r="S115" s="6">
        <f>Summary!S115</f>
        <v/>
      </c>
      <c r="T115" s="6">
        <f>Summary!T115</f>
        <v/>
      </c>
      <c r="U115" s="6">
        <f>Summary!U115</f>
        <v/>
      </c>
      <c r="V115" s="6">
        <f>Summary!V115</f>
        <v/>
      </c>
      <c r="W115" s="6">
        <f>Summary!W115</f>
        <v/>
      </c>
      <c r="X115" s="6">
        <f>Summary!X115</f>
        <v/>
      </c>
      <c r="Y115" s="6">
        <f>Summary!Y115</f>
        <v/>
      </c>
      <c r="Z115" s="6">
        <f>Summary!Z115</f>
        <v/>
      </c>
      <c r="AA115" s="6">
        <f>Summary!AA115</f>
        <v/>
      </c>
      <c r="AB115" s="6">
        <f>SUM(D115:AA115)</f>
        <v/>
      </c>
      <c r="AC115" s="3" t="inlineStr"/>
      <c r="AD115" s="7">
        <f>AA115*0.00028565</f>
        <v/>
      </c>
      <c r="AE115" s="7">
        <f>D115*0.00028565</f>
        <v/>
      </c>
      <c r="AF115" s="7">
        <f>E115*0.00028565</f>
        <v/>
      </c>
      <c r="AG115" s="7">
        <f>F115*0.00028565</f>
        <v/>
      </c>
      <c r="AH115" s="7">
        <f>G115*0.00028565</f>
        <v/>
      </c>
      <c r="AI115" s="7">
        <f>H115*0.00028565</f>
        <v/>
      </c>
      <c r="AJ115" s="7">
        <f>I115*0.00028565</f>
        <v/>
      </c>
      <c r="AK115" s="7">
        <f>J115*0.00028565</f>
        <v/>
      </c>
      <c r="AL115" s="7">
        <f>K115*0.00028565</f>
        <v/>
      </c>
      <c r="AM115" s="7">
        <f>L115*0.00028565</f>
        <v/>
      </c>
      <c r="AN115" s="7">
        <f>M115*0.00028565</f>
        <v/>
      </c>
      <c r="AO115" s="7">
        <f>N115*0.00028565</f>
        <v/>
      </c>
      <c r="AP115" s="7">
        <f>O115*0.00028565</f>
        <v/>
      </c>
      <c r="AQ115" s="7">
        <f>P115*0.00028565</f>
        <v/>
      </c>
      <c r="AR115" s="7">
        <f>Q115*0.00028565</f>
        <v/>
      </c>
      <c r="AS115" s="7">
        <f>R115*0.00028565</f>
        <v/>
      </c>
      <c r="AT115" s="7">
        <f>S115*0.00028565</f>
        <v/>
      </c>
      <c r="AU115" s="7">
        <f>T115*0.00028565</f>
        <v/>
      </c>
      <c r="AV115" s="7">
        <f>U115*0.00028565</f>
        <v/>
      </c>
      <c r="AW115" s="7">
        <f>V115*0.00028565</f>
        <v/>
      </c>
      <c r="AX115" s="7">
        <f>W115*0.00028565</f>
        <v/>
      </c>
      <c r="AY115" s="7">
        <f>X115*0.00028565</f>
        <v/>
      </c>
      <c r="AZ115" s="7">
        <f>Y115*0.00028565</f>
        <v/>
      </c>
      <c r="BA115" s="7">
        <f>Z115*0.00028565</f>
        <v/>
      </c>
      <c r="BB115" s="7">
        <f>SUM(AD115:BA115)</f>
        <v/>
      </c>
    </row>
    <row r="116">
      <c r="A116" t="inlineStr">
        <is>
          <t>DC-10-1</t>
        </is>
      </c>
      <c r="B116" t="inlineStr">
        <is>
          <t>DSC Manual</t>
        </is>
      </c>
      <c r="C116" s="5" t="n">
        <v>46094</v>
      </c>
      <c r="D116" s="6">
        <f>Summary!D116</f>
        <v/>
      </c>
      <c r="E116" s="6">
        <f>Summary!E116</f>
        <v/>
      </c>
      <c r="F116" s="6">
        <f>Summary!F116</f>
        <v/>
      </c>
      <c r="G116" s="6">
        <f>Summary!G116</f>
        <v/>
      </c>
      <c r="H116" s="6">
        <f>Summary!H116</f>
        <v/>
      </c>
      <c r="I116" s="6">
        <f>Summary!I116</f>
        <v/>
      </c>
      <c r="J116" s="6">
        <f>Summary!J116</f>
        <v/>
      </c>
      <c r="K116" s="6">
        <f>Summary!K116</f>
        <v/>
      </c>
      <c r="L116" s="6">
        <f>Summary!L116</f>
        <v/>
      </c>
      <c r="M116" s="6">
        <f>Summary!M116</f>
        <v/>
      </c>
      <c r="N116" s="6">
        <f>Summary!N116</f>
        <v/>
      </c>
      <c r="O116" s="6">
        <f>Summary!O116</f>
        <v/>
      </c>
      <c r="P116" s="6">
        <f>Summary!P116</f>
        <v/>
      </c>
      <c r="Q116" s="6">
        <f>Summary!Q116</f>
        <v/>
      </c>
      <c r="R116" s="6">
        <f>Summary!R116</f>
        <v/>
      </c>
      <c r="S116" s="6">
        <f>Summary!S116</f>
        <v/>
      </c>
      <c r="T116" s="6">
        <f>Summary!T116</f>
        <v/>
      </c>
      <c r="U116" s="6">
        <f>Summary!U116</f>
        <v/>
      </c>
      <c r="V116" s="6">
        <f>Summary!V116</f>
        <v/>
      </c>
      <c r="W116" s="6">
        <f>Summary!W116</f>
        <v/>
      </c>
      <c r="X116" s="6">
        <f>Summary!X116</f>
        <v/>
      </c>
      <c r="Y116" s="6">
        <f>Summary!Y116</f>
        <v/>
      </c>
      <c r="Z116" s="6">
        <f>Summary!Z116</f>
        <v/>
      </c>
      <c r="AA116" s="6">
        <f>Summary!AA116</f>
        <v/>
      </c>
      <c r="AB116" s="6">
        <f>SUM(D116:AA116)</f>
        <v/>
      </c>
      <c r="AC116" s="3" t="inlineStr"/>
      <c r="AD116" s="7">
        <f>AA116*0.00028565</f>
        <v/>
      </c>
      <c r="AE116" s="7">
        <f>D116*0.00028565</f>
        <v/>
      </c>
      <c r="AF116" s="7">
        <f>E116*0.00028565</f>
        <v/>
      </c>
      <c r="AG116" s="7">
        <f>F116*0.00028565</f>
        <v/>
      </c>
      <c r="AH116" s="7">
        <f>G116*0.00028565</f>
        <v/>
      </c>
      <c r="AI116" s="7">
        <f>H116*0.00028565</f>
        <v/>
      </c>
      <c r="AJ116" s="7">
        <f>I116*0.00028565</f>
        <v/>
      </c>
      <c r="AK116" s="7">
        <f>J116*0.00028565</f>
        <v/>
      </c>
      <c r="AL116" s="7">
        <f>K116*0.00028565</f>
        <v/>
      </c>
      <c r="AM116" s="7">
        <f>L116*0.00028565</f>
        <v/>
      </c>
      <c r="AN116" s="7">
        <f>M116*0.00028565</f>
        <v/>
      </c>
      <c r="AO116" s="7">
        <f>N116*0.00028565</f>
        <v/>
      </c>
      <c r="AP116" s="7">
        <f>O116*0.00028565</f>
        <v/>
      </c>
      <c r="AQ116" s="7">
        <f>P116*0.00028565</f>
        <v/>
      </c>
      <c r="AR116" s="7">
        <f>Q116*0.00028565</f>
        <v/>
      </c>
      <c r="AS116" s="7">
        <f>R116*0.00028565</f>
        <v/>
      </c>
      <c r="AT116" s="7">
        <f>S116*0.00028565</f>
        <v/>
      </c>
      <c r="AU116" s="7">
        <f>T116*0.00028565</f>
        <v/>
      </c>
      <c r="AV116" s="7">
        <f>U116*0.00028565</f>
        <v/>
      </c>
      <c r="AW116" s="7">
        <f>V116*0.00028565</f>
        <v/>
      </c>
      <c r="AX116" s="7">
        <f>W116*0.00028565</f>
        <v/>
      </c>
      <c r="AY116" s="7">
        <f>X116*0.00028565</f>
        <v/>
      </c>
      <c r="AZ116" s="7">
        <f>Y116*0.00028565</f>
        <v/>
      </c>
      <c r="BA116" s="7">
        <f>Z116*0.00028565</f>
        <v/>
      </c>
      <c r="BB116" s="7">
        <f>SUM(AD116:BA116)</f>
        <v/>
      </c>
    </row>
    <row r="117">
      <c r="A117" t="inlineStr">
        <is>
          <t>DC-10-1</t>
        </is>
      </c>
      <c r="B117" t="inlineStr">
        <is>
          <t>DSC Manual</t>
        </is>
      </c>
      <c r="C117" s="5" t="n">
        <v>46095</v>
      </c>
      <c r="D117" s="6">
        <f>Summary!D117</f>
        <v/>
      </c>
      <c r="E117" s="6">
        <f>Summary!E117</f>
        <v/>
      </c>
      <c r="F117" s="6">
        <f>Summary!F117</f>
        <v/>
      </c>
      <c r="G117" s="6">
        <f>Summary!G117</f>
        <v/>
      </c>
      <c r="H117" s="6">
        <f>Summary!H117</f>
        <v/>
      </c>
      <c r="I117" s="6">
        <f>Summary!I117</f>
        <v/>
      </c>
      <c r="J117" s="6">
        <f>Summary!J117</f>
        <v/>
      </c>
      <c r="K117" s="6">
        <f>Summary!K117</f>
        <v/>
      </c>
      <c r="L117" s="6">
        <f>Summary!L117</f>
        <v/>
      </c>
      <c r="M117" s="6">
        <f>Summary!M117</f>
        <v/>
      </c>
      <c r="N117" s="6">
        <f>Summary!N117</f>
        <v/>
      </c>
      <c r="O117" s="6">
        <f>Summary!O117</f>
        <v/>
      </c>
      <c r="P117" s="6">
        <f>Summary!P117</f>
        <v/>
      </c>
      <c r="Q117" s="6">
        <f>Summary!Q117</f>
        <v/>
      </c>
      <c r="R117" s="6">
        <f>Summary!R117</f>
        <v/>
      </c>
      <c r="S117" s="6">
        <f>Summary!S117</f>
        <v/>
      </c>
      <c r="T117" s="6">
        <f>Summary!T117</f>
        <v/>
      </c>
      <c r="U117" s="6">
        <f>Summary!U117</f>
        <v/>
      </c>
      <c r="V117" s="6">
        <f>Summary!V117</f>
        <v/>
      </c>
      <c r="W117" s="6">
        <f>Summary!W117</f>
        <v/>
      </c>
      <c r="X117" s="6">
        <f>Summary!X117</f>
        <v/>
      </c>
      <c r="Y117" s="6">
        <f>Summary!Y117</f>
        <v/>
      </c>
      <c r="Z117" s="6">
        <f>Summary!Z117</f>
        <v/>
      </c>
      <c r="AA117" s="6">
        <f>Summary!AA117</f>
        <v/>
      </c>
      <c r="AB117" s="6">
        <f>SUM(D117:AA117)</f>
        <v/>
      </c>
      <c r="AC117" s="3" t="inlineStr"/>
      <c r="AD117" s="7">
        <f>AA117*0.00028565</f>
        <v/>
      </c>
      <c r="AE117" s="7">
        <f>D117*0.00028565</f>
        <v/>
      </c>
      <c r="AF117" s="7">
        <f>E117*0.00028565</f>
        <v/>
      </c>
      <c r="AG117" s="7">
        <f>F117*0.00028565</f>
        <v/>
      </c>
      <c r="AH117" s="7">
        <f>G117*0.00028565</f>
        <v/>
      </c>
      <c r="AI117" s="7">
        <f>H117*0.00028565</f>
        <v/>
      </c>
      <c r="AJ117" s="7">
        <f>I117*0.00028565</f>
        <v/>
      </c>
      <c r="AK117" s="7">
        <f>J117*0.00028565</f>
        <v/>
      </c>
      <c r="AL117" s="7">
        <f>K117*0.00028565</f>
        <v/>
      </c>
      <c r="AM117" s="7">
        <f>L117*0.00028565</f>
        <v/>
      </c>
      <c r="AN117" s="7">
        <f>M117*0.00028565</f>
        <v/>
      </c>
      <c r="AO117" s="7">
        <f>N117*0.00028565</f>
        <v/>
      </c>
      <c r="AP117" s="7">
        <f>O117*0.00028565</f>
        <v/>
      </c>
      <c r="AQ117" s="7">
        <f>P117*0.00028565</f>
        <v/>
      </c>
      <c r="AR117" s="7">
        <f>Q117*0.00028565</f>
        <v/>
      </c>
      <c r="AS117" s="7">
        <f>R117*0.00028565</f>
        <v/>
      </c>
      <c r="AT117" s="7">
        <f>S117*0.00028565</f>
        <v/>
      </c>
      <c r="AU117" s="7">
        <f>T117*0.00028565</f>
        <v/>
      </c>
      <c r="AV117" s="7">
        <f>U117*0.00028565</f>
        <v/>
      </c>
      <c r="AW117" s="7">
        <f>V117*0.00028565</f>
        <v/>
      </c>
      <c r="AX117" s="7">
        <f>W117*0.00028565</f>
        <v/>
      </c>
      <c r="AY117" s="7">
        <f>X117*0.00028565</f>
        <v/>
      </c>
      <c r="AZ117" s="7">
        <f>Y117*0.00028565</f>
        <v/>
      </c>
      <c r="BA117" s="7">
        <f>Z117*0.00028565</f>
        <v/>
      </c>
      <c r="BB117" s="7">
        <f>SUM(AD117:BA117)</f>
        <v/>
      </c>
    </row>
    <row r="118">
      <c r="A118" t="inlineStr">
        <is>
          <t>DC-10-1</t>
        </is>
      </c>
      <c r="B118" t="inlineStr">
        <is>
          <t>DSC Manual</t>
        </is>
      </c>
      <c r="C118" s="5" t="n">
        <v>46096</v>
      </c>
      <c r="D118" s="6">
        <f>Summary!D118</f>
        <v/>
      </c>
      <c r="E118" s="6">
        <f>Summary!E118</f>
        <v/>
      </c>
      <c r="F118" s="6">
        <f>Summary!F118</f>
        <v/>
      </c>
      <c r="G118" s="6">
        <f>Summary!G118</f>
        <v/>
      </c>
      <c r="H118" s="6">
        <f>Summary!H118</f>
        <v/>
      </c>
      <c r="I118" s="6">
        <f>Summary!I118</f>
        <v/>
      </c>
      <c r="J118" s="6">
        <f>Summary!J118</f>
        <v/>
      </c>
      <c r="K118" s="6">
        <f>Summary!K118</f>
        <v/>
      </c>
      <c r="L118" s="6">
        <f>Summary!L118</f>
        <v/>
      </c>
      <c r="M118" s="6">
        <f>Summary!M118</f>
        <v/>
      </c>
      <c r="N118" s="6">
        <f>Summary!N118</f>
        <v/>
      </c>
      <c r="O118" s="6">
        <f>Summary!O118</f>
        <v/>
      </c>
      <c r="P118" s="6">
        <f>Summary!P118</f>
        <v/>
      </c>
      <c r="Q118" s="6">
        <f>Summary!Q118</f>
        <v/>
      </c>
      <c r="R118" s="6">
        <f>Summary!R118</f>
        <v/>
      </c>
      <c r="S118" s="6">
        <f>Summary!S118</f>
        <v/>
      </c>
      <c r="T118" s="6">
        <f>Summary!T118</f>
        <v/>
      </c>
      <c r="U118" s="6">
        <f>Summary!U118</f>
        <v/>
      </c>
      <c r="V118" s="6">
        <f>Summary!V118</f>
        <v/>
      </c>
      <c r="W118" s="6">
        <f>Summary!W118</f>
        <v/>
      </c>
      <c r="X118" s="6">
        <f>Summary!X118</f>
        <v/>
      </c>
      <c r="Y118" s="6">
        <f>Summary!Y118</f>
        <v/>
      </c>
      <c r="Z118" s="6">
        <f>Summary!Z118</f>
        <v/>
      </c>
      <c r="AA118" s="6">
        <f>Summary!AA118</f>
        <v/>
      </c>
      <c r="AB118" s="6">
        <f>SUM(D118:AA118)</f>
        <v/>
      </c>
      <c r="AC118" s="3" t="inlineStr"/>
      <c r="AD118" s="7">
        <f>AA118*0.00028565</f>
        <v/>
      </c>
      <c r="AE118" s="7">
        <f>D118*0.00028565</f>
        <v/>
      </c>
      <c r="AF118" s="7">
        <f>E118*0.00028565</f>
        <v/>
      </c>
      <c r="AG118" s="7">
        <f>F118*0.00028565</f>
        <v/>
      </c>
      <c r="AH118" s="7">
        <f>G118*0.00028565</f>
        <v/>
      </c>
      <c r="AI118" s="7">
        <f>H118*0.00028565</f>
        <v/>
      </c>
      <c r="AJ118" s="7">
        <f>I118*0.00028565</f>
        <v/>
      </c>
      <c r="AK118" s="7">
        <f>J118*0.00028565</f>
        <v/>
      </c>
      <c r="AL118" s="7">
        <f>K118*0.00028565</f>
        <v/>
      </c>
      <c r="AM118" s="7">
        <f>L118*0.00028565</f>
        <v/>
      </c>
      <c r="AN118" s="7">
        <f>M118*0.00028565</f>
        <v/>
      </c>
      <c r="AO118" s="7">
        <f>N118*0.00028565</f>
        <v/>
      </c>
      <c r="AP118" s="7">
        <f>O118*0.00028565</f>
        <v/>
      </c>
      <c r="AQ118" s="7">
        <f>P118*0.00028565</f>
        <v/>
      </c>
      <c r="AR118" s="7">
        <f>Q118*0.00028565</f>
        <v/>
      </c>
      <c r="AS118" s="7">
        <f>R118*0.00028565</f>
        <v/>
      </c>
      <c r="AT118" s="7">
        <f>S118*0.00028565</f>
        <v/>
      </c>
      <c r="AU118" s="7">
        <f>T118*0.00028565</f>
        <v/>
      </c>
      <c r="AV118" s="7">
        <f>U118*0.00028565</f>
        <v/>
      </c>
      <c r="AW118" s="7">
        <f>V118*0.00028565</f>
        <v/>
      </c>
      <c r="AX118" s="7">
        <f>W118*0.00028565</f>
        <v/>
      </c>
      <c r="AY118" s="7">
        <f>X118*0.00028565</f>
        <v/>
      </c>
      <c r="AZ118" s="7">
        <f>Y118*0.00028565</f>
        <v/>
      </c>
      <c r="BA118" s="7">
        <f>Z118*0.00028565</f>
        <v/>
      </c>
      <c r="BB118" s="7">
        <f>SUM(AD118:BA118)</f>
        <v/>
      </c>
    </row>
    <row r="119">
      <c r="A119" t="inlineStr">
        <is>
          <t>DC-10-1</t>
        </is>
      </c>
      <c r="B119" t="inlineStr">
        <is>
          <t>DSC Manual</t>
        </is>
      </c>
      <c r="C119" s="5" t="n">
        <v>46097</v>
      </c>
      <c r="D119" s="6">
        <f>Summary!D119</f>
        <v/>
      </c>
      <c r="E119" s="6">
        <f>Summary!E119</f>
        <v/>
      </c>
      <c r="F119" s="6">
        <f>Summary!F119</f>
        <v/>
      </c>
      <c r="G119" s="6">
        <f>Summary!G119</f>
        <v/>
      </c>
      <c r="H119" s="6">
        <f>Summary!H119</f>
        <v/>
      </c>
      <c r="I119" s="6">
        <f>Summary!I119</f>
        <v/>
      </c>
      <c r="J119" s="6">
        <f>Summary!J119</f>
        <v/>
      </c>
      <c r="K119" s="6">
        <f>Summary!K119</f>
        <v/>
      </c>
      <c r="L119" s="6">
        <f>Summary!L119</f>
        <v/>
      </c>
      <c r="M119" s="6">
        <f>Summary!M119</f>
        <v/>
      </c>
      <c r="N119" s="6">
        <f>Summary!N119</f>
        <v/>
      </c>
      <c r="O119" s="6">
        <f>Summary!O119</f>
        <v/>
      </c>
      <c r="P119" s="6">
        <f>Summary!P119</f>
        <v/>
      </c>
      <c r="Q119" s="6">
        <f>Summary!Q119</f>
        <v/>
      </c>
      <c r="R119" s="6">
        <f>Summary!R119</f>
        <v/>
      </c>
      <c r="S119" s="6">
        <f>Summary!S119</f>
        <v/>
      </c>
      <c r="T119" s="6">
        <f>Summary!T119</f>
        <v/>
      </c>
      <c r="U119" s="6">
        <f>Summary!U119</f>
        <v/>
      </c>
      <c r="V119" s="6">
        <f>Summary!V119</f>
        <v/>
      </c>
      <c r="W119" s="6">
        <f>Summary!W119</f>
        <v/>
      </c>
      <c r="X119" s="6">
        <f>Summary!X119</f>
        <v/>
      </c>
      <c r="Y119" s="6">
        <f>Summary!Y119</f>
        <v/>
      </c>
      <c r="Z119" s="6">
        <f>Summary!Z119</f>
        <v/>
      </c>
      <c r="AA119" s="6">
        <f>Summary!AA119</f>
        <v/>
      </c>
      <c r="AB119" s="6">
        <f>SUM(D119:AA119)</f>
        <v/>
      </c>
      <c r="AC119" s="3" t="inlineStr"/>
      <c r="AD119" s="7">
        <f>AA119*0.00028565</f>
        <v/>
      </c>
      <c r="AE119" s="7">
        <f>D119*0.00028565</f>
        <v/>
      </c>
      <c r="AF119" s="7">
        <f>E119*0.00028565</f>
        <v/>
      </c>
      <c r="AG119" s="7">
        <f>F119*0.00028565</f>
        <v/>
      </c>
      <c r="AH119" s="7">
        <f>G119*0.00028565</f>
        <v/>
      </c>
      <c r="AI119" s="7">
        <f>H119*0.00028565</f>
        <v/>
      </c>
      <c r="AJ119" s="7">
        <f>I119*0.00028565</f>
        <v/>
      </c>
      <c r="AK119" s="7">
        <f>J119*0.00028565</f>
        <v/>
      </c>
      <c r="AL119" s="7">
        <f>K119*0.00028565</f>
        <v/>
      </c>
      <c r="AM119" s="7">
        <f>L119*0.00028565</f>
        <v/>
      </c>
      <c r="AN119" s="7">
        <f>M119*0.00028565</f>
        <v/>
      </c>
      <c r="AO119" s="7">
        <f>N119*0.00028565</f>
        <v/>
      </c>
      <c r="AP119" s="7">
        <f>O119*0.00028565</f>
        <v/>
      </c>
      <c r="AQ119" s="7">
        <f>P119*0.00028565</f>
        <v/>
      </c>
      <c r="AR119" s="7">
        <f>Q119*0.00028565</f>
        <v/>
      </c>
      <c r="AS119" s="7">
        <f>R119*0.00028565</f>
        <v/>
      </c>
      <c r="AT119" s="7">
        <f>S119*0.00028565</f>
        <v/>
      </c>
      <c r="AU119" s="7">
        <f>T119*0.00028565</f>
        <v/>
      </c>
      <c r="AV119" s="7">
        <f>U119*0.00028565</f>
        <v/>
      </c>
      <c r="AW119" s="7">
        <f>V119*0.00028565</f>
        <v/>
      </c>
      <c r="AX119" s="7">
        <f>W119*0.00028565</f>
        <v/>
      </c>
      <c r="AY119" s="7">
        <f>X119*0.00028565</f>
        <v/>
      </c>
      <c r="AZ119" s="7">
        <f>Y119*0.00028565</f>
        <v/>
      </c>
      <c r="BA119" s="7">
        <f>Z119*0.00028565</f>
        <v/>
      </c>
      <c r="BB119" s="7">
        <f>SUM(AD119:BA119)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1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Layout</t>
        </is>
      </c>
      <c r="B1" s="1" t="inlineStr">
        <is>
          <t>Layout Type</t>
        </is>
      </c>
      <c r="C1" s="1" t="inlineStr">
        <is>
          <t>Date</t>
        </is>
      </c>
      <c r="D1" s="2" t="inlineStr">
        <is>
          <t>Act Vol 12 AM</t>
        </is>
      </c>
      <c r="E1" s="2" t="inlineStr">
        <is>
          <t>Act Vol 1 AM</t>
        </is>
      </c>
      <c r="F1" s="2" t="inlineStr">
        <is>
          <t>Act Vol 2 AM</t>
        </is>
      </c>
      <c r="G1" s="2" t="inlineStr">
        <is>
          <t>Act Vol 3 AM</t>
        </is>
      </c>
      <c r="H1" s="2" t="inlineStr">
        <is>
          <t>Act Vol 4 AM</t>
        </is>
      </c>
      <c r="I1" s="2" t="inlineStr">
        <is>
          <t>Act Vol 5 AM</t>
        </is>
      </c>
      <c r="J1" s="2" t="inlineStr">
        <is>
          <t>Act Vol 6 AM</t>
        </is>
      </c>
      <c r="K1" s="2" t="inlineStr">
        <is>
          <t>Act Vol 7 AM</t>
        </is>
      </c>
      <c r="L1" s="2" t="inlineStr">
        <is>
          <t>Act Vol 8 AM</t>
        </is>
      </c>
      <c r="M1" s="2" t="inlineStr">
        <is>
          <t>Act Vol 9 AM</t>
        </is>
      </c>
      <c r="N1" s="2" t="inlineStr">
        <is>
          <t>Act Vol 10 AM</t>
        </is>
      </c>
      <c r="O1" s="2" t="inlineStr">
        <is>
          <t>Act Vol 11 AM</t>
        </is>
      </c>
      <c r="P1" s="2" t="inlineStr">
        <is>
          <t>Act Vol 12 PM</t>
        </is>
      </c>
      <c r="Q1" s="2" t="inlineStr">
        <is>
          <t>Act Vol 1 PM</t>
        </is>
      </c>
      <c r="R1" s="2" t="inlineStr">
        <is>
          <t>Act Vol 2 PM</t>
        </is>
      </c>
      <c r="S1" s="2" t="inlineStr">
        <is>
          <t>Act Vol 3 PM</t>
        </is>
      </c>
      <c r="T1" s="2" t="inlineStr">
        <is>
          <t>Act Vol 4 PM</t>
        </is>
      </c>
      <c r="U1" s="2" t="inlineStr">
        <is>
          <t>Act Vol 5 PM</t>
        </is>
      </c>
      <c r="V1" s="2" t="inlineStr">
        <is>
          <t>Act Vol 6 PM</t>
        </is>
      </c>
      <c r="W1" s="2" t="inlineStr">
        <is>
          <t>Act Vol 7 PM</t>
        </is>
      </c>
      <c r="X1" s="2" t="inlineStr">
        <is>
          <t>Act Vol 8 PM</t>
        </is>
      </c>
      <c r="Y1" s="2" t="inlineStr">
        <is>
          <t>Act Vol 9 PM</t>
        </is>
      </c>
      <c r="Z1" s="2" t="inlineStr">
        <is>
          <t>Act Vol 10 PM</t>
        </is>
      </c>
      <c r="AA1" s="2" t="inlineStr">
        <is>
          <t>Act Vol 11 PM</t>
        </is>
      </c>
      <c r="AB1" s="2" t="inlineStr">
        <is>
          <t>Act Vol Total</t>
        </is>
      </c>
      <c r="AC1" s="3" t="inlineStr"/>
      <c r="AD1" s="4" t="inlineStr">
        <is>
          <t>MH 12 AM</t>
        </is>
      </c>
      <c r="AE1" s="4" t="inlineStr">
        <is>
          <t>MH 1 AM</t>
        </is>
      </c>
      <c r="AF1" s="4" t="inlineStr">
        <is>
          <t>MH 2 AM</t>
        </is>
      </c>
      <c r="AG1" s="4" t="inlineStr">
        <is>
          <t>MH 3 AM</t>
        </is>
      </c>
      <c r="AH1" s="4" t="inlineStr">
        <is>
          <t>MH 4 AM</t>
        </is>
      </c>
      <c r="AI1" s="4" t="inlineStr">
        <is>
          <t>MH 5 AM</t>
        </is>
      </c>
      <c r="AJ1" s="4" t="inlineStr">
        <is>
          <t>MH 6 AM</t>
        </is>
      </c>
      <c r="AK1" s="4" t="inlineStr">
        <is>
          <t>MH 7 AM</t>
        </is>
      </c>
      <c r="AL1" s="4" t="inlineStr">
        <is>
          <t>MH 8 AM</t>
        </is>
      </c>
      <c r="AM1" s="4" t="inlineStr">
        <is>
          <t>MH 9 AM</t>
        </is>
      </c>
      <c r="AN1" s="4" t="inlineStr">
        <is>
          <t>MH 10 AM</t>
        </is>
      </c>
      <c r="AO1" s="4" t="inlineStr">
        <is>
          <t>MH 11 AM</t>
        </is>
      </c>
      <c r="AP1" s="4" t="inlineStr">
        <is>
          <t>MH 12 PM</t>
        </is>
      </c>
      <c r="AQ1" s="4" t="inlineStr">
        <is>
          <t>MH 1 PM</t>
        </is>
      </c>
      <c r="AR1" s="4" t="inlineStr">
        <is>
          <t>MH 2 PM</t>
        </is>
      </c>
      <c r="AS1" s="4" t="inlineStr">
        <is>
          <t>MH 3 PM</t>
        </is>
      </c>
      <c r="AT1" s="4" t="inlineStr">
        <is>
          <t>MH 4 PM</t>
        </is>
      </c>
      <c r="AU1" s="4" t="inlineStr">
        <is>
          <t>MH 5 PM</t>
        </is>
      </c>
      <c r="AV1" s="4" t="inlineStr">
        <is>
          <t>MH 6 PM</t>
        </is>
      </c>
      <c r="AW1" s="4" t="inlineStr">
        <is>
          <t>MH 7 PM</t>
        </is>
      </c>
      <c r="AX1" s="4" t="inlineStr">
        <is>
          <t>MH 8 PM</t>
        </is>
      </c>
      <c r="AY1" s="4" t="inlineStr">
        <is>
          <t>MH 9 PM</t>
        </is>
      </c>
      <c r="AZ1" s="4" t="inlineStr">
        <is>
          <t>MH 10 PM</t>
        </is>
      </c>
      <c r="BA1" s="4" t="inlineStr">
        <is>
          <t>MH 11 PM</t>
        </is>
      </c>
      <c r="BB1" s="4" t="inlineStr">
        <is>
          <t>MH Total</t>
        </is>
      </c>
    </row>
    <row r="2">
      <c r="A2" t="inlineStr">
        <is>
          <t>AMD-AIR-NEW-SSC</t>
        </is>
      </c>
      <c r="B2" t="inlineStr">
        <is>
          <t>Forward Regular OSC</t>
        </is>
      </c>
      <c r="C2" s="5" t="n">
        <v>46093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v>0</v>
      </c>
      <c r="N2" s="6" t="n">
        <v>0</v>
      </c>
      <c r="O2" s="6" t="n">
        <v>0</v>
      </c>
      <c r="P2" s="6" t="n">
        <v>0</v>
      </c>
      <c r="Q2" s="6" t="n">
        <v>0</v>
      </c>
      <c r="R2" s="6" t="n">
        <v>20</v>
      </c>
      <c r="S2" s="6" t="n">
        <v>19</v>
      </c>
      <c r="T2" s="6" t="n">
        <v>0</v>
      </c>
      <c r="U2" s="6" t="n">
        <v>0</v>
      </c>
      <c r="V2" s="6" t="n">
        <v>0</v>
      </c>
      <c r="W2" s="6" t="n">
        <v>0</v>
      </c>
      <c r="X2" s="6" t="n">
        <v>0</v>
      </c>
      <c r="Y2" s="6" t="n">
        <v>0</v>
      </c>
      <c r="Z2" s="6" t="n">
        <v>0</v>
      </c>
      <c r="AA2" s="6" t="n">
        <v>0</v>
      </c>
      <c r="AB2" s="6">
        <f>SUM(D2:AA2)</f>
        <v/>
      </c>
      <c r="AC2" s="3" t="inlineStr"/>
      <c r="AD2" s="7">
        <f>AA2*0.0042847645+D2*0.0008569529</f>
        <v/>
      </c>
      <c r="AE2" s="7">
        <f>D2*0.0042847645+E2*0.0008569529</f>
        <v/>
      </c>
      <c r="AF2" s="7">
        <f>E2*0.0042847645+F2*0.0008569529</f>
        <v/>
      </c>
      <c r="AG2" s="7">
        <f>F2*0.0042847645+G2*0.0008569529</f>
        <v/>
      </c>
      <c r="AH2" s="7">
        <f>G2*0.0042847645+H2*0.0008569529</f>
        <v/>
      </c>
      <c r="AI2" s="7">
        <f>H2*0.0042847645+I2*0.0008569529</f>
        <v/>
      </c>
      <c r="AJ2" s="7">
        <f>I2*0.0042847645+J2*0.0008569529</f>
        <v/>
      </c>
      <c r="AK2" s="7">
        <f>J2*0.0042847645+K2*0.0008569529</f>
        <v/>
      </c>
      <c r="AL2" s="7">
        <f>K2*0.0042847645+L2*0.0008569529</f>
        <v/>
      </c>
      <c r="AM2" s="7">
        <f>L2*0.0042847645+M2*0.0008569529</f>
        <v/>
      </c>
      <c r="AN2" s="7">
        <f>M2*0.0042847645+N2*0.0008569529</f>
        <v/>
      </c>
      <c r="AO2" s="7">
        <f>N2*0.0042847645+O2*0.0008569529</f>
        <v/>
      </c>
      <c r="AP2" s="7">
        <f>O2*0.0042847645+P2*0.0008569529</f>
        <v/>
      </c>
      <c r="AQ2" s="7">
        <f>P2*0.0042847645+Q2*0.0008569529</f>
        <v/>
      </c>
      <c r="AR2" s="7">
        <f>Q2*0.0042847645+R2*0.0008569529</f>
        <v/>
      </c>
      <c r="AS2" s="7">
        <f>R2*0.0042847645+S2*0.0008569529</f>
        <v/>
      </c>
      <c r="AT2" s="7">
        <f>S2*0.0042847645+T2*0.0008569529</f>
        <v/>
      </c>
      <c r="AU2" s="7">
        <f>T2*0.0042847645+U2*0.0008569529</f>
        <v/>
      </c>
      <c r="AV2" s="7">
        <f>U2*0.0042847645+V2*0.0008569529</f>
        <v/>
      </c>
      <c r="AW2" s="7">
        <f>V2*0.0042847645+W2*0.0008569529</f>
        <v/>
      </c>
      <c r="AX2" s="7">
        <f>W2*0.0042847645+X2*0.0008569529</f>
        <v/>
      </c>
      <c r="AY2" s="7">
        <f>X2*0.0042847645+Y2*0.0008569529</f>
        <v/>
      </c>
      <c r="AZ2" s="7">
        <f>Y2*0.0042847645+Z2*0.0008569529</f>
        <v/>
      </c>
      <c r="BA2" s="7">
        <f>Z2*0.0042847645+AA2*0.0008569529</f>
        <v/>
      </c>
      <c r="BB2" s="7">
        <f>SUM(AD2:BA2)</f>
        <v/>
      </c>
    </row>
    <row r="3">
      <c r="A3" t="inlineStr">
        <is>
          <t>AMD-AIR-NEW-SSC</t>
        </is>
      </c>
      <c r="B3" t="inlineStr">
        <is>
          <t>Forward Regular OSC</t>
        </is>
      </c>
      <c r="C3" s="5" t="n">
        <v>46094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29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>
        <f>SUM(D3:AA3)</f>
        <v/>
      </c>
      <c r="AC3" s="3" t="inlineStr"/>
      <c r="AD3" s="7">
        <f>AA3*0.0042847645+D3*0.0008569529</f>
        <v/>
      </c>
      <c r="AE3" s="7">
        <f>D3*0.0042847645+E3*0.0008569529</f>
        <v/>
      </c>
      <c r="AF3" s="7">
        <f>E3*0.0042847645+F3*0.0008569529</f>
        <v/>
      </c>
      <c r="AG3" s="7">
        <f>F3*0.0042847645+G3*0.0008569529</f>
        <v/>
      </c>
      <c r="AH3" s="7">
        <f>G3*0.0042847645+H3*0.0008569529</f>
        <v/>
      </c>
      <c r="AI3" s="7">
        <f>H3*0.0042847645+I3*0.0008569529</f>
        <v/>
      </c>
      <c r="AJ3" s="7">
        <f>I3*0.0042847645+J3*0.0008569529</f>
        <v/>
      </c>
      <c r="AK3" s="7">
        <f>J3*0.0042847645+K3*0.0008569529</f>
        <v/>
      </c>
      <c r="AL3" s="7">
        <f>K3*0.0042847645+L3*0.0008569529</f>
        <v/>
      </c>
      <c r="AM3" s="7">
        <f>L3*0.0042847645+M3*0.0008569529</f>
        <v/>
      </c>
      <c r="AN3" s="7">
        <f>M3*0.0042847645+N3*0.0008569529</f>
        <v/>
      </c>
      <c r="AO3" s="7">
        <f>N3*0.0042847645+O3*0.0008569529</f>
        <v/>
      </c>
      <c r="AP3" s="7">
        <f>O3*0.0042847645+P3*0.0008569529</f>
        <v/>
      </c>
      <c r="AQ3" s="7">
        <f>P3*0.0042847645+Q3*0.0008569529</f>
        <v/>
      </c>
      <c r="AR3" s="7">
        <f>Q3*0.0042847645+R3*0.0008569529</f>
        <v/>
      </c>
      <c r="AS3" s="7">
        <f>R3*0.0042847645+S3*0.0008569529</f>
        <v/>
      </c>
      <c r="AT3" s="7">
        <f>S3*0.0042847645+T3*0.0008569529</f>
        <v/>
      </c>
      <c r="AU3" s="7">
        <f>T3*0.0042847645+U3*0.0008569529</f>
        <v/>
      </c>
      <c r="AV3" s="7">
        <f>U3*0.0042847645+V3*0.0008569529</f>
        <v/>
      </c>
      <c r="AW3" s="7">
        <f>V3*0.0042847645+W3*0.0008569529</f>
        <v/>
      </c>
      <c r="AX3" s="7">
        <f>W3*0.0042847645+X3*0.0008569529</f>
        <v/>
      </c>
      <c r="AY3" s="7">
        <f>X3*0.0042847645+Y3*0.0008569529</f>
        <v/>
      </c>
      <c r="AZ3" s="7">
        <f>Y3*0.0042847645+Z3*0.0008569529</f>
        <v/>
      </c>
      <c r="BA3" s="7">
        <f>Z3*0.0042847645+AA3*0.0008569529</f>
        <v/>
      </c>
      <c r="BB3" s="7">
        <f>SUM(AD3:BA3)</f>
        <v/>
      </c>
    </row>
    <row r="4">
      <c r="A4" t="inlineStr">
        <is>
          <t>AMD-AIR-NEW-SSC</t>
        </is>
      </c>
      <c r="B4" t="inlineStr">
        <is>
          <t>Forward Regular OSC</t>
        </is>
      </c>
      <c r="C4" s="5" t="n">
        <v>46096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0</v>
      </c>
      <c r="R4" s="6" t="n">
        <v>18</v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0</v>
      </c>
      <c r="AB4" s="6">
        <f>SUM(D4:AA4)</f>
        <v/>
      </c>
      <c r="AC4" s="3" t="inlineStr"/>
      <c r="AD4" s="7">
        <f>AA4*0.0042847645+D4*0.0008569529</f>
        <v/>
      </c>
      <c r="AE4" s="7">
        <f>D4*0.0042847645+E4*0.0008569529</f>
        <v/>
      </c>
      <c r="AF4" s="7">
        <f>E4*0.0042847645+F4*0.0008569529</f>
        <v/>
      </c>
      <c r="AG4" s="7">
        <f>F4*0.0042847645+G4*0.0008569529</f>
        <v/>
      </c>
      <c r="AH4" s="7">
        <f>G4*0.0042847645+H4*0.0008569529</f>
        <v/>
      </c>
      <c r="AI4" s="7">
        <f>H4*0.0042847645+I4*0.0008569529</f>
        <v/>
      </c>
      <c r="AJ4" s="7">
        <f>I4*0.0042847645+J4*0.0008569529</f>
        <v/>
      </c>
      <c r="AK4" s="7">
        <f>J4*0.0042847645+K4*0.0008569529</f>
        <v/>
      </c>
      <c r="AL4" s="7">
        <f>K4*0.0042847645+L4*0.0008569529</f>
        <v/>
      </c>
      <c r="AM4" s="7">
        <f>L4*0.0042847645+M4*0.0008569529</f>
        <v/>
      </c>
      <c r="AN4" s="7">
        <f>M4*0.0042847645+N4*0.0008569529</f>
        <v/>
      </c>
      <c r="AO4" s="7">
        <f>N4*0.0042847645+O4*0.0008569529</f>
        <v/>
      </c>
      <c r="AP4" s="7">
        <f>O4*0.0042847645+P4*0.0008569529</f>
        <v/>
      </c>
      <c r="AQ4" s="7">
        <f>P4*0.0042847645+Q4*0.0008569529</f>
        <v/>
      </c>
      <c r="AR4" s="7">
        <f>Q4*0.0042847645+R4*0.0008569529</f>
        <v/>
      </c>
      <c r="AS4" s="7">
        <f>R4*0.0042847645+S4*0.0008569529</f>
        <v/>
      </c>
      <c r="AT4" s="7">
        <f>S4*0.0042847645+T4*0.0008569529</f>
        <v/>
      </c>
      <c r="AU4" s="7">
        <f>T4*0.0042847645+U4*0.0008569529</f>
        <v/>
      </c>
      <c r="AV4" s="7">
        <f>U4*0.0042847645+V4*0.0008569529</f>
        <v/>
      </c>
      <c r="AW4" s="7">
        <f>V4*0.0042847645+W4*0.0008569529</f>
        <v/>
      </c>
      <c r="AX4" s="7">
        <f>W4*0.0042847645+X4*0.0008569529</f>
        <v/>
      </c>
      <c r="AY4" s="7">
        <f>X4*0.0042847645+Y4*0.0008569529</f>
        <v/>
      </c>
      <c r="AZ4" s="7">
        <f>Y4*0.0042847645+Z4*0.0008569529</f>
        <v/>
      </c>
      <c r="BA4" s="7">
        <f>Z4*0.0042847645+AA4*0.0008569529</f>
        <v/>
      </c>
      <c r="BB4" s="7">
        <f>SUM(AD4:BA4)</f>
        <v/>
      </c>
    </row>
    <row r="5">
      <c r="A5" t="inlineStr">
        <is>
          <t>AMD-AIR-NEW-SSC</t>
        </is>
      </c>
      <c r="B5" t="inlineStr">
        <is>
          <t>Forward Regular OSC</t>
        </is>
      </c>
      <c r="C5" s="5" t="n">
        <v>46097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10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>
        <f>SUM(D5:AA5)</f>
        <v/>
      </c>
      <c r="AC5" s="3" t="inlineStr"/>
      <c r="AD5" s="7">
        <f>AA5*0.0042847645+D5*0.0008569529</f>
        <v/>
      </c>
      <c r="AE5" s="7">
        <f>D5*0.0042847645+E5*0.0008569529</f>
        <v/>
      </c>
      <c r="AF5" s="7">
        <f>E5*0.0042847645+F5*0.0008569529</f>
        <v/>
      </c>
      <c r="AG5" s="7">
        <f>F5*0.0042847645+G5*0.0008569529</f>
        <v/>
      </c>
      <c r="AH5" s="7">
        <f>G5*0.0042847645+H5*0.0008569529</f>
        <v/>
      </c>
      <c r="AI5" s="7">
        <f>H5*0.0042847645+I5*0.0008569529</f>
        <v/>
      </c>
      <c r="AJ5" s="7">
        <f>I5*0.0042847645+J5*0.0008569529</f>
        <v/>
      </c>
      <c r="AK5" s="7">
        <f>J5*0.0042847645+K5*0.0008569529</f>
        <v/>
      </c>
      <c r="AL5" s="7">
        <f>K5*0.0042847645+L5*0.0008569529</f>
        <v/>
      </c>
      <c r="AM5" s="7">
        <f>L5*0.0042847645+M5*0.0008569529</f>
        <v/>
      </c>
      <c r="AN5" s="7">
        <f>M5*0.0042847645+N5*0.0008569529</f>
        <v/>
      </c>
      <c r="AO5" s="7">
        <f>N5*0.0042847645+O5*0.0008569529</f>
        <v/>
      </c>
      <c r="AP5" s="7">
        <f>O5*0.0042847645+P5*0.0008569529</f>
        <v/>
      </c>
      <c r="AQ5" s="7">
        <f>P5*0.0042847645+Q5*0.0008569529</f>
        <v/>
      </c>
      <c r="AR5" s="7">
        <f>Q5*0.0042847645+R5*0.0008569529</f>
        <v/>
      </c>
      <c r="AS5" s="7">
        <f>R5*0.0042847645+S5*0.0008569529</f>
        <v/>
      </c>
      <c r="AT5" s="7">
        <f>S5*0.0042847645+T5*0.0008569529</f>
        <v/>
      </c>
      <c r="AU5" s="7">
        <f>T5*0.0042847645+U5*0.0008569529</f>
        <v/>
      </c>
      <c r="AV5" s="7">
        <f>U5*0.0042847645+V5*0.0008569529</f>
        <v/>
      </c>
      <c r="AW5" s="7">
        <f>V5*0.0042847645+W5*0.0008569529</f>
        <v/>
      </c>
      <c r="AX5" s="7">
        <f>W5*0.0042847645+X5*0.0008569529</f>
        <v/>
      </c>
      <c r="AY5" s="7">
        <f>X5*0.0042847645+Y5*0.0008569529</f>
        <v/>
      </c>
      <c r="AZ5" s="7">
        <f>Y5*0.0042847645+Z5*0.0008569529</f>
        <v/>
      </c>
      <c r="BA5" s="7">
        <f>Z5*0.0042847645+AA5*0.0008569529</f>
        <v/>
      </c>
      <c r="BB5" s="7">
        <f>SUM(AD5:BA5)</f>
        <v/>
      </c>
    </row>
    <row r="6">
      <c r="A6" t="inlineStr">
        <is>
          <t>AMD-AIR-NEW-SSC</t>
        </is>
      </c>
      <c r="B6" t="inlineStr">
        <is>
          <t>Forward Regular OSC</t>
        </is>
      </c>
      <c r="C6" s="5" t="n">
        <v>46100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15</v>
      </c>
      <c r="S6" s="6" t="n">
        <v>16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>
        <f>SUM(D6:AA6)</f>
        <v/>
      </c>
      <c r="AC6" s="3" t="inlineStr"/>
      <c r="AD6" s="7">
        <f>AA6*0.0042847645+D6*0.0008569529</f>
        <v/>
      </c>
      <c r="AE6" s="7">
        <f>D6*0.0042847645+E6*0.0008569529</f>
        <v/>
      </c>
      <c r="AF6" s="7">
        <f>E6*0.0042847645+F6*0.0008569529</f>
        <v/>
      </c>
      <c r="AG6" s="7">
        <f>F6*0.0042847645+G6*0.0008569529</f>
        <v/>
      </c>
      <c r="AH6" s="7">
        <f>G6*0.0042847645+H6*0.0008569529</f>
        <v/>
      </c>
      <c r="AI6" s="7">
        <f>H6*0.0042847645+I6*0.0008569529</f>
        <v/>
      </c>
      <c r="AJ6" s="7">
        <f>I6*0.0042847645+J6*0.0008569529</f>
        <v/>
      </c>
      <c r="AK6" s="7">
        <f>J6*0.0042847645+K6*0.0008569529</f>
        <v/>
      </c>
      <c r="AL6" s="7">
        <f>K6*0.0042847645+L6*0.0008569529</f>
        <v/>
      </c>
      <c r="AM6" s="7">
        <f>L6*0.0042847645+M6*0.0008569529</f>
        <v/>
      </c>
      <c r="AN6" s="7">
        <f>M6*0.0042847645+N6*0.0008569529</f>
        <v/>
      </c>
      <c r="AO6" s="7">
        <f>N6*0.0042847645+O6*0.0008569529</f>
        <v/>
      </c>
      <c r="AP6" s="7">
        <f>O6*0.0042847645+P6*0.0008569529</f>
        <v/>
      </c>
      <c r="AQ6" s="7">
        <f>P6*0.0042847645+Q6*0.0008569529</f>
        <v/>
      </c>
      <c r="AR6" s="7">
        <f>Q6*0.0042847645+R6*0.0008569529</f>
        <v/>
      </c>
      <c r="AS6" s="7">
        <f>R6*0.0042847645+S6*0.0008569529</f>
        <v/>
      </c>
      <c r="AT6" s="7">
        <f>S6*0.0042847645+T6*0.0008569529</f>
        <v/>
      </c>
      <c r="AU6" s="7">
        <f>T6*0.0042847645+U6*0.0008569529</f>
        <v/>
      </c>
      <c r="AV6" s="7">
        <f>U6*0.0042847645+V6*0.0008569529</f>
        <v/>
      </c>
      <c r="AW6" s="7">
        <f>V6*0.0042847645+W6*0.0008569529</f>
        <v/>
      </c>
      <c r="AX6" s="7">
        <f>W6*0.0042847645+X6*0.0008569529</f>
        <v/>
      </c>
      <c r="AY6" s="7">
        <f>X6*0.0042847645+Y6*0.0008569529</f>
        <v/>
      </c>
      <c r="AZ6" s="7">
        <f>Y6*0.0042847645+Z6*0.0008569529</f>
        <v/>
      </c>
      <c r="BA6" s="7">
        <f>Z6*0.0042847645+AA6*0.0008569529</f>
        <v/>
      </c>
      <c r="BB6" s="7">
        <f>SUM(AD6:BA6)</f>
        <v/>
      </c>
    </row>
    <row r="7">
      <c r="A7" t="inlineStr">
        <is>
          <t>AMD-AIR-NEW-SSC</t>
        </is>
      </c>
      <c r="B7" t="inlineStr">
        <is>
          <t>Forward Regular OSC</t>
        </is>
      </c>
      <c r="C7" s="5" t="n">
        <v>46101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18</v>
      </c>
      <c r="T7" s="6" t="n">
        <v>12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>
        <f>SUM(D7:AA7)</f>
        <v/>
      </c>
      <c r="AC7" s="3" t="inlineStr"/>
      <c r="AD7" s="7">
        <f>AA7*0.0042847645+D7*0.0008569529</f>
        <v/>
      </c>
      <c r="AE7" s="7">
        <f>D7*0.0042847645+E7*0.0008569529</f>
        <v/>
      </c>
      <c r="AF7" s="7">
        <f>E7*0.0042847645+F7*0.0008569529</f>
        <v/>
      </c>
      <c r="AG7" s="7">
        <f>F7*0.0042847645+G7*0.0008569529</f>
        <v/>
      </c>
      <c r="AH7" s="7">
        <f>G7*0.0042847645+H7*0.0008569529</f>
        <v/>
      </c>
      <c r="AI7" s="7">
        <f>H7*0.0042847645+I7*0.0008569529</f>
        <v/>
      </c>
      <c r="AJ7" s="7">
        <f>I7*0.0042847645+J7*0.0008569529</f>
        <v/>
      </c>
      <c r="AK7" s="7">
        <f>J7*0.0042847645+K7*0.0008569529</f>
        <v/>
      </c>
      <c r="AL7" s="7">
        <f>K7*0.0042847645+L7*0.0008569529</f>
        <v/>
      </c>
      <c r="AM7" s="7">
        <f>L7*0.0042847645+M7*0.0008569529</f>
        <v/>
      </c>
      <c r="AN7" s="7">
        <f>M7*0.0042847645+N7*0.0008569529</f>
        <v/>
      </c>
      <c r="AO7" s="7">
        <f>N7*0.0042847645+O7*0.0008569529</f>
        <v/>
      </c>
      <c r="AP7" s="7">
        <f>O7*0.0042847645+P7*0.0008569529</f>
        <v/>
      </c>
      <c r="AQ7" s="7">
        <f>P7*0.0042847645+Q7*0.0008569529</f>
        <v/>
      </c>
      <c r="AR7" s="7">
        <f>Q7*0.0042847645+R7*0.0008569529</f>
        <v/>
      </c>
      <c r="AS7" s="7">
        <f>R7*0.0042847645+S7*0.0008569529</f>
        <v/>
      </c>
      <c r="AT7" s="7">
        <f>S7*0.0042847645+T7*0.0008569529</f>
        <v/>
      </c>
      <c r="AU7" s="7">
        <f>T7*0.0042847645+U7*0.0008569529</f>
        <v/>
      </c>
      <c r="AV7" s="7">
        <f>U7*0.0042847645+V7*0.0008569529</f>
        <v/>
      </c>
      <c r="AW7" s="7">
        <f>V7*0.0042847645+W7*0.0008569529</f>
        <v/>
      </c>
      <c r="AX7" s="7">
        <f>W7*0.0042847645+X7*0.0008569529</f>
        <v/>
      </c>
      <c r="AY7" s="7">
        <f>X7*0.0042847645+Y7*0.0008569529</f>
        <v/>
      </c>
      <c r="AZ7" s="7">
        <f>Y7*0.0042847645+Z7*0.0008569529</f>
        <v/>
      </c>
      <c r="BA7" s="7">
        <f>Z7*0.0042847645+AA7*0.0008569529</f>
        <v/>
      </c>
      <c r="BB7" s="7">
        <f>SUM(AD7:BA7)</f>
        <v/>
      </c>
    </row>
    <row r="8">
      <c r="A8" t="inlineStr">
        <is>
          <t>AMD-AIR-NEW-SSC</t>
        </is>
      </c>
      <c r="B8" t="inlineStr">
        <is>
          <t>Forward Regular OSC</t>
        </is>
      </c>
      <c r="C8" s="5" t="n">
        <v>46102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3</v>
      </c>
      <c r="S8" s="6" t="n">
        <v>5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>
        <f>SUM(D8:AA8)</f>
        <v/>
      </c>
      <c r="AC8" s="3" t="inlineStr"/>
      <c r="AD8" s="7">
        <f>AA8*0.0042847645+D8*0.0008569529</f>
        <v/>
      </c>
      <c r="AE8" s="7">
        <f>D8*0.0042847645+E8*0.0008569529</f>
        <v/>
      </c>
      <c r="AF8" s="7">
        <f>E8*0.0042847645+F8*0.0008569529</f>
        <v/>
      </c>
      <c r="AG8" s="7">
        <f>F8*0.0042847645+G8*0.0008569529</f>
        <v/>
      </c>
      <c r="AH8" s="7">
        <f>G8*0.0042847645+H8*0.0008569529</f>
        <v/>
      </c>
      <c r="AI8" s="7">
        <f>H8*0.0042847645+I8*0.0008569529</f>
        <v/>
      </c>
      <c r="AJ8" s="7">
        <f>I8*0.0042847645+J8*0.0008569529</f>
        <v/>
      </c>
      <c r="AK8" s="7">
        <f>J8*0.0042847645+K8*0.0008569529</f>
        <v/>
      </c>
      <c r="AL8" s="7">
        <f>K8*0.0042847645+L8*0.0008569529</f>
        <v/>
      </c>
      <c r="AM8" s="7">
        <f>L8*0.0042847645+M8*0.0008569529</f>
        <v/>
      </c>
      <c r="AN8" s="7">
        <f>M8*0.0042847645+N8*0.0008569529</f>
        <v/>
      </c>
      <c r="AO8" s="7">
        <f>N8*0.0042847645+O8*0.0008569529</f>
        <v/>
      </c>
      <c r="AP8" s="7">
        <f>O8*0.0042847645+P8*0.0008569529</f>
        <v/>
      </c>
      <c r="AQ8" s="7">
        <f>P8*0.0042847645+Q8*0.0008569529</f>
        <v/>
      </c>
      <c r="AR8" s="7">
        <f>Q8*0.0042847645+R8*0.0008569529</f>
        <v/>
      </c>
      <c r="AS8" s="7">
        <f>R8*0.0042847645+S8*0.0008569529</f>
        <v/>
      </c>
      <c r="AT8" s="7">
        <f>S8*0.0042847645+T8*0.0008569529</f>
        <v/>
      </c>
      <c r="AU8" s="7">
        <f>T8*0.0042847645+U8*0.0008569529</f>
        <v/>
      </c>
      <c r="AV8" s="7">
        <f>U8*0.0042847645+V8*0.0008569529</f>
        <v/>
      </c>
      <c r="AW8" s="7">
        <f>V8*0.0042847645+W8*0.0008569529</f>
        <v/>
      </c>
      <c r="AX8" s="7">
        <f>W8*0.0042847645+X8*0.0008569529</f>
        <v/>
      </c>
      <c r="AY8" s="7">
        <f>X8*0.0042847645+Y8*0.0008569529</f>
        <v/>
      </c>
      <c r="AZ8" s="7">
        <f>Y8*0.0042847645+Z8*0.0008569529</f>
        <v/>
      </c>
      <c r="BA8" s="7">
        <f>Z8*0.0042847645+AA8*0.0008569529</f>
        <v/>
      </c>
      <c r="BB8" s="7">
        <f>SUM(AD8:BA8)</f>
        <v/>
      </c>
    </row>
    <row r="9">
      <c r="A9" t="inlineStr">
        <is>
          <t>AMD-AIR-NEW-SSC</t>
        </is>
      </c>
      <c r="B9" t="inlineStr">
        <is>
          <t>Forward Regular OSC</t>
        </is>
      </c>
      <c r="C9" s="5" t="n">
        <v>46103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9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>
        <f>SUM(D9:AA9)</f>
        <v/>
      </c>
      <c r="AC9" s="3" t="inlineStr"/>
      <c r="AD9" s="7">
        <f>AA9*0.0042847645+D9*0.0008569529</f>
        <v/>
      </c>
      <c r="AE9" s="7">
        <f>D9*0.0042847645+E9*0.0008569529</f>
        <v/>
      </c>
      <c r="AF9" s="7">
        <f>E9*0.0042847645+F9*0.0008569529</f>
        <v/>
      </c>
      <c r="AG9" s="7">
        <f>F9*0.0042847645+G9*0.0008569529</f>
        <v/>
      </c>
      <c r="AH9" s="7">
        <f>G9*0.0042847645+H9*0.0008569529</f>
        <v/>
      </c>
      <c r="AI9" s="7">
        <f>H9*0.0042847645+I9*0.0008569529</f>
        <v/>
      </c>
      <c r="AJ9" s="7">
        <f>I9*0.0042847645+J9*0.0008569529</f>
        <v/>
      </c>
      <c r="AK9" s="7">
        <f>J9*0.0042847645+K9*0.0008569529</f>
        <v/>
      </c>
      <c r="AL9" s="7">
        <f>K9*0.0042847645+L9*0.0008569529</f>
        <v/>
      </c>
      <c r="AM9" s="7">
        <f>L9*0.0042847645+M9*0.0008569529</f>
        <v/>
      </c>
      <c r="AN9" s="7">
        <f>M9*0.0042847645+N9*0.0008569529</f>
        <v/>
      </c>
      <c r="AO9" s="7">
        <f>N9*0.0042847645+O9*0.0008569529</f>
        <v/>
      </c>
      <c r="AP9" s="7">
        <f>O9*0.0042847645+P9*0.0008569529</f>
        <v/>
      </c>
      <c r="AQ9" s="7">
        <f>P9*0.0042847645+Q9*0.0008569529</f>
        <v/>
      </c>
      <c r="AR9" s="7">
        <f>Q9*0.0042847645+R9*0.0008569529</f>
        <v/>
      </c>
      <c r="AS9" s="7">
        <f>R9*0.0042847645+S9*0.0008569529</f>
        <v/>
      </c>
      <c r="AT9" s="7">
        <f>S9*0.0042847645+T9*0.0008569529</f>
        <v/>
      </c>
      <c r="AU9" s="7">
        <f>T9*0.0042847645+U9*0.0008569529</f>
        <v/>
      </c>
      <c r="AV9" s="7">
        <f>U9*0.0042847645+V9*0.0008569529</f>
        <v/>
      </c>
      <c r="AW9" s="7">
        <f>V9*0.0042847645+W9*0.0008569529</f>
        <v/>
      </c>
      <c r="AX9" s="7">
        <f>W9*0.0042847645+X9*0.0008569529</f>
        <v/>
      </c>
      <c r="AY9" s="7">
        <f>X9*0.0042847645+Y9*0.0008569529</f>
        <v/>
      </c>
      <c r="AZ9" s="7">
        <f>Y9*0.0042847645+Z9*0.0008569529</f>
        <v/>
      </c>
      <c r="BA9" s="7">
        <f>Z9*0.0042847645+AA9*0.0008569529</f>
        <v/>
      </c>
      <c r="BB9" s="7">
        <f>SUM(AD9:BA9)</f>
        <v/>
      </c>
    </row>
    <row r="10">
      <c r="A10" t="inlineStr">
        <is>
          <t>AMD-AIR-NEW-SSC</t>
        </is>
      </c>
      <c r="B10" t="inlineStr">
        <is>
          <t>Forward Regular OSC</t>
        </is>
      </c>
      <c r="C10" s="5" t="n">
        <v>46104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10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>
        <f>SUM(D10:AA10)</f>
        <v/>
      </c>
      <c r="AC10" s="3" t="inlineStr"/>
      <c r="AD10" s="7">
        <f>AA10*0.0042847645+D10*0.0008569529</f>
        <v/>
      </c>
      <c r="AE10" s="7">
        <f>D10*0.0042847645+E10*0.0008569529</f>
        <v/>
      </c>
      <c r="AF10" s="7">
        <f>E10*0.0042847645+F10*0.0008569529</f>
        <v/>
      </c>
      <c r="AG10" s="7">
        <f>F10*0.0042847645+G10*0.0008569529</f>
        <v/>
      </c>
      <c r="AH10" s="7">
        <f>G10*0.0042847645+H10*0.0008569529</f>
        <v/>
      </c>
      <c r="AI10" s="7">
        <f>H10*0.0042847645+I10*0.0008569529</f>
        <v/>
      </c>
      <c r="AJ10" s="7">
        <f>I10*0.0042847645+J10*0.0008569529</f>
        <v/>
      </c>
      <c r="AK10" s="7">
        <f>J10*0.0042847645+K10*0.0008569529</f>
        <v/>
      </c>
      <c r="AL10" s="7">
        <f>K10*0.0042847645+L10*0.0008569529</f>
        <v/>
      </c>
      <c r="AM10" s="7">
        <f>L10*0.0042847645+M10*0.0008569529</f>
        <v/>
      </c>
      <c r="AN10" s="7">
        <f>M10*0.0042847645+N10*0.0008569529</f>
        <v/>
      </c>
      <c r="AO10" s="7">
        <f>N10*0.0042847645+O10*0.0008569529</f>
        <v/>
      </c>
      <c r="AP10" s="7">
        <f>O10*0.0042847645+P10*0.0008569529</f>
        <v/>
      </c>
      <c r="AQ10" s="7">
        <f>P10*0.0042847645+Q10*0.0008569529</f>
        <v/>
      </c>
      <c r="AR10" s="7">
        <f>Q10*0.0042847645+R10*0.0008569529</f>
        <v/>
      </c>
      <c r="AS10" s="7">
        <f>R10*0.0042847645+S10*0.0008569529</f>
        <v/>
      </c>
      <c r="AT10" s="7">
        <f>S10*0.0042847645+T10*0.0008569529</f>
        <v/>
      </c>
      <c r="AU10" s="7">
        <f>T10*0.0042847645+U10*0.0008569529</f>
        <v/>
      </c>
      <c r="AV10" s="7">
        <f>U10*0.0042847645+V10*0.0008569529</f>
        <v/>
      </c>
      <c r="AW10" s="7">
        <f>V10*0.0042847645+W10*0.0008569529</f>
        <v/>
      </c>
      <c r="AX10" s="7">
        <f>W10*0.0042847645+X10*0.0008569529</f>
        <v/>
      </c>
      <c r="AY10" s="7">
        <f>X10*0.0042847645+Y10*0.0008569529</f>
        <v/>
      </c>
      <c r="AZ10" s="7">
        <f>Y10*0.0042847645+Z10*0.0008569529</f>
        <v/>
      </c>
      <c r="BA10" s="7">
        <f>Z10*0.0042847645+AA10*0.0008569529</f>
        <v/>
      </c>
      <c r="BB10" s="7">
        <f>SUM(AD10:BA10)</f>
        <v/>
      </c>
    </row>
    <row r="11">
      <c r="A11" t="inlineStr">
        <is>
          <t>AMD-EXPR</t>
        </is>
      </c>
      <c r="B11" t="inlineStr">
        <is>
          <t>DSC Manual</t>
        </is>
      </c>
      <c r="C11" s="5" t="n">
        <v>46089</v>
      </c>
      <c r="D11" s="6" t="n">
        <v>0</v>
      </c>
      <c r="E11" s="6" t="n">
        <v>0</v>
      </c>
      <c r="F11" s="6" t="n">
        <v>0</v>
      </c>
      <c r="G11" s="6" t="n">
        <v>2</v>
      </c>
      <c r="H11" s="6" t="n">
        <v>18</v>
      </c>
      <c r="I11" s="6" t="n">
        <v>7</v>
      </c>
      <c r="J11" s="6" t="n">
        <v>5</v>
      </c>
      <c r="K11" s="6" t="n">
        <v>4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23</v>
      </c>
      <c r="T11" s="6" t="n">
        <v>0</v>
      </c>
      <c r="U11" s="6" t="n">
        <v>14</v>
      </c>
      <c r="V11" s="6" t="n">
        <v>18</v>
      </c>
      <c r="W11" s="6" t="n">
        <v>19</v>
      </c>
      <c r="X11" s="6" t="n">
        <v>31</v>
      </c>
      <c r="Y11" s="6" t="n">
        <v>32</v>
      </c>
      <c r="Z11" s="6" t="n">
        <v>0</v>
      </c>
      <c r="AA11" s="6" t="n">
        <v>0</v>
      </c>
      <c r="AB11" s="6">
        <f>SUM(D11:AA11)</f>
        <v/>
      </c>
      <c r="AC11" s="3" t="inlineStr"/>
      <c r="AD11" s="7">
        <f>AA11*0.0042847645+D11*0.0008569529</f>
        <v/>
      </c>
      <c r="AE11" s="7">
        <f>D11*0.0042847645+E11*0.0008569529</f>
        <v/>
      </c>
      <c r="AF11" s="7">
        <f>E11*0.0042847645+F11*0.0008569529</f>
        <v/>
      </c>
      <c r="AG11" s="7">
        <f>F11*0.0042847645+G11*0.0008569529</f>
        <v/>
      </c>
      <c r="AH11" s="7">
        <f>G11*0.0042847645+H11*0.0008569529</f>
        <v/>
      </c>
      <c r="AI11" s="7">
        <f>H11*0.0042847645+I11*0.0008569529</f>
        <v/>
      </c>
      <c r="AJ11" s="7">
        <f>I11*0.0042847645+J11*0.0008569529</f>
        <v/>
      </c>
      <c r="AK11" s="7">
        <f>J11*0.0042847645+K11*0.0008569529</f>
        <v/>
      </c>
      <c r="AL11" s="7">
        <f>K11*0.0042847645+L11*0.0008569529</f>
        <v/>
      </c>
      <c r="AM11" s="7">
        <f>L11*0.0042847645+M11*0.0008569529</f>
        <v/>
      </c>
      <c r="AN11" s="7">
        <f>M11*0.0042847645+N11*0.0008569529</f>
        <v/>
      </c>
      <c r="AO11" s="7">
        <f>N11*0.0042847645+O11*0.0008569529</f>
        <v/>
      </c>
      <c r="AP11" s="7">
        <f>O11*0.0042847645+P11*0.0008569529</f>
        <v/>
      </c>
      <c r="AQ11" s="7">
        <f>P11*0.0042847645+Q11*0.0008569529</f>
        <v/>
      </c>
      <c r="AR11" s="7">
        <f>Q11*0.0042847645+R11*0.0008569529</f>
        <v/>
      </c>
      <c r="AS11" s="7">
        <f>R11*0.0042847645+S11*0.0008569529</f>
        <v/>
      </c>
      <c r="AT11" s="7">
        <f>S11*0.0042847645+T11*0.0008569529</f>
        <v/>
      </c>
      <c r="AU11" s="7">
        <f>T11*0.0042847645+U11*0.0008569529</f>
        <v/>
      </c>
      <c r="AV11" s="7">
        <f>U11*0.0042847645+V11*0.0008569529</f>
        <v/>
      </c>
      <c r="AW11" s="7">
        <f>V11*0.0042847645+W11*0.0008569529</f>
        <v/>
      </c>
      <c r="AX11" s="7">
        <f>W11*0.0042847645+X11*0.0008569529</f>
        <v/>
      </c>
      <c r="AY11" s="7">
        <f>X11*0.0042847645+Y11*0.0008569529</f>
        <v/>
      </c>
      <c r="AZ11" s="7">
        <f>Y11*0.0042847645+Z11*0.0008569529</f>
        <v/>
      </c>
      <c r="BA11" s="7">
        <f>Z11*0.0042847645+AA11*0.0008569529</f>
        <v/>
      </c>
      <c r="BB11" s="7">
        <f>SUM(AD11:BA11)</f>
        <v/>
      </c>
    </row>
    <row r="12">
      <c r="A12" t="inlineStr">
        <is>
          <t>AMD-EXPR</t>
        </is>
      </c>
      <c r="B12" t="inlineStr">
        <is>
          <t>DSC Manual</t>
        </is>
      </c>
      <c r="C12" s="5" t="n">
        <v>46090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10</v>
      </c>
      <c r="J12" s="6" t="n">
        <v>15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23</v>
      </c>
      <c r="U12" s="6" t="n">
        <v>0</v>
      </c>
      <c r="V12" s="6" t="n">
        <v>17</v>
      </c>
      <c r="W12" s="6" t="n">
        <v>16</v>
      </c>
      <c r="X12" s="6" t="n">
        <v>22</v>
      </c>
      <c r="Y12" s="6" t="n">
        <v>22</v>
      </c>
      <c r="Z12" s="6" t="n">
        <v>23</v>
      </c>
      <c r="AA12" s="6" t="n">
        <v>0</v>
      </c>
      <c r="AB12" s="6">
        <f>SUM(D12:AA12)</f>
        <v/>
      </c>
      <c r="AC12" s="3" t="inlineStr"/>
      <c r="AD12" s="7">
        <f>AA12*0.0042847645+D12*0.0008569529</f>
        <v/>
      </c>
      <c r="AE12" s="7">
        <f>D12*0.0042847645+E12*0.0008569529</f>
        <v/>
      </c>
      <c r="AF12" s="7">
        <f>E12*0.0042847645+F12*0.0008569529</f>
        <v/>
      </c>
      <c r="AG12" s="7">
        <f>F12*0.0042847645+G12*0.0008569529</f>
        <v/>
      </c>
      <c r="AH12" s="7">
        <f>G12*0.0042847645+H12*0.0008569529</f>
        <v/>
      </c>
      <c r="AI12" s="7">
        <f>H12*0.0042847645+I12*0.0008569529</f>
        <v/>
      </c>
      <c r="AJ12" s="7">
        <f>I12*0.0042847645+J12*0.0008569529</f>
        <v/>
      </c>
      <c r="AK12" s="7">
        <f>J12*0.0042847645+K12*0.0008569529</f>
        <v/>
      </c>
      <c r="AL12" s="7">
        <f>K12*0.0042847645+L12*0.0008569529</f>
        <v/>
      </c>
      <c r="AM12" s="7">
        <f>L12*0.0042847645+M12*0.0008569529</f>
        <v/>
      </c>
      <c r="AN12" s="7">
        <f>M12*0.0042847645+N12*0.0008569529</f>
        <v/>
      </c>
      <c r="AO12" s="7">
        <f>N12*0.0042847645+O12*0.0008569529</f>
        <v/>
      </c>
      <c r="AP12" s="7">
        <f>O12*0.0042847645+P12*0.0008569529</f>
        <v/>
      </c>
      <c r="AQ12" s="7">
        <f>P12*0.0042847645+Q12*0.0008569529</f>
        <v/>
      </c>
      <c r="AR12" s="7">
        <f>Q12*0.0042847645+R12*0.0008569529</f>
        <v/>
      </c>
      <c r="AS12" s="7">
        <f>R12*0.0042847645+S12*0.0008569529</f>
        <v/>
      </c>
      <c r="AT12" s="7">
        <f>S12*0.0042847645+T12*0.0008569529</f>
        <v/>
      </c>
      <c r="AU12" s="7">
        <f>T12*0.0042847645+U12*0.0008569529</f>
        <v/>
      </c>
      <c r="AV12" s="7">
        <f>U12*0.0042847645+V12*0.0008569529</f>
        <v/>
      </c>
      <c r="AW12" s="7">
        <f>V12*0.0042847645+W12*0.0008569529</f>
        <v/>
      </c>
      <c r="AX12" s="7">
        <f>W12*0.0042847645+X12*0.0008569529</f>
        <v/>
      </c>
      <c r="AY12" s="7">
        <f>X12*0.0042847645+Y12*0.0008569529</f>
        <v/>
      </c>
      <c r="AZ12" s="7">
        <f>Y12*0.0042847645+Z12*0.0008569529</f>
        <v/>
      </c>
      <c r="BA12" s="7">
        <f>Z12*0.0042847645+AA12*0.0008569529</f>
        <v/>
      </c>
      <c r="BB12" s="7">
        <f>SUM(AD12:BA12)</f>
        <v/>
      </c>
    </row>
    <row r="13">
      <c r="A13" t="inlineStr">
        <is>
          <t>AMD-EXPR</t>
        </is>
      </c>
      <c r="B13" t="inlineStr">
        <is>
          <t>DSC Manual</t>
        </is>
      </c>
      <c r="C13" s="5" t="n">
        <v>46091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15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37</v>
      </c>
      <c r="T13" s="6" t="n">
        <v>13</v>
      </c>
      <c r="U13" s="6" t="n">
        <v>0</v>
      </c>
      <c r="V13" s="6" t="n">
        <v>15</v>
      </c>
      <c r="W13" s="6" t="n">
        <v>29</v>
      </c>
      <c r="X13" s="6" t="n">
        <v>14</v>
      </c>
      <c r="Y13" s="6" t="n">
        <v>48</v>
      </c>
      <c r="Z13" s="6" t="n">
        <v>13</v>
      </c>
      <c r="AA13" s="6" t="n">
        <v>0</v>
      </c>
      <c r="AB13" s="6">
        <f>SUM(D13:AA13)</f>
        <v/>
      </c>
      <c r="AC13" s="3" t="inlineStr"/>
      <c r="AD13" s="7">
        <f>AA13*0.0042847645+D13*0.0008569529</f>
        <v/>
      </c>
      <c r="AE13" s="7">
        <f>D13*0.0042847645+E13*0.0008569529</f>
        <v/>
      </c>
      <c r="AF13" s="7">
        <f>E13*0.0042847645+F13*0.0008569529</f>
        <v/>
      </c>
      <c r="AG13" s="7">
        <f>F13*0.0042847645+G13*0.0008569529</f>
        <v/>
      </c>
      <c r="AH13" s="7">
        <f>G13*0.0042847645+H13*0.0008569529</f>
        <v/>
      </c>
      <c r="AI13" s="7">
        <f>H13*0.0042847645+I13*0.0008569529</f>
        <v/>
      </c>
      <c r="AJ13" s="7">
        <f>I13*0.0042847645+J13*0.0008569529</f>
        <v/>
      </c>
      <c r="AK13" s="7">
        <f>J13*0.0042847645+K13*0.0008569529</f>
        <v/>
      </c>
      <c r="AL13" s="7">
        <f>K13*0.0042847645+L13*0.0008569529</f>
        <v/>
      </c>
      <c r="AM13" s="7">
        <f>L13*0.0042847645+M13*0.0008569529</f>
        <v/>
      </c>
      <c r="AN13" s="7">
        <f>M13*0.0042847645+N13*0.0008569529</f>
        <v/>
      </c>
      <c r="AO13" s="7">
        <f>N13*0.0042847645+O13*0.0008569529</f>
        <v/>
      </c>
      <c r="AP13" s="7">
        <f>O13*0.0042847645+P13*0.0008569529</f>
        <v/>
      </c>
      <c r="AQ13" s="7">
        <f>P13*0.0042847645+Q13*0.0008569529</f>
        <v/>
      </c>
      <c r="AR13" s="7">
        <f>Q13*0.0042847645+R13*0.0008569529</f>
        <v/>
      </c>
      <c r="AS13" s="7">
        <f>R13*0.0042847645+S13*0.0008569529</f>
        <v/>
      </c>
      <c r="AT13" s="7">
        <f>S13*0.0042847645+T13*0.0008569529</f>
        <v/>
      </c>
      <c r="AU13" s="7">
        <f>T13*0.0042847645+U13*0.0008569529</f>
        <v/>
      </c>
      <c r="AV13" s="7">
        <f>U13*0.0042847645+V13*0.0008569529</f>
        <v/>
      </c>
      <c r="AW13" s="7">
        <f>V13*0.0042847645+W13*0.0008569529</f>
        <v/>
      </c>
      <c r="AX13" s="7">
        <f>W13*0.0042847645+X13*0.0008569529</f>
        <v/>
      </c>
      <c r="AY13" s="7">
        <f>X13*0.0042847645+Y13*0.0008569529</f>
        <v/>
      </c>
      <c r="AZ13" s="7">
        <f>Y13*0.0042847645+Z13*0.0008569529</f>
        <v/>
      </c>
      <c r="BA13" s="7">
        <f>Z13*0.0042847645+AA13*0.0008569529</f>
        <v/>
      </c>
      <c r="BB13" s="7">
        <f>SUM(AD13:BA13)</f>
        <v/>
      </c>
    </row>
    <row r="14">
      <c r="A14" t="inlineStr">
        <is>
          <t>AMD-EXPR</t>
        </is>
      </c>
      <c r="B14" t="inlineStr">
        <is>
          <t>DSC Manual</t>
        </is>
      </c>
      <c r="C14" s="5" t="n">
        <v>46092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12</v>
      </c>
      <c r="K14" s="6" t="n">
        <v>16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16</v>
      </c>
      <c r="S14" s="6" t="n">
        <v>30</v>
      </c>
      <c r="T14" s="6" t="n">
        <v>0</v>
      </c>
      <c r="U14" s="6" t="n">
        <v>23</v>
      </c>
      <c r="V14" s="6" t="n">
        <v>26</v>
      </c>
      <c r="W14" s="6" t="n">
        <v>28</v>
      </c>
      <c r="X14" s="6" t="n">
        <v>34</v>
      </c>
      <c r="Y14" s="6" t="n">
        <v>22</v>
      </c>
      <c r="Z14" s="6" t="n">
        <v>4</v>
      </c>
      <c r="AA14" s="6" t="n">
        <v>0</v>
      </c>
      <c r="AB14" s="6">
        <f>SUM(D14:AA14)</f>
        <v/>
      </c>
      <c r="AC14" s="3" t="inlineStr"/>
      <c r="AD14" s="7">
        <f>AA14*0.0042847645+D14*0.0008569529</f>
        <v/>
      </c>
      <c r="AE14" s="7">
        <f>D14*0.0042847645+E14*0.0008569529</f>
        <v/>
      </c>
      <c r="AF14" s="7">
        <f>E14*0.0042847645+F14*0.0008569529</f>
        <v/>
      </c>
      <c r="AG14" s="7">
        <f>F14*0.0042847645+G14*0.0008569529</f>
        <v/>
      </c>
      <c r="AH14" s="7">
        <f>G14*0.0042847645+H14*0.0008569529</f>
        <v/>
      </c>
      <c r="AI14" s="7">
        <f>H14*0.0042847645+I14*0.0008569529</f>
        <v/>
      </c>
      <c r="AJ14" s="7">
        <f>I14*0.0042847645+J14*0.0008569529</f>
        <v/>
      </c>
      <c r="AK14" s="7">
        <f>J14*0.0042847645+K14*0.0008569529</f>
        <v/>
      </c>
      <c r="AL14" s="7">
        <f>K14*0.0042847645+L14*0.0008569529</f>
        <v/>
      </c>
      <c r="AM14" s="7">
        <f>L14*0.0042847645+M14*0.0008569529</f>
        <v/>
      </c>
      <c r="AN14" s="7">
        <f>M14*0.0042847645+N14*0.0008569529</f>
        <v/>
      </c>
      <c r="AO14" s="7">
        <f>N14*0.0042847645+O14*0.0008569529</f>
        <v/>
      </c>
      <c r="AP14" s="7">
        <f>O14*0.0042847645+P14*0.0008569529</f>
        <v/>
      </c>
      <c r="AQ14" s="7">
        <f>P14*0.0042847645+Q14*0.0008569529</f>
        <v/>
      </c>
      <c r="AR14" s="7">
        <f>Q14*0.0042847645+R14*0.0008569529</f>
        <v/>
      </c>
      <c r="AS14" s="7">
        <f>R14*0.0042847645+S14*0.0008569529</f>
        <v/>
      </c>
      <c r="AT14" s="7">
        <f>S14*0.0042847645+T14*0.0008569529</f>
        <v/>
      </c>
      <c r="AU14" s="7">
        <f>T14*0.0042847645+U14*0.0008569529</f>
        <v/>
      </c>
      <c r="AV14" s="7">
        <f>U14*0.0042847645+V14*0.0008569529</f>
        <v/>
      </c>
      <c r="AW14" s="7">
        <f>V14*0.0042847645+W14*0.0008569529</f>
        <v/>
      </c>
      <c r="AX14" s="7">
        <f>W14*0.0042847645+X14*0.0008569529</f>
        <v/>
      </c>
      <c r="AY14" s="7">
        <f>X14*0.0042847645+Y14*0.0008569529</f>
        <v/>
      </c>
      <c r="AZ14" s="7">
        <f>Y14*0.0042847645+Z14*0.0008569529</f>
        <v/>
      </c>
      <c r="BA14" s="7">
        <f>Z14*0.0042847645+AA14*0.0008569529</f>
        <v/>
      </c>
      <c r="BB14" s="7">
        <f>SUM(AD14:BA14)</f>
        <v/>
      </c>
    </row>
    <row r="15">
      <c r="A15" t="inlineStr">
        <is>
          <t>AMD-EXPR</t>
        </is>
      </c>
      <c r="B15" t="inlineStr">
        <is>
          <t>DSC Manual</t>
        </is>
      </c>
      <c r="C15" s="5" t="n">
        <v>46093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9</v>
      </c>
      <c r="I15" s="6" t="n">
        <v>12</v>
      </c>
      <c r="J15" s="6" t="n">
        <v>16</v>
      </c>
      <c r="K15" s="6" t="n">
        <v>9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26</v>
      </c>
      <c r="T15" s="6" t="n">
        <v>12</v>
      </c>
      <c r="U15" s="6" t="n">
        <v>20</v>
      </c>
      <c r="V15" s="6" t="n">
        <v>24</v>
      </c>
      <c r="W15" s="6" t="n">
        <v>30</v>
      </c>
      <c r="X15" s="6" t="n">
        <v>25</v>
      </c>
      <c r="Y15" s="6" t="n">
        <v>28</v>
      </c>
      <c r="Z15" s="6" t="n">
        <v>0</v>
      </c>
      <c r="AA15" s="6" t="n">
        <v>0</v>
      </c>
      <c r="AB15" s="6">
        <f>SUM(D15:AA15)</f>
        <v/>
      </c>
      <c r="AC15" s="3" t="inlineStr"/>
      <c r="AD15" s="7">
        <f>AA15*0.0042847645+D15*0.0008569529</f>
        <v/>
      </c>
      <c r="AE15" s="7">
        <f>D15*0.0042847645+E15*0.0008569529</f>
        <v/>
      </c>
      <c r="AF15" s="7">
        <f>E15*0.0042847645+F15*0.0008569529</f>
        <v/>
      </c>
      <c r="AG15" s="7">
        <f>F15*0.0042847645+G15*0.0008569529</f>
        <v/>
      </c>
      <c r="AH15" s="7">
        <f>G15*0.0042847645+H15*0.0008569529</f>
        <v/>
      </c>
      <c r="AI15" s="7">
        <f>H15*0.0042847645+I15*0.0008569529</f>
        <v/>
      </c>
      <c r="AJ15" s="7">
        <f>I15*0.0042847645+J15*0.0008569529</f>
        <v/>
      </c>
      <c r="AK15" s="7">
        <f>J15*0.0042847645+K15*0.0008569529</f>
        <v/>
      </c>
      <c r="AL15" s="7">
        <f>K15*0.0042847645+L15*0.0008569529</f>
        <v/>
      </c>
      <c r="AM15" s="7">
        <f>L15*0.0042847645+M15*0.0008569529</f>
        <v/>
      </c>
      <c r="AN15" s="7">
        <f>M15*0.0042847645+N15*0.0008569529</f>
        <v/>
      </c>
      <c r="AO15" s="7">
        <f>N15*0.0042847645+O15*0.0008569529</f>
        <v/>
      </c>
      <c r="AP15" s="7">
        <f>O15*0.0042847645+P15*0.0008569529</f>
        <v/>
      </c>
      <c r="AQ15" s="7">
        <f>P15*0.0042847645+Q15*0.0008569529</f>
        <v/>
      </c>
      <c r="AR15" s="7">
        <f>Q15*0.0042847645+R15*0.0008569529</f>
        <v/>
      </c>
      <c r="AS15" s="7">
        <f>R15*0.0042847645+S15*0.0008569529</f>
        <v/>
      </c>
      <c r="AT15" s="7">
        <f>S15*0.0042847645+T15*0.0008569529</f>
        <v/>
      </c>
      <c r="AU15" s="7">
        <f>T15*0.0042847645+U15*0.0008569529</f>
        <v/>
      </c>
      <c r="AV15" s="7">
        <f>U15*0.0042847645+V15*0.0008569529</f>
        <v/>
      </c>
      <c r="AW15" s="7">
        <f>V15*0.0042847645+W15*0.0008569529</f>
        <v/>
      </c>
      <c r="AX15" s="7">
        <f>W15*0.0042847645+X15*0.0008569529</f>
        <v/>
      </c>
      <c r="AY15" s="7">
        <f>X15*0.0042847645+Y15*0.0008569529</f>
        <v/>
      </c>
      <c r="AZ15" s="7">
        <f>Y15*0.0042847645+Z15*0.0008569529</f>
        <v/>
      </c>
      <c r="BA15" s="7">
        <f>Z15*0.0042847645+AA15*0.0008569529</f>
        <v/>
      </c>
      <c r="BB15" s="7">
        <f>SUM(AD15:BA15)</f>
        <v/>
      </c>
    </row>
    <row r="16">
      <c r="A16" t="inlineStr">
        <is>
          <t>AMD-EXPR</t>
        </is>
      </c>
      <c r="B16" t="inlineStr">
        <is>
          <t>DSC Manual</t>
        </is>
      </c>
      <c r="C16" s="5" t="n">
        <v>46094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4</v>
      </c>
      <c r="J16" s="6" t="n">
        <v>5</v>
      </c>
      <c r="K16" s="6" t="n">
        <v>12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10</v>
      </c>
      <c r="S16" s="6" t="n">
        <v>32</v>
      </c>
      <c r="T16" s="6" t="n">
        <v>11</v>
      </c>
      <c r="U16" s="6" t="n">
        <v>23</v>
      </c>
      <c r="V16" s="6" t="n">
        <v>25</v>
      </c>
      <c r="W16" s="6" t="n">
        <v>25</v>
      </c>
      <c r="X16" s="6" t="n">
        <v>40</v>
      </c>
      <c r="Y16" s="6" t="n">
        <v>46</v>
      </c>
      <c r="Z16" s="6" t="n">
        <v>0</v>
      </c>
      <c r="AA16" s="6" t="n">
        <v>0</v>
      </c>
      <c r="AB16" s="6">
        <f>SUM(D16:AA16)</f>
        <v/>
      </c>
      <c r="AC16" s="3" t="inlineStr"/>
      <c r="AD16" s="7">
        <f>AA16*0.0042847645+D16*0.0008569529</f>
        <v/>
      </c>
      <c r="AE16" s="7">
        <f>D16*0.0042847645+E16*0.0008569529</f>
        <v/>
      </c>
      <c r="AF16" s="7">
        <f>E16*0.0042847645+F16*0.0008569529</f>
        <v/>
      </c>
      <c r="AG16" s="7">
        <f>F16*0.0042847645+G16*0.0008569529</f>
        <v/>
      </c>
      <c r="AH16" s="7">
        <f>G16*0.0042847645+H16*0.0008569529</f>
        <v/>
      </c>
      <c r="AI16" s="7">
        <f>H16*0.0042847645+I16*0.0008569529</f>
        <v/>
      </c>
      <c r="AJ16" s="7">
        <f>I16*0.0042847645+J16*0.0008569529</f>
        <v/>
      </c>
      <c r="AK16" s="7">
        <f>J16*0.0042847645+K16*0.0008569529</f>
        <v/>
      </c>
      <c r="AL16" s="7">
        <f>K16*0.0042847645+L16*0.0008569529</f>
        <v/>
      </c>
      <c r="AM16" s="7">
        <f>L16*0.0042847645+M16*0.0008569529</f>
        <v/>
      </c>
      <c r="AN16" s="7">
        <f>M16*0.0042847645+N16*0.0008569529</f>
        <v/>
      </c>
      <c r="AO16" s="7">
        <f>N16*0.0042847645+O16*0.0008569529</f>
        <v/>
      </c>
      <c r="AP16" s="7">
        <f>O16*0.0042847645+P16*0.0008569529</f>
        <v/>
      </c>
      <c r="AQ16" s="7">
        <f>P16*0.0042847645+Q16*0.0008569529</f>
        <v/>
      </c>
      <c r="AR16" s="7">
        <f>Q16*0.0042847645+R16*0.0008569529</f>
        <v/>
      </c>
      <c r="AS16" s="7">
        <f>R16*0.0042847645+S16*0.0008569529</f>
        <v/>
      </c>
      <c r="AT16" s="7">
        <f>S16*0.0042847645+T16*0.0008569529</f>
        <v/>
      </c>
      <c r="AU16" s="7">
        <f>T16*0.0042847645+U16*0.0008569529</f>
        <v/>
      </c>
      <c r="AV16" s="7">
        <f>U16*0.0042847645+V16*0.0008569529</f>
        <v/>
      </c>
      <c r="AW16" s="7">
        <f>V16*0.0042847645+W16*0.0008569529</f>
        <v/>
      </c>
      <c r="AX16" s="7">
        <f>W16*0.0042847645+X16*0.0008569529</f>
        <v/>
      </c>
      <c r="AY16" s="7">
        <f>X16*0.0042847645+Y16*0.0008569529</f>
        <v/>
      </c>
      <c r="AZ16" s="7">
        <f>Y16*0.0042847645+Z16*0.0008569529</f>
        <v/>
      </c>
      <c r="BA16" s="7">
        <f>Z16*0.0042847645+AA16*0.0008569529</f>
        <v/>
      </c>
      <c r="BB16" s="7">
        <f>SUM(AD16:BA16)</f>
        <v/>
      </c>
    </row>
    <row r="17">
      <c r="A17" t="inlineStr">
        <is>
          <t>AMD-EXPR</t>
        </is>
      </c>
      <c r="B17" t="inlineStr">
        <is>
          <t>DSC Manual</t>
        </is>
      </c>
      <c r="C17" s="5" t="n">
        <v>46095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12</v>
      </c>
      <c r="K17" s="6" t="n">
        <v>5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20</v>
      </c>
      <c r="S17" s="6" t="n">
        <v>27</v>
      </c>
      <c r="T17" s="6" t="n">
        <v>10</v>
      </c>
      <c r="U17" s="6" t="n">
        <v>27</v>
      </c>
      <c r="V17" s="6" t="n">
        <v>22</v>
      </c>
      <c r="W17" s="6" t="n">
        <v>23</v>
      </c>
      <c r="X17" s="6" t="n">
        <v>23</v>
      </c>
      <c r="Y17" s="6" t="n">
        <v>0</v>
      </c>
      <c r="Z17" s="6" t="n">
        <v>0</v>
      </c>
      <c r="AA17" s="6" t="n">
        <v>0</v>
      </c>
      <c r="AB17" s="6">
        <f>SUM(D17:AA17)</f>
        <v/>
      </c>
      <c r="AC17" s="3" t="inlineStr"/>
      <c r="AD17" s="7">
        <f>AA17*0.0042847645+D17*0.0008569529</f>
        <v/>
      </c>
      <c r="AE17" s="7">
        <f>D17*0.0042847645+E17*0.0008569529</f>
        <v/>
      </c>
      <c r="AF17" s="7">
        <f>E17*0.0042847645+F17*0.0008569529</f>
        <v/>
      </c>
      <c r="AG17" s="7">
        <f>F17*0.0042847645+G17*0.0008569529</f>
        <v/>
      </c>
      <c r="AH17" s="7">
        <f>G17*0.0042847645+H17*0.0008569529</f>
        <v/>
      </c>
      <c r="AI17" s="7">
        <f>H17*0.0042847645+I17*0.0008569529</f>
        <v/>
      </c>
      <c r="AJ17" s="7">
        <f>I17*0.0042847645+J17*0.0008569529</f>
        <v/>
      </c>
      <c r="AK17" s="7">
        <f>J17*0.0042847645+K17*0.0008569529</f>
        <v/>
      </c>
      <c r="AL17" s="7">
        <f>K17*0.0042847645+L17*0.0008569529</f>
        <v/>
      </c>
      <c r="AM17" s="7">
        <f>L17*0.0042847645+M17*0.0008569529</f>
        <v/>
      </c>
      <c r="AN17" s="7">
        <f>M17*0.0042847645+N17*0.0008569529</f>
        <v/>
      </c>
      <c r="AO17" s="7">
        <f>N17*0.0042847645+O17*0.0008569529</f>
        <v/>
      </c>
      <c r="AP17" s="7">
        <f>O17*0.0042847645+P17*0.0008569529</f>
        <v/>
      </c>
      <c r="AQ17" s="7">
        <f>P17*0.0042847645+Q17*0.0008569529</f>
        <v/>
      </c>
      <c r="AR17" s="7">
        <f>Q17*0.0042847645+R17*0.0008569529</f>
        <v/>
      </c>
      <c r="AS17" s="7">
        <f>R17*0.0042847645+S17*0.0008569529</f>
        <v/>
      </c>
      <c r="AT17" s="7">
        <f>S17*0.0042847645+T17*0.0008569529</f>
        <v/>
      </c>
      <c r="AU17" s="7">
        <f>T17*0.0042847645+U17*0.0008569529</f>
        <v/>
      </c>
      <c r="AV17" s="7">
        <f>U17*0.0042847645+V17*0.0008569529</f>
        <v/>
      </c>
      <c r="AW17" s="7">
        <f>V17*0.0042847645+W17*0.0008569529</f>
        <v/>
      </c>
      <c r="AX17" s="7">
        <f>W17*0.0042847645+X17*0.0008569529</f>
        <v/>
      </c>
      <c r="AY17" s="7">
        <f>X17*0.0042847645+Y17*0.0008569529</f>
        <v/>
      </c>
      <c r="AZ17" s="7">
        <f>Y17*0.0042847645+Z17*0.0008569529</f>
        <v/>
      </c>
      <c r="BA17" s="7">
        <f>Z17*0.0042847645+AA17*0.0008569529</f>
        <v/>
      </c>
      <c r="BB17" s="7">
        <f>SUM(AD17:BA17)</f>
        <v/>
      </c>
    </row>
    <row r="18">
      <c r="A18" t="inlineStr">
        <is>
          <t>AMD-EXPR</t>
        </is>
      </c>
      <c r="B18" t="inlineStr">
        <is>
          <t>DSC Manual</t>
        </is>
      </c>
      <c r="C18" s="5" t="n">
        <v>46096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4</v>
      </c>
      <c r="I18" s="6" t="n">
        <v>18</v>
      </c>
      <c r="J18" s="6" t="n">
        <v>4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9</v>
      </c>
      <c r="S18" s="6" t="n">
        <v>29</v>
      </c>
      <c r="T18" s="6" t="n">
        <v>0</v>
      </c>
      <c r="U18" s="6" t="n">
        <v>27</v>
      </c>
      <c r="V18" s="6" t="n">
        <v>27</v>
      </c>
      <c r="W18" s="6" t="n">
        <v>22</v>
      </c>
      <c r="X18" s="6" t="n">
        <v>30</v>
      </c>
      <c r="Y18" s="6" t="n">
        <v>27</v>
      </c>
      <c r="Z18" s="6" t="n">
        <v>0</v>
      </c>
      <c r="AA18" s="6" t="n">
        <v>0</v>
      </c>
      <c r="AB18" s="6">
        <f>SUM(D18:AA18)</f>
        <v/>
      </c>
      <c r="AC18" s="3" t="inlineStr"/>
      <c r="AD18" s="7">
        <f>AA18*0.0042847645+D18*0.0008569529</f>
        <v/>
      </c>
      <c r="AE18" s="7">
        <f>D18*0.0042847645+E18*0.0008569529</f>
        <v/>
      </c>
      <c r="AF18" s="7">
        <f>E18*0.0042847645+F18*0.0008569529</f>
        <v/>
      </c>
      <c r="AG18" s="7">
        <f>F18*0.0042847645+G18*0.0008569529</f>
        <v/>
      </c>
      <c r="AH18" s="7">
        <f>G18*0.0042847645+H18*0.0008569529</f>
        <v/>
      </c>
      <c r="AI18" s="7">
        <f>H18*0.0042847645+I18*0.0008569529</f>
        <v/>
      </c>
      <c r="AJ18" s="7">
        <f>I18*0.0042847645+J18*0.0008569529</f>
        <v/>
      </c>
      <c r="AK18" s="7">
        <f>J18*0.0042847645+K18*0.0008569529</f>
        <v/>
      </c>
      <c r="AL18" s="7">
        <f>K18*0.0042847645+L18*0.0008569529</f>
        <v/>
      </c>
      <c r="AM18" s="7">
        <f>L18*0.0042847645+M18*0.0008569529</f>
        <v/>
      </c>
      <c r="AN18" s="7">
        <f>M18*0.0042847645+N18*0.0008569529</f>
        <v/>
      </c>
      <c r="AO18" s="7">
        <f>N18*0.0042847645+O18*0.0008569529</f>
        <v/>
      </c>
      <c r="AP18" s="7">
        <f>O18*0.0042847645+P18*0.0008569529</f>
        <v/>
      </c>
      <c r="AQ18" s="7">
        <f>P18*0.0042847645+Q18*0.0008569529</f>
        <v/>
      </c>
      <c r="AR18" s="7">
        <f>Q18*0.0042847645+R18*0.0008569529</f>
        <v/>
      </c>
      <c r="AS18" s="7">
        <f>R18*0.0042847645+S18*0.0008569529</f>
        <v/>
      </c>
      <c r="AT18" s="7">
        <f>S18*0.0042847645+T18*0.0008569529</f>
        <v/>
      </c>
      <c r="AU18" s="7">
        <f>T18*0.0042847645+U18*0.0008569529</f>
        <v/>
      </c>
      <c r="AV18" s="7">
        <f>U18*0.0042847645+V18*0.0008569529</f>
        <v/>
      </c>
      <c r="AW18" s="7">
        <f>V18*0.0042847645+W18*0.0008569529</f>
        <v/>
      </c>
      <c r="AX18" s="7">
        <f>W18*0.0042847645+X18*0.0008569529</f>
        <v/>
      </c>
      <c r="AY18" s="7">
        <f>X18*0.0042847645+Y18*0.0008569529</f>
        <v/>
      </c>
      <c r="AZ18" s="7">
        <f>Y18*0.0042847645+Z18*0.0008569529</f>
        <v/>
      </c>
      <c r="BA18" s="7">
        <f>Z18*0.0042847645+AA18*0.0008569529</f>
        <v/>
      </c>
      <c r="BB18" s="7">
        <f>SUM(AD18:BA18)</f>
        <v/>
      </c>
    </row>
    <row r="19">
      <c r="A19" t="inlineStr">
        <is>
          <t>AMD-EXPR</t>
        </is>
      </c>
      <c r="B19" t="inlineStr">
        <is>
          <t>DSC Manual</t>
        </is>
      </c>
      <c r="C19" s="5" t="n">
        <v>46097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11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6</v>
      </c>
      <c r="S19" s="6" t="n">
        <v>27</v>
      </c>
      <c r="T19" s="6" t="n">
        <v>0</v>
      </c>
      <c r="U19" s="6" t="n">
        <v>22</v>
      </c>
      <c r="V19" s="6" t="n">
        <v>9</v>
      </c>
      <c r="W19" s="6" t="n">
        <v>30</v>
      </c>
      <c r="X19" s="6" t="n">
        <v>26</v>
      </c>
      <c r="Y19" s="6" t="n">
        <v>27</v>
      </c>
      <c r="Z19" s="6" t="n">
        <v>0</v>
      </c>
      <c r="AA19" s="6" t="n">
        <v>0</v>
      </c>
      <c r="AB19" s="6">
        <f>SUM(D19:AA19)</f>
        <v/>
      </c>
      <c r="AC19" s="3" t="inlineStr"/>
      <c r="AD19" s="7">
        <f>AA19*0.0042847645+D19*0.0008569529</f>
        <v/>
      </c>
      <c r="AE19" s="7">
        <f>D19*0.0042847645+E19*0.0008569529</f>
        <v/>
      </c>
      <c r="AF19" s="7">
        <f>E19*0.0042847645+F19*0.0008569529</f>
        <v/>
      </c>
      <c r="AG19" s="7">
        <f>F19*0.0042847645+G19*0.0008569529</f>
        <v/>
      </c>
      <c r="AH19" s="7">
        <f>G19*0.0042847645+H19*0.0008569529</f>
        <v/>
      </c>
      <c r="AI19" s="7">
        <f>H19*0.0042847645+I19*0.0008569529</f>
        <v/>
      </c>
      <c r="AJ19" s="7">
        <f>I19*0.0042847645+J19*0.0008569529</f>
        <v/>
      </c>
      <c r="AK19" s="7">
        <f>J19*0.0042847645+K19*0.0008569529</f>
        <v/>
      </c>
      <c r="AL19" s="7">
        <f>K19*0.0042847645+L19*0.0008569529</f>
        <v/>
      </c>
      <c r="AM19" s="7">
        <f>L19*0.0042847645+M19*0.0008569529</f>
        <v/>
      </c>
      <c r="AN19" s="7">
        <f>M19*0.0042847645+N19*0.0008569529</f>
        <v/>
      </c>
      <c r="AO19" s="7">
        <f>N19*0.0042847645+O19*0.0008569529</f>
        <v/>
      </c>
      <c r="AP19" s="7">
        <f>O19*0.0042847645+P19*0.0008569529</f>
        <v/>
      </c>
      <c r="AQ19" s="7">
        <f>P19*0.0042847645+Q19*0.0008569529</f>
        <v/>
      </c>
      <c r="AR19" s="7">
        <f>Q19*0.0042847645+R19*0.0008569529</f>
        <v/>
      </c>
      <c r="AS19" s="7">
        <f>R19*0.0042847645+S19*0.0008569529</f>
        <v/>
      </c>
      <c r="AT19" s="7">
        <f>S19*0.0042847645+T19*0.0008569529</f>
        <v/>
      </c>
      <c r="AU19" s="7">
        <f>T19*0.0042847645+U19*0.0008569529</f>
        <v/>
      </c>
      <c r="AV19" s="7">
        <f>U19*0.0042847645+V19*0.0008569529</f>
        <v/>
      </c>
      <c r="AW19" s="7">
        <f>V19*0.0042847645+W19*0.0008569529</f>
        <v/>
      </c>
      <c r="AX19" s="7">
        <f>W19*0.0042847645+X19*0.0008569529</f>
        <v/>
      </c>
      <c r="AY19" s="7">
        <f>X19*0.0042847645+Y19*0.0008569529</f>
        <v/>
      </c>
      <c r="AZ19" s="7">
        <f>Y19*0.0042847645+Z19*0.0008569529</f>
        <v/>
      </c>
      <c r="BA19" s="7">
        <f>Z19*0.0042847645+AA19*0.0008569529</f>
        <v/>
      </c>
      <c r="BB19" s="7">
        <f>SUM(AD19:BA19)</f>
        <v/>
      </c>
    </row>
    <row r="20">
      <c r="A20" t="inlineStr">
        <is>
          <t>AMD-EXPR</t>
        </is>
      </c>
      <c r="B20" t="inlineStr">
        <is>
          <t>DSC Manual</t>
        </is>
      </c>
      <c r="C20" s="5" t="n">
        <v>46099</v>
      </c>
      <c r="D20" s="6" t="n">
        <v>0</v>
      </c>
      <c r="E20" s="6" t="n">
        <v>0</v>
      </c>
      <c r="F20" s="6" t="n">
        <v>2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4</v>
      </c>
      <c r="U20" s="6" t="n">
        <v>9</v>
      </c>
      <c r="V20" s="6" t="n">
        <v>5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>
        <f>SUM(D20:AA20)</f>
        <v/>
      </c>
      <c r="AC20" s="3" t="inlineStr"/>
      <c r="AD20" s="7">
        <f>AA20*0.0042847645+D20*0.0008569529</f>
        <v/>
      </c>
      <c r="AE20" s="7">
        <f>D20*0.0042847645+E20*0.0008569529</f>
        <v/>
      </c>
      <c r="AF20" s="7">
        <f>E20*0.0042847645+F20*0.0008569529</f>
        <v/>
      </c>
      <c r="AG20" s="7">
        <f>F20*0.0042847645+G20*0.0008569529</f>
        <v/>
      </c>
      <c r="AH20" s="7">
        <f>G20*0.0042847645+H20*0.0008569529</f>
        <v/>
      </c>
      <c r="AI20" s="7">
        <f>H20*0.0042847645+I20*0.0008569529</f>
        <v/>
      </c>
      <c r="AJ20" s="7">
        <f>I20*0.0042847645+J20*0.0008569529</f>
        <v/>
      </c>
      <c r="AK20" s="7">
        <f>J20*0.0042847645+K20*0.0008569529</f>
        <v/>
      </c>
      <c r="AL20" s="7">
        <f>K20*0.0042847645+L20*0.0008569529</f>
        <v/>
      </c>
      <c r="AM20" s="7">
        <f>L20*0.0042847645+M20*0.0008569529</f>
        <v/>
      </c>
      <c r="AN20" s="7">
        <f>M20*0.0042847645+N20*0.0008569529</f>
        <v/>
      </c>
      <c r="AO20" s="7">
        <f>N20*0.0042847645+O20*0.0008569529</f>
        <v/>
      </c>
      <c r="AP20" s="7">
        <f>O20*0.0042847645+P20*0.0008569529</f>
        <v/>
      </c>
      <c r="AQ20" s="7">
        <f>P20*0.0042847645+Q20*0.0008569529</f>
        <v/>
      </c>
      <c r="AR20" s="7">
        <f>Q20*0.0042847645+R20*0.0008569529</f>
        <v/>
      </c>
      <c r="AS20" s="7">
        <f>R20*0.0042847645+S20*0.0008569529</f>
        <v/>
      </c>
      <c r="AT20" s="7">
        <f>S20*0.0042847645+T20*0.0008569529</f>
        <v/>
      </c>
      <c r="AU20" s="7">
        <f>T20*0.0042847645+U20*0.0008569529</f>
        <v/>
      </c>
      <c r="AV20" s="7">
        <f>U20*0.0042847645+V20*0.0008569529</f>
        <v/>
      </c>
      <c r="AW20" s="7">
        <f>V20*0.0042847645+W20*0.0008569529</f>
        <v/>
      </c>
      <c r="AX20" s="7">
        <f>W20*0.0042847645+X20*0.0008569529</f>
        <v/>
      </c>
      <c r="AY20" s="7">
        <f>X20*0.0042847645+Y20*0.0008569529</f>
        <v/>
      </c>
      <c r="AZ20" s="7">
        <f>Y20*0.0042847645+Z20*0.0008569529</f>
        <v/>
      </c>
      <c r="BA20" s="7">
        <f>Z20*0.0042847645+AA20*0.0008569529</f>
        <v/>
      </c>
      <c r="BB20" s="7">
        <f>SUM(AD20:BA20)</f>
        <v/>
      </c>
    </row>
    <row r="21">
      <c r="A21" t="inlineStr">
        <is>
          <t>AMD-EXPR</t>
        </is>
      </c>
      <c r="B21" t="inlineStr">
        <is>
          <t>DSC Manual</t>
        </is>
      </c>
      <c r="C21" s="5" t="n">
        <v>46100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12</v>
      </c>
      <c r="Z21" s="6" t="n">
        <v>0</v>
      </c>
      <c r="AA21" s="6" t="n">
        <v>0</v>
      </c>
      <c r="AB21" s="6">
        <f>SUM(D21:AA21)</f>
        <v/>
      </c>
      <c r="AC21" s="3" t="inlineStr"/>
      <c r="AD21" s="7">
        <f>AA21*0.0042847645+D21*0.0008569529</f>
        <v/>
      </c>
      <c r="AE21" s="7">
        <f>D21*0.0042847645+E21*0.0008569529</f>
        <v/>
      </c>
      <c r="AF21" s="7">
        <f>E21*0.0042847645+F21*0.0008569529</f>
        <v/>
      </c>
      <c r="AG21" s="7">
        <f>F21*0.0042847645+G21*0.0008569529</f>
        <v/>
      </c>
      <c r="AH21" s="7">
        <f>G21*0.0042847645+H21*0.0008569529</f>
        <v/>
      </c>
      <c r="AI21" s="7">
        <f>H21*0.0042847645+I21*0.0008569529</f>
        <v/>
      </c>
      <c r="AJ21" s="7">
        <f>I21*0.0042847645+J21*0.0008569529</f>
        <v/>
      </c>
      <c r="AK21" s="7">
        <f>J21*0.0042847645+K21*0.0008569529</f>
        <v/>
      </c>
      <c r="AL21" s="7">
        <f>K21*0.0042847645+L21*0.0008569529</f>
        <v/>
      </c>
      <c r="AM21" s="7">
        <f>L21*0.0042847645+M21*0.0008569529</f>
        <v/>
      </c>
      <c r="AN21" s="7">
        <f>M21*0.0042847645+N21*0.0008569529</f>
        <v/>
      </c>
      <c r="AO21" s="7">
        <f>N21*0.0042847645+O21*0.0008569529</f>
        <v/>
      </c>
      <c r="AP21" s="7">
        <f>O21*0.0042847645+P21*0.0008569529</f>
        <v/>
      </c>
      <c r="AQ21" s="7">
        <f>P21*0.0042847645+Q21*0.0008569529</f>
        <v/>
      </c>
      <c r="AR21" s="7">
        <f>Q21*0.0042847645+R21*0.0008569529</f>
        <v/>
      </c>
      <c r="AS21" s="7">
        <f>R21*0.0042847645+S21*0.0008569529</f>
        <v/>
      </c>
      <c r="AT21" s="7">
        <f>S21*0.0042847645+T21*0.0008569529</f>
        <v/>
      </c>
      <c r="AU21" s="7">
        <f>T21*0.0042847645+U21*0.0008569529</f>
        <v/>
      </c>
      <c r="AV21" s="7">
        <f>U21*0.0042847645+V21*0.0008569529</f>
        <v/>
      </c>
      <c r="AW21" s="7">
        <f>V21*0.0042847645+W21*0.0008569529</f>
        <v/>
      </c>
      <c r="AX21" s="7">
        <f>W21*0.0042847645+X21*0.0008569529</f>
        <v/>
      </c>
      <c r="AY21" s="7">
        <f>X21*0.0042847645+Y21*0.0008569529</f>
        <v/>
      </c>
      <c r="AZ21" s="7">
        <f>Y21*0.0042847645+Z21*0.0008569529</f>
        <v/>
      </c>
      <c r="BA21" s="7">
        <f>Z21*0.0042847645+AA21*0.0008569529</f>
        <v/>
      </c>
      <c r="BB21" s="7">
        <f>SUM(AD21:BA21)</f>
        <v/>
      </c>
    </row>
    <row r="22">
      <c r="A22" t="inlineStr">
        <is>
          <t>AMD-EXPR</t>
        </is>
      </c>
      <c r="B22" t="inlineStr">
        <is>
          <t>DSC Manual</t>
        </is>
      </c>
      <c r="C22" s="5" t="n">
        <v>46102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6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12</v>
      </c>
      <c r="Z22" s="6" t="n">
        <v>0</v>
      </c>
      <c r="AA22" s="6" t="n">
        <v>0</v>
      </c>
      <c r="AB22" s="6">
        <f>SUM(D22:AA22)</f>
        <v/>
      </c>
      <c r="AC22" s="3" t="inlineStr"/>
      <c r="AD22" s="7">
        <f>AA22*0.0042847645+D22*0.0008569529</f>
        <v/>
      </c>
      <c r="AE22" s="7">
        <f>D22*0.0042847645+E22*0.0008569529</f>
        <v/>
      </c>
      <c r="AF22" s="7">
        <f>E22*0.0042847645+F22*0.0008569529</f>
        <v/>
      </c>
      <c r="AG22" s="7">
        <f>F22*0.0042847645+G22*0.0008569529</f>
        <v/>
      </c>
      <c r="AH22" s="7">
        <f>G22*0.0042847645+H22*0.0008569529</f>
        <v/>
      </c>
      <c r="AI22" s="7">
        <f>H22*0.0042847645+I22*0.0008569529</f>
        <v/>
      </c>
      <c r="AJ22" s="7">
        <f>I22*0.0042847645+J22*0.0008569529</f>
        <v/>
      </c>
      <c r="AK22" s="7">
        <f>J22*0.0042847645+K22*0.0008569529</f>
        <v/>
      </c>
      <c r="AL22" s="7">
        <f>K22*0.0042847645+L22*0.0008569529</f>
        <v/>
      </c>
      <c r="AM22" s="7">
        <f>L22*0.0042847645+M22*0.0008569529</f>
        <v/>
      </c>
      <c r="AN22" s="7">
        <f>M22*0.0042847645+N22*0.0008569529</f>
        <v/>
      </c>
      <c r="AO22" s="7">
        <f>N22*0.0042847645+O22*0.0008569529</f>
        <v/>
      </c>
      <c r="AP22" s="7">
        <f>O22*0.0042847645+P22*0.0008569529</f>
        <v/>
      </c>
      <c r="AQ22" s="7">
        <f>P22*0.0042847645+Q22*0.0008569529</f>
        <v/>
      </c>
      <c r="AR22" s="7">
        <f>Q22*0.0042847645+R22*0.0008569529</f>
        <v/>
      </c>
      <c r="AS22" s="7">
        <f>R22*0.0042847645+S22*0.0008569529</f>
        <v/>
      </c>
      <c r="AT22" s="7">
        <f>S22*0.0042847645+T22*0.0008569529</f>
        <v/>
      </c>
      <c r="AU22" s="7">
        <f>T22*0.0042847645+U22*0.0008569529</f>
        <v/>
      </c>
      <c r="AV22" s="7">
        <f>U22*0.0042847645+V22*0.0008569529</f>
        <v/>
      </c>
      <c r="AW22" s="7">
        <f>V22*0.0042847645+W22*0.0008569529</f>
        <v/>
      </c>
      <c r="AX22" s="7">
        <f>W22*0.0042847645+X22*0.0008569529</f>
        <v/>
      </c>
      <c r="AY22" s="7">
        <f>X22*0.0042847645+Y22*0.0008569529</f>
        <v/>
      </c>
      <c r="AZ22" s="7">
        <f>Y22*0.0042847645+Z22*0.0008569529</f>
        <v/>
      </c>
      <c r="BA22" s="7">
        <f>Z22*0.0042847645+AA22*0.0008569529</f>
        <v/>
      </c>
      <c r="BB22" s="7">
        <f>SUM(AD22:BA22)</f>
        <v/>
      </c>
    </row>
    <row r="23">
      <c r="A23" t="inlineStr">
        <is>
          <t>AMD-EXPR</t>
        </is>
      </c>
      <c r="B23" t="inlineStr">
        <is>
          <t>DSC Manual</t>
        </is>
      </c>
      <c r="C23" s="5" t="n">
        <v>46103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2</v>
      </c>
      <c r="K23" s="6" t="n">
        <v>2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8</v>
      </c>
      <c r="Z23" s="6" t="n">
        <v>0</v>
      </c>
      <c r="AA23" s="6" t="n">
        <v>0</v>
      </c>
      <c r="AB23" s="6">
        <f>SUM(D23:AA23)</f>
        <v/>
      </c>
      <c r="AC23" s="3" t="inlineStr"/>
      <c r="AD23" s="7">
        <f>AA23*0.0042847645+D23*0.0008569529</f>
        <v/>
      </c>
      <c r="AE23" s="7">
        <f>D23*0.0042847645+E23*0.0008569529</f>
        <v/>
      </c>
      <c r="AF23" s="7">
        <f>E23*0.0042847645+F23*0.0008569529</f>
        <v/>
      </c>
      <c r="AG23" s="7">
        <f>F23*0.0042847645+G23*0.0008569529</f>
        <v/>
      </c>
      <c r="AH23" s="7">
        <f>G23*0.0042847645+H23*0.0008569529</f>
        <v/>
      </c>
      <c r="AI23" s="7">
        <f>H23*0.0042847645+I23*0.0008569529</f>
        <v/>
      </c>
      <c r="AJ23" s="7">
        <f>I23*0.0042847645+J23*0.0008569529</f>
        <v/>
      </c>
      <c r="AK23" s="7">
        <f>J23*0.0042847645+K23*0.0008569529</f>
        <v/>
      </c>
      <c r="AL23" s="7">
        <f>K23*0.0042847645+L23*0.0008569529</f>
        <v/>
      </c>
      <c r="AM23" s="7">
        <f>L23*0.0042847645+M23*0.0008569529</f>
        <v/>
      </c>
      <c r="AN23" s="7">
        <f>M23*0.0042847645+N23*0.0008569529</f>
        <v/>
      </c>
      <c r="AO23" s="7">
        <f>N23*0.0042847645+O23*0.0008569529</f>
        <v/>
      </c>
      <c r="AP23" s="7">
        <f>O23*0.0042847645+P23*0.0008569529</f>
        <v/>
      </c>
      <c r="AQ23" s="7">
        <f>P23*0.0042847645+Q23*0.0008569529</f>
        <v/>
      </c>
      <c r="AR23" s="7">
        <f>Q23*0.0042847645+R23*0.0008569529</f>
        <v/>
      </c>
      <c r="AS23" s="7">
        <f>R23*0.0042847645+S23*0.0008569529</f>
        <v/>
      </c>
      <c r="AT23" s="7">
        <f>S23*0.0042847645+T23*0.0008569529</f>
        <v/>
      </c>
      <c r="AU23" s="7">
        <f>T23*0.0042847645+U23*0.0008569529</f>
        <v/>
      </c>
      <c r="AV23" s="7">
        <f>U23*0.0042847645+V23*0.0008569529</f>
        <v/>
      </c>
      <c r="AW23" s="7">
        <f>V23*0.0042847645+W23*0.0008569529</f>
        <v/>
      </c>
      <c r="AX23" s="7">
        <f>W23*0.0042847645+X23*0.0008569529</f>
        <v/>
      </c>
      <c r="AY23" s="7">
        <f>X23*0.0042847645+Y23*0.0008569529</f>
        <v/>
      </c>
      <c r="AZ23" s="7">
        <f>Y23*0.0042847645+Z23*0.0008569529</f>
        <v/>
      </c>
      <c r="BA23" s="7">
        <f>Z23*0.0042847645+AA23*0.0008569529</f>
        <v/>
      </c>
      <c r="BB23" s="7">
        <f>SUM(AD23:BA23)</f>
        <v/>
      </c>
    </row>
    <row r="24">
      <c r="A24" t="inlineStr">
        <is>
          <t>AMD-EXPR</t>
        </is>
      </c>
      <c r="B24" t="inlineStr">
        <is>
          <t>DSC Manual</t>
        </is>
      </c>
      <c r="C24" s="5" t="n">
        <v>46104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5</v>
      </c>
      <c r="Z24" s="6" t="n">
        <v>0</v>
      </c>
      <c r="AA24" s="6" t="n">
        <v>0</v>
      </c>
      <c r="AB24" s="6">
        <f>SUM(D24:AA24)</f>
        <v/>
      </c>
      <c r="AC24" s="3" t="inlineStr"/>
      <c r="AD24" s="7">
        <f>AA24*0.0042847645+D24*0.0008569529</f>
        <v/>
      </c>
      <c r="AE24" s="7">
        <f>D24*0.0042847645+E24*0.0008569529</f>
        <v/>
      </c>
      <c r="AF24" s="7">
        <f>E24*0.0042847645+F24*0.0008569529</f>
        <v/>
      </c>
      <c r="AG24" s="7">
        <f>F24*0.0042847645+G24*0.0008569529</f>
        <v/>
      </c>
      <c r="AH24" s="7">
        <f>G24*0.0042847645+H24*0.0008569529</f>
        <v/>
      </c>
      <c r="AI24" s="7">
        <f>H24*0.0042847645+I24*0.0008569529</f>
        <v/>
      </c>
      <c r="AJ24" s="7">
        <f>I24*0.0042847645+J24*0.0008569529</f>
        <v/>
      </c>
      <c r="AK24" s="7">
        <f>J24*0.0042847645+K24*0.0008569529</f>
        <v/>
      </c>
      <c r="AL24" s="7">
        <f>K24*0.0042847645+L24*0.0008569529</f>
        <v/>
      </c>
      <c r="AM24" s="7">
        <f>L24*0.0042847645+M24*0.0008569529</f>
        <v/>
      </c>
      <c r="AN24" s="7">
        <f>M24*0.0042847645+N24*0.0008569529</f>
        <v/>
      </c>
      <c r="AO24" s="7">
        <f>N24*0.0042847645+O24*0.0008569529</f>
        <v/>
      </c>
      <c r="AP24" s="7">
        <f>O24*0.0042847645+P24*0.0008569529</f>
        <v/>
      </c>
      <c r="AQ24" s="7">
        <f>P24*0.0042847645+Q24*0.0008569529</f>
        <v/>
      </c>
      <c r="AR24" s="7">
        <f>Q24*0.0042847645+R24*0.0008569529</f>
        <v/>
      </c>
      <c r="AS24" s="7">
        <f>R24*0.0042847645+S24*0.0008569529</f>
        <v/>
      </c>
      <c r="AT24" s="7">
        <f>S24*0.0042847645+T24*0.0008569529</f>
        <v/>
      </c>
      <c r="AU24" s="7">
        <f>T24*0.0042847645+U24*0.0008569529</f>
        <v/>
      </c>
      <c r="AV24" s="7">
        <f>U24*0.0042847645+V24*0.0008569529</f>
        <v/>
      </c>
      <c r="AW24" s="7">
        <f>V24*0.0042847645+W24*0.0008569529</f>
        <v/>
      </c>
      <c r="AX24" s="7">
        <f>W24*0.0042847645+X24*0.0008569529</f>
        <v/>
      </c>
      <c r="AY24" s="7">
        <f>X24*0.0042847645+Y24*0.0008569529</f>
        <v/>
      </c>
      <c r="AZ24" s="7">
        <f>Y24*0.0042847645+Z24*0.0008569529</f>
        <v/>
      </c>
      <c r="BA24" s="7">
        <f>Z24*0.0042847645+AA24*0.0008569529</f>
        <v/>
      </c>
      <c r="BB24" s="7">
        <f>SUM(AD24:BA24)</f>
        <v/>
      </c>
    </row>
    <row r="25">
      <c r="A25" t="inlineStr">
        <is>
          <t>AMD-EXPR</t>
        </is>
      </c>
      <c r="B25" t="inlineStr">
        <is>
          <t>DSC Manual</t>
        </is>
      </c>
      <c r="C25" s="5" t="n">
        <v>46105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2</v>
      </c>
      <c r="J25" s="6" t="n">
        <v>1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>
        <f>SUM(D25:AA25)</f>
        <v/>
      </c>
      <c r="AC25" s="3" t="inlineStr"/>
      <c r="AD25" s="7">
        <f>AA25*0.0042847645+D25*0.0008569529</f>
        <v/>
      </c>
      <c r="AE25" s="7">
        <f>D25*0.0042847645+E25*0.0008569529</f>
        <v/>
      </c>
      <c r="AF25" s="7">
        <f>E25*0.0042847645+F25*0.0008569529</f>
        <v/>
      </c>
      <c r="AG25" s="7">
        <f>F25*0.0042847645+G25*0.0008569529</f>
        <v/>
      </c>
      <c r="AH25" s="7">
        <f>G25*0.0042847645+H25*0.0008569529</f>
        <v/>
      </c>
      <c r="AI25" s="7">
        <f>H25*0.0042847645+I25*0.0008569529</f>
        <v/>
      </c>
      <c r="AJ25" s="7">
        <f>I25*0.0042847645+J25*0.0008569529</f>
        <v/>
      </c>
      <c r="AK25" s="7">
        <f>J25*0.0042847645+K25*0.0008569529</f>
        <v/>
      </c>
      <c r="AL25" s="7">
        <f>K25*0.0042847645+L25*0.0008569529</f>
        <v/>
      </c>
      <c r="AM25" s="7">
        <f>L25*0.0042847645+M25*0.0008569529</f>
        <v/>
      </c>
      <c r="AN25" s="7">
        <f>M25*0.0042847645+N25*0.0008569529</f>
        <v/>
      </c>
      <c r="AO25" s="7">
        <f>N25*0.0042847645+O25*0.0008569529</f>
        <v/>
      </c>
      <c r="AP25" s="7">
        <f>O25*0.0042847645+P25*0.0008569529</f>
        <v/>
      </c>
      <c r="AQ25" s="7">
        <f>P25*0.0042847645+Q25*0.0008569529</f>
        <v/>
      </c>
      <c r="AR25" s="7">
        <f>Q25*0.0042847645+R25*0.0008569529</f>
        <v/>
      </c>
      <c r="AS25" s="7">
        <f>R25*0.0042847645+S25*0.0008569529</f>
        <v/>
      </c>
      <c r="AT25" s="7">
        <f>S25*0.0042847645+T25*0.0008569529</f>
        <v/>
      </c>
      <c r="AU25" s="7">
        <f>T25*0.0042847645+U25*0.0008569529</f>
        <v/>
      </c>
      <c r="AV25" s="7">
        <f>U25*0.0042847645+V25*0.0008569529</f>
        <v/>
      </c>
      <c r="AW25" s="7">
        <f>V25*0.0042847645+W25*0.0008569529</f>
        <v/>
      </c>
      <c r="AX25" s="7">
        <f>W25*0.0042847645+X25*0.0008569529</f>
        <v/>
      </c>
      <c r="AY25" s="7">
        <f>X25*0.0042847645+Y25*0.0008569529</f>
        <v/>
      </c>
      <c r="AZ25" s="7">
        <f>Y25*0.0042847645+Z25*0.0008569529</f>
        <v/>
      </c>
      <c r="BA25" s="7">
        <f>Z25*0.0042847645+AA25*0.0008569529</f>
        <v/>
      </c>
      <c r="BB25" s="7">
        <f>SUM(AD25:BA25)</f>
        <v/>
      </c>
    </row>
    <row r="26">
      <c r="A26" t="inlineStr">
        <is>
          <t>AMD-FK-SSC</t>
        </is>
      </c>
      <c r="B26" t="inlineStr">
        <is>
          <t>Prime at Client side</t>
        </is>
      </c>
      <c r="C26" s="5" t="n">
        <v>46089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2</v>
      </c>
      <c r="P26" s="6" t="n">
        <v>6</v>
      </c>
      <c r="Q26" s="6" t="n">
        <v>15</v>
      </c>
      <c r="R26" s="6" t="n">
        <v>7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>
        <f>SUM(D26:AA26)</f>
        <v/>
      </c>
      <c r="AC26" s="3" t="inlineStr"/>
      <c r="AD26" s="7">
        <f>AA26*0.0042847645+D26*0.0008569529</f>
        <v/>
      </c>
      <c r="AE26" s="7">
        <f>D26*0.0042847645+E26*0.0008569529</f>
        <v/>
      </c>
      <c r="AF26" s="7">
        <f>E26*0.0042847645+F26*0.0008569529</f>
        <v/>
      </c>
      <c r="AG26" s="7">
        <f>F26*0.0042847645+G26*0.0008569529</f>
        <v/>
      </c>
      <c r="AH26" s="7">
        <f>G26*0.0042847645+H26*0.0008569529</f>
        <v/>
      </c>
      <c r="AI26" s="7">
        <f>H26*0.0042847645+I26*0.0008569529</f>
        <v/>
      </c>
      <c r="AJ26" s="7">
        <f>I26*0.0042847645+J26*0.0008569529</f>
        <v/>
      </c>
      <c r="AK26" s="7">
        <f>J26*0.0042847645+K26*0.0008569529</f>
        <v/>
      </c>
      <c r="AL26" s="7">
        <f>K26*0.0042847645+L26*0.0008569529</f>
        <v/>
      </c>
      <c r="AM26" s="7">
        <f>L26*0.0042847645+M26*0.0008569529</f>
        <v/>
      </c>
      <c r="AN26" s="7">
        <f>M26*0.0042847645+N26*0.0008569529</f>
        <v/>
      </c>
      <c r="AO26" s="7">
        <f>N26*0.0042847645+O26*0.0008569529</f>
        <v/>
      </c>
      <c r="AP26" s="7">
        <f>O26*0.0042847645+P26*0.0008569529</f>
        <v/>
      </c>
      <c r="AQ26" s="7">
        <f>P26*0.0042847645+Q26*0.0008569529</f>
        <v/>
      </c>
      <c r="AR26" s="7">
        <f>Q26*0.0042847645+R26*0.0008569529</f>
        <v/>
      </c>
      <c r="AS26" s="7">
        <f>R26*0.0042847645+S26*0.0008569529</f>
        <v/>
      </c>
      <c r="AT26" s="7">
        <f>S26*0.0042847645+T26*0.0008569529</f>
        <v/>
      </c>
      <c r="AU26" s="7">
        <f>T26*0.0042847645+U26*0.0008569529</f>
        <v/>
      </c>
      <c r="AV26" s="7">
        <f>U26*0.0042847645+V26*0.0008569529</f>
        <v/>
      </c>
      <c r="AW26" s="7">
        <f>V26*0.0042847645+W26*0.0008569529</f>
        <v/>
      </c>
      <c r="AX26" s="7">
        <f>W26*0.0042847645+X26*0.0008569529</f>
        <v/>
      </c>
      <c r="AY26" s="7">
        <f>X26*0.0042847645+Y26*0.0008569529</f>
        <v/>
      </c>
      <c r="AZ26" s="7">
        <f>Y26*0.0042847645+Z26*0.0008569529</f>
        <v/>
      </c>
      <c r="BA26" s="7">
        <f>Z26*0.0042847645+AA26*0.0008569529</f>
        <v/>
      </c>
      <c r="BB26" s="7">
        <f>SUM(AD26:BA26)</f>
        <v/>
      </c>
    </row>
    <row r="27">
      <c r="A27" t="inlineStr">
        <is>
          <t>AMD-FK-SSC</t>
        </is>
      </c>
      <c r="B27" t="inlineStr">
        <is>
          <t>Prime at Client side</t>
        </is>
      </c>
      <c r="C27" s="5" t="n">
        <v>46090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4</v>
      </c>
      <c r="P27" s="6" t="n">
        <v>8</v>
      </c>
      <c r="Q27" s="6" t="n">
        <v>14</v>
      </c>
      <c r="R27" s="6" t="n">
        <v>1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>
        <f>SUM(D27:AA27)</f>
        <v/>
      </c>
      <c r="AC27" s="3" t="inlineStr"/>
      <c r="AD27" s="7">
        <f>AA27*0.0042847645+D27*0.0008569529</f>
        <v/>
      </c>
      <c r="AE27" s="7">
        <f>D27*0.0042847645+E27*0.0008569529</f>
        <v/>
      </c>
      <c r="AF27" s="7">
        <f>E27*0.0042847645+F27*0.0008569529</f>
        <v/>
      </c>
      <c r="AG27" s="7">
        <f>F27*0.0042847645+G27*0.0008569529</f>
        <v/>
      </c>
      <c r="AH27" s="7">
        <f>G27*0.0042847645+H27*0.0008569529</f>
        <v/>
      </c>
      <c r="AI27" s="7">
        <f>H27*0.0042847645+I27*0.0008569529</f>
        <v/>
      </c>
      <c r="AJ27" s="7">
        <f>I27*0.0042847645+J27*0.0008569529</f>
        <v/>
      </c>
      <c r="AK27" s="7">
        <f>J27*0.0042847645+K27*0.0008569529</f>
        <v/>
      </c>
      <c r="AL27" s="7">
        <f>K27*0.0042847645+L27*0.0008569529</f>
        <v/>
      </c>
      <c r="AM27" s="7">
        <f>L27*0.0042847645+M27*0.0008569529</f>
        <v/>
      </c>
      <c r="AN27" s="7">
        <f>M27*0.0042847645+N27*0.0008569529</f>
        <v/>
      </c>
      <c r="AO27" s="7">
        <f>N27*0.0042847645+O27*0.0008569529</f>
        <v/>
      </c>
      <c r="AP27" s="7">
        <f>O27*0.0042847645+P27*0.0008569529</f>
        <v/>
      </c>
      <c r="AQ27" s="7">
        <f>P27*0.0042847645+Q27*0.0008569529</f>
        <v/>
      </c>
      <c r="AR27" s="7">
        <f>Q27*0.0042847645+R27*0.0008569529</f>
        <v/>
      </c>
      <c r="AS27" s="7">
        <f>R27*0.0042847645+S27*0.0008569529</f>
        <v/>
      </c>
      <c r="AT27" s="7">
        <f>S27*0.0042847645+T27*0.0008569529</f>
        <v/>
      </c>
      <c r="AU27" s="7">
        <f>T27*0.0042847645+U27*0.0008569529</f>
        <v/>
      </c>
      <c r="AV27" s="7">
        <f>U27*0.0042847645+V27*0.0008569529</f>
        <v/>
      </c>
      <c r="AW27" s="7">
        <f>V27*0.0042847645+W27*0.0008569529</f>
        <v/>
      </c>
      <c r="AX27" s="7">
        <f>W27*0.0042847645+X27*0.0008569529</f>
        <v/>
      </c>
      <c r="AY27" s="7">
        <f>X27*0.0042847645+Y27*0.0008569529</f>
        <v/>
      </c>
      <c r="AZ27" s="7">
        <f>Y27*0.0042847645+Z27*0.0008569529</f>
        <v/>
      </c>
      <c r="BA27" s="7">
        <f>Z27*0.0042847645+AA27*0.0008569529</f>
        <v/>
      </c>
      <c r="BB27" s="7">
        <f>SUM(AD27:BA27)</f>
        <v/>
      </c>
    </row>
    <row r="28">
      <c r="A28" t="inlineStr">
        <is>
          <t>AMD-FK-SSC</t>
        </is>
      </c>
      <c r="B28" t="inlineStr">
        <is>
          <t>Prime at Client side</t>
        </is>
      </c>
      <c r="C28" s="5" t="n">
        <v>46091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0</v>
      </c>
      <c r="O28" s="6" t="n">
        <v>10</v>
      </c>
      <c r="P28" s="6" t="n">
        <v>6</v>
      </c>
      <c r="Q28" s="6" t="n">
        <v>10</v>
      </c>
      <c r="R28" s="6" t="n">
        <v>8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>
        <f>SUM(D28:AA28)</f>
        <v/>
      </c>
      <c r="AC28" s="3" t="inlineStr"/>
      <c r="AD28" s="7">
        <f>AA28*0.0042847645+D28*0.0008569529</f>
        <v/>
      </c>
      <c r="AE28" s="7">
        <f>D28*0.0042847645+E28*0.0008569529</f>
        <v/>
      </c>
      <c r="AF28" s="7">
        <f>E28*0.0042847645+F28*0.0008569529</f>
        <v/>
      </c>
      <c r="AG28" s="7">
        <f>F28*0.0042847645+G28*0.0008569529</f>
        <v/>
      </c>
      <c r="AH28" s="7">
        <f>G28*0.0042847645+H28*0.0008569529</f>
        <v/>
      </c>
      <c r="AI28" s="7">
        <f>H28*0.0042847645+I28*0.0008569529</f>
        <v/>
      </c>
      <c r="AJ28" s="7">
        <f>I28*0.0042847645+J28*0.0008569529</f>
        <v/>
      </c>
      <c r="AK28" s="7">
        <f>J28*0.0042847645+K28*0.0008569529</f>
        <v/>
      </c>
      <c r="AL28" s="7">
        <f>K28*0.0042847645+L28*0.0008569529</f>
        <v/>
      </c>
      <c r="AM28" s="7">
        <f>L28*0.0042847645+M28*0.0008569529</f>
        <v/>
      </c>
      <c r="AN28" s="7">
        <f>M28*0.0042847645+N28*0.0008569529</f>
        <v/>
      </c>
      <c r="AO28" s="7">
        <f>N28*0.0042847645+O28*0.0008569529</f>
        <v/>
      </c>
      <c r="AP28" s="7">
        <f>O28*0.0042847645+P28*0.0008569529</f>
        <v/>
      </c>
      <c r="AQ28" s="7">
        <f>P28*0.0042847645+Q28*0.0008569529</f>
        <v/>
      </c>
      <c r="AR28" s="7">
        <f>Q28*0.0042847645+R28*0.0008569529</f>
        <v/>
      </c>
      <c r="AS28" s="7">
        <f>R28*0.0042847645+S28*0.0008569529</f>
        <v/>
      </c>
      <c r="AT28" s="7">
        <f>S28*0.0042847645+T28*0.0008569529</f>
        <v/>
      </c>
      <c r="AU28" s="7">
        <f>T28*0.0042847645+U28*0.0008569529</f>
        <v/>
      </c>
      <c r="AV28" s="7">
        <f>U28*0.0042847645+V28*0.0008569529</f>
        <v/>
      </c>
      <c r="AW28" s="7">
        <f>V28*0.0042847645+W28*0.0008569529</f>
        <v/>
      </c>
      <c r="AX28" s="7">
        <f>W28*0.0042847645+X28*0.0008569529</f>
        <v/>
      </c>
      <c r="AY28" s="7">
        <f>X28*0.0042847645+Y28*0.0008569529</f>
        <v/>
      </c>
      <c r="AZ28" s="7">
        <f>Y28*0.0042847645+Z28*0.0008569529</f>
        <v/>
      </c>
      <c r="BA28" s="7">
        <f>Z28*0.0042847645+AA28*0.0008569529</f>
        <v/>
      </c>
      <c r="BB28" s="7">
        <f>SUM(AD28:BA28)</f>
        <v/>
      </c>
    </row>
    <row r="29">
      <c r="A29" t="inlineStr">
        <is>
          <t>AMD-FK-SSC</t>
        </is>
      </c>
      <c r="B29" t="inlineStr">
        <is>
          <t>Prime at Client side</t>
        </is>
      </c>
      <c r="C29" s="5" t="n">
        <v>46092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9</v>
      </c>
      <c r="P29" s="6" t="n">
        <v>3</v>
      </c>
      <c r="Q29" s="6" t="n">
        <v>10</v>
      </c>
      <c r="R29" s="6" t="n">
        <v>6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>
        <f>SUM(D29:AA29)</f>
        <v/>
      </c>
      <c r="AC29" s="3" t="inlineStr"/>
      <c r="AD29" s="7">
        <f>AA29*0.0042847645+D29*0.0008569529</f>
        <v/>
      </c>
      <c r="AE29" s="7">
        <f>D29*0.0042847645+E29*0.0008569529</f>
        <v/>
      </c>
      <c r="AF29" s="7">
        <f>E29*0.0042847645+F29*0.0008569529</f>
        <v/>
      </c>
      <c r="AG29" s="7">
        <f>F29*0.0042847645+G29*0.0008569529</f>
        <v/>
      </c>
      <c r="AH29" s="7">
        <f>G29*0.0042847645+H29*0.0008569529</f>
        <v/>
      </c>
      <c r="AI29" s="7">
        <f>H29*0.0042847645+I29*0.0008569529</f>
        <v/>
      </c>
      <c r="AJ29" s="7">
        <f>I29*0.0042847645+J29*0.0008569529</f>
        <v/>
      </c>
      <c r="AK29" s="7">
        <f>J29*0.0042847645+K29*0.0008569529</f>
        <v/>
      </c>
      <c r="AL29" s="7">
        <f>K29*0.0042847645+L29*0.0008569529</f>
        <v/>
      </c>
      <c r="AM29" s="7">
        <f>L29*0.0042847645+M29*0.0008569529</f>
        <v/>
      </c>
      <c r="AN29" s="7">
        <f>M29*0.0042847645+N29*0.0008569529</f>
        <v/>
      </c>
      <c r="AO29" s="7">
        <f>N29*0.0042847645+O29*0.0008569529</f>
        <v/>
      </c>
      <c r="AP29" s="7">
        <f>O29*0.0042847645+P29*0.0008569529</f>
        <v/>
      </c>
      <c r="AQ29" s="7">
        <f>P29*0.0042847645+Q29*0.0008569529</f>
        <v/>
      </c>
      <c r="AR29" s="7">
        <f>Q29*0.0042847645+R29*0.0008569529</f>
        <v/>
      </c>
      <c r="AS29" s="7">
        <f>R29*0.0042847645+S29*0.0008569529</f>
        <v/>
      </c>
      <c r="AT29" s="7">
        <f>S29*0.0042847645+T29*0.0008569529</f>
        <v/>
      </c>
      <c r="AU29" s="7">
        <f>T29*0.0042847645+U29*0.0008569529</f>
        <v/>
      </c>
      <c r="AV29" s="7">
        <f>U29*0.0042847645+V29*0.0008569529</f>
        <v/>
      </c>
      <c r="AW29" s="7">
        <f>V29*0.0042847645+W29*0.0008569529</f>
        <v/>
      </c>
      <c r="AX29" s="7">
        <f>W29*0.0042847645+X29*0.0008569529</f>
        <v/>
      </c>
      <c r="AY29" s="7">
        <f>X29*0.0042847645+Y29*0.0008569529</f>
        <v/>
      </c>
      <c r="AZ29" s="7">
        <f>Y29*0.0042847645+Z29*0.0008569529</f>
        <v/>
      </c>
      <c r="BA29" s="7">
        <f>Z29*0.0042847645+AA29*0.0008569529</f>
        <v/>
      </c>
      <c r="BB29" s="7">
        <f>SUM(AD29:BA29)</f>
        <v/>
      </c>
    </row>
    <row r="30">
      <c r="A30" t="inlineStr">
        <is>
          <t>AMD-FK-SSC</t>
        </is>
      </c>
      <c r="B30" t="inlineStr">
        <is>
          <t>Prime at Client side</t>
        </is>
      </c>
      <c r="C30" s="5" t="n">
        <v>46093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11</v>
      </c>
      <c r="Q30" s="6" t="n">
        <v>8</v>
      </c>
      <c r="R30" s="6" t="n">
        <v>8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>
        <f>SUM(D30:AA30)</f>
        <v/>
      </c>
      <c r="AC30" s="3" t="inlineStr"/>
      <c r="AD30" s="7">
        <f>AA30*0.0042847645+D30*0.0008569529</f>
        <v/>
      </c>
      <c r="AE30" s="7">
        <f>D30*0.0042847645+E30*0.0008569529</f>
        <v/>
      </c>
      <c r="AF30" s="7">
        <f>E30*0.0042847645+F30*0.0008569529</f>
        <v/>
      </c>
      <c r="AG30" s="7">
        <f>F30*0.0042847645+G30*0.0008569529</f>
        <v/>
      </c>
      <c r="AH30" s="7">
        <f>G30*0.0042847645+H30*0.0008569529</f>
        <v/>
      </c>
      <c r="AI30" s="7">
        <f>H30*0.0042847645+I30*0.0008569529</f>
        <v/>
      </c>
      <c r="AJ30" s="7">
        <f>I30*0.0042847645+J30*0.0008569529</f>
        <v/>
      </c>
      <c r="AK30" s="7">
        <f>J30*0.0042847645+K30*0.0008569529</f>
        <v/>
      </c>
      <c r="AL30" s="7">
        <f>K30*0.0042847645+L30*0.0008569529</f>
        <v/>
      </c>
      <c r="AM30" s="7">
        <f>L30*0.0042847645+M30*0.0008569529</f>
        <v/>
      </c>
      <c r="AN30" s="7">
        <f>M30*0.0042847645+N30*0.0008569529</f>
        <v/>
      </c>
      <c r="AO30" s="7">
        <f>N30*0.0042847645+O30*0.0008569529</f>
        <v/>
      </c>
      <c r="AP30" s="7">
        <f>O30*0.0042847645+P30*0.0008569529</f>
        <v/>
      </c>
      <c r="AQ30" s="7">
        <f>P30*0.0042847645+Q30*0.0008569529</f>
        <v/>
      </c>
      <c r="AR30" s="7">
        <f>Q30*0.0042847645+R30*0.0008569529</f>
        <v/>
      </c>
      <c r="AS30" s="7">
        <f>R30*0.0042847645+S30*0.0008569529</f>
        <v/>
      </c>
      <c r="AT30" s="7">
        <f>S30*0.0042847645+T30*0.0008569529</f>
        <v/>
      </c>
      <c r="AU30" s="7">
        <f>T30*0.0042847645+U30*0.0008569529</f>
        <v/>
      </c>
      <c r="AV30" s="7">
        <f>U30*0.0042847645+V30*0.0008569529</f>
        <v/>
      </c>
      <c r="AW30" s="7">
        <f>V30*0.0042847645+W30*0.0008569529</f>
        <v/>
      </c>
      <c r="AX30" s="7">
        <f>W30*0.0042847645+X30*0.0008569529</f>
        <v/>
      </c>
      <c r="AY30" s="7">
        <f>X30*0.0042847645+Y30*0.0008569529</f>
        <v/>
      </c>
      <c r="AZ30" s="7">
        <f>Y30*0.0042847645+Z30*0.0008569529</f>
        <v/>
      </c>
      <c r="BA30" s="7">
        <f>Z30*0.0042847645+AA30*0.0008569529</f>
        <v/>
      </c>
      <c r="BB30" s="7">
        <f>SUM(AD30:BA30)</f>
        <v/>
      </c>
    </row>
    <row r="31">
      <c r="A31" t="inlineStr">
        <is>
          <t>AMD-FK-SSC</t>
        </is>
      </c>
      <c r="B31" t="inlineStr">
        <is>
          <t>Prime at Client side</t>
        </is>
      </c>
      <c r="C31" s="5" t="n">
        <v>46094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4</v>
      </c>
      <c r="P31" s="6" t="n">
        <v>3</v>
      </c>
      <c r="Q31" s="6" t="n">
        <v>9</v>
      </c>
      <c r="R31" s="6" t="n">
        <v>1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>
        <f>SUM(D31:AA31)</f>
        <v/>
      </c>
      <c r="AC31" s="3" t="inlineStr"/>
      <c r="AD31" s="7">
        <f>AA31*0.0042847645+D31*0.0008569529</f>
        <v/>
      </c>
      <c r="AE31" s="7">
        <f>D31*0.0042847645+E31*0.0008569529</f>
        <v/>
      </c>
      <c r="AF31" s="7">
        <f>E31*0.0042847645+F31*0.0008569529</f>
        <v/>
      </c>
      <c r="AG31" s="7">
        <f>F31*0.0042847645+G31*0.0008569529</f>
        <v/>
      </c>
      <c r="AH31" s="7">
        <f>G31*0.0042847645+H31*0.0008569529</f>
        <v/>
      </c>
      <c r="AI31" s="7">
        <f>H31*0.0042847645+I31*0.0008569529</f>
        <v/>
      </c>
      <c r="AJ31" s="7">
        <f>I31*0.0042847645+J31*0.0008569529</f>
        <v/>
      </c>
      <c r="AK31" s="7">
        <f>J31*0.0042847645+K31*0.0008569529</f>
        <v/>
      </c>
      <c r="AL31" s="7">
        <f>K31*0.0042847645+L31*0.0008569529</f>
        <v/>
      </c>
      <c r="AM31" s="7">
        <f>L31*0.0042847645+M31*0.0008569529</f>
        <v/>
      </c>
      <c r="AN31" s="7">
        <f>M31*0.0042847645+N31*0.0008569529</f>
        <v/>
      </c>
      <c r="AO31" s="7">
        <f>N31*0.0042847645+O31*0.0008569529</f>
        <v/>
      </c>
      <c r="AP31" s="7">
        <f>O31*0.0042847645+P31*0.0008569529</f>
        <v/>
      </c>
      <c r="AQ31" s="7">
        <f>P31*0.0042847645+Q31*0.0008569529</f>
        <v/>
      </c>
      <c r="AR31" s="7">
        <f>Q31*0.0042847645+R31*0.0008569529</f>
        <v/>
      </c>
      <c r="AS31" s="7">
        <f>R31*0.0042847645+S31*0.0008569529</f>
        <v/>
      </c>
      <c r="AT31" s="7">
        <f>S31*0.0042847645+T31*0.0008569529</f>
        <v/>
      </c>
      <c r="AU31" s="7">
        <f>T31*0.0042847645+U31*0.0008569529</f>
        <v/>
      </c>
      <c r="AV31" s="7">
        <f>U31*0.0042847645+V31*0.0008569529</f>
        <v/>
      </c>
      <c r="AW31" s="7">
        <f>V31*0.0042847645+W31*0.0008569529</f>
        <v/>
      </c>
      <c r="AX31" s="7">
        <f>W31*0.0042847645+X31*0.0008569529</f>
        <v/>
      </c>
      <c r="AY31" s="7">
        <f>X31*0.0042847645+Y31*0.0008569529</f>
        <v/>
      </c>
      <c r="AZ31" s="7">
        <f>Y31*0.0042847645+Z31*0.0008569529</f>
        <v/>
      </c>
      <c r="BA31" s="7">
        <f>Z31*0.0042847645+AA31*0.0008569529</f>
        <v/>
      </c>
      <c r="BB31" s="7">
        <f>SUM(AD31:BA31)</f>
        <v/>
      </c>
    </row>
    <row r="32">
      <c r="A32" t="inlineStr">
        <is>
          <t>AMD-FK-SSC</t>
        </is>
      </c>
      <c r="B32" t="inlineStr">
        <is>
          <t>Prime at Client side</t>
        </is>
      </c>
      <c r="C32" s="5" t="n">
        <v>46095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2</v>
      </c>
      <c r="P32" s="6" t="n">
        <v>7</v>
      </c>
      <c r="Q32" s="6" t="n">
        <v>12</v>
      </c>
      <c r="R32" s="6" t="n">
        <v>5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>
        <f>SUM(D32:AA32)</f>
        <v/>
      </c>
      <c r="AC32" s="3" t="inlineStr"/>
      <c r="AD32" s="7">
        <f>AA32*0.0042847645+D32*0.0008569529</f>
        <v/>
      </c>
      <c r="AE32" s="7">
        <f>D32*0.0042847645+E32*0.0008569529</f>
        <v/>
      </c>
      <c r="AF32" s="7">
        <f>E32*0.0042847645+F32*0.0008569529</f>
        <v/>
      </c>
      <c r="AG32" s="7">
        <f>F32*0.0042847645+G32*0.0008569529</f>
        <v/>
      </c>
      <c r="AH32" s="7">
        <f>G32*0.0042847645+H32*0.0008569529</f>
        <v/>
      </c>
      <c r="AI32" s="7">
        <f>H32*0.0042847645+I32*0.0008569529</f>
        <v/>
      </c>
      <c r="AJ32" s="7">
        <f>I32*0.0042847645+J32*0.0008569529</f>
        <v/>
      </c>
      <c r="AK32" s="7">
        <f>J32*0.0042847645+K32*0.0008569529</f>
        <v/>
      </c>
      <c r="AL32" s="7">
        <f>K32*0.0042847645+L32*0.0008569529</f>
        <v/>
      </c>
      <c r="AM32" s="7">
        <f>L32*0.0042847645+M32*0.0008569529</f>
        <v/>
      </c>
      <c r="AN32" s="7">
        <f>M32*0.0042847645+N32*0.0008569529</f>
        <v/>
      </c>
      <c r="AO32" s="7">
        <f>N32*0.0042847645+O32*0.0008569529</f>
        <v/>
      </c>
      <c r="AP32" s="7">
        <f>O32*0.0042847645+P32*0.0008569529</f>
        <v/>
      </c>
      <c r="AQ32" s="7">
        <f>P32*0.0042847645+Q32*0.0008569529</f>
        <v/>
      </c>
      <c r="AR32" s="7">
        <f>Q32*0.0042847645+R32*0.0008569529</f>
        <v/>
      </c>
      <c r="AS32" s="7">
        <f>R32*0.0042847645+S32*0.0008569529</f>
        <v/>
      </c>
      <c r="AT32" s="7">
        <f>S32*0.0042847645+T32*0.0008569529</f>
        <v/>
      </c>
      <c r="AU32" s="7">
        <f>T32*0.0042847645+U32*0.0008569529</f>
        <v/>
      </c>
      <c r="AV32" s="7">
        <f>U32*0.0042847645+V32*0.0008569529</f>
        <v/>
      </c>
      <c r="AW32" s="7">
        <f>V32*0.0042847645+W32*0.0008569529</f>
        <v/>
      </c>
      <c r="AX32" s="7">
        <f>W32*0.0042847645+X32*0.0008569529</f>
        <v/>
      </c>
      <c r="AY32" s="7">
        <f>X32*0.0042847645+Y32*0.0008569529</f>
        <v/>
      </c>
      <c r="AZ32" s="7">
        <f>Y32*0.0042847645+Z32*0.0008569529</f>
        <v/>
      </c>
      <c r="BA32" s="7">
        <f>Z32*0.0042847645+AA32*0.0008569529</f>
        <v/>
      </c>
      <c r="BB32" s="7">
        <f>SUM(AD32:BA32)</f>
        <v/>
      </c>
    </row>
    <row r="33">
      <c r="A33" t="inlineStr">
        <is>
          <t>AMD-FK-SSC</t>
        </is>
      </c>
      <c r="B33" t="inlineStr">
        <is>
          <t>Prime at Client side</t>
        </is>
      </c>
      <c r="C33" s="5" t="n">
        <v>46096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3</v>
      </c>
      <c r="P33" s="6" t="n">
        <v>3</v>
      </c>
      <c r="Q33" s="6" t="n">
        <v>11</v>
      </c>
      <c r="R33" s="6" t="n">
        <v>5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6">
        <f>SUM(D33:AA33)</f>
        <v/>
      </c>
      <c r="AC33" s="3" t="inlineStr"/>
      <c r="AD33" s="7">
        <f>AA33*0.0042847645+D33*0.0008569529</f>
        <v/>
      </c>
      <c r="AE33" s="7">
        <f>D33*0.0042847645+E33*0.0008569529</f>
        <v/>
      </c>
      <c r="AF33" s="7">
        <f>E33*0.0042847645+F33*0.0008569529</f>
        <v/>
      </c>
      <c r="AG33" s="7">
        <f>F33*0.0042847645+G33*0.0008569529</f>
        <v/>
      </c>
      <c r="AH33" s="7">
        <f>G33*0.0042847645+H33*0.0008569529</f>
        <v/>
      </c>
      <c r="AI33" s="7">
        <f>H33*0.0042847645+I33*0.0008569529</f>
        <v/>
      </c>
      <c r="AJ33" s="7">
        <f>I33*0.0042847645+J33*0.0008569529</f>
        <v/>
      </c>
      <c r="AK33" s="7">
        <f>J33*0.0042847645+K33*0.0008569529</f>
        <v/>
      </c>
      <c r="AL33" s="7">
        <f>K33*0.0042847645+L33*0.0008569529</f>
        <v/>
      </c>
      <c r="AM33" s="7">
        <f>L33*0.0042847645+M33*0.0008569529</f>
        <v/>
      </c>
      <c r="AN33" s="7">
        <f>M33*0.0042847645+N33*0.0008569529</f>
        <v/>
      </c>
      <c r="AO33" s="7">
        <f>N33*0.0042847645+O33*0.0008569529</f>
        <v/>
      </c>
      <c r="AP33" s="7">
        <f>O33*0.0042847645+P33*0.0008569529</f>
        <v/>
      </c>
      <c r="AQ33" s="7">
        <f>P33*0.0042847645+Q33*0.0008569529</f>
        <v/>
      </c>
      <c r="AR33" s="7">
        <f>Q33*0.0042847645+R33*0.0008569529</f>
        <v/>
      </c>
      <c r="AS33" s="7">
        <f>R33*0.0042847645+S33*0.0008569529</f>
        <v/>
      </c>
      <c r="AT33" s="7">
        <f>S33*0.0042847645+T33*0.0008569529</f>
        <v/>
      </c>
      <c r="AU33" s="7">
        <f>T33*0.0042847645+U33*0.0008569529</f>
        <v/>
      </c>
      <c r="AV33" s="7">
        <f>U33*0.0042847645+V33*0.0008569529</f>
        <v/>
      </c>
      <c r="AW33" s="7">
        <f>V33*0.0042847645+W33*0.0008569529</f>
        <v/>
      </c>
      <c r="AX33" s="7">
        <f>W33*0.0042847645+X33*0.0008569529</f>
        <v/>
      </c>
      <c r="AY33" s="7">
        <f>X33*0.0042847645+Y33*0.0008569529</f>
        <v/>
      </c>
      <c r="AZ33" s="7">
        <f>Y33*0.0042847645+Z33*0.0008569529</f>
        <v/>
      </c>
      <c r="BA33" s="7">
        <f>Z33*0.0042847645+AA33*0.0008569529</f>
        <v/>
      </c>
      <c r="BB33" s="7">
        <f>SUM(AD33:BA33)</f>
        <v/>
      </c>
    </row>
    <row r="34">
      <c r="A34" t="inlineStr">
        <is>
          <t>AMD-FK-SSC</t>
        </is>
      </c>
      <c r="B34" t="inlineStr">
        <is>
          <t>Prime at Client side</t>
        </is>
      </c>
      <c r="C34" s="5" t="n">
        <v>46097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7</v>
      </c>
      <c r="P34" s="6" t="n">
        <v>3</v>
      </c>
      <c r="Q34" s="6" t="n">
        <v>9</v>
      </c>
      <c r="R34" s="6" t="n">
        <v>2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>
        <f>SUM(D34:AA34)</f>
        <v/>
      </c>
      <c r="AC34" s="3" t="inlineStr"/>
      <c r="AD34" s="7">
        <f>AA34*0.0042847645+D34*0.0008569529</f>
        <v/>
      </c>
      <c r="AE34" s="7">
        <f>D34*0.0042847645+E34*0.0008569529</f>
        <v/>
      </c>
      <c r="AF34" s="7">
        <f>E34*0.0042847645+F34*0.0008569529</f>
        <v/>
      </c>
      <c r="AG34" s="7">
        <f>F34*0.0042847645+G34*0.0008569529</f>
        <v/>
      </c>
      <c r="AH34" s="7">
        <f>G34*0.0042847645+H34*0.0008569529</f>
        <v/>
      </c>
      <c r="AI34" s="7">
        <f>H34*0.0042847645+I34*0.0008569529</f>
        <v/>
      </c>
      <c r="AJ34" s="7">
        <f>I34*0.0042847645+J34*0.0008569529</f>
        <v/>
      </c>
      <c r="AK34" s="7">
        <f>J34*0.0042847645+K34*0.0008569529</f>
        <v/>
      </c>
      <c r="AL34" s="7">
        <f>K34*0.0042847645+L34*0.0008569529</f>
        <v/>
      </c>
      <c r="AM34" s="7">
        <f>L34*0.0042847645+M34*0.0008569529</f>
        <v/>
      </c>
      <c r="AN34" s="7">
        <f>M34*0.0042847645+N34*0.0008569529</f>
        <v/>
      </c>
      <c r="AO34" s="7">
        <f>N34*0.0042847645+O34*0.0008569529</f>
        <v/>
      </c>
      <c r="AP34" s="7">
        <f>O34*0.0042847645+P34*0.0008569529</f>
        <v/>
      </c>
      <c r="AQ34" s="7">
        <f>P34*0.0042847645+Q34*0.0008569529</f>
        <v/>
      </c>
      <c r="AR34" s="7">
        <f>Q34*0.0042847645+R34*0.0008569529</f>
        <v/>
      </c>
      <c r="AS34" s="7">
        <f>R34*0.0042847645+S34*0.0008569529</f>
        <v/>
      </c>
      <c r="AT34" s="7">
        <f>S34*0.0042847645+T34*0.0008569529</f>
        <v/>
      </c>
      <c r="AU34" s="7">
        <f>T34*0.0042847645+U34*0.0008569529</f>
        <v/>
      </c>
      <c r="AV34" s="7">
        <f>U34*0.0042847645+V34*0.0008569529</f>
        <v/>
      </c>
      <c r="AW34" s="7">
        <f>V34*0.0042847645+W34*0.0008569529</f>
        <v/>
      </c>
      <c r="AX34" s="7">
        <f>W34*0.0042847645+X34*0.0008569529</f>
        <v/>
      </c>
      <c r="AY34" s="7">
        <f>X34*0.0042847645+Y34*0.0008569529</f>
        <v/>
      </c>
      <c r="AZ34" s="7">
        <f>Y34*0.0042847645+Z34*0.0008569529</f>
        <v/>
      </c>
      <c r="BA34" s="7">
        <f>Z34*0.0042847645+AA34*0.0008569529</f>
        <v/>
      </c>
      <c r="BB34" s="7">
        <f>SUM(AD34:BA34)</f>
        <v/>
      </c>
    </row>
    <row r="35">
      <c r="A35" t="inlineStr">
        <is>
          <t>AMD-FK-SSC</t>
        </is>
      </c>
      <c r="B35" t="inlineStr">
        <is>
          <t>Prime at Client side</t>
        </is>
      </c>
      <c r="C35" s="5" t="n">
        <v>46098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3</v>
      </c>
      <c r="Q35" s="6" t="n">
        <v>7</v>
      </c>
      <c r="R35" s="6" t="n">
        <v>8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>
        <f>SUM(D35:AA35)</f>
        <v/>
      </c>
      <c r="AC35" s="3" t="inlineStr"/>
      <c r="AD35" s="7">
        <f>AA35*0.0042847645+D35*0.0008569529</f>
        <v/>
      </c>
      <c r="AE35" s="7">
        <f>D35*0.0042847645+E35*0.0008569529</f>
        <v/>
      </c>
      <c r="AF35" s="7">
        <f>E35*0.0042847645+F35*0.0008569529</f>
        <v/>
      </c>
      <c r="AG35" s="7">
        <f>F35*0.0042847645+G35*0.0008569529</f>
        <v/>
      </c>
      <c r="AH35" s="7">
        <f>G35*0.0042847645+H35*0.0008569529</f>
        <v/>
      </c>
      <c r="AI35" s="7">
        <f>H35*0.0042847645+I35*0.0008569529</f>
        <v/>
      </c>
      <c r="AJ35" s="7">
        <f>I35*0.0042847645+J35*0.0008569529</f>
        <v/>
      </c>
      <c r="AK35" s="7">
        <f>J35*0.0042847645+K35*0.0008569529</f>
        <v/>
      </c>
      <c r="AL35" s="7">
        <f>K35*0.0042847645+L35*0.0008569529</f>
        <v/>
      </c>
      <c r="AM35" s="7">
        <f>L35*0.0042847645+M35*0.0008569529</f>
        <v/>
      </c>
      <c r="AN35" s="7">
        <f>M35*0.0042847645+N35*0.0008569529</f>
        <v/>
      </c>
      <c r="AO35" s="7">
        <f>N35*0.0042847645+O35*0.0008569529</f>
        <v/>
      </c>
      <c r="AP35" s="7">
        <f>O35*0.0042847645+P35*0.0008569529</f>
        <v/>
      </c>
      <c r="AQ35" s="7">
        <f>P35*0.0042847645+Q35*0.0008569529</f>
        <v/>
      </c>
      <c r="AR35" s="7">
        <f>Q35*0.0042847645+R35*0.0008569529</f>
        <v/>
      </c>
      <c r="AS35" s="7">
        <f>R35*0.0042847645+S35*0.0008569529</f>
        <v/>
      </c>
      <c r="AT35" s="7">
        <f>S35*0.0042847645+T35*0.0008569529</f>
        <v/>
      </c>
      <c r="AU35" s="7">
        <f>T35*0.0042847645+U35*0.0008569529</f>
        <v/>
      </c>
      <c r="AV35" s="7">
        <f>U35*0.0042847645+V35*0.0008569529</f>
        <v/>
      </c>
      <c r="AW35" s="7">
        <f>V35*0.0042847645+W35*0.0008569529</f>
        <v/>
      </c>
      <c r="AX35" s="7">
        <f>W35*0.0042847645+X35*0.0008569529</f>
        <v/>
      </c>
      <c r="AY35" s="7">
        <f>X35*0.0042847645+Y35*0.0008569529</f>
        <v/>
      </c>
      <c r="AZ35" s="7">
        <f>Y35*0.0042847645+Z35*0.0008569529</f>
        <v/>
      </c>
      <c r="BA35" s="7">
        <f>Z35*0.0042847645+AA35*0.0008569529</f>
        <v/>
      </c>
      <c r="BB35" s="7">
        <f>SUM(AD35:BA35)</f>
        <v/>
      </c>
    </row>
    <row r="36">
      <c r="A36" t="inlineStr">
        <is>
          <t>AMD-FK-SSC</t>
        </is>
      </c>
      <c r="B36" t="inlineStr">
        <is>
          <t>Prime at Client side</t>
        </is>
      </c>
      <c r="C36" s="5" t="n">
        <v>46099</v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3</v>
      </c>
      <c r="Q36" s="6" t="n">
        <v>11</v>
      </c>
      <c r="R36" s="6" t="n">
        <v>1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>
        <f>SUM(D36:AA36)</f>
        <v/>
      </c>
      <c r="AC36" s="3" t="inlineStr"/>
      <c r="AD36" s="7">
        <f>AA36*0.0042847645+D36*0.0008569529</f>
        <v/>
      </c>
      <c r="AE36" s="7">
        <f>D36*0.0042847645+E36*0.0008569529</f>
        <v/>
      </c>
      <c r="AF36" s="7">
        <f>E36*0.0042847645+F36*0.0008569529</f>
        <v/>
      </c>
      <c r="AG36" s="7">
        <f>F36*0.0042847645+G36*0.0008569529</f>
        <v/>
      </c>
      <c r="AH36" s="7">
        <f>G36*0.0042847645+H36*0.0008569529</f>
        <v/>
      </c>
      <c r="AI36" s="7">
        <f>H36*0.0042847645+I36*0.0008569529</f>
        <v/>
      </c>
      <c r="AJ36" s="7">
        <f>I36*0.0042847645+J36*0.0008569529</f>
        <v/>
      </c>
      <c r="AK36" s="7">
        <f>J36*0.0042847645+K36*0.0008569529</f>
        <v/>
      </c>
      <c r="AL36" s="7">
        <f>K36*0.0042847645+L36*0.0008569529</f>
        <v/>
      </c>
      <c r="AM36" s="7">
        <f>L36*0.0042847645+M36*0.0008569529</f>
        <v/>
      </c>
      <c r="AN36" s="7">
        <f>M36*0.0042847645+N36*0.0008569529</f>
        <v/>
      </c>
      <c r="AO36" s="7">
        <f>N36*0.0042847645+O36*0.0008569529</f>
        <v/>
      </c>
      <c r="AP36" s="7">
        <f>O36*0.0042847645+P36*0.0008569529</f>
        <v/>
      </c>
      <c r="AQ36" s="7">
        <f>P36*0.0042847645+Q36*0.0008569529</f>
        <v/>
      </c>
      <c r="AR36" s="7">
        <f>Q36*0.0042847645+R36*0.0008569529</f>
        <v/>
      </c>
      <c r="AS36" s="7">
        <f>R36*0.0042847645+S36*0.0008569529</f>
        <v/>
      </c>
      <c r="AT36" s="7">
        <f>S36*0.0042847645+T36*0.0008569529</f>
        <v/>
      </c>
      <c r="AU36" s="7">
        <f>T36*0.0042847645+U36*0.0008569529</f>
        <v/>
      </c>
      <c r="AV36" s="7">
        <f>U36*0.0042847645+V36*0.0008569529</f>
        <v/>
      </c>
      <c r="AW36" s="7">
        <f>V36*0.0042847645+W36*0.0008569529</f>
        <v/>
      </c>
      <c r="AX36" s="7">
        <f>W36*0.0042847645+X36*0.0008569529</f>
        <v/>
      </c>
      <c r="AY36" s="7">
        <f>X36*0.0042847645+Y36*0.0008569529</f>
        <v/>
      </c>
      <c r="AZ36" s="7">
        <f>Y36*0.0042847645+Z36*0.0008569529</f>
        <v/>
      </c>
      <c r="BA36" s="7">
        <f>Z36*0.0042847645+AA36*0.0008569529</f>
        <v/>
      </c>
      <c r="BB36" s="7">
        <f>SUM(AD36:BA36)</f>
        <v/>
      </c>
    </row>
    <row r="37">
      <c r="A37" t="inlineStr">
        <is>
          <t>AMD-FK-SSC</t>
        </is>
      </c>
      <c r="B37" t="inlineStr">
        <is>
          <t>Prime at Client side</t>
        </is>
      </c>
      <c r="C37" s="5" t="n">
        <v>46100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2</v>
      </c>
      <c r="Q37" s="6" t="n">
        <v>8</v>
      </c>
      <c r="R37" s="6" t="n">
        <v>1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>
        <f>SUM(D37:AA37)</f>
        <v/>
      </c>
      <c r="AC37" s="3" t="inlineStr"/>
      <c r="AD37" s="7">
        <f>AA37*0.0042847645+D37*0.0008569529</f>
        <v/>
      </c>
      <c r="AE37" s="7">
        <f>D37*0.0042847645+E37*0.0008569529</f>
        <v/>
      </c>
      <c r="AF37" s="7">
        <f>E37*0.0042847645+F37*0.0008569529</f>
        <v/>
      </c>
      <c r="AG37" s="7">
        <f>F37*0.0042847645+G37*0.0008569529</f>
        <v/>
      </c>
      <c r="AH37" s="7">
        <f>G37*0.0042847645+H37*0.0008569529</f>
        <v/>
      </c>
      <c r="AI37" s="7">
        <f>H37*0.0042847645+I37*0.0008569529</f>
        <v/>
      </c>
      <c r="AJ37" s="7">
        <f>I37*0.0042847645+J37*0.0008569529</f>
        <v/>
      </c>
      <c r="AK37" s="7">
        <f>J37*0.0042847645+K37*0.0008569529</f>
        <v/>
      </c>
      <c r="AL37" s="7">
        <f>K37*0.0042847645+L37*0.0008569529</f>
        <v/>
      </c>
      <c r="AM37" s="7">
        <f>L37*0.0042847645+M37*0.0008569529</f>
        <v/>
      </c>
      <c r="AN37" s="7">
        <f>M37*0.0042847645+N37*0.0008569529</f>
        <v/>
      </c>
      <c r="AO37" s="7">
        <f>N37*0.0042847645+O37*0.0008569529</f>
        <v/>
      </c>
      <c r="AP37" s="7">
        <f>O37*0.0042847645+P37*0.0008569529</f>
        <v/>
      </c>
      <c r="AQ37" s="7">
        <f>P37*0.0042847645+Q37*0.0008569529</f>
        <v/>
      </c>
      <c r="AR37" s="7">
        <f>Q37*0.0042847645+R37*0.0008569529</f>
        <v/>
      </c>
      <c r="AS37" s="7">
        <f>R37*0.0042847645+S37*0.0008569529</f>
        <v/>
      </c>
      <c r="AT37" s="7">
        <f>S37*0.0042847645+T37*0.0008569529</f>
        <v/>
      </c>
      <c r="AU37" s="7">
        <f>T37*0.0042847645+U37*0.0008569529</f>
        <v/>
      </c>
      <c r="AV37" s="7">
        <f>U37*0.0042847645+V37*0.0008569529</f>
        <v/>
      </c>
      <c r="AW37" s="7">
        <f>V37*0.0042847645+W37*0.0008569529</f>
        <v/>
      </c>
      <c r="AX37" s="7">
        <f>W37*0.0042847645+X37*0.0008569529</f>
        <v/>
      </c>
      <c r="AY37" s="7">
        <f>X37*0.0042847645+Y37*0.0008569529</f>
        <v/>
      </c>
      <c r="AZ37" s="7">
        <f>Y37*0.0042847645+Z37*0.0008569529</f>
        <v/>
      </c>
      <c r="BA37" s="7">
        <f>Z37*0.0042847645+AA37*0.0008569529</f>
        <v/>
      </c>
      <c r="BB37" s="7">
        <f>SUM(AD37:BA37)</f>
        <v/>
      </c>
    </row>
    <row r="38">
      <c r="A38" t="inlineStr">
        <is>
          <t>AMD-FK-SSC</t>
        </is>
      </c>
      <c r="B38" t="inlineStr">
        <is>
          <t>Prime at Client side</t>
        </is>
      </c>
      <c r="C38" s="5" t="n">
        <v>46101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7</v>
      </c>
      <c r="Q38" s="6" t="n">
        <v>3</v>
      </c>
      <c r="R38" s="6" t="n">
        <v>2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>
        <f>SUM(D38:AA38)</f>
        <v/>
      </c>
      <c r="AC38" s="3" t="inlineStr"/>
      <c r="AD38" s="7">
        <f>AA38*0.0042847645+D38*0.0008569529</f>
        <v/>
      </c>
      <c r="AE38" s="7">
        <f>D38*0.0042847645+E38*0.0008569529</f>
        <v/>
      </c>
      <c r="AF38" s="7">
        <f>E38*0.0042847645+F38*0.0008569529</f>
        <v/>
      </c>
      <c r="AG38" s="7">
        <f>F38*0.0042847645+G38*0.0008569529</f>
        <v/>
      </c>
      <c r="AH38" s="7">
        <f>G38*0.0042847645+H38*0.0008569529</f>
        <v/>
      </c>
      <c r="AI38" s="7">
        <f>H38*0.0042847645+I38*0.0008569529</f>
        <v/>
      </c>
      <c r="AJ38" s="7">
        <f>I38*0.0042847645+J38*0.0008569529</f>
        <v/>
      </c>
      <c r="AK38" s="7">
        <f>J38*0.0042847645+K38*0.0008569529</f>
        <v/>
      </c>
      <c r="AL38" s="7">
        <f>K38*0.0042847645+L38*0.0008569529</f>
        <v/>
      </c>
      <c r="AM38" s="7">
        <f>L38*0.0042847645+M38*0.0008569529</f>
        <v/>
      </c>
      <c r="AN38" s="7">
        <f>M38*0.0042847645+N38*0.0008569529</f>
        <v/>
      </c>
      <c r="AO38" s="7">
        <f>N38*0.0042847645+O38*0.0008569529</f>
        <v/>
      </c>
      <c r="AP38" s="7">
        <f>O38*0.0042847645+P38*0.0008569529</f>
        <v/>
      </c>
      <c r="AQ38" s="7">
        <f>P38*0.0042847645+Q38*0.0008569529</f>
        <v/>
      </c>
      <c r="AR38" s="7">
        <f>Q38*0.0042847645+R38*0.0008569529</f>
        <v/>
      </c>
      <c r="AS38" s="7">
        <f>R38*0.0042847645+S38*0.0008569529</f>
        <v/>
      </c>
      <c r="AT38" s="7">
        <f>S38*0.0042847645+T38*0.0008569529</f>
        <v/>
      </c>
      <c r="AU38" s="7">
        <f>T38*0.0042847645+U38*0.0008569529</f>
        <v/>
      </c>
      <c r="AV38" s="7">
        <f>U38*0.0042847645+V38*0.0008569529</f>
        <v/>
      </c>
      <c r="AW38" s="7">
        <f>V38*0.0042847645+W38*0.0008569529</f>
        <v/>
      </c>
      <c r="AX38" s="7">
        <f>W38*0.0042847645+X38*0.0008569529</f>
        <v/>
      </c>
      <c r="AY38" s="7">
        <f>X38*0.0042847645+Y38*0.0008569529</f>
        <v/>
      </c>
      <c r="AZ38" s="7">
        <f>Y38*0.0042847645+Z38*0.0008569529</f>
        <v/>
      </c>
      <c r="BA38" s="7">
        <f>Z38*0.0042847645+AA38*0.0008569529</f>
        <v/>
      </c>
      <c r="BB38" s="7">
        <f>SUM(AD38:BA38)</f>
        <v/>
      </c>
    </row>
    <row r="39">
      <c r="A39" t="inlineStr">
        <is>
          <t>AMD-FK-SSC</t>
        </is>
      </c>
      <c r="B39" t="inlineStr">
        <is>
          <t>Prime at Client side</t>
        </is>
      </c>
      <c r="C39" s="5" t="n">
        <v>46102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2</v>
      </c>
      <c r="Q39" s="6" t="n">
        <v>7</v>
      </c>
      <c r="R39" s="6" t="n">
        <v>1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>
        <f>SUM(D39:AA39)</f>
        <v/>
      </c>
      <c r="AC39" s="3" t="inlineStr"/>
      <c r="AD39" s="7">
        <f>AA39*0.0042847645+D39*0.0008569529</f>
        <v/>
      </c>
      <c r="AE39" s="7">
        <f>D39*0.0042847645+E39*0.0008569529</f>
        <v/>
      </c>
      <c r="AF39" s="7">
        <f>E39*0.0042847645+F39*0.0008569529</f>
        <v/>
      </c>
      <c r="AG39" s="7">
        <f>F39*0.0042847645+G39*0.0008569529</f>
        <v/>
      </c>
      <c r="AH39" s="7">
        <f>G39*0.0042847645+H39*0.0008569529</f>
        <v/>
      </c>
      <c r="AI39" s="7">
        <f>H39*0.0042847645+I39*0.0008569529</f>
        <v/>
      </c>
      <c r="AJ39" s="7">
        <f>I39*0.0042847645+J39*0.0008569529</f>
        <v/>
      </c>
      <c r="AK39" s="7">
        <f>J39*0.0042847645+K39*0.0008569529</f>
        <v/>
      </c>
      <c r="AL39" s="7">
        <f>K39*0.0042847645+L39*0.0008569529</f>
        <v/>
      </c>
      <c r="AM39" s="7">
        <f>L39*0.0042847645+M39*0.0008569529</f>
        <v/>
      </c>
      <c r="AN39" s="7">
        <f>M39*0.0042847645+N39*0.0008569529</f>
        <v/>
      </c>
      <c r="AO39" s="7">
        <f>N39*0.0042847645+O39*0.0008569529</f>
        <v/>
      </c>
      <c r="AP39" s="7">
        <f>O39*0.0042847645+P39*0.0008569529</f>
        <v/>
      </c>
      <c r="AQ39" s="7">
        <f>P39*0.0042847645+Q39*0.0008569529</f>
        <v/>
      </c>
      <c r="AR39" s="7">
        <f>Q39*0.0042847645+R39*0.0008569529</f>
        <v/>
      </c>
      <c r="AS39" s="7">
        <f>R39*0.0042847645+S39*0.0008569529</f>
        <v/>
      </c>
      <c r="AT39" s="7">
        <f>S39*0.0042847645+T39*0.0008569529</f>
        <v/>
      </c>
      <c r="AU39" s="7">
        <f>T39*0.0042847645+U39*0.0008569529</f>
        <v/>
      </c>
      <c r="AV39" s="7">
        <f>U39*0.0042847645+V39*0.0008569529</f>
        <v/>
      </c>
      <c r="AW39" s="7">
        <f>V39*0.0042847645+W39*0.0008569529</f>
        <v/>
      </c>
      <c r="AX39" s="7">
        <f>W39*0.0042847645+X39*0.0008569529</f>
        <v/>
      </c>
      <c r="AY39" s="7">
        <f>X39*0.0042847645+Y39*0.0008569529</f>
        <v/>
      </c>
      <c r="AZ39" s="7">
        <f>Y39*0.0042847645+Z39*0.0008569529</f>
        <v/>
      </c>
      <c r="BA39" s="7">
        <f>Z39*0.0042847645+AA39*0.0008569529</f>
        <v/>
      </c>
      <c r="BB39" s="7">
        <f>SUM(AD39:BA39)</f>
        <v/>
      </c>
    </row>
    <row r="40">
      <c r="A40" t="inlineStr">
        <is>
          <t>AMD-FK-SSC</t>
        </is>
      </c>
      <c r="B40" t="inlineStr">
        <is>
          <t>Prime at Client side</t>
        </is>
      </c>
      <c r="C40" s="5" t="n">
        <v>46103</v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0</v>
      </c>
      <c r="M40" s="6" t="n">
        <v>0</v>
      </c>
      <c r="N40" s="6" t="n">
        <v>0</v>
      </c>
      <c r="O40" s="6" t="n">
        <v>0</v>
      </c>
      <c r="P40" s="6" t="n">
        <v>2</v>
      </c>
      <c r="Q40" s="6" t="n">
        <v>7</v>
      </c>
      <c r="R40" s="6" t="n">
        <v>1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>
        <f>SUM(D40:AA40)</f>
        <v/>
      </c>
      <c r="AC40" s="3" t="inlineStr"/>
      <c r="AD40" s="7">
        <f>AA40*0.0042847645+D40*0.0008569529</f>
        <v/>
      </c>
      <c r="AE40" s="7">
        <f>D40*0.0042847645+E40*0.0008569529</f>
        <v/>
      </c>
      <c r="AF40" s="7">
        <f>E40*0.0042847645+F40*0.0008569529</f>
        <v/>
      </c>
      <c r="AG40" s="7">
        <f>F40*0.0042847645+G40*0.0008569529</f>
        <v/>
      </c>
      <c r="AH40" s="7">
        <f>G40*0.0042847645+H40*0.0008569529</f>
        <v/>
      </c>
      <c r="AI40" s="7">
        <f>H40*0.0042847645+I40*0.0008569529</f>
        <v/>
      </c>
      <c r="AJ40" s="7">
        <f>I40*0.0042847645+J40*0.0008569529</f>
        <v/>
      </c>
      <c r="AK40" s="7">
        <f>J40*0.0042847645+K40*0.0008569529</f>
        <v/>
      </c>
      <c r="AL40" s="7">
        <f>K40*0.0042847645+L40*0.0008569529</f>
        <v/>
      </c>
      <c r="AM40" s="7">
        <f>L40*0.0042847645+M40*0.0008569529</f>
        <v/>
      </c>
      <c r="AN40" s="7">
        <f>M40*0.0042847645+N40*0.0008569529</f>
        <v/>
      </c>
      <c r="AO40" s="7">
        <f>N40*0.0042847645+O40*0.0008569529</f>
        <v/>
      </c>
      <c r="AP40" s="7">
        <f>O40*0.0042847645+P40*0.0008569529</f>
        <v/>
      </c>
      <c r="AQ40" s="7">
        <f>P40*0.0042847645+Q40*0.0008569529</f>
        <v/>
      </c>
      <c r="AR40" s="7">
        <f>Q40*0.0042847645+R40*0.0008569529</f>
        <v/>
      </c>
      <c r="AS40" s="7">
        <f>R40*0.0042847645+S40*0.0008569529</f>
        <v/>
      </c>
      <c r="AT40" s="7">
        <f>S40*0.0042847645+T40*0.0008569529</f>
        <v/>
      </c>
      <c r="AU40" s="7">
        <f>T40*0.0042847645+U40*0.0008569529</f>
        <v/>
      </c>
      <c r="AV40" s="7">
        <f>U40*0.0042847645+V40*0.0008569529</f>
        <v/>
      </c>
      <c r="AW40" s="7">
        <f>V40*0.0042847645+W40*0.0008569529</f>
        <v/>
      </c>
      <c r="AX40" s="7">
        <f>W40*0.0042847645+X40*0.0008569529</f>
        <v/>
      </c>
      <c r="AY40" s="7">
        <f>X40*0.0042847645+Y40*0.0008569529</f>
        <v/>
      </c>
      <c r="AZ40" s="7">
        <f>Y40*0.0042847645+Z40*0.0008569529</f>
        <v/>
      </c>
      <c r="BA40" s="7">
        <f>Z40*0.0042847645+AA40*0.0008569529</f>
        <v/>
      </c>
      <c r="BB40" s="7">
        <f>SUM(AD40:BA40)</f>
        <v/>
      </c>
    </row>
    <row r="41">
      <c r="A41" t="inlineStr">
        <is>
          <t>AMD-FK-SSC</t>
        </is>
      </c>
      <c r="B41" t="inlineStr">
        <is>
          <t>Prime at Client side</t>
        </is>
      </c>
      <c r="C41" s="5" t="n">
        <v>46104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2</v>
      </c>
      <c r="Q41" s="6" t="n">
        <v>7</v>
      </c>
      <c r="R41" s="6" t="n">
        <v>6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>
        <f>SUM(D41:AA41)</f>
        <v/>
      </c>
      <c r="AC41" s="3" t="inlineStr"/>
      <c r="AD41" s="7">
        <f>AA41*0.0042847645+D41*0.0008569529</f>
        <v/>
      </c>
      <c r="AE41" s="7">
        <f>D41*0.0042847645+E41*0.0008569529</f>
        <v/>
      </c>
      <c r="AF41" s="7">
        <f>E41*0.0042847645+F41*0.0008569529</f>
        <v/>
      </c>
      <c r="AG41" s="7">
        <f>F41*0.0042847645+G41*0.0008569529</f>
        <v/>
      </c>
      <c r="AH41" s="7">
        <f>G41*0.0042847645+H41*0.0008569529</f>
        <v/>
      </c>
      <c r="AI41" s="7">
        <f>H41*0.0042847645+I41*0.0008569529</f>
        <v/>
      </c>
      <c r="AJ41" s="7">
        <f>I41*0.0042847645+J41*0.0008569529</f>
        <v/>
      </c>
      <c r="AK41" s="7">
        <f>J41*0.0042847645+K41*0.0008569529</f>
        <v/>
      </c>
      <c r="AL41" s="7">
        <f>K41*0.0042847645+L41*0.0008569529</f>
        <v/>
      </c>
      <c r="AM41" s="7">
        <f>L41*0.0042847645+M41*0.0008569529</f>
        <v/>
      </c>
      <c r="AN41" s="7">
        <f>M41*0.0042847645+N41*0.0008569529</f>
        <v/>
      </c>
      <c r="AO41" s="7">
        <f>N41*0.0042847645+O41*0.0008569529</f>
        <v/>
      </c>
      <c r="AP41" s="7">
        <f>O41*0.0042847645+P41*0.0008569529</f>
        <v/>
      </c>
      <c r="AQ41" s="7">
        <f>P41*0.0042847645+Q41*0.0008569529</f>
        <v/>
      </c>
      <c r="AR41" s="7">
        <f>Q41*0.0042847645+R41*0.0008569529</f>
        <v/>
      </c>
      <c r="AS41" s="7">
        <f>R41*0.0042847645+S41*0.0008569529</f>
        <v/>
      </c>
      <c r="AT41" s="7">
        <f>S41*0.0042847645+T41*0.0008569529</f>
        <v/>
      </c>
      <c r="AU41" s="7">
        <f>T41*0.0042847645+U41*0.0008569529</f>
        <v/>
      </c>
      <c r="AV41" s="7">
        <f>U41*0.0042847645+V41*0.0008569529</f>
        <v/>
      </c>
      <c r="AW41" s="7">
        <f>V41*0.0042847645+W41*0.0008569529</f>
        <v/>
      </c>
      <c r="AX41" s="7">
        <f>W41*0.0042847645+X41*0.0008569529</f>
        <v/>
      </c>
      <c r="AY41" s="7">
        <f>X41*0.0042847645+Y41*0.0008569529</f>
        <v/>
      </c>
      <c r="AZ41" s="7">
        <f>Y41*0.0042847645+Z41*0.0008569529</f>
        <v/>
      </c>
      <c r="BA41" s="7">
        <f>Z41*0.0042847645+AA41*0.0008569529</f>
        <v/>
      </c>
      <c r="BB41" s="7">
        <f>SUM(AD41:BA41)</f>
        <v/>
      </c>
    </row>
    <row r="42">
      <c r="A42" t="inlineStr">
        <is>
          <t>AMD-FK-SSC</t>
        </is>
      </c>
      <c r="B42" t="inlineStr">
        <is>
          <t>Prime at Client side</t>
        </is>
      </c>
      <c r="C42" s="5" t="n">
        <v>46105</v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6" t="n">
        <v>0</v>
      </c>
      <c r="N42" s="6" t="n">
        <v>0</v>
      </c>
      <c r="O42" s="6" t="n">
        <v>0</v>
      </c>
      <c r="P42" s="6" t="n">
        <v>0</v>
      </c>
      <c r="Q42" s="6" t="n">
        <v>16</v>
      </c>
      <c r="R42" s="6" t="n">
        <v>9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>
        <f>SUM(D42:AA42)</f>
        <v/>
      </c>
      <c r="AC42" s="3" t="inlineStr"/>
      <c r="AD42" s="7">
        <f>AA42*0.0042847645+D42*0.0008569529</f>
        <v/>
      </c>
      <c r="AE42" s="7">
        <f>D42*0.0042847645+E42*0.0008569529</f>
        <v/>
      </c>
      <c r="AF42" s="7">
        <f>E42*0.0042847645+F42*0.0008569529</f>
        <v/>
      </c>
      <c r="AG42" s="7">
        <f>F42*0.0042847645+G42*0.0008569529</f>
        <v/>
      </c>
      <c r="AH42" s="7">
        <f>G42*0.0042847645+H42*0.0008569529</f>
        <v/>
      </c>
      <c r="AI42" s="7">
        <f>H42*0.0042847645+I42*0.0008569529</f>
        <v/>
      </c>
      <c r="AJ42" s="7">
        <f>I42*0.0042847645+J42*0.0008569529</f>
        <v/>
      </c>
      <c r="AK42" s="7">
        <f>J42*0.0042847645+K42*0.0008569529</f>
        <v/>
      </c>
      <c r="AL42" s="7">
        <f>K42*0.0042847645+L42*0.0008569529</f>
        <v/>
      </c>
      <c r="AM42" s="7">
        <f>L42*0.0042847645+M42*0.0008569529</f>
        <v/>
      </c>
      <c r="AN42" s="7">
        <f>M42*0.0042847645+N42*0.0008569529</f>
        <v/>
      </c>
      <c r="AO42" s="7">
        <f>N42*0.0042847645+O42*0.0008569529</f>
        <v/>
      </c>
      <c r="AP42" s="7">
        <f>O42*0.0042847645+P42*0.0008569529</f>
        <v/>
      </c>
      <c r="AQ42" s="7">
        <f>P42*0.0042847645+Q42*0.0008569529</f>
        <v/>
      </c>
      <c r="AR42" s="7">
        <f>Q42*0.0042847645+R42*0.0008569529</f>
        <v/>
      </c>
      <c r="AS42" s="7">
        <f>R42*0.0042847645+S42*0.0008569529</f>
        <v/>
      </c>
      <c r="AT42" s="7">
        <f>S42*0.0042847645+T42*0.0008569529</f>
        <v/>
      </c>
      <c r="AU42" s="7">
        <f>T42*0.0042847645+U42*0.0008569529</f>
        <v/>
      </c>
      <c r="AV42" s="7">
        <f>U42*0.0042847645+V42*0.0008569529</f>
        <v/>
      </c>
      <c r="AW42" s="7">
        <f>V42*0.0042847645+W42*0.0008569529</f>
        <v/>
      </c>
      <c r="AX42" s="7">
        <f>W42*0.0042847645+X42*0.0008569529</f>
        <v/>
      </c>
      <c r="AY42" s="7">
        <f>X42*0.0042847645+Y42*0.0008569529</f>
        <v/>
      </c>
      <c r="AZ42" s="7">
        <f>Y42*0.0042847645+Z42*0.0008569529</f>
        <v/>
      </c>
      <c r="BA42" s="7">
        <f>Z42*0.0042847645+AA42*0.0008569529</f>
        <v/>
      </c>
      <c r="BB42" s="7">
        <f>SUM(AD42:BA42)</f>
        <v/>
      </c>
    </row>
    <row r="43">
      <c r="A43" t="inlineStr">
        <is>
          <t>AMD-FWDPRI-SSC</t>
        </is>
      </c>
      <c r="B43" t="inlineStr">
        <is>
          <t>FWD Priority OSC</t>
        </is>
      </c>
      <c r="C43" s="5" t="n">
        <v>46098</v>
      </c>
      <c r="D43" s="6" t="n">
        <v>68</v>
      </c>
      <c r="E43" s="6" t="n">
        <v>86</v>
      </c>
      <c r="F43" s="6" t="n">
        <v>69</v>
      </c>
      <c r="G43" s="6" t="n">
        <v>153</v>
      </c>
      <c r="H43" s="6" t="n">
        <v>61</v>
      </c>
      <c r="I43" s="6" t="n">
        <v>64</v>
      </c>
      <c r="J43" s="6" t="n">
        <v>39</v>
      </c>
      <c r="K43" s="6" t="n">
        <v>1</v>
      </c>
      <c r="L43" s="6" t="n">
        <v>6</v>
      </c>
      <c r="M43" s="6" t="n">
        <v>6</v>
      </c>
      <c r="N43" s="6" t="n">
        <v>47</v>
      </c>
      <c r="O43" s="6" t="n">
        <v>71</v>
      </c>
      <c r="P43" s="6" t="n">
        <v>32</v>
      </c>
      <c r="Q43" s="6" t="n">
        <v>1</v>
      </c>
      <c r="R43" s="6" t="n">
        <v>148</v>
      </c>
      <c r="S43" s="6" t="n">
        <v>108</v>
      </c>
      <c r="T43" s="6" t="n">
        <v>48</v>
      </c>
      <c r="U43" s="6" t="n">
        <v>77</v>
      </c>
      <c r="V43" s="6" t="n">
        <v>99</v>
      </c>
      <c r="W43" s="6" t="n">
        <v>130</v>
      </c>
      <c r="X43" s="6" t="n">
        <v>75</v>
      </c>
      <c r="Y43" s="6" t="n">
        <v>52</v>
      </c>
      <c r="Z43" s="6" t="n">
        <v>0</v>
      </c>
      <c r="AA43" s="6" t="n">
        <v>22</v>
      </c>
      <c r="AB43" s="6">
        <f>SUM(D43:AA43)</f>
        <v/>
      </c>
      <c r="AC43" s="3" t="inlineStr"/>
      <c r="AD43" s="7">
        <f>AA43*0.0042847645+D43*0.0008569529</f>
        <v/>
      </c>
      <c r="AE43" s="7">
        <f>D43*0.0042847645+E43*0.0008569529</f>
        <v/>
      </c>
      <c r="AF43" s="7">
        <f>E43*0.0042847645+F43*0.0008569529</f>
        <v/>
      </c>
      <c r="AG43" s="7">
        <f>F43*0.0042847645+G43*0.0008569529</f>
        <v/>
      </c>
      <c r="AH43" s="7">
        <f>G43*0.0042847645+H43*0.0008569529</f>
        <v/>
      </c>
      <c r="AI43" s="7">
        <f>H43*0.0042847645+I43*0.0008569529</f>
        <v/>
      </c>
      <c r="AJ43" s="7">
        <f>I43*0.0042847645+J43*0.0008569529</f>
        <v/>
      </c>
      <c r="AK43" s="7">
        <f>J43*0.0042847645+K43*0.0008569529</f>
        <v/>
      </c>
      <c r="AL43" s="7">
        <f>K43*0.0042847645+L43*0.0008569529</f>
        <v/>
      </c>
      <c r="AM43" s="7">
        <f>L43*0.0042847645+M43*0.0008569529</f>
        <v/>
      </c>
      <c r="AN43" s="7">
        <f>M43*0.0042847645+N43*0.0008569529</f>
        <v/>
      </c>
      <c r="AO43" s="7">
        <f>N43*0.0042847645+O43*0.0008569529</f>
        <v/>
      </c>
      <c r="AP43" s="7">
        <f>O43*0.0042847645+P43*0.0008569529</f>
        <v/>
      </c>
      <c r="AQ43" s="7">
        <f>P43*0.0042847645+Q43*0.0008569529</f>
        <v/>
      </c>
      <c r="AR43" s="7">
        <f>Q43*0.0042847645+R43*0.0008569529</f>
        <v/>
      </c>
      <c r="AS43" s="7">
        <f>R43*0.0042847645+S43*0.0008569529</f>
        <v/>
      </c>
      <c r="AT43" s="7">
        <f>S43*0.0042847645+T43*0.0008569529</f>
        <v/>
      </c>
      <c r="AU43" s="7">
        <f>T43*0.0042847645+U43*0.0008569529</f>
        <v/>
      </c>
      <c r="AV43" s="7">
        <f>U43*0.0042847645+V43*0.0008569529</f>
        <v/>
      </c>
      <c r="AW43" s="7">
        <f>V43*0.0042847645+W43*0.0008569529</f>
        <v/>
      </c>
      <c r="AX43" s="7">
        <f>W43*0.0042847645+X43*0.0008569529</f>
        <v/>
      </c>
      <c r="AY43" s="7">
        <f>X43*0.0042847645+Y43*0.0008569529</f>
        <v/>
      </c>
      <c r="AZ43" s="7">
        <f>Y43*0.0042847645+Z43*0.0008569529</f>
        <v/>
      </c>
      <c r="BA43" s="7">
        <f>Z43*0.0042847645+AA43*0.0008569529</f>
        <v/>
      </c>
      <c r="BB43" s="7">
        <f>SUM(AD43:BA43)</f>
        <v/>
      </c>
    </row>
    <row r="44">
      <c r="A44" t="inlineStr">
        <is>
          <t>AMD-FWDPRI-SSC</t>
        </is>
      </c>
      <c r="B44" t="inlineStr">
        <is>
          <t>FWD Priority OSC</t>
        </is>
      </c>
      <c r="C44" s="5" t="n">
        <v>46099</v>
      </c>
      <c r="D44" s="6" t="n">
        <v>101</v>
      </c>
      <c r="E44" s="6" t="n">
        <v>23</v>
      </c>
      <c r="F44" s="6" t="n">
        <v>118</v>
      </c>
      <c r="G44" s="6" t="n">
        <v>111</v>
      </c>
      <c r="H44" s="6" t="n">
        <v>86</v>
      </c>
      <c r="I44" s="6" t="n">
        <v>108</v>
      </c>
      <c r="J44" s="6" t="n">
        <v>131</v>
      </c>
      <c r="K44" s="6" t="n">
        <v>23</v>
      </c>
      <c r="L44" s="6" t="n">
        <v>0</v>
      </c>
      <c r="M44" s="6" t="n">
        <v>7</v>
      </c>
      <c r="N44" s="6" t="n">
        <v>7</v>
      </c>
      <c r="O44" s="6" t="n">
        <v>111</v>
      </c>
      <c r="P44" s="6" t="n">
        <v>66</v>
      </c>
      <c r="Q44" s="6" t="n">
        <v>10</v>
      </c>
      <c r="R44" s="6" t="n">
        <v>146</v>
      </c>
      <c r="S44" s="6" t="n">
        <v>91</v>
      </c>
      <c r="T44" s="6" t="n">
        <v>75</v>
      </c>
      <c r="U44" s="6" t="n">
        <v>12</v>
      </c>
      <c r="V44" s="6" t="n">
        <v>99</v>
      </c>
      <c r="W44" s="6" t="n">
        <v>69</v>
      </c>
      <c r="X44" s="6" t="n">
        <v>98</v>
      </c>
      <c r="Y44" s="6" t="n">
        <v>85</v>
      </c>
      <c r="Z44" s="6" t="n">
        <v>0</v>
      </c>
      <c r="AA44" s="6" t="n">
        <v>97</v>
      </c>
      <c r="AB44" s="6">
        <f>SUM(D44:AA44)</f>
        <v/>
      </c>
      <c r="AC44" s="3" t="inlineStr"/>
      <c r="AD44" s="7">
        <f>AA44*0.0042847645+D44*0.0008569529</f>
        <v/>
      </c>
      <c r="AE44" s="7">
        <f>D44*0.0042847645+E44*0.0008569529</f>
        <v/>
      </c>
      <c r="AF44" s="7">
        <f>E44*0.0042847645+F44*0.0008569529</f>
        <v/>
      </c>
      <c r="AG44" s="7">
        <f>F44*0.0042847645+G44*0.0008569529</f>
        <v/>
      </c>
      <c r="AH44" s="7">
        <f>G44*0.0042847645+H44*0.0008569529</f>
        <v/>
      </c>
      <c r="AI44" s="7">
        <f>H44*0.0042847645+I44*0.0008569529</f>
        <v/>
      </c>
      <c r="AJ44" s="7">
        <f>I44*0.0042847645+J44*0.0008569529</f>
        <v/>
      </c>
      <c r="AK44" s="7">
        <f>J44*0.0042847645+K44*0.0008569529</f>
        <v/>
      </c>
      <c r="AL44" s="7">
        <f>K44*0.0042847645+L44*0.0008569529</f>
        <v/>
      </c>
      <c r="AM44" s="7">
        <f>L44*0.0042847645+M44*0.0008569529</f>
        <v/>
      </c>
      <c r="AN44" s="7">
        <f>M44*0.0042847645+N44*0.0008569529</f>
        <v/>
      </c>
      <c r="AO44" s="7">
        <f>N44*0.0042847645+O44*0.0008569529</f>
        <v/>
      </c>
      <c r="AP44" s="7">
        <f>O44*0.0042847645+P44*0.0008569529</f>
        <v/>
      </c>
      <c r="AQ44" s="7">
        <f>P44*0.0042847645+Q44*0.0008569529</f>
        <v/>
      </c>
      <c r="AR44" s="7">
        <f>Q44*0.0042847645+R44*0.0008569529</f>
        <v/>
      </c>
      <c r="AS44" s="7">
        <f>R44*0.0042847645+S44*0.0008569529</f>
        <v/>
      </c>
      <c r="AT44" s="7">
        <f>S44*0.0042847645+T44*0.0008569529</f>
        <v/>
      </c>
      <c r="AU44" s="7">
        <f>T44*0.0042847645+U44*0.0008569529</f>
        <v/>
      </c>
      <c r="AV44" s="7">
        <f>U44*0.0042847645+V44*0.0008569529</f>
        <v/>
      </c>
      <c r="AW44" s="7">
        <f>V44*0.0042847645+W44*0.0008569529</f>
        <v/>
      </c>
      <c r="AX44" s="7">
        <f>W44*0.0042847645+X44*0.0008569529</f>
        <v/>
      </c>
      <c r="AY44" s="7">
        <f>X44*0.0042847645+Y44*0.0008569529</f>
        <v/>
      </c>
      <c r="AZ44" s="7">
        <f>Y44*0.0042847645+Z44*0.0008569529</f>
        <v/>
      </c>
      <c r="BA44" s="7">
        <f>Z44*0.0042847645+AA44*0.0008569529</f>
        <v/>
      </c>
      <c r="BB44" s="7">
        <f>SUM(AD44:BA44)</f>
        <v/>
      </c>
    </row>
    <row r="45">
      <c r="A45" t="inlineStr">
        <is>
          <t>AMD-FWDPRI-SSC</t>
        </is>
      </c>
      <c r="B45" t="inlineStr">
        <is>
          <t>FWD Priority OSC</t>
        </is>
      </c>
      <c r="C45" s="5" t="n">
        <v>46100</v>
      </c>
      <c r="D45" s="6" t="n">
        <v>127</v>
      </c>
      <c r="E45" s="6" t="n">
        <v>40</v>
      </c>
      <c r="F45" s="6" t="n">
        <v>98</v>
      </c>
      <c r="G45" s="6" t="n">
        <v>219</v>
      </c>
      <c r="H45" s="6" t="n">
        <v>91</v>
      </c>
      <c r="I45" s="6" t="n">
        <v>202</v>
      </c>
      <c r="J45" s="6" t="n">
        <v>207</v>
      </c>
      <c r="K45" s="6" t="n">
        <v>4</v>
      </c>
      <c r="L45" s="6" t="n">
        <v>11</v>
      </c>
      <c r="M45" s="6" t="n">
        <v>43</v>
      </c>
      <c r="N45" s="6" t="n">
        <v>93</v>
      </c>
      <c r="O45" s="6" t="n">
        <v>94</v>
      </c>
      <c r="P45" s="6" t="n">
        <v>6</v>
      </c>
      <c r="Q45" s="6" t="n">
        <v>3</v>
      </c>
      <c r="R45" s="6" t="n">
        <v>53</v>
      </c>
      <c r="S45" s="6" t="n">
        <v>95</v>
      </c>
      <c r="T45" s="6" t="n">
        <v>28</v>
      </c>
      <c r="U45" s="6" t="n">
        <v>75</v>
      </c>
      <c r="V45" s="6" t="n">
        <v>70</v>
      </c>
      <c r="W45" s="6" t="n">
        <v>100</v>
      </c>
      <c r="X45" s="6" t="n">
        <v>75</v>
      </c>
      <c r="Y45" s="6" t="n">
        <v>65</v>
      </c>
      <c r="Z45" s="6" t="n">
        <v>1</v>
      </c>
      <c r="AA45" s="6" t="n">
        <v>0</v>
      </c>
      <c r="AB45" s="6">
        <f>SUM(D45:AA45)</f>
        <v/>
      </c>
      <c r="AC45" s="3" t="inlineStr"/>
      <c r="AD45" s="7">
        <f>AA45*0.0042847645+D45*0.0008569529</f>
        <v/>
      </c>
      <c r="AE45" s="7">
        <f>D45*0.0042847645+E45*0.0008569529</f>
        <v/>
      </c>
      <c r="AF45" s="7">
        <f>E45*0.0042847645+F45*0.0008569529</f>
        <v/>
      </c>
      <c r="AG45" s="7">
        <f>F45*0.0042847645+G45*0.0008569529</f>
        <v/>
      </c>
      <c r="AH45" s="7">
        <f>G45*0.0042847645+H45*0.0008569529</f>
        <v/>
      </c>
      <c r="AI45" s="7">
        <f>H45*0.0042847645+I45*0.0008569529</f>
        <v/>
      </c>
      <c r="AJ45" s="7">
        <f>I45*0.0042847645+J45*0.0008569529</f>
        <v/>
      </c>
      <c r="AK45" s="7">
        <f>J45*0.0042847645+K45*0.0008569529</f>
        <v/>
      </c>
      <c r="AL45" s="7">
        <f>K45*0.0042847645+L45*0.0008569529</f>
        <v/>
      </c>
      <c r="AM45" s="7">
        <f>L45*0.0042847645+M45*0.0008569529</f>
        <v/>
      </c>
      <c r="AN45" s="7">
        <f>M45*0.0042847645+N45*0.0008569529</f>
        <v/>
      </c>
      <c r="AO45" s="7">
        <f>N45*0.0042847645+O45*0.0008569529</f>
        <v/>
      </c>
      <c r="AP45" s="7">
        <f>O45*0.0042847645+P45*0.0008569529</f>
        <v/>
      </c>
      <c r="AQ45" s="7">
        <f>P45*0.0042847645+Q45*0.0008569529</f>
        <v/>
      </c>
      <c r="AR45" s="7">
        <f>Q45*0.0042847645+R45*0.0008569529</f>
        <v/>
      </c>
      <c r="AS45" s="7">
        <f>R45*0.0042847645+S45*0.0008569529</f>
        <v/>
      </c>
      <c r="AT45" s="7">
        <f>S45*0.0042847645+T45*0.0008569529</f>
        <v/>
      </c>
      <c r="AU45" s="7">
        <f>T45*0.0042847645+U45*0.0008569529</f>
        <v/>
      </c>
      <c r="AV45" s="7">
        <f>U45*0.0042847645+V45*0.0008569529</f>
        <v/>
      </c>
      <c r="AW45" s="7">
        <f>V45*0.0042847645+W45*0.0008569529</f>
        <v/>
      </c>
      <c r="AX45" s="7">
        <f>W45*0.0042847645+X45*0.0008569529</f>
        <v/>
      </c>
      <c r="AY45" s="7">
        <f>X45*0.0042847645+Y45*0.0008569529</f>
        <v/>
      </c>
      <c r="AZ45" s="7">
        <f>Y45*0.0042847645+Z45*0.0008569529</f>
        <v/>
      </c>
      <c r="BA45" s="7">
        <f>Z45*0.0042847645+AA45*0.0008569529</f>
        <v/>
      </c>
      <c r="BB45" s="7">
        <f>SUM(AD45:BA45)</f>
        <v/>
      </c>
    </row>
    <row r="46">
      <c r="A46" t="inlineStr">
        <is>
          <t>AMD-FWDPRI-SSC</t>
        </is>
      </c>
      <c r="B46" t="inlineStr">
        <is>
          <t>FWD Priority OSC</t>
        </is>
      </c>
      <c r="C46" s="5" t="n">
        <v>46101</v>
      </c>
      <c r="D46" s="6" t="n">
        <v>8</v>
      </c>
      <c r="E46" s="6" t="n">
        <v>0</v>
      </c>
      <c r="F46" s="6" t="n">
        <v>2</v>
      </c>
      <c r="G46" s="6" t="n">
        <v>69</v>
      </c>
      <c r="H46" s="6" t="n">
        <v>68</v>
      </c>
      <c r="I46" s="6" t="n">
        <v>103</v>
      </c>
      <c r="J46" s="6" t="n">
        <v>55</v>
      </c>
      <c r="K46" s="6" t="n">
        <v>9</v>
      </c>
      <c r="L46" s="6" t="n">
        <v>104</v>
      </c>
      <c r="M46" s="6" t="n">
        <v>27</v>
      </c>
      <c r="N46" s="6" t="n">
        <v>100</v>
      </c>
      <c r="O46" s="6" t="n">
        <v>64</v>
      </c>
      <c r="P46" s="6" t="n">
        <v>1</v>
      </c>
      <c r="Q46" s="6" t="n">
        <v>113</v>
      </c>
      <c r="R46" s="6" t="n">
        <v>85</v>
      </c>
      <c r="S46" s="6" t="n">
        <v>75</v>
      </c>
      <c r="T46" s="6" t="n">
        <v>63</v>
      </c>
      <c r="U46" s="6" t="n">
        <v>0</v>
      </c>
      <c r="V46" s="6" t="n">
        <v>104</v>
      </c>
      <c r="W46" s="6" t="n">
        <v>87</v>
      </c>
      <c r="X46" s="6" t="n">
        <v>111</v>
      </c>
      <c r="Y46" s="6" t="n">
        <v>69</v>
      </c>
      <c r="Z46" s="6" t="n">
        <v>0</v>
      </c>
      <c r="AA46" s="6" t="n">
        <v>17</v>
      </c>
      <c r="AB46" s="6">
        <f>SUM(D46:AA46)</f>
        <v/>
      </c>
      <c r="AC46" s="3" t="inlineStr"/>
      <c r="AD46" s="7">
        <f>AA46*0.0042847645+D46*0.0008569529</f>
        <v/>
      </c>
      <c r="AE46" s="7">
        <f>D46*0.0042847645+E46*0.0008569529</f>
        <v/>
      </c>
      <c r="AF46" s="7">
        <f>E46*0.0042847645+F46*0.0008569529</f>
        <v/>
      </c>
      <c r="AG46" s="7">
        <f>F46*0.0042847645+G46*0.0008569529</f>
        <v/>
      </c>
      <c r="AH46" s="7">
        <f>G46*0.0042847645+H46*0.0008569529</f>
        <v/>
      </c>
      <c r="AI46" s="7">
        <f>H46*0.0042847645+I46*0.0008569529</f>
        <v/>
      </c>
      <c r="AJ46" s="7">
        <f>I46*0.0042847645+J46*0.0008569529</f>
        <v/>
      </c>
      <c r="AK46" s="7">
        <f>J46*0.0042847645+K46*0.0008569529</f>
        <v/>
      </c>
      <c r="AL46" s="7">
        <f>K46*0.0042847645+L46*0.0008569529</f>
        <v/>
      </c>
      <c r="AM46" s="7">
        <f>L46*0.0042847645+M46*0.0008569529</f>
        <v/>
      </c>
      <c r="AN46" s="7">
        <f>M46*0.0042847645+N46*0.0008569529</f>
        <v/>
      </c>
      <c r="AO46" s="7">
        <f>N46*0.0042847645+O46*0.0008569529</f>
        <v/>
      </c>
      <c r="AP46" s="7">
        <f>O46*0.0042847645+P46*0.0008569529</f>
        <v/>
      </c>
      <c r="AQ46" s="7">
        <f>P46*0.0042847645+Q46*0.0008569529</f>
        <v/>
      </c>
      <c r="AR46" s="7">
        <f>Q46*0.0042847645+R46*0.0008569529</f>
        <v/>
      </c>
      <c r="AS46" s="7">
        <f>R46*0.0042847645+S46*0.0008569529</f>
        <v/>
      </c>
      <c r="AT46" s="7">
        <f>S46*0.0042847645+T46*0.0008569529</f>
        <v/>
      </c>
      <c r="AU46" s="7">
        <f>T46*0.0042847645+U46*0.0008569529</f>
        <v/>
      </c>
      <c r="AV46" s="7">
        <f>U46*0.0042847645+V46*0.0008569529</f>
        <v/>
      </c>
      <c r="AW46" s="7">
        <f>V46*0.0042847645+W46*0.0008569529</f>
        <v/>
      </c>
      <c r="AX46" s="7">
        <f>W46*0.0042847645+X46*0.0008569529</f>
        <v/>
      </c>
      <c r="AY46" s="7">
        <f>X46*0.0042847645+Y46*0.0008569529</f>
        <v/>
      </c>
      <c r="AZ46" s="7">
        <f>Y46*0.0042847645+Z46*0.0008569529</f>
        <v/>
      </c>
      <c r="BA46" s="7">
        <f>Z46*0.0042847645+AA46*0.0008569529</f>
        <v/>
      </c>
      <c r="BB46" s="7">
        <f>SUM(AD46:BA46)</f>
        <v/>
      </c>
    </row>
    <row r="47">
      <c r="A47" t="inlineStr">
        <is>
          <t>AMD-FWDPRI-SSC</t>
        </is>
      </c>
      <c r="B47" t="inlineStr">
        <is>
          <t>FWD Priority OSC</t>
        </is>
      </c>
      <c r="C47" s="5" t="n">
        <v>46102</v>
      </c>
      <c r="D47" s="6" t="n">
        <v>117</v>
      </c>
      <c r="E47" s="6" t="n">
        <v>35</v>
      </c>
      <c r="F47" s="6" t="n">
        <v>94</v>
      </c>
      <c r="G47" s="6" t="n">
        <v>164</v>
      </c>
      <c r="H47" s="6" t="n">
        <v>99</v>
      </c>
      <c r="I47" s="6" t="n">
        <v>144</v>
      </c>
      <c r="J47" s="6" t="n">
        <v>115</v>
      </c>
      <c r="K47" s="6" t="n">
        <v>16</v>
      </c>
      <c r="L47" s="6" t="n">
        <v>0</v>
      </c>
      <c r="M47" s="6" t="n">
        <v>0</v>
      </c>
      <c r="N47" s="6" t="n">
        <v>27</v>
      </c>
      <c r="O47" s="6" t="n">
        <v>100</v>
      </c>
      <c r="P47" s="6" t="n">
        <v>65</v>
      </c>
      <c r="Q47" s="6" t="n">
        <v>1</v>
      </c>
      <c r="R47" s="6" t="n">
        <v>101</v>
      </c>
      <c r="S47" s="6" t="n">
        <v>77</v>
      </c>
      <c r="T47" s="6" t="n">
        <v>83</v>
      </c>
      <c r="U47" s="6" t="n">
        <v>6</v>
      </c>
      <c r="V47" s="6" t="n">
        <v>111</v>
      </c>
      <c r="W47" s="6" t="n">
        <v>89</v>
      </c>
      <c r="X47" s="6" t="n">
        <v>99</v>
      </c>
      <c r="Y47" s="6" t="n">
        <v>56</v>
      </c>
      <c r="Z47" s="6" t="n">
        <v>2</v>
      </c>
      <c r="AA47" s="6" t="n">
        <v>22</v>
      </c>
      <c r="AB47" s="6">
        <f>SUM(D47:AA47)</f>
        <v/>
      </c>
      <c r="AC47" s="3" t="inlineStr"/>
      <c r="AD47" s="7">
        <f>AA47*0.0042847645+D47*0.0008569529</f>
        <v/>
      </c>
      <c r="AE47" s="7">
        <f>D47*0.0042847645+E47*0.0008569529</f>
        <v/>
      </c>
      <c r="AF47" s="7">
        <f>E47*0.0042847645+F47*0.0008569529</f>
        <v/>
      </c>
      <c r="AG47" s="7">
        <f>F47*0.0042847645+G47*0.0008569529</f>
        <v/>
      </c>
      <c r="AH47" s="7">
        <f>G47*0.0042847645+H47*0.0008569529</f>
        <v/>
      </c>
      <c r="AI47" s="7">
        <f>H47*0.0042847645+I47*0.0008569529</f>
        <v/>
      </c>
      <c r="AJ47" s="7">
        <f>I47*0.0042847645+J47*0.0008569529</f>
        <v/>
      </c>
      <c r="AK47" s="7">
        <f>J47*0.0042847645+K47*0.0008569529</f>
        <v/>
      </c>
      <c r="AL47" s="7">
        <f>K47*0.0042847645+L47*0.0008569529</f>
        <v/>
      </c>
      <c r="AM47" s="7">
        <f>L47*0.0042847645+M47*0.0008569529</f>
        <v/>
      </c>
      <c r="AN47" s="7">
        <f>M47*0.0042847645+N47*0.0008569529</f>
        <v/>
      </c>
      <c r="AO47" s="7">
        <f>N47*0.0042847645+O47*0.0008569529</f>
        <v/>
      </c>
      <c r="AP47" s="7">
        <f>O47*0.0042847645+P47*0.0008569529</f>
        <v/>
      </c>
      <c r="AQ47" s="7">
        <f>P47*0.0042847645+Q47*0.0008569529</f>
        <v/>
      </c>
      <c r="AR47" s="7">
        <f>Q47*0.0042847645+R47*0.0008569529</f>
        <v/>
      </c>
      <c r="AS47" s="7">
        <f>R47*0.0042847645+S47*0.0008569529</f>
        <v/>
      </c>
      <c r="AT47" s="7">
        <f>S47*0.0042847645+T47*0.0008569529</f>
        <v/>
      </c>
      <c r="AU47" s="7">
        <f>T47*0.0042847645+U47*0.0008569529</f>
        <v/>
      </c>
      <c r="AV47" s="7">
        <f>U47*0.0042847645+V47*0.0008569529</f>
        <v/>
      </c>
      <c r="AW47" s="7">
        <f>V47*0.0042847645+W47*0.0008569529</f>
        <v/>
      </c>
      <c r="AX47" s="7">
        <f>W47*0.0042847645+X47*0.0008569529</f>
        <v/>
      </c>
      <c r="AY47" s="7">
        <f>X47*0.0042847645+Y47*0.0008569529</f>
        <v/>
      </c>
      <c r="AZ47" s="7">
        <f>Y47*0.0042847645+Z47*0.0008569529</f>
        <v/>
      </c>
      <c r="BA47" s="7">
        <f>Z47*0.0042847645+AA47*0.0008569529</f>
        <v/>
      </c>
      <c r="BB47" s="7">
        <f>SUM(AD47:BA47)</f>
        <v/>
      </c>
    </row>
    <row r="48">
      <c r="A48" t="inlineStr">
        <is>
          <t>AMD-FWDPRI-SSC</t>
        </is>
      </c>
      <c r="B48" t="inlineStr">
        <is>
          <t>FWD Priority OSC</t>
        </is>
      </c>
      <c r="C48" s="5" t="n">
        <v>46103</v>
      </c>
      <c r="D48" s="6" t="n">
        <v>158</v>
      </c>
      <c r="E48" s="6" t="n">
        <v>24</v>
      </c>
      <c r="F48" s="6" t="n">
        <v>89</v>
      </c>
      <c r="G48" s="6" t="n">
        <v>156</v>
      </c>
      <c r="H48" s="6" t="n">
        <v>97</v>
      </c>
      <c r="I48" s="6" t="n">
        <v>86</v>
      </c>
      <c r="J48" s="6" t="n">
        <v>2</v>
      </c>
      <c r="K48" s="6" t="n">
        <v>0</v>
      </c>
      <c r="L48" s="6" t="n">
        <v>0</v>
      </c>
      <c r="M48" s="6" t="n">
        <v>0</v>
      </c>
      <c r="N48" s="6" t="n">
        <v>30</v>
      </c>
      <c r="O48" s="6" t="n">
        <v>79</v>
      </c>
      <c r="P48" s="6" t="n">
        <v>35</v>
      </c>
      <c r="Q48" s="6" t="n">
        <v>48</v>
      </c>
      <c r="R48" s="6" t="n">
        <v>106</v>
      </c>
      <c r="S48" s="6" t="n">
        <v>95</v>
      </c>
      <c r="T48" s="6" t="n">
        <v>29</v>
      </c>
      <c r="U48" s="6" t="n">
        <v>82</v>
      </c>
      <c r="V48" s="6" t="n">
        <v>93</v>
      </c>
      <c r="W48" s="6" t="n">
        <v>118</v>
      </c>
      <c r="X48" s="6" t="n">
        <v>114</v>
      </c>
      <c r="Y48" s="6" t="n">
        <v>104</v>
      </c>
      <c r="Z48" s="6" t="n">
        <v>0</v>
      </c>
      <c r="AA48" s="6" t="n">
        <v>17</v>
      </c>
      <c r="AB48" s="6">
        <f>SUM(D48:AA48)</f>
        <v/>
      </c>
      <c r="AC48" s="3" t="inlineStr"/>
      <c r="AD48" s="7">
        <f>AA48*0.0042847645+D48*0.0008569529</f>
        <v/>
      </c>
      <c r="AE48" s="7">
        <f>D48*0.0042847645+E48*0.0008569529</f>
        <v/>
      </c>
      <c r="AF48" s="7">
        <f>E48*0.0042847645+F48*0.0008569529</f>
        <v/>
      </c>
      <c r="AG48" s="7">
        <f>F48*0.0042847645+G48*0.0008569529</f>
        <v/>
      </c>
      <c r="AH48" s="7">
        <f>G48*0.0042847645+H48*0.0008569529</f>
        <v/>
      </c>
      <c r="AI48" s="7">
        <f>H48*0.0042847645+I48*0.0008569529</f>
        <v/>
      </c>
      <c r="AJ48" s="7">
        <f>I48*0.0042847645+J48*0.0008569529</f>
        <v/>
      </c>
      <c r="AK48" s="7">
        <f>J48*0.0042847645+K48*0.0008569529</f>
        <v/>
      </c>
      <c r="AL48" s="7">
        <f>K48*0.0042847645+L48*0.0008569529</f>
        <v/>
      </c>
      <c r="AM48" s="7">
        <f>L48*0.0042847645+M48*0.0008569529</f>
        <v/>
      </c>
      <c r="AN48" s="7">
        <f>M48*0.0042847645+N48*0.0008569529</f>
        <v/>
      </c>
      <c r="AO48" s="7">
        <f>N48*0.0042847645+O48*0.0008569529</f>
        <v/>
      </c>
      <c r="AP48" s="7">
        <f>O48*0.0042847645+P48*0.0008569529</f>
        <v/>
      </c>
      <c r="AQ48" s="7">
        <f>P48*0.0042847645+Q48*0.0008569529</f>
        <v/>
      </c>
      <c r="AR48" s="7">
        <f>Q48*0.0042847645+R48*0.0008569529</f>
        <v/>
      </c>
      <c r="AS48" s="7">
        <f>R48*0.0042847645+S48*0.0008569529</f>
        <v/>
      </c>
      <c r="AT48" s="7">
        <f>S48*0.0042847645+T48*0.0008569529</f>
        <v/>
      </c>
      <c r="AU48" s="7">
        <f>T48*0.0042847645+U48*0.0008569529</f>
        <v/>
      </c>
      <c r="AV48" s="7">
        <f>U48*0.0042847645+V48*0.0008569529</f>
        <v/>
      </c>
      <c r="AW48" s="7">
        <f>V48*0.0042847645+W48*0.0008569529</f>
        <v/>
      </c>
      <c r="AX48" s="7">
        <f>W48*0.0042847645+X48*0.0008569529</f>
        <v/>
      </c>
      <c r="AY48" s="7">
        <f>X48*0.0042847645+Y48*0.0008569529</f>
        <v/>
      </c>
      <c r="AZ48" s="7">
        <f>Y48*0.0042847645+Z48*0.0008569529</f>
        <v/>
      </c>
      <c r="BA48" s="7">
        <f>Z48*0.0042847645+AA48*0.0008569529</f>
        <v/>
      </c>
      <c r="BB48" s="7">
        <f>SUM(AD48:BA48)</f>
        <v/>
      </c>
    </row>
    <row r="49">
      <c r="A49" t="inlineStr">
        <is>
          <t>AMD-FWDPRI-SSC</t>
        </is>
      </c>
      <c r="B49" t="inlineStr">
        <is>
          <t>FWD Priority OSC</t>
        </is>
      </c>
      <c r="C49" s="5" t="n">
        <v>46104</v>
      </c>
      <c r="D49" s="6" t="n">
        <v>149</v>
      </c>
      <c r="E49" s="6" t="n">
        <v>80</v>
      </c>
      <c r="F49" s="6" t="n">
        <v>9</v>
      </c>
      <c r="G49" s="6" t="n">
        <v>158</v>
      </c>
      <c r="H49" s="6" t="n">
        <v>26</v>
      </c>
      <c r="I49" s="6" t="n">
        <v>27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54</v>
      </c>
      <c r="O49" s="6" t="n">
        <v>100</v>
      </c>
      <c r="P49" s="6" t="n">
        <v>0</v>
      </c>
      <c r="Q49" s="6" t="n">
        <v>0</v>
      </c>
      <c r="R49" s="6" t="n">
        <v>131</v>
      </c>
      <c r="S49" s="6" t="n">
        <v>67</v>
      </c>
      <c r="T49" s="6" t="n">
        <v>30</v>
      </c>
      <c r="U49" s="6" t="n">
        <v>79</v>
      </c>
      <c r="V49" s="6" t="n">
        <v>103</v>
      </c>
      <c r="W49" s="6" t="n">
        <v>99</v>
      </c>
      <c r="X49" s="6" t="n">
        <v>46</v>
      </c>
      <c r="Y49" s="6" t="n">
        <v>0</v>
      </c>
      <c r="Z49" s="6" t="n">
        <v>0</v>
      </c>
      <c r="AA49" s="6" t="n">
        <v>36</v>
      </c>
      <c r="AB49" s="6">
        <f>SUM(D49:AA49)</f>
        <v/>
      </c>
      <c r="AC49" s="3" t="inlineStr"/>
      <c r="AD49" s="7">
        <f>AA49*0.0042847645+D49*0.0008569529</f>
        <v/>
      </c>
      <c r="AE49" s="7">
        <f>D49*0.0042847645+E49*0.0008569529</f>
        <v/>
      </c>
      <c r="AF49" s="7">
        <f>E49*0.0042847645+F49*0.0008569529</f>
        <v/>
      </c>
      <c r="AG49" s="7">
        <f>F49*0.0042847645+G49*0.0008569529</f>
        <v/>
      </c>
      <c r="AH49" s="7">
        <f>G49*0.0042847645+H49*0.0008569529</f>
        <v/>
      </c>
      <c r="AI49" s="7">
        <f>H49*0.0042847645+I49*0.0008569529</f>
        <v/>
      </c>
      <c r="AJ49" s="7">
        <f>I49*0.0042847645+J49*0.0008569529</f>
        <v/>
      </c>
      <c r="AK49" s="7">
        <f>J49*0.0042847645+K49*0.0008569529</f>
        <v/>
      </c>
      <c r="AL49" s="7">
        <f>K49*0.0042847645+L49*0.0008569529</f>
        <v/>
      </c>
      <c r="AM49" s="7">
        <f>L49*0.0042847645+M49*0.0008569529</f>
        <v/>
      </c>
      <c r="AN49" s="7">
        <f>M49*0.0042847645+N49*0.0008569529</f>
        <v/>
      </c>
      <c r="AO49" s="7">
        <f>N49*0.0042847645+O49*0.0008569529</f>
        <v/>
      </c>
      <c r="AP49" s="7">
        <f>O49*0.0042847645+P49*0.0008569529</f>
        <v/>
      </c>
      <c r="AQ49" s="7">
        <f>P49*0.0042847645+Q49*0.0008569529</f>
        <v/>
      </c>
      <c r="AR49" s="7">
        <f>Q49*0.0042847645+R49*0.0008569529</f>
        <v/>
      </c>
      <c r="AS49" s="7">
        <f>R49*0.0042847645+S49*0.0008569529</f>
        <v/>
      </c>
      <c r="AT49" s="7">
        <f>S49*0.0042847645+T49*0.0008569529</f>
        <v/>
      </c>
      <c r="AU49" s="7">
        <f>T49*0.0042847645+U49*0.0008569529</f>
        <v/>
      </c>
      <c r="AV49" s="7">
        <f>U49*0.0042847645+V49*0.0008569529</f>
        <v/>
      </c>
      <c r="AW49" s="7">
        <f>V49*0.0042847645+W49*0.0008569529</f>
        <v/>
      </c>
      <c r="AX49" s="7">
        <f>W49*0.0042847645+X49*0.0008569529</f>
        <v/>
      </c>
      <c r="AY49" s="7">
        <f>X49*0.0042847645+Y49*0.0008569529</f>
        <v/>
      </c>
      <c r="AZ49" s="7">
        <f>Y49*0.0042847645+Z49*0.0008569529</f>
        <v/>
      </c>
      <c r="BA49" s="7">
        <f>Z49*0.0042847645+AA49*0.0008569529</f>
        <v/>
      </c>
      <c r="BB49" s="7">
        <f>SUM(AD49:BA49)</f>
        <v/>
      </c>
    </row>
    <row r="50">
      <c r="A50" t="inlineStr">
        <is>
          <t>AMD-FWDPRI-SSC</t>
        </is>
      </c>
      <c r="B50" t="inlineStr">
        <is>
          <t>FWD Priority OSC</t>
        </is>
      </c>
      <c r="C50" s="5" t="n">
        <v>46105</v>
      </c>
      <c r="D50" s="6" t="n">
        <v>151</v>
      </c>
      <c r="E50" s="6" t="n">
        <v>40</v>
      </c>
      <c r="F50" s="6" t="n">
        <v>104</v>
      </c>
      <c r="G50" s="6" t="n">
        <v>161</v>
      </c>
      <c r="H50" s="6" t="n">
        <v>101</v>
      </c>
      <c r="I50" s="6" t="n">
        <v>70</v>
      </c>
      <c r="J50" s="6" t="n">
        <v>17</v>
      </c>
      <c r="K50" s="6" t="n">
        <v>0</v>
      </c>
      <c r="L50" s="6" t="n">
        <v>0</v>
      </c>
      <c r="M50" s="6" t="n">
        <v>0</v>
      </c>
      <c r="N50" s="6" t="n">
        <v>70</v>
      </c>
      <c r="O50" s="6" t="n">
        <v>65</v>
      </c>
      <c r="P50" s="6" t="n">
        <v>2</v>
      </c>
      <c r="Q50" s="6" t="n">
        <v>1</v>
      </c>
      <c r="R50" s="6" t="n">
        <v>0</v>
      </c>
      <c r="S50" s="6" t="n">
        <v>104</v>
      </c>
      <c r="T50" s="6" t="n">
        <v>40</v>
      </c>
      <c r="U50" s="6" t="n">
        <v>96</v>
      </c>
      <c r="V50" s="6" t="n">
        <v>69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0</v>
      </c>
      <c r="AB50" s="6">
        <f>SUM(D50:AA50)</f>
        <v/>
      </c>
      <c r="AC50" s="3" t="inlineStr"/>
      <c r="AD50" s="7">
        <f>AA50*0.0042847645+D50*0.0008569529</f>
        <v/>
      </c>
      <c r="AE50" s="7">
        <f>D50*0.0042847645+E50*0.0008569529</f>
        <v/>
      </c>
      <c r="AF50" s="7">
        <f>E50*0.0042847645+F50*0.0008569529</f>
        <v/>
      </c>
      <c r="AG50" s="7">
        <f>F50*0.0042847645+G50*0.0008569529</f>
        <v/>
      </c>
      <c r="AH50" s="7">
        <f>G50*0.0042847645+H50*0.0008569529</f>
        <v/>
      </c>
      <c r="AI50" s="7">
        <f>H50*0.0042847645+I50*0.0008569529</f>
        <v/>
      </c>
      <c r="AJ50" s="7">
        <f>I50*0.0042847645+J50*0.0008569529</f>
        <v/>
      </c>
      <c r="AK50" s="7">
        <f>J50*0.0042847645+K50*0.0008569529</f>
        <v/>
      </c>
      <c r="AL50" s="7">
        <f>K50*0.0042847645+L50*0.0008569529</f>
        <v/>
      </c>
      <c r="AM50" s="7">
        <f>L50*0.0042847645+M50*0.0008569529</f>
        <v/>
      </c>
      <c r="AN50" s="7">
        <f>M50*0.0042847645+N50*0.0008569529</f>
        <v/>
      </c>
      <c r="AO50" s="7">
        <f>N50*0.0042847645+O50*0.0008569529</f>
        <v/>
      </c>
      <c r="AP50" s="7">
        <f>O50*0.0042847645+P50*0.0008569529</f>
        <v/>
      </c>
      <c r="AQ50" s="7">
        <f>P50*0.0042847645+Q50*0.0008569529</f>
        <v/>
      </c>
      <c r="AR50" s="7">
        <f>Q50*0.0042847645+R50*0.0008569529</f>
        <v/>
      </c>
      <c r="AS50" s="7">
        <f>R50*0.0042847645+S50*0.0008569529</f>
        <v/>
      </c>
      <c r="AT50" s="7">
        <f>S50*0.0042847645+T50*0.0008569529</f>
        <v/>
      </c>
      <c r="AU50" s="7">
        <f>T50*0.0042847645+U50*0.0008569529</f>
        <v/>
      </c>
      <c r="AV50" s="7">
        <f>U50*0.0042847645+V50*0.0008569529</f>
        <v/>
      </c>
      <c r="AW50" s="7">
        <f>V50*0.0042847645+W50*0.0008569529</f>
        <v/>
      </c>
      <c r="AX50" s="7">
        <f>W50*0.0042847645+X50*0.0008569529</f>
        <v/>
      </c>
      <c r="AY50" s="7">
        <f>X50*0.0042847645+Y50*0.0008569529</f>
        <v/>
      </c>
      <c r="AZ50" s="7">
        <f>Y50*0.0042847645+Z50*0.0008569529</f>
        <v/>
      </c>
      <c r="BA50" s="7">
        <f>Z50*0.0042847645+AA50*0.0008569529</f>
        <v/>
      </c>
      <c r="BB50" s="7">
        <f>SUM(AD50:BA50)</f>
        <v/>
      </c>
    </row>
    <row r="51">
      <c r="A51" t="inlineStr">
        <is>
          <t>AMD-FWDREG-SSC</t>
        </is>
      </c>
      <c r="B51" t="inlineStr">
        <is>
          <t>Forward Regular OSC</t>
        </is>
      </c>
      <c r="C51" s="5" t="n">
        <v>46098</v>
      </c>
      <c r="D51" s="6" t="n">
        <v>88</v>
      </c>
      <c r="E51" s="6" t="n">
        <v>92</v>
      </c>
      <c r="F51" s="6" t="n">
        <v>165</v>
      </c>
      <c r="G51" s="6" t="n">
        <v>371</v>
      </c>
      <c r="H51" s="6" t="n">
        <v>281</v>
      </c>
      <c r="I51" s="6" t="n">
        <v>265</v>
      </c>
      <c r="J51" s="6" t="n">
        <v>193</v>
      </c>
      <c r="K51" s="6" t="n">
        <v>1</v>
      </c>
      <c r="L51" s="6" t="n">
        <v>149</v>
      </c>
      <c r="M51" s="6" t="n">
        <v>282</v>
      </c>
      <c r="N51" s="6" t="n">
        <v>298</v>
      </c>
      <c r="O51" s="6" t="n">
        <v>278</v>
      </c>
      <c r="P51" s="6" t="n">
        <v>220</v>
      </c>
      <c r="Q51" s="6" t="n">
        <v>95</v>
      </c>
      <c r="R51" s="6" t="n">
        <v>381</v>
      </c>
      <c r="S51" s="6" t="n">
        <v>303</v>
      </c>
      <c r="T51" s="6" t="n">
        <v>196</v>
      </c>
      <c r="U51" s="6" t="n">
        <v>128</v>
      </c>
      <c r="V51" s="6" t="n">
        <v>204</v>
      </c>
      <c r="W51" s="6" t="n">
        <v>205</v>
      </c>
      <c r="X51" s="6" t="n">
        <v>182</v>
      </c>
      <c r="Y51" s="6" t="n">
        <v>151</v>
      </c>
      <c r="Z51" s="6" t="n">
        <v>0</v>
      </c>
      <c r="AA51" s="6" t="n">
        <v>123</v>
      </c>
      <c r="AB51" s="6">
        <f>SUM(D51:AA51)</f>
        <v/>
      </c>
      <c r="AC51" s="3" t="inlineStr"/>
      <c r="AD51" s="7">
        <f>AA51*0.0042847645+D51*0.0008569529</f>
        <v/>
      </c>
      <c r="AE51" s="7">
        <f>D51*0.0042847645+E51*0.0008569529</f>
        <v/>
      </c>
      <c r="AF51" s="7">
        <f>E51*0.0042847645+F51*0.0008569529</f>
        <v/>
      </c>
      <c r="AG51" s="7">
        <f>F51*0.0042847645+G51*0.0008569529</f>
        <v/>
      </c>
      <c r="AH51" s="7">
        <f>G51*0.0042847645+H51*0.0008569529</f>
        <v/>
      </c>
      <c r="AI51" s="7">
        <f>H51*0.0042847645+I51*0.0008569529</f>
        <v/>
      </c>
      <c r="AJ51" s="7">
        <f>I51*0.0042847645+J51*0.0008569529</f>
        <v/>
      </c>
      <c r="AK51" s="7">
        <f>J51*0.0042847645+K51*0.0008569529</f>
        <v/>
      </c>
      <c r="AL51" s="7">
        <f>K51*0.0042847645+L51*0.0008569529</f>
        <v/>
      </c>
      <c r="AM51" s="7">
        <f>L51*0.0042847645+M51*0.0008569529</f>
        <v/>
      </c>
      <c r="AN51" s="7">
        <f>M51*0.0042847645+N51*0.0008569529</f>
        <v/>
      </c>
      <c r="AO51" s="7">
        <f>N51*0.0042847645+O51*0.0008569529</f>
        <v/>
      </c>
      <c r="AP51" s="7">
        <f>O51*0.0042847645+P51*0.0008569529</f>
        <v/>
      </c>
      <c r="AQ51" s="7">
        <f>P51*0.0042847645+Q51*0.0008569529</f>
        <v/>
      </c>
      <c r="AR51" s="7">
        <f>Q51*0.0042847645+R51*0.0008569529</f>
        <v/>
      </c>
      <c r="AS51" s="7">
        <f>R51*0.0042847645+S51*0.0008569529</f>
        <v/>
      </c>
      <c r="AT51" s="7">
        <f>S51*0.0042847645+T51*0.0008569529</f>
        <v/>
      </c>
      <c r="AU51" s="7">
        <f>T51*0.0042847645+U51*0.0008569529</f>
        <v/>
      </c>
      <c r="AV51" s="7">
        <f>U51*0.0042847645+V51*0.0008569529</f>
        <v/>
      </c>
      <c r="AW51" s="7">
        <f>V51*0.0042847645+W51*0.0008569529</f>
        <v/>
      </c>
      <c r="AX51" s="7">
        <f>W51*0.0042847645+X51*0.0008569529</f>
        <v/>
      </c>
      <c r="AY51" s="7">
        <f>X51*0.0042847645+Y51*0.0008569529</f>
        <v/>
      </c>
      <c r="AZ51" s="7">
        <f>Y51*0.0042847645+Z51*0.0008569529</f>
        <v/>
      </c>
      <c r="BA51" s="7">
        <f>Z51*0.0042847645+AA51*0.0008569529</f>
        <v/>
      </c>
      <c r="BB51" s="7">
        <f>SUM(AD51:BA51)</f>
        <v/>
      </c>
    </row>
    <row r="52">
      <c r="A52" t="inlineStr">
        <is>
          <t>AMD-FWDREG-SSC</t>
        </is>
      </c>
      <c r="B52" t="inlineStr">
        <is>
          <t>Forward Regular OSC</t>
        </is>
      </c>
      <c r="C52" s="5" t="n">
        <v>46099</v>
      </c>
      <c r="D52" s="6" t="n">
        <v>247</v>
      </c>
      <c r="E52" s="6" t="n">
        <v>35</v>
      </c>
      <c r="F52" s="6" t="n">
        <v>255</v>
      </c>
      <c r="G52" s="6" t="n">
        <v>203</v>
      </c>
      <c r="H52" s="6" t="n">
        <v>134</v>
      </c>
      <c r="I52" s="6" t="n">
        <v>201</v>
      </c>
      <c r="J52" s="6" t="n">
        <v>157</v>
      </c>
      <c r="K52" s="6" t="n">
        <v>2</v>
      </c>
      <c r="L52" s="6" t="n">
        <v>195</v>
      </c>
      <c r="M52" s="6" t="n">
        <v>325</v>
      </c>
      <c r="N52" s="6" t="n">
        <v>310</v>
      </c>
      <c r="O52" s="6" t="n">
        <v>266</v>
      </c>
      <c r="P52" s="6" t="n">
        <v>93</v>
      </c>
      <c r="Q52" s="6" t="n">
        <v>223</v>
      </c>
      <c r="R52" s="6" t="n">
        <v>414</v>
      </c>
      <c r="S52" s="6" t="n">
        <v>393</v>
      </c>
      <c r="T52" s="6" t="n">
        <v>364</v>
      </c>
      <c r="U52" s="6" t="n">
        <v>49</v>
      </c>
      <c r="V52" s="6" t="n">
        <v>132</v>
      </c>
      <c r="W52" s="6" t="n">
        <v>166</v>
      </c>
      <c r="X52" s="6" t="n">
        <v>177</v>
      </c>
      <c r="Y52" s="6" t="n">
        <v>119</v>
      </c>
      <c r="Z52" s="6" t="n">
        <v>3</v>
      </c>
      <c r="AA52" s="6" t="n">
        <v>191</v>
      </c>
      <c r="AB52" s="6">
        <f>SUM(D52:AA52)</f>
        <v/>
      </c>
      <c r="AC52" s="3" t="inlineStr"/>
      <c r="AD52" s="7">
        <f>AA52*0.0042847645+D52*0.0008569529</f>
        <v/>
      </c>
      <c r="AE52" s="7">
        <f>D52*0.0042847645+E52*0.0008569529</f>
        <v/>
      </c>
      <c r="AF52" s="7">
        <f>E52*0.0042847645+F52*0.0008569529</f>
        <v/>
      </c>
      <c r="AG52" s="7">
        <f>F52*0.0042847645+G52*0.0008569529</f>
        <v/>
      </c>
      <c r="AH52" s="7">
        <f>G52*0.0042847645+H52*0.0008569529</f>
        <v/>
      </c>
      <c r="AI52" s="7">
        <f>H52*0.0042847645+I52*0.0008569529</f>
        <v/>
      </c>
      <c r="AJ52" s="7">
        <f>I52*0.0042847645+J52*0.0008569529</f>
        <v/>
      </c>
      <c r="AK52" s="7">
        <f>J52*0.0042847645+K52*0.0008569529</f>
        <v/>
      </c>
      <c r="AL52" s="7">
        <f>K52*0.0042847645+L52*0.0008569529</f>
        <v/>
      </c>
      <c r="AM52" s="7">
        <f>L52*0.0042847645+M52*0.0008569529</f>
        <v/>
      </c>
      <c r="AN52" s="7">
        <f>M52*0.0042847645+N52*0.0008569529</f>
        <v/>
      </c>
      <c r="AO52" s="7">
        <f>N52*0.0042847645+O52*0.0008569529</f>
        <v/>
      </c>
      <c r="AP52" s="7">
        <f>O52*0.0042847645+P52*0.0008569529</f>
        <v/>
      </c>
      <c r="AQ52" s="7">
        <f>P52*0.0042847645+Q52*0.0008569529</f>
        <v/>
      </c>
      <c r="AR52" s="7">
        <f>Q52*0.0042847645+R52*0.0008569529</f>
        <v/>
      </c>
      <c r="AS52" s="7">
        <f>R52*0.0042847645+S52*0.0008569529</f>
        <v/>
      </c>
      <c r="AT52" s="7">
        <f>S52*0.0042847645+T52*0.0008569529</f>
        <v/>
      </c>
      <c r="AU52" s="7">
        <f>T52*0.0042847645+U52*0.0008569529</f>
        <v/>
      </c>
      <c r="AV52" s="7">
        <f>U52*0.0042847645+V52*0.0008569529</f>
        <v/>
      </c>
      <c r="AW52" s="7">
        <f>V52*0.0042847645+W52*0.0008569529</f>
        <v/>
      </c>
      <c r="AX52" s="7">
        <f>W52*0.0042847645+X52*0.0008569529</f>
        <v/>
      </c>
      <c r="AY52" s="7">
        <f>X52*0.0042847645+Y52*0.0008569529</f>
        <v/>
      </c>
      <c r="AZ52" s="7">
        <f>Y52*0.0042847645+Z52*0.0008569529</f>
        <v/>
      </c>
      <c r="BA52" s="7">
        <f>Z52*0.0042847645+AA52*0.0008569529</f>
        <v/>
      </c>
      <c r="BB52" s="7">
        <f>SUM(AD52:BA52)</f>
        <v/>
      </c>
    </row>
    <row r="53">
      <c r="A53" t="inlineStr">
        <is>
          <t>AMD-FWDREG-SSC</t>
        </is>
      </c>
      <c r="B53" t="inlineStr">
        <is>
          <t>Forward Regular OSC</t>
        </is>
      </c>
      <c r="C53" s="5" t="n">
        <v>46100</v>
      </c>
      <c r="D53" s="6" t="n">
        <v>361</v>
      </c>
      <c r="E53" s="6" t="n">
        <v>99</v>
      </c>
      <c r="F53" s="6" t="n">
        <v>272</v>
      </c>
      <c r="G53" s="6" t="n">
        <v>345</v>
      </c>
      <c r="H53" s="6" t="n">
        <v>172</v>
      </c>
      <c r="I53" s="6" t="n">
        <v>273</v>
      </c>
      <c r="J53" s="6" t="n">
        <v>93</v>
      </c>
      <c r="K53" s="6" t="n">
        <v>7</v>
      </c>
      <c r="L53" s="6" t="n">
        <v>118</v>
      </c>
      <c r="M53" s="6" t="n">
        <v>266</v>
      </c>
      <c r="N53" s="6" t="n">
        <v>282</v>
      </c>
      <c r="O53" s="6" t="n">
        <v>294</v>
      </c>
      <c r="P53" s="6" t="n">
        <v>276</v>
      </c>
      <c r="Q53" s="6" t="n">
        <v>122</v>
      </c>
      <c r="R53" s="6" t="n">
        <v>186</v>
      </c>
      <c r="S53" s="6" t="n">
        <v>68</v>
      </c>
      <c r="T53" s="6" t="n">
        <v>45</v>
      </c>
      <c r="U53" s="6" t="n">
        <v>63</v>
      </c>
      <c r="V53" s="6" t="n">
        <v>68</v>
      </c>
      <c r="W53" s="6" t="n">
        <v>77</v>
      </c>
      <c r="X53" s="6" t="n">
        <v>80</v>
      </c>
      <c r="Y53" s="6" t="n">
        <v>59</v>
      </c>
      <c r="Z53" s="6" t="n">
        <v>0</v>
      </c>
      <c r="AA53" s="6" t="n">
        <v>0</v>
      </c>
      <c r="AB53" s="6">
        <f>SUM(D53:AA53)</f>
        <v/>
      </c>
      <c r="AC53" s="3" t="inlineStr"/>
      <c r="AD53" s="7">
        <f>AA53*0.0042847645+D53*0.0008569529</f>
        <v/>
      </c>
      <c r="AE53" s="7">
        <f>D53*0.0042847645+E53*0.0008569529</f>
        <v/>
      </c>
      <c r="AF53" s="7">
        <f>E53*0.0042847645+F53*0.0008569529</f>
        <v/>
      </c>
      <c r="AG53" s="7">
        <f>F53*0.0042847645+G53*0.0008569529</f>
        <v/>
      </c>
      <c r="AH53" s="7">
        <f>G53*0.0042847645+H53*0.0008569529</f>
        <v/>
      </c>
      <c r="AI53" s="7">
        <f>H53*0.0042847645+I53*0.0008569529</f>
        <v/>
      </c>
      <c r="AJ53" s="7">
        <f>I53*0.0042847645+J53*0.0008569529</f>
        <v/>
      </c>
      <c r="AK53" s="7">
        <f>J53*0.0042847645+K53*0.0008569529</f>
        <v/>
      </c>
      <c r="AL53" s="7">
        <f>K53*0.0042847645+L53*0.0008569529</f>
        <v/>
      </c>
      <c r="AM53" s="7">
        <f>L53*0.0042847645+M53*0.0008569529</f>
        <v/>
      </c>
      <c r="AN53" s="7">
        <f>M53*0.0042847645+N53*0.0008569529</f>
        <v/>
      </c>
      <c r="AO53" s="7">
        <f>N53*0.0042847645+O53*0.0008569529</f>
        <v/>
      </c>
      <c r="AP53" s="7">
        <f>O53*0.0042847645+P53*0.0008569529</f>
        <v/>
      </c>
      <c r="AQ53" s="7">
        <f>P53*0.0042847645+Q53*0.0008569529</f>
        <v/>
      </c>
      <c r="AR53" s="7">
        <f>Q53*0.0042847645+R53*0.0008569529</f>
        <v/>
      </c>
      <c r="AS53" s="7">
        <f>R53*0.0042847645+S53*0.0008569529</f>
        <v/>
      </c>
      <c r="AT53" s="7">
        <f>S53*0.0042847645+T53*0.0008569529</f>
        <v/>
      </c>
      <c r="AU53" s="7">
        <f>T53*0.0042847645+U53*0.0008569529</f>
        <v/>
      </c>
      <c r="AV53" s="7">
        <f>U53*0.0042847645+V53*0.0008569529</f>
        <v/>
      </c>
      <c r="AW53" s="7">
        <f>V53*0.0042847645+W53*0.0008569529</f>
        <v/>
      </c>
      <c r="AX53" s="7">
        <f>W53*0.0042847645+X53*0.0008569529</f>
        <v/>
      </c>
      <c r="AY53" s="7">
        <f>X53*0.0042847645+Y53*0.0008569529</f>
        <v/>
      </c>
      <c r="AZ53" s="7">
        <f>Y53*0.0042847645+Z53*0.0008569529</f>
        <v/>
      </c>
      <c r="BA53" s="7">
        <f>Z53*0.0042847645+AA53*0.0008569529</f>
        <v/>
      </c>
      <c r="BB53" s="7">
        <f>SUM(AD53:BA53)</f>
        <v/>
      </c>
    </row>
    <row r="54">
      <c r="A54" t="inlineStr">
        <is>
          <t>AMD-FWDREG-SSC</t>
        </is>
      </c>
      <c r="B54" t="inlineStr">
        <is>
          <t>Forward Regular OSC</t>
        </is>
      </c>
      <c r="C54" s="5" t="n">
        <v>46101</v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31</v>
      </c>
      <c r="M54" s="6" t="n">
        <v>254</v>
      </c>
      <c r="N54" s="6" t="n">
        <v>295</v>
      </c>
      <c r="O54" s="6" t="n">
        <v>269</v>
      </c>
      <c r="P54" s="6" t="n">
        <v>108</v>
      </c>
      <c r="Q54" s="6" t="n">
        <v>279</v>
      </c>
      <c r="R54" s="6" t="n">
        <v>351</v>
      </c>
      <c r="S54" s="6" t="n">
        <v>405</v>
      </c>
      <c r="T54" s="6" t="n">
        <v>381</v>
      </c>
      <c r="U54" s="6" t="n">
        <v>17</v>
      </c>
      <c r="V54" s="6" t="n">
        <v>272</v>
      </c>
      <c r="W54" s="6" t="n">
        <v>252</v>
      </c>
      <c r="X54" s="6" t="n">
        <v>240</v>
      </c>
      <c r="Y54" s="6" t="n">
        <v>73</v>
      </c>
      <c r="Z54" s="6" t="n">
        <v>1</v>
      </c>
      <c r="AA54" s="6" t="n">
        <v>104</v>
      </c>
      <c r="AB54" s="6">
        <f>SUM(D54:AA54)</f>
        <v/>
      </c>
      <c r="AC54" s="3" t="inlineStr"/>
      <c r="AD54" s="7">
        <f>AA54*0.0042847645+D54*0.0008569529</f>
        <v/>
      </c>
      <c r="AE54" s="7">
        <f>D54*0.0042847645+E54*0.0008569529</f>
        <v/>
      </c>
      <c r="AF54" s="7">
        <f>E54*0.0042847645+F54*0.0008569529</f>
        <v/>
      </c>
      <c r="AG54" s="7">
        <f>F54*0.0042847645+G54*0.0008569529</f>
        <v/>
      </c>
      <c r="AH54" s="7">
        <f>G54*0.0042847645+H54*0.0008569529</f>
        <v/>
      </c>
      <c r="AI54" s="7">
        <f>H54*0.0042847645+I54*0.0008569529</f>
        <v/>
      </c>
      <c r="AJ54" s="7">
        <f>I54*0.0042847645+J54*0.0008569529</f>
        <v/>
      </c>
      <c r="AK54" s="7">
        <f>J54*0.0042847645+K54*0.0008569529</f>
        <v/>
      </c>
      <c r="AL54" s="7">
        <f>K54*0.0042847645+L54*0.0008569529</f>
        <v/>
      </c>
      <c r="AM54" s="7">
        <f>L54*0.0042847645+M54*0.0008569529</f>
        <v/>
      </c>
      <c r="AN54" s="7">
        <f>M54*0.0042847645+N54*0.0008569529</f>
        <v/>
      </c>
      <c r="AO54" s="7">
        <f>N54*0.0042847645+O54*0.0008569529</f>
        <v/>
      </c>
      <c r="AP54" s="7">
        <f>O54*0.0042847645+P54*0.0008569529</f>
        <v/>
      </c>
      <c r="AQ54" s="7">
        <f>P54*0.0042847645+Q54*0.0008569529</f>
        <v/>
      </c>
      <c r="AR54" s="7">
        <f>Q54*0.0042847645+R54*0.0008569529</f>
        <v/>
      </c>
      <c r="AS54" s="7">
        <f>R54*0.0042847645+S54*0.0008569529</f>
        <v/>
      </c>
      <c r="AT54" s="7">
        <f>S54*0.0042847645+T54*0.0008569529</f>
        <v/>
      </c>
      <c r="AU54" s="7">
        <f>T54*0.0042847645+U54*0.0008569529</f>
        <v/>
      </c>
      <c r="AV54" s="7">
        <f>U54*0.0042847645+V54*0.0008569529</f>
        <v/>
      </c>
      <c r="AW54" s="7">
        <f>V54*0.0042847645+W54*0.0008569529</f>
        <v/>
      </c>
      <c r="AX54" s="7">
        <f>W54*0.0042847645+X54*0.0008569529</f>
        <v/>
      </c>
      <c r="AY54" s="7">
        <f>X54*0.0042847645+Y54*0.0008569529</f>
        <v/>
      </c>
      <c r="AZ54" s="7">
        <f>Y54*0.0042847645+Z54*0.0008569529</f>
        <v/>
      </c>
      <c r="BA54" s="7">
        <f>Z54*0.0042847645+AA54*0.0008569529</f>
        <v/>
      </c>
      <c r="BB54" s="7">
        <f>SUM(AD54:BA54)</f>
        <v/>
      </c>
    </row>
    <row r="55">
      <c r="A55" t="inlineStr">
        <is>
          <t>AMD-FWDREG-SSC</t>
        </is>
      </c>
      <c r="B55" t="inlineStr">
        <is>
          <t>Forward Regular OSC</t>
        </is>
      </c>
      <c r="C55" s="5" t="n">
        <v>46102</v>
      </c>
      <c r="D55" s="6" t="n">
        <v>227</v>
      </c>
      <c r="E55" s="6" t="n">
        <v>89</v>
      </c>
      <c r="F55" s="6" t="n">
        <v>220</v>
      </c>
      <c r="G55" s="6" t="n">
        <v>226</v>
      </c>
      <c r="H55" s="6" t="n">
        <v>129</v>
      </c>
      <c r="I55" s="6" t="n">
        <v>108</v>
      </c>
      <c r="J55" s="6" t="n">
        <v>115</v>
      </c>
      <c r="K55" s="6" t="n">
        <v>2</v>
      </c>
      <c r="L55" s="6" t="n">
        <v>0</v>
      </c>
      <c r="M55" s="6" t="n">
        <v>268</v>
      </c>
      <c r="N55" s="6" t="n">
        <v>266</v>
      </c>
      <c r="O55" s="6" t="n">
        <v>234</v>
      </c>
      <c r="P55" s="6" t="n">
        <v>160</v>
      </c>
      <c r="Q55" s="6" t="n">
        <v>142</v>
      </c>
      <c r="R55" s="6" t="n">
        <v>62</v>
      </c>
      <c r="S55" s="6" t="n">
        <v>59</v>
      </c>
      <c r="T55" s="6" t="n">
        <v>67</v>
      </c>
      <c r="U55" s="6" t="n">
        <v>5</v>
      </c>
      <c r="V55" s="6" t="n">
        <v>0</v>
      </c>
      <c r="W55" s="6" t="n">
        <v>7</v>
      </c>
      <c r="X55" s="6" t="n">
        <v>0</v>
      </c>
      <c r="Y55" s="6" t="n">
        <v>0</v>
      </c>
      <c r="Z55" s="6" t="n">
        <v>0</v>
      </c>
      <c r="AA55" s="6" t="n">
        <v>9</v>
      </c>
      <c r="AB55" s="6">
        <f>SUM(D55:AA55)</f>
        <v/>
      </c>
      <c r="AC55" s="3" t="inlineStr"/>
      <c r="AD55" s="7">
        <f>AA55*0.0042847645+D55*0.0008569529</f>
        <v/>
      </c>
      <c r="AE55" s="7">
        <f>D55*0.0042847645+E55*0.0008569529</f>
        <v/>
      </c>
      <c r="AF55" s="7">
        <f>E55*0.0042847645+F55*0.0008569529</f>
        <v/>
      </c>
      <c r="AG55" s="7">
        <f>F55*0.0042847645+G55*0.0008569529</f>
        <v/>
      </c>
      <c r="AH55" s="7">
        <f>G55*0.0042847645+H55*0.0008569529</f>
        <v/>
      </c>
      <c r="AI55" s="7">
        <f>H55*0.0042847645+I55*0.0008569529</f>
        <v/>
      </c>
      <c r="AJ55" s="7">
        <f>I55*0.0042847645+J55*0.0008569529</f>
        <v/>
      </c>
      <c r="AK55" s="7">
        <f>J55*0.0042847645+K55*0.0008569529</f>
        <v/>
      </c>
      <c r="AL55" s="7">
        <f>K55*0.0042847645+L55*0.0008569529</f>
        <v/>
      </c>
      <c r="AM55" s="7">
        <f>L55*0.0042847645+M55*0.0008569529</f>
        <v/>
      </c>
      <c r="AN55" s="7">
        <f>M55*0.0042847645+N55*0.0008569529</f>
        <v/>
      </c>
      <c r="AO55" s="7">
        <f>N55*0.0042847645+O55*0.0008569529</f>
        <v/>
      </c>
      <c r="AP55" s="7">
        <f>O55*0.0042847645+P55*0.0008569529</f>
        <v/>
      </c>
      <c r="AQ55" s="7">
        <f>P55*0.0042847645+Q55*0.0008569529</f>
        <v/>
      </c>
      <c r="AR55" s="7">
        <f>Q55*0.0042847645+R55*0.0008569529</f>
        <v/>
      </c>
      <c r="AS55" s="7">
        <f>R55*0.0042847645+S55*0.0008569529</f>
        <v/>
      </c>
      <c r="AT55" s="7">
        <f>S55*0.0042847645+T55*0.0008569529</f>
        <v/>
      </c>
      <c r="AU55" s="7">
        <f>T55*0.0042847645+U55*0.0008569529</f>
        <v/>
      </c>
      <c r="AV55" s="7">
        <f>U55*0.0042847645+V55*0.0008569529</f>
        <v/>
      </c>
      <c r="AW55" s="7">
        <f>V55*0.0042847645+W55*0.0008569529</f>
        <v/>
      </c>
      <c r="AX55" s="7">
        <f>W55*0.0042847645+X55*0.0008569529</f>
        <v/>
      </c>
      <c r="AY55" s="7">
        <f>X55*0.0042847645+Y55*0.0008569529</f>
        <v/>
      </c>
      <c r="AZ55" s="7">
        <f>Y55*0.0042847645+Z55*0.0008569529</f>
        <v/>
      </c>
      <c r="BA55" s="7">
        <f>Z55*0.0042847645+AA55*0.0008569529</f>
        <v/>
      </c>
      <c r="BB55" s="7">
        <f>SUM(AD55:BA55)</f>
        <v/>
      </c>
    </row>
    <row r="56">
      <c r="A56" t="inlineStr">
        <is>
          <t>AMD-FWDREG-SSC</t>
        </is>
      </c>
      <c r="B56" t="inlineStr">
        <is>
          <t>Forward Regular OSC</t>
        </is>
      </c>
      <c r="C56" s="5" t="n">
        <v>46103</v>
      </c>
      <c r="D56" s="6" t="n">
        <v>275</v>
      </c>
      <c r="E56" s="6" t="n">
        <v>62</v>
      </c>
      <c r="F56" s="6" t="n">
        <v>184</v>
      </c>
      <c r="G56" s="6" t="n">
        <v>254</v>
      </c>
      <c r="H56" s="6" t="n">
        <v>146</v>
      </c>
      <c r="I56" s="6" t="n">
        <v>130</v>
      </c>
      <c r="J56" s="6" t="n">
        <v>15</v>
      </c>
      <c r="K56" s="6" t="n">
        <v>1</v>
      </c>
      <c r="L56" s="6" t="n">
        <v>0</v>
      </c>
      <c r="M56" s="6" t="n">
        <v>227</v>
      </c>
      <c r="N56" s="6" t="n">
        <v>268</v>
      </c>
      <c r="O56" s="6" t="n">
        <v>227</v>
      </c>
      <c r="P56" s="6" t="n">
        <v>83</v>
      </c>
      <c r="Q56" s="6" t="n">
        <v>48</v>
      </c>
      <c r="R56" s="6" t="n">
        <v>258</v>
      </c>
      <c r="S56" s="6" t="n">
        <v>96</v>
      </c>
      <c r="T56" s="6" t="n">
        <v>5</v>
      </c>
      <c r="U56" s="6" t="n">
        <v>18</v>
      </c>
      <c r="V56" s="6" t="n">
        <v>10</v>
      </c>
      <c r="W56" s="6" t="n">
        <v>44</v>
      </c>
      <c r="X56" s="6" t="n">
        <v>49</v>
      </c>
      <c r="Y56" s="6" t="n">
        <v>50</v>
      </c>
      <c r="Z56" s="6" t="n">
        <v>2</v>
      </c>
      <c r="AA56" s="6" t="n">
        <v>0</v>
      </c>
      <c r="AB56" s="6">
        <f>SUM(D56:AA56)</f>
        <v/>
      </c>
      <c r="AC56" s="3" t="inlineStr"/>
      <c r="AD56" s="7">
        <f>AA56*0.0042847645+D56*0.0008569529</f>
        <v/>
      </c>
      <c r="AE56" s="7">
        <f>D56*0.0042847645+E56*0.0008569529</f>
        <v/>
      </c>
      <c r="AF56" s="7">
        <f>E56*0.0042847645+F56*0.0008569529</f>
        <v/>
      </c>
      <c r="AG56" s="7">
        <f>F56*0.0042847645+G56*0.0008569529</f>
        <v/>
      </c>
      <c r="AH56" s="7">
        <f>G56*0.0042847645+H56*0.0008569529</f>
        <v/>
      </c>
      <c r="AI56" s="7">
        <f>H56*0.0042847645+I56*0.0008569529</f>
        <v/>
      </c>
      <c r="AJ56" s="7">
        <f>I56*0.0042847645+J56*0.0008569529</f>
        <v/>
      </c>
      <c r="AK56" s="7">
        <f>J56*0.0042847645+K56*0.0008569529</f>
        <v/>
      </c>
      <c r="AL56" s="7">
        <f>K56*0.0042847645+L56*0.0008569529</f>
        <v/>
      </c>
      <c r="AM56" s="7">
        <f>L56*0.0042847645+M56*0.0008569529</f>
        <v/>
      </c>
      <c r="AN56" s="7">
        <f>M56*0.0042847645+N56*0.0008569529</f>
        <v/>
      </c>
      <c r="AO56" s="7">
        <f>N56*0.0042847645+O56*0.0008569529</f>
        <v/>
      </c>
      <c r="AP56" s="7">
        <f>O56*0.0042847645+P56*0.0008569529</f>
        <v/>
      </c>
      <c r="AQ56" s="7">
        <f>P56*0.0042847645+Q56*0.0008569529</f>
        <v/>
      </c>
      <c r="AR56" s="7">
        <f>Q56*0.0042847645+R56*0.0008569529</f>
        <v/>
      </c>
      <c r="AS56" s="7">
        <f>R56*0.0042847645+S56*0.0008569529</f>
        <v/>
      </c>
      <c r="AT56" s="7">
        <f>S56*0.0042847645+T56*0.0008569529</f>
        <v/>
      </c>
      <c r="AU56" s="7">
        <f>T56*0.0042847645+U56*0.0008569529</f>
        <v/>
      </c>
      <c r="AV56" s="7">
        <f>U56*0.0042847645+V56*0.0008569529</f>
        <v/>
      </c>
      <c r="AW56" s="7">
        <f>V56*0.0042847645+W56*0.0008569529</f>
        <v/>
      </c>
      <c r="AX56" s="7">
        <f>W56*0.0042847645+X56*0.0008569529</f>
        <v/>
      </c>
      <c r="AY56" s="7">
        <f>X56*0.0042847645+Y56*0.0008569529</f>
        <v/>
      </c>
      <c r="AZ56" s="7">
        <f>Y56*0.0042847645+Z56*0.0008569529</f>
        <v/>
      </c>
      <c r="BA56" s="7">
        <f>Z56*0.0042847645+AA56*0.0008569529</f>
        <v/>
      </c>
      <c r="BB56" s="7">
        <f>SUM(AD56:BA56)</f>
        <v/>
      </c>
    </row>
    <row r="57">
      <c r="A57" t="inlineStr">
        <is>
          <t>AMD-FWDREG-SSC</t>
        </is>
      </c>
      <c r="B57" t="inlineStr">
        <is>
          <t>Forward Regular OSC</t>
        </is>
      </c>
      <c r="C57" s="5" t="n">
        <v>46104</v>
      </c>
      <c r="D57" s="6" t="n">
        <v>201</v>
      </c>
      <c r="E57" s="6" t="n">
        <v>154</v>
      </c>
      <c r="F57" s="6" t="n">
        <v>5</v>
      </c>
      <c r="G57" s="6" t="n">
        <v>222</v>
      </c>
      <c r="H57" s="6" t="n">
        <v>114</v>
      </c>
      <c r="I57" s="6" t="n">
        <v>147</v>
      </c>
      <c r="J57" s="6" t="n">
        <v>7</v>
      </c>
      <c r="K57" s="6" t="n">
        <v>0</v>
      </c>
      <c r="L57" s="6" t="n">
        <v>6</v>
      </c>
      <c r="M57" s="6" t="n">
        <v>396</v>
      </c>
      <c r="N57" s="6" t="n">
        <v>218</v>
      </c>
      <c r="O57" s="6" t="n">
        <v>1</v>
      </c>
      <c r="P57" s="6" t="n">
        <v>0</v>
      </c>
      <c r="Q57" s="6" t="n">
        <v>0</v>
      </c>
      <c r="R57" s="6" t="n">
        <v>89</v>
      </c>
      <c r="S57" s="6" t="n">
        <v>68</v>
      </c>
      <c r="T57" s="6" t="n">
        <v>7</v>
      </c>
      <c r="U57" s="6" t="n">
        <v>62</v>
      </c>
      <c r="V57" s="6" t="n">
        <v>38</v>
      </c>
      <c r="W57" s="6" t="n">
        <v>38</v>
      </c>
      <c r="X57" s="6" t="n">
        <v>29</v>
      </c>
      <c r="Y57" s="6" t="n">
        <v>9</v>
      </c>
      <c r="Z57" s="6" t="n">
        <v>0</v>
      </c>
      <c r="AA57" s="6" t="n">
        <v>36</v>
      </c>
      <c r="AB57" s="6">
        <f>SUM(D57:AA57)</f>
        <v/>
      </c>
      <c r="AC57" s="3" t="inlineStr"/>
      <c r="AD57" s="7">
        <f>AA57*0.0042847645+D57*0.0008569529</f>
        <v/>
      </c>
      <c r="AE57" s="7">
        <f>D57*0.0042847645+E57*0.0008569529</f>
        <v/>
      </c>
      <c r="AF57" s="7">
        <f>E57*0.0042847645+F57*0.0008569529</f>
        <v/>
      </c>
      <c r="AG57" s="7">
        <f>F57*0.0042847645+G57*0.0008569529</f>
        <v/>
      </c>
      <c r="AH57" s="7">
        <f>G57*0.0042847645+H57*0.0008569529</f>
        <v/>
      </c>
      <c r="AI57" s="7">
        <f>H57*0.0042847645+I57*0.0008569529</f>
        <v/>
      </c>
      <c r="AJ57" s="7">
        <f>I57*0.0042847645+J57*0.0008569529</f>
        <v/>
      </c>
      <c r="AK57" s="7">
        <f>J57*0.0042847645+K57*0.0008569529</f>
        <v/>
      </c>
      <c r="AL57" s="7">
        <f>K57*0.0042847645+L57*0.0008569529</f>
        <v/>
      </c>
      <c r="AM57" s="7">
        <f>L57*0.0042847645+M57*0.0008569529</f>
        <v/>
      </c>
      <c r="AN57" s="7">
        <f>M57*0.0042847645+N57*0.0008569529</f>
        <v/>
      </c>
      <c r="AO57" s="7">
        <f>N57*0.0042847645+O57*0.0008569529</f>
        <v/>
      </c>
      <c r="AP57" s="7">
        <f>O57*0.0042847645+P57*0.0008569529</f>
        <v/>
      </c>
      <c r="AQ57" s="7">
        <f>P57*0.0042847645+Q57*0.0008569529</f>
        <v/>
      </c>
      <c r="AR57" s="7">
        <f>Q57*0.0042847645+R57*0.0008569529</f>
        <v/>
      </c>
      <c r="AS57" s="7">
        <f>R57*0.0042847645+S57*0.0008569529</f>
        <v/>
      </c>
      <c r="AT57" s="7">
        <f>S57*0.0042847645+T57*0.0008569529</f>
        <v/>
      </c>
      <c r="AU57" s="7">
        <f>T57*0.0042847645+U57*0.0008569529</f>
        <v/>
      </c>
      <c r="AV57" s="7">
        <f>U57*0.0042847645+V57*0.0008569529</f>
        <v/>
      </c>
      <c r="AW57" s="7">
        <f>V57*0.0042847645+W57*0.0008569529</f>
        <v/>
      </c>
      <c r="AX57" s="7">
        <f>W57*0.0042847645+X57*0.0008569529</f>
        <v/>
      </c>
      <c r="AY57" s="7">
        <f>X57*0.0042847645+Y57*0.0008569529</f>
        <v/>
      </c>
      <c r="AZ57" s="7">
        <f>Y57*0.0042847645+Z57*0.0008569529</f>
        <v/>
      </c>
      <c r="BA57" s="7">
        <f>Z57*0.0042847645+AA57*0.0008569529</f>
        <v/>
      </c>
      <c r="BB57" s="7">
        <f>SUM(AD57:BA57)</f>
        <v/>
      </c>
    </row>
    <row r="58">
      <c r="A58" t="inlineStr">
        <is>
          <t>AMD-FWDREG-SSC</t>
        </is>
      </c>
      <c r="B58" t="inlineStr">
        <is>
          <t>Forward Regular OSC</t>
        </is>
      </c>
      <c r="C58" s="5" t="n">
        <v>46105</v>
      </c>
      <c r="D58" s="6" t="n">
        <v>447</v>
      </c>
      <c r="E58" s="6" t="n">
        <v>81</v>
      </c>
      <c r="F58" s="6" t="n">
        <v>256</v>
      </c>
      <c r="G58" s="6" t="n">
        <v>219</v>
      </c>
      <c r="H58" s="6" t="n">
        <v>138</v>
      </c>
      <c r="I58" s="6" t="n">
        <v>263</v>
      </c>
      <c r="J58" s="6" t="n">
        <v>218</v>
      </c>
      <c r="K58" s="6" t="n">
        <v>0</v>
      </c>
      <c r="L58" s="6" t="n">
        <v>1</v>
      </c>
      <c r="M58" s="6" t="n">
        <v>448</v>
      </c>
      <c r="N58" s="6" t="n">
        <v>297</v>
      </c>
      <c r="O58" s="6" t="n">
        <v>256</v>
      </c>
      <c r="P58" s="6" t="n">
        <v>159</v>
      </c>
      <c r="Q58" s="6" t="n">
        <v>355</v>
      </c>
      <c r="R58" s="6" t="n">
        <v>189</v>
      </c>
      <c r="S58" s="6" t="n">
        <v>10</v>
      </c>
      <c r="T58" s="6" t="n">
        <v>39</v>
      </c>
      <c r="U58" s="6" t="n">
        <v>96</v>
      </c>
      <c r="V58" s="6" t="n">
        <v>62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0</v>
      </c>
      <c r="AB58" s="6">
        <f>SUM(D58:AA58)</f>
        <v/>
      </c>
      <c r="AC58" s="3" t="inlineStr"/>
      <c r="AD58" s="7">
        <f>AA58*0.0042847645+D58*0.0008569529</f>
        <v/>
      </c>
      <c r="AE58" s="7">
        <f>D58*0.0042847645+E58*0.0008569529</f>
        <v/>
      </c>
      <c r="AF58" s="7">
        <f>E58*0.0042847645+F58*0.0008569529</f>
        <v/>
      </c>
      <c r="AG58" s="7">
        <f>F58*0.0042847645+G58*0.0008569529</f>
        <v/>
      </c>
      <c r="AH58" s="7">
        <f>G58*0.0042847645+H58*0.0008569529</f>
        <v/>
      </c>
      <c r="AI58" s="7">
        <f>H58*0.0042847645+I58*0.0008569529</f>
        <v/>
      </c>
      <c r="AJ58" s="7">
        <f>I58*0.0042847645+J58*0.0008569529</f>
        <v/>
      </c>
      <c r="AK58" s="7">
        <f>J58*0.0042847645+K58*0.0008569529</f>
        <v/>
      </c>
      <c r="AL58" s="7">
        <f>K58*0.0042847645+L58*0.0008569529</f>
        <v/>
      </c>
      <c r="AM58" s="7">
        <f>L58*0.0042847645+M58*0.0008569529</f>
        <v/>
      </c>
      <c r="AN58" s="7">
        <f>M58*0.0042847645+N58*0.0008569529</f>
        <v/>
      </c>
      <c r="AO58" s="7">
        <f>N58*0.0042847645+O58*0.0008569529</f>
        <v/>
      </c>
      <c r="AP58" s="7">
        <f>O58*0.0042847645+P58*0.0008569529</f>
        <v/>
      </c>
      <c r="AQ58" s="7">
        <f>P58*0.0042847645+Q58*0.0008569529</f>
        <v/>
      </c>
      <c r="AR58" s="7">
        <f>Q58*0.0042847645+R58*0.0008569529</f>
        <v/>
      </c>
      <c r="AS58" s="7">
        <f>R58*0.0042847645+S58*0.0008569529</f>
        <v/>
      </c>
      <c r="AT58" s="7">
        <f>S58*0.0042847645+T58*0.0008569529</f>
        <v/>
      </c>
      <c r="AU58" s="7">
        <f>T58*0.0042847645+U58*0.0008569529</f>
        <v/>
      </c>
      <c r="AV58" s="7">
        <f>U58*0.0042847645+V58*0.0008569529</f>
        <v/>
      </c>
      <c r="AW58" s="7">
        <f>V58*0.0042847645+W58*0.0008569529</f>
        <v/>
      </c>
      <c r="AX58" s="7">
        <f>W58*0.0042847645+X58*0.0008569529</f>
        <v/>
      </c>
      <c r="AY58" s="7">
        <f>X58*0.0042847645+Y58*0.0008569529</f>
        <v/>
      </c>
      <c r="AZ58" s="7">
        <f>Y58*0.0042847645+Z58*0.0008569529</f>
        <v/>
      </c>
      <c r="BA58" s="7">
        <f>Z58*0.0042847645+AA58*0.0008569529</f>
        <v/>
      </c>
      <c r="BB58" s="7">
        <f>SUM(AD58:BA58)</f>
        <v/>
      </c>
    </row>
    <row r="59">
      <c r="A59" t="inlineStr">
        <is>
          <t>AMD-INTRA-SSC</t>
        </is>
      </c>
      <c r="B59" t="inlineStr">
        <is>
          <t>Forward Regular OSC</t>
        </is>
      </c>
      <c r="C59" s="5" t="n">
        <v>46098</v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Q59" s="6" t="n">
        <v>0</v>
      </c>
      <c r="R59" s="6" t="n">
        <v>0</v>
      </c>
      <c r="S59" s="6" t="n">
        <v>0</v>
      </c>
      <c r="T59" s="6" t="n">
        <v>7</v>
      </c>
      <c r="U59" s="6" t="n">
        <v>6</v>
      </c>
      <c r="V59" s="6" t="n">
        <v>0</v>
      </c>
      <c r="W59" s="6" t="n">
        <v>0</v>
      </c>
      <c r="X59" s="6" t="n">
        <v>0</v>
      </c>
      <c r="Y59" s="6" t="n">
        <v>6</v>
      </c>
      <c r="Z59" s="6" t="n">
        <v>10</v>
      </c>
      <c r="AA59" s="6" t="n">
        <v>7</v>
      </c>
      <c r="AB59" s="6">
        <f>SUM(D59:AA59)</f>
        <v/>
      </c>
      <c r="AC59" s="3" t="inlineStr"/>
      <c r="AD59" s="7">
        <f>AA59*0.0042847645+D59*0.0008569529</f>
        <v/>
      </c>
      <c r="AE59" s="7">
        <f>D59*0.0042847645+E59*0.0008569529</f>
        <v/>
      </c>
      <c r="AF59" s="7">
        <f>E59*0.0042847645+F59*0.0008569529</f>
        <v/>
      </c>
      <c r="AG59" s="7">
        <f>F59*0.0042847645+G59*0.0008569529</f>
        <v/>
      </c>
      <c r="AH59" s="7">
        <f>G59*0.0042847645+H59*0.0008569529</f>
        <v/>
      </c>
      <c r="AI59" s="7">
        <f>H59*0.0042847645+I59*0.0008569529</f>
        <v/>
      </c>
      <c r="AJ59" s="7">
        <f>I59*0.0042847645+J59*0.0008569529</f>
        <v/>
      </c>
      <c r="AK59" s="7">
        <f>J59*0.0042847645+K59*0.0008569529</f>
        <v/>
      </c>
      <c r="AL59" s="7">
        <f>K59*0.0042847645+L59*0.0008569529</f>
        <v/>
      </c>
      <c r="AM59" s="7">
        <f>L59*0.0042847645+M59*0.0008569529</f>
        <v/>
      </c>
      <c r="AN59" s="7">
        <f>M59*0.0042847645+N59*0.0008569529</f>
        <v/>
      </c>
      <c r="AO59" s="7">
        <f>N59*0.0042847645+O59*0.0008569529</f>
        <v/>
      </c>
      <c r="AP59" s="7">
        <f>O59*0.0042847645+P59*0.0008569529</f>
        <v/>
      </c>
      <c r="AQ59" s="7">
        <f>P59*0.0042847645+Q59*0.0008569529</f>
        <v/>
      </c>
      <c r="AR59" s="7">
        <f>Q59*0.0042847645+R59*0.0008569529</f>
        <v/>
      </c>
      <c r="AS59" s="7">
        <f>R59*0.0042847645+S59*0.0008569529</f>
        <v/>
      </c>
      <c r="AT59" s="7">
        <f>S59*0.0042847645+T59*0.0008569529</f>
        <v/>
      </c>
      <c r="AU59" s="7">
        <f>T59*0.0042847645+U59*0.0008569529</f>
        <v/>
      </c>
      <c r="AV59" s="7">
        <f>U59*0.0042847645+V59*0.0008569529</f>
        <v/>
      </c>
      <c r="AW59" s="7">
        <f>V59*0.0042847645+W59*0.0008569529</f>
        <v/>
      </c>
      <c r="AX59" s="7">
        <f>W59*0.0042847645+X59*0.0008569529</f>
        <v/>
      </c>
      <c r="AY59" s="7">
        <f>X59*0.0042847645+Y59*0.0008569529</f>
        <v/>
      </c>
      <c r="AZ59" s="7">
        <f>Y59*0.0042847645+Z59*0.0008569529</f>
        <v/>
      </c>
      <c r="BA59" s="7">
        <f>Z59*0.0042847645+AA59*0.0008569529</f>
        <v/>
      </c>
      <c r="BB59" s="7">
        <f>SUM(AD59:BA59)</f>
        <v/>
      </c>
    </row>
    <row r="60">
      <c r="A60" t="inlineStr">
        <is>
          <t>AMD-INTRA-SSC</t>
        </is>
      </c>
      <c r="B60" t="inlineStr">
        <is>
          <t>Forward Regular OSC</t>
        </is>
      </c>
      <c r="C60" s="5" t="n">
        <v>46099</v>
      </c>
      <c r="D60" s="6" t="n">
        <v>13</v>
      </c>
      <c r="E60" s="6" t="n">
        <v>5</v>
      </c>
      <c r="F60" s="6" t="n">
        <v>10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0</v>
      </c>
      <c r="Q60" s="6" t="n">
        <v>6</v>
      </c>
      <c r="R60" s="6" t="n">
        <v>6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8</v>
      </c>
      <c r="Z60" s="6" t="n">
        <v>0</v>
      </c>
      <c r="AA60" s="6" t="n">
        <v>11</v>
      </c>
      <c r="AB60" s="6">
        <f>SUM(D60:AA60)</f>
        <v/>
      </c>
      <c r="AC60" s="3" t="inlineStr"/>
      <c r="AD60" s="7">
        <f>AA60*0.0042847645+D60*0.0008569529</f>
        <v/>
      </c>
      <c r="AE60" s="7">
        <f>D60*0.0042847645+E60*0.0008569529</f>
        <v/>
      </c>
      <c r="AF60" s="7">
        <f>E60*0.0042847645+F60*0.0008569529</f>
        <v/>
      </c>
      <c r="AG60" s="7">
        <f>F60*0.0042847645+G60*0.0008569529</f>
        <v/>
      </c>
      <c r="AH60" s="7">
        <f>G60*0.0042847645+H60*0.0008569529</f>
        <v/>
      </c>
      <c r="AI60" s="7">
        <f>H60*0.0042847645+I60*0.0008569529</f>
        <v/>
      </c>
      <c r="AJ60" s="7">
        <f>I60*0.0042847645+J60*0.0008569529</f>
        <v/>
      </c>
      <c r="AK60" s="7">
        <f>J60*0.0042847645+K60*0.0008569529</f>
        <v/>
      </c>
      <c r="AL60" s="7">
        <f>K60*0.0042847645+L60*0.0008569529</f>
        <v/>
      </c>
      <c r="AM60" s="7">
        <f>L60*0.0042847645+M60*0.0008569529</f>
        <v/>
      </c>
      <c r="AN60" s="7">
        <f>M60*0.0042847645+N60*0.0008569529</f>
        <v/>
      </c>
      <c r="AO60" s="7">
        <f>N60*0.0042847645+O60*0.0008569529</f>
        <v/>
      </c>
      <c r="AP60" s="7">
        <f>O60*0.0042847645+P60*0.0008569529</f>
        <v/>
      </c>
      <c r="AQ60" s="7">
        <f>P60*0.0042847645+Q60*0.0008569529</f>
        <v/>
      </c>
      <c r="AR60" s="7">
        <f>Q60*0.0042847645+R60*0.0008569529</f>
        <v/>
      </c>
      <c r="AS60" s="7">
        <f>R60*0.0042847645+S60*0.0008569529</f>
        <v/>
      </c>
      <c r="AT60" s="7">
        <f>S60*0.0042847645+T60*0.0008569529</f>
        <v/>
      </c>
      <c r="AU60" s="7">
        <f>T60*0.0042847645+U60*0.0008569529</f>
        <v/>
      </c>
      <c r="AV60" s="7">
        <f>U60*0.0042847645+V60*0.0008569529</f>
        <v/>
      </c>
      <c r="AW60" s="7">
        <f>V60*0.0042847645+W60*0.0008569529</f>
        <v/>
      </c>
      <c r="AX60" s="7">
        <f>W60*0.0042847645+X60*0.0008569529</f>
        <v/>
      </c>
      <c r="AY60" s="7">
        <f>X60*0.0042847645+Y60*0.0008569529</f>
        <v/>
      </c>
      <c r="AZ60" s="7">
        <f>Y60*0.0042847645+Z60*0.0008569529</f>
        <v/>
      </c>
      <c r="BA60" s="7">
        <f>Z60*0.0042847645+AA60*0.0008569529</f>
        <v/>
      </c>
      <c r="BB60" s="7">
        <f>SUM(AD60:BA60)</f>
        <v/>
      </c>
    </row>
    <row r="61">
      <c r="A61" t="inlineStr">
        <is>
          <t>AMD-INTRA-SSC</t>
        </is>
      </c>
      <c r="B61" t="inlineStr">
        <is>
          <t>Forward Regular OSC</t>
        </is>
      </c>
      <c r="C61" s="5" t="n">
        <v>46100</v>
      </c>
      <c r="D61" s="6" t="n">
        <v>12</v>
      </c>
      <c r="E61" s="6" t="n">
        <v>3</v>
      </c>
      <c r="F61" s="6" t="n">
        <v>7</v>
      </c>
      <c r="G61" s="6" t="n">
        <v>0</v>
      </c>
      <c r="H61" s="6" t="n">
        <v>0</v>
      </c>
      <c r="I61" s="6" t="n">
        <v>3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0</v>
      </c>
      <c r="Q61" s="6" t="n">
        <v>6</v>
      </c>
      <c r="R61" s="6" t="n">
        <v>6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1</v>
      </c>
      <c r="X61" s="6" t="n">
        <v>1</v>
      </c>
      <c r="Y61" s="6" t="n">
        <v>6</v>
      </c>
      <c r="Z61" s="6" t="n">
        <v>0</v>
      </c>
      <c r="AA61" s="6" t="n">
        <v>10</v>
      </c>
      <c r="AB61" s="6">
        <f>SUM(D61:AA61)</f>
        <v/>
      </c>
      <c r="AC61" s="3" t="inlineStr"/>
      <c r="AD61" s="7">
        <f>AA61*0.0042847645+D61*0.0008569529</f>
        <v/>
      </c>
      <c r="AE61" s="7">
        <f>D61*0.0042847645+E61*0.0008569529</f>
        <v/>
      </c>
      <c r="AF61" s="7">
        <f>E61*0.0042847645+F61*0.0008569529</f>
        <v/>
      </c>
      <c r="AG61" s="7">
        <f>F61*0.0042847645+G61*0.0008569529</f>
        <v/>
      </c>
      <c r="AH61" s="7">
        <f>G61*0.0042847645+H61*0.0008569529</f>
        <v/>
      </c>
      <c r="AI61" s="7">
        <f>H61*0.0042847645+I61*0.0008569529</f>
        <v/>
      </c>
      <c r="AJ61" s="7">
        <f>I61*0.0042847645+J61*0.0008569529</f>
        <v/>
      </c>
      <c r="AK61" s="7">
        <f>J61*0.0042847645+K61*0.0008569529</f>
        <v/>
      </c>
      <c r="AL61" s="7">
        <f>K61*0.0042847645+L61*0.0008569529</f>
        <v/>
      </c>
      <c r="AM61" s="7">
        <f>L61*0.0042847645+M61*0.0008569529</f>
        <v/>
      </c>
      <c r="AN61" s="7">
        <f>M61*0.0042847645+N61*0.0008569529</f>
        <v/>
      </c>
      <c r="AO61" s="7">
        <f>N61*0.0042847645+O61*0.0008569529</f>
        <v/>
      </c>
      <c r="AP61" s="7">
        <f>O61*0.0042847645+P61*0.0008569529</f>
        <v/>
      </c>
      <c r="AQ61" s="7">
        <f>P61*0.0042847645+Q61*0.0008569529</f>
        <v/>
      </c>
      <c r="AR61" s="7">
        <f>Q61*0.0042847645+R61*0.0008569529</f>
        <v/>
      </c>
      <c r="AS61" s="7">
        <f>R61*0.0042847645+S61*0.0008569529</f>
        <v/>
      </c>
      <c r="AT61" s="7">
        <f>S61*0.0042847645+T61*0.0008569529</f>
        <v/>
      </c>
      <c r="AU61" s="7">
        <f>T61*0.0042847645+U61*0.0008569529</f>
        <v/>
      </c>
      <c r="AV61" s="7">
        <f>U61*0.0042847645+V61*0.0008569529</f>
        <v/>
      </c>
      <c r="AW61" s="7">
        <f>V61*0.0042847645+W61*0.0008569529</f>
        <v/>
      </c>
      <c r="AX61" s="7">
        <f>W61*0.0042847645+X61*0.0008569529</f>
        <v/>
      </c>
      <c r="AY61" s="7">
        <f>X61*0.0042847645+Y61*0.0008569529</f>
        <v/>
      </c>
      <c r="AZ61" s="7">
        <f>Y61*0.0042847645+Z61*0.0008569529</f>
        <v/>
      </c>
      <c r="BA61" s="7">
        <f>Z61*0.0042847645+AA61*0.0008569529</f>
        <v/>
      </c>
      <c r="BB61" s="7">
        <f>SUM(AD61:BA61)</f>
        <v/>
      </c>
    </row>
    <row r="62">
      <c r="A62" t="inlineStr">
        <is>
          <t>AMD-INTRA-SSC</t>
        </is>
      </c>
      <c r="B62" t="inlineStr">
        <is>
          <t>Forward Regular OSC</t>
        </is>
      </c>
      <c r="C62" s="5" t="n">
        <v>46101</v>
      </c>
      <c r="D62" s="6" t="n">
        <v>9</v>
      </c>
      <c r="E62" s="6" t="n">
        <v>0</v>
      </c>
      <c r="F62" s="6" t="n">
        <v>2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0</v>
      </c>
      <c r="M62" s="6" t="n">
        <v>6</v>
      </c>
      <c r="N62" s="6" t="n">
        <v>0</v>
      </c>
      <c r="O62" s="6" t="n">
        <v>0</v>
      </c>
      <c r="P62" s="6" t="n">
        <v>0</v>
      </c>
      <c r="Q62" s="6" t="n">
        <v>9</v>
      </c>
      <c r="R62" s="6" t="n">
        <v>1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4</v>
      </c>
      <c r="Z62" s="6" t="n">
        <v>8</v>
      </c>
      <c r="AA62" s="6" t="n">
        <v>10</v>
      </c>
      <c r="AB62" s="6">
        <f>SUM(D62:AA62)</f>
        <v/>
      </c>
      <c r="AC62" s="3" t="inlineStr"/>
      <c r="AD62" s="7">
        <f>AA62*0.0042847645+D62*0.0008569529</f>
        <v/>
      </c>
      <c r="AE62" s="7">
        <f>D62*0.0042847645+E62*0.0008569529</f>
        <v/>
      </c>
      <c r="AF62" s="7">
        <f>E62*0.0042847645+F62*0.0008569529</f>
        <v/>
      </c>
      <c r="AG62" s="7">
        <f>F62*0.0042847645+G62*0.0008569529</f>
        <v/>
      </c>
      <c r="AH62" s="7">
        <f>G62*0.0042847645+H62*0.0008569529</f>
        <v/>
      </c>
      <c r="AI62" s="7">
        <f>H62*0.0042847645+I62*0.0008569529</f>
        <v/>
      </c>
      <c r="AJ62" s="7">
        <f>I62*0.0042847645+J62*0.0008569529</f>
        <v/>
      </c>
      <c r="AK62" s="7">
        <f>J62*0.0042847645+K62*0.0008569529</f>
        <v/>
      </c>
      <c r="AL62" s="7">
        <f>K62*0.0042847645+L62*0.0008569529</f>
        <v/>
      </c>
      <c r="AM62" s="7">
        <f>L62*0.0042847645+M62*0.0008569529</f>
        <v/>
      </c>
      <c r="AN62" s="7">
        <f>M62*0.0042847645+N62*0.0008569529</f>
        <v/>
      </c>
      <c r="AO62" s="7">
        <f>N62*0.0042847645+O62*0.0008569529</f>
        <v/>
      </c>
      <c r="AP62" s="7">
        <f>O62*0.0042847645+P62*0.0008569529</f>
        <v/>
      </c>
      <c r="AQ62" s="7">
        <f>P62*0.0042847645+Q62*0.0008569529</f>
        <v/>
      </c>
      <c r="AR62" s="7">
        <f>Q62*0.0042847645+R62*0.0008569529</f>
        <v/>
      </c>
      <c r="AS62" s="7">
        <f>R62*0.0042847645+S62*0.0008569529</f>
        <v/>
      </c>
      <c r="AT62" s="7">
        <f>S62*0.0042847645+T62*0.0008569529</f>
        <v/>
      </c>
      <c r="AU62" s="7">
        <f>T62*0.0042847645+U62*0.0008569529</f>
        <v/>
      </c>
      <c r="AV62" s="7">
        <f>U62*0.0042847645+V62*0.0008569529</f>
        <v/>
      </c>
      <c r="AW62" s="7">
        <f>V62*0.0042847645+W62*0.0008569529</f>
        <v/>
      </c>
      <c r="AX62" s="7">
        <f>W62*0.0042847645+X62*0.0008569529</f>
        <v/>
      </c>
      <c r="AY62" s="7">
        <f>X62*0.0042847645+Y62*0.0008569529</f>
        <v/>
      </c>
      <c r="AZ62" s="7">
        <f>Y62*0.0042847645+Z62*0.0008569529</f>
        <v/>
      </c>
      <c r="BA62" s="7">
        <f>Z62*0.0042847645+AA62*0.0008569529</f>
        <v/>
      </c>
      <c r="BB62" s="7">
        <f>SUM(AD62:BA62)</f>
        <v/>
      </c>
    </row>
    <row r="63">
      <c r="A63" t="inlineStr">
        <is>
          <t>AMD-INTRA-SSC</t>
        </is>
      </c>
      <c r="B63" t="inlineStr">
        <is>
          <t>Forward Regular OSC</t>
        </is>
      </c>
      <c r="C63" s="5" t="n">
        <v>46102</v>
      </c>
      <c r="D63" s="6" t="n">
        <v>7</v>
      </c>
      <c r="E63" s="6" t="n">
        <v>5</v>
      </c>
      <c r="F63" s="6" t="n">
        <v>5</v>
      </c>
      <c r="G63" s="6" t="n">
        <v>1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10</v>
      </c>
      <c r="N63" s="6" t="n">
        <v>0</v>
      </c>
      <c r="O63" s="6" t="n">
        <v>0</v>
      </c>
      <c r="P63" s="6" t="n">
        <v>0</v>
      </c>
      <c r="Q63" s="6" t="n">
        <v>0</v>
      </c>
      <c r="R63" s="6" t="n">
        <v>7</v>
      </c>
      <c r="S63" s="6" t="n">
        <v>0</v>
      </c>
      <c r="T63" s="6" t="n">
        <v>0</v>
      </c>
      <c r="U63" s="6" t="n">
        <v>0</v>
      </c>
      <c r="V63" s="6" t="n">
        <v>0</v>
      </c>
      <c r="W63" s="6" t="n">
        <v>0</v>
      </c>
      <c r="X63" s="6" t="n">
        <v>8</v>
      </c>
      <c r="Y63" s="6" t="n">
        <v>1</v>
      </c>
      <c r="Z63" s="6" t="n">
        <v>0</v>
      </c>
      <c r="AA63" s="6" t="n">
        <v>12</v>
      </c>
      <c r="AB63" s="6">
        <f>SUM(D63:AA63)</f>
        <v/>
      </c>
      <c r="AC63" s="3" t="inlineStr"/>
      <c r="AD63" s="7">
        <f>AA63*0.0042847645+D63*0.0008569529</f>
        <v/>
      </c>
      <c r="AE63" s="7">
        <f>D63*0.0042847645+E63*0.0008569529</f>
        <v/>
      </c>
      <c r="AF63" s="7">
        <f>E63*0.0042847645+F63*0.0008569529</f>
        <v/>
      </c>
      <c r="AG63" s="7">
        <f>F63*0.0042847645+G63*0.0008569529</f>
        <v/>
      </c>
      <c r="AH63" s="7">
        <f>G63*0.0042847645+H63*0.0008569529</f>
        <v/>
      </c>
      <c r="AI63" s="7">
        <f>H63*0.0042847645+I63*0.0008569529</f>
        <v/>
      </c>
      <c r="AJ63" s="7">
        <f>I63*0.0042847645+J63*0.0008569529</f>
        <v/>
      </c>
      <c r="AK63" s="7">
        <f>J63*0.0042847645+K63*0.0008569529</f>
        <v/>
      </c>
      <c r="AL63" s="7">
        <f>K63*0.0042847645+L63*0.0008569529</f>
        <v/>
      </c>
      <c r="AM63" s="7">
        <f>L63*0.0042847645+M63*0.0008569529</f>
        <v/>
      </c>
      <c r="AN63" s="7">
        <f>M63*0.0042847645+N63*0.0008569529</f>
        <v/>
      </c>
      <c r="AO63" s="7">
        <f>N63*0.0042847645+O63*0.0008569529</f>
        <v/>
      </c>
      <c r="AP63" s="7">
        <f>O63*0.0042847645+P63*0.0008569529</f>
        <v/>
      </c>
      <c r="AQ63" s="7">
        <f>P63*0.0042847645+Q63*0.0008569529</f>
        <v/>
      </c>
      <c r="AR63" s="7">
        <f>Q63*0.0042847645+R63*0.0008569529</f>
        <v/>
      </c>
      <c r="AS63" s="7">
        <f>R63*0.0042847645+S63*0.0008569529</f>
        <v/>
      </c>
      <c r="AT63" s="7">
        <f>S63*0.0042847645+T63*0.0008569529</f>
        <v/>
      </c>
      <c r="AU63" s="7">
        <f>T63*0.0042847645+U63*0.0008569529</f>
        <v/>
      </c>
      <c r="AV63" s="7">
        <f>U63*0.0042847645+V63*0.0008569529</f>
        <v/>
      </c>
      <c r="AW63" s="7">
        <f>V63*0.0042847645+W63*0.0008569529</f>
        <v/>
      </c>
      <c r="AX63" s="7">
        <f>W63*0.0042847645+X63*0.0008569529</f>
        <v/>
      </c>
      <c r="AY63" s="7">
        <f>X63*0.0042847645+Y63*0.0008569529</f>
        <v/>
      </c>
      <c r="AZ63" s="7">
        <f>Y63*0.0042847645+Z63*0.0008569529</f>
        <v/>
      </c>
      <c r="BA63" s="7">
        <f>Z63*0.0042847645+AA63*0.0008569529</f>
        <v/>
      </c>
      <c r="BB63" s="7">
        <f>SUM(AD63:BA63)</f>
        <v/>
      </c>
    </row>
    <row r="64">
      <c r="A64" t="inlineStr">
        <is>
          <t>AMD-INTRA-SSC</t>
        </is>
      </c>
      <c r="B64" t="inlineStr">
        <is>
          <t>Forward Regular OSC</t>
        </is>
      </c>
      <c r="C64" s="5" t="n">
        <v>46103</v>
      </c>
      <c r="D64" s="6" t="n">
        <v>7</v>
      </c>
      <c r="E64" s="6" t="n">
        <v>4</v>
      </c>
      <c r="F64" s="6" t="n">
        <v>3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0</v>
      </c>
      <c r="M64" s="6" t="n">
        <v>7</v>
      </c>
      <c r="N64" s="6" t="n">
        <v>12</v>
      </c>
      <c r="O64" s="6" t="n">
        <v>0</v>
      </c>
      <c r="P64" s="6" t="n">
        <v>0</v>
      </c>
      <c r="Q64" s="6" t="n">
        <v>5</v>
      </c>
      <c r="R64" s="6" t="n">
        <v>9</v>
      </c>
      <c r="S64" s="6" t="n">
        <v>0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9</v>
      </c>
      <c r="Y64" s="6" t="n">
        <v>0</v>
      </c>
      <c r="Z64" s="6" t="n">
        <v>7</v>
      </c>
      <c r="AA64" s="6" t="n">
        <v>9</v>
      </c>
      <c r="AB64" s="6">
        <f>SUM(D64:AA64)</f>
        <v/>
      </c>
      <c r="AC64" s="3" t="inlineStr"/>
      <c r="AD64" s="7">
        <f>AA64*0.0042847645+D64*0.0008569529</f>
        <v/>
      </c>
      <c r="AE64" s="7">
        <f>D64*0.0042847645+E64*0.0008569529</f>
        <v/>
      </c>
      <c r="AF64" s="7">
        <f>E64*0.0042847645+F64*0.0008569529</f>
        <v/>
      </c>
      <c r="AG64" s="7">
        <f>F64*0.0042847645+G64*0.0008569529</f>
        <v/>
      </c>
      <c r="AH64" s="7">
        <f>G64*0.0042847645+H64*0.0008569529</f>
        <v/>
      </c>
      <c r="AI64" s="7">
        <f>H64*0.0042847645+I64*0.0008569529</f>
        <v/>
      </c>
      <c r="AJ64" s="7">
        <f>I64*0.0042847645+J64*0.0008569529</f>
        <v/>
      </c>
      <c r="AK64" s="7">
        <f>J64*0.0042847645+K64*0.0008569529</f>
        <v/>
      </c>
      <c r="AL64" s="7">
        <f>K64*0.0042847645+L64*0.0008569529</f>
        <v/>
      </c>
      <c r="AM64" s="7">
        <f>L64*0.0042847645+M64*0.0008569529</f>
        <v/>
      </c>
      <c r="AN64" s="7">
        <f>M64*0.0042847645+N64*0.0008569529</f>
        <v/>
      </c>
      <c r="AO64" s="7">
        <f>N64*0.0042847645+O64*0.0008569529</f>
        <v/>
      </c>
      <c r="AP64" s="7">
        <f>O64*0.0042847645+P64*0.0008569529</f>
        <v/>
      </c>
      <c r="AQ64" s="7">
        <f>P64*0.0042847645+Q64*0.0008569529</f>
        <v/>
      </c>
      <c r="AR64" s="7">
        <f>Q64*0.0042847645+R64*0.0008569529</f>
        <v/>
      </c>
      <c r="AS64" s="7">
        <f>R64*0.0042847645+S64*0.0008569529</f>
        <v/>
      </c>
      <c r="AT64" s="7">
        <f>S64*0.0042847645+T64*0.0008569529</f>
        <v/>
      </c>
      <c r="AU64" s="7">
        <f>T64*0.0042847645+U64*0.0008569529</f>
        <v/>
      </c>
      <c r="AV64" s="7">
        <f>U64*0.0042847645+V64*0.0008569529</f>
        <v/>
      </c>
      <c r="AW64" s="7">
        <f>V64*0.0042847645+W64*0.0008569529</f>
        <v/>
      </c>
      <c r="AX64" s="7">
        <f>W64*0.0042847645+X64*0.0008569529</f>
        <v/>
      </c>
      <c r="AY64" s="7">
        <f>X64*0.0042847645+Y64*0.0008569529</f>
        <v/>
      </c>
      <c r="AZ64" s="7">
        <f>Y64*0.0042847645+Z64*0.0008569529</f>
        <v/>
      </c>
      <c r="BA64" s="7">
        <f>Z64*0.0042847645+AA64*0.0008569529</f>
        <v/>
      </c>
      <c r="BB64" s="7">
        <f>SUM(AD64:BA64)</f>
        <v/>
      </c>
    </row>
    <row r="65">
      <c r="A65" t="inlineStr">
        <is>
          <t>AMD-INTRA-SSC</t>
        </is>
      </c>
      <c r="B65" t="inlineStr">
        <is>
          <t>Forward Regular OSC</t>
        </is>
      </c>
      <c r="C65" s="5" t="n">
        <v>46104</v>
      </c>
      <c r="D65" s="6" t="n">
        <v>8</v>
      </c>
      <c r="E65" s="6" t="n">
        <v>11</v>
      </c>
      <c r="F65" s="6" t="n">
        <v>3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15</v>
      </c>
      <c r="N65" s="6" t="n">
        <v>0</v>
      </c>
      <c r="O65" s="6" t="n">
        <v>0</v>
      </c>
      <c r="P65" s="6" t="n">
        <v>0</v>
      </c>
      <c r="Q65" s="6" t="n">
        <v>3</v>
      </c>
      <c r="R65" s="6" t="n">
        <v>7</v>
      </c>
      <c r="S65" s="6" t="n">
        <v>0</v>
      </c>
      <c r="T65" s="6" t="n">
        <v>0</v>
      </c>
      <c r="U65" s="6" t="n">
        <v>0</v>
      </c>
      <c r="V65" s="6" t="n">
        <v>0</v>
      </c>
      <c r="W65" s="6" t="n">
        <v>0</v>
      </c>
      <c r="X65" s="6" t="n">
        <v>5</v>
      </c>
      <c r="Y65" s="6" t="n">
        <v>1</v>
      </c>
      <c r="Z65" s="6" t="n">
        <v>16</v>
      </c>
      <c r="AA65" s="6" t="n">
        <v>8</v>
      </c>
      <c r="AB65" s="6">
        <f>SUM(D65:AA65)</f>
        <v/>
      </c>
      <c r="AC65" s="3" t="inlineStr"/>
      <c r="AD65" s="7">
        <f>AA65*0.0042847645+D65*0.0008569529</f>
        <v/>
      </c>
      <c r="AE65" s="7">
        <f>D65*0.0042847645+E65*0.0008569529</f>
        <v/>
      </c>
      <c r="AF65" s="7">
        <f>E65*0.0042847645+F65*0.0008569529</f>
        <v/>
      </c>
      <c r="AG65" s="7">
        <f>F65*0.0042847645+G65*0.0008569529</f>
        <v/>
      </c>
      <c r="AH65" s="7">
        <f>G65*0.0042847645+H65*0.0008569529</f>
        <v/>
      </c>
      <c r="AI65" s="7">
        <f>H65*0.0042847645+I65*0.0008569529</f>
        <v/>
      </c>
      <c r="AJ65" s="7">
        <f>I65*0.0042847645+J65*0.0008569529</f>
        <v/>
      </c>
      <c r="AK65" s="7">
        <f>J65*0.0042847645+K65*0.0008569529</f>
        <v/>
      </c>
      <c r="AL65" s="7">
        <f>K65*0.0042847645+L65*0.0008569529</f>
        <v/>
      </c>
      <c r="AM65" s="7">
        <f>L65*0.0042847645+M65*0.0008569529</f>
        <v/>
      </c>
      <c r="AN65" s="7">
        <f>M65*0.0042847645+N65*0.0008569529</f>
        <v/>
      </c>
      <c r="AO65" s="7">
        <f>N65*0.0042847645+O65*0.0008569529</f>
        <v/>
      </c>
      <c r="AP65" s="7">
        <f>O65*0.0042847645+P65*0.0008569529</f>
        <v/>
      </c>
      <c r="AQ65" s="7">
        <f>P65*0.0042847645+Q65*0.0008569529</f>
        <v/>
      </c>
      <c r="AR65" s="7">
        <f>Q65*0.0042847645+R65*0.0008569529</f>
        <v/>
      </c>
      <c r="AS65" s="7">
        <f>R65*0.0042847645+S65*0.0008569529</f>
        <v/>
      </c>
      <c r="AT65" s="7">
        <f>S65*0.0042847645+T65*0.0008569529</f>
        <v/>
      </c>
      <c r="AU65" s="7">
        <f>T65*0.0042847645+U65*0.0008569529</f>
        <v/>
      </c>
      <c r="AV65" s="7">
        <f>U65*0.0042847645+V65*0.0008569529</f>
        <v/>
      </c>
      <c r="AW65" s="7">
        <f>V65*0.0042847645+W65*0.0008569529</f>
        <v/>
      </c>
      <c r="AX65" s="7">
        <f>W65*0.0042847645+X65*0.0008569529</f>
        <v/>
      </c>
      <c r="AY65" s="7">
        <f>X65*0.0042847645+Y65*0.0008569529</f>
        <v/>
      </c>
      <c r="AZ65" s="7">
        <f>Y65*0.0042847645+Z65*0.0008569529</f>
        <v/>
      </c>
      <c r="BA65" s="7">
        <f>Z65*0.0042847645+AA65*0.0008569529</f>
        <v/>
      </c>
      <c r="BB65" s="7">
        <f>SUM(AD65:BA65)</f>
        <v/>
      </c>
    </row>
    <row r="66">
      <c r="A66" t="inlineStr">
        <is>
          <t>AMD-INTRA-SSC</t>
        </is>
      </c>
      <c r="B66" t="inlineStr">
        <is>
          <t>Forward Regular OSC</t>
        </is>
      </c>
      <c r="C66" s="5" t="n">
        <v>46105</v>
      </c>
      <c r="D66" s="6" t="n">
        <v>8</v>
      </c>
      <c r="E66" s="6" t="n">
        <v>8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16</v>
      </c>
      <c r="N66" s="6" t="n">
        <v>1</v>
      </c>
      <c r="O66" s="6" t="n">
        <v>0</v>
      </c>
      <c r="P66" s="6" t="n">
        <v>0</v>
      </c>
      <c r="Q66" s="6" t="n">
        <v>6</v>
      </c>
      <c r="R66" s="6" t="n">
        <v>6</v>
      </c>
      <c r="S66" s="6" t="n">
        <v>0</v>
      </c>
      <c r="T66" s="6" t="n">
        <v>0</v>
      </c>
      <c r="U66" s="6" t="n">
        <v>0</v>
      </c>
      <c r="V66" s="6" t="n">
        <v>0</v>
      </c>
      <c r="W66" s="6" t="n">
        <v>0</v>
      </c>
      <c r="X66" s="6" t="n">
        <v>0</v>
      </c>
      <c r="Y66" s="6" t="n">
        <v>0</v>
      </c>
      <c r="Z66" s="6" t="n">
        <v>0</v>
      </c>
      <c r="AA66" s="6" t="n">
        <v>0</v>
      </c>
      <c r="AB66" s="6">
        <f>SUM(D66:AA66)</f>
        <v/>
      </c>
      <c r="AC66" s="3" t="inlineStr"/>
      <c r="AD66" s="7">
        <f>AA66*0.0042847645+D66*0.0008569529</f>
        <v/>
      </c>
      <c r="AE66" s="7">
        <f>D66*0.0042847645+E66*0.0008569529</f>
        <v/>
      </c>
      <c r="AF66" s="7">
        <f>E66*0.0042847645+F66*0.0008569529</f>
        <v/>
      </c>
      <c r="AG66" s="7">
        <f>F66*0.0042847645+G66*0.0008569529</f>
        <v/>
      </c>
      <c r="AH66" s="7">
        <f>G66*0.0042847645+H66*0.0008569529</f>
        <v/>
      </c>
      <c r="AI66" s="7">
        <f>H66*0.0042847645+I66*0.0008569529</f>
        <v/>
      </c>
      <c r="AJ66" s="7">
        <f>I66*0.0042847645+J66*0.0008569529</f>
        <v/>
      </c>
      <c r="AK66" s="7">
        <f>J66*0.0042847645+K66*0.0008569529</f>
        <v/>
      </c>
      <c r="AL66" s="7">
        <f>K66*0.0042847645+L66*0.0008569529</f>
        <v/>
      </c>
      <c r="AM66" s="7">
        <f>L66*0.0042847645+M66*0.0008569529</f>
        <v/>
      </c>
      <c r="AN66" s="7">
        <f>M66*0.0042847645+N66*0.0008569529</f>
        <v/>
      </c>
      <c r="AO66" s="7">
        <f>N66*0.0042847645+O66*0.0008569529</f>
        <v/>
      </c>
      <c r="AP66" s="7">
        <f>O66*0.0042847645+P66*0.0008569529</f>
        <v/>
      </c>
      <c r="AQ66" s="7">
        <f>P66*0.0042847645+Q66*0.0008569529</f>
        <v/>
      </c>
      <c r="AR66" s="7">
        <f>Q66*0.0042847645+R66*0.0008569529</f>
        <v/>
      </c>
      <c r="AS66" s="7">
        <f>R66*0.0042847645+S66*0.0008569529</f>
        <v/>
      </c>
      <c r="AT66" s="7">
        <f>S66*0.0042847645+T66*0.0008569529</f>
        <v/>
      </c>
      <c r="AU66" s="7">
        <f>T66*0.0042847645+U66*0.0008569529</f>
        <v/>
      </c>
      <c r="AV66" s="7">
        <f>U66*0.0042847645+V66*0.0008569529</f>
        <v/>
      </c>
      <c r="AW66" s="7">
        <f>V66*0.0042847645+W66*0.0008569529</f>
        <v/>
      </c>
      <c r="AX66" s="7">
        <f>W66*0.0042847645+X66*0.0008569529</f>
        <v/>
      </c>
      <c r="AY66" s="7">
        <f>X66*0.0042847645+Y66*0.0008569529</f>
        <v/>
      </c>
      <c r="AZ66" s="7">
        <f>Y66*0.0042847645+Z66*0.0008569529</f>
        <v/>
      </c>
      <c r="BA66" s="7">
        <f>Z66*0.0042847645+AA66*0.0008569529</f>
        <v/>
      </c>
      <c r="BB66" s="7">
        <f>SUM(AD66:BA66)</f>
        <v/>
      </c>
    </row>
    <row r="67">
      <c r="A67" t="inlineStr">
        <is>
          <t>AMD-M1</t>
        </is>
      </c>
      <c r="B67" t="inlineStr">
        <is>
          <t>Forward Regular OSC</t>
        </is>
      </c>
      <c r="C67" s="5" t="n">
        <v>46089</v>
      </c>
      <c r="D67" s="6" t="n">
        <v>67</v>
      </c>
      <c r="E67" s="6" t="n">
        <v>31</v>
      </c>
      <c r="F67" s="6" t="n">
        <v>51</v>
      </c>
      <c r="G67" s="6" t="n">
        <v>78</v>
      </c>
      <c r="H67" s="6" t="n">
        <v>78</v>
      </c>
      <c r="I67" s="6" t="n">
        <v>101</v>
      </c>
      <c r="J67" s="6" t="n">
        <v>56</v>
      </c>
      <c r="K67" s="6" t="n">
        <v>20</v>
      </c>
      <c r="L67" s="6" t="n">
        <v>0</v>
      </c>
      <c r="M67" s="6" t="n">
        <v>13</v>
      </c>
      <c r="N67" s="6" t="n">
        <v>53</v>
      </c>
      <c r="O67" s="6" t="n">
        <v>59</v>
      </c>
      <c r="P67" s="6" t="n">
        <v>82</v>
      </c>
      <c r="Q67" s="6" t="n">
        <v>17</v>
      </c>
      <c r="R67" s="6" t="n">
        <v>36</v>
      </c>
      <c r="S67" s="6" t="n">
        <v>89</v>
      </c>
      <c r="T67" s="6" t="n">
        <v>17</v>
      </c>
      <c r="U67" s="6" t="n">
        <v>0</v>
      </c>
      <c r="V67" s="6" t="n">
        <v>0</v>
      </c>
      <c r="W67" s="6" t="n">
        <v>4</v>
      </c>
      <c r="X67" s="6" t="n">
        <v>0</v>
      </c>
      <c r="Y67" s="6" t="n">
        <v>0</v>
      </c>
      <c r="Z67" s="6" t="n">
        <v>0</v>
      </c>
      <c r="AA67" s="6" t="n">
        <v>53</v>
      </c>
      <c r="AB67" s="6">
        <f>SUM(D67:AA67)</f>
        <v/>
      </c>
      <c r="AC67" s="3" t="inlineStr"/>
      <c r="AD67" s="7">
        <f>AA67*0.0042847645+D67*0.0008569529</f>
        <v/>
      </c>
      <c r="AE67" s="7">
        <f>D67*0.0042847645+E67*0.0008569529</f>
        <v/>
      </c>
      <c r="AF67" s="7">
        <f>E67*0.0042847645+F67*0.0008569529</f>
        <v/>
      </c>
      <c r="AG67" s="7">
        <f>F67*0.0042847645+G67*0.0008569529</f>
        <v/>
      </c>
      <c r="AH67" s="7">
        <f>G67*0.0042847645+H67*0.0008569529</f>
        <v/>
      </c>
      <c r="AI67" s="7">
        <f>H67*0.0042847645+I67*0.0008569529</f>
        <v/>
      </c>
      <c r="AJ67" s="7">
        <f>I67*0.0042847645+J67*0.0008569529</f>
        <v/>
      </c>
      <c r="AK67" s="7">
        <f>J67*0.0042847645+K67*0.0008569529</f>
        <v/>
      </c>
      <c r="AL67" s="7">
        <f>K67*0.0042847645+L67*0.0008569529</f>
        <v/>
      </c>
      <c r="AM67" s="7">
        <f>L67*0.0042847645+M67*0.0008569529</f>
        <v/>
      </c>
      <c r="AN67" s="7">
        <f>M67*0.0042847645+N67*0.0008569529</f>
        <v/>
      </c>
      <c r="AO67" s="7">
        <f>N67*0.0042847645+O67*0.0008569529</f>
        <v/>
      </c>
      <c r="AP67" s="7">
        <f>O67*0.0042847645+P67*0.0008569529</f>
        <v/>
      </c>
      <c r="AQ67" s="7">
        <f>P67*0.0042847645+Q67*0.0008569529</f>
        <v/>
      </c>
      <c r="AR67" s="7">
        <f>Q67*0.0042847645+R67*0.0008569529</f>
        <v/>
      </c>
      <c r="AS67" s="7">
        <f>R67*0.0042847645+S67*0.0008569529</f>
        <v/>
      </c>
      <c r="AT67" s="7">
        <f>S67*0.0042847645+T67*0.0008569529</f>
        <v/>
      </c>
      <c r="AU67" s="7">
        <f>T67*0.0042847645+U67*0.0008569529</f>
        <v/>
      </c>
      <c r="AV67" s="7">
        <f>U67*0.0042847645+V67*0.0008569529</f>
        <v/>
      </c>
      <c r="AW67" s="7">
        <f>V67*0.0042847645+W67*0.0008569529</f>
        <v/>
      </c>
      <c r="AX67" s="7">
        <f>W67*0.0042847645+X67*0.0008569529</f>
        <v/>
      </c>
      <c r="AY67" s="7">
        <f>X67*0.0042847645+Y67*0.0008569529</f>
        <v/>
      </c>
      <c r="AZ67" s="7">
        <f>Y67*0.0042847645+Z67*0.0008569529</f>
        <v/>
      </c>
      <c r="BA67" s="7">
        <f>Z67*0.0042847645+AA67*0.0008569529</f>
        <v/>
      </c>
      <c r="BB67" s="7">
        <f>SUM(AD67:BA67)</f>
        <v/>
      </c>
    </row>
    <row r="68">
      <c r="A68" t="inlineStr">
        <is>
          <t>AMD-M1</t>
        </is>
      </c>
      <c r="B68" t="inlineStr">
        <is>
          <t>Forward Regular OSC</t>
        </is>
      </c>
      <c r="C68" s="5" t="n">
        <v>46090</v>
      </c>
      <c r="D68" s="6" t="n">
        <v>71</v>
      </c>
      <c r="E68" s="6" t="n">
        <v>31</v>
      </c>
      <c r="F68" s="6" t="n">
        <v>66</v>
      </c>
      <c r="G68" s="6" t="n">
        <v>87</v>
      </c>
      <c r="H68" s="6" t="n">
        <v>12</v>
      </c>
      <c r="I68" s="6" t="n">
        <v>1</v>
      </c>
      <c r="J68" s="6" t="n">
        <v>0</v>
      </c>
      <c r="K68" s="6" t="n">
        <v>0</v>
      </c>
      <c r="L68" s="6" t="n">
        <v>11</v>
      </c>
      <c r="M68" s="6" t="n">
        <v>54</v>
      </c>
      <c r="N68" s="6" t="n">
        <v>42</v>
      </c>
      <c r="O68" s="6" t="n">
        <v>78</v>
      </c>
      <c r="P68" s="6" t="n">
        <v>29</v>
      </c>
      <c r="Q68" s="6" t="n">
        <v>97</v>
      </c>
      <c r="R68" s="6" t="n">
        <v>111</v>
      </c>
      <c r="S68" s="6" t="n">
        <v>120</v>
      </c>
      <c r="T68" s="6" t="n">
        <v>102</v>
      </c>
      <c r="U68" s="6" t="n">
        <v>5</v>
      </c>
      <c r="V68" s="6" t="n">
        <v>42</v>
      </c>
      <c r="W68" s="6" t="n">
        <v>43</v>
      </c>
      <c r="X68" s="6" t="n">
        <v>66</v>
      </c>
      <c r="Y68" s="6" t="n">
        <v>9</v>
      </c>
      <c r="Z68" s="6" t="n">
        <v>5</v>
      </c>
      <c r="AA68" s="6" t="n">
        <v>87</v>
      </c>
      <c r="AB68" s="6">
        <f>SUM(D68:AA68)</f>
        <v/>
      </c>
      <c r="AC68" s="3" t="inlineStr"/>
      <c r="AD68" s="7">
        <f>AA68*0.0042847645+D68*0.0008569529</f>
        <v/>
      </c>
      <c r="AE68" s="7">
        <f>D68*0.0042847645+E68*0.0008569529</f>
        <v/>
      </c>
      <c r="AF68" s="7">
        <f>E68*0.0042847645+F68*0.0008569529</f>
        <v/>
      </c>
      <c r="AG68" s="7">
        <f>F68*0.0042847645+G68*0.0008569529</f>
        <v/>
      </c>
      <c r="AH68" s="7">
        <f>G68*0.0042847645+H68*0.0008569529</f>
        <v/>
      </c>
      <c r="AI68" s="7">
        <f>H68*0.0042847645+I68*0.0008569529</f>
        <v/>
      </c>
      <c r="AJ68" s="7">
        <f>I68*0.0042847645+J68*0.0008569529</f>
        <v/>
      </c>
      <c r="AK68" s="7">
        <f>J68*0.0042847645+K68*0.0008569529</f>
        <v/>
      </c>
      <c r="AL68" s="7">
        <f>K68*0.0042847645+L68*0.0008569529</f>
        <v/>
      </c>
      <c r="AM68" s="7">
        <f>L68*0.0042847645+M68*0.0008569529</f>
        <v/>
      </c>
      <c r="AN68" s="7">
        <f>M68*0.0042847645+N68*0.0008569529</f>
        <v/>
      </c>
      <c r="AO68" s="7">
        <f>N68*0.0042847645+O68*0.0008569529</f>
        <v/>
      </c>
      <c r="AP68" s="7">
        <f>O68*0.0042847645+P68*0.0008569529</f>
        <v/>
      </c>
      <c r="AQ68" s="7">
        <f>P68*0.0042847645+Q68*0.0008569529</f>
        <v/>
      </c>
      <c r="AR68" s="7">
        <f>Q68*0.0042847645+R68*0.0008569529</f>
        <v/>
      </c>
      <c r="AS68" s="7">
        <f>R68*0.0042847645+S68*0.0008569529</f>
        <v/>
      </c>
      <c r="AT68" s="7">
        <f>S68*0.0042847645+T68*0.0008569529</f>
        <v/>
      </c>
      <c r="AU68" s="7">
        <f>T68*0.0042847645+U68*0.0008569529</f>
        <v/>
      </c>
      <c r="AV68" s="7">
        <f>U68*0.0042847645+V68*0.0008569529</f>
        <v/>
      </c>
      <c r="AW68" s="7">
        <f>V68*0.0042847645+W68*0.0008569529</f>
        <v/>
      </c>
      <c r="AX68" s="7">
        <f>W68*0.0042847645+X68*0.0008569529</f>
        <v/>
      </c>
      <c r="AY68" s="7">
        <f>X68*0.0042847645+Y68*0.0008569529</f>
        <v/>
      </c>
      <c r="AZ68" s="7">
        <f>Y68*0.0042847645+Z68*0.0008569529</f>
        <v/>
      </c>
      <c r="BA68" s="7">
        <f>Z68*0.0042847645+AA68*0.0008569529</f>
        <v/>
      </c>
      <c r="BB68" s="7">
        <f>SUM(AD68:BA68)</f>
        <v/>
      </c>
    </row>
    <row r="69">
      <c r="A69" t="inlineStr">
        <is>
          <t>AMD-M1</t>
        </is>
      </c>
      <c r="B69" t="inlineStr">
        <is>
          <t>Forward Regular OSC</t>
        </is>
      </c>
      <c r="C69" s="5" t="n">
        <v>46091</v>
      </c>
      <c r="D69" s="6" t="n">
        <v>77</v>
      </c>
      <c r="E69" s="6" t="n">
        <v>29</v>
      </c>
      <c r="F69" s="6" t="n">
        <v>86</v>
      </c>
      <c r="G69" s="6" t="n">
        <v>137</v>
      </c>
      <c r="H69" s="6" t="n">
        <v>71</v>
      </c>
      <c r="I69" s="6" t="n">
        <v>131</v>
      </c>
      <c r="J69" s="6" t="n">
        <v>18</v>
      </c>
      <c r="K69" s="6" t="n">
        <v>9</v>
      </c>
      <c r="L69" s="6" t="n">
        <v>73</v>
      </c>
      <c r="M69" s="6" t="n">
        <v>63</v>
      </c>
      <c r="N69" s="6" t="n">
        <v>98</v>
      </c>
      <c r="O69" s="6" t="n">
        <v>88</v>
      </c>
      <c r="P69" s="6" t="n">
        <v>64</v>
      </c>
      <c r="Q69" s="6" t="n">
        <v>139</v>
      </c>
      <c r="R69" s="6" t="n">
        <v>185</v>
      </c>
      <c r="S69" s="6" t="n">
        <v>166</v>
      </c>
      <c r="T69" s="6" t="n">
        <v>52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3</v>
      </c>
      <c r="Z69" s="6" t="n">
        <v>1</v>
      </c>
      <c r="AA69" s="6" t="n">
        <v>91</v>
      </c>
      <c r="AB69" s="6">
        <f>SUM(D69:AA69)</f>
        <v/>
      </c>
      <c r="AC69" s="3" t="inlineStr"/>
      <c r="AD69" s="7">
        <f>AA69*0.0042847645+D69*0.0008569529</f>
        <v/>
      </c>
      <c r="AE69" s="7">
        <f>D69*0.0042847645+E69*0.0008569529</f>
        <v/>
      </c>
      <c r="AF69" s="7">
        <f>E69*0.0042847645+F69*0.0008569529</f>
        <v/>
      </c>
      <c r="AG69" s="7">
        <f>F69*0.0042847645+G69*0.0008569529</f>
        <v/>
      </c>
      <c r="AH69" s="7">
        <f>G69*0.0042847645+H69*0.0008569529</f>
        <v/>
      </c>
      <c r="AI69" s="7">
        <f>H69*0.0042847645+I69*0.0008569529</f>
        <v/>
      </c>
      <c r="AJ69" s="7">
        <f>I69*0.0042847645+J69*0.0008569529</f>
        <v/>
      </c>
      <c r="AK69" s="7">
        <f>J69*0.0042847645+K69*0.0008569529</f>
        <v/>
      </c>
      <c r="AL69" s="7">
        <f>K69*0.0042847645+L69*0.0008569529</f>
        <v/>
      </c>
      <c r="AM69" s="7">
        <f>L69*0.0042847645+M69*0.0008569529</f>
        <v/>
      </c>
      <c r="AN69" s="7">
        <f>M69*0.0042847645+N69*0.0008569529</f>
        <v/>
      </c>
      <c r="AO69" s="7">
        <f>N69*0.0042847645+O69*0.0008569529</f>
        <v/>
      </c>
      <c r="AP69" s="7">
        <f>O69*0.0042847645+P69*0.0008569529</f>
        <v/>
      </c>
      <c r="AQ69" s="7">
        <f>P69*0.0042847645+Q69*0.0008569529</f>
        <v/>
      </c>
      <c r="AR69" s="7">
        <f>Q69*0.0042847645+R69*0.0008569529</f>
        <v/>
      </c>
      <c r="AS69" s="7">
        <f>R69*0.0042847645+S69*0.0008569529</f>
        <v/>
      </c>
      <c r="AT69" s="7">
        <f>S69*0.0042847645+T69*0.0008569529</f>
        <v/>
      </c>
      <c r="AU69" s="7">
        <f>T69*0.0042847645+U69*0.0008569529</f>
        <v/>
      </c>
      <c r="AV69" s="7">
        <f>U69*0.0042847645+V69*0.0008569529</f>
        <v/>
      </c>
      <c r="AW69" s="7">
        <f>V69*0.0042847645+W69*0.0008569529</f>
        <v/>
      </c>
      <c r="AX69" s="7">
        <f>W69*0.0042847645+X69*0.0008569529</f>
        <v/>
      </c>
      <c r="AY69" s="7">
        <f>X69*0.0042847645+Y69*0.0008569529</f>
        <v/>
      </c>
      <c r="AZ69" s="7">
        <f>Y69*0.0042847645+Z69*0.0008569529</f>
        <v/>
      </c>
      <c r="BA69" s="7">
        <f>Z69*0.0042847645+AA69*0.0008569529</f>
        <v/>
      </c>
      <c r="BB69" s="7">
        <f>SUM(AD69:BA69)</f>
        <v/>
      </c>
    </row>
    <row r="70">
      <c r="A70" t="inlineStr">
        <is>
          <t>AMD-M1</t>
        </is>
      </c>
      <c r="B70" t="inlineStr">
        <is>
          <t>Forward Regular OSC</t>
        </is>
      </c>
      <c r="C70" s="5" t="n">
        <v>46092</v>
      </c>
      <c r="D70" s="6" t="n">
        <v>108</v>
      </c>
      <c r="E70" s="6" t="n">
        <v>37</v>
      </c>
      <c r="F70" s="6" t="n">
        <v>111</v>
      </c>
      <c r="G70" s="6" t="n">
        <v>142</v>
      </c>
      <c r="H70" s="6" t="n">
        <v>91</v>
      </c>
      <c r="I70" s="6" t="n">
        <v>146</v>
      </c>
      <c r="J70" s="6" t="n">
        <v>52</v>
      </c>
      <c r="K70" s="6" t="n">
        <v>4</v>
      </c>
      <c r="L70" s="6" t="n">
        <v>0</v>
      </c>
      <c r="M70" s="6" t="n">
        <v>17</v>
      </c>
      <c r="N70" s="6" t="n">
        <v>71</v>
      </c>
      <c r="O70" s="6" t="n">
        <v>79</v>
      </c>
      <c r="P70" s="6" t="n">
        <v>2</v>
      </c>
      <c r="Q70" s="6" t="n">
        <v>16</v>
      </c>
      <c r="R70" s="6" t="n">
        <v>54</v>
      </c>
      <c r="S70" s="6" t="n">
        <v>25</v>
      </c>
      <c r="T70" s="6" t="n">
        <v>0</v>
      </c>
      <c r="U70" s="6" t="n">
        <v>0</v>
      </c>
      <c r="V70" s="6" t="n">
        <v>0</v>
      </c>
      <c r="W70" s="6" t="n">
        <v>0</v>
      </c>
      <c r="X70" s="6" t="n">
        <v>0</v>
      </c>
      <c r="Y70" s="6" t="n">
        <v>0</v>
      </c>
      <c r="Z70" s="6" t="n">
        <v>2</v>
      </c>
      <c r="AA70" s="6" t="n">
        <v>87</v>
      </c>
      <c r="AB70" s="6">
        <f>SUM(D70:AA70)</f>
        <v/>
      </c>
      <c r="AC70" s="3" t="inlineStr"/>
      <c r="AD70" s="7">
        <f>AA70*0.0042847645+D70*0.0008569529</f>
        <v/>
      </c>
      <c r="AE70" s="7">
        <f>D70*0.0042847645+E70*0.0008569529</f>
        <v/>
      </c>
      <c r="AF70" s="7">
        <f>E70*0.0042847645+F70*0.0008569529</f>
        <v/>
      </c>
      <c r="AG70" s="7">
        <f>F70*0.0042847645+G70*0.0008569529</f>
        <v/>
      </c>
      <c r="AH70" s="7">
        <f>G70*0.0042847645+H70*0.0008569529</f>
        <v/>
      </c>
      <c r="AI70" s="7">
        <f>H70*0.0042847645+I70*0.0008569529</f>
        <v/>
      </c>
      <c r="AJ70" s="7">
        <f>I70*0.0042847645+J70*0.0008569529</f>
        <v/>
      </c>
      <c r="AK70" s="7">
        <f>J70*0.0042847645+K70*0.0008569529</f>
        <v/>
      </c>
      <c r="AL70" s="7">
        <f>K70*0.0042847645+L70*0.0008569529</f>
        <v/>
      </c>
      <c r="AM70" s="7">
        <f>L70*0.0042847645+M70*0.0008569529</f>
        <v/>
      </c>
      <c r="AN70" s="7">
        <f>M70*0.0042847645+N70*0.0008569529</f>
        <v/>
      </c>
      <c r="AO70" s="7">
        <f>N70*0.0042847645+O70*0.0008569529</f>
        <v/>
      </c>
      <c r="AP70" s="7">
        <f>O70*0.0042847645+P70*0.0008569529</f>
        <v/>
      </c>
      <c r="AQ70" s="7">
        <f>P70*0.0042847645+Q70*0.0008569529</f>
        <v/>
      </c>
      <c r="AR70" s="7">
        <f>Q70*0.0042847645+R70*0.0008569529</f>
        <v/>
      </c>
      <c r="AS70" s="7">
        <f>R70*0.0042847645+S70*0.0008569529</f>
        <v/>
      </c>
      <c r="AT70" s="7">
        <f>S70*0.0042847645+T70*0.0008569529</f>
        <v/>
      </c>
      <c r="AU70" s="7">
        <f>T70*0.0042847645+U70*0.0008569529</f>
        <v/>
      </c>
      <c r="AV70" s="7">
        <f>U70*0.0042847645+V70*0.0008569529</f>
        <v/>
      </c>
      <c r="AW70" s="7">
        <f>V70*0.0042847645+W70*0.0008569529</f>
        <v/>
      </c>
      <c r="AX70" s="7">
        <f>W70*0.0042847645+X70*0.0008569529</f>
        <v/>
      </c>
      <c r="AY70" s="7">
        <f>X70*0.0042847645+Y70*0.0008569529</f>
        <v/>
      </c>
      <c r="AZ70" s="7">
        <f>Y70*0.0042847645+Z70*0.0008569529</f>
        <v/>
      </c>
      <c r="BA70" s="7">
        <f>Z70*0.0042847645+AA70*0.0008569529</f>
        <v/>
      </c>
      <c r="BB70" s="7">
        <f>SUM(AD70:BA70)</f>
        <v/>
      </c>
    </row>
    <row r="71">
      <c r="A71" t="inlineStr">
        <is>
          <t>AMD-M1</t>
        </is>
      </c>
      <c r="B71" t="inlineStr">
        <is>
          <t>Forward Regular OSC</t>
        </is>
      </c>
      <c r="C71" s="5" t="n">
        <v>46093</v>
      </c>
      <c r="D71" s="6" t="n">
        <v>86</v>
      </c>
      <c r="E71" s="6" t="n">
        <v>39</v>
      </c>
      <c r="F71" s="6" t="n">
        <v>72</v>
      </c>
      <c r="G71" s="6" t="n">
        <v>105</v>
      </c>
      <c r="H71" s="6" t="n">
        <v>77</v>
      </c>
      <c r="I71" s="6" t="n">
        <v>114</v>
      </c>
      <c r="J71" s="6" t="n">
        <v>46</v>
      </c>
      <c r="K71" s="6" t="n">
        <v>0</v>
      </c>
      <c r="L71" s="6" t="n">
        <v>0</v>
      </c>
      <c r="M71" s="6" t="n">
        <v>18</v>
      </c>
      <c r="N71" s="6" t="n">
        <v>36</v>
      </c>
      <c r="O71" s="6" t="n">
        <v>81</v>
      </c>
      <c r="P71" s="6" t="n">
        <v>5</v>
      </c>
      <c r="Q71" s="6" t="n">
        <v>0</v>
      </c>
      <c r="R71" s="6" t="n">
        <v>0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9</v>
      </c>
      <c r="Z71" s="6" t="n">
        <v>10</v>
      </c>
      <c r="AA71" s="6" t="n">
        <v>57</v>
      </c>
      <c r="AB71" s="6">
        <f>SUM(D71:AA71)</f>
        <v/>
      </c>
      <c r="AC71" s="3" t="inlineStr"/>
      <c r="AD71" s="7">
        <f>AA71*0.0042847645+D71*0.0008569529</f>
        <v/>
      </c>
      <c r="AE71" s="7">
        <f>D71*0.0042847645+E71*0.0008569529</f>
        <v/>
      </c>
      <c r="AF71" s="7">
        <f>E71*0.0042847645+F71*0.0008569529</f>
        <v/>
      </c>
      <c r="AG71" s="7">
        <f>F71*0.0042847645+G71*0.0008569529</f>
        <v/>
      </c>
      <c r="AH71" s="7">
        <f>G71*0.0042847645+H71*0.0008569529</f>
        <v/>
      </c>
      <c r="AI71" s="7">
        <f>H71*0.0042847645+I71*0.0008569529</f>
        <v/>
      </c>
      <c r="AJ71" s="7">
        <f>I71*0.0042847645+J71*0.0008569529</f>
        <v/>
      </c>
      <c r="AK71" s="7">
        <f>J71*0.0042847645+K71*0.0008569529</f>
        <v/>
      </c>
      <c r="AL71" s="7">
        <f>K71*0.0042847645+L71*0.0008569529</f>
        <v/>
      </c>
      <c r="AM71" s="7">
        <f>L71*0.0042847645+M71*0.0008569529</f>
        <v/>
      </c>
      <c r="AN71" s="7">
        <f>M71*0.0042847645+N71*0.0008569529</f>
        <v/>
      </c>
      <c r="AO71" s="7">
        <f>N71*0.0042847645+O71*0.0008569529</f>
        <v/>
      </c>
      <c r="AP71" s="7">
        <f>O71*0.0042847645+P71*0.0008569529</f>
        <v/>
      </c>
      <c r="AQ71" s="7">
        <f>P71*0.0042847645+Q71*0.0008569529</f>
        <v/>
      </c>
      <c r="AR71" s="7">
        <f>Q71*0.0042847645+R71*0.0008569529</f>
        <v/>
      </c>
      <c r="AS71" s="7">
        <f>R71*0.0042847645+S71*0.0008569529</f>
        <v/>
      </c>
      <c r="AT71" s="7">
        <f>S71*0.0042847645+T71*0.0008569529</f>
        <v/>
      </c>
      <c r="AU71" s="7">
        <f>T71*0.0042847645+U71*0.0008569529</f>
        <v/>
      </c>
      <c r="AV71" s="7">
        <f>U71*0.0042847645+V71*0.0008569529</f>
        <v/>
      </c>
      <c r="AW71" s="7">
        <f>V71*0.0042847645+W71*0.0008569529</f>
        <v/>
      </c>
      <c r="AX71" s="7">
        <f>W71*0.0042847645+X71*0.0008569529</f>
        <v/>
      </c>
      <c r="AY71" s="7">
        <f>X71*0.0042847645+Y71*0.0008569529</f>
        <v/>
      </c>
      <c r="AZ71" s="7">
        <f>Y71*0.0042847645+Z71*0.0008569529</f>
        <v/>
      </c>
      <c r="BA71" s="7">
        <f>Z71*0.0042847645+AA71*0.0008569529</f>
        <v/>
      </c>
      <c r="BB71" s="7">
        <f>SUM(AD71:BA71)</f>
        <v/>
      </c>
    </row>
    <row r="72">
      <c r="A72" t="inlineStr">
        <is>
          <t>AMD-M1</t>
        </is>
      </c>
      <c r="B72" t="inlineStr">
        <is>
          <t>Forward Regular OSC</t>
        </is>
      </c>
      <c r="C72" s="5" t="n">
        <v>46094</v>
      </c>
      <c r="D72" s="6" t="n">
        <v>93</v>
      </c>
      <c r="E72" s="6" t="n">
        <v>38</v>
      </c>
      <c r="F72" s="6" t="n">
        <v>73</v>
      </c>
      <c r="G72" s="6" t="n">
        <v>124</v>
      </c>
      <c r="H72" s="6" t="n">
        <v>128</v>
      </c>
      <c r="I72" s="6" t="n">
        <v>91</v>
      </c>
      <c r="J72" s="6" t="n">
        <v>8</v>
      </c>
      <c r="K72" s="6" t="n">
        <v>0</v>
      </c>
      <c r="L72" s="6" t="n">
        <v>0</v>
      </c>
      <c r="M72" s="6" t="n">
        <v>20</v>
      </c>
      <c r="N72" s="6" t="n">
        <v>30</v>
      </c>
      <c r="O72" s="6" t="n">
        <v>80</v>
      </c>
      <c r="P72" s="6" t="n">
        <v>77</v>
      </c>
      <c r="Q72" s="6" t="n">
        <v>3</v>
      </c>
      <c r="R72" s="6" t="n">
        <v>2</v>
      </c>
      <c r="S72" s="6" t="n">
        <v>1</v>
      </c>
      <c r="T72" s="6" t="n">
        <v>0</v>
      </c>
      <c r="U72" s="6" t="n">
        <v>0</v>
      </c>
      <c r="V72" s="6" t="n">
        <v>0</v>
      </c>
      <c r="W72" s="6" t="n">
        <v>0</v>
      </c>
      <c r="X72" s="6" t="n">
        <v>0</v>
      </c>
      <c r="Y72" s="6" t="n">
        <v>6</v>
      </c>
      <c r="Z72" s="6" t="n">
        <v>0</v>
      </c>
      <c r="AA72" s="6" t="n">
        <v>65</v>
      </c>
      <c r="AB72" s="6">
        <f>SUM(D72:AA72)</f>
        <v/>
      </c>
      <c r="AC72" s="3" t="inlineStr"/>
      <c r="AD72" s="7">
        <f>AA72*0.0042847645+D72*0.0008569529</f>
        <v/>
      </c>
      <c r="AE72" s="7">
        <f>D72*0.0042847645+E72*0.0008569529</f>
        <v/>
      </c>
      <c r="AF72" s="7">
        <f>E72*0.0042847645+F72*0.0008569529</f>
        <v/>
      </c>
      <c r="AG72" s="7">
        <f>F72*0.0042847645+G72*0.0008569529</f>
        <v/>
      </c>
      <c r="AH72" s="7">
        <f>G72*0.0042847645+H72*0.0008569529</f>
        <v/>
      </c>
      <c r="AI72" s="7">
        <f>H72*0.0042847645+I72*0.0008569529</f>
        <v/>
      </c>
      <c r="AJ72" s="7">
        <f>I72*0.0042847645+J72*0.0008569529</f>
        <v/>
      </c>
      <c r="AK72" s="7">
        <f>J72*0.0042847645+K72*0.0008569529</f>
        <v/>
      </c>
      <c r="AL72" s="7">
        <f>K72*0.0042847645+L72*0.0008569529</f>
        <v/>
      </c>
      <c r="AM72" s="7">
        <f>L72*0.0042847645+M72*0.0008569529</f>
        <v/>
      </c>
      <c r="AN72" s="7">
        <f>M72*0.0042847645+N72*0.0008569529</f>
        <v/>
      </c>
      <c r="AO72" s="7">
        <f>N72*0.0042847645+O72*0.0008569529</f>
        <v/>
      </c>
      <c r="AP72" s="7">
        <f>O72*0.0042847645+P72*0.0008569529</f>
        <v/>
      </c>
      <c r="AQ72" s="7">
        <f>P72*0.0042847645+Q72*0.0008569529</f>
        <v/>
      </c>
      <c r="AR72" s="7">
        <f>Q72*0.0042847645+R72*0.0008569529</f>
        <v/>
      </c>
      <c r="AS72" s="7">
        <f>R72*0.0042847645+S72*0.0008569529</f>
        <v/>
      </c>
      <c r="AT72" s="7">
        <f>S72*0.0042847645+T72*0.0008569529</f>
        <v/>
      </c>
      <c r="AU72" s="7">
        <f>T72*0.0042847645+U72*0.0008569529</f>
        <v/>
      </c>
      <c r="AV72" s="7">
        <f>U72*0.0042847645+V72*0.0008569529</f>
        <v/>
      </c>
      <c r="AW72" s="7">
        <f>V72*0.0042847645+W72*0.0008569529</f>
        <v/>
      </c>
      <c r="AX72" s="7">
        <f>W72*0.0042847645+X72*0.0008569529</f>
        <v/>
      </c>
      <c r="AY72" s="7">
        <f>X72*0.0042847645+Y72*0.0008569529</f>
        <v/>
      </c>
      <c r="AZ72" s="7">
        <f>Y72*0.0042847645+Z72*0.0008569529</f>
        <v/>
      </c>
      <c r="BA72" s="7">
        <f>Z72*0.0042847645+AA72*0.0008569529</f>
        <v/>
      </c>
      <c r="BB72" s="7">
        <f>SUM(AD72:BA72)</f>
        <v/>
      </c>
    </row>
    <row r="73">
      <c r="A73" t="inlineStr">
        <is>
          <t>AMD-M1</t>
        </is>
      </c>
      <c r="B73" t="inlineStr">
        <is>
          <t>Forward Regular OSC</t>
        </is>
      </c>
      <c r="C73" s="5" t="n">
        <v>46095</v>
      </c>
      <c r="D73" s="6" t="n">
        <v>107</v>
      </c>
      <c r="E73" s="6" t="n">
        <v>25</v>
      </c>
      <c r="F73" s="6" t="n">
        <v>83</v>
      </c>
      <c r="G73" s="6" t="n">
        <v>115</v>
      </c>
      <c r="H73" s="6" t="n">
        <v>83</v>
      </c>
      <c r="I73" s="6" t="n">
        <v>88</v>
      </c>
      <c r="J73" s="6" t="n">
        <v>5</v>
      </c>
      <c r="K73" s="6" t="n">
        <v>3</v>
      </c>
      <c r="L73" s="6" t="n">
        <v>0</v>
      </c>
      <c r="M73" s="6" t="n">
        <v>10</v>
      </c>
      <c r="N73" s="6" t="n">
        <v>50</v>
      </c>
      <c r="O73" s="6" t="n">
        <v>47</v>
      </c>
      <c r="P73" s="6" t="n">
        <v>103</v>
      </c>
      <c r="Q73" s="6" t="n">
        <v>16</v>
      </c>
      <c r="R73" s="6" t="n">
        <v>0</v>
      </c>
      <c r="S73" s="6" t="n">
        <v>0</v>
      </c>
      <c r="T73" s="6" t="n">
        <v>0</v>
      </c>
      <c r="U73" s="6" t="n">
        <v>0</v>
      </c>
      <c r="V73" s="6" t="n">
        <v>0</v>
      </c>
      <c r="W73" s="6" t="n">
        <v>0</v>
      </c>
      <c r="X73" s="6" t="n">
        <v>2</v>
      </c>
      <c r="Y73" s="6" t="n">
        <v>0</v>
      </c>
      <c r="Z73" s="6" t="n">
        <v>2</v>
      </c>
      <c r="AA73" s="6" t="n">
        <v>104</v>
      </c>
      <c r="AB73" s="6">
        <f>SUM(D73:AA73)</f>
        <v/>
      </c>
      <c r="AC73" s="3" t="inlineStr"/>
      <c r="AD73" s="7">
        <f>AA73*0.0042847645+D73*0.0008569529</f>
        <v/>
      </c>
      <c r="AE73" s="7">
        <f>D73*0.0042847645+E73*0.0008569529</f>
        <v/>
      </c>
      <c r="AF73" s="7">
        <f>E73*0.0042847645+F73*0.0008569529</f>
        <v/>
      </c>
      <c r="AG73" s="7">
        <f>F73*0.0042847645+G73*0.0008569529</f>
        <v/>
      </c>
      <c r="AH73" s="7">
        <f>G73*0.0042847645+H73*0.0008569529</f>
        <v/>
      </c>
      <c r="AI73" s="7">
        <f>H73*0.0042847645+I73*0.0008569529</f>
        <v/>
      </c>
      <c r="AJ73" s="7">
        <f>I73*0.0042847645+J73*0.0008569529</f>
        <v/>
      </c>
      <c r="AK73" s="7">
        <f>J73*0.0042847645+K73*0.0008569529</f>
        <v/>
      </c>
      <c r="AL73" s="7">
        <f>K73*0.0042847645+L73*0.0008569529</f>
        <v/>
      </c>
      <c r="AM73" s="7">
        <f>L73*0.0042847645+M73*0.0008569529</f>
        <v/>
      </c>
      <c r="AN73" s="7">
        <f>M73*0.0042847645+N73*0.0008569529</f>
        <v/>
      </c>
      <c r="AO73" s="7">
        <f>N73*0.0042847645+O73*0.0008569529</f>
        <v/>
      </c>
      <c r="AP73" s="7">
        <f>O73*0.0042847645+P73*0.0008569529</f>
        <v/>
      </c>
      <c r="AQ73" s="7">
        <f>P73*0.0042847645+Q73*0.0008569529</f>
        <v/>
      </c>
      <c r="AR73" s="7">
        <f>Q73*0.0042847645+R73*0.0008569529</f>
        <v/>
      </c>
      <c r="AS73" s="7">
        <f>R73*0.0042847645+S73*0.0008569529</f>
        <v/>
      </c>
      <c r="AT73" s="7">
        <f>S73*0.0042847645+T73*0.0008569529</f>
        <v/>
      </c>
      <c r="AU73" s="7">
        <f>T73*0.0042847645+U73*0.0008569529</f>
        <v/>
      </c>
      <c r="AV73" s="7">
        <f>U73*0.0042847645+V73*0.0008569529</f>
        <v/>
      </c>
      <c r="AW73" s="7">
        <f>V73*0.0042847645+W73*0.0008569529</f>
        <v/>
      </c>
      <c r="AX73" s="7">
        <f>W73*0.0042847645+X73*0.0008569529</f>
        <v/>
      </c>
      <c r="AY73" s="7">
        <f>X73*0.0042847645+Y73*0.0008569529</f>
        <v/>
      </c>
      <c r="AZ73" s="7">
        <f>Y73*0.0042847645+Z73*0.0008569529</f>
        <v/>
      </c>
      <c r="BA73" s="7">
        <f>Z73*0.0042847645+AA73*0.0008569529</f>
        <v/>
      </c>
      <c r="BB73" s="7">
        <f>SUM(AD73:BA73)</f>
        <v/>
      </c>
    </row>
    <row r="74">
      <c r="A74" t="inlineStr">
        <is>
          <t>AMD-M1</t>
        </is>
      </c>
      <c r="B74" t="inlineStr">
        <is>
          <t>Forward Regular OSC</t>
        </is>
      </c>
      <c r="C74" s="5" t="n">
        <v>46096</v>
      </c>
      <c r="D74" s="6" t="n">
        <v>97</v>
      </c>
      <c r="E74" s="6" t="n">
        <v>42</v>
      </c>
      <c r="F74" s="6" t="n">
        <v>78</v>
      </c>
      <c r="G74" s="6" t="n">
        <v>182</v>
      </c>
      <c r="H74" s="6" t="n">
        <v>29</v>
      </c>
      <c r="I74" s="6" t="n">
        <v>8</v>
      </c>
      <c r="J74" s="6" t="n">
        <v>5</v>
      </c>
      <c r="K74" s="6" t="n">
        <v>0</v>
      </c>
      <c r="L74" s="6" t="n">
        <v>6</v>
      </c>
      <c r="M74" s="6" t="n">
        <v>19</v>
      </c>
      <c r="N74" s="6" t="n">
        <v>54</v>
      </c>
      <c r="O74" s="6" t="n">
        <v>111</v>
      </c>
      <c r="P74" s="6" t="n">
        <v>27</v>
      </c>
      <c r="Q74" s="6" t="n">
        <v>0</v>
      </c>
      <c r="R74" s="6" t="n">
        <v>0</v>
      </c>
      <c r="S74" s="6" t="n">
        <v>0</v>
      </c>
      <c r="T74" s="6" t="n">
        <v>0</v>
      </c>
      <c r="U74" s="6" t="n">
        <v>0</v>
      </c>
      <c r="V74" s="6" t="n">
        <v>0</v>
      </c>
      <c r="W74" s="6" t="n">
        <v>0</v>
      </c>
      <c r="X74" s="6" t="n">
        <v>0</v>
      </c>
      <c r="Y74" s="6" t="n">
        <v>2</v>
      </c>
      <c r="Z74" s="6" t="n">
        <v>0</v>
      </c>
      <c r="AA74" s="6" t="n">
        <v>40</v>
      </c>
      <c r="AB74" s="6">
        <f>SUM(D74:AA74)</f>
        <v/>
      </c>
      <c r="AC74" s="3" t="inlineStr"/>
      <c r="AD74" s="7">
        <f>AA74*0.0042847645+D74*0.0008569529</f>
        <v/>
      </c>
      <c r="AE74" s="7">
        <f>D74*0.0042847645+E74*0.0008569529</f>
        <v/>
      </c>
      <c r="AF74" s="7">
        <f>E74*0.0042847645+F74*0.0008569529</f>
        <v/>
      </c>
      <c r="AG74" s="7">
        <f>F74*0.0042847645+G74*0.0008569529</f>
        <v/>
      </c>
      <c r="AH74" s="7">
        <f>G74*0.0042847645+H74*0.0008569529</f>
        <v/>
      </c>
      <c r="AI74" s="7">
        <f>H74*0.0042847645+I74*0.0008569529</f>
        <v/>
      </c>
      <c r="AJ74" s="7">
        <f>I74*0.0042847645+J74*0.0008569529</f>
        <v/>
      </c>
      <c r="AK74" s="7">
        <f>J74*0.0042847645+K74*0.0008569529</f>
        <v/>
      </c>
      <c r="AL74" s="7">
        <f>K74*0.0042847645+L74*0.0008569529</f>
        <v/>
      </c>
      <c r="AM74" s="7">
        <f>L74*0.0042847645+M74*0.0008569529</f>
        <v/>
      </c>
      <c r="AN74" s="7">
        <f>M74*0.0042847645+N74*0.0008569529</f>
        <v/>
      </c>
      <c r="AO74" s="7">
        <f>N74*0.0042847645+O74*0.0008569529</f>
        <v/>
      </c>
      <c r="AP74" s="7">
        <f>O74*0.0042847645+P74*0.0008569529</f>
        <v/>
      </c>
      <c r="AQ74" s="7">
        <f>P74*0.0042847645+Q74*0.0008569529</f>
        <v/>
      </c>
      <c r="AR74" s="7">
        <f>Q74*0.0042847645+R74*0.0008569529</f>
        <v/>
      </c>
      <c r="AS74" s="7">
        <f>R74*0.0042847645+S74*0.0008569529</f>
        <v/>
      </c>
      <c r="AT74" s="7">
        <f>S74*0.0042847645+T74*0.0008569529</f>
        <v/>
      </c>
      <c r="AU74" s="7">
        <f>T74*0.0042847645+U74*0.0008569529</f>
        <v/>
      </c>
      <c r="AV74" s="7">
        <f>U74*0.0042847645+V74*0.0008569529</f>
        <v/>
      </c>
      <c r="AW74" s="7">
        <f>V74*0.0042847645+W74*0.0008569529</f>
        <v/>
      </c>
      <c r="AX74" s="7">
        <f>W74*0.0042847645+X74*0.0008569529</f>
        <v/>
      </c>
      <c r="AY74" s="7">
        <f>X74*0.0042847645+Y74*0.0008569529</f>
        <v/>
      </c>
      <c r="AZ74" s="7">
        <f>Y74*0.0042847645+Z74*0.0008569529</f>
        <v/>
      </c>
      <c r="BA74" s="7">
        <f>Z74*0.0042847645+AA74*0.0008569529</f>
        <v/>
      </c>
      <c r="BB74" s="7">
        <f>SUM(AD74:BA74)</f>
        <v/>
      </c>
    </row>
    <row r="75">
      <c r="A75" t="inlineStr">
        <is>
          <t>AMD-M1</t>
        </is>
      </c>
      <c r="B75" t="inlineStr">
        <is>
          <t>Forward Regular OSC</t>
        </is>
      </c>
      <c r="C75" s="5" t="n">
        <v>46097</v>
      </c>
      <c r="D75" s="6" t="n">
        <v>101</v>
      </c>
      <c r="E75" s="6" t="n">
        <v>31</v>
      </c>
      <c r="F75" s="6" t="n">
        <v>88</v>
      </c>
      <c r="G75" s="6" t="n">
        <v>133</v>
      </c>
      <c r="H75" s="6" t="n">
        <v>43</v>
      </c>
      <c r="I75" s="6" t="n">
        <v>1</v>
      </c>
      <c r="J75" s="6" t="n">
        <v>6</v>
      </c>
      <c r="K75" s="6" t="n">
        <v>0</v>
      </c>
      <c r="L75" s="6" t="n">
        <v>0</v>
      </c>
      <c r="M75" s="6" t="n">
        <v>28</v>
      </c>
      <c r="N75" s="6" t="n">
        <v>88</v>
      </c>
      <c r="O75" s="6" t="n">
        <v>13</v>
      </c>
      <c r="P75" s="6" t="n">
        <v>0</v>
      </c>
      <c r="Q75" s="6" t="n">
        <v>0</v>
      </c>
      <c r="R75" s="6" t="n">
        <v>0</v>
      </c>
      <c r="S75" s="6" t="n">
        <v>0</v>
      </c>
      <c r="T75" s="6" t="n">
        <v>0</v>
      </c>
      <c r="U75" s="6" t="n">
        <v>0</v>
      </c>
      <c r="V75" s="6" t="n">
        <v>0</v>
      </c>
      <c r="W75" s="6" t="n">
        <v>0</v>
      </c>
      <c r="X75" s="6" t="n">
        <v>0</v>
      </c>
      <c r="Y75" s="6" t="n">
        <v>6</v>
      </c>
      <c r="Z75" s="6" t="n">
        <v>0</v>
      </c>
      <c r="AA75" s="6" t="n">
        <v>0</v>
      </c>
      <c r="AB75" s="6">
        <f>SUM(D75:AA75)</f>
        <v/>
      </c>
      <c r="AC75" s="3" t="inlineStr"/>
      <c r="AD75" s="7">
        <f>AA75*0.0042847645+D75*0.0008569529</f>
        <v/>
      </c>
      <c r="AE75" s="7">
        <f>D75*0.0042847645+E75*0.0008569529</f>
        <v/>
      </c>
      <c r="AF75" s="7">
        <f>E75*0.0042847645+F75*0.0008569529</f>
        <v/>
      </c>
      <c r="AG75" s="7">
        <f>F75*0.0042847645+G75*0.0008569529</f>
        <v/>
      </c>
      <c r="AH75" s="7">
        <f>G75*0.0042847645+H75*0.0008569529</f>
        <v/>
      </c>
      <c r="AI75" s="7">
        <f>H75*0.0042847645+I75*0.0008569529</f>
        <v/>
      </c>
      <c r="AJ75" s="7">
        <f>I75*0.0042847645+J75*0.0008569529</f>
        <v/>
      </c>
      <c r="AK75" s="7">
        <f>J75*0.0042847645+K75*0.0008569529</f>
        <v/>
      </c>
      <c r="AL75" s="7">
        <f>K75*0.0042847645+L75*0.0008569529</f>
        <v/>
      </c>
      <c r="AM75" s="7">
        <f>L75*0.0042847645+M75*0.0008569529</f>
        <v/>
      </c>
      <c r="AN75" s="7">
        <f>M75*0.0042847645+N75*0.0008569529</f>
        <v/>
      </c>
      <c r="AO75" s="7">
        <f>N75*0.0042847645+O75*0.0008569529</f>
        <v/>
      </c>
      <c r="AP75" s="7">
        <f>O75*0.0042847645+P75*0.0008569529</f>
        <v/>
      </c>
      <c r="AQ75" s="7">
        <f>P75*0.0042847645+Q75*0.0008569529</f>
        <v/>
      </c>
      <c r="AR75" s="7">
        <f>Q75*0.0042847645+R75*0.0008569529</f>
        <v/>
      </c>
      <c r="AS75" s="7">
        <f>R75*0.0042847645+S75*0.0008569529</f>
        <v/>
      </c>
      <c r="AT75" s="7">
        <f>S75*0.0042847645+T75*0.0008569529</f>
        <v/>
      </c>
      <c r="AU75" s="7">
        <f>T75*0.0042847645+U75*0.0008569529</f>
        <v/>
      </c>
      <c r="AV75" s="7">
        <f>U75*0.0042847645+V75*0.0008569529</f>
        <v/>
      </c>
      <c r="AW75" s="7">
        <f>V75*0.0042847645+W75*0.0008569529</f>
        <v/>
      </c>
      <c r="AX75" s="7">
        <f>W75*0.0042847645+X75*0.0008569529</f>
        <v/>
      </c>
      <c r="AY75" s="7">
        <f>X75*0.0042847645+Y75*0.0008569529</f>
        <v/>
      </c>
      <c r="AZ75" s="7">
        <f>Y75*0.0042847645+Z75*0.0008569529</f>
        <v/>
      </c>
      <c r="BA75" s="7">
        <f>Z75*0.0042847645+AA75*0.0008569529</f>
        <v/>
      </c>
      <c r="BB75" s="7">
        <f>SUM(AD75:BA75)</f>
        <v/>
      </c>
    </row>
    <row r="76">
      <c r="A76" t="inlineStr">
        <is>
          <t>AMD-M2</t>
        </is>
      </c>
      <c r="B76" t="inlineStr">
        <is>
          <t>Forward Regular OSC</t>
        </is>
      </c>
      <c r="C76" s="5" t="n">
        <v>46089</v>
      </c>
      <c r="D76" s="6" t="n">
        <v>223</v>
      </c>
      <c r="E76" s="6" t="n">
        <v>73</v>
      </c>
      <c r="F76" s="6" t="n">
        <v>202</v>
      </c>
      <c r="G76" s="6" t="n">
        <v>186</v>
      </c>
      <c r="H76" s="6" t="n">
        <v>192</v>
      </c>
      <c r="I76" s="6" t="n">
        <v>214</v>
      </c>
      <c r="J76" s="6" t="n">
        <v>119</v>
      </c>
      <c r="K76" s="6" t="n">
        <v>1</v>
      </c>
      <c r="L76" s="6" t="n">
        <v>133</v>
      </c>
      <c r="M76" s="6" t="n">
        <v>210</v>
      </c>
      <c r="N76" s="6" t="n">
        <v>286</v>
      </c>
      <c r="O76" s="6" t="n">
        <v>254</v>
      </c>
      <c r="P76" s="6" t="n">
        <v>95</v>
      </c>
      <c r="Q76" s="6" t="n">
        <v>170</v>
      </c>
      <c r="R76" s="6" t="n">
        <v>274</v>
      </c>
      <c r="S76" s="6" t="n">
        <v>175</v>
      </c>
      <c r="T76" s="6" t="n">
        <v>59</v>
      </c>
      <c r="U76" s="6" t="n">
        <v>0</v>
      </c>
      <c r="V76" s="6" t="n">
        <v>0</v>
      </c>
      <c r="W76" s="6" t="n">
        <v>0</v>
      </c>
      <c r="X76" s="6" t="n">
        <v>0</v>
      </c>
      <c r="Y76" s="6" t="n">
        <v>0</v>
      </c>
      <c r="Z76" s="6" t="n">
        <v>2</v>
      </c>
      <c r="AA76" s="6" t="n">
        <v>162</v>
      </c>
      <c r="AB76" s="6">
        <f>SUM(D76:AA76)</f>
        <v/>
      </c>
      <c r="AC76" s="3" t="inlineStr"/>
      <c r="AD76" s="7">
        <f>AA76*0.0042847645+D76*0.0008569529</f>
        <v/>
      </c>
      <c r="AE76" s="7">
        <f>D76*0.0042847645+E76*0.0008569529</f>
        <v/>
      </c>
      <c r="AF76" s="7">
        <f>E76*0.0042847645+F76*0.0008569529</f>
        <v/>
      </c>
      <c r="AG76" s="7">
        <f>F76*0.0042847645+G76*0.0008569529</f>
        <v/>
      </c>
      <c r="AH76" s="7">
        <f>G76*0.0042847645+H76*0.0008569529</f>
        <v/>
      </c>
      <c r="AI76" s="7">
        <f>H76*0.0042847645+I76*0.0008569529</f>
        <v/>
      </c>
      <c r="AJ76" s="7">
        <f>I76*0.0042847645+J76*0.0008569529</f>
        <v/>
      </c>
      <c r="AK76" s="7">
        <f>J76*0.0042847645+K76*0.0008569529</f>
        <v/>
      </c>
      <c r="AL76" s="7">
        <f>K76*0.0042847645+L76*0.0008569529</f>
        <v/>
      </c>
      <c r="AM76" s="7">
        <f>L76*0.0042847645+M76*0.0008569529</f>
        <v/>
      </c>
      <c r="AN76" s="7">
        <f>M76*0.0042847645+N76*0.0008569529</f>
        <v/>
      </c>
      <c r="AO76" s="7">
        <f>N76*0.0042847645+O76*0.0008569529</f>
        <v/>
      </c>
      <c r="AP76" s="7">
        <f>O76*0.0042847645+P76*0.0008569529</f>
        <v/>
      </c>
      <c r="AQ76" s="7">
        <f>P76*0.0042847645+Q76*0.0008569529</f>
        <v/>
      </c>
      <c r="AR76" s="7">
        <f>Q76*0.0042847645+R76*0.0008569529</f>
        <v/>
      </c>
      <c r="AS76" s="7">
        <f>R76*0.0042847645+S76*0.0008569529</f>
        <v/>
      </c>
      <c r="AT76" s="7">
        <f>S76*0.0042847645+T76*0.0008569529</f>
        <v/>
      </c>
      <c r="AU76" s="7">
        <f>T76*0.0042847645+U76*0.0008569529</f>
        <v/>
      </c>
      <c r="AV76" s="7">
        <f>U76*0.0042847645+V76*0.0008569529</f>
        <v/>
      </c>
      <c r="AW76" s="7">
        <f>V76*0.0042847645+W76*0.0008569529</f>
        <v/>
      </c>
      <c r="AX76" s="7">
        <f>W76*0.0042847645+X76*0.0008569529</f>
        <v/>
      </c>
      <c r="AY76" s="7">
        <f>X76*0.0042847645+Y76*0.0008569529</f>
        <v/>
      </c>
      <c r="AZ76" s="7">
        <f>Y76*0.0042847645+Z76*0.0008569529</f>
        <v/>
      </c>
      <c r="BA76" s="7">
        <f>Z76*0.0042847645+AA76*0.0008569529</f>
        <v/>
      </c>
      <c r="BB76" s="7">
        <f>SUM(AD76:BA76)</f>
        <v/>
      </c>
    </row>
    <row r="77">
      <c r="A77" t="inlineStr">
        <is>
          <t>AMD-M2</t>
        </is>
      </c>
      <c r="B77" t="inlineStr">
        <is>
          <t>Forward Regular OSC</t>
        </is>
      </c>
      <c r="C77" s="5" t="n">
        <v>46090</v>
      </c>
      <c r="D77" s="6" t="n">
        <v>165</v>
      </c>
      <c r="E77" s="6" t="n">
        <v>61</v>
      </c>
      <c r="F77" s="6" t="n">
        <v>146</v>
      </c>
      <c r="G77" s="6" t="n">
        <v>225</v>
      </c>
      <c r="H77" s="6" t="n">
        <v>158</v>
      </c>
      <c r="I77" s="6" t="n">
        <v>158</v>
      </c>
      <c r="J77" s="6" t="n">
        <v>147</v>
      </c>
      <c r="K77" s="6" t="n">
        <v>186</v>
      </c>
      <c r="L77" s="6" t="n">
        <v>296</v>
      </c>
      <c r="M77" s="6" t="n">
        <v>235</v>
      </c>
      <c r="N77" s="6" t="n">
        <v>303</v>
      </c>
      <c r="O77" s="6" t="n">
        <v>310</v>
      </c>
      <c r="P77" s="6" t="n">
        <v>125</v>
      </c>
      <c r="Q77" s="6" t="n">
        <v>218</v>
      </c>
      <c r="R77" s="6" t="n">
        <v>250</v>
      </c>
      <c r="S77" s="6" t="n">
        <v>251</v>
      </c>
      <c r="T77" s="6" t="n">
        <v>253</v>
      </c>
      <c r="U77" s="6" t="n">
        <v>38</v>
      </c>
      <c r="V77" s="6" t="n">
        <v>75</v>
      </c>
      <c r="W77" s="6" t="n">
        <v>51</v>
      </c>
      <c r="X77" s="6" t="n">
        <v>5</v>
      </c>
      <c r="Y77" s="6" t="n">
        <v>0</v>
      </c>
      <c r="Z77" s="6" t="n">
        <v>25</v>
      </c>
      <c r="AA77" s="6" t="n">
        <v>390</v>
      </c>
      <c r="AB77" s="6">
        <f>SUM(D77:AA77)</f>
        <v/>
      </c>
      <c r="AC77" s="3" t="inlineStr"/>
      <c r="AD77" s="7">
        <f>AA77*0.0042847645+D77*0.0008569529</f>
        <v/>
      </c>
      <c r="AE77" s="7">
        <f>D77*0.0042847645+E77*0.0008569529</f>
        <v/>
      </c>
      <c r="AF77" s="7">
        <f>E77*0.0042847645+F77*0.0008569529</f>
        <v/>
      </c>
      <c r="AG77" s="7">
        <f>F77*0.0042847645+G77*0.0008569529</f>
        <v/>
      </c>
      <c r="AH77" s="7">
        <f>G77*0.0042847645+H77*0.0008569529</f>
        <v/>
      </c>
      <c r="AI77" s="7">
        <f>H77*0.0042847645+I77*0.0008569529</f>
        <v/>
      </c>
      <c r="AJ77" s="7">
        <f>I77*0.0042847645+J77*0.0008569529</f>
        <v/>
      </c>
      <c r="AK77" s="7">
        <f>J77*0.0042847645+K77*0.0008569529</f>
        <v/>
      </c>
      <c r="AL77" s="7">
        <f>K77*0.0042847645+L77*0.0008569529</f>
        <v/>
      </c>
      <c r="AM77" s="7">
        <f>L77*0.0042847645+M77*0.0008569529</f>
        <v/>
      </c>
      <c r="AN77" s="7">
        <f>M77*0.0042847645+N77*0.0008569529</f>
        <v/>
      </c>
      <c r="AO77" s="7">
        <f>N77*0.0042847645+O77*0.0008569529</f>
        <v/>
      </c>
      <c r="AP77" s="7">
        <f>O77*0.0042847645+P77*0.0008569529</f>
        <v/>
      </c>
      <c r="AQ77" s="7">
        <f>P77*0.0042847645+Q77*0.0008569529</f>
        <v/>
      </c>
      <c r="AR77" s="7">
        <f>Q77*0.0042847645+R77*0.0008569529</f>
        <v/>
      </c>
      <c r="AS77" s="7">
        <f>R77*0.0042847645+S77*0.0008569529</f>
        <v/>
      </c>
      <c r="AT77" s="7">
        <f>S77*0.0042847645+T77*0.0008569529</f>
        <v/>
      </c>
      <c r="AU77" s="7">
        <f>T77*0.0042847645+U77*0.0008569529</f>
        <v/>
      </c>
      <c r="AV77" s="7">
        <f>U77*0.0042847645+V77*0.0008569529</f>
        <v/>
      </c>
      <c r="AW77" s="7">
        <f>V77*0.0042847645+W77*0.0008569529</f>
        <v/>
      </c>
      <c r="AX77" s="7">
        <f>W77*0.0042847645+X77*0.0008569529</f>
        <v/>
      </c>
      <c r="AY77" s="7">
        <f>X77*0.0042847645+Y77*0.0008569529</f>
        <v/>
      </c>
      <c r="AZ77" s="7">
        <f>Y77*0.0042847645+Z77*0.0008569529</f>
        <v/>
      </c>
      <c r="BA77" s="7">
        <f>Z77*0.0042847645+AA77*0.0008569529</f>
        <v/>
      </c>
      <c r="BB77" s="7">
        <f>SUM(AD77:BA77)</f>
        <v/>
      </c>
    </row>
    <row r="78">
      <c r="A78" t="inlineStr">
        <is>
          <t>AMD-M2</t>
        </is>
      </c>
      <c r="B78" t="inlineStr">
        <is>
          <t>Forward Regular OSC</t>
        </is>
      </c>
      <c r="C78" s="5" t="n">
        <v>46091</v>
      </c>
      <c r="D78" s="6" t="n">
        <v>377</v>
      </c>
      <c r="E78" s="6" t="n">
        <v>248</v>
      </c>
      <c r="F78" s="6" t="n">
        <v>246</v>
      </c>
      <c r="G78" s="6" t="n">
        <v>397</v>
      </c>
      <c r="H78" s="6" t="n">
        <v>266</v>
      </c>
      <c r="I78" s="6" t="n">
        <v>278</v>
      </c>
      <c r="J78" s="6" t="n">
        <v>215</v>
      </c>
      <c r="K78" s="6" t="n">
        <v>120</v>
      </c>
      <c r="L78" s="6" t="n">
        <v>294</v>
      </c>
      <c r="M78" s="6" t="n">
        <v>263</v>
      </c>
      <c r="N78" s="6" t="n">
        <v>315</v>
      </c>
      <c r="O78" s="6" t="n">
        <v>299</v>
      </c>
      <c r="P78" s="6" t="n">
        <v>105</v>
      </c>
      <c r="Q78" s="6" t="n">
        <v>305</v>
      </c>
      <c r="R78" s="6" t="n">
        <v>318</v>
      </c>
      <c r="S78" s="6" t="n">
        <v>348</v>
      </c>
      <c r="T78" s="6" t="n">
        <v>407</v>
      </c>
      <c r="U78" s="6" t="n">
        <v>10</v>
      </c>
      <c r="V78" s="6" t="n">
        <v>149</v>
      </c>
      <c r="W78" s="6" t="n">
        <v>122</v>
      </c>
      <c r="X78" s="6" t="n">
        <v>22</v>
      </c>
      <c r="Y78" s="6" t="n">
        <v>0</v>
      </c>
      <c r="Z78" s="6" t="n">
        <v>6</v>
      </c>
      <c r="AA78" s="6" t="n">
        <v>326</v>
      </c>
      <c r="AB78" s="6">
        <f>SUM(D78:AA78)</f>
        <v/>
      </c>
      <c r="AC78" s="3" t="inlineStr"/>
      <c r="AD78" s="7">
        <f>AA78*0.0042847645+D78*0.0008569529</f>
        <v/>
      </c>
      <c r="AE78" s="7">
        <f>D78*0.0042847645+E78*0.0008569529</f>
        <v/>
      </c>
      <c r="AF78" s="7">
        <f>E78*0.0042847645+F78*0.0008569529</f>
        <v/>
      </c>
      <c r="AG78" s="7">
        <f>F78*0.0042847645+G78*0.0008569529</f>
        <v/>
      </c>
      <c r="AH78" s="7">
        <f>G78*0.0042847645+H78*0.0008569529</f>
        <v/>
      </c>
      <c r="AI78" s="7">
        <f>H78*0.0042847645+I78*0.0008569529</f>
        <v/>
      </c>
      <c r="AJ78" s="7">
        <f>I78*0.0042847645+J78*0.0008569529</f>
        <v/>
      </c>
      <c r="AK78" s="7">
        <f>J78*0.0042847645+K78*0.0008569529</f>
        <v/>
      </c>
      <c r="AL78" s="7">
        <f>K78*0.0042847645+L78*0.0008569529</f>
        <v/>
      </c>
      <c r="AM78" s="7">
        <f>L78*0.0042847645+M78*0.0008569529</f>
        <v/>
      </c>
      <c r="AN78" s="7">
        <f>M78*0.0042847645+N78*0.0008569529</f>
        <v/>
      </c>
      <c r="AO78" s="7">
        <f>N78*0.0042847645+O78*0.0008569529</f>
        <v/>
      </c>
      <c r="AP78" s="7">
        <f>O78*0.0042847645+P78*0.0008569529</f>
        <v/>
      </c>
      <c r="AQ78" s="7">
        <f>P78*0.0042847645+Q78*0.0008569529</f>
        <v/>
      </c>
      <c r="AR78" s="7">
        <f>Q78*0.0042847645+R78*0.0008569529</f>
        <v/>
      </c>
      <c r="AS78" s="7">
        <f>R78*0.0042847645+S78*0.0008569529</f>
        <v/>
      </c>
      <c r="AT78" s="7">
        <f>S78*0.0042847645+T78*0.0008569529</f>
        <v/>
      </c>
      <c r="AU78" s="7">
        <f>T78*0.0042847645+U78*0.0008569529</f>
        <v/>
      </c>
      <c r="AV78" s="7">
        <f>U78*0.0042847645+V78*0.0008569529</f>
        <v/>
      </c>
      <c r="AW78" s="7">
        <f>V78*0.0042847645+W78*0.0008569529</f>
        <v/>
      </c>
      <c r="AX78" s="7">
        <f>W78*0.0042847645+X78*0.0008569529</f>
        <v/>
      </c>
      <c r="AY78" s="7">
        <f>X78*0.0042847645+Y78*0.0008569529</f>
        <v/>
      </c>
      <c r="AZ78" s="7">
        <f>Y78*0.0042847645+Z78*0.0008569529</f>
        <v/>
      </c>
      <c r="BA78" s="7">
        <f>Z78*0.0042847645+AA78*0.0008569529</f>
        <v/>
      </c>
      <c r="BB78" s="7">
        <f>SUM(AD78:BA78)</f>
        <v/>
      </c>
    </row>
    <row r="79">
      <c r="A79" t="inlineStr">
        <is>
          <t>AMD-M2</t>
        </is>
      </c>
      <c r="B79" t="inlineStr">
        <is>
          <t>Forward Regular OSC</t>
        </is>
      </c>
      <c r="C79" s="5" t="n">
        <v>46092</v>
      </c>
      <c r="D79" s="6" t="n">
        <v>284</v>
      </c>
      <c r="E79" s="6" t="n">
        <v>160</v>
      </c>
      <c r="F79" s="6" t="n">
        <v>304</v>
      </c>
      <c r="G79" s="6" t="n">
        <v>401</v>
      </c>
      <c r="H79" s="6" t="n">
        <v>218</v>
      </c>
      <c r="I79" s="6" t="n">
        <v>326</v>
      </c>
      <c r="J79" s="6" t="n">
        <v>249</v>
      </c>
      <c r="K79" s="6" t="n">
        <v>44</v>
      </c>
      <c r="L79" s="6" t="n">
        <v>419</v>
      </c>
      <c r="M79" s="6" t="n">
        <v>212</v>
      </c>
      <c r="N79" s="6" t="n">
        <v>401</v>
      </c>
      <c r="O79" s="6" t="n">
        <v>353</v>
      </c>
      <c r="P79" s="6" t="n">
        <v>111</v>
      </c>
      <c r="Q79" s="6" t="n">
        <v>187</v>
      </c>
      <c r="R79" s="6" t="n">
        <v>311</v>
      </c>
      <c r="S79" s="6" t="n">
        <v>256</v>
      </c>
      <c r="T79" s="6" t="n">
        <v>52</v>
      </c>
      <c r="U79" s="6" t="n">
        <v>0</v>
      </c>
      <c r="V79" s="6" t="n">
        <v>0</v>
      </c>
      <c r="W79" s="6" t="n">
        <v>0</v>
      </c>
      <c r="X79" s="6" t="n">
        <v>0</v>
      </c>
      <c r="Y79" s="6" t="n">
        <v>0</v>
      </c>
      <c r="Z79" s="6" t="n">
        <v>0</v>
      </c>
      <c r="AA79" s="6" t="n">
        <v>350</v>
      </c>
      <c r="AB79" s="6">
        <f>SUM(D79:AA79)</f>
        <v/>
      </c>
      <c r="AC79" s="3" t="inlineStr"/>
      <c r="AD79" s="7">
        <f>AA79*0.0042847645+D79*0.0008569529</f>
        <v/>
      </c>
      <c r="AE79" s="7">
        <f>D79*0.0042847645+E79*0.0008569529</f>
        <v/>
      </c>
      <c r="AF79" s="7">
        <f>E79*0.0042847645+F79*0.0008569529</f>
        <v/>
      </c>
      <c r="AG79" s="7">
        <f>F79*0.0042847645+G79*0.0008569529</f>
        <v/>
      </c>
      <c r="AH79" s="7">
        <f>G79*0.0042847645+H79*0.0008569529</f>
        <v/>
      </c>
      <c r="AI79" s="7">
        <f>H79*0.0042847645+I79*0.0008569529</f>
        <v/>
      </c>
      <c r="AJ79" s="7">
        <f>I79*0.0042847645+J79*0.0008569529</f>
        <v/>
      </c>
      <c r="AK79" s="7">
        <f>J79*0.0042847645+K79*0.0008569529</f>
        <v/>
      </c>
      <c r="AL79" s="7">
        <f>K79*0.0042847645+L79*0.0008569529</f>
        <v/>
      </c>
      <c r="AM79" s="7">
        <f>L79*0.0042847645+M79*0.0008569529</f>
        <v/>
      </c>
      <c r="AN79" s="7">
        <f>M79*0.0042847645+N79*0.0008569529</f>
        <v/>
      </c>
      <c r="AO79" s="7">
        <f>N79*0.0042847645+O79*0.0008569529</f>
        <v/>
      </c>
      <c r="AP79" s="7">
        <f>O79*0.0042847645+P79*0.0008569529</f>
        <v/>
      </c>
      <c r="AQ79" s="7">
        <f>P79*0.0042847645+Q79*0.0008569529</f>
        <v/>
      </c>
      <c r="AR79" s="7">
        <f>Q79*0.0042847645+R79*0.0008569529</f>
        <v/>
      </c>
      <c r="AS79" s="7">
        <f>R79*0.0042847645+S79*0.0008569529</f>
        <v/>
      </c>
      <c r="AT79" s="7">
        <f>S79*0.0042847645+T79*0.0008569529</f>
        <v/>
      </c>
      <c r="AU79" s="7">
        <f>T79*0.0042847645+U79*0.0008569529</f>
        <v/>
      </c>
      <c r="AV79" s="7">
        <f>U79*0.0042847645+V79*0.0008569529</f>
        <v/>
      </c>
      <c r="AW79" s="7">
        <f>V79*0.0042847645+W79*0.0008569529</f>
        <v/>
      </c>
      <c r="AX79" s="7">
        <f>W79*0.0042847645+X79*0.0008569529</f>
        <v/>
      </c>
      <c r="AY79" s="7">
        <f>X79*0.0042847645+Y79*0.0008569529</f>
        <v/>
      </c>
      <c r="AZ79" s="7">
        <f>Y79*0.0042847645+Z79*0.0008569529</f>
        <v/>
      </c>
      <c r="BA79" s="7">
        <f>Z79*0.0042847645+AA79*0.0008569529</f>
        <v/>
      </c>
      <c r="BB79" s="7">
        <f>SUM(AD79:BA79)</f>
        <v/>
      </c>
    </row>
    <row r="80">
      <c r="A80" t="inlineStr">
        <is>
          <t>AMD-M2</t>
        </is>
      </c>
      <c r="B80" t="inlineStr">
        <is>
          <t>Forward Regular OSC</t>
        </is>
      </c>
      <c r="C80" s="5" t="n">
        <v>46093</v>
      </c>
      <c r="D80" s="6" t="n">
        <v>334</v>
      </c>
      <c r="E80" s="6" t="n">
        <v>114</v>
      </c>
      <c r="F80" s="6" t="n">
        <v>249</v>
      </c>
      <c r="G80" s="6" t="n">
        <v>355</v>
      </c>
      <c r="H80" s="6" t="n">
        <v>200</v>
      </c>
      <c r="I80" s="6" t="n">
        <v>210</v>
      </c>
      <c r="J80" s="6" t="n">
        <v>118</v>
      </c>
      <c r="K80" s="6" t="n">
        <v>2</v>
      </c>
      <c r="L80" s="6" t="n">
        <v>298</v>
      </c>
      <c r="M80" s="6" t="n">
        <v>163</v>
      </c>
      <c r="N80" s="6" t="n">
        <v>335</v>
      </c>
      <c r="O80" s="6" t="n">
        <v>165</v>
      </c>
      <c r="P80" s="6" t="n">
        <v>335</v>
      </c>
      <c r="Q80" s="6" t="n">
        <v>51</v>
      </c>
      <c r="R80" s="6" t="n">
        <v>0</v>
      </c>
      <c r="S80" s="6" t="n">
        <v>1</v>
      </c>
      <c r="T80" s="6" t="n">
        <v>0</v>
      </c>
      <c r="U80" s="6" t="n">
        <v>3</v>
      </c>
      <c r="V80" s="6" t="n">
        <v>0</v>
      </c>
      <c r="W80" s="6" t="n">
        <v>1</v>
      </c>
      <c r="X80" s="6" t="n">
        <v>1</v>
      </c>
      <c r="Y80" s="6" t="n">
        <v>0</v>
      </c>
      <c r="Z80" s="6" t="n">
        <v>0</v>
      </c>
      <c r="AA80" s="6" t="n">
        <v>348</v>
      </c>
      <c r="AB80" s="6">
        <f>SUM(D80:AA80)</f>
        <v/>
      </c>
      <c r="AC80" s="3" t="inlineStr"/>
      <c r="AD80" s="7">
        <f>AA80*0.0042847645+D80*0.0008569529</f>
        <v/>
      </c>
      <c r="AE80" s="7">
        <f>D80*0.0042847645+E80*0.0008569529</f>
        <v/>
      </c>
      <c r="AF80" s="7">
        <f>E80*0.0042847645+F80*0.0008569529</f>
        <v/>
      </c>
      <c r="AG80" s="7">
        <f>F80*0.0042847645+G80*0.0008569529</f>
        <v/>
      </c>
      <c r="AH80" s="7">
        <f>G80*0.0042847645+H80*0.0008569529</f>
        <v/>
      </c>
      <c r="AI80" s="7">
        <f>H80*0.0042847645+I80*0.0008569529</f>
        <v/>
      </c>
      <c r="AJ80" s="7">
        <f>I80*0.0042847645+J80*0.0008569529</f>
        <v/>
      </c>
      <c r="AK80" s="7">
        <f>J80*0.0042847645+K80*0.0008569529</f>
        <v/>
      </c>
      <c r="AL80" s="7">
        <f>K80*0.0042847645+L80*0.0008569529</f>
        <v/>
      </c>
      <c r="AM80" s="7">
        <f>L80*0.0042847645+M80*0.0008569529</f>
        <v/>
      </c>
      <c r="AN80" s="7">
        <f>M80*0.0042847645+N80*0.0008569529</f>
        <v/>
      </c>
      <c r="AO80" s="7">
        <f>N80*0.0042847645+O80*0.0008569529</f>
        <v/>
      </c>
      <c r="AP80" s="7">
        <f>O80*0.0042847645+P80*0.0008569529</f>
        <v/>
      </c>
      <c r="AQ80" s="7">
        <f>P80*0.0042847645+Q80*0.0008569529</f>
        <v/>
      </c>
      <c r="AR80" s="7">
        <f>Q80*0.0042847645+R80*0.0008569529</f>
        <v/>
      </c>
      <c r="AS80" s="7">
        <f>R80*0.0042847645+S80*0.0008569529</f>
        <v/>
      </c>
      <c r="AT80" s="7">
        <f>S80*0.0042847645+T80*0.0008569529</f>
        <v/>
      </c>
      <c r="AU80" s="7">
        <f>T80*0.0042847645+U80*0.0008569529</f>
        <v/>
      </c>
      <c r="AV80" s="7">
        <f>U80*0.0042847645+V80*0.0008569529</f>
        <v/>
      </c>
      <c r="AW80" s="7">
        <f>V80*0.0042847645+W80*0.0008569529</f>
        <v/>
      </c>
      <c r="AX80" s="7">
        <f>W80*0.0042847645+X80*0.0008569529</f>
        <v/>
      </c>
      <c r="AY80" s="7">
        <f>X80*0.0042847645+Y80*0.0008569529</f>
        <v/>
      </c>
      <c r="AZ80" s="7">
        <f>Y80*0.0042847645+Z80*0.0008569529</f>
        <v/>
      </c>
      <c r="BA80" s="7">
        <f>Z80*0.0042847645+AA80*0.0008569529</f>
        <v/>
      </c>
      <c r="BB80" s="7">
        <f>SUM(AD80:BA80)</f>
        <v/>
      </c>
    </row>
    <row r="81">
      <c r="A81" t="inlineStr">
        <is>
          <t>AMD-M2</t>
        </is>
      </c>
      <c r="B81" t="inlineStr">
        <is>
          <t>Forward Regular OSC</t>
        </is>
      </c>
      <c r="C81" s="5" t="n">
        <v>46094</v>
      </c>
      <c r="D81" s="6" t="n">
        <v>305</v>
      </c>
      <c r="E81" s="6" t="n">
        <v>167</v>
      </c>
      <c r="F81" s="6" t="n">
        <v>291</v>
      </c>
      <c r="G81" s="6" t="n">
        <v>300</v>
      </c>
      <c r="H81" s="6" t="n">
        <v>140</v>
      </c>
      <c r="I81" s="6" t="n">
        <v>243</v>
      </c>
      <c r="J81" s="6" t="n">
        <v>173</v>
      </c>
      <c r="K81" s="6" t="n">
        <v>0</v>
      </c>
      <c r="L81" s="6" t="n">
        <v>367</v>
      </c>
      <c r="M81" s="6" t="n">
        <v>210</v>
      </c>
      <c r="N81" s="6" t="n">
        <v>314</v>
      </c>
      <c r="O81" s="6" t="n">
        <v>323</v>
      </c>
      <c r="P81" s="6" t="n">
        <v>111</v>
      </c>
      <c r="Q81" s="6" t="n">
        <v>315</v>
      </c>
      <c r="R81" s="6" t="n">
        <v>64</v>
      </c>
      <c r="S81" s="6" t="n">
        <v>0</v>
      </c>
      <c r="T81" s="6" t="n">
        <v>0</v>
      </c>
      <c r="U81" s="6" t="n">
        <v>0</v>
      </c>
      <c r="V81" s="6" t="n">
        <v>0</v>
      </c>
      <c r="W81" s="6" t="n">
        <v>0</v>
      </c>
      <c r="X81" s="6" t="n">
        <v>0</v>
      </c>
      <c r="Y81" s="6" t="n">
        <v>0</v>
      </c>
      <c r="Z81" s="6" t="n">
        <v>17</v>
      </c>
      <c r="AA81" s="6" t="n">
        <v>247</v>
      </c>
      <c r="AB81" s="6">
        <f>SUM(D81:AA81)</f>
        <v/>
      </c>
      <c r="AC81" s="3" t="inlineStr"/>
      <c r="AD81" s="7">
        <f>AA81*0.0042847645+D81*0.0008569529</f>
        <v/>
      </c>
      <c r="AE81" s="7">
        <f>D81*0.0042847645+E81*0.0008569529</f>
        <v/>
      </c>
      <c r="AF81" s="7">
        <f>E81*0.0042847645+F81*0.0008569529</f>
        <v/>
      </c>
      <c r="AG81" s="7">
        <f>F81*0.0042847645+G81*0.0008569529</f>
        <v/>
      </c>
      <c r="AH81" s="7">
        <f>G81*0.0042847645+H81*0.0008569529</f>
        <v/>
      </c>
      <c r="AI81" s="7">
        <f>H81*0.0042847645+I81*0.0008569529</f>
        <v/>
      </c>
      <c r="AJ81" s="7">
        <f>I81*0.0042847645+J81*0.0008569529</f>
        <v/>
      </c>
      <c r="AK81" s="7">
        <f>J81*0.0042847645+K81*0.0008569529</f>
        <v/>
      </c>
      <c r="AL81" s="7">
        <f>K81*0.0042847645+L81*0.0008569529</f>
        <v/>
      </c>
      <c r="AM81" s="7">
        <f>L81*0.0042847645+M81*0.0008569529</f>
        <v/>
      </c>
      <c r="AN81" s="7">
        <f>M81*0.0042847645+N81*0.0008569529</f>
        <v/>
      </c>
      <c r="AO81" s="7">
        <f>N81*0.0042847645+O81*0.0008569529</f>
        <v/>
      </c>
      <c r="AP81" s="7">
        <f>O81*0.0042847645+P81*0.0008569529</f>
        <v/>
      </c>
      <c r="AQ81" s="7">
        <f>P81*0.0042847645+Q81*0.0008569529</f>
        <v/>
      </c>
      <c r="AR81" s="7">
        <f>Q81*0.0042847645+R81*0.0008569529</f>
        <v/>
      </c>
      <c r="AS81" s="7">
        <f>R81*0.0042847645+S81*0.0008569529</f>
        <v/>
      </c>
      <c r="AT81" s="7">
        <f>S81*0.0042847645+T81*0.0008569529</f>
        <v/>
      </c>
      <c r="AU81" s="7">
        <f>T81*0.0042847645+U81*0.0008569529</f>
        <v/>
      </c>
      <c r="AV81" s="7">
        <f>U81*0.0042847645+V81*0.0008569529</f>
        <v/>
      </c>
      <c r="AW81" s="7">
        <f>V81*0.0042847645+W81*0.0008569529</f>
        <v/>
      </c>
      <c r="AX81" s="7">
        <f>W81*0.0042847645+X81*0.0008569529</f>
        <v/>
      </c>
      <c r="AY81" s="7">
        <f>X81*0.0042847645+Y81*0.0008569529</f>
        <v/>
      </c>
      <c r="AZ81" s="7">
        <f>Y81*0.0042847645+Z81*0.0008569529</f>
        <v/>
      </c>
      <c r="BA81" s="7">
        <f>Z81*0.0042847645+AA81*0.0008569529</f>
        <v/>
      </c>
      <c r="BB81" s="7">
        <f>SUM(AD81:BA81)</f>
        <v/>
      </c>
    </row>
    <row r="82">
      <c r="A82" t="inlineStr">
        <is>
          <t>AMD-M2</t>
        </is>
      </c>
      <c r="B82" t="inlineStr">
        <is>
          <t>Forward Regular OSC</t>
        </is>
      </c>
      <c r="C82" s="5" t="n">
        <v>46095</v>
      </c>
      <c r="D82" s="6" t="n">
        <v>259</v>
      </c>
      <c r="E82" s="6" t="n">
        <v>174</v>
      </c>
      <c r="F82" s="6" t="n">
        <v>152</v>
      </c>
      <c r="G82" s="6" t="n">
        <v>273</v>
      </c>
      <c r="H82" s="6" t="n">
        <v>201</v>
      </c>
      <c r="I82" s="6" t="n">
        <v>337</v>
      </c>
      <c r="J82" s="6" t="n">
        <v>182</v>
      </c>
      <c r="K82" s="6" t="n">
        <v>32</v>
      </c>
      <c r="L82" s="6" t="n">
        <v>327</v>
      </c>
      <c r="M82" s="6" t="n">
        <v>235</v>
      </c>
      <c r="N82" s="6" t="n">
        <v>316</v>
      </c>
      <c r="O82" s="6" t="n">
        <v>305</v>
      </c>
      <c r="P82" s="6" t="n">
        <v>122</v>
      </c>
      <c r="Q82" s="6" t="n">
        <v>420</v>
      </c>
      <c r="R82" s="6" t="n">
        <v>208</v>
      </c>
      <c r="S82" s="6" t="n">
        <v>8</v>
      </c>
      <c r="T82" s="6" t="n">
        <v>0</v>
      </c>
      <c r="U82" s="6" t="n">
        <v>0</v>
      </c>
      <c r="V82" s="6" t="n">
        <v>0</v>
      </c>
      <c r="W82" s="6" t="n">
        <v>46</v>
      </c>
      <c r="X82" s="6" t="n">
        <v>129</v>
      </c>
      <c r="Y82" s="6" t="n">
        <v>82</v>
      </c>
      <c r="Z82" s="6" t="n">
        <v>46</v>
      </c>
      <c r="AA82" s="6" t="n">
        <v>357</v>
      </c>
      <c r="AB82" s="6">
        <f>SUM(D82:AA82)</f>
        <v/>
      </c>
      <c r="AC82" s="3" t="inlineStr"/>
      <c r="AD82" s="7">
        <f>AA82*0.0042847645+D82*0.0008569529</f>
        <v/>
      </c>
      <c r="AE82" s="7">
        <f>D82*0.0042847645+E82*0.0008569529</f>
        <v/>
      </c>
      <c r="AF82" s="7">
        <f>E82*0.0042847645+F82*0.0008569529</f>
        <v/>
      </c>
      <c r="AG82" s="7">
        <f>F82*0.0042847645+G82*0.0008569529</f>
        <v/>
      </c>
      <c r="AH82" s="7">
        <f>G82*0.0042847645+H82*0.0008569529</f>
        <v/>
      </c>
      <c r="AI82" s="7">
        <f>H82*0.0042847645+I82*0.0008569529</f>
        <v/>
      </c>
      <c r="AJ82" s="7">
        <f>I82*0.0042847645+J82*0.0008569529</f>
        <v/>
      </c>
      <c r="AK82" s="7">
        <f>J82*0.0042847645+K82*0.0008569529</f>
        <v/>
      </c>
      <c r="AL82" s="7">
        <f>K82*0.0042847645+L82*0.0008569529</f>
        <v/>
      </c>
      <c r="AM82" s="7">
        <f>L82*0.0042847645+M82*0.0008569529</f>
        <v/>
      </c>
      <c r="AN82" s="7">
        <f>M82*0.0042847645+N82*0.0008569529</f>
        <v/>
      </c>
      <c r="AO82" s="7">
        <f>N82*0.0042847645+O82*0.0008569529</f>
        <v/>
      </c>
      <c r="AP82" s="7">
        <f>O82*0.0042847645+P82*0.0008569529</f>
        <v/>
      </c>
      <c r="AQ82" s="7">
        <f>P82*0.0042847645+Q82*0.0008569529</f>
        <v/>
      </c>
      <c r="AR82" s="7">
        <f>Q82*0.0042847645+R82*0.0008569529</f>
        <v/>
      </c>
      <c r="AS82" s="7">
        <f>R82*0.0042847645+S82*0.0008569529</f>
        <v/>
      </c>
      <c r="AT82" s="7">
        <f>S82*0.0042847645+T82*0.0008569529</f>
        <v/>
      </c>
      <c r="AU82" s="7">
        <f>T82*0.0042847645+U82*0.0008569529</f>
        <v/>
      </c>
      <c r="AV82" s="7">
        <f>U82*0.0042847645+V82*0.0008569529</f>
        <v/>
      </c>
      <c r="AW82" s="7">
        <f>V82*0.0042847645+W82*0.0008569529</f>
        <v/>
      </c>
      <c r="AX82" s="7">
        <f>W82*0.0042847645+X82*0.0008569529</f>
        <v/>
      </c>
      <c r="AY82" s="7">
        <f>X82*0.0042847645+Y82*0.0008569529</f>
        <v/>
      </c>
      <c r="AZ82" s="7">
        <f>Y82*0.0042847645+Z82*0.0008569529</f>
        <v/>
      </c>
      <c r="BA82" s="7">
        <f>Z82*0.0042847645+AA82*0.0008569529</f>
        <v/>
      </c>
      <c r="BB82" s="7">
        <f>SUM(AD82:BA82)</f>
        <v/>
      </c>
    </row>
    <row r="83">
      <c r="A83" t="inlineStr">
        <is>
          <t>AMD-M2</t>
        </is>
      </c>
      <c r="B83" t="inlineStr">
        <is>
          <t>Forward Regular OSC</t>
        </is>
      </c>
      <c r="C83" s="5" t="n">
        <v>46096</v>
      </c>
      <c r="D83" s="6" t="n">
        <v>268</v>
      </c>
      <c r="E83" s="6" t="n">
        <v>87</v>
      </c>
      <c r="F83" s="6" t="n">
        <v>231</v>
      </c>
      <c r="G83" s="6" t="n">
        <v>330</v>
      </c>
      <c r="H83" s="6" t="n">
        <v>169</v>
      </c>
      <c r="I83" s="6" t="n">
        <v>317</v>
      </c>
      <c r="J83" s="6" t="n">
        <v>295</v>
      </c>
      <c r="K83" s="6" t="n">
        <v>2</v>
      </c>
      <c r="L83" s="6" t="n">
        <v>318</v>
      </c>
      <c r="M83" s="6" t="n">
        <v>251</v>
      </c>
      <c r="N83" s="6" t="n">
        <v>261</v>
      </c>
      <c r="O83" s="6" t="n">
        <v>260</v>
      </c>
      <c r="P83" s="6" t="n">
        <v>176</v>
      </c>
      <c r="Q83" s="6" t="n">
        <v>335</v>
      </c>
      <c r="R83" s="6" t="n">
        <v>9</v>
      </c>
      <c r="S83" s="6" t="n">
        <v>0</v>
      </c>
      <c r="T83" s="6" t="n">
        <v>0</v>
      </c>
      <c r="U83" s="6" t="n">
        <v>0</v>
      </c>
      <c r="V83" s="6" t="n">
        <v>0</v>
      </c>
      <c r="W83" s="6" t="n">
        <v>0</v>
      </c>
      <c r="X83" s="6" t="n">
        <v>0</v>
      </c>
      <c r="Y83" s="6" t="n">
        <v>0</v>
      </c>
      <c r="Z83" s="6" t="n">
        <v>0</v>
      </c>
      <c r="AA83" s="6" t="n">
        <v>279</v>
      </c>
      <c r="AB83" s="6">
        <f>SUM(D83:AA83)</f>
        <v/>
      </c>
      <c r="AC83" s="3" t="inlineStr"/>
      <c r="AD83" s="7">
        <f>AA83*0.0042847645+D83*0.0008569529</f>
        <v/>
      </c>
      <c r="AE83" s="7">
        <f>D83*0.0042847645+E83*0.0008569529</f>
        <v/>
      </c>
      <c r="AF83" s="7">
        <f>E83*0.0042847645+F83*0.0008569529</f>
        <v/>
      </c>
      <c r="AG83" s="7">
        <f>F83*0.0042847645+G83*0.0008569529</f>
        <v/>
      </c>
      <c r="AH83" s="7">
        <f>G83*0.0042847645+H83*0.0008569529</f>
        <v/>
      </c>
      <c r="AI83" s="7">
        <f>H83*0.0042847645+I83*0.0008569529</f>
        <v/>
      </c>
      <c r="AJ83" s="7">
        <f>I83*0.0042847645+J83*0.0008569529</f>
        <v/>
      </c>
      <c r="AK83" s="7">
        <f>J83*0.0042847645+K83*0.0008569529</f>
        <v/>
      </c>
      <c r="AL83" s="7">
        <f>K83*0.0042847645+L83*0.0008569529</f>
        <v/>
      </c>
      <c r="AM83" s="7">
        <f>L83*0.0042847645+M83*0.0008569529</f>
        <v/>
      </c>
      <c r="AN83" s="7">
        <f>M83*0.0042847645+N83*0.0008569529</f>
        <v/>
      </c>
      <c r="AO83" s="7">
        <f>N83*0.0042847645+O83*0.0008569529</f>
        <v/>
      </c>
      <c r="AP83" s="7">
        <f>O83*0.0042847645+P83*0.0008569529</f>
        <v/>
      </c>
      <c r="AQ83" s="7">
        <f>P83*0.0042847645+Q83*0.0008569529</f>
        <v/>
      </c>
      <c r="AR83" s="7">
        <f>Q83*0.0042847645+R83*0.0008569529</f>
        <v/>
      </c>
      <c r="AS83" s="7">
        <f>R83*0.0042847645+S83*0.0008569529</f>
        <v/>
      </c>
      <c r="AT83" s="7">
        <f>S83*0.0042847645+T83*0.0008569529</f>
        <v/>
      </c>
      <c r="AU83" s="7">
        <f>T83*0.0042847645+U83*0.0008569529</f>
        <v/>
      </c>
      <c r="AV83" s="7">
        <f>U83*0.0042847645+V83*0.0008569529</f>
        <v/>
      </c>
      <c r="AW83" s="7">
        <f>V83*0.0042847645+W83*0.0008569529</f>
        <v/>
      </c>
      <c r="AX83" s="7">
        <f>W83*0.0042847645+X83*0.0008569529</f>
        <v/>
      </c>
      <c r="AY83" s="7">
        <f>X83*0.0042847645+Y83*0.0008569529</f>
        <v/>
      </c>
      <c r="AZ83" s="7">
        <f>Y83*0.0042847645+Z83*0.0008569529</f>
        <v/>
      </c>
      <c r="BA83" s="7">
        <f>Z83*0.0042847645+AA83*0.0008569529</f>
        <v/>
      </c>
      <c r="BB83" s="7">
        <f>SUM(AD83:BA83)</f>
        <v/>
      </c>
    </row>
    <row r="84">
      <c r="A84" t="inlineStr">
        <is>
          <t>AMD-M2</t>
        </is>
      </c>
      <c r="B84" t="inlineStr">
        <is>
          <t>Forward Regular OSC</t>
        </is>
      </c>
      <c r="C84" s="5" t="n">
        <v>46097</v>
      </c>
      <c r="D84" s="6" t="n">
        <v>228</v>
      </c>
      <c r="E84" s="6" t="n">
        <v>122</v>
      </c>
      <c r="F84" s="6" t="n">
        <v>227</v>
      </c>
      <c r="G84" s="6" t="n">
        <v>249</v>
      </c>
      <c r="H84" s="6" t="n">
        <v>166</v>
      </c>
      <c r="I84" s="6" t="n">
        <v>236</v>
      </c>
      <c r="J84" s="6" t="n">
        <v>101</v>
      </c>
      <c r="K84" s="6" t="n">
        <v>0</v>
      </c>
      <c r="L84" s="6" t="n">
        <v>273</v>
      </c>
      <c r="M84" s="6" t="n">
        <v>222</v>
      </c>
      <c r="N84" s="6" t="n">
        <v>310</v>
      </c>
      <c r="O84" s="6" t="n">
        <v>263</v>
      </c>
      <c r="P84" s="6" t="n">
        <v>148</v>
      </c>
      <c r="Q84" s="6" t="n">
        <v>250</v>
      </c>
      <c r="R84" s="6" t="n">
        <v>107</v>
      </c>
      <c r="S84" s="6" t="n">
        <v>1</v>
      </c>
      <c r="T84" s="6" t="n">
        <v>0</v>
      </c>
      <c r="U84" s="6" t="n">
        <v>0</v>
      </c>
      <c r="V84" s="6" t="n">
        <v>0</v>
      </c>
      <c r="W84" s="6" t="n">
        <v>0</v>
      </c>
      <c r="X84" s="6" t="n">
        <v>0</v>
      </c>
      <c r="Y84" s="6" t="n">
        <v>0</v>
      </c>
      <c r="Z84" s="6" t="n">
        <v>0</v>
      </c>
      <c r="AA84" s="6" t="n">
        <v>0</v>
      </c>
      <c r="AB84" s="6">
        <f>SUM(D84:AA84)</f>
        <v/>
      </c>
      <c r="AC84" s="3" t="inlineStr"/>
      <c r="AD84" s="7">
        <f>AA84*0.0042847645+D84*0.0008569529</f>
        <v/>
      </c>
      <c r="AE84" s="7">
        <f>D84*0.0042847645+E84*0.0008569529</f>
        <v/>
      </c>
      <c r="AF84" s="7">
        <f>E84*0.0042847645+F84*0.0008569529</f>
        <v/>
      </c>
      <c r="AG84" s="7">
        <f>F84*0.0042847645+G84*0.0008569529</f>
        <v/>
      </c>
      <c r="AH84" s="7">
        <f>G84*0.0042847645+H84*0.0008569529</f>
        <v/>
      </c>
      <c r="AI84" s="7">
        <f>H84*0.0042847645+I84*0.0008569529</f>
        <v/>
      </c>
      <c r="AJ84" s="7">
        <f>I84*0.0042847645+J84*0.0008569529</f>
        <v/>
      </c>
      <c r="AK84" s="7">
        <f>J84*0.0042847645+K84*0.0008569529</f>
        <v/>
      </c>
      <c r="AL84" s="7">
        <f>K84*0.0042847645+L84*0.0008569529</f>
        <v/>
      </c>
      <c r="AM84" s="7">
        <f>L84*0.0042847645+M84*0.0008569529</f>
        <v/>
      </c>
      <c r="AN84" s="7">
        <f>M84*0.0042847645+N84*0.0008569529</f>
        <v/>
      </c>
      <c r="AO84" s="7">
        <f>N84*0.0042847645+O84*0.0008569529</f>
        <v/>
      </c>
      <c r="AP84" s="7">
        <f>O84*0.0042847645+P84*0.0008569529</f>
        <v/>
      </c>
      <c r="AQ84" s="7">
        <f>P84*0.0042847645+Q84*0.0008569529</f>
        <v/>
      </c>
      <c r="AR84" s="7">
        <f>Q84*0.0042847645+R84*0.0008569529</f>
        <v/>
      </c>
      <c r="AS84" s="7">
        <f>R84*0.0042847645+S84*0.0008569529</f>
        <v/>
      </c>
      <c r="AT84" s="7">
        <f>S84*0.0042847645+T84*0.0008569529</f>
        <v/>
      </c>
      <c r="AU84" s="7">
        <f>T84*0.0042847645+U84*0.0008569529</f>
        <v/>
      </c>
      <c r="AV84" s="7">
        <f>U84*0.0042847645+V84*0.0008569529</f>
        <v/>
      </c>
      <c r="AW84" s="7">
        <f>V84*0.0042847645+W84*0.0008569529</f>
        <v/>
      </c>
      <c r="AX84" s="7">
        <f>W84*0.0042847645+X84*0.0008569529</f>
        <v/>
      </c>
      <c r="AY84" s="7">
        <f>X84*0.0042847645+Y84*0.0008569529</f>
        <v/>
      </c>
      <c r="AZ84" s="7">
        <f>Y84*0.0042847645+Z84*0.0008569529</f>
        <v/>
      </c>
      <c r="BA84" s="7">
        <f>Z84*0.0042847645+AA84*0.0008569529</f>
        <v/>
      </c>
      <c r="BB84" s="7">
        <f>SUM(AD84:BA84)</f>
        <v/>
      </c>
    </row>
    <row r="85">
      <c r="A85" t="inlineStr">
        <is>
          <t>AMD-MU-01</t>
        </is>
      </c>
      <c r="B85" t="inlineStr">
        <is>
          <t>Forward Regular OSC</t>
        </is>
      </c>
      <c r="C85" s="5" t="n">
        <v>46091</v>
      </c>
      <c r="D85" s="6" t="n">
        <v>0</v>
      </c>
      <c r="E85" s="6" t="n">
        <v>0</v>
      </c>
      <c r="F85" s="6" t="n">
        <v>0</v>
      </c>
      <c r="G85" s="6" t="n">
        <v>0</v>
      </c>
      <c r="H85" s="6" t="n">
        <v>0</v>
      </c>
      <c r="I85" s="6" t="n">
        <v>0</v>
      </c>
      <c r="J85" s="6" t="n">
        <v>0</v>
      </c>
      <c r="K85" s="6" t="n">
        <v>0</v>
      </c>
      <c r="L85" s="6" t="n">
        <v>0</v>
      </c>
      <c r="M85" s="6" t="n">
        <v>0</v>
      </c>
      <c r="N85" s="6" t="n">
        <v>0</v>
      </c>
      <c r="O85" s="6" t="n">
        <v>0</v>
      </c>
      <c r="P85" s="6" t="n">
        <v>0</v>
      </c>
      <c r="Q85" s="6" t="n">
        <v>0</v>
      </c>
      <c r="R85" s="6" t="n">
        <v>0</v>
      </c>
      <c r="S85" s="6" t="n">
        <v>0</v>
      </c>
      <c r="T85" s="6" t="n">
        <v>0</v>
      </c>
      <c r="U85" s="6" t="n">
        <v>0</v>
      </c>
      <c r="V85" s="6" t="n">
        <v>0</v>
      </c>
      <c r="W85" s="6" t="n">
        <v>0</v>
      </c>
      <c r="X85" s="6" t="n">
        <v>0</v>
      </c>
      <c r="Y85" s="6" t="n">
        <v>0</v>
      </c>
      <c r="Z85" s="6" t="n">
        <v>0</v>
      </c>
      <c r="AA85" s="6" t="n">
        <v>0</v>
      </c>
      <c r="AB85" s="6">
        <f>SUM(D85:AA85)</f>
        <v/>
      </c>
      <c r="AC85" s="3" t="inlineStr"/>
      <c r="AD85" s="7">
        <f>AA85*0.0042847645+D85*0.0008569529</f>
        <v/>
      </c>
      <c r="AE85" s="7">
        <f>D85*0.0042847645+E85*0.0008569529</f>
        <v/>
      </c>
      <c r="AF85" s="7">
        <f>E85*0.0042847645+F85*0.0008569529</f>
        <v/>
      </c>
      <c r="AG85" s="7">
        <f>F85*0.0042847645+G85*0.0008569529</f>
        <v/>
      </c>
      <c r="AH85" s="7">
        <f>G85*0.0042847645+H85*0.0008569529</f>
        <v/>
      </c>
      <c r="AI85" s="7">
        <f>H85*0.0042847645+I85*0.0008569529</f>
        <v/>
      </c>
      <c r="AJ85" s="7">
        <f>I85*0.0042847645+J85*0.0008569529</f>
        <v/>
      </c>
      <c r="AK85" s="7">
        <f>J85*0.0042847645+K85*0.0008569529</f>
        <v/>
      </c>
      <c r="AL85" s="7">
        <f>K85*0.0042847645+L85*0.0008569529</f>
        <v/>
      </c>
      <c r="AM85" s="7">
        <f>L85*0.0042847645+M85*0.0008569529</f>
        <v/>
      </c>
      <c r="AN85" s="7">
        <f>M85*0.0042847645+N85*0.0008569529</f>
        <v/>
      </c>
      <c r="AO85" s="7">
        <f>N85*0.0042847645+O85*0.0008569529</f>
        <v/>
      </c>
      <c r="AP85" s="7">
        <f>O85*0.0042847645+P85*0.0008569529</f>
        <v/>
      </c>
      <c r="AQ85" s="7">
        <f>P85*0.0042847645+Q85*0.0008569529</f>
        <v/>
      </c>
      <c r="AR85" s="7">
        <f>Q85*0.0042847645+R85*0.0008569529</f>
        <v/>
      </c>
      <c r="AS85" s="7">
        <f>R85*0.0042847645+S85*0.0008569529</f>
        <v/>
      </c>
      <c r="AT85" s="7">
        <f>S85*0.0042847645+T85*0.0008569529</f>
        <v/>
      </c>
      <c r="AU85" s="7">
        <f>T85*0.0042847645+U85*0.0008569529</f>
        <v/>
      </c>
      <c r="AV85" s="7">
        <f>U85*0.0042847645+V85*0.0008569529</f>
        <v/>
      </c>
      <c r="AW85" s="7">
        <f>V85*0.0042847645+W85*0.0008569529</f>
        <v/>
      </c>
      <c r="AX85" s="7">
        <f>W85*0.0042847645+X85*0.0008569529</f>
        <v/>
      </c>
      <c r="AY85" s="7">
        <f>X85*0.0042847645+Y85*0.0008569529</f>
        <v/>
      </c>
      <c r="AZ85" s="7">
        <f>Y85*0.0042847645+Z85*0.0008569529</f>
        <v/>
      </c>
      <c r="BA85" s="7">
        <f>Z85*0.0042847645+AA85*0.0008569529</f>
        <v/>
      </c>
      <c r="BB85" s="7">
        <f>SUM(AD85:BA85)</f>
        <v/>
      </c>
    </row>
    <row r="86">
      <c r="A86" t="inlineStr">
        <is>
          <t>AMD-RTS-RCLS-1302-SSC</t>
        </is>
      </c>
      <c r="B86" t="inlineStr">
        <is>
          <t>Rev OSC</t>
        </is>
      </c>
      <c r="C86" s="5" t="n">
        <v>46089</v>
      </c>
      <c r="D86" s="6" t="n">
        <v>0</v>
      </c>
      <c r="E86" s="6" t="n">
        <v>0</v>
      </c>
      <c r="F86" s="6" t="n">
        <v>1</v>
      </c>
      <c r="G86" s="6" t="n">
        <v>1</v>
      </c>
      <c r="H86" s="6" t="n">
        <v>1</v>
      </c>
      <c r="I86" s="6" t="n">
        <v>1</v>
      </c>
      <c r="J86" s="6" t="n">
        <v>2</v>
      </c>
      <c r="K86" s="6" t="n">
        <v>0</v>
      </c>
      <c r="L86" s="6" t="n">
        <v>0</v>
      </c>
      <c r="M86" s="6" t="n">
        <v>0</v>
      </c>
      <c r="N86" s="6" t="n">
        <v>0</v>
      </c>
      <c r="O86" s="6" t="n">
        <v>0</v>
      </c>
      <c r="P86" s="6" t="n">
        <v>0</v>
      </c>
      <c r="Q86" s="6" t="n">
        <v>0</v>
      </c>
      <c r="R86" s="6" t="n">
        <v>0</v>
      </c>
      <c r="S86" s="6" t="n">
        <v>0</v>
      </c>
      <c r="T86" s="6" t="n">
        <v>1</v>
      </c>
      <c r="U86" s="6" t="n">
        <v>1</v>
      </c>
      <c r="V86" s="6" t="n">
        <v>1</v>
      </c>
      <c r="W86" s="6" t="n">
        <v>0</v>
      </c>
      <c r="X86" s="6" t="n">
        <v>0</v>
      </c>
      <c r="Y86" s="6" t="n">
        <v>0</v>
      </c>
      <c r="Z86" s="6" t="n">
        <v>0</v>
      </c>
      <c r="AA86" s="6" t="n">
        <v>0</v>
      </c>
      <c r="AB86" s="6">
        <f>SUM(D86:AA86)</f>
        <v/>
      </c>
      <c r="AC86" s="3" t="inlineStr"/>
      <c r="AD86" s="7">
        <f>AA86*0.0042847645+D86*0.0008569529</f>
        <v/>
      </c>
      <c r="AE86" s="7">
        <f>D86*0.0042847645+E86*0.0008569529</f>
        <v/>
      </c>
      <c r="AF86" s="7">
        <f>E86*0.0042847645+F86*0.0008569529</f>
        <v/>
      </c>
      <c r="AG86" s="7">
        <f>F86*0.0042847645+G86*0.0008569529</f>
        <v/>
      </c>
      <c r="AH86" s="7">
        <f>G86*0.0042847645+H86*0.0008569529</f>
        <v/>
      </c>
      <c r="AI86" s="7">
        <f>H86*0.0042847645+I86*0.0008569529</f>
        <v/>
      </c>
      <c r="AJ86" s="7">
        <f>I86*0.0042847645+J86*0.0008569529</f>
        <v/>
      </c>
      <c r="AK86" s="7">
        <f>J86*0.0042847645+K86*0.0008569529</f>
        <v/>
      </c>
      <c r="AL86" s="7">
        <f>K86*0.0042847645+L86*0.0008569529</f>
        <v/>
      </c>
      <c r="AM86" s="7">
        <f>L86*0.0042847645+M86*0.0008569529</f>
        <v/>
      </c>
      <c r="AN86" s="7">
        <f>M86*0.0042847645+N86*0.0008569529</f>
        <v/>
      </c>
      <c r="AO86" s="7">
        <f>N86*0.0042847645+O86*0.0008569529</f>
        <v/>
      </c>
      <c r="AP86" s="7">
        <f>O86*0.0042847645+P86*0.0008569529</f>
        <v/>
      </c>
      <c r="AQ86" s="7">
        <f>P86*0.0042847645+Q86*0.0008569529</f>
        <v/>
      </c>
      <c r="AR86" s="7">
        <f>Q86*0.0042847645+R86*0.0008569529</f>
        <v/>
      </c>
      <c r="AS86" s="7">
        <f>R86*0.0042847645+S86*0.0008569529</f>
        <v/>
      </c>
      <c r="AT86" s="7">
        <f>S86*0.0042847645+T86*0.0008569529</f>
        <v/>
      </c>
      <c r="AU86" s="7">
        <f>T86*0.0042847645+U86*0.0008569529</f>
        <v/>
      </c>
      <c r="AV86" s="7">
        <f>U86*0.0042847645+V86*0.0008569529</f>
        <v/>
      </c>
      <c r="AW86" s="7">
        <f>V86*0.0042847645+W86*0.0008569529</f>
        <v/>
      </c>
      <c r="AX86" s="7">
        <f>W86*0.0042847645+X86*0.0008569529</f>
        <v/>
      </c>
      <c r="AY86" s="7">
        <f>X86*0.0042847645+Y86*0.0008569529</f>
        <v/>
      </c>
      <c r="AZ86" s="7">
        <f>Y86*0.0042847645+Z86*0.0008569529</f>
        <v/>
      </c>
      <c r="BA86" s="7">
        <f>Z86*0.0042847645+AA86*0.0008569529</f>
        <v/>
      </c>
      <c r="BB86" s="7">
        <f>SUM(AD86:BA86)</f>
        <v/>
      </c>
    </row>
    <row r="87">
      <c r="A87" t="inlineStr">
        <is>
          <t>AMD-RTS-RCLS-1302-SSC</t>
        </is>
      </c>
      <c r="B87" t="inlineStr">
        <is>
          <t>Rev OSC</t>
        </is>
      </c>
      <c r="C87" s="5" t="n">
        <v>46090</v>
      </c>
      <c r="D87" s="6" t="n">
        <v>0</v>
      </c>
      <c r="E87" s="6" t="n">
        <v>0</v>
      </c>
      <c r="F87" s="6" t="n">
        <v>0</v>
      </c>
      <c r="G87" s="6" t="n">
        <v>0</v>
      </c>
      <c r="H87" s="6" t="n">
        <v>1</v>
      </c>
      <c r="I87" s="6" t="n">
        <v>0</v>
      </c>
      <c r="J87" s="6" t="n">
        <v>0</v>
      </c>
      <c r="K87" s="6" t="n">
        <v>0</v>
      </c>
      <c r="L87" s="6" t="n">
        <v>0</v>
      </c>
      <c r="M87" s="6" t="n">
        <v>0</v>
      </c>
      <c r="N87" s="6" t="n">
        <v>0</v>
      </c>
      <c r="O87" s="6" t="n">
        <v>0</v>
      </c>
      <c r="P87" s="6" t="n">
        <v>0</v>
      </c>
      <c r="Q87" s="6" t="n">
        <v>0</v>
      </c>
      <c r="R87" s="6" t="n">
        <v>0</v>
      </c>
      <c r="S87" s="6" t="n">
        <v>0</v>
      </c>
      <c r="T87" s="6" t="n">
        <v>0</v>
      </c>
      <c r="U87" s="6" t="n">
        <v>0</v>
      </c>
      <c r="V87" s="6" t="n">
        <v>0</v>
      </c>
      <c r="W87" s="6" t="n">
        <v>0</v>
      </c>
      <c r="X87" s="6" t="n">
        <v>0</v>
      </c>
      <c r="Y87" s="6" t="n">
        <v>1</v>
      </c>
      <c r="Z87" s="6" t="n">
        <v>0</v>
      </c>
      <c r="AA87" s="6" t="n">
        <v>0</v>
      </c>
      <c r="AB87" s="6">
        <f>SUM(D87:AA87)</f>
        <v/>
      </c>
      <c r="AC87" s="3" t="inlineStr"/>
      <c r="AD87" s="7">
        <f>AA87*0.0042847645+D87*0.0008569529</f>
        <v/>
      </c>
      <c r="AE87" s="7">
        <f>D87*0.0042847645+E87*0.0008569529</f>
        <v/>
      </c>
      <c r="AF87" s="7">
        <f>E87*0.0042847645+F87*0.0008569529</f>
        <v/>
      </c>
      <c r="AG87" s="7">
        <f>F87*0.0042847645+G87*0.0008569529</f>
        <v/>
      </c>
      <c r="AH87" s="7">
        <f>G87*0.0042847645+H87*0.0008569529</f>
        <v/>
      </c>
      <c r="AI87" s="7">
        <f>H87*0.0042847645+I87*0.0008569529</f>
        <v/>
      </c>
      <c r="AJ87" s="7">
        <f>I87*0.0042847645+J87*0.0008569529</f>
        <v/>
      </c>
      <c r="AK87" s="7">
        <f>J87*0.0042847645+K87*0.0008569529</f>
        <v/>
      </c>
      <c r="AL87" s="7">
        <f>K87*0.0042847645+L87*0.0008569529</f>
        <v/>
      </c>
      <c r="AM87" s="7">
        <f>L87*0.0042847645+M87*0.0008569529</f>
        <v/>
      </c>
      <c r="AN87" s="7">
        <f>M87*0.0042847645+N87*0.0008569529</f>
        <v/>
      </c>
      <c r="AO87" s="7">
        <f>N87*0.0042847645+O87*0.0008569529</f>
        <v/>
      </c>
      <c r="AP87" s="7">
        <f>O87*0.0042847645+P87*0.0008569529</f>
        <v/>
      </c>
      <c r="AQ87" s="7">
        <f>P87*0.0042847645+Q87*0.0008569529</f>
        <v/>
      </c>
      <c r="AR87" s="7">
        <f>Q87*0.0042847645+R87*0.0008569529</f>
        <v/>
      </c>
      <c r="AS87" s="7">
        <f>R87*0.0042847645+S87*0.0008569529</f>
        <v/>
      </c>
      <c r="AT87" s="7">
        <f>S87*0.0042847645+T87*0.0008569529</f>
        <v/>
      </c>
      <c r="AU87" s="7">
        <f>T87*0.0042847645+U87*0.0008569529</f>
        <v/>
      </c>
      <c r="AV87" s="7">
        <f>U87*0.0042847645+V87*0.0008569529</f>
        <v/>
      </c>
      <c r="AW87" s="7">
        <f>V87*0.0042847645+W87*0.0008569529</f>
        <v/>
      </c>
      <c r="AX87" s="7">
        <f>W87*0.0042847645+X87*0.0008569529</f>
        <v/>
      </c>
      <c r="AY87" s="7">
        <f>X87*0.0042847645+Y87*0.0008569529</f>
        <v/>
      </c>
      <c r="AZ87" s="7">
        <f>Y87*0.0042847645+Z87*0.0008569529</f>
        <v/>
      </c>
      <c r="BA87" s="7">
        <f>Z87*0.0042847645+AA87*0.0008569529</f>
        <v/>
      </c>
      <c r="BB87" s="7">
        <f>SUM(AD87:BA87)</f>
        <v/>
      </c>
    </row>
    <row r="88">
      <c r="A88" t="inlineStr">
        <is>
          <t>AMD-RTS-RCLS-1302-SSC</t>
        </is>
      </c>
      <c r="B88" t="inlineStr">
        <is>
          <t>Rev OSC</t>
        </is>
      </c>
      <c r="C88" s="5" t="n">
        <v>46092</v>
      </c>
      <c r="D88" s="6" t="n">
        <v>0</v>
      </c>
      <c r="E88" s="6" t="n">
        <v>0</v>
      </c>
      <c r="F88" s="6" t="n">
        <v>1</v>
      </c>
      <c r="G88" s="6" t="n">
        <v>0</v>
      </c>
      <c r="H88" s="6" t="n">
        <v>0</v>
      </c>
      <c r="I88" s="6" t="n">
        <v>0</v>
      </c>
      <c r="J88" s="6" t="n">
        <v>0</v>
      </c>
      <c r="K88" s="6" t="n">
        <v>0</v>
      </c>
      <c r="L88" s="6" t="n">
        <v>0</v>
      </c>
      <c r="M88" s="6" t="n">
        <v>0</v>
      </c>
      <c r="N88" s="6" t="n">
        <v>0</v>
      </c>
      <c r="O88" s="6" t="n">
        <v>1</v>
      </c>
      <c r="P88" s="6" t="n">
        <v>0</v>
      </c>
      <c r="Q88" s="6" t="n">
        <v>0</v>
      </c>
      <c r="R88" s="6" t="n">
        <v>1</v>
      </c>
      <c r="S88" s="6" t="n">
        <v>0</v>
      </c>
      <c r="T88" s="6" t="n">
        <v>0</v>
      </c>
      <c r="U88" s="6" t="n">
        <v>1</v>
      </c>
      <c r="V88" s="6" t="n">
        <v>1</v>
      </c>
      <c r="W88" s="6" t="n">
        <v>1</v>
      </c>
      <c r="X88" s="6" t="n">
        <v>2</v>
      </c>
      <c r="Y88" s="6" t="n">
        <v>1</v>
      </c>
      <c r="Z88" s="6" t="n">
        <v>0</v>
      </c>
      <c r="AA88" s="6" t="n">
        <v>0</v>
      </c>
      <c r="AB88" s="6">
        <f>SUM(D88:AA88)</f>
        <v/>
      </c>
      <c r="AC88" s="3" t="inlineStr"/>
      <c r="AD88" s="7">
        <f>AA88*0.0042847645+D88*0.0008569529</f>
        <v/>
      </c>
      <c r="AE88" s="7">
        <f>D88*0.0042847645+E88*0.0008569529</f>
        <v/>
      </c>
      <c r="AF88" s="7">
        <f>E88*0.0042847645+F88*0.0008569529</f>
        <v/>
      </c>
      <c r="AG88" s="7">
        <f>F88*0.0042847645+G88*0.0008569529</f>
        <v/>
      </c>
      <c r="AH88" s="7">
        <f>G88*0.0042847645+H88*0.0008569529</f>
        <v/>
      </c>
      <c r="AI88" s="7">
        <f>H88*0.0042847645+I88*0.0008569529</f>
        <v/>
      </c>
      <c r="AJ88" s="7">
        <f>I88*0.0042847645+J88*0.0008569529</f>
        <v/>
      </c>
      <c r="AK88" s="7">
        <f>J88*0.0042847645+K88*0.0008569529</f>
        <v/>
      </c>
      <c r="AL88" s="7">
        <f>K88*0.0042847645+L88*0.0008569529</f>
        <v/>
      </c>
      <c r="AM88" s="7">
        <f>L88*0.0042847645+M88*0.0008569529</f>
        <v/>
      </c>
      <c r="AN88" s="7">
        <f>M88*0.0042847645+N88*0.0008569529</f>
        <v/>
      </c>
      <c r="AO88" s="7">
        <f>N88*0.0042847645+O88*0.0008569529</f>
        <v/>
      </c>
      <c r="AP88" s="7">
        <f>O88*0.0042847645+P88*0.0008569529</f>
        <v/>
      </c>
      <c r="AQ88" s="7">
        <f>P88*0.0042847645+Q88*0.0008569529</f>
        <v/>
      </c>
      <c r="AR88" s="7">
        <f>Q88*0.0042847645+R88*0.0008569529</f>
        <v/>
      </c>
      <c r="AS88" s="7">
        <f>R88*0.0042847645+S88*0.0008569529</f>
        <v/>
      </c>
      <c r="AT88" s="7">
        <f>S88*0.0042847645+T88*0.0008569529</f>
        <v/>
      </c>
      <c r="AU88" s="7">
        <f>T88*0.0042847645+U88*0.0008569529</f>
        <v/>
      </c>
      <c r="AV88" s="7">
        <f>U88*0.0042847645+V88*0.0008569529</f>
        <v/>
      </c>
      <c r="AW88" s="7">
        <f>V88*0.0042847645+W88*0.0008569529</f>
        <v/>
      </c>
      <c r="AX88" s="7">
        <f>W88*0.0042847645+X88*0.0008569529</f>
        <v/>
      </c>
      <c r="AY88" s="7">
        <f>X88*0.0042847645+Y88*0.0008569529</f>
        <v/>
      </c>
      <c r="AZ88" s="7">
        <f>Y88*0.0042847645+Z88*0.0008569529</f>
        <v/>
      </c>
      <c r="BA88" s="7">
        <f>Z88*0.0042847645+AA88*0.0008569529</f>
        <v/>
      </c>
      <c r="BB88" s="7">
        <f>SUM(AD88:BA88)</f>
        <v/>
      </c>
    </row>
    <row r="89">
      <c r="A89" t="inlineStr">
        <is>
          <t>AMD-RTS-RCLS-1302-SSC</t>
        </is>
      </c>
      <c r="B89" t="inlineStr">
        <is>
          <t>Rev OSC</t>
        </is>
      </c>
      <c r="C89" s="5" t="n">
        <v>46093</v>
      </c>
      <c r="D89" s="6" t="n">
        <v>1</v>
      </c>
      <c r="E89" s="6" t="n">
        <v>0</v>
      </c>
      <c r="F89" s="6" t="n">
        <v>1</v>
      </c>
      <c r="G89" s="6" t="n">
        <v>1</v>
      </c>
      <c r="H89" s="6" t="n">
        <v>1</v>
      </c>
      <c r="I89" s="6" t="n">
        <v>1</v>
      </c>
      <c r="J89" s="6" t="n">
        <v>3</v>
      </c>
      <c r="K89" s="6" t="n">
        <v>0</v>
      </c>
      <c r="L89" s="6" t="n">
        <v>1</v>
      </c>
      <c r="M89" s="6" t="n">
        <v>1</v>
      </c>
      <c r="N89" s="6" t="n">
        <v>1</v>
      </c>
      <c r="O89" s="6" t="n">
        <v>0</v>
      </c>
      <c r="P89" s="6" t="n">
        <v>0</v>
      </c>
      <c r="Q89" s="6" t="n">
        <v>0</v>
      </c>
      <c r="R89" s="6" t="n">
        <v>2</v>
      </c>
      <c r="S89" s="6" t="n">
        <v>1</v>
      </c>
      <c r="T89" s="6" t="n">
        <v>0</v>
      </c>
      <c r="U89" s="6" t="n">
        <v>0</v>
      </c>
      <c r="V89" s="6" t="n">
        <v>1</v>
      </c>
      <c r="W89" s="6" t="n">
        <v>0</v>
      </c>
      <c r="X89" s="6" t="n">
        <v>1</v>
      </c>
      <c r="Y89" s="6" t="n">
        <v>2</v>
      </c>
      <c r="Z89" s="6" t="n">
        <v>0</v>
      </c>
      <c r="AA89" s="6" t="n">
        <v>0</v>
      </c>
      <c r="AB89" s="6">
        <f>SUM(D89:AA89)</f>
        <v/>
      </c>
      <c r="AC89" s="3" t="inlineStr"/>
      <c r="AD89" s="7">
        <f>AA89*0.0042847645+D89*0.0008569529</f>
        <v/>
      </c>
      <c r="AE89" s="7">
        <f>D89*0.0042847645+E89*0.0008569529</f>
        <v/>
      </c>
      <c r="AF89" s="7">
        <f>E89*0.0042847645+F89*0.0008569529</f>
        <v/>
      </c>
      <c r="AG89" s="7">
        <f>F89*0.0042847645+G89*0.0008569529</f>
        <v/>
      </c>
      <c r="AH89" s="7">
        <f>G89*0.0042847645+H89*0.0008569529</f>
        <v/>
      </c>
      <c r="AI89" s="7">
        <f>H89*0.0042847645+I89*0.0008569529</f>
        <v/>
      </c>
      <c r="AJ89" s="7">
        <f>I89*0.0042847645+J89*0.0008569529</f>
        <v/>
      </c>
      <c r="AK89" s="7">
        <f>J89*0.0042847645+K89*0.0008569529</f>
        <v/>
      </c>
      <c r="AL89" s="7">
        <f>K89*0.0042847645+L89*0.0008569529</f>
        <v/>
      </c>
      <c r="AM89" s="7">
        <f>L89*0.0042847645+M89*0.0008569529</f>
        <v/>
      </c>
      <c r="AN89" s="7">
        <f>M89*0.0042847645+N89*0.0008569529</f>
        <v/>
      </c>
      <c r="AO89" s="7">
        <f>N89*0.0042847645+O89*0.0008569529</f>
        <v/>
      </c>
      <c r="AP89" s="7">
        <f>O89*0.0042847645+P89*0.0008569529</f>
        <v/>
      </c>
      <c r="AQ89" s="7">
        <f>P89*0.0042847645+Q89*0.0008569529</f>
        <v/>
      </c>
      <c r="AR89" s="7">
        <f>Q89*0.0042847645+R89*0.0008569529</f>
        <v/>
      </c>
      <c r="AS89" s="7">
        <f>R89*0.0042847645+S89*0.0008569529</f>
        <v/>
      </c>
      <c r="AT89" s="7">
        <f>S89*0.0042847645+T89*0.0008569529</f>
        <v/>
      </c>
      <c r="AU89" s="7">
        <f>T89*0.0042847645+U89*0.0008569529</f>
        <v/>
      </c>
      <c r="AV89" s="7">
        <f>U89*0.0042847645+V89*0.0008569529</f>
        <v/>
      </c>
      <c r="AW89" s="7">
        <f>V89*0.0042847645+W89*0.0008569529</f>
        <v/>
      </c>
      <c r="AX89" s="7">
        <f>W89*0.0042847645+X89*0.0008569529</f>
        <v/>
      </c>
      <c r="AY89" s="7">
        <f>X89*0.0042847645+Y89*0.0008569529</f>
        <v/>
      </c>
      <c r="AZ89" s="7">
        <f>Y89*0.0042847645+Z89*0.0008569529</f>
        <v/>
      </c>
      <c r="BA89" s="7">
        <f>Z89*0.0042847645+AA89*0.0008569529</f>
        <v/>
      </c>
      <c r="BB89" s="7">
        <f>SUM(AD89:BA89)</f>
        <v/>
      </c>
    </row>
    <row r="90">
      <c r="A90" t="inlineStr">
        <is>
          <t>AMD-RTS-RCLS-1302-SSC</t>
        </is>
      </c>
      <c r="B90" t="inlineStr">
        <is>
          <t>Rev OSC</t>
        </is>
      </c>
      <c r="C90" s="5" t="n">
        <v>46094</v>
      </c>
      <c r="D90" s="6" t="n">
        <v>1</v>
      </c>
      <c r="E90" s="6" t="n">
        <v>1</v>
      </c>
      <c r="F90" s="6" t="n">
        <v>1</v>
      </c>
      <c r="G90" s="6" t="n">
        <v>1</v>
      </c>
      <c r="H90" s="6" t="n">
        <v>1</v>
      </c>
      <c r="I90" s="6" t="n">
        <v>1</v>
      </c>
      <c r="J90" s="6" t="n">
        <v>3</v>
      </c>
      <c r="K90" s="6" t="n">
        <v>0</v>
      </c>
      <c r="L90" s="6" t="n">
        <v>0</v>
      </c>
      <c r="M90" s="6" t="n">
        <v>0</v>
      </c>
      <c r="N90" s="6" t="n">
        <v>0</v>
      </c>
      <c r="O90" s="6" t="n">
        <v>0</v>
      </c>
      <c r="P90" s="6" t="n">
        <v>0</v>
      </c>
      <c r="Q90" s="6" t="n">
        <v>0</v>
      </c>
      <c r="R90" s="6" t="n">
        <v>1</v>
      </c>
      <c r="S90" s="6" t="n">
        <v>1</v>
      </c>
      <c r="T90" s="6" t="n">
        <v>0</v>
      </c>
      <c r="U90" s="6" t="n">
        <v>1</v>
      </c>
      <c r="V90" s="6" t="n">
        <v>1</v>
      </c>
      <c r="W90" s="6" t="n">
        <v>1</v>
      </c>
      <c r="X90" s="6" t="n">
        <v>1</v>
      </c>
      <c r="Y90" s="6" t="n">
        <v>2</v>
      </c>
      <c r="Z90" s="6" t="n">
        <v>0</v>
      </c>
      <c r="AA90" s="6" t="n">
        <v>0</v>
      </c>
      <c r="AB90" s="6">
        <f>SUM(D90:AA90)</f>
        <v/>
      </c>
      <c r="AC90" s="3" t="inlineStr"/>
      <c r="AD90" s="7">
        <f>AA90*0.0042847645+D90*0.0008569529</f>
        <v/>
      </c>
      <c r="AE90" s="7">
        <f>D90*0.0042847645+E90*0.0008569529</f>
        <v/>
      </c>
      <c r="AF90" s="7">
        <f>E90*0.0042847645+F90*0.0008569529</f>
        <v/>
      </c>
      <c r="AG90" s="7">
        <f>F90*0.0042847645+G90*0.0008569529</f>
        <v/>
      </c>
      <c r="AH90" s="7">
        <f>G90*0.0042847645+H90*0.0008569529</f>
        <v/>
      </c>
      <c r="AI90" s="7">
        <f>H90*0.0042847645+I90*0.0008569529</f>
        <v/>
      </c>
      <c r="AJ90" s="7">
        <f>I90*0.0042847645+J90*0.0008569529</f>
        <v/>
      </c>
      <c r="AK90" s="7">
        <f>J90*0.0042847645+K90*0.0008569529</f>
        <v/>
      </c>
      <c r="AL90" s="7">
        <f>K90*0.0042847645+L90*0.0008569529</f>
        <v/>
      </c>
      <c r="AM90" s="7">
        <f>L90*0.0042847645+M90*0.0008569529</f>
        <v/>
      </c>
      <c r="AN90" s="7">
        <f>M90*0.0042847645+N90*0.0008569529</f>
        <v/>
      </c>
      <c r="AO90" s="7">
        <f>N90*0.0042847645+O90*0.0008569529</f>
        <v/>
      </c>
      <c r="AP90" s="7">
        <f>O90*0.0042847645+P90*0.0008569529</f>
        <v/>
      </c>
      <c r="AQ90" s="7">
        <f>P90*0.0042847645+Q90*0.0008569529</f>
        <v/>
      </c>
      <c r="AR90" s="7">
        <f>Q90*0.0042847645+R90*0.0008569529</f>
        <v/>
      </c>
      <c r="AS90" s="7">
        <f>R90*0.0042847645+S90*0.0008569529</f>
        <v/>
      </c>
      <c r="AT90" s="7">
        <f>S90*0.0042847645+T90*0.0008569529</f>
        <v/>
      </c>
      <c r="AU90" s="7">
        <f>T90*0.0042847645+U90*0.0008569529</f>
        <v/>
      </c>
      <c r="AV90" s="7">
        <f>U90*0.0042847645+V90*0.0008569529</f>
        <v/>
      </c>
      <c r="AW90" s="7">
        <f>V90*0.0042847645+W90*0.0008569529</f>
        <v/>
      </c>
      <c r="AX90" s="7">
        <f>W90*0.0042847645+X90*0.0008569529</f>
        <v/>
      </c>
      <c r="AY90" s="7">
        <f>X90*0.0042847645+Y90*0.0008569529</f>
        <v/>
      </c>
      <c r="AZ90" s="7">
        <f>Y90*0.0042847645+Z90*0.0008569529</f>
        <v/>
      </c>
      <c r="BA90" s="7">
        <f>Z90*0.0042847645+AA90*0.0008569529</f>
        <v/>
      </c>
      <c r="BB90" s="7">
        <f>SUM(AD90:BA90)</f>
        <v/>
      </c>
    </row>
    <row r="91">
      <c r="A91" t="inlineStr">
        <is>
          <t>AMD-RTS-RCLS-1302-SSC</t>
        </is>
      </c>
      <c r="B91" t="inlineStr">
        <is>
          <t>Rev OSC</t>
        </is>
      </c>
      <c r="C91" s="5" t="n">
        <v>46095</v>
      </c>
      <c r="D91" s="6" t="n">
        <v>0</v>
      </c>
      <c r="E91" s="6" t="n">
        <v>0</v>
      </c>
      <c r="F91" s="6" t="n">
        <v>0</v>
      </c>
      <c r="G91" s="6" t="n">
        <v>1</v>
      </c>
      <c r="H91" s="6" t="n">
        <v>0</v>
      </c>
      <c r="I91" s="6" t="n">
        <v>1</v>
      </c>
      <c r="J91" s="6" t="n">
        <v>1</v>
      </c>
      <c r="K91" s="6" t="n">
        <v>0</v>
      </c>
      <c r="L91" s="6" t="n">
        <v>0</v>
      </c>
      <c r="M91" s="6" t="n">
        <v>0</v>
      </c>
      <c r="N91" s="6" t="n">
        <v>0</v>
      </c>
      <c r="O91" s="6" t="n">
        <v>0</v>
      </c>
      <c r="P91" s="6" t="n">
        <v>0</v>
      </c>
      <c r="Q91" s="6" t="n">
        <v>0</v>
      </c>
      <c r="R91" s="6" t="n">
        <v>1</v>
      </c>
      <c r="S91" s="6" t="n">
        <v>2</v>
      </c>
      <c r="T91" s="6" t="n">
        <v>1</v>
      </c>
      <c r="U91" s="6" t="n">
        <v>1</v>
      </c>
      <c r="V91" s="6" t="n">
        <v>1</v>
      </c>
      <c r="W91" s="6" t="n">
        <v>2</v>
      </c>
      <c r="X91" s="6" t="n">
        <v>1</v>
      </c>
      <c r="Y91" s="6" t="n">
        <v>1</v>
      </c>
      <c r="Z91" s="6" t="n">
        <v>0</v>
      </c>
      <c r="AA91" s="6" t="n">
        <v>0</v>
      </c>
      <c r="AB91" s="6">
        <f>SUM(D91:AA91)</f>
        <v/>
      </c>
      <c r="AC91" s="3" t="inlineStr"/>
      <c r="AD91" s="7">
        <f>AA91*0.0042847645+D91*0.0008569529</f>
        <v/>
      </c>
      <c r="AE91" s="7">
        <f>D91*0.0042847645+E91*0.0008569529</f>
        <v/>
      </c>
      <c r="AF91" s="7">
        <f>E91*0.0042847645+F91*0.0008569529</f>
        <v/>
      </c>
      <c r="AG91" s="7">
        <f>F91*0.0042847645+G91*0.0008569529</f>
        <v/>
      </c>
      <c r="AH91" s="7">
        <f>G91*0.0042847645+H91*0.0008569529</f>
        <v/>
      </c>
      <c r="AI91" s="7">
        <f>H91*0.0042847645+I91*0.0008569529</f>
        <v/>
      </c>
      <c r="AJ91" s="7">
        <f>I91*0.0042847645+J91*0.0008569529</f>
        <v/>
      </c>
      <c r="AK91" s="7">
        <f>J91*0.0042847645+K91*0.0008569529</f>
        <v/>
      </c>
      <c r="AL91" s="7">
        <f>K91*0.0042847645+L91*0.0008569529</f>
        <v/>
      </c>
      <c r="AM91" s="7">
        <f>L91*0.0042847645+M91*0.0008569529</f>
        <v/>
      </c>
      <c r="AN91" s="7">
        <f>M91*0.0042847645+N91*0.0008569529</f>
        <v/>
      </c>
      <c r="AO91" s="7">
        <f>N91*0.0042847645+O91*0.0008569529</f>
        <v/>
      </c>
      <c r="AP91" s="7">
        <f>O91*0.0042847645+P91*0.0008569529</f>
        <v/>
      </c>
      <c r="AQ91" s="7">
        <f>P91*0.0042847645+Q91*0.0008569529</f>
        <v/>
      </c>
      <c r="AR91" s="7">
        <f>Q91*0.0042847645+R91*0.0008569529</f>
        <v/>
      </c>
      <c r="AS91" s="7">
        <f>R91*0.0042847645+S91*0.0008569529</f>
        <v/>
      </c>
      <c r="AT91" s="7">
        <f>S91*0.0042847645+T91*0.0008569529</f>
        <v/>
      </c>
      <c r="AU91" s="7">
        <f>T91*0.0042847645+U91*0.0008569529</f>
        <v/>
      </c>
      <c r="AV91" s="7">
        <f>U91*0.0042847645+V91*0.0008569529</f>
        <v/>
      </c>
      <c r="AW91" s="7">
        <f>V91*0.0042847645+W91*0.0008569529</f>
        <v/>
      </c>
      <c r="AX91" s="7">
        <f>W91*0.0042847645+X91*0.0008569529</f>
        <v/>
      </c>
      <c r="AY91" s="7">
        <f>X91*0.0042847645+Y91*0.0008569529</f>
        <v/>
      </c>
      <c r="AZ91" s="7">
        <f>Y91*0.0042847645+Z91*0.0008569529</f>
        <v/>
      </c>
      <c r="BA91" s="7">
        <f>Z91*0.0042847645+AA91*0.0008569529</f>
        <v/>
      </c>
      <c r="BB91" s="7">
        <f>SUM(AD91:BA91)</f>
        <v/>
      </c>
    </row>
    <row r="92">
      <c r="A92" t="inlineStr">
        <is>
          <t>AMD-RTS-RCLS-1302-SSC</t>
        </is>
      </c>
      <c r="B92" t="inlineStr">
        <is>
          <t>Rev OSC</t>
        </is>
      </c>
      <c r="C92" s="5" t="n">
        <v>46096</v>
      </c>
      <c r="D92" s="6" t="n">
        <v>0</v>
      </c>
      <c r="E92" s="6" t="n">
        <v>0</v>
      </c>
      <c r="F92" s="6" t="n">
        <v>0</v>
      </c>
      <c r="G92" s="6" t="n">
        <v>1</v>
      </c>
      <c r="H92" s="6" t="n">
        <v>0</v>
      </c>
      <c r="I92" s="6" t="n">
        <v>1</v>
      </c>
      <c r="J92" s="6" t="n">
        <v>0</v>
      </c>
      <c r="K92" s="6" t="n">
        <v>0</v>
      </c>
      <c r="L92" s="6" t="n">
        <v>0</v>
      </c>
      <c r="M92" s="6" t="n">
        <v>0</v>
      </c>
      <c r="N92" s="6" t="n">
        <v>0</v>
      </c>
      <c r="O92" s="6" t="n">
        <v>0</v>
      </c>
      <c r="P92" s="6" t="n">
        <v>0</v>
      </c>
      <c r="Q92" s="6" t="n">
        <v>0</v>
      </c>
      <c r="R92" s="6" t="n">
        <v>0</v>
      </c>
      <c r="S92" s="6" t="n">
        <v>2</v>
      </c>
      <c r="T92" s="6" t="n">
        <v>1</v>
      </c>
      <c r="U92" s="6" t="n">
        <v>1</v>
      </c>
      <c r="V92" s="6" t="n">
        <v>0</v>
      </c>
      <c r="W92" s="6" t="n">
        <v>1</v>
      </c>
      <c r="X92" s="6" t="n">
        <v>1</v>
      </c>
      <c r="Y92" s="6" t="n">
        <v>2</v>
      </c>
      <c r="Z92" s="6" t="n">
        <v>0</v>
      </c>
      <c r="AA92" s="6" t="n">
        <v>0</v>
      </c>
      <c r="AB92" s="6">
        <f>SUM(D92:AA92)</f>
        <v/>
      </c>
      <c r="AC92" s="3" t="inlineStr"/>
      <c r="AD92" s="7">
        <f>AA92*0.0042847645+D92*0.0008569529</f>
        <v/>
      </c>
      <c r="AE92" s="7">
        <f>D92*0.0042847645+E92*0.0008569529</f>
        <v/>
      </c>
      <c r="AF92" s="7">
        <f>E92*0.0042847645+F92*0.0008569529</f>
        <v/>
      </c>
      <c r="AG92" s="7">
        <f>F92*0.0042847645+G92*0.0008569529</f>
        <v/>
      </c>
      <c r="AH92" s="7">
        <f>G92*0.0042847645+H92*0.0008569529</f>
        <v/>
      </c>
      <c r="AI92" s="7">
        <f>H92*0.0042847645+I92*0.0008569529</f>
        <v/>
      </c>
      <c r="AJ92" s="7">
        <f>I92*0.0042847645+J92*0.0008569529</f>
        <v/>
      </c>
      <c r="AK92" s="7">
        <f>J92*0.0042847645+K92*0.0008569529</f>
        <v/>
      </c>
      <c r="AL92" s="7">
        <f>K92*0.0042847645+L92*0.0008569529</f>
        <v/>
      </c>
      <c r="AM92" s="7">
        <f>L92*0.0042847645+M92*0.0008569529</f>
        <v/>
      </c>
      <c r="AN92" s="7">
        <f>M92*0.0042847645+N92*0.0008569529</f>
        <v/>
      </c>
      <c r="AO92" s="7">
        <f>N92*0.0042847645+O92*0.0008569529</f>
        <v/>
      </c>
      <c r="AP92" s="7">
        <f>O92*0.0042847645+P92*0.0008569529</f>
        <v/>
      </c>
      <c r="AQ92" s="7">
        <f>P92*0.0042847645+Q92*0.0008569529</f>
        <v/>
      </c>
      <c r="AR92" s="7">
        <f>Q92*0.0042847645+R92*0.0008569529</f>
        <v/>
      </c>
      <c r="AS92" s="7">
        <f>R92*0.0042847645+S92*0.0008569529</f>
        <v/>
      </c>
      <c r="AT92" s="7">
        <f>S92*0.0042847645+T92*0.0008569529</f>
        <v/>
      </c>
      <c r="AU92" s="7">
        <f>T92*0.0042847645+U92*0.0008569529</f>
        <v/>
      </c>
      <c r="AV92" s="7">
        <f>U92*0.0042847645+V92*0.0008569529</f>
        <v/>
      </c>
      <c r="AW92" s="7">
        <f>V92*0.0042847645+W92*0.0008569529</f>
        <v/>
      </c>
      <c r="AX92" s="7">
        <f>W92*0.0042847645+X92*0.0008569529</f>
        <v/>
      </c>
      <c r="AY92" s="7">
        <f>X92*0.0042847645+Y92*0.0008569529</f>
        <v/>
      </c>
      <c r="AZ92" s="7">
        <f>Y92*0.0042847645+Z92*0.0008569529</f>
        <v/>
      </c>
      <c r="BA92" s="7">
        <f>Z92*0.0042847645+AA92*0.0008569529</f>
        <v/>
      </c>
      <c r="BB92" s="7">
        <f>SUM(AD92:BA92)</f>
        <v/>
      </c>
    </row>
    <row r="93">
      <c r="A93" t="inlineStr">
        <is>
          <t>AMD-RTS-RCLS-1302-SSC</t>
        </is>
      </c>
      <c r="B93" t="inlineStr">
        <is>
          <t>Rev OSC</t>
        </is>
      </c>
      <c r="C93" s="5" t="n">
        <v>46097</v>
      </c>
      <c r="D93" s="6" t="n">
        <v>0</v>
      </c>
      <c r="E93" s="6" t="n">
        <v>0</v>
      </c>
      <c r="F93" s="6" t="n">
        <v>0</v>
      </c>
      <c r="G93" s="6" t="n">
        <v>0</v>
      </c>
      <c r="H93" s="6" t="n">
        <v>0</v>
      </c>
      <c r="I93" s="6" t="n">
        <v>0</v>
      </c>
      <c r="J93" s="6" t="n">
        <v>0</v>
      </c>
      <c r="K93" s="6" t="n">
        <v>0</v>
      </c>
      <c r="L93" s="6" t="n">
        <v>0</v>
      </c>
      <c r="M93" s="6" t="n">
        <v>0</v>
      </c>
      <c r="N93" s="6" t="n">
        <v>0</v>
      </c>
      <c r="O93" s="6" t="n">
        <v>0</v>
      </c>
      <c r="P93" s="6" t="n">
        <v>0</v>
      </c>
      <c r="Q93" s="6" t="n">
        <v>0</v>
      </c>
      <c r="R93" s="6" t="n">
        <v>0</v>
      </c>
      <c r="S93" s="6" t="n">
        <v>1</v>
      </c>
      <c r="T93" s="6" t="n">
        <v>0</v>
      </c>
      <c r="U93" s="6" t="n">
        <v>1</v>
      </c>
      <c r="V93" s="6" t="n">
        <v>1</v>
      </c>
      <c r="W93" s="6" t="n">
        <v>0</v>
      </c>
      <c r="X93" s="6" t="n">
        <v>0</v>
      </c>
      <c r="Y93" s="6" t="n">
        <v>0</v>
      </c>
      <c r="Z93" s="6" t="n">
        <v>0</v>
      </c>
      <c r="AA93" s="6" t="n">
        <v>0</v>
      </c>
      <c r="AB93" s="6">
        <f>SUM(D93:AA93)</f>
        <v/>
      </c>
      <c r="AC93" s="3" t="inlineStr"/>
      <c r="AD93" s="7">
        <f>AA93*0.0042847645+D93*0.0008569529</f>
        <v/>
      </c>
      <c r="AE93" s="7">
        <f>D93*0.0042847645+E93*0.0008569529</f>
        <v/>
      </c>
      <c r="AF93" s="7">
        <f>E93*0.0042847645+F93*0.0008569529</f>
        <v/>
      </c>
      <c r="AG93" s="7">
        <f>F93*0.0042847645+G93*0.0008569529</f>
        <v/>
      </c>
      <c r="AH93" s="7">
        <f>G93*0.0042847645+H93*0.0008569529</f>
        <v/>
      </c>
      <c r="AI93" s="7">
        <f>H93*0.0042847645+I93*0.0008569529</f>
        <v/>
      </c>
      <c r="AJ93" s="7">
        <f>I93*0.0042847645+J93*0.0008569529</f>
        <v/>
      </c>
      <c r="AK93" s="7">
        <f>J93*0.0042847645+K93*0.0008569529</f>
        <v/>
      </c>
      <c r="AL93" s="7">
        <f>K93*0.0042847645+L93*0.0008569529</f>
        <v/>
      </c>
      <c r="AM93" s="7">
        <f>L93*0.0042847645+M93*0.0008569529</f>
        <v/>
      </c>
      <c r="AN93" s="7">
        <f>M93*0.0042847645+N93*0.0008569529</f>
        <v/>
      </c>
      <c r="AO93" s="7">
        <f>N93*0.0042847645+O93*0.0008569529</f>
        <v/>
      </c>
      <c r="AP93" s="7">
        <f>O93*0.0042847645+P93*0.0008569529</f>
        <v/>
      </c>
      <c r="AQ93" s="7">
        <f>P93*0.0042847645+Q93*0.0008569529</f>
        <v/>
      </c>
      <c r="AR93" s="7">
        <f>Q93*0.0042847645+R93*0.0008569529</f>
        <v/>
      </c>
      <c r="AS93" s="7">
        <f>R93*0.0042847645+S93*0.0008569529</f>
        <v/>
      </c>
      <c r="AT93" s="7">
        <f>S93*0.0042847645+T93*0.0008569529</f>
        <v/>
      </c>
      <c r="AU93" s="7">
        <f>T93*0.0042847645+U93*0.0008569529</f>
        <v/>
      </c>
      <c r="AV93" s="7">
        <f>U93*0.0042847645+V93*0.0008569529</f>
        <v/>
      </c>
      <c r="AW93" s="7">
        <f>V93*0.0042847645+W93*0.0008569529</f>
        <v/>
      </c>
      <c r="AX93" s="7">
        <f>W93*0.0042847645+X93*0.0008569529</f>
        <v/>
      </c>
      <c r="AY93" s="7">
        <f>X93*0.0042847645+Y93*0.0008569529</f>
        <v/>
      </c>
      <c r="AZ93" s="7">
        <f>Y93*0.0042847645+Z93*0.0008569529</f>
        <v/>
      </c>
      <c r="BA93" s="7">
        <f>Z93*0.0042847645+AA93*0.0008569529</f>
        <v/>
      </c>
      <c r="BB93" s="7">
        <f>SUM(AD93:BA93)</f>
        <v/>
      </c>
    </row>
    <row r="94">
      <c r="A94" t="inlineStr">
        <is>
          <t>AMD-RTS-RCLS-1302-SSC</t>
        </is>
      </c>
      <c r="B94" t="inlineStr">
        <is>
          <t>Rev OSC</t>
        </is>
      </c>
      <c r="C94" s="5" t="n">
        <v>46100</v>
      </c>
      <c r="D94" s="6" t="n">
        <v>0</v>
      </c>
      <c r="E94" s="6" t="n">
        <v>0</v>
      </c>
      <c r="F94" s="6" t="n">
        <v>0</v>
      </c>
      <c r="G94" s="6" t="n">
        <v>0</v>
      </c>
      <c r="H94" s="6" t="n">
        <v>0</v>
      </c>
      <c r="I94" s="6" t="n">
        <v>0</v>
      </c>
      <c r="J94" s="6" t="n">
        <v>0</v>
      </c>
      <c r="K94" s="6" t="n">
        <v>0</v>
      </c>
      <c r="L94" s="6" t="n">
        <v>0</v>
      </c>
      <c r="M94" s="6" t="n">
        <v>0</v>
      </c>
      <c r="N94" s="6" t="n">
        <v>0</v>
      </c>
      <c r="O94" s="6" t="n">
        <v>0</v>
      </c>
      <c r="P94" s="6" t="n">
        <v>0</v>
      </c>
      <c r="Q94" s="6" t="n">
        <v>0</v>
      </c>
      <c r="R94" s="6" t="n">
        <v>1</v>
      </c>
      <c r="S94" s="6" t="n">
        <v>1</v>
      </c>
      <c r="T94" s="6" t="n">
        <v>0</v>
      </c>
      <c r="U94" s="6" t="n">
        <v>1</v>
      </c>
      <c r="V94" s="6" t="n">
        <v>1</v>
      </c>
      <c r="W94" s="6" t="n">
        <v>3</v>
      </c>
      <c r="X94" s="6" t="n">
        <v>1</v>
      </c>
      <c r="Y94" s="6" t="n">
        <v>3</v>
      </c>
      <c r="Z94" s="6" t="n">
        <v>0</v>
      </c>
      <c r="AA94" s="6" t="n">
        <v>0</v>
      </c>
      <c r="AB94" s="6">
        <f>SUM(D94:AA94)</f>
        <v/>
      </c>
      <c r="AC94" s="3" t="inlineStr"/>
      <c r="AD94" s="7">
        <f>AA94*0.0042847645+D94*0.0008569529</f>
        <v/>
      </c>
      <c r="AE94" s="7">
        <f>D94*0.0042847645+E94*0.0008569529</f>
        <v/>
      </c>
      <c r="AF94" s="7">
        <f>E94*0.0042847645+F94*0.0008569529</f>
        <v/>
      </c>
      <c r="AG94" s="7">
        <f>F94*0.0042847645+G94*0.0008569529</f>
        <v/>
      </c>
      <c r="AH94" s="7">
        <f>G94*0.0042847645+H94*0.0008569529</f>
        <v/>
      </c>
      <c r="AI94" s="7">
        <f>H94*0.0042847645+I94*0.0008569529</f>
        <v/>
      </c>
      <c r="AJ94" s="7">
        <f>I94*0.0042847645+J94*0.0008569529</f>
        <v/>
      </c>
      <c r="AK94" s="7">
        <f>J94*0.0042847645+K94*0.0008569529</f>
        <v/>
      </c>
      <c r="AL94" s="7">
        <f>K94*0.0042847645+L94*0.0008569529</f>
        <v/>
      </c>
      <c r="AM94" s="7">
        <f>L94*0.0042847645+M94*0.0008569529</f>
        <v/>
      </c>
      <c r="AN94" s="7">
        <f>M94*0.0042847645+N94*0.0008569529</f>
        <v/>
      </c>
      <c r="AO94" s="7">
        <f>N94*0.0042847645+O94*0.0008569529</f>
        <v/>
      </c>
      <c r="AP94" s="7">
        <f>O94*0.0042847645+P94*0.0008569529</f>
        <v/>
      </c>
      <c r="AQ94" s="7">
        <f>P94*0.0042847645+Q94*0.0008569529</f>
        <v/>
      </c>
      <c r="AR94" s="7">
        <f>Q94*0.0042847645+R94*0.0008569529</f>
        <v/>
      </c>
      <c r="AS94" s="7">
        <f>R94*0.0042847645+S94*0.0008569529</f>
        <v/>
      </c>
      <c r="AT94" s="7">
        <f>S94*0.0042847645+T94*0.0008569529</f>
        <v/>
      </c>
      <c r="AU94" s="7">
        <f>T94*0.0042847645+U94*0.0008569529</f>
        <v/>
      </c>
      <c r="AV94" s="7">
        <f>U94*0.0042847645+V94*0.0008569529</f>
        <v/>
      </c>
      <c r="AW94" s="7">
        <f>V94*0.0042847645+W94*0.0008569529</f>
        <v/>
      </c>
      <c r="AX94" s="7">
        <f>W94*0.0042847645+X94*0.0008569529</f>
        <v/>
      </c>
      <c r="AY94" s="7">
        <f>X94*0.0042847645+Y94*0.0008569529</f>
        <v/>
      </c>
      <c r="AZ94" s="7">
        <f>Y94*0.0042847645+Z94*0.0008569529</f>
        <v/>
      </c>
      <c r="BA94" s="7">
        <f>Z94*0.0042847645+AA94*0.0008569529</f>
        <v/>
      </c>
      <c r="BB94" s="7">
        <f>SUM(AD94:BA94)</f>
        <v/>
      </c>
    </row>
    <row r="95">
      <c r="A95" t="inlineStr">
        <is>
          <t>AMD-RTS-RCLS-1302-SSC</t>
        </is>
      </c>
      <c r="B95" t="inlineStr">
        <is>
          <t>Rev OSC</t>
        </is>
      </c>
      <c r="C95" s="5" t="n">
        <v>46102</v>
      </c>
      <c r="D95" s="6" t="n">
        <v>0</v>
      </c>
      <c r="E95" s="6" t="n">
        <v>0</v>
      </c>
      <c r="F95" s="6" t="n">
        <v>0</v>
      </c>
      <c r="G95" s="6" t="n">
        <v>2</v>
      </c>
      <c r="H95" s="6" t="n">
        <v>1</v>
      </c>
      <c r="I95" s="6" t="n">
        <v>0</v>
      </c>
      <c r="J95" s="6" t="n">
        <v>4</v>
      </c>
      <c r="K95" s="6" t="n">
        <v>0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0</v>
      </c>
      <c r="Q95" s="6" t="n">
        <v>0</v>
      </c>
      <c r="R95" s="6" t="n">
        <v>0</v>
      </c>
      <c r="S95" s="6" t="n">
        <v>2</v>
      </c>
      <c r="T95" s="6" t="n">
        <v>1</v>
      </c>
      <c r="U95" s="6" t="n">
        <v>0</v>
      </c>
      <c r="V95" s="6" t="n">
        <v>1</v>
      </c>
      <c r="W95" s="6" t="n">
        <v>1</v>
      </c>
      <c r="X95" s="6" t="n">
        <v>3</v>
      </c>
      <c r="Y95" s="6" t="n">
        <v>2</v>
      </c>
      <c r="Z95" s="6" t="n">
        <v>0</v>
      </c>
      <c r="AA95" s="6" t="n">
        <v>0</v>
      </c>
      <c r="AB95" s="6">
        <f>SUM(D95:AA95)</f>
        <v/>
      </c>
      <c r="AC95" s="3" t="inlineStr"/>
      <c r="AD95" s="7">
        <f>AA95*0.0042847645+D95*0.0008569529</f>
        <v/>
      </c>
      <c r="AE95" s="7">
        <f>D95*0.0042847645+E95*0.0008569529</f>
        <v/>
      </c>
      <c r="AF95" s="7">
        <f>E95*0.0042847645+F95*0.0008569529</f>
        <v/>
      </c>
      <c r="AG95" s="7">
        <f>F95*0.0042847645+G95*0.0008569529</f>
        <v/>
      </c>
      <c r="AH95" s="7">
        <f>G95*0.0042847645+H95*0.0008569529</f>
        <v/>
      </c>
      <c r="AI95" s="7">
        <f>H95*0.0042847645+I95*0.0008569529</f>
        <v/>
      </c>
      <c r="AJ95" s="7">
        <f>I95*0.0042847645+J95*0.0008569529</f>
        <v/>
      </c>
      <c r="AK95" s="7">
        <f>J95*0.0042847645+K95*0.0008569529</f>
        <v/>
      </c>
      <c r="AL95" s="7">
        <f>K95*0.0042847645+L95*0.0008569529</f>
        <v/>
      </c>
      <c r="AM95" s="7">
        <f>L95*0.0042847645+M95*0.0008569529</f>
        <v/>
      </c>
      <c r="AN95" s="7">
        <f>M95*0.0042847645+N95*0.0008569529</f>
        <v/>
      </c>
      <c r="AO95" s="7">
        <f>N95*0.0042847645+O95*0.0008569529</f>
        <v/>
      </c>
      <c r="AP95" s="7">
        <f>O95*0.0042847645+P95*0.0008569529</f>
        <v/>
      </c>
      <c r="AQ95" s="7">
        <f>P95*0.0042847645+Q95*0.0008569529</f>
        <v/>
      </c>
      <c r="AR95" s="7">
        <f>Q95*0.0042847645+R95*0.0008569529</f>
        <v/>
      </c>
      <c r="AS95" s="7">
        <f>R95*0.0042847645+S95*0.0008569529</f>
        <v/>
      </c>
      <c r="AT95" s="7">
        <f>S95*0.0042847645+T95*0.0008569529</f>
        <v/>
      </c>
      <c r="AU95" s="7">
        <f>T95*0.0042847645+U95*0.0008569529</f>
        <v/>
      </c>
      <c r="AV95" s="7">
        <f>U95*0.0042847645+V95*0.0008569529</f>
        <v/>
      </c>
      <c r="AW95" s="7">
        <f>V95*0.0042847645+W95*0.0008569529</f>
        <v/>
      </c>
      <c r="AX95" s="7">
        <f>W95*0.0042847645+X95*0.0008569529</f>
        <v/>
      </c>
      <c r="AY95" s="7">
        <f>X95*0.0042847645+Y95*0.0008569529</f>
        <v/>
      </c>
      <c r="AZ95" s="7">
        <f>Y95*0.0042847645+Z95*0.0008569529</f>
        <v/>
      </c>
      <c r="BA95" s="7">
        <f>Z95*0.0042847645+AA95*0.0008569529</f>
        <v/>
      </c>
      <c r="BB95" s="7">
        <f>SUM(AD95:BA95)</f>
        <v/>
      </c>
    </row>
    <row r="96">
      <c r="A96" t="inlineStr">
        <is>
          <t>AMD-RTS-RCLS-1302-SSC</t>
        </is>
      </c>
      <c r="B96" t="inlineStr">
        <is>
          <t>Rev OSC</t>
        </is>
      </c>
      <c r="C96" s="5" t="n">
        <v>46103</v>
      </c>
      <c r="D96" s="6" t="n">
        <v>0</v>
      </c>
      <c r="E96" s="6" t="n">
        <v>1</v>
      </c>
      <c r="F96" s="6" t="n">
        <v>1</v>
      </c>
      <c r="G96" s="6" t="n">
        <v>1</v>
      </c>
      <c r="H96" s="6" t="n">
        <v>0</v>
      </c>
      <c r="I96" s="6" t="n">
        <v>1</v>
      </c>
      <c r="J96" s="6" t="n">
        <v>1</v>
      </c>
      <c r="K96" s="6" t="n">
        <v>0</v>
      </c>
      <c r="L96" s="6" t="n">
        <v>0</v>
      </c>
      <c r="M96" s="6" t="n">
        <v>0</v>
      </c>
      <c r="N96" s="6" t="n">
        <v>0</v>
      </c>
      <c r="O96" s="6" t="n">
        <v>0</v>
      </c>
      <c r="P96" s="6" t="n">
        <v>0</v>
      </c>
      <c r="Q96" s="6" t="n">
        <v>0</v>
      </c>
      <c r="R96" s="6" t="n">
        <v>0</v>
      </c>
      <c r="S96" s="6" t="n">
        <v>0</v>
      </c>
      <c r="T96" s="6" t="n">
        <v>0</v>
      </c>
      <c r="U96" s="6" t="n">
        <v>1</v>
      </c>
      <c r="V96" s="6" t="n">
        <v>0</v>
      </c>
      <c r="W96" s="6" t="n">
        <v>1</v>
      </c>
      <c r="X96" s="6" t="n">
        <v>2</v>
      </c>
      <c r="Y96" s="6" t="n">
        <v>3</v>
      </c>
      <c r="Z96" s="6" t="n">
        <v>0</v>
      </c>
      <c r="AA96" s="6" t="n">
        <v>0</v>
      </c>
      <c r="AB96" s="6">
        <f>SUM(D96:AA96)</f>
        <v/>
      </c>
      <c r="AC96" s="3" t="inlineStr"/>
      <c r="AD96" s="7">
        <f>AA96*0.0042847645+D96*0.0008569529</f>
        <v/>
      </c>
      <c r="AE96" s="7">
        <f>D96*0.0042847645+E96*0.0008569529</f>
        <v/>
      </c>
      <c r="AF96" s="7">
        <f>E96*0.0042847645+F96*0.0008569529</f>
        <v/>
      </c>
      <c r="AG96" s="7">
        <f>F96*0.0042847645+G96*0.0008569529</f>
        <v/>
      </c>
      <c r="AH96" s="7">
        <f>G96*0.0042847645+H96*0.0008569529</f>
        <v/>
      </c>
      <c r="AI96" s="7">
        <f>H96*0.0042847645+I96*0.0008569529</f>
        <v/>
      </c>
      <c r="AJ96" s="7">
        <f>I96*0.0042847645+J96*0.0008569529</f>
        <v/>
      </c>
      <c r="AK96" s="7">
        <f>J96*0.0042847645+K96*0.0008569529</f>
        <v/>
      </c>
      <c r="AL96" s="7">
        <f>K96*0.0042847645+L96*0.0008569529</f>
        <v/>
      </c>
      <c r="AM96" s="7">
        <f>L96*0.0042847645+M96*0.0008569529</f>
        <v/>
      </c>
      <c r="AN96" s="7">
        <f>M96*0.0042847645+N96*0.0008569529</f>
        <v/>
      </c>
      <c r="AO96" s="7">
        <f>N96*0.0042847645+O96*0.0008569529</f>
        <v/>
      </c>
      <c r="AP96" s="7">
        <f>O96*0.0042847645+P96*0.0008569529</f>
        <v/>
      </c>
      <c r="AQ96" s="7">
        <f>P96*0.0042847645+Q96*0.0008569529</f>
        <v/>
      </c>
      <c r="AR96" s="7">
        <f>Q96*0.0042847645+R96*0.0008569529</f>
        <v/>
      </c>
      <c r="AS96" s="7">
        <f>R96*0.0042847645+S96*0.0008569529</f>
        <v/>
      </c>
      <c r="AT96" s="7">
        <f>S96*0.0042847645+T96*0.0008569529</f>
        <v/>
      </c>
      <c r="AU96" s="7">
        <f>T96*0.0042847645+U96*0.0008569529</f>
        <v/>
      </c>
      <c r="AV96" s="7">
        <f>U96*0.0042847645+V96*0.0008569529</f>
        <v/>
      </c>
      <c r="AW96" s="7">
        <f>V96*0.0042847645+W96*0.0008569529</f>
        <v/>
      </c>
      <c r="AX96" s="7">
        <f>W96*0.0042847645+X96*0.0008569529</f>
        <v/>
      </c>
      <c r="AY96" s="7">
        <f>X96*0.0042847645+Y96*0.0008569529</f>
        <v/>
      </c>
      <c r="AZ96" s="7">
        <f>Y96*0.0042847645+Z96*0.0008569529</f>
        <v/>
      </c>
      <c r="BA96" s="7">
        <f>Z96*0.0042847645+AA96*0.0008569529</f>
        <v/>
      </c>
      <c r="BB96" s="7">
        <f>SUM(AD96:BA96)</f>
        <v/>
      </c>
    </row>
    <row r="97">
      <c r="A97" t="inlineStr">
        <is>
          <t>AMD-RTS-RCLS-1302-SSC</t>
        </is>
      </c>
      <c r="B97" t="inlineStr">
        <is>
          <t>Rev OSC</t>
        </is>
      </c>
      <c r="C97" s="5" t="n">
        <v>46104</v>
      </c>
      <c r="D97" s="6" t="n">
        <v>0</v>
      </c>
      <c r="E97" s="6" t="n">
        <v>0</v>
      </c>
      <c r="F97" s="6" t="n">
        <v>0</v>
      </c>
      <c r="G97" s="6" t="n">
        <v>0</v>
      </c>
      <c r="H97" s="6" t="n">
        <v>0</v>
      </c>
      <c r="I97" s="6" t="n">
        <v>0</v>
      </c>
      <c r="J97" s="6" t="n">
        <v>0</v>
      </c>
      <c r="K97" s="6" t="n">
        <v>0</v>
      </c>
      <c r="L97" s="6" t="n">
        <v>0</v>
      </c>
      <c r="M97" s="6" t="n">
        <v>0</v>
      </c>
      <c r="N97" s="6" t="n">
        <v>0</v>
      </c>
      <c r="O97" s="6" t="n">
        <v>0</v>
      </c>
      <c r="P97" s="6" t="n">
        <v>0</v>
      </c>
      <c r="Q97" s="6" t="n">
        <v>0</v>
      </c>
      <c r="R97" s="6" t="n">
        <v>2</v>
      </c>
      <c r="S97" s="6" t="n">
        <v>1</v>
      </c>
      <c r="T97" s="6" t="n">
        <v>0</v>
      </c>
      <c r="U97" s="6" t="n">
        <v>2</v>
      </c>
      <c r="V97" s="6" t="n">
        <v>1</v>
      </c>
      <c r="W97" s="6" t="n">
        <v>2</v>
      </c>
      <c r="X97" s="6" t="n">
        <v>2</v>
      </c>
      <c r="Y97" s="6" t="n">
        <v>1</v>
      </c>
      <c r="Z97" s="6" t="n">
        <v>0</v>
      </c>
      <c r="AA97" s="6" t="n">
        <v>0</v>
      </c>
      <c r="AB97" s="6">
        <f>SUM(D97:AA97)</f>
        <v/>
      </c>
      <c r="AC97" s="3" t="inlineStr"/>
      <c r="AD97" s="7">
        <f>AA97*0.0042847645+D97*0.0008569529</f>
        <v/>
      </c>
      <c r="AE97" s="7">
        <f>D97*0.0042847645+E97*0.0008569529</f>
        <v/>
      </c>
      <c r="AF97" s="7">
        <f>E97*0.0042847645+F97*0.0008569529</f>
        <v/>
      </c>
      <c r="AG97" s="7">
        <f>F97*0.0042847645+G97*0.0008569529</f>
        <v/>
      </c>
      <c r="AH97" s="7">
        <f>G97*0.0042847645+H97*0.0008569529</f>
        <v/>
      </c>
      <c r="AI97" s="7">
        <f>H97*0.0042847645+I97*0.0008569529</f>
        <v/>
      </c>
      <c r="AJ97" s="7">
        <f>I97*0.0042847645+J97*0.0008569529</f>
        <v/>
      </c>
      <c r="AK97" s="7">
        <f>J97*0.0042847645+K97*0.0008569529</f>
        <v/>
      </c>
      <c r="AL97" s="7">
        <f>K97*0.0042847645+L97*0.0008569529</f>
        <v/>
      </c>
      <c r="AM97" s="7">
        <f>L97*0.0042847645+M97*0.0008569529</f>
        <v/>
      </c>
      <c r="AN97" s="7">
        <f>M97*0.0042847645+N97*0.0008569529</f>
        <v/>
      </c>
      <c r="AO97" s="7">
        <f>N97*0.0042847645+O97*0.0008569529</f>
        <v/>
      </c>
      <c r="AP97" s="7">
        <f>O97*0.0042847645+P97*0.0008569529</f>
        <v/>
      </c>
      <c r="AQ97" s="7">
        <f>P97*0.0042847645+Q97*0.0008569529</f>
        <v/>
      </c>
      <c r="AR97" s="7">
        <f>Q97*0.0042847645+R97*0.0008569529</f>
        <v/>
      </c>
      <c r="AS97" s="7">
        <f>R97*0.0042847645+S97*0.0008569529</f>
        <v/>
      </c>
      <c r="AT97" s="7">
        <f>S97*0.0042847645+T97*0.0008569529</f>
        <v/>
      </c>
      <c r="AU97" s="7">
        <f>T97*0.0042847645+U97*0.0008569529</f>
        <v/>
      </c>
      <c r="AV97" s="7">
        <f>U97*0.0042847645+V97*0.0008569529</f>
        <v/>
      </c>
      <c r="AW97" s="7">
        <f>V97*0.0042847645+W97*0.0008569529</f>
        <v/>
      </c>
      <c r="AX97" s="7">
        <f>W97*0.0042847645+X97*0.0008569529</f>
        <v/>
      </c>
      <c r="AY97" s="7">
        <f>X97*0.0042847645+Y97*0.0008569529</f>
        <v/>
      </c>
      <c r="AZ97" s="7">
        <f>Y97*0.0042847645+Z97*0.0008569529</f>
        <v/>
      </c>
      <c r="BA97" s="7">
        <f>Z97*0.0042847645+AA97*0.0008569529</f>
        <v/>
      </c>
      <c r="BB97" s="7">
        <f>SUM(AD97:BA97)</f>
        <v/>
      </c>
    </row>
    <row r="98">
      <c r="A98" t="inlineStr">
        <is>
          <t>AMD-RTS-RCLS-1302-SSC</t>
        </is>
      </c>
      <c r="B98" t="inlineStr">
        <is>
          <t>Rev OSC</t>
        </is>
      </c>
      <c r="C98" s="5" t="n">
        <v>46105</v>
      </c>
      <c r="D98" s="6" t="n">
        <v>0</v>
      </c>
      <c r="E98" s="6" t="n">
        <v>0</v>
      </c>
      <c r="F98" s="6" t="n">
        <v>1</v>
      </c>
      <c r="G98" s="6" t="n">
        <v>1</v>
      </c>
      <c r="H98" s="6" t="n">
        <v>1</v>
      </c>
      <c r="I98" s="6" t="n">
        <v>0</v>
      </c>
      <c r="J98" s="6" t="n">
        <v>0</v>
      </c>
      <c r="K98" s="6" t="n">
        <v>0</v>
      </c>
      <c r="L98" s="6" t="n">
        <v>0</v>
      </c>
      <c r="M98" s="6" t="n">
        <v>0</v>
      </c>
      <c r="N98" s="6" t="n">
        <v>0</v>
      </c>
      <c r="O98" s="6" t="n">
        <v>0</v>
      </c>
      <c r="P98" s="6" t="n">
        <v>0</v>
      </c>
      <c r="Q98" s="6" t="n">
        <v>0</v>
      </c>
      <c r="R98" s="6" t="n">
        <v>2</v>
      </c>
      <c r="S98" s="6" t="n">
        <v>1</v>
      </c>
      <c r="T98" s="6" t="n">
        <v>0</v>
      </c>
      <c r="U98" s="6" t="n">
        <v>1</v>
      </c>
      <c r="V98" s="6" t="n">
        <v>2</v>
      </c>
      <c r="W98" s="6" t="n">
        <v>0</v>
      </c>
      <c r="X98" s="6" t="n">
        <v>0</v>
      </c>
      <c r="Y98" s="6" t="n">
        <v>0</v>
      </c>
      <c r="Z98" s="6" t="n">
        <v>0</v>
      </c>
      <c r="AA98" s="6" t="n">
        <v>0</v>
      </c>
      <c r="AB98" s="6">
        <f>SUM(D98:AA98)</f>
        <v/>
      </c>
      <c r="AC98" s="3" t="inlineStr"/>
      <c r="AD98" s="7">
        <f>AA98*0.0042847645+D98*0.0008569529</f>
        <v/>
      </c>
      <c r="AE98" s="7">
        <f>D98*0.0042847645+E98*0.0008569529</f>
        <v/>
      </c>
      <c r="AF98" s="7">
        <f>E98*0.0042847645+F98*0.0008569529</f>
        <v/>
      </c>
      <c r="AG98" s="7">
        <f>F98*0.0042847645+G98*0.0008569529</f>
        <v/>
      </c>
      <c r="AH98" s="7">
        <f>G98*0.0042847645+H98*0.0008569529</f>
        <v/>
      </c>
      <c r="AI98" s="7">
        <f>H98*0.0042847645+I98*0.0008569529</f>
        <v/>
      </c>
      <c r="AJ98" s="7">
        <f>I98*0.0042847645+J98*0.0008569529</f>
        <v/>
      </c>
      <c r="AK98" s="7">
        <f>J98*0.0042847645+K98*0.0008569529</f>
        <v/>
      </c>
      <c r="AL98" s="7">
        <f>K98*0.0042847645+L98*0.0008569529</f>
        <v/>
      </c>
      <c r="AM98" s="7">
        <f>L98*0.0042847645+M98*0.0008569529</f>
        <v/>
      </c>
      <c r="AN98" s="7">
        <f>M98*0.0042847645+N98*0.0008569529</f>
        <v/>
      </c>
      <c r="AO98" s="7">
        <f>N98*0.0042847645+O98*0.0008569529</f>
        <v/>
      </c>
      <c r="AP98" s="7">
        <f>O98*0.0042847645+P98*0.0008569529</f>
        <v/>
      </c>
      <c r="AQ98" s="7">
        <f>P98*0.0042847645+Q98*0.0008569529</f>
        <v/>
      </c>
      <c r="AR98" s="7">
        <f>Q98*0.0042847645+R98*0.0008569529</f>
        <v/>
      </c>
      <c r="AS98" s="7">
        <f>R98*0.0042847645+S98*0.0008569529</f>
        <v/>
      </c>
      <c r="AT98" s="7">
        <f>S98*0.0042847645+T98*0.0008569529</f>
        <v/>
      </c>
      <c r="AU98" s="7">
        <f>T98*0.0042847645+U98*0.0008569529</f>
        <v/>
      </c>
      <c r="AV98" s="7">
        <f>U98*0.0042847645+V98*0.0008569529</f>
        <v/>
      </c>
      <c r="AW98" s="7">
        <f>V98*0.0042847645+W98*0.0008569529</f>
        <v/>
      </c>
      <c r="AX98" s="7">
        <f>W98*0.0042847645+X98*0.0008569529</f>
        <v/>
      </c>
      <c r="AY98" s="7">
        <f>X98*0.0042847645+Y98*0.0008569529</f>
        <v/>
      </c>
      <c r="AZ98" s="7">
        <f>Y98*0.0042847645+Z98*0.0008569529</f>
        <v/>
      </c>
      <c r="BA98" s="7">
        <f>Z98*0.0042847645+AA98*0.0008569529</f>
        <v/>
      </c>
      <c r="BB98" s="7">
        <f>SUM(AD98:BA98)</f>
        <v/>
      </c>
    </row>
    <row r="99">
      <c r="A99" t="inlineStr">
        <is>
          <t>AMD-RTS-RCLS-1302-SSC_1</t>
        </is>
      </c>
      <c r="B99" t="inlineStr">
        <is>
          <t>Rev OSC</t>
        </is>
      </c>
      <c r="C99" s="5" t="n">
        <v>46090</v>
      </c>
      <c r="D99" s="6" t="n">
        <v>0</v>
      </c>
      <c r="E99" s="6" t="n">
        <v>0</v>
      </c>
      <c r="F99" s="6" t="n">
        <v>0</v>
      </c>
      <c r="G99" s="6" t="n">
        <v>0</v>
      </c>
      <c r="H99" s="6" t="n">
        <v>0</v>
      </c>
      <c r="I99" s="6" t="n">
        <v>0</v>
      </c>
      <c r="J99" s="6" t="n">
        <v>0</v>
      </c>
      <c r="K99" s="6" t="n">
        <v>0</v>
      </c>
      <c r="L99" s="6" t="n">
        <v>0</v>
      </c>
      <c r="M99" s="6" t="n">
        <v>0</v>
      </c>
      <c r="N99" s="6" t="n">
        <v>0</v>
      </c>
      <c r="O99" s="6" t="n">
        <v>0</v>
      </c>
      <c r="P99" s="6" t="n">
        <v>0</v>
      </c>
      <c r="Q99" s="6" t="n">
        <v>0</v>
      </c>
      <c r="R99" s="6" t="n">
        <v>0</v>
      </c>
      <c r="S99" s="6" t="n">
        <v>0</v>
      </c>
      <c r="T99" s="6" t="n">
        <v>0</v>
      </c>
      <c r="U99" s="6" t="n">
        <v>0</v>
      </c>
      <c r="V99" s="6" t="n">
        <v>0</v>
      </c>
      <c r="W99" s="6" t="n">
        <v>0</v>
      </c>
      <c r="X99" s="6" t="n">
        <v>0</v>
      </c>
      <c r="Y99" s="6" t="n">
        <v>1</v>
      </c>
      <c r="Z99" s="6" t="n">
        <v>0</v>
      </c>
      <c r="AA99" s="6" t="n">
        <v>0</v>
      </c>
      <c r="AB99" s="6">
        <f>SUM(D99:AA99)</f>
        <v/>
      </c>
      <c r="AC99" s="3" t="inlineStr"/>
      <c r="AD99" s="7">
        <f>AA99*0.0042847645+D99*0.0008569529</f>
        <v/>
      </c>
      <c r="AE99" s="7">
        <f>D99*0.0042847645+E99*0.0008569529</f>
        <v/>
      </c>
      <c r="AF99" s="7">
        <f>E99*0.0042847645+F99*0.0008569529</f>
        <v/>
      </c>
      <c r="AG99" s="7">
        <f>F99*0.0042847645+G99*0.0008569529</f>
        <v/>
      </c>
      <c r="AH99" s="7">
        <f>G99*0.0042847645+H99*0.0008569529</f>
        <v/>
      </c>
      <c r="AI99" s="7">
        <f>H99*0.0042847645+I99*0.0008569529</f>
        <v/>
      </c>
      <c r="AJ99" s="7">
        <f>I99*0.0042847645+J99*0.0008569529</f>
        <v/>
      </c>
      <c r="AK99" s="7">
        <f>J99*0.0042847645+K99*0.0008569529</f>
        <v/>
      </c>
      <c r="AL99" s="7">
        <f>K99*0.0042847645+L99*0.0008569529</f>
        <v/>
      </c>
      <c r="AM99" s="7">
        <f>L99*0.0042847645+M99*0.0008569529</f>
        <v/>
      </c>
      <c r="AN99" s="7">
        <f>M99*0.0042847645+N99*0.0008569529</f>
        <v/>
      </c>
      <c r="AO99" s="7">
        <f>N99*0.0042847645+O99*0.0008569529</f>
        <v/>
      </c>
      <c r="AP99" s="7">
        <f>O99*0.0042847645+P99*0.0008569529</f>
        <v/>
      </c>
      <c r="AQ99" s="7">
        <f>P99*0.0042847645+Q99*0.0008569529</f>
        <v/>
      </c>
      <c r="AR99" s="7">
        <f>Q99*0.0042847645+R99*0.0008569529</f>
        <v/>
      </c>
      <c r="AS99" s="7">
        <f>R99*0.0042847645+S99*0.0008569529</f>
        <v/>
      </c>
      <c r="AT99" s="7">
        <f>S99*0.0042847645+T99*0.0008569529</f>
        <v/>
      </c>
      <c r="AU99" s="7">
        <f>T99*0.0042847645+U99*0.0008569529</f>
        <v/>
      </c>
      <c r="AV99" s="7">
        <f>U99*0.0042847645+V99*0.0008569529</f>
        <v/>
      </c>
      <c r="AW99" s="7">
        <f>V99*0.0042847645+W99*0.0008569529</f>
        <v/>
      </c>
      <c r="AX99" s="7">
        <f>W99*0.0042847645+X99*0.0008569529</f>
        <v/>
      </c>
      <c r="AY99" s="7">
        <f>X99*0.0042847645+Y99*0.0008569529</f>
        <v/>
      </c>
      <c r="AZ99" s="7">
        <f>Y99*0.0042847645+Z99*0.0008569529</f>
        <v/>
      </c>
      <c r="BA99" s="7">
        <f>Z99*0.0042847645+AA99*0.0008569529</f>
        <v/>
      </c>
      <c r="BB99" s="7">
        <f>SUM(AD99:BA99)</f>
        <v/>
      </c>
    </row>
    <row r="100">
      <c r="A100" t="inlineStr">
        <is>
          <t>AMD-RTS-RCLS-1302-SSC_1</t>
        </is>
      </c>
      <c r="B100" t="inlineStr">
        <is>
          <t>Rev OSC</t>
        </is>
      </c>
      <c r="C100" s="5" t="n">
        <v>46093</v>
      </c>
      <c r="D100" s="6" t="n">
        <v>0</v>
      </c>
      <c r="E100" s="6" t="n">
        <v>0</v>
      </c>
      <c r="F100" s="6" t="n">
        <v>0</v>
      </c>
      <c r="G100" s="6" t="n">
        <v>0</v>
      </c>
      <c r="H100" s="6" t="n">
        <v>0</v>
      </c>
      <c r="I100" s="6" t="n">
        <v>0</v>
      </c>
      <c r="J100" s="6" t="n">
        <v>0</v>
      </c>
      <c r="K100" s="6" t="n">
        <v>0</v>
      </c>
      <c r="L100" s="6" t="n">
        <v>0</v>
      </c>
      <c r="M100" s="6" t="n">
        <v>0</v>
      </c>
      <c r="N100" s="6" t="n">
        <v>0</v>
      </c>
      <c r="O100" s="6" t="n">
        <v>0</v>
      </c>
      <c r="P100" s="6" t="n">
        <v>0</v>
      </c>
      <c r="Q100" s="6" t="n">
        <v>0</v>
      </c>
      <c r="R100" s="6" t="n">
        <v>0</v>
      </c>
      <c r="S100" s="6" t="n">
        <v>0</v>
      </c>
      <c r="T100" s="6" t="n">
        <v>0</v>
      </c>
      <c r="U100" s="6" t="n">
        <v>0</v>
      </c>
      <c r="V100" s="6" t="n">
        <v>0</v>
      </c>
      <c r="W100" s="6" t="n">
        <v>0</v>
      </c>
      <c r="X100" s="6" t="n">
        <v>0</v>
      </c>
      <c r="Y100" s="6" t="n">
        <v>0</v>
      </c>
      <c r="Z100" s="6" t="n">
        <v>0</v>
      </c>
      <c r="AA100" s="6" t="n">
        <v>0</v>
      </c>
      <c r="AB100" s="6">
        <f>SUM(D100:AA100)</f>
        <v/>
      </c>
      <c r="AC100" s="3" t="inlineStr"/>
      <c r="AD100" s="7">
        <f>AA100*0.0042847645+D100*0.0008569529</f>
        <v/>
      </c>
      <c r="AE100" s="7">
        <f>D100*0.0042847645+E100*0.0008569529</f>
        <v/>
      </c>
      <c r="AF100" s="7">
        <f>E100*0.0042847645+F100*0.0008569529</f>
        <v/>
      </c>
      <c r="AG100" s="7">
        <f>F100*0.0042847645+G100*0.0008569529</f>
        <v/>
      </c>
      <c r="AH100" s="7">
        <f>G100*0.0042847645+H100*0.0008569529</f>
        <v/>
      </c>
      <c r="AI100" s="7">
        <f>H100*0.0042847645+I100*0.0008569529</f>
        <v/>
      </c>
      <c r="AJ100" s="7">
        <f>I100*0.0042847645+J100*0.0008569529</f>
        <v/>
      </c>
      <c r="AK100" s="7">
        <f>J100*0.0042847645+K100*0.0008569529</f>
        <v/>
      </c>
      <c r="AL100" s="7">
        <f>K100*0.0042847645+L100*0.0008569529</f>
        <v/>
      </c>
      <c r="AM100" s="7">
        <f>L100*0.0042847645+M100*0.0008569529</f>
        <v/>
      </c>
      <c r="AN100" s="7">
        <f>M100*0.0042847645+N100*0.0008569529</f>
        <v/>
      </c>
      <c r="AO100" s="7">
        <f>N100*0.0042847645+O100*0.0008569529</f>
        <v/>
      </c>
      <c r="AP100" s="7">
        <f>O100*0.0042847645+P100*0.0008569529</f>
        <v/>
      </c>
      <c r="AQ100" s="7">
        <f>P100*0.0042847645+Q100*0.0008569529</f>
        <v/>
      </c>
      <c r="AR100" s="7">
        <f>Q100*0.0042847645+R100*0.0008569529</f>
        <v/>
      </c>
      <c r="AS100" s="7">
        <f>R100*0.0042847645+S100*0.0008569529</f>
        <v/>
      </c>
      <c r="AT100" s="7">
        <f>S100*0.0042847645+T100*0.0008569529</f>
        <v/>
      </c>
      <c r="AU100" s="7">
        <f>T100*0.0042847645+U100*0.0008569529</f>
        <v/>
      </c>
      <c r="AV100" s="7">
        <f>U100*0.0042847645+V100*0.0008569529</f>
        <v/>
      </c>
      <c r="AW100" s="7">
        <f>V100*0.0042847645+W100*0.0008569529</f>
        <v/>
      </c>
      <c r="AX100" s="7">
        <f>W100*0.0042847645+X100*0.0008569529</f>
        <v/>
      </c>
      <c r="AY100" s="7">
        <f>X100*0.0042847645+Y100*0.0008569529</f>
        <v/>
      </c>
      <c r="AZ100" s="7">
        <f>Y100*0.0042847645+Z100*0.0008569529</f>
        <v/>
      </c>
      <c r="BA100" s="7">
        <f>Z100*0.0042847645+AA100*0.0008569529</f>
        <v/>
      </c>
      <c r="BB100" s="7">
        <f>SUM(AD100:BA100)</f>
        <v/>
      </c>
    </row>
    <row r="101">
      <c r="A101" t="inlineStr">
        <is>
          <t>AMD-RTS-RCLS-1302-SSC_1</t>
        </is>
      </c>
      <c r="B101" t="inlineStr">
        <is>
          <t>Rev OSC</t>
        </is>
      </c>
      <c r="C101" s="5" t="n">
        <v>46094</v>
      </c>
      <c r="D101" s="6" t="n">
        <v>0</v>
      </c>
      <c r="E101" s="6" t="n">
        <v>0</v>
      </c>
      <c r="F101" s="6" t="n">
        <v>0</v>
      </c>
      <c r="G101" s="6" t="n">
        <v>0</v>
      </c>
      <c r="H101" s="6" t="n">
        <v>0</v>
      </c>
      <c r="I101" s="6" t="n">
        <v>0</v>
      </c>
      <c r="J101" s="6" t="n">
        <v>0</v>
      </c>
      <c r="K101" s="6" t="n">
        <v>0</v>
      </c>
      <c r="L101" s="6" t="n">
        <v>0</v>
      </c>
      <c r="M101" s="6" t="n">
        <v>0</v>
      </c>
      <c r="N101" s="6" t="n">
        <v>0</v>
      </c>
      <c r="O101" s="6" t="n">
        <v>0</v>
      </c>
      <c r="P101" s="6" t="n">
        <v>0</v>
      </c>
      <c r="Q101" s="6" t="n">
        <v>0</v>
      </c>
      <c r="R101" s="6" t="n">
        <v>0</v>
      </c>
      <c r="S101" s="6" t="n">
        <v>0</v>
      </c>
      <c r="T101" s="6" t="n">
        <v>0</v>
      </c>
      <c r="U101" s="6" t="n">
        <v>0</v>
      </c>
      <c r="V101" s="6" t="n">
        <v>0</v>
      </c>
      <c r="W101" s="6" t="n">
        <v>0</v>
      </c>
      <c r="X101" s="6" t="n">
        <v>0</v>
      </c>
      <c r="Y101" s="6" t="n">
        <v>0</v>
      </c>
      <c r="Z101" s="6" t="n">
        <v>0</v>
      </c>
      <c r="AA101" s="6" t="n">
        <v>0</v>
      </c>
      <c r="AB101" s="6">
        <f>SUM(D101:AA101)</f>
        <v/>
      </c>
      <c r="AC101" s="3" t="inlineStr"/>
      <c r="AD101" s="7">
        <f>AA101*0.0042847645+D101*0.0008569529</f>
        <v/>
      </c>
      <c r="AE101" s="7">
        <f>D101*0.0042847645+E101*0.0008569529</f>
        <v/>
      </c>
      <c r="AF101" s="7">
        <f>E101*0.0042847645+F101*0.0008569529</f>
        <v/>
      </c>
      <c r="AG101" s="7">
        <f>F101*0.0042847645+G101*0.0008569529</f>
        <v/>
      </c>
      <c r="AH101" s="7">
        <f>G101*0.0042847645+H101*0.0008569529</f>
        <v/>
      </c>
      <c r="AI101" s="7">
        <f>H101*0.0042847645+I101*0.0008569529</f>
        <v/>
      </c>
      <c r="AJ101" s="7">
        <f>I101*0.0042847645+J101*0.0008569529</f>
        <v/>
      </c>
      <c r="AK101" s="7">
        <f>J101*0.0042847645+K101*0.0008569529</f>
        <v/>
      </c>
      <c r="AL101" s="7">
        <f>K101*0.0042847645+L101*0.0008569529</f>
        <v/>
      </c>
      <c r="AM101" s="7">
        <f>L101*0.0042847645+M101*0.0008569529</f>
        <v/>
      </c>
      <c r="AN101" s="7">
        <f>M101*0.0042847645+N101*0.0008569529</f>
        <v/>
      </c>
      <c r="AO101" s="7">
        <f>N101*0.0042847645+O101*0.0008569529</f>
        <v/>
      </c>
      <c r="AP101" s="7">
        <f>O101*0.0042847645+P101*0.0008569529</f>
        <v/>
      </c>
      <c r="AQ101" s="7">
        <f>P101*0.0042847645+Q101*0.0008569529</f>
        <v/>
      </c>
      <c r="AR101" s="7">
        <f>Q101*0.0042847645+R101*0.0008569529</f>
        <v/>
      </c>
      <c r="AS101" s="7">
        <f>R101*0.0042847645+S101*0.0008569529</f>
        <v/>
      </c>
      <c r="AT101" s="7">
        <f>S101*0.0042847645+T101*0.0008569529</f>
        <v/>
      </c>
      <c r="AU101" s="7">
        <f>T101*0.0042847645+U101*0.0008569529</f>
        <v/>
      </c>
      <c r="AV101" s="7">
        <f>U101*0.0042847645+V101*0.0008569529</f>
        <v/>
      </c>
      <c r="AW101" s="7">
        <f>V101*0.0042847645+W101*0.0008569529</f>
        <v/>
      </c>
      <c r="AX101" s="7">
        <f>W101*0.0042847645+X101*0.0008569529</f>
        <v/>
      </c>
      <c r="AY101" s="7">
        <f>X101*0.0042847645+Y101*0.0008569529</f>
        <v/>
      </c>
      <c r="AZ101" s="7">
        <f>Y101*0.0042847645+Z101*0.0008569529</f>
        <v/>
      </c>
      <c r="BA101" s="7">
        <f>Z101*0.0042847645+AA101*0.0008569529</f>
        <v/>
      </c>
      <c r="BB101" s="7">
        <f>SUM(AD101:BA101)</f>
        <v/>
      </c>
    </row>
    <row r="102">
      <c r="A102" t="inlineStr">
        <is>
          <t>AMD-RTS-RCLS-1302-SSC_1</t>
        </is>
      </c>
      <c r="B102" t="inlineStr">
        <is>
          <t>Rev OSC</t>
        </is>
      </c>
      <c r="C102" s="5" t="n">
        <v>46095</v>
      </c>
      <c r="D102" s="6" t="n">
        <v>0</v>
      </c>
      <c r="E102" s="6" t="n">
        <v>0</v>
      </c>
      <c r="F102" s="6" t="n">
        <v>0</v>
      </c>
      <c r="G102" s="6" t="n">
        <v>0</v>
      </c>
      <c r="H102" s="6" t="n">
        <v>0</v>
      </c>
      <c r="I102" s="6" t="n">
        <v>0</v>
      </c>
      <c r="J102" s="6" t="n">
        <v>0</v>
      </c>
      <c r="K102" s="6" t="n">
        <v>0</v>
      </c>
      <c r="L102" s="6" t="n">
        <v>0</v>
      </c>
      <c r="M102" s="6" t="n">
        <v>0</v>
      </c>
      <c r="N102" s="6" t="n">
        <v>0</v>
      </c>
      <c r="O102" s="6" t="n">
        <v>0</v>
      </c>
      <c r="P102" s="6" t="n">
        <v>0</v>
      </c>
      <c r="Q102" s="6" t="n">
        <v>0</v>
      </c>
      <c r="R102" s="6" t="n">
        <v>0</v>
      </c>
      <c r="S102" s="6" t="n">
        <v>0</v>
      </c>
      <c r="T102" s="6" t="n">
        <v>0</v>
      </c>
      <c r="U102" s="6" t="n">
        <v>0</v>
      </c>
      <c r="V102" s="6" t="n">
        <v>0</v>
      </c>
      <c r="W102" s="6" t="n">
        <v>0</v>
      </c>
      <c r="X102" s="6" t="n">
        <v>0</v>
      </c>
      <c r="Y102" s="6" t="n">
        <v>0</v>
      </c>
      <c r="Z102" s="6" t="n">
        <v>0</v>
      </c>
      <c r="AA102" s="6" t="n">
        <v>0</v>
      </c>
      <c r="AB102" s="6">
        <f>SUM(D102:AA102)</f>
        <v/>
      </c>
      <c r="AC102" s="3" t="inlineStr"/>
      <c r="AD102" s="7">
        <f>AA102*0.0042847645+D102*0.0008569529</f>
        <v/>
      </c>
      <c r="AE102" s="7">
        <f>D102*0.0042847645+E102*0.0008569529</f>
        <v/>
      </c>
      <c r="AF102" s="7">
        <f>E102*0.0042847645+F102*0.0008569529</f>
        <v/>
      </c>
      <c r="AG102" s="7">
        <f>F102*0.0042847645+G102*0.0008569529</f>
        <v/>
      </c>
      <c r="AH102" s="7">
        <f>G102*0.0042847645+H102*0.0008569529</f>
        <v/>
      </c>
      <c r="AI102" s="7">
        <f>H102*0.0042847645+I102*0.0008569529</f>
        <v/>
      </c>
      <c r="AJ102" s="7">
        <f>I102*0.0042847645+J102*0.0008569529</f>
        <v/>
      </c>
      <c r="AK102" s="7">
        <f>J102*0.0042847645+K102*0.0008569529</f>
        <v/>
      </c>
      <c r="AL102" s="7">
        <f>K102*0.0042847645+L102*0.0008569529</f>
        <v/>
      </c>
      <c r="AM102" s="7">
        <f>L102*0.0042847645+M102*0.0008569529</f>
        <v/>
      </c>
      <c r="AN102" s="7">
        <f>M102*0.0042847645+N102*0.0008569529</f>
        <v/>
      </c>
      <c r="AO102" s="7">
        <f>N102*0.0042847645+O102*0.0008569529</f>
        <v/>
      </c>
      <c r="AP102" s="7">
        <f>O102*0.0042847645+P102*0.0008569529</f>
        <v/>
      </c>
      <c r="AQ102" s="7">
        <f>P102*0.0042847645+Q102*0.0008569529</f>
        <v/>
      </c>
      <c r="AR102" s="7">
        <f>Q102*0.0042847645+R102*0.0008569529</f>
        <v/>
      </c>
      <c r="AS102" s="7">
        <f>R102*0.0042847645+S102*0.0008569529</f>
        <v/>
      </c>
      <c r="AT102" s="7">
        <f>S102*0.0042847645+T102*0.0008569529</f>
        <v/>
      </c>
      <c r="AU102" s="7">
        <f>T102*0.0042847645+U102*0.0008569529</f>
        <v/>
      </c>
      <c r="AV102" s="7">
        <f>U102*0.0042847645+V102*0.0008569529</f>
        <v/>
      </c>
      <c r="AW102" s="7">
        <f>V102*0.0042847645+W102*0.0008569529</f>
        <v/>
      </c>
      <c r="AX102" s="7">
        <f>W102*0.0042847645+X102*0.0008569529</f>
        <v/>
      </c>
      <c r="AY102" s="7">
        <f>X102*0.0042847645+Y102*0.0008569529</f>
        <v/>
      </c>
      <c r="AZ102" s="7">
        <f>Y102*0.0042847645+Z102*0.0008569529</f>
        <v/>
      </c>
      <c r="BA102" s="7">
        <f>Z102*0.0042847645+AA102*0.0008569529</f>
        <v/>
      </c>
      <c r="BB102" s="7">
        <f>SUM(AD102:BA102)</f>
        <v/>
      </c>
    </row>
    <row r="103">
      <c r="A103" t="inlineStr">
        <is>
          <t>AMD-RTS-RCLS-1302-SSC_1</t>
        </is>
      </c>
      <c r="B103" t="inlineStr">
        <is>
          <t>Rev OSC</t>
        </is>
      </c>
      <c r="C103" s="5" t="n">
        <v>46100</v>
      </c>
      <c r="D103" s="6" t="n">
        <v>0</v>
      </c>
      <c r="E103" s="6" t="n">
        <v>0</v>
      </c>
      <c r="F103" s="6" t="n">
        <v>0</v>
      </c>
      <c r="G103" s="6" t="n">
        <v>0</v>
      </c>
      <c r="H103" s="6" t="n">
        <v>0</v>
      </c>
      <c r="I103" s="6" t="n">
        <v>0</v>
      </c>
      <c r="J103" s="6" t="n">
        <v>0</v>
      </c>
      <c r="K103" s="6" t="n">
        <v>0</v>
      </c>
      <c r="L103" s="6" t="n">
        <v>0</v>
      </c>
      <c r="M103" s="6" t="n">
        <v>0</v>
      </c>
      <c r="N103" s="6" t="n">
        <v>0</v>
      </c>
      <c r="O103" s="6" t="n">
        <v>0</v>
      </c>
      <c r="P103" s="6" t="n">
        <v>0</v>
      </c>
      <c r="Q103" s="6" t="n">
        <v>0</v>
      </c>
      <c r="R103" s="6" t="n">
        <v>0</v>
      </c>
      <c r="S103" s="6" t="n">
        <v>0</v>
      </c>
      <c r="T103" s="6" t="n">
        <v>0</v>
      </c>
      <c r="U103" s="6" t="n">
        <v>0</v>
      </c>
      <c r="V103" s="6" t="n">
        <v>0</v>
      </c>
      <c r="W103" s="6" t="n">
        <v>0</v>
      </c>
      <c r="X103" s="6" t="n">
        <v>0</v>
      </c>
      <c r="Y103" s="6" t="n">
        <v>0</v>
      </c>
      <c r="Z103" s="6" t="n">
        <v>0</v>
      </c>
      <c r="AA103" s="6" t="n">
        <v>0</v>
      </c>
      <c r="AB103" s="6">
        <f>SUM(D103:AA103)</f>
        <v/>
      </c>
      <c r="AC103" s="3" t="inlineStr"/>
      <c r="AD103" s="7">
        <f>AA103*0.0042847645+D103*0.0008569529</f>
        <v/>
      </c>
      <c r="AE103" s="7">
        <f>D103*0.0042847645+E103*0.0008569529</f>
        <v/>
      </c>
      <c r="AF103" s="7">
        <f>E103*0.0042847645+F103*0.0008569529</f>
        <v/>
      </c>
      <c r="AG103" s="7">
        <f>F103*0.0042847645+G103*0.0008569529</f>
        <v/>
      </c>
      <c r="AH103" s="7">
        <f>G103*0.0042847645+H103*0.0008569529</f>
        <v/>
      </c>
      <c r="AI103" s="7">
        <f>H103*0.0042847645+I103*0.0008569529</f>
        <v/>
      </c>
      <c r="AJ103" s="7">
        <f>I103*0.0042847645+J103*0.0008569529</f>
        <v/>
      </c>
      <c r="AK103" s="7">
        <f>J103*0.0042847645+K103*0.0008569529</f>
        <v/>
      </c>
      <c r="AL103" s="7">
        <f>K103*0.0042847645+L103*0.0008569529</f>
        <v/>
      </c>
      <c r="AM103" s="7">
        <f>L103*0.0042847645+M103*0.0008569529</f>
        <v/>
      </c>
      <c r="AN103" s="7">
        <f>M103*0.0042847645+N103*0.0008569529</f>
        <v/>
      </c>
      <c r="AO103" s="7">
        <f>N103*0.0042847645+O103*0.0008569529</f>
        <v/>
      </c>
      <c r="AP103" s="7">
        <f>O103*0.0042847645+P103*0.0008569529</f>
        <v/>
      </c>
      <c r="AQ103" s="7">
        <f>P103*0.0042847645+Q103*0.0008569529</f>
        <v/>
      </c>
      <c r="AR103" s="7">
        <f>Q103*0.0042847645+R103*0.0008569529</f>
        <v/>
      </c>
      <c r="AS103" s="7">
        <f>R103*0.0042847645+S103*0.0008569529</f>
        <v/>
      </c>
      <c r="AT103" s="7">
        <f>S103*0.0042847645+T103*0.0008569529</f>
        <v/>
      </c>
      <c r="AU103" s="7">
        <f>T103*0.0042847645+U103*0.0008569529</f>
        <v/>
      </c>
      <c r="AV103" s="7">
        <f>U103*0.0042847645+V103*0.0008569529</f>
        <v/>
      </c>
      <c r="AW103" s="7">
        <f>V103*0.0042847645+W103*0.0008569529</f>
        <v/>
      </c>
      <c r="AX103" s="7">
        <f>W103*0.0042847645+X103*0.0008569529</f>
        <v/>
      </c>
      <c r="AY103" s="7">
        <f>X103*0.0042847645+Y103*0.0008569529</f>
        <v/>
      </c>
      <c r="AZ103" s="7">
        <f>Y103*0.0042847645+Z103*0.0008569529</f>
        <v/>
      </c>
      <c r="BA103" s="7">
        <f>Z103*0.0042847645+AA103*0.0008569529</f>
        <v/>
      </c>
      <c r="BB103" s="7">
        <f>SUM(AD103:BA103)</f>
        <v/>
      </c>
    </row>
    <row r="104">
      <c r="A104" t="inlineStr">
        <is>
          <t>AMD-RTS-RCLS-1302-SSC_1</t>
        </is>
      </c>
      <c r="B104" t="inlineStr">
        <is>
          <t>Rev OSC</t>
        </is>
      </c>
      <c r="C104" s="5" t="n">
        <v>46102</v>
      </c>
      <c r="D104" s="6" t="n">
        <v>0</v>
      </c>
      <c r="E104" s="6" t="n">
        <v>0</v>
      </c>
      <c r="F104" s="6" t="n">
        <v>0</v>
      </c>
      <c r="G104" s="6" t="n">
        <v>0</v>
      </c>
      <c r="H104" s="6" t="n">
        <v>0</v>
      </c>
      <c r="I104" s="6" t="n">
        <v>0</v>
      </c>
      <c r="J104" s="6" t="n">
        <v>0</v>
      </c>
      <c r="K104" s="6" t="n">
        <v>0</v>
      </c>
      <c r="L104" s="6" t="n">
        <v>0</v>
      </c>
      <c r="M104" s="6" t="n">
        <v>0</v>
      </c>
      <c r="N104" s="6" t="n">
        <v>0</v>
      </c>
      <c r="O104" s="6" t="n">
        <v>0</v>
      </c>
      <c r="P104" s="6" t="n">
        <v>0</v>
      </c>
      <c r="Q104" s="6" t="n">
        <v>0</v>
      </c>
      <c r="R104" s="6" t="n">
        <v>1</v>
      </c>
      <c r="S104" s="6" t="n">
        <v>2</v>
      </c>
      <c r="T104" s="6" t="n">
        <v>1</v>
      </c>
      <c r="U104" s="6" t="n">
        <v>0</v>
      </c>
      <c r="V104" s="6" t="n">
        <v>0</v>
      </c>
      <c r="W104" s="6" t="n">
        <v>0</v>
      </c>
      <c r="X104" s="6" t="n">
        <v>0</v>
      </c>
      <c r="Y104" s="6" t="n">
        <v>0</v>
      </c>
      <c r="Z104" s="6" t="n">
        <v>0</v>
      </c>
      <c r="AA104" s="6" t="n">
        <v>0</v>
      </c>
      <c r="AB104" s="6">
        <f>SUM(D104:AA104)</f>
        <v/>
      </c>
      <c r="AC104" s="3" t="inlineStr"/>
      <c r="AD104" s="7">
        <f>AA104*0.0042847645+D104*0.0008569529</f>
        <v/>
      </c>
      <c r="AE104" s="7">
        <f>D104*0.0042847645+E104*0.0008569529</f>
        <v/>
      </c>
      <c r="AF104" s="7">
        <f>E104*0.0042847645+F104*0.0008569529</f>
        <v/>
      </c>
      <c r="AG104" s="7">
        <f>F104*0.0042847645+G104*0.0008569529</f>
        <v/>
      </c>
      <c r="AH104" s="7">
        <f>G104*0.0042847645+H104*0.0008569529</f>
        <v/>
      </c>
      <c r="AI104" s="7">
        <f>H104*0.0042847645+I104*0.0008569529</f>
        <v/>
      </c>
      <c r="AJ104" s="7">
        <f>I104*0.0042847645+J104*0.0008569529</f>
        <v/>
      </c>
      <c r="AK104" s="7">
        <f>J104*0.0042847645+K104*0.0008569529</f>
        <v/>
      </c>
      <c r="AL104" s="7">
        <f>K104*0.0042847645+L104*0.0008569529</f>
        <v/>
      </c>
      <c r="AM104" s="7">
        <f>L104*0.0042847645+M104*0.0008569529</f>
        <v/>
      </c>
      <c r="AN104" s="7">
        <f>M104*0.0042847645+N104*0.0008569529</f>
        <v/>
      </c>
      <c r="AO104" s="7">
        <f>N104*0.0042847645+O104*0.0008569529</f>
        <v/>
      </c>
      <c r="AP104" s="7">
        <f>O104*0.0042847645+P104*0.0008569529</f>
        <v/>
      </c>
      <c r="AQ104" s="7">
        <f>P104*0.0042847645+Q104*0.0008569529</f>
        <v/>
      </c>
      <c r="AR104" s="7">
        <f>Q104*0.0042847645+R104*0.0008569529</f>
        <v/>
      </c>
      <c r="AS104" s="7">
        <f>R104*0.0042847645+S104*0.0008569529</f>
        <v/>
      </c>
      <c r="AT104" s="7">
        <f>S104*0.0042847645+T104*0.0008569529</f>
        <v/>
      </c>
      <c r="AU104" s="7">
        <f>T104*0.0042847645+U104*0.0008569529</f>
        <v/>
      </c>
      <c r="AV104" s="7">
        <f>U104*0.0042847645+V104*0.0008569529</f>
        <v/>
      </c>
      <c r="AW104" s="7">
        <f>V104*0.0042847645+W104*0.0008569529</f>
        <v/>
      </c>
      <c r="AX104" s="7">
        <f>W104*0.0042847645+X104*0.0008569529</f>
        <v/>
      </c>
      <c r="AY104" s="7">
        <f>X104*0.0042847645+Y104*0.0008569529</f>
        <v/>
      </c>
      <c r="AZ104" s="7">
        <f>Y104*0.0042847645+Z104*0.0008569529</f>
        <v/>
      </c>
      <c r="BA104" s="7">
        <f>Z104*0.0042847645+AA104*0.0008569529</f>
        <v/>
      </c>
      <c r="BB104" s="7">
        <f>SUM(AD104:BA104)</f>
        <v/>
      </c>
    </row>
    <row r="105">
      <c r="A105" t="inlineStr">
        <is>
          <t>AMD-RTS-RCLS-1302-SSC_1</t>
        </is>
      </c>
      <c r="B105" t="inlineStr">
        <is>
          <t>Rev OSC</t>
        </is>
      </c>
      <c r="C105" s="5" t="n">
        <v>46103</v>
      </c>
      <c r="D105" s="6" t="n">
        <v>0</v>
      </c>
      <c r="E105" s="6" t="n">
        <v>0</v>
      </c>
      <c r="F105" s="6" t="n">
        <v>0</v>
      </c>
      <c r="G105" s="6" t="n">
        <v>0</v>
      </c>
      <c r="H105" s="6" t="n">
        <v>0</v>
      </c>
      <c r="I105" s="6" t="n">
        <v>0</v>
      </c>
      <c r="J105" s="6" t="n">
        <v>0</v>
      </c>
      <c r="K105" s="6" t="n">
        <v>0</v>
      </c>
      <c r="L105" s="6" t="n">
        <v>0</v>
      </c>
      <c r="M105" s="6" t="n">
        <v>0</v>
      </c>
      <c r="N105" s="6" t="n">
        <v>0</v>
      </c>
      <c r="O105" s="6" t="n">
        <v>0</v>
      </c>
      <c r="P105" s="6" t="n">
        <v>0</v>
      </c>
      <c r="Q105" s="6" t="n">
        <v>0</v>
      </c>
      <c r="R105" s="6" t="n">
        <v>0</v>
      </c>
      <c r="S105" s="6" t="n">
        <v>0</v>
      </c>
      <c r="T105" s="6" t="n">
        <v>1</v>
      </c>
      <c r="U105" s="6" t="n">
        <v>0</v>
      </c>
      <c r="V105" s="6" t="n">
        <v>0</v>
      </c>
      <c r="W105" s="6" t="n">
        <v>0</v>
      </c>
      <c r="X105" s="6" t="n">
        <v>0</v>
      </c>
      <c r="Y105" s="6" t="n">
        <v>0</v>
      </c>
      <c r="Z105" s="6" t="n">
        <v>0</v>
      </c>
      <c r="AA105" s="6" t="n">
        <v>0</v>
      </c>
      <c r="AB105" s="6">
        <f>SUM(D105:AA105)</f>
        <v/>
      </c>
      <c r="AC105" s="3" t="inlineStr"/>
      <c r="AD105" s="7">
        <f>AA105*0.0042847645+D105*0.0008569529</f>
        <v/>
      </c>
      <c r="AE105" s="7">
        <f>D105*0.0042847645+E105*0.0008569529</f>
        <v/>
      </c>
      <c r="AF105" s="7">
        <f>E105*0.0042847645+F105*0.0008569529</f>
        <v/>
      </c>
      <c r="AG105" s="7">
        <f>F105*0.0042847645+G105*0.0008569529</f>
        <v/>
      </c>
      <c r="AH105" s="7">
        <f>G105*0.0042847645+H105*0.0008569529</f>
        <v/>
      </c>
      <c r="AI105" s="7">
        <f>H105*0.0042847645+I105*0.0008569529</f>
        <v/>
      </c>
      <c r="AJ105" s="7">
        <f>I105*0.0042847645+J105*0.0008569529</f>
        <v/>
      </c>
      <c r="AK105" s="7">
        <f>J105*0.0042847645+K105*0.0008569529</f>
        <v/>
      </c>
      <c r="AL105" s="7">
        <f>K105*0.0042847645+L105*0.0008569529</f>
        <v/>
      </c>
      <c r="AM105" s="7">
        <f>L105*0.0042847645+M105*0.0008569529</f>
        <v/>
      </c>
      <c r="AN105" s="7">
        <f>M105*0.0042847645+N105*0.0008569529</f>
        <v/>
      </c>
      <c r="AO105" s="7">
        <f>N105*0.0042847645+O105*0.0008569529</f>
        <v/>
      </c>
      <c r="AP105" s="7">
        <f>O105*0.0042847645+P105*0.0008569529</f>
        <v/>
      </c>
      <c r="AQ105" s="7">
        <f>P105*0.0042847645+Q105*0.0008569529</f>
        <v/>
      </c>
      <c r="AR105" s="7">
        <f>Q105*0.0042847645+R105*0.0008569529</f>
        <v/>
      </c>
      <c r="AS105" s="7">
        <f>R105*0.0042847645+S105*0.0008569529</f>
        <v/>
      </c>
      <c r="AT105" s="7">
        <f>S105*0.0042847645+T105*0.0008569529</f>
        <v/>
      </c>
      <c r="AU105" s="7">
        <f>T105*0.0042847645+U105*0.0008569529</f>
        <v/>
      </c>
      <c r="AV105" s="7">
        <f>U105*0.0042847645+V105*0.0008569529</f>
        <v/>
      </c>
      <c r="AW105" s="7">
        <f>V105*0.0042847645+W105*0.0008569529</f>
        <v/>
      </c>
      <c r="AX105" s="7">
        <f>W105*0.0042847645+X105*0.0008569529</f>
        <v/>
      </c>
      <c r="AY105" s="7">
        <f>X105*0.0042847645+Y105*0.0008569529</f>
        <v/>
      </c>
      <c r="AZ105" s="7">
        <f>Y105*0.0042847645+Z105*0.0008569529</f>
        <v/>
      </c>
      <c r="BA105" s="7">
        <f>Z105*0.0042847645+AA105*0.0008569529</f>
        <v/>
      </c>
      <c r="BB105" s="7">
        <f>SUM(AD105:BA105)</f>
        <v/>
      </c>
    </row>
    <row r="106">
      <c r="A106" t="inlineStr">
        <is>
          <t>AMD-RTS-RCLS-1302-SSC_1</t>
        </is>
      </c>
      <c r="B106" t="inlineStr">
        <is>
          <t>Rev OSC</t>
        </is>
      </c>
      <c r="C106" s="5" t="n">
        <v>46104</v>
      </c>
      <c r="D106" s="6" t="n">
        <v>0</v>
      </c>
      <c r="E106" s="6" t="n">
        <v>0</v>
      </c>
      <c r="F106" s="6" t="n">
        <v>0</v>
      </c>
      <c r="G106" s="6" t="n">
        <v>0</v>
      </c>
      <c r="H106" s="6" t="n">
        <v>0</v>
      </c>
      <c r="I106" s="6" t="n">
        <v>0</v>
      </c>
      <c r="J106" s="6" t="n">
        <v>0</v>
      </c>
      <c r="K106" s="6" t="n">
        <v>0</v>
      </c>
      <c r="L106" s="6" t="n">
        <v>0</v>
      </c>
      <c r="M106" s="6" t="n">
        <v>0</v>
      </c>
      <c r="N106" s="6" t="n">
        <v>0</v>
      </c>
      <c r="O106" s="6" t="n">
        <v>0</v>
      </c>
      <c r="P106" s="6" t="n">
        <v>0</v>
      </c>
      <c r="Q106" s="6" t="n">
        <v>3</v>
      </c>
      <c r="R106" s="6" t="n">
        <v>3</v>
      </c>
      <c r="S106" s="6" t="n">
        <v>2</v>
      </c>
      <c r="T106" s="6" t="n">
        <v>1</v>
      </c>
      <c r="U106" s="6" t="n">
        <v>0</v>
      </c>
      <c r="V106" s="6" t="n">
        <v>0</v>
      </c>
      <c r="W106" s="6" t="n">
        <v>0</v>
      </c>
      <c r="X106" s="6" t="n">
        <v>0</v>
      </c>
      <c r="Y106" s="6" t="n">
        <v>0</v>
      </c>
      <c r="Z106" s="6" t="n">
        <v>0</v>
      </c>
      <c r="AA106" s="6" t="n">
        <v>0</v>
      </c>
      <c r="AB106" s="6">
        <f>SUM(D106:AA106)</f>
        <v/>
      </c>
      <c r="AC106" s="3" t="inlineStr"/>
      <c r="AD106" s="7">
        <f>AA106*0.0042847645+D106*0.0008569529</f>
        <v/>
      </c>
      <c r="AE106" s="7">
        <f>D106*0.0042847645+E106*0.0008569529</f>
        <v/>
      </c>
      <c r="AF106" s="7">
        <f>E106*0.0042847645+F106*0.0008569529</f>
        <v/>
      </c>
      <c r="AG106" s="7">
        <f>F106*0.0042847645+G106*0.0008569529</f>
        <v/>
      </c>
      <c r="AH106" s="7">
        <f>G106*0.0042847645+H106*0.0008569529</f>
        <v/>
      </c>
      <c r="AI106" s="7">
        <f>H106*0.0042847645+I106*0.0008569529</f>
        <v/>
      </c>
      <c r="AJ106" s="7">
        <f>I106*0.0042847645+J106*0.0008569529</f>
        <v/>
      </c>
      <c r="AK106" s="7">
        <f>J106*0.0042847645+K106*0.0008569529</f>
        <v/>
      </c>
      <c r="AL106" s="7">
        <f>K106*0.0042847645+L106*0.0008569529</f>
        <v/>
      </c>
      <c r="AM106" s="7">
        <f>L106*0.0042847645+M106*0.0008569529</f>
        <v/>
      </c>
      <c r="AN106" s="7">
        <f>M106*0.0042847645+N106*0.0008569529</f>
        <v/>
      </c>
      <c r="AO106" s="7">
        <f>N106*0.0042847645+O106*0.0008569529</f>
        <v/>
      </c>
      <c r="AP106" s="7">
        <f>O106*0.0042847645+P106*0.0008569529</f>
        <v/>
      </c>
      <c r="AQ106" s="7">
        <f>P106*0.0042847645+Q106*0.0008569529</f>
        <v/>
      </c>
      <c r="AR106" s="7">
        <f>Q106*0.0042847645+R106*0.0008569529</f>
        <v/>
      </c>
      <c r="AS106" s="7">
        <f>R106*0.0042847645+S106*0.0008569529</f>
        <v/>
      </c>
      <c r="AT106" s="7">
        <f>S106*0.0042847645+T106*0.0008569529</f>
        <v/>
      </c>
      <c r="AU106" s="7">
        <f>T106*0.0042847645+U106*0.0008569529</f>
        <v/>
      </c>
      <c r="AV106" s="7">
        <f>U106*0.0042847645+V106*0.0008569529</f>
        <v/>
      </c>
      <c r="AW106" s="7">
        <f>V106*0.0042847645+W106*0.0008569529</f>
        <v/>
      </c>
      <c r="AX106" s="7">
        <f>W106*0.0042847645+X106*0.0008569529</f>
        <v/>
      </c>
      <c r="AY106" s="7">
        <f>X106*0.0042847645+Y106*0.0008569529</f>
        <v/>
      </c>
      <c r="AZ106" s="7">
        <f>Y106*0.0042847645+Z106*0.0008569529</f>
        <v/>
      </c>
      <c r="BA106" s="7">
        <f>Z106*0.0042847645+AA106*0.0008569529</f>
        <v/>
      </c>
      <c r="BB106" s="7">
        <f>SUM(AD106:BA106)</f>
        <v/>
      </c>
    </row>
    <row r="107">
      <c r="A107" t="inlineStr">
        <is>
          <t>AMD-RTS-RCLS-1302-SSC_1</t>
        </is>
      </c>
      <c r="B107" t="inlineStr">
        <is>
          <t>Rev OSC</t>
        </is>
      </c>
      <c r="C107" s="5" t="n">
        <v>46105</v>
      </c>
      <c r="D107" s="6" t="n">
        <v>0</v>
      </c>
      <c r="E107" s="6" t="n">
        <v>0</v>
      </c>
      <c r="F107" s="6" t="n">
        <v>0</v>
      </c>
      <c r="G107" s="6" t="n">
        <v>0</v>
      </c>
      <c r="H107" s="6" t="n">
        <v>0</v>
      </c>
      <c r="I107" s="6" t="n">
        <v>0</v>
      </c>
      <c r="J107" s="6" t="n">
        <v>0</v>
      </c>
      <c r="K107" s="6" t="n">
        <v>0</v>
      </c>
      <c r="L107" s="6" t="n">
        <v>0</v>
      </c>
      <c r="M107" s="6" t="n">
        <v>0</v>
      </c>
      <c r="N107" s="6" t="n">
        <v>0</v>
      </c>
      <c r="O107" s="6" t="n">
        <v>0</v>
      </c>
      <c r="P107" s="6" t="n">
        <v>0</v>
      </c>
      <c r="Q107" s="6" t="n">
        <v>0</v>
      </c>
      <c r="R107" s="6" t="n">
        <v>0</v>
      </c>
      <c r="S107" s="6" t="n">
        <v>1</v>
      </c>
      <c r="T107" s="6" t="n">
        <v>0</v>
      </c>
      <c r="U107" s="6" t="n">
        <v>0</v>
      </c>
      <c r="V107" s="6" t="n">
        <v>0</v>
      </c>
      <c r="W107" s="6" t="n">
        <v>0</v>
      </c>
      <c r="X107" s="6" t="n">
        <v>0</v>
      </c>
      <c r="Y107" s="6" t="n">
        <v>0</v>
      </c>
      <c r="Z107" s="6" t="n">
        <v>0</v>
      </c>
      <c r="AA107" s="6" t="n">
        <v>0</v>
      </c>
      <c r="AB107" s="6">
        <f>SUM(D107:AA107)</f>
        <v/>
      </c>
      <c r="AC107" s="3" t="inlineStr"/>
      <c r="AD107" s="7">
        <f>AA107*0.0042847645+D107*0.0008569529</f>
        <v/>
      </c>
      <c r="AE107" s="7">
        <f>D107*0.0042847645+E107*0.0008569529</f>
        <v/>
      </c>
      <c r="AF107" s="7">
        <f>E107*0.0042847645+F107*0.0008569529</f>
        <v/>
      </c>
      <c r="AG107" s="7">
        <f>F107*0.0042847645+G107*0.0008569529</f>
        <v/>
      </c>
      <c r="AH107" s="7">
        <f>G107*0.0042847645+H107*0.0008569529</f>
        <v/>
      </c>
      <c r="AI107" s="7">
        <f>H107*0.0042847645+I107*0.0008569529</f>
        <v/>
      </c>
      <c r="AJ107" s="7">
        <f>I107*0.0042847645+J107*0.0008569529</f>
        <v/>
      </c>
      <c r="AK107" s="7">
        <f>J107*0.0042847645+K107*0.0008569529</f>
        <v/>
      </c>
      <c r="AL107" s="7">
        <f>K107*0.0042847645+L107*0.0008569529</f>
        <v/>
      </c>
      <c r="AM107" s="7">
        <f>L107*0.0042847645+M107*0.0008569529</f>
        <v/>
      </c>
      <c r="AN107" s="7">
        <f>M107*0.0042847645+N107*0.0008569529</f>
        <v/>
      </c>
      <c r="AO107" s="7">
        <f>N107*0.0042847645+O107*0.0008569529</f>
        <v/>
      </c>
      <c r="AP107" s="7">
        <f>O107*0.0042847645+P107*0.0008569529</f>
        <v/>
      </c>
      <c r="AQ107" s="7">
        <f>P107*0.0042847645+Q107*0.0008569529</f>
        <v/>
      </c>
      <c r="AR107" s="7">
        <f>Q107*0.0042847645+R107*0.0008569529</f>
        <v/>
      </c>
      <c r="AS107" s="7">
        <f>R107*0.0042847645+S107*0.0008569529</f>
        <v/>
      </c>
      <c r="AT107" s="7">
        <f>S107*0.0042847645+T107*0.0008569529</f>
        <v/>
      </c>
      <c r="AU107" s="7">
        <f>T107*0.0042847645+U107*0.0008569529</f>
        <v/>
      </c>
      <c r="AV107" s="7">
        <f>U107*0.0042847645+V107*0.0008569529</f>
        <v/>
      </c>
      <c r="AW107" s="7">
        <f>V107*0.0042847645+W107*0.0008569529</f>
        <v/>
      </c>
      <c r="AX107" s="7">
        <f>W107*0.0042847645+X107*0.0008569529</f>
        <v/>
      </c>
      <c r="AY107" s="7">
        <f>X107*0.0042847645+Y107*0.0008569529</f>
        <v/>
      </c>
      <c r="AZ107" s="7">
        <f>Y107*0.0042847645+Z107*0.0008569529</f>
        <v/>
      </c>
      <c r="BA107" s="7">
        <f>Z107*0.0042847645+AA107*0.0008569529</f>
        <v/>
      </c>
      <c r="BB107" s="7">
        <f>SUM(AD107:BA107)</f>
        <v/>
      </c>
    </row>
    <row r="108">
      <c r="A108" t="inlineStr">
        <is>
          <t>AMD-RTS-RCLS-1302-SSC_2</t>
        </is>
      </c>
      <c r="B108" t="inlineStr">
        <is>
          <t>Rev OSC</t>
        </is>
      </c>
      <c r="C108" s="5" t="n">
        <v>46100</v>
      </c>
      <c r="D108" s="6" t="n">
        <v>0</v>
      </c>
      <c r="E108" s="6" t="n">
        <v>0</v>
      </c>
      <c r="F108" s="6" t="n">
        <v>0</v>
      </c>
      <c r="G108" s="6" t="n">
        <v>0</v>
      </c>
      <c r="H108" s="6" t="n">
        <v>0</v>
      </c>
      <c r="I108" s="6" t="n">
        <v>0</v>
      </c>
      <c r="J108" s="6" t="n">
        <v>0</v>
      </c>
      <c r="K108" s="6" t="n">
        <v>0</v>
      </c>
      <c r="L108" s="6" t="n">
        <v>0</v>
      </c>
      <c r="M108" s="6" t="n">
        <v>0</v>
      </c>
      <c r="N108" s="6" t="n">
        <v>0</v>
      </c>
      <c r="O108" s="6" t="n">
        <v>0</v>
      </c>
      <c r="P108" s="6" t="n">
        <v>0</v>
      </c>
      <c r="Q108" s="6" t="n">
        <v>0</v>
      </c>
      <c r="R108" s="6" t="n">
        <v>0</v>
      </c>
      <c r="S108" s="6" t="n">
        <v>0</v>
      </c>
      <c r="T108" s="6" t="n">
        <v>0</v>
      </c>
      <c r="U108" s="6" t="n">
        <v>0</v>
      </c>
      <c r="V108" s="6" t="n">
        <v>0</v>
      </c>
      <c r="W108" s="6" t="n">
        <v>0</v>
      </c>
      <c r="X108" s="6" t="n">
        <v>0</v>
      </c>
      <c r="Y108" s="6" t="n">
        <v>0</v>
      </c>
      <c r="Z108" s="6" t="n">
        <v>0</v>
      </c>
      <c r="AA108" s="6" t="n">
        <v>0</v>
      </c>
      <c r="AB108" s="6">
        <f>SUM(D108:AA108)</f>
        <v/>
      </c>
      <c r="AC108" s="3" t="inlineStr"/>
      <c r="AD108" s="7">
        <f>AA108*0.0042847645+D108*0.0008569529</f>
        <v/>
      </c>
      <c r="AE108" s="7">
        <f>D108*0.0042847645+E108*0.0008569529</f>
        <v/>
      </c>
      <c r="AF108" s="7">
        <f>E108*0.0042847645+F108*0.0008569529</f>
        <v/>
      </c>
      <c r="AG108" s="7">
        <f>F108*0.0042847645+G108*0.0008569529</f>
        <v/>
      </c>
      <c r="AH108" s="7">
        <f>G108*0.0042847645+H108*0.0008569529</f>
        <v/>
      </c>
      <c r="AI108" s="7">
        <f>H108*0.0042847645+I108*0.0008569529</f>
        <v/>
      </c>
      <c r="AJ108" s="7">
        <f>I108*0.0042847645+J108*0.0008569529</f>
        <v/>
      </c>
      <c r="AK108" s="7">
        <f>J108*0.0042847645+K108*0.0008569529</f>
        <v/>
      </c>
      <c r="AL108" s="7">
        <f>K108*0.0042847645+L108*0.0008569529</f>
        <v/>
      </c>
      <c r="AM108" s="7">
        <f>L108*0.0042847645+M108*0.0008569529</f>
        <v/>
      </c>
      <c r="AN108" s="7">
        <f>M108*0.0042847645+N108*0.0008569529</f>
        <v/>
      </c>
      <c r="AO108" s="7">
        <f>N108*0.0042847645+O108*0.0008569529</f>
        <v/>
      </c>
      <c r="AP108" s="7">
        <f>O108*0.0042847645+P108*0.0008569529</f>
        <v/>
      </c>
      <c r="AQ108" s="7">
        <f>P108*0.0042847645+Q108*0.0008569529</f>
        <v/>
      </c>
      <c r="AR108" s="7">
        <f>Q108*0.0042847645+R108*0.0008569529</f>
        <v/>
      </c>
      <c r="AS108" s="7">
        <f>R108*0.0042847645+S108*0.0008569529</f>
        <v/>
      </c>
      <c r="AT108" s="7">
        <f>S108*0.0042847645+T108*0.0008569529</f>
        <v/>
      </c>
      <c r="AU108" s="7">
        <f>T108*0.0042847645+U108*0.0008569529</f>
        <v/>
      </c>
      <c r="AV108" s="7">
        <f>U108*0.0042847645+V108*0.0008569529</f>
        <v/>
      </c>
      <c r="AW108" s="7">
        <f>V108*0.0042847645+W108*0.0008569529</f>
        <v/>
      </c>
      <c r="AX108" s="7">
        <f>W108*0.0042847645+X108*0.0008569529</f>
        <v/>
      </c>
      <c r="AY108" s="7">
        <f>X108*0.0042847645+Y108*0.0008569529</f>
        <v/>
      </c>
      <c r="AZ108" s="7">
        <f>Y108*0.0042847645+Z108*0.0008569529</f>
        <v/>
      </c>
      <c r="BA108" s="7">
        <f>Z108*0.0042847645+AA108*0.0008569529</f>
        <v/>
      </c>
      <c r="BB108" s="7">
        <f>SUM(AD108:BA108)</f>
        <v/>
      </c>
    </row>
    <row r="109">
      <c r="A109" t="inlineStr">
        <is>
          <t>AMD-RTS-RCLS-1302-SSC_2</t>
        </is>
      </c>
      <c r="B109" t="inlineStr">
        <is>
          <t>Rev OSC</t>
        </is>
      </c>
      <c r="C109" s="5" t="n">
        <v>46102</v>
      </c>
      <c r="D109" s="6" t="n">
        <v>0</v>
      </c>
      <c r="E109" s="6" t="n">
        <v>0</v>
      </c>
      <c r="F109" s="6" t="n">
        <v>0</v>
      </c>
      <c r="G109" s="6" t="n">
        <v>0</v>
      </c>
      <c r="H109" s="6" t="n">
        <v>0</v>
      </c>
      <c r="I109" s="6" t="n">
        <v>0</v>
      </c>
      <c r="J109" s="6" t="n">
        <v>0</v>
      </c>
      <c r="K109" s="6" t="n">
        <v>0</v>
      </c>
      <c r="L109" s="6" t="n">
        <v>0</v>
      </c>
      <c r="M109" s="6" t="n">
        <v>0</v>
      </c>
      <c r="N109" s="6" t="n">
        <v>0</v>
      </c>
      <c r="O109" s="6" t="n">
        <v>0</v>
      </c>
      <c r="P109" s="6" t="n">
        <v>0</v>
      </c>
      <c r="Q109" s="6" t="n">
        <v>0</v>
      </c>
      <c r="R109" s="6" t="n">
        <v>0</v>
      </c>
      <c r="S109" s="6" t="n">
        <v>0</v>
      </c>
      <c r="T109" s="6" t="n">
        <v>0</v>
      </c>
      <c r="U109" s="6" t="n">
        <v>0</v>
      </c>
      <c r="V109" s="6" t="n">
        <v>0</v>
      </c>
      <c r="W109" s="6" t="n">
        <v>0</v>
      </c>
      <c r="X109" s="6" t="n">
        <v>0</v>
      </c>
      <c r="Y109" s="6" t="n">
        <v>0</v>
      </c>
      <c r="Z109" s="6" t="n">
        <v>0</v>
      </c>
      <c r="AA109" s="6" t="n">
        <v>0</v>
      </c>
      <c r="AB109" s="6">
        <f>SUM(D109:AA109)</f>
        <v/>
      </c>
      <c r="AC109" s="3" t="inlineStr"/>
      <c r="AD109" s="7">
        <f>AA109*0.0042847645+D109*0.0008569529</f>
        <v/>
      </c>
      <c r="AE109" s="7">
        <f>D109*0.0042847645+E109*0.0008569529</f>
        <v/>
      </c>
      <c r="AF109" s="7">
        <f>E109*0.0042847645+F109*0.0008569529</f>
        <v/>
      </c>
      <c r="AG109" s="7">
        <f>F109*0.0042847645+G109*0.0008569529</f>
        <v/>
      </c>
      <c r="AH109" s="7">
        <f>G109*0.0042847645+H109*0.0008569529</f>
        <v/>
      </c>
      <c r="AI109" s="7">
        <f>H109*0.0042847645+I109*0.0008569529</f>
        <v/>
      </c>
      <c r="AJ109" s="7">
        <f>I109*0.0042847645+J109*0.0008569529</f>
        <v/>
      </c>
      <c r="AK109" s="7">
        <f>J109*0.0042847645+K109*0.0008569529</f>
        <v/>
      </c>
      <c r="AL109" s="7">
        <f>K109*0.0042847645+L109*0.0008569529</f>
        <v/>
      </c>
      <c r="AM109" s="7">
        <f>L109*0.0042847645+M109*0.0008569529</f>
        <v/>
      </c>
      <c r="AN109" s="7">
        <f>M109*0.0042847645+N109*0.0008569529</f>
        <v/>
      </c>
      <c r="AO109" s="7">
        <f>N109*0.0042847645+O109*0.0008569529</f>
        <v/>
      </c>
      <c r="AP109" s="7">
        <f>O109*0.0042847645+P109*0.0008569529</f>
        <v/>
      </c>
      <c r="AQ109" s="7">
        <f>P109*0.0042847645+Q109*0.0008569529</f>
        <v/>
      </c>
      <c r="AR109" s="7">
        <f>Q109*0.0042847645+R109*0.0008569529</f>
        <v/>
      </c>
      <c r="AS109" s="7">
        <f>R109*0.0042847645+S109*0.0008569529</f>
        <v/>
      </c>
      <c r="AT109" s="7">
        <f>S109*0.0042847645+T109*0.0008569529</f>
        <v/>
      </c>
      <c r="AU109" s="7">
        <f>T109*0.0042847645+U109*0.0008569529</f>
        <v/>
      </c>
      <c r="AV109" s="7">
        <f>U109*0.0042847645+V109*0.0008569529</f>
        <v/>
      </c>
      <c r="AW109" s="7">
        <f>V109*0.0042847645+W109*0.0008569529</f>
        <v/>
      </c>
      <c r="AX109" s="7">
        <f>W109*0.0042847645+X109*0.0008569529</f>
        <v/>
      </c>
      <c r="AY109" s="7">
        <f>X109*0.0042847645+Y109*0.0008569529</f>
        <v/>
      </c>
      <c r="AZ109" s="7">
        <f>Y109*0.0042847645+Z109*0.0008569529</f>
        <v/>
      </c>
      <c r="BA109" s="7">
        <f>Z109*0.0042847645+AA109*0.0008569529</f>
        <v/>
      </c>
      <c r="BB109" s="7">
        <f>SUM(AD109:BA109)</f>
        <v/>
      </c>
    </row>
    <row r="110">
      <c r="A110" t="inlineStr">
        <is>
          <t>AMD-RTS-RCLS-1302-SSC_2</t>
        </is>
      </c>
      <c r="B110" t="inlineStr">
        <is>
          <t>Rev OSC</t>
        </is>
      </c>
      <c r="C110" s="5" t="n">
        <v>46104</v>
      </c>
      <c r="D110" s="6" t="n">
        <v>0</v>
      </c>
      <c r="E110" s="6" t="n">
        <v>0</v>
      </c>
      <c r="F110" s="6" t="n">
        <v>0</v>
      </c>
      <c r="G110" s="6" t="n">
        <v>0</v>
      </c>
      <c r="H110" s="6" t="n">
        <v>0</v>
      </c>
      <c r="I110" s="6" t="n">
        <v>0</v>
      </c>
      <c r="J110" s="6" t="n">
        <v>0</v>
      </c>
      <c r="K110" s="6" t="n">
        <v>0</v>
      </c>
      <c r="L110" s="6" t="n">
        <v>0</v>
      </c>
      <c r="M110" s="6" t="n">
        <v>0</v>
      </c>
      <c r="N110" s="6" t="n">
        <v>0</v>
      </c>
      <c r="O110" s="6" t="n">
        <v>0</v>
      </c>
      <c r="P110" s="6" t="n">
        <v>0</v>
      </c>
      <c r="Q110" s="6" t="n">
        <v>0</v>
      </c>
      <c r="R110" s="6" t="n">
        <v>0</v>
      </c>
      <c r="S110" s="6" t="n">
        <v>1</v>
      </c>
      <c r="T110" s="6" t="n">
        <v>0</v>
      </c>
      <c r="U110" s="6" t="n">
        <v>0</v>
      </c>
      <c r="V110" s="6" t="n">
        <v>0</v>
      </c>
      <c r="W110" s="6" t="n">
        <v>0</v>
      </c>
      <c r="X110" s="6" t="n">
        <v>0</v>
      </c>
      <c r="Y110" s="6" t="n">
        <v>0</v>
      </c>
      <c r="Z110" s="6" t="n">
        <v>0</v>
      </c>
      <c r="AA110" s="6" t="n">
        <v>0</v>
      </c>
      <c r="AB110" s="6">
        <f>SUM(D110:AA110)</f>
        <v/>
      </c>
      <c r="AC110" s="3" t="inlineStr"/>
      <c r="AD110" s="7">
        <f>AA110*0.0042847645+D110*0.0008569529</f>
        <v/>
      </c>
      <c r="AE110" s="7">
        <f>D110*0.0042847645+E110*0.0008569529</f>
        <v/>
      </c>
      <c r="AF110" s="7">
        <f>E110*0.0042847645+F110*0.0008569529</f>
        <v/>
      </c>
      <c r="AG110" s="7">
        <f>F110*0.0042847645+G110*0.0008569529</f>
        <v/>
      </c>
      <c r="AH110" s="7">
        <f>G110*0.0042847645+H110*0.0008569529</f>
        <v/>
      </c>
      <c r="AI110" s="7">
        <f>H110*0.0042847645+I110*0.0008569529</f>
        <v/>
      </c>
      <c r="AJ110" s="7">
        <f>I110*0.0042847645+J110*0.0008569529</f>
        <v/>
      </c>
      <c r="AK110" s="7">
        <f>J110*0.0042847645+K110*0.0008569529</f>
        <v/>
      </c>
      <c r="AL110" s="7">
        <f>K110*0.0042847645+L110*0.0008569529</f>
        <v/>
      </c>
      <c r="AM110" s="7">
        <f>L110*0.0042847645+M110*0.0008569529</f>
        <v/>
      </c>
      <c r="AN110" s="7">
        <f>M110*0.0042847645+N110*0.0008569529</f>
        <v/>
      </c>
      <c r="AO110" s="7">
        <f>N110*0.0042847645+O110*0.0008569529</f>
        <v/>
      </c>
      <c r="AP110" s="7">
        <f>O110*0.0042847645+P110*0.0008569529</f>
        <v/>
      </c>
      <c r="AQ110" s="7">
        <f>P110*0.0042847645+Q110*0.0008569529</f>
        <v/>
      </c>
      <c r="AR110" s="7">
        <f>Q110*0.0042847645+R110*0.0008569529</f>
        <v/>
      </c>
      <c r="AS110" s="7">
        <f>R110*0.0042847645+S110*0.0008569529</f>
        <v/>
      </c>
      <c r="AT110" s="7">
        <f>S110*0.0042847645+T110*0.0008569529</f>
        <v/>
      </c>
      <c r="AU110" s="7">
        <f>T110*0.0042847645+U110*0.0008569529</f>
        <v/>
      </c>
      <c r="AV110" s="7">
        <f>U110*0.0042847645+V110*0.0008569529</f>
        <v/>
      </c>
      <c r="AW110" s="7">
        <f>V110*0.0042847645+W110*0.0008569529</f>
        <v/>
      </c>
      <c r="AX110" s="7">
        <f>W110*0.0042847645+X110*0.0008569529</f>
        <v/>
      </c>
      <c r="AY110" s="7">
        <f>X110*0.0042847645+Y110*0.0008569529</f>
        <v/>
      </c>
      <c r="AZ110" s="7">
        <f>Y110*0.0042847645+Z110*0.0008569529</f>
        <v/>
      </c>
      <c r="BA110" s="7">
        <f>Z110*0.0042847645+AA110*0.0008569529</f>
        <v/>
      </c>
      <c r="BB110" s="7">
        <f>SUM(AD110:BA110)</f>
        <v/>
      </c>
    </row>
    <row r="111">
      <c r="A111" t="inlineStr">
        <is>
          <t>DC-10-1</t>
        </is>
      </c>
      <c r="B111" t="inlineStr">
        <is>
          <t>DSC Manual</t>
        </is>
      </c>
      <c r="C111" s="5" t="n">
        <v>46089</v>
      </c>
      <c r="D111" s="6" t="n">
        <v>21</v>
      </c>
      <c r="E111" s="6" t="n">
        <v>7</v>
      </c>
      <c r="F111" s="6" t="n">
        <v>8</v>
      </c>
      <c r="G111" s="6" t="n">
        <v>13</v>
      </c>
      <c r="H111" s="6" t="n">
        <v>9</v>
      </c>
      <c r="I111" s="6" t="n">
        <v>24</v>
      </c>
      <c r="J111" s="6" t="n">
        <v>18</v>
      </c>
      <c r="K111" s="6" t="n">
        <v>2</v>
      </c>
      <c r="L111" s="6" t="n">
        <v>0</v>
      </c>
      <c r="M111" s="6" t="n">
        <v>0</v>
      </c>
      <c r="N111" s="6" t="n">
        <v>0</v>
      </c>
      <c r="O111" s="6" t="n">
        <v>0</v>
      </c>
      <c r="P111" s="6" t="n">
        <v>0</v>
      </c>
      <c r="Q111" s="6" t="n">
        <v>0</v>
      </c>
      <c r="R111" s="6" t="n">
        <v>133</v>
      </c>
      <c r="S111" s="6" t="n">
        <v>173</v>
      </c>
      <c r="T111" s="6" t="n">
        <v>21</v>
      </c>
      <c r="U111" s="6" t="n">
        <v>154</v>
      </c>
      <c r="V111" s="6" t="n">
        <v>133</v>
      </c>
      <c r="W111" s="6" t="n">
        <v>170</v>
      </c>
      <c r="X111" s="6" t="n">
        <v>155</v>
      </c>
      <c r="Y111" s="6" t="n">
        <v>151</v>
      </c>
      <c r="Z111" s="6" t="n">
        <v>0</v>
      </c>
      <c r="AA111" s="6" t="n">
        <v>0</v>
      </c>
      <c r="AB111" s="6">
        <f>SUM(D111:AA111)</f>
        <v/>
      </c>
      <c r="AC111" s="3" t="inlineStr"/>
      <c r="AD111" s="7">
        <f>AA111*0.0042847645+D111*0.0008569529</f>
        <v/>
      </c>
      <c r="AE111" s="7">
        <f>D111*0.0042847645+E111*0.0008569529</f>
        <v/>
      </c>
      <c r="AF111" s="7">
        <f>E111*0.0042847645+F111*0.0008569529</f>
        <v/>
      </c>
      <c r="AG111" s="7">
        <f>F111*0.0042847645+G111*0.0008569529</f>
        <v/>
      </c>
      <c r="AH111" s="7">
        <f>G111*0.0042847645+H111*0.0008569529</f>
        <v/>
      </c>
      <c r="AI111" s="7">
        <f>H111*0.0042847645+I111*0.0008569529</f>
        <v/>
      </c>
      <c r="AJ111" s="7">
        <f>I111*0.0042847645+J111*0.0008569529</f>
        <v/>
      </c>
      <c r="AK111" s="7">
        <f>J111*0.0042847645+K111*0.0008569529</f>
        <v/>
      </c>
      <c r="AL111" s="7">
        <f>K111*0.0042847645+L111*0.0008569529</f>
        <v/>
      </c>
      <c r="AM111" s="7">
        <f>L111*0.0042847645+M111*0.0008569529</f>
        <v/>
      </c>
      <c r="AN111" s="7">
        <f>M111*0.0042847645+N111*0.0008569529</f>
        <v/>
      </c>
      <c r="AO111" s="7">
        <f>N111*0.0042847645+O111*0.0008569529</f>
        <v/>
      </c>
      <c r="AP111" s="7">
        <f>O111*0.0042847645+P111*0.0008569529</f>
        <v/>
      </c>
      <c r="AQ111" s="7">
        <f>P111*0.0042847645+Q111*0.0008569529</f>
        <v/>
      </c>
      <c r="AR111" s="7">
        <f>Q111*0.0042847645+R111*0.0008569529</f>
        <v/>
      </c>
      <c r="AS111" s="7">
        <f>R111*0.0042847645+S111*0.0008569529</f>
        <v/>
      </c>
      <c r="AT111" s="7">
        <f>S111*0.0042847645+T111*0.0008569529</f>
        <v/>
      </c>
      <c r="AU111" s="7">
        <f>T111*0.0042847645+U111*0.0008569529</f>
        <v/>
      </c>
      <c r="AV111" s="7">
        <f>U111*0.0042847645+V111*0.0008569529</f>
        <v/>
      </c>
      <c r="AW111" s="7">
        <f>V111*0.0042847645+W111*0.0008569529</f>
        <v/>
      </c>
      <c r="AX111" s="7">
        <f>W111*0.0042847645+X111*0.0008569529</f>
        <v/>
      </c>
      <c r="AY111" s="7">
        <f>X111*0.0042847645+Y111*0.0008569529</f>
        <v/>
      </c>
      <c r="AZ111" s="7">
        <f>Y111*0.0042847645+Z111*0.0008569529</f>
        <v/>
      </c>
      <c r="BA111" s="7">
        <f>Z111*0.0042847645+AA111*0.0008569529</f>
        <v/>
      </c>
      <c r="BB111" s="7">
        <f>SUM(AD111:BA111)</f>
        <v/>
      </c>
    </row>
    <row r="112">
      <c r="A112" t="inlineStr">
        <is>
          <t>DC-10-1</t>
        </is>
      </c>
      <c r="B112" t="inlineStr">
        <is>
          <t>DSC Manual</t>
        </is>
      </c>
      <c r="C112" s="5" t="n">
        <v>46090</v>
      </c>
      <c r="D112" s="6" t="n">
        <v>31</v>
      </c>
      <c r="E112" s="6" t="n">
        <v>15</v>
      </c>
      <c r="F112" s="6" t="n">
        <v>17</v>
      </c>
      <c r="G112" s="6" t="n">
        <v>38</v>
      </c>
      <c r="H112" s="6" t="n">
        <v>32</v>
      </c>
      <c r="I112" s="6" t="n">
        <v>29</v>
      </c>
      <c r="J112" s="6" t="n">
        <v>16</v>
      </c>
      <c r="K112" s="6" t="n">
        <v>0</v>
      </c>
      <c r="L112" s="6" t="n">
        <v>0</v>
      </c>
      <c r="M112" s="6" t="n">
        <v>0</v>
      </c>
      <c r="N112" s="6" t="n">
        <v>0</v>
      </c>
      <c r="O112" s="6" t="n">
        <v>0</v>
      </c>
      <c r="P112" s="6" t="n">
        <v>0</v>
      </c>
      <c r="Q112" s="6" t="n">
        <v>53</v>
      </c>
      <c r="R112" s="6" t="n">
        <v>81</v>
      </c>
      <c r="S112" s="6" t="n">
        <v>96</v>
      </c>
      <c r="T112" s="6" t="n">
        <v>112</v>
      </c>
      <c r="U112" s="6" t="n">
        <v>17</v>
      </c>
      <c r="V112" s="6" t="n">
        <v>148</v>
      </c>
      <c r="W112" s="6" t="n">
        <v>166</v>
      </c>
      <c r="X112" s="6" t="n">
        <v>152</v>
      </c>
      <c r="Y112" s="6" t="n">
        <v>141</v>
      </c>
      <c r="Z112" s="6" t="n">
        <v>12</v>
      </c>
      <c r="AA112" s="6" t="n">
        <v>0</v>
      </c>
      <c r="AB112" s="6">
        <f>SUM(D112:AA112)</f>
        <v/>
      </c>
      <c r="AC112" s="3" t="inlineStr"/>
      <c r="AD112" s="7">
        <f>AA112*0.0042847645+D112*0.0008569529</f>
        <v/>
      </c>
      <c r="AE112" s="7">
        <f>D112*0.0042847645+E112*0.0008569529</f>
        <v/>
      </c>
      <c r="AF112" s="7">
        <f>E112*0.0042847645+F112*0.0008569529</f>
        <v/>
      </c>
      <c r="AG112" s="7">
        <f>F112*0.0042847645+G112*0.0008569529</f>
        <v/>
      </c>
      <c r="AH112" s="7">
        <f>G112*0.0042847645+H112*0.0008569529</f>
        <v/>
      </c>
      <c r="AI112" s="7">
        <f>H112*0.0042847645+I112*0.0008569529</f>
        <v/>
      </c>
      <c r="AJ112" s="7">
        <f>I112*0.0042847645+J112*0.0008569529</f>
        <v/>
      </c>
      <c r="AK112" s="7">
        <f>J112*0.0042847645+K112*0.0008569529</f>
        <v/>
      </c>
      <c r="AL112" s="7">
        <f>K112*0.0042847645+L112*0.0008569529</f>
        <v/>
      </c>
      <c r="AM112" s="7">
        <f>L112*0.0042847645+M112*0.0008569529</f>
        <v/>
      </c>
      <c r="AN112" s="7">
        <f>M112*0.0042847645+N112*0.0008569529</f>
        <v/>
      </c>
      <c r="AO112" s="7">
        <f>N112*0.0042847645+O112*0.0008569529</f>
        <v/>
      </c>
      <c r="AP112" s="7">
        <f>O112*0.0042847645+P112*0.0008569529</f>
        <v/>
      </c>
      <c r="AQ112" s="7">
        <f>P112*0.0042847645+Q112*0.0008569529</f>
        <v/>
      </c>
      <c r="AR112" s="7">
        <f>Q112*0.0042847645+R112*0.0008569529</f>
        <v/>
      </c>
      <c r="AS112" s="7">
        <f>R112*0.0042847645+S112*0.0008569529</f>
        <v/>
      </c>
      <c r="AT112" s="7">
        <f>S112*0.0042847645+T112*0.0008569529</f>
        <v/>
      </c>
      <c r="AU112" s="7">
        <f>T112*0.0042847645+U112*0.0008569529</f>
        <v/>
      </c>
      <c r="AV112" s="7">
        <f>U112*0.0042847645+V112*0.0008569529</f>
        <v/>
      </c>
      <c r="AW112" s="7">
        <f>V112*0.0042847645+W112*0.0008569529</f>
        <v/>
      </c>
      <c r="AX112" s="7">
        <f>W112*0.0042847645+X112*0.0008569529</f>
        <v/>
      </c>
      <c r="AY112" s="7">
        <f>X112*0.0042847645+Y112*0.0008569529</f>
        <v/>
      </c>
      <c r="AZ112" s="7">
        <f>Y112*0.0042847645+Z112*0.0008569529</f>
        <v/>
      </c>
      <c r="BA112" s="7">
        <f>Z112*0.0042847645+AA112*0.0008569529</f>
        <v/>
      </c>
      <c r="BB112" s="7">
        <f>SUM(AD112:BA112)</f>
        <v/>
      </c>
    </row>
    <row r="113">
      <c r="A113" t="inlineStr">
        <is>
          <t>DC-10-1</t>
        </is>
      </c>
      <c r="B113" t="inlineStr">
        <is>
          <t>DSC Manual</t>
        </is>
      </c>
      <c r="C113" s="5" t="n">
        <v>46091</v>
      </c>
      <c r="D113" s="6" t="n">
        <v>26</v>
      </c>
      <c r="E113" s="6" t="n">
        <v>4</v>
      </c>
      <c r="F113" s="6" t="n">
        <v>0</v>
      </c>
      <c r="G113" s="6" t="n">
        <v>46</v>
      </c>
      <c r="H113" s="6" t="n">
        <v>31</v>
      </c>
      <c r="I113" s="6" t="n">
        <v>39</v>
      </c>
      <c r="J113" s="6" t="n">
        <v>12</v>
      </c>
      <c r="K113" s="6" t="n">
        <v>0</v>
      </c>
      <c r="L113" s="6" t="n">
        <v>0</v>
      </c>
      <c r="M113" s="6" t="n">
        <v>0</v>
      </c>
      <c r="N113" s="6" t="n">
        <v>0</v>
      </c>
      <c r="O113" s="6" t="n">
        <v>0</v>
      </c>
      <c r="P113" s="6" t="n">
        <v>27</v>
      </c>
      <c r="Q113" s="6" t="n">
        <v>124</v>
      </c>
      <c r="R113" s="6" t="n">
        <v>166</v>
      </c>
      <c r="S113" s="6" t="n">
        <v>148</v>
      </c>
      <c r="T113" s="6" t="n">
        <v>146</v>
      </c>
      <c r="U113" s="6" t="n">
        <v>9</v>
      </c>
      <c r="V113" s="6" t="n">
        <v>218</v>
      </c>
      <c r="W113" s="6" t="n">
        <v>185</v>
      </c>
      <c r="X113" s="6" t="n">
        <v>210</v>
      </c>
      <c r="Y113" s="6" t="n">
        <v>178</v>
      </c>
      <c r="Z113" s="6" t="n">
        <v>0</v>
      </c>
      <c r="AA113" s="6" t="n">
        <v>25</v>
      </c>
      <c r="AB113" s="6">
        <f>SUM(D113:AA113)</f>
        <v/>
      </c>
      <c r="AC113" s="3" t="inlineStr"/>
      <c r="AD113" s="7">
        <f>AA113*0.0042847645+D113*0.0008569529</f>
        <v/>
      </c>
      <c r="AE113" s="7">
        <f>D113*0.0042847645+E113*0.0008569529</f>
        <v/>
      </c>
      <c r="AF113" s="7">
        <f>E113*0.0042847645+F113*0.0008569529</f>
        <v/>
      </c>
      <c r="AG113" s="7">
        <f>F113*0.0042847645+G113*0.0008569529</f>
        <v/>
      </c>
      <c r="AH113" s="7">
        <f>G113*0.0042847645+H113*0.0008569529</f>
        <v/>
      </c>
      <c r="AI113" s="7">
        <f>H113*0.0042847645+I113*0.0008569529</f>
        <v/>
      </c>
      <c r="AJ113" s="7">
        <f>I113*0.0042847645+J113*0.0008569529</f>
        <v/>
      </c>
      <c r="AK113" s="7">
        <f>J113*0.0042847645+K113*0.0008569529</f>
        <v/>
      </c>
      <c r="AL113" s="7">
        <f>K113*0.0042847645+L113*0.0008569529</f>
        <v/>
      </c>
      <c r="AM113" s="7">
        <f>L113*0.0042847645+M113*0.0008569529</f>
        <v/>
      </c>
      <c r="AN113" s="7">
        <f>M113*0.0042847645+N113*0.0008569529</f>
        <v/>
      </c>
      <c r="AO113" s="7">
        <f>N113*0.0042847645+O113*0.0008569529</f>
        <v/>
      </c>
      <c r="AP113" s="7">
        <f>O113*0.0042847645+P113*0.0008569529</f>
        <v/>
      </c>
      <c r="AQ113" s="7">
        <f>P113*0.0042847645+Q113*0.0008569529</f>
        <v/>
      </c>
      <c r="AR113" s="7">
        <f>Q113*0.0042847645+R113*0.0008569529</f>
        <v/>
      </c>
      <c r="AS113" s="7">
        <f>R113*0.0042847645+S113*0.0008569529</f>
        <v/>
      </c>
      <c r="AT113" s="7">
        <f>S113*0.0042847645+T113*0.0008569529</f>
        <v/>
      </c>
      <c r="AU113" s="7">
        <f>T113*0.0042847645+U113*0.0008569529</f>
        <v/>
      </c>
      <c r="AV113" s="7">
        <f>U113*0.0042847645+V113*0.0008569529</f>
        <v/>
      </c>
      <c r="AW113" s="7">
        <f>V113*0.0042847645+W113*0.0008569529</f>
        <v/>
      </c>
      <c r="AX113" s="7">
        <f>W113*0.0042847645+X113*0.0008569529</f>
        <v/>
      </c>
      <c r="AY113" s="7">
        <f>X113*0.0042847645+Y113*0.0008569529</f>
        <v/>
      </c>
      <c r="AZ113" s="7">
        <f>Y113*0.0042847645+Z113*0.0008569529</f>
        <v/>
      </c>
      <c r="BA113" s="7">
        <f>Z113*0.0042847645+AA113*0.0008569529</f>
        <v/>
      </c>
      <c r="BB113" s="7">
        <f>SUM(AD113:BA113)</f>
        <v/>
      </c>
    </row>
    <row r="114">
      <c r="A114" t="inlineStr">
        <is>
          <t>DC-10-1</t>
        </is>
      </c>
      <c r="B114" t="inlineStr">
        <is>
          <t>DSC Manual</t>
        </is>
      </c>
      <c r="C114" s="5" t="n">
        <v>46092</v>
      </c>
      <c r="D114" s="6" t="n">
        <v>25</v>
      </c>
      <c r="E114" s="6" t="n">
        <v>2</v>
      </c>
      <c r="F114" s="6" t="n">
        <v>21</v>
      </c>
      <c r="G114" s="6" t="n">
        <v>60</v>
      </c>
      <c r="H114" s="6" t="n">
        <v>15</v>
      </c>
      <c r="I114" s="6" t="n">
        <v>54</v>
      </c>
      <c r="J114" s="6" t="n">
        <v>27</v>
      </c>
      <c r="K114" s="6" t="n">
        <v>4</v>
      </c>
      <c r="L114" s="6" t="n">
        <v>0</v>
      </c>
      <c r="M114" s="6" t="n">
        <v>0</v>
      </c>
      <c r="N114" s="6" t="n">
        <v>0</v>
      </c>
      <c r="O114" s="6" t="n">
        <v>0</v>
      </c>
      <c r="P114" s="6" t="n">
        <v>0</v>
      </c>
      <c r="Q114" s="6" t="n">
        <v>97</v>
      </c>
      <c r="R114" s="6" t="n">
        <v>179</v>
      </c>
      <c r="S114" s="6" t="n">
        <v>156</v>
      </c>
      <c r="T114" s="6" t="n">
        <v>45</v>
      </c>
      <c r="U114" s="6" t="n">
        <v>163</v>
      </c>
      <c r="V114" s="6" t="n">
        <v>190</v>
      </c>
      <c r="W114" s="6" t="n">
        <v>213</v>
      </c>
      <c r="X114" s="6" t="n">
        <v>214</v>
      </c>
      <c r="Y114" s="6" t="n">
        <v>209</v>
      </c>
      <c r="Z114" s="6" t="n">
        <v>3</v>
      </c>
      <c r="AA114" s="6" t="n">
        <v>31</v>
      </c>
      <c r="AB114" s="6">
        <f>SUM(D114:AA114)</f>
        <v/>
      </c>
      <c r="AC114" s="3" t="inlineStr"/>
      <c r="AD114" s="7">
        <f>AA114*0.0042847645+D114*0.0008569529</f>
        <v/>
      </c>
      <c r="AE114" s="7">
        <f>D114*0.0042847645+E114*0.0008569529</f>
        <v/>
      </c>
      <c r="AF114" s="7">
        <f>E114*0.0042847645+F114*0.0008569529</f>
        <v/>
      </c>
      <c r="AG114" s="7">
        <f>F114*0.0042847645+G114*0.0008569529</f>
        <v/>
      </c>
      <c r="AH114" s="7">
        <f>G114*0.0042847645+H114*0.0008569529</f>
        <v/>
      </c>
      <c r="AI114" s="7">
        <f>H114*0.0042847645+I114*0.0008569529</f>
        <v/>
      </c>
      <c r="AJ114" s="7">
        <f>I114*0.0042847645+J114*0.0008569529</f>
        <v/>
      </c>
      <c r="AK114" s="7">
        <f>J114*0.0042847645+K114*0.0008569529</f>
        <v/>
      </c>
      <c r="AL114" s="7">
        <f>K114*0.0042847645+L114*0.0008569529</f>
        <v/>
      </c>
      <c r="AM114" s="7">
        <f>L114*0.0042847645+M114*0.0008569529</f>
        <v/>
      </c>
      <c r="AN114" s="7">
        <f>M114*0.0042847645+N114*0.0008569529</f>
        <v/>
      </c>
      <c r="AO114" s="7">
        <f>N114*0.0042847645+O114*0.0008569529</f>
        <v/>
      </c>
      <c r="AP114" s="7">
        <f>O114*0.0042847645+P114*0.0008569529</f>
        <v/>
      </c>
      <c r="AQ114" s="7">
        <f>P114*0.0042847645+Q114*0.0008569529</f>
        <v/>
      </c>
      <c r="AR114" s="7">
        <f>Q114*0.0042847645+R114*0.0008569529</f>
        <v/>
      </c>
      <c r="AS114" s="7">
        <f>R114*0.0042847645+S114*0.0008569529</f>
        <v/>
      </c>
      <c r="AT114" s="7">
        <f>S114*0.0042847645+T114*0.0008569529</f>
        <v/>
      </c>
      <c r="AU114" s="7">
        <f>T114*0.0042847645+U114*0.0008569529</f>
        <v/>
      </c>
      <c r="AV114" s="7">
        <f>U114*0.0042847645+V114*0.0008569529</f>
        <v/>
      </c>
      <c r="AW114" s="7">
        <f>V114*0.0042847645+W114*0.0008569529</f>
        <v/>
      </c>
      <c r="AX114" s="7">
        <f>W114*0.0042847645+X114*0.0008569529</f>
        <v/>
      </c>
      <c r="AY114" s="7">
        <f>X114*0.0042847645+Y114*0.0008569529</f>
        <v/>
      </c>
      <c r="AZ114" s="7">
        <f>Y114*0.0042847645+Z114*0.0008569529</f>
        <v/>
      </c>
      <c r="BA114" s="7">
        <f>Z114*0.0042847645+AA114*0.0008569529</f>
        <v/>
      </c>
      <c r="BB114" s="7">
        <f>SUM(AD114:BA114)</f>
        <v/>
      </c>
    </row>
    <row r="115">
      <c r="A115" t="inlineStr">
        <is>
          <t>DC-10-1</t>
        </is>
      </c>
      <c r="B115" t="inlineStr">
        <is>
          <t>DSC Manual</t>
        </is>
      </c>
      <c r="C115" s="5" t="n">
        <v>46093</v>
      </c>
      <c r="D115" s="6" t="n">
        <v>63</v>
      </c>
      <c r="E115" s="6" t="n">
        <v>9</v>
      </c>
      <c r="F115" s="6" t="n">
        <v>37</v>
      </c>
      <c r="G115" s="6" t="n">
        <v>57</v>
      </c>
      <c r="H115" s="6" t="n">
        <v>36</v>
      </c>
      <c r="I115" s="6" t="n">
        <v>44</v>
      </c>
      <c r="J115" s="6" t="n">
        <v>48</v>
      </c>
      <c r="K115" s="6" t="n">
        <v>12</v>
      </c>
      <c r="L115" s="6" t="n">
        <v>0</v>
      </c>
      <c r="M115" s="6" t="n">
        <v>0</v>
      </c>
      <c r="N115" s="6" t="n">
        <v>4</v>
      </c>
      <c r="O115" s="6" t="n">
        <v>24</v>
      </c>
      <c r="P115" s="6" t="n">
        <v>0</v>
      </c>
      <c r="Q115" s="6" t="n">
        <v>0</v>
      </c>
      <c r="R115" s="6" t="n">
        <v>231</v>
      </c>
      <c r="S115" s="6" t="n">
        <v>187</v>
      </c>
      <c r="T115" s="6" t="n">
        <v>62</v>
      </c>
      <c r="U115" s="6" t="n">
        <v>140</v>
      </c>
      <c r="V115" s="6" t="n">
        <v>146</v>
      </c>
      <c r="W115" s="6" t="n">
        <v>162</v>
      </c>
      <c r="X115" s="6" t="n">
        <v>145</v>
      </c>
      <c r="Y115" s="6" t="n">
        <v>161</v>
      </c>
      <c r="Z115" s="6" t="n">
        <v>7</v>
      </c>
      <c r="AA115" s="6" t="n">
        <v>40</v>
      </c>
      <c r="AB115" s="6">
        <f>SUM(D115:AA115)</f>
        <v/>
      </c>
      <c r="AC115" s="3" t="inlineStr"/>
      <c r="AD115" s="7">
        <f>AA115*0.0042847645+D115*0.0008569529</f>
        <v/>
      </c>
      <c r="AE115" s="7">
        <f>D115*0.0042847645+E115*0.0008569529</f>
        <v/>
      </c>
      <c r="AF115" s="7">
        <f>E115*0.0042847645+F115*0.0008569529</f>
        <v/>
      </c>
      <c r="AG115" s="7">
        <f>F115*0.0042847645+G115*0.0008569529</f>
        <v/>
      </c>
      <c r="AH115" s="7">
        <f>G115*0.0042847645+H115*0.0008569529</f>
        <v/>
      </c>
      <c r="AI115" s="7">
        <f>H115*0.0042847645+I115*0.0008569529</f>
        <v/>
      </c>
      <c r="AJ115" s="7">
        <f>I115*0.0042847645+J115*0.0008569529</f>
        <v/>
      </c>
      <c r="AK115" s="7">
        <f>J115*0.0042847645+K115*0.0008569529</f>
        <v/>
      </c>
      <c r="AL115" s="7">
        <f>K115*0.0042847645+L115*0.0008569529</f>
        <v/>
      </c>
      <c r="AM115" s="7">
        <f>L115*0.0042847645+M115*0.0008569529</f>
        <v/>
      </c>
      <c r="AN115" s="7">
        <f>M115*0.0042847645+N115*0.0008569529</f>
        <v/>
      </c>
      <c r="AO115" s="7">
        <f>N115*0.0042847645+O115*0.0008569529</f>
        <v/>
      </c>
      <c r="AP115" s="7">
        <f>O115*0.0042847645+P115*0.0008569529</f>
        <v/>
      </c>
      <c r="AQ115" s="7">
        <f>P115*0.0042847645+Q115*0.0008569529</f>
        <v/>
      </c>
      <c r="AR115" s="7">
        <f>Q115*0.0042847645+R115*0.0008569529</f>
        <v/>
      </c>
      <c r="AS115" s="7">
        <f>R115*0.0042847645+S115*0.0008569529</f>
        <v/>
      </c>
      <c r="AT115" s="7">
        <f>S115*0.0042847645+T115*0.0008569529</f>
        <v/>
      </c>
      <c r="AU115" s="7">
        <f>T115*0.0042847645+U115*0.0008569529</f>
        <v/>
      </c>
      <c r="AV115" s="7">
        <f>U115*0.0042847645+V115*0.0008569529</f>
        <v/>
      </c>
      <c r="AW115" s="7">
        <f>V115*0.0042847645+W115*0.0008569529</f>
        <v/>
      </c>
      <c r="AX115" s="7">
        <f>W115*0.0042847645+X115*0.0008569529</f>
        <v/>
      </c>
      <c r="AY115" s="7">
        <f>X115*0.0042847645+Y115*0.0008569529</f>
        <v/>
      </c>
      <c r="AZ115" s="7">
        <f>Y115*0.0042847645+Z115*0.0008569529</f>
        <v/>
      </c>
      <c r="BA115" s="7">
        <f>Z115*0.0042847645+AA115*0.0008569529</f>
        <v/>
      </c>
      <c r="BB115" s="7">
        <f>SUM(AD115:BA115)</f>
        <v/>
      </c>
    </row>
    <row r="116">
      <c r="A116" t="inlineStr">
        <is>
          <t>DC-10-1</t>
        </is>
      </c>
      <c r="B116" t="inlineStr">
        <is>
          <t>DSC Manual</t>
        </is>
      </c>
      <c r="C116" s="5" t="n">
        <v>46094</v>
      </c>
      <c r="D116" s="6" t="n">
        <v>38</v>
      </c>
      <c r="E116" s="6" t="n">
        <v>4</v>
      </c>
      <c r="F116" s="6" t="n">
        <v>24</v>
      </c>
      <c r="G116" s="6" t="n">
        <v>27</v>
      </c>
      <c r="H116" s="6" t="n">
        <v>22</v>
      </c>
      <c r="I116" s="6" t="n">
        <v>23</v>
      </c>
      <c r="J116" s="6" t="n">
        <v>16</v>
      </c>
      <c r="K116" s="6" t="n">
        <v>1</v>
      </c>
      <c r="L116" s="6" t="n">
        <v>21</v>
      </c>
      <c r="M116" s="6" t="n">
        <v>40</v>
      </c>
      <c r="N116" s="6" t="n">
        <v>58</v>
      </c>
      <c r="O116" s="6" t="n">
        <v>2</v>
      </c>
      <c r="P116" s="6" t="n">
        <v>0</v>
      </c>
      <c r="Q116" s="6" t="n">
        <v>0</v>
      </c>
      <c r="R116" s="6" t="n">
        <v>170</v>
      </c>
      <c r="S116" s="6" t="n">
        <v>193</v>
      </c>
      <c r="T116" s="6" t="n">
        <v>78</v>
      </c>
      <c r="U116" s="6" t="n">
        <v>206</v>
      </c>
      <c r="V116" s="6" t="n">
        <v>193</v>
      </c>
      <c r="W116" s="6" t="n">
        <v>272</v>
      </c>
      <c r="X116" s="6" t="n">
        <v>174</v>
      </c>
      <c r="Y116" s="6" t="n">
        <v>0</v>
      </c>
      <c r="Z116" s="6" t="n">
        <v>0</v>
      </c>
      <c r="AA116" s="6" t="n">
        <v>8</v>
      </c>
      <c r="AB116" s="6">
        <f>SUM(D116:AA116)</f>
        <v/>
      </c>
      <c r="AC116" s="3" t="inlineStr"/>
      <c r="AD116" s="7">
        <f>AA116*0.0042847645+D116*0.0008569529</f>
        <v/>
      </c>
      <c r="AE116" s="7">
        <f>D116*0.0042847645+E116*0.0008569529</f>
        <v/>
      </c>
      <c r="AF116" s="7">
        <f>E116*0.0042847645+F116*0.0008569529</f>
        <v/>
      </c>
      <c r="AG116" s="7">
        <f>F116*0.0042847645+G116*0.0008569529</f>
        <v/>
      </c>
      <c r="AH116" s="7">
        <f>G116*0.0042847645+H116*0.0008569529</f>
        <v/>
      </c>
      <c r="AI116" s="7">
        <f>H116*0.0042847645+I116*0.0008569529</f>
        <v/>
      </c>
      <c r="AJ116" s="7">
        <f>I116*0.0042847645+J116*0.0008569529</f>
        <v/>
      </c>
      <c r="AK116" s="7">
        <f>J116*0.0042847645+K116*0.0008569529</f>
        <v/>
      </c>
      <c r="AL116" s="7">
        <f>K116*0.0042847645+L116*0.0008569529</f>
        <v/>
      </c>
      <c r="AM116" s="7">
        <f>L116*0.0042847645+M116*0.0008569529</f>
        <v/>
      </c>
      <c r="AN116" s="7">
        <f>M116*0.0042847645+N116*0.0008569529</f>
        <v/>
      </c>
      <c r="AO116" s="7">
        <f>N116*0.0042847645+O116*0.0008569529</f>
        <v/>
      </c>
      <c r="AP116" s="7">
        <f>O116*0.0042847645+P116*0.0008569529</f>
        <v/>
      </c>
      <c r="AQ116" s="7">
        <f>P116*0.0042847645+Q116*0.0008569529</f>
        <v/>
      </c>
      <c r="AR116" s="7">
        <f>Q116*0.0042847645+R116*0.0008569529</f>
        <v/>
      </c>
      <c r="AS116" s="7">
        <f>R116*0.0042847645+S116*0.0008569529</f>
        <v/>
      </c>
      <c r="AT116" s="7">
        <f>S116*0.0042847645+T116*0.0008569529</f>
        <v/>
      </c>
      <c r="AU116" s="7">
        <f>T116*0.0042847645+U116*0.0008569529</f>
        <v/>
      </c>
      <c r="AV116" s="7">
        <f>U116*0.0042847645+V116*0.0008569529</f>
        <v/>
      </c>
      <c r="AW116" s="7">
        <f>V116*0.0042847645+W116*0.0008569529</f>
        <v/>
      </c>
      <c r="AX116" s="7">
        <f>W116*0.0042847645+X116*0.0008569529</f>
        <v/>
      </c>
      <c r="AY116" s="7">
        <f>X116*0.0042847645+Y116*0.0008569529</f>
        <v/>
      </c>
      <c r="AZ116" s="7">
        <f>Y116*0.0042847645+Z116*0.0008569529</f>
        <v/>
      </c>
      <c r="BA116" s="7">
        <f>Z116*0.0042847645+AA116*0.0008569529</f>
        <v/>
      </c>
      <c r="BB116" s="7">
        <f>SUM(AD116:BA116)</f>
        <v/>
      </c>
    </row>
    <row r="117">
      <c r="A117" t="inlineStr">
        <is>
          <t>DC-10-1</t>
        </is>
      </c>
      <c r="B117" t="inlineStr">
        <is>
          <t>DSC Manual</t>
        </is>
      </c>
      <c r="C117" s="5" t="n">
        <v>46095</v>
      </c>
      <c r="D117" s="6" t="n">
        <v>19</v>
      </c>
      <c r="E117" s="6" t="n">
        <v>2</v>
      </c>
      <c r="F117" s="6" t="n">
        <v>10</v>
      </c>
      <c r="G117" s="6" t="n">
        <v>19</v>
      </c>
      <c r="H117" s="6" t="n">
        <v>19</v>
      </c>
      <c r="I117" s="6" t="n">
        <v>44</v>
      </c>
      <c r="J117" s="6" t="n">
        <v>46</v>
      </c>
      <c r="K117" s="6" t="n">
        <v>0</v>
      </c>
      <c r="L117" s="6" t="n">
        <v>0</v>
      </c>
      <c r="M117" s="6" t="n">
        <v>48</v>
      </c>
      <c r="N117" s="6" t="n">
        <v>41</v>
      </c>
      <c r="O117" s="6" t="n">
        <v>29</v>
      </c>
      <c r="P117" s="6" t="n">
        <v>2</v>
      </c>
      <c r="Q117" s="6" t="n">
        <v>1</v>
      </c>
      <c r="R117" s="6" t="n">
        <v>245</v>
      </c>
      <c r="S117" s="6" t="n">
        <v>200</v>
      </c>
      <c r="T117" s="6" t="n">
        <v>31</v>
      </c>
      <c r="U117" s="6" t="n">
        <v>213</v>
      </c>
      <c r="V117" s="6" t="n">
        <v>164</v>
      </c>
      <c r="W117" s="6" t="n">
        <v>57</v>
      </c>
      <c r="X117" s="6" t="n">
        <v>5</v>
      </c>
      <c r="Y117" s="6" t="n">
        <v>2</v>
      </c>
      <c r="Z117" s="6" t="n">
        <v>9</v>
      </c>
      <c r="AA117" s="6" t="n">
        <v>54</v>
      </c>
      <c r="AB117" s="6">
        <f>SUM(D117:AA117)</f>
        <v/>
      </c>
      <c r="AC117" s="3" t="inlineStr"/>
      <c r="AD117" s="7">
        <f>AA117*0.0042847645+D117*0.0008569529</f>
        <v/>
      </c>
      <c r="AE117" s="7">
        <f>D117*0.0042847645+E117*0.0008569529</f>
        <v/>
      </c>
      <c r="AF117" s="7">
        <f>E117*0.0042847645+F117*0.0008569529</f>
        <v/>
      </c>
      <c r="AG117" s="7">
        <f>F117*0.0042847645+G117*0.0008569529</f>
        <v/>
      </c>
      <c r="AH117" s="7">
        <f>G117*0.0042847645+H117*0.0008569529</f>
        <v/>
      </c>
      <c r="AI117" s="7">
        <f>H117*0.0042847645+I117*0.0008569529</f>
        <v/>
      </c>
      <c r="AJ117" s="7">
        <f>I117*0.0042847645+J117*0.0008569529</f>
        <v/>
      </c>
      <c r="AK117" s="7">
        <f>J117*0.0042847645+K117*0.0008569529</f>
        <v/>
      </c>
      <c r="AL117" s="7">
        <f>K117*0.0042847645+L117*0.0008569529</f>
        <v/>
      </c>
      <c r="AM117" s="7">
        <f>L117*0.0042847645+M117*0.0008569529</f>
        <v/>
      </c>
      <c r="AN117" s="7">
        <f>M117*0.0042847645+N117*0.0008569529</f>
        <v/>
      </c>
      <c r="AO117" s="7">
        <f>N117*0.0042847645+O117*0.0008569529</f>
        <v/>
      </c>
      <c r="AP117" s="7">
        <f>O117*0.0042847645+P117*0.0008569529</f>
        <v/>
      </c>
      <c r="AQ117" s="7">
        <f>P117*0.0042847645+Q117*0.0008569529</f>
        <v/>
      </c>
      <c r="AR117" s="7">
        <f>Q117*0.0042847645+R117*0.0008569529</f>
        <v/>
      </c>
      <c r="AS117" s="7">
        <f>R117*0.0042847645+S117*0.0008569529</f>
        <v/>
      </c>
      <c r="AT117" s="7">
        <f>S117*0.0042847645+T117*0.0008569529</f>
        <v/>
      </c>
      <c r="AU117" s="7">
        <f>T117*0.0042847645+U117*0.0008569529</f>
        <v/>
      </c>
      <c r="AV117" s="7">
        <f>U117*0.0042847645+V117*0.0008569529</f>
        <v/>
      </c>
      <c r="AW117" s="7">
        <f>V117*0.0042847645+W117*0.0008569529</f>
        <v/>
      </c>
      <c r="AX117" s="7">
        <f>W117*0.0042847645+X117*0.0008569529</f>
        <v/>
      </c>
      <c r="AY117" s="7">
        <f>X117*0.0042847645+Y117*0.0008569529</f>
        <v/>
      </c>
      <c r="AZ117" s="7">
        <f>Y117*0.0042847645+Z117*0.0008569529</f>
        <v/>
      </c>
      <c r="BA117" s="7">
        <f>Z117*0.0042847645+AA117*0.0008569529</f>
        <v/>
      </c>
      <c r="BB117" s="7">
        <f>SUM(AD117:BA117)</f>
        <v/>
      </c>
    </row>
    <row r="118">
      <c r="A118" t="inlineStr">
        <is>
          <t>DC-10-1</t>
        </is>
      </c>
      <c r="B118" t="inlineStr">
        <is>
          <t>DSC Manual</t>
        </is>
      </c>
      <c r="C118" s="5" t="n">
        <v>46096</v>
      </c>
      <c r="D118" s="6" t="n">
        <v>29</v>
      </c>
      <c r="E118" s="6" t="n">
        <v>15</v>
      </c>
      <c r="F118" s="6" t="n">
        <v>31</v>
      </c>
      <c r="G118" s="6" t="n">
        <v>40</v>
      </c>
      <c r="H118" s="6" t="n">
        <v>23</v>
      </c>
      <c r="I118" s="6" t="n">
        <v>26</v>
      </c>
      <c r="J118" s="6" t="n">
        <v>17</v>
      </c>
      <c r="K118" s="6" t="n">
        <v>3</v>
      </c>
      <c r="L118" s="6" t="n">
        <v>0</v>
      </c>
      <c r="M118" s="6" t="n">
        <v>0</v>
      </c>
      <c r="N118" s="6" t="n">
        <v>0</v>
      </c>
      <c r="O118" s="6" t="n">
        <v>0</v>
      </c>
      <c r="P118" s="6" t="n">
        <v>0</v>
      </c>
      <c r="Q118" s="6" t="n">
        <v>0</v>
      </c>
      <c r="R118" s="6" t="n">
        <v>192</v>
      </c>
      <c r="S118" s="6" t="n">
        <v>146</v>
      </c>
      <c r="T118" s="6" t="n">
        <v>63</v>
      </c>
      <c r="U118" s="6" t="n">
        <v>172</v>
      </c>
      <c r="V118" s="6" t="n">
        <v>162</v>
      </c>
      <c r="W118" s="6" t="n">
        <v>206</v>
      </c>
      <c r="X118" s="6" t="n">
        <v>238</v>
      </c>
      <c r="Y118" s="6" t="n">
        <v>25</v>
      </c>
      <c r="Z118" s="6" t="n">
        <v>0</v>
      </c>
      <c r="AA118" s="6" t="n">
        <v>14</v>
      </c>
      <c r="AB118" s="6">
        <f>SUM(D118:AA118)</f>
        <v/>
      </c>
      <c r="AC118" s="3" t="inlineStr"/>
      <c r="AD118" s="7">
        <f>AA118*0.0042847645+D118*0.0008569529</f>
        <v/>
      </c>
      <c r="AE118" s="7">
        <f>D118*0.0042847645+E118*0.0008569529</f>
        <v/>
      </c>
      <c r="AF118" s="7">
        <f>E118*0.0042847645+F118*0.0008569529</f>
        <v/>
      </c>
      <c r="AG118" s="7">
        <f>F118*0.0042847645+G118*0.0008569529</f>
        <v/>
      </c>
      <c r="AH118" s="7">
        <f>G118*0.0042847645+H118*0.0008569529</f>
        <v/>
      </c>
      <c r="AI118" s="7">
        <f>H118*0.0042847645+I118*0.0008569529</f>
        <v/>
      </c>
      <c r="AJ118" s="7">
        <f>I118*0.0042847645+J118*0.0008569529</f>
        <v/>
      </c>
      <c r="AK118" s="7">
        <f>J118*0.0042847645+K118*0.0008569529</f>
        <v/>
      </c>
      <c r="AL118" s="7">
        <f>K118*0.0042847645+L118*0.0008569529</f>
        <v/>
      </c>
      <c r="AM118" s="7">
        <f>L118*0.0042847645+M118*0.0008569529</f>
        <v/>
      </c>
      <c r="AN118" s="7">
        <f>M118*0.0042847645+N118*0.0008569529</f>
        <v/>
      </c>
      <c r="AO118" s="7">
        <f>N118*0.0042847645+O118*0.0008569529</f>
        <v/>
      </c>
      <c r="AP118" s="7">
        <f>O118*0.0042847645+P118*0.0008569529</f>
        <v/>
      </c>
      <c r="AQ118" s="7">
        <f>P118*0.0042847645+Q118*0.0008569529</f>
        <v/>
      </c>
      <c r="AR118" s="7">
        <f>Q118*0.0042847645+R118*0.0008569529</f>
        <v/>
      </c>
      <c r="AS118" s="7">
        <f>R118*0.0042847645+S118*0.0008569529</f>
        <v/>
      </c>
      <c r="AT118" s="7">
        <f>S118*0.0042847645+T118*0.0008569529</f>
        <v/>
      </c>
      <c r="AU118" s="7">
        <f>T118*0.0042847645+U118*0.0008569529</f>
        <v/>
      </c>
      <c r="AV118" s="7">
        <f>U118*0.0042847645+V118*0.0008569529</f>
        <v/>
      </c>
      <c r="AW118" s="7">
        <f>V118*0.0042847645+W118*0.0008569529</f>
        <v/>
      </c>
      <c r="AX118" s="7">
        <f>W118*0.0042847645+X118*0.0008569529</f>
        <v/>
      </c>
      <c r="AY118" s="7">
        <f>X118*0.0042847645+Y118*0.0008569529</f>
        <v/>
      </c>
      <c r="AZ118" s="7">
        <f>Y118*0.0042847645+Z118*0.0008569529</f>
        <v/>
      </c>
      <c r="BA118" s="7">
        <f>Z118*0.0042847645+AA118*0.0008569529</f>
        <v/>
      </c>
      <c r="BB118" s="7">
        <f>SUM(AD118:BA118)</f>
        <v/>
      </c>
    </row>
    <row r="119">
      <c r="A119" t="inlineStr">
        <is>
          <t>DC-10-1</t>
        </is>
      </c>
      <c r="B119" t="inlineStr">
        <is>
          <t>DSC Manual</t>
        </is>
      </c>
      <c r="C119" s="5" t="n">
        <v>46097</v>
      </c>
      <c r="D119" s="6" t="n">
        <v>7</v>
      </c>
      <c r="E119" s="6" t="n">
        <v>5</v>
      </c>
      <c r="F119" s="6" t="n">
        <v>12</v>
      </c>
      <c r="G119" s="6" t="n">
        <v>32</v>
      </c>
      <c r="H119" s="6" t="n">
        <v>22</v>
      </c>
      <c r="I119" s="6" t="n">
        <v>21</v>
      </c>
      <c r="J119" s="6" t="n">
        <v>2</v>
      </c>
      <c r="K119" s="6" t="n">
        <v>0</v>
      </c>
      <c r="L119" s="6" t="n">
        <v>0</v>
      </c>
      <c r="M119" s="6" t="n">
        <v>0</v>
      </c>
      <c r="N119" s="6" t="n">
        <v>0</v>
      </c>
      <c r="O119" s="6" t="n">
        <v>0</v>
      </c>
      <c r="P119" s="6" t="n">
        <v>0</v>
      </c>
      <c r="Q119" s="6" t="n">
        <v>0</v>
      </c>
      <c r="R119" s="6" t="n">
        <v>217</v>
      </c>
      <c r="S119" s="6" t="n">
        <v>170</v>
      </c>
      <c r="T119" s="6" t="n">
        <v>46</v>
      </c>
      <c r="U119" s="6" t="n">
        <v>139</v>
      </c>
      <c r="V119" s="6" t="n">
        <v>163</v>
      </c>
      <c r="W119" s="6" t="n">
        <v>196</v>
      </c>
      <c r="X119" s="6" t="n">
        <v>214</v>
      </c>
      <c r="Y119" s="6" t="n">
        <v>143</v>
      </c>
      <c r="Z119" s="6" t="n">
        <v>0</v>
      </c>
      <c r="AA119" s="6" t="n">
        <v>0</v>
      </c>
      <c r="AB119" s="6">
        <f>SUM(D119:AA119)</f>
        <v/>
      </c>
      <c r="AC119" s="3" t="inlineStr"/>
      <c r="AD119" s="7">
        <f>AA119*0.0042847645+D119*0.0008569529</f>
        <v/>
      </c>
      <c r="AE119" s="7">
        <f>D119*0.0042847645+E119*0.0008569529</f>
        <v/>
      </c>
      <c r="AF119" s="7">
        <f>E119*0.0042847645+F119*0.0008569529</f>
        <v/>
      </c>
      <c r="AG119" s="7">
        <f>F119*0.0042847645+G119*0.0008569529</f>
        <v/>
      </c>
      <c r="AH119" s="7">
        <f>G119*0.0042847645+H119*0.0008569529</f>
        <v/>
      </c>
      <c r="AI119" s="7">
        <f>H119*0.0042847645+I119*0.0008569529</f>
        <v/>
      </c>
      <c r="AJ119" s="7">
        <f>I119*0.0042847645+J119*0.0008569529</f>
        <v/>
      </c>
      <c r="AK119" s="7">
        <f>J119*0.0042847645+K119*0.0008569529</f>
        <v/>
      </c>
      <c r="AL119" s="7">
        <f>K119*0.0042847645+L119*0.0008569529</f>
        <v/>
      </c>
      <c r="AM119" s="7">
        <f>L119*0.0042847645+M119*0.0008569529</f>
        <v/>
      </c>
      <c r="AN119" s="7">
        <f>M119*0.0042847645+N119*0.0008569529</f>
        <v/>
      </c>
      <c r="AO119" s="7">
        <f>N119*0.0042847645+O119*0.0008569529</f>
        <v/>
      </c>
      <c r="AP119" s="7">
        <f>O119*0.0042847645+P119*0.0008569529</f>
        <v/>
      </c>
      <c r="AQ119" s="7">
        <f>P119*0.0042847645+Q119*0.0008569529</f>
        <v/>
      </c>
      <c r="AR119" s="7">
        <f>Q119*0.0042847645+R119*0.0008569529</f>
        <v/>
      </c>
      <c r="AS119" s="7">
        <f>R119*0.0042847645+S119*0.0008569529</f>
        <v/>
      </c>
      <c r="AT119" s="7">
        <f>S119*0.0042847645+T119*0.0008569529</f>
        <v/>
      </c>
      <c r="AU119" s="7">
        <f>T119*0.0042847645+U119*0.0008569529</f>
        <v/>
      </c>
      <c r="AV119" s="7">
        <f>U119*0.0042847645+V119*0.0008569529</f>
        <v/>
      </c>
      <c r="AW119" s="7">
        <f>V119*0.0042847645+W119*0.0008569529</f>
        <v/>
      </c>
      <c r="AX119" s="7">
        <f>W119*0.0042847645+X119*0.0008569529</f>
        <v/>
      </c>
      <c r="AY119" s="7">
        <f>X119*0.0042847645+Y119*0.0008569529</f>
        <v/>
      </c>
      <c r="AZ119" s="7">
        <f>Y119*0.0042847645+Z119*0.0008569529</f>
        <v/>
      </c>
      <c r="BA119" s="7">
        <f>Z119*0.0042847645+AA119*0.0008569529</f>
        <v/>
      </c>
      <c r="BB119" s="7">
        <f>SUM(AD119:BA119)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B1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Layout</t>
        </is>
      </c>
      <c r="B1" s="1" t="inlineStr">
        <is>
          <t>Layout Type</t>
        </is>
      </c>
      <c r="C1" s="1" t="inlineStr">
        <is>
          <t>Date</t>
        </is>
      </c>
      <c r="D1" s="2" t="inlineStr">
        <is>
          <t>Act Vol 12 AM</t>
        </is>
      </c>
      <c r="E1" s="2" t="inlineStr">
        <is>
          <t>Act Vol 1 AM</t>
        </is>
      </c>
      <c r="F1" s="2" t="inlineStr">
        <is>
          <t>Act Vol 2 AM</t>
        </is>
      </c>
      <c r="G1" s="2" t="inlineStr">
        <is>
          <t>Act Vol 3 AM</t>
        </is>
      </c>
      <c r="H1" s="2" t="inlineStr">
        <is>
          <t>Act Vol 4 AM</t>
        </is>
      </c>
      <c r="I1" s="2" t="inlineStr">
        <is>
          <t>Act Vol 5 AM</t>
        </is>
      </c>
      <c r="J1" s="2" t="inlineStr">
        <is>
          <t>Act Vol 6 AM</t>
        </is>
      </c>
      <c r="K1" s="2" t="inlineStr">
        <is>
          <t>Act Vol 7 AM</t>
        </is>
      </c>
      <c r="L1" s="2" t="inlineStr">
        <is>
          <t>Act Vol 8 AM</t>
        </is>
      </c>
      <c r="M1" s="2" t="inlineStr">
        <is>
          <t>Act Vol 9 AM</t>
        </is>
      </c>
      <c r="N1" s="2" t="inlineStr">
        <is>
          <t>Act Vol 10 AM</t>
        </is>
      </c>
      <c r="O1" s="2" t="inlineStr">
        <is>
          <t>Act Vol 11 AM</t>
        </is>
      </c>
      <c r="P1" s="2" t="inlineStr">
        <is>
          <t>Act Vol 12 PM</t>
        </is>
      </c>
      <c r="Q1" s="2" t="inlineStr">
        <is>
          <t>Act Vol 1 PM</t>
        </is>
      </c>
      <c r="R1" s="2" t="inlineStr">
        <is>
          <t>Act Vol 2 PM</t>
        </is>
      </c>
      <c r="S1" s="2" t="inlineStr">
        <is>
          <t>Act Vol 3 PM</t>
        </is>
      </c>
      <c r="T1" s="2" t="inlineStr">
        <is>
          <t>Act Vol 4 PM</t>
        </is>
      </c>
      <c r="U1" s="2" t="inlineStr">
        <is>
          <t>Act Vol 5 PM</t>
        </is>
      </c>
      <c r="V1" s="2" t="inlineStr">
        <is>
          <t>Act Vol 6 PM</t>
        </is>
      </c>
      <c r="W1" s="2" t="inlineStr">
        <is>
          <t>Act Vol 7 PM</t>
        </is>
      </c>
      <c r="X1" s="2" t="inlineStr">
        <is>
          <t>Act Vol 8 PM</t>
        </is>
      </c>
      <c r="Y1" s="2" t="inlineStr">
        <is>
          <t>Act Vol 9 PM</t>
        </is>
      </c>
      <c r="Z1" s="2" t="inlineStr">
        <is>
          <t>Act Vol 10 PM</t>
        </is>
      </c>
      <c r="AA1" s="2" t="inlineStr">
        <is>
          <t>Act Vol 11 PM</t>
        </is>
      </c>
      <c r="AB1" s="2" t="inlineStr">
        <is>
          <t>Act Vol Total</t>
        </is>
      </c>
      <c r="AC1" s="3" t="inlineStr"/>
      <c r="AD1" s="4" t="inlineStr">
        <is>
          <t>MH 12 AM</t>
        </is>
      </c>
      <c r="AE1" s="4" t="inlineStr">
        <is>
          <t>MH 1 AM</t>
        </is>
      </c>
      <c r="AF1" s="4" t="inlineStr">
        <is>
          <t>MH 2 AM</t>
        </is>
      </c>
      <c r="AG1" s="4" t="inlineStr">
        <is>
          <t>MH 3 AM</t>
        </is>
      </c>
      <c r="AH1" s="4" t="inlineStr">
        <is>
          <t>MH 4 AM</t>
        </is>
      </c>
      <c r="AI1" s="4" t="inlineStr">
        <is>
          <t>MH 5 AM</t>
        </is>
      </c>
      <c r="AJ1" s="4" t="inlineStr">
        <is>
          <t>MH 6 AM</t>
        </is>
      </c>
      <c r="AK1" s="4" t="inlineStr">
        <is>
          <t>MH 7 AM</t>
        </is>
      </c>
      <c r="AL1" s="4" t="inlineStr">
        <is>
          <t>MH 8 AM</t>
        </is>
      </c>
      <c r="AM1" s="4" t="inlineStr">
        <is>
          <t>MH 9 AM</t>
        </is>
      </c>
      <c r="AN1" s="4" t="inlineStr">
        <is>
          <t>MH 10 AM</t>
        </is>
      </c>
      <c r="AO1" s="4" t="inlineStr">
        <is>
          <t>MH 11 AM</t>
        </is>
      </c>
      <c r="AP1" s="4" t="inlineStr">
        <is>
          <t>MH 12 PM</t>
        </is>
      </c>
      <c r="AQ1" s="4" t="inlineStr">
        <is>
          <t>MH 1 PM</t>
        </is>
      </c>
      <c r="AR1" s="4" t="inlineStr">
        <is>
          <t>MH 2 PM</t>
        </is>
      </c>
      <c r="AS1" s="4" t="inlineStr">
        <is>
          <t>MH 3 PM</t>
        </is>
      </c>
      <c r="AT1" s="4" t="inlineStr">
        <is>
          <t>MH 4 PM</t>
        </is>
      </c>
      <c r="AU1" s="4" t="inlineStr">
        <is>
          <t>MH 5 PM</t>
        </is>
      </c>
      <c r="AV1" s="4" t="inlineStr">
        <is>
          <t>MH 6 PM</t>
        </is>
      </c>
      <c r="AW1" s="4" t="inlineStr">
        <is>
          <t>MH 7 PM</t>
        </is>
      </c>
      <c r="AX1" s="4" t="inlineStr">
        <is>
          <t>MH 8 PM</t>
        </is>
      </c>
      <c r="AY1" s="4" t="inlineStr">
        <is>
          <t>MH 9 PM</t>
        </is>
      </c>
      <c r="AZ1" s="4" t="inlineStr">
        <is>
          <t>MH 10 PM</t>
        </is>
      </c>
      <c r="BA1" s="4" t="inlineStr">
        <is>
          <t>MH 11 PM</t>
        </is>
      </c>
      <c r="BB1" s="4" t="inlineStr">
        <is>
          <t>MH Total</t>
        </is>
      </c>
    </row>
    <row r="2">
      <c r="A2" t="inlineStr">
        <is>
          <t>AMD-AIR-NEW-SSC</t>
        </is>
      </c>
      <c r="B2" t="inlineStr">
        <is>
          <t>Forward Regular OSC</t>
        </is>
      </c>
      <c r="C2" s="5" t="n">
        <v>46093</v>
      </c>
      <c r="D2" s="6">
        <f>Summary!D2*0.2</f>
        <v/>
      </c>
      <c r="E2" s="6">
        <f>Summary!E2*0.2</f>
        <v/>
      </c>
      <c r="F2" s="6">
        <f>Summary!F2*0.2</f>
        <v/>
      </c>
      <c r="G2" s="6">
        <f>Summary!G2*0.2</f>
        <v/>
      </c>
      <c r="H2" s="6">
        <f>Summary!H2*0.2</f>
        <v/>
      </c>
      <c r="I2" s="6">
        <f>Summary!I2*0.2</f>
        <v/>
      </c>
      <c r="J2" s="6">
        <f>Summary!J2*0.2</f>
        <v/>
      </c>
      <c r="K2" s="6">
        <f>Summary!K2*0.2</f>
        <v/>
      </c>
      <c r="L2" s="6">
        <f>Summary!L2*0.2</f>
        <v/>
      </c>
      <c r="M2" s="6">
        <f>Summary!M2*0.2</f>
        <v/>
      </c>
      <c r="N2" s="6">
        <f>Summary!N2*0.2</f>
        <v/>
      </c>
      <c r="O2" s="6">
        <f>Summary!O2*0.2</f>
        <v/>
      </c>
      <c r="P2" s="6">
        <f>Summary!P2*0.2</f>
        <v/>
      </c>
      <c r="Q2" s="6">
        <f>Summary!Q2*0.2</f>
        <v/>
      </c>
      <c r="R2" s="6">
        <f>Summary!R2*0.2</f>
        <v/>
      </c>
      <c r="S2" s="6">
        <f>Summary!S2*0.2</f>
        <v/>
      </c>
      <c r="T2" s="6">
        <f>Summary!T2*0.2</f>
        <v/>
      </c>
      <c r="U2" s="6">
        <f>Summary!U2*0.2</f>
        <v/>
      </c>
      <c r="V2" s="6">
        <f>Summary!V2*0.2</f>
        <v/>
      </c>
      <c r="W2" s="6">
        <f>Summary!W2*0.2</f>
        <v/>
      </c>
      <c r="X2" s="6">
        <f>Summary!X2*0.2</f>
        <v/>
      </c>
      <c r="Y2" s="6">
        <f>Summary!Y2*0.2</f>
        <v/>
      </c>
      <c r="Z2" s="6">
        <f>Summary!Z2*0.2</f>
        <v/>
      </c>
      <c r="AA2" s="6">
        <f>Summary!AA2*0.2</f>
        <v/>
      </c>
      <c r="AB2" s="6">
        <f>SUM(D2:AA2)</f>
        <v/>
      </c>
      <c r="AC2" s="3" t="inlineStr"/>
      <c r="AD2" s="7">
        <f>E2*0.0019178667+D2*0.0003835733</f>
        <v/>
      </c>
      <c r="AE2" s="7">
        <f>F2*0.0019178667+E2*0.0003835733</f>
        <v/>
      </c>
      <c r="AF2" s="7">
        <f>G2*0.0019178667+F2*0.0003835733</f>
        <v/>
      </c>
      <c r="AG2" s="7">
        <f>H2*0.0019178667+G2*0.0003835733</f>
        <v/>
      </c>
      <c r="AH2" s="7">
        <f>I2*0.0019178667+H2*0.0003835733</f>
        <v/>
      </c>
      <c r="AI2" s="7">
        <f>J2*0.0019178667+I2*0.0003835733</f>
        <v/>
      </c>
      <c r="AJ2" s="7">
        <f>K2*0.0019178667+J2*0.0003835733</f>
        <v/>
      </c>
      <c r="AK2" s="7">
        <f>L2*0.0019178667+K2*0.0003835733</f>
        <v/>
      </c>
      <c r="AL2" s="7">
        <f>M2*0.0019178667+L2*0.0003835733</f>
        <v/>
      </c>
      <c r="AM2" s="7">
        <f>N2*0.0019178667+M2*0.0003835733</f>
        <v/>
      </c>
      <c r="AN2" s="7">
        <f>O2*0.0019178667+N2*0.0003835733</f>
        <v/>
      </c>
      <c r="AO2" s="7">
        <f>P2*0.0019178667+O2*0.0003835733</f>
        <v/>
      </c>
      <c r="AP2" s="7">
        <f>Q2*0.0019178667+P2*0.0003835733</f>
        <v/>
      </c>
      <c r="AQ2" s="7">
        <f>R2*0.0019178667+Q2*0.0003835733</f>
        <v/>
      </c>
      <c r="AR2" s="7">
        <f>S2*0.0019178667+R2*0.0003835733</f>
        <v/>
      </c>
      <c r="AS2" s="7">
        <f>T2*0.0019178667+S2*0.0003835733</f>
        <v/>
      </c>
      <c r="AT2" s="7">
        <f>U2*0.0019178667+T2*0.0003835733</f>
        <v/>
      </c>
      <c r="AU2" s="7">
        <f>V2*0.0019178667+U2*0.0003835733</f>
        <v/>
      </c>
      <c r="AV2" s="7">
        <f>W2*0.0019178667+V2*0.0003835733</f>
        <v/>
      </c>
      <c r="AW2" s="7">
        <f>X2*0.0019178667+W2*0.0003835733</f>
        <v/>
      </c>
      <c r="AX2" s="7">
        <f>Y2*0.0019178667+X2*0.0003835733</f>
        <v/>
      </c>
      <c r="AY2" s="7">
        <f>Z2*0.0019178667+Y2*0.0003835733</f>
        <v/>
      </c>
      <c r="AZ2" s="7">
        <f>AA2*0.0019178667+Z2*0.0003835733</f>
        <v/>
      </c>
      <c r="BA2" s="7">
        <f>D2*0.0019178667+AA2*0.0003835733</f>
        <v/>
      </c>
      <c r="BB2" s="7">
        <f>SUM(AD2:BA2)</f>
        <v/>
      </c>
    </row>
    <row r="3">
      <c r="A3" t="inlineStr">
        <is>
          <t>AMD-AIR-NEW-SSC</t>
        </is>
      </c>
      <c r="B3" t="inlineStr">
        <is>
          <t>Forward Regular OSC</t>
        </is>
      </c>
      <c r="C3" s="5" t="n">
        <v>46094</v>
      </c>
      <c r="D3" s="6">
        <f>Summary!D3*0.2</f>
        <v/>
      </c>
      <c r="E3" s="6">
        <f>Summary!E3*0.2</f>
        <v/>
      </c>
      <c r="F3" s="6">
        <f>Summary!F3*0.2</f>
        <v/>
      </c>
      <c r="G3" s="6">
        <f>Summary!G3*0.2</f>
        <v/>
      </c>
      <c r="H3" s="6">
        <f>Summary!H3*0.2</f>
        <v/>
      </c>
      <c r="I3" s="6">
        <f>Summary!I3*0.2</f>
        <v/>
      </c>
      <c r="J3" s="6">
        <f>Summary!J3*0.2</f>
        <v/>
      </c>
      <c r="K3" s="6">
        <f>Summary!K3*0.2</f>
        <v/>
      </c>
      <c r="L3" s="6">
        <f>Summary!L3*0.2</f>
        <v/>
      </c>
      <c r="M3" s="6">
        <f>Summary!M3*0.2</f>
        <v/>
      </c>
      <c r="N3" s="6">
        <f>Summary!N3*0.2</f>
        <v/>
      </c>
      <c r="O3" s="6">
        <f>Summary!O3*0.2</f>
        <v/>
      </c>
      <c r="P3" s="6">
        <f>Summary!P3*0.2</f>
        <v/>
      </c>
      <c r="Q3" s="6">
        <f>Summary!Q3*0.2</f>
        <v/>
      </c>
      <c r="R3" s="6">
        <f>Summary!R3*0.2</f>
        <v/>
      </c>
      <c r="S3" s="6">
        <f>Summary!S3*0.2</f>
        <v/>
      </c>
      <c r="T3" s="6">
        <f>Summary!T3*0.2</f>
        <v/>
      </c>
      <c r="U3" s="6">
        <f>Summary!U3*0.2</f>
        <v/>
      </c>
      <c r="V3" s="6">
        <f>Summary!V3*0.2</f>
        <v/>
      </c>
      <c r="W3" s="6">
        <f>Summary!W3*0.2</f>
        <v/>
      </c>
      <c r="X3" s="6">
        <f>Summary!X3*0.2</f>
        <v/>
      </c>
      <c r="Y3" s="6">
        <f>Summary!Y3*0.2</f>
        <v/>
      </c>
      <c r="Z3" s="6">
        <f>Summary!Z3*0.2</f>
        <v/>
      </c>
      <c r="AA3" s="6">
        <f>Summary!AA3*0.2</f>
        <v/>
      </c>
      <c r="AB3" s="6">
        <f>SUM(D3:AA3)</f>
        <v/>
      </c>
      <c r="AC3" s="3" t="inlineStr"/>
      <c r="AD3" s="7">
        <f>E3*0.0019178667+D3*0.0003835733</f>
        <v/>
      </c>
      <c r="AE3" s="7">
        <f>F3*0.0019178667+E3*0.0003835733</f>
        <v/>
      </c>
      <c r="AF3" s="7">
        <f>G3*0.0019178667+F3*0.0003835733</f>
        <v/>
      </c>
      <c r="AG3" s="7">
        <f>H3*0.0019178667+G3*0.0003835733</f>
        <v/>
      </c>
      <c r="AH3" s="7">
        <f>I3*0.0019178667+H3*0.0003835733</f>
        <v/>
      </c>
      <c r="AI3" s="7">
        <f>J3*0.0019178667+I3*0.0003835733</f>
        <v/>
      </c>
      <c r="AJ3" s="7">
        <f>K3*0.0019178667+J3*0.0003835733</f>
        <v/>
      </c>
      <c r="AK3" s="7">
        <f>L3*0.0019178667+K3*0.0003835733</f>
        <v/>
      </c>
      <c r="AL3" s="7">
        <f>M3*0.0019178667+L3*0.0003835733</f>
        <v/>
      </c>
      <c r="AM3" s="7">
        <f>N3*0.0019178667+M3*0.0003835733</f>
        <v/>
      </c>
      <c r="AN3" s="7">
        <f>O3*0.0019178667+N3*0.0003835733</f>
        <v/>
      </c>
      <c r="AO3" s="7">
        <f>P3*0.0019178667+O3*0.0003835733</f>
        <v/>
      </c>
      <c r="AP3" s="7">
        <f>Q3*0.0019178667+P3*0.0003835733</f>
        <v/>
      </c>
      <c r="AQ3" s="7">
        <f>R3*0.0019178667+Q3*0.0003835733</f>
        <v/>
      </c>
      <c r="AR3" s="7">
        <f>S3*0.0019178667+R3*0.0003835733</f>
        <v/>
      </c>
      <c r="AS3" s="7">
        <f>T3*0.0019178667+S3*0.0003835733</f>
        <v/>
      </c>
      <c r="AT3" s="7">
        <f>U3*0.0019178667+T3*0.0003835733</f>
        <v/>
      </c>
      <c r="AU3" s="7">
        <f>V3*0.0019178667+U3*0.0003835733</f>
        <v/>
      </c>
      <c r="AV3" s="7">
        <f>W3*0.0019178667+V3*0.0003835733</f>
        <v/>
      </c>
      <c r="AW3" s="7">
        <f>X3*0.0019178667+W3*0.0003835733</f>
        <v/>
      </c>
      <c r="AX3" s="7">
        <f>Y3*0.0019178667+X3*0.0003835733</f>
        <v/>
      </c>
      <c r="AY3" s="7">
        <f>Z3*0.0019178667+Y3*0.0003835733</f>
        <v/>
      </c>
      <c r="AZ3" s="7">
        <f>AA3*0.0019178667+Z3*0.0003835733</f>
        <v/>
      </c>
      <c r="BA3" s="7">
        <f>D3*0.0019178667+AA3*0.0003835733</f>
        <v/>
      </c>
      <c r="BB3" s="7">
        <f>SUM(AD3:BA3)</f>
        <v/>
      </c>
    </row>
    <row r="4">
      <c r="A4" t="inlineStr">
        <is>
          <t>AMD-AIR-NEW-SSC</t>
        </is>
      </c>
      <c r="B4" t="inlineStr">
        <is>
          <t>Forward Regular OSC</t>
        </is>
      </c>
      <c r="C4" s="5" t="n">
        <v>46096</v>
      </c>
      <c r="D4" s="6">
        <f>Summary!D4*0.2</f>
        <v/>
      </c>
      <c r="E4" s="6">
        <f>Summary!E4*0.2</f>
        <v/>
      </c>
      <c r="F4" s="6">
        <f>Summary!F4*0.2</f>
        <v/>
      </c>
      <c r="G4" s="6">
        <f>Summary!G4*0.2</f>
        <v/>
      </c>
      <c r="H4" s="6">
        <f>Summary!H4*0.2</f>
        <v/>
      </c>
      <c r="I4" s="6">
        <f>Summary!I4*0.2</f>
        <v/>
      </c>
      <c r="J4" s="6">
        <f>Summary!J4*0.2</f>
        <v/>
      </c>
      <c r="K4" s="6">
        <f>Summary!K4*0.2</f>
        <v/>
      </c>
      <c r="L4" s="6">
        <f>Summary!L4*0.2</f>
        <v/>
      </c>
      <c r="M4" s="6">
        <f>Summary!M4*0.2</f>
        <v/>
      </c>
      <c r="N4" s="6">
        <f>Summary!N4*0.2</f>
        <v/>
      </c>
      <c r="O4" s="6">
        <f>Summary!O4*0.2</f>
        <v/>
      </c>
      <c r="P4" s="6">
        <f>Summary!P4*0.2</f>
        <v/>
      </c>
      <c r="Q4" s="6">
        <f>Summary!Q4*0.2</f>
        <v/>
      </c>
      <c r="R4" s="6">
        <f>Summary!R4*0.2</f>
        <v/>
      </c>
      <c r="S4" s="6">
        <f>Summary!S4*0.2</f>
        <v/>
      </c>
      <c r="T4" s="6">
        <f>Summary!T4*0.2</f>
        <v/>
      </c>
      <c r="U4" s="6">
        <f>Summary!U4*0.2</f>
        <v/>
      </c>
      <c r="V4" s="6">
        <f>Summary!V4*0.2</f>
        <v/>
      </c>
      <c r="W4" s="6">
        <f>Summary!W4*0.2</f>
        <v/>
      </c>
      <c r="X4" s="6">
        <f>Summary!X4*0.2</f>
        <v/>
      </c>
      <c r="Y4" s="6">
        <f>Summary!Y4*0.2</f>
        <v/>
      </c>
      <c r="Z4" s="6">
        <f>Summary!Z4*0.2</f>
        <v/>
      </c>
      <c r="AA4" s="6">
        <f>Summary!AA4*0.2</f>
        <v/>
      </c>
      <c r="AB4" s="6">
        <f>SUM(D4:AA4)</f>
        <v/>
      </c>
      <c r="AC4" s="3" t="inlineStr"/>
      <c r="AD4" s="7">
        <f>E4*0.0019178667+D4*0.0003835733</f>
        <v/>
      </c>
      <c r="AE4" s="7">
        <f>F4*0.0019178667+E4*0.0003835733</f>
        <v/>
      </c>
      <c r="AF4" s="7">
        <f>G4*0.0019178667+F4*0.0003835733</f>
        <v/>
      </c>
      <c r="AG4" s="7">
        <f>H4*0.0019178667+G4*0.0003835733</f>
        <v/>
      </c>
      <c r="AH4" s="7">
        <f>I4*0.0019178667+H4*0.0003835733</f>
        <v/>
      </c>
      <c r="AI4" s="7">
        <f>J4*0.0019178667+I4*0.0003835733</f>
        <v/>
      </c>
      <c r="AJ4" s="7">
        <f>K4*0.0019178667+J4*0.0003835733</f>
        <v/>
      </c>
      <c r="AK4" s="7">
        <f>L4*0.0019178667+K4*0.0003835733</f>
        <v/>
      </c>
      <c r="AL4" s="7">
        <f>M4*0.0019178667+L4*0.0003835733</f>
        <v/>
      </c>
      <c r="AM4" s="7">
        <f>N4*0.0019178667+M4*0.0003835733</f>
        <v/>
      </c>
      <c r="AN4" s="7">
        <f>O4*0.0019178667+N4*0.0003835733</f>
        <v/>
      </c>
      <c r="AO4" s="7">
        <f>P4*0.0019178667+O4*0.0003835733</f>
        <v/>
      </c>
      <c r="AP4" s="7">
        <f>Q4*0.0019178667+P4*0.0003835733</f>
        <v/>
      </c>
      <c r="AQ4" s="7">
        <f>R4*0.0019178667+Q4*0.0003835733</f>
        <v/>
      </c>
      <c r="AR4" s="7">
        <f>S4*0.0019178667+R4*0.0003835733</f>
        <v/>
      </c>
      <c r="AS4" s="7">
        <f>T4*0.0019178667+S4*0.0003835733</f>
        <v/>
      </c>
      <c r="AT4" s="7">
        <f>U4*0.0019178667+T4*0.0003835733</f>
        <v/>
      </c>
      <c r="AU4" s="7">
        <f>V4*0.0019178667+U4*0.0003835733</f>
        <v/>
      </c>
      <c r="AV4" s="7">
        <f>W4*0.0019178667+V4*0.0003835733</f>
        <v/>
      </c>
      <c r="AW4" s="7">
        <f>X4*0.0019178667+W4*0.0003835733</f>
        <v/>
      </c>
      <c r="AX4" s="7">
        <f>Y4*0.0019178667+X4*0.0003835733</f>
        <v/>
      </c>
      <c r="AY4" s="7">
        <f>Z4*0.0019178667+Y4*0.0003835733</f>
        <v/>
      </c>
      <c r="AZ4" s="7">
        <f>AA4*0.0019178667+Z4*0.0003835733</f>
        <v/>
      </c>
      <c r="BA4" s="7">
        <f>D4*0.0019178667+AA4*0.0003835733</f>
        <v/>
      </c>
      <c r="BB4" s="7">
        <f>SUM(AD4:BA4)</f>
        <v/>
      </c>
    </row>
    <row r="5">
      <c r="A5" t="inlineStr">
        <is>
          <t>AMD-AIR-NEW-SSC</t>
        </is>
      </c>
      <c r="B5" t="inlineStr">
        <is>
          <t>Forward Regular OSC</t>
        </is>
      </c>
      <c r="C5" s="5" t="n">
        <v>46097</v>
      </c>
      <c r="D5" s="6">
        <f>Summary!D5*0.2</f>
        <v/>
      </c>
      <c r="E5" s="6">
        <f>Summary!E5*0.2</f>
        <v/>
      </c>
      <c r="F5" s="6">
        <f>Summary!F5*0.2</f>
        <v/>
      </c>
      <c r="G5" s="6">
        <f>Summary!G5*0.2</f>
        <v/>
      </c>
      <c r="H5" s="6">
        <f>Summary!H5*0.2</f>
        <v/>
      </c>
      <c r="I5" s="6">
        <f>Summary!I5*0.2</f>
        <v/>
      </c>
      <c r="J5" s="6">
        <f>Summary!J5*0.2</f>
        <v/>
      </c>
      <c r="K5" s="6">
        <f>Summary!K5*0.2</f>
        <v/>
      </c>
      <c r="L5" s="6">
        <f>Summary!L5*0.2</f>
        <v/>
      </c>
      <c r="M5" s="6">
        <f>Summary!M5*0.2</f>
        <v/>
      </c>
      <c r="N5" s="6">
        <f>Summary!N5*0.2</f>
        <v/>
      </c>
      <c r="O5" s="6">
        <f>Summary!O5*0.2</f>
        <v/>
      </c>
      <c r="P5" s="6">
        <f>Summary!P5*0.2</f>
        <v/>
      </c>
      <c r="Q5" s="6">
        <f>Summary!Q5*0.2</f>
        <v/>
      </c>
      <c r="R5" s="6">
        <f>Summary!R5*0.2</f>
        <v/>
      </c>
      <c r="S5" s="6">
        <f>Summary!S5*0.2</f>
        <v/>
      </c>
      <c r="T5" s="6">
        <f>Summary!T5*0.2</f>
        <v/>
      </c>
      <c r="U5" s="6">
        <f>Summary!U5*0.2</f>
        <v/>
      </c>
      <c r="V5" s="6">
        <f>Summary!V5*0.2</f>
        <v/>
      </c>
      <c r="W5" s="6">
        <f>Summary!W5*0.2</f>
        <v/>
      </c>
      <c r="X5" s="6">
        <f>Summary!X5*0.2</f>
        <v/>
      </c>
      <c r="Y5" s="6">
        <f>Summary!Y5*0.2</f>
        <v/>
      </c>
      <c r="Z5" s="6">
        <f>Summary!Z5*0.2</f>
        <v/>
      </c>
      <c r="AA5" s="6">
        <f>Summary!AA5*0.2</f>
        <v/>
      </c>
      <c r="AB5" s="6">
        <f>SUM(D5:AA5)</f>
        <v/>
      </c>
      <c r="AC5" s="3" t="inlineStr"/>
      <c r="AD5" s="7">
        <f>E5*0.0019178667+D5*0.0003835733</f>
        <v/>
      </c>
      <c r="AE5" s="7">
        <f>F5*0.0019178667+E5*0.0003835733</f>
        <v/>
      </c>
      <c r="AF5" s="7">
        <f>G5*0.0019178667+F5*0.0003835733</f>
        <v/>
      </c>
      <c r="AG5" s="7">
        <f>H5*0.0019178667+G5*0.0003835733</f>
        <v/>
      </c>
      <c r="AH5" s="7">
        <f>I5*0.0019178667+H5*0.0003835733</f>
        <v/>
      </c>
      <c r="AI5" s="7">
        <f>J5*0.0019178667+I5*0.0003835733</f>
        <v/>
      </c>
      <c r="AJ5" s="7">
        <f>K5*0.0019178667+J5*0.0003835733</f>
        <v/>
      </c>
      <c r="AK5" s="7">
        <f>L5*0.0019178667+K5*0.0003835733</f>
        <v/>
      </c>
      <c r="AL5" s="7">
        <f>M5*0.0019178667+L5*0.0003835733</f>
        <v/>
      </c>
      <c r="AM5" s="7">
        <f>N5*0.0019178667+M5*0.0003835733</f>
        <v/>
      </c>
      <c r="AN5" s="7">
        <f>O5*0.0019178667+N5*0.0003835733</f>
        <v/>
      </c>
      <c r="AO5" s="7">
        <f>P5*0.0019178667+O5*0.0003835733</f>
        <v/>
      </c>
      <c r="AP5" s="7">
        <f>Q5*0.0019178667+P5*0.0003835733</f>
        <v/>
      </c>
      <c r="AQ5" s="7">
        <f>R5*0.0019178667+Q5*0.0003835733</f>
        <v/>
      </c>
      <c r="AR5" s="7">
        <f>S5*0.0019178667+R5*0.0003835733</f>
        <v/>
      </c>
      <c r="AS5" s="7">
        <f>T5*0.0019178667+S5*0.0003835733</f>
        <v/>
      </c>
      <c r="AT5" s="7">
        <f>U5*0.0019178667+T5*0.0003835733</f>
        <v/>
      </c>
      <c r="AU5" s="7">
        <f>V5*0.0019178667+U5*0.0003835733</f>
        <v/>
      </c>
      <c r="AV5" s="7">
        <f>W5*0.0019178667+V5*0.0003835733</f>
        <v/>
      </c>
      <c r="AW5" s="7">
        <f>X5*0.0019178667+W5*0.0003835733</f>
        <v/>
      </c>
      <c r="AX5" s="7">
        <f>Y5*0.0019178667+X5*0.0003835733</f>
        <v/>
      </c>
      <c r="AY5" s="7">
        <f>Z5*0.0019178667+Y5*0.0003835733</f>
        <v/>
      </c>
      <c r="AZ5" s="7">
        <f>AA5*0.0019178667+Z5*0.0003835733</f>
        <v/>
      </c>
      <c r="BA5" s="7">
        <f>D5*0.0019178667+AA5*0.0003835733</f>
        <v/>
      </c>
      <c r="BB5" s="7">
        <f>SUM(AD5:BA5)</f>
        <v/>
      </c>
    </row>
    <row r="6">
      <c r="A6" t="inlineStr">
        <is>
          <t>AMD-AIR-NEW-SSC</t>
        </is>
      </c>
      <c r="B6" t="inlineStr">
        <is>
          <t>Forward Regular OSC</t>
        </is>
      </c>
      <c r="C6" s="5" t="n">
        <v>46100</v>
      </c>
      <c r="D6" s="6">
        <f>Summary!D6*0.2</f>
        <v/>
      </c>
      <c r="E6" s="6">
        <f>Summary!E6*0.2</f>
        <v/>
      </c>
      <c r="F6" s="6">
        <f>Summary!F6*0.2</f>
        <v/>
      </c>
      <c r="G6" s="6">
        <f>Summary!G6*0.2</f>
        <v/>
      </c>
      <c r="H6" s="6">
        <f>Summary!H6*0.2</f>
        <v/>
      </c>
      <c r="I6" s="6">
        <f>Summary!I6*0.2</f>
        <v/>
      </c>
      <c r="J6" s="6">
        <f>Summary!J6*0.2</f>
        <v/>
      </c>
      <c r="K6" s="6">
        <f>Summary!K6*0.2</f>
        <v/>
      </c>
      <c r="L6" s="6">
        <f>Summary!L6*0.2</f>
        <v/>
      </c>
      <c r="M6" s="6">
        <f>Summary!M6*0.2</f>
        <v/>
      </c>
      <c r="N6" s="6">
        <f>Summary!N6*0.2</f>
        <v/>
      </c>
      <c r="O6" s="6">
        <f>Summary!O6*0.2</f>
        <v/>
      </c>
      <c r="P6" s="6">
        <f>Summary!P6*0.2</f>
        <v/>
      </c>
      <c r="Q6" s="6">
        <f>Summary!Q6*0.2</f>
        <v/>
      </c>
      <c r="R6" s="6">
        <f>Summary!R6*0.2</f>
        <v/>
      </c>
      <c r="S6" s="6">
        <f>Summary!S6*0.2</f>
        <v/>
      </c>
      <c r="T6" s="6">
        <f>Summary!T6*0.2</f>
        <v/>
      </c>
      <c r="U6" s="6">
        <f>Summary!U6*0.2</f>
        <v/>
      </c>
      <c r="V6" s="6">
        <f>Summary!V6*0.2</f>
        <v/>
      </c>
      <c r="W6" s="6">
        <f>Summary!W6*0.2</f>
        <v/>
      </c>
      <c r="X6" s="6">
        <f>Summary!X6*0.2</f>
        <v/>
      </c>
      <c r="Y6" s="6">
        <f>Summary!Y6*0.2</f>
        <v/>
      </c>
      <c r="Z6" s="6">
        <f>Summary!Z6*0.2</f>
        <v/>
      </c>
      <c r="AA6" s="6">
        <f>Summary!AA6*0.2</f>
        <v/>
      </c>
      <c r="AB6" s="6">
        <f>SUM(D6:AA6)</f>
        <v/>
      </c>
      <c r="AC6" s="3" t="inlineStr"/>
      <c r="AD6" s="7">
        <f>E6*0.0019178667+D6*0.0003835733</f>
        <v/>
      </c>
      <c r="AE6" s="7">
        <f>F6*0.0019178667+E6*0.0003835733</f>
        <v/>
      </c>
      <c r="AF6" s="7">
        <f>G6*0.0019178667+F6*0.0003835733</f>
        <v/>
      </c>
      <c r="AG6" s="7">
        <f>H6*0.0019178667+G6*0.0003835733</f>
        <v/>
      </c>
      <c r="AH6" s="7">
        <f>I6*0.0019178667+H6*0.0003835733</f>
        <v/>
      </c>
      <c r="AI6" s="7">
        <f>J6*0.0019178667+I6*0.0003835733</f>
        <v/>
      </c>
      <c r="AJ6" s="7">
        <f>K6*0.0019178667+J6*0.0003835733</f>
        <v/>
      </c>
      <c r="AK6" s="7">
        <f>L6*0.0019178667+K6*0.0003835733</f>
        <v/>
      </c>
      <c r="AL6" s="7">
        <f>M6*0.0019178667+L6*0.0003835733</f>
        <v/>
      </c>
      <c r="AM6" s="7">
        <f>N6*0.0019178667+M6*0.0003835733</f>
        <v/>
      </c>
      <c r="AN6" s="7">
        <f>O6*0.0019178667+N6*0.0003835733</f>
        <v/>
      </c>
      <c r="AO6" s="7">
        <f>P6*0.0019178667+O6*0.0003835733</f>
        <v/>
      </c>
      <c r="AP6" s="7">
        <f>Q6*0.0019178667+P6*0.0003835733</f>
        <v/>
      </c>
      <c r="AQ6" s="7">
        <f>R6*0.0019178667+Q6*0.0003835733</f>
        <v/>
      </c>
      <c r="AR6" s="7">
        <f>S6*0.0019178667+R6*0.0003835733</f>
        <v/>
      </c>
      <c r="AS6" s="7">
        <f>T6*0.0019178667+S6*0.0003835733</f>
        <v/>
      </c>
      <c r="AT6" s="7">
        <f>U6*0.0019178667+T6*0.0003835733</f>
        <v/>
      </c>
      <c r="AU6" s="7">
        <f>V6*0.0019178667+U6*0.0003835733</f>
        <v/>
      </c>
      <c r="AV6" s="7">
        <f>W6*0.0019178667+V6*0.0003835733</f>
        <v/>
      </c>
      <c r="AW6" s="7">
        <f>X6*0.0019178667+W6*0.0003835733</f>
        <v/>
      </c>
      <c r="AX6" s="7">
        <f>Y6*0.0019178667+X6*0.0003835733</f>
        <v/>
      </c>
      <c r="AY6" s="7">
        <f>Z6*0.0019178667+Y6*0.0003835733</f>
        <v/>
      </c>
      <c r="AZ6" s="7">
        <f>AA6*0.0019178667+Z6*0.0003835733</f>
        <v/>
      </c>
      <c r="BA6" s="7">
        <f>D6*0.0019178667+AA6*0.0003835733</f>
        <v/>
      </c>
      <c r="BB6" s="7">
        <f>SUM(AD6:BA6)</f>
        <v/>
      </c>
    </row>
    <row r="7">
      <c r="A7" t="inlineStr">
        <is>
          <t>AMD-AIR-NEW-SSC</t>
        </is>
      </c>
      <c r="B7" t="inlineStr">
        <is>
          <t>Forward Regular OSC</t>
        </is>
      </c>
      <c r="C7" s="5" t="n">
        <v>46101</v>
      </c>
      <c r="D7" s="6">
        <f>Summary!D7*0.2</f>
        <v/>
      </c>
      <c r="E7" s="6">
        <f>Summary!E7*0.2</f>
        <v/>
      </c>
      <c r="F7" s="6">
        <f>Summary!F7*0.2</f>
        <v/>
      </c>
      <c r="G7" s="6">
        <f>Summary!G7*0.2</f>
        <v/>
      </c>
      <c r="H7" s="6">
        <f>Summary!H7*0.2</f>
        <v/>
      </c>
      <c r="I7" s="6">
        <f>Summary!I7*0.2</f>
        <v/>
      </c>
      <c r="J7" s="6">
        <f>Summary!J7*0.2</f>
        <v/>
      </c>
      <c r="K7" s="6">
        <f>Summary!K7*0.2</f>
        <v/>
      </c>
      <c r="L7" s="6">
        <f>Summary!L7*0.2</f>
        <v/>
      </c>
      <c r="M7" s="6">
        <f>Summary!M7*0.2</f>
        <v/>
      </c>
      <c r="N7" s="6">
        <f>Summary!N7*0.2</f>
        <v/>
      </c>
      <c r="O7" s="6">
        <f>Summary!O7*0.2</f>
        <v/>
      </c>
      <c r="P7" s="6">
        <f>Summary!P7*0.2</f>
        <v/>
      </c>
      <c r="Q7" s="6">
        <f>Summary!Q7*0.2</f>
        <v/>
      </c>
      <c r="R7" s="6">
        <f>Summary!R7*0.2</f>
        <v/>
      </c>
      <c r="S7" s="6">
        <f>Summary!S7*0.2</f>
        <v/>
      </c>
      <c r="T7" s="6">
        <f>Summary!T7*0.2</f>
        <v/>
      </c>
      <c r="U7" s="6">
        <f>Summary!U7*0.2</f>
        <v/>
      </c>
      <c r="V7" s="6">
        <f>Summary!V7*0.2</f>
        <v/>
      </c>
      <c r="W7" s="6">
        <f>Summary!W7*0.2</f>
        <v/>
      </c>
      <c r="X7" s="6">
        <f>Summary!X7*0.2</f>
        <v/>
      </c>
      <c r="Y7" s="6">
        <f>Summary!Y7*0.2</f>
        <v/>
      </c>
      <c r="Z7" s="6">
        <f>Summary!Z7*0.2</f>
        <v/>
      </c>
      <c r="AA7" s="6">
        <f>Summary!AA7*0.2</f>
        <v/>
      </c>
      <c r="AB7" s="6">
        <f>SUM(D7:AA7)</f>
        <v/>
      </c>
      <c r="AC7" s="3" t="inlineStr"/>
      <c r="AD7" s="7">
        <f>E7*0.0019178667+D7*0.0003835733</f>
        <v/>
      </c>
      <c r="AE7" s="7">
        <f>F7*0.0019178667+E7*0.0003835733</f>
        <v/>
      </c>
      <c r="AF7" s="7">
        <f>G7*0.0019178667+F7*0.0003835733</f>
        <v/>
      </c>
      <c r="AG7" s="7">
        <f>H7*0.0019178667+G7*0.0003835733</f>
        <v/>
      </c>
      <c r="AH7" s="7">
        <f>I7*0.0019178667+H7*0.0003835733</f>
        <v/>
      </c>
      <c r="AI7" s="7">
        <f>J7*0.0019178667+I7*0.0003835733</f>
        <v/>
      </c>
      <c r="AJ7" s="7">
        <f>K7*0.0019178667+J7*0.0003835733</f>
        <v/>
      </c>
      <c r="AK7" s="7">
        <f>L7*0.0019178667+K7*0.0003835733</f>
        <v/>
      </c>
      <c r="AL7" s="7">
        <f>M7*0.0019178667+L7*0.0003835733</f>
        <v/>
      </c>
      <c r="AM7" s="7">
        <f>N7*0.0019178667+M7*0.0003835733</f>
        <v/>
      </c>
      <c r="AN7" s="7">
        <f>O7*0.0019178667+N7*0.0003835733</f>
        <v/>
      </c>
      <c r="AO7" s="7">
        <f>P7*0.0019178667+O7*0.0003835733</f>
        <v/>
      </c>
      <c r="AP7" s="7">
        <f>Q7*0.0019178667+P7*0.0003835733</f>
        <v/>
      </c>
      <c r="AQ7" s="7">
        <f>R7*0.0019178667+Q7*0.0003835733</f>
        <v/>
      </c>
      <c r="AR7" s="7">
        <f>S7*0.0019178667+R7*0.0003835733</f>
        <v/>
      </c>
      <c r="AS7" s="7">
        <f>T7*0.0019178667+S7*0.0003835733</f>
        <v/>
      </c>
      <c r="AT7" s="7">
        <f>U7*0.0019178667+T7*0.0003835733</f>
        <v/>
      </c>
      <c r="AU7" s="7">
        <f>V7*0.0019178667+U7*0.0003835733</f>
        <v/>
      </c>
      <c r="AV7" s="7">
        <f>W7*0.0019178667+V7*0.0003835733</f>
        <v/>
      </c>
      <c r="AW7" s="7">
        <f>X7*0.0019178667+W7*0.0003835733</f>
        <v/>
      </c>
      <c r="AX7" s="7">
        <f>Y7*0.0019178667+X7*0.0003835733</f>
        <v/>
      </c>
      <c r="AY7" s="7">
        <f>Z7*0.0019178667+Y7*0.0003835733</f>
        <v/>
      </c>
      <c r="AZ7" s="7">
        <f>AA7*0.0019178667+Z7*0.0003835733</f>
        <v/>
      </c>
      <c r="BA7" s="7">
        <f>D7*0.0019178667+AA7*0.0003835733</f>
        <v/>
      </c>
      <c r="BB7" s="7">
        <f>SUM(AD7:BA7)</f>
        <v/>
      </c>
    </row>
    <row r="8">
      <c r="A8" t="inlineStr">
        <is>
          <t>AMD-AIR-NEW-SSC</t>
        </is>
      </c>
      <c r="B8" t="inlineStr">
        <is>
          <t>Forward Regular OSC</t>
        </is>
      </c>
      <c r="C8" s="5" t="n">
        <v>46102</v>
      </c>
      <c r="D8" s="6">
        <f>Summary!D8*0.2</f>
        <v/>
      </c>
      <c r="E8" s="6">
        <f>Summary!E8*0.2</f>
        <v/>
      </c>
      <c r="F8" s="6">
        <f>Summary!F8*0.2</f>
        <v/>
      </c>
      <c r="G8" s="6">
        <f>Summary!G8*0.2</f>
        <v/>
      </c>
      <c r="H8" s="6">
        <f>Summary!H8*0.2</f>
        <v/>
      </c>
      <c r="I8" s="6">
        <f>Summary!I8*0.2</f>
        <v/>
      </c>
      <c r="J8" s="6">
        <f>Summary!J8*0.2</f>
        <v/>
      </c>
      <c r="K8" s="6">
        <f>Summary!K8*0.2</f>
        <v/>
      </c>
      <c r="L8" s="6">
        <f>Summary!L8*0.2</f>
        <v/>
      </c>
      <c r="M8" s="6">
        <f>Summary!M8*0.2</f>
        <v/>
      </c>
      <c r="N8" s="6">
        <f>Summary!N8*0.2</f>
        <v/>
      </c>
      <c r="O8" s="6">
        <f>Summary!O8*0.2</f>
        <v/>
      </c>
      <c r="P8" s="6">
        <f>Summary!P8*0.2</f>
        <v/>
      </c>
      <c r="Q8" s="6">
        <f>Summary!Q8*0.2</f>
        <v/>
      </c>
      <c r="R8" s="6">
        <f>Summary!R8*0.2</f>
        <v/>
      </c>
      <c r="S8" s="6">
        <f>Summary!S8*0.2</f>
        <v/>
      </c>
      <c r="T8" s="6">
        <f>Summary!T8*0.2</f>
        <v/>
      </c>
      <c r="U8" s="6">
        <f>Summary!U8*0.2</f>
        <v/>
      </c>
      <c r="V8" s="6">
        <f>Summary!V8*0.2</f>
        <v/>
      </c>
      <c r="W8" s="6">
        <f>Summary!W8*0.2</f>
        <v/>
      </c>
      <c r="X8" s="6">
        <f>Summary!X8*0.2</f>
        <v/>
      </c>
      <c r="Y8" s="6">
        <f>Summary!Y8*0.2</f>
        <v/>
      </c>
      <c r="Z8" s="6">
        <f>Summary!Z8*0.2</f>
        <v/>
      </c>
      <c r="AA8" s="6">
        <f>Summary!AA8*0.2</f>
        <v/>
      </c>
      <c r="AB8" s="6">
        <f>SUM(D8:AA8)</f>
        <v/>
      </c>
      <c r="AC8" s="3" t="inlineStr"/>
      <c r="AD8" s="7">
        <f>E8*0.0019178667+D8*0.0003835733</f>
        <v/>
      </c>
      <c r="AE8" s="7">
        <f>F8*0.0019178667+E8*0.0003835733</f>
        <v/>
      </c>
      <c r="AF8" s="7">
        <f>G8*0.0019178667+F8*0.0003835733</f>
        <v/>
      </c>
      <c r="AG8" s="7">
        <f>H8*0.0019178667+G8*0.0003835733</f>
        <v/>
      </c>
      <c r="AH8" s="7">
        <f>I8*0.0019178667+H8*0.0003835733</f>
        <v/>
      </c>
      <c r="AI8" s="7">
        <f>J8*0.0019178667+I8*0.0003835733</f>
        <v/>
      </c>
      <c r="AJ8" s="7">
        <f>K8*0.0019178667+J8*0.0003835733</f>
        <v/>
      </c>
      <c r="AK8" s="7">
        <f>L8*0.0019178667+K8*0.0003835733</f>
        <v/>
      </c>
      <c r="AL8" s="7">
        <f>M8*0.0019178667+L8*0.0003835733</f>
        <v/>
      </c>
      <c r="AM8" s="7">
        <f>N8*0.0019178667+M8*0.0003835733</f>
        <v/>
      </c>
      <c r="AN8" s="7">
        <f>O8*0.0019178667+N8*0.0003835733</f>
        <v/>
      </c>
      <c r="AO8" s="7">
        <f>P8*0.0019178667+O8*0.0003835733</f>
        <v/>
      </c>
      <c r="AP8" s="7">
        <f>Q8*0.0019178667+P8*0.0003835733</f>
        <v/>
      </c>
      <c r="AQ8" s="7">
        <f>R8*0.0019178667+Q8*0.0003835733</f>
        <v/>
      </c>
      <c r="AR8" s="7">
        <f>S8*0.0019178667+R8*0.0003835733</f>
        <v/>
      </c>
      <c r="AS8" s="7">
        <f>T8*0.0019178667+S8*0.0003835733</f>
        <v/>
      </c>
      <c r="AT8" s="7">
        <f>U8*0.0019178667+T8*0.0003835733</f>
        <v/>
      </c>
      <c r="AU8" s="7">
        <f>V8*0.0019178667+U8*0.0003835733</f>
        <v/>
      </c>
      <c r="AV8" s="7">
        <f>W8*0.0019178667+V8*0.0003835733</f>
        <v/>
      </c>
      <c r="AW8" s="7">
        <f>X8*0.0019178667+W8*0.0003835733</f>
        <v/>
      </c>
      <c r="AX8" s="7">
        <f>Y8*0.0019178667+X8*0.0003835733</f>
        <v/>
      </c>
      <c r="AY8" s="7">
        <f>Z8*0.0019178667+Y8*0.0003835733</f>
        <v/>
      </c>
      <c r="AZ8" s="7">
        <f>AA8*0.0019178667+Z8*0.0003835733</f>
        <v/>
      </c>
      <c r="BA8" s="7">
        <f>D8*0.0019178667+AA8*0.0003835733</f>
        <v/>
      </c>
      <c r="BB8" s="7">
        <f>SUM(AD8:BA8)</f>
        <v/>
      </c>
    </row>
    <row r="9">
      <c r="A9" t="inlineStr">
        <is>
          <t>AMD-AIR-NEW-SSC</t>
        </is>
      </c>
      <c r="B9" t="inlineStr">
        <is>
          <t>Forward Regular OSC</t>
        </is>
      </c>
      <c r="C9" s="5" t="n">
        <v>46103</v>
      </c>
      <c r="D9" s="6">
        <f>Summary!D9*0.2</f>
        <v/>
      </c>
      <c r="E9" s="6">
        <f>Summary!E9*0.2</f>
        <v/>
      </c>
      <c r="F9" s="6">
        <f>Summary!F9*0.2</f>
        <v/>
      </c>
      <c r="G9" s="6">
        <f>Summary!G9*0.2</f>
        <v/>
      </c>
      <c r="H9" s="6">
        <f>Summary!H9*0.2</f>
        <v/>
      </c>
      <c r="I9" s="6">
        <f>Summary!I9*0.2</f>
        <v/>
      </c>
      <c r="J9" s="6">
        <f>Summary!J9*0.2</f>
        <v/>
      </c>
      <c r="K9" s="6">
        <f>Summary!K9*0.2</f>
        <v/>
      </c>
      <c r="L9" s="6">
        <f>Summary!L9*0.2</f>
        <v/>
      </c>
      <c r="M9" s="6">
        <f>Summary!M9*0.2</f>
        <v/>
      </c>
      <c r="N9" s="6">
        <f>Summary!N9*0.2</f>
        <v/>
      </c>
      <c r="O9" s="6">
        <f>Summary!O9*0.2</f>
        <v/>
      </c>
      <c r="P9" s="6">
        <f>Summary!P9*0.2</f>
        <v/>
      </c>
      <c r="Q9" s="6">
        <f>Summary!Q9*0.2</f>
        <v/>
      </c>
      <c r="R9" s="6">
        <f>Summary!R9*0.2</f>
        <v/>
      </c>
      <c r="S9" s="6">
        <f>Summary!S9*0.2</f>
        <v/>
      </c>
      <c r="T9" s="6">
        <f>Summary!T9*0.2</f>
        <v/>
      </c>
      <c r="U9" s="6">
        <f>Summary!U9*0.2</f>
        <v/>
      </c>
      <c r="V9" s="6">
        <f>Summary!V9*0.2</f>
        <v/>
      </c>
      <c r="W9" s="6">
        <f>Summary!W9*0.2</f>
        <v/>
      </c>
      <c r="X9" s="6">
        <f>Summary!X9*0.2</f>
        <v/>
      </c>
      <c r="Y9" s="6">
        <f>Summary!Y9*0.2</f>
        <v/>
      </c>
      <c r="Z9" s="6">
        <f>Summary!Z9*0.2</f>
        <v/>
      </c>
      <c r="AA9" s="6">
        <f>Summary!AA9*0.2</f>
        <v/>
      </c>
      <c r="AB9" s="6">
        <f>SUM(D9:AA9)</f>
        <v/>
      </c>
      <c r="AC9" s="3" t="inlineStr"/>
      <c r="AD9" s="7">
        <f>E9*0.0019178667+D9*0.0003835733</f>
        <v/>
      </c>
      <c r="AE9" s="7">
        <f>F9*0.0019178667+E9*0.0003835733</f>
        <v/>
      </c>
      <c r="AF9" s="7">
        <f>G9*0.0019178667+F9*0.0003835733</f>
        <v/>
      </c>
      <c r="AG9" s="7">
        <f>H9*0.0019178667+G9*0.0003835733</f>
        <v/>
      </c>
      <c r="AH9" s="7">
        <f>I9*0.0019178667+H9*0.0003835733</f>
        <v/>
      </c>
      <c r="AI9" s="7">
        <f>J9*0.0019178667+I9*0.0003835733</f>
        <v/>
      </c>
      <c r="AJ9" s="7">
        <f>K9*0.0019178667+J9*0.0003835733</f>
        <v/>
      </c>
      <c r="AK9" s="7">
        <f>L9*0.0019178667+K9*0.0003835733</f>
        <v/>
      </c>
      <c r="AL9" s="7">
        <f>M9*0.0019178667+L9*0.0003835733</f>
        <v/>
      </c>
      <c r="AM9" s="7">
        <f>N9*0.0019178667+M9*0.0003835733</f>
        <v/>
      </c>
      <c r="AN9" s="7">
        <f>O9*0.0019178667+N9*0.0003835733</f>
        <v/>
      </c>
      <c r="AO9" s="7">
        <f>P9*0.0019178667+O9*0.0003835733</f>
        <v/>
      </c>
      <c r="AP9" s="7">
        <f>Q9*0.0019178667+P9*0.0003835733</f>
        <v/>
      </c>
      <c r="AQ9" s="7">
        <f>R9*0.0019178667+Q9*0.0003835733</f>
        <v/>
      </c>
      <c r="AR9" s="7">
        <f>S9*0.0019178667+R9*0.0003835733</f>
        <v/>
      </c>
      <c r="AS9" s="7">
        <f>T9*0.0019178667+S9*0.0003835733</f>
        <v/>
      </c>
      <c r="AT9" s="7">
        <f>U9*0.0019178667+T9*0.0003835733</f>
        <v/>
      </c>
      <c r="AU9" s="7">
        <f>V9*0.0019178667+U9*0.0003835733</f>
        <v/>
      </c>
      <c r="AV9" s="7">
        <f>W9*0.0019178667+V9*0.0003835733</f>
        <v/>
      </c>
      <c r="AW9" s="7">
        <f>X9*0.0019178667+W9*0.0003835733</f>
        <v/>
      </c>
      <c r="AX9" s="7">
        <f>Y9*0.0019178667+X9*0.0003835733</f>
        <v/>
      </c>
      <c r="AY9" s="7">
        <f>Z9*0.0019178667+Y9*0.0003835733</f>
        <v/>
      </c>
      <c r="AZ9" s="7">
        <f>AA9*0.0019178667+Z9*0.0003835733</f>
        <v/>
      </c>
      <c r="BA9" s="7">
        <f>D9*0.0019178667+AA9*0.0003835733</f>
        <v/>
      </c>
      <c r="BB9" s="7">
        <f>SUM(AD9:BA9)</f>
        <v/>
      </c>
    </row>
    <row r="10">
      <c r="A10" t="inlineStr">
        <is>
          <t>AMD-AIR-NEW-SSC</t>
        </is>
      </c>
      <c r="B10" t="inlineStr">
        <is>
          <t>Forward Regular OSC</t>
        </is>
      </c>
      <c r="C10" s="5" t="n">
        <v>46104</v>
      </c>
      <c r="D10" s="6">
        <f>Summary!D10*0.2</f>
        <v/>
      </c>
      <c r="E10" s="6">
        <f>Summary!E10*0.2</f>
        <v/>
      </c>
      <c r="F10" s="6">
        <f>Summary!F10*0.2</f>
        <v/>
      </c>
      <c r="G10" s="6">
        <f>Summary!G10*0.2</f>
        <v/>
      </c>
      <c r="H10" s="6">
        <f>Summary!H10*0.2</f>
        <v/>
      </c>
      <c r="I10" s="6">
        <f>Summary!I10*0.2</f>
        <v/>
      </c>
      <c r="J10" s="6">
        <f>Summary!J10*0.2</f>
        <v/>
      </c>
      <c r="K10" s="6">
        <f>Summary!K10*0.2</f>
        <v/>
      </c>
      <c r="L10" s="6">
        <f>Summary!L10*0.2</f>
        <v/>
      </c>
      <c r="M10" s="6">
        <f>Summary!M10*0.2</f>
        <v/>
      </c>
      <c r="N10" s="6">
        <f>Summary!N10*0.2</f>
        <v/>
      </c>
      <c r="O10" s="6">
        <f>Summary!O10*0.2</f>
        <v/>
      </c>
      <c r="P10" s="6">
        <f>Summary!P10*0.2</f>
        <v/>
      </c>
      <c r="Q10" s="6">
        <f>Summary!Q10*0.2</f>
        <v/>
      </c>
      <c r="R10" s="6">
        <f>Summary!R10*0.2</f>
        <v/>
      </c>
      <c r="S10" s="6">
        <f>Summary!S10*0.2</f>
        <v/>
      </c>
      <c r="T10" s="6">
        <f>Summary!T10*0.2</f>
        <v/>
      </c>
      <c r="U10" s="6">
        <f>Summary!U10*0.2</f>
        <v/>
      </c>
      <c r="V10" s="6">
        <f>Summary!V10*0.2</f>
        <v/>
      </c>
      <c r="W10" s="6">
        <f>Summary!W10*0.2</f>
        <v/>
      </c>
      <c r="X10" s="6">
        <f>Summary!X10*0.2</f>
        <v/>
      </c>
      <c r="Y10" s="6">
        <f>Summary!Y10*0.2</f>
        <v/>
      </c>
      <c r="Z10" s="6">
        <f>Summary!Z10*0.2</f>
        <v/>
      </c>
      <c r="AA10" s="6">
        <f>Summary!AA10*0.2</f>
        <v/>
      </c>
      <c r="AB10" s="6">
        <f>SUM(D10:AA10)</f>
        <v/>
      </c>
      <c r="AC10" s="3" t="inlineStr"/>
      <c r="AD10" s="7">
        <f>E10*0.0019178667+D10*0.0003835733</f>
        <v/>
      </c>
      <c r="AE10" s="7">
        <f>F10*0.0019178667+E10*0.0003835733</f>
        <v/>
      </c>
      <c r="AF10" s="7">
        <f>G10*0.0019178667+F10*0.0003835733</f>
        <v/>
      </c>
      <c r="AG10" s="7">
        <f>H10*0.0019178667+G10*0.0003835733</f>
        <v/>
      </c>
      <c r="AH10" s="7">
        <f>I10*0.0019178667+H10*0.0003835733</f>
        <v/>
      </c>
      <c r="AI10" s="7">
        <f>J10*0.0019178667+I10*0.0003835733</f>
        <v/>
      </c>
      <c r="AJ10" s="7">
        <f>K10*0.0019178667+J10*0.0003835733</f>
        <v/>
      </c>
      <c r="AK10" s="7">
        <f>L10*0.0019178667+K10*0.0003835733</f>
        <v/>
      </c>
      <c r="AL10" s="7">
        <f>M10*0.0019178667+L10*0.0003835733</f>
        <v/>
      </c>
      <c r="AM10" s="7">
        <f>N10*0.0019178667+M10*0.0003835733</f>
        <v/>
      </c>
      <c r="AN10" s="7">
        <f>O10*0.0019178667+N10*0.0003835733</f>
        <v/>
      </c>
      <c r="AO10" s="7">
        <f>P10*0.0019178667+O10*0.0003835733</f>
        <v/>
      </c>
      <c r="AP10" s="7">
        <f>Q10*0.0019178667+P10*0.0003835733</f>
        <v/>
      </c>
      <c r="AQ10" s="7">
        <f>R10*0.0019178667+Q10*0.0003835733</f>
        <v/>
      </c>
      <c r="AR10" s="7">
        <f>S10*0.0019178667+R10*0.0003835733</f>
        <v/>
      </c>
      <c r="AS10" s="7">
        <f>T10*0.0019178667+S10*0.0003835733</f>
        <v/>
      </c>
      <c r="AT10" s="7">
        <f>U10*0.0019178667+T10*0.0003835733</f>
        <v/>
      </c>
      <c r="AU10" s="7">
        <f>V10*0.0019178667+U10*0.0003835733</f>
        <v/>
      </c>
      <c r="AV10" s="7">
        <f>W10*0.0019178667+V10*0.0003835733</f>
        <v/>
      </c>
      <c r="AW10" s="7">
        <f>X10*0.0019178667+W10*0.0003835733</f>
        <v/>
      </c>
      <c r="AX10" s="7">
        <f>Y10*0.0019178667+X10*0.0003835733</f>
        <v/>
      </c>
      <c r="AY10" s="7">
        <f>Z10*0.0019178667+Y10*0.0003835733</f>
        <v/>
      </c>
      <c r="AZ10" s="7">
        <f>AA10*0.0019178667+Z10*0.0003835733</f>
        <v/>
      </c>
      <c r="BA10" s="7">
        <f>D10*0.0019178667+AA10*0.0003835733</f>
        <v/>
      </c>
      <c r="BB10" s="7">
        <f>SUM(AD10:BA10)</f>
        <v/>
      </c>
    </row>
    <row r="11">
      <c r="A11" t="inlineStr">
        <is>
          <t>AMD-EXPR</t>
        </is>
      </c>
      <c r="B11" t="inlineStr">
        <is>
          <t>DSC Manual</t>
        </is>
      </c>
      <c r="C11" s="5" t="n">
        <v>46089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>
        <f>SUM(D11:AA11)</f>
        <v/>
      </c>
      <c r="AC11" s="3" t="inlineStr"/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0</v>
      </c>
      <c r="AP11" s="7" t="n">
        <v>0</v>
      </c>
      <c r="AQ11" s="7" t="n">
        <v>0</v>
      </c>
      <c r="AR11" s="7" t="n">
        <v>0</v>
      </c>
      <c r="AS11" s="7" t="n">
        <v>0</v>
      </c>
      <c r="AT11" s="7" t="n">
        <v>0</v>
      </c>
      <c r="AU11" s="7" t="n">
        <v>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0</v>
      </c>
      <c r="BA11" s="7" t="n">
        <v>0</v>
      </c>
      <c r="BB11" s="7">
        <f>SUM(AD11:BA11)</f>
        <v/>
      </c>
    </row>
    <row r="12">
      <c r="A12" t="inlineStr">
        <is>
          <t>AMD-EXPR</t>
        </is>
      </c>
      <c r="B12" t="inlineStr">
        <is>
          <t>DSC Manual</t>
        </is>
      </c>
      <c r="C12" s="5" t="n">
        <v>46090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>
        <f>SUM(D12:AA12)</f>
        <v/>
      </c>
      <c r="AC12" s="3" t="inlineStr"/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0</v>
      </c>
      <c r="AT12" s="7" t="n">
        <v>0</v>
      </c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0</v>
      </c>
      <c r="BA12" s="7" t="n">
        <v>0</v>
      </c>
      <c r="BB12" s="7">
        <f>SUM(AD12:BA12)</f>
        <v/>
      </c>
    </row>
    <row r="13">
      <c r="A13" t="inlineStr">
        <is>
          <t>AMD-EXPR</t>
        </is>
      </c>
      <c r="B13" t="inlineStr">
        <is>
          <t>DSC Manual</t>
        </is>
      </c>
      <c r="C13" s="5" t="n">
        <v>46091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>
        <f>SUM(D13:AA13)</f>
        <v/>
      </c>
      <c r="AC13" s="3" t="inlineStr"/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0</v>
      </c>
      <c r="AP13" s="7" t="n">
        <v>0</v>
      </c>
      <c r="AQ13" s="7" t="n">
        <v>0</v>
      </c>
      <c r="AR13" s="7" t="n">
        <v>0</v>
      </c>
      <c r="AS13" s="7" t="n">
        <v>0</v>
      </c>
      <c r="AT13" s="7" t="n">
        <v>0</v>
      </c>
      <c r="AU13" s="7" t="n">
        <v>0</v>
      </c>
      <c r="AV13" s="7" t="n">
        <v>0</v>
      </c>
      <c r="AW13" s="7" t="n">
        <v>0</v>
      </c>
      <c r="AX13" s="7" t="n">
        <v>0</v>
      </c>
      <c r="AY13" s="7" t="n">
        <v>0</v>
      </c>
      <c r="AZ13" s="7" t="n">
        <v>0</v>
      </c>
      <c r="BA13" s="7" t="n">
        <v>0</v>
      </c>
      <c r="BB13" s="7">
        <f>SUM(AD13:BA13)</f>
        <v/>
      </c>
    </row>
    <row r="14">
      <c r="A14" t="inlineStr">
        <is>
          <t>AMD-EXPR</t>
        </is>
      </c>
      <c r="B14" t="inlineStr">
        <is>
          <t>DSC Manual</t>
        </is>
      </c>
      <c r="C14" s="5" t="n">
        <v>46092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>
        <f>SUM(D14:AA14)</f>
        <v/>
      </c>
      <c r="AC14" s="3" t="inlineStr"/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0</v>
      </c>
      <c r="AP14" s="7" t="n">
        <v>0</v>
      </c>
      <c r="AQ14" s="7" t="n">
        <v>0</v>
      </c>
      <c r="AR14" s="7" t="n">
        <v>0</v>
      </c>
      <c r="AS14" s="7" t="n">
        <v>0</v>
      </c>
      <c r="AT14" s="7" t="n">
        <v>0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0</v>
      </c>
      <c r="BA14" s="7" t="n">
        <v>0</v>
      </c>
      <c r="BB14" s="7">
        <f>SUM(AD14:BA14)</f>
        <v/>
      </c>
    </row>
    <row r="15">
      <c r="A15" t="inlineStr">
        <is>
          <t>AMD-EXPR</t>
        </is>
      </c>
      <c r="B15" t="inlineStr">
        <is>
          <t>DSC Manual</t>
        </is>
      </c>
      <c r="C15" s="5" t="n">
        <v>46093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  <c r="AB15" s="6">
        <f>SUM(D15:AA15)</f>
        <v/>
      </c>
      <c r="AC15" s="3" t="inlineStr"/>
      <c r="AD15" s="7" t="n">
        <v>0</v>
      </c>
      <c r="AE15" s="7" t="n">
        <v>0</v>
      </c>
      <c r="AF15" s="7" t="n">
        <v>0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0</v>
      </c>
      <c r="AL15" s="7" t="n">
        <v>0</v>
      </c>
      <c r="AM15" s="7" t="n">
        <v>0</v>
      </c>
      <c r="AN15" s="7" t="n">
        <v>0</v>
      </c>
      <c r="AO15" s="7" t="n">
        <v>0</v>
      </c>
      <c r="AP15" s="7" t="n">
        <v>0</v>
      </c>
      <c r="AQ15" s="7" t="n">
        <v>0</v>
      </c>
      <c r="AR15" s="7" t="n">
        <v>0</v>
      </c>
      <c r="AS15" s="7" t="n">
        <v>0</v>
      </c>
      <c r="AT15" s="7" t="n">
        <v>0</v>
      </c>
      <c r="AU15" s="7" t="n">
        <v>0</v>
      </c>
      <c r="AV15" s="7" t="n">
        <v>0</v>
      </c>
      <c r="AW15" s="7" t="n">
        <v>0</v>
      </c>
      <c r="AX15" s="7" t="n">
        <v>0</v>
      </c>
      <c r="AY15" s="7" t="n">
        <v>0</v>
      </c>
      <c r="AZ15" s="7" t="n">
        <v>0</v>
      </c>
      <c r="BA15" s="7" t="n">
        <v>0</v>
      </c>
      <c r="BB15" s="7">
        <f>SUM(AD15:BA15)</f>
        <v/>
      </c>
    </row>
    <row r="16">
      <c r="A16" t="inlineStr">
        <is>
          <t>AMD-EXPR</t>
        </is>
      </c>
      <c r="B16" t="inlineStr">
        <is>
          <t>DSC Manual</t>
        </is>
      </c>
      <c r="C16" s="5" t="n">
        <v>46094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  <c r="AB16" s="6">
        <f>SUM(D16:AA16)</f>
        <v/>
      </c>
      <c r="AC16" s="3" t="inlineStr"/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0</v>
      </c>
      <c r="AS16" s="7" t="n">
        <v>0</v>
      </c>
      <c r="AT16" s="7" t="n">
        <v>0</v>
      </c>
      <c r="AU16" s="7" t="n">
        <v>0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0</v>
      </c>
      <c r="BA16" s="7" t="n">
        <v>0</v>
      </c>
      <c r="BB16" s="7">
        <f>SUM(AD16:BA16)</f>
        <v/>
      </c>
    </row>
    <row r="17">
      <c r="A17" t="inlineStr">
        <is>
          <t>AMD-EXPR</t>
        </is>
      </c>
      <c r="B17" t="inlineStr">
        <is>
          <t>DSC Manual</t>
        </is>
      </c>
      <c r="C17" s="5" t="n">
        <v>46095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6">
        <f>SUM(D17:AA17)</f>
        <v/>
      </c>
      <c r="AC17" s="3" t="inlineStr"/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0</v>
      </c>
      <c r="AI17" s="7" t="n">
        <v>0</v>
      </c>
      <c r="AJ17" s="7" t="n">
        <v>0</v>
      </c>
      <c r="AK17" s="7" t="n">
        <v>0</v>
      </c>
      <c r="AL17" s="7" t="n">
        <v>0</v>
      </c>
      <c r="AM17" s="7" t="n">
        <v>0</v>
      </c>
      <c r="AN17" s="7" t="n">
        <v>0</v>
      </c>
      <c r="AO17" s="7" t="n">
        <v>0</v>
      </c>
      <c r="AP17" s="7" t="n">
        <v>0</v>
      </c>
      <c r="AQ17" s="7" t="n">
        <v>0</v>
      </c>
      <c r="AR17" s="7" t="n">
        <v>0</v>
      </c>
      <c r="AS17" s="7" t="n">
        <v>0</v>
      </c>
      <c r="AT17" s="7" t="n">
        <v>0</v>
      </c>
      <c r="AU17" s="7" t="n">
        <v>0</v>
      </c>
      <c r="AV17" s="7" t="n">
        <v>0</v>
      </c>
      <c r="AW17" s="7" t="n">
        <v>0</v>
      </c>
      <c r="AX17" s="7" t="n">
        <v>0</v>
      </c>
      <c r="AY17" s="7" t="n">
        <v>0</v>
      </c>
      <c r="AZ17" s="7" t="n">
        <v>0</v>
      </c>
      <c r="BA17" s="7" t="n">
        <v>0</v>
      </c>
      <c r="BB17" s="7">
        <f>SUM(AD17:BA17)</f>
        <v/>
      </c>
    </row>
    <row r="18">
      <c r="A18" t="inlineStr">
        <is>
          <t>AMD-EXPR</t>
        </is>
      </c>
      <c r="B18" t="inlineStr">
        <is>
          <t>DSC Manual</t>
        </is>
      </c>
      <c r="C18" s="5" t="n">
        <v>46096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  <c r="AB18" s="6">
        <f>SUM(D18:AA18)</f>
        <v/>
      </c>
      <c r="AC18" s="3" t="inlineStr"/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0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0</v>
      </c>
      <c r="BA18" s="7" t="n">
        <v>0</v>
      </c>
      <c r="BB18" s="7">
        <f>SUM(AD18:BA18)</f>
        <v/>
      </c>
    </row>
    <row r="19">
      <c r="A19" t="inlineStr">
        <is>
          <t>AMD-EXPR</t>
        </is>
      </c>
      <c r="B19" t="inlineStr">
        <is>
          <t>DSC Manual</t>
        </is>
      </c>
      <c r="C19" s="5" t="n">
        <v>46097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>
        <f>SUM(D19:AA19)</f>
        <v/>
      </c>
      <c r="AC19" s="3" t="inlineStr"/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0</v>
      </c>
      <c r="AR19" s="7" t="n">
        <v>0</v>
      </c>
      <c r="AS19" s="7" t="n">
        <v>0</v>
      </c>
      <c r="AT19" s="7" t="n">
        <v>0</v>
      </c>
      <c r="AU19" s="7" t="n">
        <v>0</v>
      </c>
      <c r="AV19" s="7" t="n">
        <v>0</v>
      </c>
      <c r="AW19" s="7" t="n">
        <v>0</v>
      </c>
      <c r="AX19" s="7" t="n">
        <v>0</v>
      </c>
      <c r="AY19" s="7" t="n">
        <v>0</v>
      </c>
      <c r="AZ19" s="7" t="n">
        <v>0</v>
      </c>
      <c r="BA19" s="7" t="n">
        <v>0</v>
      </c>
      <c r="BB19" s="7">
        <f>SUM(AD19:BA19)</f>
        <v/>
      </c>
    </row>
    <row r="20">
      <c r="A20" t="inlineStr">
        <is>
          <t>AMD-EXPR</t>
        </is>
      </c>
      <c r="B20" t="inlineStr">
        <is>
          <t>DSC Manual</t>
        </is>
      </c>
      <c r="C20" s="5" t="n">
        <v>46099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>
        <f>SUM(D20:AA20)</f>
        <v/>
      </c>
      <c r="AC20" s="3" t="inlineStr"/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0</v>
      </c>
      <c r="BA20" s="7" t="n">
        <v>0</v>
      </c>
      <c r="BB20" s="7">
        <f>SUM(AD20:BA20)</f>
        <v/>
      </c>
    </row>
    <row r="21">
      <c r="A21" t="inlineStr">
        <is>
          <t>AMD-EXPR</t>
        </is>
      </c>
      <c r="B21" t="inlineStr">
        <is>
          <t>DSC Manual</t>
        </is>
      </c>
      <c r="C21" s="5" t="n">
        <v>46100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>
        <f>SUM(D21:AA21)</f>
        <v/>
      </c>
      <c r="AC21" s="3" t="inlineStr"/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0</v>
      </c>
      <c r="AS21" s="7" t="n">
        <v>0</v>
      </c>
      <c r="AT21" s="7" t="n">
        <v>0</v>
      </c>
      <c r="AU21" s="7" t="n">
        <v>0</v>
      </c>
      <c r="AV21" s="7" t="n">
        <v>0</v>
      </c>
      <c r="AW21" s="7" t="n">
        <v>0</v>
      </c>
      <c r="AX21" s="7" t="n">
        <v>0</v>
      </c>
      <c r="AY21" s="7" t="n">
        <v>0</v>
      </c>
      <c r="AZ21" s="7" t="n">
        <v>0</v>
      </c>
      <c r="BA21" s="7" t="n">
        <v>0</v>
      </c>
      <c r="BB21" s="7">
        <f>SUM(AD21:BA21)</f>
        <v/>
      </c>
    </row>
    <row r="22">
      <c r="A22" t="inlineStr">
        <is>
          <t>AMD-EXPR</t>
        </is>
      </c>
      <c r="B22" t="inlineStr">
        <is>
          <t>DSC Manual</t>
        </is>
      </c>
      <c r="C22" s="5" t="n">
        <v>46102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>
        <f>SUM(D22:AA22)</f>
        <v/>
      </c>
      <c r="AC22" s="3" t="inlineStr"/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7" t="n">
        <v>0</v>
      </c>
      <c r="BB22" s="7">
        <f>SUM(AD22:BA22)</f>
        <v/>
      </c>
    </row>
    <row r="23">
      <c r="A23" t="inlineStr">
        <is>
          <t>AMD-EXPR</t>
        </is>
      </c>
      <c r="B23" t="inlineStr">
        <is>
          <t>DSC Manual</t>
        </is>
      </c>
      <c r="C23" s="5" t="n">
        <v>46103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>
        <f>SUM(D23:AA23)</f>
        <v/>
      </c>
      <c r="AC23" s="3" t="inlineStr"/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0</v>
      </c>
      <c r="BA23" s="7" t="n">
        <v>0</v>
      </c>
      <c r="BB23" s="7">
        <f>SUM(AD23:BA23)</f>
        <v/>
      </c>
    </row>
    <row r="24">
      <c r="A24" t="inlineStr">
        <is>
          <t>AMD-EXPR</t>
        </is>
      </c>
      <c r="B24" t="inlineStr">
        <is>
          <t>DSC Manual</t>
        </is>
      </c>
      <c r="C24" s="5" t="n">
        <v>46104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>
        <f>SUM(D24:AA24)</f>
        <v/>
      </c>
      <c r="AC24" s="3" t="inlineStr"/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0</v>
      </c>
      <c r="BA24" s="7" t="n">
        <v>0</v>
      </c>
      <c r="BB24" s="7">
        <f>SUM(AD24:BA24)</f>
        <v/>
      </c>
    </row>
    <row r="25">
      <c r="A25" t="inlineStr">
        <is>
          <t>AMD-EXPR</t>
        </is>
      </c>
      <c r="B25" t="inlineStr">
        <is>
          <t>DSC Manual</t>
        </is>
      </c>
      <c r="C25" s="5" t="n">
        <v>46105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>
        <f>SUM(D25:AA25)</f>
        <v/>
      </c>
      <c r="AC25" s="3" t="inlineStr"/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7" t="n">
        <v>0</v>
      </c>
      <c r="BB25" s="7">
        <f>SUM(AD25:BA25)</f>
        <v/>
      </c>
    </row>
    <row r="26">
      <c r="A26" t="inlineStr">
        <is>
          <t>AMD-FK-SSC</t>
        </is>
      </c>
      <c r="B26" t="inlineStr">
        <is>
          <t>Prime at Client side</t>
        </is>
      </c>
      <c r="C26" s="5" t="n">
        <v>46089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>
        <f>SUM(D26:AA26)</f>
        <v/>
      </c>
      <c r="AC26" s="3" t="inlineStr"/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7" t="n">
        <v>0</v>
      </c>
      <c r="BB26" s="7">
        <f>SUM(AD26:BA26)</f>
        <v/>
      </c>
    </row>
    <row r="27">
      <c r="A27" t="inlineStr">
        <is>
          <t>AMD-FK-SSC</t>
        </is>
      </c>
      <c r="B27" t="inlineStr">
        <is>
          <t>Prime at Client side</t>
        </is>
      </c>
      <c r="C27" s="5" t="n">
        <v>46090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>
        <f>SUM(D27:AA27)</f>
        <v/>
      </c>
      <c r="AC27" s="3" t="inlineStr"/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7" t="n">
        <v>0</v>
      </c>
      <c r="BB27" s="7">
        <f>SUM(AD27:BA27)</f>
        <v/>
      </c>
    </row>
    <row r="28">
      <c r="A28" t="inlineStr">
        <is>
          <t>AMD-FK-SSC</t>
        </is>
      </c>
      <c r="B28" t="inlineStr">
        <is>
          <t>Prime at Client side</t>
        </is>
      </c>
      <c r="C28" s="5" t="n">
        <v>46091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>
        <f>SUM(D28:AA28)</f>
        <v/>
      </c>
      <c r="AC28" s="3" t="inlineStr"/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7" t="n">
        <v>0</v>
      </c>
      <c r="BB28" s="7">
        <f>SUM(AD28:BA28)</f>
        <v/>
      </c>
    </row>
    <row r="29">
      <c r="A29" t="inlineStr">
        <is>
          <t>AMD-FK-SSC</t>
        </is>
      </c>
      <c r="B29" t="inlineStr">
        <is>
          <t>Prime at Client side</t>
        </is>
      </c>
      <c r="C29" s="5" t="n">
        <v>46092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>
        <f>SUM(D29:AA29)</f>
        <v/>
      </c>
      <c r="AC29" s="3" t="inlineStr"/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7" t="n">
        <v>0</v>
      </c>
      <c r="AQ29" s="7" t="n">
        <v>0</v>
      </c>
      <c r="AR29" s="7" t="n">
        <v>0</v>
      </c>
      <c r="AS29" s="7" t="n">
        <v>0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0</v>
      </c>
      <c r="BA29" s="7" t="n">
        <v>0</v>
      </c>
      <c r="BB29" s="7">
        <f>SUM(AD29:BA29)</f>
        <v/>
      </c>
    </row>
    <row r="30">
      <c r="A30" t="inlineStr">
        <is>
          <t>AMD-FK-SSC</t>
        </is>
      </c>
      <c r="B30" t="inlineStr">
        <is>
          <t>Prime at Client side</t>
        </is>
      </c>
      <c r="C30" s="5" t="n">
        <v>46093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>
        <f>SUM(D30:AA30)</f>
        <v/>
      </c>
      <c r="AC30" s="3" t="inlineStr"/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0</v>
      </c>
      <c r="AS30" s="7" t="n">
        <v>0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7" t="n">
        <v>0</v>
      </c>
      <c r="BB30" s="7">
        <f>SUM(AD30:BA30)</f>
        <v/>
      </c>
    </row>
    <row r="31">
      <c r="A31" t="inlineStr">
        <is>
          <t>AMD-FK-SSC</t>
        </is>
      </c>
      <c r="B31" t="inlineStr">
        <is>
          <t>Prime at Client side</t>
        </is>
      </c>
      <c r="C31" s="5" t="n">
        <v>46094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>
        <f>SUM(D31:AA31)</f>
        <v/>
      </c>
      <c r="AC31" s="3" t="inlineStr"/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0</v>
      </c>
      <c r="AT31" s="7" t="n">
        <v>0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0</v>
      </c>
      <c r="BA31" s="7" t="n">
        <v>0</v>
      </c>
      <c r="BB31" s="7">
        <f>SUM(AD31:BA31)</f>
        <v/>
      </c>
    </row>
    <row r="32">
      <c r="A32" t="inlineStr">
        <is>
          <t>AMD-FK-SSC</t>
        </is>
      </c>
      <c r="B32" t="inlineStr">
        <is>
          <t>Prime at Client side</t>
        </is>
      </c>
      <c r="C32" s="5" t="n">
        <v>46095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>
        <f>SUM(D32:AA32)</f>
        <v/>
      </c>
      <c r="AC32" s="3" t="inlineStr"/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7" t="n">
        <v>0</v>
      </c>
      <c r="BB32" s="7">
        <f>SUM(AD32:BA32)</f>
        <v/>
      </c>
    </row>
    <row r="33">
      <c r="A33" t="inlineStr">
        <is>
          <t>AMD-FK-SSC</t>
        </is>
      </c>
      <c r="B33" t="inlineStr">
        <is>
          <t>Prime at Client side</t>
        </is>
      </c>
      <c r="C33" s="5" t="n">
        <v>46096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6">
        <f>SUM(D33:AA33)</f>
        <v/>
      </c>
      <c r="AC33" s="3" t="inlineStr"/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0</v>
      </c>
      <c r="AS33" s="7" t="n">
        <v>0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7" t="n">
        <v>0</v>
      </c>
      <c r="BB33" s="7">
        <f>SUM(AD33:BA33)</f>
        <v/>
      </c>
    </row>
    <row r="34">
      <c r="A34" t="inlineStr">
        <is>
          <t>AMD-FK-SSC</t>
        </is>
      </c>
      <c r="B34" t="inlineStr">
        <is>
          <t>Prime at Client side</t>
        </is>
      </c>
      <c r="C34" s="5" t="n">
        <v>46097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>
        <f>SUM(D34:AA34)</f>
        <v/>
      </c>
      <c r="AC34" s="3" t="inlineStr"/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7" t="n">
        <v>0</v>
      </c>
      <c r="BB34" s="7">
        <f>SUM(AD34:BA34)</f>
        <v/>
      </c>
    </row>
    <row r="35">
      <c r="A35" t="inlineStr">
        <is>
          <t>AMD-FK-SSC</t>
        </is>
      </c>
      <c r="B35" t="inlineStr">
        <is>
          <t>Prime at Client side</t>
        </is>
      </c>
      <c r="C35" s="5" t="n">
        <v>46098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>
        <f>SUM(D35:AA35)</f>
        <v/>
      </c>
      <c r="AC35" s="3" t="inlineStr"/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7" t="n">
        <v>0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0</v>
      </c>
      <c r="BA35" s="7" t="n">
        <v>0</v>
      </c>
      <c r="BB35" s="7">
        <f>SUM(AD35:BA35)</f>
        <v/>
      </c>
    </row>
    <row r="36">
      <c r="A36" t="inlineStr">
        <is>
          <t>AMD-FK-SSC</t>
        </is>
      </c>
      <c r="B36" t="inlineStr">
        <is>
          <t>Prime at Client side</t>
        </is>
      </c>
      <c r="C36" s="5" t="n">
        <v>46099</v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>
        <f>SUM(D36:AA36)</f>
        <v/>
      </c>
      <c r="AC36" s="3" t="inlineStr"/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0</v>
      </c>
      <c r="AT36" s="7" t="n">
        <v>0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0</v>
      </c>
      <c r="BA36" s="7" t="n">
        <v>0</v>
      </c>
      <c r="BB36" s="7">
        <f>SUM(AD36:BA36)</f>
        <v/>
      </c>
    </row>
    <row r="37">
      <c r="A37" t="inlineStr">
        <is>
          <t>AMD-FK-SSC</t>
        </is>
      </c>
      <c r="B37" t="inlineStr">
        <is>
          <t>Prime at Client side</t>
        </is>
      </c>
      <c r="C37" s="5" t="n">
        <v>46100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>
        <f>SUM(D37:AA37)</f>
        <v/>
      </c>
      <c r="AC37" s="3" t="inlineStr"/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0</v>
      </c>
      <c r="AP37" s="7" t="n">
        <v>0</v>
      </c>
      <c r="AQ37" s="7" t="n">
        <v>0</v>
      </c>
      <c r="AR37" s="7" t="n">
        <v>0</v>
      </c>
      <c r="AS37" s="7" t="n">
        <v>0</v>
      </c>
      <c r="AT37" s="7" t="n">
        <v>0</v>
      </c>
      <c r="AU37" s="7" t="n">
        <v>0</v>
      </c>
      <c r="AV37" s="7" t="n">
        <v>0</v>
      </c>
      <c r="AW37" s="7" t="n">
        <v>0</v>
      </c>
      <c r="AX37" s="7" t="n">
        <v>0</v>
      </c>
      <c r="AY37" s="7" t="n">
        <v>0</v>
      </c>
      <c r="AZ37" s="7" t="n">
        <v>0</v>
      </c>
      <c r="BA37" s="7" t="n">
        <v>0</v>
      </c>
      <c r="BB37" s="7">
        <f>SUM(AD37:BA37)</f>
        <v/>
      </c>
    </row>
    <row r="38">
      <c r="A38" t="inlineStr">
        <is>
          <t>AMD-FK-SSC</t>
        </is>
      </c>
      <c r="B38" t="inlineStr">
        <is>
          <t>Prime at Client side</t>
        </is>
      </c>
      <c r="C38" s="5" t="n">
        <v>46101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0</v>
      </c>
      <c r="Q38" s="6" t="n">
        <v>0</v>
      </c>
      <c r="R38" s="6" t="n">
        <v>0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>
        <f>SUM(D38:AA38)</f>
        <v/>
      </c>
      <c r="AC38" s="3" t="inlineStr"/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0</v>
      </c>
      <c r="AP38" s="7" t="n">
        <v>0</v>
      </c>
      <c r="AQ38" s="7" t="n">
        <v>0</v>
      </c>
      <c r="AR38" s="7" t="n">
        <v>0</v>
      </c>
      <c r="AS38" s="7" t="n">
        <v>0</v>
      </c>
      <c r="AT38" s="7" t="n">
        <v>0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0</v>
      </c>
      <c r="BA38" s="7" t="n">
        <v>0</v>
      </c>
      <c r="BB38" s="7">
        <f>SUM(AD38:BA38)</f>
        <v/>
      </c>
    </row>
    <row r="39">
      <c r="A39" t="inlineStr">
        <is>
          <t>AMD-FK-SSC</t>
        </is>
      </c>
      <c r="B39" t="inlineStr">
        <is>
          <t>Prime at Client side</t>
        </is>
      </c>
      <c r="C39" s="5" t="n">
        <v>46102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>
        <f>SUM(D39:AA39)</f>
        <v/>
      </c>
      <c r="AC39" s="3" t="inlineStr"/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0</v>
      </c>
      <c r="AP39" s="7" t="n">
        <v>0</v>
      </c>
      <c r="AQ39" s="7" t="n">
        <v>0</v>
      </c>
      <c r="AR39" s="7" t="n">
        <v>0</v>
      </c>
      <c r="AS39" s="7" t="n">
        <v>0</v>
      </c>
      <c r="AT39" s="7" t="n">
        <v>0</v>
      </c>
      <c r="AU39" s="7" t="n">
        <v>0</v>
      </c>
      <c r="AV39" s="7" t="n">
        <v>0</v>
      </c>
      <c r="AW39" s="7" t="n">
        <v>0</v>
      </c>
      <c r="AX39" s="7" t="n">
        <v>0</v>
      </c>
      <c r="AY39" s="7" t="n">
        <v>0</v>
      </c>
      <c r="AZ39" s="7" t="n">
        <v>0</v>
      </c>
      <c r="BA39" s="7" t="n">
        <v>0</v>
      </c>
      <c r="BB39" s="7">
        <f>SUM(AD39:BA39)</f>
        <v/>
      </c>
    </row>
    <row r="40">
      <c r="A40" t="inlineStr">
        <is>
          <t>AMD-FK-SSC</t>
        </is>
      </c>
      <c r="B40" t="inlineStr">
        <is>
          <t>Prime at Client side</t>
        </is>
      </c>
      <c r="C40" s="5" t="n">
        <v>46103</v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0</v>
      </c>
      <c r="M40" s="6" t="n">
        <v>0</v>
      </c>
      <c r="N40" s="6" t="n">
        <v>0</v>
      </c>
      <c r="O40" s="6" t="n">
        <v>0</v>
      </c>
      <c r="P40" s="6" t="n">
        <v>0</v>
      </c>
      <c r="Q40" s="6" t="n">
        <v>0</v>
      </c>
      <c r="R40" s="6" t="n">
        <v>0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>
        <f>SUM(D40:AA40)</f>
        <v/>
      </c>
      <c r="AC40" s="3" t="inlineStr"/>
      <c r="AD40" s="7" t="n">
        <v>0</v>
      </c>
      <c r="AE40" s="7" t="n">
        <v>0</v>
      </c>
      <c r="AF40" s="7" t="n">
        <v>0</v>
      </c>
      <c r="AG40" s="7" t="n">
        <v>0</v>
      </c>
      <c r="AH40" s="7" t="n">
        <v>0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0</v>
      </c>
      <c r="AS40" s="7" t="n">
        <v>0</v>
      </c>
      <c r="AT40" s="7" t="n">
        <v>0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0</v>
      </c>
      <c r="BA40" s="7" t="n">
        <v>0</v>
      </c>
      <c r="BB40" s="7">
        <f>SUM(AD40:BA40)</f>
        <v/>
      </c>
    </row>
    <row r="41">
      <c r="A41" t="inlineStr">
        <is>
          <t>AMD-FK-SSC</t>
        </is>
      </c>
      <c r="B41" t="inlineStr">
        <is>
          <t>Prime at Client side</t>
        </is>
      </c>
      <c r="C41" s="5" t="n">
        <v>46104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>
        <f>SUM(D41:AA41)</f>
        <v/>
      </c>
      <c r="AC41" s="3" t="inlineStr"/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</v>
      </c>
      <c r="AP41" s="7" t="n">
        <v>0</v>
      </c>
      <c r="AQ41" s="7" t="n">
        <v>0</v>
      </c>
      <c r="AR41" s="7" t="n">
        <v>0</v>
      </c>
      <c r="AS41" s="7" t="n">
        <v>0</v>
      </c>
      <c r="AT41" s="7" t="n">
        <v>0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0</v>
      </c>
      <c r="BA41" s="7" t="n">
        <v>0</v>
      </c>
      <c r="BB41" s="7">
        <f>SUM(AD41:BA41)</f>
        <v/>
      </c>
    </row>
    <row r="42">
      <c r="A42" t="inlineStr">
        <is>
          <t>AMD-FK-SSC</t>
        </is>
      </c>
      <c r="B42" t="inlineStr">
        <is>
          <t>Prime at Client side</t>
        </is>
      </c>
      <c r="C42" s="5" t="n">
        <v>46105</v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6" t="n">
        <v>0</v>
      </c>
      <c r="N42" s="6" t="n">
        <v>0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>
        <f>SUM(D42:AA42)</f>
        <v/>
      </c>
      <c r="AC42" s="3" t="inlineStr"/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7" t="n">
        <v>0</v>
      </c>
      <c r="BB42" s="7">
        <f>SUM(AD42:BA42)</f>
        <v/>
      </c>
    </row>
    <row r="43">
      <c r="A43" t="inlineStr">
        <is>
          <t>AMD-FWDPRI-SSC</t>
        </is>
      </c>
      <c r="B43" t="inlineStr">
        <is>
          <t>FWD Priority OSC</t>
        </is>
      </c>
      <c r="C43" s="5" t="n">
        <v>46098</v>
      </c>
      <c r="D43" s="6">
        <f>Summary!D43*0.2</f>
        <v/>
      </c>
      <c r="E43" s="6">
        <f>Summary!E43*0.2</f>
        <v/>
      </c>
      <c r="F43" s="6">
        <f>Summary!F43*0.2</f>
        <v/>
      </c>
      <c r="G43" s="6">
        <f>Summary!G43*0.2</f>
        <v/>
      </c>
      <c r="H43" s="6">
        <f>Summary!H43*0.2</f>
        <v/>
      </c>
      <c r="I43" s="6">
        <f>Summary!I43*0.2</f>
        <v/>
      </c>
      <c r="J43" s="6">
        <f>Summary!J43*0.2</f>
        <v/>
      </c>
      <c r="K43" s="6">
        <f>Summary!K43*0.2</f>
        <v/>
      </c>
      <c r="L43" s="6">
        <f>Summary!L43*0.2</f>
        <v/>
      </c>
      <c r="M43" s="6">
        <f>Summary!M43*0.2</f>
        <v/>
      </c>
      <c r="N43" s="6">
        <f>Summary!N43*0.2</f>
        <v/>
      </c>
      <c r="O43" s="6">
        <f>Summary!O43*0.2</f>
        <v/>
      </c>
      <c r="P43" s="6">
        <f>Summary!P43*0.2</f>
        <v/>
      </c>
      <c r="Q43" s="6">
        <f>Summary!Q43*0.2</f>
        <v/>
      </c>
      <c r="R43" s="6">
        <f>Summary!R43*0.2</f>
        <v/>
      </c>
      <c r="S43" s="6">
        <f>Summary!S43*0.2</f>
        <v/>
      </c>
      <c r="T43" s="6">
        <f>Summary!T43*0.2</f>
        <v/>
      </c>
      <c r="U43" s="6">
        <f>Summary!U43*0.2</f>
        <v/>
      </c>
      <c r="V43" s="6">
        <f>Summary!V43*0.2</f>
        <v/>
      </c>
      <c r="W43" s="6">
        <f>Summary!W43*0.2</f>
        <v/>
      </c>
      <c r="X43" s="6">
        <f>Summary!X43*0.2</f>
        <v/>
      </c>
      <c r="Y43" s="6">
        <f>Summary!Y43*0.2</f>
        <v/>
      </c>
      <c r="Z43" s="6">
        <f>Summary!Z43*0.2</f>
        <v/>
      </c>
      <c r="AA43" s="6">
        <f>Summary!AA43*0.2</f>
        <v/>
      </c>
      <c r="AB43" s="6">
        <f>SUM(D43:AA43)</f>
        <v/>
      </c>
      <c r="AC43" s="3" t="inlineStr"/>
      <c r="AD43" s="7">
        <f>E43*0.0019178667+D43*0.0003835733</f>
        <v/>
      </c>
      <c r="AE43" s="7">
        <f>F43*0.0019178667+E43*0.0003835733</f>
        <v/>
      </c>
      <c r="AF43" s="7">
        <f>G43*0.0019178667+F43*0.0003835733</f>
        <v/>
      </c>
      <c r="AG43" s="7">
        <f>H43*0.0019178667+G43*0.0003835733</f>
        <v/>
      </c>
      <c r="AH43" s="7">
        <f>I43*0.0019178667+H43*0.0003835733</f>
        <v/>
      </c>
      <c r="AI43" s="7">
        <f>J43*0.0019178667+I43*0.0003835733</f>
        <v/>
      </c>
      <c r="AJ43" s="7">
        <f>K43*0.0019178667+J43*0.0003835733</f>
        <v/>
      </c>
      <c r="AK43" s="7">
        <f>L43*0.0019178667+K43*0.0003835733</f>
        <v/>
      </c>
      <c r="AL43" s="7">
        <f>M43*0.0019178667+L43*0.0003835733</f>
        <v/>
      </c>
      <c r="AM43" s="7">
        <f>N43*0.0019178667+M43*0.0003835733</f>
        <v/>
      </c>
      <c r="AN43" s="7">
        <f>O43*0.0019178667+N43*0.0003835733</f>
        <v/>
      </c>
      <c r="AO43" s="7">
        <f>P43*0.0019178667+O43*0.0003835733</f>
        <v/>
      </c>
      <c r="AP43" s="7">
        <f>Q43*0.0019178667+P43*0.0003835733</f>
        <v/>
      </c>
      <c r="AQ43" s="7">
        <f>R43*0.0019178667+Q43*0.0003835733</f>
        <v/>
      </c>
      <c r="AR43" s="7">
        <f>S43*0.0019178667+R43*0.0003835733</f>
        <v/>
      </c>
      <c r="AS43" s="7">
        <f>T43*0.0019178667+S43*0.0003835733</f>
        <v/>
      </c>
      <c r="AT43" s="7">
        <f>U43*0.0019178667+T43*0.0003835733</f>
        <v/>
      </c>
      <c r="AU43" s="7">
        <f>V43*0.0019178667+U43*0.0003835733</f>
        <v/>
      </c>
      <c r="AV43" s="7">
        <f>W43*0.0019178667+V43*0.0003835733</f>
        <v/>
      </c>
      <c r="AW43" s="7">
        <f>X43*0.0019178667+W43*0.0003835733</f>
        <v/>
      </c>
      <c r="AX43" s="7">
        <f>Y43*0.0019178667+X43*0.0003835733</f>
        <v/>
      </c>
      <c r="AY43" s="7">
        <f>Z43*0.0019178667+Y43*0.0003835733</f>
        <v/>
      </c>
      <c r="AZ43" s="7">
        <f>AA43*0.0019178667+Z43*0.0003835733</f>
        <v/>
      </c>
      <c r="BA43" s="7">
        <f>D43*0.0019178667+AA43*0.0003835733</f>
        <v/>
      </c>
      <c r="BB43" s="7">
        <f>SUM(AD43:BA43)</f>
        <v/>
      </c>
    </row>
    <row r="44">
      <c r="A44" t="inlineStr">
        <is>
          <t>AMD-FWDPRI-SSC</t>
        </is>
      </c>
      <c r="B44" t="inlineStr">
        <is>
          <t>FWD Priority OSC</t>
        </is>
      </c>
      <c r="C44" s="5" t="n">
        <v>46099</v>
      </c>
      <c r="D44" s="6">
        <f>Summary!D44*0.2</f>
        <v/>
      </c>
      <c r="E44" s="6">
        <f>Summary!E44*0.2</f>
        <v/>
      </c>
      <c r="F44" s="6">
        <f>Summary!F44*0.2</f>
        <v/>
      </c>
      <c r="G44" s="6">
        <f>Summary!G44*0.2</f>
        <v/>
      </c>
      <c r="H44" s="6">
        <f>Summary!H44*0.2</f>
        <v/>
      </c>
      <c r="I44" s="6">
        <f>Summary!I44*0.2</f>
        <v/>
      </c>
      <c r="J44" s="6">
        <f>Summary!J44*0.2</f>
        <v/>
      </c>
      <c r="K44" s="6">
        <f>Summary!K44*0.2</f>
        <v/>
      </c>
      <c r="L44" s="6">
        <f>Summary!L44*0.2</f>
        <v/>
      </c>
      <c r="M44" s="6">
        <f>Summary!M44*0.2</f>
        <v/>
      </c>
      <c r="N44" s="6">
        <f>Summary!N44*0.2</f>
        <v/>
      </c>
      <c r="O44" s="6">
        <f>Summary!O44*0.2</f>
        <v/>
      </c>
      <c r="P44" s="6">
        <f>Summary!P44*0.2</f>
        <v/>
      </c>
      <c r="Q44" s="6">
        <f>Summary!Q44*0.2</f>
        <v/>
      </c>
      <c r="R44" s="6">
        <f>Summary!R44*0.2</f>
        <v/>
      </c>
      <c r="S44" s="6">
        <f>Summary!S44*0.2</f>
        <v/>
      </c>
      <c r="T44" s="6">
        <f>Summary!T44*0.2</f>
        <v/>
      </c>
      <c r="U44" s="6">
        <f>Summary!U44*0.2</f>
        <v/>
      </c>
      <c r="V44" s="6">
        <f>Summary!V44*0.2</f>
        <v/>
      </c>
      <c r="W44" s="6">
        <f>Summary!W44*0.2</f>
        <v/>
      </c>
      <c r="X44" s="6">
        <f>Summary!X44*0.2</f>
        <v/>
      </c>
      <c r="Y44" s="6">
        <f>Summary!Y44*0.2</f>
        <v/>
      </c>
      <c r="Z44" s="6">
        <f>Summary!Z44*0.2</f>
        <v/>
      </c>
      <c r="AA44" s="6">
        <f>Summary!AA44*0.2</f>
        <v/>
      </c>
      <c r="AB44" s="6">
        <f>SUM(D44:AA44)</f>
        <v/>
      </c>
      <c r="AC44" s="3" t="inlineStr"/>
      <c r="AD44" s="7">
        <f>E44*0.0019178667+D44*0.0003835733</f>
        <v/>
      </c>
      <c r="AE44" s="7">
        <f>F44*0.0019178667+E44*0.0003835733</f>
        <v/>
      </c>
      <c r="AF44" s="7">
        <f>G44*0.0019178667+F44*0.0003835733</f>
        <v/>
      </c>
      <c r="AG44" s="7">
        <f>H44*0.0019178667+G44*0.0003835733</f>
        <v/>
      </c>
      <c r="AH44" s="7">
        <f>I44*0.0019178667+H44*0.0003835733</f>
        <v/>
      </c>
      <c r="AI44" s="7">
        <f>J44*0.0019178667+I44*0.0003835733</f>
        <v/>
      </c>
      <c r="AJ44" s="7">
        <f>K44*0.0019178667+J44*0.0003835733</f>
        <v/>
      </c>
      <c r="AK44" s="7">
        <f>L44*0.0019178667+K44*0.0003835733</f>
        <v/>
      </c>
      <c r="AL44" s="7">
        <f>M44*0.0019178667+L44*0.0003835733</f>
        <v/>
      </c>
      <c r="AM44" s="7">
        <f>N44*0.0019178667+M44*0.0003835733</f>
        <v/>
      </c>
      <c r="AN44" s="7">
        <f>O44*0.0019178667+N44*0.0003835733</f>
        <v/>
      </c>
      <c r="AO44" s="7">
        <f>P44*0.0019178667+O44*0.0003835733</f>
        <v/>
      </c>
      <c r="AP44" s="7">
        <f>Q44*0.0019178667+P44*0.0003835733</f>
        <v/>
      </c>
      <c r="AQ44" s="7">
        <f>R44*0.0019178667+Q44*0.0003835733</f>
        <v/>
      </c>
      <c r="AR44" s="7">
        <f>S44*0.0019178667+R44*0.0003835733</f>
        <v/>
      </c>
      <c r="AS44" s="7">
        <f>T44*0.0019178667+S44*0.0003835733</f>
        <v/>
      </c>
      <c r="AT44" s="7">
        <f>U44*0.0019178667+T44*0.0003835733</f>
        <v/>
      </c>
      <c r="AU44" s="7">
        <f>V44*0.0019178667+U44*0.0003835733</f>
        <v/>
      </c>
      <c r="AV44" s="7">
        <f>W44*0.0019178667+V44*0.0003835733</f>
        <v/>
      </c>
      <c r="AW44" s="7">
        <f>X44*0.0019178667+W44*0.0003835733</f>
        <v/>
      </c>
      <c r="AX44" s="7">
        <f>Y44*0.0019178667+X44*0.0003835733</f>
        <v/>
      </c>
      <c r="AY44" s="7">
        <f>Z44*0.0019178667+Y44*0.0003835733</f>
        <v/>
      </c>
      <c r="AZ44" s="7">
        <f>AA44*0.0019178667+Z44*0.0003835733</f>
        <v/>
      </c>
      <c r="BA44" s="7">
        <f>D44*0.0019178667+AA44*0.0003835733</f>
        <v/>
      </c>
      <c r="BB44" s="7">
        <f>SUM(AD44:BA44)</f>
        <v/>
      </c>
    </row>
    <row r="45">
      <c r="A45" t="inlineStr">
        <is>
          <t>AMD-FWDPRI-SSC</t>
        </is>
      </c>
      <c r="B45" t="inlineStr">
        <is>
          <t>FWD Priority OSC</t>
        </is>
      </c>
      <c r="C45" s="5" t="n">
        <v>46100</v>
      </c>
      <c r="D45" s="6">
        <f>Summary!D45*0.2</f>
        <v/>
      </c>
      <c r="E45" s="6">
        <f>Summary!E45*0.2</f>
        <v/>
      </c>
      <c r="F45" s="6">
        <f>Summary!F45*0.2</f>
        <v/>
      </c>
      <c r="G45" s="6">
        <f>Summary!G45*0.2</f>
        <v/>
      </c>
      <c r="H45" s="6">
        <f>Summary!H45*0.2</f>
        <v/>
      </c>
      <c r="I45" s="6">
        <f>Summary!I45*0.2</f>
        <v/>
      </c>
      <c r="J45" s="6">
        <f>Summary!J45*0.2</f>
        <v/>
      </c>
      <c r="K45" s="6">
        <f>Summary!K45*0.2</f>
        <v/>
      </c>
      <c r="L45" s="6">
        <f>Summary!L45*0.2</f>
        <v/>
      </c>
      <c r="M45" s="6">
        <f>Summary!M45*0.2</f>
        <v/>
      </c>
      <c r="N45" s="6">
        <f>Summary!N45*0.2</f>
        <v/>
      </c>
      <c r="O45" s="6">
        <f>Summary!O45*0.2</f>
        <v/>
      </c>
      <c r="P45" s="6">
        <f>Summary!P45*0.2</f>
        <v/>
      </c>
      <c r="Q45" s="6">
        <f>Summary!Q45*0.2</f>
        <v/>
      </c>
      <c r="R45" s="6">
        <f>Summary!R45*0.2</f>
        <v/>
      </c>
      <c r="S45" s="6">
        <f>Summary!S45*0.2</f>
        <v/>
      </c>
      <c r="T45" s="6">
        <f>Summary!T45*0.2</f>
        <v/>
      </c>
      <c r="U45" s="6">
        <f>Summary!U45*0.2</f>
        <v/>
      </c>
      <c r="V45" s="6">
        <f>Summary!V45*0.2</f>
        <v/>
      </c>
      <c r="W45" s="6">
        <f>Summary!W45*0.2</f>
        <v/>
      </c>
      <c r="X45" s="6">
        <f>Summary!X45*0.2</f>
        <v/>
      </c>
      <c r="Y45" s="6">
        <f>Summary!Y45*0.2</f>
        <v/>
      </c>
      <c r="Z45" s="6">
        <f>Summary!Z45*0.2</f>
        <v/>
      </c>
      <c r="AA45" s="6">
        <f>Summary!AA45*0.2</f>
        <v/>
      </c>
      <c r="AB45" s="6">
        <f>SUM(D45:AA45)</f>
        <v/>
      </c>
      <c r="AC45" s="3" t="inlineStr"/>
      <c r="AD45" s="7">
        <f>E45*0.0019178667+D45*0.0003835733</f>
        <v/>
      </c>
      <c r="AE45" s="7">
        <f>F45*0.0019178667+E45*0.0003835733</f>
        <v/>
      </c>
      <c r="AF45" s="7">
        <f>G45*0.0019178667+F45*0.0003835733</f>
        <v/>
      </c>
      <c r="AG45" s="7">
        <f>H45*0.0019178667+G45*0.0003835733</f>
        <v/>
      </c>
      <c r="AH45" s="7">
        <f>I45*0.0019178667+H45*0.0003835733</f>
        <v/>
      </c>
      <c r="AI45" s="7">
        <f>J45*0.0019178667+I45*0.0003835733</f>
        <v/>
      </c>
      <c r="AJ45" s="7">
        <f>K45*0.0019178667+J45*0.0003835733</f>
        <v/>
      </c>
      <c r="AK45" s="7">
        <f>L45*0.0019178667+K45*0.0003835733</f>
        <v/>
      </c>
      <c r="AL45" s="7">
        <f>M45*0.0019178667+L45*0.0003835733</f>
        <v/>
      </c>
      <c r="AM45" s="7">
        <f>N45*0.0019178667+M45*0.0003835733</f>
        <v/>
      </c>
      <c r="AN45" s="7">
        <f>O45*0.0019178667+N45*0.0003835733</f>
        <v/>
      </c>
      <c r="AO45" s="7">
        <f>P45*0.0019178667+O45*0.0003835733</f>
        <v/>
      </c>
      <c r="AP45" s="7">
        <f>Q45*0.0019178667+P45*0.0003835733</f>
        <v/>
      </c>
      <c r="AQ45" s="7">
        <f>R45*0.0019178667+Q45*0.0003835733</f>
        <v/>
      </c>
      <c r="AR45" s="7">
        <f>S45*0.0019178667+R45*0.0003835733</f>
        <v/>
      </c>
      <c r="AS45" s="7">
        <f>T45*0.0019178667+S45*0.0003835733</f>
        <v/>
      </c>
      <c r="AT45" s="7">
        <f>U45*0.0019178667+T45*0.0003835733</f>
        <v/>
      </c>
      <c r="AU45" s="7">
        <f>V45*0.0019178667+U45*0.0003835733</f>
        <v/>
      </c>
      <c r="AV45" s="7">
        <f>W45*0.0019178667+V45*0.0003835733</f>
        <v/>
      </c>
      <c r="AW45" s="7">
        <f>X45*0.0019178667+W45*0.0003835733</f>
        <v/>
      </c>
      <c r="AX45" s="7">
        <f>Y45*0.0019178667+X45*0.0003835733</f>
        <v/>
      </c>
      <c r="AY45" s="7">
        <f>Z45*0.0019178667+Y45*0.0003835733</f>
        <v/>
      </c>
      <c r="AZ45" s="7">
        <f>AA45*0.0019178667+Z45*0.0003835733</f>
        <v/>
      </c>
      <c r="BA45" s="7">
        <f>D45*0.0019178667+AA45*0.0003835733</f>
        <v/>
      </c>
      <c r="BB45" s="7">
        <f>SUM(AD45:BA45)</f>
        <v/>
      </c>
    </row>
    <row r="46">
      <c r="A46" t="inlineStr">
        <is>
          <t>AMD-FWDPRI-SSC</t>
        </is>
      </c>
      <c r="B46" t="inlineStr">
        <is>
          <t>FWD Priority OSC</t>
        </is>
      </c>
      <c r="C46" s="5" t="n">
        <v>46101</v>
      </c>
      <c r="D46" s="6">
        <f>Summary!D46*0.2</f>
        <v/>
      </c>
      <c r="E46" s="6">
        <f>Summary!E46*0.2</f>
        <v/>
      </c>
      <c r="F46" s="6">
        <f>Summary!F46*0.2</f>
        <v/>
      </c>
      <c r="G46" s="6">
        <f>Summary!G46*0.2</f>
        <v/>
      </c>
      <c r="H46" s="6">
        <f>Summary!H46*0.2</f>
        <v/>
      </c>
      <c r="I46" s="6">
        <f>Summary!I46*0.2</f>
        <v/>
      </c>
      <c r="J46" s="6">
        <f>Summary!J46*0.2</f>
        <v/>
      </c>
      <c r="K46" s="6">
        <f>Summary!K46*0.2</f>
        <v/>
      </c>
      <c r="L46" s="6">
        <f>Summary!L46*0.2</f>
        <v/>
      </c>
      <c r="M46" s="6">
        <f>Summary!M46*0.2</f>
        <v/>
      </c>
      <c r="N46" s="6">
        <f>Summary!N46*0.2</f>
        <v/>
      </c>
      <c r="O46" s="6">
        <f>Summary!O46*0.2</f>
        <v/>
      </c>
      <c r="P46" s="6">
        <f>Summary!P46*0.2</f>
        <v/>
      </c>
      <c r="Q46" s="6">
        <f>Summary!Q46*0.2</f>
        <v/>
      </c>
      <c r="R46" s="6">
        <f>Summary!R46*0.2</f>
        <v/>
      </c>
      <c r="S46" s="6">
        <f>Summary!S46*0.2</f>
        <v/>
      </c>
      <c r="T46" s="6">
        <f>Summary!T46*0.2</f>
        <v/>
      </c>
      <c r="U46" s="6">
        <f>Summary!U46*0.2</f>
        <v/>
      </c>
      <c r="V46" s="6">
        <f>Summary!V46*0.2</f>
        <v/>
      </c>
      <c r="W46" s="6">
        <f>Summary!W46*0.2</f>
        <v/>
      </c>
      <c r="X46" s="6">
        <f>Summary!X46*0.2</f>
        <v/>
      </c>
      <c r="Y46" s="6">
        <f>Summary!Y46*0.2</f>
        <v/>
      </c>
      <c r="Z46" s="6">
        <f>Summary!Z46*0.2</f>
        <v/>
      </c>
      <c r="AA46" s="6">
        <f>Summary!AA46*0.2</f>
        <v/>
      </c>
      <c r="AB46" s="6">
        <f>SUM(D46:AA46)</f>
        <v/>
      </c>
      <c r="AC46" s="3" t="inlineStr"/>
      <c r="AD46" s="7">
        <f>E46*0.0019178667+D46*0.0003835733</f>
        <v/>
      </c>
      <c r="AE46" s="7">
        <f>F46*0.0019178667+E46*0.0003835733</f>
        <v/>
      </c>
      <c r="AF46" s="7">
        <f>G46*0.0019178667+F46*0.0003835733</f>
        <v/>
      </c>
      <c r="AG46" s="7">
        <f>H46*0.0019178667+G46*0.0003835733</f>
        <v/>
      </c>
      <c r="AH46" s="7">
        <f>I46*0.0019178667+H46*0.0003835733</f>
        <v/>
      </c>
      <c r="AI46" s="7">
        <f>J46*0.0019178667+I46*0.0003835733</f>
        <v/>
      </c>
      <c r="AJ46" s="7">
        <f>K46*0.0019178667+J46*0.0003835733</f>
        <v/>
      </c>
      <c r="AK46" s="7">
        <f>L46*0.0019178667+K46*0.0003835733</f>
        <v/>
      </c>
      <c r="AL46" s="7">
        <f>M46*0.0019178667+L46*0.0003835733</f>
        <v/>
      </c>
      <c r="AM46" s="7">
        <f>N46*0.0019178667+M46*0.0003835733</f>
        <v/>
      </c>
      <c r="AN46" s="7">
        <f>O46*0.0019178667+N46*0.0003835733</f>
        <v/>
      </c>
      <c r="AO46" s="7">
        <f>P46*0.0019178667+O46*0.0003835733</f>
        <v/>
      </c>
      <c r="AP46" s="7">
        <f>Q46*0.0019178667+P46*0.0003835733</f>
        <v/>
      </c>
      <c r="AQ46" s="7">
        <f>R46*0.0019178667+Q46*0.0003835733</f>
        <v/>
      </c>
      <c r="AR46" s="7">
        <f>S46*0.0019178667+R46*0.0003835733</f>
        <v/>
      </c>
      <c r="AS46" s="7">
        <f>T46*0.0019178667+S46*0.0003835733</f>
        <v/>
      </c>
      <c r="AT46" s="7">
        <f>U46*0.0019178667+T46*0.0003835733</f>
        <v/>
      </c>
      <c r="AU46" s="7">
        <f>V46*0.0019178667+U46*0.0003835733</f>
        <v/>
      </c>
      <c r="AV46" s="7">
        <f>W46*0.0019178667+V46*0.0003835733</f>
        <v/>
      </c>
      <c r="AW46" s="7">
        <f>X46*0.0019178667+W46*0.0003835733</f>
        <v/>
      </c>
      <c r="AX46" s="7">
        <f>Y46*0.0019178667+X46*0.0003835733</f>
        <v/>
      </c>
      <c r="AY46" s="7">
        <f>Z46*0.0019178667+Y46*0.0003835733</f>
        <v/>
      </c>
      <c r="AZ46" s="7">
        <f>AA46*0.0019178667+Z46*0.0003835733</f>
        <v/>
      </c>
      <c r="BA46" s="7">
        <f>D46*0.0019178667+AA46*0.0003835733</f>
        <v/>
      </c>
      <c r="BB46" s="7">
        <f>SUM(AD46:BA46)</f>
        <v/>
      </c>
    </row>
    <row r="47">
      <c r="A47" t="inlineStr">
        <is>
          <t>AMD-FWDPRI-SSC</t>
        </is>
      </c>
      <c r="B47" t="inlineStr">
        <is>
          <t>FWD Priority OSC</t>
        </is>
      </c>
      <c r="C47" s="5" t="n">
        <v>46102</v>
      </c>
      <c r="D47" s="6">
        <f>Summary!D47*0.2</f>
        <v/>
      </c>
      <c r="E47" s="6">
        <f>Summary!E47*0.2</f>
        <v/>
      </c>
      <c r="F47" s="6">
        <f>Summary!F47*0.2</f>
        <v/>
      </c>
      <c r="G47" s="6">
        <f>Summary!G47*0.2</f>
        <v/>
      </c>
      <c r="H47" s="6">
        <f>Summary!H47*0.2</f>
        <v/>
      </c>
      <c r="I47" s="6">
        <f>Summary!I47*0.2</f>
        <v/>
      </c>
      <c r="J47" s="6">
        <f>Summary!J47*0.2</f>
        <v/>
      </c>
      <c r="K47" s="6">
        <f>Summary!K47*0.2</f>
        <v/>
      </c>
      <c r="L47" s="6">
        <f>Summary!L47*0.2</f>
        <v/>
      </c>
      <c r="M47" s="6">
        <f>Summary!M47*0.2</f>
        <v/>
      </c>
      <c r="N47" s="6">
        <f>Summary!N47*0.2</f>
        <v/>
      </c>
      <c r="O47" s="6">
        <f>Summary!O47*0.2</f>
        <v/>
      </c>
      <c r="P47" s="6">
        <f>Summary!P47*0.2</f>
        <v/>
      </c>
      <c r="Q47" s="6">
        <f>Summary!Q47*0.2</f>
        <v/>
      </c>
      <c r="R47" s="6">
        <f>Summary!R47*0.2</f>
        <v/>
      </c>
      <c r="S47" s="6">
        <f>Summary!S47*0.2</f>
        <v/>
      </c>
      <c r="T47" s="6">
        <f>Summary!T47*0.2</f>
        <v/>
      </c>
      <c r="U47" s="6">
        <f>Summary!U47*0.2</f>
        <v/>
      </c>
      <c r="V47" s="6">
        <f>Summary!V47*0.2</f>
        <v/>
      </c>
      <c r="W47" s="6">
        <f>Summary!W47*0.2</f>
        <v/>
      </c>
      <c r="X47" s="6">
        <f>Summary!X47*0.2</f>
        <v/>
      </c>
      <c r="Y47" s="6">
        <f>Summary!Y47*0.2</f>
        <v/>
      </c>
      <c r="Z47" s="6">
        <f>Summary!Z47*0.2</f>
        <v/>
      </c>
      <c r="AA47" s="6">
        <f>Summary!AA47*0.2</f>
        <v/>
      </c>
      <c r="AB47" s="6">
        <f>SUM(D47:AA47)</f>
        <v/>
      </c>
      <c r="AC47" s="3" t="inlineStr"/>
      <c r="AD47" s="7">
        <f>E47*0.0019178667+D47*0.0003835733</f>
        <v/>
      </c>
      <c r="AE47" s="7">
        <f>F47*0.0019178667+E47*0.0003835733</f>
        <v/>
      </c>
      <c r="AF47" s="7">
        <f>G47*0.0019178667+F47*0.0003835733</f>
        <v/>
      </c>
      <c r="AG47" s="7">
        <f>H47*0.0019178667+G47*0.0003835733</f>
        <v/>
      </c>
      <c r="AH47" s="7">
        <f>I47*0.0019178667+H47*0.0003835733</f>
        <v/>
      </c>
      <c r="AI47" s="7">
        <f>J47*0.0019178667+I47*0.0003835733</f>
        <v/>
      </c>
      <c r="AJ47" s="7">
        <f>K47*0.0019178667+J47*0.0003835733</f>
        <v/>
      </c>
      <c r="AK47" s="7">
        <f>L47*0.0019178667+K47*0.0003835733</f>
        <v/>
      </c>
      <c r="AL47" s="7">
        <f>M47*0.0019178667+L47*0.0003835733</f>
        <v/>
      </c>
      <c r="AM47" s="7">
        <f>N47*0.0019178667+M47*0.0003835733</f>
        <v/>
      </c>
      <c r="AN47" s="7">
        <f>O47*0.0019178667+N47*0.0003835733</f>
        <v/>
      </c>
      <c r="AO47" s="7">
        <f>P47*0.0019178667+O47*0.0003835733</f>
        <v/>
      </c>
      <c r="AP47" s="7">
        <f>Q47*0.0019178667+P47*0.0003835733</f>
        <v/>
      </c>
      <c r="AQ47" s="7">
        <f>R47*0.0019178667+Q47*0.0003835733</f>
        <v/>
      </c>
      <c r="AR47" s="7">
        <f>S47*0.0019178667+R47*0.0003835733</f>
        <v/>
      </c>
      <c r="AS47" s="7">
        <f>T47*0.0019178667+S47*0.0003835733</f>
        <v/>
      </c>
      <c r="AT47" s="7">
        <f>U47*0.0019178667+T47*0.0003835733</f>
        <v/>
      </c>
      <c r="AU47" s="7">
        <f>V47*0.0019178667+U47*0.0003835733</f>
        <v/>
      </c>
      <c r="AV47" s="7">
        <f>W47*0.0019178667+V47*0.0003835733</f>
        <v/>
      </c>
      <c r="AW47" s="7">
        <f>X47*0.0019178667+W47*0.0003835733</f>
        <v/>
      </c>
      <c r="AX47" s="7">
        <f>Y47*0.0019178667+X47*0.0003835733</f>
        <v/>
      </c>
      <c r="AY47" s="7">
        <f>Z47*0.0019178667+Y47*0.0003835733</f>
        <v/>
      </c>
      <c r="AZ47" s="7">
        <f>AA47*0.0019178667+Z47*0.0003835733</f>
        <v/>
      </c>
      <c r="BA47" s="7">
        <f>D47*0.0019178667+AA47*0.0003835733</f>
        <v/>
      </c>
      <c r="BB47" s="7">
        <f>SUM(AD47:BA47)</f>
        <v/>
      </c>
    </row>
    <row r="48">
      <c r="A48" t="inlineStr">
        <is>
          <t>AMD-FWDPRI-SSC</t>
        </is>
      </c>
      <c r="B48" t="inlineStr">
        <is>
          <t>FWD Priority OSC</t>
        </is>
      </c>
      <c r="C48" s="5" t="n">
        <v>46103</v>
      </c>
      <c r="D48" s="6">
        <f>Summary!D48*0.2</f>
        <v/>
      </c>
      <c r="E48" s="6">
        <f>Summary!E48*0.2</f>
        <v/>
      </c>
      <c r="F48" s="6">
        <f>Summary!F48*0.2</f>
        <v/>
      </c>
      <c r="G48" s="6">
        <f>Summary!G48*0.2</f>
        <v/>
      </c>
      <c r="H48" s="6">
        <f>Summary!H48*0.2</f>
        <v/>
      </c>
      <c r="I48" s="6">
        <f>Summary!I48*0.2</f>
        <v/>
      </c>
      <c r="J48" s="6">
        <f>Summary!J48*0.2</f>
        <v/>
      </c>
      <c r="K48" s="6">
        <f>Summary!K48*0.2</f>
        <v/>
      </c>
      <c r="L48" s="6">
        <f>Summary!L48*0.2</f>
        <v/>
      </c>
      <c r="M48" s="6">
        <f>Summary!M48*0.2</f>
        <v/>
      </c>
      <c r="N48" s="6">
        <f>Summary!N48*0.2</f>
        <v/>
      </c>
      <c r="O48" s="6">
        <f>Summary!O48*0.2</f>
        <v/>
      </c>
      <c r="P48" s="6">
        <f>Summary!P48*0.2</f>
        <v/>
      </c>
      <c r="Q48" s="6">
        <f>Summary!Q48*0.2</f>
        <v/>
      </c>
      <c r="R48" s="6">
        <f>Summary!R48*0.2</f>
        <v/>
      </c>
      <c r="S48" s="6">
        <f>Summary!S48*0.2</f>
        <v/>
      </c>
      <c r="T48" s="6">
        <f>Summary!T48*0.2</f>
        <v/>
      </c>
      <c r="U48" s="6">
        <f>Summary!U48*0.2</f>
        <v/>
      </c>
      <c r="V48" s="6">
        <f>Summary!V48*0.2</f>
        <v/>
      </c>
      <c r="W48" s="6">
        <f>Summary!W48*0.2</f>
        <v/>
      </c>
      <c r="X48" s="6">
        <f>Summary!X48*0.2</f>
        <v/>
      </c>
      <c r="Y48" s="6">
        <f>Summary!Y48*0.2</f>
        <v/>
      </c>
      <c r="Z48" s="6">
        <f>Summary!Z48*0.2</f>
        <v/>
      </c>
      <c r="AA48" s="6">
        <f>Summary!AA48*0.2</f>
        <v/>
      </c>
      <c r="AB48" s="6">
        <f>SUM(D48:AA48)</f>
        <v/>
      </c>
      <c r="AC48" s="3" t="inlineStr"/>
      <c r="AD48" s="7">
        <f>E48*0.0019178667+D48*0.0003835733</f>
        <v/>
      </c>
      <c r="AE48" s="7">
        <f>F48*0.0019178667+E48*0.0003835733</f>
        <v/>
      </c>
      <c r="AF48" s="7">
        <f>G48*0.0019178667+F48*0.0003835733</f>
        <v/>
      </c>
      <c r="AG48" s="7">
        <f>H48*0.0019178667+G48*0.0003835733</f>
        <v/>
      </c>
      <c r="AH48" s="7">
        <f>I48*0.0019178667+H48*0.0003835733</f>
        <v/>
      </c>
      <c r="AI48" s="7">
        <f>J48*0.0019178667+I48*0.0003835733</f>
        <v/>
      </c>
      <c r="AJ48" s="7">
        <f>K48*0.0019178667+J48*0.0003835733</f>
        <v/>
      </c>
      <c r="AK48" s="7">
        <f>L48*0.0019178667+K48*0.0003835733</f>
        <v/>
      </c>
      <c r="AL48" s="7">
        <f>M48*0.0019178667+L48*0.0003835733</f>
        <v/>
      </c>
      <c r="AM48" s="7">
        <f>N48*0.0019178667+M48*0.0003835733</f>
        <v/>
      </c>
      <c r="AN48" s="7">
        <f>O48*0.0019178667+N48*0.0003835733</f>
        <v/>
      </c>
      <c r="AO48" s="7">
        <f>P48*0.0019178667+O48*0.0003835733</f>
        <v/>
      </c>
      <c r="AP48" s="7">
        <f>Q48*0.0019178667+P48*0.0003835733</f>
        <v/>
      </c>
      <c r="AQ48" s="7">
        <f>R48*0.0019178667+Q48*0.0003835733</f>
        <v/>
      </c>
      <c r="AR48" s="7">
        <f>S48*0.0019178667+R48*0.0003835733</f>
        <v/>
      </c>
      <c r="AS48" s="7">
        <f>T48*0.0019178667+S48*0.0003835733</f>
        <v/>
      </c>
      <c r="AT48" s="7">
        <f>U48*0.0019178667+T48*0.0003835733</f>
        <v/>
      </c>
      <c r="AU48" s="7">
        <f>V48*0.0019178667+U48*0.0003835733</f>
        <v/>
      </c>
      <c r="AV48" s="7">
        <f>W48*0.0019178667+V48*0.0003835733</f>
        <v/>
      </c>
      <c r="AW48" s="7">
        <f>X48*0.0019178667+W48*0.0003835733</f>
        <v/>
      </c>
      <c r="AX48" s="7">
        <f>Y48*0.0019178667+X48*0.0003835733</f>
        <v/>
      </c>
      <c r="AY48" s="7">
        <f>Z48*0.0019178667+Y48*0.0003835733</f>
        <v/>
      </c>
      <c r="AZ48" s="7">
        <f>AA48*0.0019178667+Z48*0.0003835733</f>
        <v/>
      </c>
      <c r="BA48" s="7">
        <f>D48*0.0019178667+AA48*0.0003835733</f>
        <v/>
      </c>
      <c r="BB48" s="7">
        <f>SUM(AD48:BA48)</f>
        <v/>
      </c>
    </row>
    <row r="49">
      <c r="A49" t="inlineStr">
        <is>
          <t>AMD-FWDPRI-SSC</t>
        </is>
      </c>
      <c r="B49" t="inlineStr">
        <is>
          <t>FWD Priority OSC</t>
        </is>
      </c>
      <c r="C49" s="5" t="n">
        <v>46104</v>
      </c>
      <c r="D49" s="6">
        <f>Summary!D49*0.2</f>
        <v/>
      </c>
      <c r="E49" s="6">
        <f>Summary!E49*0.2</f>
        <v/>
      </c>
      <c r="F49" s="6">
        <f>Summary!F49*0.2</f>
        <v/>
      </c>
      <c r="G49" s="6">
        <f>Summary!G49*0.2</f>
        <v/>
      </c>
      <c r="H49" s="6">
        <f>Summary!H49*0.2</f>
        <v/>
      </c>
      <c r="I49" s="6">
        <f>Summary!I49*0.2</f>
        <v/>
      </c>
      <c r="J49" s="6">
        <f>Summary!J49*0.2</f>
        <v/>
      </c>
      <c r="K49" s="6">
        <f>Summary!K49*0.2</f>
        <v/>
      </c>
      <c r="L49" s="6">
        <f>Summary!L49*0.2</f>
        <v/>
      </c>
      <c r="M49" s="6">
        <f>Summary!M49*0.2</f>
        <v/>
      </c>
      <c r="N49" s="6">
        <f>Summary!N49*0.2</f>
        <v/>
      </c>
      <c r="O49" s="6">
        <f>Summary!O49*0.2</f>
        <v/>
      </c>
      <c r="P49" s="6">
        <f>Summary!P49*0.2</f>
        <v/>
      </c>
      <c r="Q49" s="6">
        <f>Summary!Q49*0.2</f>
        <v/>
      </c>
      <c r="R49" s="6">
        <f>Summary!R49*0.2</f>
        <v/>
      </c>
      <c r="S49" s="6">
        <f>Summary!S49*0.2</f>
        <v/>
      </c>
      <c r="T49" s="6">
        <f>Summary!T49*0.2</f>
        <v/>
      </c>
      <c r="U49" s="6">
        <f>Summary!U49*0.2</f>
        <v/>
      </c>
      <c r="V49" s="6">
        <f>Summary!V49*0.2</f>
        <v/>
      </c>
      <c r="W49" s="6">
        <f>Summary!W49*0.2</f>
        <v/>
      </c>
      <c r="X49" s="6">
        <f>Summary!X49*0.2</f>
        <v/>
      </c>
      <c r="Y49" s="6">
        <f>Summary!Y49*0.2</f>
        <v/>
      </c>
      <c r="Z49" s="6">
        <f>Summary!Z49*0.2</f>
        <v/>
      </c>
      <c r="AA49" s="6">
        <f>Summary!AA49*0.2</f>
        <v/>
      </c>
      <c r="AB49" s="6">
        <f>SUM(D49:AA49)</f>
        <v/>
      </c>
      <c r="AC49" s="3" t="inlineStr"/>
      <c r="AD49" s="7">
        <f>E49*0.0019178667+D49*0.0003835733</f>
        <v/>
      </c>
      <c r="AE49" s="7">
        <f>F49*0.0019178667+E49*0.0003835733</f>
        <v/>
      </c>
      <c r="AF49" s="7">
        <f>G49*0.0019178667+F49*0.0003835733</f>
        <v/>
      </c>
      <c r="AG49" s="7">
        <f>H49*0.0019178667+G49*0.0003835733</f>
        <v/>
      </c>
      <c r="AH49" s="7">
        <f>I49*0.0019178667+H49*0.0003835733</f>
        <v/>
      </c>
      <c r="AI49" s="7">
        <f>J49*0.0019178667+I49*0.0003835733</f>
        <v/>
      </c>
      <c r="AJ49" s="7">
        <f>K49*0.0019178667+J49*0.0003835733</f>
        <v/>
      </c>
      <c r="AK49" s="7">
        <f>L49*0.0019178667+K49*0.0003835733</f>
        <v/>
      </c>
      <c r="AL49" s="7">
        <f>M49*0.0019178667+L49*0.0003835733</f>
        <v/>
      </c>
      <c r="AM49" s="7">
        <f>N49*0.0019178667+M49*0.0003835733</f>
        <v/>
      </c>
      <c r="AN49" s="7">
        <f>O49*0.0019178667+N49*0.0003835733</f>
        <v/>
      </c>
      <c r="AO49" s="7">
        <f>P49*0.0019178667+O49*0.0003835733</f>
        <v/>
      </c>
      <c r="AP49" s="7">
        <f>Q49*0.0019178667+P49*0.0003835733</f>
        <v/>
      </c>
      <c r="AQ49" s="7">
        <f>R49*0.0019178667+Q49*0.0003835733</f>
        <v/>
      </c>
      <c r="AR49" s="7">
        <f>S49*0.0019178667+R49*0.0003835733</f>
        <v/>
      </c>
      <c r="AS49" s="7">
        <f>T49*0.0019178667+S49*0.0003835733</f>
        <v/>
      </c>
      <c r="AT49" s="7">
        <f>U49*0.0019178667+T49*0.0003835733</f>
        <v/>
      </c>
      <c r="AU49" s="7">
        <f>V49*0.0019178667+U49*0.0003835733</f>
        <v/>
      </c>
      <c r="AV49" s="7">
        <f>W49*0.0019178667+V49*0.0003835733</f>
        <v/>
      </c>
      <c r="AW49" s="7">
        <f>X49*0.0019178667+W49*0.0003835733</f>
        <v/>
      </c>
      <c r="AX49" s="7">
        <f>Y49*0.0019178667+X49*0.0003835733</f>
        <v/>
      </c>
      <c r="AY49" s="7">
        <f>Z49*0.0019178667+Y49*0.0003835733</f>
        <v/>
      </c>
      <c r="AZ49" s="7">
        <f>AA49*0.0019178667+Z49*0.0003835733</f>
        <v/>
      </c>
      <c r="BA49" s="7">
        <f>D49*0.0019178667+AA49*0.0003835733</f>
        <v/>
      </c>
      <c r="BB49" s="7">
        <f>SUM(AD49:BA49)</f>
        <v/>
      </c>
    </row>
    <row r="50">
      <c r="A50" t="inlineStr">
        <is>
          <t>AMD-FWDPRI-SSC</t>
        </is>
      </c>
      <c r="B50" t="inlineStr">
        <is>
          <t>FWD Priority OSC</t>
        </is>
      </c>
      <c r="C50" s="5" t="n">
        <v>46105</v>
      </c>
      <c r="D50" s="6">
        <f>Summary!D50*0.2</f>
        <v/>
      </c>
      <c r="E50" s="6">
        <f>Summary!E50*0.2</f>
        <v/>
      </c>
      <c r="F50" s="6">
        <f>Summary!F50*0.2</f>
        <v/>
      </c>
      <c r="G50" s="6">
        <f>Summary!G50*0.2</f>
        <v/>
      </c>
      <c r="H50" s="6">
        <f>Summary!H50*0.2</f>
        <v/>
      </c>
      <c r="I50" s="6">
        <f>Summary!I50*0.2</f>
        <v/>
      </c>
      <c r="J50" s="6">
        <f>Summary!J50*0.2</f>
        <v/>
      </c>
      <c r="K50" s="6">
        <f>Summary!K50*0.2</f>
        <v/>
      </c>
      <c r="L50" s="6">
        <f>Summary!L50*0.2</f>
        <v/>
      </c>
      <c r="M50" s="6">
        <f>Summary!M50*0.2</f>
        <v/>
      </c>
      <c r="N50" s="6">
        <f>Summary!N50*0.2</f>
        <v/>
      </c>
      <c r="O50" s="6">
        <f>Summary!O50*0.2</f>
        <v/>
      </c>
      <c r="P50" s="6">
        <f>Summary!P50*0.2</f>
        <v/>
      </c>
      <c r="Q50" s="6">
        <f>Summary!Q50*0.2</f>
        <v/>
      </c>
      <c r="R50" s="6">
        <f>Summary!R50*0.2</f>
        <v/>
      </c>
      <c r="S50" s="6">
        <f>Summary!S50*0.2</f>
        <v/>
      </c>
      <c r="T50" s="6">
        <f>Summary!T50*0.2</f>
        <v/>
      </c>
      <c r="U50" s="6">
        <f>Summary!U50*0.2</f>
        <v/>
      </c>
      <c r="V50" s="6">
        <f>Summary!V50*0.2</f>
        <v/>
      </c>
      <c r="W50" s="6">
        <f>Summary!W50*0.2</f>
        <v/>
      </c>
      <c r="X50" s="6">
        <f>Summary!X50*0.2</f>
        <v/>
      </c>
      <c r="Y50" s="6">
        <f>Summary!Y50*0.2</f>
        <v/>
      </c>
      <c r="Z50" s="6">
        <f>Summary!Z50*0.2</f>
        <v/>
      </c>
      <c r="AA50" s="6">
        <f>Summary!AA50*0.2</f>
        <v/>
      </c>
      <c r="AB50" s="6">
        <f>SUM(D50:AA50)</f>
        <v/>
      </c>
      <c r="AC50" s="3" t="inlineStr"/>
      <c r="AD50" s="7">
        <f>E50*0.0019178667+D50*0.0003835733</f>
        <v/>
      </c>
      <c r="AE50" s="7">
        <f>F50*0.0019178667+E50*0.0003835733</f>
        <v/>
      </c>
      <c r="AF50" s="7">
        <f>G50*0.0019178667+F50*0.0003835733</f>
        <v/>
      </c>
      <c r="AG50" s="7">
        <f>H50*0.0019178667+G50*0.0003835733</f>
        <v/>
      </c>
      <c r="AH50" s="7">
        <f>I50*0.0019178667+H50*0.0003835733</f>
        <v/>
      </c>
      <c r="AI50" s="7">
        <f>J50*0.0019178667+I50*0.0003835733</f>
        <v/>
      </c>
      <c r="AJ50" s="7">
        <f>K50*0.0019178667+J50*0.0003835733</f>
        <v/>
      </c>
      <c r="AK50" s="7">
        <f>L50*0.0019178667+K50*0.0003835733</f>
        <v/>
      </c>
      <c r="AL50" s="7">
        <f>M50*0.0019178667+L50*0.0003835733</f>
        <v/>
      </c>
      <c r="AM50" s="7">
        <f>N50*0.0019178667+M50*0.0003835733</f>
        <v/>
      </c>
      <c r="AN50" s="7">
        <f>O50*0.0019178667+N50*0.0003835733</f>
        <v/>
      </c>
      <c r="AO50" s="7">
        <f>P50*0.0019178667+O50*0.0003835733</f>
        <v/>
      </c>
      <c r="AP50" s="7">
        <f>Q50*0.0019178667+P50*0.0003835733</f>
        <v/>
      </c>
      <c r="AQ50" s="7">
        <f>R50*0.0019178667+Q50*0.0003835733</f>
        <v/>
      </c>
      <c r="AR50" s="7">
        <f>S50*0.0019178667+R50*0.0003835733</f>
        <v/>
      </c>
      <c r="AS50" s="7">
        <f>T50*0.0019178667+S50*0.0003835733</f>
        <v/>
      </c>
      <c r="AT50" s="7">
        <f>U50*0.0019178667+T50*0.0003835733</f>
        <v/>
      </c>
      <c r="AU50" s="7">
        <f>V50*0.0019178667+U50*0.0003835733</f>
        <v/>
      </c>
      <c r="AV50" s="7">
        <f>W50*0.0019178667+V50*0.0003835733</f>
        <v/>
      </c>
      <c r="AW50" s="7">
        <f>X50*0.0019178667+W50*0.0003835733</f>
        <v/>
      </c>
      <c r="AX50" s="7">
        <f>Y50*0.0019178667+X50*0.0003835733</f>
        <v/>
      </c>
      <c r="AY50" s="7">
        <f>Z50*0.0019178667+Y50*0.0003835733</f>
        <v/>
      </c>
      <c r="AZ50" s="7">
        <f>AA50*0.0019178667+Z50*0.0003835733</f>
        <v/>
      </c>
      <c r="BA50" s="7">
        <f>D50*0.0019178667+AA50*0.0003835733</f>
        <v/>
      </c>
      <c r="BB50" s="7">
        <f>SUM(AD50:BA50)</f>
        <v/>
      </c>
    </row>
    <row r="51">
      <c r="A51" t="inlineStr">
        <is>
          <t>AMD-FWDREG-SSC</t>
        </is>
      </c>
      <c r="B51" t="inlineStr">
        <is>
          <t>Forward Regular OSC</t>
        </is>
      </c>
      <c r="C51" s="5" t="n">
        <v>46098</v>
      </c>
      <c r="D51" s="6">
        <f>Summary!D51*0.2</f>
        <v/>
      </c>
      <c r="E51" s="6">
        <f>Summary!E51*0.2</f>
        <v/>
      </c>
      <c r="F51" s="6">
        <f>Summary!F51*0.2</f>
        <v/>
      </c>
      <c r="G51" s="6">
        <f>Summary!G51*0.2</f>
        <v/>
      </c>
      <c r="H51" s="6">
        <f>Summary!H51*0.2</f>
        <v/>
      </c>
      <c r="I51" s="6">
        <f>Summary!I51*0.2</f>
        <v/>
      </c>
      <c r="J51" s="6">
        <f>Summary!J51*0.2</f>
        <v/>
      </c>
      <c r="K51" s="6">
        <f>Summary!K51*0.2</f>
        <v/>
      </c>
      <c r="L51" s="6">
        <f>Summary!L51*0.2</f>
        <v/>
      </c>
      <c r="M51" s="6">
        <f>Summary!M51*0.2</f>
        <v/>
      </c>
      <c r="N51" s="6">
        <f>Summary!N51*0.2</f>
        <v/>
      </c>
      <c r="O51" s="6">
        <f>Summary!O51*0.2</f>
        <v/>
      </c>
      <c r="P51" s="6">
        <f>Summary!P51*0.2</f>
        <v/>
      </c>
      <c r="Q51" s="6">
        <f>Summary!Q51*0.2</f>
        <v/>
      </c>
      <c r="R51" s="6">
        <f>Summary!R51*0.2</f>
        <v/>
      </c>
      <c r="S51" s="6">
        <f>Summary!S51*0.2</f>
        <v/>
      </c>
      <c r="T51" s="6">
        <f>Summary!T51*0.2</f>
        <v/>
      </c>
      <c r="U51" s="6">
        <f>Summary!U51*0.2</f>
        <v/>
      </c>
      <c r="V51" s="6">
        <f>Summary!V51*0.2</f>
        <v/>
      </c>
      <c r="W51" s="6">
        <f>Summary!W51*0.2</f>
        <v/>
      </c>
      <c r="X51" s="6">
        <f>Summary!X51*0.2</f>
        <v/>
      </c>
      <c r="Y51" s="6">
        <f>Summary!Y51*0.2</f>
        <v/>
      </c>
      <c r="Z51" s="6">
        <f>Summary!Z51*0.2</f>
        <v/>
      </c>
      <c r="AA51" s="6">
        <f>Summary!AA51*0.2</f>
        <v/>
      </c>
      <c r="AB51" s="6">
        <f>SUM(D51:AA51)</f>
        <v/>
      </c>
      <c r="AC51" s="3" t="inlineStr"/>
      <c r="AD51" s="7">
        <f>E51*0.0019178667+D51*0.0003835733</f>
        <v/>
      </c>
      <c r="AE51" s="7">
        <f>F51*0.0019178667+E51*0.0003835733</f>
        <v/>
      </c>
      <c r="AF51" s="7">
        <f>G51*0.0019178667+F51*0.0003835733</f>
        <v/>
      </c>
      <c r="AG51" s="7">
        <f>H51*0.0019178667+G51*0.0003835733</f>
        <v/>
      </c>
      <c r="AH51" s="7">
        <f>I51*0.0019178667+H51*0.0003835733</f>
        <v/>
      </c>
      <c r="AI51" s="7">
        <f>J51*0.0019178667+I51*0.0003835733</f>
        <v/>
      </c>
      <c r="AJ51" s="7">
        <f>K51*0.0019178667+J51*0.0003835733</f>
        <v/>
      </c>
      <c r="AK51" s="7">
        <f>L51*0.0019178667+K51*0.0003835733</f>
        <v/>
      </c>
      <c r="AL51" s="7">
        <f>M51*0.0019178667+L51*0.0003835733</f>
        <v/>
      </c>
      <c r="AM51" s="7">
        <f>N51*0.0019178667+M51*0.0003835733</f>
        <v/>
      </c>
      <c r="AN51" s="7">
        <f>O51*0.0019178667+N51*0.0003835733</f>
        <v/>
      </c>
      <c r="AO51" s="7">
        <f>P51*0.0019178667+O51*0.0003835733</f>
        <v/>
      </c>
      <c r="AP51" s="7">
        <f>Q51*0.0019178667+P51*0.0003835733</f>
        <v/>
      </c>
      <c r="AQ51" s="7">
        <f>R51*0.0019178667+Q51*0.0003835733</f>
        <v/>
      </c>
      <c r="AR51" s="7">
        <f>S51*0.0019178667+R51*0.0003835733</f>
        <v/>
      </c>
      <c r="AS51" s="7">
        <f>T51*0.0019178667+S51*0.0003835733</f>
        <v/>
      </c>
      <c r="AT51" s="7">
        <f>U51*0.0019178667+T51*0.0003835733</f>
        <v/>
      </c>
      <c r="AU51" s="7">
        <f>V51*0.0019178667+U51*0.0003835733</f>
        <v/>
      </c>
      <c r="AV51" s="7">
        <f>W51*0.0019178667+V51*0.0003835733</f>
        <v/>
      </c>
      <c r="AW51" s="7">
        <f>X51*0.0019178667+W51*0.0003835733</f>
        <v/>
      </c>
      <c r="AX51" s="7">
        <f>Y51*0.0019178667+X51*0.0003835733</f>
        <v/>
      </c>
      <c r="AY51" s="7">
        <f>Z51*0.0019178667+Y51*0.0003835733</f>
        <v/>
      </c>
      <c r="AZ51" s="7">
        <f>AA51*0.0019178667+Z51*0.0003835733</f>
        <v/>
      </c>
      <c r="BA51" s="7">
        <f>D51*0.0019178667+AA51*0.0003835733</f>
        <v/>
      </c>
      <c r="BB51" s="7">
        <f>SUM(AD51:BA51)</f>
        <v/>
      </c>
    </row>
    <row r="52">
      <c r="A52" t="inlineStr">
        <is>
          <t>AMD-FWDREG-SSC</t>
        </is>
      </c>
      <c r="B52" t="inlineStr">
        <is>
          <t>Forward Regular OSC</t>
        </is>
      </c>
      <c r="C52" s="5" t="n">
        <v>46099</v>
      </c>
      <c r="D52" s="6">
        <f>Summary!D52*0.2</f>
        <v/>
      </c>
      <c r="E52" s="6">
        <f>Summary!E52*0.2</f>
        <v/>
      </c>
      <c r="F52" s="6">
        <f>Summary!F52*0.2</f>
        <v/>
      </c>
      <c r="G52" s="6">
        <f>Summary!G52*0.2</f>
        <v/>
      </c>
      <c r="H52" s="6">
        <f>Summary!H52*0.2</f>
        <v/>
      </c>
      <c r="I52" s="6">
        <f>Summary!I52*0.2</f>
        <v/>
      </c>
      <c r="J52" s="6">
        <f>Summary!J52*0.2</f>
        <v/>
      </c>
      <c r="K52" s="6">
        <f>Summary!K52*0.2</f>
        <v/>
      </c>
      <c r="L52" s="6">
        <f>Summary!L52*0.2</f>
        <v/>
      </c>
      <c r="M52" s="6">
        <f>Summary!M52*0.2</f>
        <v/>
      </c>
      <c r="N52" s="6">
        <f>Summary!N52*0.2</f>
        <v/>
      </c>
      <c r="O52" s="6">
        <f>Summary!O52*0.2</f>
        <v/>
      </c>
      <c r="P52" s="6">
        <f>Summary!P52*0.2</f>
        <v/>
      </c>
      <c r="Q52" s="6">
        <f>Summary!Q52*0.2</f>
        <v/>
      </c>
      <c r="R52" s="6">
        <f>Summary!R52*0.2</f>
        <v/>
      </c>
      <c r="S52" s="6">
        <f>Summary!S52*0.2</f>
        <v/>
      </c>
      <c r="T52" s="6">
        <f>Summary!T52*0.2</f>
        <v/>
      </c>
      <c r="U52" s="6">
        <f>Summary!U52*0.2</f>
        <v/>
      </c>
      <c r="V52" s="6">
        <f>Summary!V52*0.2</f>
        <v/>
      </c>
      <c r="W52" s="6">
        <f>Summary!W52*0.2</f>
        <v/>
      </c>
      <c r="X52" s="6">
        <f>Summary!X52*0.2</f>
        <v/>
      </c>
      <c r="Y52" s="6">
        <f>Summary!Y52*0.2</f>
        <v/>
      </c>
      <c r="Z52" s="6">
        <f>Summary!Z52*0.2</f>
        <v/>
      </c>
      <c r="AA52" s="6">
        <f>Summary!AA52*0.2</f>
        <v/>
      </c>
      <c r="AB52" s="6">
        <f>SUM(D52:AA52)</f>
        <v/>
      </c>
      <c r="AC52" s="3" t="inlineStr"/>
      <c r="AD52" s="7">
        <f>E52*0.0019178667+D52*0.0003835733</f>
        <v/>
      </c>
      <c r="AE52" s="7">
        <f>F52*0.0019178667+E52*0.0003835733</f>
        <v/>
      </c>
      <c r="AF52" s="7">
        <f>G52*0.0019178667+F52*0.0003835733</f>
        <v/>
      </c>
      <c r="AG52" s="7">
        <f>H52*0.0019178667+G52*0.0003835733</f>
        <v/>
      </c>
      <c r="AH52" s="7">
        <f>I52*0.0019178667+H52*0.0003835733</f>
        <v/>
      </c>
      <c r="AI52" s="7">
        <f>J52*0.0019178667+I52*0.0003835733</f>
        <v/>
      </c>
      <c r="AJ52" s="7">
        <f>K52*0.0019178667+J52*0.0003835733</f>
        <v/>
      </c>
      <c r="AK52" s="7">
        <f>L52*0.0019178667+K52*0.0003835733</f>
        <v/>
      </c>
      <c r="AL52" s="7">
        <f>M52*0.0019178667+L52*0.0003835733</f>
        <v/>
      </c>
      <c r="AM52" s="7">
        <f>N52*0.0019178667+M52*0.0003835733</f>
        <v/>
      </c>
      <c r="AN52" s="7">
        <f>O52*0.0019178667+N52*0.0003835733</f>
        <v/>
      </c>
      <c r="AO52" s="7">
        <f>P52*0.0019178667+O52*0.0003835733</f>
        <v/>
      </c>
      <c r="AP52" s="7">
        <f>Q52*0.0019178667+P52*0.0003835733</f>
        <v/>
      </c>
      <c r="AQ52" s="7">
        <f>R52*0.0019178667+Q52*0.0003835733</f>
        <v/>
      </c>
      <c r="AR52" s="7">
        <f>S52*0.0019178667+R52*0.0003835733</f>
        <v/>
      </c>
      <c r="AS52" s="7">
        <f>T52*0.0019178667+S52*0.0003835733</f>
        <v/>
      </c>
      <c r="AT52" s="7">
        <f>U52*0.0019178667+T52*0.0003835733</f>
        <v/>
      </c>
      <c r="AU52" s="7">
        <f>V52*0.0019178667+U52*0.0003835733</f>
        <v/>
      </c>
      <c r="AV52" s="7">
        <f>W52*0.0019178667+V52*0.0003835733</f>
        <v/>
      </c>
      <c r="AW52" s="7">
        <f>X52*0.0019178667+W52*0.0003835733</f>
        <v/>
      </c>
      <c r="AX52" s="7">
        <f>Y52*0.0019178667+X52*0.0003835733</f>
        <v/>
      </c>
      <c r="AY52" s="7">
        <f>Z52*0.0019178667+Y52*0.0003835733</f>
        <v/>
      </c>
      <c r="AZ52" s="7">
        <f>AA52*0.0019178667+Z52*0.0003835733</f>
        <v/>
      </c>
      <c r="BA52" s="7">
        <f>D52*0.0019178667+AA52*0.0003835733</f>
        <v/>
      </c>
      <c r="BB52" s="7">
        <f>SUM(AD52:BA52)</f>
        <v/>
      </c>
    </row>
    <row r="53">
      <c r="A53" t="inlineStr">
        <is>
          <t>AMD-FWDREG-SSC</t>
        </is>
      </c>
      <c r="B53" t="inlineStr">
        <is>
          <t>Forward Regular OSC</t>
        </is>
      </c>
      <c r="C53" s="5" t="n">
        <v>46100</v>
      </c>
      <c r="D53" s="6">
        <f>Summary!D53*0.2</f>
        <v/>
      </c>
      <c r="E53" s="6">
        <f>Summary!E53*0.2</f>
        <v/>
      </c>
      <c r="F53" s="6">
        <f>Summary!F53*0.2</f>
        <v/>
      </c>
      <c r="G53" s="6">
        <f>Summary!G53*0.2</f>
        <v/>
      </c>
      <c r="H53" s="6">
        <f>Summary!H53*0.2</f>
        <v/>
      </c>
      <c r="I53" s="6">
        <f>Summary!I53*0.2</f>
        <v/>
      </c>
      <c r="J53" s="6">
        <f>Summary!J53*0.2</f>
        <v/>
      </c>
      <c r="K53" s="6">
        <f>Summary!K53*0.2</f>
        <v/>
      </c>
      <c r="L53" s="6">
        <f>Summary!L53*0.2</f>
        <v/>
      </c>
      <c r="M53" s="6">
        <f>Summary!M53*0.2</f>
        <v/>
      </c>
      <c r="N53" s="6">
        <f>Summary!N53*0.2</f>
        <v/>
      </c>
      <c r="O53" s="6">
        <f>Summary!O53*0.2</f>
        <v/>
      </c>
      <c r="P53" s="6">
        <f>Summary!P53*0.2</f>
        <v/>
      </c>
      <c r="Q53" s="6">
        <f>Summary!Q53*0.2</f>
        <v/>
      </c>
      <c r="R53" s="6">
        <f>Summary!R53*0.2</f>
        <v/>
      </c>
      <c r="S53" s="6">
        <f>Summary!S53*0.2</f>
        <v/>
      </c>
      <c r="T53" s="6">
        <f>Summary!T53*0.2</f>
        <v/>
      </c>
      <c r="U53" s="6">
        <f>Summary!U53*0.2</f>
        <v/>
      </c>
      <c r="V53" s="6">
        <f>Summary!V53*0.2</f>
        <v/>
      </c>
      <c r="W53" s="6">
        <f>Summary!W53*0.2</f>
        <v/>
      </c>
      <c r="X53" s="6">
        <f>Summary!X53*0.2</f>
        <v/>
      </c>
      <c r="Y53" s="6">
        <f>Summary!Y53*0.2</f>
        <v/>
      </c>
      <c r="Z53" s="6">
        <f>Summary!Z53*0.2</f>
        <v/>
      </c>
      <c r="AA53" s="6">
        <f>Summary!AA53*0.2</f>
        <v/>
      </c>
      <c r="AB53" s="6">
        <f>SUM(D53:AA53)</f>
        <v/>
      </c>
      <c r="AC53" s="3" t="inlineStr"/>
      <c r="AD53" s="7">
        <f>E53*0.0019178667+D53*0.0003835733</f>
        <v/>
      </c>
      <c r="AE53" s="7">
        <f>F53*0.0019178667+E53*0.0003835733</f>
        <v/>
      </c>
      <c r="AF53" s="7">
        <f>G53*0.0019178667+F53*0.0003835733</f>
        <v/>
      </c>
      <c r="AG53" s="7">
        <f>H53*0.0019178667+G53*0.0003835733</f>
        <v/>
      </c>
      <c r="AH53" s="7">
        <f>I53*0.0019178667+H53*0.0003835733</f>
        <v/>
      </c>
      <c r="AI53" s="7">
        <f>J53*0.0019178667+I53*0.0003835733</f>
        <v/>
      </c>
      <c r="AJ53" s="7">
        <f>K53*0.0019178667+J53*0.0003835733</f>
        <v/>
      </c>
      <c r="AK53" s="7">
        <f>L53*0.0019178667+K53*0.0003835733</f>
        <v/>
      </c>
      <c r="AL53" s="7">
        <f>M53*0.0019178667+L53*0.0003835733</f>
        <v/>
      </c>
      <c r="AM53" s="7">
        <f>N53*0.0019178667+M53*0.0003835733</f>
        <v/>
      </c>
      <c r="AN53" s="7">
        <f>O53*0.0019178667+N53*0.0003835733</f>
        <v/>
      </c>
      <c r="AO53" s="7">
        <f>P53*0.0019178667+O53*0.0003835733</f>
        <v/>
      </c>
      <c r="AP53" s="7">
        <f>Q53*0.0019178667+P53*0.0003835733</f>
        <v/>
      </c>
      <c r="AQ53" s="7">
        <f>R53*0.0019178667+Q53*0.0003835733</f>
        <v/>
      </c>
      <c r="AR53" s="7">
        <f>S53*0.0019178667+R53*0.0003835733</f>
        <v/>
      </c>
      <c r="AS53" s="7">
        <f>T53*0.0019178667+S53*0.0003835733</f>
        <v/>
      </c>
      <c r="AT53" s="7">
        <f>U53*0.0019178667+T53*0.0003835733</f>
        <v/>
      </c>
      <c r="AU53" s="7">
        <f>V53*0.0019178667+U53*0.0003835733</f>
        <v/>
      </c>
      <c r="AV53" s="7">
        <f>W53*0.0019178667+V53*0.0003835733</f>
        <v/>
      </c>
      <c r="AW53" s="7">
        <f>X53*0.0019178667+W53*0.0003835733</f>
        <v/>
      </c>
      <c r="AX53" s="7">
        <f>Y53*0.0019178667+X53*0.0003835733</f>
        <v/>
      </c>
      <c r="AY53" s="7">
        <f>Z53*0.0019178667+Y53*0.0003835733</f>
        <v/>
      </c>
      <c r="AZ53" s="7">
        <f>AA53*0.0019178667+Z53*0.0003835733</f>
        <v/>
      </c>
      <c r="BA53" s="7">
        <f>D53*0.0019178667+AA53*0.0003835733</f>
        <v/>
      </c>
      <c r="BB53" s="7">
        <f>SUM(AD53:BA53)</f>
        <v/>
      </c>
    </row>
    <row r="54">
      <c r="A54" t="inlineStr">
        <is>
          <t>AMD-FWDREG-SSC</t>
        </is>
      </c>
      <c r="B54" t="inlineStr">
        <is>
          <t>Forward Regular OSC</t>
        </is>
      </c>
      <c r="C54" s="5" t="n">
        <v>46101</v>
      </c>
      <c r="D54" s="6">
        <f>Summary!D54*0.2</f>
        <v/>
      </c>
      <c r="E54" s="6">
        <f>Summary!E54*0.2</f>
        <v/>
      </c>
      <c r="F54" s="6">
        <f>Summary!F54*0.2</f>
        <v/>
      </c>
      <c r="G54" s="6">
        <f>Summary!G54*0.2</f>
        <v/>
      </c>
      <c r="H54" s="6">
        <f>Summary!H54*0.2</f>
        <v/>
      </c>
      <c r="I54" s="6">
        <f>Summary!I54*0.2</f>
        <v/>
      </c>
      <c r="J54" s="6">
        <f>Summary!J54*0.2</f>
        <v/>
      </c>
      <c r="K54" s="6">
        <f>Summary!K54*0.2</f>
        <v/>
      </c>
      <c r="L54" s="6">
        <f>Summary!L54*0.2</f>
        <v/>
      </c>
      <c r="M54" s="6">
        <f>Summary!M54*0.2</f>
        <v/>
      </c>
      <c r="N54" s="6">
        <f>Summary!N54*0.2</f>
        <v/>
      </c>
      <c r="O54" s="6">
        <f>Summary!O54*0.2</f>
        <v/>
      </c>
      <c r="P54" s="6">
        <f>Summary!P54*0.2</f>
        <v/>
      </c>
      <c r="Q54" s="6">
        <f>Summary!Q54*0.2</f>
        <v/>
      </c>
      <c r="R54" s="6">
        <f>Summary!R54*0.2</f>
        <v/>
      </c>
      <c r="S54" s="6">
        <f>Summary!S54*0.2</f>
        <v/>
      </c>
      <c r="T54" s="6">
        <f>Summary!T54*0.2</f>
        <v/>
      </c>
      <c r="U54" s="6">
        <f>Summary!U54*0.2</f>
        <v/>
      </c>
      <c r="V54" s="6">
        <f>Summary!V54*0.2</f>
        <v/>
      </c>
      <c r="W54" s="6">
        <f>Summary!W54*0.2</f>
        <v/>
      </c>
      <c r="X54" s="6">
        <f>Summary!X54*0.2</f>
        <v/>
      </c>
      <c r="Y54" s="6">
        <f>Summary!Y54*0.2</f>
        <v/>
      </c>
      <c r="Z54" s="6">
        <f>Summary!Z54*0.2</f>
        <v/>
      </c>
      <c r="AA54" s="6">
        <f>Summary!AA54*0.2</f>
        <v/>
      </c>
      <c r="AB54" s="6">
        <f>SUM(D54:AA54)</f>
        <v/>
      </c>
      <c r="AC54" s="3" t="inlineStr"/>
      <c r="AD54" s="7">
        <f>E54*0.0019178667+D54*0.0003835733</f>
        <v/>
      </c>
      <c r="AE54" s="7">
        <f>F54*0.0019178667+E54*0.0003835733</f>
        <v/>
      </c>
      <c r="AF54" s="7">
        <f>G54*0.0019178667+F54*0.0003835733</f>
        <v/>
      </c>
      <c r="AG54" s="7">
        <f>H54*0.0019178667+G54*0.0003835733</f>
        <v/>
      </c>
      <c r="AH54" s="7">
        <f>I54*0.0019178667+H54*0.0003835733</f>
        <v/>
      </c>
      <c r="AI54" s="7">
        <f>J54*0.0019178667+I54*0.0003835733</f>
        <v/>
      </c>
      <c r="AJ54" s="7">
        <f>K54*0.0019178667+J54*0.0003835733</f>
        <v/>
      </c>
      <c r="AK54" s="7">
        <f>L54*0.0019178667+K54*0.0003835733</f>
        <v/>
      </c>
      <c r="AL54" s="7">
        <f>M54*0.0019178667+L54*0.0003835733</f>
        <v/>
      </c>
      <c r="AM54" s="7">
        <f>N54*0.0019178667+M54*0.0003835733</f>
        <v/>
      </c>
      <c r="AN54" s="7">
        <f>O54*0.0019178667+N54*0.0003835733</f>
        <v/>
      </c>
      <c r="AO54" s="7">
        <f>P54*0.0019178667+O54*0.0003835733</f>
        <v/>
      </c>
      <c r="AP54" s="7">
        <f>Q54*0.0019178667+P54*0.0003835733</f>
        <v/>
      </c>
      <c r="AQ54" s="7">
        <f>R54*0.0019178667+Q54*0.0003835733</f>
        <v/>
      </c>
      <c r="AR54" s="7">
        <f>S54*0.0019178667+R54*0.0003835733</f>
        <v/>
      </c>
      <c r="AS54" s="7">
        <f>T54*0.0019178667+S54*0.0003835733</f>
        <v/>
      </c>
      <c r="AT54" s="7">
        <f>U54*0.0019178667+T54*0.0003835733</f>
        <v/>
      </c>
      <c r="AU54" s="7">
        <f>V54*0.0019178667+U54*0.0003835733</f>
        <v/>
      </c>
      <c r="AV54" s="7">
        <f>W54*0.0019178667+V54*0.0003835733</f>
        <v/>
      </c>
      <c r="AW54" s="7">
        <f>X54*0.0019178667+W54*0.0003835733</f>
        <v/>
      </c>
      <c r="AX54" s="7">
        <f>Y54*0.0019178667+X54*0.0003835733</f>
        <v/>
      </c>
      <c r="AY54" s="7">
        <f>Z54*0.0019178667+Y54*0.0003835733</f>
        <v/>
      </c>
      <c r="AZ54" s="7">
        <f>AA54*0.0019178667+Z54*0.0003835733</f>
        <v/>
      </c>
      <c r="BA54" s="7">
        <f>D54*0.0019178667+AA54*0.0003835733</f>
        <v/>
      </c>
      <c r="BB54" s="7">
        <f>SUM(AD54:BA54)</f>
        <v/>
      </c>
    </row>
    <row r="55">
      <c r="A55" t="inlineStr">
        <is>
          <t>AMD-FWDREG-SSC</t>
        </is>
      </c>
      <c r="B55" t="inlineStr">
        <is>
          <t>Forward Regular OSC</t>
        </is>
      </c>
      <c r="C55" s="5" t="n">
        <v>46102</v>
      </c>
      <c r="D55" s="6">
        <f>Summary!D55*0.2</f>
        <v/>
      </c>
      <c r="E55" s="6">
        <f>Summary!E55*0.2</f>
        <v/>
      </c>
      <c r="F55" s="6">
        <f>Summary!F55*0.2</f>
        <v/>
      </c>
      <c r="G55" s="6">
        <f>Summary!G55*0.2</f>
        <v/>
      </c>
      <c r="H55" s="6">
        <f>Summary!H55*0.2</f>
        <v/>
      </c>
      <c r="I55" s="6">
        <f>Summary!I55*0.2</f>
        <v/>
      </c>
      <c r="J55" s="6">
        <f>Summary!J55*0.2</f>
        <v/>
      </c>
      <c r="K55" s="6">
        <f>Summary!K55*0.2</f>
        <v/>
      </c>
      <c r="L55" s="6">
        <f>Summary!L55*0.2</f>
        <v/>
      </c>
      <c r="M55" s="6">
        <f>Summary!M55*0.2</f>
        <v/>
      </c>
      <c r="N55" s="6">
        <f>Summary!N55*0.2</f>
        <v/>
      </c>
      <c r="O55" s="6">
        <f>Summary!O55*0.2</f>
        <v/>
      </c>
      <c r="P55" s="6">
        <f>Summary!P55*0.2</f>
        <v/>
      </c>
      <c r="Q55" s="6">
        <f>Summary!Q55*0.2</f>
        <v/>
      </c>
      <c r="R55" s="6">
        <f>Summary!R55*0.2</f>
        <v/>
      </c>
      <c r="S55" s="6">
        <f>Summary!S55*0.2</f>
        <v/>
      </c>
      <c r="T55" s="6">
        <f>Summary!T55*0.2</f>
        <v/>
      </c>
      <c r="U55" s="6">
        <f>Summary!U55*0.2</f>
        <v/>
      </c>
      <c r="V55" s="6">
        <f>Summary!V55*0.2</f>
        <v/>
      </c>
      <c r="W55" s="6">
        <f>Summary!W55*0.2</f>
        <v/>
      </c>
      <c r="X55" s="6">
        <f>Summary!X55*0.2</f>
        <v/>
      </c>
      <c r="Y55" s="6">
        <f>Summary!Y55*0.2</f>
        <v/>
      </c>
      <c r="Z55" s="6">
        <f>Summary!Z55*0.2</f>
        <v/>
      </c>
      <c r="AA55" s="6">
        <f>Summary!AA55*0.2</f>
        <v/>
      </c>
      <c r="AB55" s="6">
        <f>SUM(D55:AA55)</f>
        <v/>
      </c>
      <c r="AC55" s="3" t="inlineStr"/>
      <c r="AD55" s="7">
        <f>E55*0.0019178667+D55*0.0003835733</f>
        <v/>
      </c>
      <c r="AE55" s="7">
        <f>F55*0.0019178667+E55*0.0003835733</f>
        <v/>
      </c>
      <c r="AF55" s="7">
        <f>G55*0.0019178667+F55*0.0003835733</f>
        <v/>
      </c>
      <c r="AG55" s="7">
        <f>H55*0.0019178667+G55*0.0003835733</f>
        <v/>
      </c>
      <c r="AH55" s="7">
        <f>I55*0.0019178667+H55*0.0003835733</f>
        <v/>
      </c>
      <c r="AI55" s="7">
        <f>J55*0.0019178667+I55*0.0003835733</f>
        <v/>
      </c>
      <c r="AJ55" s="7">
        <f>K55*0.0019178667+J55*0.0003835733</f>
        <v/>
      </c>
      <c r="AK55" s="7">
        <f>L55*0.0019178667+K55*0.0003835733</f>
        <v/>
      </c>
      <c r="AL55" s="7">
        <f>M55*0.0019178667+L55*0.0003835733</f>
        <v/>
      </c>
      <c r="AM55" s="7">
        <f>N55*0.0019178667+M55*0.0003835733</f>
        <v/>
      </c>
      <c r="AN55" s="7">
        <f>O55*0.0019178667+N55*0.0003835733</f>
        <v/>
      </c>
      <c r="AO55" s="7">
        <f>P55*0.0019178667+O55*0.0003835733</f>
        <v/>
      </c>
      <c r="AP55" s="7">
        <f>Q55*0.0019178667+P55*0.0003835733</f>
        <v/>
      </c>
      <c r="AQ55" s="7">
        <f>R55*0.0019178667+Q55*0.0003835733</f>
        <v/>
      </c>
      <c r="AR55" s="7">
        <f>S55*0.0019178667+R55*0.0003835733</f>
        <v/>
      </c>
      <c r="AS55" s="7">
        <f>T55*0.0019178667+S55*0.0003835733</f>
        <v/>
      </c>
      <c r="AT55" s="7">
        <f>U55*0.0019178667+T55*0.0003835733</f>
        <v/>
      </c>
      <c r="AU55" s="7">
        <f>V55*0.0019178667+U55*0.0003835733</f>
        <v/>
      </c>
      <c r="AV55" s="7">
        <f>W55*0.0019178667+V55*0.0003835733</f>
        <v/>
      </c>
      <c r="AW55" s="7">
        <f>X55*0.0019178667+W55*0.0003835733</f>
        <v/>
      </c>
      <c r="AX55" s="7">
        <f>Y55*0.0019178667+X55*0.0003835733</f>
        <v/>
      </c>
      <c r="AY55" s="7">
        <f>Z55*0.0019178667+Y55*0.0003835733</f>
        <v/>
      </c>
      <c r="AZ55" s="7">
        <f>AA55*0.0019178667+Z55*0.0003835733</f>
        <v/>
      </c>
      <c r="BA55" s="7">
        <f>D55*0.0019178667+AA55*0.0003835733</f>
        <v/>
      </c>
      <c r="BB55" s="7">
        <f>SUM(AD55:BA55)</f>
        <v/>
      </c>
    </row>
    <row r="56">
      <c r="A56" t="inlineStr">
        <is>
          <t>AMD-FWDREG-SSC</t>
        </is>
      </c>
      <c r="B56" t="inlineStr">
        <is>
          <t>Forward Regular OSC</t>
        </is>
      </c>
      <c r="C56" s="5" t="n">
        <v>46103</v>
      </c>
      <c r="D56" s="6">
        <f>Summary!D56*0.2</f>
        <v/>
      </c>
      <c r="E56" s="6">
        <f>Summary!E56*0.2</f>
        <v/>
      </c>
      <c r="F56" s="6">
        <f>Summary!F56*0.2</f>
        <v/>
      </c>
      <c r="G56" s="6">
        <f>Summary!G56*0.2</f>
        <v/>
      </c>
      <c r="H56" s="6">
        <f>Summary!H56*0.2</f>
        <v/>
      </c>
      <c r="I56" s="6">
        <f>Summary!I56*0.2</f>
        <v/>
      </c>
      <c r="J56" s="6">
        <f>Summary!J56*0.2</f>
        <v/>
      </c>
      <c r="K56" s="6">
        <f>Summary!K56*0.2</f>
        <v/>
      </c>
      <c r="L56" s="6">
        <f>Summary!L56*0.2</f>
        <v/>
      </c>
      <c r="M56" s="6">
        <f>Summary!M56*0.2</f>
        <v/>
      </c>
      <c r="N56" s="6">
        <f>Summary!N56*0.2</f>
        <v/>
      </c>
      <c r="O56" s="6">
        <f>Summary!O56*0.2</f>
        <v/>
      </c>
      <c r="P56" s="6">
        <f>Summary!P56*0.2</f>
        <v/>
      </c>
      <c r="Q56" s="6">
        <f>Summary!Q56*0.2</f>
        <v/>
      </c>
      <c r="R56" s="6">
        <f>Summary!R56*0.2</f>
        <v/>
      </c>
      <c r="S56" s="6">
        <f>Summary!S56*0.2</f>
        <v/>
      </c>
      <c r="T56" s="6">
        <f>Summary!T56*0.2</f>
        <v/>
      </c>
      <c r="U56" s="6">
        <f>Summary!U56*0.2</f>
        <v/>
      </c>
      <c r="V56" s="6">
        <f>Summary!V56*0.2</f>
        <v/>
      </c>
      <c r="W56" s="6">
        <f>Summary!W56*0.2</f>
        <v/>
      </c>
      <c r="X56" s="6">
        <f>Summary!X56*0.2</f>
        <v/>
      </c>
      <c r="Y56" s="6">
        <f>Summary!Y56*0.2</f>
        <v/>
      </c>
      <c r="Z56" s="6">
        <f>Summary!Z56*0.2</f>
        <v/>
      </c>
      <c r="AA56" s="6">
        <f>Summary!AA56*0.2</f>
        <v/>
      </c>
      <c r="AB56" s="6">
        <f>SUM(D56:AA56)</f>
        <v/>
      </c>
      <c r="AC56" s="3" t="inlineStr"/>
      <c r="AD56" s="7">
        <f>E56*0.0019178667+D56*0.0003835733</f>
        <v/>
      </c>
      <c r="AE56" s="7">
        <f>F56*0.0019178667+E56*0.0003835733</f>
        <v/>
      </c>
      <c r="AF56" s="7">
        <f>G56*0.0019178667+F56*0.0003835733</f>
        <v/>
      </c>
      <c r="AG56" s="7">
        <f>H56*0.0019178667+G56*0.0003835733</f>
        <v/>
      </c>
      <c r="AH56" s="7">
        <f>I56*0.0019178667+H56*0.0003835733</f>
        <v/>
      </c>
      <c r="AI56" s="7">
        <f>J56*0.0019178667+I56*0.0003835733</f>
        <v/>
      </c>
      <c r="AJ56" s="7">
        <f>K56*0.0019178667+J56*0.0003835733</f>
        <v/>
      </c>
      <c r="AK56" s="7">
        <f>L56*0.0019178667+K56*0.0003835733</f>
        <v/>
      </c>
      <c r="AL56" s="7">
        <f>M56*0.0019178667+L56*0.0003835733</f>
        <v/>
      </c>
      <c r="AM56" s="7">
        <f>N56*0.0019178667+M56*0.0003835733</f>
        <v/>
      </c>
      <c r="AN56" s="7">
        <f>O56*0.0019178667+N56*0.0003835733</f>
        <v/>
      </c>
      <c r="AO56" s="7">
        <f>P56*0.0019178667+O56*0.0003835733</f>
        <v/>
      </c>
      <c r="AP56" s="7">
        <f>Q56*0.0019178667+P56*0.0003835733</f>
        <v/>
      </c>
      <c r="AQ56" s="7">
        <f>R56*0.0019178667+Q56*0.0003835733</f>
        <v/>
      </c>
      <c r="AR56" s="7">
        <f>S56*0.0019178667+R56*0.0003835733</f>
        <v/>
      </c>
      <c r="AS56" s="7">
        <f>T56*0.0019178667+S56*0.0003835733</f>
        <v/>
      </c>
      <c r="AT56" s="7">
        <f>U56*0.0019178667+T56*0.0003835733</f>
        <v/>
      </c>
      <c r="AU56" s="7">
        <f>V56*0.0019178667+U56*0.0003835733</f>
        <v/>
      </c>
      <c r="AV56" s="7">
        <f>W56*0.0019178667+V56*0.0003835733</f>
        <v/>
      </c>
      <c r="AW56" s="7">
        <f>X56*0.0019178667+W56*0.0003835733</f>
        <v/>
      </c>
      <c r="AX56" s="7">
        <f>Y56*0.0019178667+X56*0.0003835733</f>
        <v/>
      </c>
      <c r="AY56" s="7">
        <f>Z56*0.0019178667+Y56*0.0003835733</f>
        <v/>
      </c>
      <c r="AZ56" s="7">
        <f>AA56*0.0019178667+Z56*0.0003835733</f>
        <v/>
      </c>
      <c r="BA56" s="7">
        <f>D56*0.0019178667+AA56*0.0003835733</f>
        <v/>
      </c>
      <c r="BB56" s="7">
        <f>SUM(AD56:BA56)</f>
        <v/>
      </c>
    </row>
    <row r="57">
      <c r="A57" t="inlineStr">
        <is>
          <t>AMD-FWDREG-SSC</t>
        </is>
      </c>
      <c r="B57" t="inlineStr">
        <is>
          <t>Forward Regular OSC</t>
        </is>
      </c>
      <c r="C57" s="5" t="n">
        <v>46104</v>
      </c>
      <c r="D57" s="6">
        <f>Summary!D57*0.2</f>
        <v/>
      </c>
      <c r="E57" s="6">
        <f>Summary!E57*0.2</f>
        <v/>
      </c>
      <c r="F57" s="6">
        <f>Summary!F57*0.2</f>
        <v/>
      </c>
      <c r="G57" s="6">
        <f>Summary!G57*0.2</f>
        <v/>
      </c>
      <c r="H57" s="6">
        <f>Summary!H57*0.2</f>
        <v/>
      </c>
      <c r="I57" s="6">
        <f>Summary!I57*0.2</f>
        <v/>
      </c>
      <c r="J57" s="6">
        <f>Summary!J57*0.2</f>
        <v/>
      </c>
      <c r="K57" s="6">
        <f>Summary!K57*0.2</f>
        <v/>
      </c>
      <c r="L57" s="6">
        <f>Summary!L57*0.2</f>
        <v/>
      </c>
      <c r="M57" s="6">
        <f>Summary!M57*0.2</f>
        <v/>
      </c>
      <c r="N57" s="6">
        <f>Summary!N57*0.2</f>
        <v/>
      </c>
      <c r="O57" s="6">
        <f>Summary!O57*0.2</f>
        <v/>
      </c>
      <c r="P57" s="6">
        <f>Summary!P57*0.2</f>
        <v/>
      </c>
      <c r="Q57" s="6">
        <f>Summary!Q57*0.2</f>
        <v/>
      </c>
      <c r="R57" s="6">
        <f>Summary!R57*0.2</f>
        <v/>
      </c>
      <c r="S57" s="6">
        <f>Summary!S57*0.2</f>
        <v/>
      </c>
      <c r="T57" s="6">
        <f>Summary!T57*0.2</f>
        <v/>
      </c>
      <c r="U57" s="6">
        <f>Summary!U57*0.2</f>
        <v/>
      </c>
      <c r="V57" s="6">
        <f>Summary!V57*0.2</f>
        <v/>
      </c>
      <c r="W57" s="6">
        <f>Summary!W57*0.2</f>
        <v/>
      </c>
      <c r="X57" s="6">
        <f>Summary!X57*0.2</f>
        <v/>
      </c>
      <c r="Y57" s="6">
        <f>Summary!Y57*0.2</f>
        <v/>
      </c>
      <c r="Z57" s="6">
        <f>Summary!Z57*0.2</f>
        <v/>
      </c>
      <c r="AA57" s="6">
        <f>Summary!AA57*0.2</f>
        <v/>
      </c>
      <c r="AB57" s="6">
        <f>SUM(D57:AA57)</f>
        <v/>
      </c>
      <c r="AC57" s="3" t="inlineStr"/>
      <c r="AD57" s="7">
        <f>E57*0.0019178667+D57*0.0003835733</f>
        <v/>
      </c>
      <c r="AE57" s="7">
        <f>F57*0.0019178667+E57*0.0003835733</f>
        <v/>
      </c>
      <c r="AF57" s="7">
        <f>G57*0.0019178667+F57*0.0003835733</f>
        <v/>
      </c>
      <c r="AG57" s="7">
        <f>H57*0.0019178667+G57*0.0003835733</f>
        <v/>
      </c>
      <c r="AH57" s="7">
        <f>I57*0.0019178667+H57*0.0003835733</f>
        <v/>
      </c>
      <c r="AI57" s="7">
        <f>J57*0.0019178667+I57*0.0003835733</f>
        <v/>
      </c>
      <c r="AJ57" s="7">
        <f>K57*0.0019178667+J57*0.0003835733</f>
        <v/>
      </c>
      <c r="AK57" s="7">
        <f>L57*0.0019178667+K57*0.0003835733</f>
        <v/>
      </c>
      <c r="AL57" s="7">
        <f>M57*0.0019178667+L57*0.0003835733</f>
        <v/>
      </c>
      <c r="AM57" s="7">
        <f>N57*0.0019178667+M57*0.0003835733</f>
        <v/>
      </c>
      <c r="AN57" s="7">
        <f>O57*0.0019178667+N57*0.0003835733</f>
        <v/>
      </c>
      <c r="AO57" s="7">
        <f>P57*0.0019178667+O57*0.0003835733</f>
        <v/>
      </c>
      <c r="AP57" s="7">
        <f>Q57*0.0019178667+P57*0.0003835733</f>
        <v/>
      </c>
      <c r="AQ57" s="7">
        <f>R57*0.0019178667+Q57*0.0003835733</f>
        <v/>
      </c>
      <c r="AR57" s="7">
        <f>S57*0.0019178667+R57*0.0003835733</f>
        <v/>
      </c>
      <c r="AS57" s="7">
        <f>T57*0.0019178667+S57*0.0003835733</f>
        <v/>
      </c>
      <c r="AT57" s="7">
        <f>U57*0.0019178667+T57*0.0003835733</f>
        <v/>
      </c>
      <c r="AU57" s="7">
        <f>V57*0.0019178667+U57*0.0003835733</f>
        <v/>
      </c>
      <c r="AV57" s="7">
        <f>W57*0.0019178667+V57*0.0003835733</f>
        <v/>
      </c>
      <c r="AW57" s="7">
        <f>X57*0.0019178667+W57*0.0003835733</f>
        <v/>
      </c>
      <c r="AX57" s="7">
        <f>Y57*0.0019178667+X57*0.0003835733</f>
        <v/>
      </c>
      <c r="AY57" s="7">
        <f>Z57*0.0019178667+Y57*0.0003835733</f>
        <v/>
      </c>
      <c r="AZ57" s="7">
        <f>AA57*0.0019178667+Z57*0.0003835733</f>
        <v/>
      </c>
      <c r="BA57" s="7">
        <f>D57*0.0019178667+AA57*0.0003835733</f>
        <v/>
      </c>
      <c r="BB57" s="7">
        <f>SUM(AD57:BA57)</f>
        <v/>
      </c>
    </row>
    <row r="58">
      <c r="A58" t="inlineStr">
        <is>
          <t>AMD-FWDREG-SSC</t>
        </is>
      </c>
      <c r="B58" t="inlineStr">
        <is>
          <t>Forward Regular OSC</t>
        </is>
      </c>
      <c r="C58" s="5" t="n">
        <v>46105</v>
      </c>
      <c r="D58" s="6">
        <f>Summary!D58*0.2</f>
        <v/>
      </c>
      <c r="E58" s="6">
        <f>Summary!E58*0.2</f>
        <v/>
      </c>
      <c r="F58" s="6">
        <f>Summary!F58*0.2</f>
        <v/>
      </c>
      <c r="G58" s="6">
        <f>Summary!G58*0.2</f>
        <v/>
      </c>
      <c r="H58" s="6">
        <f>Summary!H58*0.2</f>
        <v/>
      </c>
      <c r="I58" s="6">
        <f>Summary!I58*0.2</f>
        <v/>
      </c>
      <c r="J58" s="6">
        <f>Summary!J58*0.2</f>
        <v/>
      </c>
      <c r="K58" s="6">
        <f>Summary!K58*0.2</f>
        <v/>
      </c>
      <c r="L58" s="6">
        <f>Summary!L58*0.2</f>
        <v/>
      </c>
      <c r="M58" s="6">
        <f>Summary!M58*0.2</f>
        <v/>
      </c>
      <c r="N58" s="6">
        <f>Summary!N58*0.2</f>
        <v/>
      </c>
      <c r="O58" s="6">
        <f>Summary!O58*0.2</f>
        <v/>
      </c>
      <c r="P58" s="6">
        <f>Summary!P58*0.2</f>
        <v/>
      </c>
      <c r="Q58" s="6">
        <f>Summary!Q58*0.2</f>
        <v/>
      </c>
      <c r="R58" s="6">
        <f>Summary!R58*0.2</f>
        <v/>
      </c>
      <c r="S58" s="6">
        <f>Summary!S58*0.2</f>
        <v/>
      </c>
      <c r="T58" s="6">
        <f>Summary!T58*0.2</f>
        <v/>
      </c>
      <c r="U58" s="6">
        <f>Summary!U58*0.2</f>
        <v/>
      </c>
      <c r="V58" s="6">
        <f>Summary!V58*0.2</f>
        <v/>
      </c>
      <c r="W58" s="6">
        <f>Summary!W58*0.2</f>
        <v/>
      </c>
      <c r="X58" s="6">
        <f>Summary!X58*0.2</f>
        <v/>
      </c>
      <c r="Y58" s="6">
        <f>Summary!Y58*0.2</f>
        <v/>
      </c>
      <c r="Z58" s="6">
        <f>Summary!Z58*0.2</f>
        <v/>
      </c>
      <c r="AA58" s="6">
        <f>Summary!AA58*0.2</f>
        <v/>
      </c>
      <c r="AB58" s="6">
        <f>SUM(D58:AA58)</f>
        <v/>
      </c>
      <c r="AC58" s="3" t="inlineStr"/>
      <c r="AD58" s="7">
        <f>E58*0.0019178667+D58*0.0003835733</f>
        <v/>
      </c>
      <c r="AE58" s="7">
        <f>F58*0.0019178667+E58*0.0003835733</f>
        <v/>
      </c>
      <c r="AF58" s="7">
        <f>G58*0.0019178667+F58*0.0003835733</f>
        <v/>
      </c>
      <c r="AG58" s="7">
        <f>H58*0.0019178667+G58*0.0003835733</f>
        <v/>
      </c>
      <c r="AH58" s="7">
        <f>I58*0.0019178667+H58*0.0003835733</f>
        <v/>
      </c>
      <c r="AI58" s="7">
        <f>J58*0.0019178667+I58*0.0003835733</f>
        <v/>
      </c>
      <c r="AJ58" s="7">
        <f>K58*0.0019178667+J58*0.0003835733</f>
        <v/>
      </c>
      <c r="AK58" s="7">
        <f>L58*0.0019178667+K58*0.0003835733</f>
        <v/>
      </c>
      <c r="AL58" s="7">
        <f>M58*0.0019178667+L58*0.0003835733</f>
        <v/>
      </c>
      <c r="AM58" s="7">
        <f>N58*0.0019178667+M58*0.0003835733</f>
        <v/>
      </c>
      <c r="AN58" s="7">
        <f>O58*0.0019178667+N58*0.0003835733</f>
        <v/>
      </c>
      <c r="AO58" s="7">
        <f>P58*0.0019178667+O58*0.0003835733</f>
        <v/>
      </c>
      <c r="AP58" s="7">
        <f>Q58*0.0019178667+P58*0.0003835733</f>
        <v/>
      </c>
      <c r="AQ58" s="7">
        <f>R58*0.0019178667+Q58*0.0003835733</f>
        <v/>
      </c>
      <c r="AR58" s="7">
        <f>S58*0.0019178667+R58*0.0003835733</f>
        <v/>
      </c>
      <c r="AS58" s="7">
        <f>T58*0.0019178667+S58*0.0003835733</f>
        <v/>
      </c>
      <c r="AT58" s="7">
        <f>U58*0.0019178667+T58*0.0003835733</f>
        <v/>
      </c>
      <c r="AU58" s="7">
        <f>V58*0.0019178667+U58*0.0003835733</f>
        <v/>
      </c>
      <c r="AV58" s="7">
        <f>W58*0.0019178667+V58*0.0003835733</f>
        <v/>
      </c>
      <c r="AW58" s="7">
        <f>X58*0.0019178667+W58*0.0003835733</f>
        <v/>
      </c>
      <c r="AX58" s="7">
        <f>Y58*0.0019178667+X58*0.0003835733</f>
        <v/>
      </c>
      <c r="AY58" s="7">
        <f>Z58*0.0019178667+Y58*0.0003835733</f>
        <v/>
      </c>
      <c r="AZ58" s="7">
        <f>AA58*0.0019178667+Z58*0.0003835733</f>
        <v/>
      </c>
      <c r="BA58" s="7">
        <f>D58*0.0019178667+AA58*0.0003835733</f>
        <v/>
      </c>
      <c r="BB58" s="7">
        <f>SUM(AD58:BA58)</f>
        <v/>
      </c>
    </row>
    <row r="59">
      <c r="A59" t="inlineStr">
        <is>
          <t>AMD-INTRA-SSC</t>
        </is>
      </c>
      <c r="B59" t="inlineStr">
        <is>
          <t>Forward Regular OSC</t>
        </is>
      </c>
      <c r="C59" s="5" t="n">
        <v>46098</v>
      </c>
      <c r="D59" s="6">
        <f>Summary!D59*0.2</f>
        <v/>
      </c>
      <c r="E59" s="6">
        <f>Summary!E59*0.2</f>
        <v/>
      </c>
      <c r="F59" s="6">
        <f>Summary!F59*0.2</f>
        <v/>
      </c>
      <c r="G59" s="6">
        <f>Summary!G59*0.2</f>
        <v/>
      </c>
      <c r="H59" s="6">
        <f>Summary!H59*0.2</f>
        <v/>
      </c>
      <c r="I59" s="6">
        <f>Summary!I59*0.2</f>
        <v/>
      </c>
      <c r="J59" s="6">
        <f>Summary!J59*0.2</f>
        <v/>
      </c>
      <c r="K59" s="6">
        <f>Summary!K59*0.2</f>
        <v/>
      </c>
      <c r="L59" s="6">
        <f>Summary!L59*0.2</f>
        <v/>
      </c>
      <c r="M59" s="6">
        <f>Summary!M59*0.2</f>
        <v/>
      </c>
      <c r="N59" s="6">
        <f>Summary!N59*0.2</f>
        <v/>
      </c>
      <c r="O59" s="6">
        <f>Summary!O59*0.2</f>
        <v/>
      </c>
      <c r="P59" s="6">
        <f>Summary!P59*0.2</f>
        <v/>
      </c>
      <c r="Q59" s="6">
        <f>Summary!Q59*0.2</f>
        <v/>
      </c>
      <c r="R59" s="6">
        <f>Summary!R59*0.2</f>
        <v/>
      </c>
      <c r="S59" s="6">
        <f>Summary!S59*0.2</f>
        <v/>
      </c>
      <c r="T59" s="6">
        <f>Summary!T59*0.2</f>
        <v/>
      </c>
      <c r="U59" s="6">
        <f>Summary!U59*0.2</f>
        <v/>
      </c>
      <c r="V59" s="6">
        <f>Summary!V59*0.2</f>
        <v/>
      </c>
      <c r="W59" s="6">
        <f>Summary!W59*0.2</f>
        <v/>
      </c>
      <c r="X59" s="6">
        <f>Summary!X59*0.2</f>
        <v/>
      </c>
      <c r="Y59" s="6">
        <f>Summary!Y59*0.2</f>
        <v/>
      </c>
      <c r="Z59" s="6">
        <f>Summary!Z59*0.2</f>
        <v/>
      </c>
      <c r="AA59" s="6">
        <f>Summary!AA59*0.2</f>
        <v/>
      </c>
      <c r="AB59" s="6">
        <f>SUM(D59:AA59)</f>
        <v/>
      </c>
      <c r="AC59" s="3" t="inlineStr"/>
      <c r="AD59" s="7">
        <f>E59*0.0019178667+D59*0.0003835733</f>
        <v/>
      </c>
      <c r="AE59" s="7">
        <f>F59*0.0019178667+E59*0.0003835733</f>
        <v/>
      </c>
      <c r="AF59" s="7">
        <f>G59*0.0019178667+F59*0.0003835733</f>
        <v/>
      </c>
      <c r="AG59" s="7">
        <f>H59*0.0019178667+G59*0.0003835733</f>
        <v/>
      </c>
      <c r="AH59" s="7">
        <f>I59*0.0019178667+H59*0.0003835733</f>
        <v/>
      </c>
      <c r="AI59" s="7">
        <f>J59*0.0019178667+I59*0.0003835733</f>
        <v/>
      </c>
      <c r="AJ59" s="7">
        <f>K59*0.0019178667+J59*0.0003835733</f>
        <v/>
      </c>
      <c r="AK59" s="7">
        <f>L59*0.0019178667+K59*0.0003835733</f>
        <v/>
      </c>
      <c r="AL59" s="7">
        <f>M59*0.0019178667+L59*0.0003835733</f>
        <v/>
      </c>
      <c r="AM59" s="7">
        <f>N59*0.0019178667+M59*0.0003835733</f>
        <v/>
      </c>
      <c r="AN59" s="7">
        <f>O59*0.0019178667+N59*0.0003835733</f>
        <v/>
      </c>
      <c r="AO59" s="7">
        <f>P59*0.0019178667+O59*0.0003835733</f>
        <v/>
      </c>
      <c r="AP59" s="7">
        <f>Q59*0.0019178667+P59*0.0003835733</f>
        <v/>
      </c>
      <c r="AQ59" s="7">
        <f>R59*0.0019178667+Q59*0.0003835733</f>
        <v/>
      </c>
      <c r="AR59" s="7">
        <f>S59*0.0019178667+R59*0.0003835733</f>
        <v/>
      </c>
      <c r="AS59" s="7">
        <f>T59*0.0019178667+S59*0.0003835733</f>
        <v/>
      </c>
      <c r="AT59" s="7">
        <f>U59*0.0019178667+T59*0.0003835733</f>
        <v/>
      </c>
      <c r="AU59" s="7">
        <f>V59*0.0019178667+U59*0.0003835733</f>
        <v/>
      </c>
      <c r="AV59" s="7">
        <f>W59*0.0019178667+V59*0.0003835733</f>
        <v/>
      </c>
      <c r="AW59" s="7">
        <f>X59*0.0019178667+W59*0.0003835733</f>
        <v/>
      </c>
      <c r="AX59" s="7">
        <f>Y59*0.0019178667+X59*0.0003835733</f>
        <v/>
      </c>
      <c r="AY59" s="7">
        <f>Z59*0.0019178667+Y59*0.0003835733</f>
        <v/>
      </c>
      <c r="AZ59" s="7">
        <f>AA59*0.0019178667+Z59*0.0003835733</f>
        <v/>
      </c>
      <c r="BA59" s="7">
        <f>D59*0.0019178667+AA59*0.0003835733</f>
        <v/>
      </c>
      <c r="BB59" s="7">
        <f>SUM(AD59:BA59)</f>
        <v/>
      </c>
    </row>
    <row r="60">
      <c r="A60" t="inlineStr">
        <is>
          <t>AMD-INTRA-SSC</t>
        </is>
      </c>
      <c r="B60" t="inlineStr">
        <is>
          <t>Forward Regular OSC</t>
        </is>
      </c>
      <c r="C60" s="5" t="n">
        <v>46099</v>
      </c>
      <c r="D60" s="6">
        <f>Summary!D60*0.2</f>
        <v/>
      </c>
      <c r="E60" s="6">
        <f>Summary!E60*0.2</f>
        <v/>
      </c>
      <c r="F60" s="6">
        <f>Summary!F60*0.2</f>
        <v/>
      </c>
      <c r="G60" s="6">
        <f>Summary!G60*0.2</f>
        <v/>
      </c>
      <c r="H60" s="6">
        <f>Summary!H60*0.2</f>
        <v/>
      </c>
      <c r="I60" s="6">
        <f>Summary!I60*0.2</f>
        <v/>
      </c>
      <c r="J60" s="6">
        <f>Summary!J60*0.2</f>
        <v/>
      </c>
      <c r="K60" s="6">
        <f>Summary!K60*0.2</f>
        <v/>
      </c>
      <c r="L60" s="6">
        <f>Summary!L60*0.2</f>
        <v/>
      </c>
      <c r="M60" s="6">
        <f>Summary!M60*0.2</f>
        <v/>
      </c>
      <c r="N60" s="6">
        <f>Summary!N60*0.2</f>
        <v/>
      </c>
      <c r="O60" s="6">
        <f>Summary!O60*0.2</f>
        <v/>
      </c>
      <c r="P60" s="6">
        <f>Summary!P60*0.2</f>
        <v/>
      </c>
      <c r="Q60" s="6">
        <f>Summary!Q60*0.2</f>
        <v/>
      </c>
      <c r="R60" s="6">
        <f>Summary!R60*0.2</f>
        <v/>
      </c>
      <c r="S60" s="6">
        <f>Summary!S60*0.2</f>
        <v/>
      </c>
      <c r="T60" s="6">
        <f>Summary!T60*0.2</f>
        <v/>
      </c>
      <c r="U60" s="6">
        <f>Summary!U60*0.2</f>
        <v/>
      </c>
      <c r="V60" s="6">
        <f>Summary!V60*0.2</f>
        <v/>
      </c>
      <c r="W60" s="6">
        <f>Summary!W60*0.2</f>
        <v/>
      </c>
      <c r="X60" s="6">
        <f>Summary!X60*0.2</f>
        <v/>
      </c>
      <c r="Y60" s="6">
        <f>Summary!Y60*0.2</f>
        <v/>
      </c>
      <c r="Z60" s="6">
        <f>Summary!Z60*0.2</f>
        <v/>
      </c>
      <c r="AA60" s="6">
        <f>Summary!AA60*0.2</f>
        <v/>
      </c>
      <c r="AB60" s="6">
        <f>SUM(D60:AA60)</f>
        <v/>
      </c>
      <c r="AC60" s="3" t="inlineStr"/>
      <c r="AD60" s="7">
        <f>E60*0.0019178667+D60*0.0003835733</f>
        <v/>
      </c>
      <c r="AE60" s="7">
        <f>F60*0.0019178667+E60*0.0003835733</f>
        <v/>
      </c>
      <c r="AF60" s="7">
        <f>G60*0.0019178667+F60*0.0003835733</f>
        <v/>
      </c>
      <c r="AG60" s="7">
        <f>H60*0.0019178667+G60*0.0003835733</f>
        <v/>
      </c>
      <c r="AH60" s="7">
        <f>I60*0.0019178667+H60*0.0003835733</f>
        <v/>
      </c>
      <c r="AI60" s="7">
        <f>J60*0.0019178667+I60*0.0003835733</f>
        <v/>
      </c>
      <c r="AJ60" s="7">
        <f>K60*0.0019178667+J60*0.0003835733</f>
        <v/>
      </c>
      <c r="AK60" s="7">
        <f>L60*0.0019178667+K60*0.0003835733</f>
        <v/>
      </c>
      <c r="AL60" s="7">
        <f>M60*0.0019178667+L60*0.0003835733</f>
        <v/>
      </c>
      <c r="AM60" s="7">
        <f>N60*0.0019178667+M60*0.0003835733</f>
        <v/>
      </c>
      <c r="AN60" s="7">
        <f>O60*0.0019178667+N60*0.0003835733</f>
        <v/>
      </c>
      <c r="AO60" s="7">
        <f>P60*0.0019178667+O60*0.0003835733</f>
        <v/>
      </c>
      <c r="AP60" s="7">
        <f>Q60*0.0019178667+P60*0.0003835733</f>
        <v/>
      </c>
      <c r="AQ60" s="7">
        <f>R60*0.0019178667+Q60*0.0003835733</f>
        <v/>
      </c>
      <c r="AR60" s="7">
        <f>S60*0.0019178667+R60*0.0003835733</f>
        <v/>
      </c>
      <c r="AS60" s="7">
        <f>T60*0.0019178667+S60*0.0003835733</f>
        <v/>
      </c>
      <c r="AT60" s="7">
        <f>U60*0.0019178667+T60*0.0003835733</f>
        <v/>
      </c>
      <c r="AU60" s="7">
        <f>V60*0.0019178667+U60*0.0003835733</f>
        <v/>
      </c>
      <c r="AV60" s="7">
        <f>W60*0.0019178667+V60*0.0003835733</f>
        <v/>
      </c>
      <c r="AW60" s="7">
        <f>X60*0.0019178667+W60*0.0003835733</f>
        <v/>
      </c>
      <c r="AX60" s="7">
        <f>Y60*0.0019178667+X60*0.0003835733</f>
        <v/>
      </c>
      <c r="AY60" s="7">
        <f>Z60*0.0019178667+Y60*0.0003835733</f>
        <v/>
      </c>
      <c r="AZ60" s="7">
        <f>AA60*0.0019178667+Z60*0.0003835733</f>
        <v/>
      </c>
      <c r="BA60" s="7">
        <f>D60*0.0019178667+AA60*0.0003835733</f>
        <v/>
      </c>
      <c r="BB60" s="7">
        <f>SUM(AD60:BA60)</f>
        <v/>
      </c>
    </row>
    <row r="61">
      <c r="A61" t="inlineStr">
        <is>
          <t>AMD-INTRA-SSC</t>
        </is>
      </c>
      <c r="B61" t="inlineStr">
        <is>
          <t>Forward Regular OSC</t>
        </is>
      </c>
      <c r="C61" s="5" t="n">
        <v>46100</v>
      </c>
      <c r="D61" s="6">
        <f>Summary!D61*0.2</f>
        <v/>
      </c>
      <c r="E61" s="6">
        <f>Summary!E61*0.2</f>
        <v/>
      </c>
      <c r="F61" s="6">
        <f>Summary!F61*0.2</f>
        <v/>
      </c>
      <c r="G61" s="6">
        <f>Summary!G61*0.2</f>
        <v/>
      </c>
      <c r="H61" s="6">
        <f>Summary!H61*0.2</f>
        <v/>
      </c>
      <c r="I61" s="6">
        <f>Summary!I61*0.2</f>
        <v/>
      </c>
      <c r="J61" s="6">
        <f>Summary!J61*0.2</f>
        <v/>
      </c>
      <c r="K61" s="6">
        <f>Summary!K61*0.2</f>
        <v/>
      </c>
      <c r="L61" s="6">
        <f>Summary!L61*0.2</f>
        <v/>
      </c>
      <c r="M61" s="6">
        <f>Summary!M61*0.2</f>
        <v/>
      </c>
      <c r="N61" s="6">
        <f>Summary!N61*0.2</f>
        <v/>
      </c>
      <c r="O61" s="6">
        <f>Summary!O61*0.2</f>
        <v/>
      </c>
      <c r="P61" s="6">
        <f>Summary!P61*0.2</f>
        <v/>
      </c>
      <c r="Q61" s="6">
        <f>Summary!Q61*0.2</f>
        <v/>
      </c>
      <c r="R61" s="6">
        <f>Summary!R61*0.2</f>
        <v/>
      </c>
      <c r="S61" s="6">
        <f>Summary!S61*0.2</f>
        <v/>
      </c>
      <c r="T61" s="6">
        <f>Summary!T61*0.2</f>
        <v/>
      </c>
      <c r="U61" s="6">
        <f>Summary!U61*0.2</f>
        <v/>
      </c>
      <c r="V61" s="6">
        <f>Summary!V61*0.2</f>
        <v/>
      </c>
      <c r="W61" s="6">
        <f>Summary!W61*0.2</f>
        <v/>
      </c>
      <c r="X61" s="6">
        <f>Summary!X61*0.2</f>
        <v/>
      </c>
      <c r="Y61" s="6">
        <f>Summary!Y61*0.2</f>
        <v/>
      </c>
      <c r="Z61" s="6">
        <f>Summary!Z61*0.2</f>
        <v/>
      </c>
      <c r="AA61" s="6">
        <f>Summary!AA61*0.2</f>
        <v/>
      </c>
      <c r="AB61" s="6">
        <f>SUM(D61:AA61)</f>
        <v/>
      </c>
      <c r="AC61" s="3" t="inlineStr"/>
      <c r="AD61" s="7">
        <f>E61*0.0019178667+D61*0.0003835733</f>
        <v/>
      </c>
      <c r="AE61" s="7">
        <f>F61*0.0019178667+E61*0.0003835733</f>
        <v/>
      </c>
      <c r="AF61" s="7">
        <f>G61*0.0019178667+F61*0.0003835733</f>
        <v/>
      </c>
      <c r="AG61" s="7">
        <f>H61*0.0019178667+G61*0.0003835733</f>
        <v/>
      </c>
      <c r="AH61" s="7">
        <f>I61*0.0019178667+H61*0.0003835733</f>
        <v/>
      </c>
      <c r="AI61" s="7">
        <f>J61*0.0019178667+I61*0.0003835733</f>
        <v/>
      </c>
      <c r="AJ61" s="7">
        <f>K61*0.0019178667+J61*0.0003835733</f>
        <v/>
      </c>
      <c r="AK61" s="7">
        <f>L61*0.0019178667+K61*0.0003835733</f>
        <v/>
      </c>
      <c r="AL61" s="7">
        <f>M61*0.0019178667+L61*0.0003835733</f>
        <v/>
      </c>
      <c r="AM61" s="7">
        <f>N61*0.0019178667+M61*0.0003835733</f>
        <v/>
      </c>
      <c r="AN61" s="7">
        <f>O61*0.0019178667+N61*0.0003835733</f>
        <v/>
      </c>
      <c r="AO61" s="7">
        <f>P61*0.0019178667+O61*0.0003835733</f>
        <v/>
      </c>
      <c r="AP61" s="7">
        <f>Q61*0.0019178667+P61*0.0003835733</f>
        <v/>
      </c>
      <c r="AQ61" s="7">
        <f>R61*0.0019178667+Q61*0.0003835733</f>
        <v/>
      </c>
      <c r="AR61" s="7">
        <f>S61*0.0019178667+R61*0.0003835733</f>
        <v/>
      </c>
      <c r="AS61" s="7">
        <f>T61*0.0019178667+S61*0.0003835733</f>
        <v/>
      </c>
      <c r="AT61" s="7">
        <f>U61*0.0019178667+T61*0.0003835733</f>
        <v/>
      </c>
      <c r="AU61" s="7">
        <f>V61*0.0019178667+U61*0.0003835733</f>
        <v/>
      </c>
      <c r="AV61" s="7">
        <f>W61*0.0019178667+V61*0.0003835733</f>
        <v/>
      </c>
      <c r="AW61" s="7">
        <f>X61*0.0019178667+W61*0.0003835733</f>
        <v/>
      </c>
      <c r="AX61" s="7">
        <f>Y61*0.0019178667+X61*0.0003835733</f>
        <v/>
      </c>
      <c r="AY61" s="7">
        <f>Z61*0.0019178667+Y61*0.0003835733</f>
        <v/>
      </c>
      <c r="AZ61" s="7">
        <f>AA61*0.0019178667+Z61*0.0003835733</f>
        <v/>
      </c>
      <c r="BA61" s="7">
        <f>D61*0.0019178667+AA61*0.0003835733</f>
        <v/>
      </c>
      <c r="BB61" s="7">
        <f>SUM(AD61:BA61)</f>
        <v/>
      </c>
    </row>
    <row r="62">
      <c r="A62" t="inlineStr">
        <is>
          <t>AMD-INTRA-SSC</t>
        </is>
      </c>
      <c r="B62" t="inlineStr">
        <is>
          <t>Forward Regular OSC</t>
        </is>
      </c>
      <c r="C62" s="5" t="n">
        <v>46101</v>
      </c>
      <c r="D62" s="6">
        <f>Summary!D62*0.2</f>
        <v/>
      </c>
      <c r="E62" s="6">
        <f>Summary!E62*0.2</f>
        <v/>
      </c>
      <c r="F62" s="6">
        <f>Summary!F62*0.2</f>
        <v/>
      </c>
      <c r="G62" s="6">
        <f>Summary!G62*0.2</f>
        <v/>
      </c>
      <c r="H62" s="6">
        <f>Summary!H62*0.2</f>
        <v/>
      </c>
      <c r="I62" s="6">
        <f>Summary!I62*0.2</f>
        <v/>
      </c>
      <c r="J62" s="6">
        <f>Summary!J62*0.2</f>
        <v/>
      </c>
      <c r="K62" s="6">
        <f>Summary!K62*0.2</f>
        <v/>
      </c>
      <c r="L62" s="6">
        <f>Summary!L62*0.2</f>
        <v/>
      </c>
      <c r="M62" s="6">
        <f>Summary!M62*0.2</f>
        <v/>
      </c>
      <c r="N62" s="6">
        <f>Summary!N62*0.2</f>
        <v/>
      </c>
      <c r="O62" s="6">
        <f>Summary!O62*0.2</f>
        <v/>
      </c>
      <c r="P62" s="6">
        <f>Summary!P62*0.2</f>
        <v/>
      </c>
      <c r="Q62" s="6">
        <f>Summary!Q62*0.2</f>
        <v/>
      </c>
      <c r="R62" s="6">
        <f>Summary!R62*0.2</f>
        <v/>
      </c>
      <c r="S62" s="6">
        <f>Summary!S62*0.2</f>
        <v/>
      </c>
      <c r="T62" s="6">
        <f>Summary!T62*0.2</f>
        <v/>
      </c>
      <c r="U62" s="6">
        <f>Summary!U62*0.2</f>
        <v/>
      </c>
      <c r="V62" s="6">
        <f>Summary!V62*0.2</f>
        <v/>
      </c>
      <c r="W62" s="6">
        <f>Summary!W62*0.2</f>
        <v/>
      </c>
      <c r="X62" s="6">
        <f>Summary!X62*0.2</f>
        <v/>
      </c>
      <c r="Y62" s="6">
        <f>Summary!Y62*0.2</f>
        <v/>
      </c>
      <c r="Z62" s="6">
        <f>Summary!Z62*0.2</f>
        <v/>
      </c>
      <c r="AA62" s="6">
        <f>Summary!AA62*0.2</f>
        <v/>
      </c>
      <c r="AB62" s="6">
        <f>SUM(D62:AA62)</f>
        <v/>
      </c>
      <c r="AC62" s="3" t="inlineStr"/>
      <c r="AD62" s="7">
        <f>E62*0.0019178667+D62*0.0003835733</f>
        <v/>
      </c>
      <c r="AE62" s="7">
        <f>F62*0.0019178667+E62*0.0003835733</f>
        <v/>
      </c>
      <c r="AF62" s="7">
        <f>G62*0.0019178667+F62*0.0003835733</f>
        <v/>
      </c>
      <c r="AG62" s="7">
        <f>H62*0.0019178667+G62*0.0003835733</f>
        <v/>
      </c>
      <c r="AH62" s="7">
        <f>I62*0.0019178667+H62*0.0003835733</f>
        <v/>
      </c>
      <c r="AI62" s="7">
        <f>J62*0.0019178667+I62*0.0003835733</f>
        <v/>
      </c>
      <c r="AJ62" s="7">
        <f>K62*0.0019178667+J62*0.0003835733</f>
        <v/>
      </c>
      <c r="AK62" s="7">
        <f>L62*0.0019178667+K62*0.0003835733</f>
        <v/>
      </c>
      <c r="AL62" s="7">
        <f>M62*0.0019178667+L62*0.0003835733</f>
        <v/>
      </c>
      <c r="AM62" s="7">
        <f>N62*0.0019178667+M62*0.0003835733</f>
        <v/>
      </c>
      <c r="AN62" s="7">
        <f>O62*0.0019178667+N62*0.0003835733</f>
        <v/>
      </c>
      <c r="AO62" s="7">
        <f>P62*0.0019178667+O62*0.0003835733</f>
        <v/>
      </c>
      <c r="AP62" s="7">
        <f>Q62*0.0019178667+P62*0.0003835733</f>
        <v/>
      </c>
      <c r="AQ62" s="7">
        <f>R62*0.0019178667+Q62*0.0003835733</f>
        <v/>
      </c>
      <c r="AR62" s="7">
        <f>S62*0.0019178667+R62*0.0003835733</f>
        <v/>
      </c>
      <c r="AS62" s="7">
        <f>T62*0.0019178667+S62*0.0003835733</f>
        <v/>
      </c>
      <c r="AT62" s="7">
        <f>U62*0.0019178667+T62*0.0003835733</f>
        <v/>
      </c>
      <c r="AU62" s="7">
        <f>V62*0.0019178667+U62*0.0003835733</f>
        <v/>
      </c>
      <c r="AV62" s="7">
        <f>W62*0.0019178667+V62*0.0003835733</f>
        <v/>
      </c>
      <c r="AW62" s="7">
        <f>X62*0.0019178667+W62*0.0003835733</f>
        <v/>
      </c>
      <c r="AX62" s="7">
        <f>Y62*0.0019178667+X62*0.0003835733</f>
        <v/>
      </c>
      <c r="AY62" s="7">
        <f>Z62*0.0019178667+Y62*0.0003835733</f>
        <v/>
      </c>
      <c r="AZ62" s="7">
        <f>AA62*0.0019178667+Z62*0.0003835733</f>
        <v/>
      </c>
      <c r="BA62" s="7">
        <f>D62*0.0019178667+AA62*0.0003835733</f>
        <v/>
      </c>
      <c r="BB62" s="7">
        <f>SUM(AD62:BA62)</f>
        <v/>
      </c>
    </row>
    <row r="63">
      <c r="A63" t="inlineStr">
        <is>
          <t>AMD-INTRA-SSC</t>
        </is>
      </c>
      <c r="B63" t="inlineStr">
        <is>
          <t>Forward Regular OSC</t>
        </is>
      </c>
      <c r="C63" s="5" t="n">
        <v>46102</v>
      </c>
      <c r="D63" s="6">
        <f>Summary!D63*0.2</f>
        <v/>
      </c>
      <c r="E63" s="6">
        <f>Summary!E63*0.2</f>
        <v/>
      </c>
      <c r="F63" s="6">
        <f>Summary!F63*0.2</f>
        <v/>
      </c>
      <c r="G63" s="6">
        <f>Summary!G63*0.2</f>
        <v/>
      </c>
      <c r="H63" s="6">
        <f>Summary!H63*0.2</f>
        <v/>
      </c>
      <c r="I63" s="6">
        <f>Summary!I63*0.2</f>
        <v/>
      </c>
      <c r="J63" s="6">
        <f>Summary!J63*0.2</f>
        <v/>
      </c>
      <c r="K63" s="6">
        <f>Summary!K63*0.2</f>
        <v/>
      </c>
      <c r="L63" s="6">
        <f>Summary!L63*0.2</f>
        <v/>
      </c>
      <c r="M63" s="6">
        <f>Summary!M63*0.2</f>
        <v/>
      </c>
      <c r="N63" s="6">
        <f>Summary!N63*0.2</f>
        <v/>
      </c>
      <c r="O63" s="6">
        <f>Summary!O63*0.2</f>
        <v/>
      </c>
      <c r="P63" s="6">
        <f>Summary!P63*0.2</f>
        <v/>
      </c>
      <c r="Q63" s="6">
        <f>Summary!Q63*0.2</f>
        <v/>
      </c>
      <c r="R63" s="6">
        <f>Summary!R63*0.2</f>
        <v/>
      </c>
      <c r="S63" s="6">
        <f>Summary!S63*0.2</f>
        <v/>
      </c>
      <c r="T63" s="6">
        <f>Summary!T63*0.2</f>
        <v/>
      </c>
      <c r="U63" s="6">
        <f>Summary!U63*0.2</f>
        <v/>
      </c>
      <c r="V63" s="6">
        <f>Summary!V63*0.2</f>
        <v/>
      </c>
      <c r="W63" s="6">
        <f>Summary!W63*0.2</f>
        <v/>
      </c>
      <c r="X63" s="6">
        <f>Summary!X63*0.2</f>
        <v/>
      </c>
      <c r="Y63" s="6">
        <f>Summary!Y63*0.2</f>
        <v/>
      </c>
      <c r="Z63" s="6">
        <f>Summary!Z63*0.2</f>
        <v/>
      </c>
      <c r="AA63" s="6">
        <f>Summary!AA63*0.2</f>
        <v/>
      </c>
      <c r="AB63" s="6">
        <f>SUM(D63:AA63)</f>
        <v/>
      </c>
      <c r="AC63" s="3" t="inlineStr"/>
      <c r="AD63" s="7">
        <f>E63*0.0019178667+D63*0.0003835733</f>
        <v/>
      </c>
      <c r="AE63" s="7">
        <f>F63*0.0019178667+E63*0.0003835733</f>
        <v/>
      </c>
      <c r="AF63" s="7">
        <f>G63*0.0019178667+F63*0.0003835733</f>
        <v/>
      </c>
      <c r="AG63" s="7">
        <f>H63*0.0019178667+G63*0.0003835733</f>
        <v/>
      </c>
      <c r="AH63" s="7">
        <f>I63*0.0019178667+H63*0.0003835733</f>
        <v/>
      </c>
      <c r="AI63" s="7">
        <f>J63*0.0019178667+I63*0.0003835733</f>
        <v/>
      </c>
      <c r="AJ63" s="7">
        <f>K63*0.0019178667+J63*0.0003835733</f>
        <v/>
      </c>
      <c r="AK63" s="7">
        <f>L63*0.0019178667+K63*0.0003835733</f>
        <v/>
      </c>
      <c r="AL63" s="7">
        <f>M63*0.0019178667+L63*0.0003835733</f>
        <v/>
      </c>
      <c r="AM63" s="7">
        <f>N63*0.0019178667+M63*0.0003835733</f>
        <v/>
      </c>
      <c r="AN63" s="7">
        <f>O63*0.0019178667+N63*0.0003835733</f>
        <v/>
      </c>
      <c r="AO63" s="7">
        <f>P63*0.0019178667+O63*0.0003835733</f>
        <v/>
      </c>
      <c r="AP63" s="7">
        <f>Q63*0.0019178667+P63*0.0003835733</f>
        <v/>
      </c>
      <c r="AQ63" s="7">
        <f>R63*0.0019178667+Q63*0.0003835733</f>
        <v/>
      </c>
      <c r="AR63" s="7">
        <f>S63*0.0019178667+R63*0.0003835733</f>
        <v/>
      </c>
      <c r="AS63" s="7">
        <f>T63*0.0019178667+S63*0.0003835733</f>
        <v/>
      </c>
      <c r="AT63" s="7">
        <f>U63*0.0019178667+T63*0.0003835733</f>
        <v/>
      </c>
      <c r="AU63" s="7">
        <f>V63*0.0019178667+U63*0.0003835733</f>
        <v/>
      </c>
      <c r="AV63" s="7">
        <f>W63*0.0019178667+V63*0.0003835733</f>
        <v/>
      </c>
      <c r="AW63" s="7">
        <f>X63*0.0019178667+W63*0.0003835733</f>
        <v/>
      </c>
      <c r="AX63" s="7">
        <f>Y63*0.0019178667+X63*0.0003835733</f>
        <v/>
      </c>
      <c r="AY63" s="7">
        <f>Z63*0.0019178667+Y63*0.0003835733</f>
        <v/>
      </c>
      <c r="AZ63" s="7">
        <f>AA63*0.0019178667+Z63*0.0003835733</f>
        <v/>
      </c>
      <c r="BA63" s="7">
        <f>D63*0.0019178667+AA63*0.0003835733</f>
        <v/>
      </c>
      <c r="BB63" s="7">
        <f>SUM(AD63:BA63)</f>
        <v/>
      </c>
    </row>
    <row r="64">
      <c r="A64" t="inlineStr">
        <is>
          <t>AMD-INTRA-SSC</t>
        </is>
      </c>
      <c r="B64" t="inlineStr">
        <is>
          <t>Forward Regular OSC</t>
        </is>
      </c>
      <c r="C64" s="5" t="n">
        <v>46103</v>
      </c>
      <c r="D64" s="6">
        <f>Summary!D64*0.2</f>
        <v/>
      </c>
      <c r="E64" s="6">
        <f>Summary!E64*0.2</f>
        <v/>
      </c>
      <c r="F64" s="6">
        <f>Summary!F64*0.2</f>
        <v/>
      </c>
      <c r="G64" s="6">
        <f>Summary!G64*0.2</f>
        <v/>
      </c>
      <c r="H64" s="6">
        <f>Summary!H64*0.2</f>
        <v/>
      </c>
      <c r="I64" s="6">
        <f>Summary!I64*0.2</f>
        <v/>
      </c>
      <c r="J64" s="6">
        <f>Summary!J64*0.2</f>
        <v/>
      </c>
      <c r="K64" s="6">
        <f>Summary!K64*0.2</f>
        <v/>
      </c>
      <c r="L64" s="6">
        <f>Summary!L64*0.2</f>
        <v/>
      </c>
      <c r="M64" s="6">
        <f>Summary!M64*0.2</f>
        <v/>
      </c>
      <c r="N64" s="6">
        <f>Summary!N64*0.2</f>
        <v/>
      </c>
      <c r="O64" s="6">
        <f>Summary!O64*0.2</f>
        <v/>
      </c>
      <c r="P64" s="6">
        <f>Summary!P64*0.2</f>
        <v/>
      </c>
      <c r="Q64" s="6">
        <f>Summary!Q64*0.2</f>
        <v/>
      </c>
      <c r="R64" s="6">
        <f>Summary!R64*0.2</f>
        <v/>
      </c>
      <c r="S64" s="6">
        <f>Summary!S64*0.2</f>
        <v/>
      </c>
      <c r="T64" s="6">
        <f>Summary!T64*0.2</f>
        <v/>
      </c>
      <c r="U64" s="6">
        <f>Summary!U64*0.2</f>
        <v/>
      </c>
      <c r="V64" s="6">
        <f>Summary!V64*0.2</f>
        <v/>
      </c>
      <c r="W64" s="6">
        <f>Summary!W64*0.2</f>
        <v/>
      </c>
      <c r="X64" s="6">
        <f>Summary!X64*0.2</f>
        <v/>
      </c>
      <c r="Y64" s="6">
        <f>Summary!Y64*0.2</f>
        <v/>
      </c>
      <c r="Z64" s="6">
        <f>Summary!Z64*0.2</f>
        <v/>
      </c>
      <c r="AA64" s="6">
        <f>Summary!AA64*0.2</f>
        <v/>
      </c>
      <c r="AB64" s="6">
        <f>SUM(D64:AA64)</f>
        <v/>
      </c>
      <c r="AC64" s="3" t="inlineStr"/>
      <c r="AD64" s="7">
        <f>E64*0.0019178667+D64*0.0003835733</f>
        <v/>
      </c>
      <c r="AE64" s="7">
        <f>F64*0.0019178667+E64*0.0003835733</f>
        <v/>
      </c>
      <c r="AF64" s="7">
        <f>G64*0.0019178667+F64*0.0003835733</f>
        <v/>
      </c>
      <c r="AG64" s="7">
        <f>H64*0.0019178667+G64*0.0003835733</f>
        <v/>
      </c>
      <c r="AH64" s="7">
        <f>I64*0.0019178667+H64*0.0003835733</f>
        <v/>
      </c>
      <c r="AI64" s="7">
        <f>J64*0.0019178667+I64*0.0003835733</f>
        <v/>
      </c>
      <c r="AJ64" s="7">
        <f>K64*0.0019178667+J64*0.0003835733</f>
        <v/>
      </c>
      <c r="AK64" s="7">
        <f>L64*0.0019178667+K64*0.0003835733</f>
        <v/>
      </c>
      <c r="AL64" s="7">
        <f>M64*0.0019178667+L64*0.0003835733</f>
        <v/>
      </c>
      <c r="AM64" s="7">
        <f>N64*0.0019178667+M64*0.0003835733</f>
        <v/>
      </c>
      <c r="AN64" s="7">
        <f>O64*0.0019178667+N64*0.0003835733</f>
        <v/>
      </c>
      <c r="AO64" s="7">
        <f>P64*0.0019178667+O64*0.0003835733</f>
        <v/>
      </c>
      <c r="AP64" s="7">
        <f>Q64*0.0019178667+P64*0.0003835733</f>
        <v/>
      </c>
      <c r="AQ64" s="7">
        <f>R64*0.0019178667+Q64*0.0003835733</f>
        <v/>
      </c>
      <c r="AR64" s="7">
        <f>S64*0.0019178667+R64*0.0003835733</f>
        <v/>
      </c>
      <c r="AS64" s="7">
        <f>T64*0.0019178667+S64*0.0003835733</f>
        <v/>
      </c>
      <c r="AT64" s="7">
        <f>U64*0.0019178667+T64*0.0003835733</f>
        <v/>
      </c>
      <c r="AU64" s="7">
        <f>V64*0.0019178667+U64*0.0003835733</f>
        <v/>
      </c>
      <c r="AV64" s="7">
        <f>W64*0.0019178667+V64*0.0003835733</f>
        <v/>
      </c>
      <c r="AW64" s="7">
        <f>X64*0.0019178667+W64*0.0003835733</f>
        <v/>
      </c>
      <c r="AX64" s="7">
        <f>Y64*0.0019178667+X64*0.0003835733</f>
        <v/>
      </c>
      <c r="AY64" s="7">
        <f>Z64*0.0019178667+Y64*0.0003835733</f>
        <v/>
      </c>
      <c r="AZ64" s="7">
        <f>AA64*0.0019178667+Z64*0.0003835733</f>
        <v/>
      </c>
      <c r="BA64" s="7">
        <f>D64*0.0019178667+AA64*0.0003835733</f>
        <v/>
      </c>
      <c r="BB64" s="7">
        <f>SUM(AD64:BA64)</f>
        <v/>
      </c>
    </row>
    <row r="65">
      <c r="A65" t="inlineStr">
        <is>
          <t>AMD-INTRA-SSC</t>
        </is>
      </c>
      <c r="B65" t="inlineStr">
        <is>
          <t>Forward Regular OSC</t>
        </is>
      </c>
      <c r="C65" s="5" t="n">
        <v>46104</v>
      </c>
      <c r="D65" s="6">
        <f>Summary!D65*0.2</f>
        <v/>
      </c>
      <c r="E65" s="6">
        <f>Summary!E65*0.2</f>
        <v/>
      </c>
      <c r="F65" s="6">
        <f>Summary!F65*0.2</f>
        <v/>
      </c>
      <c r="G65" s="6">
        <f>Summary!G65*0.2</f>
        <v/>
      </c>
      <c r="H65" s="6">
        <f>Summary!H65*0.2</f>
        <v/>
      </c>
      <c r="I65" s="6">
        <f>Summary!I65*0.2</f>
        <v/>
      </c>
      <c r="J65" s="6">
        <f>Summary!J65*0.2</f>
        <v/>
      </c>
      <c r="K65" s="6">
        <f>Summary!K65*0.2</f>
        <v/>
      </c>
      <c r="L65" s="6">
        <f>Summary!L65*0.2</f>
        <v/>
      </c>
      <c r="M65" s="6">
        <f>Summary!M65*0.2</f>
        <v/>
      </c>
      <c r="N65" s="6">
        <f>Summary!N65*0.2</f>
        <v/>
      </c>
      <c r="O65" s="6">
        <f>Summary!O65*0.2</f>
        <v/>
      </c>
      <c r="P65" s="6">
        <f>Summary!P65*0.2</f>
        <v/>
      </c>
      <c r="Q65" s="6">
        <f>Summary!Q65*0.2</f>
        <v/>
      </c>
      <c r="R65" s="6">
        <f>Summary!R65*0.2</f>
        <v/>
      </c>
      <c r="S65" s="6">
        <f>Summary!S65*0.2</f>
        <v/>
      </c>
      <c r="T65" s="6">
        <f>Summary!T65*0.2</f>
        <v/>
      </c>
      <c r="U65" s="6">
        <f>Summary!U65*0.2</f>
        <v/>
      </c>
      <c r="V65" s="6">
        <f>Summary!V65*0.2</f>
        <v/>
      </c>
      <c r="W65" s="6">
        <f>Summary!W65*0.2</f>
        <v/>
      </c>
      <c r="X65" s="6">
        <f>Summary!X65*0.2</f>
        <v/>
      </c>
      <c r="Y65" s="6">
        <f>Summary!Y65*0.2</f>
        <v/>
      </c>
      <c r="Z65" s="6">
        <f>Summary!Z65*0.2</f>
        <v/>
      </c>
      <c r="AA65" s="6">
        <f>Summary!AA65*0.2</f>
        <v/>
      </c>
      <c r="AB65" s="6">
        <f>SUM(D65:AA65)</f>
        <v/>
      </c>
      <c r="AC65" s="3" t="inlineStr"/>
      <c r="AD65" s="7">
        <f>E65*0.0019178667+D65*0.0003835733</f>
        <v/>
      </c>
      <c r="AE65" s="7">
        <f>F65*0.0019178667+E65*0.0003835733</f>
        <v/>
      </c>
      <c r="AF65" s="7">
        <f>G65*0.0019178667+F65*0.0003835733</f>
        <v/>
      </c>
      <c r="AG65" s="7">
        <f>H65*0.0019178667+G65*0.0003835733</f>
        <v/>
      </c>
      <c r="AH65" s="7">
        <f>I65*0.0019178667+H65*0.0003835733</f>
        <v/>
      </c>
      <c r="AI65" s="7">
        <f>J65*0.0019178667+I65*0.0003835733</f>
        <v/>
      </c>
      <c r="AJ65" s="7">
        <f>K65*0.0019178667+J65*0.0003835733</f>
        <v/>
      </c>
      <c r="AK65" s="7">
        <f>L65*0.0019178667+K65*0.0003835733</f>
        <v/>
      </c>
      <c r="AL65" s="7">
        <f>M65*0.0019178667+L65*0.0003835733</f>
        <v/>
      </c>
      <c r="AM65" s="7">
        <f>N65*0.0019178667+M65*0.0003835733</f>
        <v/>
      </c>
      <c r="AN65" s="7">
        <f>O65*0.0019178667+N65*0.0003835733</f>
        <v/>
      </c>
      <c r="AO65" s="7">
        <f>P65*0.0019178667+O65*0.0003835733</f>
        <v/>
      </c>
      <c r="AP65" s="7">
        <f>Q65*0.0019178667+P65*0.0003835733</f>
        <v/>
      </c>
      <c r="AQ65" s="7">
        <f>R65*0.0019178667+Q65*0.0003835733</f>
        <v/>
      </c>
      <c r="AR65" s="7">
        <f>S65*0.0019178667+R65*0.0003835733</f>
        <v/>
      </c>
      <c r="AS65" s="7">
        <f>T65*0.0019178667+S65*0.0003835733</f>
        <v/>
      </c>
      <c r="AT65" s="7">
        <f>U65*0.0019178667+T65*0.0003835733</f>
        <v/>
      </c>
      <c r="AU65" s="7">
        <f>V65*0.0019178667+U65*0.0003835733</f>
        <v/>
      </c>
      <c r="AV65" s="7">
        <f>W65*0.0019178667+V65*0.0003835733</f>
        <v/>
      </c>
      <c r="AW65" s="7">
        <f>X65*0.0019178667+W65*0.0003835733</f>
        <v/>
      </c>
      <c r="AX65" s="7">
        <f>Y65*0.0019178667+X65*0.0003835733</f>
        <v/>
      </c>
      <c r="AY65" s="7">
        <f>Z65*0.0019178667+Y65*0.0003835733</f>
        <v/>
      </c>
      <c r="AZ65" s="7">
        <f>AA65*0.0019178667+Z65*0.0003835733</f>
        <v/>
      </c>
      <c r="BA65" s="7">
        <f>D65*0.0019178667+AA65*0.0003835733</f>
        <v/>
      </c>
      <c r="BB65" s="7">
        <f>SUM(AD65:BA65)</f>
        <v/>
      </c>
    </row>
    <row r="66">
      <c r="A66" t="inlineStr">
        <is>
          <t>AMD-INTRA-SSC</t>
        </is>
      </c>
      <c r="B66" t="inlineStr">
        <is>
          <t>Forward Regular OSC</t>
        </is>
      </c>
      <c r="C66" s="5" t="n">
        <v>46105</v>
      </c>
      <c r="D66" s="6">
        <f>Summary!D66*0.2</f>
        <v/>
      </c>
      <c r="E66" s="6">
        <f>Summary!E66*0.2</f>
        <v/>
      </c>
      <c r="F66" s="6">
        <f>Summary!F66*0.2</f>
        <v/>
      </c>
      <c r="G66" s="6">
        <f>Summary!G66*0.2</f>
        <v/>
      </c>
      <c r="H66" s="6">
        <f>Summary!H66*0.2</f>
        <v/>
      </c>
      <c r="I66" s="6">
        <f>Summary!I66*0.2</f>
        <v/>
      </c>
      <c r="J66" s="6">
        <f>Summary!J66*0.2</f>
        <v/>
      </c>
      <c r="K66" s="6">
        <f>Summary!K66*0.2</f>
        <v/>
      </c>
      <c r="L66" s="6">
        <f>Summary!L66*0.2</f>
        <v/>
      </c>
      <c r="M66" s="6">
        <f>Summary!M66*0.2</f>
        <v/>
      </c>
      <c r="N66" s="6">
        <f>Summary!N66*0.2</f>
        <v/>
      </c>
      <c r="O66" s="6">
        <f>Summary!O66*0.2</f>
        <v/>
      </c>
      <c r="P66" s="6">
        <f>Summary!P66*0.2</f>
        <v/>
      </c>
      <c r="Q66" s="6">
        <f>Summary!Q66*0.2</f>
        <v/>
      </c>
      <c r="R66" s="6">
        <f>Summary!R66*0.2</f>
        <v/>
      </c>
      <c r="S66" s="6">
        <f>Summary!S66*0.2</f>
        <v/>
      </c>
      <c r="T66" s="6">
        <f>Summary!T66*0.2</f>
        <v/>
      </c>
      <c r="U66" s="6">
        <f>Summary!U66*0.2</f>
        <v/>
      </c>
      <c r="V66" s="6">
        <f>Summary!V66*0.2</f>
        <v/>
      </c>
      <c r="W66" s="6">
        <f>Summary!W66*0.2</f>
        <v/>
      </c>
      <c r="X66" s="6">
        <f>Summary!X66*0.2</f>
        <v/>
      </c>
      <c r="Y66" s="6">
        <f>Summary!Y66*0.2</f>
        <v/>
      </c>
      <c r="Z66" s="6">
        <f>Summary!Z66*0.2</f>
        <v/>
      </c>
      <c r="AA66" s="6">
        <f>Summary!AA66*0.2</f>
        <v/>
      </c>
      <c r="AB66" s="6">
        <f>SUM(D66:AA66)</f>
        <v/>
      </c>
      <c r="AC66" s="3" t="inlineStr"/>
      <c r="AD66" s="7">
        <f>E66*0.0019178667+D66*0.0003835733</f>
        <v/>
      </c>
      <c r="AE66" s="7">
        <f>F66*0.0019178667+E66*0.0003835733</f>
        <v/>
      </c>
      <c r="AF66" s="7">
        <f>G66*0.0019178667+F66*0.0003835733</f>
        <v/>
      </c>
      <c r="AG66" s="7">
        <f>H66*0.0019178667+G66*0.0003835733</f>
        <v/>
      </c>
      <c r="AH66" s="7">
        <f>I66*0.0019178667+H66*0.0003835733</f>
        <v/>
      </c>
      <c r="AI66" s="7">
        <f>J66*0.0019178667+I66*0.0003835733</f>
        <v/>
      </c>
      <c r="AJ66" s="7">
        <f>K66*0.0019178667+J66*0.0003835733</f>
        <v/>
      </c>
      <c r="AK66" s="7">
        <f>L66*0.0019178667+K66*0.0003835733</f>
        <v/>
      </c>
      <c r="AL66" s="7">
        <f>M66*0.0019178667+L66*0.0003835733</f>
        <v/>
      </c>
      <c r="AM66" s="7">
        <f>N66*0.0019178667+M66*0.0003835733</f>
        <v/>
      </c>
      <c r="AN66" s="7">
        <f>O66*0.0019178667+N66*0.0003835733</f>
        <v/>
      </c>
      <c r="AO66" s="7">
        <f>P66*0.0019178667+O66*0.0003835733</f>
        <v/>
      </c>
      <c r="AP66" s="7">
        <f>Q66*0.0019178667+P66*0.0003835733</f>
        <v/>
      </c>
      <c r="AQ66" s="7">
        <f>R66*0.0019178667+Q66*0.0003835733</f>
        <v/>
      </c>
      <c r="AR66" s="7">
        <f>S66*0.0019178667+R66*0.0003835733</f>
        <v/>
      </c>
      <c r="AS66" s="7">
        <f>T66*0.0019178667+S66*0.0003835733</f>
        <v/>
      </c>
      <c r="AT66" s="7">
        <f>U66*0.0019178667+T66*0.0003835733</f>
        <v/>
      </c>
      <c r="AU66" s="7">
        <f>V66*0.0019178667+U66*0.0003835733</f>
        <v/>
      </c>
      <c r="AV66" s="7">
        <f>W66*0.0019178667+V66*0.0003835733</f>
        <v/>
      </c>
      <c r="AW66" s="7">
        <f>X66*0.0019178667+W66*0.0003835733</f>
        <v/>
      </c>
      <c r="AX66" s="7">
        <f>Y66*0.0019178667+X66*0.0003835733</f>
        <v/>
      </c>
      <c r="AY66" s="7">
        <f>Z66*0.0019178667+Y66*0.0003835733</f>
        <v/>
      </c>
      <c r="AZ66" s="7">
        <f>AA66*0.0019178667+Z66*0.0003835733</f>
        <v/>
      </c>
      <c r="BA66" s="7">
        <f>D66*0.0019178667+AA66*0.0003835733</f>
        <v/>
      </c>
      <c r="BB66" s="7">
        <f>SUM(AD66:BA66)</f>
        <v/>
      </c>
    </row>
    <row r="67">
      <c r="A67" t="inlineStr">
        <is>
          <t>AMD-M1</t>
        </is>
      </c>
      <c r="B67" t="inlineStr">
        <is>
          <t>Forward Regular OSC</t>
        </is>
      </c>
      <c r="C67" s="5" t="n">
        <v>46089</v>
      </c>
      <c r="D67" s="6">
        <f>Summary!D67*0.2</f>
        <v/>
      </c>
      <c r="E67" s="6">
        <f>Summary!E67*0.2</f>
        <v/>
      </c>
      <c r="F67" s="6">
        <f>Summary!F67*0.2</f>
        <v/>
      </c>
      <c r="G67" s="6">
        <f>Summary!G67*0.2</f>
        <v/>
      </c>
      <c r="H67" s="6">
        <f>Summary!H67*0.2</f>
        <v/>
      </c>
      <c r="I67" s="6">
        <f>Summary!I67*0.2</f>
        <v/>
      </c>
      <c r="J67" s="6">
        <f>Summary!J67*0.2</f>
        <v/>
      </c>
      <c r="K67" s="6">
        <f>Summary!K67*0.2</f>
        <v/>
      </c>
      <c r="L67" s="6">
        <f>Summary!L67*0.2</f>
        <v/>
      </c>
      <c r="M67" s="6">
        <f>Summary!M67*0.2</f>
        <v/>
      </c>
      <c r="N67" s="6">
        <f>Summary!N67*0.2</f>
        <v/>
      </c>
      <c r="O67" s="6">
        <f>Summary!O67*0.2</f>
        <v/>
      </c>
      <c r="P67" s="6">
        <f>Summary!P67*0.2</f>
        <v/>
      </c>
      <c r="Q67" s="6">
        <f>Summary!Q67*0.2</f>
        <v/>
      </c>
      <c r="R67" s="6">
        <f>Summary!R67*0.2</f>
        <v/>
      </c>
      <c r="S67" s="6">
        <f>Summary!S67*0.2</f>
        <v/>
      </c>
      <c r="T67" s="6">
        <f>Summary!T67*0.2</f>
        <v/>
      </c>
      <c r="U67" s="6">
        <f>Summary!U67*0.2</f>
        <v/>
      </c>
      <c r="V67" s="6">
        <f>Summary!V67*0.2</f>
        <v/>
      </c>
      <c r="W67" s="6">
        <f>Summary!W67*0.2</f>
        <v/>
      </c>
      <c r="X67" s="6">
        <f>Summary!X67*0.2</f>
        <v/>
      </c>
      <c r="Y67" s="6">
        <f>Summary!Y67*0.2</f>
        <v/>
      </c>
      <c r="Z67" s="6">
        <f>Summary!Z67*0.2</f>
        <v/>
      </c>
      <c r="AA67" s="6">
        <f>Summary!AA67*0.2</f>
        <v/>
      </c>
      <c r="AB67" s="6">
        <f>SUM(D67:AA67)</f>
        <v/>
      </c>
      <c r="AC67" s="3" t="inlineStr"/>
      <c r="AD67" s="7">
        <f>E67*0.0019178667+D67*0.0003835733</f>
        <v/>
      </c>
      <c r="AE67" s="7">
        <f>F67*0.0019178667+E67*0.0003835733</f>
        <v/>
      </c>
      <c r="AF67" s="7">
        <f>G67*0.0019178667+F67*0.0003835733</f>
        <v/>
      </c>
      <c r="AG67" s="7">
        <f>H67*0.0019178667+G67*0.0003835733</f>
        <v/>
      </c>
      <c r="AH67" s="7">
        <f>I67*0.0019178667+H67*0.0003835733</f>
        <v/>
      </c>
      <c r="AI67" s="7">
        <f>J67*0.0019178667+I67*0.0003835733</f>
        <v/>
      </c>
      <c r="AJ67" s="7">
        <f>K67*0.0019178667+J67*0.0003835733</f>
        <v/>
      </c>
      <c r="AK67" s="7">
        <f>L67*0.0019178667+K67*0.0003835733</f>
        <v/>
      </c>
      <c r="AL67" s="7">
        <f>M67*0.0019178667+L67*0.0003835733</f>
        <v/>
      </c>
      <c r="AM67" s="7">
        <f>N67*0.0019178667+M67*0.0003835733</f>
        <v/>
      </c>
      <c r="AN67" s="7">
        <f>O67*0.0019178667+N67*0.0003835733</f>
        <v/>
      </c>
      <c r="AO67" s="7">
        <f>P67*0.0019178667+O67*0.0003835733</f>
        <v/>
      </c>
      <c r="AP67" s="7">
        <f>Q67*0.0019178667+P67*0.0003835733</f>
        <v/>
      </c>
      <c r="AQ67" s="7">
        <f>R67*0.0019178667+Q67*0.0003835733</f>
        <v/>
      </c>
      <c r="AR67" s="7">
        <f>S67*0.0019178667+R67*0.0003835733</f>
        <v/>
      </c>
      <c r="AS67" s="7">
        <f>T67*0.0019178667+S67*0.0003835733</f>
        <v/>
      </c>
      <c r="AT67" s="7">
        <f>U67*0.0019178667+T67*0.0003835733</f>
        <v/>
      </c>
      <c r="AU67" s="7">
        <f>V67*0.0019178667+U67*0.0003835733</f>
        <v/>
      </c>
      <c r="AV67" s="7">
        <f>W67*0.0019178667+V67*0.0003835733</f>
        <v/>
      </c>
      <c r="AW67" s="7">
        <f>X67*0.0019178667+W67*0.0003835733</f>
        <v/>
      </c>
      <c r="AX67" s="7">
        <f>Y67*0.0019178667+X67*0.0003835733</f>
        <v/>
      </c>
      <c r="AY67" s="7">
        <f>Z67*0.0019178667+Y67*0.0003835733</f>
        <v/>
      </c>
      <c r="AZ67" s="7">
        <f>AA67*0.0019178667+Z67*0.0003835733</f>
        <v/>
      </c>
      <c r="BA67" s="7">
        <f>D67*0.0019178667+AA67*0.0003835733</f>
        <v/>
      </c>
      <c r="BB67" s="7">
        <f>SUM(AD67:BA67)</f>
        <v/>
      </c>
    </row>
    <row r="68">
      <c r="A68" t="inlineStr">
        <is>
          <t>AMD-M1</t>
        </is>
      </c>
      <c r="B68" t="inlineStr">
        <is>
          <t>Forward Regular OSC</t>
        </is>
      </c>
      <c r="C68" s="5" t="n">
        <v>46090</v>
      </c>
      <c r="D68" s="6">
        <f>Summary!D68*0.2</f>
        <v/>
      </c>
      <c r="E68" s="6">
        <f>Summary!E68*0.2</f>
        <v/>
      </c>
      <c r="F68" s="6">
        <f>Summary!F68*0.2</f>
        <v/>
      </c>
      <c r="G68" s="6">
        <f>Summary!G68*0.2</f>
        <v/>
      </c>
      <c r="H68" s="6">
        <f>Summary!H68*0.2</f>
        <v/>
      </c>
      <c r="I68" s="6">
        <f>Summary!I68*0.2</f>
        <v/>
      </c>
      <c r="J68" s="6">
        <f>Summary!J68*0.2</f>
        <v/>
      </c>
      <c r="K68" s="6">
        <f>Summary!K68*0.2</f>
        <v/>
      </c>
      <c r="L68" s="6">
        <f>Summary!L68*0.2</f>
        <v/>
      </c>
      <c r="M68" s="6">
        <f>Summary!M68*0.2</f>
        <v/>
      </c>
      <c r="N68" s="6">
        <f>Summary!N68*0.2</f>
        <v/>
      </c>
      <c r="O68" s="6">
        <f>Summary!O68*0.2</f>
        <v/>
      </c>
      <c r="P68" s="6">
        <f>Summary!P68*0.2</f>
        <v/>
      </c>
      <c r="Q68" s="6">
        <f>Summary!Q68*0.2</f>
        <v/>
      </c>
      <c r="R68" s="6">
        <f>Summary!R68*0.2</f>
        <v/>
      </c>
      <c r="S68" s="6">
        <f>Summary!S68*0.2</f>
        <v/>
      </c>
      <c r="T68" s="6">
        <f>Summary!T68*0.2</f>
        <v/>
      </c>
      <c r="U68" s="6">
        <f>Summary!U68*0.2</f>
        <v/>
      </c>
      <c r="V68" s="6">
        <f>Summary!V68*0.2</f>
        <v/>
      </c>
      <c r="W68" s="6">
        <f>Summary!W68*0.2</f>
        <v/>
      </c>
      <c r="X68" s="6">
        <f>Summary!X68*0.2</f>
        <v/>
      </c>
      <c r="Y68" s="6">
        <f>Summary!Y68*0.2</f>
        <v/>
      </c>
      <c r="Z68" s="6">
        <f>Summary!Z68*0.2</f>
        <v/>
      </c>
      <c r="AA68" s="6">
        <f>Summary!AA68*0.2</f>
        <v/>
      </c>
      <c r="AB68" s="6">
        <f>SUM(D68:AA68)</f>
        <v/>
      </c>
      <c r="AC68" s="3" t="inlineStr"/>
      <c r="AD68" s="7">
        <f>E68*0.0019178667+D68*0.0003835733</f>
        <v/>
      </c>
      <c r="AE68" s="7">
        <f>F68*0.0019178667+E68*0.0003835733</f>
        <v/>
      </c>
      <c r="AF68" s="7">
        <f>G68*0.0019178667+F68*0.0003835733</f>
        <v/>
      </c>
      <c r="AG68" s="7">
        <f>H68*0.0019178667+G68*0.0003835733</f>
        <v/>
      </c>
      <c r="AH68" s="7">
        <f>I68*0.0019178667+H68*0.0003835733</f>
        <v/>
      </c>
      <c r="AI68" s="7">
        <f>J68*0.0019178667+I68*0.0003835733</f>
        <v/>
      </c>
      <c r="AJ68" s="7">
        <f>K68*0.0019178667+J68*0.0003835733</f>
        <v/>
      </c>
      <c r="AK68" s="7">
        <f>L68*0.0019178667+K68*0.0003835733</f>
        <v/>
      </c>
      <c r="AL68" s="7">
        <f>M68*0.0019178667+L68*0.0003835733</f>
        <v/>
      </c>
      <c r="AM68" s="7">
        <f>N68*0.0019178667+M68*0.0003835733</f>
        <v/>
      </c>
      <c r="AN68" s="7">
        <f>O68*0.0019178667+N68*0.0003835733</f>
        <v/>
      </c>
      <c r="AO68" s="7">
        <f>P68*0.0019178667+O68*0.0003835733</f>
        <v/>
      </c>
      <c r="AP68" s="7">
        <f>Q68*0.0019178667+P68*0.0003835733</f>
        <v/>
      </c>
      <c r="AQ68" s="7">
        <f>R68*0.0019178667+Q68*0.0003835733</f>
        <v/>
      </c>
      <c r="AR68" s="7">
        <f>S68*0.0019178667+R68*0.0003835733</f>
        <v/>
      </c>
      <c r="AS68" s="7">
        <f>T68*0.0019178667+S68*0.0003835733</f>
        <v/>
      </c>
      <c r="AT68" s="7">
        <f>U68*0.0019178667+T68*0.0003835733</f>
        <v/>
      </c>
      <c r="AU68" s="7">
        <f>V68*0.0019178667+U68*0.0003835733</f>
        <v/>
      </c>
      <c r="AV68" s="7">
        <f>W68*0.0019178667+V68*0.0003835733</f>
        <v/>
      </c>
      <c r="AW68" s="7">
        <f>X68*0.0019178667+W68*0.0003835733</f>
        <v/>
      </c>
      <c r="AX68" s="7">
        <f>Y68*0.0019178667+X68*0.0003835733</f>
        <v/>
      </c>
      <c r="AY68" s="7">
        <f>Z68*0.0019178667+Y68*0.0003835733</f>
        <v/>
      </c>
      <c r="AZ68" s="7">
        <f>AA68*0.0019178667+Z68*0.0003835733</f>
        <v/>
      </c>
      <c r="BA68" s="7">
        <f>D68*0.0019178667+AA68*0.0003835733</f>
        <v/>
      </c>
      <c r="BB68" s="7">
        <f>SUM(AD68:BA68)</f>
        <v/>
      </c>
    </row>
    <row r="69">
      <c r="A69" t="inlineStr">
        <is>
          <t>AMD-M1</t>
        </is>
      </c>
      <c r="B69" t="inlineStr">
        <is>
          <t>Forward Regular OSC</t>
        </is>
      </c>
      <c r="C69" s="5" t="n">
        <v>46091</v>
      </c>
      <c r="D69" s="6">
        <f>Summary!D69*0.2</f>
        <v/>
      </c>
      <c r="E69" s="6">
        <f>Summary!E69*0.2</f>
        <v/>
      </c>
      <c r="F69" s="6">
        <f>Summary!F69*0.2</f>
        <v/>
      </c>
      <c r="G69" s="6">
        <f>Summary!G69*0.2</f>
        <v/>
      </c>
      <c r="H69" s="6">
        <f>Summary!H69*0.2</f>
        <v/>
      </c>
      <c r="I69" s="6">
        <f>Summary!I69*0.2</f>
        <v/>
      </c>
      <c r="J69" s="6">
        <f>Summary!J69*0.2</f>
        <v/>
      </c>
      <c r="K69" s="6">
        <f>Summary!K69*0.2</f>
        <v/>
      </c>
      <c r="L69" s="6">
        <f>Summary!L69*0.2</f>
        <v/>
      </c>
      <c r="M69" s="6">
        <f>Summary!M69*0.2</f>
        <v/>
      </c>
      <c r="N69" s="6">
        <f>Summary!N69*0.2</f>
        <v/>
      </c>
      <c r="O69" s="6">
        <f>Summary!O69*0.2</f>
        <v/>
      </c>
      <c r="P69" s="6">
        <f>Summary!P69*0.2</f>
        <v/>
      </c>
      <c r="Q69" s="6">
        <f>Summary!Q69*0.2</f>
        <v/>
      </c>
      <c r="R69" s="6">
        <f>Summary!R69*0.2</f>
        <v/>
      </c>
      <c r="S69" s="6">
        <f>Summary!S69*0.2</f>
        <v/>
      </c>
      <c r="T69" s="6">
        <f>Summary!T69*0.2</f>
        <v/>
      </c>
      <c r="U69" s="6">
        <f>Summary!U69*0.2</f>
        <v/>
      </c>
      <c r="V69" s="6">
        <f>Summary!V69*0.2</f>
        <v/>
      </c>
      <c r="W69" s="6">
        <f>Summary!W69*0.2</f>
        <v/>
      </c>
      <c r="X69" s="6">
        <f>Summary!X69*0.2</f>
        <v/>
      </c>
      <c r="Y69" s="6">
        <f>Summary!Y69*0.2</f>
        <v/>
      </c>
      <c r="Z69" s="6">
        <f>Summary!Z69*0.2</f>
        <v/>
      </c>
      <c r="AA69" s="6">
        <f>Summary!AA69*0.2</f>
        <v/>
      </c>
      <c r="AB69" s="6">
        <f>SUM(D69:AA69)</f>
        <v/>
      </c>
      <c r="AC69" s="3" t="inlineStr"/>
      <c r="AD69" s="7">
        <f>E69*0.0019178667+D69*0.0003835733</f>
        <v/>
      </c>
      <c r="AE69" s="7">
        <f>F69*0.0019178667+E69*0.0003835733</f>
        <v/>
      </c>
      <c r="AF69" s="7">
        <f>G69*0.0019178667+F69*0.0003835733</f>
        <v/>
      </c>
      <c r="AG69" s="7">
        <f>H69*0.0019178667+G69*0.0003835733</f>
        <v/>
      </c>
      <c r="AH69" s="7">
        <f>I69*0.0019178667+H69*0.0003835733</f>
        <v/>
      </c>
      <c r="AI69" s="7">
        <f>J69*0.0019178667+I69*0.0003835733</f>
        <v/>
      </c>
      <c r="AJ69" s="7">
        <f>K69*0.0019178667+J69*0.0003835733</f>
        <v/>
      </c>
      <c r="AK69" s="7">
        <f>L69*0.0019178667+K69*0.0003835733</f>
        <v/>
      </c>
      <c r="AL69" s="7">
        <f>M69*0.0019178667+L69*0.0003835733</f>
        <v/>
      </c>
      <c r="AM69" s="7">
        <f>N69*0.0019178667+M69*0.0003835733</f>
        <v/>
      </c>
      <c r="AN69" s="7">
        <f>O69*0.0019178667+N69*0.0003835733</f>
        <v/>
      </c>
      <c r="AO69" s="7">
        <f>P69*0.0019178667+O69*0.0003835733</f>
        <v/>
      </c>
      <c r="AP69" s="7">
        <f>Q69*0.0019178667+P69*0.0003835733</f>
        <v/>
      </c>
      <c r="AQ69" s="7">
        <f>R69*0.0019178667+Q69*0.0003835733</f>
        <v/>
      </c>
      <c r="AR69" s="7">
        <f>S69*0.0019178667+R69*0.0003835733</f>
        <v/>
      </c>
      <c r="AS69" s="7">
        <f>T69*0.0019178667+S69*0.0003835733</f>
        <v/>
      </c>
      <c r="AT69" s="7">
        <f>U69*0.0019178667+T69*0.0003835733</f>
        <v/>
      </c>
      <c r="AU69" s="7">
        <f>V69*0.0019178667+U69*0.0003835733</f>
        <v/>
      </c>
      <c r="AV69" s="7">
        <f>W69*0.0019178667+V69*0.0003835733</f>
        <v/>
      </c>
      <c r="AW69" s="7">
        <f>X69*0.0019178667+W69*0.0003835733</f>
        <v/>
      </c>
      <c r="AX69" s="7">
        <f>Y69*0.0019178667+X69*0.0003835733</f>
        <v/>
      </c>
      <c r="AY69" s="7">
        <f>Z69*0.0019178667+Y69*0.0003835733</f>
        <v/>
      </c>
      <c r="AZ69" s="7">
        <f>AA69*0.0019178667+Z69*0.0003835733</f>
        <v/>
      </c>
      <c r="BA69" s="7">
        <f>D69*0.0019178667+AA69*0.0003835733</f>
        <v/>
      </c>
      <c r="BB69" s="7">
        <f>SUM(AD69:BA69)</f>
        <v/>
      </c>
    </row>
    <row r="70">
      <c r="A70" t="inlineStr">
        <is>
          <t>AMD-M1</t>
        </is>
      </c>
      <c r="B70" t="inlineStr">
        <is>
          <t>Forward Regular OSC</t>
        </is>
      </c>
      <c r="C70" s="5" t="n">
        <v>46092</v>
      </c>
      <c r="D70" s="6">
        <f>Summary!D70*0.2</f>
        <v/>
      </c>
      <c r="E70" s="6">
        <f>Summary!E70*0.2</f>
        <v/>
      </c>
      <c r="F70" s="6">
        <f>Summary!F70*0.2</f>
        <v/>
      </c>
      <c r="G70" s="6">
        <f>Summary!G70*0.2</f>
        <v/>
      </c>
      <c r="H70" s="6">
        <f>Summary!H70*0.2</f>
        <v/>
      </c>
      <c r="I70" s="6">
        <f>Summary!I70*0.2</f>
        <v/>
      </c>
      <c r="J70" s="6">
        <f>Summary!J70*0.2</f>
        <v/>
      </c>
      <c r="K70" s="6">
        <f>Summary!K70*0.2</f>
        <v/>
      </c>
      <c r="L70" s="6">
        <f>Summary!L70*0.2</f>
        <v/>
      </c>
      <c r="M70" s="6">
        <f>Summary!M70*0.2</f>
        <v/>
      </c>
      <c r="N70" s="6">
        <f>Summary!N70*0.2</f>
        <v/>
      </c>
      <c r="O70" s="6">
        <f>Summary!O70*0.2</f>
        <v/>
      </c>
      <c r="P70" s="6">
        <f>Summary!P70*0.2</f>
        <v/>
      </c>
      <c r="Q70" s="6">
        <f>Summary!Q70*0.2</f>
        <v/>
      </c>
      <c r="R70" s="6">
        <f>Summary!R70*0.2</f>
        <v/>
      </c>
      <c r="S70" s="6">
        <f>Summary!S70*0.2</f>
        <v/>
      </c>
      <c r="T70" s="6">
        <f>Summary!T70*0.2</f>
        <v/>
      </c>
      <c r="U70" s="6">
        <f>Summary!U70*0.2</f>
        <v/>
      </c>
      <c r="V70" s="6">
        <f>Summary!V70*0.2</f>
        <v/>
      </c>
      <c r="W70" s="6">
        <f>Summary!W70*0.2</f>
        <v/>
      </c>
      <c r="X70" s="6">
        <f>Summary!X70*0.2</f>
        <v/>
      </c>
      <c r="Y70" s="6">
        <f>Summary!Y70*0.2</f>
        <v/>
      </c>
      <c r="Z70" s="6">
        <f>Summary!Z70*0.2</f>
        <v/>
      </c>
      <c r="AA70" s="6">
        <f>Summary!AA70*0.2</f>
        <v/>
      </c>
      <c r="AB70" s="6">
        <f>SUM(D70:AA70)</f>
        <v/>
      </c>
      <c r="AC70" s="3" t="inlineStr"/>
      <c r="AD70" s="7">
        <f>E70*0.0019178667+D70*0.0003835733</f>
        <v/>
      </c>
      <c r="AE70" s="7">
        <f>F70*0.0019178667+E70*0.0003835733</f>
        <v/>
      </c>
      <c r="AF70" s="7">
        <f>G70*0.0019178667+F70*0.0003835733</f>
        <v/>
      </c>
      <c r="AG70" s="7">
        <f>H70*0.0019178667+G70*0.0003835733</f>
        <v/>
      </c>
      <c r="AH70" s="7">
        <f>I70*0.0019178667+H70*0.0003835733</f>
        <v/>
      </c>
      <c r="AI70" s="7">
        <f>J70*0.0019178667+I70*0.0003835733</f>
        <v/>
      </c>
      <c r="AJ70" s="7">
        <f>K70*0.0019178667+J70*0.0003835733</f>
        <v/>
      </c>
      <c r="AK70" s="7">
        <f>L70*0.0019178667+K70*0.0003835733</f>
        <v/>
      </c>
      <c r="AL70" s="7">
        <f>M70*0.0019178667+L70*0.0003835733</f>
        <v/>
      </c>
      <c r="AM70" s="7">
        <f>N70*0.0019178667+M70*0.0003835733</f>
        <v/>
      </c>
      <c r="AN70" s="7">
        <f>O70*0.0019178667+N70*0.0003835733</f>
        <v/>
      </c>
      <c r="AO70" s="7">
        <f>P70*0.0019178667+O70*0.0003835733</f>
        <v/>
      </c>
      <c r="AP70" s="7">
        <f>Q70*0.0019178667+P70*0.0003835733</f>
        <v/>
      </c>
      <c r="AQ70" s="7">
        <f>R70*0.0019178667+Q70*0.0003835733</f>
        <v/>
      </c>
      <c r="AR70" s="7">
        <f>S70*0.0019178667+R70*0.0003835733</f>
        <v/>
      </c>
      <c r="AS70" s="7">
        <f>T70*0.0019178667+S70*0.0003835733</f>
        <v/>
      </c>
      <c r="AT70" s="7">
        <f>U70*0.0019178667+T70*0.0003835733</f>
        <v/>
      </c>
      <c r="AU70" s="7">
        <f>V70*0.0019178667+U70*0.0003835733</f>
        <v/>
      </c>
      <c r="AV70" s="7">
        <f>W70*0.0019178667+V70*0.0003835733</f>
        <v/>
      </c>
      <c r="AW70" s="7">
        <f>X70*0.0019178667+W70*0.0003835733</f>
        <v/>
      </c>
      <c r="AX70" s="7">
        <f>Y70*0.0019178667+X70*0.0003835733</f>
        <v/>
      </c>
      <c r="AY70" s="7">
        <f>Z70*0.0019178667+Y70*0.0003835733</f>
        <v/>
      </c>
      <c r="AZ70" s="7">
        <f>AA70*0.0019178667+Z70*0.0003835733</f>
        <v/>
      </c>
      <c r="BA70" s="7">
        <f>D70*0.0019178667+AA70*0.0003835733</f>
        <v/>
      </c>
      <c r="BB70" s="7">
        <f>SUM(AD70:BA70)</f>
        <v/>
      </c>
    </row>
    <row r="71">
      <c r="A71" t="inlineStr">
        <is>
          <t>AMD-M1</t>
        </is>
      </c>
      <c r="B71" t="inlineStr">
        <is>
          <t>Forward Regular OSC</t>
        </is>
      </c>
      <c r="C71" s="5" t="n">
        <v>46093</v>
      </c>
      <c r="D71" s="6">
        <f>Summary!D71*0.2</f>
        <v/>
      </c>
      <c r="E71" s="6">
        <f>Summary!E71*0.2</f>
        <v/>
      </c>
      <c r="F71" s="6">
        <f>Summary!F71*0.2</f>
        <v/>
      </c>
      <c r="G71" s="6">
        <f>Summary!G71*0.2</f>
        <v/>
      </c>
      <c r="H71" s="6">
        <f>Summary!H71*0.2</f>
        <v/>
      </c>
      <c r="I71" s="6">
        <f>Summary!I71*0.2</f>
        <v/>
      </c>
      <c r="J71" s="6">
        <f>Summary!J71*0.2</f>
        <v/>
      </c>
      <c r="K71" s="6">
        <f>Summary!K71*0.2</f>
        <v/>
      </c>
      <c r="L71" s="6">
        <f>Summary!L71*0.2</f>
        <v/>
      </c>
      <c r="M71" s="6">
        <f>Summary!M71*0.2</f>
        <v/>
      </c>
      <c r="N71" s="6">
        <f>Summary!N71*0.2</f>
        <v/>
      </c>
      <c r="O71" s="6">
        <f>Summary!O71*0.2</f>
        <v/>
      </c>
      <c r="P71" s="6">
        <f>Summary!P71*0.2</f>
        <v/>
      </c>
      <c r="Q71" s="6">
        <f>Summary!Q71*0.2</f>
        <v/>
      </c>
      <c r="R71" s="6">
        <f>Summary!R71*0.2</f>
        <v/>
      </c>
      <c r="S71" s="6">
        <f>Summary!S71*0.2</f>
        <v/>
      </c>
      <c r="T71" s="6">
        <f>Summary!T71*0.2</f>
        <v/>
      </c>
      <c r="U71" s="6">
        <f>Summary!U71*0.2</f>
        <v/>
      </c>
      <c r="V71" s="6">
        <f>Summary!V71*0.2</f>
        <v/>
      </c>
      <c r="W71" s="6">
        <f>Summary!W71*0.2</f>
        <v/>
      </c>
      <c r="X71" s="6">
        <f>Summary!X71*0.2</f>
        <v/>
      </c>
      <c r="Y71" s="6">
        <f>Summary!Y71*0.2</f>
        <v/>
      </c>
      <c r="Z71" s="6">
        <f>Summary!Z71*0.2</f>
        <v/>
      </c>
      <c r="AA71" s="6">
        <f>Summary!AA71*0.2</f>
        <v/>
      </c>
      <c r="AB71" s="6">
        <f>SUM(D71:AA71)</f>
        <v/>
      </c>
      <c r="AC71" s="3" t="inlineStr"/>
      <c r="AD71" s="7">
        <f>E71*0.0019178667+D71*0.0003835733</f>
        <v/>
      </c>
      <c r="AE71" s="7">
        <f>F71*0.0019178667+E71*0.0003835733</f>
        <v/>
      </c>
      <c r="AF71" s="7">
        <f>G71*0.0019178667+F71*0.0003835733</f>
        <v/>
      </c>
      <c r="AG71" s="7">
        <f>H71*0.0019178667+G71*0.0003835733</f>
        <v/>
      </c>
      <c r="AH71" s="7">
        <f>I71*0.0019178667+H71*0.0003835733</f>
        <v/>
      </c>
      <c r="AI71" s="7">
        <f>J71*0.0019178667+I71*0.0003835733</f>
        <v/>
      </c>
      <c r="AJ71" s="7">
        <f>K71*0.0019178667+J71*0.0003835733</f>
        <v/>
      </c>
      <c r="AK71" s="7">
        <f>L71*0.0019178667+K71*0.0003835733</f>
        <v/>
      </c>
      <c r="AL71" s="7">
        <f>M71*0.0019178667+L71*0.0003835733</f>
        <v/>
      </c>
      <c r="AM71" s="7">
        <f>N71*0.0019178667+M71*0.0003835733</f>
        <v/>
      </c>
      <c r="AN71" s="7">
        <f>O71*0.0019178667+N71*0.0003835733</f>
        <v/>
      </c>
      <c r="AO71" s="7">
        <f>P71*0.0019178667+O71*0.0003835733</f>
        <v/>
      </c>
      <c r="AP71" s="7">
        <f>Q71*0.0019178667+P71*0.0003835733</f>
        <v/>
      </c>
      <c r="AQ71" s="7">
        <f>R71*0.0019178667+Q71*0.0003835733</f>
        <v/>
      </c>
      <c r="AR71" s="7">
        <f>S71*0.0019178667+R71*0.0003835733</f>
        <v/>
      </c>
      <c r="AS71" s="7">
        <f>T71*0.0019178667+S71*0.0003835733</f>
        <v/>
      </c>
      <c r="AT71" s="7">
        <f>U71*0.0019178667+T71*0.0003835733</f>
        <v/>
      </c>
      <c r="AU71" s="7">
        <f>V71*0.0019178667+U71*0.0003835733</f>
        <v/>
      </c>
      <c r="AV71" s="7">
        <f>W71*0.0019178667+V71*0.0003835733</f>
        <v/>
      </c>
      <c r="AW71" s="7">
        <f>X71*0.0019178667+W71*0.0003835733</f>
        <v/>
      </c>
      <c r="AX71" s="7">
        <f>Y71*0.0019178667+X71*0.0003835733</f>
        <v/>
      </c>
      <c r="AY71" s="7">
        <f>Z71*0.0019178667+Y71*0.0003835733</f>
        <v/>
      </c>
      <c r="AZ71" s="7">
        <f>AA71*0.0019178667+Z71*0.0003835733</f>
        <v/>
      </c>
      <c r="BA71" s="7">
        <f>D71*0.0019178667+AA71*0.0003835733</f>
        <v/>
      </c>
      <c r="BB71" s="7">
        <f>SUM(AD71:BA71)</f>
        <v/>
      </c>
    </row>
    <row r="72">
      <c r="A72" t="inlineStr">
        <is>
          <t>AMD-M1</t>
        </is>
      </c>
      <c r="B72" t="inlineStr">
        <is>
          <t>Forward Regular OSC</t>
        </is>
      </c>
      <c r="C72" s="5" t="n">
        <v>46094</v>
      </c>
      <c r="D72" s="6">
        <f>Summary!D72*0.2</f>
        <v/>
      </c>
      <c r="E72" s="6">
        <f>Summary!E72*0.2</f>
        <v/>
      </c>
      <c r="F72" s="6">
        <f>Summary!F72*0.2</f>
        <v/>
      </c>
      <c r="G72" s="6">
        <f>Summary!G72*0.2</f>
        <v/>
      </c>
      <c r="H72" s="6">
        <f>Summary!H72*0.2</f>
        <v/>
      </c>
      <c r="I72" s="6">
        <f>Summary!I72*0.2</f>
        <v/>
      </c>
      <c r="J72" s="6">
        <f>Summary!J72*0.2</f>
        <v/>
      </c>
      <c r="K72" s="6">
        <f>Summary!K72*0.2</f>
        <v/>
      </c>
      <c r="L72" s="6">
        <f>Summary!L72*0.2</f>
        <v/>
      </c>
      <c r="M72" s="6">
        <f>Summary!M72*0.2</f>
        <v/>
      </c>
      <c r="N72" s="6">
        <f>Summary!N72*0.2</f>
        <v/>
      </c>
      <c r="O72" s="6">
        <f>Summary!O72*0.2</f>
        <v/>
      </c>
      <c r="P72" s="6">
        <f>Summary!P72*0.2</f>
        <v/>
      </c>
      <c r="Q72" s="6">
        <f>Summary!Q72*0.2</f>
        <v/>
      </c>
      <c r="R72" s="6">
        <f>Summary!R72*0.2</f>
        <v/>
      </c>
      <c r="S72" s="6">
        <f>Summary!S72*0.2</f>
        <v/>
      </c>
      <c r="T72" s="6">
        <f>Summary!T72*0.2</f>
        <v/>
      </c>
      <c r="U72" s="6">
        <f>Summary!U72*0.2</f>
        <v/>
      </c>
      <c r="V72" s="6">
        <f>Summary!V72*0.2</f>
        <v/>
      </c>
      <c r="W72" s="6">
        <f>Summary!W72*0.2</f>
        <v/>
      </c>
      <c r="X72" s="6">
        <f>Summary!X72*0.2</f>
        <v/>
      </c>
      <c r="Y72" s="6">
        <f>Summary!Y72*0.2</f>
        <v/>
      </c>
      <c r="Z72" s="6">
        <f>Summary!Z72*0.2</f>
        <v/>
      </c>
      <c r="AA72" s="6">
        <f>Summary!AA72*0.2</f>
        <v/>
      </c>
      <c r="AB72" s="6">
        <f>SUM(D72:AA72)</f>
        <v/>
      </c>
      <c r="AC72" s="3" t="inlineStr"/>
      <c r="AD72" s="7">
        <f>E72*0.0019178667+D72*0.0003835733</f>
        <v/>
      </c>
      <c r="AE72" s="7">
        <f>F72*0.0019178667+E72*0.0003835733</f>
        <v/>
      </c>
      <c r="AF72" s="7">
        <f>G72*0.0019178667+F72*0.0003835733</f>
        <v/>
      </c>
      <c r="AG72" s="7">
        <f>H72*0.0019178667+G72*0.0003835733</f>
        <v/>
      </c>
      <c r="AH72" s="7">
        <f>I72*0.0019178667+H72*0.0003835733</f>
        <v/>
      </c>
      <c r="AI72" s="7">
        <f>J72*0.0019178667+I72*0.0003835733</f>
        <v/>
      </c>
      <c r="AJ72" s="7">
        <f>K72*0.0019178667+J72*0.0003835733</f>
        <v/>
      </c>
      <c r="AK72" s="7">
        <f>L72*0.0019178667+K72*0.0003835733</f>
        <v/>
      </c>
      <c r="AL72" s="7">
        <f>M72*0.0019178667+L72*0.0003835733</f>
        <v/>
      </c>
      <c r="AM72" s="7">
        <f>N72*0.0019178667+M72*0.0003835733</f>
        <v/>
      </c>
      <c r="AN72" s="7">
        <f>O72*0.0019178667+N72*0.0003835733</f>
        <v/>
      </c>
      <c r="AO72" s="7">
        <f>P72*0.0019178667+O72*0.0003835733</f>
        <v/>
      </c>
      <c r="AP72" s="7">
        <f>Q72*0.0019178667+P72*0.0003835733</f>
        <v/>
      </c>
      <c r="AQ72" s="7">
        <f>R72*0.0019178667+Q72*0.0003835733</f>
        <v/>
      </c>
      <c r="AR72" s="7">
        <f>S72*0.0019178667+R72*0.0003835733</f>
        <v/>
      </c>
      <c r="AS72" s="7">
        <f>T72*0.0019178667+S72*0.0003835733</f>
        <v/>
      </c>
      <c r="AT72" s="7">
        <f>U72*0.0019178667+T72*0.0003835733</f>
        <v/>
      </c>
      <c r="AU72" s="7">
        <f>V72*0.0019178667+U72*0.0003835733</f>
        <v/>
      </c>
      <c r="AV72" s="7">
        <f>W72*0.0019178667+V72*0.0003835733</f>
        <v/>
      </c>
      <c r="AW72" s="7">
        <f>X72*0.0019178667+W72*0.0003835733</f>
        <v/>
      </c>
      <c r="AX72" s="7">
        <f>Y72*0.0019178667+X72*0.0003835733</f>
        <v/>
      </c>
      <c r="AY72" s="7">
        <f>Z72*0.0019178667+Y72*0.0003835733</f>
        <v/>
      </c>
      <c r="AZ72" s="7">
        <f>AA72*0.0019178667+Z72*0.0003835733</f>
        <v/>
      </c>
      <c r="BA72" s="7">
        <f>D72*0.0019178667+AA72*0.0003835733</f>
        <v/>
      </c>
      <c r="BB72" s="7">
        <f>SUM(AD72:BA72)</f>
        <v/>
      </c>
    </row>
    <row r="73">
      <c r="A73" t="inlineStr">
        <is>
          <t>AMD-M1</t>
        </is>
      </c>
      <c r="B73" t="inlineStr">
        <is>
          <t>Forward Regular OSC</t>
        </is>
      </c>
      <c r="C73" s="5" t="n">
        <v>46095</v>
      </c>
      <c r="D73" s="6">
        <f>Summary!D73*0.2</f>
        <v/>
      </c>
      <c r="E73" s="6">
        <f>Summary!E73*0.2</f>
        <v/>
      </c>
      <c r="F73" s="6">
        <f>Summary!F73*0.2</f>
        <v/>
      </c>
      <c r="G73" s="6">
        <f>Summary!G73*0.2</f>
        <v/>
      </c>
      <c r="H73" s="6">
        <f>Summary!H73*0.2</f>
        <v/>
      </c>
      <c r="I73" s="6">
        <f>Summary!I73*0.2</f>
        <v/>
      </c>
      <c r="J73" s="6">
        <f>Summary!J73*0.2</f>
        <v/>
      </c>
      <c r="K73" s="6">
        <f>Summary!K73*0.2</f>
        <v/>
      </c>
      <c r="L73" s="6">
        <f>Summary!L73*0.2</f>
        <v/>
      </c>
      <c r="M73" s="6">
        <f>Summary!M73*0.2</f>
        <v/>
      </c>
      <c r="N73" s="6">
        <f>Summary!N73*0.2</f>
        <v/>
      </c>
      <c r="O73" s="6">
        <f>Summary!O73*0.2</f>
        <v/>
      </c>
      <c r="P73" s="6">
        <f>Summary!P73*0.2</f>
        <v/>
      </c>
      <c r="Q73" s="6">
        <f>Summary!Q73*0.2</f>
        <v/>
      </c>
      <c r="R73" s="6">
        <f>Summary!R73*0.2</f>
        <v/>
      </c>
      <c r="S73" s="6">
        <f>Summary!S73*0.2</f>
        <v/>
      </c>
      <c r="T73" s="6">
        <f>Summary!T73*0.2</f>
        <v/>
      </c>
      <c r="U73" s="6">
        <f>Summary!U73*0.2</f>
        <v/>
      </c>
      <c r="V73" s="6">
        <f>Summary!V73*0.2</f>
        <v/>
      </c>
      <c r="W73" s="6">
        <f>Summary!W73*0.2</f>
        <v/>
      </c>
      <c r="X73" s="6">
        <f>Summary!X73*0.2</f>
        <v/>
      </c>
      <c r="Y73" s="6">
        <f>Summary!Y73*0.2</f>
        <v/>
      </c>
      <c r="Z73" s="6">
        <f>Summary!Z73*0.2</f>
        <v/>
      </c>
      <c r="AA73" s="6">
        <f>Summary!AA73*0.2</f>
        <v/>
      </c>
      <c r="AB73" s="6">
        <f>SUM(D73:AA73)</f>
        <v/>
      </c>
      <c r="AC73" s="3" t="inlineStr"/>
      <c r="AD73" s="7">
        <f>E73*0.0019178667+D73*0.0003835733</f>
        <v/>
      </c>
      <c r="AE73" s="7">
        <f>F73*0.0019178667+E73*0.0003835733</f>
        <v/>
      </c>
      <c r="AF73" s="7">
        <f>G73*0.0019178667+F73*0.0003835733</f>
        <v/>
      </c>
      <c r="AG73" s="7">
        <f>H73*0.0019178667+G73*0.0003835733</f>
        <v/>
      </c>
      <c r="AH73" s="7">
        <f>I73*0.0019178667+H73*0.0003835733</f>
        <v/>
      </c>
      <c r="AI73" s="7">
        <f>J73*0.0019178667+I73*0.0003835733</f>
        <v/>
      </c>
      <c r="AJ73" s="7">
        <f>K73*0.0019178667+J73*0.0003835733</f>
        <v/>
      </c>
      <c r="AK73" s="7">
        <f>L73*0.0019178667+K73*0.0003835733</f>
        <v/>
      </c>
      <c r="AL73" s="7">
        <f>M73*0.0019178667+L73*0.0003835733</f>
        <v/>
      </c>
      <c r="AM73" s="7">
        <f>N73*0.0019178667+M73*0.0003835733</f>
        <v/>
      </c>
      <c r="AN73" s="7">
        <f>O73*0.0019178667+N73*0.0003835733</f>
        <v/>
      </c>
      <c r="AO73" s="7">
        <f>P73*0.0019178667+O73*0.0003835733</f>
        <v/>
      </c>
      <c r="AP73" s="7">
        <f>Q73*0.0019178667+P73*0.0003835733</f>
        <v/>
      </c>
      <c r="AQ73" s="7">
        <f>R73*0.0019178667+Q73*0.0003835733</f>
        <v/>
      </c>
      <c r="AR73" s="7">
        <f>S73*0.0019178667+R73*0.0003835733</f>
        <v/>
      </c>
      <c r="AS73" s="7">
        <f>T73*0.0019178667+S73*0.0003835733</f>
        <v/>
      </c>
      <c r="AT73" s="7">
        <f>U73*0.0019178667+T73*0.0003835733</f>
        <v/>
      </c>
      <c r="AU73" s="7">
        <f>V73*0.0019178667+U73*0.0003835733</f>
        <v/>
      </c>
      <c r="AV73" s="7">
        <f>W73*0.0019178667+V73*0.0003835733</f>
        <v/>
      </c>
      <c r="AW73" s="7">
        <f>X73*0.0019178667+W73*0.0003835733</f>
        <v/>
      </c>
      <c r="AX73" s="7">
        <f>Y73*0.0019178667+X73*0.0003835733</f>
        <v/>
      </c>
      <c r="AY73" s="7">
        <f>Z73*0.0019178667+Y73*0.0003835733</f>
        <v/>
      </c>
      <c r="AZ73" s="7">
        <f>AA73*0.0019178667+Z73*0.0003835733</f>
        <v/>
      </c>
      <c r="BA73" s="7">
        <f>D73*0.0019178667+AA73*0.0003835733</f>
        <v/>
      </c>
      <c r="BB73" s="7">
        <f>SUM(AD73:BA73)</f>
        <v/>
      </c>
    </row>
    <row r="74">
      <c r="A74" t="inlineStr">
        <is>
          <t>AMD-M1</t>
        </is>
      </c>
      <c r="B74" t="inlineStr">
        <is>
          <t>Forward Regular OSC</t>
        </is>
      </c>
      <c r="C74" s="5" t="n">
        <v>46096</v>
      </c>
      <c r="D74" s="6">
        <f>Summary!D74*0.2</f>
        <v/>
      </c>
      <c r="E74" s="6">
        <f>Summary!E74*0.2</f>
        <v/>
      </c>
      <c r="F74" s="6">
        <f>Summary!F74*0.2</f>
        <v/>
      </c>
      <c r="G74" s="6">
        <f>Summary!G74*0.2</f>
        <v/>
      </c>
      <c r="H74" s="6">
        <f>Summary!H74*0.2</f>
        <v/>
      </c>
      <c r="I74" s="6">
        <f>Summary!I74*0.2</f>
        <v/>
      </c>
      <c r="J74" s="6">
        <f>Summary!J74*0.2</f>
        <v/>
      </c>
      <c r="K74" s="6">
        <f>Summary!K74*0.2</f>
        <v/>
      </c>
      <c r="L74" s="6">
        <f>Summary!L74*0.2</f>
        <v/>
      </c>
      <c r="M74" s="6">
        <f>Summary!M74*0.2</f>
        <v/>
      </c>
      <c r="N74" s="6">
        <f>Summary!N74*0.2</f>
        <v/>
      </c>
      <c r="O74" s="6">
        <f>Summary!O74*0.2</f>
        <v/>
      </c>
      <c r="P74" s="6">
        <f>Summary!P74*0.2</f>
        <v/>
      </c>
      <c r="Q74" s="6">
        <f>Summary!Q74*0.2</f>
        <v/>
      </c>
      <c r="R74" s="6">
        <f>Summary!R74*0.2</f>
        <v/>
      </c>
      <c r="S74" s="6">
        <f>Summary!S74*0.2</f>
        <v/>
      </c>
      <c r="T74" s="6">
        <f>Summary!T74*0.2</f>
        <v/>
      </c>
      <c r="U74" s="6">
        <f>Summary!U74*0.2</f>
        <v/>
      </c>
      <c r="V74" s="6">
        <f>Summary!V74*0.2</f>
        <v/>
      </c>
      <c r="W74" s="6">
        <f>Summary!W74*0.2</f>
        <v/>
      </c>
      <c r="X74" s="6">
        <f>Summary!X74*0.2</f>
        <v/>
      </c>
      <c r="Y74" s="6">
        <f>Summary!Y74*0.2</f>
        <v/>
      </c>
      <c r="Z74" s="6">
        <f>Summary!Z74*0.2</f>
        <v/>
      </c>
      <c r="AA74" s="6">
        <f>Summary!AA74*0.2</f>
        <v/>
      </c>
      <c r="AB74" s="6">
        <f>SUM(D74:AA74)</f>
        <v/>
      </c>
      <c r="AC74" s="3" t="inlineStr"/>
      <c r="AD74" s="7">
        <f>E74*0.0019178667+D74*0.0003835733</f>
        <v/>
      </c>
      <c r="AE74" s="7">
        <f>F74*0.0019178667+E74*0.0003835733</f>
        <v/>
      </c>
      <c r="AF74" s="7">
        <f>G74*0.0019178667+F74*0.0003835733</f>
        <v/>
      </c>
      <c r="AG74" s="7">
        <f>H74*0.0019178667+G74*0.0003835733</f>
        <v/>
      </c>
      <c r="AH74" s="7">
        <f>I74*0.0019178667+H74*0.0003835733</f>
        <v/>
      </c>
      <c r="AI74" s="7">
        <f>J74*0.0019178667+I74*0.0003835733</f>
        <v/>
      </c>
      <c r="AJ74" s="7">
        <f>K74*0.0019178667+J74*0.0003835733</f>
        <v/>
      </c>
      <c r="AK74" s="7">
        <f>L74*0.0019178667+K74*0.0003835733</f>
        <v/>
      </c>
      <c r="AL74" s="7">
        <f>M74*0.0019178667+L74*0.0003835733</f>
        <v/>
      </c>
      <c r="AM74" s="7">
        <f>N74*0.0019178667+M74*0.0003835733</f>
        <v/>
      </c>
      <c r="AN74" s="7">
        <f>O74*0.0019178667+N74*0.0003835733</f>
        <v/>
      </c>
      <c r="AO74" s="7">
        <f>P74*0.0019178667+O74*0.0003835733</f>
        <v/>
      </c>
      <c r="AP74" s="7">
        <f>Q74*0.0019178667+P74*0.0003835733</f>
        <v/>
      </c>
      <c r="AQ74" s="7">
        <f>R74*0.0019178667+Q74*0.0003835733</f>
        <v/>
      </c>
      <c r="AR74" s="7">
        <f>S74*0.0019178667+R74*0.0003835733</f>
        <v/>
      </c>
      <c r="AS74" s="7">
        <f>T74*0.0019178667+S74*0.0003835733</f>
        <v/>
      </c>
      <c r="AT74" s="7">
        <f>U74*0.0019178667+T74*0.0003835733</f>
        <v/>
      </c>
      <c r="AU74" s="7">
        <f>V74*0.0019178667+U74*0.0003835733</f>
        <v/>
      </c>
      <c r="AV74" s="7">
        <f>W74*0.0019178667+V74*0.0003835733</f>
        <v/>
      </c>
      <c r="AW74" s="7">
        <f>X74*0.0019178667+W74*0.0003835733</f>
        <v/>
      </c>
      <c r="AX74" s="7">
        <f>Y74*0.0019178667+X74*0.0003835733</f>
        <v/>
      </c>
      <c r="AY74" s="7">
        <f>Z74*0.0019178667+Y74*0.0003835733</f>
        <v/>
      </c>
      <c r="AZ74" s="7">
        <f>AA74*0.0019178667+Z74*0.0003835733</f>
        <v/>
      </c>
      <c r="BA74" s="7">
        <f>D74*0.0019178667+AA74*0.0003835733</f>
        <v/>
      </c>
      <c r="BB74" s="7">
        <f>SUM(AD74:BA74)</f>
        <v/>
      </c>
    </row>
    <row r="75">
      <c r="A75" t="inlineStr">
        <is>
          <t>AMD-M1</t>
        </is>
      </c>
      <c r="B75" t="inlineStr">
        <is>
          <t>Forward Regular OSC</t>
        </is>
      </c>
      <c r="C75" s="5" t="n">
        <v>46097</v>
      </c>
      <c r="D75" s="6">
        <f>Summary!D75*0.2</f>
        <v/>
      </c>
      <c r="E75" s="6">
        <f>Summary!E75*0.2</f>
        <v/>
      </c>
      <c r="F75" s="6">
        <f>Summary!F75*0.2</f>
        <v/>
      </c>
      <c r="G75" s="6">
        <f>Summary!G75*0.2</f>
        <v/>
      </c>
      <c r="H75" s="6">
        <f>Summary!H75*0.2</f>
        <v/>
      </c>
      <c r="I75" s="6">
        <f>Summary!I75*0.2</f>
        <v/>
      </c>
      <c r="J75" s="6">
        <f>Summary!J75*0.2</f>
        <v/>
      </c>
      <c r="K75" s="6">
        <f>Summary!K75*0.2</f>
        <v/>
      </c>
      <c r="L75" s="6">
        <f>Summary!L75*0.2</f>
        <v/>
      </c>
      <c r="M75" s="6">
        <f>Summary!M75*0.2</f>
        <v/>
      </c>
      <c r="N75" s="6">
        <f>Summary!N75*0.2</f>
        <v/>
      </c>
      <c r="O75" s="6">
        <f>Summary!O75*0.2</f>
        <v/>
      </c>
      <c r="P75" s="6">
        <f>Summary!P75*0.2</f>
        <v/>
      </c>
      <c r="Q75" s="6">
        <f>Summary!Q75*0.2</f>
        <v/>
      </c>
      <c r="R75" s="6">
        <f>Summary!R75*0.2</f>
        <v/>
      </c>
      <c r="S75" s="6">
        <f>Summary!S75*0.2</f>
        <v/>
      </c>
      <c r="T75" s="6">
        <f>Summary!T75*0.2</f>
        <v/>
      </c>
      <c r="U75" s="6">
        <f>Summary!U75*0.2</f>
        <v/>
      </c>
      <c r="V75" s="6">
        <f>Summary!V75*0.2</f>
        <v/>
      </c>
      <c r="W75" s="6">
        <f>Summary!W75*0.2</f>
        <v/>
      </c>
      <c r="X75" s="6">
        <f>Summary!X75*0.2</f>
        <v/>
      </c>
      <c r="Y75" s="6">
        <f>Summary!Y75*0.2</f>
        <v/>
      </c>
      <c r="Z75" s="6">
        <f>Summary!Z75*0.2</f>
        <v/>
      </c>
      <c r="AA75" s="6">
        <f>Summary!AA75*0.2</f>
        <v/>
      </c>
      <c r="AB75" s="6">
        <f>SUM(D75:AA75)</f>
        <v/>
      </c>
      <c r="AC75" s="3" t="inlineStr"/>
      <c r="AD75" s="7">
        <f>E75*0.0019178667+D75*0.0003835733</f>
        <v/>
      </c>
      <c r="AE75" s="7">
        <f>F75*0.0019178667+E75*0.0003835733</f>
        <v/>
      </c>
      <c r="AF75" s="7">
        <f>G75*0.0019178667+F75*0.0003835733</f>
        <v/>
      </c>
      <c r="AG75" s="7">
        <f>H75*0.0019178667+G75*0.0003835733</f>
        <v/>
      </c>
      <c r="AH75" s="7">
        <f>I75*0.0019178667+H75*0.0003835733</f>
        <v/>
      </c>
      <c r="AI75" s="7">
        <f>J75*0.0019178667+I75*0.0003835733</f>
        <v/>
      </c>
      <c r="AJ75" s="7">
        <f>K75*0.0019178667+J75*0.0003835733</f>
        <v/>
      </c>
      <c r="AK75" s="7">
        <f>L75*0.0019178667+K75*0.0003835733</f>
        <v/>
      </c>
      <c r="AL75" s="7">
        <f>M75*0.0019178667+L75*0.0003835733</f>
        <v/>
      </c>
      <c r="AM75" s="7">
        <f>N75*0.0019178667+M75*0.0003835733</f>
        <v/>
      </c>
      <c r="AN75" s="7">
        <f>O75*0.0019178667+N75*0.0003835733</f>
        <v/>
      </c>
      <c r="AO75" s="7">
        <f>P75*0.0019178667+O75*0.0003835733</f>
        <v/>
      </c>
      <c r="AP75" s="7">
        <f>Q75*0.0019178667+P75*0.0003835733</f>
        <v/>
      </c>
      <c r="AQ75" s="7">
        <f>R75*0.0019178667+Q75*0.0003835733</f>
        <v/>
      </c>
      <c r="AR75" s="7">
        <f>S75*0.0019178667+R75*0.0003835733</f>
        <v/>
      </c>
      <c r="AS75" s="7">
        <f>T75*0.0019178667+S75*0.0003835733</f>
        <v/>
      </c>
      <c r="AT75" s="7">
        <f>U75*0.0019178667+T75*0.0003835733</f>
        <v/>
      </c>
      <c r="AU75" s="7">
        <f>V75*0.0019178667+U75*0.0003835733</f>
        <v/>
      </c>
      <c r="AV75" s="7">
        <f>W75*0.0019178667+V75*0.0003835733</f>
        <v/>
      </c>
      <c r="AW75" s="7">
        <f>X75*0.0019178667+W75*0.0003835733</f>
        <v/>
      </c>
      <c r="AX75" s="7">
        <f>Y75*0.0019178667+X75*0.0003835733</f>
        <v/>
      </c>
      <c r="AY75" s="7">
        <f>Z75*0.0019178667+Y75*0.0003835733</f>
        <v/>
      </c>
      <c r="AZ75" s="7">
        <f>AA75*0.0019178667+Z75*0.0003835733</f>
        <v/>
      </c>
      <c r="BA75" s="7">
        <f>D75*0.0019178667+AA75*0.0003835733</f>
        <v/>
      </c>
      <c r="BB75" s="7">
        <f>SUM(AD75:BA75)</f>
        <v/>
      </c>
    </row>
    <row r="76">
      <c r="A76" t="inlineStr">
        <is>
          <t>AMD-M2</t>
        </is>
      </c>
      <c r="B76" t="inlineStr">
        <is>
          <t>Forward Regular OSC</t>
        </is>
      </c>
      <c r="C76" s="5" t="n">
        <v>46089</v>
      </c>
      <c r="D76" s="6">
        <f>Summary!D76*0.2</f>
        <v/>
      </c>
      <c r="E76" s="6">
        <f>Summary!E76*0.2</f>
        <v/>
      </c>
      <c r="F76" s="6">
        <f>Summary!F76*0.2</f>
        <v/>
      </c>
      <c r="G76" s="6">
        <f>Summary!G76*0.2</f>
        <v/>
      </c>
      <c r="H76" s="6">
        <f>Summary!H76*0.2</f>
        <v/>
      </c>
      <c r="I76" s="6">
        <f>Summary!I76*0.2</f>
        <v/>
      </c>
      <c r="J76" s="6">
        <f>Summary!J76*0.2</f>
        <v/>
      </c>
      <c r="K76" s="6">
        <f>Summary!K76*0.2</f>
        <v/>
      </c>
      <c r="L76" s="6">
        <f>Summary!L76*0.2</f>
        <v/>
      </c>
      <c r="M76" s="6">
        <f>Summary!M76*0.2</f>
        <v/>
      </c>
      <c r="N76" s="6">
        <f>Summary!N76*0.2</f>
        <v/>
      </c>
      <c r="O76" s="6">
        <f>Summary!O76*0.2</f>
        <v/>
      </c>
      <c r="P76" s="6">
        <f>Summary!P76*0.2</f>
        <v/>
      </c>
      <c r="Q76" s="6">
        <f>Summary!Q76*0.2</f>
        <v/>
      </c>
      <c r="R76" s="6">
        <f>Summary!R76*0.2</f>
        <v/>
      </c>
      <c r="S76" s="6">
        <f>Summary!S76*0.2</f>
        <v/>
      </c>
      <c r="T76" s="6">
        <f>Summary!T76*0.2</f>
        <v/>
      </c>
      <c r="U76" s="6">
        <f>Summary!U76*0.2</f>
        <v/>
      </c>
      <c r="V76" s="6">
        <f>Summary!V76*0.2</f>
        <v/>
      </c>
      <c r="W76" s="6">
        <f>Summary!W76*0.2</f>
        <v/>
      </c>
      <c r="X76" s="6">
        <f>Summary!X76*0.2</f>
        <v/>
      </c>
      <c r="Y76" s="6">
        <f>Summary!Y76*0.2</f>
        <v/>
      </c>
      <c r="Z76" s="6">
        <f>Summary!Z76*0.2</f>
        <v/>
      </c>
      <c r="AA76" s="6">
        <f>Summary!AA76*0.2</f>
        <v/>
      </c>
      <c r="AB76" s="6">
        <f>SUM(D76:AA76)</f>
        <v/>
      </c>
      <c r="AC76" s="3" t="inlineStr"/>
      <c r="AD76" s="7">
        <f>E76*0.0019178667+D76*0.0003835733</f>
        <v/>
      </c>
      <c r="AE76" s="7">
        <f>F76*0.0019178667+E76*0.0003835733</f>
        <v/>
      </c>
      <c r="AF76" s="7">
        <f>G76*0.0019178667+F76*0.0003835733</f>
        <v/>
      </c>
      <c r="AG76" s="7">
        <f>H76*0.0019178667+G76*0.0003835733</f>
        <v/>
      </c>
      <c r="AH76" s="7">
        <f>I76*0.0019178667+H76*0.0003835733</f>
        <v/>
      </c>
      <c r="AI76" s="7">
        <f>J76*0.0019178667+I76*0.0003835733</f>
        <v/>
      </c>
      <c r="AJ76" s="7">
        <f>K76*0.0019178667+J76*0.0003835733</f>
        <v/>
      </c>
      <c r="AK76" s="7">
        <f>L76*0.0019178667+K76*0.0003835733</f>
        <v/>
      </c>
      <c r="AL76" s="7">
        <f>M76*0.0019178667+L76*0.0003835733</f>
        <v/>
      </c>
      <c r="AM76" s="7">
        <f>N76*0.0019178667+M76*0.0003835733</f>
        <v/>
      </c>
      <c r="AN76" s="7">
        <f>O76*0.0019178667+N76*0.0003835733</f>
        <v/>
      </c>
      <c r="AO76" s="7">
        <f>P76*0.0019178667+O76*0.0003835733</f>
        <v/>
      </c>
      <c r="AP76" s="7">
        <f>Q76*0.0019178667+P76*0.0003835733</f>
        <v/>
      </c>
      <c r="AQ76" s="7">
        <f>R76*0.0019178667+Q76*0.0003835733</f>
        <v/>
      </c>
      <c r="AR76" s="7">
        <f>S76*0.0019178667+R76*0.0003835733</f>
        <v/>
      </c>
      <c r="AS76" s="7">
        <f>T76*0.0019178667+S76*0.0003835733</f>
        <v/>
      </c>
      <c r="AT76" s="7">
        <f>U76*0.0019178667+T76*0.0003835733</f>
        <v/>
      </c>
      <c r="AU76" s="7">
        <f>V76*0.0019178667+U76*0.0003835733</f>
        <v/>
      </c>
      <c r="AV76" s="7">
        <f>W76*0.0019178667+V76*0.0003835733</f>
        <v/>
      </c>
      <c r="AW76" s="7">
        <f>X76*0.0019178667+W76*0.0003835733</f>
        <v/>
      </c>
      <c r="AX76" s="7">
        <f>Y76*0.0019178667+X76*0.0003835733</f>
        <v/>
      </c>
      <c r="AY76" s="7">
        <f>Z76*0.0019178667+Y76*0.0003835733</f>
        <v/>
      </c>
      <c r="AZ76" s="7">
        <f>AA76*0.0019178667+Z76*0.0003835733</f>
        <v/>
      </c>
      <c r="BA76" s="7">
        <f>D76*0.0019178667+AA76*0.0003835733</f>
        <v/>
      </c>
      <c r="BB76" s="7">
        <f>SUM(AD76:BA76)</f>
        <v/>
      </c>
    </row>
    <row r="77">
      <c r="A77" t="inlineStr">
        <is>
          <t>AMD-M2</t>
        </is>
      </c>
      <c r="B77" t="inlineStr">
        <is>
          <t>Forward Regular OSC</t>
        </is>
      </c>
      <c r="C77" s="5" t="n">
        <v>46090</v>
      </c>
      <c r="D77" s="6">
        <f>Summary!D77*0.2</f>
        <v/>
      </c>
      <c r="E77" s="6">
        <f>Summary!E77*0.2</f>
        <v/>
      </c>
      <c r="F77" s="6">
        <f>Summary!F77*0.2</f>
        <v/>
      </c>
      <c r="G77" s="6">
        <f>Summary!G77*0.2</f>
        <v/>
      </c>
      <c r="H77" s="6">
        <f>Summary!H77*0.2</f>
        <v/>
      </c>
      <c r="I77" s="6">
        <f>Summary!I77*0.2</f>
        <v/>
      </c>
      <c r="J77" s="6">
        <f>Summary!J77*0.2</f>
        <v/>
      </c>
      <c r="K77" s="6">
        <f>Summary!K77*0.2</f>
        <v/>
      </c>
      <c r="L77" s="6">
        <f>Summary!L77*0.2</f>
        <v/>
      </c>
      <c r="M77" s="6">
        <f>Summary!M77*0.2</f>
        <v/>
      </c>
      <c r="N77" s="6">
        <f>Summary!N77*0.2</f>
        <v/>
      </c>
      <c r="O77" s="6">
        <f>Summary!O77*0.2</f>
        <v/>
      </c>
      <c r="P77" s="6">
        <f>Summary!P77*0.2</f>
        <v/>
      </c>
      <c r="Q77" s="6">
        <f>Summary!Q77*0.2</f>
        <v/>
      </c>
      <c r="R77" s="6">
        <f>Summary!R77*0.2</f>
        <v/>
      </c>
      <c r="S77" s="6">
        <f>Summary!S77*0.2</f>
        <v/>
      </c>
      <c r="T77" s="6">
        <f>Summary!T77*0.2</f>
        <v/>
      </c>
      <c r="U77" s="6">
        <f>Summary!U77*0.2</f>
        <v/>
      </c>
      <c r="V77" s="6">
        <f>Summary!V77*0.2</f>
        <v/>
      </c>
      <c r="W77" s="6">
        <f>Summary!W77*0.2</f>
        <v/>
      </c>
      <c r="X77" s="6">
        <f>Summary!X77*0.2</f>
        <v/>
      </c>
      <c r="Y77" s="6">
        <f>Summary!Y77*0.2</f>
        <v/>
      </c>
      <c r="Z77" s="6">
        <f>Summary!Z77*0.2</f>
        <v/>
      </c>
      <c r="AA77" s="6">
        <f>Summary!AA77*0.2</f>
        <v/>
      </c>
      <c r="AB77" s="6">
        <f>SUM(D77:AA77)</f>
        <v/>
      </c>
      <c r="AC77" s="3" t="inlineStr"/>
      <c r="AD77" s="7">
        <f>E77*0.0019178667+D77*0.0003835733</f>
        <v/>
      </c>
      <c r="AE77" s="7">
        <f>F77*0.0019178667+E77*0.0003835733</f>
        <v/>
      </c>
      <c r="AF77" s="7">
        <f>G77*0.0019178667+F77*0.0003835733</f>
        <v/>
      </c>
      <c r="AG77" s="7">
        <f>H77*0.0019178667+G77*0.0003835733</f>
        <v/>
      </c>
      <c r="AH77" s="7">
        <f>I77*0.0019178667+H77*0.0003835733</f>
        <v/>
      </c>
      <c r="AI77" s="7">
        <f>J77*0.0019178667+I77*0.0003835733</f>
        <v/>
      </c>
      <c r="AJ77" s="7">
        <f>K77*0.0019178667+J77*0.0003835733</f>
        <v/>
      </c>
      <c r="AK77" s="7">
        <f>L77*0.0019178667+K77*0.0003835733</f>
        <v/>
      </c>
      <c r="AL77" s="7">
        <f>M77*0.0019178667+L77*0.0003835733</f>
        <v/>
      </c>
      <c r="AM77" s="7">
        <f>N77*0.0019178667+M77*0.0003835733</f>
        <v/>
      </c>
      <c r="AN77" s="7">
        <f>O77*0.0019178667+N77*0.0003835733</f>
        <v/>
      </c>
      <c r="AO77" s="7">
        <f>P77*0.0019178667+O77*0.0003835733</f>
        <v/>
      </c>
      <c r="AP77" s="7">
        <f>Q77*0.0019178667+P77*0.0003835733</f>
        <v/>
      </c>
      <c r="AQ77" s="7">
        <f>R77*0.0019178667+Q77*0.0003835733</f>
        <v/>
      </c>
      <c r="AR77" s="7">
        <f>S77*0.0019178667+R77*0.0003835733</f>
        <v/>
      </c>
      <c r="AS77" s="7">
        <f>T77*0.0019178667+S77*0.0003835733</f>
        <v/>
      </c>
      <c r="AT77" s="7">
        <f>U77*0.0019178667+T77*0.0003835733</f>
        <v/>
      </c>
      <c r="AU77" s="7">
        <f>V77*0.0019178667+U77*0.0003835733</f>
        <v/>
      </c>
      <c r="AV77" s="7">
        <f>W77*0.0019178667+V77*0.0003835733</f>
        <v/>
      </c>
      <c r="AW77" s="7">
        <f>X77*0.0019178667+W77*0.0003835733</f>
        <v/>
      </c>
      <c r="AX77" s="7">
        <f>Y77*0.0019178667+X77*0.0003835733</f>
        <v/>
      </c>
      <c r="AY77" s="7">
        <f>Z77*0.0019178667+Y77*0.0003835733</f>
        <v/>
      </c>
      <c r="AZ77" s="7">
        <f>AA77*0.0019178667+Z77*0.0003835733</f>
        <v/>
      </c>
      <c r="BA77" s="7">
        <f>D77*0.0019178667+AA77*0.0003835733</f>
        <v/>
      </c>
      <c r="BB77" s="7">
        <f>SUM(AD77:BA77)</f>
        <v/>
      </c>
    </row>
    <row r="78">
      <c r="A78" t="inlineStr">
        <is>
          <t>AMD-M2</t>
        </is>
      </c>
      <c r="B78" t="inlineStr">
        <is>
          <t>Forward Regular OSC</t>
        </is>
      </c>
      <c r="C78" s="5" t="n">
        <v>46091</v>
      </c>
      <c r="D78" s="6">
        <f>Summary!D78*0.2</f>
        <v/>
      </c>
      <c r="E78" s="6">
        <f>Summary!E78*0.2</f>
        <v/>
      </c>
      <c r="F78" s="6">
        <f>Summary!F78*0.2</f>
        <v/>
      </c>
      <c r="G78" s="6">
        <f>Summary!G78*0.2</f>
        <v/>
      </c>
      <c r="H78" s="6">
        <f>Summary!H78*0.2</f>
        <v/>
      </c>
      <c r="I78" s="6">
        <f>Summary!I78*0.2</f>
        <v/>
      </c>
      <c r="J78" s="6">
        <f>Summary!J78*0.2</f>
        <v/>
      </c>
      <c r="K78" s="6">
        <f>Summary!K78*0.2</f>
        <v/>
      </c>
      <c r="L78" s="6">
        <f>Summary!L78*0.2</f>
        <v/>
      </c>
      <c r="M78" s="6">
        <f>Summary!M78*0.2</f>
        <v/>
      </c>
      <c r="N78" s="6">
        <f>Summary!N78*0.2</f>
        <v/>
      </c>
      <c r="O78" s="6">
        <f>Summary!O78*0.2</f>
        <v/>
      </c>
      <c r="P78" s="6">
        <f>Summary!P78*0.2</f>
        <v/>
      </c>
      <c r="Q78" s="6">
        <f>Summary!Q78*0.2</f>
        <v/>
      </c>
      <c r="R78" s="6">
        <f>Summary!R78*0.2</f>
        <v/>
      </c>
      <c r="S78" s="6">
        <f>Summary!S78*0.2</f>
        <v/>
      </c>
      <c r="T78" s="6">
        <f>Summary!T78*0.2</f>
        <v/>
      </c>
      <c r="U78" s="6">
        <f>Summary!U78*0.2</f>
        <v/>
      </c>
      <c r="V78" s="6">
        <f>Summary!V78*0.2</f>
        <v/>
      </c>
      <c r="W78" s="6">
        <f>Summary!W78*0.2</f>
        <v/>
      </c>
      <c r="X78" s="6">
        <f>Summary!X78*0.2</f>
        <v/>
      </c>
      <c r="Y78" s="6">
        <f>Summary!Y78*0.2</f>
        <v/>
      </c>
      <c r="Z78" s="6">
        <f>Summary!Z78*0.2</f>
        <v/>
      </c>
      <c r="AA78" s="6">
        <f>Summary!AA78*0.2</f>
        <v/>
      </c>
      <c r="AB78" s="6">
        <f>SUM(D78:AA78)</f>
        <v/>
      </c>
      <c r="AC78" s="3" t="inlineStr"/>
      <c r="AD78" s="7">
        <f>E78*0.0019178667+D78*0.0003835733</f>
        <v/>
      </c>
      <c r="AE78" s="7">
        <f>F78*0.0019178667+E78*0.0003835733</f>
        <v/>
      </c>
      <c r="AF78" s="7">
        <f>G78*0.0019178667+F78*0.0003835733</f>
        <v/>
      </c>
      <c r="AG78" s="7">
        <f>H78*0.0019178667+G78*0.0003835733</f>
        <v/>
      </c>
      <c r="AH78" s="7">
        <f>I78*0.0019178667+H78*0.0003835733</f>
        <v/>
      </c>
      <c r="AI78" s="7">
        <f>J78*0.0019178667+I78*0.0003835733</f>
        <v/>
      </c>
      <c r="AJ78" s="7">
        <f>K78*0.0019178667+J78*0.0003835733</f>
        <v/>
      </c>
      <c r="AK78" s="7">
        <f>L78*0.0019178667+K78*0.0003835733</f>
        <v/>
      </c>
      <c r="AL78" s="7">
        <f>M78*0.0019178667+L78*0.0003835733</f>
        <v/>
      </c>
      <c r="AM78" s="7">
        <f>N78*0.0019178667+M78*0.0003835733</f>
        <v/>
      </c>
      <c r="AN78" s="7">
        <f>O78*0.0019178667+N78*0.0003835733</f>
        <v/>
      </c>
      <c r="AO78" s="7">
        <f>P78*0.0019178667+O78*0.0003835733</f>
        <v/>
      </c>
      <c r="AP78" s="7">
        <f>Q78*0.0019178667+P78*0.0003835733</f>
        <v/>
      </c>
      <c r="AQ78" s="7">
        <f>R78*0.0019178667+Q78*0.0003835733</f>
        <v/>
      </c>
      <c r="AR78" s="7">
        <f>S78*0.0019178667+R78*0.0003835733</f>
        <v/>
      </c>
      <c r="AS78" s="7">
        <f>T78*0.0019178667+S78*0.0003835733</f>
        <v/>
      </c>
      <c r="AT78" s="7">
        <f>U78*0.0019178667+T78*0.0003835733</f>
        <v/>
      </c>
      <c r="AU78" s="7">
        <f>V78*0.0019178667+U78*0.0003835733</f>
        <v/>
      </c>
      <c r="AV78" s="7">
        <f>W78*0.0019178667+V78*0.0003835733</f>
        <v/>
      </c>
      <c r="AW78" s="7">
        <f>X78*0.0019178667+W78*0.0003835733</f>
        <v/>
      </c>
      <c r="AX78" s="7">
        <f>Y78*0.0019178667+X78*0.0003835733</f>
        <v/>
      </c>
      <c r="AY78" s="7">
        <f>Z78*0.0019178667+Y78*0.0003835733</f>
        <v/>
      </c>
      <c r="AZ78" s="7">
        <f>AA78*0.0019178667+Z78*0.0003835733</f>
        <v/>
      </c>
      <c r="BA78" s="7">
        <f>D78*0.0019178667+AA78*0.0003835733</f>
        <v/>
      </c>
      <c r="BB78" s="7">
        <f>SUM(AD78:BA78)</f>
        <v/>
      </c>
    </row>
    <row r="79">
      <c r="A79" t="inlineStr">
        <is>
          <t>AMD-M2</t>
        </is>
      </c>
      <c r="B79" t="inlineStr">
        <is>
          <t>Forward Regular OSC</t>
        </is>
      </c>
      <c r="C79" s="5" t="n">
        <v>46092</v>
      </c>
      <c r="D79" s="6">
        <f>Summary!D79*0.2</f>
        <v/>
      </c>
      <c r="E79" s="6">
        <f>Summary!E79*0.2</f>
        <v/>
      </c>
      <c r="F79" s="6">
        <f>Summary!F79*0.2</f>
        <v/>
      </c>
      <c r="G79" s="6">
        <f>Summary!G79*0.2</f>
        <v/>
      </c>
      <c r="H79" s="6">
        <f>Summary!H79*0.2</f>
        <v/>
      </c>
      <c r="I79" s="6">
        <f>Summary!I79*0.2</f>
        <v/>
      </c>
      <c r="J79" s="6">
        <f>Summary!J79*0.2</f>
        <v/>
      </c>
      <c r="K79" s="6">
        <f>Summary!K79*0.2</f>
        <v/>
      </c>
      <c r="L79" s="6">
        <f>Summary!L79*0.2</f>
        <v/>
      </c>
      <c r="M79" s="6">
        <f>Summary!M79*0.2</f>
        <v/>
      </c>
      <c r="N79" s="6">
        <f>Summary!N79*0.2</f>
        <v/>
      </c>
      <c r="O79" s="6">
        <f>Summary!O79*0.2</f>
        <v/>
      </c>
      <c r="P79" s="6">
        <f>Summary!P79*0.2</f>
        <v/>
      </c>
      <c r="Q79" s="6">
        <f>Summary!Q79*0.2</f>
        <v/>
      </c>
      <c r="R79" s="6">
        <f>Summary!R79*0.2</f>
        <v/>
      </c>
      <c r="S79" s="6">
        <f>Summary!S79*0.2</f>
        <v/>
      </c>
      <c r="T79" s="6">
        <f>Summary!T79*0.2</f>
        <v/>
      </c>
      <c r="U79" s="6">
        <f>Summary!U79*0.2</f>
        <v/>
      </c>
      <c r="V79" s="6">
        <f>Summary!V79*0.2</f>
        <v/>
      </c>
      <c r="W79" s="6">
        <f>Summary!W79*0.2</f>
        <v/>
      </c>
      <c r="X79" s="6">
        <f>Summary!X79*0.2</f>
        <v/>
      </c>
      <c r="Y79" s="6">
        <f>Summary!Y79*0.2</f>
        <v/>
      </c>
      <c r="Z79" s="6">
        <f>Summary!Z79*0.2</f>
        <v/>
      </c>
      <c r="AA79" s="6">
        <f>Summary!AA79*0.2</f>
        <v/>
      </c>
      <c r="AB79" s="6">
        <f>SUM(D79:AA79)</f>
        <v/>
      </c>
      <c r="AC79" s="3" t="inlineStr"/>
      <c r="AD79" s="7">
        <f>E79*0.0019178667+D79*0.0003835733</f>
        <v/>
      </c>
      <c r="AE79" s="7">
        <f>F79*0.0019178667+E79*0.0003835733</f>
        <v/>
      </c>
      <c r="AF79" s="7">
        <f>G79*0.0019178667+F79*0.0003835733</f>
        <v/>
      </c>
      <c r="AG79" s="7">
        <f>H79*0.0019178667+G79*0.0003835733</f>
        <v/>
      </c>
      <c r="AH79" s="7">
        <f>I79*0.0019178667+H79*0.0003835733</f>
        <v/>
      </c>
      <c r="AI79" s="7">
        <f>J79*0.0019178667+I79*0.0003835733</f>
        <v/>
      </c>
      <c r="AJ79" s="7">
        <f>K79*0.0019178667+J79*0.0003835733</f>
        <v/>
      </c>
      <c r="AK79" s="7">
        <f>L79*0.0019178667+K79*0.0003835733</f>
        <v/>
      </c>
      <c r="AL79" s="7">
        <f>M79*0.0019178667+L79*0.0003835733</f>
        <v/>
      </c>
      <c r="AM79" s="7">
        <f>N79*0.0019178667+M79*0.0003835733</f>
        <v/>
      </c>
      <c r="AN79" s="7">
        <f>O79*0.0019178667+N79*0.0003835733</f>
        <v/>
      </c>
      <c r="AO79" s="7">
        <f>P79*0.0019178667+O79*0.0003835733</f>
        <v/>
      </c>
      <c r="AP79" s="7">
        <f>Q79*0.0019178667+P79*0.0003835733</f>
        <v/>
      </c>
      <c r="AQ79" s="7">
        <f>R79*0.0019178667+Q79*0.0003835733</f>
        <v/>
      </c>
      <c r="AR79" s="7">
        <f>S79*0.0019178667+R79*0.0003835733</f>
        <v/>
      </c>
      <c r="AS79" s="7">
        <f>T79*0.0019178667+S79*0.0003835733</f>
        <v/>
      </c>
      <c r="AT79" s="7">
        <f>U79*0.0019178667+T79*0.0003835733</f>
        <v/>
      </c>
      <c r="AU79" s="7">
        <f>V79*0.0019178667+U79*0.0003835733</f>
        <v/>
      </c>
      <c r="AV79" s="7">
        <f>W79*0.0019178667+V79*0.0003835733</f>
        <v/>
      </c>
      <c r="AW79" s="7">
        <f>X79*0.0019178667+W79*0.0003835733</f>
        <v/>
      </c>
      <c r="AX79" s="7">
        <f>Y79*0.0019178667+X79*0.0003835733</f>
        <v/>
      </c>
      <c r="AY79" s="7">
        <f>Z79*0.0019178667+Y79*0.0003835733</f>
        <v/>
      </c>
      <c r="AZ79" s="7">
        <f>AA79*0.0019178667+Z79*0.0003835733</f>
        <v/>
      </c>
      <c r="BA79" s="7">
        <f>D79*0.0019178667+AA79*0.0003835733</f>
        <v/>
      </c>
      <c r="BB79" s="7">
        <f>SUM(AD79:BA79)</f>
        <v/>
      </c>
    </row>
    <row r="80">
      <c r="A80" t="inlineStr">
        <is>
          <t>AMD-M2</t>
        </is>
      </c>
      <c r="B80" t="inlineStr">
        <is>
          <t>Forward Regular OSC</t>
        </is>
      </c>
      <c r="C80" s="5" t="n">
        <v>46093</v>
      </c>
      <c r="D80" s="6">
        <f>Summary!D80*0.2</f>
        <v/>
      </c>
      <c r="E80" s="6">
        <f>Summary!E80*0.2</f>
        <v/>
      </c>
      <c r="F80" s="6">
        <f>Summary!F80*0.2</f>
        <v/>
      </c>
      <c r="G80" s="6">
        <f>Summary!G80*0.2</f>
        <v/>
      </c>
      <c r="H80" s="6">
        <f>Summary!H80*0.2</f>
        <v/>
      </c>
      <c r="I80" s="6">
        <f>Summary!I80*0.2</f>
        <v/>
      </c>
      <c r="J80" s="6">
        <f>Summary!J80*0.2</f>
        <v/>
      </c>
      <c r="K80" s="6">
        <f>Summary!K80*0.2</f>
        <v/>
      </c>
      <c r="L80" s="6">
        <f>Summary!L80*0.2</f>
        <v/>
      </c>
      <c r="M80" s="6">
        <f>Summary!M80*0.2</f>
        <v/>
      </c>
      <c r="N80" s="6">
        <f>Summary!N80*0.2</f>
        <v/>
      </c>
      <c r="O80" s="6">
        <f>Summary!O80*0.2</f>
        <v/>
      </c>
      <c r="P80" s="6">
        <f>Summary!P80*0.2</f>
        <v/>
      </c>
      <c r="Q80" s="6">
        <f>Summary!Q80*0.2</f>
        <v/>
      </c>
      <c r="R80" s="6">
        <f>Summary!R80*0.2</f>
        <v/>
      </c>
      <c r="S80" s="6">
        <f>Summary!S80*0.2</f>
        <v/>
      </c>
      <c r="T80" s="6">
        <f>Summary!T80*0.2</f>
        <v/>
      </c>
      <c r="U80" s="6">
        <f>Summary!U80*0.2</f>
        <v/>
      </c>
      <c r="V80" s="6">
        <f>Summary!V80*0.2</f>
        <v/>
      </c>
      <c r="W80" s="6">
        <f>Summary!W80*0.2</f>
        <v/>
      </c>
      <c r="X80" s="6">
        <f>Summary!X80*0.2</f>
        <v/>
      </c>
      <c r="Y80" s="6">
        <f>Summary!Y80*0.2</f>
        <v/>
      </c>
      <c r="Z80" s="6">
        <f>Summary!Z80*0.2</f>
        <v/>
      </c>
      <c r="AA80" s="6">
        <f>Summary!AA80*0.2</f>
        <v/>
      </c>
      <c r="AB80" s="6">
        <f>SUM(D80:AA80)</f>
        <v/>
      </c>
      <c r="AC80" s="3" t="inlineStr"/>
      <c r="AD80" s="7">
        <f>E80*0.0019178667+D80*0.0003835733</f>
        <v/>
      </c>
      <c r="AE80" s="7">
        <f>F80*0.0019178667+E80*0.0003835733</f>
        <v/>
      </c>
      <c r="AF80" s="7">
        <f>G80*0.0019178667+F80*0.0003835733</f>
        <v/>
      </c>
      <c r="AG80" s="7">
        <f>H80*0.0019178667+G80*0.0003835733</f>
        <v/>
      </c>
      <c r="AH80" s="7">
        <f>I80*0.0019178667+H80*0.0003835733</f>
        <v/>
      </c>
      <c r="AI80" s="7">
        <f>J80*0.0019178667+I80*0.0003835733</f>
        <v/>
      </c>
      <c r="AJ80" s="7">
        <f>K80*0.0019178667+J80*0.0003835733</f>
        <v/>
      </c>
      <c r="AK80" s="7">
        <f>L80*0.0019178667+K80*0.0003835733</f>
        <v/>
      </c>
      <c r="AL80" s="7">
        <f>M80*0.0019178667+L80*0.0003835733</f>
        <v/>
      </c>
      <c r="AM80" s="7">
        <f>N80*0.0019178667+M80*0.0003835733</f>
        <v/>
      </c>
      <c r="AN80" s="7">
        <f>O80*0.0019178667+N80*0.0003835733</f>
        <v/>
      </c>
      <c r="AO80" s="7">
        <f>P80*0.0019178667+O80*0.0003835733</f>
        <v/>
      </c>
      <c r="AP80" s="7">
        <f>Q80*0.0019178667+P80*0.0003835733</f>
        <v/>
      </c>
      <c r="AQ80" s="7">
        <f>R80*0.0019178667+Q80*0.0003835733</f>
        <v/>
      </c>
      <c r="AR80" s="7">
        <f>S80*0.0019178667+R80*0.0003835733</f>
        <v/>
      </c>
      <c r="AS80" s="7">
        <f>T80*0.0019178667+S80*0.0003835733</f>
        <v/>
      </c>
      <c r="AT80" s="7">
        <f>U80*0.0019178667+T80*0.0003835733</f>
        <v/>
      </c>
      <c r="AU80" s="7">
        <f>V80*0.0019178667+U80*0.0003835733</f>
        <v/>
      </c>
      <c r="AV80" s="7">
        <f>W80*0.0019178667+V80*0.0003835733</f>
        <v/>
      </c>
      <c r="AW80" s="7">
        <f>X80*0.0019178667+W80*0.0003835733</f>
        <v/>
      </c>
      <c r="AX80" s="7">
        <f>Y80*0.0019178667+X80*0.0003835733</f>
        <v/>
      </c>
      <c r="AY80" s="7">
        <f>Z80*0.0019178667+Y80*0.0003835733</f>
        <v/>
      </c>
      <c r="AZ80" s="7">
        <f>AA80*0.0019178667+Z80*0.0003835733</f>
        <v/>
      </c>
      <c r="BA80" s="7">
        <f>D80*0.0019178667+AA80*0.0003835733</f>
        <v/>
      </c>
      <c r="BB80" s="7">
        <f>SUM(AD80:BA80)</f>
        <v/>
      </c>
    </row>
    <row r="81">
      <c r="A81" t="inlineStr">
        <is>
          <t>AMD-M2</t>
        </is>
      </c>
      <c r="B81" t="inlineStr">
        <is>
          <t>Forward Regular OSC</t>
        </is>
      </c>
      <c r="C81" s="5" t="n">
        <v>46094</v>
      </c>
      <c r="D81" s="6">
        <f>Summary!D81*0.2</f>
        <v/>
      </c>
      <c r="E81" s="6">
        <f>Summary!E81*0.2</f>
        <v/>
      </c>
      <c r="F81" s="6">
        <f>Summary!F81*0.2</f>
        <v/>
      </c>
      <c r="G81" s="6">
        <f>Summary!G81*0.2</f>
        <v/>
      </c>
      <c r="H81" s="6">
        <f>Summary!H81*0.2</f>
        <v/>
      </c>
      <c r="I81" s="6">
        <f>Summary!I81*0.2</f>
        <v/>
      </c>
      <c r="J81" s="6">
        <f>Summary!J81*0.2</f>
        <v/>
      </c>
      <c r="K81" s="6">
        <f>Summary!K81*0.2</f>
        <v/>
      </c>
      <c r="L81" s="6">
        <f>Summary!L81*0.2</f>
        <v/>
      </c>
      <c r="M81" s="6">
        <f>Summary!M81*0.2</f>
        <v/>
      </c>
      <c r="N81" s="6">
        <f>Summary!N81*0.2</f>
        <v/>
      </c>
      <c r="O81" s="6">
        <f>Summary!O81*0.2</f>
        <v/>
      </c>
      <c r="P81" s="6">
        <f>Summary!P81*0.2</f>
        <v/>
      </c>
      <c r="Q81" s="6">
        <f>Summary!Q81*0.2</f>
        <v/>
      </c>
      <c r="R81" s="6">
        <f>Summary!R81*0.2</f>
        <v/>
      </c>
      <c r="S81" s="6">
        <f>Summary!S81*0.2</f>
        <v/>
      </c>
      <c r="T81" s="6">
        <f>Summary!T81*0.2</f>
        <v/>
      </c>
      <c r="U81" s="6">
        <f>Summary!U81*0.2</f>
        <v/>
      </c>
      <c r="V81" s="6">
        <f>Summary!V81*0.2</f>
        <v/>
      </c>
      <c r="W81" s="6">
        <f>Summary!W81*0.2</f>
        <v/>
      </c>
      <c r="X81" s="6">
        <f>Summary!X81*0.2</f>
        <v/>
      </c>
      <c r="Y81" s="6">
        <f>Summary!Y81*0.2</f>
        <v/>
      </c>
      <c r="Z81" s="6">
        <f>Summary!Z81*0.2</f>
        <v/>
      </c>
      <c r="AA81" s="6">
        <f>Summary!AA81*0.2</f>
        <v/>
      </c>
      <c r="AB81" s="6">
        <f>SUM(D81:AA81)</f>
        <v/>
      </c>
      <c r="AC81" s="3" t="inlineStr"/>
      <c r="AD81" s="7">
        <f>E81*0.0019178667+D81*0.0003835733</f>
        <v/>
      </c>
      <c r="AE81" s="7">
        <f>F81*0.0019178667+E81*0.0003835733</f>
        <v/>
      </c>
      <c r="AF81" s="7">
        <f>G81*0.0019178667+F81*0.0003835733</f>
        <v/>
      </c>
      <c r="AG81" s="7">
        <f>H81*0.0019178667+G81*0.0003835733</f>
        <v/>
      </c>
      <c r="AH81" s="7">
        <f>I81*0.0019178667+H81*0.0003835733</f>
        <v/>
      </c>
      <c r="AI81" s="7">
        <f>J81*0.0019178667+I81*0.0003835733</f>
        <v/>
      </c>
      <c r="AJ81" s="7">
        <f>K81*0.0019178667+J81*0.0003835733</f>
        <v/>
      </c>
      <c r="AK81" s="7">
        <f>L81*0.0019178667+K81*0.0003835733</f>
        <v/>
      </c>
      <c r="AL81" s="7">
        <f>M81*0.0019178667+L81*0.0003835733</f>
        <v/>
      </c>
      <c r="AM81" s="7">
        <f>N81*0.0019178667+M81*0.0003835733</f>
        <v/>
      </c>
      <c r="AN81" s="7">
        <f>O81*0.0019178667+N81*0.0003835733</f>
        <v/>
      </c>
      <c r="AO81" s="7">
        <f>P81*0.0019178667+O81*0.0003835733</f>
        <v/>
      </c>
      <c r="AP81" s="7">
        <f>Q81*0.0019178667+P81*0.0003835733</f>
        <v/>
      </c>
      <c r="AQ81" s="7">
        <f>R81*0.0019178667+Q81*0.0003835733</f>
        <v/>
      </c>
      <c r="AR81" s="7">
        <f>S81*0.0019178667+R81*0.0003835733</f>
        <v/>
      </c>
      <c r="AS81" s="7">
        <f>T81*0.0019178667+S81*0.0003835733</f>
        <v/>
      </c>
      <c r="AT81" s="7">
        <f>U81*0.0019178667+T81*0.0003835733</f>
        <v/>
      </c>
      <c r="AU81" s="7">
        <f>V81*0.0019178667+U81*0.0003835733</f>
        <v/>
      </c>
      <c r="AV81" s="7">
        <f>W81*0.0019178667+V81*0.0003835733</f>
        <v/>
      </c>
      <c r="AW81" s="7">
        <f>X81*0.0019178667+W81*0.0003835733</f>
        <v/>
      </c>
      <c r="AX81" s="7">
        <f>Y81*0.0019178667+X81*0.0003835733</f>
        <v/>
      </c>
      <c r="AY81" s="7">
        <f>Z81*0.0019178667+Y81*0.0003835733</f>
        <v/>
      </c>
      <c r="AZ81" s="7">
        <f>AA81*0.0019178667+Z81*0.0003835733</f>
        <v/>
      </c>
      <c r="BA81" s="7">
        <f>D81*0.0019178667+AA81*0.0003835733</f>
        <v/>
      </c>
      <c r="BB81" s="7">
        <f>SUM(AD81:BA81)</f>
        <v/>
      </c>
    </row>
    <row r="82">
      <c r="A82" t="inlineStr">
        <is>
          <t>AMD-M2</t>
        </is>
      </c>
      <c r="B82" t="inlineStr">
        <is>
          <t>Forward Regular OSC</t>
        </is>
      </c>
      <c r="C82" s="5" t="n">
        <v>46095</v>
      </c>
      <c r="D82" s="6">
        <f>Summary!D82*0.2</f>
        <v/>
      </c>
      <c r="E82" s="6">
        <f>Summary!E82*0.2</f>
        <v/>
      </c>
      <c r="F82" s="6">
        <f>Summary!F82*0.2</f>
        <v/>
      </c>
      <c r="G82" s="6">
        <f>Summary!G82*0.2</f>
        <v/>
      </c>
      <c r="H82" s="6">
        <f>Summary!H82*0.2</f>
        <v/>
      </c>
      <c r="I82" s="6">
        <f>Summary!I82*0.2</f>
        <v/>
      </c>
      <c r="J82" s="6">
        <f>Summary!J82*0.2</f>
        <v/>
      </c>
      <c r="K82" s="6">
        <f>Summary!K82*0.2</f>
        <v/>
      </c>
      <c r="L82" s="6">
        <f>Summary!L82*0.2</f>
        <v/>
      </c>
      <c r="M82" s="6">
        <f>Summary!M82*0.2</f>
        <v/>
      </c>
      <c r="N82" s="6">
        <f>Summary!N82*0.2</f>
        <v/>
      </c>
      <c r="O82" s="6">
        <f>Summary!O82*0.2</f>
        <v/>
      </c>
      <c r="P82" s="6">
        <f>Summary!P82*0.2</f>
        <v/>
      </c>
      <c r="Q82" s="6">
        <f>Summary!Q82*0.2</f>
        <v/>
      </c>
      <c r="R82" s="6">
        <f>Summary!R82*0.2</f>
        <v/>
      </c>
      <c r="S82" s="6">
        <f>Summary!S82*0.2</f>
        <v/>
      </c>
      <c r="T82" s="6">
        <f>Summary!T82*0.2</f>
        <v/>
      </c>
      <c r="U82" s="6">
        <f>Summary!U82*0.2</f>
        <v/>
      </c>
      <c r="V82" s="6">
        <f>Summary!V82*0.2</f>
        <v/>
      </c>
      <c r="W82" s="6">
        <f>Summary!W82*0.2</f>
        <v/>
      </c>
      <c r="X82" s="6">
        <f>Summary!X82*0.2</f>
        <v/>
      </c>
      <c r="Y82" s="6">
        <f>Summary!Y82*0.2</f>
        <v/>
      </c>
      <c r="Z82" s="6">
        <f>Summary!Z82*0.2</f>
        <v/>
      </c>
      <c r="AA82" s="6">
        <f>Summary!AA82*0.2</f>
        <v/>
      </c>
      <c r="AB82" s="6">
        <f>SUM(D82:AA82)</f>
        <v/>
      </c>
      <c r="AC82" s="3" t="inlineStr"/>
      <c r="AD82" s="7">
        <f>E82*0.0019178667+D82*0.0003835733</f>
        <v/>
      </c>
      <c r="AE82" s="7">
        <f>F82*0.0019178667+E82*0.0003835733</f>
        <v/>
      </c>
      <c r="AF82" s="7">
        <f>G82*0.0019178667+F82*0.0003835733</f>
        <v/>
      </c>
      <c r="AG82" s="7">
        <f>H82*0.0019178667+G82*0.0003835733</f>
        <v/>
      </c>
      <c r="AH82" s="7">
        <f>I82*0.0019178667+H82*0.0003835733</f>
        <v/>
      </c>
      <c r="AI82" s="7">
        <f>J82*0.0019178667+I82*0.0003835733</f>
        <v/>
      </c>
      <c r="AJ82" s="7">
        <f>K82*0.0019178667+J82*0.0003835733</f>
        <v/>
      </c>
      <c r="AK82" s="7">
        <f>L82*0.0019178667+K82*0.0003835733</f>
        <v/>
      </c>
      <c r="AL82" s="7">
        <f>M82*0.0019178667+L82*0.0003835733</f>
        <v/>
      </c>
      <c r="AM82" s="7">
        <f>N82*0.0019178667+M82*0.0003835733</f>
        <v/>
      </c>
      <c r="AN82" s="7">
        <f>O82*0.0019178667+N82*0.0003835733</f>
        <v/>
      </c>
      <c r="AO82" s="7">
        <f>P82*0.0019178667+O82*0.0003835733</f>
        <v/>
      </c>
      <c r="AP82" s="7">
        <f>Q82*0.0019178667+P82*0.0003835733</f>
        <v/>
      </c>
      <c r="AQ82" s="7">
        <f>R82*0.0019178667+Q82*0.0003835733</f>
        <v/>
      </c>
      <c r="AR82" s="7">
        <f>S82*0.0019178667+R82*0.0003835733</f>
        <v/>
      </c>
      <c r="AS82" s="7">
        <f>T82*0.0019178667+S82*0.0003835733</f>
        <v/>
      </c>
      <c r="AT82" s="7">
        <f>U82*0.0019178667+T82*0.0003835733</f>
        <v/>
      </c>
      <c r="AU82" s="7">
        <f>V82*0.0019178667+U82*0.0003835733</f>
        <v/>
      </c>
      <c r="AV82" s="7">
        <f>W82*0.0019178667+V82*0.0003835733</f>
        <v/>
      </c>
      <c r="AW82" s="7">
        <f>X82*0.0019178667+W82*0.0003835733</f>
        <v/>
      </c>
      <c r="AX82" s="7">
        <f>Y82*0.0019178667+X82*0.0003835733</f>
        <v/>
      </c>
      <c r="AY82" s="7">
        <f>Z82*0.0019178667+Y82*0.0003835733</f>
        <v/>
      </c>
      <c r="AZ82" s="7">
        <f>AA82*0.0019178667+Z82*0.0003835733</f>
        <v/>
      </c>
      <c r="BA82" s="7">
        <f>D82*0.0019178667+AA82*0.0003835733</f>
        <v/>
      </c>
      <c r="BB82" s="7">
        <f>SUM(AD82:BA82)</f>
        <v/>
      </c>
    </row>
    <row r="83">
      <c r="A83" t="inlineStr">
        <is>
          <t>AMD-M2</t>
        </is>
      </c>
      <c r="B83" t="inlineStr">
        <is>
          <t>Forward Regular OSC</t>
        </is>
      </c>
      <c r="C83" s="5" t="n">
        <v>46096</v>
      </c>
      <c r="D83" s="6">
        <f>Summary!D83*0.2</f>
        <v/>
      </c>
      <c r="E83" s="6">
        <f>Summary!E83*0.2</f>
        <v/>
      </c>
      <c r="F83" s="6">
        <f>Summary!F83*0.2</f>
        <v/>
      </c>
      <c r="G83" s="6">
        <f>Summary!G83*0.2</f>
        <v/>
      </c>
      <c r="H83" s="6">
        <f>Summary!H83*0.2</f>
        <v/>
      </c>
      <c r="I83" s="6">
        <f>Summary!I83*0.2</f>
        <v/>
      </c>
      <c r="J83" s="6">
        <f>Summary!J83*0.2</f>
        <v/>
      </c>
      <c r="K83" s="6">
        <f>Summary!K83*0.2</f>
        <v/>
      </c>
      <c r="L83" s="6">
        <f>Summary!L83*0.2</f>
        <v/>
      </c>
      <c r="M83" s="6">
        <f>Summary!M83*0.2</f>
        <v/>
      </c>
      <c r="N83" s="6">
        <f>Summary!N83*0.2</f>
        <v/>
      </c>
      <c r="O83" s="6">
        <f>Summary!O83*0.2</f>
        <v/>
      </c>
      <c r="P83" s="6">
        <f>Summary!P83*0.2</f>
        <v/>
      </c>
      <c r="Q83" s="6">
        <f>Summary!Q83*0.2</f>
        <v/>
      </c>
      <c r="R83" s="6">
        <f>Summary!R83*0.2</f>
        <v/>
      </c>
      <c r="S83" s="6">
        <f>Summary!S83*0.2</f>
        <v/>
      </c>
      <c r="T83" s="6">
        <f>Summary!T83*0.2</f>
        <v/>
      </c>
      <c r="U83" s="6">
        <f>Summary!U83*0.2</f>
        <v/>
      </c>
      <c r="V83" s="6">
        <f>Summary!V83*0.2</f>
        <v/>
      </c>
      <c r="W83" s="6">
        <f>Summary!W83*0.2</f>
        <v/>
      </c>
      <c r="X83" s="6">
        <f>Summary!X83*0.2</f>
        <v/>
      </c>
      <c r="Y83" s="6">
        <f>Summary!Y83*0.2</f>
        <v/>
      </c>
      <c r="Z83" s="6">
        <f>Summary!Z83*0.2</f>
        <v/>
      </c>
      <c r="AA83" s="6">
        <f>Summary!AA83*0.2</f>
        <v/>
      </c>
      <c r="AB83" s="6">
        <f>SUM(D83:AA83)</f>
        <v/>
      </c>
      <c r="AC83" s="3" t="inlineStr"/>
      <c r="AD83" s="7">
        <f>E83*0.0019178667+D83*0.0003835733</f>
        <v/>
      </c>
      <c r="AE83" s="7">
        <f>F83*0.0019178667+E83*0.0003835733</f>
        <v/>
      </c>
      <c r="AF83" s="7">
        <f>G83*0.0019178667+F83*0.0003835733</f>
        <v/>
      </c>
      <c r="AG83" s="7">
        <f>H83*0.0019178667+G83*0.0003835733</f>
        <v/>
      </c>
      <c r="AH83" s="7">
        <f>I83*0.0019178667+H83*0.0003835733</f>
        <v/>
      </c>
      <c r="AI83" s="7">
        <f>J83*0.0019178667+I83*0.0003835733</f>
        <v/>
      </c>
      <c r="AJ83" s="7">
        <f>K83*0.0019178667+J83*0.0003835733</f>
        <v/>
      </c>
      <c r="AK83" s="7">
        <f>L83*0.0019178667+K83*0.0003835733</f>
        <v/>
      </c>
      <c r="AL83" s="7">
        <f>M83*0.0019178667+L83*0.0003835733</f>
        <v/>
      </c>
      <c r="AM83" s="7">
        <f>N83*0.0019178667+M83*0.0003835733</f>
        <v/>
      </c>
      <c r="AN83" s="7">
        <f>O83*0.0019178667+N83*0.0003835733</f>
        <v/>
      </c>
      <c r="AO83" s="7">
        <f>P83*0.0019178667+O83*0.0003835733</f>
        <v/>
      </c>
      <c r="AP83" s="7">
        <f>Q83*0.0019178667+P83*0.0003835733</f>
        <v/>
      </c>
      <c r="AQ83" s="7">
        <f>R83*0.0019178667+Q83*0.0003835733</f>
        <v/>
      </c>
      <c r="AR83" s="7">
        <f>S83*0.0019178667+R83*0.0003835733</f>
        <v/>
      </c>
      <c r="AS83" s="7">
        <f>T83*0.0019178667+S83*0.0003835733</f>
        <v/>
      </c>
      <c r="AT83" s="7">
        <f>U83*0.0019178667+T83*0.0003835733</f>
        <v/>
      </c>
      <c r="AU83" s="7">
        <f>V83*0.0019178667+U83*0.0003835733</f>
        <v/>
      </c>
      <c r="AV83" s="7">
        <f>W83*0.0019178667+V83*0.0003835733</f>
        <v/>
      </c>
      <c r="AW83" s="7">
        <f>X83*0.0019178667+W83*0.0003835733</f>
        <v/>
      </c>
      <c r="AX83" s="7">
        <f>Y83*0.0019178667+X83*0.0003835733</f>
        <v/>
      </c>
      <c r="AY83" s="7">
        <f>Z83*0.0019178667+Y83*0.0003835733</f>
        <v/>
      </c>
      <c r="AZ83" s="7">
        <f>AA83*0.0019178667+Z83*0.0003835733</f>
        <v/>
      </c>
      <c r="BA83" s="7">
        <f>D83*0.0019178667+AA83*0.0003835733</f>
        <v/>
      </c>
      <c r="BB83" s="7">
        <f>SUM(AD83:BA83)</f>
        <v/>
      </c>
    </row>
    <row r="84">
      <c r="A84" t="inlineStr">
        <is>
          <t>AMD-M2</t>
        </is>
      </c>
      <c r="B84" t="inlineStr">
        <is>
          <t>Forward Regular OSC</t>
        </is>
      </c>
      <c r="C84" s="5" t="n">
        <v>46097</v>
      </c>
      <c r="D84" s="6">
        <f>Summary!D84*0.2</f>
        <v/>
      </c>
      <c r="E84" s="6">
        <f>Summary!E84*0.2</f>
        <v/>
      </c>
      <c r="F84" s="6">
        <f>Summary!F84*0.2</f>
        <v/>
      </c>
      <c r="G84" s="6">
        <f>Summary!G84*0.2</f>
        <v/>
      </c>
      <c r="H84" s="6">
        <f>Summary!H84*0.2</f>
        <v/>
      </c>
      <c r="I84" s="6">
        <f>Summary!I84*0.2</f>
        <v/>
      </c>
      <c r="J84" s="6">
        <f>Summary!J84*0.2</f>
        <v/>
      </c>
      <c r="K84" s="6">
        <f>Summary!K84*0.2</f>
        <v/>
      </c>
      <c r="L84" s="6">
        <f>Summary!L84*0.2</f>
        <v/>
      </c>
      <c r="M84" s="6">
        <f>Summary!M84*0.2</f>
        <v/>
      </c>
      <c r="N84" s="6">
        <f>Summary!N84*0.2</f>
        <v/>
      </c>
      <c r="O84" s="6">
        <f>Summary!O84*0.2</f>
        <v/>
      </c>
      <c r="P84" s="6">
        <f>Summary!P84*0.2</f>
        <v/>
      </c>
      <c r="Q84" s="6">
        <f>Summary!Q84*0.2</f>
        <v/>
      </c>
      <c r="R84" s="6">
        <f>Summary!R84*0.2</f>
        <v/>
      </c>
      <c r="S84" s="6">
        <f>Summary!S84*0.2</f>
        <v/>
      </c>
      <c r="T84" s="6">
        <f>Summary!T84*0.2</f>
        <v/>
      </c>
      <c r="U84" s="6">
        <f>Summary!U84*0.2</f>
        <v/>
      </c>
      <c r="V84" s="6">
        <f>Summary!V84*0.2</f>
        <v/>
      </c>
      <c r="W84" s="6">
        <f>Summary!W84*0.2</f>
        <v/>
      </c>
      <c r="X84" s="6">
        <f>Summary!X84*0.2</f>
        <v/>
      </c>
      <c r="Y84" s="6">
        <f>Summary!Y84*0.2</f>
        <v/>
      </c>
      <c r="Z84" s="6">
        <f>Summary!Z84*0.2</f>
        <v/>
      </c>
      <c r="AA84" s="6">
        <f>Summary!AA84*0.2</f>
        <v/>
      </c>
      <c r="AB84" s="6">
        <f>SUM(D84:AA84)</f>
        <v/>
      </c>
      <c r="AC84" s="3" t="inlineStr"/>
      <c r="AD84" s="7">
        <f>E84*0.0019178667+D84*0.0003835733</f>
        <v/>
      </c>
      <c r="AE84" s="7">
        <f>F84*0.0019178667+E84*0.0003835733</f>
        <v/>
      </c>
      <c r="AF84" s="7">
        <f>G84*0.0019178667+F84*0.0003835733</f>
        <v/>
      </c>
      <c r="AG84" s="7">
        <f>H84*0.0019178667+G84*0.0003835733</f>
        <v/>
      </c>
      <c r="AH84" s="7">
        <f>I84*0.0019178667+H84*0.0003835733</f>
        <v/>
      </c>
      <c r="AI84" s="7">
        <f>J84*0.0019178667+I84*0.0003835733</f>
        <v/>
      </c>
      <c r="AJ84" s="7">
        <f>K84*0.0019178667+J84*0.0003835733</f>
        <v/>
      </c>
      <c r="AK84" s="7">
        <f>L84*0.0019178667+K84*0.0003835733</f>
        <v/>
      </c>
      <c r="AL84" s="7">
        <f>M84*0.0019178667+L84*0.0003835733</f>
        <v/>
      </c>
      <c r="AM84" s="7">
        <f>N84*0.0019178667+M84*0.0003835733</f>
        <v/>
      </c>
      <c r="AN84" s="7">
        <f>O84*0.0019178667+N84*0.0003835733</f>
        <v/>
      </c>
      <c r="AO84" s="7">
        <f>P84*0.0019178667+O84*0.0003835733</f>
        <v/>
      </c>
      <c r="AP84" s="7">
        <f>Q84*0.0019178667+P84*0.0003835733</f>
        <v/>
      </c>
      <c r="AQ84" s="7">
        <f>R84*0.0019178667+Q84*0.0003835733</f>
        <v/>
      </c>
      <c r="AR84" s="7">
        <f>S84*0.0019178667+R84*0.0003835733</f>
        <v/>
      </c>
      <c r="AS84" s="7">
        <f>T84*0.0019178667+S84*0.0003835733</f>
        <v/>
      </c>
      <c r="AT84" s="7">
        <f>U84*0.0019178667+T84*0.0003835733</f>
        <v/>
      </c>
      <c r="AU84" s="7">
        <f>V84*0.0019178667+U84*0.0003835733</f>
        <v/>
      </c>
      <c r="AV84" s="7">
        <f>W84*0.0019178667+V84*0.0003835733</f>
        <v/>
      </c>
      <c r="AW84" s="7">
        <f>X84*0.0019178667+W84*0.0003835733</f>
        <v/>
      </c>
      <c r="AX84" s="7">
        <f>Y84*0.0019178667+X84*0.0003835733</f>
        <v/>
      </c>
      <c r="AY84" s="7">
        <f>Z84*0.0019178667+Y84*0.0003835733</f>
        <v/>
      </c>
      <c r="AZ84" s="7">
        <f>AA84*0.0019178667+Z84*0.0003835733</f>
        <v/>
      </c>
      <c r="BA84" s="7">
        <f>D84*0.0019178667+AA84*0.0003835733</f>
        <v/>
      </c>
      <c r="BB84" s="7">
        <f>SUM(AD84:BA84)</f>
        <v/>
      </c>
    </row>
    <row r="85">
      <c r="A85" t="inlineStr">
        <is>
          <t>AMD-MU-01</t>
        </is>
      </c>
      <c r="B85" t="inlineStr">
        <is>
          <t>Forward Regular OSC</t>
        </is>
      </c>
      <c r="C85" s="5" t="n">
        <v>46091</v>
      </c>
      <c r="D85" s="6">
        <f>Summary!D85*0.2</f>
        <v/>
      </c>
      <c r="E85" s="6">
        <f>Summary!E85*0.2</f>
        <v/>
      </c>
      <c r="F85" s="6">
        <f>Summary!F85*0.2</f>
        <v/>
      </c>
      <c r="G85" s="6">
        <f>Summary!G85*0.2</f>
        <v/>
      </c>
      <c r="H85" s="6">
        <f>Summary!H85*0.2</f>
        <v/>
      </c>
      <c r="I85" s="6">
        <f>Summary!I85*0.2</f>
        <v/>
      </c>
      <c r="J85" s="6">
        <f>Summary!J85*0.2</f>
        <v/>
      </c>
      <c r="K85" s="6">
        <f>Summary!K85*0.2</f>
        <v/>
      </c>
      <c r="L85" s="6">
        <f>Summary!L85*0.2</f>
        <v/>
      </c>
      <c r="M85" s="6">
        <f>Summary!M85*0.2</f>
        <v/>
      </c>
      <c r="N85" s="6">
        <f>Summary!N85*0.2</f>
        <v/>
      </c>
      <c r="O85" s="6">
        <f>Summary!O85*0.2</f>
        <v/>
      </c>
      <c r="P85" s="6">
        <f>Summary!P85*0.2</f>
        <v/>
      </c>
      <c r="Q85" s="6">
        <f>Summary!Q85*0.2</f>
        <v/>
      </c>
      <c r="R85" s="6">
        <f>Summary!R85*0.2</f>
        <v/>
      </c>
      <c r="S85" s="6">
        <f>Summary!S85*0.2</f>
        <v/>
      </c>
      <c r="T85" s="6">
        <f>Summary!T85*0.2</f>
        <v/>
      </c>
      <c r="U85" s="6">
        <f>Summary!U85*0.2</f>
        <v/>
      </c>
      <c r="V85" s="6">
        <f>Summary!V85*0.2</f>
        <v/>
      </c>
      <c r="W85" s="6">
        <f>Summary!W85*0.2</f>
        <v/>
      </c>
      <c r="X85" s="6">
        <f>Summary!X85*0.2</f>
        <v/>
      </c>
      <c r="Y85" s="6">
        <f>Summary!Y85*0.2</f>
        <v/>
      </c>
      <c r="Z85" s="6">
        <f>Summary!Z85*0.2</f>
        <v/>
      </c>
      <c r="AA85" s="6">
        <f>Summary!AA85*0.2</f>
        <v/>
      </c>
      <c r="AB85" s="6">
        <f>SUM(D85:AA85)</f>
        <v/>
      </c>
      <c r="AC85" s="3" t="inlineStr"/>
      <c r="AD85" s="7">
        <f>E85*0.0019178667+D85*0.0003835733</f>
        <v/>
      </c>
      <c r="AE85" s="7">
        <f>F85*0.0019178667+E85*0.0003835733</f>
        <v/>
      </c>
      <c r="AF85" s="7">
        <f>G85*0.0019178667+F85*0.0003835733</f>
        <v/>
      </c>
      <c r="AG85" s="7">
        <f>H85*0.0019178667+G85*0.0003835733</f>
        <v/>
      </c>
      <c r="AH85" s="7">
        <f>I85*0.0019178667+H85*0.0003835733</f>
        <v/>
      </c>
      <c r="AI85" s="7">
        <f>J85*0.0019178667+I85*0.0003835733</f>
        <v/>
      </c>
      <c r="AJ85" s="7">
        <f>K85*0.0019178667+J85*0.0003835733</f>
        <v/>
      </c>
      <c r="AK85" s="7">
        <f>L85*0.0019178667+K85*0.0003835733</f>
        <v/>
      </c>
      <c r="AL85" s="7">
        <f>M85*0.0019178667+L85*0.0003835733</f>
        <v/>
      </c>
      <c r="AM85" s="7">
        <f>N85*0.0019178667+M85*0.0003835733</f>
        <v/>
      </c>
      <c r="AN85" s="7">
        <f>O85*0.0019178667+N85*0.0003835733</f>
        <v/>
      </c>
      <c r="AO85" s="7">
        <f>P85*0.0019178667+O85*0.0003835733</f>
        <v/>
      </c>
      <c r="AP85" s="7">
        <f>Q85*0.0019178667+P85*0.0003835733</f>
        <v/>
      </c>
      <c r="AQ85" s="7">
        <f>R85*0.0019178667+Q85*0.0003835733</f>
        <v/>
      </c>
      <c r="AR85" s="7">
        <f>S85*0.0019178667+R85*0.0003835733</f>
        <v/>
      </c>
      <c r="AS85" s="7">
        <f>T85*0.0019178667+S85*0.0003835733</f>
        <v/>
      </c>
      <c r="AT85" s="7">
        <f>U85*0.0019178667+T85*0.0003835733</f>
        <v/>
      </c>
      <c r="AU85" s="7">
        <f>V85*0.0019178667+U85*0.0003835733</f>
        <v/>
      </c>
      <c r="AV85" s="7">
        <f>W85*0.0019178667+V85*0.0003835733</f>
        <v/>
      </c>
      <c r="AW85" s="7">
        <f>X85*0.0019178667+W85*0.0003835733</f>
        <v/>
      </c>
      <c r="AX85" s="7">
        <f>Y85*0.0019178667+X85*0.0003835733</f>
        <v/>
      </c>
      <c r="AY85" s="7">
        <f>Z85*0.0019178667+Y85*0.0003835733</f>
        <v/>
      </c>
      <c r="AZ85" s="7">
        <f>AA85*0.0019178667+Z85*0.0003835733</f>
        <v/>
      </c>
      <c r="BA85" s="7">
        <f>D85*0.0019178667+AA85*0.0003835733</f>
        <v/>
      </c>
      <c r="BB85" s="7">
        <f>SUM(AD85:BA85)</f>
        <v/>
      </c>
    </row>
    <row r="86">
      <c r="A86" t="inlineStr">
        <is>
          <t>AMD-RTS-RCLS-1302-SSC</t>
        </is>
      </c>
      <c r="B86" t="inlineStr">
        <is>
          <t>Rev OSC</t>
        </is>
      </c>
      <c r="C86" s="5" t="n">
        <v>46089</v>
      </c>
      <c r="D86" s="6" t="n">
        <v>0</v>
      </c>
      <c r="E86" s="6" t="n">
        <v>0</v>
      </c>
      <c r="F86" s="6" t="n">
        <v>0</v>
      </c>
      <c r="G86" s="6" t="n">
        <v>0</v>
      </c>
      <c r="H86" s="6" t="n">
        <v>0</v>
      </c>
      <c r="I86" s="6" t="n">
        <v>0</v>
      </c>
      <c r="J86" s="6" t="n">
        <v>0</v>
      </c>
      <c r="K86" s="6" t="n">
        <v>0</v>
      </c>
      <c r="L86" s="6" t="n">
        <v>0</v>
      </c>
      <c r="M86" s="6" t="n">
        <v>0</v>
      </c>
      <c r="N86" s="6" t="n">
        <v>0</v>
      </c>
      <c r="O86" s="6" t="n">
        <v>0</v>
      </c>
      <c r="P86" s="6" t="n">
        <v>0</v>
      </c>
      <c r="Q86" s="6" t="n">
        <v>0</v>
      </c>
      <c r="R86" s="6" t="n">
        <v>0</v>
      </c>
      <c r="S86" s="6" t="n">
        <v>0</v>
      </c>
      <c r="T86" s="6" t="n">
        <v>0</v>
      </c>
      <c r="U86" s="6" t="n">
        <v>0</v>
      </c>
      <c r="V86" s="6" t="n">
        <v>0</v>
      </c>
      <c r="W86" s="6" t="n">
        <v>0</v>
      </c>
      <c r="X86" s="6" t="n">
        <v>0</v>
      </c>
      <c r="Y86" s="6" t="n">
        <v>0</v>
      </c>
      <c r="Z86" s="6" t="n">
        <v>0</v>
      </c>
      <c r="AA86" s="6" t="n">
        <v>0</v>
      </c>
      <c r="AB86" s="6">
        <f>SUM(D86:AA86)</f>
        <v/>
      </c>
      <c r="AC86" s="3" t="inlineStr"/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7" t="n">
        <v>0</v>
      </c>
      <c r="BB86" s="7">
        <f>SUM(AD86:BA86)</f>
        <v/>
      </c>
    </row>
    <row r="87">
      <c r="A87" t="inlineStr">
        <is>
          <t>AMD-RTS-RCLS-1302-SSC</t>
        </is>
      </c>
      <c r="B87" t="inlineStr">
        <is>
          <t>Rev OSC</t>
        </is>
      </c>
      <c r="C87" s="5" t="n">
        <v>46090</v>
      </c>
      <c r="D87" s="6" t="n">
        <v>0</v>
      </c>
      <c r="E87" s="6" t="n">
        <v>0</v>
      </c>
      <c r="F87" s="6" t="n">
        <v>0</v>
      </c>
      <c r="G87" s="6" t="n">
        <v>0</v>
      </c>
      <c r="H87" s="6" t="n">
        <v>0</v>
      </c>
      <c r="I87" s="6" t="n">
        <v>0</v>
      </c>
      <c r="J87" s="6" t="n">
        <v>0</v>
      </c>
      <c r="K87" s="6" t="n">
        <v>0</v>
      </c>
      <c r="L87" s="6" t="n">
        <v>0</v>
      </c>
      <c r="M87" s="6" t="n">
        <v>0</v>
      </c>
      <c r="N87" s="6" t="n">
        <v>0</v>
      </c>
      <c r="O87" s="6" t="n">
        <v>0</v>
      </c>
      <c r="P87" s="6" t="n">
        <v>0</v>
      </c>
      <c r="Q87" s="6" t="n">
        <v>0</v>
      </c>
      <c r="R87" s="6" t="n">
        <v>0</v>
      </c>
      <c r="S87" s="6" t="n">
        <v>0</v>
      </c>
      <c r="T87" s="6" t="n">
        <v>0</v>
      </c>
      <c r="U87" s="6" t="n">
        <v>0</v>
      </c>
      <c r="V87" s="6" t="n">
        <v>0</v>
      </c>
      <c r="W87" s="6" t="n">
        <v>0</v>
      </c>
      <c r="X87" s="6" t="n">
        <v>0</v>
      </c>
      <c r="Y87" s="6" t="n">
        <v>0</v>
      </c>
      <c r="Z87" s="6" t="n">
        <v>0</v>
      </c>
      <c r="AA87" s="6" t="n">
        <v>0</v>
      </c>
      <c r="AB87" s="6">
        <f>SUM(D87:AA87)</f>
        <v/>
      </c>
      <c r="AC87" s="3" t="inlineStr"/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0</v>
      </c>
      <c r="BA87" s="7" t="n">
        <v>0</v>
      </c>
      <c r="BB87" s="7">
        <f>SUM(AD87:BA87)</f>
        <v/>
      </c>
    </row>
    <row r="88">
      <c r="A88" t="inlineStr">
        <is>
          <t>AMD-RTS-RCLS-1302-SSC</t>
        </is>
      </c>
      <c r="B88" t="inlineStr">
        <is>
          <t>Rev OSC</t>
        </is>
      </c>
      <c r="C88" s="5" t="n">
        <v>46092</v>
      </c>
      <c r="D88" s="6" t="n">
        <v>0</v>
      </c>
      <c r="E88" s="6" t="n">
        <v>0</v>
      </c>
      <c r="F88" s="6" t="n">
        <v>0</v>
      </c>
      <c r="G88" s="6" t="n">
        <v>0</v>
      </c>
      <c r="H88" s="6" t="n">
        <v>0</v>
      </c>
      <c r="I88" s="6" t="n">
        <v>0</v>
      </c>
      <c r="J88" s="6" t="n">
        <v>0</v>
      </c>
      <c r="K88" s="6" t="n">
        <v>0</v>
      </c>
      <c r="L88" s="6" t="n">
        <v>0</v>
      </c>
      <c r="M88" s="6" t="n">
        <v>0</v>
      </c>
      <c r="N88" s="6" t="n">
        <v>0</v>
      </c>
      <c r="O88" s="6" t="n">
        <v>0</v>
      </c>
      <c r="P88" s="6" t="n">
        <v>0</v>
      </c>
      <c r="Q88" s="6" t="n">
        <v>0</v>
      </c>
      <c r="R88" s="6" t="n">
        <v>0</v>
      </c>
      <c r="S88" s="6" t="n">
        <v>0</v>
      </c>
      <c r="T88" s="6" t="n">
        <v>0</v>
      </c>
      <c r="U88" s="6" t="n">
        <v>0</v>
      </c>
      <c r="V88" s="6" t="n">
        <v>0</v>
      </c>
      <c r="W88" s="6" t="n">
        <v>0</v>
      </c>
      <c r="X88" s="6" t="n">
        <v>0</v>
      </c>
      <c r="Y88" s="6" t="n">
        <v>0</v>
      </c>
      <c r="Z88" s="6" t="n">
        <v>0</v>
      </c>
      <c r="AA88" s="6" t="n">
        <v>0</v>
      </c>
      <c r="AB88" s="6">
        <f>SUM(D88:AA88)</f>
        <v/>
      </c>
      <c r="AC88" s="3" t="inlineStr"/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7" t="n">
        <v>0</v>
      </c>
      <c r="BB88" s="7">
        <f>SUM(AD88:BA88)</f>
        <v/>
      </c>
    </row>
    <row r="89">
      <c r="A89" t="inlineStr">
        <is>
          <t>AMD-RTS-RCLS-1302-SSC</t>
        </is>
      </c>
      <c r="B89" t="inlineStr">
        <is>
          <t>Rev OSC</t>
        </is>
      </c>
      <c r="C89" s="5" t="n">
        <v>46093</v>
      </c>
      <c r="D89" s="6" t="n">
        <v>0</v>
      </c>
      <c r="E89" s="6" t="n">
        <v>0</v>
      </c>
      <c r="F89" s="6" t="n">
        <v>0</v>
      </c>
      <c r="G89" s="6" t="n">
        <v>0</v>
      </c>
      <c r="H89" s="6" t="n">
        <v>0</v>
      </c>
      <c r="I89" s="6" t="n">
        <v>0</v>
      </c>
      <c r="J89" s="6" t="n">
        <v>0</v>
      </c>
      <c r="K89" s="6" t="n">
        <v>0</v>
      </c>
      <c r="L89" s="6" t="n">
        <v>0</v>
      </c>
      <c r="M89" s="6" t="n">
        <v>0</v>
      </c>
      <c r="N89" s="6" t="n">
        <v>0</v>
      </c>
      <c r="O89" s="6" t="n">
        <v>0</v>
      </c>
      <c r="P89" s="6" t="n">
        <v>0</v>
      </c>
      <c r="Q89" s="6" t="n">
        <v>0</v>
      </c>
      <c r="R89" s="6" t="n">
        <v>0</v>
      </c>
      <c r="S89" s="6" t="n">
        <v>0</v>
      </c>
      <c r="T89" s="6" t="n">
        <v>0</v>
      </c>
      <c r="U89" s="6" t="n">
        <v>0</v>
      </c>
      <c r="V89" s="6" t="n">
        <v>0</v>
      </c>
      <c r="W89" s="6" t="n">
        <v>0</v>
      </c>
      <c r="X89" s="6" t="n">
        <v>0</v>
      </c>
      <c r="Y89" s="6" t="n">
        <v>0</v>
      </c>
      <c r="Z89" s="6" t="n">
        <v>0</v>
      </c>
      <c r="AA89" s="6" t="n">
        <v>0</v>
      </c>
      <c r="AB89" s="6">
        <f>SUM(D89:AA89)</f>
        <v/>
      </c>
      <c r="AC89" s="3" t="inlineStr"/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0</v>
      </c>
      <c r="BA89" s="7" t="n">
        <v>0</v>
      </c>
      <c r="BB89" s="7">
        <f>SUM(AD89:BA89)</f>
        <v/>
      </c>
    </row>
    <row r="90">
      <c r="A90" t="inlineStr">
        <is>
          <t>AMD-RTS-RCLS-1302-SSC</t>
        </is>
      </c>
      <c r="B90" t="inlineStr">
        <is>
          <t>Rev OSC</t>
        </is>
      </c>
      <c r="C90" s="5" t="n">
        <v>46094</v>
      </c>
      <c r="D90" s="6" t="n">
        <v>0</v>
      </c>
      <c r="E90" s="6" t="n">
        <v>0</v>
      </c>
      <c r="F90" s="6" t="n">
        <v>0</v>
      </c>
      <c r="G90" s="6" t="n">
        <v>0</v>
      </c>
      <c r="H90" s="6" t="n">
        <v>0</v>
      </c>
      <c r="I90" s="6" t="n">
        <v>0</v>
      </c>
      <c r="J90" s="6" t="n">
        <v>0</v>
      </c>
      <c r="K90" s="6" t="n">
        <v>0</v>
      </c>
      <c r="L90" s="6" t="n">
        <v>0</v>
      </c>
      <c r="M90" s="6" t="n">
        <v>0</v>
      </c>
      <c r="N90" s="6" t="n">
        <v>0</v>
      </c>
      <c r="O90" s="6" t="n">
        <v>0</v>
      </c>
      <c r="P90" s="6" t="n">
        <v>0</v>
      </c>
      <c r="Q90" s="6" t="n">
        <v>0</v>
      </c>
      <c r="R90" s="6" t="n">
        <v>0</v>
      </c>
      <c r="S90" s="6" t="n">
        <v>0</v>
      </c>
      <c r="T90" s="6" t="n">
        <v>0</v>
      </c>
      <c r="U90" s="6" t="n">
        <v>0</v>
      </c>
      <c r="V90" s="6" t="n">
        <v>0</v>
      </c>
      <c r="W90" s="6" t="n">
        <v>0</v>
      </c>
      <c r="X90" s="6" t="n">
        <v>0</v>
      </c>
      <c r="Y90" s="6" t="n">
        <v>0</v>
      </c>
      <c r="Z90" s="6" t="n">
        <v>0</v>
      </c>
      <c r="AA90" s="6" t="n">
        <v>0</v>
      </c>
      <c r="AB90" s="6">
        <f>SUM(D90:AA90)</f>
        <v/>
      </c>
      <c r="AC90" s="3" t="inlineStr"/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7" t="n">
        <v>0</v>
      </c>
      <c r="BB90" s="7">
        <f>SUM(AD90:BA90)</f>
        <v/>
      </c>
    </row>
    <row r="91">
      <c r="A91" t="inlineStr">
        <is>
          <t>AMD-RTS-RCLS-1302-SSC</t>
        </is>
      </c>
      <c r="B91" t="inlineStr">
        <is>
          <t>Rev OSC</t>
        </is>
      </c>
      <c r="C91" s="5" t="n">
        <v>46095</v>
      </c>
      <c r="D91" s="6" t="n">
        <v>0</v>
      </c>
      <c r="E91" s="6" t="n">
        <v>0</v>
      </c>
      <c r="F91" s="6" t="n">
        <v>0</v>
      </c>
      <c r="G91" s="6" t="n">
        <v>0</v>
      </c>
      <c r="H91" s="6" t="n">
        <v>0</v>
      </c>
      <c r="I91" s="6" t="n">
        <v>0</v>
      </c>
      <c r="J91" s="6" t="n">
        <v>0</v>
      </c>
      <c r="K91" s="6" t="n">
        <v>0</v>
      </c>
      <c r="L91" s="6" t="n">
        <v>0</v>
      </c>
      <c r="M91" s="6" t="n">
        <v>0</v>
      </c>
      <c r="N91" s="6" t="n">
        <v>0</v>
      </c>
      <c r="O91" s="6" t="n">
        <v>0</v>
      </c>
      <c r="P91" s="6" t="n">
        <v>0</v>
      </c>
      <c r="Q91" s="6" t="n">
        <v>0</v>
      </c>
      <c r="R91" s="6" t="n">
        <v>0</v>
      </c>
      <c r="S91" s="6" t="n">
        <v>0</v>
      </c>
      <c r="T91" s="6" t="n">
        <v>0</v>
      </c>
      <c r="U91" s="6" t="n">
        <v>0</v>
      </c>
      <c r="V91" s="6" t="n">
        <v>0</v>
      </c>
      <c r="W91" s="6" t="n">
        <v>0</v>
      </c>
      <c r="X91" s="6" t="n">
        <v>0</v>
      </c>
      <c r="Y91" s="6" t="n">
        <v>0</v>
      </c>
      <c r="Z91" s="6" t="n">
        <v>0</v>
      </c>
      <c r="AA91" s="6" t="n">
        <v>0</v>
      </c>
      <c r="AB91" s="6">
        <f>SUM(D91:AA91)</f>
        <v/>
      </c>
      <c r="AC91" s="3" t="inlineStr"/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0</v>
      </c>
      <c r="BA91" s="7" t="n">
        <v>0</v>
      </c>
      <c r="BB91" s="7">
        <f>SUM(AD91:BA91)</f>
        <v/>
      </c>
    </row>
    <row r="92">
      <c r="A92" t="inlineStr">
        <is>
          <t>AMD-RTS-RCLS-1302-SSC</t>
        </is>
      </c>
      <c r="B92" t="inlineStr">
        <is>
          <t>Rev OSC</t>
        </is>
      </c>
      <c r="C92" s="5" t="n">
        <v>46096</v>
      </c>
      <c r="D92" s="6" t="n">
        <v>0</v>
      </c>
      <c r="E92" s="6" t="n">
        <v>0</v>
      </c>
      <c r="F92" s="6" t="n">
        <v>0</v>
      </c>
      <c r="G92" s="6" t="n">
        <v>0</v>
      </c>
      <c r="H92" s="6" t="n">
        <v>0</v>
      </c>
      <c r="I92" s="6" t="n">
        <v>0</v>
      </c>
      <c r="J92" s="6" t="n">
        <v>0</v>
      </c>
      <c r="K92" s="6" t="n">
        <v>0</v>
      </c>
      <c r="L92" s="6" t="n">
        <v>0</v>
      </c>
      <c r="M92" s="6" t="n">
        <v>0</v>
      </c>
      <c r="N92" s="6" t="n">
        <v>0</v>
      </c>
      <c r="O92" s="6" t="n">
        <v>0</v>
      </c>
      <c r="P92" s="6" t="n">
        <v>0</v>
      </c>
      <c r="Q92" s="6" t="n">
        <v>0</v>
      </c>
      <c r="R92" s="6" t="n">
        <v>0</v>
      </c>
      <c r="S92" s="6" t="n">
        <v>0</v>
      </c>
      <c r="T92" s="6" t="n">
        <v>0</v>
      </c>
      <c r="U92" s="6" t="n">
        <v>0</v>
      </c>
      <c r="V92" s="6" t="n">
        <v>0</v>
      </c>
      <c r="W92" s="6" t="n">
        <v>0</v>
      </c>
      <c r="X92" s="6" t="n">
        <v>0</v>
      </c>
      <c r="Y92" s="6" t="n">
        <v>0</v>
      </c>
      <c r="Z92" s="6" t="n">
        <v>0</v>
      </c>
      <c r="AA92" s="6" t="n">
        <v>0</v>
      </c>
      <c r="AB92" s="6">
        <f>SUM(D92:AA92)</f>
        <v/>
      </c>
      <c r="AC92" s="3" t="inlineStr"/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7" t="n">
        <v>0</v>
      </c>
      <c r="BB92" s="7">
        <f>SUM(AD92:BA92)</f>
        <v/>
      </c>
    </row>
    <row r="93">
      <c r="A93" t="inlineStr">
        <is>
          <t>AMD-RTS-RCLS-1302-SSC</t>
        </is>
      </c>
      <c r="B93" t="inlineStr">
        <is>
          <t>Rev OSC</t>
        </is>
      </c>
      <c r="C93" s="5" t="n">
        <v>46097</v>
      </c>
      <c r="D93" s="6" t="n">
        <v>0</v>
      </c>
      <c r="E93" s="6" t="n">
        <v>0</v>
      </c>
      <c r="F93" s="6" t="n">
        <v>0</v>
      </c>
      <c r="G93" s="6" t="n">
        <v>0</v>
      </c>
      <c r="H93" s="6" t="n">
        <v>0</v>
      </c>
      <c r="I93" s="6" t="n">
        <v>0</v>
      </c>
      <c r="J93" s="6" t="n">
        <v>0</v>
      </c>
      <c r="K93" s="6" t="n">
        <v>0</v>
      </c>
      <c r="L93" s="6" t="n">
        <v>0</v>
      </c>
      <c r="M93" s="6" t="n">
        <v>0</v>
      </c>
      <c r="N93" s="6" t="n">
        <v>0</v>
      </c>
      <c r="O93" s="6" t="n">
        <v>0</v>
      </c>
      <c r="P93" s="6" t="n">
        <v>0</v>
      </c>
      <c r="Q93" s="6" t="n">
        <v>0</v>
      </c>
      <c r="R93" s="6" t="n">
        <v>0</v>
      </c>
      <c r="S93" s="6" t="n">
        <v>0</v>
      </c>
      <c r="T93" s="6" t="n">
        <v>0</v>
      </c>
      <c r="U93" s="6" t="n">
        <v>0</v>
      </c>
      <c r="V93" s="6" t="n">
        <v>0</v>
      </c>
      <c r="W93" s="6" t="n">
        <v>0</v>
      </c>
      <c r="X93" s="6" t="n">
        <v>0</v>
      </c>
      <c r="Y93" s="6" t="n">
        <v>0</v>
      </c>
      <c r="Z93" s="6" t="n">
        <v>0</v>
      </c>
      <c r="AA93" s="6" t="n">
        <v>0</v>
      </c>
      <c r="AB93" s="6">
        <f>SUM(D93:AA93)</f>
        <v/>
      </c>
      <c r="AC93" s="3" t="inlineStr"/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0</v>
      </c>
      <c r="BA93" s="7" t="n">
        <v>0</v>
      </c>
      <c r="BB93" s="7">
        <f>SUM(AD93:BA93)</f>
        <v/>
      </c>
    </row>
    <row r="94">
      <c r="A94" t="inlineStr">
        <is>
          <t>AMD-RTS-RCLS-1302-SSC</t>
        </is>
      </c>
      <c r="B94" t="inlineStr">
        <is>
          <t>Rev OSC</t>
        </is>
      </c>
      <c r="C94" s="5" t="n">
        <v>46100</v>
      </c>
      <c r="D94" s="6" t="n">
        <v>0</v>
      </c>
      <c r="E94" s="6" t="n">
        <v>0</v>
      </c>
      <c r="F94" s="6" t="n">
        <v>0</v>
      </c>
      <c r="G94" s="6" t="n">
        <v>0</v>
      </c>
      <c r="H94" s="6" t="n">
        <v>0</v>
      </c>
      <c r="I94" s="6" t="n">
        <v>0</v>
      </c>
      <c r="J94" s="6" t="n">
        <v>0</v>
      </c>
      <c r="K94" s="6" t="n">
        <v>0</v>
      </c>
      <c r="L94" s="6" t="n">
        <v>0</v>
      </c>
      <c r="M94" s="6" t="n">
        <v>0</v>
      </c>
      <c r="N94" s="6" t="n">
        <v>0</v>
      </c>
      <c r="O94" s="6" t="n">
        <v>0</v>
      </c>
      <c r="P94" s="6" t="n">
        <v>0</v>
      </c>
      <c r="Q94" s="6" t="n">
        <v>0</v>
      </c>
      <c r="R94" s="6" t="n">
        <v>0</v>
      </c>
      <c r="S94" s="6" t="n">
        <v>0</v>
      </c>
      <c r="T94" s="6" t="n">
        <v>0</v>
      </c>
      <c r="U94" s="6" t="n">
        <v>0</v>
      </c>
      <c r="V94" s="6" t="n">
        <v>0</v>
      </c>
      <c r="W94" s="6" t="n">
        <v>0</v>
      </c>
      <c r="X94" s="6" t="n">
        <v>0</v>
      </c>
      <c r="Y94" s="6" t="n">
        <v>0</v>
      </c>
      <c r="Z94" s="6" t="n">
        <v>0</v>
      </c>
      <c r="AA94" s="6" t="n">
        <v>0</v>
      </c>
      <c r="AB94" s="6">
        <f>SUM(D94:AA94)</f>
        <v/>
      </c>
      <c r="AC94" s="3" t="inlineStr"/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7" t="n">
        <v>0</v>
      </c>
      <c r="BB94" s="7">
        <f>SUM(AD94:BA94)</f>
        <v/>
      </c>
    </row>
    <row r="95">
      <c r="A95" t="inlineStr">
        <is>
          <t>AMD-RTS-RCLS-1302-SSC</t>
        </is>
      </c>
      <c r="B95" t="inlineStr">
        <is>
          <t>Rev OSC</t>
        </is>
      </c>
      <c r="C95" s="5" t="n">
        <v>46102</v>
      </c>
      <c r="D95" s="6" t="n">
        <v>0</v>
      </c>
      <c r="E95" s="6" t="n">
        <v>0</v>
      </c>
      <c r="F95" s="6" t="n">
        <v>0</v>
      </c>
      <c r="G95" s="6" t="n">
        <v>0</v>
      </c>
      <c r="H95" s="6" t="n">
        <v>0</v>
      </c>
      <c r="I95" s="6" t="n">
        <v>0</v>
      </c>
      <c r="J95" s="6" t="n">
        <v>0</v>
      </c>
      <c r="K95" s="6" t="n">
        <v>0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0</v>
      </c>
      <c r="Q95" s="6" t="n">
        <v>0</v>
      </c>
      <c r="R95" s="6" t="n">
        <v>0</v>
      </c>
      <c r="S95" s="6" t="n">
        <v>0</v>
      </c>
      <c r="T95" s="6" t="n">
        <v>0</v>
      </c>
      <c r="U95" s="6" t="n">
        <v>0</v>
      </c>
      <c r="V95" s="6" t="n">
        <v>0</v>
      </c>
      <c r="W95" s="6" t="n">
        <v>0</v>
      </c>
      <c r="X95" s="6" t="n">
        <v>0</v>
      </c>
      <c r="Y95" s="6" t="n">
        <v>0</v>
      </c>
      <c r="Z95" s="6" t="n">
        <v>0</v>
      </c>
      <c r="AA95" s="6" t="n">
        <v>0</v>
      </c>
      <c r="AB95" s="6">
        <f>SUM(D95:AA95)</f>
        <v/>
      </c>
      <c r="AC95" s="3" t="inlineStr"/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7" t="n">
        <v>0</v>
      </c>
      <c r="BB95" s="7">
        <f>SUM(AD95:BA95)</f>
        <v/>
      </c>
    </row>
    <row r="96">
      <c r="A96" t="inlineStr">
        <is>
          <t>AMD-RTS-RCLS-1302-SSC</t>
        </is>
      </c>
      <c r="B96" t="inlineStr">
        <is>
          <t>Rev OSC</t>
        </is>
      </c>
      <c r="C96" s="5" t="n">
        <v>46103</v>
      </c>
      <c r="D96" s="6" t="n">
        <v>0</v>
      </c>
      <c r="E96" s="6" t="n">
        <v>0</v>
      </c>
      <c r="F96" s="6" t="n">
        <v>0</v>
      </c>
      <c r="G96" s="6" t="n">
        <v>0</v>
      </c>
      <c r="H96" s="6" t="n">
        <v>0</v>
      </c>
      <c r="I96" s="6" t="n">
        <v>0</v>
      </c>
      <c r="J96" s="6" t="n">
        <v>0</v>
      </c>
      <c r="K96" s="6" t="n">
        <v>0</v>
      </c>
      <c r="L96" s="6" t="n">
        <v>0</v>
      </c>
      <c r="M96" s="6" t="n">
        <v>0</v>
      </c>
      <c r="N96" s="6" t="n">
        <v>0</v>
      </c>
      <c r="O96" s="6" t="n">
        <v>0</v>
      </c>
      <c r="P96" s="6" t="n">
        <v>0</v>
      </c>
      <c r="Q96" s="6" t="n">
        <v>0</v>
      </c>
      <c r="R96" s="6" t="n">
        <v>0</v>
      </c>
      <c r="S96" s="6" t="n">
        <v>0</v>
      </c>
      <c r="T96" s="6" t="n">
        <v>0</v>
      </c>
      <c r="U96" s="6" t="n">
        <v>0</v>
      </c>
      <c r="V96" s="6" t="n">
        <v>0</v>
      </c>
      <c r="W96" s="6" t="n">
        <v>0</v>
      </c>
      <c r="X96" s="6" t="n">
        <v>0</v>
      </c>
      <c r="Y96" s="6" t="n">
        <v>0</v>
      </c>
      <c r="Z96" s="6" t="n">
        <v>0</v>
      </c>
      <c r="AA96" s="6" t="n">
        <v>0</v>
      </c>
      <c r="AB96" s="6">
        <f>SUM(D96:AA96)</f>
        <v/>
      </c>
      <c r="AC96" s="3" t="inlineStr"/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7" t="n">
        <v>0</v>
      </c>
      <c r="BB96" s="7">
        <f>SUM(AD96:BA96)</f>
        <v/>
      </c>
    </row>
    <row r="97">
      <c r="A97" t="inlineStr">
        <is>
          <t>AMD-RTS-RCLS-1302-SSC</t>
        </is>
      </c>
      <c r="B97" t="inlineStr">
        <is>
          <t>Rev OSC</t>
        </is>
      </c>
      <c r="C97" s="5" t="n">
        <v>46104</v>
      </c>
      <c r="D97" s="6" t="n">
        <v>0</v>
      </c>
      <c r="E97" s="6" t="n">
        <v>0</v>
      </c>
      <c r="F97" s="6" t="n">
        <v>0</v>
      </c>
      <c r="G97" s="6" t="n">
        <v>0</v>
      </c>
      <c r="H97" s="6" t="n">
        <v>0</v>
      </c>
      <c r="I97" s="6" t="n">
        <v>0</v>
      </c>
      <c r="J97" s="6" t="n">
        <v>0</v>
      </c>
      <c r="K97" s="6" t="n">
        <v>0</v>
      </c>
      <c r="L97" s="6" t="n">
        <v>0</v>
      </c>
      <c r="M97" s="6" t="n">
        <v>0</v>
      </c>
      <c r="N97" s="6" t="n">
        <v>0</v>
      </c>
      <c r="O97" s="6" t="n">
        <v>0</v>
      </c>
      <c r="P97" s="6" t="n">
        <v>0</v>
      </c>
      <c r="Q97" s="6" t="n">
        <v>0</v>
      </c>
      <c r="R97" s="6" t="n">
        <v>0</v>
      </c>
      <c r="S97" s="6" t="n">
        <v>0</v>
      </c>
      <c r="T97" s="6" t="n">
        <v>0</v>
      </c>
      <c r="U97" s="6" t="n">
        <v>0</v>
      </c>
      <c r="V97" s="6" t="n">
        <v>0</v>
      </c>
      <c r="W97" s="6" t="n">
        <v>0</v>
      </c>
      <c r="X97" s="6" t="n">
        <v>0</v>
      </c>
      <c r="Y97" s="6" t="n">
        <v>0</v>
      </c>
      <c r="Z97" s="6" t="n">
        <v>0</v>
      </c>
      <c r="AA97" s="6" t="n">
        <v>0</v>
      </c>
      <c r="AB97" s="6">
        <f>SUM(D97:AA97)</f>
        <v/>
      </c>
      <c r="AC97" s="3" t="inlineStr"/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0</v>
      </c>
      <c r="BA97" s="7" t="n">
        <v>0</v>
      </c>
      <c r="BB97" s="7">
        <f>SUM(AD97:BA97)</f>
        <v/>
      </c>
    </row>
    <row r="98">
      <c r="A98" t="inlineStr">
        <is>
          <t>AMD-RTS-RCLS-1302-SSC</t>
        </is>
      </c>
      <c r="B98" t="inlineStr">
        <is>
          <t>Rev OSC</t>
        </is>
      </c>
      <c r="C98" s="5" t="n">
        <v>46105</v>
      </c>
      <c r="D98" s="6" t="n">
        <v>0</v>
      </c>
      <c r="E98" s="6" t="n">
        <v>0</v>
      </c>
      <c r="F98" s="6" t="n">
        <v>0</v>
      </c>
      <c r="G98" s="6" t="n">
        <v>0</v>
      </c>
      <c r="H98" s="6" t="n">
        <v>0</v>
      </c>
      <c r="I98" s="6" t="n">
        <v>0</v>
      </c>
      <c r="J98" s="6" t="n">
        <v>0</v>
      </c>
      <c r="K98" s="6" t="n">
        <v>0</v>
      </c>
      <c r="L98" s="6" t="n">
        <v>0</v>
      </c>
      <c r="M98" s="6" t="n">
        <v>0</v>
      </c>
      <c r="N98" s="6" t="n">
        <v>0</v>
      </c>
      <c r="O98" s="6" t="n">
        <v>0</v>
      </c>
      <c r="P98" s="6" t="n">
        <v>0</v>
      </c>
      <c r="Q98" s="6" t="n">
        <v>0</v>
      </c>
      <c r="R98" s="6" t="n">
        <v>0</v>
      </c>
      <c r="S98" s="6" t="n">
        <v>0</v>
      </c>
      <c r="T98" s="6" t="n">
        <v>0</v>
      </c>
      <c r="U98" s="6" t="n">
        <v>0</v>
      </c>
      <c r="V98" s="6" t="n">
        <v>0</v>
      </c>
      <c r="W98" s="6" t="n">
        <v>0</v>
      </c>
      <c r="X98" s="6" t="n">
        <v>0</v>
      </c>
      <c r="Y98" s="6" t="n">
        <v>0</v>
      </c>
      <c r="Z98" s="6" t="n">
        <v>0</v>
      </c>
      <c r="AA98" s="6" t="n">
        <v>0</v>
      </c>
      <c r="AB98" s="6">
        <f>SUM(D98:AA98)</f>
        <v/>
      </c>
      <c r="AC98" s="3" t="inlineStr"/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7" t="n">
        <v>0</v>
      </c>
      <c r="BB98" s="7">
        <f>SUM(AD98:BA98)</f>
        <v/>
      </c>
    </row>
    <row r="99">
      <c r="A99" t="inlineStr">
        <is>
          <t>AMD-RTS-RCLS-1302-SSC_1</t>
        </is>
      </c>
      <c r="B99" t="inlineStr">
        <is>
          <t>Rev OSC</t>
        </is>
      </c>
      <c r="C99" s="5" t="n">
        <v>46090</v>
      </c>
      <c r="D99" s="6" t="n">
        <v>0</v>
      </c>
      <c r="E99" s="6" t="n">
        <v>0</v>
      </c>
      <c r="F99" s="6" t="n">
        <v>0</v>
      </c>
      <c r="G99" s="6" t="n">
        <v>0</v>
      </c>
      <c r="H99" s="6" t="n">
        <v>0</v>
      </c>
      <c r="I99" s="6" t="n">
        <v>0</v>
      </c>
      <c r="J99" s="6" t="n">
        <v>0</v>
      </c>
      <c r="K99" s="6" t="n">
        <v>0</v>
      </c>
      <c r="L99" s="6" t="n">
        <v>0</v>
      </c>
      <c r="M99" s="6" t="n">
        <v>0</v>
      </c>
      <c r="N99" s="6" t="n">
        <v>0</v>
      </c>
      <c r="O99" s="6" t="n">
        <v>0</v>
      </c>
      <c r="P99" s="6" t="n">
        <v>0</v>
      </c>
      <c r="Q99" s="6" t="n">
        <v>0</v>
      </c>
      <c r="R99" s="6" t="n">
        <v>0</v>
      </c>
      <c r="S99" s="6" t="n">
        <v>0</v>
      </c>
      <c r="T99" s="6" t="n">
        <v>0</v>
      </c>
      <c r="U99" s="6" t="n">
        <v>0</v>
      </c>
      <c r="V99" s="6" t="n">
        <v>0</v>
      </c>
      <c r="W99" s="6" t="n">
        <v>0</v>
      </c>
      <c r="X99" s="6" t="n">
        <v>0</v>
      </c>
      <c r="Y99" s="6" t="n">
        <v>0</v>
      </c>
      <c r="Z99" s="6" t="n">
        <v>0</v>
      </c>
      <c r="AA99" s="6" t="n">
        <v>0</v>
      </c>
      <c r="AB99" s="6">
        <f>SUM(D99:AA99)</f>
        <v/>
      </c>
      <c r="AC99" s="3" t="inlineStr"/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7" t="n">
        <v>0</v>
      </c>
      <c r="BB99" s="7">
        <f>SUM(AD99:BA99)</f>
        <v/>
      </c>
    </row>
    <row r="100">
      <c r="A100" t="inlineStr">
        <is>
          <t>AMD-RTS-RCLS-1302-SSC_1</t>
        </is>
      </c>
      <c r="B100" t="inlineStr">
        <is>
          <t>Rev OSC</t>
        </is>
      </c>
      <c r="C100" s="5" t="n">
        <v>46093</v>
      </c>
      <c r="D100" s="6" t="n">
        <v>0</v>
      </c>
      <c r="E100" s="6" t="n">
        <v>0</v>
      </c>
      <c r="F100" s="6" t="n">
        <v>0</v>
      </c>
      <c r="G100" s="6" t="n">
        <v>0</v>
      </c>
      <c r="H100" s="6" t="n">
        <v>0</v>
      </c>
      <c r="I100" s="6" t="n">
        <v>0</v>
      </c>
      <c r="J100" s="6" t="n">
        <v>0</v>
      </c>
      <c r="K100" s="6" t="n">
        <v>0</v>
      </c>
      <c r="L100" s="6" t="n">
        <v>0</v>
      </c>
      <c r="M100" s="6" t="n">
        <v>0</v>
      </c>
      <c r="N100" s="6" t="n">
        <v>0</v>
      </c>
      <c r="O100" s="6" t="n">
        <v>0</v>
      </c>
      <c r="P100" s="6" t="n">
        <v>0</v>
      </c>
      <c r="Q100" s="6" t="n">
        <v>0</v>
      </c>
      <c r="R100" s="6" t="n">
        <v>0</v>
      </c>
      <c r="S100" s="6" t="n">
        <v>0</v>
      </c>
      <c r="T100" s="6" t="n">
        <v>0</v>
      </c>
      <c r="U100" s="6" t="n">
        <v>0</v>
      </c>
      <c r="V100" s="6" t="n">
        <v>0</v>
      </c>
      <c r="W100" s="6" t="n">
        <v>0</v>
      </c>
      <c r="X100" s="6" t="n">
        <v>0</v>
      </c>
      <c r="Y100" s="6" t="n">
        <v>0</v>
      </c>
      <c r="Z100" s="6" t="n">
        <v>0</v>
      </c>
      <c r="AA100" s="6" t="n">
        <v>0</v>
      </c>
      <c r="AB100" s="6">
        <f>SUM(D100:AA100)</f>
        <v/>
      </c>
      <c r="AC100" s="3" t="inlineStr"/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7" t="n">
        <v>0</v>
      </c>
      <c r="BB100" s="7">
        <f>SUM(AD100:BA100)</f>
        <v/>
      </c>
    </row>
    <row r="101">
      <c r="A101" t="inlineStr">
        <is>
          <t>AMD-RTS-RCLS-1302-SSC_1</t>
        </is>
      </c>
      <c r="B101" t="inlineStr">
        <is>
          <t>Rev OSC</t>
        </is>
      </c>
      <c r="C101" s="5" t="n">
        <v>46094</v>
      </c>
      <c r="D101" s="6" t="n">
        <v>0</v>
      </c>
      <c r="E101" s="6" t="n">
        <v>0</v>
      </c>
      <c r="F101" s="6" t="n">
        <v>0</v>
      </c>
      <c r="G101" s="6" t="n">
        <v>0</v>
      </c>
      <c r="H101" s="6" t="n">
        <v>0</v>
      </c>
      <c r="I101" s="6" t="n">
        <v>0</v>
      </c>
      <c r="J101" s="6" t="n">
        <v>0</v>
      </c>
      <c r="K101" s="6" t="n">
        <v>0</v>
      </c>
      <c r="L101" s="6" t="n">
        <v>0</v>
      </c>
      <c r="M101" s="6" t="n">
        <v>0</v>
      </c>
      <c r="N101" s="6" t="n">
        <v>0</v>
      </c>
      <c r="O101" s="6" t="n">
        <v>0</v>
      </c>
      <c r="P101" s="6" t="n">
        <v>0</v>
      </c>
      <c r="Q101" s="6" t="n">
        <v>0</v>
      </c>
      <c r="R101" s="6" t="n">
        <v>0</v>
      </c>
      <c r="S101" s="6" t="n">
        <v>0</v>
      </c>
      <c r="T101" s="6" t="n">
        <v>0</v>
      </c>
      <c r="U101" s="6" t="n">
        <v>0</v>
      </c>
      <c r="V101" s="6" t="n">
        <v>0</v>
      </c>
      <c r="W101" s="6" t="n">
        <v>0</v>
      </c>
      <c r="X101" s="6" t="n">
        <v>0</v>
      </c>
      <c r="Y101" s="6" t="n">
        <v>0</v>
      </c>
      <c r="Z101" s="6" t="n">
        <v>0</v>
      </c>
      <c r="AA101" s="6" t="n">
        <v>0</v>
      </c>
      <c r="AB101" s="6">
        <f>SUM(D101:AA101)</f>
        <v/>
      </c>
      <c r="AC101" s="3" t="inlineStr"/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7" t="n">
        <v>0</v>
      </c>
      <c r="BB101" s="7">
        <f>SUM(AD101:BA101)</f>
        <v/>
      </c>
    </row>
    <row r="102">
      <c r="A102" t="inlineStr">
        <is>
          <t>AMD-RTS-RCLS-1302-SSC_1</t>
        </is>
      </c>
      <c r="B102" t="inlineStr">
        <is>
          <t>Rev OSC</t>
        </is>
      </c>
      <c r="C102" s="5" t="n">
        <v>46095</v>
      </c>
      <c r="D102" s="6" t="n">
        <v>0</v>
      </c>
      <c r="E102" s="6" t="n">
        <v>0</v>
      </c>
      <c r="F102" s="6" t="n">
        <v>0</v>
      </c>
      <c r="G102" s="6" t="n">
        <v>0</v>
      </c>
      <c r="H102" s="6" t="n">
        <v>0</v>
      </c>
      <c r="I102" s="6" t="n">
        <v>0</v>
      </c>
      <c r="J102" s="6" t="n">
        <v>0</v>
      </c>
      <c r="K102" s="6" t="n">
        <v>0</v>
      </c>
      <c r="L102" s="6" t="n">
        <v>0</v>
      </c>
      <c r="M102" s="6" t="n">
        <v>0</v>
      </c>
      <c r="N102" s="6" t="n">
        <v>0</v>
      </c>
      <c r="O102" s="6" t="n">
        <v>0</v>
      </c>
      <c r="P102" s="6" t="n">
        <v>0</v>
      </c>
      <c r="Q102" s="6" t="n">
        <v>0</v>
      </c>
      <c r="R102" s="6" t="n">
        <v>0</v>
      </c>
      <c r="S102" s="6" t="n">
        <v>0</v>
      </c>
      <c r="T102" s="6" t="n">
        <v>0</v>
      </c>
      <c r="U102" s="6" t="n">
        <v>0</v>
      </c>
      <c r="V102" s="6" t="n">
        <v>0</v>
      </c>
      <c r="W102" s="6" t="n">
        <v>0</v>
      </c>
      <c r="X102" s="6" t="n">
        <v>0</v>
      </c>
      <c r="Y102" s="6" t="n">
        <v>0</v>
      </c>
      <c r="Z102" s="6" t="n">
        <v>0</v>
      </c>
      <c r="AA102" s="6" t="n">
        <v>0</v>
      </c>
      <c r="AB102" s="6">
        <f>SUM(D102:AA102)</f>
        <v/>
      </c>
      <c r="AC102" s="3" t="inlineStr"/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7" t="n">
        <v>0</v>
      </c>
      <c r="BB102" s="7">
        <f>SUM(AD102:BA102)</f>
        <v/>
      </c>
    </row>
    <row r="103">
      <c r="A103" t="inlineStr">
        <is>
          <t>AMD-RTS-RCLS-1302-SSC_1</t>
        </is>
      </c>
      <c r="B103" t="inlineStr">
        <is>
          <t>Rev OSC</t>
        </is>
      </c>
      <c r="C103" s="5" t="n">
        <v>46100</v>
      </c>
      <c r="D103" s="6" t="n">
        <v>0</v>
      </c>
      <c r="E103" s="6" t="n">
        <v>0</v>
      </c>
      <c r="F103" s="6" t="n">
        <v>0</v>
      </c>
      <c r="G103" s="6" t="n">
        <v>0</v>
      </c>
      <c r="H103" s="6" t="n">
        <v>0</v>
      </c>
      <c r="I103" s="6" t="n">
        <v>0</v>
      </c>
      <c r="J103" s="6" t="n">
        <v>0</v>
      </c>
      <c r="K103" s="6" t="n">
        <v>0</v>
      </c>
      <c r="L103" s="6" t="n">
        <v>0</v>
      </c>
      <c r="M103" s="6" t="n">
        <v>0</v>
      </c>
      <c r="N103" s="6" t="n">
        <v>0</v>
      </c>
      <c r="O103" s="6" t="n">
        <v>0</v>
      </c>
      <c r="P103" s="6" t="n">
        <v>0</v>
      </c>
      <c r="Q103" s="6" t="n">
        <v>0</v>
      </c>
      <c r="R103" s="6" t="n">
        <v>0</v>
      </c>
      <c r="S103" s="6" t="n">
        <v>0</v>
      </c>
      <c r="T103" s="6" t="n">
        <v>0</v>
      </c>
      <c r="U103" s="6" t="n">
        <v>0</v>
      </c>
      <c r="V103" s="6" t="n">
        <v>0</v>
      </c>
      <c r="W103" s="6" t="n">
        <v>0</v>
      </c>
      <c r="X103" s="6" t="n">
        <v>0</v>
      </c>
      <c r="Y103" s="6" t="n">
        <v>0</v>
      </c>
      <c r="Z103" s="6" t="n">
        <v>0</v>
      </c>
      <c r="AA103" s="6" t="n">
        <v>0</v>
      </c>
      <c r="AB103" s="6">
        <f>SUM(D103:AA103)</f>
        <v/>
      </c>
      <c r="AC103" s="3" t="inlineStr"/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7" t="n">
        <v>0</v>
      </c>
      <c r="BB103" s="7">
        <f>SUM(AD103:BA103)</f>
        <v/>
      </c>
    </row>
    <row r="104">
      <c r="A104" t="inlineStr">
        <is>
          <t>AMD-RTS-RCLS-1302-SSC_1</t>
        </is>
      </c>
      <c r="B104" t="inlineStr">
        <is>
          <t>Rev OSC</t>
        </is>
      </c>
      <c r="C104" s="5" t="n">
        <v>46102</v>
      </c>
      <c r="D104" s="6" t="n">
        <v>0</v>
      </c>
      <c r="E104" s="6" t="n">
        <v>0</v>
      </c>
      <c r="F104" s="6" t="n">
        <v>0</v>
      </c>
      <c r="G104" s="6" t="n">
        <v>0</v>
      </c>
      <c r="H104" s="6" t="n">
        <v>0</v>
      </c>
      <c r="I104" s="6" t="n">
        <v>0</v>
      </c>
      <c r="J104" s="6" t="n">
        <v>0</v>
      </c>
      <c r="K104" s="6" t="n">
        <v>0</v>
      </c>
      <c r="L104" s="6" t="n">
        <v>0</v>
      </c>
      <c r="M104" s="6" t="n">
        <v>0</v>
      </c>
      <c r="N104" s="6" t="n">
        <v>0</v>
      </c>
      <c r="O104" s="6" t="n">
        <v>0</v>
      </c>
      <c r="P104" s="6" t="n">
        <v>0</v>
      </c>
      <c r="Q104" s="6" t="n">
        <v>0</v>
      </c>
      <c r="R104" s="6" t="n">
        <v>0</v>
      </c>
      <c r="S104" s="6" t="n">
        <v>0</v>
      </c>
      <c r="T104" s="6" t="n">
        <v>0</v>
      </c>
      <c r="U104" s="6" t="n">
        <v>0</v>
      </c>
      <c r="V104" s="6" t="n">
        <v>0</v>
      </c>
      <c r="W104" s="6" t="n">
        <v>0</v>
      </c>
      <c r="X104" s="6" t="n">
        <v>0</v>
      </c>
      <c r="Y104" s="6" t="n">
        <v>0</v>
      </c>
      <c r="Z104" s="6" t="n">
        <v>0</v>
      </c>
      <c r="AA104" s="6" t="n">
        <v>0</v>
      </c>
      <c r="AB104" s="6">
        <f>SUM(D104:AA104)</f>
        <v/>
      </c>
      <c r="AC104" s="3" t="inlineStr"/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  <c r="BB104" s="7">
        <f>SUM(AD104:BA104)</f>
        <v/>
      </c>
    </row>
    <row r="105">
      <c r="A105" t="inlineStr">
        <is>
          <t>AMD-RTS-RCLS-1302-SSC_1</t>
        </is>
      </c>
      <c r="B105" t="inlineStr">
        <is>
          <t>Rev OSC</t>
        </is>
      </c>
      <c r="C105" s="5" t="n">
        <v>46103</v>
      </c>
      <c r="D105" s="6" t="n">
        <v>0</v>
      </c>
      <c r="E105" s="6" t="n">
        <v>0</v>
      </c>
      <c r="F105" s="6" t="n">
        <v>0</v>
      </c>
      <c r="G105" s="6" t="n">
        <v>0</v>
      </c>
      <c r="H105" s="6" t="n">
        <v>0</v>
      </c>
      <c r="I105" s="6" t="n">
        <v>0</v>
      </c>
      <c r="J105" s="6" t="n">
        <v>0</v>
      </c>
      <c r="K105" s="6" t="n">
        <v>0</v>
      </c>
      <c r="L105" s="6" t="n">
        <v>0</v>
      </c>
      <c r="M105" s="6" t="n">
        <v>0</v>
      </c>
      <c r="N105" s="6" t="n">
        <v>0</v>
      </c>
      <c r="O105" s="6" t="n">
        <v>0</v>
      </c>
      <c r="P105" s="6" t="n">
        <v>0</v>
      </c>
      <c r="Q105" s="6" t="n">
        <v>0</v>
      </c>
      <c r="R105" s="6" t="n">
        <v>0</v>
      </c>
      <c r="S105" s="6" t="n">
        <v>0</v>
      </c>
      <c r="T105" s="6" t="n">
        <v>0</v>
      </c>
      <c r="U105" s="6" t="n">
        <v>0</v>
      </c>
      <c r="V105" s="6" t="n">
        <v>0</v>
      </c>
      <c r="W105" s="6" t="n">
        <v>0</v>
      </c>
      <c r="X105" s="6" t="n">
        <v>0</v>
      </c>
      <c r="Y105" s="6" t="n">
        <v>0</v>
      </c>
      <c r="Z105" s="6" t="n">
        <v>0</v>
      </c>
      <c r="AA105" s="6" t="n">
        <v>0</v>
      </c>
      <c r="AB105" s="6">
        <f>SUM(D105:AA105)</f>
        <v/>
      </c>
      <c r="AC105" s="3" t="inlineStr"/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7" t="n">
        <v>0</v>
      </c>
      <c r="BB105" s="7">
        <f>SUM(AD105:BA105)</f>
        <v/>
      </c>
    </row>
    <row r="106">
      <c r="A106" t="inlineStr">
        <is>
          <t>AMD-RTS-RCLS-1302-SSC_1</t>
        </is>
      </c>
      <c r="B106" t="inlineStr">
        <is>
          <t>Rev OSC</t>
        </is>
      </c>
      <c r="C106" s="5" t="n">
        <v>46104</v>
      </c>
      <c r="D106" s="6" t="n">
        <v>0</v>
      </c>
      <c r="E106" s="6" t="n">
        <v>0</v>
      </c>
      <c r="F106" s="6" t="n">
        <v>0</v>
      </c>
      <c r="G106" s="6" t="n">
        <v>0</v>
      </c>
      <c r="H106" s="6" t="n">
        <v>0</v>
      </c>
      <c r="I106" s="6" t="n">
        <v>0</v>
      </c>
      <c r="J106" s="6" t="n">
        <v>0</v>
      </c>
      <c r="K106" s="6" t="n">
        <v>0</v>
      </c>
      <c r="L106" s="6" t="n">
        <v>0</v>
      </c>
      <c r="M106" s="6" t="n">
        <v>0</v>
      </c>
      <c r="N106" s="6" t="n">
        <v>0</v>
      </c>
      <c r="O106" s="6" t="n">
        <v>0</v>
      </c>
      <c r="P106" s="6" t="n">
        <v>0</v>
      </c>
      <c r="Q106" s="6" t="n">
        <v>0</v>
      </c>
      <c r="R106" s="6" t="n">
        <v>0</v>
      </c>
      <c r="S106" s="6" t="n">
        <v>0</v>
      </c>
      <c r="T106" s="6" t="n">
        <v>0</v>
      </c>
      <c r="U106" s="6" t="n">
        <v>0</v>
      </c>
      <c r="V106" s="6" t="n">
        <v>0</v>
      </c>
      <c r="W106" s="6" t="n">
        <v>0</v>
      </c>
      <c r="X106" s="6" t="n">
        <v>0</v>
      </c>
      <c r="Y106" s="6" t="n">
        <v>0</v>
      </c>
      <c r="Z106" s="6" t="n">
        <v>0</v>
      </c>
      <c r="AA106" s="6" t="n">
        <v>0</v>
      </c>
      <c r="AB106" s="6">
        <f>SUM(D106:AA106)</f>
        <v/>
      </c>
      <c r="AC106" s="3" t="inlineStr"/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7" t="n">
        <v>0</v>
      </c>
      <c r="BB106" s="7">
        <f>SUM(AD106:BA106)</f>
        <v/>
      </c>
    </row>
    <row r="107">
      <c r="A107" t="inlineStr">
        <is>
          <t>AMD-RTS-RCLS-1302-SSC_1</t>
        </is>
      </c>
      <c r="B107" t="inlineStr">
        <is>
          <t>Rev OSC</t>
        </is>
      </c>
      <c r="C107" s="5" t="n">
        <v>46105</v>
      </c>
      <c r="D107" s="6" t="n">
        <v>0</v>
      </c>
      <c r="E107" s="6" t="n">
        <v>0</v>
      </c>
      <c r="F107" s="6" t="n">
        <v>0</v>
      </c>
      <c r="G107" s="6" t="n">
        <v>0</v>
      </c>
      <c r="H107" s="6" t="n">
        <v>0</v>
      </c>
      <c r="I107" s="6" t="n">
        <v>0</v>
      </c>
      <c r="J107" s="6" t="n">
        <v>0</v>
      </c>
      <c r="K107" s="6" t="n">
        <v>0</v>
      </c>
      <c r="L107" s="6" t="n">
        <v>0</v>
      </c>
      <c r="M107" s="6" t="n">
        <v>0</v>
      </c>
      <c r="N107" s="6" t="n">
        <v>0</v>
      </c>
      <c r="O107" s="6" t="n">
        <v>0</v>
      </c>
      <c r="P107" s="6" t="n">
        <v>0</v>
      </c>
      <c r="Q107" s="6" t="n">
        <v>0</v>
      </c>
      <c r="R107" s="6" t="n">
        <v>0</v>
      </c>
      <c r="S107" s="6" t="n">
        <v>0</v>
      </c>
      <c r="T107" s="6" t="n">
        <v>0</v>
      </c>
      <c r="U107" s="6" t="n">
        <v>0</v>
      </c>
      <c r="V107" s="6" t="n">
        <v>0</v>
      </c>
      <c r="W107" s="6" t="n">
        <v>0</v>
      </c>
      <c r="X107" s="6" t="n">
        <v>0</v>
      </c>
      <c r="Y107" s="6" t="n">
        <v>0</v>
      </c>
      <c r="Z107" s="6" t="n">
        <v>0</v>
      </c>
      <c r="AA107" s="6" t="n">
        <v>0</v>
      </c>
      <c r="AB107" s="6">
        <f>SUM(D107:AA107)</f>
        <v/>
      </c>
      <c r="AC107" s="3" t="inlineStr"/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7" t="n">
        <v>0</v>
      </c>
      <c r="BB107" s="7">
        <f>SUM(AD107:BA107)</f>
        <v/>
      </c>
    </row>
    <row r="108">
      <c r="A108" t="inlineStr">
        <is>
          <t>AMD-RTS-RCLS-1302-SSC_2</t>
        </is>
      </c>
      <c r="B108" t="inlineStr">
        <is>
          <t>Rev OSC</t>
        </is>
      </c>
      <c r="C108" s="5" t="n">
        <v>46100</v>
      </c>
      <c r="D108" s="6" t="n">
        <v>0</v>
      </c>
      <c r="E108" s="6" t="n">
        <v>0</v>
      </c>
      <c r="F108" s="6" t="n">
        <v>0</v>
      </c>
      <c r="G108" s="6" t="n">
        <v>0</v>
      </c>
      <c r="H108" s="6" t="n">
        <v>0</v>
      </c>
      <c r="I108" s="6" t="n">
        <v>0</v>
      </c>
      <c r="J108" s="6" t="n">
        <v>0</v>
      </c>
      <c r="K108" s="6" t="n">
        <v>0</v>
      </c>
      <c r="L108" s="6" t="n">
        <v>0</v>
      </c>
      <c r="M108" s="6" t="n">
        <v>0</v>
      </c>
      <c r="N108" s="6" t="n">
        <v>0</v>
      </c>
      <c r="O108" s="6" t="n">
        <v>0</v>
      </c>
      <c r="P108" s="6" t="n">
        <v>0</v>
      </c>
      <c r="Q108" s="6" t="n">
        <v>0</v>
      </c>
      <c r="R108" s="6" t="n">
        <v>0</v>
      </c>
      <c r="S108" s="6" t="n">
        <v>0</v>
      </c>
      <c r="T108" s="6" t="n">
        <v>0</v>
      </c>
      <c r="U108" s="6" t="n">
        <v>0</v>
      </c>
      <c r="V108" s="6" t="n">
        <v>0</v>
      </c>
      <c r="W108" s="6" t="n">
        <v>0</v>
      </c>
      <c r="X108" s="6" t="n">
        <v>0</v>
      </c>
      <c r="Y108" s="6" t="n">
        <v>0</v>
      </c>
      <c r="Z108" s="6" t="n">
        <v>0</v>
      </c>
      <c r="AA108" s="6" t="n">
        <v>0</v>
      </c>
      <c r="AB108" s="6">
        <f>SUM(D108:AA108)</f>
        <v/>
      </c>
      <c r="AC108" s="3" t="inlineStr"/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7" t="n">
        <v>0</v>
      </c>
      <c r="BB108" s="7">
        <f>SUM(AD108:BA108)</f>
        <v/>
      </c>
    </row>
    <row r="109">
      <c r="A109" t="inlineStr">
        <is>
          <t>AMD-RTS-RCLS-1302-SSC_2</t>
        </is>
      </c>
      <c r="B109" t="inlineStr">
        <is>
          <t>Rev OSC</t>
        </is>
      </c>
      <c r="C109" s="5" t="n">
        <v>46102</v>
      </c>
      <c r="D109" s="6" t="n">
        <v>0</v>
      </c>
      <c r="E109" s="6" t="n">
        <v>0</v>
      </c>
      <c r="F109" s="6" t="n">
        <v>0</v>
      </c>
      <c r="G109" s="6" t="n">
        <v>0</v>
      </c>
      <c r="H109" s="6" t="n">
        <v>0</v>
      </c>
      <c r="I109" s="6" t="n">
        <v>0</v>
      </c>
      <c r="J109" s="6" t="n">
        <v>0</v>
      </c>
      <c r="K109" s="6" t="n">
        <v>0</v>
      </c>
      <c r="L109" s="6" t="n">
        <v>0</v>
      </c>
      <c r="M109" s="6" t="n">
        <v>0</v>
      </c>
      <c r="N109" s="6" t="n">
        <v>0</v>
      </c>
      <c r="O109" s="6" t="n">
        <v>0</v>
      </c>
      <c r="P109" s="6" t="n">
        <v>0</v>
      </c>
      <c r="Q109" s="6" t="n">
        <v>0</v>
      </c>
      <c r="R109" s="6" t="n">
        <v>0</v>
      </c>
      <c r="S109" s="6" t="n">
        <v>0</v>
      </c>
      <c r="T109" s="6" t="n">
        <v>0</v>
      </c>
      <c r="U109" s="6" t="n">
        <v>0</v>
      </c>
      <c r="V109" s="6" t="n">
        <v>0</v>
      </c>
      <c r="W109" s="6" t="n">
        <v>0</v>
      </c>
      <c r="X109" s="6" t="n">
        <v>0</v>
      </c>
      <c r="Y109" s="6" t="n">
        <v>0</v>
      </c>
      <c r="Z109" s="6" t="n">
        <v>0</v>
      </c>
      <c r="AA109" s="6" t="n">
        <v>0</v>
      </c>
      <c r="AB109" s="6">
        <f>SUM(D109:AA109)</f>
        <v/>
      </c>
      <c r="AC109" s="3" t="inlineStr"/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7" t="n">
        <v>0</v>
      </c>
      <c r="BB109" s="7">
        <f>SUM(AD109:BA109)</f>
        <v/>
      </c>
    </row>
    <row r="110">
      <c r="A110" t="inlineStr">
        <is>
          <t>AMD-RTS-RCLS-1302-SSC_2</t>
        </is>
      </c>
      <c r="B110" t="inlineStr">
        <is>
          <t>Rev OSC</t>
        </is>
      </c>
      <c r="C110" s="5" t="n">
        <v>46104</v>
      </c>
      <c r="D110" s="6" t="n">
        <v>0</v>
      </c>
      <c r="E110" s="6" t="n">
        <v>0</v>
      </c>
      <c r="F110" s="6" t="n">
        <v>0</v>
      </c>
      <c r="G110" s="6" t="n">
        <v>0</v>
      </c>
      <c r="H110" s="6" t="n">
        <v>0</v>
      </c>
      <c r="I110" s="6" t="n">
        <v>0</v>
      </c>
      <c r="J110" s="6" t="n">
        <v>0</v>
      </c>
      <c r="K110" s="6" t="n">
        <v>0</v>
      </c>
      <c r="L110" s="6" t="n">
        <v>0</v>
      </c>
      <c r="M110" s="6" t="n">
        <v>0</v>
      </c>
      <c r="N110" s="6" t="n">
        <v>0</v>
      </c>
      <c r="O110" s="6" t="n">
        <v>0</v>
      </c>
      <c r="P110" s="6" t="n">
        <v>0</v>
      </c>
      <c r="Q110" s="6" t="n">
        <v>0</v>
      </c>
      <c r="R110" s="6" t="n">
        <v>0</v>
      </c>
      <c r="S110" s="6" t="n">
        <v>0</v>
      </c>
      <c r="T110" s="6" t="n">
        <v>0</v>
      </c>
      <c r="U110" s="6" t="n">
        <v>0</v>
      </c>
      <c r="V110" s="6" t="n">
        <v>0</v>
      </c>
      <c r="W110" s="6" t="n">
        <v>0</v>
      </c>
      <c r="X110" s="6" t="n">
        <v>0</v>
      </c>
      <c r="Y110" s="6" t="n">
        <v>0</v>
      </c>
      <c r="Z110" s="6" t="n">
        <v>0</v>
      </c>
      <c r="AA110" s="6" t="n">
        <v>0</v>
      </c>
      <c r="AB110" s="6">
        <f>SUM(D110:AA110)</f>
        <v/>
      </c>
      <c r="AC110" s="3" t="inlineStr"/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  <c r="BB110" s="7">
        <f>SUM(AD110:BA110)</f>
        <v/>
      </c>
    </row>
    <row r="111">
      <c r="A111" t="inlineStr">
        <is>
          <t>DC-10-1</t>
        </is>
      </c>
      <c r="B111" t="inlineStr">
        <is>
          <t>DSC Manual</t>
        </is>
      </c>
      <c r="C111" s="5" t="n">
        <v>46089</v>
      </c>
      <c r="D111" s="6" t="n">
        <v>0</v>
      </c>
      <c r="E111" s="6" t="n">
        <v>0</v>
      </c>
      <c r="F111" s="6" t="n">
        <v>0</v>
      </c>
      <c r="G111" s="6" t="n">
        <v>0</v>
      </c>
      <c r="H111" s="6" t="n">
        <v>0</v>
      </c>
      <c r="I111" s="6" t="n">
        <v>0</v>
      </c>
      <c r="J111" s="6" t="n">
        <v>0</v>
      </c>
      <c r="K111" s="6" t="n">
        <v>0</v>
      </c>
      <c r="L111" s="6" t="n">
        <v>0</v>
      </c>
      <c r="M111" s="6" t="n">
        <v>0</v>
      </c>
      <c r="N111" s="6" t="n">
        <v>0</v>
      </c>
      <c r="O111" s="6" t="n">
        <v>0</v>
      </c>
      <c r="P111" s="6" t="n">
        <v>0</v>
      </c>
      <c r="Q111" s="6" t="n">
        <v>0</v>
      </c>
      <c r="R111" s="6" t="n">
        <v>0</v>
      </c>
      <c r="S111" s="6" t="n">
        <v>0</v>
      </c>
      <c r="T111" s="6" t="n">
        <v>0</v>
      </c>
      <c r="U111" s="6" t="n">
        <v>0</v>
      </c>
      <c r="V111" s="6" t="n">
        <v>0</v>
      </c>
      <c r="W111" s="6" t="n">
        <v>0</v>
      </c>
      <c r="X111" s="6" t="n">
        <v>0</v>
      </c>
      <c r="Y111" s="6" t="n">
        <v>0</v>
      </c>
      <c r="Z111" s="6" t="n">
        <v>0</v>
      </c>
      <c r="AA111" s="6" t="n">
        <v>0</v>
      </c>
      <c r="AB111" s="6">
        <f>SUM(D111:AA111)</f>
        <v/>
      </c>
      <c r="AC111" s="3" t="inlineStr"/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7" t="n">
        <v>0</v>
      </c>
      <c r="BB111" s="7">
        <f>SUM(AD111:BA111)</f>
        <v/>
      </c>
    </row>
    <row r="112">
      <c r="A112" t="inlineStr">
        <is>
          <t>DC-10-1</t>
        </is>
      </c>
      <c r="B112" t="inlineStr">
        <is>
          <t>DSC Manual</t>
        </is>
      </c>
      <c r="C112" s="5" t="n">
        <v>46090</v>
      </c>
      <c r="D112" s="6" t="n">
        <v>0</v>
      </c>
      <c r="E112" s="6" t="n">
        <v>0</v>
      </c>
      <c r="F112" s="6" t="n">
        <v>0</v>
      </c>
      <c r="G112" s="6" t="n">
        <v>0</v>
      </c>
      <c r="H112" s="6" t="n">
        <v>0</v>
      </c>
      <c r="I112" s="6" t="n">
        <v>0</v>
      </c>
      <c r="J112" s="6" t="n">
        <v>0</v>
      </c>
      <c r="K112" s="6" t="n">
        <v>0</v>
      </c>
      <c r="L112" s="6" t="n">
        <v>0</v>
      </c>
      <c r="M112" s="6" t="n">
        <v>0</v>
      </c>
      <c r="N112" s="6" t="n">
        <v>0</v>
      </c>
      <c r="O112" s="6" t="n">
        <v>0</v>
      </c>
      <c r="P112" s="6" t="n">
        <v>0</v>
      </c>
      <c r="Q112" s="6" t="n">
        <v>0</v>
      </c>
      <c r="R112" s="6" t="n">
        <v>0</v>
      </c>
      <c r="S112" s="6" t="n">
        <v>0</v>
      </c>
      <c r="T112" s="6" t="n">
        <v>0</v>
      </c>
      <c r="U112" s="6" t="n">
        <v>0</v>
      </c>
      <c r="V112" s="6" t="n">
        <v>0</v>
      </c>
      <c r="W112" s="6" t="n">
        <v>0</v>
      </c>
      <c r="X112" s="6" t="n">
        <v>0</v>
      </c>
      <c r="Y112" s="6" t="n">
        <v>0</v>
      </c>
      <c r="Z112" s="6" t="n">
        <v>0</v>
      </c>
      <c r="AA112" s="6" t="n">
        <v>0</v>
      </c>
      <c r="AB112" s="6">
        <f>SUM(D112:AA112)</f>
        <v/>
      </c>
      <c r="AC112" s="3" t="inlineStr"/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>
        <f>SUM(AD112:BA112)</f>
        <v/>
      </c>
    </row>
    <row r="113">
      <c r="A113" t="inlineStr">
        <is>
          <t>DC-10-1</t>
        </is>
      </c>
      <c r="B113" t="inlineStr">
        <is>
          <t>DSC Manual</t>
        </is>
      </c>
      <c r="C113" s="5" t="n">
        <v>46091</v>
      </c>
      <c r="D113" s="6" t="n">
        <v>0</v>
      </c>
      <c r="E113" s="6" t="n">
        <v>0</v>
      </c>
      <c r="F113" s="6" t="n">
        <v>0</v>
      </c>
      <c r="G113" s="6" t="n">
        <v>0</v>
      </c>
      <c r="H113" s="6" t="n">
        <v>0</v>
      </c>
      <c r="I113" s="6" t="n">
        <v>0</v>
      </c>
      <c r="J113" s="6" t="n">
        <v>0</v>
      </c>
      <c r="K113" s="6" t="n">
        <v>0</v>
      </c>
      <c r="L113" s="6" t="n">
        <v>0</v>
      </c>
      <c r="M113" s="6" t="n">
        <v>0</v>
      </c>
      <c r="N113" s="6" t="n">
        <v>0</v>
      </c>
      <c r="O113" s="6" t="n">
        <v>0</v>
      </c>
      <c r="P113" s="6" t="n">
        <v>0</v>
      </c>
      <c r="Q113" s="6" t="n">
        <v>0</v>
      </c>
      <c r="R113" s="6" t="n">
        <v>0</v>
      </c>
      <c r="S113" s="6" t="n">
        <v>0</v>
      </c>
      <c r="T113" s="6" t="n">
        <v>0</v>
      </c>
      <c r="U113" s="6" t="n">
        <v>0</v>
      </c>
      <c r="V113" s="6" t="n">
        <v>0</v>
      </c>
      <c r="W113" s="6" t="n">
        <v>0</v>
      </c>
      <c r="X113" s="6" t="n">
        <v>0</v>
      </c>
      <c r="Y113" s="6" t="n">
        <v>0</v>
      </c>
      <c r="Z113" s="6" t="n">
        <v>0</v>
      </c>
      <c r="AA113" s="6" t="n">
        <v>0</v>
      </c>
      <c r="AB113" s="6">
        <f>SUM(D113:AA113)</f>
        <v/>
      </c>
      <c r="AC113" s="3" t="inlineStr"/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7" t="n">
        <v>0</v>
      </c>
      <c r="BB113" s="7">
        <f>SUM(AD113:BA113)</f>
        <v/>
      </c>
    </row>
    <row r="114">
      <c r="A114" t="inlineStr">
        <is>
          <t>DC-10-1</t>
        </is>
      </c>
      <c r="B114" t="inlineStr">
        <is>
          <t>DSC Manual</t>
        </is>
      </c>
      <c r="C114" s="5" t="n">
        <v>46092</v>
      </c>
      <c r="D114" s="6" t="n">
        <v>0</v>
      </c>
      <c r="E114" s="6" t="n">
        <v>0</v>
      </c>
      <c r="F114" s="6" t="n">
        <v>0</v>
      </c>
      <c r="G114" s="6" t="n">
        <v>0</v>
      </c>
      <c r="H114" s="6" t="n">
        <v>0</v>
      </c>
      <c r="I114" s="6" t="n">
        <v>0</v>
      </c>
      <c r="J114" s="6" t="n">
        <v>0</v>
      </c>
      <c r="K114" s="6" t="n">
        <v>0</v>
      </c>
      <c r="L114" s="6" t="n">
        <v>0</v>
      </c>
      <c r="M114" s="6" t="n">
        <v>0</v>
      </c>
      <c r="N114" s="6" t="n">
        <v>0</v>
      </c>
      <c r="O114" s="6" t="n">
        <v>0</v>
      </c>
      <c r="P114" s="6" t="n">
        <v>0</v>
      </c>
      <c r="Q114" s="6" t="n">
        <v>0</v>
      </c>
      <c r="R114" s="6" t="n">
        <v>0</v>
      </c>
      <c r="S114" s="6" t="n">
        <v>0</v>
      </c>
      <c r="T114" s="6" t="n">
        <v>0</v>
      </c>
      <c r="U114" s="6" t="n">
        <v>0</v>
      </c>
      <c r="V114" s="6" t="n">
        <v>0</v>
      </c>
      <c r="W114" s="6" t="n">
        <v>0</v>
      </c>
      <c r="X114" s="6" t="n">
        <v>0</v>
      </c>
      <c r="Y114" s="6" t="n">
        <v>0</v>
      </c>
      <c r="Z114" s="6" t="n">
        <v>0</v>
      </c>
      <c r="AA114" s="6" t="n">
        <v>0</v>
      </c>
      <c r="AB114" s="6">
        <f>SUM(D114:AA114)</f>
        <v/>
      </c>
      <c r="AC114" s="3" t="inlineStr"/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7" t="n">
        <v>0</v>
      </c>
      <c r="BB114" s="7">
        <f>SUM(AD114:BA114)</f>
        <v/>
      </c>
    </row>
    <row r="115">
      <c r="A115" t="inlineStr">
        <is>
          <t>DC-10-1</t>
        </is>
      </c>
      <c r="B115" t="inlineStr">
        <is>
          <t>DSC Manual</t>
        </is>
      </c>
      <c r="C115" s="5" t="n">
        <v>46093</v>
      </c>
      <c r="D115" s="6" t="n">
        <v>0</v>
      </c>
      <c r="E115" s="6" t="n">
        <v>0</v>
      </c>
      <c r="F115" s="6" t="n">
        <v>0</v>
      </c>
      <c r="G115" s="6" t="n">
        <v>0</v>
      </c>
      <c r="H115" s="6" t="n">
        <v>0</v>
      </c>
      <c r="I115" s="6" t="n">
        <v>0</v>
      </c>
      <c r="J115" s="6" t="n">
        <v>0</v>
      </c>
      <c r="K115" s="6" t="n">
        <v>0</v>
      </c>
      <c r="L115" s="6" t="n">
        <v>0</v>
      </c>
      <c r="M115" s="6" t="n">
        <v>0</v>
      </c>
      <c r="N115" s="6" t="n">
        <v>0</v>
      </c>
      <c r="O115" s="6" t="n">
        <v>0</v>
      </c>
      <c r="P115" s="6" t="n">
        <v>0</v>
      </c>
      <c r="Q115" s="6" t="n">
        <v>0</v>
      </c>
      <c r="R115" s="6" t="n">
        <v>0</v>
      </c>
      <c r="S115" s="6" t="n">
        <v>0</v>
      </c>
      <c r="T115" s="6" t="n">
        <v>0</v>
      </c>
      <c r="U115" s="6" t="n">
        <v>0</v>
      </c>
      <c r="V115" s="6" t="n">
        <v>0</v>
      </c>
      <c r="W115" s="6" t="n">
        <v>0</v>
      </c>
      <c r="X115" s="6" t="n">
        <v>0</v>
      </c>
      <c r="Y115" s="6" t="n">
        <v>0</v>
      </c>
      <c r="Z115" s="6" t="n">
        <v>0</v>
      </c>
      <c r="AA115" s="6" t="n">
        <v>0</v>
      </c>
      <c r="AB115" s="6">
        <f>SUM(D115:AA115)</f>
        <v/>
      </c>
      <c r="AC115" s="3" t="inlineStr"/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>
        <f>SUM(AD115:BA115)</f>
        <v/>
      </c>
    </row>
    <row r="116">
      <c r="A116" t="inlineStr">
        <is>
          <t>DC-10-1</t>
        </is>
      </c>
      <c r="B116" t="inlineStr">
        <is>
          <t>DSC Manual</t>
        </is>
      </c>
      <c r="C116" s="5" t="n">
        <v>46094</v>
      </c>
      <c r="D116" s="6" t="n">
        <v>0</v>
      </c>
      <c r="E116" s="6" t="n">
        <v>0</v>
      </c>
      <c r="F116" s="6" t="n">
        <v>0</v>
      </c>
      <c r="G116" s="6" t="n">
        <v>0</v>
      </c>
      <c r="H116" s="6" t="n">
        <v>0</v>
      </c>
      <c r="I116" s="6" t="n">
        <v>0</v>
      </c>
      <c r="J116" s="6" t="n">
        <v>0</v>
      </c>
      <c r="K116" s="6" t="n">
        <v>0</v>
      </c>
      <c r="L116" s="6" t="n">
        <v>0</v>
      </c>
      <c r="M116" s="6" t="n">
        <v>0</v>
      </c>
      <c r="N116" s="6" t="n">
        <v>0</v>
      </c>
      <c r="O116" s="6" t="n">
        <v>0</v>
      </c>
      <c r="P116" s="6" t="n">
        <v>0</v>
      </c>
      <c r="Q116" s="6" t="n">
        <v>0</v>
      </c>
      <c r="R116" s="6" t="n">
        <v>0</v>
      </c>
      <c r="S116" s="6" t="n">
        <v>0</v>
      </c>
      <c r="T116" s="6" t="n">
        <v>0</v>
      </c>
      <c r="U116" s="6" t="n">
        <v>0</v>
      </c>
      <c r="V116" s="6" t="n">
        <v>0</v>
      </c>
      <c r="W116" s="6" t="n">
        <v>0</v>
      </c>
      <c r="X116" s="6" t="n">
        <v>0</v>
      </c>
      <c r="Y116" s="6" t="n">
        <v>0</v>
      </c>
      <c r="Z116" s="6" t="n">
        <v>0</v>
      </c>
      <c r="AA116" s="6" t="n">
        <v>0</v>
      </c>
      <c r="AB116" s="6">
        <f>SUM(D116:AA116)</f>
        <v/>
      </c>
      <c r="AC116" s="3" t="inlineStr"/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>
        <f>SUM(AD116:BA116)</f>
        <v/>
      </c>
    </row>
    <row r="117">
      <c r="A117" t="inlineStr">
        <is>
          <t>DC-10-1</t>
        </is>
      </c>
      <c r="B117" t="inlineStr">
        <is>
          <t>DSC Manual</t>
        </is>
      </c>
      <c r="C117" s="5" t="n">
        <v>46095</v>
      </c>
      <c r="D117" s="6" t="n">
        <v>0</v>
      </c>
      <c r="E117" s="6" t="n">
        <v>0</v>
      </c>
      <c r="F117" s="6" t="n">
        <v>0</v>
      </c>
      <c r="G117" s="6" t="n">
        <v>0</v>
      </c>
      <c r="H117" s="6" t="n">
        <v>0</v>
      </c>
      <c r="I117" s="6" t="n">
        <v>0</v>
      </c>
      <c r="J117" s="6" t="n">
        <v>0</v>
      </c>
      <c r="K117" s="6" t="n">
        <v>0</v>
      </c>
      <c r="L117" s="6" t="n">
        <v>0</v>
      </c>
      <c r="M117" s="6" t="n">
        <v>0</v>
      </c>
      <c r="N117" s="6" t="n">
        <v>0</v>
      </c>
      <c r="O117" s="6" t="n">
        <v>0</v>
      </c>
      <c r="P117" s="6" t="n">
        <v>0</v>
      </c>
      <c r="Q117" s="6" t="n">
        <v>0</v>
      </c>
      <c r="R117" s="6" t="n">
        <v>0</v>
      </c>
      <c r="S117" s="6" t="n">
        <v>0</v>
      </c>
      <c r="T117" s="6" t="n">
        <v>0</v>
      </c>
      <c r="U117" s="6" t="n">
        <v>0</v>
      </c>
      <c r="V117" s="6" t="n">
        <v>0</v>
      </c>
      <c r="W117" s="6" t="n">
        <v>0</v>
      </c>
      <c r="X117" s="6" t="n">
        <v>0</v>
      </c>
      <c r="Y117" s="6" t="n">
        <v>0</v>
      </c>
      <c r="Z117" s="6" t="n">
        <v>0</v>
      </c>
      <c r="AA117" s="6" t="n">
        <v>0</v>
      </c>
      <c r="AB117" s="6">
        <f>SUM(D117:AA117)</f>
        <v/>
      </c>
      <c r="AC117" s="3" t="inlineStr"/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7" t="n">
        <v>0</v>
      </c>
      <c r="BA117" s="7" t="n">
        <v>0</v>
      </c>
      <c r="BB117" s="7">
        <f>SUM(AD117:BA117)</f>
        <v/>
      </c>
    </row>
    <row r="118">
      <c r="A118" t="inlineStr">
        <is>
          <t>DC-10-1</t>
        </is>
      </c>
      <c r="B118" t="inlineStr">
        <is>
          <t>DSC Manual</t>
        </is>
      </c>
      <c r="C118" s="5" t="n">
        <v>46096</v>
      </c>
      <c r="D118" s="6" t="n">
        <v>0</v>
      </c>
      <c r="E118" s="6" t="n">
        <v>0</v>
      </c>
      <c r="F118" s="6" t="n">
        <v>0</v>
      </c>
      <c r="G118" s="6" t="n">
        <v>0</v>
      </c>
      <c r="H118" s="6" t="n">
        <v>0</v>
      </c>
      <c r="I118" s="6" t="n">
        <v>0</v>
      </c>
      <c r="J118" s="6" t="n">
        <v>0</v>
      </c>
      <c r="K118" s="6" t="n">
        <v>0</v>
      </c>
      <c r="L118" s="6" t="n">
        <v>0</v>
      </c>
      <c r="M118" s="6" t="n">
        <v>0</v>
      </c>
      <c r="N118" s="6" t="n">
        <v>0</v>
      </c>
      <c r="O118" s="6" t="n">
        <v>0</v>
      </c>
      <c r="P118" s="6" t="n">
        <v>0</v>
      </c>
      <c r="Q118" s="6" t="n">
        <v>0</v>
      </c>
      <c r="R118" s="6" t="n">
        <v>0</v>
      </c>
      <c r="S118" s="6" t="n">
        <v>0</v>
      </c>
      <c r="T118" s="6" t="n">
        <v>0</v>
      </c>
      <c r="U118" s="6" t="n">
        <v>0</v>
      </c>
      <c r="V118" s="6" t="n">
        <v>0</v>
      </c>
      <c r="W118" s="6" t="n">
        <v>0</v>
      </c>
      <c r="X118" s="6" t="n">
        <v>0</v>
      </c>
      <c r="Y118" s="6" t="n">
        <v>0</v>
      </c>
      <c r="Z118" s="6" t="n">
        <v>0</v>
      </c>
      <c r="AA118" s="6" t="n">
        <v>0</v>
      </c>
      <c r="AB118" s="6">
        <f>SUM(D118:AA118)</f>
        <v/>
      </c>
      <c r="AC118" s="3" t="inlineStr"/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>
        <f>SUM(AD118:BA118)</f>
        <v/>
      </c>
    </row>
    <row r="119">
      <c r="A119" t="inlineStr">
        <is>
          <t>DC-10-1</t>
        </is>
      </c>
      <c r="B119" t="inlineStr">
        <is>
          <t>DSC Manual</t>
        </is>
      </c>
      <c r="C119" s="5" t="n">
        <v>46097</v>
      </c>
      <c r="D119" s="6" t="n">
        <v>0</v>
      </c>
      <c r="E119" s="6" t="n">
        <v>0</v>
      </c>
      <c r="F119" s="6" t="n">
        <v>0</v>
      </c>
      <c r="G119" s="6" t="n">
        <v>0</v>
      </c>
      <c r="H119" s="6" t="n">
        <v>0</v>
      </c>
      <c r="I119" s="6" t="n">
        <v>0</v>
      </c>
      <c r="J119" s="6" t="n">
        <v>0</v>
      </c>
      <c r="K119" s="6" t="n">
        <v>0</v>
      </c>
      <c r="L119" s="6" t="n">
        <v>0</v>
      </c>
      <c r="M119" s="6" t="n">
        <v>0</v>
      </c>
      <c r="N119" s="6" t="n">
        <v>0</v>
      </c>
      <c r="O119" s="6" t="n">
        <v>0</v>
      </c>
      <c r="P119" s="6" t="n">
        <v>0</v>
      </c>
      <c r="Q119" s="6" t="n">
        <v>0</v>
      </c>
      <c r="R119" s="6" t="n">
        <v>0</v>
      </c>
      <c r="S119" s="6" t="n">
        <v>0</v>
      </c>
      <c r="T119" s="6" t="n">
        <v>0</v>
      </c>
      <c r="U119" s="6" t="n">
        <v>0</v>
      </c>
      <c r="V119" s="6" t="n">
        <v>0</v>
      </c>
      <c r="W119" s="6" t="n">
        <v>0</v>
      </c>
      <c r="X119" s="6" t="n">
        <v>0</v>
      </c>
      <c r="Y119" s="6" t="n">
        <v>0</v>
      </c>
      <c r="Z119" s="6" t="n">
        <v>0</v>
      </c>
      <c r="AA119" s="6" t="n">
        <v>0</v>
      </c>
      <c r="AB119" s="6">
        <f>SUM(D119:AA119)</f>
        <v/>
      </c>
      <c r="AC119" s="3" t="inlineStr"/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n">
        <v>0</v>
      </c>
      <c r="AW119" s="7" t="n">
        <v>0</v>
      </c>
      <c r="AX119" s="7" t="n">
        <v>0</v>
      </c>
      <c r="AY119" s="7" t="n">
        <v>0</v>
      </c>
      <c r="AZ119" s="7" t="n">
        <v>0</v>
      </c>
      <c r="BA119" s="7" t="n">
        <v>0</v>
      </c>
      <c r="BB119" s="7">
        <f>SUM(AD119:BA119)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1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Layout</t>
        </is>
      </c>
      <c r="B1" s="1" t="inlineStr">
        <is>
          <t>Layout Type</t>
        </is>
      </c>
      <c r="C1" s="1" t="inlineStr">
        <is>
          <t>Date</t>
        </is>
      </c>
      <c r="D1" s="2" t="inlineStr">
        <is>
          <t>Act Vol 12 AM</t>
        </is>
      </c>
      <c r="E1" s="2" t="inlineStr">
        <is>
          <t>Act Vol 1 AM</t>
        </is>
      </c>
      <c r="F1" s="2" t="inlineStr">
        <is>
          <t>Act Vol 2 AM</t>
        </is>
      </c>
      <c r="G1" s="2" t="inlineStr">
        <is>
          <t>Act Vol 3 AM</t>
        </is>
      </c>
      <c r="H1" s="2" t="inlineStr">
        <is>
          <t>Act Vol 4 AM</t>
        </is>
      </c>
      <c r="I1" s="2" t="inlineStr">
        <is>
          <t>Act Vol 5 AM</t>
        </is>
      </c>
      <c r="J1" s="2" t="inlineStr">
        <is>
          <t>Act Vol 6 AM</t>
        </is>
      </c>
      <c r="K1" s="2" t="inlineStr">
        <is>
          <t>Act Vol 7 AM</t>
        </is>
      </c>
      <c r="L1" s="2" t="inlineStr">
        <is>
          <t>Act Vol 8 AM</t>
        </is>
      </c>
      <c r="M1" s="2" t="inlineStr">
        <is>
          <t>Act Vol 9 AM</t>
        </is>
      </c>
      <c r="N1" s="2" t="inlineStr">
        <is>
          <t>Act Vol 10 AM</t>
        </is>
      </c>
      <c r="O1" s="2" t="inlineStr">
        <is>
          <t>Act Vol 11 AM</t>
        </is>
      </c>
      <c r="P1" s="2" t="inlineStr">
        <is>
          <t>Act Vol 12 PM</t>
        </is>
      </c>
      <c r="Q1" s="2" t="inlineStr">
        <is>
          <t>Act Vol 1 PM</t>
        </is>
      </c>
      <c r="R1" s="2" t="inlineStr">
        <is>
          <t>Act Vol 2 PM</t>
        </is>
      </c>
      <c r="S1" s="2" t="inlineStr">
        <is>
          <t>Act Vol 3 PM</t>
        </is>
      </c>
      <c r="T1" s="2" t="inlineStr">
        <is>
          <t>Act Vol 4 PM</t>
        </is>
      </c>
      <c r="U1" s="2" t="inlineStr">
        <is>
          <t>Act Vol 5 PM</t>
        </is>
      </c>
      <c r="V1" s="2" t="inlineStr">
        <is>
          <t>Act Vol 6 PM</t>
        </is>
      </c>
      <c r="W1" s="2" t="inlineStr">
        <is>
          <t>Act Vol 7 PM</t>
        </is>
      </c>
      <c r="X1" s="2" t="inlineStr">
        <is>
          <t>Act Vol 8 PM</t>
        </is>
      </c>
      <c r="Y1" s="2" t="inlineStr">
        <is>
          <t>Act Vol 9 PM</t>
        </is>
      </c>
      <c r="Z1" s="2" t="inlineStr">
        <is>
          <t>Act Vol 10 PM</t>
        </is>
      </c>
      <c r="AA1" s="2" t="inlineStr">
        <is>
          <t>Act Vol 11 PM</t>
        </is>
      </c>
      <c r="AB1" s="2" t="inlineStr">
        <is>
          <t>Act Vol Total</t>
        </is>
      </c>
      <c r="AC1" s="3" t="inlineStr"/>
      <c r="AD1" s="4" t="inlineStr">
        <is>
          <t>MH 12 AM</t>
        </is>
      </c>
      <c r="AE1" s="4" t="inlineStr">
        <is>
          <t>MH 1 AM</t>
        </is>
      </c>
      <c r="AF1" s="4" t="inlineStr">
        <is>
          <t>MH 2 AM</t>
        </is>
      </c>
      <c r="AG1" s="4" t="inlineStr">
        <is>
          <t>MH 3 AM</t>
        </is>
      </c>
      <c r="AH1" s="4" t="inlineStr">
        <is>
          <t>MH 4 AM</t>
        </is>
      </c>
      <c r="AI1" s="4" t="inlineStr">
        <is>
          <t>MH 5 AM</t>
        </is>
      </c>
      <c r="AJ1" s="4" t="inlineStr">
        <is>
          <t>MH 6 AM</t>
        </is>
      </c>
      <c r="AK1" s="4" t="inlineStr">
        <is>
          <t>MH 7 AM</t>
        </is>
      </c>
      <c r="AL1" s="4" t="inlineStr">
        <is>
          <t>MH 8 AM</t>
        </is>
      </c>
      <c r="AM1" s="4" t="inlineStr">
        <is>
          <t>MH 9 AM</t>
        </is>
      </c>
      <c r="AN1" s="4" t="inlineStr">
        <is>
          <t>MH 10 AM</t>
        </is>
      </c>
      <c r="AO1" s="4" t="inlineStr">
        <is>
          <t>MH 11 AM</t>
        </is>
      </c>
      <c r="AP1" s="4" t="inlineStr">
        <is>
          <t>MH 12 PM</t>
        </is>
      </c>
      <c r="AQ1" s="4" t="inlineStr">
        <is>
          <t>MH 1 PM</t>
        </is>
      </c>
      <c r="AR1" s="4" t="inlineStr">
        <is>
          <t>MH 2 PM</t>
        </is>
      </c>
      <c r="AS1" s="4" t="inlineStr">
        <is>
          <t>MH 3 PM</t>
        </is>
      </c>
      <c r="AT1" s="4" t="inlineStr">
        <is>
          <t>MH 4 PM</t>
        </is>
      </c>
      <c r="AU1" s="4" t="inlineStr">
        <is>
          <t>MH 5 PM</t>
        </is>
      </c>
      <c r="AV1" s="4" t="inlineStr">
        <is>
          <t>MH 6 PM</t>
        </is>
      </c>
      <c r="AW1" s="4" t="inlineStr">
        <is>
          <t>MH 7 PM</t>
        </is>
      </c>
      <c r="AX1" s="4" t="inlineStr">
        <is>
          <t>MH 8 PM</t>
        </is>
      </c>
      <c r="AY1" s="4" t="inlineStr">
        <is>
          <t>MH 9 PM</t>
        </is>
      </c>
      <c r="AZ1" s="4" t="inlineStr">
        <is>
          <t>MH 10 PM</t>
        </is>
      </c>
      <c r="BA1" s="4" t="inlineStr">
        <is>
          <t>MH 11 PM</t>
        </is>
      </c>
      <c r="BB1" s="4" t="inlineStr">
        <is>
          <t>MH Total</t>
        </is>
      </c>
    </row>
    <row r="2">
      <c r="A2" t="inlineStr">
        <is>
          <t>AMD-AIR-NEW-SSC</t>
        </is>
      </c>
      <c r="B2" t="inlineStr">
        <is>
          <t>Forward Regular OSC</t>
        </is>
      </c>
      <c r="C2" s="5" t="n">
        <v>46093</v>
      </c>
      <c r="D2" s="6">
        <f>Summary!D2*0.08</f>
        <v/>
      </c>
      <c r="E2" s="6">
        <f>Summary!E2*0.08</f>
        <v/>
      </c>
      <c r="F2" s="6">
        <f>Summary!F2*0.08</f>
        <v/>
      </c>
      <c r="G2" s="6">
        <f>Summary!G2*0.08</f>
        <v/>
      </c>
      <c r="H2" s="6">
        <f>Summary!H2*0.08</f>
        <v/>
      </c>
      <c r="I2" s="6">
        <f>Summary!I2*0.08</f>
        <v/>
      </c>
      <c r="J2" s="6">
        <f>Summary!J2*0.08</f>
        <v/>
      </c>
      <c r="K2" s="6">
        <f>Summary!K2*0.08</f>
        <v/>
      </c>
      <c r="L2" s="6">
        <f>Summary!L2*0.08</f>
        <v/>
      </c>
      <c r="M2" s="6">
        <f>Summary!M2*0.08</f>
        <v/>
      </c>
      <c r="N2" s="6">
        <f>Summary!N2*0.08</f>
        <v/>
      </c>
      <c r="O2" s="6">
        <f>Summary!O2*0.08</f>
        <v/>
      </c>
      <c r="P2" s="6">
        <f>Summary!P2*0.08</f>
        <v/>
      </c>
      <c r="Q2" s="6">
        <f>Summary!Q2*0.08</f>
        <v/>
      </c>
      <c r="R2" s="6">
        <f>Summary!R2*0.08</f>
        <v/>
      </c>
      <c r="S2" s="6">
        <f>Summary!S2*0.08</f>
        <v/>
      </c>
      <c r="T2" s="6">
        <f>Summary!T2*0.08</f>
        <v/>
      </c>
      <c r="U2" s="6">
        <f>Summary!U2*0.08</f>
        <v/>
      </c>
      <c r="V2" s="6">
        <f>Summary!V2*0.08</f>
        <v/>
      </c>
      <c r="W2" s="6">
        <f>Summary!W2*0.08</f>
        <v/>
      </c>
      <c r="X2" s="6">
        <f>Summary!X2*0.08</f>
        <v/>
      </c>
      <c r="Y2" s="6">
        <f>Summary!Y2*0.08</f>
        <v/>
      </c>
      <c r="Z2" s="6">
        <f>Summary!Z2*0.08</f>
        <v/>
      </c>
      <c r="AA2" s="6">
        <f>Summary!AA2*0.08</f>
        <v/>
      </c>
      <c r="AB2" s="6">
        <f>SUM(D2:AA2)</f>
        <v/>
      </c>
      <c r="AC2" s="3" t="inlineStr"/>
      <c r="AD2" s="7">
        <f>E2*0.0010369917+D2*0.0002073983</f>
        <v/>
      </c>
      <c r="AE2" s="7">
        <f>F2*0.0010369917+E2*0.0002073983</f>
        <v/>
      </c>
      <c r="AF2" s="7">
        <f>G2*0.0010369917+F2*0.0002073983</f>
        <v/>
      </c>
      <c r="AG2" s="7">
        <f>H2*0.0010369917+G2*0.0002073983</f>
        <v/>
      </c>
      <c r="AH2" s="7">
        <f>I2*0.0010369917+H2*0.0002073983</f>
        <v/>
      </c>
      <c r="AI2" s="7">
        <f>J2*0.0010369917+I2*0.0002073983</f>
        <v/>
      </c>
      <c r="AJ2" s="7">
        <f>K2*0.0010369917+J2*0.0002073983</f>
        <v/>
      </c>
      <c r="AK2" s="7">
        <f>L2*0.0010369917+K2*0.0002073983</f>
        <v/>
      </c>
      <c r="AL2" s="7">
        <f>M2*0.0010369917+L2*0.0002073983</f>
        <v/>
      </c>
      <c r="AM2" s="7">
        <f>N2*0.0010369917+M2*0.0002073983</f>
        <v/>
      </c>
      <c r="AN2" s="7">
        <f>O2*0.0010369917+N2*0.0002073983</f>
        <v/>
      </c>
      <c r="AO2" s="7">
        <f>P2*0.0010369917+O2*0.0002073983</f>
        <v/>
      </c>
      <c r="AP2" s="7">
        <f>Q2*0.0010369917+P2*0.0002073983</f>
        <v/>
      </c>
      <c r="AQ2" s="7">
        <f>R2*0.0010369917+Q2*0.0002073983</f>
        <v/>
      </c>
      <c r="AR2" s="7">
        <f>S2*0.0010369917+R2*0.0002073983</f>
        <v/>
      </c>
      <c r="AS2" s="7">
        <f>T2*0.0010369917+S2*0.0002073983</f>
        <v/>
      </c>
      <c r="AT2" s="7">
        <f>U2*0.0010369917+T2*0.0002073983</f>
        <v/>
      </c>
      <c r="AU2" s="7">
        <f>V2*0.0010369917+U2*0.0002073983</f>
        <v/>
      </c>
      <c r="AV2" s="7">
        <f>W2*0.0010369917+V2*0.0002073983</f>
        <v/>
      </c>
      <c r="AW2" s="7">
        <f>X2*0.0010369917+W2*0.0002073983</f>
        <v/>
      </c>
      <c r="AX2" s="7">
        <f>Y2*0.0010369917+X2*0.0002073983</f>
        <v/>
      </c>
      <c r="AY2" s="7">
        <f>Z2*0.0010369917+Y2*0.0002073983</f>
        <v/>
      </c>
      <c r="AZ2" s="7">
        <f>AA2*0.0010369917+Z2*0.0002073983</f>
        <v/>
      </c>
      <c r="BA2" s="7">
        <f>D2*0.0010369917+AA2*0.0002073983</f>
        <v/>
      </c>
      <c r="BB2" s="7">
        <f>SUM(AD2:BA2)</f>
        <v/>
      </c>
    </row>
    <row r="3">
      <c r="A3" t="inlineStr">
        <is>
          <t>AMD-AIR-NEW-SSC</t>
        </is>
      </c>
      <c r="B3" t="inlineStr">
        <is>
          <t>Forward Regular OSC</t>
        </is>
      </c>
      <c r="C3" s="5" t="n">
        <v>46094</v>
      </c>
      <c r="D3" s="6">
        <f>Summary!D3*0.08</f>
        <v/>
      </c>
      <c r="E3" s="6">
        <f>Summary!E3*0.08</f>
        <v/>
      </c>
      <c r="F3" s="6">
        <f>Summary!F3*0.08</f>
        <v/>
      </c>
      <c r="G3" s="6">
        <f>Summary!G3*0.08</f>
        <v/>
      </c>
      <c r="H3" s="6">
        <f>Summary!H3*0.08</f>
        <v/>
      </c>
      <c r="I3" s="6">
        <f>Summary!I3*0.08</f>
        <v/>
      </c>
      <c r="J3" s="6">
        <f>Summary!J3*0.08</f>
        <v/>
      </c>
      <c r="K3" s="6">
        <f>Summary!K3*0.08</f>
        <v/>
      </c>
      <c r="L3" s="6">
        <f>Summary!L3*0.08</f>
        <v/>
      </c>
      <c r="M3" s="6">
        <f>Summary!M3*0.08</f>
        <v/>
      </c>
      <c r="N3" s="6">
        <f>Summary!N3*0.08</f>
        <v/>
      </c>
      <c r="O3" s="6">
        <f>Summary!O3*0.08</f>
        <v/>
      </c>
      <c r="P3" s="6">
        <f>Summary!P3*0.08</f>
        <v/>
      </c>
      <c r="Q3" s="6">
        <f>Summary!Q3*0.08</f>
        <v/>
      </c>
      <c r="R3" s="6">
        <f>Summary!R3*0.08</f>
        <v/>
      </c>
      <c r="S3" s="6">
        <f>Summary!S3*0.08</f>
        <v/>
      </c>
      <c r="T3" s="6">
        <f>Summary!T3*0.08</f>
        <v/>
      </c>
      <c r="U3" s="6">
        <f>Summary!U3*0.08</f>
        <v/>
      </c>
      <c r="V3" s="6">
        <f>Summary!V3*0.08</f>
        <v/>
      </c>
      <c r="W3" s="6">
        <f>Summary!W3*0.08</f>
        <v/>
      </c>
      <c r="X3" s="6">
        <f>Summary!X3*0.08</f>
        <v/>
      </c>
      <c r="Y3" s="6">
        <f>Summary!Y3*0.08</f>
        <v/>
      </c>
      <c r="Z3" s="6">
        <f>Summary!Z3*0.08</f>
        <v/>
      </c>
      <c r="AA3" s="6">
        <f>Summary!AA3*0.08</f>
        <v/>
      </c>
      <c r="AB3" s="6">
        <f>SUM(D3:AA3)</f>
        <v/>
      </c>
      <c r="AC3" s="3" t="inlineStr"/>
      <c r="AD3" s="7">
        <f>E3*0.0010369917+D3*0.0002073983</f>
        <v/>
      </c>
      <c r="AE3" s="7">
        <f>F3*0.0010369917+E3*0.0002073983</f>
        <v/>
      </c>
      <c r="AF3" s="7">
        <f>G3*0.0010369917+F3*0.0002073983</f>
        <v/>
      </c>
      <c r="AG3" s="7">
        <f>H3*0.0010369917+G3*0.0002073983</f>
        <v/>
      </c>
      <c r="AH3" s="7">
        <f>I3*0.0010369917+H3*0.0002073983</f>
        <v/>
      </c>
      <c r="AI3" s="7">
        <f>J3*0.0010369917+I3*0.0002073983</f>
        <v/>
      </c>
      <c r="AJ3" s="7">
        <f>K3*0.0010369917+J3*0.0002073983</f>
        <v/>
      </c>
      <c r="AK3" s="7">
        <f>L3*0.0010369917+K3*0.0002073983</f>
        <v/>
      </c>
      <c r="AL3" s="7">
        <f>M3*0.0010369917+L3*0.0002073983</f>
        <v/>
      </c>
      <c r="AM3" s="7">
        <f>N3*0.0010369917+M3*0.0002073983</f>
        <v/>
      </c>
      <c r="AN3" s="7">
        <f>O3*0.0010369917+N3*0.0002073983</f>
        <v/>
      </c>
      <c r="AO3" s="7">
        <f>P3*0.0010369917+O3*0.0002073983</f>
        <v/>
      </c>
      <c r="AP3" s="7">
        <f>Q3*0.0010369917+P3*0.0002073983</f>
        <v/>
      </c>
      <c r="AQ3" s="7">
        <f>R3*0.0010369917+Q3*0.0002073983</f>
        <v/>
      </c>
      <c r="AR3" s="7">
        <f>S3*0.0010369917+R3*0.0002073983</f>
        <v/>
      </c>
      <c r="AS3" s="7">
        <f>T3*0.0010369917+S3*0.0002073983</f>
        <v/>
      </c>
      <c r="AT3" s="7">
        <f>U3*0.0010369917+T3*0.0002073983</f>
        <v/>
      </c>
      <c r="AU3" s="7">
        <f>V3*0.0010369917+U3*0.0002073983</f>
        <v/>
      </c>
      <c r="AV3" s="7">
        <f>W3*0.0010369917+V3*0.0002073983</f>
        <v/>
      </c>
      <c r="AW3" s="7">
        <f>X3*0.0010369917+W3*0.0002073983</f>
        <v/>
      </c>
      <c r="AX3" s="7">
        <f>Y3*0.0010369917+X3*0.0002073983</f>
        <v/>
      </c>
      <c r="AY3" s="7">
        <f>Z3*0.0010369917+Y3*0.0002073983</f>
        <v/>
      </c>
      <c r="AZ3" s="7">
        <f>AA3*0.0010369917+Z3*0.0002073983</f>
        <v/>
      </c>
      <c r="BA3" s="7">
        <f>D3*0.0010369917+AA3*0.0002073983</f>
        <v/>
      </c>
      <c r="BB3" s="7">
        <f>SUM(AD3:BA3)</f>
        <v/>
      </c>
    </row>
    <row r="4">
      <c r="A4" t="inlineStr">
        <is>
          <t>AMD-AIR-NEW-SSC</t>
        </is>
      </c>
      <c r="B4" t="inlineStr">
        <is>
          <t>Forward Regular OSC</t>
        </is>
      </c>
      <c r="C4" s="5" t="n">
        <v>46096</v>
      </c>
      <c r="D4" s="6">
        <f>Summary!D4*0.08</f>
        <v/>
      </c>
      <c r="E4" s="6">
        <f>Summary!E4*0.08</f>
        <v/>
      </c>
      <c r="F4" s="6">
        <f>Summary!F4*0.08</f>
        <v/>
      </c>
      <c r="G4" s="6">
        <f>Summary!G4*0.08</f>
        <v/>
      </c>
      <c r="H4" s="6">
        <f>Summary!H4*0.08</f>
        <v/>
      </c>
      <c r="I4" s="6">
        <f>Summary!I4*0.08</f>
        <v/>
      </c>
      <c r="J4" s="6">
        <f>Summary!J4*0.08</f>
        <v/>
      </c>
      <c r="K4" s="6">
        <f>Summary!K4*0.08</f>
        <v/>
      </c>
      <c r="L4" s="6">
        <f>Summary!L4*0.08</f>
        <v/>
      </c>
      <c r="M4" s="6">
        <f>Summary!M4*0.08</f>
        <v/>
      </c>
      <c r="N4" s="6">
        <f>Summary!N4*0.08</f>
        <v/>
      </c>
      <c r="O4" s="6">
        <f>Summary!O4*0.08</f>
        <v/>
      </c>
      <c r="P4" s="6">
        <f>Summary!P4*0.08</f>
        <v/>
      </c>
      <c r="Q4" s="6">
        <f>Summary!Q4*0.08</f>
        <v/>
      </c>
      <c r="R4" s="6">
        <f>Summary!R4*0.08</f>
        <v/>
      </c>
      <c r="S4" s="6">
        <f>Summary!S4*0.08</f>
        <v/>
      </c>
      <c r="T4" s="6">
        <f>Summary!T4*0.08</f>
        <v/>
      </c>
      <c r="U4" s="6">
        <f>Summary!U4*0.08</f>
        <v/>
      </c>
      <c r="V4" s="6">
        <f>Summary!V4*0.08</f>
        <v/>
      </c>
      <c r="W4" s="6">
        <f>Summary!W4*0.08</f>
        <v/>
      </c>
      <c r="X4" s="6">
        <f>Summary!X4*0.08</f>
        <v/>
      </c>
      <c r="Y4" s="6">
        <f>Summary!Y4*0.08</f>
        <v/>
      </c>
      <c r="Z4" s="6">
        <f>Summary!Z4*0.08</f>
        <v/>
      </c>
      <c r="AA4" s="6">
        <f>Summary!AA4*0.08</f>
        <v/>
      </c>
      <c r="AB4" s="6">
        <f>SUM(D4:AA4)</f>
        <v/>
      </c>
      <c r="AC4" s="3" t="inlineStr"/>
      <c r="AD4" s="7">
        <f>E4*0.0010369917+D4*0.0002073983</f>
        <v/>
      </c>
      <c r="AE4" s="7">
        <f>F4*0.0010369917+E4*0.0002073983</f>
        <v/>
      </c>
      <c r="AF4" s="7">
        <f>G4*0.0010369917+F4*0.0002073983</f>
        <v/>
      </c>
      <c r="AG4" s="7">
        <f>H4*0.0010369917+G4*0.0002073983</f>
        <v/>
      </c>
      <c r="AH4" s="7">
        <f>I4*0.0010369917+H4*0.0002073983</f>
        <v/>
      </c>
      <c r="AI4" s="7">
        <f>J4*0.0010369917+I4*0.0002073983</f>
        <v/>
      </c>
      <c r="AJ4" s="7">
        <f>K4*0.0010369917+J4*0.0002073983</f>
        <v/>
      </c>
      <c r="AK4" s="7">
        <f>L4*0.0010369917+K4*0.0002073983</f>
        <v/>
      </c>
      <c r="AL4" s="7">
        <f>M4*0.0010369917+L4*0.0002073983</f>
        <v/>
      </c>
      <c r="AM4" s="7">
        <f>N4*0.0010369917+M4*0.0002073983</f>
        <v/>
      </c>
      <c r="AN4" s="7">
        <f>O4*0.0010369917+N4*0.0002073983</f>
        <v/>
      </c>
      <c r="AO4" s="7">
        <f>P4*0.0010369917+O4*0.0002073983</f>
        <v/>
      </c>
      <c r="AP4" s="7">
        <f>Q4*0.0010369917+P4*0.0002073983</f>
        <v/>
      </c>
      <c r="AQ4" s="7">
        <f>R4*0.0010369917+Q4*0.0002073983</f>
        <v/>
      </c>
      <c r="AR4" s="7">
        <f>S4*0.0010369917+R4*0.0002073983</f>
        <v/>
      </c>
      <c r="AS4" s="7">
        <f>T4*0.0010369917+S4*0.0002073983</f>
        <v/>
      </c>
      <c r="AT4" s="7">
        <f>U4*0.0010369917+T4*0.0002073983</f>
        <v/>
      </c>
      <c r="AU4" s="7">
        <f>V4*0.0010369917+U4*0.0002073983</f>
        <v/>
      </c>
      <c r="AV4" s="7">
        <f>W4*0.0010369917+V4*0.0002073983</f>
        <v/>
      </c>
      <c r="AW4" s="7">
        <f>X4*0.0010369917+W4*0.0002073983</f>
        <v/>
      </c>
      <c r="AX4" s="7">
        <f>Y4*0.0010369917+X4*0.0002073983</f>
        <v/>
      </c>
      <c r="AY4" s="7">
        <f>Z4*0.0010369917+Y4*0.0002073983</f>
        <v/>
      </c>
      <c r="AZ4" s="7">
        <f>AA4*0.0010369917+Z4*0.0002073983</f>
        <v/>
      </c>
      <c r="BA4" s="7">
        <f>D4*0.0010369917+AA4*0.0002073983</f>
        <v/>
      </c>
      <c r="BB4" s="7">
        <f>SUM(AD4:BA4)</f>
        <v/>
      </c>
    </row>
    <row r="5">
      <c r="A5" t="inlineStr">
        <is>
          <t>AMD-AIR-NEW-SSC</t>
        </is>
      </c>
      <c r="B5" t="inlineStr">
        <is>
          <t>Forward Regular OSC</t>
        </is>
      </c>
      <c r="C5" s="5" t="n">
        <v>46097</v>
      </c>
      <c r="D5" s="6">
        <f>Summary!D5*0.08</f>
        <v/>
      </c>
      <c r="E5" s="6">
        <f>Summary!E5*0.08</f>
        <v/>
      </c>
      <c r="F5" s="6">
        <f>Summary!F5*0.08</f>
        <v/>
      </c>
      <c r="G5" s="6">
        <f>Summary!G5*0.08</f>
        <v/>
      </c>
      <c r="H5" s="6">
        <f>Summary!H5*0.08</f>
        <v/>
      </c>
      <c r="I5" s="6">
        <f>Summary!I5*0.08</f>
        <v/>
      </c>
      <c r="J5" s="6">
        <f>Summary!J5*0.08</f>
        <v/>
      </c>
      <c r="K5" s="6">
        <f>Summary!K5*0.08</f>
        <v/>
      </c>
      <c r="L5" s="6">
        <f>Summary!L5*0.08</f>
        <v/>
      </c>
      <c r="M5" s="6">
        <f>Summary!M5*0.08</f>
        <v/>
      </c>
      <c r="N5" s="6">
        <f>Summary!N5*0.08</f>
        <v/>
      </c>
      <c r="O5" s="6">
        <f>Summary!O5*0.08</f>
        <v/>
      </c>
      <c r="P5" s="6">
        <f>Summary!P5*0.08</f>
        <v/>
      </c>
      <c r="Q5" s="6">
        <f>Summary!Q5*0.08</f>
        <v/>
      </c>
      <c r="R5" s="6">
        <f>Summary!R5*0.08</f>
        <v/>
      </c>
      <c r="S5" s="6">
        <f>Summary!S5*0.08</f>
        <v/>
      </c>
      <c r="T5" s="6">
        <f>Summary!T5*0.08</f>
        <v/>
      </c>
      <c r="U5" s="6">
        <f>Summary!U5*0.08</f>
        <v/>
      </c>
      <c r="V5" s="6">
        <f>Summary!V5*0.08</f>
        <v/>
      </c>
      <c r="W5" s="6">
        <f>Summary!W5*0.08</f>
        <v/>
      </c>
      <c r="X5" s="6">
        <f>Summary!X5*0.08</f>
        <v/>
      </c>
      <c r="Y5" s="6">
        <f>Summary!Y5*0.08</f>
        <v/>
      </c>
      <c r="Z5" s="6">
        <f>Summary!Z5*0.08</f>
        <v/>
      </c>
      <c r="AA5" s="6">
        <f>Summary!AA5*0.08</f>
        <v/>
      </c>
      <c r="AB5" s="6">
        <f>SUM(D5:AA5)</f>
        <v/>
      </c>
      <c r="AC5" s="3" t="inlineStr"/>
      <c r="AD5" s="7">
        <f>E5*0.0010369917+D5*0.0002073983</f>
        <v/>
      </c>
      <c r="AE5" s="7">
        <f>F5*0.0010369917+E5*0.0002073983</f>
        <v/>
      </c>
      <c r="AF5" s="7">
        <f>G5*0.0010369917+F5*0.0002073983</f>
        <v/>
      </c>
      <c r="AG5" s="7">
        <f>H5*0.0010369917+G5*0.0002073983</f>
        <v/>
      </c>
      <c r="AH5" s="7">
        <f>I5*0.0010369917+H5*0.0002073983</f>
        <v/>
      </c>
      <c r="AI5" s="7">
        <f>J5*0.0010369917+I5*0.0002073983</f>
        <v/>
      </c>
      <c r="AJ5" s="7">
        <f>K5*0.0010369917+J5*0.0002073983</f>
        <v/>
      </c>
      <c r="AK5" s="7">
        <f>L5*0.0010369917+K5*0.0002073983</f>
        <v/>
      </c>
      <c r="AL5" s="7">
        <f>M5*0.0010369917+L5*0.0002073983</f>
        <v/>
      </c>
      <c r="AM5" s="7">
        <f>N5*0.0010369917+M5*0.0002073983</f>
        <v/>
      </c>
      <c r="AN5" s="7">
        <f>O5*0.0010369917+N5*0.0002073983</f>
        <v/>
      </c>
      <c r="AO5" s="7">
        <f>P5*0.0010369917+O5*0.0002073983</f>
        <v/>
      </c>
      <c r="AP5" s="7">
        <f>Q5*0.0010369917+P5*0.0002073983</f>
        <v/>
      </c>
      <c r="AQ5" s="7">
        <f>R5*0.0010369917+Q5*0.0002073983</f>
        <v/>
      </c>
      <c r="AR5" s="7">
        <f>S5*0.0010369917+R5*0.0002073983</f>
        <v/>
      </c>
      <c r="AS5" s="7">
        <f>T5*0.0010369917+S5*0.0002073983</f>
        <v/>
      </c>
      <c r="AT5" s="7">
        <f>U5*0.0010369917+T5*0.0002073983</f>
        <v/>
      </c>
      <c r="AU5" s="7">
        <f>V5*0.0010369917+U5*0.0002073983</f>
        <v/>
      </c>
      <c r="AV5" s="7">
        <f>W5*0.0010369917+V5*0.0002073983</f>
        <v/>
      </c>
      <c r="AW5" s="7">
        <f>X5*0.0010369917+W5*0.0002073983</f>
        <v/>
      </c>
      <c r="AX5" s="7">
        <f>Y5*0.0010369917+X5*0.0002073983</f>
        <v/>
      </c>
      <c r="AY5" s="7">
        <f>Z5*0.0010369917+Y5*0.0002073983</f>
        <v/>
      </c>
      <c r="AZ5" s="7">
        <f>AA5*0.0010369917+Z5*0.0002073983</f>
        <v/>
      </c>
      <c r="BA5" s="7">
        <f>D5*0.0010369917+AA5*0.0002073983</f>
        <v/>
      </c>
      <c r="BB5" s="7">
        <f>SUM(AD5:BA5)</f>
        <v/>
      </c>
    </row>
    <row r="6">
      <c r="A6" t="inlineStr">
        <is>
          <t>AMD-AIR-NEW-SSC</t>
        </is>
      </c>
      <c r="B6" t="inlineStr">
        <is>
          <t>Forward Regular OSC</t>
        </is>
      </c>
      <c r="C6" s="5" t="n">
        <v>46100</v>
      </c>
      <c r="D6" s="6">
        <f>Summary!D6*0.08</f>
        <v/>
      </c>
      <c r="E6" s="6">
        <f>Summary!E6*0.08</f>
        <v/>
      </c>
      <c r="F6" s="6">
        <f>Summary!F6*0.08</f>
        <v/>
      </c>
      <c r="G6" s="6">
        <f>Summary!G6*0.08</f>
        <v/>
      </c>
      <c r="H6" s="6">
        <f>Summary!H6*0.08</f>
        <v/>
      </c>
      <c r="I6" s="6">
        <f>Summary!I6*0.08</f>
        <v/>
      </c>
      <c r="J6" s="6">
        <f>Summary!J6*0.08</f>
        <v/>
      </c>
      <c r="K6" s="6">
        <f>Summary!K6*0.08</f>
        <v/>
      </c>
      <c r="L6" s="6">
        <f>Summary!L6*0.08</f>
        <v/>
      </c>
      <c r="M6" s="6">
        <f>Summary!M6*0.08</f>
        <v/>
      </c>
      <c r="N6" s="6">
        <f>Summary!N6*0.08</f>
        <v/>
      </c>
      <c r="O6" s="6">
        <f>Summary!O6*0.08</f>
        <v/>
      </c>
      <c r="P6" s="6">
        <f>Summary!P6*0.08</f>
        <v/>
      </c>
      <c r="Q6" s="6">
        <f>Summary!Q6*0.08</f>
        <v/>
      </c>
      <c r="R6" s="6">
        <f>Summary!R6*0.08</f>
        <v/>
      </c>
      <c r="S6" s="6">
        <f>Summary!S6*0.08</f>
        <v/>
      </c>
      <c r="T6" s="6">
        <f>Summary!T6*0.08</f>
        <v/>
      </c>
      <c r="U6" s="6">
        <f>Summary!U6*0.08</f>
        <v/>
      </c>
      <c r="V6" s="6">
        <f>Summary!V6*0.08</f>
        <v/>
      </c>
      <c r="W6" s="6">
        <f>Summary!W6*0.08</f>
        <v/>
      </c>
      <c r="X6" s="6">
        <f>Summary!X6*0.08</f>
        <v/>
      </c>
      <c r="Y6" s="6">
        <f>Summary!Y6*0.08</f>
        <v/>
      </c>
      <c r="Z6" s="6">
        <f>Summary!Z6*0.08</f>
        <v/>
      </c>
      <c r="AA6" s="6">
        <f>Summary!AA6*0.08</f>
        <v/>
      </c>
      <c r="AB6" s="6">
        <f>SUM(D6:AA6)</f>
        <v/>
      </c>
      <c r="AC6" s="3" t="inlineStr"/>
      <c r="AD6" s="7">
        <f>E6*0.0010369917+D6*0.0002073983</f>
        <v/>
      </c>
      <c r="AE6" s="7">
        <f>F6*0.0010369917+E6*0.0002073983</f>
        <v/>
      </c>
      <c r="AF6" s="7">
        <f>G6*0.0010369917+F6*0.0002073983</f>
        <v/>
      </c>
      <c r="AG6" s="7">
        <f>H6*0.0010369917+G6*0.0002073983</f>
        <v/>
      </c>
      <c r="AH6" s="7">
        <f>I6*0.0010369917+H6*0.0002073983</f>
        <v/>
      </c>
      <c r="AI6" s="7">
        <f>J6*0.0010369917+I6*0.0002073983</f>
        <v/>
      </c>
      <c r="AJ6" s="7">
        <f>K6*0.0010369917+J6*0.0002073983</f>
        <v/>
      </c>
      <c r="AK6" s="7">
        <f>L6*0.0010369917+K6*0.0002073983</f>
        <v/>
      </c>
      <c r="AL6" s="7">
        <f>M6*0.0010369917+L6*0.0002073983</f>
        <v/>
      </c>
      <c r="AM6" s="7">
        <f>N6*0.0010369917+M6*0.0002073983</f>
        <v/>
      </c>
      <c r="AN6" s="7">
        <f>O6*0.0010369917+N6*0.0002073983</f>
        <v/>
      </c>
      <c r="AO6" s="7">
        <f>P6*0.0010369917+O6*0.0002073983</f>
        <v/>
      </c>
      <c r="AP6" s="7">
        <f>Q6*0.0010369917+P6*0.0002073983</f>
        <v/>
      </c>
      <c r="AQ6" s="7">
        <f>R6*0.0010369917+Q6*0.0002073983</f>
        <v/>
      </c>
      <c r="AR6" s="7">
        <f>S6*0.0010369917+R6*0.0002073983</f>
        <v/>
      </c>
      <c r="AS6" s="7">
        <f>T6*0.0010369917+S6*0.0002073983</f>
        <v/>
      </c>
      <c r="AT6" s="7">
        <f>U6*0.0010369917+T6*0.0002073983</f>
        <v/>
      </c>
      <c r="AU6" s="7">
        <f>V6*0.0010369917+U6*0.0002073983</f>
        <v/>
      </c>
      <c r="AV6" s="7">
        <f>W6*0.0010369917+V6*0.0002073983</f>
        <v/>
      </c>
      <c r="AW6" s="7">
        <f>X6*0.0010369917+W6*0.0002073983</f>
        <v/>
      </c>
      <c r="AX6" s="7">
        <f>Y6*0.0010369917+X6*0.0002073983</f>
        <v/>
      </c>
      <c r="AY6" s="7">
        <f>Z6*0.0010369917+Y6*0.0002073983</f>
        <v/>
      </c>
      <c r="AZ6" s="7">
        <f>AA6*0.0010369917+Z6*0.0002073983</f>
        <v/>
      </c>
      <c r="BA6" s="7">
        <f>D6*0.0010369917+AA6*0.0002073983</f>
        <v/>
      </c>
      <c r="BB6" s="7">
        <f>SUM(AD6:BA6)</f>
        <v/>
      </c>
    </row>
    <row r="7">
      <c r="A7" t="inlineStr">
        <is>
          <t>AMD-AIR-NEW-SSC</t>
        </is>
      </c>
      <c r="B7" t="inlineStr">
        <is>
          <t>Forward Regular OSC</t>
        </is>
      </c>
      <c r="C7" s="5" t="n">
        <v>46101</v>
      </c>
      <c r="D7" s="6">
        <f>Summary!D7*0.08</f>
        <v/>
      </c>
      <c r="E7" s="6">
        <f>Summary!E7*0.08</f>
        <v/>
      </c>
      <c r="F7" s="6">
        <f>Summary!F7*0.08</f>
        <v/>
      </c>
      <c r="G7" s="6">
        <f>Summary!G7*0.08</f>
        <v/>
      </c>
      <c r="H7" s="6">
        <f>Summary!H7*0.08</f>
        <v/>
      </c>
      <c r="I7" s="6">
        <f>Summary!I7*0.08</f>
        <v/>
      </c>
      <c r="J7" s="6">
        <f>Summary!J7*0.08</f>
        <v/>
      </c>
      <c r="K7" s="6">
        <f>Summary!K7*0.08</f>
        <v/>
      </c>
      <c r="L7" s="6">
        <f>Summary!L7*0.08</f>
        <v/>
      </c>
      <c r="M7" s="6">
        <f>Summary!M7*0.08</f>
        <v/>
      </c>
      <c r="N7" s="6">
        <f>Summary!N7*0.08</f>
        <v/>
      </c>
      <c r="O7" s="6">
        <f>Summary!O7*0.08</f>
        <v/>
      </c>
      <c r="P7" s="6">
        <f>Summary!P7*0.08</f>
        <v/>
      </c>
      <c r="Q7" s="6">
        <f>Summary!Q7*0.08</f>
        <v/>
      </c>
      <c r="R7" s="6">
        <f>Summary!R7*0.08</f>
        <v/>
      </c>
      <c r="S7" s="6">
        <f>Summary!S7*0.08</f>
        <v/>
      </c>
      <c r="T7" s="6">
        <f>Summary!T7*0.08</f>
        <v/>
      </c>
      <c r="U7" s="6">
        <f>Summary!U7*0.08</f>
        <v/>
      </c>
      <c r="V7" s="6">
        <f>Summary!V7*0.08</f>
        <v/>
      </c>
      <c r="W7" s="6">
        <f>Summary!W7*0.08</f>
        <v/>
      </c>
      <c r="X7" s="6">
        <f>Summary!X7*0.08</f>
        <v/>
      </c>
      <c r="Y7" s="6">
        <f>Summary!Y7*0.08</f>
        <v/>
      </c>
      <c r="Z7" s="6">
        <f>Summary!Z7*0.08</f>
        <v/>
      </c>
      <c r="AA7" s="6">
        <f>Summary!AA7*0.08</f>
        <v/>
      </c>
      <c r="AB7" s="6">
        <f>SUM(D7:AA7)</f>
        <v/>
      </c>
      <c r="AC7" s="3" t="inlineStr"/>
      <c r="AD7" s="7">
        <f>E7*0.0010369917+D7*0.0002073983</f>
        <v/>
      </c>
      <c r="AE7" s="7">
        <f>F7*0.0010369917+E7*0.0002073983</f>
        <v/>
      </c>
      <c r="AF7" s="7">
        <f>G7*0.0010369917+F7*0.0002073983</f>
        <v/>
      </c>
      <c r="AG7" s="7">
        <f>H7*0.0010369917+G7*0.0002073983</f>
        <v/>
      </c>
      <c r="AH7" s="7">
        <f>I7*0.0010369917+H7*0.0002073983</f>
        <v/>
      </c>
      <c r="AI7" s="7">
        <f>J7*0.0010369917+I7*0.0002073983</f>
        <v/>
      </c>
      <c r="AJ7" s="7">
        <f>K7*0.0010369917+J7*0.0002073983</f>
        <v/>
      </c>
      <c r="AK7" s="7">
        <f>L7*0.0010369917+K7*0.0002073983</f>
        <v/>
      </c>
      <c r="AL7" s="7">
        <f>M7*0.0010369917+L7*0.0002073983</f>
        <v/>
      </c>
      <c r="AM7" s="7">
        <f>N7*0.0010369917+M7*0.0002073983</f>
        <v/>
      </c>
      <c r="AN7" s="7">
        <f>O7*0.0010369917+N7*0.0002073983</f>
        <v/>
      </c>
      <c r="AO7" s="7">
        <f>P7*0.0010369917+O7*0.0002073983</f>
        <v/>
      </c>
      <c r="AP7" s="7">
        <f>Q7*0.0010369917+P7*0.0002073983</f>
        <v/>
      </c>
      <c r="AQ7" s="7">
        <f>R7*0.0010369917+Q7*0.0002073983</f>
        <v/>
      </c>
      <c r="AR7" s="7">
        <f>S7*0.0010369917+R7*0.0002073983</f>
        <v/>
      </c>
      <c r="AS7" s="7">
        <f>T7*0.0010369917+S7*0.0002073983</f>
        <v/>
      </c>
      <c r="AT7" s="7">
        <f>U7*0.0010369917+T7*0.0002073983</f>
        <v/>
      </c>
      <c r="AU7" s="7">
        <f>V7*0.0010369917+U7*0.0002073983</f>
        <v/>
      </c>
      <c r="AV7" s="7">
        <f>W7*0.0010369917+V7*0.0002073983</f>
        <v/>
      </c>
      <c r="AW7" s="7">
        <f>X7*0.0010369917+W7*0.0002073983</f>
        <v/>
      </c>
      <c r="AX7" s="7">
        <f>Y7*0.0010369917+X7*0.0002073983</f>
        <v/>
      </c>
      <c r="AY7" s="7">
        <f>Z7*0.0010369917+Y7*0.0002073983</f>
        <v/>
      </c>
      <c r="AZ7" s="7">
        <f>AA7*0.0010369917+Z7*0.0002073983</f>
        <v/>
      </c>
      <c r="BA7" s="7">
        <f>D7*0.0010369917+AA7*0.0002073983</f>
        <v/>
      </c>
      <c r="BB7" s="7">
        <f>SUM(AD7:BA7)</f>
        <v/>
      </c>
    </row>
    <row r="8">
      <c r="A8" t="inlineStr">
        <is>
          <t>AMD-AIR-NEW-SSC</t>
        </is>
      </c>
      <c r="B8" t="inlineStr">
        <is>
          <t>Forward Regular OSC</t>
        </is>
      </c>
      <c r="C8" s="5" t="n">
        <v>46102</v>
      </c>
      <c r="D8" s="6">
        <f>Summary!D8*0.08</f>
        <v/>
      </c>
      <c r="E8" s="6">
        <f>Summary!E8*0.08</f>
        <v/>
      </c>
      <c r="F8" s="6">
        <f>Summary!F8*0.08</f>
        <v/>
      </c>
      <c r="G8" s="6">
        <f>Summary!G8*0.08</f>
        <v/>
      </c>
      <c r="H8" s="6">
        <f>Summary!H8*0.08</f>
        <v/>
      </c>
      <c r="I8" s="6">
        <f>Summary!I8*0.08</f>
        <v/>
      </c>
      <c r="J8" s="6">
        <f>Summary!J8*0.08</f>
        <v/>
      </c>
      <c r="K8" s="6">
        <f>Summary!K8*0.08</f>
        <v/>
      </c>
      <c r="L8" s="6">
        <f>Summary!L8*0.08</f>
        <v/>
      </c>
      <c r="M8" s="6">
        <f>Summary!M8*0.08</f>
        <v/>
      </c>
      <c r="N8" s="6">
        <f>Summary!N8*0.08</f>
        <v/>
      </c>
      <c r="O8" s="6">
        <f>Summary!O8*0.08</f>
        <v/>
      </c>
      <c r="P8" s="6">
        <f>Summary!P8*0.08</f>
        <v/>
      </c>
      <c r="Q8" s="6">
        <f>Summary!Q8*0.08</f>
        <v/>
      </c>
      <c r="R8" s="6">
        <f>Summary!R8*0.08</f>
        <v/>
      </c>
      <c r="S8" s="6">
        <f>Summary!S8*0.08</f>
        <v/>
      </c>
      <c r="T8" s="6">
        <f>Summary!T8*0.08</f>
        <v/>
      </c>
      <c r="U8" s="6">
        <f>Summary!U8*0.08</f>
        <v/>
      </c>
      <c r="V8" s="6">
        <f>Summary!V8*0.08</f>
        <v/>
      </c>
      <c r="W8" s="6">
        <f>Summary!W8*0.08</f>
        <v/>
      </c>
      <c r="X8" s="6">
        <f>Summary!X8*0.08</f>
        <v/>
      </c>
      <c r="Y8" s="6">
        <f>Summary!Y8*0.08</f>
        <v/>
      </c>
      <c r="Z8" s="6">
        <f>Summary!Z8*0.08</f>
        <v/>
      </c>
      <c r="AA8" s="6">
        <f>Summary!AA8*0.08</f>
        <v/>
      </c>
      <c r="AB8" s="6">
        <f>SUM(D8:AA8)</f>
        <v/>
      </c>
      <c r="AC8" s="3" t="inlineStr"/>
      <c r="AD8" s="7">
        <f>E8*0.0010369917+D8*0.0002073983</f>
        <v/>
      </c>
      <c r="AE8" s="7">
        <f>F8*0.0010369917+E8*0.0002073983</f>
        <v/>
      </c>
      <c r="AF8" s="7">
        <f>G8*0.0010369917+F8*0.0002073983</f>
        <v/>
      </c>
      <c r="AG8" s="7">
        <f>H8*0.0010369917+G8*0.0002073983</f>
        <v/>
      </c>
      <c r="AH8" s="7">
        <f>I8*0.0010369917+H8*0.0002073983</f>
        <v/>
      </c>
      <c r="AI8" s="7">
        <f>J8*0.0010369917+I8*0.0002073983</f>
        <v/>
      </c>
      <c r="AJ8" s="7">
        <f>K8*0.0010369917+J8*0.0002073983</f>
        <v/>
      </c>
      <c r="AK8" s="7">
        <f>L8*0.0010369917+K8*0.0002073983</f>
        <v/>
      </c>
      <c r="AL8" s="7">
        <f>M8*0.0010369917+L8*0.0002073983</f>
        <v/>
      </c>
      <c r="AM8" s="7">
        <f>N8*0.0010369917+M8*0.0002073983</f>
        <v/>
      </c>
      <c r="AN8" s="7">
        <f>O8*0.0010369917+N8*0.0002073983</f>
        <v/>
      </c>
      <c r="AO8" s="7">
        <f>P8*0.0010369917+O8*0.0002073983</f>
        <v/>
      </c>
      <c r="AP8" s="7">
        <f>Q8*0.0010369917+P8*0.0002073983</f>
        <v/>
      </c>
      <c r="AQ8" s="7">
        <f>R8*0.0010369917+Q8*0.0002073983</f>
        <v/>
      </c>
      <c r="AR8" s="7">
        <f>S8*0.0010369917+R8*0.0002073983</f>
        <v/>
      </c>
      <c r="AS8" s="7">
        <f>T8*0.0010369917+S8*0.0002073983</f>
        <v/>
      </c>
      <c r="AT8" s="7">
        <f>U8*0.0010369917+T8*0.0002073983</f>
        <v/>
      </c>
      <c r="AU8" s="7">
        <f>V8*0.0010369917+U8*0.0002073983</f>
        <v/>
      </c>
      <c r="AV8" s="7">
        <f>W8*0.0010369917+V8*0.0002073983</f>
        <v/>
      </c>
      <c r="AW8" s="7">
        <f>X8*0.0010369917+W8*0.0002073983</f>
        <v/>
      </c>
      <c r="AX8" s="7">
        <f>Y8*0.0010369917+X8*0.0002073983</f>
        <v/>
      </c>
      <c r="AY8" s="7">
        <f>Z8*0.0010369917+Y8*0.0002073983</f>
        <v/>
      </c>
      <c r="AZ8" s="7">
        <f>AA8*0.0010369917+Z8*0.0002073983</f>
        <v/>
      </c>
      <c r="BA8" s="7">
        <f>D8*0.0010369917+AA8*0.0002073983</f>
        <v/>
      </c>
      <c r="BB8" s="7">
        <f>SUM(AD8:BA8)</f>
        <v/>
      </c>
    </row>
    <row r="9">
      <c r="A9" t="inlineStr">
        <is>
          <t>AMD-AIR-NEW-SSC</t>
        </is>
      </c>
      <c r="B9" t="inlineStr">
        <is>
          <t>Forward Regular OSC</t>
        </is>
      </c>
      <c r="C9" s="5" t="n">
        <v>46103</v>
      </c>
      <c r="D9" s="6">
        <f>Summary!D9*0.08</f>
        <v/>
      </c>
      <c r="E9" s="6">
        <f>Summary!E9*0.08</f>
        <v/>
      </c>
      <c r="F9" s="6">
        <f>Summary!F9*0.08</f>
        <v/>
      </c>
      <c r="G9" s="6">
        <f>Summary!G9*0.08</f>
        <v/>
      </c>
      <c r="H9" s="6">
        <f>Summary!H9*0.08</f>
        <v/>
      </c>
      <c r="I9" s="6">
        <f>Summary!I9*0.08</f>
        <v/>
      </c>
      <c r="J9" s="6">
        <f>Summary!J9*0.08</f>
        <v/>
      </c>
      <c r="K9" s="6">
        <f>Summary!K9*0.08</f>
        <v/>
      </c>
      <c r="L9" s="6">
        <f>Summary!L9*0.08</f>
        <v/>
      </c>
      <c r="M9" s="6">
        <f>Summary!M9*0.08</f>
        <v/>
      </c>
      <c r="N9" s="6">
        <f>Summary!N9*0.08</f>
        <v/>
      </c>
      <c r="O9" s="6">
        <f>Summary!O9*0.08</f>
        <v/>
      </c>
      <c r="P9" s="6">
        <f>Summary!P9*0.08</f>
        <v/>
      </c>
      <c r="Q9" s="6">
        <f>Summary!Q9*0.08</f>
        <v/>
      </c>
      <c r="R9" s="6">
        <f>Summary!R9*0.08</f>
        <v/>
      </c>
      <c r="S9" s="6">
        <f>Summary!S9*0.08</f>
        <v/>
      </c>
      <c r="T9" s="6">
        <f>Summary!T9*0.08</f>
        <v/>
      </c>
      <c r="U9" s="6">
        <f>Summary!U9*0.08</f>
        <v/>
      </c>
      <c r="V9" s="6">
        <f>Summary!V9*0.08</f>
        <v/>
      </c>
      <c r="W9" s="6">
        <f>Summary!W9*0.08</f>
        <v/>
      </c>
      <c r="X9" s="6">
        <f>Summary!X9*0.08</f>
        <v/>
      </c>
      <c r="Y9" s="6">
        <f>Summary!Y9*0.08</f>
        <v/>
      </c>
      <c r="Z9" s="6">
        <f>Summary!Z9*0.08</f>
        <v/>
      </c>
      <c r="AA9" s="6">
        <f>Summary!AA9*0.08</f>
        <v/>
      </c>
      <c r="AB9" s="6">
        <f>SUM(D9:AA9)</f>
        <v/>
      </c>
      <c r="AC9" s="3" t="inlineStr"/>
      <c r="AD9" s="7">
        <f>E9*0.0010369917+D9*0.0002073983</f>
        <v/>
      </c>
      <c r="AE9" s="7">
        <f>F9*0.0010369917+E9*0.0002073983</f>
        <v/>
      </c>
      <c r="AF9" s="7">
        <f>G9*0.0010369917+F9*0.0002073983</f>
        <v/>
      </c>
      <c r="AG9" s="7">
        <f>H9*0.0010369917+G9*0.0002073983</f>
        <v/>
      </c>
      <c r="AH9" s="7">
        <f>I9*0.0010369917+H9*0.0002073983</f>
        <v/>
      </c>
      <c r="AI9" s="7">
        <f>J9*0.0010369917+I9*0.0002073983</f>
        <v/>
      </c>
      <c r="AJ9" s="7">
        <f>K9*0.0010369917+J9*0.0002073983</f>
        <v/>
      </c>
      <c r="AK9" s="7">
        <f>L9*0.0010369917+K9*0.0002073983</f>
        <v/>
      </c>
      <c r="AL9" s="7">
        <f>M9*0.0010369917+L9*0.0002073983</f>
        <v/>
      </c>
      <c r="AM9" s="7">
        <f>N9*0.0010369917+M9*0.0002073983</f>
        <v/>
      </c>
      <c r="AN9" s="7">
        <f>O9*0.0010369917+N9*0.0002073983</f>
        <v/>
      </c>
      <c r="AO9" s="7">
        <f>P9*0.0010369917+O9*0.0002073983</f>
        <v/>
      </c>
      <c r="AP9" s="7">
        <f>Q9*0.0010369917+P9*0.0002073983</f>
        <v/>
      </c>
      <c r="AQ9" s="7">
        <f>R9*0.0010369917+Q9*0.0002073983</f>
        <v/>
      </c>
      <c r="AR9" s="7">
        <f>S9*0.0010369917+R9*0.0002073983</f>
        <v/>
      </c>
      <c r="AS9" s="7">
        <f>T9*0.0010369917+S9*0.0002073983</f>
        <v/>
      </c>
      <c r="AT9" s="7">
        <f>U9*0.0010369917+T9*0.0002073983</f>
        <v/>
      </c>
      <c r="AU9" s="7">
        <f>V9*0.0010369917+U9*0.0002073983</f>
        <v/>
      </c>
      <c r="AV9" s="7">
        <f>W9*0.0010369917+V9*0.0002073983</f>
        <v/>
      </c>
      <c r="AW9" s="7">
        <f>X9*0.0010369917+W9*0.0002073983</f>
        <v/>
      </c>
      <c r="AX9" s="7">
        <f>Y9*0.0010369917+X9*0.0002073983</f>
        <v/>
      </c>
      <c r="AY9" s="7">
        <f>Z9*0.0010369917+Y9*0.0002073983</f>
        <v/>
      </c>
      <c r="AZ9" s="7">
        <f>AA9*0.0010369917+Z9*0.0002073983</f>
        <v/>
      </c>
      <c r="BA9" s="7">
        <f>D9*0.0010369917+AA9*0.0002073983</f>
        <v/>
      </c>
      <c r="BB9" s="7">
        <f>SUM(AD9:BA9)</f>
        <v/>
      </c>
    </row>
    <row r="10">
      <c r="A10" t="inlineStr">
        <is>
          <t>AMD-AIR-NEW-SSC</t>
        </is>
      </c>
      <c r="B10" t="inlineStr">
        <is>
          <t>Forward Regular OSC</t>
        </is>
      </c>
      <c r="C10" s="5" t="n">
        <v>46104</v>
      </c>
      <c r="D10" s="6">
        <f>Summary!D10*0.08</f>
        <v/>
      </c>
      <c r="E10" s="6">
        <f>Summary!E10*0.08</f>
        <v/>
      </c>
      <c r="F10" s="6">
        <f>Summary!F10*0.08</f>
        <v/>
      </c>
      <c r="G10" s="6">
        <f>Summary!G10*0.08</f>
        <v/>
      </c>
      <c r="H10" s="6">
        <f>Summary!H10*0.08</f>
        <v/>
      </c>
      <c r="I10" s="6">
        <f>Summary!I10*0.08</f>
        <v/>
      </c>
      <c r="J10" s="6">
        <f>Summary!J10*0.08</f>
        <v/>
      </c>
      <c r="K10" s="6">
        <f>Summary!K10*0.08</f>
        <v/>
      </c>
      <c r="L10" s="6">
        <f>Summary!L10*0.08</f>
        <v/>
      </c>
      <c r="M10" s="6">
        <f>Summary!M10*0.08</f>
        <v/>
      </c>
      <c r="N10" s="6">
        <f>Summary!N10*0.08</f>
        <v/>
      </c>
      <c r="O10" s="6">
        <f>Summary!O10*0.08</f>
        <v/>
      </c>
      <c r="P10" s="6">
        <f>Summary!P10*0.08</f>
        <v/>
      </c>
      <c r="Q10" s="6">
        <f>Summary!Q10*0.08</f>
        <v/>
      </c>
      <c r="R10" s="6">
        <f>Summary!R10*0.08</f>
        <v/>
      </c>
      <c r="S10" s="6">
        <f>Summary!S10*0.08</f>
        <v/>
      </c>
      <c r="T10" s="6">
        <f>Summary!T10*0.08</f>
        <v/>
      </c>
      <c r="U10" s="6">
        <f>Summary!U10*0.08</f>
        <v/>
      </c>
      <c r="V10" s="6">
        <f>Summary!V10*0.08</f>
        <v/>
      </c>
      <c r="W10" s="6">
        <f>Summary!W10*0.08</f>
        <v/>
      </c>
      <c r="X10" s="6">
        <f>Summary!X10*0.08</f>
        <v/>
      </c>
      <c r="Y10" s="6">
        <f>Summary!Y10*0.08</f>
        <v/>
      </c>
      <c r="Z10" s="6">
        <f>Summary!Z10*0.08</f>
        <v/>
      </c>
      <c r="AA10" s="6">
        <f>Summary!AA10*0.08</f>
        <v/>
      </c>
      <c r="AB10" s="6">
        <f>SUM(D10:AA10)</f>
        <v/>
      </c>
      <c r="AC10" s="3" t="inlineStr"/>
      <c r="AD10" s="7">
        <f>E10*0.0010369917+D10*0.0002073983</f>
        <v/>
      </c>
      <c r="AE10" s="7">
        <f>F10*0.0010369917+E10*0.0002073983</f>
        <v/>
      </c>
      <c r="AF10" s="7">
        <f>G10*0.0010369917+F10*0.0002073983</f>
        <v/>
      </c>
      <c r="AG10" s="7">
        <f>H10*0.0010369917+G10*0.0002073983</f>
        <v/>
      </c>
      <c r="AH10" s="7">
        <f>I10*0.0010369917+H10*0.0002073983</f>
        <v/>
      </c>
      <c r="AI10" s="7">
        <f>J10*0.0010369917+I10*0.0002073983</f>
        <v/>
      </c>
      <c r="AJ10" s="7">
        <f>K10*0.0010369917+J10*0.0002073983</f>
        <v/>
      </c>
      <c r="AK10" s="7">
        <f>L10*0.0010369917+K10*0.0002073983</f>
        <v/>
      </c>
      <c r="AL10" s="7">
        <f>M10*0.0010369917+L10*0.0002073983</f>
        <v/>
      </c>
      <c r="AM10" s="7">
        <f>N10*0.0010369917+M10*0.0002073983</f>
        <v/>
      </c>
      <c r="AN10" s="7">
        <f>O10*0.0010369917+N10*0.0002073983</f>
        <v/>
      </c>
      <c r="AO10" s="7">
        <f>P10*0.0010369917+O10*0.0002073983</f>
        <v/>
      </c>
      <c r="AP10" s="7">
        <f>Q10*0.0010369917+P10*0.0002073983</f>
        <v/>
      </c>
      <c r="AQ10" s="7">
        <f>R10*0.0010369917+Q10*0.0002073983</f>
        <v/>
      </c>
      <c r="AR10" s="7">
        <f>S10*0.0010369917+R10*0.0002073983</f>
        <v/>
      </c>
      <c r="AS10" s="7">
        <f>T10*0.0010369917+S10*0.0002073983</f>
        <v/>
      </c>
      <c r="AT10" s="7">
        <f>U10*0.0010369917+T10*0.0002073983</f>
        <v/>
      </c>
      <c r="AU10" s="7">
        <f>V10*0.0010369917+U10*0.0002073983</f>
        <v/>
      </c>
      <c r="AV10" s="7">
        <f>W10*0.0010369917+V10*0.0002073983</f>
        <v/>
      </c>
      <c r="AW10" s="7">
        <f>X10*0.0010369917+W10*0.0002073983</f>
        <v/>
      </c>
      <c r="AX10" s="7">
        <f>Y10*0.0010369917+X10*0.0002073983</f>
        <v/>
      </c>
      <c r="AY10" s="7">
        <f>Z10*0.0010369917+Y10*0.0002073983</f>
        <v/>
      </c>
      <c r="AZ10" s="7">
        <f>AA10*0.0010369917+Z10*0.0002073983</f>
        <v/>
      </c>
      <c r="BA10" s="7">
        <f>D10*0.0010369917+AA10*0.0002073983</f>
        <v/>
      </c>
      <c r="BB10" s="7">
        <f>SUM(AD10:BA10)</f>
        <v/>
      </c>
    </row>
    <row r="11">
      <c r="A11" t="inlineStr">
        <is>
          <t>AMD-EXPR</t>
        </is>
      </c>
      <c r="B11" t="inlineStr">
        <is>
          <t>DSC Manual</t>
        </is>
      </c>
      <c r="C11" s="5" t="n">
        <v>46089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>
        <f>SUM(D11:AA11)</f>
        <v/>
      </c>
      <c r="AC11" s="3" t="inlineStr"/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0</v>
      </c>
      <c r="AP11" s="7" t="n">
        <v>0</v>
      </c>
      <c r="AQ11" s="7" t="n">
        <v>0</v>
      </c>
      <c r="AR11" s="7" t="n">
        <v>0</v>
      </c>
      <c r="AS11" s="7" t="n">
        <v>0</v>
      </c>
      <c r="AT11" s="7" t="n">
        <v>0</v>
      </c>
      <c r="AU11" s="7" t="n">
        <v>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0</v>
      </c>
      <c r="BA11" s="7" t="n">
        <v>0</v>
      </c>
      <c r="BB11" s="7">
        <f>SUM(AD11:BA11)</f>
        <v/>
      </c>
    </row>
    <row r="12">
      <c r="A12" t="inlineStr">
        <is>
          <t>AMD-EXPR</t>
        </is>
      </c>
      <c r="B12" t="inlineStr">
        <is>
          <t>DSC Manual</t>
        </is>
      </c>
      <c r="C12" s="5" t="n">
        <v>46090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>
        <f>SUM(D12:AA12)</f>
        <v/>
      </c>
      <c r="AC12" s="3" t="inlineStr"/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0</v>
      </c>
      <c r="AT12" s="7" t="n">
        <v>0</v>
      </c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0</v>
      </c>
      <c r="BA12" s="7" t="n">
        <v>0</v>
      </c>
      <c r="BB12" s="7">
        <f>SUM(AD12:BA12)</f>
        <v/>
      </c>
    </row>
    <row r="13">
      <c r="A13" t="inlineStr">
        <is>
          <t>AMD-EXPR</t>
        </is>
      </c>
      <c r="B13" t="inlineStr">
        <is>
          <t>DSC Manual</t>
        </is>
      </c>
      <c r="C13" s="5" t="n">
        <v>46091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>
        <f>SUM(D13:AA13)</f>
        <v/>
      </c>
      <c r="AC13" s="3" t="inlineStr"/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0</v>
      </c>
      <c r="AP13" s="7" t="n">
        <v>0</v>
      </c>
      <c r="AQ13" s="7" t="n">
        <v>0</v>
      </c>
      <c r="AR13" s="7" t="n">
        <v>0</v>
      </c>
      <c r="AS13" s="7" t="n">
        <v>0</v>
      </c>
      <c r="AT13" s="7" t="n">
        <v>0</v>
      </c>
      <c r="AU13" s="7" t="n">
        <v>0</v>
      </c>
      <c r="AV13" s="7" t="n">
        <v>0</v>
      </c>
      <c r="AW13" s="7" t="n">
        <v>0</v>
      </c>
      <c r="AX13" s="7" t="n">
        <v>0</v>
      </c>
      <c r="AY13" s="7" t="n">
        <v>0</v>
      </c>
      <c r="AZ13" s="7" t="n">
        <v>0</v>
      </c>
      <c r="BA13" s="7" t="n">
        <v>0</v>
      </c>
      <c r="BB13" s="7">
        <f>SUM(AD13:BA13)</f>
        <v/>
      </c>
    </row>
    <row r="14">
      <c r="A14" t="inlineStr">
        <is>
          <t>AMD-EXPR</t>
        </is>
      </c>
      <c r="B14" t="inlineStr">
        <is>
          <t>DSC Manual</t>
        </is>
      </c>
      <c r="C14" s="5" t="n">
        <v>46092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>
        <f>SUM(D14:AA14)</f>
        <v/>
      </c>
      <c r="AC14" s="3" t="inlineStr"/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0</v>
      </c>
      <c r="AP14" s="7" t="n">
        <v>0</v>
      </c>
      <c r="AQ14" s="7" t="n">
        <v>0</v>
      </c>
      <c r="AR14" s="7" t="n">
        <v>0</v>
      </c>
      <c r="AS14" s="7" t="n">
        <v>0</v>
      </c>
      <c r="AT14" s="7" t="n">
        <v>0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0</v>
      </c>
      <c r="BA14" s="7" t="n">
        <v>0</v>
      </c>
      <c r="BB14" s="7">
        <f>SUM(AD14:BA14)</f>
        <v/>
      </c>
    </row>
    <row r="15">
      <c r="A15" t="inlineStr">
        <is>
          <t>AMD-EXPR</t>
        </is>
      </c>
      <c r="B15" t="inlineStr">
        <is>
          <t>DSC Manual</t>
        </is>
      </c>
      <c r="C15" s="5" t="n">
        <v>46093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  <c r="AB15" s="6">
        <f>SUM(D15:AA15)</f>
        <v/>
      </c>
      <c r="AC15" s="3" t="inlineStr"/>
      <c r="AD15" s="7" t="n">
        <v>0</v>
      </c>
      <c r="AE15" s="7" t="n">
        <v>0</v>
      </c>
      <c r="AF15" s="7" t="n">
        <v>0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0</v>
      </c>
      <c r="AL15" s="7" t="n">
        <v>0</v>
      </c>
      <c r="AM15" s="7" t="n">
        <v>0</v>
      </c>
      <c r="AN15" s="7" t="n">
        <v>0</v>
      </c>
      <c r="AO15" s="7" t="n">
        <v>0</v>
      </c>
      <c r="AP15" s="7" t="n">
        <v>0</v>
      </c>
      <c r="AQ15" s="7" t="n">
        <v>0</v>
      </c>
      <c r="AR15" s="7" t="n">
        <v>0</v>
      </c>
      <c r="AS15" s="7" t="n">
        <v>0</v>
      </c>
      <c r="AT15" s="7" t="n">
        <v>0</v>
      </c>
      <c r="AU15" s="7" t="n">
        <v>0</v>
      </c>
      <c r="AV15" s="7" t="n">
        <v>0</v>
      </c>
      <c r="AW15" s="7" t="n">
        <v>0</v>
      </c>
      <c r="AX15" s="7" t="n">
        <v>0</v>
      </c>
      <c r="AY15" s="7" t="n">
        <v>0</v>
      </c>
      <c r="AZ15" s="7" t="n">
        <v>0</v>
      </c>
      <c r="BA15" s="7" t="n">
        <v>0</v>
      </c>
      <c r="BB15" s="7">
        <f>SUM(AD15:BA15)</f>
        <v/>
      </c>
    </row>
    <row r="16">
      <c r="A16" t="inlineStr">
        <is>
          <t>AMD-EXPR</t>
        </is>
      </c>
      <c r="B16" t="inlineStr">
        <is>
          <t>DSC Manual</t>
        </is>
      </c>
      <c r="C16" s="5" t="n">
        <v>46094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  <c r="AB16" s="6">
        <f>SUM(D16:AA16)</f>
        <v/>
      </c>
      <c r="AC16" s="3" t="inlineStr"/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0</v>
      </c>
      <c r="AS16" s="7" t="n">
        <v>0</v>
      </c>
      <c r="AT16" s="7" t="n">
        <v>0</v>
      </c>
      <c r="AU16" s="7" t="n">
        <v>0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0</v>
      </c>
      <c r="BA16" s="7" t="n">
        <v>0</v>
      </c>
      <c r="BB16" s="7">
        <f>SUM(AD16:BA16)</f>
        <v/>
      </c>
    </row>
    <row r="17">
      <c r="A17" t="inlineStr">
        <is>
          <t>AMD-EXPR</t>
        </is>
      </c>
      <c r="B17" t="inlineStr">
        <is>
          <t>DSC Manual</t>
        </is>
      </c>
      <c r="C17" s="5" t="n">
        <v>46095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6">
        <f>SUM(D17:AA17)</f>
        <v/>
      </c>
      <c r="AC17" s="3" t="inlineStr"/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0</v>
      </c>
      <c r="AI17" s="7" t="n">
        <v>0</v>
      </c>
      <c r="AJ17" s="7" t="n">
        <v>0</v>
      </c>
      <c r="AK17" s="7" t="n">
        <v>0</v>
      </c>
      <c r="AL17" s="7" t="n">
        <v>0</v>
      </c>
      <c r="AM17" s="7" t="n">
        <v>0</v>
      </c>
      <c r="AN17" s="7" t="n">
        <v>0</v>
      </c>
      <c r="AO17" s="7" t="n">
        <v>0</v>
      </c>
      <c r="AP17" s="7" t="n">
        <v>0</v>
      </c>
      <c r="AQ17" s="7" t="n">
        <v>0</v>
      </c>
      <c r="AR17" s="7" t="n">
        <v>0</v>
      </c>
      <c r="AS17" s="7" t="n">
        <v>0</v>
      </c>
      <c r="AT17" s="7" t="n">
        <v>0</v>
      </c>
      <c r="AU17" s="7" t="n">
        <v>0</v>
      </c>
      <c r="AV17" s="7" t="n">
        <v>0</v>
      </c>
      <c r="AW17" s="7" t="n">
        <v>0</v>
      </c>
      <c r="AX17" s="7" t="n">
        <v>0</v>
      </c>
      <c r="AY17" s="7" t="n">
        <v>0</v>
      </c>
      <c r="AZ17" s="7" t="n">
        <v>0</v>
      </c>
      <c r="BA17" s="7" t="n">
        <v>0</v>
      </c>
      <c r="BB17" s="7">
        <f>SUM(AD17:BA17)</f>
        <v/>
      </c>
    </row>
    <row r="18">
      <c r="A18" t="inlineStr">
        <is>
          <t>AMD-EXPR</t>
        </is>
      </c>
      <c r="B18" t="inlineStr">
        <is>
          <t>DSC Manual</t>
        </is>
      </c>
      <c r="C18" s="5" t="n">
        <v>46096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  <c r="AB18" s="6">
        <f>SUM(D18:AA18)</f>
        <v/>
      </c>
      <c r="AC18" s="3" t="inlineStr"/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0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0</v>
      </c>
      <c r="BA18" s="7" t="n">
        <v>0</v>
      </c>
      <c r="BB18" s="7">
        <f>SUM(AD18:BA18)</f>
        <v/>
      </c>
    </row>
    <row r="19">
      <c r="A19" t="inlineStr">
        <is>
          <t>AMD-EXPR</t>
        </is>
      </c>
      <c r="B19" t="inlineStr">
        <is>
          <t>DSC Manual</t>
        </is>
      </c>
      <c r="C19" s="5" t="n">
        <v>46097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>
        <f>SUM(D19:AA19)</f>
        <v/>
      </c>
      <c r="AC19" s="3" t="inlineStr"/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0</v>
      </c>
      <c r="AR19" s="7" t="n">
        <v>0</v>
      </c>
      <c r="AS19" s="7" t="n">
        <v>0</v>
      </c>
      <c r="AT19" s="7" t="n">
        <v>0</v>
      </c>
      <c r="AU19" s="7" t="n">
        <v>0</v>
      </c>
      <c r="AV19" s="7" t="n">
        <v>0</v>
      </c>
      <c r="AW19" s="7" t="n">
        <v>0</v>
      </c>
      <c r="AX19" s="7" t="n">
        <v>0</v>
      </c>
      <c r="AY19" s="7" t="n">
        <v>0</v>
      </c>
      <c r="AZ19" s="7" t="n">
        <v>0</v>
      </c>
      <c r="BA19" s="7" t="n">
        <v>0</v>
      </c>
      <c r="BB19" s="7">
        <f>SUM(AD19:BA19)</f>
        <v/>
      </c>
    </row>
    <row r="20">
      <c r="A20" t="inlineStr">
        <is>
          <t>AMD-EXPR</t>
        </is>
      </c>
      <c r="B20" t="inlineStr">
        <is>
          <t>DSC Manual</t>
        </is>
      </c>
      <c r="C20" s="5" t="n">
        <v>46099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>
        <f>SUM(D20:AA20)</f>
        <v/>
      </c>
      <c r="AC20" s="3" t="inlineStr"/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0</v>
      </c>
      <c r="BA20" s="7" t="n">
        <v>0</v>
      </c>
      <c r="BB20" s="7">
        <f>SUM(AD20:BA20)</f>
        <v/>
      </c>
    </row>
    <row r="21">
      <c r="A21" t="inlineStr">
        <is>
          <t>AMD-EXPR</t>
        </is>
      </c>
      <c r="B21" t="inlineStr">
        <is>
          <t>DSC Manual</t>
        </is>
      </c>
      <c r="C21" s="5" t="n">
        <v>46100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>
        <f>SUM(D21:AA21)</f>
        <v/>
      </c>
      <c r="AC21" s="3" t="inlineStr"/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0</v>
      </c>
      <c r="AS21" s="7" t="n">
        <v>0</v>
      </c>
      <c r="AT21" s="7" t="n">
        <v>0</v>
      </c>
      <c r="AU21" s="7" t="n">
        <v>0</v>
      </c>
      <c r="AV21" s="7" t="n">
        <v>0</v>
      </c>
      <c r="AW21" s="7" t="n">
        <v>0</v>
      </c>
      <c r="AX21" s="7" t="n">
        <v>0</v>
      </c>
      <c r="AY21" s="7" t="n">
        <v>0</v>
      </c>
      <c r="AZ21" s="7" t="n">
        <v>0</v>
      </c>
      <c r="BA21" s="7" t="n">
        <v>0</v>
      </c>
      <c r="BB21" s="7">
        <f>SUM(AD21:BA21)</f>
        <v/>
      </c>
    </row>
    <row r="22">
      <c r="A22" t="inlineStr">
        <is>
          <t>AMD-EXPR</t>
        </is>
      </c>
      <c r="B22" t="inlineStr">
        <is>
          <t>DSC Manual</t>
        </is>
      </c>
      <c r="C22" s="5" t="n">
        <v>46102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>
        <f>SUM(D22:AA22)</f>
        <v/>
      </c>
      <c r="AC22" s="3" t="inlineStr"/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7" t="n">
        <v>0</v>
      </c>
      <c r="BB22" s="7">
        <f>SUM(AD22:BA22)</f>
        <v/>
      </c>
    </row>
    <row r="23">
      <c r="A23" t="inlineStr">
        <is>
          <t>AMD-EXPR</t>
        </is>
      </c>
      <c r="B23" t="inlineStr">
        <is>
          <t>DSC Manual</t>
        </is>
      </c>
      <c r="C23" s="5" t="n">
        <v>46103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>
        <f>SUM(D23:AA23)</f>
        <v/>
      </c>
      <c r="AC23" s="3" t="inlineStr"/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0</v>
      </c>
      <c r="BA23" s="7" t="n">
        <v>0</v>
      </c>
      <c r="BB23" s="7">
        <f>SUM(AD23:BA23)</f>
        <v/>
      </c>
    </row>
    <row r="24">
      <c r="A24" t="inlineStr">
        <is>
          <t>AMD-EXPR</t>
        </is>
      </c>
      <c r="B24" t="inlineStr">
        <is>
          <t>DSC Manual</t>
        </is>
      </c>
      <c r="C24" s="5" t="n">
        <v>46104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>
        <f>SUM(D24:AA24)</f>
        <v/>
      </c>
      <c r="AC24" s="3" t="inlineStr"/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0</v>
      </c>
      <c r="BA24" s="7" t="n">
        <v>0</v>
      </c>
      <c r="BB24" s="7">
        <f>SUM(AD24:BA24)</f>
        <v/>
      </c>
    </row>
    <row r="25">
      <c r="A25" t="inlineStr">
        <is>
          <t>AMD-EXPR</t>
        </is>
      </c>
      <c r="B25" t="inlineStr">
        <is>
          <t>DSC Manual</t>
        </is>
      </c>
      <c r="C25" s="5" t="n">
        <v>46105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>
        <f>SUM(D25:AA25)</f>
        <v/>
      </c>
      <c r="AC25" s="3" t="inlineStr"/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7" t="n">
        <v>0</v>
      </c>
      <c r="BB25" s="7">
        <f>SUM(AD25:BA25)</f>
        <v/>
      </c>
    </row>
    <row r="26">
      <c r="A26" t="inlineStr">
        <is>
          <t>AMD-FK-SSC</t>
        </is>
      </c>
      <c r="B26" t="inlineStr">
        <is>
          <t>Prime at Client side</t>
        </is>
      </c>
      <c r="C26" s="5" t="n">
        <v>46089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>
        <f>SUM(D26:AA26)</f>
        <v/>
      </c>
      <c r="AC26" s="3" t="inlineStr"/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7" t="n">
        <v>0</v>
      </c>
      <c r="BB26" s="7">
        <f>SUM(AD26:BA26)</f>
        <v/>
      </c>
    </row>
    <row r="27">
      <c r="A27" t="inlineStr">
        <is>
          <t>AMD-FK-SSC</t>
        </is>
      </c>
      <c r="B27" t="inlineStr">
        <is>
          <t>Prime at Client side</t>
        </is>
      </c>
      <c r="C27" s="5" t="n">
        <v>46090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>
        <f>SUM(D27:AA27)</f>
        <v/>
      </c>
      <c r="AC27" s="3" t="inlineStr"/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7" t="n">
        <v>0</v>
      </c>
      <c r="BB27" s="7">
        <f>SUM(AD27:BA27)</f>
        <v/>
      </c>
    </row>
    <row r="28">
      <c r="A28" t="inlineStr">
        <is>
          <t>AMD-FK-SSC</t>
        </is>
      </c>
      <c r="B28" t="inlineStr">
        <is>
          <t>Prime at Client side</t>
        </is>
      </c>
      <c r="C28" s="5" t="n">
        <v>46091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>
        <f>SUM(D28:AA28)</f>
        <v/>
      </c>
      <c r="AC28" s="3" t="inlineStr"/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7" t="n">
        <v>0</v>
      </c>
      <c r="BB28" s="7">
        <f>SUM(AD28:BA28)</f>
        <v/>
      </c>
    </row>
    <row r="29">
      <c r="A29" t="inlineStr">
        <is>
          <t>AMD-FK-SSC</t>
        </is>
      </c>
      <c r="B29" t="inlineStr">
        <is>
          <t>Prime at Client side</t>
        </is>
      </c>
      <c r="C29" s="5" t="n">
        <v>46092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>
        <f>SUM(D29:AA29)</f>
        <v/>
      </c>
      <c r="AC29" s="3" t="inlineStr"/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7" t="n">
        <v>0</v>
      </c>
      <c r="AQ29" s="7" t="n">
        <v>0</v>
      </c>
      <c r="AR29" s="7" t="n">
        <v>0</v>
      </c>
      <c r="AS29" s="7" t="n">
        <v>0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0</v>
      </c>
      <c r="BA29" s="7" t="n">
        <v>0</v>
      </c>
      <c r="BB29" s="7">
        <f>SUM(AD29:BA29)</f>
        <v/>
      </c>
    </row>
    <row r="30">
      <c r="A30" t="inlineStr">
        <is>
          <t>AMD-FK-SSC</t>
        </is>
      </c>
      <c r="B30" t="inlineStr">
        <is>
          <t>Prime at Client side</t>
        </is>
      </c>
      <c r="C30" s="5" t="n">
        <v>46093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>
        <f>SUM(D30:AA30)</f>
        <v/>
      </c>
      <c r="AC30" s="3" t="inlineStr"/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0</v>
      </c>
      <c r="AS30" s="7" t="n">
        <v>0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7" t="n">
        <v>0</v>
      </c>
      <c r="BB30" s="7">
        <f>SUM(AD30:BA30)</f>
        <v/>
      </c>
    </row>
    <row r="31">
      <c r="A31" t="inlineStr">
        <is>
          <t>AMD-FK-SSC</t>
        </is>
      </c>
      <c r="B31" t="inlineStr">
        <is>
          <t>Prime at Client side</t>
        </is>
      </c>
      <c r="C31" s="5" t="n">
        <v>46094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>
        <f>SUM(D31:AA31)</f>
        <v/>
      </c>
      <c r="AC31" s="3" t="inlineStr"/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0</v>
      </c>
      <c r="AT31" s="7" t="n">
        <v>0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0</v>
      </c>
      <c r="BA31" s="7" t="n">
        <v>0</v>
      </c>
      <c r="BB31" s="7">
        <f>SUM(AD31:BA31)</f>
        <v/>
      </c>
    </row>
    <row r="32">
      <c r="A32" t="inlineStr">
        <is>
          <t>AMD-FK-SSC</t>
        </is>
      </c>
      <c r="B32" t="inlineStr">
        <is>
          <t>Prime at Client side</t>
        </is>
      </c>
      <c r="C32" s="5" t="n">
        <v>46095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>
        <f>SUM(D32:AA32)</f>
        <v/>
      </c>
      <c r="AC32" s="3" t="inlineStr"/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7" t="n">
        <v>0</v>
      </c>
      <c r="BB32" s="7">
        <f>SUM(AD32:BA32)</f>
        <v/>
      </c>
    </row>
    <row r="33">
      <c r="A33" t="inlineStr">
        <is>
          <t>AMD-FK-SSC</t>
        </is>
      </c>
      <c r="B33" t="inlineStr">
        <is>
          <t>Prime at Client side</t>
        </is>
      </c>
      <c r="C33" s="5" t="n">
        <v>46096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6">
        <f>SUM(D33:AA33)</f>
        <v/>
      </c>
      <c r="AC33" s="3" t="inlineStr"/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0</v>
      </c>
      <c r="AS33" s="7" t="n">
        <v>0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7" t="n">
        <v>0</v>
      </c>
      <c r="BB33" s="7">
        <f>SUM(AD33:BA33)</f>
        <v/>
      </c>
    </row>
    <row r="34">
      <c r="A34" t="inlineStr">
        <is>
          <t>AMD-FK-SSC</t>
        </is>
      </c>
      <c r="B34" t="inlineStr">
        <is>
          <t>Prime at Client side</t>
        </is>
      </c>
      <c r="C34" s="5" t="n">
        <v>46097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>
        <f>SUM(D34:AA34)</f>
        <v/>
      </c>
      <c r="AC34" s="3" t="inlineStr"/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7" t="n">
        <v>0</v>
      </c>
      <c r="BB34" s="7">
        <f>SUM(AD34:BA34)</f>
        <v/>
      </c>
    </row>
    <row r="35">
      <c r="A35" t="inlineStr">
        <is>
          <t>AMD-FK-SSC</t>
        </is>
      </c>
      <c r="B35" t="inlineStr">
        <is>
          <t>Prime at Client side</t>
        </is>
      </c>
      <c r="C35" s="5" t="n">
        <v>46098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>
        <f>SUM(D35:AA35)</f>
        <v/>
      </c>
      <c r="AC35" s="3" t="inlineStr"/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7" t="n">
        <v>0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0</v>
      </c>
      <c r="BA35" s="7" t="n">
        <v>0</v>
      </c>
      <c r="BB35" s="7">
        <f>SUM(AD35:BA35)</f>
        <v/>
      </c>
    </row>
    <row r="36">
      <c r="A36" t="inlineStr">
        <is>
          <t>AMD-FK-SSC</t>
        </is>
      </c>
      <c r="B36" t="inlineStr">
        <is>
          <t>Prime at Client side</t>
        </is>
      </c>
      <c r="C36" s="5" t="n">
        <v>46099</v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>
        <f>SUM(D36:AA36)</f>
        <v/>
      </c>
      <c r="AC36" s="3" t="inlineStr"/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0</v>
      </c>
      <c r="AT36" s="7" t="n">
        <v>0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0</v>
      </c>
      <c r="BA36" s="7" t="n">
        <v>0</v>
      </c>
      <c r="BB36" s="7">
        <f>SUM(AD36:BA36)</f>
        <v/>
      </c>
    </row>
    <row r="37">
      <c r="A37" t="inlineStr">
        <is>
          <t>AMD-FK-SSC</t>
        </is>
      </c>
      <c r="B37" t="inlineStr">
        <is>
          <t>Prime at Client side</t>
        </is>
      </c>
      <c r="C37" s="5" t="n">
        <v>46100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>
        <f>SUM(D37:AA37)</f>
        <v/>
      </c>
      <c r="AC37" s="3" t="inlineStr"/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0</v>
      </c>
      <c r="AP37" s="7" t="n">
        <v>0</v>
      </c>
      <c r="AQ37" s="7" t="n">
        <v>0</v>
      </c>
      <c r="AR37" s="7" t="n">
        <v>0</v>
      </c>
      <c r="AS37" s="7" t="n">
        <v>0</v>
      </c>
      <c r="AT37" s="7" t="n">
        <v>0</v>
      </c>
      <c r="AU37" s="7" t="n">
        <v>0</v>
      </c>
      <c r="AV37" s="7" t="n">
        <v>0</v>
      </c>
      <c r="AW37" s="7" t="n">
        <v>0</v>
      </c>
      <c r="AX37" s="7" t="n">
        <v>0</v>
      </c>
      <c r="AY37" s="7" t="n">
        <v>0</v>
      </c>
      <c r="AZ37" s="7" t="n">
        <v>0</v>
      </c>
      <c r="BA37" s="7" t="n">
        <v>0</v>
      </c>
      <c r="BB37" s="7">
        <f>SUM(AD37:BA37)</f>
        <v/>
      </c>
    </row>
    <row r="38">
      <c r="A38" t="inlineStr">
        <is>
          <t>AMD-FK-SSC</t>
        </is>
      </c>
      <c r="B38" t="inlineStr">
        <is>
          <t>Prime at Client side</t>
        </is>
      </c>
      <c r="C38" s="5" t="n">
        <v>46101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0</v>
      </c>
      <c r="Q38" s="6" t="n">
        <v>0</v>
      </c>
      <c r="R38" s="6" t="n">
        <v>0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>
        <f>SUM(D38:AA38)</f>
        <v/>
      </c>
      <c r="AC38" s="3" t="inlineStr"/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0</v>
      </c>
      <c r="AP38" s="7" t="n">
        <v>0</v>
      </c>
      <c r="AQ38" s="7" t="n">
        <v>0</v>
      </c>
      <c r="AR38" s="7" t="n">
        <v>0</v>
      </c>
      <c r="AS38" s="7" t="n">
        <v>0</v>
      </c>
      <c r="AT38" s="7" t="n">
        <v>0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0</v>
      </c>
      <c r="BA38" s="7" t="n">
        <v>0</v>
      </c>
      <c r="BB38" s="7">
        <f>SUM(AD38:BA38)</f>
        <v/>
      </c>
    </row>
    <row r="39">
      <c r="A39" t="inlineStr">
        <is>
          <t>AMD-FK-SSC</t>
        </is>
      </c>
      <c r="B39" t="inlineStr">
        <is>
          <t>Prime at Client side</t>
        </is>
      </c>
      <c r="C39" s="5" t="n">
        <v>46102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>
        <f>SUM(D39:AA39)</f>
        <v/>
      </c>
      <c r="AC39" s="3" t="inlineStr"/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0</v>
      </c>
      <c r="AP39" s="7" t="n">
        <v>0</v>
      </c>
      <c r="AQ39" s="7" t="n">
        <v>0</v>
      </c>
      <c r="AR39" s="7" t="n">
        <v>0</v>
      </c>
      <c r="AS39" s="7" t="n">
        <v>0</v>
      </c>
      <c r="AT39" s="7" t="n">
        <v>0</v>
      </c>
      <c r="AU39" s="7" t="n">
        <v>0</v>
      </c>
      <c r="AV39" s="7" t="n">
        <v>0</v>
      </c>
      <c r="AW39" s="7" t="n">
        <v>0</v>
      </c>
      <c r="AX39" s="7" t="n">
        <v>0</v>
      </c>
      <c r="AY39" s="7" t="n">
        <v>0</v>
      </c>
      <c r="AZ39" s="7" t="n">
        <v>0</v>
      </c>
      <c r="BA39" s="7" t="n">
        <v>0</v>
      </c>
      <c r="BB39" s="7">
        <f>SUM(AD39:BA39)</f>
        <v/>
      </c>
    </row>
    <row r="40">
      <c r="A40" t="inlineStr">
        <is>
          <t>AMD-FK-SSC</t>
        </is>
      </c>
      <c r="B40" t="inlineStr">
        <is>
          <t>Prime at Client side</t>
        </is>
      </c>
      <c r="C40" s="5" t="n">
        <v>46103</v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0</v>
      </c>
      <c r="M40" s="6" t="n">
        <v>0</v>
      </c>
      <c r="N40" s="6" t="n">
        <v>0</v>
      </c>
      <c r="O40" s="6" t="n">
        <v>0</v>
      </c>
      <c r="P40" s="6" t="n">
        <v>0</v>
      </c>
      <c r="Q40" s="6" t="n">
        <v>0</v>
      </c>
      <c r="R40" s="6" t="n">
        <v>0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>
        <f>SUM(D40:AA40)</f>
        <v/>
      </c>
      <c r="AC40" s="3" t="inlineStr"/>
      <c r="AD40" s="7" t="n">
        <v>0</v>
      </c>
      <c r="AE40" s="7" t="n">
        <v>0</v>
      </c>
      <c r="AF40" s="7" t="n">
        <v>0</v>
      </c>
      <c r="AG40" s="7" t="n">
        <v>0</v>
      </c>
      <c r="AH40" s="7" t="n">
        <v>0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0</v>
      </c>
      <c r="AS40" s="7" t="n">
        <v>0</v>
      </c>
      <c r="AT40" s="7" t="n">
        <v>0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0</v>
      </c>
      <c r="BA40" s="7" t="n">
        <v>0</v>
      </c>
      <c r="BB40" s="7">
        <f>SUM(AD40:BA40)</f>
        <v/>
      </c>
    </row>
    <row r="41">
      <c r="A41" t="inlineStr">
        <is>
          <t>AMD-FK-SSC</t>
        </is>
      </c>
      <c r="B41" t="inlineStr">
        <is>
          <t>Prime at Client side</t>
        </is>
      </c>
      <c r="C41" s="5" t="n">
        <v>46104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>
        <f>SUM(D41:AA41)</f>
        <v/>
      </c>
      <c r="AC41" s="3" t="inlineStr"/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</v>
      </c>
      <c r="AP41" s="7" t="n">
        <v>0</v>
      </c>
      <c r="AQ41" s="7" t="n">
        <v>0</v>
      </c>
      <c r="AR41" s="7" t="n">
        <v>0</v>
      </c>
      <c r="AS41" s="7" t="n">
        <v>0</v>
      </c>
      <c r="AT41" s="7" t="n">
        <v>0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0</v>
      </c>
      <c r="BA41" s="7" t="n">
        <v>0</v>
      </c>
      <c r="BB41" s="7">
        <f>SUM(AD41:BA41)</f>
        <v/>
      </c>
    </row>
    <row r="42">
      <c r="A42" t="inlineStr">
        <is>
          <t>AMD-FK-SSC</t>
        </is>
      </c>
      <c r="B42" t="inlineStr">
        <is>
          <t>Prime at Client side</t>
        </is>
      </c>
      <c r="C42" s="5" t="n">
        <v>46105</v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6" t="n">
        <v>0</v>
      </c>
      <c r="N42" s="6" t="n">
        <v>0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>
        <f>SUM(D42:AA42)</f>
        <v/>
      </c>
      <c r="AC42" s="3" t="inlineStr"/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7" t="n">
        <v>0</v>
      </c>
      <c r="BB42" s="7">
        <f>SUM(AD42:BA42)</f>
        <v/>
      </c>
    </row>
    <row r="43">
      <c r="A43" t="inlineStr">
        <is>
          <t>AMD-FWDPRI-SSC</t>
        </is>
      </c>
      <c r="B43" t="inlineStr">
        <is>
          <t>FWD Priority OSC</t>
        </is>
      </c>
      <c r="C43" s="5" t="n">
        <v>46098</v>
      </c>
      <c r="D43" s="6">
        <f>Summary!D43*0.15</f>
        <v/>
      </c>
      <c r="E43" s="6">
        <f>Summary!E43*0.15</f>
        <v/>
      </c>
      <c r="F43" s="6">
        <f>Summary!F43*0.15</f>
        <v/>
      </c>
      <c r="G43" s="6">
        <f>Summary!G43*0.15</f>
        <v/>
      </c>
      <c r="H43" s="6">
        <f>Summary!H43*0.15</f>
        <v/>
      </c>
      <c r="I43" s="6">
        <f>Summary!I43*0.15</f>
        <v/>
      </c>
      <c r="J43" s="6">
        <f>Summary!J43*0.15</f>
        <v/>
      </c>
      <c r="K43" s="6">
        <f>Summary!K43*0.15</f>
        <v/>
      </c>
      <c r="L43" s="6">
        <f>Summary!L43*0.15</f>
        <v/>
      </c>
      <c r="M43" s="6">
        <f>Summary!M43*0.15</f>
        <v/>
      </c>
      <c r="N43" s="6">
        <f>Summary!N43*0.15</f>
        <v/>
      </c>
      <c r="O43" s="6">
        <f>Summary!O43*0.15</f>
        <v/>
      </c>
      <c r="P43" s="6">
        <f>Summary!P43*0.15</f>
        <v/>
      </c>
      <c r="Q43" s="6">
        <f>Summary!Q43*0.15</f>
        <v/>
      </c>
      <c r="R43" s="6">
        <f>Summary!R43*0.15</f>
        <v/>
      </c>
      <c r="S43" s="6">
        <f>Summary!S43*0.15</f>
        <v/>
      </c>
      <c r="T43" s="6">
        <f>Summary!T43*0.15</f>
        <v/>
      </c>
      <c r="U43" s="6">
        <f>Summary!U43*0.15</f>
        <v/>
      </c>
      <c r="V43" s="6">
        <f>Summary!V43*0.15</f>
        <v/>
      </c>
      <c r="W43" s="6">
        <f>Summary!W43*0.15</f>
        <v/>
      </c>
      <c r="X43" s="6">
        <f>Summary!X43*0.15</f>
        <v/>
      </c>
      <c r="Y43" s="6">
        <f>Summary!Y43*0.15</f>
        <v/>
      </c>
      <c r="Z43" s="6">
        <f>Summary!Z43*0.15</f>
        <v/>
      </c>
      <c r="AA43" s="6">
        <f>Summary!AA43*0.15</f>
        <v/>
      </c>
      <c r="AB43" s="6">
        <f>SUM(D43:AA43)</f>
        <v/>
      </c>
      <c r="AC43" s="3" t="inlineStr"/>
      <c r="AD43" s="7">
        <f>E43*0.0010369917+D43*0.0002073983</f>
        <v/>
      </c>
      <c r="AE43" s="7">
        <f>F43*0.0010369917+E43*0.0002073983</f>
        <v/>
      </c>
      <c r="AF43" s="7">
        <f>G43*0.0010369917+F43*0.0002073983</f>
        <v/>
      </c>
      <c r="AG43" s="7">
        <f>H43*0.0010369917+G43*0.0002073983</f>
        <v/>
      </c>
      <c r="AH43" s="7">
        <f>I43*0.0010369917+H43*0.0002073983</f>
        <v/>
      </c>
      <c r="AI43" s="7">
        <f>J43*0.0010369917+I43*0.0002073983</f>
        <v/>
      </c>
      <c r="AJ43" s="7">
        <f>K43*0.0010369917+J43*0.0002073983</f>
        <v/>
      </c>
      <c r="AK43" s="7">
        <f>L43*0.0010369917+K43*0.0002073983</f>
        <v/>
      </c>
      <c r="AL43" s="7">
        <f>M43*0.0010369917+L43*0.0002073983</f>
        <v/>
      </c>
      <c r="AM43" s="7">
        <f>N43*0.0010369917+M43*0.0002073983</f>
        <v/>
      </c>
      <c r="AN43" s="7">
        <f>O43*0.0010369917+N43*0.0002073983</f>
        <v/>
      </c>
      <c r="AO43" s="7">
        <f>P43*0.0010369917+O43*0.0002073983</f>
        <v/>
      </c>
      <c r="AP43" s="7">
        <f>Q43*0.0010369917+P43*0.0002073983</f>
        <v/>
      </c>
      <c r="AQ43" s="7">
        <f>R43*0.0010369917+Q43*0.0002073983</f>
        <v/>
      </c>
      <c r="AR43" s="7">
        <f>S43*0.0010369917+R43*0.0002073983</f>
        <v/>
      </c>
      <c r="AS43" s="7">
        <f>T43*0.0010369917+S43*0.0002073983</f>
        <v/>
      </c>
      <c r="AT43" s="7">
        <f>U43*0.0010369917+T43*0.0002073983</f>
        <v/>
      </c>
      <c r="AU43" s="7">
        <f>V43*0.0010369917+U43*0.0002073983</f>
        <v/>
      </c>
      <c r="AV43" s="7">
        <f>W43*0.0010369917+V43*0.0002073983</f>
        <v/>
      </c>
      <c r="AW43" s="7">
        <f>X43*0.0010369917+W43*0.0002073983</f>
        <v/>
      </c>
      <c r="AX43" s="7">
        <f>Y43*0.0010369917+X43*0.0002073983</f>
        <v/>
      </c>
      <c r="AY43" s="7">
        <f>Z43*0.0010369917+Y43*0.0002073983</f>
        <v/>
      </c>
      <c r="AZ43" s="7">
        <f>AA43*0.0010369917+Z43*0.0002073983</f>
        <v/>
      </c>
      <c r="BA43" s="7">
        <f>D43*0.0010369917+AA43*0.0002073983</f>
        <v/>
      </c>
      <c r="BB43" s="7">
        <f>SUM(AD43:BA43)</f>
        <v/>
      </c>
    </row>
    <row r="44">
      <c r="A44" t="inlineStr">
        <is>
          <t>AMD-FWDPRI-SSC</t>
        </is>
      </c>
      <c r="B44" t="inlineStr">
        <is>
          <t>FWD Priority OSC</t>
        </is>
      </c>
      <c r="C44" s="5" t="n">
        <v>46099</v>
      </c>
      <c r="D44" s="6">
        <f>Summary!D44*0.15</f>
        <v/>
      </c>
      <c r="E44" s="6">
        <f>Summary!E44*0.15</f>
        <v/>
      </c>
      <c r="F44" s="6">
        <f>Summary!F44*0.15</f>
        <v/>
      </c>
      <c r="G44" s="6">
        <f>Summary!G44*0.15</f>
        <v/>
      </c>
      <c r="H44" s="6">
        <f>Summary!H44*0.15</f>
        <v/>
      </c>
      <c r="I44" s="6">
        <f>Summary!I44*0.15</f>
        <v/>
      </c>
      <c r="J44" s="6">
        <f>Summary!J44*0.15</f>
        <v/>
      </c>
      <c r="K44" s="6">
        <f>Summary!K44*0.15</f>
        <v/>
      </c>
      <c r="L44" s="6">
        <f>Summary!L44*0.15</f>
        <v/>
      </c>
      <c r="M44" s="6">
        <f>Summary!M44*0.15</f>
        <v/>
      </c>
      <c r="N44" s="6">
        <f>Summary!N44*0.15</f>
        <v/>
      </c>
      <c r="O44" s="6">
        <f>Summary!O44*0.15</f>
        <v/>
      </c>
      <c r="P44" s="6">
        <f>Summary!P44*0.15</f>
        <v/>
      </c>
      <c r="Q44" s="6">
        <f>Summary!Q44*0.15</f>
        <v/>
      </c>
      <c r="R44" s="6">
        <f>Summary!R44*0.15</f>
        <v/>
      </c>
      <c r="S44" s="6">
        <f>Summary!S44*0.15</f>
        <v/>
      </c>
      <c r="T44" s="6">
        <f>Summary!T44*0.15</f>
        <v/>
      </c>
      <c r="U44" s="6">
        <f>Summary!U44*0.15</f>
        <v/>
      </c>
      <c r="V44" s="6">
        <f>Summary!V44*0.15</f>
        <v/>
      </c>
      <c r="W44" s="6">
        <f>Summary!W44*0.15</f>
        <v/>
      </c>
      <c r="X44" s="6">
        <f>Summary!X44*0.15</f>
        <v/>
      </c>
      <c r="Y44" s="6">
        <f>Summary!Y44*0.15</f>
        <v/>
      </c>
      <c r="Z44" s="6">
        <f>Summary!Z44*0.15</f>
        <v/>
      </c>
      <c r="AA44" s="6">
        <f>Summary!AA44*0.15</f>
        <v/>
      </c>
      <c r="AB44" s="6">
        <f>SUM(D44:AA44)</f>
        <v/>
      </c>
      <c r="AC44" s="3" t="inlineStr"/>
      <c r="AD44" s="7">
        <f>E44*0.0010369917+D44*0.0002073983</f>
        <v/>
      </c>
      <c r="AE44" s="7">
        <f>F44*0.0010369917+E44*0.0002073983</f>
        <v/>
      </c>
      <c r="AF44" s="7">
        <f>G44*0.0010369917+F44*0.0002073983</f>
        <v/>
      </c>
      <c r="AG44" s="7">
        <f>H44*0.0010369917+G44*0.0002073983</f>
        <v/>
      </c>
      <c r="AH44" s="7">
        <f>I44*0.0010369917+H44*0.0002073983</f>
        <v/>
      </c>
      <c r="AI44" s="7">
        <f>J44*0.0010369917+I44*0.0002073983</f>
        <v/>
      </c>
      <c r="AJ44" s="7">
        <f>K44*0.0010369917+J44*0.0002073983</f>
        <v/>
      </c>
      <c r="AK44" s="7">
        <f>L44*0.0010369917+K44*0.0002073983</f>
        <v/>
      </c>
      <c r="AL44" s="7">
        <f>M44*0.0010369917+L44*0.0002073983</f>
        <v/>
      </c>
      <c r="AM44" s="7">
        <f>N44*0.0010369917+M44*0.0002073983</f>
        <v/>
      </c>
      <c r="AN44" s="7">
        <f>O44*0.0010369917+N44*0.0002073983</f>
        <v/>
      </c>
      <c r="AO44" s="7">
        <f>P44*0.0010369917+O44*0.0002073983</f>
        <v/>
      </c>
      <c r="AP44" s="7">
        <f>Q44*0.0010369917+P44*0.0002073983</f>
        <v/>
      </c>
      <c r="AQ44" s="7">
        <f>R44*0.0010369917+Q44*0.0002073983</f>
        <v/>
      </c>
      <c r="AR44" s="7">
        <f>S44*0.0010369917+R44*0.0002073983</f>
        <v/>
      </c>
      <c r="AS44" s="7">
        <f>T44*0.0010369917+S44*0.0002073983</f>
        <v/>
      </c>
      <c r="AT44" s="7">
        <f>U44*0.0010369917+T44*0.0002073983</f>
        <v/>
      </c>
      <c r="AU44" s="7">
        <f>V44*0.0010369917+U44*0.0002073983</f>
        <v/>
      </c>
      <c r="AV44" s="7">
        <f>W44*0.0010369917+V44*0.0002073983</f>
        <v/>
      </c>
      <c r="AW44" s="7">
        <f>X44*0.0010369917+W44*0.0002073983</f>
        <v/>
      </c>
      <c r="AX44" s="7">
        <f>Y44*0.0010369917+X44*0.0002073983</f>
        <v/>
      </c>
      <c r="AY44" s="7">
        <f>Z44*0.0010369917+Y44*0.0002073983</f>
        <v/>
      </c>
      <c r="AZ44" s="7">
        <f>AA44*0.0010369917+Z44*0.0002073983</f>
        <v/>
      </c>
      <c r="BA44" s="7">
        <f>D44*0.0010369917+AA44*0.0002073983</f>
        <v/>
      </c>
      <c r="BB44" s="7">
        <f>SUM(AD44:BA44)</f>
        <v/>
      </c>
    </row>
    <row r="45">
      <c r="A45" t="inlineStr">
        <is>
          <t>AMD-FWDPRI-SSC</t>
        </is>
      </c>
      <c r="B45" t="inlineStr">
        <is>
          <t>FWD Priority OSC</t>
        </is>
      </c>
      <c r="C45" s="5" t="n">
        <v>46100</v>
      </c>
      <c r="D45" s="6">
        <f>Summary!D45*0.15</f>
        <v/>
      </c>
      <c r="E45" s="6">
        <f>Summary!E45*0.15</f>
        <v/>
      </c>
      <c r="F45" s="6">
        <f>Summary!F45*0.15</f>
        <v/>
      </c>
      <c r="G45" s="6">
        <f>Summary!G45*0.15</f>
        <v/>
      </c>
      <c r="H45" s="6">
        <f>Summary!H45*0.15</f>
        <v/>
      </c>
      <c r="I45" s="6">
        <f>Summary!I45*0.15</f>
        <v/>
      </c>
      <c r="J45" s="6">
        <f>Summary!J45*0.15</f>
        <v/>
      </c>
      <c r="K45" s="6">
        <f>Summary!K45*0.15</f>
        <v/>
      </c>
      <c r="L45" s="6">
        <f>Summary!L45*0.15</f>
        <v/>
      </c>
      <c r="M45" s="6">
        <f>Summary!M45*0.15</f>
        <v/>
      </c>
      <c r="N45" s="6">
        <f>Summary!N45*0.15</f>
        <v/>
      </c>
      <c r="O45" s="6">
        <f>Summary!O45*0.15</f>
        <v/>
      </c>
      <c r="P45" s="6">
        <f>Summary!P45*0.15</f>
        <v/>
      </c>
      <c r="Q45" s="6">
        <f>Summary!Q45*0.15</f>
        <v/>
      </c>
      <c r="R45" s="6">
        <f>Summary!R45*0.15</f>
        <v/>
      </c>
      <c r="S45" s="6">
        <f>Summary!S45*0.15</f>
        <v/>
      </c>
      <c r="T45" s="6">
        <f>Summary!T45*0.15</f>
        <v/>
      </c>
      <c r="U45" s="6">
        <f>Summary!U45*0.15</f>
        <v/>
      </c>
      <c r="V45" s="6">
        <f>Summary!V45*0.15</f>
        <v/>
      </c>
      <c r="W45" s="6">
        <f>Summary!W45*0.15</f>
        <v/>
      </c>
      <c r="X45" s="6">
        <f>Summary!X45*0.15</f>
        <v/>
      </c>
      <c r="Y45" s="6">
        <f>Summary!Y45*0.15</f>
        <v/>
      </c>
      <c r="Z45" s="6">
        <f>Summary!Z45*0.15</f>
        <v/>
      </c>
      <c r="AA45" s="6">
        <f>Summary!AA45*0.15</f>
        <v/>
      </c>
      <c r="AB45" s="6">
        <f>SUM(D45:AA45)</f>
        <v/>
      </c>
      <c r="AC45" s="3" t="inlineStr"/>
      <c r="AD45" s="7">
        <f>E45*0.0010369917+D45*0.0002073983</f>
        <v/>
      </c>
      <c r="AE45" s="7">
        <f>F45*0.0010369917+E45*0.0002073983</f>
        <v/>
      </c>
      <c r="AF45" s="7">
        <f>G45*0.0010369917+F45*0.0002073983</f>
        <v/>
      </c>
      <c r="AG45" s="7">
        <f>H45*0.0010369917+G45*0.0002073983</f>
        <v/>
      </c>
      <c r="AH45" s="7">
        <f>I45*0.0010369917+H45*0.0002073983</f>
        <v/>
      </c>
      <c r="AI45" s="7">
        <f>J45*0.0010369917+I45*0.0002073983</f>
        <v/>
      </c>
      <c r="AJ45" s="7">
        <f>K45*0.0010369917+J45*0.0002073983</f>
        <v/>
      </c>
      <c r="AK45" s="7">
        <f>L45*0.0010369917+K45*0.0002073983</f>
        <v/>
      </c>
      <c r="AL45" s="7">
        <f>M45*0.0010369917+L45*0.0002073983</f>
        <v/>
      </c>
      <c r="AM45" s="7">
        <f>N45*0.0010369917+M45*0.0002073983</f>
        <v/>
      </c>
      <c r="AN45" s="7">
        <f>O45*0.0010369917+N45*0.0002073983</f>
        <v/>
      </c>
      <c r="AO45" s="7">
        <f>P45*0.0010369917+O45*0.0002073983</f>
        <v/>
      </c>
      <c r="AP45" s="7">
        <f>Q45*0.0010369917+P45*0.0002073983</f>
        <v/>
      </c>
      <c r="AQ45" s="7">
        <f>R45*0.0010369917+Q45*0.0002073983</f>
        <v/>
      </c>
      <c r="AR45" s="7">
        <f>S45*0.0010369917+R45*0.0002073983</f>
        <v/>
      </c>
      <c r="AS45" s="7">
        <f>T45*0.0010369917+S45*0.0002073983</f>
        <v/>
      </c>
      <c r="AT45" s="7">
        <f>U45*0.0010369917+T45*0.0002073983</f>
        <v/>
      </c>
      <c r="AU45" s="7">
        <f>V45*0.0010369917+U45*0.0002073983</f>
        <v/>
      </c>
      <c r="AV45" s="7">
        <f>W45*0.0010369917+V45*0.0002073983</f>
        <v/>
      </c>
      <c r="AW45" s="7">
        <f>X45*0.0010369917+W45*0.0002073983</f>
        <v/>
      </c>
      <c r="AX45" s="7">
        <f>Y45*0.0010369917+X45*0.0002073983</f>
        <v/>
      </c>
      <c r="AY45" s="7">
        <f>Z45*0.0010369917+Y45*0.0002073983</f>
        <v/>
      </c>
      <c r="AZ45" s="7">
        <f>AA45*0.0010369917+Z45*0.0002073983</f>
        <v/>
      </c>
      <c r="BA45" s="7">
        <f>D45*0.0010369917+AA45*0.0002073983</f>
        <v/>
      </c>
      <c r="BB45" s="7">
        <f>SUM(AD45:BA45)</f>
        <v/>
      </c>
    </row>
    <row r="46">
      <c r="A46" t="inlineStr">
        <is>
          <t>AMD-FWDPRI-SSC</t>
        </is>
      </c>
      <c r="B46" t="inlineStr">
        <is>
          <t>FWD Priority OSC</t>
        </is>
      </c>
      <c r="C46" s="5" t="n">
        <v>46101</v>
      </c>
      <c r="D46" s="6">
        <f>Summary!D46*0.15</f>
        <v/>
      </c>
      <c r="E46" s="6">
        <f>Summary!E46*0.15</f>
        <v/>
      </c>
      <c r="F46" s="6">
        <f>Summary!F46*0.15</f>
        <v/>
      </c>
      <c r="G46" s="6">
        <f>Summary!G46*0.15</f>
        <v/>
      </c>
      <c r="H46" s="6">
        <f>Summary!H46*0.15</f>
        <v/>
      </c>
      <c r="I46" s="6">
        <f>Summary!I46*0.15</f>
        <v/>
      </c>
      <c r="J46" s="6">
        <f>Summary!J46*0.15</f>
        <v/>
      </c>
      <c r="K46" s="6">
        <f>Summary!K46*0.15</f>
        <v/>
      </c>
      <c r="L46" s="6">
        <f>Summary!L46*0.15</f>
        <v/>
      </c>
      <c r="M46" s="6">
        <f>Summary!M46*0.15</f>
        <v/>
      </c>
      <c r="N46" s="6">
        <f>Summary!N46*0.15</f>
        <v/>
      </c>
      <c r="O46" s="6">
        <f>Summary!O46*0.15</f>
        <v/>
      </c>
      <c r="P46" s="6">
        <f>Summary!P46*0.15</f>
        <v/>
      </c>
      <c r="Q46" s="6">
        <f>Summary!Q46*0.15</f>
        <v/>
      </c>
      <c r="R46" s="6">
        <f>Summary!R46*0.15</f>
        <v/>
      </c>
      <c r="S46" s="6">
        <f>Summary!S46*0.15</f>
        <v/>
      </c>
      <c r="T46" s="6">
        <f>Summary!T46*0.15</f>
        <v/>
      </c>
      <c r="U46" s="6">
        <f>Summary!U46*0.15</f>
        <v/>
      </c>
      <c r="V46" s="6">
        <f>Summary!V46*0.15</f>
        <v/>
      </c>
      <c r="W46" s="6">
        <f>Summary!W46*0.15</f>
        <v/>
      </c>
      <c r="X46" s="6">
        <f>Summary!X46*0.15</f>
        <v/>
      </c>
      <c r="Y46" s="6">
        <f>Summary!Y46*0.15</f>
        <v/>
      </c>
      <c r="Z46" s="6">
        <f>Summary!Z46*0.15</f>
        <v/>
      </c>
      <c r="AA46" s="6">
        <f>Summary!AA46*0.15</f>
        <v/>
      </c>
      <c r="AB46" s="6">
        <f>SUM(D46:AA46)</f>
        <v/>
      </c>
      <c r="AC46" s="3" t="inlineStr"/>
      <c r="AD46" s="7">
        <f>E46*0.0010369917+D46*0.0002073983</f>
        <v/>
      </c>
      <c r="AE46" s="7">
        <f>F46*0.0010369917+E46*0.0002073983</f>
        <v/>
      </c>
      <c r="AF46" s="7">
        <f>G46*0.0010369917+F46*0.0002073983</f>
        <v/>
      </c>
      <c r="AG46" s="7">
        <f>H46*0.0010369917+G46*0.0002073983</f>
        <v/>
      </c>
      <c r="AH46" s="7">
        <f>I46*0.0010369917+H46*0.0002073983</f>
        <v/>
      </c>
      <c r="AI46" s="7">
        <f>J46*0.0010369917+I46*0.0002073983</f>
        <v/>
      </c>
      <c r="AJ46" s="7">
        <f>K46*0.0010369917+J46*0.0002073983</f>
        <v/>
      </c>
      <c r="AK46" s="7">
        <f>L46*0.0010369917+K46*0.0002073983</f>
        <v/>
      </c>
      <c r="AL46" s="7">
        <f>M46*0.0010369917+L46*0.0002073983</f>
        <v/>
      </c>
      <c r="AM46" s="7">
        <f>N46*0.0010369917+M46*0.0002073983</f>
        <v/>
      </c>
      <c r="AN46" s="7">
        <f>O46*0.0010369917+N46*0.0002073983</f>
        <v/>
      </c>
      <c r="AO46" s="7">
        <f>P46*0.0010369917+O46*0.0002073983</f>
        <v/>
      </c>
      <c r="AP46" s="7">
        <f>Q46*0.0010369917+P46*0.0002073983</f>
        <v/>
      </c>
      <c r="AQ46" s="7">
        <f>R46*0.0010369917+Q46*0.0002073983</f>
        <v/>
      </c>
      <c r="AR46" s="7">
        <f>S46*0.0010369917+R46*0.0002073983</f>
        <v/>
      </c>
      <c r="AS46" s="7">
        <f>T46*0.0010369917+S46*0.0002073983</f>
        <v/>
      </c>
      <c r="AT46" s="7">
        <f>U46*0.0010369917+T46*0.0002073983</f>
        <v/>
      </c>
      <c r="AU46" s="7">
        <f>V46*0.0010369917+U46*0.0002073983</f>
        <v/>
      </c>
      <c r="AV46" s="7">
        <f>W46*0.0010369917+V46*0.0002073983</f>
        <v/>
      </c>
      <c r="AW46" s="7">
        <f>X46*0.0010369917+W46*0.0002073983</f>
        <v/>
      </c>
      <c r="AX46" s="7">
        <f>Y46*0.0010369917+X46*0.0002073983</f>
        <v/>
      </c>
      <c r="AY46" s="7">
        <f>Z46*0.0010369917+Y46*0.0002073983</f>
        <v/>
      </c>
      <c r="AZ46" s="7">
        <f>AA46*0.0010369917+Z46*0.0002073983</f>
        <v/>
      </c>
      <c r="BA46" s="7">
        <f>D46*0.0010369917+AA46*0.0002073983</f>
        <v/>
      </c>
      <c r="BB46" s="7">
        <f>SUM(AD46:BA46)</f>
        <v/>
      </c>
    </row>
    <row r="47">
      <c r="A47" t="inlineStr">
        <is>
          <t>AMD-FWDPRI-SSC</t>
        </is>
      </c>
      <c r="B47" t="inlineStr">
        <is>
          <t>FWD Priority OSC</t>
        </is>
      </c>
      <c r="C47" s="5" t="n">
        <v>46102</v>
      </c>
      <c r="D47" s="6">
        <f>Summary!D47*0.15</f>
        <v/>
      </c>
      <c r="E47" s="6">
        <f>Summary!E47*0.15</f>
        <v/>
      </c>
      <c r="F47" s="6">
        <f>Summary!F47*0.15</f>
        <v/>
      </c>
      <c r="G47" s="6">
        <f>Summary!G47*0.15</f>
        <v/>
      </c>
      <c r="H47" s="6">
        <f>Summary!H47*0.15</f>
        <v/>
      </c>
      <c r="I47" s="6">
        <f>Summary!I47*0.15</f>
        <v/>
      </c>
      <c r="J47" s="6">
        <f>Summary!J47*0.15</f>
        <v/>
      </c>
      <c r="K47" s="6">
        <f>Summary!K47*0.15</f>
        <v/>
      </c>
      <c r="L47" s="6">
        <f>Summary!L47*0.15</f>
        <v/>
      </c>
      <c r="M47" s="6">
        <f>Summary!M47*0.15</f>
        <v/>
      </c>
      <c r="N47" s="6">
        <f>Summary!N47*0.15</f>
        <v/>
      </c>
      <c r="O47" s="6">
        <f>Summary!O47*0.15</f>
        <v/>
      </c>
      <c r="P47" s="6">
        <f>Summary!P47*0.15</f>
        <v/>
      </c>
      <c r="Q47" s="6">
        <f>Summary!Q47*0.15</f>
        <v/>
      </c>
      <c r="R47" s="6">
        <f>Summary!R47*0.15</f>
        <v/>
      </c>
      <c r="S47" s="6">
        <f>Summary!S47*0.15</f>
        <v/>
      </c>
      <c r="T47" s="6">
        <f>Summary!T47*0.15</f>
        <v/>
      </c>
      <c r="U47" s="6">
        <f>Summary!U47*0.15</f>
        <v/>
      </c>
      <c r="V47" s="6">
        <f>Summary!V47*0.15</f>
        <v/>
      </c>
      <c r="W47" s="6">
        <f>Summary!W47*0.15</f>
        <v/>
      </c>
      <c r="X47" s="6">
        <f>Summary!X47*0.15</f>
        <v/>
      </c>
      <c r="Y47" s="6">
        <f>Summary!Y47*0.15</f>
        <v/>
      </c>
      <c r="Z47" s="6">
        <f>Summary!Z47*0.15</f>
        <v/>
      </c>
      <c r="AA47" s="6">
        <f>Summary!AA47*0.15</f>
        <v/>
      </c>
      <c r="AB47" s="6">
        <f>SUM(D47:AA47)</f>
        <v/>
      </c>
      <c r="AC47" s="3" t="inlineStr"/>
      <c r="AD47" s="7">
        <f>E47*0.0010369917+D47*0.0002073983</f>
        <v/>
      </c>
      <c r="AE47" s="7">
        <f>F47*0.0010369917+E47*0.0002073983</f>
        <v/>
      </c>
      <c r="AF47" s="7">
        <f>G47*0.0010369917+F47*0.0002073983</f>
        <v/>
      </c>
      <c r="AG47" s="7">
        <f>H47*0.0010369917+G47*0.0002073983</f>
        <v/>
      </c>
      <c r="AH47" s="7">
        <f>I47*0.0010369917+H47*0.0002073983</f>
        <v/>
      </c>
      <c r="AI47" s="7">
        <f>J47*0.0010369917+I47*0.0002073983</f>
        <v/>
      </c>
      <c r="AJ47" s="7">
        <f>K47*0.0010369917+J47*0.0002073983</f>
        <v/>
      </c>
      <c r="AK47" s="7">
        <f>L47*0.0010369917+K47*0.0002073983</f>
        <v/>
      </c>
      <c r="AL47" s="7">
        <f>M47*0.0010369917+L47*0.0002073983</f>
        <v/>
      </c>
      <c r="AM47" s="7">
        <f>N47*0.0010369917+M47*0.0002073983</f>
        <v/>
      </c>
      <c r="AN47" s="7">
        <f>O47*0.0010369917+N47*0.0002073983</f>
        <v/>
      </c>
      <c r="AO47" s="7">
        <f>P47*0.0010369917+O47*0.0002073983</f>
        <v/>
      </c>
      <c r="AP47" s="7">
        <f>Q47*0.0010369917+P47*0.0002073983</f>
        <v/>
      </c>
      <c r="AQ47" s="7">
        <f>R47*0.0010369917+Q47*0.0002073983</f>
        <v/>
      </c>
      <c r="AR47" s="7">
        <f>S47*0.0010369917+R47*0.0002073983</f>
        <v/>
      </c>
      <c r="AS47" s="7">
        <f>T47*0.0010369917+S47*0.0002073983</f>
        <v/>
      </c>
      <c r="AT47" s="7">
        <f>U47*0.0010369917+T47*0.0002073983</f>
        <v/>
      </c>
      <c r="AU47" s="7">
        <f>V47*0.0010369917+U47*0.0002073983</f>
        <v/>
      </c>
      <c r="AV47" s="7">
        <f>W47*0.0010369917+V47*0.0002073983</f>
        <v/>
      </c>
      <c r="AW47" s="7">
        <f>X47*0.0010369917+W47*0.0002073983</f>
        <v/>
      </c>
      <c r="AX47" s="7">
        <f>Y47*0.0010369917+X47*0.0002073983</f>
        <v/>
      </c>
      <c r="AY47" s="7">
        <f>Z47*0.0010369917+Y47*0.0002073983</f>
        <v/>
      </c>
      <c r="AZ47" s="7">
        <f>AA47*0.0010369917+Z47*0.0002073983</f>
        <v/>
      </c>
      <c r="BA47" s="7">
        <f>D47*0.0010369917+AA47*0.0002073983</f>
        <v/>
      </c>
      <c r="BB47" s="7">
        <f>SUM(AD47:BA47)</f>
        <v/>
      </c>
    </row>
    <row r="48">
      <c r="A48" t="inlineStr">
        <is>
          <t>AMD-FWDPRI-SSC</t>
        </is>
      </c>
      <c r="B48" t="inlineStr">
        <is>
          <t>FWD Priority OSC</t>
        </is>
      </c>
      <c r="C48" s="5" t="n">
        <v>46103</v>
      </c>
      <c r="D48" s="6">
        <f>Summary!D48*0.15</f>
        <v/>
      </c>
      <c r="E48" s="6">
        <f>Summary!E48*0.15</f>
        <v/>
      </c>
      <c r="F48" s="6">
        <f>Summary!F48*0.15</f>
        <v/>
      </c>
      <c r="G48" s="6">
        <f>Summary!G48*0.15</f>
        <v/>
      </c>
      <c r="H48" s="6">
        <f>Summary!H48*0.15</f>
        <v/>
      </c>
      <c r="I48" s="6">
        <f>Summary!I48*0.15</f>
        <v/>
      </c>
      <c r="J48" s="6">
        <f>Summary!J48*0.15</f>
        <v/>
      </c>
      <c r="K48" s="6">
        <f>Summary!K48*0.15</f>
        <v/>
      </c>
      <c r="L48" s="6">
        <f>Summary!L48*0.15</f>
        <v/>
      </c>
      <c r="M48" s="6">
        <f>Summary!M48*0.15</f>
        <v/>
      </c>
      <c r="N48" s="6">
        <f>Summary!N48*0.15</f>
        <v/>
      </c>
      <c r="O48" s="6">
        <f>Summary!O48*0.15</f>
        <v/>
      </c>
      <c r="P48" s="6">
        <f>Summary!P48*0.15</f>
        <v/>
      </c>
      <c r="Q48" s="6">
        <f>Summary!Q48*0.15</f>
        <v/>
      </c>
      <c r="R48" s="6">
        <f>Summary!R48*0.15</f>
        <v/>
      </c>
      <c r="S48" s="6">
        <f>Summary!S48*0.15</f>
        <v/>
      </c>
      <c r="T48" s="6">
        <f>Summary!T48*0.15</f>
        <v/>
      </c>
      <c r="U48" s="6">
        <f>Summary!U48*0.15</f>
        <v/>
      </c>
      <c r="V48" s="6">
        <f>Summary!V48*0.15</f>
        <v/>
      </c>
      <c r="W48" s="6">
        <f>Summary!W48*0.15</f>
        <v/>
      </c>
      <c r="X48" s="6">
        <f>Summary!X48*0.15</f>
        <v/>
      </c>
      <c r="Y48" s="6">
        <f>Summary!Y48*0.15</f>
        <v/>
      </c>
      <c r="Z48" s="6">
        <f>Summary!Z48*0.15</f>
        <v/>
      </c>
      <c r="AA48" s="6">
        <f>Summary!AA48*0.15</f>
        <v/>
      </c>
      <c r="AB48" s="6">
        <f>SUM(D48:AA48)</f>
        <v/>
      </c>
      <c r="AC48" s="3" t="inlineStr"/>
      <c r="AD48" s="7">
        <f>E48*0.0010369917+D48*0.0002073983</f>
        <v/>
      </c>
      <c r="AE48" s="7">
        <f>F48*0.0010369917+E48*0.0002073983</f>
        <v/>
      </c>
      <c r="AF48" s="7">
        <f>G48*0.0010369917+F48*0.0002073983</f>
        <v/>
      </c>
      <c r="AG48" s="7">
        <f>H48*0.0010369917+G48*0.0002073983</f>
        <v/>
      </c>
      <c r="AH48" s="7">
        <f>I48*0.0010369917+H48*0.0002073983</f>
        <v/>
      </c>
      <c r="AI48" s="7">
        <f>J48*0.0010369917+I48*0.0002073983</f>
        <v/>
      </c>
      <c r="AJ48" s="7">
        <f>K48*0.0010369917+J48*0.0002073983</f>
        <v/>
      </c>
      <c r="AK48" s="7">
        <f>L48*0.0010369917+K48*0.0002073983</f>
        <v/>
      </c>
      <c r="AL48" s="7">
        <f>M48*0.0010369917+L48*0.0002073983</f>
        <v/>
      </c>
      <c r="AM48" s="7">
        <f>N48*0.0010369917+M48*0.0002073983</f>
        <v/>
      </c>
      <c r="AN48" s="7">
        <f>O48*0.0010369917+N48*0.0002073983</f>
        <v/>
      </c>
      <c r="AO48" s="7">
        <f>P48*0.0010369917+O48*0.0002073983</f>
        <v/>
      </c>
      <c r="AP48" s="7">
        <f>Q48*0.0010369917+P48*0.0002073983</f>
        <v/>
      </c>
      <c r="AQ48" s="7">
        <f>R48*0.0010369917+Q48*0.0002073983</f>
        <v/>
      </c>
      <c r="AR48" s="7">
        <f>S48*0.0010369917+R48*0.0002073983</f>
        <v/>
      </c>
      <c r="AS48" s="7">
        <f>T48*0.0010369917+S48*0.0002073983</f>
        <v/>
      </c>
      <c r="AT48" s="7">
        <f>U48*0.0010369917+T48*0.0002073983</f>
        <v/>
      </c>
      <c r="AU48" s="7">
        <f>V48*0.0010369917+U48*0.0002073983</f>
        <v/>
      </c>
      <c r="AV48" s="7">
        <f>W48*0.0010369917+V48*0.0002073983</f>
        <v/>
      </c>
      <c r="AW48" s="7">
        <f>X48*0.0010369917+W48*0.0002073983</f>
        <v/>
      </c>
      <c r="AX48" s="7">
        <f>Y48*0.0010369917+X48*0.0002073983</f>
        <v/>
      </c>
      <c r="AY48" s="7">
        <f>Z48*0.0010369917+Y48*0.0002073983</f>
        <v/>
      </c>
      <c r="AZ48" s="7">
        <f>AA48*0.0010369917+Z48*0.0002073983</f>
        <v/>
      </c>
      <c r="BA48" s="7">
        <f>D48*0.0010369917+AA48*0.0002073983</f>
        <v/>
      </c>
      <c r="BB48" s="7">
        <f>SUM(AD48:BA48)</f>
        <v/>
      </c>
    </row>
    <row r="49">
      <c r="A49" t="inlineStr">
        <is>
          <t>AMD-FWDPRI-SSC</t>
        </is>
      </c>
      <c r="B49" t="inlineStr">
        <is>
          <t>FWD Priority OSC</t>
        </is>
      </c>
      <c r="C49" s="5" t="n">
        <v>46104</v>
      </c>
      <c r="D49" s="6">
        <f>Summary!D49*0.15</f>
        <v/>
      </c>
      <c r="E49" s="6">
        <f>Summary!E49*0.15</f>
        <v/>
      </c>
      <c r="F49" s="6">
        <f>Summary!F49*0.15</f>
        <v/>
      </c>
      <c r="G49" s="6">
        <f>Summary!G49*0.15</f>
        <v/>
      </c>
      <c r="H49" s="6">
        <f>Summary!H49*0.15</f>
        <v/>
      </c>
      <c r="I49" s="6">
        <f>Summary!I49*0.15</f>
        <v/>
      </c>
      <c r="J49" s="6">
        <f>Summary!J49*0.15</f>
        <v/>
      </c>
      <c r="K49" s="6">
        <f>Summary!K49*0.15</f>
        <v/>
      </c>
      <c r="L49" s="6">
        <f>Summary!L49*0.15</f>
        <v/>
      </c>
      <c r="M49" s="6">
        <f>Summary!M49*0.15</f>
        <v/>
      </c>
      <c r="N49" s="6">
        <f>Summary!N49*0.15</f>
        <v/>
      </c>
      <c r="O49" s="6">
        <f>Summary!O49*0.15</f>
        <v/>
      </c>
      <c r="P49" s="6">
        <f>Summary!P49*0.15</f>
        <v/>
      </c>
      <c r="Q49" s="6">
        <f>Summary!Q49*0.15</f>
        <v/>
      </c>
      <c r="R49" s="6">
        <f>Summary!R49*0.15</f>
        <v/>
      </c>
      <c r="S49" s="6">
        <f>Summary!S49*0.15</f>
        <v/>
      </c>
      <c r="T49" s="6">
        <f>Summary!T49*0.15</f>
        <v/>
      </c>
      <c r="U49" s="6">
        <f>Summary!U49*0.15</f>
        <v/>
      </c>
      <c r="V49" s="6">
        <f>Summary!V49*0.15</f>
        <v/>
      </c>
      <c r="W49" s="6">
        <f>Summary!W49*0.15</f>
        <v/>
      </c>
      <c r="X49" s="6">
        <f>Summary!X49*0.15</f>
        <v/>
      </c>
      <c r="Y49" s="6">
        <f>Summary!Y49*0.15</f>
        <v/>
      </c>
      <c r="Z49" s="6">
        <f>Summary!Z49*0.15</f>
        <v/>
      </c>
      <c r="AA49" s="6">
        <f>Summary!AA49*0.15</f>
        <v/>
      </c>
      <c r="AB49" s="6">
        <f>SUM(D49:AA49)</f>
        <v/>
      </c>
      <c r="AC49" s="3" t="inlineStr"/>
      <c r="AD49" s="7">
        <f>E49*0.0010369917+D49*0.0002073983</f>
        <v/>
      </c>
      <c r="AE49" s="7">
        <f>F49*0.0010369917+E49*0.0002073983</f>
        <v/>
      </c>
      <c r="AF49" s="7">
        <f>G49*0.0010369917+F49*0.0002073983</f>
        <v/>
      </c>
      <c r="AG49" s="7">
        <f>H49*0.0010369917+G49*0.0002073983</f>
        <v/>
      </c>
      <c r="AH49" s="7">
        <f>I49*0.0010369917+H49*0.0002073983</f>
        <v/>
      </c>
      <c r="AI49" s="7">
        <f>J49*0.0010369917+I49*0.0002073983</f>
        <v/>
      </c>
      <c r="AJ49" s="7">
        <f>K49*0.0010369917+J49*0.0002073983</f>
        <v/>
      </c>
      <c r="AK49" s="7">
        <f>L49*0.0010369917+K49*0.0002073983</f>
        <v/>
      </c>
      <c r="AL49" s="7">
        <f>M49*0.0010369917+L49*0.0002073983</f>
        <v/>
      </c>
      <c r="AM49" s="7">
        <f>N49*0.0010369917+M49*0.0002073983</f>
        <v/>
      </c>
      <c r="AN49" s="7">
        <f>O49*0.0010369917+N49*0.0002073983</f>
        <v/>
      </c>
      <c r="AO49" s="7">
        <f>P49*0.0010369917+O49*0.0002073983</f>
        <v/>
      </c>
      <c r="AP49" s="7">
        <f>Q49*0.0010369917+P49*0.0002073983</f>
        <v/>
      </c>
      <c r="AQ49" s="7">
        <f>R49*0.0010369917+Q49*0.0002073983</f>
        <v/>
      </c>
      <c r="AR49" s="7">
        <f>S49*0.0010369917+R49*0.0002073983</f>
        <v/>
      </c>
      <c r="AS49" s="7">
        <f>T49*0.0010369917+S49*0.0002073983</f>
        <v/>
      </c>
      <c r="AT49" s="7">
        <f>U49*0.0010369917+T49*0.0002073983</f>
        <v/>
      </c>
      <c r="AU49" s="7">
        <f>V49*0.0010369917+U49*0.0002073983</f>
        <v/>
      </c>
      <c r="AV49" s="7">
        <f>W49*0.0010369917+V49*0.0002073983</f>
        <v/>
      </c>
      <c r="AW49" s="7">
        <f>X49*0.0010369917+W49*0.0002073983</f>
        <v/>
      </c>
      <c r="AX49" s="7">
        <f>Y49*0.0010369917+X49*0.0002073983</f>
        <v/>
      </c>
      <c r="AY49" s="7">
        <f>Z49*0.0010369917+Y49*0.0002073983</f>
        <v/>
      </c>
      <c r="AZ49" s="7">
        <f>AA49*0.0010369917+Z49*0.0002073983</f>
        <v/>
      </c>
      <c r="BA49" s="7">
        <f>D49*0.0010369917+AA49*0.0002073983</f>
        <v/>
      </c>
      <c r="BB49" s="7">
        <f>SUM(AD49:BA49)</f>
        <v/>
      </c>
    </row>
    <row r="50">
      <c r="A50" t="inlineStr">
        <is>
          <t>AMD-FWDPRI-SSC</t>
        </is>
      </c>
      <c r="B50" t="inlineStr">
        <is>
          <t>FWD Priority OSC</t>
        </is>
      </c>
      <c r="C50" s="5" t="n">
        <v>46105</v>
      </c>
      <c r="D50" s="6">
        <f>Summary!D50*0.15</f>
        <v/>
      </c>
      <c r="E50" s="6">
        <f>Summary!E50*0.15</f>
        <v/>
      </c>
      <c r="F50" s="6">
        <f>Summary!F50*0.15</f>
        <v/>
      </c>
      <c r="G50" s="6">
        <f>Summary!G50*0.15</f>
        <v/>
      </c>
      <c r="H50" s="6">
        <f>Summary!H50*0.15</f>
        <v/>
      </c>
      <c r="I50" s="6">
        <f>Summary!I50*0.15</f>
        <v/>
      </c>
      <c r="J50" s="6">
        <f>Summary!J50*0.15</f>
        <v/>
      </c>
      <c r="K50" s="6">
        <f>Summary!K50*0.15</f>
        <v/>
      </c>
      <c r="L50" s="6">
        <f>Summary!L50*0.15</f>
        <v/>
      </c>
      <c r="M50" s="6">
        <f>Summary!M50*0.15</f>
        <v/>
      </c>
      <c r="N50" s="6">
        <f>Summary!N50*0.15</f>
        <v/>
      </c>
      <c r="O50" s="6">
        <f>Summary!O50*0.15</f>
        <v/>
      </c>
      <c r="P50" s="6">
        <f>Summary!P50*0.15</f>
        <v/>
      </c>
      <c r="Q50" s="6">
        <f>Summary!Q50*0.15</f>
        <v/>
      </c>
      <c r="R50" s="6">
        <f>Summary!R50*0.15</f>
        <v/>
      </c>
      <c r="S50" s="6">
        <f>Summary!S50*0.15</f>
        <v/>
      </c>
      <c r="T50" s="6">
        <f>Summary!T50*0.15</f>
        <v/>
      </c>
      <c r="U50" s="6">
        <f>Summary!U50*0.15</f>
        <v/>
      </c>
      <c r="V50" s="6">
        <f>Summary!V50*0.15</f>
        <v/>
      </c>
      <c r="W50" s="6">
        <f>Summary!W50*0.15</f>
        <v/>
      </c>
      <c r="X50" s="6">
        <f>Summary!X50*0.15</f>
        <v/>
      </c>
      <c r="Y50" s="6">
        <f>Summary!Y50*0.15</f>
        <v/>
      </c>
      <c r="Z50" s="6">
        <f>Summary!Z50*0.15</f>
        <v/>
      </c>
      <c r="AA50" s="6">
        <f>Summary!AA50*0.15</f>
        <v/>
      </c>
      <c r="AB50" s="6">
        <f>SUM(D50:AA50)</f>
        <v/>
      </c>
      <c r="AC50" s="3" t="inlineStr"/>
      <c r="AD50" s="7">
        <f>E50*0.0010369917+D50*0.0002073983</f>
        <v/>
      </c>
      <c r="AE50" s="7">
        <f>F50*0.0010369917+E50*0.0002073983</f>
        <v/>
      </c>
      <c r="AF50" s="7">
        <f>G50*0.0010369917+F50*0.0002073983</f>
        <v/>
      </c>
      <c r="AG50" s="7">
        <f>H50*0.0010369917+G50*0.0002073983</f>
        <v/>
      </c>
      <c r="AH50" s="7">
        <f>I50*0.0010369917+H50*0.0002073983</f>
        <v/>
      </c>
      <c r="AI50" s="7">
        <f>J50*0.0010369917+I50*0.0002073983</f>
        <v/>
      </c>
      <c r="AJ50" s="7">
        <f>K50*0.0010369917+J50*0.0002073983</f>
        <v/>
      </c>
      <c r="AK50" s="7">
        <f>L50*0.0010369917+K50*0.0002073983</f>
        <v/>
      </c>
      <c r="AL50" s="7">
        <f>M50*0.0010369917+L50*0.0002073983</f>
        <v/>
      </c>
      <c r="AM50" s="7">
        <f>N50*0.0010369917+M50*0.0002073983</f>
        <v/>
      </c>
      <c r="AN50" s="7">
        <f>O50*0.0010369917+N50*0.0002073983</f>
        <v/>
      </c>
      <c r="AO50" s="7">
        <f>P50*0.0010369917+O50*0.0002073983</f>
        <v/>
      </c>
      <c r="AP50" s="7">
        <f>Q50*0.0010369917+P50*0.0002073983</f>
        <v/>
      </c>
      <c r="AQ50" s="7">
        <f>R50*0.0010369917+Q50*0.0002073983</f>
        <v/>
      </c>
      <c r="AR50" s="7">
        <f>S50*0.0010369917+R50*0.0002073983</f>
        <v/>
      </c>
      <c r="AS50" s="7">
        <f>T50*0.0010369917+S50*0.0002073983</f>
        <v/>
      </c>
      <c r="AT50" s="7">
        <f>U50*0.0010369917+T50*0.0002073983</f>
        <v/>
      </c>
      <c r="AU50" s="7">
        <f>V50*0.0010369917+U50*0.0002073983</f>
        <v/>
      </c>
      <c r="AV50" s="7">
        <f>W50*0.0010369917+V50*0.0002073983</f>
        <v/>
      </c>
      <c r="AW50" s="7">
        <f>X50*0.0010369917+W50*0.0002073983</f>
        <v/>
      </c>
      <c r="AX50" s="7">
        <f>Y50*0.0010369917+X50*0.0002073983</f>
        <v/>
      </c>
      <c r="AY50" s="7">
        <f>Z50*0.0010369917+Y50*0.0002073983</f>
        <v/>
      </c>
      <c r="AZ50" s="7">
        <f>AA50*0.0010369917+Z50*0.0002073983</f>
        <v/>
      </c>
      <c r="BA50" s="7">
        <f>D50*0.0010369917+AA50*0.0002073983</f>
        <v/>
      </c>
      <c r="BB50" s="7">
        <f>SUM(AD50:BA50)</f>
        <v/>
      </c>
    </row>
    <row r="51">
      <c r="A51" t="inlineStr">
        <is>
          <t>AMD-FWDREG-SSC</t>
        </is>
      </c>
      <c r="B51" t="inlineStr">
        <is>
          <t>Forward Regular OSC</t>
        </is>
      </c>
      <c r="C51" s="5" t="n">
        <v>46098</v>
      </c>
      <c r="D51" s="6">
        <f>Summary!D51*0.08</f>
        <v/>
      </c>
      <c r="E51" s="6">
        <f>Summary!E51*0.08</f>
        <v/>
      </c>
      <c r="F51" s="6">
        <f>Summary!F51*0.08</f>
        <v/>
      </c>
      <c r="G51" s="6">
        <f>Summary!G51*0.08</f>
        <v/>
      </c>
      <c r="H51" s="6">
        <f>Summary!H51*0.08</f>
        <v/>
      </c>
      <c r="I51" s="6">
        <f>Summary!I51*0.08</f>
        <v/>
      </c>
      <c r="J51" s="6">
        <f>Summary!J51*0.08</f>
        <v/>
      </c>
      <c r="K51" s="6">
        <f>Summary!K51*0.08</f>
        <v/>
      </c>
      <c r="L51" s="6">
        <f>Summary!L51*0.08</f>
        <v/>
      </c>
      <c r="M51" s="6">
        <f>Summary!M51*0.08</f>
        <v/>
      </c>
      <c r="N51" s="6">
        <f>Summary!N51*0.08</f>
        <v/>
      </c>
      <c r="O51" s="6">
        <f>Summary!O51*0.08</f>
        <v/>
      </c>
      <c r="P51" s="6">
        <f>Summary!P51*0.08</f>
        <v/>
      </c>
      <c r="Q51" s="6">
        <f>Summary!Q51*0.08</f>
        <v/>
      </c>
      <c r="R51" s="6">
        <f>Summary!R51*0.08</f>
        <v/>
      </c>
      <c r="S51" s="6">
        <f>Summary!S51*0.08</f>
        <v/>
      </c>
      <c r="T51" s="6">
        <f>Summary!T51*0.08</f>
        <v/>
      </c>
      <c r="U51" s="6">
        <f>Summary!U51*0.08</f>
        <v/>
      </c>
      <c r="V51" s="6">
        <f>Summary!V51*0.08</f>
        <v/>
      </c>
      <c r="W51" s="6">
        <f>Summary!W51*0.08</f>
        <v/>
      </c>
      <c r="X51" s="6">
        <f>Summary!X51*0.08</f>
        <v/>
      </c>
      <c r="Y51" s="6">
        <f>Summary!Y51*0.08</f>
        <v/>
      </c>
      <c r="Z51" s="6">
        <f>Summary!Z51*0.08</f>
        <v/>
      </c>
      <c r="AA51" s="6">
        <f>Summary!AA51*0.08</f>
        <v/>
      </c>
      <c r="AB51" s="6">
        <f>SUM(D51:AA51)</f>
        <v/>
      </c>
      <c r="AC51" s="3" t="inlineStr"/>
      <c r="AD51" s="7">
        <f>E51*0.0010369917+D51*0.0002073983</f>
        <v/>
      </c>
      <c r="AE51" s="7">
        <f>F51*0.0010369917+E51*0.0002073983</f>
        <v/>
      </c>
      <c r="AF51" s="7">
        <f>G51*0.0010369917+F51*0.0002073983</f>
        <v/>
      </c>
      <c r="AG51" s="7">
        <f>H51*0.0010369917+G51*0.0002073983</f>
        <v/>
      </c>
      <c r="AH51" s="7">
        <f>I51*0.0010369917+H51*0.0002073983</f>
        <v/>
      </c>
      <c r="AI51" s="7">
        <f>J51*0.0010369917+I51*0.0002073983</f>
        <v/>
      </c>
      <c r="AJ51" s="7">
        <f>K51*0.0010369917+J51*0.0002073983</f>
        <v/>
      </c>
      <c r="AK51" s="7">
        <f>L51*0.0010369917+K51*0.0002073983</f>
        <v/>
      </c>
      <c r="AL51" s="7">
        <f>M51*0.0010369917+L51*0.0002073983</f>
        <v/>
      </c>
      <c r="AM51" s="7">
        <f>N51*0.0010369917+M51*0.0002073983</f>
        <v/>
      </c>
      <c r="AN51" s="7">
        <f>O51*0.0010369917+N51*0.0002073983</f>
        <v/>
      </c>
      <c r="AO51" s="7">
        <f>P51*0.0010369917+O51*0.0002073983</f>
        <v/>
      </c>
      <c r="AP51" s="7">
        <f>Q51*0.0010369917+P51*0.0002073983</f>
        <v/>
      </c>
      <c r="AQ51" s="7">
        <f>R51*0.0010369917+Q51*0.0002073983</f>
        <v/>
      </c>
      <c r="AR51" s="7">
        <f>S51*0.0010369917+R51*0.0002073983</f>
        <v/>
      </c>
      <c r="AS51" s="7">
        <f>T51*0.0010369917+S51*0.0002073983</f>
        <v/>
      </c>
      <c r="AT51" s="7">
        <f>U51*0.0010369917+T51*0.0002073983</f>
        <v/>
      </c>
      <c r="AU51" s="7">
        <f>V51*0.0010369917+U51*0.0002073983</f>
        <v/>
      </c>
      <c r="AV51" s="7">
        <f>W51*0.0010369917+V51*0.0002073983</f>
        <v/>
      </c>
      <c r="AW51" s="7">
        <f>X51*0.0010369917+W51*0.0002073983</f>
        <v/>
      </c>
      <c r="AX51" s="7">
        <f>Y51*0.0010369917+X51*0.0002073983</f>
        <v/>
      </c>
      <c r="AY51" s="7">
        <f>Z51*0.0010369917+Y51*0.0002073983</f>
        <v/>
      </c>
      <c r="AZ51" s="7">
        <f>AA51*0.0010369917+Z51*0.0002073983</f>
        <v/>
      </c>
      <c r="BA51" s="7">
        <f>D51*0.0010369917+AA51*0.0002073983</f>
        <v/>
      </c>
      <c r="BB51" s="7">
        <f>SUM(AD51:BA51)</f>
        <v/>
      </c>
    </row>
    <row r="52">
      <c r="A52" t="inlineStr">
        <is>
          <t>AMD-FWDREG-SSC</t>
        </is>
      </c>
      <c r="B52" t="inlineStr">
        <is>
          <t>Forward Regular OSC</t>
        </is>
      </c>
      <c r="C52" s="5" t="n">
        <v>46099</v>
      </c>
      <c r="D52" s="6">
        <f>Summary!D52*0.08</f>
        <v/>
      </c>
      <c r="E52" s="6">
        <f>Summary!E52*0.08</f>
        <v/>
      </c>
      <c r="F52" s="6">
        <f>Summary!F52*0.08</f>
        <v/>
      </c>
      <c r="G52" s="6">
        <f>Summary!G52*0.08</f>
        <v/>
      </c>
      <c r="H52" s="6">
        <f>Summary!H52*0.08</f>
        <v/>
      </c>
      <c r="I52" s="6">
        <f>Summary!I52*0.08</f>
        <v/>
      </c>
      <c r="J52" s="6">
        <f>Summary!J52*0.08</f>
        <v/>
      </c>
      <c r="K52" s="6">
        <f>Summary!K52*0.08</f>
        <v/>
      </c>
      <c r="L52" s="6">
        <f>Summary!L52*0.08</f>
        <v/>
      </c>
      <c r="M52" s="6">
        <f>Summary!M52*0.08</f>
        <v/>
      </c>
      <c r="N52" s="6">
        <f>Summary!N52*0.08</f>
        <v/>
      </c>
      <c r="O52" s="6">
        <f>Summary!O52*0.08</f>
        <v/>
      </c>
      <c r="P52" s="6">
        <f>Summary!P52*0.08</f>
        <v/>
      </c>
      <c r="Q52" s="6">
        <f>Summary!Q52*0.08</f>
        <v/>
      </c>
      <c r="R52" s="6">
        <f>Summary!R52*0.08</f>
        <v/>
      </c>
      <c r="S52" s="6">
        <f>Summary!S52*0.08</f>
        <v/>
      </c>
      <c r="T52" s="6">
        <f>Summary!T52*0.08</f>
        <v/>
      </c>
      <c r="U52" s="6">
        <f>Summary!U52*0.08</f>
        <v/>
      </c>
      <c r="V52" s="6">
        <f>Summary!V52*0.08</f>
        <v/>
      </c>
      <c r="W52" s="6">
        <f>Summary!W52*0.08</f>
        <v/>
      </c>
      <c r="X52" s="6">
        <f>Summary!X52*0.08</f>
        <v/>
      </c>
      <c r="Y52" s="6">
        <f>Summary!Y52*0.08</f>
        <v/>
      </c>
      <c r="Z52" s="6">
        <f>Summary!Z52*0.08</f>
        <v/>
      </c>
      <c r="AA52" s="6">
        <f>Summary!AA52*0.08</f>
        <v/>
      </c>
      <c r="AB52" s="6">
        <f>SUM(D52:AA52)</f>
        <v/>
      </c>
      <c r="AC52" s="3" t="inlineStr"/>
      <c r="AD52" s="7">
        <f>E52*0.0010369917+D52*0.0002073983</f>
        <v/>
      </c>
      <c r="AE52" s="7">
        <f>F52*0.0010369917+E52*0.0002073983</f>
        <v/>
      </c>
      <c r="AF52" s="7">
        <f>G52*0.0010369917+F52*0.0002073983</f>
        <v/>
      </c>
      <c r="AG52" s="7">
        <f>H52*0.0010369917+G52*0.0002073983</f>
        <v/>
      </c>
      <c r="AH52" s="7">
        <f>I52*0.0010369917+H52*0.0002073983</f>
        <v/>
      </c>
      <c r="AI52" s="7">
        <f>J52*0.0010369917+I52*0.0002073983</f>
        <v/>
      </c>
      <c r="AJ52" s="7">
        <f>K52*0.0010369917+J52*0.0002073983</f>
        <v/>
      </c>
      <c r="AK52" s="7">
        <f>L52*0.0010369917+K52*0.0002073983</f>
        <v/>
      </c>
      <c r="AL52" s="7">
        <f>M52*0.0010369917+L52*0.0002073983</f>
        <v/>
      </c>
      <c r="AM52" s="7">
        <f>N52*0.0010369917+M52*0.0002073983</f>
        <v/>
      </c>
      <c r="AN52" s="7">
        <f>O52*0.0010369917+N52*0.0002073983</f>
        <v/>
      </c>
      <c r="AO52" s="7">
        <f>P52*0.0010369917+O52*0.0002073983</f>
        <v/>
      </c>
      <c r="AP52" s="7">
        <f>Q52*0.0010369917+P52*0.0002073983</f>
        <v/>
      </c>
      <c r="AQ52" s="7">
        <f>R52*0.0010369917+Q52*0.0002073983</f>
        <v/>
      </c>
      <c r="AR52" s="7">
        <f>S52*0.0010369917+R52*0.0002073983</f>
        <v/>
      </c>
      <c r="AS52" s="7">
        <f>T52*0.0010369917+S52*0.0002073983</f>
        <v/>
      </c>
      <c r="AT52" s="7">
        <f>U52*0.0010369917+T52*0.0002073983</f>
        <v/>
      </c>
      <c r="AU52" s="7">
        <f>V52*0.0010369917+U52*0.0002073983</f>
        <v/>
      </c>
      <c r="AV52" s="7">
        <f>W52*0.0010369917+V52*0.0002073983</f>
        <v/>
      </c>
      <c r="AW52" s="7">
        <f>X52*0.0010369917+W52*0.0002073983</f>
        <v/>
      </c>
      <c r="AX52" s="7">
        <f>Y52*0.0010369917+X52*0.0002073983</f>
        <v/>
      </c>
      <c r="AY52" s="7">
        <f>Z52*0.0010369917+Y52*0.0002073983</f>
        <v/>
      </c>
      <c r="AZ52" s="7">
        <f>AA52*0.0010369917+Z52*0.0002073983</f>
        <v/>
      </c>
      <c r="BA52" s="7">
        <f>D52*0.0010369917+AA52*0.0002073983</f>
        <v/>
      </c>
      <c r="BB52" s="7">
        <f>SUM(AD52:BA52)</f>
        <v/>
      </c>
    </row>
    <row r="53">
      <c r="A53" t="inlineStr">
        <is>
          <t>AMD-FWDREG-SSC</t>
        </is>
      </c>
      <c r="B53" t="inlineStr">
        <is>
          <t>Forward Regular OSC</t>
        </is>
      </c>
      <c r="C53" s="5" t="n">
        <v>46100</v>
      </c>
      <c r="D53" s="6">
        <f>Summary!D53*0.08</f>
        <v/>
      </c>
      <c r="E53" s="6">
        <f>Summary!E53*0.08</f>
        <v/>
      </c>
      <c r="F53" s="6">
        <f>Summary!F53*0.08</f>
        <v/>
      </c>
      <c r="G53" s="6">
        <f>Summary!G53*0.08</f>
        <v/>
      </c>
      <c r="H53" s="6">
        <f>Summary!H53*0.08</f>
        <v/>
      </c>
      <c r="I53" s="6">
        <f>Summary!I53*0.08</f>
        <v/>
      </c>
      <c r="J53" s="6">
        <f>Summary!J53*0.08</f>
        <v/>
      </c>
      <c r="K53" s="6">
        <f>Summary!K53*0.08</f>
        <v/>
      </c>
      <c r="L53" s="6">
        <f>Summary!L53*0.08</f>
        <v/>
      </c>
      <c r="M53" s="6">
        <f>Summary!M53*0.08</f>
        <v/>
      </c>
      <c r="N53" s="6">
        <f>Summary!N53*0.08</f>
        <v/>
      </c>
      <c r="O53" s="6">
        <f>Summary!O53*0.08</f>
        <v/>
      </c>
      <c r="P53" s="6">
        <f>Summary!P53*0.08</f>
        <v/>
      </c>
      <c r="Q53" s="6">
        <f>Summary!Q53*0.08</f>
        <v/>
      </c>
      <c r="R53" s="6">
        <f>Summary!R53*0.08</f>
        <v/>
      </c>
      <c r="S53" s="6">
        <f>Summary!S53*0.08</f>
        <v/>
      </c>
      <c r="T53" s="6">
        <f>Summary!T53*0.08</f>
        <v/>
      </c>
      <c r="U53" s="6">
        <f>Summary!U53*0.08</f>
        <v/>
      </c>
      <c r="V53" s="6">
        <f>Summary!V53*0.08</f>
        <v/>
      </c>
      <c r="W53" s="6">
        <f>Summary!W53*0.08</f>
        <v/>
      </c>
      <c r="X53" s="6">
        <f>Summary!X53*0.08</f>
        <v/>
      </c>
      <c r="Y53" s="6">
        <f>Summary!Y53*0.08</f>
        <v/>
      </c>
      <c r="Z53" s="6">
        <f>Summary!Z53*0.08</f>
        <v/>
      </c>
      <c r="AA53" s="6">
        <f>Summary!AA53*0.08</f>
        <v/>
      </c>
      <c r="AB53" s="6">
        <f>SUM(D53:AA53)</f>
        <v/>
      </c>
      <c r="AC53" s="3" t="inlineStr"/>
      <c r="AD53" s="7">
        <f>E53*0.0010369917+D53*0.0002073983</f>
        <v/>
      </c>
      <c r="AE53" s="7">
        <f>F53*0.0010369917+E53*0.0002073983</f>
        <v/>
      </c>
      <c r="AF53" s="7">
        <f>G53*0.0010369917+F53*0.0002073983</f>
        <v/>
      </c>
      <c r="AG53" s="7">
        <f>H53*0.0010369917+G53*0.0002073983</f>
        <v/>
      </c>
      <c r="AH53" s="7">
        <f>I53*0.0010369917+H53*0.0002073983</f>
        <v/>
      </c>
      <c r="AI53" s="7">
        <f>J53*0.0010369917+I53*0.0002073983</f>
        <v/>
      </c>
      <c r="AJ53" s="7">
        <f>K53*0.0010369917+J53*0.0002073983</f>
        <v/>
      </c>
      <c r="AK53" s="7">
        <f>L53*0.0010369917+K53*0.0002073983</f>
        <v/>
      </c>
      <c r="AL53" s="7">
        <f>M53*0.0010369917+L53*0.0002073983</f>
        <v/>
      </c>
      <c r="AM53" s="7">
        <f>N53*0.0010369917+M53*0.0002073983</f>
        <v/>
      </c>
      <c r="AN53" s="7">
        <f>O53*0.0010369917+N53*0.0002073983</f>
        <v/>
      </c>
      <c r="AO53" s="7">
        <f>P53*0.0010369917+O53*0.0002073983</f>
        <v/>
      </c>
      <c r="AP53" s="7">
        <f>Q53*0.0010369917+P53*0.0002073983</f>
        <v/>
      </c>
      <c r="AQ53" s="7">
        <f>R53*0.0010369917+Q53*0.0002073983</f>
        <v/>
      </c>
      <c r="AR53" s="7">
        <f>S53*0.0010369917+R53*0.0002073983</f>
        <v/>
      </c>
      <c r="AS53" s="7">
        <f>T53*0.0010369917+S53*0.0002073983</f>
        <v/>
      </c>
      <c r="AT53" s="7">
        <f>U53*0.0010369917+T53*0.0002073983</f>
        <v/>
      </c>
      <c r="AU53" s="7">
        <f>V53*0.0010369917+U53*0.0002073983</f>
        <v/>
      </c>
      <c r="AV53" s="7">
        <f>W53*0.0010369917+V53*0.0002073983</f>
        <v/>
      </c>
      <c r="AW53" s="7">
        <f>X53*0.0010369917+W53*0.0002073983</f>
        <v/>
      </c>
      <c r="AX53" s="7">
        <f>Y53*0.0010369917+X53*0.0002073983</f>
        <v/>
      </c>
      <c r="AY53" s="7">
        <f>Z53*0.0010369917+Y53*0.0002073983</f>
        <v/>
      </c>
      <c r="AZ53" s="7">
        <f>AA53*0.0010369917+Z53*0.0002073983</f>
        <v/>
      </c>
      <c r="BA53" s="7">
        <f>D53*0.0010369917+AA53*0.0002073983</f>
        <v/>
      </c>
      <c r="BB53" s="7">
        <f>SUM(AD53:BA53)</f>
        <v/>
      </c>
    </row>
    <row r="54">
      <c r="A54" t="inlineStr">
        <is>
          <t>AMD-FWDREG-SSC</t>
        </is>
      </c>
      <c r="B54" t="inlineStr">
        <is>
          <t>Forward Regular OSC</t>
        </is>
      </c>
      <c r="C54" s="5" t="n">
        <v>46101</v>
      </c>
      <c r="D54" s="6">
        <f>Summary!D54*0.08</f>
        <v/>
      </c>
      <c r="E54" s="6">
        <f>Summary!E54*0.08</f>
        <v/>
      </c>
      <c r="F54" s="6">
        <f>Summary!F54*0.08</f>
        <v/>
      </c>
      <c r="G54" s="6">
        <f>Summary!G54*0.08</f>
        <v/>
      </c>
      <c r="H54" s="6">
        <f>Summary!H54*0.08</f>
        <v/>
      </c>
      <c r="I54" s="6">
        <f>Summary!I54*0.08</f>
        <v/>
      </c>
      <c r="J54" s="6">
        <f>Summary!J54*0.08</f>
        <v/>
      </c>
      <c r="K54" s="6">
        <f>Summary!K54*0.08</f>
        <v/>
      </c>
      <c r="L54" s="6">
        <f>Summary!L54*0.08</f>
        <v/>
      </c>
      <c r="M54" s="6">
        <f>Summary!M54*0.08</f>
        <v/>
      </c>
      <c r="N54" s="6">
        <f>Summary!N54*0.08</f>
        <v/>
      </c>
      <c r="O54" s="6">
        <f>Summary!O54*0.08</f>
        <v/>
      </c>
      <c r="P54" s="6">
        <f>Summary!P54*0.08</f>
        <v/>
      </c>
      <c r="Q54" s="6">
        <f>Summary!Q54*0.08</f>
        <v/>
      </c>
      <c r="R54" s="6">
        <f>Summary!R54*0.08</f>
        <v/>
      </c>
      <c r="S54" s="6">
        <f>Summary!S54*0.08</f>
        <v/>
      </c>
      <c r="T54" s="6">
        <f>Summary!T54*0.08</f>
        <v/>
      </c>
      <c r="U54" s="6">
        <f>Summary!U54*0.08</f>
        <v/>
      </c>
      <c r="V54" s="6">
        <f>Summary!V54*0.08</f>
        <v/>
      </c>
      <c r="W54" s="6">
        <f>Summary!W54*0.08</f>
        <v/>
      </c>
      <c r="X54" s="6">
        <f>Summary!X54*0.08</f>
        <v/>
      </c>
      <c r="Y54" s="6">
        <f>Summary!Y54*0.08</f>
        <v/>
      </c>
      <c r="Z54" s="6">
        <f>Summary!Z54*0.08</f>
        <v/>
      </c>
      <c r="AA54" s="6">
        <f>Summary!AA54*0.08</f>
        <v/>
      </c>
      <c r="AB54" s="6">
        <f>SUM(D54:AA54)</f>
        <v/>
      </c>
      <c r="AC54" s="3" t="inlineStr"/>
      <c r="AD54" s="7">
        <f>E54*0.0010369917+D54*0.0002073983</f>
        <v/>
      </c>
      <c r="AE54" s="7">
        <f>F54*0.0010369917+E54*0.0002073983</f>
        <v/>
      </c>
      <c r="AF54" s="7">
        <f>G54*0.0010369917+F54*0.0002073983</f>
        <v/>
      </c>
      <c r="AG54" s="7">
        <f>H54*0.0010369917+G54*0.0002073983</f>
        <v/>
      </c>
      <c r="AH54" s="7">
        <f>I54*0.0010369917+H54*0.0002073983</f>
        <v/>
      </c>
      <c r="AI54" s="7">
        <f>J54*0.0010369917+I54*0.0002073983</f>
        <v/>
      </c>
      <c r="AJ54" s="7">
        <f>K54*0.0010369917+J54*0.0002073983</f>
        <v/>
      </c>
      <c r="AK54" s="7">
        <f>L54*0.0010369917+K54*0.0002073983</f>
        <v/>
      </c>
      <c r="AL54" s="7">
        <f>M54*0.0010369917+L54*0.0002073983</f>
        <v/>
      </c>
      <c r="AM54" s="7">
        <f>N54*0.0010369917+M54*0.0002073983</f>
        <v/>
      </c>
      <c r="AN54" s="7">
        <f>O54*0.0010369917+N54*0.0002073983</f>
        <v/>
      </c>
      <c r="AO54" s="7">
        <f>P54*0.0010369917+O54*0.0002073983</f>
        <v/>
      </c>
      <c r="AP54" s="7">
        <f>Q54*0.0010369917+P54*0.0002073983</f>
        <v/>
      </c>
      <c r="AQ54" s="7">
        <f>R54*0.0010369917+Q54*0.0002073983</f>
        <v/>
      </c>
      <c r="AR54" s="7">
        <f>S54*0.0010369917+R54*0.0002073983</f>
        <v/>
      </c>
      <c r="AS54" s="7">
        <f>T54*0.0010369917+S54*0.0002073983</f>
        <v/>
      </c>
      <c r="AT54" s="7">
        <f>U54*0.0010369917+T54*0.0002073983</f>
        <v/>
      </c>
      <c r="AU54" s="7">
        <f>V54*0.0010369917+U54*0.0002073983</f>
        <v/>
      </c>
      <c r="AV54" s="7">
        <f>W54*0.0010369917+V54*0.0002073983</f>
        <v/>
      </c>
      <c r="AW54" s="7">
        <f>X54*0.0010369917+W54*0.0002073983</f>
        <v/>
      </c>
      <c r="AX54" s="7">
        <f>Y54*0.0010369917+X54*0.0002073983</f>
        <v/>
      </c>
      <c r="AY54" s="7">
        <f>Z54*0.0010369917+Y54*0.0002073983</f>
        <v/>
      </c>
      <c r="AZ54" s="7">
        <f>AA54*0.0010369917+Z54*0.0002073983</f>
        <v/>
      </c>
      <c r="BA54" s="7">
        <f>D54*0.0010369917+AA54*0.0002073983</f>
        <v/>
      </c>
      <c r="BB54" s="7">
        <f>SUM(AD54:BA54)</f>
        <v/>
      </c>
    </row>
    <row r="55">
      <c r="A55" t="inlineStr">
        <is>
          <t>AMD-FWDREG-SSC</t>
        </is>
      </c>
      <c r="B55" t="inlineStr">
        <is>
          <t>Forward Regular OSC</t>
        </is>
      </c>
      <c r="C55" s="5" t="n">
        <v>46102</v>
      </c>
      <c r="D55" s="6">
        <f>Summary!D55*0.08</f>
        <v/>
      </c>
      <c r="E55" s="6">
        <f>Summary!E55*0.08</f>
        <v/>
      </c>
      <c r="F55" s="6">
        <f>Summary!F55*0.08</f>
        <v/>
      </c>
      <c r="G55" s="6">
        <f>Summary!G55*0.08</f>
        <v/>
      </c>
      <c r="H55" s="6">
        <f>Summary!H55*0.08</f>
        <v/>
      </c>
      <c r="I55" s="6">
        <f>Summary!I55*0.08</f>
        <v/>
      </c>
      <c r="J55" s="6">
        <f>Summary!J55*0.08</f>
        <v/>
      </c>
      <c r="K55" s="6">
        <f>Summary!K55*0.08</f>
        <v/>
      </c>
      <c r="L55" s="6">
        <f>Summary!L55*0.08</f>
        <v/>
      </c>
      <c r="M55" s="6">
        <f>Summary!M55*0.08</f>
        <v/>
      </c>
      <c r="N55" s="6">
        <f>Summary!N55*0.08</f>
        <v/>
      </c>
      <c r="O55" s="6">
        <f>Summary!O55*0.08</f>
        <v/>
      </c>
      <c r="P55" s="6">
        <f>Summary!P55*0.08</f>
        <v/>
      </c>
      <c r="Q55" s="6">
        <f>Summary!Q55*0.08</f>
        <v/>
      </c>
      <c r="R55" s="6">
        <f>Summary!R55*0.08</f>
        <v/>
      </c>
      <c r="S55" s="6">
        <f>Summary!S55*0.08</f>
        <v/>
      </c>
      <c r="T55" s="6">
        <f>Summary!T55*0.08</f>
        <v/>
      </c>
      <c r="U55" s="6">
        <f>Summary!U55*0.08</f>
        <v/>
      </c>
      <c r="V55" s="6">
        <f>Summary!V55*0.08</f>
        <v/>
      </c>
      <c r="W55" s="6">
        <f>Summary!W55*0.08</f>
        <v/>
      </c>
      <c r="X55" s="6">
        <f>Summary!X55*0.08</f>
        <v/>
      </c>
      <c r="Y55" s="6">
        <f>Summary!Y55*0.08</f>
        <v/>
      </c>
      <c r="Z55" s="6">
        <f>Summary!Z55*0.08</f>
        <v/>
      </c>
      <c r="AA55" s="6">
        <f>Summary!AA55*0.08</f>
        <v/>
      </c>
      <c r="AB55" s="6">
        <f>SUM(D55:AA55)</f>
        <v/>
      </c>
      <c r="AC55" s="3" t="inlineStr"/>
      <c r="AD55" s="7">
        <f>E55*0.0010369917+D55*0.0002073983</f>
        <v/>
      </c>
      <c r="AE55" s="7">
        <f>F55*0.0010369917+E55*0.0002073983</f>
        <v/>
      </c>
      <c r="AF55" s="7">
        <f>G55*0.0010369917+F55*0.0002073983</f>
        <v/>
      </c>
      <c r="AG55" s="7">
        <f>H55*0.0010369917+G55*0.0002073983</f>
        <v/>
      </c>
      <c r="AH55" s="7">
        <f>I55*0.0010369917+H55*0.0002073983</f>
        <v/>
      </c>
      <c r="AI55" s="7">
        <f>J55*0.0010369917+I55*0.0002073983</f>
        <v/>
      </c>
      <c r="AJ55" s="7">
        <f>K55*0.0010369917+J55*0.0002073983</f>
        <v/>
      </c>
      <c r="AK55" s="7">
        <f>L55*0.0010369917+K55*0.0002073983</f>
        <v/>
      </c>
      <c r="AL55" s="7">
        <f>M55*0.0010369917+L55*0.0002073983</f>
        <v/>
      </c>
      <c r="AM55" s="7">
        <f>N55*0.0010369917+M55*0.0002073983</f>
        <v/>
      </c>
      <c r="AN55" s="7">
        <f>O55*0.0010369917+N55*0.0002073983</f>
        <v/>
      </c>
      <c r="AO55" s="7">
        <f>P55*0.0010369917+O55*0.0002073983</f>
        <v/>
      </c>
      <c r="AP55" s="7">
        <f>Q55*0.0010369917+P55*0.0002073983</f>
        <v/>
      </c>
      <c r="AQ55" s="7">
        <f>R55*0.0010369917+Q55*0.0002073983</f>
        <v/>
      </c>
      <c r="AR55" s="7">
        <f>S55*0.0010369917+R55*0.0002073983</f>
        <v/>
      </c>
      <c r="AS55" s="7">
        <f>T55*0.0010369917+S55*0.0002073983</f>
        <v/>
      </c>
      <c r="AT55" s="7">
        <f>U55*0.0010369917+T55*0.0002073983</f>
        <v/>
      </c>
      <c r="AU55" s="7">
        <f>V55*0.0010369917+U55*0.0002073983</f>
        <v/>
      </c>
      <c r="AV55" s="7">
        <f>W55*0.0010369917+V55*0.0002073983</f>
        <v/>
      </c>
      <c r="AW55" s="7">
        <f>X55*0.0010369917+W55*0.0002073983</f>
        <v/>
      </c>
      <c r="AX55" s="7">
        <f>Y55*0.0010369917+X55*0.0002073983</f>
        <v/>
      </c>
      <c r="AY55" s="7">
        <f>Z55*0.0010369917+Y55*0.0002073983</f>
        <v/>
      </c>
      <c r="AZ55" s="7">
        <f>AA55*0.0010369917+Z55*0.0002073983</f>
        <v/>
      </c>
      <c r="BA55" s="7">
        <f>D55*0.0010369917+AA55*0.0002073983</f>
        <v/>
      </c>
      <c r="BB55" s="7">
        <f>SUM(AD55:BA55)</f>
        <v/>
      </c>
    </row>
    <row r="56">
      <c r="A56" t="inlineStr">
        <is>
          <t>AMD-FWDREG-SSC</t>
        </is>
      </c>
      <c r="B56" t="inlineStr">
        <is>
          <t>Forward Regular OSC</t>
        </is>
      </c>
      <c r="C56" s="5" t="n">
        <v>46103</v>
      </c>
      <c r="D56" s="6">
        <f>Summary!D56*0.08</f>
        <v/>
      </c>
      <c r="E56" s="6">
        <f>Summary!E56*0.08</f>
        <v/>
      </c>
      <c r="F56" s="6">
        <f>Summary!F56*0.08</f>
        <v/>
      </c>
      <c r="G56" s="6">
        <f>Summary!G56*0.08</f>
        <v/>
      </c>
      <c r="H56" s="6">
        <f>Summary!H56*0.08</f>
        <v/>
      </c>
      <c r="I56" s="6">
        <f>Summary!I56*0.08</f>
        <v/>
      </c>
      <c r="J56" s="6">
        <f>Summary!J56*0.08</f>
        <v/>
      </c>
      <c r="K56" s="6">
        <f>Summary!K56*0.08</f>
        <v/>
      </c>
      <c r="L56" s="6">
        <f>Summary!L56*0.08</f>
        <v/>
      </c>
      <c r="M56" s="6">
        <f>Summary!M56*0.08</f>
        <v/>
      </c>
      <c r="N56" s="6">
        <f>Summary!N56*0.08</f>
        <v/>
      </c>
      <c r="O56" s="6">
        <f>Summary!O56*0.08</f>
        <v/>
      </c>
      <c r="P56" s="6">
        <f>Summary!P56*0.08</f>
        <v/>
      </c>
      <c r="Q56" s="6">
        <f>Summary!Q56*0.08</f>
        <v/>
      </c>
      <c r="R56" s="6">
        <f>Summary!R56*0.08</f>
        <v/>
      </c>
      <c r="S56" s="6">
        <f>Summary!S56*0.08</f>
        <v/>
      </c>
      <c r="T56" s="6">
        <f>Summary!T56*0.08</f>
        <v/>
      </c>
      <c r="U56" s="6">
        <f>Summary!U56*0.08</f>
        <v/>
      </c>
      <c r="V56" s="6">
        <f>Summary!V56*0.08</f>
        <v/>
      </c>
      <c r="W56" s="6">
        <f>Summary!W56*0.08</f>
        <v/>
      </c>
      <c r="X56" s="6">
        <f>Summary!X56*0.08</f>
        <v/>
      </c>
      <c r="Y56" s="6">
        <f>Summary!Y56*0.08</f>
        <v/>
      </c>
      <c r="Z56" s="6">
        <f>Summary!Z56*0.08</f>
        <v/>
      </c>
      <c r="AA56" s="6">
        <f>Summary!AA56*0.08</f>
        <v/>
      </c>
      <c r="AB56" s="6">
        <f>SUM(D56:AA56)</f>
        <v/>
      </c>
      <c r="AC56" s="3" t="inlineStr"/>
      <c r="AD56" s="7">
        <f>E56*0.0010369917+D56*0.0002073983</f>
        <v/>
      </c>
      <c r="AE56" s="7">
        <f>F56*0.0010369917+E56*0.0002073983</f>
        <v/>
      </c>
      <c r="AF56" s="7">
        <f>G56*0.0010369917+F56*0.0002073983</f>
        <v/>
      </c>
      <c r="AG56" s="7">
        <f>H56*0.0010369917+G56*0.0002073983</f>
        <v/>
      </c>
      <c r="AH56" s="7">
        <f>I56*0.0010369917+H56*0.0002073983</f>
        <v/>
      </c>
      <c r="AI56" s="7">
        <f>J56*0.0010369917+I56*0.0002073983</f>
        <v/>
      </c>
      <c r="AJ56" s="7">
        <f>K56*0.0010369917+J56*0.0002073983</f>
        <v/>
      </c>
      <c r="AK56" s="7">
        <f>L56*0.0010369917+K56*0.0002073983</f>
        <v/>
      </c>
      <c r="AL56" s="7">
        <f>M56*0.0010369917+L56*0.0002073983</f>
        <v/>
      </c>
      <c r="AM56" s="7">
        <f>N56*0.0010369917+M56*0.0002073983</f>
        <v/>
      </c>
      <c r="AN56" s="7">
        <f>O56*0.0010369917+N56*0.0002073983</f>
        <v/>
      </c>
      <c r="AO56" s="7">
        <f>P56*0.0010369917+O56*0.0002073983</f>
        <v/>
      </c>
      <c r="AP56" s="7">
        <f>Q56*0.0010369917+P56*0.0002073983</f>
        <v/>
      </c>
      <c r="AQ56" s="7">
        <f>R56*0.0010369917+Q56*0.0002073983</f>
        <v/>
      </c>
      <c r="AR56" s="7">
        <f>S56*0.0010369917+R56*0.0002073983</f>
        <v/>
      </c>
      <c r="AS56" s="7">
        <f>T56*0.0010369917+S56*0.0002073983</f>
        <v/>
      </c>
      <c r="AT56" s="7">
        <f>U56*0.0010369917+T56*0.0002073983</f>
        <v/>
      </c>
      <c r="AU56" s="7">
        <f>V56*0.0010369917+U56*0.0002073983</f>
        <v/>
      </c>
      <c r="AV56" s="7">
        <f>W56*0.0010369917+V56*0.0002073983</f>
        <v/>
      </c>
      <c r="AW56" s="7">
        <f>X56*0.0010369917+W56*0.0002073983</f>
        <v/>
      </c>
      <c r="AX56" s="7">
        <f>Y56*0.0010369917+X56*0.0002073983</f>
        <v/>
      </c>
      <c r="AY56" s="7">
        <f>Z56*0.0010369917+Y56*0.0002073983</f>
        <v/>
      </c>
      <c r="AZ56" s="7">
        <f>AA56*0.0010369917+Z56*0.0002073983</f>
        <v/>
      </c>
      <c r="BA56" s="7">
        <f>D56*0.0010369917+AA56*0.0002073983</f>
        <v/>
      </c>
      <c r="BB56" s="7">
        <f>SUM(AD56:BA56)</f>
        <v/>
      </c>
    </row>
    <row r="57">
      <c r="A57" t="inlineStr">
        <is>
          <t>AMD-FWDREG-SSC</t>
        </is>
      </c>
      <c r="B57" t="inlineStr">
        <is>
          <t>Forward Regular OSC</t>
        </is>
      </c>
      <c r="C57" s="5" t="n">
        <v>46104</v>
      </c>
      <c r="D57" s="6">
        <f>Summary!D57*0.08</f>
        <v/>
      </c>
      <c r="E57" s="6">
        <f>Summary!E57*0.08</f>
        <v/>
      </c>
      <c r="F57" s="6">
        <f>Summary!F57*0.08</f>
        <v/>
      </c>
      <c r="G57" s="6">
        <f>Summary!G57*0.08</f>
        <v/>
      </c>
      <c r="H57" s="6">
        <f>Summary!H57*0.08</f>
        <v/>
      </c>
      <c r="I57" s="6">
        <f>Summary!I57*0.08</f>
        <v/>
      </c>
      <c r="J57" s="6">
        <f>Summary!J57*0.08</f>
        <v/>
      </c>
      <c r="K57" s="6">
        <f>Summary!K57*0.08</f>
        <v/>
      </c>
      <c r="L57" s="6">
        <f>Summary!L57*0.08</f>
        <v/>
      </c>
      <c r="M57" s="6">
        <f>Summary!M57*0.08</f>
        <v/>
      </c>
      <c r="N57" s="6">
        <f>Summary!N57*0.08</f>
        <v/>
      </c>
      <c r="O57" s="6">
        <f>Summary!O57*0.08</f>
        <v/>
      </c>
      <c r="P57" s="6">
        <f>Summary!P57*0.08</f>
        <v/>
      </c>
      <c r="Q57" s="6">
        <f>Summary!Q57*0.08</f>
        <v/>
      </c>
      <c r="R57" s="6">
        <f>Summary!R57*0.08</f>
        <v/>
      </c>
      <c r="S57" s="6">
        <f>Summary!S57*0.08</f>
        <v/>
      </c>
      <c r="T57" s="6">
        <f>Summary!T57*0.08</f>
        <v/>
      </c>
      <c r="U57" s="6">
        <f>Summary!U57*0.08</f>
        <v/>
      </c>
      <c r="V57" s="6">
        <f>Summary!V57*0.08</f>
        <v/>
      </c>
      <c r="W57" s="6">
        <f>Summary!W57*0.08</f>
        <v/>
      </c>
      <c r="X57" s="6">
        <f>Summary!X57*0.08</f>
        <v/>
      </c>
      <c r="Y57" s="6">
        <f>Summary!Y57*0.08</f>
        <v/>
      </c>
      <c r="Z57" s="6">
        <f>Summary!Z57*0.08</f>
        <v/>
      </c>
      <c r="AA57" s="6">
        <f>Summary!AA57*0.08</f>
        <v/>
      </c>
      <c r="AB57" s="6">
        <f>SUM(D57:AA57)</f>
        <v/>
      </c>
      <c r="AC57" s="3" t="inlineStr"/>
      <c r="AD57" s="7">
        <f>E57*0.0010369917+D57*0.0002073983</f>
        <v/>
      </c>
      <c r="AE57" s="7">
        <f>F57*0.0010369917+E57*0.0002073983</f>
        <v/>
      </c>
      <c r="AF57" s="7">
        <f>G57*0.0010369917+F57*0.0002073983</f>
        <v/>
      </c>
      <c r="AG57" s="7">
        <f>H57*0.0010369917+G57*0.0002073983</f>
        <v/>
      </c>
      <c r="AH57" s="7">
        <f>I57*0.0010369917+H57*0.0002073983</f>
        <v/>
      </c>
      <c r="AI57" s="7">
        <f>J57*0.0010369917+I57*0.0002073983</f>
        <v/>
      </c>
      <c r="AJ57" s="7">
        <f>K57*0.0010369917+J57*0.0002073983</f>
        <v/>
      </c>
      <c r="AK57" s="7">
        <f>L57*0.0010369917+K57*0.0002073983</f>
        <v/>
      </c>
      <c r="AL57" s="7">
        <f>M57*0.0010369917+L57*0.0002073983</f>
        <v/>
      </c>
      <c r="AM57" s="7">
        <f>N57*0.0010369917+M57*0.0002073983</f>
        <v/>
      </c>
      <c r="AN57" s="7">
        <f>O57*0.0010369917+N57*0.0002073983</f>
        <v/>
      </c>
      <c r="AO57" s="7">
        <f>P57*0.0010369917+O57*0.0002073983</f>
        <v/>
      </c>
      <c r="AP57" s="7">
        <f>Q57*0.0010369917+P57*0.0002073983</f>
        <v/>
      </c>
      <c r="AQ57" s="7">
        <f>R57*0.0010369917+Q57*0.0002073983</f>
        <v/>
      </c>
      <c r="AR57" s="7">
        <f>S57*0.0010369917+R57*0.0002073983</f>
        <v/>
      </c>
      <c r="AS57" s="7">
        <f>T57*0.0010369917+S57*0.0002073983</f>
        <v/>
      </c>
      <c r="AT57" s="7">
        <f>U57*0.0010369917+T57*0.0002073983</f>
        <v/>
      </c>
      <c r="AU57" s="7">
        <f>V57*0.0010369917+U57*0.0002073983</f>
        <v/>
      </c>
      <c r="AV57" s="7">
        <f>W57*0.0010369917+V57*0.0002073983</f>
        <v/>
      </c>
      <c r="AW57" s="7">
        <f>X57*0.0010369917+W57*0.0002073983</f>
        <v/>
      </c>
      <c r="AX57" s="7">
        <f>Y57*0.0010369917+X57*0.0002073983</f>
        <v/>
      </c>
      <c r="AY57" s="7">
        <f>Z57*0.0010369917+Y57*0.0002073983</f>
        <v/>
      </c>
      <c r="AZ57" s="7">
        <f>AA57*0.0010369917+Z57*0.0002073983</f>
        <v/>
      </c>
      <c r="BA57" s="7">
        <f>D57*0.0010369917+AA57*0.0002073983</f>
        <v/>
      </c>
      <c r="BB57" s="7">
        <f>SUM(AD57:BA57)</f>
        <v/>
      </c>
    </row>
    <row r="58">
      <c r="A58" t="inlineStr">
        <is>
          <t>AMD-FWDREG-SSC</t>
        </is>
      </c>
      <c r="B58" t="inlineStr">
        <is>
          <t>Forward Regular OSC</t>
        </is>
      </c>
      <c r="C58" s="5" t="n">
        <v>46105</v>
      </c>
      <c r="D58" s="6">
        <f>Summary!D58*0.08</f>
        <v/>
      </c>
      <c r="E58" s="6">
        <f>Summary!E58*0.08</f>
        <v/>
      </c>
      <c r="F58" s="6">
        <f>Summary!F58*0.08</f>
        <v/>
      </c>
      <c r="G58" s="6">
        <f>Summary!G58*0.08</f>
        <v/>
      </c>
      <c r="H58" s="6">
        <f>Summary!H58*0.08</f>
        <v/>
      </c>
      <c r="I58" s="6">
        <f>Summary!I58*0.08</f>
        <v/>
      </c>
      <c r="J58" s="6">
        <f>Summary!J58*0.08</f>
        <v/>
      </c>
      <c r="K58" s="6">
        <f>Summary!K58*0.08</f>
        <v/>
      </c>
      <c r="L58" s="6">
        <f>Summary!L58*0.08</f>
        <v/>
      </c>
      <c r="M58" s="6">
        <f>Summary!M58*0.08</f>
        <v/>
      </c>
      <c r="N58" s="6">
        <f>Summary!N58*0.08</f>
        <v/>
      </c>
      <c r="O58" s="6">
        <f>Summary!O58*0.08</f>
        <v/>
      </c>
      <c r="P58" s="6">
        <f>Summary!P58*0.08</f>
        <v/>
      </c>
      <c r="Q58" s="6">
        <f>Summary!Q58*0.08</f>
        <v/>
      </c>
      <c r="R58" s="6">
        <f>Summary!R58*0.08</f>
        <v/>
      </c>
      <c r="S58" s="6">
        <f>Summary!S58*0.08</f>
        <v/>
      </c>
      <c r="T58" s="6">
        <f>Summary!T58*0.08</f>
        <v/>
      </c>
      <c r="U58" s="6">
        <f>Summary!U58*0.08</f>
        <v/>
      </c>
      <c r="V58" s="6">
        <f>Summary!V58*0.08</f>
        <v/>
      </c>
      <c r="W58" s="6">
        <f>Summary!W58*0.08</f>
        <v/>
      </c>
      <c r="X58" s="6">
        <f>Summary!X58*0.08</f>
        <v/>
      </c>
      <c r="Y58" s="6">
        <f>Summary!Y58*0.08</f>
        <v/>
      </c>
      <c r="Z58" s="6">
        <f>Summary!Z58*0.08</f>
        <v/>
      </c>
      <c r="AA58" s="6">
        <f>Summary!AA58*0.08</f>
        <v/>
      </c>
      <c r="AB58" s="6">
        <f>SUM(D58:AA58)</f>
        <v/>
      </c>
      <c r="AC58" s="3" t="inlineStr"/>
      <c r="AD58" s="7">
        <f>E58*0.0010369917+D58*0.0002073983</f>
        <v/>
      </c>
      <c r="AE58" s="7">
        <f>F58*0.0010369917+E58*0.0002073983</f>
        <v/>
      </c>
      <c r="AF58" s="7">
        <f>G58*0.0010369917+F58*0.0002073983</f>
        <v/>
      </c>
      <c r="AG58" s="7">
        <f>H58*0.0010369917+G58*0.0002073983</f>
        <v/>
      </c>
      <c r="AH58" s="7">
        <f>I58*0.0010369917+H58*0.0002073983</f>
        <v/>
      </c>
      <c r="AI58" s="7">
        <f>J58*0.0010369917+I58*0.0002073983</f>
        <v/>
      </c>
      <c r="AJ58" s="7">
        <f>K58*0.0010369917+J58*0.0002073983</f>
        <v/>
      </c>
      <c r="AK58" s="7">
        <f>L58*0.0010369917+K58*0.0002073983</f>
        <v/>
      </c>
      <c r="AL58" s="7">
        <f>M58*0.0010369917+L58*0.0002073983</f>
        <v/>
      </c>
      <c r="AM58" s="7">
        <f>N58*0.0010369917+M58*0.0002073983</f>
        <v/>
      </c>
      <c r="AN58" s="7">
        <f>O58*0.0010369917+N58*0.0002073983</f>
        <v/>
      </c>
      <c r="AO58" s="7">
        <f>P58*0.0010369917+O58*0.0002073983</f>
        <v/>
      </c>
      <c r="AP58" s="7">
        <f>Q58*0.0010369917+P58*0.0002073983</f>
        <v/>
      </c>
      <c r="AQ58" s="7">
        <f>R58*0.0010369917+Q58*0.0002073983</f>
        <v/>
      </c>
      <c r="AR58" s="7">
        <f>S58*0.0010369917+R58*0.0002073983</f>
        <v/>
      </c>
      <c r="AS58" s="7">
        <f>T58*0.0010369917+S58*0.0002073983</f>
        <v/>
      </c>
      <c r="AT58" s="7">
        <f>U58*0.0010369917+T58*0.0002073983</f>
        <v/>
      </c>
      <c r="AU58" s="7">
        <f>V58*0.0010369917+U58*0.0002073983</f>
        <v/>
      </c>
      <c r="AV58" s="7">
        <f>W58*0.0010369917+V58*0.0002073983</f>
        <v/>
      </c>
      <c r="AW58" s="7">
        <f>X58*0.0010369917+W58*0.0002073983</f>
        <v/>
      </c>
      <c r="AX58" s="7">
        <f>Y58*0.0010369917+X58*0.0002073983</f>
        <v/>
      </c>
      <c r="AY58" s="7">
        <f>Z58*0.0010369917+Y58*0.0002073983</f>
        <v/>
      </c>
      <c r="AZ58" s="7">
        <f>AA58*0.0010369917+Z58*0.0002073983</f>
        <v/>
      </c>
      <c r="BA58" s="7">
        <f>D58*0.0010369917+AA58*0.0002073983</f>
        <v/>
      </c>
      <c r="BB58" s="7">
        <f>SUM(AD58:BA58)</f>
        <v/>
      </c>
    </row>
    <row r="59">
      <c r="A59" t="inlineStr">
        <is>
          <t>AMD-INTRA-SSC</t>
        </is>
      </c>
      <c r="B59" t="inlineStr">
        <is>
          <t>Forward Regular OSC</t>
        </is>
      </c>
      <c r="C59" s="5" t="n">
        <v>46098</v>
      </c>
      <c r="D59" s="6">
        <f>Summary!D59*0.08</f>
        <v/>
      </c>
      <c r="E59" s="6">
        <f>Summary!E59*0.08</f>
        <v/>
      </c>
      <c r="F59" s="6">
        <f>Summary!F59*0.08</f>
        <v/>
      </c>
      <c r="G59" s="6">
        <f>Summary!G59*0.08</f>
        <v/>
      </c>
      <c r="H59" s="6">
        <f>Summary!H59*0.08</f>
        <v/>
      </c>
      <c r="I59" s="6">
        <f>Summary!I59*0.08</f>
        <v/>
      </c>
      <c r="J59" s="6">
        <f>Summary!J59*0.08</f>
        <v/>
      </c>
      <c r="K59" s="6">
        <f>Summary!K59*0.08</f>
        <v/>
      </c>
      <c r="L59" s="6">
        <f>Summary!L59*0.08</f>
        <v/>
      </c>
      <c r="M59" s="6">
        <f>Summary!M59*0.08</f>
        <v/>
      </c>
      <c r="N59" s="6">
        <f>Summary!N59*0.08</f>
        <v/>
      </c>
      <c r="O59" s="6">
        <f>Summary!O59*0.08</f>
        <v/>
      </c>
      <c r="P59" s="6">
        <f>Summary!P59*0.08</f>
        <v/>
      </c>
      <c r="Q59" s="6">
        <f>Summary!Q59*0.08</f>
        <v/>
      </c>
      <c r="R59" s="6">
        <f>Summary!R59*0.08</f>
        <v/>
      </c>
      <c r="S59" s="6">
        <f>Summary!S59*0.08</f>
        <v/>
      </c>
      <c r="T59" s="6">
        <f>Summary!T59*0.08</f>
        <v/>
      </c>
      <c r="U59" s="6">
        <f>Summary!U59*0.08</f>
        <v/>
      </c>
      <c r="V59" s="6">
        <f>Summary!V59*0.08</f>
        <v/>
      </c>
      <c r="W59" s="6">
        <f>Summary!W59*0.08</f>
        <v/>
      </c>
      <c r="X59" s="6">
        <f>Summary!X59*0.08</f>
        <v/>
      </c>
      <c r="Y59" s="6">
        <f>Summary!Y59*0.08</f>
        <v/>
      </c>
      <c r="Z59" s="6">
        <f>Summary!Z59*0.08</f>
        <v/>
      </c>
      <c r="AA59" s="6">
        <f>Summary!AA59*0.08</f>
        <v/>
      </c>
      <c r="AB59" s="6">
        <f>SUM(D59:AA59)</f>
        <v/>
      </c>
      <c r="AC59" s="3" t="inlineStr"/>
      <c r="AD59" s="7">
        <f>E59*0.0010369917+D59*0.0002073983</f>
        <v/>
      </c>
      <c r="AE59" s="7">
        <f>F59*0.0010369917+E59*0.0002073983</f>
        <v/>
      </c>
      <c r="AF59" s="7">
        <f>G59*0.0010369917+F59*0.0002073983</f>
        <v/>
      </c>
      <c r="AG59" s="7">
        <f>H59*0.0010369917+G59*0.0002073983</f>
        <v/>
      </c>
      <c r="AH59" s="7">
        <f>I59*0.0010369917+H59*0.0002073983</f>
        <v/>
      </c>
      <c r="AI59" s="7">
        <f>J59*0.0010369917+I59*0.0002073983</f>
        <v/>
      </c>
      <c r="AJ59" s="7">
        <f>K59*0.0010369917+J59*0.0002073983</f>
        <v/>
      </c>
      <c r="AK59" s="7">
        <f>L59*0.0010369917+K59*0.0002073983</f>
        <v/>
      </c>
      <c r="AL59" s="7">
        <f>M59*0.0010369917+L59*0.0002073983</f>
        <v/>
      </c>
      <c r="AM59" s="7">
        <f>N59*0.0010369917+M59*0.0002073983</f>
        <v/>
      </c>
      <c r="AN59" s="7">
        <f>O59*0.0010369917+N59*0.0002073983</f>
        <v/>
      </c>
      <c r="AO59" s="7">
        <f>P59*0.0010369917+O59*0.0002073983</f>
        <v/>
      </c>
      <c r="AP59" s="7">
        <f>Q59*0.0010369917+P59*0.0002073983</f>
        <v/>
      </c>
      <c r="AQ59" s="7">
        <f>R59*0.0010369917+Q59*0.0002073983</f>
        <v/>
      </c>
      <c r="AR59" s="7">
        <f>S59*0.0010369917+R59*0.0002073983</f>
        <v/>
      </c>
      <c r="AS59" s="7">
        <f>T59*0.0010369917+S59*0.0002073983</f>
        <v/>
      </c>
      <c r="AT59" s="7">
        <f>U59*0.0010369917+T59*0.0002073983</f>
        <v/>
      </c>
      <c r="AU59" s="7">
        <f>V59*0.0010369917+U59*0.0002073983</f>
        <v/>
      </c>
      <c r="AV59" s="7">
        <f>W59*0.0010369917+V59*0.0002073983</f>
        <v/>
      </c>
      <c r="AW59" s="7">
        <f>X59*0.0010369917+W59*0.0002073983</f>
        <v/>
      </c>
      <c r="AX59" s="7">
        <f>Y59*0.0010369917+X59*0.0002073983</f>
        <v/>
      </c>
      <c r="AY59" s="7">
        <f>Z59*0.0010369917+Y59*0.0002073983</f>
        <v/>
      </c>
      <c r="AZ59" s="7">
        <f>AA59*0.0010369917+Z59*0.0002073983</f>
        <v/>
      </c>
      <c r="BA59" s="7">
        <f>D59*0.0010369917+AA59*0.0002073983</f>
        <v/>
      </c>
      <c r="BB59" s="7">
        <f>SUM(AD59:BA59)</f>
        <v/>
      </c>
    </row>
    <row r="60">
      <c r="A60" t="inlineStr">
        <is>
          <t>AMD-INTRA-SSC</t>
        </is>
      </c>
      <c r="B60" t="inlineStr">
        <is>
          <t>Forward Regular OSC</t>
        </is>
      </c>
      <c r="C60" s="5" t="n">
        <v>46099</v>
      </c>
      <c r="D60" s="6">
        <f>Summary!D60*0.08</f>
        <v/>
      </c>
      <c r="E60" s="6">
        <f>Summary!E60*0.08</f>
        <v/>
      </c>
      <c r="F60" s="6">
        <f>Summary!F60*0.08</f>
        <v/>
      </c>
      <c r="G60" s="6">
        <f>Summary!G60*0.08</f>
        <v/>
      </c>
      <c r="H60" s="6">
        <f>Summary!H60*0.08</f>
        <v/>
      </c>
      <c r="I60" s="6">
        <f>Summary!I60*0.08</f>
        <v/>
      </c>
      <c r="J60" s="6">
        <f>Summary!J60*0.08</f>
        <v/>
      </c>
      <c r="K60" s="6">
        <f>Summary!K60*0.08</f>
        <v/>
      </c>
      <c r="L60" s="6">
        <f>Summary!L60*0.08</f>
        <v/>
      </c>
      <c r="M60" s="6">
        <f>Summary!M60*0.08</f>
        <v/>
      </c>
      <c r="N60" s="6">
        <f>Summary!N60*0.08</f>
        <v/>
      </c>
      <c r="O60" s="6">
        <f>Summary!O60*0.08</f>
        <v/>
      </c>
      <c r="P60" s="6">
        <f>Summary!P60*0.08</f>
        <v/>
      </c>
      <c r="Q60" s="6">
        <f>Summary!Q60*0.08</f>
        <v/>
      </c>
      <c r="R60" s="6">
        <f>Summary!R60*0.08</f>
        <v/>
      </c>
      <c r="S60" s="6">
        <f>Summary!S60*0.08</f>
        <v/>
      </c>
      <c r="T60" s="6">
        <f>Summary!T60*0.08</f>
        <v/>
      </c>
      <c r="U60" s="6">
        <f>Summary!U60*0.08</f>
        <v/>
      </c>
      <c r="V60" s="6">
        <f>Summary!V60*0.08</f>
        <v/>
      </c>
      <c r="W60" s="6">
        <f>Summary!W60*0.08</f>
        <v/>
      </c>
      <c r="X60" s="6">
        <f>Summary!X60*0.08</f>
        <v/>
      </c>
      <c r="Y60" s="6">
        <f>Summary!Y60*0.08</f>
        <v/>
      </c>
      <c r="Z60" s="6">
        <f>Summary!Z60*0.08</f>
        <v/>
      </c>
      <c r="AA60" s="6">
        <f>Summary!AA60*0.08</f>
        <v/>
      </c>
      <c r="AB60" s="6">
        <f>SUM(D60:AA60)</f>
        <v/>
      </c>
      <c r="AC60" s="3" t="inlineStr"/>
      <c r="AD60" s="7">
        <f>E60*0.0010369917+D60*0.0002073983</f>
        <v/>
      </c>
      <c r="AE60" s="7">
        <f>F60*0.0010369917+E60*0.0002073983</f>
        <v/>
      </c>
      <c r="AF60" s="7">
        <f>G60*0.0010369917+F60*0.0002073983</f>
        <v/>
      </c>
      <c r="AG60" s="7">
        <f>H60*0.0010369917+G60*0.0002073983</f>
        <v/>
      </c>
      <c r="AH60" s="7">
        <f>I60*0.0010369917+H60*0.0002073983</f>
        <v/>
      </c>
      <c r="AI60" s="7">
        <f>J60*0.0010369917+I60*0.0002073983</f>
        <v/>
      </c>
      <c r="AJ60" s="7">
        <f>K60*0.0010369917+J60*0.0002073983</f>
        <v/>
      </c>
      <c r="AK60" s="7">
        <f>L60*0.0010369917+K60*0.0002073983</f>
        <v/>
      </c>
      <c r="AL60" s="7">
        <f>M60*0.0010369917+L60*0.0002073983</f>
        <v/>
      </c>
      <c r="AM60" s="7">
        <f>N60*0.0010369917+M60*0.0002073983</f>
        <v/>
      </c>
      <c r="AN60" s="7">
        <f>O60*0.0010369917+N60*0.0002073983</f>
        <v/>
      </c>
      <c r="AO60" s="7">
        <f>P60*0.0010369917+O60*0.0002073983</f>
        <v/>
      </c>
      <c r="AP60" s="7">
        <f>Q60*0.0010369917+P60*0.0002073983</f>
        <v/>
      </c>
      <c r="AQ60" s="7">
        <f>R60*0.0010369917+Q60*0.0002073983</f>
        <v/>
      </c>
      <c r="AR60" s="7">
        <f>S60*0.0010369917+R60*0.0002073983</f>
        <v/>
      </c>
      <c r="AS60" s="7">
        <f>T60*0.0010369917+S60*0.0002073983</f>
        <v/>
      </c>
      <c r="AT60" s="7">
        <f>U60*0.0010369917+T60*0.0002073983</f>
        <v/>
      </c>
      <c r="AU60" s="7">
        <f>V60*0.0010369917+U60*0.0002073983</f>
        <v/>
      </c>
      <c r="AV60" s="7">
        <f>W60*0.0010369917+V60*0.0002073983</f>
        <v/>
      </c>
      <c r="AW60" s="7">
        <f>X60*0.0010369917+W60*0.0002073983</f>
        <v/>
      </c>
      <c r="AX60" s="7">
        <f>Y60*0.0010369917+X60*0.0002073983</f>
        <v/>
      </c>
      <c r="AY60" s="7">
        <f>Z60*0.0010369917+Y60*0.0002073983</f>
        <v/>
      </c>
      <c r="AZ60" s="7">
        <f>AA60*0.0010369917+Z60*0.0002073983</f>
        <v/>
      </c>
      <c r="BA60" s="7">
        <f>D60*0.0010369917+AA60*0.0002073983</f>
        <v/>
      </c>
      <c r="BB60" s="7">
        <f>SUM(AD60:BA60)</f>
        <v/>
      </c>
    </row>
    <row r="61">
      <c r="A61" t="inlineStr">
        <is>
          <t>AMD-INTRA-SSC</t>
        </is>
      </c>
      <c r="B61" t="inlineStr">
        <is>
          <t>Forward Regular OSC</t>
        </is>
      </c>
      <c r="C61" s="5" t="n">
        <v>46100</v>
      </c>
      <c r="D61" s="6">
        <f>Summary!D61*0.08</f>
        <v/>
      </c>
      <c r="E61" s="6">
        <f>Summary!E61*0.08</f>
        <v/>
      </c>
      <c r="F61" s="6">
        <f>Summary!F61*0.08</f>
        <v/>
      </c>
      <c r="G61" s="6">
        <f>Summary!G61*0.08</f>
        <v/>
      </c>
      <c r="H61" s="6">
        <f>Summary!H61*0.08</f>
        <v/>
      </c>
      <c r="I61" s="6">
        <f>Summary!I61*0.08</f>
        <v/>
      </c>
      <c r="J61" s="6">
        <f>Summary!J61*0.08</f>
        <v/>
      </c>
      <c r="K61" s="6">
        <f>Summary!K61*0.08</f>
        <v/>
      </c>
      <c r="L61" s="6">
        <f>Summary!L61*0.08</f>
        <v/>
      </c>
      <c r="M61" s="6">
        <f>Summary!M61*0.08</f>
        <v/>
      </c>
      <c r="N61" s="6">
        <f>Summary!N61*0.08</f>
        <v/>
      </c>
      <c r="O61" s="6">
        <f>Summary!O61*0.08</f>
        <v/>
      </c>
      <c r="P61" s="6">
        <f>Summary!P61*0.08</f>
        <v/>
      </c>
      <c r="Q61" s="6">
        <f>Summary!Q61*0.08</f>
        <v/>
      </c>
      <c r="R61" s="6">
        <f>Summary!R61*0.08</f>
        <v/>
      </c>
      <c r="S61" s="6">
        <f>Summary!S61*0.08</f>
        <v/>
      </c>
      <c r="T61" s="6">
        <f>Summary!T61*0.08</f>
        <v/>
      </c>
      <c r="U61" s="6">
        <f>Summary!U61*0.08</f>
        <v/>
      </c>
      <c r="V61" s="6">
        <f>Summary!V61*0.08</f>
        <v/>
      </c>
      <c r="W61" s="6">
        <f>Summary!W61*0.08</f>
        <v/>
      </c>
      <c r="X61" s="6">
        <f>Summary!X61*0.08</f>
        <v/>
      </c>
      <c r="Y61" s="6">
        <f>Summary!Y61*0.08</f>
        <v/>
      </c>
      <c r="Z61" s="6">
        <f>Summary!Z61*0.08</f>
        <v/>
      </c>
      <c r="AA61" s="6">
        <f>Summary!AA61*0.08</f>
        <v/>
      </c>
      <c r="AB61" s="6">
        <f>SUM(D61:AA61)</f>
        <v/>
      </c>
      <c r="AC61" s="3" t="inlineStr"/>
      <c r="AD61" s="7">
        <f>E61*0.0010369917+D61*0.0002073983</f>
        <v/>
      </c>
      <c r="AE61" s="7">
        <f>F61*0.0010369917+E61*0.0002073983</f>
        <v/>
      </c>
      <c r="AF61" s="7">
        <f>G61*0.0010369917+F61*0.0002073983</f>
        <v/>
      </c>
      <c r="AG61" s="7">
        <f>H61*0.0010369917+G61*0.0002073983</f>
        <v/>
      </c>
      <c r="AH61" s="7">
        <f>I61*0.0010369917+H61*0.0002073983</f>
        <v/>
      </c>
      <c r="AI61" s="7">
        <f>J61*0.0010369917+I61*0.0002073983</f>
        <v/>
      </c>
      <c r="AJ61" s="7">
        <f>K61*0.0010369917+J61*0.0002073983</f>
        <v/>
      </c>
      <c r="AK61" s="7">
        <f>L61*0.0010369917+K61*0.0002073983</f>
        <v/>
      </c>
      <c r="AL61" s="7">
        <f>M61*0.0010369917+L61*0.0002073983</f>
        <v/>
      </c>
      <c r="AM61" s="7">
        <f>N61*0.0010369917+M61*0.0002073983</f>
        <v/>
      </c>
      <c r="AN61" s="7">
        <f>O61*0.0010369917+N61*0.0002073983</f>
        <v/>
      </c>
      <c r="AO61" s="7">
        <f>P61*0.0010369917+O61*0.0002073983</f>
        <v/>
      </c>
      <c r="AP61" s="7">
        <f>Q61*0.0010369917+P61*0.0002073983</f>
        <v/>
      </c>
      <c r="AQ61" s="7">
        <f>R61*0.0010369917+Q61*0.0002073983</f>
        <v/>
      </c>
      <c r="AR61" s="7">
        <f>S61*0.0010369917+R61*0.0002073983</f>
        <v/>
      </c>
      <c r="AS61" s="7">
        <f>T61*0.0010369917+S61*0.0002073983</f>
        <v/>
      </c>
      <c r="AT61" s="7">
        <f>U61*0.0010369917+T61*0.0002073983</f>
        <v/>
      </c>
      <c r="AU61" s="7">
        <f>V61*0.0010369917+U61*0.0002073983</f>
        <v/>
      </c>
      <c r="AV61" s="7">
        <f>W61*0.0010369917+V61*0.0002073983</f>
        <v/>
      </c>
      <c r="AW61" s="7">
        <f>X61*0.0010369917+W61*0.0002073983</f>
        <v/>
      </c>
      <c r="AX61" s="7">
        <f>Y61*0.0010369917+X61*0.0002073983</f>
        <v/>
      </c>
      <c r="AY61" s="7">
        <f>Z61*0.0010369917+Y61*0.0002073983</f>
        <v/>
      </c>
      <c r="AZ61" s="7">
        <f>AA61*0.0010369917+Z61*0.0002073983</f>
        <v/>
      </c>
      <c r="BA61" s="7">
        <f>D61*0.0010369917+AA61*0.0002073983</f>
        <v/>
      </c>
      <c r="BB61" s="7">
        <f>SUM(AD61:BA61)</f>
        <v/>
      </c>
    </row>
    <row r="62">
      <c r="A62" t="inlineStr">
        <is>
          <t>AMD-INTRA-SSC</t>
        </is>
      </c>
      <c r="B62" t="inlineStr">
        <is>
          <t>Forward Regular OSC</t>
        </is>
      </c>
      <c r="C62" s="5" t="n">
        <v>46101</v>
      </c>
      <c r="D62" s="6">
        <f>Summary!D62*0.08</f>
        <v/>
      </c>
      <c r="E62" s="6">
        <f>Summary!E62*0.08</f>
        <v/>
      </c>
      <c r="F62" s="6">
        <f>Summary!F62*0.08</f>
        <v/>
      </c>
      <c r="G62" s="6">
        <f>Summary!G62*0.08</f>
        <v/>
      </c>
      <c r="H62" s="6">
        <f>Summary!H62*0.08</f>
        <v/>
      </c>
      <c r="I62" s="6">
        <f>Summary!I62*0.08</f>
        <v/>
      </c>
      <c r="J62" s="6">
        <f>Summary!J62*0.08</f>
        <v/>
      </c>
      <c r="K62" s="6">
        <f>Summary!K62*0.08</f>
        <v/>
      </c>
      <c r="L62" s="6">
        <f>Summary!L62*0.08</f>
        <v/>
      </c>
      <c r="M62" s="6">
        <f>Summary!M62*0.08</f>
        <v/>
      </c>
      <c r="N62" s="6">
        <f>Summary!N62*0.08</f>
        <v/>
      </c>
      <c r="O62" s="6">
        <f>Summary!O62*0.08</f>
        <v/>
      </c>
      <c r="P62" s="6">
        <f>Summary!P62*0.08</f>
        <v/>
      </c>
      <c r="Q62" s="6">
        <f>Summary!Q62*0.08</f>
        <v/>
      </c>
      <c r="R62" s="6">
        <f>Summary!R62*0.08</f>
        <v/>
      </c>
      <c r="S62" s="6">
        <f>Summary!S62*0.08</f>
        <v/>
      </c>
      <c r="T62" s="6">
        <f>Summary!T62*0.08</f>
        <v/>
      </c>
      <c r="U62" s="6">
        <f>Summary!U62*0.08</f>
        <v/>
      </c>
      <c r="V62" s="6">
        <f>Summary!V62*0.08</f>
        <v/>
      </c>
      <c r="W62" s="6">
        <f>Summary!W62*0.08</f>
        <v/>
      </c>
      <c r="X62" s="6">
        <f>Summary!X62*0.08</f>
        <v/>
      </c>
      <c r="Y62" s="6">
        <f>Summary!Y62*0.08</f>
        <v/>
      </c>
      <c r="Z62" s="6">
        <f>Summary!Z62*0.08</f>
        <v/>
      </c>
      <c r="AA62" s="6">
        <f>Summary!AA62*0.08</f>
        <v/>
      </c>
      <c r="AB62" s="6">
        <f>SUM(D62:AA62)</f>
        <v/>
      </c>
      <c r="AC62" s="3" t="inlineStr"/>
      <c r="AD62" s="7">
        <f>E62*0.0010369917+D62*0.0002073983</f>
        <v/>
      </c>
      <c r="AE62" s="7">
        <f>F62*0.0010369917+E62*0.0002073983</f>
        <v/>
      </c>
      <c r="AF62" s="7">
        <f>G62*0.0010369917+F62*0.0002073983</f>
        <v/>
      </c>
      <c r="AG62" s="7">
        <f>H62*0.0010369917+G62*0.0002073983</f>
        <v/>
      </c>
      <c r="AH62" s="7">
        <f>I62*0.0010369917+H62*0.0002073983</f>
        <v/>
      </c>
      <c r="AI62" s="7">
        <f>J62*0.0010369917+I62*0.0002073983</f>
        <v/>
      </c>
      <c r="AJ62" s="7">
        <f>K62*0.0010369917+J62*0.0002073983</f>
        <v/>
      </c>
      <c r="AK62" s="7">
        <f>L62*0.0010369917+K62*0.0002073983</f>
        <v/>
      </c>
      <c r="AL62" s="7">
        <f>M62*0.0010369917+L62*0.0002073983</f>
        <v/>
      </c>
      <c r="AM62" s="7">
        <f>N62*0.0010369917+M62*0.0002073983</f>
        <v/>
      </c>
      <c r="AN62" s="7">
        <f>O62*0.0010369917+N62*0.0002073983</f>
        <v/>
      </c>
      <c r="AO62" s="7">
        <f>P62*0.0010369917+O62*0.0002073983</f>
        <v/>
      </c>
      <c r="AP62" s="7">
        <f>Q62*0.0010369917+P62*0.0002073983</f>
        <v/>
      </c>
      <c r="AQ62" s="7">
        <f>R62*0.0010369917+Q62*0.0002073983</f>
        <v/>
      </c>
      <c r="AR62" s="7">
        <f>S62*0.0010369917+R62*0.0002073983</f>
        <v/>
      </c>
      <c r="AS62" s="7">
        <f>T62*0.0010369917+S62*0.0002073983</f>
        <v/>
      </c>
      <c r="AT62" s="7">
        <f>U62*0.0010369917+T62*0.0002073983</f>
        <v/>
      </c>
      <c r="AU62" s="7">
        <f>V62*0.0010369917+U62*0.0002073983</f>
        <v/>
      </c>
      <c r="AV62" s="7">
        <f>W62*0.0010369917+V62*0.0002073983</f>
        <v/>
      </c>
      <c r="AW62" s="7">
        <f>X62*0.0010369917+W62*0.0002073983</f>
        <v/>
      </c>
      <c r="AX62" s="7">
        <f>Y62*0.0010369917+X62*0.0002073983</f>
        <v/>
      </c>
      <c r="AY62" s="7">
        <f>Z62*0.0010369917+Y62*0.0002073983</f>
        <v/>
      </c>
      <c r="AZ62" s="7">
        <f>AA62*0.0010369917+Z62*0.0002073983</f>
        <v/>
      </c>
      <c r="BA62" s="7">
        <f>D62*0.0010369917+AA62*0.0002073983</f>
        <v/>
      </c>
      <c r="BB62" s="7">
        <f>SUM(AD62:BA62)</f>
        <v/>
      </c>
    </row>
    <row r="63">
      <c r="A63" t="inlineStr">
        <is>
          <t>AMD-INTRA-SSC</t>
        </is>
      </c>
      <c r="B63" t="inlineStr">
        <is>
          <t>Forward Regular OSC</t>
        </is>
      </c>
      <c r="C63" s="5" t="n">
        <v>46102</v>
      </c>
      <c r="D63" s="6">
        <f>Summary!D63*0.08</f>
        <v/>
      </c>
      <c r="E63" s="6">
        <f>Summary!E63*0.08</f>
        <v/>
      </c>
      <c r="F63" s="6">
        <f>Summary!F63*0.08</f>
        <v/>
      </c>
      <c r="G63" s="6">
        <f>Summary!G63*0.08</f>
        <v/>
      </c>
      <c r="H63" s="6">
        <f>Summary!H63*0.08</f>
        <v/>
      </c>
      <c r="I63" s="6">
        <f>Summary!I63*0.08</f>
        <v/>
      </c>
      <c r="J63" s="6">
        <f>Summary!J63*0.08</f>
        <v/>
      </c>
      <c r="K63" s="6">
        <f>Summary!K63*0.08</f>
        <v/>
      </c>
      <c r="L63" s="6">
        <f>Summary!L63*0.08</f>
        <v/>
      </c>
      <c r="M63" s="6">
        <f>Summary!M63*0.08</f>
        <v/>
      </c>
      <c r="N63" s="6">
        <f>Summary!N63*0.08</f>
        <v/>
      </c>
      <c r="O63" s="6">
        <f>Summary!O63*0.08</f>
        <v/>
      </c>
      <c r="P63" s="6">
        <f>Summary!P63*0.08</f>
        <v/>
      </c>
      <c r="Q63" s="6">
        <f>Summary!Q63*0.08</f>
        <v/>
      </c>
      <c r="R63" s="6">
        <f>Summary!R63*0.08</f>
        <v/>
      </c>
      <c r="S63" s="6">
        <f>Summary!S63*0.08</f>
        <v/>
      </c>
      <c r="T63" s="6">
        <f>Summary!T63*0.08</f>
        <v/>
      </c>
      <c r="U63" s="6">
        <f>Summary!U63*0.08</f>
        <v/>
      </c>
      <c r="V63" s="6">
        <f>Summary!V63*0.08</f>
        <v/>
      </c>
      <c r="W63" s="6">
        <f>Summary!W63*0.08</f>
        <v/>
      </c>
      <c r="X63" s="6">
        <f>Summary!X63*0.08</f>
        <v/>
      </c>
      <c r="Y63" s="6">
        <f>Summary!Y63*0.08</f>
        <v/>
      </c>
      <c r="Z63" s="6">
        <f>Summary!Z63*0.08</f>
        <v/>
      </c>
      <c r="AA63" s="6">
        <f>Summary!AA63*0.08</f>
        <v/>
      </c>
      <c r="AB63" s="6">
        <f>SUM(D63:AA63)</f>
        <v/>
      </c>
      <c r="AC63" s="3" t="inlineStr"/>
      <c r="AD63" s="7">
        <f>E63*0.0010369917+D63*0.0002073983</f>
        <v/>
      </c>
      <c r="AE63" s="7">
        <f>F63*0.0010369917+E63*0.0002073983</f>
        <v/>
      </c>
      <c r="AF63" s="7">
        <f>G63*0.0010369917+F63*0.0002073983</f>
        <v/>
      </c>
      <c r="AG63" s="7">
        <f>H63*0.0010369917+G63*0.0002073983</f>
        <v/>
      </c>
      <c r="AH63" s="7">
        <f>I63*0.0010369917+H63*0.0002073983</f>
        <v/>
      </c>
      <c r="AI63" s="7">
        <f>J63*0.0010369917+I63*0.0002073983</f>
        <v/>
      </c>
      <c r="AJ63" s="7">
        <f>K63*0.0010369917+J63*0.0002073983</f>
        <v/>
      </c>
      <c r="AK63" s="7">
        <f>L63*0.0010369917+K63*0.0002073983</f>
        <v/>
      </c>
      <c r="AL63" s="7">
        <f>M63*0.0010369917+L63*0.0002073983</f>
        <v/>
      </c>
      <c r="AM63" s="7">
        <f>N63*0.0010369917+M63*0.0002073983</f>
        <v/>
      </c>
      <c r="AN63" s="7">
        <f>O63*0.0010369917+N63*0.0002073983</f>
        <v/>
      </c>
      <c r="AO63" s="7">
        <f>P63*0.0010369917+O63*0.0002073983</f>
        <v/>
      </c>
      <c r="AP63" s="7">
        <f>Q63*0.0010369917+P63*0.0002073983</f>
        <v/>
      </c>
      <c r="AQ63" s="7">
        <f>R63*0.0010369917+Q63*0.0002073983</f>
        <v/>
      </c>
      <c r="AR63" s="7">
        <f>S63*0.0010369917+R63*0.0002073983</f>
        <v/>
      </c>
      <c r="AS63" s="7">
        <f>T63*0.0010369917+S63*0.0002073983</f>
        <v/>
      </c>
      <c r="AT63" s="7">
        <f>U63*0.0010369917+T63*0.0002073983</f>
        <v/>
      </c>
      <c r="AU63" s="7">
        <f>V63*0.0010369917+U63*0.0002073983</f>
        <v/>
      </c>
      <c r="AV63" s="7">
        <f>W63*0.0010369917+V63*0.0002073983</f>
        <v/>
      </c>
      <c r="AW63" s="7">
        <f>X63*0.0010369917+W63*0.0002073983</f>
        <v/>
      </c>
      <c r="AX63" s="7">
        <f>Y63*0.0010369917+X63*0.0002073983</f>
        <v/>
      </c>
      <c r="AY63" s="7">
        <f>Z63*0.0010369917+Y63*0.0002073983</f>
        <v/>
      </c>
      <c r="AZ63" s="7">
        <f>AA63*0.0010369917+Z63*0.0002073983</f>
        <v/>
      </c>
      <c r="BA63" s="7">
        <f>D63*0.0010369917+AA63*0.0002073983</f>
        <v/>
      </c>
      <c r="BB63" s="7">
        <f>SUM(AD63:BA63)</f>
        <v/>
      </c>
    </row>
    <row r="64">
      <c r="A64" t="inlineStr">
        <is>
          <t>AMD-INTRA-SSC</t>
        </is>
      </c>
      <c r="B64" t="inlineStr">
        <is>
          <t>Forward Regular OSC</t>
        </is>
      </c>
      <c r="C64" s="5" t="n">
        <v>46103</v>
      </c>
      <c r="D64" s="6">
        <f>Summary!D64*0.08</f>
        <v/>
      </c>
      <c r="E64" s="6">
        <f>Summary!E64*0.08</f>
        <v/>
      </c>
      <c r="F64" s="6">
        <f>Summary!F64*0.08</f>
        <v/>
      </c>
      <c r="G64" s="6">
        <f>Summary!G64*0.08</f>
        <v/>
      </c>
      <c r="H64" s="6">
        <f>Summary!H64*0.08</f>
        <v/>
      </c>
      <c r="I64" s="6">
        <f>Summary!I64*0.08</f>
        <v/>
      </c>
      <c r="J64" s="6">
        <f>Summary!J64*0.08</f>
        <v/>
      </c>
      <c r="K64" s="6">
        <f>Summary!K64*0.08</f>
        <v/>
      </c>
      <c r="L64" s="6">
        <f>Summary!L64*0.08</f>
        <v/>
      </c>
      <c r="M64" s="6">
        <f>Summary!M64*0.08</f>
        <v/>
      </c>
      <c r="N64" s="6">
        <f>Summary!N64*0.08</f>
        <v/>
      </c>
      <c r="O64" s="6">
        <f>Summary!O64*0.08</f>
        <v/>
      </c>
      <c r="P64" s="6">
        <f>Summary!P64*0.08</f>
        <v/>
      </c>
      <c r="Q64" s="6">
        <f>Summary!Q64*0.08</f>
        <v/>
      </c>
      <c r="R64" s="6">
        <f>Summary!R64*0.08</f>
        <v/>
      </c>
      <c r="S64" s="6">
        <f>Summary!S64*0.08</f>
        <v/>
      </c>
      <c r="T64" s="6">
        <f>Summary!T64*0.08</f>
        <v/>
      </c>
      <c r="U64" s="6">
        <f>Summary!U64*0.08</f>
        <v/>
      </c>
      <c r="V64" s="6">
        <f>Summary!V64*0.08</f>
        <v/>
      </c>
      <c r="W64" s="6">
        <f>Summary!W64*0.08</f>
        <v/>
      </c>
      <c r="X64" s="6">
        <f>Summary!X64*0.08</f>
        <v/>
      </c>
      <c r="Y64" s="6">
        <f>Summary!Y64*0.08</f>
        <v/>
      </c>
      <c r="Z64" s="6">
        <f>Summary!Z64*0.08</f>
        <v/>
      </c>
      <c r="AA64" s="6">
        <f>Summary!AA64*0.08</f>
        <v/>
      </c>
      <c r="AB64" s="6">
        <f>SUM(D64:AA64)</f>
        <v/>
      </c>
      <c r="AC64" s="3" t="inlineStr"/>
      <c r="AD64" s="7">
        <f>E64*0.0010369917+D64*0.0002073983</f>
        <v/>
      </c>
      <c r="AE64" s="7">
        <f>F64*0.0010369917+E64*0.0002073983</f>
        <v/>
      </c>
      <c r="AF64" s="7">
        <f>G64*0.0010369917+F64*0.0002073983</f>
        <v/>
      </c>
      <c r="AG64" s="7">
        <f>H64*0.0010369917+G64*0.0002073983</f>
        <v/>
      </c>
      <c r="AH64" s="7">
        <f>I64*0.0010369917+H64*0.0002073983</f>
        <v/>
      </c>
      <c r="AI64" s="7">
        <f>J64*0.0010369917+I64*0.0002073983</f>
        <v/>
      </c>
      <c r="AJ64" s="7">
        <f>K64*0.0010369917+J64*0.0002073983</f>
        <v/>
      </c>
      <c r="AK64" s="7">
        <f>L64*0.0010369917+K64*0.0002073983</f>
        <v/>
      </c>
      <c r="AL64" s="7">
        <f>M64*0.0010369917+L64*0.0002073983</f>
        <v/>
      </c>
      <c r="AM64" s="7">
        <f>N64*0.0010369917+M64*0.0002073983</f>
        <v/>
      </c>
      <c r="AN64" s="7">
        <f>O64*0.0010369917+N64*0.0002073983</f>
        <v/>
      </c>
      <c r="AO64" s="7">
        <f>P64*0.0010369917+O64*0.0002073983</f>
        <v/>
      </c>
      <c r="AP64" s="7">
        <f>Q64*0.0010369917+P64*0.0002073983</f>
        <v/>
      </c>
      <c r="AQ64" s="7">
        <f>R64*0.0010369917+Q64*0.0002073983</f>
        <v/>
      </c>
      <c r="AR64" s="7">
        <f>S64*0.0010369917+R64*0.0002073983</f>
        <v/>
      </c>
      <c r="AS64" s="7">
        <f>T64*0.0010369917+S64*0.0002073983</f>
        <v/>
      </c>
      <c r="AT64" s="7">
        <f>U64*0.0010369917+T64*0.0002073983</f>
        <v/>
      </c>
      <c r="AU64" s="7">
        <f>V64*0.0010369917+U64*0.0002073983</f>
        <v/>
      </c>
      <c r="AV64" s="7">
        <f>W64*0.0010369917+V64*0.0002073983</f>
        <v/>
      </c>
      <c r="AW64" s="7">
        <f>X64*0.0010369917+W64*0.0002073983</f>
        <v/>
      </c>
      <c r="AX64" s="7">
        <f>Y64*0.0010369917+X64*0.0002073983</f>
        <v/>
      </c>
      <c r="AY64" s="7">
        <f>Z64*0.0010369917+Y64*0.0002073983</f>
        <v/>
      </c>
      <c r="AZ64" s="7">
        <f>AA64*0.0010369917+Z64*0.0002073983</f>
        <v/>
      </c>
      <c r="BA64" s="7">
        <f>D64*0.0010369917+AA64*0.0002073983</f>
        <v/>
      </c>
      <c r="BB64" s="7">
        <f>SUM(AD64:BA64)</f>
        <v/>
      </c>
    </row>
    <row r="65">
      <c r="A65" t="inlineStr">
        <is>
          <t>AMD-INTRA-SSC</t>
        </is>
      </c>
      <c r="B65" t="inlineStr">
        <is>
          <t>Forward Regular OSC</t>
        </is>
      </c>
      <c r="C65" s="5" t="n">
        <v>46104</v>
      </c>
      <c r="D65" s="6">
        <f>Summary!D65*0.08</f>
        <v/>
      </c>
      <c r="E65" s="6">
        <f>Summary!E65*0.08</f>
        <v/>
      </c>
      <c r="F65" s="6">
        <f>Summary!F65*0.08</f>
        <v/>
      </c>
      <c r="G65" s="6">
        <f>Summary!G65*0.08</f>
        <v/>
      </c>
      <c r="H65" s="6">
        <f>Summary!H65*0.08</f>
        <v/>
      </c>
      <c r="I65" s="6">
        <f>Summary!I65*0.08</f>
        <v/>
      </c>
      <c r="J65" s="6">
        <f>Summary!J65*0.08</f>
        <v/>
      </c>
      <c r="K65" s="6">
        <f>Summary!K65*0.08</f>
        <v/>
      </c>
      <c r="L65" s="6">
        <f>Summary!L65*0.08</f>
        <v/>
      </c>
      <c r="M65" s="6">
        <f>Summary!M65*0.08</f>
        <v/>
      </c>
      <c r="N65" s="6">
        <f>Summary!N65*0.08</f>
        <v/>
      </c>
      <c r="O65" s="6">
        <f>Summary!O65*0.08</f>
        <v/>
      </c>
      <c r="P65" s="6">
        <f>Summary!P65*0.08</f>
        <v/>
      </c>
      <c r="Q65" s="6">
        <f>Summary!Q65*0.08</f>
        <v/>
      </c>
      <c r="R65" s="6">
        <f>Summary!R65*0.08</f>
        <v/>
      </c>
      <c r="S65" s="6">
        <f>Summary!S65*0.08</f>
        <v/>
      </c>
      <c r="T65" s="6">
        <f>Summary!T65*0.08</f>
        <v/>
      </c>
      <c r="U65" s="6">
        <f>Summary!U65*0.08</f>
        <v/>
      </c>
      <c r="V65" s="6">
        <f>Summary!V65*0.08</f>
        <v/>
      </c>
      <c r="W65" s="6">
        <f>Summary!W65*0.08</f>
        <v/>
      </c>
      <c r="X65" s="6">
        <f>Summary!X65*0.08</f>
        <v/>
      </c>
      <c r="Y65" s="6">
        <f>Summary!Y65*0.08</f>
        <v/>
      </c>
      <c r="Z65" s="6">
        <f>Summary!Z65*0.08</f>
        <v/>
      </c>
      <c r="AA65" s="6">
        <f>Summary!AA65*0.08</f>
        <v/>
      </c>
      <c r="AB65" s="6">
        <f>SUM(D65:AA65)</f>
        <v/>
      </c>
      <c r="AC65" s="3" t="inlineStr"/>
      <c r="AD65" s="7">
        <f>E65*0.0010369917+D65*0.0002073983</f>
        <v/>
      </c>
      <c r="AE65" s="7">
        <f>F65*0.0010369917+E65*0.0002073983</f>
        <v/>
      </c>
      <c r="AF65" s="7">
        <f>G65*0.0010369917+F65*0.0002073983</f>
        <v/>
      </c>
      <c r="AG65" s="7">
        <f>H65*0.0010369917+G65*0.0002073983</f>
        <v/>
      </c>
      <c r="AH65" s="7">
        <f>I65*0.0010369917+H65*0.0002073983</f>
        <v/>
      </c>
      <c r="AI65" s="7">
        <f>J65*0.0010369917+I65*0.0002073983</f>
        <v/>
      </c>
      <c r="AJ65" s="7">
        <f>K65*0.0010369917+J65*0.0002073983</f>
        <v/>
      </c>
      <c r="AK65" s="7">
        <f>L65*0.0010369917+K65*0.0002073983</f>
        <v/>
      </c>
      <c r="AL65" s="7">
        <f>M65*0.0010369917+L65*0.0002073983</f>
        <v/>
      </c>
      <c r="AM65" s="7">
        <f>N65*0.0010369917+M65*0.0002073983</f>
        <v/>
      </c>
      <c r="AN65" s="7">
        <f>O65*0.0010369917+N65*0.0002073983</f>
        <v/>
      </c>
      <c r="AO65" s="7">
        <f>P65*0.0010369917+O65*0.0002073983</f>
        <v/>
      </c>
      <c r="AP65" s="7">
        <f>Q65*0.0010369917+P65*0.0002073983</f>
        <v/>
      </c>
      <c r="AQ65" s="7">
        <f>R65*0.0010369917+Q65*0.0002073983</f>
        <v/>
      </c>
      <c r="AR65" s="7">
        <f>S65*0.0010369917+R65*0.0002073983</f>
        <v/>
      </c>
      <c r="AS65" s="7">
        <f>T65*0.0010369917+S65*0.0002073983</f>
        <v/>
      </c>
      <c r="AT65" s="7">
        <f>U65*0.0010369917+T65*0.0002073983</f>
        <v/>
      </c>
      <c r="AU65" s="7">
        <f>V65*0.0010369917+U65*0.0002073983</f>
        <v/>
      </c>
      <c r="AV65" s="7">
        <f>W65*0.0010369917+V65*0.0002073983</f>
        <v/>
      </c>
      <c r="AW65" s="7">
        <f>X65*0.0010369917+W65*0.0002073983</f>
        <v/>
      </c>
      <c r="AX65" s="7">
        <f>Y65*0.0010369917+X65*0.0002073983</f>
        <v/>
      </c>
      <c r="AY65" s="7">
        <f>Z65*0.0010369917+Y65*0.0002073983</f>
        <v/>
      </c>
      <c r="AZ65" s="7">
        <f>AA65*0.0010369917+Z65*0.0002073983</f>
        <v/>
      </c>
      <c r="BA65" s="7">
        <f>D65*0.0010369917+AA65*0.0002073983</f>
        <v/>
      </c>
      <c r="BB65" s="7">
        <f>SUM(AD65:BA65)</f>
        <v/>
      </c>
    </row>
    <row r="66">
      <c r="A66" t="inlineStr">
        <is>
          <t>AMD-INTRA-SSC</t>
        </is>
      </c>
      <c r="B66" t="inlineStr">
        <is>
          <t>Forward Regular OSC</t>
        </is>
      </c>
      <c r="C66" s="5" t="n">
        <v>46105</v>
      </c>
      <c r="D66" s="6">
        <f>Summary!D66*0.08</f>
        <v/>
      </c>
      <c r="E66" s="6">
        <f>Summary!E66*0.08</f>
        <v/>
      </c>
      <c r="F66" s="6">
        <f>Summary!F66*0.08</f>
        <v/>
      </c>
      <c r="G66" s="6">
        <f>Summary!G66*0.08</f>
        <v/>
      </c>
      <c r="H66" s="6">
        <f>Summary!H66*0.08</f>
        <v/>
      </c>
      <c r="I66" s="6">
        <f>Summary!I66*0.08</f>
        <v/>
      </c>
      <c r="J66" s="6">
        <f>Summary!J66*0.08</f>
        <v/>
      </c>
      <c r="K66" s="6">
        <f>Summary!K66*0.08</f>
        <v/>
      </c>
      <c r="L66" s="6">
        <f>Summary!L66*0.08</f>
        <v/>
      </c>
      <c r="M66" s="6">
        <f>Summary!M66*0.08</f>
        <v/>
      </c>
      <c r="N66" s="6">
        <f>Summary!N66*0.08</f>
        <v/>
      </c>
      <c r="O66" s="6">
        <f>Summary!O66*0.08</f>
        <v/>
      </c>
      <c r="P66" s="6">
        <f>Summary!P66*0.08</f>
        <v/>
      </c>
      <c r="Q66" s="6">
        <f>Summary!Q66*0.08</f>
        <v/>
      </c>
      <c r="R66" s="6">
        <f>Summary!R66*0.08</f>
        <v/>
      </c>
      <c r="S66" s="6">
        <f>Summary!S66*0.08</f>
        <v/>
      </c>
      <c r="T66" s="6">
        <f>Summary!T66*0.08</f>
        <v/>
      </c>
      <c r="U66" s="6">
        <f>Summary!U66*0.08</f>
        <v/>
      </c>
      <c r="V66" s="6">
        <f>Summary!V66*0.08</f>
        <v/>
      </c>
      <c r="W66" s="6">
        <f>Summary!W66*0.08</f>
        <v/>
      </c>
      <c r="X66" s="6">
        <f>Summary!X66*0.08</f>
        <v/>
      </c>
      <c r="Y66" s="6">
        <f>Summary!Y66*0.08</f>
        <v/>
      </c>
      <c r="Z66" s="6">
        <f>Summary!Z66*0.08</f>
        <v/>
      </c>
      <c r="AA66" s="6">
        <f>Summary!AA66*0.08</f>
        <v/>
      </c>
      <c r="AB66" s="6">
        <f>SUM(D66:AA66)</f>
        <v/>
      </c>
      <c r="AC66" s="3" t="inlineStr"/>
      <c r="AD66" s="7">
        <f>E66*0.0010369917+D66*0.0002073983</f>
        <v/>
      </c>
      <c r="AE66" s="7">
        <f>F66*0.0010369917+E66*0.0002073983</f>
        <v/>
      </c>
      <c r="AF66" s="7">
        <f>G66*0.0010369917+F66*0.0002073983</f>
        <v/>
      </c>
      <c r="AG66" s="7">
        <f>H66*0.0010369917+G66*0.0002073983</f>
        <v/>
      </c>
      <c r="AH66" s="7">
        <f>I66*0.0010369917+H66*0.0002073983</f>
        <v/>
      </c>
      <c r="AI66" s="7">
        <f>J66*0.0010369917+I66*0.0002073983</f>
        <v/>
      </c>
      <c r="AJ66" s="7">
        <f>K66*0.0010369917+J66*0.0002073983</f>
        <v/>
      </c>
      <c r="AK66" s="7">
        <f>L66*0.0010369917+K66*0.0002073983</f>
        <v/>
      </c>
      <c r="AL66" s="7">
        <f>M66*0.0010369917+L66*0.0002073983</f>
        <v/>
      </c>
      <c r="AM66" s="7">
        <f>N66*0.0010369917+M66*0.0002073983</f>
        <v/>
      </c>
      <c r="AN66" s="7">
        <f>O66*0.0010369917+N66*0.0002073983</f>
        <v/>
      </c>
      <c r="AO66" s="7">
        <f>P66*0.0010369917+O66*0.0002073983</f>
        <v/>
      </c>
      <c r="AP66" s="7">
        <f>Q66*0.0010369917+P66*0.0002073983</f>
        <v/>
      </c>
      <c r="AQ66" s="7">
        <f>R66*0.0010369917+Q66*0.0002073983</f>
        <v/>
      </c>
      <c r="AR66" s="7">
        <f>S66*0.0010369917+R66*0.0002073983</f>
        <v/>
      </c>
      <c r="AS66" s="7">
        <f>T66*0.0010369917+S66*0.0002073983</f>
        <v/>
      </c>
      <c r="AT66" s="7">
        <f>U66*0.0010369917+T66*0.0002073983</f>
        <v/>
      </c>
      <c r="AU66" s="7">
        <f>V66*0.0010369917+U66*0.0002073983</f>
        <v/>
      </c>
      <c r="AV66" s="7">
        <f>W66*0.0010369917+V66*0.0002073983</f>
        <v/>
      </c>
      <c r="AW66" s="7">
        <f>X66*0.0010369917+W66*0.0002073983</f>
        <v/>
      </c>
      <c r="AX66" s="7">
        <f>Y66*0.0010369917+X66*0.0002073983</f>
        <v/>
      </c>
      <c r="AY66" s="7">
        <f>Z66*0.0010369917+Y66*0.0002073983</f>
        <v/>
      </c>
      <c r="AZ66" s="7">
        <f>AA66*0.0010369917+Z66*0.0002073983</f>
        <v/>
      </c>
      <c r="BA66" s="7">
        <f>D66*0.0010369917+AA66*0.0002073983</f>
        <v/>
      </c>
      <c r="BB66" s="7">
        <f>SUM(AD66:BA66)</f>
        <v/>
      </c>
    </row>
    <row r="67">
      <c r="A67" t="inlineStr">
        <is>
          <t>AMD-M1</t>
        </is>
      </c>
      <c r="B67" t="inlineStr">
        <is>
          <t>Forward Regular OSC</t>
        </is>
      </c>
      <c r="C67" s="5" t="n">
        <v>46089</v>
      </c>
      <c r="D67" s="6">
        <f>Summary!D67*0.08</f>
        <v/>
      </c>
      <c r="E67" s="6">
        <f>Summary!E67*0.08</f>
        <v/>
      </c>
      <c r="F67" s="6">
        <f>Summary!F67*0.08</f>
        <v/>
      </c>
      <c r="G67" s="6">
        <f>Summary!G67*0.08</f>
        <v/>
      </c>
      <c r="H67" s="6">
        <f>Summary!H67*0.08</f>
        <v/>
      </c>
      <c r="I67" s="6">
        <f>Summary!I67*0.08</f>
        <v/>
      </c>
      <c r="J67" s="6">
        <f>Summary!J67*0.08</f>
        <v/>
      </c>
      <c r="K67" s="6">
        <f>Summary!K67*0.08</f>
        <v/>
      </c>
      <c r="L67" s="6">
        <f>Summary!L67*0.08</f>
        <v/>
      </c>
      <c r="M67" s="6">
        <f>Summary!M67*0.08</f>
        <v/>
      </c>
      <c r="N67" s="6">
        <f>Summary!N67*0.08</f>
        <v/>
      </c>
      <c r="O67" s="6">
        <f>Summary!O67*0.08</f>
        <v/>
      </c>
      <c r="P67" s="6">
        <f>Summary!P67*0.08</f>
        <v/>
      </c>
      <c r="Q67" s="6">
        <f>Summary!Q67*0.08</f>
        <v/>
      </c>
      <c r="R67" s="6">
        <f>Summary!R67*0.08</f>
        <v/>
      </c>
      <c r="S67" s="6">
        <f>Summary!S67*0.08</f>
        <v/>
      </c>
      <c r="T67" s="6">
        <f>Summary!T67*0.08</f>
        <v/>
      </c>
      <c r="U67" s="6">
        <f>Summary!U67*0.08</f>
        <v/>
      </c>
      <c r="V67" s="6">
        <f>Summary!V67*0.08</f>
        <v/>
      </c>
      <c r="W67" s="6">
        <f>Summary!W67*0.08</f>
        <v/>
      </c>
      <c r="X67" s="6">
        <f>Summary!X67*0.08</f>
        <v/>
      </c>
      <c r="Y67" s="6">
        <f>Summary!Y67*0.08</f>
        <v/>
      </c>
      <c r="Z67" s="6">
        <f>Summary!Z67*0.08</f>
        <v/>
      </c>
      <c r="AA67" s="6">
        <f>Summary!AA67*0.08</f>
        <v/>
      </c>
      <c r="AB67" s="6">
        <f>SUM(D67:AA67)</f>
        <v/>
      </c>
      <c r="AC67" s="3" t="inlineStr"/>
      <c r="AD67" s="7">
        <f>E67*0.0010369917+D67*0.0002073983</f>
        <v/>
      </c>
      <c r="AE67" s="7">
        <f>F67*0.0010369917+E67*0.0002073983</f>
        <v/>
      </c>
      <c r="AF67" s="7">
        <f>G67*0.0010369917+F67*0.0002073983</f>
        <v/>
      </c>
      <c r="AG67" s="7">
        <f>H67*0.0010369917+G67*0.0002073983</f>
        <v/>
      </c>
      <c r="AH67" s="7">
        <f>I67*0.0010369917+H67*0.0002073983</f>
        <v/>
      </c>
      <c r="AI67" s="7">
        <f>J67*0.0010369917+I67*0.0002073983</f>
        <v/>
      </c>
      <c r="AJ67" s="7">
        <f>K67*0.0010369917+J67*0.0002073983</f>
        <v/>
      </c>
      <c r="AK67" s="7">
        <f>L67*0.0010369917+K67*0.0002073983</f>
        <v/>
      </c>
      <c r="AL67" s="7">
        <f>M67*0.0010369917+L67*0.0002073983</f>
        <v/>
      </c>
      <c r="AM67" s="7">
        <f>N67*0.0010369917+M67*0.0002073983</f>
        <v/>
      </c>
      <c r="AN67" s="7">
        <f>O67*0.0010369917+N67*0.0002073983</f>
        <v/>
      </c>
      <c r="AO67" s="7">
        <f>P67*0.0010369917+O67*0.0002073983</f>
        <v/>
      </c>
      <c r="AP67" s="7">
        <f>Q67*0.0010369917+P67*0.0002073983</f>
        <v/>
      </c>
      <c r="AQ67" s="7">
        <f>R67*0.0010369917+Q67*0.0002073983</f>
        <v/>
      </c>
      <c r="AR67" s="7">
        <f>S67*0.0010369917+R67*0.0002073983</f>
        <v/>
      </c>
      <c r="AS67" s="7">
        <f>T67*0.0010369917+S67*0.0002073983</f>
        <v/>
      </c>
      <c r="AT67" s="7">
        <f>U67*0.0010369917+T67*0.0002073983</f>
        <v/>
      </c>
      <c r="AU67" s="7">
        <f>V67*0.0010369917+U67*0.0002073983</f>
        <v/>
      </c>
      <c r="AV67" s="7">
        <f>W67*0.0010369917+V67*0.0002073983</f>
        <v/>
      </c>
      <c r="AW67" s="7">
        <f>X67*0.0010369917+W67*0.0002073983</f>
        <v/>
      </c>
      <c r="AX67" s="7">
        <f>Y67*0.0010369917+X67*0.0002073983</f>
        <v/>
      </c>
      <c r="AY67" s="7">
        <f>Z67*0.0010369917+Y67*0.0002073983</f>
        <v/>
      </c>
      <c r="AZ67" s="7">
        <f>AA67*0.0010369917+Z67*0.0002073983</f>
        <v/>
      </c>
      <c r="BA67" s="7">
        <f>D67*0.0010369917+AA67*0.0002073983</f>
        <v/>
      </c>
      <c r="BB67" s="7">
        <f>SUM(AD67:BA67)</f>
        <v/>
      </c>
    </row>
    <row r="68">
      <c r="A68" t="inlineStr">
        <is>
          <t>AMD-M1</t>
        </is>
      </c>
      <c r="B68" t="inlineStr">
        <is>
          <t>Forward Regular OSC</t>
        </is>
      </c>
      <c r="C68" s="5" t="n">
        <v>46090</v>
      </c>
      <c r="D68" s="6">
        <f>Summary!D68*0.08</f>
        <v/>
      </c>
      <c r="E68" s="6">
        <f>Summary!E68*0.08</f>
        <v/>
      </c>
      <c r="F68" s="6">
        <f>Summary!F68*0.08</f>
        <v/>
      </c>
      <c r="G68" s="6">
        <f>Summary!G68*0.08</f>
        <v/>
      </c>
      <c r="H68" s="6">
        <f>Summary!H68*0.08</f>
        <v/>
      </c>
      <c r="I68" s="6">
        <f>Summary!I68*0.08</f>
        <v/>
      </c>
      <c r="J68" s="6">
        <f>Summary!J68*0.08</f>
        <v/>
      </c>
      <c r="K68" s="6">
        <f>Summary!K68*0.08</f>
        <v/>
      </c>
      <c r="L68" s="6">
        <f>Summary!L68*0.08</f>
        <v/>
      </c>
      <c r="M68" s="6">
        <f>Summary!M68*0.08</f>
        <v/>
      </c>
      <c r="N68" s="6">
        <f>Summary!N68*0.08</f>
        <v/>
      </c>
      <c r="O68" s="6">
        <f>Summary!O68*0.08</f>
        <v/>
      </c>
      <c r="P68" s="6">
        <f>Summary!P68*0.08</f>
        <v/>
      </c>
      <c r="Q68" s="6">
        <f>Summary!Q68*0.08</f>
        <v/>
      </c>
      <c r="R68" s="6">
        <f>Summary!R68*0.08</f>
        <v/>
      </c>
      <c r="S68" s="6">
        <f>Summary!S68*0.08</f>
        <v/>
      </c>
      <c r="T68" s="6">
        <f>Summary!T68*0.08</f>
        <v/>
      </c>
      <c r="U68" s="6">
        <f>Summary!U68*0.08</f>
        <v/>
      </c>
      <c r="V68" s="6">
        <f>Summary!V68*0.08</f>
        <v/>
      </c>
      <c r="W68" s="6">
        <f>Summary!W68*0.08</f>
        <v/>
      </c>
      <c r="X68" s="6">
        <f>Summary!X68*0.08</f>
        <v/>
      </c>
      <c r="Y68" s="6">
        <f>Summary!Y68*0.08</f>
        <v/>
      </c>
      <c r="Z68" s="6">
        <f>Summary!Z68*0.08</f>
        <v/>
      </c>
      <c r="AA68" s="6">
        <f>Summary!AA68*0.08</f>
        <v/>
      </c>
      <c r="AB68" s="6">
        <f>SUM(D68:AA68)</f>
        <v/>
      </c>
      <c r="AC68" s="3" t="inlineStr"/>
      <c r="AD68" s="7">
        <f>E68*0.0010369917+D68*0.0002073983</f>
        <v/>
      </c>
      <c r="AE68" s="7">
        <f>F68*0.0010369917+E68*0.0002073983</f>
        <v/>
      </c>
      <c r="AF68" s="7">
        <f>G68*0.0010369917+F68*0.0002073983</f>
        <v/>
      </c>
      <c r="AG68" s="7">
        <f>H68*0.0010369917+G68*0.0002073983</f>
        <v/>
      </c>
      <c r="AH68" s="7">
        <f>I68*0.0010369917+H68*0.0002073983</f>
        <v/>
      </c>
      <c r="AI68" s="7">
        <f>J68*0.0010369917+I68*0.0002073983</f>
        <v/>
      </c>
      <c r="AJ68" s="7">
        <f>K68*0.0010369917+J68*0.0002073983</f>
        <v/>
      </c>
      <c r="AK68" s="7">
        <f>L68*0.0010369917+K68*0.0002073983</f>
        <v/>
      </c>
      <c r="AL68" s="7">
        <f>M68*0.0010369917+L68*0.0002073983</f>
        <v/>
      </c>
      <c r="AM68" s="7">
        <f>N68*0.0010369917+M68*0.0002073983</f>
        <v/>
      </c>
      <c r="AN68" s="7">
        <f>O68*0.0010369917+N68*0.0002073983</f>
        <v/>
      </c>
      <c r="AO68" s="7">
        <f>P68*0.0010369917+O68*0.0002073983</f>
        <v/>
      </c>
      <c r="AP68" s="7">
        <f>Q68*0.0010369917+P68*0.0002073983</f>
        <v/>
      </c>
      <c r="AQ68" s="7">
        <f>R68*0.0010369917+Q68*0.0002073983</f>
        <v/>
      </c>
      <c r="AR68" s="7">
        <f>S68*0.0010369917+R68*0.0002073983</f>
        <v/>
      </c>
      <c r="AS68" s="7">
        <f>T68*0.0010369917+S68*0.0002073983</f>
        <v/>
      </c>
      <c r="AT68" s="7">
        <f>U68*0.0010369917+T68*0.0002073983</f>
        <v/>
      </c>
      <c r="AU68" s="7">
        <f>V68*0.0010369917+U68*0.0002073983</f>
        <v/>
      </c>
      <c r="AV68" s="7">
        <f>W68*0.0010369917+V68*0.0002073983</f>
        <v/>
      </c>
      <c r="AW68" s="7">
        <f>X68*0.0010369917+W68*0.0002073983</f>
        <v/>
      </c>
      <c r="AX68" s="7">
        <f>Y68*0.0010369917+X68*0.0002073983</f>
        <v/>
      </c>
      <c r="AY68" s="7">
        <f>Z68*0.0010369917+Y68*0.0002073983</f>
        <v/>
      </c>
      <c r="AZ68" s="7">
        <f>AA68*0.0010369917+Z68*0.0002073983</f>
        <v/>
      </c>
      <c r="BA68" s="7">
        <f>D68*0.0010369917+AA68*0.0002073983</f>
        <v/>
      </c>
      <c r="BB68" s="7">
        <f>SUM(AD68:BA68)</f>
        <v/>
      </c>
    </row>
    <row r="69">
      <c r="A69" t="inlineStr">
        <is>
          <t>AMD-M1</t>
        </is>
      </c>
      <c r="B69" t="inlineStr">
        <is>
          <t>Forward Regular OSC</t>
        </is>
      </c>
      <c r="C69" s="5" t="n">
        <v>46091</v>
      </c>
      <c r="D69" s="6">
        <f>Summary!D69*0.08</f>
        <v/>
      </c>
      <c r="E69" s="6">
        <f>Summary!E69*0.08</f>
        <v/>
      </c>
      <c r="F69" s="6">
        <f>Summary!F69*0.08</f>
        <v/>
      </c>
      <c r="G69" s="6">
        <f>Summary!G69*0.08</f>
        <v/>
      </c>
      <c r="H69" s="6">
        <f>Summary!H69*0.08</f>
        <v/>
      </c>
      <c r="I69" s="6">
        <f>Summary!I69*0.08</f>
        <v/>
      </c>
      <c r="J69" s="6">
        <f>Summary!J69*0.08</f>
        <v/>
      </c>
      <c r="K69" s="6">
        <f>Summary!K69*0.08</f>
        <v/>
      </c>
      <c r="L69" s="6">
        <f>Summary!L69*0.08</f>
        <v/>
      </c>
      <c r="M69" s="6">
        <f>Summary!M69*0.08</f>
        <v/>
      </c>
      <c r="N69" s="6">
        <f>Summary!N69*0.08</f>
        <v/>
      </c>
      <c r="O69" s="6">
        <f>Summary!O69*0.08</f>
        <v/>
      </c>
      <c r="P69" s="6">
        <f>Summary!P69*0.08</f>
        <v/>
      </c>
      <c r="Q69" s="6">
        <f>Summary!Q69*0.08</f>
        <v/>
      </c>
      <c r="R69" s="6">
        <f>Summary!R69*0.08</f>
        <v/>
      </c>
      <c r="S69" s="6">
        <f>Summary!S69*0.08</f>
        <v/>
      </c>
      <c r="T69" s="6">
        <f>Summary!T69*0.08</f>
        <v/>
      </c>
      <c r="U69" s="6">
        <f>Summary!U69*0.08</f>
        <v/>
      </c>
      <c r="V69" s="6">
        <f>Summary!V69*0.08</f>
        <v/>
      </c>
      <c r="W69" s="6">
        <f>Summary!W69*0.08</f>
        <v/>
      </c>
      <c r="X69" s="6">
        <f>Summary!X69*0.08</f>
        <v/>
      </c>
      <c r="Y69" s="6">
        <f>Summary!Y69*0.08</f>
        <v/>
      </c>
      <c r="Z69" s="6">
        <f>Summary!Z69*0.08</f>
        <v/>
      </c>
      <c r="AA69" s="6">
        <f>Summary!AA69*0.08</f>
        <v/>
      </c>
      <c r="AB69" s="6">
        <f>SUM(D69:AA69)</f>
        <v/>
      </c>
      <c r="AC69" s="3" t="inlineStr"/>
      <c r="AD69" s="7">
        <f>E69*0.0010369917+D69*0.0002073983</f>
        <v/>
      </c>
      <c r="AE69" s="7">
        <f>F69*0.0010369917+E69*0.0002073983</f>
        <v/>
      </c>
      <c r="AF69" s="7">
        <f>G69*0.0010369917+F69*0.0002073983</f>
        <v/>
      </c>
      <c r="AG69" s="7">
        <f>H69*0.0010369917+G69*0.0002073983</f>
        <v/>
      </c>
      <c r="AH69" s="7">
        <f>I69*0.0010369917+H69*0.0002073983</f>
        <v/>
      </c>
      <c r="AI69" s="7">
        <f>J69*0.0010369917+I69*0.0002073983</f>
        <v/>
      </c>
      <c r="AJ69" s="7">
        <f>K69*0.0010369917+J69*0.0002073983</f>
        <v/>
      </c>
      <c r="AK69" s="7">
        <f>L69*0.0010369917+K69*0.0002073983</f>
        <v/>
      </c>
      <c r="AL69" s="7">
        <f>M69*0.0010369917+L69*0.0002073983</f>
        <v/>
      </c>
      <c r="AM69" s="7">
        <f>N69*0.0010369917+M69*0.0002073983</f>
        <v/>
      </c>
      <c r="AN69" s="7">
        <f>O69*0.0010369917+N69*0.0002073983</f>
        <v/>
      </c>
      <c r="AO69" s="7">
        <f>P69*0.0010369917+O69*0.0002073983</f>
        <v/>
      </c>
      <c r="AP69" s="7">
        <f>Q69*0.0010369917+P69*0.0002073983</f>
        <v/>
      </c>
      <c r="AQ69" s="7">
        <f>R69*0.0010369917+Q69*0.0002073983</f>
        <v/>
      </c>
      <c r="AR69" s="7">
        <f>S69*0.0010369917+R69*0.0002073983</f>
        <v/>
      </c>
      <c r="AS69" s="7">
        <f>T69*0.0010369917+S69*0.0002073983</f>
        <v/>
      </c>
      <c r="AT69" s="7">
        <f>U69*0.0010369917+T69*0.0002073983</f>
        <v/>
      </c>
      <c r="AU69" s="7">
        <f>V69*0.0010369917+U69*0.0002073983</f>
        <v/>
      </c>
      <c r="AV69" s="7">
        <f>W69*0.0010369917+V69*0.0002073983</f>
        <v/>
      </c>
      <c r="AW69" s="7">
        <f>X69*0.0010369917+W69*0.0002073983</f>
        <v/>
      </c>
      <c r="AX69" s="7">
        <f>Y69*0.0010369917+X69*0.0002073983</f>
        <v/>
      </c>
      <c r="AY69" s="7">
        <f>Z69*0.0010369917+Y69*0.0002073983</f>
        <v/>
      </c>
      <c r="AZ69" s="7">
        <f>AA69*0.0010369917+Z69*0.0002073983</f>
        <v/>
      </c>
      <c r="BA69" s="7">
        <f>D69*0.0010369917+AA69*0.0002073983</f>
        <v/>
      </c>
      <c r="BB69" s="7">
        <f>SUM(AD69:BA69)</f>
        <v/>
      </c>
    </row>
    <row r="70">
      <c r="A70" t="inlineStr">
        <is>
          <t>AMD-M1</t>
        </is>
      </c>
      <c r="B70" t="inlineStr">
        <is>
          <t>Forward Regular OSC</t>
        </is>
      </c>
      <c r="C70" s="5" t="n">
        <v>46092</v>
      </c>
      <c r="D70" s="6">
        <f>Summary!D70*0.08</f>
        <v/>
      </c>
      <c r="E70" s="6">
        <f>Summary!E70*0.08</f>
        <v/>
      </c>
      <c r="F70" s="6">
        <f>Summary!F70*0.08</f>
        <v/>
      </c>
      <c r="G70" s="6">
        <f>Summary!G70*0.08</f>
        <v/>
      </c>
      <c r="H70" s="6">
        <f>Summary!H70*0.08</f>
        <v/>
      </c>
      <c r="I70" s="6">
        <f>Summary!I70*0.08</f>
        <v/>
      </c>
      <c r="J70" s="6">
        <f>Summary!J70*0.08</f>
        <v/>
      </c>
      <c r="K70" s="6">
        <f>Summary!K70*0.08</f>
        <v/>
      </c>
      <c r="L70" s="6">
        <f>Summary!L70*0.08</f>
        <v/>
      </c>
      <c r="M70" s="6">
        <f>Summary!M70*0.08</f>
        <v/>
      </c>
      <c r="N70" s="6">
        <f>Summary!N70*0.08</f>
        <v/>
      </c>
      <c r="O70" s="6">
        <f>Summary!O70*0.08</f>
        <v/>
      </c>
      <c r="P70" s="6">
        <f>Summary!P70*0.08</f>
        <v/>
      </c>
      <c r="Q70" s="6">
        <f>Summary!Q70*0.08</f>
        <v/>
      </c>
      <c r="R70" s="6">
        <f>Summary!R70*0.08</f>
        <v/>
      </c>
      <c r="S70" s="6">
        <f>Summary!S70*0.08</f>
        <v/>
      </c>
      <c r="T70" s="6">
        <f>Summary!T70*0.08</f>
        <v/>
      </c>
      <c r="U70" s="6">
        <f>Summary!U70*0.08</f>
        <v/>
      </c>
      <c r="V70" s="6">
        <f>Summary!V70*0.08</f>
        <v/>
      </c>
      <c r="W70" s="6">
        <f>Summary!W70*0.08</f>
        <v/>
      </c>
      <c r="X70" s="6">
        <f>Summary!X70*0.08</f>
        <v/>
      </c>
      <c r="Y70" s="6">
        <f>Summary!Y70*0.08</f>
        <v/>
      </c>
      <c r="Z70" s="6">
        <f>Summary!Z70*0.08</f>
        <v/>
      </c>
      <c r="AA70" s="6">
        <f>Summary!AA70*0.08</f>
        <v/>
      </c>
      <c r="AB70" s="6">
        <f>SUM(D70:AA70)</f>
        <v/>
      </c>
      <c r="AC70" s="3" t="inlineStr"/>
      <c r="AD70" s="7">
        <f>E70*0.0010369917+D70*0.0002073983</f>
        <v/>
      </c>
      <c r="AE70" s="7">
        <f>F70*0.0010369917+E70*0.0002073983</f>
        <v/>
      </c>
      <c r="AF70" s="7">
        <f>G70*0.0010369917+F70*0.0002073983</f>
        <v/>
      </c>
      <c r="AG70" s="7">
        <f>H70*0.0010369917+G70*0.0002073983</f>
        <v/>
      </c>
      <c r="AH70" s="7">
        <f>I70*0.0010369917+H70*0.0002073983</f>
        <v/>
      </c>
      <c r="AI70" s="7">
        <f>J70*0.0010369917+I70*0.0002073983</f>
        <v/>
      </c>
      <c r="AJ70" s="7">
        <f>K70*0.0010369917+J70*0.0002073983</f>
        <v/>
      </c>
      <c r="AK70" s="7">
        <f>L70*0.0010369917+K70*0.0002073983</f>
        <v/>
      </c>
      <c r="AL70" s="7">
        <f>M70*0.0010369917+L70*0.0002073983</f>
        <v/>
      </c>
      <c r="AM70" s="7">
        <f>N70*0.0010369917+M70*0.0002073983</f>
        <v/>
      </c>
      <c r="AN70" s="7">
        <f>O70*0.0010369917+N70*0.0002073983</f>
        <v/>
      </c>
      <c r="AO70" s="7">
        <f>P70*0.0010369917+O70*0.0002073983</f>
        <v/>
      </c>
      <c r="AP70" s="7">
        <f>Q70*0.0010369917+P70*0.0002073983</f>
        <v/>
      </c>
      <c r="AQ70" s="7">
        <f>R70*0.0010369917+Q70*0.0002073983</f>
        <v/>
      </c>
      <c r="AR70" s="7">
        <f>S70*0.0010369917+R70*0.0002073983</f>
        <v/>
      </c>
      <c r="AS70" s="7">
        <f>T70*0.0010369917+S70*0.0002073983</f>
        <v/>
      </c>
      <c r="AT70" s="7">
        <f>U70*0.0010369917+T70*0.0002073983</f>
        <v/>
      </c>
      <c r="AU70" s="7">
        <f>V70*0.0010369917+U70*0.0002073983</f>
        <v/>
      </c>
      <c r="AV70" s="7">
        <f>W70*0.0010369917+V70*0.0002073983</f>
        <v/>
      </c>
      <c r="AW70" s="7">
        <f>X70*0.0010369917+W70*0.0002073983</f>
        <v/>
      </c>
      <c r="AX70" s="7">
        <f>Y70*0.0010369917+X70*0.0002073983</f>
        <v/>
      </c>
      <c r="AY70" s="7">
        <f>Z70*0.0010369917+Y70*0.0002073983</f>
        <v/>
      </c>
      <c r="AZ70" s="7">
        <f>AA70*0.0010369917+Z70*0.0002073983</f>
        <v/>
      </c>
      <c r="BA70" s="7">
        <f>D70*0.0010369917+AA70*0.0002073983</f>
        <v/>
      </c>
      <c r="BB70" s="7">
        <f>SUM(AD70:BA70)</f>
        <v/>
      </c>
    </row>
    <row r="71">
      <c r="A71" t="inlineStr">
        <is>
          <t>AMD-M1</t>
        </is>
      </c>
      <c r="B71" t="inlineStr">
        <is>
          <t>Forward Regular OSC</t>
        </is>
      </c>
      <c r="C71" s="5" t="n">
        <v>46093</v>
      </c>
      <c r="D71" s="6">
        <f>Summary!D71*0.08</f>
        <v/>
      </c>
      <c r="E71" s="6">
        <f>Summary!E71*0.08</f>
        <v/>
      </c>
      <c r="F71" s="6">
        <f>Summary!F71*0.08</f>
        <v/>
      </c>
      <c r="G71" s="6">
        <f>Summary!G71*0.08</f>
        <v/>
      </c>
      <c r="H71" s="6">
        <f>Summary!H71*0.08</f>
        <v/>
      </c>
      <c r="I71" s="6">
        <f>Summary!I71*0.08</f>
        <v/>
      </c>
      <c r="J71" s="6">
        <f>Summary!J71*0.08</f>
        <v/>
      </c>
      <c r="K71" s="6">
        <f>Summary!K71*0.08</f>
        <v/>
      </c>
      <c r="L71" s="6">
        <f>Summary!L71*0.08</f>
        <v/>
      </c>
      <c r="M71" s="6">
        <f>Summary!M71*0.08</f>
        <v/>
      </c>
      <c r="N71" s="6">
        <f>Summary!N71*0.08</f>
        <v/>
      </c>
      <c r="O71" s="6">
        <f>Summary!O71*0.08</f>
        <v/>
      </c>
      <c r="P71" s="6">
        <f>Summary!P71*0.08</f>
        <v/>
      </c>
      <c r="Q71" s="6">
        <f>Summary!Q71*0.08</f>
        <v/>
      </c>
      <c r="R71" s="6">
        <f>Summary!R71*0.08</f>
        <v/>
      </c>
      <c r="S71" s="6">
        <f>Summary!S71*0.08</f>
        <v/>
      </c>
      <c r="T71" s="6">
        <f>Summary!T71*0.08</f>
        <v/>
      </c>
      <c r="U71" s="6">
        <f>Summary!U71*0.08</f>
        <v/>
      </c>
      <c r="V71" s="6">
        <f>Summary!V71*0.08</f>
        <v/>
      </c>
      <c r="W71" s="6">
        <f>Summary!W71*0.08</f>
        <v/>
      </c>
      <c r="X71" s="6">
        <f>Summary!X71*0.08</f>
        <v/>
      </c>
      <c r="Y71" s="6">
        <f>Summary!Y71*0.08</f>
        <v/>
      </c>
      <c r="Z71" s="6">
        <f>Summary!Z71*0.08</f>
        <v/>
      </c>
      <c r="AA71" s="6">
        <f>Summary!AA71*0.08</f>
        <v/>
      </c>
      <c r="AB71" s="6">
        <f>SUM(D71:AA71)</f>
        <v/>
      </c>
      <c r="AC71" s="3" t="inlineStr"/>
      <c r="AD71" s="7">
        <f>E71*0.0010369917+D71*0.0002073983</f>
        <v/>
      </c>
      <c r="AE71" s="7">
        <f>F71*0.0010369917+E71*0.0002073983</f>
        <v/>
      </c>
      <c r="AF71" s="7">
        <f>G71*0.0010369917+F71*0.0002073983</f>
        <v/>
      </c>
      <c r="AG71" s="7">
        <f>H71*0.0010369917+G71*0.0002073983</f>
        <v/>
      </c>
      <c r="AH71" s="7">
        <f>I71*0.0010369917+H71*0.0002073983</f>
        <v/>
      </c>
      <c r="AI71" s="7">
        <f>J71*0.0010369917+I71*0.0002073983</f>
        <v/>
      </c>
      <c r="AJ71" s="7">
        <f>K71*0.0010369917+J71*0.0002073983</f>
        <v/>
      </c>
      <c r="AK71" s="7">
        <f>L71*0.0010369917+K71*0.0002073983</f>
        <v/>
      </c>
      <c r="AL71" s="7">
        <f>M71*0.0010369917+L71*0.0002073983</f>
        <v/>
      </c>
      <c r="AM71" s="7">
        <f>N71*0.0010369917+M71*0.0002073983</f>
        <v/>
      </c>
      <c r="AN71" s="7">
        <f>O71*0.0010369917+N71*0.0002073983</f>
        <v/>
      </c>
      <c r="AO71" s="7">
        <f>P71*0.0010369917+O71*0.0002073983</f>
        <v/>
      </c>
      <c r="AP71" s="7">
        <f>Q71*0.0010369917+P71*0.0002073983</f>
        <v/>
      </c>
      <c r="AQ71" s="7">
        <f>R71*0.0010369917+Q71*0.0002073983</f>
        <v/>
      </c>
      <c r="AR71" s="7">
        <f>S71*0.0010369917+R71*0.0002073983</f>
        <v/>
      </c>
      <c r="AS71" s="7">
        <f>T71*0.0010369917+S71*0.0002073983</f>
        <v/>
      </c>
      <c r="AT71" s="7">
        <f>U71*0.0010369917+T71*0.0002073983</f>
        <v/>
      </c>
      <c r="AU71" s="7">
        <f>V71*0.0010369917+U71*0.0002073983</f>
        <v/>
      </c>
      <c r="AV71" s="7">
        <f>W71*0.0010369917+V71*0.0002073983</f>
        <v/>
      </c>
      <c r="AW71" s="7">
        <f>X71*0.0010369917+W71*0.0002073983</f>
        <v/>
      </c>
      <c r="AX71" s="7">
        <f>Y71*0.0010369917+X71*0.0002073983</f>
        <v/>
      </c>
      <c r="AY71" s="7">
        <f>Z71*0.0010369917+Y71*0.0002073983</f>
        <v/>
      </c>
      <c r="AZ71" s="7">
        <f>AA71*0.0010369917+Z71*0.0002073983</f>
        <v/>
      </c>
      <c r="BA71" s="7">
        <f>D71*0.0010369917+AA71*0.0002073983</f>
        <v/>
      </c>
      <c r="BB71" s="7">
        <f>SUM(AD71:BA71)</f>
        <v/>
      </c>
    </row>
    <row r="72">
      <c r="A72" t="inlineStr">
        <is>
          <t>AMD-M1</t>
        </is>
      </c>
      <c r="B72" t="inlineStr">
        <is>
          <t>Forward Regular OSC</t>
        </is>
      </c>
      <c r="C72" s="5" t="n">
        <v>46094</v>
      </c>
      <c r="D72" s="6">
        <f>Summary!D72*0.08</f>
        <v/>
      </c>
      <c r="E72" s="6">
        <f>Summary!E72*0.08</f>
        <v/>
      </c>
      <c r="F72" s="6">
        <f>Summary!F72*0.08</f>
        <v/>
      </c>
      <c r="G72" s="6">
        <f>Summary!G72*0.08</f>
        <v/>
      </c>
      <c r="H72" s="6">
        <f>Summary!H72*0.08</f>
        <v/>
      </c>
      <c r="I72" s="6">
        <f>Summary!I72*0.08</f>
        <v/>
      </c>
      <c r="J72" s="6">
        <f>Summary!J72*0.08</f>
        <v/>
      </c>
      <c r="K72" s="6">
        <f>Summary!K72*0.08</f>
        <v/>
      </c>
      <c r="L72" s="6">
        <f>Summary!L72*0.08</f>
        <v/>
      </c>
      <c r="M72" s="6">
        <f>Summary!M72*0.08</f>
        <v/>
      </c>
      <c r="N72" s="6">
        <f>Summary!N72*0.08</f>
        <v/>
      </c>
      <c r="O72" s="6">
        <f>Summary!O72*0.08</f>
        <v/>
      </c>
      <c r="P72" s="6">
        <f>Summary!P72*0.08</f>
        <v/>
      </c>
      <c r="Q72" s="6">
        <f>Summary!Q72*0.08</f>
        <v/>
      </c>
      <c r="R72" s="6">
        <f>Summary!R72*0.08</f>
        <v/>
      </c>
      <c r="S72" s="6">
        <f>Summary!S72*0.08</f>
        <v/>
      </c>
      <c r="T72" s="6">
        <f>Summary!T72*0.08</f>
        <v/>
      </c>
      <c r="U72" s="6">
        <f>Summary!U72*0.08</f>
        <v/>
      </c>
      <c r="V72" s="6">
        <f>Summary!V72*0.08</f>
        <v/>
      </c>
      <c r="W72" s="6">
        <f>Summary!W72*0.08</f>
        <v/>
      </c>
      <c r="X72" s="6">
        <f>Summary!X72*0.08</f>
        <v/>
      </c>
      <c r="Y72" s="6">
        <f>Summary!Y72*0.08</f>
        <v/>
      </c>
      <c r="Z72" s="6">
        <f>Summary!Z72*0.08</f>
        <v/>
      </c>
      <c r="AA72" s="6">
        <f>Summary!AA72*0.08</f>
        <v/>
      </c>
      <c r="AB72" s="6">
        <f>SUM(D72:AA72)</f>
        <v/>
      </c>
      <c r="AC72" s="3" t="inlineStr"/>
      <c r="AD72" s="7">
        <f>E72*0.0010369917+D72*0.0002073983</f>
        <v/>
      </c>
      <c r="AE72" s="7">
        <f>F72*0.0010369917+E72*0.0002073983</f>
        <v/>
      </c>
      <c r="AF72" s="7">
        <f>G72*0.0010369917+F72*0.0002073983</f>
        <v/>
      </c>
      <c r="AG72" s="7">
        <f>H72*0.0010369917+G72*0.0002073983</f>
        <v/>
      </c>
      <c r="AH72" s="7">
        <f>I72*0.0010369917+H72*0.0002073983</f>
        <v/>
      </c>
      <c r="AI72" s="7">
        <f>J72*0.0010369917+I72*0.0002073983</f>
        <v/>
      </c>
      <c r="AJ72" s="7">
        <f>K72*0.0010369917+J72*0.0002073983</f>
        <v/>
      </c>
      <c r="AK72" s="7">
        <f>L72*0.0010369917+K72*0.0002073983</f>
        <v/>
      </c>
      <c r="AL72" s="7">
        <f>M72*0.0010369917+L72*0.0002073983</f>
        <v/>
      </c>
      <c r="AM72" s="7">
        <f>N72*0.0010369917+M72*0.0002073983</f>
        <v/>
      </c>
      <c r="AN72" s="7">
        <f>O72*0.0010369917+N72*0.0002073983</f>
        <v/>
      </c>
      <c r="AO72" s="7">
        <f>P72*0.0010369917+O72*0.0002073983</f>
        <v/>
      </c>
      <c r="AP72" s="7">
        <f>Q72*0.0010369917+P72*0.0002073983</f>
        <v/>
      </c>
      <c r="AQ72" s="7">
        <f>R72*0.0010369917+Q72*0.0002073983</f>
        <v/>
      </c>
      <c r="AR72" s="7">
        <f>S72*0.0010369917+R72*0.0002073983</f>
        <v/>
      </c>
      <c r="AS72" s="7">
        <f>T72*0.0010369917+S72*0.0002073983</f>
        <v/>
      </c>
      <c r="AT72" s="7">
        <f>U72*0.0010369917+T72*0.0002073983</f>
        <v/>
      </c>
      <c r="AU72" s="7">
        <f>V72*0.0010369917+U72*0.0002073983</f>
        <v/>
      </c>
      <c r="AV72" s="7">
        <f>W72*0.0010369917+V72*0.0002073983</f>
        <v/>
      </c>
      <c r="AW72" s="7">
        <f>X72*0.0010369917+W72*0.0002073983</f>
        <v/>
      </c>
      <c r="AX72" s="7">
        <f>Y72*0.0010369917+X72*0.0002073983</f>
        <v/>
      </c>
      <c r="AY72" s="7">
        <f>Z72*0.0010369917+Y72*0.0002073983</f>
        <v/>
      </c>
      <c r="AZ72" s="7">
        <f>AA72*0.0010369917+Z72*0.0002073983</f>
        <v/>
      </c>
      <c r="BA72" s="7">
        <f>D72*0.0010369917+AA72*0.0002073983</f>
        <v/>
      </c>
      <c r="BB72" s="7">
        <f>SUM(AD72:BA72)</f>
        <v/>
      </c>
    </row>
    <row r="73">
      <c r="A73" t="inlineStr">
        <is>
          <t>AMD-M1</t>
        </is>
      </c>
      <c r="B73" t="inlineStr">
        <is>
          <t>Forward Regular OSC</t>
        </is>
      </c>
      <c r="C73" s="5" t="n">
        <v>46095</v>
      </c>
      <c r="D73" s="6">
        <f>Summary!D73*0.08</f>
        <v/>
      </c>
      <c r="E73" s="6">
        <f>Summary!E73*0.08</f>
        <v/>
      </c>
      <c r="F73" s="6">
        <f>Summary!F73*0.08</f>
        <v/>
      </c>
      <c r="G73" s="6">
        <f>Summary!G73*0.08</f>
        <v/>
      </c>
      <c r="H73" s="6">
        <f>Summary!H73*0.08</f>
        <v/>
      </c>
      <c r="I73" s="6">
        <f>Summary!I73*0.08</f>
        <v/>
      </c>
      <c r="J73" s="6">
        <f>Summary!J73*0.08</f>
        <v/>
      </c>
      <c r="K73" s="6">
        <f>Summary!K73*0.08</f>
        <v/>
      </c>
      <c r="L73" s="6">
        <f>Summary!L73*0.08</f>
        <v/>
      </c>
      <c r="M73" s="6">
        <f>Summary!M73*0.08</f>
        <v/>
      </c>
      <c r="N73" s="6">
        <f>Summary!N73*0.08</f>
        <v/>
      </c>
      <c r="O73" s="6">
        <f>Summary!O73*0.08</f>
        <v/>
      </c>
      <c r="P73" s="6">
        <f>Summary!P73*0.08</f>
        <v/>
      </c>
      <c r="Q73" s="6">
        <f>Summary!Q73*0.08</f>
        <v/>
      </c>
      <c r="R73" s="6">
        <f>Summary!R73*0.08</f>
        <v/>
      </c>
      <c r="S73" s="6">
        <f>Summary!S73*0.08</f>
        <v/>
      </c>
      <c r="T73" s="6">
        <f>Summary!T73*0.08</f>
        <v/>
      </c>
      <c r="U73" s="6">
        <f>Summary!U73*0.08</f>
        <v/>
      </c>
      <c r="V73" s="6">
        <f>Summary!V73*0.08</f>
        <v/>
      </c>
      <c r="W73" s="6">
        <f>Summary!W73*0.08</f>
        <v/>
      </c>
      <c r="X73" s="6">
        <f>Summary!X73*0.08</f>
        <v/>
      </c>
      <c r="Y73" s="6">
        <f>Summary!Y73*0.08</f>
        <v/>
      </c>
      <c r="Z73" s="6">
        <f>Summary!Z73*0.08</f>
        <v/>
      </c>
      <c r="AA73" s="6">
        <f>Summary!AA73*0.08</f>
        <v/>
      </c>
      <c r="AB73" s="6">
        <f>SUM(D73:AA73)</f>
        <v/>
      </c>
      <c r="AC73" s="3" t="inlineStr"/>
      <c r="AD73" s="7">
        <f>E73*0.0010369917+D73*0.0002073983</f>
        <v/>
      </c>
      <c r="AE73" s="7">
        <f>F73*0.0010369917+E73*0.0002073983</f>
        <v/>
      </c>
      <c r="AF73" s="7">
        <f>G73*0.0010369917+F73*0.0002073983</f>
        <v/>
      </c>
      <c r="AG73" s="7">
        <f>H73*0.0010369917+G73*0.0002073983</f>
        <v/>
      </c>
      <c r="AH73" s="7">
        <f>I73*0.0010369917+H73*0.0002073983</f>
        <v/>
      </c>
      <c r="AI73" s="7">
        <f>J73*0.0010369917+I73*0.0002073983</f>
        <v/>
      </c>
      <c r="AJ73" s="7">
        <f>K73*0.0010369917+J73*0.0002073983</f>
        <v/>
      </c>
      <c r="AK73" s="7">
        <f>L73*0.0010369917+K73*0.0002073983</f>
        <v/>
      </c>
      <c r="AL73" s="7">
        <f>M73*0.0010369917+L73*0.0002073983</f>
        <v/>
      </c>
      <c r="AM73" s="7">
        <f>N73*0.0010369917+M73*0.0002073983</f>
        <v/>
      </c>
      <c r="AN73" s="7">
        <f>O73*0.0010369917+N73*0.0002073983</f>
        <v/>
      </c>
      <c r="AO73" s="7">
        <f>P73*0.0010369917+O73*0.0002073983</f>
        <v/>
      </c>
      <c r="AP73" s="7">
        <f>Q73*0.0010369917+P73*0.0002073983</f>
        <v/>
      </c>
      <c r="AQ73" s="7">
        <f>R73*0.0010369917+Q73*0.0002073983</f>
        <v/>
      </c>
      <c r="AR73" s="7">
        <f>S73*0.0010369917+R73*0.0002073983</f>
        <v/>
      </c>
      <c r="AS73" s="7">
        <f>T73*0.0010369917+S73*0.0002073983</f>
        <v/>
      </c>
      <c r="AT73" s="7">
        <f>U73*0.0010369917+T73*0.0002073983</f>
        <v/>
      </c>
      <c r="AU73" s="7">
        <f>V73*0.0010369917+U73*0.0002073983</f>
        <v/>
      </c>
      <c r="AV73" s="7">
        <f>W73*0.0010369917+V73*0.0002073983</f>
        <v/>
      </c>
      <c r="AW73" s="7">
        <f>X73*0.0010369917+W73*0.0002073983</f>
        <v/>
      </c>
      <c r="AX73" s="7">
        <f>Y73*0.0010369917+X73*0.0002073983</f>
        <v/>
      </c>
      <c r="AY73" s="7">
        <f>Z73*0.0010369917+Y73*0.0002073983</f>
        <v/>
      </c>
      <c r="AZ73" s="7">
        <f>AA73*0.0010369917+Z73*0.0002073983</f>
        <v/>
      </c>
      <c r="BA73" s="7">
        <f>D73*0.0010369917+AA73*0.0002073983</f>
        <v/>
      </c>
      <c r="BB73" s="7">
        <f>SUM(AD73:BA73)</f>
        <v/>
      </c>
    </row>
    <row r="74">
      <c r="A74" t="inlineStr">
        <is>
          <t>AMD-M1</t>
        </is>
      </c>
      <c r="B74" t="inlineStr">
        <is>
          <t>Forward Regular OSC</t>
        </is>
      </c>
      <c r="C74" s="5" t="n">
        <v>46096</v>
      </c>
      <c r="D74" s="6">
        <f>Summary!D74*0.08</f>
        <v/>
      </c>
      <c r="E74" s="6">
        <f>Summary!E74*0.08</f>
        <v/>
      </c>
      <c r="F74" s="6">
        <f>Summary!F74*0.08</f>
        <v/>
      </c>
      <c r="G74" s="6">
        <f>Summary!G74*0.08</f>
        <v/>
      </c>
      <c r="H74" s="6">
        <f>Summary!H74*0.08</f>
        <v/>
      </c>
      <c r="I74" s="6">
        <f>Summary!I74*0.08</f>
        <v/>
      </c>
      <c r="J74" s="6">
        <f>Summary!J74*0.08</f>
        <v/>
      </c>
      <c r="K74" s="6">
        <f>Summary!K74*0.08</f>
        <v/>
      </c>
      <c r="L74" s="6">
        <f>Summary!L74*0.08</f>
        <v/>
      </c>
      <c r="M74" s="6">
        <f>Summary!M74*0.08</f>
        <v/>
      </c>
      <c r="N74" s="6">
        <f>Summary!N74*0.08</f>
        <v/>
      </c>
      <c r="O74" s="6">
        <f>Summary!O74*0.08</f>
        <v/>
      </c>
      <c r="P74" s="6">
        <f>Summary!P74*0.08</f>
        <v/>
      </c>
      <c r="Q74" s="6">
        <f>Summary!Q74*0.08</f>
        <v/>
      </c>
      <c r="R74" s="6">
        <f>Summary!R74*0.08</f>
        <v/>
      </c>
      <c r="S74" s="6">
        <f>Summary!S74*0.08</f>
        <v/>
      </c>
      <c r="T74" s="6">
        <f>Summary!T74*0.08</f>
        <v/>
      </c>
      <c r="U74" s="6">
        <f>Summary!U74*0.08</f>
        <v/>
      </c>
      <c r="V74" s="6">
        <f>Summary!V74*0.08</f>
        <v/>
      </c>
      <c r="W74" s="6">
        <f>Summary!W74*0.08</f>
        <v/>
      </c>
      <c r="X74" s="6">
        <f>Summary!X74*0.08</f>
        <v/>
      </c>
      <c r="Y74" s="6">
        <f>Summary!Y74*0.08</f>
        <v/>
      </c>
      <c r="Z74" s="6">
        <f>Summary!Z74*0.08</f>
        <v/>
      </c>
      <c r="AA74" s="6">
        <f>Summary!AA74*0.08</f>
        <v/>
      </c>
      <c r="AB74" s="6">
        <f>SUM(D74:AA74)</f>
        <v/>
      </c>
      <c r="AC74" s="3" t="inlineStr"/>
      <c r="AD74" s="7">
        <f>E74*0.0010369917+D74*0.0002073983</f>
        <v/>
      </c>
      <c r="AE74" s="7">
        <f>F74*0.0010369917+E74*0.0002073983</f>
        <v/>
      </c>
      <c r="AF74" s="7">
        <f>G74*0.0010369917+F74*0.0002073983</f>
        <v/>
      </c>
      <c r="AG74" s="7">
        <f>H74*0.0010369917+G74*0.0002073983</f>
        <v/>
      </c>
      <c r="AH74" s="7">
        <f>I74*0.0010369917+H74*0.0002073983</f>
        <v/>
      </c>
      <c r="AI74" s="7">
        <f>J74*0.0010369917+I74*0.0002073983</f>
        <v/>
      </c>
      <c r="AJ74" s="7">
        <f>K74*0.0010369917+J74*0.0002073983</f>
        <v/>
      </c>
      <c r="AK74" s="7">
        <f>L74*0.0010369917+K74*0.0002073983</f>
        <v/>
      </c>
      <c r="AL74" s="7">
        <f>M74*0.0010369917+L74*0.0002073983</f>
        <v/>
      </c>
      <c r="AM74" s="7">
        <f>N74*0.0010369917+M74*0.0002073983</f>
        <v/>
      </c>
      <c r="AN74" s="7">
        <f>O74*0.0010369917+N74*0.0002073983</f>
        <v/>
      </c>
      <c r="AO74" s="7">
        <f>P74*0.0010369917+O74*0.0002073983</f>
        <v/>
      </c>
      <c r="AP74" s="7">
        <f>Q74*0.0010369917+P74*0.0002073983</f>
        <v/>
      </c>
      <c r="AQ74" s="7">
        <f>R74*0.0010369917+Q74*0.0002073983</f>
        <v/>
      </c>
      <c r="AR74" s="7">
        <f>S74*0.0010369917+R74*0.0002073983</f>
        <v/>
      </c>
      <c r="AS74" s="7">
        <f>T74*0.0010369917+S74*0.0002073983</f>
        <v/>
      </c>
      <c r="AT74" s="7">
        <f>U74*0.0010369917+T74*0.0002073983</f>
        <v/>
      </c>
      <c r="AU74" s="7">
        <f>V74*0.0010369917+U74*0.0002073983</f>
        <v/>
      </c>
      <c r="AV74" s="7">
        <f>W74*0.0010369917+V74*0.0002073983</f>
        <v/>
      </c>
      <c r="AW74" s="7">
        <f>X74*0.0010369917+W74*0.0002073983</f>
        <v/>
      </c>
      <c r="AX74" s="7">
        <f>Y74*0.0010369917+X74*0.0002073983</f>
        <v/>
      </c>
      <c r="AY74" s="7">
        <f>Z74*0.0010369917+Y74*0.0002073983</f>
        <v/>
      </c>
      <c r="AZ74" s="7">
        <f>AA74*0.0010369917+Z74*0.0002073983</f>
        <v/>
      </c>
      <c r="BA74" s="7">
        <f>D74*0.0010369917+AA74*0.0002073983</f>
        <v/>
      </c>
      <c r="BB74" s="7">
        <f>SUM(AD74:BA74)</f>
        <v/>
      </c>
    </row>
    <row r="75">
      <c r="A75" t="inlineStr">
        <is>
          <t>AMD-M1</t>
        </is>
      </c>
      <c r="B75" t="inlineStr">
        <is>
          <t>Forward Regular OSC</t>
        </is>
      </c>
      <c r="C75" s="5" t="n">
        <v>46097</v>
      </c>
      <c r="D75" s="6">
        <f>Summary!D75*0.08</f>
        <v/>
      </c>
      <c r="E75" s="6">
        <f>Summary!E75*0.08</f>
        <v/>
      </c>
      <c r="F75" s="6">
        <f>Summary!F75*0.08</f>
        <v/>
      </c>
      <c r="G75" s="6">
        <f>Summary!G75*0.08</f>
        <v/>
      </c>
      <c r="H75" s="6">
        <f>Summary!H75*0.08</f>
        <v/>
      </c>
      <c r="I75" s="6">
        <f>Summary!I75*0.08</f>
        <v/>
      </c>
      <c r="J75" s="6">
        <f>Summary!J75*0.08</f>
        <v/>
      </c>
      <c r="K75" s="6">
        <f>Summary!K75*0.08</f>
        <v/>
      </c>
      <c r="L75" s="6">
        <f>Summary!L75*0.08</f>
        <v/>
      </c>
      <c r="M75" s="6">
        <f>Summary!M75*0.08</f>
        <v/>
      </c>
      <c r="N75" s="6">
        <f>Summary!N75*0.08</f>
        <v/>
      </c>
      <c r="O75" s="6">
        <f>Summary!O75*0.08</f>
        <v/>
      </c>
      <c r="P75" s="6">
        <f>Summary!P75*0.08</f>
        <v/>
      </c>
      <c r="Q75" s="6">
        <f>Summary!Q75*0.08</f>
        <v/>
      </c>
      <c r="R75" s="6">
        <f>Summary!R75*0.08</f>
        <v/>
      </c>
      <c r="S75" s="6">
        <f>Summary!S75*0.08</f>
        <v/>
      </c>
      <c r="T75" s="6">
        <f>Summary!T75*0.08</f>
        <v/>
      </c>
      <c r="U75" s="6">
        <f>Summary!U75*0.08</f>
        <v/>
      </c>
      <c r="V75" s="6">
        <f>Summary!V75*0.08</f>
        <v/>
      </c>
      <c r="W75" s="6">
        <f>Summary!W75*0.08</f>
        <v/>
      </c>
      <c r="X75" s="6">
        <f>Summary!X75*0.08</f>
        <v/>
      </c>
      <c r="Y75" s="6">
        <f>Summary!Y75*0.08</f>
        <v/>
      </c>
      <c r="Z75" s="6">
        <f>Summary!Z75*0.08</f>
        <v/>
      </c>
      <c r="AA75" s="6">
        <f>Summary!AA75*0.08</f>
        <v/>
      </c>
      <c r="AB75" s="6">
        <f>SUM(D75:AA75)</f>
        <v/>
      </c>
      <c r="AC75" s="3" t="inlineStr"/>
      <c r="AD75" s="7">
        <f>E75*0.0010369917+D75*0.0002073983</f>
        <v/>
      </c>
      <c r="AE75" s="7">
        <f>F75*0.0010369917+E75*0.0002073983</f>
        <v/>
      </c>
      <c r="AF75" s="7">
        <f>G75*0.0010369917+F75*0.0002073983</f>
        <v/>
      </c>
      <c r="AG75" s="7">
        <f>H75*0.0010369917+G75*0.0002073983</f>
        <v/>
      </c>
      <c r="AH75" s="7">
        <f>I75*0.0010369917+H75*0.0002073983</f>
        <v/>
      </c>
      <c r="AI75" s="7">
        <f>J75*0.0010369917+I75*0.0002073983</f>
        <v/>
      </c>
      <c r="AJ75" s="7">
        <f>K75*0.0010369917+J75*0.0002073983</f>
        <v/>
      </c>
      <c r="AK75" s="7">
        <f>L75*0.0010369917+K75*0.0002073983</f>
        <v/>
      </c>
      <c r="AL75" s="7">
        <f>M75*0.0010369917+L75*0.0002073983</f>
        <v/>
      </c>
      <c r="AM75" s="7">
        <f>N75*0.0010369917+M75*0.0002073983</f>
        <v/>
      </c>
      <c r="AN75" s="7">
        <f>O75*0.0010369917+N75*0.0002073983</f>
        <v/>
      </c>
      <c r="AO75" s="7">
        <f>P75*0.0010369917+O75*0.0002073983</f>
        <v/>
      </c>
      <c r="AP75" s="7">
        <f>Q75*0.0010369917+P75*0.0002073983</f>
        <v/>
      </c>
      <c r="AQ75" s="7">
        <f>R75*0.0010369917+Q75*0.0002073983</f>
        <v/>
      </c>
      <c r="AR75" s="7">
        <f>S75*0.0010369917+R75*0.0002073983</f>
        <v/>
      </c>
      <c r="AS75" s="7">
        <f>T75*0.0010369917+S75*0.0002073983</f>
        <v/>
      </c>
      <c r="AT75" s="7">
        <f>U75*0.0010369917+T75*0.0002073983</f>
        <v/>
      </c>
      <c r="AU75" s="7">
        <f>V75*0.0010369917+U75*0.0002073983</f>
        <v/>
      </c>
      <c r="AV75" s="7">
        <f>W75*0.0010369917+V75*0.0002073983</f>
        <v/>
      </c>
      <c r="AW75" s="7">
        <f>X75*0.0010369917+W75*0.0002073983</f>
        <v/>
      </c>
      <c r="AX75" s="7">
        <f>Y75*0.0010369917+X75*0.0002073983</f>
        <v/>
      </c>
      <c r="AY75" s="7">
        <f>Z75*0.0010369917+Y75*0.0002073983</f>
        <v/>
      </c>
      <c r="AZ75" s="7">
        <f>AA75*0.0010369917+Z75*0.0002073983</f>
        <v/>
      </c>
      <c r="BA75" s="7">
        <f>D75*0.0010369917+AA75*0.0002073983</f>
        <v/>
      </c>
      <c r="BB75" s="7">
        <f>SUM(AD75:BA75)</f>
        <v/>
      </c>
    </row>
    <row r="76">
      <c r="A76" t="inlineStr">
        <is>
          <t>AMD-M2</t>
        </is>
      </c>
      <c r="B76" t="inlineStr">
        <is>
          <t>Forward Regular OSC</t>
        </is>
      </c>
      <c r="C76" s="5" t="n">
        <v>46089</v>
      </c>
      <c r="D76" s="6">
        <f>Summary!D76*0.08</f>
        <v/>
      </c>
      <c r="E76" s="6">
        <f>Summary!E76*0.08</f>
        <v/>
      </c>
      <c r="F76" s="6">
        <f>Summary!F76*0.08</f>
        <v/>
      </c>
      <c r="G76" s="6">
        <f>Summary!G76*0.08</f>
        <v/>
      </c>
      <c r="H76" s="6">
        <f>Summary!H76*0.08</f>
        <v/>
      </c>
      <c r="I76" s="6">
        <f>Summary!I76*0.08</f>
        <v/>
      </c>
      <c r="J76" s="6">
        <f>Summary!J76*0.08</f>
        <v/>
      </c>
      <c r="K76" s="6">
        <f>Summary!K76*0.08</f>
        <v/>
      </c>
      <c r="L76" s="6">
        <f>Summary!L76*0.08</f>
        <v/>
      </c>
      <c r="M76" s="6">
        <f>Summary!M76*0.08</f>
        <v/>
      </c>
      <c r="N76" s="6">
        <f>Summary!N76*0.08</f>
        <v/>
      </c>
      <c r="O76" s="6">
        <f>Summary!O76*0.08</f>
        <v/>
      </c>
      <c r="P76" s="6">
        <f>Summary!P76*0.08</f>
        <v/>
      </c>
      <c r="Q76" s="6">
        <f>Summary!Q76*0.08</f>
        <v/>
      </c>
      <c r="R76" s="6">
        <f>Summary!R76*0.08</f>
        <v/>
      </c>
      <c r="S76" s="6">
        <f>Summary!S76*0.08</f>
        <v/>
      </c>
      <c r="T76" s="6">
        <f>Summary!T76*0.08</f>
        <v/>
      </c>
      <c r="U76" s="6">
        <f>Summary!U76*0.08</f>
        <v/>
      </c>
      <c r="V76" s="6">
        <f>Summary!V76*0.08</f>
        <v/>
      </c>
      <c r="W76" s="6">
        <f>Summary!W76*0.08</f>
        <v/>
      </c>
      <c r="X76" s="6">
        <f>Summary!X76*0.08</f>
        <v/>
      </c>
      <c r="Y76" s="6">
        <f>Summary!Y76*0.08</f>
        <v/>
      </c>
      <c r="Z76" s="6">
        <f>Summary!Z76*0.08</f>
        <v/>
      </c>
      <c r="AA76" s="6">
        <f>Summary!AA76*0.08</f>
        <v/>
      </c>
      <c r="AB76" s="6">
        <f>SUM(D76:AA76)</f>
        <v/>
      </c>
      <c r="AC76" s="3" t="inlineStr"/>
      <c r="AD76" s="7">
        <f>E76*0.0010369917+D76*0.0002073983</f>
        <v/>
      </c>
      <c r="AE76" s="7">
        <f>F76*0.0010369917+E76*0.0002073983</f>
        <v/>
      </c>
      <c r="AF76" s="7">
        <f>G76*0.0010369917+F76*0.0002073983</f>
        <v/>
      </c>
      <c r="AG76" s="7">
        <f>H76*0.0010369917+G76*0.0002073983</f>
        <v/>
      </c>
      <c r="AH76" s="7">
        <f>I76*0.0010369917+H76*0.0002073983</f>
        <v/>
      </c>
      <c r="AI76" s="7">
        <f>J76*0.0010369917+I76*0.0002073983</f>
        <v/>
      </c>
      <c r="AJ76" s="7">
        <f>K76*0.0010369917+J76*0.0002073983</f>
        <v/>
      </c>
      <c r="AK76" s="7">
        <f>L76*0.0010369917+K76*0.0002073983</f>
        <v/>
      </c>
      <c r="AL76" s="7">
        <f>M76*0.0010369917+L76*0.0002073983</f>
        <v/>
      </c>
      <c r="AM76" s="7">
        <f>N76*0.0010369917+M76*0.0002073983</f>
        <v/>
      </c>
      <c r="AN76" s="7">
        <f>O76*0.0010369917+N76*0.0002073983</f>
        <v/>
      </c>
      <c r="AO76" s="7">
        <f>P76*0.0010369917+O76*0.0002073983</f>
        <v/>
      </c>
      <c r="AP76" s="7">
        <f>Q76*0.0010369917+P76*0.0002073983</f>
        <v/>
      </c>
      <c r="AQ76" s="7">
        <f>R76*0.0010369917+Q76*0.0002073983</f>
        <v/>
      </c>
      <c r="AR76" s="7">
        <f>S76*0.0010369917+R76*0.0002073983</f>
        <v/>
      </c>
      <c r="AS76" s="7">
        <f>T76*0.0010369917+S76*0.0002073983</f>
        <v/>
      </c>
      <c r="AT76" s="7">
        <f>U76*0.0010369917+T76*0.0002073983</f>
        <v/>
      </c>
      <c r="AU76" s="7">
        <f>V76*0.0010369917+U76*0.0002073983</f>
        <v/>
      </c>
      <c r="AV76" s="7">
        <f>W76*0.0010369917+V76*0.0002073983</f>
        <v/>
      </c>
      <c r="AW76" s="7">
        <f>X76*0.0010369917+W76*0.0002073983</f>
        <v/>
      </c>
      <c r="AX76" s="7">
        <f>Y76*0.0010369917+X76*0.0002073983</f>
        <v/>
      </c>
      <c r="AY76" s="7">
        <f>Z76*0.0010369917+Y76*0.0002073983</f>
        <v/>
      </c>
      <c r="AZ76" s="7">
        <f>AA76*0.0010369917+Z76*0.0002073983</f>
        <v/>
      </c>
      <c r="BA76" s="7">
        <f>D76*0.0010369917+AA76*0.0002073983</f>
        <v/>
      </c>
      <c r="BB76" s="7">
        <f>SUM(AD76:BA76)</f>
        <v/>
      </c>
    </row>
    <row r="77">
      <c r="A77" t="inlineStr">
        <is>
          <t>AMD-M2</t>
        </is>
      </c>
      <c r="B77" t="inlineStr">
        <is>
          <t>Forward Regular OSC</t>
        </is>
      </c>
      <c r="C77" s="5" t="n">
        <v>46090</v>
      </c>
      <c r="D77" s="6">
        <f>Summary!D77*0.08</f>
        <v/>
      </c>
      <c r="E77" s="6">
        <f>Summary!E77*0.08</f>
        <v/>
      </c>
      <c r="F77" s="6">
        <f>Summary!F77*0.08</f>
        <v/>
      </c>
      <c r="G77" s="6">
        <f>Summary!G77*0.08</f>
        <v/>
      </c>
      <c r="H77" s="6">
        <f>Summary!H77*0.08</f>
        <v/>
      </c>
      <c r="I77" s="6">
        <f>Summary!I77*0.08</f>
        <v/>
      </c>
      <c r="J77" s="6">
        <f>Summary!J77*0.08</f>
        <v/>
      </c>
      <c r="K77" s="6">
        <f>Summary!K77*0.08</f>
        <v/>
      </c>
      <c r="L77" s="6">
        <f>Summary!L77*0.08</f>
        <v/>
      </c>
      <c r="M77" s="6">
        <f>Summary!M77*0.08</f>
        <v/>
      </c>
      <c r="N77" s="6">
        <f>Summary!N77*0.08</f>
        <v/>
      </c>
      <c r="O77" s="6">
        <f>Summary!O77*0.08</f>
        <v/>
      </c>
      <c r="P77" s="6">
        <f>Summary!P77*0.08</f>
        <v/>
      </c>
      <c r="Q77" s="6">
        <f>Summary!Q77*0.08</f>
        <v/>
      </c>
      <c r="R77" s="6">
        <f>Summary!R77*0.08</f>
        <v/>
      </c>
      <c r="S77" s="6">
        <f>Summary!S77*0.08</f>
        <v/>
      </c>
      <c r="T77" s="6">
        <f>Summary!T77*0.08</f>
        <v/>
      </c>
      <c r="U77" s="6">
        <f>Summary!U77*0.08</f>
        <v/>
      </c>
      <c r="V77" s="6">
        <f>Summary!V77*0.08</f>
        <v/>
      </c>
      <c r="W77" s="6">
        <f>Summary!W77*0.08</f>
        <v/>
      </c>
      <c r="X77" s="6">
        <f>Summary!X77*0.08</f>
        <v/>
      </c>
      <c r="Y77" s="6">
        <f>Summary!Y77*0.08</f>
        <v/>
      </c>
      <c r="Z77" s="6">
        <f>Summary!Z77*0.08</f>
        <v/>
      </c>
      <c r="AA77" s="6">
        <f>Summary!AA77*0.08</f>
        <v/>
      </c>
      <c r="AB77" s="6">
        <f>SUM(D77:AA77)</f>
        <v/>
      </c>
      <c r="AC77" s="3" t="inlineStr"/>
      <c r="AD77" s="7">
        <f>E77*0.0010369917+D77*0.0002073983</f>
        <v/>
      </c>
      <c r="AE77" s="7">
        <f>F77*0.0010369917+E77*0.0002073983</f>
        <v/>
      </c>
      <c r="AF77" s="7">
        <f>G77*0.0010369917+F77*0.0002073983</f>
        <v/>
      </c>
      <c r="AG77" s="7">
        <f>H77*0.0010369917+G77*0.0002073983</f>
        <v/>
      </c>
      <c r="AH77" s="7">
        <f>I77*0.0010369917+H77*0.0002073983</f>
        <v/>
      </c>
      <c r="AI77" s="7">
        <f>J77*0.0010369917+I77*0.0002073983</f>
        <v/>
      </c>
      <c r="AJ77" s="7">
        <f>K77*0.0010369917+J77*0.0002073983</f>
        <v/>
      </c>
      <c r="AK77" s="7">
        <f>L77*0.0010369917+K77*0.0002073983</f>
        <v/>
      </c>
      <c r="AL77" s="7">
        <f>M77*0.0010369917+L77*0.0002073983</f>
        <v/>
      </c>
      <c r="AM77" s="7">
        <f>N77*0.0010369917+M77*0.0002073983</f>
        <v/>
      </c>
      <c r="AN77" s="7">
        <f>O77*0.0010369917+N77*0.0002073983</f>
        <v/>
      </c>
      <c r="AO77" s="7">
        <f>P77*0.0010369917+O77*0.0002073983</f>
        <v/>
      </c>
      <c r="AP77" s="7">
        <f>Q77*0.0010369917+P77*0.0002073983</f>
        <v/>
      </c>
      <c r="AQ77" s="7">
        <f>R77*0.0010369917+Q77*0.0002073983</f>
        <v/>
      </c>
      <c r="AR77" s="7">
        <f>S77*0.0010369917+R77*0.0002073983</f>
        <v/>
      </c>
      <c r="AS77" s="7">
        <f>T77*0.0010369917+S77*0.0002073983</f>
        <v/>
      </c>
      <c r="AT77" s="7">
        <f>U77*0.0010369917+T77*0.0002073983</f>
        <v/>
      </c>
      <c r="AU77" s="7">
        <f>V77*0.0010369917+U77*0.0002073983</f>
        <v/>
      </c>
      <c r="AV77" s="7">
        <f>W77*0.0010369917+V77*0.0002073983</f>
        <v/>
      </c>
      <c r="AW77" s="7">
        <f>X77*0.0010369917+W77*0.0002073983</f>
        <v/>
      </c>
      <c r="AX77" s="7">
        <f>Y77*0.0010369917+X77*0.0002073983</f>
        <v/>
      </c>
      <c r="AY77" s="7">
        <f>Z77*0.0010369917+Y77*0.0002073983</f>
        <v/>
      </c>
      <c r="AZ77" s="7">
        <f>AA77*0.0010369917+Z77*0.0002073983</f>
        <v/>
      </c>
      <c r="BA77" s="7">
        <f>D77*0.0010369917+AA77*0.0002073983</f>
        <v/>
      </c>
      <c r="BB77" s="7">
        <f>SUM(AD77:BA77)</f>
        <v/>
      </c>
    </row>
    <row r="78">
      <c r="A78" t="inlineStr">
        <is>
          <t>AMD-M2</t>
        </is>
      </c>
      <c r="B78" t="inlineStr">
        <is>
          <t>Forward Regular OSC</t>
        </is>
      </c>
      <c r="C78" s="5" t="n">
        <v>46091</v>
      </c>
      <c r="D78" s="6">
        <f>Summary!D78*0.08</f>
        <v/>
      </c>
      <c r="E78" s="6">
        <f>Summary!E78*0.08</f>
        <v/>
      </c>
      <c r="F78" s="6">
        <f>Summary!F78*0.08</f>
        <v/>
      </c>
      <c r="G78" s="6">
        <f>Summary!G78*0.08</f>
        <v/>
      </c>
      <c r="H78" s="6">
        <f>Summary!H78*0.08</f>
        <v/>
      </c>
      <c r="I78" s="6">
        <f>Summary!I78*0.08</f>
        <v/>
      </c>
      <c r="J78" s="6">
        <f>Summary!J78*0.08</f>
        <v/>
      </c>
      <c r="K78" s="6">
        <f>Summary!K78*0.08</f>
        <v/>
      </c>
      <c r="L78" s="6">
        <f>Summary!L78*0.08</f>
        <v/>
      </c>
      <c r="M78" s="6">
        <f>Summary!M78*0.08</f>
        <v/>
      </c>
      <c r="N78" s="6">
        <f>Summary!N78*0.08</f>
        <v/>
      </c>
      <c r="O78" s="6">
        <f>Summary!O78*0.08</f>
        <v/>
      </c>
      <c r="P78" s="6">
        <f>Summary!P78*0.08</f>
        <v/>
      </c>
      <c r="Q78" s="6">
        <f>Summary!Q78*0.08</f>
        <v/>
      </c>
      <c r="R78" s="6">
        <f>Summary!R78*0.08</f>
        <v/>
      </c>
      <c r="S78" s="6">
        <f>Summary!S78*0.08</f>
        <v/>
      </c>
      <c r="T78" s="6">
        <f>Summary!T78*0.08</f>
        <v/>
      </c>
      <c r="U78" s="6">
        <f>Summary!U78*0.08</f>
        <v/>
      </c>
      <c r="V78" s="6">
        <f>Summary!V78*0.08</f>
        <v/>
      </c>
      <c r="W78" s="6">
        <f>Summary!W78*0.08</f>
        <v/>
      </c>
      <c r="X78" s="6">
        <f>Summary!X78*0.08</f>
        <v/>
      </c>
      <c r="Y78" s="6">
        <f>Summary!Y78*0.08</f>
        <v/>
      </c>
      <c r="Z78" s="6">
        <f>Summary!Z78*0.08</f>
        <v/>
      </c>
      <c r="AA78" s="6">
        <f>Summary!AA78*0.08</f>
        <v/>
      </c>
      <c r="AB78" s="6">
        <f>SUM(D78:AA78)</f>
        <v/>
      </c>
      <c r="AC78" s="3" t="inlineStr"/>
      <c r="AD78" s="7">
        <f>E78*0.0010369917+D78*0.0002073983</f>
        <v/>
      </c>
      <c r="AE78" s="7">
        <f>F78*0.0010369917+E78*0.0002073983</f>
        <v/>
      </c>
      <c r="AF78" s="7">
        <f>G78*0.0010369917+F78*0.0002073983</f>
        <v/>
      </c>
      <c r="AG78" s="7">
        <f>H78*0.0010369917+G78*0.0002073983</f>
        <v/>
      </c>
      <c r="AH78" s="7">
        <f>I78*0.0010369917+H78*0.0002073983</f>
        <v/>
      </c>
      <c r="AI78" s="7">
        <f>J78*0.0010369917+I78*0.0002073983</f>
        <v/>
      </c>
      <c r="AJ78" s="7">
        <f>K78*0.0010369917+J78*0.0002073983</f>
        <v/>
      </c>
      <c r="AK78" s="7">
        <f>L78*0.0010369917+K78*0.0002073983</f>
        <v/>
      </c>
      <c r="AL78" s="7">
        <f>M78*0.0010369917+L78*0.0002073983</f>
        <v/>
      </c>
      <c r="AM78" s="7">
        <f>N78*0.0010369917+M78*0.0002073983</f>
        <v/>
      </c>
      <c r="AN78" s="7">
        <f>O78*0.0010369917+N78*0.0002073983</f>
        <v/>
      </c>
      <c r="AO78" s="7">
        <f>P78*0.0010369917+O78*0.0002073983</f>
        <v/>
      </c>
      <c r="AP78" s="7">
        <f>Q78*0.0010369917+P78*0.0002073983</f>
        <v/>
      </c>
      <c r="AQ78" s="7">
        <f>R78*0.0010369917+Q78*0.0002073983</f>
        <v/>
      </c>
      <c r="AR78" s="7">
        <f>S78*0.0010369917+R78*0.0002073983</f>
        <v/>
      </c>
      <c r="AS78" s="7">
        <f>T78*0.0010369917+S78*0.0002073983</f>
        <v/>
      </c>
      <c r="AT78" s="7">
        <f>U78*0.0010369917+T78*0.0002073983</f>
        <v/>
      </c>
      <c r="AU78" s="7">
        <f>V78*0.0010369917+U78*0.0002073983</f>
        <v/>
      </c>
      <c r="AV78" s="7">
        <f>W78*0.0010369917+V78*0.0002073983</f>
        <v/>
      </c>
      <c r="AW78" s="7">
        <f>X78*0.0010369917+W78*0.0002073983</f>
        <v/>
      </c>
      <c r="AX78" s="7">
        <f>Y78*0.0010369917+X78*0.0002073983</f>
        <v/>
      </c>
      <c r="AY78" s="7">
        <f>Z78*0.0010369917+Y78*0.0002073983</f>
        <v/>
      </c>
      <c r="AZ78" s="7">
        <f>AA78*0.0010369917+Z78*0.0002073983</f>
        <v/>
      </c>
      <c r="BA78" s="7">
        <f>D78*0.0010369917+AA78*0.0002073983</f>
        <v/>
      </c>
      <c r="BB78" s="7">
        <f>SUM(AD78:BA78)</f>
        <v/>
      </c>
    </row>
    <row r="79">
      <c r="A79" t="inlineStr">
        <is>
          <t>AMD-M2</t>
        </is>
      </c>
      <c r="B79" t="inlineStr">
        <is>
          <t>Forward Regular OSC</t>
        </is>
      </c>
      <c r="C79" s="5" t="n">
        <v>46092</v>
      </c>
      <c r="D79" s="6">
        <f>Summary!D79*0.08</f>
        <v/>
      </c>
      <c r="E79" s="6">
        <f>Summary!E79*0.08</f>
        <v/>
      </c>
      <c r="F79" s="6">
        <f>Summary!F79*0.08</f>
        <v/>
      </c>
      <c r="G79" s="6">
        <f>Summary!G79*0.08</f>
        <v/>
      </c>
      <c r="H79" s="6">
        <f>Summary!H79*0.08</f>
        <v/>
      </c>
      <c r="I79" s="6">
        <f>Summary!I79*0.08</f>
        <v/>
      </c>
      <c r="J79" s="6">
        <f>Summary!J79*0.08</f>
        <v/>
      </c>
      <c r="K79" s="6">
        <f>Summary!K79*0.08</f>
        <v/>
      </c>
      <c r="L79" s="6">
        <f>Summary!L79*0.08</f>
        <v/>
      </c>
      <c r="M79" s="6">
        <f>Summary!M79*0.08</f>
        <v/>
      </c>
      <c r="N79" s="6">
        <f>Summary!N79*0.08</f>
        <v/>
      </c>
      <c r="O79" s="6">
        <f>Summary!O79*0.08</f>
        <v/>
      </c>
      <c r="P79" s="6">
        <f>Summary!P79*0.08</f>
        <v/>
      </c>
      <c r="Q79" s="6">
        <f>Summary!Q79*0.08</f>
        <v/>
      </c>
      <c r="R79" s="6">
        <f>Summary!R79*0.08</f>
        <v/>
      </c>
      <c r="S79" s="6">
        <f>Summary!S79*0.08</f>
        <v/>
      </c>
      <c r="T79" s="6">
        <f>Summary!T79*0.08</f>
        <v/>
      </c>
      <c r="U79" s="6">
        <f>Summary!U79*0.08</f>
        <v/>
      </c>
      <c r="V79" s="6">
        <f>Summary!V79*0.08</f>
        <v/>
      </c>
      <c r="W79" s="6">
        <f>Summary!W79*0.08</f>
        <v/>
      </c>
      <c r="X79" s="6">
        <f>Summary!X79*0.08</f>
        <v/>
      </c>
      <c r="Y79" s="6">
        <f>Summary!Y79*0.08</f>
        <v/>
      </c>
      <c r="Z79" s="6">
        <f>Summary!Z79*0.08</f>
        <v/>
      </c>
      <c r="AA79" s="6">
        <f>Summary!AA79*0.08</f>
        <v/>
      </c>
      <c r="AB79" s="6">
        <f>SUM(D79:AA79)</f>
        <v/>
      </c>
      <c r="AC79" s="3" t="inlineStr"/>
      <c r="AD79" s="7">
        <f>E79*0.0010369917+D79*0.0002073983</f>
        <v/>
      </c>
      <c r="AE79" s="7">
        <f>F79*0.0010369917+E79*0.0002073983</f>
        <v/>
      </c>
      <c r="AF79" s="7">
        <f>G79*0.0010369917+F79*0.0002073983</f>
        <v/>
      </c>
      <c r="AG79" s="7">
        <f>H79*0.0010369917+G79*0.0002073983</f>
        <v/>
      </c>
      <c r="AH79" s="7">
        <f>I79*0.0010369917+H79*0.0002073983</f>
        <v/>
      </c>
      <c r="AI79" s="7">
        <f>J79*0.0010369917+I79*0.0002073983</f>
        <v/>
      </c>
      <c r="AJ79" s="7">
        <f>K79*0.0010369917+J79*0.0002073983</f>
        <v/>
      </c>
      <c r="AK79" s="7">
        <f>L79*0.0010369917+K79*0.0002073983</f>
        <v/>
      </c>
      <c r="AL79" s="7">
        <f>M79*0.0010369917+L79*0.0002073983</f>
        <v/>
      </c>
      <c r="AM79" s="7">
        <f>N79*0.0010369917+M79*0.0002073983</f>
        <v/>
      </c>
      <c r="AN79" s="7">
        <f>O79*0.0010369917+N79*0.0002073983</f>
        <v/>
      </c>
      <c r="AO79" s="7">
        <f>P79*0.0010369917+O79*0.0002073983</f>
        <v/>
      </c>
      <c r="AP79" s="7">
        <f>Q79*0.0010369917+P79*0.0002073983</f>
        <v/>
      </c>
      <c r="AQ79" s="7">
        <f>R79*0.0010369917+Q79*0.0002073983</f>
        <v/>
      </c>
      <c r="AR79" s="7">
        <f>S79*0.0010369917+R79*0.0002073983</f>
        <v/>
      </c>
      <c r="AS79" s="7">
        <f>T79*0.0010369917+S79*0.0002073983</f>
        <v/>
      </c>
      <c r="AT79" s="7">
        <f>U79*0.0010369917+T79*0.0002073983</f>
        <v/>
      </c>
      <c r="AU79" s="7">
        <f>V79*0.0010369917+U79*0.0002073983</f>
        <v/>
      </c>
      <c r="AV79" s="7">
        <f>W79*0.0010369917+V79*0.0002073983</f>
        <v/>
      </c>
      <c r="AW79" s="7">
        <f>X79*0.0010369917+W79*0.0002073983</f>
        <v/>
      </c>
      <c r="AX79" s="7">
        <f>Y79*0.0010369917+X79*0.0002073983</f>
        <v/>
      </c>
      <c r="AY79" s="7">
        <f>Z79*0.0010369917+Y79*0.0002073983</f>
        <v/>
      </c>
      <c r="AZ79" s="7">
        <f>AA79*0.0010369917+Z79*0.0002073983</f>
        <v/>
      </c>
      <c r="BA79" s="7">
        <f>D79*0.0010369917+AA79*0.0002073983</f>
        <v/>
      </c>
      <c r="BB79" s="7">
        <f>SUM(AD79:BA79)</f>
        <v/>
      </c>
    </row>
    <row r="80">
      <c r="A80" t="inlineStr">
        <is>
          <t>AMD-M2</t>
        </is>
      </c>
      <c r="B80" t="inlineStr">
        <is>
          <t>Forward Regular OSC</t>
        </is>
      </c>
      <c r="C80" s="5" t="n">
        <v>46093</v>
      </c>
      <c r="D80" s="6">
        <f>Summary!D80*0.08</f>
        <v/>
      </c>
      <c r="E80" s="6">
        <f>Summary!E80*0.08</f>
        <v/>
      </c>
      <c r="F80" s="6">
        <f>Summary!F80*0.08</f>
        <v/>
      </c>
      <c r="G80" s="6">
        <f>Summary!G80*0.08</f>
        <v/>
      </c>
      <c r="H80" s="6">
        <f>Summary!H80*0.08</f>
        <v/>
      </c>
      <c r="I80" s="6">
        <f>Summary!I80*0.08</f>
        <v/>
      </c>
      <c r="J80" s="6">
        <f>Summary!J80*0.08</f>
        <v/>
      </c>
      <c r="K80" s="6">
        <f>Summary!K80*0.08</f>
        <v/>
      </c>
      <c r="L80" s="6">
        <f>Summary!L80*0.08</f>
        <v/>
      </c>
      <c r="M80" s="6">
        <f>Summary!M80*0.08</f>
        <v/>
      </c>
      <c r="N80" s="6">
        <f>Summary!N80*0.08</f>
        <v/>
      </c>
      <c r="O80" s="6">
        <f>Summary!O80*0.08</f>
        <v/>
      </c>
      <c r="P80" s="6">
        <f>Summary!P80*0.08</f>
        <v/>
      </c>
      <c r="Q80" s="6">
        <f>Summary!Q80*0.08</f>
        <v/>
      </c>
      <c r="R80" s="6">
        <f>Summary!R80*0.08</f>
        <v/>
      </c>
      <c r="S80" s="6">
        <f>Summary!S80*0.08</f>
        <v/>
      </c>
      <c r="T80" s="6">
        <f>Summary!T80*0.08</f>
        <v/>
      </c>
      <c r="U80" s="6">
        <f>Summary!U80*0.08</f>
        <v/>
      </c>
      <c r="V80" s="6">
        <f>Summary!V80*0.08</f>
        <v/>
      </c>
      <c r="W80" s="6">
        <f>Summary!W80*0.08</f>
        <v/>
      </c>
      <c r="X80" s="6">
        <f>Summary!X80*0.08</f>
        <v/>
      </c>
      <c r="Y80" s="6">
        <f>Summary!Y80*0.08</f>
        <v/>
      </c>
      <c r="Z80" s="6">
        <f>Summary!Z80*0.08</f>
        <v/>
      </c>
      <c r="AA80" s="6">
        <f>Summary!AA80*0.08</f>
        <v/>
      </c>
      <c r="AB80" s="6">
        <f>SUM(D80:AA80)</f>
        <v/>
      </c>
      <c r="AC80" s="3" t="inlineStr"/>
      <c r="AD80" s="7">
        <f>E80*0.0010369917+D80*0.0002073983</f>
        <v/>
      </c>
      <c r="AE80" s="7">
        <f>F80*0.0010369917+E80*0.0002073983</f>
        <v/>
      </c>
      <c r="AF80" s="7">
        <f>G80*0.0010369917+F80*0.0002073983</f>
        <v/>
      </c>
      <c r="AG80" s="7">
        <f>H80*0.0010369917+G80*0.0002073983</f>
        <v/>
      </c>
      <c r="AH80" s="7">
        <f>I80*0.0010369917+H80*0.0002073983</f>
        <v/>
      </c>
      <c r="AI80" s="7">
        <f>J80*0.0010369917+I80*0.0002073983</f>
        <v/>
      </c>
      <c r="AJ80" s="7">
        <f>K80*0.0010369917+J80*0.0002073983</f>
        <v/>
      </c>
      <c r="AK80" s="7">
        <f>L80*0.0010369917+K80*0.0002073983</f>
        <v/>
      </c>
      <c r="AL80" s="7">
        <f>M80*0.0010369917+L80*0.0002073983</f>
        <v/>
      </c>
      <c r="AM80" s="7">
        <f>N80*0.0010369917+M80*0.0002073983</f>
        <v/>
      </c>
      <c r="AN80" s="7">
        <f>O80*0.0010369917+N80*0.0002073983</f>
        <v/>
      </c>
      <c r="AO80" s="7">
        <f>P80*0.0010369917+O80*0.0002073983</f>
        <v/>
      </c>
      <c r="AP80" s="7">
        <f>Q80*0.0010369917+P80*0.0002073983</f>
        <v/>
      </c>
      <c r="AQ80" s="7">
        <f>R80*0.0010369917+Q80*0.0002073983</f>
        <v/>
      </c>
      <c r="AR80" s="7">
        <f>S80*0.0010369917+R80*0.0002073983</f>
        <v/>
      </c>
      <c r="AS80" s="7">
        <f>T80*0.0010369917+S80*0.0002073983</f>
        <v/>
      </c>
      <c r="AT80" s="7">
        <f>U80*0.0010369917+T80*0.0002073983</f>
        <v/>
      </c>
      <c r="AU80" s="7">
        <f>V80*0.0010369917+U80*0.0002073983</f>
        <v/>
      </c>
      <c r="AV80" s="7">
        <f>W80*0.0010369917+V80*0.0002073983</f>
        <v/>
      </c>
      <c r="AW80" s="7">
        <f>X80*0.0010369917+W80*0.0002073983</f>
        <v/>
      </c>
      <c r="AX80" s="7">
        <f>Y80*0.0010369917+X80*0.0002073983</f>
        <v/>
      </c>
      <c r="AY80" s="7">
        <f>Z80*0.0010369917+Y80*0.0002073983</f>
        <v/>
      </c>
      <c r="AZ80" s="7">
        <f>AA80*0.0010369917+Z80*0.0002073983</f>
        <v/>
      </c>
      <c r="BA80" s="7">
        <f>D80*0.0010369917+AA80*0.0002073983</f>
        <v/>
      </c>
      <c r="BB80" s="7">
        <f>SUM(AD80:BA80)</f>
        <v/>
      </c>
    </row>
    <row r="81">
      <c r="A81" t="inlineStr">
        <is>
          <t>AMD-M2</t>
        </is>
      </c>
      <c r="B81" t="inlineStr">
        <is>
          <t>Forward Regular OSC</t>
        </is>
      </c>
      <c r="C81" s="5" t="n">
        <v>46094</v>
      </c>
      <c r="D81" s="6">
        <f>Summary!D81*0.08</f>
        <v/>
      </c>
      <c r="E81" s="6">
        <f>Summary!E81*0.08</f>
        <v/>
      </c>
      <c r="F81" s="6">
        <f>Summary!F81*0.08</f>
        <v/>
      </c>
      <c r="G81" s="6">
        <f>Summary!G81*0.08</f>
        <v/>
      </c>
      <c r="H81" s="6">
        <f>Summary!H81*0.08</f>
        <v/>
      </c>
      <c r="I81" s="6">
        <f>Summary!I81*0.08</f>
        <v/>
      </c>
      <c r="J81" s="6">
        <f>Summary!J81*0.08</f>
        <v/>
      </c>
      <c r="K81" s="6">
        <f>Summary!K81*0.08</f>
        <v/>
      </c>
      <c r="L81" s="6">
        <f>Summary!L81*0.08</f>
        <v/>
      </c>
      <c r="M81" s="6">
        <f>Summary!M81*0.08</f>
        <v/>
      </c>
      <c r="N81" s="6">
        <f>Summary!N81*0.08</f>
        <v/>
      </c>
      <c r="O81" s="6">
        <f>Summary!O81*0.08</f>
        <v/>
      </c>
      <c r="P81" s="6">
        <f>Summary!P81*0.08</f>
        <v/>
      </c>
      <c r="Q81" s="6">
        <f>Summary!Q81*0.08</f>
        <v/>
      </c>
      <c r="R81" s="6">
        <f>Summary!R81*0.08</f>
        <v/>
      </c>
      <c r="S81" s="6">
        <f>Summary!S81*0.08</f>
        <v/>
      </c>
      <c r="T81" s="6">
        <f>Summary!T81*0.08</f>
        <v/>
      </c>
      <c r="U81" s="6">
        <f>Summary!U81*0.08</f>
        <v/>
      </c>
      <c r="V81" s="6">
        <f>Summary!V81*0.08</f>
        <v/>
      </c>
      <c r="W81" s="6">
        <f>Summary!W81*0.08</f>
        <v/>
      </c>
      <c r="X81" s="6">
        <f>Summary!X81*0.08</f>
        <v/>
      </c>
      <c r="Y81" s="6">
        <f>Summary!Y81*0.08</f>
        <v/>
      </c>
      <c r="Z81" s="6">
        <f>Summary!Z81*0.08</f>
        <v/>
      </c>
      <c r="AA81" s="6">
        <f>Summary!AA81*0.08</f>
        <v/>
      </c>
      <c r="AB81" s="6">
        <f>SUM(D81:AA81)</f>
        <v/>
      </c>
      <c r="AC81" s="3" t="inlineStr"/>
      <c r="AD81" s="7">
        <f>E81*0.0010369917+D81*0.0002073983</f>
        <v/>
      </c>
      <c r="AE81" s="7">
        <f>F81*0.0010369917+E81*0.0002073983</f>
        <v/>
      </c>
      <c r="AF81" s="7">
        <f>G81*0.0010369917+F81*0.0002073983</f>
        <v/>
      </c>
      <c r="AG81" s="7">
        <f>H81*0.0010369917+G81*0.0002073983</f>
        <v/>
      </c>
      <c r="AH81" s="7">
        <f>I81*0.0010369917+H81*0.0002073983</f>
        <v/>
      </c>
      <c r="AI81" s="7">
        <f>J81*0.0010369917+I81*0.0002073983</f>
        <v/>
      </c>
      <c r="AJ81" s="7">
        <f>K81*0.0010369917+J81*0.0002073983</f>
        <v/>
      </c>
      <c r="AK81" s="7">
        <f>L81*0.0010369917+K81*0.0002073983</f>
        <v/>
      </c>
      <c r="AL81" s="7">
        <f>M81*0.0010369917+L81*0.0002073983</f>
        <v/>
      </c>
      <c r="AM81" s="7">
        <f>N81*0.0010369917+M81*0.0002073983</f>
        <v/>
      </c>
      <c r="AN81" s="7">
        <f>O81*0.0010369917+N81*0.0002073983</f>
        <v/>
      </c>
      <c r="AO81" s="7">
        <f>P81*0.0010369917+O81*0.0002073983</f>
        <v/>
      </c>
      <c r="AP81" s="7">
        <f>Q81*0.0010369917+P81*0.0002073983</f>
        <v/>
      </c>
      <c r="AQ81" s="7">
        <f>R81*0.0010369917+Q81*0.0002073983</f>
        <v/>
      </c>
      <c r="AR81" s="7">
        <f>S81*0.0010369917+R81*0.0002073983</f>
        <v/>
      </c>
      <c r="AS81" s="7">
        <f>T81*0.0010369917+S81*0.0002073983</f>
        <v/>
      </c>
      <c r="AT81" s="7">
        <f>U81*0.0010369917+T81*0.0002073983</f>
        <v/>
      </c>
      <c r="AU81" s="7">
        <f>V81*0.0010369917+U81*0.0002073983</f>
        <v/>
      </c>
      <c r="AV81" s="7">
        <f>W81*0.0010369917+V81*0.0002073983</f>
        <v/>
      </c>
      <c r="AW81" s="7">
        <f>X81*0.0010369917+W81*0.0002073983</f>
        <v/>
      </c>
      <c r="AX81" s="7">
        <f>Y81*0.0010369917+X81*0.0002073983</f>
        <v/>
      </c>
      <c r="AY81" s="7">
        <f>Z81*0.0010369917+Y81*0.0002073983</f>
        <v/>
      </c>
      <c r="AZ81" s="7">
        <f>AA81*0.0010369917+Z81*0.0002073983</f>
        <v/>
      </c>
      <c r="BA81" s="7">
        <f>D81*0.0010369917+AA81*0.0002073983</f>
        <v/>
      </c>
      <c r="BB81" s="7">
        <f>SUM(AD81:BA81)</f>
        <v/>
      </c>
    </row>
    <row r="82">
      <c r="A82" t="inlineStr">
        <is>
          <t>AMD-M2</t>
        </is>
      </c>
      <c r="B82" t="inlineStr">
        <is>
          <t>Forward Regular OSC</t>
        </is>
      </c>
      <c r="C82" s="5" t="n">
        <v>46095</v>
      </c>
      <c r="D82" s="6">
        <f>Summary!D82*0.08</f>
        <v/>
      </c>
      <c r="E82" s="6">
        <f>Summary!E82*0.08</f>
        <v/>
      </c>
      <c r="F82" s="6">
        <f>Summary!F82*0.08</f>
        <v/>
      </c>
      <c r="G82" s="6">
        <f>Summary!G82*0.08</f>
        <v/>
      </c>
      <c r="H82" s="6">
        <f>Summary!H82*0.08</f>
        <v/>
      </c>
      <c r="I82" s="6">
        <f>Summary!I82*0.08</f>
        <v/>
      </c>
      <c r="J82" s="6">
        <f>Summary!J82*0.08</f>
        <v/>
      </c>
      <c r="K82" s="6">
        <f>Summary!K82*0.08</f>
        <v/>
      </c>
      <c r="L82" s="6">
        <f>Summary!L82*0.08</f>
        <v/>
      </c>
      <c r="M82" s="6">
        <f>Summary!M82*0.08</f>
        <v/>
      </c>
      <c r="N82" s="6">
        <f>Summary!N82*0.08</f>
        <v/>
      </c>
      <c r="O82" s="6">
        <f>Summary!O82*0.08</f>
        <v/>
      </c>
      <c r="P82" s="6">
        <f>Summary!P82*0.08</f>
        <v/>
      </c>
      <c r="Q82" s="6">
        <f>Summary!Q82*0.08</f>
        <v/>
      </c>
      <c r="R82" s="6">
        <f>Summary!R82*0.08</f>
        <v/>
      </c>
      <c r="S82" s="6">
        <f>Summary!S82*0.08</f>
        <v/>
      </c>
      <c r="T82" s="6">
        <f>Summary!T82*0.08</f>
        <v/>
      </c>
      <c r="U82" s="6">
        <f>Summary!U82*0.08</f>
        <v/>
      </c>
      <c r="V82" s="6">
        <f>Summary!V82*0.08</f>
        <v/>
      </c>
      <c r="W82" s="6">
        <f>Summary!W82*0.08</f>
        <v/>
      </c>
      <c r="X82" s="6">
        <f>Summary!X82*0.08</f>
        <v/>
      </c>
      <c r="Y82" s="6">
        <f>Summary!Y82*0.08</f>
        <v/>
      </c>
      <c r="Z82" s="6">
        <f>Summary!Z82*0.08</f>
        <v/>
      </c>
      <c r="AA82" s="6">
        <f>Summary!AA82*0.08</f>
        <v/>
      </c>
      <c r="AB82" s="6">
        <f>SUM(D82:AA82)</f>
        <v/>
      </c>
      <c r="AC82" s="3" t="inlineStr"/>
      <c r="AD82" s="7">
        <f>E82*0.0010369917+D82*0.0002073983</f>
        <v/>
      </c>
      <c r="AE82" s="7">
        <f>F82*0.0010369917+E82*0.0002073983</f>
        <v/>
      </c>
      <c r="AF82" s="7">
        <f>G82*0.0010369917+F82*0.0002073983</f>
        <v/>
      </c>
      <c r="AG82" s="7">
        <f>H82*0.0010369917+G82*0.0002073983</f>
        <v/>
      </c>
      <c r="AH82" s="7">
        <f>I82*0.0010369917+H82*0.0002073983</f>
        <v/>
      </c>
      <c r="AI82" s="7">
        <f>J82*0.0010369917+I82*0.0002073983</f>
        <v/>
      </c>
      <c r="AJ82" s="7">
        <f>K82*0.0010369917+J82*0.0002073983</f>
        <v/>
      </c>
      <c r="AK82" s="7">
        <f>L82*0.0010369917+K82*0.0002073983</f>
        <v/>
      </c>
      <c r="AL82" s="7">
        <f>M82*0.0010369917+L82*0.0002073983</f>
        <v/>
      </c>
      <c r="AM82" s="7">
        <f>N82*0.0010369917+M82*0.0002073983</f>
        <v/>
      </c>
      <c r="AN82" s="7">
        <f>O82*0.0010369917+N82*0.0002073983</f>
        <v/>
      </c>
      <c r="AO82" s="7">
        <f>P82*0.0010369917+O82*0.0002073983</f>
        <v/>
      </c>
      <c r="AP82" s="7">
        <f>Q82*0.0010369917+P82*0.0002073983</f>
        <v/>
      </c>
      <c r="AQ82" s="7">
        <f>R82*0.0010369917+Q82*0.0002073983</f>
        <v/>
      </c>
      <c r="AR82" s="7">
        <f>S82*0.0010369917+R82*0.0002073983</f>
        <v/>
      </c>
      <c r="AS82" s="7">
        <f>T82*0.0010369917+S82*0.0002073983</f>
        <v/>
      </c>
      <c r="AT82" s="7">
        <f>U82*0.0010369917+T82*0.0002073983</f>
        <v/>
      </c>
      <c r="AU82" s="7">
        <f>V82*0.0010369917+U82*0.0002073983</f>
        <v/>
      </c>
      <c r="AV82" s="7">
        <f>W82*0.0010369917+V82*0.0002073983</f>
        <v/>
      </c>
      <c r="AW82" s="7">
        <f>X82*0.0010369917+W82*0.0002073983</f>
        <v/>
      </c>
      <c r="AX82" s="7">
        <f>Y82*0.0010369917+X82*0.0002073983</f>
        <v/>
      </c>
      <c r="AY82" s="7">
        <f>Z82*0.0010369917+Y82*0.0002073983</f>
        <v/>
      </c>
      <c r="AZ82" s="7">
        <f>AA82*0.0010369917+Z82*0.0002073983</f>
        <v/>
      </c>
      <c r="BA82" s="7">
        <f>D82*0.0010369917+AA82*0.0002073983</f>
        <v/>
      </c>
      <c r="BB82" s="7">
        <f>SUM(AD82:BA82)</f>
        <v/>
      </c>
    </row>
    <row r="83">
      <c r="A83" t="inlineStr">
        <is>
          <t>AMD-M2</t>
        </is>
      </c>
      <c r="B83" t="inlineStr">
        <is>
          <t>Forward Regular OSC</t>
        </is>
      </c>
      <c r="C83" s="5" t="n">
        <v>46096</v>
      </c>
      <c r="D83" s="6">
        <f>Summary!D83*0.08</f>
        <v/>
      </c>
      <c r="E83" s="6">
        <f>Summary!E83*0.08</f>
        <v/>
      </c>
      <c r="F83" s="6">
        <f>Summary!F83*0.08</f>
        <v/>
      </c>
      <c r="G83" s="6">
        <f>Summary!G83*0.08</f>
        <v/>
      </c>
      <c r="H83" s="6">
        <f>Summary!H83*0.08</f>
        <v/>
      </c>
      <c r="I83" s="6">
        <f>Summary!I83*0.08</f>
        <v/>
      </c>
      <c r="J83" s="6">
        <f>Summary!J83*0.08</f>
        <v/>
      </c>
      <c r="K83" s="6">
        <f>Summary!K83*0.08</f>
        <v/>
      </c>
      <c r="L83" s="6">
        <f>Summary!L83*0.08</f>
        <v/>
      </c>
      <c r="M83" s="6">
        <f>Summary!M83*0.08</f>
        <v/>
      </c>
      <c r="N83" s="6">
        <f>Summary!N83*0.08</f>
        <v/>
      </c>
      <c r="O83" s="6">
        <f>Summary!O83*0.08</f>
        <v/>
      </c>
      <c r="P83" s="6">
        <f>Summary!P83*0.08</f>
        <v/>
      </c>
      <c r="Q83" s="6">
        <f>Summary!Q83*0.08</f>
        <v/>
      </c>
      <c r="R83" s="6">
        <f>Summary!R83*0.08</f>
        <v/>
      </c>
      <c r="S83" s="6">
        <f>Summary!S83*0.08</f>
        <v/>
      </c>
      <c r="T83" s="6">
        <f>Summary!T83*0.08</f>
        <v/>
      </c>
      <c r="U83" s="6">
        <f>Summary!U83*0.08</f>
        <v/>
      </c>
      <c r="V83" s="6">
        <f>Summary!V83*0.08</f>
        <v/>
      </c>
      <c r="W83" s="6">
        <f>Summary!W83*0.08</f>
        <v/>
      </c>
      <c r="X83" s="6">
        <f>Summary!X83*0.08</f>
        <v/>
      </c>
      <c r="Y83" s="6">
        <f>Summary!Y83*0.08</f>
        <v/>
      </c>
      <c r="Z83" s="6">
        <f>Summary!Z83*0.08</f>
        <v/>
      </c>
      <c r="AA83" s="6">
        <f>Summary!AA83*0.08</f>
        <v/>
      </c>
      <c r="AB83" s="6">
        <f>SUM(D83:AA83)</f>
        <v/>
      </c>
      <c r="AC83" s="3" t="inlineStr"/>
      <c r="AD83" s="7">
        <f>E83*0.0010369917+D83*0.0002073983</f>
        <v/>
      </c>
      <c r="AE83" s="7">
        <f>F83*0.0010369917+E83*0.0002073983</f>
        <v/>
      </c>
      <c r="AF83" s="7">
        <f>G83*0.0010369917+F83*0.0002073983</f>
        <v/>
      </c>
      <c r="AG83" s="7">
        <f>H83*0.0010369917+G83*0.0002073983</f>
        <v/>
      </c>
      <c r="AH83" s="7">
        <f>I83*0.0010369917+H83*0.0002073983</f>
        <v/>
      </c>
      <c r="AI83" s="7">
        <f>J83*0.0010369917+I83*0.0002073983</f>
        <v/>
      </c>
      <c r="AJ83" s="7">
        <f>K83*0.0010369917+J83*0.0002073983</f>
        <v/>
      </c>
      <c r="AK83" s="7">
        <f>L83*0.0010369917+K83*0.0002073983</f>
        <v/>
      </c>
      <c r="AL83" s="7">
        <f>M83*0.0010369917+L83*0.0002073983</f>
        <v/>
      </c>
      <c r="AM83" s="7">
        <f>N83*0.0010369917+M83*0.0002073983</f>
        <v/>
      </c>
      <c r="AN83" s="7">
        <f>O83*0.0010369917+N83*0.0002073983</f>
        <v/>
      </c>
      <c r="AO83" s="7">
        <f>P83*0.0010369917+O83*0.0002073983</f>
        <v/>
      </c>
      <c r="AP83" s="7">
        <f>Q83*0.0010369917+P83*0.0002073983</f>
        <v/>
      </c>
      <c r="AQ83" s="7">
        <f>R83*0.0010369917+Q83*0.0002073983</f>
        <v/>
      </c>
      <c r="AR83" s="7">
        <f>S83*0.0010369917+R83*0.0002073983</f>
        <v/>
      </c>
      <c r="AS83" s="7">
        <f>T83*0.0010369917+S83*0.0002073983</f>
        <v/>
      </c>
      <c r="AT83" s="7">
        <f>U83*0.0010369917+T83*0.0002073983</f>
        <v/>
      </c>
      <c r="AU83" s="7">
        <f>V83*0.0010369917+U83*0.0002073983</f>
        <v/>
      </c>
      <c r="AV83" s="7">
        <f>W83*0.0010369917+V83*0.0002073983</f>
        <v/>
      </c>
      <c r="AW83" s="7">
        <f>X83*0.0010369917+W83*0.0002073983</f>
        <v/>
      </c>
      <c r="AX83" s="7">
        <f>Y83*0.0010369917+X83*0.0002073983</f>
        <v/>
      </c>
      <c r="AY83" s="7">
        <f>Z83*0.0010369917+Y83*0.0002073983</f>
        <v/>
      </c>
      <c r="AZ83" s="7">
        <f>AA83*0.0010369917+Z83*0.0002073983</f>
        <v/>
      </c>
      <c r="BA83" s="7">
        <f>D83*0.0010369917+AA83*0.0002073983</f>
        <v/>
      </c>
      <c r="BB83" s="7">
        <f>SUM(AD83:BA83)</f>
        <v/>
      </c>
    </row>
    <row r="84">
      <c r="A84" t="inlineStr">
        <is>
          <t>AMD-M2</t>
        </is>
      </c>
      <c r="B84" t="inlineStr">
        <is>
          <t>Forward Regular OSC</t>
        </is>
      </c>
      <c r="C84" s="5" t="n">
        <v>46097</v>
      </c>
      <c r="D84" s="6">
        <f>Summary!D84*0.08</f>
        <v/>
      </c>
      <c r="E84" s="6">
        <f>Summary!E84*0.08</f>
        <v/>
      </c>
      <c r="F84" s="6">
        <f>Summary!F84*0.08</f>
        <v/>
      </c>
      <c r="G84" s="6">
        <f>Summary!G84*0.08</f>
        <v/>
      </c>
      <c r="H84" s="6">
        <f>Summary!H84*0.08</f>
        <v/>
      </c>
      <c r="I84" s="6">
        <f>Summary!I84*0.08</f>
        <v/>
      </c>
      <c r="J84" s="6">
        <f>Summary!J84*0.08</f>
        <v/>
      </c>
      <c r="K84" s="6">
        <f>Summary!K84*0.08</f>
        <v/>
      </c>
      <c r="L84" s="6">
        <f>Summary!L84*0.08</f>
        <v/>
      </c>
      <c r="M84" s="6">
        <f>Summary!M84*0.08</f>
        <v/>
      </c>
      <c r="N84" s="6">
        <f>Summary!N84*0.08</f>
        <v/>
      </c>
      <c r="O84" s="6">
        <f>Summary!O84*0.08</f>
        <v/>
      </c>
      <c r="P84" s="6">
        <f>Summary!P84*0.08</f>
        <v/>
      </c>
      <c r="Q84" s="6">
        <f>Summary!Q84*0.08</f>
        <v/>
      </c>
      <c r="R84" s="6">
        <f>Summary!R84*0.08</f>
        <v/>
      </c>
      <c r="S84" s="6">
        <f>Summary!S84*0.08</f>
        <v/>
      </c>
      <c r="T84" s="6">
        <f>Summary!T84*0.08</f>
        <v/>
      </c>
      <c r="U84" s="6">
        <f>Summary!U84*0.08</f>
        <v/>
      </c>
      <c r="V84" s="6">
        <f>Summary!V84*0.08</f>
        <v/>
      </c>
      <c r="W84" s="6">
        <f>Summary!W84*0.08</f>
        <v/>
      </c>
      <c r="X84" s="6">
        <f>Summary!X84*0.08</f>
        <v/>
      </c>
      <c r="Y84" s="6">
        <f>Summary!Y84*0.08</f>
        <v/>
      </c>
      <c r="Z84" s="6">
        <f>Summary!Z84*0.08</f>
        <v/>
      </c>
      <c r="AA84" s="6">
        <f>Summary!AA84*0.08</f>
        <v/>
      </c>
      <c r="AB84" s="6">
        <f>SUM(D84:AA84)</f>
        <v/>
      </c>
      <c r="AC84" s="3" t="inlineStr"/>
      <c r="AD84" s="7">
        <f>E84*0.0010369917+D84*0.0002073983</f>
        <v/>
      </c>
      <c r="AE84" s="7">
        <f>F84*0.0010369917+E84*0.0002073983</f>
        <v/>
      </c>
      <c r="AF84" s="7">
        <f>G84*0.0010369917+F84*0.0002073983</f>
        <v/>
      </c>
      <c r="AG84" s="7">
        <f>H84*0.0010369917+G84*0.0002073983</f>
        <v/>
      </c>
      <c r="AH84" s="7">
        <f>I84*0.0010369917+H84*0.0002073983</f>
        <v/>
      </c>
      <c r="AI84" s="7">
        <f>J84*0.0010369917+I84*0.0002073983</f>
        <v/>
      </c>
      <c r="AJ84" s="7">
        <f>K84*0.0010369917+J84*0.0002073983</f>
        <v/>
      </c>
      <c r="AK84" s="7">
        <f>L84*0.0010369917+K84*0.0002073983</f>
        <v/>
      </c>
      <c r="AL84" s="7">
        <f>M84*0.0010369917+L84*0.0002073983</f>
        <v/>
      </c>
      <c r="AM84" s="7">
        <f>N84*0.0010369917+M84*0.0002073983</f>
        <v/>
      </c>
      <c r="AN84" s="7">
        <f>O84*0.0010369917+N84*0.0002073983</f>
        <v/>
      </c>
      <c r="AO84" s="7">
        <f>P84*0.0010369917+O84*0.0002073983</f>
        <v/>
      </c>
      <c r="AP84" s="7">
        <f>Q84*0.0010369917+P84*0.0002073983</f>
        <v/>
      </c>
      <c r="AQ84" s="7">
        <f>R84*0.0010369917+Q84*0.0002073983</f>
        <v/>
      </c>
      <c r="AR84" s="7">
        <f>S84*0.0010369917+R84*0.0002073983</f>
        <v/>
      </c>
      <c r="AS84" s="7">
        <f>T84*0.0010369917+S84*0.0002073983</f>
        <v/>
      </c>
      <c r="AT84" s="7">
        <f>U84*0.0010369917+T84*0.0002073983</f>
        <v/>
      </c>
      <c r="AU84" s="7">
        <f>V84*0.0010369917+U84*0.0002073983</f>
        <v/>
      </c>
      <c r="AV84" s="7">
        <f>W84*0.0010369917+V84*0.0002073983</f>
        <v/>
      </c>
      <c r="AW84" s="7">
        <f>X84*0.0010369917+W84*0.0002073983</f>
        <v/>
      </c>
      <c r="AX84" s="7">
        <f>Y84*0.0010369917+X84*0.0002073983</f>
        <v/>
      </c>
      <c r="AY84" s="7">
        <f>Z84*0.0010369917+Y84*0.0002073983</f>
        <v/>
      </c>
      <c r="AZ84" s="7">
        <f>AA84*0.0010369917+Z84*0.0002073983</f>
        <v/>
      </c>
      <c r="BA84" s="7">
        <f>D84*0.0010369917+AA84*0.0002073983</f>
        <v/>
      </c>
      <c r="BB84" s="7">
        <f>SUM(AD84:BA84)</f>
        <v/>
      </c>
    </row>
    <row r="85">
      <c r="A85" t="inlineStr">
        <is>
          <t>AMD-MU-01</t>
        </is>
      </c>
      <c r="B85" t="inlineStr">
        <is>
          <t>Forward Regular OSC</t>
        </is>
      </c>
      <c r="C85" s="5" t="n">
        <v>46091</v>
      </c>
      <c r="D85" s="6">
        <f>Summary!D85*0.08</f>
        <v/>
      </c>
      <c r="E85" s="6">
        <f>Summary!E85*0.08</f>
        <v/>
      </c>
      <c r="F85" s="6">
        <f>Summary!F85*0.08</f>
        <v/>
      </c>
      <c r="G85" s="6">
        <f>Summary!G85*0.08</f>
        <v/>
      </c>
      <c r="H85" s="6">
        <f>Summary!H85*0.08</f>
        <v/>
      </c>
      <c r="I85" s="6">
        <f>Summary!I85*0.08</f>
        <v/>
      </c>
      <c r="J85" s="6">
        <f>Summary!J85*0.08</f>
        <v/>
      </c>
      <c r="K85" s="6">
        <f>Summary!K85*0.08</f>
        <v/>
      </c>
      <c r="L85" s="6">
        <f>Summary!L85*0.08</f>
        <v/>
      </c>
      <c r="M85" s="6">
        <f>Summary!M85*0.08</f>
        <v/>
      </c>
      <c r="N85" s="6">
        <f>Summary!N85*0.08</f>
        <v/>
      </c>
      <c r="O85" s="6">
        <f>Summary!O85*0.08</f>
        <v/>
      </c>
      <c r="P85" s="6">
        <f>Summary!P85*0.08</f>
        <v/>
      </c>
      <c r="Q85" s="6">
        <f>Summary!Q85*0.08</f>
        <v/>
      </c>
      <c r="R85" s="6">
        <f>Summary!R85*0.08</f>
        <v/>
      </c>
      <c r="S85" s="6">
        <f>Summary!S85*0.08</f>
        <v/>
      </c>
      <c r="T85" s="6">
        <f>Summary!T85*0.08</f>
        <v/>
      </c>
      <c r="U85" s="6">
        <f>Summary!U85*0.08</f>
        <v/>
      </c>
      <c r="V85" s="6">
        <f>Summary!V85*0.08</f>
        <v/>
      </c>
      <c r="W85" s="6">
        <f>Summary!W85*0.08</f>
        <v/>
      </c>
      <c r="X85" s="6">
        <f>Summary!X85*0.08</f>
        <v/>
      </c>
      <c r="Y85" s="6">
        <f>Summary!Y85*0.08</f>
        <v/>
      </c>
      <c r="Z85" s="6">
        <f>Summary!Z85*0.08</f>
        <v/>
      </c>
      <c r="AA85" s="6">
        <f>Summary!AA85*0.08</f>
        <v/>
      </c>
      <c r="AB85" s="6">
        <f>SUM(D85:AA85)</f>
        <v/>
      </c>
      <c r="AC85" s="3" t="inlineStr"/>
      <c r="AD85" s="7">
        <f>E85*0.0010369917+D85*0.0002073983</f>
        <v/>
      </c>
      <c r="AE85" s="7">
        <f>F85*0.0010369917+E85*0.0002073983</f>
        <v/>
      </c>
      <c r="AF85" s="7">
        <f>G85*0.0010369917+F85*0.0002073983</f>
        <v/>
      </c>
      <c r="AG85" s="7">
        <f>H85*0.0010369917+G85*0.0002073983</f>
        <v/>
      </c>
      <c r="AH85" s="7">
        <f>I85*0.0010369917+H85*0.0002073983</f>
        <v/>
      </c>
      <c r="AI85" s="7">
        <f>J85*0.0010369917+I85*0.0002073983</f>
        <v/>
      </c>
      <c r="AJ85" s="7">
        <f>K85*0.0010369917+J85*0.0002073983</f>
        <v/>
      </c>
      <c r="AK85" s="7">
        <f>L85*0.0010369917+K85*0.0002073983</f>
        <v/>
      </c>
      <c r="AL85" s="7">
        <f>M85*0.0010369917+L85*0.0002073983</f>
        <v/>
      </c>
      <c r="AM85" s="7">
        <f>N85*0.0010369917+M85*0.0002073983</f>
        <v/>
      </c>
      <c r="AN85" s="7">
        <f>O85*0.0010369917+N85*0.0002073983</f>
        <v/>
      </c>
      <c r="AO85" s="7">
        <f>P85*0.0010369917+O85*0.0002073983</f>
        <v/>
      </c>
      <c r="AP85" s="7">
        <f>Q85*0.0010369917+P85*0.0002073983</f>
        <v/>
      </c>
      <c r="AQ85" s="7">
        <f>R85*0.0010369917+Q85*0.0002073983</f>
        <v/>
      </c>
      <c r="AR85" s="7">
        <f>S85*0.0010369917+R85*0.0002073983</f>
        <v/>
      </c>
      <c r="AS85" s="7">
        <f>T85*0.0010369917+S85*0.0002073983</f>
        <v/>
      </c>
      <c r="AT85" s="7">
        <f>U85*0.0010369917+T85*0.0002073983</f>
        <v/>
      </c>
      <c r="AU85" s="7">
        <f>V85*0.0010369917+U85*0.0002073983</f>
        <v/>
      </c>
      <c r="AV85" s="7">
        <f>W85*0.0010369917+V85*0.0002073983</f>
        <v/>
      </c>
      <c r="AW85" s="7">
        <f>X85*0.0010369917+W85*0.0002073983</f>
        <v/>
      </c>
      <c r="AX85" s="7">
        <f>Y85*0.0010369917+X85*0.0002073983</f>
        <v/>
      </c>
      <c r="AY85" s="7">
        <f>Z85*0.0010369917+Y85*0.0002073983</f>
        <v/>
      </c>
      <c r="AZ85" s="7">
        <f>AA85*0.0010369917+Z85*0.0002073983</f>
        <v/>
      </c>
      <c r="BA85" s="7">
        <f>D85*0.0010369917+AA85*0.0002073983</f>
        <v/>
      </c>
      <c r="BB85" s="7">
        <f>SUM(AD85:BA85)</f>
        <v/>
      </c>
    </row>
    <row r="86">
      <c r="A86" t="inlineStr">
        <is>
          <t>AMD-RTS-RCLS-1302-SSC</t>
        </is>
      </c>
      <c r="B86" t="inlineStr">
        <is>
          <t>Rev OSC</t>
        </is>
      </c>
      <c r="C86" s="5" t="n">
        <v>46089</v>
      </c>
      <c r="D86" s="6" t="n">
        <v>0</v>
      </c>
      <c r="E86" s="6" t="n">
        <v>0</v>
      </c>
      <c r="F86" s="6" t="n">
        <v>0</v>
      </c>
      <c r="G86" s="6" t="n">
        <v>0</v>
      </c>
      <c r="H86" s="6" t="n">
        <v>0</v>
      </c>
      <c r="I86" s="6" t="n">
        <v>0</v>
      </c>
      <c r="J86" s="6" t="n">
        <v>0</v>
      </c>
      <c r="K86" s="6" t="n">
        <v>0</v>
      </c>
      <c r="L86" s="6" t="n">
        <v>0</v>
      </c>
      <c r="M86" s="6" t="n">
        <v>0</v>
      </c>
      <c r="N86" s="6" t="n">
        <v>0</v>
      </c>
      <c r="O86" s="6" t="n">
        <v>0</v>
      </c>
      <c r="P86" s="6" t="n">
        <v>0</v>
      </c>
      <c r="Q86" s="6" t="n">
        <v>0</v>
      </c>
      <c r="R86" s="6" t="n">
        <v>0</v>
      </c>
      <c r="S86" s="6" t="n">
        <v>0</v>
      </c>
      <c r="T86" s="6" t="n">
        <v>0</v>
      </c>
      <c r="U86" s="6" t="n">
        <v>0</v>
      </c>
      <c r="V86" s="6" t="n">
        <v>0</v>
      </c>
      <c r="W86" s="6" t="n">
        <v>0</v>
      </c>
      <c r="X86" s="6" t="n">
        <v>0</v>
      </c>
      <c r="Y86" s="6" t="n">
        <v>0</v>
      </c>
      <c r="Z86" s="6" t="n">
        <v>0</v>
      </c>
      <c r="AA86" s="6" t="n">
        <v>0</v>
      </c>
      <c r="AB86" s="6">
        <f>SUM(D86:AA86)</f>
        <v/>
      </c>
      <c r="AC86" s="3" t="inlineStr"/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7" t="n">
        <v>0</v>
      </c>
      <c r="BB86" s="7">
        <f>SUM(AD86:BA86)</f>
        <v/>
      </c>
    </row>
    <row r="87">
      <c r="A87" t="inlineStr">
        <is>
          <t>AMD-RTS-RCLS-1302-SSC</t>
        </is>
      </c>
      <c r="B87" t="inlineStr">
        <is>
          <t>Rev OSC</t>
        </is>
      </c>
      <c r="C87" s="5" t="n">
        <v>46090</v>
      </c>
      <c r="D87" s="6" t="n">
        <v>0</v>
      </c>
      <c r="E87" s="6" t="n">
        <v>0</v>
      </c>
      <c r="F87" s="6" t="n">
        <v>0</v>
      </c>
      <c r="G87" s="6" t="n">
        <v>0</v>
      </c>
      <c r="H87" s="6" t="n">
        <v>0</v>
      </c>
      <c r="I87" s="6" t="n">
        <v>0</v>
      </c>
      <c r="J87" s="6" t="n">
        <v>0</v>
      </c>
      <c r="K87" s="6" t="n">
        <v>0</v>
      </c>
      <c r="L87" s="6" t="n">
        <v>0</v>
      </c>
      <c r="M87" s="6" t="n">
        <v>0</v>
      </c>
      <c r="N87" s="6" t="n">
        <v>0</v>
      </c>
      <c r="O87" s="6" t="n">
        <v>0</v>
      </c>
      <c r="P87" s="6" t="n">
        <v>0</v>
      </c>
      <c r="Q87" s="6" t="n">
        <v>0</v>
      </c>
      <c r="R87" s="6" t="n">
        <v>0</v>
      </c>
      <c r="S87" s="6" t="n">
        <v>0</v>
      </c>
      <c r="T87" s="6" t="n">
        <v>0</v>
      </c>
      <c r="U87" s="6" t="n">
        <v>0</v>
      </c>
      <c r="V87" s="6" t="n">
        <v>0</v>
      </c>
      <c r="W87" s="6" t="n">
        <v>0</v>
      </c>
      <c r="X87" s="6" t="n">
        <v>0</v>
      </c>
      <c r="Y87" s="6" t="n">
        <v>0</v>
      </c>
      <c r="Z87" s="6" t="n">
        <v>0</v>
      </c>
      <c r="AA87" s="6" t="n">
        <v>0</v>
      </c>
      <c r="AB87" s="6">
        <f>SUM(D87:AA87)</f>
        <v/>
      </c>
      <c r="AC87" s="3" t="inlineStr"/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0</v>
      </c>
      <c r="BA87" s="7" t="n">
        <v>0</v>
      </c>
      <c r="BB87" s="7">
        <f>SUM(AD87:BA87)</f>
        <v/>
      </c>
    </row>
    <row r="88">
      <c r="A88" t="inlineStr">
        <is>
          <t>AMD-RTS-RCLS-1302-SSC</t>
        </is>
      </c>
      <c r="B88" t="inlineStr">
        <is>
          <t>Rev OSC</t>
        </is>
      </c>
      <c r="C88" s="5" t="n">
        <v>46092</v>
      </c>
      <c r="D88" s="6" t="n">
        <v>0</v>
      </c>
      <c r="E88" s="6" t="n">
        <v>0</v>
      </c>
      <c r="F88" s="6" t="n">
        <v>0</v>
      </c>
      <c r="G88" s="6" t="n">
        <v>0</v>
      </c>
      <c r="H88" s="6" t="n">
        <v>0</v>
      </c>
      <c r="I88" s="6" t="n">
        <v>0</v>
      </c>
      <c r="J88" s="6" t="n">
        <v>0</v>
      </c>
      <c r="K88" s="6" t="n">
        <v>0</v>
      </c>
      <c r="L88" s="6" t="n">
        <v>0</v>
      </c>
      <c r="M88" s="6" t="n">
        <v>0</v>
      </c>
      <c r="N88" s="6" t="n">
        <v>0</v>
      </c>
      <c r="O88" s="6" t="n">
        <v>0</v>
      </c>
      <c r="P88" s="6" t="n">
        <v>0</v>
      </c>
      <c r="Q88" s="6" t="n">
        <v>0</v>
      </c>
      <c r="R88" s="6" t="n">
        <v>0</v>
      </c>
      <c r="S88" s="6" t="n">
        <v>0</v>
      </c>
      <c r="T88" s="6" t="n">
        <v>0</v>
      </c>
      <c r="U88" s="6" t="n">
        <v>0</v>
      </c>
      <c r="V88" s="6" t="n">
        <v>0</v>
      </c>
      <c r="W88" s="6" t="n">
        <v>0</v>
      </c>
      <c r="X88" s="6" t="n">
        <v>0</v>
      </c>
      <c r="Y88" s="6" t="n">
        <v>0</v>
      </c>
      <c r="Z88" s="6" t="n">
        <v>0</v>
      </c>
      <c r="AA88" s="6" t="n">
        <v>0</v>
      </c>
      <c r="AB88" s="6">
        <f>SUM(D88:AA88)</f>
        <v/>
      </c>
      <c r="AC88" s="3" t="inlineStr"/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7" t="n">
        <v>0</v>
      </c>
      <c r="BB88" s="7">
        <f>SUM(AD88:BA88)</f>
        <v/>
      </c>
    </row>
    <row r="89">
      <c r="A89" t="inlineStr">
        <is>
          <t>AMD-RTS-RCLS-1302-SSC</t>
        </is>
      </c>
      <c r="B89" t="inlineStr">
        <is>
          <t>Rev OSC</t>
        </is>
      </c>
      <c r="C89" s="5" t="n">
        <v>46093</v>
      </c>
      <c r="D89" s="6" t="n">
        <v>0</v>
      </c>
      <c r="E89" s="6" t="n">
        <v>0</v>
      </c>
      <c r="F89" s="6" t="n">
        <v>0</v>
      </c>
      <c r="G89" s="6" t="n">
        <v>0</v>
      </c>
      <c r="H89" s="6" t="n">
        <v>0</v>
      </c>
      <c r="I89" s="6" t="n">
        <v>0</v>
      </c>
      <c r="J89" s="6" t="n">
        <v>0</v>
      </c>
      <c r="K89" s="6" t="n">
        <v>0</v>
      </c>
      <c r="L89" s="6" t="n">
        <v>0</v>
      </c>
      <c r="M89" s="6" t="n">
        <v>0</v>
      </c>
      <c r="N89" s="6" t="n">
        <v>0</v>
      </c>
      <c r="O89" s="6" t="n">
        <v>0</v>
      </c>
      <c r="P89" s="6" t="n">
        <v>0</v>
      </c>
      <c r="Q89" s="6" t="n">
        <v>0</v>
      </c>
      <c r="R89" s="6" t="n">
        <v>0</v>
      </c>
      <c r="S89" s="6" t="n">
        <v>0</v>
      </c>
      <c r="T89" s="6" t="n">
        <v>0</v>
      </c>
      <c r="U89" s="6" t="n">
        <v>0</v>
      </c>
      <c r="V89" s="6" t="n">
        <v>0</v>
      </c>
      <c r="W89" s="6" t="n">
        <v>0</v>
      </c>
      <c r="X89" s="6" t="n">
        <v>0</v>
      </c>
      <c r="Y89" s="6" t="n">
        <v>0</v>
      </c>
      <c r="Z89" s="6" t="n">
        <v>0</v>
      </c>
      <c r="AA89" s="6" t="n">
        <v>0</v>
      </c>
      <c r="AB89" s="6">
        <f>SUM(D89:AA89)</f>
        <v/>
      </c>
      <c r="AC89" s="3" t="inlineStr"/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0</v>
      </c>
      <c r="BA89" s="7" t="n">
        <v>0</v>
      </c>
      <c r="BB89" s="7">
        <f>SUM(AD89:BA89)</f>
        <v/>
      </c>
    </row>
    <row r="90">
      <c r="A90" t="inlineStr">
        <is>
          <t>AMD-RTS-RCLS-1302-SSC</t>
        </is>
      </c>
      <c r="B90" t="inlineStr">
        <is>
          <t>Rev OSC</t>
        </is>
      </c>
      <c r="C90" s="5" t="n">
        <v>46094</v>
      </c>
      <c r="D90" s="6" t="n">
        <v>0</v>
      </c>
      <c r="E90" s="6" t="n">
        <v>0</v>
      </c>
      <c r="F90" s="6" t="n">
        <v>0</v>
      </c>
      <c r="G90" s="6" t="n">
        <v>0</v>
      </c>
      <c r="H90" s="6" t="n">
        <v>0</v>
      </c>
      <c r="I90" s="6" t="n">
        <v>0</v>
      </c>
      <c r="J90" s="6" t="n">
        <v>0</v>
      </c>
      <c r="K90" s="6" t="n">
        <v>0</v>
      </c>
      <c r="L90" s="6" t="n">
        <v>0</v>
      </c>
      <c r="M90" s="6" t="n">
        <v>0</v>
      </c>
      <c r="N90" s="6" t="n">
        <v>0</v>
      </c>
      <c r="O90" s="6" t="n">
        <v>0</v>
      </c>
      <c r="P90" s="6" t="n">
        <v>0</v>
      </c>
      <c r="Q90" s="6" t="n">
        <v>0</v>
      </c>
      <c r="R90" s="6" t="n">
        <v>0</v>
      </c>
      <c r="S90" s="6" t="n">
        <v>0</v>
      </c>
      <c r="T90" s="6" t="n">
        <v>0</v>
      </c>
      <c r="U90" s="6" t="n">
        <v>0</v>
      </c>
      <c r="V90" s="6" t="n">
        <v>0</v>
      </c>
      <c r="W90" s="6" t="n">
        <v>0</v>
      </c>
      <c r="X90" s="6" t="n">
        <v>0</v>
      </c>
      <c r="Y90" s="6" t="n">
        <v>0</v>
      </c>
      <c r="Z90" s="6" t="n">
        <v>0</v>
      </c>
      <c r="AA90" s="6" t="n">
        <v>0</v>
      </c>
      <c r="AB90" s="6">
        <f>SUM(D90:AA90)</f>
        <v/>
      </c>
      <c r="AC90" s="3" t="inlineStr"/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7" t="n">
        <v>0</v>
      </c>
      <c r="BB90" s="7">
        <f>SUM(AD90:BA90)</f>
        <v/>
      </c>
    </row>
    <row r="91">
      <c r="A91" t="inlineStr">
        <is>
          <t>AMD-RTS-RCLS-1302-SSC</t>
        </is>
      </c>
      <c r="B91" t="inlineStr">
        <is>
          <t>Rev OSC</t>
        </is>
      </c>
      <c r="C91" s="5" t="n">
        <v>46095</v>
      </c>
      <c r="D91" s="6" t="n">
        <v>0</v>
      </c>
      <c r="E91" s="6" t="n">
        <v>0</v>
      </c>
      <c r="F91" s="6" t="n">
        <v>0</v>
      </c>
      <c r="G91" s="6" t="n">
        <v>0</v>
      </c>
      <c r="H91" s="6" t="n">
        <v>0</v>
      </c>
      <c r="I91" s="6" t="n">
        <v>0</v>
      </c>
      <c r="J91" s="6" t="n">
        <v>0</v>
      </c>
      <c r="K91" s="6" t="n">
        <v>0</v>
      </c>
      <c r="L91" s="6" t="n">
        <v>0</v>
      </c>
      <c r="M91" s="6" t="n">
        <v>0</v>
      </c>
      <c r="N91" s="6" t="n">
        <v>0</v>
      </c>
      <c r="O91" s="6" t="n">
        <v>0</v>
      </c>
      <c r="P91" s="6" t="n">
        <v>0</v>
      </c>
      <c r="Q91" s="6" t="n">
        <v>0</v>
      </c>
      <c r="R91" s="6" t="n">
        <v>0</v>
      </c>
      <c r="S91" s="6" t="n">
        <v>0</v>
      </c>
      <c r="T91" s="6" t="n">
        <v>0</v>
      </c>
      <c r="U91" s="6" t="n">
        <v>0</v>
      </c>
      <c r="V91" s="6" t="n">
        <v>0</v>
      </c>
      <c r="W91" s="6" t="n">
        <v>0</v>
      </c>
      <c r="X91" s="6" t="n">
        <v>0</v>
      </c>
      <c r="Y91" s="6" t="n">
        <v>0</v>
      </c>
      <c r="Z91" s="6" t="n">
        <v>0</v>
      </c>
      <c r="AA91" s="6" t="n">
        <v>0</v>
      </c>
      <c r="AB91" s="6">
        <f>SUM(D91:AA91)</f>
        <v/>
      </c>
      <c r="AC91" s="3" t="inlineStr"/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0</v>
      </c>
      <c r="BA91" s="7" t="n">
        <v>0</v>
      </c>
      <c r="BB91" s="7">
        <f>SUM(AD91:BA91)</f>
        <v/>
      </c>
    </row>
    <row r="92">
      <c r="A92" t="inlineStr">
        <is>
          <t>AMD-RTS-RCLS-1302-SSC</t>
        </is>
      </c>
      <c r="B92" t="inlineStr">
        <is>
          <t>Rev OSC</t>
        </is>
      </c>
      <c r="C92" s="5" t="n">
        <v>46096</v>
      </c>
      <c r="D92" s="6" t="n">
        <v>0</v>
      </c>
      <c r="E92" s="6" t="n">
        <v>0</v>
      </c>
      <c r="F92" s="6" t="n">
        <v>0</v>
      </c>
      <c r="G92" s="6" t="n">
        <v>0</v>
      </c>
      <c r="H92" s="6" t="n">
        <v>0</v>
      </c>
      <c r="I92" s="6" t="n">
        <v>0</v>
      </c>
      <c r="J92" s="6" t="n">
        <v>0</v>
      </c>
      <c r="K92" s="6" t="n">
        <v>0</v>
      </c>
      <c r="L92" s="6" t="n">
        <v>0</v>
      </c>
      <c r="M92" s="6" t="n">
        <v>0</v>
      </c>
      <c r="N92" s="6" t="n">
        <v>0</v>
      </c>
      <c r="O92" s="6" t="n">
        <v>0</v>
      </c>
      <c r="P92" s="6" t="n">
        <v>0</v>
      </c>
      <c r="Q92" s="6" t="n">
        <v>0</v>
      </c>
      <c r="R92" s="6" t="n">
        <v>0</v>
      </c>
      <c r="S92" s="6" t="n">
        <v>0</v>
      </c>
      <c r="T92" s="6" t="n">
        <v>0</v>
      </c>
      <c r="U92" s="6" t="n">
        <v>0</v>
      </c>
      <c r="V92" s="6" t="n">
        <v>0</v>
      </c>
      <c r="W92" s="6" t="n">
        <v>0</v>
      </c>
      <c r="X92" s="6" t="n">
        <v>0</v>
      </c>
      <c r="Y92" s="6" t="n">
        <v>0</v>
      </c>
      <c r="Z92" s="6" t="n">
        <v>0</v>
      </c>
      <c r="AA92" s="6" t="n">
        <v>0</v>
      </c>
      <c r="AB92" s="6">
        <f>SUM(D92:AA92)</f>
        <v/>
      </c>
      <c r="AC92" s="3" t="inlineStr"/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7" t="n">
        <v>0</v>
      </c>
      <c r="BB92" s="7">
        <f>SUM(AD92:BA92)</f>
        <v/>
      </c>
    </row>
    <row r="93">
      <c r="A93" t="inlineStr">
        <is>
          <t>AMD-RTS-RCLS-1302-SSC</t>
        </is>
      </c>
      <c r="B93" t="inlineStr">
        <is>
          <t>Rev OSC</t>
        </is>
      </c>
      <c r="C93" s="5" t="n">
        <v>46097</v>
      </c>
      <c r="D93" s="6" t="n">
        <v>0</v>
      </c>
      <c r="E93" s="6" t="n">
        <v>0</v>
      </c>
      <c r="F93" s="6" t="n">
        <v>0</v>
      </c>
      <c r="G93" s="6" t="n">
        <v>0</v>
      </c>
      <c r="H93" s="6" t="n">
        <v>0</v>
      </c>
      <c r="I93" s="6" t="n">
        <v>0</v>
      </c>
      <c r="J93" s="6" t="n">
        <v>0</v>
      </c>
      <c r="K93" s="6" t="n">
        <v>0</v>
      </c>
      <c r="L93" s="6" t="n">
        <v>0</v>
      </c>
      <c r="M93" s="6" t="n">
        <v>0</v>
      </c>
      <c r="N93" s="6" t="n">
        <v>0</v>
      </c>
      <c r="O93" s="6" t="n">
        <v>0</v>
      </c>
      <c r="P93" s="6" t="n">
        <v>0</v>
      </c>
      <c r="Q93" s="6" t="n">
        <v>0</v>
      </c>
      <c r="R93" s="6" t="n">
        <v>0</v>
      </c>
      <c r="S93" s="6" t="n">
        <v>0</v>
      </c>
      <c r="T93" s="6" t="n">
        <v>0</v>
      </c>
      <c r="U93" s="6" t="n">
        <v>0</v>
      </c>
      <c r="V93" s="6" t="n">
        <v>0</v>
      </c>
      <c r="W93" s="6" t="n">
        <v>0</v>
      </c>
      <c r="X93" s="6" t="n">
        <v>0</v>
      </c>
      <c r="Y93" s="6" t="n">
        <v>0</v>
      </c>
      <c r="Z93" s="6" t="n">
        <v>0</v>
      </c>
      <c r="AA93" s="6" t="n">
        <v>0</v>
      </c>
      <c r="AB93" s="6">
        <f>SUM(D93:AA93)</f>
        <v/>
      </c>
      <c r="AC93" s="3" t="inlineStr"/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0</v>
      </c>
      <c r="BA93" s="7" t="n">
        <v>0</v>
      </c>
      <c r="BB93" s="7">
        <f>SUM(AD93:BA93)</f>
        <v/>
      </c>
    </row>
    <row r="94">
      <c r="A94" t="inlineStr">
        <is>
          <t>AMD-RTS-RCLS-1302-SSC</t>
        </is>
      </c>
      <c r="B94" t="inlineStr">
        <is>
          <t>Rev OSC</t>
        </is>
      </c>
      <c r="C94" s="5" t="n">
        <v>46100</v>
      </c>
      <c r="D94" s="6" t="n">
        <v>0</v>
      </c>
      <c r="E94" s="6" t="n">
        <v>0</v>
      </c>
      <c r="F94" s="6" t="n">
        <v>0</v>
      </c>
      <c r="G94" s="6" t="n">
        <v>0</v>
      </c>
      <c r="H94" s="6" t="n">
        <v>0</v>
      </c>
      <c r="I94" s="6" t="n">
        <v>0</v>
      </c>
      <c r="J94" s="6" t="n">
        <v>0</v>
      </c>
      <c r="K94" s="6" t="n">
        <v>0</v>
      </c>
      <c r="L94" s="6" t="n">
        <v>0</v>
      </c>
      <c r="M94" s="6" t="n">
        <v>0</v>
      </c>
      <c r="N94" s="6" t="n">
        <v>0</v>
      </c>
      <c r="O94" s="6" t="n">
        <v>0</v>
      </c>
      <c r="P94" s="6" t="n">
        <v>0</v>
      </c>
      <c r="Q94" s="6" t="n">
        <v>0</v>
      </c>
      <c r="R94" s="6" t="n">
        <v>0</v>
      </c>
      <c r="S94" s="6" t="n">
        <v>0</v>
      </c>
      <c r="T94" s="6" t="n">
        <v>0</v>
      </c>
      <c r="U94" s="6" t="n">
        <v>0</v>
      </c>
      <c r="V94" s="6" t="n">
        <v>0</v>
      </c>
      <c r="W94" s="6" t="n">
        <v>0</v>
      </c>
      <c r="X94" s="6" t="n">
        <v>0</v>
      </c>
      <c r="Y94" s="6" t="n">
        <v>0</v>
      </c>
      <c r="Z94" s="6" t="n">
        <v>0</v>
      </c>
      <c r="AA94" s="6" t="n">
        <v>0</v>
      </c>
      <c r="AB94" s="6">
        <f>SUM(D94:AA94)</f>
        <v/>
      </c>
      <c r="AC94" s="3" t="inlineStr"/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7" t="n">
        <v>0</v>
      </c>
      <c r="BB94" s="7">
        <f>SUM(AD94:BA94)</f>
        <v/>
      </c>
    </row>
    <row r="95">
      <c r="A95" t="inlineStr">
        <is>
          <t>AMD-RTS-RCLS-1302-SSC</t>
        </is>
      </c>
      <c r="B95" t="inlineStr">
        <is>
          <t>Rev OSC</t>
        </is>
      </c>
      <c r="C95" s="5" t="n">
        <v>46102</v>
      </c>
      <c r="D95" s="6" t="n">
        <v>0</v>
      </c>
      <c r="E95" s="6" t="n">
        <v>0</v>
      </c>
      <c r="F95" s="6" t="n">
        <v>0</v>
      </c>
      <c r="G95" s="6" t="n">
        <v>0</v>
      </c>
      <c r="H95" s="6" t="n">
        <v>0</v>
      </c>
      <c r="I95" s="6" t="n">
        <v>0</v>
      </c>
      <c r="J95" s="6" t="n">
        <v>0</v>
      </c>
      <c r="K95" s="6" t="n">
        <v>0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0</v>
      </c>
      <c r="Q95" s="6" t="n">
        <v>0</v>
      </c>
      <c r="R95" s="6" t="n">
        <v>0</v>
      </c>
      <c r="S95" s="6" t="n">
        <v>0</v>
      </c>
      <c r="T95" s="6" t="n">
        <v>0</v>
      </c>
      <c r="U95" s="6" t="n">
        <v>0</v>
      </c>
      <c r="V95" s="6" t="n">
        <v>0</v>
      </c>
      <c r="W95" s="6" t="n">
        <v>0</v>
      </c>
      <c r="X95" s="6" t="n">
        <v>0</v>
      </c>
      <c r="Y95" s="6" t="n">
        <v>0</v>
      </c>
      <c r="Z95" s="6" t="n">
        <v>0</v>
      </c>
      <c r="AA95" s="6" t="n">
        <v>0</v>
      </c>
      <c r="AB95" s="6">
        <f>SUM(D95:AA95)</f>
        <v/>
      </c>
      <c r="AC95" s="3" t="inlineStr"/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7" t="n">
        <v>0</v>
      </c>
      <c r="BB95" s="7">
        <f>SUM(AD95:BA95)</f>
        <v/>
      </c>
    </row>
    <row r="96">
      <c r="A96" t="inlineStr">
        <is>
          <t>AMD-RTS-RCLS-1302-SSC</t>
        </is>
      </c>
      <c r="B96" t="inlineStr">
        <is>
          <t>Rev OSC</t>
        </is>
      </c>
      <c r="C96" s="5" t="n">
        <v>46103</v>
      </c>
      <c r="D96" s="6" t="n">
        <v>0</v>
      </c>
      <c r="E96" s="6" t="n">
        <v>0</v>
      </c>
      <c r="F96" s="6" t="n">
        <v>0</v>
      </c>
      <c r="G96" s="6" t="n">
        <v>0</v>
      </c>
      <c r="H96" s="6" t="n">
        <v>0</v>
      </c>
      <c r="I96" s="6" t="n">
        <v>0</v>
      </c>
      <c r="J96" s="6" t="n">
        <v>0</v>
      </c>
      <c r="K96" s="6" t="n">
        <v>0</v>
      </c>
      <c r="L96" s="6" t="n">
        <v>0</v>
      </c>
      <c r="M96" s="6" t="n">
        <v>0</v>
      </c>
      <c r="N96" s="6" t="n">
        <v>0</v>
      </c>
      <c r="O96" s="6" t="n">
        <v>0</v>
      </c>
      <c r="P96" s="6" t="n">
        <v>0</v>
      </c>
      <c r="Q96" s="6" t="n">
        <v>0</v>
      </c>
      <c r="R96" s="6" t="n">
        <v>0</v>
      </c>
      <c r="S96" s="6" t="n">
        <v>0</v>
      </c>
      <c r="T96" s="6" t="n">
        <v>0</v>
      </c>
      <c r="U96" s="6" t="n">
        <v>0</v>
      </c>
      <c r="V96" s="6" t="n">
        <v>0</v>
      </c>
      <c r="W96" s="6" t="n">
        <v>0</v>
      </c>
      <c r="X96" s="6" t="n">
        <v>0</v>
      </c>
      <c r="Y96" s="6" t="n">
        <v>0</v>
      </c>
      <c r="Z96" s="6" t="n">
        <v>0</v>
      </c>
      <c r="AA96" s="6" t="n">
        <v>0</v>
      </c>
      <c r="AB96" s="6">
        <f>SUM(D96:AA96)</f>
        <v/>
      </c>
      <c r="AC96" s="3" t="inlineStr"/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7" t="n">
        <v>0</v>
      </c>
      <c r="BB96" s="7">
        <f>SUM(AD96:BA96)</f>
        <v/>
      </c>
    </row>
    <row r="97">
      <c r="A97" t="inlineStr">
        <is>
          <t>AMD-RTS-RCLS-1302-SSC</t>
        </is>
      </c>
      <c r="B97" t="inlineStr">
        <is>
          <t>Rev OSC</t>
        </is>
      </c>
      <c r="C97" s="5" t="n">
        <v>46104</v>
      </c>
      <c r="D97" s="6" t="n">
        <v>0</v>
      </c>
      <c r="E97" s="6" t="n">
        <v>0</v>
      </c>
      <c r="F97" s="6" t="n">
        <v>0</v>
      </c>
      <c r="G97" s="6" t="n">
        <v>0</v>
      </c>
      <c r="H97" s="6" t="n">
        <v>0</v>
      </c>
      <c r="I97" s="6" t="n">
        <v>0</v>
      </c>
      <c r="J97" s="6" t="n">
        <v>0</v>
      </c>
      <c r="K97" s="6" t="n">
        <v>0</v>
      </c>
      <c r="L97" s="6" t="n">
        <v>0</v>
      </c>
      <c r="M97" s="6" t="n">
        <v>0</v>
      </c>
      <c r="N97" s="6" t="n">
        <v>0</v>
      </c>
      <c r="O97" s="6" t="n">
        <v>0</v>
      </c>
      <c r="P97" s="6" t="n">
        <v>0</v>
      </c>
      <c r="Q97" s="6" t="n">
        <v>0</v>
      </c>
      <c r="R97" s="6" t="n">
        <v>0</v>
      </c>
      <c r="S97" s="6" t="n">
        <v>0</v>
      </c>
      <c r="T97" s="6" t="n">
        <v>0</v>
      </c>
      <c r="U97" s="6" t="n">
        <v>0</v>
      </c>
      <c r="V97" s="6" t="n">
        <v>0</v>
      </c>
      <c r="W97" s="6" t="n">
        <v>0</v>
      </c>
      <c r="X97" s="6" t="n">
        <v>0</v>
      </c>
      <c r="Y97" s="6" t="n">
        <v>0</v>
      </c>
      <c r="Z97" s="6" t="n">
        <v>0</v>
      </c>
      <c r="AA97" s="6" t="n">
        <v>0</v>
      </c>
      <c r="AB97" s="6">
        <f>SUM(D97:AA97)</f>
        <v/>
      </c>
      <c r="AC97" s="3" t="inlineStr"/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0</v>
      </c>
      <c r="BA97" s="7" t="n">
        <v>0</v>
      </c>
      <c r="BB97" s="7">
        <f>SUM(AD97:BA97)</f>
        <v/>
      </c>
    </row>
    <row r="98">
      <c r="A98" t="inlineStr">
        <is>
          <t>AMD-RTS-RCLS-1302-SSC</t>
        </is>
      </c>
      <c r="B98" t="inlineStr">
        <is>
          <t>Rev OSC</t>
        </is>
      </c>
      <c r="C98" s="5" t="n">
        <v>46105</v>
      </c>
      <c r="D98" s="6" t="n">
        <v>0</v>
      </c>
      <c r="E98" s="6" t="n">
        <v>0</v>
      </c>
      <c r="F98" s="6" t="n">
        <v>0</v>
      </c>
      <c r="G98" s="6" t="n">
        <v>0</v>
      </c>
      <c r="H98" s="6" t="n">
        <v>0</v>
      </c>
      <c r="I98" s="6" t="n">
        <v>0</v>
      </c>
      <c r="J98" s="6" t="n">
        <v>0</v>
      </c>
      <c r="K98" s="6" t="n">
        <v>0</v>
      </c>
      <c r="L98" s="6" t="n">
        <v>0</v>
      </c>
      <c r="M98" s="6" t="n">
        <v>0</v>
      </c>
      <c r="N98" s="6" t="n">
        <v>0</v>
      </c>
      <c r="O98" s="6" t="n">
        <v>0</v>
      </c>
      <c r="P98" s="6" t="n">
        <v>0</v>
      </c>
      <c r="Q98" s="6" t="n">
        <v>0</v>
      </c>
      <c r="R98" s="6" t="n">
        <v>0</v>
      </c>
      <c r="S98" s="6" t="n">
        <v>0</v>
      </c>
      <c r="T98" s="6" t="n">
        <v>0</v>
      </c>
      <c r="U98" s="6" t="n">
        <v>0</v>
      </c>
      <c r="V98" s="6" t="n">
        <v>0</v>
      </c>
      <c r="W98" s="6" t="n">
        <v>0</v>
      </c>
      <c r="X98" s="6" t="n">
        <v>0</v>
      </c>
      <c r="Y98" s="6" t="n">
        <v>0</v>
      </c>
      <c r="Z98" s="6" t="n">
        <v>0</v>
      </c>
      <c r="AA98" s="6" t="n">
        <v>0</v>
      </c>
      <c r="AB98" s="6">
        <f>SUM(D98:AA98)</f>
        <v/>
      </c>
      <c r="AC98" s="3" t="inlineStr"/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7" t="n">
        <v>0</v>
      </c>
      <c r="BB98" s="7">
        <f>SUM(AD98:BA98)</f>
        <v/>
      </c>
    </row>
    <row r="99">
      <c r="A99" t="inlineStr">
        <is>
          <t>AMD-RTS-RCLS-1302-SSC_1</t>
        </is>
      </c>
      <c r="B99" t="inlineStr">
        <is>
          <t>Rev OSC</t>
        </is>
      </c>
      <c r="C99" s="5" t="n">
        <v>46090</v>
      </c>
      <c r="D99" s="6" t="n">
        <v>0</v>
      </c>
      <c r="E99" s="6" t="n">
        <v>0</v>
      </c>
      <c r="F99" s="6" t="n">
        <v>0</v>
      </c>
      <c r="G99" s="6" t="n">
        <v>0</v>
      </c>
      <c r="H99" s="6" t="n">
        <v>0</v>
      </c>
      <c r="I99" s="6" t="n">
        <v>0</v>
      </c>
      <c r="J99" s="6" t="n">
        <v>0</v>
      </c>
      <c r="K99" s="6" t="n">
        <v>0</v>
      </c>
      <c r="L99" s="6" t="n">
        <v>0</v>
      </c>
      <c r="M99" s="6" t="n">
        <v>0</v>
      </c>
      <c r="N99" s="6" t="n">
        <v>0</v>
      </c>
      <c r="O99" s="6" t="n">
        <v>0</v>
      </c>
      <c r="P99" s="6" t="n">
        <v>0</v>
      </c>
      <c r="Q99" s="6" t="n">
        <v>0</v>
      </c>
      <c r="R99" s="6" t="n">
        <v>0</v>
      </c>
      <c r="S99" s="6" t="n">
        <v>0</v>
      </c>
      <c r="T99" s="6" t="n">
        <v>0</v>
      </c>
      <c r="U99" s="6" t="n">
        <v>0</v>
      </c>
      <c r="V99" s="6" t="n">
        <v>0</v>
      </c>
      <c r="W99" s="6" t="n">
        <v>0</v>
      </c>
      <c r="X99" s="6" t="n">
        <v>0</v>
      </c>
      <c r="Y99" s="6" t="n">
        <v>0</v>
      </c>
      <c r="Z99" s="6" t="n">
        <v>0</v>
      </c>
      <c r="AA99" s="6" t="n">
        <v>0</v>
      </c>
      <c r="AB99" s="6">
        <f>SUM(D99:AA99)</f>
        <v/>
      </c>
      <c r="AC99" s="3" t="inlineStr"/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7" t="n">
        <v>0</v>
      </c>
      <c r="BB99" s="7">
        <f>SUM(AD99:BA99)</f>
        <v/>
      </c>
    </row>
    <row r="100">
      <c r="A100" t="inlineStr">
        <is>
          <t>AMD-RTS-RCLS-1302-SSC_1</t>
        </is>
      </c>
      <c r="B100" t="inlineStr">
        <is>
          <t>Rev OSC</t>
        </is>
      </c>
      <c r="C100" s="5" t="n">
        <v>46093</v>
      </c>
      <c r="D100" s="6" t="n">
        <v>0</v>
      </c>
      <c r="E100" s="6" t="n">
        <v>0</v>
      </c>
      <c r="F100" s="6" t="n">
        <v>0</v>
      </c>
      <c r="G100" s="6" t="n">
        <v>0</v>
      </c>
      <c r="H100" s="6" t="n">
        <v>0</v>
      </c>
      <c r="I100" s="6" t="n">
        <v>0</v>
      </c>
      <c r="J100" s="6" t="n">
        <v>0</v>
      </c>
      <c r="K100" s="6" t="n">
        <v>0</v>
      </c>
      <c r="L100" s="6" t="n">
        <v>0</v>
      </c>
      <c r="M100" s="6" t="n">
        <v>0</v>
      </c>
      <c r="N100" s="6" t="n">
        <v>0</v>
      </c>
      <c r="O100" s="6" t="n">
        <v>0</v>
      </c>
      <c r="P100" s="6" t="n">
        <v>0</v>
      </c>
      <c r="Q100" s="6" t="n">
        <v>0</v>
      </c>
      <c r="R100" s="6" t="n">
        <v>0</v>
      </c>
      <c r="S100" s="6" t="n">
        <v>0</v>
      </c>
      <c r="T100" s="6" t="n">
        <v>0</v>
      </c>
      <c r="U100" s="6" t="n">
        <v>0</v>
      </c>
      <c r="V100" s="6" t="n">
        <v>0</v>
      </c>
      <c r="W100" s="6" t="n">
        <v>0</v>
      </c>
      <c r="X100" s="6" t="n">
        <v>0</v>
      </c>
      <c r="Y100" s="6" t="n">
        <v>0</v>
      </c>
      <c r="Z100" s="6" t="n">
        <v>0</v>
      </c>
      <c r="AA100" s="6" t="n">
        <v>0</v>
      </c>
      <c r="AB100" s="6">
        <f>SUM(D100:AA100)</f>
        <v/>
      </c>
      <c r="AC100" s="3" t="inlineStr"/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7" t="n">
        <v>0</v>
      </c>
      <c r="BB100" s="7">
        <f>SUM(AD100:BA100)</f>
        <v/>
      </c>
    </row>
    <row r="101">
      <c r="A101" t="inlineStr">
        <is>
          <t>AMD-RTS-RCLS-1302-SSC_1</t>
        </is>
      </c>
      <c r="B101" t="inlineStr">
        <is>
          <t>Rev OSC</t>
        </is>
      </c>
      <c r="C101" s="5" t="n">
        <v>46094</v>
      </c>
      <c r="D101" s="6" t="n">
        <v>0</v>
      </c>
      <c r="E101" s="6" t="n">
        <v>0</v>
      </c>
      <c r="F101" s="6" t="n">
        <v>0</v>
      </c>
      <c r="G101" s="6" t="n">
        <v>0</v>
      </c>
      <c r="H101" s="6" t="n">
        <v>0</v>
      </c>
      <c r="I101" s="6" t="n">
        <v>0</v>
      </c>
      <c r="J101" s="6" t="n">
        <v>0</v>
      </c>
      <c r="K101" s="6" t="n">
        <v>0</v>
      </c>
      <c r="L101" s="6" t="n">
        <v>0</v>
      </c>
      <c r="M101" s="6" t="n">
        <v>0</v>
      </c>
      <c r="N101" s="6" t="n">
        <v>0</v>
      </c>
      <c r="O101" s="6" t="n">
        <v>0</v>
      </c>
      <c r="P101" s="6" t="n">
        <v>0</v>
      </c>
      <c r="Q101" s="6" t="n">
        <v>0</v>
      </c>
      <c r="R101" s="6" t="n">
        <v>0</v>
      </c>
      <c r="S101" s="6" t="n">
        <v>0</v>
      </c>
      <c r="T101" s="6" t="n">
        <v>0</v>
      </c>
      <c r="U101" s="6" t="n">
        <v>0</v>
      </c>
      <c r="V101" s="6" t="n">
        <v>0</v>
      </c>
      <c r="W101" s="6" t="n">
        <v>0</v>
      </c>
      <c r="X101" s="6" t="n">
        <v>0</v>
      </c>
      <c r="Y101" s="6" t="n">
        <v>0</v>
      </c>
      <c r="Z101" s="6" t="n">
        <v>0</v>
      </c>
      <c r="AA101" s="6" t="n">
        <v>0</v>
      </c>
      <c r="AB101" s="6">
        <f>SUM(D101:AA101)</f>
        <v/>
      </c>
      <c r="AC101" s="3" t="inlineStr"/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7" t="n">
        <v>0</v>
      </c>
      <c r="BB101" s="7">
        <f>SUM(AD101:BA101)</f>
        <v/>
      </c>
    </row>
    <row r="102">
      <c r="A102" t="inlineStr">
        <is>
          <t>AMD-RTS-RCLS-1302-SSC_1</t>
        </is>
      </c>
      <c r="B102" t="inlineStr">
        <is>
          <t>Rev OSC</t>
        </is>
      </c>
      <c r="C102" s="5" t="n">
        <v>46095</v>
      </c>
      <c r="D102" s="6" t="n">
        <v>0</v>
      </c>
      <c r="E102" s="6" t="n">
        <v>0</v>
      </c>
      <c r="F102" s="6" t="n">
        <v>0</v>
      </c>
      <c r="G102" s="6" t="n">
        <v>0</v>
      </c>
      <c r="H102" s="6" t="n">
        <v>0</v>
      </c>
      <c r="I102" s="6" t="n">
        <v>0</v>
      </c>
      <c r="J102" s="6" t="n">
        <v>0</v>
      </c>
      <c r="K102" s="6" t="n">
        <v>0</v>
      </c>
      <c r="L102" s="6" t="n">
        <v>0</v>
      </c>
      <c r="M102" s="6" t="n">
        <v>0</v>
      </c>
      <c r="N102" s="6" t="n">
        <v>0</v>
      </c>
      <c r="O102" s="6" t="n">
        <v>0</v>
      </c>
      <c r="P102" s="6" t="n">
        <v>0</v>
      </c>
      <c r="Q102" s="6" t="n">
        <v>0</v>
      </c>
      <c r="R102" s="6" t="n">
        <v>0</v>
      </c>
      <c r="S102" s="6" t="n">
        <v>0</v>
      </c>
      <c r="T102" s="6" t="n">
        <v>0</v>
      </c>
      <c r="U102" s="6" t="n">
        <v>0</v>
      </c>
      <c r="V102" s="6" t="n">
        <v>0</v>
      </c>
      <c r="W102" s="6" t="n">
        <v>0</v>
      </c>
      <c r="X102" s="6" t="n">
        <v>0</v>
      </c>
      <c r="Y102" s="6" t="n">
        <v>0</v>
      </c>
      <c r="Z102" s="6" t="n">
        <v>0</v>
      </c>
      <c r="AA102" s="6" t="n">
        <v>0</v>
      </c>
      <c r="AB102" s="6">
        <f>SUM(D102:AA102)</f>
        <v/>
      </c>
      <c r="AC102" s="3" t="inlineStr"/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7" t="n">
        <v>0</v>
      </c>
      <c r="BB102" s="7">
        <f>SUM(AD102:BA102)</f>
        <v/>
      </c>
    </row>
    <row r="103">
      <c r="A103" t="inlineStr">
        <is>
          <t>AMD-RTS-RCLS-1302-SSC_1</t>
        </is>
      </c>
      <c r="B103" t="inlineStr">
        <is>
          <t>Rev OSC</t>
        </is>
      </c>
      <c r="C103" s="5" t="n">
        <v>46100</v>
      </c>
      <c r="D103" s="6" t="n">
        <v>0</v>
      </c>
      <c r="E103" s="6" t="n">
        <v>0</v>
      </c>
      <c r="F103" s="6" t="n">
        <v>0</v>
      </c>
      <c r="G103" s="6" t="n">
        <v>0</v>
      </c>
      <c r="H103" s="6" t="n">
        <v>0</v>
      </c>
      <c r="I103" s="6" t="n">
        <v>0</v>
      </c>
      <c r="J103" s="6" t="n">
        <v>0</v>
      </c>
      <c r="K103" s="6" t="n">
        <v>0</v>
      </c>
      <c r="L103" s="6" t="n">
        <v>0</v>
      </c>
      <c r="M103" s="6" t="n">
        <v>0</v>
      </c>
      <c r="N103" s="6" t="n">
        <v>0</v>
      </c>
      <c r="O103" s="6" t="n">
        <v>0</v>
      </c>
      <c r="P103" s="6" t="n">
        <v>0</v>
      </c>
      <c r="Q103" s="6" t="n">
        <v>0</v>
      </c>
      <c r="R103" s="6" t="n">
        <v>0</v>
      </c>
      <c r="S103" s="6" t="n">
        <v>0</v>
      </c>
      <c r="T103" s="6" t="n">
        <v>0</v>
      </c>
      <c r="U103" s="6" t="n">
        <v>0</v>
      </c>
      <c r="V103" s="6" t="n">
        <v>0</v>
      </c>
      <c r="W103" s="6" t="n">
        <v>0</v>
      </c>
      <c r="X103" s="6" t="n">
        <v>0</v>
      </c>
      <c r="Y103" s="6" t="n">
        <v>0</v>
      </c>
      <c r="Z103" s="6" t="n">
        <v>0</v>
      </c>
      <c r="AA103" s="6" t="n">
        <v>0</v>
      </c>
      <c r="AB103" s="6">
        <f>SUM(D103:AA103)</f>
        <v/>
      </c>
      <c r="AC103" s="3" t="inlineStr"/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7" t="n">
        <v>0</v>
      </c>
      <c r="BB103" s="7">
        <f>SUM(AD103:BA103)</f>
        <v/>
      </c>
    </row>
    <row r="104">
      <c r="A104" t="inlineStr">
        <is>
          <t>AMD-RTS-RCLS-1302-SSC_1</t>
        </is>
      </c>
      <c r="B104" t="inlineStr">
        <is>
          <t>Rev OSC</t>
        </is>
      </c>
      <c r="C104" s="5" t="n">
        <v>46102</v>
      </c>
      <c r="D104" s="6" t="n">
        <v>0</v>
      </c>
      <c r="E104" s="6" t="n">
        <v>0</v>
      </c>
      <c r="F104" s="6" t="n">
        <v>0</v>
      </c>
      <c r="G104" s="6" t="n">
        <v>0</v>
      </c>
      <c r="H104" s="6" t="n">
        <v>0</v>
      </c>
      <c r="I104" s="6" t="n">
        <v>0</v>
      </c>
      <c r="J104" s="6" t="n">
        <v>0</v>
      </c>
      <c r="K104" s="6" t="n">
        <v>0</v>
      </c>
      <c r="L104" s="6" t="n">
        <v>0</v>
      </c>
      <c r="M104" s="6" t="n">
        <v>0</v>
      </c>
      <c r="N104" s="6" t="n">
        <v>0</v>
      </c>
      <c r="O104" s="6" t="n">
        <v>0</v>
      </c>
      <c r="P104" s="6" t="n">
        <v>0</v>
      </c>
      <c r="Q104" s="6" t="n">
        <v>0</v>
      </c>
      <c r="R104" s="6" t="n">
        <v>0</v>
      </c>
      <c r="S104" s="6" t="n">
        <v>0</v>
      </c>
      <c r="T104" s="6" t="n">
        <v>0</v>
      </c>
      <c r="U104" s="6" t="n">
        <v>0</v>
      </c>
      <c r="V104" s="6" t="n">
        <v>0</v>
      </c>
      <c r="W104" s="6" t="n">
        <v>0</v>
      </c>
      <c r="X104" s="6" t="n">
        <v>0</v>
      </c>
      <c r="Y104" s="6" t="n">
        <v>0</v>
      </c>
      <c r="Z104" s="6" t="n">
        <v>0</v>
      </c>
      <c r="AA104" s="6" t="n">
        <v>0</v>
      </c>
      <c r="AB104" s="6">
        <f>SUM(D104:AA104)</f>
        <v/>
      </c>
      <c r="AC104" s="3" t="inlineStr"/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  <c r="BB104" s="7">
        <f>SUM(AD104:BA104)</f>
        <v/>
      </c>
    </row>
    <row r="105">
      <c r="A105" t="inlineStr">
        <is>
          <t>AMD-RTS-RCLS-1302-SSC_1</t>
        </is>
      </c>
      <c r="B105" t="inlineStr">
        <is>
          <t>Rev OSC</t>
        </is>
      </c>
      <c r="C105" s="5" t="n">
        <v>46103</v>
      </c>
      <c r="D105" s="6" t="n">
        <v>0</v>
      </c>
      <c r="E105" s="6" t="n">
        <v>0</v>
      </c>
      <c r="F105" s="6" t="n">
        <v>0</v>
      </c>
      <c r="G105" s="6" t="n">
        <v>0</v>
      </c>
      <c r="H105" s="6" t="n">
        <v>0</v>
      </c>
      <c r="I105" s="6" t="n">
        <v>0</v>
      </c>
      <c r="J105" s="6" t="n">
        <v>0</v>
      </c>
      <c r="K105" s="6" t="n">
        <v>0</v>
      </c>
      <c r="L105" s="6" t="n">
        <v>0</v>
      </c>
      <c r="M105" s="6" t="n">
        <v>0</v>
      </c>
      <c r="N105" s="6" t="n">
        <v>0</v>
      </c>
      <c r="O105" s="6" t="n">
        <v>0</v>
      </c>
      <c r="P105" s="6" t="n">
        <v>0</v>
      </c>
      <c r="Q105" s="6" t="n">
        <v>0</v>
      </c>
      <c r="R105" s="6" t="n">
        <v>0</v>
      </c>
      <c r="S105" s="6" t="n">
        <v>0</v>
      </c>
      <c r="T105" s="6" t="n">
        <v>0</v>
      </c>
      <c r="U105" s="6" t="n">
        <v>0</v>
      </c>
      <c r="V105" s="6" t="n">
        <v>0</v>
      </c>
      <c r="W105" s="6" t="n">
        <v>0</v>
      </c>
      <c r="X105" s="6" t="n">
        <v>0</v>
      </c>
      <c r="Y105" s="6" t="n">
        <v>0</v>
      </c>
      <c r="Z105" s="6" t="n">
        <v>0</v>
      </c>
      <c r="AA105" s="6" t="n">
        <v>0</v>
      </c>
      <c r="AB105" s="6">
        <f>SUM(D105:AA105)</f>
        <v/>
      </c>
      <c r="AC105" s="3" t="inlineStr"/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7" t="n">
        <v>0</v>
      </c>
      <c r="BB105" s="7">
        <f>SUM(AD105:BA105)</f>
        <v/>
      </c>
    </row>
    <row r="106">
      <c r="A106" t="inlineStr">
        <is>
          <t>AMD-RTS-RCLS-1302-SSC_1</t>
        </is>
      </c>
      <c r="B106" t="inlineStr">
        <is>
          <t>Rev OSC</t>
        </is>
      </c>
      <c r="C106" s="5" t="n">
        <v>46104</v>
      </c>
      <c r="D106" s="6" t="n">
        <v>0</v>
      </c>
      <c r="E106" s="6" t="n">
        <v>0</v>
      </c>
      <c r="F106" s="6" t="n">
        <v>0</v>
      </c>
      <c r="G106" s="6" t="n">
        <v>0</v>
      </c>
      <c r="H106" s="6" t="n">
        <v>0</v>
      </c>
      <c r="I106" s="6" t="n">
        <v>0</v>
      </c>
      <c r="J106" s="6" t="n">
        <v>0</v>
      </c>
      <c r="K106" s="6" t="n">
        <v>0</v>
      </c>
      <c r="L106" s="6" t="n">
        <v>0</v>
      </c>
      <c r="M106" s="6" t="n">
        <v>0</v>
      </c>
      <c r="N106" s="6" t="n">
        <v>0</v>
      </c>
      <c r="O106" s="6" t="n">
        <v>0</v>
      </c>
      <c r="P106" s="6" t="n">
        <v>0</v>
      </c>
      <c r="Q106" s="6" t="n">
        <v>0</v>
      </c>
      <c r="R106" s="6" t="n">
        <v>0</v>
      </c>
      <c r="S106" s="6" t="n">
        <v>0</v>
      </c>
      <c r="T106" s="6" t="n">
        <v>0</v>
      </c>
      <c r="U106" s="6" t="n">
        <v>0</v>
      </c>
      <c r="V106" s="6" t="n">
        <v>0</v>
      </c>
      <c r="W106" s="6" t="n">
        <v>0</v>
      </c>
      <c r="X106" s="6" t="n">
        <v>0</v>
      </c>
      <c r="Y106" s="6" t="n">
        <v>0</v>
      </c>
      <c r="Z106" s="6" t="n">
        <v>0</v>
      </c>
      <c r="AA106" s="6" t="n">
        <v>0</v>
      </c>
      <c r="AB106" s="6">
        <f>SUM(D106:AA106)</f>
        <v/>
      </c>
      <c r="AC106" s="3" t="inlineStr"/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7" t="n">
        <v>0</v>
      </c>
      <c r="BB106" s="7">
        <f>SUM(AD106:BA106)</f>
        <v/>
      </c>
    </row>
    <row r="107">
      <c r="A107" t="inlineStr">
        <is>
          <t>AMD-RTS-RCLS-1302-SSC_1</t>
        </is>
      </c>
      <c r="B107" t="inlineStr">
        <is>
          <t>Rev OSC</t>
        </is>
      </c>
      <c r="C107" s="5" t="n">
        <v>46105</v>
      </c>
      <c r="D107" s="6" t="n">
        <v>0</v>
      </c>
      <c r="E107" s="6" t="n">
        <v>0</v>
      </c>
      <c r="F107" s="6" t="n">
        <v>0</v>
      </c>
      <c r="G107" s="6" t="n">
        <v>0</v>
      </c>
      <c r="H107" s="6" t="n">
        <v>0</v>
      </c>
      <c r="I107" s="6" t="n">
        <v>0</v>
      </c>
      <c r="J107" s="6" t="n">
        <v>0</v>
      </c>
      <c r="K107" s="6" t="n">
        <v>0</v>
      </c>
      <c r="L107" s="6" t="n">
        <v>0</v>
      </c>
      <c r="M107" s="6" t="n">
        <v>0</v>
      </c>
      <c r="N107" s="6" t="n">
        <v>0</v>
      </c>
      <c r="O107" s="6" t="n">
        <v>0</v>
      </c>
      <c r="P107" s="6" t="n">
        <v>0</v>
      </c>
      <c r="Q107" s="6" t="n">
        <v>0</v>
      </c>
      <c r="R107" s="6" t="n">
        <v>0</v>
      </c>
      <c r="S107" s="6" t="n">
        <v>0</v>
      </c>
      <c r="T107" s="6" t="n">
        <v>0</v>
      </c>
      <c r="U107" s="6" t="n">
        <v>0</v>
      </c>
      <c r="V107" s="6" t="n">
        <v>0</v>
      </c>
      <c r="W107" s="6" t="n">
        <v>0</v>
      </c>
      <c r="X107" s="6" t="n">
        <v>0</v>
      </c>
      <c r="Y107" s="6" t="n">
        <v>0</v>
      </c>
      <c r="Z107" s="6" t="n">
        <v>0</v>
      </c>
      <c r="AA107" s="6" t="n">
        <v>0</v>
      </c>
      <c r="AB107" s="6">
        <f>SUM(D107:AA107)</f>
        <v/>
      </c>
      <c r="AC107" s="3" t="inlineStr"/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7" t="n">
        <v>0</v>
      </c>
      <c r="BB107" s="7">
        <f>SUM(AD107:BA107)</f>
        <v/>
      </c>
    </row>
    <row r="108">
      <c r="A108" t="inlineStr">
        <is>
          <t>AMD-RTS-RCLS-1302-SSC_2</t>
        </is>
      </c>
      <c r="B108" t="inlineStr">
        <is>
          <t>Rev OSC</t>
        </is>
      </c>
      <c r="C108" s="5" t="n">
        <v>46100</v>
      </c>
      <c r="D108" s="6" t="n">
        <v>0</v>
      </c>
      <c r="E108" s="6" t="n">
        <v>0</v>
      </c>
      <c r="F108" s="6" t="n">
        <v>0</v>
      </c>
      <c r="G108" s="6" t="n">
        <v>0</v>
      </c>
      <c r="H108" s="6" t="n">
        <v>0</v>
      </c>
      <c r="I108" s="6" t="n">
        <v>0</v>
      </c>
      <c r="J108" s="6" t="n">
        <v>0</v>
      </c>
      <c r="K108" s="6" t="n">
        <v>0</v>
      </c>
      <c r="L108" s="6" t="n">
        <v>0</v>
      </c>
      <c r="M108" s="6" t="n">
        <v>0</v>
      </c>
      <c r="N108" s="6" t="n">
        <v>0</v>
      </c>
      <c r="O108" s="6" t="n">
        <v>0</v>
      </c>
      <c r="P108" s="6" t="n">
        <v>0</v>
      </c>
      <c r="Q108" s="6" t="n">
        <v>0</v>
      </c>
      <c r="R108" s="6" t="n">
        <v>0</v>
      </c>
      <c r="S108" s="6" t="n">
        <v>0</v>
      </c>
      <c r="T108" s="6" t="n">
        <v>0</v>
      </c>
      <c r="U108" s="6" t="n">
        <v>0</v>
      </c>
      <c r="V108" s="6" t="n">
        <v>0</v>
      </c>
      <c r="W108" s="6" t="n">
        <v>0</v>
      </c>
      <c r="X108" s="6" t="n">
        <v>0</v>
      </c>
      <c r="Y108" s="6" t="n">
        <v>0</v>
      </c>
      <c r="Z108" s="6" t="n">
        <v>0</v>
      </c>
      <c r="AA108" s="6" t="n">
        <v>0</v>
      </c>
      <c r="AB108" s="6">
        <f>SUM(D108:AA108)</f>
        <v/>
      </c>
      <c r="AC108" s="3" t="inlineStr"/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7" t="n">
        <v>0</v>
      </c>
      <c r="BB108" s="7">
        <f>SUM(AD108:BA108)</f>
        <v/>
      </c>
    </row>
    <row r="109">
      <c r="A109" t="inlineStr">
        <is>
          <t>AMD-RTS-RCLS-1302-SSC_2</t>
        </is>
      </c>
      <c r="B109" t="inlineStr">
        <is>
          <t>Rev OSC</t>
        </is>
      </c>
      <c r="C109" s="5" t="n">
        <v>46102</v>
      </c>
      <c r="D109" s="6" t="n">
        <v>0</v>
      </c>
      <c r="E109" s="6" t="n">
        <v>0</v>
      </c>
      <c r="F109" s="6" t="n">
        <v>0</v>
      </c>
      <c r="G109" s="6" t="n">
        <v>0</v>
      </c>
      <c r="H109" s="6" t="n">
        <v>0</v>
      </c>
      <c r="I109" s="6" t="n">
        <v>0</v>
      </c>
      <c r="J109" s="6" t="n">
        <v>0</v>
      </c>
      <c r="K109" s="6" t="n">
        <v>0</v>
      </c>
      <c r="L109" s="6" t="n">
        <v>0</v>
      </c>
      <c r="M109" s="6" t="n">
        <v>0</v>
      </c>
      <c r="N109" s="6" t="n">
        <v>0</v>
      </c>
      <c r="O109" s="6" t="n">
        <v>0</v>
      </c>
      <c r="P109" s="6" t="n">
        <v>0</v>
      </c>
      <c r="Q109" s="6" t="n">
        <v>0</v>
      </c>
      <c r="R109" s="6" t="n">
        <v>0</v>
      </c>
      <c r="S109" s="6" t="n">
        <v>0</v>
      </c>
      <c r="T109" s="6" t="n">
        <v>0</v>
      </c>
      <c r="U109" s="6" t="n">
        <v>0</v>
      </c>
      <c r="V109" s="6" t="n">
        <v>0</v>
      </c>
      <c r="W109" s="6" t="n">
        <v>0</v>
      </c>
      <c r="X109" s="6" t="n">
        <v>0</v>
      </c>
      <c r="Y109" s="6" t="n">
        <v>0</v>
      </c>
      <c r="Z109" s="6" t="n">
        <v>0</v>
      </c>
      <c r="AA109" s="6" t="n">
        <v>0</v>
      </c>
      <c r="AB109" s="6">
        <f>SUM(D109:AA109)</f>
        <v/>
      </c>
      <c r="AC109" s="3" t="inlineStr"/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7" t="n">
        <v>0</v>
      </c>
      <c r="BB109" s="7">
        <f>SUM(AD109:BA109)</f>
        <v/>
      </c>
    </row>
    <row r="110">
      <c r="A110" t="inlineStr">
        <is>
          <t>AMD-RTS-RCLS-1302-SSC_2</t>
        </is>
      </c>
      <c r="B110" t="inlineStr">
        <is>
          <t>Rev OSC</t>
        </is>
      </c>
      <c r="C110" s="5" t="n">
        <v>46104</v>
      </c>
      <c r="D110" s="6" t="n">
        <v>0</v>
      </c>
      <c r="E110" s="6" t="n">
        <v>0</v>
      </c>
      <c r="F110" s="6" t="n">
        <v>0</v>
      </c>
      <c r="G110" s="6" t="n">
        <v>0</v>
      </c>
      <c r="H110" s="6" t="n">
        <v>0</v>
      </c>
      <c r="I110" s="6" t="n">
        <v>0</v>
      </c>
      <c r="J110" s="6" t="n">
        <v>0</v>
      </c>
      <c r="K110" s="6" t="n">
        <v>0</v>
      </c>
      <c r="L110" s="6" t="n">
        <v>0</v>
      </c>
      <c r="M110" s="6" t="n">
        <v>0</v>
      </c>
      <c r="N110" s="6" t="n">
        <v>0</v>
      </c>
      <c r="O110" s="6" t="n">
        <v>0</v>
      </c>
      <c r="P110" s="6" t="n">
        <v>0</v>
      </c>
      <c r="Q110" s="6" t="n">
        <v>0</v>
      </c>
      <c r="R110" s="6" t="n">
        <v>0</v>
      </c>
      <c r="S110" s="6" t="n">
        <v>0</v>
      </c>
      <c r="T110" s="6" t="n">
        <v>0</v>
      </c>
      <c r="U110" s="6" t="n">
        <v>0</v>
      </c>
      <c r="V110" s="6" t="n">
        <v>0</v>
      </c>
      <c r="W110" s="6" t="n">
        <v>0</v>
      </c>
      <c r="X110" s="6" t="n">
        <v>0</v>
      </c>
      <c r="Y110" s="6" t="n">
        <v>0</v>
      </c>
      <c r="Z110" s="6" t="n">
        <v>0</v>
      </c>
      <c r="AA110" s="6" t="n">
        <v>0</v>
      </c>
      <c r="AB110" s="6">
        <f>SUM(D110:AA110)</f>
        <v/>
      </c>
      <c r="AC110" s="3" t="inlineStr"/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  <c r="BB110" s="7">
        <f>SUM(AD110:BA110)</f>
        <v/>
      </c>
    </row>
    <row r="111">
      <c r="A111" t="inlineStr">
        <is>
          <t>DC-10-1</t>
        </is>
      </c>
      <c r="B111" t="inlineStr">
        <is>
          <t>DSC Manual</t>
        </is>
      </c>
      <c r="C111" s="5" t="n">
        <v>46089</v>
      </c>
      <c r="D111" s="6" t="n">
        <v>0</v>
      </c>
      <c r="E111" s="6" t="n">
        <v>0</v>
      </c>
      <c r="F111" s="6" t="n">
        <v>0</v>
      </c>
      <c r="G111" s="6" t="n">
        <v>0</v>
      </c>
      <c r="H111" s="6" t="n">
        <v>0</v>
      </c>
      <c r="I111" s="6" t="n">
        <v>0</v>
      </c>
      <c r="J111" s="6" t="n">
        <v>0</v>
      </c>
      <c r="K111" s="6" t="n">
        <v>0</v>
      </c>
      <c r="L111" s="6" t="n">
        <v>0</v>
      </c>
      <c r="M111" s="6" t="n">
        <v>0</v>
      </c>
      <c r="N111" s="6" t="n">
        <v>0</v>
      </c>
      <c r="O111" s="6" t="n">
        <v>0</v>
      </c>
      <c r="P111" s="6" t="n">
        <v>0</v>
      </c>
      <c r="Q111" s="6" t="n">
        <v>0</v>
      </c>
      <c r="R111" s="6" t="n">
        <v>0</v>
      </c>
      <c r="S111" s="6" t="n">
        <v>0</v>
      </c>
      <c r="T111" s="6" t="n">
        <v>0</v>
      </c>
      <c r="U111" s="6" t="n">
        <v>0</v>
      </c>
      <c r="V111" s="6" t="n">
        <v>0</v>
      </c>
      <c r="W111" s="6" t="n">
        <v>0</v>
      </c>
      <c r="X111" s="6" t="n">
        <v>0</v>
      </c>
      <c r="Y111" s="6" t="n">
        <v>0</v>
      </c>
      <c r="Z111" s="6" t="n">
        <v>0</v>
      </c>
      <c r="AA111" s="6" t="n">
        <v>0</v>
      </c>
      <c r="AB111" s="6">
        <f>SUM(D111:AA111)</f>
        <v/>
      </c>
      <c r="AC111" s="3" t="inlineStr"/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7" t="n">
        <v>0</v>
      </c>
      <c r="BB111" s="7">
        <f>SUM(AD111:BA111)</f>
        <v/>
      </c>
    </row>
    <row r="112">
      <c r="A112" t="inlineStr">
        <is>
          <t>DC-10-1</t>
        </is>
      </c>
      <c r="B112" t="inlineStr">
        <is>
          <t>DSC Manual</t>
        </is>
      </c>
      <c r="C112" s="5" t="n">
        <v>46090</v>
      </c>
      <c r="D112" s="6" t="n">
        <v>0</v>
      </c>
      <c r="E112" s="6" t="n">
        <v>0</v>
      </c>
      <c r="F112" s="6" t="n">
        <v>0</v>
      </c>
      <c r="G112" s="6" t="n">
        <v>0</v>
      </c>
      <c r="H112" s="6" t="n">
        <v>0</v>
      </c>
      <c r="I112" s="6" t="n">
        <v>0</v>
      </c>
      <c r="J112" s="6" t="n">
        <v>0</v>
      </c>
      <c r="K112" s="6" t="n">
        <v>0</v>
      </c>
      <c r="L112" s="6" t="n">
        <v>0</v>
      </c>
      <c r="M112" s="6" t="n">
        <v>0</v>
      </c>
      <c r="N112" s="6" t="n">
        <v>0</v>
      </c>
      <c r="O112" s="6" t="n">
        <v>0</v>
      </c>
      <c r="P112" s="6" t="n">
        <v>0</v>
      </c>
      <c r="Q112" s="6" t="n">
        <v>0</v>
      </c>
      <c r="R112" s="6" t="n">
        <v>0</v>
      </c>
      <c r="S112" s="6" t="n">
        <v>0</v>
      </c>
      <c r="T112" s="6" t="n">
        <v>0</v>
      </c>
      <c r="U112" s="6" t="n">
        <v>0</v>
      </c>
      <c r="V112" s="6" t="n">
        <v>0</v>
      </c>
      <c r="W112" s="6" t="n">
        <v>0</v>
      </c>
      <c r="X112" s="6" t="n">
        <v>0</v>
      </c>
      <c r="Y112" s="6" t="n">
        <v>0</v>
      </c>
      <c r="Z112" s="6" t="n">
        <v>0</v>
      </c>
      <c r="AA112" s="6" t="n">
        <v>0</v>
      </c>
      <c r="AB112" s="6">
        <f>SUM(D112:AA112)</f>
        <v/>
      </c>
      <c r="AC112" s="3" t="inlineStr"/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>
        <f>SUM(AD112:BA112)</f>
        <v/>
      </c>
    </row>
    <row r="113">
      <c r="A113" t="inlineStr">
        <is>
          <t>DC-10-1</t>
        </is>
      </c>
      <c r="B113" t="inlineStr">
        <is>
          <t>DSC Manual</t>
        </is>
      </c>
      <c r="C113" s="5" t="n">
        <v>46091</v>
      </c>
      <c r="D113" s="6" t="n">
        <v>0</v>
      </c>
      <c r="E113" s="6" t="n">
        <v>0</v>
      </c>
      <c r="F113" s="6" t="n">
        <v>0</v>
      </c>
      <c r="G113" s="6" t="n">
        <v>0</v>
      </c>
      <c r="H113" s="6" t="n">
        <v>0</v>
      </c>
      <c r="I113" s="6" t="n">
        <v>0</v>
      </c>
      <c r="J113" s="6" t="n">
        <v>0</v>
      </c>
      <c r="K113" s="6" t="n">
        <v>0</v>
      </c>
      <c r="L113" s="6" t="n">
        <v>0</v>
      </c>
      <c r="M113" s="6" t="n">
        <v>0</v>
      </c>
      <c r="N113" s="6" t="n">
        <v>0</v>
      </c>
      <c r="O113" s="6" t="n">
        <v>0</v>
      </c>
      <c r="P113" s="6" t="n">
        <v>0</v>
      </c>
      <c r="Q113" s="6" t="n">
        <v>0</v>
      </c>
      <c r="R113" s="6" t="n">
        <v>0</v>
      </c>
      <c r="S113" s="6" t="n">
        <v>0</v>
      </c>
      <c r="T113" s="6" t="n">
        <v>0</v>
      </c>
      <c r="U113" s="6" t="n">
        <v>0</v>
      </c>
      <c r="V113" s="6" t="n">
        <v>0</v>
      </c>
      <c r="W113" s="6" t="n">
        <v>0</v>
      </c>
      <c r="X113" s="6" t="n">
        <v>0</v>
      </c>
      <c r="Y113" s="6" t="n">
        <v>0</v>
      </c>
      <c r="Z113" s="6" t="n">
        <v>0</v>
      </c>
      <c r="AA113" s="6" t="n">
        <v>0</v>
      </c>
      <c r="AB113" s="6">
        <f>SUM(D113:AA113)</f>
        <v/>
      </c>
      <c r="AC113" s="3" t="inlineStr"/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7" t="n">
        <v>0</v>
      </c>
      <c r="BB113" s="7">
        <f>SUM(AD113:BA113)</f>
        <v/>
      </c>
    </row>
    <row r="114">
      <c r="A114" t="inlineStr">
        <is>
          <t>DC-10-1</t>
        </is>
      </c>
      <c r="B114" t="inlineStr">
        <is>
          <t>DSC Manual</t>
        </is>
      </c>
      <c r="C114" s="5" t="n">
        <v>46092</v>
      </c>
      <c r="D114" s="6" t="n">
        <v>0</v>
      </c>
      <c r="E114" s="6" t="n">
        <v>0</v>
      </c>
      <c r="F114" s="6" t="n">
        <v>0</v>
      </c>
      <c r="G114" s="6" t="n">
        <v>0</v>
      </c>
      <c r="H114" s="6" t="n">
        <v>0</v>
      </c>
      <c r="I114" s="6" t="n">
        <v>0</v>
      </c>
      <c r="J114" s="6" t="n">
        <v>0</v>
      </c>
      <c r="K114" s="6" t="n">
        <v>0</v>
      </c>
      <c r="L114" s="6" t="n">
        <v>0</v>
      </c>
      <c r="M114" s="6" t="n">
        <v>0</v>
      </c>
      <c r="N114" s="6" t="n">
        <v>0</v>
      </c>
      <c r="O114" s="6" t="n">
        <v>0</v>
      </c>
      <c r="P114" s="6" t="n">
        <v>0</v>
      </c>
      <c r="Q114" s="6" t="n">
        <v>0</v>
      </c>
      <c r="R114" s="6" t="n">
        <v>0</v>
      </c>
      <c r="S114" s="6" t="n">
        <v>0</v>
      </c>
      <c r="T114" s="6" t="n">
        <v>0</v>
      </c>
      <c r="U114" s="6" t="n">
        <v>0</v>
      </c>
      <c r="V114" s="6" t="n">
        <v>0</v>
      </c>
      <c r="W114" s="6" t="n">
        <v>0</v>
      </c>
      <c r="X114" s="6" t="n">
        <v>0</v>
      </c>
      <c r="Y114" s="6" t="n">
        <v>0</v>
      </c>
      <c r="Z114" s="6" t="n">
        <v>0</v>
      </c>
      <c r="AA114" s="6" t="n">
        <v>0</v>
      </c>
      <c r="AB114" s="6">
        <f>SUM(D114:AA114)</f>
        <v/>
      </c>
      <c r="AC114" s="3" t="inlineStr"/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7" t="n">
        <v>0</v>
      </c>
      <c r="BB114" s="7">
        <f>SUM(AD114:BA114)</f>
        <v/>
      </c>
    </row>
    <row r="115">
      <c r="A115" t="inlineStr">
        <is>
          <t>DC-10-1</t>
        </is>
      </c>
      <c r="B115" t="inlineStr">
        <is>
          <t>DSC Manual</t>
        </is>
      </c>
      <c r="C115" s="5" t="n">
        <v>46093</v>
      </c>
      <c r="D115" s="6" t="n">
        <v>0</v>
      </c>
      <c r="E115" s="6" t="n">
        <v>0</v>
      </c>
      <c r="F115" s="6" t="n">
        <v>0</v>
      </c>
      <c r="G115" s="6" t="n">
        <v>0</v>
      </c>
      <c r="H115" s="6" t="n">
        <v>0</v>
      </c>
      <c r="I115" s="6" t="n">
        <v>0</v>
      </c>
      <c r="J115" s="6" t="n">
        <v>0</v>
      </c>
      <c r="K115" s="6" t="n">
        <v>0</v>
      </c>
      <c r="L115" s="6" t="n">
        <v>0</v>
      </c>
      <c r="M115" s="6" t="n">
        <v>0</v>
      </c>
      <c r="N115" s="6" t="n">
        <v>0</v>
      </c>
      <c r="O115" s="6" t="n">
        <v>0</v>
      </c>
      <c r="P115" s="6" t="n">
        <v>0</v>
      </c>
      <c r="Q115" s="6" t="n">
        <v>0</v>
      </c>
      <c r="R115" s="6" t="n">
        <v>0</v>
      </c>
      <c r="S115" s="6" t="n">
        <v>0</v>
      </c>
      <c r="T115" s="6" t="n">
        <v>0</v>
      </c>
      <c r="U115" s="6" t="n">
        <v>0</v>
      </c>
      <c r="V115" s="6" t="n">
        <v>0</v>
      </c>
      <c r="W115" s="6" t="n">
        <v>0</v>
      </c>
      <c r="X115" s="6" t="n">
        <v>0</v>
      </c>
      <c r="Y115" s="6" t="n">
        <v>0</v>
      </c>
      <c r="Z115" s="6" t="n">
        <v>0</v>
      </c>
      <c r="AA115" s="6" t="n">
        <v>0</v>
      </c>
      <c r="AB115" s="6">
        <f>SUM(D115:AA115)</f>
        <v/>
      </c>
      <c r="AC115" s="3" t="inlineStr"/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>
        <f>SUM(AD115:BA115)</f>
        <v/>
      </c>
    </row>
    <row r="116">
      <c r="A116" t="inlineStr">
        <is>
          <t>DC-10-1</t>
        </is>
      </c>
      <c r="B116" t="inlineStr">
        <is>
          <t>DSC Manual</t>
        </is>
      </c>
      <c r="C116" s="5" t="n">
        <v>46094</v>
      </c>
      <c r="D116" s="6" t="n">
        <v>0</v>
      </c>
      <c r="E116" s="6" t="n">
        <v>0</v>
      </c>
      <c r="F116" s="6" t="n">
        <v>0</v>
      </c>
      <c r="G116" s="6" t="n">
        <v>0</v>
      </c>
      <c r="H116" s="6" t="n">
        <v>0</v>
      </c>
      <c r="I116" s="6" t="n">
        <v>0</v>
      </c>
      <c r="J116" s="6" t="n">
        <v>0</v>
      </c>
      <c r="K116" s="6" t="n">
        <v>0</v>
      </c>
      <c r="L116" s="6" t="n">
        <v>0</v>
      </c>
      <c r="M116" s="6" t="n">
        <v>0</v>
      </c>
      <c r="N116" s="6" t="n">
        <v>0</v>
      </c>
      <c r="O116" s="6" t="n">
        <v>0</v>
      </c>
      <c r="P116" s="6" t="n">
        <v>0</v>
      </c>
      <c r="Q116" s="6" t="n">
        <v>0</v>
      </c>
      <c r="R116" s="6" t="n">
        <v>0</v>
      </c>
      <c r="S116" s="6" t="n">
        <v>0</v>
      </c>
      <c r="T116" s="6" t="n">
        <v>0</v>
      </c>
      <c r="U116" s="6" t="n">
        <v>0</v>
      </c>
      <c r="V116" s="6" t="n">
        <v>0</v>
      </c>
      <c r="W116" s="6" t="n">
        <v>0</v>
      </c>
      <c r="X116" s="6" t="n">
        <v>0</v>
      </c>
      <c r="Y116" s="6" t="n">
        <v>0</v>
      </c>
      <c r="Z116" s="6" t="n">
        <v>0</v>
      </c>
      <c r="AA116" s="6" t="n">
        <v>0</v>
      </c>
      <c r="AB116" s="6">
        <f>SUM(D116:AA116)</f>
        <v/>
      </c>
      <c r="AC116" s="3" t="inlineStr"/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>
        <f>SUM(AD116:BA116)</f>
        <v/>
      </c>
    </row>
    <row r="117">
      <c r="A117" t="inlineStr">
        <is>
          <t>DC-10-1</t>
        </is>
      </c>
      <c r="B117" t="inlineStr">
        <is>
          <t>DSC Manual</t>
        </is>
      </c>
      <c r="C117" s="5" t="n">
        <v>46095</v>
      </c>
      <c r="D117" s="6" t="n">
        <v>0</v>
      </c>
      <c r="E117" s="6" t="n">
        <v>0</v>
      </c>
      <c r="F117" s="6" t="n">
        <v>0</v>
      </c>
      <c r="G117" s="6" t="n">
        <v>0</v>
      </c>
      <c r="H117" s="6" t="n">
        <v>0</v>
      </c>
      <c r="I117" s="6" t="n">
        <v>0</v>
      </c>
      <c r="J117" s="6" t="n">
        <v>0</v>
      </c>
      <c r="K117" s="6" t="n">
        <v>0</v>
      </c>
      <c r="L117" s="6" t="n">
        <v>0</v>
      </c>
      <c r="M117" s="6" t="n">
        <v>0</v>
      </c>
      <c r="N117" s="6" t="n">
        <v>0</v>
      </c>
      <c r="O117" s="6" t="n">
        <v>0</v>
      </c>
      <c r="P117" s="6" t="n">
        <v>0</v>
      </c>
      <c r="Q117" s="6" t="n">
        <v>0</v>
      </c>
      <c r="R117" s="6" t="n">
        <v>0</v>
      </c>
      <c r="S117" s="6" t="n">
        <v>0</v>
      </c>
      <c r="T117" s="6" t="n">
        <v>0</v>
      </c>
      <c r="U117" s="6" t="n">
        <v>0</v>
      </c>
      <c r="V117" s="6" t="n">
        <v>0</v>
      </c>
      <c r="W117" s="6" t="n">
        <v>0</v>
      </c>
      <c r="X117" s="6" t="n">
        <v>0</v>
      </c>
      <c r="Y117" s="6" t="n">
        <v>0</v>
      </c>
      <c r="Z117" s="6" t="n">
        <v>0</v>
      </c>
      <c r="AA117" s="6" t="n">
        <v>0</v>
      </c>
      <c r="AB117" s="6">
        <f>SUM(D117:AA117)</f>
        <v/>
      </c>
      <c r="AC117" s="3" t="inlineStr"/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7" t="n">
        <v>0</v>
      </c>
      <c r="BA117" s="7" t="n">
        <v>0</v>
      </c>
      <c r="BB117" s="7">
        <f>SUM(AD117:BA117)</f>
        <v/>
      </c>
    </row>
    <row r="118">
      <c r="A118" t="inlineStr">
        <is>
          <t>DC-10-1</t>
        </is>
      </c>
      <c r="B118" t="inlineStr">
        <is>
          <t>DSC Manual</t>
        </is>
      </c>
      <c r="C118" s="5" t="n">
        <v>46096</v>
      </c>
      <c r="D118" s="6" t="n">
        <v>0</v>
      </c>
      <c r="E118" s="6" t="n">
        <v>0</v>
      </c>
      <c r="F118" s="6" t="n">
        <v>0</v>
      </c>
      <c r="G118" s="6" t="n">
        <v>0</v>
      </c>
      <c r="H118" s="6" t="n">
        <v>0</v>
      </c>
      <c r="I118" s="6" t="n">
        <v>0</v>
      </c>
      <c r="J118" s="6" t="n">
        <v>0</v>
      </c>
      <c r="K118" s="6" t="n">
        <v>0</v>
      </c>
      <c r="L118" s="6" t="n">
        <v>0</v>
      </c>
      <c r="M118" s="6" t="n">
        <v>0</v>
      </c>
      <c r="N118" s="6" t="n">
        <v>0</v>
      </c>
      <c r="O118" s="6" t="n">
        <v>0</v>
      </c>
      <c r="P118" s="6" t="n">
        <v>0</v>
      </c>
      <c r="Q118" s="6" t="n">
        <v>0</v>
      </c>
      <c r="R118" s="6" t="n">
        <v>0</v>
      </c>
      <c r="S118" s="6" t="n">
        <v>0</v>
      </c>
      <c r="T118" s="6" t="n">
        <v>0</v>
      </c>
      <c r="U118" s="6" t="n">
        <v>0</v>
      </c>
      <c r="V118" s="6" t="n">
        <v>0</v>
      </c>
      <c r="W118" s="6" t="n">
        <v>0</v>
      </c>
      <c r="X118" s="6" t="n">
        <v>0</v>
      </c>
      <c r="Y118" s="6" t="n">
        <v>0</v>
      </c>
      <c r="Z118" s="6" t="n">
        <v>0</v>
      </c>
      <c r="AA118" s="6" t="n">
        <v>0</v>
      </c>
      <c r="AB118" s="6">
        <f>SUM(D118:AA118)</f>
        <v/>
      </c>
      <c r="AC118" s="3" t="inlineStr"/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>
        <f>SUM(AD118:BA118)</f>
        <v/>
      </c>
    </row>
    <row r="119">
      <c r="A119" t="inlineStr">
        <is>
          <t>DC-10-1</t>
        </is>
      </c>
      <c r="B119" t="inlineStr">
        <is>
          <t>DSC Manual</t>
        </is>
      </c>
      <c r="C119" s="5" t="n">
        <v>46097</v>
      </c>
      <c r="D119" s="6" t="n">
        <v>0</v>
      </c>
      <c r="E119" s="6" t="n">
        <v>0</v>
      </c>
      <c r="F119" s="6" t="n">
        <v>0</v>
      </c>
      <c r="G119" s="6" t="n">
        <v>0</v>
      </c>
      <c r="H119" s="6" t="n">
        <v>0</v>
      </c>
      <c r="I119" s="6" t="n">
        <v>0</v>
      </c>
      <c r="J119" s="6" t="n">
        <v>0</v>
      </c>
      <c r="K119" s="6" t="n">
        <v>0</v>
      </c>
      <c r="L119" s="6" t="n">
        <v>0</v>
      </c>
      <c r="M119" s="6" t="n">
        <v>0</v>
      </c>
      <c r="N119" s="6" t="n">
        <v>0</v>
      </c>
      <c r="O119" s="6" t="n">
        <v>0</v>
      </c>
      <c r="P119" s="6" t="n">
        <v>0</v>
      </c>
      <c r="Q119" s="6" t="n">
        <v>0</v>
      </c>
      <c r="R119" s="6" t="n">
        <v>0</v>
      </c>
      <c r="S119" s="6" t="n">
        <v>0</v>
      </c>
      <c r="T119" s="6" t="n">
        <v>0</v>
      </c>
      <c r="U119" s="6" t="n">
        <v>0</v>
      </c>
      <c r="V119" s="6" t="n">
        <v>0</v>
      </c>
      <c r="W119" s="6" t="n">
        <v>0</v>
      </c>
      <c r="X119" s="6" t="n">
        <v>0</v>
      </c>
      <c r="Y119" s="6" t="n">
        <v>0</v>
      </c>
      <c r="Z119" s="6" t="n">
        <v>0</v>
      </c>
      <c r="AA119" s="6" t="n">
        <v>0</v>
      </c>
      <c r="AB119" s="6">
        <f>SUM(D119:AA119)</f>
        <v/>
      </c>
      <c r="AC119" s="3" t="inlineStr"/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n">
        <v>0</v>
      </c>
      <c r="AW119" s="7" t="n">
        <v>0</v>
      </c>
      <c r="AX119" s="7" t="n">
        <v>0</v>
      </c>
      <c r="AY119" s="7" t="n">
        <v>0</v>
      </c>
      <c r="AZ119" s="7" t="n">
        <v>0</v>
      </c>
      <c r="BA119" s="7" t="n">
        <v>0</v>
      </c>
      <c r="BB119" s="7">
        <f>SUM(AD119:BA119)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1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Layout</t>
        </is>
      </c>
      <c r="B1" s="1" t="inlineStr">
        <is>
          <t>Layout Type</t>
        </is>
      </c>
      <c r="C1" s="1" t="inlineStr">
        <is>
          <t>Date</t>
        </is>
      </c>
      <c r="D1" s="2" t="inlineStr">
        <is>
          <t>Act Vol 12 AM</t>
        </is>
      </c>
      <c r="E1" s="2" t="inlineStr">
        <is>
          <t>Act Vol 1 AM</t>
        </is>
      </c>
      <c r="F1" s="2" t="inlineStr">
        <is>
          <t>Act Vol 2 AM</t>
        </is>
      </c>
      <c r="G1" s="2" t="inlineStr">
        <is>
          <t>Act Vol 3 AM</t>
        </is>
      </c>
      <c r="H1" s="2" t="inlineStr">
        <is>
          <t>Act Vol 4 AM</t>
        </is>
      </c>
      <c r="I1" s="2" t="inlineStr">
        <is>
          <t>Act Vol 5 AM</t>
        </is>
      </c>
      <c r="J1" s="2" t="inlineStr">
        <is>
          <t>Act Vol 6 AM</t>
        </is>
      </c>
      <c r="K1" s="2" t="inlineStr">
        <is>
          <t>Act Vol 7 AM</t>
        </is>
      </c>
      <c r="L1" s="2" t="inlineStr">
        <is>
          <t>Act Vol 8 AM</t>
        </is>
      </c>
      <c r="M1" s="2" t="inlineStr">
        <is>
          <t>Act Vol 9 AM</t>
        </is>
      </c>
      <c r="N1" s="2" t="inlineStr">
        <is>
          <t>Act Vol 10 AM</t>
        </is>
      </c>
      <c r="O1" s="2" t="inlineStr">
        <is>
          <t>Act Vol 11 AM</t>
        </is>
      </c>
      <c r="P1" s="2" t="inlineStr">
        <is>
          <t>Act Vol 12 PM</t>
        </is>
      </c>
      <c r="Q1" s="2" t="inlineStr">
        <is>
          <t>Act Vol 1 PM</t>
        </is>
      </c>
      <c r="R1" s="2" t="inlineStr">
        <is>
          <t>Act Vol 2 PM</t>
        </is>
      </c>
      <c r="S1" s="2" t="inlineStr">
        <is>
          <t>Act Vol 3 PM</t>
        </is>
      </c>
      <c r="T1" s="2" t="inlineStr">
        <is>
          <t>Act Vol 4 PM</t>
        </is>
      </c>
      <c r="U1" s="2" t="inlineStr">
        <is>
          <t>Act Vol 5 PM</t>
        </is>
      </c>
      <c r="V1" s="2" t="inlineStr">
        <is>
          <t>Act Vol 6 PM</t>
        </is>
      </c>
      <c r="W1" s="2" t="inlineStr">
        <is>
          <t>Act Vol 7 PM</t>
        </is>
      </c>
      <c r="X1" s="2" t="inlineStr">
        <is>
          <t>Act Vol 8 PM</t>
        </is>
      </c>
      <c r="Y1" s="2" t="inlineStr">
        <is>
          <t>Act Vol 9 PM</t>
        </is>
      </c>
      <c r="Z1" s="2" t="inlineStr">
        <is>
          <t>Act Vol 10 PM</t>
        </is>
      </c>
      <c r="AA1" s="2" t="inlineStr">
        <is>
          <t>Act Vol 11 PM</t>
        </is>
      </c>
      <c r="AB1" s="2" t="inlineStr">
        <is>
          <t>Act Vol Total</t>
        </is>
      </c>
      <c r="AC1" s="3" t="inlineStr"/>
      <c r="AD1" s="4" t="inlineStr">
        <is>
          <t>MH 12 AM</t>
        </is>
      </c>
      <c r="AE1" s="4" t="inlineStr">
        <is>
          <t>MH 1 AM</t>
        </is>
      </c>
      <c r="AF1" s="4" t="inlineStr">
        <is>
          <t>MH 2 AM</t>
        </is>
      </c>
      <c r="AG1" s="4" t="inlineStr">
        <is>
          <t>MH 3 AM</t>
        </is>
      </c>
      <c r="AH1" s="4" t="inlineStr">
        <is>
          <t>MH 4 AM</t>
        </is>
      </c>
      <c r="AI1" s="4" t="inlineStr">
        <is>
          <t>MH 5 AM</t>
        </is>
      </c>
      <c r="AJ1" s="4" t="inlineStr">
        <is>
          <t>MH 6 AM</t>
        </is>
      </c>
      <c r="AK1" s="4" t="inlineStr">
        <is>
          <t>MH 7 AM</t>
        </is>
      </c>
      <c r="AL1" s="4" t="inlineStr">
        <is>
          <t>MH 8 AM</t>
        </is>
      </c>
      <c r="AM1" s="4" t="inlineStr">
        <is>
          <t>MH 9 AM</t>
        </is>
      </c>
      <c r="AN1" s="4" t="inlineStr">
        <is>
          <t>MH 10 AM</t>
        </is>
      </c>
      <c r="AO1" s="4" t="inlineStr">
        <is>
          <t>MH 11 AM</t>
        </is>
      </c>
      <c r="AP1" s="4" t="inlineStr">
        <is>
          <t>MH 12 PM</t>
        </is>
      </c>
      <c r="AQ1" s="4" t="inlineStr">
        <is>
          <t>MH 1 PM</t>
        </is>
      </c>
      <c r="AR1" s="4" t="inlineStr">
        <is>
          <t>MH 2 PM</t>
        </is>
      </c>
      <c r="AS1" s="4" t="inlineStr">
        <is>
          <t>MH 3 PM</t>
        </is>
      </c>
      <c r="AT1" s="4" t="inlineStr">
        <is>
          <t>MH 4 PM</t>
        </is>
      </c>
      <c r="AU1" s="4" t="inlineStr">
        <is>
          <t>MH 5 PM</t>
        </is>
      </c>
      <c r="AV1" s="4" t="inlineStr">
        <is>
          <t>MH 6 PM</t>
        </is>
      </c>
      <c r="AW1" s="4" t="inlineStr">
        <is>
          <t>MH 7 PM</t>
        </is>
      </c>
      <c r="AX1" s="4" t="inlineStr">
        <is>
          <t>MH 8 PM</t>
        </is>
      </c>
      <c r="AY1" s="4" t="inlineStr">
        <is>
          <t>MH 9 PM</t>
        </is>
      </c>
      <c r="AZ1" s="4" t="inlineStr">
        <is>
          <t>MH 10 PM</t>
        </is>
      </c>
      <c r="BA1" s="4" t="inlineStr">
        <is>
          <t>MH 11 PM</t>
        </is>
      </c>
      <c r="BB1" s="4" t="inlineStr">
        <is>
          <t>MH Total</t>
        </is>
      </c>
    </row>
    <row r="2">
      <c r="A2" t="inlineStr">
        <is>
          <t>AMD-AIR-NEW-SSC</t>
        </is>
      </c>
      <c r="B2" t="inlineStr">
        <is>
          <t>Forward Regular OSC</t>
        </is>
      </c>
      <c r="C2" s="5" t="n">
        <v>46093</v>
      </c>
      <c r="D2" s="6">
        <f>Summary!D2</f>
        <v/>
      </c>
      <c r="E2" s="6">
        <f>Summary!E2</f>
        <v/>
      </c>
      <c r="F2" s="6">
        <f>Summary!F2</f>
        <v/>
      </c>
      <c r="G2" s="6">
        <f>Summary!G2</f>
        <v/>
      </c>
      <c r="H2" s="6">
        <f>Summary!H2</f>
        <v/>
      </c>
      <c r="I2" s="6">
        <f>Summary!I2</f>
        <v/>
      </c>
      <c r="J2" s="6">
        <f>Summary!J2</f>
        <v/>
      </c>
      <c r="K2" s="6">
        <f>Summary!K2</f>
        <v/>
      </c>
      <c r="L2" s="6">
        <f>Summary!L2</f>
        <v/>
      </c>
      <c r="M2" s="6">
        <f>Summary!M2</f>
        <v/>
      </c>
      <c r="N2" s="6">
        <f>Summary!N2</f>
        <v/>
      </c>
      <c r="O2" s="6">
        <f>Summary!O2</f>
        <v/>
      </c>
      <c r="P2" s="6">
        <f>Summary!P2</f>
        <v/>
      </c>
      <c r="Q2" s="6">
        <f>Summary!Q2</f>
        <v/>
      </c>
      <c r="R2" s="6">
        <f>Summary!R2</f>
        <v/>
      </c>
      <c r="S2" s="6">
        <f>Summary!S2</f>
        <v/>
      </c>
      <c r="T2" s="6">
        <f>Summary!T2</f>
        <v/>
      </c>
      <c r="U2" s="6">
        <f>Summary!U2</f>
        <v/>
      </c>
      <c r="V2" s="6">
        <f>Summary!V2</f>
        <v/>
      </c>
      <c r="W2" s="6">
        <f>Summary!W2</f>
        <v/>
      </c>
      <c r="X2" s="6">
        <f>Summary!X2</f>
        <v/>
      </c>
      <c r="Y2" s="6">
        <f>Summary!Y2</f>
        <v/>
      </c>
      <c r="Z2" s="6">
        <f>Summary!Z2</f>
        <v/>
      </c>
      <c r="AA2" s="6">
        <f>Summary!AA2</f>
        <v/>
      </c>
      <c r="AB2" s="6">
        <f>SUM(D2:AA2)</f>
        <v/>
      </c>
      <c r="AC2" s="3" t="inlineStr"/>
      <c r="AD2" s="7">
        <f>E2*0.001117515+D2*0.001117515</f>
        <v/>
      </c>
      <c r="AE2" s="7">
        <f>F2*0.001117515+E2*0.001117515</f>
        <v/>
      </c>
      <c r="AF2" s="7">
        <f>G2*0.001117515+F2*0.001117515</f>
        <v/>
      </c>
      <c r="AG2" s="7">
        <f>H2*0.001117515+G2*0.001117515</f>
        <v/>
      </c>
      <c r="AH2" s="7">
        <f>I2*0.001117515+H2*0.001117515</f>
        <v/>
      </c>
      <c r="AI2" s="7">
        <f>J2*0.001117515+I2*0.001117515</f>
        <v/>
      </c>
      <c r="AJ2" s="7">
        <f>K2*0.001117515+J2*0.001117515</f>
        <v/>
      </c>
      <c r="AK2" s="7">
        <f>L2*0.001117515+K2*0.001117515</f>
        <v/>
      </c>
      <c r="AL2" s="7">
        <f>M2*0.001117515+L2*0.001117515</f>
        <v/>
      </c>
      <c r="AM2" s="7">
        <f>N2*0.001117515+M2*0.001117515</f>
        <v/>
      </c>
      <c r="AN2" s="7">
        <f>O2*0.001117515+N2*0.001117515</f>
        <v/>
      </c>
      <c r="AO2" s="7">
        <f>P2*0.001117515+O2*0.001117515</f>
        <v/>
      </c>
      <c r="AP2" s="7">
        <f>Q2*0.001117515+P2*0.001117515</f>
        <v/>
      </c>
      <c r="AQ2" s="7">
        <f>R2*0.001117515+Q2*0.001117515</f>
        <v/>
      </c>
      <c r="AR2" s="7">
        <f>S2*0.001117515+R2*0.001117515</f>
        <v/>
      </c>
      <c r="AS2" s="7">
        <f>T2*0.001117515+S2*0.001117515</f>
        <v/>
      </c>
      <c r="AT2" s="7">
        <f>U2*0.001117515+T2*0.001117515</f>
        <v/>
      </c>
      <c r="AU2" s="7">
        <f>V2*0.001117515+U2*0.001117515</f>
        <v/>
      </c>
      <c r="AV2" s="7">
        <f>W2*0.001117515+V2*0.001117515</f>
        <v/>
      </c>
      <c r="AW2" s="7">
        <f>X2*0.001117515+W2*0.001117515</f>
        <v/>
      </c>
      <c r="AX2" s="7">
        <f>Y2*0.001117515+X2*0.001117515</f>
        <v/>
      </c>
      <c r="AY2" s="7">
        <f>Z2*0.001117515+Y2*0.001117515</f>
        <v/>
      </c>
      <c r="AZ2" s="7">
        <f>AA2*0.001117515+Z2*0.001117515</f>
        <v/>
      </c>
      <c r="BA2" s="7">
        <f>D2*0.001117515+AA2*0.001117515</f>
        <v/>
      </c>
      <c r="BB2" s="7">
        <f>SUM(AD2:BA2)</f>
        <v/>
      </c>
    </row>
    <row r="3">
      <c r="A3" t="inlineStr">
        <is>
          <t>AMD-AIR-NEW-SSC</t>
        </is>
      </c>
      <c r="B3" t="inlineStr">
        <is>
          <t>Forward Regular OSC</t>
        </is>
      </c>
      <c r="C3" s="5" t="n">
        <v>46094</v>
      </c>
      <c r="D3" s="6">
        <f>Summary!D3</f>
        <v/>
      </c>
      <c r="E3" s="6">
        <f>Summary!E3</f>
        <v/>
      </c>
      <c r="F3" s="6">
        <f>Summary!F3</f>
        <v/>
      </c>
      <c r="G3" s="6">
        <f>Summary!G3</f>
        <v/>
      </c>
      <c r="H3" s="6">
        <f>Summary!H3</f>
        <v/>
      </c>
      <c r="I3" s="6">
        <f>Summary!I3</f>
        <v/>
      </c>
      <c r="J3" s="6">
        <f>Summary!J3</f>
        <v/>
      </c>
      <c r="K3" s="6">
        <f>Summary!K3</f>
        <v/>
      </c>
      <c r="L3" s="6">
        <f>Summary!L3</f>
        <v/>
      </c>
      <c r="M3" s="6">
        <f>Summary!M3</f>
        <v/>
      </c>
      <c r="N3" s="6">
        <f>Summary!N3</f>
        <v/>
      </c>
      <c r="O3" s="6">
        <f>Summary!O3</f>
        <v/>
      </c>
      <c r="P3" s="6">
        <f>Summary!P3</f>
        <v/>
      </c>
      <c r="Q3" s="6">
        <f>Summary!Q3</f>
        <v/>
      </c>
      <c r="R3" s="6">
        <f>Summary!R3</f>
        <v/>
      </c>
      <c r="S3" s="6">
        <f>Summary!S3</f>
        <v/>
      </c>
      <c r="T3" s="6">
        <f>Summary!T3</f>
        <v/>
      </c>
      <c r="U3" s="6">
        <f>Summary!U3</f>
        <v/>
      </c>
      <c r="V3" s="6">
        <f>Summary!V3</f>
        <v/>
      </c>
      <c r="W3" s="6">
        <f>Summary!W3</f>
        <v/>
      </c>
      <c r="X3" s="6">
        <f>Summary!X3</f>
        <v/>
      </c>
      <c r="Y3" s="6">
        <f>Summary!Y3</f>
        <v/>
      </c>
      <c r="Z3" s="6">
        <f>Summary!Z3</f>
        <v/>
      </c>
      <c r="AA3" s="6">
        <f>Summary!AA3</f>
        <v/>
      </c>
      <c r="AB3" s="6">
        <f>SUM(D3:AA3)</f>
        <v/>
      </c>
      <c r="AC3" s="3" t="inlineStr"/>
      <c r="AD3" s="7">
        <f>E3*0.001117515+D3*0.001117515</f>
        <v/>
      </c>
      <c r="AE3" s="7">
        <f>F3*0.001117515+E3*0.001117515</f>
        <v/>
      </c>
      <c r="AF3" s="7">
        <f>G3*0.001117515+F3*0.001117515</f>
        <v/>
      </c>
      <c r="AG3" s="7">
        <f>H3*0.001117515+G3*0.001117515</f>
        <v/>
      </c>
      <c r="AH3" s="7">
        <f>I3*0.001117515+H3*0.001117515</f>
        <v/>
      </c>
      <c r="AI3" s="7">
        <f>J3*0.001117515+I3*0.001117515</f>
        <v/>
      </c>
      <c r="AJ3" s="7">
        <f>K3*0.001117515+J3*0.001117515</f>
        <v/>
      </c>
      <c r="AK3" s="7">
        <f>L3*0.001117515+K3*0.001117515</f>
        <v/>
      </c>
      <c r="AL3" s="7">
        <f>M3*0.001117515+L3*0.001117515</f>
        <v/>
      </c>
      <c r="AM3" s="7">
        <f>N3*0.001117515+M3*0.001117515</f>
        <v/>
      </c>
      <c r="AN3" s="7">
        <f>O3*0.001117515+N3*0.001117515</f>
        <v/>
      </c>
      <c r="AO3" s="7">
        <f>P3*0.001117515+O3*0.001117515</f>
        <v/>
      </c>
      <c r="AP3" s="7">
        <f>Q3*0.001117515+P3*0.001117515</f>
        <v/>
      </c>
      <c r="AQ3" s="7">
        <f>R3*0.001117515+Q3*0.001117515</f>
        <v/>
      </c>
      <c r="AR3" s="7">
        <f>S3*0.001117515+R3*0.001117515</f>
        <v/>
      </c>
      <c r="AS3" s="7">
        <f>T3*0.001117515+S3*0.001117515</f>
        <v/>
      </c>
      <c r="AT3" s="7">
        <f>U3*0.001117515+T3*0.001117515</f>
        <v/>
      </c>
      <c r="AU3" s="7">
        <f>V3*0.001117515+U3*0.001117515</f>
        <v/>
      </c>
      <c r="AV3" s="7">
        <f>W3*0.001117515+V3*0.001117515</f>
        <v/>
      </c>
      <c r="AW3" s="7">
        <f>X3*0.001117515+W3*0.001117515</f>
        <v/>
      </c>
      <c r="AX3" s="7">
        <f>Y3*0.001117515+X3*0.001117515</f>
        <v/>
      </c>
      <c r="AY3" s="7">
        <f>Z3*0.001117515+Y3*0.001117515</f>
        <v/>
      </c>
      <c r="AZ3" s="7">
        <f>AA3*0.001117515+Z3*0.001117515</f>
        <v/>
      </c>
      <c r="BA3" s="7">
        <f>D3*0.001117515+AA3*0.001117515</f>
        <v/>
      </c>
      <c r="BB3" s="7">
        <f>SUM(AD3:BA3)</f>
        <v/>
      </c>
    </row>
    <row r="4">
      <c r="A4" t="inlineStr">
        <is>
          <t>AMD-AIR-NEW-SSC</t>
        </is>
      </c>
      <c r="B4" t="inlineStr">
        <is>
          <t>Forward Regular OSC</t>
        </is>
      </c>
      <c r="C4" s="5" t="n">
        <v>46096</v>
      </c>
      <c r="D4" s="6">
        <f>Summary!D4</f>
        <v/>
      </c>
      <c r="E4" s="6">
        <f>Summary!E4</f>
        <v/>
      </c>
      <c r="F4" s="6">
        <f>Summary!F4</f>
        <v/>
      </c>
      <c r="G4" s="6">
        <f>Summary!G4</f>
        <v/>
      </c>
      <c r="H4" s="6">
        <f>Summary!H4</f>
        <v/>
      </c>
      <c r="I4" s="6">
        <f>Summary!I4</f>
        <v/>
      </c>
      <c r="J4" s="6">
        <f>Summary!J4</f>
        <v/>
      </c>
      <c r="K4" s="6">
        <f>Summary!K4</f>
        <v/>
      </c>
      <c r="L4" s="6">
        <f>Summary!L4</f>
        <v/>
      </c>
      <c r="M4" s="6">
        <f>Summary!M4</f>
        <v/>
      </c>
      <c r="N4" s="6">
        <f>Summary!N4</f>
        <v/>
      </c>
      <c r="O4" s="6">
        <f>Summary!O4</f>
        <v/>
      </c>
      <c r="P4" s="6">
        <f>Summary!P4</f>
        <v/>
      </c>
      <c r="Q4" s="6">
        <f>Summary!Q4</f>
        <v/>
      </c>
      <c r="R4" s="6">
        <f>Summary!R4</f>
        <v/>
      </c>
      <c r="S4" s="6">
        <f>Summary!S4</f>
        <v/>
      </c>
      <c r="T4" s="6">
        <f>Summary!T4</f>
        <v/>
      </c>
      <c r="U4" s="6">
        <f>Summary!U4</f>
        <v/>
      </c>
      <c r="V4" s="6">
        <f>Summary!V4</f>
        <v/>
      </c>
      <c r="W4" s="6">
        <f>Summary!W4</f>
        <v/>
      </c>
      <c r="X4" s="6">
        <f>Summary!X4</f>
        <v/>
      </c>
      <c r="Y4" s="6">
        <f>Summary!Y4</f>
        <v/>
      </c>
      <c r="Z4" s="6">
        <f>Summary!Z4</f>
        <v/>
      </c>
      <c r="AA4" s="6">
        <f>Summary!AA4</f>
        <v/>
      </c>
      <c r="AB4" s="6">
        <f>SUM(D4:AA4)</f>
        <v/>
      </c>
      <c r="AC4" s="3" t="inlineStr"/>
      <c r="AD4" s="7">
        <f>E4*0.001117515+D4*0.001117515</f>
        <v/>
      </c>
      <c r="AE4" s="7">
        <f>F4*0.001117515+E4*0.001117515</f>
        <v/>
      </c>
      <c r="AF4" s="7">
        <f>G4*0.001117515+F4*0.001117515</f>
        <v/>
      </c>
      <c r="AG4" s="7">
        <f>H4*0.001117515+G4*0.001117515</f>
        <v/>
      </c>
      <c r="AH4" s="7">
        <f>I4*0.001117515+H4*0.001117515</f>
        <v/>
      </c>
      <c r="AI4" s="7">
        <f>J4*0.001117515+I4*0.001117515</f>
        <v/>
      </c>
      <c r="AJ4" s="7">
        <f>K4*0.001117515+J4*0.001117515</f>
        <v/>
      </c>
      <c r="AK4" s="7">
        <f>L4*0.001117515+K4*0.001117515</f>
        <v/>
      </c>
      <c r="AL4" s="7">
        <f>M4*0.001117515+L4*0.001117515</f>
        <v/>
      </c>
      <c r="AM4" s="7">
        <f>N4*0.001117515+M4*0.001117515</f>
        <v/>
      </c>
      <c r="AN4" s="7">
        <f>O4*0.001117515+N4*0.001117515</f>
        <v/>
      </c>
      <c r="AO4" s="7">
        <f>P4*0.001117515+O4*0.001117515</f>
        <v/>
      </c>
      <c r="AP4" s="7">
        <f>Q4*0.001117515+P4*0.001117515</f>
        <v/>
      </c>
      <c r="AQ4" s="7">
        <f>R4*0.001117515+Q4*0.001117515</f>
        <v/>
      </c>
      <c r="AR4" s="7">
        <f>S4*0.001117515+R4*0.001117515</f>
        <v/>
      </c>
      <c r="AS4" s="7">
        <f>T4*0.001117515+S4*0.001117515</f>
        <v/>
      </c>
      <c r="AT4" s="7">
        <f>U4*0.001117515+T4*0.001117515</f>
        <v/>
      </c>
      <c r="AU4" s="7">
        <f>V4*0.001117515+U4*0.001117515</f>
        <v/>
      </c>
      <c r="AV4" s="7">
        <f>W4*0.001117515+V4*0.001117515</f>
        <v/>
      </c>
      <c r="AW4" s="7">
        <f>X4*0.001117515+W4*0.001117515</f>
        <v/>
      </c>
      <c r="AX4" s="7">
        <f>Y4*0.001117515+X4*0.001117515</f>
        <v/>
      </c>
      <c r="AY4" s="7">
        <f>Z4*0.001117515+Y4*0.001117515</f>
        <v/>
      </c>
      <c r="AZ4" s="7">
        <f>AA4*0.001117515+Z4*0.001117515</f>
        <v/>
      </c>
      <c r="BA4" s="7">
        <f>D4*0.001117515+AA4*0.001117515</f>
        <v/>
      </c>
      <c r="BB4" s="7">
        <f>SUM(AD4:BA4)</f>
        <v/>
      </c>
    </row>
    <row r="5">
      <c r="A5" t="inlineStr">
        <is>
          <t>AMD-AIR-NEW-SSC</t>
        </is>
      </c>
      <c r="B5" t="inlineStr">
        <is>
          <t>Forward Regular OSC</t>
        </is>
      </c>
      <c r="C5" s="5" t="n">
        <v>46097</v>
      </c>
      <c r="D5" s="6">
        <f>Summary!D5</f>
        <v/>
      </c>
      <c r="E5" s="6">
        <f>Summary!E5</f>
        <v/>
      </c>
      <c r="F5" s="6">
        <f>Summary!F5</f>
        <v/>
      </c>
      <c r="G5" s="6">
        <f>Summary!G5</f>
        <v/>
      </c>
      <c r="H5" s="6">
        <f>Summary!H5</f>
        <v/>
      </c>
      <c r="I5" s="6">
        <f>Summary!I5</f>
        <v/>
      </c>
      <c r="J5" s="6">
        <f>Summary!J5</f>
        <v/>
      </c>
      <c r="K5" s="6">
        <f>Summary!K5</f>
        <v/>
      </c>
      <c r="L5" s="6">
        <f>Summary!L5</f>
        <v/>
      </c>
      <c r="M5" s="6">
        <f>Summary!M5</f>
        <v/>
      </c>
      <c r="N5" s="6">
        <f>Summary!N5</f>
        <v/>
      </c>
      <c r="O5" s="6">
        <f>Summary!O5</f>
        <v/>
      </c>
      <c r="P5" s="6">
        <f>Summary!P5</f>
        <v/>
      </c>
      <c r="Q5" s="6">
        <f>Summary!Q5</f>
        <v/>
      </c>
      <c r="R5" s="6">
        <f>Summary!R5</f>
        <v/>
      </c>
      <c r="S5" s="6">
        <f>Summary!S5</f>
        <v/>
      </c>
      <c r="T5" s="6">
        <f>Summary!T5</f>
        <v/>
      </c>
      <c r="U5" s="6">
        <f>Summary!U5</f>
        <v/>
      </c>
      <c r="V5" s="6">
        <f>Summary!V5</f>
        <v/>
      </c>
      <c r="W5" s="6">
        <f>Summary!W5</f>
        <v/>
      </c>
      <c r="X5" s="6">
        <f>Summary!X5</f>
        <v/>
      </c>
      <c r="Y5" s="6">
        <f>Summary!Y5</f>
        <v/>
      </c>
      <c r="Z5" s="6">
        <f>Summary!Z5</f>
        <v/>
      </c>
      <c r="AA5" s="6">
        <f>Summary!AA5</f>
        <v/>
      </c>
      <c r="AB5" s="6">
        <f>SUM(D5:AA5)</f>
        <v/>
      </c>
      <c r="AC5" s="3" t="inlineStr"/>
      <c r="AD5" s="7">
        <f>E5*0.001117515+D5*0.001117515</f>
        <v/>
      </c>
      <c r="AE5" s="7">
        <f>F5*0.001117515+E5*0.001117515</f>
        <v/>
      </c>
      <c r="AF5" s="7">
        <f>G5*0.001117515+F5*0.001117515</f>
        <v/>
      </c>
      <c r="AG5" s="7">
        <f>H5*0.001117515+G5*0.001117515</f>
        <v/>
      </c>
      <c r="AH5" s="7">
        <f>I5*0.001117515+H5*0.001117515</f>
        <v/>
      </c>
      <c r="AI5" s="7">
        <f>J5*0.001117515+I5*0.001117515</f>
        <v/>
      </c>
      <c r="AJ5" s="7">
        <f>K5*0.001117515+J5*0.001117515</f>
        <v/>
      </c>
      <c r="AK5" s="7">
        <f>L5*0.001117515+K5*0.001117515</f>
        <v/>
      </c>
      <c r="AL5" s="7">
        <f>M5*0.001117515+L5*0.001117515</f>
        <v/>
      </c>
      <c r="AM5" s="7">
        <f>N5*0.001117515+M5*0.001117515</f>
        <v/>
      </c>
      <c r="AN5" s="7">
        <f>O5*0.001117515+N5*0.001117515</f>
        <v/>
      </c>
      <c r="AO5" s="7">
        <f>P5*0.001117515+O5*0.001117515</f>
        <v/>
      </c>
      <c r="AP5" s="7">
        <f>Q5*0.001117515+P5*0.001117515</f>
        <v/>
      </c>
      <c r="AQ5" s="7">
        <f>R5*0.001117515+Q5*0.001117515</f>
        <v/>
      </c>
      <c r="AR5" s="7">
        <f>S5*0.001117515+R5*0.001117515</f>
        <v/>
      </c>
      <c r="AS5" s="7">
        <f>T5*0.001117515+S5*0.001117515</f>
        <v/>
      </c>
      <c r="AT5" s="7">
        <f>U5*0.001117515+T5*0.001117515</f>
        <v/>
      </c>
      <c r="AU5" s="7">
        <f>V5*0.001117515+U5*0.001117515</f>
        <v/>
      </c>
      <c r="AV5" s="7">
        <f>W5*0.001117515+V5*0.001117515</f>
        <v/>
      </c>
      <c r="AW5" s="7">
        <f>X5*0.001117515+W5*0.001117515</f>
        <v/>
      </c>
      <c r="AX5" s="7">
        <f>Y5*0.001117515+X5*0.001117515</f>
        <v/>
      </c>
      <c r="AY5" s="7">
        <f>Z5*0.001117515+Y5*0.001117515</f>
        <v/>
      </c>
      <c r="AZ5" s="7">
        <f>AA5*0.001117515+Z5*0.001117515</f>
        <v/>
      </c>
      <c r="BA5" s="7">
        <f>D5*0.001117515+AA5*0.001117515</f>
        <v/>
      </c>
      <c r="BB5" s="7">
        <f>SUM(AD5:BA5)</f>
        <v/>
      </c>
    </row>
    <row r="6">
      <c r="A6" t="inlineStr">
        <is>
          <t>AMD-AIR-NEW-SSC</t>
        </is>
      </c>
      <c r="B6" t="inlineStr">
        <is>
          <t>Forward Regular OSC</t>
        </is>
      </c>
      <c r="C6" s="5" t="n">
        <v>46100</v>
      </c>
      <c r="D6" s="6">
        <f>Summary!D6</f>
        <v/>
      </c>
      <c r="E6" s="6">
        <f>Summary!E6</f>
        <v/>
      </c>
      <c r="F6" s="6">
        <f>Summary!F6</f>
        <v/>
      </c>
      <c r="G6" s="6">
        <f>Summary!G6</f>
        <v/>
      </c>
      <c r="H6" s="6">
        <f>Summary!H6</f>
        <v/>
      </c>
      <c r="I6" s="6">
        <f>Summary!I6</f>
        <v/>
      </c>
      <c r="J6" s="6">
        <f>Summary!J6</f>
        <v/>
      </c>
      <c r="K6" s="6">
        <f>Summary!K6</f>
        <v/>
      </c>
      <c r="L6" s="6">
        <f>Summary!L6</f>
        <v/>
      </c>
      <c r="M6" s="6">
        <f>Summary!M6</f>
        <v/>
      </c>
      <c r="N6" s="6">
        <f>Summary!N6</f>
        <v/>
      </c>
      <c r="O6" s="6">
        <f>Summary!O6</f>
        <v/>
      </c>
      <c r="P6" s="6">
        <f>Summary!P6</f>
        <v/>
      </c>
      <c r="Q6" s="6">
        <f>Summary!Q6</f>
        <v/>
      </c>
      <c r="R6" s="6">
        <f>Summary!R6</f>
        <v/>
      </c>
      <c r="S6" s="6">
        <f>Summary!S6</f>
        <v/>
      </c>
      <c r="T6" s="6">
        <f>Summary!T6</f>
        <v/>
      </c>
      <c r="U6" s="6">
        <f>Summary!U6</f>
        <v/>
      </c>
      <c r="V6" s="6">
        <f>Summary!V6</f>
        <v/>
      </c>
      <c r="W6" s="6">
        <f>Summary!W6</f>
        <v/>
      </c>
      <c r="X6" s="6">
        <f>Summary!X6</f>
        <v/>
      </c>
      <c r="Y6" s="6">
        <f>Summary!Y6</f>
        <v/>
      </c>
      <c r="Z6" s="6">
        <f>Summary!Z6</f>
        <v/>
      </c>
      <c r="AA6" s="6">
        <f>Summary!AA6</f>
        <v/>
      </c>
      <c r="AB6" s="6">
        <f>SUM(D6:AA6)</f>
        <v/>
      </c>
      <c r="AC6" s="3" t="inlineStr"/>
      <c r="AD6" s="7">
        <f>E6*0.001117515+D6*0.001117515</f>
        <v/>
      </c>
      <c r="AE6" s="7">
        <f>F6*0.001117515+E6*0.001117515</f>
        <v/>
      </c>
      <c r="AF6" s="7">
        <f>G6*0.001117515+F6*0.001117515</f>
        <v/>
      </c>
      <c r="AG6" s="7">
        <f>H6*0.001117515+G6*0.001117515</f>
        <v/>
      </c>
      <c r="AH6" s="7">
        <f>I6*0.001117515+H6*0.001117515</f>
        <v/>
      </c>
      <c r="AI6" s="7">
        <f>J6*0.001117515+I6*0.001117515</f>
        <v/>
      </c>
      <c r="AJ6" s="7">
        <f>K6*0.001117515+J6*0.001117515</f>
        <v/>
      </c>
      <c r="AK6" s="7">
        <f>L6*0.001117515+K6*0.001117515</f>
        <v/>
      </c>
      <c r="AL6" s="7">
        <f>M6*0.001117515+L6*0.001117515</f>
        <v/>
      </c>
      <c r="AM6" s="7">
        <f>N6*0.001117515+M6*0.001117515</f>
        <v/>
      </c>
      <c r="AN6" s="7">
        <f>O6*0.001117515+N6*0.001117515</f>
        <v/>
      </c>
      <c r="AO6" s="7">
        <f>P6*0.001117515+O6*0.001117515</f>
        <v/>
      </c>
      <c r="AP6" s="7">
        <f>Q6*0.001117515+P6*0.001117515</f>
        <v/>
      </c>
      <c r="AQ6" s="7">
        <f>R6*0.001117515+Q6*0.001117515</f>
        <v/>
      </c>
      <c r="AR6" s="7">
        <f>S6*0.001117515+R6*0.001117515</f>
        <v/>
      </c>
      <c r="AS6" s="7">
        <f>T6*0.001117515+S6*0.001117515</f>
        <v/>
      </c>
      <c r="AT6" s="7">
        <f>U6*0.001117515+T6*0.001117515</f>
        <v/>
      </c>
      <c r="AU6" s="7">
        <f>V6*0.001117515+U6*0.001117515</f>
        <v/>
      </c>
      <c r="AV6" s="7">
        <f>W6*0.001117515+V6*0.001117515</f>
        <v/>
      </c>
      <c r="AW6" s="7">
        <f>X6*0.001117515+W6*0.001117515</f>
        <v/>
      </c>
      <c r="AX6" s="7">
        <f>Y6*0.001117515+X6*0.001117515</f>
        <v/>
      </c>
      <c r="AY6" s="7">
        <f>Z6*0.001117515+Y6*0.001117515</f>
        <v/>
      </c>
      <c r="AZ6" s="7">
        <f>AA6*0.001117515+Z6*0.001117515</f>
        <v/>
      </c>
      <c r="BA6" s="7">
        <f>D6*0.001117515+AA6*0.001117515</f>
        <v/>
      </c>
      <c r="BB6" s="7">
        <f>SUM(AD6:BA6)</f>
        <v/>
      </c>
    </row>
    <row r="7">
      <c r="A7" t="inlineStr">
        <is>
          <t>AMD-AIR-NEW-SSC</t>
        </is>
      </c>
      <c r="B7" t="inlineStr">
        <is>
          <t>Forward Regular OSC</t>
        </is>
      </c>
      <c r="C7" s="5" t="n">
        <v>46101</v>
      </c>
      <c r="D7" s="6">
        <f>Summary!D7</f>
        <v/>
      </c>
      <c r="E7" s="6">
        <f>Summary!E7</f>
        <v/>
      </c>
      <c r="F7" s="6">
        <f>Summary!F7</f>
        <v/>
      </c>
      <c r="G7" s="6">
        <f>Summary!G7</f>
        <v/>
      </c>
      <c r="H7" s="6">
        <f>Summary!H7</f>
        <v/>
      </c>
      <c r="I7" s="6">
        <f>Summary!I7</f>
        <v/>
      </c>
      <c r="J7" s="6">
        <f>Summary!J7</f>
        <v/>
      </c>
      <c r="K7" s="6">
        <f>Summary!K7</f>
        <v/>
      </c>
      <c r="L7" s="6">
        <f>Summary!L7</f>
        <v/>
      </c>
      <c r="M7" s="6">
        <f>Summary!M7</f>
        <v/>
      </c>
      <c r="N7" s="6">
        <f>Summary!N7</f>
        <v/>
      </c>
      <c r="O7" s="6">
        <f>Summary!O7</f>
        <v/>
      </c>
      <c r="P7" s="6">
        <f>Summary!P7</f>
        <v/>
      </c>
      <c r="Q7" s="6">
        <f>Summary!Q7</f>
        <v/>
      </c>
      <c r="R7" s="6">
        <f>Summary!R7</f>
        <v/>
      </c>
      <c r="S7" s="6">
        <f>Summary!S7</f>
        <v/>
      </c>
      <c r="T7" s="6">
        <f>Summary!T7</f>
        <v/>
      </c>
      <c r="U7" s="6">
        <f>Summary!U7</f>
        <v/>
      </c>
      <c r="V7" s="6">
        <f>Summary!V7</f>
        <v/>
      </c>
      <c r="W7" s="6">
        <f>Summary!W7</f>
        <v/>
      </c>
      <c r="X7" s="6">
        <f>Summary!X7</f>
        <v/>
      </c>
      <c r="Y7" s="6">
        <f>Summary!Y7</f>
        <v/>
      </c>
      <c r="Z7" s="6">
        <f>Summary!Z7</f>
        <v/>
      </c>
      <c r="AA7" s="6">
        <f>Summary!AA7</f>
        <v/>
      </c>
      <c r="AB7" s="6">
        <f>SUM(D7:AA7)</f>
        <v/>
      </c>
      <c r="AC7" s="3" t="inlineStr"/>
      <c r="AD7" s="7">
        <f>E7*0.001117515+D7*0.001117515</f>
        <v/>
      </c>
      <c r="AE7" s="7">
        <f>F7*0.001117515+E7*0.001117515</f>
        <v/>
      </c>
      <c r="AF7" s="7">
        <f>G7*0.001117515+F7*0.001117515</f>
        <v/>
      </c>
      <c r="AG7" s="7">
        <f>H7*0.001117515+G7*0.001117515</f>
        <v/>
      </c>
      <c r="AH7" s="7">
        <f>I7*0.001117515+H7*0.001117515</f>
        <v/>
      </c>
      <c r="AI7" s="7">
        <f>J7*0.001117515+I7*0.001117515</f>
        <v/>
      </c>
      <c r="AJ7" s="7">
        <f>K7*0.001117515+J7*0.001117515</f>
        <v/>
      </c>
      <c r="AK7" s="7">
        <f>L7*0.001117515+K7*0.001117515</f>
        <v/>
      </c>
      <c r="AL7" s="7">
        <f>M7*0.001117515+L7*0.001117515</f>
        <v/>
      </c>
      <c r="AM7" s="7">
        <f>N7*0.001117515+M7*0.001117515</f>
        <v/>
      </c>
      <c r="AN7" s="7">
        <f>O7*0.001117515+N7*0.001117515</f>
        <v/>
      </c>
      <c r="AO7" s="7">
        <f>P7*0.001117515+O7*0.001117515</f>
        <v/>
      </c>
      <c r="AP7" s="7">
        <f>Q7*0.001117515+P7*0.001117515</f>
        <v/>
      </c>
      <c r="AQ7" s="7">
        <f>R7*0.001117515+Q7*0.001117515</f>
        <v/>
      </c>
      <c r="AR7" s="7">
        <f>S7*0.001117515+R7*0.001117515</f>
        <v/>
      </c>
      <c r="AS7" s="7">
        <f>T7*0.001117515+S7*0.001117515</f>
        <v/>
      </c>
      <c r="AT7" s="7">
        <f>U7*0.001117515+T7*0.001117515</f>
        <v/>
      </c>
      <c r="AU7" s="7">
        <f>V7*0.001117515+U7*0.001117515</f>
        <v/>
      </c>
      <c r="AV7" s="7">
        <f>W7*0.001117515+V7*0.001117515</f>
        <v/>
      </c>
      <c r="AW7" s="7">
        <f>X7*0.001117515+W7*0.001117515</f>
        <v/>
      </c>
      <c r="AX7" s="7">
        <f>Y7*0.001117515+X7*0.001117515</f>
        <v/>
      </c>
      <c r="AY7" s="7">
        <f>Z7*0.001117515+Y7*0.001117515</f>
        <v/>
      </c>
      <c r="AZ7" s="7">
        <f>AA7*0.001117515+Z7*0.001117515</f>
        <v/>
      </c>
      <c r="BA7" s="7">
        <f>D7*0.001117515+AA7*0.001117515</f>
        <v/>
      </c>
      <c r="BB7" s="7">
        <f>SUM(AD7:BA7)</f>
        <v/>
      </c>
    </row>
    <row r="8">
      <c r="A8" t="inlineStr">
        <is>
          <t>AMD-AIR-NEW-SSC</t>
        </is>
      </c>
      <c r="B8" t="inlineStr">
        <is>
          <t>Forward Regular OSC</t>
        </is>
      </c>
      <c r="C8" s="5" t="n">
        <v>46102</v>
      </c>
      <c r="D8" s="6">
        <f>Summary!D8</f>
        <v/>
      </c>
      <c r="E8" s="6">
        <f>Summary!E8</f>
        <v/>
      </c>
      <c r="F8" s="6">
        <f>Summary!F8</f>
        <v/>
      </c>
      <c r="G8" s="6">
        <f>Summary!G8</f>
        <v/>
      </c>
      <c r="H8" s="6">
        <f>Summary!H8</f>
        <v/>
      </c>
      <c r="I8" s="6">
        <f>Summary!I8</f>
        <v/>
      </c>
      <c r="J8" s="6">
        <f>Summary!J8</f>
        <v/>
      </c>
      <c r="K8" s="6">
        <f>Summary!K8</f>
        <v/>
      </c>
      <c r="L8" s="6">
        <f>Summary!L8</f>
        <v/>
      </c>
      <c r="M8" s="6">
        <f>Summary!M8</f>
        <v/>
      </c>
      <c r="N8" s="6">
        <f>Summary!N8</f>
        <v/>
      </c>
      <c r="O8" s="6">
        <f>Summary!O8</f>
        <v/>
      </c>
      <c r="P8" s="6">
        <f>Summary!P8</f>
        <v/>
      </c>
      <c r="Q8" s="6">
        <f>Summary!Q8</f>
        <v/>
      </c>
      <c r="R8" s="6">
        <f>Summary!R8</f>
        <v/>
      </c>
      <c r="S8" s="6">
        <f>Summary!S8</f>
        <v/>
      </c>
      <c r="T8" s="6">
        <f>Summary!T8</f>
        <v/>
      </c>
      <c r="U8" s="6">
        <f>Summary!U8</f>
        <v/>
      </c>
      <c r="V8" s="6">
        <f>Summary!V8</f>
        <v/>
      </c>
      <c r="W8" s="6">
        <f>Summary!W8</f>
        <v/>
      </c>
      <c r="X8" s="6">
        <f>Summary!X8</f>
        <v/>
      </c>
      <c r="Y8" s="6">
        <f>Summary!Y8</f>
        <v/>
      </c>
      <c r="Z8" s="6">
        <f>Summary!Z8</f>
        <v/>
      </c>
      <c r="AA8" s="6">
        <f>Summary!AA8</f>
        <v/>
      </c>
      <c r="AB8" s="6">
        <f>SUM(D8:AA8)</f>
        <v/>
      </c>
      <c r="AC8" s="3" t="inlineStr"/>
      <c r="AD8" s="7">
        <f>E8*0.001117515+D8*0.001117515</f>
        <v/>
      </c>
      <c r="AE8" s="7">
        <f>F8*0.001117515+E8*0.001117515</f>
        <v/>
      </c>
      <c r="AF8" s="7">
        <f>G8*0.001117515+F8*0.001117515</f>
        <v/>
      </c>
      <c r="AG8" s="7">
        <f>H8*0.001117515+G8*0.001117515</f>
        <v/>
      </c>
      <c r="AH8" s="7">
        <f>I8*0.001117515+H8*0.001117515</f>
        <v/>
      </c>
      <c r="AI8" s="7">
        <f>J8*0.001117515+I8*0.001117515</f>
        <v/>
      </c>
      <c r="AJ8" s="7">
        <f>K8*0.001117515+J8*0.001117515</f>
        <v/>
      </c>
      <c r="AK8" s="7">
        <f>L8*0.001117515+K8*0.001117515</f>
        <v/>
      </c>
      <c r="AL8" s="7">
        <f>M8*0.001117515+L8*0.001117515</f>
        <v/>
      </c>
      <c r="AM8" s="7">
        <f>N8*0.001117515+M8*0.001117515</f>
        <v/>
      </c>
      <c r="AN8" s="7">
        <f>O8*0.001117515+N8*0.001117515</f>
        <v/>
      </c>
      <c r="AO8" s="7">
        <f>P8*0.001117515+O8*0.001117515</f>
        <v/>
      </c>
      <c r="AP8" s="7">
        <f>Q8*0.001117515+P8*0.001117515</f>
        <v/>
      </c>
      <c r="AQ8" s="7">
        <f>R8*0.001117515+Q8*0.001117515</f>
        <v/>
      </c>
      <c r="AR8" s="7">
        <f>S8*0.001117515+R8*0.001117515</f>
        <v/>
      </c>
      <c r="AS8" s="7">
        <f>T8*0.001117515+S8*0.001117515</f>
        <v/>
      </c>
      <c r="AT8" s="7">
        <f>U8*0.001117515+T8*0.001117515</f>
        <v/>
      </c>
      <c r="AU8" s="7">
        <f>V8*0.001117515+U8*0.001117515</f>
        <v/>
      </c>
      <c r="AV8" s="7">
        <f>W8*0.001117515+V8*0.001117515</f>
        <v/>
      </c>
      <c r="AW8" s="7">
        <f>X8*0.001117515+W8*0.001117515</f>
        <v/>
      </c>
      <c r="AX8" s="7">
        <f>Y8*0.001117515+X8*0.001117515</f>
        <v/>
      </c>
      <c r="AY8" s="7">
        <f>Z8*0.001117515+Y8*0.001117515</f>
        <v/>
      </c>
      <c r="AZ8" s="7">
        <f>AA8*0.001117515+Z8*0.001117515</f>
        <v/>
      </c>
      <c r="BA8" s="7">
        <f>D8*0.001117515+AA8*0.001117515</f>
        <v/>
      </c>
      <c r="BB8" s="7">
        <f>SUM(AD8:BA8)</f>
        <v/>
      </c>
    </row>
    <row r="9">
      <c r="A9" t="inlineStr">
        <is>
          <t>AMD-AIR-NEW-SSC</t>
        </is>
      </c>
      <c r="B9" t="inlineStr">
        <is>
          <t>Forward Regular OSC</t>
        </is>
      </c>
      <c r="C9" s="5" t="n">
        <v>46103</v>
      </c>
      <c r="D9" s="6">
        <f>Summary!D9</f>
        <v/>
      </c>
      <c r="E9" s="6">
        <f>Summary!E9</f>
        <v/>
      </c>
      <c r="F9" s="6">
        <f>Summary!F9</f>
        <v/>
      </c>
      <c r="G9" s="6">
        <f>Summary!G9</f>
        <v/>
      </c>
      <c r="H9" s="6">
        <f>Summary!H9</f>
        <v/>
      </c>
      <c r="I9" s="6">
        <f>Summary!I9</f>
        <v/>
      </c>
      <c r="J9" s="6">
        <f>Summary!J9</f>
        <v/>
      </c>
      <c r="K9" s="6">
        <f>Summary!K9</f>
        <v/>
      </c>
      <c r="L9" s="6">
        <f>Summary!L9</f>
        <v/>
      </c>
      <c r="M9" s="6">
        <f>Summary!M9</f>
        <v/>
      </c>
      <c r="N9" s="6">
        <f>Summary!N9</f>
        <v/>
      </c>
      <c r="O9" s="6">
        <f>Summary!O9</f>
        <v/>
      </c>
      <c r="P9" s="6">
        <f>Summary!P9</f>
        <v/>
      </c>
      <c r="Q9" s="6">
        <f>Summary!Q9</f>
        <v/>
      </c>
      <c r="R9" s="6">
        <f>Summary!R9</f>
        <v/>
      </c>
      <c r="S9" s="6">
        <f>Summary!S9</f>
        <v/>
      </c>
      <c r="T9" s="6">
        <f>Summary!T9</f>
        <v/>
      </c>
      <c r="U9" s="6">
        <f>Summary!U9</f>
        <v/>
      </c>
      <c r="V9" s="6">
        <f>Summary!V9</f>
        <v/>
      </c>
      <c r="W9" s="6">
        <f>Summary!W9</f>
        <v/>
      </c>
      <c r="X9" s="6">
        <f>Summary!X9</f>
        <v/>
      </c>
      <c r="Y9" s="6">
        <f>Summary!Y9</f>
        <v/>
      </c>
      <c r="Z9" s="6">
        <f>Summary!Z9</f>
        <v/>
      </c>
      <c r="AA9" s="6">
        <f>Summary!AA9</f>
        <v/>
      </c>
      <c r="AB9" s="6">
        <f>SUM(D9:AA9)</f>
        <v/>
      </c>
      <c r="AC9" s="3" t="inlineStr"/>
      <c r="AD9" s="7">
        <f>E9*0.001117515+D9*0.001117515</f>
        <v/>
      </c>
      <c r="AE9" s="7">
        <f>F9*0.001117515+E9*0.001117515</f>
        <v/>
      </c>
      <c r="AF9" s="7">
        <f>G9*0.001117515+F9*0.001117515</f>
        <v/>
      </c>
      <c r="AG9" s="7">
        <f>H9*0.001117515+G9*0.001117515</f>
        <v/>
      </c>
      <c r="AH9" s="7">
        <f>I9*0.001117515+H9*0.001117515</f>
        <v/>
      </c>
      <c r="AI9" s="7">
        <f>J9*0.001117515+I9*0.001117515</f>
        <v/>
      </c>
      <c r="AJ9" s="7">
        <f>K9*0.001117515+J9*0.001117515</f>
        <v/>
      </c>
      <c r="AK9" s="7">
        <f>L9*0.001117515+K9*0.001117515</f>
        <v/>
      </c>
      <c r="AL9" s="7">
        <f>M9*0.001117515+L9*0.001117515</f>
        <v/>
      </c>
      <c r="AM9" s="7">
        <f>N9*0.001117515+M9*0.001117515</f>
        <v/>
      </c>
      <c r="AN9" s="7">
        <f>O9*0.001117515+N9*0.001117515</f>
        <v/>
      </c>
      <c r="AO9" s="7">
        <f>P9*0.001117515+O9*0.001117515</f>
        <v/>
      </c>
      <c r="AP9" s="7">
        <f>Q9*0.001117515+P9*0.001117515</f>
        <v/>
      </c>
      <c r="AQ9" s="7">
        <f>R9*0.001117515+Q9*0.001117515</f>
        <v/>
      </c>
      <c r="AR9" s="7">
        <f>S9*0.001117515+R9*0.001117515</f>
        <v/>
      </c>
      <c r="AS9" s="7">
        <f>T9*0.001117515+S9*0.001117515</f>
        <v/>
      </c>
      <c r="AT9" s="7">
        <f>U9*0.001117515+T9*0.001117515</f>
        <v/>
      </c>
      <c r="AU9" s="7">
        <f>V9*0.001117515+U9*0.001117515</f>
        <v/>
      </c>
      <c r="AV9" s="7">
        <f>W9*0.001117515+V9*0.001117515</f>
        <v/>
      </c>
      <c r="AW9" s="7">
        <f>X9*0.001117515+W9*0.001117515</f>
        <v/>
      </c>
      <c r="AX9" s="7">
        <f>Y9*0.001117515+X9*0.001117515</f>
        <v/>
      </c>
      <c r="AY9" s="7">
        <f>Z9*0.001117515+Y9*0.001117515</f>
        <v/>
      </c>
      <c r="AZ9" s="7">
        <f>AA9*0.001117515+Z9*0.001117515</f>
        <v/>
      </c>
      <c r="BA9" s="7">
        <f>D9*0.001117515+AA9*0.001117515</f>
        <v/>
      </c>
      <c r="BB9" s="7">
        <f>SUM(AD9:BA9)</f>
        <v/>
      </c>
    </row>
    <row r="10">
      <c r="A10" t="inlineStr">
        <is>
          <t>AMD-AIR-NEW-SSC</t>
        </is>
      </c>
      <c r="B10" t="inlineStr">
        <is>
          <t>Forward Regular OSC</t>
        </is>
      </c>
      <c r="C10" s="5" t="n">
        <v>46104</v>
      </c>
      <c r="D10" s="6">
        <f>Summary!D10</f>
        <v/>
      </c>
      <c r="E10" s="6">
        <f>Summary!E10</f>
        <v/>
      </c>
      <c r="F10" s="6">
        <f>Summary!F10</f>
        <v/>
      </c>
      <c r="G10" s="6">
        <f>Summary!G10</f>
        <v/>
      </c>
      <c r="H10" s="6">
        <f>Summary!H10</f>
        <v/>
      </c>
      <c r="I10" s="6">
        <f>Summary!I10</f>
        <v/>
      </c>
      <c r="J10" s="6">
        <f>Summary!J10</f>
        <v/>
      </c>
      <c r="K10" s="6">
        <f>Summary!K10</f>
        <v/>
      </c>
      <c r="L10" s="6">
        <f>Summary!L10</f>
        <v/>
      </c>
      <c r="M10" s="6">
        <f>Summary!M10</f>
        <v/>
      </c>
      <c r="N10" s="6">
        <f>Summary!N10</f>
        <v/>
      </c>
      <c r="O10" s="6">
        <f>Summary!O10</f>
        <v/>
      </c>
      <c r="P10" s="6">
        <f>Summary!P10</f>
        <v/>
      </c>
      <c r="Q10" s="6">
        <f>Summary!Q10</f>
        <v/>
      </c>
      <c r="R10" s="6">
        <f>Summary!R10</f>
        <v/>
      </c>
      <c r="S10" s="6">
        <f>Summary!S10</f>
        <v/>
      </c>
      <c r="T10" s="6">
        <f>Summary!T10</f>
        <v/>
      </c>
      <c r="U10" s="6">
        <f>Summary!U10</f>
        <v/>
      </c>
      <c r="V10" s="6">
        <f>Summary!V10</f>
        <v/>
      </c>
      <c r="W10" s="6">
        <f>Summary!W10</f>
        <v/>
      </c>
      <c r="X10" s="6">
        <f>Summary!X10</f>
        <v/>
      </c>
      <c r="Y10" s="6">
        <f>Summary!Y10</f>
        <v/>
      </c>
      <c r="Z10" s="6">
        <f>Summary!Z10</f>
        <v/>
      </c>
      <c r="AA10" s="6">
        <f>Summary!AA10</f>
        <v/>
      </c>
      <c r="AB10" s="6">
        <f>SUM(D10:AA10)</f>
        <v/>
      </c>
      <c r="AC10" s="3" t="inlineStr"/>
      <c r="AD10" s="7">
        <f>E10*0.001117515+D10*0.001117515</f>
        <v/>
      </c>
      <c r="AE10" s="7">
        <f>F10*0.001117515+E10*0.001117515</f>
        <v/>
      </c>
      <c r="AF10" s="7">
        <f>G10*0.001117515+F10*0.001117515</f>
        <v/>
      </c>
      <c r="AG10" s="7">
        <f>H10*0.001117515+G10*0.001117515</f>
        <v/>
      </c>
      <c r="AH10" s="7">
        <f>I10*0.001117515+H10*0.001117515</f>
        <v/>
      </c>
      <c r="AI10" s="7">
        <f>J10*0.001117515+I10*0.001117515</f>
        <v/>
      </c>
      <c r="AJ10" s="7">
        <f>K10*0.001117515+J10*0.001117515</f>
        <v/>
      </c>
      <c r="AK10" s="7">
        <f>L10*0.001117515+K10*0.001117515</f>
        <v/>
      </c>
      <c r="AL10" s="7">
        <f>M10*0.001117515+L10*0.001117515</f>
        <v/>
      </c>
      <c r="AM10" s="7">
        <f>N10*0.001117515+M10*0.001117515</f>
        <v/>
      </c>
      <c r="AN10" s="7">
        <f>O10*0.001117515+N10*0.001117515</f>
        <v/>
      </c>
      <c r="AO10" s="7">
        <f>P10*0.001117515+O10*0.001117515</f>
        <v/>
      </c>
      <c r="AP10" s="7">
        <f>Q10*0.001117515+P10*0.001117515</f>
        <v/>
      </c>
      <c r="AQ10" s="7">
        <f>R10*0.001117515+Q10*0.001117515</f>
        <v/>
      </c>
      <c r="AR10" s="7">
        <f>S10*0.001117515+R10*0.001117515</f>
        <v/>
      </c>
      <c r="AS10" s="7">
        <f>T10*0.001117515+S10*0.001117515</f>
        <v/>
      </c>
      <c r="AT10" s="7">
        <f>U10*0.001117515+T10*0.001117515</f>
        <v/>
      </c>
      <c r="AU10" s="7">
        <f>V10*0.001117515+U10*0.001117515</f>
        <v/>
      </c>
      <c r="AV10" s="7">
        <f>W10*0.001117515+V10*0.001117515</f>
        <v/>
      </c>
      <c r="AW10" s="7">
        <f>X10*0.001117515+W10*0.001117515</f>
        <v/>
      </c>
      <c r="AX10" s="7">
        <f>Y10*0.001117515+X10*0.001117515</f>
        <v/>
      </c>
      <c r="AY10" s="7">
        <f>Z10*0.001117515+Y10*0.001117515</f>
        <v/>
      </c>
      <c r="AZ10" s="7">
        <f>AA10*0.001117515+Z10*0.001117515</f>
        <v/>
      </c>
      <c r="BA10" s="7">
        <f>D10*0.001117515+AA10*0.001117515</f>
        <v/>
      </c>
      <c r="BB10" s="7">
        <f>SUM(AD10:BA10)</f>
        <v/>
      </c>
    </row>
    <row r="11">
      <c r="A11" t="inlineStr">
        <is>
          <t>AMD-EXPR</t>
        </is>
      </c>
      <c r="B11" t="inlineStr">
        <is>
          <t>DSC Manual</t>
        </is>
      </c>
      <c r="C11" s="5" t="n">
        <v>46089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>
        <f>SUM(D11:AA11)</f>
        <v/>
      </c>
      <c r="AC11" s="3" t="inlineStr"/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0</v>
      </c>
      <c r="AP11" s="7" t="n">
        <v>0</v>
      </c>
      <c r="AQ11" s="7" t="n">
        <v>0</v>
      </c>
      <c r="AR11" s="7" t="n">
        <v>0</v>
      </c>
      <c r="AS11" s="7" t="n">
        <v>0</v>
      </c>
      <c r="AT11" s="7" t="n">
        <v>0</v>
      </c>
      <c r="AU11" s="7" t="n">
        <v>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0</v>
      </c>
      <c r="BA11" s="7" t="n">
        <v>0</v>
      </c>
      <c r="BB11" s="7">
        <f>SUM(AD11:BA11)</f>
        <v/>
      </c>
    </row>
    <row r="12">
      <c r="A12" t="inlineStr">
        <is>
          <t>AMD-EXPR</t>
        </is>
      </c>
      <c r="B12" t="inlineStr">
        <is>
          <t>DSC Manual</t>
        </is>
      </c>
      <c r="C12" s="5" t="n">
        <v>46090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>
        <f>SUM(D12:AA12)</f>
        <v/>
      </c>
      <c r="AC12" s="3" t="inlineStr"/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0</v>
      </c>
      <c r="AT12" s="7" t="n">
        <v>0</v>
      </c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0</v>
      </c>
      <c r="BA12" s="7" t="n">
        <v>0</v>
      </c>
      <c r="BB12" s="7">
        <f>SUM(AD12:BA12)</f>
        <v/>
      </c>
    </row>
    <row r="13">
      <c r="A13" t="inlineStr">
        <is>
          <t>AMD-EXPR</t>
        </is>
      </c>
      <c r="B13" t="inlineStr">
        <is>
          <t>DSC Manual</t>
        </is>
      </c>
      <c r="C13" s="5" t="n">
        <v>46091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>
        <f>SUM(D13:AA13)</f>
        <v/>
      </c>
      <c r="AC13" s="3" t="inlineStr"/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0</v>
      </c>
      <c r="AP13" s="7" t="n">
        <v>0</v>
      </c>
      <c r="AQ13" s="7" t="n">
        <v>0</v>
      </c>
      <c r="AR13" s="7" t="n">
        <v>0</v>
      </c>
      <c r="AS13" s="7" t="n">
        <v>0</v>
      </c>
      <c r="AT13" s="7" t="n">
        <v>0</v>
      </c>
      <c r="AU13" s="7" t="n">
        <v>0</v>
      </c>
      <c r="AV13" s="7" t="n">
        <v>0</v>
      </c>
      <c r="AW13" s="7" t="n">
        <v>0</v>
      </c>
      <c r="AX13" s="7" t="n">
        <v>0</v>
      </c>
      <c r="AY13" s="7" t="n">
        <v>0</v>
      </c>
      <c r="AZ13" s="7" t="n">
        <v>0</v>
      </c>
      <c r="BA13" s="7" t="n">
        <v>0</v>
      </c>
      <c r="BB13" s="7">
        <f>SUM(AD13:BA13)</f>
        <v/>
      </c>
    </row>
    <row r="14">
      <c r="A14" t="inlineStr">
        <is>
          <t>AMD-EXPR</t>
        </is>
      </c>
      <c r="B14" t="inlineStr">
        <is>
          <t>DSC Manual</t>
        </is>
      </c>
      <c r="C14" s="5" t="n">
        <v>46092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>
        <f>SUM(D14:AA14)</f>
        <v/>
      </c>
      <c r="AC14" s="3" t="inlineStr"/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0</v>
      </c>
      <c r="AP14" s="7" t="n">
        <v>0</v>
      </c>
      <c r="AQ14" s="7" t="n">
        <v>0</v>
      </c>
      <c r="AR14" s="7" t="n">
        <v>0</v>
      </c>
      <c r="AS14" s="7" t="n">
        <v>0</v>
      </c>
      <c r="AT14" s="7" t="n">
        <v>0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0</v>
      </c>
      <c r="BA14" s="7" t="n">
        <v>0</v>
      </c>
      <c r="BB14" s="7">
        <f>SUM(AD14:BA14)</f>
        <v/>
      </c>
    </row>
    <row r="15">
      <c r="A15" t="inlineStr">
        <is>
          <t>AMD-EXPR</t>
        </is>
      </c>
      <c r="B15" t="inlineStr">
        <is>
          <t>DSC Manual</t>
        </is>
      </c>
      <c r="C15" s="5" t="n">
        <v>46093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  <c r="AB15" s="6">
        <f>SUM(D15:AA15)</f>
        <v/>
      </c>
      <c r="AC15" s="3" t="inlineStr"/>
      <c r="AD15" s="7" t="n">
        <v>0</v>
      </c>
      <c r="AE15" s="7" t="n">
        <v>0</v>
      </c>
      <c r="AF15" s="7" t="n">
        <v>0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0</v>
      </c>
      <c r="AL15" s="7" t="n">
        <v>0</v>
      </c>
      <c r="AM15" s="7" t="n">
        <v>0</v>
      </c>
      <c r="AN15" s="7" t="n">
        <v>0</v>
      </c>
      <c r="AO15" s="7" t="n">
        <v>0</v>
      </c>
      <c r="AP15" s="7" t="n">
        <v>0</v>
      </c>
      <c r="AQ15" s="7" t="n">
        <v>0</v>
      </c>
      <c r="AR15" s="7" t="n">
        <v>0</v>
      </c>
      <c r="AS15" s="7" t="n">
        <v>0</v>
      </c>
      <c r="AT15" s="7" t="n">
        <v>0</v>
      </c>
      <c r="AU15" s="7" t="n">
        <v>0</v>
      </c>
      <c r="AV15" s="7" t="n">
        <v>0</v>
      </c>
      <c r="AW15" s="7" t="n">
        <v>0</v>
      </c>
      <c r="AX15" s="7" t="n">
        <v>0</v>
      </c>
      <c r="AY15" s="7" t="n">
        <v>0</v>
      </c>
      <c r="AZ15" s="7" t="n">
        <v>0</v>
      </c>
      <c r="BA15" s="7" t="n">
        <v>0</v>
      </c>
      <c r="BB15" s="7">
        <f>SUM(AD15:BA15)</f>
        <v/>
      </c>
    </row>
    <row r="16">
      <c r="A16" t="inlineStr">
        <is>
          <t>AMD-EXPR</t>
        </is>
      </c>
      <c r="B16" t="inlineStr">
        <is>
          <t>DSC Manual</t>
        </is>
      </c>
      <c r="C16" s="5" t="n">
        <v>46094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  <c r="AB16" s="6">
        <f>SUM(D16:AA16)</f>
        <v/>
      </c>
      <c r="AC16" s="3" t="inlineStr"/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0</v>
      </c>
      <c r="AS16" s="7" t="n">
        <v>0</v>
      </c>
      <c r="AT16" s="7" t="n">
        <v>0</v>
      </c>
      <c r="AU16" s="7" t="n">
        <v>0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0</v>
      </c>
      <c r="BA16" s="7" t="n">
        <v>0</v>
      </c>
      <c r="BB16" s="7">
        <f>SUM(AD16:BA16)</f>
        <v/>
      </c>
    </row>
    <row r="17">
      <c r="A17" t="inlineStr">
        <is>
          <t>AMD-EXPR</t>
        </is>
      </c>
      <c r="B17" t="inlineStr">
        <is>
          <t>DSC Manual</t>
        </is>
      </c>
      <c r="C17" s="5" t="n">
        <v>46095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6">
        <f>SUM(D17:AA17)</f>
        <v/>
      </c>
      <c r="AC17" s="3" t="inlineStr"/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0</v>
      </c>
      <c r="AI17" s="7" t="n">
        <v>0</v>
      </c>
      <c r="AJ17" s="7" t="n">
        <v>0</v>
      </c>
      <c r="AK17" s="7" t="n">
        <v>0</v>
      </c>
      <c r="AL17" s="7" t="n">
        <v>0</v>
      </c>
      <c r="AM17" s="7" t="n">
        <v>0</v>
      </c>
      <c r="AN17" s="7" t="n">
        <v>0</v>
      </c>
      <c r="AO17" s="7" t="n">
        <v>0</v>
      </c>
      <c r="AP17" s="7" t="n">
        <v>0</v>
      </c>
      <c r="AQ17" s="7" t="n">
        <v>0</v>
      </c>
      <c r="AR17" s="7" t="n">
        <v>0</v>
      </c>
      <c r="AS17" s="7" t="n">
        <v>0</v>
      </c>
      <c r="AT17" s="7" t="n">
        <v>0</v>
      </c>
      <c r="AU17" s="7" t="n">
        <v>0</v>
      </c>
      <c r="AV17" s="7" t="n">
        <v>0</v>
      </c>
      <c r="AW17" s="7" t="n">
        <v>0</v>
      </c>
      <c r="AX17" s="7" t="n">
        <v>0</v>
      </c>
      <c r="AY17" s="7" t="n">
        <v>0</v>
      </c>
      <c r="AZ17" s="7" t="n">
        <v>0</v>
      </c>
      <c r="BA17" s="7" t="n">
        <v>0</v>
      </c>
      <c r="BB17" s="7">
        <f>SUM(AD17:BA17)</f>
        <v/>
      </c>
    </row>
    <row r="18">
      <c r="A18" t="inlineStr">
        <is>
          <t>AMD-EXPR</t>
        </is>
      </c>
      <c r="B18" t="inlineStr">
        <is>
          <t>DSC Manual</t>
        </is>
      </c>
      <c r="C18" s="5" t="n">
        <v>46096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  <c r="AB18" s="6">
        <f>SUM(D18:AA18)</f>
        <v/>
      </c>
      <c r="AC18" s="3" t="inlineStr"/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0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0</v>
      </c>
      <c r="BA18" s="7" t="n">
        <v>0</v>
      </c>
      <c r="BB18" s="7">
        <f>SUM(AD18:BA18)</f>
        <v/>
      </c>
    </row>
    <row r="19">
      <c r="A19" t="inlineStr">
        <is>
          <t>AMD-EXPR</t>
        </is>
      </c>
      <c r="B19" t="inlineStr">
        <is>
          <t>DSC Manual</t>
        </is>
      </c>
      <c r="C19" s="5" t="n">
        <v>46097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>
        <f>SUM(D19:AA19)</f>
        <v/>
      </c>
      <c r="AC19" s="3" t="inlineStr"/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0</v>
      </c>
      <c r="AR19" s="7" t="n">
        <v>0</v>
      </c>
      <c r="AS19" s="7" t="n">
        <v>0</v>
      </c>
      <c r="AT19" s="7" t="n">
        <v>0</v>
      </c>
      <c r="AU19" s="7" t="n">
        <v>0</v>
      </c>
      <c r="AV19" s="7" t="n">
        <v>0</v>
      </c>
      <c r="AW19" s="7" t="n">
        <v>0</v>
      </c>
      <c r="AX19" s="7" t="n">
        <v>0</v>
      </c>
      <c r="AY19" s="7" t="n">
        <v>0</v>
      </c>
      <c r="AZ19" s="7" t="n">
        <v>0</v>
      </c>
      <c r="BA19" s="7" t="n">
        <v>0</v>
      </c>
      <c r="BB19" s="7">
        <f>SUM(AD19:BA19)</f>
        <v/>
      </c>
    </row>
    <row r="20">
      <c r="A20" t="inlineStr">
        <is>
          <t>AMD-EXPR</t>
        </is>
      </c>
      <c r="B20" t="inlineStr">
        <is>
          <t>DSC Manual</t>
        </is>
      </c>
      <c r="C20" s="5" t="n">
        <v>46099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>
        <f>SUM(D20:AA20)</f>
        <v/>
      </c>
      <c r="AC20" s="3" t="inlineStr"/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0</v>
      </c>
      <c r="BA20" s="7" t="n">
        <v>0</v>
      </c>
      <c r="BB20" s="7">
        <f>SUM(AD20:BA20)</f>
        <v/>
      </c>
    </row>
    <row r="21">
      <c r="A21" t="inlineStr">
        <is>
          <t>AMD-EXPR</t>
        </is>
      </c>
      <c r="B21" t="inlineStr">
        <is>
          <t>DSC Manual</t>
        </is>
      </c>
      <c r="C21" s="5" t="n">
        <v>46100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>
        <f>SUM(D21:AA21)</f>
        <v/>
      </c>
      <c r="AC21" s="3" t="inlineStr"/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0</v>
      </c>
      <c r="AS21" s="7" t="n">
        <v>0</v>
      </c>
      <c r="AT21" s="7" t="n">
        <v>0</v>
      </c>
      <c r="AU21" s="7" t="n">
        <v>0</v>
      </c>
      <c r="AV21" s="7" t="n">
        <v>0</v>
      </c>
      <c r="AW21" s="7" t="n">
        <v>0</v>
      </c>
      <c r="AX21" s="7" t="n">
        <v>0</v>
      </c>
      <c r="AY21" s="7" t="n">
        <v>0</v>
      </c>
      <c r="AZ21" s="7" t="n">
        <v>0</v>
      </c>
      <c r="BA21" s="7" t="n">
        <v>0</v>
      </c>
      <c r="BB21" s="7">
        <f>SUM(AD21:BA21)</f>
        <v/>
      </c>
    </row>
    <row r="22">
      <c r="A22" t="inlineStr">
        <is>
          <t>AMD-EXPR</t>
        </is>
      </c>
      <c r="B22" t="inlineStr">
        <is>
          <t>DSC Manual</t>
        </is>
      </c>
      <c r="C22" s="5" t="n">
        <v>46102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>
        <f>SUM(D22:AA22)</f>
        <v/>
      </c>
      <c r="AC22" s="3" t="inlineStr"/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7" t="n">
        <v>0</v>
      </c>
      <c r="BB22" s="7">
        <f>SUM(AD22:BA22)</f>
        <v/>
      </c>
    </row>
    <row r="23">
      <c r="A23" t="inlineStr">
        <is>
          <t>AMD-EXPR</t>
        </is>
      </c>
      <c r="B23" t="inlineStr">
        <is>
          <t>DSC Manual</t>
        </is>
      </c>
      <c r="C23" s="5" t="n">
        <v>46103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>
        <f>SUM(D23:AA23)</f>
        <v/>
      </c>
      <c r="AC23" s="3" t="inlineStr"/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0</v>
      </c>
      <c r="BA23" s="7" t="n">
        <v>0</v>
      </c>
      <c r="BB23" s="7">
        <f>SUM(AD23:BA23)</f>
        <v/>
      </c>
    </row>
    <row r="24">
      <c r="A24" t="inlineStr">
        <is>
          <t>AMD-EXPR</t>
        </is>
      </c>
      <c r="B24" t="inlineStr">
        <is>
          <t>DSC Manual</t>
        </is>
      </c>
      <c r="C24" s="5" t="n">
        <v>46104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>
        <f>SUM(D24:AA24)</f>
        <v/>
      </c>
      <c r="AC24" s="3" t="inlineStr"/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0</v>
      </c>
      <c r="BA24" s="7" t="n">
        <v>0</v>
      </c>
      <c r="BB24" s="7">
        <f>SUM(AD24:BA24)</f>
        <v/>
      </c>
    </row>
    <row r="25">
      <c r="A25" t="inlineStr">
        <is>
          <t>AMD-EXPR</t>
        </is>
      </c>
      <c r="B25" t="inlineStr">
        <is>
          <t>DSC Manual</t>
        </is>
      </c>
      <c r="C25" s="5" t="n">
        <v>46105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>
        <f>SUM(D25:AA25)</f>
        <v/>
      </c>
      <c r="AC25" s="3" t="inlineStr"/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7" t="n">
        <v>0</v>
      </c>
      <c r="BB25" s="7">
        <f>SUM(AD25:BA25)</f>
        <v/>
      </c>
    </row>
    <row r="26">
      <c r="A26" t="inlineStr">
        <is>
          <t>AMD-FK-SSC</t>
        </is>
      </c>
      <c r="B26" t="inlineStr">
        <is>
          <t>Prime at Client side</t>
        </is>
      </c>
      <c r="C26" s="5" t="n">
        <v>46089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>
        <f>SUM(D26:AA26)</f>
        <v/>
      </c>
      <c r="AC26" s="3" t="inlineStr"/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7" t="n">
        <v>0</v>
      </c>
      <c r="BB26" s="7">
        <f>SUM(AD26:BA26)</f>
        <v/>
      </c>
    </row>
    <row r="27">
      <c r="A27" t="inlineStr">
        <is>
          <t>AMD-FK-SSC</t>
        </is>
      </c>
      <c r="B27" t="inlineStr">
        <is>
          <t>Prime at Client side</t>
        </is>
      </c>
      <c r="C27" s="5" t="n">
        <v>46090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>
        <f>SUM(D27:AA27)</f>
        <v/>
      </c>
      <c r="AC27" s="3" t="inlineStr"/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7" t="n">
        <v>0</v>
      </c>
      <c r="BB27" s="7">
        <f>SUM(AD27:BA27)</f>
        <v/>
      </c>
    </row>
    <row r="28">
      <c r="A28" t="inlineStr">
        <is>
          <t>AMD-FK-SSC</t>
        </is>
      </c>
      <c r="B28" t="inlineStr">
        <is>
          <t>Prime at Client side</t>
        </is>
      </c>
      <c r="C28" s="5" t="n">
        <v>46091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>
        <f>SUM(D28:AA28)</f>
        <v/>
      </c>
      <c r="AC28" s="3" t="inlineStr"/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7" t="n">
        <v>0</v>
      </c>
      <c r="BB28" s="7">
        <f>SUM(AD28:BA28)</f>
        <v/>
      </c>
    </row>
    <row r="29">
      <c r="A29" t="inlineStr">
        <is>
          <t>AMD-FK-SSC</t>
        </is>
      </c>
      <c r="B29" t="inlineStr">
        <is>
          <t>Prime at Client side</t>
        </is>
      </c>
      <c r="C29" s="5" t="n">
        <v>46092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>
        <f>SUM(D29:AA29)</f>
        <v/>
      </c>
      <c r="AC29" s="3" t="inlineStr"/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7" t="n">
        <v>0</v>
      </c>
      <c r="AQ29" s="7" t="n">
        <v>0</v>
      </c>
      <c r="AR29" s="7" t="n">
        <v>0</v>
      </c>
      <c r="AS29" s="7" t="n">
        <v>0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0</v>
      </c>
      <c r="BA29" s="7" t="n">
        <v>0</v>
      </c>
      <c r="BB29" s="7">
        <f>SUM(AD29:BA29)</f>
        <v/>
      </c>
    </row>
    <row r="30">
      <c r="A30" t="inlineStr">
        <is>
          <t>AMD-FK-SSC</t>
        </is>
      </c>
      <c r="B30" t="inlineStr">
        <is>
          <t>Prime at Client side</t>
        </is>
      </c>
      <c r="C30" s="5" t="n">
        <v>46093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>
        <f>SUM(D30:AA30)</f>
        <v/>
      </c>
      <c r="AC30" s="3" t="inlineStr"/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0</v>
      </c>
      <c r="AS30" s="7" t="n">
        <v>0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7" t="n">
        <v>0</v>
      </c>
      <c r="BB30" s="7">
        <f>SUM(AD30:BA30)</f>
        <v/>
      </c>
    </row>
    <row r="31">
      <c r="A31" t="inlineStr">
        <is>
          <t>AMD-FK-SSC</t>
        </is>
      </c>
      <c r="B31" t="inlineStr">
        <is>
          <t>Prime at Client side</t>
        </is>
      </c>
      <c r="C31" s="5" t="n">
        <v>46094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>
        <f>SUM(D31:AA31)</f>
        <v/>
      </c>
      <c r="AC31" s="3" t="inlineStr"/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0</v>
      </c>
      <c r="AT31" s="7" t="n">
        <v>0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0</v>
      </c>
      <c r="BA31" s="7" t="n">
        <v>0</v>
      </c>
      <c r="BB31" s="7">
        <f>SUM(AD31:BA31)</f>
        <v/>
      </c>
    </row>
    <row r="32">
      <c r="A32" t="inlineStr">
        <is>
          <t>AMD-FK-SSC</t>
        </is>
      </c>
      <c r="B32" t="inlineStr">
        <is>
          <t>Prime at Client side</t>
        </is>
      </c>
      <c r="C32" s="5" t="n">
        <v>46095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>
        <f>SUM(D32:AA32)</f>
        <v/>
      </c>
      <c r="AC32" s="3" t="inlineStr"/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7" t="n">
        <v>0</v>
      </c>
      <c r="BB32" s="7">
        <f>SUM(AD32:BA32)</f>
        <v/>
      </c>
    </row>
    <row r="33">
      <c r="A33" t="inlineStr">
        <is>
          <t>AMD-FK-SSC</t>
        </is>
      </c>
      <c r="B33" t="inlineStr">
        <is>
          <t>Prime at Client side</t>
        </is>
      </c>
      <c r="C33" s="5" t="n">
        <v>46096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6">
        <f>SUM(D33:AA33)</f>
        <v/>
      </c>
      <c r="AC33" s="3" t="inlineStr"/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0</v>
      </c>
      <c r="AS33" s="7" t="n">
        <v>0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7" t="n">
        <v>0</v>
      </c>
      <c r="BB33" s="7">
        <f>SUM(AD33:BA33)</f>
        <v/>
      </c>
    </row>
    <row r="34">
      <c r="A34" t="inlineStr">
        <is>
          <t>AMD-FK-SSC</t>
        </is>
      </c>
      <c r="B34" t="inlineStr">
        <is>
          <t>Prime at Client side</t>
        </is>
      </c>
      <c r="C34" s="5" t="n">
        <v>46097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>
        <f>SUM(D34:AA34)</f>
        <v/>
      </c>
      <c r="AC34" s="3" t="inlineStr"/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7" t="n">
        <v>0</v>
      </c>
      <c r="BB34" s="7">
        <f>SUM(AD34:BA34)</f>
        <v/>
      </c>
    </row>
    <row r="35">
      <c r="A35" t="inlineStr">
        <is>
          <t>AMD-FK-SSC</t>
        </is>
      </c>
      <c r="B35" t="inlineStr">
        <is>
          <t>Prime at Client side</t>
        </is>
      </c>
      <c r="C35" s="5" t="n">
        <v>46098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>
        <f>SUM(D35:AA35)</f>
        <v/>
      </c>
      <c r="AC35" s="3" t="inlineStr"/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7" t="n">
        <v>0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0</v>
      </c>
      <c r="BA35" s="7" t="n">
        <v>0</v>
      </c>
      <c r="BB35" s="7">
        <f>SUM(AD35:BA35)</f>
        <v/>
      </c>
    </row>
    <row r="36">
      <c r="A36" t="inlineStr">
        <is>
          <t>AMD-FK-SSC</t>
        </is>
      </c>
      <c r="B36" t="inlineStr">
        <is>
          <t>Prime at Client side</t>
        </is>
      </c>
      <c r="C36" s="5" t="n">
        <v>46099</v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>
        <f>SUM(D36:AA36)</f>
        <v/>
      </c>
      <c r="AC36" s="3" t="inlineStr"/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0</v>
      </c>
      <c r="AT36" s="7" t="n">
        <v>0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0</v>
      </c>
      <c r="BA36" s="7" t="n">
        <v>0</v>
      </c>
      <c r="BB36" s="7">
        <f>SUM(AD36:BA36)</f>
        <v/>
      </c>
    </row>
    <row r="37">
      <c r="A37" t="inlineStr">
        <is>
          <t>AMD-FK-SSC</t>
        </is>
      </c>
      <c r="B37" t="inlineStr">
        <is>
          <t>Prime at Client side</t>
        </is>
      </c>
      <c r="C37" s="5" t="n">
        <v>46100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>
        <f>SUM(D37:AA37)</f>
        <v/>
      </c>
      <c r="AC37" s="3" t="inlineStr"/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0</v>
      </c>
      <c r="AP37" s="7" t="n">
        <v>0</v>
      </c>
      <c r="AQ37" s="7" t="n">
        <v>0</v>
      </c>
      <c r="AR37" s="7" t="n">
        <v>0</v>
      </c>
      <c r="AS37" s="7" t="n">
        <v>0</v>
      </c>
      <c r="AT37" s="7" t="n">
        <v>0</v>
      </c>
      <c r="AU37" s="7" t="n">
        <v>0</v>
      </c>
      <c r="AV37" s="7" t="n">
        <v>0</v>
      </c>
      <c r="AW37" s="7" t="n">
        <v>0</v>
      </c>
      <c r="AX37" s="7" t="n">
        <v>0</v>
      </c>
      <c r="AY37" s="7" t="n">
        <v>0</v>
      </c>
      <c r="AZ37" s="7" t="n">
        <v>0</v>
      </c>
      <c r="BA37" s="7" t="n">
        <v>0</v>
      </c>
      <c r="BB37" s="7">
        <f>SUM(AD37:BA37)</f>
        <v/>
      </c>
    </row>
    <row r="38">
      <c r="A38" t="inlineStr">
        <is>
          <t>AMD-FK-SSC</t>
        </is>
      </c>
      <c r="B38" t="inlineStr">
        <is>
          <t>Prime at Client side</t>
        </is>
      </c>
      <c r="C38" s="5" t="n">
        <v>46101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0</v>
      </c>
      <c r="Q38" s="6" t="n">
        <v>0</v>
      </c>
      <c r="R38" s="6" t="n">
        <v>0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>
        <f>SUM(D38:AA38)</f>
        <v/>
      </c>
      <c r="AC38" s="3" t="inlineStr"/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0</v>
      </c>
      <c r="AP38" s="7" t="n">
        <v>0</v>
      </c>
      <c r="AQ38" s="7" t="n">
        <v>0</v>
      </c>
      <c r="AR38" s="7" t="n">
        <v>0</v>
      </c>
      <c r="AS38" s="7" t="n">
        <v>0</v>
      </c>
      <c r="AT38" s="7" t="n">
        <v>0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0</v>
      </c>
      <c r="BA38" s="7" t="n">
        <v>0</v>
      </c>
      <c r="BB38" s="7">
        <f>SUM(AD38:BA38)</f>
        <v/>
      </c>
    </row>
    <row r="39">
      <c r="A39" t="inlineStr">
        <is>
          <t>AMD-FK-SSC</t>
        </is>
      </c>
      <c r="B39" t="inlineStr">
        <is>
          <t>Prime at Client side</t>
        </is>
      </c>
      <c r="C39" s="5" t="n">
        <v>46102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>
        <f>SUM(D39:AA39)</f>
        <v/>
      </c>
      <c r="AC39" s="3" t="inlineStr"/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0</v>
      </c>
      <c r="AP39" s="7" t="n">
        <v>0</v>
      </c>
      <c r="AQ39" s="7" t="n">
        <v>0</v>
      </c>
      <c r="AR39" s="7" t="n">
        <v>0</v>
      </c>
      <c r="AS39" s="7" t="n">
        <v>0</v>
      </c>
      <c r="AT39" s="7" t="n">
        <v>0</v>
      </c>
      <c r="AU39" s="7" t="n">
        <v>0</v>
      </c>
      <c r="AV39" s="7" t="n">
        <v>0</v>
      </c>
      <c r="AW39" s="7" t="n">
        <v>0</v>
      </c>
      <c r="AX39" s="7" t="n">
        <v>0</v>
      </c>
      <c r="AY39" s="7" t="n">
        <v>0</v>
      </c>
      <c r="AZ39" s="7" t="n">
        <v>0</v>
      </c>
      <c r="BA39" s="7" t="n">
        <v>0</v>
      </c>
      <c r="BB39" s="7">
        <f>SUM(AD39:BA39)</f>
        <v/>
      </c>
    </row>
    <row r="40">
      <c r="A40" t="inlineStr">
        <is>
          <t>AMD-FK-SSC</t>
        </is>
      </c>
      <c r="B40" t="inlineStr">
        <is>
          <t>Prime at Client side</t>
        </is>
      </c>
      <c r="C40" s="5" t="n">
        <v>46103</v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0</v>
      </c>
      <c r="M40" s="6" t="n">
        <v>0</v>
      </c>
      <c r="N40" s="6" t="n">
        <v>0</v>
      </c>
      <c r="O40" s="6" t="n">
        <v>0</v>
      </c>
      <c r="P40" s="6" t="n">
        <v>0</v>
      </c>
      <c r="Q40" s="6" t="n">
        <v>0</v>
      </c>
      <c r="R40" s="6" t="n">
        <v>0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>
        <f>SUM(D40:AA40)</f>
        <v/>
      </c>
      <c r="AC40" s="3" t="inlineStr"/>
      <c r="AD40" s="7" t="n">
        <v>0</v>
      </c>
      <c r="AE40" s="7" t="n">
        <v>0</v>
      </c>
      <c r="AF40" s="7" t="n">
        <v>0</v>
      </c>
      <c r="AG40" s="7" t="n">
        <v>0</v>
      </c>
      <c r="AH40" s="7" t="n">
        <v>0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0</v>
      </c>
      <c r="AS40" s="7" t="n">
        <v>0</v>
      </c>
      <c r="AT40" s="7" t="n">
        <v>0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0</v>
      </c>
      <c r="BA40" s="7" t="n">
        <v>0</v>
      </c>
      <c r="BB40" s="7">
        <f>SUM(AD40:BA40)</f>
        <v/>
      </c>
    </row>
    <row r="41">
      <c r="A41" t="inlineStr">
        <is>
          <t>AMD-FK-SSC</t>
        </is>
      </c>
      <c r="B41" t="inlineStr">
        <is>
          <t>Prime at Client side</t>
        </is>
      </c>
      <c r="C41" s="5" t="n">
        <v>46104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>
        <f>SUM(D41:AA41)</f>
        <v/>
      </c>
      <c r="AC41" s="3" t="inlineStr"/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</v>
      </c>
      <c r="AP41" s="7" t="n">
        <v>0</v>
      </c>
      <c r="AQ41" s="7" t="n">
        <v>0</v>
      </c>
      <c r="AR41" s="7" t="n">
        <v>0</v>
      </c>
      <c r="AS41" s="7" t="n">
        <v>0</v>
      </c>
      <c r="AT41" s="7" t="n">
        <v>0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0</v>
      </c>
      <c r="BA41" s="7" t="n">
        <v>0</v>
      </c>
      <c r="BB41" s="7">
        <f>SUM(AD41:BA41)</f>
        <v/>
      </c>
    </row>
    <row r="42">
      <c r="A42" t="inlineStr">
        <is>
          <t>AMD-FK-SSC</t>
        </is>
      </c>
      <c r="B42" t="inlineStr">
        <is>
          <t>Prime at Client side</t>
        </is>
      </c>
      <c r="C42" s="5" t="n">
        <v>46105</v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6" t="n">
        <v>0</v>
      </c>
      <c r="N42" s="6" t="n">
        <v>0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>
        <f>SUM(D42:AA42)</f>
        <v/>
      </c>
      <c r="AC42" s="3" t="inlineStr"/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7" t="n">
        <v>0</v>
      </c>
      <c r="BB42" s="7">
        <f>SUM(AD42:BA42)</f>
        <v/>
      </c>
    </row>
    <row r="43">
      <c r="A43" t="inlineStr">
        <is>
          <t>AMD-FWDPRI-SSC</t>
        </is>
      </c>
      <c r="B43" t="inlineStr">
        <is>
          <t>FWD Priority OSC</t>
        </is>
      </c>
      <c r="C43" s="5" t="n">
        <v>46098</v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0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0</v>
      </c>
      <c r="AA43" s="6" t="n">
        <v>0</v>
      </c>
      <c r="AB43" s="6">
        <f>SUM(D43:AA43)</f>
        <v/>
      </c>
      <c r="AC43" s="3" t="inlineStr"/>
      <c r="AD43" s="7" t="n">
        <v>0</v>
      </c>
      <c r="AE43" s="7" t="n">
        <v>0</v>
      </c>
      <c r="AF43" s="7" t="n">
        <v>0</v>
      </c>
      <c r="AG43" s="7" t="n">
        <v>0</v>
      </c>
      <c r="AH43" s="7" t="n">
        <v>0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0</v>
      </c>
      <c r="AP43" s="7" t="n">
        <v>0</v>
      </c>
      <c r="AQ43" s="7" t="n">
        <v>0</v>
      </c>
      <c r="AR43" s="7" t="n">
        <v>0</v>
      </c>
      <c r="AS43" s="7" t="n">
        <v>0</v>
      </c>
      <c r="AT43" s="7" t="n">
        <v>0</v>
      </c>
      <c r="AU43" s="7" t="n">
        <v>0</v>
      </c>
      <c r="AV43" s="7" t="n">
        <v>0</v>
      </c>
      <c r="AW43" s="7" t="n">
        <v>0</v>
      </c>
      <c r="AX43" s="7" t="n">
        <v>0</v>
      </c>
      <c r="AY43" s="7" t="n">
        <v>0</v>
      </c>
      <c r="AZ43" s="7" t="n">
        <v>0</v>
      </c>
      <c r="BA43" s="7" t="n">
        <v>0</v>
      </c>
      <c r="BB43" s="7">
        <f>SUM(AD43:BA43)</f>
        <v/>
      </c>
    </row>
    <row r="44">
      <c r="A44" t="inlineStr">
        <is>
          <t>AMD-FWDPRI-SSC</t>
        </is>
      </c>
      <c r="B44" t="inlineStr">
        <is>
          <t>FWD Priority OSC</t>
        </is>
      </c>
      <c r="C44" s="5" t="n">
        <v>46099</v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0</v>
      </c>
      <c r="M44" s="6" t="n">
        <v>0</v>
      </c>
      <c r="N44" s="6" t="n">
        <v>0</v>
      </c>
      <c r="O44" s="6" t="n">
        <v>0</v>
      </c>
      <c r="P44" s="6" t="n">
        <v>0</v>
      </c>
      <c r="Q44" s="6" t="n">
        <v>0</v>
      </c>
      <c r="R44" s="6" t="n">
        <v>0</v>
      </c>
      <c r="S44" s="6" t="n">
        <v>0</v>
      </c>
      <c r="T44" s="6" t="n">
        <v>0</v>
      </c>
      <c r="U44" s="6" t="n">
        <v>0</v>
      </c>
      <c r="V44" s="6" t="n">
        <v>0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0</v>
      </c>
      <c r="AB44" s="6">
        <f>SUM(D44:AA44)</f>
        <v/>
      </c>
      <c r="AC44" s="3" t="inlineStr"/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0</v>
      </c>
      <c r="AP44" s="7" t="n">
        <v>0</v>
      </c>
      <c r="AQ44" s="7" t="n">
        <v>0</v>
      </c>
      <c r="AR44" s="7" t="n">
        <v>0</v>
      </c>
      <c r="AS44" s="7" t="n">
        <v>0</v>
      </c>
      <c r="AT44" s="7" t="n">
        <v>0</v>
      </c>
      <c r="AU44" s="7" t="n">
        <v>0</v>
      </c>
      <c r="AV44" s="7" t="n">
        <v>0</v>
      </c>
      <c r="AW44" s="7" t="n">
        <v>0</v>
      </c>
      <c r="AX44" s="7" t="n">
        <v>0</v>
      </c>
      <c r="AY44" s="7" t="n">
        <v>0</v>
      </c>
      <c r="AZ44" s="7" t="n">
        <v>0</v>
      </c>
      <c r="BA44" s="7" t="n">
        <v>0</v>
      </c>
      <c r="BB44" s="7">
        <f>SUM(AD44:BA44)</f>
        <v/>
      </c>
    </row>
    <row r="45">
      <c r="A45" t="inlineStr">
        <is>
          <t>AMD-FWDPRI-SSC</t>
        </is>
      </c>
      <c r="B45" t="inlineStr">
        <is>
          <t>FWD Priority OSC</t>
        </is>
      </c>
      <c r="C45" s="5" t="n">
        <v>46100</v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0</v>
      </c>
      <c r="S45" s="6" t="n">
        <v>0</v>
      </c>
      <c r="T45" s="6" t="n">
        <v>0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  <c r="AB45" s="6">
        <f>SUM(D45:AA45)</f>
        <v/>
      </c>
      <c r="AC45" s="3" t="inlineStr"/>
      <c r="AD45" s="7" t="n">
        <v>0</v>
      </c>
      <c r="AE45" s="7" t="n">
        <v>0</v>
      </c>
      <c r="AF45" s="7" t="n">
        <v>0</v>
      </c>
      <c r="AG45" s="7" t="n">
        <v>0</v>
      </c>
      <c r="AH45" s="7" t="n">
        <v>0</v>
      </c>
      <c r="AI45" s="7" t="n">
        <v>0</v>
      </c>
      <c r="AJ45" s="7" t="n">
        <v>0</v>
      </c>
      <c r="AK45" s="7" t="n">
        <v>0</v>
      </c>
      <c r="AL45" s="7" t="n">
        <v>0</v>
      </c>
      <c r="AM45" s="7" t="n">
        <v>0</v>
      </c>
      <c r="AN45" s="7" t="n">
        <v>0</v>
      </c>
      <c r="AO45" s="7" t="n">
        <v>0</v>
      </c>
      <c r="AP45" s="7" t="n">
        <v>0</v>
      </c>
      <c r="AQ45" s="7" t="n">
        <v>0</v>
      </c>
      <c r="AR45" s="7" t="n">
        <v>0</v>
      </c>
      <c r="AS45" s="7" t="n">
        <v>0</v>
      </c>
      <c r="AT45" s="7" t="n">
        <v>0</v>
      </c>
      <c r="AU45" s="7" t="n">
        <v>0</v>
      </c>
      <c r="AV45" s="7" t="n">
        <v>0</v>
      </c>
      <c r="AW45" s="7" t="n">
        <v>0</v>
      </c>
      <c r="AX45" s="7" t="n">
        <v>0</v>
      </c>
      <c r="AY45" s="7" t="n">
        <v>0</v>
      </c>
      <c r="AZ45" s="7" t="n">
        <v>0</v>
      </c>
      <c r="BA45" s="7" t="n">
        <v>0</v>
      </c>
      <c r="BB45" s="7">
        <f>SUM(AD45:BA45)</f>
        <v/>
      </c>
    </row>
    <row r="46">
      <c r="A46" t="inlineStr">
        <is>
          <t>AMD-FWDPRI-SSC</t>
        </is>
      </c>
      <c r="B46" t="inlineStr">
        <is>
          <t>FWD Priority OSC</t>
        </is>
      </c>
      <c r="C46" s="5" t="n">
        <v>46101</v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0</v>
      </c>
      <c r="M46" s="6" t="n">
        <v>0</v>
      </c>
      <c r="N46" s="6" t="n">
        <v>0</v>
      </c>
      <c r="O46" s="6" t="n">
        <v>0</v>
      </c>
      <c r="P46" s="6" t="n">
        <v>0</v>
      </c>
      <c r="Q46" s="6" t="n">
        <v>0</v>
      </c>
      <c r="R46" s="6" t="n">
        <v>0</v>
      </c>
      <c r="S46" s="6" t="n">
        <v>0</v>
      </c>
      <c r="T46" s="6" t="n">
        <v>0</v>
      </c>
      <c r="U46" s="6" t="n">
        <v>0</v>
      </c>
      <c r="V46" s="6" t="n">
        <v>0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0</v>
      </c>
      <c r="AB46" s="6">
        <f>SUM(D46:AA46)</f>
        <v/>
      </c>
      <c r="AC46" s="3" t="inlineStr"/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  <c r="AS46" s="7" t="n">
        <v>0</v>
      </c>
      <c r="AT46" s="7" t="n">
        <v>0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0</v>
      </c>
      <c r="BA46" s="7" t="n">
        <v>0</v>
      </c>
      <c r="BB46" s="7">
        <f>SUM(AD46:BA46)</f>
        <v/>
      </c>
    </row>
    <row r="47">
      <c r="A47" t="inlineStr">
        <is>
          <t>AMD-FWDPRI-SSC</t>
        </is>
      </c>
      <c r="B47" t="inlineStr">
        <is>
          <t>FWD Priority OSC</t>
        </is>
      </c>
      <c r="C47" s="5" t="n">
        <v>46102</v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6">
        <f>SUM(D47:AA47)</f>
        <v/>
      </c>
      <c r="AC47" s="3" t="inlineStr"/>
      <c r="AD47" s="7" t="n">
        <v>0</v>
      </c>
      <c r="AE47" s="7" t="n">
        <v>0</v>
      </c>
      <c r="AF47" s="7" t="n">
        <v>0</v>
      </c>
      <c r="AG47" s="7" t="n">
        <v>0</v>
      </c>
      <c r="AH47" s="7" t="n">
        <v>0</v>
      </c>
      <c r="AI47" s="7" t="n">
        <v>0</v>
      </c>
      <c r="AJ47" s="7" t="n">
        <v>0</v>
      </c>
      <c r="AK47" s="7" t="n">
        <v>0</v>
      </c>
      <c r="AL47" s="7" t="n">
        <v>0</v>
      </c>
      <c r="AM47" s="7" t="n">
        <v>0</v>
      </c>
      <c r="AN47" s="7" t="n">
        <v>0</v>
      </c>
      <c r="AO47" s="7" t="n">
        <v>0</v>
      </c>
      <c r="AP47" s="7" t="n">
        <v>0</v>
      </c>
      <c r="AQ47" s="7" t="n">
        <v>0</v>
      </c>
      <c r="AR47" s="7" t="n">
        <v>0</v>
      </c>
      <c r="AS47" s="7" t="n">
        <v>0</v>
      </c>
      <c r="AT47" s="7" t="n">
        <v>0</v>
      </c>
      <c r="AU47" s="7" t="n">
        <v>0</v>
      </c>
      <c r="AV47" s="7" t="n">
        <v>0</v>
      </c>
      <c r="AW47" s="7" t="n">
        <v>0</v>
      </c>
      <c r="AX47" s="7" t="n">
        <v>0</v>
      </c>
      <c r="AY47" s="7" t="n">
        <v>0</v>
      </c>
      <c r="AZ47" s="7" t="n">
        <v>0</v>
      </c>
      <c r="BA47" s="7" t="n">
        <v>0</v>
      </c>
      <c r="BB47" s="7">
        <f>SUM(AD47:BA47)</f>
        <v/>
      </c>
    </row>
    <row r="48">
      <c r="A48" t="inlineStr">
        <is>
          <t>AMD-FWDPRI-SSC</t>
        </is>
      </c>
      <c r="B48" t="inlineStr">
        <is>
          <t>FWD Priority OSC</t>
        </is>
      </c>
      <c r="C48" s="5" t="n">
        <v>46103</v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6" t="n">
        <v>0</v>
      </c>
      <c r="AB48" s="6">
        <f>SUM(D48:AA48)</f>
        <v/>
      </c>
      <c r="AC48" s="3" t="inlineStr"/>
      <c r="AD48" s="7" t="n">
        <v>0</v>
      </c>
      <c r="AE48" s="7" t="n">
        <v>0</v>
      </c>
      <c r="AF48" s="7" t="n">
        <v>0</v>
      </c>
      <c r="AG48" s="7" t="n">
        <v>0</v>
      </c>
      <c r="AH48" s="7" t="n">
        <v>0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0</v>
      </c>
      <c r="AP48" s="7" t="n">
        <v>0</v>
      </c>
      <c r="AQ48" s="7" t="n">
        <v>0</v>
      </c>
      <c r="AR48" s="7" t="n">
        <v>0</v>
      </c>
      <c r="AS48" s="7" t="n">
        <v>0</v>
      </c>
      <c r="AT48" s="7" t="n">
        <v>0</v>
      </c>
      <c r="AU48" s="7" t="n">
        <v>0</v>
      </c>
      <c r="AV48" s="7" t="n">
        <v>0</v>
      </c>
      <c r="AW48" s="7" t="n">
        <v>0</v>
      </c>
      <c r="AX48" s="7" t="n">
        <v>0</v>
      </c>
      <c r="AY48" s="7" t="n">
        <v>0</v>
      </c>
      <c r="AZ48" s="7" t="n">
        <v>0</v>
      </c>
      <c r="BA48" s="7" t="n">
        <v>0</v>
      </c>
      <c r="BB48" s="7">
        <f>SUM(AD48:BA48)</f>
        <v/>
      </c>
    </row>
    <row r="49">
      <c r="A49" t="inlineStr">
        <is>
          <t>AMD-FWDPRI-SSC</t>
        </is>
      </c>
      <c r="B49" t="inlineStr">
        <is>
          <t>FWD Priority OSC</t>
        </is>
      </c>
      <c r="C49" s="5" t="n">
        <v>46104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0</v>
      </c>
      <c r="AB49" s="6">
        <f>SUM(D49:AA49)</f>
        <v/>
      </c>
      <c r="AC49" s="3" t="inlineStr"/>
      <c r="AD49" s="7" t="n">
        <v>0</v>
      </c>
      <c r="AE49" s="7" t="n">
        <v>0</v>
      </c>
      <c r="AF49" s="7" t="n">
        <v>0</v>
      </c>
      <c r="AG49" s="7" t="n">
        <v>0</v>
      </c>
      <c r="AH49" s="7" t="n">
        <v>0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0</v>
      </c>
      <c r="AN49" s="7" t="n">
        <v>0</v>
      </c>
      <c r="AO49" s="7" t="n">
        <v>0</v>
      </c>
      <c r="AP49" s="7" t="n">
        <v>0</v>
      </c>
      <c r="AQ49" s="7" t="n">
        <v>0</v>
      </c>
      <c r="AR49" s="7" t="n">
        <v>0</v>
      </c>
      <c r="AS49" s="7" t="n">
        <v>0</v>
      </c>
      <c r="AT49" s="7" t="n">
        <v>0</v>
      </c>
      <c r="AU49" s="7" t="n">
        <v>0</v>
      </c>
      <c r="AV49" s="7" t="n">
        <v>0</v>
      </c>
      <c r="AW49" s="7" t="n">
        <v>0</v>
      </c>
      <c r="AX49" s="7" t="n">
        <v>0</v>
      </c>
      <c r="AY49" s="7" t="n">
        <v>0</v>
      </c>
      <c r="AZ49" s="7" t="n">
        <v>0</v>
      </c>
      <c r="BA49" s="7" t="n">
        <v>0</v>
      </c>
      <c r="BB49" s="7">
        <f>SUM(AD49:BA49)</f>
        <v/>
      </c>
    </row>
    <row r="50">
      <c r="A50" t="inlineStr">
        <is>
          <t>AMD-FWDPRI-SSC</t>
        </is>
      </c>
      <c r="B50" t="inlineStr">
        <is>
          <t>FWD Priority OSC</t>
        </is>
      </c>
      <c r="C50" s="5" t="n">
        <v>46105</v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0</v>
      </c>
      <c r="M50" s="6" t="n">
        <v>0</v>
      </c>
      <c r="N50" s="6" t="n">
        <v>0</v>
      </c>
      <c r="O50" s="6" t="n">
        <v>0</v>
      </c>
      <c r="P50" s="6" t="n">
        <v>0</v>
      </c>
      <c r="Q50" s="6" t="n">
        <v>0</v>
      </c>
      <c r="R50" s="6" t="n">
        <v>0</v>
      </c>
      <c r="S50" s="6" t="n">
        <v>0</v>
      </c>
      <c r="T50" s="6" t="n">
        <v>0</v>
      </c>
      <c r="U50" s="6" t="n">
        <v>0</v>
      </c>
      <c r="V50" s="6" t="n">
        <v>0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0</v>
      </c>
      <c r="AB50" s="6">
        <f>SUM(D50:AA50)</f>
        <v/>
      </c>
      <c r="AC50" s="3" t="inlineStr"/>
      <c r="AD50" s="7" t="n">
        <v>0</v>
      </c>
      <c r="AE50" s="7" t="n">
        <v>0</v>
      </c>
      <c r="AF50" s="7" t="n">
        <v>0</v>
      </c>
      <c r="AG50" s="7" t="n">
        <v>0</v>
      </c>
      <c r="AH50" s="7" t="n">
        <v>0</v>
      </c>
      <c r="AI50" s="7" t="n">
        <v>0</v>
      </c>
      <c r="AJ50" s="7" t="n">
        <v>0</v>
      </c>
      <c r="AK50" s="7" t="n">
        <v>0</v>
      </c>
      <c r="AL50" s="7" t="n">
        <v>0</v>
      </c>
      <c r="AM50" s="7" t="n">
        <v>0</v>
      </c>
      <c r="AN50" s="7" t="n">
        <v>0</v>
      </c>
      <c r="AO50" s="7" t="n">
        <v>0</v>
      </c>
      <c r="AP50" s="7" t="n">
        <v>0</v>
      </c>
      <c r="AQ50" s="7" t="n">
        <v>0</v>
      </c>
      <c r="AR50" s="7" t="n">
        <v>0</v>
      </c>
      <c r="AS50" s="7" t="n">
        <v>0</v>
      </c>
      <c r="AT50" s="7" t="n">
        <v>0</v>
      </c>
      <c r="AU50" s="7" t="n">
        <v>0</v>
      </c>
      <c r="AV50" s="7" t="n">
        <v>0</v>
      </c>
      <c r="AW50" s="7" t="n">
        <v>0</v>
      </c>
      <c r="AX50" s="7" t="n">
        <v>0</v>
      </c>
      <c r="AY50" s="7" t="n">
        <v>0</v>
      </c>
      <c r="AZ50" s="7" t="n">
        <v>0</v>
      </c>
      <c r="BA50" s="7" t="n">
        <v>0</v>
      </c>
      <c r="BB50" s="7">
        <f>SUM(AD50:BA50)</f>
        <v/>
      </c>
    </row>
    <row r="51">
      <c r="A51" t="inlineStr">
        <is>
          <t>AMD-FWDREG-SSC</t>
        </is>
      </c>
      <c r="B51" t="inlineStr">
        <is>
          <t>Forward Regular OSC</t>
        </is>
      </c>
      <c r="C51" s="5" t="n">
        <v>46098</v>
      </c>
      <c r="D51" s="6">
        <f>Summary!D51</f>
        <v/>
      </c>
      <c r="E51" s="6">
        <f>Summary!E51</f>
        <v/>
      </c>
      <c r="F51" s="6">
        <f>Summary!F51</f>
        <v/>
      </c>
      <c r="G51" s="6">
        <f>Summary!G51</f>
        <v/>
      </c>
      <c r="H51" s="6">
        <f>Summary!H51</f>
        <v/>
      </c>
      <c r="I51" s="6">
        <f>Summary!I51</f>
        <v/>
      </c>
      <c r="J51" s="6">
        <f>Summary!J51</f>
        <v/>
      </c>
      <c r="K51" s="6">
        <f>Summary!K51</f>
        <v/>
      </c>
      <c r="L51" s="6">
        <f>Summary!L51</f>
        <v/>
      </c>
      <c r="M51" s="6">
        <f>Summary!M51</f>
        <v/>
      </c>
      <c r="N51" s="6">
        <f>Summary!N51</f>
        <v/>
      </c>
      <c r="O51" s="6">
        <f>Summary!O51</f>
        <v/>
      </c>
      <c r="P51" s="6">
        <f>Summary!P51</f>
        <v/>
      </c>
      <c r="Q51" s="6">
        <f>Summary!Q51</f>
        <v/>
      </c>
      <c r="R51" s="6">
        <f>Summary!R51</f>
        <v/>
      </c>
      <c r="S51" s="6">
        <f>Summary!S51</f>
        <v/>
      </c>
      <c r="T51" s="6">
        <f>Summary!T51</f>
        <v/>
      </c>
      <c r="U51" s="6">
        <f>Summary!U51</f>
        <v/>
      </c>
      <c r="V51" s="6">
        <f>Summary!V51</f>
        <v/>
      </c>
      <c r="W51" s="6">
        <f>Summary!W51</f>
        <v/>
      </c>
      <c r="X51" s="6">
        <f>Summary!X51</f>
        <v/>
      </c>
      <c r="Y51" s="6">
        <f>Summary!Y51</f>
        <v/>
      </c>
      <c r="Z51" s="6">
        <f>Summary!Z51</f>
        <v/>
      </c>
      <c r="AA51" s="6">
        <f>Summary!AA51</f>
        <v/>
      </c>
      <c r="AB51" s="6">
        <f>SUM(D51:AA51)</f>
        <v/>
      </c>
      <c r="AC51" s="3" t="inlineStr"/>
      <c r="AD51" s="7">
        <f>E51*0.001117515+D51*0.001117515</f>
        <v/>
      </c>
      <c r="AE51" s="7">
        <f>F51*0.001117515+E51*0.001117515</f>
        <v/>
      </c>
      <c r="AF51" s="7">
        <f>G51*0.001117515+F51*0.001117515</f>
        <v/>
      </c>
      <c r="AG51" s="7">
        <f>H51*0.001117515+G51*0.001117515</f>
        <v/>
      </c>
      <c r="AH51" s="7">
        <f>I51*0.001117515+H51*0.001117515</f>
        <v/>
      </c>
      <c r="AI51" s="7">
        <f>J51*0.001117515+I51*0.001117515</f>
        <v/>
      </c>
      <c r="AJ51" s="7">
        <f>K51*0.001117515+J51*0.001117515</f>
        <v/>
      </c>
      <c r="AK51" s="7">
        <f>L51*0.001117515+K51*0.001117515</f>
        <v/>
      </c>
      <c r="AL51" s="7">
        <f>M51*0.001117515+L51*0.001117515</f>
        <v/>
      </c>
      <c r="AM51" s="7">
        <f>N51*0.001117515+M51*0.001117515</f>
        <v/>
      </c>
      <c r="AN51" s="7">
        <f>O51*0.001117515+N51*0.001117515</f>
        <v/>
      </c>
      <c r="AO51" s="7">
        <f>P51*0.001117515+O51*0.001117515</f>
        <v/>
      </c>
      <c r="AP51" s="7">
        <f>Q51*0.001117515+P51*0.001117515</f>
        <v/>
      </c>
      <c r="AQ51" s="7">
        <f>R51*0.001117515+Q51*0.001117515</f>
        <v/>
      </c>
      <c r="AR51" s="7">
        <f>S51*0.001117515+R51*0.001117515</f>
        <v/>
      </c>
      <c r="AS51" s="7">
        <f>T51*0.001117515+S51*0.001117515</f>
        <v/>
      </c>
      <c r="AT51" s="7">
        <f>U51*0.001117515+T51*0.001117515</f>
        <v/>
      </c>
      <c r="AU51" s="7">
        <f>V51*0.001117515+U51*0.001117515</f>
        <v/>
      </c>
      <c r="AV51" s="7">
        <f>W51*0.001117515+V51*0.001117515</f>
        <v/>
      </c>
      <c r="AW51" s="7">
        <f>X51*0.001117515+W51*0.001117515</f>
        <v/>
      </c>
      <c r="AX51" s="7">
        <f>Y51*0.001117515+X51*0.001117515</f>
        <v/>
      </c>
      <c r="AY51" s="7">
        <f>Z51*0.001117515+Y51*0.001117515</f>
        <v/>
      </c>
      <c r="AZ51" s="7">
        <f>AA51*0.001117515+Z51*0.001117515</f>
        <v/>
      </c>
      <c r="BA51" s="7">
        <f>D51*0.001117515+AA51*0.001117515</f>
        <v/>
      </c>
      <c r="BB51" s="7">
        <f>SUM(AD51:BA51)</f>
        <v/>
      </c>
    </row>
    <row r="52">
      <c r="A52" t="inlineStr">
        <is>
          <t>AMD-FWDREG-SSC</t>
        </is>
      </c>
      <c r="B52" t="inlineStr">
        <is>
          <t>Forward Regular OSC</t>
        </is>
      </c>
      <c r="C52" s="5" t="n">
        <v>46099</v>
      </c>
      <c r="D52" s="6">
        <f>Summary!D52</f>
        <v/>
      </c>
      <c r="E52" s="6">
        <f>Summary!E52</f>
        <v/>
      </c>
      <c r="F52" s="6">
        <f>Summary!F52</f>
        <v/>
      </c>
      <c r="G52" s="6">
        <f>Summary!G52</f>
        <v/>
      </c>
      <c r="H52" s="6">
        <f>Summary!H52</f>
        <v/>
      </c>
      <c r="I52" s="6">
        <f>Summary!I52</f>
        <v/>
      </c>
      <c r="J52" s="6">
        <f>Summary!J52</f>
        <v/>
      </c>
      <c r="K52" s="6">
        <f>Summary!K52</f>
        <v/>
      </c>
      <c r="L52" s="6">
        <f>Summary!L52</f>
        <v/>
      </c>
      <c r="M52" s="6">
        <f>Summary!M52</f>
        <v/>
      </c>
      <c r="N52" s="6">
        <f>Summary!N52</f>
        <v/>
      </c>
      <c r="O52" s="6">
        <f>Summary!O52</f>
        <v/>
      </c>
      <c r="P52" s="6">
        <f>Summary!P52</f>
        <v/>
      </c>
      <c r="Q52" s="6">
        <f>Summary!Q52</f>
        <v/>
      </c>
      <c r="R52" s="6">
        <f>Summary!R52</f>
        <v/>
      </c>
      <c r="S52" s="6">
        <f>Summary!S52</f>
        <v/>
      </c>
      <c r="T52" s="6">
        <f>Summary!T52</f>
        <v/>
      </c>
      <c r="U52" s="6">
        <f>Summary!U52</f>
        <v/>
      </c>
      <c r="V52" s="6">
        <f>Summary!V52</f>
        <v/>
      </c>
      <c r="W52" s="6">
        <f>Summary!W52</f>
        <v/>
      </c>
      <c r="X52" s="6">
        <f>Summary!X52</f>
        <v/>
      </c>
      <c r="Y52" s="6">
        <f>Summary!Y52</f>
        <v/>
      </c>
      <c r="Z52" s="6">
        <f>Summary!Z52</f>
        <v/>
      </c>
      <c r="AA52" s="6">
        <f>Summary!AA52</f>
        <v/>
      </c>
      <c r="AB52" s="6">
        <f>SUM(D52:AA52)</f>
        <v/>
      </c>
      <c r="AC52" s="3" t="inlineStr"/>
      <c r="AD52" s="7">
        <f>E52*0.001117515+D52*0.001117515</f>
        <v/>
      </c>
      <c r="AE52" s="7">
        <f>F52*0.001117515+E52*0.001117515</f>
        <v/>
      </c>
      <c r="AF52" s="7">
        <f>G52*0.001117515+F52*0.001117515</f>
        <v/>
      </c>
      <c r="AG52" s="7">
        <f>H52*0.001117515+G52*0.001117515</f>
        <v/>
      </c>
      <c r="AH52" s="7">
        <f>I52*0.001117515+H52*0.001117515</f>
        <v/>
      </c>
      <c r="AI52" s="7">
        <f>J52*0.001117515+I52*0.001117515</f>
        <v/>
      </c>
      <c r="AJ52" s="7">
        <f>K52*0.001117515+J52*0.001117515</f>
        <v/>
      </c>
      <c r="AK52" s="7">
        <f>L52*0.001117515+K52*0.001117515</f>
        <v/>
      </c>
      <c r="AL52" s="7">
        <f>M52*0.001117515+L52*0.001117515</f>
        <v/>
      </c>
      <c r="AM52" s="7">
        <f>N52*0.001117515+M52*0.001117515</f>
        <v/>
      </c>
      <c r="AN52" s="7">
        <f>O52*0.001117515+N52*0.001117515</f>
        <v/>
      </c>
      <c r="AO52" s="7">
        <f>P52*0.001117515+O52*0.001117515</f>
        <v/>
      </c>
      <c r="AP52" s="7">
        <f>Q52*0.001117515+P52*0.001117515</f>
        <v/>
      </c>
      <c r="AQ52" s="7">
        <f>R52*0.001117515+Q52*0.001117515</f>
        <v/>
      </c>
      <c r="AR52" s="7">
        <f>S52*0.001117515+R52*0.001117515</f>
        <v/>
      </c>
      <c r="AS52" s="7">
        <f>T52*0.001117515+S52*0.001117515</f>
        <v/>
      </c>
      <c r="AT52" s="7">
        <f>U52*0.001117515+T52*0.001117515</f>
        <v/>
      </c>
      <c r="AU52" s="7">
        <f>V52*0.001117515+U52*0.001117515</f>
        <v/>
      </c>
      <c r="AV52" s="7">
        <f>W52*0.001117515+V52*0.001117515</f>
        <v/>
      </c>
      <c r="AW52" s="7">
        <f>X52*0.001117515+W52*0.001117515</f>
        <v/>
      </c>
      <c r="AX52" s="7">
        <f>Y52*0.001117515+X52*0.001117515</f>
        <v/>
      </c>
      <c r="AY52" s="7">
        <f>Z52*0.001117515+Y52*0.001117515</f>
        <v/>
      </c>
      <c r="AZ52" s="7">
        <f>AA52*0.001117515+Z52*0.001117515</f>
        <v/>
      </c>
      <c r="BA52" s="7">
        <f>D52*0.001117515+AA52*0.001117515</f>
        <v/>
      </c>
      <c r="BB52" s="7">
        <f>SUM(AD52:BA52)</f>
        <v/>
      </c>
    </row>
    <row r="53">
      <c r="A53" t="inlineStr">
        <is>
          <t>AMD-FWDREG-SSC</t>
        </is>
      </c>
      <c r="B53" t="inlineStr">
        <is>
          <t>Forward Regular OSC</t>
        </is>
      </c>
      <c r="C53" s="5" t="n">
        <v>46100</v>
      </c>
      <c r="D53" s="6">
        <f>Summary!D53</f>
        <v/>
      </c>
      <c r="E53" s="6">
        <f>Summary!E53</f>
        <v/>
      </c>
      <c r="F53" s="6">
        <f>Summary!F53</f>
        <v/>
      </c>
      <c r="G53" s="6">
        <f>Summary!G53</f>
        <v/>
      </c>
      <c r="H53" s="6">
        <f>Summary!H53</f>
        <v/>
      </c>
      <c r="I53" s="6">
        <f>Summary!I53</f>
        <v/>
      </c>
      <c r="J53" s="6">
        <f>Summary!J53</f>
        <v/>
      </c>
      <c r="K53" s="6">
        <f>Summary!K53</f>
        <v/>
      </c>
      <c r="L53" s="6">
        <f>Summary!L53</f>
        <v/>
      </c>
      <c r="M53" s="6">
        <f>Summary!M53</f>
        <v/>
      </c>
      <c r="N53" s="6">
        <f>Summary!N53</f>
        <v/>
      </c>
      <c r="O53" s="6">
        <f>Summary!O53</f>
        <v/>
      </c>
      <c r="P53" s="6">
        <f>Summary!P53</f>
        <v/>
      </c>
      <c r="Q53" s="6">
        <f>Summary!Q53</f>
        <v/>
      </c>
      <c r="R53" s="6">
        <f>Summary!R53</f>
        <v/>
      </c>
      <c r="S53" s="6">
        <f>Summary!S53</f>
        <v/>
      </c>
      <c r="T53" s="6">
        <f>Summary!T53</f>
        <v/>
      </c>
      <c r="U53" s="6">
        <f>Summary!U53</f>
        <v/>
      </c>
      <c r="V53" s="6">
        <f>Summary!V53</f>
        <v/>
      </c>
      <c r="W53" s="6">
        <f>Summary!W53</f>
        <v/>
      </c>
      <c r="X53" s="6">
        <f>Summary!X53</f>
        <v/>
      </c>
      <c r="Y53" s="6">
        <f>Summary!Y53</f>
        <v/>
      </c>
      <c r="Z53" s="6">
        <f>Summary!Z53</f>
        <v/>
      </c>
      <c r="AA53" s="6">
        <f>Summary!AA53</f>
        <v/>
      </c>
      <c r="AB53" s="6">
        <f>SUM(D53:AA53)</f>
        <v/>
      </c>
      <c r="AC53" s="3" t="inlineStr"/>
      <c r="AD53" s="7">
        <f>E53*0.001117515+D53*0.001117515</f>
        <v/>
      </c>
      <c r="AE53" s="7">
        <f>F53*0.001117515+E53*0.001117515</f>
        <v/>
      </c>
      <c r="AF53" s="7">
        <f>G53*0.001117515+F53*0.001117515</f>
        <v/>
      </c>
      <c r="AG53" s="7">
        <f>H53*0.001117515+G53*0.001117515</f>
        <v/>
      </c>
      <c r="AH53" s="7">
        <f>I53*0.001117515+H53*0.001117515</f>
        <v/>
      </c>
      <c r="AI53" s="7">
        <f>J53*0.001117515+I53*0.001117515</f>
        <v/>
      </c>
      <c r="AJ53" s="7">
        <f>K53*0.001117515+J53*0.001117515</f>
        <v/>
      </c>
      <c r="AK53" s="7">
        <f>L53*0.001117515+K53*0.001117515</f>
        <v/>
      </c>
      <c r="AL53" s="7">
        <f>M53*0.001117515+L53*0.001117515</f>
        <v/>
      </c>
      <c r="AM53" s="7">
        <f>N53*0.001117515+M53*0.001117515</f>
        <v/>
      </c>
      <c r="AN53" s="7">
        <f>O53*0.001117515+N53*0.001117515</f>
        <v/>
      </c>
      <c r="AO53" s="7">
        <f>P53*0.001117515+O53*0.001117515</f>
        <v/>
      </c>
      <c r="AP53" s="7">
        <f>Q53*0.001117515+P53*0.001117515</f>
        <v/>
      </c>
      <c r="AQ53" s="7">
        <f>R53*0.001117515+Q53*0.001117515</f>
        <v/>
      </c>
      <c r="AR53" s="7">
        <f>S53*0.001117515+R53*0.001117515</f>
        <v/>
      </c>
      <c r="AS53" s="7">
        <f>T53*0.001117515+S53*0.001117515</f>
        <v/>
      </c>
      <c r="AT53" s="7">
        <f>U53*0.001117515+T53*0.001117515</f>
        <v/>
      </c>
      <c r="AU53" s="7">
        <f>V53*0.001117515+U53*0.001117515</f>
        <v/>
      </c>
      <c r="AV53" s="7">
        <f>W53*0.001117515+V53*0.001117515</f>
        <v/>
      </c>
      <c r="AW53" s="7">
        <f>X53*0.001117515+W53*0.001117515</f>
        <v/>
      </c>
      <c r="AX53" s="7">
        <f>Y53*0.001117515+X53*0.001117515</f>
        <v/>
      </c>
      <c r="AY53" s="7">
        <f>Z53*0.001117515+Y53*0.001117515</f>
        <v/>
      </c>
      <c r="AZ53" s="7">
        <f>AA53*0.001117515+Z53*0.001117515</f>
        <v/>
      </c>
      <c r="BA53" s="7">
        <f>D53*0.001117515+AA53*0.001117515</f>
        <v/>
      </c>
      <c r="BB53" s="7">
        <f>SUM(AD53:BA53)</f>
        <v/>
      </c>
    </row>
    <row r="54">
      <c r="A54" t="inlineStr">
        <is>
          <t>AMD-FWDREG-SSC</t>
        </is>
      </c>
      <c r="B54" t="inlineStr">
        <is>
          <t>Forward Regular OSC</t>
        </is>
      </c>
      <c r="C54" s="5" t="n">
        <v>46101</v>
      </c>
      <c r="D54" s="6">
        <f>Summary!D54</f>
        <v/>
      </c>
      <c r="E54" s="6">
        <f>Summary!E54</f>
        <v/>
      </c>
      <c r="F54" s="6">
        <f>Summary!F54</f>
        <v/>
      </c>
      <c r="G54" s="6">
        <f>Summary!G54</f>
        <v/>
      </c>
      <c r="H54" s="6">
        <f>Summary!H54</f>
        <v/>
      </c>
      <c r="I54" s="6">
        <f>Summary!I54</f>
        <v/>
      </c>
      <c r="J54" s="6">
        <f>Summary!J54</f>
        <v/>
      </c>
      <c r="K54" s="6">
        <f>Summary!K54</f>
        <v/>
      </c>
      <c r="L54" s="6">
        <f>Summary!L54</f>
        <v/>
      </c>
      <c r="M54" s="6">
        <f>Summary!M54</f>
        <v/>
      </c>
      <c r="N54" s="6">
        <f>Summary!N54</f>
        <v/>
      </c>
      <c r="O54" s="6">
        <f>Summary!O54</f>
        <v/>
      </c>
      <c r="P54" s="6">
        <f>Summary!P54</f>
        <v/>
      </c>
      <c r="Q54" s="6">
        <f>Summary!Q54</f>
        <v/>
      </c>
      <c r="R54" s="6">
        <f>Summary!R54</f>
        <v/>
      </c>
      <c r="S54" s="6">
        <f>Summary!S54</f>
        <v/>
      </c>
      <c r="T54" s="6">
        <f>Summary!T54</f>
        <v/>
      </c>
      <c r="U54" s="6">
        <f>Summary!U54</f>
        <v/>
      </c>
      <c r="V54" s="6">
        <f>Summary!V54</f>
        <v/>
      </c>
      <c r="W54" s="6">
        <f>Summary!W54</f>
        <v/>
      </c>
      <c r="X54" s="6">
        <f>Summary!X54</f>
        <v/>
      </c>
      <c r="Y54" s="6">
        <f>Summary!Y54</f>
        <v/>
      </c>
      <c r="Z54" s="6">
        <f>Summary!Z54</f>
        <v/>
      </c>
      <c r="AA54" s="6">
        <f>Summary!AA54</f>
        <v/>
      </c>
      <c r="AB54" s="6">
        <f>SUM(D54:AA54)</f>
        <v/>
      </c>
      <c r="AC54" s="3" t="inlineStr"/>
      <c r="AD54" s="7">
        <f>E54*0.001117515+D54*0.001117515</f>
        <v/>
      </c>
      <c r="AE54" s="7">
        <f>F54*0.001117515+E54*0.001117515</f>
        <v/>
      </c>
      <c r="AF54" s="7">
        <f>G54*0.001117515+F54*0.001117515</f>
        <v/>
      </c>
      <c r="AG54" s="7">
        <f>H54*0.001117515+G54*0.001117515</f>
        <v/>
      </c>
      <c r="AH54" s="7">
        <f>I54*0.001117515+H54*0.001117515</f>
        <v/>
      </c>
      <c r="AI54" s="7">
        <f>J54*0.001117515+I54*0.001117515</f>
        <v/>
      </c>
      <c r="AJ54" s="7">
        <f>K54*0.001117515+J54*0.001117515</f>
        <v/>
      </c>
      <c r="AK54" s="7">
        <f>L54*0.001117515+K54*0.001117515</f>
        <v/>
      </c>
      <c r="AL54" s="7">
        <f>M54*0.001117515+L54*0.001117515</f>
        <v/>
      </c>
      <c r="AM54" s="7">
        <f>N54*0.001117515+M54*0.001117515</f>
        <v/>
      </c>
      <c r="AN54" s="7">
        <f>O54*0.001117515+N54*0.001117515</f>
        <v/>
      </c>
      <c r="AO54" s="7">
        <f>P54*0.001117515+O54*0.001117515</f>
        <v/>
      </c>
      <c r="AP54" s="7">
        <f>Q54*0.001117515+P54*0.001117515</f>
        <v/>
      </c>
      <c r="AQ54" s="7">
        <f>R54*0.001117515+Q54*0.001117515</f>
        <v/>
      </c>
      <c r="AR54" s="7">
        <f>S54*0.001117515+R54*0.001117515</f>
        <v/>
      </c>
      <c r="AS54" s="7">
        <f>T54*0.001117515+S54*0.001117515</f>
        <v/>
      </c>
      <c r="AT54" s="7">
        <f>U54*0.001117515+T54*0.001117515</f>
        <v/>
      </c>
      <c r="AU54" s="7">
        <f>V54*0.001117515+U54*0.001117515</f>
        <v/>
      </c>
      <c r="AV54" s="7">
        <f>W54*0.001117515+V54*0.001117515</f>
        <v/>
      </c>
      <c r="AW54" s="7">
        <f>X54*0.001117515+W54*0.001117515</f>
        <v/>
      </c>
      <c r="AX54" s="7">
        <f>Y54*0.001117515+X54*0.001117515</f>
        <v/>
      </c>
      <c r="AY54" s="7">
        <f>Z54*0.001117515+Y54*0.001117515</f>
        <v/>
      </c>
      <c r="AZ54" s="7">
        <f>AA54*0.001117515+Z54*0.001117515</f>
        <v/>
      </c>
      <c r="BA54" s="7">
        <f>D54*0.001117515+AA54*0.001117515</f>
        <v/>
      </c>
      <c r="BB54" s="7">
        <f>SUM(AD54:BA54)</f>
        <v/>
      </c>
    </row>
    <row r="55">
      <c r="A55" t="inlineStr">
        <is>
          <t>AMD-FWDREG-SSC</t>
        </is>
      </c>
      <c r="B55" t="inlineStr">
        <is>
          <t>Forward Regular OSC</t>
        </is>
      </c>
      <c r="C55" s="5" t="n">
        <v>46102</v>
      </c>
      <c r="D55" s="6">
        <f>Summary!D55</f>
        <v/>
      </c>
      <c r="E55" s="6">
        <f>Summary!E55</f>
        <v/>
      </c>
      <c r="F55" s="6">
        <f>Summary!F55</f>
        <v/>
      </c>
      <c r="G55" s="6">
        <f>Summary!G55</f>
        <v/>
      </c>
      <c r="H55" s="6">
        <f>Summary!H55</f>
        <v/>
      </c>
      <c r="I55" s="6">
        <f>Summary!I55</f>
        <v/>
      </c>
      <c r="J55" s="6">
        <f>Summary!J55</f>
        <v/>
      </c>
      <c r="K55" s="6">
        <f>Summary!K55</f>
        <v/>
      </c>
      <c r="L55" s="6">
        <f>Summary!L55</f>
        <v/>
      </c>
      <c r="M55" s="6">
        <f>Summary!M55</f>
        <v/>
      </c>
      <c r="N55" s="6">
        <f>Summary!N55</f>
        <v/>
      </c>
      <c r="O55" s="6">
        <f>Summary!O55</f>
        <v/>
      </c>
      <c r="P55" s="6">
        <f>Summary!P55</f>
        <v/>
      </c>
      <c r="Q55" s="6">
        <f>Summary!Q55</f>
        <v/>
      </c>
      <c r="R55" s="6">
        <f>Summary!R55</f>
        <v/>
      </c>
      <c r="S55" s="6">
        <f>Summary!S55</f>
        <v/>
      </c>
      <c r="T55" s="6">
        <f>Summary!T55</f>
        <v/>
      </c>
      <c r="U55" s="6">
        <f>Summary!U55</f>
        <v/>
      </c>
      <c r="V55" s="6">
        <f>Summary!V55</f>
        <v/>
      </c>
      <c r="W55" s="6">
        <f>Summary!W55</f>
        <v/>
      </c>
      <c r="X55" s="6">
        <f>Summary!X55</f>
        <v/>
      </c>
      <c r="Y55" s="6">
        <f>Summary!Y55</f>
        <v/>
      </c>
      <c r="Z55" s="6">
        <f>Summary!Z55</f>
        <v/>
      </c>
      <c r="AA55" s="6">
        <f>Summary!AA55</f>
        <v/>
      </c>
      <c r="AB55" s="6">
        <f>SUM(D55:AA55)</f>
        <v/>
      </c>
      <c r="AC55" s="3" t="inlineStr"/>
      <c r="AD55" s="7">
        <f>E55*0.001117515+D55*0.001117515</f>
        <v/>
      </c>
      <c r="AE55" s="7">
        <f>F55*0.001117515+E55*0.001117515</f>
        <v/>
      </c>
      <c r="AF55" s="7">
        <f>G55*0.001117515+F55*0.001117515</f>
        <v/>
      </c>
      <c r="AG55" s="7">
        <f>H55*0.001117515+G55*0.001117515</f>
        <v/>
      </c>
      <c r="AH55" s="7">
        <f>I55*0.001117515+H55*0.001117515</f>
        <v/>
      </c>
      <c r="AI55" s="7">
        <f>J55*0.001117515+I55*0.001117515</f>
        <v/>
      </c>
      <c r="AJ55" s="7">
        <f>K55*0.001117515+J55*0.001117515</f>
        <v/>
      </c>
      <c r="AK55" s="7">
        <f>L55*0.001117515+K55*0.001117515</f>
        <v/>
      </c>
      <c r="AL55" s="7">
        <f>M55*0.001117515+L55*0.001117515</f>
        <v/>
      </c>
      <c r="AM55" s="7">
        <f>N55*0.001117515+M55*0.001117515</f>
        <v/>
      </c>
      <c r="AN55" s="7">
        <f>O55*0.001117515+N55*0.001117515</f>
        <v/>
      </c>
      <c r="AO55" s="7">
        <f>P55*0.001117515+O55*0.001117515</f>
        <v/>
      </c>
      <c r="AP55" s="7">
        <f>Q55*0.001117515+P55*0.001117515</f>
        <v/>
      </c>
      <c r="AQ55" s="7">
        <f>R55*0.001117515+Q55*0.001117515</f>
        <v/>
      </c>
      <c r="AR55" s="7">
        <f>S55*0.001117515+R55*0.001117515</f>
        <v/>
      </c>
      <c r="AS55" s="7">
        <f>T55*0.001117515+S55*0.001117515</f>
        <v/>
      </c>
      <c r="AT55" s="7">
        <f>U55*0.001117515+T55*0.001117515</f>
        <v/>
      </c>
      <c r="AU55" s="7">
        <f>V55*0.001117515+U55*0.001117515</f>
        <v/>
      </c>
      <c r="AV55" s="7">
        <f>W55*0.001117515+V55*0.001117515</f>
        <v/>
      </c>
      <c r="AW55" s="7">
        <f>X55*0.001117515+W55*0.001117515</f>
        <v/>
      </c>
      <c r="AX55" s="7">
        <f>Y55*0.001117515+X55*0.001117515</f>
        <v/>
      </c>
      <c r="AY55" s="7">
        <f>Z55*0.001117515+Y55*0.001117515</f>
        <v/>
      </c>
      <c r="AZ55" s="7">
        <f>AA55*0.001117515+Z55*0.001117515</f>
        <v/>
      </c>
      <c r="BA55" s="7">
        <f>D55*0.001117515+AA55*0.001117515</f>
        <v/>
      </c>
      <c r="BB55" s="7">
        <f>SUM(AD55:BA55)</f>
        <v/>
      </c>
    </row>
    <row r="56">
      <c r="A56" t="inlineStr">
        <is>
          <t>AMD-FWDREG-SSC</t>
        </is>
      </c>
      <c r="B56" t="inlineStr">
        <is>
          <t>Forward Regular OSC</t>
        </is>
      </c>
      <c r="C56" s="5" t="n">
        <v>46103</v>
      </c>
      <c r="D56" s="6">
        <f>Summary!D56</f>
        <v/>
      </c>
      <c r="E56" s="6">
        <f>Summary!E56</f>
        <v/>
      </c>
      <c r="F56" s="6">
        <f>Summary!F56</f>
        <v/>
      </c>
      <c r="G56" s="6">
        <f>Summary!G56</f>
        <v/>
      </c>
      <c r="H56" s="6">
        <f>Summary!H56</f>
        <v/>
      </c>
      <c r="I56" s="6">
        <f>Summary!I56</f>
        <v/>
      </c>
      <c r="J56" s="6">
        <f>Summary!J56</f>
        <v/>
      </c>
      <c r="K56" s="6">
        <f>Summary!K56</f>
        <v/>
      </c>
      <c r="L56" s="6">
        <f>Summary!L56</f>
        <v/>
      </c>
      <c r="M56" s="6">
        <f>Summary!M56</f>
        <v/>
      </c>
      <c r="N56" s="6">
        <f>Summary!N56</f>
        <v/>
      </c>
      <c r="O56" s="6">
        <f>Summary!O56</f>
        <v/>
      </c>
      <c r="P56" s="6">
        <f>Summary!P56</f>
        <v/>
      </c>
      <c r="Q56" s="6">
        <f>Summary!Q56</f>
        <v/>
      </c>
      <c r="R56" s="6">
        <f>Summary!R56</f>
        <v/>
      </c>
      <c r="S56" s="6">
        <f>Summary!S56</f>
        <v/>
      </c>
      <c r="T56" s="6">
        <f>Summary!T56</f>
        <v/>
      </c>
      <c r="U56" s="6">
        <f>Summary!U56</f>
        <v/>
      </c>
      <c r="V56" s="6">
        <f>Summary!V56</f>
        <v/>
      </c>
      <c r="W56" s="6">
        <f>Summary!W56</f>
        <v/>
      </c>
      <c r="X56" s="6">
        <f>Summary!X56</f>
        <v/>
      </c>
      <c r="Y56" s="6">
        <f>Summary!Y56</f>
        <v/>
      </c>
      <c r="Z56" s="6">
        <f>Summary!Z56</f>
        <v/>
      </c>
      <c r="AA56" s="6">
        <f>Summary!AA56</f>
        <v/>
      </c>
      <c r="AB56" s="6">
        <f>SUM(D56:AA56)</f>
        <v/>
      </c>
      <c r="AC56" s="3" t="inlineStr"/>
      <c r="AD56" s="7">
        <f>E56*0.001117515+D56*0.001117515</f>
        <v/>
      </c>
      <c r="AE56" s="7">
        <f>F56*0.001117515+E56*0.001117515</f>
        <v/>
      </c>
      <c r="AF56" s="7">
        <f>G56*0.001117515+F56*0.001117515</f>
        <v/>
      </c>
      <c r="AG56" s="7">
        <f>H56*0.001117515+G56*0.001117515</f>
        <v/>
      </c>
      <c r="AH56" s="7">
        <f>I56*0.001117515+H56*0.001117515</f>
        <v/>
      </c>
      <c r="AI56" s="7">
        <f>J56*0.001117515+I56*0.001117515</f>
        <v/>
      </c>
      <c r="AJ56" s="7">
        <f>K56*0.001117515+J56*0.001117515</f>
        <v/>
      </c>
      <c r="AK56" s="7">
        <f>L56*0.001117515+K56*0.001117515</f>
        <v/>
      </c>
      <c r="AL56" s="7">
        <f>M56*0.001117515+L56*0.001117515</f>
        <v/>
      </c>
      <c r="AM56" s="7">
        <f>N56*0.001117515+M56*0.001117515</f>
        <v/>
      </c>
      <c r="AN56" s="7">
        <f>O56*0.001117515+N56*0.001117515</f>
        <v/>
      </c>
      <c r="AO56" s="7">
        <f>P56*0.001117515+O56*0.001117515</f>
        <v/>
      </c>
      <c r="AP56" s="7">
        <f>Q56*0.001117515+P56*0.001117515</f>
        <v/>
      </c>
      <c r="AQ56" s="7">
        <f>R56*0.001117515+Q56*0.001117515</f>
        <v/>
      </c>
      <c r="AR56" s="7">
        <f>S56*0.001117515+R56*0.001117515</f>
        <v/>
      </c>
      <c r="AS56" s="7">
        <f>T56*0.001117515+S56*0.001117515</f>
        <v/>
      </c>
      <c r="AT56" s="7">
        <f>U56*0.001117515+T56*0.001117515</f>
        <v/>
      </c>
      <c r="AU56" s="7">
        <f>V56*0.001117515+U56*0.001117515</f>
        <v/>
      </c>
      <c r="AV56" s="7">
        <f>W56*0.001117515+V56*0.001117515</f>
        <v/>
      </c>
      <c r="AW56" s="7">
        <f>X56*0.001117515+W56*0.001117515</f>
        <v/>
      </c>
      <c r="AX56" s="7">
        <f>Y56*0.001117515+X56*0.001117515</f>
        <v/>
      </c>
      <c r="AY56" s="7">
        <f>Z56*0.001117515+Y56*0.001117515</f>
        <v/>
      </c>
      <c r="AZ56" s="7">
        <f>AA56*0.001117515+Z56*0.001117515</f>
        <v/>
      </c>
      <c r="BA56" s="7">
        <f>D56*0.001117515+AA56*0.001117515</f>
        <v/>
      </c>
      <c r="BB56" s="7">
        <f>SUM(AD56:BA56)</f>
        <v/>
      </c>
    </row>
    <row r="57">
      <c r="A57" t="inlineStr">
        <is>
          <t>AMD-FWDREG-SSC</t>
        </is>
      </c>
      <c r="B57" t="inlineStr">
        <is>
          <t>Forward Regular OSC</t>
        </is>
      </c>
      <c r="C57" s="5" t="n">
        <v>46104</v>
      </c>
      <c r="D57" s="6">
        <f>Summary!D57</f>
        <v/>
      </c>
      <c r="E57" s="6">
        <f>Summary!E57</f>
        <v/>
      </c>
      <c r="F57" s="6">
        <f>Summary!F57</f>
        <v/>
      </c>
      <c r="G57" s="6">
        <f>Summary!G57</f>
        <v/>
      </c>
      <c r="H57" s="6">
        <f>Summary!H57</f>
        <v/>
      </c>
      <c r="I57" s="6">
        <f>Summary!I57</f>
        <v/>
      </c>
      <c r="J57" s="6">
        <f>Summary!J57</f>
        <v/>
      </c>
      <c r="K57" s="6">
        <f>Summary!K57</f>
        <v/>
      </c>
      <c r="L57" s="6">
        <f>Summary!L57</f>
        <v/>
      </c>
      <c r="M57" s="6">
        <f>Summary!M57</f>
        <v/>
      </c>
      <c r="N57" s="6">
        <f>Summary!N57</f>
        <v/>
      </c>
      <c r="O57" s="6">
        <f>Summary!O57</f>
        <v/>
      </c>
      <c r="P57" s="6">
        <f>Summary!P57</f>
        <v/>
      </c>
      <c r="Q57" s="6">
        <f>Summary!Q57</f>
        <v/>
      </c>
      <c r="R57" s="6">
        <f>Summary!R57</f>
        <v/>
      </c>
      <c r="S57" s="6">
        <f>Summary!S57</f>
        <v/>
      </c>
      <c r="T57" s="6">
        <f>Summary!T57</f>
        <v/>
      </c>
      <c r="U57" s="6">
        <f>Summary!U57</f>
        <v/>
      </c>
      <c r="V57" s="6">
        <f>Summary!V57</f>
        <v/>
      </c>
      <c r="W57" s="6">
        <f>Summary!W57</f>
        <v/>
      </c>
      <c r="X57" s="6">
        <f>Summary!X57</f>
        <v/>
      </c>
      <c r="Y57" s="6">
        <f>Summary!Y57</f>
        <v/>
      </c>
      <c r="Z57" s="6">
        <f>Summary!Z57</f>
        <v/>
      </c>
      <c r="AA57" s="6">
        <f>Summary!AA57</f>
        <v/>
      </c>
      <c r="AB57" s="6">
        <f>SUM(D57:AA57)</f>
        <v/>
      </c>
      <c r="AC57" s="3" t="inlineStr"/>
      <c r="AD57" s="7">
        <f>E57*0.001117515+D57*0.001117515</f>
        <v/>
      </c>
      <c r="AE57" s="7">
        <f>F57*0.001117515+E57*0.001117515</f>
        <v/>
      </c>
      <c r="AF57" s="7">
        <f>G57*0.001117515+F57*0.001117515</f>
        <v/>
      </c>
      <c r="AG57" s="7">
        <f>H57*0.001117515+G57*0.001117515</f>
        <v/>
      </c>
      <c r="AH57" s="7">
        <f>I57*0.001117515+H57*0.001117515</f>
        <v/>
      </c>
      <c r="AI57" s="7">
        <f>J57*0.001117515+I57*0.001117515</f>
        <v/>
      </c>
      <c r="AJ57" s="7">
        <f>K57*0.001117515+J57*0.001117515</f>
        <v/>
      </c>
      <c r="AK57" s="7">
        <f>L57*0.001117515+K57*0.001117515</f>
        <v/>
      </c>
      <c r="AL57" s="7">
        <f>M57*0.001117515+L57*0.001117515</f>
        <v/>
      </c>
      <c r="AM57" s="7">
        <f>N57*0.001117515+M57*0.001117515</f>
        <v/>
      </c>
      <c r="AN57" s="7">
        <f>O57*0.001117515+N57*0.001117515</f>
        <v/>
      </c>
      <c r="AO57" s="7">
        <f>P57*0.001117515+O57*0.001117515</f>
        <v/>
      </c>
      <c r="AP57" s="7">
        <f>Q57*0.001117515+P57*0.001117515</f>
        <v/>
      </c>
      <c r="AQ57" s="7">
        <f>R57*0.001117515+Q57*0.001117515</f>
        <v/>
      </c>
      <c r="AR57" s="7">
        <f>S57*0.001117515+R57*0.001117515</f>
        <v/>
      </c>
      <c r="AS57" s="7">
        <f>T57*0.001117515+S57*0.001117515</f>
        <v/>
      </c>
      <c r="AT57" s="7">
        <f>U57*0.001117515+T57*0.001117515</f>
        <v/>
      </c>
      <c r="AU57" s="7">
        <f>V57*0.001117515+U57*0.001117515</f>
        <v/>
      </c>
      <c r="AV57" s="7">
        <f>W57*0.001117515+V57*0.001117515</f>
        <v/>
      </c>
      <c r="AW57" s="7">
        <f>X57*0.001117515+W57*0.001117515</f>
        <v/>
      </c>
      <c r="AX57" s="7">
        <f>Y57*0.001117515+X57*0.001117515</f>
        <v/>
      </c>
      <c r="AY57" s="7">
        <f>Z57*0.001117515+Y57*0.001117515</f>
        <v/>
      </c>
      <c r="AZ57" s="7">
        <f>AA57*0.001117515+Z57*0.001117515</f>
        <v/>
      </c>
      <c r="BA57" s="7">
        <f>D57*0.001117515+AA57*0.001117515</f>
        <v/>
      </c>
      <c r="BB57" s="7">
        <f>SUM(AD57:BA57)</f>
        <v/>
      </c>
    </row>
    <row r="58">
      <c r="A58" t="inlineStr">
        <is>
          <t>AMD-FWDREG-SSC</t>
        </is>
      </c>
      <c r="B58" t="inlineStr">
        <is>
          <t>Forward Regular OSC</t>
        </is>
      </c>
      <c r="C58" s="5" t="n">
        <v>46105</v>
      </c>
      <c r="D58" s="6">
        <f>Summary!D58</f>
        <v/>
      </c>
      <c r="E58" s="6">
        <f>Summary!E58</f>
        <v/>
      </c>
      <c r="F58" s="6">
        <f>Summary!F58</f>
        <v/>
      </c>
      <c r="G58" s="6">
        <f>Summary!G58</f>
        <v/>
      </c>
      <c r="H58" s="6">
        <f>Summary!H58</f>
        <v/>
      </c>
      <c r="I58" s="6">
        <f>Summary!I58</f>
        <v/>
      </c>
      <c r="J58" s="6">
        <f>Summary!J58</f>
        <v/>
      </c>
      <c r="K58" s="6">
        <f>Summary!K58</f>
        <v/>
      </c>
      <c r="L58" s="6">
        <f>Summary!L58</f>
        <v/>
      </c>
      <c r="M58" s="6">
        <f>Summary!M58</f>
        <v/>
      </c>
      <c r="N58" s="6">
        <f>Summary!N58</f>
        <v/>
      </c>
      <c r="O58" s="6">
        <f>Summary!O58</f>
        <v/>
      </c>
      <c r="P58" s="6">
        <f>Summary!P58</f>
        <v/>
      </c>
      <c r="Q58" s="6">
        <f>Summary!Q58</f>
        <v/>
      </c>
      <c r="R58" s="6">
        <f>Summary!R58</f>
        <v/>
      </c>
      <c r="S58" s="6">
        <f>Summary!S58</f>
        <v/>
      </c>
      <c r="T58" s="6">
        <f>Summary!T58</f>
        <v/>
      </c>
      <c r="U58" s="6">
        <f>Summary!U58</f>
        <v/>
      </c>
      <c r="V58" s="6">
        <f>Summary!V58</f>
        <v/>
      </c>
      <c r="W58" s="6">
        <f>Summary!W58</f>
        <v/>
      </c>
      <c r="X58" s="6">
        <f>Summary!X58</f>
        <v/>
      </c>
      <c r="Y58" s="6">
        <f>Summary!Y58</f>
        <v/>
      </c>
      <c r="Z58" s="6">
        <f>Summary!Z58</f>
        <v/>
      </c>
      <c r="AA58" s="6">
        <f>Summary!AA58</f>
        <v/>
      </c>
      <c r="AB58" s="6">
        <f>SUM(D58:AA58)</f>
        <v/>
      </c>
      <c r="AC58" s="3" t="inlineStr"/>
      <c r="AD58" s="7">
        <f>E58*0.001117515+D58*0.001117515</f>
        <v/>
      </c>
      <c r="AE58" s="7">
        <f>F58*0.001117515+E58*0.001117515</f>
        <v/>
      </c>
      <c r="AF58" s="7">
        <f>G58*0.001117515+F58*0.001117515</f>
        <v/>
      </c>
      <c r="AG58" s="7">
        <f>H58*0.001117515+G58*0.001117515</f>
        <v/>
      </c>
      <c r="AH58" s="7">
        <f>I58*0.001117515+H58*0.001117515</f>
        <v/>
      </c>
      <c r="AI58" s="7">
        <f>J58*0.001117515+I58*0.001117515</f>
        <v/>
      </c>
      <c r="AJ58" s="7">
        <f>K58*0.001117515+J58*0.001117515</f>
        <v/>
      </c>
      <c r="AK58" s="7">
        <f>L58*0.001117515+K58*0.001117515</f>
        <v/>
      </c>
      <c r="AL58" s="7">
        <f>M58*0.001117515+L58*0.001117515</f>
        <v/>
      </c>
      <c r="AM58" s="7">
        <f>N58*0.001117515+M58*0.001117515</f>
        <v/>
      </c>
      <c r="AN58" s="7">
        <f>O58*0.001117515+N58*0.001117515</f>
        <v/>
      </c>
      <c r="AO58" s="7">
        <f>P58*0.001117515+O58*0.001117515</f>
        <v/>
      </c>
      <c r="AP58" s="7">
        <f>Q58*0.001117515+P58*0.001117515</f>
        <v/>
      </c>
      <c r="AQ58" s="7">
        <f>R58*0.001117515+Q58*0.001117515</f>
        <v/>
      </c>
      <c r="AR58" s="7">
        <f>S58*0.001117515+R58*0.001117515</f>
        <v/>
      </c>
      <c r="AS58" s="7">
        <f>T58*0.001117515+S58*0.001117515</f>
        <v/>
      </c>
      <c r="AT58" s="7">
        <f>U58*0.001117515+T58*0.001117515</f>
        <v/>
      </c>
      <c r="AU58" s="7">
        <f>V58*0.001117515+U58*0.001117515</f>
        <v/>
      </c>
      <c r="AV58" s="7">
        <f>W58*0.001117515+V58*0.001117515</f>
        <v/>
      </c>
      <c r="AW58" s="7">
        <f>X58*0.001117515+W58*0.001117515</f>
        <v/>
      </c>
      <c r="AX58" s="7">
        <f>Y58*0.001117515+X58*0.001117515</f>
        <v/>
      </c>
      <c r="AY58" s="7">
        <f>Z58*0.001117515+Y58*0.001117515</f>
        <v/>
      </c>
      <c r="AZ58" s="7">
        <f>AA58*0.001117515+Z58*0.001117515</f>
        <v/>
      </c>
      <c r="BA58" s="7">
        <f>D58*0.001117515+AA58*0.001117515</f>
        <v/>
      </c>
      <c r="BB58" s="7">
        <f>SUM(AD58:BA58)</f>
        <v/>
      </c>
    </row>
    <row r="59">
      <c r="A59" t="inlineStr">
        <is>
          <t>AMD-INTRA-SSC</t>
        </is>
      </c>
      <c r="B59" t="inlineStr">
        <is>
          <t>Forward Regular OSC</t>
        </is>
      </c>
      <c r="C59" s="5" t="n">
        <v>46098</v>
      </c>
      <c r="D59" s="6">
        <f>Summary!D59</f>
        <v/>
      </c>
      <c r="E59" s="6">
        <f>Summary!E59</f>
        <v/>
      </c>
      <c r="F59" s="6">
        <f>Summary!F59</f>
        <v/>
      </c>
      <c r="G59" s="6">
        <f>Summary!G59</f>
        <v/>
      </c>
      <c r="H59" s="6">
        <f>Summary!H59</f>
        <v/>
      </c>
      <c r="I59" s="6">
        <f>Summary!I59</f>
        <v/>
      </c>
      <c r="J59" s="6">
        <f>Summary!J59</f>
        <v/>
      </c>
      <c r="K59" s="6">
        <f>Summary!K59</f>
        <v/>
      </c>
      <c r="L59" s="6">
        <f>Summary!L59</f>
        <v/>
      </c>
      <c r="M59" s="6">
        <f>Summary!M59</f>
        <v/>
      </c>
      <c r="N59" s="6">
        <f>Summary!N59</f>
        <v/>
      </c>
      <c r="O59" s="6">
        <f>Summary!O59</f>
        <v/>
      </c>
      <c r="P59" s="6">
        <f>Summary!P59</f>
        <v/>
      </c>
      <c r="Q59" s="6">
        <f>Summary!Q59</f>
        <v/>
      </c>
      <c r="R59" s="6">
        <f>Summary!R59</f>
        <v/>
      </c>
      <c r="S59" s="6">
        <f>Summary!S59</f>
        <v/>
      </c>
      <c r="T59" s="6">
        <f>Summary!T59</f>
        <v/>
      </c>
      <c r="U59" s="6">
        <f>Summary!U59</f>
        <v/>
      </c>
      <c r="V59" s="6">
        <f>Summary!V59</f>
        <v/>
      </c>
      <c r="W59" s="6">
        <f>Summary!W59</f>
        <v/>
      </c>
      <c r="X59" s="6">
        <f>Summary!X59</f>
        <v/>
      </c>
      <c r="Y59" s="6">
        <f>Summary!Y59</f>
        <v/>
      </c>
      <c r="Z59" s="6">
        <f>Summary!Z59</f>
        <v/>
      </c>
      <c r="AA59" s="6">
        <f>Summary!AA59</f>
        <v/>
      </c>
      <c r="AB59" s="6">
        <f>SUM(D59:AA59)</f>
        <v/>
      </c>
      <c r="AC59" s="3" t="inlineStr"/>
      <c r="AD59" s="7">
        <f>E59*0.001117515+D59*0.001117515</f>
        <v/>
      </c>
      <c r="AE59" s="7">
        <f>F59*0.001117515+E59*0.001117515</f>
        <v/>
      </c>
      <c r="AF59" s="7">
        <f>G59*0.001117515+F59*0.001117515</f>
        <v/>
      </c>
      <c r="AG59" s="7">
        <f>H59*0.001117515+G59*0.001117515</f>
        <v/>
      </c>
      <c r="AH59" s="7">
        <f>I59*0.001117515+H59*0.001117515</f>
        <v/>
      </c>
      <c r="AI59" s="7">
        <f>J59*0.001117515+I59*0.001117515</f>
        <v/>
      </c>
      <c r="AJ59" s="7">
        <f>K59*0.001117515+J59*0.001117515</f>
        <v/>
      </c>
      <c r="AK59" s="7">
        <f>L59*0.001117515+K59*0.001117515</f>
        <v/>
      </c>
      <c r="AL59" s="7">
        <f>M59*0.001117515+L59*0.001117515</f>
        <v/>
      </c>
      <c r="AM59" s="7">
        <f>N59*0.001117515+M59*0.001117515</f>
        <v/>
      </c>
      <c r="AN59" s="7">
        <f>O59*0.001117515+N59*0.001117515</f>
        <v/>
      </c>
      <c r="AO59" s="7">
        <f>P59*0.001117515+O59*0.001117515</f>
        <v/>
      </c>
      <c r="AP59" s="7">
        <f>Q59*0.001117515+P59*0.001117515</f>
        <v/>
      </c>
      <c r="AQ59" s="7">
        <f>R59*0.001117515+Q59*0.001117515</f>
        <v/>
      </c>
      <c r="AR59" s="7">
        <f>S59*0.001117515+R59*0.001117515</f>
        <v/>
      </c>
      <c r="AS59" s="7">
        <f>T59*0.001117515+S59*0.001117515</f>
        <v/>
      </c>
      <c r="AT59" s="7">
        <f>U59*0.001117515+T59*0.001117515</f>
        <v/>
      </c>
      <c r="AU59" s="7">
        <f>V59*0.001117515+U59*0.001117515</f>
        <v/>
      </c>
      <c r="AV59" s="7">
        <f>W59*0.001117515+V59*0.001117515</f>
        <v/>
      </c>
      <c r="AW59" s="7">
        <f>X59*0.001117515+W59*0.001117515</f>
        <v/>
      </c>
      <c r="AX59" s="7">
        <f>Y59*0.001117515+X59*0.001117515</f>
        <v/>
      </c>
      <c r="AY59" s="7">
        <f>Z59*0.001117515+Y59*0.001117515</f>
        <v/>
      </c>
      <c r="AZ59" s="7">
        <f>AA59*0.001117515+Z59*0.001117515</f>
        <v/>
      </c>
      <c r="BA59" s="7">
        <f>D59*0.001117515+AA59*0.001117515</f>
        <v/>
      </c>
      <c r="BB59" s="7">
        <f>SUM(AD59:BA59)</f>
        <v/>
      </c>
    </row>
    <row r="60">
      <c r="A60" t="inlineStr">
        <is>
          <t>AMD-INTRA-SSC</t>
        </is>
      </c>
      <c r="B60" t="inlineStr">
        <is>
          <t>Forward Regular OSC</t>
        </is>
      </c>
      <c r="C60" s="5" t="n">
        <v>46099</v>
      </c>
      <c r="D60" s="6">
        <f>Summary!D60</f>
        <v/>
      </c>
      <c r="E60" s="6">
        <f>Summary!E60</f>
        <v/>
      </c>
      <c r="F60" s="6">
        <f>Summary!F60</f>
        <v/>
      </c>
      <c r="G60" s="6">
        <f>Summary!G60</f>
        <v/>
      </c>
      <c r="H60" s="6">
        <f>Summary!H60</f>
        <v/>
      </c>
      <c r="I60" s="6">
        <f>Summary!I60</f>
        <v/>
      </c>
      <c r="J60" s="6">
        <f>Summary!J60</f>
        <v/>
      </c>
      <c r="K60" s="6">
        <f>Summary!K60</f>
        <v/>
      </c>
      <c r="L60" s="6">
        <f>Summary!L60</f>
        <v/>
      </c>
      <c r="M60" s="6">
        <f>Summary!M60</f>
        <v/>
      </c>
      <c r="N60" s="6">
        <f>Summary!N60</f>
        <v/>
      </c>
      <c r="O60" s="6">
        <f>Summary!O60</f>
        <v/>
      </c>
      <c r="P60" s="6">
        <f>Summary!P60</f>
        <v/>
      </c>
      <c r="Q60" s="6">
        <f>Summary!Q60</f>
        <v/>
      </c>
      <c r="R60" s="6">
        <f>Summary!R60</f>
        <v/>
      </c>
      <c r="S60" s="6">
        <f>Summary!S60</f>
        <v/>
      </c>
      <c r="T60" s="6">
        <f>Summary!T60</f>
        <v/>
      </c>
      <c r="U60" s="6">
        <f>Summary!U60</f>
        <v/>
      </c>
      <c r="V60" s="6">
        <f>Summary!V60</f>
        <v/>
      </c>
      <c r="W60" s="6">
        <f>Summary!W60</f>
        <v/>
      </c>
      <c r="X60" s="6">
        <f>Summary!X60</f>
        <v/>
      </c>
      <c r="Y60" s="6">
        <f>Summary!Y60</f>
        <v/>
      </c>
      <c r="Z60" s="6">
        <f>Summary!Z60</f>
        <v/>
      </c>
      <c r="AA60" s="6">
        <f>Summary!AA60</f>
        <v/>
      </c>
      <c r="AB60" s="6">
        <f>SUM(D60:AA60)</f>
        <v/>
      </c>
      <c r="AC60" s="3" t="inlineStr"/>
      <c r="AD60" s="7">
        <f>E60*0.001117515+D60*0.001117515</f>
        <v/>
      </c>
      <c r="AE60" s="7">
        <f>F60*0.001117515+E60*0.001117515</f>
        <v/>
      </c>
      <c r="AF60" s="7">
        <f>G60*0.001117515+F60*0.001117515</f>
        <v/>
      </c>
      <c r="AG60" s="7">
        <f>H60*0.001117515+G60*0.001117515</f>
        <v/>
      </c>
      <c r="AH60" s="7">
        <f>I60*0.001117515+H60*0.001117515</f>
        <v/>
      </c>
      <c r="AI60" s="7">
        <f>J60*0.001117515+I60*0.001117515</f>
        <v/>
      </c>
      <c r="AJ60" s="7">
        <f>K60*0.001117515+J60*0.001117515</f>
        <v/>
      </c>
      <c r="AK60" s="7">
        <f>L60*0.001117515+K60*0.001117515</f>
        <v/>
      </c>
      <c r="AL60" s="7">
        <f>M60*0.001117515+L60*0.001117515</f>
        <v/>
      </c>
      <c r="AM60" s="7">
        <f>N60*0.001117515+M60*0.001117515</f>
        <v/>
      </c>
      <c r="AN60" s="7">
        <f>O60*0.001117515+N60*0.001117515</f>
        <v/>
      </c>
      <c r="AO60" s="7">
        <f>P60*0.001117515+O60*0.001117515</f>
        <v/>
      </c>
      <c r="AP60" s="7">
        <f>Q60*0.001117515+P60*0.001117515</f>
        <v/>
      </c>
      <c r="AQ60" s="7">
        <f>R60*0.001117515+Q60*0.001117515</f>
        <v/>
      </c>
      <c r="AR60" s="7">
        <f>S60*0.001117515+R60*0.001117515</f>
        <v/>
      </c>
      <c r="AS60" s="7">
        <f>T60*0.001117515+S60*0.001117515</f>
        <v/>
      </c>
      <c r="AT60" s="7">
        <f>U60*0.001117515+T60*0.001117515</f>
        <v/>
      </c>
      <c r="AU60" s="7">
        <f>V60*0.001117515+U60*0.001117515</f>
        <v/>
      </c>
      <c r="AV60" s="7">
        <f>W60*0.001117515+V60*0.001117515</f>
        <v/>
      </c>
      <c r="AW60" s="7">
        <f>X60*0.001117515+W60*0.001117515</f>
        <v/>
      </c>
      <c r="AX60" s="7">
        <f>Y60*0.001117515+X60*0.001117515</f>
        <v/>
      </c>
      <c r="AY60" s="7">
        <f>Z60*0.001117515+Y60*0.001117515</f>
        <v/>
      </c>
      <c r="AZ60" s="7">
        <f>AA60*0.001117515+Z60*0.001117515</f>
        <v/>
      </c>
      <c r="BA60" s="7">
        <f>D60*0.001117515+AA60*0.001117515</f>
        <v/>
      </c>
      <c r="BB60" s="7">
        <f>SUM(AD60:BA60)</f>
        <v/>
      </c>
    </row>
    <row r="61">
      <c r="A61" t="inlineStr">
        <is>
          <t>AMD-INTRA-SSC</t>
        </is>
      </c>
      <c r="B61" t="inlineStr">
        <is>
          <t>Forward Regular OSC</t>
        </is>
      </c>
      <c r="C61" s="5" t="n">
        <v>46100</v>
      </c>
      <c r="D61" s="6">
        <f>Summary!D61</f>
        <v/>
      </c>
      <c r="E61" s="6">
        <f>Summary!E61</f>
        <v/>
      </c>
      <c r="F61" s="6">
        <f>Summary!F61</f>
        <v/>
      </c>
      <c r="G61" s="6">
        <f>Summary!G61</f>
        <v/>
      </c>
      <c r="H61" s="6">
        <f>Summary!H61</f>
        <v/>
      </c>
      <c r="I61" s="6">
        <f>Summary!I61</f>
        <v/>
      </c>
      <c r="J61" s="6">
        <f>Summary!J61</f>
        <v/>
      </c>
      <c r="K61" s="6">
        <f>Summary!K61</f>
        <v/>
      </c>
      <c r="L61" s="6">
        <f>Summary!L61</f>
        <v/>
      </c>
      <c r="M61" s="6">
        <f>Summary!M61</f>
        <v/>
      </c>
      <c r="N61" s="6">
        <f>Summary!N61</f>
        <v/>
      </c>
      <c r="O61" s="6">
        <f>Summary!O61</f>
        <v/>
      </c>
      <c r="P61" s="6">
        <f>Summary!P61</f>
        <v/>
      </c>
      <c r="Q61" s="6">
        <f>Summary!Q61</f>
        <v/>
      </c>
      <c r="R61" s="6">
        <f>Summary!R61</f>
        <v/>
      </c>
      <c r="S61" s="6">
        <f>Summary!S61</f>
        <v/>
      </c>
      <c r="T61" s="6">
        <f>Summary!T61</f>
        <v/>
      </c>
      <c r="U61" s="6">
        <f>Summary!U61</f>
        <v/>
      </c>
      <c r="V61" s="6">
        <f>Summary!V61</f>
        <v/>
      </c>
      <c r="W61" s="6">
        <f>Summary!W61</f>
        <v/>
      </c>
      <c r="X61" s="6">
        <f>Summary!X61</f>
        <v/>
      </c>
      <c r="Y61" s="6">
        <f>Summary!Y61</f>
        <v/>
      </c>
      <c r="Z61" s="6">
        <f>Summary!Z61</f>
        <v/>
      </c>
      <c r="AA61" s="6">
        <f>Summary!AA61</f>
        <v/>
      </c>
      <c r="AB61" s="6">
        <f>SUM(D61:AA61)</f>
        <v/>
      </c>
      <c r="AC61" s="3" t="inlineStr"/>
      <c r="AD61" s="7">
        <f>E61*0.001117515+D61*0.001117515</f>
        <v/>
      </c>
      <c r="AE61" s="7">
        <f>F61*0.001117515+E61*0.001117515</f>
        <v/>
      </c>
      <c r="AF61" s="7">
        <f>G61*0.001117515+F61*0.001117515</f>
        <v/>
      </c>
      <c r="AG61" s="7">
        <f>H61*0.001117515+G61*0.001117515</f>
        <v/>
      </c>
      <c r="AH61" s="7">
        <f>I61*0.001117515+H61*0.001117515</f>
        <v/>
      </c>
      <c r="AI61" s="7">
        <f>J61*0.001117515+I61*0.001117515</f>
        <v/>
      </c>
      <c r="AJ61" s="7">
        <f>K61*0.001117515+J61*0.001117515</f>
        <v/>
      </c>
      <c r="AK61" s="7">
        <f>L61*0.001117515+K61*0.001117515</f>
        <v/>
      </c>
      <c r="AL61" s="7">
        <f>M61*0.001117515+L61*0.001117515</f>
        <v/>
      </c>
      <c r="AM61" s="7">
        <f>N61*0.001117515+M61*0.001117515</f>
        <v/>
      </c>
      <c r="AN61" s="7">
        <f>O61*0.001117515+N61*0.001117515</f>
        <v/>
      </c>
      <c r="AO61" s="7">
        <f>P61*0.001117515+O61*0.001117515</f>
        <v/>
      </c>
      <c r="AP61" s="7">
        <f>Q61*0.001117515+P61*0.001117515</f>
        <v/>
      </c>
      <c r="AQ61" s="7">
        <f>R61*0.001117515+Q61*0.001117515</f>
        <v/>
      </c>
      <c r="AR61" s="7">
        <f>S61*0.001117515+R61*0.001117515</f>
        <v/>
      </c>
      <c r="AS61" s="7">
        <f>T61*0.001117515+S61*0.001117515</f>
        <v/>
      </c>
      <c r="AT61" s="7">
        <f>U61*0.001117515+T61*0.001117515</f>
        <v/>
      </c>
      <c r="AU61" s="7">
        <f>V61*0.001117515+U61*0.001117515</f>
        <v/>
      </c>
      <c r="AV61" s="7">
        <f>W61*0.001117515+V61*0.001117515</f>
        <v/>
      </c>
      <c r="AW61" s="7">
        <f>X61*0.001117515+W61*0.001117515</f>
        <v/>
      </c>
      <c r="AX61" s="7">
        <f>Y61*0.001117515+X61*0.001117515</f>
        <v/>
      </c>
      <c r="AY61" s="7">
        <f>Z61*0.001117515+Y61*0.001117515</f>
        <v/>
      </c>
      <c r="AZ61" s="7">
        <f>AA61*0.001117515+Z61*0.001117515</f>
        <v/>
      </c>
      <c r="BA61" s="7">
        <f>D61*0.001117515+AA61*0.001117515</f>
        <v/>
      </c>
      <c r="BB61" s="7">
        <f>SUM(AD61:BA61)</f>
        <v/>
      </c>
    </row>
    <row r="62">
      <c r="A62" t="inlineStr">
        <is>
          <t>AMD-INTRA-SSC</t>
        </is>
      </c>
      <c r="B62" t="inlineStr">
        <is>
          <t>Forward Regular OSC</t>
        </is>
      </c>
      <c r="C62" s="5" t="n">
        <v>46101</v>
      </c>
      <c r="D62" s="6">
        <f>Summary!D62</f>
        <v/>
      </c>
      <c r="E62" s="6">
        <f>Summary!E62</f>
        <v/>
      </c>
      <c r="F62" s="6">
        <f>Summary!F62</f>
        <v/>
      </c>
      <c r="G62" s="6">
        <f>Summary!G62</f>
        <v/>
      </c>
      <c r="H62" s="6">
        <f>Summary!H62</f>
        <v/>
      </c>
      <c r="I62" s="6">
        <f>Summary!I62</f>
        <v/>
      </c>
      <c r="J62" s="6">
        <f>Summary!J62</f>
        <v/>
      </c>
      <c r="K62" s="6">
        <f>Summary!K62</f>
        <v/>
      </c>
      <c r="L62" s="6">
        <f>Summary!L62</f>
        <v/>
      </c>
      <c r="M62" s="6">
        <f>Summary!M62</f>
        <v/>
      </c>
      <c r="N62" s="6">
        <f>Summary!N62</f>
        <v/>
      </c>
      <c r="O62" s="6">
        <f>Summary!O62</f>
        <v/>
      </c>
      <c r="P62" s="6">
        <f>Summary!P62</f>
        <v/>
      </c>
      <c r="Q62" s="6">
        <f>Summary!Q62</f>
        <v/>
      </c>
      <c r="R62" s="6">
        <f>Summary!R62</f>
        <v/>
      </c>
      <c r="S62" s="6">
        <f>Summary!S62</f>
        <v/>
      </c>
      <c r="T62" s="6">
        <f>Summary!T62</f>
        <v/>
      </c>
      <c r="U62" s="6">
        <f>Summary!U62</f>
        <v/>
      </c>
      <c r="V62" s="6">
        <f>Summary!V62</f>
        <v/>
      </c>
      <c r="W62" s="6">
        <f>Summary!W62</f>
        <v/>
      </c>
      <c r="X62" s="6">
        <f>Summary!X62</f>
        <v/>
      </c>
      <c r="Y62" s="6">
        <f>Summary!Y62</f>
        <v/>
      </c>
      <c r="Z62" s="6">
        <f>Summary!Z62</f>
        <v/>
      </c>
      <c r="AA62" s="6">
        <f>Summary!AA62</f>
        <v/>
      </c>
      <c r="AB62" s="6">
        <f>SUM(D62:AA62)</f>
        <v/>
      </c>
      <c r="AC62" s="3" t="inlineStr"/>
      <c r="AD62" s="7">
        <f>E62*0.001117515+D62*0.001117515</f>
        <v/>
      </c>
      <c r="AE62" s="7">
        <f>F62*0.001117515+E62*0.001117515</f>
        <v/>
      </c>
      <c r="AF62" s="7">
        <f>G62*0.001117515+F62*0.001117515</f>
        <v/>
      </c>
      <c r="AG62" s="7">
        <f>H62*0.001117515+G62*0.001117515</f>
        <v/>
      </c>
      <c r="AH62" s="7">
        <f>I62*0.001117515+H62*0.001117515</f>
        <v/>
      </c>
      <c r="AI62" s="7">
        <f>J62*0.001117515+I62*0.001117515</f>
        <v/>
      </c>
      <c r="AJ62" s="7">
        <f>K62*0.001117515+J62*0.001117515</f>
        <v/>
      </c>
      <c r="AK62" s="7">
        <f>L62*0.001117515+K62*0.001117515</f>
        <v/>
      </c>
      <c r="AL62" s="7">
        <f>M62*0.001117515+L62*0.001117515</f>
        <v/>
      </c>
      <c r="AM62" s="7">
        <f>N62*0.001117515+M62*0.001117515</f>
        <v/>
      </c>
      <c r="AN62" s="7">
        <f>O62*0.001117515+N62*0.001117515</f>
        <v/>
      </c>
      <c r="AO62" s="7">
        <f>P62*0.001117515+O62*0.001117515</f>
        <v/>
      </c>
      <c r="AP62" s="7">
        <f>Q62*0.001117515+P62*0.001117515</f>
        <v/>
      </c>
      <c r="AQ62" s="7">
        <f>R62*0.001117515+Q62*0.001117515</f>
        <v/>
      </c>
      <c r="AR62" s="7">
        <f>S62*0.001117515+R62*0.001117515</f>
        <v/>
      </c>
      <c r="AS62" s="7">
        <f>T62*0.001117515+S62*0.001117515</f>
        <v/>
      </c>
      <c r="AT62" s="7">
        <f>U62*0.001117515+T62*0.001117515</f>
        <v/>
      </c>
      <c r="AU62" s="7">
        <f>V62*0.001117515+U62*0.001117515</f>
        <v/>
      </c>
      <c r="AV62" s="7">
        <f>W62*0.001117515+V62*0.001117515</f>
        <v/>
      </c>
      <c r="AW62" s="7">
        <f>X62*0.001117515+W62*0.001117515</f>
        <v/>
      </c>
      <c r="AX62" s="7">
        <f>Y62*0.001117515+X62*0.001117515</f>
        <v/>
      </c>
      <c r="AY62" s="7">
        <f>Z62*0.001117515+Y62*0.001117515</f>
        <v/>
      </c>
      <c r="AZ62" s="7">
        <f>AA62*0.001117515+Z62*0.001117515</f>
        <v/>
      </c>
      <c r="BA62" s="7">
        <f>D62*0.001117515+AA62*0.001117515</f>
        <v/>
      </c>
      <c r="BB62" s="7">
        <f>SUM(AD62:BA62)</f>
        <v/>
      </c>
    </row>
    <row r="63">
      <c r="A63" t="inlineStr">
        <is>
          <t>AMD-INTRA-SSC</t>
        </is>
      </c>
      <c r="B63" t="inlineStr">
        <is>
          <t>Forward Regular OSC</t>
        </is>
      </c>
      <c r="C63" s="5" t="n">
        <v>46102</v>
      </c>
      <c r="D63" s="6">
        <f>Summary!D63</f>
        <v/>
      </c>
      <c r="E63" s="6">
        <f>Summary!E63</f>
        <v/>
      </c>
      <c r="F63" s="6">
        <f>Summary!F63</f>
        <v/>
      </c>
      <c r="G63" s="6">
        <f>Summary!G63</f>
        <v/>
      </c>
      <c r="H63" s="6">
        <f>Summary!H63</f>
        <v/>
      </c>
      <c r="I63" s="6">
        <f>Summary!I63</f>
        <v/>
      </c>
      <c r="J63" s="6">
        <f>Summary!J63</f>
        <v/>
      </c>
      <c r="K63" s="6">
        <f>Summary!K63</f>
        <v/>
      </c>
      <c r="L63" s="6">
        <f>Summary!L63</f>
        <v/>
      </c>
      <c r="M63" s="6">
        <f>Summary!M63</f>
        <v/>
      </c>
      <c r="N63" s="6">
        <f>Summary!N63</f>
        <v/>
      </c>
      <c r="O63" s="6">
        <f>Summary!O63</f>
        <v/>
      </c>
      <c r="P63" s="6">
        <f>Summary!P63</f>
        <v/>
      </c>
      <c r="Q63" s="6">
        <f>Summary!Q63</f>
        <v/>
      </c>
      <c r="R63" s="6">
        <f>Summary!R63</f>
        <v/>
      </c>
      <c r="S63" s="6">
        <f>Summary!S63</f>
        <v/>
      </c>
      <c r="T63" s="6">
        <f>Summary!T63</f>
        <v/>
      </c>
      <c r="U63" s="6">
        <f>Summary!U63</f>
        <v/>
      </c>
      <c r="V63" s="6">
        <f>Summary!V63</f>
        <v/>
      </c>
      <c r="W63" s="6">
        <f>Summary!W63</f>
        <v/>
      </c>
      <c r="X63" s="6">
        <f>Summary!X63</f>
        <v/>
      </c>
      <c r="Y63" s="6">
        <f>Summary!Y63</f>
        <v/>
      </c>
      <c r="Z63" s="6">
        <f>Summary!Z63</f>
        <v/>
      </c>
      <c r="AA63" s="6">
        <f>Summary!AA63</f>
        <v/>
      </c>
      <c r="AB63" s="6">
        <f>SUM(D63:AA63)</f>
        <v/>
      </c>
      <c r="AC63" s="3" t="inlineStr"/>
      <c r="AD63" s="7">
        <f>E63*0.001117515+D63*0.001117515</f>
        <v/>
      </c>
      <c r="AE63" s="7">
        <f>F63*0.001117515+E63*0.001117515</f>
        <v/>
      </c>
      <c r="AF63" s="7">
        <f>G63*0.001117515+F63*0.001117515</f>
        <v/>
      </c>
      <c r="AG63" s="7">
        <f>H63*0.001117515+G63*0.001117515</f>
        <v/>
      </c>
      <c r="AH63" s="7">
        <f>I63*0.001117515+H63*0.001117515</f>
        <v/>
      </c>
      <c r="AI63" s="7">
        <f>J63*0.001117515+I63*0.001117515</f>
        <v/>
      </c>
      <c r="AJ63" s="7">
        <f>K63*0.001117515+J63*0.001117515</f>
        <v/>
      </c>
      <c r="AK63" s="7">
        <f>L63*0.001117515+K63*0.001117515</f>
        <v/>
      </c>
      <c r="AL63" s="7">
        <f>M63*0.001117515+L63*0.001117515</f>
        <v/>
      </c>
      <c r="AM63" s="7">
        <f>N63*0.001117515+M63*0.001117515</f>
        <v/>
      </c>
      <c r="AN63" s="7">
        <f>O63*0.001117515+N63*0.001117515</f>
        <v/>
      </c>
      <c r="AO63" s="7">
        <f>P63*0.001117515+O63*0.001117515</f>
        <v/>
      </c>
      <c r="AP63" s="7">
        <f>Q63*0.001117515+P63*0.001117515</f>
        <v/>
      </c>
      <c r="AQ63" s="7">
        <f>R63*0.001117515+Q63*0.001117515</f>
        <v/>
      </c>
      <c r="AR63" s="7">
        <f>S63*0.001117515+R63*0.001117515</f>
        <v/>
      </c>
      <c r="AS63" s="7">
        <f>T63*0.001117515+S63*0.001117515</f>
        <v/>
      </c>
      <c r="AT63" s="7">
        <f>U63*0.001117515+T63*0.001117515</f>
        <v/>
      </c>
      <c r="AU63" s="7">
        <f>V63*0.001117515+U63*0.001117515</f>
        <v/>
      </c>
      <c r="AV63" s="7">
        <f>W63*0.001117515+V63*0.001117515</f>
        <v/>
      </c>
      <c r="AW63" s="7">
        <f>X63*0.001117515+W63*0.001117515</f>
        <v/>
      </c>
      <c r="AX63" s="7">
        <f>Y63*0.001117515+X63*0.001117515</f>
        <v/>
      </c>
      <c r="AY63" s="7">
        <f>Z63*0.001117515+Y63*0.001117515</f>
        <v/>
      </c>
      <c r="AZ63" s="7">
        <f>AA63*0.001117515+Z63*0.001117515</f>
        <v/>
      </c>
      <c r="BA63" s="7">
        <f>D63*0.001117515+AA63*0.001117515</f>
        <v/>
      </c>
      <c r="BB63" s="7">
        <f>SUM(AD63:BA63)</f>
        <v/>
      </c>
    </row>
    <row r="64">
      <c r="A64" t="inlineStr">
        <is>
          <t>AMD-INTRA-SSC</t>
        </is>
      </c>
      <c r="B64" t="inlineStr">
        <is>
          <t>Forward Regular OSC</t>
        </is>
      </c>
      <c r="C64" s="5" t="n">
        <v>46103</v>
      </c>
      <c r="D64" s="6">
        <f>Summary!D64</f>
        <v/>
      </c>
      <c r="E64" s="6">
        <f>Summary!E64</f>
        <v/>
      </c>
      <c r="F64" s="6">
        <f>Summary!F64</f>
        <v/>
      </c>
      <c r="G64" s="6">
        <f>Summary!G64</f>
        <v/>
      </c>
      <c r="H64" s="6">
        <f>Summary!H64</f>
        <v/>
      </c>
      <c r="I64" s="6">
        <f>Summary!I64</f>
        <v/>
      </c>
      <c r="J64" s="6">
        <f>Summary!J64</f>
        <v/>
      </c>
      <c r="K64" s="6">
        <f>Summary!K64</f>
        <v/>
      </c>
      <c r="L64" s="6">
        <f>Summary!L64</f>
        <v/>
      </c>
      <c r="M64" s="6">
        <f>Summary!M64</f>
        <v/>
      </c>
      <c r="N64" s="6">
        <f>Summary!N64</f>
        <v/>
      </c>
      <c r="O64" s="6">
        <f>Summary!O64</f>
        <v/>
      </c>
      <c r="P64" s="6">
        <f>Summary!P64</f>
        <v/>
      </c>
      <c r="Q64" s="6">
        <f>Summary!Q64</f>
        <v/>
      </c>
      <c r="R64" s="6">
        <f>Summary!R64</f>
        <v/>
      </c>
      <c r="S64" s="6">
        <f>Summary!S64</f>
        <v/>
      </c>
      <c r="T64" s="6">
        <f>Summary!T64</f>
        <v/>
      </c>
      <c r="U64" s="6">
        <f>Summary!U64</f>
        <v/>
      </c>
      <c r="V64" s="6">
        <f>Summary!V64</f>
        <v/>
      </c>
      <c r="W64" s="6">
        <f>Summary!W64</f>
        <v/>
      </c>
      <c r="X64" s="6">
        <f>Summary!X64</f>
        <v/>
      </c>
      <c r="Y64" s="6">
        <f>Summary!Y64</f>
        <v/>
      </c>
      <c r="Z64" s="6">
        <f>Summary!Z64</f>
        <v/>
      </c>
      <c r="AA64" s="6">
        <f>Summary!AA64</f>
        <v/>
      </c>
      <c r="AB64" s="6">
        <f>SUM(D64:AA64)</f>
        <v/>
      </c>
      <c r="AC64" s="3" t="inlineStr"/>
      <c r="AD64" s="7">
        <f>E64*0.001117515+D64*0.001117515</f>
        <v/>
      </c>
      <c r="AE64" s="7">
        <f>F64*0.001117515+E64*0.001117515</f>
        <v/>
      </c>
      <c r="AF64" s="7">
        <f>G64*0.001117515+F64*0.001117515</f>
        <v/>
      </c>
      <c r="AG64" s="7">
        <f>H64*0.001117515+G64*0.001117515</f>
        <v/>
      </c>
      <c r="AH64" s="7">
        <f>I64*0.001117515+H64*0.001117515</f>
        <v/>
      </c>
      <c r="AI64" s="7">
        <f>J64*0.001117515+I64*0.001117515</f>
        <v/>
      </c>
      <c r="AJ64" s="7">
        <f>K64*0.001117515+J64*0.001117515</f>
        <v/>
      </c>
      <c r="AK64" s="7">
        <f>L64*0.001117515+K64*0.001117515</f>
        <v/>
      </c>
      <c r="AL64" s="7">
        <f>M64*0.001117515+L64*0.001117515</f>
        <v/>
      </c>
      <c r="AM64" s="7">
        <f>N64*0.001117515+M64*0.001117515</f>
        <v/>
      </c>
      <c r="AN64" s="7">
        <f>O64*0.001117515+N64*0.001117515</f>
        <v/>
      </c>
      <c r="AO64" s="7">
        <f>P64*0.001117515+O64*0.001117515</f>
        <v/>
      </c>
      <c r="AP64" s="7">
        <f>Q64*0.001117515+P64*0.001117515</f>
        <v/>
      </c>
      <c r="AQ64" s="7">
        <f>R64*0.001117515+Q64*0.001117515</f>
        <v/>
      </c>
      <c r="AR64" s="7">
        <f>S64*0.001117515+R64*0.001117515</f>
        <v/>
      </c>
      <c r="AS64" s="7">
        <f>T64*0.001117515+S64*0.001117515</f>
        <v/>
      </c>
      <c r="AT64" s="7">
        <f>U64*0.001117515+T64*0.001117515</f>
        <v/>
      </c>
      <c r="AU64" s="7">
        <f>V64*0.001117515+U64*0.001117515</f>
        <v/>
      </c>
      <c r="AV64" s="7">
        <f>W64*0.001117515+V64*0.001117515</f>
        <v/>
      </c>
      <c r="AW64" s="7">
        <f>X64*0.001117515+W64*0.001117515</f>
        <v/>
      </c>
      <c r="AX64" s="7">
        <f>Y64*0.001117515+X64*0.001117515</f>
        <v/>
      </c>
      <c r="AY64" s="7">
        <f>Z64*0.001117515+Y64*0.001117515</f>
        <v/>
      </c>
      <c r="AZ64" s="7">
        <f>AA64*0.001117515+Z64*0.001117515</f>
        <v/>
      </c>
      <c r="BA64" s="7">
        <f>D64*0.001117515+AA64*0.001117515</f>
        <v/>
      </c>
      <c r="BB64" s="7">
        <f>SUM(AD64:BA64)</f>
        <v/>
      </c>
    </row>
    <row r="65">
      <c r="A65" t="inlineStr">
        <is>
          <t>AMD-INTRA-SSC</t>
        </is>
      </c>
      <c r="B65" t="inlineStr">
        <is>
          <t>Forward Regular OSC</t>
        </is>
      </c>
      <c r="C65" s="5" t="n">
        <v>46104</v>
      </c>
      <c r="D65" s="6">
        <f>Summary!D65</f>
        <v/>
      </c>
      <c r="E65" s="6">
        <f>Summary!E65</f>
        <v/>
      </c>
      <c r="F65" s="6">
        <f>Summary!F65</f>
        <v/>
      </c>
      <c r="G65" s="6">
        <f>Summary!G65</f>
        <v/>
      </c>
      <c r="H65" s="6">
        <f>Summary!H65</f>
        <v/>
      </c>
      <c r="I65" s="6">
        <f>Summary!I65</f>
        <v/>
      </c>
      <c r="J65" s="6">
        <f>Summary!J65</f>
        <v/>
      </c>
      <c r="K65" s="6">
        <f>Summary!K65</f>
        <v/>
      </c>
      <c r="L65" s="6">
        <f>Summary!L65</f>
        <v/>
      </c>
      <c r="M65" s="6">
        <f>Summary!M65</f>
        <v/>
      </c>
      <c r="N65" s="6">
        <f>Summary!N65</f>
        <v/>
      </c>
      <c r="O65" s="6">
        <f>Summary!O65</f>
        <v/>
      </c>
      <c r="P65" s="6">
        <f>Summary!P65</f>
        <v/>
      </c>
      <c r="Q65" s="6">
        <f>Summary!Q65</f>
        <v/>
      </c>
      <c r="R65" s="6">
        <f>Summary!R65</f>
        <v/>
      </c>
      <c r="S65" s="6">
        <f>Summary!S65</f>
        <v/>
      </c>
      <c r="T65" s="6">
        <f>Summary!T65</f>
        <v/>
      </c>
      <c r="U65" s="6">
        <f>Summary!U65</f>
        <v/>
      </c>
      <c r="V65" s="6">
        <f>Summary!V65</f>
        <v/>
      </c>
      <c r="W65" s="6">
        <f>Summary!W65</f>
        <v/>
      </c>
      <c r="X65" s="6">
        <f>Summary!X65</f>
        <v/>
      </c>
      <c r="Y65" s="6">
        <f>Summary!Y65</f>
        <v/>
      </c>
      <c r="Z65" s="6">
        <f>Summary!Z65</f>
        <v/>
      </c>
      <c r="AA65" s="6">
        <f>Summary!AA65</f>
        <v/>
      </c>
      <c r="AB65" s="6">
        <f>SUM(D65:AA65)</f>
        <v/>
      </c>
      <c r="AC65" s="3" t="inlineStr"/>
      <c r="AD65" s="7">
        <f>E65*0.001117515+D65*0.001117515</f>
        <v/>
      </c>
      <c r="AE65" s="7">
        <f>F65*0.001117515+E65*0.001117515</f>
        <v/>
      </c>
      <c r="AF65" s="7">
        <f>G65*0.001117515+F65*0.001117515</f>
        <v/>
      </c>
      <c r="AG65" s="7">
        <f>H65*0.001117515+G65*0.001117515</f>
        <v/>
      </c>
      <c r="AH65" s="7">
        <f>I65*0.001117515+H65*0.001117515</f>
        <v/>
      </c>
      <c r="AI65" s="7">
        <f>J65*0.001117515+I65*0.001117515</f>
        <v/>
      </c>
      <c r="AJ65" s="7">
        <f>K65*0.001117515+J65*0.001117515</f>
        <v/>
      </c>
      <c r="AK65" s="7">
        <f>L65*0.001117515+K65*0.001117515</f>
        <v/>
      </c>
      <c r="AL65" s="7">
        <f>M65*0.001117515+L65*0.001117515</f>
        <v/>
      </c>
      <c r="AM65" s="7">
        <f>N65*0.001117515+M65*0.001117515</f>
        <v/>
      </c>
      <c r="AN65" s="7">
        <f>O65*0.001117515+N65*0.001117515</f>
        <v/>
      </c>
      <c r="AO65" s="7">
        <f>P65*0.001117515+O65*0.001117515</f>
        <v/>
      </c>
      <c r="AP65" s="7">
        <f>Q65*0.001117515+P65*0.001117515</f>
        <v/>
      </c>
      <c r="AQ65" s="7">
        <f>R65*0.001117515+Q65*0.001117515</f>
        <v/>
      </c>
      <c r="AR65" s="7">
        <f>S65*0.001117515+R65*0.001117515</f>
        <v/>
      </c>
      <c r="AS65" s="7">
        <f>T65*0.001117515+S65*0.001117515</f>
        <v/>
      </c>
      <c r="AT65" s="7">
        <f>U65*0.001117515+T65*0.001117515</f>
        <v/>
      </c>
      <c r="AU65" s="7">
        <f>V65*0.001117515+U65*0.001117515</f>
        <v/>
      </c>
      <c r="AV65" s="7">
        <f>W65*0.001117515+V65*0.001117515</f>
        <v/>
      </c>
      <c r="AW65" s="7">
        <f>X65*0.001117515+W65*0.001117515</f>
        <v/>
      </c>
      <c r="AX65" s="7">
        <f>Y65*0.001117515+X65*0.001117515</f>
        <v/>
      </c>
      <c r="AY65" s="7">
        <f>Z65*0.001117515+Y65*0.001117515</f>
        <v/>
      </c>
      <c r="AZ65" s="7">
        <f>AA65*0.001117515+Z65*0.001117515</f>
        <v/>
      </c>
      <c r="BA65" s="7">
        <f>D65*0.001117515+AA65*0.001117515</f>
        <v/>
      </c>
      <c r="BB65" s="7">
        <f>SUM(AD65:BA65)</f>
        <v/>
      </c>
    </row>
    <row r="66">
      <c r="A66" t="inlineStr">
        <is>
          <t>AMD-INTRA-SSC</t>
        </is>
      </c>
      <c r="B66" t="inlineStr">
        <is>
          <t>Forward Regular OSC</t>
        </is>
      </c>
      <c r="C66" s="5" t="n">
        <v>46105</v>
      </c>
      <c r="D66" s="6">
        <f>Summary!D66</f>
        <v/>
      </c>
      <c r="E66" s="6">
        <f>Summary!E66</f>
        <v/>
      </c>
      <c r="F66" s="6">
        <f>Summary!F66</f>
        <v/>
      </c>
      <c r="G66" s="6">
        <f>Summary!G66</f>
        <v/>
      </c>
      <c r="H66" s="6">
        <f>Summary!H66</f>
        <v/>
      </c>
      <c r="I66" s="6">
        <f>Summary!I66</f>
        <v/>
      </c>
      <c r="J66" s="6">
        <f>Summary!J66</f>
        <v/>
      </c>
      <c r="K66" s="6">
        <f>Summary!K66</f>
        <v/>
      </c>
      <c r="L66" s="6">
        <f>Summary!L66</f>
        <v/>
      </c>
      <c r="M66" s="6">
        <f>Summary!M66</f>
        <v/>
      </c>
      <c r="N66" s="6">
        <f>Summary!N66</f>
        <v/>
      </c>
      <c r="O66" s="6">
        <f>Summary!O66</f>
        <v/>
      </c>
      <c r="P66" s="6">
        <f>Summary!P66</f>
        <v/>
      </c>
      <c r="Q66" s="6">
        <f>Summary!Q66</f>
        <v/>
      </c>
      <c r="R66" s="6">
        <f>Summary!R66</f>
        <v/>
      </c>
      <c r="S66" s="6">
        <f>Summary!S66</f>
        <v/>
      </c>
      <c r="T66" s="6">
        <f>Summary!T66</f>
        <v/>
      </c>
      <c r="U66" s="6">
        <f>Summary!U66</f>
        <v/>
      </c>
      <c r="V66" s="6">
        <f>Summary!V66</f>
        <v/>
      </c>
      <c r="W66" s="6">
        <f>Summary!W66</f>
        <v/>
      </c>
      <c r="X66" s="6">
        <f>Summary!X66</f>
        <v/>
      </c>
      <c r="Y66" s="6">
        <f>Summary!Y66</f>
        <v/>
      </c>
      <c r="Z66" s="6">
        <f>Summary!Z66</f>
        <v/>
      </c>
      <c r="AA66" s="6">
        <f>Summary!AA66</f>
        <v/>
      </c>
      <c r="AB66" s="6">
        <f>SUM(D66:AA66)</f>
        <v/>
      </c>
      <c r="AC66" s="3" t="inlineStr"/>
      <c r="AD66" s="7">
        <f>E66*0.001117515+D66*0.001117515</f>
        <v/>
      </c>
      <c r="AE66" s="7">
        <f>F66*0.001117515+E66*0.001117515</f>
        <v/>
      </c>
      <c r="AF66" s="7">
        <f>G66*0.001117515+F66*0.001117515</f>
        <v/>
      </c>
      <c r="AG66" s="7">
        <f>H66*0.001117515+G66*0.001117515</f>
        <v/>
      </c>
      <c r="AH66" s="7">
        <f>I66*0.001117515+H66*0.001117515</f>
        <v/>
      </c>
      <c r="AI66" s="7">
        <f>J66*0.001117515+I66*0.001117515</f>
        <v/>
      </c>
      <c r="AJ66" s="7">
        <f>K66*0.001117515+J66*0.001117515</f>
        <v/>
      </c>
      <c r="AK66" s="7">
        <f>L66*0.001117515+K66*0.001117515</f>
        <v/>
      </c>
      <c r="AL66" s="7">
        <f>M66*0.001117515+L66*0.001117515</f>
        <v/>
      </c>
      <c r="AM66" s="7">
        <f>N66*0.001117515+M66*0.001117515</f>
        <v/>
      </c>
      <c r="AN66" s="7">
        <f>O66*0.001117515+N66*0.001117515</f>
        <v/>
      </c>
      <c r="AO66" s="7">
        <f>P66*0.001117515+O66*0.001117515</f>
        <v/>
      </c>
      <c r="AP66" s="7">
        <f>Q66*0.001117515+P66*0.001117515</f>
        <v/>
      </c>
      <c r="AQ66" s="7">
        <f>R66*0.001117515+Q66*0.001117515</f>
        <v/>
      </c>
      <c r="AR66" s="7">
        <f>S66*0.001117515+R66*0.001117515</f>
        <v/>
      </c>
      <c r="AS66" s="7">
        <f>T66*0.001117515+S66*0.001117515</f>
        <v/>
      </c>
      <c r="AT66" s="7">
        <f>U66*0.001117515+T66*0.001117515</f>
        <v/>
      </c>
      <c r="AU66" s="7">
        <f>V66*0.001117515+U66*0.001117515</f>
        <v/>
      </c>
      <c r="AV66" s="7">
        <f>W66*0.001117515+V66*0.001117515</f>
        <v/>
      </c>
      <c r="AW66" s="7">
        <f>X66*0.001117515+W66*0.001117515</f>
        <v/>
      </c>
      <c r="AX66" s="7">
        <f>Y66*0.001117515+X66*0.001117515</f>
        <v/>
      </c>
      <c r="AY66" s="7">
        <f>Z66*0.001117515+Y66*0.001117515</f>
        <v/>
      </c>
      <c r="AZ66" s="7">
        <f>AA66*0.001117515+Z66*0.001117515</f>
        <v/>
      </c>
      <c r="BA66" s="7">
        <f>D66*0.001117515+AA66*0.001117515</f>
        <v/>
      </c>
      <c r="BB66" s="7">
        <f>SUM(AD66:BA66)</f>
        <v/>
      </c>
    </row>
    <row r="67">
      <c r="A67" t="inlineStr">
        <is>
          <t>AMD-M1</t>
        </is>
      </c>
      <c r="B67" t="inlineStr">
        <is>
          <t>Forward Regular OSC</t>
        </is>
      </c>
      <c r="C67" s="5" t="n">
        <v>46089</v>
      </c>
      <c r="D67" s="6">
        <f>Summary!D67</f>
        <v/>
      </c>
      <c r="E67" s="6">
        <f>Summary!E67</f>
        <v/>
      </c>
      <c r="F67" s="6">
        <f>Summary!F67</f>
        <v/>
      </c>
      <c r="G67" s="6">
        <f>Summary!G67</f>
        <v/>
      </c>
      <c r="H67" s="6">
        <f>Summary!H67</f>
        <v/>
      </c>
      <c r="I67" s="6">
        <f>Summary!I67</f>
        <v/>
      </c>
      <c r="J67" s="6">
        <f>Summary!J67</f>
        <v/>
      </c>
      <c r="K67" s="6">
        <f>Summary!K67</f>
        <v/>
      </c>
      <c r="L67" s="6">
        <f>Summary!L67</f>
        <v/>
      </c>
      <c r="M67" s="6">
        <f>Summary!M67</f>
        <v/>
      </c>
      <c r="N67" s="6">
        <f>Summary!N67</f>
        <v/>
      </c>
      <c r="O67" s="6">
        <f>Summary!O67</f>
        <v/>
      </c>
      <c r="P67" s="6">
        <f>Summary!P67</f>
        <v/>
      </c>
      <c r="Q67" s="6">
        <f>Summary!Q67</f>
        <v/>
      </c>
      <c r="R67" s="6">
        <f>Summary!R67</f>
        <v/>
      </c>
      <c r="S67" s="6">
        <f>Summary!S67</f>
        <v/>
      </c>
      <c r="T67" s="6">
        <f>Summary!T67</f>
        <v/>
      </c>
      <c r="U67" s="6">
        <f>Summary!U67</f>
        <v/>
      </c>
      <c r="V67" s="6">
        <f>Summary!V67</f>
        <v/>
      </c>
      <c r="W67" s="6">
        <f>Summary!W67</f>
        <v/>
      </c>
      <c r="X67" s="6">
        <f>Summary!X67</f>
        <v/>
      </c>
      <c r="Y67" s="6">
        <f>Summary!Y67</f>
        <v/>
      </c>
      <c r="Z67" s="6">
        <f>Summary!Z67</f>
        <v/>
      </c>
      <c r="AA67" s="6">
        <f>Summary!AA67</f>
        <v/>
      </c>
      <c r="AB67" s="6">
        <f>SUM(D67:AA67)</f>
        <v/>
      </c>
      <c r="AC67" s="3" t="inlineStr"/>
      <c r="AD67" s="7">
        <f>E67*0.001117515+D67*0.001117515</f>
        <v/>
      </c>
      <c r="AE67" s="7">
        <f>F67*0.001117515+E67*0.001117515</f>
        <v/>
      </c>
      <c r="AF67" s="7">
        <f>G67*0.001117515+F67*0.001117515</f>
        <v/>
      </c>
      <c r="AG67" s="7">
        <f>H67*0.001117515+G67*0.001117515</f>
        <v/>
      </c>
      <c r="AH67" s="7">
        <f>I67*0.001117515+H67*0.001117515</f>
        <v/>
      </c>
      <c r="AI67" s="7">
        <f>J67*0.001117515+I67*0.001117515</f>
        <v/>
      </c>
      <c r="AJ67" s="7">
        <f>K67*0.001117515+J67*0.001117515</f>
        <v/>
      </c>
      <c r="AK67" s="7">
        <f>L67*0.001117515+K67*0.001117515</f>
        <v/>
      </c>
      <c r="AL67" s="7">
        <f>M67*0.001117515+L67*0.001117515</f>
        <v/>
      </c>
      <c r="AM67" s="7">
        <f>N67*0.001117515+M67*0.001117515</f>
        <v/>
      </c>
      <c r="AN67" s="7">
        <f>O67*0.001117515+N67*0.001117515</f>
        <v/>
      </c>
      <c r="AO67" s="7">
        <f>P67*0.001117515+O67*0.001117515</f>
        <v/>
      </c>
      <c r="AP67" s="7">
        <f>Q67*0.001117515+P67*0.001117515</f>
        <v/>
      </c>
      <c r="AQ67" s="7">
        <f>R67*0.001117515+Q67*0.001117515</f>
        <v/>
      </c>
      <c r="AR67" s="7">
        <f>S67*0.001117515+R67*0.001117515</f>
        <v/>
      </c>
      <c r="AS67" s="7">
        <f>T67*0.001117515+S67*0.001117515</f>
        <v/>
      </c>
      <c r="AT67" s="7">
        <f>U67*0.001117515+T67*0.001117515</f>
        <v/>
      </c>
      <c r="AU67" s="7">
        <f>V67*0.001117515+U67*0.001117515</f>
        <v/>
      </c>
      <c r="AV67" s="7">
        <f>W67*0.001117515+V67*0.001117515</f>
        <v/>
      </c>
      <c r="AW67" s="7">
        <f>X67*0.001117515+W67*0.001117515</f>
        <v/>
      </c>
      <c r="AX67" s="7">
        <f>Y67*0.001117515+X67*0.001117515</f>
        <v/>
      </c>
      <c r="AY67" s="7">
        <f>Z67*0.001117515+Y67*0.001117515</f>
        <v/>
      </c>
      <c r="AZ67" s="7">
        <f>AA67*0.001117515+Z67*0.001117515</f>
        <v/>
      </c>
      <c r="BA67" s="7">
        <f>D67*0.001117515+AA67*0.001117515</f>
        <v/>
      </c>
      <c r="BB67" s="7">
        <f>SUM(AD67:BA67)</f>
        <v/>
      </c>
    </row>
    <row r="68">
      <c r="A68" t="inlineStr">
        <is>
          <t>AMD-M1</t>
        </is>
      </c>
      <c r="B68" t="inlineStr">
        <is>
          <t>Forward Regular OSC</t>
        </is>
      </c>
      <c r="C68" s="5" t="n">
        <v>46090</v>
      </c>
      <c r="D68" s="6">
        <f>Summary!D68</f>
        <v/>
      </c>
      <c r="E68" s="6">
        <f>Summary!E68</f>
        <v/>
      </c>
      <c r="F68" s="6">
        <f>Summary!F68</f>
        <v/>
      </c>
      <c r="G68" s="6">
        <f>Summary!G68</f>
        <v/>
      </c>
      <c r="H68" s="6">
        <f>Summary!H68</f>
        <v/>
      </c>
      <c r="I68" s="6">
        <f>Summary!I68</f>
        <v/>
      </c>
      <c r="J68" s="6">
        <f>Summary!J68</f>
        <v/>
      </c>
      <c r="K68" s="6">
        <f>Summary!K68</f>
        <v/>
      </c>
      <c r="L68" s="6">
        <f>Summary!L68</f>
        <v/>
      </c>
      <c r="M68" s="6">
        <f>Summary!M68</f>
        <v/>
      </c>
      <c r="N68" s="6">
        <f>Summary!N68</f>
        <v/>
      </c>
      <c r="O68" s="6">
        <f>Summary!O68</f>
        <v/>
      </c>
      <c r="P68" s="6">
        <f>Summary!P68</f>
        <v/>
      </c>
      <c r="Q68" s="6">
        <f>Summary!Q68</f>
        <v/>
      </c>
      <c r="R68" s="6">
        <f>Summary!R68</f>
        <v/>
      </c>
      <c r="S68" s="6">
        <f>Summary!S68</f>
        <v/>
      </c>
      <c r="T68" s="6">
        <f>Summary!T68</f>
        <v/>
      </c>
      <c r="U68" s="6">
        <f>Summary!U68</f>
        <v/>
      </c>
      <c r="V68" s="6">
        <f>Summary!V68</f>
        <v/>
      </c>
      <c r="W68" s="6">
        <f>Summary!W68</f>
        <v/>
      </c>
      <c r="X68" s="6">
        <f>Summary!X68</f>
        <v/>
      </c>
      <c r="Y68" s="6">
        <f>Summary!Y68</f>
        <v/>
      </c>
      <c r="Z68" s="6">
        <f>Summary!Z68</f>
        <v/>
      </c>
      <c r="AA68" s="6">
        <f>Summary!AA68</f>
        <v/>
      </c>
      <c r="AB68" s="6">
        <f>SUM(D68:AA68)</f>
        <v/>
      </c>
      <c r="AC68" s="3" t="inlineStr"/>
      <c r="AD68" s="7">
        <f>E68*0.001117515+D68*0.001117515</f>
        <v/>
      </c>
      <c r="AE68" s="7">
        <f>F68*0.001117515+E68*0.001117515</f>
        <v/>
      </c>
      <c r="AF68" s="7">
        <f>G68*0.001117515+F68*0.001117515</f>
        <v/>
      </c>
      <c r="AG68" s="7">
        <f>H68*0.001117515+G68*0.001117515</f>
        <v/>
      </c>
      <c r="AH68" s="7">
        <f>I68*0.001117515+H68*0.001117515</f>
        <v/>
      </c>
      <c r="AI68" s="7">
        <f>J68*0.001117515+I68*0.001117515</f>
        <v/>
      </c>
      <c r="AJ68" s="7">
        <f>K68*0.001117515+J68*0.001117515</f>
        <v/>
      </c>
      <c r="AK68" s="7">
        <f>L68*0.001117515+K68*0.001117515</f>
        <v/>
      </c>
      <c r="AL68" s="7">
        <f>M68*0.001117515+L68*0.001117515</f>
        <v/>
      </c>
      <c r="AM68" s="7">
        <f>N68*0.001117515+M68*0.001117515</f>
        <v/>
      </c>
      <c r="AN68" s="7">
        <f>O68*0.001117515+N68*0.001117515</f>
        <v/>
      </c>
      <c r="AO68" s="7">
        <f>P68*0.001117515+O68*0.001117515</f>
        <v/>
      </c>
      <c r="AP68" s="7">
        <f>Q68*0.001117515+P68*0.001117515</f>
        <v/>
      </c>
      <c r="AQ68" s="7">
        <f>R68*0.001117515+Q68*0.001117515</f>
        <v/>
      </c>
      <c r="AR68" s="7">
        <f>S68*0.001117515+R68*0.001117515</f>
        <v/>
      </c>
      <c r="AS68" s="7">
        <f>T68*0.001117515+S68*0.001117515</f>
        <v/>
      </c>
      <c r="AT68" s="7">
        <f>U68*0.001117515+T68*0.001117515</f>
        <v/>
      </c>
      <c r="AU68" s="7">
        <f>V68*0.001117515+U68*0.001117515</f>
        <v/>
      </c>
      <c r="AV68" s="7">
        <f>W68*0.001117515+V68*0.001117515</f>
        <v/>
      </c>
      <c r="AW68" s="7">
        <f>X68*0.001117515+W68*0.001117515</f>
        <v/>
      </c>
      <c r="AX68" s="7">
        <f>Y68*0.001117515+X68*0.001117515</f>
        <v/>
      </c>
      <c r="AY68" s="7">
        <f>Z68*0.001117515+Y68*0.001117515</f>
        <v/>
      </c>
      <c r="AZ68" s="7">
        <f>AA68*0.001117515+Z68*0.001117515</f>
        <v/>
      </c>
      <c r="BA68" s="7">
        <f>D68*0.001117515+AA68*0.001117515</f>
        <v/>
      </c>
      <c r="BB68" s="7">
        <f>SUM(AD68:BA68)</f>
        <v/>
      </c>
    </row>
    <row r="69">
      <c r="A69" t="inlineStr">
        <is>
          <t>AMD-M1</t>
        </is>
      </c>
      <c r="B69" t="inlineStr">
        <is>
          <t>Forward Regular OSC</t>
        </is>
      </c>
      <c r="C69" s="5" t="n">
        <v>46091</v>
      </c>
      <c r="D69" s="6">
        <f>Summary!D69</f>
        <v/>
      </c>
      <c r="E69" s="6">
        <f>Summary!E69</f>
        <v/>
      </c>
      <c r="F69" s="6">
        <f>Summary!F69</f>
        <v/>
      </c>
      <c r="G69" s="6">
        <f>Summary!G69</f>
        <v/>
      </c>
      <c r="H69" s="6">
        <f>Summary!H69</f>
        <v/>
      </c>
      <c r="I69" s="6">
        <f>Summary!I69</f>
        <v/>
      </c>
      <c r="J69" s="6">
        <f>Summary!J69</f>
        <v/>
      </c>
      <c r="K69" s="6">
        <f>Summary!K69</f>
        <v/>
      </c>
      <c r="L69" s="6">
        <f>Summary!L69</f>
        <v/>
      </c>
      <c r="M69" s="6">
        <f>Summary!M69</f>
        <v/>
      </c>
      <c r="N69" s="6">
        <f>Summary!N69</f>
        <v/>
      </c>
      <c r="O69" s="6">
        <f>Summary!O69</f>
        <v/>
      </c>
      <c r="P69" s="6">
        <f>Summary!P69</f>
        <v/>
      </c>
      <c r="Q69" s="6">
        <f>Summary!Q69</f>
        <v/>
      </c>
      <c r="R69" s="6">
        <f>Summary!R69</f>
        <v/>
      </c>
      <c r="S69" s="6">
        <f>Summary!S69</f>
        <v/>
      </c>
      <c r="T69" s="6">
        <f>Summary!T69</f>
        <v/>
      </c>
      <c r="U69" s="6">
        <f>Summary!U69</f>
        <v/>
      </c>
      <c r="V69" s="6">
        <f>Summary!V69</f>
        <v/>
      </c>
      <c r="W69" s="6">
        <f>Summary!W69</f>
        <v/>
      </c>
      <c r="X69" s="6">
        <f>Summary!X69</f>
        <v/>
      </c>
      <c r="Y69" s="6">
        <f>Summary!Y69</f>
        <v/>
      </c>
      <c r="Z69" s="6">
        <f>Summary!Z69</f>
        <v/>
      </c>
      <c r="AA69" s="6">
        <f>Summary!AA69</f>
        <v/>
      </c>
      <c r="AB69" s="6">
        <f>SUM(D69:AA69)</f>
        <v/>
      </c>
      <c r="AC69" s="3" t="inlineStr"/>
      <c r="AD69" s="7">
        <f>E69*0.001117515+D69*0.001117515</f>
        <v/>
      </c>
      <c r="AE69" s="7">
        <f>F69*0.001117515+E69*0.001117515</f>
        <v/>
      </c>
      <c r="AF69" s="7">
        <f>G69*0.001117515+F69*0.001117515</f>
        <v/>
      </c>
      <c r="AG69" s="7">
        <f>H69*0.001117515+G69*0.001117515</f>
        <v/>
      </c>
      <c r="AH69" s="7">
        <f>I69*0.001117515+H69*0.001117515</f>
        <v/>
      </c>
      <c r="AI69" s="7">
        <f>J69*0.001117515+I69*0.001117515</f>
        <v/>
      </c>
      <c r="AJ69" s="7">
        <f>K69*0.001117515+J69*0.001117515</f>
        <v/>
      </c>
      <c r="AK69" s="7">
        <f>L69*0.001117515+K69*0.001117515</f>
        <v/>
      </c>
      <c r="AL69" s="7">
        <f>M69*0.001117515+L69*0.001117515</f>
        <v/>
      </c>
      <c r="AM69" s="7">
        <f>N69*0.001117515+M69*0.001117515</f>
        <v/>
      </c>
      <c r="AN69" s="7">
        <f>O69*0.001117515+N69*0.001117515</f>
        <v/>
      </c>
      <c r="AO69" s="7">
        <f>P69*0.001117515+O69*0.001117515</f>
        <v/>
      </c>
      <c r="AP69" s="7">
        <f>Q69*0.001117515+P69*0.001117515</f>
        <v/>
      </c>
      <c r="AQ69" s="7">
        <f>R69*0.001117515+Q69*0.001117515</f>
        <v/>
      </c>
      <c r="AR69" s="7">
        <f>S69*0.001117515+R69*0.001117515</f>
        <v/>
      </c>
      <c r="AS69" s="7">
        <f>T69*0.001117515+S69*0.001117515</f>
        <v/>
      </c>
      <c r="AT69" s="7">
        <f>U69*0.001117515+T69*0.001117515</f>
        <v/>
      </c>
      <c r="AU69" s="7">
        <f>V69*0.001117515+U69*0.001117515</f>
        <v/>
      </c>
      <c r="AV69" s="7">
        <f>W69*0.001117515+V69*0.001117515</f>
        <v/>
      </c>
      <c r="AW69" s="7">
        <f>X69*0.001117515+W69*0.001117515</f>
        <v/>
      </c>
      <c r="AX69" s="7">
        <f>Y69*0.001117515+X69*0.001117515</f>
        <v/>
      </c>
      <c r="AY69" s="7">
        <f>Z69*0.001117515+Y69*0.001117515</f>
        <v/>
      </c>
      <c r="AZ69" s="7">
        <f>AA69*0.001117515+Z69*0.001117515</f>
        <v/>
      </c>
      <c r="BA69" s="7">
        <f>D69*0.001117515+AA69*0.001117515</f>
        <v/>
      </c>
      <c r="BB69" s="7">
        <f>SUM(AD69:BA69)</f>
        <v/>
      </c>
    </row>
    <row r="70">
      <c r="A70" t="inlineStr">
        <is>
          <t>AMD-M1</t>
        </is>
      </c>
      <c r="B70" t="inlineStr">
        <is>
          <t>Forward Regular OSC</t>
        </is>
      </c>
      <c r="C70" s="5" t="n">
        <v>46092</v>
      </c>
      <c r="D70" s="6">
        <f>Summary!D70</f>
        <v/>
      </c>
      <c r="E70" s="6">
        <f>Summary!E70</f>
        <v/>
      </c>
      <c r="F70" s="6">
        <f>Summary!F70</f>
        <v/>
      </c>
      <c r="G70" s="6">
        <f>Summary!G70</f>
        <v/>
      </c>
      <c r="H70" s="6">
        <f>Summary!H70</f>
        <v/>
      </c>
      <c r="I70" s="6">
        <f>Summary!I70</f>
        <v/>
      </c>
      <c r="J70" s="6">
        <f>Summary!J70</f>
        <v/>
      </c>
      <c r="K70" s="6">
        <f>Summary!K70</f>
        <v/>
      </c>
      <c r="L70" s="6">
        <f>Summary!L70</f>
        <v/>
      </c>
      <c r="M70" s="6">
        <f>Summary!M70</f>
        <v/>
      </c>
      <c r="N70" s="6">
        <f>Summary!N70</f>
        <v/>
      </c>
      <c r="O70" s="6">
        <f>Summary!O70</f>
        <v/>
      </c>
      <c r="P70" s="6">
        <f>Summary!P70</f>
        <v/>
      </c>
      <c r="Q70" s="6">
        <f>Summary!Q70</f>
        <v/>
      </c>
      <c r="R70" s="6">
        <f>Summary!R70</f>
        <v/>
      </c>
      <c r="S70" s="6">
        <f>Summary!S70</f>
        <v/>
      </c>
      <c r="T70" s="6">
        <f>Summary!T70</f>
        <v/>
      </c>
      <c r="U70" s="6">
        <f>Summary!U70</f>
        <v/>
      </c>
      <c r="V70" s="6">
        <f>Summary!V70</f>
        <v/>
      </c>
      <c r="W70" s="6">
        <f>Summary!W70</f>
        <v/>
      </c>
      <c r="X70" s="6">
        <f>Summary!X70</f>
        <v/>
      </c>
      <c r="Y70" s="6">
        <f>Summary!Y70</f>
        <v/>
      </c>
      <c r="Z70" s="6">
        <f>Summary!Z70</f>
        <v/>
      </c>
      <c r="AA70" s="6">
        <f>Summary!AA70</f>
        <v/>
      </c>
      <c r="AB70" s="6">
        <f>SUM(D70:AA70)</f>
        <v/>
      </c>
      <c r="AC70" s="3" t="inlineStr"/>
      <c r="AD70" s="7">
        <f>E70*0.001117515+D70*0.001117515</f>
        <v/>
      </c>
      <c r="AE70" s="7">
        <f>F70*0.001117515+E70*0.001117515</f>
        <v/>
      </c>
      <c r="AF70" s="7">
        <f>G70*0.001117515+F70*0.001117515</f>
        <v/>
      </c>
      <c r="AG70" s="7">
        <f>H70*0.001117515+G70*0.001117515</f>
        <v/>
      </c>
      <c r="AH70" s="7">
        <f>I70*0.001117515+H70*0.001117515</f>
        <v/>
      </c>
      <c r="AI70" s="7">
        <f>J70*0.001117515+I70*0.001117515</f>
        <v/>
      </c>
      <c r="AJ70" s="7">
        <f>K70*0.001117515+J70*0.001117515</f>
        <v/>
      </c>
      <c r="AK70" s="7">
        <f>L70*0.001117515+K70*0.001117515</f>
        <v/>
      </c>
      <c r="AL70" s="7">
        <f>M70*0.001117515+L70*0.001117515</f>
        <v/>
      </c>
      <c r="AM70" s="7">
        <f>N70*0.001117515+M70*0.001117515</f>
        <v/>
      </c>
      <c r="AN70" s="7">
        <f>O70*0.001117515+N70*0.001117515</f>
        <v/>
      </c>
      <c r="AO70" s="7">
        <f>P70*0.001117515+O70*0.001117515</f>
        <v/>
      </c>
      <c r="AP70" s="7">
        <f>Q70*0.001117515+P70*0.001117515</f>
        <v/>
      </c>
      <c r="AQ70" s="7">
        <f>R70*0.001117515+Q70*0.001117515</f>
        <v/>
      </c>
      <c r="AR70" s="7">
        <f>S70*0.001117515+R70*0.001117515</f>
        <v/>
      </c>
      <c r="AS70" s="7">
        <f>T70*0.001117515+S70*0.001117515</f>
        <v/>
      </c>
      <c r="AT70" s="7">
        <f>U70*0.001117515+T70*0.001117515</f>
        <v/>
      </c>
      <c r="AU70" s="7">
        <f>V70*0.001117515+U70*0.001117515</f>
        <v/>
      </c>
      <c r="AV70" s="7">
        <f>W70*0.001117515+V70*0.001117515</f>
        <v/>
      </c>
      <c r="AW70" s="7">
        <f>X70*0.001117515+W70*0.001117515</f>
        <v/>
      </c>
      <c r="AX70" s="7">
        <f>Y70*0.001117515+X70*0.001117515</f>
        <v/>
      </c>
      <c r="AY70" s="7">
        <f>Z70*0.001117515+Y70*0.001117515</f>
        <v/>
      </c>
      <c r="AZ70" s="7">
        <f>AA70*0.001117515+Z70*0.001117515</f>
        <v/>
      </c>
      <c r="BA70" s="7">
        <f>D70*0.001117515+AA70*0.001117515</f>
        <v/>
      </c>
      <c r="BB70" s="7">
        <f>SUM(AD70:BA70)</f>
        <v/>
      </c>
    </row>
    <row r="71">
      <c r="A71" t="inlineStr">
        <is>
          <t>AMD-M1</t>
        </is>
      </c>
      <c r="B71" t="inlineStr">
        <is>
          <t>Forward Regular OSC</t>
        </is>
      </c>
      <c r="C71" s="5" t="n">
        <v>46093</v>
      </c>
      <c r="D71" s="6">
        <f>Summary!D71</f>
        <v/>
      </c>
      <c r="E71" s="6">
        <f>Summary!E71</f>
        <v/>
      </c>
      <c r="F71" s="6">
        <f>Summary!F71</f>
        <v/>
      </c>
      <c r="G71" s="6">
        <f>Summary!G71</f>
        <v/>
      </c>
      <c r="H71" s="6">
        <f>Summary!H71</f>
        <v/>
      </c>
      <c r="I71" s="6">
        <f>Summary!I71</f>
        <v/>
      </c>
      <c r="J71" s="6">
        <f>Summary!J71</f>
        <v/>
      </c>
      <c r="K71" s="6">
        <f>Summary!K71</f>
        <v/>
      </c>
      <c r="L71" s="6">
        <f>Summary!L71</f>
        <v/>
      </c>
      <c r="M71" s="6">
        <f>Summary!M71</f>
        <v/>
      </c>
      <c r="N71" s="6">
        <f>Summary!N71</f>
        <v/>
      </c>
      <c r="O71" s="6">
        <f>Summary!O71</f>
        <v/>
      </c>
      <c r="P71" s="6">
        <f>Summary!P71</f>
        <v/>
      </c>
      <c r="Q71" s="6">
        <f>Summary!Q71</f>
        <v/>
      </c>
      <c r="R71" s="6">
        <f>Summary!R71</f>
        <v/>
      </c>
      <c r="S71" s="6">
        <f>Summary!S71</f>
        <v/>
      </c>
      <c r="T71" s="6">
        <f>Summary!T71</f>
        <v/>
      </c>
      <c r="U71" s="6">
        <f>Summary!U71</f>
        <v/>
      </c>
      <c r="V71" s="6">
        <f>Summary!V71</f>
        <v/>
      </c>
      <c r="W71" s="6">
        <f>Summary!W71</f>
        <v/>
      </c>
      <c r="X71" s="6">
        <f>Summary!X71</f>
        <v/>
      </c>
      <c r="Y71" s="6">
        <f>Summary!Y71</f>
        <v/>
      </c>
      <c r="Z71" s="6">
        <f>Summary!Z71</f>
        <v/>
      </c>
      <c r="AA71" s="6">
        <f>Summary!AA71</f>
        <v/>
      </c>
      <c r="AB71" s="6">
        <f>SUM(D71:AA71)</f>
        <v/>
      </c>
      <c r="AC71" s="3" t="inlineStr"/>
      <c r="AD71" s="7">
        <f>E71*0.001117515+D71*0.001117515</f>
        <v/>
      </c>
      <c r="AE71" s="7">
        <f>F71*0.001117515+E71*0.001117515</f>
        <v/>
      </c>
      <c r="AF71" s="7">
        <f>G71*0.001117515+F71*0.001117515</f>
        <v/>
      </c>
      <c r="AG71" s="7">
        <f>H71*0.001117515+G71*0.001117515</f>
        <v/>
      </c>
      <c r="AH71" s="7">
        <f>I71*0.001117515+H71*0.001117515</f>
        <v/>
      </c>
      <c r="AI71" s="7">
        <f>J71*0.001117515+I71*0.001117515</f>
        <v/>
      </c>
      <c r="AJ71" s="7">
        <f>K71*0.001117515+J71*0.001117515</f>
        <v/>
      </c>
      <c r="AK71" s="7">
        <f>L71*0.001117515+K71*0.001117515</f>
        <v/>
      </c>
      <c r="AL71" s="7">
        <f>M71*0.001117515+L71*0.001117515</f>
        <v/>
      </c>
      <c r="AM71" s="7">
        <f>N71*0.001117515+M71*0.001117515</f>
        <v/>
      </c>
      <c r="AN71" s="7">
        <f>O71*0.001117515+N71*0.001117515</f>
        <v/>
      </c>
      <c r="AO71" s="7">
        <f>P71*0.001117515+O71*0.001117515</f>
        <v/>
      </c>
      <c r="AP71" s="7">
        <f>Q71*0.001117515+P71*0.001117515</f>
        <v/>
      </c>
      <c r="AQ71" s="7">
        <f>R71*0.001117515+Q71*0.001117515</f>
        <v/>
      </c>
      <c r="AR71" s="7">
        <f>S71*0.001117515+R71*0.001117515</f>
        <v/>
      </c>
      <c r="AS71" s="7">
        <f>T71*0.001117515+S71*0.001117515</f>
        <v/>
      </c>
      <c r="AT71" s="7">
        <f>U71*0.001117515+T71*0.001117515</f>
        <v/>
      </c>
      <c r="AU71" s="7">
        <f>V71*0.001117515+U71*0.001117515</f>
        <v/>
      </c>
      <c r="AV71" s="7">
        <f>W71*0.001117515+V71*0.001117515</f>
        <v/>
      </c>
      <c r="AW71" s="7">
        <f>X71*0.001117515+W71*0.001117515</f>
        <v/>
      </c>
      <c r="AX71" s="7">
        <f>Y71*0.001117515+X71*0.001117515</f>
        <v/>
      </c>
      <c r="AY71" s="7">
        <f>Z71*0.001117515+Y71*0.001117515</f>
        <v/>
      </c>
      <c r="AZ71" s="7">
        <f>AA71*0.001117515+Z71*0.001117515</f>
        <v/>
      </c>
      <c r="BA71" s="7">
        <f>D71*0.001117515+AA71*0.001117515</f>
        <v/>
      </c>
      <c r="BB71" s="7">
        <f>SUM(AD71:BA71)</f>
        <v/>
      </c>
    </row>
    <row r="72">
      <c r="A72" t="inlineStr">
        <is>
          <t>AMD-M1</t>
        </is>
      </c>
      <c r="B72" t="inlineStr">
        <is>
          <t>Forward Regular OSC</t>
        </is>
      </c>
      <c r="C72" s="5" t="n">
        <v>46094</v>
      </c>
      <c r="D72" s="6">
        <f>Summary!D72</f>
        <v/>
      </c>
      <c r="E72" s="6">
        <f>Summary!E72</f>
        <v/>
      </c>
      <c r="F72" s="6">
        <f>Summary!F72</f>
        <v/>
      </c>
      <c r="G72" s="6">
        <f>Summary!G72</f>
        <v/>
      </c>
      <c r="H72" s="6">
        <f>Summary!H72</f>
        <v/>
      </c>
      <c r="I72" s="6">
        <f>Summary!I72</f>
        <v/>
      </c>
      <c r="J72" s="6">
        <f>Summary!J72</f>
        <v/>
      </c>
      <c r="K72" s="6">
        <f>Summary!K72</f>
        <v/>
      </c>
      <c r="L72" s="6">
        <f>Summary!L72</f>
        <v/>
      </c>
      <c r="M72" s="6">
        <f>Summary!M72</f>
        <v/>
      </c>
      <c r="N72" s="6">
        <f>Summary!N72</f>
        <v/>
      </c>
      <c r="O72" s="6">
        <f>Summary!O72</f>
        <v/>
      </c>
      <c r="P72" s="6">
        <f>Summary!P72</f>
        <v/>
      </c>
      <c r="Q72" s="6">
        <f>Summary!Q72</f>
        <v/>
      </c>
      <c r="R72" s="6">
        <f>Summary!R72</f>
        <v/>
      </c>
      <c r="S72" s="6">
        <f>Summary!S72</f>
        <v/>
      </c>
      <c r="T72" s="6">
        <f>Summary!T72</f>
        <v/>
      </c>
      <c r="U72" s="6">
        <f>Summary!U72</f>
        <v/>
      </c>
      <c r="V72" s="6">
        <f>Summary!V72</f>
        <v/>
      </c>
      <c r="W72" s="6">
        <f>Summary!W72</f>
        <v/>
      </c>
      <c r="X72" s="6">
        <f>Summary!X72</f>
        <v/>
      </c>
      <c r="Y72" s="6">
        <f>Summary!Y72</f>
        <v/>
      </c>
      <c r="Z72" s="6">
        <f>Summary!Z72</f>
        <v/>
      </c>
      <c r="AA72" s="6">
        <f>Summary!AA72</f>
        <v/>
      </c>
      <c r="AB72" s="6">
        <f>SUM(D72:AA72)</f>
        <v/>
      </c>
      <c r="AC72" s="3" t="inlineStr"/>
      <c r="AD72" s="7">
        <f>E72*0.001117515+D72*0.001117515</f>
        <v/>
      </c>
      <c r="AE72" s="7">
        <f>F72*0.001117515+E72*0.001117515</f>
        <v/>
      </c>
      <c r="AF72" s="7">
        <f>G72*0.001117515+F72*0.001117515</f>
        <v/>
      </c>
      <c r="AG72" s="7">
        <f>H72*0.001117515+G72*0.001117515</f>
        <v/>
      </c>
      <c r="AH72" s="7">
        <f>I72*0.001117515+H72*0.001117515</f>
        <v/>
      </c>
      <c r="AI72" s="7">
        <f>J72*0.001117515+I72*0.001117515</f>
        <v/>
      </c>
      <c r="AJ72" s="7">
        <f>K72*0.001117515+J72*0.001117515</f>
        <v/>
      </c>
      <c r="AK72" s="7">
        <f>L72*0.001117515+K72*0.001117515</f>
        <v/>
      </c>
      <c r="AL72" s="7">
        <f>M72*0.001117515+L72*0.001117515</f>
        <v/>
      </c>
      <c r="AM72" s="7">
        <f>N72*0.001117515+M72*0.001117515</f>
        <v/>
      </c>
      <c r="AN72" s="7">
        <f>O72*0.001117515+N72*0.001117515</f>
        <v/>
      </c>
      <c r="AO72" s="7">
        <f>P72*0.001117515+O72*0.001117515</f>
        <v/>
      </c>
      <c r="AP72" s="7">
        <f>Q72*0.001117515+P72*0.001117515</f>
        <v/>
      </c>
      <c r="AQ72" s="7">
        <f>R72*0.001117515+Q72*0.001117515</f>
        <v/>
      </c>
      <c r="AR72" s="7">
        <f>S72*0.001117515+R72*0.001117515</f>
        <v/>
      </c>
      <c r="AS72" s="7">
        <f>T72*0.001117515+S72*0.001117515</f>
        <v/>
      </c>
      <c r="AT72" s="7">
        <f>U72*0.001117515+T72*0.001117515</f>
        <v/>
      </c>
      <c r="AU72" s="7">
        <f>V72*0.001117515+U72*0.001117515</f>
        <v/>
      </c>
      <c r="AV72" s="7">
        <f>W72*0.001117515+V72*0.001117515</f>
        <v/>
      </c>
      <c r="AW72" s="7">
        <f>X72*0.001117515+W72*0.001117515</f>
        <v/>
      </c>
      <c r="AX72" s="7">
        <f>Y72*0.001117515+X72*0.001117515</f>
        <v/>
      </c>
      <c r="AY72" s="7">
        <f>Z72*0.001117515+Y72*0.001117515</f>
        <v/>
      </c>
      <c r="AZ72" s="7">
        <f>AA72*0.001117515+Z72*0.001117515</f>
        <v/>
      </c>
      <c r="BA72" s="7">
        <f>D72*0.001117515+AA72*0.001117515</f>
        <v/>
      </c>
      <c r="BB72" s="7">
        <f>SUM(AD72:BA72)</f>
        <v/>
      </c>
    </row>
    <row r="73">
      <c r="A73" t="inlineStr">
        <is>
          <t>AMD-M1</t>
        </is>
      </c>
      <c r="B73" t="inlineStr">
        <is>
          <t>Forward Regular OSC</t>
        </is>
      </c>
      <c r="C73" s="5" t="n">
        <v>46095</v>
      </c>
      <c r="D73" s="6">
        <f>Summary!D73</f>
        <v/>
      </c>
      <c r="E73" s="6">
        <f>Summary!E73</f>
        <v/>
      </c>
      <c r="F73" s="6">
        <f>Summary!F73</f>
        <v/>
      </c>
      <c r="G73" s="6">
        <f>Summary!G73</f>
        <v/>
      </c>
      <c r="H73" s="6">
        <f>Summary!H73</f>
        <v/>
      </c>
      <c r="I73" s="6">
        <f>Summary!I73</f>
        <v/>
      </c>
      <c r="J73" s="6">
        <f>Summary!J73</f>
        <v/>
      </c>
      <c r="K73" s="6">
        <f>Summary!K73</f>
        <v/>
      </c>
      <c r="L73" s="6">
        <f>Summary!L73</f>
        <v/>
      </c>
      <c r="M73" s="6">
        <f>Summary!M73</f>
        <v/>
      </c>
      <c r="N73" s="6">
        <f>Summary!N73</f>
        <v/>
      </c>
      <c r="O73" s="6">
        <f>Summary!O73</f>
        <v/>
      </c>
      <c r="P73" s="6">
        <f>Summary!P73</f>
        <v/>
      </c>
      <c r="Q73" s="6">
        <f>Summary!Q73</f>
        <v/>
      </c>
      <c r="R73" s="6">
        <f>Summary!R73</f>
        <v/>
      </c>
      <c r="S73" s="6">
        <f>Summary!S73</f>
        <v/>
      </c>
      <c r="T73" s="6">
        <f>Summary!T73</f>
        <v/>
      </c>
      <c r="U73" s="6">
        <f>Summary!U73</f>
        <v/>
      </c>
      <c r="V73" s="6">
        <f>Summary!V73</f>
        <v/>
      </c>
      <c r="W73" s="6">
        <f>Summary!W73</f>
        <v/>
      </c>
      <c r="X73" s="6">
        <f>Summary!X73</f>
        <v/>
      </c>
      <c r="Y73" s="6">
        <f>Summary!Y73</f>
        <v/>
      </c>
      <c r="Z73" s="6">
        <f>Summary!Z73</f>
        <v/>
      </c>
      <c r="AA73" s="6">
        <f>Summary!AA73</f>
        <v/>
      </c>
      <c r="AB73" s="6">
        <f>SUM(D73:AA73)</f>
        <v/>
      </c>
      <c r="AC73" s="3" t="inlineStr"/>
      <c r="AD73" s="7">
        <f>E73*0.001117515+D73*0.001117515</f>
        <v/>
      </c>
      <c r="AE73" s="7">
        <f>F73*0.001117515+E73*0.001117515</f>
        <v/>
      </c>
      <c r="AF73" s="7">
        <f>G73*0.001117515+F73*0.001117515</f>
        <v/>
      </c>
      <c r="AG73" s="7">
        <f>H73*0.001117515+G73*0.001117515</f>
        <v/>
      </c>
      <c r="AH73" s="7">
        <f>I73*0.001117515+H73*0.001117515</f>
        <v/>
      </c>
      <c r="AI73" s="7">
        <f>J73*0.001117515+I73*0.001117515</f>
        <v/>
      </c>
      <c r="AJ73" s="7">
        <f>K73*0.001117515+J73*0.001117515</f>
        <v/>
      </c>
      <c r="AK73" s="7">
        <f>L73*0.001117515+K73*0.001117515</f>
        <v/>
      </c>
      <c r="AL73" s="7">
        <f>M73*0.001117515+L73*0.001117515</f>
        <v/>
      </c>
      <c r="AM73" s="7">
        <f>N73*0.001117515+M73*0.001117515</f>
        <v/>
      </c>
      <c r="AN73" s="7">
        <f>O73*0.001117515+N73*0.001117515</f>
        <v/>
      </c>
      <c r="AO73" s="7">
        <f>P73*0.001117515+O73*0.001117515</f>
        <v/>
      </c>
      <c r="AP73" s="7">
        <f>Q73*0.001117515+P73*0.001117515</f>
        <v/>
      </c>
      <c r="AQ73" s="7">
        <f>R73*0.001117515+Q73*0.001117515</f>
        <v/>
      </c>
      <c r="AR73" s="7">
        <f>S73*0.001117515+R73*0.001117515</f>
        <v/>
      </c>
      <c r="AS73" s="7">
        <f>T73*0.001117515+S73*0.001117515</f>
        <v/>
      </c>
      <c r="AT73" s="7">
        <f>U73*0.001117515+T73*0.001117515</f>
        <v/>
      </c>
      <c r="AU73" s="7">
        <f>V73*0.001117515+U73*0.001117515</f>
        <v/>
      </c>
      <c r="AV73" s="7">
        <f>W73*0.001117515+V73*0.001117515</f>
        <v/>
      </c>
      <c r="AW73" s="7">
        <f>X73*0.001117515+W73*0.001117515</f>
        <v/>
      </c>
      <c r="AX73" s="7">
        <f>Y73*0.001117515+X73*0.001117515</f>
        <v/>
      </c>
      <c r="AY73" s="7">
        <f>Z73*0.001117515+Y73*0.001117515</f>
        <v/>
      </c>
      <c r="AZ73" s="7">
        <f>AA73*0.001117515+Z73*0.001117515</f>
        <v/>
      </c>
      <c r="BA73" s="7">
        <f>D73*0.001117515+AA73*0.001117515</f>
        <v/>
      </c>
      <c r="BB73" s="7">
        <f>SUM(AD73:BA73)</f>
        <v/>
      </c>
    </row>
    <row r="74">
      <c r="A74" t="inlineStr">
        <is>
          <t>AMD-M1</t>
        </is>
      </c>
      <c r="B74" t="inlineStr">
        <is>
          <t>Forward Regular OSC</t>
        </is>
      </c>
      <c r="C74" s="5" t="n">
        <v>46096</v>
      </c>
      <c r="D74" s="6">
        <f>Summary!D74</f>
        <v/>
      </c>
      <c r="E74" s="6">
        <f>Summary!E74</f>
        <v/>
      </c>
      <c r="F74" s="6">
        <f>Summary!F74</f>
        <v/>
      </c>
      <c r="G74" s="6">
        <f>Summary!G74</f>
        <v/>
      </c>
      <c r="H74" s="6">
        <f>Summary!H74</f>
        <v/>
      </c>
      <c r="I74" s="6">
        <f>Summary!I74</f>
        <v/>
      </c>
      <c r="J74" s="6">
        <f>Summary!J74</f>
        <v/>
      </c>
      <c r="K74" s="6">
        <f>Summary!K74</f>
        <v/>
      </c>
      <c r="L74" s="6">
        <f>Summary!L74</f>
        <v/>
      </c>
      <c r="M74" s="6">
        <f>Summary!M74</f>
        <v/>
      </c>
      <c r="N74" s="6">
        <f>Summary!N74</f>
        <v/>
      </c>
      <c r="O74" s="6">
        <f>Summary!O74</f>
        <v/>
      </c>
      <c r="P74" s="6">
        <f>Summary!P74</f>
        <v/>
      </c>
      <c r="Q74" s="6">
        <f>Summary!Q74</f>
        <v/>
      </c>
      <c r="R74" s="6">
        <f>Summary!R74</f>
        <v/>
      </c>
      <c r="S74" s="6">
        <f>Summary!S74</f>
        <v/>
      </c>
      <c r="T74" s="6">
        <f>Summary!T74</f>
        <v/>
      </c>
      <c r="U74" s="6">
        <f>Summary!U74</f>
        <v/>
      </c>
      <c r="V74" s="6">
        <f>Summary!V74</f>
        <v/>
      </c>
      <c r="W74" s="6">
        <f>Summary!W74</f>
        <v/>
      </c>
      <c r="X74" s="6">
        <f>Summary!X74</f>
        <v/>
      </c>
      <c r="Y74" s="6">
        <f>Summary!Y74</f>
        <v/>
      </c>
      <c r="Z74" s="6">
        <f>Summary!Z74</f>
        <v/>
      </c>
      <c r="AA74" s="6">
        <f>Summary!AA74</f>
        <v/>
      </c>
      <c r="AB74" s="6">
        <f>SUM(D74:AA74)</f>
        <v/>
      </c>
      <c r="AC74" s="3" t="inlineStr"/>
      <c r="AD74" s="7">
        <f>E74*0.001117515+D74*0.001117515</f>
        <v/>
      </c>
      <c r="AE74" s="7">
        <f>F74*0.001117515+E74*0.001117515</f>
        <v/>
      </c>
      <c r="AF74" s="7">
        <f>G74*0.001117515+F74*0.001117515</f>
        <v/>
      </c>
      <c r="AG74" s="7">
        <f>H74*0.001117515+G74*0.001117515</f>
        <v/>
      </c>
      <c r="AH74" s="7">
        <f>I74*0.001117515+H74*0.001117515</f>
        <v/>
      </c>
      <c r="AI74" s="7">
        <f>J74*0.001117515+I74*0.001117515</f>
        <v/>
      </c>
      <c r="AJ74" s="7">
        <f>K74*0.001117515+J74*0.001117515</f>
        <v/>
      </c>
      <c r="AK74" s="7">
        <f>L74*0.001117515+K74*0.001117515</f>
        <v/>
      </c>
      <c r="AL74" s="7">
        <f>M74*0.001117515+L74*0.001117515</f>
        <v/>
      </c>
      <c r="AM74" s="7">
        <f>N74*0.001117515+M74*0.001117515</f>
        <v/>
      </c>
      <c r="AN74" s="7">
        <f>O74*0.001117515+N74*0.001117515</f>
        <v/>
      </c>
      <c r="AO74" s="7">
        <f>P74*0.001117515+O74*0.001117515</f>
        <v/>
      </c>
      <c r="AP74" s="7">
        <f>Q74*0.001117515+P74*0.001117515</f>
        <v/>
      </c>
      <c r="AQ74" s="7">
        <f>R74*0.001117515+Q74*0.001117515</f>
        <v/>
      </c>
      <c r="AR74" s="7">
        <f>S74*0.001117515+R74*0.001117515</f>
        <v/>
      </c>
      <c r="AS74" s="7">
        <f>T74*0.001117515+S74*0.001117515</f>
        <v/>
      </c>
      <c r="AT74" s="7">
        <f>U74*0.001117515+T74*0.001117515</f>
        <v/>
      </c>
      <c r="AU74" s="7">
        <f>V74*0.001117515+U74*0.001117515</f>
        <v/>
      </c>
      <c r="AV74" s="7">
        <f>W74*0.001117515+V74*0.001117515</f>
        <v/>
      </c>
      <c r="AW74" s="7">
        <f>X74*0.001117515+W74*0.001117515</f>
        <v/>
      </c>
      <c r="AX74" s="7">
        <f>Y74*0.001117515+X74*0.001117515</f>
        <v/>
      </c>
      <c r="AY74" s="7">
        <f>Z74*0.001117515+Y74*0.001117515</f>
        <v/>
      </c>
      <c r="AZ74" s="7">
        <f>AA74*0.001117515+Z74*0.001117515</f>
        <v/>
      </c>
      <c r="BA74" s="7">
        <f>D74*0.001117515+AA74*0.001117515</f>
        <v/>
      </c>
      <c r="BB74" s="7">
        <f>SUM(AD74:BA74)</f>
        <v/>
      </c>
    </row>
    <row r="75">
      <c r="A75" t="inlineStr">
        <is>
          <t>AMD-M1</t>
        </is>
      </c>
      <c r="B75" t="inlineStr">
        <is>
          <t>Forward Regular OSC</t>
        </is>
      </c>
      <c r="C75" s="5" t="n">
        <v>46097</v>
      </c>
      <c r="D75" s="6">
        <f>Summary!D75</f>
        <v/>
      </c>
      <c r="E75" s="6">
        <f>Summary!E75</f>
        <v/>
      </c>
      <c r="F75" s="6">
        <f>Summary!F75</f>
        <v/>
      </c>
      <c r="G75" s="6">
        <f>Summary!G75</f>
        <v/>
      </c>
      <c r="H75" s="6">
        <f>Summary!H75</f>
        <v/>
      </c>
      <c r="I75" s="6">
        <f>Summary!I75</f>
        <v/>
      </c>
      <c r="J75" s="6">
        <f>Summary!J75</f>
        <v/>
      </c>
      <c r="K75" s="6">
        <f>Summary!K75</f>
        <v/>
      </c>
      <c r="L75" s="6">
        <f>Summary!L75</f>
        <v/>
      </c>
      <c r="M75" s="6">
        <f>Summary!M75</f>
        <v/>
      </c>
      <c r="N75" s="6">
        <f>Summary!N75</f>
        <v/>
      </c>
      <c r="O75" s="6">
        <f>Summary!O75</f>
        <v/>
      </c>
      <c r="P75" s="6">
        <f>Summary!P75</f>
        <v/>
      </c>
      <c r="Q75" s="6">
        <f>Summary!Q75</f>
        <v/>
      </c>
      <c r="R75" s="6">
        <f>Summary!R75</f>
        <v/>
      </c>
      <c r="S75" s="6">
        <f>Summary!S75</f>
        <v/>
      </c>
      <c r="T75" s="6">
        <f>Summary!T75</f>
        <v/>
      </c>
      <c r="U75" s="6">
        <f>Summary!U75</f>
        <v/>
      </c>
      <c r="V75" s="6">
        <f>Summary!V75</f>
        <v/>
      </c>
      <c r="W75" s="6">
        <f>Summary!W75</f>
        <v/>
      </c>
      <c r="X75" s="6">
        <f>Summary!X75</f>
        <v/>
      </c>
      <c r="Y75" s="6">
        <f>Summary!Y75</f>
        <v/>
      </c>
      <c r="Z75" s="6">
        <f>Summary!Z75</f>
        <v/>
      </c>
      <c r="AA75" s="6">
        <f>Summary!AA75</f>
        <v/>
      </c>
      <c r="AB75" s="6">
        <f>SUM(D75:AA75)</f>
        <v/>
      </c>
      <c r="AC75" s="3" t="inlineStr"/>
      <c r="AD75" s="7">
        <f>E75*0.001117515+D75*0.001117515</f>
        <v/>
      </c>
      <c r="AE75" s="7">
        <f>F75*0.001117515+E75*0.001117515</f>
        <v/>
      </c>
      <c r="AF75" s="7">
        <f>G75*0.001117515+F75*0.001117515</f>
        <v/>
      </c>
      <c r="AG75" s="7">
        <f>H75*0.001117515+G75*0.001117515</f>
        <v/>
      </c>
      <c r="AH75" s="7">
        <f>I75*0.001117515+H75*0.001117515</f>
        <v/>
      </c>
      <c r="AI75" s="7">
        <f>J75*0.001117515+I75*0.001117515</f>
        <v/>
      </c>
      <c r="AJ75" s="7">
        <f>K75*0.001117515+J75*0.001117515</f>
        <v/>
      </c>
      <c r="AK75" s="7">
        <f>L75*0.001117515+K75*0.001117515</f>
        <v/>
      </c>
      <c r="AL75" s="7">
        <f>M75*0.001117515+L75*0.001117515</f>
        <v/>
      </c>
      <c r="AM75" s="7">
        <f>N75*0.001117515+M75*0.001117515</f>
        <v/>
      </c>
      <c r="AN75" s="7">
        <f>O75*0.001117515+N75*0.001117515</f>
        <v/>
      </c>
      <c r="AO75" s="7">
        <f>P75*0.001117515+O75*0.001117515</f>
        <v/>
      </c>
      <c r="AP75" s="7">
        <f>Q75*0.001117515+P75*0.001117515</f>
        <v/>
      </c>
      <c r="AQ75" s="7">
        <f>R75*0.001117515+Q75*0.001117515</f>
        <v/>
      </c>
      <c r="AR75" s="7">
        <f>S75*0.001117515+R75*0.001117515</f>
        <v/>
      </c>
      <c r="AS75" s="7">
        <f>T75*0.001117515+S75*0.001117515</f>
        <v/>
      </c>
      <c r="AT75" s="7">
        <f>U75*0.001117515+T75*0.001117515</f>
        <v/>
      </c>
      <c r="AU75" s="7">
        <f>V75*0.001117515+U75*0.001117515</f>
        <v/>
      </c>
      <c r="AV75" s="7">
        <f>W75*0.001117515+V75*0.001117515</f>
        <v/>
      </c>
      <c r="AW75" s="7">
        <f>X75*0.001117515+W75*0.001117515</f>
        <v/>
      </c>
      <c r="AX75" s="7">
        <f>Y75*0.001117515+X75*0.001117515</f>
        <v/>
      </c>
      <c r="AY75" s="7">
        <f>Z75*0.001117515+Y75*0.001117515</f>
        <v/>
      </c>
      <c r="AZ75" s="7">
        <f>AA75*0.001117515+Z75*0.001117515</f>
        <v/>
      </c>
      <c r="BA75" s="7">
        <f>D75*0.001117515+AA75*0.001117515</f>
        <v/>
      </c>
      <c r="BB75" s="7">
        <f>SUM(AD75:BA75)</f>
        <v/>
      </c>
    </row>
    <row r="76">
      <c r="A76" t="inlineStr">
        <is>
          <t>AMD-M2</t>
        </is>
      </c>
      <c r="B76" t="inlineStr">
        <is>
          <t>Forward Regular OSC</t>
        </is>
      </c>
      <c r="C76" s="5" t="n">
        <v>46089</v>
      </c>
      <c r="D76" s="6">
        <f>Summary!D76</f>
        <v/>
      </c>
      <c r="E76" s="6">
        <f>Summary!E76</f>
        <v/>
      </c>
      <c r="F76" s="6">
        <f>Summary!F76</f>
        <v/>
      </c>
      <c r="G76" s="6">
        <f>Summary!G76</f>
        <v/>
      </c>
      <c r="H76" s="6">
        <f>Summary!H76</f>
        <v/>
      </c>
      <c r="I76" s="6">
        <f>Summary!I76</f>
        <v/>
      </c>
      <c r="J76" s="6">
        <f>Summary!J76</f>
        <v/>
      </c>
      <c r="K76" s="6">
        <f>Summary!K76</f>
        <v/>
      </c>
      <c r="L76" s="6">
        <f>Summary!L76</f>
        <v/>
      </c>
      <c r="M76" s="6">
        <f>Summary!M76</f>
        <v/>
      </c>
      <c r="N76" s="6">
        <f>Summary!N76</f>
        <v/>
      </c>
      <c r="O76" s="6">
        <f>Summary!O76</f>
        <v/>
      </c>
      <c r="P76" s="6">
        <f>Summary!P76</f>
        <v/>
      </c>
      <c r="Q76" s="6">
        <f>Summary!Q76</f>
        <v/>
      </c>
      <c r="R76" s="6">
        <f>Summary!R76</f>
        <v/>
      </c>
      <c r="S76" s="6">
        <f>Summary!S76</f>
        <v/>
      </c>
      <c r="T76" s="6">
        <f>Summary!T76</f>
        <v/>
      </c>
      <c r="U76" s="6">
        <f>Summary!U76</f>
        <v/>
      </c>
      <c r="V76" s="6">
        <f>Summary!V76</f>
        <v/>
      </c>
      <c r="W76" s="6">
        <f>Summary!W76</f>
        <v/>
      </c>
      <c r="X76" s="6">
        <f>Summary!X76</f>
        <v/>
      </c>
      <c r="Y76" s="6">
        <f>Summary!Y76</f>
        <v/>
      </c>
      <c r="Z76" s="6">
        <f>Summary!Z76</f>
        <v/>
      </c>
      <c r="AA76" s="6">
        <f>Summary!AA76</f>
        <v/>
      </c>
      <c r="AB76" s="6">
        <f>SUM(D76:AA76)</f>
        <v/>
      </c>
      <c r="AC76" s="3" t="inlineStr"/>
      <c r="AD76" s="7">
        <f>E76*0.001117515+D76*0.001117515</f>
        <v/>
      </c>
      <c r="AE76" s="7">
        <f>F76*0.001117515+E76*0.001117515</f>
        <v/>
      </c>
      <c r="AF76" s="7">
        <f>G76*0.001117515+F76*0.001117515</f>
        <v/>
      </c>
      <c r="AG76" s="7">
        <f>H76*0.001117515+G76*0.001117515</f>
        <v/>
      </c>
      <c r="AH76" s="7">
        <f>I76*0.001117515+H76*0.001117515</f>
        <v/>
      </c>
      <c r="AI76" s="7">
        <f>J76*0.001117515+I76*0.001117515</f>
        <v/>
      </c>
      <c r="AJ76" s="7">
        <f>K76*0.001117515+J76*0.001117515</f>
        <v/>
      </c>
      <c r="AK76" s="7">
        <f>L76*0.001117515+K76*0.001117515</f>
        <v/>
      </c>
      <c r="AL76" s="7">
        <f>M76*0.001117515+L76*0.001117515</f>
        <v/>
      </c>
      <c r="AM76" s="7">
        <f>N76*0.001117515+M76*0.001117515</f>
        <v/>
      </c>
      <c r="AN76" s="7">
        <f>O76*0.001117515+N76*0.001117515</f>
        <v/>
      </c>
      <c r="AO76" s="7">
        <f>P76*0.001117515+O76*0.001117515</f>
        <v/>
      </c>
      <c r="AP76" s="7">
        <f>Q76*0.001117515+P76*0.001117515</f>
        <v/>
      </c>
      <c r="AQ76" s="7">
        <f>R76*0.001117515+Q76*0.001117515</f>
        <v/>
      </c>
      <c r="AR76" s="7">
        <f>S76*0.001117515+R76*0.001117515</f>
        <v/>
      </c>
      <c r="AS76" s="7">
        <f>T76*0.001117515+S76*0.001117515</f>
        <v/>
      </c>
      <c r="AT76" s="7">
        <f>U76*0.001117515+T76*0.001117515</f>
        <v/>
      </c>
      <c r="AU76" s="7">
        <f>V76*0.001117515+U76*0.001117515</f>
        <v/>
      </c>
      <c r="AV76" s="7">
        <f>W76*0.001117515+V76*0.001117515</f>
        <v/>
      </c>
      <c r="AW76" s="7">
        <f>X76*0.001117515+W76*0.001117515</f>
        <v/>
      </c>
      <c r="AX76" s="7">
        <f>Y76*0.001117515+X76*0.001117515</f>
        <v/>
      </c>
      <c r="AY76" s="7">
        <f>Z76*0.001117515+Y76*0.001117515</f>
        <v/>
      </c>
      <c r="AZ76" s="7">
        <f>AA76*0.001117515+Z76*0.001117515</f>
        <v/>
      </c>
      <c r="BA76" s="7">
        <f>D76*0.001117515+AA76*0.001117515</f>
        <v/>
      </c>
      <c r="BB76" s="7">
        <f>SUM(AD76:BA76)</f>
        <v/>
      </c>
    </row>
    <row r="77">
      <c r="A77" t="inlineStr">
        <is>
          <t>AMD-M2</t>
        </is>
      </c>
      <c r="B77" t="inlineStr">
        <is>
          <t>Forward Regular OSC</t>
        </is>
      </c>
      <c r="C77" s="5" t="n">
        <v>46090</v>
      </c>
      <c r="D77" s="6">
        <f>Summary!D77</f>
        <v/>
      </c>
      <c r="E77" s="6">
        <f>Summary!E77</f>
        <v/>
      </c>
      <c r="F77" s="6">
        <f>Summary!F77</f>
        <v/>
      </c>
      <c r="G77" s="6">
        <f>Summary!G77</f>
        <v/>
      </c>
      <c r="H77" s="6">
        <f>Summary!H77</f>
        <v/>
      </c>
      <c r="I77" s="6">
        <f>Summary!I77</f>
        <v/>
      </c>
      <c r="J77" s="6">
        <f>Summary!J77</f>
        <v/>
      </c>
      <c r="K77" s="6">
        <f>Summary!K77</f>
        <v/>
      </c>
      <c r="L77" s="6">
        <f>Summary!L77</f>
        <v/>
      </c>
      <c r="M77" s="6">
        <f>Summary!M77</f>
        <v/>
      </c>
      <c r="N77" s="6">
        <f>Summary!N77</f>
        <v/>
      </c>
      <c r="O77" s="6">
        <f>Summary!O77</f>
        <v/>
      </c>
      <c r="P77" s="6">
        <f>Summary!P77</f>
        <v/>
      </c>
      <c r="Q77" s="6">
        <f>Summary!Q77</f>
        <v/>
      </c>
      <c r="R77" s="6">
        <f>Summary!R77</f>
        <v/>
      </c>
      <c r="S77" s="6">
        <f>Summary!S77</f>
        <v/>
      </c>
      <c r="T77" s="6">
        <f>Summary!T77</f>
        <v/>
      </c>
      <c r="U77" s="6">
        <f>Summary!U77</f>
        <v/>
      </c>
      <c r="V77" s="6">
        <f>Summary!V77</f>
        <v/>
      </c>
      <c r="W77" s="6">
        <f>Summary!W77</f>
        <v/>
      </c>
      <c r="X77" s="6">
        <f>Summary!X77</f>
        <v/>
      </c>
      <c r="Y77" s="6">
        <f>Summary!Y77</f>
        <v/>
      </c>
      <c r="Z77" s="6">
        <f>Summary!Z77</f>
        <v/>
      </c>
      <c r="AA77" s="6">
        <f>Summary!AA77</f>
        <v/>
      </c>
      <c r="AB77" s="6">
        <f>SUM(D77:AA77)</f>
        <v/>
      </c>
      <c r="AC77" s="3" t="inlineStr"/>
      <c r="AD77" s="7">
        <f>E77*0.001117515+D77*0.001117515</f>
        <v/>
      </c>
      <c r="AE77" s="7">
        <f>F77*0.001117515+E77*0.001117515</f>
        <v/>
      </c>
      <c r="AF77" s="7">
        <f>G77*0.001117515+F77*0.001117515</f>
        <v/>
      </c>
      <c r="AG77" s="7">
        <f>H77*0.001117515+G77*0.001117515</f>
        <v/>
      </c>
      <c r="AH77" s="7">
        <f>I77*0.001117515+H77*0.001117515</f>
        <v/>
      </c>
      <c r="AI77" s="7">
        <f>J77*0.001117515+I77*0.001117515</f>
        <v/>
      </c>
      <c r="AJ77" s="7">
        <f>K77*0.001117515+J77*0.001117515</f>
        <v/>
      </c>
      <c r="AK77" s="7">
        <f>L77*0.001117515+K77*0.001117515</f>
        <v/>
      </c>
      <c r="AL77" s="7">
        <f>M77*0.001117515+L77*0.001117515</f>
        <v/>
      </c>
      <c r="AM77" s="7">
        <f>N77*0.001117515+M77*0.001117515</f>
        <v/>
      </c>
      <c r="AN77" s="7">
        <f>O77*0.001117515+N77*0.001117515</f>
        <v/>
      </c>
      <c r="AO77" s="7">
        <f>P77*0.001117515+O77*0.001117515</f>
        <v/>
      </c>
      <c r="AP77" s="7">
        <f>Q77*0.001117515+P77*0.001117515</f>
        <v/>
      </c>
      <c r="AQ77" s="7">
        <f>R77*0.001117515+Q77*0.001117515</f>
        <v/>
      </c>
      <c r="AR77" s="7">
        <f>S77*0.001117515+R77*0.001117515</f>
        <v/>
      </c>
      <c r="AS77" s="7">
        <f>T77*0.001117515+S77*0.001117515</f>
        <v/>
      </c>
      <c r="AT77" s="7">
        <f>U77*0.001117515+T77*0.001117515</f>
        <v/>
      </c>
      <c r="AU77" s="7">
        <f>V77*0.001117515+U77*0.001117515</f>
        <v/>
      </c>
      <c r="AV77" s="7">
        <f>W77*0.001117515+V77*0.001117515</f>
        <v/>
      </c>
      <c r="AW77" s="7">
        <f>X77*0.001117515+W77*0.001117515</f>
        <v/>
      </c>
      <c r="AX77" s="7">
        <f>Y77*0.001117515+X77*0.001117515</f>
        <v/>
      </c>
      <c r="AY77" s="7">
        <f>Z77*0.001117515+Y77*0.001117515</f>
        <v/>
      </c>
      <c r="AZ77" s="7">
        <f>AA77*0.001117515+Z77*0.001117515</f>
        <v/>
      </c>
      <c r="BA77" s="7">
        <f>D77*0.001117515+AA77*0.001117515</f>
        <v/>
      </c>
      <c r="BB77" s="7">
        <f>SUM(AD77:BA77)</f>
        <v/>
      </c>
    </row>
    <row r="78">
      <c r="A78" t="inlineStr">
        <is>
          <t>AMD-M2</t>
        </is>
      </c>
      <c r="B78" t="inlineStr">
        <is>
          <t>Forward Regular OSC</t>
        </is>
      </c>
      <c r="C78" s="5" t="n">
        <v>46091</v>
      </c>
      <c r="D78" s="6">
        <f>Summary!D78</f>
        <v/>
      </c>
      <c r="E78" s="6">
        <f>Summary!E78</f>
        <v/>
      </c>
      <c r="F78" s="6">
        <f>Summary!F78</f>
        <v/>
      </c>
      <c r="G78" s="6">
        <f>Summary!G78</f>
        <v/>
      </c>
      <c r="H78" s="6">
        <f>Summary!H78</f>
        <v/>
      </c>
      <c r="I78" s="6">
        <f>Summary!I78</f>
        <v/>
      </c>
      <c r="J78" s="6">
        <f>Summary!J78</f>
        <v/>
      </c>
      <c r="K78" s="6">
        <f>Summary!K78</f>
        <v/>
      </c>
      <c r="L78" s="6">
        <f>Summary!L78</f>
        <v/>
      </c>
      <c r="M78" s="6">
        <f>Summary!M78</f>
        <v/>
      </c>
      <c r="N78" s="6">
        <f>Summary!N78</f>
        <v/>
      </c>
      <c r="O78" s="6">
        <f>Summary!O78</f>
        <v/>
      </c>
      <c r="P78" s="6">
        <f>Summary!P78</f>
        <v/>
      </c>
      <c r="Q78" s="6">
        <f>Summary!Q78</f>
        <v/>
      </c>
      <c r="R78" s="6">
        <f>Summary!R78</f>
        <v/>
      </c>
      <c r="S78" s="6">
        <f>Summary!S78</f>
        <v/>
      </c>
      <c r="T78" s="6">
        <f>Summary!T78</f>
        <v/>
      </c>
      <c r="U78" s="6">
        <f>Summary!U78</f>
        <v/>
      </c>
      <c r="V78" s="6">
        <f>Summary!V78</f>
        <v/>
      </c>
      <c r="W78" s="6">
        <f>Summary!W78</f>
        <v/>
      </c>
      <c r="X78" s="6">
        <f>Summary!X78</f>
        <v/>
      </c>
      <c r="Y78" s="6">
        <f>Summary!Y78</f>
        <v/>
      </c>
      <c r="Z78" s="6">
        <f>Summary!Z78</f>
        <v/>
      </c>
      <c r="AA78" s="6">
        <f>Summary!AA78</f>
        <v/>
      </c>
      <c r="AB78" s="6">
        <f>SUM(D78:AA78)</f>
        <v/>
      </c>
      <c r="AC78" s="3" t="inlineStr"/>
      <c r="AD78" s="7">
        <f>E78*0.001117515+D78*0.001117515</f>
        <v/>
      </c>
      <c r="AE78" s="7">
        <f>F78*0.001117515+E78*0.001117515</f>
        <v/>
      </c>
      <c r="AF78" s="7">
        <f>G78*0.001117515+F78*0.001117515</f>
        <v/>
      </c>
      <c r="AG78" s="7">
        <f>H78*0.001117515+G78*0.001117515</f>
        <v/>
      </c>
      <c r="AH78" s="7">
        <f>I78*0.001117515+H78*0.001117515</f>
        <v/>
      </c>
      <c r="AI78" s="7">
        <f>J78*0.001117515+I78*0.001117515</f>
        <v/>
      </c>
      <c r="AJ78" s="7">
        <f>K78*0.001117515+J78*0.001117515</f>
        <v/>
      </c>
      <c r="AK78" s="7">
        <f>L78*0.001117515+K78*0.001117515</f>
        <v/>
      </c>
      <c r="AL78" s="7">
        <f>M78*0.001117515+L78*0.001117515</f>
        <v/>
      </c>
      <c r="AM78" s="7">
        <f>N78*0.001117515+M78*0.001117515</f>
        <v/>
      </c>
      <c r="AN78" s="7">
        <f>O78*0.001117515+N78*0.001117515</f>
        <v/>
      </c>
      <c r="AO78" s="7">
        <f>P78*0.001117515+O78*0.001117515</f>
        <v/>
      </c>
      <c r="AP78" s="7">
        <f>Q78*0.001117515+P78*0.001117515</f>
        <v/>
      </c>
      <c r="AQ78" s="7">
        <f>R78*0.001117515+Q78*0.001117515</f>
        <v/>
      </c>
      <c r="AR78" s="7">
        <f>S78*0.001117515+R78*0.001117515</f>
        <v/>
      </c>
      <c r="AS78" s="7">
        <f>T78*0.001117515+S78*0.001117515</f>
        <v/>
      </c>
      <c r="AT78" s="7">
        <f>U78*0.001117515+T78*0.001117515</f>
        <v/>
      </c>
      <c r="AU78" s="7">
        <f>V78*0.001117515+U78*0.001117515</f>
        <v/>
      </c>
      <c r="AV78" s="7">
        <f>W78*0.001117515+V78*0.001117515</f>
        <v/>
      </c>
      <c r="AW78" s="7">
        <f>X78*0.001117515+W78*0.001117515</f>
        <v/>
      </c>
      <c r="AX78" s="7">
        <f>Y78*0.001117515+X78*0.001117515</f>
        <v/>
      </c>
      <c r="AY78" s="7">
        <f>Z78*0.001117515+Y78*0.001117515</f>
        <v/>
      </c>
      <c r="AZ78" s="7">
        <f>AA78*0.001117515+Z78*0.001117515</f>
        <v/>
      </c>
      <c r="BA78" s="7">
        <f>D78*0.001117515+AA78*0.001117515</f>
        <v/>
      </c>
      <c r="BB78" s="7">
        <f>SUM(AD78:BA78)</f>
        <v/>
      </c>
    </row>
    <row r="79">
      <c r="A79" t="inlineStr">
        <is>
          <t>AMD-M2</t>
        </is>
      </c>
      <c r="B79" t="inlineStr">
        <is>
          <t>Forward Regular OSC</t>
        </is>
      </c>
      <c r="C79" s="5" t="n">
        <v>46092</v>
      </c>
      <c r="D79" s="6">
        <f>Summary!D79</f>
        <v/>
      </c>
      <c r="E79" s="6">
        <f>Summary!E79</f>
        <v/>
      </c>
      <c r="F79" s="6">
        <f>Summary!F79</f>
        <v/>
      </c>
      <c r="G79" s="6">
        <f>Summary!G79</f>
        <v/>
      </c>
      <c r="H79" s="6">
        <f>Summary!H79</f>
        <v/>
      </c>
      <c r="I79" s="6">
        <f>Summary!I79</f>
        <v/>
      </c>
      <c r="J79" s="6">
        <f>Summary!J79</f>
        <v/>
      </c>
      <c r="K79" s="6">
        <f>Summary!K79</f>
        <v/>
      </c>
      <c r="L79" s="6">
        <f>Summary!L79</f>
        <v/>
      </c>
      <c r="M79" s="6">
        <f>Summary!M79</f>
        <v/>
      </c>
      <c r="N79" s="6">
        <f>Summary!N79</f>
        <v/>
      </c>
      <c r="O79" s="6">
        <f>Summary!O79</f>
        <v/>
      </c>
      <c r="P79" s="6">
        <f>Summary!P79</f>
        <v/>
      </c>
      <c r="Q79" s="6">
        <f>Summary!Q79</f>
        <v/>
      </c>
      <c r="R79" s="6">
        <f>Summary!R79</f>
        <v/>
      </c>
      <c r="S79" s="6">
        <f>Summary!S79</f>
        <v/>
      </c>
      <c r="T79" s="6">
        <f>Summary!T79</f>
        <v/>
      </c>
      <c r="U79" s="6">
        <f>Summary!U79</f>
        <v/>
      </c>
      <c r="V79" s="6">
        <f>Summary!V79</f>
        <v/>
      </c>
      <c r="W79" s="6">
        <f>Summary!W79</f>
        <v/>
      </c>
      <c r="X79" s="6">
        <f>Summary!X79</f>
        <v/>
      </c>
      <c r="Y79" s="6">
        <f>Summary!Y79</f>
        <v/>
      </c>
      <c r="Z79" s="6">
        <f>Summary!Z79</f>
        <v/>
      </c>
      <c r="AA79" s="6">
        <f>Summary!AA79</f>
        <v/>
      </c>
      <c r="AB79" s="6">
        <f>SUM(D79:AA79)</f>
        <v/>
      </c>
      <c r="AC79" s="3" t="inlineStr"/>
      <c r="AD79" s="7">
        <f>E79*0.001117515+D79*0.001117515</f>
        <v/>
      </c>
      <c r="AE79" s="7">
        <f>F79*0.001117515+E79*0.001117515</f>
        <v/>
      </c>
      <c r="AF79" s="7">
        <f>G79*0.001117515+F79*0.001117515</f>
        <v/>
      </c>
      <c r="AG79" s="7">
        <f>H79*0.001117515+G79*0.001117515</f>
        <v/>
      </c>
      <c r="AH79" s="7">
        <f>I79*0.001117515+H79*0.001117515</f>
        <v/>
      </c>
      <c r="AI79" s="7">
        <f>J79*0.001117515+I79*0.001117515</f>
        <v/>
      </c>
      <c r="AJ79" s="7">
        <f>K79*0.001117515+J79*0.001117515</f>
        <v/>
      </c>
      <c r="AK79" s="7">
        <f>L79*0.001117515+K79*0.001117515</f>
        <v/>
      </c>
      <c r="AL79" s="7">
        <f>M79*0.001117515+L79*0.001117515</f>
        <v/>
      </c>
      <c r="AM79" s="7">
        <f>N79*0.001117515+M79*0.001117515</f>
        <v/>
      </c>
      <c r="AN79" s="7">
        <f>O79*0.001117515+N79*0.001117515</f>
        <v/>
      </c>
      <c r="AO79" s="7">
        <f>P79*0.001117515+O79*0.001117515</f>
        <v/>
      </c>
      <c r="AP79" s="7">
        <f>Q79*0.001117515+P79*0.001117515</f>
        <v/>
      </c>
      <c r="AQ79" s="7">
        <f>R79*0.001117515+Q79*0.001117515</f>
        <v/>
      </c>
      <c r="AR79" s="7">
        <f>S79*0.001117515+R79*0.001117515</f>
        <v/>
      </c>
      <c r="AS79" s="7">
        <f>T79*0.001117515+S79*0.001117515</f>
        <v/>
      </c>
      <c r="AT79" s="7">
        <f>U79*0.001117515+T79*0.001117515</f>
        <v/>
      </c>
      <c r="AU79" s="7">
        <f>V79*0.001117515+U79*0.001117515</f>
        <v/>
      </c>
      <c r="AV79" s="7">
        <f>W79*0.001117515+V79*0.001117515</f>
        <v/>
      </c>
      <c r="AW79" s="7">
        <f>X79*0.001117515+W79*0.001117515</f>
        <v/>
      </c>
      <c r="AX79" s="7">
        <f>Y79*0.001117515+X79*0.001117515</f>
        <v/>
      </c>
      <c r="AY79" s="7">
        <f>Z79*0.001117515+Y79*0.001117515</f>
        <v/>
      </c>
      <c r="AZ79" s="7">
        <f>AA79*0.001117515+Z79*0.001117515</f>
        <v/>
      </c>
      <c r="BA79" s="7">
        <f>D79*0.001117515+AA79*0.001117515</f>
        <v/>
      </c>
      <c r="BB79" s="7">
        <f>SUM(AD79:BA79)</f>
        <v/>
      </c>
    </row>
    <row r="80">
      <c r="A80" t="inlineStr">
        <is>
          <t>AMD-M2</t>
        </is>
      </c>
      <c r="B80" t="inlineStr">
        <is>
          <t>Forward Regular OSC</t>
        </is>
      </c>
      <c r="C80" s="5" t="n">
        <v>46093</v>
      </c>
      <c r="D80" s="6">
        <f>Summary!D80</f>
        <v/>
      </c>
      <c r="E80" s="6">
        <f>Summary!E80</f>
        <v/>
      </c>
      <c r="F80" s="6">
        <f>Summary!F80</f>
        <v/>
      </c>
      <c r="G80" s="6">
        <f>Summary!G80</f>
        <v/>
      </c>
      <c r="H80" s="6">
        <f>Summary!H80</f>
        <v/>
      </c>
      <c r="I80" s="6">
        <f>Summary!I80</f>
        <v/>
      </c>
      <c r="J80" s="6">
        <f>Summary!J80</f>
        <v/>
      </c>
      <c r="K80" s="6">
        <f>Summary!K80</f>
        <v/>
      </c>
      <c r="L80" s="6">
        <f>Summary!L80</f>
        <v/>
      </c>
      <c r="M80" s="6">
        <f>Summary!M80</f>
        <v/>
      </c>
      <c r="N80" s="6">
        <f>Summary!N80</f>
        <v/>
      </c>
      <c r="O80" s="6">
        <f>Summary!O80</f>
        <v/>
      </c>
      <c r="P80" s="6">
        <f>Summary!P80</f>
        <v/>
      </c>
      <c r="Q80" s="6">
        <f>Summary!Q80</f>
        <v/>
      </c>
      <c r="R80" s="6">
        <f>Summary!R80</f>
        <v/>
      </c>
      <c r="S80" s="6">
        <f>Summary!S80</f>
        <v/>
      </c>
      <c r="T80" s="6">
        <f>Summary!T80</f>
        <v/>
      </c>
      <c r="U80" s="6">
        <f>Summary!U80</f>
        <v/>
      </c>
      <c r="V80" s="6">
        <f>Summary!V80</f>
        <v/>
      </c>
      <c r="W80" s="6">
        <f>Summary!W80</f>
        <v/>
      </c>
      <c r="X80" s="6">
        <f>Summary!X80</f>
        <v/>
      </c>
      <c r="Y80" s="6">
        <f>Summary!Y80</f>
        <v/>
      </c>
      <c r="Z80" s="6">
        <f>Summary!Z80</f>
        <v/>
      </c>
      <c r="AA80" s="6">
        <f>Summary!AA80</f>
        <v/>
      </c>
      <c r="AB80" s="6">
        <f>SUM(D80:AA80)</f>
        <v/>
      </c>
      <c r="AC80" s="3" t="inlineStr"/>
      <c r="AD80" s="7">
        <f>E80*0.001117515+D80*0.001117515</f>
        <v/>
      </c>
      <c r="AE80" s="7">
        <f>F80*0.001117515+E80*0.001117515</f>
        <v/>
      </c>
      <c r="AF80" s="7">
        <f>G80*0.001117515+F80*0.001117515</f>
        <v/>
      </c>
      <c r="AG80" s="7">
        <f>H80*0.001117515+G80*0.001117515</f>
        <v/>
      </c>
      <c r="AH80" s="7">
        <f>I80*0.001117515+H80*0.001117515</f>
        <v/>
      </c>
      <c r="AI80" s="7">
        <f>J80*0.001117515+I80*0.001117515</f>
        <v/>
      </c>
      <c r="AJ80" s="7">
        <f>K80*0.001117515+J80*0.001117515</f>
        <v/>
      </c>
      <c r="AK80" s="7">
        <f>L80*0.001117515+K80*0.001117515</f>
        <v/>
      </c>
      <c r="AL80" s="7">
        <f>M80*0.001117515+L80*0.001117515</f>
        <v/>
      </c>
      <c r="AM80" s="7">
        <f>N80*0.001117515+M80*0.001117515</f>
        <v/>
      </c>
      <c r="AN80" s="7">
        <f>O80*0.001117515+N80*0.001117515</f>
        <v/>
      </c>
      <c r="AO80" s="7">
        <f>P80*0.001117515+O80*0.001117515</f>
        <v/>
      </c>
      <c r="AP80" s="7">
        <f>Q80*0.001117515+P80*0.001117515</f>
        <v/>
      </c>
      <c r="AQ80" s="7">
        <f>R80*0.001117515+Q80*0.001117515</f>
        <v/>
      </c>
      <c r="AR80" s="7">
        <f>S80*0.001117515+R80*0.001117515</f>
        <v/>
      </c>
      <c r="AS80" s="7">
        <f>T80*0.001117515+S80*0.001117515</f>
        <v/>
      </c>
      <c r="AT80" s="7">
        <f>U80*0.001117515+T80*0.001117515</f>
        <v/>
      </c>
      <c r="AU80" s="7">
        <f>V80*0.001117515+U80*0.001117515</f>
        <v/>
      </c>
      <c r="AV80" s="7">
        <f>W80*0.001117515+V80*0.001117515</f>
        <v/>
      </c>
      <c r="AW80" s="7">
        <f>X80*0.001117515+W80*0.001117515</f>
        <v/>
      </c>
      <c r="AX80" s="7">
        <f>Y80*0.001117515+X80*0.001117515</f>
        <v/>
      </c>
      <c r="AY80" s="7">
        <f>Z80*0.001117515+Y80*0.001117515</f>
        <v/>
      </c>
      <c r="AZ80" s="7">
        <f>AA80*0.001117515+Z80*0.001117515</f>
        <v/>
      </c>
      <c r="BA80" s="7">
        <f>D80*0.001117515+AA80*0.001117515</f>
        <v/>
      </c>
      <c r="BB80" s="7">
        <f>SUM(AD80:BA80)</f>
        <v/>
      </c>
    </row>
    <row r="81">
      <c r="A81" t="inlineStr">
        <is>
          <t>AMD-M2</t>
        </is>
      </c>
      <c r="B81" t="inlineStr">
        <is>
          <t>Forward Regular OSC</t>
        </is>
      </c>
      <c r="C81" s="5" t="n">
        <v>46094</v>
      </c>
      <c r="D81" s="6">
        <f>Summary!D81</f>
        <v/>
      </c>
      <c r="E81" s="6">
        <f>Summary!E81</f>
        <v/>
      </c>
      <c r="F81" s="6">
        <f>Summary!F81</f>
        <v/>
      </c>
      <c r="G81" s="6">
        <f>Summary!G81</f>
        <v/>
      </c>
      <c r="H81" s="6">
        <f>Summary!H81</f>
        <v/>
      </c>
      <c r="I81" s="6">
        <f>Summary!I81</f>
        <v/>
      </c>
      <c r="J81" s="6">
        <f>Summary!J81</f>
        <v/>
      </c>
      <c r="K81" s="6">
        <f>Summary!K81</f>
        <v/>
      </c>
      <c r="L81" s="6">
        <f>Summary!L81</f>
        <v/>
      </c>
      <c r="M81" s="6">
        <f>Summary!M81</f>
        <v/>
      </c>
      <c r="N81" s="6">
        <f>Summary!N81</f>
        <v/>
      </c>
      <c r="O81" s="6">
        <f>Summary!O81</f>
        <v/>
      </c>
      <c r="P81" s="6">
        <f>Summary!P81</f>
        <v/>
      </c>
      <c r="Q81" s="6">
        <f>Summary!Q81</f>
        <v/>
      </c>
      <c r="R81" s="6">
        <f>Summary!R81</f>
        <v/>
      </c>
      <c r="S81" s="6">
        <f>Summary!S81</f>
        <v/>
      </c>
      <c r="T81" s="6">
        <f>Summary!T81</f>
        <v/>
      </c>
      <c r="U81" s="6">
        <f>Summary!U81</f>
        <v/>
      </c>
      <c r="V81" s="6">
        <f>Summary!V81</f>
        <v/>
      </c>
      <c r="W81" s="6">
        <f>Summary!W81</f>
        <v/>
      </c>
      <c r="X81" s="6">
        <f>Summary!X81</f>
        <v/>
      </c>
      <c r="Y81" s="6">
        <f>Summary!Y81</f>
        <v/>
      </c>
      <c r="Z81" s="6">
        <f>Summary!Z81</f>
        <v/>
      </c>
      <c r="AA81" s="6">
        <f>Summary!AA81</f>
        <v/>
      </c>
      <c r="AB81" s="6">
        <f>SUM(D81:AA81)</f>
        <v/>
      </c>
      <c r="AC81" s="3" t="inlineStr"/>
      <c r="AD81" s="7">
        <f>E81*0.001117515+D81*0.001117515</f>
        <v/>
      </c>
      <c r="AE81" s="7">
        <f>F81*0.001117515+E81*0.001117515</f>
        <v/>
      </c>
      <c r="AF81" s="7">
        <f>G81*0.001117515+F81*0.001117515</f>
        <v/>
      </c>
      <c r="AG81" s="7">
        <f>H81*0.001117515+G81*0.001117515</f>
        <v/>
      </c>
      <c r="AH81" s="7">
        <f>I81*0.001117515+H81*0.001117515</f>
        <v/>
      </c>
      <c r="AI81" s="7">
        <f>J81*0.001117515+I81*0.001117515</f>
        <v/>
      </c>
      <c r="AJ81" s="7">
        <f>K81*0.001117515+J81*0.001117515</f>
        <v/>
      </c>
      <c r="AK81" s="7">
        <f>L81*0.001117515+K81*0.001117515</f>
        <v/>
      </c>
      <c r="AL81" s="7">
        <f>M81*0.001117515+L81*0.001117515</f>
        <v/>
      </c>
      <c r="AM81" s="7">
        <f>N81*0.001117515+M81*0.001117515</f>
        <v/>
      </c>
      <c r="AN81" s="7">
        <f>O81*0.001117515+N81*0.001117515</f>
        <v/>
      </c>
      <c r="AO81" s="7">
        <f>P81*0.001117515+O81*0.001117515</f>
        <v/>
      </c>
      <c r="AP81" s="7">
        <f>Q81*0.001117515+P81*0.001117515</f>
        <v/>
      </c>
      <c r="AQ81" s="7">
        <f>R81*0.001117515+Q81*0.001117515</f>
        <v/>
      </c>
      <c r="AR81" s="7">
        <f>S81*0.001117515+R81*0.001117515</f>
        <v/>
      </c>
      <c r="AS81" s="7">
        <f>T81*0.001117515+S81*0.001117515</f>
        <v/>
      </c>
      <c r="AT81" s="7">
        <f>U81*0.001117515+T81*0.001117515</f>
        <v/>
      </c>
      <c r="AU81" s="7">
        <f>V81*0.001117515+U81*0.001117515</f>
        <v/>
      </c>
      <c r="AV81" s="7">
        <f>W81*0.001117515+V81*0.001117515</f>
        <v/>
      </c>
      <c r="AW81" s="7">
        <f>X81*0.001117515+W81*0.001117515</f>
        <v/>
      </c>
      <c r="AX81" s="7">
        <f>Y81*0.001117515+X81*0.001117515</f>
        <v/>
      </c>
      <c r="AY81" s="7">
        <f>Z81*0.001117515+Y81*0.001117515</f>
        <v/>
      </c>
      <c r="AZ81" s="7">
        <f>AA81*0.001117515+Z81*0.001117515</f>
        <v/>
      </c>
      <c r="BA81" s="7">
        <f>D81*0.001117515+AA81*0.001117515</f>
        <v/>
      </c>
      <c r="BB81" s="7">
        <f>SUM(AD81:BA81)</f>
        <v/>
      </c>
    </row>
    <row r="82">
      <c r="A82" t="inlineStr">
        <is>
          <t>AMD-M2</t>
        </is>
      </c>
      <c r="B82" t="inlineStr">
        <is>
          <t>Forward Regular OSC</t>
        </is>
      </c>
      <c r="C82" s="5" t="n">
        <v>46095</v>
      </c>
      <c r="D82" s="6">
        <f>Summary!D82</f>
        <v/>
      </c>
      <c r="E82" s="6">
        <f>Summary!E82</f>
        <v/>
      </c>
      <c r="F82" s="6">
        <f>Summary!F82</f>
        <v/>
      </c>
      <c r="G82" s="6">
        <f>Summary!G82</f>
        <v/>
      </c>
      <c r="H82" s="6">
        <f>Summary!H82</f>
        <v/>
      </c>
      <c r="I82" s="6">
        <f>Summary!I82</f>
        <v/>
      </c>
      <c r="J82" s="6">
        <f>Summary!J82</f>
        <v/>
      </c>
      <c r="K82" s="6">
        <f>Summary!K82</f>
        <v/>
      </c>
      <c r="L82" s="6">
        <f>Summary!L82</f>
        <v/>
      </c>
      <c r="M82" s="6">
        <f>Summary!M82</f>
        <v/>
      </c>
      <c r="N82" s="6">
        <f>Summary!N82</f>
        <v/>
      </c>
      <c r="O82" s="6">
        <f>Summary!O82</f>
        <v/>
      </c>
      <c r="P82" s="6">
        <f>Summary!P82</f>
        <v/>
      </c>
      <c r="Q82" s="6">
        <f>Summary!Q82</f>
        <v/>
      </c>
      <c r="R82" s="6">
        <f>Summary!R82</f>
        <v/>
      </c>
      <c r="S82" s="6">
        <f>Summary!S82</f>
        <v/>
      </c>
      <c r="T82" s="6">
        <f>Summary!T82</f>
        <v/>
      </c>
      <c r="U82" s="6">
        <f>Summary!U82</f>
        <v/>
      </c>
      <c r="V82" s="6">
        <f>Summary!V82</f>
        <v/>
      </c>
      <c r="W82" s="6">
        <f>Summary!W82</f>
        <v/>
      </c>
      <c r="X82" s="6">
        <f>Summary!X82</f>
        <v/>
      </c>
      <c r="Y82" s="6">
        <f>Summary!Y82</f>
        <v/>
      </c>
      <c r="Z82" s="6">
        <f>Summary!Z82</f>
        <v/>
      </c>
      <c r="AA82" s="6">
        <f>Summary!AA82</f>
        <v/>
      </c>
      <c r="AB82" s="6">
        <f>SUM(D82:AA82)</f>
        <v/>
      </c>
      <c r="AC82" s="3" t="inlineStr"/>
      <c r="AD82" s="7">
        <f>E82*0.001117515+D82*0.001117515</f>
        <v/>
      </c>
      <c r="AE82" s="7">
        <f>F82*0.001117515+E82*0.001117515</f>
        <v/>
      </c>
      <c r="AF82" s="7">
        <f>G82*0.001117515+F82*0.001117515</f>
        <v/>
      </c>
      <c r="AG82" s="7">
        <f>H82*0.001117515+G82*0.001117515</f>
        <v/>
      </c>
      <c r="AH82" s="7">
        <f>I82*0.001117515+H82*0.001117515</f>
        <v/>
      </c>
      <c r="AI82" s="7">
        <f>J82*0.001117515+I82*0.001117515</f>
        <v/>
      </c>
      <c r="AJ82" s="7">
        <f>K82*0.001117515+J82*0.001117515</f>
        <v/>
      </c>
      <c r="AK82" s="7">
        <f>L82*0.001117515+K82*0.001117515</f>
        <v/>
      </c>
      <c r="AL82" s="7">
        <f>M82*0.001117515+L82*0.001117515</f>
        <v/>
      </c>
      <c r="AM82" s="7">
        <f>N82*0.001117515+M82*0.001117515</f>
        <v/>
      </c>
      <c r="AN82" s="7">
        <f>O82*0.001117515+N82*0.001117515</f>
        <v/>
      </c>
      <c r="AO82" s="7">
        <f>P82*0.001117515+O82*0.001117515</f>
        <v/>
      </c>
      <c r="AP82" s="7">
        <f>Q82*0.001117515+P82*0.001117515</f>
        <v/>
      </c>
      <c r="AQ82" s="7">
        <f>R82*0.001117515+Q82*0.001117515</f>
        <v/>
      </c>
      <c r="AR82" s="7">
        <f>S82*0.001117515+R82*0.001117515</f>
        <v/>
      </c>
      <c r="AS82" s="7">
        <f>T82*0.001117515+S82*0.001117515</f>
        <v/>
      </c>
      <c r="AT82" s="7">
        <f>U82*0.001117515+T82*0.001117515</f>
        <v/>
      </c>
      <c r="AU82" s="7">
        <f>V82*0.001117515+U82*0.001117515</f>
        <v/>
      </c>
      <c r="AV82" s="7">
        <f>W82*0.001117515+V82*0.001117515</f>
        <v/>
      </c>
      <c r="AW82" s="7">
        <f>X82*0.001117515+W82*0.001117515</f>
        <v/>
      </c>
      <c r="AX82" s="7">
        <f>Y82*0.001117515+X82*0.001117515</f>
        <v/>
      </c>
      <c r="AY82" s="7">
        <f>Z82*0.001117515+Y82*0.001117515</f>
        <v/>
      </c>
      <c r="AZ82" s="7">
        <f>AA82*0.001117515+Z82*0.001117515</f>
        <v/>
      </c>
      <c r="BA82" s="7">
        <f>D82*0.001117515+AA82*0.001117515</f>
        <v/>
      </c>
      <c r="BB82" s="7">
        <f>SUM(AD82:BA82)</f>
        <v/>
      </c>
    </row>
    <row r="83">
      <c r="A83" t="inlineStr">
        <is>
          <t>AMD-M2</t>
        </is>
      </c>
      <c r="B83" t="inlineStr">
        <is>
          <t>Forward Regular OSC</t>
        </is>
      </c>
      <c r="C83" s="5" t="n">
        <v>46096</v>
      </c>
      <c r="D83" s="6">
        <f>Summary!D83</f>
        <v/>
      </c>
      <c r="E83" s="6">
        <f>Summary!E83</f>
        <v/>
      </c>
      <c r="F83" s="6">
        <f>Summary!F83</f>
        <v/>
      </c>
      <c r="G83" s="6">
        <f>Summary!G83</f>
        <v/>
      </c>
      <c r="H83" s="6">
        <f>Summary!H83</f>
        <v/>
      </c>
      <c r="I83" s="6">
        <f>Summary!I83</f>
        <v/>
      </c>
      <c r="J83" s="6">
        <f>Summary!J83</f>
        <v/>
      </c>
      <c r="K83" s="6">
        <f>Summary!K83</f>
        <v/>
      </c>
      <c r="L83" s="6">
        <f>Summary!L83</f>
        <v/>
      </c>
      <c r="M83" s="6">
        <f>Summary!M83</f>
        <v/>
      </c>
      <c r="N83" s="6">
        <f>Summary!N83</f>
        <v/>
      </c>
      <c r="O83" s="6">
        <f>Summary!O83</f>
        <v/>
      </c>
      <c r="P83" s="6">
        <f>Summary!P83</f>
        <v/>
      </c>
      <c r="Q83" s="6">
        <f>Summary!Q83</f>
        <v/>
      </c>
      <c r="R83" s="6">
        <f>Summary!R83</f>
        <v/>
      </c>
      <c r="S83" s="6">
        <f>Summary!S83</f>
        <v/>
      </c>
      <c r="T83" s="6">
        <f>Summary!T83</f>
        <v/>
      </c>
      <c r="U83" s="6">
        <f>Summary!U83</f>
        <v/>
      </c>
      <c r="V83" s="6">
        <f>Summary!V83</f>
        <v/>
      </c>
      <c r="W83" s="6">
        <f>Summary!W83</f>
        <v/>
      </c>
      <c r="X83" s="6">
        <f>Summary!X83</f>
        <v/>
      </c>
      <c r="Y83" s="6">
        <f>Summary!Y83</f>
        <v/>
      </c>
      <c r="Z83" s="6">
        <f>Summary!Z83</f>
        <v/>
      </c>
      <c r="AA83" s="6">
        <f>Summary!AA83</f>
        <v/>
      </c>
      <c r="AB83" s="6">
        <f>SUM(D83:AA83)</f>
        <v/>
      </c>
      <c r="AC83" s="3" t="inlineStr"/>
      <c r="AD83" s="7">
        <f>E83*0.001117515+D83*0.001117515</f>
        <v/>
      </c>
      <c r="AE83" s="7">
        <f>F83*0.001117515+E83*0.001117515</f>
        <v/>
      </c>
      <c r="AF83" s="7">
        <f>G83*0.001117515+F83*0.001117515</f>
        <v/>
      </c>
      <c r="AG83" s="7">
        <f>H83*0.001117515+G83*0.001117515</f>
        <v/>
      </c>
      <c r="AH83" s="7">
        <f>I83*0.001117515+H83*0.001117515</f>
        <v/>
      </c>
      <c r="AI83" s="7">
        <f>J83*0.001117515+I83*0.001117515</f>
        <v/>
      </c>
      <c r="AJ83" s="7">
        <f>K83*0.001117515+J83*0.001117515</f>
        <v/>
      </c>
      <c r="AK83" s="7">
        <f>L83*0.001117515+K83*0.001117515</f>
        <v/>
      </c>
      <c r="AL83" s="7">
        <f>M83*0.001117515+L83*0.001117515</f>
        <v/>
      </c>
      <c r="AM83" s="7">
        <f>N83*0.001117515+M83*0.001117515</f>
        <v/>
      </c>
      <c r="AN83" s="7">
        <f>O83*0.001117515+N83*0.001117515</f>
        <v/>
      </c>
      <c r="AO83" s="7">
        <f>P83*0.001117515+O83*0.001117515</f>
        <v/>
      </c>
      <c r="AP83" s="7">
        <f>Q83*0.001117515+P83*0.001117515</f>
        <v/>
      </c>
      <c r="AQ83" s="7">
        <f>R83*0.001117515+Q83*0.001117515</f>
        <v/>
      </c>
      <c r="AR83" s="7">
        <f>S83*0.001117515+R83*0.001117515</f>
        <v/>
      </c>
      <c r="AS83" s="7">
        <f>T83*0.001117515+S83*0.001117515</f>
        <v/>
      </c>
      <c r="AT83" s="7">
        <f>U83*0.001117515+T83*0.001117515</f>
        <v/>
      </c>
      <c r="AU83" s="7">
        <f>V83*0.001117515+U83*0.001117515</f>
        <v/>
      </c>
      <c r="AV83" s="7">
        <f>W83*0.001117515+V83*0.001117515</f>
        <v/>
      </c>
      <c r="AW83" s="7">
        <f>X83*0.001117515+W83*0.001117515</f>
        <v/>
      </c>
      <c r="AX83" s="7">
        <f>Y83*0.001117515+X83*0.001117515</f>
        <v/>
      </c>
      <c r="AY83" s="7">
        <f>Z83*0.001117515+Y83*0.001117515</f>
        <v/>
      </c>
      <c r="AZ83" s="7">
        <f>AA83*0.001117515+Z83*0.001117515</f>
        <v/>
      </c>
      <c r="BA83" s="7">
        <f>D83*0.001117515+AA83*0.001117515</f>
        <v/>
      </c>
      <c r="BB83" s="7">
        <f>SUM(AD83:BA83)</f>
        <v/>
      </c>
    </row>
    <row r="84">
      <c r="A84" t="inlineStr">
        <is>
          <t>AMD-M2</t>
        </is>
      </c>
      <c r="B84" t="inlineStr">
        <is>
          <t>Forward Regular OSC</t>
        </is>
      </c>
      <c r="C84" s="5" t="n">
        <v>46097</v>
      </c>
      <c r="D84" s="6">
        <f>Summary!D84</f>
        <v/>
      </c>
      <c r="E84" s="6">
        <f>Summary!E84</f>
        <v/>
      </c>
      <c r="F84" s="6">
        <f>Summary!F84</f>
        <v/>
      </c>
      <c r="G84" s="6">
        <f>Summary!G84</f>
        <v/>
      </c>
      <c r="H84" s="6">
        <f>Summary!H84</f>
        <v/>
      </c>
      <c r="I84" s="6">
        <f>Summary!I84</f>
        <v/>
      </c>
      <c r="J84" s="6">
        <f>Summary!J84</f>
        <v/>
      </c>
      <c r="K84" s="6">
        <f>Summary!K84</f>
        <v/>
      </c>
      <c r="L84" s="6">
        <f>Summary!L84</f>
        <v/>
      </c>
      <c r="M84" s="6">
        <f>Summary!M84</f>
        <v/>
      </c>
      <c r="N84" s="6">
        <f>Summary!N84</f>
        <v/>
      </c>
      <c r="O84" s="6">
        <f>Summary!O84</f>
        <v/>
      </c>
      <c r="P84" s="6">
        <f>Summary!P84</f>
        <v/>
      </c>
      <c r="Q84" s="6">
        <f>Summary!Q84</f>
        <v/>
      </c>
      <c r="R84" s="6">
        <f>Summary!R84</f>
        <v/>
      </c>
      <c r="S84" s="6">
        <f>Summary!S84</f>
        <v/>
      </c>
      <c r="T84" s="6">
        <f>Summary!T84</f>
        <v/>
      </c>
      <c r="U84" s="6">
        <f>Summary!U84</f>
        <v/>
      </c>
      <c r="V84" s="6">
        <f>Summary!V84</f>
        <v/>
      </c>
      <c r="W84" s="6">
        <f>Summary!W84</f>
        <v/>
      </c>
      <c r="X84" s="6">
        <f>Summary!X84</f>
        <v/>
      </c>
      <c r="Y84" s="6">
        <f>Summary!Y84</f>
        <v/>
      </c>
      <c r="Z84" s="6">
        <f>Summary!Z84</f>
        <v/>
      </c>
      <c r="AA84" s="6">
        <f>Summary!AA84</f>
        <v/>
      </c>
      <c r="AB84" s="6">
        <f>SUM(D84:AA84)</f>
        <v/>
      </c>
      <c r="AC84" s="3" t="inlineStr"/>
      <c r="AD84" s="7">
        <f>E84*0.001117515+D84*0.001117515</f>
        <v/>
      </c>
      <c r="AE84" s="7">
        <f>F84*0.001117515+E84*0.001117515</f>
        <v/>
      </c>
      <c r="AF84" s="7">
        <f>G84*0.001117515+F84*0.001117515</f>
        <v/>
      </c>
      <c r="AG84" s="7">
        <f>H84*0.001117515+G84*0.001117515</f>
        <v/>
      </c>
      <c r="AH84" s="7">
        <f>I84*0.001117515+H84*0.001117515</f>
        <v/>
      </c>
      <c r="AI84" s="7">
        <f>J84*0.001117515+I84*0.001117515</f>
        <v/>
      </c>
      <c r="AJ84" s="7">
        <f>K84*0.001117515+J84*0.001117515</f>
        <v/>
      </c>
      <c r="AK84" s="7">
        <f>L84*0.001117515+K84*0.001117515</f>
        <v/>
      </c>
      <c r="AL84" s="7">
        <f>M84*0.001117515+L84*0.001117515</f>
        <v/>
      </c>
      <c r="AM84" s="7">
        <f>N84*0.001117515+M84*0.001117515</f>
        <v/>
      </c>
      <c r="AN84" s="7">
        <f>O84*0.001117515+N84*0.001117515</f>
        <v/>
      </c>
      <c r="AO84" s="7">
        <f>P84*0.001117515+O84*0.001117515</f>
        <v/>
      </c>
      <c r="AP84" s="7">
        <f>Q84*0.001117515+P84*0.001117515</f>
        <v/>
      </c>
      <c r="AQ84" s="7">
        <f>R84*0.001117515+Q84*0.001117515</f>
        <v/>
      </c>
      <c r="AR84" s="7">
        <f>S84*0.001117515+R84*0.001117515</f>
        <v/>
      </c>
      <c r="AS84" s="7">
        <f>T84*0.001117515+S84*0.001117515</f>
        <v/>
      </c>
      <c r="AT84" s="7">
        <f>U84*0.001117515+T84*0.001117515</f>
        <v/>
      </c>
      <c r="AU84" s="7">
        <f>V84*0.001117515+U84*0.001117515</f>
        <v/>
      </c>
      <c r="AV84" s="7">
        <f>W84*0.001117515+V84*0.001117515</f>
        <v/>
      </c>
      <c r="AW84" s="7">
        <f>X84*0.001117515+W84*0.001117515</f>
        <v/>
      </c>
      <c r="AX84" s="7">
        <f>Y84*0.001117515+X84*0.001117515</f>
        <v/>
      </c>
      <c r="AY84" s="7">
        <f>Z84*0.001117515+Y84*0.001117515</f>
        <v/>
      </c>
      <c r="AZ84" s="7">
        <f>AA84*0.001117515+Z84*0.001117515</f>
        <v/>
      </c>
      <c r="BA84" s="7">
        <f>D84*0.001117515+AA84*0.001117515</f>
        <v/>
      </c>
      <c r="BB84" s="7">
        <f>SUM(AD84:BA84)</f>
        <v/>
      </c>
    </row>
    <row r="85">
      <c r="A85" t="inlineStr">
        <is>
          <t>AMD-MU-01</t>
        </is>
      </c>
      <c r="B85" t="inlineStr">
        <is>
          <t>Forward Regular OSC</t>
        </is>
      </c>
      <c r="C85" s="5" t="n">
        <v>46091</v>
      </c>
      <c r="D85" s="6">
        <f>Summary!D85</f>
        <v/>
      </c>
      <c r="E85" s="6">
        <f>Summary!E85</f>
        <v/>
      </c>
      <c r="F85" s="6">
        <f>Summary!F85</f>
        <v/>
      </c>
      <c r="G85" s="6">
        <f>Summary!G85</f>
        <v/>
      </c>
      <c r="H85" s="6">
        <f>Summary!H85</f>
        <v/>
      </c>
      <c r="I85" s="6">
        <f>Summary!I85</f>
        <v/>
      </c>
      <c r="J85" s="6">
        <f>Summary!J85</f>
        <v/>
      </c>
      <c r="K85" s="6">
        <f>Summary!K85</f>
        <v/>
      </c>
      <c r="L85" s="6">
        <f>Summary!L85</f>
        <v/>
      </c>
      <c r="M85" s="6">
        <f>Summary!M85</f>
        <v/>
      </c>
      <c r="N85" s="6">
        <f>Summary!N85</f>
        <v/>
      </c>
      <c r="O85" s="6">
        <f>Summary!O85</f>
        <v/>
      </c>
      <c r="P85" s="6">
        <f>Summary!P85</f>
        <v/>
      </c>
      <c r="Q85" s="6">
        <f>Summary!Q85</f>
        <v/>
      </c>
      <c r="R85" s="6">
        <f>Summary!R85</f>
        <v/>
      </c>
      <c r="S85" s="6">
        <f>Summary!S85</f>
        <v/>
      </c>
      <c r="T85" s="6">
        <f>Summary!T85</f>
        <v/>
      </c>
      <c r="U85" s="6">
        <f>Summary!U85</f>
        <v/>
      </c>
      <c r="V85" s="6">
        <f>Summary!V85</f>
        <v/>
      </c>
      <c r="W85" s="6">
        <f>Summary!W85</f>
        <v/>
      </c>
      <c r="X85" s="6">
        <f>Summary!X85</f>
        <v/>
      </c>
      <c r="Y85" s="6">
        <f>Summary!Y85</f>
        <v/>
      </c>
      <c r="Z85" s="6">
        <f>Summary!Z85</f>
        <v/>
      </c>
      <c r="AA85" s="6">
        <f>Summary!AA85</f>
        <v/>
      </c>
      <c r="AB85" s="6">
        <f>SUM(D85:AA85)</f>
        <v/>
      </c>
      <c r="AC85" s="3" t="inlineStr"/>
      <c r="AD85" s="7">
        <f>E85*0.001117515+D85*0.001117515</f>
        <v/>
      </c>
      <c r="AE85" s="7">
        <f>F85*0.001117515+E85*0.001117515</f>
        <v/>
      </c>
      <c r="AF85" s="7">
        <f>G85*0.001117515+F85*0.001117515</f>
        <v/>
      </c>
      <c r="AG85" s="7">
        <f>H85*0.001117515+G85*0.001117515</f>
        <v/>
      </c>
      <c r="AH85" s="7">
        <f>I85*0.001117515+H85*0.001117515</f>
        <v/>
      </c>
      <c r="AI85" s="7">
        <f>J85*0.001117515+I85*0.001117515</f>
        <v/>
      </c>
      <c r="AJ85" s="7">
        <f>K85*0.001117515+J85*0.001117515</f>
        <v/>
      </c>
      <c r="AK85" s="7">
        <f>L85*0.001117515+K85*0.001117515</f>
        <v/>
      </c>
      <c r="AL85" s="7">
        <f>M85*0.001117515+L85*0.001117515</f>
        <v/>
      </c>
      <c r="AM85" s="7">
        <f>N85*0.001117515+M85*0.001117515</f>
        <v/>
      </c>
      <c r="AN85" s="7">
        <f>O85*0.001117515+N85*0.001117515</f>
        <v/>
      </c>
      <c r="AO85" s="7">
        <f>P85*0.001117515+O85*0.001117515</f>
        <v/>
      </c>
      <c r="AP85" s="7">
        <f>Q85*0.001117515+P85*0.001117515</f>
        <v/>
      </c>
      <c r="AQ85" s="7">
        <f>R85*0.001117515+Q85*0.001117515</f>
        <v/>
      </c>
      <c r="AR85" s="7">
        <f>S85*0.001117515+R85*0.001117515</f>
        <v/>
      </c>
      <c r="AS85" s="7">
        <f>T85*0.001117515+S85*0.001117515</f>
        <v/>
      </c>
      <c r="AT85" s="7">
        <f>U85*0.001117515+T85*0.001117515</f>
        <v/>
      </c>
      <c r="AU85" s="7">
        <f>V85*0.001117515+U85*0.001117515</f>
        <v/>
      </c>
      <c r="AV85" s="7">
        <f>W85*0.001117515+V85*0.001117515</f>
        <v/>
      </c>
      <c r="AW85" s="7">
        <f>X85*0.001117515+W85*0.001117515</f>
        <v/>
      </c>
      <c r="AX85" s="7">
        <f>Y85*0.001117515+X85*0.001117515</f>
        <v/>
      </c>
      <c r="AY85" s="7">
        <f>Z85*0.001117515+Y85*0.001117515</f>
        <v/>
      </c>
      <c r="AZ85" s="7">
        <f>AA85*0.001117515+Z85*0.001117515</f>
        <v/>
      </c>
      <c r="BA85" s="7">
        <f>D85*0.001117515+AA85*0.001117515</f>
        <v/>
      </c>
      <c r="BB85" s="7">
        <f>SUM(AD85:BA85)</f>
        <v/>
      </c>
    </row>
    <row r="86">
      <c r="A86" t="inlineStr">
        <is>
          <t>AMD-RTS-RCLS-1302-SSC</t>
        </is>
      </c>
      <c r="B86" t="inlineStr">
        <is>
          <t>Rev OSC</t>
        </is>
      </c>
      <c r="C86" s="5" t="n">
        <v>46089</v>
      </c>
      <c r="D86" s="6" t="n">
        <v>0</v>
      </c>
      <c r="E86" s="6" t="n">
        <v>0</v>
      </c>
      <c r="F86" s="6" t="n">
        <v>0</v>
      </c>
      <c r="G86" s="6" t="n">
        <v>0</v>
      </c>
      <c r="H86" s="6" t="n">
        <v>0</v>
      </c>
      <c r="I86" s="6" t="n">
        <v>0</v>
      </c>
      <c r="J86" s="6" t="n">
        <v>0</v>
      </c>
      <c r="K86" s="6" t="n">
        <v>0</v>
      </c>
      <c r="L86" s="6" t="n">
        <v>0</v>
      </c>
      <c r="M86" s="6" t="n">
        <v>0</v>
      </c>
      <c r="N86" s="6" t="n">
        <v>0</v>
      </c>
      <c r="O86" s="6" t="n">
        <v>0</v>
      </c>
      <c r="P86" s="6" t="n">
        <v>0</v>
      </c>
      <c r="Q86" s="6" t="n">
        <v>0</v>
      </c>
      <c r="R86" s="6" t="n">
        <v>0</v>
      </c>
      <c r="S86" s="6" t="n">
        <v>0</v>
      </c>
      <c r="T86" s="6" t="n">
        <v>0</v>
      </c>
      <c r="U86" s="6" t="n">
        <v>0</v>
      </c>
      <c r="V86" s="6" t="n">
        <v>0</v>
      </c>
      <c r="W86" s="6" t="n">
        <v>0</v>
      </c>
      <c r="X86" s="6" t="n">
        <v>0</v>
      </c>
      <c r="Y86" s="6" t="n">
        <v>0</v>
      </c>
      <c r="Z86" s="6" t="n">
        <v>0</v>
      </c>
      <c r="AA86" s="6" t="n">
        <v>0</v>
      </c>
      <c r="AB86" s="6">
        <f>SUM(D86:AA86)</f>
        <v/>
      </c>
      <c r="AC86" s="3" t="inlineStr"/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7" t="n">
        <v>0</v>
      </c>
      <c r="BB86" s="7">
        <f>SUM(AD86:BA86)</f>
        <v/>
      </c>
    </row>
    <row r="87">
      <c r="A87" t="inlineStr">
        <is>
          <t>AMD-RTS-RCLS-1302-SSC</t>
        </is>
      </c>
      <c r="B87" t="inlineStr">
        <is>
          <t>Rev OSC</t>
        </is>
      </c>
      <c r="C87" s="5" t="n">
        <v>46090</v>
      </c>
      <c r="D87" s="6" t="n">
        <v>0</v>
      </c>
      <c r="E87" s="6" t="n">
        <v>0</v>
      </c>
      <c r="F87" s="6" t="n">
        <v>0</v>
      </c>
      <c r="G87" s="6" t="n">
        <v>0</v>
      </c>
      <c r="H87" s="6" t="n">
        <v>0</v>
      </c>
      <c r="I87" s="6" t="n">
        <v>0</v>
      </c>
      <c r="J87" s="6" t="n">
        <v>0</v>
      </c>
      <c r="K87" s="6" t="n">
        <v>0</v>
      </c>
      <c r="L87" s="6" t="n">
        <v>0</v>
      </c>
      <c r="M87" s="6" t="n">
        <v>0</v>
      </c>
      <c r="N87" s="6" t="n">
        <v>0</v>
      </c>
      <c r="O87" s="6" t="n">
        <v>0</v>
      </c>
      <c r="P87" s="6" t="n">
        <v>0</v>
      </c>
      <c r="Q87" s="6" t="n">
        <v>0</v>
      </c>
      <c r="R87" s="6" t="n">
        <v>0</v>
      </c>
      <c r="S87" s="6" t="n">
        <v>0</v>
      </c>
      <c r="T87" s="6" t="n">
        <v>0</v>
      </c>
      <c r="U87" s="6" t="n">
        <v>0</v>
      </c>
      <c r="V87" s="6" t="n">
        <v>0</v>
      </c>
      <c r="W87" s="6" t="n">
        <v>0</v>
      </c>
      <c r="X87" s="6" t="n">
        <v>0</v>
      </c>
      <c r="Y87" s="6" t="n">
        <v>0</v>
      </c>
      <c r="Z87" s="6" t="n">
        <v>0</v>
      </c>
      <c r="AA87" s="6" t="n">
        <v>0</v>
      </c>
      <c r="AB87" s="6">
        <f>SUM(D87:AA87)</f>
        <v/>
      </c>
      <c r="AC87" s="3" t="inlineStr"/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0</v>
      </c>
      <c r="BA87" s="7" t="n">
        <v>0</v>
      </c>
      <c r="BB87" s="7">
        <f>SUM(AD87:BA87)</f>
        <v/>
      </c>
    </row>
    <row r="88">
      <c r="A88" t="inlineStr">
        <is>
          <t>AMD-RTS-RCLS-1302-SSC</t>
        </is>
      </c>
      <c r="B88" t="inlineStr">
        <is>
          <t>Rev OSC</t>
        </is>
      </c>
      <c r="C88" s="5" t="n">
        <v>46092</v>
      </c>
      <c r="D88" s="6" t="n">
        <v>0</v>
      </c>
      <c r="E88" s="6" t="n">
        <v>0</v>
      </c>
      <c r="F88" s="6" t="n">
        <v>0</v>
      </c>
      <c r="G88" s="6" t="n">
        <v>0</v>
      </c>
      <c r="H88" s="6" t="n">
        <v>0</v>
      </c>
      <c r="I88" s="6" t="n">
        <v>0</v>
      </c>
      <c r="J88" s="6" t="n">
        <v>0</v>
      </c>
      <c r="K88" s="6" t="n">
        <v>0</v>
      </c>
      <c r="L88" s="6" t="n">
        <v>0</v>
      </c>
      <c r="M88" s="6" t="n">
        <v>0</v>
      </c>
      <c r="N88" s="6" t="n">
        <v>0</v>
      </c>
      <c r="O88" s="6" t="n">
        <v>0</v>
      </c>
      <c r="P88" s="6" t="n">
        <v>0</v>
      </c>
      <c r="Q88" s="6" t="n">
        <v>0</v>
      </c>
      <c r="R88" s="6" t="n">
        <v>0</v>
      </c>
      <c r="S88" s="6" t="n">
        <v>0</v>
      </c>
      <c r="T88" s="6" t="n">
        <v>0</v>
      </c>
      <c r="U88" s="6" t="n">
        <v>0</v>
      </c>
      <c r="V88" s="6" t="n">
        <v>0</v>
      </c>
      <c r="W88" s="6" t="n">
        <v>0</v>
      </c>
      <c r="X88" s="6" t="n">
        <v>0</v>
      </c>
      <c r="Y88" s="6" t="n">
        <v>0</v>
      </c>
      <c r="Z88" s="6" t="n">
        <v>0</v>
      </c>
      <c r="AA88" s="6" t="n">
        <v>0</v>
      </c>
      <c r="AB88" s="6">
        <f>SUM(D88:AA88)</f>
        <v/>
      </c>
      <c r="AC88" s="3" t="inlineStr"/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7" t="n">
        <v>0</v>
      </c>
      <c r="BB88" s="7">
        <f>SUM(AD88:BA88)</f>
        <v/>
      </c>
    </row>
    <row r="89">
      <c r="A89" t="inlineStr">
        <is>
          <t>AMD-RTS-RCLS-1302-SSC</t>
        </is>
      </c>
      <c r="B89" t="inlineStr">
        <is>
          <t>Rev OSC</t>
        </is>
      </c>
      <c r="C89" s="5" t="n">
        <v>46093</v>
      </c>
      <c r="D89" s="6" t="n">
        <v>0</v>
      </c>
      <c r="E89" s="6" t="n">
        <v>0</v>
      </c>
      <c r="F89" s="6" t="n">
        <v>0</v>
      </c>
      <c r="G89" s="6" t="n">
        <v>0</v>
      </c>
      <c r="H89" s="6" t="n">
        <v>0</v>
      </c>
      <c r="I89" s="6" t="n">
        <v>0</v>
      </c>
      <c r="J89" s="6" t="n">
        <v>0</v>
      </c>
      <c r="K89" s="6" t="n">
        <v>0</v>
      </c>
      <c r="L89" s="6" t="n">
        <v>0</v>
      </c>
      <c r="M89" s="6" t="n">
        <v>0</v>
      </c>
      <c r="N89" s="6" t="n">
        <v>0</v>
      </c>
      <c r="O89" s="6" t="n">
        <v>0</v>
      </c>
      <c r="P89" s="6" t="n">
        <v>0</v>
      </c>
      <c r="Q89" s="6" t="n">
        <v>0</v>
      </c>
      <c r="R89" s="6" t="n">
        <v>0</v>
      </c>
      <c r="S89" s="6" t="n">
        <v>0</v>
      </c>
      <c r="T89" s="6" t="n">
        <v>0</v>
      </c>
      <c r="U89" s="6" t="n">
        <v>0</v>
      </c>
      <c r="V89" s="6" t="n">
        <v>0</v>
      </c>
      <c r="W89" s="6" t="n">
        <v>0</v>
      </c>
      <c r="X89" s="6" t="n">
        <v>0</v>
      </c>
      <c r="Y89" s="6" t="n">
        <v>0</v>
      </c>
      <c r="Z89" s="6" t="n">
        <v>0</v>
      </c>
      <c r="AA89" s="6" t="n">
        <v>0</v>
      </c>
      <c r="AB89" s="6">
        <f>SUM(D89:AA89)</f>
        <v/>
      </c>
      <c r="AC89" s="3" t="inlineStr"/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0</v>
      </c>
      <c r="BA89" s="7" t="n">
        <v>0</v>
      </c>
      <c r="BB89" s="7">
        <f>SUM(AD89:BA89)</f>
        <v/>
      </c>
    </row>
    <row r="90">
      <c r="A90" t="inlineStr">
        <is>
          <t>AMD-RTS-RCLS-1302-SSC</t>
        </is>
      </c>
      <c r="B90" t="inlineStr">
        <is>
          <t>Rev OSC</t>
        </is>
      </c>
      <c r="C90" s="5" t="n">
        <v>46094</v>
      </c>
      <c r="D90" s="6" t="n">
        <v>0</v>
      </c>
      <c r="E90" s="6" t="n">
        <v>0</v>
      </c>
      <c r="F90" s="6" t="n">
        <v>0</v>
      </c>
      <c r="G90" s="6" t="n">
        <v>0</v>
      </c>
      <c r="H90" s="6" t="n">
        <v>0</v>
      </c>
      <c r="I90" s="6" t="n">
        <v>0</v>
      </c>
      <c r="J90" s="6" t="n">
        <v>0</v>
      </c>
      <c r="K90" s="6" t="n">
        <v>0</v>
      </c>
      <c r="L90" s="6" t="n">
        <v>0</v>
      </c>
      <c r="M90" s="6" t="n">
        <v>0</v>
      </c>
      <c r="N90" s="6" t="n">
        <v>0</v>
      </c>
      <c r="O90" s="6" t="n">
        <v>0</v>
      </c>
      <c r="P90" s="6" t="n">
        <v>0</v>
      </c>
      <c r="Q90" s="6" t="n">
        <v>0</v>
      </c>
      <c r="R90" s="6" t="n">
        <v>0</v>
      </c>
      <c r="S90" s="6" t="n">
        <v>0</v>
      </c>
      <c r="T90" s="6" t="n">
        <v>0</v>
      </c>
      <c r="U90" s="6" t="n">
        <v>0</v>
      </c>
      <c r="V90" s="6" t="n">
        <v>0</v>
      </c>
      <c r="W90" s="6" t="n">
        <v>0</v>
      </c>
      <c r="X90" s="6" t="n">
        <v>0</v>
      </c>
      <c r="Y90" s="6" t="n">
        <v>0</v>
      </c>
      <c r="Z90" s="6" t="n">
        <v>0</v>
      </c>
      <c r="AA90" s="6" t="n">
        <v>0</v>
      </c>
      <c r="AB90" s="6">
        <f>SUM(D90:AA90)</f>
        <v/>
      </c>
      <c r="AC90" s="3" t="inlineStr"/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7" t="n">
        <v>0</v>
      </c>
      <c r="BB90" s="7">
        <f>SUM(AD90:BA90)</f>
        <v/>
      </c>
    </row>
    <row r="91">
      <c r="A91" t="inlineStr">
        <is>
          <t>AMD-RTS-RCLS-1302-SSC</t>
        </is>
      </c>
      <c r="B91" t="inlineStr">
        <is>
          <t>Rev OSC</t>
        </is>
      </c>
      <c r="C91" s="5" t="n">
        <v>46095</v>
      </c>
      <c r="D91" s="6" t="n">
        <v>0</v>
      </c>
      <c r="E91" s="6" t="n">
        <v>0</v>
      </c>
      <c r="F91" s="6" t="n">
        <v>0</v>
      </c>
      <c r="G91" s="6" t="n">
        <v>0</v>
      </c>
      <c r="H91" s="6" t="n">
        <v>0</v>
      </c>
      <c r="I91" s="6" t="n">
        <v>0</v>
      </c>
      <c r="J91" s="6" t="n">
        <v>0</v>
      </c>
      <c r="K91" s="6" t="n">
        <v>0</v>
      </c>
      <c r="L91" s="6" t="n">
        <v>0</v>
      </c>
      <c r="M91" s="6" t="n">
        <v>0</v>
      </c>
      <c r="N91" s="6" t="n">
        <v>0</v>
      </c>
      <c r="O91" s="6" t="n">
        <v>0</v>
      </c>
      <c r="P91" s="6" t="n">
        <v>0</v>
      </c>
      <c r="Q91" s="6" t="n">
        <v>0</v>
      </c>
      <c r="R91" s="6" t="n">
        <v>0</v>
      </c>
      <c r="S91" s="6" t="n">
        <v>0</v>
      </c>
      <c r="T91" s="6" t="n">
        <v>0</v>
      </c>
      <c r="U91" s="6" t="n">
        <v>0</v>
      </c>
      <c r="V91" s="6" t="n">
        <v>0</v>
      </c>
      <c r="W91" s="6" t="n">
        <v>0</v>
      </c>
      <c r="X91" s="6" t="n">
        <v>0</v>
      </c>
      <c r="Y91" s="6" t="n">
        <v>0</v>
      </c>
      <c r="Z91" s="6" t="n">
        <v>0</v>
      </c>
      <c r="AA91" s="6" t="n">
        <v>0</v>
      </c>
      <c r="AB91" s="6">
        <f>SUM(D91:AA91)</f>
        <v/>
      </c>
      <c r="AC91" s="3" t="inlineStr"/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0</v>
      </c>
      <c r="BA91" s="7" t="n">
        <v>0</v>
      </c>
      <c r="BB91" s="7">
        <f>SUM(AD91:BA91)</f>
        <v/>
      </c>
    </row>
    <row r="92">
      <c r="A92" t="inlineStr">
        <is>
          <t>AMD-RTS-RCLS-1302-SSC</t>
        </is>
      </c>
      <c r="B92" t="inlineStr">
        <is>
          <t>Rev OSC</t>
        </is>
      </c>
      <c r="C92" s="5" t="n">
        <v>46096</v>
      </c>
      <c r="D92" s="6" t="n">
        <v>0</v>
      </c>
      <c r="E92" s="6" t="n">
        <v>0</v>
      </c>
      <c r="F92" s="6" t="n">
        <v>0</v>
      </c>
      <c r="G92" s="6" t="n">
        <v>0</v>
      </c>
      <c r="H92" s="6" t="n">
        <v>0</v>
      </c>
      <c r="I92" s="6" t="n">
        <v>0</v>
      </c>
      <c r="J92" s="6" t="n">
        <v>0</v>
      </c>
      <c r="K92" s="6" t="n">
        <v>0</v>
      </c>
      <c r="L92" s="6" t="n">
        <v>0</v>
      </c>
      <c r="M92" s="6" t="n">
        <v>0</v>
      </c>
      <c r="N92" s="6" t="n">
        <v>0</v>
      </c>
      <c r="O92" s="6" t="n">
        <v>0</v>
      </c>
      <c r="P92" s="6" t="n">
        <v>0</v>
      </c>
      <c r="Q92" s="6" t="n">
        <v>0</v>
      </c>
      <c r="R92" s="6" t="n">
        <v>0</v>
      </c>
      <c r="S92" s="6" t="n">
        <v>0</v>
      </c>
      <c r="T92" s="6" t="n">
        <v>0</v>
      </c>
      <c r="U92" s="6" t="n">
        <v>0</v>
      </c>
      <c r="V92" s="6" t="n">
        <v>0</v>
      </c>
      <c r="W92" s="6" t="n">
        <v>0</v>
      </c>
      <c r="X92" s="6" t="n">
        <v>0</v>
      </c>
      <c r="Y92" s="6" t="n">
        <v>0</v>
      </c>
      <c r="Z92" s="6" t="n">
        <v>0</v>
      </c>
      <c r="AA92" s="6" t="n">
        <v>0</v>
      </c>
      <c r="AB92" s="6">
        <f>SUM(D92:AA92)</f>
        <v/>
      </c>
      <c r="AC92" s="3" t="inlineStr"/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7" t="n">
        <v>0</v>
      </c>
      <c r="BB92" s="7">
        <f>SUM(AD92:BA92)</f>
        <v/>
      </c>
    </row>
    <row r="93">
      <c r="A93" t="inlineStr">
        <is>
          <t>AMD-RTS-RCLS-1302-SSC</t>
        </is>
      </c>
      <c r="B93" t="inlineStr">
        <is>
          <t>Rev OSC</t>
        </is>
      </c>
      <c r="C93" s="5" t="n">
        <v>46097</v>
      </c>
      <c r="D93" s="6" t="n">
        <v>0</v>
      </c>
      <c r="E93" s="6" t="n">
        <v>0</v>
      </c>
      <c r="F93" s="6" t="n">
        <v>0</v>
      </c>
      <c r="G93" s="6" t="n">
        <v>0</v>
      </c>
      <c r="H93" s="6" t="n">
        <v>0</v>
      </c>
      <c r="I93" s="6" t="n">
        <v>0</v>
      </c>
      <c r="J93" s="6" t="n">
        <v>0</v>
      </c>
      <c r="K93" s="6" t="n">
        <v>0</v>
      </c>
      <c r="L93" s="6" t="n">
        <v>0</v>
      </c>
      <c r="M93" s="6" t="n">
        <v>0</v>
      </c>
      <c r="N93" s="6" t="n">
        <v>0</v>
      </c>
      <c r="O93" s="6" t="n">
        <v>0</v>
      </c>
      <c r="P93" s="6" t="n">
        <v>0</v>
      </c>
      <c r="Q93" s="6" t="n">
        <v>0</v>
      </c>
      <c r="R93" s="6" t="n">
        <v>0</v>
      </c>
      <c r="S93" s="6" t="n">
        <v>0</v>
      </c>
      <c r="T93" s="6" t="n">
        <v>0</v>
      </c>
      <c r="U93" s="6" t="n">
        <v>0</v>
      </c>
      <c r="V93" s="6" t="n">
        <v>0</v>
      </c>
      <c r="W93" s="6" t="n">
        <v>0</v>
      </c>
      <c r="X93" s="6" t="n">
        <v>0</v>
      </c>
      <c r="Y93" s="6" t="n">
        <v>0</v>
      </c>
      <c r="Z93" s="6" t="n">
        <v>0</v>
      </c>
      <c r="AA93" s="6" t="n">
        <v>0</v>
      </c>
      <c r="AB93" s="6">
        <f>SUM(D93:AA93)</f>
        <v/>
      </c>
      <c r="AC93" s="3" t="inlineStr"/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0</v>
      </c>
      <c r="BA93" s="7" t="n">
        <v>0</v>
      </c>
      <c r="BB93" s="7">
        <f>SUM(AD93:BA93)</f>
        <v/>
      </c>
    </row>
    <row r="94">
      <c r="A94" t="inlineStr">
        <is>
          <t>AMD-RTS-RCLS-1302-SSC</t>
        </is>
      </c>
      <c r="B94" t="inlineStr">
        <is>
          <t>Rev OSC</t>
        </is>
      </c>
      <c r="C94" s="5" t="n">
        <v>46100</v>
      </c>
      <c r="D94" s="6" t="n">
        <v>0</v>
      </c>
      <c r="E94" s="6" t="n">
        <v>0</v>
      </c>
      <c r="F94" s="6" t="n">
        <v>0</v>
      </c>
      <c r="G94" s="6" t="n">
        <v>0</v>
      </c>
      <c r="H94" s="6" t="n">
        <v>0</v>
      </c>
      <c r="I94" s="6" t="n">
        <v>0</v>
      </c>
      <c r="J94" s="6" t="n">
        <v>0</v>
      </c>
      <c r="K94" s="6" t="n">
        <v>0</v>
      </c>
      <c r="L94" s="6" t="n">
        <v>0</v>
      </c>
      <c r="M94" s="6" t="n">
        <v>0</v>
      </c>
      <c r="N94" s="6" t="n">
        <v>0</v>
      </c>
      <c r="O94" s="6" t="n">
        <v>0</v>
      </c>
      <c r="P94" s="6" t="n">
        <v>0</v>
      </c>
      <c r="Q94" s="6" t="n">
        <v>0</v>
      </c>
      <c r="R94" s="6" t="n">
        <v>0</v>
      </c>
      <c r="S94" s="6" t="n">
        <v>0</v>
      </c>
      <c r="T94" s="6" t="n">
        <v>0</v>
      </c>
      <c r="U94" s="6" t="n">
        <v>0</v>
      </c>
      <c r="V94" s="6" t="n">
        <v>0</v>
      </c>
      <c r="W94" s="6" t="n">
        <v>0</v>
      </c>
      <c r="X94" s="6" t="n">
        <v>0</v>
      </c>
      <c r="Y94" s="6" t="n">
        <v>0</v>
      </c>
      <c r="Z94" s="6" t="n">
        <v>0</v>
      </c>
      <c r="AA94" s="6" t="n">
        <v>0</v>
      </c>
      <c r="AB94" s="6">
        <f>SUM(D94:AA94)</f>
        <v/>
      </c>
      <c r="AC94" s="3" t="inlineStr"/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7" t="n">
        <v>0</v>
      </c>
      <c r="BB94" s="7">
        <f>SUM(AD94:BA94)</f>
        <v/>
      </c>
    </row>
    <row r="95">
      <c r="A95" t="inlineStr">
        <is>
          <t>AMD-RTS-RCLS-1302-SSC</t>
        </is>
      </c>
      <c r="B95" t="inlineStr">
        <is>
          <t>Rev OSC</t>
        </is>
      </c>
      <c r="C95" s="5" t="n">
        <v>46102</v>
      </c>
      <c r="D95" s="6" t="n">
        <v>0</v>
      </c>
      <c r="E95" s="6" t="n">
        <v>0</v>
      </c>
      <c r="F95" s="6" t="n">
        <v>0</v>
      </c>
      <c r="G95" s="6" t="n">
        <v>0</v>
      </c>
      <c r="H95" s="6" t="n">
        <v>0</v>
      </c>
      <c r="I95" s="6" t="n">
        <v>0</v>
      </c>
      <c r="J95" s="6" t="n">
        <v>0</v>
      </c>
      <c r="K95" s="6" t="n">
        <v>0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0</v>
      </c>
      <c r="Q95" s="6" t="n">
        <v>0</v>
      </c>
      <c r="R95" s="6" t="n">
        <v>0</v>
      </c>
      <c r="S95" s="6" t="n">
        <v>0</v>
      </c>
      <c r="T95" s="6" t="n">
        <v>0</v>
      </c>
      <c r="U95" s="6" t="n">
        <v>0</v>
      </c>
      <c r="V95" s="6" t="n">
        <v>0</v>
      </c>
      <c r="W95" s="6" t="n">
        <v>0</v>
      </c>
      <c r="X95" s="6" t="n">
        <v>0</v>
      </c>
      <c r="Y95" s="6" t="n">
        <v>0</v>
      </c>
      <c r="Z95" s="6" t="n">
        <v>0</v>
      </c>
      <c r="AA95" s="6" t="n">
        <v>0</v>
      </c>
      <c r="AB95" s="6">
        <f>SUM(D95:AA95)</f>
        <v/>
      </c>
      <c r="AC95" s="3" t="inlineStr"/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7" t="n">
        <v>0</v>
      </c>
      <c r="BB95" s="7">
        <f>SUM(AD95:BA95)</f>
        <v/>
      </c>
    </row>
    <row r="96">
      <c r="A96" t="inlineStr">
        <is>
          <t>AMD-RTS-RCLS-1302-SSC</t>
        </is>
      </c>
      <c r="B96" t="inlineStr">
        <is>
          <t>Rev OSC</t>
        </is>
      </c>
      <c r="C96" s="5" t="n">
        <v>46103</v>
      </c>
      <c r="D96" s="6" t="n">
        <v>0</v>
      </c>
      <c r="E96" s="6" t="n">
        <v>0</v>
      </c>
      <c r="F96" s="6" t="n">
        <v>0</v>
      </c>
      <c r="G96" s="6" t="n">
        <v>0</v>
      </c>
      <c r="H96" s="6" t="n">
        <v>0</v>
      </c>
      <c r="I96" s="6" t="n">
        <v>0</v>
      </c>
      <c r="J96" s="6" t="n">
        <v>0</v>
      </c>
      <c r="K96" s="6" t="n">
        <v>0</v>
      </c>
      <c r="L96" s="6" t="n">
        <v>0</v>
      </c>
      <c r="M96" s="6" t="n">
        <v>0</v>
      </c>
      <c r="N96" s="6" t="n">
        <v>0</v>
      </c>
      <c r="O96" s="6" t="n">
        <v>0</v>
      </c>
      <c r="P96" s="6" t="n">
        <v>0</v>
      </c>
      <c r="Q96" s="6" t="n">
        <v>0</v>
      </c>
      <c r="R96" s="6" t="n">
        <v>0</v>
      </c>
      <c r="S96" s="6" t="n">
        <v>0</v>
      </c>
      <c r="T96" s="6" t="n">
        <v>0</v>
      </c>
      <c r="U96" s="6" t="n">
        <v>0</v>
      </c>
      <c r="V96" s="6" t="n">
        <v>0</v>
      </c>
      <c r="W96" s="6" t="n">
        <v>0</v>
      </c>
      <c r="X96" s="6" t="n">
        <v>0</v>
      </c>
      <c r="Y96" s="6" t="n">
        <v>0</v>
      </c>
      <c r="Z96" s="6" t="n">
        <v>0</v>
      </c>
      <c r="AA96" s="6" t="n">
        <v>0</v>
      </c>
      <c r="AB96" s="6">
        <f>SUM(D96:AA96)</f>
        <v/>
      </c>
      <c r="AC96" s="3" t="inlineStr"/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7" t="n">
        <v>0</v>
      </c>
      <c r="BB96" s="7">
        <f>SUM(AD96:BA96)</f>
        <v/>
      </c>
    </row>
    <row r="97">
      <c r="A97" t="inlineStr">
        <is>
          <t>AMD-RTS-RCLS-1302-SSC</t>
        </is>
      </c>
      <c r="B97" t="inlineStr">
        <is>
          <t>Rev OSC</t>
        </is>
      </c>
      <c r="C97" s="5" t="n">
        <v>46104</v>
      </c>
      <c r="D97" s="6" t="n">
        <v>0</v>
      </c>
      <c r="E97" s="6" t="n">
        <v>0</v>
      </c>
      <c r="F97" s="6" t="n">
        <v>0</v>
      </c>
      <c r="G97" s="6" t="n">
        <v>0</v>
      </c>
      <c r="H97" s="6" t="n">
        <v>0</v>
      </c>
      <c r="I97" s="6" t="n">
        <v>0</v>
      </c>
      <c r="J97" s="6" t="n">
        <v>0</v>
      </c>
      <c r="K97" s="6" t="n">
        <v>0</v>
      </c>
      <c r="L97" s="6" t="n">
        <v>0</v>
      </c>
      <c r="M97" s="6" t="n">
        <v>0</v>
      </c>
      <c r="N97" s="6" t="n">
        <v>0</v>
      </c>
      <c r="O97" s="6" t="n">
        <v>0</v>
      </c>
      <c r="P97" s="6" t="n">
        <v>0</v>
      </c>
      <c r="Q97" s="6" t="n">
        <v>0</v>
      </c>
      <c r="R97" s="6" t="n">
        <v>0</v>
      </c>
      <c r="S97" s="6" t="n">
        <v>0</v>
      </c>
      <c r="T97" s="6" t="n">
        <v>0</v>
      </c>
      <c r="U97" s="6" t="n">
        <v>0</v>
      </c>
      <c r="V97" s="6" t="n">
        <v>0</v>
      </c>
      <c r="W97" s="6" t="n">
        <v>0</v>
      </c>
      <c r="X97" s="6" t="n">
        <v>0</v>
      </c>
      <c r="Y97" s="6" t="n">
        <v>0</v>
      </c>
      <c r="Z97" s="6" t="n">
        <v>0</v>
      </c>
      <c r="AA97" s="6" t="n">
        <v>0</v>
      </c>
      <c r="AB97" s="6">
        <f>SUM(D97:AA97)</f>
        <v/>
      </c>
      <c r="AC97" s="3" t="inlineStr"/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0</v>
      </c>
      <c r="BA97" s="7" t="n">
        <v>0</v>
      </c>
      <c r="BB97" s="7">
        <f>SUM(AD97:BA97)</f>
        <v/>
      </c>
    </row>
    <row r="98">
      <c r="A98" t="inlineStr">
        <is>
          <t>AMD-RTS-RCLS-1302-SSC</t>
        </is>
      </c>
      <c r="B98" t="inlineStr">
        <is>
          <t>Rev OSC</t>
        </is>
      </c>
      <c r="C98" s="5" t="n">
        <v>46105</v>
      </c>
      <c r="D98" s="6" t="n">
        <v>0</v>
      </c>
      <c r="E98" s="6" t="n">
        <v>0</v>
      </c>
      <c r="F98" s="6" t="n">
        <v>0</v>
      </c>
      <c r="G98" s="6" t="n">
        <v>0</v>
      </c>
      <c r="H98" s="6" t="n">
        <v>0</v>
      </c>
      <c r="I98" s="6" t="n">
        <v>0</v>
      </c>
      <c r="J98" s="6" t="n">
        <v>0</v>
      </c>
      <c r="K98" s="6" t="n">
        <v>0</v>
      </c>
      <c r="L98" s="6" t="n">
        <v>0</v>
      </c>
      <c r="M98" s="6" t="n">
        <v>0</v>
      </c>
      <c r="N98" s="6" t="n">
        <v>0</v>
      </c>
      <c r="O98" s="6" t="n">
        <v>0</v>
      </c>
      <c r="P98" s="6" t="n">
        <v>0</v>
      </c>
      <c r="Q98" s="6" t="n">
        <v>0</v>
      </c>
      <c r="R98" s="6" t="n">
        <v>0</v>
      </c>
      <c r="S98" s="6" t="n">
        <v>0</v>
      </c>
      <c r="T98" s="6" t="n">
        <v>0</v>
      </c>
      <c r="U98" s="6" t="n">
        <v>0</v>
      </c>
      <c r="V98" s="6" t="n">
        <v>0</v>
      </c>
      <c r="W98" s="6" t="n">
        <v>0</v>
      </c>
      <c r="X98" s="6" t="n">
        <v>0</v>
      </c>
      <c r="Y98" s="6" t="n">
        <v>0</v>
      </c>
      <c r="Z98" s="6" t="n">
        <v>0</v>
      </c>
      <c r="AA98" s="6" t="n">
        <v>0</v>
      </c>
      <c r="AB98" s="6">
        <f>SUM(D98:AA98)</f>
        <v/>
      </c>
      <c r="AC98" s="3" t="inlineStr"/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7" t="n">
        <v>0</v>
      </c>
      <c r="BB98" s="7">
        <f>SUM(AD98:BA98)</f>
        <v/>
      </c>
    </row>
    <row r="99">
      <c r="A99" t="inlineStr">
        <is>
          <t>AMD-RTS-RCLS-1302-SSC_1</t>
        </is>
      </c>
      <c r="B99" t="inlineStr">
        <is>
          <t>Rev OSC</t>
        </is>
      </c>
      <c r="C99" s="5" t="n">
        <v>46090</v>
      </c>
      <c r="D99" s="6" t="n">
        <v>0</v>
      </c>
      <c r="E99" s="6" t="n">
        <v>0</v>
      </c>
      <c r="F99" s="6" t="n">
        <v>0</v>
      </c>
      <c r="G99" s="6" t="n">
        <v>0</v>
      </c>
      <c r="H99" s="6" t="n">
        <v>0</v>
      </c>
      <c r="I99" s="6" t="n">
        <v>0</v>
      </c>
      <c r="J99" s="6" t="n">
        <v>0</v>
      </c>
      <c r="K99" s="6" t="n">
        <v>0</v>
      </c>
      <c r="L99" s="6" t="n">
        <v>0</v>
      </c>
      <c r="M99" s="6" t="n">
        <v>0</v>
      </c>
      <c r="N99" s="6" t="n">
        <v>0</v>
      </c>
      <c r="O99" s="6" t="n">
        <v>0</v>
      </c>
      <c r="P99" s="6" t="n">
        <v>0</v>
      </c>
      <c r="Q99" s="6" t="n">
        <v>0</v>
      </c>
      <c r="R99" s="6" t="n">
        <v>0</v>
      </c>
      <c r="S99" s="6" t="n">
        <v>0</v>
      </c>
      <c r="T99" s="6" t="n">
        <v>0</v>
      </c>
      <c r="U99" s="6" t="n">
        <v>0</v>
      </c>
      <c r="V99" s="6" t="n">
        <v>0</v>
      </c>
      <c r="W99" s="6" t="n">
        <v>0</v>
      </c>
      <c r="X99" s="6" t="n">
        <v>0</v>
      </c>
      <c r="Y99" s="6" t="n">
        <v>0</v>
      </c>
      <c r="Z99" s="6" t="n">
        <v>0</v>
      </c>
      <c r="AA99" s="6" t="n">
        <v>0</v>
      </c>
      <c r="AB99" s="6">
        <f>SUM(D99:AA99)</f>
        <v/>
      </c>
      <c r="AC99" s="3" t="inlineStr"/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7" t="n">
        <v>0</v>
      </c>
      <c r="BB99" s="7">
        <f>SUM(AD99:BA99)</f>
        <v/>
      </c>
    </row>
    <row r="100">
      <c r="A100" t="inlineStr">
        <is>
          <t>AMD-RTS-RCLS-1302-SSC_1</t>
        </is>
      </c>
      <c r="B100" t="inlineStr">
        <is>
          <t>Rev OSC</t>
        </is>
      </c>
      <c r="C100" s="5" t="n">
        <v>46093</v>
      </c>
      <c r="D100" s="6" t="n">
        <v>0</v>
      </c>
      <c r="E100" s="6" t="n">
        <v>0</v>
      </c>
      <c r="F100" s="6" t="n">
        <v>0</v>
      </c>
      <c r="G100" s="6" t="n">
        <v>0</v>
      </c>
      <c r="H100" s="6" t="n">
        <v>0</v>
      </c>
      <c r="I100" s="6" t="n">
        <v>0</v>
      </c>
      <c r="J100" s="6" t="n">
        <v>0</v>
      </c>
      <c r="K100" s="6" t="n">
        <v>0</v>
      </c>
      <c r="L100" s="6" t="n">
        <v>0</v>
      </c>
      <c r="M100" s="6" t="n">
        <v>0</v>
      </c>
      <c r="N100" s="6" t="n">
        <v>0</v>
      </c>
      <c r="O100" s="6" t="n">
        <v>0</v>
      </c>
      <c r="P100" s="6" t="n">
        <v>0</v>
      </c>
      <c r="Q100" s="6" t="n">
        <v>0</v>
      </c>
      <c r="R100" s="6" t="n">
        <v>0</v>
      </c>
      <c r="S100" s="6" t="n">
        <v>0</v>
      </c>
      <c r="T100" s="6" t="n">
        <v>0</v>
      </c>
      <c r="U100" s="6" t="n">
        <v>0</v>
      </c>
      <c r="V100" s="6" t="n">
        <v>0</v>
      </c>
      <c r="W100" s="6" t="n">
        <v>0</v>
      </c>
      <c r="X100" s="6" t="n">
        <v>0</v>
      </c>
      <c r="Y100" s="6" t="n">
        <v>0</v>
      </c>
      <c r="Z100" s="6" t="n">
        <v>0</v>
      </c>
      <c r="AA100" s="6" t="n">
        <v>0</v>
      </c>
      <c r="AB100" s="6">
        <f>SUM(D100:AA100)</f>
        <v/>
      </c>
      <c r="AC100" s="3" t="inlineStr"/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7" t="n">
        <v>0</v>
      </c>
      <c r="BB100" s="7">
        <f>SUM(AD100:BA100)</f>
        <v/>
      </c>
    </row>
    <row r="101">
      <c r="A101" t="inlineStr">
        <is>
          <t>AMD-RTS-RCLS-1302-SSC_1</t>
        </is>
      </c>
      <c r="B101" t="inlineStr">
        <is>
          <t>Rev OSC</t>
        </is>
      </c>
      <c r="C101" s="5" t="n">
        <v>46094</v>
      </c>
      <c r="D101" s="6" t="n">
        <v>0</v>
      </c>
      <c r="E101" s="6" t="n">
        <v>0</v>
      </c>
      <c r="F101" s="6" t="n">
        <v>0</v>
      </c>
      <c r="G101" s="6" t="n">
        <v>0</v>
      </c>
      <c r="H101" s="6" t="n">
        <v>0</v>
      </c>
      <c r="I101" s="6" t="n">
        <v>0</v>
      </c>
      <c r="J101" s="6" t="n">
        <v>0</v>
      </c>
      <c r="K101" s="6" t="n">
        <v>0</v>
      </c>
      <c r="L101" s="6" t="n">
        <v>0</v>
      </c>
      <c r="M101" s="6" t="n">
        <v>0</v>
      </c>
      <c r="N101" s="6" t="n">
        <v>0</v>
      </c>
      <c r="O101" s="6" t="n">
        <v>0</v>
      </c>
      <c r="P101" s="6" t="n">
        <v>0</v>
      </c>
      <c r="Q101" s="6" t="n">
        <v>0</v>
      </c>
      <c r="R101" s="6" t="n">
        <v>0</v>
      </c>
      <c r="S101" s="6" t="n">
        <v>0</v>
      </c>
      <c r="T101" s="6" t="n">
        <v>0</v>
      </c>
      <c r="U101" s="6" t="n">
        <v>0</v>
      </c>
      <c r="V101" s="6" t="n">
        <v>0</v>
      </c>
      <c r="W101" s="6" t="n">
        <v>0</v>
      </c>
      <c r="X101" s="6" t="n">
        <v>0</v>
      </c>
      <c r="Y101" s="6" t="n">
        <v>0</v>
      </c>
      <c r="Z101" s="6" t="n">
        <v>0</v>
      </c>
      <c r="AA101" s="6" t="n">
        <v>0</v>
      </c>
      <c r="AB101" s="6">
        <f>SUM(D101:AA101)</f>
        <v/>
      </c>
      <c r="AC101" s="3" t="inlineStr"/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7" t="n">
        <v>0</v>
      </c>
      <c r="BB101" s="7">
        <f>SUM(AD101:BA101)</f>
        <v/>
      </c>
    </row>
    <row r="102">
      <c r="A102" t="inlineStr">
        <is>
          <t>AMD-RTS-RCLS-1302-SSC_1</t>
        </is>
      </c>
      <c r="B102" t="inlineStr">
        <is>
          <t>Rev OSC</t>
        </is>
      </c>
      <c r="C102" s="5" t="n">
        <v>46095</v>
      </c>
      <c r="D102" s="6" t="n">
        <v>0</v>
      </c>
      <c r="E102" s="6" t="n">
        <v>0</v>
      </c>
      <c r="F102" s="6" t="n">
        <v>0</v>
      </c>
      <c r="G102" s="6" t="n">
        <v>0</v>
      </c>
      <c r="H102" s="6" t="n">
        <v>0</v>
      </c>
      <c r="I102" s="6" t="n">
        <v>0</v>
      </c>
      <c r="J102" s="6" t="n">
        <v>0</v>
      </c>
      <c r="K102" s="6" t="n">
        <v>0</v>
      </c>
      <c r="L102" s="6" t="n">
        <v>0</v>
      </c>
      <c r="M102" s="6" t="n">
        <v>0</v>
      </c>
      <c r="N102" s="6" t="n">
        <v>0</v>
      </c>
      <c r="O102" s="6" t="n">
        <v>0</v>
      </c>
      <c r="P102" s="6" t="n">
        <v>0</v>
      </c>
      <c r="Q102" s="6" t="n">
        <v>0</v>
      </c>
      <c r="R102" s="6" t="n">
        <v>0</v>
      </c>
      <c r="S102" s="6" t="n">
        <v>0</v>
      </c>
      <c r="T102" s="6" t="n">
        <v>0</v>
      </c>
      <c r="U102" s="6" t="n">
        <v>0</v>
      </c>
      <c r="V102" s="6" t="n">
        <v>0</v>
      </c>
      <c r="W102" s="6" t="n">
        <v>0</v>
      </c>
      <c r="X102" s="6" t="n">
        <v>0</v>
      </c>
      <c r="Y102" s="6" t="n">
        <v>0</v>
      </c>
      <c r="Z102" s="6" t="n">
        <v>0</v>
      </c>
      <c r="AA102" s="6" t="n">
        <v>0</v>
      </c>
      <c r="AB102" s="6">
        <f>SUM(D102:AA102)</f>
        <v/>
      </c>
      <c r="AC102" s="3" t="inlineStr"/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7" t="n">
        <v>0</v>
      </c>
      <c r="BB102" s="7">
        <f>SUM(AD102:BA102)</f>
        <v/>
      </c>
    </row>
    <row r="103">
      <c r="A103" t="inlineStr">
        <is>
          <t>AMD-RTS-RCLS-1302-SSC_1</t>
        </is>
      </c>
      <c r="B103" t="inlineStr">
        <is>
          <t>Rev OSC</t>
        </is>
      </c>
      <c r="C103" s="5" t="n">
        <v>46100</v>
      </c>
      <c r="D103" s="6" t="n">
        <v>0</v>
      </c>
      <c r="E103" s="6" t="n">
        <v>0</v>
      </c>
      <c r="F103" s="6" t="n">
        <v>0</v>
      </c>
      <c r="G103" s="6" t="n">
        <v>0</v>
      </c>
      <c r="H103" s="6" t="n">
        <v>0</v>
      </c>
      <c r="I103" s="6" t="n">
        <v>0</v>
      </c>
      <c r="J103" s="6" t="n">
        <v>0</v>
      </c>
      <c r="K103" s="6" t="n">
        <v>0</v>
      </c>
      <c r="L103" s="6" t="n">
        <v>0</v>
      </c>
      <c r="M103" s="6" t="n">
        <v>0</v>
      </c>
      <c r="N103" s="6" t="n">
        <v>0</v>
      </c>
      <c r="O103" s="6" t="n">
        <v>0</v>
      </c>
      <c r="P103" s="6" t="n">
        <v>0</v>
      </c>
      <c r="Q103" s="6" t="n">
        <v>0</v>
      </c>
      <c r="R103" s="6" t="n">
        <v>0</v>
      </c>
      <c r="S103" s="6" t="n">
        <v>0</v>
      </c>
      <c r="T103" s="6" t="n">
        <v>0</v>
      </c>
      <c r="U103" s="6" t="n">
        <v>0</v>
      </c>
      <c r="V103" s="6" t="n">
        <v>0</v>
      </c>
      <c r="W103" s="6" t="n">
        <v>0</v>
      </c>
      <c r="X103" s="6" t="n">
        <v>0</v>
      </c>
      <c r="Y103" s="6" t="n">
        <v>0</v>
      </c>
      <c r="Z103" s="6" t="n">
        <v>0</v>
      </c>
      <c r="AA103" s="6" t="n">
        <v>0</v>
      </c>
      <c r="AB103" s="6">
        <f>SUM(D103:AA103)</f>
        <v/>
      </c>
      <c r="AC103" s="3" t="inlineStr"/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7" t="n">
        <v>0</v>
      </c>
      <c r="BB103" s="7">
        <f>SUM(AD103:BA103)</f>
        <v/>
      </c>
    </row>
    <row r="104">
      <c r="A104" t="inlineStr">
        <is>
          <t>AMD-RTS-RCLS-1302-SSC_1</t>
        </is>
      </c>
      <c r="B104" t="inlineStr">
        <is>
          <t>Rev OSC</t>
        </is>
      </c>
      <c r="C104" s="5" t="n">
        <v>46102</v>
      </c>
      <c r="D104" s="6" t="n">
        <v>0</v>
      </c>
      <c r="E104" s="6" t="n">
        <v>0</v>
      </c>
      <c r="F104" s="6" t="n">
        <v>0</v>
      </c>
      <c r="G104" s="6" t="n">
        <v>0</v>
      </c>
      <c r="H104" s="6" t="n">
        <v>0</v>
      </c>
      <c r="I104" s="6" t="n">
        <v>0</v>
      </c>
      <c r="J104" s="6" t="n">
        <v>0</v>
      </c>
      <c r="K104" s="6" t="n">
        <v>0</v>
      </c>
      <c r="L104" s="6" t="n">
        <v>0</v>
      </c>
      <c r="M104" s="6" t="n">
        <v>0</v>
      </c>
      <c r="N104" s="6" t="n">
        <v>0</v>
      </c>
      <c r="O104" s="6" t="n">
        <v>0</v>
      </c>
      <c r="P104" s="6" t="n">
        <v>0</v>
      </c>
      <c r="Q104" s="6" t="n">
        <v>0</v>
      </c>
      <c r="R104" s="6" t="n">
        <v>0</v>
      </c>
      <c r="S104" s="6" t="n">
        <v>0</v>
      </c>
      <c r="T104" s="6" t="n">
        <v>0</v>
      </c>
      <c r="U104" s="6" t="n">
        <v>0</v>
      </c>
      <c r="V104" s="6" t="n">
        <v>0</v>
      </c>
      <c r="W104" s="6" t="n">
        <v>0</v>
      </c>
      <c r="X104" s="6" t="n">
        <v>0</v>
      </c>
      <c r="Y104" s="6" t="n">
        <v>0</v>
      </c>
      <c r="Z104" s="6" t="n">
        <v>0</v>
      </c>
      <c r="AA104" s="6" t="n">
        <v>0</v>
      </c>
      <c r="AB104" s="6">
        <f>SUM(D104:AA104)</f>
        <v/>
      </c>
      <c r="AC104" s="3" t="inlineStr"/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  <c r="BB104" s="7">
        <f>SUM(AD104:BA104)</f>
        <v/>
      </c>
    </row>
    <row r="105">
      <c r="A105" t="inlineStr">
        <is>
          <t>AMD-RTS-RCLS-1302-SSC_1</t>
        </is>
      </c>
      <c r="B105" t="inlineStr">
        <is>
          <t>Rev OSC</t>
        </is>
      </c>
      <c r="C105" s="5" t="n">
        <v>46103</v>
      </c>
      <c r="D105" s="6" t="n">
        <v>0</v>
      </c>
      <c r="E105" s="6" t="n">
        <v>0</v>
      </c>
      <c r="F105" s="6" t="n">
        <v>0</v>
      </c>
      <c r="G105" s="6" t="n">
        <v>0</v>
      </c>
      <c r="H105" s="6" t="n">
        <v>0</v>
      </c>
      <c r="I105" s="6" t="n">
        <v>0</v>
      </c>
      <c r="J105" s="6" t="n">
        <v>0</v>
      </c>
      <c r="K105" s="6" t="n">
        <v>0</v>
      </c>
      <c r="L105" s="6" t="n">
        <v>0</v>
      </c>
      <c r="M105" s="6" t="n">
        <v>0</v>
      </c>
      <c r="N105" s="6" t="n">
        <v>0</v>
      </c>
      <c r="O105" s="6" t="n">
        <v>0</v>
      </c>
      <c r="P105" s="6" t="n">
        <v>0</v>
      </c>
      <c r="Q105" s="6" t="n">
        <v>0</v>
      </c>
      <c r="R105" s="6" t="n">
        <v>0</v>
      </c>
      <c r="S105" s="6" t="n">
        <v>0</v>
      </c>
      <c r="T105" s="6" t="n">
        <v>0</v>
      </c>
      <c r="U105" s="6" t="n">
        <v>0</v>
      </c>
      <c r="V105" s="6" t="n">
        <v>0</v>
      </c>
      <c r="W105" s="6" t="n">
        <v>0</v>
      </c>
      <c r="X105" s="6" t="n">
        <v>0</v>
      </c>
      <c r="Y105" s="6" t="n">
        <v>0</v>
      </c>
      <c r="Z105" s="6" t="n">
        <v>0</v>
      </c>
      <c r="AA105" s="6" t="n">
        <v>0</v>
      </c>
      <c r="AB105" s="6">
        <f>SUM(D105:AA105)</f>
        <v/>
      </c>
      <c r="AC105" s="3" t="inlineStr"/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7" t="n">
        <v>0</v>
      </c>
      <c r="BB105" s="7">
        <f>SUM(AD105:BA105)</f>
        <v/>
      </c>
    </row>
    <row r="106">
      <c r="A106" t="inlineStr">
        <is>
          <t>AMD-RTS-RCLS-1302-SSC_1</t>
        </is>
      </c>
      <c r="B106" t="inlineStr">
        <is>
          <t>Rev OSC</t>
        </is>
      </c>
      <c r="C106" s="5" t="n">
        <v>46104</v>
      </c>
      <c r="D106" s="6" t="n">
        <v>0</v>
      </c>
      <c r="E106" s="6" t="n">
        <v>0</v>
      </c>
      <c r="F106" s="6" t="n">
        <v>0</v>
      </c>
      <c r="G106" s="6" t="n">
        <v>0</v>
      </c>
      <c r="H106" s="6" t="n">
        <v>0</v>
      </c>
      <c r="I106" s="6" t="n">
        <v>0</v>
      </c>
      <c r="J106" s="6" t="n">
        <v>0</v>
      </c>
      <c r="K106" s="6" t="n">
        <v>0</v>
      </c>
      <c r="L106" s="6" t="n">
        <v>0</v>
      </c>
      <c r="M106" s="6" t="n">
        <v>0</v>
      </c>
      <c r="N106" s="6" t="n">
        <v>0</v>
      </c>
      <c r="O106" s="6" t="n">
        <v>0</v>
      </c>
      <c r="P106" s="6" t="n">
        <v>0</v>
      </c>
      <c r="Q106" s="6" t="n">
        <v>0</v>
      </c>
      <c r="R106" s="6" t="n">
        <v>0</v>
      </c>
      <c r="S106" s="6" t="n">
        <v>0</v>
      </c>
      <c r="T106" s="6" t="n">
        <v>0</v>
      </c>
      <c r="U106" s="6" t="n">
        <v>0</v>
      </c>
      <c r="V106" s="6" t="n">
        <v>0</v>
      </c>
      <c r="W106" s="6" t="n">
        <v>0</v>
      </c>
      <c r="X106" s="6" t="n">
        <v>0</v>
      </c>
      <c r="Y106" s="6" t="n">
        <v>0</v>
      </c>
      <c r="Z106" s="6" t="n">
        <v>0</v>
      </c>
      <c r="AA106" s="6" t="n">
        <v>0</v>
      </c>
      <c r="AB106" s="6">
        <f>SUM(D106:AA106)</f>
        <v/>
      </c>
      <c r="AC106" s="3" t="inlineStr"/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7" t="n">
        <v>0</v>
      </c>
      <c r="BB106" s="7">
        <f>SUM(AD106:BA106)</f>
        <v/>
      </c>
    </row>
    <row r="107">
      <c r="A107" t="inlineStr">
        <is>
          <t>AMD-RTS-RCLS-1302-SSC_1</t>
        </is>
      </c>
      <c r="B107" t="inlineStr">
        <is>
          <t>Rev OSC</t>
        </is>
      </c>
      <c r="C107" s="5" t="n">
        <v>46105</v>
      </c>
      <c r="D107" s="6" t="n">
        <v>0</v>
      </c>
      <c r="E107" s="6" t="n">
        <v>0</v>
      </c>
      <c r="F107" s="6" t="n">
        <v>0</v>
      </c>
      <c r="G107" s="6" t="n">
        <v>0</v>
      </c>
      <c r="H107" s="6" t="n">
        <v>0</v>
      </c>
      <c r="I107" s="6" t="n">
        <v>0</v>
      </c>
      <c r="J107" s="6" t="n">
        <v>0</v>
      </c>
      <c r="K107" s="6" t="n">
        <v>0</v>
      </c>
      <c r="L107" s="6" t="n">
        <v>0</v>
      </c>
      <c r="M107" s="6" t="n">
        <v>0</v>
      </c>
      <c r="N107" s="6" t="n">
        <v>0</v>
      </c>
      <c r="O107" s="6" t="n">
        <v>0</v>
      </c>
      <c r="P107" s="6" t="n">
        <v>0</v>
      </c>
      <c r="Q107" s="6" t="n">
        <v>0</v>
      </c>
      <c r="R107" s="6" t="n">
        <v>0</v>
      </c>
      <c r="S107" s="6" t="n">
        <v>0</v>
      </c>
      <c r="T107" s="6" t="n">
        <v>0</v>
      </c>
      <c r="U107" s="6" t="n">
        <v>0</v>
      </c>
      <c r="V107" s="6" t="n">
        <v>0</v>
      </c>
      <c r="W107" s="6" t="n">
        <v>0</v>
      </c>
      <c r="X107" s="6" t="n">
        <v>0</v>
      </c>
      <c r="Y107" s="6" t="n">
        <v>0</v>
      </c>
      <c r="Z107" s="6" t="n">
        <v>0</v>
      </c>
      <c r="AA107" s="6" t="n">
        <v>0</v>
      </c>
      <c r="AB107" s="6">
        <f>SUM(D107:AA107)</f>
        <v/>
      </c>
      <c r="AC107" s="3" t="inlineStr"/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7" t="n">
        <v>0</v>
      </c>
      <c r="BB107" s="7">
        <f>SUM(AD107:BA107)</f>
        <v/>
      </c>
    </row>
    <row r="108">
      <c r="A108" t="inlineStr">
        <is>
          <t>AMD-RTS-RCLS-1302-SSC_2</t>
        </is>
      </c>
      <c r="B108" t="inlineStr">
        <is>
          <t>Rev OSC</t>
        </is>
      </c>
      <c r="C108" s="5" t="n">
        <v>46100</v>
      </c>
      <c r="D108" s="6" t="n">
        <v>0</v>
      </c>
      <c r="E108" s="6" t="n">
        <v>0</v>
      </c>
      <c r="F108" s="6" t="n">
        <v>0</v>
      </c>
      <c r="G108" s="6" t="n">
        <v>0</v>
      </c>
      <c r="H108" s="6" t="n">
        <v>0</v>
      </c>
      <c r="I108" s="6" t="n">
        <v>0</v>
      </c>
      <c r="J108" s="6" t="n">
        <v>0</v>
      </c>
      <c r="K108" s="6" t="n">
        <v>0</v>
      </c>
      <c r="L108" s="6" t="n">
        <v>0</v>
      </c>
      <c r="M108" s="6" t="n">
        <v>0</v>
      </c>
      <c r="N108" s="6" t="n">
        <v>0</v>
      </c>
      <c r="O108" s="6" t="n">
        <v>0</v>
      </c>
      <c r="P108" s="6" t="n">
        <v>0</v>
      </c>
      <c r="Q108" s="6" t="n">
        <v>0</v>
      </c>
      <c r="R108" s="6" t="n">
        <v>0</v>
      </c>
      <c r="S108" s="6" t="n">
        <v>0</v>
      </c>
      <c r="T108" s="6" t="n">
        <v>0</v>
      </c>
      <c r="U108" s="6" t="n">
        <v>0</v>
      </c>
      <c r="V108" s="6" t="n">
        <v>0</v>
      </c>
      <c r="W108" s="6" t="n">
        <v>0</v>
      </c>
      <c r="X108" s="6" t="n">
        <v>0</v>
      </c>
      <c r="Y108" s="6" t="n">
        <v>0</v>
      </c>
      <c r="Z108" s="6" t="n">
        <v>0</v>
      </c>
      <c r="AA108" s="6" t="n">
        <v>0</v>
      </c>
      <c r="AB108" s="6">
        <f>SUM(D108:AA108)</f>
        <v/>
      </c>
      <c r="AC108" s="3" t="inlineStr"/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7" t="n">
        <v>0</v>
      </c>
      <c r="BB108" s="7">
        <f>SUM(AD108:BA108)</f>
        <v/>
      </c>
    </row>
    <row r="109">
      <c r="A109" t="inlineStr">
        <is>
          <t>AMD-RTS-RCLS-1302-SSC_2</t>
        </is>
      </c>
      <c r="B109" t="inlineStr">
        <is>
          <t>Rev OSC</t>
        </is>
      </c>
      <c r="C109" s="5" t="n">
        <v>46102</v>
      </c>
      <c r="D109" s="6" t="n">
        <v>0</v>
      </c>
      <c r="E109" s="6" t="n">
        <v>0</v>
      </c>
      <c r="F109" s="6" t="n">
        <v>0</v>
      </c>
      <c r="G109" s="6" t="n">
        <v>0</v>
      </c>
      <c r="H109" s="6" t="n">
        <v>0</v>
      </c>
      <c r="I109" s="6" t="n">
        <v>0</v>
      </c>
      <c r="J109" s="6" t="n">
        <v>0</v>
      </c>
      <c r="K109" s="6" t="n">
        <v>0</v>
      </c>
      <c r="L109" s="6" t="n">
        <v>0</v>
      </c>
      <c r="M109" s="6" t="n">
        <v>0</v>
      </c>
      <c r="N109" s="6" t="n">
        <v>0</v>
      </c>
      <c r="O109" s="6" t="n">
        <v>0</v>
      </c>
      <c r="P109" s="6" t="n">
        <v>0</v>
      </c>
      <c r="Q109" s="6" t="n">
        <v>0</v>
      </c>
      <c r="R109" s="6" t="n">
        <v>0</v>
      </c>
      <c r="S109" s="6" t="n">
        <v>0</v>
      </c>
      <c r="T109" s="6" t="n">
        <v>0</v>
      </c>
      <c r="U109" s="6" t="n">
        <v>0</v>
      </c>
      <c r="V109" s="6" t="n">
        <v>0</v>
      </c>
      <c r="W109" s="6" t="n">
        <v>0</v>
      </c>
      <c r="X109" s="6" t="n">
        <v>0</v>
      </c>
      <c r="Y109" s="6" t="n">
        <v>0</v>
      </c>
      <c r="Z109" s="6" t="n">
        <v>0</v>
      </c>
      <c r="AA109" s="6" t="n">
        <v>0</v>
      </c>
      <c r="AB109" s="6">
        <f>SUM(D109:AA109)</f>
        <v/>
      </c>
      <c r="AC109" s="3" t="inlineStr"/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7" t="n">
        <v>0</v>
      </c>
      <c r="BB109" s="7">
        <f>SUM(AD109:BA109)</f>
        <v/>
      </c>
    </row>
    <row r="110">
      <c r="A110" t="inlineStr">
        <is>
          <t>AMD-RTS-RCLS-1302-SSC_2</t>
        </is>
      </c>
      <c r="B110" t="inlineStr">
        <is>
          <t>Rev OSC</t>
        </is>
      </c>
      <c r="C110" s="5" t="n">
        <v>46104</v>
      </c>
      <c r="D110" s="6" t="n">
        <v>0</v>
      </c>
      <c r="E110" s="6" t="n">
        <v>0</v>
      </c>
      <c r="F110" s="6" t="n">
        <v>0</v>
      </c>
      <c r="G110" s="6" t="n">
        <v>0</v>
      </c>
      <c r="H110" s="6" t="n">
        <v>0</v>
      </c>
      <c r="I110" s="6" t="n">
        <v>0</v>
      </c>
      <c r="J110" s="6" t="n">
        <v>0</v>
      </c>
      <c r="K110" s="6" t="n">
        <v>0</v>
      </c>
      <c r="L110" s="6" t="n">
        <v>0</v>
      </c>
      <c r="M110" s="6" t="n">
        <v>0</v>
      </c>
      <c r="N110" s="6" t="n">
        <v>0</v>
      </c>
      <c r="O110" s="6" t="n">
        <v>0</v>
      </c>
      <c r="P110" s="6" t="n">
        <v>0</v>
      </c>
      <c r="Q110" s="6" t="n">
        <v>0</v>
      </c>
      <c r="R110" s="6" t="n">
        <v>0</v>
      </c>
      <c r="S110" s="6" t="n">
        <v>0</v>
      </c>
      <c r="T110" s="6" t="n">
        <v>0</v>
      </c>
      <c r="U110" s="6" t="n">
        <v>0</v>
      </c>
      <c r="V110" s="6" t="n">
        <v>0</v>
      </c>
      <c r="W110" s="6" t="n">
        <v>0</v>
      </c>
      <c r="X110" s="6" t="n">
        <v>0</v>
      </c>
      <c r="Y110" s="6" t="n">
        <v>0</v>
      </c>
      <c r="Z110" s="6" t="n">
        <v>0</v>
      </c>
      <c r="AA110" s="6" t="n">
        <v>0</v>
      </c>
      <c r="AB110" s="6">
        <f>SUM(D110:AA110)</f>
        <v/>
      </c>
      <c r="AC110" s="3" t="inlineStr"/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  <c r="BB110" s="7">
        <f>SUM(AD110:BA110)</f>
        <v/>
      </c>
    </row>
    <row r="111">
      <c r="A111" t="inlineStr">
        <is>
          <t>DC-10-1</t>
        </is>
      </c>
      <c r="B111" t="inlineStr">
        <is>
          <t>DSC Manual</t>
        </is>
      </c>
      <c r="C111" s="5" t="n">
        <v>46089</v>
      </c>
      <c r="D111" s="6" t="n">
        <v>0</v>
      </c>
      <c r="E111" s="6" t="n">
        <v>0</v>
      </c>
      <c r="F111" s="6" t="n">
        <v>0</v>
      </c>
      <c r="G111" s="6" t="n">
        <v>0</v>
      </c>
      <c r="H111" s="6" t="n">
        <v>0</v>
      </c>
      <c r="I111" s="6" t="n">
        <v>0</v>
      </c>
      <c r="J111" s="6" t="n">
        <v>0</v>
      </c>
      <c r="K111" s="6" t="n">
        <v>0</v>
      </c>
      <c r="L111" s="6" t="n">
        <v>0</v>
      </c>
      <c r="M111" s="6" t="n">
        <v>0</v>
      </c>
      <c r="N111" s="6" t="n">
        <v>0</v>
      </c>
      <c r="O111" s="6" t="n">
        <v>0</v>
      </c>
      <c r="P111" s="6" t="n">
        <v>0</v>
      </c>
      <c r="Q111" s="6" t="n">
        <v>0</v>
      </c>
      <c r="R111" s="6" t="n">
        <v>0</v>
      </c>
      <c r="S111" s="6" t="n">
        <v>0</v>
      </c>
      <c r="T111" s="6" t="n">
        <v>0</v>
      </c>
      <c r="U111" s="6" t="n">
        <v>0</v>
      </c>
      <c r="V111" s="6" t="n">
        <v>0</v>
      </c>
      <c r="W111" s="6" t="n">
        <v>0</v>
      </c>
      <c r="X111" s="6" t="n">
        <v>0</v>
      </c>
      <c r="Y111" s="6" t="n">
        <v>0</v>
      </c>
      <c r="Z111" s="6" t="n">
        <v>0</v>
      </c>
      <c r="AA111" s="6" t="n">
        <v>0</v>
      </c>
      <c r="AB111" s="6">
        <f>SUM(D111:AA111)</f>
        <v/>
      </c>
      <c r="AC111" s="3" t="inlineStr"/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7" t="n">
        <v>0</v>
      </c>
      <c r="BB111" s="7">
        <f>SUM(AD111:BA111)</f>
        <v/>
      </c>
    </row>
    <row r="112">
      <c r="A112" t="inlineStr">
        <is>
          <t>DC-10-1</t>
        </is>
      </c>
      <c r="B112" t="inlineStr">
        <is>
          <t>DSC Manual</t>
        </is>
      </c>
      <c r="C112" s="5" t="n">
        <v>46090</v>
      </c>
      <c r="D112" s="6" t="n">
        <v>0</v>
      </c>
      <c r="E112" s="6" t="n">
        <v>0</v>
      </c>
      <c r="F112" s="6" t="n">
        <v>0</v>
      </c>
      <c r="G112" s="6" t="n">
        <v>0</v>
      </c>
      <c r="H112" s="6" t="n">
        <v>0</v>
      </c>
      <c r="I112" s="6" t="n">
        <v>0</v>
      </c>
      <c r="J112" s="6" t="n">
        <v>0</v>
      </c>
      <c r="K112" s="6" t="n">
        <v>0</v>
      </c>
      <c r="L112" s="6" t="n">
        <v>0</v>
      </c>
      <c r="M112" s="6" t="n">
        <v>0</v>
      </c>
      <c r="N112" s="6" t="n">
        <v>0</v>
      </c>
      <c r="O112" s="6" t="n">
        <v>0</v>
      </c>
      <c r="P112" s="6" t="n">
        <v>0</v>
      </c>
      <c r="Q112" s="6" t="n">
        <v>0</v>
      </c>
      <c r="R112" s="6" t="n">
        <v>0</v>
      </c>
      <c r="S112" s="6" t="n">
        <v>0</v>
      </c>
      <c r="T112" s="6" t="n">
        <v>0</v>
      </c>
      <c r="U112" s="6" t="n">
        <v>0</v>
      </c>
      <c r="V112" s="6" t="n">
        <v>0</v>
      </c>
      <c r="W112" s="6" t="n">
        <v>0</v>
      </c>
      <c r="X112" s="6" t="n">
        <v>0</v>
      </c>
      <c r="Y112" s="6" t="n">
        <v>0</v>
      </c>
      <c r="Z112" s="6" t="n">
        <v>0</v>
      </c>
      <c r="AA112" s="6" t="n">
        <v>0</v>
      </c>
      <c r="AB112" s="6">
        <f>SUM(D112:AA112)</f>
        <v/>
      </c>
      <c r="AC112" s="3" t="inlineStr"/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>
        <f>SUM(AD112:BA112)</f>
        <v/>
      </c>
    </row>
    <row r="113">
      <c r="A113" t="inlineStr">
        <is>
          <t>DC-10-1</t>
        </is>
      </c>
      <c r="B113" t="inlineStr">
        <is>
          <t>DSC Manual</t>
        </is>
      </c>
      <c r="C113" s="5" t="n">
        <v>46091</v>
      </c>
      <c r="D113" s="6" t="n">
        <v>0</v>
      </c>
      <c r="E113" s="6" t="n">
        <v>0</v>
      </c>
      <c r="F113" s="6" t="n">
        <v>0</v>
      </c>
      <c r="G113" s="6" t="n">
        <v>0</v>
      </c>
      <c r="H113" s="6" t="n">
        <v>0</v>
      </c>
      <c r="I113" s="6" t="n">
        <v>0</v>
      </c>
      <c r="J113" s="6" t="n">
        <v>0</v>
      </c>
      <c r="K113" s="6" t="n">
        <v>0</v>
      </c>
      <c r="L113" s="6" t="n">
        <v>0</v>
      </c>
      <c r="M113" s="6" t="n">
        <v>0</v>
      </c>
      <c r="N113" s="6" t="n">
        <v>0</v>
      </c>
      <c r="O113" s="6" t="n">
        <v>0</v>
      </c>
      <c r="P113" s="6" t="n">
        <v>0</v>
      </c>
      <c r="Q113" s="6" t="n">
        <v>0</v>
      </c>
      <c r="R113" s="6" t="n">
        <v>0</v>
      </c>
      <c r="S113" s="6" t="n">
        <v>0</v>
      </c>
      <c r="T113" s="6" t="n">
        <v>0</v>
      </c>
      <c r="U113" s="6" t="n">
        <v>0</v>
      </c>
      <c r="V113" s="6" t="n">
        <v>0</v>
      </c>
      <c r="W113" s="6" t="n">
        <v>0</v>
      </c>
      <c r="X113" s="6" t="n">
        <v>0</v>
      </c>
      <c r="Y113" s="6" t="n">
        <v>0</v>
      </c>
      <c r="Z113" s="6" t="n">
        <v>0</v>
      </c>
      <c r="AA113" s="6" t="n">
        <v>0</v>
      </c>
      <c r="AB113" s="6">
        <f>SUM(D113:AA113)</f>
        <v/>
      </c>
      <c r="AC113" s="3" t="inlineStr"/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7" t="n">
        <v>0</v>
      </c>
      <c r="BB113" s="7">
        <f>SUM(AD113:BA113)</f>
        <v/>
      </c>
    </row>
    <row r="114">
      <c r="A114" t="inlineStr">
        <is>
          <t>DC-10-1</t>
        </is>
      </c>
      <c r="B114" t="inlineStr">
        <is>
          <t>DSC Manual</t>
        </is>
      </c>
      <c r="C114" s="5" t="n">
        <v>46092</v>
      </c>
      <c r="D114" s="6" t="n">
        <v>0</v>
      </c>
      <c r="E114" s="6" t="n">
        <v>0</v>
      </c>
      <c r="F114" s="6" t="n">
        <v>0</v>
      </c>
      <c r="G114" s="6" t="n">
        <v>0</v>
      </c>
      <c r="H114" s="6" t="n">
        <v>0</v>
      </c>
      <c r="I114" s="6" t="n">
        <v>0</v>
      </c>
      <c r="J114" s="6" t="n">
        <v>0</v>
      </c>
      <c r="K114" s="6" t="n">
        <v>0</v>
      </c>
      <c r="L114" s="6" t="n">
        <v>0</v>
      </c>
      <c r="M114" s="6" t="n">
        <v>0</v>
      </c>
      <c r="N114" s="6" t="n">
        <v>0</v>
      </c>
      <c r="O114" s="6" t="n">
        <v>0</v>
      </c>
      <c r="P114" s="6" t="n">
        <v>0</v>
      </c>
      <c r="Q114" s="6" t="n">
        <v>0</v>
      </c>
      <c r="R114" s="6" t="n">
        <v>0</v>
      </c>
      <c r="S114" s="6" t="n">
        <v>0</v>
      </c>
      <c r="T114" s="6" t="n">
        <v>0</v>
      </c>
      <c r="U114" s="6" t="n">
        <v>0</v>
      </c>
      <c r="V114" s="6" t="n">
        <v>0</v>
      </c>
      <c r="W114" s="6" t="n">
        <v>0</v>
      </c>
      <c r="X114" s="6" t="n">
        <v>0</v>
      </c>
      <c r="Y114" s="6" t="n">
        <v>0</v>
      </c>
      <c r="Z114" s="6" t="n">
        <v>0</v>
      </c>
      <c r="AA114" s="6" t="n">
        <v>0</v>
      </c>
      <c r="AB114" s="6">
        <f>SUM(D114:AA114)</f>
        <v/>
      </c>
      <c r="AC114" s="3" t="inlineStr"/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7" t="n">
        <v>0</v>
      </c>
      <c r="BB114" s="7">
        <f>SUM(AD114:BA114)</f>
        <v/>
      </c>
    </row>
    <row r="115">
      <c r="A115" t="inlineStr">
        <is>
          <t>DC-10-1</t>
        </is>
      </c>
      <c r="B115" t="inlineStr">
        <is>
          <t>DSC Manual</t>
        </is>
      </c>
      <c r="C115" s="5" t="n">
        <v>46093</v>
      </c>
      <c r="D115" s="6" t="n">
        <v>0</v>
      </c>
      <c r="E115" s="6" t="n">
        <v>0</v>
      </c>
      <c r="F115" s="6" t="n">
        <v>0</v>
      </c>
      <c r="G115" s="6" t="n">
        <v>0</v>
      </c>
      <c r="H115" s="6" t="n">
        <v>0</v>
      </c>
      <c r="I115" s="6" t="n">
        <v>0</v>
      </c>
      <c r="J115" s="6" t="n">
        <v>0</v>
      </c>
      <c r="K115" s="6" t="n">
        <v>0</v>
      </c>
      <c r="L115" s="6" t="n">
        <v>0</v>
      </c>
      <c r="M115" s="6" t="n">
        <v>0</v>
      </c>
      <c r="N115" s="6" t="n">
        <v>0</v>
      </c>
      <c r="O115" s="6" t="n">
        <v>0</v>
      </c>
      <c r="P115" s="6" t="n">
        <v>0</v>
      </c>
      <c r="Q115" s="6" t="n">
        <v>0</v>
      </c>
      <c r="R115" s="6" t="n">
        <v>0</v>
      </c>
      <c r="S115" s="6" t="n">
        <v>0</v>
      </c>
      <c r="T115" s="6" t="n">
        <v>0</v>
      </c>
      <c r="U115" s="6" t="n">
        <v>0</v>
      </c>
      <c r="V115" s="6" t="n">
        <v>0</v>
      </c>
      <c r="W115" s="6" t="n">
        <v>0</v>
      </c>
      <c r="X115" s="6" t="n">
        <v>0</v>
      </c>
      <c r="Y115" s="6" t="n">
        <v>0</v>
      </c>
      <c r="Z115" s="6" t="n">
        <v>0</v>
      </c>
      <c r="AA115" s="6" t="n">
        <v>0</v>
      </c>
      <c r="AB115" s="6">
        <f>SUM(D115:AA115)</f>
        <v/>
      </c>
      <c r="AC115" s="3" t="inlineStr"/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>
        <f>SUM(AD115:BA115)</f>
        <v/>
      </c>
    </row>
    <row r="116">
      <c r="A116" t="inlineStr">
        <is>
          <t>DC-10-1</t>
        </is>
      </c>
      <c r="B116" t="inlineStr">
        <is>
          <t>DSC Manual</t>
        </is>
      </c>
      <c r="C116" s="5" t="n">
        <v>46094</v>
      </c>
      <c r="D116" s="6" t="n">
        <v>0</v>
      </c>
      <c r="E116" s="6" t="n">
        <v>0</v>
      </c>
      <c r="F116" s="6" t="n">
        <v>0</v>
      </c>
      <c r="G116" s="6" t="n">
        <v>0</v>
      </c>
      <c r="H116" s="6" t="n">
        <v>0</v>
      </c>
      <c r="I116" s="6" t="n">
        <v>0</v>
      </c>
      <c r="J116" s="6" t="n">
        <v>0</v>
      </c>
      <c r="K116" s="6" t="n">
        <v>0</v>
      </c>
      <c r="L116" s="6" t="n">
        <v>0</v>
      </c>
      <c r="M116" s="6" t="n">
        <v>0</v>
      </c>
      <c r="N116" s="6" t="n">
        <v>0</v>
      </c>
      <c r="O116" s="6" t="n">
        <v>0</v>
      </c>
      <c r="P116" s="6" t="n">
        <v>0</v>
      </c>
      <c r="Q116" s="6" t="n">
        <v>0</v>
      </c>
      <c r="R116" s="6" t="n">
        <v>0</v>
      </c>
      <c r="S116" s="6" t="n">
        <v>0</v>
      </c>
      <c r="T116" s="6" t="n">
        <v>0</v>
      </c>
      <c r="U116" s="6" t="n">
        <v>0</v>
      </c>
      <c r="V116" s="6" t="n">
        <v>0</v>
      </c>
      <c r="W116" s="6" t="n">
        <v>0</v>
      </c>
      <c r="X116" s="6" t="n">
        <v>0</v>
      </c>
      <c r="Y116" s="6" t="n">
        <v>0</v>
      </c>
      <c r="Z116" s="6" t="n">
        <v>0</v>
      </c>
      <c r="AA116" s="6" t="n">
        <v>0</v>
      </c>
      <c r="AB116" s="6">
        <f>SUM(D116:AA116)</f>
        <v/>
      </c>
      <c r="AC116" s="3" t="inlineStr"/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>
        <f>SUM(AD116:BA116)</f>
        <v/>
      </c>
    </row>
    <row r="117">
      <c r="A117" t="inlineStr">
        <is>
          <t>DC-10-1</t>
        </is>
      </c>
      <c r="B117" t="inlineStr">
        <is>
          <t>DSC Manual</t>
        </is>
      </c>
      <c r="C117" s="5" t="n">
        <v>46095</v>
      </c>
      <c r="D117" s="6" t="n">
        <v>0</v>
      </c>
      <c r="E117" s="6" t="n">
        <v>0</v>
      </c>
      <c r="F117" s="6" t="n">
        <v>0</v>
      </c>
      <c r="G117" s="6" t="n">
        <v>0</v>
      </c>
      <c r="H117" s="6" t="n">
        <v>0</v>
      </c>
      <c r="I117" s="6" t="n">
        <v>0</v>
      </c>
      <c r="J117" s="6" t="n">
        <v>0</v>
      </c>
      <c r="K117" s="6" t="n">
        <v>0</v>
      </c>
      <c r="L117" s="6" t="n">
        <v>0</v>
      </c>
      <c r="M117" s="6" t="n">
        <v>0</v>
      </c>
      <c r="N117" s="6" t="n">
        <v>0</v>
      </c>
      <c r="O117" s="6" t="n">
        <v>0</v>
      </c>
      <c r="P117" s="6" t="n">
        <v>0</v>
      </c>
      <c r="Q117" s="6" t="n">
        <v>0</v>
      </c>
      <c r="R117" s="6" t="n">
        <v>0</v>
      </c>
      <c r="S117" s="6" t="n">
        <v>0</v>
      </c>
      <c r="T117" s="6" t="n">
        <v>0</v>
      </c>
      <c r="U117" s="6" t="n">
        <v>0</v>
      </c>
      <c r="V117" s="6" t="n">
        <v>0</v>
      </c>
      <c r="W117" s="6" t="n">
        <v>0</v>
      </c>
      <c r="X117" s="6" t="n">
        <v>0</v>
      </c>
      <c r="Y117" s="6" t="n">
        <v>0</v>
      </c>
      <c r="Z117" s="6" t="n">
        <v>0</v>
      </c>
      <c r="AA117" s="6" t="n">
        <v>0</v>
      </c>
      <c r="AB117" s="6">
        <f>SUM(D117:AA117)</f>
        <v/>
      </c>
      <c r="AC117" s="3" t="inlineStr"/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7" t="n">
        <v>0</v>
      </c>
      <c r="BA117" s="7" t="n">
        <v>0</v>
      </c>
      <c r="BB117" s="7">
        <f>SUM(AD117:BA117)</f>
        <v/>
      </c>
    </row>
    <row r="118">
      <c r="A118" t="inlineStr">
        <is>
          <t>DC-10-1</t>
        </is>
      </c>
      <c r="B118" t="inlineStr">
        <is>
          <t>DSC Manual</t>
        </is>
      </c>
      <c r="C118" s="5" t="n">
        <v>46096</v>
      </c>
      <c r="D118" s="6" t="n">
        <v>0</v>
      </c>
      <c r="E118" s="6" t="n">
        <v>0</v>
      </c>
      <c r="F118" s="6" t="n">
        <v>0</v>
      </c>
      <c r="G118" s="6" t="n">
        <v>0</v>
      </c>
      <c r="H118" s="6" t="n">
        <v>0</v>
      </c>
      <c r="I118" s="6" t="n">
        <v>0</v>
      </c>
      <c r="J118" s="6" t="n">
        <v>0</v>
      </c>
      <c r="K118" s="6" t="n">
        <v>0</v>
      </c>
      <c r="L118" s="6" t="n">
        <v>0</v>
      </c>
      <c r="M118" s="6" t="n">
        <v>0</v>
      </c>
      <c r="N118" s="6" t="n">
        <v>0</v>
      </c>
      <c r="O118" s="6" t="n">
        <v>0</v>
      </c>
      <c r="P118" s="6" t="n">
        <v>0</v>
      </c>
      <c r="Q118" s="6" t="n">
        <v>0</v>
      </c>
      <c r="R118" s="6" t="n">
        <v>0</v>
      </c>
      <c r="S118" s="6" t="n">
        <v>0</v>
      </c>
      <c r="T118" s="6" t="n">
        <v>0</v>
      </c>
      <c r="U118" s="6" t="n">
        <v>0</v>
      </c>
      <c r="V118" s="6" t="n">
        <v>0</v>
      </c>
      <c r="W118" s="6" t="n">
        <v>0</v>
      </c>
      <c r="X118" s="6" t="n">
        <v>0</v>
      </c>
      <c r="Y118" s="6" t="n">
        <v>0</v>
      </c>
      <c r="Z118" s="6" t="n">
        <v>0</v>
      </c>
      <c r="AA118" s="6" t="n">
        <v>0</v>
      </c>
      <c r="AB118" s="6">
        <f>SUM(D118:AA118)</f>
        <v/>
      </c>
      <c r="AC118" s="3" t="inlineStr"/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>
        <f>SUM(AD118:BA118)</f>
        <v/>
      </c>
    </row>
    <row r="119">
      <c r="A119" t="inlineStr">
        <is>
          <t>DC-10-1</t>
        </is>
      </c>
      <c r="B119" t="inlineStr">
        <is>
          <t>DSC Manual</t>
        </is>
      </c>
      <c r="C119" s="5" t="n">
        <v>46097</v>
      </c>
      <c r="D119" s="6" t="n">
        <v>0</v>
      </c>
      <c r="E119" s="6" t="n">
        <v>0</v>
      </c>
      <c r="F119" s="6" t="n">
        <v>0</v>
      </c>
      <c r="G119" s="6" t="n">
        <v>0</v>
      </c>
      <c r="H119" s="6" t="n">
        <v>0</v>
      </c>
      <c r="I119" s="6" t="n">
        <v>0</v>
      </c>
      <c r="J119" s="6" t="n">
        <v>0</v>
      </c>
      <c r="K119" s="6" t="n">
        <v>0</v>
      </c>
      <c r="L119" s="6" t="n">
        <v>0</v>
      </c>
      <c r="M119" s="6" t="n">
        <v>0</v>
      </c>
      <c r="N119" s="6" t="n">
        <v>0</v>
      </c>
      <c r="O119" s="6" t="n">
        <v>0</v>
      </c>
      <c r="P119" s="6" t="n">
        <v>0</v>
      </c>
      <c r="Q119" s="6" t="n">
        <v>0</v>
      </c>
      <c r="R119" s="6" t="n">
        <v>0</v>
      </c>
      <c r="S119" s="6" t="n">
        <v>0</v>
      </c>
      <c r="T119" s="6" t="n">
        <v>0</v>
      </c>
      <c r="U119" s="6" t="n">
        <v>0</v>
      </c>
      <c r="V119" s="6" t="n">
        <v>0</v>
      </c>
      <c r="W119" s="6" t="n">
        <v>0</v>
      </c>
      <c r="X119" s="6" t="n">
        <v>0</v>
      </c>
      <c r="Y119" s="6" t="n">
        <v>0</v>
      </c>
      <c r="Z119" s="6" t="n">
        <v>0</v>
      </c>
      <c r="AA119" s="6" t="n">
        <v>0</v>
      </c>
      <c r="AB119" s="6">
        <f>SUM(D119:AA119)</f>
        <v/>
      </c>
      <c r="AC119" s="3" t="inlineStr"/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n">
        <v>0</v>
      </c>
      <c r="AW119" s="7" t="n">
        <v>0</v>
      </c>
      <c r="AX119" s="7" t="n">
        <v>0</v>
      </c>
      <c r="AY119" s="7" t="n">
        <v>0</v>
      </c>
      <c r="AZ119" s="7" t="n">
        <v>0</v>
      </c>
      <c r="BA119" s="7" t="n">
        <v>0</v>
      </c>
      <c r="BB119" s="7">
        <f>SUM(AD119:BA119)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B1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Layout</t>
        </is>
      </c>
      <c r="B1" s="1" t="inlineStr">
        <is>
          <t>Layout Type</t>
        </is>
      </c>
      <c r="C1" s="1" t="inlineStr">
        <is>
          <t>Date</t>
        </is>
      </c>
      <c r="D1" s="2" t="inlineStr">
        <is>
          <t>Act Vol 12 AM</t>
        </is>
      </c>
      <c r="E1" s="2" t="inlineStr">
        <is>
          <t>Act Vol 1 AM</t>
        </is>
      </c>
      <c r="F1" s="2" t="inlineStr">
        <is>
          <t>Act Vol 2 AM</t>
        </is>
      </c>
      <c r="G1" s="2" t="inlineStr">
        <is>
          <t>Act Vol 3 AM</t>
        </is>
      </c>
      <c r="H1" s="2" t="inlineStr">
        <is>
          <t>Act Vol 4 AM</t>
        </is>
      </c>
      <c r="I1" s="2" t="inlineStr">
        <is>
          <t>Act Vol 5 AM</t>
        </is>
      </c>
      <c r="J1" s="2" t="inlineStr">
        <is>
          <t>Act Vol 6 AM</t>
        </is>
      </c>
      <c r="K1" s="2" t="inlineStr">
        <is>
          <t>Act Vol 7 AM</t>
        </is>
      </c>
      <c r="L1" s="2" t="inlineStr">
        <is>
          <t>Act Vol 8 AM</t>
        </is>
      </c>
      <c r="M1" s="2" t="inlineStr">
        <is>
          <t>Act Vol 9 AM</t>
        </is>
      </c>
      <c r="N1" s="2" t="inlineStr">
        <is>
          <t>Act Vol 10 AM</t>
        </is>
      </c>
      <c r="O1" s="2" t="inlineStr">
        <is>
          <t>Act Vol 11 AM</t>
        </is>
      </c>
      <c r="P1" s="2" t="inlineStr">
        <is>
          <t>Act Vol 12 PM</t>
        </is>
      </c>
      <c r="Q1" s="2" t="inlineStr">
        <is>
          <t>Act Vol 1 PM</t>
        </is>
      </c>
      <c r="R1" s="2" t="inlineStr">
        <is>
          <t>Act Vol 2 PM</t>
        </is>
      </c>
      <c r="S1" s="2" t="inlineStr">
        <is>
          <t>Act Vol 3 PM</t>
        </is>
      </c>
      <c r="T1" s="2" t="inlineStr">
        <is>
          <t>Act Vol 4 PM</t>
        </is>
      </c>
      <c r="U1" s="2" t="inlineStr">
        <is>
          <t>Act Vol 5 PM</t>
        </is>
      </c>
      <c r="V1" s="2" t="inlineStr">
        <is>
          <t>Act Vol 6 PM</t>
        </is>
      </c>
      <c r="W1" s="2" t="inlineStr">
        <is>
          <t>Act Vol 7 PM</t>
        </is>
      </c>
      <c r="X1" s="2" t="inlineStr">
        <is>
          <t>Act Vol 8 PM</t>
        </is>
      </c>
      <c r="Y1" s="2" t="inlineStr">
        <is>
          <t>Act Vol 9 PM</t>
        </is>
      </c>
      <c r="Z1" s="2" t="inlineStr">
        <is>
          <t>Act Vol 10 PM</t>
        </is>
      </c>
      <c r="AA1" s="2" t="inlineStr">
        <is>
          <t>Act Vol 11 PM</t>
        </is>
      </c>
      <c r="AB1" s="2" t="inlineStr">
        <is>
          <t>Act Vol Total</t>
        </is>
      </c>
      <c r="AC1" s="3" t="inlineStr"/>
      <c r="AD1" s="4" t="inlineStr">
        <is>
          <t>MH 12 AM</t>
        </is>
      </c>
      <c r="AE1" s="4" t="inlineStr">
        <is>
          <t>MH 1 AM</t>
        </is>
      </c>
      <c r="AF1" s="4" t="inlineStr">
        <is>
          <t>MH 2 AM</t>
        </is>
      </c>
      <c r="AG1" s="4" t="inlineStr">
        <is>
          <t>MH 3 AM</t>
        </is>
      </c>
      <c r="AH1" s="4" t="inlineStr">
        <is>
          <t>MH 4 AM</t>
        </is>
      </c>
      <c r="AI1" s="4" t="inlineStr">
        <is>
          <t>MH 5 AM</t>
        </is>
      </c>
      <c r="AJ1" s="4" t="inlineStr">
        <is>
          <t>MH 6 AM</t>
        </is>
      </c>
      <c r="AK1" s="4" t="inlineStr">
        <is>
          <t>MH 7 AM</t>
        </is>
      </c>
      <c r="AL1" s="4" t="inlineStr">
        <is>
          <t>MH 8 AM</t>
        </is>
      </c>
      <c r="AM1" s="4" t="inlineStr">
        <is>
          <t>MH 9 AM</t>
        </is>
      </c>
      <c r="AN1" s="4" t="inlineStr">
        <is>
          <t>MH 10 AM</t>
        </is>
      </c>
      <c r="AO1" s="4" t="inlineStr">
        <is>
          <t>MH 11 AM</t>
        </is>
      </c>
      <c r="AP1" s="4" t="inlineStr">
        <is>
          <t>MH 12 PM</t>
        </is>
      </c>
      <c r="AQ1" s="4" t="inlineStr">
        <is>
          <t>MH 1 PM</t>
        </is>
      </c>
      <c r="AR1" s="4" t="inlineStr">
        <is>
          <t>MH 2 PM</t>
        </is>
      </c>
      <c r="AS1" s="4" t="inlineStr">
        <is>
          <t>MH 3 PM</t>
        </is>
      </c>
      <c r="AT1" s="4" t="inlineStr">
        <is>
          <t>MH 4 PM</t>
        </is>
      </c>
      <c r="AU1" s="4" t="inlineStr">
        <is>
          <t>MH 5 PM</t>
        </is>
      </c>
      <c r="AV1" s="4" t="inlineStr">
        <is>
          <t>MH 6 PM</t>
        </is>
      </c>
      <c r="AW1" s="4" t="inlineStr">
        <is>
          <t>MH 7 PM</t>
        </is>
      </c>
      <c r="AX1" s="4" t="inlineStr">
        <is>
          <t>MH 8 PM</t>
        </is>
      </c>
      <c r="AY1" s="4" t="inlineStr">
        <is>
          <t>MH 9 PM</t>
        </is>
      </c>
      <c r="AZ1" s="4" t="inlineStr">
        <is>
          <t>MH 10 PM</t>
        </is>
      </c>
      <c r="BA1" s="4" t="inlineStr">
        <is>
          <t>MH 11 PM</t>
        </is>
      </c>
      <c r="BB1" s="4" t="inlineStr">
        <is>
          <t>MH Total</t>
        </is>
      </c>
    </row>
    <row r="2">
      <c r="A2" t="inlineStr">
        <is>
          <t>AMD-AIR-NEW-SSC</t>
        </is>
      </c>
      <c r="B2" t="inlineStr">
        <is>
          <t>Forward Regular OSC</t>
        </is>
      </c>
      <c r="C2" s="5" t="n">
        <v>46093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v>0</v>
      </c>
      <c r="N2" s="6" t="n">
        <v>0</v>
      </c>
      <c r="O2" s="6" t="n">
        <v>0</v>
      </c>
      <c r="P2" s="6" t="n">
        <v>0</v>
      </c>
      <c r="Q2" s="6" t="n">
        <v>0</v>
      </c>
      <c r="R2" s="6" t="n">
        <v>0</v>
      </c>
      <c r="S2" s="6" t="n">
        <v>0</v>
      </c>
      <c r="T2" s="6" t="n">
        <v>0</v>
      </c>
      <c r="U2" s="6" t="n">
        <v>0</v>
      </c>
      <c r="V2" s="6" t="n">
        <v>0</v>
      </c>
      <c r="W2" s="6" t="n">
        <v>0</v>
      </c>
      <c r="X2" s="6" t="n">
        <v>0</v>
      </c>
      <c r="Y2" s="6" t="n">
        <v>0</v>
      </c>
      <c r="Z2" s="6" t="n">
        <v>0</v>
      </c>
      <c r="AA2" s="6" t="n">
        <v>0</v>
      </c>
      <c r="AB2" s="6">
        <f>SUM(D2:AA2)</f>
        <v/>
      </c>
      <c r="AC2" s="3" t="inlineStr"/>
      <c r="AD2" s="7" t="n">
        <v>0</v>
      </c>
      <c r="AE2" s="7" t="n">
        <v>0</v>
      </c>
      <c r="AF2" s="7" t="n">
        <v>0</v>
      </c>
      <c r="AG2" s="7" t="n">
        <v>0</v>
      </c>
      <c r="AH2" s="7" t="n">
        <v>0</v>
      </c>
      <c r="AI2" s="7" t="n">
        <v>0</v>
      </c>
      <c r="AJ2" s="7" t="n">
        <v>0</v>
      </c>
      <c r="AK2" s="7" t="n">
        <v>0</v>
      </c>
      <c r="AL2" s="7" t="n">
        <v>0</v>
      </c>
      <c r="AM2" s="7" t="n">
        <v>0</v>
      </c>
      <c r="AN2" s="7" t="n">
        <v>0</v>
      </c>
      <c r="AO2" s="7" t="n">
        <v>0</v>
      </c>
      <c r="AP2" s="7" t="n">
        <v>0</v>
      </c>
      <c r="AQ2" s="7" t="n">
        <v>0</v>
      </c>
      <c r="AR2" s="7" t="n">
        <v>0</v>
      </c>
      <c r="AS2" s="7" t="n">
        <v>0</v>
      </c>
      <c r="AT2" s="7" t="n">
        <v>0</v>
      </c>
      <c r="AU2" s="7" t="n">
        <v>0</v>
      </c>
      <c r="AV2" s="7" t="n">
        <v>0</v>
      </c>
      <c r="AW2" s="7" t="n">
        <v>0</v>
      </c>
      <c r="AX2" s="7" t="n">
        <v>0</v>
      </c>
      <c r="AY2" s="7" t="n">
        <v>0</v>
      </c>
      <c r="AZ2" s="7" t="n">
        <v>0</v>
      </c>
      <c r="BA2" s="7" t="n">
        <v>0</v>
      </c>
      <c r="BB2" s="7">
        <f>SUM(AD2:BA2)</f>
        <v/>
      </c>
    </row>
    <row r="3">
      <c r="A3" t="inlineStr">
        <is>
          <t>AMD-AIR-NEW-SSC</t>
        </is>
      </c>
      <c r="B3" t="inlineStr">
        <is>
          <t>Forward Regular OSC</t>
        </is>
      </c>
      <c r="C3" s="5" t="n">
        <v>46094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>
        <f>SUM(D3:AA3)</f>
        <v/>
      </c>
      <c r="AC3" s="3" t="inlineStr"/>
      <c r="AD3" s="7" t="n">
        <v>0</v>
      </c>
      <c r="AE3" s="7" t="n">
        <v>0</v>
      </c>
      <c r="AF3" s="7" t="n">
        <v>0</v>
      </c>
      <c r="AG3" s="7" t="n">
        <v>0</v>
      </c>
      <c r="AH3" s="7" t="n">
        <v>0</v>
      </c>
      <c r="AI3" s="7" t="n">
        <v>0</v>
      </c>
      <c r="AJ3" s="7" t="n">
        <v>0</v>
      </c>
      <c r="AK3" s="7" t="n">
        <v>0</v>
      </c>
      <c r="AL3" s="7" t="n">
        <v>0</v>
      </c>
      <c r="AM3" s="7" t="n">
        <v>0</v>
      </c>
      <c r="AN3" s="7" t="n">
        <v>0</v>
      </c>
      <c r="AO3" s="7" t="n">
        <v>0</v>
      </c>
      <c r="AP3" s="7" t="n">
        <v>0</v>
      </c>
      <c r="AQ3" s="7" t="n">
        <v>0</v>
      </c>
      <c r="AR3" s="7" t="n">
        <v>0</v>
      </c>
      <c r="AS3" s="7" t="n">
        <v>0</v>
      </c>
      <c r="AT3" s="7" t="n">
        <v>0</v>
      </c>
      <c r="AU3" s="7" t="n">
        <v>0</v>
      </c>
      <c r="AV3" s="7" t="n">
        <v>0</v>
      </c>
      <c r="AW3" s="7" t="n">
        <v>0</v>
      </c>
      <c r="AX3" s="7" t="n">
        <v>0</v>
      </c>
      <c r="AY3" s="7" t="n">
        <v>0</v>
      </c>
      <c r="AZ3" s="7" t="n">
        <v>0</v>
      </c>
      <c r="BA3" s="7" t="n">
        <v>0</v>
      </c>
      <c r="BB3" s="7">
        <f>SUM(AD3:BA3)</f>
        <v/>
      </c>
    </row>
    <row r="4">
      <c r="A4" t="inlineStr">
        <is>
          <t>AMD-AIR-NEW-SSC</t>
        </is>
      </c>
      <c r="B4" t="inlineStr">
        <is>
          <t>Forward Regular OSC</t>
        </is>
      </c>
      <c r="C4" s="5" t="n">
        <v>46096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0</v>
      </c>
      <c r="R4" s="6" t="n">
        <v>0</v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0</v>
      </c>
      <c r="AB4" s="6">
        <f>SUM(D4:AA4)</f>
        <v/>
      </c>
      <c r="AC4" s="3" t="inlineStr"/>
      <c r="AD4" s="7" t="n">
        <v>0</v>
      </c>
      <c r="AE4" s="7" t="n">
        <v>0</v>
      </c>
      <c r="AF4" s="7" t="n">
        <v>0</v>
      </c>
      <c r="AG4" s="7" t="n">
        <v>0</v>
      </c>
      <c r="AH4" s="7" t="n">
        <v>0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0</v>
      </c>
      <c r="AP4" s="7" t="n">
        <v>0</v>
      </c>
      <c r="AQ4" s="7" t="n">
        <v>0</v>
      </c>
      <c r="AR4" s="7" t="n">
        <v>0</v>
      </c>
      <c r="AS4" s="7" t="n">
        <v>0</v>
      </c>
      <c r="AT4" s="7" t="n">
        <v>0</v>
      </c>
      <c r="AU4" s="7" t="n">
        <v>0</v>
      </c>
      <c r="AV4" s="7" t="n">
        <v>0</v>
      </c>
      <c r="AW4" s="7" t="n">
        <v>0</v>
      </c>
      <c r="AX4" s="7" t="n">
        <v>0</v>
      </c>
      <c r="AY4" s="7" t="n">
        <v>0</v>
      </c>
      <c r="AZ4" s="7" t="n">
        <v>0</v>
      </c>
      <c r="BA4" s="7" t="n">
        <v>0</v>
      </c>
      <c r="BB4" s="7">
        <f>SUM(AD4:BA4)</f>
        <v/>
      </c>
    </row>
    <row r="5">
      <c r="A5" t="inlineStr">
        <is>
          <t>AMD-AIR-NEW-SSC</t>
        </is>
      </c>
      <c r="B5" t="inlineStr">
        <is>
          <t>Forward Regular OSC</t>
        </is>
      </c>
      <c r="C5" s="5" t="n">
        <v>46097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>
        <f>SUM(D5:AA5)</f>
        <v/>
      </c>
      <c r="AC5" s="3" t="inlineStr"/>
      <c r="AD5" s="7" t="n">
        <v>0</v>
      </c>
      <c r="AE5" s="7" t="n">
        <v>0</v>
      </c>
      <c r="AF5" s="7" t="n">
        <v>0</v>
      </c>
      <c r="AG5" s="7" t="n">
        <v>0</v>
      </c>
      <c r="AH5" s="7" t="n">
        <v>0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0</v>
      </c>
      <c r="AP5" s="7" t="n">
        <v>0</v>
      </c>
      <c r="AQ5" s="7" t="n">
        <v>0</v>
      </c>
      <c r="AR5" s="7" t="n">
        <v>0</v>
      </c>
      <c r="AS5" s="7" t="n">
        <v>0</v>
      </c>
      <c r="AT5" s="7" t="n">
        <v>0</v>
      </c>
      <c r="AU5" s="7" t="n">
        <v>0</v>
      </c>
      <c r="AV5" s="7" t="n">
        <v>0</v>
      </c>
      <c r="AW5" s="7" t="n">
        <v>0</v>
      </c>
      <c r="AX5" s="7" t="n">
        <v>0</v>
      </c>
      <c r="AY5" s="7" t="n">
        <v>0</v>
      </c>
      <c r="AZ5" s="7" t="n">
        <v>0</v>
      </c>
      <c r="BA5" s="7" t="n">
        <v>0</v>
      </c>
      <c r="BB5" s="7">
        <f>SUM(AD5:BA5)</f>
        <v/>
      </c>
    </row>
    <row r="6">
      <c r="A6" t="inlineStr">
        <is>
          <t>AMD-AIR-NEW-SSC</t>
        </is>
      </c>
      <c r="B6" t="inlineStr">
        <is>
          <t>Forward Regular OSC</t>
        </is>
      </c>
      <c r="C6" s="5" t="n">
        <v>46100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>
        <f>SUM(D6:AA6)</f>
        <v/>
      </c>
      <c r="AC6" s="3" t="inlineStr"/>
      <c r="AD6" s="7" t="n">
        <v>0</v>
      </c>
      <c r="AE6" s="7" t="n">
        <v>0</v>
      </c>
      <c r="AF6" s="7" t="n">
        <v>0</v>
      </c>
      <c r="AG6" s="7" t="n">
        <v>0</v>
      </c>
      <c r="AH6" s="7" t="n">
        <v>0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0</v>
      </c>
      <c r="AN6" s="7" t="n">
        <v>0</v>
      </c>
      <c r="AO6" s="7" t="n">
        <v>0</v>
      </c>
      <c r="AP6" s="7" t="n">
        <v>0</v>
      </c>
      <c r="AQ6" s="7" t="n">
        <v>0</v>
      </c>
      <c r="AR6" s="7" t="n">
        <v>0</v>
      </c>
      <c r="AS6" s="7" t="n">
        <v>0</v>
      </c>
      <c r="AT6" s="7" t="n">
        <v>0</v>
      </c>
      <c r="AU6" s="7" t="n">
        <v>0</v>
      </c>
      <c r="AV6" s="7" t="n">
        <v>0</v>
      </c>
      <c r="AW6" s="7" t="n">
        <v>0</v>
      </c>
      <c r="AX6" s="7" t="n">
        <v>0</v>
      </c>
      <c r="AY6" s="7" t="n">
        <v>0</v>
      </c>
      <c r="AZ6" s="7" t="n">
        <v>0</v>
      </c>
      <c r="BA6" s="7" t="n">
        <v>0</v>
      </c>
      <c r="BB6" s="7">
        <f>SUM(AD6:BA6)</f>
        <v/>
      </c>
    </row>
    <row r="7">
      <c r="A7" t="inlineStr">
        <is>
          <t>AMD-AIR-NEW-SSC</t>
        </is>
      </c>
      <c r="B7" t="inlineStr">
        <is>
          <t>Forward Regular OSC</t>
        </is>
      </c>
      <c r="C7" s="5" t="n">
        <v>46101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>
        <f>SUM(D7:AA7)</f>
        <v/>
      </c>
      <c r="AC7" s="3" t="inlineStr"/>
      <c r="AD7" s="7" t="n">
        <v>0</v>
      </c>
      <c r="AE7" s="7" t="n">
        <v>0</v>
      </c>
      <c r="AF7" s="7" t="n">
        <v>0</v>
      </c>
      <c r="AG7" s="7" t="n">
        <v>0</v>
      </c>
      <c r="AH7" s="7" t="n">
        <v>0</v>
      </c>
      <c r="AI7" s="7" t="n">
        <v>0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0</v>
      </c>
      <c r="AP7" s="7" t="n">
        <v>0</v>
      </c>
      <c r="AQ7" s="7" t="n">
        <v>0</v>
      </c>
      <c r="AR7" s="7" t="n">
        <v>0</v>
      </c>
      <c r="AS7" s="7" t="n">
        <v>0</v>
      </c>
      <c r="AT7" s="7" t="n">
        <v>0</v>
      </c>
      <c r="AU7" s="7" t="n">
        <v>0</v>
      </c>
      <c r="AV7" s="7" t="n">
        <v>0</v>
      </c>
      <c r="AW7" s="7" t="n">
        <v>0</v>
      </c>
      <c r="AX7" s="7" t="n">
        <v>0</v>
      </c>
      <c r="AY7" s="7" t="n">
        <v>0</v>
      </c>
      <c r="AZ7" s="7" t="n">
        <v>0</v>
      </c>
      <c r="BA7" s="7" t="n">
        <v>0</v>
      </c>
      <c r="BB7" s="7">
        <f>SUM(AD7:BA7)</f>
        <v/>
      </c>
    </row>
    <row r="8">
      <c r="A8" t="inlineStr">
        <is>
          <t>AMD-AIR-NEW-SSC</t>
        </is>
      </c>
      <c r="B8" t="inlineStr">
        <is>
          <t>Forward Regular OSC</t>
        </is>
      </c>
      <c r="C8" s="5" t="n">
        <v>46102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>
        <f>SUM(D8:AA8)</f>
        <v/>
      </c>
      <c r="AC8" s="3" t="inlineStr"/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0</v>
      </c>
      <c r="AP8" s="7" t="n">
        <v>0</v>
      </c>
      <c r="AQ8" s="7" t="n">
        <v>0</v>
      </c>
      <c r="AR8" s="7" t="n">
        <v>0</v>
      </c>
      <c r="AS8" s="7" t="n">
        <v>0</v>
      </c>
      <c r="AT8" s="7" t="n">
        <v>0</v>
      </c>
      <c r="AU8" s="7" t="n">
        <v>0</v>
      </c>
      <c r="AV8" s="7" t="n">
        <v>0</v>
      </c>
      <c r="AW8" s="7" t="n">
        <v>0</v>
      </c>
      <c r="AX8" s="7" t="n">
        <v>0</v>
      </c>
      <c r="AY8" s="7" t="n">
        <v>0</v>
      </c>
      <c r="AZ8" s="7" t="n">
        <v>0</v>
      </c>
      <c r="BA8" s="7" t="n">
        <v>0</v>
      </c>
      <c r="BB8" s="7">
        <f>SUM(AD8:BA8)</f>
        <v/>
      </c>
    </row>
    <row r="9">
      <c r="A9" t="inlineStr">
        <is>
          <t>AMD-AIR-NEW-SSC</t>
        </is>
      </c>
      <c r="B9" t="inlineStr">
        <is>
          <t>Forward Regular OSC</t>
        </is>
      </c>
      <c r="C9" s="5" t="n">
        <v>46103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>
        <f>SUM(D9:AA9)</f>
        <v/>
      </c>
      <c r="AC9" s="3" t="inlineStr"/>
      <c r="AD9" s="7" t="n">
        <v>0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0</v>
      </c>
      <c r="AS9" s="7" t="n">
        <v>0</v>
      </c>
      <c r="AT9" s="7" t="n">
        <v>0</v>
      </c>
      <c r="AU9" s="7" t="n">
        <v>0</v>
      </c>
      <c r="AV9" s="7" t="n">
        <v>0</v>
      </c>
      <c r="AW9" s="7" t="n">
        <v>0</v>
      </c>
      <c r="AX9" s="7" t="n">
        <v>0</v>
      </c>
      <c r="AY9" s="7" t="n">
        <v>0</v>
      </c>
      <c r="AZ9" s="7" t="n">
        <v>0</v>
      </c>
      <c r="BA9" s="7" t="n">
        <v>0</v>
      </c>
      <c r="BB9" s="7">
        <f>SUM(AD9:BA9)</f>
        <v/>
      </c>
    </row>
    <row r="10">
      <c r="A10" t="inlineStr">
        <is>
          <t>AMD-AIR-NEW-SSC</t>
        </is>
      </c>
      <c r="B10" t="inlineStr">
        <is>
          <t>Forward Regular OSC</t>
        </is>
      </c>
      <c r="C10" s="5" t="n">
        <v>46104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>
        <f>SUM(D10:AA10)</f>
        <v/>
      </c>
      <c r="AC10" s="3" t="inlineStr"/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0</v>
      </c>
      <c r="AP10" s="7" t="n">
        <v>0</v>
      </c>
      <c r="AQ10" s="7" t="n">
        <v>0</v>
      </c>
      <c r="AR10" s="7" t="n">
        <v>0</v>
      </c>
      <c r="AS10" s="7" t="n">
        <v>0</v>
      </c>
      <c r="AT10" s="7" t="n">
        <v>0</v>
      </c>
      <c r="AU10" s="7" t="n">
        <v>0</v>
      </c>
      <c r="AV10" s="7" t="n">
        <v>0</v>
      </c>
      <c r="AW10" s="7" t="n">
        <v>0</v>
      </c>
      <c r="AX10" s="7" t="n">
        <v>0</v>
      </c>
      <c r="AY10" s="7" t="n">
        <v>0</v>
      </c>
      <c r="AZ10" s="7" t="n">
        <v>0</v>
      </c>
      <c r="BA10" s="7" t="n">
        <v>0</v>
      </c>
      <c r="BB10" s="7">
        <f>SUM(AD10:BA10)</f>
        <v/>
      </c>
    </row>
    <row r="11">
      <c r="A11" t="inlineStr">
        <is>
          <t>AMD-EXPR</t>
        </is>
      </c>
      <c r="B11" t="inlineStr">
        <is>
          <t>DSC Manual</t>
        </is>
      </c>
      <c r="C11" s="5" t="n">
        <v>46089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>
        <f>SUM(D11:AA11)</f>
        <v/>
      </c>
      <c r="AC11" s="3" t="inlineStr"/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0</v>
      </c>
      <c r="AP11" s="7" t="n">
        <v>0</v>
      </c>
      <c r="AQ11" s="7" t="n">
        <v>0</v>
      </c>
      <c r="AR11" s="7" t="n">
        <v>0</v>
      </c>
      <c r="AS11" s="7" t="n">
        <v>0</v>
      </c>
      <c r="AT11" s="7" t="n">
        <v>0</v>
      </c>
      <c r="AU11" s="7" t="n">
        <v>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0</v>
      </c>
      <c r="BA11" s="7" t="n">
        <v>0</v>
      </c>
      <c r="BB11" s="7">
        <f>SUM(AD11:BA11)</f>
        <v/>
      </c>
    </row>
    <row r="12">
      <c r="A12" t="inlineStr">
        <is>
          <t>AMD-EXPR</t>
        </is>
      </c>
      <c r="B12" t="inlineStr">
        <is>
          <t>DSC Manual</t>
        </is>
      </c>
      <c r="C12" s="5" t="n">
        <v>46090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>
        <f>SUM(D12:AA12)</f>
        <v/>
      </c>
      <c r="AC12" s="3" t="inlineStr"/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0</v>
      </c>
      <c r="AT12" s="7" t="n">
        <v>0</v>
      </c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0</v>
      </c>
      <c r="BA12" s="7" t="n">
        <v>0</v>
      </c>
      <c r="BB12" s="7">
        <f>SUM(AD12:BA12)</f>
        <v/>
      </c>
    </row>
    <row r="13">
      <c r="A13" t="inlineStr">
        <is>
          <t>AMD-EXPR</t>
        </is>
      </c>
      <c r="B13" t="inlineStr">
        <is>
          <t>DSC Manual</t>
        </is>
      </c>
      <c r="C13" s="5" t="n">
        <v>46091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>
        <f>SUM(D13:AA13)</f>
        <v/>
      </c>
      <c r="AC13" s="3" t="inlineStr"/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0</v>
      </c>
      <c r="AP13" s="7" t="n">
        <v>0</v>
      </c>
      <c r="AQ13" s="7" t="n">
        <v>0</v>
      </c>
      <c r="AR13" s="7" t="n">
        <v>0</v>
      </c>
      <c r="AS13" s="7" t="n">
        <v>0</v>
      </c>
      <c r="AT13" s="7" t="n">
        <v>0</v>
      </c>
      <c r="AU13" s="7" t="n">
        <v>0</v>
      </c>
      <c r="AV13" s="7" t="n">
        <v>0</v>
      </c>
      <c r="AW13" s="7" t="n">
        <v>0</v>
      </c>
      <c r="AX13" s="7" t="n">
        <v>0</v>
      </c>
      <c r="AY13" s="7" t="n">
        <v>0</v>
      </c>
      <c r="AZ13" s="7" t="n">
        <v>0</v>
      </c>
      <c r="BA13" s="7" t="n">
        <v>0</v>
      </c>
      <c r="BB13" s="7">
        <f>SUM(AD13:BA13)</f>
        <v/>
      </c>
    </row>
    <row r="14">
      <c r="A14" t="inlineStr">
        <is>
          <t>AMD-EXPR</t>
        </is>
      </c>
      <c r="B14" t="inlineStr">
        <is>
          <t>DSC Manual</t>
        </is>
      </c>
      <c r="C14" s="5" t="n">
        <v>46092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>
        <f>SUM(D14:AA14)</f>
        <v/>
      </c>
      <c r="AC14" s="3" t="inlineStr"/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0</v>
      </c>
      <c r="AP14" s="7" t="n">
        <v>0</v>
      </c>
      <c r="AQ14" s="7" t="n">
        <v>0</v>
      </c>
      <c r="AR14" s="7" t="n">
        <v>0</v>
      </c>
      <c r="AS14" s="7" t="n">
        <v>0</v>
      </c>
      <c r="AT14" s="7" t="n">
        <v>0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0</v>
      </c>
      <c r="BA14" s="7" t="n">
        <v>0</v>
      </c>
      <c r="BB14" s="7">
        <f>SUM(AD14:BA14)</f>
        <v/>
      </c>
    </row>
    <row r="15">
      <c r="A15" t="inlineStr">
        <is>
          <t>AMD-EXPR</t>
        </is>
      </c>
      <c r="B15" t="inlineStr">
        <is>
          <t>DSC Manual</t>
        </is>
      </c>
      <c r="C15" s="5" t="n">
        <v>46093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  <c r="AB15" s="6">
        <f>SUM(D15:AA15)</f>
        <v/>
      </c>
      <c r="AC15" s="3" t="inlineStr"/>
      <c r="AD15" s="7" t="n">
        <v>0</v>
      </c>
      <c r="AE15" s="7" t="n">
        <v>0</v>
      </c>
      <c r="AF15" s="7" t="n">
        <v>0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0</v>
      </c>
      <c r="AL15" s="7" t="n">
        <v>0</v>
      </c>
      <c r="AM15" s="7" t="n">
        <v>0</v>
      </c>
      <c r="AN15" s="7" t="n">
        <v>0</v>
      </c>
      <c r="AO15" s="7" t="n">
        <v>0</v>
      </c>
      <c r="AP15" s="7" t="n">
        <v>0</v>
      </c>
      <c r="AQ15" s="7" t="n">
        <v>0</v>
      </c>
      <c r="AR15" s="7" t="n">
        <v>0</v>
      </c>
      <c r="AS15" s="7" t="n">
        <v>0</v>
      </c>
      <c r="AT15" s="7" t="n">
        <v>0</v>
      </c>
      <c r="AU15" s="7" t="n">
        <v>0</v>
      </c>
      <c r="AV15" s="7" t="n">
        <v>0</v>
      </c>
      <c r="AW15" s="7" t="n">
        <v>0</v>
      </c>
      <c r="AX15" s="7" t="n">
        <v>0</v>
      </c>
      <c r="AY15" s="7" t="n">
        <v>0</v>
      </c>
      <c r="AZ15" s="7" t="n">
        <v>0</v>
      </c>
      <c r="BA15" s="7" t="n">
        <v>0</v>
      </c>
      <c r="BB15" s="7">
        <f>SUM(AD15:BA15)</f>
        <v/>
      </c>
    </row>
    <row r="16">
      <c r="A16" t="inlineStr">
        <is>
          <t>AMD-EXPR</t>
        </is>
      </c>
      <c r="B16" t="inlineStr">
        <is>
          <t>DSC Manual</t>
        </is>
      </c>
      <c r="C16" s="5" t="n">
        <v>46094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  <c r="AB16" s="6">
        <f>SUM(D16:AA16)</f>
        <v/>
      </c>
      <c r="AC16" s="3" t="inlineStr"/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0</v>
      </c>
      <c r="AS16" s="7" t="n">
        <v>0</v>
      </c>
      <c r="AT16" s="7" t="n">
        <v>0</v>
      </c>
      <c r="AU16" s="7" t="n">
        <v>0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0</v>
      </c>
      <c r="BA16" s="7" t="n">
        <v>0</v>
      </c>
      <c r="BB16" s="7">
        <f>SUM(AD16:BA16)</f>
        <v/>
      </c>
    </row>
    <row r="17">
      <c r="A17" t="inlineStr">
        <is>
          <t>AMD-EXPR</t>
        </is>
      </c>
      <c r="B17" t="inlineStr">
        <is>
          <t>DSC Manual</t>
        </is>
      </c>
      <c r="C17" s="5" t="n">
        <v>46095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6">
        <f>SUM(D17:AA17)</f>
        <v/>
      </c>
      <c r="AC17" s="3" t="inlineStr"/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0</v>
      </c>
      <c r="AI17" s="7" t="n">
        <v>0</v>
      </c>
      <c r="AJ17" s="7" t="n">
        <v>0</v>
      </c>
      <c r="AK17" s="7" t="n">
        <v>0</v>
      </c>
      <c r="AL17" s="7" t="n">
        <v>0</v>
      </c>
      <c r="AM17" s="7" t="n">
        <v>0</v>
      </c>
      <c r="AN17" s="7" t="n">
        <v>0</v>
      </c>
      <c r="AO17" s="7" t="n">
        <v>0</v>
      </c>
      <c r="AP17" s="7" t="n">
        <v>0</v>
      </c>
      <c r="AQ17" s="7" t="n">
        <v>0</v>
      </c>
      <c r="AR17" s="7" t="n">
        <v>0</v>
      </c>
      <c r="AS17" s="7" t="n">
        <v>0</v>
      </c>
      <c r="AT17" s="7" t="n">
        <v>0</v>
      </c>
      <c r="AU17" s="7" t="n">
        <v>0</v>
      </c>
      <c r="AV17" s="7" t="n">
        <v>0</v>
      </c>
      <c r="AW17" s="7" t="n">
        <v>0</v>
      </c>
      <c r="AX17" s="7" t="n">
        <v>0</v>
      </c>
      <c r="AY17" s="7" t="n">
        <v>0</v>
      </c>
      <c r="AZ17" s="7" t="n">
        <v>0</v>
      </c>
      <c r="BA17" s="7" t="n">
        <v>0</v>
      </c>
      <c r="BB17" s="7">
        <f>SUM(AD17:BA17)</f>
        <v/>
      </c>
    </row>
    <row r="18">
      <c r="A18" t="inlineStr">
        <is>
          <t>AMD-EXPR</t>
        </is>
      </c>
      <c r="B18" t="inlineStr">
        <is>
          <t>DSC Manual</t>
        </is>
      </c>
      <c r="C18" s="5" t="n">
        <v>46096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  <c r="AB18" s="6">
        <f>SUM(D18:AA18)</f>
        <v/>
      </c>
      <c r="AC18" s="3" t="inlineStr"/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0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0</v>
      </c>
      <c r="BA18" s="7" t="n">
        <v>0</v>
      </c>
      <c r="BB18" s="7">
        <f>SUM(AD18:BA18)</f>
        <v/>
      </c>
    </row>
    <row r="19">
      <c r="A19" t="inlineStr">
        <is>
          <t>AMD-EXPR</t>
        </is>
      </c>
      <c r="B19" t="inlineStr">
        <is>
          <t>DSC Manual</t>
        </is>
      </c>
      <c r="C19" s="5" t="n">
        <v>46097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>
        <f>SUM(D19:AA19)</f>
        <v/>
      </c>
      <c r="AC19" s="3" t="inlineStr"/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0</v>
      </c>
      <c r="AR19" s="7" t="n">
        <v>0</v>
      </c>
      <c r="AS19" s="7" t="n">
        <v>0</v>
      </c>
      <c r="AT19" s="7" t="n">
        <v>0</v>
      </c>
      <c r="AU19" s="7" t="n">
        <v>0</v>
      </c>
      <c r="AV19" s="7" t="n">
        <v>0</v>
      </c>
      <c r="AW19" s="7" t="n">
        <v>0</v>
      </c>
      <c r="AX19" s="7" t="n">
        <v>0</v>
      </c>
      <c r="AY19" s="7" t="n">
        <v>0</v>
      </c>
      <c r="AZ19" s="7" t="n">
        <v>0</v>
      </c>
      <c r="BA19" s="7" t="n">
        <v>0</v>
      </c>
      <c r="BB19" s="7">
        <f>SUM(AD19:BA19)</f>
        <v/>
      </c>
    </row>
    <row r="20">
      <c r="A20" t="inlineStr">
        <is>
          <t>AMD-EXPR</t>
        </is>
      </c>
      <c r="B20" t="inlineStr">
        <is>
          <t>DSC Manual</t>
        </is>
      </c>
      <c r="C20" s="5" t="n">
        <v>46099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>
        <f>SUM(D20:AA20)</f>
        <v/>
      </c>
      <c r="AC20" s="3" t="inlineStr"/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0</v>
      </c>
      <c r="BA20" s="7" t="n">
        <v>0</v>
      </c>
      <c r="BB20" s="7">
        <f>SUM(AD20:BA20)</f>
        <v/>
      </c>
    </row>
    <row r="21">
      <c r="A21" t="inlineStr">
        <is>
          <t>AMD-EXPR</t>
        </is>
      </c>
      <c r="B21" t="inlineStr">
        <is>
          <t>DSC Manual</t>
        </is>
      </c>
      <c r="C21" s="5" t="n">
        <v>46100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>
        <f>SUM(D21:AA21)</f>
        <v/>
      </c>
      <c r="AC21" s="3" t="inlineStr"/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0</v>
      </c>
      <c r="AS21" s="7" t="n">
        <v>0</v>
      </c>
      <c r="AT21" s="7" t="n">
        <v>0</v>
      </c>
      <c r="AU21" s="7" t="n">
        <v>0</v>
      </c>
      <c r="AV21" s="7" t="n">
        <v>0</v>
      </c>
      <c r="AW21" s="7" t="n">
        <v>0</v>
      </c>
      <c r="AX21" s="7" t="n">
        <v>0</v>
      </c>
      <c r="AY21" s="7" t="n">
        <v>0</v>
      </c>
      <c r="AZ21" s="7" t="n">
        <v>0</v>
      </c>
      <c r="BA21" s="7" t="n">
        <v>0</v>
      </c>
      <c r="BB21" s="7">
        <f>SUM(AD21:BA21)</f>
        <v/>
      </c>
    </row>
    <row r="22">
      <c r="A22" t="inlineStr">
        <is>
          <t>AMD-EXPR</t>
        </is>
      </c>
      <c r="B22" t="inlineStr">
        <is>
          <t>DSC Manual</t>
        </is>
      </c>
      <c r="C22" s="5" t="n">
        <v>46102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>
        <f>SUM(D22:AA22)</f>
        <v/>
      </c>
      <c r="AC22" s="3" t="inlineStr"/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7" t="n">
        <v>0</v>
      </c>
      <c r="BB22" s="7">
        <f>SUM(AD22:BA22)</f>
        <v/>
      </c>
    </row>
    <row r="23">
      <c r="A23" t="inlineStr">
        <is>
          <t>AMD-EXPR</t>
        </is>
      </c>
      <c r="B23" t="inlineStr">
        <is>
          <t>DSC Manual</t>
        </is>
      </c>
      <c r="C23" s="5" t="n">
        <v>46103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>
        <f>SUM(D23:AA23)</f>
        <v/>
      </c>
      <c r="AC23" s="3" t="inlineStr"/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0</v>
      </c>
      <c r="BA23" s="7" t="n">
        <v>0</v>
      </c>
      <c r="BB23" s="7">
        <f>SUM(AD23:BA23)</f>
        <v/>
      </c>
    </row>
    <row r="24">
      <c r="A24" t="inlineStr">
        <is>
          <t>AMD-EXPR</t>
        </is>
      </c>
      <c r="B24" t="inlineStr">
        <is>
          <t>DSC Manual</t>
        </is>
      </c>
      <c r="C24" s="5" t="n">
        <v>46104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>
        <f>SUM(D24:AA24)</f>
        <v/>
      </c>
      <c r="AC24" s="3" t="inlineStr"/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0</v>
      </c>
      <c r="BA24" s="7" t="n">
        <v>0</v>
      </c>
      <c r="BB24" s="7">
        <f>SUM(AD24:BA24)</f>
        <v/>
      </c>
    </row>
    <row r="25">
      <c r="A25" t="inlineStr">
        <is>
          <t>AMD-EXPR</t>
        </is>
      </c>
      <c r="B25" t="inlineStr">
        <is>
          <t>DSC Manual</t>
        </is>
      </c>
      <c r="C25" s="5" t="n">
        <v>46105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>
        <f>SUM(D25:AA25)</f>
        <v/>
      </c>
      <c r="AC25" s="3" t="inlineStr"/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7" t="n">
        <v>0</v>
      </c>
      <c r="BB25" s="7">
        <f>SUM(AD25:BA25)</f>
        <v/>
      </c>
    </row>
    <row r="26">
      <c r="A26" t="inlineStr">
        <is>
          <t>AMD-FK-SSC</t>
        </is>
      </c>
      <c r="B26" t="inlineStr">
        <is>
          <t>Prime at Client side</t>
        </is>
      </c>
      <c r="C26" s="5" t="n">
        <v>46089</v>
      </c>
      <c r="D26" s="6">
        <f>Summary!D26</f>
        <v/>
      </c>
      <c r="E26" s="6">
        <f>Summary!E26</f>
        <v/>
      </c>
      <c r="F26" s="6">
        <f>Summary!F26</f>
        <v/>
      </c>
      <c r="G26" s="6">
        <f>Summary!G26</f>
        <v/>
      </c>
      <c r="H26" s="6">
        <f>Summary!H26</f>
        <v/>
      </c>
      <c r="I26" s="6">
        <f>Summary!I26</f>
        <v/>
      </c>
      <c r="J26" s="6">
        <f>Summary!J26</f>
        <v/>
      </c>
      <c r="K26" s="6">
        <f>Summary!K26</f>
        <v/>
      </c>
      <c r="L26" s="6">
        <f>Summary!L26</f>
        <v/>
      </c>
      <c r="M26" s="6">
        <f>Summary!M26</f>
        <v/>
      </c>
      <c r="N26" s="6">
        <f>Summary!N26</f>
        <v/>
      </c>
      <c r="O26" s="6">
        <f>Summary!O26</f>
        <v/>
      </c>
      <c r="P26" s="6">
        <f>Summary!P26</f>
        <v/>
      </c>
      <c r="Q26" s="6">
        <f>Summary!Q26</f>
        <v/>
      </c>
      <c r="R26" s="6">
        <f>Summary!R26</f>
        <v/>
      </c>
      <c r="S26" s="6">
        <f>Summary!S26</f>
        <v/>
      </c>
      <c r="T26" s="6">
        <f>Summary!T26</f>
        <v/>
      </c>
      <c r="U26" s="6">
        <f>Summary!U26</f>
        <v/>
      </c>
      <c r="V26" s="6">
        <f>Summary!V26</f>
        <v/>
      </c>
      <c r="W26" s="6">
        <f>Summary!W26</f>
        <v/>
      </c>
      <c r="X26" s="6">
        <f>Summary!X26</f>
        <v/>
      </c>
      <c r="Y26" s="6">
        <f>Summary!Y26</f>
        <v/>
      </c>
      <c r="Z26" s="6">
        <f>Summary!Z26</f>
        <v/>
      </c>
      <c r="AA26" s="6">
        <f>Summary!AA26</f>
        <v/>
      </c>
      <c r="AB26" s="6">
        <f>SUM(D26:AA26)</f>
        <v/>
      </c>
      <c r="AC26" s="3" t="inlineStr"/>
      <c r="AD26" s="7">
        <f>E26*0.001196975+D26*0.001196975</f>
        <v/>
      </c>
      <c r="AE26" s="7">
        <f>F26*0.001196975+E26*0.001196975</f>
        <v/>
      </c>
      <c r="AF26" s="7">
        <f>G26*0.001196975+F26*0.001196975</f>
        <v/>
      </c>
      <c r="AG26" s="7">
        <f>H26*0.001196975+G26*0.001196975</f>
        <v/>
      </c>
      <c r="AH26" s="7">
        <f>I26*0.001196975+H26*0.001196975</f>
        <v/>
      </c>
      <c r="AI26" s="7">
        <f>J26*0.001196975+I26*0.001196975</f>
        <v/>
      </c>
      <c r="AJ26" s="7">
        <f>K26*0.001196975+J26*0.001196975</f>
        <v/>
      </c>
      <c r="AK26" s="7">
        <f>L26*0.001196975+K26*0.001196975</f>
        <v/>
      </c>
      <c r="AL26" s="7">
        <f>M26*0.001196975+L26*0.001196975</f>
        <v/>
      </c>
      <c r="AM26" s="7">
        <f>N26*0.001196975+M26*0.001196975</f>
        <v/>
      </c>
      <c r="AN26" s="7">
        <f>O26*0.001196975+N26*0.001196975</f>
        <v/>
      </c>
      <c r="AO26" s="7">
        <f>P26*0.001196975+O26*0.001196975</f>
        <v/>
      </c>
      <c r="AP26" s="7">
        <f>Q26*0.001196975+P26*0.001196975</f>
        <v/>
      </c>
      <c r="AQ26" s="7">
        <f>R26*0.001196975+Q26*0.001196975</f>
        <v/>
      </c>
      <c r="AR26" s="7">
        <f>S26*0.001196975+R26*0.001196975</f>
        <v/>
      </c>
      <c r="AS26" s="7">
        <f>T26*0.001196975+S26*0.001196975</f>
        <v/>
      </c>
      <c r="AT26" s="7">
        <f>U26*0.001196975+T26*0.001196975</f>
        <v/>
      </c>
      <c r="AU26" s="7">
        <f>V26*0.001196975+U26*0.001196975</f>
        <v/>
      </c>
      <c r="AV26" s="7">
        <f>W26*0.001196975+V26*0.001196975</f>
        <v/>
      </c>
      <c r="AW26" s="7">
        <f>X26*0.001196975+W26*0.001196975</f>
        <v/>
      </c>
      <c r="AX26" s="7">
        <f>Y26*0.001196975+X26*0.001196975</f>
        <v/>
      </c>
      <c r="AY26" s="7">
        <f>Z26*0.001196975+Y26*0.001196975</f>
        <v/>
      </c>
      <c r="AZ26" s="7">
        <f>AA26*0.001196975+Z26*0.001196975</f>
        <v/>
      </c>
      <c r="BA26" s="7">
        <f>D26*0.001196975+AA26*0.001196975</f>
        <v/>
      </c>
      <c r="BB26" s="7">
        <f>SUM(AD26:BA26)</f>
        <v/>
      </c>
    </row>
    <row r="27">
      <c r="A27" t="inlineStr">
        <is>
          <t>AMD-FK-SSC</t>
        </is>
      </c>
      <c r="B27" t="inlineStr">
        <is>
          <t>Prime at Client side</t>
        </is>
      </c>
      <c r="C27" s="5" t="n">
        <v>46090</v>
      </c>
      <c r="D27" s="6">
        <f>Summary!D27</f>
        <v/>
      </c>
      <c r="E27" s="6">
        <f>Summary!E27</f>
        <v/>
      </c>
      <c r="F27" s="6">
        <f>Summary!F27</f>
        <v/>
      </c>
      <c r="G27" s="6">
        <f>Summary!G27</f>
        <v/>
      </c>
      <c r="H27" s="6">
        <f>Summary!H27</f>
        <v/>
      </c>
      <c r="I27" s="6">
        <f>Summary!I27</f>
        <v/>
      </c>
      <c r="J27" s="6">
        <f>Summary!J27</f>
        <v/>
      </c>
      <c r="K27" s="6">
        <f>Summary!K27</f>
        <v/>
      </c>
      <c r="L27" s="6">
        <f>Summary!L27</f>
        <v/>
      </c>
      <c r="M27" s="6">
        <f>Summary!M27</f>
        <v/>
      </c>
      <c r="N27" s="6">
        <f>Summary!N27</f>
        <v/>
      </c>
      <c r="O27" s="6">
        <f>Summary!O27</f>
        <v/>
      </c>
      <c r="P27" s="6">
        <f>Summary!P27</f>
        <v/>
      </c>
      <c r="Q27" s="6">
        <f>Summary!Q27</f>
        <v/>
      </c>
      <c r="R27" s="6">
        <f>Summary!R27</f>
        <v/>
      </c>
      <c r="S27" s="6">
        <f>Summary!S27</f>
        <v/>
      </c>
      <c r="T27" s="6">
        <f>Summary!T27</f>
        <v/>
      </c>
      <c r="U27" s="6">
        <f>Summary!U27</f>
        <v/>
      </c>
      <c r="V27" s="6">
        <f>Summary!V27</f>
        <v/>
      </c>
      <c r="W27" s="6">
        <f>Summary!W27</f>
        <v/>
      </c>
      <c r="X27" s="6">
        <f>Summary!X27</f>
        <v/>
      </c>
      <c r="Y27" s="6">
        <f>Summary!Y27</f>
        <v/>
      </c>
      <c r="Z27" s="6">
        <f>Summary!Z27</f>
        <v/>
      </c>
      <c r="AA27" s="6">
        <f>Summary!AA27</f>
        <v/>
      </c>
      <c r="AB27" s="6">
        <f>SUM(D27:AA27)</f>
        <v/>
      </c>
      <c r="AC27" s="3" t="inlineStr"/>
      <c r="AD27" s="7">
        <f>E27*0.001196975+D27*0.001196975</f>
        <v/>
      </c>
      <c r="AE27" s="7">
        <f>F27*0.001196975+E27*0.001196975</f>
        <v/>
      </c>
      <c r="AF27" s="7">
        <f>G27*0.001196975+F27*0.001196975</f>
        <v/>
      </c>
      <c r="AG27" s="7">
        <f>H27*0.001196975+G27*0.001196975</f>
        <v/>
      </c>
      <c r="AH27" s="7">
        <f>I27*0.001196975+H27*0.001196975</f>
        <v/>
      </c>
      <c r="AI27" s="7">
        <f>J27*0.001196975+I27*0.001196975</f>
        <v/>
      </c>
      <c r="AJ27" s="7">
        <f>K27*0.001196975+J27*0.001196975</f>
        <v/>
      </c>
      <c r="AK27" s="7">
        <f>L27*0.001196975+K27*0.001196975</f>
        <v/>
      </c>
      <c r="AL27" s="7">
        <f>M27*0.001196975+L27*0.001196975</f>
        <v/>
      </c>
      <c r="AM27" s="7">
        <f>N27*0.001196975+M27*0.001196975</f>
        <v/>
      </c>
      <c r="AN27" s="7">
        <f>O27*0.001196975+N27*0.001196975</f>
        <v/>
      </c>
      <c r="AO27" s="7">
        <f>P27*0.001196975+O27*0.001196975</f>
        <v/>
      </c>
      <c r="AP27" s="7">
        <f>Q27*0.001196975+P27*0.001196975</f>
        <v/>
      </c>
      <c r="AQ27" s="7">
        <f>R27*0.001196975+Q27*0.001196975</f>
        <v/>
      </c>
      <c r="AR27" s="7">
        <f>S27*0.001196975+R27*0.001196975</f>
        <v/>
      </c>
      <c r="AS27" s="7">
        <f>T27*0.001196975+S27*0.001196975</f>
        <v/>
      </c>
      <c r="AT27" s="7">
        <f>U27*0.001196975+T27*0.001196975</f>
        <v/>
      </c>
      <c r="AU27" s="7">
        <f>V27*0.001196975+U27*0.001196975</f>
        <v/>
      </c>
      <c r="AV27" s="7">
        <f>W27*0.001196975+V27*0.001196975</f>
        <v/>
      </c>
      <c r="AW27" s="7">
        <f>X27*0.001196975+W27*0.001196975</f>
        <v/>
      </c>
      <c r="AX27" s="7">
        <f>Y27*0.001196975+X27*0.001196975</f>
        <v/>
      </c>
      <c r="AY27" s="7">
        <f>Z27*0.001196975+Y27*0.001196975</f>
        <v/>
      </c>
      <c r="AZ27" s="7">
        <f>AA27*0.001196975+Z27*0.001196975</f>
        <v/>
      </c>
      <c r="BA27" s="7">
        <f>D27*0.001196975+AA27*0.001196975</f>
        <v/>
      </c>
      <c r="BB27" s="7">
        <f>SUM(AD27:BA27)</f>
        <v/>
      </c>
    </row>
    <row r="28">
      <c r="A28" t="inlineStr">
        <is>
          <t>AMD-FK-SSC</t>
        </is>
      </c>
      <c r="B28" t="inlineStr">
        <is>
          <t>Prime at Client side</t>
        </is>
      </c>
      <c r="C28" s="5" t="n">
        <v>46091</v>
      </c>
      <c r="D28" s="6">
        <f>Summary!D28</f>
        <v/>
      </c>
      <c r="E28" s="6">
        <f>Summary!E28</f>
        <v/>
      </c>
      <c r="F28" s="6">
        <f>Summary!F28</f>
        <v/>
      </c>
      <c r="G28" s="6">
        <f>Summary!G28</f>
        <v/>
      </c>
      <c r="H28" s="6">
        <f>Summary!H28</f>
        <v/>
      </c>
      <c r="I28" s="6">
        <f>Summary!I28</f>
        <v/>
      </c>
      <c r="J28" s="6">
        <f>Summary!J28</f>
        <v/>
      </c>
      <c r="K28" s="6">
        <f>Summary!K28</f>
        <v/>
      </c>
      <c r="L28" s="6">
        <f>Summary!L28</f>
        <v/>
      </c>
      <c r="M28" s="6">
        <f>Summary!M28</f>
        <v/>
      </c>
      <c r="N28" s="6">
        <f>Summary!N28</f>
        <v/>
      </c>
      <c r="O28" s="6">
        <f>Summary!O28</f>
        <v/>
      </c>
      <c r="P28" s="6">
        <f>Summary!P28</f>
        <v/>
      </c>
      <c r="Q28" s="6">
        <f>Summary!Q28</f>
        <v/>
      </c>
      <c r="R28" s="6">
        <f>Summary!R28</f>
        <v/>
      </c>
      <c r="S28" s="6">
        <f>Summary!S28</f>
        <v/>
      </c>
      <c r="T28" s="6">
        <f>Summary!T28</f>
        <v/>
      </c>
      <c r="U28" s="6">
        <f>Summary!U28</f>
        <v/>
      </c>
      <c r="V28" s="6">
        <f>Summary!V28</f>
        <v/>
      </c>
      <c r="W28" s="6">
        <f>Summary!W28</f>
        <v/>
      </c>
      <c r="X28" s="6">
        <f>Summary!X28</f>
        <v/>
      </c>
      <c r="Y28" s="6">
        <f>Summary!Y28</f>
        <v/>
      </c>
      <c r="Z28" s="6">
        <f>Summary!Z28</f>
        <v/>
      </c>
      <c r="AA28" s="6">
        <f>Summary!AA28</f>
        <v/>
      </c>
      <c r="AB28" s="6">
        <f>SUM(D28:AA28)</f>
        <v/>
      </c>
      <c r="AC28" s="3" t="inlineStr"/>
      <c r="AD28" s="7">
        <f>E28*0.001196975+D28*0.001196975</f>
        <v/>
      </c>
      <c r="AE28" s="7">
        <f>F28*0.001196975+E28*0.001196975</f>
        <v/>
      </c>
      <c r="AF28" s="7">
        <f>G28*0.001196975+F28*0.001196975</f>
        <v/>
      </c>
      <c r="AG28" s="7">
        <f>H28*0.001196975+G28*0.001196975</f>
        <v/>
      </c>
      <c r="AH28" s="7">
        <f>I28*0.001196975+H28*0.001196975</f>
        <v/>
      </c>
      <c r="AI28" s="7">
        <f>J28*0.001196975+I28*0.001196975</f>
        <v/>
      </c>
      <c r="AJ28" s="7">
        <f>K28*0.001196975+J28*0.001196975</f>
        <v/>
      </c>
      <c r="AK28" s="7">
        <f>L28*0.001196975+K28*0.001196975</f>
        <v/>
      </c>
      <c r="AL28" s="7">
        <f>M28*0.001196975+L28*0.001196975</f>
        <v/>
      </c>
      <c r="AM28" s="7">
        <f>N28*0.001196975+M28*0.001196975</f>
        <v/>
      </c>
      <c r="AN28" s="7">
        <f>O28*0.001196975+N28*0.001196975</f>
        <v/>
      </c>
      <c r="AO28" s="7">
        <f>P28*0.001196975+O28*0.001196975</f>
        <v/>
      </c>
      <c r="AP28" s="7">
        <f>Q28*0.001196975+P28*0.001196975</f>
        <v/>
      </c>
      <c r="AQ28" s="7">
        <f>R28*0.001196975+Q28*0.001196975</f>
        <v/>
      </c>
      <c r="AR28" s="7">
        <f>S28*0.001196975+R28*0.001196975</f>
        <v/>
      </c>
      <c r="AS28" s="7">
        <f>T28*0.001196975+S28*0.001196975</f>
        <v/>
      </c>
      <c r="AT28" s="7">
        <f>U28*0.001196975+T28*0.001196975</f>
        <v/>
      </c>
      <c r="AU28" s="7">
        <f>V28*0.001196975+U28*0.001196975</f>
        <v/>
      </c>
      <c r="AV28" s="7">
        <f>W28*0.001196975+V28*0.001196975</f>
        <v/>
      </c>
      <c r="AW28" s="7">
        <f>X28*0.001196975+W28*0.001196975</f>
        <v/>
      </c>
      <c r="AX28" s="7">
        <f>Y28*0.001196975+X28*0.001196975</f>
        <v/>
      </c>
      <c r="AY28" s="7">
        <f>Z28*0.001196975+Y28*0.001196975</f>
        <v/>
      </c>
      <c r="AZ28" s="7">
        <f>AA28*0.001196975+Z28*0.001196975</f>
        <v/>
      </c>
      <c r="BA28" s="7">
        <f>D28*0.001196975+AA28*0.001196975</f>
        <v/>
      </c>
      <c r="BB28" s="7">
        <f>SUM(AD28:BA28)</f>
        <v/>
      </c>
    </row>
    <row r="29">
      <c r="A29" t="inlineStr">
        <is>
          <t>AMD-FK-SSC</t>
        </is>
      </c>
      <c r="B29" t="inlineStr">
        <is>
          <t>Prime at Client side</t>
        </is>
      </c>
      <c r="C29" s="5" t="n">
        <v>46092</v>
      </c>
      <c r="D29" s="6">
        <f>Summary!D29</f>
        <v/>
      </c>
      <c r="E29" s="6">
        <f>Summary!E29</f>
        <v/>
      </c>
      <c r="F29" s="6">
        <f>Summary!F29</f>
        <v/>
      </c>
      <c r="G29" s="6">
        <f>Summary!G29</f>
        <v/>
      </c>
      <c r="H29" s="6">
        <f>Summary!H29</f>
        <v/>
      </c>
      <c r="I29" s="6">
        <f>Summary!I29</f>
        <v/>
      </c>
      <c r="J29" s="6">
        <f>Summary!J29</f>
        <v/>
      </c>
      <c r="K29" s="6">
        <f>Summary!K29</f>
        <v/>
      </c>
      <c r="L29" s="6">
        <f>Summary!L29</f>
        <v/>
      </c>
      <c r="M29" s="6">
        <f>Summary!M29</f>
        <v/>
      </c>
      <c r="N29" s="6">
        <f>Summary!N29</f>
        <v/>
      </c>
      <c r="O29" s="6">
        <f>Summary!O29</f>
        <v/>
      </c>
      <c r="P29" s="6">
        <f>Summary!P29</f>
        <v/>
      </c>
      <c r="Q29" s="6">
        <f>Summary!Q29</f>
        <v/>
      </c>
      <c r="R29" s="6">
        <f>Summary!R29</f>
        <v/>
      </c>
      <c r="S29" s="6">
        <f>Summary!S29</f>
        <v/>
      </c>
      <c r="T29" s="6">
        <f>Summary!T29</f>
        <v/>
      </c>
      <c r="U29" s="6">
        <f>Summary!U29</f>
        <v/>
      </c>
      <c r="V29" s="6">
        <f>Summary!V29</f>
        <v/>
      </c>
      <c r="W29" s="6">
        <f>Summary!W29</f>
        <v/>
      </c>
      <c r="X29" s="6">
        <f>Summary!X29</f>
        <v/>
      </c>
      <c r="Y29" s="6">
        <f>Summary!Y29</f>
        <v/>
      </c>
      <c r="Z29" s="6">
        <f>Summary!Z29</f>
        <v/>
      </c>
      <c r="AA29" s="6">
        <f>Summary!AA29</f>
        <v/>
      </c>
      <c r="AB29" s="6">
        <f>SUM(D29:AA29)</f>
        <v/>
      </c>
      <c r="AC29" s="3" t="inlineStr"/>
      <c r="AD29" s="7">
        <f>E29*0.001196975+D29*0.001196975</f>
        <v/>
      </c>
      <c r="AE29" s="7">
        <f>F29*0.001196975+E29*0.001196975</f>
        <v/>
      </c>
      <c r="AF29" s="7">
        <f>G29*0.001196975+F29*0.001196975</f>
        <v/>
      </c>
      <c r="AG29" s="7">
        <f>H29*0.001196975+G29*0.001196975</f>
        <v/>
      </c>
      <c r="AH29" s="7">
        <f>I29*0.001196975+H29*0.001196975</f>
        <v/>
      </c>
      <c r="AI29" s="7">
        <f>J29*0.001196975+I29*0.001196975</f>
        <v/>
      </c>
      <c r="AJ29" s="7">
        <f>K29*0.001196975+J29*0.001196975</f>
        <v/>
      </c>
      <c r="AK29" s="7">
        <f>L29*0.001196975+K29*0.001196975</f>
        <v/>
      </c>
      <c r="AL29" s="7">
        <f>M29*0.001196975+L29*0.001196975</f>
        <v/>
      </c>
      <c r="AM29" s="7">
        <f>N29*0.001196975+M29*0.001196975</f>
        <v/>
      </c>
      <c r="AN29" s="7">
        <f>O29*0.001196975+N29*0.001196975</f>
        <v/>
      </c>
      <c r="AO29" s="7">
        <f>P29*0.001196975+O29*0.001196975</f>
        <v/>
      </c>
      <c r="AP29" s="7">
        <f>Q29*0.001196975+P29*0.001196975</f>
        <v/>
      </c>
      <c r="AQ29" s="7">
        <f>R29*0.001196975+Q29*0.001196975</f>
        <v/>
      </c>
      <c r="AR29" s="7">
        <f>S29*0.001196975+R29*0.001196975</f>
        <v/>
      </c>
      <c r="AS29" s="7">
        <f>T29*0.001196975+S29*0.001196975</f>
        <v/>
      </c>
      <c r="AT29" s="7">
        <f>U29*0.001196975+T29*0.001196975</f>
        <v/>
      </c>
      <c r="AU29" s="7">
        <f>V29*0.001196975+U29*0.001196975</f>
        <v/>
      </c>
      <c r="AV29" s="7">
        <f>W29*0.001196975+V29*0.001196975</f>
        <v/>
      </c>
      <c r="AW29" s="7">
        <f>X29*0.001196975+W29*0.001196975</f>
        <v/>
      </c>
      <c r="AX29" s="7">
        <f>Y29*0.001196975+X29*0.001196975</f>
        <v/>
      </c>
      <c r="AY29" s="7">
        <f>Z29*0.001196975+Y29*0.001196975</f>
        <v/>
      </c>
      <c r="AZ29" s="7">
        <f>AA29*0.001196975+Z29*0.001196975</f>
        <v/>
      </c>
      <c r="BA29" s="7">
        <f>D29*0.001196975+AA29*0.001196975</f>
        <v/>
      </c>
      <c r="BB29" s="7">
        <f>SUM(AD29:BA29)</f>
        <v/>
      </c>
    </row>
    <row r="30">
      <c r="A30" t="inlineStr">
        <is>
          <t>AMD-FK-SSC</t>
        </is>
      </c>
      <c r="B30" t="inlineStr">
        <is>
          <t>Prime at Client side</t>
        </is>
      </c>
      <c r="C30" s="5" t="n">
        <v>46093</v>
      </c>
      <c r="D30" s="6">
        <f>Summary!D30</f>
        <v/>
      </c>
      <c r="E30" s="6">
        <f>Summary!E30</f>
        <v/>
      </c>
      <c r="F30" s="6">
        <f>Summary!F30</f>
        <v/>
      </c>
      <c r="G30" s="6">
        <f>Summary!G30</f>
        <v/>
      </c>
      <c r="H30" s="6">
        <f>Summary!H30</f>
        <v/>
      </c>
      <c r="I30" s="6">
        <f>Summary!I30</f>
        <v/>
      </c>
      <c r="J30" s="6">
        <f>Summary!J30</f>
        <v/>
      </c>
      <c r="K30" s="6">
        <f>Summary!K30</f>
        <v/>
      </c>
      <c r="L30" s="6">
        <f>Summary!L30</f>
        <v/>
      </c>
      <c r="M30" s="6">
        <f>Summary!M30</f>
        <v/>
      </c>
      <c r="N30" s="6">
        <f>Summary!N30</f>
        <v/>
      </c>
      <c r="O30" s="6">
        <f>Summary!O30</f>
        <v/>
      </c>
      <c r="P30" s="6">
        <f>Summary!P30</f>
        <v/>
      </c>
      <c r="Q30" s="6">
        <f>Summary!Q30</f>
        <v/>
      </c>
      <c r="R30" s="6">
        <f>Summary!R30</f>
        <v/>
      </c>
      <c r="S30" s="6">
        <f>Summary!S30</f>
        <v/>
      </c>
      <c r="T30" s="6">
        <f>Summary!T30</f>
        <v/>
      </c>
      <c r="U30" s="6">
        <f>Summary!U30</f>
        <v/>
      </c>
      <c r="V30" s="6">
        <f>Summary!V30</f>
        <v/>
      </c>
      <c r="W30" s="6">
        <f>Summary!W30</f>
        <v/>
      </c>
      <c r="X30" s="6">
        <f>Summary!X30</f>
        <v/>
      </c>
      <c r="Y30" s="6">
        <f>Summary!Y30</f>
        <v/>
      </c>
      <c r="Z30" s="6">
        <f>Summary!Z30</f>
        <v/>
      </c>
      <c r="AA30" s="6">
        <f>Summary!AA30</f>
        <v/>
      </c>
      <c r="AB30" s="6">
        <f>SUM(D30:AA30)</f>
        <v/>
      </c>
      <c r="AC30" s="3" t="inlineStr"/>
      <c r="AD30" s="7">
        <f>E30*0.001196975+D30*0.001196975</f>
        <v/>
      </c>
      <c r="AE30" s="7">
        <f>F30*0.001196975+E30*0.001196975</f>
        <v/>
      </c>
      <c r="AF30" s="7">
        <f>G30*0.001196975+F30*0.001196975</f>
        <v/>
      </c>
      <c r="AG30" s="7">
        <f>H30*0.001196975+G30*0.001196975</f>
        <v/>
      </c>
      <c r="AH30" s="7">
        <f>I30*0.001196975+H30*0.001196975</f>
        <v/>
      </c>
      <c r="AI30" s="7">
        <f>J30*0.001196975+I30*0.001196975</f>
        <v/>
      </c>
      <c r="AJ30" s="7">
        <f>K30*0.001196975+J30*0.001196975</f>
        <v/>
      </c>
      <c r="AK30" s="7">
        <f>L30*0.001196975+K30*0.001196975</f>
        <v/>
      </c>
      <c r="AL30" s="7">
        <f>M30*0.001196975+L30*0.001196975</f>
        <v/>
      </c>
      <c r="AM30" s="7">
        <f>N30*0.001196975+M30*0.001196975</f>
        <v/>
      </c>
      <c r="AN30" s="7">
        <f>O30*0.001196975+N30*0.001196975</f>
        <v/>
      </c>
      <c r="AO30" s="7">
        <f>P30*0.001196975+O30*0.001196975</f>
        <v/>
      </c>
      <c r="AP30" s="7">
        <f>Q30*0.001196975+P30*0.001196975</f>
        <v/>
      </c>
      <c r="AQ30" s="7">
        <f>R30*0.001196975+Q30*0.001196975</f>
        <v/>
      </c>
      <c r="AR30" s="7">
        <f>S30*0.001196975+R30*0.001196975</f>
        <v/>
      </c>
      <c r="AS30" s="7">
        <f>T30*0.001196975+S30*0.001196975</f>
        <v/>
      </c>
      <c r="AT30" s="7">
        <f>U30*0.001196975+T30*0.001196975</f>
        <v/>
      </c>
      <c r="AU30" s="7">
        <f>V30*0.001196975+U30*0.001196975</f>
        <v/>
      </c>
      <c r="AV30" s="7">
        <f>W30*0.001196975+V30*0.001196975</f>
        <v/>
      </c>
      <c r="AW30" s="7">
        <f>X30*0.001196975+W30*0.001196975</f>
        <v/>
      </c>
      <c r="AX30" s="7">
        <f>Y30*0.001196975+X30*0.001196975</f>
        <v/>
      </c>
      <c r="AY30" s="7">
        <f>Z30*0.001196975+Y30*0.001196975</f>
        <v/>
      </c>
      <c r="AZ30" s="7">
        <f>AA30*0.001196975+Z30*0.001196975</f>
        <v/>
      </c>
      <c r="BA30" s="7">
        <f>D30*0.001196975+AA30*0.001196975</f>
        <v/>
      </c>
      <c r="BB30" s="7">
        <f>SUM(AD30:BA30)</f>
        <v/>
      </c>
    </row>
    <row r="31">
      <c r="A31" t="inlineStr">
        <is>
          <t>AMD-FK-SSC</t>
        </is>
      </c>
      <c r="B31" t="inlineStr">
        <is>
          <t>Prime at Client side</t>
        </is>
      </c>
      <c r="C31" s="5" t="n">
        <v>46094</v>
      </c>
      <c r="D31" s="6">
        <f>Summary!D31</f>
        <v/>
      </c>
      <c r="E31" s="6">
        <f>Summary!E31</f>
        <v/>
      </c>
      <c r="F31" s="6">
        <f>Summary!F31</f>
        <v/>
      </c>
      <c r="G31" s="6">
        <f>Summary!G31</f>
        <v/>
      </c>
      <c r="H31" s="6">
        <f>Summary!H31</f>
        <v/>
      </c>
      <c r="I31" s="6">
        <f>Summary!I31</f>
        <v/>
      </c>
      <c r="J31" s="6">
        <f>Summary!J31</f>
        <v/>
      </c>
      <c r="K31" s="6">
        <f>Summary!K31</f>
        <v/>
      </c>
      <c r="L31" s="6">
        <f>Summary!L31</f>
        <v/>
      </c>
      <c r="M31" s="6">
        <f>Summary!M31</f>
        <v/>
      </c>
      <c r="N31" s="6">
        <f>Summary!N31</f>
        <v/>
      </c>
      <c r="O31" s="6">
        <f>Summary!O31</f>
        <v/>
      </c>
      <c r="P31" s="6">
        <f>Summary!P31</f>
        <v/>
      </c>
      <c r="Q31" s="6">
        <f>Summary!Q31</f>
        <v/>
      </c>
      <c r="R31" s="6">
        <f>Summary!R31</f>
        <v/>
      </c>
      <c r="S31" s="6">
        <f>Summary!S31</f>
        <v/>
      </c>
      <c r="T31" s="6">
        <f>Summary!T31</f>
        <v/>
      </c>
      <c r="U31" s="6">
        <f>Summary!U31</f>
        <v/>
      </c>
      <c r="V31" s="6">
        <f>Summary!V31</f>
        <v/>
      </c>
      <c r="W31" s="6">
        <f>Summary!W31</f>
        <v/>
      </c>
      <c r="X31" s="6">
        <f>Summary!X31</f>
        <v/>
      </c>
      <c r="Y31" s="6">
        <f>Summary!Y31</f>
        <v/>
      </c>
      <c r="Z31" s="6">
        <f>Summary!Z31</f>
        <v/>
      </c>
      <c r="AA31" s="6">
        <f>Summary!AA31</f>
        <v/>
      </c>
      <c r="AB31" s="6">
        <f>SUM(D31:AA31)</f>
        <v/>
      </c>
      <c r="AC31" s="3" t="inlineStr"/>
      <c r="AD31" s="7">
        <f>E31*0.001196975+D31*0.001196975</f>
        <v/>
      </c>
      <c r="AE31" s="7">
        <f>F31*0.001196975+E31*0.001196975</f>
        <v/>
      </c>
      <c r="AF31" s="7">
        <f>G31*0.001196975+F31*0.001196975</f>
        <v/>
      </c>
      <c r="AG31" s="7">
        <f>H31*0.001196975+G31*0.001196975</f>
        <v/>
      </c>
      <c r="AH31" s="7">
        <f>I31*0.001196975+H31*0.001196975</f>
        <v/>
      </c>
      <c r="AI31" s="7">
        <f>J31*0.001196975+I31*0.001196975</f>
        <v/>
      </c>
      <c r="AJ31" s="7">
        <f>K31*0.001196975+J31*0.001196975</f>
        <v/>
      </c>
      <c r="AK31" s="7">
        <f>L31*0.001196975+K31*0.001196975</f>
        <v/>
      </c>
      <c r="AL31" s="7">
        <f>M31*0.001196975+L31*0.001196975</f>
        <v/>
      </c>
      <c r="AM31" s="7">
        <f>N31*0.001196975+M31*0.001196975</f>
        <v/>
      </c>
      <c r="AN31" s="7">
        <f>O31*0.001196975+N31*0.001196975</f>
        <v/>
      </c>
      <c r="AO31" s="7">
        <f>P31*0.001196975+O31*0.001196975</f>
        <v/>
      </c>
      <c r="AP31" s="7">
        <f>Q31*0.001196975+P31*0.001196975</f>
        <v/>
      </c>
      <c r="AQ31" s="7">
        <f>R31*0.001196975+Q31*0.001196975</f>
        <v/>
      </c>
      <c r="AR31" s="7">
        <f>S31*0.001196975+R31*0.001196975</f>
        <v/>
      </c>
      <c r="AS31" s="7">
        <f>T31*0.001196975+S31*0.001196975</f>
        <v/>
      </c>
      <c r="AT31" s="7">
        <f>U31*0.001196975+T31*0.001196975</f>
        <v/>
      </c>
      <c r="AU31" s="7">
        <f>V31*0.001196975+U31*0.001196975</f>
        <v/>
      </c>
      <c r="AV31" s="7">
        <f>W31*0.001196975+V31*0.001196975</f>
        <v/>
      </c>
      <c r="AW31" s="7">
        <f>X31*0.001196975+W31*0.001196975</f>
        <v/>
      </c>
      <c r="AX31" s="7">
        <f>Y31*0.001196975+X31*0.001196975</f>
        <v/>
      </c>
      <c r="AY31" s="7">
        <f>Z31*0.001196975+Y31*0.001196975</f>
        <v/>
      </c>
      <c r="AZ31" s="7">
        <f>AA31*0.001196975+Z31*0.001196975</f>
        <v/>
      </c>
      <c r="BA31" s="7">
        <f>D31*0.001196975+AA31*0.001196975</f>
        <v/>
      </c>
      <c r="BB31" s="7">
        <f>SUM(AD31:BA31)</f>
        <v/>
      </c>
    </row>
    <row r="32">
      <c r="A32" t="inlineStr">
        <is>
          <t>AMD-FK-SSC</t>
        </is>
      </c>
      <c r="B32" t="inlineStr">
        <is>
          <t>Prime at Client side</t>
        </is>
      </c>
      <c r="C32" s="5" t="n">
        <v>46095</v>
      </c>
      <c r="D32" s="6">
        <f>Summary!D32</f>
        <v/>
      </c>
      <c r="E32" s="6">
        <f>Summary!E32</f>
        <v/>
      </c>
      <c r="F32" s="6">
        <f>Summary!F32</f>
        <v/>
      </c>
      <c r="G32" s="6">
        <f>Summary!G32</f>
        <v/>
      </c>
      <c r="H32" s="6">
        <f>Summary!H32</f>
        <v/>
      </c>
      <c r="I32" s="6">
        <f>Summary!I32</f>
        <v/>
      </c>
      <c r="J32" s="6">
        <f>Summary!J32</f>
        <v/>
      </c>
      <c r="K32" s="6">
        <f>Summary!K32</f>
        <v/>
      </c>
      <c r="L32" s="6">
        <f>Summary!L32</f>
        <v/>
      </c>
      <c r="M32" s="6">
        <f>Summary!M32</f>
        <v/>
      </c>
      <c r="N32" s="6">
        <f>Summary!N32</f>
        <v/>
      </c>
      <c r="O32" s="6">
        <f>Summary!O32</f>
        <v/>
      </c>
      <c r="P32" s="6">
        <f>Summary!P32</f>
        <v/>
      </c>
      <c r="Q32" s="6">
        <f>Summary!Q32</f>
        <v/>
      </c>
      <c r="R32" s="6">
        <f>Summary!R32</f>
        <v/>
      </c>
      <c r="S32" s="6">
        <f>Summary!S32</f>
        <v/>
      </c>
      <c r="T32" s="6">
        <f>Summary!T32</f>
        <v/>
      </c>
      <c r="U32" s="6">
        <f>Summary!U32</f>
        <v/>
      </c>
      <c r="V32" s="6">
        <f>Summary!V32</f>
        <v/>
      </c>
      <c r="W32" s="6">
        <f>Summary!W32</f>
        <v/>
      </c>
      <c r="X32" s="6">
        <f>Summary!X32</f>
        <v/>
      </c>
      <c r="Y32" s="6">
        <f>Summary!Y32</f>
        <v/>
      </c>
      <c r="Z32" s="6">
        <f>Summary!Z32</f>
        <v/>
      </c>
      <c r="AA32" s="6">
        <f>Summary!AA32</f>
        <v/>
      </c>
      <c r="AB32" s="6">
        <f>SUM(D32:AA32)</f>
        <v/>
      </c>
      <c r="AC32" s="3" t="inlineStr"/>
      <c r="AD32" s="7">
        <f>E32*0.001196975+D32*0.001196975</f>
        <v/>
      </c>
      <c r="AE32" s="7">
        <f>F32*0.001196975+E32*0.001196975</f>
        <v/>
      </c>
      <c r="AF32" s="7">
        <f>G32*0.001196975+F32*0.001196975</f>
        <v/>
      </c>
      <c r="AG32" s="7">
        <f>H32*0.001196975+G32*0.001196975</f>
        <v/>
      </c>
      <c r="AH32" s="7">
        <f>I32*0.001196975+H32*0.001196975</f>
        <v/>
      </c>
      <c r="AI32" s="7">
        <f>J32*0.001196975+I32*0.001196975</f>
        <v/>
      </c>
      <c r="AJ32" s="7">
        <f>K32*0.001196975+J32*0.001196975</f>
        <v/>
      </c>
      <c r="AK32" s="7">
        <f>L32*0.001196975+K32*0.001196975</f>
        <v/>
      </c>
      <c r="AL32" s="7">
        <f>M32*0.001196975+L32*0.001196975</f>
        <v/>
      </c>
      <c r="AM32" s="7">
        <f>N32*0.001196975+M32*0.001196975</f>
        <v/>
      </c>
      <c r="AN32" s="7">
        <f>O32*0.001196975+N32*0.001196975</f>
        <v/>
      </c>
      <c r="AO32" s="7">
        <f>P32*0.001196975+O32*0.001196975</f>
        <v/>
      </c>
      <c r="AP32" s="7">
        <f>Q32*0.001196975+P32*0.001196975</f>
        <v/>
      </c>
      <c r="AQ32" s="7">
        <f>R32*0.001196975+Q32*0.001196975</f>
        <v/>
      </c>
      <c r="AR32" s="7">
        <f>S32*0.001196975+R32*0.001196975</f>
        <v/>
      </c>
      <c r="AS32" s="7">
        <f>T32*0.001196975+S32*0.001196975</f>
        <v/>
      </c>
      <c r="AT32" s="7">
        <f>U32*0.001196975+T32*0.001196975</f>
        <v/>
      </c>
      <c r="AU32" s="7">
        <f>V32*0.001196975+U32*0.001196975</f>
        <v/>
      </c>
      <c r="AV32" s="7">
        <f>W32*0.001196975+V32*0.001196975</f>
        <v/>
      </c>
      <c r="AW32" s="7">
        <f>X32*0.001196975+W32*0.001196975</f>
        <v/>
      </c>
      <c r="AX32" s="7">
        <f>Y32*0.001196975+X32*0.001196975</f>
        <v/>
      </c>
      <c r="AY32" s="7">
        <f>Z32*0.001196975+Y32*0.001196975</f>
        <v/>
      </c>
      <c r="AZ32" s="7">
        <f>AA32*0.001196975+Z32*0.001196975</f>
        <v/>
      </c>
      <c r="BA32" s="7">
        <f>D32*0.001196975+AA32*0.001196975</f>
        <v/>
      </c>
      <c r="BB32" s="7">
        <f>SUM(AD32:BA32)</f>
        <v/>
      </c>
    </row>
    <row r="33">
      <c r="A33" t="inlineStr">
        <is>
          <t>AMD-FK-SSC</t>
        </is>
      </c>
      <c r="B33" t="inlineStr">
        <is>
          <t>Prime at Client side</t>
        </is>
      </c>
      <c r="C33" s="5" t="n">
        <v>46096</v>
      </c>
      <c r="D33" s="6">
        <f>Summary!D33</f>
        <v/>
      </c>
      <c r="E33" s="6">
        <f>Summary!E33</f>
        <v/>
      </c>
      <c r="F33" s="6">
        <f>Summary!F33</f>
        <v/>
      </c>
      <c r="G33" s="6">
        <f>Summary!G33</f>
        <v/>
      </c>
      <c r="H33" s="6">
        <f>Summary!H33</f>
        <v/>
      </c>
      <c r="I33" s="6">
        <f>Summary!I33</f>
        <v/>
      </c>
      <c r="J33" s="6">
        <f>Summary!J33</f>
        <v/>
      </c>
      <c r="K33" s="6">
        <f>Summary!K33</f>
        <v/>
      </c>
      <c r="L33" s="6">
        <f>Summary!L33</f>
        <v/>
      </c>
      <c r="M33" s="6">
        <f>Summary!M33</f>
        <v/>
      </c>
      <c r="N33" s="6">
        <f>Summary!N33</f>
        <v/>
      </c>
      <c r="O33" s="6">
        <f>Summary!O33</f>
        <v/>
      </c>
      <c r="P33" s="6">
        <f>Summary!P33</f>
        <v/>
      </c>
      <c r="Q33" s="6">
        <f>Summary!Q33</f>
        <v/>
      </c>
      <c r="R33" s="6">
        <f>Summary!R33</f>
        <v/>
      </c>
      <c r="S33" s="6">
        <f>Summary!S33</f>
        <v/>
      </c>
      <c r="T33" s="6">
        <f>Summary!T33</f>
        <v/>
      </c>
      <c r="U33" s="6">
        <f>Summary!U33</f>
        <v/>
      </c>
      <c r="V33" s="6">
        <f>Summary!V33</f>
        <v/>
      </c>
      <c r="W33" s="6">
        <f>Summary!W33</f>
        <v/>
      </c>
      <c r="X33" s="6">
        <f>Summary!X33</f>
        <v/>
      </c>
      <c r="Y33" s="6">
        <f>Summary!Y33</f>
        <v/>
      </c>
      <c r="Z33" s="6">
        <f>Summary!Z33</f>
        <v/>
      </c>
      <c r="AA33" s="6">
        <f>Summary!AA33</f>
        <v/>
      </c>
      <c r="AB33" s="6">
        <f>SUM(D33:AA33)</f>
        <v/>
      </c>
      <c r="AC33" s="3" t="inlineStr"/>
      <c r="AD33" s="7">
        <f>E33*0.001196975+D33*0.001196975</f>
        <v/>
      </c>
      <c r="AE33" s="7">
        <f>F33*0.001196975+E33*0.001196975</f>
        <v/>
      </c>
      <c r="AF33" s="7">
        <f>G33*0.001196975+F33*0.001196975</f>
        <v/>
      </c>
      <c r="AG33" s="7">
        <f>H33*0.001196975+G33*0.001196975</f>
        <v/>
      </c>
      <c r="AH33" s="7">
        <f>I33*0.001196975+H33*0.001196975</f>
        <v/>
      </c>
      <c r="AI33" s="7">
        <f>J33*0.001196975+I33*0.001196975</f>
        <v/>
      </c>
      <c r="AJ33" s="7">
        <f>K33*0.001196975+J33*0.001196975</f>
        <v/>
      </c>
      <c r="AK33" s="7">
        <f>L33*0.001196975+K33*0.001196975</f>
        <v/>
      </c>
      <c r="AL33" s="7">
        <f>M33*0.001196975+L33*0.001196975</f>
        <v/>
      </c>
      <c r="AM33" s="7">
        <f>N33*0.001196975+M33*0.001196975</f>
        <v/>
      </c>
      <c r="AN33" s="7">
        <f>O33*0.001196975+N33*0.001196975</f>
        <v/>
      </c>
      <c r="AO33" s="7">
        <f>P33*0.001196975+O33*0.001196975</f>
        <v/>
      </c>
      <c r="AP33" s="7">
        <f>Q33*0.001196975+P33*0.001196975</f>
        <v/>
      </c>
      <c r="AQ33" s="7">
        <f>R33*0.001196975+Q33*0.001196975</f>
        <v/>
      </c>
      <c r="AR33" s="7">
        <f>S33*0.001196975+R33*0.001196975</f>
        <v/>
      </c>
      <c r="AS33" s="7">
        <f>T33*0.001196975+S33*0.001196975</f>
        <v/>
      </c>
      <c r="AT33" s="7">
        <f>U33*0.001196975+T33*0.001196975</f>
        <v/>
      </c>
      <c r="AU33" s="7">
        <f>V33*0.001196975+U33*0.001196975</f>
        <v/>
      </c>
      <c r="AV33" s="7">
        <f>W33*0.001196975+V33*0.001196975</f>
        <v/>
      </c>
      <c r="AW33" s="7">
        <f>X33*0.001196975+W33*0.001196975</f>
        <v/>
      </c>
      <c r="AX33" s="7">
        <f>Y33*0.001196975+X33*0.001196975</f>
        <v/>
      </c>
      <c r="AY33" s="7">
        <f>Z33*0.001196975+Y33*0.001196975</f>
        <v/>
      </c>
      <c r="AZ33" s="7">
        <f>AA33*0.001196975+Z33*0.001196975</f>
        <v/>
      </c>
      <c r="BA33" s="7">
        <f>D33*0.001196975+AA33*0.001196975</f>
        <v/>
      </c>
      <c r="BB33" s="7">
        <f>SUM(AD33:BA33)</f>
        <v/>
      </c>
    </row>
    <row r="34">
      <c r="A34" t="inlineStr">
        <is>
          <t>AMD-FK-SSC</t>
        </is>
      </c>
      <c r="B34" t="inlineStr">
        <is>
          <t>Prime at Client side</t>
        </is>
      </c>
      <c r="C34" s="5" t="n">
        <v>46097</v>
      </c>
      <c r="D34" s="6">
        <f>Summary!D34</f>
        <v/>
      </c>
      <c r="E34" s="6">
        <f>Summary!E34</f>
        <v/>
      </c>
      <c r="F34" s="6">
        <f>Summary!F34</f>
        <v/>
      </c>
      <c r="G34" s="6">
        <f>Summary!G34</f>
        <v/>
      </c>
      <c r="H34" s="6">
        <f>Summary!H34</f>
        <v/>
      </c>
      <c r="I34" s="6">
        <f>Summary!I34</f>
        <v/>
      </c>
      <c r="J34" s="6">
        <f>Summary!J34</f>
        <v/>
      </c>
      <c r="K34" s="6">
        <f>Summary!K34</f>
        <v/>
      </c>
      <c r="L34" s="6">
        <f>Summary!L34</f>
        <v/>
      </c>
      <c r="M34" s="6">
        <f>Summary!M34</f>
        <v/>
      </c>
      <c r="N34" s="6">
        <f>Summary!N34</f>
        <v/>
      </c>
      <c r="O34" s="6">
        <f>Summary!O34</f>
        <v/>
      </c>
      <c r="P34" s="6">
        <f>Summary!P34</f>
        <v/>
      </c>
      <c r="Q34" s="6">
        <f>Summary!Q34</f>
        <v/>
      </c>
      <c r="R34" s="6">
        <f>Summary!R34</f>
        <v/>
      </c>
      <c r="S34" s="6">
        <f>Summary!S34</f>
        <v/>
      </c>
      <c r="T34" s="6">
        <f>Summary!T34</f>
        <v/>
      </c>
      <c r="U34" s="6">
        <f>Summary!U34</f>
        <v/>
      </c>
      <c r="V34" s="6">
        <f>Summary!V34</f>
        <v/>
      </c>
      <c r="W34" s="6">
        <f>Summary!W34</f>
        <v/>
      </c>
      <c r="X34" s="6">
        <f>Summary!X34</f>
        <v/>
      </c>
      <c r="Y34" s="6">
        <f>Summary!Y34</f>
        <v/>
      </c>
      <c r="Z34" s="6">
        <f>Summary!Z34</f>
        <v/>
      </c>
      <c r="AA34" s="6">
        <f>Summary!AA34</f>
        <v/>
      </c>
      <c r="AB34" s="6">
        <f>SUM(D34:AA34)</f>
        <v/>
      </c>
      <c r="AC34" s="3" t="inlineStr"/>
      <c r="AD34" s="7">
        <f>E34*0.001196975+D34*0.001196975</f>
        <v/>
      </c>
      <c r="AE34" s="7">
        <f>F34*0.001196975+E34*0.001196975</f>
        <v/>
      </c>
      <c r="AF34" s="7">
        <f>G34*0.001196975+F34*0.001196975</f>
        <v/>
      </c>
      <c r="AG34" s="7">
        <f>H34*0.001196975+G34*0.001196975</f>
        <v/>
      </c>
      <c r="AH34" s="7">
        <f>I34*0.001196975+H34*0.001196975</f>
        <v/>
      </c>
      <c r="AI34" s="7">
        <f>J34*0.001196975+I34*0.001196975</f>
        <v/>
      </c>
      <c r="AJ34" s="7">
        <f>K34*0.001196975+J34*0.001196975</f>
        <v/>
      </c>
      <c r="AK34" s="7">
        <f>L34*0.001196975+K34*0.001196975</f>
        <v/>
      </c>
      <c r="AL34" s="7">
        <f>M34*0.001196975+L34*0.001196975</f>
        <v/>
      </c>
      <c r="AM34" s="7">
        <f>N34*0.001196975+M34*0.001196975</f>
        <v/>
      </c>
      <c r="AN34" s="7">
        <f>O34*0.001196975+N34*0.001196975</f>
        <v/>
      </c>
      <c r="AO34" s="7">
        <f>P34*0.001196975+O34*0.001196975</f>
        <v/>
      </c>
      <c r="AP34" s="7">
        <f>Q34*0.001196975+P34*0.001196975</f>
        <v/>
      </c>
      <c r="AQ34" s="7">
        <f>R34*0.001196975+Q34*0.001196975</f>
        <v/>
      </c>
      <c r="AR34" s="7">
        <f>S34*0.001196975+R34*0.001196975</f>
        <v/>
      </c>
      <c r="AS34" s="7">
        <f>T34*0.001196975+S34*0.001196975</f>
        <v/>
      </c>
      <c r="AT34" s="7">
        <f>U34*0.001196975+T34*0.001196975</f>
        <v/>
      </c>
      <c r="AU34" s="7">
        <f>V34*0.001196975+U34*0.001196975</f>
        <v/>
      </c>
      <c r="AV34" s="7">
        <f>W34*0.001196975+V34*0.001196975</f>
        <v/>
      </c>
      <c r="AW34" s="7">
        <f>X34*0.001196975+W34*0.001196975</f>
        <v/>
      </c>
      <c r="AX34" s="7">
        <f>Y34*0.001196975+X34*0.001196975</f>
        <v/>
      </c>
      <c r="AY34" s="7">
        <f>Z34*0.001196975+Y34*0.001196975</f>
        <v/>
      </c>
      <c r="AZ34" s="7">
        <f>AA34*0.001196975+Z34*0.001196975</f>
        <v/>
      </c>
      <c r="BA34" s="7">
        <f>D34*0.001196975+AA34*0.001196975</f>
        <v/>
      </c>
      <c r="BB34" s="7">
        <f>SUM(AD34:BA34)</f>
        <v/>
      </c>
    </row>
    <row r="35">
      <c r="A35" t="inlineStr">
        <is>
          <t>AMD-FK-SSC</t>
        </is>
      </c>
      <c r="B35" t="inlineStr">
        <is>
          <t>Prime at Client side</t>
        </is>
      </c>
      <c r="C35" s="5" t="n">
        <v>46098</v>
      </c>
      <c r="D35" s="6">
        <f>Summary!D35</f>
        <v/>
      </c>
      <c r="E35" s="6">
        <f>Summary!E35</f>
        <v/>
      </c>
      <c r="F35" s="6">
        <f>Summary!F35</f>
        <v/>
      </c>
      <c r="G35" s="6">
        <f>Summary!G35</f>
        <v/>
      </c>
      <c r="H35" s="6">
        <f>Summary!H35</f>
        <v/>
      </c>
      <c r="I35" s="6">
        <f>Summary!I35</f>
        <v/>
      </c>
      <c r="J35" s="6">
        <f>Summary!J35</f>
        <v/>
      </c>
      <c r="K35" s="6">
        <f>Summary!K35</f>
        <v/>
      </c>
      <c r="L35" s="6">
        <f>Summary!L35</f>
        <v/>
      </c>
      <c r="M35" s="6">
        <f>Summary!M35</f>
        <v/>
      </c>
      <c r="N35" s="6">
        <f>Summary!N35</f>
        <v/>
      </c>
      <c r="O35" s="6">
        <f>Summary!O35</f>
        <v/>
      </c>
      <c r="P35" s="6">
        <f>Summary!P35</f>
        <v/>
      </c>
      <c r="Q35" s="6">
        <f>Summary!Q35</f>
        <v/>
      </c>
      <c r="R35" s="6">
        <f>Summary!R35</f>
        <v/>
      </c>
      <c r="S35" s="6">
        <f>Summary!S35</f>
        <v/>
      </c>
      <c r="T35" s="6">
        <f>Summary!T35</f>
        <v/>
      </c>
      <c r="U35" s="6">
        <f>Summary!U35</f>
        <v/>
      </c>
      <c r="V35" s="6">
        <f>Summary!V35</f>
        <v/>
      </c>
      <c r="W35" s="6">
        <f>Summary!W35</f>
        <v/>
      </c>
      <c r="X35" s="6">
        <f>Summary!X35</f>
        <v/>
      </c>
      <c r="Y35" s="6">
        <f>Summary!Y35</f>
        <v/>
      </c>
      <c r="Z35" s="6">
        <f>Summary!Z35</f>
        <v/>
      </c>
      <c r="AA35" s="6">
        <f>Summary!AA35</f>
        <v/>
      </c>
      <c r="AB35" s="6">
        <f>SUM(D35:AA35)</f>
        <v/>
      </c>
      <c r="AC35" s="3" t="inlineStr"/>
      <c r="AD35" s="7">
        <f>E35*0.001196975+D35*0.001196975</f>
        <v/>
      </c>
      <c r="AE35" s="7">
        <f>F35*0.001196975+E35*0.001196975</f>
        <v/>
      </c>
      <c r="AF35" s="7">
        <f>G35*0.001196975+F35*0.001196975</f>
        <v/>
      </c>
      <c r="AG35" s="7">
        <f>H35*0.001196975+G35*0.001196975</f>
        <v/>
      </c>
      <c r="AH35" s="7">
        <f>I35*0.001196975+H35*0.001196975</f>
        <v/>
      </c>
      <c r="AI35" s="7">
        <f>J35*0.001196975+I35*0.001196975</f>
        <v/>
      </c>
      <c r="AJ35" s="7">
        <f>K35*0.001196975+J35*0.001196975</f>
        <v/>
      </c>
      <c r="AK35" s="7">
        <f>L35*0.001196975+K35*0.001196975</f>
        <v/>
      </c>
      <c r="AL35" s="7">
        <f>M35*0.001196975+L35*0.001196975</f>
        <v/>
      </c>
      <c r="AM35" s="7">
        <f>N35*0.001196975+M35*0.001196975</f>
        <v/>
      </c>
      <c r="AN35" s="7">
        <f>O35*0.001196975+N35*0.001196975</f>
        <v/>
      </c>
      <c r="AO35" s="7">
        <f>P35*0.001196975+O35*0.001196975</f>
        <v/>
      </c>
      <c r="AP35" s="7">
        <f>Q35*0.001196975+P35*0.001196975</f>
        <v/>
      </c>
      <c r="AQ35" s="7">
        <f>R35*0.001196975+Q35*0.001196975</f>
        <v/>
      </c>
      <c r="AR35" s="7">
        <f>S35*0.001196975+R35*0.001196975</f>
        <v/>
      </c>
      <c r="AS35" s="7">
        <f>T35*0.001196975+S35*0.001196975</f>
        <v/>
      </c>
      <c r="AT35" s="7">
        <f>U35*0.001196975+T35*0.001196975</f>
        <v/>
      </c>
      <c r="AU35" s="7">
        <f>V35*0.001196975+U35*0.001196975</f>
        <v/>
      </c>
      <c r="AV35" s="7">
        <f>W35*0.001196975+V35*0.001196975</f>
        <v/>
      </c>
      <c r="AW35" s="7">
        <f>X35*0.001196975+W35*0.001196975</f>
        <v/>
      </c>
      <c r="AX35" s="7">
        <f>Y35*0.001196975+X35*0.001196975</f>
        <v/>
      </c>
      <c r="AY35" s="7">
        <f>Z35*0.001196975+Y35*0.001196975</f>
        <v/>
      </c>
      <c r="AZ35" s="7">
        <f>AA35*0.001196975+Z35*0.001196975</f>
        <v/>
      </c>
      <c r="BA35" s="7">
        <f>D35*0.001196975+AA35*0.001196975</f>
        <v/>
      </c>
      <c r="BB35" s="7">
        <f>SUM(AD35:BA35)</f>
        <v/>
      </c>
    </row>
    <row r="36">
      <c r="A36" t="inlineStr">
        <is>
          <t>AMD-FK-SSC</t>
        </is>
      </c>
      <c r="B36" t="inlineStr">
        <is>
          <t>Prime at Client side</t>
        </is>
      </c>
      <c r="C36" s="5" t="n">
        <v>46099</v>
      </c>
      <c r="D36" s="6">
        <f>Summary!D36</f>
        <v/>
      </c>
      <c r="E36" s="6">
        <f>Summary!E36</f>
        <v/>
      </c>
      <c r="F36" s="6">
        <f>Summary!F36</f>
        <v/>
      </c>
      <c r="G36" s="6">
        <f>Summary!G36</f>
        <v/>
      </c>
      <c r="H36" s="6">
        <f>Summary!H36</f>
        <v/>
      </c>
      <c r="I36" s="6">
        <f>Summary!I36</f>
        <v/>
      </c>
      <c r="J36" s="6">
        <f>Summary!J36</f>
        <v/>
      </c>
      <c r="K36" s="6">
        <f>Summary!K36</f>
        <v/>
      </c>
      <c r="L36" s="6">
        <f>Summary!L36</f>
        <v/>
      </c>
      <c r="M36" s="6">
        <f>Summary!M36</f>
        <v/>
      </c>
      <c r="N36" s="6">
        <f>Summary!N36</f>
        <v/>
      </c>
      <c r="O36" s="6">
        <f>Summary!O36</f>
        <v/>
      </c>
      <c r="P36" s="6">
        <f>Summary!P36</f>
        <v/>
      </c>
      <c r="Q36" s="6">
        <f>Summary!Q36</f>
        <v/>
      </c>
      <c r="R36" s="6">
        <f>Summary!R36</f>
        <v/>
      </c>
      <c r="S36" s="6">
        <f>Summary!S36</f>
        <v/>
      </c>
      <c r="T36" s="6">
        <f>Summary!T36</f>
        <v/>
      </c>
      <c r="U36" s="6">
        <f>Summary!U36</f>
        <v/>
      </c>
      <c r="V36" s="6">
        <f>Summary!V36</f>
        <v/>
      </c>
      <c r="W36" s="6">
        <f>Summary!W36</f>
        <v/>
      </c>
      <c r="X36" s="6">
        <f>Summary!X36</f>
        <v/>
      </c>
      <c r="Y36" s="6">
        <f>Summary!Y36</f>
        <v/>
      </c>
      <c r="Z36" s="6">
        <f>Summary!Z36</f>
        <v/>
      </c>
      <c r="AA36" s="6">
        <f>Summary!AA36</f>
        <v/>
      </c>
      <c r="AB36" s="6">
        <f>SUM(D36:AA36)</f>
        <v/>
      </c>
      <c r="AC36" s="3" t="inlineStr"/>
      <c r="AD36" s="7">
        <f>E36*0.001196975+D36*0.001196975</f>
        <v/>
      </c>
      <c r="AE36" s="7">
        <f>F36*0.001196975+E36*0.001196975</f>
        <v/>
      </c>
      <c r="AF36" s="7">
        <f>G36*0.001196975+F36*0.001196975</f>
        <v/>
      </c>
      <c r="AG36" s="7">
        <f>H36*0.001196975+G36*0.001196975</f>
        <v/>
      </c>
      <c r="AH36" s="7">
        <f>I36*0.001196975+H36*0.001196975</f>
        <v/>
      </c>
      <c r="AI36" s="7">
        <f>J36*0.001196975+I36*0.001196975</f>
        <v/>
      </c>
      <c r="AJ36" s="7">
        <f>K36*0.001196975+J36*0.001196975</f>
        <v/>
      </c>
      <c r="AK36" s="7">
        <f>L36*0.001196975+K36*0.001196975</f>
        <v/>
      </c>
      <c r="AL36" s="7">
        <f>M36*0.001196975+L36*0.001196975</f>
        <v/>
      </c>
      <c r="AM36" s="7">
        <f>N36*0.001196975+M36*0.001196975</f>
        <v/>
      </c>
      <c r="AN36" s="7">
        <f>O36*0.001196975+N36*0.001196975</f>
        <v/>
      </c>
      <c r="AO36" s="7">
        <f>P36*0.001196975+O36*0.001196975</f>
        <v/>
      </c>
      <c r="AP36" s="7">
        <f>Q36*0.001196975+P36*0.001196975</f>
        <v/>
      </c>
      <c r="AQ36" s="7">
        <f>R36*0.001196975+Q36*0.001196975</f>
        <v/>
      </c>
      <c r="AR36" s="7">
        <f>S36*0.001196975+R36*0.001196975</f>
        <v/>
      </c>
      <c r="AS36" s="7">
        <f>T36*0.001196975+S36*0.001196975</f>
        <v/>
      </c>
      <c r="AT36" s="7">
        <f>U36*0.001196975+T36*0.001196975</f>
        <v/>
      </c>
      <c r="AU36" s="7">
        <f>V36*0.001196975+U36*0.001196975</f>
        <v/>
      </c>
      <c r="AV36" s="7">
        <f>W36*0.001196975+V36*0.001196975</f>
        <v/>
      </c>
      <c r="AW36" s="7">
        <f>X36*0.001196975+W36*0.001196975</f>
        <v/>
      </c>
      <c r="AX36" s="7">
        <f>Y36*0.001196975+X36*0.001196975</f>
        <v/>
      </c>
      <c r="AY36" s="7">
        <f>Z36*0.001196975+Y36*0.001196975</f>
        <v/>
      </c>
      <c r="AZ36" s="7">
        <f>AA36*0.001196975+Z36*0.001196975</f>
        <v/>
      </c>
      <c r="BA36" s="7">
        <f>D36*0.001196975+AA36*0.001196975</f>
        <v/>
      </c>
      <c r="BB36" s="7">
        <f>SUM(AD36:BA36)</f>
        <v/>
      </c>
    </row>
    <row r="37">
      <c r="A37" t="inlineStr">
        <is>
          <t>AMD-FK-SSC</t>
        </is>
      </c>
      <c r="B37" t="inlineStr">
        <is>
          <t>Prime at Client side</t>
        </is>
      </c>
      <c r="C37" s="5" t="n">
        <v>46100</v>
      </c>
      <c r="D37" s="6">
        <f>Summary!D37</f>
        <v/>
      </c>
      <c r="E37" s="6">
        <f>Summary!E37</f>
        <v/>
      </c>
      <c r="F37" s="6">
        <f>Summary!F37</f>
        <v/>
      </c>
      <c r="G37" s="6">
        <f>Summary!G37</f>
        <v/>
      </c>
      <c r="H37" s="6">
        <f>Summary!H37</f>
        <v/>
      </c>
      <c r="I37" s="6">
        <f>Summary!I37</f>
        <v/>
      </c>
      <c r="J37" s="6">
        <f>Summary!J37</f>
        <v/>
      </c>
      <c r="K37" s="6">
        <f>Summary!K37</f>
        <v/>
      </c>
      <c r="L37" s="6">
        <f>Summary!L37</f>
        <v/>
      </c>
      <c r="M37" s="6">
        <f>Summary!M37</f>
        <v/>
      </c>
      <c r="N37" s="6">
        <f>Summary!N37</f>
        <v/>
      </c>
      <c r="O37" s="6">
        <f>Summary!O37</f>
        <v/>
      </c>
      <c r="P37" s="6">
        <f>Summary!P37</f>
        <v/>
      </c>
      <c r="Q37" s="6">
        <f>Summary!Q37</f>
        <v/>
      </c>
      <c r="R37" s="6">
        <f>Summary!R37</f>
        <v/>
      </c>
      <c r="S37" s="6">
        <f>Summary!S37</f>
        <v/>
      </c>
      <c r="T37" s="6">
        <f>Summary!T37</f>
        <v/>
      </c>
      <c r="U37" s="6">
        <f>Summary!U37</f>
        <v/>
      </c>
      <c r="V37" s="6">
        <f>Summary!V37</f>
        <v/>
      </c>
      <c r="W37" s="6">
        <f>Summary!W37</f>
        <v/>
      </c>
      <c r="X37" s="6">
        <f>Summary!X37</f>
        <v/>
      </c>
      <c r="Y37" s="6">
        <f>Summary!Y37</f>
        <v/>
      </c>
      <c r="Z37" s="6">
        <f>Summary!Z37</f>
        <v/>
      </c>
      <c r="AA37" s="6">
        <f>Summary!AA37</f>
        <v/>
      </c>
      <c r="AB37" s="6">
        <f>SUM(D37:AA37)</f>
        <v/>
      </c>
      <c r="AC37" s="3" t="inlineStr"/>
      <c r="AD37" s="7">
        <f>E37*0.001196975+D37*0.001196975</f>
        <v/>
      </c>
      <c r="AE37" s="7">
        <f>F37*0.001196975+E37*0.001196975</f>
        <v/>
      </c>
      <c r="AF37" s="7">
        <f>G37*0.001196975+F37*0.001196975</f>
        <v/>
      </c>
      <c r="AG37" s="7">
        <f>H37*0.001196975+G37*0.001196975</f>
        <v/>
      </c>
      <c r="AH37" s="7">
        <f>I37*0.001196975+H37*0.001196975</f>
        <v/>
      </c>
      <c r="AI37" s="7">
        <f>J37*0.001196975+I37*0.001196975</f>
        <v/>
      </c>
      <c r="AJ37" s="7">
        <f>K37*0.001196975+J37*0.001196975</f>
        <v/>
      </c>
      <c r="AK37" s="7">
        <f>L37*0.001196975+K37*0.001196975</f>
        <v/>
      </c>
      <c r="AL37" s="7">
        <f>M37*0.001196975+L37*0.001196975</f>
        <v/>
      </c>
      <c r="AM37" s="7">
        <f>N37*0.001196975+M37*0.001196975</f>
        <v/>
      </c>
      <c r="AN37" s="7">
        <f>O37*0.001196975+N37*0.001196975</f>
        <v/>
      </c>
      <c r="AO37" s="7">
        <f>P37*0.001196975+O37*0.001196975</f>
        <v/>
      </c>
      <c r="AP37" s="7">
        <f>Q37*0.001196975+P37*0.001196975</f>
        <v/>
      </c>
      <c r="AQ37" s="7">
        <f>R37*0.001196975+Q37*0.001196975</f>
        <v/>
      </c>
      <c r="AR37" s="7">
        <f>S37*0.001196975+R37*0.001196975</f>
        <v/>
      </c>
      <c r="AS37" s="7">
        <f>T37*0.001196975+S37*0.001196975</f>
        <v/>
      </c>
      <c r="AT37" s="7">
        <f>U37*0.001196975+T37*0.001196975</f>
        <v/>
      </c>
      <c r="AU37" s="7">
        <f>V37*0.001196975+U37*0.001196975</f>
        <v/>
      </c>
      <c r="AV37" s="7">
        <f>W37*0.001196975+V37*0.001196975</f>
        <v/>
      </c>
      <c r="AW37" s="7">
        <f>X37*0.001196975+W37*0.001196975</f>
        <v/>
      </c>
      <c r="AX37" s="7">
        <f>Y37*0.001196975+X37*0.001196975</f>
        <v/>
      </c>
      <c r="AY37" s="7">
        <f>Z37*0.001196975+Y37*0.001196975</f>
        <v/>
      </c>
      <c r="AZ37" s="7">
        <f>AA37*0.001196975+Z37*0.001196975</f>
        <v/>
      </c>
      <c r="BA37" s="7">
        <f>D37*0.001196975+AA37*0.001196975</f>
        <v/>
      </c>
      <c r="BB37" s="7">
        <f>SUM(AD37:BA37)</f>
        <v/>
      </c>
    </row>
    <row r="38">
      <c r="A38" t="inlineStr">
        <is>
          <t>AMD-FK-SSC</t>
        </is>
      </c>
      <c r="B38" t="inlineStr">
        <is>
          <t>Prime at Client side</t>
        </is>
      </c>
      <c r="C38" s="5" t="n">
        <v>46101</v>
      </c>
      <c r="D38" s="6">
        <f>Summary!D38</f>
        <v/>
      </c>
      <c r="E38" s="6">
        <f>Summary!E38</f>
        <v/>
      </c>
      <c r="F38" s="6">
        <f>Summary!F38</f>
        <v/>
      </c>
      <c r="G38" s="6">
        <f>Summary!G38</f>
        <v/>
      </c>
      <c r="H38" s="6">
        <f>Summary!H38</f>
        <v/>
      </c>
      <c r="I38" s="6">
        <f>Summary!I38</f>
        <v/>
      </c>
      <c r="J38" s="6">
        <f>Summary!J38</f>
        <v/>
      </c>
      <c r="K38" s="6">
        <f>Summary!K38</f>
        <v/>
      </c>
      <c r="L38" s="6">
        <f>Summary!L38</f>
        <v/>
      </c>
      <c r="M38" s="6">
        <f>Summary!M38</f>
        <v/>
      </c>
      <c r="N38" s="6">
        <f>Summary!N38</f>
        <v/>
      </c>
      <c r="O38" s="6">
        <f>Summary!O38</f>
        <v/>
      </c>
      <c r="P38" s="6">
        <f>Summary!P38</f>
        <v/>
      </c>
      <c r="Q38" s="6">
        <f>Summary!Q38</f>
        <v/>
      </c>
      <c r="R38" s="6">
        <f>Summary!R38</f>
        <v/>
      </c>
      <c r="S38" s="6">
        <f>Summary!S38</f>
        <v/>
      </c>
      <c r="T38" s="6">
        <f>Summary!T38</f>
        <v/>
      </c>
      <c r="U38" s="6">
        <f>Summary!U38</f>
        <v/>
      </c>
      <c r="V38" s="6">
        <f>Summary!V38</f>
        <v/>
      </c>
      <c r="W38" s="6">
        <f>Summary!W38</f>
        <v/>
      </c>
      <c r="X38" s="6">
        <f>Summary!X38</f>
        <v/>
      </c>
      <c r="Y38" s="6">
        <f>Summary!Y38</f>
        <v/>
      </c>
      <c r="Z38" s="6">
        <f>Summary!Z38</f>
        <v/>
      </c>
      <c r="AA38" s="6">
        <f>Summary!AA38</f>
        <v/>
      </c>
      <c r="AB38" s="6">
        <f>SUM(D38:AA38)</f>
        <v/>
      </c>
      <c r="AC38" s="3" t="inlineStr"/>
      <c r="AD38" s="7">
        <f>E38*0.001196975+D38*0.001196975</f>
        <v/>
      </c>
      <c r="AE38" s="7">
        <f>F38*0.001196975+E38*0.001196975</f>
        <v/>
      </c>
      <c r="AF38" s="7">
        <f>G38*0.001196975+F38*0.001196975</f>
        <v/>
      </c>
      <c r="AG38" s="7">
        <f>H38*0.001196975+G38*0.001196975</f>
        <v/>
      </c>
      <c r="AH38" s="7">
        <f>I38*0.001196975+H38*0.001196975</f>
        <v/>
      </c>
      <c r="AI38" s="7">
        <f>J38*0.001196975+I38*0.001196975</f>
        <v/>
      </c>
      <c r="AJ38" s="7">
        <f>K38*0.001196975+J38*0.001196975</f>
        <v/>
      </c>
      <c r="AK38" s="7">
        <f>L38*0.001196975+K38*0.001196975</f>
        <v/>
      </c>
      <c r="AL38" s="7">
        <f>M38*0.001196975+L38*0.001196975</f>
        <v/>
      </c>
      <c r="AM38" s="7">
        <f>N38*0.001196975+M38*0.001196975</f>
        <v/>
      </c>
      <c r="AN38" s="7">
        <f>O38*0.001196975+N38*0.001196975</f>
        <v/>
      </c>
      <c r="AO38" s="7">
        <f>P38*0.001196975+O38*0.001196975</f>
        <v/>
      </c>
      <c r="AP38" s="7">
        <f>Q38*0.001196975+P38*0.001196975</f>
        <v/>
      </c>
      <c r="AQ38" s="7">
        <f>R38*0.001196975+Q38*0.001196975</f>
        <v/>
      </c>
      <c r="AR38" s="7">
        <f>S38*0.001196975+R38*0.001196975</f>
        <v/>
      </c>
      <c r="AS38" s="7">
        <f>T38*0.001196975+S38*0.001196975</f>
        <v/>
      </c>
      <c r="AT38" s="7">
        <f>U38*0.001196975+T38*0.001196975</f>
        <v/>
      </c>
      <c r="AU38" s="7">
        <f>V38*0.001196975+U38*0.001196975</f>
        <v/>
      </c>
      <c r="AV38" s="7">
        <f>W38*0.001196975+V38*0.001196975</f>
        <v/>
      </c>
      <c r="AW38" s="7">
        <f>X38*0.001196975+W38*0.001196975</f>
        <v/>
      </c>
      <c r="AX38" s="7">
        <f>Y38*0.001196975+X38*0.001196975</f>
        <v/>
      </c>
      <c r="AY38" s="7">
        <f>Z38*0.001196975+Y38*0.001196975</f>
        <v/>
      </c>
      <c r="AZ38" s="7">
        <f>AA38*0.001196975+Z38*0.001196975</f>
        <v/>
      </c>
      <c r="BA38" s="7">
        <f>D38*0.001196975+AA38*0.001196975</f>
        <v/>
      </c>
      <c r="BB38" s="7">
        <f>SUM(AD38:BA38)</f>
        <v/>
      </c>
    </row>
    <row r="39">
      <c r="A39" t="inlineStr">
        <is>
          <t>AMD-FK-SSC</t>
        </is>
      </c>
      <c r="B39" t="inlineStr">
        <is>
          <t>Prime at Client side</t>
        </is>
      </c>
      <c r="C39" s="5" t="n">
        <v>46102</v>
      </c>
      <c r="D39" s="6">
        <f>Summary!D39</f>
        <v/>
      </c>
      <c r="E39" s="6">
        <f>Summary!E39</f>
        <v/>
      </c>
      <c r="F39" s="6">
        <f>Summary!F39</f>
        <v/>
      </c>
      <c r="G39" s="6">
        <f>Summary!G39</f>
        <v/>
      </c>
      <c r="H39" s="6">
        <f>Summary!H39</f>
        <v/>
      </c>
      <c r="I39" s="6">
        <f>Summary!I39</f>
        <v/>
      </c>
      <c r="J39" s="6">
        <f>Summary!J39</f>
        <v/>
      </c>
      <c r="K39" s="6">
        <f>Summary!K39</f>
        <v/>
      </c>
      <c r="L39" s="6">
        <f>Summary!L39</f>
        <v/>
      </c>
      <c r="M39" s="6">
        <f>Summary!M39</f>
        <v/>
      </c>
      <c r="N39" s="6">
        <f>Summary!N39</f>
        <v/>
      </c>
      <c r="O39" s="6">
        <f>Summary!O39</f>
        <v/>
      </c>
      <c r="P39" s="6">
        <f>Summary!P39</f>
        <v/>
      </c>
      <c r="Q39" s="6">
        <f>Summary!Q39</f>
        <v/>
      </c>
      <c r="R39" s="6">
        <f>Summary!R39</f>
        <v/>
      </c>
      <c r="S39" s="6">
        <f>Summary!S39</f>
        <v/>
      </c>
      <c r="T39" s="6">
        <f>Summary!T39</f>
        <v/>
      </c>
      <c r="U39" s="6">
        <f>Summary!U39</f>
        <v/>
      </c>
      <c r="V39" s="6">
        <f>Summary!V39</f>
        <v/>
      </c>
      <c r="W39" s="6">
        <f>Summary!W39</f>
        <v/>
      </c>
      <c r="X39" s="6">
        <f>Summary!X39</f>
        <v/>
      </c>
      <c r="Y39" s="6">
        <f>Summary!Y39</f>
        <v/>
      </c>
      <c r="Z39" s="6">
        <f>Summary!Z39</f>
        <v/>
      </c>
      <c r="AA39" s="6">
        <f>Summary!AA39</f>
        <v/>
      </c>
      <c r="AB39" s="6">
        <f>SUM(D39:AA39)</f>
        <v/>
      </c>
      <c r="AC39" s="3" t="inlineStr"/>
      <c r="AD39" s="7">
        <f>E39*0.001196975+D39*0.001196975</f>
        <v/>
      </c>
      <c r="AE39" s="7">
        <f>F39*0.001196975+E39*0.001196975</f>
        <v/>
      </c>
      <c r="AF39" s="7">
        <f>G39*0.001196975+F39*0.001196975</f>
        <v/>
      </c>
      <c r="AG39" s="7">
        <f>H39*0.001196975+G39*0.001196975</f>
        <v/>
      </c>
      <c r="AH39" s="7">
        <f>I39*0.001196975+H39*0.001196975</f>
        <v/>
      </c>
      <c r="AI39" s="7">
        <f>J39*0.001196975+I39*0.001196975</f>
        <v/>
      </c>
      <c r="AJ39" s="7">
        <f>K39*0.001196975+J39*0.001196975</f>
        <v/>
      </c>
      <c r="AK39" s="7">
        <f>L39*0.001196975+K39*0.001196975</f>
        <v/>
      </c>
      <c r="AL39" s="7">
        <f>M39*0.001196975+L39*0.001196975</f>
        <v/>
      </c>
      <c r="AM39" s="7">
        <f>N39*0.001196975+M39*0.001196975</f>
        <v/>
      </c>
      <c r="AN39" s="7">
        <f>O39*0.001196975+N39*0.001196975</f>
        <v/>
      </c>
      <c r="AO39" s="7">
        <f>P39*0.001196975+O39*0.001196975</f>
        <v/>
      </c>
      <c r="AP39" s="7">
        <f>Q39*0.001196975+P39*0.001196975</f>
        <v/>
      </c>
      <c r="AQ39" s="7">
        <f>R39*0.001196975+Q39*0.001196975</f>
        <v/>
      </c>
      <c r="AR39" s="7">
        <f>S39*0.001196975+R39*0.001196975</f>
        <v/>
      </c>
      <c r="AS39" s="7">
        <f>T39*0.001196975+S39*0.001196975</f>
        <v/>
      </c>
      <c r="AT39" s="7">
        <f>U39*0.001196975+T39*0.001196975</f>
        <v/>
      </c>
      <c r="AU39" s="7">
        <f>V39*0.001196975+U39*0.001196975</f>
        <v/>
      </c>
      <c r="AV39" s="7">
        <f>W39*0.001196975+V39*0.001196975</f>
        <v/>
      </c>
      <c r="AW39" s="7">
        <f>X39*0.001196975+W39*0.001196975</f>
        <v/>
      </c>
      <c r="AX39" s="7">
        <f>Y39*0.001196975+X39*0.001196975</f>
        <v/>
      </c>
      <c r="AY39" s="7">
        <f>Z39*0.001196975+Y39*0.001196975</f>
        <v/>
      </c>
      <c r="AZ39" s="7">
        <f>AA39*0.001196975+Z39*0.001196975</f>
        <v/>
      </c>
      <c r="BA39" s="7">
        <f>D39*0.001196975+AA39*0.001196975</f>
        <v/>
      </c>
      <c r="BB39" s="7">
        <f>SUM(AD39:BA39)</f>
        <v/>
      </c>
    </row>
    <row r="40">
      <c r="A40" t="inlineStr">
        <is>
          <t>AMD-FK-SSC</t>
        </is>
      </c>
      <c r="B40" t="inlineStr">
        <is>
          <t>Prime at Client side</t>
        </is>
      </c>
      <c r="C40" s="5" t="n">
        <v>46103</v>
      </c>
      <c r="D40" s="6">
        <f>Summary!D40</f>
        <v/>
      </c>
      <c r="E40" s="6">
        <f>Summary!E40</f>
        <v/>
      </c>
      <c r="F40" s="6">
        <f>Summary!F40</f>
        <v/>
      </c>
      <c r="G40" s="6">
        <f>Summary!G40</f>
        <v/>
      </c>
      <c r="H40" s="6">
        <f>Summary!H40</f>
        <v/>
      </c>
      <c r="I40" s="6">
        <f>Summary!I40</f>
        <v/>
      </c>
      <c r="J40" s="6">
        <f>Summary!J40</f>
        <v/>
      </c>
      <c r="K40" s="6">
        <f>Summary!K40</f>
        <v/>
      </c>
      <c r="L40" s="6">
        <f>Summary!L40</f>
        <v/>
      </c>
      <c r="M40" s="6">
        <f>Summary!M40</f>
        <v/>
      </c>
      <c r="N40" s="6">
        <f>Summary!N40</f>
        <v/>
      </c>
      <c r="O40" s="6">
        <f>Summary!O40</f>
        <v/>
      </c>
      <c r="P40" s="6">
        <f>Summary!P40</f>
        <v/>
      </c>
      <c r="Q40" s="6">
        <f>Summary!Q40</f>
        <v/>
      </c>
      <c r="R40" s="6">
        <f>Summary!R40</f>
        <v/>
      </c>
      <c r="S40" s="6">
        <f>Summary!S40</f>
        <v/>
      </c>
      <c r="T40" s="6">
        <f>Summary!T40</f>
        <v/>
      </c>
      <c r="U40" s="6">
        <f>Summary!U40</f>
        <v/>
      </c>
      <c r="V40" s="6">
        <f>Summary!V40</f>
        <v/>
      </c>
      <c r="W40" s="6">
        <f>Summary!W40</f>
        <v/>
      </c>
      <c r="X40" s="6">
        <f>Summary!X40</f>
        <v/>
      </c>
      <c r="Y40" s="6">
        <f>Summary!Y40</f>
        <v/>
      </c>
      <c r="Z40" s="6">
        <f>Summary!Z40</f>
        <v/>
      </c>
      <c r="AA40" s="6">
        <f>Summary!AA40</f>
        <v/>
      </c>
      <c r="AB40" s="6">
        <f>SUM(D40:AA40)</f>
        <v/>
      </c>
      <c r="AC40" s="3" t="inlineStr"/>
      <c r="AD40" s="7">
        <f>E40*0.001196975+D40*0.001196975</f>
        <v/>
      </c>
      <c r="AE40" s="7">
        <f>F40*0.001196975+E40*0.001196975</f>
        <v/>
      </c>
      <c r="AF40" s="7">
        <f>G40*0.001196975+F40*0.001196975</f>
        <v/>
      </c>
      <c r="AG40" s="7">
        <f>H40*0.001196975+G40*0.001196975</f>
        <v/>
      </c>
      <c r="AH40" s="7">
        <f>I40*0.001196975+H40*0.001196975</f>
        <v/>
      </c>
      <c r="AI40" s="7">
        <f>J40*0.001196975+I40*0.001196975</f>
        <v/>
      </c>
      <c r="AJ40" s="7">
        <f>K40*0.001196975+J40*0.001196975</f>
        <v/>
      </c>
      <c r="AK40" s="7">
        <f>L40*0.001196975+K40*0.001196975</f>
        <v/>
      </c>
      <c r="AL40" s="7">
        <f>M40*0.001196975+L40*0.001196975</f>
        <v/>
      </c>
      <c r="AM40" s="7">
        <f>N40*0.001196975+M40*0.001196975</f>
        <v/>
      </c>
      <c r="AN40" s="7">
        <f>O40*0.001196975+N40*0.001196975</f>
        <v/>
      </c>
      <c r="AO40" s="7">
        <f>P40*0.001196975+O40*0.001196975</f>
        <v/>
      </c>
      <c r="AP40" s="7">
        <f>Q40*0.001196975+P40*0.001196975</f>
        <v/>
      </c>
      <c r="AQ40" s="7">
        <f>R40*0.001196975+Q40*0.001196975</f>
        <v/>
      </c>
      <c r="AR40" s="7">
        <f>S40*0.001196975+R40*0.001196975</f>
        <v/>
      </c>
      <c r="AS40" s="7">
        <f>T40*0.001196975+S40*0.001196975</f>
        <v/>
      </c>
      <c r="AT40" s="7">
        <f>U40*0.001196975+T40*0.001196975</f>
        <v/>
      </c>
      <c r="AU40" s="7">
        <f>V40*0.001196975+U40*0.001196975</f>
        <v/>
      </c>
      <c r="AV40" s="7">
        <f>W40*0.001196975+V40*0.001196975</f>
        <v/>
      </c>
      <c r="AW40" s="7">
        <f>X40*0.001196975+W40*0.001196975</f>
        <v/>
      </c>
      <c r="AX40" s="7">
        <f>Y40*0.001196975+X40*0.001196975</f>
        <v/>
      </c>
      <c r="AY40" s="7">
        <f>Z40*0.001196975+Y40*0.001196975</f>
        <v/>
      </c>
      <c r="AZ40" s="7">
        <f>AA40*0.001196975+Z40*0.001196975</f>
        <v/>
      </c>
      <c r="BA40" s="7">
        <f>D40*0.001196975+AA40*0.001196975</f>
        <v/>
      </c>
      <c r="BB40" s="7">
        <f>SUM(AD40:BA40)</f>
        <v/>
      </c>
    </row>
    <row r="41">
      <c r="A41" t="inlineStr">
        <is>
          <t>AMD-FK-SSC</t>
        </is>
      </c>
      <c r="B41" t="inlineStr">
        <is>
          <t>Prime at Client side</t>
        </is>
      </c>
      <c r="C41" s="5" t="n">
        <v>46104</v>
      </c>
      <c r="D41" s="6">
        <f>Summary!D41</f>
        <v/>
      </c>
      <c r="E41" s="6">
        <f>Summary!E41</f>
        <v/>
      </c>
      <c r="F41" s="6">
        <f>Summary!F41</f>
        <v/>
      </c>
      <c r="G41" s="6">
        <f>Summary!G41</f>
        <v/>
      </c>
      <c r="H41" s="6">
        <f>Summary!H41</f>
        <v/>
      </c>
      <c r="I41" s="6">
        <f>Summary!I41</f>
        <v/>
      </c>
      <c r="J41" s="6">
        <f>Summary!J41</f>
        <v/>
      </c>
      <c r="K41" s="6">
        <f>Summary!K41</f>
        <v/>
      </c>
      <c r="L41" s="6">
        <f>Summary!L41</f>
        <v/>
      </c>
      <c r="M41" s="6">
        <f>Summary!M41</f>
        <v/>
      </c>
      <c r="N41" s="6">
        <f>Summary!N41</f>
        <v/>
      </c>
      <c r="O41" s="6">
        <f>Summary!O41</f>
        <v/>
      </c>
      <c r="P41" s="6">
        <f>Summary!P41</f>
        <v/>
      </c>
      <c r="Q41" s="6">
        <f>Summary!Q41</f>
        <v/>
      </c>
      <c r="R41" s="6">
        <f>Summary!R41</f>
        <v/>
      </c>
      <c r="S41" s="6">
        <f>Summary!S41</f>
        <v/>
      </c>
      <c r="T41" s="6">
        <f>Summary!T41</f>
        <v/>
      </c>
      <c r="U41" s="6">
        <f>Summary!U41</f>
        <v/>
      </c>
      <c r="V41" s="6">
        <f>Summary!V41</f>
        <v/>
      </c>
      <c r="W41" s="6">
        <f>Summary!W41</f>
        <v/>
      </c>
      <c r="X41" s="6">
        <f>Summary!X41</f>
        <v/>
      </c>
      <c r="Y41" s="6">
        <f>Summary!Y41</f>
        <v/>
      </c>
      <c r="Z41" s="6">
        <f>Summary!Z41</f>
        <v/>
      </c>
      <c r="AA41" s="6">
        <f>Summary!AA41</f>
        <v/>
      </c>
      <c r="AB41" s="6">
        <f>SUM(D41:AA41)</f>
        <v/>
      </c>
      <c r="AC41" s="3" t="inlineStr"/>
      <c r="AD41" s="7">
        <f>E41*0.001196975+D41*0.001196975</f>
        <v/>
      </c>
      <c r="AE41" s="7">
        <f>F41*0.001196975+E41*0.001196975</f>
        <v/>
      </c>
      <c r="AF41" s="7">
        <f>G41*0.001196975+F41*0.001196975</f>
        <v/>
      </c>
      <c r="AG41" s="7">
        <f>H41*0.001196975+G41*0.001196975</f>
        <v/>
      </c>
      <c r="AH41" s="7">
        <f>I41*0.001196975+H41*0.001196975</f>
        <v/>
      </c>
      <c r="AI41" s="7">
        <f>J41*0.001196975+I41*0.001196975</f>
        <v/>
      </c>
      <c r="AJ41" s="7">
        <f>K41*0.001196975+J41*0.001196975</f>
        <v/>
      </c>
      <c r="AK41" s="7">
        <f>L41*0.001196975+K41*0.001196975</f>
        <v/>
      </c>
      <c r="AL41" s="7">
        <f>M41*0.001196975+L41*0.001196975</f>
        <v/>
      </c>
      <c r="AM41" s="7">
        <f>N41*0.001196975+M41*0.001196975</f>
        <v/>
      </c>
      <c r="AN41" s="7">
        <f>O41*0.001196975+N41*0.001196975</f>
        <v/>
      </c>
      <c r="AO41" s="7">
        <f>P41*0.001196975+O41*0.001196975</f>
        <v/>
      </c>
      <c r="AP41" s="7">
        <f>Q41*0.001196975+P41*0.001196975</f>
        <v/>
      </c>
      <c r="AQ41" s="7">
        <f>R41*0.001196975+Q41*0.001196975</f>
        <v/>
      </c>
      <c r="AR41" s="7">
        <f>S41*0.001196975+R41*0.001196975</f>
        <v/>
      </c>
      <c r="AS41" s="7">
        <f>T41*0.001196975+S41*0.001196975</f>
        <v/>
      </c>
      <c r="AT41" s="7">
        <f>U41*0.001196975+T41*0.001196975</f>
        <v/>
      </c>
      <c r="AU41" s="7">
        <f>V41*0.001196975+U41*0.001196975</f>
        <v/>
      </c>
      <c r="AV41" s="7">
        <f>W41*0.001196975+V41*0.001196975</f>
        <v/>
      </c>
      <c r="AW41" s="7">
        <f>X41*0.001196975+W41*0.001196975</f>
        <v/>
      </c>
      <c r="AX41" s="7">
        <f>Y41*0.001196975+X41*0.001196975</f>
        <v/>
      </c>
      <c r="AY41" s="7">
        <f>Z41*0.001196975+Y41*0.001196975</f>
        <v/>
      </c>
      <c r="AZ41" s="7">
        <f>AA41*0.001196975+Z41*0.001196975</f>
        <v/>
      </c>
      <c r="BA41" s="7">
        <f>D41*0.001196975+AA41*0.001196975</f>
        <v/>
      </c>
      <c r="BB41" s="7">
        <f>SUM(AD41:BA41)</f>
        <v/>
      </c>
    </row>
    <row r="42">
      <c r="A42" t="inlineStr">
        <is>
          <t>AMD-FK-SSC</t>
        </is>
      </c>
      <c r="B42" t="inlineStr">
        <is>
          <t>Prime at Client side</t>
        </is>
      </c>
      <c r="C42" s="5" t="n">
        <v>46105</v>
      </c>
      <c r="D42" s="6">
        <f>Summary!D42</f>
        <v/>
      </c>
      <c r="E42" s="6">
        <f>Summary!E42</f>
        <v/>
      </c>
      <c r="F42" s="6">
        <f>Summary!F42</f>
        <v/>
      </c>
      <c r="G42" s="6">
        <f>Summary!G42</f>
        <v/>
      </c>
      <c r="H42" s="6">
        <f>Summary!H42</f>
        <v/>
      </c>
      <c r="I42" s="6">
        <f>Summary!I42</f>
        <v/>
      </c>
      <c r="J42" s="6">
        <f>Summary!J42</f>
        <v/>
      </c>
      <c r="K42" s="6">
        <f>Summary!K42</f>
        <v/>
      </c>
      <c r="L42" s="6">
        <f>Summary!L42</f>
        <v/>
      </c>
      <c r="M42" s="6">
        <f>Summary!M42</f>
        <v/>
      </c>
      <c r="N42" s="6">
        <f>Summary!N42</f>
        <v/>
      </c>
      <c r="O42" s="6">
        <f>Summary!O42</f>
        <v/>
      </c>
      <c r="P42" s="6">
        <f>Summary!P42</f>
        <v/>
      </c>
      <c r="Q42" s="6">
        <f>Summary!Q42</f>
        <v/>
      </c>
      <c r="R42" s="6">
        <f>Summary!R42</f>
        <v/>
      </c>
      <c r="S42" s="6">
        <f>Summary!S42</f>
        <v/>
      </c>
      <c r="T42" s="6">
        <f>Summary!T42</f>
        <v/>
      </c>
      <c r="U42" s="6">
        <f>Summary!U42</f>
        <v/>
      </c>
      <c r="V42" s="6">
        <f>Summary!V42</f>
        <v/>
      </c>
      <c r="W42" s="6">
        <f>Summary!W42</f>
        <v/>
      </c>
      <c r="X42" s="6">
        <f>Summary!X42</f>
        <v/>
      </c>
      <c r="Y42" s="6">
        <f>Summary!Y42</f>
        <v/>
      </c>
      <c r="Z42" s="6">
        <f>Summary!Z42</f>
        <v/>
      </c>
      <c r="AA42" s="6">
        <f>Summary!AA42</f>
        <v/>
      </c>
      <c r="AB42" s="6">
        <f>SUM(D42:AA42)</f>
        <v/>
      </c>
      <c r="AC42" s="3" t="inlineStr"/>
      <c r="AD42" s="7">
        <f>E42*0.001196975+D42*0.001196975</f>
        <v/>
      </c>
      <c r="AE42" s="7">
        <f>F42*0.001196975+E42*0.001196975</f>
        <v/>
      </c>
      <c r="AF42" s="7">
        <f>G42*0.001196975+F42*0.001196975</f>
        <v/>
      </c>
      <c r="AG42" s="7">
        <f>H42*0.001196975+G42*0.001196975</f>
        <v/>
      </c>
      <c r="AH42" s="7">
        <f>I42*0.001196975+H42*0.001196975</f>
        <v/>
      </c>
      <c r="AI42" s="7">
        <f>J42*0.001196975+I42*0.001196975</f>
        <v/>
      </c>
      <c r="AJ42" s="7">
        <f>K42*0.001196975+J42*0.001196975</f>
        <v/>
      </c>
      <c r="AK42" s="7">
        <f>L42*0.001196975+K42*0.001196975</f>
        <v/>
      </c>
      <c r="AL42" s="7">
        <f>M42*0.001196975+L42*0.001196975</f>
        <v/>
      </c>
      <c r="AM42" s="7">
        <f>N42*0.001196975+M42*0.001196975</f>
        <v/>
      </c>
      <c r="AN42" s="7">
        <f>O42*0.001196975+N42*0.001196975</f>
        <v/>
      </c>
      <c r="AO42" s="7">
        <f>P42*0.001196975+O42*0.001196975</f>
        <v/>
      </c>
      <c r="AP42" s="7">
        <f>Q42*0.001196975+P42*0.001196975</f>
        <v/>
      </c>
      <c r="AQ42" s="7">
        <f>R42*0.001196975+Q42*0.001196975</f>
        <v/>
      </c>
      <c r="AR42" s="7">
        <f>S42*0.001196975+R42*0.001196975</f>
        <v/>
      </c>
      <c r="AS42" s="7">
        <f>T42*0.001196975+S42*0.001196975</f>
        <v/>
      </c>
      <c r="AT42" s="7">
        <f>U42*0.001196975+T42*0.001196975</f>
        <v/>
      </c>
      <c r="AU42" s="7">
        <f>V42*0.001196975+U42*0.001196975</f>
        <v/>
      </c>
      <c r="AV42" s="7">
        <f>W42*0.001196975+V42*0.001196975</f>
        <v/>
      </c>
      <c r="AW42" s="7">
        <f>X42*0.001196975+W42*0.001196975</f>
        <v/>
      </c>
      <c r="AX42" s="7">
        <f>Y42*0.001196975+X42*0.001196975</f>
        <v/>
      </c>
      <c r="AY42" s="7">
        <f>Z42*0.001196975+Y42*0.001196975</f>
        <v/>
      </c>
      <c r="AZ42" s="7">
        <f>AA42*0.001196975+Z42*0.001196975</f>
        <v/>
      </c>
      <c r="BA42" s="7">
        <f>D42*0.001196975+AA42*0.001196975</f>
        <v/>
      </c>
      <c r="BB42" s="7">
        <f>SUM(AD42:BA42)</f>
        <v/>
      </c>
    </row>
    <row r="43">
      <c r="A43" t="inlineStr">
        <is>
          <t>AMD-FWDPRI-SSC</t>
        </is>
      </c>
      <c r="B43" t="inlineStr">
        <is>
          <t>FWD Priority OSC</t>
        </is>
      </c>
      <c r="C43" s="5" t="n">
        <v>46098</v>
      </c>
      <c r="D43" s="6">
        <f>Summary!D43</f>
        <v/>
      </c>
      <c r="E43" s="6">
        <f>Summary!E43</f>
        <v/>
      </c>
      <c r="F43" s="6">
        <f>Summary!F43</f>
        <v/>
      </c>
      <c r="G43" s="6">
        <f>Summary!G43</f>
        <v/>
      </c>
      <c r="H43" s="6">
        <f>Summary!H43</f>
        <v/>
      </c>
      <c r="I43" s="6">
        <f>Summary!I43</f>
        <v/>
      </c>
      <c r="J43" s="6">
        <f>Summary!J43</f>
        <v/>
      </c>
      <c r="K43" s="6">
        <f>Summary!K43</f>
        <v/>
      </c>
      <c r="L43" s="6">
        <f>Summary!L43</f>
        <v/>
      </c>
      <c r="M43" s="6">
        <f>Summary!M43</f>
        <v/>
      </c>
      <c r="N43" s="6">
        <f>Summary!N43</f>
        <v/>
      </c>
      <c r="O43" s="6">
        <f>Summary!O43</f>
        <v/>
      </c>
      <c r="P43" s="6">
        <f>Summary!P43</f>
        <v/>
      </c>
      <c r="Q43" s="6">
        <f>Summary!Q43</f>
        <v/>
      </c>
      <c r="R43" s="6">
        <f>Summary!R43</f>
        <v/>
      </c>
      <c r="S43" s="6">
        <f>Summary!S43</f>
        <v/>
      </c>
      <c r="T43" s="6">
        <f>Summary!T43</f>
        <v/>
      </c>
      <c r="U43" s="6">
        <f>Summary!U43</f>
        <v/>
      </c>
      <c r="V43" s="6">
        <f>Summary!V43</f>
        <v/>
      </c>
      <c r="W43" s="6">
        <f>Summary!W43</f>
        <v/>
      </c>
      <c r="X43" s="6">
        <f>Summary!X43</f>
        <v/>
      </c>
      <c r="Y43" s="6">
        <f>Summary!Y43</f>
        <v/>
      </c>
      <c r="Z43" s="6">
        <f>Summary!Z43</f>
        <v/>
      </c>
      <c r="AA43" s="6">
        <f>Summary!AA43</f>
        <v/>
      </c>
      <c r="AB43" s="6">
        <f>SUM(D43:AA43)</f>
        <v/>
      </c>
      <c r="AC43" s="3" t="inlineStr"/>
      <c r="AD43" s="7">
        <f>E43*0.001196975+D43*0.001196975</f>
        <v/>
      </c>
      <c r="AE43" s="7">
        <f>F43*0.001196975+E43*0.001196975</f>
        <v/>
      </c>
      <c r="AF43" s="7">
        <f>G43*0.001196975+F43*0.001196975</f>
        <v/>
      </c>
      <c r="AG43" s="7">
        <f>H43*0.001196975+G43*0.001196975</f>
        <v/>
      </c>
      <c r="AH43" s="7">
        <f>I43*0.001196975+H43*0.001196975</f>
        <v/>
      </c>
      <c r="AI43" s="7">
        <f>J43*0.001196975+I43*0.001196975</f>
        <v/>
      </c>
      <c r="AJ43" s="7">
        <f>K43*0.001196975+J43*0.001196975</f>
        <v/>
      </c>
      <c r="AK43" s="7">
        <f>L43*0.001196975+K43*0.001196975</f>
        <v/>
      </c>
      <c r="AL43" s="7">
        <f>M43*0.001196975+L43*0.001196975</f>
        <v/>
      </c>
      <c r="AM43" s="7">
        <f>N43*0.001196975+M43*0.001196975</f>
        <v/>
      </c>
      <c r="AN43" s="7">
        <f>O43*0.001196975+N43*0.001196975</f>
        <v/>
      </c>
      <c r="AO43" s="7">
        <f>P43*0.001196975+O43*0.001196975</f>
        <v/>
      </c>
      <c r="AP43" s="7">
        <f>Q43*0.001196975+P43*0.001196975</f>
        <v/>
      </c>
      <c r="AQ43" s="7">
        <f>R43*0.001196975+Q43*0.001196975</f>
        <v/>
      </c>
      <c r="AR43" s="7">
        <f>S43*0.001196975+R43*0.001196975</f>
        <v/>
      </c>
      <c r="AS43" s="7">
        <f>T43*0.001196975+S43*0.001196975</f>
        <v/>
      </c>
      <c r="AT43" s="7">
        <f>U43*0.001196975+T43*0.001196975</f>
        <v/>
      </c>
      <c r="AU43" s="7">
        <f>V43*0.001196975+U43*0.001196975</f>
        <v/>
      </c>
      <c r="AV43" s="7">
        <f>W43*0.001196975+V43*0.001196975</f>
        <v/>
      </c>
      <c r="AW43" s="7">
        <f>X43*0.001196975+W43*0.001196975</f>
        <v/>
      </c>
      <c r="AX43" s="7">
        <f>Y43*0.001196975+X43*0.001196975</f>
        <v/>
      </c>
      <c r="AY43" s="7">
        <f>Z43*0.001196975+Y43*0.001196975</f>
        <v/>
      </c>
      <c r="AZ43" s="7">
        <f>AA43*0.001196975+Z43*0.001196975</f>
        <v/>
      </c>
      <c r="BA43" s="7">
        <f>D43*0.001196975+AA43*0.001196975</f>
        <v/>
      </c>
      <c r="BB43" s="7">
        <f>SUM(AD43:BA43)</f>
        <v/>
      </c>
    </row>
    <row r="44">
      <c r="A44" t="inlineStr">
        <is>
          <t>AMD-FWDPRI-SSC</t>
        </is>
      </c>
      <c r="B44" t="inlineStr">
        <is>
          <t>FWD Priority OSC</t>
        </is>
      </c>
      <c r="C44" s="5" t="n">
        <v>46099</v>
      </c>
      <c r="D44" s="6">
        <f>Summary!D44</f>
        <v/>
      </c>
      <c r="E44" s="6">
        <f>Summary!E44</f>
        <v/>
      </c>
      <c r="F44" s="6">
        <f>Summary!F44</f>
        <v/>
      </c>
      <c r="G44" s="6">
        <f>Summary!G44</f>
        <v/>
      </c>
      <c r="H44" s="6">
        <f>Summary!H44</f>
        <v/>
      </c>
      <c r="I44" s="6">
        <f>Summary!I44</f>
        <v/>
      </c>
      <c r="J44" s="6">
        <f>Summary!J44</f>
        <v/>
      </c>
      <c r="K44" s="6">
        <f>Summary!K44</f>
        <v/>
      </c>
      <c r="L44" s="6">
        <f>Summary!L44</f>
        <v/>
      </c>
      <c r="M44" s="6">
        <f>Summary!M44</f>
        <v/>
      </c>
      <c r="N44" s="6">
        <f>Summary!N44</f>
        <v/>
      </c>
      <c r="O44" s="6">
        <f>Summary!O44</f>
        <v/>
      </c>
      <c r="P44" s="6">
        <f>Summary!P44</f>
        <v/>
      </c>
      <c r="Q44" s="6">
        <f>Summary!Q44</f>
        <v/>
      </c>
      <c r="R44" s="6">
        <f>Summary!R44</f>
        <v/>
      </c>
      <c r="S44" s="6">
        <f>Summary!S44</f>
        <v/>
      </c>
      <c r="T44" s="6">
        <f>Summary!T44</f>
        <v/>
      </c>
      <c r="U44" s="6">
        <f>Summary!U44</f>
        <v/>
      </c>
      <c r="V44" s="6">
        <f>Summary!V44</f>
        <v/>
      </c>
      <c r="W44" s="6">
        <f>Summary!W44</f>
        <v/>
      </c>
      <c r="X44" s="6">
        <f>Summary!X44</f>
        <v/>
      </c>
      <c r="Y44" s="6">
        <f>Summary!Y44</f>
        <v/>
      </c>
      <c r="Z44" s="6">
        <f>Summary!Z44</f>
        <v/>
      </c>
      <c r="AA44" s="6">
        <f>Summary!AA44</f>
        <v/>
      </c>
      <c r="AB44" s="6">
        <f>SUM(D44:AA44)</f>
        <v/>
      </c>
      <c r="AC44" s="3" t="inlineStr"/>
      <c r="AD44" s="7">
        <f>E44*0.001196975+D44*0.001196975</f>
        <v/>
      </c>
      <c r="AE44" s="7">
        <f>F44*0.001196975+E44*0.001196975</f>
        <v/>
      </c>
      <c r="AF44" s="7">
        <f>G44*0.001196975+F44*0.001196975</f>
        <v/>
      </c>
      <c r="AG44" s="7">
        <f>H44*0.001196975+G44*0.001196975</f>
        <v/>
      </c>
      <c r="AH44" s="7">
        <f>I44*0.001196975+H44*0.001196975</f>
        <v/>
      </c>
      <c r="AI44" s="7">
        <f>J44*0.001196975+I44*0.001196975</f>
        <v/>
      </c>
      <c r="AJ44" s="7">
        <f>K44*0.001196975+J44*0.001196975</f>
        <v/>
      </c>
      <c r="AK44" s="7">
        <f>L44*0.001196975+K44*0.001196975</f>
        <v/>
      </c>
      <c r="AL44" s="7">
        <f>M44*0.001196975+L44*0.001196975</f>
        <v/>
      </c>
      <c r="AM44" s="7">
        <f>N44*0.001196975+M44*0.001196975</f>
        <v/>
      </c>
      <c r="AN44" s="7">
        <f>O44*0.001196975+N44*0.001196975</f>
        <v/>
      </c>
      <c r="AO44" s="7">
        <f>P44*0.001196975+O44*0.001196975</f>
        <v/>
      </c>
      <c r="AP44" s="7">
        <f>Q44*0.001196975+P44*0.001196975</f>
        <v/>
      </c>
      <c r="AQ44" s="7">
        <f>R44*0.001196975+Q44*0.001196975</f>
        <v/>
      </c>
      <c r="AR44" s="7">
        <f>S44*0.001196975+R44*0.001196975</f>
        <v/>
      </c>
      <c r="AS44" s="7">
        <f>T44*0.001196975+S44*0.001196975</f>
        <v/>
      </c>
      <c r="AT44" s="7">
        <f>U44*0.001196975+T44*0.001196975</f>
        <v/>
      </c>
      <c r="AU44" s="7">
        <f>V44*0.001196975+U44*0.001196975</f>
        <v/>
      </c>
      <c r="AV44" s="7">
        <f>W44*0.001196975+V44*0.001196975</f>
        <v/>
      </c>
      <c r="AW44" s="7">
        <f>X44*0.001196975+W44*0.001196975</f>
        <v/>
      </c>
      <c r="AX44" s="7">
        <f>Y44*0.001196975+X44*0.001196975</f>
        <v/>
      </c>
      <c r="AY44" s="7">
        <f>Z44*0.001196975+Y44*0.001196975</f>
        <v/>
      </c>
      <c r="AZ44" s="7">
        <f>AA44*0.001196975+Z44*0.001196975</f>
        <v/>
      </c>
      <c r="BA44" s="7">
        <f>D44*0.001196975+AA44*0.001196975</f>
        <v/>
      </c>
      <c r="BB44" s="7">
        <f>SUM(AD44:BA44)</f>
        <v/>
      </c>
    </row>
    <row r="45">
      <c r="A45" t="inlineStr">
        <is>
          <t>AMD-FWDPRI-SSC</t>
        </is>
      </c>
      <c r="B45" t="inlineStr">
        <is>
          <t>FWD Priority OSC</t>
        </is>
      </c>
      <c r="C45" s="5" t="n">
        <v>46100</v>
      </c>
      <c r="D45" s="6">
        <f>Summary!D45</f>
        <v/>
      </c>
      <c r="E45" s="6">
        <f>Summary!E45</f>
        <v/>
      </c>
      <c r="F45" s="6">
        <f>Summary!F45</f>
        <v/>
      </c>
      <c r="G45" s="6">
        <f>Summary!G45</f>
        <v/>
      </c>
      <c r="H45" s="6">
        <f>Summary!H45</f>
        <v/>
      </c>
      <c r="I45" s="6">
        <f>Summary!I45</f>
        <v/>
      </c>
      <c r="J45" s="6">
        <f>Summary!J45</f>
        <v/>
      </c>
      <c r="K45" s="6">
        <f>Summary!K45</f>
        <v/>
      </c>
      <c r="L45" s="6">
        <f>Summary!L45</f>
        <v/>
      </c>
      <c r="M45" s="6">
        <f>Summary!M45</f>
        <v/>
      </c>
      <c r="N45" s="6">
        <f>Summary!N45</f>
        <v/>
      </c>
      <c r="O45" s="6">
        <f>Summary!O45</f>
        <v/>
      </c>
      <c r="P45" s="6">
        <f>Summary!P45</f>
        <v/>
      </c>
      <c r="Q45" s="6">
        <f>Summary!Q45</f>
        <v/>
      </c>
      <c r="R45" s="6">
        <f>Summary!R45</f>
        <v/>
      </c>
      <c r="S45" s="6">
        <f>Summary!S45</f>
        <v/>
      </c>
      <c r="T45" s="6">
        <f>Summary!T45</f>
        <v/>
      </c>
      <c r="U45" s="6">
        <f>Summary!U45</f>
        <v/>
      </c>
      <c r="V45" s="6">
        <f>Summary!V45</f>
        <v/>
      </c>
      <c r="W45" s="6">
        <f>Summary!W45</f>
        <v/>
      </c>
      <c r="X45" s="6">
        <f>Summary!X45</f>
        <v/>
      </c>
      <c r="Y45" s="6">
        <f>Summary!Y45</f>
        <v/>
      </c>
      <c r="Z45" s="6">
        <f>Summary!Z45</f>
        <v/>
      </c>
      <c r="AA45" s="6">
        <f>Summary!AA45</f>
        <v/>
      </c>
      <c r="AB45" s="6">
        <f>SUM(D45:AA45)</f>
        <v/>
      </c>
      <c r="AC45" s="3" t="inlineStr"/>
      <c r="AD45" s="7">
        <f>E45*0.001196975+D45*0.001196975</f>
        <v/>
      </c>
      <c r="AE45" s="7">
        <f>F45*0.001196975+E45*0.001196975</f>
        <v/>
      </c>
      <c r="AF45" s="7">
        <f>G45*0.001196975+F45*0.001196975</f>
        <v/>
      </c>
      <c r="AG45" s="7">
        <f>H45*0.001196975+G45*0.001196975</f>
        <v/>
      </c>
      <c r="AH45" s="7">
        <f>I45*0.001196975+H45*0.001196975</f>
        <v/>
      </c>
      <c r="AI45" s="7">
        <f>J45*0.001196975+I45*0.001196975</f>
        <v/>
      </c>
      <c r="AJ45" s="7">
        <f>K45*0.001196975+J45*0.001196975</f>
        <v/>
      </c>
      <c r="AK45" s="7">
        <f>L45*0.001196975+K45*0.001196975</f>
        <v/>
      </c>
      <c r="AL45" s="7">
        <f>M45*0.001196975+L45*0.001196975</f>
        <v/>
      </c>
      <c r="AM45" s="7">
        <f>N45*0.001196975+M45*0.001196975</f>
        <v/>
      </c>
      <c r="AN45" s="7">
        <f>O45*0.001196975+N45*0.001196975</f>
        <v/>
      </c>
      <c r="AO45" s="7">
        <f>P45*0.001196975+O45*0.001196975</f>
        <v/>
      </c>
      <c r="AP45" s="7">
        <f>Q45*0.001196975+P45*0.001196975</f>
        <v/>
      </c>
      <c r="AQ45" s="7">
        <f>R45*0.001196975+Q45*0.001196975</f>
        <v/>
      </c>
      <c r="AR45" s="7">
        <f>S45*0.001196975+R45*0.001196975</f>
        <v/>
      </c>
      <c r="AS45" s="7">
        <f>T45*0.001196975+S45*0.001196975</f>
        <v/>
      </c>
      <c r="AT45" s="7">
        <f>U45*0.001196975+T45*0.001196975</f>
        <v/>
      </c>
      <c r="AU45" s="7">
        <f>V45*0.001196975+U45*0.001196975</f>
        <v/>
      </c>
      <c r="AV45" s="7">
        <f>W45*0.001196975+V45*0.001196975</f>
        <v/>
      </c>
      <c r="AW45" s="7">
        <f>X45*0.001196975+W45*0.001196975</f>
        <v/>
      </c>
      <c r="AX45" s="7">
        <f>Y45*0.001196975+X45*0.001196975</f>
        <v/>
      </c>
      <c r="AY45" s="7">
        <f>Z45*0.001196975+Y45*0.001196975</f>
        <v/>
      </c>
      <c r="AZ45" s="7">
        <f>AA45*0.001196975+Z45*0.001196975</f>
        <v/>
      </c>
      <c r="BA45" s="7">
        <f>D45*0.001196975+AA45*0.001196975</f>
        <v/>
      </c>
      <c r="BB45" s="7">
        <f>SUM(AD45:BA45)</f>
        <v/>
      </c>
    </row>
    <row r="46">
      <c r="A46" t="inlineStr">
        <is>
          <t>AMD-FWDPRI-SSC</t>
        </is>
      </c>
      <c r="B46" t="inlineStr">
        <is>
          <t>FWD Priority OSC</t>
        </is>
      </c>
      <c r="C46" s="5" t="n">
        <v>46101</v>
      </c>
      <c r="D46" s="6">
        <f>Summary!D46</f>
        <v/>
      </c>
      <c r="E46" s="6">
        <f>Summary!E46</f>
        <v/>
      </c>
      <c r="F46" s="6">
        <f>Summary!F46</f>
        <v/>
      </c>
      <c r="G46" s="6">
        <f>Summary!G46</f>
        <v/>
      </c>
      <c r="H46" s="6">
        <f>Summary!H46</f>
        <v/>
      </c>
      <c r="I46" s="6">
        <f>Summary!I46</f>
        <v/>
      </c>
      <c r="J46" s="6">
        <f>Summary!J46</f>
        <v/>
      </c>
      <c r="K46" s="6">
        <f>Summary!K46</f>
        <v/>
      </c>
      <c r="L46" s="6">
        <f>Summary!L46</f>
        <v/>
      </c>
      <c r="M46" s="6">
        <f>Summary!M46</f>
        <v/>
      </c>
      <c r="N46" s="6">
        <f>Summary!N46</f>
        <v/>
      </c>
      <c r="O46" s="6">
        <f>Summary!O46</f>
        <v/>
      </c>
      <c r="P46" s="6">
        <f>Summary!P46</f>
        <v/>
      </c>
      <c r="Q46" s="6">
        <f>Summary!Q46</f>
        <v/>
      </c>
      <c r="R46" s="6">
        <f>Summary!R46</f>
        <v/>
      </c>
      <c r="S46" s="6">
        <f>Summary!S46</f>
        <v/>
      </c>
      <c r="T46" s="6">
        <f>Summary!T46</f>
        <v/>
      </c>
      <c r="U46" s="6">
        <f>Summary!U46</f>
        <v/>
      </c>
      <c r="V46" s="6">
        <f>Summary!V46</f>
        <v/>
      </c>
      <c r="W46" s="6">
        <f>Summary!W46</f>
        <v/>
      </c>
      <c r="X46" s="6">
        <f>Summary!X46</f>
        <v/>
      </c>
      <c r="Y46" s="6">
        <f>Summary!Y46</f>
        <v/>
      </c>
      <c r="Z46" s="6">
        <f>Summary!Z46</f>
        <v/>
      </c>
      <c r="AA46" s="6">
        <f>Summary!AA46</f>
        <v/>
      </c>
      <c r="AB46" s="6">
        <f>SUM(D46:AA46)</f>
        <v/>
      </c>
      <c r="AC46" s="3" t="inlineStr"/>
      <c r="AD46" s="7">
        <f>E46*0.001196975+D46*0.001196975</f>
        <v/>
      </c>
      <c r="AE46" s="7">
        <f>F46*0.001196975+E46*0.001196975</f>
        <v/>
      </c>
      <c r="AF46" s="7">
        <f>G46*0.001196975+F46*0.001196975</f>
        <v/>
      </c>
      <c r="AG46" s="7">
        <f>H46*0.001196975+G46*0.001196975</f>
        <v/>
      </c>
      <c r="AH46" s="7">
        <f>I46*0.001196975+H46*0.001196975</f>
        <v/>
      </c>
      <c r="AI46" s="7">
        <f>J46*0.001196975+I46*0.001196975</f>
        <v/>
      </c>
      <c r="AJ46" s="7">
        <f>K46*0.001196975+J46*0.001196975</f>
        <v/>
      </c>
      <c r="AK46" s="7">
        <f>L46*0.001196975+K46*0.001196975</f>
        <v/>
      </c>
      <c r="AL46" s="7">
        <f>M46*0.001196975+L46*0.001196975</f>
        <v/>
      </c>
      <c r="AM46" s="7">
        <f>N46*0.001196975+M46*0.001196975</f>
        <v/>
      </c>
      <c r="AN46" s="7">
        <f>O46*0.001196975+N46*0.001196975</f>
        <v/>
      </c>
      <c r="AO46" s="7">
        <f>P46*0.001196975+O46*0.001196975</f>
        <v/>
      </c>
      <c r="AP46" s="7">
        <f>Q46*0.001196975+P46*0.001196975</f>
        <v/>
      </c>
      <c r="AQ46" s="7">
        <f>R46*0.001196975+Q46*0.001196975</f>
        <v/>
      </c>
      <c r="AR46" s="7">
        <f>S46*0.001196975+R46*0.001196975</f>
        <v/>
      </c>
      <c r="AS46" s="7">
        <f>T46*0.001196975+S46*0.001196975</f>
        <v/>
      </c>
      <c r="AT46" s="7">
        <f>U46*0.001196975+T46*0.001196975</f>
        <v/>
      </c>
      <c r="AU46" s="7">
        <f>V46*0.001196975+U46*0.001196975</f>
        <v/>
      </c>
      <c r="AV46" s="7">
        <f>W46*0.001196975+V46*0.001196975</f>
        <v/>
      </c>
      <c r="AW46" s="7">
        <f>X46*0.001196975+W46*0.001196975</f>
        <v/>
      </c>
      <c r="AX46" s="7">
        <f>Y46*0.001196975+X46*0.001196975</f>
        <v/>
      </c>
      <c r="AY46" s="7">
        <f>Z46*0.001196975+Y46*0.001196975</f>
        <v/>
      </c>
      <c r="AZ46" s="7">
        <f>AA46*0.001196975+Z46*0.001196975</f>
        <v/>
      </c>
      <c r="BA46" s="7">
        <f>D46*0.001196975+AA46*0.001196975</f>
        <v/>
      </c>
      <c r="BB46" s="7">
        <f>SUM(AD46:BA46)</f>
        <v/>
      </c>
    </row>
    <row r="47">
      <c r="A47" t="inlineStr">
        <is>
          <t>AMD-FWDPRI-SSC</t>
        </is>
      </c>
      <c r="B47" t="inlineStr">
        <is>
          <t>FWD Priority OSC</t>
        </is>
      </c>
      <c r="C47" s="5" t="n">
        <v>46102</v>
      </c>
      <c r="D47" s="6">
        <f>Summary!D47</f>
        <v/>
      </c>
      <c r="E47" s="6">
        <f>Summary!E47</f>
        <v/>
      </c>
      <c r="F47" s="6">
        <f>Summary!F47</f>
        <v/>
      </c>
      <c r="G47" s="6">
        <f>Summary!G47</f>
        <v/>
      </c>
      <c r="H47" s="6">
        <f>Summary!H47</f>
        <v/>
      </c>
      <c r="I47" s="6">
        <f>Summary!I47</f>
        <v/>
      </c>
      <c r="J47" s="6">
        <f>Summary!J47</f>
        <v/>
      </c>
      <c r="K47" s="6">
        <f>Summary!K47</f>
        <v/>
      </c>
      <c r="L47" s="6">
        <f>Summary!L47</f>
        <v/>
      </c>
      <c r="M47" s="6">
        <f>Summary!M47</f>
        <v/>
      </c>
      <c r="N47" s="6">
        <f>Summary!N47</f>
        <v/>
      </c>
      <c r="O47" s="6">
        <f>Summary!O47</f>
        <v/>
      </c>
      <c r="P47" s="6">
        <f>Summary!P47</f>
        <v/>
      </c>
      <c r="Q47" s="6">
        <f>Summary!Q47</f>
        <v/>
      </c>
      <c r="R47" s="6">
        <f>Summary!R47</f>
        <v/>
      </c>
      <c r="S47" s="6">
        <f>Summary!S47</f>
        <v/>
      </c>
      <c r="T47" s="6">
        <f>Summary!T47</f>
        <v/>
      </c>
      <c r="U47" s="6">
        <f>Summary!U47</f>
        <v/>
      </c>
      <c r="V47" s="6">
        <f>Summary!V47</f>
        <v/>
      </c>
      <c r="W47" s="6">
        <f>Summary!W47</f>
        <v/>
      </c>
      <c r="X47" s="6">
        <f>Summary!X47</f>
        <v/>
      </c>
      <c r="Y47" s="6">
        <f>Summary!Y47</f>
        <v/>
      </c>
      <c r="Z47" s="6">
        <f>Summary!Z47</f>
        <v/>
      </c>
      <c r="AA47" s="6">
        <f>Summary!AA47</f>
        <v/>
      </c>
      <c r="AB47" s="6">
        <f>SUM(D47:AA47)</f>
        <v/>
      </c>
      <c r="AC47" s="3" t="inlineStr"/>
      <c r="AD47" s="7">
        <f>E47*0.001196975+D47*0.001196975</f>
        <v/>
      </c>
      <c r="AE47" s="7">
        <f>F47*0.001196975+E47*0.001196975</f>
        <v/>
      </c>
      <c r="AF47" s="7">
        <f>G47*0.001196975+F47*0.001196975</f>
        <v/>
      </c>
      <c r="AG47" s="7">
        <f>H47*0.001196975+G47*0.001196975</f>
        <v/>
      </c>
      <c r="AH47" s="7">
        <f>I47*0.001196975+H47*0.001196975</f>
        <v/>
      </c>
      <c r="AI47" s="7">
        <f>J47*0.001196975+I47*0.001196975</f>
        <v/>
      </c>
      <c r="AJ47" s="7">
        <f>K47*0.001196975+J47*0.001196975</f>
        <v/>
      </c>
      <c r="AK47" s="7">
        <f>L47*0.001196975+K47*0.001196975</f>
        <v/>
      </c>
      <c r="AL47" s="7">
        <f>M47*0.001196975+L47*0.001196975</f>
        <v/>
      </c>
      <c r="AM47" s="7">
        <f>N47*0.001196975+M47*0.001196975</f>
        <v/>
      </c>
      <c r="AN47" s="7">
        <f>O47*0.001196975+N47*0.001196975</f>
        <v/>
      </c>
      <c r="AO47" s="7">
        <f>P47*0.001196975+O47*0.001196975</f>
        <v/>
      </c>
      <c r="AP47" s="7">
        <f>Q47*0.001196975+P47*0.001196975</f>
        <v/>
      </c>
      <c r="AQ47" s="7">
        <f>R47*0.001196975+Q47*0.001196975</f>
        <v/>
      </c>
      <c r="AR47" s="7">
        <f>S47*0.001196975+R47*0.001196975</f>
        <v/>
      </c>
      <c r="AS47" s="7">
        <f>T47*0.001196975+S47*0.001196975</f>
        <v/>
      </c>
      <c r="AT47" s="7">
        <f>U47*0.001196975+T47*0.001196975</f>
        <v/>
      </c>
      <c r="AU47" s="7">
        <f>V47*0.001196975+U47*0.001196975</f>
        <v/>
      </c>
      <c r="AV47" s="7">
        <f>W47*0.001196975+V47*0.001196975</f>
        <v/>
      </c>
      <c r="AW47" s="7">
        <f>X47*0.001196975+W47*0.001196975</f>
        <v/>
      </c>
      <c r="AX47" s="7">
        <f>Y47*0.001196975+X47*0.001196975</f>
        <v/>
      </c>
      <c r="AY47" s="7">
        <f>Z47*0.001196975+Y47*0.001196975</f>
        <v/>
      </c>
      <c r="AZ47" s="7">
        <f>AA47*0.001196975+Z47*0.001196975</f>
        <v/>
      </c>
      <c r="BA47" s="7">
        <f>D47*0.001196975+AA47*0.001196975</f>
        <v/>
      </c>
      <c r="BB47" s="7">
        <f>SUM(AD47:BA47)</f>
        <v/>
      </c>
    </row>
    <row r="48">
      <c r="A48" t="inlineStr">
        <is>
          <t>AMD-FWDPRI-SSC</t>
        </is>
      </c>
      <c r="B48" t="inlineStr">
        <is>
          <t>FWD Priority OSC</t>
        </is>
      </c>
      <c r="C48" s="5" t="n">
        <v>46103</v>
      </c>
      <c r="D48" s="6">
        <f>Summary!D48</f>
        <v/>
      </c>
      <c r="E48" s="6">
        <f>Summary!E48</f>
        <v/>
      </c>
      <c r="F48" s="6">
        <f>Summary!F48</f>
        <v/>
      </c>
      <c r="G48" s="6">
        <f>Summary!G48</f>
        <v/>
      </c>
      <c r="H48" s="6">
        <f>Summary!H48</f>
        <v/>
      </c>
      <c r="I48" s="6">
        <f>Summary!I48</f>
        <v/>
      </c>
      <c r="J48" s="6">
        <f>Summary!J48</f>
        <v/>
      </c>
      <c r="K48" s="6">
        <f>Summary!K48</f>
        <v/>
      </c>
      <c r="L48" s="6">
        <f>Summary!L48</f>
        <v/>
      </c>
      <c r="M48" s="6">
        <f>Summary!M48</f>
        <v/>
      </c>
      <c r="N48" s="6">
        <f>Summary!N48</f>
        <v/>
      </c>
      <c r="O48" s="6">
        <f>Summary!O48</f>
        <v/>
      </c>
      <c r="P48" s="6">
        <f>Summary!P48</f>
        <v/>
      </c>
      <c r="Q48" s="6">
        <f>Summary!Q48</f>
        <v/>
      </c>
      <c r="R48" s="6">
        <f>Summary!R48</f>
        <v/>
      </c>
      <c r="S48" s="6">
        <f>Summary!S48</f>
        <v/>
      </c>
      <c r="T48" s="6">
        <f>Summary!T48</f>
        <v/>
      </c>
      <c r="U48" s="6">
        <f>Summary!U48</f>
        <v/>
      </c>
      <c r="V48" s="6">
        <f>Summary!V48</f>
        <v/>
      </c>
      <c r="W48" s="6">
        <f>Summary!W48</f>
        <v/>
      </c>
      <c r="X48" s="6">
        <f>Summary!X48</f>
        <v/>
      </c>
      <c r="Y48" s="6">
        <f>Summary!Y48</f>
        <v/>
      </c>
      <c r="Z48" s="6">
        <f>Summary!Z48</f>
        <v/>
      </c>
      <c r="AA48" s="6">
        <f>Summary!AA48</f>
        <v/>
      </c>
      <c r="AB48" s="6">
        <f>SUM(D48:AA48)</f>
        <v/>
      </c>
      <c r="AC48" s="3" t="inlineStr"/>
      <c r="AD48" s="7">
        <f>E48*0.001196975+D48*0.001196975</f>
        <v/>
      </c>
      <c r="AE48" s="7">
        <f>F48*0.001196975+E48*0.001196975</f>
        <v/>
      </c>
      <c r="AF48" s="7">
        <f>G48*0.001196975+F48*0.001196975</f>
        <v/>
      </c>
      <c r="AG48" s="7">
        <f>H48*0.001196975+G48*0.001196975</f>
        <v/>
      </c>
      <c r="AH48" s="7">
        <f>I48*0.001196975+H48*0.001196975</f>
        <v/>
      </c>
      <c r="AI48" s="7">
        <f>J48*0.001196975+I48*0.001196975</f>
        <v/>
      </c>
      <c r="AJ48" s="7">
        <f>K48*0.001196975+J48*0.001196975</f>
        <v/>
      </c>
      <c r="AK48" s="7">
        <f>L48*0.001196975+K48*0.001196975</f>
        <v/>
      </c>
      <c r="AL48" s="7">
        <f>M48*0.001196975+L48*0.001196975</f>
        <v/>
      </c>
      <c r="AM48" s="7">
        <f>N48*0.001196975+M48*0.001196975</f>
        <v/>
      </c>
      <c r="AN48" s="7">
        <f>O48*0.001196975+N48*0.001196975</f>
        <v/>
      </c>
      <c r="AO48" s="7">
        <f>P48*0.001196975+O48*0.001196975</f>
        <v/>
      </c>
      <c r="AP48" s="7">
        <f>Q48*0.001196975+P48*0.001196975</f>
        <v/>
      </c>
      <c r="AQ48" s="7">
        <f>R48*0.001196975+Q48*0.001196975</f>
        <v/>
      </c>
      <c r="AR48" s="7">
        <f>S48*0.001196975+R48*0.001196975</f>
        <v/>
      </c>
      <c r="AS48" s="7">
        <f>T48*0.001196975+S48*0.001196975</f>
        <v/>
      </c>
      <c r="AT48" s="7">
        <f>U48*0.001196975+T48*0.001196975</f>
        <v/>
      </c>
      <c r="AU48" s="7">
        <f>V48*0.001196975+U48*0.001196975</f>
        <v/>
      </c>
      <c r="AV48" s="7">
        <f>W48*0.001196975+V48*0.001196975</f>
        <v/>
      </c>
      <c r="AW48" s="7">
        <f>X48*0.001196975+W48*0.001196975</f>
        <v/>
      </c>
      <c r="AX48" s="7">
        <f>Y48*0.001196975+X48*0.001196975</f>
        <v/>
      </c>
      <c r="AY48" s="7">
        <f>Z48*0.001196975+Y48*0.001196975</f>
        <v/>
      </c>
      <c r="AZ48" s="7">
        <f>AA48*0.001196975+Z48*0.001196975</f>
        <v/>
      </c>
      <c r="BA48" s="7">
        <f>D48*0.001196975+AA48*0.001196975</f>
        <v/>
      </c>
      <c r="BB48" s="7">
        <f>SUM(AD48:BA48)</f>
        <v/>
      </c>
    </row>
    <row r="49">
      <c r="A49" t="inlineStr">
        <is>
          <t>AMD-FWDPRI-SSC</t>
        </is>
      </c>
      <c r="B49" t="inlineStr">
        <is>
          <t>FWD Priority OSC</t>
        </is>
      </c>
      <c r="C49" s="5" t="n">
        <v>46104</v>
      </c>
      <c r="D49" s="6">
        <f>Summary!D49</f>
        <v/>
      </c>
      <c r="E49" s="6">
        <f>Summary!E49</f>
        <v/>
      </c>
      <c r="F49" s="6">
        <f>Summary!F49</f>
        <v/>
      </c>
      <c r="G49" s="6">
        <f>Summary!G49</f>
        <v/>
      </c>
      <c r="H49" s="6">
        <f>Summary!H49</f>
        <v/>
      </c>
      <c r="I49" s="6">
        <f>Summary!I49</f>
        <v/>
      </c>
      <c r="J49" s="6">
        <f>Summary!J49</f>
        <v/>
      </c>
      <c r="K49" s="6">
        <f>Summary!K49</f>
        <v/>
      </c>
      <c r="L49" s="6">
        <f>Summary!L49</f>
        <v/>
      </c>
      <c r="M49" s="6">
        <f>Summary!M49</f>
        <v/>
      </c>
      <c r="N49" s="6">
        <f>Summary!N49</f>
        <v/>
      </c>
      <c r="O49" s="6">
        <f>Summary!O49</f>
        <v/>
      </c>
      <c r="P49" s="6">
        <f>Summary!P49</f>
        <v/>
      </c>
      <c r="Q49" s="6">
        <f>Summary!Q49</f>
        <v/>
      </c>
      <c r="R49" s="6">
        <f>Summary!R49</f>
        <v/>
      </c>
      <c r="S49" s="6">
        <f>Summary!S49</f>
        <v/>
      </c>
      <c r="T49" s="6">
        <f>Summary!T49</f>
        <v/>
      </c>
      <c r="U49" s="6">
        <f>Summary!U49</f>
        <v/>
      </c>
      <c r="V49" s="6">
        <f>Summary!V49</f>
        <v/>
      </c>
      <c r="W49" s="6">
        <f>Summary!W49</f>
        <v/>
      </c>
      <c r="X49" s="6">
        <f>Summary!X49</f>
        <v/>
      </c>
      <c r="Y49" s="6">
        <f>Summary!Y49</f>
        <v/>
      </c>
      <c r="Z49" s="6">
        <f>Summary!Z49</f>
        <v/>
      </c>
      <c r="AA49" s="6">
        <f>Summary!AA49</f>
        <v/>
      </c>
      <c r="AB49" s="6">
        <f>SUM(D49:AA49)</f>
        <v/>
      </c>
      <c r="AC49" s="3" t="inlineStr"/>
      <c r="AD49" s="7">
        <f>E49*0.001196975+D49*0.001196975</f>
        <v/>
      </c>
      <c r="AE49" s="7">
        <f>F49*0.001196975+E49*0.001196975</f>
        <v/>
      </c>
      <c r="AF49" s="7">
        <f>G49*0.001196975+F49*0.001196975</f>
        <v/>
      </c>
      <c r="AG49" s="7">
        <f>H49*0.001196975+G49*0.001196975</f>
        <v/>
      </c>
      <c r="AH49" s="7">
        <f>I49*0.001196975+H49*0.001196975</f>
        <v/>
      </c>
      <c r="AI49" s="7">
        <f>J49*0.001196975+I49*0.001196975</f>
        <v/>
      </c>
      <c r="AJ49" s="7">
        <f>K49*0.001196975+J49*0.001196975</f>
        <v/>
      </c>
      <c r="AK49" s="7">
        <f>L49*0.001196975+K49*0.001196975</f>
        <v/>
      </c>
      <c r="AL49" s="7">
        <f>M49*0.001196975+L49*0.001196975</f>
        <v/>
      </c>
      <c r="AM49" s="7">
        <f>N49*0.001196975+M49*0.001196975</f>
        <v/>
      </c>
      <c r="AN49" s="7">
        <f>O49*0.001196975+N49*0.001196975</f>
        <v/>
      </c>
      <c r="AO49" s="7">
        <f>P49*0.001196975+O49*0.001196975</f>
        <v/>
      </c>
      <c r="AP49" s="7">
        <f>Q49*0.001196975+P49*0.001196975</f>
        <v/>
      </c>
      <c r="AQ49" s="7">
        <f>R49*0.001196975+Q49*0.001196975</f>
        <v/>
      </c>
      <c r="AR49" s="7">
        <f>S49*0.001196975+R49*0.001196975</f>
        <v/>
      </c>
      <c r="AS49" s="7">
        <f>T49*0.001196975+S49*0.001196975</f>
        <v/>
      </c>
      <c r="AT49" s="7">
        <f>U49*0.001196975+T49*0.001196975</f>
        <v/>
      </c>
      <c r="AU49" s="7">
        <f>V49*0.001196975+U49*0.001196975</f>
        <v/>
      </c>
      <c r="AV49" s="7">
        <f>W49*0.001196975+V49*0.001196975</f>
        <v/>
      </c>
      <c r="AW49" s="7">
        <f>X49*0.001196975+W49*0.001196975</f>
        <v/>
      </c>
      <c r="AX49" s="7">
        <f>Y49*0.001196975+X49*0.001196975</f>
        <v/>
      </c>
      <c r="AY49" s="7">
        <f>Z49*0.001196975+Y49*0.001196975</f>
        <v/>
      </c>
      <c r="AZ49" s="7">
        <f>AA49*0.001196975+Z49*0.001196975</f>
        <v/>
      </c>
      <c r="BA49" s="7">
        <f>D49*0.001196975+AA49*0.001196975</f>
        <v/>
      </c>
      <c r="BB49" s="7">
        <f>SUM(AD49:BA49)</f>
        <v/>
      </c>
    </row>
    <row r="50">
      <c r="A50" t="inlineStr">
        <is>
          <t>AMD-FWDPRI-SSC</t>
        </is>
      </c>
      <c r="B50" t="inlineStr">
        <is>
          <t>FWD Priority OSC</t>
        </is>
      </c>
      <c r="C50" s="5" t="n">
        <v>46105</v>
      </c>
      <c r="D50" s="6">
        <f>Summary!D50</f>
        <v/>
      </c>
      <c r="E50" s="6">
        <f>Summary!E50</f>
        <v/>
      </c>
      <c r="F50" s="6">
        <f>Summary!F50</f>
        <v/>
      </c>
      <c r="G50" s="6">
        <f>Summary!G50</f>
        <v/>
      </c>
      <c r="H50" s="6">
        <f>Summary!H50</f>
        <v/>
      </c>
      <c r="I50" s="6">
        <f>Summary!I50</f>
        <v/>
      </c>
      <c r="J50" s="6">
        <f>Summary!J50</f>
        <v/>
      </c>
      <c r="K50" s="6">
        <f>Summary!K50</f>
        <v/>
      </c>
      <c r="L50" s="6">
        <f>Summary!L50</f>
        <v/>
      </c>
      <c r="M50" s="6">
        <f>Summary!M50</f>
        <v/>
      </c>
      <c r="N50" s="6">
        <f>Summary!N50</f>
        <v/>
      </c>
      <c r="O50" s="6">
        <f>Summary!O50</f>
        <v/>
      </c>
      <c r="P50" s="6">
        <f>Summary!P50</f>
        <v/>
      </c>
      <c r="Q50" s="6">
        <f>Summary!Q50</f>
        <v/>
      </c>
      <c r="R50" s="6">
        <f>Summary!R50</f>
        <v/>
      </c>
      <c r="S50" s="6">
        <f>Summary!S50</f>
        <v/>
      </c>
      <c r="T50" s="6">
        <f>Summary!T50</f>
        <v/>
      </c>
      <c r="U50" s="6">
        <f>Summary!U50</f>
        <v/>
      </c>
      <c r="V50" s="6">
        <f>Summary!V50</f>
        <v/>
      </c>
      <c r="W50" s="6">
        <f>Summary!W50</f>
        <v/>
      </c>
      <c r="X50" s="6">
        <f>Summary!X50</f>
        <v/>
      </c>
      <c r="Y50" s="6">
        <f>Summary!Y50</f>
        <v/>
      </c>
      <c r="Z50" s="6">
        <f>Summary!Z50</f>
        <v/>
      </c>
      <c r="AA50" s="6">
        <f>Summary!AA50</f>
        <v/>
      </c>
      <c r="AB50" s="6">
        <f>SUM(D50:AA50)</f>
        <v/>
      </c>
      <c r="AC50" s="3" t="inlineStr"/>
      <c r="AD50" s="7">
        <f>E50*0.001196975+D50*0.001196975</f>
        <v/>
      </c>
      <c r="AE50" s="7">
        <f>F50*0.001196975+E50*0.001196975</f>
        <v/>
      </c>
      <c r="AF50" s="7">
        <f>G50*0.001196975+F50*0.001196975</f>
        <v/>
      </c>
      <c r="AG50" s="7">
        <f>H50*0.001196975+G50*0.001196975</f>
        <v/>
      </c>
      <c r="AH50" s="7">
        <f>I50*0.001196975+H50*0.001196975</f>
        <v/>
      </c>
      <c r="AI50" s="7">
        <f>J50*0.001196975+I50*0.001196975</f>
        <v/>
      </c>
      <c r="AJ50" s="7">
        <f>K50*0.001196975+J50*0.001196975</f>
        <v/>
      </c>
      <c r="AK50" s="7">
        <f>L50*0.001196975+K50*0.001196975</f>
        <v/>
      </c>
      <c r="AL50" s="7">
        <f>M50*0.001196975+L50*0.001196975</f>
        <v/>
      </c>
      <c r="AM50" s="7">
        <f>N50*0.001196975+M50*0.001196975</f>
        <v/>
      </c>
      <c r="AN50" s="7">
        <f>O50*0.001196975+N50*0.001196975</f>
        <v/>
      </c>
      <c r="AO50" s="7">
        <f>P50*0.001196975+O50*0.001196975</f>
        <v/>
      </c>
      <c r="AP50" s="7">
        <f>Q50*0.001196975+P50*0.001196975</f>
        <v/>
      </c>
      <c r="AQ50" s="7">
        <f>R50*0.001196975+Q50*0.001196975</f>
        <v/>
      </c>
      <c r="AR50" s="7">
        <f>S50*0.001196975+R50*0.001196975</f>
        <v/>
      </c>
      <c r="AS50" s="7">
        <f>T50*0.001196975+S50*0.001196975</f>
        <v/>
      </c>
      <c r="AT50" s="7">
        <f>U50*0.001196975+T50*0.001196975</f>
        <v/>
      </c>
      <c r="AU50" s="7">
        <f>V50*0.001196975+U50*0.001196975</f>
        <v/>
      </c>
      <c r="AV50" s="7">
        <f>W50*0.001196975+V50*0.001196975</f>
        <v/>
      </c>
      <c r="AW50" s="7">
        <f>X50*0.001196975+W50*0.001196975</f>
        <v/>
      </c>
      <c r="AX50" s="7">
        <f>Y50*0.001196975+X50*0.001196975</f>
        <v/>
      </c>
      <c r="AY50" s="7">
        <f>Z50*0.001196975+Y50*0.001196975</f>
        <v/>
      </c>
      <c r="AZ50" s="7">
        <f>AA50*0.001196975+Z50*0.001196975</f>
        <v/>
      </c>
      <c r="BA50" s="7">
        <f>D50*0.001196975+AA50*0.001196975</f>
        <v/>
      </c>
      <c r="BB50" s="7">
        <f>SUM(AD50:BA50)</f>
        <v/>
      </c>
    </row>
    <row r="51">
      <c r="A51" t="inlineStr">
        <is>
          <t>AMD-FWDREG-SSC</t>
        </is>
      </c>
      <c r="B51" t="inlineStr">
        <is>
          <t>Forward Regular OSC</t>
        </is>
      </c>
      <c r="C51" s="5" t="n">
        <v>46098</v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0</v>
      </c>
      <c r="O51" s="6" t="n">
        <v>0</v>
      </c>
      <c r="P51" s="6" t="n">
        <v>0</v>
      </c>
      <c r="Q51" s="6" t="n">
        <v>0</v>
      </c>
      <c r="R51" s="6" t="n">
        <v>0</v>
      </c>
      <c r="S51" s="6" t="n">
        <v>0</v>
      </c>
      <c r="T51" s="6" t="n">
        <v>0</v>
      </c>
      <c r="U51" s="6" t="n">
        <v>0</v>
      </c>
      <c r="V51" s="6" t="n">
        <v>0</v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6">
        <f>SUM(D51:AA51)</f>
        <v/>
      </c>
      <c r="AC51" s="3" t="inlineStr"/>
      <c r="AD51" s="7" t="n">
        <v>0</v>
      </c>
      <c r="AE51" s="7" t="n">
        <v>0</v>
      </c>
      <c r="AF51" s="7" t="n">
        <v>0</v>
      </c>
      <c r="AG51" s="7" t="n">
        <v>0</v>
      </c>
      <c r="AH51" s="7" t="n">
        <v>0</v>
      </c>
      <c r="AI51" s="7" t="n">
        <v>0</v>
      </c>
      <c r="AJ51" s="7" t="n">
        <v>0</v>
      </c>
      <c r="AK51" s="7" t="n">
        <v>0</v>
      </c>
      <c r="AL51" s="7" t="n">
        <v>0</v>
      </c>
      <c r="AM51" s="7" t="n">
        <v>0</v>
      </c>
      <c r="AN51" s="7" t="n">
        <v>0</v>
      </c>
      <c r="AO51" s="7" t="n">
        <v>0</v>
      </c>
      <c r="AP51" s="7" t="n">
        <v>0</v>
      </c>
      <c r="AQ51" s="7" t="n">
        <v>0</v>
      </c>
      <c r="AR51" s="7" t="n">
        <v>0</v>
      </c>
      <c r="AS51" s="7" t="n">
        <v>0</v>
      </c>
      <c r="AT51" s="7" t="n">
        <v>0</v>
      </c>
      <c r="AU51" s="7" t="n">
        <v>0</v>
      </c>
      <c r="AV51" s="7" t="n">
        <v>0</v>
      </c>
      <c r="AW51" s="7" t="n">
        <v>0</v>
      </c>
      <c r="AX51" s="7" t="n">
        <v>0</v>
      </c>
      <c r="AY51" s="7" t="n">
        <v>0</v>
      </c>
      <c r="AZ51" s="7" t="n">
        <v>0</v>
      </c>
      <c r="BA51" s="7" t="n">
        <v>0</v>
      </c>
      <c r="BB51" s="7">
        <f>SUM(AD51:BA51)</f>
        <v/>
      </c>
    </row>
    <row r="52">
      <c r="A52" t="inlineStr">
        <is>
          <t>AMD-FWDREG-SSC</t>
        </is>
      </c>
      <c r="B52" t="inlineStr">
        <is>
          <t>Forward Regular OSC</t>
        </is>
      </c>
      <c r="C52" s="5" t="n">
        <v>46099</v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</v>
      </c>
      <c r="L52" s="6" t="n">
        <v>0</v>
      </c>
      <c r="M52" s="6" t="n">
        <v>0</v>
      </c>
      <c r="N52" s="6" t="n">
        <v>0</v>
      </c>
      <c r="O52" s="6" t="n">
        <v>0</v>
      </c>
      <c r="P52" s="6" t="n">
        <v>0</v>
      </c>
      <c r="Q52" s="6" t="n">
        <v>0</v>
      </c>
      <c r="R52" s="6" t="n">
        <v>0</v>
      </c>
      <c r="S52" s="6" t="n">
        <v>0</v>
      </c>
      <c r="T52" s="6" t="n">
        <v>0</v>
      </c>
      <c r="U52" s="6" t="n">
        <v>0</v>
      </c>
      <c r="V52" s="6" t="n">
        <v>0</v>
      </c>
      <c r="W52" s="6" t="n">
        <v>0</v>
      </c>
      <c r="X52" s="6" t="n">
        <v>0</v>
      </c>
      <c r="Y52" s="6" t="n">
        <v>0</v>
      </c>
      <c r="Z52" s="6" t="n">
        <v>0</v>
      </c>
      <c r="AA52" s="6" t="n">
        <v>0</v>
      </c>
      <c r="AB52" s="6">
        <f>SUM(D52:AA52)</f>
        <v/>
      </c>
      <c r="AC52" s="3" t="inlineStr"/>
      <c r="AD52" s="7" t="n">
        <v>0</v>
      </c>
      <c r="AE52" s="7" t="n">
        <v>0</v>
      </c>
      <c r="AF52" s="7" t="n">
        <v>0</v>
      </c>
      <c r="AG52" s="7" t="n">
        <v>0</v>
      </c>
      <c r="AH52" s="7" t="n">
        <v>0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0</v>
      </c>
      <c r="AP52" s="7" t="n">
        <v>0</v>
      </c>
      <c r="AQ52" s="7" t="n">
        <v>0</v>
      </c>
      <c r="AR52" s="7" t="n">
        <v>0</v>
      </c>
      <c r="AS52" s="7" t="n">
        <v>0</v>
      </c>
      <c r="AT52" s="7" t="n">
        <v>0</v>
      </c>
      <c r="AU52" s="7" t="n">
        <v>0</v>
      </c>
      <c r="AV52" s="7" t="n">
        <v>0</v>
      </c>
      <c r="AW52" s="7" t="n">
        <v>0</v>
      </c>
      <c r="AX52" s="7" t="n">
        <v>0</v>
      </c>
      <c r="AY52" s="7" t="n">
        <v>0</v>
      </c>
      <c r="AZ52" s="7" t="n">
        <v>0</v>
      </c>
      <c r="BA52" s="7" t="n">
        <v>0</v>
      </c>
      <c r="BB52" s="7">
        <f>SUM(AD52:BA52)</f>
        <v/>
      </c>
    </row>
    <row r="53">
      <c r="A53" t="inlineStr">
        <is>
          <t>AMD-FWDREG-SSC</t>
        </is>
      </c>
      <c r="B53" t="inlineStr">
        <is>
          <t>Forward Regular OSC</t>
        </is>
      </c>
      <c r="C53" s="5" t="n">
        <v>46100</v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0</v>
      </c>
      <c r="O53" s="6" t="n">
        <v>0</v>
      </c>
      <c r="P53" s="6" t="n">
        <v>0</v>
      </c>
      <c r="Q53" s="6" t="n">
        <v>0</v>
      </c>
      <c r="R53" s="6" t="n">
        <v>0</v>
      </c>
      <c r="S53" s="6" t="n">
        <v>0</v>
      </c>
      <c r="T53" s="6" t="n">
        <v>0</v>
      </c>
      <c r="U53" s="6" t="n">
        <v>0</v>
      </c>
      <c r="V53" s="6" t="n">
        <v>0</v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6">
        <f>SUM(D53:AA53)</f>
        <v/>
      </c>
      <c r="AC53" s="3" t="inlineStr"/>
      <c r="AD53" s="7" t="n">
        <v>0</v>
      </c>
      <c r="AE53" s="7" t="n">
        <v>0</v>
      </c>
      <c r="AF53" s="7" t="n">
        <v>0</v>
      </c>
      <c r="AG53" s="7" t="n">
        <v>0</v>
      </c>
      <c r="AH53" s="7" t="n">
        <v>0</v>
      </c>
      <c r="AI53" s="7" t="n">
        <v>0</v>
      </c>
      <c r="AJ53" s="7" t="n">
        <v>0</v>
      </c>
      <c r="AK53" s="7" t="n">
        <v>0</v>
      </c>
      <c r="AL53" s="7" t="n">
        <v>0</v>
      </c>
      <c r="AM53" s="7" t="n">
        <v>0</v>
      </c>
      <c r="AN53" s="7" t="n">
        <v>0</v>
      </c>
      <c r="AO53" s="7" t="n">
        <v>0</v>
      </c>
      <c r="AP53" s="7" t="n">
        <v>0</v>
      </c>
      <c r="AQ53" s="7" t="n">
        <v>0</v>
      </c>
      <c r="AR53" s="7" t="n">
        <v>0</v>
      </c>
      <c r="AS53" s="7" t="n">
        <v>0</v>
      </c>
      <c r="AT53" s="7" t="n">
        <v>0</v>
      </c>
      <c r="AU53" s="7" t="n">
        <v>0</v>
      </c>
      <c r="AV53" s="7" t="n">
        <v>0</v>
      </c>
      <c r="AW53" s="7" t="n">
        <v>0</v>
      </c>
      <c r="AX53" s="7" t="n">
        <v>0</v>
      </c>
      <c r="AY53" s="7" t="n">
        <v>0</v>
      </c>
      <c r="AZ53" s="7" t="n">
        <v>0</v>
      </c>
      <c r="BA53" s="7" t="n">
        <v>0</v>
      </c>
      <c r="BB53" s="7">
        <f>SUM(AD53:BA53)</f>
        <v/>
      </c>
    </row>
    <row r="54">
      <c r="A54" t="inlineStr">
        <is>
          <t>AMD-FWDREG-SSC</t>
        </is>
      </c>
      <c r="B54" t="inlineStr">
        <is>
          <t>Forward Regular OSC</t>
        </is>
      </c>
      <c r="C54" s="5" t="n">
        <v>46101</v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0</v>
      </c>
      <c r="M54" s="6" t="n">
        <v>0</v>
      </c>
      <c r="N54" s="6" t="n">
        <v>0</v>
      </c>
      <c r="O54" s="6" t="n">
        <v>0</v>
      </c>
      <c r="P54" s="6" t="n">
        <v>0</v>
      </c>
      <c r="Q54" s="6" t="n">
        <v>0</v>
      </c>
      <c r="R54" s="6" t="n">
        <v>0</v>
      </c>
      <c r="S54" s="6" t="n">
        <v>0</v>
      </c>
      <c r="T54" s="6" t="n">
        <v>0</v>
      </c>
      <c r="U54" s="6" t="n">
        <v>0</v>
      </c>
      <c r="V54" s="6" t="n">
        <v>0</v>
      </c>
      <c r="W54" s="6" t="n">
        <v>0</v>
      </c>
      <c r="X54" s="6" t="n">
        <v>0</v>
      </c>
      <c r="Y54" s="6" t="n">
        <v>0</v>
      </c>
      <c r="Z54" s="6" t="n">
        <v>0</v>
      </c>
      <c r="AA54" s="6" t="n">
        <v>0</v>
      </c>
      <c r="AB54" s="6">
        <f>SUM(D54:AA54)</f>
        <v/>
      </c>
      <c r="AC54" s="3" t="inlineStr"/>
      <c r="AD54" s="7" t="n">
        <v>0</v>
      </c>
      <c r="AE54" s="7" t="n">
        <v>0</v>
      </c>
      <c r="AF54" s="7" t="n">
        <v>0</v>
      </c>
      <c r="AG54" s="7" t="n">
        <v>0</v>
      </c>
      <c r="AH54" s="7" t="n">
        <v>0</v>
      </c>
      <c r="AI54" s="7" t="n">
        <v>0</v>
      </c>
      <c r="AJ54" s="7" t="n">
        <v>0</v>
      </c>
      <c r="AK54" s="7" t="n">
        <v>0</v>
      </c>
      <c r="AL54" s="7" t="n">
        <v>0</v>
      </c>
      <c r="AM54" s="7" t="n">
        <v>0</v>
      </c>
      <c r="AN54" s="7" t="n">
        <v>0</v>
      </c>
      <c r="AO54" s="7" t="n">
        <v>0</v>
      </c>
      <c r="AP54" s="7" t="n">
        <v>0</v>
      </c>
      <c r="AQ54" s="7" t="n">
        <v>0</v>
      </c>
      <c r="AR54" s="7" t="n">
        <v>0</v>
      </c>
      <c r="AS54" s="7" t="n">
        <v>0</v>
      </c>
      <c r="AT54" s="7" t="n">
        <v>0</v>
      </c>
      <c r="AU54" s="7" t="n">
        <v>0</v>
      </c>
      <c r="AV54" s="7" t="n">
        <v>0</v>
      </c>
      <c r="AW54" s="7" t="n">
        <v>0</v>
      </c>
      <c r="AX54" s="7" t="n">
        <v>0</v>
      </c>
      <c r="AY54" s="7" t="n">
        <v>0</v>
      </c>
      <c r="AZ54" s="7" t="n">
        <v>0</v>
      </c>
      <c r="BA54" s="7" t="n">
        <v>0</v>
      </c>
      <c r="BB54" s="7">
        <f>SUM(AD54:BA54)</f>
        <v/>
      </c>
    </row>
    <row r="55">
      <c r="A55" t="inlineStr">
        <is>
          <t>AMD-FWDREG-SSC</t>
        </is>
      </c>
      <c r="B55" t="inlineStr">
        <is>
          <t>Forward Regular OSC</t>
        </is>
      </c>
      <c r="C55" s="5" t="n">
        <v>46102</v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6" t="n">
        <v>0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s="6" t="n">
        <v>0</v>
      </c>
      <c r="T55" s="6" t="n">
        <v>0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0</v>
      </c>
      <c r="AB55" s="6">
        <f>SUM(D55:AA55)</f>
        <v/>
      </c>
      <c r="AC55" s="3" t="inlineStr"/>
      <c r="AD55" s="7" t="n">
        <v>0</v>
      </c>
      <c r="AE55" s="7" t="n">
        <v>0</v>
      </c>
      <c r="AF55" s="7" t="n">
        <v>0</v>
      </c>
      <c r="AG55" s="7" t="n">
        <v>0</v>
      </c>
      <c r="AH55" s="7" t="n">
        <v>0</v>
      </c>
      <c r="AI55" s="7" t="n">
        <v>0</v>
      </c>
      <c r="AJ55" s="7" t="n">
        <v>0</v>
      </c>
      <c r="AK55" s="7" t="n">
        <v>0</v>
      </c>
      <c r="AL55" s="7" t="n">
        <v>0</v>
      </c>
      <c r="AM55" s="7" t="n">
        <v>0</v>
      </c>
      <c r="AN55" s="7" t="n">
        <v>0</v>
      </c>
      <c r="AO55" s="7" t="n">
        <v>0</v>
      </c>
      <c r="AP55" s="7" t="n">
        <v>0</v>
      </c>
      <c r="AQ55" s="7" t="n">
        <v>0</v>
      </c>
      <c r="AR55" s="7" t="n">
        <v>0</v>
      </c>
      <c r="AS55" s="7" t="n">
        <v>0</v>
      </c>
      <c r="AT55" s="7" t="n">
        <v>0</v>
      </c>
      <c r="AU55" s="7" t="n">
        <v>0</v>
      </c>
      <c r="AV55" s="7" t="n">
        <v>0</v>
      </c>
      <c r="AW55" s="7" t="n">
        <v>0</v>
      </c>
      <c r="AX55" s="7" t="n">
        <v>0</v>
      </c>
      <c r="AY55" s="7" t="n">
        <v>0</v>
      </c>
      <c r="AZ55" s="7" t="n">
        <v>0</v>
      </c>
      <c r="BA55" s="7" t="n">
        <v>0</v>
      </c>
      <c r="BB55" s="7">
        <f>SUM(AD55:BA55)</f>
        <v/>
      </c>
    </row>
    <row r="56">
      <c r="A56" t="inlineStr">
        <is>
          <t>AMD-FWDREG-SSC</t>
        </is>
      </c>
      <c r="B56" t="inlineStr">
        <is>
          <t>Forward Regular OSC</t>
        </is>
      </c>
      <c r="C56" s="5" t="n">
        <v>46103</v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0</v>
      </c>
      <c r="M56" s="6" t="n">
        <v>0</v>
      </c>
      <c r="N56" s="6" t="n">
        <v>0</v>
      </c>
      <c r="O56" s="6" t="n">
        <v>0</v>
      </c>
      <c r="P56" s="6" t="n">
        <v>0</v>
      </c>
      <c r="Q56" s="6" t="n">
        <v>0</v>
      </c>
      <c r="R56" s="6" t="n">
        <v>0</v>
      </c>
      <c r="S56" s="6" t="n">
        <v>0</v>
      </c>
      <c r="T56" s="6" t="n">
        <v>0</v>
      </c>
      <c r="U56" s="6" t="n">
        <v>0</v>
      </c>
      <c r="V56" s="6" t="n">
        <v>0</v>
      </c>
      <c r="W56" s="6" t="n">
        <v>0</v>
      </c>
      <c r="X56" s="6" t="n">
        <v>0</v>
      </c>
      <c r="Y56" s="6" t="n">
        <v>0</v>
      </c>
      <c r="Z56" s="6" t="n">
        <v>0</v>
      </c>
      <c r="AA56" s="6" t="n">
        <v>0</v>
      </c>
      <c r="AB56" s="6">
        <f>SUM(D56:AA56)</f>
        <v/>
      </c>
      <c r="AC56" s="3" t="inlineStr"/>
      <c r="AD56" s="7" t="n">
        <v>0</v>
      </c>
      <c r="AE56" s="7" t="n">
        <v>0</v>
      </c>
      <c r="AF56" s="7" t="n">
        <v>0</v>
      </c>
      <c r="AG56" s="7" t="n">
        <v>0</v>
      </c>
      <c r="AH56" s="7" t="n">
        <v>0</v>
      </c>
      <c r="AI56" s="7" t="n">
        <v>0</v>
      </c>
      <c r="AJ56" s="7" t="n">
        <v>0</v>
      </c>
      <c r="AK56" s="7" t="n">
        <v>0</v>
      </c>
      <c r="AL56" s="7" t="n">
        <v>0</v>
      </c>
      <c r="AM56" s="7" t="n">
        <v>0</v>
      </c>
      <c r="AN56" s="7" t="n">
        <v>0</v>
      </c>
      <c r="AO56" s="7" t="n">
        <v>0</v>
      </c>
      <c r="AP56" s="7" t="n">
        <v>0</v>
      </c>
      <c r="AQ56" s="7" t="n">
        <v>0</v>
      </c>
      <c r="AR56" s="7" t="n">
        <v>0</v>
      </c>
      <c r="AS56" s="7" t="n">
        <v>0</v>
      </c>
      <c r="AT56" s="7" t="n">
        <v>0</v>
      </c>
      <c r="AU56" s="7" t="n">
        <v>0</v>
      </c>
      <c r="AV56" s="7" t="n">
        <v>0</v>
      </c>
      <c r="AW56" s="7" t="n">
        <v>0</v>
      </c>
      <c r="AX56" s="7" t="n">
        <v>0</v>
      </c>
      <c r="AY56" s="7" t="n">
        <v>0</v>
      </c>
      <c r="AZ56" s="7" t="n">
        <v>0</v>
      </c>
      <c r="BA56" s="7" t="n">
        <v>0</v>
      </c>
      <c r="BB56" s="7">
        <f>SUM(AD56:BA56)</f>
        <v/>
      </c>
    </row>
    <row r="57">
      <c r="A57" t="inlineStr">
        <is>
          <t>AMD-FWDREG-SSC</t>
        </is>
      </c>
      <c r="B57" t="inlineStr">
        <is>
          <t>Forward Regular OSC</t>
        </is>
      </c>
      <c r="C57" s="5" t="n">
        <v>46104</v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0</v>
      </c>
      <c r="Q57" s="6" t="n">
        <v>0</v>
      </c>
      <c r="R57" s="6" t="n">
        <v>0</v>
      </c>
      <c r="S57" s="6" t="n">
        <v>0</v>
      </c>
      <c r="T57" s="6" t="n">
        <v>0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0</v>
      </c>
      <c r="AA57" s="6" t="n">
        <v>0</v>
      </c>
      <c r="AB57" s="6">
        <f>SUM(D57:AA57)</f>
        <v/>
      </c>
      <c r="AC57" s="3" t="inlineStr"/>
      <c r="AD57" s="7" t="n">
        <v>0</v>
      </c>
      <c r="AE57" s="7" t="n">
        <v>0</v>
      </c>
      <c r="AF57" s="7" t="n">
        <v>0</v>
      </c>
      <c r="AG57" s="7" t="n">
        <v>0</v>
      </c>
      <c r="AH57" s="7" t="n">
        <v>0</v>
      </c>
      <c r="AI57" s="7" t="n">
        <v>0</v>
      </c>
      <c r="AJ57" s="7" t="n">
        <v>0</v>
      </c>
      <c r="AK57" s="7" t="n">
        <v>0</v>
      </c>
      <c r="AL57" s="7" t="n">
        <v>0</v>
      </c>
      <c r="AM57" s="7" t="n">
        <v>0</v>
      </c>
      <c r="AN57" s="7" t="n">
        <v>0</v>
      </c>
      <c r="AO57" s="7" t="n">
        <v>0</v>
      </c>
      <c r="AP57" s="7" t="n">
        <v>0</v>
      </c>
      <c r="AQ57" s="7" t="n">
        <v>0</v>
      </c>
      <c r="AR57" s="7" t="n">
        <v>0</v>
      </c>
      <c r="AS57" s="7" t="n">
        <v>0</v>
      </c>
      <c r="AT57" s="7" t="n">
        <v>0</v>
      </c>
      <c r="AU57" s="7" t="n">
        <v>0</v>
      </c>
      <c r="AV57" s="7" t="n">
        <v>0</v>
      </c>
      <c r="AW57" s="7" t="n">
        <v>0</v>
      </c>
      <c r="AX57" s="7" t="n">
        <v>0</v>
      </c>
      <c r="AY57" s="7" t="n">
        <v>0</v>
      </c>
      <c r="AZ57" s="7" t="n">
        <v>0</v>
      </c>
      <c r="BA57" s="7" t="n">
        <v>0</v>
      </c>
      <c r="BB57" s="7">
        <f>SUM(AD57:BA57)</f>
        <v/>
      </c>
    </row>
    <row r="58">
      <c r="A58" t="inlineStr">
        <is>
          <t>AMD-FWDREG-SSC</t>
        </is>
      </c>
      <c r="B58" t="inlineStr">
        <is>
          <t>Forward Regular OSC</t>
        </is>
      </c>
      <c r="C58" s="5" t="n">
        <v>46105</v>
      </c>
      <c r="D58" s="6" t="n">
        <v>0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</v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0</v>
      </c>
      <c r="R58" s="6" t="n">
        <v>0</v>
      </c>
      <c r="S58" s="6" t="n">
        <v>0</v>
      </c>
      <c r="T58" s="6" t="n">
        <v>0</v>
      </c>
      <c r="U58" s="6" t="n">
        <v>0</v>
      </c>
      <c r="V58" s="6" t="n">
        <v>0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0</v>
      </c>
      <c r="AB58" s="6">
        <f>SUM(D58:AA58)</f>
        <v/>
      </c>
      <c r="AC58" s="3" t="inlineStr"/>
      <c r="AD58" s="7" t="n">
        <v>0</v>
      </c>
      <c r="AE58" s="7" t="n">
        <v>0</v>
      </c>
      <c r="AF58" s="7" t="n">
        <v>0</v>
      </c>
      <c r="AG58" s="7" t="n">
        <v>0</v>
      </c>
      <c r="AH58" s="7" t="n">
        <v>0</v>
      </c>
      <c r="AI58" s="7" t="n">
        <v>0</v>
      </c>
      <c r="AJ58" s="7" t="n">
        <v>0</v>
      </c>
      <c r="AK58" s="7" t="n">
        <v>0</v>
      </c>
      <c r="AL58" s="7" t="n">
        <v>0</v>
      </c>
      <c r="AM58" s="7" t="n">
        <v>0</v>
      </c>
      <c r="AN58" s="7" t="n">
        <v>0</v>
      </c>
      <c r="AO58" s="7" t="n">
        <v>0</v>
      </c>
      <c r="AP58" s="7" t="n">
        <v>0</v>
      </c>
      <c r="AQ58" s="7" t="n">
        <v>0</v>
      </c>
      <c r="AR58" s="7" t="n">
        <v>0</v>
      </c>
      <c r="AS58" s="7" t="n">
        <v>0</v>
      </c>
      <c r="AT58" s="7" t="n">
        <v>0</v>
      </c>
      <c r="AU58" s="7" t="n">
        <v>0</v>
      </c>
      <c r="AV58" s="7" t="n">
        <v>0</v>
      </c>
      <c r="AW58" s="7" t="n">
        <v>0</v>
      </c>
      <c r="AX58" s="7" t="n">
        <v>0</v>
      </c>
      <c r="AY58" s="7" t="n">
        <v>0</v>
      </c>
      <c r="AZ58" s="7" t="n">
        <v>0</v>
      </c>
      <c r="BA58" s="7" t="n">
        <v>0</v>
      </c>
      <c r="BB58" s="7">
        <f>SUM(AD58:BA58)</f>
        <v/>
      </c>
    </row>
    <row r="59">
      <c r="A59" t="inlineStr">
        <is>
          <t>AMD-INTRA-SSC</t>
        </is>
      </c>
      <c r="B59" t="inlineStr">
        <is>
          <t>Forward Regular OSC</t>
        </is>
      </c>
      <c r="C59" s="5" t="n">
        <v>46098</v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Q59" s="6" t="n">
        <v>0</v>
      </c>
      <c r="R59" s="6" t="n">
        <v>0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0</v>
      </c>
      <c r="Z59" s="6" t="n">
        <v>0</v>
      </c>
      <c r="AA59" s="6" t="n">
        <v>0</v>
      </c>
      <c r="AB59" s="6">
        <f>SUM(D59:AA59)</f>
        <v/>
      </c>
      <c r="AC59" s="3" t="inlineStr"/>
      <c r="AD59" s="7" t="n">
        <v>0</v>
      </c>
      <c r="AE59" s="7" t="n">
        <v>0</v>
      </c>
      <c r="AF59" s="7" t="n">
        <v>0</v>
      </c>
      <c r="AG59" s="7" t="n">
        <v>0</v>
      </c>
      <c r="AH59" s="7" t="n">
        <v>0</v>
      </c>
      <c r="AI59" s="7" t="n">
        <v>0</v>
      </c>
      <c r="AJ59" s="7" t="n">
        <v>0</v>
      </c>
      <c r="AK59" s="7" t="n">
        <v>0</v>
      </c>
      <c r="AL59" s="7" t="n">
        <v>0</v>
      </c>
      <c r="AM59" s="7" t="n">
        <v>0</v>
      </c>
      <c r="AN59" s="7" t="n">
        <v>0</v>
      </c>
      <c r="AO59" s="7" t="n">
        <v>0</v>
      </c>
      <c r="AP59" s="7" t="n">
        <v>0</v>
      </c>
      <c r="AQ59" s="7" t="n">
        <v>0</v>
      </c>
      <c r="AR59" s="7" t="n">
        <v>0</v>
      </c>
      <c r="AS59" s="7" t="n">
        <v>0</v>
      </c>
      <c r="AT59" s="7" t="n">
        <v>0</v>
      </c>
      <c r="AU59" s="7" t="n">
        <v>0</v>
      </c>
      <c r="AV59" s="7" t="n">
        <v>0</v>
      </c>
      <c r="AW59" s="7" t="n">
        <v>0</v>
      </c>
      <c r="AX59" s="7" t="n">
        <v>0</v>
      </c>
      <c r="AY59" s="7" t="n">
        <v>0</v>
      </c>
      <c r="AZ59" s="7" t="n">
        <v>0</v>
      </c>
      <c r="BA59" s="7" t="n">
        <v>0</v>
      </c>
      <c r="BB59" s="7">
        <f>SUM(AD59:BA59)</f>
        <v/>
      </c>
    </row>
    <row r="60">
      <c r="A60" t="inlineStr">
        <is>
          <t>AMD-INTRA-SSC</t>
        </is>
      </c>
      <c r="B60" t="inlineStr">
        <is>
          <t>Forward Regular OSC</t>
        </is>
      </c>
      <c r="C60" s="5" t="n">
        <v>46099</v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0</v>
      </c>
      <c r="Q60" s="6" t="n">
        <v>0</v>
      </c>
      <c r="R60" s="6" t="n">
        <v>0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0</v>
      </c>
      <c r="Z60" s="6" t="n">
        <v>0</v>
      </c>
      <c r="AA60" s="6" t="n">
        <v>0</v>
      </c>
      <c r="AB60" s="6">
        <f>SUM(D60:AA60)</f>
        <v/>
      </c>
      <c r="AC60" s="3" t="inlineStr"/>
      <c r="AD60" s="7" t="n">
        <v>0</v>
      </c>
      <c r="AE60" s="7" t="n">
        <v>0</v>
      </c>
      <c r="AF60" s="7" t="n">
        <v>0</v>
      </c>
      <c r="AG60" s="7" t="n">
        <v>0</v>
      </c>
      <c r="AH60" s="7" t="n">
        <v>0</v>
      </c>
      <c r="AI60" s="7" t="n">
        <v>0</v>
      </c>
      <c r="AJ60" s="7" t="n">
        <v>0</v>
      </c>
      <c r="AK60" s="7" t="n">
        <v>0</v>
      </c>
      <c r="AL60" s="7" t="n">
        <v>0</v>
      </c>
      <c r="AM60" s="7" t="n">
        <v>0</v>
      </c>
      <c r="AN60" s="7" t="n">
        <v>0</v>
      </c>
      <c r="AO60" s="7" t="n">
        <v>0</v>
      </c>
      <c r="AP60" s="7" t="n">
        <v>0</v>
      </c>
      <c r="AQ60" s="7" t="n">
        <v>0</v>
      </c>
      <c r="AR60" s="7" t="n">
        <v>0</v>
      </c>
      <c r="AS60" s="7" t="n">
        <v>0</v>
      </c>
      <c r="AT60" s="7" t="n">
        <v>0</v>
      </c>
      <c r="AU60" s="7" t="n">
        <v>0</v>
      </c>
      <c r="AV60" s="7" t="n">
        <v>0</v>
      </c>
      <c r="AW60" s="7" t="n">
        <v>0</v>
      </c>
      <c r="AX60" s="7" t="n">
        <v>0</v>
      </c>
      <c r="AY60" s="7" t="n">
        <v>0</v>
      </c>
      <c r="AZ60" s="7" t="n">
        <v>0</v>
      </c>
      <c r="BA60" s="7" t="n">
        <v>0</v>
      </c>
      <c r="BB60" s="7">
        <f>SUM(AD60:BA60)</f>
        <v/>
      </c>
    </row>
    <row r="61">
      <c r="A61" t="inlineStr">
        <is>
          <t>AMD-INTRA-SSC</t>
        </is>
      </c>
      <c r="B61" t="inlineStr">
        <is>
          <t>Forward Regular OSC</t>
        </is>
      </c>
      <c r="C61" s="5" t="n">
        <v>46100</v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0</v>
      </c>
      <c r="Q61" s="6" t="n">
        <v>0</v>
      </c>
      <c r="R61" s="6" t="n">
        <v>0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0</v>
      </c>
      <c r="X61" s="6" t="n">
        <v>0</v>
      </c>
      <c r="Y61" s="6" t="n">
        <v>0</v>
      </c>
      <c r="Z61" s="6" t="n">
        <v>0</v>
      </c>
      <c r="AA61" s="6" t="n">
        <v>0</v>
      </c>
      <c r="AB61" s="6">
        <f>SUM(D61:AA61)</f>
        <v/>
      </c>
      <c r="AC61" s="3" t="inlineStr"/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7" t="n">
        <v>0</v>
      </c>
      <c r="BB61" s="7">
        <f>SUM(AD61:BA61)</f>
        <v/>
      </c>
    </row>
    <row r="62">
      <c r="A62" t="inlineStr">
        <is>
          <t>AMD-INTRA-SSC</t>
        </is>
      </c>
      <c r="B62" t="inlineStr">
        <is>
          <t>Forward Regular OSC</t>
        </is>
      </c>
      <c r="C62" s="5" t="n">
        <v>46101</v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0</v>
      </c>
      <c r="M62" s="6" t="n">
        <v>0</v>
      </c>
      <c r="N62" s="6" t="n">
        <v>0</v>
      </c>
      <c r="O62" s="6" t="n">
        <v>0</v>
      </c>
      <c r="P62" s="6" t="n">
        <v>0</v>
      </c>
      <c r="Q62" s="6" t="n">
        <v>0</v>
      </c>
      <c r="R62" s="6" t="n">
        <v>0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0</v>
      </c>
      <c r="Z62" s="6" t="n">
        <v>0</v>
      </c>
      <c r="AA62" s="6" t="n">
        <v>0</v>
      </c>
      <c r="AB62" s="6">
        <f>SUM(D62:AA62)</f>
        <v/>
      </c>
      <c r="AC62" s="3" t="inlineStr"/>
      <c r="AD62" s="7" t="n">
        <v>0</v>
      </c>
      <c r="AE62" s="7" t="n">
        <v>0</v>
      </c>
      <c r="AF62" s="7" t="n">
        <v>0</v>
      </c>
      <c r="AG62" s="7" t="n">
        <v>0</v>
      </c>
      <c r="AH62" s="7" t="n">
        <v>0</v>
      </c>
      <c r="AI62" s="7" t="n">
        <v>0</v>
      </c>
      <c r="AJ62" s="7" t="n">
        <v>0</v>
      </c>
      <c r="AK62" s="7" t="n">
        <v>0</v>
      </c>
      <c r="AL62" s="7" t="n">
        <v>0</v>
      </c>
      <c r="AM62" s="7" t="n">
        <v>0</v>
      </c>
      <c r="AN62" s="7" t="n">
        <v>0</v>
      </c>
      <c r="AO62" s="7" t="n">
        <v>0</v>
      </c>
      <c r="AP62" s="7" t="n">
        <v>0</v>
      </c>
      <c r="AQ62" s="7" t="n">
        <v>0</v>
      </c>
      <c r="AR62" s="7" t="n">
        <v>0</v>
      </c>
      <c r="AS62" s="7" t="n">
        <v>0</v>
      </c>
      <c r="AT62" s="7" t="n">
        <v>0</v>
      </c>
      <c r="AU62" s="7" t="n">
        <v>0</v>
      </c>
      <c r="AV62" s="7" t="n">
        <v>0</v>
      </c>
      <c r="AW62" s="7" t="n">
        <v>0</v>
      </c>
      <c r="AX62" s="7" t="n">
        <v>0</v>
      </c>
      <c r="AY62" s="7" t="n">
        <v>0</v>
      </c>
      <c r="AZ62" s="7" t="n">
        <v>0</v>
      </c>
      <c r="BA62" s="7" t="n">
        <v>0</v>
      </c>
      <c r="BB62" s="7">
        <f>SUM(AD62:BA62)</f>
        <v/>
      </c>
    </row>
    <row r="63">
      <c r="A63" t="inlineStr">
        <is>
          <t>AMD-INTRA-SSC</t>
        </is>
      </c>
      <c r="B63" t="inlineStr">
        <is>
          <t>Forward Regular OSC</t>
        </is>
      </c>
      <c r="C63" s="5" t="n">
        <v>46102</v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0</v>
      </c>
      <c r="Q63" s="6" t="n">
        <v>0</v>
      </c>
      <c r="R63" s="6" t="n">
        <v>0</v>
      </c>
      <c r="S63" s="6" t="n">
        <v>0</v>
      </c>
      <c r="T63" s="6" t="n">
        <v>0</v>
      </c>
      <c r="U63" s="6" t="n">
        <v>0</v>
      </c>
      <c r="V63" s="6" t="n">
        <v>0</v>
      </c>
      <c r="W63" s="6" t="n">
        <v>0</v>
      </c>
      <c r="X63" s="6" t="n">
        <v>0</v>
      </c>
      <c r="Y63" s="6" t="n">
        <v>0</v>
      </c>
      <c r="Z63" s="6" t="n">
        <v>0</v>
      </c>
      <c r="AA63" s="6" t="n">
        <v>0</v>
      </c>
      <c r="AB63" s="6">
        <f>SUM(D63:AA63)</f>
        <v/>
      </c>
      <c r="AC63" s="3" t="inlineStr"/>
      <c r="AD63" s="7" t="n">
        <v>0</v>
      </c>
      <c r="AE63" s="7" t="n">
        <v>0</v>
      </c>
      <c r="AF63" s="7" t="n">
        <v>0</v>
      </c>
      <c r="AG63" s="7" t="n">
        <v>0</v>
      </c>
      <c r="AH63" s="7" t="n">
        <v>0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0</v>
      </c>
      <c r="AO63" s="7" t="n">
        <v>0</v>
      </c>
      <c r="AP63" s="7" t="n">
        <v>0</v>
      </c>
      <c r="AQ63" s="7" t="n">
        <v>0</v>
      </c>
      <c r="AR63" s="7" t="n">
        <v>0</v>
      </c>
      <c r="AS63" s="7" t="n">
        <v>0</v>
      </c>
      <c r="AT63" s="7" t="n">
        <v>0</v>
      </c>
      <c r="AU63" s="7" t="n">
        <v>0</v>
      </c>
      <c r="AV63" s="7" t="n">
        <v>0</v>
      </c>
      <c r="AW63" s="7" t="n">
        <v>0</v>
      </c>
      <c r="AX63" s="7" t="n">
        <v>0</v>
      </c>
      <c r="AY63" s="7" t="n">
        <v>0</v>
      </c>
      <c r="AZ63" s="7" t="n">
        <v>0</v>
      </c>
      <c r="BA63" s="7" t="n">
        <v>0</v>
      </c>
      <c r="BB63" s="7">
        <f>SUM(AD63:BA63)</f>
        <v/>
      </c>
    </row>
    <row r="64">
      <c r="A64" t="inlineStr">
        <is>
          <t>AMD-INTRA-SSC</t>
        </is>
      </c>
      <c r="B64" t="inlineStr">
        <is>
          <t>Forward Regular OSC</t>
        </is>
      </c>
      <c r="C64" s="5" t="n">
        <v>46103</v>
      </c>
      <c r="D64" s="6" t="n">
        <v>0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0</v>
      </c>
      <c r="M64" s="6" t="n">
        <v>0</v>
      </c>
      <c r="N64" s="6" t="n">
        <v>0</v>
      </c>
      <c r="O64" s="6" t="n">
        <v>0</v>
      </c>
      <c r="P64" s="6" t="n">
        <v>0</v>
      </c>
      <c r="Q64" s="6" t="n">
        <v>0</v>
      </c>
      <c r="R64" s="6" t="n">
        <v>0</v>
      </c>
      <c r="S64" s="6" t="n">
        <v>0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0</v>
      </c>
      <c r="AB64" s="6">
        <f>SUM(D64:AA64)</f>
        <v/>
      </c>
      <c r="AC64" s="3" t="inlineStr"/>
      <c r="AD64" s="7" t="n">
        <v>0</v>
      </c>
      <c r="AE64" s="7" t="n">
        <v>0</v>
      </c>
      <c r="AF64" s="7" t="n">
        <v>0</v>
      </c>
      <c r="AG64" s="7" t="n">
        <v>0</v>
      </c>
      <c r="AH64" s="7" t="n">
        <v>0</v>
      </c>
      <c r="AI64" s="7" t="n">
        <v>0</v>
      </c>
      <c r="AJ64" s="7" t="n">
        <v>0</v>
      </c>
      <c r="AK64" s="7" t="n">
        <v>0</v>
      </c>
      <c r="AL64" s="7" t="n">
        <v>0</v>
      </c>
      <c r="AM64" s="7" t="n">
        <v>0</v>
      </c>
      <c r="AN64" s="7" t="n">
        <v>0</v>
      </c>
      <c r="AO64" s="7" t="n">
        <v>0</v>
      </c>
      <c r="AP64" s="7" t="n">
        <v>0</v>
      </c>
      <c r="AQ64" s="7" t="n">
        <v>0</v>
      </c>
      <c r="AR64" s="7" t="n">
        <v>0</v>
      </c>
      <c r="AS64" s="7" t="n">
        <v>0</v>
      </c>
      <c r="AT64" s="7" t="n">
        <v>0</v>
      </c>
      <c r="AU64" s="7" t="n">
        <v>0</v>
      </c>
      <c r="AV64" s="7" t="n">
        <v>0</v>
      </c>
      <c r="AW64" s="7" t="n">
        <v>0</v>
      </c>
      <c r="AX64" s="7" t="n">
        <v>0</v>
      </c>
      <c r="AY64" s="7" t="n">
        <v>0</v>
      </c>
      <c r="AZ64" s="7" t="n">
        <v>0</v>
      </c>
      <c r="BA64" s="7" t="n">
        <v>0</v>
      </c>
      <c r="BB64" s="7">
        <f>SUM(AD64:BA64)</f>
        <v/>
      </c>
    </row>
    <row r="65">
      <c r="A65" t="inlineStr">
        <is>
          <t>AMD-INTRA-SSC</t>
        </is>
      </c>
      <c r="B65" t="inlineStr">
        <is>
          <t>Forward Regular OSC</t>
        </is>
      </c>
      <c r="C65" s="5" t="n">
        <v>46104</v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0</v>
      </c>
      <c r="Q65" s="6" t="n">
        <v>0</v>
      </c>
      <c r="R65" s="6" t="n">
        <v>0</v>
      </c>
      <c r="S65" s="6" t="n">
        <v>0</v>
      </c>
      <c r="T65" s="6" t="n">
        <v>0</v>
      </c>
      <c r="U65" s="6" t="n">
        <v>0</v>
      </c>
      <c r="V65" s="6" t="n">
        <v>0</v>
      </c>
      <c r="W65" s="6" t="n">
        <v>0</v>
      </c>
      <c r="X65" s="6" t="n">
        <v>0</v>
      </c>
      <c r="Y65" s="6" t="n">
        <v>0</v>
      </c>
      <c r="Z65" s="6" t="n">
        <v>0</v>
      </c>
      <c r="AA65" s="6" t="n">
        <v>0</v>
      </c>
      <c r="AB65" s="6">
        <f>SUM(D65:AA65)</f>
        <v/>
      </c>
      <c r="AC65" s="3" t="inlineStr"/>
      <c r="AD65" s="7" t="n">
        <v>0</v>
      </c>
      <c r="AE65" s="7" t="n">
        <v>0</v>
      </c>
      <c r="AF65" s="7" t="n">
        <v>0</v>
      </c>
      <c r="AG65" s="7" t="n">
        <v>0</v>
      </c>
      <c r="AH65" s="7" t="n">
        <v>0</v>
      </c>
      <c r="AI65" s="7" t="n">
        <v>0</v>
      </c>
      <c r="AJ65" s="7" t="n">
        <v>0</v>
      </c>
      <c r="AK65" s="7" t="n">
        <v>0</v>
      </c>
      <c r="AL65" s="7" t="n">
        <v>0</v>
      </c>
      <c r="AM65" s="7" t="n">
        <v>0</v>
      </c>
      <c r="AN65" s="7" t="n">
        <v>0</v>
      </c>
      <c r="AO65" s="7" t="n">
        <v>0</v>
      </c>
      <c r="AP65" s="7" t="n">
        <v>0</v>
      </c>
      <c r="AQ65" s="7" t="n">
        <v>0</v>
      </c>
      <c r="AR65" s="7" t="n">
        <v>0</v>
      </c>
      <c r="AS65" s="7" t="n">
        <v>0</v>
      </c>
      <c r="AT65" s="7" t="n">
        <v>0</v>
      </c>
      <c r="AU65" s="7" t="n">
        <v>0</v>
      </c>
      <c r="AV65" s="7" t="n">
        <v>0</v>
      </c>
      <c r="AW65" s="7" t="n">
        <v>0</v>
      </c>
      <c r="AX65" s="7" t="n">
        <v>0</v>
      </c>
      <c r="AY65" s="7" t="n">
        <v>0</v>
      </c>
      <c r="AZ65" s="7" t="n">
        <v>0</v>
      </c>
      <c r="BA65" s="7" t="n">
        <v>0</v>
      </c>
      <c r="BB65" s="7">
        <f>SUM(AD65:BA65)</f>
        <v/>
      </c>
    </row>
    <row r="66">
      <c r="A66" t="inlineStr">
        <is>
          <t>AMD-INTRA-SSC</t>
        </is>
      </c>
      <c r="B66" t="inlineStr">
        <is>
          <t>Forward Regular OSC</t>
        </is>
      </c>
      <c r="C66" s="5" t="n">
        <v>46105</v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0</v>
      </c>
      <c r="N66" s="6" t="n">
        <v>0</v>
      </c>
      <c r="O66" s="6" t="n">
        <v>0</v>
      </c>
      <c r="P66" s="6" t="n">
        <v>0</v>
      </c>
      <c r="Q66" s="6" t="n">
        <v>0</v>
      </c>
      <c r="R66" s="6" t="n">
        <v>0</v>
      </c>
      <c r="S66" s="6" t="n">
        <v>0</v>
      </c>
      <c r="T66" s="6" t="n">
        <v>0</v>
      </c>
      <c r="U66" s="6" t="n">
        <v>0</v>
      </c>
      <c r="V66" s="6" t="n">
        <v>0</v>
      </c>
      <c r="W66" s="6" t="n">
        <v>0</v>
      </c>
      <c r="X66" s="6" t="n">
        <v>0</v>
      </c>
      <c r="Y66" s="6" t="n">
        <v>0</v>
      </c>
      <c r="Z66" s="6" t="n">
        <v>0</v>
      </c>
      <c r="AA66" s="6" t="n">
        <v>0</v>
      </c>
      <c r="AB66" s="6">
        <f>SUM(D66:AA66)</f>
        <v/>
      </c>
      <c r="AC66" s="3" t="inlineStr"/>
      <c r="AD66" s="7" t="n">
        <v>0</v>
      </c>
      <c r="AE66" s="7" t="n">
        <v>0</v>
      </c>
      <c r="AF66" s="7" t="n">
        <v>0</v>
      </c>
      <c r="AG66" s="7" t="n">
        <v>0</v>
      </c>
      <c r="AH66" s="7" t="n">
        <v>0</v>
      </c>
      <c r="AI66" s="7" t="n">
        <v>0</v>
      </c>
      <c r="AJ66" s="7" t="n">
        <v>0</v>
      </c>
      <c r="AK66" s="7" t="n">
        <v>0</v>
      </c>
      <c r="AL66" s="7" t="n">
        <v>0</v>
      </c>
      <c r="AM66" s="7" t="n">
        <v>0</v>
      </c>
      <c r="AN66" s="7" t="n">
        <v>0</v>
      </c>
      <c r="AO66" s="7" t="n">
        <v>0</v>
      </c>
      <c r="AP66" s="7" t="n">
        <v>0</v>
      </c>
      <c r="AQ66" s="7" t="n">
        <v>0</v>
      </c>
      <c r="AR66" s="7" t="n">
        <v>0</v>
      </c>
      <c r="AS66" s="7" t="n">
        <v>0</v>
      </c>
      <c r="AT66" s="7" t="n">
        <v>0</v>
      </c>
      <c r="AU66" s="7" t="n">
        <v>0</v>
      </c>
      <c r="AV66" s="7" t="n">
        <v>0</v>
      </c>
      <c r="AW66" s="7" t="n">
        <v>0</v>
      </c>
      <c r="AX66" s="7" t="n">
        <v>0</v>
      </c>
      <c r="AY66" s="7" t="n">
        <v>0</v>
      </c>
      <c r="AZ66" s="7" t="n">
        <v>0</v>
      </c>
      <c r="BA66" s="7" t="n">
        <v>0</v>
      </c>
      <c r="BB66" s="7">
        <f>SUM(AD66:BA66)</f>
        <v/>
      </c>
    </row>
    <row r="67">
      <c r="A67" t="inlineStr">
        <is>
          <t>AMD-M1</t>
        </is>
      </c>
      <c r="B67" t="inlineStr">
        <is>
          <t>Forward Regular OSC</t>
        </is>
      </c>
      <c r="C67" s="5" t="n">
        <v>46089</v>
      </c>
      <c r="D67" s="6" t="n">
        <v>0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  <c r="S67" s="6" t="n">
        <v>0</v>
      </c>
      <c r="T67" s="6" t="n">
        <v>0</v>
      </c>
      <c r="U67" s="6" t="n">
        <v>0</v>
      </c>
      <c r="V67" s="6" t="n">
        <v>0</v>
      </c>
      <c r="W67" s="6" t="n">
        <v>0</v>
      </c>
      <c r="X67" s="6" t="n">
        <v>0</v>
      </c>
      <c r="Y67" s="6" t="n">
        <v>0</v>
      </c>
      <c r="Z67" s="6" t="n">
        <v>0</v>
      </c>
      <c r="AA67" s="6" t="n">
        <v>0</v>
      </c>
      <c r="AB67" s="6">
        <f>SUM(D67:AA67)</f>
        <v/>
      </c>
      <c r="AC67" s="3" t="inlineStr"/>
      <c r="AD67" s="7" t="n">
        <v>0</v>
      </c>
      <c r="AE67" s="7" t="n">
        <v>0</v>
      </c>
      <c r="AF67" s="7" t="n">
        <v>0</v>
      </c>
      <c r="AG67" s="7" t="n">
        <v>0</v>
      </c>
      <c r="AH67" s="7" t="n">
        <v>0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</v>
      </c>
      <c r="AN67" s="7" t="n">
        <v>0</v>
      </c>
      <c r="AO67" s="7" t="n">
        <v>0</v>
      </c>
      <c r="AP67" s="7" t="n">
        <v>0</v>
      </c>
      <c r="AQ67" s="7" t="n">
        <v>0</v>
      </c>
      <c r="AR67" s="7" t="n">
        <v>0</v>
      </c>
      <c r="AS67" s="7" t="n">
        <v>0</v>
      </c>
      <c r="AT67" s="7" t="n">
        <v>0</v>
      </c>
      <c r="AU67" s="7" t="n">
        <v>0</v>
      </c>
      <c r="AV67" s="7" t="n">
        <v>0</v>
      </c>
      <c r="AW67" s="7" t="n">
        <v>0</v>
      </c>
      <c r="AX67" s="7" t="n">
        <v>0</v>
      </c>
      <c r="AY67" s="7" t="n">
        <v>0</v>
      </c>
      <c r="AZ67" s="7" t="n">
        <v>0</v>
      </c>
      <c r="BA67" s="7" t="n">
        <v>0</v>
      </c>
      <c r="BB67" s="7">
        <f>SUM(AD67:BA67)</f>
        <v/>
      </c>
    </row>
    <row r="68">
      <c r="A68" t="inlineStr">
        <is>
          <t>AMD-M1</t>
        </is>
      </c>
      <c r="B68" t="inlineStr">
        <is>
          <t>Forward Regular OSC</t>
        </is>
      </c>
      <c r="C68" s="5" t="n">
        <v>46090</v>
      </c>
      <c r="D68" s="6" t="n">
        <v>0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0</v>
      </c>
      <c r="M68" s="6" t="n">
        <v>0</v>
      </c>
      <c r="N68" s="6" t="n">
        <v>0</v>
      </c>
      <c r="O68" s="6" t="n">
        <v>0</v>
      </c>
      <c r="P68" s="6" t="n">
        <v>0</v>
      </c>
      <c r="Q68" s="6" t="n">
        <v>0</v>
      </c>
      <c r="R68" s="6" t="n">
        <v>0</v>
      </c>
      <c r="S68" s="6" t="n">
        <v>0</v>
      </c>
      <c r="T68" s="6" t="n">
        <v>0</v>
      </c>
      <c r="U68" s="6" t="n">
        <v>0</v>
      </c>
      <c r="V68" s="6" t="n">
        <v>0</v>
      </c>
      <c r="W68" s="6" t="n">
        <v>0</v>
      </c>
      <c r="X68" s="6" t="n">
        <v>0</v>
      </c>
      <c r="Y68" s="6" t="n">
        <v>0</v>
      </c>
      <c r="Z68" s="6" t="n">
        <v>0</v>
      </c>
      <c r="AA68" s="6" t="n">
        <v>0</v>
      </c>
      <c r="AB68" s="6">
        <f>SUM(D68:AA68)</f>
        <v/>
      </c>
      <c r="AC68" s="3" t="inlineStr"/>
      <c r="AD68" s="7" t="n">
        <v>0</v>
      </c>
      <c r="AE68" s="7" t="n">
        <v>0</v>
      </c>
      <c r="AF68" s="7" t="n">
        <v>0</v>
      </c>
      <c r="AG68" s="7" t="n">
        <v>0</v>
      </c>
      <c r="AH68" s="7" t="n">
        <v>0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0</v>
      </c>
      <c r="AO68" s="7" t="n">
        <v>0</v>
      </c>
      <c r="AP68" s="7" t="n">
        <v>0</v>
      </c>
      <c r="AQ68" s="7" t="n">
        <v>0</v>
      </c>
      <c r="AR68" s="7" t="n">
        <v>0</v>
      </c>
      <c r="AS68" s="7" t="n">
        <v>0</v>
      </c>
      <c r="AT68" s="7" t="n">
        <v>0</v>
      </c>
      <c r="AU68" s="7" t="n">
        <v>0</v>
      </c>
      <c r="AV68" s="7" t="n">
        <v>0</v>
      </c>
      <c r="AW68" s="7" t="n">
        <v>0</v>
      </c>
      <c r="AX68" s="7" t="n">
        <v>0</v>
      </c>
      <c r="AY68" s="7" t="n">
        <v>0</v>
      </c>
      <c r="AZ68" s="7" t="n">
        <v>0</v>
      </c>
      <c r="BA68" s="7" t="n">
        <v>0</v>
      </c>
      <c r="BB68" s="7">
        <f>SUM(AD68:BA68)</f>
        <v/>
      </c>
    </row>
    <row r="69">
      <c r="A69" t="inlineStr">
        <is>
          <t>AMD-M1</t>
        </is>
      </c>
      <c r="B69" t="inlineStr">
        <is>
          <t>Forward Regular OSC</t>
        </is>
      </c>
      <c r="C69" s="5" t="n">
        <v>46091</v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>
        <f>SUM(D69:AA69)</f>
        <v/>
      </c>
      <c r="AC69" s="3" t="inlineStr"/>
      <c r="AD69" s="7" t="n">
        <v>0</v>
      </c>
      <c r="AE69" s="7" t="n">
        <v>0</v>
      </c>
      <c r="AF69" s="7" t="n">
        <v>0</v>
      </c>
      <c r="AG69" s="7" t="n">
        <v>0</v>
      </c>
      <c r="AH69" s="7" t="n">
        <v>0</v>
      </c>
      <c r="AI69" s="7" t="n">
        <v>0</v>
      </c>
      <c r="AJ69" s="7" t="n">
        <v>0</v>
      </c>
      <c r="AK69" s="7" t="n">
        <v>0</v>
      </c>
      <c r="AL69" s="7" t="n">
        <v>0</v>
      </c>
      <c r="AM69" s="7" t="n">
        <v>0</v>
      </c>
      <c r="AN69" s="7" t="n">
        <v>0</v>
      </c>
      <c r="AO69" s="7" t="n">
        <v>0</v>
      </c>
      <c r="AP69" s="7" t="n">
        <v>0</v>
      </c>
      <c r="AQ69" s="7" t="n">
        <v>0</v>
      </c>
      <c r="AR69" s="7" t="n">
        <v>0</v>
      </c>
      <c r="AS69" s="7" t="n">
        <v>0</v>
      </c>
      <c r="AT69" s="7" t="n">
        <v>0</v>
      </c>
      <c r="AU69" s="7" t="n">
        <v>0</v>
      </c>
      <c r="AV69" s="7" t="n">
        <v>0</v>
      </c>
      <c r="AW69" s="7" t="n">
        <v>0</v>
      </c>
      <c r="AX69" s="7" t="n">
        <v>0</v>
      </c>
      <c r="AY69" s="7" t="n">
        <v>0</v>
      </c>
      <c r="AZ69" s="7" t="n">
        <v>0</v>
      </c>
      <c r="BA69" s="7" t="n">
        <v>0</v>
      </c>
      <c r="BB69" s="7">
        <f>SUM(AD69:BA69)</f>
        <v/>
      </c>
    </row>
    <row r="70">
      <c r="A70" t="inlineStr">
        <is>
          <t>AMD-M1</t>
        </is>
      </c>
      <c r="B70" t="inlineStr">
        <is>
          <t>Forward Regular OSC</t>
        </is>
      </c>
      <c r="C70" s="5" t="n">
        <v>46092</v>
      </c>
      <c r="D70" s="6" t="n">
        <v>0</v>
      </c>
      <c r="E70" s="6" t="n">
        <v>0</v>
      </c>
      <c r="F70" s="6" t="n">
        <v>0</v>
      </c>
      <c r="G70" s="6" t="n">
        <v>0</v>
      </c>
      <c r="H70" s="6" t="n">
        <v>0</v>
      </c>
      <c r="I70" s="6" t="n">
        <v>0</v>
      </c>
      <c r="J70" s="6" t="n">
        <v>0</v>
      </c>
      <c r="K70" s="6" t="n">
        <v>0</v>
      </c>
      <c r="L70" s="6" t="n">
        <v>0</v>
      </c>
      <c r="M70" s="6" t="n">
        <v>0</v>
      </c>
      <c r="N70" s="6" t="n">
        <v>0</v>
      </c>
      <c r="O70" s="6" t="n">
        <v>0</v>
      </c>
      <c r="P70" s="6" t="n">
        <v>0</v>
      </c>
      <c r="Q70" s="6" t="n">
        <v>0</v>
      </c>
      <c r="R70" s="6" t="n">
        <v>0</v>
      </c>
      <c r="S70" s="6" t="n">
        <v>0</v>
      </c>
      <c r="T70" s="6" t="n">
        <v>0</v>
      </c>
      <c r="U70" s="6" t="n">
        <v>0</v>
      </c>
      <c r="V70" s="6" t="n">
        <v>0</v>
      </c>
      <c r="W70" s="6" t="n">
        <v>0</v>
      </c>
      <c r="X70" s="6" t="n">
        <v>0</v>
      </c>
      <c r="Y70" s="6" t="n">
        <v>0</v>
      </c>
      <c r="Z70" s="6" t="n">
        <v>0</v>
      </c>
      <c r="AA70" s="6" t="n">
        <v>0</v>
      </c>
      <c r="AB70" s="6">
        <f>SUM(D70:AA70)</f>
        <v/>
      </c>
      <c r="AC70" s="3" t="inlineStr"/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>
        <f>SUM(AD70:BA70)</f>
        <v/>
      </c>
    </row>
    <row r="71">
      <c r="A71" t="inlineStr">
        <is>
          <t>AMD-M1</t>
        </is>
      </c>
      <c r="B71" t="inlineStr">
        <is>
          <t>Forward Regular OSC</t>
        </is>
      </c>
      <c r="C71" s="5" t="n">
        <v>46093</v>
      </c>
      <c r="D71" s="6" t="n">
        <v>0</v>
      </c>
      <c r="E71" s="6" t="n">
        <v>0</v>
      </c>
      <c r="F71" s="6" t="n">
        <v>0</v>
      </c>
      <c r="G71" s="6" t="n">
        <v>0</v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0</v>
      </c>
      <c r="Z71" s="6" t="n">
        <v>0</v>
      </c>
      <c r="AA71" s="6" t="n">
        <v>0</v>
      </c>
      <c r="AB71" s="6">
        <f>SUM(D71:AA71)</f>
        <v/>
      </c>
      <c r="AC71" s="3" t="inlineStr"/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  <c r="AS71" s="7" t="n">
        <v>0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7" t="n">
        <v>0</v>
      </c>
      <c r="BB71" s="7">
        <f>SUM(AD71:BA71)</f>
        <v/>
      </c>
    </row>
    <row r="72">
      <c r="A72" t="inlineStr">
        <is>
          <t>AMD-M1</t>
        </is>
      </c>
      <c r="B72" t="inlineStr">
        <is>
          <t>Forward Regular OSC</t>
        </is>
      </c>
      <c r="C72" s="5" t="n">
        <v>46094</v>
      </c>
      <c r="D72" s="6" t="n">
        <v>0</v>
      </c>
      <c r="E72" s="6" t="n">
        <v>0</v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0</v>
      </c>
      <c r="K72" s="6" t="n">
        <v>0</v>
      </c>
      <c r="L72" s="6" t="n">
        <v>0</v>
      </c>
      <c r="M72" s="6" t="n">
        <v>0</v>
      </c>
      <c r="N72" s="6" t="n">
        <v>0</v>
      </c>
      <c r="O72" s="6" t="n">
        <v>0</v>
      </c>
      <c r="P72" s="6" t="n">
        <v>0</v>
      </c>
      <c r="Q72" s="6" t="n">
        <v>0</v>
      </c>
      <c r="R72" s="6" t="n">
        <v>0</v>
      </c>
      <c r="S72" s="6" t="n">
        <v>0</v>
      </c>
      <c r="T72" s="6" t="n">
        <v>0</v>
      </c>
      <c r="U72" s="6" t="n">
        <v>0</v>
      </c>
      <c r="V72" s="6" t="n">
        <v>0</v>
      </c>
      <c r="W72" s="6" t="n">
        <v>0</v>
      </c>
      <c r="X72" s="6" t="n">
        <v>0</v>
      </c>
      <c r="Y72" s="6" t="n">
        <v>0</v>
      </c>
      <c r="Z72" s="6" t="n">
        <v>0</v>
      </c>
      <c r="AA72" s="6" t="n">
        <v>0</v>
      </c>
      <c r="AB72" s="6">
        <f>SUM(D72:AA72)</f>
        <v/>
      </c>
      <c r="AC72" s="3" t="inlineStr"/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0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0</v>
      </c>
      <c r="AO72" s="7" t="n">
        <v>0</v>
      </c>
      <c r="AP72" s="7" t="n">
        <v>0</v>
      </c>
      <c r="AQ72" s="7" t="n">
        <v>0</v>
      </c>
      <c r="AR72" s="7" t="n">
        <v>0</v>
      </c>
      <c r="AS72" s="7" t="n">
        <v>0</v>
      </c>
      <c r="AT72" s="7" t="n">
        <v>0</v>
      </c>
      <c r="AU72" s="7" t="n">
        <v>0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0</v>
      </c>
      <c r="BA72" s="7" t="n">
        <v>0</v>
      </c>
      <c r="BB72" s="7">
        <f>SUM(AD72:BA72)</f>
        <v/>
      </c>
    </row>
    <row r="73">
      <c r="A73" t="inlineStr">
        <is>
          <t>AMD-M1</t>
        </is>
      </c>
      <c r="B73" t="inlineStr">
        <is>
          <t>Forward Regular OSC</t>
        </is>
      </c>
      <c r="C73" s="5" t="n">
        <v>46095</v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  <c r="S73" s="6" t="n">
        <v>0</v>
      </c>
      <c r="T73" s="6" t="n">
        <v>0</v>
      </c>
      <c r="U73" s="6" t="n">
        <v>0</v>
      </c>
      <c r="V73" s="6" t="n">
        <v>0</v>
      </c>
      <c r="W73" s="6" t="n">
        <v>0</v>
      </c>
      <c r="X73" s="6" t="n">
        <v>0</v>
      </c>
      <c r="Y73" s="6" t="n">
        <v>0</v>
      </c>
      <c r="Z73" s="6" t="n">
        <v>0</v>
      </c>
      <c r="AA73" s="6" t="n">
        <v>0</v>
      </c>
      <c r="AB73" s="6">
        <f>SUM(D73:AA73)</f>
        <v/>
      </c>
      <c r="AC73" s="3" t="inlineStr"/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7" t="n">
        <v>0</v>
      </c>
      <c r="BB73" s="7">
        <f>SUM(AD73:BA73)</f>
        <v/>
      </c>
    </row>
    <row r="74">
      <c r="A74" t="inlineStr">
        <is>
          <t>AMD-M1</t>
        </is>
      </c>
      <c r="B74" t="inlineStr">
        <is>
          <t>Forward Regular OSC</t>
        </is>
      </c>
      <c r="C74" s="5" t="n">
        <v>46096</v>
      </c>
      <c r="D74" s="6" t="n">
        <v>0</v>
      </c>
      <c r="E74" s="6" t="n">
        <v>0</v>
      </c>
      <c r="F74" s="6" t="n">
        <v>0</v>
      </c>
      <c r="G74" s="6" t="n">
        <v>0</v>
      </c>
      <c r="H74" s="6" t="n">
        <v>0</v>
      </c>
      <c r="I74" s="6" t="n">
        <v>0</v>
      </c>
      <c r="J74" s="6" t="n">
        <v>0</v>
      </c>
      <c r="K74" s="6" t="n">
        <v>0</v>
      </c>
      <c r="L74" s="6" t="n">
        <v>0</v>
      </c>
      <c r="M74" s="6" t="n">
        <v>0</v>
      </c>
      <c r="N74" s="6" t="n">
        <v>0</v>
      </c>
      <c r="O74" s="6" t="n">
        <v>0</v>
      </c>
      <c r="P74" s="6" t="n">
        <v>0</v>
      </c>
      <c r="Q74" s="6" t="n">
        <v>0</v>
      </c>
      <c r="R74" s="6" t="n">
        <v>0</v>
      </c>
      <c r="S74" s="6" t="n">
        <v>0</v>
      </c>
      <c r="T74" s="6" t="n">
        <v>0</v>
      </c>
      <c r="U74" s="6" t="n">
        <v>0</v>
      </c>
      <c r="V74" s="6" t="n">
        <v>0</v>
      </c>
      <c r="W74" s="6" t="n">
        <v>0</v>
      </c>
      <c r="X74" s="6" t="n">
        <v>0</v>
      </c>
      <c r="Y74" s="6" t="n">
        <v>0</v>
      </c>
      <c r="Z74" s="6" t="n">
        <v>0</v>
      </c>
      <c r="AA74" s="6" t="n">
        <v>0</v>
      </c>
      <c r="AB74" s="6">
        <f>SUM(D74:AA74)</f>
        <v/>
      </c>
      <c r="AC74" s="3" t="inlineStr"/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>
        <f>SUM(AD74:BA74)</f>
        <v/>
      </c>
    </row>
    <row r="75">
      <c r="A75" t="inlineStr">
        <is>
          <t>AMD-M1</t>
        </is>
      </c>
      <c r="B75" t="inlineStr">
        <is>
          <t>Forward Regular OSC</t>
        </is>
      </c>
      <c r="C75" s="5" t="n">
        <v>46097</v>
      </c>
      <c r="D75" s="6" t="n">
        <v>0</v>
      </c>
      <c r="E75" s="6" t="n">
        <v>0</v>
      </c>
      <c r="F75" s="6" t="n">
        <v>0</v>
      </c>
      <c r="G75" s="6" t="n">
        <v>0</v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  <c r="O75" s="6" t="n">
        <v>0</v>
      </c>
      <c r="P75" s="6" t="n">
        <v>0</v>
      </c>
      <c r="Q75" s="6" t="n">
        <v>0</v>
      </c>
      <c r="R75" s="6" t="n">
        <v>0</v>
      </c>
      <c r="S75" s="6" t="n">
        <v>0</v>
      </c>
      <c r="T75" s="6" t="n">
        <v>0</v>
      </c>
      <c r="U75" s="6" t="n">
        <v>0</v>
      </c>
      <c r="V75" s="6" t="n">
        <v>0</v>
      </c>
      <c r="W75" s="6" t="n">
        <v>0</v>
      </c>
      <c r="X75" s="6" t="n">
        <v>0</v>
      </c>
      <c r="Y75" s="6" t="n">
        <v>0</v>
      </c>
      <c r="Z75" s="6" t="n">
        <v>0</v>
      </c>
      <c r="AA75" s="6" t="n">
        <v>0</v>
      </c>
      <c r="AB75" s="6">
        <f>SUM(D75:AA75)</f>
        <v/>
      </c>
      <c r="AC75" s="3" t="inlineStr"/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7" t="n">
        <v>0</v>
      </c>
      <c r="AP75" s="7" t="n">
        <v>0</v>
      </c>
      <c r="AQ75" s="7" t="n">
        <v>0</v>
      </c>
      <c r="AR75" s="7" t="n">
        <v>0</v>
      </c>
      <c r="AS75" s="7" t="n">
        <v>0</v>
      </c>
      <c r="AT75" s="7" t="n">
        <v>0</v>
      </c>
      <c r="AU75" s="7" t="n">
        <v>0</v>
      </c>
      <c r="AV75" s="7" t="n">
        <v>0</v>
      </c>
      <c r="AW75" s="7" t="n">
        <v>0</v>
      </c>
      <c r="AX75" s="7" t="n">
        <v>0</v>
      </c>
      <c r="AY75" s="7" t="n">
        <v>0</v>
      </c>
      <c r="AZ75" s="7" t="n">
        <v>0</v>
      </c>
      <c r="BA75" s="7" t="n">
        <v>0</v>
      </c>
      <c r="BB75" s="7">
        <f>SUM(AD75:BA75)</f>
        <v/>
      </c>
    </row>
    <row r="76">
      <c r="A76" t="inlineStr">
        <is>
          <t>AMD-M2</t>
        </is>
      </c>
      <c r="B76" t="inlineStr">
        <is>
          <t>Forward Regular OSC</t>
        </is>
      </c>
      <c r="C76" s="5" t="n">
        <v>46089</v>
      </c>
      <c r="D76" s="6" t="n">
        <v>0</v>
      </c>
      <c r="E76" s="6" t="n">
        <v>0</v>
      </c>
      <c r="F76" s="6" t="n">
        <v>0</v>
      </c>
      <c r="G76" s="6" t="n">
        <v>0</v>
      </c>
      <c r="H76" s="6" t="n">
        <v>0</v>
      </c>
      <c r="I76" s="6" t="n">
        <v>0</v>
      </c>
      <c r="J76" s="6" t="n">
        <v>0</v>
      </c>
      <c r="K76" s="6" t="n">
        <v>0</v>
      </c>
      <c r="L76" s="6" t="n">
        <v>0</v>
      </c>
      <c r="M76" s="6" t="n">
        <v>0</v>
      </c>
      <c r="N76" s="6" t="n">
        <v>0</v>
      </c>
      <c r="O76" s="6" t="n">
        <v>0</v>
      </c>
      <c r="P76" s="6" t="n">
        <v>0</v>
      </c>
      <c r="Q76" s="6" t="n">
        <v>0</v>
      </c>
      <c r="R76" s="6" t="n">
        <v>0</v>
      </c>
      <c r="S76" s="6" t="n">
        <v>0</v>
      </c>
      <c r="T76" s="6" t="n">
        <v>0</v>
      </c>
      <c r="U76" s="6" t="n">
        <v>0</v>
      </c>
      <c r="V76" s="6" t="n">
        <v>0</v>
      </c>
      <c r="W76" s="6" t="n">
        <v>0</v>
      </c>
      <c r="X76" s="6" t="n">
        <v>0</v>
      </c>
      <c r="Y76" s="6" t="n">
        <v>0</v>
      </c>
      <c r="Z76" s="6" t="n">
        <v>0</v>
      </c>
      <c r="AA76" s="6" t="n">
        <v>0</v>
      </c>
      <c r="AB76" s="6">
        <f>SUM(D76:AA76)</f>
        <v/>
      </c>
      <c r="AC76" s="3" t="inlineStr"/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0</v>
      </c>
      <c r="AP76" s="7" t="n">
        <v>0</v>
      </c>
      <c r="AQ76" s="7" t="n">
        <v>0</v>
      </c>
      <c r="AR76" s="7" t="n">
        <v>0</v>
      </c>
      <c r="AS76" s="7" t="n">
        <v>0</v>
      </c>
      <c r="AT76" s="7" t="n">
        <v>0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0</v>
      </c>
      <c r="BA76" s="7" t="n">
        <v>0</v>
      </c>
      <c r="BB76" s="7">
        <f>SUM(AD76:BA76)</f>
        <v/>
      </c>
    </row>
    <row r="77">
      <c r="A77" t="inlineStr">
        <is>
          <t>AMD-M2</t>
        </is>
      </c>
      <c r="B77" t="inlineStr">
        <is>
          <t>Forward Regular OSC</t>
        </is>
      </c>
      <c r="C77" s="5" t="n">
        <v>46090</v>
      </c>
      <c r="D77" s="6" t="n">
        <v>0</v>
      </c>
      <c r="E77" s="6" t="n">
        <v>0</v>
      </c>
      <c r="F77" s="6" t="n">
        <v>0</v>
      </c>
      <c r="G77" s="6" t="n">
        <v>0</v>
      </c>
      <c r="H77" s="6" t="n">
        <v>0</v>
      </c>
      <c r="I77" s="6" t="n">
        <v>0</v>
      </c>
      <c r="J77" s="6" t="n">
        <v>0</v>
      </c>
      <c r="K77" s="6" t="n">
        <v>0</v>
      </c>
      <c r="L77" s="6" t="n">
        <v>0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</v>
      </c>
      <c r="R77" s="6" t="n">
        <v>0</v>
      </c>
      <c r="S77" s="6" t="n">
        <v>0</v>
      </c>
      <c r="T77" s="6" t="n">
        <v>0</v>
      </c>
      <c r="U77" s="6" t="n">
        <v>0</v>
      </c>
      <c r="V77" s="6" t="n">
        <v>0</v>
      </c>
      <c r="W77" s="6" t="n">
        <v>0</v>
      </c>
      <c r="X77" s="6" t="n">
        <v>0</v>
      </c>
      <c r="Y77" s="6" t="n">
        <v>0</v>
      </c>
      <c r="Z77" s="6" t="n">
        <v>0</v>
      </c>
      <c r="AA77" s="6" t="n">
        <v>0</v>
      </c>
      <c r="AB77" s="6">
        <f>SUM(D77:AA77)</f>
        <v/>
      </c>
      <c r="AC77" s="3" t="inlineStr"/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0</v>
      </c>
      <c r="AP77" s="7" t="n">
        <v>0</v>
      </c>
      <c r="AQ77" s="7" t="n">
        <v>0</v>
      </c>
      <c r="AR77" s="7" t="n">
        <v>0</v>
      </c>
      <c r="AS77" s="7" t="n">
        <v>0</v>
      </c>
      <c r="AT77" s="7" t="n">
        <v>0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0</v>
      </c>
      <c r="BA77" s="7" t="n">
        <v>0</v>
      </c>
      <c r="BB77" s="7">
        <f>SUM(AD77:BA77)</f>
        <v/>
      </c>
    </row>
    <row r="78">
      <c r="A78" t="inlineStr">
        <is>
          <t>AMD-M2</t>
        </is>
      </c>
      <c r="B78" t="inlineStr">
        <is>
          <t>Forward Regular OSC</t>
        </is>
      </c>
      <c r="C78" s="5" t="n">
        <v>46091</v>
      </c>
      <c r="D78" s="6" t="n">
        <v>0</v>
      </c>
      <c r="E78" s="6" t="n">
        <v>0</v>
      </c>
      <c r="F78" s="6" t="n">
        <v>0</v>
      </c>
      <c r="G78" s="6" t="n">
        <v>0</v>
      </c>
      <c r="H78" s="6" t="n">
        <v>0</v>
      </c>
      <c r="I78" s="6" t="n">
        <v>0</v>
      </c>
      <c r="J78" s="6" t="n">
        <v>0</v>
      </c>
      <c r="K78" s="6" t="n">
        <v>0</v>
      </c>
      <c r="L78" s="6" t="n">
        <v>0</v>
      </c>
      <c r="M78" s="6" t="n">
        <v>0</v>
      </c>
      <c r="N78" s="6" t="n">
        <v>0</v>
      </c>
      <c r="O78" s="6" t="n">
        <v>0</v>
      </c>
      <c r="P78" s="6" t="n">
        <v>0</v>
      </c>
      <c r="Q78" s="6" t="n">
        <v>0</v>
      </c>
      <c r="R78" s="6" t="n">
        <v>0</v>
      </c>
      <c r="S78" s="6" t="n">
        <v>0</v>
      </c>
      <c r="T78" s="6" t="n">
        <v>0</v>
      </c>
      <c r="U78" s="6" t="n">
        <v>0</v>
      </c>
      <c r="V78" s="6" t="n">
        <v>0</v>
      </c>
      <c r="W78" s="6" t="n">
        <v>0</v>
      </c>
      <c r="X78" s="6" t="n">
        <v>0</v>
      </c>
      <c r="Y78" s="6" t="n">
        <v>0</v>
      </c>
      <c r="Z78" s="6" t="n">
        <v>0</v>
      </c>
      <c r="AA78" s="6" t="n">
        <v>0</v>
      </c>
      <c r="AB78" s="6">
        <f>SUM(D78:AA78)</f>
        <v/>
      </c>
      <c r="AC78" s="3" t="inlineStr"/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0</v>
      </c>
      <c r="AP78" s="7" t="n">
        <v>0</v>
      </c>
      <c r="AQ78" s="7" t="n">
        <v>0</v>
      </c>
      <c r="AR78" s="7" t="n">
        <v>0</v>
      </c>
      <c r="AS78" s="7" t="n">
        <v>0</v>
      </c>
      <c r="AT78" s="7" t="n">
        <v>0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0</v>
      </c>
      <c r="BA78" s="7" t="n">
        <v>0</v>
      </c>
      <c r="BB78" s="7">
        <f>SUM(AD78:BA78)</f>
        <v/>
      </c>
    </row>
    <row r="79">
      <c r="A79" t="inlineStr">
        <is>
          <t>AMD-M2</t>
        </is>
      </c>
      <c r="B79" t="inlineStr">
        <is>
          <t>Forward Regular OSC</t>
        </is>
      </c>
      <c r="C79" s="5" t="n">
        <v>46092</v>
      </c>
      <c r="D79" s="6" t="n">
        <v>0</v>
      </c>
      <c r="E79" s="6" t="n">
        <v>0</v>
      </c>
      <c r="F79" s="6" t="n">
        <v>0</v>
      </c>
      <c r="G79" s="6" t="n">
        <v>0</v>
      </c>
      <c r="H79" s="6" t="n">
        <v>0</v>
      </c>
      <c r="I79" s="6" t="n">
        <v>0</v>
      </c>
      <c r="J79" s="6" t="n">
        <v>0</v>
      </c>
      <c r="K79" s="6" t="n">
        <v>0</v>
      </c>
      <c r="L79" s="6" t="n">
        <v>0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0</v>
      </c>
      <c r="T79" s="6" t="n">
        <v>0</v>
      </c>
      <c r="U79" s="6" t="n">
        <v>0</v>
      </c>
      <c r="V79" s="6" t="n">
        <v>0</v>
      </c>
      <c r="W79" s="6" t="n">
        <v>0</v>
      </c>
      <c r="X79" s="6" t="n">
        <v>0</v>
      </c>
      <c r="Y79" s="6" t="n">
        <v>0</v>
      </c>
      <c r="Z79" s="6" t="n">
        <v>0</v>
      </c>
      <c r="AA79" s="6" t="n">
        <v>0</v>
      </c>
      <c r="AB79" s="6">
        <f>SUM(D79:AA79)</f>
        <v/>
      </c>
      <c r="AC79" s="3" t="inlineStr"/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0</v>
      </c>
      <c r="AP79" s="7" t="n">
        <v>0</v>
      </c>
      <c r="AQ79" s="7" t="n">
        <v>0</v>
      </c>
      <c r="AR79" s="7" t="n">
        <v>0</v>
      </c>
      <c r="AS79" s="7" t="n">
        <v>0</v>
      </c>
      <c r="AT79" s="7" t="n">
        <v>0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0</v>
      </c>
      <c r="BA79" s="7" t="n">
        <v>0</v>
      </c>
      <c r="BB79" s="7">
        <f>SUM(AD79:BA79)</f>
        <v/>
      </c>
    </row>
    <row r="80">
      <c r="A80" t="inlineStr">
        <is>
          <t>AMD-M2</t>
        </is>
      </c>
      <c r="B80" t="inlineStr">
        <is>
          <t>Forward Regular OSC</t>
        </is>
      </c>
      <c r="C80" s="5" t="n">
        <v>46093</v>
      </c>
      <c r="D80" s="6" t="n">
        <v>0</v>
      </c>
      <c r="E80" s="6" t="n">
        <v>0</v>
      </c>
      <c r="F80" s="6" t="n">
        <v>0</v>
      </c>
      <c r="G80" s="6" t="n">
        <v>0</v>
      </c>
      <c r="H80" s="6" t="n">
        <v>0</v>
      </c>
      <c r="I80" s="6" t="n">
        <v>0</v>
      </c>
      <c r="J80" s="6" t="n">
        <v>0</v>
      </c>
      <c r="K80" s="6" t="n">
        <v>0</v>
      </c>
      <c r="L80" s="6" t="n">
        <v>0</v>
      </c>
      <c r="M80" s="6" t="n">
        <v>0</v>
      </c>
      <c r="N80" s="6" t="n">
        <v>0</v>
      </c>
      <c r="O80" s="6" t="n">
        <v>0</v>
      </c>
      <c r="P80" s="6" t="n">
        <v>0</v>
      </c>
      <c r="Q80" s="6" t="n">
        <v>0</v>
      </c>
      <c r="R80" s="6" t="n">
        <v>0</v>
      </c>
      <c r="S80" s="6" t="n">
        <v>0</v>
      </c>
      <c r="T80" s="6" t="n">
        <v>0</v>
      </c>
      <c r="U80" s="6" t="n">
        <v>0</v>
      </c>
      <c r="V80" s="6" t="n">
        <v>0</v>
      </c>
      <c r="W80" s="6" t="n">
        <v>0</v>
      </c>
      <c r="X80" s="6" t="n">
        <v>0</v>
      </c>
      <c r="Y80" s="6" t="n">
        <v>0</v>
      </c>
      <c r="Z80" s="6" t="n">
        <v>0</v>
      </c>
      <c r="AA80" s="6" t="n">
        <v>0</v>
      </c>
      <c r="AB80" s="6">
        <f>SUM(D80:AA80)</f>
        <v/>
      </c>
      <c r="AC80" s="3" t="inlineStr"/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0</v>
      </c>
      <c r="AP80" s="7" t="n">
        <v>0</v>
      </c>
      <c r="AQ80" s="7" t="n">
        <v>0</v>
      </c>
      <c r="AR80" s="7" t="n">
        <v>0</v>
      </c>
      <c r="AS80" s="7" t="n">
        <v>0</v>
      </c>
      <c r="AT80" s="7" t="n">
        <v>0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0</v>
      </c>
      <c r="BA80" s="7" t="n">
        <v>0</v>
      </c>
      <c r="BB80" s="7">
        <f>SUM(AD80:BA80)</f>
        <v/>
      </c>
    </row>
    <row r="81">
      <c r="A81" t="inlineStr">
        <is>
          <t>AMD-M2</t>
        </is>
      </c>
      <c r="B81" t="inlineStr">
        <is>
          <t>Forward Regular OSC</t>
        </is>
      </c>
      <c r="C81" s="5" t="n">
        <v>46094</v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  <c r="R81" s="6" t="n">
        <v>0</v>
      </c>
      <c r="S81" s="6" t="n">
        <v>0</v>
      </c>
      <c r="T81" s="6" t="n">
        <v>0</v>
      </c>
      <c r="U81" s="6" t="n">
        <v>0</v>
      </c>
      <c r="V81" s="6" t="n">
        <v>0</v>
      </c>
      <c r="W81" s="6" t="n">
        <v>0</v>
      </c>
      <c r="X81" s="6" t="n">
        <v>0</v>
      </c>
      <c r="Y81" s="6" t="n">
        <v>0</v>
      </c>
      <c r="Z81" s="6" t="n">
        <v>0</v>
      </c>
      <c r="AA81" s="6" t="n">
        <v>0</v>
      </c>
      <c r="AB81" s="6">
        <f>SUM(D81:AA81)</f>
        <v/>
      </c>
      <c r="AC81" s="3" t="inlineStr"/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0</v>
      </c>
      <c r="AP81" s="7" t="n">
        <v>0</v>
      </c>
      <c r="AQ81" s="7" t="n">
        <v>0</v>
      </c>
      <c r="AR81" s="7" t="n">
        <v>0</v>
      </c>
      <c r="AS81" s="7" t="n">
        <v>0</v>
      </c>
      <c r="AT81" s="7" t="n">
        <v>0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0</v>
      </c>
      <c r="BA81" s="7" t="n">
        <v>0</v>
      </c>
      <c r="BB81" s="7">
        <f>SUM(AD81:BA81)</f>
        <v/>
      </c>
    </row>
    <row r="82">
      <c r="A82" t="inlineStr">
        <is>
          <t>AMD-M2</t>
        </is>
      </c>
      <c r="B82" t="inlineStr">
        <is>
          <t>Forward Regular OSC</t>
        </is>
      </c>
      <c r="C82" s="5" t="n">
        <v>46095</v>
      </c>
      <c r="D82" s="6" t="n">
        <v>0</v>
      </c>
      <c r="E82" s="6" t="n">
        <v>0</v>
      </c>
      <c r="F82" s="6" t="n">
        <v>0</v>
      </c>
      <c r="G82" s="6" t="n">
        <v>0</v>
      </c>
      <c r="H82" s="6" t="n">
        <v>0</v>
      </c>
      <c r="I82" s="6" t="n">
        <v>0</v>
      </c>
      <c r="J82" s="6" t="n">
        <v>0</v>
      </c>
      <c r="K82" s="6" t="n">
        <v>0</v>
      </c>
      <c r="L82" s="6" t="n">
        <v>0</v>
      </c>
      <c r="M82" s="6" t="n">
        <v>0</v>
      </c>
      <c r="N82" s="6" t="n">
        <v>0</v>
      </c>
      <c r="O82" s="6" t="n">
        <v>0</v>
      </c>
      <c r="P82" s="6" t="n">
        <v>0</v>
      </c>
      <c r="Q82" s="6" t="n">
        <v>0</v>
      </c>
      <c r="R82" s="6" t="n">
        <v>0</v>
      </c>
      <c r="S82" s="6" t="n">
        <v>0</v>
      </c>
      <c r="T82" s="6" t="n">
        <v>0</v>
      </c>
      <c r="U82" s="6" t="n">
        <v>0</v>
      </c>
      <c r="V82" s="6" t="n">
        <v>0</v>
      </c>
      <c r="W82" s="6" t="n">
        <v>0</v>
      </c>
      <c r="X82" s="6" t="n">
        <v>0</v>
      </c>
      <c r="Y82" s="6" t="n">
        <v>0</v>
      </c>
      <c r="Z82" s="6" t="n">
        <v>0</v>
      </c>
      <c r="AA82" s="6" t="n">
        <v>0</v>
      </c>
      <c r="AB82" s="6">
        <f>SUM(D82:AA82)</f>
        <v/>
      </c>
      <c r="AC82" s="3" t="inlineStr"/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0</v>
      </c>
      <c r="AP82" s="7" t="n">
        <v>0</v>
      </c>
      <c r="AQ82" s="7" t="n">
        <v>0</v>
      </c>
      <c r="AR82" s="7" t="n">
        <v>0</v>
      </c>
      <c r="AS82" s="7" t="n">
        <v>0</v>
      </c>
      <c r="AT82" s="7" t="n">
        <v>0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7" t="n">
        <v>0</v>
      </c>
      <c r="BB82" s="7">
        <f>SUM(AD82:BA82)</f>
        <v/>
      </c>
    </row>
    <row r="83">
      <c r="A83" t="inlineStr">
        <is>
          <t>AMD-M2</t>
        </is>
      </c>
      <c r="B83" t="inlineStr">
        <is>
          <t>Forward Regular OSC</t>
        </is>
      </c>
      <c r="C83" s="5" t="n">
        <v>46096</v>
      </c>
      <c r="D83" s="6" t="n">
        <v>0</v>
      </c>
      <c r="E83" s="6" t="n">
        <v>0</v>
      </c>
      <c r="F83" s="6" t="n">
        <v>0</v>
      </c>
      <c r="G83" s="6" t="n">
        <v>0</v>
      </c>
      <c r="H83" s="6" t="n">
        <v>0</v>
      </c>
      <c r="I83" s="6" t="n">
        <v>0</v>
      </c>
      <c r="J83" s="6" t="n">
        <v>0</v>
      </c>
      <c r="K83" s="6" t="n">
        <v>0</v>
      </c>
      <c r="L83" s="6" t="n">
        <v>0</v>
      </c>
      <c r="M83" s="6" t="n">
        <v>0</v>
      </c>
      <c r="N83" s="6" t="n">
        <v>0</v>
      </c>
      <c r="O83" s="6" t="n">
        <v>0</v>
      </c>
      <c r="P83" s="6" t="n">
        <v>0</v>
      </c>
      <c r="Q83" s="6" t="n">
        <v>0</v>
      </c>
      <c r="R83" s="6" t="n">
        <v>0</v>
      </c>
      <c r="S83" s="6" t="n">
        <v>0</v>
      </c>
      <c r="T83" s="6" t="n">
        <v>0</v>
      </c>
      <c r="U83" s="6" t="n">
        <v>0</v>
      </c>
      <c r="V83" s="6" t="n">
        <v>0</v>
      </c>
      <c r="W83" s="6" t="n">
        <v>0</v>
      </c>
      <c r="X83" s="6" t="n">
        <v>0</v>
      </c>
      <c r="Y83" s="6" t="n">
        <v>0</v>
      </c>
      <c r="Z83" s="6" t="n">
        <v>0</v>
      </c>
      <c r="AA83" s="6" t="n">
        <v>0</v>
      </c>
      <c r="AB83" s="6">
        <f>SUM(D83:AA83)</f>
        <v/>
      </c>
      <c r="AC83" s="3" t="inlineStr"/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0</v>
      </c>
      <c r="AP83" s="7" t="n">
        <v>0</v>
      </c>
      <c r="AQ83" s="7" t="n">
        <v>0</v>
      </c>
      <c r="AR83" s="7" t="n">
        <v>0</v>
      </c>
      <c r="AS83" s="7" t="n">
        <v>0</v>
      </c>
      <c r="AT83" s="7" t="n">
        <v>0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0</v>
      </c>
      <c r="BA83" s="7" t="n">
        <v>0</v>
      </c>
      <c r="BB83" s="7">
        <f>SUM(AD83:BA83)</f>
        <v/>
      </c>
    </row>
    <row r="84">
      <c r="A84" t="inlineStr">
        <is>
          <t>AMD-M2</t>
        </is>
      </c>
      <c r="B84" t="inlineStr">
        <is>
          <t>Forward Regular OSC</t>
        </is>
      </c>
      <c r="C84" s="5" t="n">
        <v>46097</v>
      </c>
      <c r="D84" s="6" t="n">
        <v>0</v>
      </c>
      <c r="E84" s="6" t="n">
        <v>0</v>
      </c>
      <c r="F84" s="6" t="n">
        <v>0</v>
      </c>
      <c r="G84" s="6" t="n">
        <v>0</v>
      </c>
      <c r="H84" s="6" t="n">
        <v>0</v>
      </c>
      <c r="I84" s="6" t="n">
        <v>0</v>
      </c>
      <c r="J84" s="6" t="n">
        <v>0</v>
      </c>
      <c r="K84" s="6" t="n">
        <v>0</v>
      </c>
      <c r="L84" s="6" t="n">
        <v>0</v>
      </c>
      <c r="M84" s="6" t="n">
        <v>0</v>
      </c>
      <c r="N84" s="6" t="n">
        <v>0</v>
      </c>
      <c r="O84" s="6" t="n">
        <v>0</v>
      </c>
      <c r="P84" s="6" t="n">
        <v>0</v>
      </c>
      <c r="Q84" s="6" t="n">
        <v>0</v>
      </c>
      <c r="R84" s="6" t="n">
        <v>0</v>
      </c>
      <c r="S84" s="6" t="n">
        <v>0</v>
      </c>
      <c r="T84" s="6" t="n">
        <v>0</v>
      </c>
      <c r="U84" s="6" t="n">
        <v>0</v>
      </c>
      <c r="V84" s="6" t="n">
        <v>0</v>
      </c>
      <c r="W84" s="6" t="n">
        <v>0</v>
      </c>
      <c r="X84" s="6" t="n">
        <v>0</v>
      </c>
      <c r="Y84" s="6" t="n">
        <v>0</v>
      </c>
      <c r="Z84" s="6" t="n">
        <v>0</v>
      </c>
      <c r="AA84" s="6" t="n">
        <v>0</v>
      </c>
      <c r="AB84" s="6">
        <f>SUM(D84:AA84)</f>
        <v/>
      </c>
      <c r="AC84" s="3" t="inlineStr"/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0</v>
      </c>
      <c r="AP84" s="7" t="n">
        <v>0</v>
      </c>
      <c r="AQ84" s="7" t="n">
        <v>0</v>
      </c>
      <c r="AR84" s="7" t="n">
        <v>0</v>
      </c>
      <c r="AS84" s="7" t="n">
        <v>0</v>
      </c>
      <c r="AT84" s="7" t="n">
        <v>0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0</v>
      </c>
      <c r="BA84" s="7" t="n">
        <v>0</v>
      </c>
      <c r="BB84" s="7">
        <f>SUM(AD84:BA84)</f>
        <v/>
      </c>
    </row>
    <row r="85">
      <c r="A85" t="inlineStr">
        <is>
          <t>AMD-MU-01</t>
        </is>
      </c>
      <c r="B85" t="inlineStr">
        <is>
          <t>Forward Regular OSC</t>
        </is>
      </c>
      <c r="C85" s="5" t="n">
        <v>46091</v>
      </c>
      <c r="D85" s="6" t="n">
        <v>0</v>
      </c>
      <c r="E85" s="6" t="n">
        <v>0</v>
      </c>
      <c r="F85" s="6" t="n">
        <v>0</v>
      </c>
      <c r="G85" s="6" t="n">
        <v>0</v>
      </c>
      <c r="H85" s="6" t="n">
        <v>0</v>
      </c>
      <c r="I85" s="6" t="n">
        <v>0</v>
      </c>
      <c r="J85" s="6" t="n">
        <v>0</v>
      </c>
      <c r="K85" s="6" t="n">
        <v>0</v>
      </c>
      <c r="L85" s="6" t="n">
        <v>0</v>
      </c>
      <c r="M85" s="6" t="n">
        <v>0</v>
      </c>
      <c r="N85" s="6" t="n">
        <v>0</v>
      </c>
      <c r="O85" s="6" t="n">
        <v>0</v>
      </c>
      <c r="P85" s="6" t="n">
        <v>0</v>
      </c>
      <c r="Q85" s="6" t="n">
        <v>0</v>
      </c>
      <c r="R85" s="6" t="n">
        <v>0</v>
      </c>
      <c r="S85" s="6" t="n">
        <v>0</v>
      </c>
      <c r="T85" s="6" t="n">
        <v>0</v>
      </c>
      <c r="U85" s="6" t="n">
        <v>0</v>
      </c>
      <c r="V85" s="6" t="n">
        <v>0</v>
      </c>
      <c r="W85" s="6" t="n">
        <v>0</v>
      </c>
      <c r="X85" s="6" t="n">
        <v>0</v>
      </c>
      <c r="Y85" s="6" t="n">
        <v>0</v>
      </c>
      <c r="Z85" s="6" t="n">
        <v>0</v>
      </c>
      <c r="AA85" s="6" t="n">
        <v>0</v>
      </c>
      <c r="AB85" s="6">
        <f>SUM(D85:AA85)</f>
        <v/>
      </c>
      <c r="AC85" s="3" t="inlineStr"/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0</v>
      </c>
      <c r="AP85" s="7" t="n">
        <v>0</v>
      </c>
      <c r="AQ85" s="7" t="n">
        <v>0</v>
      </c>
      <c r="AR85" s="7" t="n">
        <v>0</v>
      </c>
      <c r="AS85" s="7" t="n">
        <v>0</v>
      </c>
      <c r="AT85" s="7" t="n">
        <v>0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0</v>
      </c>
      <c r="BA85" s="7" t="n">
        <v>0</v>
      </c>
      <c r="BB85" s="7">
        <f>SUM(AD85:BA85)</f>
        <v/>
      </c>
    </row>
    <row r="86">
      <c r="A86" t="inlineStr">
        <is>
          <t>AMD-RTS-RCLS-1302-SSC</t>
        </is>
      </c>
      <c r="B86" t="inlineStr">
        <is>
          <t>Rev OSC</t>
        </is>
      </c>
      <c r="C86" s="5" t="n">
        <v>46089</v>
      </c>
      <c r="D86" s="6" t="n">
        <v>0</v>
      </c>
      <c r="E86" s="6" t="n">
        <v>0</v>
      </c>
      <c r="F86" s="6" t="n">
        <v>0</v>
      </c>
      <c r="G86" s="6" t="n">
        <v>0</v>
      </c>
      <c r="H86" s="6" t="n">
        <v>0</v>
      </c>
      <c r="I86" s="6" t="n">
        <v>0</v>
      </c>
      <c r="J86" s="6" t="n">
        <v>0</v>
      </c>
      <c r="K86" s="6" t="n">
        <v>0</v>
      </c>
      <c r="L86" s="6" t="n">
        <v>0</v>
      </c>
      <c r="M86" s="6" t="n">
        <v>0</v>
      </c>
      <c r="N86" s="6" t="n">
        <v>0</v>
      </c>
      <c r="O86" s="6" t="n">
        <v>0</v>
      </c>
      <c r="P86" s="6" t="n">
        <v>0</v>
      </c>
      <c r="Q86" s="6" t="n">
        <v>0</v>
      </c>
      <c r="R86" s="6" t="n">
        <v>0</v>
      </c>
      <c r="S86" s="6" t="n">
        <v>0</v>
      </c>
      <c r="T86" s="6" t="n">
        <v>0</v>
      </c>
      <c r="U86" s="6" t="n">
        <v>0</v>
      </c>
      <c r="V86" s="6" t="n">
        <v>0</v>
      </c>
      <c r="W86" s="6" t="n">
        <v>0</v>
      </c>
      <c r="X86" s="6" t="n">
        <v>0</v>
      </c>
      <c r="Y86" s="6" t="n">
        <v>0</v>
      </c>
      <c r="Z86" s="6" t="n">
        <v>0</v>
      </c>
      <c r="AA86" s="6" t="n">
        <v>0</v>
      </c>
      <c r="AB86" s="6">
        <f>SUM(D86:AA86)</f>
        <v/>
      </c>
      <c r="AC86" s="3" t="inlineStr"/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7" t="n">
        <v>0</v>
      </c>
      <c r="BB86" s="7">
        <f>SUM(AD86:BA86)</f>
        <v/>
      </c>
    </row>
    <row r="87">
      <c r="A87" t="inlineStr">
        <is>
          <t>AMD-RTS-RCLS-1302-SSC</t>
        </is>
      </c>
      <c r="B87" t="inlineStr">
        <is>
          <t>Rev OSC</t>
        </is>
      </c>
      <c r="C87" s="5" t="n">
        <v>46090</v>
      </c>
      <c r="D87" s="6" t="n">
        <v>0</v>
      </c>
      <c r="E87" s="6" t="n">
        <v>0</v>
      </c>
      <c r="F87" s="6" t="n">
        <v>0</v>
      </c>
      <c r="G87" s="6" t="n">
        <v>0</v>
      </c>
      <c r="H87" s="6" t="n">
        <v>0</v>
      </c>
      <c r="I87" s="6" t="n">
        <v>0</v>
      </c>
      <c r="J87" s="6" t="n">
        <v>0</v>
      </c>
      <c r="K87" s="6" t="n">
        <v>0</v>
      </c>
      <c r="L87" s="6" t="n">
        <v>0</v>
      </c>
      <c r="M87" s="6" t="n">
        <v>0</v>
      </c>
      <c r="N87" s="6" t="n">
        <v>0</v>
      </c>
      <c r="O87" s="6" t="n">
        <v>0</v>
      </c>
      <c r="P87" s="6" t="n">
        <v>0</v>
      </c>
      <c r="Q87" s="6" t="n">
        <v>0</v>
      </c>
      <c r="R87" s="6" t="n">
        <v>0</v>
      </c>
      <c r="S87" s="6" t="n">
        <v>0</v>
      </c>
      <c r="T87" s="6" t="n">
        <v>0</v>
      </c>
      <c r="U87" s="6" t="n">
        <v>0</v>
      </c>
      <c r="V87" s="6" t="n">
        <v>0</v>
      </c>
      <c r="W87" s="6" t="n">
        <v>0</v>
      </c>
      <c r="X87" s="6" t="n">
        <v>0</v>
      </c>
      <c r="Y87" s="6" t="n">
        <v>0</v>
      </c>
      <c r="Z87" s="6" t="n">
        <v>0</v>
      </c>
      <c r="AA87" s="6" t="n">
        <v>0</v>
      </c>
      <c r="AB87" s="6">
        <f>SUM(D87:AA87)</f>
        <v/>
      </c>
      <c r="AC87" s="3" t="inlineStr"/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0</v>
      </c>
      <c r="BA87" s="7" t="n">
        <v>0</v>
      </c>
      <c r="BB87" s="7">
        <f>SUM(AD87:BA87)</f>
        <v/>
      </c>
    </row>
    <row r="88">
      <c r="A88" t="inlineStr">
        <is>
          <t>AMD-RTS-RCLS-1302-SSC</t>
        </is>
      </c>
      <c r="B88" t="inlineStr">
        <is>
          <t>Rev OSC</t>
        </is>
      </c>
      <c r="C88" s="5" t="n">
        <v>46092</v>
      </c>
      <c r="D88" s="6" t="n">
        <v>0</v>
      </c>
      <c r="E88" s="6" t="n">
        <v>0</v>
      </c>
      <c r="F88" s="6" t="n">
        <v>0</v>
      </c>
      <c r="G88" s="6" t="n">
        <v>0</v>
      </c>
      <c r="H88" s="6" t="n">
        <v>0</v>
      </c>
      <c r="I88" s="6" t="n">
        <v>0</v>
      </c>
      <c r="J88" s="6" t="n">
        <v>0</v>
      </c>
      <c r="K88" s="6" t="n">
        <v>0</v>
      </c>
      <c r="L88" s="6" t="n">
        <v>0</v>
      </c>
      <c r="M88" s="6" t="n">
        <v>0</v>
      </c>
      <c r="N88" s="6" t="n">
        <v>0</v>
      </c>
      <c r="O88" s="6" t="n">
        <v>0</v>
      </c>
      <c r="P88" s="6" t="n">
        <v>0</v>
      </c>
      <c r="Q88" s="6" t="n">
        <v>0</v>
      </c>
      <c r="R88" s="6" t="n">
        <v>0</v>
      </c>
      <c r="S88" s="6" t="n">
        <v>0</v>
      </c>
      <c r="T88" s="6" t="n">
        <v>0</v>
      </c>
      <c r="U88" s="6" t="n">
        <v>0</v>
      </c>
      <c r="V88" s="6" t="n">
        <v>0</v>
      </c>
      <c r="W88" s="6" t="n">
        <v>0</v>
      </c>
      <c r="X88" s="6" t="n">
        <v>0</v>
      </c>
      <c r="Y88" s="6" t="n">
        <v>0</v>
      </c>
      <c r="Z88" s="6" t="n">
        <v>0</v>
      </c>
      <c r="AA88" s="6" t="n">
        <v>0</v>
      </c>
      <c r="AB88" s="6">
        <f>SUM(D88:AA88)</f>
        <v/>
      </c>
      <c r="AC88" s="3" t="inlineStr"/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7" t="n">
        <v>0</v>
      </c>
      <c r="BB88" s="7">
        <f>SUM(AD88:BA88)</f>
        <v/>
      </c>
    </row>
    <row r="89">
      <c r="A89" t="inlineStr">
        <is>
          <t>AMD-RTS-RCLS-1302-SSC</t>
        </is>
      </c>
      <c r="B89" t="inlineStr">
        <is>
          <t>Rev OSC</t>
        </is>
      </c>
      <c r="C89" s="5" t="n">
        <v>46093</v>
      </c>
      <c r="D89" s="6" t="n">
        <v>0</v>
      </c>
      <c r="E89" s="6" t="n">
        <v>0</v>
      </c>
      <c r="F89" s="6" t="n">
        <v>0</v>
      </c>
      <c r="G89" s="6" t="n">
        <v>0</v>
      </c>
      <c r="H89" s="6" t="n">
        <v>0</v>
      </c>
      <c r="I89" s="6" t="n">
        <v>0</v>
      </c>
      <c r="J89" s="6" t="n">
        <v>0</v>
      </c>
      <c r="K89" s="6" t="n">
        <v>0</v>
      </c>
      <c r="L89" s="6" t="n">
        <v>0</v>
      </c>
      <c r="M89" s="6" t="n">
        <v>0</v>
      </c>
      <c r="N89" s="6" t="n">
        <v>0</v>
      </c>
      <c r="O89" s="6" t="n">
        <v>0</v>
      </c>
      <c r="P89" s="6" t="n">
        <v>0</v>
      </c>
      <c r="Q89" s="6" t="n">
        <v>0</v>
      </c>
      <c r="R89" s="6" t="n">
        <v>0</v>
      </c>
      <c r="S89" s="6" t="n">
        <v>0</v>
      </c>
      <c r="T89" s="6" t="n">
        <v>0</v>
      </c>
      <c r="U89" s="6" t="n">
        <v>0</v>
      </c>
      <c r="V89" s="6" t="n">
        <v>0</v>
      </c>
      <c r="W89" s="6" t="n">
        <v>0</v>
      </c>
      <c r="X89" s="6" t="n">
        <v>0</v>
      </c>
      <c r="Y89" s="6" t="n">
        <v>0</v>
      </c>
      <c r="Z89" s="6" t="n">
        <v>0</v>
      </c>
      <c r="AA89" s="6" t="n">
        <v>0</v>
      </c>
      <c r="AB89" s="6">
        <f>SUM(D89:AA89)</f>
        <v/>
      </c>
      <c r="AC89" s="3" t="inlineStr"/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0</v>
      </c>
      <c r="BA89" s="7" t="n">
        <v>0</v>
      </c>
      <c r="BB89" s="7">
        <f>SUM(AD89:BA89)</f>
        <v/>
      </c>
    </row>
    <row r="90">
      <c r="A90" t="inlineStr">
        <is>
          <t>AMD-RTS-RCLS-1302-SSC</t>
        </is>
      </c>
      <c r="B90" t="inlineStr">
        <is>
          <t>Rev OSC</t>
        </is>
      </c>
      <c r="C90" s="5" t="n">
        <v>46094</v>
      </c>
      <c r="D90" s="6" t="n">
        <v>0</v>
      </c>
      <c r="E90" s="6" t="n">
        <v>0</v>
      </c>
      <c r="F90" s="6" t="n">
        <v>0</v>
      </c>
      <c r="G90" s="6" t="n">
        <v>0</v>
      </c>
      <c r="H90" s="6" t="n">
        <v>0</v>
      </c>
      <c r="I90" s="6" t="n">
        <v>0</v>
      </c>
      <c r="J90" s="6" t="n">
        <v>0</v>
      </c>
      <c r="K90" s="6" t="n">
        <v>0</v>
      </c>
      <c r="L90" s="6" t="n">
        <v>0</v>
      </c>
      <c r="M90" s="6" t="n">
        <v>0</v>
      </c>
      <c r="N90" s="6" t="n">
        <v>0</v>
      </c>
      <c r="O90" s="6" t="n">
        <v>0</v>
      </c>
      <c r="P90" s="6" t="n">
        <v>0</v>
      </c>
      <c r="Q90" s="6" t="n">
        <v>0</v>
      </c>
      <c r="R90" s="6" t="n">
        <v>0</v>
      </c>
      <c r="S90" s="6" t="n">
        <v>0</v>
      </c>
      <c r="T90" s="6" t="n">
        <v>0</v>
      </c>
      <c r="U90" s="6" t="n">
        <v>0</v>
      </c>
      <c r="V90" s="6" t="n">
        <v>0</v>
      </c>
      <c r="W90" s="6" t="n">
        <v>0</v>
      </c>
      <c r="X90" s="6" t="n">
        <v>0</v>
      </c>
      <c r="Y90" s="6" t="n">
        <v>0</v>
      </c>
      <c r="Z90" s="6" t="n">
        <v>0</v>
      </c>
      <c r="AA90" s="6" t="n">
        <v>0</v>
      </c>
      <c r="AB90" s="6">
        <f>SUM(D90:AA90)</f>
        <v/>
      </c>
      <c r="AC90" s="3" t="inlineStr"/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7" t="n">
        <v>0</v>
      </c>
      <c r="BB90" s="7">
        <f>SUM(AD90:BA90)</f>
        <v/>
      </c>
    </row>
    <row r="91">
      <c r="A91" t="inlineStr">
        <is>
          <t>AMD-RTS-RCLS-1302-SSC</t>
        </is>
      </c>
      <c r="B91" t="inlineStr">
        <is>
          <t>Rev OSC</t>
        </is>
      </c>
      <c r="C91" s="5" t="n">
        <v>46095</v>
      </c>
      <c r="D91" s="6" t="n">
        <v>0</v>
      </c>
      <c r="E91" s="6" t="n">
        <v>0</v>
      </c>
      <c r="F91" s="6" t="n">
        <v>0</v>
      </c>
      <c r="G91" s="6" t="n">
        <v>0</v>
      </c>
      <c r="H91" s="6" t="n">
        <v>0</v>
      </c>
      <c r="I91" s="6" t="n">
        <v>0</v>
      </c>
      <c r="J91" s="6" t="n">
        <v>0</v>
      </c>
      <c r="K91" s="6" t="n">
        <v>0</v>
      </c>
      <c r="L91" s="6" t="n">
        <v>0</v>
      </c>
      <c r="M91" s="6" t="n">
        <v>0</v>
      </c>
      <c r="N91" s="6" t="n">
        <v>0</v>
      </c>
      <c r="O91" s="6" t="n">
        <v>0</v>
      </c>
      <c r="P91" s="6" t="n">
        <v>0</v>
      </c>
      <c r="Q91" s="6" t="n">
        <v>0</v>
      </c>
      <c r="R91" s="6" t="n">
        <v>0</v>
      </c>
      <c r="S91" s="6" t="n">
        <v>0</v>
      </c>
      <c r="T91" s="6" t="n">
        <v>0</v>
      </c>
      <c r="U91" s="6" t="n">
        <v>0</v>
      </c>
      <c r="V91" s="6" t="n">
        <v>0</v>
      </c>
      <c r="W91" s="6" t="n">
        <v>0</v>
      </c>
      <c r="X91" s="6" t="n">
        <v>0</v>
      </c>
      <c r="Y91" s="6" t="n">
        <v>0</v>
      </c>
      <c r="Z91" s="6" t="n">
        <v>0</v>
      </c>
      <c r="AA91" s="6" t="n">
        <v>0</v>
      </c>
      <c r="AB91" s="6">
        <f>SUM(D91:AA91)</f>
        <v/>
      </c>
      <c r="AC91" s="3" t="inlineStr"/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0</v>
      </c>
      <c r="BA91" s="7" t="n">
        <v>0</v>
      </c>
      <c r="BB91" s="7">
        <f>SUM(AD91:BA91)</f>
        <v/>
      </c>
    </row>
    <row r="92">
      <c r="A92" t="inlineStr">
        <is>
          <t>AMD-RTS-RCLS-1302-SSC</t>
        </is>
      </c>
      <c r="B92" t="inlineStr">
        <is>
          <t>Rev OSC</t>
        </is>
      </c>
      <c r="C92" s="5" t="n">
        <v>46096</v>
      </c>
      <c r="D92" s="6" t="n">
        <v>0</v>
      </c>
      <c r="E92" s="6" t="n">
        <v>0</v>
      </c>
      <c r="F92" s="6" t="n">
        <v>0</v>
      </c>
      <c r="G92" s="6" t="n">
        <v>0</v>
      </c>
      <c r="H92" s="6" t="n">
        <v>0</v>
      </c>
      <c r="I92" s="6" t="n">
        <v>0</v>
      </c>
      <c r="J92" s="6" t="n">
        <v>0</v>
      </c>
      <c r="K92" s="6" t="n">
        <v>0</v>
      </c>
      <c r="L92" s="6" t="n">
        <v>0</v>
      </c>
      <c r="M92" s="6" t="n">
        <v>0</v>
      </c>
      <c r="N92" s="6" t="n">
        <v>0</v>
      </c>
      <c r="O92" s="6" t="n">
        <v>0</v>
      </c>
      <c r="P92" s="6" t="n">
        <v>0</v>
      </c>
      <c r="Q92" s="6" t="n">
        <v>0</v>
      </c>
      <c r="R92" s="6" t="n">
        <v>0</v>
      </c>
      <c r="S92" s="6" t="n">
        <v>0</v>
      </c>
      <c r="T92" s="6" t="n">
        <v>0</v>
      </c>
      <c r="U92" s="6" t="n">
        <v>0</v>
      </c>
      <c r="V92" s="6" t="n">
        <v>0</v>
      </c>
      <c r="W92" s="6" t="n">
        <v>0</v>
      </c>
      <c r="X92" s="6" t="n">
        <v>0</v>
      </c>
      <c r="Y92" s="6" t="n">
        <v>0</v>
      </c>
      <c r="Z92" s="6" t="n">
        <v>0</v>
      </c>
      <c r="AA92" s="6" t="n">
        <v>0</v>
      </c>
      <c r="AB92" s="6">
        <f>SUM(D92:AA92)</f>
        <v/>
      </c>
      <c r="AC92" s="3" t="inlineStr"/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7" t="n">
        <v>0</v>
      </c>
      <c r="BB92" s="7">
        <f>SUM(AD92:BA92)</f>
        <v/>
      </c>
    </row>
    <row r="93">
      <c r="A93" t="inlineStr">
        <is>
          <t>AMD-RTS-RCLS-1302-SSC</t>
        </is>
      </c>
      <c r="B93" t="inlineStr">
        <is>
          <t>Rev OSC</t>
        </is>
      </c>
      <c r="C93" s="5" t="n">
        <v>46097</v>
      </c>
      <c r="D93" s="6" t="n">
        <v>0</v>
      </c>
      <c r="E93" s="6" t="n">
        <v>0</v>
      </c>
      <c r="F93" s="6" t="n">
        <v>0</v>
      </c>
      <c r="G93" s="6" t="n">
        <v>0</v>
      </c>
      <c r="H93" s="6" t="n">
        <v>0</v>
      </c>
      <c r="I93" s="6" t="n">
        <v>0</v>
      </c>
      <c r="J93" s="6" t="n">
        <v>0</v>
      </c>
      <c r="K93" s="6" t="n">
        <v>0</v>
      </c>
      <c r="L93" s="6" t="n">
        <v>0</v>
      </c>
      <c r="M93" s="6" t="n">
        <v>0</v>
      </c>
      <c r="N93" s="6" t="n">
        <v>0</v>
      </c>
      <c r="O93" s="6" t="n">
        <v>0</v>
      </c>
      <c r="P93" s="6" t="n">
        <v>0</v>
      </c>
      <c r="Q93" s="6" t="n">
        <v>0</v>
      </c>
      <c r="R93" s="6" t="n">
        <v>0</v>
      </c>
      <c r="S93" s="6" t="n">
        <v>0</v>
      </c>
      <c r="T93" s="6" t="n">
        <v>0</v>
      </c>
      <c r="U93" s="6" t="n">
        <v>0</v>
      </c>
      <c r="V93" s="6" t="n">
        <v>0</v>
      </c>
      <c r="W93" s="6" t="n">
        <v>0</v>
      </c>
      <c r="X93" s="6" t="n">
        <v>0</v>
      </c>
      <c r="Y93" s="6" t="n">
        <v>0</v>
      </c>
      <c r="Z93" s="6" t="n">
        <v>0</v>
      </c>
      <c r="AA93" s="6" t="n">
        <v>0</v>
      </c>
      <c r="AB93" s="6">
        <f>SUM(D93:AA93)</f>
        <v/>
      </c>
      <c r="AC93" s="3" t="inlineStr"/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0</v>
      </c>
      <c r="BA93" s="7" t="n">
        <v>0</v>
      </c>
      <c r="BB93" s="7">
        <f>SUM(AD93:BA93)</f>
        <v/>
      </c>
    </row>
    <row r="94">
      <c r="A94" t="inlineStr">
        <is>
          <t>AMD-RTS-RCLS-1302-SSC</t>
        </is>
      </c>
      <c r="B94" t="inlineStr">
        <is>
          <t>Rev OSC</t>
        </is>
      </c>
      <c r="C94" s="5" t="n">
        <v>46100</v>
      </c>
      <c r="D94" s="6" t="n">
        <v>0</v>
      </c>
      <c r="E94" s="6" t="n">
        <v>0</v>
      </c>
      <c r="F94" s="6" t="n">
        <v>0</v>
      </c>
      <c r="G94" s="6" t="n">
        <v>0</v>
      </c>
      <c r="H94" s="6" t="n">
        <v>0</v>
      </c>
      <c r="I94" s="6" t="n">
        <v>0</v>
      </c>
      <c r="J94" s="6" t="n">
        <v>0</v>
      </c>
      <c r="K94" s="6" t="n">
        <v>0</v>
      </c>
      <c r="L94" s="6" t="n">
        <v>0</v>
      </c>
      <c r="M94" s="6" t="n">
        <v>0</v>
      </c>
      <c r="N94" s="6" t="n">
        <v>0</v>
      </c>
      <c r="O94" s="6" t="n">
        <v>0</v>
      </c>
      <c r="P94" s="6" t="n">
        <v>0</v>
      </c>
      <c r="Q94" s="6" t="n">
        <v>0</v>
      </c>
      <c r="R94" s="6" t="n">
        <v>0</v>
      </c>
      <c r="S94" s="6" t="n">
        <v>0</v>
      </c>
      <c r="T94" s="6" t="n">
        <v>0</v>
      </c>
      <c r="U94" s="6" t="n">
        <v>0</v>
      </c>
      <c r="V94" s="6" t="n">
        <v>0</v>
      </c>
      <c r="W94" s="6" t="n">
        <v>0</v>
      </c>
      <c r="X94" s="6" t="n">
        <v>0</v>
      </c>
      <c r="Y94" s="6" t="n">
        <v>0</v>
      </c>
      <c r="Z94" s="6" t="n">
        <v>0</v>
      </c>
      <c r="AA94" s="6" t="n">
        <v>0</v>
      </c>
      <c r="AB94" s="6">
        <f>SUM(D94:AA94)</f>
        <v/>
      </c>
      <c r="AC94" s="3" t="inlineStr"/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7" t="n">
        <v>0</v>
      </c>
      <c r="BB94" s="7">
        <f>SUM(AD94:BA94)</f>
        <v/>
      </c>
    </row>
    <row r="95">
      <c r="A95" t="inlineStr">
        <is>
          <t>AMD-RTS-RCLS-1302-SSC</t>
        </is>
      </c>
      <c r="B95" t="inlineStr">
        <is>
          <t>Rev OSC</t>
        </is>
      </c>
      <c r="C95" s="5" t="n">
        <v>46102</v>
      </c>
      <c r="D95" s="6" t="n">
        <v>0</v>
      </c>
      <c r="E95" s="6" t="n">
        <v>0</v>
      </c>
      <c r="F95" s="6" t="n">
        <v>0</v>
      </c>
      <c r="G95" s="6" t="n">
        <v>0</v>
      </c>
      <c r="H95" s="6" t="n">
        <v>0</v>
      </c>
      <c r="I95" s="6" t="n">
        <v>0</v>
      </c>
      <c r="J95" s="6" t="n">
        <v>0</v>
      </c>
      <c r="K95" s="6" t="n">
        <v>0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0</v>
      </c>
      <c r="Q95" s="6" t="n">
        <v>0</v>
      </c>
      <c r="R95" s="6" t="n">
        <v>0</v>
      </c>
      <c r="S95" s="6" t="n">
        <v>0</v>
      </c>
      <c r="T95" s="6" t="n">
        <v>0</v>
      </c>
      <c r="U95" s="6" t="n">
        <v>0</v>
      </c>
      <c r="V95" s="6" t="n">
        <v>0</v>
      </c>
      <c r="W95" s="6" t="n">
        <v>0</v>
      </c>
      <c r="X95" s="6" t="n">
        <v>0</v>
      </c>
      <c r="Y95" s="6" t="n">
        <v>0</v>
      </c>
      <c r="Z95" s="6" t="n">
        <v>0</v>
      </c>
      <c r="AA95" s="6" t="n">
        <v>0</v>
      </c>
      <c r="AB95" s="6">
        <f>SUM(D95:AA95)</f>
        <v/>
      </c>
      <c r="AC95" s="3" t="inlineStr"/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7" t="n">
        <v>0</v>
      </c>
      <c r="BB95" s="7">
        <f>SUM(AD95:BA95)</f>
        <v/>
      </c>
    </row>
    <row r="96">
      <c r="A96" t="inlineStr">
        <is>
          <t>AMD-RTS-RCLS-1302-SSC</t>
        </is>
      </c>
      <c r="B96" t="inlineStr">
        <is>
          <t>Rev OSC</t>
        </is>
      </c>
      <c r="C96" s="5" t="n">
        <v>46103</v>
      </c>
      <c r="D96" s="6" t="n">
        <v>0</v>
      </c>
      <c r="E96" s="6" t="n">
        <v>0</v>
      </c>
      <c r="F96" s="6" t="n">
        <v>0</v>
      </c>
      <c r="G96" s="6" t="n">
        <v>0</v>
      </c>
      <c r="H96" s="6" t="n">
        <v>0</v>
      </c>
      <c r="I96" s="6" t="n">
        <v>0</v>
      </c>
      <c r="J96" s="6" t="n">
        <v>0</v>
      </c>
      <c r="K96" s="6" t="n">
        <v>0</v>
      </c>
      <c r="L96" s="6" t="n">
        <v>0</v>
      </c>
      <c r="M96" s="6" t="n">
        <v>0</v>
      </c>
      <c r="N96" s="6" t="n">
        <v>0</v>
      </c>
      <c r="O96" s="6" t="n">
        <v>0</v>
      </c>
      <c r="P96" s="6" t="n">
        <v>0</v>
      </c>
      <c r="Q96" s="6" t="n">
        <v>0</v>
      </c>
      <c r="R96" s="6" t="n">
        <v>0</v>
      </c>
      <c r="S96" s="6" t="n">
        <v>0</v>
      </c>
      <c r="T96" s="6" t="n">
        <v>0</v>
      </c>
      <c r="U96" s="6" t="n">
        <v>0</v>
      </c>
      <c r="V96" s="6" t="n">
        <v>0</v>
      </c>
      <c r="W96" s="6" t="n">
        <v>0</v>
      </c>
      <c r="X96" s="6" t="n">
        <v>0</v>
      </c>
      <c r="Y96" s="6" t="n">
        <v>0</v>
      </c>
      <c r="Z96" s="6" t="n">
        <v>0</v>
      </c>
      <c r="AA96" s="6" t="n">
        <v>0</v>
      </c>
      <c r="AB96" s="6">
        <f>SUM(D96:AA96)</f>
        <v/>
      </c>
      <c r="AC96" s="3" t="inlineStr"/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7" t="n">
        <v>0</v>
      </c>
      <c r="BB96" s="7">
        <f>SUM(AD96:BA96)</f>
        <v/>
      </c>
    </row>
    <row r="97">
      <c r="A97" t="inlineStr">
        <is>
          <t>AMD-RTS-RCLS-1302-SSC</t>
        </is>
      </c>
      <c r="B97" t="inlineStr">
        <is>
          <t>Rev OSC</t>
        </is>
      </c>
      <c r="C97" s="5" t="n">
        <v>46104</v>
      </c>
      <c r="D97" s="6" t="n">
        <v>0</v>
      </c>
      <c r="E97" s="6" t="n">
        <v>0</v>
      </c>
      <c r="F97" s="6" t="n">
        <v>0</v>
      </c>
      <c r="G97" s="6" t="n">
        <v>0</v>
      </c>
      <c r="H97" s="6" t="n">
        <v>0</v>
      </c>
      <c r="I97" s="6" t="n">
        <v>0</v>
      </c>
      <c r="J97" s="6" t="n">
        <v>0</v>
      </c>
      <c r="K97" s="6" t="n">
        <v>0</v>
      </c>
      <c r="L97" s="6" t="n">
        <v>0</v>
      </c>
      <c r="M97" s="6" t="n">
        <v>0</v>
      </c>
      <c r="N97" s="6" t="n">
        <v>0</v>
      </c>
      <c r="O97" s="6" t="n">
        <v>0</v>
      </c>
      <c r="P97" s="6" t="n">
        <v>0</v>
      </c>
      <c r="Q97" s="6" t="n">
        <v>0</v>
      </c>
      <c r="R97" s="6" t="n">
        <v>0</v>
      </c>
      <c r="S97" s="6" t="n">
        <v>0</v>
      </c>
      <c r="T97" s="6" t="n">
        <v>0</v>
      </c>
      <c r="U97" s="6" t="n">
        <v>0</v>
      </c>
      <c r="V97" s="6" t="n">
        <v>0</v>
      </c>
      <c r="W97" s="6" t="n">
        <v>0</v>
      </c>
      <c r="X97" s="6" t="n">
        <v>0</v>
      </c>
      <c r="Y97" s="6" t="n">
        <v>0</v>
      </c>
      <c r="Z97" s="6" t="n">
        <v>0</v>
      </c>
      <c r="AA97" s="6" t="n">
        <v>0</v>
      </c>
      <c r="AB97" s="6">
        <f>SUM(D97:AA97)</f>
        <v/>
      </c>
      <c r="AC97" s="3" t="inlineStr"/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0</v>
      </c>
      <c r="BA97" s="7" t="n">
        <v>0</v>
      </c>
      <c r="BB97" s="7">
        <f>SUM(AD97:BA97)</f>
        <v/>
      </c>
    </row>
    <row r="98">
      <c r="A98" t="inlineStr">
        <is>
          <t>AMD-RTS-RCLS-1302-SSC</t>
        </is>
      </c>
      <c r="B98" t="inlineStr">
        <is>
          <t>Rev OSC</t>
        </is>
      </c>
      <c r="C98" s="5" t="n">
        <v>46105</v>
      </c>
      <c r="D98" s="6" t="n">
        <v>0</v>
      </c>
      <c r="E98" s="6" t="n">
        <v>0</v>
      </c>
      <c r="F98" s="6" t="n">
        <v>0</v>
      </c>
      <c r="G98" s="6" t="n">
        <v>0</v>
      </c>
      <c r="H98" s="6" t="n">
        <v>0</v>
      </c>
      <c r="I98" s="6" t="n">
        <v>0</v>
      </c>
      <c r="J98" s="6" t="n">
        <v>0</v>
      </c>
      <c r="K98" s="6" t="n">
        <v>0</v>
      </c>
      <c r="L98" s="6" t="n">
        <v>0</v>
      </c>
      <c r="M98" s="6" t="n">
        <v>0</v>
      </c>
      <c r="N98" s="6" t="n">
        <v>0</v>
      </c>
      <c r="O98" s="6" t="n">
        <v>0</v>
      </c>
      <c r="P98" s="6" t="n">
        <v>0</v>
      </c>
      <c r="Q98" s="6" t="n">
        <v>0</v>
      </c>
      <c r="R98" s="6" t="n">
        <v>0</v>
      </c>
      <c r="S98" s="6" t="n">
        <v>0</v>
      </c>
      <c r="T98" s="6" t="n">
        <v>0</v>
      </c>
      <c r="U98" s="6" t="n">
        <v>0</v>
      </c>
      <c r="V98" s="6" t="n">
        <v>0</v>
      </c>
      <c r="W98" s="6" t="n">
        <v>0</v>
      </c>
      <c r="X98" s="6" t="n">
        <v>0</v>
      </c>
      <c r="Y98" s="6" t="n">
        <v>0</v>
      </c>
      <c r="Z98" s="6" t="n">
        <v>0</v>
      </c>
      <c r="AA98" s="6" t="n">
        <v>0</v>
      </c>
      <c r="AB98" s="6">
        <f>SUM(D98:AA98)</f>
        <v/>
      </c>
      <c r="AC98" s="3" t="inlineStr"/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7" t="n">
        <v>0</v>
      </c>
      <c r="BB98" s="7">
        <f>SUM(AD98:BA98)</f>
        <v/>
      </c>
    </row>
    <row r="99">
      <c r="A99" t="inlineStr">
        <is>
          <t>AMD-RTS-RCLS-1302-SSC_1</t>
        </is>
      </c>
      <c r="B99" t="inlineStr">
        <is>
          <t>Rev OSC</t>
        </is>
      </c>
      <c r="C99" s="5" t="n">
        <v>46090</v>
      </c>
      <c r="D99" s="6" t="n">
        <v>0</v>
      </c>
      <c r="E99" s="6" t="n">
        <v>0</v>
      </c>
      <c r="F99" s="6" t="n">
        <v>0</v>
      </c>
      <c r="G99" s="6" t="n">
        <v>0</v>
      </c>
      <c r="H99" s="6" t="n">
        <v>0</v>
      </c>
      <c r="I99" s="6" t="n">
        <v>0</v>
      </c>
      <c r="J99" s="6" t="n">
        <v>0</v>
      </c>
      <c r="K99" s="6" t="n">
        <v>0</v>
      </c>
      <c r="L99" s="6" t="n">
        <v>0</v>
      </c>
      <c r="M99" s="6" t="n">
        <v>0</v>
      </c>
      <c r="N99" s="6" t="n">
        <v>0</v>
      </c>
      <c r="O99" s="6" t="n">
        <v>0</v>
      </c>
      <c r="P99" s="6" t="n">
        <v>0</v>
      </c>
      <c r="Q99" s="6" t="n">
        <v>0</v>
      </c>
      <c r="R99" s="6" t="n">
        <v>0</v>
      </c>
      <c r="S99" s="6" t="n">
        <v>0</v>
      </c>
      <c r="T99" s="6" t="n">
        <v>0</v>
      </c>
      <c r="U99" s="6" t="n">
        <v>0</v>
      </c>
      <c r="V99" s="6" t="n">
        <v>0</v>
      </c>
      <c r="W99" s="6" t="n">
        <v>0</v>
      </c>
      <c r="X99" s="6" t="n">
        <v>0</v>
      </c>
      <c r="Y99" s="6" t="n">
        <v>0</v>
      </c>
      <c r="Z99" s="6" t="n">
        <v>0</v>
      </c>
      <c r="AA99" s="6" t="n">
        <v>0</v>
      </c>
      <c r="AB99" s="6">
        <f>SUM(D99:AA99)</f>
        <v/>
      </c>
      <c r="AC99" s="3" t="inlineStr"/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7" t="n">
        <v>0</v>
      </c>
      <c r="BB99" s="7">
        <f>SUM(AD99:BA99)</f>
        <v/>
      </c>
    </row>
    <row r="100">
      <c r="A100" t="inlineStr">
        <is>
          <t>AMD-RTS-RCLS-1302-SSC_1</t>
        </is>
      </c>
      <c r="B100" t="inlineStr">
        <is>
          <t>Rev OSC</t>
        </is>
      </c>
      <c r="C100" s="5" t="n">
        <v>46093</v>
      </c>
      <c r="D100" s="6" t="n">
        <v>0</v>
      </c>
      <c r="E100" s="6" t="n">
        <v>0</v>
      </c>
      <c r="F100" s="6" t="n">
        <v>0</v>
      </c>
      <c r="G100" s="6" t="n">
        <v>0</v>
      </c>
      <c r="H100" s="6" t="n">
        <v>0</v>
      </c>
      <c r="I100" s="6" t="n">
        <v>0</v>
      </c>
      <c r="J100" s="6" t="n">
        <v>0</v>
      </c>
      <c r="K100" s="6" t="n">
        <v>0</v>
      </c>
      <c r="L100" s="6" t="n">
        <v>0</v>
      </c>
      <c r="M100" s="6" t="n">
        <v>0</v>
      </c>
      <c r="N100" s="6" t="n">
        <v>0</v>
      </c>
      <c r="O100" s="6" t="n">
        <v>0</v>
      </c>
      <c r="P100" s="6" t="n">
        <v>0</v>
      </c>
      <c r="Q100" s="6" t="n">
        <v>0</v>
      </c>
      <c r="R100" s="6" t="n">
        <v>0</v>
      </c>
      <c r="S100" s="6" t="n">
        <v>0</v>
      </c>
      <c r="T100" s="6" t="n">
        <v>0</v>
      </c>
      <c r="U100" s="6" t="n">
        <v>0</v>
      </c>
      <c r="V100" s="6" t="n">
        <v>0</v>
      </c>
      <c r="W100" s="6" t="n">
        <v>0</v>
      </c>
      <c r="X100" s="6" t="n">
        <v>0</v>
      </c>
      <c r="Y100" s="6" t="n">
        <v>0</v>
      </c>
      <c r="Z100" s="6" t="n">
        <v>0</v>
      </c>
      <c r="AA100" s="6" t="n">
        <v>0</v>
      </c>
      <c r="AB100" s="6">
        <f>SUM(D100:AA100)</f>
        <v/>
      </c>
      <c r="AC100" s="3" t="inlineStr"/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7" t="n">
        <v>0</v>
      </c>
      <c r="BB100" s="7">
        <f>SUM(AD100:BA100)</f>
        <v/>
      </c>
    </row>
    <row r="101">
      <c r="A101" t="inlineStr">
        <is>
          <t>AMD-RTS-RCLS-1302-SSC_1</t>
        </is>
      </c>
      <c r="B101" t="inlineStr">
        <is>
          <t>Rev OSC</t>
        </is>
      </c>
      <c r="C101" s="5" t="n">
        <v>46094</v>
      </c>
      <c r="D101" s="6" t="n">
        <v>0</v>
      </c>
      <c r="E101" s="6" t="n">
        <v>0</v>
      </c>
      <c r="F101" s="6" t="n">
        <v>0</v>
      </c>
      <c r="G101" s="6" t="n">
        <v>0</v>
      </c>
      <c r="H101" s="6" t="n">
        <v>0</v>
      </c>
      <c r="I101" s="6" t="n">
        <v>0</v>
      </c>
      <c r="J101" s="6" t="n">
        <v>0</v>
      </c>
      <c r="K101" s="6" t="n">
        <v>0</v>
      </c>
      <c r="L101" s="6" t="n">
        <v>0</v>
      </c>
      <c r="M101" s="6" t="n">
        <v>0</v>
      </c>
      <c r="N101" s="6" t="n">
        <v>0</v>
      </c>
      <c r="O101" s="6" t="n">
        <v>0</v>
      </c>
      <c r="P101" s="6" t="n">
        <v>0</v>
      </c>
      <c r="Q101" s="6" t="n">
        <v>0</v>
      </c>
      <c r="R101" s="6" t="n">
        <v>0</v>
      </c>
      <c r="S101" s="6" t="n">
        <v>0</v>
      </c>
      <c r="T101" s="6" t="n">
        <v>0</v>
      </c>
      <c r="U101" s="6" t="n">
        <v>0</v>
      </c>
      <c r="V101" s="6" t="n">
        <v>0</v>
      </c>
      <c r="W101" s="6" t="n">
        <v>0</v>
      </c>
      <c r="X101" s="6" t="n">
        <v>0</v>
      </c>
      <c r="Y101" s="6" t="n">
        <v>0</v>
      </c>
      <c r="Z101" s="6" t="n">
        <v>0</v>
      </c>
      <c r="AA101" s="6" t="n">
        <v>0</v>
      </c>
      <c r="AB101" s="6">
        <f>SUM(D101:AA101)</f>
        <v/>
      </c>
      <c r="AC101" s="3" t="inlineStr"/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7" t="n">
        <v>0</v>
      </c>
      <c r="BB101" s="7">
        <f>SUM(AD101:BA101)</f>
        <v/>
      </c>
    </row>
    <row r="102">
      <c r="A102" t="inlineStr">
        <is>
          <t>AMD-RTS-RCLS-1302-SSC_1</t>
        </is>
      </c>
      <c r="B102" t="inlineStr">
        <is>
          <t>Rev OSC</t>
        </is>
      </c>
      <c r="C102" s="5" t="n">
        <v>46095</v>
      </c>
      <c r="D102" s="6" t="n">
        <v>0</v>
      </c>
      <c r="E102" s="6" t="n">
        <v>0</v>
      </c>
      <c r="F102" s="6" t="n">
        <v>0</v>
      </c>
      <c r="G102" s="6" t="n">
        <v>0</v>
      </c>
      <c r="H102" s="6" t="n">
        <v>0</v>
      </c>
      <c r="I102" s="6" t="n">
        <v>0</v>
      </c>
      <c r="J102" s="6" t="n">
        <v>0</v>
      </c>
      <c r="K102" s="6" t="n">
        <v>0</v>
      </c>
      <c r="L102" s="6" t="n">
        <v>0</v>
      </c>
      <c r="M102" s="6" t="n">
        <v>0</v>
      </c>
      <c r="N102" s="6" t="n">
        <v>0</v>
      </c>
      <c r="O102" s="6" t="n">
        <v>0</v>
      </c>
      <c r="P102" s="6" t="n">
        <v>0</v>
      </c>
      <c r="Q102" s="6" t="n">
        <v>0</v>
      </c>
      <c r="R102" s="6" t="n">
        <v>0</v>
      </c>
      <c r="S102" s="6" t="n">
        <v>0</v>
      </c>
      <c r="T102" s="6" t="n">
        <v>0</v>
      </c>
      <c r="U102" s="6" t="n">
        <v>0</v>
      </c>
      <c r="V102" s="6" t="n">
        <v>0</v>
      </c>
      <c r="W102" s="6" t="n">
        <v>0</v>
      </c>
      <c r="X102" s="6" t="n">
        <v>0</v>
      </c>
      <c r="Y102" s="6" t="n">
        <v>0</v>
      </c>
      <c r="Z102" s="6" t="n">
        <v>0</v>
      </c>
      <c r="AA102" s="6" t="n">
        <v>0</v>
      </c>
      <c r="AB102" s="6">
        <f>SUM(D102:AA102)</f>
        <v/>
      </c>
      <c r="AC102" s="3" t="inlineStr"/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7" t="n">
        <v>0</v>
      </c>
      <c r="BB102" s="7">
        <f>SUM(AD102:BA102)</f>
        <v/>
      </c>
    </row>
    <row r="103">
      <c r="A103" t="inlineStr">
        <is>
          <t>AMD-RTS-RCLS-1302-SSC_1</t>
        </is>
      </c>
      <c r="B103" t="inlineStr">
        <is>
          <t>Rev OSC</t>
        </is>
      </c>
      <c r="C103" s="5" t="n">
        <v>46100</v>
      </c>
      <c r="D103" s="6" t="n">
        <v>0</v>
      </c>
      <c r="E103" s="6" t="n">
        <v>0</v>
      </c>
      <c r="F103" s="6" t="n">
        <v>0</v>
      </c>
      <c r="G103" s="6" t="n">
        <v>0</v>
      </c>
      <c r="H103" s="6" t="n">
        <v>0</v>
      </c>
      <c r="I103" s="6" t="n">
        <v>0</v>
      </c>
      <c r="J103" s="6" t="n">
        <v>0</v>
      </c>
      <c r="K103" s="6" t="n">
        <v>0</v>
      </c>
      <c r="L103" s="6" t="n">
        <v>0</v>
      </c>
      <c r="M103" s="6" t="n">
        <v>0</v>
      </c>
      <c r="N103" s="6" t="n">
        <v>0</v>
      </c>
      <c r="O103" s="6" t="n">
        <v>0</v>
      </c>
      <c r="P103" s="6" t="n">
        <v>0</v>
      </c>
      <c r="Q103" s="6" t="n">
        <v>0</v>
      </c>
      <c r="R103" s="6" t="n">
        <v>0</v>
      </c>
      <c r="S103" s="6" t="n">
        <v>0</v>
      </c>
      <c r="T103" s="6" t="n">
        <v>0</v>
      </c>
      <c r="U103" s="6" t="n">
        <v>0</v>
      </c>
      <c r="V103" s="6" t="n">
        <v>0</v>
      </c>
      <c r="W103" s="6" t="n">
        <v>0</v>
      </c>
      <c r="X103" s="6" t="n">
        <v>0</v>
      </c>
      <c r="Y103" s="6" t="n">
        <v>0</v>
      </c>
      <c r="Z103" s="6" t="n">
        <v>0</v>
      </c>
      <c r="AA103" s="6" t="n">
        <v>0</v>
      </c>
      <c r="AB103" s="6">
        <f>SUM(D103:AA103)</f>
        <v/>
      </c>
      <c r="AC103" s="3" t="inlineStr"/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7" t="n">
        <v>0</v>
      </c>
      <c r="BB103" s="7">
        <f>SUM(AD103:BA103)</f>
        <v/>
      </c>
    </row>
    <row r="104">
      <c r="A104" t="inlineStr">
        <is>
          <t>AMD-RTS-RCLS-1302-SSC_1</t>
        </is>
      </c>
      <c r="B104" t="inlineStr">
        <is>
          <t>Rev OSC</t>
        </is>
      </c>
      <c r="C104" s="5" t="n">
        <v>46102</v>
      </c>
      <c r="D104" s="6" t="n">
        <v>0</v>
      </c>
      <c r="E104" s="6" t="n">
        <v>0</v>
      </c>
      <c r="F104" s="6" t="n">
        <v>0</v>
      </c>
      <c r="G104" s="6" t="n">
        <v>0</v>
      </c>
      <c r="H104" s="6" t="n">
        <v>0</v>
      </c>
      <c r="I104" s="6" t="n">
        <v>0</v>
      </c>
      <c r="J104" s="6" t="n">
        <v>0</v>
      </c>
      <c r="K104" s="6" t="n">
        <v>0</v>
      </c>
      <c r="L104" s="6" t="n">
        <v>0</v>
      </c>
      <c r="M104" s="6" t="n">
        <v>0</v>
      </c>
      <c r="N104" s="6" t="n">
        <v>0</v>
      </c>
      <c r="O104" s="6" t="n">
        <v>0</v>
      </c>
      <c r="P104" s="6" t="n">
        <v>0</v>
      </c>
      <c r="Q104" s="6" t="n">
        <v>0</v>
      </c>
      <c r="R104" s="6" t="n">
        <v>0</v>
      </c>
      <c r="S104" s="6" t="n">
        <v>0</v>
      </c>
      <c r="T104" s="6" t="n">
        <v>0</v>
      </c>
      <c r="U104" s="6" t="n">
        <v>0</v>
      </c>
      <c r="V104" s="6" t="n">
        <v>0</v>
      </c>
      <c r="W104" s="6" t="n">
        <v>0</v>
      </c>
      <c r="X104" s="6" t="n">
        <v>0</v>
      </c>
      <c r="Y104" s="6" t="n">
        <v>0</v>
      </c>
      <c r="Z104" s="6" t="n">
        <v>0</v>
      </c>
      <c r="AA104" s="6" t="n">
        <v>0</v>
      </c>
      <c r="AB104" s="6">
        <f>SUM(D104:AA104)</f>
        <v/>
      </c>
      <c r="AC104" s="3" t="inlineStr"/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  <c r="BB104" s="7">
        <f>SUM(AD104:BA104)</f>
        <v/>
      </c>
    </row>
    <row r="105">
      <c r="A105" t="inlineStr">
        <is>
          <t>AMD-RTS-RCLS-1302-SSC_1</t>
        </is>
      </c>
      <c r="B105" t="inlineStr">
        <is>
          <t>Rev OSC</t>
        </is>
      </c>
      <c r="C105" s="5" t="n">
        <v>46103</v>
      </c>
      <c r="D105" s="6" t="n">
        <v>0</v>
      </c>
      <c r="E105" s="6" t="n">
        <v>0</v>
      </c>
      <c r="F105" s="6" t="n">
        <v>0</v>
      </c>
      <c r="G105" s="6" t="n">
        <v>0</v>
      </c>
      <c r="H105" s="6" t="n">
        <v>0</v>
      </c>
      <c r="I105" s="6" t="n">
        <v>0</v>
      </c>
      <c r="J105" s="6" t="n">
        <v>0</v>
      </c>
      <c r="K105" s="6" t="n">
        <v>0</v>
      </c>
      <c r="L105" s="6" t="n">
        <v>0</v>
      </c>
      <c r="M105" s="6" t="n">
        <v>0</v>
      </c>
      <c r="N105" s="6" t="n">
        <v>0</v>
      </c>
      <c r="O105" s="6" t="n">
        <v>0</v>
      </c>
      <c r="P105" s="6" t="n">
        <v>0</v>
      </c>
      <c r="Q105" s="6" t="n">
        <v>0</v>
      </c>
      <c r="R105" s="6" t="n">
        <v>0</v>
      </c>
      <c r="S105" s="6" t="n">
        <v>0</v>
      </c>
      <c r="T105" s="6" t="n">
        <v>0</v>
      </c>
      <c r="U105" s="6" t="n">
        <v>0</v>
      </c>
      <c r="V105" s="6" t="n">
        <v>0</v>
      </c>
      <c r="W105" s="6" t="n">
        <v>0</v>
      </c>
      <c r="X105" s="6" t="n">
        <v>0</v>
      </c>
      <c r="Y105" s="6" t="n">
        <v>0</v>
      </c>
      <c r="Z105" s="6" t="n">
        <v>0</v>
      </c>
      <c r="AA105" s="6" t="n">
        <v>0</v>
      </c>
      <c r="AB105" s="6">
        <f>SUM(D105:AA105)</f>
        <v/>
      </c>
      <c r="AC105" s="3" t="inlineStr"/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7" t="n">
        <v>0</v>
      </c>
      <c r="BB105" s="7">
        <f>SUM(AD105:BA105)</f>
        <v/>
      </c>
    </row>
    <row r="106">
      <c r="A106" t="inlineStr">
        <is>
          <t>AMD-RTS-RCLS-1302-SSC_1</t>
        </is>
      </c>
      <c r="B106" t="inlineStr">
        <is>
          <t>Rev OSC</t>
        </is>
      </c>
      <c r="C106" s="5" t="n">
        <v>46104</v>
      </c>
      <c r="D106" s="6" t="n">
        <v>0</v>
      </c>
      <c r="E106" s="6" t="n">
        <v>0</v>
      </c>
      <c r="F106" s="6" t="n">
        <v>0</v>
      </c>
      <c r="G106" s="6" t="n">
        <v>0</v>
      </c>
      <c r="H106" s="6" t="n">
        <v>0</v>
      </c>
      <c r="I106" s="6" t="n">
        <v>0</v>
      </c>
      <c r="J106" s="6" t="n">
        <v>0</v>
      </c>
      <c r="K106" s="6" t="n">
        <v>0</v>
      </c>
      <c r="L106" s="6" t="n">
        <v>0</v>
      </c>
      <c r="M106" s="6" t="n">
        <v>0</v>
      </c>
      <c r="N106" s="6" t="n">
        <v>0</v>
      </c>
      <c r="O106" s="6" t="n">
        <v>0</v>
      </c>
      <c r="P106" s="6" t="n">
        <v>0</v>
      </c>
      <c r="Q106" s="6" t="n">
        <v>0</v>
      </c>
      <c r="R106" s="6" t="n">
        <v>0</v>
      </c>
      <c r="S106" s="6" t="n">
        <v>0</v>
      </c>
      <c r="T106" s="6" t="n">
        <v>0</v>
      </c>
      <c r="U106" s="6" t="n">
        <v>0</v>
      </c>
      <c r="V106" s="6" t="n">
        <v>0</v>
      </c>
      <c r="W106" s="6" t="n">
        <v>0</v>
      </c>
      <c r="X106" s="6" t="n">
        <v>0</v>
      </c>
      <c r="Y106" s="6" t="n">
        <v>0</v>
      </c>
      <c r="Z106" s="6" t="n">
        <v>0</v>
      </c>
      <c r="AA106" s="6" t="n">
        <v>0</v>
      </c>
      <c r="AB106" s="6">
        <f>SUM(D106:AA106)</f>
        <v/>
      </c>
      <c r="AC106" s="3" t="inlineStr"/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7" t="n">
        <v>0</v>
      </c>
      <c r="BB106" s="7">
        <f>SUM(AD106:BA106)</f>
        <v/>
      </c>
    </row>
    <row r="107">
      <c r="A107" t="inlineStr">
        <is>
          <t>AMD-RTS-RCLS-1302-SSC_1</t>
        </is>
      </c>
      <c r="B107" t="inlineStr">
        <is>
          <t>Rev OSC</t>
        </is>
      </c>
      <c r="C107" s="5" t="n">
        <v>46105</v>
      </c>
      <c r="D107" s="6" t="n">
        <v>0</v>
      </c>
      <c r="E107" s="6" t="n">
        <v>0</v>
      </c>
      <c r="F107" s="6" t="n">
        <v>0</v>
      </c>
      <c r="G107" s="6" t="n">
        <v>0</v>
      </c>
      <c r="H107" s="6" t="n">
        <v>0</v>
      </c>
      <c r="I107" s="6" t="n">
        <v>0</v>
      </c>
      <c r="J107" s="6" t="n">
        <v>0</v>
      </c>
      <c r="K107" s="6" t="n">
        <v>0</v>
      </c>
      <c r="L107" s="6" t="n">
        <v>0</v>
      </c>
      <c r="M107" s="6" t="n">
        <v>0</v>
      </c>
      <c r="N107" s="6" t="n">
        <v>0</v>
      </c>
      <c r="O107" s="6" t="n">
        <v>0</v>
      </c>
      <c r="P107" s="6" t="n">
        <v>0</v>
      </c>
      <c r="Q107" s="6" t="n">
        <v>0</v>
      </c>
      <c r="R107" s="6" t="n">
        <v>0</v>
      </c>
      <c r="S107" s="6" t="n">
        <v>0</v>
      </c>
      <c r="T107" s="6" t="n">
        <v>0</v>
      </c>
      <c r="U107" s="6" t="n">
        <v>0</v>
      </c>
      <c r="V107" s="6" t="n">
        <v>0</v>
      </c>
      <c r="W107" s="6" t="n">
        <v>0</v>
      </c>
      <c r="X107" s="6" t="n">
        <v>0</v>
      </c>
      <c r="Y107" s="6" t="n">
        <v>0</v>
      </c>
      <c r="Z107" s="6" t="n">
        <v>0</v>
      </c>
      <c r="AA107" s="6" t="n">
        <v>0</v>
      </c>
      <c r="AB107" s="6">
        <f>SUM(D107:AA107)</f>
        <v/>
      </c>
      <c r="AC107" s="3" t="inlineStr"/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7" t="n">
        <v>0</v>
      </c>
      <c r="BB107" s="7">
        <f>SUM(AD107:BA107)</f>
        <v/>
      </c>
    </row>
    <row r="108">
      <c r="A108" t="inlineStr">
        <is>
          <t>AMD-RTS-RCLS-1302-SSC_2</t>
        </is>
      </c>
      <c r="B108" t="inlineStr">
        <is>
          <t>Rev OSC</t>
        </is>
      </c>
      <c r="C108" s="5" t="n">
        <v>46100</v>
      </c>
      <c r="D108" s="6" t="n">
        <v>0</v>
      </c>
      <c r="E108" s="6" t="n">
        <v>0</v>
      </c>
      <c r="F108" s="6" t="n">
        <v>0</v>
      </c>
      <c r="G108" s="6" t="n">
        <v>0</v>
      </c>
      <c r="H108" s="6" t="n">
        <v>0</v>
      </c>
      <c r="I108" s="6" t="n">
        <v>0</v>
      </c>
      <c r="J108" s="6" t="n">
        <v>0</v>
      </c>
      <c r="K108" s="6" t="n">
        <v>0</v>
      </c>
      <c r="L108" s="6" t="n">
        <v>0</v>
      </c>
      <c r="M108" s="6" t="n">
        <v>0</v>
      </c>
      <c r="N108" s="6" t="n">
        <v>0</v>
      </c>
      <c r="O108" s="6" t="n">
        <v>0</v>
      </c>
      <c r="P108" s="6" t="n">
        <v>0</v>
      </c>
      <c r="Q108" s="6" t="n">
        <v>0</v>
      </c>
      <c r="R108" s="6" t="n">
        <v>0</v>
      </c>
      <c r="S108" s="6" t="n">
        <v>0</v>
      </c>
      <c r="T108" s="6" t="n">
        <v>0</v>
      </c>
      <c r="U108" s="6" t="n">
        <v>0</v>
      </c>
      <c r="V108" s="6" t="n">
        <v>0</v>
      </c>
      <c r="W108" s="6" t="n">
        <v>0</v>
      </c>
      <c r="X108" s="6" t="n">
        <v>0</v>
      </c>
      <c r="Y108" s="6" t="n">
        <v>0</v>
      </c>
      <c r="Z108" s="6" t="n">
        <v>0</v>
      </c>
      <c r="AA108" s="6" t="n">
        <v>0</v>
      </c>
      <c r="AB108" s="6">
        <f>SUM(D108:AA108)</f>
        <v/>
      </c>
      <c r="AC108" s="3" t="inlineStr"/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7" t="n">
        <v>0</v>
      </c>
      <c r="BB108" s="7">
        <f>SUM(AD108:BA108)</f>
        <v/>
      </c>
    </row>
    <row r="109">
      <c r="A109" t="inlineStr">
        <is>
          <t>AMD-RTS-RCLS-1302-SSC_2</t>
        </is>
      </c>
      <c r="B109" t="inlineStr">
        <is>
          <t>Rev OSC</t>
        </is>
      </c>
      <c r="C109" s="5" t="n">
        <v>46102</v>
      </c>
      <c r="D109" s="6" t="n">
        <v>0</v>
      </c>
      <c r="E109" s="6" t="n">
        <v>0</v>
      </c>
      <c r="F109" s="6" t="n">
        <v>0</v>
      </c>
      <c r="G109" s="6" t="n">
        <v>0</v>
      </c>
      <c r="H109" s="6" t="n">
        <v>0</v>
      </c>
      <c r="I109" s="6" t="n">
        <v>0</v>
      </c>
      <c r="J109" s="6" t="n">
        <v>0</v>
      </c>
      <c r="K109" s="6" t="n">
        <v>0</v>
      </c>
      <c r="L109" s="6" t="n">
        <v>0</v>
      </c>
      <c r="M109" s="6" t="n">
        <v>0</v>
      </c>
      <c r="N109" s="6" t="n">
        <v>0</v>
      </c>
      <c r="O109" s="6" t="n">
        <v>0</v>
      </c>
      <c r="P109" s="6" t="n">
        <v>0</v>
      </c>
      <c r="Q109" s="6" t="n">
        <v>0</v>
      </c>
      <c r="R109" s="6" t="n">
        <v>0</v>
      </c>
      <c r="S109" s="6" t="n">
        <v>0</v>
      </c>
      <c r="T109" s="6" t="n">
        <v>0</v>
      </c>
      <c r="U109" s="6" t="n">
        <v>0</v>
      </c>
      <c r="V109" s="6" t="n">
        <v>0</v>
      </c>
      <c r="W109" s="6" t="n">
        <v>0</v>
      </c>
      <c r="X109" s="6" t="n">
        <v>0</v>
      </c>
      <c r="Y109" s="6" t="n">
        <v>0</v>
      </c>
      <c r="Z109" s="6" t="n">
        <v>0</v>
      </c>
      <c r="AA109" s="6" t="n">
        <v>0</v>
      </c>
      <c r="AB109" s="6">
        <f>SUM(D109:AA109)</f>
        <v/>
      </c>
      <c r="AC109" s="3" t="inlineStr"/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7" t="n">
        <v>0</v>
      </c>
      <c r="BB109" s="7">
        <f>SUM(AD109:BA109)</f>
        <v/>
      </c>
    </row>
    <row r="110">
      <c r="A110" t="inlineStr">
        <is>
          <t>AMD-RTS-RCLS-1302-SSC_2</t>
        </is>
      </c>
      <c r="B110" t="inlineStr">
        <is>
          <t>Rev OSC</t>
        </is>
      </c>
      <c r="C110" s="5" t="n">
        <v>46104</v>
      </c>
      <c r="D110" s="6" t="n">
        <v>0</v>
      </c>
      <c r="E110" s="6" t="n">
        <v>0</v>
      </c>
      <c r="F110" s="6" t="n">
        <v>0</v>
      </c>
      <c r="G110" s="6" t="n">
        <v>0</v>
      </c>
      <c r="H110" s="6" t="n">
        <v>0</v>
      </c>
      <c r="I110" s="6" t="n">
        <v>0</v>
      </c>
      <c r="J110" s="6" t="n">
        <v>0</v>
      </c>
      <c r="K110" s="6" t="n">
        <v>0</v>
      </c>
      <c r="L110" s="6" t="n">
        <v>0</v>
      </c>
      <c r="M110" s="6" t="n">
        <v>0</v>
      </c>
      <c r="N110" s="6" t="n">
        <v>0</v>
      </c>
      <c r="O110" s="6" t="n">
        <v>0</v>
      </c>
      <c r="P110" s="6" t="n">
        <v>0</v>
      </c>
      <c r="Q110" s="6" t="n">
        <v>0</v>
      </c>
      <c r="R110" s="6" t="n">
        <v>0</v>
      </c>
      <c r="S110" s="6" t="n">
        <v>0</v>
      </c>
      <c r="T110" s="6" t="n">
        <v>0</v>
      </c>
      <c r="U110" s="6" t="n">
        <v>0</v>
      </c>
      <c r="V110" s="6" t="n">
        <v>0</v>
      </c>
      <c r="W110" s="6" t="n">
        <v>0</v>
      </c>
      <c r="X110" s="6" t="n">
        <v>0</v>
      </c>
      <c r="Y110" s="6" t="n">
        <v>0</v>
      </c>
      <c r="Z110" s="6" t="n">
        <v>0</v>
      </c>
      <c r="AA110" s="6" t="n">
        <v>0</v>
      </c>
      <c r="AB110" s="6">
        <f>SUM(D110:AA110)</f>
        <v/>
      </c>
      <c r="AC110" s="3" t="inlineStr"/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  <c r="BB110" s="7">
        <f>SUM(AD110:BA110)</f>
        <v/>
      </c>
    </row>
    <row r="111">
      <c r="A111" t="inlineStr">
        <is>
          <t>DC-10-1</t>
        </is>
      </c>
      <c r="B111" t="inlineStr">
        <is>
          <t>DSC Manual</t>
        </is>
      </c>
      <c r="C111" s="5" t="n">
        <v>46089</v>
      </c>
      <c r="D111" s="6" t="n">
        <v>0</v>
      </c>
      <c r="E111" s="6" t="n">
        <v>0</v>
      </c>
      <c r="F111" s="6" t="n">
        <v>0</v>
      </c>
      <c r="G111" s="6" t="n">
        <v>0</v>
      </c>
      <c r="H111" s="6" t="n">
        <v>0</v>
      </c>
      <c r="I111" s="6" t="n">
        <v>0</v>
      </c>
      <c r="J111" s="6" t="n">
        <v>0</v>
      </c>
      <c r="K111" s="6" t="n">
        <v>0</v>
      </c>
      <c r="L111" s="6" t="n">
        <v>0</v>
      </c>
      <c r="M111" s="6" t="n">
        <v>0</v>
      </c>
      <c r="N111" s="6" t="n">
        <v>0</v>
      </c>
      <c r="O111" s="6" t="n">
        <v>0</v>
      </c>
      <c r="P111" s="6" t="n">
        <v>0</v>
      </c>
      <c r="Q111" s="6" t="n">
        <v>0</v>
      </c>
      <c r="R111" s="6" t="n">
        <v>0</v>
      </c>
      <c r="S111" s="6" t="n">
        <v>0</v>
      </c>
      <c r="T111" s="6" t="n">
        <v>0</v>
      </c>
      <c r="U111" s="6" t="n">
        <v>0</v>
      </c>
      <c r="V111" s="6" t="n">
        <v>0</v>
      </c>
      <c r="W111" s="6" t="n">
        <v>0</v>
      </c>
      <c r="X111" s="6" t="n">
        <v>0</v>
      </c>
      <c r="Y111" s="6" t="n">
        <v>0</v>
      </c>
      <c r="Z111" s="6" t="n">
        <v>0</v>
      </c>
      <c r="AA111" s="6" t="n">
        <v>0</v>
      </c>
      <c r="AB111" s="6">
        <f>SUM(D111:AA111)</f>
        <v/>
      </c>
      <c r="AC111" s="3" t="inlineStr"/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7" t="n">
        <v>0</v>
      </c>
      <c r="BB111" s="7">
        <f>SUM(AD111:BA111)</f>
        <v/>
      </c>
    </row>
    <row r="112">
      <c r="A112" t="inlineStr">
        <is>
          <t>DC-10-1</t>
        </is>
      </c>
      <c r="B112" t="inlineStr">
        <is>
          <t>DSC Manual</t>
        </is>
      </c>
      <c r="C112" s="5" t="n">
        <v>46090</v>
      </c>
      <c r="D112" s="6" t="n">
        <v>0</v>
      </c>
      <c r="E112" s="6" t="n">
        <v>0</v>
      </c>
      <c r="F112" s="6" t="n">
        <v>0</v>
      </c>
      <c r="G112" s="6" t="n">
        <v>0</v>
      </c>
      <c r="H112" s="6" t="n">
        <v>0</v>
      </c>
      <c r="I112" s="6" t="n">
        <v>0</v>
      </c>
      <c r="J112" s="6" t="n">
        <v>0</v>
      </c>
      <c r="K112" s="6" t="n">
        <v>0</v>
      </c>
      <c r="L112" s="6" t="n">
        <v>0</v>
      </c>
      <c r="M112" s="6" t="n">
        <v>0</v>
      </c>
      <c r="N112" s="6" t="n">
        <v>0</v>
      </c>
      <c r="O112" s="6" t="n">
        <v>0</v>
      </c>
      <c r="P112" s="6" t="n">
        <v>0</v>
      </c>
      <c r="Q112" s="6" t="n">
        <v>0</v>
      </c>
      <c r="R112" s="6" t="n">
        <v>0</v>
      </c>
      <c r="S112" s="6" t="n">
        <v>0</v>
      </c>
      <c r="T112" s="6" t="n">
        <v>0</v>
      </c>
      <c r="U112" s="6" t="n">
        <v>0</v>
      </c>
      <c r="V112" s="6" t="n">
        <v>0</v>
      </c>
      <c r="W112" s="6" t="n">
        <v>0</v>
      </c>
      <c r="X112" s="6" t="n">
        <v>0</v>
      </c>
      <c r="Y112" s="6" t="n">
        <v>0</v>
      </c>
      <c r="Z112" s="6" t="n">
        <v>0</v>
      </c>
      <c r="AA112" s="6" t="n">
        <v>0</v>
      </c>
      <c r="AB112" s="6">
        <f>SUM(D112:AA112)</f>
        <v/>
      </c>
      <c r="AC112" s="3" t="inlineStr"/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>
        <f>SUM(AD112:BA112)</f>
        <v/>
      </c>
    </row>
    <row r="113">
      <c r="A113" t="inlineStr">
        <is>
          <t>DC-10-1</t>
        </is>
      </c>
      <c r="B113" t="inlineStr">
        <is>
          <t>DSC Manual</t>
        </is>
      </c>
      <c r="C113" s="5" t="n">
        <v>46091</v>
      </c>
      <c r="D113" s="6" t="n">
        <v>0</v>
      </c>
      <c r="E113" s="6" t="n">
        <v>0</v>
      </c>
      <c r="F113" s="6" t="n">
        <v>0</v>
      </c>
      <c r="G113" s="6" t="n">
        <v>0</v>
      </c>
      <c r="H113" s="6" t="n">
        <v>0</v>
      </c>
      <c r="I113" s="6" t="n">
        <v>0</v>
      </c>
      <c r="J113" s="6" t="n">
        <v>0</v>
      </c>
      <c r="K113" s="6" t="n">
        <v>0</v>
      </c>
      <c r="L113" s="6" t="n">
        <v>0</v>
      </c>
      <c r="M113" s="6" t="n">
        <v>0</v>
      </c>
      <c r="N113" s="6" t="n">
        <v>0</v>
      </c>
      <c r="O113" s="6" t="n">
        <v>0</v>
      </c>
      <c r="P113" s="6" t="n">
        <v>0</v>
      </c>
      <c r="Q113" s="6" t="n">
        <v>0</v>
      </c>
      <c r="R113" s="6" t="n">
        <v>0</v>
      </c>
      <c r="S113" s="6" t="n">
        <v>0</v>
      </c>
      <c r="T113" s="6" t="n">
        <v>0</v>
      </c>
      <c r="U113" s="6" t="n">
        <v>0</v>
      </c>
      <c r="V113" s="6" t="n">
        <v>0</v>
      </c>
      <c r="W113" s="6" t="n">
        <v>0</v>
      </c>
      <c r="X113" s="6" t="n">
        <v>0</v>
      </c>
      <c r="Y113" s="6" t="n">
        <v>0</v>
      </c>
      <c r="Z113" s="6" t="n">
        <v>0</v>
      </c>
      <c r="AA113" s="6" t="n">
        <v>0</v>
      </c>
      <c r="AB113" s="6">
        <f>SUM(D113:AA113)</f>
        <v/>
      </c>
      <c r="AC113" s="3" t="inlineStr"/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7" t="n">
        <v>0</v>
      </c>
      <c r="BB113" s="7">
        <f>SUM(AD113:BA113)</f>
        <v/>
      </c>
    </row>
    <row r="114">
      <c r="A114" t="inlineStr">
        <is>
          <t>DC-10-1</t>
        </is>
      </c>
      <c r="B114" t="inlineStr">
        <is>
          <t>DSC Manual</t>
        </is>
      </c>
      <c r="C114" s="5" t="n">
        <v>46092</v>
      </c>
      <c r="D114" s="6" t="n">
        <v>0</v>
      </c>
      <c r="E114" s="6" t="n">
        <v>0</v>
      </c>
      <c r="F114" s="6" t="n">
        <v>0</v>
      </c>
      <c r="G114" s="6" t="n">
        <v>0</v>
      </c>
      <c r="H114" s="6" t="n">
        <v>0</v>
      </c>
      <c r="I114" s="6" t="n">
        <v>0</v>
      </c>
      <c r="J114" s="6" t="n">
        <v>0</v>
      </c>
      <c r="K114" s="6" t="n">
        <v>0</v>
      </c>
      <c r="L114" s="6" t="n">
        <v>0</v>
      </c>
      <c r="M114" s="6" t="n">
        <v>0</v>
      </c>
      <c r="N114" s="6" t="n">
        <v>0</v>
      </c>
      <c r="O114" s="6" t="n">
        <v>0</v>
      </c>
      <c r="P114" s="6" t="n">
        <v>0</v>
      </c>
      <c r="Q114" s="6" t="n">
        <v>0</v>
      </c>
      <c r="R114" s="6" t="n">
        <v>0</v>
      </c>
      <c r="S114" s="6" t="n">
        <v>0</v>
      </c>
      <c r="T114" s="6" t="n">
        <v>0</v>
      </c>
      <c r="U114" s="6" t="n">
        <v>0</v>
      </c>
      <c r="V114" s="6" t="n">
        <v>0</v>
      </c>
      <c r="W114" s="6" t="n">
        <v>0</v>
      </c>
      <c r="X114" s="6" t="n">
        <v>0</v>
      </c>
      <c r="Y114" s="6" t="n">
        <v>0</v>
      </c>
      <c r="Z114" s="6" t="n">
        <v>0</v>
      </c>
      <c r="AA114" s="6" t="n">
        <v>0</v>
      </c>
      <c r="AB114" s="6">
        <f>SUM(D114:AA114)</f>
        <v/>
      </c>
      <c r="AC114" s="3" t="inlineStr"/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7" t="n">
        <v>0</v>
      </c>
      <c r="BB114" s="7">
        <f>SUM(AD114:BA114)</f>
        <v/>
      </c>
    </row>
    <row r="115">
      <c r="A115" t="inlineStr">
        <is>
          <t>DC-10-1</t>
        </is>
      </c>
      <c r="B115" t="inlineStr">
        <is>
          <t>DSC Manual</t>
        </is>
      </c>
      <c r="C115" s="5" t="n">
        <v>46093</v>
      </c>
      <c r="D115" s="6" t="n">
        <v>0</v>
      </c>
      <c r="E115" s="6" t="n">
        <v>0</v>
      </c>
      <c r="F115" s="6" t="n">
        <v>0</v>
      </c>
      <c r="G115" s="6" t="n">
        <v>0</v>
      </c>
      <c r="H115" s="6" t="n">
        <v>0</v>
      </c>
      <c r="I115" s="6" t="n">
        <v>0</v>
      </c>
      <c r="J115" s="6" t="n">
        <v>0</v>
      </c>
      <c r="K115" s="6" t="n">
        <v>0</v>
      </c>
      <c r="L115" s="6" t="n">
        <v>0</v>
      </c>
      <c r="M115" s="6" t="n">
        <v>0</v>
      </c>
      <c r="N115" s="6" t="n">
        <v>0</v>
      </c>
      <c r="O115" s="6" t="n">
        <v>0</v>
      </c>
      <c r="P115" s="6" t="n">
        <v>0</v>
      </c>
      <c r="Q115" s="6" t="n">
        <v>0</v>
      </c>
      <c r="R115" s="6" t="n">
        <v>0</v>
      </c>
      <c r="S115" s="6" t="n">
        <v>0</v>
      </c>
      <c r="T115" s="6" t="n">
        <v>0</v>
      </c>
      <c r="U115" s="6" t="n">
        <v>0</v>
      </c>
      <c r="V115" s="6" t="n">
        <v>0</v>
      </c>
      <c r="W115" s="6" t="n">
        <v>0</v>
      </c>
      <c r="X115" s="6" t="n">
        <v>0</v>
      </c>
      <c r="Y115" s="6" t="n">
        <v>0</v>
      </c>
      <c r="Z115" s="6" t="n">
        <v>0</v>
      </c>
      <c r="AA115" s="6" t="n">
        <v>0</v>
      </c>
      <c r="AB115" s="6">
        <f>SUM(D115:AA115)</f>
        <v/>
      </c>
      <c r="AC115" s="3" t="inlineStr"/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>
        <f>SUM(AD115:BA115)</f>
        <v/>
      </c>
    </row>
    <row r="116">
      <c r="A116" t="inlineStr">
        <is>
          <t>DC-10-1</t>
        </is>
      </c>
      <c r="B116" t="inlineStr">
        <is>
          <t>DSC Manual</t>
        </is>
      </c>
      <c r="C116" s="5" t="n">
        <v>46094</v>
      </c>
      <c r="D116" s="6" t="n">
        <v>0</v>
      </c>
      <c r="E116" s="6" t="n">
        <v>0</v>
      </c>
      <c r="F116" s="6" t="n">
        <v>0</v>
      </c>
      <c r="G116" s="6" t="n">
        <v>0</v>
      </c>
      <c r="H116" s="6" t="n">
        <v>0</v>
      </c>
      <c r="I116" s="6" t="n">
        <v>0</v>
      </c>
      <c r="J116" s="6" t="n">
        <v>0</v>
      </c>
      <c r="K116" s="6" t="n">
        <v>0</v>
      </c>
      <c r="L116" s="6" t="n">
        <v>0</v>
      </c>
      <c r="M116" s="6" t="n">
        <v>0</v>
      </c>
      <c r="N116" s="6" t="n">
        <v>0</v>
      </c>
      <c r="O116" s="6" t="n">
        <v>0</v>
      </c>
      <c r="P116" s="6" t="n">
        <v>0</v>
      </c>
      <c r="Q116" s="6" t="n">
        <v>0</v>
      </c>
      <c r="R116" s="6" t="n">
        <v>0</v>
      </c>
      <c r="S116" s="6" t="n">
        <v>0</v>
      </c>
      <c r="T116" s="6" t="n">
        <v>0</v>
      </c>
      <c r="U116" s="6" t="n">
        <v>0</v>
      </c>
      <c r="V116" s="6" t="n">
        <v>0</v>
      </c>
      <c r="W116" s="6" t="n">
        <v>0</v>
      </c>
      <c r="X116" s="6" t="n">
        <v>0</v>
      </c>
      <c r="Y116" s="6" t="n">
        <v>0</v>
      </c>
      <c r="Z116" s="6" t="n">
        <v>0</v>
      </c>
      <c r="AA116" s="6" t="n">
        <v>0</v>
      </c>
      <c r="AB116" s="6">
        <f>SUM(D116:AA116)</f>
        <v/>
      </c>
      <c r="AC116" s="3" t="inlineStr"/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>
        <f>SUM(AD116:BA116)</f>
        <v/>
      </c>
    </row>
    <row r="117">
      <c r="A117" t="inlineStr">
        <is>
          <t>DC-10-1</t>
        </is>
      </c>
      <c r="B117" t="inlineStr">
        <is>
          <t>DSC Manual</t>
        </is>
      </c>
      <c r="C117" s="5" t="n">
        <v>46095</v>
      </c>
      <c r="D117" s="6" t="n">
        <v>0</v>
      </c>
      <c r="E117" s="6" t="n">
        <v>0</v>
      </c>
      <c r="F117" s="6" t="n">
        <v>0</v>
      </c>
      <c r="G117" s="6" t="n">
        <v>0</v>
      </c>
      <c r="H117" s="6" t="n">
        <v>0</v>
      </c>
      <c r="I117" s="6" t="n">
        <v>0</v>
      </c>
      <c r="J117" s="6" t="n">
        <v>0</v>
      </c>
      <c r="K117" s="6" t="n">
        <v>0</v>
      </c>
      <c r="L117" s="6" t="n">
        <v>0</v>
      </c>
      <c r="M117" s="6" t="n">
        <v>0</v>
      </c>
      <c r="N117" s="6" t="n">
        <v>0</v>
      </c>
      <c r="O117" s="6" t="n">
        <v>0</v>
      </c>
      <c r="P117" s="6" t="n">
        <v>0</v>
      </c>
      <c r="Q117" s="6" t="n">
        <v>0</v>
      </c>
      <c r="R117" s="6" t="n">
        <v>0</v>
      </c>
      <c r="S117" s="6" t="n">
        <v>0</v>
      </c>
      <c r="T117" s="6" t="n">
        <v>0</v>
      </c>
      <c r="U117" s="6" t="n">
        <v>0</v>
      </c>
      <c r="V117" s="6" t="n">
        <v>0</v>
      </c>
      <c r="W117" s="6" t="n">
        <v>0</v>
      </c>
      <c r="X117" s="6" t="n">
        <v>0</v>
      </c>
      <c r="Y117" s="6" t="n">
        <v>0</v>
      </c>
      <c r="Z117" s="6" t="n">
        <v>0</v>
      </c>
      <c r="AA117" s="6" t="n">
        <v>0</v>
      </c>
      <c r="AB117" s="6">
        <f>SUM(D117:AA117)</f>
        <v/>
      </c>
      <c r="AC117" s="3" t="inlineStr"/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7" t="n">
        <v>0</v>
      </c>
      <c r="BA117" s="7" t="n">
        <v>0</v>
      </c>
      <c r="BB117" s="7">
        <f>SUM(AD117:BA117)</f>
        <v/>
      </c>
    </row>
    <row r="118">
      <c r="A118" t="inlineStr">
        <is>
          <t>DC-10-1</t>
        </is>
      </c>
      <c r="B118" t="inlineStr">
        <is>
          <t>DSC Manual</t>
        </is>
      </c>
      <c r="C118" s="5" t="n">
        <v>46096</v>
      </c>
      <c r="D118" s="6" t="n">
        <v>0</v>
      </c>
      <c r="E118" s="6" t="n">
        <v>0</v>
      </c>
      <c r="F118" s="6" t="n">
        <v>0</v>
      </c>
      <c r="G118" s="6" t="n">
        <v>0</v>
      </c>
      <c r="H118" s="6" t="n">
        <v>0</v>
      </c>
      <c r="I118" s="6" t="n">
        <v>0</v>
      </c>
      <c r="J118" s="6" t="n">
        <v>0</v>
      </c>
      <c r="K118" s="6" t="n">
        <v>0</v>
      </c>
      <c r="L118" s="6" t="n">
        <v>0</v>
      </c>
      <c r="M118" s="6" t="n">
        <v>0</v>
      </c>
      <c r="N118" s="6" t="n">
        <v>0</v>
      </c>
      <c r="O118" s="6" t="n">
        <v>0</v>
      </c>
      <c r="P118" s="6" t="n">
        <v>0</v>
      </c>
      <c r="Q118" s="6" t="n">
        <v>0</v>
      </c>
      <c r="R118" s="6" t="n">
        <v>0</v>
      </c>
      <c r="S118" s="6" t="n">
        <v>0</v>
      </c>
      <c r="T118" s="6" t="n">
        <v>0</v>
      </c>
      <c r="U118" s="6" t="n">
        <v>0</v>
      </c>
      <c r="V118" s="6" t="n">
        <v>0</v>
      </c>
      <c r="W118" s="6" t="n">
        <v>0</v>
      </c>
      <c r="X118" s="6" t="n">
        <v>0</v>
      </c>
      <c r="Y118" s="6" t="n">
        <v>0</v>
      </c>
      <c r="Z118" s="6" t="n">
        <v>0</v>
      </c>
      <c r="AA118" s="6" t="n">
        <v>0</v>
      </c>
      <c r="AB118" s="6">
        <f>SUM(D118:AA118)</f>
        <v/>
      </c>
      <c r="AC118" s="3" t="inlineStr"/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>
        <f>SUM(AD118:BA118)</f>
        <v/>
      </c>
    </row>
    <row r="119">
      <c r="A119" t="inlineStr">
        <is>
          <t>DC-10-1</t>
        </is>
      </c>
      <c r="B119" t="inlineStr">
        <is>
          <t>DSC Manual</t>
        </is>
      </c>
      <c r="C119" s="5" t="n">
        <v>46097</v>
      </c>
      <c r="D119" s="6" t="n">
        <v>0</v>
      </c>
      <c r="E119" s="6" t="n">
        <v>0</v>
      </c>
      <c r="F119" s="6" t="n">
        <v>0</v>
      </c>
      <c r="G119" s="6" t="n">
        <v>0</v>
      </c>
      <c r="H119" s="6" t="n">
        <v>0</v>
      </c>
      <c r="I119" s="6" t="n">
        <v>0</v>
      </c>
      <c r="J119" s="6" t="n">
        <v>0</v>
      </c>
      <c r="K119" s="6" t="n">
        <v>0</v>
      </c>
      <c r="L119" s="6" t="n">
        <v>0</v>
      </c>
      <c r="M119" s="6" t="n">
        <v>0</v>
      </c>
      <c r="N119" s="6" t="n">
        <v>0</v>
      </c>
      <c r="O119" s="6" t="n">
        <v>0</v>
      </c>
      <c r="P119" s="6" t="n">
        <v>0</v>
      </c>
      <c r="Q119" s="6" t="n">
        <v>0</v>
      </c>
      <c r="R119" s="6" t="n">
        <v>0</v>
      </c>
      <c r="S119" s="6" t="n">
        <v>0</v>
      </c>
      <c r="T119" s="6" t="n">
        <v>0</v>
      </c>
      <c r="U119" s="6" t="n">
        <v>0</v>
      </c>
      <c r="V119" s="6" t="n">
        <v>0</v>
      </c>
      <c r="W119" s="6" t="n">
        <v>0</v>
      </c>
      <c r="X119" s="6" t="n">
        <v>0</v>
      </c>
      <c r="Y119" s="6" t="n">
        <v>0</v>
      </c>
      <c r="Z119" s="6" t="n">
        <v>0</v>
      </c>
      <c r="AA119" s="6" t="n">
        <v>0</v>
      </c>
      <c r="AB119" s="6">
        <f>SUM(D119:AA119)</f>
        <v/>
      </c>
      <c r="AC119" s="3" t="inlineStr"/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n">
        <v>0</v>
      </c>
      <c r="AW119" s="7" t="n">
        <v>0</v>
      </c>
      <c r="AX119" s="7" t="n">
        <v>0</v>
      </c>
      <c r="AY119" s="7" t="n">
        <v>0</v>
      </c>
      <c r="AZ119" s="7" t="n">
        <v>0</v>
      </c>
      <c r="BA119" s="7" t="n">
        <v>0</v>
      </c>
      <c r="BB119" s="7">
        <f>SUM(AD119:BA119)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B1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Layout</t>
        </is>
      </c>
      <c r="B1" s="1" t="inlineStr">
        <is>
          <t>Layout Type</t>
        </is>
      </c>
      <c r="C1" s="1" t="inlineStr">
        <is>
          <t>Date</t>
        </is>
      </c>
      <c r="D1" s="2" t="inlineStr">
        <is>
          <t>Act Vol 12 AM</t>
        </is>
      </c>
      <c r="E1" s="2" t="inlineStr">
        <is>
          <t>Act Vol 1 AM</t>
        </is>
      </c>
      <c r="F1" s="2" t="inlineStr">
        <is>
          <t>Act Vol 2 AM</t>
        </is>
      </c>
      <c r="G1" s="2" t="inlineStr">
        <is>
          <t>Act Vol 3 AM</t>
        </is>
      </c>
      <c r="H1" s="2" t="inlineStr">
        <is>
          <t>Act Vol 4 AM</t>
        </is>
      </c>
      <c r="I1" s="2" t="inlineStr">
        <is>
          <t>Act Vol 5 AM</t>
        </is>
      </c>
      <c r="J1" s="2" t="inlineStr">
        <is>
          <t>Act Vol 6 AM</t>
        </is>
      </c>
      <c r="K1" s="2" t="inlineStr">
        <is>
          <t>Act Vol 7 AM</t>
        </is>
      </c>
      <c r="L1" s="2" t="inlineStr">
        <is>
          <t>Act Vol 8 AM</t>
        </is>
      </c>
      <c r="M1" s="2" t="inlineStr">
        <is>
          <t>Act Vol 9 AM</t>
        </is>
      </c>
      <c r="N1" s="2" t="inlineStr">
        <is>
          <t>Act Vol 10 AM</t>
        </is>
      </c>
      <c r="O1" s="2" t="inlineStr">
        <is>
          <t>Act Vol 11 AM</t>
        </is>
      </c>
      <c r="P1" s="2" t="inlineStr">
        <is>
          <t>Act Vol 12 PM</t>
        </is>
      </c>
      <c r="Q1" s="2" t="inlineStr">
        <is>
          <t>Act Vol 1 PM</t>
        </is>
      </c>
      <c r="R1" s="2" t="inlineStr">
        <is>
          <t>Act Vol 2 PM</t>
        </is>
      </c>
      <c r="S1" s="2" t="inlineStr">
        <is>
          <t>Act Vol 3 PM</t>
        </is>
      </c>
      <c r="T1" s="2" t="inlineStr">
        <is>
          <t>Act Vol 4 PM</t>
        </is>
      </c>
      <c r="U1" s="2" t="inlineStr">
        <is>
          <t>Act Vol 5 PM</t>
        </is>
      </c>
      <c r="V1" s="2" t="inlineStr">
        <is>
          <t>Act Vol 6 PM</t>
        </is>
      </c>
      <c r="W1" s="2" t="inlineStr">
        <is>
          <t>Act Vol 7 PM</t>
        </is>
      </c>
      <c r="X1" s="2" t="inlineStr">
        <is>
          <t>Act Vol 8 PM</t>
        </is>
      </c>
      <c r="Y1" s="2" t="inlineStr">
        <is>
          <t>Act Vol 9 PM</t>
        </is>
      </c>
      <c r="Z1" s="2" t="inlineStr">
        <is>
          <t>Act Vol 10 PM</t>
        </is>
      </c>
      <c r="AA1" s="2" t="inlineStr">
        <is>
          <t>Act Vol 11 PM</t>
        </is>
      </c>
      <c r="AB1" s="2" t="inlineStr">
        <is>
          <t>Act Vol Total</t>
        </is>
      </c>
      <c r="AC1" s="3" t="inlineStr"/>
      <c r="AD1" s="4" t="inlineStr">
        <is>
          <t>MH 12 AM</t>
        </is>
      </c>
      <c r="AE1" s="4" t="inlineStr">
        <is>
          <t>MH 1 AM</t>
        </is>
      </c>
      <c r="AF1" s="4" t="inlineStr">
        <is>
          <t>MH 2 AM</t>
        </is>
      </c>
      <c r="AG1" s="4" t="inlineStr">
        <is>
          <t>MH 3 AM</t>
        </is>
      </c>
      <c r="AH1" s="4" t="inlineStr">
        <is>
          <t>MH 4 AM</t>
        </is>
      </c>
      <c r="AI1" s="4" t="inlineStr">
        <is>
          <t>MH 5 AM</t>
        </is>
      </c>
      <c r="AJ1" s="4" t="inlineStr">
        <is>
          <t>MH 6 AM</t>
        </is>
      </c>
      <c r="AK1" s="4" t="inlineStr">
        <is>
          <t>MH 7 AM</t>
        </is>
      </c>
      <c r="AL1" s="4" t="inlineStr">
        <is>
          <t>MH 8 AM</t>
        </is>
      </c>
      <c r="AM1" s="4" t="inlineStr">
        <is>
          <t>MH 9 AM</t>
        </is>
      </c>
      <c r="AN1" s="4" t="inlineStr">
        <is>
          <t>MH 10 AM</t>
        </is>
      </c>
      <c r="AO1" s="4" t="inlineStr">
        <is>
          <t>MH 11 AM</t>
        </is>
      </c>
      <c r="AP1" s="4" t="inlineStr">
        <is>
          <t>MH 12 PM</t>
        </is>
      </c>
      <c r="AQ1" s="4" t="inlineStr">
        <is>
          <t>MH 1 PM</t>
        </is>
      </c>
      <c r="AR1" s="4" t="inlineStr">
        <is>
          <t>MH 2 PM</t>
        </is>
      </c>
      <c r="AS1" s="4" t="inlineStr">
        <is>
          <t>MH 3 PM</t>
        </is>
      </c>
      <c r="AT1" s="4" t="inlineStr">
        <is>
          <t>MH 4 PM</t>
        </is>
      </c>
      <c r="AU1" s="4" t="inlineStr">
        <is>
          <t>MH 5 PM</t>
        </is>
      </c>
      <c r="AV1" s="4" t="inlineStr">
        <is>
          <t>MH 6 PM</t>
        </is>
      </c>
      <c r="AW1" s="4" t="inlineStr">
        <is>
          <t>MH 7 PM</t>
        </is>
      </c>
      <c r="AX1" s="4" t="inlineStr">
        <is>
          <t>MH 8 PM</t>
        </is>
      </c>
      <c r="AY1" s="4" t="inlineStr">
        <is>
          <t>MH 9 PM</t>
        </is>
      </c>
      <c r="AZ1" s="4" t="inlineStr">
        <is>
          <t>MH 10 PM</t>
        </is>
      </c>
      <c r="BA1" s="4" t="inlineStr">
        <is>
          <t>MH 11 PM</t>
        </is>
      </c>
      <c r="BB1" s="4" t="inlineStr">
        <is>
          <t>MH Total</t>
        </is>
      </c>
    </row>
    <row r="2">
      <c r="A2" t="inlineStr">
        <is>
          <t>AMD-AIR-NEW-SSC</t>
        </is>
      </c>
      <c r="B2" t="inlineStr">
        <is>
          <t>Forward Regular OSC</t>
        </is>
      </c>
      <c r="C2" s="5" t="n">
        <v>46093</v>
      </c>
      <c r="D2" s="6">
        <f>Summary!D2</f>
        <v/>
      </c>
      <c r="E2" s="6">
        <f>Summary!E2</f>
        <v/>
      </c>
      <c r="F2" s="6">
        <f>Summary!F2</f>
        <v/>
      </c>
      <c r="G2" s="6">
        <f>Summary!G2</f>
        <v/>
      </c>
      <c r="H2" s="6">
        <f>Summary!H2</f>
        <v/>
      </c>
      <c r="I2" s="6">
        <f>Summary!I2</f>
        <v/>
      </c>
      <c r="J2" s="6">
        <f>Summary!J2</f>
        <v/>
      </c>
      <c r="K2" s="6">
        <f>Summary!K2</f>
        <v/>
      </c>
      <c r="L2" s="6">
        <f>Summary!L2</f>
        <v/>
      </c>
      <c r="M2" s="6">
        <f>Summary!M2</f>
        <v/>
      </c>
      <c r="N2" s="6">
        <f>Summary!N2</f>
        <v/>
      </c>
      <c r="O2" s="6">
        <f>Summary!O2</f>
        <v/>
      </c>
      <c r="P2" s="6">
        <f>Summary!P2</f>
        <v/>
      </c>
      <c r="Q2" s="6">
        <f>Summary!Q2</f>
        <v/>
      </c>
      <c r="R2" s="6">
        <f>Summary!R2</f>
        <v/>
      </c>
      <c r="S2" s="6">
        <f>Summary!S2</f>
        <v/>
      </c>
      <c r="T2" s="6">
        <f>Summary!T2</f>
        <v/>
      </c>
      <c r="U2" s="6">
        <f>Summary!U2</f>
        <v/>
      </c>
      <c r="V2" s="6">
        <f>Summary!V2</f>
        <v/>
      </c>
      <c r="W2" s="6">
        <f>Summary!W2</f>
        <v/>
      </c>
      <c r="X2" s="6">
        <f>Summary!X2</f>
        <v/>
      </c>
      <c r="Y2" s="6">
        <f>Summary!Y2</f>
        <v/>
      </c>
      <c r="Z2" s="6">
        <f>Summary!Z2</f>
        <v/>
      </c>
      <c r="AA2" s="6">
        <f>Summary!AA2</f>
        <v/>
      </c>
      <c r="AB2" s="6">
        <f>SUM(D2:AA2)</f>
        <v/>
      </c>
      <c r="AC2" s="3" t="inlineStr"/>
      <c r="AD2" s="7">
        <f>D2*0.0029</f>
        <v/>
      </c>
      <c r="AE2" s="7">
        <f>E2*0.0029</f>
        <v/>
      </c>
      <c r="AF2" s="7">
        <f>F2*0.0029</f>
        <v/>
      </c>
      <c r="AG2" s="7">
        <f>G2*0.0029</f>
        <v/>
      </c>
      <c r="AH2" s="7">
        <f>H2*0.0029</f>
        <v/>
      </c>
      <c r="AI2" s="7">
        <f>I2*0.0029</f>
        <v/>
      </c>
      <c r="AJ2" s="7">
        <f>J2*0.0029</f>
        <v/>
      </c>
      <c r="AK2" s="7">
        <f>K2*0.0029</f>
        <v/>
      </c>
      <c r="AL2" s="7">
        <f>L2*0.0029</f>
        <v/>
      </c>
      <c r="AM2" s="7">
        <f>M2*0.0029</f>
        <v/>
      </c>
      <c r="AN2" s="7">
        <f>N2*0.0029</f>
        <v/>
      </c>
      <c r="AO2" s="7">
        <f>O2*0.0029</f>
        <v/>
      </c>
      <c r="AP2" s="7">
        <f>P2*0.0029</f>
        <v/>
      </c>
      <c r="AQ2" s="7">
        <f>Q2*0.0029</f>
        <v/>
      </c>
      <c r="AR2" s="7">
        <f>R2*0.0029</f>
        <v/>
      </c>
      <c r="AS2" s="7">
        <f>S2*0.0029</f>
        <v/>
      </c>
      <c r="AT2" s="7">
        <f>T2*0.0029</f>
        <v/>
      </c>
      <c r="AU2" s="7">
        <f>U2*0.0029</f>
        <v/>
      </c>
      <c r="AV2" s="7">
        <f>V2*0.0029</f>
        <v/>
      </c>
      <c r="AW2" s="7">
        <f>W2*0.0029</f>
        <v/>
      </c>
      <c r="AX2" s="7">
        <f>X2*0.0029</f>
        <v/>
      </c>
      <c r="AY2" s="7">
        <f>Y2*0.0029</f>
        <v/>
      </c>
      <c r="AZ2" s="7">
        <f>Z2*0.0029</f>
        <v/>
      </c>
      <c r="BA2" s="7">
        <f>AA2*0.0029</f>
        <v/>
      </c>
      <c r="BB2" s="7">
        <f>SUM(AD2:BA2)</f>
        <v/>
      </c>
    </row>
    <row r="3">
      <c r="A3" t="inlineStr">
        <is>
          <t>AMD-AIR-NEW-SSC</t>
        </is>
      </c>
      <c r="B3" t="inlineStr">
        <is>
          <t>Forward Regular OSC</t>
        </is>
      </c>
      <c r="C3" s="5" t="n">
        <v>46094</v>
      </c>
      <c r="D3" s="6">
        <f>Summary!D3</f>
        <v/>
      </c>
      <c r="E3" s="6">
        <f>Summary!E3</f>
        <v/>
      </c>
      <c r="F3" s="6">
        <f>Summary!F3</f>
        <v/>
      </c>
      <c r="G3" s="6">
        <f>Summary!G3</f>
        <v/>
      </c>
      <c r="H3" s="6">
        <f>Summary!H3</f>
        <v/>
      </c>
      <c r="I3" s="6">
        <f>Summary!I3</f>
        <v/>
      </c>
      <c r="J3" s="6">
        <f>Summary!J3</f>
        <v/>
      </c>
      <c r="K3" s="6">
        <f>Summary!K3</f>
        <v/>
      </c>
      <c r="L3" s="6">
        <f>Summary!L3</f>
        <v/>
      </c>
      <c r="M3" s="6">
        <f>Summary!M3</f>
        <v/>
      </c>
      <c r="N3" s="6">
        <f>Summary!N3</f>
        <v/>
      </c>
      <c r="O3" s="6">
        <f>Summary!O3</f>
        <v/>
      </c>
      <c r="P3" s="6">
        <f>Summary!P3</f>
        <v/>
      </c>
      <c r="Q3" s="6">
        <f>Summary!Q3</f>
        <v/>
      </c>
      <c r="R3" s="6">
        <f>Summary!R3</f>
        <v/>
      </c>
      <c r="S3" s="6">
        <f>Summary!S3</f>
        <v/>
      </c>
      <c r="T3" s="6">
        <f>Summary!T3</f>
        <v/>
      </c>
      <c r="U3" s="6">
        <f>Summary!U3</f>
        <v/>
      </c>
      <c r="V3" s="6">
        <f>Summary!V3</f>
        <v/>
      </c>
      <c r="W3" s="6">
        <f>Summary!W3</f>
        <v/>
      </c>
      <c r="X3" s="6">
        <f>Summary!X3</f>
        <v/>
      </c>
      <c r="Y3" s="6">
        <f>Summary!Y3</f>
        <v/>
      </c>
      <c r="Z3" s="6">
        <f>Summary!Z3</f>
        <v/>
      </c>
      <c r="AA3" s="6">
        <f>Summary!AA3</f>
        <v/>
      </c>
      <c r="AB3" s="6">
        <f>SUM(D3:AA3)</f>
        <v/>
      </c>
      <c r="AC3" s="3" t="inlineStr"/>
      <c r="AD3" s="7">
        <f>D3*0.0029</f>
        <v/>
      </c>
      <c r="AE3" s="7">
        <f>E3*0.0029</f>
        <v/>
      </c>
      <c r="AF3" s="7">
        <f>F3*0.0029</f>
        <v/>
      </c>
      <c r="AG3" s="7">
        <f>G3*0.0029</f>
        <v/>
      </c>
      <c r="AH3" s="7">
        <f>H3*0.0029</f>
        <v/>
      </c>
      <c r="AI3" s="7">
        <f>I3*0.0029</f>
        <v/>
      </c>
      <c r="AJ3" s="7">
        <f>J3*0.0029</f>
        <v/>
      </c>
      <c r="AK3" s="7">
        <f>K3*0.0029</f>
        <v/>
      </c>
      <c r="AL3" s="7">
        <f>L3*0.0029</f>
        <v/>
      </c>
      <c r="AM3" s="7">
        <f>M3*0.0029</f>
        <v/>
      </c>
      <c r="AN3" s="7">
        <f>N3*0.0029</f>
        <v/>
      </c>
      <c r="AO3" s="7">
        <f>O3*0.0029</f>
        <v/>
      </c>
      <c r="AP3" s="7">
        <f>P3*0.0029</f>
        <v/>
      </c>
      <c r="AQ3" s="7">
        <f>Q3*0.0029</f>
        <v/>
      </c>
      <c r="AR3" s="7">
        <f>R3*0.0029</f>
        <v/>
      </c>
      <c r="AS3" s="7">
        <f>S3*0.0029</f>
        <v/>
      </c>
      <c r="AT3" s="7">
        <f>T3*0.0029</f>
        <v/>
      </c>
      <c r="AU3" s="7">
        <f>U3*0.0029</f>
        <v/>
      </c>
      <c r="AV3" s="7">
        <f>V3*0.0029</f>
        <v/>
      </c>
      <c r="AW3" s="7">
        <f>W3*0.0029</f>
        <v/>
      </c>
      <c r="AX3" s="7">
        <f>X3*0.0029</f>
        <v/>
      </c>
      <c r="AY3" s="7">
        <f>Y3*0.0029</f>
        <v/>
      </c>
      <c r="AZ3" s="7">
        <f>Z3*0.0029</f>
        <v/>
      </c>
      <c r="BA3" s="7">
        <f>AA3*0.0029</f>
        <v/>
      </c>
      <c r="BB3" s="7">
        <f>SUM(AD3:BA3)</f>
        <v/>
      </c>
    </row>
    <row r="4">
      <c r="A4" t="inlineStr">
        <is>
          <t>AMD-AIR-NEW-SSC</t>
        </is>
      </c>
      <c r="B4" t="inlineStr">
        <is>
          <t>Forward Regular OSC</t>
        </is>
      </c>
      <c r="C4" s="5" t="n">
        <v>46096</v>
      </c>
      <c r="D4" s="6">
        <f>Summary!D4</f>
        <v/>
      </c>
      <c r="E4" s="6">
        <f>Summary!E4</f>
        <v/>
      </c>
      <c r="F4" s="6">
        <f>Summary!F4</f>
        <v/>
      </c>
      <c r="G4" s="6">
        <f>Summary!G4</f>
        <v/>
      </c>
      <c r="H4" s="6">
        <f>Summary!H4</f>
        <v/>
      </c>
      <c r="I4" s="6">
        <f>Summary!I4</f>
        <v/>
      </c>
      <c r="J4" s="6">
        <f>Summary!J4</f>
        <v/>
      </c>
      <c r="K4" s="6">
        <f>Summary!K4</f>
        <v/>
      </c>
      <c r="L4" s="6">
        <f>Summary!L4</f>
        <v/>
      </c>
      <c r="M4" s="6">
        <f>Summary!M4</f>
        <v/>
      </c>
      <c r="N4" s="6">
        <f>Summary!N4</f>
        <v/>
      </c>
      <c r="O4" s="6">
        <f>Summary!O4</f>
        <v/>
      </c>
      <c r="P4" s="6">
        <f>Summary!P4</f>
        <v/>
      </c>
      <c r="Q4" s="6">
        <f>Summary!Q4</f>
        <v/>
      </c>
      <c r="R4" s="6">
        <f>Summary!R4</f>
        <v/>
      </c>
      <c r="S4" s="6">
        <f>Summary!S4</f>
        <v/>
      </c>
      <c r="T4" s="6">
        <f>Summary!T4</f>
        <v/>
      </c>
      <c r="U4" s="6">
        <f>Summary!U4</f>
        <v/>
      </c>
      <c r="V4" s="6">
        <f>Summary!V4</f>
        <v/>
      </c>
      <c r="W4" s="6">
        <f>Summary!W4</f>
        <v/>
      </c>
      <c r="X4" s="6">
        <f>Summary!X4</f>
        <v/>
      </c>
      <c r="Y4" s="6">
        <f>Summary!Y4</f>
        <v/>
      </c>
      <c r="Z4" s="6">
        <f>Summary!Z4</f>
        <v/>
      </c>
      <c r="AA4" s="6">
        <f>Summary!AA4</f>
        <v/>
      </c>
      <c r="AB4" s="6">
        <f>SUM(D4:AA4)</f>
        <v/>
      </c>
      <c r="AC4" s="3" t="inlineStr"/>
      <c r="AD4" s="7">
        <f>D4*0.0029</f>
        <v/>
      </c>
      <c r="AE4" s="7">
        <f>E4*0.0029</f>
        <v/>
      </c>
      <c r="AF4" s="7">
        <f>F4*0.0029</f>
        <v/>
      </c>
      <c r="AG4" s="7">
        <f>G4*0.0029</f>
        <v/>
      </c>
      <c r="AH4" s="7">
        <f>H4*0.0029</f>
        <v/>
      </c>
      <c r="AI4" s="7">
        <f>I4*0.0029</f>
        <v/>
      </c>
      <c r="AJ4" s="7">
        <f>J4*0.0029</f>
        <v/>
      </c>
      <c r="AK4" s="7">
        <f>K4*0.0029</f>
        <v/>
      </c>
      <c r="AL4" s="7">
        <f>L4*0.0029</f>
        <v/>
      </c>
      <c r="AM4" s="7">
        <f>M4*0.0029</f>
        <v/>
      </c>
      <c r="AN4" s="7">
        <f>N4*0.0029</f>
        <v/>
      </c>
      <c r="AO4" s="7">
        <f>O4*0.0029</f>
        <v/>
      </c>
      <c r="AP4" s="7">
        <f>P4*0.0029</f>
        <v/>
      </c>
      <c r="AQ4" s="7">
        <f>Q4*0.0029</f>
        <v/>
      </c>
      <c r="AR4" s="7">
        <f>R4*0.0029</f>
        <v/>
      </c>
      <c r="AS4" s="7">
        <f>S4*0.0029</f>
        <v/>
      </c>
      <c r="AT4" s="7">
        <f>T4*0.0029</f>
        <v/>
      </c>
      <c r="AU4" s="7">
        <f>U4*0.0029</f>
        <v/>
      </c>
      <c r="AV4" s="7">
        <f>V4*0.0029</f>
        <v/>
      </c>
      <c r="AW4" s="7">
        <f>W4*0.0029</f>
        <v/>
      </c>
      <c r="AX4" s="7">
        <f>X4*0.0029</f>
        <v/>
      </c>
      <c r="AY4" s="7">
        <f>Y4*0.0029</f>
        <v/>
      </c>
      <c r="AZ4" s="7">
        <f>Z4*0.0029</f>
        <v/>
      </c>
      <c r="BA4" s="7">
        <f>AA4*0.0029</f>
        <v/>
      </c>
      <c r="BB4" s="7">
        <f>SUM(AD4:BA4)</f>
        <v/>
      </c>
    </row>
    <row r="5">
      <c r="A5" t="inlineStr">
        <is>
          <t>AMD-AIR-NEW-SSC</t>
        </is>
      </c>
      <c r="B5" t="inlineStr">
        <is>
          <t>Forward Regular OSC</t>
        </is>
      </c>
      <c r="C5" s="5" t="n">
        <v>46097</v>
      </c>
      <c r="D5" s="6">
        <f>Summary!D5</f>
        <v/>
      </c>
      <c r="E5" s="6">
        <f>Summary!E5</f>
        <v/>
      </c>
      <c r="F5" s="6">
        <f>Summary!F5</f>
        <v/>
      </c>
      <c r="G5" s="6">
        <f>Summary!G5</f>
        <v/>
      </c>
      <c r="H5" s="6">
        <f>Summary!H5</f>
        <v/>
      </c>
      <c r="I5" s="6">
        <f>Summary!I5</f>
        <v/>
      </c>
      <c r="J5" s="6">
        <f>Summary!J5</f>
        <v/>
      </c>
      <c r="K5" s="6">
        <f>Summary!K5</f>
        <v/>
      </c>
      <c r="L5" s="6">
        <f>Summary!L5</f>
        <v/>
      </c>
      <c r="M5" s="6">
        <f>Summary!M5</f>
        <v/>
      </c>
      <c r="N5" s="6">
        <f>Summary!N5</f>
        <v/>
      </c>
      <c r="O5" s="6">
        <f>Summary!O5</f>
        <v/>
      </c>
      <c r="P5" s="6">
        <f>Summary!P5</f>
        <v/>
      </c>
      <c r="Q5" s="6">
        <f>Summary!Q5</f>
        <v/>
      </c>
      <c r="R5" s="6">
        <f>Summary!R5</f>
        <v/>
      </c>
      <c r="S5" s="6">
        <f>Summary!S5</f>
        <v/>
      </c>
      <c r="T5" s="6">
        <f>Summary!T5</f>
        <v/>
      </c>
      <c r="U5" s="6">
        <f>Summary!U5</f>
        <v/>
      </c>
      <c r="V5" s="6">
        <f>Summary!V5</f>
        <v/>
      </c>
      <c r="W5" s="6">
        <f>Summary!W5</f>
        <v/>
      </c>
      <c r="X5" s="6">
        <f>Summary!X5</f>
        <v/>
      </c>
      <c r="Y5" s="6">
        <f>Summary!Y5</f>
        <v/>
      </c>
      <c r="Z5" s="6">
        <f>Summary!Z5</f>
        <v/>
      </c>
      <c r="AA5" s="6">
        <f>Summary!AA5</f>
        <v/>
      </c>
      <c r="AB5" s="6">
        <f>SUM(D5:AA5)</f>
        <v/>
      </c>
      <c r="AC5" s="3" t="inlineStr"/>
      <c r="AD5" s="7">
        <f>D5*0.0029</f>
        <v/>
      </c>
      <c r="AE5" s="7">
        <f>E5*0.0029</f>
        <v/>
      </c>
      <c r="AF5" s="7">
        <f>F5*0.0029</f>
        <v/>
      </c>
      <c r="AG5" s="7">
        <f>G5*0.0029</f>
        <v/>
      </c>
      <c r="AH5" s="7">
        <f>H5*0.0029</f>
        <v/>
      </c>
      <c r="AI5" s="7">
        <f>I5*0.0029</f>
        <v/>
      </c>
      <c r="AJ5" s="7">
        <f>J5*0.0029</f>
        <v/>
      </c>
      <c r="AK5" s="7">
        <f>K5*0.0029</f>
        <v/>
      </c>
      <c r="AL5" s="7">
        <f>L5*0.0029</f>
        <v/>
      </c>
      <c r="AM5" s="7">
        <f>M5*0.0029</f>
        <v/>
      </c>
      <c r="AN5" s="7">
        <f>N5*0.0029</f>
        <v/>
      </c>
      <c r="AO5" s="7">
        <f>O5*0.0029</f>
        <v/>
      </c>
      <c r="AP5" s="7">
        <f>P5*0.0029</f>
        <v/>
      </c>
      <c r="AQ5" s="7">
        <f>Q5*0.0029</f>
        <v/>
      </c>
      <c r="AR5" s="7">
        <f>R5*0.0029</f>
        <v/>
      </c>
      <c r="AS5" s="7">
        <f>S5*0.0029</f>
        <v/>
      </c>
      <c r="AT5" s="7">
        <f>T5*0.0029</f>
        <v/>
      </c>
      <c r="AU5" s="7">
        <f>U5*0.0029</f>
        <v/>
      </c>
      <c r="AV5" s="7">
        <f>V5*0.0029</f>
        <v/>
      </c>
      <c r="AW5" s="7">
        <f>W5*0.0029</f>
        <v/>
      </c>
      <c r="AX5" s="7">
        <f>X5*0.0029</f>
        <v/>
      </c>
      <c r="AY5" s="7">
        <f>Y5*0.0029</f>
        <v/>
      </c>
      <c r="AZ5" s="7">
        <f>Z5*0.0029</f>
        <v/>
      </c>
      <c r="BA5" s="7">
        <f>AA5*0.0029</f>
        <v/>
      </c>
      <c r="BB5" s="7">
        <f>SUM(AD5:BA5)</f>
        <v/>
      </c>
    </row>
    <row r="6">
      <c r="A6" t="inlineStr">
        <is>
          <t>AMD-AIR-NEW-SSC</t>
        </is>
      </c>
      <c r="B6" t="inlineStr">
        <is>
          <t>Forward Regular OSC</t>
        </is>
      </c>
      <c r="C6" s="5" t="n">
        <v>46100</v>
      </c>
      <c r="D6" s="6">
        <f>Summary!D6</f>
        <v/>
      </c>
      <c r="E6" s="6">
        <f>Summary!E6</f>
        <v/>
      </c>
      <c r="F6" s="6">
        <f>Summary!F6</f>
        <v/>
      </c>
      <c r="G6" s="6">
        <f>Summary!G6</f>
        <v/>
      </c>
      <c r="H6" s="6">
        <f>Summary!H6</f>
        <v/>
      </c>
      <c r="I6" s="6">
        <f>Summary!I6</f>
        <v/>
      </c>
      <c r="J6" s="6">
        <f>Summary!J6</f>
        <v/>
      </c>
      <c r="K6" s="6">
        <f>Summary!K6</f>
        <v/>
      </c>
      <c r="L6" s="6">
        <f>Summary!L6</f>
        <v/>
      </c>
      <c r="M6" s="6">
        <f>Summary!M6</f>
        <v/>
      </c>
      <c r="N6" s="6">
        <f>Summary!N6</f>
        <v/>
      </c>
      <c r="O6" s="6">
        <f>Summary!O6</f>
        <v/>
      </c>
      <c r="P6" s="6">
        <f>Summary!P6</f>
        <v/>
      </c>
      <c r="Q6" s="6">
        <f>Summary!Q6</f>
        <v/>
      </c>
      <c r="R6" s="6">
        <f>Summary!R6</f>
        <v/>
      </c>
      <c r="S6" s="6">
        <f>Summary!S6</f>
        <v/>
      </c>
      <c r="T6" s="6">
        <f>Summary!T6</f>
        <v/>
      </c>
      <c r="U6" s="6">
        <f>Summary!U6</f>
        <v/>
      </c>
      <c r="V6" s="6">
        <f>Summary!V6</f>
        <v/>
      </c>
      <c r="W6" s="6">
        <f>Summary!W6</f>
        <v/>
      </c>
      <c r="X6" s="6">
        <f>Summary!X6</f>
        <v/>
      </c>
      <c r="Y6" s="6">
        <f>Summary!Y6</f>
        <v/>
      </c>
      <c r="Z6" s="6">
        <f>Summary!Z6</f>
        <v/>
      </c>
      <c r="AA6" s="6">
        <f>Summary!AA6</f>
        <v/>
      </c>
      <c r="AB6" s="6">
        <f>SUM(D6:AA6)</f>
        <v/>
      </c>
      <c r="AC6" s="3" t="inlineStr"/>
      <c r="AD6" s="7">
        <f>D6*0.0029</f>
        <v/>
      </c>
      <c r="AE6" s="7">
        <f>E6*0.0029</f>
        <v/>
      </c>
      <c r="AF6" s="7">
        <f>F6*0.0029</f>
        <v/>
      </c>
      <c r="AG6" s="7">
        <f>G6*0.0029</f>
        <v/>
      </c>
      <c r="AH6" s="7">
        <f>H6*0.0029</f>
        <v/>
      </c>
      <c r="AI6" s="7">
        <f>I6*0.0029</f>
        <v/>
      </c>
      <c r="AJ6" s="7">
        <f>J6*0.0029</f>
        <v/>
      </c>
      <c r="AK6" s="7">
        <f>K6*0.0029</f>
        <v/>
      </c>
      <c r="AL6" s="7">
        <f>L6*0.0029</f>
        <v/>
      </c>
      <c r="AM6" s="7">
        <f>M6*0.0029</f>
        <v/>
      </c>
      <c r="AN6" s="7">
        <f>N6*0.0029</f>
        <v/>
      </c>
      <c r="AO6" s="7">
        <f>O6*0.0029</f>
        <v/>
      </c>
      <c r="AP6" s="7">
        <f>P6*0.0029</f>
        <v/>
      </c>
      <c r="AQ6" s="7">
        <f>Q6*0.0029</f>
        <v/>
      </c>
      <c r="AR6" s="7">
        <f>R6*0.0029</f>
        <v/>
      </c>
      <c r="AS6" s="7">
        <f>S6*0.0029</f>
        <v/>
      </c>
      <c r="AT6" s="7">
        <f>T6*0.0029</f>
        <v/>
      </c>
      <c r="AU6" s="7">
        <f>U6*0.0029</f>
        <v/>
      </c>
      <c r="AV6" s="7">
        <f>V6*0.0029</f>
        <v/>
      </c>
      <c r="AW6" s="7">
        <f>W6*0.0029</f>
        <v/>
      </c>
      <c r="AX6" s="7">
        <f>X6*0.0029</f>
        <v/>
      </c>
      <c r="AY6" s="7">
        <f>Y6*0.0029</f>
        <v/>
      </c>
      <c r="AZ6" s="7">
        <f>Z6*0.0029</f>
        <v/>
      </c>
      <c r="BA6" s="7">
        <f>AA6*0.0029</f>
        <v/>
      </c>
      <c r="BB6" s="7">
        <f>SUM(AD6:BA6)</f>
        <v/>
      </c>
    </row>
    <row r="7">
      <c r="A7" t="inlineStr">
        <is>
          <t>AMD-AIR-NEW-SSC</t>
        </is>
      </c>
      <c r="B7" t="inlineStr">
        <is>
          <t>Forward Regular OSC</t>
        </is>
      </c>
      <c r="C7" s="5" t="n">
        <v>46101</v>
      </c>
      <c r="D7" s="6">
        <f>Summary!D7</f>
        <v/>
      </c>
      <c r="E7" s="6">
        <f>Summary!E7</f>
        <v/>
      </c>
      <c r="F7" s="6">
        <f>Summary!F7</f>
        <v/>
      </c>
      <c r="G7" s="6">
        <f>Summary!G7</f>
        <v/>
      </c>
      <c r="H7" s="6">
        <f>Summary!H7</f>
        <v/>
      </c>
      <c r="I7" s="6">
        <f>Summary!I7</f>
        <v/>
      </c>
      <c r="J7" s="6">
        <f>Summary!J7</f>
        <v/>
      </c>
      <c r="K7" s="6">
        <f>Summary!K7</f>
        <v/>
      </c>
      <c r="L7" s="6">
        <f>Summary!L7</f>
        <v/>
      </c>
      <c r="M7" s="6">
        <f>Summary!M7</f>
        <v/>
      </c>
      <c r="N7" s="6">
        <f>Summary!N7</f>
        <v/>
      </c>
      <c r="O7" s="6">
        <f>Summary!O7</f>
        <v/>
      </c>
      <c r="P7" s="6">
        <f>Summary!P7</f>
        <v/>
      </c>
      <c r="Q7" s="6">
        <f>Summary!Q7</f>
        <v/>
      </c>
      <c r="R7" s="6">
        <f>Summary!R7</f>
        <v/>
      </c>
      <c r="S7" s="6">
        <f>Summary!S7</f>
        <v/>
      </c>
      <c r="T7" s="6">
        <f>Summary!T7</f>
        <v/>
      </c>
      <c r="U7" s="6">
        <f>Summary!U7</f>
        <v/>
      </c>
      <c r="V7" s="6">
        <f>Summary!V7</f>
        <v/>
      </c>
      <c r="W7" s="6">
        <f>Summary!W7</f>
        <v/>
      </c>
      <c r="X7" s="6">
        <f>Summary!X7</f>
        <v/>
      </c>
      <c r="Y7" s="6">
        <f>Summary!Y7</f>
        <v/>
      </c>
      <c r="Z7" s="6">
        <f>Summary!Z7</f>
        <v/>
      </c>
      <c r="AA7" s="6">
        <f>Summary!AA7</f>
        <v/>
      </c>
      <c r="AB7" s="6">
        <f>SUM(D7:AA7)</f>
        <v/>
      </c>
      <c r="AC7" s="3" t="inlineStr"/>
      <c r="AD7" s="7">
        <f>D7*0.0029</f>
        <v/>
      </c>
      <c r="AE7" s="7">
        <f>E7*0.0029</f>
        <v/>
      </c>
      <c r="AF7" s="7">
        <f>F7*0.0029</f>
        <v/>
      </c>
      <c r="AG7" s="7">
        <f>G7*0.0029</f>
        <v/>
      </c>
      <c r="AH7" s="7">
        <f>H7*0.0029</f>
        <v/>
      </c>
      <c r="AI7" s="7">
        <f>I7*0.0029</f>
        <v/>
      </c>
      <c r="AJ7" s="7">
        <f>J7*0.0029</f>
        <v/>
      </c>
      <c r="AK7" s="7">
        <f>K7*0.0029</f>
        <v/>
      </c>
      <c r="AL7" s="7">
        <f>L7*0.0029</f>
        <v/>
      </c>
      <c r="AM7" s="7">
        <f>M7*0.0029</f>
        <v/>
      </c>
      <c r="AN7" s="7">
        <f>N7*0.0029</f>
        <v/>
      </c>
      <c r="AO7" s="7">
        <f>O7*0.0029</f>
        <v/>
      </c>
      <c r="AP7" s="7">
        <f>P7*0.0029</f>
        <v/>
      </c>
      <c r="AQ7" s="7">
        <f>Q7*0.0029</f>
        <v/>
      </c>
      <c r="AR7" s="7">
        <f>R7*0.0029</f>
        <v/>
      </c>
      <c r="AS7" s="7">
        <f>S7*0.0029</f>
        <v/>
      </c>
      <c r="AT7" s="7">
        <f>T7*0.0029</f>
        <v/>
      </c>
      <c r="AU7" s="7">
        <f>U7*0.0029</f>
        <v/>
      </c>
      <c r="AV7" s="7">
        <f>V7*0.0029</f>
        <v/>
      </c>
      <c r="AW7" s="7">
        <f>W7*0.0029</f>
        <v/>
      </c>
      <c r="AX7" s="7">
        <f>X7*0.0029</f>
        <v/>
      </c>
      <c r="AY7" s="7">
        <f>Y7*0.0029</f>
        <v/>
      </c>
      <c r="AZ7" s="7">
        <f>Z7*0.0029</f>
        <v/>
      </c>
      <c r="BA7" s="7">
        <f>AA7*0.0029</f>
        <v/>
      </c>
      <c r="BB7" s="7">
        <f>SUM(AD7:BA7)</f>
        <v/>
      </c>
    </row>
    <row r="8">
      <c r="A8" t="inlineStr">
        <is>
          <t>AMD-AIR-NEW-SSC</t>
        </is>
      </c>
      <c r="B8" t="inlineStr">
        <is>
          <t>Forward Regular OSC</t>
        </is>
      </c>
      <c r="C8" s="5" t="n">
        <v>46102</v>
      </c>
      <c r="D8" s="6">
        <f>Summary!D8</f>
        <v/>
      </c>
      <c r="E8" s="6">
        <f>Summary!E8</f>
        <v/>
      </c>
      <c r="F8" s="6">
        <f>Summary!F8</f>
        <v/>
      </c>
      <c r="G8" s="6">
        <f>Summary!G8</f>
        <v/>
      </c>
      <c r="H8" s="6">
        <f>Summary!H8</f>
        <v/>
      </c>
      <c r="I8" s="6">
        <f>Summary!I8</f>
        <v/>
      </c>
      <c r="J8" s="6">
        <f>Summary!J8</f>
        <v/>
      </c>
      <c r="K8" s="6">
        <f>Summary!K8</f>
        <v/>
      </c>
      <c r="L8" s="6">
        <f>Summary!L8</f>
        <v/>
      </c>
      <c r="M8" s="6">
        <f>Summary!M8</f>
        <v/>
      </c>
      <c r="N8" s="6">
        <f>Summary!N8</f>
        <v/>
      </c>
      <c r="O8" s="6">
        <f>Summary!O8</f>
        <v/>
      </c>
      <c r="P8" s="6">
        <f>Summary!P8</f>
        <v/>
      </c>
      <c r="Q8" s="6">
        <f>Summary!Q8</f>
        <v/>
      </c>
      <c r="R8" s="6">
        <f>Summary!R8</f>
        <v/>
      </c>
      <c r="S8" s="6">
        <f>Summary!S8</f>
        <v/>
      </c>
      <c r="T8" s="6">
        <f>Summary!T8</f>
        <v/>
      </c>
      <c r="U8" s="6">
        <f>Summary!U8</f>
        <v/>
      </c>
      <c r="V8" s="6">
        <f>Summary!V8</f>
        <v/>
      </c>
      <c r="W8" s="6">
        <f>Summary!W8</f>
        <v/>
      </c>
      <c r="X8" s="6">
        <f>Summary!X8</f>
        <v/>
      </c>
      <c r="Y8" s="6">
        <f>Summary!Y8</f>
        <v/>
      </c>
      <c r="Z8" s="6">
        <f>Summary!Z8</f>
        <v/>
      </c>
      <c r="AA8" s="6">
        <f>Summary!AA8</f>
        <v/>
      </c>
      <c r="AB8" s="6">
        <f>SUM(D8:AA8)</f>
        <v/>
      </c>
      <c r="AC8" s="3" t="inlineStr"/>
      <c r="AD8" s="7">
        <f>D8*0.0029</f>
        <v/>
      </c>
      <c r="AE8" s="7">
        <f>E8*0.0029</f>
        <v/>
      </c>
      <c r="AF8" s="7">
        <f>F8*0.0029</f>
        <v/>
      </c>
      <c r="AG8" s="7">
        <f>G8*0.0029</f>
        <v/>
      </c>
      <c r="AH8" s="7">
        <f>H8*0.0029</f>
        <v/>
      </c>
      <c r="AI8" s="7">
        <f>I8*0.0029</f>
        <v/>
      </c>
      <c r="AJ8" s="7">
        <f>J8*0.0029</f>
        <v/>
      </c>
      <c r="AK8" s="7">
        <f>K8*0.0029</f>
        <v/>
      </c>
      <c r="AL8" s="7">
        <f>L8*0.0029</f>
        <v/>
      </c>
      <c r="AM8" s="7">
        <f>M8*0.0029</f>
        <v/>
      </c>
      <c r="AN8" s="7">
        <f>N8*0.0029</f>
        <v/>
      </c>
      <c r="AO8" s="7">
        <f>O8*0.0029</f>
        <v/>
      </c>
      <c r="AP8" s="7">
        <f>P8*0.0029</f>
        <v/>
      </c>
      <c r="AQ8" s="7">
        <f>Q8*0.0029</f>
        <v/>
      </c>
      <c r="AR8" s="7">
        <f>R8*0.0029</f>
        <v/>
      </c>
      <c r="AS8" s="7">
        <f>S8*0.0029</f>
        <v/>
      </c>
      <c r="AT8" s="7">
        <f>T8*0.0029</f>
        <v/>
      </c>
      <c r="AU8" s="7">
        <f>U8*0.0029</f>
        <v/>
      </c>
      <c r="AV8" s="7">
        <f>V8*0.0029</f>
        <v/>
      </c>
      <c r="AW8" s="7">
        <f>W8*0.0029</f>
        <v/>
      </c>
      <c r="AX8" s="7">
        <f>X8*0.0029</f>
        <v/>
      </c>
      <c r="AY8" s="7">
        <f>Y8*0.0029</f>
        <v/>
      </c>
      <c r="AZ8" s="7">
        <f>Z8*0.0029</f>
        <v/>
      </c>
      <c r="BA8" s="7">
        <f>AA8*0.0029</f>
        <v/>
      </c>
      <c r="BB8" s="7">
        <f>SUM(AD8:BA8)</f>
        <v/>
      </c>
    </row>
    <row r="9">
      <c r="A9" t="inlineStr">
        <is>
          <t>AMD-AIR-NEW-SSC</t>
        </is>
      </c>
      <c r="B9" t="inlineStr">
        <is>
          <t>Forward Regular OSC</t>
        </is>
      </c>
      <c r="C9" s="5" t="n">
        <v>46103</v>
      </c>
      <c r="D9" s="6">
        <f>Summary!D9</f>
        <v/>
      </c>
      <c r="E9" s="6">
        <f>Summary!E9</f>
        <v/>
      </c>
      <c r="F9" s="6">
        <f>Summary!F9</f>
        <v/>
      </c>
      <c r="G9" s="6">
        <f>Summary!G9</f>
        <v/>
      </c>
      <c r="H9" s="6">
        <f>Summary!H9</f>
        <v/>
      </c>
      <c r="I9" s="6">
        <f>Summary!I9</f>
        <v/>
      </c>
      <c r="J9" s="6">
        <f>Summary!J9</f>
        <v/>
      </c>
      <c r="K9" s="6">
        <f>Summary!K9</f>
        <v/>
      </c>
      <c r="L9" s="6">
        <f>Summary!L9</f>
        <v/>
      </c>
      <c r="M9" s="6">
        <f>Summary!M9</f>
        <v/>
      </c>
      <c r="N9" s="6">
        <f>Summary!N9</f>
        <v/>
      </c>
      <c r="O9" s="6">
        <f>Summary!O9</f>
        <v/>
      </c>
      <c r="P9" s="6">
        <f>Summary!P9</f>
        <v/>
      </c>
      <c r="Q9" s="6">
        <f>Summary!Q9</f>
        <v/>
      </c>
      <c r="R9" s="6">
        <f>Summary!R9</f>
        <v/>
      </c>
      <c r="S9" s="6">
        <f>Summary!S9</f>
        <v/>
      </c>
      <c r="T9" s="6">
        <f>Summary!T9</f>
        <v/>
      </c>
      <c r="U9" s="6">
        <f>Summary!U9</f>
        <v/>
      </c>
      <c r="V9" s="6">
        <f>Summary!V9</f>
        <v/>
      </c>
      <c r="W9" s="6">
        <f>Summary!W9</f>
        <v/>
      </c>
      <c r="X9" s="6">
        <f>Summary!X9</f>
        <v/>
      </c>
      <c r="Y9" s="6">
        <f>Summary!Y9</f>
        <v/>
      </c>
      <c r="Z9" s="6">
        <f>Summary!Z9</f>
        <v/>
      </c>
      <c r="AA9" s="6">
        <f>Summary!AA9</f>
        <v/>
      </c>
      <c r="AB9" s="6">
        <f>SUM(D9:AA9)</f>
        <v/>
      </c>
      <c r="AC9" s="3" t="inlineStr"/>
      <c r="AD9" s="7">
        <f>D9*0.0029</f>
        <v/>
      </c>
      <c r="AE9" s="7">
        <f>E9*0.0029</f>
        <v/>
      </c>
      <c r="AF9" s="7">
        <f>F9*0.0029</f>
        <v/>
      </c>
      <c r="AG9" s="7">
        <f>G9*0.0029</f>
        <v/>
      </c>
      <c r="AH9" s="7">
        <f>H9*0.0029</f>
        <v/>
      </c>
      <c r="AI9" s="7">
        <f>I9*0.0029</f>
        <v/>
      </c>
      <c r="AJ9" s="7">
        <f>J9*0.0029</f>
        <v/>
      </c>
      <c r="AK9" s="7">
        <f>K9*0.0029</f>
        <v/>
      </c>
      <c r="AL9" s="7">
        <f>L9*0.0029</f>
        <v/>
      </c>
      <c r="AM9" s="7">
        <f>M9*0.0029</f>
        <v/>
      </c>
      <c r="AN9" s="7">
        <f>N9*0.0029</f>
        <v/>
      </c>
      <c r="AO9" s="7">
        <f>O9*0.0029</f>
        <v/>
      </c>
      <c r="AP9" s="7">
        <f>P9*0.0029</f>
        <v/>
      </c>
      <c r="AQ9" s="7">
        <f>Q9*0.0029</f>
        <v/>
      </c>
      <c r="AR9" s="7">
        <f>R9*0.0029</f>
        <v/>
      </c>
      <c r="AS9" s="7">
        <f>S9*0.0029</f>
        <v/>
      </c>
      <c r="AT9" s="7">
        <f>T9*0.0029</f>
        <v/>
      </c>
      <c r="AU9" s="7">
        <f>U9*0.0029</f>
        <v/>
      </c>
      <c r="AV9" s="7">
        <f>V9*0.0029</f>
        <v/>
      </c>
      <c r="AW9" s="7">
        <f>W9*0.0029</f>
        <v/>
      </c>
      <c r="AX9" s="7">
        <f>X9*0.0029</f>
        <v/>
      </c>
      <c r="AY9" s="7">
        <f>Y9*0.0029</f>
        <v/>
      </c>
      <c r="AZ9" s="7">
        <f>Z9*0.0029</f>
        <v/>
      </c>
      <c r="BA9" s="7">
        <f>AA9*0.0029</f>
        <v/>
      </c>
      <c r="BB9" s="7">
        <f>SUM(AD9:BA9)</f>
        <v/>
      </c>
    </row>
    <row r="10">
      <c r="A10" t="inlineStr">
        <is>
          <t>AMD-AIR-NEW-SSC</t>
        </is>
      </c>
      <c r="B10" t="inlineStr">
        <is>
          <t>Forward Regular OSC</t>
        </is>
      </c>
      <c r="C10" s="5" t="n">
        <v>46104</v>
      </c>
      <c r="D10" s="6">
        <f>Summary!D10</f>
        <v/>
      </c>
      <c r="E10" s="6">
        <f>Summary!E10</f>
        <v/>
      </c>
      <c r="F10" s="6">
        <f>Summary!F10</f>
        <v/>
      </c>
      <c r="G10" s="6">
        <f>Summary!G10</f>
        <v/>
      </c>
      <c r="H10" s="6">
        <f>Summary!H10</f>
        <v/>
      </c>
      <c r="I10" s="6">
        <f>Summary!I10</f>
        <v/>
      </c>
      <c r="J10" s="6">
        <f>Summary!J10</f>
        <v/>
      </c>
      <c r="K10" s="6">
        <f>Summary!K10</f>
        <v/>
      </c>
      <c r="L10" s="6">
        <f>Summary!L10</f>
        <v/>
      </c>
      <c r="M10" s="6">
        <f>Summary!M10</f>
        <v/>
      </c>
      <c r="N10" s="6">
        <f>Summary!N10</f>
        <v/>
      </c>
      <c r="O10" s="6">
        <f>Summary!O10</f>
        <v/>
      </c>
      <c r="P10" s="6">
        <f>Summary!P10</f>
        <v/>
      </c>
      <c r="Q10" s="6">
        <f>Summary!Q10</f>
        <v/>
      </c>
      <c r="R10" s="6">
        <f>Summary!R10</f>
        <v/>
      </c>
      <c r="S10" s="6">
        <f>Summary!S10</f>
        <v/>
      </c>
      <c r="T10" s="6">
        <f>Summary!T10</f>
        <v/>
      </c>
      <c r="U10" s="6">
        <f>Summary!U10</f>
        <v/>
      </c>
      <c r="V10" s="6">
        <f>Summary!V10</f>
        <v/>
      </c>
      <c r="W10" s="6">
        <f>Summary!W10</f>
        <v/>
      </c>
      <c r="X10" s="6">
        <f>Summary!X10</f>
        <v/>
      </c>
      <c r="Y10" s="6">
        <f>Summary!Y10</f>
        <v/>
      </c>
      <c r="Z10" s="6">
        <f>Summary!Z10</f>
        <v/>
      </c>
      <c r="AA10" s="6">
        <f>Summary!AA10</f>
        <v/>
      </c>
      <c r="AB10" s="6">
        <f>SUM(D10:AA10)</f>
        <v/>
      </c>
      <c r="AC10" s="3" t="inlineStr"/>
      <c r="AD10" s="7">
        <f>D10*0.0029</f>
        <v/>
      </c>
      <c r="AE10" s="7">
        <f>E10*0.0029</f>
        <v/>
      </c>
      <c r="AF10" s="7">
        <f>F10*0.0029</f>
        <v/>
      </c>
      <c r="AG10" s="7">
        <f>G10*0.0029</f>
        <v/>
      </c>
      <c r="AH10" s="7">
        <f>H10*0.0029</f>
        <v/>
      </c>
      <c r="AI10" s="7">
        <f>I10*0.0029</f>
        <v/>
      </c>
      <c r="AJ10" s="7">
        <f>J10*0.0029</f>
        <v/>
      </c>
      <c r="AK10" s="7">
        <f>K10*0.0029</f>
        <v/>
      </c>
      <c r="AL10" s="7">
        <f>L10*0.0029</f>
        <v/>
      </c>
      <c r="AM10" s="7">
        <f>M10*0.0029</f>
        <v/>
      </c>
      <c r="AN10" s="7">
        <f>N10*0.0029</f>
        <v/>
      </c>
      <c r="AO10" s="7">
        <f>O10*0.0029</f>
        <v/>
      </c>
      <c r="AP10" s="7">
        <f>P10*0.0029</f>
        <v/>
      </c>
      <c r="AQ10" s="7">
        <f>Q10*0.0029</f>
        <v/>
      </c>
      <c r="AR10" s="7">
        <f>R10*0.0029</f>
        <v/>
      </c>
      <c r="AS10" s="7">
        <f>S10*0.0029</f>
        <v/>
      </c>
      <c r="AT10" s="7">
        <f>T10*0.0029</f>
        <v/>
      </c>
      <c r="AU10" s="7">
        <f>U10*0.0029</f>
        <v/>
      </c>
      <c r="AV10" s="7">
        <f>V10*0.0029</f>
        <v/>
      </c>
      <c r="AW10" s="7">
        <f>W10*0.0029</f>
        <v/>
      </c>
      <c r="AX10" s="7">
        <f>X10*0.0029</f>
        <v/>
      </c>
      <c r="AY10" s="7">
        <f>Y10*0.0029</f>
        <v/>
      </c>
      <c r="AZ10" s="7">
        <f>Z10*0.0029</f>
        <v/>
      </c>
      <c r="BA10" s="7">
        <f>AA10*0.0029</f>
        <v/>
      </c>
      <c r="BB10" s="7">
        <f>SUM(AD10:BA10)</f>
        <v/>
      </c>
    </row>
    <row r="11">
      <c r="A11" t="inlineStr">
        <is>
          <t>AMD-EXPR</t>
        </is>
      </c>
      <c r="B11" t="inlineStr">
        <is>
          <t>DSC Manual</t>
        </is>
      </c>
      <c r="C11" s="5" t="n">
        <v>46089</v>
      </c>
      <c r="D11" s="6">
        <f>Summary!D11</f>
        <v/>
      </c>
      <c r="E11" s="6">
        <f>Summary!E11</f>
        <v/>
      </c>
      <c r="F11" s="6">
        <f>Summary!F11</f>
        <v/>
      </c>
      <c r="G11" s="6">
        <f>Summary!G11</f>
        <v/>
      </c>
      <c r="H11" s="6">
        <f>Summary!H11</f>
        <v/>
      </c>
      <c r="I11" s="6">
        <f>Summary!I11</f>
        <v/>
      </c>
      <c r="J11" s="6">
        <f>Summary!J11</f>
        <v/>
      </c>
      <c r="K11" s="6">
        <f>Summary!K11</f>
        <v/>
      </c>
      <c r="L11" s="6">
        <f>Summary!L11</f>
        <v/>
      </c>
      <c r="M11" s="6">
        <f>Summary!M11</f>
        <v/>
      </c>
      <c r="N11" s="6">
        <f>Summary!N11</f>
        <v/>
      </c>
      <c r="O11" s="6">
        <f>Summary!O11</f>
        <v/>
      </c>
      <c r="P11" s="6">
        <f>Summary!P11</f>
        <v/>
      </c>
      <c r="Q11" s="6">
        <f>Summary!Q11</f>
        <v/>
      </c>
      <c r="R11" s="6">
        <f>Summary!R11</f>
        <v/>
      </c>
      <c r="S11" s="6">
        <f>Summary!S11</f>
        <v/>
      </c>
      <c r="T11" s="6">
        <f>Summary!T11</f>
        <v/>
      </c>
      <c r="U11" s="6">
        <f>Summary!U11</f>
        <v/>
      </c>
      <c r="V11" s="6">
        <f>Summary!V11</f>
        <v/>
      </c>
      <c r="W11" s="6">
        <f>Summary!W11</f>
        <v/>
      </c>
      <c r="X11" s="6">
        <f>Summary!X11</f>
        <v/>
      </c>
      <c r="Y11" s="6">
        <f>Summary!Y11</f>
        <v/>
      </c>
      <c r="Z11" s="6">
        <f>Summary!Z11</f>
        <v/>
      </c>
      <c r="AA11" s="6">
        <f>Summary!AA11</f>
        <v/>
      </c>
      <c r="AB11" s="6">
        <f>SUM(D11:AA11)</f>
        <v/>
      </c>
      <c r="AC11" s="3" t="inlineStr"/>
      <c r="AD11" s="7">
        <f>D11*0.0029</f>
        <v/>
      </c>
      <c r="AE11" s="7">
        <f>E11*0.0029</f>
        <v/>
      </c>
      <c r="AF11" s="7">
        <f>F11*0.0029</f>
        <v/>
      </c>
      <c r="AG11" s="7">
        <f>G11*0.0029</f>
        <v/>
      </c>
      <c r="AH11" s="7">
        <f>H11*0.0029</f>
        <v/>
      </c>
      <c r="AI11" s="7">
        <f>I11*0.0029</f>
        <v/>
      </c>
      <c r="AJ11" s="7">
        <f>J11*0.0029</f>
        <v/>
      </c>
      <c r="AK11" s="7">
        <f>K11*0.0029</f>
        <v/>
      </c>
      <c r="AL11" s="7">
        <f>L11*0.0029</f>
        <v/>
      </c>
      <c r="AM11" s="7">
        <f>M11*0.0029</f>
        <v/>
      </c>
      <c r="AN11" s="7">
        <f>N11*0.0029</f>
        <v/>
      </c>
      <c r="AO11" s="7">
        <f>O11*0.0029</f>
        <v/>
      </c>
      <c r="AP11" s="7">
        <f>P11*0.0029</f>
        <v/>
      </c>
      <c r="AQ11" s="7">
        <f>Q11*0.0029</f>
        <v/>
      </c>
      <c r="AR11" s="7">
        <f>R11*0.0029</f>
        <v/>
      </c>
      <c r="AS11" s="7">
        <f>S11*0.0029</f>
        <v/>
      </c>
      <c r="AT11" s="7">
        <f>T11*0.0029</f>
        <v/>
      </c>
      <c r="AU11" s="7">
        <f>U11*0.0029</f>
        <v/>
      </c>
      <c r="AV11" s="7">
        <f>V11*0.0029</f>
        <v/>
      </c>
      <c r="AW11" s="7">
        <f>W11*0.0029</f>
        <v/>
      </c>
      <c r="AX11" s="7">
        <f>X11*0.0029</f>
        <v/>
      </c>
      <c r="AY11" s="7">
        <f>Y11*0.0029</f>
        <v/>
      </c>
      <c r="AZ11" s="7">
        <f>Z11*0.0029</f>
        <v/>
      </c>
      <c r="BA11" s="7">
        <f>AA11*0.0029</f>
        <v/>
      </c>
      <c r="BB11" s="7">
        <f>SUM(AD11:BA11)</f>
        <v/>
      </c>
    </row>
    <row r="12">
      <c r="A12" t="inlineStr">
        <is>
          <t>AMD-EXPR</t>
        </is>
      </c>
      <c r="B12" t="inlineStr">
        <is>
          <t>DSC Manual</t>
        </is>
      </c>
      <c r="C12" s="5" t="n">
        <v>46090</v>
      </c>
      <c r="D12" s="6">
        <f>Summary!D12</f>
        <v/>
      </c>
      <c r="E12" s="6">
        <f>Summary!E12</f>
        <v/>
      </c>
      <c r="F12" s="6">
        <f>Summary!F12</f>
        <v/>
      </c>
      <c r="G12" s="6">
        <f>Summary!G12</f>
        <v/>
      </c>
      <c r="H12" s="6">
        <f>Summary!H12</f>
        <v/>
      </c>
      <c r="I12" s="6">
        <f>Summary!I12</f>
        <v/>
      </c>
      <c r="J12" s="6">
        <f>Summary!J12</f>
        <v/>
      </c>
      <c r="K12" s="6">
        <f>Summary!K12</f>
        <v/>
      </c>
      <c r="L12" s="6">
        <f>Summary!L12</f>
        <v/>
      </c>
      <c r="M12" s="6">
        <f>Summary!M12</f>
        <v/>
      </c>
      <c r="N12" s="6">
        <f>Summary!N12</f>
        <v/>
      </c>
      <c r="O12" s="6">
        <f>Summary!O12</f>
        <v/>
      </c>
      <c r="P12" s="6">
        <f>Summary!P12</f>
        <v/>
      </c>
      <c r="Q12" s="6">
        <f>Summary!Q12</f>
        <v/>
      </c>
      <c r="R12" s="6">
        <f>Summary!R12</f>
        <v/>
      </c>
      <c r="S12" s="6">
        <f>Summary!S12</f>
        <v/>
      </c>
      <c r="T12" s="6">
        <f>Summary!T12</f>
        <v/>
      </c>
      <c r="U12" s="6">
        <f>Summary!U12</f>
        <v/>
      </c>
      <c r="V12" s="6">
        <f>Summary!V12</f>
        <v/>
      </c>
      <c r="W12" s="6">
        <f>Summary!W12</f>
        <v/>
      </c>
      <c r="X12" s="6">
        <f>Summary!X12</f>
        <v/>
      </c>
      <c r="Y12" s="6">
        <f>Summary!Y12</f>
        <v/>
      </c>
      <c r="Z12" s="6">
        <f>Summary!Z12</f>
        <v/>
      </c>
      <c r="AA12" s="6">
        <f>Summary!AA12</f>
        <v/>
      </c>
      <c r="AB12" s="6">
        <f>SUM(D12:AA12)</f>
        <v/>
      </c>
      <c r="AC12" s="3" t="inlineStr"/>
      <c r="AD12" s="7">
        <f>D12*0.0029</f>
        <v/>
      </c>
      <c r="AE12" s="7">
        <f>E12*0.0029</f>
        <v/>
      </c>
      <c r="AF12" s="7">
        <f>F12*0.0029</f>
        <v/>
      </c>
      <c r="AG12" s="7">
        <f>G12*0.0029</f>
        <v/>
      </c>
      <c r="AH12" s="7">
        <f>H12*0.0029</f>
        <v/>
      </c>
      <c r="AI12" s="7">
        <f>I12*0.0029</f>
        <v/>
      </c>
      <c r="AJ12" s="7">
        <f>J12*0.0029</f>
        <v/>
      </c>
      <c r="AK12" s="7">
        <f>K12*0.0029</f>
        <v/>
      </c>
      <c r="AL12" s="7">
        <f>L12*0.0029</f>
        <v/>
      </c>
      <c r="AM12" s="7">
        <f>M12*0.0029</f>
        <v/>
      </c>
      <c r="AN12" s="7">
        <f>N12*0.0029</f>
        <v/>
      </c>
      <c r="AO12" s="7">
        <f>O12*0.0029</f>
        <v/>
      </c>
      <c r="AP12" s="7">
        <f>P12*0.0029</f>
        <v/>
      </c>
      <c r="AQ12" s="7">
        <f>Q12*0.0029</f>
        <v/>
      </c>
      <c r="AR12" s="7">
        <f>R12*0.0029</f>
        <v/>
      </c>
      <c r="AS12" s="7">
        <f>S12*0.0029</f>
        <v/>
      </c>
      <c r="AT12" s="7">
        <f>T12*0.0029</f>
        <v/>
      </c>
      <c r="AU12" s="7">
        <f>U12*0.0029</f>
        <v/>
      </c>
      <c r="AV12" s="7">
        <f>V12*0.0029</f>
        <v/>
      </c>
      <c r="AW12" s="7">
        <f>W12*0.0029</f>
        <v/>
      </c>
      <c r="AX12" s="7">
        <f>X12*0.0029</f>
        <v/>
      </c>
      <c r="AY12" s="7">
        <f>Y12*0.0029</f>
        <v/>
      </c>
      <c r="AZ12" s="7">
        <f>Z12*0.0029</f>
        <v/>
      </c>
      <c r="BA12" s="7">
        <f>AA12*0.0029</f>
        <v/>
      </c>
      <c r="BB12" s="7">
        <f>SUM(AD12:BA12)</f>
        <v/>
      </c>
    </row>
    <row r="13">
      <c r="A13" t="inlineStr">
        <is>
          <t>AMD-EXPR</t>
        </is>
      </c>
      <c r="B13" t="inlineStr">
        <is>
          <t>DSC Manual</t>
        </is>
      </c>
      <c r="C13" s="5" t="n">
        <v>46091</v>
      </c>
      <c r="D13" s="6">
        <f>Summary!D13</f>
        <v/>
      </c>
      <c r="E13" s="6">
        <f>Summary!E13</f>
        <v/>
      </c>
      <c r="F13" s="6">
        <f>Summary!F13</f>
        <v/>
      </c>
      <c r="G13" s="6">
        <f>Summary!G13</f>
        <v/>
      </c>
      <c r="H13" s="6">
        <f>Summary!H13</f>
        <v/>
      </c>
      <c r="I13" s="6">
        <f>Summary!I13</f>
        <v/>
      </c>
      <c r="J13" s="6">
        <f>Summary!J13</f>
        <v/>
      </c>
      <c r="K13" s="6">
        <f>Summary!K13</f>
        <v/>
      </c>
      <c r="L13" s="6">
        <f>Summary!L13</f>
        <v/>
      </c>
      <c r="M13" s="6">
        <f>Summary!M13</f>
        <v/>
      </c>
      <c r="N13" s="6">
        <f>Summary!N13</f>
        <v/>
      </c>
      <c r="O13" s="6">
        <f>Summary!O13</f>
        <v/>
      </c>
      <c r="P13" s="6">
        <f>Summary!P13</f>
        <v/>
      </c>
      <c r="Q13" s="6">
        <f>Summary!Q13</f>
        <v/>
      </c>
      <c r="R13" s="6">
        <f>Summary!R13</f>
        <v/>
      </c>
      <c r="S13" s="6">
        <f>Summary!S13</f>
        <v/>
      </c>
      <c r="T13" s="6">
        <f>Summary!T13</f>
        <v/>
      </c>
      <c r="U13" s="6">
        <f>Summary!U13</f>
        <v/>
      </c>
      <c r="V13" s="6">
        <f>Summary!V13</f>
        <v/>
      </c>
      <c r="W13" s="6">
        <f>Summary!W13</f>
        <v/>
      </c>
      <c r="X13" s="6">
        <f>Summary!X13</f>
        <v/>
      </c>
      <c r="Y13" s="6">
        <f>Summary!Y13</f>
        <v/>
      </c>
      <c r="Z13" s="6">
        <f>Summary!Z13</f>
        <v/>
      </c>
      <c r="AA13" s="6">
        <f>Summary!AA13</f>
        <v/>
      </c>
      <c r="AB13" s="6">
        <f>SUM(D13:AA13)</f>
        <v/>
      </c>
      <c r="AC13" s="3" t="inlineStr"/>
      <c r="AD13" s="7">
        <f>D13*0.0029</f>
        <v/>
      </c>
      <c r="AE13" s="7">
        <f>E13*0.0029</f>
        <v/>
      </c>
      <c r="AF13" s="7">
        <f>F13*0.0029</f>
        <v/>
      </c>
      <c r="AG13" s="7">
        <f>G13*0.0029</f>
        <v/>
      </c>
      <c r="AH13" s="7">
        <f>H13*0.0029</f>
        <v/>
      </c>
      <c r="AI13" s="7">
        <f>I13*0.0029</f>
        <v/>
      </c>
      <c r="AJ13" s="7">
        <f>J13*0.0029</f>
        <v/>
      </c>
      <c r="AK13" s="7">
        <f>K13*0.0029</f>
        <v/>
      </c>
      <c r="AL13" s="7">
        <f>L13*0.0029</f>
        <v/>
      </c>
      <c r="AM13" s="7">
        <f>M13*0.0029</f>
        <v/>
      </c>
      <c r="AN13" s="7">
        <f>N13*0.0029</f>
        <v/>
      </c>
      <c r="AO13" s="7">
        <f>O13*0.0029</f>
        <v/>
      </c>
      <c r="AP13" s="7">
        <f>P13*0.0029</f>
        <v/>
      </c>
      <c r="AQ13" s="7">
        <f>Q13*0.0029</f>
        <v/>
      </c>
      <c r="AR13" s="7">
        <f>R13*0.0029</f>
        <v/>
      </c>
      <c r="AS13" s="7">
        <f>S13*0.0029</f>
        <v/>
      </c>
      <c r="AT13" s="7">
        <f>T13*0.0029</f>
        <v/>
      </c>
      <c r="AU13" s="7">
        <f>U13*0.0029</f>
        <v/>
      </c>
      <c r="AV13" s="7">
        <f>V13*0.0029</f>
        <v/>
      </c>
      <c r="AW13" s="7">
        <f>W13*0.0029</f>
        <v/>
      </c>
      <c r="AX13" s="7">
        <f>X13*0.0029</f>
        <v/>
      </c>
      <c r="AY13" s="7">
        <f>Y13*0.0029</f>
        <v/>
      </c>
      <c r="AZ13" s="7">
        <f>Z13*0.0029</f>
        <v/>
      </c>
      <c r="BA13" s="7">
        <f>AA13*0.0029</f>
        <v/>
      </c>
      <c r="BB13" s="7">
        <f>SUM(AD13:BA13)</f>
        <v/>
      </c>
    </row>
    <row r="14">
      <c r="A14" t="inlineStr">
        <is>
          <t>AMD-EXPR</t>
        </is>
      </c>
      <c r="B14" t="inlineStr">
        <is>
          <t>DSC Manual</t>
        </is>
      </c>
      <c r="C14" s="5" t="n">
        <v>46092</v>
      </c>
      <c r="D14" s="6">
        <f>Summary!D14</f>
        <v/>
      </c>
      <c r="E14" s="6">
        <f>Summary!E14</f>
        <v/>
      </c>
      <c r="F14" s="6">
        <f>Summary!F14</f>
        <v/>
      </c>
      <c r="G14" s="6">
        <f>Summary!G14</f>
        <v/>
      </c>
      <c r="H14" s="6">
        <f>Summary!H14</f>
        <v/>
      </c>
      <c r="I14" s="6">
        <f>Summary!I14</f>
        <v/>
      </c>
      <c r="J14" s="6">
        <f>Summary!J14</f>
        <v/>
      </c>
      <c r="K14" s="6">
        <f>Summary!K14</f>
        <v/>
      </c>
      <c r="L14" s="6">
        <f>Summary!L14</f>
        <v/>
      </c>
      <c r="M14" s="6">
        <f>Summary!M14</f>
        <v/>
      </c>
      <c r="N14" s="6">
        <f>Summary!N14</f>
        <v/>
      </c>
      <c r="O14" s="6">
        <f>Summary!O14</f>
        <v/>
      </c>
      <c r="P14" s="6">
        <f>Summary!P14</f>
        <v/>
      </c>
      <c r="Q14" s="6">
        <f>Summary!Q14</f>
        <v/>
      </c>
      <c r="R14" s="6">
        <f>Summary!R14</f>
        <v/>
      </c>
      <c r="S14" s="6">
        <f>Summary!S14</f>
        <v/>
      </c>
      <c r="T14" s="6">
        <f>Summary!T14</f>
        <v/>
      </c>
      <c r="U14" s="6">
        <f>Summary!U14</f>
        <v/>
      </c>
      <c r="V14" s="6">
        <f>Summary!V14</f>
        <v/>
      </c>
      <c r="W14" s="6">
        <f>Summary!W14</f>
        <v/>
      </c>
      <c r="X14" s="6">
        <f>Summary!X14</f>
        <v/>
      </c>
      <c r="Y14" s="6">
        <f>Summary!Y14</f>
        <v/>
      </c>
      <c r="Z14" s="6">
        <f>Summary!Z14</f>
        <v/>
      </c>
      <c r="AA14" s="6">
        <f>Summary!AA14</f>
        <v/>
      </c>
      <c r="AB14" s="6">
        <f>SUM(D14:AA14)</f>
        <v/>
      </c>
      <c r="AC14" s="3" t="inlineStr"/>
      <c r="AD14" s="7">
        <f>D14*0.0029</f>
        <v/>
      </c>
      <c r="AE14" s="7">
        <f>E14*0.0029</f>
        <v/>
      </c>
      <c r="AF14" s="7">
        <f>F14*0.0029</f>
        <v/>
      </c>
      <c r="AG14" s="7">
        <f>G14*0.0029</f>
        <v/>
      </c>
      <c r="AH14" s="7">
        <f>H14*0.0029</f>
        <v/>
      </c>
      <c r="AI14" s="7">
        <f>I14*0.0029</f>
        <v/>
      </c>
      <c r="AJ14" s="7">
        <f>J14*0.0029</f>
        <v/>
      </c>
      <c r="AK14" s="7">
        <f>K14*0.0029</f>
        <v/>
      </c>
      <c r="AL14" s="7">
        <f>L14*0.0029</f>
        <v/>
      </c>
      <c r="AM14" s="7">
        <f>M14*0.0029</f>
        <v/>
      </c>
      <c r="AN14" s="7">
        <f>N14*0.0029</f>
        <v/>
      </c>
      <c r="AO14" s="7">
        <f>O14*0.0029</f>
        <v/>
      </c>
      <c r="AP14" s="7">
        <f>P14*0.0029</f>
        <v/>
      </c>
      <c r="AQ14" s="7">
        <f>Q14*0.0029</f>
        <v/>
      </c>
      <c r="AR14" s="7">
        <f>R14*0.0029</f>
        <v/>
      </c>
      <c r="AS14" s="7">
        <f>S14*0.0029</f>
        <v/>
      </c>
      <c r="AT14" s="7">
        <f>T14*0.0029</f>
        <v/>
      </c>
      <c r="AU14" s="7">
        <f>U14*0.0029</f>
        <v/>
      </c>
      <c r="AV14" s="7">
        <f>V14*0.0029</f>
        <v/>
      </c>
      <c r="AW14" s="7">
        <f>W14*0.0029</f>
        <v/>
      </c>
      <c r="AX14" s="7">
        <f>X14*0.0029</f>
        <v/>
      </c>
      <c r="AY14" s="7">
        <f>Y14*0.0029</f>
        <v/>
      </c>
      <c r="AZ14" s="7">
        <f>Z14*0.0029</f>
        <v/>
      </c>
      <c r="BA14" s="7">
        <f>AA14*0.0029</f>
        <v/>
      </c>
      <c r="BB14" s="7">
        <f>SUM(AD14:BA14)</f>
        <v/>
      </c>
    </row>
    <row r="15">
      <c r="A15" t="inlineStr">
        <is>
          <t>AMD-EXPR</t>
        </is>
      </c>
      <c r="B15" t="inlineStr">
        <is>
          <t>DSC Manual</t>
        </is>
      </c>
      <c r="C15" s="5" t="n">
        <v>46093</v>
      </c>
      <c r="D15" s="6">
        <f>Summary!D15</f>
        <v/>
      </c>
      <c r="E15" s="6">
        <f>Summary!E15</f>
        <v/>
      </c>
      <c r="F15" s="6">
        <f>Summary!F15</f>
        <v/>
      </c>
      <c r="G15" s="6">
        <f>Summary!G15</f>
        <v/>
      </c>
      <c r="H15" s="6">
        <f>Summary!H15</f>
        <v/>
      </c>
      <c r="I15" s="6">
        <f>Summary!I15</f>
        <v/>
      </c>
      <c r="J15" s="6">
        <f>Summary!J15</f>
        <v/>
      </c>
      <c r="K15" s="6">
        <f>Summary!K15</f>
        <v/>
      </c>
      <c r="L15" s="6">
        <f>Summary!L15</f>
        <v/>
      </c>
      <c r="M15" s="6">
        <f>Summary!M15</f>
        <v/>
      </c>
      <c r="N15" s="6">
        <f>Summary!N15</f>
        <v/>
      </c>
      <c r="O15" s="6">
        <f>Summary!O15</f>
        <v/>
      </c>
      <c r="P15" s="6">
        <f>Summary!P15</f>
        <v/>
      </c>
      <c r="Q15" s="6">
        <f>Summary!Q15</f>
        <v/>
      </c>
      <c r="R15" s="6">
        <f>Summary!R15</f>
        <v/>
      </c>
      <c r="S15" s="6">
        <f>Summary!S15</f>
        <v/>
      </c>
      <c r="T15" s="6">
        <f>Summary!T15</f>
        <v/>
      </c>
      <c r="U15" s="6">
        <f>Summary!U15</f>
        <v/>
      </c>
      <c r="V15" s="6">
        <f>Summary!V15</f>
        <v/>
      </c>
      <c r="W15" s="6">
        <f>Summary!W15</f>
        <v/>
      </c>
      <c r="X15" s="6">
        <f>Summary!X15</f>
        <v/>
      </c>
      <c r="Y15" s="6">
        <f>Summary!Y15</f>
        <v/>
      </c>
      <c r="Z15" s="6">
        <f>Summary!Z15</f>
        <v/>
      </c>
      <c r="AA15" s="6">
        <f>Summary!AA15</f>
        <v/>
      </c>
      <c r="AB15" s="6">
        <f>SUM(D15:AA15)</f>
        <v/>
      </c>
      <c r="AC15" s="3" t="inlineStr"/>
      <c r="AD15" s="7">
        <f>D15*0.0029</f>
        <v/>
      </c>
      <c r="AE15" s="7">
        <f>E15*0.0029</f>
        <v/>
      </c>
      <c r="AF15" s="7">
        <f>F15*0.0029</f>
        <v/>
      </c>
      <c r="AG15" s="7">
        <f>G15*0.0029</f>
        <v/>
      </c>
      <c r="AH15" s="7">
        <f>H15*0.0029</f>
        <v/>
      </c>
      <c r="AI15" s="7">
        <f>I15*0.0029</f>
        <v/>
      </c>
      <c r="AJ15" s="7">
        <f>J15*0.0029</f>
        <v/>
      </c>
      <c r="AK15" s="7">
        <f>K15*0.0029</f>
        <v/>
      </c>
      <c r="AL15" s="7">
        <f>L15*0.0029</f>
        <v/>
      </c>
      <c r="AM15" s="7">
        <f>M15*0.0029</f>
        <v/>
      </c>
      <c r="AN15" s="7">
        <f>N15*0.0029</f>
        <v/>
      </c>
      <c r="AO15" s="7">
        <f>O15*0.0029</f>
        <v/>
      </c>
      <c r="AP15" s="7">
        <f>P15*0.0029</f>
        <v/>
      </c>
      <c r="AQ15" s="7">
        <f>Q15*0.0029</f>
        <v/>
      </c>
      <c r="AR15" s="7">
        <f>R15*0.0029</f>
        <v/>
      </c>
      <c r="AS15" s="7">
        <f>S15*0.0029</f>
        <v/>
      </c>
      <c r="AT15" s="7">
        <f>T15*0.0029</f>
        <v/>
      </c>
      <c r="AU15" s="7">
        <f>U15*0.0029</f>
        <v/>
      </c>
      <c r="AV15" s="7">
        <f>V15*0.0029</f>
        <v/>
      </c>
      <c r="AW15" s="7">
        <f>W15*0.0029</f>
        <v/>
      </c>
      <c r="AX15" s="7">
        <f>X15*0.0029</f>
        <v/>
      </c>
      <c r="AY15" s="7">
        <f>Y15*0.0029</f>
        <v/>
      </c>
      <c r="AZ15" s="7">
        <f>Z15*0.0029</f>
        <v/>
      </c>
      <c r="BA15" s="7">
        <f>AA15*0.0029</f>
        <v/>
      </c>
      <c r="BB15" s="7">
        <f>SUM(AD15:BA15)</f>
        <v/>
      </c>
    </row>
    <row r="16">
      <c r="A16" t="inlineStr">
        <is>
          <t>AMD-EXPR</t>
        </is>
      </c>
      <c r="B16" t="inlineStr">
        <is>
          <t>DSC Manual</t>
        </is>
      </c>
      <c r="C16" s="5" t="n">
        <v>46094</v>
      </c>
      <c r="D16" s="6">
        <f>Summary!D16</f>
        <v/>
      </c>
      <c r="E16" s="6">
        <f>Summary!E16</f>
        <v/>
      </c>
      <c r="F16" s="6">
        <f>Summary!F16</f>
        <v/>
      </c>
      <c r="G16" s="6">
        <f>Summary!G16</f>
        <v/>
      </c>
      <c r="H16" s="6">
        <f>Summary!H16</f>
        <v/>
      </c>
      <c r="I16" s="6">
        <f>Summary!I16</f>
        <v/>
      </c>
      <c r="J16" s="6">
        <f>Summary!J16</f>
        <v/>
      </c>
      <c r="K16" s="6">
        <f>Summary!K16</f>
        <v/>
      </c>
      <c r="L16" s="6">
        <f>Summary!L16</f>
        <v/>
      </c>
      <c r="M16" s="6">
        <f>Summary!M16</f>
        <v/>
      </c>
      <c r="N16" s="6">
        <f>Summary!N16</f>
        <v/>
      </c>
      <c r="O16" s="6">
        <f>Summary!O16</f>
        <v/>
      </c>
      <c r="P16" s="6">
        <f>Summary!P16</f>
        <v/>
      </c>
      <c r="Q16" s="6">
        <f>Summary!Q16</f>
        <v/>
      </c>
      <c r="R16" s="6">
        <f>Summary!R16</f>
        <v/>
      </c>
      <c r="S16" s="6">
        <f>Summary!S16</f>
        <v/>
      </c>
      <c r="T16" s="6">
        <f>Summary!T16</f>
        <v/>
      </c>
      <c r="U16" s="6">
        <f>Summary!U16</f>
        <v/>
      </c>
      <c r="V16" s="6">
        <f>Summary!V16</f>
        <v/>
      </c>
      <c r="W16" s="6">
        <f>Summary!W16</f>
        <v/>
      </c>
      <c r="X16" s="6">
        <f>Summary!X16</f>
        <v/>
      </c>
      <c r="Y16" s="6">
        <f>Summary!Y16</f>
        <v/>
      </c>
      <c r="Z16" s="6">
        <f>Summary!Z16</f>
        <v/>
      </c>
      <c r="AA16" s="6">
        <f>Summary!AA16</f>
        <v/>
      </c>
      <c r="AB16" s="6">
        <f>SUM(D16:AA16)</f>
        <v/>
      </c>
      <c r="AC16" s="3" t="inlineStr"/>
      <c r="AD16" s="7">
        <f>D16*0.0029</f>
        <v/>
      </c>
      <c r="AE16" s="7">
        <f>E16*0.0029</f>
        <v/>
      </c>
      <c r="AF16" s="7">
        <f>F16*0.0029</f>
        <v/>
      </c>
      <c r="AG16" s="7">
        <f>G16*0.0029</f>
        <v/>
      </c>
      <c r="AH16" s="7">
        <f>H16*0.0029</f>
        <v/>
      </c>
      <c r="AI16" s="7">
        <f>I16*0.0029</f>
        <v/>
      </c>
      <c r="AJ16" s="7">
        <f>J16*0.0029</f>
        <v/>
      </c>
      <c r="AK16" s="7">
        <f>K16*0.0029</f>
        <v/>
      </c>
      <c r="AL16" s="7">
        <f>L16*0.0029</f>
        <v/>
      </c>
      <c r="AM16" s="7">
        <f>M16*0.0029</f>
        <v/>
      </c>
      <c r="AN16" s="7">
        <f>N16*0.0029</f>
        <v/>
      </c>
      <c r="AO16" s="7">
        <f>O16*0.0029</f>
        <v/>
      </c>
      <c r="AP16" s="7">
        <f>P16*0.0029</f>
        <v/>
      </c>
      <c r="AQ16" s="7">
        <f>Q16*0.0029</f>
        <v/>
      </c>
      <c r="AR16" s="7">
        <f>R16*0.0029</f>
        <v/>
      </c>
      <c r="AS16" s="7">
        <f>S16*0.0029</f>
        <v/>
      </c>
      <c r="AT16" s="7">
        <f>T16*0.0029</f>
        <v/>
      </c>
      <c r="AU16" s="7">
        <f>U16*0.0029</f>
        <v/>
      </c>
      <c r="AV16" s="7">
        <f>V16*0.0029</f>
        <v/>
      </c>
      <c r="AW16" s="7">
        <f>W16*0.0029</f>
        <v/>
      </c>
      <c r="AX16" s="7">
        <f>X16*0.0029</f>
        <v/>
      </c>
      <c r="AY16" s="7">
        <f>Y16*0.0029</f>
        <v/>
      </c>
      <c r="AZ16" s="7">
        <f>Z16*0.0029</f>
        <v/>
      </c>
      <c r="BA16" s="7">
        <f>AA16*0.0029</f>
        <v/>
      </c>
      <c r="BB16" s="7">
        <f>SUM(AD16:BA16)</f>
        <v/>
      </c>
    </row>
    <row r="17">
      <c r="A17" t="inlineStr">
        <is>
          <t>AMD-EXPR</t>
        </is>
      </c>
      <c r="B17" t="inlineStr">
        <is>
          <t>DSC Manual</t>
        </is>
      </c>
      <c r="C17" s="5" t="n">
        <v>46095</v>
      </c>
      <c r="D17" s="6">
        <f>Summary!D17</f>
        <v/>
      </c>
      <c r="E17" s="6">
        <f>Summary!E17</f>
        <v/>
      </c>
      <c r="F17" s="6">
        <f>Summary!F17</f>
        <v/>
      </c>
      <c r="G17" s="6">
        <f>Summary!G17</f>
        <v/>
      </c>
      <c r="H17" s="6">
        <f>Summary!H17</f>
        <v/>
      </c>
      <c r="I17" s="6">
        <f>Summary!I17</f>
        <v/>
      </c>
      <c r="J17" s="6">
        <f>Summary!J17</f>
        <v/>
      </c>
      <c r="K17" s="6">
        <f>Summary!K17</f>
        <v/>
      </c>
      <c r="L17" s="6">
        <f>Summary!L17</f>
        <v/>
      </c>
      <c r="M17" s="6">
        <f>Summary!M17</f>
        <v/>
      </c>
      <c r="N17" s="6">
        <f>Summary!N17</f>
        <v/>
      </c>
      <c r="O17" s="6">
        <f>Summary!O17</f>
        <v/>
      </c>
      <c r="P17" s="6">
        <f>Summary!P17</f>
        <v/>
      </c>
      <c r="Q17" s="6">
        <f>Summary!Q17</f>
        <v/>
      </c>
      <c r="R17" s="6">
        <f>Summary!R17</f>
        <v/>
      </c>
      <c r="S17" s="6">
        <f>Summary!S17</f>
        <v/>
      </c>
      <c r="T17" s="6">
        <f>Summary!T17</f>
        <v/>
      </c>
      <c r="U17" s="6">
        <f>Summary!U17</f>
        <v/>
      </c>
      <c r="V17" s="6">
        <f>Summary!V17</f>
        <v/>
      </c>
      <c r="W17" s="6">
        <f>Summary!W17</f>
        <v/>
      </c>
      <c r="X17" s="6">
        <f>Summary!X17</f>
        <v/>
      </c>
      <c r="Y17" s="6">
        <f>Summary!Y17</f>
        <v/>
      </c>
      <c r="Z17" s="6">
        <f>Summary!Z17</f>
        <v/>
      </c>
      <c r="AA17" s="6">
        <f>Summary!AA17</f>
        <v/>
      </c>
      <c r="AB17" s="6">
        <f>SUM(D17:AA17)</f>
        <v/>
      </c>
      <c r="AC17" s="3" t="inlineStr"/>
      <c r="AD17" s="7">
        <f>D17*0.0029</f>
        <v/>
      </c>
      <c r="AE17" s="7">
        <f>E17*0.0029</f>
        <v/>
      </c>
      <c r="AF17" s="7">
        <f>F17*0.0029</f>
        <v/>
      </c>
      <c r="AG17" s="7">
        <f>G17*0.0029</f>
        <v/>
      </c>
      <c r="AH17" s="7">
        <f>H17*0.0029</f>
        <v/>
      </c>
      <c r="AI17" s="7">
        <f>I17*0.0029</f>
        <v/>
      </c>
      <c r="AJ17" s="7">
        <f>J17*0.0029</f>
        <v/>
      </c>
      <c r="AK17" s="7">
        <f>K17*0.0029</f>
        <v/>
      </c>
      <c r="AL17" s="7">
        <f>L17*0.0029</f>
        <v/>
      </c>
      <c r="AM17" s="7">
        <f>M17*0.0029</f>
        <v/>
      </c>
      <c r="AN17" s="7">
        <f>N17*0.0029</f>
        <v/>
      </c>
      <c r="AO17" s="7">
        <f>O17*0.0029</f>
        <v/>
      </c>
      <c r="AP17" s="7">
        <f>P17*0.0029</f>
        <v/>
      </c>
      <c r="AQ17" s="7">
        <f>Q17*0.0029</f>
        <v/>
      </c>
      <c r="AR17" s="7">
        <f>R17*0.0029</f>
        <v/>
      </c>
      <c r="AS17" s="7">
        <f>S17*0.0029</f>
        <v/>
      </c>
      <c r="AT17" s="7">
        <f>T17*0.0029</f>
        <v/>
      </c>
      <c r="AU17" s="7">
        <f>U17*0.0029</f>
        <v/>
      </c>
      <c r="AV17" s="7">
        <f>V17*0.0029</f>
        <v/>
      </c>
      <c r="AW17" s="7">
        <f>W17*0.0029</f>
        <v/>
      </c>
      <c r="AX17" s="7">
        <f>X17*0.0029</f>
        <v/>
      </c>
      <c r="AY17" s="7">
        <f>Y17*0.0029</f>
        <v/>
      </c>
      <c r="AZ17" s="7">
        <f>Z17*0.0029</f>
        <v/>
      </c>
      <c r="BA17" s="7">
        <f>AA17*0.0029</f>
        <v/>
      </c>
      <c r="BB17" s="7">
        <f>SUM(AD17:BA17)</f>
        <v/>
      </c>
    </row>
    <row r="18">
      <c r="A18" t="inlineStr">
        <is>
          <t>AMD-EXPR</t>
        </is>
      </c>
      <c r="B18" t="inlineStr">
        <is>
          <t>DSC Manual</t>
        </is>
      </c>
      <c r="C18" s="5" t="n">
        <v>46096</v>
      </c>
      <c r="D18" s="6">
        <f>Summary!D18</f>
        <v/>
      </c>
      <c r="E18" s="6">
        <f>Summary!E18</f>
        <v/>
      </c>
      <c r="F18" s="6">
        <f>Summary!F18</f>
        <v/>
      </c>
      <c r="G18" s="6">
        <f>Summary!G18</f>
        <v/>
      </c>
      <c r="H18" s="6">
        <f>Summary!H18</f>
        <v/>
      </c>
      <c r="I18" s="6">
        <f>Summary!I18</f>
        <v/>
      </c>
      <c r="J18" s="6">
        <f>Summary!J18</f>
        <v/>
      </c>
      <c r="K18" s="6">
        <f>Summary!K18</f>
        <v/>
      </c>
      <c r="L18" s="6">
        <f>Summary!L18</f>
        <v/>
      </c>
      <c r="M18" s="6">
        <f>Summary!M18</f>
        <v/>
      </c>
      <c r="N18" s="6">
        <f>Summary!N18</f>
        <v/>
      </c>
      <c r="O18" s="6">
        <f>Summary!O18</f>
        <v/>
      </c>
      <c r="P18" s="6">
        <f>Summary!P18</f>
        <v/>
      </c>
      <c r="Q18" s="6">
        <f>Summary!Q18</f>
        <v/>
      </c>
      <c r="R18" s="6">
        <f>Summary!R18</f>
        <v/>
      </c>
      <c r="S18" s="6">
        <f>Summary!S18</f>
        <v/>
      </c>
      <c r="T18" s="6">
        <f>Summary!T18</f>
        <v/>
      </c>
      <c r="U18" s="6">
        <f>Summary!U18</f>
        <v/>
      </c>
      <c r="V18" s="6">
        <f>Summary!V18</f>
        <v/>
      </c>
      <c r="W18" s="6">
        <f>Summary!W18</f>
        <v/>
      </c>
      <c r="X18" s="6">
        <f>Summary!X18</f>
        <v/>
      </c>
      <c r="Y18" s="6">
        <f>Summary!Y18</f>
        <v/>
      </c>
      <c r="Z18" s="6">
        <f>Summary!Z18</f>
        <v/>
      </c>
      <c r="AA18" s="6">
        <f>Summary!AA18</f>
        <v/>
      </c>
      <c r="AB18" s="6">
        <f>SUM(D18:AA18)</f>
        <v/>
      </c>
      <c r="AC18" s="3" t="inlineStr"/>
      <c r="AD18" s="7">
        <f>D18*0.0029</f>
        <v/>
      </c>
      <c r="AE18" s="7">
        <f>E18*0.0029</f>
        <v/>
      </c>
      <c r="AF18" s="7">
        <f>F18*0.0029</f>
        <v/>
      </c>
      <c r="AG18" s="7">
        <f>G18*0.0029</f>
        <v/>
      </c>
      <c r="AH18" s="7">
        <f>H18*0.0029</f>
        <v/>
      </c>
      <c r="AI18" s="7">
        <f>I18*0.0029</f>
        <v/>
      </c>
      <c r="AJ18" s="7">
        <f>J18*0.0029</f>
        <v/>
      </c>
      <c r="AK18" s="7">
        <f>K18*0.0029</f>
        <v/>
      </c>
      <c r="AL18" s="7">
        <f>L18*0.0029</f>
        <v/>
      </c>
      <c r="AM18" s="7">
        <f>M18*0.0029</f>
        <v/>
      </c>
      <c r="AN18" s="7">
        <f>N18*0.0029</f>
        <v/>
      </c>
      <c r="AO18" s="7">
        <f>O18*0.0029</f>
        <v/>
      </c>
      <c r="AP18" s="7">
        <f>P18*0.0029</f>
        <v/>
      </c>
      <c r="AQ18" s="7">
        <f>Q18*0.0029</f>
        <v/>
      </c>
      <c r="AR18" s="7">
        <f>R18*0.0029</f>
        <v/>
      </c>
      <c r="AS18" s="7">
        <f>S18*0.0029</f>
        <v/>
      </c>
      <c r="AT18" s="7">
        <f>T18*0.0029</f>
        <v/>
      </c>
      <c r="AU18" s="7">
        <f>U18*0.0029</f>
        <v/>
      </c>
      <c r="AV18" s="7">
        <f>V18*0.0029</f>
        <v/>
      </c>
      <c r="AW18" s="7">
        <f>W18*0.0029</f>
        <v/>
      </c>
      <c r="AX18" s="7">
        <f>X18*0.0029</f>
        <v/>
      </c>
      <c r="AY18" s="7">
        <f>Y18*0.0029</f>
        <v/>
      </c>
      <c r="AZ18" s="7">
        <f>Z18*0.0029</f>
        <v/>
      </c>
      <c r="BA18" s="7">
        <f>AA18*0.0029</f>
        <v/>
      </c>
      <c r="BB18" s="7">
        <f>SUM(AD18:BA18)</f>
        <v/>
      </c>
    </row>
    <row r="19">
      <c r="A19" t="inlineStr">
        <is>
          <t>AMD-EXPR</t>
        </is>
      </c>
      <c r="B19" t="inlineStr">
        <is>
          <t>DSC Manual</t>
        </is>
      </c>
      <c r="C19" s="5" t="n">
        <v>46097</v>
      </c>
      <c r="D19" s="6">
        <f>Summary!D19</f>
        <v/>
      </c>
      <c r="E19" s="6">
        <f>Summary!E19</f>
        <v/>
      </c>
      <c r="F19" s="6">
        <f>Summary!F19</f>
        <v/>
      </c>
      <c r="G19" s="6">
        <f>Summary!G19</f>
        <v/>
      </c>
      <c r="H19" s="6">
        <f>Summary!H19</f>
        <v/>
      </c>
      <c r="I19" s="6">
        <f>Summary!I19</f>
        <v/>
      </c>
      <c r="J19" s="6">
        <f>Summary!J19</f>
        <v/>
      </c>
      <c r="K19" s="6">
        <f>Summary!K19</f>
        <v/>
      </c>
      <c r="L19" s="6">
        <f>Summary!L19</f>
        <v/>
      </c>
      <c r="M19" s="6">
        <f>Summary!M19</f>
        <v/>
      </c>
      <c r="N19" s="6">
        <f>Summary!N19</f>
        <v/>
      </c>
      <c r="O19" s="6">
        <f>Summary!O19</f>
        <v/>
      </c>
      <c r="P19" s="6">
        <f>Summary!P19</f>
        <v/>
      </c>
      <c r="Q19" s="6">
        <f>Summary!Q19</f>
        <v/>
      </c>
      <c r="R19" s="6">
        <f>Summary!R19</f>
        <v/>
      </c>
      <c r="S19" s="6">
        <f>Summary!S19</f>
        <v/>
      </c>
      <c r="T19" s="6">
        <f>Summary!T19</f>
        <v/>
      </c>
      <c r="U19" s="6">
        <f>Summary!U19</f>
        <v/>
      </c>
      <c r="V19" s="6">
        <f>Summary!V19</f>
        <v/>
      </c>
      <c r="W19" s="6">
        <f>Summary!W19</f>
        <v/>
      </c>
      <c r="X19" s="6">
        <f>Summary!X19</f>
        <v/>
      </c>
      <c r="Y19" s="6">
        <f>Summary!Y19</f>
        <v/>
      </c>
      <c r="Z19" s="6">
        <f>Summary!Z19</f>
        <v/>
      </c>
      <c r="AA19" s="6">
        <f>Summary!AA19</f>
        <v/>
      </c>
      <c r="AB19" s="6">
        <f>SUM(D19:AA19)</f>
        <v/>
      </c>
      <c r="AC19" s="3" t="inlineStr"/>
      <c r="AD19" s="7">
        <f>D19*0.0029</f>
        <v/>
      </c>
      <c r="AE19" s="7">
        <f>E19*0.0029</f>
        <v/>
      </c>
      <c r="AF19" s="7">
        <f>F19*0.0029</f>
        <v/>
      </c>
      <c r="AG19" s="7">
        <f>G19*0.0029</f>
        <v/>
      </c>
      <c r="AH19" s="7">
        <f>H19*0.0029</f>
        <v/>
      </c>
      <c r="AI19" s="7">
        <f>I19*0.0029</f>
        <v/>
      </c>
      <c r="AJ19" s="7">
        <f>J19*0.0029</f>
        <v/>
      </c>
      <c r="AK19" s="7">
        <f>K19*0.0029</f>
        <v/>
      </c>
      <c r="AL19" s="7">
        <f>L19*0.0029</f>
        <v/>
      </c>
      <c r="AM19" s="7">
        <f>M19*0.0029</f>
        <v/>
      </c>
      <c r="AN19" s="7">
        <f>N19*0.0029</f>
        <v/>
      </c>
      <c r="AO19" s="7">
        <f>O19*0.0029</f>
        <v/>
      </c>
      <c r="AP19" s="7">
        <f>P19*0.0029</f>
        <v/>
      </c>
      <c r="AQ19" s="7">
        <f>Q19*0.0029</f>
        <v/>
      </c>
      <c r="AR19" s="7">
        <f>R19*0.0029</f>
        <v/>
      </c>
      <c r="AS19" s="7">
        <f>S19*0.0029</f>
        <v/>
      </c>
      <c r="AT19" s="7">
        <f>T19*0.0029</f>
        <v/>
      </c>
      <c r="AU19" s="7">
        <f>U19*0.0029</f>
        <v/>
      </c>
      <c r="AV19" s="7">
        <f>V19*0.0029</f>
        <v/>
      </c>
      <c r="AW19" s="7">
        <f>W19*0.0029</f>
        <v/>
      </c>
      <c r="AX19" s="7">
        <f>X19*0.0029</f>
        <v/>
      </c>
      <c r="AY19" s="7">
        <f>Y19*0.0029</f>
        <v/>
      </c>
      <c r="AZ19" s="7">
        <f>Z19*0.0029</f>
        <v/>
      </c>
      <c r="BA19" s="7">
        <f>AA19*0.0029</f>
        <v/>
      </c>
      <c r="BB19" s="7">
        <f>SUM(AD19:BA19)</f>
        <v/>
      </c>
    </row>
    <row r="20">
      <c r="A20" t="inlineStr">
        <is>
          <t>AMD-EXPR</t>
        </is>
      </c>
      <c r="B20" t="inlineStr">
        <is>
          <t>DSC Manual</t>
        </is>
      </c>
      <c r="C20" s="5" t="n">
        <v>46099</v>
      </c>
      <c r="D20" s="6">
        <f>Summary!D20</f>
        <v/>
      </c>
      <c r="E20" s="6">
        <f>Summary!E20</f>
        <v/>
      </c>
      <c r="F20" s="6">
        <f>Summary!F20</f>
        <v/>
      </c>
      <c r="G20" s="6">
        <f>Summary!G20</f>
        <v/>
      </c>
      <c r="H20" s="6">
        <f>Summary!H20</f>
        <v/>
      </c>
      <c r="I20" s="6">
        <f>Summary!I20</f>
        <v/>
      </c>
      <c r="J20" s="6">
        <f>Summary!J20</f>
        <v/>
      </c>
      <c r="K20" s="6">
        <f>Summary!K20</f>
        <v/>
      </c>
      <c r="L20" s="6">
        <f>Summary!L20</f>
        <v/>
      </c>
      <c r="M20" s="6">
        <f>Summary!M20</f>
        <v/>
      </c>
      <c r="N20" s="6">
        <f>Summary!N20</f>
        <v/>
      </c>
      <c r="O20" s="6">
        <f>Summary!O20</f>
        <v/>
      </c>
      <c r="P20" s="6">
        <f>Summary!P20</f>
        <v/>
      </c>
      <c r="Q20" s="6">
        <f>Summary!Q20</f>
        <v/>
      </c>
      <c r="R20" s="6">
        <f>Summary!R20</f>
        <v/>
      </c>
      <c r="S20" s="6">
        <f>Summary!S20</f>
        <v/>
      </c>
      <c r="T20" s="6">
        <f>Summary!T20</f>
        <v/>
      </c>
      <c r="U20" s="6">
        <f>Summary!U20</f>
        <v/>
      </c>
      <c r="V20" s="6">
        <f>Summary!V20</f>
        <v/>
      </c>
      <c r="W20" s="6">
        <f>Summary!W20</f>
        <v/>
      </c>
      <c r="X20" s="6">
        <f>Summary!X20</f>
        <v/>
      </c>
      <c r="Y20" s="6">
        <f>Summary!Y20</f>
        <v/>
      </c>
      <c r="Z20" s="6">
        <f>Summary!Z20</f>
        <v/>
      </c>
      <c r="AA20" s="6">
        <f>Summary!AA20</f>
        <v/>
      </c>
      <c r="AB20" s="6">
        <f>SUM(D20:AA20)</f>
        <v/>
      </c>
      <c r="AC20" s="3" t="inlineStr"/>
      <c r="AD20" s="7">
        <f>D20*0.0029</f>
        <v/>
      </c>
      <c r="AE20" s="7">
        <f>E20*0.0029</f>
        <v/>
      </c>
      <c r="AF20" s="7">
        <f>F20*0.0029</f>
        <v/>
      </c>
      <c r="AG20" s="7">
        <f>G20*0.0029</f>
        <v/>
      </c>
      <c r="AH20" s="7">
        <f>H20*0.0029</f>
        <v/>
      </c>
      <c r="AI20" s="7">
        <f>I20*0.0029</f>
        <v/>
      </c>
      <c r="AJ20" s="7">
        <f>J20*0.0029</f>
        <v/>
      </c>
      <c r="AK20" s="7">
        <f>K20*0.0029</f>
        <v/>
      </c>
      <c r="AL20" s="7">
        <f>L20*0.0029</f>
        <v/>
      </c>
      <c r="AM20" s="7">
        <f>M20*0.0029</f>
        <v/>
      </c>
      <c r="AN20" s="7">
        <f>N20*0.0029</f>
        <v/>
      </c>
      <c r="AO20" s="7">
        <f>O20*0.0029</f>
        <v/>
      </c>
      <c r="AP20" s="7">
        <f>P20*0.0029</f>
        <v/>
      </c>
      <c r="AQ20" s="7">
        <f>Q20*0.0029</f>
        <v/>
      </c>
      <c r="AR20" s="7">
        <f>R20*0.0029</f>
        <v/>
      </c>
      <c r="AS20" s="7">
        <f>S20*0.0029</f>
        <v/>
      </c>
      <c r="AT20" s="7">
        <f>T20*0.0029</f>
        <v/>
      </c>
      <c r="AU20" s="7">
        <f>U20*0.0029</f>
        <v/>
      </c>
      <c r="AV20" s="7">
        <f>V20*0.0029</f>
        <v/>
      </c>
      <c r="AW20" s="7">
        <f>W20*0.0029</f>
        <v/>
      </c>
      <c r="AX20" s="7">
        <f>X20*0.0029</f>
        <v/>
      </c>
      <c r="AY20" s="7">
        <f>Y20*0.0029</f>
        <v/>
      </c>
      <c r="AZ20" s="7">
        <f>Z20*0.0029</f>
        <v/>
      </c>
      <c r="BA20" s="7">
        <f>AA20*0.0029</f>
        <v/>
      </c>
      <c r="BB20" s="7">
        <f>SUM(AD20:BA20)</f>
        <v/>
      </c>
    </row>
    <row r="21">
      <c r="A21" t="inlineStr">
        <is>
          <t>AMD-EXPR</t>
        </is>
      </c>
      <c r="B21" t="inlineStr">
        <is>
          <t>DSC Manual</t>
        </is>
      </c>
      <c r="C21" s="5" t="n">
        <v>46100</v>
      </c>
      <c r="D21" s="6">
        <f>Summary!D21</f>
        <v/>
      </c>
      <c r="E21" s="6">
        <f>Summary!E21</f>
        <v/>
      </c>
      <c r="F21" s="6">
        <f>Summary!F21</f>
        <v/>
      </c>
      <c r="G21" s="6">
        <f>Summary!G21</f>
        <v/>
      </c>
      <c r="H21" s="6">
        <f>Summary!H21</f>
        <v/>
      </c>
      <c r="I21" s="6">
        <f>Summary!I21</f>
        <v/>
      </c>
      <c r="J21" s="6">
        <f>Summary!J21</f>
        <v/>
      </c>
      <c r="K21" s="6">
        <f>Summary!K21</f>
        <v/>
      </c>
      <c r="L21" s="6">
        <f>Summary!L21</f>
        <v/>
      </c>
      <c r="M21" s="6">
        <f>Summary!M21</f>
        <v/>
      </c>
      <c r="N21" s="6">
        <f>Summary!N21</f>
        <v/>
      </c>
      <c r="O21" s="6">
        <f>Summary!O21</f>
        <v/>
      </c>
      <c r="P21" s="6">
        <f>Summary!P21</f>
        <v/>
      </c>
      <c r="Q21" s="6">
        <f>Summary!Q21</f>
        <v/>
      </c>
      <c r="R21" s="6">
        <f>Summary!R21</f>
        <v/>
      </c>
      <c r="S21" s="6">
        <f>Summary!S21</f>
        <v/>
      </c>
      <c r="T21" s="6">
        <f>Summary!T21</f>
        <v/>
      </c>
      <c r="U21" s="6">
        <f>Summary!U21</f>
        <v/>
      </c>
      <c r="V21" s="6">
        <f>Summary!V21</f>
        <v/>
      </c>
      <c r="W21" s="6">
        <f>Summary!W21</f>
        <v/>
      </c>
      <c r="X21" s="6">
        <f>Summary!X21</f>
        <v/>
      </c>
      <c r="Y21" s="6">
        <f>Summary!Y21</f>
        <v/>
      </c>
      <c r="Z21" s="6">
        <f>Summary!Z21</f>
        <v/>
      </c>
      <c r="AA21" s="6">
        <f>Summary!AA21</f>
        <v/>
      </c>
      <c r="AB21" s="6">
        <f>SUM(D21:AA21)</f>
        <v/>
      </c>
      <c r="AC21" s="3" t="inlineStr"/>
      <c r="AD21" s="7">
        <f>D21*0.0029</f>
        <v/>
      </c>
      <c r="AE21" s="7">
        <f>E21*0.0029</f>
        <v/>
      </c>
      <c r="AF21" s="7">
        <f>F21*0.0029</f>
        <v/>
      </c>
      <c r="AG21" s="7">
        <f>G21*0.0029</f>
        <v/>
      </c>
      <c r="AH21" s="7">
        <f>H21*0.0029</f>
        <v/>
      </c>
      <c r="AI21" s="7">
        <f>I21*0.0029</f>
        <v/>
      </c>
      <c r="AJ21" s="7">
        <f>J21*0.0029</f>
        <v/>
      </c>
      <c r="AK21" s="7">
        <f>K21*0.0029</f>
        <v/>
      </c>
      <c r="AL21" s="7">
        <f>L21*0.0029</f>
        <v/>
      </c>
      <c r="AM21" s="7">
        <f>M21*0.0029</f>
        <v/>
      </c>
      <c r="AN21" s="7">
        <f>N21*0.0029</f>
        <v/>
      </c>
      <c r="AO21" s="7">
        <f>O21*0.0029</f>
        <v/>
      </c>
      <c r="AP21" s="7">
        <f>P21*0.0029</f>
        <v/>
      </c>
      <c r="AQ21" s="7">
        <f>Q21*0.0029</f>
        <v/>
      </c>
      <c r="AR21" s="7">
        <f>R21*0.0029</f>
        <v/>
      </c>
      <c r="AS21" s="7">
        <f>S21*0.0029</f>
        <v/>
      </c>
      <c r="AT21" s="7">
        <f>T21*0.0029</f>
        <v/>
      </c>
      <c r="AU21" s="7">
        <f>U21*0.0029</f>
        <v/>
      </c>
      <c r="AV21" s="7">
        <f>V21*0.0029</f>
        <v/>
      </c>
      <c r="AW21" s="7">
        <f>W21*0.0029</f>
        <v/>
      </c>
      <c r="AX21" s="7">
        <f>X21*0.0029</f>
        <v/>
      </c>
      <c r="AY21" s="7">
        <f>Y21*0.0029</f>
        <v/>
      </c>
      <c r="AZ21" s="7">
        <f>Z21*0.0029</f>
        <v/>
      </c>
      <c r="BA21" s="7">
        <f>AA21*0.0029</f>
        <v/>
      </c>
      <c r="BB21" s="7">
        <f>SUM(AD21:BA21)</f>
        <v/>
      </c>
    </row>
    <row r="22">
      <c r="A22" t="inlineStr">
        <is>
          <t>AMD-EXPR</t>
        </is>
      </c>
      <c r="B22" t="inlineStr">
        <is>
          <t>DSC Manual</t>
        </is>
      </c>
      <c r="C22" s="5" t="n">
        <v>46102</v>
      </c>
      <c r="D22" s="6">
        <f>Summary!D22</f>
        <v/>
      </c>
      <c r="E22" s="6">
        <f>Summary!E22</f>
        <v/>
      </c>
      <c r="F22" s="6">
        <f>Summary!F22</f>
        <v/>
      </c>
      <c r="G22" s="6">
        <f>Summary!G22</f>
        <v/>
      </c>
      <c r="H22" s="6">
        <f>Summary!H22</f>
        <v/>
      </c>
      <c r="I22" s="6">
        <f>Summary!I22</f>
        <v/>
      </c>
      <c r="J22" s="6">
        <f>Summary!J22</f>
        <v/>
      </c>
      <c r="K22" s="6">
        <f>Summary!K22</f>
        <v/>
      </c>
      <c r="L22" s="6">
        <f>Summary!L22</f>
        <v/>
      </c>
      <c r="M22" s="6">
        <f>Summary!M22</f>
        <v/>
      </c>
      <c r="N22" s="6">
        <f>Summary!N22</f>
        <v/>
      </c>
      <c r="O22" s="6">
        <f>Summary!O22</f>
        <v/>
      </c>
      <c r="P22" s="6">
        <f>Summary!P22</f>
        <v/>
      </c>
      <c r="Q22" s="6">
        <f>Summary!Q22</f>
        <v/>
      </c>
      <c r="R22" s="6">
        <f>Summary!R22</f>
        <v/>
      </c>
      <c r="S22" s="6">
        <f>Summary!S22</f>
        <v/>
      </c>
      <c r="T22" s="6">
        <f>Summary!T22</f>
        <v/>
      </c>
      <c r="U22" s="6">
        <f>Summary!U22</f>
        <v/>
      </c>
      <c r="V22" s="6">
        <f>Summary!V22</f>
        <v/>
      </c>
      <c r="W22" s="6">
        <f>Summary!W22</f>
        <v/>
      </c>
      <c r="X22" s="6">
        <f>Summary!X22</f>
        <v/>
      </c>
      <c r="Y22" s="6">
        <f>Summary!Y22</f>
        <v/>
      </c>
      <c r="Z22" s="6">
        <f>Summary!Z22</f>
        <v/>
      </c>
      <c r="AA22" s="6">
        <f>Summary!AA22</f>
        <v/>
      </c>
      <c r="AB22" s="6">
        <f>SUM(D22:AA22)</f>
        <v/>
      </c>
      <c r="AC22" s="3" t="inlineStr"/>
      <c r="AD22" s="7">
        <f>D22*0.0029</f>
        <v/>
      </c>
      <c r="AE22" s="7">
        <f>E22*0.0029</f>
        <v/>
      </c>
      <c r="AF22" s="7">
        <f>F22*0.0029</f>
        <v/>
      </c>
      <c r="AG22" s="7">
        <f>G22*0.0029</f>
        <v/>
      </c>
      <c r="AH22" s="7">
        <f>H22*0.0029</f>
        <v/>
      </c>
      <c r="AI22" s="7">
        <f>I22*0.0029</f>
        <v/>
      </c>
      <c r="AJ22" s="7">
        <f>J22*0.0029</f>
        <v/>
      </c>
      <c r="AK22" s="7">
        <f>K22*0.0029</f>
        <v/>
      </c>
      <c r="AL22" s="7">
        <f>L22*0.0029</f>
        <v/>
      </c>
      <c r="AM22" s="7">
        <f>M22*0.0029</f>
        <v/>
      </c>
      <c r="AN22" s="7">
        <f>N22*0.0029</f>
        <v/>
      </c>
      <c r="AO22" s="7">
        <f>O22*0.0029</f>
        <v/>
      </c>
      <c r="AP22" s="7">
        <f>P22*0.0029</f>
        <v/>
      </c>
      <c r="AQ22" s="7">
        <f>Q22*0.0029</f>
        <v/>
      </c>
      <c r="AR22" s="7">
        <f>R22*0.0029</f>
        <v/>
      </c>
      <c r="AS22" s="7">
        <f>S22*0.0029</f>
        <v/>
      </c>
      <c r="AT22" s="7">
        <f>T22*0.0029</f>
        <v/>
      </c>
      <c r="AU22" s="7">
        <f>U22*0.0029</f>
        <v/>
      </c>
      <c r="AV22" s="7">
        <f>V22*0.0029</f>
        <v/>
      </c>
      <c r="AW22" s="7">
        <f>W22*0.0029</f>
        <v/>
      </c>
      <c r="AX22" s="7">
        <f>X22*0.0029</f>
        <v/>
      </c>
      <c r="AY22" s="7">
        <f>Y22*0.0029</f>
        <v/>
      </c>
      <c r="AZ22" s="7">
        <f>Z22*0.0029</f>
        <v/>
      </c>
      <c r="BA22" s="7">
        <f>AA22*0.0029</f>
        <v/>
      </c>
      <c r="BB22" s="7">
        <f>SUM(AD22:BA22)</f>
        <v/>
      </c>
    </row>
    <row r="23">
      <c r="A23" t="inlineStr">
        <is>
          <t>AMD-EXPR</t>
        </is>
      </c>
      <c r="B23" t="inlineStr">
        <is>
          <t>DSC Manual</t>
        </is>
      </c>
      <c r="C23" s="5" t="n">
        <v>46103</v>
      </c>
      <c r="D23" s="6">
        <f>Summary!D23</f>
        <v/>
      </c>
      <c r="E23" s="6">
        <f>Summary!E23</f>
        <v/>
      </c>
      <c r="F23" s="6">
        <f>Summary!F23</f>
        <v/>
      </c>
      <c r="G23" s="6">
        <f>Summary!G23</f>
        <v/>
      </c>
      <c r="H23" s="6">
        <f>Summary!H23</f>
        <v/>
      </c>
      <c r="I23" s="6">
        <f>Summary!I23</f>
        <v/>
      </c>
      <c r="J23" s="6">
        <f>Summary!J23</f>
        <v/>
      </c>
      <c r="K23" s="6">
        <f>Summary!K23</f>
        <v/>
      </c>
      <c r="L23" s="6">
        <f>Summary!L23</f>
        <v/>
      </c>
      <c r="M23" s="6">
        <f>Summary!M23</f>
        <v/>
      </c>
      <c r="N23" s="6">
        <f>Summary!N23</f>
        <v/>
      </c>
      <c r="O23" s="6">
        <f>Summary!O23</f>
        <v/>
      </c>
      <c r="P23" s="6">
        <f>Summary!P23</f>
        <v/>
      </c>
      <c r="Q23" s="6">
        <f>Summary!Q23</f>
        <v/>
      </c>
      <c r="R23" s="6">
        <f>Summary!R23</f>
        <v/>
      </c>
      <c r="S23" s="6">
        <f>Summary!S23</f>
        <v/>
      </c>
      <c r="T23" s="6">
        <f>Summary!T23</f>
        <v/>
      </c>
      <c r="U23" s="6">
        <f>Summary!U23</f>
        <v/>
      </c>
      <c r="V23" s="6">
        <f>Summary!V23</f>
        <v/>
      </c>
      <c r="W23" s="6">
        <f>Summary!W23</f>
        <v/>
      </c>
      <c r="X23" s="6">
        <f>Summary!X23</f>
        <v/>
      </c>
      <c r="Y23" s="6">
        <f>Summary!Y23</f>
        <v/>
      </c>
      <c r="Z23" s="6">
        <f>Summary!Z23</f>
        <v/>
      </c>
      <c r="AA23" s="6">
        <f>Summary!AA23</f>
        <v/>
      </c>
      <c r="AB23" s="6">
        <f>SUM(D23:AA23)</f>
        <v/>
      </c>
      <c r="AC23" s="3" t="inlineStr"/>
      <c r="AD23" s="7">
        <f>D23*0.0029</f>
        <v/>
      </c>
      <c r="AE23" s="7">
        <f>E23*0.0029</f>
        <v/>
      </c>
      <c r="AF23" s="7">
        <f>F23*0.0029</f>
        <v/>
      </c>
      <c r="AG23" s="7">
        <f>G23*0.0029</f>
        <v/>
      </c>
      <c r="AH23" s="7">
        <f>H23*0.0029</f>
        <v/>
      </c>
      <c r="AI23" s="7">
        <f>I23*0.0029</f>
        <v/>
      </c>
      <c r="AJ23" s="7">
        <f>J23*0.0029</f>
        <v/>
      </c>
      <c r="AK23" s="7">
        <f>K23*0.0029</f>
        <v/>
      </c>
      <c r="AL23" s="7">
        <f>L23*0.0029</f>
        <v/>
      </c>
      <c r="AM23" s="7">
        <f>M23*0.0029</f>
        <v/>
      </c>
      <c r="AN23" s="7">
        <f>N23*0.0029</f>
        <v/>
      </c>
      <c r="AO23" s="7">
        <f>O23*0.0029</f>
        <v/>
      </c>
      <c r="AP23" s="7">
        <f>P23*0.0029</f>
        <v/>
      </c>
      <c r="AQ23" s="7">
        <f>Q23*0.0029</f>
        <v/>
      </c>
      <c r="AR23" s="7">
        <f>R23*0.0029</f>
        <v/>
      </c>
      <c r="AS23" s="7">
        <f>S23*0.0029</f>
        <v/>
      </c>
      <c r="AT23" s="7">
        <f>T23*0.0029</f>
        <v/>
      </c>
      <c r="AU23" s="7">
        <f>U23*0.0029</f>
        <v/>
      </c>
      <c r="AV23" s="7">
        <f>V23*0.0029</f>
        <v/>
      </c>
      <c r="AW23" s="7">
        <f>W23*0.0029</f>
        <v/>
      </c>
      <c r="AX23" s="7">
        <f>X23*0.0029</f>
        <v/>
      </c>
      <c r="AY23" s="7">
        <f>Y23*0.0029</f>
        <v/>
      </c>
      <c r="AZ23" s="7">
        <f>Z23*0.0029</f>
        <v/>
      </c>
      <c r="BA23" s="7">
        <f>AA23*0.0029</f>
        <v/>
      </c>
      <c r="BB23" s="7">
        <f>SUM(AD23:BA23)</f>
        <v/>
      </c>
    </row>
    <row r="24">
      <c r="A24" t="inlineStr">
        <is>
          <t>AMD-EXPR</t>
        </is>
      </c>
      <c r="B24" t="inlineStr">
        <is>
          <t>DSC Manual</t>
        </is>
      </c>
      <c r="C24" s="5" t="n">
        <v>46104</v>
      </c>
      <c r="D24" s="6">
        <f>Summary!D24</f>
        <v/>
      </c>
      <c r="E24" s="6">
        <f>Summary!E24</f>
        <v/>
      </c>
      <c r="F24" s="6">
        <f>Summary!F24</f>
        <v/>
      </c>
      <c r="G24" s="6">
        <f>Summary!G24</f>
        <v/>
      </c>
      <c r="H24" s="6">
        <f>Summary!H24</f>
        <v/>
      </c>
      <c r="I24" s="6">
        <f>Summary!I24</f>
        <v/>
      </c>
      <c r="J24" s="6">
        <f>Summary!J24</f>
        <v/>
      </c>
      <c r="K24" s="6">
        <f>Summary!K24</f>
        <v/>
      </c>
      <c r="L24" s="6">
        <f>Summary!L24</f>
        <v/>
      </c>
      <c r="M24" s="6">
        <f>Summary!M24</f>
        <v/>
      </c>
      <c r="N24" s="6">
        <f>Summary!N24</f>
        <v/>
      </c>
      <c r="O24" s="6">
        <f>Summary!O24</f>
        <v/>
      </c>
      <c r="P24" s="6">
        <f>Summary!P24</f>
        <v/>
      </c>
      <c r="Q24" s="6">
        <f>Summary!Q24</f>
        <v/>
      </c>
      <c r="R24" s="6">
        <f>Summary!R24</f>
        <v/>
      </c>
      <c r="S24" s="6">
        <f>Summary!S24</f>
        <v/>
      </c>
      <c r="T24" s="6">
        <f>Summary!T24</f>
        <v/>
      </c>
      <c r="U24" s="6">
        <f>Summary!U24</f>
        <v/>
      </c>
      <c r="V24" s="6">
        <f>Summary!V24</f>
        <v/>
      </c>
      <c r="W24" s="6">
        <f>Summary!W24</f>
        <v/>
      </c>
      <c r="X24" s="6">
        <f>Summary!X24</f>
        <v/>
      </c>
      <c r="Y24" s="6">
        <f>Summary!Y24</f>
        <v/>
      </c>
      <c r="Z24" s="6">
        <f>Summary!Z24</f>
        <v/>
      </c>
      <c r="AA24" s="6">
        <f>Summary!AA24</f>
        <v/>
      </c>
      <c r="AB24" s="6">
        <f>SUM(D24:AA24)</f>
        <v/>
      </c>
      <c r="AC24" s="3" t="inlineStr"/>
      <c r="AD24" s="7">
        <f>D24*0.0029</f>
        <v/>
      </c>
      <c r="AE24" s="7">
        <f>E24*0.0029</f>
        <v/>
      </c>
      <c r="AF24" s="7">
        <f>F24*0.0029</f>
        <v/>
      </c>
      <c r="AG24" s="7">
        <f>G24*0.0029</f>
        <v/>
      </c>
      <c r="AH24" s="7">
        <f>H24*0.0029</f>
        <v/>
      </c>
      <c r="AI24" s="7">
        <f>I24*0.0029</f>
        <v/>
      </c>
      <c r="AJ24" s="7">
        <f>J24*0.0029</f>
        <v/>
      </c>
      <c r="AK24" s="7">
        <f>K24*0.0029</f>
        <v/>
      </c>
      <c r="AL24" s="7">
        <f>L24*0.0029</f>
        <v/>
      </c>
      <c r="AM24" s="7">
        <f>M24*0.0029</f>
        <v/>
      </c>
      <c r="AN24" s="7">
        <f>N24*0.0029</f>
        <v/>
      </c>
      <c r="AO24" s="7">
        <f>O24*0.0029</f>
        <v/>
      </c>
      <c r="AP24" s="7">
        <f>P24*0.0029</f>
        <v/>
      </c>
      <c r="AQ24" s="7">
        <f>Q24*0.0029</f>
        <v/>
      </c>
      <c r="AR24" s="7">
        <f>R24*0.0029</f>
        <v/>
      </c>
      <c r="AS24" s="7">
        <f>S24*0.0029</f>
        <v/>
      </c>
      <c r="AT24" s="7">
        <f>T24*0.0029</f>
        <v/>
      </c>
      <c r="AU24" s="7">
        <f>U24*0.0029</f>
        <v/>
      </c>
      <c r="AV24" s="7">
        <f>V24*0.0029</f>
        <v/>
      </c>
      <c r="AW24" s="7">
        <f>W24*0.0029</f>
        <v/>
      </c>
      <c r="AX24" s="7">
        <f>X24*0.0029</f>
        <v/>
      </c>
      <c r="AY24" s="7">
        <f>Y24*0.0029</f>
        <v/>
      </c>
      <c r="AZ24" s="7">
        <f>Z24*0.0029</f>
        <v/>
      </c>
      <c r="BA24" s="7">
        <f>AA24*0.0029</f>
        <v/>
      </c>
      <c r="BB24" s="7">
        <f>SUM(AD24:BA24)</f>
        <v/>
      </c>
    </row>
    <row r="25">
      <c r="A25" t="inlineStr">
        <is>
          <t>AMD-EXPR</t>
        </is>
      </c>
      <c r="B25" t="inlineStr">
        <is>
          <t>DSC Manual</t>
        </is>
      </c>
      <c r="C25" s="5" t="n">
        <v>46105</v>
      </c>
      <c r="D25" s="6">
        <f>Summary!D25</f>
        <v/>
      </c>
      <c r="E25" s="6">
        <f>Summary!E25</f>
        <v/>
      </c>
      <c r="F25" s="6">
        <f>Summary!F25</f>
        <v/>
      </c>
      <c r="G25" s="6">
        <f>Summary!G25</f>
        <v/>
      </c>
      <c r="H25" s="6">
        <f>Summary!H25</f>
        <v/>
      </c>
      <c r="I25" s="6">
        <f>Summary!I25</f>
        <v/>
      </c>
      <c r="J25" s="6">
        <f>Summary!J25</f>
        <v/>
      </c>
      <c r="K25" s="6">
        <f>Summary!K25</f>
        <v/>
      </c>
      <c r="L25" s="6">
        <f>Summary!L25</f>
        <v/>
      </c>
      <c r="M25" s="6">
        <f>Summary!M25</f>
        <v/>
      </c>
      <c r="N25" s="6">
        <f>Summary!N25</f>
        <v/>
      </c>
      <c r="O25" s="6">
        <f>Summary!O25</f>
        <v/>
      </c>
      <c r="P25" s="6">
        <f>Summary!P25</f>
        <v/>
      </c>
      <c r="Q25" s="6">
        <f>Summary!Q25</f>
        <v/>
      </c>
      <c r="R25" s="6">
        <f>Summary!R25</f>
        <v/>
      </c>
      <c r="S25" s="6">
        <f>Summary!S25</f>
        <v/>
      </c>
      <c r="T25" s="6">
        <f>Summary!T25</f>
        <v/>
      </c>
      <c r="U25" s="6">
        <f>Summary!U25</f>
        <v/>
      </c>
      <c r="V25" s="6">
        <f>Summary!V25</f>
        <v/>
      </c>
      <c r="W25" s="6">
        <f>Summary!W25</f>
        <v/>
      </c>
      <c r="X25" s="6">
        <f>Summary!X25</f>
        <v/>
      </c>
      <c r="Y25" s="6">
        <f>Summary!Y25</f>
        <v/>
      </c>
      <c r="Z25" s="6">
        <f>Summary!Z25</f>
        <v/>
      </c>
      <c r="AA25" s="6">
        <f>Summary!AA25</f>
        <v/>
      </c>
      <c r="AB25" s="6">
        <f>SUM(D25:AA25)</f>
        <v/>
      </c>
      <c r="AC25" s="3" t="inlineStr"/>
      <c r="AD25" s="7">
        <f>D25*0.0029</f>
        <v/>
      </c>
      <c r="AE25" s="7">
        <f>E25*0.0029</f>
        <v/>
      </c>
      <c r="AF25" s="7">
        <f>F25*0.0029</f>
        <v/>
      </c>
      <c r="AG25" s="7">
        <f>G25*0.0029</f>
        <v/>
      </c>
      <c r="AH25" s="7">
        <f>H25*0.0029</f>
        <v/>
      </c>
      <c r="AI25" s="7">
        <f>I25*0.0029</f>
        <v/>
      </c>
      <c r="AJ25" s="7">
        <f>J25*0.0029</f>
        <v/>
      </c>
      <c r="AK25" s="7">
        <f>K25*0.0029</f>
        <v/>
      </c>
      <c r="AL25" s="7">
        <f>L25*0.0029</f>
        <v/>
      </c>
      <c r="AM25" s="7">
        <f>M25*0.0029</f>
        <v/>
      </c>
      <c r="AN25" s="7">
        <f>N25*0.0029</f>
        <v/>
      </c>
      <c r="AO25" s="7">
        <f>O25*0.0029</f>
        <v/>
      </c>
      <c r="AP25" s="7">
        <f>P25*0.0029</f>
        <v/>
      </c>
      <c r="AQ25" s="7">
        <f>Q25*0.0029</f>
        <v/>
      </c>
      <c r="AR25" s="7">
        <f>R25*0.0029</f>
        <v/>
      </c>
      <c r="AS25" s="7">
        <f>S25*0.0029</f>
        <v/>
      </c>
      <c r="AT25" s="7">
        <f>T25*0.0029</f>
        <v/>
      </c>
      <c r="AU25" s="7">
        <f>U25*0.0029</f>
        <v/>
      </c>
      <c r="AV25" s="7">
        <f>V25*0.0029</f>
        <v/>
      </c>
      <c r="AW25" s="7">
        <f>W25*0.0029</f>
        <v/>
      </c>
      <c r="AX25" s="7">
        <f>X25*0.0029</f>
        <v/>
      </c>
      <c r="AY25" s="7">
        <f>Y25*0.0029</f>
        <v/>
      </c>
      <c r="AZ25" s="7">
        <f>Z25*0.0029</f>
        <v/>
      </c>
      <c r="BA25" s="7">
        <f>AA25*0.0029</f>
        <v/>
      </c>
      <c r="BB25" s="7">
        <f>SUM(AD25:BA25)</f>
        <v/>
      </c>
    </row>
    <row r="26">
      <c r="A26" t="inlineStr">
        <is>
          <t>AMD-FK-SSC</t>
        </is>
      </c>
      <c r="B26" t="inlineStr">
        <is>
          <t>Prime at Client side</t>
        </is>
      </c>
      <c r="C26" s="5" t="n">
        <v>46089</v>
      </c>
      <c r="D26" s="6">
        <f>Summary!D26</f>
        <v/>
      </c>
      <c r="E26" s="6">
        <f>Summary!E26</f>
        <v/>
      </c>
      <c r="F26" s="6">
        <f>Summary!F26</f>
        <v/>
      </c>
      <c r="G26" s="6">
        <f>Summary!G26</f>
        <v/>
      </c>
      <c r="H26" s="6">
        <f>Summary!H26</f>
        <v/>
      </c>
      <c r="I26" s="6">
        <f>Summary!I26</f>
        <v/>
      </c>
      <c r="J26" s="6">
        <f>Summary!J26</f>
        <v/>
      </c>
      <c r="K26" s="6">
        <f>Summary!K26</f>
        <v/>
      </c>
      <c r="L26" s="6">
        <f>Summary!L26</f>
        <v/>
      </c>
      <c r="M26" s="6">
        <f>Summary!M26</f>
        <v/>
      </c>
      <c r="N26" s="6">
        <f>Summary!N26</f>
        <v/>
      </c>
      <c r="O26" s="6">
        <f>Summary!O26</f>
        <v/>
      </c>
      <c r="P26" s="6">
        <f>Summary!P26</f>
        <v/>
      </c>
      <c r="Q26" s="6">
        <f>Summary!Q26</f>
        <v/>
      </c>
      <c r="R26" s="6">
        <f>Summary!R26</f>
        <v/>
      </c>
      <c r="S26" s="6">
        <f>Summary!S26</f>
        <v/>
      </c>
      <c r="T26" s="6">
        <f>Summary!T26</f>
        <v/>
      </c>
      <c r="U26" s="6">
        <f>Summary!U26</f>
        <v/>
      </c>
      <c r="V26" s="6">
        <f>Summary!V26</f>
        <v/>
      </c>
      <c r="W26" s="6">
        <f>Summary!W26</f>
        <v/>
      </c>
      <c r="X26" s="6">
        <f>Summary!X26</f>
        <v/>
      </c>
      <c r="Y26" s="6">
        <f>Summary!Y26</f>
        <v/>
      </c>
      <c r="Z26" s="6">
        <f>Summary!Z26</f>
        <v/>
      </c>
      <c r="AA26" s="6">
        <f>Summary!AA26</f>
        <v/>
      </c>
      <c r="AB26" s="6">
        <f>SUM(D26:AA26)</f>
        <v/>
      </c>
      <c r="AC26" s="3" t="inlineStr"/>
      <c r="AD26" s="7">
        <f>D26*0.0029</f>
        <v/>
      </c>
      <c r="AE26" s="7">
        <f>E26*0.0029</f>
        <v/>
      </c>
      <c r="AF26" s="7">
        <f>F26*0.0029</f>
        <v/>
      </c>
      <c r="AG26" s="7">
        <f>G26*0.0029</f>
        <v/>
      </c>
      <c r="AH26" s="7">
        <f>H26*0.0029</f>
        <v/>
      </c>
      <c r="AI26" s="7">
        <f>I26*0.0029</f>
        <v/>
      </c>
      <c r="AJ26" s="7">
        <f>J26*0.0029</f>
        <v/>
      </c>
      <c r="AK26" s="7">
        <f>K26*0.0029</f>
        <v/>
      </c>
      <c r="AL26" s="7">
        <f>L26*0.0029</f>
        <v/>
      </c>
      <c r="AM26" s="7">
        <f>M26*0.0029</f>
        <v/>
      </c>
      <c r="AN26" s="7">
        <f>N26*0.0029</f>
        <v/>
      </c>
      <c r="AO26" s="7">
        <f>O26*0.0029</f>
        <v/>
      </c>
      <c r="AP26" s="7">
        <f>P26*0.0029</f>
        <v/>
      </c>
      <c r="AQ26" s="7">
        <f>Q26*0.0029</f>
        <v/>
      </c>
      <c r="AR26" s="7">
        <f>R26*0.0029</f>
        <v/>
      </c>
      <c r="AS26" s="7">
        <f>S26*0.0029</f>
        <v/>
      </c>
      <c r="AT26" s="7">
        <f>T26*0.0029</f>
        <v/>
      </c>
      <c r="AU26" s="7">
        <f>U26*0.0029</f>
        <v/>
      </c>
      <c r="AV26" s="7">
        <f>V26*0.0029</f>
        <v/>
      </c>
      <c r="AW26" s="7">
        <f>W26*0.0029</f>
        <v/>
      </c>
      <c r="AX26" s="7">
        <f>X26*0.0029</f>
        <v/>
      </c>
      <c r="AY26" s="7">
        <f>Y26*0.0029</f>
        <v/>
      </c>
      <c r="AZ26" s="7">
        <f>Z26*0.0029</f>
        <v/>
      </c>
      <c r="BA26" s="7">
        <f>AA26*0.0029</f>
        <v/>
      </c>
      <c r="BB26" s="7">
        <f>SUM(AD26:BA26)</f>
        <v/>
      </c>
    </row>
    <row r="27">
      <c r="A27" t="inlineStr">
        <is>
          <t>AMD-FK-SSC</t>
        </is>
      </c>
      <c r="B27" t="inlineStr">
        <is>
          <t>Prime at Client side</t>
        </is>
      </c>
      <c r="C27" s="5" t="n">
        <v>46090</v>
      </c>
      <c r="D27" s="6">
        <f>Summary!D27</f>
        <v/>
      </c>
      <c r="E27" s="6">
        <f>Summary!E27</f>
        <v/>
      </c>
      <c r="F27" s="6">
        <f>Summary!F27</f>
        <v/>
      </c>
      <c r="G27" s="6">
        <f>Summary!G27</f>
        <v/>
      </c>
      <c r="H27" s="6">
        <f>Summary!H27</f>
        <v/>
      </c>
      <c r="I27" s="6">
        <f>Summary!I27</f>
        <v/>
      </c>
      <c r="J27" s="6">
        <f>Summary!J27</f>
        <v/>
      </c>
      <c r="K27" s="6">
        <f>Summary!K27</f>
        <v/>
      </c>
      <c r="L27" s="6">
        <f>Summary!L27</f>
        <v/>
      </c>
      <c r="M27" s="6">
        <f>Summary!M27</f>
        <v/>
      </c>
      <c r="N27" s="6">
        <f>Summary!N27</f>
        <v/>
      </c>
      <c r="O27" s="6">
        <f>Summary!O27</f>
        <v/>
      </c>
      <c r="P27" s="6">
        <f>Summary!P27</f>
        <v/>
      </c>
      <c r="Q27" s="6">
        <f>Summary!Q27</f>
        <v/>
      </c>
      <c r="R27" s="6">
        <f>Summary!R27</f>
        <v/>
      </c>
      <c r="S27" s="6">
        <f>Summary!S27</f>
        <v/>
      </c>
      <c r="T27" s="6">
        <f>Summary!T27</f>
        <v/>
      </c>
      <c r="U27" s="6">
        <f>Summary!U27</f>
        <v/>
      </c>
      <c r="V27" s="6">
        <f>Summary!V27</f>
        <v/>
      </c>
      <c r="W27" s="6">
        <f>Summary!W27</f>
        <v/>
      </c>
      <c r="X27" s="6">
        <f>Summary!X27</f>
        <v/>
      </c>
      <c r="Y27" s="6">
        <f>Summary!Y27</f>
        <v/>
      </c>
      <c r="Z27" s="6">
        <f>Summary!Z27</f>
        <v/>
      </c>
      <c r="AA27" s="6">
        <f>Summary!AA27</f>
        <v/>
      </c>
      <c r="AB27" s="6">
        <f>SUM(D27:AA27)</f>
        <v/>
      </c>
      <c r="AC27" s="3" t="inlineStr"/>
      <c r="AD27" s="7">
        <f>D27*0.0029</f>
        <v/>
      </c>
      <c r="AE27" s="7">
        <f>E27*0.0029</f>
        <v/>
      </c>
      <c r="AF27" s="7">
        <f>F27*0.0029</f>
        <v/>
      </c>
      <c r="AG27" s="7">
        <f>G27*0.0029</f>
        <v/>
      </c>
      <c r="AH27" s="7">
        <f>H27*0.0029</f>
        <v/>
      </c>
      <c r="AI27" s="7">
        <f>I27*0.0029</f>
        <v/>
      </c>
      <c r="AJ27" s="7">
        <f>J27*0.0029</f>
        <v/>
      </c>
      <c r="AK27" s="7">
        <f>K27*0.0029</f>
        <v/>
      </c>
      <c r="AL27" s="7">
        <f>L27*0.0029</f>
        <v/>
      </c>
      <c r="AM27" s="7">
        <f>M27*0.0029</f>
        <v/>
      </c>
      <c r="AN27" s="7">
        <f>N27*0.0029</f>
        <v/>
      </c>
      <c r="AO27" s="7">
        <f>O27*0.0029</f>
        <v/>
      </c>
      <c r="AP27" s="7">
        <f>P27*0.0029</f>
        <v/>
      </c>
      <c r="AQ27" s="7">
        <f>Q27*0.0029</f>
        <v/>
      </c>
      <c r="AR27" s="7">
        <f>R27*0.0029</f>
        <v/>
      </c>
      <c r="AS27" s="7">
        <f>S27*0.0029</f>
        <v/>
      </c>
      <c r="AT27" s="7">
        <f>T27*0.0029</f>
        <v/>
      </c>
      <c r="AU27" s="7">
        <f>U27*0.0029</f>
        <v/>
      </c>
      <c r="AV27" s="7">
        <f>V27*0.0029</f>
        <v/>
      </c>
      <c r="AW27" s="7">
        <f>W27*0.0029</f>
        <v/>
      </c>
      <c r="AX27" s="7">
        <f>X27*0.0029</f>
        <v/>
      </c>
      <c r="AY27" s="7">
        <f>Y27*0.0029</f>
        <v/>
      </c>
      <c r="AZ27" s="7">
        <f>Z27*0.0029</f>
        <v/>
      </c>
      <c r="BA27" s="7">
        <f>AA27*0.0029</f>
        <v/>
      </c>
      <c r="BB27" s="7">
        <f>SUM(AD27:BA27)</f>
        <v/>
      </c>
    </row>
    <row r="28">
      <c r="A28" t="inlineStr">
        <is>
          <t>AMD-FK-SSC</t>
        </is>
      </c>
      <c r="B28" t="inlineStr">
        <is>
          <t>Prime at Client side</t>
        </is>
      </c>
      <c r="C28" s="5" t="n">
        <v>46091</v>
      </c>
      <c r="D28" s="6">
        <f>Summary!D28</f>
        <v/>
      </c>
      <c r="E28" s="6">
        <f>Summary!E28</f>
        <v/>
      </c>
      <c r="F28" s="6">
        <f>Summary!F28</f>
        <v/>
      </c>
      <c r="G28" s="6">
        <f>Summary!G28</f>
        <v/>
      </c>
      <c r="H28" s="6">
        <f>Summary!H28</f>
        <v/>
      </c>
      <c r="I28" s="6">
        <f>Summary!I28</f>
        <v/>
      </c>
      <c r="J28" s="6">
        <f>Summary!J28</f>
        <v/>
      </c>
      <c r="K28" s="6">
        <f>Summary!K28</f>
        <v/>
      </c>
      <c r="L28" s="6">
        <f>Summary!L28</f>
        <v/>
      </c>
      <c r="M28" s="6">
        <f>Summary!M28</f>
        <v/>
      </c>
      <c r="N28" s="6">
        <f>Summary!N28</f>
        <v/>
      </c>
      <c r="O28" s="6">
        <f>Summary!O28</f>
        <v/>
      </c>
      <c r="P28" s="6">
        <f>Summary!P28</f>
        <v/>
      </c>
      <c r="Q28" s="6">
        <f>Summary!Q28</f>
        <v/>
      </c>
      <c r="R28" s="6">
        <f>Summary!R28</f>
        <v/>
      </c>
      <c r="S28" s="6">
        <f>Summary!S28</f>
        <v/>
      </c>
      <c r="T28" s="6">
        <f>Summary!T28</f>
        <v/>
      </c>
      <c r="U28" s="6">
        <f>Summary!U28</f>
        <v/>
      </c>
      <c r="V28" s="6">
        <f>Summary!V28</f>
        <v/>
      </c>
      <c r="W28" s="6">
        <f>Summary!W28</f>
        <v/>
      </c>
      <c r="X28" s="6">
        <f>Summary!X28</f>
        <v/>
      </c>
      <c r="Y28" s="6">
        <f>Summary!Y28</f>
        <v/>
      </c>
      <c r="Z28" s="6">
        <f>Summary!Z28</f>
        <v/>
      </c>
      <c r="AA28" s="6">
        <f>Summary!AA28</f>
        <v/>
      </c>
      <c r="AB28" s="6">
        <f>SUM(D28:AA28)</f>
        <v/>
      </c>
      <c r="AC28" s="3" t="inlineStr"/>
      <c r="AD28" s="7">
        <f>D28*0.0029</f>
        <v/>
      </c>
      <c r="AE28" s="7">
        <f>E28*0.0029</f>
        <v/>
      </c>
      <c r="AF28" s="7">
        <f>F28*0.0029</f>
        <v/>
      </c>
      <c r="AG28" s="7">
        <f>G28*0.0029</f>
        <v/>
      </c>
      <c r="AH28" s="7">
        <f>H28*0.0029</f>
        <v/>
      </c>
      <c r="AI28" s="7">
        <f>I28*0.0029</f>
        <v/>
      </c>
      <c r="AJ28" s="7">
        <f>J28*0.0029</f>
        <v/>
      </c>
      <c r="AK28" s="7">
        <f>K28*0.0029</f>
        <v/>
      </c>
      <c r="AL28" s="7">
        <f>L28*0.0029</f>
        <v/>
      </c>
      <c r="AM28" s="7">
        <f>M28*0.0029</f>
        <v/>
      </c>
      <c r="AN28" s="7">
        <f>N28*0.0029</f>
        <v/>
      </c>
      <c r="AO28" s="7">
        <f>O28*0.0029</f>
        <v/>
      </c>
      <c r="AP28" s="7">
        <f>P28*0.0029</f>
        <v/>
      </c>
      <c r="AQ28" s="7">
        <f>Q28*0.0029</f>
        <v/>
      </c>
      <c r="AR28" s="7">
        <f>R28*0.0029</f>
        <v/>
      </c>
      <c r="AS28" s="7">
        <f>S28*0.0029</f>
        <v/>
      </c>
      <c r="AT28" s="7">
        <f>T28*0.0029</f>
        <v/>
      </c>
      <c r="AU28" s="7">
        <f>U28*0.0029</f>
        <v/>
      </c>
      <c r="AV28" s="7">
        <f>V28*0.0029</f>
        <v/>
      </c>
      <c r="AW28" s="7">
        <f>W28*0.0029</f>
        <v/>
      </c>
      <c r="AX28" s="7">
        <f>X28*0.0029</f>
        <v/>
      </c>
      <c r="AY28" s="7">
        <f>Y28*0.0029</f>
        <v/>
      </c>
      <c r="AZ28" s="7">
        <f>Z28*0.0029</f>
        <v/>
      </c>
      <c r="BA28" s="7">
        <f>AA28*0.0029</f>
        <v/>
      </c>
      <c r="BB28" s="7">
        <f>SUM(AD28:BA28)</f>
        <v/>
      </c>
    </row>
    <row r="29">
      <c r="A29" t="inlineStr">
        <is>
          <t>AMD-FK-SSC</t>
        </is>
      </c>
      <c r="B29" t="inlineStr">
        <is>
          <t>Prime at Client side</t>
        </is>
      </c>
      <c r="C29" s="5" t="n">
        <v>46092</v>
      </c>
      <c r="D29" s="6">
        <f>Summary!D29</f>
        <v/>
      </c>
      <c r="E29" s="6">
        <f>Summary!E29</f>
        <v/>
      </c>
      <c r="F29" s="6">
        <f>Summary!F29</f>
        <v/>
      </c>
      <c r="G29" s="6">
        <f>Summary!G29</f>
        <v/>
      </c>
      <c r="H29" s="6">
        <f>Summary!H29</f>
        <v/>
      </c>
      <c r="I29" s="6">
        <f>Summary!I29</f>
        <v/>
      </c>
      <c r="J29" s="6">
        <f>Summary!J29</f>
        <v/>
      </c>
      <c r="K29" s="6">
        <f>Summary!K29</f>
        <v/>
      </c>
      <c r="L29" s="6">
        <f>Summary!L29</f>
        <v/>
      </c>
      <c r="M29" s="6">
        <f>Summary!M29</f>
        <v/>
      </c>
      <c r="N29" s="6">
        <f>Summary!N29</f>
        <v/>
      </c>
      <c r="O29" s="6">
        <f>Summary!O29</f>
        <v/>
      </c>
      <c r="P29" s="6">
        <f>Summary!P29</f>
        <v/>
      </c>
      <c r="Q29" s="6">
        <f>Summary!Q29</f>
        <v/>
      </c>
      <c r="R29" s="6">
        <f>Summary!R29</f>
        <v/>
      </c>
      <c r="S29" s="6">
        <f>Summary!S29</f>
        <v/>
      </c>
      <c r="T29" s="6">
        <f>Summary!T29</f>
        <v/>
      </c>
      <c r="U29" s="6">
        <f>Summary!U29</f>
        <v/>
      </c>
      <c r="V29" s="6">
        <f>Summary!V29</f>
        <v/>
      </c>
      <c r="W29" s="6">
        <f>Summary!W29</f>
        <v/>
      </c>
      <c r="X29" s="6">
        <f>Summary!X29</f>
        <v/>
      </c>
      <c r="Y29" s="6">
        <f>Summary!Y29</f>
        <v/>
      </c>
      <c r="Z29" s="6">
        <f>Summary!Z29</f>
        <v/>
      </c>
      <c r="AA29" s="6">
        <f>Summary!AA29</f>
        <v/>
      </c>
      <c r="AB29" s="6">
        <f>SUM(D29:AA29)</f>
        <v/>
      </c>
      <c r="AC29" s="3" t="inlineStr"/>
      <c r="AD29" s="7">
        <f>D29*0.0029</f>
        <v/>
      </c>
      <c r="AE29" s="7">
        <f>E29*0.0029</f>
        <v/>
      </c>
      <c r="AF29" s="7">
        <f>F29*0.0029</f>
        <v/>
      </c>
      <c r="AG29" s="7">
        <f>G29*0.0029</f>
        <v/>
      </c>
      <c r="AH29" s="7">
        <f>H29*0.0029</f>
        <v/>
      </c>
      <c r="AI29" s="7">
        <f>I29*0.0029</f>
        <v/>
      </c>
      <c r="AJ29" s="7">
        <f>J29*0.0029</f>
        <v/>
      </c>
      <c r="AK29" s="7">
        <f>K29*0.0029</f>
        <v/>
      </c>
      <c r="AL29" s="7">
        <f>L29*0.0029</f>
        <v/>
      </c>
      <c r="AM29" s="7">
        <f>M29*0.0029</f>
        <v/>
      </c>
      <c r="AN29" s="7">
        <f>N29*0.0029</f>
        <v/>
      </c>
      <c r="AO29" s="7">
        <f>O29*0.0029</f>
        <v/>
      </c>
      <c r="AP29" s="7">
        <f>P29*0.0029</f>
        <v/>
      </c>
      <c r="AQ29" s="7">
        <f>Q29*0.0029</f>
        <v/>
      </c>
      <c r="AR29" s="7">
        <f>R29*0.0029</f>
        <v/>
      </c>
      <c r="AS29" s="7">
        <f>S29*0.0029</f>
        <v/>
      </c>
      <c r="AT29" s="7">
        <f>T29*0.0029</f>
        <v/>
      </c>
      <c r="AU29" s="7">
        <f>U29*0.0029</f>
        <v/>
      </c>
      <c r="AV29" s="7">
        <f>V29*0.0029</f>
        <v/>
      </c>
      <c r="AW29" s="7">
        <f>W29*0.0029</f>
        <v/>
      </c>
      <c r="AX29" s="7">
        <f>X29*0.0029</f>
        <v/>
      </c>
      <c r="AY29" s="7">
        <f>Y29*0.0029</f>
        <v/>
      </c>
      <c r="AZ29" s="7">
        <f>Z29*0.0029</f>
        <v/>
      </c>
      <c r="BA29" s="7">
        <f>AA29*0.0029</f>
        <v/>
      </c>
      <c r="BB29" s="7">
        <f>SUM(AD29:BA29)</f>
        <v/>
      </c>
    </row>
    <row r="30">
      <c r="A30" t="inlineStr">
        <is>
          <t>AMD-FK-SSC</t>
        </is>
      </c>
      <c r="B30" t="inlineStr">
        <is>
          <t>Prime at Client side</t>
        </is>
      </c>
      <c r="C30" s="5" t="n">
        <v>46093</v>
      </c>
      <c r="D30" s="6">
        <f>Summary!D30</f>
        <v/>
      </c>
      <c r="E30" s="6">
        <f>Summary!E30</f>
        <v/>
      </c>
      <c r="F30" s="6">
        <f>Summary!F30</f>
        <v/>
      </c>
      <c r="G30" s="6">
        <f>Summary!G30</f>
        <v/>
      </c>
      <c r="H30" s="6">
        <f>Summary!H30</f>
        <v/>
      </c>
      <c r="I30" s="6">
        <f>Summary!I30</f>
        <v/>
      </c>
      <c r="J30" s="6">
        <f>Summary!J30</f>
        <v/>
      </c>
      <c r="K30" s="6">
        <f>Summary!K30</f>
        <v/>
      </c>
      <c r="L30" s="6">
        <f>Summary!L30</f>
        <v/>
      </c>
      <c r="M30" s="6">
        <f>Summary!M30</f>
        <v/>
      </c>
      <c r="N30" s="6">
        <f>Summary!N30</f>
        <v/>
      </c>
      <c r="O30" s="6">
        <f>Summary!O30</f>
        <v/>
      </c>
      <c r="P30" s="6">
        <f>Summary!P30</f>
        <v/>
      </c>
      <c r="Q30" s="6">
        <f>Summary!Q30</f>
        <v/>
      </c>
      <c r="R30" s="6">
        <f>Summary!R30</f>
        <v/>
      </c>
      <c r="S30" s="6">
        <f>Summary!S30</f>
        <v/>
      </c>
      <c r="T30" s="6">
        <f>Summary!T30</f>
        <v/>
      </c>
      <c r="U30" s="6">
        <f>Summary!U30</f>
        <v/>
      </c>
      <c r="V30" s="6">
        <f>Summary!V30</f>
        <v/>
      </c>
      <c r="W30" s="6">
        <f>Summary!W30</f>
        <v/>
      </c>
      <c r="X30" s="6">
        <f>Summary!X30</f>
        <v/>
      </c>
      <c r="Y30" s="6">
        <f>Summary!Y30</f>
        <v/>
      </c>
      <c r="Z30" s="6">
        <f>Summary!Z30</f>
        <v/>
      </c>
      <c r="AA30" s="6">
        <f>Summary!AA30</f>
        <v/>
      </c>
      <c r="AB30" s="6">
        <f>SUM(D30:AA30)</f>
        <v/>
      </c>
      <c r="AC30" s="3" t="inlineStr"/>
      <c r="AD30" s="7">
        <f>D30*0.0029</f>
        <v/>
      </c>
      <c r="AE30" s="7">
        <f>E30*0.0029</f>
        <v/>
      </c>
      <c r="AF30" s="7">
        <f>F30*0.0029</f>
        <v/>
      </c>
      <c r="AG30" s="7">
        <f>G30*0.0029</f>
        <v/>
      </c>
      <c r="AH30" s="7">
        <f>H30*0.0029</f>
        <v/>
      </c>
      <c r="AI30" s="7">
        <f>I30*0.0029</f>
        <v/>
      </c>
      <c r="AJ30" s="7">
        <f>J30*0.0029</f>
        <v/>
      </c>
      <c r="AK30" s="7">
        <f>K30*0.0029</f>
        <v/>
      </c>
      <c r="AL30" s="7">
        <f>L30*0.0029</f>
        <v/>
      </c>
      <c r="AM30" s="7">
        <f>M30*0.0029</f>
        <v/>
      </c>
      <c r="AN30" s="7">
        <f>N30*0.0029</f>
        <v/>
      </c>
      <c r="AO30" s="7">
        <f>O30*0.0029</f>
        <v/>
      </c>
      <c r="AP30" s="7">
        <f>P30*0.0029</f>
        <v/>
      </c>
      <c r="AQ30" s="7">
        <f>Q30*0.0029</f>
        <v/>
      </c>
      <c r="AR30" s="7">
        <f>R30*0.0029</f>
        <v/>
      </c>
      <c r="AS30" s="7">
        <f>S30*0.0029</f>
        <v/>
      </c>
      <c r="AT30" s="7">
        <f>T30*0.0029</f>
        <v/>
      </c>
      <c r="AU30" s="7">
        <f>U30*0.0029</f>
        <v/>
      </c>
      <c r="AV30" s="7">
        <f>V30*0.0029</f>
        <v/>
      </c>
      <c r="AW30" s="7">
        <f>W30*0.0029</f>
        <v/>
      </c>
      <c r="AX30" s="7">
        <f>X30*0.0029</f>
        <v/>
      </c>
      <c r="AY30" s="7">
        <f>Y30*0.0029</f>
        <v/>
      </c>
      <c r="AZ30" s="7">
        <f>Z30*0.0029</f>
        <v/>
      </c>
      <c r="BA30" s="7">
        <f>AA30*0.0029</f>
        <v/>
      </c>
      <c r="BB30" s="7">
        <f>SUM(AD30:BA30)</f>
        <v/>
      </c>
    </row>
    <row r="31">
      <c r="A31" t="inlineStr">
        <is>
          <t>AMD-FK-SSC</t>
        </is>
      </c>
      <c r="B31" t="inlineStr">
        <is>
          <t>Prime at Client side</t>
        </is>
      </c>
      <c r="C31" s="5" t="n">
        <v>46094</v>
      </c>
      <c r="D31" s="6">
        <f>Summary!D31</f>
        <v/>
      </c>
      <c r="E31" s="6">
        <f>Summary!E31</f>
        <v/>
      </c>
      <c r="F31" s="6">
        <f>Summary!F31</f>
        <v/>
      </c>
      <c r="G31" s="6">
        <f>Summary!G31</f>
        <v/>
      </c>
      <c r="H31" s="6">
        <f>Summary!H31</f>
        <v/>
      </c>
      <c r="I31" s="6">
        <f>Summary!I31</f>
        <v/>
      </c>
      <c r="J31" s="6">
        <f>Summary!J31</f>
        <v/>
      </c>
      <c r="K31" s="6">
        <f>Summary!K31</f>
        <v/>
      </c>
      <c r="L31" s="6">
        <f>Summary!L31</f>
        <v/>
      </c>
      <c r="M31" s="6">
        <f>Summary!M31</f>
        <v/>
      </c>
      <c r="N31" s="6">
        <f>Summary!N31</f>
        <v/>
      </c>
      <c r="O31" s="6">
        <f>Summary!O31</f>
        <v/>
      </c>
      <c r="P31" s="6">
        <f>Summary!P31</f>
        <v/>
      </c>
      <c r="Q31" s="6">
        <f>Summary!Q31</f>
        <v/>
      </c>
      <c r="R31" s="6">
        <f>Summary!R31</f>
        <v/>
      </c>
      <c r="S31" s="6">
        <f>Summary!S31</f>
        <v/>
      </c>
      <c r="T31" s="6">
        <f>Summary!T31</f>
        <v/>
      </c>
      <c r="U31" s="6">
        <f>Summary!U31</f>
        <v/>
      </c>
      <c r="V31" s="6">
        <f>Summary!V31</f>
        <v/>
      </c>
      <c r="W31" s="6">
        <f>Summary!W31</f>
        <v/>
      </c>
      <c r="X31" s="6">
        <f>Summary!X31</f>
        <v/>
      </c>
      <c r="Y31" s="6">
        <f>Summary!Y31</f>
        <v/>
      </c>
      <c r="Z31" s="6">
        <f>Summary!Z31</f>
        <v/>
      </c>
      <c r="AA31" s="6">
        <f>Summary!AA31</f>
        <v/>
      </c>
      <c r="AB31" s="6">
        <f>SUM(D31:AA31)</f>
        <v/>
      </c>
      <c r="AC31" s="3" t="inlineStr"/>
      <c r="AD31" s="7">
        <f>D31*0.0029</f>
        <v/>
      </c>
      <c r="AE31" s="7">
        <f>E31*0.0029</f>
        <v/>
      </c>
      <c r="AF31" s="7">
        <f>F31*0.0029</f>
        <v/>
      </c>
      <c r="AG31" s="7">
        <f>G31*0.0029</f>
        <v/>
      </c>
      <c r="AH31" s="7">
        <f>H31*0.0029</f>
        <v/>
      </c>
      <c r="AI31" s="7">
        <f>I31*0.0029</f>
        <v/>
      </c>
      <c r="AJ31" s="7">
        <f>J31*0.0029</f>
        <v/>
      </c>
      <c r="AK31" s="7">
        <f>K31*0.0029</f>
        <v/>
      </c>
      <c r="AL31" s="7">
        <f>L31*0.0029</f>
        <v/>
      </c>
      <c r="AM31" s="7">
        <f>M31*0.0029</f>
        <v/>
      </c>
      <c r="AN31" s="7">
        <f>N31*0.0029</f>
        <v/>
      </c>
      <c r="AO31" s="7">
        <f>O31*0.0029</f>
        <v/>
      </c>
      <c r="AP31" s="7">
        <f>P31*0.0029</f>
        <v/>
      </c>
      <c r="AQ31" s="7">
        <f>Q31*0.0029</f>
        <v/>
      </c>
      <c r="AR31" s="7">
        <f>R31*0.0029</f>
        <v/>
      </c>
      <c r="AS31" s="7">
        <f>S31*0.0029</f>
        <v/>
      </c>
      <c r="AT31" s="7">
        <f>T31*0.0029</f>
        <v/>
      </c>
      <c r="AU31" s="7">
        <f>U31*0.0029</f>
        <v/>
      </c>
      <c r="AV31" s="7">
        <f>V31*0.0029</f>
        <v/>
      </c>
      <c r="AW31" s="7">
        <f>W31*0.0029</f>
        <v/>
      </c>
      <c r="AX31" s="7">
        <f>X31*0.0029</f>
        <v/>
      </c>
      <c r="AY31" s="7">
        <f>Y31*0.0029</f>
        <v/>
      </c>
      <c r="AZ31" s="7">
        <f>Z31*0.0029</f>
        <v/>
      </c>
      <c r="BA31" s="7">
        <f>AA31*0.0029</f>
        <v/>
      </c>
      <c r="BB31" s="7">
        <f>SUM(AD31:BA31)</f>
        <v/>
      </c>
    </row>
    <row r="32">
      <c r="A32" t="inlineStr">
        <is>
          <t>AMD-FK-SSC</t>
        </is>
      </c>
      <c r="B32" t="inlineStr">
        <is>
          <t>Prime at Client side</t>
        </is>
      </c>
      <c r="C32" s="5" t="n">
        <v>46095</v>
      </c>
      <c r="D32" s="6">
        <f>Summary!D32</f>
        <v/>
      </c>
      <c r="E32" s="6">
        <f>Summary!E32</f>
        <v/>
      </c>
      <c r="F32" s="6">
        <f>Summary!F32</f>
        <v/>
      </c>
      <c r="G32" s="6">
        <f>Summary!G32</f>
        <v/>
      </c>
      <c r="H32" s="6">
        <f>Summary!H32</f>
        <v/>
      </c>
      <c r="I32" s="6">
        <f>Summary!I32</f>
        <v/>
      </c>
      <c r="J32" s="6">
        <f>Summary!J32</f>
        <v/>
      </c>
      <c r="K32" s="6">
        <f>Summary!K32</f>
        <v/>
      </c>
      <c r="L32" s="6">
        <f>Summary!L32</f>
        <v/>
      </c>
      <c r="M32" s="6">
        <f>Summary!M32</f>
        <v/>
      </c>
      <c r="N32" s="6">
        <f>Summary!N32</f>
        <v/>
      </c>
      <c r="O32" s="6">
        <f>Summary!O32</f>
        <v/>
      </c>
      <c r="P32" s="6">
        <f>Summary!P32</f>
        <v/>
      </c>
      <c r="Q32" s="6">
        <f>Summary!Q32</f>
        <v/>
      </c>
      <c r="R32" s="6">
        <f>Summary!R32</f>
        <v/>
      </c>
      <c r="S32" s="6">
        <f>Summary!S32</f>
        <v/>
      </c>
      <c r="T32" s="6">
        <f>Summary!T32</f>
        <v/>
      </c>
      <c r="U32" s="6">
        <f>Summary!U32</f>
        <v/>
      </c>
      <c r="V32" s="6">
        <f>Summary!V32</f>
        <v/>
      </c>
      <c r="W32" s="6">
        <f>Summary!W32</f>
        <v/>
      </c>
      <c r="X32" s="6">
        <f>Summary!X32</f>
        <v/>
      </c>
      <c r="Y32" s="6">
        <f>Summary!Y32</f>
        <v/>
      </c>
      <c r="Z32" s="6">
        <f>Summary!Z32</f>
        <v/>
      </c>
      <c r="AA32" s="6">
        <f>Summary!AA32</f>
        <v/>
      </c>
      <c r="AB32" s="6">
        <f>SUM(D32:AA32)</f>
        <v/>
      </c>
      <c r="AC32" s="3" t="inlineStr"/>
      <c r="AD32" s="7">
        <f>D32*0.0029</f>
        <v/>
      </c>
      <c r="AE32" s="7">
        <f>E32*0.0029</f>
        <v/>
      </c>
      <c r="AF32" s="7">
        <f>F32*0.0029</f>
        <v/>
      </c>
      <c r="AG32" s="7">
        <f>G32*0.0029</f>
        <v/>
      </c>
      <c r="AH32" s="7">
        <f>H32*0.0029</f>
        <v/>
      </c>
      <c r="AI32" s="7">
        <f>I32*0.0029</f>
        <v/>
      </c>
      <c r="AJ32" s="7">
        <f>J32*0.0029</f>
        <v/>
      </c>
      <c r="AK32" s="7">
        <f>K32*0.0029</f>
        <v/>
      </c>
      <c r="AL32" s="7">
        <f>L32*0.0029</f>
        <v/>
      </c>
      <c r="AM32" s="7">
        <f>M32*0.0029</f>
        <v/>
      </c>
      <c r="AN32" s="7">
        <f>N32*0.0029</f>
        <v/>
      </c>
      <c r="AO32" s="7">
        <f>O32*0.0029</f>
        <v/>
      </c>
      <c r="AP32" s="7">
        <f>P32*0.0029</f>
        <v/>
      </c>
      <c r="AQ32" s="7">
        <f>Q32*0.0029</f>
        <v/>
      </c>
      <c r="AR32" s="7">
        <f>R32*0.0029</f>
        <v/>
      </c>
      <c r="AS32" s="7">
        <f>S32*0.0029</f>
        <v/>
      </c>
      <c r="AT32" s="7">
        <f>T32*0.0029</f>
        <v/>
      </c>
      <c r="AU32" s="7">
        <f>U32*0.0029</f>
        <v/>
      </c>
      <c r="AV32" s="7">
        <f>V32*0.0029</f>
        <v/>
      </c>
      <c r="AW32" s="7">
        <f>W32*0.0029</f>
        <v/>
      </c>
      <c r="AX32" s="7">
        <f>X32*0.0029</f>
        <v/>
      </c>
      <c r="AY32" s="7">
        <f>Y32*0.0029</f>
        <v/>
      </c>
      <c r="AZ32" s="7">
        <f>Z32*0.0029</f>
        <v/>
      </c>
      <c r="BA32" s="7">
        <f>AA32*0.0029</f>
        <v/>
      </c>
      <c r="BB32" s="7">
        <f>SUM(AD32:BA32)</f>
        <v/>
      </c>
    </row>
    <row r="33">
      <c r="A33" t="inlineStr">
        <is>
          <t>AMD-FK-SSC</t>
        </is>
      </c>
      <c r="B33" t="inlineStr">
        <is>
          <t>Prime at Client side</t>
        </is>
      </c>
      <c r="C33" s="5" t="n">
        <v>46096</v>
      </c>
      <c r="D33" s="6">
        <f>Summary!D33</f>
        <v/>
      </c>
      <c r="E33" s="6">
        <f>Summary!E33</f>
        <v/>
      </c>
      <c r="F33" s="6">
        <f>Summary!F33</f>
        <v/>
      </c>
      <c r="G33" s="6">
        <f>Summary!G33</f>
        <v/>
      </c>
      <c r="H33" s="6">
        <f>Summary!H33</f>
        <v/>
      </c>
      <c r="I33" s="6">
        <f>Summary!I33</f>
        <v/>
      </c>
      <c r="J33" s="6">
        <f>Summary!J33</f>
        <v/>
      </c>
      <c r="K33" s="6">
        <f>Summary!K33</f>
        <v/>
      </c>
      <c r="L33" s="6">
        <f>Summary!L33</f>
        <v/>
      </c>
      <c r="M33" s="6">
        <f>Summary!M33</f>
        <v/>
      </c>
      <c r="N33" s="6">
        <f>Summary!N33</f>
        <v/>
      </c>
      <c r="O33" s="6">
        <f>Summary!O33</f>
        <v/>
      </c>
      <c r="P33" s="6">
        <f>Summary!P33</f>
        <v/>
      </c>
      <c r="Q33" s="6">
        <f>Summary!Q33</f>
        <v/>
      </c>
      <c r="R33" s="6">
        <f>Summary!R33</f>
        <v/>
      </c>
      <c r="S33" s="6">
        <f>Summary!S33</f>
        <v/>
      </c>
      <c r="T33" s="6">
        <f>Summary!T33</f>
        <v/>
      </c>
      <c r="U33" s="6">
        <f>Summary!U33</f>
        <v/>
      </c>
      <c r="V33" s="6">
        <f>Summary!V33</f>
        <v/>
      </c>
      <c r="W33" s="6">
        <f>Summary!W33</f>
        <v/>
      </c>
      <c r="X33" s="6">
        <f>Summary!X33</f>
        <v/>
      </c>
      <c r="Y33" s="6">
        <f>Summary!Y33</f>
        <v/>
      </c>
      <c r="Z33" s="6">
        <f>Summary!Z33</f>
        <v/>
      </c>
      <c r="AA33" s="6">
        <f>Summary!AA33</f>
        <v/>
      </c>
      <c r="AB33" s="6">
        <f>SUM(D33:AA33)</f>
        <v/>
      </c>
      <c r="AC33" s="3" t="inlineStr"/>
      <c r="AD33" s="7">
        <f>D33*0.0029</f>
        <v/>
      </c>
      <c r="AE33" s="7">
        <f>E33*0.0029</f>
        <v/>
      </c>
      <c r="AF33" s="7">
        <f>F33*0.0029</f>
        <v/>
      </c>
      <c r="AG33" s="7">
        <f>G33*0.0029</f>
        <v/>
      </c>
      <c r="AH33" s="7">
        <f>H33*0.0029</f>
        <v/>
      </c>
      <c r="AI33" s="7">
        <f>I33*0.0029</f>
        <v/>
      </c>
      <c r="AJ33" s="7">
        <f>J33*0.0029</f>
        <v/>
      </c>
      <c r="AK33" s="7">
        <f>K33*0.0029</f>
        <v/>
      </c>
      <c r="AL33" s="7">
        <f>L33*0.0029</f>
        <v/>
      </c>
      <c r="AM33" s="7">
        <f>M33*0.0029</f>
        <v/>
      </c>
      <c r="AN33" s="7">
        <f>N33*0.0029</f>
        <v/>
      </c>
      <c r="AO33" s="7">
        <f>O33*0.0029</f>
        <v/>
      </c>
      <c r="AP33" s="7">
        <f>P33*0.0029</f>
        <v/>
      </c>
      <c r="AQ33" s="7">
        <f>Q33*0.0029</f>
        <v/>
      </c>
      <c r="AR33" s="7">
        <f>R33*0.0029</f>
        <v/>
      </c>
      <c r="AS33" s="7">
        <f>S33*0.0029</f>
        <v/>
      </c>
      <c r="AT33" s="7">
        <f>T33*0.0029</f>
        <v/>
      </c>
      <c r="AU33" s="7">
        <f>U33*0.0029</f>
        <v/>
      </c>
      <c r="AV33" s="7">
        <f>V33*0.0029</f>
        <v/>
      </c>
      <c r="AW33" s="7">
        <f>W33*0.0029</f>
        <v/>
      </c>
      <c r="AX33" s="7">
        <f>X33*0.0029</f>
        <v/>
      </c>
      <c r="AY33" s="7">
        <f>Y33*0.0029</f>
        <v/>
      </c>
      <c r="AZ33" s="7">
        <f>Z33*0.0029</f>
        <v/>
      </c>
      <c r="BA33" s="7">
        <f>AA33*0.0029</f>
        <v/>
      </c>
      <c r="BB33" s="7">
        <f>SUM(AD33:BA33)</f>
        <v/>
      </c>
    </row>
    <row r="34">
      <c r="A34" t="inlineStr">
        <is>
          <t>AMD-FK-SSC</t>
        </is>
      </c>
      <c r="B34" t="inlineStr">
        <is>
          <t>Prime at Client side</t>
        </is>
      </c>
      <c r="C34" s="5" t="n">
        <v>46097</v>
      </c>
      <c r="D34" s="6">
        <f>Summary!D34</f>
        <v/>
      </c>
      <c r="E34" s="6">
        <f>Summary!E34</f>
        <v/>
      </c>
      <c r="F34" s="6">
        <f>Summary!F34</f>
        <v/>
      </c>
      <c r="G34" s="6">
        <f>Summary!G34</f>
        <v/>
      </c>
      <c r="H34" s="6">
        <f>Summary!H34</f>
        <v/>
      </c>
      <c r="I34" s="6">
        <f>Summary!I34</f>
        <v/>
      </c>
      <c r="J34" s="6">
        <f>Summary!J34</f>
        <v/>
      </c>
      <c r="K34" s="6">
        <f>Summary!K34</f>
        <v/>
      </c>
      <c r="L34" s="6">
        <f>Summary!L34</f>
        <v/>
      </c>
      <c r="M34" s="6">
        <f>Summary!M34</f>
        <v/>
      </c>
      <c r="N34" s="6">
        <f>Summary!N34</f>
        <v/>
      </c>
      <c r="O34" s="6">
        <f>Summary!O34</f>
        <v/>
      </c>
      <c r="P34" s="6">
        <f>Summary!P34</f>
        <v/>
      </c>
      <c r="Q34" s="6">
        <f>Summary!Q34</f>
        <v/>
      </c>
      <c r="R34" s="6">
        <f>Summary!R34</f>
        <v/>
      </c>
      <c r="S34" s="6">
        <f>Summary!S34</f>
        <v/>
      </c>
      <c r="T34" s="6">
        <f>Summary!T34</f>
        <v/>
      </c>
      <c r="U34" s="6">
        <f>Summary!U34</f>
        <v/>
      </c>
      <c r="V34" s="6">
        <f>Summary!V34</f>
        <v/>
      </c>
      <c r="W34" s="6">
        <f>Summary!W34</f>
        <v/>
      </c>
      <c r="X34" s="6">
        <f>Summary!X34</f>
        <v/>
      </c>
      <c r="Y34" s="6">
        <f>Summary!Y34</f>
        <v/>
      </c>
      <c r="Z34" s="6">
        <f>Summary!Z34</f>
        <v/>
      </c>
      <c r="AA34" s="6">
        <f>Summary!AA34</f>
        <v/>
      </c>
      <c r="AB34" s="6">
        <f>SUM(D34:AA34)</f>
        <v/>
      </c>
      <c r="AC34" s="3" t="inlineStr"/>
      <c r="AD34" s="7">
        <f>D34*0.0029</f>
        <v/>
      </c>
      <c r="AE34" s="7">
        <f>E34*0.0029</f>
        <v/>
      </c>
      <c r="AF34" s="7">
        <f>F34*0.0029</f>
        <v/>
      </c>
      <c r="AG34" s="7">
        <f>G34*0.0029</f>
        <v/>
      </c>
      <c r="AH34" s="7">
        <f>H34*0.0029</f>
        <v/>
      </c>
      <c r="AI34" s="7">
        <f>I34*0.0029</f>
        <v/>
      </c>
      <c r="AJ34" s="7">
        <f>J34*0.0029</f>
        <v/>
      </c>
      <c r="AK34" s="7">
        <f>K34*0.0029</f>
        <v/>
      </c>
      <c r="AL34" s="7">
        <f>L34*0.0029</f>
        <v/>
      </c>
      <c r="AM34" s="7">
        <f>M34*0.0029</f>
        <v/>
      </c>
      <c r="AN34" s="7">
        <f>N34*0.0029</f>
        <v/>
      </c>
      <c r="AO34" s="7">
        <f>O34*0.0029</f>
        <v/>
      </c>
      <c r="AP34" s="7">
        <f>P34*0.0029</f>
        <v/>
      </c>
      <c r="AQ34" s="7">
        <f>Q34*0.0029</f>
        <v/>
      </c>
      <c r="AR34" s="7">
        <f>R34*0.0029</f>
        <v/>
      </c>
      <c r="AS34" s="7">
        <f>S34*0.0029</f>
        <v/>
      </c>
      <c r="AT34" s="7">
        <f>T34*0.0029</f>
        <v/>
      </c>
      <c r="AU34" s="7">
        <f>U34*0.0029</f>
        <v/>
      </c>
      <c r="AV34" s="7">
        <f>V34*0.0029</f>
        <v/>
      </c>
      <c r="AW34" s="7">
        <f>W34*0.0029</f>
        <v/>
      </c>
      <c r="AX34" s="7">
        <f>X34*0.0029</f>
        <v/>
      </c>
      <c r="AY34" s="7">
        <f>Y34*0.0029</f>
        <v/>
      </c>
      <c r="AZ34" s="7">
        <f>Z34*0.0029</f>
        <v/>
      </c>
      <c r="BA34" s="7">
        <f>AA34*0.0029</f>
        <v/>
      </c>
      <c r="BB34" s="7">
        <f>SUM(AD34:BA34)</f>
        <v/>
      </c>
    </row>
    <row r="35">
      <c r="A35" t="inlineStr">
        <is>
          <t>AMD-FK-SSC</t>
        </is>
      </c>
      <c r="B35" t="inlineStr">
        <is>
          <t>Prime at Client side</t>
        </is>
      </c>
      <c r="C35" s="5" t="n">
        <v>46098</v>
      </c>
      <c r="D35" s="6">
        <f>Summary!D35</f>
        <v/>
      </c>
      <c r="E35" s="6">
        <f>Summary!E35</f>
        <v/>
      </c>
      <c r="F35" s="6">
        <f>Summary!F35</f>
        <v/>
      </c>
      <c r="G35" s="6">
        <f>Summary!G35</f>
        <v/>
      </c>
      <c r="H35" s="6">
        <f>Summary!H35</f>
        <v/>
      </c>
      <c r="I35" s="6">
        <f>Summary!I35</f>
        <v/>
      </c>
      <c r="J35" s="6">
        <f>Summary!J35</f>
        <v/>
      </c>
      <c r="K35" s="6">
        <f>Summary!K35</f>
        <v/>
      </c>
      <c r="L35" s="6">
        <f>Summary!L35</f>
        <v/>
      </c>
      <c r="M35" s="6">
        <f>Summary!M35</f>
        <v/>
      </c>
      <c r="N35" s="6">
        <f>Summary!N35</f>
        <v/>
      </c>
      <c r="O35" s="6">
        <f>Summary!O35</f>
        <v/>
      </c>
      <c r="P35" s="6">
        <f>Summary!P35</f>
        <v/>
      </c>
      <c r="Q35" s="6">
        <f>Summary!Q35</f>
        <v/>
      </c>
      <c r="R35" s="6">
        <f>Summary!R35</f>
        <v/>
      </c>
      <c r="S35" s="6">
        <f>Summary!S35</f>
        <v/>
      </c>
      <c r="T35" s="6">
        <f>Summary!T35</f>
        <v/>
      </c>
      <c r="U35" s="6">
        <f>Summary!U35</f>
        <v/>
      </c>
      <c r="V35" s="6">
        <f>Summary!V35</f>
        <v/>
      </c>
      <c r="W35" s="6">
        <f>Summary!W35</f>
        <v/>
      </c>
      <c r="X35" s="6">
        <f>Summary!X35</f>
        <v/>
      </c>
      <c r="Y35" s="6">
        <f>Summary!Y35</f>
        <v/>
      </c>
      <c r="Z35" s="6">
        <f>Summary!Z35</f>
        <v/>
      </c>
      <c r="AA35" s="6">
        <f>Summary!AA35</f>
        <v/>
      </c>
      <c r="AB35" s="6">
        <f>SUM(D35:AA35)</f>
        <v/>
      </c>
      <c r="AC35" s="3" t="inlineStr"/>
      <c r="AD35" s="7">
        <f>D35*0.0029</f>
        <v/>
      </c>
      <c r="AE35" s="7">
        <f>E35*0.0029</f>
        <v/>
      </c>
      <c r="AF35" s="7">
        <f>F35*0.0029</f>
        <v/>
      </c>
      <c r="AG35" s="7">
        <f>G35*0.0029</f>
        <v/>
      </c>
      <c r="AH35" s="7">
        <f>H35*0.0029</f>
        <v/>
      </c>
      <c r="AI35" s="7">
        <f>I35*0.0029</f>
        <v/>
      </c>
      <c r="AJ35" s="7">
        <f>J35*0.0029</f>
        <v/>
      </c>
      <c r="AK35" s="7">
        <f>K35*0.0029</f>
        <v/>
      </c>
      <c r="AL35" s="7">
        <f>L35*0.0029</f>
        <v/>
      </c>
      <c r="AM35" s="7">
        <f>M35*0.0029</f>
        <v/>
      </c>
      <c r="AN35" s="7">
        <f>N35*0.0029</f>
        <v/>
      </c>
      <c r="AO35" s="7">
        <f>O35*0.0029</f>
        <v/>
      </c>
      <c r="AP35" s="7">
        <f>P35*0.0029</f>
        <v/>
      </c>
      <c r="AQ35" s="7">
        <f>Q35*0.0029</f>
        <v/>
      </c>
      <c r="AR35" s="7">
        <f>R35*0.0029</f>
        <v/>
      </c>
      <c r="AS35" s="7">
        <f>S35*0.0029</f>
        <v/>
      </c>
      <c r="AT35" s="7">
        <f>T35*0.0029</f>
        <v/>
      </c>
      <c r="AU35" s="7">
        <f>U35*0.0029</f>
        <v/>
      </c>
      <c r="AV35" s="7">
        <f>V35*0.0029</f>
        <v/>
      </c>
      <c r="AW35" s="7">
        <f>W35*0.0029</f>
        <v/>
      </c>
      <c r="AX35" s="7">
        <f>X35*0.0029</f>
        <v/>
      </c>
      <c r="AY35" s="7">
        <f>Y35*0.0029</f>
        <v/>
      </c>
      <c r="AZ35" s="7">
        <f>Z35*0.0029</f>
        <v/>
      </c>
      <c r="BA35" s="7">
        <f>AA35*0.0029</f>
        <v/>
      </c>
      <c r="BB35" s="7">
        <f>SUM(AD35:BA35)</f>
        <v/>
      </c>
    </row>
    <row r="36">
      <c r="A36" t="inlineStr">
        <is>
          <t>AMD-FK-SSC</t>
        </is>
      </c>
      <c r="B36" t="inlineStr">
        <is>
          <t>Prime at Client side</t>
        </is>
      </c>
      <c r="C36" s="5" t="n">
        <v>46099</v>
      </c>
      <c r="D36" s="6">
        <f>Summary!D36</f>
        <v/>
      </c>
      <c r="E36" s="6">
        <f>Summary!E36</f>
        <v/>
      </c>
      <c r="F36" s="6">
        <f>Summary!F36</f>
        <v/>
      </c>
      <c r="G36" s="6">
        <f>Summary!G36</f>
        <v/>
      </c>
      <c r="H36" s="6">
        <f>Summary!H36</f>
        <v/>
      </c>
      <c r="I36" s="6">
        <f>Summary!I36</f>
        <v/>
      </c>
      <c r="J36" s="6">
        <f>Summary!J36</f>
        <v/>
      </c>
      <c r="K36" s="6">
        <f>Summary!K36</f>
        <v/>
      </c>
      <c r="L36" s="6">
        <f>Summary!L36</f>
        <v/>
      </c>
      <c r="M36" s="6">
        <f>Summary!M36</f>
        <v/>
      </c>
      <c r="N36" s="6">
        <f>Summary!N36</f>
        <v/>
      </c>
      <c r="O36" s="6">
        <f>Summary!O36</f>
        <v/>
      </c>
      <c r="P36" s="6">
        <f>Summary!P36</f>
        <v/>
      </c>
      <c r="Q36" s="6">
        <f>Summary!Q36</f>
        <v/>
      </c>
      <c r="R36" s="6">
        <f>Summary!R36</f>
        <v/>
      </c>
      <c r="S36" s="6">
        <f>Summary!S36</f>
        <v/>
      </c>
      <c r="T36" s="6">
        <f>Summary!T36</f>
        <v/>
      </c>
      <c r="U36" s="6">
        <f>Summary!U36</f>
        <v/>
      </c>
      <c r="V36" s="6">
        <f>Summary!V36</f>
        <v/>
      </c>
      <c r="W36" s="6">
        <f>Summary!W36</f>
        <v/>
      </c>
      <c r="X36" s="6">
        <f>Summary!X36</f>
        <v/>
      </c>
      <c r="Y36" s="6">
        <f>Summary!Y36</f>
        <v/>
      </c>
      <c r="Z36" s="6">
        <f>Summary!Z36</f>
        <v/>
      </c>
      <c r="AA36" s="6">
        <f>Summary!AA36</f>
        <v/>
      </c>
      <c r="AB36" s="6">
        <f>SUM(D36:AA36)</f>
        <v/>
      </c>
      <c r="AC36" s="3" t="inlineStr"/>
      <c r="AD36" s="7">
        <f>D36*0.0029</f>
        <v/>
      </c>
      <c r="AE36" s="7">
        <f>E36*0.0029</f>
        <v/>
      </c>
      <c r="AF36" s="7">
        <f>F36*0.0029</f>
        <v/>
      </c>
      <c r="AG36" s="7">
        <f>G36*0.0029</f>
        <v/>
      </c>
      <c r="AH36" s="7">
        <f>H36*0.0029</f>
        <v/>
      </c>
      <c r="AI36" s="7">
        <f>I36*0.0029</f>
        <v/>
      </c>
      <c r="AJ36" s="7">
        <f>J36*0.0029</f>
        <v/>
      </c>
      <c r="AK36" s="7">
        <f>K36*0.0029</f>
        <v/>
      </c>
      <c r="AL36" s="7">
        <f>L36*0.0029</f>
        <v/>
      </c>
      <c r="AM36" s="7">
        <f>M36*0.0029</f>
        <v/>
      </c>
      <c r="AN36" s="7">
        <f>N36*0.0029</f>
        <v/>
      </c>
      <c r="AO36" s="7">
        <f>O36*0.0029</f>
        <v/>
      </c>
      <c r="AP36" s="7">
        <f>P36*0.0029</f>
        <v/>
      </c>
      <c r="AQ36" s="7">
        <f>Q36*0.0029</f>
        <v/>
      </c>
      <c r="AR36" s="7">
        <f>R36*0.0029</f>
        <v/>
      </c>
      <c r="AS36" s="7">
        <f>S36*0.0029</f>
        <v/>
      </c>
      <c r="AT36" s="7">
        <f>T36*0.0029</f>
        <v/>
      </c>
      <c r="AU36" s="7">
        <f>U36*0.0029</f>
        <v/>
      </c>
      <c r="AV36" s="7">
        <f>V36*0.0029</f>
        <v/>
      </c>
      <c r="AW36" s="7">
        <f>W36*0.0029</f>
        <v/>
      </c>
      <c r="AX36" s="7">
        <f>X36*0.0029</f>
        <v/>
      </c>
      <c r="AY36" s="7">
        <f>Y36*0.0029</f>
        <v/>
      </c>
      <c r="AZ36" s="7">
        <f>Z36*0.0029</f>
        <v/>
      </c>
      <c r="BA36" s="7">
        <f>AA36*0.0029</f>
        <v/>
      </c>
      <c r="BB36" s="7">
        <f>SUM(AD36:BA36)</f>
        <v/>
      </c>
    </row>
    <row r="37">
      <c r="A37" t="inlineStr">
        <is>
          <t>AMD-FK-SSC</t>
        </is>
      </c>
      <c r="B37" t="inlineStr">
        <is>
          <t>Prime at Client side</t>
        </is>
      </c>
      <c r="C37" s="5" t="n">
        <v>46100</v>
      </c>
      <c r="D37" s="6">
        <f>Summary!D37</f>
        <v/>
      </c>
      <c r="E37" s="6">
        <f>Summary!E37</f>
        <v/>
      </c>
      <c r="F37" s="6">
        <f>Summary!F37</f>
        <v/>
      </c>
      <c r="G37" s="6">
        <f>Summary!G37</f>
        <v/>
      </c>
      <c r="H37" s="6">
        <f>Summary!H37</f>
        <v/>
      </c>
      <c r="I37" s="6">
        <f>Summary!I37</f>
        <v/>
      </c>
      <c r="J37" s="6">
        <f>Summary!J37</f>
        <v/>
      </c>
      <c r="K37" s="6">
        <f>Summary!K37</f>
        <v/>
      </c>
      <c r="L37" s="6">
        <f>Summary!L37</f>
        <v/>
      </c>
      <c r="M37" s="6">
        <f>Summary!M37</f>
        <v/>
      </c>
      <c r="N37" s="6">
        <f>Summary!N37</f>
        <v/>
      </c>
      <c r="O37" s="6">
        <f>Summary!O37</f>
        <v/>
      </c>
      <c r="P37" s="6">
        <f>Summary!P37</f>
        <v/>
      </c>
      <c r="Q37" s="6">
        <f>Summary!Q37</f>
        <v/>
      </c>
      <c r="R37" s="6">
        <f>Summary!R37</f>
        <v/>
      </c>
      <c r="S37" s="6">
        <f>Summary!S37</f>
        <v/>
      </c>
      <c r="T37" s="6">
        <f>Summary!T37</f>
        <v/>
      </c>
      <c r="U37" s="6">
        <f>Summary!U37</f>
        <v/>
      </c>
      <c r="V37" s="6">
        <f>Summary!V37</f>
        <v/>
      </c>
      <c r="W37" s="6">
        <f>Summary!W37</f>
        <v/>
      </c>
      <c r="X37" s="6">
        <f>Summary!X37</f>
        <v/>
      </c>
      <c r="Y37" s="6">
        <f>Summary!Y37</f>
        <v/>
      </c>
      <c r="Z37" s="6">
        <f>Summary!Z37</f>
        <v/>
      </c>
      <c r="AA37" s="6">
        <f>Summary!AA37</f>
        <v/>
      </c>
      <c r="AB37" s="6">
        <f>SUM(D37:AA37)</f>
        <v/>
      </c>
      <c r="AC37" s="3" t="inlineStr"/>
      <c r="AD37" s="7">
        <f>D37*0.0029</f>
        <v/>
      </c>
      <c r="AE37" s="7">
        <f>E37*0.0029</f>
        <v/>
      </c>
      <c r="AF37" s="7">
        <f>F37*0.0029</f>
        <v/>
      </c>
      <c r="AG37" s="7">
        <f>G37*0.0029</f>
        <v/>
      </c>
      <c r="AH37" s="7">
        <f>H37*0.0029</f>
        <v/>
      </c>
      <c r="AI37" s="7">
        <f>I37*0.0029</f>
        <v/>
      </c>
      <c r="AJ37" s="7">
        <f>J37*0.0029</f>
        <v/>
      </c>
      <c r="AK37" s="7">
        <f>K37*0.0029</f>
        <v/>
      </c>
      <c r="AL37" s="7">
        <f>L37*0.0029</f>
        <v/>
      </c>
      <c r="AM37" s="7">
        <f>M37*0.0029</f>
        <v/>
      </c>
      <c r="AN37" s="7">
        <f>N37*0.0029</f>
        <v/>
      </c>
      <c r="AO37" s="7">
        <f>O37*0.0029</f>
        <v/>
      </c>
      <c r="AP37" s="7">
        <f>P37*0.0029</f>
        <v/>
      </c>
      <c r="AQ37" s="7">
        <f>Q37*0.0029</f>
        <v/>
      </c>
      <c r="AR37" s="7">
        <f>R37*0.0029</f>
        <v/>
      </c>
      <c r="AS37" s="7">
        <f>S37*0.0029</f>
        <v/>
      </c>
      <c r="AT37" s="7">
        <f>T37*0.0029</f>
        <v/>
      </c>
      <c r="AU37" s="7">
        <f>U37*0.0029</f>
        <v/>
      </c>
      <c r="AV37" s="7">
        <f>V37*0.0029</f>
        <v/>
      </c>
      <c r="AW37" s="7">
        <f>W37*0.0029</f>
        <v/>
      </c>
      <c r="AX37" s="7">
        <f>X37*0.0029</f>
        <v/>
      </c>
      <c r="AY37" s="7">
        <f>Y37*0.0029</f>
        <v/>
      </c>
      <c r="AZ37" s="7">
        <f>Z37*0.0029</f>
        <v/>
      </c>
      <c r="BA37" s="7">
        <f>AA37*0.0029</f>
        <v/>
      </c>
      <c r="BB37" s="7">
        <f>SUM(AD37:BA37)</f>
        <v/>
      </c>
    </row>
    <row r="38">
      <c r="A38" t="inlineStr">
        <is>
          <t>AMD-FK-SSC</t>
        </is>
      </c>
      <c r="B38" t="inlineStr">
        <is>
          <t>Prime at Client side</t>
        </is>
      </c>
      <c r="C38" s="5" t="n">
        <v>46101</v>
      </c>
      <c r="D38" s="6">
        <f>Summary!D38</f>
        <v/>
      </c>
      <c r="E38" s="6">
        <f>Summary!E38</f>
        <v/>
      </c>
      <c r="F38" s="6">
        <f>Summary!F38</f>
        <v/>
      </c>
      <c r="G38" s="6">
        <f>Summary!G38</f>
        <v/>
      </c>
      <c r="H38" s="6">
        <f>Summary!H38</f>
        <v/>
      </c>
      <c r="I38" s="6">
        <f>Summary!I38</f>
        <v/>
      </c>
      <c r="J38" s="6">
        <f>Summary!J38</f>
        <v/>
      </c>
      <c r="K38" s="6">
        <f>Summary!K38</f>
        <v/>
      </c>
      <c r="L38" s="6">
        <f>Summary!L38</f>
        <v/>
      </c>
      <c r="M38" s="6">
        <f>Summary!M38</f>
        <v/>
      </c>
      <c r="N38" s="6">
        <f>Summary!N38</f>
        <v/>
      </c>
      <c r="O38" s="6">
        <f>Summary!O38</f>
        <v/>
      </c>
      <c r="P38" s="6">
        <f>Summary!P38</f>
        <v/>
      </c>
      <c r="Q38" s="6">
        <f>Summary!Q38</f>
        <v/>
      </c>
      <c r="R38" s="6">
        <f>Summary!R38</f>
        <v/>
      </c>
      <c r="S38" s="6">
        <f>Summary!S38</f>
        <v/>
      </c>
      <c r="T38" s="6">
        <f>Summary!T38</f>
        <v/>
      </c>
      <c r="U38" s="6">
        <f>Summary!U38</f>
        <v/>
      </c>
      <c r="V38" s="6">
        <f>Summary!V38</f>
        <v/>
      </c>
      <c r="W38" s="6">
        <f>Summary!W38</f>
        <v/>
      </c>
      <c r="X38" s="6">
        <f>Summary!X38</f>
        <v/>
      </c>
      <c r="Y38" s="6">
        <f>Summary!Y38</f>
        <v/>
      </c>
      <c r="Z38" s="6">
        <f>Summary!Z38</f>
        <v/>
      </c>
      <c r="AA38" s="6">
        <f>Summary!AA38</f>
        <v/>
      </c>
      <c r="AB38" s="6">
        <f>SUM(D38:AA38)</f>
        <v/>
      </c>
      <c r="AC38" s="3" t="inlineStr"/>
      <c r="AD38" s="7">
        <f>D38*0.0029</f>
        <v/>
      </c>
      <c r="AE38" s="7">
        <f>E38*0.0029</f>
        <v/>
      </c>
      <c r="AF38" s="7">
        <f>F38*0.0029</f>
        <v/>
      </c>
      <c r="AG38" s="7">
        <f>G38*0.0029</f>
        <v/>
      </c>
      <c r="AH38" s="7">
        <f>H38*0.0029</f>
        <v/>
      </c>
      <c r="AI38" s="7">
        <f>I38*0.0029</f>
        <v/>
      </c>
      <c r="AJ38" s="7">
        <f>J38*0.0029</f>
        <v/>
      </c>
      <c r="AK38" s="7">
        <f>K38*0.0029</f>
        <v/>
      </c>
      <c r="AL38" s="7">
        <f>L38*0.0029</f>
        <v/>
      </c>
      <c r="AM38" s="7">
        <f>M38*0.0029</f>
        <v/>
      </c>
      <c r="AN38" s="7">
        <f>N38*0.0029</f>
        <v/>
      </c>
      <c r="AO38" s="7">
        <f>O38*0.0029</f>
        <v/>
      </c>
      <c r="AP38" s="7">
        <f>P38*0.0029</f>
        <v/>
      </c>
      <c r="AQ38" s="7">
        <f>Q38*0.0029</f>
        <v/>
      </c>
      <c r="AR38" s="7">
        <f>R38*0.0029</f>
        <v/>
      </c>
      <c r="AS38" s="7">
        <f>S38*0.0029</f>
        <v/>
      </c>
      <c r="AT38" s="7">
        <f>T38*0.0029</f>
        <v/>
      </c>
      <c r="AU38" s="7">
        <f>U38*0.0029</f>
        <v/>
      </c>
      <c r="AV38" s="7">
        <f>V38*0.0029</f>
        <v/>
      </c>
      <c r="AW38" s="7">
        <f>W38*0.0029</f>
        <v/>
      </c>
      <c r="AX38" s="7">
        <f>X38*0.0029</f>
        <v/>
      </c>
      <c r="AY38" s="7">
        <f>Y38*0.0029</f>
        <v/>
      </c>
      <c r="AZ38" s="7">
        <f>Z38*0.0029</f>
        <v/>
      </c>
      <c r="BA38" s="7">
        <f>AA38*0.0029</f>
        <v/>
      </c>
      <c r="BB38" s="7">
        <f>SUM(AD38:BA38)</f>
        <v/>
      </c>
    </row>
    <row r="39">
      <c r="A39" t="inlineStr">
        <is>
          <t>AMD-FK-SSC</t>
        </is>
      </c>
      <c r="B39" t="inlineStr">
        <is>
          <t>Prime at Client side</t>
        </is>
      </c>
      <c r="C39" s="5" t="n">
        <v>46102</v>
      </c>
      <c r="D39" s="6">
        <f>Summary!D39</f>
        <v/>
      </c>
      <c r="E39" s="6">
        <f>Summary!E39</f>
        <v/>
      </c>
      <c r="F39" s="6">
        <f>Summary!F39</f>
        <v/>
      </c>
      <c r="G39" s="6">
        <f>Summary!G39</f>
        <v/>
      </c>
      <c r="H39" s="6">
        <f>Summary!H39</f>
        <v/>
      </c>
      <c r="I39" s="6">
        <f>Summary!I39</f>
        <v/>
      </c>
      <c r="J39" s="6">
        <f>Summary!J39</f>
        <v/>
      </c>
      <c r="K39" s="6">
        <f>Summary!K39</f>
        <v/>
      </c>
      <c r="L39" s="6">
        <f>Summary!L39</f>
        <v/>
      </c>
      <c r="M39" s="6">
        <f>Summary!M39</f>
        <v/>
      </c>
      <c r="N39" s="6">
        <f>Summary!N39</f>
        <v/>
      </c>
      <c r="O39" s="6">
        <f>Summary!O39</f>
        <v/>
      </c>
      <c r="P39" s="6">
        <f>Summary!P39</f>
        <v/>
      </c>
      <c r="Q39" s="6">
        <f>Summary!Q39</f>
        <v/>
      </c>
      <c r="R39" s="6">
        <f>Summary!R39</f>
        <v/>
      </c>
      <c r="S39" s="6">
        <f>Summary!S39</f>
        <v/>
      </c>
      <c r="T39" s="6">
        <f>Summary!T39</f>
        <v/>
      </c>
      <c r="U39" s="6">
        <f>Summary!U39</f>
        <v/>
      </c>
      <c r="V39" s="6">
        <f>Summary!V39</f>
        <v/>
      </c>
      <c r="W39" s="6">
        <f>Summary!W39</f>
        <v/>
      </c>
      <c r="X39" s="6">
        <f>Summary!X39</f>
        <v/>
      </c>
      <c r="Y39" s="6">
        <f>Summary!Y39</f>
        <v/>
      </c>
      <c r="Z39" s="6">
        <f>Summary!Z39</f>
        <v/>
      </c>
      <c r="AA39" s="6">
        <f>Summary!AA39</f>
        <v/>
      </c>
      <c r="AB39" s="6">
        <f>SUM(D39:AA39)</f>
        <v/>
      </c>
      <c r="AC39" s="3" t="inlineStr"/>
      <c r="AD39" s="7">
        <f>D39*0.0029</f>
        <v/>
      </c>
      <c r="AE39" s="7">
        <f>E39*0.0029</f>
        <v/>
      </c>
      <c r="AF39" s="7">
        <f>F39*0.0029</f>
        <v/>
      </c>
      <c r="AG39" s="7">
        <f>G39*0.0029</f>
        <v/>
      </c>
      <c r="AH39" s="7">
        <f>H39*0.0029</f>
        <v/>
      </c>
      <c r="AI39" s="7">
        <f>I39*0.0029</f>
        <v/>
      </c>
      <c r="AJ39" s="7">
        <f>J39*0.0029</f>
        <v/>
      </c>
      <c r="AK39" s="7">
        <f>K39*0.0029</f>
        <v/>
      </c>
      <c r="AL39" s="7">
        <f>L39*0.0029</f>
        <v/>
      </c>
      <c r="AM39" s="7">
        <f>M39*0.0029</f>
        <v/>
      </c>
      <c r="AN39" s="7">
        <f>N39*0.0029</f>
        <v/>
      </c>
      <c r="AO39" s="7">
        <f>O39*0.0029</f>
        <v/>
      </c>
      <c r="AP39" s="7">
        <f>P39*0.0029</f>
        <v/>
      </c>
      <c r="AQ39" s="7">
        <f>Q39*0.0029</f>
        <v/>
      </c>
      <c r="AR39" s="7">
        <f>R39*0.0029</f>
        <v/>
      </c>
      <c r="AS39" s="7">
        <f>S39*0.0029</f>
        <v/>
      </c>
      <c r="AT39" s="7">
        <f>T39*0.0029</f>
        <v/>
      </c>
      <c r="AU39" s="7">
        <f>U39*0.0029</f>
        <v/>
      </c>
      <c r="AV39" s="7">
        <f>V39*0.0029</f>
        <v/>
      </c>
      <c r="AW39" s="7">
        <f>W39*0.0029</f>
        <v/>
      </c>
      <c r="AX39" s="7">
        <f>X39*0.0029</f>
        <v/>
      </c>
      <c r="AY39" s="7">
        <f>Y39*0.0029</f>
        <v/>
      </c>
      <c r="AZ39" s="7">
        <f>Z39*0.0029</f>
        <v/>
      </c>
      <c r="BA39" s="7">
        <f>AA39*0.0029</f>
        <v/>
      </c>
      <c r="BB39" s="7">
        <f>SUM(AD39:BA39)</f>
        <v/>
      </c>
    </row>
    <row r="40">
      <c r="A40" t="inlineStr">
        <is>
          <t>AMD-FK-SSC</t>
        </is>
      </c>
      <c r="B40" t="inlineStr">
        <is>
          <t>Prime at Client side</t>
        </is>
      </c>
      <c r="C40" s="5" t="n">
        <v>46103</v>
      </c>
      <c r="D40" s="6">
        <f>Summary!D40</f>
        <v/>
      </c>
      <c r="E40" s="6">
        <f>Summary!E40</f>
        <v/>
      </c>
      <c r="F40" s="6">
        <f>Summary!F40</f>
        <v/>
      </c>
      <c r="G40" s="6">
        <f>Summary!G40</f>
        <v/>
      </c>
      <c r="H40" s="6">
        <f>Summary!H40</f>
        <v/>
      </c>
      <c r="I40" s="6">
        <f>Summary!I40</f>
        <v/>
      </c>
      <c r="J40" s="6">
        <f>Summary!J40</f>
        <v/>
      </c>
      <c r="K40" s="6">
        <f>Summary!K40</f>
        <v/>
      </c>
      <c r="L40" s="6">
        <f>Summary!L40</f>
        <v/>
      </c>
      <c r="M40" s="6">
        <f>Summary!M40</f>
        <v/>
      </c>
      <c r="N40" s="6">
        <f>Summary!N40</f>
        <v/>
      </c>
      <c r="O40" s="6">
        <f>Summary!O40</f>
        <v/>
      </c>
      <c r="P40" s="6">
        <f>Summary!P40</f>
        <v/>
      </c>
      <c r="Q40" s="6">
        <f>Summary!Q40</f>
        <v/>
      </c>
      <c r="R40" s="6">
        <f>Summary!R40</f>
        <v/>
      </c>
      <c r="S40" s="6">
        <f>Summary!S40</f>
        <v/>
      </c>
      <c r="T40" s="6">
        <f>Summary!T40</f>
        <v/>
      </c>
      <c r="U40" s="6">
        <f>Summary!U40</f>
        <v/>
      </c>
      <c r="V40" s="6">
        <f>Summary!V40</f>
        <v/>
      </c>
      <c r="W40" s="6">
        <f>Summary!W40</f>
        <v/>
      </c>
      <c r="X40" s="6">
        <f>Summary!X40</f>
        <v/>
      </c>
      <c r="Y40" s="6">
        <f>Summary!Y40</f>
        <v/>
      </c>
      <c r="Z40" s="6">
        <f>Summary!Z40</f>
        <v/>
      </c>
      <c r="AA40" s="6">
        <f>Summary!AA40</f>
        <v/>
      </c>
      <c r="AB40" s="6">
        <f>SUM(D40:AA40)</f>
        <v/>
      </c>
      <c r="AC40" s="3" t="inlineStr"/>
      <c r="AD40" s="7">
        <f>D40*0.0029</f>
        <v/>
      </c>
      <c r="AE40" s="7">
        <f>E40*0.0029</f>
        <v/>
      </c>
      <c r="AF40" s="7">
        <f>F40*0.0029</f>
        <v/>
      </c>
      <c r="AG40" s="7">
        <f>G40*0.0029</f>
        <v/>
      </c>
      <c r="AH40" s="7">
        <f>H40*0.0029</f>
        <v/>
      </c>
      <c r="AI40" s="7">
        <f>I40*0.0029</f>
        <v/>
      </c>
      <c r="AJ40" s="7">
        <f>J40*0.0029</f>
        <v/>
      </c>
      <c r="AK40" s="7">
        <f>K40*0.0029</f>
        <v/>
      </c>
      <c r="AL40" s="7">
        <f>L40*0.0029</f>
        <v/>
      </c>
      <c r="AM40" s="7">
        <f>M40*0.0029</f>
        <v/>
      </c>
      <c r="AN40" s="7">
        <f>N40*0.0029</f>
        <v/>
      </c>
      <c r="AO40" s="7">
        <f>O40*0.0029</f>
        <v/>
      </c>
      <c r="AP40" s="7">
        <f>P40*0.0029</f>
        <v/>
      </c>
      <c r="AQ40" s="7">
        <f>Q40*0.0029</f>
        <v/>
      </c>
      <c r="AR40" s="7">
        <f>R40*0.0029</f>
        <v/>
      </c>
      <c r="AS40" s="7">
        <f>S40*0.0029</f>
        <v/>
      </c>
      <c r="AT40" s="7">
        <f>T40*0.0029</f>
        <v/>
      </c>
      <c r="AU40" s="7">
        <f>U40*0.0029</f>
        <v/>
      </c>
      <c r="AV40" s="7">
        <f>V40*0.0029</f>
        <v/>
      </c>
      <c r="AW40" s="7">
        <f>W40*0.0029</f>
        <v/>
      </c>
      <c r="AX40" s="7">
        <f>X40*0.0029</f>
        <v/>
      </c>
      <c r="AY40" s="7">
        <f>Y40*0.0029</f>
        <v/>
      </c>
      <c r="AZ40" s="7">
        <f>Z40*0.0029</f>
        <v/>
      </c>
      <c r="BA40" s="7">
        <f>AA40*0.0029</f>
        <v/>
      </c>
      <c r="BB40" s="7">
        <f>SUM(AD40:BA40)</f>
        <v/>
      </c>
    </row>
    <row r="41">
      <c r="A41" t="inlineStr">
        <is>
          <t>AMD-FK-SSC</t>
        </is>
      </c>
      <c r="B41" t="inlineStr">
        <is>
          <t>Prime at Client side</t>
        </is>
      </c>
      <c r="C41" s="5" t="n">
        <v>46104</v>
      </c>
      <c r="D41" s="6">
        <f>Summary!D41</f>
        <v/>
      </c>
      <c r="E41" s="6">
        <f>Summary!E41</f>
        <v/>
      </c>
      <c r="F41" s="6">
        <f>Summary!F41</f>
        <v/>
      </c>
      <c r="G41" s="6">
        <f>Summary!G41</f>
        <v/>
      </c>
      <c r="H41" s="6">
        <f>Summary!H41</f>
        <v/>
      </c>
      <c r="I41" s="6">
        <f>Summary!I41</f>
        <v/>
      </c>
      <c r="J41" s="6">
        <f>Summary!J41</f>
        <v/>
      </c>
      <c r="K41" s="6">
        <f>Summary!K41</f>
        <v/>
      </c>
      <c r="L41" s="6">
        <f>Summary!L41</f>
        <v/>
      </c>
      <c r="M41" s="6">
        <f>Summary!M41</f>
        <v/>
      </c>
      <c r="N41" s="6">
        <f>Summary!N41</f>
        <v/>
      </c>
      <c r="O41" s="6">
        <f>Summary!O41</f>
        <v/>
      </c>
      <c r="P41" s="6">
        <f>Summary!P41</f>
        <v/>
      </c>
      <c r="Q41" s="6">
        <f>Summary!Q41</f>
        <v/>
      </c>
      <c r="R41" s="6">
        <f>Summary!R41</f>
        <v/>
      </c>
      <c r="S41" s="6">
        <f>Summary!S41</f>
        <v/>
      </c>
      <c r="T41" s="6">
        <f>Summary!T41</f>
        <v/>
      </c>
      <c r="U41" s="6">
        <f>Summary!U41</f>
        <v/>
      </c>
      <c r="V41" s="6">
        <f>Summary!V41</f>
        <v/>
      </c>
      <c r="W41" s="6">
        <f>Summary!W41</f>
        <v/>
      </c>
      <c r="X41" s="6">
        <f>Summary!X41</f>
        <v/>
      </c>
      <c r="Y41" s="6">
        <f>Summary!Y41</f>
        <v/>
      </c>
      <c r="Z41" s="6">
        <f>Summary!Z41</f>
        <v/>
      </c>
      <c r="AA41" s="6">
        <f>Summary!AA41</f>
        <v/>
      </c>
      <c r="AB41" s="6">
        <f>SUM(D41:AA41)</f>
        <v/>
      </c>
      <c r="AC41" s="3" t="inlineStr"/>
      <c r="AD41" s="7">
        <f>D41*0.0029</f>
        <v/>
      </c>
      <c r="AE41" s="7">
        <f>E41*0.0029</f>
        <v/>
      </c>
      <c r="AF41" s="7">
        <f>F41*0.0029</f>
        <v/>
      </c>
      <c r="AG41" s="7">
        <f>G41*0.0029</f>
        <v/>
      </c>
      <c r="AH41" s="7">
        <f>H41*0.0029</f>
        <v/>
      </c>
      <c r="AI41" s="7">
        <f>I41*0.0029</f>
        <v/>
      </c>
      <c r="AJ41" s="7">
        <f>J41*0.0029</f>
        <v/>
      </c>
      <c r="AK41" s="7">
        <f>K41*0.0029</f>
        <v/>
      </c>
      <c r="AL41" s="7">
        <f>L41*0.0029</f>
        <v/>
      </c>
      <c r="AM41" s="7">
        <f>M41*0.0029</f>
        <v/>
      </c>
      <c r="AN41" s="7">
        <f>N41*0.0029</f>
        <v/>
      </c>
      <c r="AO41" s="7">
        <f>O41*0.0029</f>
        <v/>
      </c>
      <c r="AP41" s="7">
        <f>P41*0.0029</f>
        <v/>
      </c>
      <c r="AQ41" s="7">
        <f>Q41*0.0029</f>
        <v/>
      </c>
      <c r="AR41" s="7">
        <f>R41*0.0029</f>
        <v/>
      </c>
      <c r="AS41" s="7">
        <f>S41*0.0029</f>
        <v/>
      </c>
      <c r="AT41" s="7">
        <f>T41*0.0029</f>
        <v/>
      </c>
      <c r="AU41" s="7">
        <f>U41*0.0029</f>
        <v/>
      </c>
      <c r="AV41" s="7">
        <f>V41*0.0029</f>
        <v/>
      </c>
      <c r="AW41" s="7">
        <f>W41*0.0029</f>
        <v/>
      </c>
      <c r="AX41" s="7">
        <f>X41*0.0029</f>
        <v/>
      </c>
      <c r="AY41" s="7">
        <f>Y41*0.0029</f>
        <v/>
      </c>
      <c r="AZ41" s="7">
        <f>Z41*0.0029</f>
        <v/>
      </c>
      <c r="BA41" s="7">
        <f>AA41*0.0029</f>
        <v/>
      </c>
      <c r="BB41" s="7">
        <f>SUM(AD41:BA41)</f>
        <v/>
      </c>
    </row>
    <row r="42">
      <c r="A42" t="inlineStr">
        <is>
          <t>AMD-FK-SSC</t>
        </is>
      </c>
      <c r="B42" t="inlineStr">
        <is>
          <t>Prime at Client side</t>
        </is>
      </c>
      <c r="C42" s="5" t="n">
        <v>46105</v>
      </c>
      <c r="D42" s="6">
        <f>Summary!D42</f>
        <v/>
      </c>
      <c r="E42" s="6">
        <f>Summary!E42</f>
        <v/>
      </c>
      <c r="F42" s="6">
        <f>Summary!F42</f>
        <v/>
      </c>
      <c r="G42" s="6">
        <f>Summary!G42</f>
        <v/>
      </c>
      <c r="H42" s="6">
        <f>Summary!H42</f>
        <v/>
      </c>
      <c r="I42" s="6">
        <f>Summary!I42</f>
        <v/>
      </c>
      <c r="J42" s="6">
        <f>Summary!J42</f>
        <v/>
      </c>
      <c r="K42" s="6">
        <f>Summary!K42</f>
        <v/>
      </c>
      <c r="L42" s="6">
        <f>Summary!L42</f>
        <v/>
      </c>
      <c r="M42" s="6">
        <f>Summary!M42</f>
        <v/>
      </c>
      <c r="N42" s="6">
        <f>Summary!N42</f>
        <v/>
      </c>
      <c r="O42" s="6">
        <f>Summary!O42</f>
        <v/>
      </c>
      <c r="P42" s="6">
        <f>Summary!P42</f>
        <v/>
      </c>
      <c r="Q42" s="6">
        <f>Summary!Q42</f>
        <v/>
      </c>
      <c r="R42" s="6">
        <f>Summary!R42</f>
        <v/>
      </c>
      <c r="S42" s="6">
        <f>Summary!S42</f>
        <v/>
      </c>
      <c r="T42" s="6">
        <f>Summary!T42</f>
        <v/>
      </c>
      <c r="U42" s="6">
        <f>Summary!U42</f>
        <v/>
      </c>
      <c r="V42" s="6">
        <f>Summary!V42</f>
        <v/>
      </c>
      <c r="W42" s="6">
        <f>Summary!W42</f>
        <v/>
      </c>
      <c r="X42" s="6">
        <f>Summary!X42</f>
        <v/>
      </c>
      <c r="Y42" s="6">
        <f>Summary!Y42</f>
        <v/>
      </c>
      <c r="Z42" s="6">
        <f>Summary!Z42</f>
        <v/>
      </c>
      <c r="AA42" s="6">
        <f>Summary!AA42</f>
        <v/>
      </c>
      <c r="AB42" s="6">
        <f>SUM(D42:AA42)</f>
        <v/>
      </c>
      <c r="AC42" s="3" t="inlineStr"/>
      <c r="AD42" s="7">
        <f>D42*0.0029</f>
        <v/>
      </c>
      <c r="AE42" s="7">
        <f>E42*0.0029</f>
        <v/>
      </c>
      <c r="AF42" s="7">
        <f>F42*0.0029</f>
        <v/>
      </c>
      <c r="AG42" s="7">
        <f>G42*0.0029</f>
        <v/>
      </c>
      <c r="AH42" s="7">
        <f>H42*0.0029</f>
        <v/>
      </c>
      <c r="AI42" s="7">
        <f>I42*0.0029</f>
        <v/>
      </c>
      <c r="AJ42" s="7">
        <f>J42*0.0029</f>
        <v/>
      </c>
      <c r="AK42" s="7">
        <f>K42*0.0029</f>
        <v/>
      </c>
      <c r="AL42" s="7">
        <f>L42*0.0029</f>
        <v/>
      </c>
      <c r="AM42" s="7">
        <f>M42*0.0029</f>
        <v/>
      </c>
      <c r="AN42" s="7">
        <f>N42*0.0029</f>
        <v/>
      </c>
      <c r="AO42" s="7">
        <f>O42*0.0029</f>
        <v/>
      </c>
      <c r="AP42" s="7">
        <f>P42*0.0029</f>
        <v/>
      </c>
      <c r="AQ42" s="7">
        <f>Q42*0.0029</f>
        <v/>
      </c>
      <c r="AR42" s="7">
        <f>R42*0.0029</f>
        <v/>
      </c>
      <c r="AS42" s="7">
        <f>S42*0.0029</f>
        <v/>
      </c>
      <c r="AT42" s="7">
        <f>T42*0.0029</f>
        <v/>
      </c>
      <c r="AU42" s="7">
        <f>U42*0.0029</f>
        <v/>
      </c>
      <c r="AV42" s="7">
        <f>V42*0.0029</f>
        <v/>
      </c>
      <c r="AW42" s="7">
        <f>W42*0.0029</f>
        <v/>
      </c>
      <c r="AX42" s="7">
        <f>X42*0.0029</f>
        <v/>
      </c>
      <c r="AY42" s="7">
        <f>Y42*0.0029</f>
        <v/>
      </c>
      <c r="AZ42" s="7">
        <f>Z42*0.0029</f>
        <v/>
      </c>
      <c r="BA42" s="7">
        <f>AA42*0.0029</f>
        <v/>
      </c>
      <c r="BB42" s="7">
        <f>SUM(AD42:BA42)</f>
        <v/>
      </c>
    </row>
    <row r="43">
      <c r="A43" t="inlineStr">
        <is>
          <t>AMD-FWDPRI-SSC</t>
        </is>
      </c>
      <c r="B43" t="inlineStr">
        <is>
          <t>FWD Priority OSC</t>
        </is>
      </c>
      <c r="C43" s="5" t="n">
        <v>46098</v>
      </c>
      <c r="D43" s="6">
        <f>Summary!D43</f>
        <v/>
      </c>
      <c r="E43" s="6">
        <f>Summary!E43</f>
        <v/>
      </c>
      <c r="F43" s="6">
        <f>Summary!F43</f>
        <v/>
      </c>
      <c r="G43" s="6">
        <f>Summary!G43</f>
        <v/>
      </c>
      <c r="H43" s="6">
        <f>Summary!H43</f>
        <v/>
      </c>
      <c r="I43" s="6">
        <f>Summary!I43</f>
        <v/>
      </c>
      <c r="J43" s="6">
        <f>Summary!J43</f>
        <v/>
      </c>
      <c r="K43" s="6">
        <f>Summary!K43</f>
        <v/>
      </c>
      <c r="L43" s="6">
        <f>Summary!L43</f>
        <v/>
      </c>
      <c r="M43" s="6">
        <f>Summary!M43</f>
        <v/>
      </c>
      <c r="N43" s="6">
        <f>Summary!N43</f>
        <v/>
      </c>
      <c r="O43" s="6">
        <f>Summary!O43</f>
        <v/>
      </c>
      <c r="P43" s="6">
        <f>Summary!P43</f>
        <v/>
      </c>
      <c r="Q43" s="6">
        <f>Summary!Q43</f>
        <v/>
      </c>
      <c r="R43" s="6">
        <f>Summary!R43</f>
        <v/>
      </c>
      <c r="S43" s="6">
        <f>Summary!S43</f>
        <v/>
      </c>
      <c r="T43" s="6">
        <f>Summary!T43</f>
        <v/>
      </c>
      <c r="U43" s="6">
        <f>Summary!U43</f>
        <v/>
      </c>
      <c r="V43" s="6">
        <f>Summary!V43</f>
        <v/>
      </c>
      <c r="W43" s="6">
        <f>Summary!W43</f>
        <v/>
      </c>
      <c r="X43" s="6">
        <f>Summary!X43</f>
        <v/>
      </c>
      <c r="Y43" s="6">
        <f>Summary!Y43</f>
        <v/>
      </c>
      <c r="Z43" s="6">
        <f>Summary!Z43</f>
        <v/>
      </c>
      <c r="AA43" s="6">
        <f>Summary!AA43</f>
        <v/>
      </c>
      <c r="AB43" s="6">
        <f>SUM(D43:AA43)</f>
        <v/>
      </c>
      <c r="AC43" s="3" t="inlineStr"/>
      <c r="AD43" s="7">
        <f>D43*0.0029</f>
        <v/>
      </c>
      <c r="AE43" s="7">
        <f>E43*0.0029</f>
        <v/>
      </c>
      <c r="AF43" s="7">
        <f>F43*0.0029</f>
        <v/>
      </c>
      <c r="AG43" s="7">
        <f>G43*0.0029</f>
        <v/>
      </c>
      <c r="AH43" s="7">
        <f>H43*0.0029</f>
        <v/>
      </c>
      <c r="AI43" s="7">
        <f>I43*0.0029</f>
        <v/>
      </c>
      <c r="AJ43" s="7">
        <f>J43*0.0029</f>
        <v/>
      </c>
      <c r="AK43" s="7">
        <f>K43*0.0029</f>
        <v/>
      </c>
      <c r="AL43" s="7">
        <f>L43*0.0029</f>
        <v/>
      </c>
      <c r="AM43" s="7">
        <f>M43*0.0029</f>
        <v/>
      </c>
      <c r="AN43" s="7">
        <f>N43*0.0029</f>
        <v/>
      </c>
      <c r="AO43" s="7">
        <f>O43*0.0029</f>
        <v/>
      </c>
      <c r="AP43" s="7">
        <f>P43*0.0029</f>
        <v/>
      </c>
      <c r="AQ43" s="7">
        <f>Q43*0.0029</f>
        <v/>
      </c>
      <c r="AR43" s="7">
        <f>R43*0.0029</f>
        <v/>
      </c>
      <c r="AS43" s="7">
        <f>S43*0.0029</f>
        <v/>
      </c>
      <c r="AT43" s="7">
        <f>T43*0.0029</f>
        <v/>
      </c>
      <c r="AU43" s="7">
        <f>U43*0.0029</f>
        <v/>
      </c>
      <c r="AV43" s="7">
        <f>V43*0.0029</f>
        <v/>
      </c>
      <c r="AW43" s="7">
        <f>W43*0.0029</f>
        <v/>
      </c>
      <c r="AX43" s="7">
        <f>X43*0.0029</f>
        <v/>
      </c>
      <c r="AY43" s="7">
        <f>Y43*0.0029</f>
        <v/>
      </c>
      <c r="AZ43" s="7">
        <f>Z43*0.0029</f>
        <v/>
      </c>
      <c r="BA43" s="7">
        <f>AA43*0.0029</f>
        <v/>
      </c>
      <c r="BB43" s="7">
        <f>SUM(AD43:BA43)</f>
        <v/>
      </c>
    </row>
    <row r="44">
      <c r="A44" t="inlineStr">
        <is>
          <t>AMD-FWDPRI-SSC</t>
        </is>
      </c>
      <c r="B44" t="inlineStr">
        <is>
          <t>FWD Priority OSC</t>
        </is>
      </c>
      <c r="C44" s="5" t="n">
        <v>46099</v>
      </c>
      <c r="D44" s="6">
        <f>Summary!D44</f>
        <v/>
      </c>
      <c r="E44" s="6">
        <f>Summary!E44</f>
        <v/>
      </c>
      <c r="F44" s="6">
        <f>Summary!F44</f>
        <v/>
      </c>
      <c r="G44" s="6">
        <f>Summary!G44</f>
        <v/>
      </c>
      <c r="H44" s="6">
        <f>Summary!H44</f>
        <v/>
      </c>
      <c r="I44" s="6">
        <f>Summary!I44</f>
        <v/>
      </c>
      <c r="J44" s="6">
        <f>Summary!J44</f>
        <v/>
      </c>
      <c r="K44" s="6">
        <f>Summary!K44</f>
        <v/>
      </c>
      <c r="L44" s="6">
        <f>Summary!L44</f>
        <v/>
      </c>
      <c r="M44" s="6">
        <f>Summary!M44</f>
        <v/>
      </c>
      <c r="N44" s="6">
        <f>Summary!N44</f>
        <v/>
      </c>
      <c r="O44" s="6">
        <f>Summary!O44</f>
        <v/>
      </c>
      <c r="P44" s="6">
        <f>Summary!P44</f>
        <v/>
      </c>
      <c r="Q44" s="6">
        <f>Summary!Q44</f>
        <v/>
      </c>
      <c r="R44" s="6">
        <f>Summary!R44</f>
        <v/>
      </c>
      <c r="S44" s="6">
        <f>Summary!S44</f>
        <v/>
      </c>
      <c r="T44" s="6">
        <f>Summary!T44</f>
        <v/>
      </c>
      <c r="U44" s="6">
        <f>Summary!U44</f>
        <v/>
      </c>
      <c r="V44" s="6">
        <f>Summary!V44</f>
        <v/>
      </c>
      <c r="W44" s="6">
        <f>Summary!W44</f>
        <v/>
      </c>
      <c r="X44" s="6">
        <f>Summary!X44</f>
        <v/>
      </c>
      <c r="Y44" s="6">
        <f>Summary!Y44</f>
        <v/>
      </c>
      <c r="Z44" s="6">
        <f>Summary!Z44</f>
        <v/>
      </c>
      <c r="AA44" s="6">
        <f>Summary!AA44</f>
        <v/>
      </c>
      <c r="AB44" s="6">
        <f>SUM(D44:AA44)</f>
        <v/>
      </c>
      <c r="AC44" s="3" t="inlineStr"/>
      <c r="AD44" s="7">
        <f>D44*0.0029</f>
        <v/>
      </c>
      <c r="AE44" s="7">
        <f>E44*0.0029</f>
        <v/>
      </c>
      <c r="AF44" s="7">
        <f>F44*0.0029</f>
        <v/>
      </c>
      <c r="AG44" s="7">
        <f>G44*0.0029</f>
        <v/>
      </c>
      <c r="AH44" s="7">
        <f>H44*0.0029</f>
        <v/>
      </c>
      <c r="AI44" s="7">
        <f>I44*0.0029</f>
        <v/>
      </c>
      <c r="AJ44" s="7">
        <f>J44*0.0029</f>
        <v/>
      </c>
      <c r="AK44" s="7">
        <f>K44*0.0029</f>
        <v/>
      </c>
      <c r="AL44" s="7">
        <f>L44*0.0029</f>
        <v/>
      </c>
      <c r="AM44" s="7">
        <f>M44*0.0029</f>
        <v/>
      </c>
      <c r="AN44" s="7">
        <f>N44*0.0029</f>
        <v/>
      </c>
      <c r="AO44" s="7">
        <f>O44*0.0029</f>
        <v/>
      </c>
      <c r="AP44" s="7">
        <f>P44*0.0029</f>
        <v/>
      </c>
      <c r="AQ44" s="7">
        <f>Q44*0.0029</f>
        <v/>
      </c>
      <c r="AR44" s="7">
        <f>R44*0.0029</f>
        <v/>
      </c>
      <c r="AS44" s="7">
        <f>S44*0.0029</f>
        <v/>
      </c>
      <c r="AT44" s="7">
        <f>T44*0.0029</f>
        <v/>
      </c>
      <c r="AU44" s="7">
        <f>U44*0.0029</f>
        <v/>
      </c>
      <c r="AV44" s="7">
        <f>V44*0.0029</f>
        <v/>
      </c>
      <c r="AW44" s="7">
        <f>W44*0.0029</f>
        <v/>
      </c>
      <c r="AX44" s="7">
        <f>X44*0.0029</f>
        <v/>
      </c>
      <c r="AY44" s="7">
        <f>Y44*0.0029</f>
        <v/>
      </c>
      <c r="AZ44" s="7">
        <f>Z44*0.0029</f>
        <v/>
      </c>
      <c r="BA44" s="7">
        <f>AA44*0.0029</f>
        <v/>
      </c>
      <c r="BB44" s="7">
        <f>SUM(AD44:BA44)</f>
        <v/>
      </c>
    </row>
    <row r="45">
      <c r="A45" t="inlineStr">
        <is>
          <t>AMD-FWDPRI-SSC</t>
        </is>
      </c>
      <c r="B45" t="inlineStr">
        <is>
          <t>FWD Priority OSC</t>
        </is>
      </c>
      <c r="C45" s="5" t="n">
        <v>46100</v>
      </c>
      <c r="D45" s="6">
        <f>Summary!D45</f>
        <v/>
      </c>
      <c r="E45" s="6">
        <f>Summary!E45</f>
        <v/>
      </c>
      <c r="F45" s="6">
        <f>Summary!F45</f>
        <v/>
      </c>
      <c r="G45" s="6">
        <f>Summary!G45</f>
        <v/>
      </c>
      <c r="H45" s="6">
        <f>Summary!H45</f>
        <v/>
      </c>
      <c r="I45" s="6">
        <f>Summary!I45</f>
        <v/>
      </c>
      <c r="J45" s="6">
        <f>Summary!J45</f>
        <v/>
      </c>
      <c r="K45" s="6">
        <f>Summary!K45</f>
        <v/>
      </c>
      <c r="L45" s="6">
        <f>Summary!L45</f>
        <v/>
      </c>
      <c r="M45" s="6">
        <f>Summary!M45</f>
        <v/>
      </c>
      <c r="N45" s="6">
        <f>Summary!N45</f>
        <v/>
      </c>
      <c r="O45" s="6">
        <f>Summary!O45</f>
        <v/>
      </c>
      <c r="P45" s="6">
        <f>Summary!P45</f>
        <v/>
      </c>
      <c r="Q45" s="6">
        <f>Summary!Q45</f>
        <v/>
      </c>
      <c r="R45" s="6">
        <f>Summary!R45</f>
        <v/>
      </c>
      <c r="S45" s="6">
        <f>Summary!S45</f>
        <v/>
      </c>
      <c r="T45" s="6">
        <f>Summary!T45</f>
        <v/>
      </c>
      <c r="U45" s="6">
        <f>Summary!U45</f>
        <v/>
      </c>
      <c r="V45" s="6">
        <f>Summary!V45</f>
        <v/>
      </c>
      <c r="W45" s="6">
        <f>Summary!W45</f>
        <v/>
      </c>
      <c r="X45" s="6">
        <f>Summary!X45</f>
        <v/>
      </c>
      <c r="Y45" s="6">
        <f>Summary!Y45</f>
        <v/>
      </c>
      <c r="Z45" s="6">
        <f>Summary!Z45</f>
        <v/>
      </c>
      <c r="AA45" s="6">
        <f>Summary!AA45</f>
        <v/>
      </c>
      <c r="AB45" s="6">
        <f>SUM(D45:AA45)</f>
        <v/>
      </c>
      <c r="AC45" s="3" t="inlineStr"/>
      <c r="AD45" s="7">
        <f>D45*0.0029</f>
        <v/>
      </c>
      <c r="AE45" s="7">
        <f>E45*0.0029</f>
        <v/>
      </c>
      <c r="AF45" s="7">
        <f>F45*0.0029</f>
        <v/>
      </c>
      <c r="AG45" s="7">
        <f>G45*0.0029</f>
        <v/>
      </c>
      <c r="AH45" s="7">
        <f>H45*0.0029</f>
        <v/>
      </c>
      <c r="AI45" s="7">
        <f>I45*0.0029</f>
        <v/>
      </c>
      <c r="AJ45" s="7">
        <f>J45*0.0029</f>
        <v/>
      </c>
      <c r="AK45" s="7">
        <f>K45*0.0029</f>
        <v/>
      </c>
      <c r="AL45" s="7">
        <f>L45*0.0029</f>
        <v/>
      </c>
      <c r="AM45" s="7">
        <f>M45*0.0029</f>
        <v/>
      </c>
      <c r="AN45" s="7">
        <f>N45*0.0029</f>
        <v/>
      </c>
      <c r="AO45" s="7">
        <f>O45*0.0029</f>
        <v/>
      </c>
      <c r="AP45" s="7">
        <f>P45*0.0029</f>
        <v/>
      </c>
      <c r="AQ45" s="7">
        <f>Q45*0.0029</f>
        <v/>
      </c>
      <c r="AR45" s="7">
        <f>R45*0.0029</f>
        <v/>
      </c>
      <c r="AS45" s="7">
        <f>S45*0.0029</f>
        <v/>
      </c>
      <c r="AT45" s="7">
        <f>T45*0.0029</f>
        <v/>
      </c>
      <c r="AU45" s="7">
        <f>U45*0.0029</f>
        <v/>
      </c>
      <c r="AV45" s="7">
        <f>V45*0.0029</f>
        <v/>
      </c>
      <c r="AW45" s="7">
        <f>W45*0.0029</f>
        <v/>
      </c>
      <c r="AX45" s="7">
        <f>X45*0.0029</f>
        <v/>
      </c>
      <c r="AY45" s="7">
        <f>Y45*0.0029</f>
        <v/>
      </c>
      <c r="AZ45" s="7">
        <f>Z45*0.0029</f>
        <v/>
      </c>
      <c r="BA45" s="7">
        <f>AA45*0.0029</f>
        <v/>
      </c>
      <c r="BB45" s="7">
        <f>SUM(AD45:BA45)</f>
        <v/>
      </c>
    </row>
    <row r="46">
      <c r="A46" t="inlineStr">
        <is>
          <t>AMD-FWDPRI-SSC</t>
        </is>
      </c>
      <c r="B46" t="inlineStr">
        <is>
          <t>FWD Priority OSC</t>
        </is>
      </c>
      <c r="C46" s="5" t="n">
        <v>46101</v>
      </c>
      <c r="D46" s="6">
        <f>Summary!D46</f>
        <v/>
      </c>
      <c r="E46" s="6">
        <f>Summary!E46</f>
        <v/>
      </c>
      <c r="F46" s="6">
        <f>Summary!F46</f>
        <v/>
      </c>
      <c r="G46" s="6">
        <f>Summary!G46</f>
        <v/>
      </c>
      <c r="H46" s="6">
        <f>Summary!H46</f>
        <v/>
      </c>
      <c r="I46" s="6">
        <f>Summary!I46</f>
        <v/>
      </c>
      <c r="J46" s="6">
        <f>Summary!J46</f>
        <v/>
      </c>
      <c r="K46" s="6">
        <f>Summary!K46</f>
        <v/>
      </c>
      <c r="L46" s="6">
        <f>Summary!L46</f>
        <v/>
      </c>
      <c r="M46" s="6">
        <f>Summary!M46</f>
        <v/>
      </c>
      <c r="N46" s="6">
        <f>Summary!N46</f>
        <v/>
      </c>
      <c r="O46" s="6">
        <f>Summary!O46</f>
        <v/>
      </c>
      <c r="P46" s="6">
        <f>Summary!P46</f>
        <v/>
      </c>
      <c r="Q46" s="6">
        <f>Summary!Q46</f>
        <v/>
      </c>
      <c r="R46" s="6">
        <f>Summary!R46</f>
        <v/>
      </c>
      <c r="S46" s="6">
        <f>Summary!S46</f>
        <v/>
      </c>
      <c r="T46" s="6">
        <f>Summary!T46</f>
        <v/>
      </c>
      <c r="U46" s="6">
        <f>Summary!U46</f>
        <v/>
      </c>
      <c r="V46" s="6">
        <f>Summary!V46</f>
        <v/>
      </c>
      <c r="W46" s="6">
        <f>Summary!W46</f>
        <v/>
      </c>
      <c r="X46" s="6">
        <f>Summary!X46</f>
        <v/>
      </c>
      <c r="Y46" s="6">
        <f>Summary!Y46</f>
        <v/>
      </c>
      <c r="Z46" s="6">
        <f>Summary!Z46</f>
        <v/>
      </c>
      <c r="AA46" s="6">
        <f>Summary!AA46</f>
        <v/>
      </c>
      <c r="AB46" s="6">
        <f>SUM(D46:AA46)</f>
        <v/>
      </c>
      <c r="AC46" s="3" t="inlineStr"/>
      <c r="AD46" s="7">
        <f>D46*0.0029</f>
        <v/>
      </c>
      <c r="AE46" s="7">
        <f>E46*0.0029</f>
        <v/>
      </c>
      <c r="AF46" s="7">
        <f>F46*0.0029</f>
        <v/>
      </c>
      <c r="AG46" s="7">
        <f>G46*0.0029</f>
        <v/>
      </c>
      <c r="AH46" s="7">
        <f>H46*0.0029</f>
        <v/>
      </c>
      <c r="AI46" s="7">
        <f>I46*0.0029</f>
        <v/>
      </c>
      <c r="AJ46" s="7">
        <f>J46*0.0029</f>
        <v/>
      </c>
      <c r="AK46" s="7">
        <f>K46*0.0029</f>
        <v/>
      </c>
      <c r="AL46" s="7">
        <f>L46*0.0029</f>
        <v/>
      </c>
      <c r="AM46" s="7">
        <f>M46*0.0029</f>
        <v/>
      </c>
      <c r="AN46" s="7">
        <f>N46*0.0029</f>
        <v/>
      </c>
      <c r="AO46" s="7">
        <f>O46*0.0029</f>
        <v/>
      </c>
      <c r="AP46" s="7">
        <f>P46*0.0029</f>
        <v/>
      </c>
      <c r="AQ46" s="7">
        <f>Q46*0.0029</f>
        <v/>
      </c>
      <c r="AR46" s="7">
        <f>R46*0.0029</f>
        <v/>
      </c>
      <c r="AS46" s="7">
        <f>S46*0.0029</f>
        <v/>
      </c>
      <c r="AT46" s="7">
        <f>T46*0.0029</f>
        <v/>
      </c>
      <c r="AU46" s="7">
        <f>U46*0.0029</f>
        <v/>
      </c>
      <c r="AV46" s="7">
        <f>V46*0.0029</f>
        <v/>
      </c>
      <c r="AW46" s="7">
        <f>W46*0.0029</f>
        <v/>
      </c>
      <c r="AX46" s="7">
        <f>X46*0.0029</f>
        <v/>
      </c>
      <c r="AY46" s="7">
        <f>Y46*0.0029</f>
        <v/>
      </c>
      <c r="AZ46" s="7">
        <f>Z46*0.0029</f>
        <v/>
      </c>
      <c r="BA46" s="7">
        <f>AA46*0.0029</f>
        <v/>
      </c>
      <c r="BB46" s="7">
        <f>SUM(AD46:BA46)</f>
        <v/>
      </c>
    </row>
    <row r="47">
      <c r="A47" t="inlineStr">
        <is>
          <t>AMD-FWDPRI-SSC</t>
        </is>
      </c>
      <c r="B47" t="inlineStr">
        <is>
          <t>FWD Priority OSC</t>
        </is>
      </c>
      <c r="C47" s="5" t="n">
        <v>46102</v>
      </c>
      <c r="D47" s="6">
        <f>Summary!D47</f>
        <v/>
      </c>
      <c r="E47" s="6">
        <f>Summary!E47</f>
        <v/>
      </c>
      <c r="F47" s="6">
        <f>Summary!F47</f>
        <v/>
      </c>
      <c r="G47" s="6">
        <f>Summary!G47</f>
        <v/>
      </c>
      <c r="H47" s="6">
        <f>Summary!H47</f>
        <v/>
      </c>
      <c r="I47" s="6">
        <f>Summary!I47</f>
        <v/>
      </c>
      <c r="J47" s="6">
        <f>Summary!J47</f>
        <v/>
      </c>
      <c r="K47" s="6">
        <f>Summary!K47</f>
        <v/>
      </c>
      <c r="L47" s="6">
        <f>Summary!L47</f>
        <v/>
      </c>
      <c r="M47" s="6">
        <f>Summary!M47</f>
        <v/>
      </c>
      <c r="N47" s="6">
        <f>Summary!N47</f>
        <v/>
      </c>
      <c r="O47" s="6">
        <f>Summary!O47</f>
        <v/>
      </c>
      <c r="P47" s="6">
        <f>Summary!P47</f>
        <v/>
      </c>
      <c r="Q47" s="6">
        <f>Summary!Q47</f>
        <v/>
      </c>
      <c r="R47" s="6">
        <f>Summary!R47</f>
        <v/>
      </c>
      <c r="S47" s="6">
        <f>Summary!S47</f>
        <v/>
      </c>
      <c r="T47" s="6">
        <f>Summary!T47</f>
        <v/>
      </c>
      <c r="U47" s="6">
        <f>Summary!U47</f>
        <v/>
      </c>
      <c r="V47" s="6">
        <f>Summary!V47</f>
        <v/>
      </c>
      <c r="W47" s="6">
        <f>Summary!W47</f>
        <v/>
      </c>
      <c r="X47" s="6">
        <f>Summary!X47</f>
        <v/>
      </c>
      <c r="Y47" s="6">
        <f>Summary!Y47</f>
        <v/>
      </c>
      <c r="Z47" s="6">
        <f>Summary!Z47</f>
        <v/>
      </c>
      <c r="AA47" s="6">
        <f>Summary!AA47</f>
        <v/>
      </c>
      <c r="AB47" s="6">
        <f>SUM(D47:AA47)</f>
        <v/>
      </c>
      <c r="AC47" s="3" t="inlineStr"/>
      <c r="AD47" s="7">
        <f>D47*0.0029</f>
        <v/>
      </c>
      <c r="AE47" s="7">
        <f>E47*0.0029</f>
        <v/>
      </c>
      <c r="AF47" s="7">
        <f>F47*0.0029</f>
        <v/>
      </c>
      <c r="AG47" s="7">
        <f>G47*0.0029</f>
        <v/>
      </c>
      <c r="AH47" s="7">
        <f>H47*0.0029</f>
        <v/>
      </c>
      <c r="AI47" s="7">
        <f>I47*0.0029</f>
        <v/>
      </c>
      <c r="AJ47" s="7">
        <f>J47*0.0029</f>
        <v/>
      </c>
      <c r="AK47" s="7">
        <f>K47*0.0029</f>
        <v/>
      </c>
      <c r="AL47" s="7">
        <f>L47*0.0029</f>
        <v/>
      </c>
      <c r="AM47" s="7">
        <f>M47*0.0029</f>
        <v/>
      </c>
      <c r="AN47" s="7">
        <f>N47*0.0029</f>
        <v/>
      </c>
      <c r="AO47" s="7">
        <f>O47*0.0029</f>
        <v/>
      </c>
      <c r="AP47" s="7">
        <f>P47*0.0029</f>
        <v/>
      </c>
      <c r="AQ47" s="7">
        <f>Q47*0.0029</f>
        <v/>
      </c>
      <c r="AR47" s="7">
        <f>R47*0.0029</f>
        <v/>
      </c>
      <c r="AS47" s="7">
        <f>S47*0.0029</f>
        <v/>
      </c>
      <c r="AT47" s="7">
        <f>T47*0.0029</f>
        <v/>
      </c>
      <c r="AU47" s="7">
        <f>U47*0.0029</f>
        <v/>
      </c>
      <c r="AV47" s="7">
        <f>V47*0.0029</f>
        <v/>
      </c>
      <c r="AW47" s="7">
        <f>W47*0.0029</f>
        <v/>
      </c>
      <c r="AX47" s="7">
        <f>X47*0.0029</f>
        <v/>
      </c>
      <c r="AY47" s="7">
        <f>Y47*0.0029</f>
        <v/>
      </c>
      <c r="AZ47" s="7">
        <f>Z47*0.0029</f>
        <v/>
      </c>
      <c r="BA47" s="7">
        <f>AA47*0.0029</f>
        <v/>
      </c>
      <c r="BB47" s="7">
        <f>SUM(AD47:BA47)</f>
        <v/>
      </c>
    </row>
    <row r="48">
      <c r="A48" t="inlineStr">
        <is>
          <t>AMD-FWDPRI-SSC</t>
        </is>
      </c>
      <c r="B48" t="inlineStr">
        <is>
          <t>FWD Priority OSC</t>
        </is>
      </c>
      <c r="C48" s="5" t="n">
        <v>46103</v>
      </c>
      <c r="D48" s="6">
        <f>Summary!D48</f>
        <v/>
      </c>
      <c r="E48" s="6">
        <f>Summary!E48</f>
        <v/>
      </c>
      <c r="F48" s="6">
        <f>Summary!F48</f>
        <v/>
      </c>
      <c r="G48" s="6">
        <f>Summary!G48</f>
        <v/>
      </c>
      <c r="H48" s="6">
        <f>Summary!H48</f>
        <v/>
      </c>
      <c r="I48" s="6">
        <f>Summary!I48</f>
        <v/>
      </c>
      <c r="J48" s="6">
        <f>Summary!J48</f>
        <v/>
      </c>
      <c r="K48" s="6">
        <f>Summary!K48</f>
        <v/>
      </c>
      <c r="L48" s="6">
        <f>Summary!L48</f>
        <v/>
      </c>
      <c r="M48" s="6">
        <f>Summary!M48</f>
        <v/>
      </c>
      <c r="N48" s="6">
        <f>Summary!N48</f>
        <v/>
      </c>
      <c r="O48" s="6">
        <f>Summary!O48</f>
        <v/>
      </c>
      <c r="P48" s="6">
        <f>Summary!P48</f>
        <v/>
      </c>
      <c r="Q48" s="6">
        <f>Summary!Q48</f>
        <v/>
      </c>
      <c r="R48" s="6">
        <f>Summary!R48</f>
        <v/>
      </c>
      <c r="S48" s="6">
        <f>Summary!S48</f>
        <v/>
      </c>
      <c r="T48" s="6">
        <f>Summary!T48</f>
        <v/>
      </c>
      <c r="U48" s="6">
        <f>Summary!U48</f>
        <v/>
      </c>
      <c r="V48" s="6">
        <f>Summary!V48</f>
        <v/>
      </c>
      <c r="W48" s="6">
        <f>Summary!W48</f>
        <v/>
      </c>
      <c r="X48" s="6">
        <f>Summary!X48</f>
        <v/>
      </c>
      <c r="Y48" s="6">
        <f>Summary!Y48</f>
        <v/>
      </c>
      <c r="Z48" s="6">
        <f>Summary!Z48</f>
        <v/>
      </c>
      <c r="AA48" s="6">
        <f>Summary!AA48</f>
        <v/>
      </c>
      <c r="AB48" s="6">
        <f>SUM(D48:AA48)</f>
        <v/>
      </c>
      <c r="AC48" s="3" t="inlineStr"/>
      <c r="AD48" s="7">
        <f>D48*0.0029</f>
        <v/>
      </c>
      <c r="AE48" s="7">
        <f>E48*0.0029</f>
        <v/>
      </c>
      <c r="AF48" s="7">
        <f>F48*0.0029</f>
        <v/>
      </c>
      <c r="AG48" s="7">
        <f>G48*0.0029</f>
        <v/>
      </c>
      <c r="AH48" s="7">
        <f>H48*0.0029</f>
        <v/>
      </c>
      <c r="AI48" s="7">
        <f>I48*0.0029</f>
        <v/>
      </c>
      <c r="AJ48" s="7">
        <f>J48*0.0029</f>
        <v/>
      </c>
      <c r="AK48" s="7">
        <f>K48*0.0029</f>
        <v/>
      </c>
      <c r="AL48" s="7">
        <f>L48*0.0029</f>
        <v/>
      </c>
      <c r="AM48" s="7">
        <f>M48*0.0029</f>
        <v/>
      </c>
      <c r="AN48" s="7">
        <f>N48*0.0029</f>
        <v/>
      </c>
      <c r="AO48" s="7">
        <f>O48*0.0029</f>
        <v/>
      </c>
      <c r="AP48" s="7">
        <f>P48*0.0029</f>
        <v/>
      </c>
      <c r="AQ48" s="7">
        <f>Q48*0.0029</f>
        <v/>
      </c>
      <c r="AR48" s="7">
        <f>R48*0.0029</f>
        <v/>
      </c>
      <c r="AS48" s="7">
        <f>S48*0.0029</f>
        <v/>
      </c>
      <c r="AT48" s="7">
        <f>T48*0.0029</f>
        <v/>
      </c>
      <c r="AU48" s="7">
        <f>U48*0.0029</f>
        <v/>
      </c>
      <c r="AV48" s="7">
        <f>V48*0.0029</f>
        <v/>
      </c>
      <c r="AW48" s="7">
        <f>W48*0.0029</f>
        <v/>
      </c>
      <c r="AX48" s="7">
        <f>X48*0.0029</f>
        <v/>
      </c>
      <c r="AY48" s="7">
        <f>Y48*0.0029</f>
        <v/>
      </c>
      <c r="AZ48" s="7">
        <f>Z48*0.0029</f>
        <v/>
      </c>
      <c r="BA48" s="7">
        <f>AA48*0.0029</f>
        <v/>
      </c>
      <c r="BB48" s="7">
        <f>SUM(AD48:BA48)</f>
        <v/>
      </c>
    </row>
    <row r="49">
      <c r="A49" t="inlineStr">
        <is>
          <t>AMD-FWDPRI-SSC</t>
        </is>
      </c>
      <c r="B49" t="inlineStr">
        <is>
          <t>FWD Priority OSC</t>
        </is>
      </c>
      <c r="C49" s="5" t="n">
        <v>46104</v>
      </c>
      <c r="D49" s="6">
        <f>Summary!D49</f>
        <v/>
      </c>
      <c r="E49" s="6">
        <f>Summary!E49</f>
        <v/>
      </c>
      <c r="F49" s="6">
        <f>Summary!F49</f>
        <v/>
      </c>
      <c r="G49" s="6">
        <f>Summary!G49</f>
        <v/>
      </c>
      <c r="H49" s="6">
        <f>Summary!H49</f>
        <v/>
      </c>
      <c r="I49" s="6">
        <f>Summary!I49</f>
        <v/>
      </c>
      <c r="J49" s="6">
        <f>Summary!J49</f>
        <v/>
      </c>
      <c r="K49" s="6">
        <f>Summary!K49</f>
        <v/>
      </c>
      <c r="L49" s="6">
        <f>Summary!L49</f>
        <v/>
      </c>
      <c r="M49" s="6">
        <f>Summary!M49</f>
        <v/>
      </c>
      <c r="N49" s="6">
        <f>Summary!N49</f>
        <v/>
      </c>
      <c r="O49" s="6">
        <f>Summary!O49</f>
        <v/>
      </c>
      <c r="P49" s="6">
        <f>Summary!P49</f>
        <v/>
      </c>
      <c r="Q49" s="6">
        <f>Summary!Q49</f>
        <v/>
      </c>
      <c r="R49" s="6">
        <f>Summary!R49</f>
        <v/>
      </c>
      <c r="S49" s="6">
        <f>Summary!S49</f>
        <v/>
      </c>
      <c r="T49" s="6">
        <f>Summary!T49</f>
        <v/>
      </c>
      <c r="U49" s="6">
        <f>Summary!U49</f>
        <v/>
      </c>
      <c r="V49" s="6">
        <f>Summary!V49</f>
        <v/>
      </c>
      <c r="W49" s="6">
        <f>Summary!W49</f>
        <v/>
      </c>
      <c r="X49" s="6">
        <f>Summary!X49</f>
        <v/>
      </c>
      <c r="Y49" s="6">
        <f>Summary!Y49</f>
        <v/>
      </c>
      <c r="Z49" s="6">
        <f>Summary!Z49</f>
        <v/>
      </c>
      <c r="AA49" s="6">
        <f>Summary!AA49</f>
        <v/>
      </c>
      <c r="AB49" s="6">
        <f>SUM(D49:AA49)</f>
        <v/>
      </c>
      <c r="AC49" s="3" t="inlineStr"/>
      <c r="AD49" s="7">
        <f>D49*0.0029</f>
        <v/>
      </c>
      <c r="AE49" s="7">
        <f>E49*0.0029</f>
        <v/>
      </c>
      <c r="AF49" s="7">
        <f>F49*0.0029</f>
        <v/>
      </c>
      <c r="AG49" s="7">
        <f>G49*0.0029</f>
        <v/>
      </c>
      <c r="AH49" s="7">
        <f>H49*0.0029</f>
        <v/>
      </c>
      <c r="AI49" s="7">
        <f>I49*0.0029</f>
        <v/>
      </c>
      <c r="AJ49" s="7">
        <f>J49*0.0029</f>
        <v/>
      </c>
      <c r="AK49" s="7">
        <f>K49*0.0029</f>
        <v/>
      </c>
      <c r="AL49" s="7">
        <f>L49*0.0029</f>
        <v/>
      </c>
      <c r="AM49" s="7">
        <f>M49*0.0029</f>
        <v/>
      </c>
      <c r="AN49" s="7">
        <f>N49*0.0029</f>
        <v/>
      </c>
      <c r="AO49" s="7">
        <f>O49*0.0029</f>
        <v/>
      </c>
      <c r="AP49" s="7">
        <f>P49*0.0029</f>
        <v/>
      </c>
      <c r="AQ49" s="7">
        <f>Q49*0.0029</f>
        <v/>
      </c>
      <c r="AR49" s="7">
        <f>R49*0.0029</f>
        <v/>
      </c>
      <c r="AS49" s="7">
        <f>S49*0.0029</f>
        <v/>
      </c>
      <c r="AT49" s="7">
        <f>T49*0.0029</f>
        <v/>
      </c>
      <c r="AU49" s="7">
        <f>U49*0.0029</f>
        <v/>
      </c>
      <c r="AV49" s="7">
        <f>V49*0.0029</f>
        <v/>
      </c>
      <c r="AW49" s="7">
        <f>W49*0.0029</f>
        <v/>
      </c>
      <c r="AX49" s="7">
        <f>X49*0.0029</f>
        <v/>
      </c>
      <c r="AY49" s="7">
        <f>Y49*0.0029</f>
        <v/>
      </c>
      <c r="AZ49" s="7">
        <f>Z49*0.0029</f>
        <v/>
      </c>
      <c r="BA49" s="7">
        <f>AA49*0.0029</f>
        <v/>
      </c>
      <c r="BB49" s="7">
        <f>SUM(AD49:BA49)</f>
        <v/>
      </c>
    </row>
    <row r="50">
      <c r="A50" t="inlineStr">
        <is>
          <t>AMD-FWDPRI-SSC</t>
        </is>
      </c>
      <c r="B50" t="inlineStr">
        <is>
          <t>FWD Priority OSC</t>
        </is>
      </c>
      <c r="C50" s="5" t="n">
        <v>46105</v>
      </c>
      <c r="D50" s="6">
        <f>Summary!D50</f>
        <v/>
      </c>
      <c r="E50" s="6">
        <f>Summary!E50</f>
        <v/>
      </c>
      <c r="F50" s="6">
        <f>Summary!F50</f>
        <v/>
      </c>
      <c r="G50" s="6">
        <f>Summary!G50</f>
        <v/>
      </c>
      <c r="H50" s="6">
        <f>Summary!H50</f>
        <v/>
      </c>
      <c r="I50" s="6">
        <f>Summary!I50</f>
        <v/>
      </c>
      <c r="J50" s="6">
        <f>Summary!J50</f>
        <v/>
      </c>
      <c r="K50" s="6">
        <f>Summary!K50</f>
        <v/>
      </c>
      <c r="L50" s="6">
        <f>Summary!L50</f>
        <v/>
      </c>
      <c r="M50" s="6">
        <f>Summary!M50</f>
        <v/>
      </c>
      <c r="N50" s="6">
        <f>Summary!N50</f>
        <v/>
      </c>
      <c r="O50" s="6">
        <f>Summary!O50</f>
        <v/>
      </c>
      <c r="P50" s="6">
        <f>Summary!P50</f>
        <v/>
      </c>
      <c r="Q50" s="6">
        <f>Summary!Q50</f>
        <v/>
      </c>
      <c r="R50" s="6">
        <f>Summary!R50</f>
        <v/>
      </c>
      <c r="S50" s="6">
        <f>Summary!S50</f>
        <v/>
      </c>
      <c r="T50" s="6">
        <f>Summary!T50</f>
        <v/>
      </c>
      <c r="U50" s="6">
        <f>Summary!U50</f>
        <v/>
      </c>
      <c r="V50" s="6">
        <f>Summary!V50</f>
        <v/>
      </c>
      <c r="W50" s="6">
        <f>Summary!W50</f>
        <v/>
      </c>
      <c r="X50" s="6">
        <f>Summary!X50</f>
        <v/>
      </c>
      <c r="Y50" s="6">
        <f>Summary!Y50</f>
        <v/>
      </c>
      <c r="Z50" s="6">
        <f>Summary!Z50</f>
        <v/>
      </c>
      <c r="AA50" s="6">
        <f>Summary!AA50</f>
        <v/>
      </c>
      <c r="AB50" s="6">
        <f>SUM(D50:AA50)</f>
        <v/>
      </c>
      <c r="AC50" s="3" t="inlineStr"/>
      <c r="AD50" s="7">
        <f>D50*0.0029</f>
        <v/>
      </c>
      <c r="AE50" s="7">
        <f>E50*0.0029</f>
        <v/>
      </c>
      <c r="AF50" s="7">
        <f>F50*0.0029</f>
        <v/>
      </c>
      <c r="AG50" s="7">
        <f>G50*0.0029</f>
        <v/>
      </c>
      <c r="AH50" s="7">
        <f>H50*0.0029</f>
        <v/>
      </c>
      <c r="AI50" s="7">
        <f>I50*0.0029</f>
        <v/>
      </c>
      <c r="AJ50" s="7">
        <f>J50*0.0029</f>
        <v/>
      </c>
      <c r="AK50" s="7">
        <f>K50*0.0029</f>
        <v/>
      </c>
      <c r="AL50" s="7">
        <f>L50*0.0029</f>
        <v/>
      </c>
      <c r="AM50" s="7">
        <f>M50*0.0029</f>
        <v/>
      </c>
      <c r="AN50" s="7">
        <f>N50*0.0029</f>
        <v/>
      </c>
      <c r="AO50" s="7">
        <f>O50*0.0029</f>
        <v/>
      </c>
      <c r="AP50" s="7">
        <f>P50*0.0029</f>
        <v/>
      </c>
      <c r="AQ50" s="7">
        <f>Q50*0.0029</f>
        <v/>
      </c>
      <c r="AR50" s="7">
        <f>R50*0.0029</f>
        <v/>
      </c>
      <c r="AS50" s="7">
        <f>S50*0.0029</f>
        <v/>
      </c>
      <c r="AT50" s="7">
        <f>T50*0.0029</f>
        <v/>
      </c>
      <c r="AU50" s="7">
        <f>U50*0.0029</f>
        <v/>
      </c>
      <c r="AV50" s="7">
        <f>V50*0.0029</f>
        <v/>
      </c>
      <c r="AW50" s="7">
        <f>W50*0.0029</f>
        <v/>
      </c>
      <c r="AX50" s="7">
        <f>X50*0.0029</f>
        <v/>
      </c>
      <c r="AY50" s="7">
        <f>Y50*0.0029</f>
        <v/>
      </c>
      <c r="AZ50" s="7">
        <f>Z50*0.0029</f>
        <v/>
      </c>
      <c r="BA50" s="7">
        <f>AA50*0.0029</f>
        <v/>
      </c>
      <c r="BB50" s="7">
        <f>SUM(AD50:BA50)</f>
        <v/>
      </c>
    </row>
    <row r="51">
      <c r="A51" t="inlineStr">
        <is>
          <t>AMD-FWDREG-SSC</t>
        </is>
      </c>
      <c r="B51" t="inlineStr">
        <is>
          <t>Forward Regular OSC</t>
        </is>
      </c>
      <c r="C51" s="5" t="n">
        <v>46098</v>
      </c>
      <c r="D51" s="6">
        <f>Summary!D51</f>
        <v/>
      </c>
      <c r="E51" s="6">
        <f>Summary!E51</f>
        <v/>
      </c>
      <c r="F51" s="6">
        <f>Summary!F51</f>
        <v/>
      </c>
      <c r="G51" s="6">
        <f>Summary!G51</f>
        <v/>
      </c>
      <c r="H51" s="6">
        <f>Summary!H51</f>
        <v/>
      </c>
      <c r="I51" s="6">
        <f>Summary!I51</f>
        <v/>
      </c>
      <c r="J51" s="6">
        <f>Summary!J51</f>
        <v/>
      </c>
      <c r="K51" s="6">
        <f>Summary!K51</f>
        <v/>
      </c>
      <c r="L51" s="6">
        <f>Summary!L51</f>
        <v/>
      </c>
      <c r="M51" s="6">
        <f>Summary!M51</f>
        <v/>
      </c>
      <c r="N51" s="6">
        <f>Summary!N51</f>
        <v/>
      </c>
      <c r="O51" s="6">
        <f>Summary!O51</f>
        <v/>
      </c>
      <c r="P51" s="6">
        <f>Summary!P51</f>
        <v/>
      </c>
      <c r="Q51" s="6">
        <f>Summary!Q51</f>
        <v/>
      </c>
      <c r="R51" s="6">
        <f>Summary!R51</f>
        <v/>
      </c>
      <c r="S51" s="6">
        <f>Summary!S51</f>
        <v/>
      </c>
      <c r="T51" s="6">
        <f>Summary!T51</f>
        <v/>
      </c>
      <c r="U51" s="6">
        <f>Summary!U51</f>
        <v/>
      </c>
      <c r="V51" s="6">
        <f>Summary!V51</f>
        <v/>
      </c>
      <c r="W51" s="6">
        <f>Summary!W51</f>
        <v/>
      </c>
      <c r="X51" s="6">
        <f>Summary!X51</f>
        <v/>
      </c>
      <c r="Y51" s="6">
        <f>Summary!Y51</f>
        <v/>
      </c>
      <c r="Z51" s="6">
        <f>Summary!Z51</f>
        <v/>
      </c>
      <c r="AA51" s="6">
        <f>Summary!AA51</f>
        <v/>
      </c>
      <c r="AB51" s="6">
        <f>SUM(D51:AA51)</f>
        <v/>
      </c>
      <c r="AC51" s="3" t="inlineStr"/>
      <c r="AD51" s="7">
        <f>D51*0.0029</f>
        <v/>
      </c>
      <c r="AE51" s="7">
        <f>E51*0.0029</f>
        <v/>
      </c>
      <c r="AF51" s="7">
        <f>F51*0.0029</f>
        <v/>
      </c>
      <c r="AG51" s="7">
        <f>G51*0.0029</f>
        <v/>
      </c>
      <c r="AH51" s="7">
        <f>H51*0.0029</f>
        <v/>
      </c>
      <c r="AI51" s="7">
        <f>I51*0.0029</f>
        <v/>
      </c>
      <c r="AJ51" s="7">
        <f>J51*0.0029</f>
        <v/>
      </c>
      <c r="AK51" s="7">
        <f>K51*0.0029</f>
        <v/>
      </c>
      <c r="AL51" s="7">
        <f>L51*0.0029</f>
        <v/>
      </c>
      <c r="AM51" s="7">
        <f>M51*0.0029</f>
        <v/>
      </c>
      <c r="AN51" s="7">
        <f>N51*0.0029</f>
        <v/>
      </c>
      <c r="AO51" s="7">
        <f>O51*0.0029</f>
        <v/>
      </c>
      <c r="AP51" s="7">
        <f>P51*0.0029</f>
        <v/>
      </c>
      <c r="AQ51" s="7">
        <f>Q51*0.0029</f>
        <v/>
      </c>
      <c r="AR51" s="7">
        <f>R51*0.0029</f>
        <v/>
      </c>
      <c r="AS51" s="7">
        <f>S51*0.0029</f>
        <v/>
      </c>
      <c r="AT51" s="7">
        <f>T51*0.0029</f>
        <v/>
      </c>
      <c r="AU51" s="7">
        <f>U51*0.0029</f>
        <v/>
      </c>
      <c r="AV51" s="7">
        <f>V51*0.0029</f>
        <v/>
      </c>
      <c r="AW51" s="7">
        <f>W51*0.0029</f>
        <v/>
      </c>
      <c r="AX51" s="7">
        <f>X51*0.0029</f>
        <v/>
      </c>
      <c r="AY51" s="7">
        <f>Y51*0.0029</f>
        <v/>
      </c>
      <c r="AZ51" s="7">
        <f>Z51*0.0029</f>
        <v/>
      </c>
      <c r="BA51" s="7">
        <f>AA51*0.0029</f>
        <v/>
      </c>
      <c r="BB51" s="7">
        <f>SUM(AD51:BA51)</f>
        <v/>
      </c>
    </row>
    <row r="52">
      <c r="A52" t="inlineStr">
        <is>
          <t>AMD-FWDREG-SSC</t>
        </is>
      </c>
      <c r="B52" t="inlineStr">
        <is>
          <t>Forward Regular OSC</t>
        </is>
      </c>
      <c r="C52" s="5" t="n">
        <v>46099</v>
      </c>
      <c r="D52" s="6">
        <f>Summary!D52</f>
        <v/>
      </c>
      <c r="E52" s="6">
        <f>Summary!E52</f>
        <v/>
      </c>
      <c r="F52" s="6">
        <f>Summary!F52</f>
        <v/>
      </c>
      <c r="G52" s="6">
        <f>Summary!G52</f>
        <v/>
      </c>
      <c r="H52" s="6">
        <f>Summary!H52</f>
        <v/>
      </c>
      <c r="I52" s="6">
        <f>Summary!I52</f>
        <v/>
      </c>
      <c r="J52" s="6">
        <f>Summary!J52</f>
        <v/>
      </c>
      <c r="K52" s="6">
        <f>Summary!K52</f>
        <v/>
      </c>
      <c r="L52" s="6">
        <f>Summary!L52</f>
        <v/>
      </c>
      <c r="M52" s="6">
        <f>Summary!M52</f>
        <v/>
      </c>
      <c r="N52" s="6">
        <f>Summary!N52</f>
        <v/>
      </c>
      <c r="O52" s="6">
        <f>Summary!O52</f>
        <v/>
      </c>
      <c r="P52" s="6">
        <f>Summary!P52</f>
        <v/>
      </c>
      <c r="Q52" s="6">
        <f>Summary!Q52</f>
        <v/>
      </c>
      <c r="R52" s="6">
        <f>Summary!R52</f>
        <v/>
      </c>
      <c r="S52" s="6">
        <f>Summary!S52</f>
        <v/>
      </c>
      <c r="T52" s="6">
        <f>Summary!T52</f>
        <v/>
      </c>
      <c r="U52" s="6">
        <f>Summary!U52</f>
        <v/>
      </c>
      <c r="V52" s="6">
        <f>Summary!V52</f>
        <v/>
      </c>
      <c r="W52" s="6">
        <f>Summary!W52</f>
        <v/>
      </c>
      <c r="X52" s="6">
        <f>Summary!X52</f>
        <v/>
      </c>
      <c r="Y52" s="6">
        <f>Summary!Y52</f>
        <v/>
      </c>
      <c r="Z52" s="6">
        <f>Summary!Z52</f>
        <v/>
      </c>
      <c r="AA52" s="6">
        <f>Summary!AA52</f>
        <v/>
      </c>
      <c r="AB52" s="6">
        <f>SUM(D52:AA52)</f>
        <v/>
      </c>
      <c r="AC52" s="3" t="inlineStr"/>
      <c r="AD52" s="7">
        <f>D52*0.0029</f>
        <v/>
      </c>
      <c r="AE52" s="7">
        <f>E52*0.0029</f>
        <v/>
      </c>
      <c r="AF52" s="7">
        <f>F52*0.0029</f>
        <v/>
      </c>
      <c r="AG52" s="7">
        <f>G52*0.0029</f>
        <v/>
      </c>
      <c r="AH52" s="7">
        <f>H52*0.0029</f>
        <v/>
      </c>
      <c r="AI52" s="7">
        <f>I52*0.0029</f>
        <v/>
      </c>
      <c r="AJ52" s="7">
        <f>J52*0.0029</f>
        <v/>
      </c>
      <c r="AK52" s="7">
        <f>K52*0.0029</f>
        <v/>
      </c>
      <c r="AL52" s="7">
        <f>L52*0.0029</f>
        <v/>
      </c>
      <c r="AM52" s="7">
        <f>M52*0.0029</f>
        <v/>
      </c>
      <c r="AN52" s="7">
        <f>N52*0.0029</f>
        <v/>
      </c>
      <c r="AO52" s="7">
        <f>O52*0.0029</f>
        <v/>
      </c>
      <c r="AP52" s="7">
        <f>P52*0.0029</f>
        <v/>
      </c>
      <c r="AQ52" s="7">
        <f>Q52*0.0029</f>
        <v/>
      </c>
      <c r="AR52" s="7">
        <f>R52*0.0029</f>
        <v/>
      </c>
      <c r="AS52" s="7">
        <f>S52*0.0029</f>
        <v/>
      </c>
      <c r="AT52" s="7">
        <f>T52*0.0029</f>
        <v/>
      </c>
      <c r="AU52" s="7">
        <f>U52*0.0029</f>
        <v/>
      </c>
      <c r="AV52" s="7">
        <f>V52*0.0029</f>
        <v/>
      </c>
      <c r="AW52" s="7">
        <f>W52*0.0029</f>
        <v/>
      </c>
      <c r="AX52" s="7">
        <f>X52*0.0029</f>
        <v/>
      </c>
      <c r="AY52" s="7">
        <f>Y52*0.0029</f>
        <v/>
      </c>
      <c r="AZ52" s="7">
        <f>Z52*0.0029</f>
        <v/>
      </c>
      <c r="BA52" s="7">
        <f>AA52*0.0029</f>
        <v/>
      </c>
      <c r="BB52" s="7">
        <f>SUM(AD52:BA52)</f>
        <v/>
      </c>
    </row>
    <row r="53">
      <c r="A53" t="inlineStr">
        <is>
          <t>AMD-FWDREG-SSC</t>
        </is>
      </c>
      <c r="B53" t="inlineStr">
        <is>
          <t>Forward Regular OSC</t>
        </is>
      </c>
      <c r="C53" s="5" t="n">
        <v>46100</v>
      </c>
      <c r="D53" s="6">
        <f>Summary!D53</f>
        <v/>
      </c>
      <c r="E53" s="6">
        <f>Summary!E53</f>
        <v/>
      </c>
      <c r="F53" s="6">
        <f>Summary!F53</f>
        <v/>
      </c>
      <c r="G53" s="6">
        <f>Summary!G53</f>
        <v/>
      </c>
      <c r="H53" s="6">
        <f>Summary!H53</f>
        <v/>
      </c>
      <c r="I53" s="6">
        <f>Summary!I53</f>
        <v/>
      </c>
      <c r="J53" s="6">
        <f>Summary!J53</f>
        <v/>
      </c>
      <c r="K53" s="6">
        <f>Summary!K53</f>
        <v/>
      </c>
      <c r="L53" s="6">
        <f>Summary!L53</f>
        <v/>
      </c>
      <c r="M53" s="6">
        <f>Summary!M53</f>
        <v/>
      </c>
      <c r="N53" s="6">
        <f>Summary!N53</f>
        <v/>
      </c>
      <c r="O53" s="6">
        <f>Summary!O53</f>
        <v/>
      </c>
      <c r="P53" s="6">
        <f>Summary!P53</f>
        <v/>
      </c>
      <c r="Q53" s="6">
        <f>Summary!Q53</f>
        <v/>
      </c>
      <c r="R53" s="6">
        <f>Summary!R53</f>
        <v/>
      </c>
      <c r="S53" s="6">
        <f>Summary!S53</f>
        <v/>
      </c>
      <c r="T53" s="6">
        <f>Summary!T53</f>
        <v/>
      </c>
      <c r="U53" s="6">
        <f>Summary!U53</f>
        <v/>
      </c>
      <c r="V53" s="6">
        <f>Summary!V53</f>
        <v/>
      </c>
      <c r="W53" s="6">
        <f>Summary!W53</f>
        <v/>
      </c>
      <c r="X53" s="6">
        <f>Summary!X53</f>
        <v/>
      </c>
      <c r="Y53" s="6">
        <f>Summary!Y53</f>
        <v/>
      </c>
      <c r="Z53" s="6">
        <f>Summary!Z53</f>
        <v/>
      </c>
      <c r="AA53" s="6">
        <f>Summary!AA53</f>
        <v/>
      </c>
      <c r="AB53" s="6">
        <f>SUM(D53:AA53)</f>
        <v/>
      </c>
      <c r="AC53" s="3" t="inlineStr"/>
      <c r="AD53" s="7">
        <f>D53*0.0029</f>
        <v/>
      </c>
      <c r="AE53" s="7">
        <f>E53*0.0029</f>
        <v/>
      </c>
      <c r="AF53" s="7">
        <f>F53*0.0029</f>
        <v/>
      </c>
      <c r="AG53" s="7">
        <f>G53*0.0029</f>
        <v/>
      </c>
      <c r="AH53" s="7">
        <f>H53*0.0029</f>
        <v/>
      </c>
      <c r="AI53" s="7">
        <f>I53*0.0029</f>
        <v/>
      </c>
      <c r="AJ53" s="7">
        <f>J53*0.0029</f>
        <v/>
      </c>
      <c r="AK53" s="7">
        <f>K53*0.0029</f>
        <v/>
      </c>
      <c r="AL53" s="7">
        <f>L53*0.0029</f>
        <v/>
      </c>
      <c r="AM53" s="7">
        <f>M53*0.0029</f>
        <v/>
      </c>
      <c r="AN53" s="7">
        <f>N53*0.0029</f>
        <v/>
      </c>
      <c r="AO53" s="7">
        <f>O53*0.0029</f>
        <v/>
      </c>
      <c r="AP53" s="7">
        <f>P53*0.0029</f>
        <v/>
      </c>
      <c r="AQ53" s="7">
        <f>Q53*0.0029</f>
        <v/>
      </c>
      <c r="AR53" s="7">
        <f>R53*0.0029</f>
        <v/>
      </c>
      <c r="AS53" s="7">
        <f>S53*0.0029</f>
        <v/>
      </c>
      <c r="AT53" s="7">
        <f>T53*0.0029</f>
        <v/>
      </c>
      <c r="AU53" s="7">
        <f>U53*0.0029</f>
        <v/>
      </c>
      <c r="AV53" s="7">
        <f>V53*0.0029</f>
        <v/>
      </c>
      <c r="AW53" s="7">
        <f>W53*0.0029</f>
        <v/>
      </c>
      <c r="AX53" s="7">
        <f>X53*0.0029</f>
        <v/>
      </c>
      <c r="AY53" s="7">
        <f>Y53*0.0029</f>
        <v/>
      </c>
      <c r="AZ53" s="7">
        <f>Z53*0.0029</f>
        <v/>
      </c>
      <c r="BA53" s="7">
        <f>AA53*0.0029</f>
        <v/>
      </c>
      <c r="BB53" s="7">
        <f>SUM(AD53:BA53)</f>
        <v/>
      </c>
    </row>
    <row r="54">
      <c r="A54" t="inlineStr">
        <is>
          <t>AMD-FWDREG-SSC</t>
        </is>
      </c>
      <c r="B54" t="inlineStr">
        <is>
          <t>Forward Regular OSC</t>
        </is>
      </c>
      <c r="C54" s="5" t="n">
        <v>46101</v>
      </c>
      <c r="D54" s="6">
        <f>Summary!D54</f>
        <v/>
      </c>
      <c r="E54" s="6">
        <f>Summary!E54</f>
        <v/>
      </c>
      <c r="F54" s="6">
        <f>Summary!F54</f>
        <v/>
      </c>
      <c r="G54" s="6">
        <f>Summary!G54</f>
        <v/>
      </c>
      <c r="H54" s="6">
        <f>Summary!H54</f>
        <v/>
      </c>
      <c r="I54" s="6">
        <f>Summary!I54</f>
        <v/>
      </c>
      <c r="J54" s="6">
        <f>Summary!J54</f>
        <v/>
      </c>
      <c r="K54" s="6">
        <f>Summary!K54</f>
        <v/>
      </c>
      <c r="L54" s="6">
        <f>Summary!L54</f>
        <v/>
      </c>
      <c r="M54" s="6">
        <f>Summary!M54</f>
        <v/>
      </c>
      <c r="N54" s="6">
        <f>Summary!N54</f>
        <v/>
      </c>
      <c r="O54" s="6">
        <f>Summary!O54</f>
        <v/>
      </c>
      <c r="P54" s="6">
        <f>Summary!P54</f>
        <v/>
      </c>
      <c r="Q54" s="6">
        <f>Summary!Q54</f>
        <v/>
      </c>
      <c r="R54" s="6">
        <f>Summary!R54</f>
        <v/>
      </c>
      <c r="S54" s="6">
        <f>Summary!S54</f>
        <v/>
      </c>
      <c r="T54" s="6">
        <f>Summary!T54</f>
        <v/>
      </c>
      <c r="U54" s="6">
        <f>Summary!U54</f>
        <v/>
      </c>
      <c r="V54" s="6">
        <f>Summary!V54</f>
        <v/>
      </c>
      <c r="W54" s="6">
        <f>Summary!W54</f>
        <v/>
      </c>
      <c r="X54" s="6">
        <f>Summary!X54</f>
        <v/>
      </c>
      <c r="Y54" s="6">
        <f>Summary!Y54</f>
        <v/>
      </c>
      <c r="Z54" s="6">
        <f>Summary!Z54</f>
        <v/>
      </c>
      <c r="AA54" s="6">
        <f>Summary!AA54</f>
        <v/>
      </c>
      <c r="AB54" s="6">
        <f>SUM(D54:AA54)</f>
        <v/>
      </c>
      <c r="AC54" s="3" t="inlineStr"/>
      <c r="AD54" s="7">
        <f>D54*0.0029</f>
        <v/>
      </c>
      <c r="AE54" s="7">
        <f>E54*0.0029</f>
        <v/>
      </c>
      <c r="AF54" s="7">
        <f>F54*0.0029</f>
        <v/>
      </c>
      <c r="AG54" s="7">
        <f>G54*0.0029</f>
        <v/>
      </c>
      <c r="AH54" s="7">
        <f>H54*0.0029</f>
        <v/>
      </c>
      <c r="AI54" s="7">
        <f>I54*0.0029</f>
        <v/>
      </c>
      <c r="AJ54" s="7">
        <f>J54*0.0029</f>
        <v/>
      </c>
      <c r="AK54" s="7">
        <f>K54*0.0029</f>
        <v/>
      </c>
      <c r="AL54" s="7">
        <f>L54*0.0029</f>
        <v/>
      </c>
      <c r="AM54" s="7">
        <f>M54*0.0029</f>
        <v/>
      </c>
      <c r="AN54" s="7">
        <f>N54*0.0029</f>
        <v/>
      </c>
      <c r="AO54" s="7">
        <f>O54*0.0029</f>
        <v/>
      </c>
      <c r="AP54" s="7">
        <f>P54*0.0029</f>
        <v/>
      </c>
      <c r="AQ54" s="7">
        <f>Q54*0.0029</f>
        <v/>
      </c>
      <c r="AR54" s="7">
        <f>R54*0.0029</f>
        <v/>
      </c>
      <c r="AS54" s="7">
        <f>S54*0.0029</f>
        <v/>
      </c>
      <c r="AT54" s="7">
        <f>T54*0.0029</f>
        <v/>
      </c>
      <c r="AU54" s="7">
        <f>U54*0.0029</f>
        <v/>
      </c>
      <c r="AV54" s="7">
        <f>V54*0.0029</f>
        <v/>
      </c>
      <c r="AW54" s="7">
        <f>W54*0.0029</f>
        <v/>
      </c>
      <c r="AX54" s="7">
        <f>X54*0.0029</f>
        <v/>
      </c>
      <c r="AY54" s="7">
        <f>Y54*0.0029</f>
        <v/>
      </c>
      <c r="AZ54" s="7">
        <f>Z54*0.0029</f>
        <v/>
      </c>
      <c r="BA54" s="7">
        <f>AA54*0.0029</f>
        <v/>
      </c>
      <c r="BB54" s="7">
        <f>SUM(AD54:BA54)</f>
        <v/>
      </c>
    </row>
    <row r="55">
      <c r="A55" t="inlineStr">
        <is>
          <t>AMD-FWDREG-SSC</t>
        </is>
      </c>
      <c r="B55" t="inlineStr">
        <is>
          <t>Forward Regular OSC</t>
        </is>
      </c>
      <c r="C55" s="5" t="n">
        <v>46102</v>
      </c>
      <c r="D55" s="6">
        <f>Summary!D55</f>
        <v/>
      </c>
      <c r="E55" s="6">
        <f>Summary!E55</f>
        <v/>
      </c>
      <c r="F55" s="6">
        <f>Summary!F55</f>
        <v/>
      </c>
      <c r="G55" s="6">
        <f>Summary!G55</f>
        <v/>
      </c>
      <c r="H55" s="6">
        <f>Summary!H55</f>
        <v/>
      </c>
      <c r="I55" s="6">
        <f>Summary!I55</f>
        <v/>
      </c>
      <c r="J55" s="6">
        <f>Summary!J55</f>
        <v/>
      </c>
      <c r="K55" s="6">
        <f>Summary!K55</f>
        <v/>
      </c>
      <c r="L55" s="6">
        <f>Summary!L55</f>
        <v/>
      </c>
      <c r="M55" s="6">
        <f>Summary!M55</f>
        <v/>
      </c>
      <c r="N55" s="6">
        <f>Summary!N55</f>
        <v/>
      </c>
      <c r="O55" s="6">
        <f>Summary!O55</f>
        <v/>
      </c>
      <c r="P55" s="6">
        <f>Summary!P55</f>
        <v/>
      </c>
      <c r="Q55" s="6">
        <f>Summary!Q55</f>
        <v/>
      </c>
      <c r="R55" s="6">
        <f>Summary!R55</f>
        <v/>
      </c>
      <c r="S55" s="6">
        <f>Summary!S55</f>
        <v/>
      </c>
      <c r="T55" s="6">
        <f>Summary!T55</f>
        <v/>
      </c>
      <c r="U55" s="6">
        <f>Summary!U55</f>
        <v/>
      </c>
      <c r="V55" s="6">
        <f>Summary!V55</f>
        <v/>
      </c>
      <c r="W55" s="6">
        <f>Summary!W55</f>
        <v/>
      </c>
      <c r="X55" s="6">
        <f>Summary!X55</f>
        <v/>
      </c>
      <c r="Y55" s="6">
        <f>Summary!Y55</f>
        <v/>
      </c>
      <c r="Z55" s="6">
        <f>Summary!Z55</f>
        <v/>
      </c>
      <c r="AA55" s="6">
        <f>Summary!AA55</f>
        <v/>
      </c>
      <c r="AB55" s="6">
        <f>SUM(D55:AA55)</f>
        <v/>
      </c>
      <c r="AC55" s="3" t="inlineStr"/>
      <c r="AD55" s="7">
        <f>D55*0.0029</f>
        <v/>
      </c>
      <c r="AE55" s="7">
        <f>E55*0.0029</f>
        <v/>
      </c>
      <c r="AF55" s="7">
        <f>F55*0.0029</f>
        <v/>
      </c>
      <c r="AG55" s="7">
        <f>G55*0.0029</f>
        <v/>
      </c>
      <c r="AH55" s="7">
        <f>H55*0.0029</f>
        <v/>
      </c>
      <c r="AI55" s="7">
        <f>I55*0.0029</f>
        <v/>
      </c>
      <c r="AJ55" s="7">
        <f>J55*0.0029</f>
        <v/>
      </c>
      <c r="AK55" s="7">
        <f>K55*0.0029</f>
        <v/>
      </c>
      <c r="AL55" s="7">
        <f>L55*0.0029</f>
        <v/>
      </c>
      <c r="AM55" s="7">
        <f>M55*0.0029</f>
        <v/>
      </c>
      <c r="AN55" s="7">
        <f>N55*0.0029</f>
        <v/>
      </c>
      <c r="AO55" s="7">
        <f>O55*0.0029</f>
        <v/>
      </c>
      <c r="AP55" s="7">
        <f>P55*0.0029</f>
        <v/>
      </c>
      <c r="AQ55" s="7">
        <f>Q55*0.0029</f>
        <v/>
      </c>
      <c r="AR55" s="7">
        <f>R55*0.0029</f>
        <v/>
      </c>
      <c r="AS55" s="7">
        <f>S55*0.0029</f>
        <v/>
      </c>
      <c r="AT55" s="7">
        <f>T55*0.0029</f>
        <v/>
      </c>
      <c r="AU55" s="7">
        <f>U55*0.0029</f>
        <v/>
      </c>
      <c r="AV55" s="7">
        <f>V55*0.0029</f>
        <v/>
      </c>
      <c r="AW55" s="7">
        <f>W55*0.0029</f>
        <v/>
      </c>
      <c r="AX55" s="7">
        <f>X55*0.0029</f>
        <v/>
      </c>
      <c r="AY55" s="7">
        <f>Y55*0.0029</f>
        <v/>
      </c>
      <c r="AZ55" s="7">
        <f>Z55*0.0029</f>
        <v/>
      </c>
      <c r="BA55" s="7">
        <f>AA55*0.0029</f>
        <v/>
      </c>
      <c r="BB55" s="7">
        <f>SUM(AD55:BA55)</f>
        <v/>
      </c>
    </row>
    <row r="56">
      <c r="A56" t="inlineStr">
        <is>
          <t>AMD-FWDREG-SSC</t>
        </is>
      </c>
      <c r="B56" t="inlineStr">
        <is>
          <t>Forward Regular OSC</t>
        </is>
      </c>
      <c r="C56" s="5" t="n">
        <v>46103</v>
      </c>
      <c r="D56" s="6">
        <f>Summary!D56</f>
        <v/>
      </c>
      <c r="E56" s="6">
        <f>Summary!E56</f>
        <v/>
      </c>
      <c r="F56" s="6">
        <f>Summary!F56</f>
        <v/>
      </c>
      <c r="G56" s="6">
        <f>Summary!G56</f>
        <v/>
      </c>
      <c r="H56" s="6">
        <f>Summary!H56</f>
        <v/>
      </c>
      <c r="I56" s="6">
        <f>Summary!I56</f>
        <v/>
      </c>
      <c r="J56" s="6">
        <f>Summary!J56</f>
        <v/>
      </c>
      <c r="K56" s="6">
        <f>Summary!K56</f>
        <v/>
      </c>
      <c r="L56" s="6">
        <f>Summary!L56</f>
        <v/>
      </c>
      <c r="M56" s="6">
        <f>Summary!M56</f>
        <v/>
      </c>
      <c r="N56" s="6">
        <f>Summary!N56</f>
        <v/>
      </c>
      <c r="O56" s="6">
        <f>Summary!O56</f>
        <v/>
      </c>
      <c r="P56" s="6">
        <f>Summary!P56</f>
        <v/>
      </c>
      <c r="Q56" s="6">
        <f>Summary!Q56</f>
        <v/>
      </c>
      <c r="R56" s="6">
        <f>Summary!R56</f>
        <v/>
      </c>
      <c r="S56" s="6">
        <f>Summary!S56</f>
        <v/>
      </c>
      <c r="T56" s="6">
        <f>Summary!T56</f>
        <v/>
      </c>
      <c r="U56" s="6">
        <f>Summary!U56</f>
        <v/>
      </c>
      <c r="V56" s="6">
        <f>Summary!V56</f>
        <v/>
      </c>
      <c r="W56" s="6">
        <f>Summary!W56</f>
        <v/>
      </c>
      <c r="X56" s="6">
        <f>Summary!X56</f>
        <v/>
      </c>
      <c r="Y56" s="6">
        <f>Summary!Y56</f>
        <v/>
      </c>
      <c r="Z56" s="6">
        <f>Summary!Z56</f>
        <v/>
      </c>
      <c r="AA56" s="6">
        <f>Summary!AA56</f>
        <v/>
      </c>
      <c r="AB56" s="6">
        <f>SUM(D56:AA56)</f>
        <v/>
      </c>
      <c r="AC56" s="3" t="inlineStr"/>
      <c r="AD56" s="7">
        <f>D56*0.0029</f>
        <v/>
      </c>
      <c r="AE56" s="7">
        <f>E56*0.0029</f>
        <v/>
      </c>
      <c r="AF56" s="7">
        <f>F56*0.0029</f>
        <v/>
      </c>
      <c r="AG56" s="7">
        <f>G56*0.0029</f>
        <v/>
      </c>
      <c r="AH56" s="7">
        <f>H56*0.0029</f>
        <v/>
      </c>
      <c r="AI56" s="7">
        <f>I56*0.0029</f>
        <v/>
      </c>
      <c r="AJ56" s="7">
        <f>J56*0.0029</f>
        <v/>
      </c>
      <c r="AK56" s="7">
        <f>K56*0.0029</f>
        <v/>
      </c>
      <c r="AL56" s="7">
        <f>L56*0.0029</f>
        <v/>
      </c>
      <c r="AM56" s="7">
        <f>M56*0.0029</f>
        <v/>
      </c>
      <c r="AN56" s="7">
        <f>N56*0.0029</f>
        <v/>
      </c>
      <c r="AO56" s="7">
        <f>O56*0.0029</f>
        <v/>
      </c>
      <c r="AP56" s="7">
        <f>P56*0.0029</f>
        <v/>
      </c>
      <c r="AQ56" s="7">
        <f>Q56*0.0029</f>
        <v/>
      </c>
      <c r="AR56" s="7">
        <f>R56*0.0029</f>
        <v/>
      </c>
      <c r="AS56" s="7">
        <f>S56*0.0029</f>
        <v/>
      </c>
      <c r="AT56" s="7">
        <f>T56*0.0029</f>
        <v/>
      </c>
      <c r="AU56" s="7">
        <f>U56*0.0029</f>
        <v/>
      </c>
      <c r="AV56" s="7">
        <f>V56*0.0029</f>
        <v/>
      </c>
      <c r="AW56" s="7">
        <f>W56*0.0029</f>
        <v/>
      </c>
      <c r="AX56" s="7">
        <f>X56*0.0029</f>
        <v/>
      </c>
      <c r="AY56" s="7">
        <f>Y56*0.0029</f>
        <v/>
      </c>
      <c r="AZ56" s="7">
        <f>Z56*0.0029</f>
        <v/>
      </c>
      <c r="BA56" s="7">
        <f>AA56*0.0029</f>
        <v/>
      </c>
      <c r="BB56" s="7">
        <f>SUM(AD56:BA56)</f>
        <v/>
      </c>
    </row>
    <row r="57">
      <c r="A57" t="inlineStr">
        <is>
          <t>AMD-FWDREG-SSC</t>
        </is>
      </c>
      <c r="B57" t="inlineStr">
        <is>
          <t>Forward Regular OSC</t>
        </is>
      </c>
      <c r="C57" s="5" t="n">
        <v>46104</v>
      </c>
      <c r="D57" s="6">
        <f>Summary!D57</f>
        <v/>
      </c>
      <c r="E57" s="6">
        <f>Summary!E57</f>
        <v/>
      </c>
      <c r="F57" s="6">
        <f>Summary!F57</f>
        <v/>
      </c>
      <c r="G57" s="6">
        <f>Summary!G57</f>
        <v/>
      </c>
      <c r="H57" s="6">
        <f>Summary!H57</f>
        <v/>
      </c>
      <c r="I57" s="6">
        <f>Summary!I57</f>
        <v/>
      </c>
      <c r="J57" s="6">
        <f>Summary!J57</f>
        <v/>
      </c>
      <c r="K57" s="6">
        <f>Summary!K57</f>
        <v/>
      </c>
      <c r="L57" s="6">
        <f>Summary!L57</f>
        <v/>
      </c>
      <c r="M57" s="6">
        <f>Summary!M57</f>
        <v/>
      </c>
      <c r="N57" s="6">
        <f>Summary!N57</f>
        <v/>
      </c>
      <c r="O57" s="6">
        <f>Summary!O57</f>
        <v/>
      </c>
      <c r="P57" s="6">
        <f>Summary!P57</f>
        <v/>
      </c>
      <c r="Q57" s="6">
        <f>Summary!Q57</f>
        <v/>
      </c>
      <c r="R57" s="6">
        <f>Summary!R57</f>
        <v/>
      </c>
      <c r="S57" s="6">
        <f>Summary!S57</f>
        <v/>
      </c>
      <c r="T57" s="6">
        <f>Summary!T57</f>
        <v/>
      </c>
      <c r="U57" s="6">
        <f>Summary!U57</f>
        <v/>
      </c>
      <c r="V57" s="6">
        <f>Summary!V57</f>
        <v/>
      </c>
      <c r="W57" s="6">
        <f>Summary!W57</f>
        <v/>
      </c>
      <c r="X57" s="6">
        <f>Summary!X57</f>
        <v/>
      </c>
      <c r="Y57" s="6">
        <f>Summary!Y57</f>
        <v/>
      </c>
      <c r="Z57" s="6">
        <f>Summary!Z57</f>
        <v/>
      </c>
      <c r="AA57" s="6">
        <f>Summary!AA57</f>
        <v/>
      </c>
      <c r="AB57" s="6">
        <f>SUM(D57:AA57)</f>
        <v/>
      </c>
      <c r="AC57" s="3" t="inlineStr"/>
      <c r="AD57" s="7">
        <f>D57*0.0029</f>
        <v/>
      </c>
      <c r="AE57" s="7">
        <f>E57*0.0029</f>
        <v/>
      </c>
      <c r="AF57" s="7">
        <f>F57*0.0029</f>
        <v/>
      </c>
      <c r="AG57" s="7">
        <f>G57*0.0029</f>
        <v/>
      </c>
      <c r="AH57" s="7">
        <f>H57*0.0029</f>
        <v/>
      </c>
      <c r="AI57" s="7">
        <f>I57*0.0029</f>
        <v/>
      </c>
      <c r="AJ57" s="7">
        <f>J57*0.0029</f>
        <v/>
      </c>
      <c r="AK57" s="7">
        <f>K57*0.0029</f>
        <v/>
      </c>
      <c r="AL57" s="7">
        <f>L57*0.0029</f>
        <v/>
      </c>
      <c r="AM57" s="7">
        <f>M57*0.0029</f>
        <v/>
      </c>
      <c r="AN57" s="7">
        <f>N57*0.0029</f>
        <v/>
      </c>
      <c r="AO57" s="7">
        <f>O57*0.0029</f>
        <v/>
      </c>
      <c r="AP57" s="7">
        <f>P57*0.0029</f>
        <v/>
      </c>
      <c r="AQ57" s="7">
        <f>Q57*0.0029</f>
        <v/>
      </c>
      <c r="AR57" s="7">
        <f>R57*0.0029</f>
        <v/>
      </c>
      <c r="AS57" s="7">
        <f>S57*0.0029</f>
        <v/>
      </c>
      <c r="AT57" s="7">
        <f>T57*0.0029</f>
        <v/>
      </c>
      <c r="AU57" s="7">
        <f>U57*0.0029</f>
        <v/>
      </c>
      <c r="AV57" s="7">
        <f>V57*0.0029</f>
        <v/>
      </c>
      <c r="AW57" s="7">
        <f>W57*0.0029</f>
        <v/>
      </c>
      <c r="AX57" s="7">
        <f>X57*0.0029</f>
        <v/>
      </c>
      <c r="AY57" s="7">
        <f>Y57*0.0029</f>
        <v/>
      </c>
      <c r="AZ57" s="7">
        <f>Z57*0.0029</f>
        <v/>
      </c>
      <c r="BA57" s="7">
        <f>AA57*0.0029</f>
        <v/>
      </c>
      <c r="BB57" s="7">
        <f>SUM(AD57:BA57)</f>
        <v/>
      </c>
    </row>
    <row r="58">
      <c r="A58" t="inlineStr">
        <is>
          <t>AMD-FWDREG-SSC</t>
        </is>
      </c>
      <c r="B58" t="inlineStr">
        <is>
          <t>Forward Regular OSC</t>
        </is>
      </c>
      <c r="C58" s="5" t="n">
        <v>46105</v>
      </c>
      <c r="D58" s="6">
        <f>Summary!D58</f>
        <v/>
      </c>
      <c r="E58" s="6">
        <f>Summary!E58</f>
        <v/>
      </c>
      <c r="F58" s="6">
        <f>Summary!F58</f>
        <v/>
      </c>
      <c r="G58" s="6">
        <f>Summary!G58</f>
        <v/>
      </c>
      <c r="H58" s="6">
        <f>Summary!H58</f>
        <v/>
      </c>
      <c r="I58" s="6">
        <f>Summary!I58</f>
        <v/>
      </c>
      <c r="J58" s="6">
        <f>Summary!J58</f>
        <v/>
      </c>
      <c r="K58" s="6">
        <f>Summary!K58</f>
        <v/>
      </c>
      <c r="L58" s="6">
        <f>Summary!L58</f>
        <v/>
      </c>
      <c r="M58" s="6">
        <f>Summary!M58</f>
        <v/>
      </c>
      <c r="N58" s="6">
        <f>Summary!N58</f>
        <v/>
      </c>
      <c r="O58" s="6">
        <f>Summary!O58</f>
        <v/>
      </c>
      <c r="P58" s="6">
        <f>Summary!P58</f>
        <v/>
      </c>
      <c r="Q58" s="6">
        <f>Summary!Q58</f>
        <v/>
      </c>
      <c r="R58" s="6">
        <f>Summary!R58</f>
        <v/>
      </c>
      <c r="S58" s="6">
        <f>Summary!S58</f>
        <v/>
      </c>
      <c r="T58" s="6">
        <f>Summary!T58</f>
        <v/>
      </c>
      <c r="U58" s="6">
        <f>Summary!U58</f>
        <v/>
      </c>
      <c r="V58" s="6">
        <f>Summary!V58</f>
        <v/>
      </c>
      <c r="W58" s="6">
        <f>Summary!W58</f>
        <v/>
      </c>
      <c r="X58" s="6">
        <f>Summary!X58</f>
        <v/>
      </c>
      <c r="Y58" s="6">
        <f>Summary!Y58</f>
        <v/>
      </c>
      <c r="Z58" s="6">
        <f>Summary!Z58</f>
        <v/>
      </c>
      <c r="AA58" s="6">
        <f>Summary!AA58</f>
        <v/>
      </c>
      <c r="AB58" s="6">
        <f>SUM(D58:AA58)</f>
        <v/>
      </c>
      <c r="AC58" s="3" t="inlineStr"/>
      <c r="AD58" s="7">
        <f>D58*0.0029</f>
        <v/>
      </c>
      <c r="AE58" s="7">
        <f>E58*0.0029</f>
        <v/>
      </c>
      <c r="AF58" s="7">
        <f>F58*0.0029</f>
        <v/>
      </c>
      <c r="AG58" s="7">
        <f>G58*0.0029</f>
        <v/>
      </c>
      <c r="AH58" s="7">
        <f>H58*0.0029</f>
        <v/>
      </c>
      <c r="AI58" s="7">
        <f>I58*0.0029</f>
        <v/>
      </c>
      <c r="AJ58" s="7">
        <f>J58*0.0029</f>
        <v/>
      </c>
      <c r="AK58" s="7">
        <f>K58*0.0029</f>
        <v/>
      </c>
      <c r="AL58" s="7">
        <f>L58*0.0029</f>
        <v/>
      </c>
      <c r="AM58" s="7">
        <f>M58*0.0029</f>
        <v/>
      </c>
      <c r="AN58" s="7">
        <f>N58*0.0029</f>
        <v/>
      </c>
      <c r="AO58" s="7">
        <f>O58*0.0029</f>
        <v/>
      </c>
      <c r="AP58" s="7">
        <f>P58*0.0029</f>
        <v/>
      </c>
      <c r="AQ58" s="7">
        <f>Q58*0.0029</f>
        <v/>
      </c>
      <c r="AR58" s="7">
        <f>R58*0.0029</f>
        <v/>
      </c>
      <c r="AS58" s="7">
        <f>S58*0.0029</f>
        <v/>
      </c>
      <c r="AT58" s="7">
        <f>T58*0.0029</f>
        <v/>
      </c>
      <c r="AU58" s="7">
        <f>U58*0.0029</f>
        <v/>
      </c>
      <c r="AV58" s="7">
        <f>V58*0.0029</f>
        <v/>
      </c>
      <c r="AW58" s="7">
        <f>W58*0.0029</f>
        <v/>
      </c>
      <c r="AX58" s="7">
        <f>X58*0.0029</f>
        <v/>
      </c>
      <c r="AY58" s="7">
        <f>Y58*0.0029</f>
        <v/>
      </c>
      <c r="AZ58" s="7">
        <f>Z58*0.0029</f>
        <v/>
      </c>
      <c r="BA58" s="7">
        <f>AA58*0.0029</f>
        <v/>
      </c>
      <c r="BB58" s="7">
        <f>SUM(AD58:BA58)</f>
        <v/>
      </c>
    </row>
    <row r="59">
      <c r="A59" t="inlineStr">
        <is>
          <t>AMD-INTRA-SSC</t>
        </is>
      </c>
      <c r="B59" t="inlineStr">
        <is>
          <t>Forward Regular OSC</t>
        </is>
      </c>
      <c r="C59" s="5" t="n">
        <v>46098</v>
      </c>
      <c r="D59" s="6">
        <f>Summary!D59</f>
        <v/>
      </c>
      <c r="E59" s="6">
        <f>Summary!E59</f>
        <v/>
      </c>
      <c r="F59" s="6">
        <f>Summary!F59</f>
        <v/>
      </c>
      <c r="G59" s="6">
        <f>Summary!G59</f>
        <v/>
      </c>
      <c r="H59" s="6">
        <f>Summary!H59</f>
        <v/>
      </c>
      <c r="I59" s="6">
        <f>Summary!I59</f>
        <v/>
      </c>
      <c r="J59" s="6">
        <f>Summary!J59</f>
        <v/>
      </c>
      <c r="K59" s="6">
        <f>Summary!K59</f>
        <v/>
      </c>
      <c r="L59" s="6">
        <f>Summary!L59</f>
        <v/>
      </c>
      <c r="M59" s="6">
        <f>Summary!M59</f>
        <v/>
      </c>
      <c r="N59" s="6">
        <f>Summary!N59</f>
        <v/>
      </c>
      <c r="O59" s="6">
        <f>Summary!O59</f>
        <v/>
      </c>
      <c r="P59" s="6">
        <f>Summary!P59</f>
        <v/>
      </c>
      <c r="Q59" s="6">
        <f>Summary!Q59</f>
        <v/>
      </c>
      <c r="R59" s="6">
        <f>Summary!R59</f>
        <v/>
      </c>
      <c r="S59" s="6">
        <f>Summary!S59</f>
        <v/>
      </c>
      <c r="T59" s="6">
        <f>Summary!T59</f>
        <v/>
      </c>
      <c r="U59" s="6">
        <f>Summary!U59</f>
        <v/>
      </c>
      <c r="V59" s="6">
        <f>Summary!V59</f>
        <v/>
      </c>
      <c r="W59" s="6">
        <f>Summary!W59</f>
        <v/>
      </c>
      <c r="X59" s="6">
        <f>Summary!X59</f>
        <v/>
      </c>
      <c r="Y59" s="6">
        <f>Summary!Y59</f>
        <v/>
      </c>
      <c r="Z59" s="6">
        <f>Summary!Z59</f>
        <v/>
      </c>
      <c r="AA59" s="6">
        <f>Summary!AA59</f>
        <v/>
      </c>
      <c r="AB59" s="6">
        <f>SUM(D59:AA59)</f>
        <v/>
      </c>
      <c r="AC59" s="3" t="inlineStr"/>
      <c r="AD59" s="7">
        <f>D59*0.0029</f>
        <v/>
      </c>
      <c r="AE59" s="7">
        <f>E59*0.0029</f>
        <v/>
      </c>
      <c r="AF59" s="7">
        <f>F59*0.0029</f>
        <v/>
      </c>
      <c r="AG59" s="7">
        <f>G59*0.0029</f>
        <v/>
      </c>
      <c r="AH59" s="7">
        <f>H59*0.0029</f>
        <v/>
      </c>
      <c r="AI59" s="7">
        <f>I59*0.0029</f>
        <v/>
      </c>
      <c r="AJ59" s="7">
        <f>J59*0.0029</f>
        <v/>
      </c>
      <c r="AK59" s="7">
        <f>K59*0.0029</f>
        <v/>
      </c>
      <c r="AL59" s="7">
        <f>L59*0.0029</f>
        <v/>
      </c>
      <c r="AM59" s="7">
        <f>M59*0.0029</f>
        <v/>
      </c>
      <c r="AN59" s="7">
        <f>N59*0.0029</f>
        <v/>
      </c>
      <c r="AO59" s="7">
        <f>O59*0.0029</f>
        <v/>
      </c>
      <c r="AP59" s="7">
        <f>P59*0.0029</f>
        <v/>
      </c>
      <c r="AQ59" s="7">
        <f>Q59*0.0029</f>
        <v/>
      </c>
      <c r="AR59" s="7">
        <f>R59*0.0029</f>
        <v/>
      </c>
      <c r="AS59" s="7">
        <f>S59*0.0029</f>
        <v/>
      </c>
      <c r="AT59" s="7">
        <f>T59*0.0029</f>
        <v/>
      </c>
      <c r="AU59" s="7">
        <f>U59*0.0029</f>
        <v/>
      </c>
      <c r="AV59" s="7">
        <f>V59*0.0029</f>
        <v/>
      </c>
      <c r="AW59" s="7">
        <f>W59*0.0029</f>
        <v/>
      </c>
      <c r="AX59" s="7">
        <f>X59*0.0029</f>
        <v/>
      </c>
      <c r="AY59" s="7">
        <f>Y59*0.0029</f>
        <v/>
      </c>
      <c r="AZ59" s="7">
        <f>Z59*0.0029</f>
        <v/>
      </c>
      <c r="BA59" s="7">
        <f>AA59*0.0029</f>
        <v/>
      </c>
      <c r="BB59" s="7">
        <f>SUM(AD59:BA59)</f>
        <v/>
      </c>
    </row>
    <row r="60">
      <c r="A60" t="inlineStr">
        <is>
          <t>AMD-INTRA-SSC</t>
        </is>
      </c>
      <c r="B60" t="inlineStr">
        <is>
          <t>Forward Regular OSC</t>
        </is>
      </c>
      <c r="C60" s="5" t="n">
        <v>46099</v>
      </c>
      <c r="D60" s="6">
        <f>Summary!D60</f>
        <v/>
      </c>
      <c r="E60" s="6">
        <f>Summary!E60</f>
        <v/>
      </c>
      <c r="F60" s="6">
        <f>Summary!F60</f>
        <v/>
      </c>
      <c r="G60" s="6">
        <f>Summary!G60</f>
        <v/>
      </c>
      <c r="H60" s="6">
        <f>Summary!H60</f>
        <v/>
      </c>
      <c r="I60" s="6">
        <f>Summary!I60</f>
        <v/>
      </c>
      <c r="J60" s="6">
        <f>Summary!J60</f>
        <v/>
      </c>
      <c r="K60" s="6">
        <f>Summary!K60</f>
        <v/>
      </c>
      <c r="L60" s="6">
        <f>Summary!L60</f>
        <v/>
      </c>
      <c r="M60" s="6">
        <f>Summary!M60</f>
        <v/>
      </c>
      <c r="N60" s="6">
        <f>Summary!N60</f>
        <v/>
      </c>
      <c r="O60" s="6">
        <f>Summary!O60</f>
        <v/>
      </c>
      <c r="P60" s="6">
        <f>Summary!P60</f>
        <v/>
      </c>
      <c r="Q60" s="6">
        <f>Summary!Q60</f>
        <v/>
      </c>
      <c r="R60" s="6">
        <f>Summary!R60</f>
        <v/>
      </c>
      <c r="S60" s="6">
        <f>Summary!S60</f>
        <v/>
      </c>
      <c r="T60" s="6">
        <f>Summary!T60</f>
        <v/>
      </c>
      <c r="U60" s="6">
        <f>Summary!U60</f>
        <v/>
      </c>
      <c r="V60" s="6">
        <f>Summary!V60</f>
        <v/>
      </c>
      <c r="W60" s="6">
        <f>Summary!W60</f>
        <v/>
      </c>
      <c r="X60" s="6">
        <f>Summary!X60</f>
        <v/>
      </c>
      <c r="Y60" s="6">
        <f>Summary!Y60</f>
        <v/>
      </c>
      <c r="Z60" s="6">
        <f>Summary!Z60</f>
        <v/>
      </c>
      <c r="AA60" s="6">
        <f>Summary!AA60</f>
        <v/>
      </c>
      <c r="AB60" s="6">
        <f>SUM(D60:AA60)</f>
        <v/>
      </c>
      <c r="AC60" s="3" t="inlineStr"/>
      <c r="AD60" s="7">
        <f>D60*0.0029</f>
        <v/>
      </c>
      <c r="AE60" s="7">
        <f>E60*0.0029</f>
        <v/>
      </c>
      <c r="AF60" s="7">
        <f>F60*0.0029</f>
        <v/>
      </c>
      <c r="AG60" s="7">
        <f>G60*0.0029</f>
        <v/>
      </c>
      <c r="AH60" s="7">
        <f>H60*0.0029</f>
        <v/>
      </c>
      <c r="AI60" s="7">
        <f>I60*0.0029</f>
        <v/>
      </c>
      <c r="AJ60" s="7">
        <f>J60*0.0029</f>
        <v/>
      </c>
      <c r="AK60" s="7">
        <f>K60*0.0029</f>
        <v/>
      </c>
      <c r="AL60" s="7">
        <f>L60*0.0029</f>
        <v/>
      </c>
      <c r="AM60" s="7">
        <f>M60*0.0029</f>
        <v/>
      </c>
      <c r="AN60" s="7">
        <f>N60*0.0029</f>
        <v/>
      </c>
      <c r="AO60" s="7">
        <f>O60*0.0029</f>
        <v/>
      </c>
      <c r="AP60" s="7">
        <f>P60*0.0029</f>
        <v/>
      </c>
      <c r="AQ60" s="7">
        <f>Q60*0.0029</f>
        <v/>
      </c>
      <c r="AR60" s="7">
        <f>R60*0.0029</f>
        <v/>
      </c>
      <c r="AS60" s="7">
        <f>S60*0.0029</f>
        <v/>
      </c>
      <c r="AT60" s="7">
        <f>T60*0.0029</f>
        <v/>
      </c>
      <c r="AU60" s="7">
        <f>U60*0.0029</f>
        <v/>
      </c>
      <c r="AV60" s="7">
        <f>V60*0.0029</f>
        <v/>
      </c>
      <c r="AW60" s="7">
        <f>W60*0.0029</f>
        <v/>
      </c>
      <c r="AX60" s="7">
        <f>X60*0.0029</f>
        <v/>
      </c>
      <c r="AY60" s="7">
        <f>Y60*0.0029</f>
        <v/>
      </c>
      <c r="AZ60" s="7">
        <f>Z60*0.0029</f>
        <v/>
      </c>
      <c r="BA60" s="7">
        <f>AA60*0.0029</f>
        <v/>
      </c>
      <c r="BB60" s="7">
        <f>SUM(AD60:BA60)</f>
        <v/>
      </c>
    </row>
    <row r="61">
      <c r="A61" t="inlineStr">
        <is>
          <t>AMD-INTRA-SSC</t>
        </is>
      </c>
      <c r="B61" t="inlineStr">
        <is>
          <t>Forward Regular OSC</t>
        </is>
      </c>
      <c r="C61" s="5" t="n">
        <v>46100</v>
      </c>
      <c r="D61" s="6">
        <f>Summary!D61</f>
        <v/>
      </c>
      <c r="E61" s="6">
        <f>Summary!E61</f>
        <v/>
      </c>
      <c r="F61" s="6">
        <f>Summary!F61</f>
        <v/>
      </c>
      <c r="G61" s="6">
        <f>Summary!G61</f>
        <v/>
      </c>
      <c r="H61" s="6">
        <f>Summary!H61</f>
        <v/>
      </c>
      <c r="I61" s="6">
        <f>Summary!I61</f>
        <v/>
      </c>
      <c r="J61" s="6">
        <f>Summary!J61</f>
        <v/>
      </c>
      <c r="K61" s="6">
        <f>Summary!K61</f>
        <v/>
      </c>
      <c r="L61" s="6">
        <f>Summary!L61</f>
        <v/>
      </c>
      <c r="M61" s="6">
        <f>Summary!M61</f>
        <v/>
      </c>
      <c r="N61" s="6">
        <f>Summary!N61</f>
        <v/>
      </c>
      <c r="O61" s="6">
        <f>Summary!O61</f>
        <v/>
      </c>
      <c r="P61" s="6">
        <f>Summary!P61</f>
        <v/>
      </c>
      <c r="Q61" s="6">
        <f>Summary!Q61</f>
        <v/>
      </c>
      <c r="R61" s="6">
        <f>Summary!R61</f>
        <v/>
      </c>
      <c r="S61" s="6">
        <f>Summary!S61</f>
        <v/>
      </c>
      <c r="T61" s="6">
        <f>Summary!T61</f>
        <v/>
      </c>
      <c r="U61" s="6">
        <f>Summary!U61</f>
        <v/>
      </c>
      <c r="V61" s="6">
        <f>Summary!V61</f>
        <v/>
      </c>
      <c r="W61" s="6">
        <f>Summary!W61</f>
        <v/>
      </c>
      <c r="X61" s="6">
        <f>Summary!X61</f>
        <v/>
      </c>
      <c r="Y61" s="6">
        <f>Summary!Y61</f>
        <v/>
      </c>
      <c r="Z61" s="6">
        <f>Summary!Z61</f>
        <v/>
      </c>
      <c r="AA61" s="6">
        <f>Summary!AA61</f>
        <v/>
      </c>
      <c r="AB61" s="6">
        <f>SUM(D61:AA61)</f>
        <v/>
      </c>
      <c r="AC61" s="3" t="inlineStr"/>
      <c r="AD61" s="7">
        <f>D61*0.0029</f>
        <v/>
      </c>
      <c r="AE61" s="7">
        <f>E61*0.0029</f>
        <v/>
      </c>
      <c r="AF61" s="7">
        <f>F61*0.0029</f>
        <v/>
      </c>
      <c r="AG61" s="7">
        <f>G61*0.0029</f>
        <v/>
      </c>
      <c r="AH61" s="7">
        <f>H61*0.0029</f>
        <v/>
      </c>
      <c r="AI61" s="7">
        <f>I61*0.0029</f>
        <v/>
      </c>
      <c r="AJ61" s="7">
        <f>J61*0.0029</f>
        <v/>
      </c>
      <c r="AK61" s="7">
        <f>K61*0.0029</f>
        <v/>
      </c>
      <c r="AL61" s="7">
        <f>L61*0.0029</f>
        <v/>
      </c>
      <c r="AM61" s="7">
        <f>M61*0.0029</f>
        <v/>
      </c>
      <c r="AN61" s="7">
        <f>N61*0.0029</f>
        <v/>
      </c>
      <c r="AO61" s="7">
        <f>O61*0.0029</f>
        <v/>
      </c>
      <c r="AP61" s="7">
        <f>P61*0.0029</f>
        <v/>
      </c>
      <c r="AQ61" s="7">
        <f>Q61*0.0029</f>
        <v/>
      </c>
      <c r="AR61" s="7">
        <f>R61*0.0029</f>
        <v/>
      </c>
      <c r="AS61" s="7">
        <f>S61*0.0029</f>
        <v/>
      </c>
      <c r="AT61" s="7">
        <f>T61*0.0029</f>
        <v/>
      </c>
      <c r="AU61" s="7">
        <f>U61*0.0029</f>
        <v/>
      </c>
      <c r="AV61" s="7">
        <f>V61*0.0029</f>
        <v/>
      </c>
      <c r="AW61" s="7">
        <f>W61*0.0029</f>
        <v/>
      </c>
      <c r="AX61" s="7">
        <f>X61*0.0029</f>
        <v/>
      </c>
      <c r="AY61" s="7">
        <f>Y61*0.0029</f>
        <v/>
      </c>
      <c r="AZ61" s="7">
        <f>Z61*0.0029</f>
        <v/>
      </c>
      <c r="BA61" s="7">
        <f>AA61*0.0029</f>
        <v/>
      </c>
      <c r="BB61" s="7">
        <f>SUM(AD61:BA61)</f>
        <v/>
      </c>
    </row>
    <row r="62">
      <c r="A62" t="inlineStr">
        <is>
          <t>AMD-INTRA-SSC</t>
        </is>
      </c>
      <c r="B62" t="inlineStr">
        <is>
          <t>Forward Regular OSC</t>
        </is>
      </c>
      <c r="C62" s="5" t="n">
        <v>46101</v>
      </c>
      <c r="D62" s="6">
        <f>Summary!D62</f>
        <v/>
      </c>
      <c r="E62" s="6">
        <f>Summary!E62</f>
        <v/>
      </c>
      <c r="F62" s="6">
        <f>Summary!F62</f>
        <v/>
      </c>
      <c r="G62" s="6">
        <f>Summary!G62</f>
        <v/>
      </c>
      <c r="H62" s="6">
        <f>Summary!H62</f>
        <v/>
      </c>
      <c r="I62" s="6">
        <f>Summary!I62</f>
        <v/>
      </c>
      <c r="J62" s="6">
        <f>Summary!J62</f>
        <v/>
      </c>
      <c r="K62" s="6">
        <f>Summary!K62</f>
        <v/>
      </c>
      <c r="L62" s="6">
        <f>Summary!L62</f>
        <v/>
      </c>
      <c r="M62" s="6">
        <f>Summary!M62</f>
        <v/>
      </c>
      <c r="N62" s="6">
        <f>Summary!N62</f>
        <v/>
      </c>
      <c r="O62" s="6">
        <f>Summary!O62</f>
        <v/>
      </c>
      <c r="P62" s="6">
        <f>Summary!P62</f>
        <v/>
      </c>
      <c r="Q62" s="6">
        <f>Summary!Q62</f>
        <v/>
      </c>
      <c r="R62" s="6">
        <f>Summary!R62</f>
        <v/>
      </c>
      <c r="S62" s="6">
        <f>Summary!S62</f>
        <v/>
      </c>
      <c r="T62" s="6">
        <f>Summary!T62</f>
        <v/>
      </c>
      <c r="U62" s="6">
        <f>Summary!U62</f>
        <v/>
      </c>
      <c r="V62" s="6">
        <f>Summary!V62</f>
        <v/>
      </c>
      <c r="W62" s="6">
        <f>Summary!W62</f>
        <v/>
      </c>
      <c r="X62" s="6">
        <f>Summary!X62</f>
        <v/>
      </c>
      <c r="Y62" s="6">
        <f>Summary!Y62</f>
        <v/>
      </c>
      <c r="Z62" s="6">
        <f>Summary!Z62</f>
        <v/>
      </c>
      <c r="AA62" s="6">
        <f>Summary!AA62</f>
        <v/>
      </c>
      <c r="AB62" s="6">
        <f>SUM(D62:AA62)</f>
        <v/>
      </c>
      <c r="AC62" s="3" t="inlineStr"/>
      <c r="AD62" s="7">
        <f>D62*0.0029</f>
        <v/>
      </c>
      <c r="AE62" s="7">
        <f>E62*0.0029</f>
        <v/>
      </c>
      <c r="AF62" s="7">
        <f>F62*0.0029</f>
        <v/>
      </c>
      <c r="AG62" s="7">
        <f>G62*0.0029</f>
        <v/>
      </c>
      <c r="AH62" s="7">
        <f>H62*0.0029</f>
        <v/>
      </c>
      <c r="AI62" s="7">
        <f>I62*0.0029</f>
        <v/>
      </c>
      <c r="AJ62" s="7">
        <f>J62*0.0029</f>
        <v/>
      </c>
      <c r="AK62" s="7">
        <f>K62*0.0029</f>
        <v/>
      </c>
      <c r="AL62" s="7">
        <f>L62*0.0029</f>
        <v/>
      </c>
      <c r="AM62" s="7">
        <f>M62*0.0029</f>
        <v/>
      </c>
      <c r="AN62" s="7">
        <f>N62*0.0029</f>
        <v/>
      </c>
      <c r="AO62" s="7">
        <f>O62*0.0029</f>
        <v/>
      </c>
      <c r="AP62" s="7">
        <f>P62*0.0029</f>
        <v/>
      </c>
      <c r="AQ62" s="7">
        <f>Q62*0.0029</f>
        <v/>
      </c>
      <c r="AR62" s="7">
        <f>R62*0.0029</f>
        <v/>
      </c>
      <c r="AS62" s="7">
        <f>S62*0.0029</f>
        <v/>
      </c>
      <c r="AT62" s="7">
        <f>T62*0.0029</f>
        <v/>
      </c>
      <c r="AU62" s="7">
        <f>U62*0.0029</f>
        <v/>
      </c>
      <c r="AV62" s="7">
        <f>V62*0.0029</f>
        <v/>
      </c>
      <c r="AW62" s="7">
        <f>W62*0.0029</f>
        <v/>
      </c>
      <c r="AX62" s="7">
        <f>X62*0.0029</f>
        <v/>
      </c>
      <c r="AY62" s="7">
        <f>Y62*0.0029</f>
        <v/>
      </c>
      <c r="AZ62" s="7">
        <f>Z62*0.0029</f>
        <v/>
      </c>
      <c r="BA62" s="7">
        <f>AA62*0.0029</f>
        <v/>
      </c>
      <c r="BB62" s="7">
        <f>SUM(AD62:BA62)</f>
        <v/>
      </c>
    </row>
    <row r="63">
      <c r="A63" t="inlineStr">
        <is>
          <t>AMD-INTRA-SSC</t>
        </is>
      </c>
      <c r="B63" t="inlineStr">
        <is>
          <t>Forward Regular OSC</t>
        </is>
      </c>
      <c r="C63" s="5" t="n">
        <v>46102</v>
      </c>
      <c r="D63" s="6">
        <f>Summary!D63</f>
        <v/>
      </c>
      <c r="E63" s="6">
        <f>Summary!E63</f>
        <v/>
      </c>
      <c r="F63" s="6">
        <f>Summary!F63</f>
        <v/>
      </c>
      <c r="G63" s="6">
        <f>Summary!G63</f>
        <v/>
      </c>
      <c r="H63" s="6">
        <f>Summary!H63</f>
        <v/>
      </c>
      <c r="I63" s="6">
        <f>Summary!I63</f>
        <v/>
      </c>
      <c r="J63" s="6">
        <f>Summary!J63</f>
        <v/>
      </c>
      <c r="K63" s="6">
        <f>Summary!K63</f>
        <v/>
      </c>
      <c r="L63" s="6">
        <f>Summary!L63</f>
        <v/>
      </c>
      <c r="M63" s="6">
        <f>Summary!M63</f>
        <v/>
      </c>
      <c r="N63" s="6">
        <f>Summary!N63</f>
        <v/>
      </c>
      <c r="O63" s="6">
        <f>Summary!O63</f>
        <v/>
      </c>
      <c r="P63" s="6">
        <f>Summary!P63</f>
        <v/>
      </c>
      <c r="Q63" s="6">
        <f>Summary!Q63</f>
        <v/>
      </c>
      <c r="R63" s="6">
        <f>Summary!R63</f>
        <v/>
      </c>
      <c r="S63" s="6">
        <f>Summary!S63</f>
        <v/>
      </c>
      <c r="T63" s="6">
        <f>Summary!T63</f>
        <v/>
      </c>
      <c r="U63" s="6">
        <f>Summary!U63</f>
        <v/>
      </c>
      <c r="V63" s="6">
        <f>Summary!V63</f>
        <v/>
      </c>
      <c r="W63" s="6">
        <f>Summary!W63</f>
        <v/>
      </c>
      <c r="X63" s="6">
        <f>Summary!X63</f>
        <v/>
      </c>
      <c r="Y63" s="6">
        <f>Summary!Y63</f>
        <v/>
      </c>
      <c r="Z63" s="6">
        <f>Summary!Z63</f>
        <v/>
      </c>
      <c r="AA63" s="6">
        <f>Summary!AA63</f>
        <v/>
      </c>
      <c r="AB63" s="6">
        <f>SUM(D63:AA63)</f>
        <v/>
      </c>
      <c r="AC63" s="3" t="inlineStr"/>
      <c r="AD63" s="7">
        <f>D63*0.0029</f>
        <v/>
      </c>
      <c r="AE63" s="7">
        <f>E63*0.0029</f>
        <v/>
      </c>
      <c r="AF63" s="7">
        <f>F63*0.0029</f>
        <v/>
      </c>
      <c r="AG63" s="7">
        <f>G63*0.0029</f>
        <v/>
      </c>
      <c r="AH63" s="7">
        <f>H63*0.0029</f>
        <v/>
      </c>
      <c r="AI63" s="7">
        <f>I63*0.0029</f>
        <v/>
      </c>
      <c r="AJ63" s="7">
        <f>J63*0.0029</f>
        <v/>
      </c>
      <c r="AK63" s="7">
        <f>K63*0.0029</f>
        <v/>
      </c>
      <c r="AL63" s="7">
        <f>L63*0.0029</f>
        <v/>
      </c>
      <c r="AM63" s="7">
        <f>M63*0.0029</f>
        <v/>
      </c>
      <c r="AN63" s="7">
        <f>N63*0.0029</f>
        <v/>
      </c>
      <c r="AO63" s="7">
        <f>O63*0.0029</f>
        <v/>
      </c>
      <c r="AP63" s="7">
        <f>P63*0.0029</f>
        <v/>
      </c>
      <c r="AQ63" s="7">
        <f>Q63*0.0029</f>
        <v/>
      </c>
      <c r="AR63" s="7">
        <f>R63*0.0029</f>
        <v/>
      </c>
      <c r="AS63" s="7">
        <f>S63*0.0029</f>
        <v/>
      </c>
      <c r="AT63" s="7">
        <f>T63*0.0029</f>
        <v/>
      </c>
      <c r="AU63" s="7">
        <f>U63*0.0029</f>
        <v/>
      </c>
      <c r="AV63" s="7">
        <f>V63*0.0029</f>
        <v/>
      </c>
      <c r="AW63" s="7">
        <f>W63*0.0029</f>
        <v/>
      </c>
      <c r="AX63" s="7">
        <f>X63*0.0029</f>
        <v/>
      </c>
      <c r="AY63" s="7">
        <f>Y63*0.0029</f>
        <v/>
      </c>
      <c r="AZ63" s="7">
        <f>Z63*0.0029</f>
        <v/>
      </c>
      <c r="BA63" s="7">
        <f>AA63*0.0029</f>
        <v/>
      </c>
      <c r="BB63" s="7">
        <f>SUM(AD63:BA63)</f>
        <v/>
      </c>
    </row>
    <row r="64">
      <c r="A64" t="inlineStr">
        <is>
          <t>AMD-INTRA-SSC</t>
        </is>
      </c>
      <c r="B64" t="inlineStr">
        <is>
          <t>Forward Regular OSC</t>
        </is>
      </c>
      <c r="C64" s="5" t="n">
        <v>46103</v>
      </c>
      <c r="D64" s="6">
        <f>Summary!D64</f>
        <v/>
      </c>
      <c r="E64" s="6">
        <f>Summary!E64</f>
        <v/>
      </c>
      <c r="F64" s="6">
        <f>Summary!F64</f>
        <v/>
      </c>
      <c r="G64" s="6">
        <f>Summary!G64</f>
        <v/>
      </c>
      <c r="H64" s="6">
        <f>Summary!H64</f>
        <v/>
      </c>
      <c r="I64" s="6">
        <f>Summary!I64</f>
        <v/>
      </c>
      <c r="J64" s="6">
        <f>Summary!J64</f>
        <v/>
      </c>
      <c r="K64" s="6">
        <f>Summary!K64</f>
        <v/>
      </c>
      <c r="L64" s="6">
        <f>Summary!L64</f>
        <v/>
      </c>
      <c r="M64" s="6">
        <f>Summary!M64</f>
        <v/>
      </c>
      <c r="N64" s="6">
        <f>Summary!N64</f>
        <v/>
      </c>
      <c r="O64" s="6">
        <f>Summary!O64</f>
        <v/>
      </c>
      <c r="P64" s="6">
        <f>Summary!P64</f>
        <v/>
      </c>
      <c r="Q64" s="6">
        <f>Summary!Q64</f>
        <v/>
      </c>
      <c r="R64" s="6">
        <f>Summary!R64</f>
        <v/>
      </c>
      <c r="S64" s="6">
        <f>Summary!S64</f>
        <v/>
      </c>
      <c r="T64" s="6">
        <f>Summary!T64</f>
        <v/>
      </c>
      <c r="U64" s="6">
        <f>Summary!U64</f>
        <v/>
      </c>
      <c r="V64" s="6">
        <f>Summary!V64</f>
        <v/>
      </c>
      <c r="W64" s="6">
        <f>Summary!W64</f>
        <v/>
      </c>
      <c r="X64" s="6">
        <f>Summary!X64</f>
        <v/>
      </c>
      <c r="Y64" s="6">
        <f>Summary!Y64</f>
        <v/>
      </c>
      <c r="Z64" s="6">
        <f>Summary!Z64</f>
        <v/>
      </c>
      <c r="AA64" s="6">
        <f>Summary!AA64</f>
        <v/>
      </c>
      <c r="AB64" s="6">
        <f>SUM(D64:AA64)</f>
        <v/>
      </c>
      <c r="AC64" s="3" t="inlineStr"/>
      <c r="AD64" s="7">
        <f>D64*0.0029</f>
        <v/>
      </c>
      <c r="AE64" s="7">
        <f>E64*0.0029</f>
        <v/>
      </c>
      <c r="AF64" s="7">
        <f>F64*0.0029</f>
        <v/>
      </c>
      <c r="AG64" s="7">
        <f>G64*0.0029</f>
        <v/>
      </c>
      <c r="AH64" s="7">
        <f>H64*0.0029</f>
        <v/>
      </c>
      <c r="AI64" s="7">
        <f>I64*0.0029</f>
        <v/>
      </c>
      <c r="AJ64" s="7">
        <f>J64*0.0029</f>
        <v/>
      </c>
      <c r="AK64" s="7">
        <f>K64*0.0029</f>
        <v/>
      </c>
      <c r="AL64" s="7">
        <f>L64*0.0029</f>
        <v/>
      </c>
      <c r="AM64" s="7">
        <f>M64*0.0029</f>
        <v/>
      </c>
      <c r="AN64" s="7">
        <f>N64*0.0029</f>
        <v/>
      </c>
      <c r="AO64" s="7">
        <f>O64*0.0029</f>
        <v/>
      </c>
      <c r="AP64" s="7">
        <f>P64*0.0029</f>
        <v/>
      </c>
      <c r="AQ64" s="7">
        <f>Q64*0.0029</f>
        <v/>
      </c>
      <c r="AR64" s="7">
        <f>R64*0.0029</f>
        <v/>
      </c>
      <c r="AS64" s="7">
        <f>S64*0.0029</f>
        <v/>
      </c>
      <c r="AT64" s="7">
        <f>T64*0.0029</f>
        <v/>
      </c>
      <c r="AU64" s="7">
        <f>U64*0.0029</f>
        <v/>
      </c>
      <c r="AV64" s="7">
        <f>V64*0.0029</f>
        <v/>
      </c>
      <c r="AW64" s="7">
        <f>W64*0.0029</f>
        <v/>
      </c>
      <c r="AX64" s="7">
        <f>X64*0.0029</f>
        <v/>
      </c>
      <c r="AY64" s="7">
        <f>Y64*0.0029</f>
        <v/>
      </c>
      <c r="AZ64" s="7">
        <f>Z64*0.0029</f>
        <v/>
      </c>
      <c r="BA64" s="7">
        <f>AA64*0.0029</f>
        <v/>
      </c>
      <c r="BB64" s="7">
        <f>SUM(AD64:BA64)</f>
        <v/>
      </c>
    </row>
    <row r="65">
      <c r="A65" t="inlineStr">
        <is>
          <t>AMD-INTRA-SSC</t>
        </is>
      </c>
      <c r="B65" t="inlineStr">
        <is>
          <t>Forward Regular OSC</t>
        </is>
      </c>
      <c r="C65" s="5" t="n">
        <v>46104</v>
      </c>
      <c r="D65" s="6">
        <f>Summary!D65</f>
        <v/>
      </c>
      <c r="E65" s="6">
        <f>Summary!E65</f>
        <v/>
      </c>
      <c r="F65" s="6">
        <f>Summary!F65</f>
        <v/>
      </c>
      <c r="G65" s="6">
        <f>Summary!G65</f>
        <v/>
      </c>
      <c r="H65" s="6">
        <f>Summary!H65</f>
        <v/>
      </c>
      <c r="I65" s="6">
        <f>Summary!I65</f>
        <v/>
      </c>
      <c r="J65" s="6">
        <f>Summary!J65</f>
        <v/>
      </c>
      <c r="K65" s="6">
        <f>Summary!K65</f>
        <v/>
      </c>
      <c r="L65" s="6">
        <f>Summary!L65</f>
        <v/>
      </c>
      <c r="M65" s="6">
        <f>Summary!M65</f>
        <v/>
      </c>
      <c r="N65" s="6">
        <f>Summary!N65</f>
        <v/>
      </c>
      <c r="O65" s="6">
        <f>Summary!O65</f>
        <v/>
      </c>
      <c r="P65" s="6">
        <f>Summary!P65</f>
        <v/>
      </c>
      <c r="Q65" s="6">
        <f>Summary!Q65</f>
        <v/>
      </c>
      <c r="R65" s="6">
        <f>Summary!R65</f>
        <v/>
      </c>
      <c r="S65" s="6">
        <f>Summary!S65</f>
        <v/>
      </c>
      <c r="T65" s="6">
        <f>Summary!T65</f>
        <v/>
      </c>
      <c r="U65" s="6">
        <f>Summary!U65</f>
        <v/>
      </c>
      <c r="V65" s="6">
        <f>Summary!V65</f>
        <v/>
      </c>
      <c r="W65" s="6">
        <f>Summary!W65</f>
        <v/>
      </c>
      <c r="X65" s="6">
        <f>Summary!X65</f>
        <v/>
      </c>
      <c r="Y65" s="6">
        <f>Summary!Y65</f>
        <v/>
      </c>
      <c r="Z65" s="6">
        <f>Summary!Z65</f>
        <v/>
      </c>
      <c r="AA65" s="6">
        <f>Summary!AA65</f>
        <v/>
      </c>
      <c r="AB65" s="6">
        <f>SUM(D65:AA65)</f>
        <v/>
      </c>
      <c r="AC65" s="3" t="inlineStr"/>
      <c r="AD65" s="7">
        <f>D65*0.0029</f>
        <v/>
      </c>
      <c r="AE65" s="7">
        <f>E65*0.0029</f>
        <v/>
      </c>
      <c r="AF65" s="7">
        <f>F65*0.0029</f>
        <v/>
      </c>
      <c r="AG65" s="7">
        <f>G65*0.0029</f>
        <v/>
      </c>
      <c r="AH65" s="7">
        <f>H65*0.0029</f>
        <v/>
      </c>
      <c r="AI65" s="7">
        <f>I65*0.0029</f>
        <v/>
      </c>
      <c r="AJ65" s="7">
        <f>J65*0.0029</f>
        <v/>
      </c>
      <c r="AK65" s="7">
        <f>K65*0.0029</f>
        <v/>
      </c>
      <c r="AL65" s="7">
        <f>L65*0.0029</f>
        <v/>
      </c>
      <c r="AM65" s="7">
        <f>M65*0.0029</f>
        <v/>
      </c>
      <c r="AN65" s="7">
        <f>N65*0.0029</f>
        <v/>
      </c>
      <c r="AO65" s="7">
        <f>O65*0.0029</f>
        <v/>
      </c>
      <c r="AP65" s="7">
        <f>P65*0.0029</f>
        <v/>
      </c>
      <c r="AQ65" s="7">
        <f>Q65*0.0029</f>
        <v/>
      </c>
      <c r="AR65" s="7">
        <f>R65*0.0029</f>
        <v/>
      </c>
      <c r="AS65" s="7">
        <f>S65*0.0029</f>
        <v/>
      </c>
      <c r="AT65" s="7">
        <f>T65*0.0029</f>
        <v/>
      </c>
      <c r="AU65" s="7">
        <f>U65*0.0029</f>
        <v/>
      </c>
      <c r="AV65" s="7">
        <f>V65*0.0029</f>
        <v/>
      </c>
      <c r="AW65" s="7">
        <f>W65*0.0029</f>
        <v/>
      </c>
      <c r="AX65" s="7">
        <f>X65*0.0029</f>
        <v/>
      </c>
      <c r="AY65" s="7">
        <f>Y65*0.0029</f>
        <v/>
      </c>
      <c r="AZ65" s="7">
        <f>Z65*0.0029</f>
        <v/>
      </c>
      <c r="BA65" s="7">
        <f>AA65*0.0029</f>
        <v/>
      </c>
      <c r="BB65" s="7">
        <f>SUM(AD65:BA65)</f>
        <v/>
      </c>
    </row>
    <row r="66">
      <c r="A66" t="inlineStr">
        <is>
          <t>AMD-INTRA-SSC</t>
        </is>
      </c>
      <c r="B66" t="inlineStr">
        <is>
          <t>Forward Regular OSC</t>
        </is>
      </c>
      <c r="C66" s="5" t="n">
        <v>46105</v>
      </c>
      <c r="D66" s="6">
        <f>Summary!D66</f>
        <v/>
      </c>
      <c r="E66" s="6">
        <f>Summary!E66</f>
        <v/>
      </c>
      <c r="F66" s="6">
        <f>Summary!F66</f>
        <v/>
      </c>
      <c r="G66" s="6">
        <f>Summary!G66</f>
        <v/>
      </c>
      <c r="H66" s="6">
        <f>Summary!H66</f>
        <v/>
      </c>
      <c r="I66" s="6">
        <f>Summary!I66</f>
        <v/>
      </c>
      <c r="J66" s="6">
        <f>Summary!J66</f>
        <v/>
      </c>
      <c r="K66" s="6">
        <f>Summary!K66</f>
        <v/>
      </c>
      <c r="L66" s="6">
        <f>Summary!L66</f>
        <v/>
      </c>
      <c r="M66" s="6">
        <f>Summary!M66</f>
        <v/>
      </c>
      <c r="N66" s="6">
        <f>Summary!N66</f>
        <v/>
      </c>
      <c r="O66" s="6">
        <f>Summary!O66</f>
        <v/>
      </c>
      <c r="P66" s="6">
        <f>Summary!P66</f>
        <v/>
      </c>
      <c r="Q66" s="6">
        <f>Summary!Q66</f>
        <v/>
      </c>
      <c r="R66" s="6">
        <f>Summary!R66</f>
        <v/>
      </c>
      <c r="S66" s="6">
        <f>Summary!S66</f>
        <v/>
      </c>
      <c r="T66" s="6">
        <f>Summary!T66</f>
        <v/>
      </c>
      <c r="U66" s="6">
        <f>Summary!U66</f>
        <v/>
      </c>
      <c r="V66" s="6">
        <f>Summary!V66</f>
        <v/>
      </c>
      <c r="W66" s="6">
        <f>Summary!W66</f>
        <v/>
      </c>
      <c r="X66" s="6">
        <f>Summary!X66</f>
        <v/>
      </c>
      <c r="Y66" s="6">
        <f>Summary!Y66</f>
        <v/>
      </c>
      <c r="Z66" s="6">
        <f>Summary!Z66</f>
        <v/>
      </c>
      <c r="AA66" s="6">
        <f>Summary!AA66</f>
        <v/>
      </c>
      <c r="AB66" s="6">
        <f>SUM(D66:AA66)</f>
        <v/>
      </c>
      <c r="AC66" s="3" t="inlineStr"/>
      <c r="AD66" s="7">
        <f>D66*0.0029</f>
        <v/>
      </c>
      <c r="AE66" s="7">
        <f>E66*0.0029</f>
        <v/>
      </c>
      <c r="AF66" s="7">
        <f>F66*0.0029</f>
        <v/>
      </c>
      <c r="AG66" s="7">
        <f>G66*0.0029</f>
        <v/>
      </c>
      <c r="AH66" s="7">
        <f>H66*0.0029</f>
        <v/>
      </c>
      <c r="AI66" s="7">
        <f>I66*0.0029</f>
        <v/>
      </c>
      <c r="AJ66" s="7">
        <f>J66*0.0029</f>
        <v/>
      </c>
      <c r="AK66" s="7">
        <f>K66*0.0029</f>
        <v/>
      </c>
      <c r="AL66" s="7">
        <f>L66*0.0029</f>
        <v/>
      </c>
      <c r="AM66" s="7">
        <f>M66*0.0029</f>
        <v/>
      </c>
      <c r="AN66" s="7">
        <f>N66*0.0029</f>
        <v/>
      </c>
      <c r="AO66" s="7">
        <f>O66*0.0029</f>
        <v/>
      </c>
      <c r="AP66" s="7">
        <f>P66*0.0029</f>
        <v/>
      </c>
      <c r="AQ66" s="7">
        <f>Q66*0.0029</f>
        <v/>
      </c>
      <c r="AR66" s="7">
        <f>R66*0.0029</f>
        <v/>
      </c>
      <c r="AS66" s="7">
        <f>S66*0.0029</f>
        <v/>
      </c>
      <c r="AT66" s="7">
        <f>T66*0.0029</f>
        <v/>
      </c>
      <c r="AU66" s="7">
        <f>U66*0.0029</f>
        <v/>
      </c>
      <c r="AV66" s="7">
        <f>V66*0.0029</f>
        <v/>
      </c>
      <c r="AW66" s="7">
        <f>W66*0.0029</f>
        <v/>
      </c>
      <c r="AX66" s="7">
        <f>X66*0.0029</f>
        <v/>
      </c>
      <c r="AY66" s="7">
        <f>Y66*0.0029</f>
        <v/>
      </c>
      <c r="AZ66" s="7">
        <f>Z66*0.0029</f>
        <v/>
      </c>
      <c r="BA66" s="7">
        <f>AA66*0.0029</f>
        <v/>
      </c>
      <c r="BB66" s="7">
        <f>SUM(AD66:BA66)</f>
        <v/>
      </c>
    </row>
    <row r="67">
      <c r="A67" t="inlineStr">
        <is>
          <t>AMD-M1</t>
        </is>
      </c>
      <c r="B67" t="inlineStr">
        <is>
          <t>Forward Regular OSC</t>
        </is>
      </c>
      <c r="C67" s="5" t="n">
        <v>46089</v>
      </c>
      <c r="D67" s="6">
        <f>Summary!D67</f>
        <v/>
      </c>
      <c r="E67" s="6">
        <f>Summary!E67</f>
        <v/>
      </c>
      <c r="F67" s="6">
        <f>Summary!F67</f>
        <v/>
      </c>
      <c r="G67" s="6">
        <f>Summary!G67</f>
        <v/>
      </c>
      <c r="H67" s="6">
        <f>Summary!H67</f>
        <v/>
      </c>
      <c r="I67" s="6">
        <f>Summary!I67</f>
        <v/>
      </c>
      <c r="J67" s="6">
        <f>Summary!J67</f>
        <v/>
      </c>
      <c r="K67" s="6">
        <f>Summary!K67</f>
        <v/>
      </c>
      <c r="L67" s="6">
        <f>Summary!L67</f>
        <v/>
      </c>
      <c r="M67" s="6">
        <f>Summary!M67</f>
        <v/>
      </c>
      <c r="N67" s="6">
        <f>Summary!N67</f>
        <v/>
      </c>
      <c r="O67" s="6">
        <f>Summary!O67</f>
        <v/>
      </c>
      <c r="P67" s="6">
        <f>Summary!P67</f>
        <v/>
      </c>
      <c r="Q67" s="6">
        <f>Summary!Q67</f>
        <v/>
      </c>
      <c r="R67" s="6">
        <f>Summary!R67</f>
        <v/>
      </c>
      <c r="S67" s="6">
        <f>Summary!S67</f>
        <v/>
      </c>
      <c r="T67" s="6">
        <f>Summary!T67</f>
        <v/>
      </c>
      <c r="U67" s="6">
        <f>Summary!U67</f>
        <v/>
      </c>
      <c r="V67" s="6">
        <f>Summary!V67</f>
        <v/>
      </c>
      <c r="W67" s="6">
        <f>Summary!W67</f>
        <v/>
      </c>
      <c r="X67" s="6">
        <f>Summary!X67</f>
        <v/>
      </c>
      <c r="Y67" s="6">
        <f>Summary!Y67</f>
        <v/>
      </c>
      <c r="Z67" s="6">
        <f>Summary!Z67</f>
        <v/>
      </c>
      <c r="AA67" s="6">
        <f>Summary!AA67</f>
        <v/>
      </c>
      <c r="AB67" s="6">
        <f>SUM(D67:AA67)</f>
        <v/>
      </c>
      <c r="AC67" s="3" t="inlineStr"/>
      <c r="AD67" s="7">
        <f>D67*0.0029</f>
        <v/>
      </c>
      <c r="AE67" s="7">
        <f>E67*0.0029</f>
        <v/>
      </c>
      <c r="AF67" s="7">
        <f>F67*0.0029</f>
        <v/>
      </c>
      <c r="AG67" s="7">
        <f>G67*0.0029</f>
        <v/>
      </c>
      <c r="AH67" s="7">
        <f>H67*0.0029</f>
        <v/>
      </c>
      <c r="AI67" s="7">
        <f>I67*0.0029</f>
        <v/>
      </c>
      <c r="AJ67" s="7">
        <f>J67*0.0029</f>
        <v/>
      </c>
      <c r="AK67" s="7">
        <f>K67*0.0029</f>
        <v/>
      </c>
      <c r="AL67" s="7">
        <f>L67*0.0029</f>
        <v/>
      </c>
      <c r="AM67" s="7">
        <f>M67*0.0029</f>
        <v/>
      </c>
      <c r="AN67" s="7">
        <f>N67*0.0029</f>
        <v/>
      </c>
      <c r="AO67" s="7">
        <f>O67*0.0029</f>
        <v/>
      </c>
      <c r="AP67" s="7">
        <f>P67*0.0029</f>
        <v/>
      </c>
      <c r="AQ67" s="7">
        <f>Q67*0.0029</f>
        <v/>
      </c>
      <c r="AR67" s="7">
        <f>R67*0.0029</f>
        <v/>
      </c>
      <c r="AS67" s="7">
        <f>S67*0.0029</f>
        <v/>
      </c>
      <c r="AT67" s="7">
        <f>T67*0.0029</f>
        <v/>
      </c>
      <c r="AU67" s="7">
        <f>U67*0.0029</f>
        <v/>
      </c>
      <c r="AV67" s="7">
        <f>V67*0.0029</f>
        <v/>
      </c>
      <c r="AW67" s="7">
        <f>W67*0.0029</f>
        <v/>
      </c>
      <c r="AX67" s="7">
        <f>X67*0.0029</f>
        <v/>
      </c>
      <c r="AY67" s="7">
        <f>Y67*0.0029</f>
        <v/>
      </c>
      <c r="AZ67" s="7">
        <f>Z67*0.0029</f>
        <v/>
      </c>
      <c r="BA67" s="7">
        <f>AA67*0.0029</f>
        <v/>
      </c>
      <c r="BB67" s="7">
        <f>SUM(AD67:BA67)</f>
        <v/>
      </c>
    </row>
    <row r="68">
      <c r="A68" t="inlineStr">
        <is>
          <t>AMD-M1</t>
        </is>
      </c>
      <c r="B68" t="inlineStr">
        <is>
          <t>Forward Regular OSC</t>
        </is>
      </c>
      <c r="C68" s="5" t="n">
        <v>46090</v>
      </c>
      <c r="D68" s="6">
        <f>Summary!D68</f>
        <v/>
      </c>
      <c r="E68" s="6">
        <f>Summary!E68</f>
        <v/>
      </c>
      <c r="F68" s="6">
        <f>Summary!F68</f>
        <v/>
      </c>
      <c r="G68" s="6">
        <f>Summary!G68</f>
        <v/>
      </c>
      <c r="H68" s="6">
        <f>Summary!H68</f>
        <v/>
      </c>
      <c r="I68" s="6">
        <f>Summary!I68</f>
        <v/>
      </c>
      <c r="J68" s="6">
        <f>Summary!J68</f>
        <v/>
      </c>
      <c r="K68" s="6">
        <f>Summary!K68</f>
        <v/>
      </c>
      <c r="L68" s="6">
        <f>Summary!L68</f>
        <v/>
      </c>
      <c r="M68" s="6">
        <f>Summary!M68</f>
        <v/>
      </c>
      <c r="N68" s="6">
        <f>Summary!N68</f>
        <v/>
      </c>
      <c r="O68" s="6">
        <f>Summary!O68</f>
        <v/>
      </c>
      <c r="P68" s="6">
        <f>Summary!P68</f>
        <v/>
      </c>
      <c r="Q68" s="6">
        <f>Summary!Q68</f>
        <v/>
      </c>
      <c r="R68" s="6">
        <f>Summary!R68</f>
        <v/>
      </c>
      <c r="S68" s="6">
        <f>Summary!S68</f>
        <v/>
      </c>
      <c r="T68" s="6">
        <f>Summary!T68</f>
        <v/>
      </c>
      <c r="U68" s="6">
        <f>Summary!U68</f>
        <v/>
      </c>
      <c r="V68" s="6">
        <f>Summary!V68</f>
        <v/>
      </c>
      <c r="W68" s="6">
        <f>Summary!W68</f>
        <v/>
      </c>
      <c r="X68" s="6">
        <f>Summary!X68</f>
        <v/>
      </c>
      <c r="Y68" s="6">
        <f>Summary!Y68</f>
        <v/>
      </c>
      <c r="Z68" s="6">
        <f>Summary!Z68</f>
        <v/>
      </c>
      <c r="AA68" s="6">
        <f>Summary!AA68</f>
        <v/>
      </c>
      <c r="AB68" s="6">
        <f>SUM(D68:AA68)</f>
        <v/>
      </c>
      <c r="AC68" s="3" t="inlineStr"/>
      <c r="AD68" s="7">
        <f>D68*0.0029</f>
        <v/>
      </c>
      <c r="AE68" s="7">
        <f>E68*0.0029</f>
        <v/>
      </c>
      <c r="AF68" s="7">
        <f>F68*0.0029</f>
        <v/>
      </c>
      <c r="AG68" s="7">
        <f>G68*0.0029</f>
        <v/>
      </c>
      <c r="AH68" s="7">
        <f>H68*0.0029</f>
        <v/>
      </c>
      <c r="AI68" s="7">
        <f>I68*0.0029</f>
        <v/>
      </c>
      <c r="AJ68" s="7">
        <f>J68*0.0029</f>
        <v/>
      </c>
      <c r="AK68" s="7">
        <f>K68*0.0029</f>
        <v/>
      </c>
      <c r="AL68" s="7">
        <f>L68*0.0029</f>
        <v/>
      </c>
      <c r="AM68" s="7">
        <f>M68*0.0029</f>
        <v/>
      </c>
      <c r="AN68" s="7">
        <f>N68*0.0029</f>
        <v/>
      </c>
      <c r="AO68" s="7">
        <f>O68*0.0029</f>
        <v/>
      </c>
      <c r="AP68" s="7">
        <f>P68*0.0029</f>
        <v/>
      </c>
      <c r="AQ68" s="7">
        <f>Q68*0.0029</f>
        <v/>
      </c>
      <c r="AR68" s="7">
        <f>R68*0.0029</f>
        <v/>
      </c>
      <c r="AS68" s="7">
        <f>S68*0.0029</f>
        <v/>
      </c>
      <c r="AT68" s="7">
        <f>T68*0.0029</f>
        <v/>
      </c>
      <c r="AU68" s="7">
        <f>U68*0.0029</f>
        <v/>
      </c>
      <c r="AV68" s="7">
        <f>V68*0.0029</f>
        <v/>
      </c>
      <c r="AW68" s="7">
        <f>W68*0.0029</f>
        <v/>
      </c>
      <c r="AX68" s="7">
        <f>X68*0.0029</f>
        <v/>
      </c>
      <c r="AY68" s="7">
        <f>Y68*0.0029</f>
        <v/>
      </c>
      <c r="AZ68" s="7">
        <f>Z68*0.0029</f>
        <v/>
      </c>
      <c r="BA68" s="7">
        <f>AA68*0.0029</f>
        <v/>
      </c>
      <c r="BB68" s="7">
        <f>SUM(AD68:BA68)</f>
        <v/>
      </c>
    </row>
    <row r="69">
      <c r="A69" t="inlineStr">
        <is>
          <t>AMD-M1</t>
        </is>
      </c>
      <c r="B69" t="inlineStr">
        <is>
          <t>Forward Regular OSC</t>
        </is>
      </c>
      <c r="C69" s="5" t="n">
        <v>46091</v>
      </c>
      <c r="D69" s="6">
        <f>Summary!D69</f>
        <v/>
      </c>
      <c r="E69" s="6">
        <f>Summary!E69</f>
        <v/>
      </c>
      <c r="F69" s="6">
        <f>Summary!F69</f>
        <v/>
      </c>
      <c r="G69" s="6">
        <f>Summary!G69</f>
        <v/>
      </c>
      <c r="H69" s="6">
        <f>Summary!H69</f>
        <v/>
      </c>
      <c r="I69" s="6">
        <f>Summary!I69</f>
        <v/>
      </c>
      <c r="J69" s="6">
        <f>Summary!J69</f>
        <v/>
      </c>
      <c r="K69" s="6">
        <f>Summary!K69</f>
        <v/>
      </c>
      <c r="L69" s="6">
        <f>Summary!L69</f>
        <v/>
      </c>
      <c r="M69" s="6">
        <f>Summary!M69</f>
        <v/>
      </c>
      <c r="N69" s="6">
        <f>Summary!N69</f>
        <v/>
      </c>
      <c r="O69" s="6">
        <f>Summary!O69</f>
        <v/>
      </c>
      <c r="P69" s="6">
        <f>Summary!P69</f>
        <v/>
      </c>
      <c r="Q69" s="6">
        <f>Summary!Q69</f>
        <v/>
      </c>
      <c r="R69" s="6">
        <f>Summary!R69</f>
        <v/>
      </c>
      <c r="S69" s="6">
        <f>Summary!S69</f>
        <v/>
      </c>
      <c r="T69" s="6">
        <f>Summary!T69</f>
        <v/>
      </c>
      <c r="U69" s="6">
        <f>Summary!U69</f>
        <v/>
      </c>
      <c r="V69" s="6">
        <f>Summary!V69</f>
        <v/>
      </c>
      <c r="W69" s="6">
        <f>Summary!W69</f>
        <v/>
      </c>
      <c r="X69" s="6">
        <f>Summary!X69</f>
        <v/>
      </c>
      <c r="Y69" s="6">
        <f>Summary!Y69</f>
        <v/>
      </c>
      <c r="Z69" s="6">
        <f>Summary!Z69</f>
        <v/>
      </c>
      <c r="AA69" s="6">
        <f>Summary!AA69</f>
        <v/>
      </c>
      <c r="AB69" s="6">
        <f>SUM(D69:AA69)</f>
        <v/>
      </c>
      <c r="AC69" s="3" t="inlineStr"/>
      <c r="AD69" s="7">
        <f>D69*0.0029</f>
        <v/>
      </c>
      <c r="AE69" s="7">
        <f>E69*0.0029</f>
        <v/>
      </c>
      <c r="AF69" s="7">
        <f>F69*0.0029</f>
        <v/>
      </c>
      <c r="AG69" s="7">
        <f>G69*0.0029</f>
        <v/>
      </c>
      <c r="AH69" s="7">
        <f>H69*0.0029</f>
        <v/>
      </c>
      <c r="AI69" s="7">
        <f>I69*0.0029</f>
        <v/>
      </c>
      <c r="AJ69" s="7">
        <f>J69*0.0029</f>
        <v/>
      </c>
      <c r="AK69" s="7">
        <f>K69*0.0029</f>
        <v/>
      </c>
      <c r="AL69" s="7">
        <f>L69*0.0029</f>
        <v/>
      </c>
      <c r="AM69" s="7">
        <f>M69*0.0029</f>
        <v/>
      </c>
      <c r="AN69" s="7">
        <f>N69*0.0029</f>
        <v/>
      </c>
      <c r="AO69" s="7">
        <f>O69*0.0029</f>
        <v/>
      </c>
      <c r="AP69" s="7">
        <f>P69*0.0029</f>
        <v/>
      </c>
      <c r="AQ69" s="7">
        <f>Q69*0.0029</f>
        <v/>
      </c>
      <c r="AR69" s="7">
        <f>R69*0.0029</f>
        <v/>
      </c>
      <c r="AS69" s="7">
        <f>S69*0.0029</f>
        <v/>
      </c>
      <c r="AT69" s="7">
        <f>T69*0.0029</f>
        <v/>
      </c>
      <c r="AU69" s="7">
        <f>U69*0.0029</f>
        <v/>
      </c>
      <c r="AV69" s="7">
        <f>V69*0.0029</f>
        <v/>
      </c>
      <c r="AW69" s="7">
        <f>W69*0.0029</f>
        <v/>
      </c>
      <c r="AX69" s="7">
        <f>X69*0.0029</f>
        <v/>
      </c>
      <c r="AY69" s="7">
        <f>Y69*0.0029</f>
        <v/>
      </c>
      <c r="AZ69" s="7">
        <f>Z69*0.0029</f>
        <v/>
      </c>
      <c r="BA69" s="7">
        <f>AA69*0.0029</f>
        <v/>
      </c>
      <c r="BB69" s="7">
        <f>SUM(AD69:BA69)</f>
        <v/>
      </c>
    </row>
    <row r="70">
      <c r="A70" t="inlineStr">
        <is>
          <t>AMD-M1</t>
        </is>
      </c>
      <c r="B70" t="inlineStr">
        <is>
          <t>Forward Regular OSC</t>
        </is>
      </c>
      <c r="C70" s="5" t="n">
        <v>46092</v>
      </c>
      <c r="D70" s="6">
        <f>Summary!D70</f>
        <v/>
      </c>
      <c r="E70" s="6">
        <f>Summary!E70</f>
        <v/>
      </c>
      <c r="F70" s="6">
        <f>Summary!F70</f>
        <v/>
      </c>
      <c r="G70" s="6">
        <f>Summary!G70</f>
        <v/>
      </c>
      <c r="H70" s="6">
        <f>Summary!H70</f>
        <v/>
      </c>
      <c r="I70" s="6">
        <f>Summary!I70</f>
        <v/>
      </c>
      <c r="J70" s="6">
        <f>Summary!J70</f>
        <v/>
      </c>
      <c r="K70" s="6">
        <f>Summary!K70</f>
        <v/>
      </c>
      <c r="L70" s="6">
        <f>Summary!L70</f>
        <v/>
      </c>
      <c r="M70" s="6">
        <f>Summary!M70</f>
        <v/>
      </c>
      <c r="N70" s="6">
        <f>Summary!N70</f>
        <v/>
      </c>
      <c r="O70" s="6">
        <f>Summary!O70</f>
        <v/>
      </c>
      <c r="P70" s="6">
        <f>Summary!P70</f>
        <v/>
      </c>
      <c r="Q70" s="6">
        <f>Summary!Q70</f>
        <v/>
      </c>
      <c r="R70" s="6">
        <f>Summary!R70</f>
        <v/>
      </c>
      <c r="S70" s="6">
        <f>Summary!S70</f>
        <v/>
      </c>
      <c r="T70" s="6">
        <f>Summary!T70</f>
        <v/>
      </c>
      <c r="U70" s="6">
        <f>Summary!U70</f>
        <v/>
      </c>
      <c r="V70" s="6">
        <f>Summary!V70</f>
        <v/>
      </c>
      <c r="W70" s="6">
        <f>Summary!W70</f>
        <v/>
      </c>
      <c r="X70" s="6">
        <f>Summary!X70</f>
        <v/>
      </c>
      <c r="Y70" s="6">
        <f>Summary!Y70</f>
        <v/>
      </c>
      <c r="Z70" s="6">
        <f>Summary!Z70</f>
        <v/>
      </c>
      <c r="AA70" s="6">
        <f>Summary!AA70</f>
        <v/>
      </c>
      <c r="AB70" s="6">
        <f>SUM(D70:AA70)</f>
        <v/>
      </c>
      <c r="AC70" s="3" t="inlineStr"/>
      <c r="AD70" s="7">
        <f>D70*0.0029</f>
        <v/>
      </c>
      <c r="AE70" s="7">
        <f>E70*0.0029</f>
        <v/>
      </c>
      <c r="AF70" s="7">
        <f>F70*0.0029</f>
        <v/>
      </c>
      <c r="AG70" s="7">
        <f>G70*0.0029</f>
        <v/>
      </c>
      <c r="AH70" s="7">
        <f>H70*0.0029</f>
        <v/>
      </c>
      <c r="AI70" s="7">
        <f>I70*0.0029</f>
        <v/>
      </c>
      <c r="AJ70" s="7">
        <f>J70*0.0029</f>
        <v/>
      </c>
      <c r="AK70" s="7">
        <f>K70*0.0029</f>
        <v/>
      </c>
      <c r="AL70" s="7">
        <f>L70*0.0029</f>
        <v/>
      </c>
      <c r="AM70" s="7">
        <f>M70*0.0029</f>
        <v/>
      </c>
      <c r="AN70" s="7">
        <f>N70*0.0029</f>
        <v/>
      </c>
      <c r="AO70" s="7">
        <f>O70*0.0029</f>
        <v/>
      </c>
      <c r="AP70" s="7">
        <f>P70*0.0029</f>
        <v/>
      </c>
      <c r="AQ70" s="7">
        <f>Q70*0.0029</f>
        <v/>
      </c>
      <c r="AR70" s="7">
        <f>R70*0.0029</f>
        <v/>
      </c>
      <c r="AS70" s="7">
        <f>S70*0.0029</f>
        <v/>
      </c>
      <c r="AT70" s="7">
        <f>T70*0.0029</f>
        <v/>
      </c>
      <c r="AU70" s="7">
        <f>U70*0.0029</f>
        <v/>
      </c>
      <c r="AV70" s="7">
        <f>V70*0.0029</f>
        <v/>
      </c>
      <c r="AW70" s="7">
        <f>W70*0.0029</f>
        <v/>
      </c>
      <c r="AX70" s="7">
        <f>X70*0.0029</f>
        <v/>
      </c>
      <c r="AY70" s="7">
        <f>Y70*0.0029</f>
        <v/>
      </c>
      <c r="AZ70" s="7">
        <f>Z70*0.0029</f>
        <v/>
      </c>
      <c r="BA70" s="7">
        <f>AA70*0.0029</f>
        <v/>
      </c>
      <c r="BB70" s="7">
        <f>SUM(AD70:BA70)</f>
        <v/>
      </c>
    </row>
    <row r="71">
      <c r="A71" t="inlineStr">
        <is>
          <t>AMD-M1</t>
        </is>
      </c>
      <c r="B71" t="inlineStr">
        <is>
          <t>Forward Regular OSC</t>
        </is>
      </c>
      <c r="C71" s="5" t="n">
        <v>46093</v>
      </c>
      <c r="D71" s="6">
        <f>Summary!D71</f>
        <v/>
      </c>
      <c r="E71" s="6">
        <f>Summary!E71</f>
        <v/>
      </c>
      <c r="F71" s="6">
        <f>Summary!F71</f>
        <v/>
      </c>
      <c r="G71" s="6">
        <f>Summary!G71</f>
        <v/>
      </c>
      <c r="H71" s="6">
        <f>Summary!H71</f>
        <v/>
      </c>
      <c r="I71" s="6">
        <f>Summary!I71</f>
        <v/>
      </c>
      <c r="J71" s="6">
        <f>Summary!J71</f>
        <v/>
      </c>
      <c r="K71" s="6">
        <f>Summary!K71</f>
        <v/>
      </c>
      <c r="L71" s="6">
        <f>Summary!L71</f>
        <v/>
      </c>
      <c r="M71" s="6">
        <f>Summary!M71</f>
        <v/>
      </c>
      <c r="N71" s="6">
        <f>Summary!N71</f>
        <v/>
      </c>
      <c r="O71" s="6">
        <f>Summary!O71</f>
        <v/>
      </c>
      <c r="P71" s="6">
        <f>Summary!P71</f>
        <v/>
      </c>
      <c r="Q71" s="6">
        <f>Summary!Q71</f>
        <v/>
      </c>
      <c r="R71" s="6">
        <f>Summary!R71</f>
        <v/>
      </c>
      <c r="S71" s="6">
        <f>Summary!S71</f>
        <v/>
      </c>
      <c r="T71" s="6">
        <f>Summary!T71</f>
        <v/>
      </c>
      <c r="U71" s="6">
        <f>Summary!U71</f>
        <v/>
      </c>
      <c r="V71" s="6">
        <f>Summary!V71</f>
        <v/>
      </c>
      <c r="W71" s="6">
        <f>Summary!W71</f>
        <v/>
      </c>
      <c r="X71" s="6">
        <f>Summary!X71</f>
        <v/>
      </c>
      <c r="Y71" s="6">
        <f>Summary!Y71</f>
        <v/>
      </c>
      <c r="Z71" s="6">
        <f>Summary!Z71</f>
        <v/>
      </c>
      <c r="AA71" s="6">
        <f>Summary!AA71</f>
        <v/>
      </c>
      <c r="AB71" s="6">
        <f>SUM(D71:AA71)</f>
        <v/>
      </c>
      <c r="AC71" s="3" t="inlineStr"/>
      <c r="AD71" s="7">
        <f>D71*0.0029</f>
        <v/>
      </c>
      <c r="AE71" s="7">
        <f>E71*0.0029</f>
        <v/>
      </c>
      <c r="AF71" s="7">
        <f>F71*0.0029</f>
        <v/>
      </c>
      <c r="AG71" s="7">
        <f>G71*0.0029</f>
        <v/>
      </c>
      <c r="AH71" s="7">
        <f>H71*0.0029</f>
        <v/>
      </c>
      <c r="AI71" s="7">
        <f>I71*0.0029</f>
        <v/>
      </c>
      <c r="AJ71" s="7">
        <f>J71*0.0029</f>
        <v/>
      </c>
      <c r="AK71" s="7">
        <f>K71*0.0029</f>
        <v/>
      </c>
      <c r="AL71" s="7">
        <f>L71*0.0029</f>
        <v/>
      </c>
      <c r="AM71" s="7">
        <f>M71*0.0029</f>
        <v/>
      </c>
      <c r="AN71" s="7">
        <f>N71*0.0029</f>
        <v/>
      </c>
      <c r="AO71" s="7">
        <f>O71*0.0029</f>
        <v/>
      </c>
      <c r="AP71" s="7">
        <f>P71*0.0029</f>
        <v/>
      </c>
      <c r="AQ71" s="7">
        <f>Q71*0.0029</f>
        <v/>
      </c>
      <c r="AR71" s="7">
        <f>R71*0.0029</f>
        <v/>
      </c>
      <c r="AS71" s="7">
        <f>S71*0.0029</f>
        <v/>
      </c>
      <c r="AT71" s="7">
        <f>T71*0.0029</f>
        <v/>
      </c>
      <c r="AU71" s="7">
        <f>U71*0.0029</f>
        <v/>
      </c>
      <c r="AV71" s="7">
        <f>V71*0.0029</f>
        <v/>
      </c>
      <c r="AW71" s="7">
        <f>W71*0.0029</f>
        <v/>
      </c>
      <c r="AX71" s="7">
        <f>X71*0.0029</f>
        <v/>
      </c>
      <c r="AY71" s="7">
        <f>Y71*0.0029</f>
        <v/>
      </c>
      <c r="AZ71" s="7">
        <f>Z71*0.0029</f>
        <v/>
      </c>
      <c r="BA71" s="7">
        <f>AA71*0.0029</f>
        <v/>
      </c>
      <c r="BB71" s="7">
        <f>SUM(AD71:BA71)</f>
        <v/>
      </c>
    </row>
    <row r="72">
      <c r="A72" t="inlineStr">
        <is>
          <t>AMD-M1</t>
        </is>
      </c>
      <c r="B72" t="inlineStr">
        <is>
          <t>Forward Regular OSC</t>
        </is>
      </c>
      <c r="C72" s="5" t="n">
        <v>46094</v>
      </c>
      <c r="D72" s="6">
        <f>Summary!D72</f>
        <v/>
      </c>
      <c r="E72" s="6">
        <f>Summary!E72</f>
        <v/>
      </c>
      <c r="F72" s="6">
        <f>Summary!F72</f>
        <v/>
      </c>
      <c r="G72" s="6">
        <f>Summary!G72</f>
        <v/>
      </c>
      <c r="H72" s="6">
        <f>Summary!H72</f>
        <v/>
      </c>
      <c r="I72" s="6">
        <f>Summary!I72</f>
        <v/>
      </c>
      <c r="J72" s="6">
        <f>Summary!J72</f>
        <v/>
      </c>
      <c r="K72" s="6">
        <f>Summary!K72</f>
        <v/>
      </c>
      <c r="L72" s="6">
        <f>Summary!L72</f>
        <v/>
      </c>
      <c r="M72" s="6">
        <f>Summary!M72</f>
        <v/>
      </c>
      <c r="N72" s="6">
        <f>Summary!N72</f>
        <v/>
      </c>
      <c r="O72" s="6">
        <f>Summary!O72</f>
        <v/>
      </c>
      <c r="P72" s="6">
        <f>Summary!P72</f>
        <v/>
      </c>
      <c r="Q72" s="6">
        <f>Summary!Q72</f>
        <v/>
      </c>
      <c r="R72" s="6">
        <f>Summary!R72</f>
        <v/>
      </c>
      <c r="S72" s="6">
        <f>Summary!S72</f>
        <v/>
      </c>
      <c r="T72" s="6">
        <f>Summary!T72</f>
        <v/>
      </c>
      <c r="U72" s="6">
        <f>Summary!U72</f>
        <v/>
      </c>
      <c r="V72" s="6">
        <f>Summary!V72</f>
        <v/>
      </c>
      <c r="W72" s="6">
        <f>Summary!W72</f>
        <v/>
      </c>
      <c r="X72" s="6">
        <f>Summary!X72</f>
        <v/>
      </c>
      <c r="Y72" s="6">
        <f>Summary!Y72</f>
        <v/>
      </c>
      <c r="Z72" s="6">
        <f>Summary!Z72</f>
        <v/>
      </c>
      <c r="AA72" s="6">
        <f>Summary!AA72</f>
        <v/>
      </c>
      <c r="AB72" s="6">
        <f>SUM(D72:AA72)</f>
        <v/>
      </c>
      <c r="AC72" s="3" t="inlineStr"/>
      <c r="AD72" s="7">
        <f>D72*0.0029</f>
        <v/>
      </c>
      <c r="AE72" s="7">
        <f>E72*0.0029</f>
        <v/>
      </c>
      <c r="AF72" s="7">
        <f>F72*0.0029</f>
        <v/>
      </c>
      <c r="AG72" s="7">
        <f>G72*0.0029</f>
        <v/>
      </c>
      <c r="AH72" s="7">
        <f>H72*0.0029</f>
        <v/>
      </c>
      <c r="AI72" s="7">
        <f>I72*0.0029</f>
        <v/>
      </c>
      <c r="AJ72" s="7">
        <f>J72*0.0029</f>
        <v/>
      </c>
      <c r="AK72" s="7">
        <f>K72*0.0029</f>
        <v/>
      </c>
      <c r="AL72" s="7">
        <f>L72*0.0029</f>
        <v/>
      </c>
      <c r="AM72" s="7">
        <f>M72*0.0029</f>
        <v/>
      </c>
      <c r="AN72" s="7">
        <f>N72*0.0029</f>
        <v/>
      </c>
      <c r="AO72" s="7">
        <f>O72*0.0029</f>
        <v/>
      </c>
      <c r="AP72" s="7">
        <f>P72*0.0029</f>
        <v/>
      </c>
      <c r="AQ72" s="7">
        <f>Q72*0.0029</f>
        <v/>
      </c>
      <c r="AR72" s="7">
        <f>R72*0.0029</f>
        <v/>
      </c>
      <c r="AS72" s="7">
        <f>S72*0.0029</f>
        <v/>
      </c>
      <c r="AT72" s="7">
        <f>T72*0.0029</f>
        <v/>
      </c>
      <c r="AU72" s="7">
        <f>U72*0.0029</f>
        <v/>
      </c>
      <c r="AV72" s="7">
        <f>V72*0.0029</f>
        <v/>
      </c>
      <c r="AW72" s="7">
        <f>W72*0.0029</f>
        <v/>
      </c>
      <c r="AX72" s="7">
        <f>X72*0.0029</f>
        <v/>
      </c>
      <c r="AY72" s="7">
        <f>Y72*0.0029</f>
        <v/>
      </c>
      <c r="AZ72" s="7">
        <f>Z72*0.0029</f>
        <v/>
      </c>
      <c r="BA72" s="7">
        <f>AA72*0.0029</f>
        <v/>
      </c>
      <c r="BB72" s="7">
        <f>SUM(AD72:BA72)</f>
        <v/>
      </c>
    </row>
    <row r="73">
      <c r="A73" t="inlineStr">
        <is>
          <t>AMD-M1</t>
        </is>
      </c>
      <c r="B73" t="inlineStr">
        <is>
          <t>Forward Regular OSC</t>
        </is>
      </c>
      <c r="C73" s="5" t="n">
        <v>46095</v>
      </c>
      <c r="D73" s="6">
        <f>Summary!D73</f>
        <v/>
      </c>
      <c r="E73" s="6">
        <f>Summary!E73</f>
        <v/>
      </c>
      <c r="F73" s="6">
        <f>Summary!F73</f>
        <v/>
      </c>
      <c r="G73" s="6">
        <f>Summary!G73</f>
        <v/>
      </c>
      <c r="H73" s="6">
        <f>Summary!H73</f>
        <v/>
      </c>
      <c r="I73" s="6">
        <f>Summary!I73</f>
        <v/>
      </c>
      <c r="J73" s="6">
        <f>Summary!J73</f>
        <v/>
      </c>
      <c r="K73" s="6">
        <f>Summary!K73</f>
        <v/>
      </c>
      <c r="L73" s="6">
        <f>Summary!L73</f>
        <v/>
      </c>
      <c r="M73" s="6">
        <f>Summary!M73</f>
        <v/>
      </c>
      <c r="N73" s="6">
        <f>Summary!N73</f>
        <v/>
      </c>
      <c r="O73" s="6">
        <f>Summary!O73</f>
        <v/>
      </c>
      <c r="P73" s="6">
        <f>Summary!P73</f>
        <v/>
      </c>
      <c r="Q73" s="6">
        <f>Summary!Q73</f>
        <v/>
      </c>
      <c r="R73" s="6">
        <f>Summary!R73</f>
        <v/>
      </c>
      <c r="S73" s="6">
        <f>Summary!S73</f>
        <v/>
      </c>
      <c r="T73" s="6">
        <f>Summary!T73</f>
        <v/>
      </c>
      <c r="U73" s="6">
        <f>Summary!U73</f>
        <v/>
      </c>
      <c r="V73" s="6">
        <f>Summary!V73</f>
        <v/>
      </c>
      <c r="W73" s="6">
        <f>Summary!W73</f>
        <v/>
      </c>
      <c r="X73" s="6">
        <f>Summary!X73</f>
        <v/>
      </c>
      <c r="Y73" s="6">
        <f>Summary!Y73</f>
        <v/>
      </c>
      <c r="Z73" s="6">
        <f>Summary!Z73</f>
        <v/>
      </c>
      <c r="AA73" s="6">
        <f>Summary!AA73</f>
        <v/>
      </c>
      <c r="AB73" s="6">
        <f>SUM(D73:AA73)</f>
        <v/>
      </c>
      <c r="AC73" s="3" t="inlineStr"/>
      <c r="AD73" s="7">
        <f>D73*0.0029</f>
        <v/>
      </c>
      <c r="AE73" s="7">
        <f>E73*0.0029</f>
        <v/>
      </c>
      <c r="AF73" s="7">
        <f>F73*0.0029</f>
        <v/>
      </c>
      <c r="AG73" s="7">
        <f>G73*0.0029</f>
        <v/>
      </c>
      <c r="AH73" s="7">
        <f>H73*0.0029</f>
        <v/>
      </c>
      <c r="AI73" s="7">
        <f>I73*0.0029</f>
        <v/>
      </c>
      <c r="AJ73" s="7">
        <f>J73*0.0029</f>
        <v/>
      </c>
      <c r="AK73" s="7">
        <f>K73*0.0029</f>
        <v/>
      </c>
      <c r="AL73" s="7">
        <f>L73*0.0029</f>
        <v/>
      </c>
      <c r="AM73" s="7">
        <f>M73*0.0029</f>
        <v/>
      </c>
      <c r="AN73" s="7">
        <f>N73*0.0029</f>
        <v/>
      </c>
      <c r="AO73" s="7">
        <f>O73*0.0029</f>
        <v/>
      </c>
      <c r="AP73" s="7">
        <f>P73*0.0029</f>
        <v/>
      </c>
      <c r="AQ73" s="7">
        <f>Q73*0.0029</f>
        <v/>
      </c>
      <c r="AR73" s="7">
        <f>R73*0.0029</f>
        <v/>
      </c>
      <c r="AS73" s="7">
        <f>S73*0.0029</f>
        <v/>
      </c>
      <c r="AT73" s="7">
        <f>T73*0.0029</f>
        <v/>
      </c>
      <c r="AU73" s="7">
        <f>U73*0.0029</f>
        <v/>
      </c>
      <c r="AV73" s="7">
        <f>V73*0.0029</f>
        <v/>
      </c>
      <c r="AW73" s="7">
        <f>W73*0.0029</f>
        <v/>
      </c>
      <c r="AX73" s="7">
        <f>X73*0.0029</f>
        <v/>
      </c>
      <c r="AY73" s="7">
        <f>Y73*0.0029</f>
        <v/>
      </c>
      <c r="AZ73" s="7">
        <f>Z73*0.0029</f>
        <v/>
      </c>
      <c r="BA73" s="7">
        <f>AA73*0.0029</f>
        <v/>
      </c>
      <c r="BB73" s="7">
        <f>SUM(AD73:BA73)</f>
        <v/>
      </c>
    </row>
    <row r="74">
      <c r="A74" t="inlineStr">
        <is>
          <t>AMD-M1</t>
        </is>
      </c>
      <c r="B74" t="inlineStr">
        <is>
          <t>Forward Regular OSC</t>
        </is>
      </c>
      <c r="C74" s="5" t="n">
        <v>46096</v>
      </c>
      <c r="D74" s="6">
        <f>Summary!D74</f>
        <v/>
      </c>
      <c r="E74" s="6">
        <f>Summary!E74</f>
        <v/>
      </c>
      <c r="F74" s="6">
        <f>Summary!F74</f>
        <v/>
      </c>
      <c r="G74" s="6">
        <f>Summary!G74</f>
        <v/>
      </c>
      <c r="H74" s="6">
        <f>Summary!H74</f>
        <v/>
      </c>
      <c r="I74" s="6">
        <f>Summary!I74</f>
        <v/>
      </c>
      <c r="J74" s="6">
        <f>Summary!J74</f>
        <v/>
      </c>
      <c r="K74" s="6">
        <f>Summary!K74</f>
        <v/>
      </c>
      <c r="L74" s="6">
        <f>Summary!L74</f>
        <v/>
      </c>
      <c r="M74" s="6">
        <f>Summary!M74</f>
        <v/>
      </c>
      <c r="N74" s="6">
        <f>Summary!N74</f>
        <v/>
      </c>
      <c r="O74" s="6">
        <f>Summary!O74</f>
        <v/>
      </c>
      <c r="P74" s="6">
        <f>Summary!P74</f>
        <v/>
      </c>
      <c r="Q74" s="6">
        <f>Summary!Q74</f>
        <v/>
      </c>
      <c r="R74" s="6">
        <f>Summary!R74</f>
        <v/>
      </c>
      <c r="S74" s="6">
        <f>Summary!S74</f>
        <v/>
      </c>
      <c r="T74" s="6">
        <f>Summary!T74</f>
        <v/>
      </c>
      <c r="U74" s="6">
        <f>Summary!U74</f>
        <v/>
      </c>
      <c r="V74" s="6">
        <f>Summary!V74</f>
        <v/>
      </c>
      <c r="W74" s="6">
        <f>Summary!W74</f>
        <v/>
      </c>
      <c r="X74" s="6">
        <f>Summary!X74</f>
        <v/>
      </c>
      <c r="Y74" s="6">
        <f>Summary!Y74</f>
        <v/>
      </c>
      <c r="Z74" s="6">
        <f>Summary!Z74</f>
        <v/>
      </c>
      <c r="AA74" s="6">
        <f>Summary!AA74</f>
        <v/>
      </c>
      <c r="AB74" s="6">
        <f>SUM(D74:AA74)</f>
        <v/>
      </c>
      <c r="AC74" s="3" t="inlineStr"/>
      <c r="AD74" s="7">
        <f>D74*0.0029</f>
        <v/>
      </c>
      <c r="AE74" s="7">
        <f>E74*0.0029</f>
        <v/>
      </c>
      <c r="AF74" s="7">
        <f>F74*0.0029</f>
        <v/>
      </c>
      <c r="AG74" s="7">
        <f>G74*0.0029</f>
        <v/>
      </c>
      <c r="AH74" s="7">
        <f>H74*0.0029</f>
        <v/>
      </c>
      <c r="AI74" s="7">
        <f>I74*0.0029</f>
        <v/>
      </c>
      <c r="AJ74" s="7">
        <f>J74*0.0029</f>
        <v/>
      </c>
      <c r="AK74" s="7">
        <f>K74*0.0029</f>
        <v/>
      </c>
      <c r="AL74" s="7">
        <f>L74*0.0029</f>
        <v/>
      </c>
      <c r="AM74" s="7">
        <f>M74*0.0029</f>
        <v/>
      </c>
      <c r="AN74" s="7">
        <f>N74*0.0029</f>
        <v/>
      </c>
      <c r="AO74" s="7">
        <f>O74*0.0029</f>
        <v/>
      </c>
      <c r="AP74" s="7">
        <f>P74*0.0029</f>
        <v/>
      </c>
      <c r="AQ74" s="7">
        <f>Q74*0.0029</f>
        <v/>
      </c>
      <c r="AR74" s="7">
        <f>R74*0.0029</f>
        <v/>
      </c>
      <c r="AS74" s="7">
        <f>S74*0.0029</f>
        <v/>
      </c>
      <c r="AT74" s="7">
        <f>T74*0.0029</f>
        <v/>
      </c>
      <c r="AU74" s="7">
        <f>U74*0.0029</f>
        <v/>
      </c>
      <c r="AV74" s="7">
        <f>V74*0.0029</f>
        <v/>
      </c>
      <c r="AW74" s="7">
        <f>W74*0.0029</f>
        <v/>
      </c>
      <c r="AX74" s="7">
        <f>X74*0.0029</f>
        <v/>
      </c>
      <c r="AY74" s="7">
        <f>Y74*0.0029</f>
        <v/>
      </c>
      <c r="AZ74" s="7">
        <f>Z74*0.0029</f>
        <v/>
      </c>
      <c r="BA74" s="7">
        <f>AA74*0.0029</f>
        <v/>
      </c>
      <c r="BB74" s="7">
        <f>SUM(AD74:BA74)</f>
        <v/>
      </c>
    </row>
    <row r="75">
      <c r="A75" t="inlineStr">
        <is>
          <t>AMD-M1</t>
        </is>
      </c>
      <c r="B75" t="inlineStr">
        <is>
          <t>Forward Regular OSC</t>
        </is>
      </c>
      <c r="C75" s="5" t="n">
        <v>46097</v>
      </c>
      <c r="D75" s="6">
        <f>Summary!D75</f>
        <v/>
      </c>
      <c r="E75" s="6">
        <f>Summary!E75</f>
        <v/>
      </c>
      <c r="F75" s="6">
        <f>Summary!F75</f>
        <v/>
      </c>
      <c r="G75" s="6">
        <f>Summary!G75</f>
        <v/>
      </c>
      <c r="H75" s="6">
        <f>Summary!H75</f>
        <v/>
      </c>
      <c r="I75" s="6">
        <f>Summary!I75</f>
        <v/>
      </c>
      <c r="J75" s="6">
        <f>Summary!J75</f>
        <v/>
      </c>
      <c r="K75" s="6">
        <f>Summary!K75</f>
        <v/>
      </c>
      <c r="L75" s="6">
        <f>Summary!L75</f>
        <v/>
      </c>
      <c r="M75" s="6">
        <f>Summary!M75</f>
        <v/>
      </c>
      <c r="N75" s="6">
        <f>Summary!N75</f>
        <v/>
      </c>
      <c r="O75" s="6">
        <f>Summary!O75</f>
        <v/>
      </c>
      <c r="P75" s="6">
        <f>Summary!P75</f>
        <v/>
      </c>
      <c r="Q75" s="6">
        <f>Summary!Q75</f>
        <v/>
      </c>
      <c r="R75" s="6">
        <f>Summary!R75</f>
        <v/>
      </c>
      <c r="S75" s="6">
        <f>Summary!S75</f>
        <v/>
      </c>
      <c r="T75" s="6">
        <f>Summary!T75</f>
        <v/>
      </c>
      <c r="U75" s="6">
        <f>Summary!U75</f>
        <v/>
      </c>
      <c r="V75" s="6">
        <f>Summary!V75</f>
        <v/>
      </c>
      <c r="W75" s="6">
        <f>Summary!W75</f>
        <v/>
      </c>
      <c r="X75" s="6">
        <f>Summary!X75</f>
        <v/>
      </c>
      <c r="Y75" s="6">
        <f>Summary!Y75</f>
        <v/>
      </c>
      <c r="Z75" s="6">
        <f>Summary!Z75</f>
        <v/>
      </c>
      <c r="AA75" s="6">
        <f>Summary!AA75</f>
        <v/>
      </c>
      <c r="AB75" s="6">
        <f>SUM(D75:AA75)</f>
        <v/>
      </c>
      <c r="AC75" s="3" t="inlineStr"/>
      <c r="AD75" s="7">
        <f>D75*0.0029</f>
        <v/>
      </c>
      <c r="AE75" s="7">
        <f>E75*0.0029</f>
        <v/>
      </c>
      <c r="AF75" s="7">
        <f>F75*0.0029</f>
        <v/>
      </c>
      <c r="AG75" s="7">
        <f>G75*0.0029</f>
        <v/>
      </c>
      <c r="AH75" s="7">
        <f>H75*0.0029</f>
        <v/>
      </c>
      <c r="AI75" s="7">
        <f>I75*0.0029</f>
        <v/>
      </c>
      <c r="AJ75" s="7">
        <f>J75*0.0029</f>
        <v/>
      </c>
      <c r="AK75" s="7">
        <f>K75*0.0029</f>
        <v/>
      </c>
      <c r="AL75" s="7">
        <f>L75*0.0029</f>
        <v/>
      </c>
      <c r="AM75" s="7">
        <f>M75*0.0029</f>
        <v/>
      </c>
      <c r="AN75" s="7">
        <f>N75*0.0029</f>
        <v/>
      </c>
      <c r="AO75" s="7">
        <f>O75*0.0029</f>
        <v/>
      </c>
      <c r="AP75" s="7">
        <f>P75*0.0029</f>
        <v/>
      </c>
      <c r="AQ75" s="7">
        <f>Q75*0.0029</f>
        <v/>
      </c>
      <c r="AR75" s="7">
        <f>R75*0.0029</f>
        <v/>
      </c>
      <c r="AS75" s="7">
        <f>S75*0.0029</f>
        <v/>
      </c>
      <c r="AT75" s="7">
        <f>T75*0.0029</f>
        <v/>
      </c>
      <c r="AU75" s="7">
        <f>U75*0.0029</f>
        <v/>
      </c>
      <c r="AV75" s="7">
        <f>V75*0.0029</f>
        <v/>
      </c>
      <c r="AW75" s="7">
        <f>W75*0.0029</f>
        <v/>
      </c>
      <c r="AX75" s="7">
        <f>X75*0.0029</f>
        <v/>
      </c>
      <c r="AY75" s="7">
        <f>Y75*0.0029</f>
        <v/>
      </c>
      <c r="AZ75" s="7">
        <f>Z75*0.0029</f>
        <v/>
      </c>
      <c r="BA75" s="7">
        <f>AA75*0.0029</f>
        <v/>
      </c>
      <c r="BB75" s="7">
        <f>SUM(AD75:BA75)</f>
        <v/>
      </c>
    </row>
    <row r="76">
      <c r="A76" t="inlineStr">
        <is>
          <t>AMD-M2</t>
        </is>
      </c>
      <c r="B76" t="inlineStr">
        <is>
          <t>Forward Regular OSC</t>
        </is>
      </c>
      <c r="C76" s="5" t="n">
        <v>46089</v>
      </c>
      <c r="D76" s="6">
        <f>Summary!D76</f>
        <v/>
      </c>
      <c r="E76" s="6">
        <f>Summary!E76</f>
        <v/>
      </c>
      <c r="F76" s="6">
        <f>Summary!F76</f>
        <v/>
      </c>
      <c r="G76" s="6">
        <f>Summary!G76</f>
        <v/>
      </c>
      <c r="H76" s="6">
        <f>Summary!H76</f>
        <v/>
      </c>
      <c r="I76" s="6">
        <f>Summary!I76</f>
        <v/>
      </c>
      <c r="J76" s="6">
        <f>Summary!J76</f>
        <v/>
      </c>
      <c r="K76" s="6">
        <f>Summary!K76</f>
        <v/>
      </c>
      <c r="L76" s="6">
        <f>Summary!L76</f>
        <v/>
      </c>
      <c r="M76" s="6">
        <f>Summary!M76</f>
        <v/>
      </c>
      <c r="N76" s="6">
        <f>Summary!N76</f>
        <v/>
      </c>
      <c r="O76" s="6">
        <f>Summary!O76</f>
        <v/>
      </c>
      <c r="P76" s="6">
        <f>Summary!P76</f>
        <v/>
      </c>
      <c r="Q76" s="6">
        <f>Summary!Q76</f>
        <v/>
      </c>
      <c r="R76" s="6">
        <f>Summary!R76</f>
        <v/>
      </c>
      <c r="S76" s="6">
        <f>Summary!S76</f>
        <v/>
      </c>
      <c r="T76" s="6">
        <f>Summary!T76</f>
        <v/>
      </c>
      <c r="U76" s="6">
        <f>Summary!U76</f>
        <v/>
      </c>
      <c r="V76" s="6">
        <f>Summary!V76</f>
        <v/>
      </c>
      <c r="W76" s="6">
        <f>Summary!W76</f>
        <v/>
      </c>
      <c r="X76" s="6">
        <f>Summary!X76</f>
        <v/>
      </c>
      <c r="Y76" s="6">
        <f>Summary!Y76</f>
        <v/>
      </c>
      <c r="Z76" s="6">
        <f>Summary!Z76</f>
        <v/>
      </c>
      <c r="AA76" s="6">
        <f>Summary!AA76</f>
        <v/>
      </c>
      <c r="AB76" s="6">
        <f>SUM(D76:AA76)</f>
        <v/>
      </c>
      <c r="AC76" s="3" t="inlineStr"/>
      <c r="AD76" s="7">
        <f>D76*0.0029</f>
        <v/>
      </c>
      <c r="AE76" s="7">
        <f>E76*0.0029</f>
        <v/>
      </c>
      <c r="AF76" s="7">
        <f>F76*0.0029</f>
        <v/>
      </c>
      <c r="AG76" s="7">
        <f>G76*0.0029</f>
        <v/>
      </c>
      <c r="AH76" s="7">
        <f>H76*0.0029</f>
        <v/>
      </c>
      <c r="AI76" s="7">
        <f>I76*0.0029</f>
        <v/>
      </c>
      <c r="AJ76" s="7">
        <f>J76*0.0029</f>
        <v/>
      </c>
      <c r="AK76" s="7">
        <f>K76*0.0029</f>
        <v/>
      </c>
      <c r="AL76" s="7">
        <f>L76*0.0029</f>
        <v/>
      </c>
      <c r="AM76" s="7">
        <f>M76*0.0029</f>
        <v/>
      </c>
      <c r="AN76" s="7">
        <f>N76*0.0029</f>
        <v/>
      </c>
      <c r="AO76" s="7">
        <f>O76*0.0029</f>
        <v/>
      </c>
      <c r="AP76" s="7">
        <f>P76*0.0029</f>
        <v/>
      </c>
      <c r="AQ76" s="7">
        <f>Q76*0.0029</f>
        <v/>
      </c>
      <c r="AR76" s="7">
        <f>R76*0.0029</f>
        <v/>
      </c>
      <c r="AS76" s="7">
        <f>S76*0.0029</f>
        <v/>
      </c>
      <c r="AT76" s="7">
        <f>T76*0.0029</f>
        <v/>
      </c>
      <c r="AU76" s="7">
        <f>U76*0.0029</f>
        <v/>
      </c>
      <c r="AV76" s="7">
        <f>V76*0.0029</f>
        <v/>
      </c>
      <c r="AW76" s="7">
        <f>W76*0.0029</f>
        <v/>
      </c>
      <c r="AX76" s="7">
        <f>X76*0.0029</f>
        <v/>
      </c>
      <c r="AY76" s="7">
        <f>Y76*0.0029</f>
        <v/>
      </c>
      <c r="AZ76" s="7">
        <f>Z76*0.0029</f>
        <v/>
      </c>
      <c r="BA76" s="7">
        <f>AA76*0.0029</f>
        <v/>
      </c>
      <c r="BB76" s="7">
        <f>SUM(AD76:BA76)</f>
        <v/>
      </c>
    </row>
    <row r="77">
      <c r="A77" t="inlineStr">
        <is>
          <t>AMD-M2</t>
        </is>
      </c>
      <c r="B77" t="inlineStr">
        <is>
          <t>Forward Regular OSC</t>
        </is>
      </c>
      <c r="C77" s="5" t="n">
        <v>46090</v>
      </c>
      <c r="D77" s="6">
        <f>Summary!D77</f>
        <v/>
      </c>
      <c r="E77" s="6">
        <f>Summary!E77</f>
        <v/>
      </c>
      <c r="F77" s="6">
        <f>Summary!F77</f>
        <v/>
      </c>
      <c r="G77" s="6">
        <f>Summary!G77</f>
        <v/>
      </c>
      <c r="H77" s="6">
        <f>Summary!H77</f>
        <v/>
      </c>
      <c r="I77" s="6">
        <f>Summary!I77</f>
        <v/>
      </c>
      <c r="J77" s="6">
        <f>Summary!J77</f>
        <v/>
      </c>
      <c r="K77" s="6">
        <f>Summary!K77</f>
        <v/>
      </c>
      <c r="L77" s="6">
        <f>Summary!L77</f>
        <v/>
      </c>
      <c r="M77" s="6">
        <f>Summary!M77</f>
        <v/>
      </c>
      <c r="N77" s="6">
        <f>Summary!N77</f>
        <v/>
      </c>
      <c r="O77" s="6">
        <f>Summary!O77</f>
        <v/>
      </c>
      <c r="P77" s="6">
        <f>Summary!P77</f>
        <v/>
      </c>
      <c r="Q77" s="6">
        <f>Summary!Q77</f>
        <v/>
      </c>
      <c r="R77" s="6">
        <f>Summary!R77</f>
        <v/>
      </c>
      <c r="S77" s="6">
        <f>Summary!S77</f>
        <v/>
      </c>
      <c r="T77" s="6">
        <f>Summary!T77</f>
        <v/>
      </c>
      <c r="U77" s="6">
        <f>Summary!U77</f>
        <v/>
      </c>
      <c r="V77" s="6">
        <f>Summary!V77</f>
        <v/>
      </c>
      <c r="W77" s="6">
        <f>Summary!W77</f>
        <v/>
      </c>
      <c r="X77" s="6">
        <f>Summary!X77</f>
        <v/>
      </c>
      <c r="Y77" s="6">
        <f>Summary!Y77</f>
        <v/>
      </c>
      <c r="Z77" s="6">
        <f>Summary!Z77</f>
        <v/>
      </c>
      <c r="AA77" s="6">
        <f>Summary!AA77</f>
        <v/>
      </c>
      <c r="AB77" s="6">
        <f>SUM(D77:AA77)</f>
        <v/>
      </c>
      <c r="AC77" s="3" t="inlineStr"/>
      <c r="AD77" s="7">
        <f>D77*0.0029</f>
        <v/>
      </c>
      <c r="AE77" s="7">
        <f>E77*0.0029</f>
        <v/>
      </c>
      <c r="AF77" s="7">
        <f>F77*0.0029</f>
        <v/>
      </c>
      <c r="AG77" s="7">
        <f>G77*0.0029</f>
        <v/>
      </c>
      <c r="AH77" s="7">
        <f>H77*0.0029</f>
        <v/>
      </c>
      <c r="AI77" s="7">
        <f>I77*0.0029</f>
        <v/>
      </c>
      <c r="AJ77" s="7">
        <f>J77*0.0029</f>
        <v/>
      </c>
      <c r="AK77" s="7">
        <f>K77*0.0029</f>
        <v/>
      </c>
      <c r="AL77" s="7">
        <f>L77*0.0029</f>
        <v/>
      </c>
      <c r="AM77" s="7">
        <f>M77*0.0029</f>
        <v/>
      </c>
      <c r="AN77" s="7">
        <f>N77*0.0029</f>
        <v/>
      </c>
      <c r="AO77" s="7">
        <f>O77*0.0029</f>
        <v/>
      </c>
      <c r="AP77" s="7">
        <f>P77*0.0029</f>
        <v/>
      </c>
      <c r="AQ77" s="7">
        <f>Q77*0.0029</f>
        <v/>
      </c>
      <c r="AR77" s="7">
        <f>R77*0.0029</f>
        <v/>
      </c>
      <c r="AS77" s="7">
        <f>S77*0.0029</f>
        <v/>
      </c>
      <c r="AT77" s="7">
        <f>T77*0.0029</f>
        <v/>
      </c>
      <c r="AU77" s="7">
        <f>U77*0.0029</f>
        <v/>
      </c>
      <c r="AV77" s="7">
        <f>V77*0.0029</f>
        <v/>
      </c>
      <c r="AW77" s="7">
        <f>W77*0.0029</f>
        <v/>
      </c>
      <c r="AX77" s="7">
        <f>X77*0.0029</f>
        <v/>
      </c>
      <c r="AY77" s="7">
        <f>Y77*0.0029</f>
        <v/>
      </c>
      <c r="AZ77" s="7">
        <f>Z77*0.0029</f>
        <v/>
      </c>
      <c r="BA77" s="7">
        <f>AA77*0.0029</f>
        <v/>
      </c>
      <c r="BB77" s="7">
        <f>SUM(AD77:BA77)</f>
        <v/>
      </c>
    </row>
    <row r="78">
      <c r="A78" t="inlineStr">
        <is>
          <t>AMD-M2</t>
        </is>
      </c>
      <c r="B78" t="inlineStr">
        <is>
          <t>Forward Regular OSC</t>
        </is>
      </c>
      <c r="C78" s="5" t="n">
        <v>46091</v>
      </c>
      <c r="D78" s="6">
        <f>Summary!D78</f>
        <v/>
      </c>
      <c r="E78" s="6">
        <f>Summary!E78</f>
        <v/>
      </c>
      <c r="F78" s="6">
        <f>Summary!F78</f>
        <v/>
      </c>
      <c r="G78" s="6">
        <f>Summary!G78</f>
        <v/>
      </c>
      <c r="H78" s="6">
        <f>Summary!H78</f>
        <v/>
      </c>
      <c r="I78" s="6">
        <f>Summary!I78</f>
        <v/>
      </c>
      <c r="J78" s="6">
        <f>Summary!J78</f>
        <v/>
      </c>
      <c r="K78" s="6">
        <f>Summary!K78</f>
        <v/>
      </c>
      <c r="L78" s="6">
        <f>Summary!L78</f>
        <v/>
      </c>
      <c r="M78" s="6">
        <f>Summary!M78</f>
        <v/>
      </c>
      <c r="N78" s="6">
        <f>Summary!N78</f>
        <v/>
      </c>
      <c r="O78" s="6">
        <f>Summary!O78</f>
        <v/>
      </c>
      <c r="P78" s="6">
        <f>Summary!P78</f>
        <v/>
      </c>
      <c r="Q78" s="6">
        <f>Summary!Q78</f>
        <v/>
      </c>
      <c r="R78" s="6">
        <f>Summary!R78</f>
        <v/>
      </c>
      <c r="S78" s="6">
        <f>Summary!S78</f>
        <v/>
      </c>
      <c r="T78" s="6">
        <f>Summary!T78</f>
        <v/>
      </c>
      <c r="U78" s="6">
        <f>Summary!U78</f>
        <v/>
      </c>
      <c r="V78" s="6">
        <f>Summary!V78</f>
        <v/>
      </c>
      <c r="W78" s="6">
        <f>Summary!W78</f>
        <v/>
      </c>
      <c r="X78" s="6">
        <f>Summary!X78</f>
        <v/>
      </c>
      <c r="Y78" s="6">
        <f>Summary!Y78</f>
        <v/>
      </c>
      <c r="Z78" s="6">
        <f>Summary!Z78</f>
        <v/>
      </c>
      <c r="AA78" s="6">
        <f>Summary!AA78</f>
        <v/>
      </c>
      <c r="AB78" s="6">
        <f>SUM(D78:AA78)</f>
        <v/>
      </c>
      <c r="AC78" s="3" t="inlineStr"/>
      <c r="AD78" s="7">
        <f>D78*0.0029</f>
        <v/>
      </c>
      <c r="AE78" s="7">
        <f>E78*0.0029</f>
        <v/>
      </c>
      <c r="AF78" s="7">
        <f>F78*0.0029</f>
        <v/>
      </c>
      <c r="AG78" s="7">
        <f>G78*0.0029</f>
        <v/>
      </c>
      <c r="AH78" s="7">
        <f>H78*0.0029</f>
        <v/>
      </c>
      <c r="AI78" s="7">
        <f>I78*0.0029</f>
        <v/>
      </c>
      <c r="AJ78" s="7">
        <f>J78*0.0029</f>
        <v/>
      </c>
      <c r="AK78" s="7">
        <f>K78*0.0029</f>
        <v/>
      </c>
      <c r="AL78" s="7">
        <f>L78*0.0029</f>
        <v/>
      </c>
      <c r="AM78" s="7">
        <f>M78*0.0029</f>
        <v/>
      </c>
      <c r="AN78" s="7">
        <f>N78*0.0029</f>
        <v/>
      </c>
      <c r="AO78" s="7">
        <f>O78*0.0029</f>
        <v/>
      </c>
      <c r="AP78" s="7">
        <f>P78*0.0029</f>
        <v/>
      </c>
      <c r="AQ78" s="7">
        <f>Q78*0.0029</f>
        <v/>
      </c>
      <c r="AR78" s="7">
        <f>R78*0.0029</f>
        <v/>
      </c>
      <c r="AS78" s="7">
        <f>S78*0.0029</f>
        <v/>
      </c>
      <c r="AT78" s="7">
        <f>T78*0.0029</f>
        <v/>
      </c>
      <c r="AU78" s="7">
        <f>U78*0.0029</f>
        <v/>
      </c>
      <c r="AV78" s="7">
        <f>V78*0.0029</f>
        <v/>
      </c>
      <c r="AW78" s="7">
        <f>W78*0.0029</f>
        <v/>
      </c>
      <c r="AX78" s="7">
        <f>X78*0.0029</f>
        <v/>
      </c>
      <c r="AY78" s="7">
        <f>Y78*0.0029</f>
        <v/>
      </c>
      <c r="AZ78" s="7">
        <f>Z78*0.0029</f>
        <v/>
      </c>
      <c r="BA78" s="7">
        <f>AA78*0.0029</f>
        <v/>
      </c>
      <c r="BB78" s="7">
        <f>SUM(AD78:BA78)</f>
        <v/>
      </c>
    </row>
    <row r="79">
      <c r="A79" t="inlineStr">
        <is>
          <t>AMD-M2</t>
        </is>
      </c>
      <c r="B79" t="inlineStr">
        <is>
          <t>Forward Regular OSC</t>
        </is>
      </c>
      <c r="C79" s="5" t="n">
        <v>46092</v>
      </c>
      <c r="D79" s="6">
        <f>Summary!D79</f>
        <v/>
      </c>
      <c r="E79" s="6">
        <f>Summary!E79</f>
        <v/>
      </c>
      <c r="F79" s="6">
        <f>Summary!F79</f>
        <v/>
      </c>
      <c r="G79" s="6">
        <f>Summary!G79</f>
        <v/>
      </c>
      <c r="H79" s="6">
        <f>Summary!H79</f>
        <v/>
      </c>
      <c r="I79" s="6">
        <f>Summary!I79</f>
        <v/>
      </c>
      <c r="J79" s="6">
        <f>Summary!J79</f>
        <v/>
      </c>
      <c r="K79" s="6">
        <f>Summary!K79</f>
        <v/>
      </c>
      <c r="L79" s="6">
        <f>Summary!L79</f>
        <v/>
      </c>
      <c r="M79" s="6">
        <f>Summary!M79</f>
        <v/>
      </c>
      <c r="N79" s="6">
        <f>Summary!N79</f>
        <v/>
      </c>
      <c r="O79" s="6">
        <f>Summary!O79</f>
        <v/>
      </c>
      <c r="P79" s="6">
        <f>Summary!P79</f>
        <v/>
      </c>
      <c r="Q79" s="6">
        <f>Summary!Q79</f>
        <v/>
      </c>
      <c r="R79" s="6">
        <f>Summary!R79</f>
        <v/>
      </c>
      <c r="S79" s="6">
        <f>Summary!S79</f>
        <v/>
      </c>
      <c r="T79" s="6">
        <f>Summary!T79</f>
        <v/>
      </c>
      <c r="U79" s="6">
        <f>Summary!U79</f>
        <v/>
      </c>
      <c r="V79" s="6">
        <f>Summary!V79</f>
        <v/>
      </c>
      <c r="W79" s="6">
        <f>Summary!W79</f>
        <v/>
      </c>
      <c r="X79" s="6">
        <f>Summary!X79</f>
        <v/>
      </c>
      <c r="Y79" s="6">
        <f>Summary!Y79</f>
        <v/>
      </c>
      <c r="Z79" s="6">
        <f>Summary!Z79</f>
        <v/>
      </c>
      <c r="AA79" s="6">
        <f>Summary!AA79</f>
        <v/>
      </c>
      <c r="AB79" s="6">
        <f>SUM(D79:AA79)</f>
        <v/>
      </c>
      <c r="AC79" s="3" t="inlineStr"/>
      <c r="AD79" s="7">
        <f>D79*0.0029</f>
        <v/>
      </c>
      <c r="AE79" s="7">
        <f>E79*0.0029</f>
        <v/>
      </c>
      <c r="AF79" s="7">
        <f>F79*0.0029</f>
        <v/>
      </c>
      <c r="AG79" s="7">
        <f>G79*0.0029</f>
        <v/>
      </c>
      <c r="AH79" s="7">
        <f>H79*0.0029</f>
        <v/>
      </c>
      <c r="AI79" s="7">
        <f>I79*0.0029</f>
        <v/>
      </c>
      <c r="AJ79" s="7">
        <f>J79*0.0029</f>
        <v/>
      </c>
      <c r="AK79" s="7">
        <f>K79*0.0029</f>
        <v/>
      </c>
      <c r="AL79" s="7">
        <f>L79*0.0029</f>
        <v/>
      </c>
      <c r="AM79" s="7">
        <f>M79*0.0029</f>
        <v/>
      </c>
      <c r="AN79" s="7">
        <f>N79*0.0029</f>
        <v/>
      </c>
      <c r="AO79" s="7">
        <f>O79*0.0029</f>
        <v/>
      </c>
      <c r="AP79" s="7">
        <f>P79*0.0029</f>
        <v/>
      </c>
      <c r="AQ79" s="7">
        <f>Q79*0.0029</f>
        <v/>
      </c>
      <c r="AR79" s="7">
        <f>R79*0.0029</f>
        <v/>
      </c>
      <c r="AS79" s="7">
        <f>S79*0.0029</f>
        <v/>
      </c>
      <c r="AT79" s="7">
        <f>T79*0.0029</f>
        <v/>
      </c>
      <c r="AU79" s="7">
        <f>U79*0.0029</f>
        <v/>
      </c>
      <c r="AV79" s="7">
        <f>V79*0.0029</f>
        <v/>
      </c>
      <c r="AW79" s="7">
        <f>W79*0.0029</f>
        <v/>
      </c>
      <c r="AX79" s="7">
        <f>X79*0.0029</f>
        <v/>
      </c>
      <c r="AY79" s="7">
        <f>Y79*0.0029</f>
        <v/>
      </c>
      <c r="AZ79" s="7">
        <f>Z79*0.0029</f>
        <v/>
      </c>
      <c r="BA79" s="7">
        <f>AA79*0.0029</f>
        <v/>
      </c>
      <c r="BB79" s="7">
        <f>SUM(AD79:BA79)</f>
        <v/>
      </c>
    </row>
    <row r="80">
      <c r="A80" t="inlineStr">
        <is>
          <t>AMD-M2</t>
        </is>
      </c>
      <c r="B80" t="inlineStr">
        <is>
          <t>Forward Regular OSC</t>
        </is>
      </c>
      <c r="C80" s="5" t="n">
        <v>46093</v>
      </c>
      <c r="D80" s="6">
        <f>Summary!D80</f>
        <v/>
      </c>
      <c r="E80" s="6">
        <f>Summary!E80</f>
        <v/>
      </c>
      <c r="F80" s="6">
        <f>Summary!F80</f>
        <v/>
      </c>
      <c r="G80" s="6">
        <f>Summary!G80</f>
        <v/>
      </c>
      <c r="H80" s="6">
        <f>Summary!H80</f>
        <v/>
      </c>
      <c r="I80" s="6">
        <f>Summary!I80</f>
        <v/>
      </c>
      <c r="J80" s="6">
        <f>Summary!J80</f>
        <v/>
      </c>
      <c r="K80" s="6">
        <f>Summary!K80</f>
        <v/>
      </c>
      <c r="L80" s="6">
        <f>Summary!L80</f>
        <v/>
      </c>
      <c r="M80" s="6">
        <f>Summary!M80</f>
        <v/>
      </c>
      <c r="N80" s="6">
        <f>Summary!N80</f>
        <v/>
      </c>
      <c r="O80" s="6">
        <f>Summary!O80</f>
        <v/>
      </c>
      <c r="P80" s="6">
        <f>Summary!P80</f>
        <v/>
      </c>
      <c r="Q80" s="6">
        <f>Summary!Q80</f>
        <v/>
      </c>
      <c r="R80" s="6">
        <f>Summary!R80</f>
        <v/>
      </c>
      <c r="S80" s="6">
        <f>Summary!S80</f>
        <v/>
      </c>
      <c r="T80" s="6">
        <f>Summary!T80</f>
        <v/>
      </c>
      <c r="U80" s="6">
        <f>Summary!U80</f>
        <v/>
      </c>
      <c r="V80" s="6">
        <f>Summary!V80</f>
        <v/>
      </c>
      <c r="W80" s="6">
        <f>Summary!W80</f>
        <v/>
      </c>
      <c r="X80" s="6">
        <f>Summary!X80</f>
        <v/>
      </c>
      <c r="Y80" s="6">
        <f>Summary!Y80</f>
        <v/>
      </c>
      <c r="Z80" s="6">
        <f>Summary!Z80</f>
        <v/>
      </c>
      <c r="AA80" s="6">
        <f>Summary!AA80</f>
        <v/>
      </c>
      <c r="AB80" s="6">
        <f>SUM(D80:AA80)</f>
        <v/>
      </c>
      <c r="AC80" s="3" t="inlineStr"/>
      <c r="AD80" s="7">
        <f>D80*0.0029</f>
        <v/>
      </c>
      <c r="AE80" s="7">
        <f>E80*0.0029</f>
        <v/>
      </c>
      <c r="AF80" s="7">
        <f>F80*0.0029</f>
        <v/>
      </c>
      <c r="AG80" s="7">
        <f>G80*0.0029</f>
        <v/>
      </c>
      <c r="AH80" s="7">
        <f>H80*0.0029</f>
        <v/>
      </c>
      <c r="AI80" s="7">
        <f>I80*0.0029</f>
        <v/>
      </c>
      <c r="AJ80" s="7">
        <f>J80*0.0029</f>
        <v/>
      </c>
      <c r="AK80" s="7">
        <f>K80*0.0029</f>
        <v/>
      </c>
      <c r="AL80" s="7">
        <f>L80*0.0029</f>
        <v/>
      </c>
      <c r="AM80" s="7">
        <f>M80*0.0029</f>
        <v/>
      </c>
      <c r="AN80" s="7">
        <f>N80*0.0029</f>
        <v/>
      </c>
      <c r="AO80" s="7">
        <f>O80*0.0029</f>
        <v/>
      </c>
      <c r="AP80" s="7">
        <f>P80*0.0029</f>
        <v/>
      </c>
      <c r="AQ80" s="7">
        <f>Q80*0.0029</f>
        <v/>
      </c>
      <c r="AR80" s="7">
        <f>R80*0.0029</f>
        <v/>
      </c>
      <c r="AS80" s="7">
        <f>S80*0.0029</f>
        <v/>
      </c>
      <c r="AT80" s="7">
        <f>T80*0.0029</f>
        <v/>
      </c>
      <c r="AU80" s="7">
        <f>U80*0.0029</f>
        <v/>
      </c>
      <c r="AV80" s="7">
        <f>V80*0.0029</f>
        <v/>
      </c>
      <c r="AW80" s="7">
        <f>W80*0.0029</f>
        <v/>
      </c>
      <c r="AX80" s="7">
        <f>X80*0.0029</f>
        <v/>
      </c>
      <c r="AY80" s="7">
        <f>Y80*0.0029</f>
        <v/>
      </c>
      <c r="AZ80" s="7">
        <f>Z80*0.0029</f>
        <v/>
      </c>
      <c r="BA80" s="7">
        <f>AA80*0.0029</f>
        <v/>
      </c>
      <c r="BB80" s="7">
        <f>SUM(AD80:BA80)</f>
        <v/>
      </c>
    </row>
    <row r="81">
      <c r="A81" t="inlineStr">
        <is>
          <t>AMD-M2</t>
        </is>
      </c>
      <c r="B81" t="inlineStr">
        <is>
          <t>Forward Regular OSC</t>
        </is>
      </c>
      <c r="C81" s="5" t="n">
        <v>46094</v>
      </c>
      <c r="D81" s="6">
        <f>Summary!D81</f>
        <v/>
      </c>
      <c r="E81" s="6">
        <f>Summary!E81</f>
        <v/>
      </c>
      <c r="F81" s="6">
        <f>Summary!F81</f>
        <v/>
      </c>
      <c r="G81" s="6">
        <f>Summary!G81</f>
        <v/>
      </c>
      <c r="H81" s="6">
        <f>Summary!H81</f>
        <v/>
      </c>
      <c r="I81" s="6">
        <f>Summary!I81</f>
        <v/>
      </c>
      <c r="J81" s="6">
        <f>Summary!J81</f>
        <v/>
      </c>
      <c r="K81" s="6">
        <f>Summary!K81</f>
        <v/>
      </c>
      <c r="L81" s="6">
        <f>Summary!L81</f>
        <v/>
      </c>
      <c r="M81" s="6">
        <f>Summary!M81</f>
        <v/>
      </c>
      <c r="N81" s="6">
        <f>Summary!N81</f>
        <v/>
      </c>
      <c r="O81" s="6">
        <f>Summary!O81</f>
        <v/>
      </c>
      <c r="P81" s="6">
        <f>Summary!P81</f>
        <v/>
      </c>
      <c r="Q81" s="6">
        <f>Summary!Q81</f>
        <v/>
      </c>
      <c r="R81" s="6">
        <f>Summary!R81</f>
        <v/>
      </c>
      <c r="S81" s="6">
        <f>Summary!S81</f>
        <v/>
      </c>
      <c r="T81" s="6">
        <f>Summary!T81</f>
        <v/>
      </c>
      <c r="U81" s="6">
        <f>Summary!U81</f>
        <v/>
      </c>
      <c r="V81" s="6">
        <f>Summary!V81</f>
        <v/>
      </c>
      <c r="W81" s="6">
        <f>Summary!W81</f>
        <v/>
      </c>
      <c r="X81" s="6">
        <f>Summary!X81</f>
        <v/>
      </c>
      <c r="Y81" s="6">
        <f>Summary!Y81</f>
        <v/>
      </c>
      <c r="Z81" s="6">
        <f>Summary!Z81</f>
        <v/>
      </c>
      <c r="AA81" s="6">
        <f>Summary!AA81</f>
        <v/>
      </c>
      <c r="AB81" s="6">
        <f>SUM(D81:AA81)</f>
        <v/>
      </c>
      <c r="AC81" s="3" t="inlineStr"/>
      <c r="AD81" s="7">
        <f>D81*0.0029</f>
        <v/>
      </c>
      <c r="AE81" s="7">
        <f>E81*0.0029</f>
        <v/>
      </c>
      <c r="AF81" s="7">
        <f>F81*0.0029</f>
        <v/>
      </c>
      <c r="AG81" s="7">
        <f>G81*0.0029</f>
        <v/>
      </c>
      <c r="AH81" s="7">
        <f>H81*0.0029</f>
        <v/>
      </c>
      <c r="AI81" s="7">
        <f>I81*0.0029</f>
        <v/>
      </c>
      <c r="AJ81" s="7">
        <f>J81*0.0029</f>
        <v/>
      </c>
      <c r="AK81" s="7">
        <f>K81*0.0029</f>
        <v/>
      </c>
      <c r="AL81" s="7">
        <f>L81*0.0029</f>
        <v/>
      </c>
      <c r="AM81" s="7">
        <f>M81*0.0029</f>
        <v/>
      </c>
      <c r="AN81" s="7">
        <f>N81*0.0029</f>
        <v/>
      </c>
      <c r="AO81" s="7">
        <f>O81*0.0029</f>
        <v/>
      </c>
      <c r="AP81" s="7">
        <f>P81*0.0029</f>
        <v/>
      </c>
      <c r="AQ81" s="7">
        <f>Q81*0.0029</f>
        <v/>
      </c>
      <c r="AR81" s="7">
        <f>R81*0.0029</f>
        <v/>
      </c>
      <c r="AS81" s="7">
        <f>S81*0.0029</f>
        <v/>
      </c>
      <c r="AT81" s="7">
        <f>T81*0.0029</f>
        <v/>
      </c>
      <c r="AU81" s="7">
        <f>U81*0.0029</f>
        <v/>
      </c>
      <c r="AV81" s="7">
        <f>V81*0.0029</f>
        <v/>
      </c>
      <c r="AW81" s="7">
        <f>W81*0.0029</f>
        <v/>
      </c>
      <c r="AX81" s="7">
        <f>X81*0.0029</f>
        <v/>
      </c>
      <c r="AY81" s="7">
        <f>Y81*0.0029</f>
        <v/>
      </c>
      <c r="AZ81" s="7">
        <f>Z81*0.0029</f>
        <v/>
      </c>
      <c r="BA81" s="7">
        <f>AA81*0.0029</f>
        <v/>
      </c>
      <c r="BB81" s="7">
        <f>SUM(AD81:BA81)</f>
        <v/>
      </c>
    </row>
    <row r="82">
      <c r="A82" t="inlineStr">
        <is>
          <t>AMD-M2</t>
        </is>
      </c>
      <c r="B82" t="inlineStr">
        <is>
          <t>Forward Regular OSC</t>
        </is>
      </c>
      <c r="C82" s="5" t="n">
        <v>46095</v>
      </c>
      <c r="D82" s="6">
        <f>Summary!D82</f>
        <v/>
      </c>
      <c r="E82" s="6">
        <f>Summary!E82</f>
        <v/>
      </c>
      <c r="F82" s="6">
        <f>Summary!F82</f>
        <v/>
      </c>
      <c r="G82" s="6">
        <f>Summary!G82</f>
        <v/>
      </c>
      <c r="H82" s="6">
        <f>Summary!H82</f>
        <v/>
      </c>
      <c r="I82" s="6">
        <f>Summary!I82</f>
        <v/>
      </c>
      <c r="J82" s="6">
        <f>Summary!J82</f>
        <v/>
      </c>
      <c r="K82" s="6">
        <f>Summary!K82</f>
        <v/>
      </c>
      <c r="L82" s="6">
        <f>Summary!L82</f>
        <v/>
      </c>
      <c r="M82" s="6">
        <f>Summary!M82</f>
        <v/>
      </c>
      <c r="N82" s="6">
        <f>Summary!N82</f>
        <v/>
      </c>
      <c r="O82" s="6">
        <f>Summary!O82</f>
        <v/>
      </c>
      <c r="P82" s="6">
        <f>Summary!P82</f>
        <v/>
      </c>
      <c r="Q82" s="6">
        <f>Summary!Q82</f>
        <v/>
      </c>
      <c r="R82" s="6">
        <f>Summary!R82</f>
        <v/>
      </c>
      <c r="S82" s="6">
        <f>Summary!S82</f>
        <v/>
      </c>
      <c r="T82" s="6">
        <f>Summary!T82</f>
        <v/>
      </c>
      <c r="U82" s="6">
        <f>Summary!U82</f>
        <v/>
      </c>
      <c r="V82" s="6">
        <f>Summary!V82</f>
        <v/>
      </c>
      <c r="W82" s="6">
        <f>Summary!W82</f>
        <v/>
      </c>
      <c r="X82" s="6">
        <f>Summary!X82</f>
        <v/>
      </c>
      <c r="Y82" s="6">
        <f>Summary!Y82</f>
        <v/>
      </c>
      <c r="Z82" s="6">
        <f>Summary!Z82</f>
        <v/>
      </c>
      <c r="AA82" s="6">
        <f>Summary!AA82</f>
        <v/>
      </c>
      <c r="AB82" s="6">
        <f>SUM(D82:AA82)</f>
        <v/>
      </c>
      <c r="AC82" s="3" t="inlineStr"/>
      <c r="AD82" s="7">
        <f>D82*0.0029</f>
        <v/>
      </c>
      <c r="AE82" s="7">
        <f>E82*0.0029</f>
        <v/>
      </c>
      <c r="AF82" s="7">
        <f>F82*0.0029</f>
        <v/>
      </c>
      <c r="AG82" s="7">
        <f>G82*0.0029</f>
        <v/>
      </c>
      <c r="AH82" s="7">
        <f>H82*0.0029</f>
        <v/>
      </c>
      <c r="AI82" s="7">
        <f>I82*0.0029</f>
        <v/>
      </c>
      <c r="AJ82" s="7">
        <f>J82*0.0029</f>
        <v/>
      </c>
      <c r="AK82" s="7">
        <f>K82*0.0029</f>
        <v/>
      </c>
      <c r="AL82" s="7">
        <f>L82*0.0029</f>
        <v/>
      </c>
      <c r="AM82" s="7">
        <f>M82*0.0029</f>
        <v/>
      </c>
      <c r="AN82" s="7">
        <f>N82*0.0029</f>
        <v/>
      </c>
      <c r="AO82" s="7">
        <f>O82*0.0029</f>
        <v/>
      </c>
      <c r="AP82" s="7">
        <f>P82*0.0029</f>
        <v/>
      </c>
      <c r="AQ82" s="7">
        <f>Q82*0.0029</f>
        <v/>
      </c>
      <c r="AR82" s="7">
        <f>R82*0.0029</f>
        <v/>
      </c>
      <c r="AS82" s="7">
        <f>S82*0.0029</f>
        <v/>
      </c>
      <c r="AT82" s="7">
        <f>T82*0.0029</f>
        <v/>
      </c>
      <c r="AU82" s="7">
        <f>U82*0.0029</f>
        <v/>
      </c>
      <c r="AV82" s="7">
        <f>V82*0.0029</f>
        <v/>
      </c>
      <c r="AW82" s="7">
        <f>W82*0.0029</f>
        <v/>
      </c>
      <c r="AX82" s="7">
        <f>X82*0.0029</f>
        <v/>
      </c>
      <c r="AY82" s="7">
        <f>Y82*0.0029</f>
        <v/>
      </c>
      <c r="AZ82" s="7">
        <f>Z82*0.0029</f>
        <v/>
      </c>
      <c r="BA82" s="7">
        <f>AA82*0.0029</f>
        <v/>
      </c>
      <c r="BB82" s="7">
        <f>SUM(AD82:BA82)</f>
        <v/>
      </c>
    </row>
    <row r="83">
      <c r="A83" t="inlineStr">
        <is>
          <t>AMD-M2</t>
        </is>
      </c>
      <c r="B83" t="inlineStr">
        <is>
          <t>Forward Regular OSC</t>
        </is>
      </c>
      <c r="C83" s="5" t="n">
        <v>46096</v>
      </c>
      <c r="D83" s="6">
        <f>Summary!D83</f>
        <v/>
      </c>
      <c r="E83" s="6">
        <f>Summary!E83</f>
        <v/>
      </c>
      <c r="F83" s="6">
        <f>Summary!F83</f>
        <v/>
      </c>
      <c r="G83" s="6">
        <f>Summary!G83</f>
        <v/>
      </c>
      <c r="H83" s="6">
        <f>Summary!H83</f>
        <v/>
      </c>
      <c r="I83" s="6">
        <f>Summary!I83</f>
        <v/>
      </c>
      <c r="J83" s="6">
        <f>Summary!J83</f>
        <v/>
      </c>
      <c r="K83" s="6">
        <f>Summary!K83</f>
        <v/>
      </c>
      <c r="L83" s="6">
        <f>Summary!L83</f>
        <v/>
      </c>
      <c r="M83" s="6">
        <f>Summary!M83</f>
        <v/>
      </c>
      <c r="N83" s="6">
        <f>Summary!N83</f>
        <v/>
      </c>
      <c r="O83" s="6">
        <f>Summary!O83</f>
        <v/>
      </c>
      <c r="P83" s="6">
        <f>Summary!P83</f>
        <v/>
      </c>
      <c r="Q83" s="6">
        <f>Summary!Q83</f>
        <v/>
      </c>
      <c r="R83" s="6">
        <f>Summary!R83</f>
        <v/>
      </c>
      <c r="S83" s="6">
        <f>Summary!S83</f>
        <v/>
      </c>
      <c r="T83" s="6">
        <f>Summary!T83</f>
        <v/>
      </c>
      <c r="U83" s="6">
        <f>Summary!U83</f>
        <v/>
      </c>
      <c r="V83" s="6">
        <f>Summary!V83</f>
        <v/>
      </c>
      <c r="W83" s="6">
        <f>Summary!W83</f>
        <v/>
      </c>
      <c r="X83" s="6">
        <f>Summary!X83</f>
        <v/>
      </c>
      <c r="Y83" s="6">
        <f>Summary!Y83</f>
        <v/>
      </c>
      <c r="Z83" s="6">
        <f>Summary!Z83</f>
        <v/>
      </c>
      <c r="AA83" s="6">
        <f>Summary!AA83</f>
        <v/>
      </c>
      <c r="AB83" s="6">
        <f>SUM(D83:AA83)</f>
        <v/>
      </c>
      <c r="AC83" s="3" t="inlineStr"/>
      <c r="AD83" s="7">
        <f>D83*0.0029</f>
        <v/>
      </c>
      <c r="AE83" s="7">
        <f>E83*0.0029</f>
        <v/>
      </c>
      <c r="AF83" s="7">
        <f>F83*0.0029</f>
        <v/>
      </c>
      <c r="AG83" s="7">
        <f>G83*0.0029</f>
        <v/>
      </c>
      <c r="AH83" s="7">
        <f>H83*0.0029</f>
        <v/>
      </c>
      <c r="AI83" s="7">
        <f>I83*0.0029</f>
        <v/>
      </c>
      <c r="AJ83" s="7">
        <f>J83*0.0029</f>
        <v/>
      </c>
      <c r="AK83" s="7">
        <f>K83*0.0029</f>
        <v/>
      </c>
      <c r="AL83" s="7">
        <f>L83*0.0029</f>
        <v/>
      </c>
      <c r="AM83" s="7">
        <f>M83*0.0029</f>
        <v/>
      </c>
      <c r="AN83" s="7">
        <f>N83*0.0029</f>
        <v/>
      </c>
      <c r="AO83" s="7">
        <f>O83*0.0029</f>
        <v/>
      </c>
      <c r="AP83" s="7">
        <f>P83*0.0029</f>
        <v/>
      </c>
      <c r="AQ83" s="7">
        <f>Q83*0.0029</f>
        <v/>
      </c>
      <c r="AR83" s="7">
        <f>R83*0.0029</f>
        <v/>
      </c>
      <c r="AS83" s="7">
        <f>S83*0.0029</f>
        <v/>
      </c>
      <c r="AT83" s="7">
        <f>T83*0.0029</f>
        <v/>
      </c>
      <c r="AU83" s="7">
        <f>U83*0.0029</f>
        <v/>
      </c>
      <c r="AV83" s="7">
        <f>V83*0.0029</f>
        <v/>
      </c>
      <c r="AW83" s="7">
        <f>W83*0.0029</f>
        <v/>
      </c>
      <c r="AX83" s="7">
        <f>X83*0.0029</f>
        <v/>
      </c>
      <c r="AY83" s="7">
        <f>Y83*0.0029</f>
        <v/>
      </c>
      <c r="AZ83" s="7">
        <f>Z83*0.0029</f>
        <v/>
      </c>
      <c r="BA83" s="7">
        <f>AA83*0.0029</f>
        <v/>
      </c>
      <c r="BB83" s="7">
        <f>SUM(AD83:BA83)</f>
        <v/>
      </c>
    </row>
    <row r="84">
      <c r="A84" t="inlineStr">
        <is>
          <t>AMD-M2</t>
        </is>
      </c>
      <c r="B84" t="inlineStr">
        <is>
          <t>Forward Regular OSC</t>
        </is>
      </c>
      <c r="C84" s="5" t="n">
        <v>46097</v>
      </c>
      <c r="D84" s="6">
        <f>Summary!D84</f>
        <v/>
      </c>
      <c r="E84" s="6">
        <f>Summary!E84</f>
        <v/>
      </c>
      <c r="F84" s="6">
        <f>Summary!F84</f>
        <v/>
      </c>
      <c r="G84" s="6">
        <f>Summary!G84</f>
        <v/>
      </c>
      <c r="H84" s="6">
        <f>Summary!H84</f>
        <v/>
      </c>
      <c r="I84" s="6">
        <f>Summary!I84</f>
        <v/>
      </c>
      <c r="J84" s="6">
        <f>Summary!J84</f>
        <v/>
      </c>
      <c r="K84" s="6">
        <f>Summary!K84</f>
        <v/>
      </c>
      <c r="L84" s="6">
        <f>Summary!L84</f>
        <v/>
      </c>
      <c r="M84" s="6">
        <f>Summary!M84</f>
        <v/>
      </c>
      <c r="N84" s="6">
        <f>Summary!N84</f>
        <v/>
      </c>
      <c r="O84" s="6">
        <f>Summary!O84</f>
        <v/>
      </c>
      <c r="P84" s="6">
        <f>Summary!P84</f>
        <v/>
      </c>
      <c r="Q84" s="6">
        <f>Summary!Q84</f>
        <v/>
      </c>
      <c r="R84" s="6">
        <f>Summary!R84</f>
        <v/>
      </c>
      <c r="S84" s="6">
        <f>Summary!S84</f>
        <v/>
      </c>
      <c r="T84" s="6">
        <f>Summary!T84</f>
        <v/>
      </c>
      <c r="U84" s="6">
        <f>Summary!U84</f>
        <v/>
      </c>
      <c r="V84" s="6">
        <f>Summary!V84</f>
        <v/>
      </c>
      <c r="W84" s="6">
        <f>Summary!W84</f>
        <v/>
      </c>
      <c r="X84" s="6">
        <f>Summary!X84</f>
        <v/>
      </c>
      <c r="Y84" s="6">
        <f>Summary!Y84</f>
        <v/>
      </c>
      <c r="Z84" s="6">
        <f>Summary!Z84</f>
        <v/>
      </c>
      <c r="AA84" s="6">
        <f>Summary!AA84</f>
        <v/>
      </c>
      <c r="AB84" s="6">
        <f>SUM(D84:AA84)</f>
        <v/>
      </c>
      <c r="AC84" s="3" t="inlineStr"/>
      <c r="AD84" s="7">
        <f>D84*0.0029</f>
        <v/>
      </c>
      <c r="AE84" s="7">
        <f>E84*0.0029</f>
        <v/>
      </c>
      <c r="AF84" s="7">
        <f>F84*0.0029</f>
        <v/>
      </c>
      <c r="AG84" s="7">
        <f>G84*0.0029</f>
        <v/>
      </c>
      <c r="AH84" s="7">
        <f>H84*0.0029</f>
        <v/>
      </c>
      <c r="AI84" s="7">
        <f>I84*0.0029</f>
        <v/>
      </c>
      <c r="AJ84" s="7">
        <f>J84*0.0029</f>
        <v/>
      </c>
      <c r="AK84" s="7">
        <f>K84*0.0029</f>
        <v/>
      </c>
      <c r="AL84" s="7">
        <f>L84*0.0029</f>
        <v/>
      </c>
      <c r="AM84" s="7">
        <f>M84*0.0029</f>
        <v/>
      </c>
      <c r="AN84" s="7">
        <f>N84*0.0029</f>
        <v/>
      </c>
      <c r="AO84" s="7">
        <f>O84*0.0029</f>
        <v/>
      </c>
      <c r="AP84" s="7">
        <f>P84*0.0029</f>
        <v/>
      </c>
      <c r="AQ84" s="7">
        <f>Q84*0.0029</f>
        <v/>
      </c>
      <c r="AR84" s="7">
        <f>R84*0.0029</f>
        <v/>
      </c>
      <c r="AS84" s="7">
        <f>S84*0.0029</f>
        <v/>
      </c>
      <c r="AT84" s="7">
        <f>T84*0.0029</f>
        <v/>
      </c>
      <c r="AU84" s="7">
        <f>U84*0.0029</f>
        <v/>
      </c>
      <c r="AV84" s="7">
        <f>V84*0.0029</f>
        <v/>
      </c>
      <c r="AW84" s="7">
        <f>W84*0.0029</f>
        <v/>
      </c>
      <c r="AX84" s="7">
        <f>X84*0.0029</f>
        <v/>
      </c>
      <c r="AY84" s="7">
        <f>Y84*0.0029</f>
        <v/>
      </c>
      <c r="AZ84" s="7">
        <f>Z84*0.0029</f>
        <v/>
      </c>
      <c r="BA84" s="7">
        <f>AA84*0.0029</f>
        <v/>
      </c>
      <c r="BB84" s="7">
        <f>SUM(AD84:BA84)</f>
        <v/>
      </c>
    </row>
    <row r="85">
      <c r="A85" t="inlineStr">
        <is>
          <t>AMD-MU-01</t>
        </is>
      </c>
      <c r="B85" t="inlineStr">
        <is>
          <t>Forward Regular OSC</t>
        </is>
      </c>
      <c r="C85" s="5" t="n">
        <v>46091</v>
      </c>
      <c r="D85" s="6">
        <f>Summary!D85</f>
        <v/>
      </c>
      <c r="E85" s="6">
        <f>Summary!E85</f>
        <v/>
      </c>
      <c r="F85" s="6">
        <f>Summary!F85</f>
        <v/>
      </c>
      <c r="G85" s="6">
        <f>Summary!G85</f>
        <v/>
      </c>
      <c r="H85" s="6">
        <f>Summary!H85</f>
        <v/>
      </c>
      <c r="I85" s="6">
        <f>Summary!I85</f>
        <v/>
      </c>
      <c r="J85" s="6">
        <f>Summary!J85</f>
        <v/>
      </c>
      <c r="K85" s="6">
        <f>Summary!K85</f>
        <v/>
      </c>
      <c r="L85" s="6">
        <f>Summary!L85</f>
        <v/>
      </c>
      <c r="M85" s="6">
        <f>Summary!M85</f>
        <v/>
      </c>
      <c r="N85" s="6">
        <f>Summary!N85</f>
        <v/>
      </c>
      <c r="O85" s="6">
        <f>Summary!O85</f>
        <v/>
      </c>
      <c r="P85" s="6">
        <f>Summary!P85</f>
        <v/>
      </c>
      <c r="Q85" s="6">
        <f>Summary!Q85</f>
        <v/>
      </c>
      <c r="R85" s="6">
        <f>Summary!R85</f>
        <v/>
      </c>
      <c r="S85" s="6">
        <f>Summary!S85</f>
        <v/>
      </c>
      <c r="T85" s="6">
        <f>Summary!T85</f>
        <v/>
      </c>
      <c r="U85" s="6">
        <f>Summary!U85</f>
        <v/>
      </c>
      <c r="V85" s="6">
        <f>Summary!V85</f>
        <v/>
      </c>
      <c r="W85" s="6">
        <f>Summary!W85</f>
        <v/>
      </c>
      <c r="X85" s="6">
        <f>Summary!X85</f>
        <v/>
      </c>
      <c r="Y85" s="6">
        <f>Summary!Y85</f>
        <v/>
      </c>
      <c r="Z85" s="6">
        <f>Summary!Z85</f>
        <v/>
      </c>
      <c r="AA85" s="6">
        <f>Summary!AA85</f>
        <v/>
      </c>
      <c r="AB85" s="6">
        <f>SUM(D85:AA85)</f>
        <v/>
      </c>
      <c r="AC85" s="3" t="inlineStr"/>
      <c r="AD85" s="7">
        <f>D85*0.0029</f>
        <v/>
      </c>
      <c r="AE85" s="7">
        <f>E85*0.0029</f>
        <v/>
      </c>
      <c r="AF85" s="7">
        <f>F85*0.0029</f>
        <v/>
      </c>
      <c r="AG85" s="7">
        <f>G85*0.0029</f>
        <v/>
      </c>
      <c r="AH85" s="7">
        <f>H85*0.0029</f>
        <v/>
      </c>
      <c r="AI85" s="7">
        <f>I85*0.0029</f>
        <v/>
      </c>
      <c r="AJ85" s="7">
        <f>J85*0.0029</f>
        <v/>
      </c>
      <c r="AK85" s="7">
        <f>K85*0.0029</f>
        <v/>
      </c>
      <c r="AL85" s="7">
        <f>L85*0.0029</f>
        <v/>
      </c>
      <c r="AM85" s="7">
        <f>M85*0.0029</f>
        <v/>
      </c>
      <c r="AN85" s="7">
        <f>N85*0.0029</f>
        <v/>
      </c>
      <c r="AO85" s="7">
        <f>O85*0.0029</f>
        <v/>
      </c>
      <c r="AP85" s="7">
        <f>P85*0.0029</f>
        <v/>
      </c>
      <c r="AQ85" s="7">
        <f>Q85*0.0029</f>
        <v/>
      </c>
      <c r="AR85" s="7">
        <f>R85*0.0029</f>
        <v/>
      </c>
      <c r="AS85" s="7">
        <f>S85*0.0029</f>
        <v/>
      </c>
      <c r="AT85" s="7">
        <f>T85*0.0029</f>
        <v/>
      </c>
      <c r="AU85" s="7">
        <f>U85*0.0029</f>
        <v/>
      </c>
      <c r="AV85" s="7">
        <f>V85*0.0029</f>
        <v/>
      </c>
      <c r="AW85" s="7">
        <f>W85*0.0029</f>
        <v/>
      </c>
      <c r="AX85" s="7">
        <f>X85*0.0029</f>
        <v/>
      </c>
      <c r="AY85" s="7">
        <f>Y85*0.0029</f>
        <v/>
      </c>
      <c r="AZ85" s="7">
        <f>Z85*0.0029</f>
        <v/>
      </c>
      <c r="BA85" s="7">
        <f>AA85*0.0029</f>
        <v/>
      </c>
      <c r="BB85" s="7">
        <f>SUM(AD85:BA85)</f>
        <v/>
      </c>
    </row>
    <row r="86">
      <c r="A86" t="inlineStr">
        <is>
          <t>AMD-RTS-RCLS-1302-SSC</t>
        </is>
      </c>
      <c r="B86" t="inlineStr">
        <is>
          <t>Rev OSC</t>
        </is>
      </c>
      <c r="C86" s="5" t="n">
        <v>46089</v>
      </c>
      <c r="D86" s="6" t="n">
        <v>0</v>
      </c>
      <c r="E86" s="6" t="n">
        <v>0</v>
      </c>
      <c r="F86" s="6" t="n">
        <v>0</v>
      </c>
      <c r="G86" s="6" t="n">
        <v>0</v>
      </c>
      <c r="H86" s="6" t="n">
        <v>0</v>
      </c>
      <c r="I86" s="6" t="n">
        <v>0</v>
      </c>
      <c r="J86" s="6" t="n">
        <v>0</v>
      </c>
      <c r="K86" s="6" t="n">
        <v>0</v>
      </c>
      <c r="L86" s="6" t="n">
        <v>0</v>
      </c>
      <c r="M86" s="6" t="n">
        <v>0</v>
      </c>
      <c r="N86" s="6" t="n">
        <v>0</v>
      </c>
      <c r="O86" s="6" t="n">
        <v>0</v>
      </c>
      <c r="P86" s="6" t="n">
        <v>0</v>
      </c>
      <c r="Q86" s="6" t="n">
        <v>0</v>
      </c>
      <c r="R86" s="6" t="n">
        <v>0</v>
      </c>
      <c r="S86" s="6" t="n">
        <v>0</v>
      </c>
      <c r="T86" s="6" t="n">
        <v>0</v>
      </c>
      <c r="U86" s="6" t="n">
        <v>0</v>
      </c>
      <c r="V86" s="6" t="n">
        <v>0</v>
      </c>
      <c r="W86" s="6" t="n">
        <v>0</v>
      </c>
      <c r="X86" s="6" t="n">
        <v>0</v>
      </c>
      <c r="Y86" s="6" t="n">
        <v>0</v>
      </c>
      <c r="Z86" s="6" t="n">
        <v>0</v>
      </c>
      <c r="AA86" s="6" t="n">
        <v>0</v>
      </c>
      <c r="AB86" s="6">
        <f>SUM(D86:AA86)</f>
        <v/>
      </c>
      <c r="AC86" s="3" t="inlineStr"/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7" t="n">
        <v>0</v>
      </c>
      <c r="BB86" s="7">
        <f>SUM(AD86:BA86)</f>
        <v/>
      </c>
    </row>
    <row r="87">
      <c r="A87" t="inlineStr">
        <is>
          <t>AMD-RTS-RCLS-1302-SSC</t>
        </is>
      </c>
      <c r="B87" t="inlineStr">
        <is>
          <t>Rev OSC</t>
        </is>
      </c>
      <c r="C87" s="5" t="n">
        <v>46090</v>
      </c>
      <c r="D87" s="6" t="n">
        <v>0</v>
      </c>
      <c r="E87" s="6" t="n">
        <v>0</v>
      </c>
      <c r="F87" s="6" t="n">
        <v>0</v>
      </c>
      <c r="G87" s="6" t="n">
        <v>0</v>
      </c>
      <c r="H87" s="6" t="n">
        <v>0</v>
      </c>
      <c r="I87" s="6" t="n">
        <v>0</v>
      </c>
      <c r="J87" s="6" t="n">
        <v>0</v>
      </c>
      <c r="K87" s="6" t="n">
        <v>0</v>
      </c>
      <c r="L87" s="6" t="n">
        <v>0</v>
      </c>
      <c r="M87" s="6" t="n">
        <v>0</v>
      </c>
      <c r="N87" s="6" t="n">
        <v>0</v>
      </c>
      <c r="O87" s="6" t="n">
        <v>0</v>
      </c>
      <c r="P87" s="6" t="n">
        <v>0</v>
      </c>
      <c r="Q87" s="6" t="n">
        <v>0</v>
      </c>
      <c r="R87" s="6" t="n">
        <v>0</v>
      </c>
      <c r="S87" s="6" t="n">
        <v>0</v>
      </c>
      <c r="T87" s="6" t="n">
        <v>0</v>
      </c>
      <c r="U87" s="6" t="n">
        <v>0</v>
      </c>
      <c r="V87" s="6" t="n">
        <v>0</v>
      </c>
      <c r="W87" s="6" t="n">
        <v>0</v>
      </c>
      <c r="X87" s="6" t="n">
        <v>0</v>
      </c>
      <c r="Y87" s="6" t="n">
        <v>0</v>
      </c>
      <c r="Z87" s="6" t="n">
        <v>0</v>
      </c>
      <c r="AA87" s="6" t="n">
        <v>0</v>
      </c>
      <c r="AB87" s="6">
        <f>SUM(D87:AA87)</f>
        <v/>
      </c>
      <c r="AC87" s="3" t="inlineStr"/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0</v>
      </c>
      <c r="BA87" s="7" t="n">
        <v>0</v>
      </c>
      <c r="BB87" s="7">
        <f>SUM(AD87:BA87)</f>
        <v/>
      </c>
    </row>
    <row r="88">
      <c r="A88" t="inlineStr">
        <is>
          <t>AMD-RTS-RCLS-1302-SSC</t>
        </is>
      </c>
      <c r="B88" t="inlineStr">
        <is>
          <t>Rev OSC</t>
        </is>
      </c>
      <c r="C88" s="5" t="n">
        <v>46092</v>
      </c>
      <c r="D88" s="6" t="n">
        <v>0</v>
      </c>
      <c r="E88" s="6" t="n">
        <v>0</v>
      </c>
      <c r="F88" s="6" t="n">
        <v>0</v>
      </c>
      <c r="G88" s="6" t="n">
        <v>0</v>
      </c>
      <c r="H88" s="6" t="n">
        <v>0</v>
      </c>
      <c r="I88" s="6" t="n">
        <v>0</v>
      </c>
      <c r="J88" s="6" t="n">
        <v>0</v>
      </c>
      <c r="K88" s="6" t="n">
        <v>0</v>
      </c>
      <c r="L88" s="6" t="n">
        <v>0</v>
      </c>
      <c r="M88" s="6" t="n">
        <v>0</v>
      </c>
      <c r="N88" s="6" t="n">
        <v>0</v>
      </c>
      <c r="O88" s="6" t="n">
        <v>0</v>
      </c>
      <c r="P88" s="6" t="n">
        <v>0</v>
      </c>
      <c r="Q88" s="6" t="n">
        <v>0</v>
      </c>
      <c r="R88" s="6" t="n">
        <v>0</v>
      </c>
      <c r="S88" s="6" t="n">
        <v>0</v>
      </c>
      <c r="T88" s="6" t="n">
        <v>0</v>
      </c>
      <c r="U88" s="6" t="n">
        <v>0</v>
      </c>
      <c r="V88" s="6" t="n">
        <v>0</v>
      </c>
      <c r="W88" s="6" t="n">
        <v>0</v>
      </c>
      <c r="X88" s="6" t="n">
        <v>0</v>
      </c>
      <c r="Y88" s="6" t="n">
        <v>0</v>
      </c>
      <c r="Z88" s="6" t="n">
        <v>0</v>
      </c>
      <c r="AA88" s="6" t="n">
        <v>0</v>
      </c>
      <c r="AB88" s="6">
        <f>SUM(D88:AA88)</f>
        <v/>
      </c>
      <c r="AC88" s="3" t="inlineStr"/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7" t="n">
        <v>0</v>
      </c>
      <c r="BB88" s="7">
        <f>SUM(AD88:BA88)</f>
        <v/>
      </c>
    </row>
    <row r="89">
      <c r="A89" t="inlineStr">
        <is>
          <t>AMD-RTS-RCLS-1302-SSC</t>
        </is>
      </c>
      <c r="B89" t="inlineStr">
        <is>
          <t>Rev OSC</t>
        </is>
      </c>
      <c r="C89" s="5" t="n">
        <v>46093</v>
      </c>
      <c r="D89" s="6" t="n">
        <v>0</v>
      </c>
      <c r="E89" s="6" t="n">
        <v>0</v>
      </c>
      <c r="F89" s="6" t="n">
        <v>0</v>
      </c>
      <c r="G89" s="6" t="n">
        <v>0</v>
      </c>
      <c r="H89" s="6" t="n">
        <v>0</v>
      </c>
      <c r="I89" s="6" t="n">
        <v>0</v>
      </c>
      <c r="J89" s="6" t="n">
        <v>0</v>
      </c>
      <c r="K89" s="6" t="n">
        <v>0</v>
      </c>
      <c r="L89" s="6" t="n">
        <v>0</v>
      </c>
      <c r="M89" s="6" t="n">
        <v>0</v>
      </c>
      <c r="N89" s="6" t="n">
        <v>0</v>
      </c>
      <c r="O89" s="6" t="n">
        <v>0</v>
      </c>
      <c r="P89" s="6" t="n">
        <v>0</v>
      </c>
      <c r="Q89" s="6" t="n">
        <v>0</v>
      </c>
      <c r="R89" s="6" t="n">
        <v>0</v>
      </c>
      <c r="S89" s="6" t="n">
        <v>0</v>
      </c>
      <c r="T89" s="6" t="n">
        <v>0</v>
      </c>
      <c r="U89" s="6" t="n">
        <v>0</v>
      </c>
      <c r="V89" s="6" t="n">
        <v>0</v>
      </c>
      <c r="W89" s="6" t="n">
        <v>0</v>
      </c>
      <c r="X89" s="6" t="n">
        <v>0</v>
      </c>
      <c r="Y89" s="6" t="n">
        <v>0</v>
      </c>
      <c r="Z89" s="6" t="n">
        <v>0</v>
      </c>
      <c r="AA89" s="6" t="n">
        <v>0</v>
      </c>
      <c r="AB89" s="6">
        <f>SUM(D89:AA89)</f>
        <v/>
      </c>
      <c r="AC89" s="3" t="inlineStr"/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0</v>
      </c>
      <c r="BA89" s="7" t="n">
        <v>0</v>
      </c>
      <c r="BB89" s="7">
        <f>SUM(AD89:BA89)</f>
        <v/>
      </c>
    </row>
    <row r="90">
      <c r="A90" t="inlineStr">
        <is>
          <t>AMD-RTS-RCLS-1302-SSC</t>
        </is>
      </c>
      <c r="B90" t="inlineStr">
        <is>
          <t>Rev OSC</t>
        </is>
      </c>
      <c r="C90" s="5" t="n">
        <v>46094</v>
      </c>
      <c r="D90" s="6" t="n">
        <v>0</v>
      </c>
      <c r="E90" s="6" t="n">
        <v>0</v>
      </c>
      <c r="F90" s="6" t="n">
        <v>0</v>
      </c>
      <c r="G90" s="6" t="n">
        <v>0</v>
      </c>
      <c r="H90" s="6" t="n">
        <v>0</v>
      </c>
      <c r="I90" s="6" t="n">
        <v>0</v>
      </c>
      <c r="J90" s="6" t="n">
        <v>0</v>
      </c>
      <c r="K90" s="6" t="n">
        <v>0</v>
      </c>
      <c r="L90" s="6" t="n">
        <v>0</v>
      </c>
      <c r="M90" s="6" t="n">
        <v>0</v>
      </c>
      <c r="N90" s="6" t="n">
        <v>0</v>
      </c>
      <c r="O90" s="6" t="n">
        <v>0</v>
      </c>
      <c r="P90" s="6" t="n">
        <v>0</v>
      </c>
      <c r="Q90" s="6" t="n">
        <v>0</v>
      </c>
      <c r="R90" s="6" t="n">
        <v>0</v>
      </c>
      <c r="S90" s="6" t="n">
        <v>0</v>
      </c>
      <c r="T90" s="6" t="n">
        <v>0</v>
      </c>
      <c r="U90" s="6" t="n">
        <v>0</v>
      </c>
      <c r="V90" s="6" t="n">
        <v>0</v>
      </c>
      <c r="W90" s="6" t="n">
        <v>0</v>
      </c>
      <c r="X90" s="6" t="n">
        <v>0</v>
      </c>
      <c r="Y90" s="6" t="n">
        <v>0</v>
      </c>
      <c r="Z90" s="6" t="n">
        <v>0</v>
      </c>
      <c r="AA90" s="6" t="n">
        <v>0</v>
      </c>
      <c r="AB90" s="6">
        <f>SUM(D90:AA90)</f>
        <v/>
      </c>
      <c r="AC90" s="3" t="inlineStr"/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7" t="n">
        <v>0</v>
      </c>
      <c r="BB90" s="7">
        <f>SUM(AD90:BA90)</f>
        <v/>
      </c>
    </row>
    <row r="91">
      <c r="A91" t="inlineStr">
        <is>
          <t>AMD-RTS-RCLS-1302-SSC</t>
        </is>
      </c>
      <c r="B91" t="inlineStr">
        <is>
          <t>Rev OSC</t>
        </is>
      </c>
      <c r="C91" s="5" t="n">
        <v>46095</v>
      </c>
      <c r="D91" s="6" t="n">
        <v>0</v>
      </c>
      <c r="E91" s="6" t="n">
        <v>0</v>
      </c>
      <c r="F91" s="6" t="n">
        <v>0</v>
      </c>
      <c r="G91" s="6" t="n">
        <v>0</v>
      </c>
      <c r="H91" s="6" t="n">
        <v>0</v>
      </c>
      <c r="I91" s="6" t="n">
        <v>0</v>
      </c>
      <c r="J91" s="6" t="n">
        <v>0</v>
      </c>
      <c r="K91" s="6" t="n">
        <v>0</v>
      </c>
      <c r="L91" s="6" t="n">
        <v>0</v>
      </c>
      <c r="M91" s="6" t="n">
        <v>0</v>
      </c>
      <c r="N91" s="6" t="n">
        <v>0</v>
      </c>
      <c r="O91" s="6" t="n">
        <v>0</v>
      </c>
      <c r="P91" s="6" t="n">
        <v>0</v>
      </c>
      <c r="Q91" s="6" t="n">
        <v>0</v>
      </c>
      <c r="R91" s="6" t="n">
        <v>0</v>
      </c>
      <c r="S91" s="6" t="n">
        <v>0</v>
      </c>
      <c r="T91" s="6" t="n">
        <v>0</v>
      </c>
      <c r="U91" s="6" t="n">
        <v>0</v>
      </c>
      <c r="V91" s="6" t="n">
        <v>0</v>
      </c>
      <c r="W91" s="6" t="n">
        <v>0</v>
      </c>
      <c r="X91" s="6" t="n">
        <v>0</v>
      </c>
      <c r="Y91" s="6" t="n">
        <v>0</v>
      </c>
      <c r="Z91" s="6" t="n">
        <v>0</v>
      </c>
      <c r="AA91" s="6" t="n">
        <v>0</v>
      </c>
      <c r="AB91" s="6">
        <f>SUM(D91:AA91)</f>
        <v/>
      </c>
      <c r="AC91" s="3" t="inlineStr"/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0</v>
      </c>
      <c r="BA91" s="7" t="n">
        <v>0</v>
      </c>
      <c r="BB91" s="7">
        <f>SUM(AD91:BA91)</f>
        <v/>
      </c>
    </row>
    <row r="92">
      <c r="A92" t="inlineStr">
        <is>
          <t>AMD-RTS-RCLS-1302-SSC</t>
        </is>
      </c>
      <c r="B92" t="inlineStr">
        <is>
          <t>Rev OSC</t>
        </is>
      </c>
      <c r="C92" s="5" t="n">
        <v>46096</v>
      </c>
      <c r="D92" s="6" t="n">
        <v>0</v>
      </c>
      <c r="E92" s="6" t="n">
        <v>0</v>
      </c>
      <c r="F92" s="6" t="n">
        <v>0</v>
      </c>
      <c r="G92" s="6" t="n">
        <v>0</v>
      </c>
      <c r="H92" s="6" t="n">
        <v>0</v>
      </c>
      <c r="I92" s="6" t="n">
        <v>0</v>
      </c>
      <c r="J92" s="6" t="n">
        <v>0</v>
      </c>
      <c r="K92" s="6" t="n">
        <v>0</v>
      </c>
      <c r="L92" s="6" t="n">
        <v>0</v>
      </c>
      <c r="M92" s="6" t="n">
        <v>0</v>
      </c>
      <c r="N92" s="6" t="n">
        <v>0</v>
      </c>
      <c r="O92" s="6" t="n">
        <v>0</v>
      </c>
      <c r="P92" s="6" t="n">
        <v>0</v>
      </c>
      <c r="Q92" s="6" t="n">
        <v>0</v>
      </c>
      <c r="R92" s="6" t="n">
        <v>0</v>
      </c>
      <c r="S92" s="6" t="n">
        <v>0</v>
      </c>
      <c r="T92" s="6" t="n">
        <v>0</v>
      </c>
      <c r="U92" s="6" t="n">
        <v>0</v>
      </c>
      <c r="V92" s="6" t="n">
        <v>0</v>
      </c>
      <c r="W92" s="6" t="n">
        <v>0</v>
      </c>
      <c r="X92" s="6" t="n">
        <v>0</v>
      </c>
      <c r="Y92" s="6" t="n">
        <v>0</v>
      </c>
      <c r="Z92" s="6" t="n">
        <v>0</v>
      </c>
      <c r="AA92" s="6" t="n">
        <v>0</v>
      </c>
      <c r="AB92" s="6">
        <f>SUM(D92:AA92)</f>
        <v/>
      </c>
      <c r="AC92" s="3" t="inlineStr"/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7" t="n">
        <v>0</v>
      </c>
      <c r="BB92" s="7">
        <f>SUM(AD92:BA92)</f>
        <v/>
      </c>
    </row>
    <row r="93">
      <c r="A93" t="inlineStr">
        <is>
          <t>AMD-RTS-RCLS-1302-SSC</t>
        </is>
      </c>
      <c r="B93" t="inlineStr">
        <is>
          <t>Rev OSC</t>
        </is>
      </c>
      <c r="C93" s="5" t="n">
        <v>46097</v>
      </c>
      <c r="D93" s="6" t="n">
        <v>0</v>
      </c>
      <c r="E93" s="6" t="n">
        <v>0</v>
      </c>
      <c r="F93" s="6" t="n">
        <v>0</v>
      </c>
      <c r="G93" s="6" t="n">
        <v>0</v>
      </c>
      <c r="H93" s="6" t="n">
        <v>0</v>
      </c>
      <c r="I93" s="6" t="n">
        <v>0</v>
      </c>
      <c r="J93" s="6" t="n">
        <v>0</v>
      </c>
      <c r="K93" s="6" t="n">
        <v>0</v>
      </c>
      <c r="L93" s="6" t="n">
        <v>0</v>
      </c>
      <c r="M93" s="6" t="n">
        <v>0</v>
      </c>
      <c r="N93" s="6" t="n">
        <v>0</v>
      </c>
      <c r="O93" s="6" t="n">
        <v>0</v>
      </c>
      <c r="P93" s="6" t="n">
        <v>0</v>
      </c>
      <c r="Q93" s="6" t="n">
        <v>0</v>
      </c>
      <c r="R93" s="6" t="n">
        <v>0</v>
      </c>
      <c r="S93" s="6" t="n">
        <v>0</v>
      </c>
      <c r="T93" s="6" t="n">
        <v>0</v>
      </c>
      <c r="U93" s="6" t="n">
        <v>0</v>
      </c>
      <c r="V93" s="6" t="n">
        <v>0</v>
      </c>
      <c r="W93" s="6" t="n">
        <v>0</v>
      </c>
      <c r="X93" s="6" t="n">
        <v>0</v>
      </c>
      <c r="Y93" s="6" t="n">
        <v>0</v>
      </c>
      <c r="Z93" s="6" t="n">
        <v>0</v>
      </c>
      <c r="AA93" s="6" t="n">
        <v>0</v>
      </c>
      <c r="AB93" s="6">
        <f>SUM(D93:AA93)</f>
        <v/>
      </c>
      <c r="AC93" s="3" t="inlineStr"/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0</v>
      </c>
      <c r="BA93" s="7" t="n">
        <v>0</v>
      </c>
      <c r="BB93" s="7">
        <f>SUM(AD93:BA93)</f>
        <v/>
      </c>
    </row>
    <row r="94">
      <c r="A94" t="inlineStr">
        <is>
          <t>AMD-RTS-RCLS-1302-SSC</t>
        </is>
      </c>
      <c r="B94" t="inlineStr">
        <is>
          <t>Rev OSC</t>
        </is>
      </c>
      <c r="C94" s="5" t="n">
        <v>46100</v>
      </c>
      <c r="D94" s="6" t="n">
        <v>0</v>
      </c>
      <c r="E94" s="6" t="n">
        <v>0</v>
      </c>
      <c r="F94" s="6" t="n">
        <v>0</v>
      </c>
      <c r="G94" s="6" t="n">
        <v>0</v>
      </c>
      <c r="H94" s="6" t="n">
        <v>0</v>
      </c>
      <c r="I94" s="6" t="n">
        <v>0</v>
      </c>
      <c r="J94" s="6" t="n">
        <v>0</v>
      </c>
      <c r="K94" s="6" t="n">
        <v>0</v>
      </c>
      <c r="L94" s="6" t="n">
        <v>0</v>
      </c>
      <c r="M94" s="6" t="n">
        <v>0</v>
      </c>
      <c r="N94" s="6" t="n">
        <v>0</v>
      </c>
      <c r="O94" s="6" t="n">
        <v>0</v>
      </c>
      <c r="P94" s="6" t="n">
        <v>0</v>
      </c>
      <c r="Q94" s="6" t="n">
        <v>0</v>
      </c>
      <c r="R94" s="6" t="n">
        <v>0</v>
      </c>
      <c r="S94" s="6" t="n">
        <v>0</v>
      </c>
      <c r="T94" s="6" t="n">
        <v>0</v>
      </c>
      <c r="U94" s="6" t="n">
        <v>0</v>
      </c>
      <c r="V94" s="6" t="n">
        <v>0</v>
      </c>
      <c r="W94" s="6" t="n">
        <v>0</v>
      </c>
      <c r="X94" s="6" t="n">
        <v>0</v>
      </c>
      <c r="Y94" s="6" t="n">
        <v>0</v>
      </c>
      <c r="Z94" s="6" t="n">
        <v>0</v>
      </c>
      <c r="AA94" s="6" t="n">
        <v>0</v>
      </c>
      <c r="AB94" s="6">
        <f>SUM(D94:AA94)</f>
        <v/>
      </c>
      <c r="AC94" s="3" t="inlineStr"/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7" t="n">
        <v>0</v>
      </c>
      <c r="BB94" s="7">
        <f>SUM(AD94:BA94)</f>
        <v/>
      </c>
    </row>
    <row r="95">
      <c r="A95" t="inlineStr">
        <is>
          <t>AMD-RTS-RCLS-1302-SSC</t>
        </is>
      </c>
      <c r="B95" t="inlineStr">
        <is>
          <t>Rev OSC</t>
        </is>
      </c>
      <c r="C95" s="5" t="n">
        <v>46102</v>
      </c>
      <c r="D95" s="6" t="n">
        <v>0</v>
      </c>
      <c r="E95" s="6" t="n">
        <v>0</v>
      </c>
      <c r="F95" s="6" t="n">
        <v>0</v>
      </c>
      <c r="G95" s="6" t="n">
        <v>0</v>
      </c>
      <c r="H95" s="6" t="n">
        <v>0</v>
      </c>
      <c r="I95" s="6" t="n">
        <v>0</v>
      </c>
      <c r="J95" s="6" t="n">
        <v>0</v>
      </c>
      <c r="K95" s="6" t="n">
        <v>0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0</v>
      </c>
      <c r="Q95" s="6" t="n">
        <v>0</v>
      </c>
      <c r="R95" s="6" t="n">
        <v>0</v>
      </c>
      <c r="S95" s="6" t="n">
        <v>0</v>
      </c>
      <c r="T95" s="6" t="n">
        <v>0</v>
      </c>
      <c r="U95" s="6" t="n">
        <v>0</v>
      </c>
      <c r="V95" s="6" t="n">
        <v>0</v>
      </c>
      <c r="W95" s="6" t="n">
        <v>0</v>
      </c>
      <c r="X95" s="6" t="n">
        <v>0</v>
      </c>
      <c r="Y95" s="6" t="n">
        <v>0</v>
      </c>
      <c r="Z95" s="6" t="n">
        <v>0</v>
      </c>
      <c r="AA95" s="6" t="n">
        <v>0</v>
      </c>
      <c r="AB95" s="6">
        <f>SUM(D95:AA95)</f>
        <v/>
      </c>
      <c r="AC95" s="3" t="inlineStr"/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7" t="n">
        <v>0</v>
      </c>
      <c r="BB95" s="7">
        <f>SUM(AD95:BA95)</f>
        <v/>
      </c>
    </row>
    <row r="96">
      <c r="A96" t="inlineStr">
        <is>
          <t>AMD-RTS-RCLS-1302-SSC</t>
        </is>
      </c>
      <c r="B96" t="inlineStr">
        <is>
          <t>Rev OSC</t>
        </is>
      </c>
      <c r="C96" s="5" t="n">
        <v>46103</v>
      </c>
      <c r="D96" s="6" t="n">
        <v>0</v>
      </c>
      <c r="E96" s="6" t="n">
        <v>0</v>
      </c>
      <c r="F96" s="6" t="n">
        <v>0</v>
      </c>
      <c r="G96" s="6" t="n">
        <v>0</v>
      </c>
      <c r="H96" s="6" t="n">
        <v>0</v>
      </c>
      <c r="I96" s="6" t="n">
        <v>0</v>
      </c>
      <c r="J96" s="6" t="n">
        <v>0</v>
      </c>
      <c r="K96" s="6" t="n">
        <v>0</v>
      </c>
      <c r="L96" s="6" t="n">
        <v>0</v>
      </c>
      <c r="M96" s="6" t="n">
        <v>0</v>
      </c>
      <c r="N96" s="6" t="n">
        <v>0</v>
      </c>
      <c r="O96" s="6" t="n">
        <v>0</v>
      </c>
      <c r="P96" s="6" t="n">
        <v>0</v>
      </c>
      <c r="Q96" s="6" t="n">
        <v>0</v>
      </c>
      <c r="R96" s="6" t="n">
        <v>0</v>
      </c>
      <c r="S96" s="6" t="n">
        <v>0</v>
      </c>
      <c r="T96" s="6" t="n">
        <v>0</v>
      </c>
      <c r="U96" s="6" t="n">
        <v>0</v>
      </c>
      <c r="V96" s="6" t="n">
        <v>0</v>
      </c>
      <c r="W96" s="6" t="n">
        <v>0</v>
      </c>
      <c r="X96" s="6" t="n">
        <v>0</v>
      </c>
      <c r="Y96" s="6" t="n">
        <v>0</v>
      </c>
      <c r="Z96" s="6" t="n">
        <v>0</v>
      </c>
      <c r="AA96" s="6" t="n">
        <v>0</v>
      </c>
      <c r="AB96" s="6">
        <f>SUM(D96:AA96)</f>
        <v/>
      </c>
      <c r="AC96" s="3" t="inlineStr"/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7" t="n">
        <v>0</v>
      </c>
      <c r="BB96" s="7">
        <f>SUM(AD96:BA96)</f>
        <v/>
      </c>
    </row>
    <row r="97">
      <c r="A97" t="inlineStr">
        <is>
          <t>AMD-RTS-RCLS-1302-SSC</t>
        </is>
      </c>
      <c r="B97" t="inlineStr">
        <is>
          <t>Rev OSC</t>
        </is>
      </c>
      <c r="C97" s="5" t="n">
        <v>46104</v>
      </c>
      <c r="D97" s="6" t="n">
        <v>0</v>
      </c>
      <c r="E97" s="6" t="n">
        <v>0</v>
      </c>
      <c r="F97" s="6" t="n">
        <v>0</v>
      </c>
      <c r="G97" s="6" t="n">
        <v>0</v>
      </c>
      <c r="H97" s="6" t="n">
        <v>0</v>
      </c>
      <c r="I97" s="6" t="n">
        <v>0</v>
      </c>
      <c r="J97" s="6" t="n">
        <v>0</v>
      </c>
      <c r="K97" s="6" t="n">
        <v>0</v>
      </c>
      <c r="L97" s="6" t="n">
        <v>0</v>
      </c>
      <c r="M97" s="6" t="n">
        <v>0</v>
      </c>
      <c r="N97" s="6" t="n">
        <v>0</v>
      </c>
      <c r="O97" s="6" t="n">
        <v>0</v>
      </c>
      <c r="P97" s="6" t="n">
        <v>0</v>
      </c>
      <c r="Q97" s="6" t="n">
        <v>0</v>
      </c>
      <c r="R97" s="6" t="n">
        <v>0</v>
      </c>
      <c r="S97" s="6" t="n">
        <v>0</v>
      </c>
      <c r="T97" s="6" t="n">
        <v>0</v>
      </c>
      <c r="U97" s="6" t="n">
        <v>0</v>
      </c>
      <c r="V97" s="6" t="n">
        <v>0</v>
      </c>
      <c r="W97" s="6" t="n">
        <v>0</v>
      </c>
      <c r="X97" s="6" t="n">
        <v>0</v>
      </c>
      <c r="Y97" s="6" t="n">
        <v>0</v>
      </c>
      <c r="Z97" s="6" t="n">
        <v>0</v>
      </c>
      <c r="AA97" s="6" t="n">
        <v>0</v>
      </c>
      <c r="AB97" s="6">
        <f>SUM(D97:AA97)</f>
        <v/>
      </c>
      <c r="AC97" s="3" t="inlineStr"/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0</v>
      </c>
      <c r="BA97" s="7" t="n">
        <v>0</v>
      </c>
      <c r="BB97" s="7">
        <f>SUM(AD97:BA97)</f>
        <v/>
      </c>
    </row>
    <row r="98">
      <c r="A98" t="inlineStr">
        <is>
          <t>AMD-RTS-RCLS-1302-SSC</t>
        </is>
      </c>
      <c r="B98" t="inlineStr">
        <is>
          <t>Rev OSC</t>
        </is>
      </c>
      <c r="C98" s="5" t="n">
        <v>46105</v>
      </c>
      <c r="D98" s="6" t="n">
        <v>0</v>
      </c>
      <c r="E98" s="6" t="n">
        <v>0</v>
      </c>
      <c r="F98" s="6" t="n">
        <v>0</v>
      </c>
      <c r="G98" s="6" t="n">
        <v>0</v>
      </c>
      <c r="H98" s="6" t="n">
        <v>0</v>
      </c>
      <c r="I98" s="6" t="n">
        <v>0</v>
      </c>
      <c r="J98" s="6" t="n">
        <v>0</v>
      </c>
      <c r="K98" s="6" t="n">
        <v>0</v>
      </c>
      <c r="L98" s="6" t="n">
        <v>0</v>
      </c>
      <c r="M98" s="6" t="n">
        <v>0</v>
      </c>
      <c r="N98" s="6" t="n">
        <v>0</v>
      </c>
      <c r="O98" s="6" t="n">
        <v>0</v>
      </c>
      <c r="P98" s="6" t="n">
        <v>0</v>
      </c>
      <c r="Q98" s="6" t="n">
        <v>0</v>
      </c>
      <c r="R98" s="6" t="n">
        <v>0</v>
      </c>
      <c r="S98" s="6" t="n">
        <v>0</v>
      </c>
      <c r="T98" s="6" t="n">
        <v>0</v>
      </c>
      <c r="U98" s="6" t="n">
        <v>0</v>
      </c>
      <c r="V98" s="6" t="n">
        <v>0</v>
      </c>
      <c r="W98" s="6" t="n">
        <v>0</v>
      </c>
      <c r="X98" s="6" t="n">
        <v>0</v>
      </c>
      <c r="Y98" s="6" t="n">
        <v>0</v>
      </c>
      <c r="Z98" s="6" t="n">
        <v>0</v>
      </c>
      <c r="AA98" s="6" t="n">
        <v>0</v>
      </c>
      <c r="AB98" s="6">
        <f>SUM(D98:AA98)</f>
        <v/>
      </c>
      <c r="AC98" s="3" t="inlineStr"/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7" t="n">
        <v>0</v>
      </c>
      <c r="BB98" s="7">
        <f>SUM(AD98:BA98)</f>
        <v/>
      </c>
    </row>
    <row r="99">
      <c r="A99" t="inlineStr">
        <is>
          <t>AMD-RTS-RCLS-1302-SSC_1</t>
        </is>
      </c>
      <c r="B99" t="inlineStr">
        <is>
          <t>Rev OSC</t>
        </is>
      </c>
      <c r="C99" s="5" t="n">
        <v>46090</v>
      </c>
      <c r="D99" s="6" t="n">
        <v>0</v>
      </c>
      <c r="E99" s="6" t="n">
        <v>0</v>
      </c>
      <c r="F99" s="6" t="n">
        <v>0</v>
      </c>
      <c r="G99" s="6" t="n">
        <v>0</v>
      </c>
      <c r="H99" s="6" t="n">
        <v>0</v>
      </c>
      <c r="I99" s="6" t="n">
        <v>0</v>
      </c>
      <c r="J99" s="6" t="n">
        <v>0</v>
      </c>
      <c r="K99" s="6" t="n">
        <v>0</v>
      </c>
      <c r="L99" s="6" t="n">
        <v>0</v>
      </c>
      <c r="M99" s="6" t="n">
        <v>0</v>
      </c>
      <c r="N99" s="6" t="n">
        <v>0</v>
      </c>
      <c r="O99" s="6" t="n">
        <v>0</v>
      </c>
      <c r="P99" s="6" t="n">
        <v>0</v>
      </c>
      <c r="Q99" s="6" t="n">
        <v>0</v>
      </c>
      <c r="R99" s="6" t="n">
        <v>0</v>
      </c>
      <c r="S99" s="6" t="n">
        <v>0</v>
      </c>
      <c r="T99" s="6" t="n">
        <v>0</v>
      </c>
      <c r="U99" s="6" t="n">
        <v>0</v>
      </c>
      <c r="V99" s="6" t="n">
        <v>0</v>
      </c>
      <c r="W99" s="6" t="n">
        <v>0</v>
      </c>
      <c r="X99" s="6" t="n">
        <v>0</v>
      </c>
      <c r="Y99" s="6" t="n">
        <v>0</v>
      </c>
      <c r="Z99" s="6" t="n">
        <v>0</v>
      </c>
      <c r="AA99" s="6" t="n">
        <v>0</v>
      </c>
      <c r="AB99" s="6">
        <f>SUM(D99:AA99)</f>
        <v/>
      </c>
      <c r="AC99" s="3" t="inlineStr"/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7" t="n">
        <v>0</v>
      </c>
      <c r="BB99" s="7">
        <f>SUM(AD99:BA99)</f>
        <v/>
      </c>
    </row>
    <row r="100">
      <c r="A100" t="inlineStr">
        <is>
          <t>AMD-RTS-RCLS-1302-SSC_1</t>
        </is>
      </c>
      <c r="B100" t="inlineStr">
        <is>
          <t>Rev OSC</t>
        </is>
      </c>
      <c r="C100" s="5" t="n">
        <v>46093</v>
      </c>
      <c r="D100" s="6" t="n">
        <v>0</v>
      </c>
      <c r="E100" s="6" t="n">
        <v>0</v>
      </c>
      <c r="F100" s="6" t="n">
        <v>0</v>
      </c>
      <c r="G100" s="6" t="n">
        <v>0</v>
      </c>
      <c r="H100" s="6" t="n">
        <v>0</v>
      </c>
      <c r="I100" s="6" t="n">
        <v>0</v>
      </c>
      <c r="J100" s="6" t="n">
        <v>0</v>
      </c>
      <c r="K100" s="6" t="n">
        <v>0</v>
      </c>
      <c r="L100" s="6" t="n">
        <v>0</v>
      </c>
      <c r="M100" s="6" t="n">
        <v>0</v>
      </c>
      <c r="N100" s="6" t="n">
        <v>0</v>
      </c>
      <c r="O100" s="6" t="n">
        <v>0</v>
      </c>
      <c r="P100" s="6" t="n">
        <v>0</v>
      </c>
      <c r="Q100" s="6" t="n">
        <v>0</v>
      </c>
      <c r="R100" s="6" t="n">
        <v>0</v>
      </c>
      <c r="S100" s="6" t="n">
        <v>0</v>
      </c>
      <c r="T100" s="6" t="n">
        <v>0</v>
      </c>
      <c r="U100" s="6" t="n">
        <v>0</v>
      </c>
      <c r="V100" s="6" t="n">
        <v>0</v>
      </c>
      <c r="W100" s="6" t="n">
        <v>0</v>
      </c>
      <c r="X100" s="6" t="n">
        <v>0</v>
      </c>
      <c r="Y100" s="6" t="n">
        <v>0</v>
      </c>
      <c r="Z100" s="6" t="n">
        <v>0</v>
      </c>
      <c r="AA100" s="6" t="n">
        <v>0</v>
      </c>
      <c r="AB100" s="6">
        <f>SUM(D100:AA100)</f>
        <v/>
      </c>
      <c r="AC100" s="3" t="inlineStr"/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7" t="n">
        <v>0</v>
      </c>
      <c r="BB100" s="7">
        <f>SUM(AD100:BA100)</f>
        <v/>
      </c>
    </row>
    <row r="101">
      <c r="A101" t="inlineStr">
        <is>
          <t>AMD-RTS-RCLS-1302-SSC_1</t>
        </is>
      </c>
      <c r="B101" t="inlineStr">
        <is>
          <t>Rev OSC</t>
        </is>
      </c>
      <c r="C101" s="5" t="n">
        <v>46094</v>
      </c>
      <c r="D101" s="6" t="n">
        <v>0</v>
      </c>
      <c r="E101" s="6" t="n">
        <v>0</v>
      </c>
      <c r="F101" s="6" t="n">
        <v>0</v>
      </c>
      <c r="G101" s="6" t="n">
        <v>0</v>
      </c>
      <c r="H101" s="6" t="n">
        <v>0</v>
      </c>
      <c r="I101" s="6" t="n">
        <v>0</v>
      </c>
      <c r="J101" s="6" t="n">
        <v>0</v>
      </c>
      <c r="K101" s="6" t="n">
        <v>0</v>
      </c>
      <c r="L101" s="6" t="n">
        <v>0</v>
      </c>
      <c r="M101" s="6" t="n">
        <v>0</v>
      </c>
      <c r="N101" s="6" t="n">
        <v>0</v>
      </c>
      <c r="O101" s="6" t="n">
        <v>0</v>
      </c>
      <c r="P101" s="6" t="n">
        <v>0</v>
      </c>
      <c r="Q101" s="6" t="n">
        <v>0</v>
      </c>
      <c r="R101" s="6" t="n">
        <v>0</v>
      </c>
      <c r="S101" s="6" t="n">
        <v>0</v>
      </c>
      <c r="T101" s="6" t="n">
        <v>0</v>
      </c>
      <c r="U101" s="6" t="n">
        <v>0</v>
      </c>
      <c r="V101" s="6" t="n">
        <v>0</v>
      </c>
      <c r="W101" s="6" t="n">
        <v>0</v>
      </c>
      <c r="X101" s="6" t="n">
        <v>0</v>
      </c>
      <c r="Y101" s="6" t="n">
        <v>0</v>
      </c>
      <c r="Z101" s="6" t="n">
        <v>0</v>
      </c>
      <c r="AA101" s="6" t="n">
        <v>0</v>
      </c>
      <c r="AB101" s="6">
        <f>SUM(D101:AA101)</f>
        <v/>
      </c>
      <c r="AC101" s="3" t="inlineStr"/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7" t="n">
        <v>0</v>
      </c>
      <c r="BB101" s="7">
        <f>SUM(AD101:BA101)</f>
        <v/>
      </c>
    </row>
    <row r="102">
      <c r="A102" t="inlineStr">
        <is>
          <t>AMD-RTS-RCLS-1302-SSC_1</t>
        </is>
      </c>
      <c r="B102" t="inlineStr">
        <is>
          <t>Rev OSC</t>
        </is>
      </c>
      <c r="C102" s="5" t="n">
        <v>46095</v>
      </c>
      <c r="D102" s="6" t="n">
        <v>0</v>
      </c>
      <c r="E102" s="6" t="n">
        <v>0</v>
      </c>
      <c r="F102" s="6" t="n">
        <v>0</v>
      </c>
      <c r="G102" s="6" t="n">
        <v>0</v>
      </c>
      <c r="H102" s="6" t="n">
        <v>0</v>
      </c>
      <c r="I102" s="6" t="n">
        <v>0</v>
      </c>
      <c r="J102" s="6" t="n">
        <v>0</v>
      </c>
      <c r="K102" s="6" t="n">
        <v>0</v>
      </c>
      <c r="L102" s="6" t="n">
        <v>0</v>
      </c>
      <c r="M102" s="6" t="n">
        <v>0</v>
      </c>
      <c r="N102" s="6" t="n">
        <v>0</v>
      </c>
      <c r="O102" s="6" t="n">
        <v>0</v>
      </c>
      <c r="P102" s="6" t="n">
        <v>0</v>
      </c>
      <c r="Q102" s="6" t="n">
        <v>0</v>
      </c>
      <c r="R102" s="6" t="n">
        <v>0</v>
      </c>
      <c r="S102" s="6" t="n">
        <v>0</v>
      </c>
      <c r="T102" s="6" t="n">
        <v>0</v>
      </c>
      <c r="U102" s="6" t="n">
        <v>0</v>
      </c>
      <c r="V102" s="6" t="n">
        <v>0</v>
      </c>
      <c r="W102" s="6" t="n">
        <v>0</v>
      </c>
      <c r="X102" s="6" t="n">
        <v>0</v>
      </c>
      <c r="Y102" s="6" t="n">
        <v>0</v>
      </c>
      <c r="Z102" s="6" t="n">
        <v>0</v>
      </c>
      <c r="AA102" s="6" t="n">
        <v>0</v>
      </c>
      <c r="AB102" s="6">
        <f>SUM(D102:AA102)</f>
        <v/>
      </c>
      <c r="AC102" s="3" t="inlineStr"/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7" t="n">
        <v>0</v>
      </c>
      <c r="BB102" s="7">
        <f>SUM(AD102:BA102)</f>
        <v/>
      </c>
    </row>
    <row r="103">
      <c r="A103" t="inlineStr">
        <is>
          <t>AMD-RTS-RCLS-1302-SSC_1</t>
        </is>
      </c>
      <c r="B103" t="inlineStr">
        <is>
          <t>Rev OSC</t>
        </is>
      </c>
      <c r="C103" s="5" t="n">
        <v>46100</v>
      </c>
      <c r="D103" s="6" t="n">
        <v>0</v>
      </c>
      <c r="E103" s="6" t="n">
        <v>0</v>
      </c>
      <c r="F103" s="6" t="n">
        <v>0</v>
      </c>
      <c r="G103" s="6" t="n">
        <v>0</v>
      </c>
      <c r="H103" s="6" t="n">
        <v>0</v>
      </c>
      <c r="I103" s="6" t="n">
        <v>0</v>
      </c>
      <c r="J103" s="6" t="n">
        <v>0</v>
      </c>
      <c r="K103" s="6" t="n">
        <v>0</v>
      </c>
      <c r="L103" s="6" t="n">
        <v>0</v>
      </c>
      <c r="M103" s="6" t="n">
        <v>0</v>
      </c>
      <c r="N103" s="6" t="n">
        <v>0</v>
      </c>
      <c r="O103" s="6" t="n">
        <v>0</v>
      </c>
      <c r="P103" s="6" t="n">
        <v>0</v>
      </c>
      <c r="Q103" s="6" t="n">
        <v>0</v>
      </c>
      <c r="R103" s="6" t="n">
        <v>0</v>
      </c>
      <c r="S103" s="6" t="n">
        <v>0</v>
      </c>
      <c r="T103" s="6" t="n">
        <v>0</v>
      </c>
      <c r="U103" s="6" t="n">
        <v>0</v>
      </c>
      <c r="V103" s="6" t="n">
        <v>0</v>
      </c>
      <c r="W103" s="6" t="n">
        <v>0</v>
      </c>
      <c r="X103" s="6" t="n">
        <v>0</v>
      </c>
      <c r="Y103" s="6" t="n">
        <v>0</v>
      </c>
      <c r="Z103" s="6" t="n">
        <v>0</v>
      </c>
      <c r="AA103" s="6" t="n">
        <v>0</v>
      </c>
      <c r="AB103" s="6">
        <f>SUM(D103:AA103)</f>
        <v/>
      </c>
      <c r="AC103" s="3" t="inlineStr"/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7" t="n">
        <v>0</v>
      </c>
      <c r="BB103" s="7">
        <f>SUM(AD103:BA103)</f>
        <v/>
      </c>
    </row>
    <row r="104">
      <c r="A104" t="inlineStr">
        <is>
          <t>AMD-RTS-RCLS-1302-SSC_1</t>
        </is>
      </c>
      <c r="B104" t="inlineStr">
        <is>
          <t>Rev OSC</t>
        </is>
      </c>
      <c r="C104" s="5" t="n">
        <v>46102</v>
      </c>
      <c r="D104" s="6" t="n">
        <v>0</v>
      </c>
      <c r="E104" s="6" t="n">
        <v>0</v>
      </c>
      <c r="F104" s="6" t="n">
        <v>0</v>
      </c>
      <c r="G104" s="6" t="n">
        <v>0</v>
      </c>
      <c r="H104" s="6" t="n">
        <v>0</v>
      </c>
      <c r="I104" s="6" t="n">
        <v>0</v>
      </c>
      <c r="J104" s="6" t="n">
        <v>0</v>
      </c>
      <c r="K104" s="6" t="n">
        <v>0</v>
      </c>
      <c r="L104" s="6" t="n">
        <v>0</v>
      </c>
      <c r="M104" s="6" t="n">
        <v>0</v>
      </c>
      <c r="N104" s="6" t="n">
        <v>0</v>
      </c>
      <c r="O104" s="6" t="n">
        <v>0</v>
      </c>
      <c r="P104" s="6" t="n">
        <v>0</v>
      </c>
      <c r="Q104" s="6" t="n">
        <v>0</v>
      </c>
      <c r="R104" s="6" t="n">
        <v>0</v>
      </c>
      <c r="S104" s="6" t="n">
        <v>0</v>
      </c>
      <c r="T104" s="6" t="n">
        <v>0</v>
      </c>
      <c r="U104" s="6" t="n">
        <v>0</v>
      </c>
      <c r="V104" s="6" t="n">
        <v>0</v>
      </c>
      <c r="W104" s="6" t="n">
        <v>0</v>
      </c>
      <c r="X104" s="6" t="n">
        <v>0</v>
      </c>
      <c r="Y104" s="6" t="n">
        <v>0</v>
      </c>
      <c r="Z104" s="6" t="n">
        <v>0</v>
      </c>
      <c r="AA104" s="6" t="n">
        <v>0</v>
      </c>
      <c r="AB104" s="6">
        <f>SUM(D104:AA104)</f>
        <v/>
      </c>
      <c r="AC104" s="3" t="inlineStr"/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  <c r="BB104" s="7">
        <f>SUM(AD104:BA104)</f>
        <v/>
      </c>
    </row>
    <row r="105">
      <c r="A105" t="inlineStr">
        <is>
          <t>AMD-RTS-RCLS-1302-SSC_1</t>
        </is>
      </c>
      <c r="B105" t="inlineStr">
        <is>
          <t>Rev OSC</t>
        </is>
      </c>
      <c r="C105" s="5" t="n">
        <v>46103</v>
      </c>
      <c r="D105" s="6" t="n">
        <v>0</v>
      </c>
      <c r="E105" s="6" t="n">
        <v>0</v>
      </c>
      <c r="F105" s="6" t="n">
        <v>0</v>
      </c>
      <c r="G105" s="6" t="n">
        <v>0</v>
      </c>
      <c r="H105" s="6" t="n">
        <v>0</v>
      </c>
      <c r="I105" s="6" t="n">
        <v>0</v>
      </c>
      <c r="J105" s="6" t="n">
        <v>0</v>
      </c>
      <c r="K105" s="6" t="n">
        <v>0</v>
      </c>
      <c r="L105" s="6" t="n">
        <v>0</v>
      </c>
      <c r="M105" s="6" t="n">
        <v>0</v>
      </c>
      <c r="N105" s="6" t="n">
        <v>0</v>
      </c>
      <c r="O105" s="6" t="n">
        <v>0</v>
      </c>
      <c r="P105" s="6" t="n">
        <v>0</v>
      </c>
      <c r="Q105" s="6" t="n">
        <v>0</v>
      </c>
      <c r="R105" s="6" t="n">
        <v>0</v>
      </c>
      <c r="S105" s="6" t="n">
        <v>0</v>
      </c>
      <c r="T105" s="6" t="n">
        <v>0</v>
      </c>
      <c r="U105" s="6" t="n">
        <v>0</v>
      </c>
      <c r="V105" s="6" t="n">
        <v>0</v>
      </c>
      <c r="W105" s="6" t="n">
        <v>0</v>
      </c>
      <c r="X105" s="6" t="n">
        <v>0</v>
      </c>
      <c r="Y105" s="6" t="n">
        <v>0</v>
      </c>
      <c r="Z105" s="6" t="n">
        <v>0</v>
      </c>
      <c r="AA105" s="6" t="n">
        <v>0</v>
      </c>
      <c r="AB105" s="6">
        <f>SUM(D105:AA105)</f>
        <v/>
      </c>
      <c r="AC105" s="3" t="inlineStr"/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7" t="n">
        <v>0</v>
      </c>
      <c r="BB105" s="7">
        <f>SUM(AD105:BA105)</f>
        <v/>
      </c>
    </row>
    <row r="106">
      <c r="A106" t="inlineStr">
        <is>
          <t>AMD-RTS-RCLS-1302-SSC_1</t>
        </is>
      </c>
      <c r="B106" t="inlineStr">
        <is>
          <t>Rev OSC</t>
        </is>
      </c>
      <c r="C106" s="5" t="n">
        <v>46104</v>
      </c>
      <c r="D106" s="6" t="n">
        <v>0</v>
      </c>
      <c r="E106" s="6" t="n">
        <v>0</v>
      </c>
      <c r="F106" s="6" t="n">
        <v>0</v>
      </c>
      <c r="G106" s="6" t="n">
        <v>0</v>
      </c>
      <c r="H106" s="6" t="n">
        <v>0</v>
      </c>
      <c r="I106" s="6" t="n">
        <v>0</v>
      </c>
      <c r="J106" s="6" t="n">
        <v>0</v>
      </c>
      <c r="K106" s="6" t="n">
        <v>0</v>
      </c>
      <c r="L106" s="6" t="n">
        <v>0</v>
      </c>
      <c r="M106" s="6" t="n">
        <v>0</v>
      </c>
      <c r="N106" s="6" t="n">
        <v>0</v>
      </c>
      <c r="O106" s="6" t="n">
        <v>0</v>
      </c>
      <c r="P106" s="6" t="n">
        <v>0</v>
      </c>
      <c r="Q106" s="6" t="n">
        <v>0</v>
      </c>
      <c r="R106" s="6" t="n">
        <v>0</v>
      </c>
      <c r="S106" s="6" t="n">
        <v>0</v>
      </c>
      <c r="T106" s="6" t="n">
        <v>0</v>
      </c>
      <c r="U106" s="6" t="n">
        <v>0</v>
      </c>
      <c r="V106" s="6" t="n">
        <v>0</v>
      </c>
      <c r="W106" s="6" t="n">
        <v>0</v>
      </c>
      <c r="X106" s="6" t="n">
        <v>0</v>
      </c>
      <c r="Y106" s="6" t="n">
        <v>0</v>
      </c>
      <c r="Z106" s="6" t="n">
        <v>0</v>
      </c>
      <c r="AA106" s="6" t="n">
        <v>0</v>
      </c>
      <c r="AB106" s="6">
        <f>SUM(D106:AA106)</f>
        <v/>
      </c>
      <c r="AC106" s="3" t="inlineStr"/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7" t="n">
        <v>0</v>
      </c>
      <c r="BB106" s="7">
        <f>SUM(AD106:BA106)</f>
        <v/>
      </c>
    </row>
    <row r="107">
      <c r="A107" t="inlineStr">
        <is>
          <t>AMD-RTS-RCLS-1302-SSC_1</t>
        </is>
      </c>
      <c r="B107" t="inlineStr">
        <is>
          <t>Rev OSC</t>
        </is>
      </c>
      <c r="C107" s="5" t="n">
        <v>46105</v>
      </c>
      <c r="D107" s="6" t="n">
        <v>0</v>
      </c>
      <c r="E107" s="6" t="n">
        <v>0</v>
      </c>
      <c r="F107" s="6" t="n">
        <v>0</v>
      </c>
      <c r="G107" s="6" t="n">
        <v>0</v>
      </c>
      <c r="H107" s="6" t="n">
        <v>0</v>
      </c>
      <c r="I107" s="6" t="n">
        <v>0</v>
      </c>
      <c r="J107" s="6" t="n">
        <v>0</v>
      </c>
      <c r="K107" s="6" t="n">
        <v>0</v>
      </c>
      <c r="L107" s="6" t="n">
        <v>0</v>
      </c>
      <c r="M107" s="6" t="n">
        <v>0</v>
      </c>
      <c r="N107" s="6" t="n">
        <v>0</v>
      </c>
      <c r="O107" s="6" t="n">
        <v>0</v>
      </c>
      <c r="P107" s="6" t="n">
        <v>0</v>
      </c>
      <c r="Q107" s="6" t="n">
        <v>0</v>
      </c>
      <c r="R107" s="6" t="n">
        <v>0</v>
      </c>
      <c r="S107" s="6" t="n">
        <v>0</v>
      </c>
      <c r="T107" s="6" t="n">
        <v>0</v>
      </c>
      <c r="U107" s="6" t="n">
        <v>0</v>
      </c>
      <c r="V107" s="6" t="n">
        <v>0</v>
      </c>
      <c r="W107" s="6" t="n">
        <v>0</v>
      </c>
      <c r="X107" s="6" t="n">
        <v>0</v>
      </c>
      <c r="Y107" s="6" t="n">
        <v>0</v>
      </c>
      <c r="Z107" s="6" t="n">
        <v>0</v>
      </c>
      <c r="AA107" s="6" t="n">
        <v>0</v>
      </c>
      <c r="AB107" s="6">
        <f>SUM(D107:AA107)</f>
        <v/>
      </c>
      <c r="AC107" s="3" t="inlineStr"/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7" t="n">
        <v>0</v>
      </c>
      <c r="BB107" s="7">
        <f>SUM(AD107:BA107)</f>
        <v/>
      </c>
    </row>
    <row r="108">
      <c r="A108" t="inlineStr">
        <is>
          <t>AMD-RTS-RCLS-1302-SSC_2</t>
        </is>
      </c>
      <c r="B108" t="inlineStr">
        <is>
          <t>Rev OSC</t>
        </is>
      </c>
      <c r="C108" s="5" t="n">
        <v>46100</v>
      </c>
      <c r="D108" s="6" t="n">
        <v>0</v>
      </c>
      <c r="E108" s="6" t="n">
        <v>0</v>
      </c>
      <c r="F108" s="6" t="n">
        <v>0</v>
      </c>
      <c r="G108" s="6" t="n">
        <v>0</v>
      </c>
      <c r="H108" s="6" t="n">
        <v>0</v>
      </c>
      <c r="I108" s="6" t="n">
        <v>0</v>
      </c>
      <c r="J108" s="6" t="n">
        <v>0</v>
      </c>
      <c r="K108" s="6" t="n">
        <v>0</v>
      </c>
      <c r="L108" s="6" t="n">
        <v>0</v>
      </c>
      <c r="M108" s="6" t="n">
        <v>0</v>
      </c>
      <c r="N108" s="6" t="n">
        <v>0</v>
      </c>
      <c r="O108" s="6" t="n">
        <v>0</v>
      </c>
      <c r="P108" s="6" t="n">
        <v>0</v>
      </c>
      <c r="Q108" s="6" t="n">
        <v>0</v>
      </c>
      <c r="R108" s="6" t="n">
        <v>0</v>
      </c>
      <c r="S108" s="6" t="n">
        <v>0</v>
      </c>
      <c r="T108" s="6" t="n">
        <v>0</v>
      </c>
      <c r="U108" s="6" t="n">
        <v>0</v>
      </c>
      <c r="V108" s="6" t="n">
        <v>0</v>
      </c>
      <c r="W108" s="6" t="n">
        <v>0</v>
      </c>
      <c r="X108" s="6" t="n">
        <v>0</v>
      </c>
      <c r="Y108" s="6" t="n">
        <v>0</v>
      </c>
      <c r="Z108" s="6" t="n">
        <v>0</v>
      </c>
      <c r="AA108" s="6" t="n">
        <v>0</v>
      </c>
      <c r="AB108" s="6">
        <f>SUM(D108:AA108)</f>
        <v/>
      </c>
      <c r="AC108" s="3" t="inlineStr"/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7" t="n">
        <v>0</v>
      </c>
      <c r="BB108" s="7">
        <f>SUM(AD108:BA108)</f>
        <v/>
      </c>
    </row>
    <row r="109">
      <c r="A109" t="inlineStr">
        <is>
          <t>AMD-RTS-RCLS-1302-SSC_2</t>
        </is>
      </c>
      <c r="B109" t="inlineStr">
        <is>
          <t>Rev OSC</t>
        </is>
      </c>
      <c r="C109" s="5" t="n">
        <v>46102</v>
      </c>
      <c r="D109" s="6" t="n">
        <v>0</v>
      </c>
      <c r="E109" s="6" t="n">
        <v>0</v>
      </c>
      <c r="F109" s="6" t="n">
        <v>0</v>
      </c>
      <c r="G109" s="6" t="n">
        <v>0</v>
      </c>
      <c r="H109" s="6" t="n">
        <v>0</v>
      </c>
      <c r="I109" s="6" t="n">
        <v>0</v>
      </c>
      <c r="J109" s="6" t="n">
        <v>0</v>
      </c>
      <c r="K109" s="6" t="n">
        <v>0</v>
      </c>
      <c r="L109" s="6" t="n">
        <v>0</v>
      </c>
      <c r="M109" s="6" t="n">
        <v>0</v>
      </c>
      <c r="N109" s="6" t="n">
        <v>0</v>
      </c>
      <c r="O109" s="6" t="n">
        <v>0</v>
      </c>
      <c r="P109" s="6" t="n">
        <v>0</v>
      </c>
      <c r="Q109" s="6" t="n">
        <v>0</v>
      </c>
      <c r="R109" s="6" t="n">
        <v>0</v>
      </c>
      <c r="S109" s="6" t="n">
        <v>0</v>
      </c>
      <c r="T109" s="6" t="n">
        <v>0</v>
      </c>
      <c r="U109" s="6" t="n">
        <v>0</v>
      </c>
      <c r="V109" s="6" t="n">
        <v>0</v>
      </c>
      <c r="W109" s="6" t="n">
        <v>0</v>
      </c>
      <c r="X109" s="6" t="n">
        <v>0</v>
      </c>
      <c r="Y109" s="6" t="n">
        <v>0</v>
      </c>
      <c r="Z109" s="6" t="n">
        <v>0</v>
      </c>
      <c r="AA109" s="6" t="n">
        <v>0</v>
      </c>
      <c r="AB109" s="6">
        <f>SUM(D109:AA109)</f>
        <v/>
      </c>
      <c r="AC109" s="3" t="inlineStr"/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7" t="n">
        <v>0</v>
      </c>
      <c r="BB109" s="7">
        <f>SUM(AD109:BA109)</f>
        <v/>
      </c>
    </row>
    <row r="110">
      <c r="A110" t="inlineStr">
        <is>
          <t>AMD-RTS-RCLS-1302-SSC_2</t>
        </is>
      </c>
      <c r="B110" t="inlineStr">
        <is>
          <t>Rev OSC</t>
        </is>
      </c>
      <c r="C110" s="5" t="n">
        <v>46104</v>
      </c>
      <c r="D110" s="6" t="n">
        <v>0</v>
      </c>
      <c r="E110" s="6" t="n">
        <v>0</v>
      </c>
      <c r="F110" s="6" t="n">
        <v>0</v>
      </c>
      <c r="G110" s="6" t="n">
        <v>0</v>
      </c>
      <c r="H110" s="6" t="n">
        <v>0</v>
      </c>
      <c r="I110" s="6" t="n">
        <v>0</v>
      </c>
      <c r="J110" s="6" t="n">
        <v>0</v>
      </c>
      <c r="K110" s="6" t="n">
        <v>0</v>
      </c>
      <c r="L110" s="6" t="n">
        <v>0</v>
      </c>
      <c r="M110" s="6" t="n">
        <v>0</v>
      </c>
      <c r="N110" s="6" t="n">
        <v>0</v>
      </c>
      <c r="O110" s="6" t="n">
        <v>0</v>
      </c>
      <c r="P110" s="6" t="n">
        <v>0</v>
      </c>
      <c r="Q110" s="6" t="n">
        <v>0</v>
      </c>
      <c r="R110" s="6" t="n">
        <v>0</v>
      </c>
      <c r="S110" s="6" t="n">
        <v>0</v>
      </c>
      <c r="T110" s="6" t="n">
        <v>0</v>
      </c>
      <c r="U110" s="6" t="n">
        <v>0</v>
      </c>
      <c r="V110" s="6" t="n">
        <v>0</v>
      </c>
      <c r="W110" s="6" t="n">
        <v>0</v>
      </c>
      <c r="X110" s="6" t="n">
        <v>0</v>
      </c>
      <c r="Y110" s="6" t="n">
        <v>0</v>
      </c>
      <c r="Z110" s="6" t="n">
        <v>0</v>
      </c>
      <c r="AA110" s="6" t="n">
        <v>0</v>
      </c>
      <c r="AB110" s="6">
        <f>SUM(D110:AA110)</f>
        <v/>
      </c>
      <c r="AC110" s="3" t="inlineStr"/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  <c r="BB110" s="7">
        <f>SUM(AD110:BA110)</f>
        <v/>
      </c>
    </row>
    <row r="111">
      <c r="A111" t="inlineStr">
        <is>
          <t>DC-10-1</t>
        </is>
      </c>
      <c r="B111" t="inlineStr">
        <is>
          <t>DSC Manual</t>
        </is>
      </c>
      <c r="C111" s="5" t="n">
        <v>46089</v>
      </c>
      <c r="D111" s="6">
        <f>Summary!D111</f>
        <v/>
      </c>
      <c r="E111" s="6">
        <f>Summary!E111</f>
        <v/>
      </c>
      <c r="F111" s="6">
        <f>Summary!F111</f>
        <v/>
      </c>
      <c r="G111" s="6">
        <f>Summary!G111</f>
        <v/>
      </c>
      <c r="H111" s="6">
        <f>Summary!H111</f>
        <v/>
      </c>
      <c r="I111" s="6">
        <f>Summary!I111</f>
        <v/>
      </c>
      <c r="J111" s="6">
        <f>Summary!J111</f>
        <v/>
      </c>
      <c r="K111" s="6">
        <f>Summary!K111</f>
        <v/>
      </c>
      <c r="L111" s="6">
        <f>Summary!L111</f>
        <v/>
      </c>
      <c r="M111" s="6">
        <f>Summary!M111</f>
        <v/>
      </c>
      <c r="N111" s="6">
        <f>Summary!N111</f>
        <v/>
      </c>
      <c r="O111" s="6">
        <f>Summary!O111</f>
        <v/>
      </c>
      <c r="P111" s="6">
        <f>Summary!P111</f>
        <v/>
      </c>
      <c r="Q111" s="6">
        <f>Summary!Q111</f>
        <v/>
      </c>
      <c r="R111" s="6">
        <f>Summary!R111</f>
        <v/>
      </c>
      <c r="S111" s="6">
        <f>Summary!S111</f>
        <v/>
      </c>
      <c r="T111" s="6">
        <f>Summary!T111</f>
        <v/>
      </c>
      <c r="U111" s="6">
        <f>Summary!U111</f>
        <v/>
      </c>
      <c r="V111" s="6">
        <f>Summary!V111</f>
        <v/>
      </c>
      <c r="W111" s="6">
        <f>Summary!W111</f>
        <v/>
      </c>
      <c r="X111" s="6">
        <f>Summary!X111</f>
        <v/>
      </c>
      <c r="Y111" s="6">
        <f>Summary!Y111</f>
        <v/>
      </c>
      <c r="Z111" s="6">
        <f>Summary!Z111</f>
        <v/>
      </c>
      <c r="AA111" s="6">
        <f>Summary!AA111</f>
        <v/>
      </c>
      <c r="AB111" s="6">
        <f>SUM(D111:AA111)</f>
        <v/>
      </c>
      <c r="AC111" s="3" t="inlineStr"/>
      <c r="AD111" s="7">
        <f>D111*0.0029</f>
        <v/>
      </c>
      <c r="AE111" s="7">
        <f>E111*0.0029</f>
        <v/>
      </c>
      <c r="AF111" s="7">
        <f>F111*0.0029</f>
        <v/>
      </c>
      <c r="AG111" s="7">
        <f>G111*0.0029</f>
        <v/>
      </c>
      <c r="AH111" s="7">
        <f>H111*0.0029</f>
        <v/>
      </c>
      <c r="AI111" s="7">
        <f>I111*0.0029</f>
        <v/>
      </c>
      <c r="AJ111" s="7">
        <f>J111*0.0029</f>
        <v/>
      </c>
      <c r="AK111" s="7">
        <f>K111*0.0029</f>
        <v/>
      </c>
      <c r="AL111" s="7">
        <f>L111*0.0029</f>
        <v/>
      </c>
      <c r="AM111" s="7">
        <f>M111*0.0029</f>
        <v/>
      </c>
      <c r="AN111" s="7">
        <f>N111*0.0029</f>
        <v/>
      </c>
      <c r="AO111" s="7">
        <f>O111*0.0029</f>
        <v/>
      </c>
      <c r="AP111" s="7">
        <f>P111*0.0029</f>
        <v/>
      </c>
      <c r="AQ111" s="7">
        <f>Q111*0.0029</f>
        <v/>
      </c>
      <c r="AR111" s="7">
        <f>R111*0.0029</f>
        <v/>
      </c>
      <c r="AS111" s="7">
        <f>S111*0.0029</f>
        <v/>
      </c>
      <c r="AT111" s="7">
        <f>T111*0.0029</f>
        <v/>
      </c>
      <c r="AU111" s="7">
        <f>U111*0.0029</f>
        <v/>
      </c>
      <c r="AV111" s="7">
        <f>V111*0.0029</f>
        <v/>
      </c>
      <c r="AW111" s="7">
        <f>W111*0.0029</f>
        <v/>
      </c>
      <c r="AX111" s="7">
        <f>X111*0.0029</f>
        <v/>
      </c>
      <c r="AY111" s="7">
        <f>Y111*0.0029</f>
        <v/>
      </c>
      <c r="AZ111" s="7">
        <f>Z111*0.0029</f>
        <v/>
      </c>
      <c r="BA111" s="7">
        <f>AA111*0.0029</f>
        <v/>
      </c>
      <c r="BB111" s="7">
        <f>SUM(AD111:BA111)</f>
        <v/>
      </c>
    </row>
    <row r="112">
      <c r="A112" t="inlineStr">
        <is>
          <t>DC-10-1</t>
        </is>
      </c>
      <c r="B112" t="inlineStr">
        <is>
          <t>DSC Manual</t>
        </is>
      </c>
      <c r="C112" s="5" t="n">
        <v>46090</v>
      </c>
      <c r="D112" s="6">
        <f>Summary!D112</f>
        <v/>
      </c>
      <c r="E112" s="6">
        <f>Summary!E112</f>
        <v/>
      </c>
      <c r="F112" s="6">
        <f>Summary!F112</f>
        <v/>
      </c>
      <c r="G112" s="6">
        <f>Summary!G112</f>
        <v/>
      </c>
      <c r="H112" s="6">
        <f>Summary!H112</f>
        <v/>
      </c>
      <c r="I112" s="6">
        <f>Summary!I112</f>
        <v/>
      </c>
      <c r="J112" s="6">
        <f>Summary!J112</f>
        <v/>
      </c>
      <c r="K112" s="6">
        <f>Summary!K112</f>
        <v/>
      </c>
      <c r="L112" s="6">
        <f>Summary!L112</f>
        <v/>
      </c>
      <c r="M112" s="6">
        <f>Summary!M112</f>
        <v/>
      </c>
      <c r="N112" s="6">
        <f>Summary!N112</f>
        <v/>
      </c>
      <c r="O112" s="6">
        <f>Summary!O112</f>
        <v/>
      </c>
      <c r="P112" s="6">
        <f>Summary!P112</f>
        <v/>
      </c>
      <c r="Q112" s="6">
        <f>Summary!Q112</f>
        <v/>
      </c>
      <c r="R112" s="6">
        <f>Summary!R112</f>
        <v/>
      </c>
      <c r="S112" s="6">
        <f>Summary!S112</f>
        <v/>
      </c>
      <c r="T112" s="6">
        <f>Summary!T112</f>
        <v/>
      </c>
      <c r="U112" s="6">
        <f>Summary!U112</f>
        <v/>
      </c>
      <c r="V112" s="6">
        <f>Summary!V112</f>
        <v/>
      </c>
      <c r="W112" s="6">
        <f>Summary!W112</f>
        <v/>
      </c>
      <c r="X112" s="6">
        <f>Summary!X112</f>
        <v/>
      </c>
      <c r="Y112" s="6">
        <f>Summary!Y112</f>
        <v/>
      </c>
      <c r="Z112" s="6">
        <f>Summary!Z112</f>
        <v/>
      </c>
      <c r="AA112" s="6">
        <f>Summary!AA112</f>
        <v/>
      </c>
      <c r="AB112" s="6">
        <f>SUM(D112:AA112)</f>
        <v/>
      </c>
      <c r="AC112" s="3" t="inlineStr"/>
      <c r="AD112" s="7">
        <f>D112*0.0029</f>
        <v/>
      </c>
      <c r="AE112" s="7">
        <f>E112*0.0029</f>
        <v/>
      </c>
      <c r="AF112" s="7">
        <f>F112*0.0029</f>
        <v/>
      </c>
      <c r="AG112" s="7">
        <f>G112*0.0029</f>
        <v/>
      </c>
      <c r="AH112" s="7">
        <f>H112*0.0029</f>
        <v/>
      </c>
      <c r="AI112" s="7">
        <f>I112*0.0029</f>
        <v/>
      </c>
      <c r="AJ112" s="7">
        <f>J112*0.0029</f>
        <v/>
      </c>
      <c r="AK112" s="7">
        <f>K112*0.0029</f>
        <v/>
      </c>
      <c r="AL112" s="7">
        <f>L112*0.0029</f>
        <v/>
      </c>
      <c r="AM112" s="7">
        <f>M112*0.0029</f>
        <v/>
      </c>
      <c r="AN112" s="7">
        <f>N112*0.0029</f>
        <v/>
      </c>
      <c r="AO112" s="7">
        <f>O112*0.0029</f>
        <v/>
      </c>
      <c r="AP112" s="7">
        <f>P112*0.0029</f>
        <v/>
      </c>
      <c r="AQ112" s="7">
        <f>Q112*0.0029</f>
        <v/>
      </c>
      <c r="AR112" s="7">
        <f>R112*0.0029</f>
        <v/>
      </c>
      <c r="AS112" s="7">
        <f>S112*0.0029</f>
        <v/>
      </c>
      <c r="AT112" s="7">
        <f>T112*0.0029</f>
        <v/>
      </c>
      <c r="AU112" s="7">
        <f>U112*0.0029</f>
        <v/>
      </c>
      <c r="AV112" s="7">
        <f>V112*0.0029</f>
        <v/>
      </c>
      <c r="AW112" s="7">
        <f>W112*0.0029</f>
        <v/>
      </c>
      <c r="AX112" s="7">
        <f>X112*0.0029</f>
        <v/>
      </c>
      <c r="AY112" s="7">
        <f>Y112*0.0029</f>
        <v/>
      </c>
      <c r="AZ112" s="7">
        <f>Z112*0.0029</f>
        <v/>
      </c>
      <c r="BA112" s="7">
        <f>AA112*0.0029</f>
        <v/>
      </c>
      <c r="BB112" s="7">
        <f>SUM(AD112:BA112)</f>
        <v/>
      </c>
    </row>
    <row r="113">
      <c r="A113" t="inlineStr">
        <is>
          <t>DC-10-1</t>
        </is>
      </c>
      <c r="B113" t="inlineStr">
        <is>
          <t>DSC Manual</t>
        </is>
      </c>
      <c r="C113" s="5" t="n">
        <v>46091</v>
      </c>
      <c r="D113" s="6">
        <f>Summary!D113</f>
        <v/>
      </c>
      <c r="E113" s="6">
        <f>Summary!E113</f>
        <v/>
      </c>
      <c r="F113" s="6">
        <f>Summary!F113</f>
        <v/>
      </c>
      <c r="G113" s="6">
        <f>Summary!G113</f>
        <v/>
      </c>
      <c r="H113" s="6">
        <f>Summary!H113</f>
        <v/>
      </c>
      <c r="I113" s="6">
        <f>Summary!I113</f>
        <v/>
      </c>
      <c r="J113" s="6">
        <f>Summary!J113</f>
        <v/>
      </c>
      <c r="K113" s="6">
        <f>Summary!K113</f>
        <v/>
      </c>
      <c r="L113" s="6">
        <f>Summary!L113</f>
        <v/>
      </c>
      <c r="M113" s="6">
        <f>Summary!M113</f>
        <v/>
      </c>
      <c r="N113" s="6">
        <f>Summary!N113</f>
        <v/>
      </c>
      <c r="O113" s="6">
        <f>Summary!O113</f>
        <v/>
      </c>
      <c r="P113" s="6">
        <f>Summary!P113</f>
        <v/>
      </c>
      <c r="Q113" s="6">
        <f>Summary!Q113</f>
        <v/>
      </c>
      <c r="R113" s="6">
        <f>Summary!R113</f>
        <v/>
      </c>
      <c r="S113" s="6">
        <f>Summary!S113</f>
        <v/>
      </c>
      <c r="T113" s="6">
        <f>Summary!T113</f>
        <v/>
      </c>
      <c r="U113" s="6">
        <f>Summary!U113</f>
        <v/>
      </c>
      <c r="V113" s="6">
        <f>Summary!V113</f>
        <v/>
      </c>
      <c r="W113" s="6">
        <f>Summary!W113</f>
        <v/>
      </c>
      <c r="X113" s="6">
        <f>Summary!X113</f>
        <v/>
      </c>
      <c r="Y113" s="6">
        <f>Summary!Y113</f>
        <v/>
      </c>
      <c r="Z113" s="6">
        <f>Summary!Z113</f>
        <v/>
      </c>
      <c r="AA113" s="6">
        <f>Summary!AA113</f>
        <v/>
      </c>
      <c r="AB113" s="6">
        <f>SUM(D113:AA113)</f>
        <v/>
      </c>
      <c r="AC113" s="3" t="inlineStr"/>
      <c r="AD113" s="7">
        <f>D113*0.0029</f>
        <v/>
      </c>
      <c r="AE113" s="7">
        <f>E113*0.0029</f>
        <v/>
      </c>
      <c r="AF113" s="7">
        <f>F113*0.0029</f>
        <v/>
      </c>
      <c r="AG113" s="7">
        <f>G113*0.0029</f>
        <v/>
      </c>
      <c r="AH113" s="7">
        <f>H113*0.0029</f>
        <v/>
      </c>
      <c r="AI113" s="7">
        <f>I113*0.0029</f>
        <v/>
      </c>
      <c r="AJ113" s="7">
        <f>J113*0.0029</f>
        <v/>
      </c>
      <c r="AK113" s="7">
        <f>K113*0.0029</f>
        <v/>
      </c>
      <c r="AL113" s="7">
        <f>L113*0.0029</f>
        <v/>
      </c>
      <c r="AM113" s="7">
        <f>M113*0.0029</f>
        <v/>
      </c>
      <c r="AN113" s="7">
        <f>N113*0.0029</f>
        <v/>
      </c>
      <c r="AO113" s="7">
        <f>O113*0.0029</f>
        <v/>
      </c>
      <c r="AP113" s="7">
        <f>P113*0.0029</f>
        <v/>
      </c>
      <c r="AQ113" s="7">
        <f>Q113*0.0029</f>
        <v/>
      </c>
      <c r="AR113" s="7">
        <f>R113*0.0029</f>
        <v/>
      </c>
      <c r="AS113" s="7">
        <f>S113*0.0029</f>
        <v/>
      </c>
      <c r="AT113" s="7">
        <f>T113*0.0029</f>
        <v/>
      </c>
      <c r="AU113" s="7">
        <f>U113*0.0029</f>
        <v/>
      </c>
      <c r="AV113" s="7">
        <f>V113*0.0029</f>
        <v/>
      </c>
      <c r="AW113" s="7">
        <f>W113*0.0029</f>
        <v/>
      </c>
      <c r="AX113" s="7">
        <f>X113*0.0029</f>
        <v/>
      </c>
      <c r="AY113" s="7">
        <f>Y113*0.0029</f>
        <v/>
      </c>
      <c r="AZ113" s="7">
        <f>Z113*0.0029</f>
        <v/>
      </c>
      <c r="BA113" s="7">
        <f>AA113*0.0029</f>
        <v/>
      </c>
      <c r="BB113" s="7">
        <f>SUM(AD113:BA113)</f>
        <v/>
      </c>
    </row>
    <row r="114">
      <c r="A114" t="inlineStr">
        <is>
          <t>DC-10-1</t>
        </is>
      </c>
      <c r="B114" t="inlineStr">
        <is>
          <t>DSC Manual</t>
        </is>
      </c>
      <c r="C114" s="5" t="n">
        <v>46092</v>
      </c>
      <c r="D114" s="6">
        <f>Summary!D114</f>
        <v/>
      </c>
      <c r="E114" s="6">
        <f>Summary!E114</f>
        <v/>
      </c>
      <c r="F114" s="6">
        <f>Summary!F114</f>
        <v/>
      </c>
      <c r="G114" s="6">
        <f>Summary!G114</f>
        <v/>
      </c>
      <c r="H114" s="6">
        <f>Summary!H114</f>
        <v/>
      </c>
      <c r="I114" s="6">
        <f>Summary!I114</f>
        <v/>
      </c>
      <c r="J114" s="6">
        <f>Summary!J114</f>
        <v/>
      </c>
      <c r="K114" s="6">
        <f>Summary!K114</f>
        <v/>
      </c>
      <c r="L114" s="6">
        <f>Summary!L114</f>
        <v/>
      </c>
      <c r="M114" s="6">
        <f>Summary!M114</f>
        <v/>
      </c>
      <c r="N114" s="6">
        <f>Summary!N114</f>
        <v/>
      </c>
      <c r="O114" s="6">
        <f>Summary!O114</f>
        <v/>
      </c>
      <c r="P114" s="6">
        <f>Summary!P114</f>
        <v/>
      </c>
      <c r="Q114" s="6">
        <f>Summary!Q114</f>
        <v/>
      </c>
      <c r="R114" s="6">
        <f>Summary!R114</f>
        <v/>
      </c>
      <c r="S114" s="6">
        <f>Summary!S114</f>
        <v/>
      </c>
      <c r="T114" s="6">
        <f>Summary!T114</f>
        <v/>
      </c>
      <c r="U114" s="6">
        <f>Summary!U114</f>
        <v/>
      </c>
      <c r="V114" s="6">
        <f>Summary!V114</f>
        <v/>
      </c>
      <c r="W114" s="6">
        <f>Summary!W114</f>
        <v/>
      </c>
      <c r="X114" s="6">
        <f>Summary!X114</f>
        <v/>
      </c>
      <c r="Y114" s="6">
        <f>Summary!Y114</f>
        <v/>
      </c>
      <c r="Z114" s="6">
        <f>Summary!Z114</f>
        <v/>
      </c>
      <c r="AA114" s="6">
        <f>Summary!AA114</f>
        <v/>
      </c>
      <c r="AB114" s="6">
        <f>SUM(D114:AA114)</f>
        <v/>
      </c>
      <c r="AC114" s="3" t="inlineStr"/>
      <c r="AD114" s="7">
        <f>D114*0.0029</f>
        <v/>
      </c>
      <c r="AE114" s="7">
        <f>E114*0.0029</f>
        <v/>
      </c>
      <c r="AF114" s="7">
        <f>F114*0.0029</f>
        <v/>
      </c>
      <c r="AG114" s="7">
        <f>G114*0.0029</f>
        <v/>
      </c>
      <c r="AH114" s="7">
        <f>H114*0.0029</f>
        <v/>
      </c>
      <c r="AI114" s="7">
        <f>I114*0.0029</f>
        <v/>
      </c>
      <c r="AJ114" s="7">
        <f>J114*0.0029</f>
        <v/>
      </c>
      <c r="AK114" s="7">
        <f>K114*0.0029</f>
        <v/>
      </c>
      <c r="AL114" s="7">
        <f>L114*0.0029</f>
        <v/>
      </c>
      <c r="AM114" s="7">
        <f>M114*0.0029</f>
        <v/>
      </c>
      <c r="AN114" s="7">
        <f>N114*0.0029</f>
        <v/>
      </c>
      <c r="AO114" s="7">
        <f>O114*0.0029</f>
        <v/>
      </c>
      <c r="AP114" s="7">
        <f>P114*0.0029</f>
        <v/>
      </c>
      <c r="AQ114" s="7">
        <f>Q114*0.0029</f>
        <v/>
      </c>
      <c r="AR114" s="7">
        <f>R114*0.0029</f>
        <v/>
      </c>
      <c r="AS114" s="7">
        <f>S114*0.0029</f>
        <v/>
      </c>
      <c r="AT114" s="7">
        <f>T114*0.0029</f>
        <v/>
      </c>
      <c r="AU114" s="7">
        <f>U114*0.0029</f>
        <v/>
      </c>
      <c r="AV114" s="7">
        <f>V114*0.0029</f>
        <v/>
      </c>
      <c r="AW114" s="7">
        <f>W114*0.0029</f>
        <v/>
      </c>
      <c r="AX114" s="7">
        <f>X114*0.0029</f>
        <v/>
      </c>
      <c r="AY114" s="7">
        <f>Y114*0.0029</f>
        <v/>
      </c>
      <c r="AZ114" s="7">
        <f>Z114*0.0029</f>
        <v/>
      </c>
      <c r="BA114" s="7">
        <f>AA114*0.0029</f>
        <v/>
      </c>
      <c r="BB114" s="7">
        <f>SUM(AD114:BA114)</f>
        <v/>
      </c>
    </row>
    <row r="115">
      <c r="A115" t="inlineStr">
        <is>
          <t>DC-10-1</t>
        </is>
      </c>
      <c r="B115" t="inlineStr">
        <is>
          <t>DSC Manual</t>
        </is>
      </c>
      <c r="C115" s="5" t="n">
        <v>46093</v>
      </c>
      <c r="D115" s="6">
        <f>Summary!D115</f>
        <v/>
      </c>
      <c r="E115" s="6">
        <f>Summary!E115</f>
        <v/>
      </c>
      <c r="F115" s="6">
        <f>Summary!F115</f>
        <v/>
      </c>
      <c r="G115" s="6">
        <f>Summary!G115</f>
        <v/>
      </c>
      <c r="H115" s="6">
        <f>Summary!H115</f>
        <v/>
      </c>
      <c r="I115" s="6">
        <f>Summary!I115</f>
        <v/>
      </c>
      <c r="J115" s="6">
        <f>Summary!J115</f>
        <v/>
      </c>
      <c r="K115" s="6">
        <f>Summary!K115</f>
        <v/>
      </c>
      <c r="L115" s="6">
        <f>Summary!L115</f>
        <v/>
      </c>
      <c r="M115" s="6">
        <f>Summary!M115</f>
        <v/>
      </c>
      <c r="N115" s="6">
        <f>Summary!N115</f>
        <v/>
      </c>
      <c r="O115" s="6">
        <f>Summary!O115</f>
        <v/>
      </c>
      <c r="P115" s="6">
        <f>Summary!P115</f>
        <v/>
      </c>
      <c r="Q115" s="6">
        <f>Summary!Q115</f>
        <v/>
      </c>
      <c r="R115" s="6">
        <f>Summary!R115</f>
        <v/>
      </c>
      <c r="S115" s="6">
        <f>Summary!S115</f>
        <v/>
      </c>
      <c r="T115" s="6">
        <f>Summary!T115</f>
        <v/>
      </c>
      <c r="U115" s="6">
        <f>Summary!U115</f>
        <v/>
      </c>
      <c r="V115" s="6">
        <f>Summary!V115</f>
        <v/>
      </c>
      <c r="W115" s="6">
        <f>Summary!W115</f>
        <v/>
      </c>
      <c r="X115" s="6">
        <f>Summary!X115</f>
        <v/>
      </c>
      <c r="Y115" s="6">
        <f>Summary!Y115</f>
        <v/>
      </c>
      <c r="Z115" s="6">
        <f>Summary!Z115</f>
        <v/>
      </c>
      <c r="AA115" s="6">
        <f>Summary!AA115</f>
        <v/>
      </c>
      <c r="AB115" s="6">
        <f>SUM(D115:AA115)</f>
        <v/>
      </c>
      <c r="AC115" s="3" t="inlineStr"/>
      <c r="AD115" s="7">
        <f>D115*0.0029</f>
        <v/>
      </c>
      <c r="AE115" s="7">
        <f>E115*0.0029</f>
        <v/>
      </c>
      <c r="AF115" s="7">
        <f>F115*0.0029</f>
        <v/>
      </c>
      <c r="AG115" s="7">
        <f>G115*0.0029</f>
        <v/>
      </c>
      <c r="AH115" s="7">
        <f>H115*0.0029</f>
        <v/>
      </c>
      <c r="AI115" s="7">
        <f>I115*0.0029</f>
        <v/>
      </c>
      <c r="AJ115" s="7">
        <f>J115*0.0029</f>
        <v/>
      </c>
      <c r="AK115" s="7">
        <f>K115*0.0029</f>
        <v/>
      </c>
      <c r="AL115" s="7">
        <f>L115*0.0029</f>
        <v/>
      </c>
      <c r="AM115" s="7">
        <f>M115*0.0029</f>
        <v/>
      </c>
      <c r="AN115" s="7">
        <f>N115*0.0029</f>
        <v/>
      </c>
      <c r="AO115" s="7">
        <f>O115*0.0029</f>
        <v/>
      </c>
      <c r="AP115" s="7">
        <f>P115*0.0029</f>
        <v/>
      </c>
      <c r="AQ115" s="7">
        <f>Q115*0.0029</f>
        <v/>
      </c>
      <c r="AR115" s="7">
        <f>R115*0.0029</f>
        <v/>
      </c>
      <c r="AS115" s="7">
        <f>S115*0.0029</f>
        <v/>
      </c>
      <c r="AT115" s="7">
        <f>T115*0.0029</f>
        <v/>
      </c>
      <c r="AU115" s="7">
        <f>U115*0.0029</f>
        <v/>
      </c>
      <c r="AV115" s="7">
        <f>V115*0.0029</f>
        <v/>
      </c>
      <c r="AW115" s="7">
        <f>W115*0.0029</f>
        <v/>
      </c>
      <c r="AX115" s="7">
        <f>X115*0.0029</f>
        <v/>
      </c>
      <c r="AY115" s="7">
        <f>Y115*0.0029</f>
        <v/>
      </c>
      <c r="AZ115" s="7">
        <f>Z115*0.0029</f>
        <v/>
      </c>
      <c r="BA115" s="7">
        <f>AA115*0.0029</f>
        <v/>
      </c>
      <c r="BB115" s="7">
        <f>SUM(AD115:BA115)</f>
        <v/>
      </c>
    </row>
    <row r="116">
      <c r="A116" t="inlineStr">
        <is>
          <t>DC-10-1</t>
        </is>
      </c>
      <c r="B116" t="inlineStr">
        <is>
          <t>DSC Manual</t>
        </is>
      </c>
      <c r="C116" s="5" t="n">
        <v>46094</v>
      </c>
      <c r="D116" s="6">
        <f>Summary!D116</f>
        <v/>
      </c>
      <c r="E116" s="6">
        <f>Summary!E116</f>
        <v/>
      </c>
      <c r="F116" s="6">
        <f>Summary!F116</f>
        <v/>
      </c>
      <c r="G116" s="6">
        <f>Summary!G116</f>
        <v/>
      </c>
      <c r="H116" s="6">
        <f>Summary!H116</f>
        <v/>
      </c>
      <c r="I116" s="6">
        <f>Summary!I116</f>
        <v/>
      </c>
      <c r="J116" s="6">
        <f>Summary!J116</f>
        <v/>
      </c>
      <c r="K116" s="6">
        <f>Summary!K116</f>
        <v/>
      </c>
      <c r="L116" s="6">
        <f>Summary!L116</f>
        <v/>
      </c>
      <c r="M116" s="6">
        <f>Summary!M116</f>
        <v/>
      </c>
      <c r="N116" s="6">
        <f>Summary!N116</f>
        <v/>
      </c>
      <c r="O116" s="6">
        <f>Summary!O116</f>
        <v/>
      </c>
      <c r="P116" s="6">
        <f>Summary!P116</f>
        <v/>
      </c>
      <c r="Q116" s="6">
        <f>Summary!Q116</f>
        <v/>
      </c>
      <c r="R116" s="6">
        <f>Summary!R116</f>
        <v/>
      </c>
      <c r="S116" s="6">
        <f>Summary!S116</f>
        <v/>
      </c>
      <c r="T116" s="6">
        <f>Summary!T116</f>
        <v/>
      </c>
      <c r="U116" s="6">
        <f>Summary!U116</f>
        <v/>
      </c>
      <c r="V116" s="6">
        <f>Summary!V116</f>
        <v/>
      </c>
      <c r="W116" s="6">
        <f>Summary!W116</f>
        <v/>
      </c>
      <c r="X116" s="6">
        <f>Summary!X116</f>
        <v/>
      </c>
      <c r="Y116" s="6">
        <f>Summary!Y116</f>
        <v/>
      </c>
      <c r="Z116" s="6">
        <f>Summary!Z116</f>
        <v/>
      </c>
      <c r="AA116" s="6">
        <f>Summary!AA116</f>
        <v/>
      </c>
      <c r="AB116" s="6">
        <f>SUM(D116:AA116)</f>
        <v/>
      </c>
      <c r="AC116" s="3" t="inlineStr"/>
      <c r="AD116" s="7">
        <f>D116*0.0029</f>
        <v/>
      </c>
      <c r="AE116" s="7">
        <f>E116*0.0029</f>
        <v/>
      </c>
      <c r="AF116" s="7">
        <f>F116*0.0029</f>
        <v/>
      </c>
      <c r="AG116" s="7">
        <f>G116*0.0029</f>
        <v/>
      </c>
      <c r="AH116" s="7">
        <f>H116*0.0029</f>
        <v/>
      </c>
      <c r="AI116" s="7">
        <f>I116*0.0029</f>
        <v/>
      </c>
      <c r="AJ116" s="7">
        <f>J116*0.0029</f>
        <v/>
      </c>
      <c r="AK116" s="7">
        <f>K116*0.0029</f>
        <v/>
      </c>
      <c r="AL116" s="7">
        <f>L116*0.0029</f>
        <v/>
      </c>
      <c r="AM116" s="7">
        <f>M116*0.0029</f>
        <v/>
      </c>
      <c r="AN116" s="7">
        <f>N116*0.0029</f>
        <v/>
      </c>
      <c r="AO116" s="7">
        <f>O116*0.0029</f>
        <v/>
      </c>
      <c r="AP116" s="7">
        <f>P116*0.0029</f>
        <v/>
      </c>
      <c r="AQ116" s="7">
        <f>Q116*0.0029</f>
        <v/>
      </c>
      <c r="AR116" s="7">
        <f>R116*0.0029</f>
        <v/>
      </c>
      <c r="AS116" s="7">
        <f>S116*0.0029</f>
        <v/>
      </c>
      <c r="AT116" s="7">
        <f>T116*0.0029</f>
        <v/>
      </c>
      <c r="AU116" s="7">
        <f>U116*0.0029</f>
        <v/>
      </c>
      <c r="AV116" s="7">
        <f>V116*0.0029</f>
        <v/>
      </c>
      <c r="AW116" s="7">
        <f>W116*0.0029</f>
        <v/>
      </c>
      <c r="AX116" s="7">
        <f>X116*0.0029</f>
        <v/>
      </c>
      <c r="AY116" s="7">
        <f>Y116*0.0029</f>
        <v/>
      </c>
      <c r="AZ116" s="7">
        <f>Z116*0.0029</f>
        <v/>
      </c>
      <c r="BA116" s="7">
        <f>AA116*0.0029</f>
        <v/>
      </c>
      <c r="BB116" s="7">
        <f>SUM(AD116:BA116)</f>
        <v/>
      </c>
    </row>
    <row r="117">
      <c r="A117" t="inlineStr">
        <is>
          <t>DC-10-1</t>
        </is>
      </c>
      <c r="B117" t="inlineStr">
        <is>
          <t>DSC Manual</t>
        </is>
      </c>
      <c r="C117" s="5" t="n">
        <v>46095</v>
      </c>
      <c r="D117" s="6">
        <f>Summary!D117</f>
        <v/>
      </c>
      <c r="E117" s="6">
        <f>Summary!E117</f>
        <v/>
      </c>
      <c r="F117" s="6">
        <f>Summary!F117</f>
        <v/>
      </c>
      <c r="G117" s="6">
        <f>Summary!G117</f>
        <v/>
      </c>
      <c r="H117" s="6">
        <f>Summary!H117</f>
        <v/>
      </c>
      <c r="I117" s="6">
        <f>Summary!I117</f>
        <v/>
      </c>
      <c r="J117" s="6">
        <f>Summary!J117</f>
        <v/>
      </c>
      <c r="K117" s="6">
        <f>Summary!K117</f>
        <v/>
      </c>
      <c r="L117" s="6">
        <f>Summary!L117</f>
        <v/>
      </c>
      <c r="M117" s="6">
        <f>Summary!M117</f>
        <v/>
      </c>
      <c r="N117" s="6">
        <f>Summary!N117</f>
        <v/>
      </c>
      <c r="O117" s="6">
        <f>Summary!O117</f>
        <v/>
      </c>
      <c r="P117" s="6">
        <f>Summary!P117</f>
        <v/>
      </c>
      <c r="Q117" s="6">
        <f>Summary!Q117</f>
        <v/>
      </c>
      <c r="R117" s="6">
        <f>Summary!R117</f>
        <v/>
      </c>
      <c r="S117" s="6">
        <f>Summary!S117</f>
        <v/>
      </c>
      <c r="T117" s="6">
        <f>Summary!T117</f>
        <v/>
      </c>
      <c r="U117" s="6">
        <f>Summary!U117</f>
        <v/>
      </c>
      <c r="V117" s="6">
        <f>Summary!V117</f>
        <v/>
      </c>
      <c r="W117" s="6">
        <f>Summary!W117</f>
        <v/>
      </c>
      <c r="X117" s="6">
        <f>Summary!X117</f>
        <v/>
      </c>
      <c r="Y117" s="6">
        <f>Summary!Y117</f>
        <v/>
      </c>
      <c r="Z117" s="6">
        <f>Summary!Z117</f>
        <v/>
      </c>
      <c r="AA117" s="6">
        <f>Summary!AA117</f>
        <v/>
      </c>
      <c r="AB117" s="6">
        <f>SUM(D117:AA117)</f>
        <v/>
      </c>
      <c r="AC117" s="3" t="inlineStr"/>
      <c r="AD117" s="7">
        <f>D117*0.0029</f>
        <v/>
      </c>
      <c r="AE117" s="7">
        <f>E117*0.0029</f>
        <v/>
      </c>
      <c r="AF117" s="7">
        <f>F117*0.0029</f>
        <v/>
      </c>
      <c r="AG117" s="7">
        <f>G117*0.0029</f>
        <v/>
      </c>
      <c r="AH117" s="7">
        <f>H117*0.0029</f>
        <v/>
      </c>
      <c r="AI117" s="7">
        <f>I117*0.0029</f>
        <v/>
      </c>
      <c r="AJ117" s="7">
        <f>J117*0.0029</f>
        <v/>
      </c>
      <c r="AK117" s="7">
        <f>K117*0.0029</f>
        <v/>
      </c>
      <c r="AL117" s="7">
        <f>L117*0.0029</f>
        <v/>
      </c>
      <c r="AM117" s="7">
        <f>M117*0.0029</f>
        <v/>
      </c>
      <c r="AN117" s="7">
        <f>N117*0.0029</f>
        <v/>
      </c>
      <c r="AO117" s="7">
        <f>O117*0.0029</f>
        <v/>
      </c>
      <c r="AP117" s="7">
        <f>P117*0.0029</f>
        <v/>
      </c>
      <c r="AQ117" s="7">
        <f>Q117*0.0029</f>
        <v/>
      </c>
      <c r="AR117" s="7">
        <f>R117*0.0029</f>
        <v/>
      </c>
      <c r="AS117" s="7">
        <f>S117*0.0029</f>
        <v/>
      </c>
      <c r="AT117" s="7">
        <f>T117*0.0029</f>
        <v/>
      </c>
      <c r="AU117" s="7">
        <f>U117*0.0029</f>
        <v/>
      </c>
      <c r="AV117" s="7">
        <f>V117*0.0029</f>
        <v/>
      </c>
      <c r="AW117" s="7">
        <f>W117*0.0029</f>
        <v/>
      </c>
      <c r="AX117" s="7">
        <f>X117*0.0029</f>
        <v/>
      </c>
      <c r="AY117" s="7">
        <f>Y117*0.0029</f>
        <v/>
      </c>
      <c r="AZ117" s="7">
        <f>Z117*0.0029</f>
        <v/>
      </c>
      <c r="BA117" s="7">
        <f>AA117*0.0029</f>
        <v/>
      </c>
      <c r="BB117" s="7">
        <f>SUM(AD117:BA117)</f>
        <v/>
      </c>
    </row>
    <row r="118">
      <c r="A118" t="inlineStr">
        <is>
          <t>DC-10-1</t>
        </is>
      </c>
      <c r="B118" t="inlineStr">
        <is>
          <t>DSC Manual</t>
        </is>
      </c>
      <c r="C118" s="5" t="n">
        <v>46096</v>
      </c>
      <c r="D118" s="6">
        <f>Summary!D118</f>
        <v/>
      </c>
      <c r="E118" s="6">
        <f>Summary!E118</f>
        <v/>
      </c>
      <c r="F118" s="6">
        <f>Summary!F118</f>
        <v/>
      </c>
      <c r="G118" s="6">
        <f>Summary!G118</f>
        <v/>
      </c>
      <c r="H118" s="6">
        <f>Summary!H118</f>
        <v/>
      </c>
      <c r="I118" s="6">
        <f>Summary!I118</f>
        <v/>
      </c>
      <c r="J118" s="6">
        <f>Summary!J118</f>
        <v/>
      </c>
      <c r="K118" s="6">
        <f>Summary!K118</f>
        <v/>
      </c>
      <c r="L118" s="6">
        <f>Summary!L118</f>
        <v/>
      </c>
      <c r="M118" s="6">
        <f>Summary!M118</f>
        <v/>
      </c>
      <c r="N118" s="6">
        <f>Summary!N118</f>
        <v/>
      </c>
      <c r="O118" s="6">
        <f>Summary!O118</f>
        <v/>
      </c>
      <c r="P118" s="6">
        <f>Summary!P118</f>
        <v/>
      </c>
      <c r="Q118" s="6">
        <f>Summary!Q118</f>
        <v/>
      </c>
      <c r="R118" s="6">
        <f>Summary!R118</f>
        <v/>
      </c>
      <c r="S118" s="6">
        <f>Summary!S118</f>
        <v/>
      </c>
      <c r="T118" s="6">
        <f>Summary!T118</f>
        <v/>
      </c>
      <c r="U118" s="6">
        <f>Summary!U118</f>
        <v/>
      </c>
      <c r="V118" s="6">
        <f>Summary!V118</f>
        <v/>
      </c>
      <c r="W118" s="6">
        <f>Summary!W118</f>
        <v/>
      </c>
      <c r="X118" s="6">
        <f>Summary!X118</f>
        <v/>
      </c>
      <c r="Y118" s="6">
        <f>Summary!Y118</f>
        <v/>
      </c>
      <c r="Z118" s="6">
        <f>Summary!Z118</f>
        <v/>
      </c>
      <c r="AA118" s="6">
        <f>Summary!AA118</f>
        <v/>
      </c>
      <c r="AB118" s="6">
        <f>SUM(D118:AA118)</f>
        <v/>
      </c>
      <c r="AC118" s="3" t="inlineStr"/>
      <c r="AD118" s="7">
        <f>D118*0.0029</f>
        <v/>
      </c>
      <c r="AE118" s="7">
        <f>E118*0.0029</f>
        <v/>
      </c>
      <c r="AF118" s="7">
        <f>F118*0.0029</f>
        <v/>
      </c>
      <c r="AG118" s="7">
        <f>G118*0.0029</f>
        <v/>
      </c>
      <c r="AH118" s="7">
        <f>H118*0.0029</f>
        <v/>
      </c>
      <c r="AI118" s="7">
        <f>I118*0.0029</f>
        <v/>
      </c>
      <c r="AJ118" s="7">
        <f>J118*0.0029</f>
        <v/>
      </c>
      <c r="AK118" s="7">
        <f>K118*0.0029</f>
        <v/>
      </c>
      <c r="AL118" s="7">
        <f>L118*0.0029</f>
        <v/>
      </c>
      <c r="AM118" s="7">
        <f>M118*0.0029</f>
        <v/>
      </c>
      <c r="AN118" s="7">
        <f>N118*0.0029</f>
        <v/>
      </c>
      <c r="AO118" s="7">
        <f>O118*0.0029</f>
        <v/>
      </c>
      <c r="AP118" s="7">
        <f>P118*0.0029</f>
        <v/>
      </c>
      <c r="AQ118" s="7">
        <f>Q118*0.0029</f>
        <v/>
      </c>
      <c r="AR118" s="7">
        <f>R118*0.0029</f>
        <v/>
      </c>
      <c r="AS118" s="7">
        <f>S118*0.0029</f>
        <v/>
      </c>
      <c r="AT118" s="7">
        <f>T118*0.0029</f>
        <v/>
      </c>
      <c r="AU118" s="7">
        <f>U118*0.0029</f>
        <v/>
      </c>
      <c r="AV118" s="7">
        <f>V118*0.0029</f>
        <v/>
      </c>
      <c r="AW118" s="7">
        <f>W118*0.0029</f>
        <v/>
      </c>
      <c r="AX118" s="7">
        <f>X118*0.0029</f>
        <v/>
      </c>
      <c r="AY118" s="7">
        <f>Y118*0.0029</f>
        <v/>
      </c>
      <c r="AZ118" s="7">
        <f>Z118*0.0029</f>
        <v/>
      </c>
      <c r="BA118" s="7">
        <f>AA118*0.0029</f>
        <v/>
      </c>
      <c r="BB118" s="7">
        <f>SUM(AD118:BA118)</f>
        <v/>
      </c>
    </row>
    <row r="119">
      <c r="A119" t="inlineStr">
        <is>
          <t>DC-10-1</t>
        </is>
      </c>
      <c r="B119" t="inlineStr">
        <is>
          <t>DSC Manual</t>
        </is>
      </c>
      <c r="C119" s="5" t="n">
        <v>46097</v>
      </c>
      <c r="D119" s="6">
        <f>Summary!D119</f>
        <v/>
      </c>
      <c r="E119" s="6">
        <f>Summary!E119</f>
        <v/>
      </c>
      <c r="F119" s="6">
        <f>Summary!F119</f>
        <v/>
      </c>
      <c r="G119" s="6">
        <f>Summary!G119</f>
        <v/>
      </c>
      <c r="H119" s="6">
        <f>Summary!H119</f>
        <v/>
      </c>
      <c r="I119" s="6">
        <f>Summary!I119</f>
        <v/>
      </c>
      <c r="J119" s="6">
        <f>Summary!J119</f>
        <v/>
      </c>
      <c r="K119" s="6">
        <f>Summary!K119</f>
        <v/>
      </c>
      <c r="L119" s="6">
        <f>Summary!L119</f>
        <v/>
      </c>
      <c r="M119" s="6">
        <f>Summary!M119</f>
        <v/>
      </c>
      <c r="N119" s="6">
        <f>Summary!N119</f>
        <v/>
      </c>
      <c r="O119" s="6">
        <f>Summary!O119</f>
        <v/>
      </c>
      <c r="P119" s="6">
        <f>Summary!P119</f>
        <v/>
      </c>
      <c r="Q119" s="6">
        <f>Summary!Q119</f>
        <v/>
      </c>
      <c r="R119" s="6">
        <f>Summary!R119</f>
        <v/>
      </c>
      <c r="S119" s="6">
        <f>Summary!S119</f>
        <v/>
      </c>
      <c r="T119" s="6">
        <f>Summary!T119</f>
        <v/>
      </c>
      <c r="U119" s="6">
        <f>Summary!U119</f>
        <v/>
      </c>
      <c r="V119" s="6">
        <f>Summary!V119</f>
        <v/>
      </c>
      <c r="W119" s="6">
        <f>Summary!W119</f>
        <v/>
      </c>
      <c r="X119" s="6">
        <f>Summary!X119</f>
        <v/>
      </c>
      <c r="Y119" s="6">
        <f>Summary!Y119</f>
        <v/>
      </c>
      <c r="Z119" s="6">
        <f>Summary!Z119</f>
        <v/>
      </c>
      <c r="AA119" s="6">
        <f>Summary!AA119</f>
        <v/>
      </c>
      <c r="AB119" s="6">
        <f>SUM(D119:AA119)</f>
        <v/>
      </c>
      <c r="AC119" s="3" t="inlineStr"/>
      <c r="AD119" s="7">
        <f>D119*0.0029</f>
        <v/>
      </c>
      <c r="AE119" s="7">
        <f>E119*0.0029</f>
        <v/>
      </c>
      <c r="AF119" s="7">
        <f>F119*0.0029</f>
        <v/>
      </c>
      <c r="AG119" s="7">
        <f>G119*0.0029</f>
        <v/>
      </c>
      <c r="AH119" s="7">
        <f>H119*0.0029</f>
        <v/>
      </c>
      <c r="AI119" s="7">
        <f>I119*0.0029</f>
        <v/>
      </c>
      <c r="AJ119" s="7">
        <f>J119*0.0029</f>
        <v/>
      </c>
      <c r="AK119" s="7">
        <f>K119*0.0029</f>
        <v/>
      </c>
      <c r="AL119" s="7">
        <f>L119*0.0029</f>
        <v/>
      </c>
      <c r="AM119" s="7">
        <f>M119*0.0029</f>
        <v/>
      </c>
      <c r="AN119" s="7">
        <f>N119*0.0029</f>
        <v/>
      </c>
      <c r="AO119" s="7">
        <f>O119*0.0029</f>
        <v/>
      </c>
      <c r="AP119" s="7">
        <f>P119*0.0029</f>
        <v/>
      </c>
      <c r="AQ119" s="7">
        <f>Q119*0.0029</f>
        <v/>
      </c>
      <c r="AR119" s="7">
        <f>R119*0.0029</f>
        <v/>
      </c>
      <c r="AS119" s="7">
        <f>S119*0.0029</f>
        <v/>
      </c>
      <c r="AT119" s="7">
        <f>T119*0.0029</f>
        <v/>
      </c>
      <c r="AU119" s="7">
        <f>U119*0.0029</f>
        <v/>
      </c>
      <c r="AV119" s="7">
        <f>V119*0.0029</f>
        <v/>
      </c>
      <c r="AW119" s="7">
        <f>W119*0.0029</f>
        <v/>
      </c>
      <c r="AX119" s="7">
        <f>X119*0.0029</f>
        <v/>
      </c>
      <c r="AY119" s="7">
        <f>Y119*0.0029</f>
        <v/>
      </c>
      <c r="AZ119" s="7">
        <f>Z119*0.0029</f>
        <v/>
      </c>
      <c r="BA119" s="7">
        <f>AA119*0.0029</f>
        <v/>
      </c>
      <c r="BB119" s="7">
        <f>SUM(AD119:BA119)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B1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Layout</t>
        </is>
      </c>
      <c r="B1" s="1" t="inlineStr">
        <is>
          <t>Layout Type</t>
        </is>
      </c>
      <c r="C1" s="1" t="inlineStr">
        <is>
          <t>Date</t>
        </is>
      </c>
      <c r="D1" s="2" t="inlineStr">
        <is>
          <t>Act Vol 12 AM</t>
        </is>
      </c>
      <c r="E1" s="2" t="inlineStr">
        <is>
          <t>Act Vol 1 AM</t>
        </is>
      </c>
      <c r="F1" s="2" t="inlineStr">
        <is>
          <t>Act Vol 2 AM</t>
        </is>
      </c>
      <c r="G1" s="2" t="inlineStr">
        <is>
          <t>Act Vol 3 AM</t>
        </is>
      </c>
      <c r="H1" s="2" t="inlineStr">
        <is>
          <t>Act Vol 4 AM</t>
        </is>
      </c>
      <c r="I1" s="2" t="inlineStr">
        <is>
          <t>Act Vol 5 AM</t>
        </is>
      </c>
      <c r="J1" s="2" t="inlineStr">
        <is>
          <t>Act Vol 6 AM</t>
        </is>
      </c>
      <c r="K1" s="2" t="inlineStr">
        <is>
          <t>Act Vol 7 AM</t>
        </is>
      </c>
      <c r="L1" s="2" t="inlineStr">
        <is>
          <t>Act Vol 8 AM</t>
        </is>
      </c>
      <c r="M1" s="2" t="inlineStr">
        <is>
          <t>Act Vol 9 AM</t>
        </is>
      </c>
      <c r="N1" s="2" t="inlineStr">
        <is>
          <t>Act Vol 10 AM</t>
        </is>
      </c>
      <c r="O1" s="2" t="inlineStr">
        <is>
          <t>Act Vol 11 AM</t>
        </is>
      </c>
      <c r="P1" s="2" t="inlineStr">
        <is>
          <t>Act Vol 12 PM</t>
        </is>
      </c>
      <c r="Q1" s="2" t="inlineStr">
        <is>
          <t>Act Vol 1 PM</t>
        </is>
      </c>
      <c r="R1" s="2" t="inlineStr">
        <is>
          <t>Act Vol 2 PM</t>
        </is>
      </c>
      <c r="S1" s="2" t="inlineStr">
        <is>
          <t>Act Vol 3 PM</t>
        </is>
      </c>
      <c r="T1" s="2" t="inlineStr">
        <is>
          <t>Act Vol 4 PM</t>
        </is>
      </c>
      <c r="U1" s="2" t="inlineStr">
        <is>
          <t>Act Vol 5 PM</t>
        </is>
      </c>
      <c r="V1" s="2" t="inlineStr">
        <is>
          <t>Act Vol 6 PM</t>
        </is>
      </c>
      <c r="W1" s="2" t="inlineStr">
        <is>
          <t>Act Vol 7 PM</t>
        </is>
      </c>
      <c r="X1" s="2" t="inlineStr">
        <is>
          <t>Act Vol 8 PM</t>
        </is>
      </c>
      <c r="Y1" s="2" t="inlineStr">
        <is>
          <t>Act Vol 9 PM</t>
        </is>
      </c>
      <c r="Z1" s="2" t="inlineStr">
        <is>
          <t>Act Vol 10 PM</t>
        </is>
      </c>
      <c r="AA1" s="2" t="inlineStr">
        <is>
          <t>Act Vol 11 PM</t>
        </is>
      </c>
      <c r="AB1" s="2" t="inlineStr">
        <is>
          <t>Act Vol Total</t>
        </is>
      </c>
      <c r="AC1" s="3" t="inlineStr"/>
      <c r="AD1" s="4" t="inlineStr">
        <is>
          <t>MH 12 AM</t>
        </is>
      </c>
      <c r="AE1" s="4" t="inlineStr">
        <is>
          <t>MH 1 AM</t>
        </is>
      </c>
      <c r="AF1" s="4" t="inlineStr">
        <is>
          <t>MH 2 AM</t>
        </is>
      </c>
      <c r="AG1" s="4" t="inlineStr">
        <is>
          <t>MH 3 AM</t>
        </is>
      </c>
      <c r="AH1" s="4" t="inlineStr">
        <is>
          <t>MH 4 AM</t>
        </is>
      </c>
      <c r="AI1" s="4" t="inlineStr">
        <is>
          <t>MH 5 AM</t>
        </is>
      </c>
      <c r="AJ1" s="4" t="inlineStr">
        <is>
          <t>MH 6 AM</t>
        </is>
      </c>
      <c r="AK1" s="4" t="inlineStr">
        <is>
          <t>MH 7 AM</t>
        </is>
      </c>
      <c r="AL1" s="4" t="inlineStr">
        <is>
          <t>MH 8 AM</t>
        </is>
      </c>
      <c r="AM1" s="4" t="inlineStr">
        <is>
          <t>MH 9 AM</t>
        </is>
      </c>
      <c r="AN1" s="4" t="inlineStr">
        <is>
          <t>MH 10 AM</t>
        </is>
      </c>
      <c r="AO1" s="4" t="inlineStr">
        <is>
          <t>MH 11 AM</t>
        </is>
      </c>
      <c r="AP1" s="4" t="inlineStr">
        <is>
          <t>MH 12 PM</t>
        </is>
      </c>
      <c r="AQ1" s="4" t="inlineStr">
        <is>
          <t>MH 1 PM</t>
        </is>
      </c>
      <c r="AR1" s="4" t="inlineStr">
        <is>
          <t>MH 2 PM</t>
        </is>
      </c>
      <c r="AS1" s="4" t="inlineStr">
        <is>
          <t>MH 3 PM</t>
        </is>
      </c>
      <c r="AT1" s="4" t="inlineStr">
        <is>
          <t>MH 4 PM</t>
        </is>
      </c>
      <c r="AU1" s="4" t="inlineStr">
        <is>
          <t>MH 5 PM</t>
        </is>
      </c>
      <c r="AV1" s="4" t="inlineStr">
        <is>
          <t>MH 6 PM</t>
        </is>
      </c>
      <c r="AW1" s="4" t="inlineStr">
        <is>
          <t>MH 7 PM</t>
        </is>
      </c>
      <c r="AX1" s="4" t="inlineStr">
        <is>
          <t>MH 8 PM</t>
        </is>
      </c>
      <c r="AY1" s="4" t="inlineStr">
        <is>
          <t>MH 9 PM</t>
        </is>
      </c>
      <c r="AZ1" s="4" t="inlineStr">
        <is>
          <t>MH 10 PM</t>
        </is>
      </c>
      <c r="BA1" s="4" t="inlineStr">
        <is>
          <t>MH 11 PM</t>
        </is>
      </c>
      <c r="BB1" s="4" t="inlineStr">
        <is>
          <t>MH Total</t>
        </is>
      </c>
    </row>
    <row r="2">
      <c r="A2" t="inlineStr">
        <is>
          <t>AMD-AIR-NEW-SSC</t>
        </is>
      </c>
      <c r="B2" t="inlineStr">
        <is>
          <t>Forward Regular OSC</t>
        </is>
      </c>
      <c r="C2" s="5" t="n">
        <v>46093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v>0</v>
      </c>
      <c r="N2" s="6" t="n">
        <v>0</v>
      </c>
      <c r="O2" s="6" t="n">
        <v>0</v>
      </c>
      <c r="P2" s="6" t="n">
        <v>0</v>
      </c>
      <c r="Q2" s="6" t="n">
        <v>0</v>
      </c>
      <c r="R2" s="6" t="n">
        <v>20</v>
      </c>
      <c r="S2" s="6" t="n">
        <v>19</v>
      </c>
      <c r="T2" s="6" t="n">
        <v>0</v>
      </c>
      <c r="U2" s="6" t="n">
        <v>0</v>
      </c>
      <c r="V2" s="6" t="n">
        <v>0</v>
      </c>
      <c r="W2" s="6" t="n">
        <v>0</v>
      </c>
      <c r="X2" s="6" t="n">
        <v>0</v>
      </c>
      <c r="Y2" s="6" t="n">
        <v>0</v>
      </c>
      <c r="Z2" s="6" t="n">
        <v>0</v>
      </c>
      <c r="AA2" s="6" t="n">
        <v>0</v>
      </c>
      <c r="AB2" s="6">
        <f>SUM(D2:AA2)</f>
        <v/>
      </c>
      <c r="AC2" s="3" t="inlineStr"/>
      <c r="AD2" s="7">
        <f>D2*0.00788713</f>
        <v/>
      </c>
      <c r="AE2" s="7">
        <f>E2*0.00788713</f>
        <v/>
      </c>
      <c r="AF2" s="7">
        <f>F2*0.00788713</f>
        <v/>
      </c>
      <c r="AG2" s="7">
        <f>G2*0.00788713</f>
        <v/>
      </c>
      <c r="AH2" s="7">
        <f>H2*0.00788713</f>
        <v/>
      </c>
      <c r="AI2" s="7">
        <f>I2*0.00788713</f>
        <v/>
      </c>
      <c r="AJ2" s="7">
        <f>J2*0.00788713</f>
        <v/>
      </c>
      <c r="AK2" s="7">
        <f>K2*0.00788713</f>
        <v/>
      </c>
      <c r="AL2" s="7">
        <f>L2*0.00788713</f>
        <v/>
      </c>
      <c r="AM2" s="7">
        <f>M2*0.00788713</f>
        <v/>
      </c>
      <c r="AN2" s="7">
        <f>N2*0.00788713</f>
        <v/>
      </c>
      <c r="AO2" s="7">
        <f>O2*0.00788713</f>
        <v/>
      </c>
      <c r="AP2" s="7">
        <f>P2*0.00788713</f>
        <v/>
      </c>
      <c r="AQ2" s="7">
        <f>Q2*0.00788713</f>
        <v/>
      </c>
      <c r="AR2" s="7">
        <f>R2*0.00788713</f>
        <v/>
      </c>
      <c r="AS2" s="7">
        <f>S2*0.00788713</f>
        <v/>
      </c>
      <c r="AT2" s="7">
        <f>T2*0.00788713</f>
        <v/>
      </c>
      <c r="AU2" s="7">
        <f>U2*0.00788713</f>
        <v/>
      </c>
      <c r="AV2" s="7">
        <f>V2*0.00788713</f>
        <v/>
      </c>
      <c r="AW2" s="7">
        <f>W2*0.00788713</f>
        <v/>
      </c>
      <c r="AX2" s="7">
        <f>X2*0.00788713</f>
        <v/>
      </c>
      <c r="AY2" s="7">
        <f>Y2*0.00788713</f>
        <v/>
      </c>
      <c r="AZ2" s="7">
        <f>Z2*0.00788713</f>
        <v/>
      </c>
      <c r="BA2" s="7">
        <f>AA2*0.00788713</f>
        <v/>
      </c>
      <c r="BB2" s="7">
        <f>SUM(AD2:BA2)</f>
        <v/>
      </c>
    </row>
    <row r="3">
      <c r="A3" t="inlineStr">
        <is>
          <t>AMD-AIR-NEW-SSC</t>
        </is>
      </c>
      <c r="B3" t="inlineStr">
        <is>
          <t>Forward Regular OSC</t>
        </is>
      </c>
      <c r="C3" s="5" t="n">
        <v>46094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29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>
        <f>SUM(D3:AA3)</f>
        <v/>
      </c>
      <c r="AC3" s="3" t="inlineStr"/>
      <c r="AD3" s="7">
        <f>D3*0.00788713</f>
        <v/>
      </c>
      <c r="AE3" s="7">
        <f>E3*0.00788713</f>
        <v/>
      </c>
      <c r="AF3" s="7">
        <f>F3*0.00788713</f>
        <v/>
      </c>
      <c r="AG3" s="7">
        <f>G3*0.00788713</f>
        <v/>
      </c>
      <c r="AH3" s="7">
        <f>H3*0.00788713</f>
        <v/>
      </c>
      <c r="AI3" s="7">
        <f>I3*0.00788713</f>
        <v/>
      </c>
      <c r="AJ3" s="7">
        <f>J3*0.00788713</f>
        <v/>
      </c>
      <c r="AK3" s="7">
        <f>K3*0.00788713</f>
        <v/>
      </c>
      <c r="AL3" s="7">
        <f>L3*0.00788713</f>
        <v/>
      </c>
      <c r="AM3" s="7">
        <f>M3*0.00788713</f>
        <v/>
      </c>
      <c r="AN3" s="7">
        <f>N3*0.00788713</f>
        <v/>
      </c>
      <c r="AO3" s="7">
        <f>O3*0.00788713</f>
        <v/>
      </c>
      <c r="AP3" s="7">
        <f>P3*0.00788713</f>
        <v/>
      </c>
      <c r="AQ3" s="7">
        <f>Q3*0.00788713</f>
        <v/>
      </c>
      <c r="AR3" s="7">
        <f>R3*0.00788713</f>
        <v/>
      </c>
      <c r="AS3" s="7">
        <f>S3*0.00788713</f>
        <v/>
      </c>
      <c r="AT3" s="7">
        <f>T3*0.00788713</f>
        <v/>
      </c>
      <c r="AU3" s="7">
        <f>U3*0.00788713</f>
        <v/>
      </c>
      <c r="AV3" s="7">
        <f>V3*0.00788713</f>
        <v/>
      </c>
      <c r="AW3" s="7">
        <f>W3*0.00788713</f>
        <v/>
      </c>
      <c r="AX3" s="7">
        <f>X3*0.00788713</f>
        <v/>
      </c>
      <c r="AY3" s="7">
        <f>Y3*0.00788713</f>
        <v/>
      </c>
      <c r="AZ3" s="7">
        <f>Z3*0.00788713</f>
        <v/>
      </c>
      <c r="BA3" s="7">
        <f>AA3*0.00788713</f>
        <v/>
      </c>
      <c r="BB3" s="7">
        <f>SUM(AD3:BA3)</f>
        <v/>
      </c>
    </row>
    <row r="4">
      <c r="A4" t="inlineStr">
        <is>
          <t>AMD-AIR-NEW-SSC</t>
        </is>
      </c>
      <c r="B4" t="inlineStr">
        <is>
          <t>Forward Regular OSC</t>
        </is>
      </c>
      <c r="C4" s="5" t="n">
        <v>46096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0</v>
      </c>
      <c r="R4" s="6" t="n">
        <v>18</v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0</v>
      </c>
      <c r="AB4" s="6">
        <f>SUM(D4:AA4)</f>
        <v/>
      </c>
      <c r="AC4" s="3" t="inlineStr"/>
      <c r="AD4" s="7">
        <f>D4*0.00788713</f>
        <v/>
      </c>
      <c r="AE4" s="7">
        <f>E4*0.00788713</f>
        <v/>
      </c>
      <c r="AF4" s="7">
        <f>F4*0.00788713</f>
        <v/>
      </c>
      <c r="AG4" s="7">
        <f>G4*0.00788713</f>
        <v/>
      </c>
      <c r="AH4" s="7">
        <f>H4*0.00788713</f>
        <v/>
      </c>
      <c r="AI4" s="7">
        <f>I4*0.00788713</f>
        <v/>
      </c>
      <c r="AJ4" s="7">
        <f>J4*0.00788713</f>
        <v/>
      </c>
      <c r="AK4" s="7">
        <f>K4*0.00788713</f>
        <v/>
      </c>
      <c r="AL4" s="7">
        <f>L4*0.00788713</f>
        <v/>
      </c>
      <c r="AM4" s="7">
        <f>M4*0.00788713</f>
        <v/>
      </c>
      <c r="AN4" s="7">
        <f>N4*0.00788713</f>
        <v/>
      </c>
      <c r="AO4" s="7">
        <f>O4*0.00788713</f>
        <v/>
      </c>
      <c r="AP4" s="7">
        <f>P4*0.00788713</f>
        <v/>
      </c>
      <c r="AQ4" s="7">
        <f>Q4*0.00788713</f>
        <v/>
      </c>
      <c r="AR4" s="7">
        <f>R4*0.00788713</f>
        <v/>
      </c>
      <c r="AS4" s="7">
        <f>S4*0.00788713</f>
        <v/>
      </c>
      <c r="AT4" s="7">
        <f>T4*0.00788713</f>
        <v/>
      </c>
      <c r="AU4" s="7">
        <f>U4*0.00788713</f>
        <v/>
      </c>
      <c r="AV4" s="7">
        <f>V4*0.00788713</f>
        <v/>
      </c>
      <c r="AW4" s="7">
        <f>W4*0.00788713</f>
        <v/>
      </c>
      <c r="AX4" s="7">
        <f>X4*0.00788713</f>
        <v/>
      </c>
      <c r="AY4" s="7">
        <f>Y4*0.00788713</f>
        <v/>
      </c>
      <c r="AZ4" s="7">
        <f>Z4*0.00788713</f>
        <v/>
      </c>
      <c r="BA4" s="7">
        <f>AA4*0.00788713</f>
        <v/>
      </c>
      <c r="BB4" s="7">
        <f>SUM(AD4:BA4)</f>
        <v/>
      </c>
    </row>
    <row r="5">
      <c r="A5" t="inlineStr">
        <is>
          <t>AMD-AIR-NEW-SSC</t>
        </is>
      </c>
      <c r="B5" t="inlineStr">
        <is>
          <t>Forward Regular OSC</t>
        </is>
      </c>
      <c r="C5" s="5" t="n">
        <v>46097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10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>
        <f>SUM(D5:AA5)</f>
        <v/>
      </c>
      <c r="AC5" s="3" t="inlineStr"/>
      <c r="AD5" s="7">
        <f>D5*0.00788713</f>
        <v/>
      </c>
      <c r="AE5" s="7">
        <f>E5*0.00788713</f>
        <v/>
      </c>
      <c r="AF5" s="7">
        <f>F5*0.00788713</f>
        <v/>
      </c>
      <c r="AG5" s="7">
        <f>G5*0.00788713</f>
        <v/>
      </c>
      <c r="AH5" s="7">
        <f>H5*0.00788713</f>
        <v/>
      </c>
      <c r="AI5" s="7">
        <f>I5*0.00788713</f>
        <v/>
      </c>
      <c r="AJ5" s="7">
        <f>J5*0.00788713</f>
        <v/>
      </c>
      <c r="AK5" s="7">
        <f>K5*0.00788713</f>
        <v/>
      </c>
      <c r="AL5" s="7">
        <f>L5*0.00788713</f>
        <v/>
      </c>
      <c r="AM5" s="7">
        <f>M5*0.00788713</f>
        <v/>
      </c>
      <c r="AN5" s="7">
        <f>N5*0.00788713</f>
        <v/>
      </c>
      <c r="AO5" s="7">
        <f>O5*0.00788713</f>
        <v/>
      </c>
      <c r="AP5" s="7">
        <f>P5*0.00788713</f>
        <v/>
      </c>
      <c r="AQ5" s="7">
        <f>Q5*0.00788713</f>
        <v/>
      </c>
      <c r="AR5" s="7">
        <f>R5*0.00788713</f>
        <v/>
      </c>
      <c r="AS5" s="7">
        <f>S5*0.00788713</f>
        <v/>
      </c>
      <c r="AT5" s="7">
        <f>T5*0.00788713</f>
        <v/>
      </c>
      <c r="AU5" s="7">
        <f>U5*0.00788713</f>
        <v/>
      </c>
      <c r="AV5" s="7">
        <f>V5*0.00788713</f>
        <v/>
      </c>
      <c r="AW5" s="7">
        <f>W5*0.00788713</f>
        <v/>
      </c>
      <c r="AX5" s="7">
        <f>X5*0.00788713</f>
        <v/>
      </c>
      <c r="AY5" s="7">
        <f>Y5*0.00788713</f>
        <v/>
      </c>
      <c r="AZ5" s="7">
        <f>Z5*0.00788713</f>
        <v/>
      </c>
      <c r="BA5" s="7">
        <f>AA5*0.00788713</f>
        <v/>
      </c>
      <c r="BB5" s="7">
        <f>SUM(AD5:BA5)</f>
        <v/>
      </c>
    </row>
    <row r="6">
      <c r="A6" t="inlineStr">
        <is>
          <t>AMD-AIR-NEW-SSC</t>
        </is>
      </c>
      <c r="B6" t="inlineStr">
        <is>
          <t>Forward Regular OSC</t>
        </is>
      </c>
      <c r="C6" s="5" t="n">
        <v>46100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15</v>
      </c>
      <c r="S6" s="6" t="n">
        <v>16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>
        <f>SUM(D6:AA6)</f>
        <v/>
      </c>
      <c r="AC6" s="3" t="inlineStr"/>
      <c r="AD6" s="7">
        <f>D6*0.00788713</f>
        <v/>
      </c>
      <c r="AE6" s="7">
        <f>E6*0.00788713</f>
        <v/>
      </c>
      <c r="AF6" s="7">
        <f>F6*0.00788713</f>
        <v/>
      </c>
      <c r="AG6" s="7">
        <f>G6*0.00788713</f>
        <v/>
      </c>
      <c r="AH6" s="7">
        <f>H6*0.00788713</f>
        <v/>
      </c>
      <c r="AI6" s="7">
        <f>I6*0.00788713</f>
        <v/>
      </c>
      <c r="AJ6" s="7">
        <f>J6*0.00788713</f>
        <v/>
      </c>
      <c r="AK6" s="7">
        <f>K6*0.00788713</f>
        <v/>
      </c>
      <c r="AL6" s="7">
        <f>L6*0.00788713</f>
        <v/>
      </c>
      <c r="AM6" s="7">
        <f>M6*0.00788713</f>
        <v/>
      </c>
      <c r="AN6" s="7">
        <f>N6*0.00788713</f>
        <v/>
      </c>
      <c r="AO6" s="7">
        <f>O6*0.00788713</f>
        <v/>
      </c>
      <c r="AP6" s="7">
        <f>P6*0.00788713</f>
        <v/>
      </c>
      <c r="AQ6" s="7">
        <f>Q6*0.00788713</f>
        <v/>
      </c>
      <c r="AR6" s="7">
        <f>R6*0.00788713</f>
        <v/>
      </c>
      <c r="AS6" s="7">
        <f>S6*0.00788713</f>
        <v/>
      </c>
      <c r="AT6" s="7">
        <f>T6*0.00788713</f>
        <v/>
      </c>
      <c r="AU6" s="7">
        <f>U6*0.00788713</f>
        <v/>
      </c>
      <c r="AV6" s="7">
        <f>V6*0.00788713</f>
        <v/>
      </c>
      <c r="AW6" s="7">
        <f>W6*0.00788713</f>
        <v/>
      </c>
      <c r="AX6" s="7">
        <f>X6*0.00788713</f>
        <v/>
      </c>
      <c r="AY6" s="7">
        <f>Y6*0.00788713</f>
        <v/>
      </c>
      <c r="AZ6" s="7">
        <f>Z6*0.00788713</f>
        <v/>
      </c>
      <c r="BA6" s="7">
        <f>AA6*0.00788713</f>
        <v/>
      </c>
      <c r="BB6" s="7">
        <f>SUM(AD6:BA6)</f>
        <v/>
      </c>
    </row>
    <row r="7">
      <c r="A7" t="inlineStr">
        <is>
          <t>AMD-AIR-NEW-SSC</t>
        </is>
      </c>
      <c r="B7" t="inlineStr">
        <is>
          <t>Forward Regular OSC</t>
        </is>
      </c>
      <c r="C7" s="5" t="n">
        <v>46101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18</v>
      </c>
      <c r="T7" s="6" t="n">
        <v>12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>
        <f>SUM(D7:AA7)</f>
        <v/>
      </c>
      <c r="AC7" s="3" t="inlineStr"/>
      <c r="AD7" s="7">
        <f>D7*0.00788713</f>
        <v/>
      </c>
      <c r="AE7" s="7">
        <f>E7*0.00788713</f>
        <v/>
      </c>
      <c r="AF7" s="7">
        <f>F7*0.00788713</f>
        <v/>
      </c>
      <c r="AG7" s="7">
        <f>G7*0.00788713</f>
        <v/>
      </c>
      <c r="AH7" s="7">
        <f>H7*0.00788713</f>
        <v/>
      </c>
      <c r="AI7" s="7">
        <f>I7*0.00788713</f>
        <v/>
      </c>
      <c r="AJ7" s="7">
        <f>J7*0.00788713</f>
        <v/>
      </c>
      <c r="AK7" s="7">
        <f>K7*0.00788713</f>
        <v/>
      </c>
      <c r="AL7" s="7">
        <f>L7*0.00788713</f>
        <v/>
      </c>
      <c r="AM7" s="7">
        <f>M7*0.00788713</f>
        <v/>
      </c>
      <c r="AN7" s="7">
        <f>N7*0.00788713</f>
        <v/>
      </c>
      <c r="AO7" s="7">
        <f>O7*0.00788713</f>
        <v/>
      </c>
      <c r="AP7" s="7">
        <f>P7*0.00788713</f>
        <v/>
      </c>
      <c r="AQ7" s="7">
        <f>Q7*0.00788713</f>
        <v/>
      </c>
      <c r="AR7" s="7">
        <f>R7*0.00788713</f>
        <v/>
      </c>
      <c r="AS7" s="7">
        <f>S7*0.00788713</f>
        <v/>
      </c>
      <c r="AT7" s="7">
        <f>T7*0.00788713</f>
        <v/>
      </c>
      <c r="AU7" s="7">
        <f>U7*0.00788713</f>
        <v/>
      </c>
      <c r="AV7" s="7">
        <f>V7*0.00788713</f>
        <v/>
      </c>
      <c r="AW7" s="7">
        <f>W7*0.00788713</f>
        <v/>
      </c>
      <c r="AX7" s="7">
        <f>X7*0.00788713</f>
        <v/>
      </c>
      <c r="AY7" s="7">
        <f>Y7*0.00788713</f>
        <v/>
      </c>
      <c r="AZ7" s="7">
        <f>Z7*0.00788713</f>
        <v/>
      </c>
      <c r="BA7" s="7">
        <f>AA7*0.00788713</f>
        <v/>
      </c>
      <c r="BB7" s="7">
        <f>SUM(AD7:BA7)</f>
        <v/>
      </c>
    </row>
    <row r="8">
      <c r="A8" t="inlineStr">
        <is>
          <t>AMD-AIR-NEW-SSC</t>
        </is>
      </c>
      <c r="B8" t="inlineStr">
        <is>
          <t>Forward Regular OSC</t>
        </is>
      </c>
      <c r="C8" s="5" t="n">
        <v>46102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3</v>
      </c>
      <c r="S8" s="6" t="n">
        <v>5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>
        <f>SUM(D8:AA8)</f>
        <v/>
      </c>
      <c r="AC8" s="3" t="inlineStr"/>
      <c r="AD8" s="7">
        <f>D8*0.00788713</f>
        <v/>
      </c>
      <c r="AE8" s="7">
        <f>E8*0.00788713</f>
        <v/>
      </c>
      <c r="AF8" s="7">
        <f>F8*0.00788713</f>
        <v/>
      </c>
      <c r="AG8" s="7">
        <f>G8*0.00788713</f>
        <v/>
      </c>
      <c r="AH8" s="7">
        <f>H8*0.00788713</f>
        <v/>
      </c>
      <c r="AI8" s="7">
        <f>I8*0.00788713</f>
        <v/>
      </c>
      <c r="AJ8" s="7">
        <f>J8*0.00788713</f>
        <v/>
      </c>
      <c r="AK8" s="7">
        <f>K8*0.00788713</f>
        <v/>
      </c>
      <c r="AL8" s="7">
        <f>L8*0.00788713</f>
        <v/>
      </c>
      <c r="AM8" s="7">
        <f>M8*0.00788713</f>
        <v/>
      </c>
      <c r="AN8" s="7">
        <f>N8*0.00788713</f>
        <v/>
      </c>
      <c r="AO8" s="7">
        <f>O8*0.00788713</f>
        <v/>
      </c>
      <c r="AP8" s="7">
        <f>P8*0.00788713</f>
        <v/>
      </c>
      <c r="AQ8" s="7">
        <f>Q8*0.00788713</f>
        <v/>
      </c>
      <c r="AR8" s="7">
        <f>R8*0.00788713</f>
        <v/>
      </c>
      <c r="AS8" s="7">
        <f>S8*0.00788713</f>
        <v/>
      </c>
      <c r="AT8" s="7">
        <f>T8*0.00788713</f>
        <v/>
      </c>
      <c r="AU8" s="7">
        <f>U8*0.00788713</f>
        <v/>
      </c>
      <c r="AV8" s="7">
        <f>V8*0.00788713</f>
        <v/>
      </c>
      <c r="AW8" s="7">
        <f>W8*0.00788713</f>
        <v/>
      </c>
      <c r="AX8" s="7">
        <f>X8*0.00788713</f>
        <v/>
      </c>
      <c r="AY8" s="7">
        <f>Y8*0.00788713</f>
        <v/>
      </c>
      <c r="AZ8" s="7">
        <f>Z8*0.00788713</f>
        <v/>
      </c>
      <c r="BA8" s="7">
        <f>AA8*0.00788713</f>
        <v/>
      </c>
      <c r="BB8" s="7">
        <f>SUM(AD8:BA8)</f>
        <v/>
      </c>
    </row>
    <row r="9">
      <c r="A9" t="inlineStr">
        <is>
          <t>AMD-AIR-NEW-SSC</t>
        </is>
      </c>
      <c r="B9" t="inlineStr">
        <is>
          <t>Forward Regular OSC</t>
        </is>
      </c>
      <c r="C9" s="5" t="n">
        <v>46103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9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>
        <f>SUM(D9:AA9)</f>
        <v/>
      </c>
      <c r="AC9" s="3" t="inlineStr"/>
      <c r="AD9" s="7">
        <f>D9*0.00788713</f>
        <v/>
      </c>
      <c r="AE9" s="7">
        <f>E9*0.00788713</f>
        <v/>
      </c>
      <c r="AF9" s="7">
        <f>F9*0.00788713</f>
        <v/>
      </c>
      <c r="AG9" s="7">
        <f>G9*0.00788713</f>
        <v/>
      </c>
      <c r="AH9" s="7">
        <f>H9*0.00788713</f>
        <v/>
      </c>
      <c r="AI9" s="7">
        <f>I9*0.00788713</f>
        <v/>
      </c>
      <c r="AJ9" s="7">
        <f>J9*0.00788713</f>
        <v/>
      </c>
      <c r="AK9" s="7">
        <f>K9*0.00788713</f>
        <v/>
      </c>
      <c r="AL9" s="7">
        <f>L9*0.00788713</f>
        <v/>
      </c>
      <c r="AM9" s="7">
        <f>M9*0.00788713</f>
        <v/>
      </c>
      <c r="AN9" s="7">
        <f>N9*0.00788713</f>
        <v/>
      </c>
      <c r="AO9" s="7">
        <f>O9*0.00788713</f>
        <v/>
      </c>
      <c r="AP9" s="7">
        <f>P9*0.00788713</f>
        <v/>
      </c>
      <c r="AQ9" s="7">
        <f>Q9*0.00788713</f>
        <v/>
      </c>
      <c r="AR9" s="7">
        <f>R9*0.00788713</f>
        <v/>
      </c>
      <c r="AS9" s="7">
        <f>S9*0.00788713</f>
        <v/>
      </c>
      <c r="AT9" s="7">
        <f>T9*0.00788713</f>
        <v/>
      </c>
      <c r="AU9" s="7">
        <f>U9*0.00788713</f>
        <v/>
      </c>
      <c r="AV9" s="7">
        <f>V9*0.00788713</f>
        <v/>
      </c>
      <c r="AW9" s="7">
        <f>W9*0.00788713</f>
        <v/>
      </c>
      <c r="AX9" s="7">
        <f>X9*0.00788713</f>
        <v/>
      </c>
      <c r="AY9" s="7">
        <f>Y9*0.00788713</f>
        <v/>
      </c>
      <c r="AZ9" s="7">
        <f>Z9*0.00788713</f>
        <v/>
      </c>
      <c r="BA9" s="7">
        <f>AA9*0.00788713</f>
        <v/>
      </c>
      <c r="BB9" s="7">
        <f>SUM(AD9:BA9)</f>
        <v/>
      </c>
    </row>
    <row r="10">
      <c r="A10" t="inlineStr">
        <is>
          <t>AMD-AIR-NEW-SSC</t>
        </is>
      </c>
      <c r="B10" t="inlineStr">
        <is>
          <t>Forward Regular OSC</t>
        </is>
      </c>
      <c r="C10" s="5" t="n">
        <v>46104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10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>
        <f>SUM(D10:AA10)</f>
        <v/>
      </c>
      <c r="AC10" s="3" t="inlineStr"/>
      <c r="AD10" s="7">
        <f>D10*0.00788713</f>
        <v/>
      </c>
      <c r="AE10" s="7">
        <f>E10*0.00788713</f>
        <v/>
      </c>
      <c r="AF10" s="7">
        <f>F10*0.00788713</f>
        <v/>
      </c>
      <c r="AG10" s="7">
        <f>G10*0.00788713</f>
        <v/>
      </c>
      <c r="AH10" s="7">
        <f>H10*0.00788713</f>
        <v/>
      </c>
      <c r="AI10" s="7">
        <f>I10*0.00788713</f>
        <v/>
      </c>
      <c r="AJ10" s="7">
        <f>J10*0.00788713</f>
        <v/>
      </c>
      <c r="AK10" s="7">
        <f>K10*0.00788713</f>
        <v/>
      </c>
      <c r="AL10" s="7">
        <f>L10*0.00788713</f>
        <v/>
      </c>
      <c r="AM10" s="7">
        <f>M10*0.00788713</f>
        <v/>
      </c>
      <c r="AN10" s="7">
        <f>N10*0.00788713</f>
        <v/>
      </c>
      <c r="AO10" s="7">
        <f>O10*0.00788713</f>
        <v/>
      </c>
      <c r="AP10" s="7">
        <f>P10*0.00788713</f>
        <v/>
      </c>
      <c r="AQ10" s="7">
        <f>Q10*0.00788713</f>
        <v/>
      </c>
      <c r="AR10" s="7">
        <f>R10*0.00788713</f>
        <v/>
      </c>
      <c r="AS10" s="7">
        <f>S10*0.00788713</f>
        <v/>
      </c>
      <c r="AT10" s="7">
        <f>T10*0.00788713</f>
        <v/>
      </c>
      <c r="AU10" s="7">
        <f>U10*0.00788713</f>
        <v/>
      </c>
      <c r="AV10" s="7">
        <f>V10*0.00788713</f>
        <v/>
      </c>
      <c r="AW10" s="7">
        <f>W10*0.00788713</f>
        <v/>
      </c>
      <c r="AX10" s="7">
        <f>X10*0.00788713</f>
        <v/>
      </c>
      <c r="AY10" s="7">
        <f>Y10*0.00788713</f>
        <v/>
      </c>
      <c r="AZ10" s="7">
        <f>Z10*0.00788713</f>
        <v/>
      </c>
      <c r="BA10" s="7">
        <f>AA10*0.00788713</f>
        <v/>
      </c>
      <c r="BB10" s="7">
        <f>SUM(AD10:BA10)</f>
        <v/>
      </c>
    </row>
    <row r="11">
      <c r="A11" t="inlineStr">
        <is>
          <t>AMD-EXPR</t>
        </is>
      </c>
      <c r="B11" t="inlineStr">
        <is>
          <t>DSC Manual</t>
        </is>
      </c>
      <c r="C11" s="5" t="n">
        <v>46089</v>
      </c>
      <c r="D11" s="6" t="n">
        <v>0</v>
      </c>
      <c r="E11" s="6" t="n">
        <v>0</v>
      </c>
      <c r="F11" s="6" t="n">
        <v>0</v>
      </c>
      <c r="G11" s="6" t="n">
        <v>2</v>
      </c>
      <c r="H11" s="6" t="n">
        <v>18</v>
      </c>
      <c r="I11" s="6" t="n">
        <v>7</v>
      </c>
      <c r="J11" s="6" t="n">
        <v>5</v>
      </c>
      <c r="K11" s="6" t="n">
        <v>4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23</v>
      </c>
      <c r="T11" s="6" t="n">
        <v>0</v>
      </c>
      <c r="U11" s="6" t="n">
        <v>14</v>
      </c>
      <c r="V11" s="6" t="n">
        <v>18</v>
      </c>
      <c r="W11" s="6" t="n">
        <v>19</v>
      </c>
      <c r="X11" s="6" t="n">
        <v>31</v>
      </c>
      <c r="Y11" s="6" t="n">
        <v>32</v>
      </c>
      <c r="Z11" s="6" t="n">
        <v>0</v>
      </c>
      <c r="AA11" s="6" t="n">
        <v>0</v>
      </c>
      <c r="AB11" s="6">
        <f>SUM(D11:AA11)</f>
        <v/>
      </c>
      <c r="AC11" s="3" t="inlineStr"/>
      <c r="AD11" s="7">
        <f>D11*0.00788713</f>
        <v/>
      </c>
      <c r="AE11" s="7">
        <f>E11*0.00788713</f>
        <v/>
      </c>
      <c r="AF11" s="7">
        <f>F11*0.00788713</f>
        <v/>
      </c>
      <c r="AG11" s="7">
        <f>G11*0.00788713</f>
        <v/>
      </c>
      <c r="AH11" s="7">
        <f>H11*0.00788713</f>
        <v/>
      </c>
      <c r="AI11" s="7">
        <f>I11*0.00788713</f>
        <v/>
      </c>
      <c r="AJ11" s="7">
        <f>J11*0.00788713</f>
        <v/>
      </c>
      <c r="AK11" s="7">
        <f>K11*0.00788713</f>
        <v/>
      </c>
      <c r="AL11" s="7">
        <f>L11*0.00788713</f>
        <v/>
      </c>
      <c r="AM11" s="7">
        <f>M11*0.00788713</f>
        <v/>
      </c>
      <c r="AN11" s="7">
        <f>N11*0.00788713</f>
        <v/>
      </c>
      <c r="AO11" s="7">
        <f>O11*0.00788713</f>
        <v/>
      </c>
      <c r="AP11" s="7">
        <f>P11*0.00788713</f>
        <v/>
      </c>
      <c r="AQ11" s="7">
        <f>Q11*0.00788713</f>
        <v/>
      </c>
      <c r="AR11" s="7">
        <f>R11*0.00788713</f>
        <v/>
      </c>
      <c r="AS11" s="7">
        <f>S11*0.00788713</f>
        <v/>
      </c>
      <c r="AT11" s="7">
        <f>T11*0.00788713</f>
        <v/>
      </c>
      <c r="AU11" s="7">
        <f>U11*0.00788713</f>
        <v/>
      </c>
      <c r="AV11" s="7">
        <f>V11*0.00788713</f>
        <v/>
      </c>
      <c r="AW11" s="7">
        <f>W11*0.00788713</f>
        <v/>
      </c>
      <c r="AX11" s="7">
        <f>X11*0.00788713</f>
        <v/>
      </c>
      <c r="AY11" s="7">
        <f>Y11*0.00788713</f>
        <v/>
      </c>
      <c r="AZ11" s="7">
        <f>Z11*0.00788713</f>
        <v/>
      </c>
      <c r="BA11" s="7">
        <f>AA11*0.00788713</f>
        <v/>
      </c>
      <c r="BB11" s="7">
        <f>SUM(AD11:BA11)</f>
        <v/>
      </c>
    </row>
    <row r="12">
      <c r="A12" t="inlineStr">
        <is>
          <t>AMD-EXPR</t>
        </is>
      </c>
      <c r="B12" t="inlineStr">
        <is>
          <t>DSC Manual</t>
        </is>
      </c>
      <c r="C12" s="5" t="n">
        <v>46090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10</v>
      </c>
      <c r="J12" s="6" t="n">
        <v>15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23</v>
      </c>
      <c r="U12" s="6" t="n">
        <v>0</v>
      </c>
      <c r="V12" s="6" t="n">
        <v>17</v>
      </c>
      <c r="W12" s="6" t="n">
        <v>16</v>
      </c>
      <c r="X12" s="6" t="n">
        <v>22</v>
      </c>
      <c r="Y12" s="6" t="n">
        <v>22</v>
      </c>
      <c r="Z12" s="6" t="n">
        <v>23</v>
      </c>
      <c r="AA12" s="6" t="n">
        <v>0</v>
      </c>
      <c r="AB12" s="6">
        <f>SUM(D12:AA12)</f>
        <v/>
      </c>
      <c r="AC12" s="3" t="inlineStr"/>
      <c r="AD12" s="7">
        <f>D12*0.00788713</f>
        <v/>
      </c>
      <c r="AE12" s="7">
        <f>E12*0.00788713</f>
        <v/>
      </c>
      <c r="AF12" s="7">
        <f>F12*0.00788713</f>
        <v/>
      </c>
      <c r="AG12" s="7">
        <f>G12*0.00788713</f>
        <v/>
      </c>
      <c r="AH12" s="7">
        <f>H12*0.00788713</f>
        <v/>
      </c>
      <c r="AI12" s="7">
        <f>I12*0.00788713</f>
        <v/>
      </c>
      <c r="AJ12" s="7">
        <f>J12*0.00788713</f>
        <v/>
      </c>
      <c r="AK12" s="7">
        <f>K12*0.00788713</f>
        <v/>
      </c>
      <c r="AL12" s="7">
        <f>L12*0.00788713</f>
        <v/>
      </c>
      <c r="AM12" s="7">
        <f>M12*0.00788713</f>
        <v/>
      </c>
      <c r="AN12" s="7">
        <f>N12*0.00788713</f>
        <v/>
      </c>
      <c r="AO12" s="7">
        <f>O12*0.00788713</f>
        <v/>
      </c>
      <c r="AP12" s="7">
        <f>P12*0.00788713</f>
        <v/>
      </c>
      <c r="AQ12" s="7">
        <f>Q12*0.00788713</f>
        <v/>
      </c>
      <c r="AR12" s="7">
        <f>R12*0.00788713</f>
        <v/>
      </c>
      <c r="AS12" s="7">
        <f>S12*0.00788713</f>
        <v/>
      </c>
      <c r="AT12" s="7">
        <f>T12*0.00788713</f>
        <v/>
      </c>
      <c r="AU12" s="7">
        <f>U12*0.00788713</f>
        <v/>
      </c>
      <c r="AV12" s="7">
        <f>V12*0.00788713</f>
        <v/>
      </c>
      <c r="AW12" s="7">
        <f>W12*0.00788713</f>
        <v/>
      </c>
      <c r="AX12" s="7">
        <f>X12*0.00788713</f>
        <v/>
      </c>
      <c r="AY12" s="7">
        <f>Y12*0.00788713</f>
        <v/>
      </c>
      <c r="AZ12" s="7">
        <f>Z12*0.00788713</f>
        <v/>
      </c>
      <c r="BA12" s="7">
        <f>AA12*0.00788713</f>
        <v/>
      </c>
      <c r="BB12" s="7">
        <f>SUM(AD12:BA12)</f>
        <v/>
      </c>
    </row>
    <row r="13">
      <c r="A13" t="inlineStr">
        <is>
          <t>AMD-EXPR</t>
        </is>
      </c>
      <c r="B13" t="inlineStr">
        <is>
          <t>DSC Manual</t>
        </is>
      </c>
      <c r="C13" s="5" t="n">
        <v>46091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15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37</v>
      </c>
      <c r="T13" s="6" t="n">
        <v>13</v>
      </c>
      <c r="U13" s="6" t="n">
        <v>0</v>
      </c>
      <c r="V13" s="6" t="n">
        <v>15</v>
      </c>
      <c r="W13" s="6" t="n">
        <v>29</v>
      </c>
      <c r="X13" s="6" t="n">
        <v>14</v>
      </c>
      <c r="Y13" s="6" t="n">
        <v>48</v>
      </c>
      <c r="Z13" s="6" t="n">
        <v>13</v>
      </c>
      <c r="AA13" s="6" t="n">
        <v>0</v>
      </c>
      <c r="AB13" s="6">
        <f>SUM(D13:AA13)</f>
        <v/>
      </c>
      <c r="AC13" s="3" t="inlineStr"/>
      <c r="AD13" s="7">
        <f>D13*0.00788713</f>
        <v/>
      </c>
      <c r="AE13" s="7">
        <f>E13*0.00788713</f>
        <v/>
      </c>
      <c r="AF13" s="7">
        <f>F13*0.00788713</f>
        <v/>
      </c>
      <c r="AG13" s="7">
        <f>G13*0.00788713</f>
        <v/>
      </c>
      <c r="AH13" s="7">
        <f>H13*0.00788713</f>
        <v/>
      </c>
      <c r="AI13" s="7">
        <f>I13*0.00788713</f>
        <v/>
      </c>
      <c r="AJ13" s="7">
        <f>J13*0.00788713</f>
        <v/>
      </c>
      <c r="AK13" s="7">
        <f>K13*0.00788713</f>
        <v/>
      </c>
      <c r="AL13" s="7">
        <f>L13*0.00788713</f>
        <v/>
      </c>
      <c r="AM13" s="7">
        <f>M13*0.00788713</f>
        <v/>
      </c>
      <c r="AN13" s="7">
        <f>N13*0.00788713</f>
        <v/>
      </c>
      <c r="AO13" s="7">
        <f>O13*0.00788713</f>
        <v/>
      </c>
      <c r="AP13" s="7">
        <f>P13*0.00788713</f>
        <v/>
      </c>
      <c r="AQ13" s="7">
        <f>Q13*0.00788713</f>
        <v/>
      </c>
      <c r="AR13" s="7">
        <f>R13*0.00788713</f>
        <v/>
      </c>
      <c r="AS13" s="7">
        <f>S13*0.00788713</f>
        <v/>
      </c>
      <c r="AT13" s="7">
        <f>T13*0.00788713</f>
        <v/>
      </c>
      <c r="AU13" s="7">
        <f>U13*0.00788713</f>
        <v/>
      </c>
      <c r="AV13" s="7">
        <f>V13*0.00788713</f>
        <v/>
      </c>
      <c r="AW13" s="7">
        <f>W13*0.00788713</f>
        <v/>
      </c>
      <c r="AX13" s="7">
        <f>X13*0.00788713</f>
        <v/>
      </c>
      <c r="AY13" s="7">
        <f>Y13*0.00788713</f>
        <v/>
      </c>
      <c r="AZ13" s="7">
        <f>Z13*0.00788713</f>
        <v/>
      </c>
      <c r="BA13" s="7">
        <f>AA13*0.00788713</f>
        <v/>
      </c>
      <c r="BB13" s="7">
        <f>SUM(AD13:BA13)</f>
        <v/>
      </c>
    </row>
    <row r="14">
      <c r="A14" t="inlineStr">
        <is>
          <t>AMD-EXPR</t>
        </is>
      </c>
      <c r="B14" t="inlineStr">
        <is>
          <t>DSC Manual</t>
        </is>
      </c>
      <c r="C14" s="5" t="n">
        <v>46092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12</v>
      </c>
      <c r="K14" s="6" t="n">
        <v>16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16</v>
      </c>
      <c r="S14" s="6" t="n">
        <v>30</v>
      </c>
      <c r="T14" s="6" t="n">
        <v>0</v>
      </c>
      <c r="U14" s="6" t="n">
        <v>23</v>
      </c>
      <c r="V14" s="6" t="n">
        <v>26</v>
      </c>
      <c r="W14" s="6" t="n">
        <v>28</v>
      </c>
      <c r="X14" s="6" t="n">
        <v>34</v>
      </c>
      <c r="Y14" s="6" t="n">
        <v>22</v>
      </c>
      <c r="Z14" s="6" t="n">
        <v>4</v>
      </c>
      <c r="AA14" s="6" t="n">
        <v>0</v>
      </c>
      <c r="AB14" s="6">
        <f>SUM(D14:AA14)</f>
        <v/>
      </c>
      <c r="AC14" s="3" t="inlineStr"/>
      <c r="AD14" s="7">
        <f>D14*0.00788713</f>
        <v/>
      </c>
      <c r="AE14" s="7">
        <f>E14*0.00788713</f>
        <v/>
      </c>
      <c r="AF14" s="7">
        <f>F14*0.00788713</f>
        <v/>
      </c>
      <c r="AG14" s="7">
        <f>G14*0.00788713</f>
        <v/>
      </c>
      <c r="AH14" s="7">
        <f>H14*0.00788713</f>
        <v/>
      </c>
      <c r="AI14" s="7">
        <f>I14*0.00788713</f>
        <v/>
      </c>
      <c r="AJ14" s="7">
        <f>J14*0.00788713</f>
        <v/>
      </c>
      <c r="AK14" s="7">
        <f>K14*0.00788713</f>
        <v/>
      </c>
      <c r="AL14" s="7">
        <f>L14*0.00788713</f>
        <v/>
      </c>
      <c r="AM14" s="7">
        <f>M14*0.00788713</f>
        <v/>
      </c>
      <c r="AN14" s="7">
        <f>N14*0.00788713</f>
        <v/>
      </c>
      <c r="AO14" s="7">
        <f>O14*0.00788713</f>
        <v/>
      </c>
      <c r="AP14" s="7">
        <f>P14*0.00788713</f>
        <v/>
      </c>
      <c r="AQ14" s="7">
        <f>Q14*0.00788713</f>
        <v/>
      </c>
      <c r="AR14" s="7">
        <f>R14*0.00788713</f>
        <v/>
      </c>
      <c r="AS14" s="7">
        <f>S14*0.00788713</f>
        <v/>
      </c>
      <c r="AT14" s="7">
        <f>T14*0.00788713</f>
        <v/>
      </c>
      <c r="AU14" s="7">
        <f>U14*0.00788713</f>
        <v/>
      </c>
      <c r="AV14" s="7">
        <f>V14*0.00788713</f>
        <v/>
      </c>
      <c r="AW14" s="7">
        <f>W14*0.00788713</f>
        <v/>
      </c>
      <c r="AX14" s="7">
        <f>X14*0.00788713</f>
        <v/>
      </c>
      <c r="AY14" s="7">
        <f>Y14*0.00788713</f>
        <v/>
      </c>
      <c r="AZ14" s="7">
        <f>Z14*0.00788713</f>
        <v/>
      </c>
      <c r="BA14" s="7">
        <f>AA14*0.00788713</f>
        <v/>
      </c>
      <c r="BB14" s="7">
        <f>SUM(AD14:BA14)</f>
        <v/>
      </c>
    </row>
    <row r="15">
      <c r="A15" t="inlineStr">
        <is>
          <t>AMD-EXPR</t>
        </is>
      </c>
      <c r="B15" t="inlineStr">
        <is>
          <t>DSC Manual</t>
        </is>
      </c>
      <c r="C15" s="5" t="n">
        <v>46093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9</v>
      </c>
      <c r="I15" s="6" t="n">
        <v>12</v>
      </c>
      <c r="J15" s="6" t="n">
        <v>16</v>
      </c>
      <c r="K15" s="6" t="n">
        <v>9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26</v>
      </c>
      <c r="T15" s="6" t="n">
        <v>12</v>
      </c>
      <c r="U15" s="6" t="n">
        <v>20</v>
      </c>
      <c r="V15" s="6" t="n">
        <v>24</v>
      </c>
      <c r="W15" s="6" t="n">
        <v>30</v>
      </c>
      <c r="X15" s="6" t="n">
        <v>25</v>
      </c>
      <c r="Y15" s="6" t="n">
        <v>28</v>
      </c>
      <c r="Z15" s="6" t="n">
        <v>0</v>
      </c>
      <c r="AA15" s="6" t="n">
        <v>0</v>
      </c>
      <c r="AB15" s="6">
        <f>SUM(D15:AA15)</f>
        <v/>
      </c>
      <c r="AC15" s="3" t="inlineStr"/>
      <c r="AD15" s="7">
        <f>D15*0.00788713</f>
        <v/>
      </c>
      <c r="AE15" s="7">
        <f>E15*0.00788713</f>
        <v/>
      </c>
      <c r="AF15" s="7">
        <f>F15*0.00788713</f>
        <v/>
      </c>
      <c r="AG15" s="7">
        <f>G15*0.00788713</f>
        <v/>
      </c>
      <c r="AH15" s="7">
        <f>H15*0.00788713</f>
        <v/>
      </c>
      <c r="AI15" s="7">
        <f>I15*0.00788713</f>
        <v/>
      </c>
      <c r="AJ15" s="7">
        <f>J15*0.00788713</f>
        <v/>
      </c>
      <c r="AK15" s="7">
        <f>K15*0.00788713</f>
        <v/>
      </c>
      <c r="AL15" s="7">
        <f>L15*0.00788713</f>
        <v/>
      </c>
      <c r="AM15" s="7">
        <f>M15*0.00788713</f>
        <v/>
      </c>
      <c r="AN15" s="7">
        <f>N15*0.00788713</f>
        <v/>
      </c>
      <c r="AO15" s="7">
        <f>O15*0.00788713</f>
        <v/>
      </c>
      <c r="AP15" s="7">
        <f>P15*0.00788713</f>
        <v/>
      </c>
      <c r="AQ15" s="7">
        <f>Q15*0.00788713</f>
        <v/>
      </c>
      <c r="AR15" s="7">
        <f>R15*0.00788713</f>
        <v/>
      </c>
      <c r="AS15" s="7">
        <f>S15*0.00788713</f>
        <v/>
      </c>
      <c r="AT15" s="7">
        <f>T15*0.00788713</f>
        <v/>
      </c>
      <c r="AU15" s="7">
        <f>U15*0.00788713</f>
        <v/>
      </c>
      <c r="AV15" s="7">
        <f>V15*0.00788713</f>
        <v/>
      </c>
      <c r="AW15" s="7">
        <f>W15*0.00788713</f>
        <v/>
      </c>
      <c r="AX15" s="7">
        <f>X15*0.00788713</f>
        <v/>
      </c>
      <c r="AY15" s="7">
        <f>Y15*0.00788713</f>
        <v/>
      </c>
      <c r="AZ15" s="7">
        <f>Z15*0.00788713</f>
        <v/>
      </c>
      <c r="BA15" s="7">
        <f>AA15*0.00788713</f>
        <v/>
      </c>
      <c r="BB15" s="7">
        <f>SUM(AD15:BA15)</f>
        <v/>
      </c>
    </row>
    <row r="16">
      <c r="A16" t="inlineStr">
        <is>
          <t>AMD-EXPR</t>
        </is>
      </c>
      <c r="B16" t="inlineStr">
        <is>
          <t>DSC Manual</t>
        </is>
      </c>
      <c r="C16" s="5" t="n">
        <v>46094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4</v>
      </c>
      <c r="J16" s="6" t="n">
        <v>5</v>
      </c>
      <c r="K16" s="6" t="n">
        <v>12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10</v>
      </c>
      <c r="S16" s="6" t="n">
        <v>32</v>
      </c>
      <c r="T16" s="6" t="n">
        <v>11</v>
      </c>
      <c r="U16" s="6" t="n">
        <v>23</v>
      </c>
      <c r="V16" s="6" t="n">
        <v>25</v>
      </c>
      <c r="W16" s="6" t="n">
        <v>25</v>
      </c>
      <c r="X16" s="6" t="n">
        <v>40</v>
      </c>
      <c r="Y16" s="6" t="n">
        <v>46</v>
      </c>
      <c r="Z16" s="6" t="n">
        <v>0</v>
      </c>
      <c r="AA16" s="6" t="n">
        <v>0</v>
      </c>
      <c r="AB16" s="6">
        <f>SUM(D16:AA16)</f>
        <v/>
      </c>
      <c r="AC16" s="3" t="inlineStr"/>
      <c r="AD16" s="7">
        <f>D16*0.00788713</f>
        <v/>
      </c>
      <c r="AE16" s="7">
        <f>E16*0.00788713</f>
        <v/>
      </c>
      <c r="AF16" s="7">
        <f>F16*0.00788713</f>
        <v/>
      </c>
      <c r="AG16" s="7">
        <f>G16*0.00788713</f>
        <v/>
      </c>
      <c r="AH16" s="7">
        <f>H16*0.00788713</f>
        <v/>
      </c>
      <c r="AI16" s="7">
        <f>I16*0.00788713</f>
        <v/>
      </c>
      <c r="AJ16" s="7">
        <f>J16*0.00788713</f>
        <v/>
      </c>
      <c r="AK16" s="7">
        <f>K16*0.00788713</f>
        <v/>
      </c>
      <c r="AL16" s="7">
        <f>L16*0.00788713</f>
        <v/>
      </c>
      <c r="AM16" s="7">
        <f>M16*0.00788713</f>
        <v/>
      </c>
      <c r="AN16" s="7">
        <f>N16*0.00788713</f>
        <v/>
      </c>
      <c r="AO16" s="7">
        <f>O16*0.00788713</f>
        <v/>
      </c>
      <c r="AP16" s="7">
        <f>P16*0.00788713</f>
        <v/>
      </c>
      <c r="AQ16" s="7">
        <f>Q16*0.00788713</f>
        <v/>
      </c>
      <c r="AR16" s="7">
        <f>R16*0.00788713</f>
        <v/>
      </c>
      <c r="AS16" s="7">
        <f>S16*0.00788713</f>
        <v/>
      </c>
      <c r="AT16" s="7">
        <f>T16*0.00788713</f>
        <v/>
      </c>
      <c r="AU16" s="7">
        <f>U16*0.00788713</f>
        <v/>
      </c>
      <c r="AV16" s="7">
        <f>V16*0.00788713</f>
        <v/>
      </c>
      <c r="AW16" s="7">
        <f>W16*0.00788713</f>
        <v/>
      </c>
      <c r="AX16" s="7">
        <f>X16*0.00788713</f>
        <v/>
      </c>
      <c r="AY16" s="7">
        <f>Y16*0.00788713</f>
        <v/>
      </c>
      <c r="AZ16" s="7">
        <f>Z16*0.00788713</f>
        <v/>
      </c>
      <c r="BA16" s="7">
        <f>AA16*0.00788713</f>
        <v/>
      </c>
      <c r="BB16" s="7">
        <f>SUM(AD16:BA16)</f>
        <v/>
      </c>
    </row>
    <row r="17">
      <c r="A17" t="inlineStr">
        <is>
          <t>AMD-EXPR</t>
        </is>
      </c>
      <c r="B17" t="inlineStr">
        <is>
          <t>DSC Manual</t>
        </is>
      </c>
      <c r="C17" s="5" t="n">
        <v>46095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12</v>
      </c>
      <c r="K17" s="6" t="n">
        <v>5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20</v>
      </c>
      <c r="S17" s="6" t="n">
        <v>27</v>
      </c>
      <c r="T17" s="6" t="n">
        <v>10</v>
      </c>
      <c r="U17" s="6" t="n">
        <v>27</v>
      </c>
      <c r="V17" s="6" t="n">
        <v>22</v>
      </c>
      <c r="W17" s="6" t="n">
        <v>23</v>
      </c>
      <c r="X17" s="6" t="n">
        <v>23</v>
      </c>
      <c r="Y17" s="6" t="n">
        <v>0</v>
      </c>
      <c r="Z17" s="6" t="n">
        <v>0</v>
      </c>
      <c r="AA17" s="6" t="n">
        <v>0</v>
      </c>
      <c r="AB17" s="6">
        <f>SUM(D17:AA17)</f>
        <v/>
      </c>
      <c r="AC17" s="3" t="inlineStr"/>
      <c r="AD17" s="7">
        <f>D17*0.00788713</f>
        <v/>
      </c>
      <c r="AE17" s="7">
        <f>E17*0.00788713</f>
        <v/>
      </c>
      <c r="AF17" s="7">
        <f>F17*0.00788713</f>
        <v/>
      </c>
      <c r="AG17" s="7">
        <f>G17*0.00788713</f>
        <v/>
      </c>
      <c r="AH17" s="7">
        <f>H17*0.00788713</f>
        <v/>
      </c>
      <c r="AI17" s="7">
        <f>I17*0.00788713</f>
        <v/>
      </c>
      <c r="AJ17" s="7">
        <f>J17*0.00788713</f>
        <v/>
      </c>
      <c r="AK17" s="7">
        <f>K17*0.00788713</f>
        <v/>
      </c>
      <c r="AL17" s="7">
        <f>L17*0.00788713</f>
        <v/>
      </c>
      <c r="AM17" s="7">
        <f>M17*0.00788713</f>
        <v/>
      </c>
      <c r="AN17" s="7">
        <f>N17*0.00788713</f>
        <v/>
      </c>
      <c r="AO17" s="7">
        <f>O17*0.00788713</f>
        <v/>
      </c>
      <c r="AP17" s="7">
        <f>P17*0.00788713</f>
        <v/>
      </c>
      <c r="AQ17" s="7">
        <f>Q17*0.00788713</f>
        <v/>
      </c>
      <c r="AR17" s="7">
        <f>R17*0.00788713</f>
        <v/>
      </c>
      <c r="AS17" s="7">
        <f>S17*0.00788713</f>
        <v/>
      </c>
      <c r="AT17" s="7">
        <f>T17*0.00788713</f>
        <v/>
      </c>
      <c r="AU17" s="7">
        <f>U17*0.00788713</f>
        <v/>
      </c>
      <c r="AV17" s="7">
        <f>V17*0.00788713</f>
        <v/>
      </c>
      <c r="AW17" s="7">
        <f>W17*0.00788713</f>
        <v/>
      </c>
      <c r="AX17" s="7">
        <f>X17*0.00788713</f>
        <v/>
      </c>
      <c r="AY17" s="7">
        <f>Y17*0.00788713</f>
        <v/>
      </c>
      <c r="AZ17" s="7">
        <f>Z17*0.00788713</f>
        <v/>
      </c>
      <c r="BA17" s="7">
        <f>AA17*0.00788713</f>
        <v/>
      </c>
      <c r="BB17" s="7">
        <f>SUM(AD17:BA17)</f>
        <v/>
      </c>
    </row>
    <row r="18">
      <c r="A18" t="inlineStr">
        <is>
          <t>AMD-EXPR</t>
        </is>
      </c>
      <c r="B18" t="inlineStr">
        <is>
          <t>DSC Manual</t>
        </is>
      </c>
      <c r="C18" s="5" t="n">
        <v>46096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4</v>
      </c>
      <c r="I18" s="6" t="n">
        <v>18</v>
      </c>
      <c r="J18" s="6" t="n">
        <v>4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9</v>
      </c>
      <c r="S18" s="6" t="n">
        <v>29</v>
      </c>
      <c r="T18" s="6" t="n">
        <v>0</v>
      </c>
      <c r="U18" s="6" t="n">
        <v>27</v>
      </c>
      <c r="V18" s="6" t="n">
        <v>27</v>
      </c>
      <c r="W18" s="6" t="n">
        <v>22</v>
      </c>
      <c r="X18" s="6" t="n">
        <v>30</v>
      </c>
      <c r="Y18" s="6" t="n">
        <v>27</v>
      </c>
      <c r="Z18" s="6" t="n">
        <v>0</v>
      </c>
      <c r="AA18" s="6" t="n">
        <v>0</v>
      </c>
      <c r="AB18" s="6">
        <f>SUM(D18:AA18)</f>
        <v/>
      </c>
      <c r="AC18" s="3" t="inlineStr"/>
      <c r="AD18" s="7">
        <f>D18*0.00788713</f>
        <v/>
      </c>
      <c r="AE18" s="7">
        <f>E18*0.00788713</f>
        <v/>
      </c>
      <c r="AF18" s="7">
        <f>F18*0.00788713</f>
        <v/>
      </c>
      <c r="AG18" s="7">
        <f>G18*0.00788713</f>
        <v/>
      </c>
      <c r="AH18" s="7">
        <f>H18*0.00788713</f>
        <v/>
      </c>
      <c r="AI18" s="7">
        <f>I18*0.00788713</f>
        <v/>
      </c>
      <c r="AJ18" s="7">
        <f>J18*0.00788713</f>
        <v/>
      </c>
      <c r="AK18" s="7">
        <f>K18*0.00788713</f>
        <v/>
      </c>
      <c r="AL18" s="7">
        <f>L18*0.00788713</f>
        <v/>
      </c>
      <c r="AM18" s="7">
        <f>M18*0.00788713</f>
        <v/>
      </c>
      <c r="AN18" s="7">
        <f>N18*0.00788713</f>
        <v/>
      </c>
      <c r="AO18" s="7">
        <f>O18*0.00788713</f>
        <v/>
      </c>
      <c r="AP18" s="7">
        <f>P18*0.00788713</f>
        <v/>
      </c>
      <c r="AQ18" s="7">
        <f>Q18*0.00788713</f>
        <v/>
      </c>
      <c r="AR18" s="7">
        <f>R18*0.00788713</f>
        <v/>
      </c>
      <c r="AS18" s="7">
        <f>S18*0.00788713</f>
        <v/>
      </c>
      <c r="AT18" s="7">
        <f>T18*0.00788713</f>
        <v/>
      </c>
      <c r="AU18" s="7">
        <f>U18*0.00788713</f>
        <v/>
      </c>
      <c r="AV18" s="7">
        <f>V18*0.00788713</f>
        <v/>
      </c>
      <c r="AW18" s="7">
        <f>W18*0.00788713</f>
        <v/>
      </c>
      <c r="AX18" s="7">
        <f>X18*0.00788713</f>
        <v/>
      </c>
      <c r="AY18" s="7">
        <f>Y18*0.00788713</f>
        <v/>
      </c>
      <c r="AZ18" s="7">
        <f>Z18*0.00788713</f>
        <v/>
      </c>
      <c r="BA18" s="7">
        <f>AA18*0.00788713</f>
        <v/>
      </c>
      <c r="BB18" s="7">
        <f>SUM(AD18:BA18)</f>
        <v/>
      </c>
    </row>
    <row r="19">
      <c r="A19" t="inlineStr">
        <is>
          <t>AMD-EXPR</t>
        </is>
      </c>
      <c r="B19" t="inlineStr">
        <is>
          <t>DSC Manual</t>
        </is>
      </c>
      <c r="C19" s="5" t="n">
        <v>46097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11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6</v>
      </c>
      <c r="S19" s="6" t="n">
        <v>27</v>
      </c>
      <c r="T19" s="6" t="n">
        <v>0</v>
      </c>
      <c r="U19" s="6" t="n">
        <v>22</v>
      </c>
      <c r="V19" s="6" t="n">
        <v>9</v>
      </c>
      <c r="W19" s="6" t="n">
        <v>30</v>
      </c>
      <c r="X19" s="6" t="n">
        <v>26</v>
      </c>
      <c r="Y19" s="6" t="n">
        <v>27</v>
      </c>
      <c r="Z19" s="6" t="n">
        <v>0</v>
      </c>
      <c r="AA19" s="6" t="n">
        <v>0</v>
      </c>
      <c r="AB19" s="6">
        <f>SUM(D19:AA19)</f>
        <v/>
      </c>
      <c r="AC19" s="3" t="inlineStr"/>
      <c r="AD19" s="7">
        <f>D19*0.00788713</f>
        <v/>
      </c>
      <c r="AE19" s="7">
        <f>E19*0.00788713</f>
        <v/>
      </c>
      <c r="AF19" s="7">
        <f>F19*0.00788713</f>
        <v/>
      </c>
      <c r="AG19" s="7">
        <f>G19*0.00788713</f>
        <v/>
      </c>
      <c r="AH19" s="7">
        <f>H19*0.00788713</f>
        <v/>
      </c>
      <c r="AI19" s="7">
        <f>I19*0.00788713</f>
        <v/>
      </c>
      <c r="AJ19" s="7">
        <f>J19*0.00788713</f>
        <v/>
      </c>
      <c r="AK19" s="7">
        <f>K19*0.00788713</f>
        <v/>
      </c>
      <c r="AL19" s="7">
        <f>L19*0.00788713</f>
        <v/>
      </c>
      <c r="AM19" s="7">
        <f>M19*0.00788713</f>
        <v/>
      </c>
      <c r="AN19" s="7">
        <f>N19*0.00788713</f>
        <v/>
      </c>
      <c r="AO19" s="7">
        <f>O19*0.00788713</f>
        <v/>
      </c>
      <c r="AP19" s="7">
        <f>P19*0.00788713</f>
        <v/>
      </c>
      <c r="AQ19" s="7">
        <f>Q19*0.00788713</f>
        <v/>
      </c>
      <c r="AR19" s="7">
        <f>R19*0.00788713</f>
        <v/>
      </c>
      <c r="AS19" s="7">
        <f>S19*0.00788713</f>
        <v/>
      </c>
      <c r="AT19" s="7">
        <f>T19*0.00788713</f>
        <v/>
      </c>
      <c r="AU19" s="7">
        <f>U19*0.00788713</f>
        <v/>
      </c>
      <c r="AV19" s="7">
        <f>V19*0.00788713</f>
        <v/>
      </c>
      <c r="AW19" s="7">
        <f>W19*0.00788713</f>
        <v/>
      </c>
      <c r="AX19" s="7">
        <f>X19*0.00788713</f>
        <v/>
      </c>
      <c r="AY19" s="7">
        <f>Y19*0.00788713</f>
        <v/>
      </c>
      <c r="AZ19" s="7">
        <f>Z19*0.00788713</f>
        <v/>
      </c>
      <c r="BA19" s="7">
        <f>AA19*0.00788713</f>
        <v/>
      </c>
      <c r="BB19" s="7">
        <f>SUM(AD19:BA19)</f>
        <v/>
      </c>
    </row>
    <row r="20">
      <c r="A20" t="inlineStr">
        <is>
          <t>AMD-EXPR</t>
        </is>
      </c>
      <c r="B20" t="inlineStr">
        <is>
          <t>DSC Manual</t>
        </is>
      </c>
      <c r="C20" s="5" t="n">
        <v>46099</v>
      </c>
      <c r="D20" s="6" t="n">
        <v>0</v>
      </c>
      <c r="E20" s="6" t="n">
        <v>0</v>
      </c>
      <c r="F20" s="6" t="n">
        <v>2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4</v>
      </c>
      <c r="U20" s="6" t="n">
        <v>9</v>
      </c>
      <c r="V20" s="6" t="n">
        <v>5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>
        <f>SUM(D20:AA20)</f>
        <v/>
      </c>
      <c r="AC20" s="3" t="inlineStr"/>
      <c r="AD20" s="7">
        <f>D20*0.00788713</f>
        <v/>
      </c>
      <c r="AE20" s="7">
        <f>E20*0.00788713</f>
        <v/>
      </c>
      <c r="AF20" s="7">
        <f>F20*0.00788713</f>
        <v/>
      </c>
      <c r="AG20" s="7">
        <f>G20*0.00788713</f>
        <v/>
      </c>
      <c r="AH20" s="7">
        <f>H20*0.00788713</f>
        <v/>
      </c>
      <c r="AI20" s="7">
        <f>I20*0.00788713</f>
        <v/>
      </c>
      <c r="AJ20" s="7">
        <f>J20*0.00788713</f>
        <v/>
      </c>
      <c r="AK20" s="7">
        <f>K20*0.00788713</f>
        <v/>
      </c>
      <c r="AL20" s="7">
        <f>L20*0.00788713</f>
        <v/>
      </c>
      <c r="AM20" s="7">
        <f>M20*0.00788713</f>
        <v/>
      </c>
      <c r="AN20" s="7">
        <f>N20*0.00788713</f>
        <v/>
      </c>
      <c r="AO20" s="7">
        <f>O20*0.00788713</f>
        <v/>
      </c>
      <c r="AP20" s="7">
        <f>P20*0.00788713</f>
        <v/>
      </c>
      <c r="AQ20" s="7">
        <f>Q20*0.00788713</f>
        <v/>
      </c>
      <c r="AR20" s="7">
        <f>R20*0.00788713</f>
        <v/>
      </c>
      <c r="AS20" s="7">
        <f>S20*0.00788713</f>
        <v/>
      </c>
      <c r="AT20" s="7">
        <f>T20*0.00788713</f>
        <v/>
      </c>
      <c r="AU20" s="7">
        <f>U20*0.00788713</f>
        <v/>
      </c>
      <c r="AV20" s="7">
        <f>V20*0.00788713</f>
        <v/>
      </c>
      <c r="AW20" s="7">
        <f>W20*0.00788713</f>
        <v/>
      </c>
      <c r="AX20" s="7">
        <f>X20*0.00788713</f>
        <v/>
      </c>
      <c r="AY20" s="7">
        <f>Y20*0.00788713</f>
        <v/>
      </c>
      <c r="AZ20" s="7">
        <f>Z20*0.00788713</f>
        <v/>
      </c>
      <c r="BA20" s="7">
        <f>AA20*0.00788713</f>
        <v/>
      </c>
      <c r="BB20" s="7">
        <f>SUM(AD20:BA20)</f>
        <v/>
      </c>
    </row>
    <row r="21">
      <c r="A21" t="inlineStr">
        <is>
          <t>AMD-EXPR</t>
        </is>
      </c>
      <c r="B21" t="inlineStr">
        <is>
          <t>DSC Manual</t>
        </is>
      </c>
      <c r="C21" s="5" t="n">
        <v>46100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12</v>
      </c>
      <c r="Z21" s="6" t="n">
        <v>0</v>
      </c>
      <c r="AA21" s="6" t="n">
        <v>0</v>
      </c>
      <c r="AB21" s="6">
        <f>SUM(D21:AA21)</f>
        <v/>
      </c>
      <c r="AC21" s="3" t="inlineStr"/>
      <c r="AD21" s="7">
        <f>D21*0.00788713</f>
        <v/>
      </c>
      <c r="AE21" s="7">
        <f>E21*0.00788713</f>
        <v/>
      </c>
      <c r="AF21" s="7">
        <f>F21*0.00788713</f>
        <v/>
      </c>
      <c r="AG21" s="7">
        <f>G21*0.00788713</f>
        <v/>
      </c>
      <c r="AH21" s="7">
        <f>H21*0.00788713</f>
        <v/>
      </c>
      <c r="AI21" s="7">
        <f>I21*0.00788713</f>
        <v/>
      </c>
      <c r="AJ21" s="7">
        <f>J21*0.00788713</f>
        <v/>
      </c>
      <c r="AK21" s="7">
        <f>K21*0.00788713</f>
        <v/>
      </c>
      <c r="AL21" s="7">
        <f>L21*0.00788713</f>
        <v/>
      </c>
      <c r="AM21" s="7">
        <f>M21*0.00788713</f>
        <v/>
      </c>
      <c r="AN21" s="7">
        <f>N21*0.00788713</f>
        <v/>
      </c>
      <c r="AO21" s="7">
        <f>O21*0.00788713</f>
        <v/>
      </c>
      <c r="AP21" s="7">
        <f>P21*0.00788713</f>
        <v/>
      </c>
      <c r="AQ21" s="7">
        <f>Q21*0.00788713</f>
        <v/>
      </c>
      <c r="AR21" s="7">
        <f>R21*0.00788713</f>
        <v/>
      </c>
      <c r="AS21" s="7">
        <f>S21*0.00788713</f>
        <v/>
      </c>
      <c r="AT21" s="7">
        <f>T21*0.00788713</f>
        <v/>
      </c>
      <c r="AU21" s="7">
        <f>U21*0.00788713</f>
        <v/>
      </c>
      <c r="AV21" s="7">
        <f>V21*0.00788713</f>
        <v/>
      </c>
      <c r="AW21" s="7">
        <f>W21*0.00788713</f>
        <v/>
      </c>
      <c r="AX21" s="7">
        <f>X21*0.00788713</f>
        <v/>
      </c>
      <c r="AY21" s="7">
        <f>Y21*0.00788713</f>
        <v/>
      </c>
      <c r="AZ21" s="7">
        <f>Z21*0.00788713</f>
        <v/>
      </c>
      <c r="BA21" s="7">
        <f>AA21*0.00788713</f>
        <v/>
      </c>
      <c r="BB21" s="7">
        <f>SUM(AD21:BA21)</f>
        <v/>
      </c>
    </row>
    <row r="22">
      <c r="A22" t="inlineStr">
        <is>
          <t>AMD-EXPR</t>
        </is>
      </c>
      <c r="B22" t="inlineStr">
        <is>
          <t>DSC Manual</t>
        </is>
      </c>
      <c r="C22" s="5" t="n">
        <v>46102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6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12</v>
      </c>
      <c r="Z22" s="6" t="n">
        <v>0</v>
      </c>
      <c r="AA22" s="6" t="n">
        <v>0</v>
      </c>
      <c r="AB22" s="6">
        <f>SUM(D22:AA22)</f>
        <v/>
      </c>
      <c r="AC22" s="3" t="inlineStr"/>
      <c r="AD22" s="7">
        <f>D22*0.00788713</f>
        <v/>
      </c>
      <c r="AE22" s="7">
        <f>E22*0.00788713</f>
        <v/>
      </c>
      <c r="AF22" s="7">
        <f>F22*0.00788713</f>
        <v/>
      </c>
      <c r="AG22" s="7">
        <f>G22*0.00788713</f>
        <v/>
      </c>
      <c r="AH22" s="7">
        <f>H22*0.00788713</f>
        <v/>
      </c>
      <c r="AI22" s="7">
        <f>I22*0.00788713</f>
        <v/>
      </c>
      <c r="AJ22" s="7">
        <f>J22*0.00788713</f>
        <v/>
      </c>
      <c r="AK22" s="7">
        <f>K22*0.00788713</f>
        <v/>
      </c>
      <c r="AL22" s="7">
        <f>L22*0.00788713</f>
        <v/>
      </c>
      <c r="AM22" s="7">
        <f>M22*0.00788713</f>
        <v/>
      </c>
      <c r="AN22" s="7">
        <f>N22*0.00788713</f>
        <v/>
      </c>
      <c r="AO22" s="7">
        <f>O22*0.00788713</f>
        <v/>
      </c>
      <c r="AP22" s="7">
        <f>P22*0.00788713</f>
        <v/>
      </c>
      <c r="AQ22" s="7">
        <f>Q22*0.00788713</f>
        <v/>
      </c>
      <c r="AR22" s="7">
        <f>R22*0.00788713</f>
        <v/>
      </c>
      <c r="AS22" s="7">
        <f>S22*0.00788713</f>
        <v/>
      </c>
      <c r="AT22" s="7">
        <f>T22*0.00788713</f>
        <v/>
      </c>
      <c r="AU22" s="7">
        <f>U22*0.00788713</f>
        <v/>
      </c>
      <c r="AV22" s="7">
        <f>V22*0.00788713</f>
        <v/>
      </c>
      <c r="AW22" s="7">
        <f>W22*0.00788713</f>
        <v/>
      </c>
      <c r="AX22" s="7">
        <f>X22*0.00788713</f>
        <v/>
      </c>
      <c r="AY22" s="7">
        <f>Y22*0.00788713</f>
        <v/>
      </c>
      <c r="AZ22" s="7">
        <f>Z22*0.00788713</f>
        <v/>
      </c>
      <c r="BA22" s="7">
        <f>AA22*0.00788713</f>
        <v/>
      </c>
      <c r="BB22" s="7">
        <f>SUM(AD22:BA22)</f>
        <v/>
      </c>
    </row>
    <row r="23">
      <c r="A23" t="inlineStr">
        <is>
          <t>AMD-EXPR</t>
        </is>
      </c>
      <c r="B23" t="inlineStr">
        <is>
          <t>DSC Manual</t>
        </is>
      </c>
      <c r="C23" s="5" t="n">
        <v>46103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2</v>
      </c>
      <c r="K23" s="6" t="n">
        <v>2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8</v>
      </c>
      <c r="Z23" s="6" t="n">
        <v>0</v>
      </c>
      <c r="AA23" s="6" t="n">
        <v>0</v>
      </c>
      <c r="AB23" s="6">
        <f>SUM(D23:AA23)</f>
        <v/>
      </c>
      <c r="AC23" s="3" t="inlineStr"/>
      <c r="AD23" s="7">
        <f>D23*0.00788713</f>
        <v/>
      </c>
      <c r="AE23" s="7">
        <f>E23*0.00788713</f>
        <v/>
      </c>
      <c r="AF23" s="7">
        <f>F23*0.00788713</f>
        <v/>
      </c>
      <c r="AG23" s="7">
        <f>G23*0.00788713</f>
        <v/>
      </c>
      <c r="AH23" s="7">
        <f>H23*0.00788713</f>
        <v/>
      </c>
      <c r="AI23" s="7">
        <f>I23*0.00788713</f>
        <v/>
      </c>
      <c r="AJ23" s="7">
        <f>J23*0.00788713</f>
        <v/>
      </c>
      <c r="AK23" s="7">
        <f>K23*0.00788713</f>
        <v/>
      </c>
      <c r="AL23" s="7">
        <f>L23*0.00788713</f>
        <v/>
      </c>
      <c r="AM23" s="7">
        <f>M23*0.00788713</f>
        <v/>
      </c>
      <c r="AN23" s="7">
        <f>N23*0.00788713</f>
        <v/>
      </c>
      <c r="AO23" s="7">
        <f>O23*0.00788713</f>
        <v/>
      </c>
      <c r="AP23" s="7">
        <f>P23*0.00788713</f>
        <v/>
      </c>
      <c r="AQ23" s="7">
        <f>Q23*0.00788713</f>
        <v/>
      </c>
      <c r="AR23" s="7">
        <f>R23*0.00788713</f>
        <v/>
      </c>
      <c r="AS23" s="7">
        <f>S23*0.00788713</f>
        <v/>
      </c>
      <c r="AT23" s="7">
        <f>T23*0.00788713</f>
        <v/>
      </c>
      <c r="AU23" s="7">
        <f>U23*0.00788713</f>
        <v/>
      </c>
      <c r="AV23" s="7">
        <f>V23*0.00788713</f>
        <v/>
      </c>
      <c r="AW23" s="7">
        <f>W23*0.00788713</f>
        <v/>
      </c>
      <c r="AX23" s="7">
        <f>X23*0.00788713</f>
        <v/>
      </c>
      <c r="AY23" s="7">
        <f>Y23*0.00788713</f>
        <v/>
      </c>
      <c r="AZ23" s="7">
        <f>Z23*0.00788713</f>
        <v/>
      </c>
      <c r="BA23" s="7">
        <f>AA23*0.00788713</f>
        <v/>
      </c>
      <c r="BB23" s="7">
        <f>SUM(AD23:BA23)</f>
        <v/>
      </c>
    </row>
    <row r="24">
      <c r="A24" t="inlineStr">
        <is>
          <t>AMD-EXPR</t>
        </is>
      </c>
      <c r="B24" t="inlineStr">
        <is>
          <t>DSC Manual</t>
        </is>
      </c>
      <c r="C24" s="5" t="n">
        <v>46104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5</v>
      </c>
      <c r="Z24" s="6" t="n">
        <v>0</v>
      </c>
      <c r="AA24" s="6" t="n">
        <v>0</v>
      </c>
      <c r="AB24" s="6">
        <f>SUM(D24:AA24)</f>
        <v/>
      </c>
      <c r="AC24" s="3" t="inlineStr"/>
      <c r="AD24" s="7">
        <f>D24*0.00788713</f>
        <v/>
      </c>
      <c r="AE24" s="7">
        <f>E24*0.00788713</f>
        <v/>
      </c>
      <c r="AF24" s="7">
        <f>F24*0.00788713</f>
        <v/>
      </c>
      <c r="AG24" s="7">
        <f>G24*0.00788713</f>
        <v/>
      </c>
      <c r="AH24" s="7">
        <f>H24*0.00788713</f>
        <v/>
      </c>
      <c r="AI24" s="7">
        <f>I24*0.00788713</f>
        <v/>
      </c>
      <c r="AJ24" s="7">
        <f>J24*0.00788713</f>
        <v/>
      </c>
      <c r="AK24" s="7">
        <f>K24*0.00788713</f>
        <v/>
      </c>
      <c r="AL24" s="7">
        <f>L24*0.00788713</f>
        <v/>
      </c>
      <c r="AM24" s="7">
        <f>M24*0.00788713</f>
        <v/>
      </c>
      <c r="AN24" s="7">
        <f>N24*0.00788713</f>
        <v/>
      </c>
      <c r="AO24" s="7">
        <f>O24*0.00788713</f>
        <v/>
      </c>
      <c r="AP24" s="7">
        <f>P24*0.00788713</f>
        <v/>
      </c>
      <c r="AQ24" s="7">
        <f>Q24*0.00788713</f>
        <v/>
      </c>
      <c r="AR24" s="7">
        <f>R24*0.00788713</f>
        <v/>
      </c>
      <c r="AS24" s="7">
        <f>S24*0.00788713</f>
        <v/>
      </c>
      <c r="AT24" s="7">
        <f>T24*0.00788713</f>
        <v/>
      </c>
      <c r="AU24" s="7">
        <f>U24*0.00788713</f>
        <v/>
      </c>
      <c r="AV24" s="7">
        <f>V24*0.00788713</f>
        <v/>
      </c>
      <c r="AW24" s="7">
        <f>W24*0.00788713</f>
        <v/>
      </c>
      <c r="AX24" s="7">
        <f>X24*0.00788713</f>
        <v/>
      </c>
      <c r="AY24" s="7">
        <f>Y24*0.00788713</f>
        <v/>
      </c>
      <c r="AZ24" s="7">
        <f>Z24*0.00788713</f>
        <v/>
      </c>
      <c r="BA24" s="7">
        <f>AA24*0.00788713</f>
        <v/>
      </c>
      <c r="BB24" s="7">
        <f>SUM(AD24:BA24)</f>
        <v/>
      </c>
    </row>
    <row r="25">
      <c r="A25" t="inlineStr">
        <is>
          <t>AMD-EXPR</t>
        </is>
      </c>
      <c r="B25" t="inlineStr">
        <is>
          <t>DSC Manual</t>
        </is>
      </c>
      <c r="C25" s="5" t="n">
        <v>46105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2</v>
      </c>
      <c r="J25" s="6" t="n">
        <v>1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>
        <f>SUM(D25:AA25)</f>
        <v/>
      </c>
      <c r="AC25" s="3" t="inlineStr"/>
      <c r="AD25" s="7">
        <f>D25*0.00788713</f>
        <v/>
      </c>
      <c r="AE25" s="7">
        <f>E25*0.00788713</f>
        <v/>
      </c>
      <c r="AF25" s="7">
        <f>F25*0.00788713</f>
        <v/>
      </c>
      <c r="AG25" s="7">
        <f>G25*0.00788713</f>
        <v/>
      </c>
      <c r="AH25" s="7">
        <f>H25*0.00788713</f>
        <v/>
      </c>
      <c r="AI25" s="7">
        <f>I25*0.00788713</f>
        <v/>
      </c>
      <c r="AJ25" s="7">
        <f>J25*0.00788713</f>
        <v/>
      </c>
      <c r="AK25" s="7">
        <f>K25*0.00788713</f>
        <v/>
      </c>
      <c r="AL25" s="7">
        <f>L25*0.00788713</f>
        <v/>
      </c>
      <c r="AM25" s="7">
        <f>M25*0.00788713</f>
        <v/>
      </c>
      <c r="AN25" s="7">
        <f>N25*0.00788713</f>
        <v/>
      </c>
      <c r="AO25" s="7">
        <f>O25*0.00788713</f>
        <v/>
      </c>
      <c r="AP25" s="7">
        <f>P25*0.00788713</f>
        <v/>
      </c>
      <c r="AQ25" s="7">
        <f>Q25*0.00788713</f>
        <v/>
      </c>
      <c r="AR25" s="7">
        <f>R25*0.00788713</f>
        <v/>
      </c>
      <c r="AS25" s="7">
        <f>S25*0.00788713</f>
        <v/>
      </c>
      <c r="AT25" s="7">
        <f>T25*0.00788713</f>
        <v/>
      </c>
      <c r="AU25" s="7">
        <f>U25*0.00788713</f>
        <v/>
      </c>
      <c r="AV25" s="7">
        <f>V25*0.00788713</f>
        <v/>
      </c>
      <c r="AW25" s="7">
        <f>W25*0.00788713</f>
        <v/>
      </c>
      <c r="AX25" s="7">
        <f>X25*0.00788713</f>
        <v/>
      </c>
      <c r="AY25" s="7">
        <f>Y25*0.00788713</f>
        <v/>
      </c>
      <c r="AZ25" s="7">
        <f>Z25*0.00788713</f>
        <v/>
      </c>
      <c r="BA25" s="7">
        <f>AA25*0.00788713</f>
        <v/>
      </c>
      <c r="BB25" s="7">
        <f>SUM(AD25:BA25)</f>
        <v/>
      </c>
    </row>
    <row r="26">
      <c r="A26" t="inlineStr">
        <is>
          <t>AMD-FK-SSC</t>
        </is>
      </c>
      <c r="B26" t="inlineStr">
        <is>
          <t>Prime at Client side</t>
        </is>
      </c>
      <c r="C26" s="5" t="n">
        <v>46089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2</v>
      </c>
      <c r="P26" s="6" t="n">
        <v>6</v>
      </c>
      <c r="Q26" s="6" t="n">
        <v>15</v>
      </c>
      <c r="R26" s="6" t="n">
        <v>7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>
        <f>SUM(D26:AA26)</f>
        <v/>
      </c>
      <c r="AC26" s="3" t="inlineStr"/>
      <c r="AD26" s="7">
        <f>D26*0.00788713</f>
        <v/>
      </c>
      <c r="AE26" s="7">
        <f>E26*0.00788713</f>
        <v/>
      </c>
      <c r="AF26" s="7">
        <f>F26*0.00788713</f>
        <v/>
      </c>
      <c r="AG26" s="7">
        <f>G26*0.00788713</f>
        <v/>
      </c>
      <c r="AH26" s="7">
        <f>H26*0.00788713</f>
        <v/>
      </c>
      <c r="AI26" s="7">
        <f>I26*0.00788713</f>
        <v/>
      </c>
      <c r="AJ26" s="7">
        <f>J26*0.00788713</f>
        <v/>
      </c>
      <c r="AK26" s="7">
        <f>K26*0.00788713</f>
        <v/>
      </c>
      <c r="AL26" s="7">
        <f>L26*0.00788713</f>
        <v/>
      </c>
      <c r="AM26" s="7">
        <f>M26*0.00788713</f>
        <v/>
      </c>
      <c r="AN26" s="7">
        <f>N26*0.00788713</f>
        <v/>
      </c>
      <c r="AO26" s="7">
        <f>O26*0.00788713</f>
        <v/>
      </c>
      <c r="AP26" s="7">
        <f>P26*0.00788713</f>
        <v/>
      </c>
      <c r="AQ26" s="7">
        <f>Q26*0.00788713</f>
        <v/>
      </c>
      <c r="AR26" s="7">
        <f>R26*0.00788713</f>
        <v/>
      </c>
      <c r="AS26" s="7">
        <f>S26*0.00788713</f>
        <v/>
      </c>
      <c r="AT26" s="7">
        <f>T26*0.00788713</f>
        <v/>
      </c>
      <c r="AU26" s="7">
        <f>U26*0.00788713</f>
        <v/>
      </c>
      <c r="AV26" s="7">
        <f>V26*0.00788713</f>
        <v/>
      </c>
      <c r="AW26" s="7">
        <f>W26*0.00788713</f>
        <v/>
      </c>
      <c r="AX26" s="7">
        <f>X26*0.00788713</f>
        <v/>
      </c>
      <c r="AY26" s="7">
        <f>Y26*0.00788713</f>
        <v/>
      </c>
      <c r="AZ26" s="7">
        <f>Z26*0.00788713</f>
        <v/>
      </c>
      <c r="BA26" s="7">
        <f>AA26*0.00788713</f>
        <v/>
      </c>
      <c r="BB26" s="7">
        <f>SUM(AD26:BA26)</f>
        <v/>
      </c>
    </row>
    <row r="27">
      <c r="A27" t="inlineStr">
        <is>
          <t>AMD-FK-SSC</t>
        </is>
      </c>
      <c r="B27" t="inlineStr">
        <is>
          <t>Prime at Client side</t>
        </is>
      </c>
      <c r="C27" s="5" t="n">
        <v>46090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4</v>
      </c>
      <c r="P27" s="6" t="n">
        <v>8</v>
      </c>
      <c r="Q27" s="6" t="n">
        <v>14</v>
      </c>
      <c r="R27" s="6" t="n">
        <v>1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>
        <f>SUM(D27:AA27)</f>
        <v/>
      </c>
      <c r="AC27" s="3" t="inlineStr"/>
      <c r="AD27" s="7">
        <f>D27*0.00788713</f>
        <v/>
      </c>
      <c r="AE27" s="7">
        <f>E27*0.00788713</f>
        <v/>
      </c>
      <c r="AF27" s="7">
        <f>F27*0.00788713</f>
        <v/>
      </c>
      <c r="AG27" s="7">
        <f>G27*0.00788713</f>
        <v/>
      </c>
      <c r="AH27" s="7">
        <f>H27*0.00788713</f>
        <v/>
      </c>
      <c r="AI27" s="7">
        <f>I27*0.00788713</f>
        <v/>
      </c>
      <c r="AJ27" s="7">
        <f>J27*0.00788713</f>
        <v/>
      </c>
      <c r="AK27" s="7">
        <f>K27*0.00788713</f>
        <v/>
      </c>
      <c r="AL27" s="7">
        <f>L27*0.00788713</f>
        <v/>
      </c>
      <c r="AM27" s="7">
        <f>M27*0.00788713</f>
        <v/>
      </c>
      <c r="AN27" s="7">
        <f>N27*0.00788713</f>
        <v/>
      </c>
      <c r="AO27" s="7">
        <f>O27*0.00788713</f>
        <v/>
      </c>
      <c r="AP27" s="7">
        <f>P27*0.00788713</f>
        <v/>
      </c>
      <c r="AQ27" s="7">
        <f>Q27*0.00788713</f>
        <v/>
      </c>
      <c r="AR27" s="7">
        <f>R27*0.00788713</f>
        <v/>
      </c>
      <c r="AS27" s="7">
        <f>S27*0.00788713</f>
        <v/>
      </c>
      <c r="AT27" s="7">
        <f>T27*0.00788713</f>
        <v/>
      </c>
      <c r="AU27" s="7">
        <f>U27*0.00788713</f>
        <v/>
      </c>
      <c r="AV27" s="7">
        <f>V27*0.00788713</f>
        <v/>
      </c>
      <c r="AW27" s="7">
        <f>W27*0.00788713</f>
        <v/>
      </c>
      <c r="AX27" s="7">
        <f>X27*0.00788713</f>
        <v/>
      </c>
      <c r="AY27" s="7">
        <f>Y27*0.00788713</f>
        <v/>
      </c>
      <c r="AZ27" s="7">
        <f>Z27*0.00788713</f>
        <v/>
      </c>
      <c r="BA27" s="7">
        <f>AA27*0.00788713</f>
        <v/>
      </c>
      <c r="BB27" s="7">
        <f>SUM(AD27:BA27)</f>
        <v/>
      </c>
    </row>
    <row r="28">
      <c r="A28" t="inlineStr">
        <is>
          <t>AMD-FK-SSC</t>
        </is>
      </c>
      <c r="B28" t="inlineStr">
        <is>
          <t>Prime at Client side</t>
        </is>
      </c>
      <c r="C28" s="5" t="n">
        <v>46091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0</v>
      </c>
      <c r="O28" s="6" t="n">
        <v>10</v>
      </c>
      <c r="P28" s="6" t="n">
        <v>6</v>
      </c>
      <c r="Q28" s="6" t="n">
        <v>10</v>
      </c>
      <c r="R28" s="6" t="n">
        <v>8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>
        <f>SUM(D28:AA28)</f>
        <v/>
      </c>
      <c r="AC28" s="3" t="inlineStr"/>
      <c r="AD28" s="7">
        <f>D28*0.00788713</f>
        <v/>
      </c>
      <c r="AE28" s="7">
        <f>E28*0.00788713</f>
        <v/>
      </c>
      <c r="AF28" s="7">
        <f>F28*0.00788713</f>
        <v/>
      </c>
      <c r="AG28" s="7">
        <f>G28*0.00788713</f>
        <v/>
      </c>
      <c r="AH28" s="7">
        <f>H28*0.00788713</f>
        <v/>
      </c>
      <c r="AI28" s="7">
        <f>I28*0.00788713</f>
        <v/>
      </c>
      <c r="AJ28" s="7">
        <f>J28*0.00788713</f>
        <v/>
      </c>
      <c r="AK28" s="7">
        <f>K28*0.00788713</f>
        <v/>
      </c>
      <c r="AL28" s="7">
        <f>L28*0.00788713</f>
        <v/>
      </c>
      <c r="AM28" s="7">
        <f>M28*0.00788713</f>
        <v/>
      </c>
      <c r="AN28" s="7">
        <f>N28*0.00788713</f>
        <v/>
      </c>
      <c r="AO28" s="7">
        <f>O28*0.00788713</f>
        <v/>
      </c>
      <c r="AP28" s="7">
        <f>P28*0.00788713</f>
        <v/>
      </c>
      <c r="AQ28" s="7">
        <f>Q28*0.00788713</f>
        <v/>
      </c>
      <c r="AR28" s="7">
        <f>R28*0.00788713</f>
        <v/>
      </c>
      <c r="AS28" s="7">
        <f>S28*0.00788713</f>
        <v/>
      </c>
      <c r="AT28" s="7">
        <f>T28*0.00788713</f>
        <v/>
      </c>
      <c r="AU28" s="7">
        <f>U28*0.00788713</f>
        <v/>
      </c>
      <c r="AV28" s="7">
        <f>V28*0.00788713</f>
        <v/>
      </c>
      <c r="AW28" s="7">
        <f>W28*0.00788713</f>
        <v/>
      </c>
      <c r="AX28" s="7">
        <f>X28*0.00788713</f>
        <v/>
      </c>
      <c r="AY28" s="7">
        <f>Y28*0.00788713</f>
        <v/>
      </c>
      <c r="AZ28" s="7">
        <f>Z28*0.00788713</f>
        <v/>
      </c>
      <c r="BA28" s="7">
        <f>AA28*0.00788713</f>
        <v/>
      </c>
      <c r="BB28" s="7">
        <f>SUM(AD28:BA28)</f>
        <v/>
      </c>
    </row>
    <row r="29">
      <c r="A29" t="inlineStr">
        <is>
          <t>AMD-FK-SSC</t>
        </is>
      </c>
      <c r="B29" t="inlineStr">
        <is>
          <t>Prime at Client side</t>
        </is>
      </c>
      <c r="C29" s="5" t="n">
        <v>46092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9</v>
      </c>
      <c r="P29" s="6" t="n">
        <v>3</v>
      </c>
      <c r="Q29" s="6" t="n">
        <v>10</v>
      </c>
      <c r="R29" s="6" t="n">
        <v>6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>
        <f>SUM(D29:AA29)</f>
        <v/>
      </c>
      <c r="AC29" s="3" t="inlineStr"/>
      <c r="AD29" s="7">
        <f>D29*0.00788713</f>
        <v/>
      </c>
      <c r="AE29" s="7">
        <f>E29*0.00788713</f>
        <v/>
      </c>
      <c r="AF29" s="7">
        <f>F29*0.00788713</f>
        <v/>
      </c>
      <c r="AG29" s="7">
        <f>G29*0.00788713</f>
        <v/>
      </c>
      <c r="AH29" s="7">
        <f>H29*0.00788713</f>
        <v/>
      </c>
      <c r="AI29" s="7">
        <f>I29*0.00788713</f>
        <v/>
      </c>
      <c r="AJ29" s="7">
        <f>J29*0.00788713</f>
        <v/>
      </c>
      <c r="AK29" s="7">
        <f>K29*0.00788713</f>
        <v/>
      </c>
      <c r="AL29" s="7">
        <f>L29*0.00788713</f>
        <v/>
      </c>
      <c r="AM29" s="7">
        <f>M29*0.00788713</f>
        <v/>
      </c>
      <c r="AN29" s="7">
        <f>N29*0.00788713</f>
        <v/>
      </c>
      <c r="AO29" s="7">
        <f>O29*0.00788713</f>
        <v/>
      </c>
      <c r="AP29" s="7">
        <f>P29*0.00788713</f>
        <v/>
      </c>
      <c r="AQ29" s="7">
        <f>Q29*0.00788713</f>
        <v/>
      </c>
      <c r="AR29" s="7">
        <f>R29*0.00788713</f>
        <v/>
      </c>
      <c r="AS29" s="7">
        <f>S29*0.00788713</f>
        <v/>
      </c>
      <c r="AT29" s="7">
        <f>T29*0.00788713</f>
        <v/>
      </c>
      <c r="AU29" s="7">
        <f>U29*0.00788713</f>
        <v/>
      </c>
      <c r="AV29" s="7">
        <f>V29*0.00788713</f>
        <v/>
      </c>
      <c r="AW29" s="7">
        <f>W29*0.00788713</f>
        <v/>
      </c>
      <c r="AX29" s="7">
        <f>X29*0.00788713</f>
        <v/>
      </c>
      <c r="AY29" s="7">
        <f>Y29*0.00788713</f>
        <v/>
      </c>
      <c r="AZ29" s="7">
        <f>Z29*0.00788713</f>
        <v/>
      </c>
      <c r="BA29" s="7">
        <f>AA29*0.00788713</f>
        <v/>
      </c>
      <c r="BB29" s="7">
        <f>SUM(AD29:BA29)</f>
        <v/>
      </c>
    </row>
    <row r="30">
      <c r="A30" t="inlineStr">
        <is>
          <t>AMD-FK-SSC</t>
        </is>
      </c>
      <c r="B30" t="inlineStr">
        <is>
          <t>Prime at Client side</t>
        </is>
      </c>
      <c r="C30" s="5" t="n">
        <v>46093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11</v>
      </c>
      <c r="Q30" s="6" t="n">
        <v>8</v>
      </c>
      <c r="R30" s="6" t="n">
        <v>8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>
        <f>SUM(D30:AA30)</f>
        <v/>
      </c>
      <c r="AC30" s="3" t="inlineStr"/>
      <c r="AD30" s="7">
        <f>D30*0.00788713</f>
        <v/>
      </c>
      <c r="AE30" s="7">
        <f>E30*0.00788713</f>
        <v/>
      </c>
      <c r="AF30" s="7">
        <f>F30*0.00788713</f>
        <v/>
      </c>
      <c r="AG30" s="7">
        <f>G30*0.00788713</f>
        <v/>
      </c>
      <c r="AH30" s="7">
        <f>H30*0.00788713</f>
        <v/>
      </c>
      <c r="AI30" s="7">
        <f>I30*0.00788713</f>
        <v/>
      </c>
      <c r="AJ30" s="7">
        <f>J30*0.00788713</f>
        <v/>
      </c>
      <c r="AK30" s="7">
        <f>K30*0.00788713</f>
        <v/>
      </c>
      <c r="AL30" s="7">
        <f>L30*0.00788713</f>
        <v/>
      </c>
      <c r="AM30" s="7">
        <f>M30*0.00788713</f>
        <v/>
      </c>
      <c r="AN30" s="7">
        <f>N30*0.00788713</f>
        <v/>
      </c>
      <c r="AO30" s="7">
        <f>O30*0.00788713</f>
        <v/>
      </c>
      <c r="AP30" s="7">
        <f>P30*0.00788713</f>
        <v/>
      </c>
      <c r="AQ30" s="7">
        <f>Q30*0.00788713</f>
        <v/>
      </c>
      <c r="AR30" s="7">
        <f>R30*0.00788713</f>
        <v/>
      </c>
      <c r="AS30" s="7">
        <f>S30*0.00788713</f>
        <v/>
      </c>
      <c r="AT30" s="7">
        <f>T30*0.00788713</f>
        <v/>
      </c>
      <c r="AU30" s="7">
        <f>U30*0.00788713</f>
        <v/>
      </c>
      <c r="AV30" s="7">
        <f>V30*0.00788713</f>
        <v/>
      </c>
      <c r="AW30" s="7">
        <f>W30*0.00788713</f>
        <v/>
      </c>
      <c r="AX30" s="7">
        <f>X30*0.00788713</f>
        <v/>
      </c>
      <c r="AY30" s="7">
        <f>Y30*0.00788713</f>
        <v/>
      </c>
      <c r="AZ30" s="7">
        <f>Z30*0.00788713</f>
        <v/>
      </c>
      <c r="BA30" s="7">
        <f>AA30*0.00788713</f>
        <v/>
      </c>
      <c r="BB30" s="7">
        <f>SUM(AD30:BA30)</f>
        <v/>
      </c>
    </row>
    <row r="31">
      <c r="A31" t="inlineStr">
        <is>
          <t>AMD-FK-SSC</t>
        </is>
      </c>
      <c r="B31" t="inlineStr">
        <is>
          <t>Prime at Client side</t>
        </is>
      </c>
      <c r="C31" s="5" t="n">
        <v>46094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4</v>
      </c>
      <c r="P31" s="6" t="n">
        <v>3</v>
      </c>
      <c r="Q31" s="6" t="n">
        <v>9</v>
      </c>
      <c r="R31" s="6" t="n">
        <v>1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>
        <f>SUM(D31:AA31)</f>
        <v/>
      </c>
      <c r="AC31" s="3" t="inlineStr"/>
      <c r="AD31" s="7">
        <f>D31*0.00788713</f>
        <v/>
      </c>
      <c r="AE31" s="7">
        <f>E31*0.00788713</f>
        <v/>
      </c>
      <c r="AF31" s="7">
        <f>F31*0.00788713</f>
        <v/>
      </c>
      <c r="AG31" s="7">
        <f>G31*0.00788713</f>
        <v/>
      </c>
      <c r="AH31" s="7">
        <f>H31*0.00788713</f>
        <v/>
      </c>
      <c r="AI31" s="7">
        <f>I31*0.00788713</f>
        <v/>
      </c>
      <c r="AJ31" s="7">
        <f>J31*0.00788713</f>
        <v/>
      </c>
      <c r="AK31" s="7">
        <f>K31*0.00788713</f>
        <v/>
      </c>
      <c r="AL31" s="7">
        <f>L31*0.00788713</f>
        <v/>
      </c>
      <c r="AM31" s="7">
        <f>M31*0.00788713</f>
        <v/>
      </c>
      <c r="AN31" s="7">
        <f>N31*0.00788713</f>
        <v/>
      </c>
      <c r="AO31" s="7">
        <f>O31*0.00788713</f>
        <v/>
      </c>
      <c r="AP31" s="7">
        <f>P31*0.00788713</f>
        <v/>
      </c>
      <c r="AQ31" s="7">
        <f>Q31*0.00788713</f>
        <v/>
      </c>
      <c r="AR31" s="7">
        <f>R31*0.00788713</f>
        <v/>
      </c>
      <c r="AS31" s="7">
        <f>S31*0.00788713</f>
        <v/>
      </c>
      <c r="AT31" s="7">
        <f>T31*0.00788713</f>
        <v/>
      </c>
      <c r="AU31" s="7">
        <f>U31*0.00788713</f>
        <v/>
      </c>
      <c r="AV31" s="7">
        <f>V31*0.00788713</f>
        <v/>
      </c>
      <c r="AW31" s="7">
        <f>W31*0.00788713</f>
        <v/>
      </c>
      <c r="AX31" s="7">
        <f>X31*0.00788713</f>
        <v/>
      </c>
      <c r="AY31" s="7">
        <f>Y31*0.00788713</f>
        <v/>
      </c>
      <c r="AZ31" s="7">
        <f>Z31*0.00788713</f>
        <v/>
      </c>
      <c r="BA31" s="7">
        <f>AA31*0.00788713</f>
        <v/>
      </c>
      <c r="BB31" s="7">
        <f>SUM(AD31:BA31)</f>
        <v/>
      </c>
    </row>
    <row r="32">
      <c r="A32" t="inlineStr">
        <is>
          <t>AMD-FK-SSC</t>
        </is>
      </c>
      <c r="B32" t="inlineStr">
        <is>
          <t>Prime at Client side</t>
        </is>
      </c>
      <c r="C32" s="5" t="n">
        <v>46095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2</v>
      </c>
      <c r="P32" s="6" t="n">
        <v>7</v>
      </c>
      <c r="Q32" s="6" t="n">
        <v>12</v>
      </c>
      <c r="R32" s="6" t="n">
        <v>5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>
        <f>SUM(D32:AA32)</f>
        <v/>
      </c>
      <c r="AC32" s="3" t="inlineStr"/>
      <c r="AD32" s="7">
        <f>D32*0.00788713</f>
        <v/>
      </c>
      <c r="AE32" s="7">
        <f>E32*0.00788713</f>
        <v/>
      </c>
      <c r="AF32" s="7">
        <f>F32*0.00788713</f>
        <v/>
      </c>
      <c r="AG32" s="7">
        <f>G32*0.00788713</f>
        <v/>
      </c>
      <c r="AH32" s="7">
        <f>H32*0.00788713</f>
        <v/>
      </c>
      <c r="AI32" s="7">
        <f>I32*0.00788713</f>
        <v/>
      </c>
      <c r="AJ32" s="7">
        <f>J32*0.00788713</f>
        <v/>
      </c>
      <c r="AK32" s="7">
        <f>K32*0.00788713</f>
        <v/>
      </c>
      <c r="AL32" s="7">
        <f>L32*0.00788713</f>
        <v/>
      </c>
      <c r="AM32" s="7">
        <f>M32*0.00788713</f>
        <v/>
      </c>
      <c r="AN32" s="7">
        <f>N32*0.00788713</f>
        <v/>
      </c>
      <c r="AO32" s="7">
        <f>O32*0.00788713</f>
        <v/>
      </c>
      <c r="AP32" s="7">
        <f>P32*0.00788713</f>
        <v/>
      </c>
      <c r="AQ32" s="7">
        <f>Q32*0.00788713</f>
        <v/>
      </c>
      <c r="AR32" s="7">
        <f>R32*0.00788713</f>
        <v/>
      </c>
      <c r="AS32" s="7">
        <f>S32*0.00788713</f>
        <v/>
      </c>
      <c r="AT32" s="7">
        <f>T32*0.00788713</f>
        <v/>
      </c>
      <c r="AU32" s="7">
        <f>U32*0.00788713</f>
        <v/>
      </c>
      <c r="AV32" s="7">
        <f>V32*0.00788713</f>
        <v/>
      </c>
      <c r="AW32" s="7">
        <f>W32*0.00788713</f>
        <v/>
      </c>
      <c r="AX32" s="7">
        <f>X32*0.00788713</f>
        <v/>
      </c>
      <c r="AY32" s="7">
        <f>Y32*0.00788713</f>
        <v/>
      </c>
      <c r="AZ32" s="7">
        <f>Z32*0.00788713</f>
        <v/>
      </c>
      <c r="BA32" s="7">
        <f>AA32*0.00788713</f>
        <v/>
      </c>
      <c r="BB32" s="7">
        <f>SUM(AD32:BA32)</f>
        <v/>
      </c>
    </row>
    <row r="33">
      <c r="A33" t="inlineStr">
        <is>
          <t>AMD-FK-SSC</t>
        </is>
      </c>
      <c r="B33" t="inlineStr">
        <is>
          <t>Prime at Client side</t>
        </is>
      </c>
      <c r="C33" s="5" t="n">
        <v>46096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3</v>
      </c>
      <c r="P33" s="6" t="n">
        <v>3</v>
      </c>
      <c r="Q33" s="6" t="n">
        <v>11</v>
      </c>
      <c r="R33" s="6" t="n">
        <v>5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6">
        <f>SUM(D33:AA33)</f>
        <v/>
      </c>
      <c r="AC33" s="3" t="inlineStr"/>
      <c r="AD33" s="7">
        <f>D33*0.00788713</f>
        <v/>
      </c>
      <c r="AE33" s="7">
        <f>E33*0.00788713</f>
        <v/>
      </c>
      <c r="AF33" s="7">
        <f>F33*0.00788713</f>
        <v/>
      </c>
      <c r="AG33" s="7">
        <f>G33*0.00788713</f>
        <v/>
      </c>
      <c r="AH33" s="7">
        <f>H33*0.00788713</f>
        <v/>
      </c>
      <c r="AI33" s="7">
        <f>I33*0.00788713</f>
        <v/>
      </c>
      <c r="AJ33" s="7">
        <f>J33*0.00788713</f>
        <v/>
      </c>
      <c r="AK33" s="7">
        <f>K33*0.00788713</f>
        <v/>
      </c>
      <c r="AL33" s="7">
        <f>L33*0.00788713</f>
        <v/>
      </c>
      <c r="AM33" s="7">
        <f>M33*0.00788713</f>
        <v/>
      </c>
      <c r="AN33" s="7">
        <f>N33*0.00788713</f>
        <v/>
      </c>
      <c r="AO33" s="7">
        <f>O33*0.00788713</f>
        <v/>
      </c>
      <c r="AP33" s="7">
        <f>P33*0.00788713</f>
        <v/>
      </c>
      <c r="AQ33" s="7">
        <f>Q33*0.00788713</f>
        <v/>
      </c>
      <c r="AR33" s="7">
        <f>R33*0.00788713</f>
        <v/>
      </c>
      <c r="AS33" s="7">
        <f>S33*0.00788713</f>
        <v/>
      </c>
      <c r="AT33" s="7">
        <f>T33*0.00788713</f>
        <v/>
      </c>
      <c r="AU33" s="7">
        <f>U33*0.00788713</f>
        <v/>
      </c>
      <c r="AV33" s="7">
        <f>V33*0.00788713</f>
        <v/>
      </c>
      <c r="AW33" s="7">
        <f>W33*0.00788713</f>
        <v/>
      </c>
      <c r="AX33" s="7">
        <f>X33*0.00788713</f>
        <v/>
      </c>
      <c r="AY33" s="7">
        <f>Y33*0.00788713</f>
        <v/>
      </c>
      <c r="AZ33" s="7">
        <f>Z33*0.00788713</f>
        <v/>
      </c>
      <c r="BA33" s="7">
        <f>AA33*0.00788713</f>
        <v/>
      </c>
      <c r="BB33" s="7">
        <f>SUM(AD33:BA33)</f>
        <v/>
      </c>
    </row>
    <row r="34">
      <c r="A34" t="inlineStr">
        <is>
          <t>AMD-FK-SSC</t>
        </is>
      </c>
      <c r="B34" t="inlineStr">
        <is>
          <t>Prime at Client side</t>
        </is>
      </c>
      <c r="C34" s="5" t="n">
        <v>46097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7</v>
      </c>
      <c r="P34" s="6" t="n">
        <v>3</v>
      </c>
      <c r="Q34" s="6" t="n">
        <v>9</v>
      </c>
      <c r="R34" s="6" t="n">
        <v>2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>
        <f>SUM(D34:AA34)</f>
        <v/>
      </c>
      <c r="AC34" s="3" t="inlineStr"/>
      <c r="AD34" s="7">
        <f>D34*0.00788713</f>
        <v/>
      </c>
      <c r="AE34" s="7">
        <f>E34*0.00788713</f>
        <v/>
      </c>
      <c r="AF34" s="7">
        <f>F34*0.00788713</f>
        <v/>
      </c>
      <c r="AG34" s="7">
        <f>G34*0.00788713</f>
        <v/>
      </c>
      <c r="AH34" s="7">
        <f>H34*0.00788713</f>
        <v/>
      </c>
      <c r="AI34" s="7">
        <f>I34*0.00788713</f>
        <v/>
      </c>
      <c r="AJ34" s="7">
        <f>J34*0.00788713</f>
        <v/>
      </c>
      <c r="AK34" s="7">
        <f>K34*0.00788713</f>
        <v/>
      </c>
      <c r="AL34" s="7">
        <f>L34*0.00788713</f>
        <v/>
      </c>
      <c r="AM34" s="7">
        <f>M34*0.00788713</f>
        <v/>
      </c>
      <c r="AN34" s="7">
        <f>N34*0.00788713</f>
        <v/>
      </c>
      <c r="AO34" s="7">
        <f>O34*0.00788713</f>
        <v/>
      </c>
      <c r="AP34" s="7">
        <f>P34*0.00788713</f>
        <v/>
      </c>
      <c r="AQ34" s="7">
        <f>Q34*0.00788713</f>
        <v/>
      </c>
      <c r="AR34" s="7">
        <f>R34*0.00788713</f>
        <v/>
      </c>
      <c r="AS34" s="7">
        <f>S34*0.00788713</f>
        <v/>
      </c>
      <c r="AT34" s="7">
        <f>T34*0.00788713</f>
        <v/>
      </c>
      <c r="AU34" s="7">
        <f>U34*0.00788713</f>
        <v/>
      </c>
      <c r="AV34" s="7">
        <f>V34*0.00788713</f>
        <v/>
      </c>
      <c r="AW34" s="7">
        <f>W34*0.00788713</f>
        <v/>
      </c>
      <c r="AX34" s="7">
        <f>X34*0.00788713</f>
        <v/>
      </c>
      <c r="AY34" s="7">
        <f>Y34*0.00788713</f>
        <v/>
      </c>
      <c r="AZ34" s="7">
        <f>Z34*0.00788713</f>
        <v/>
      </c>
      <c r="BA34" s="7">
        <f>AA34*0.00788713</f>
        <v/>
      </c>
      <c r="BB34" s="7">
        <f>SUM(AD34:BA34)</f>
        <v/>
      </c>
    </row>
    <row r="35">
      <c r="A35" t="inlineStr">
        <is>
          <t>AMD-FK-SSC</t>
        </is>
      </c>
      <c r="B35" t="inlineStr">
        <is>
          <t>Prime at Client side</t>
        </is>
      </c>
      <c r="C35" s="5" t="n">
        <v>46098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3</v>
      </c>
      <c r="Q35" s="6" t="n">
        <v>7</v>
      </c>
      <c r="R35" s="6" t="n">
        <v>8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>
        <f>SUM(D35:AA35)</f>
        <v/>
      </c>
      <c r="AC35" s="3" t="inlineStr"/>
      <c r="AD35" s="7">
        <f>D35*0.00788713</f>
        <v/>
      </c>
      <c r="AE35" s="7">
        <f>E35*0.00788713</f>
        <v/>
      </c>
      <c r="AF35" s="7">
        <f>F35*0.00788713</f>
        <v/>
      </c>
      <c r="AG35" s="7">
        <f>G35*0.00788713</f>
        <v/>
      </c>
      <c r="AH35" s="7">
        <f>H35*0.00788713</f>
        <v/>
      </c>
      <c r="AI35" s="7">
        <f>I35*0.00788713</f>
        <v/>
      </c>
      <c r="AJ35" s="7">
        <f>J35*0.00788713</f>
        <v/>
      </c>
      <c r="AK35" s="7">
        <f>K35*0.00788713</f>
        <v/>
      </c>
      <c r="AL35" s="7">
        <f>L35*0.00788713</f>
        <v/>
      </c>
      <c r="AM35" s="7">
        <f>M35*0.00788713</f>
        <v/>
      </c>
      <c r="AN35" s="7">
        <f>N35*0.00788713</f>
        <v/>
      </c>
      <c r="AO35" s="7">
        <f>O35*0.00788713</f>
        <v/>
      </c>
      <c r="AP35" s="7">
        <f>P35*0.00788713</f>
        <v/>
      </c>
      <c r="AQ35" s="7">
        <f>Q35*0.00788713</f>
        <v/>
      </c>
      <c r="AR35" s="7">
        <f>R35*0.00788713</f>
        <v/>
      </c>
      <c r="AS35" s="7">
        <f>S35*0.00788713</f>
        <v/>
      </c>
      <c r="AT35" s="7">
        <f>T35*0.00788713</f>
        <v/>
      </c>
      <c r="AU35" s="7">
        <f>U35*0.00788713</f>
        <v/>
      </c>
      <c r="AV35" s="7">
        <f>V35*0.00788713</f>
        <v/>
      </c>
      <c r="AW35" s="7">
        <f>W35*0.00788713</f>
        <v/>
      </c>
      <c r="AX35" s="7">
        <f>X35*0.00788713</f>
        <v/>
      </c>
      <c r="AY35" s="7">
        <f>Y35*0.00788713</f>
        <v/>
      </c>
      <c r="AZ35" s="7">
        <f>Z35*0.00788713</f>
        <v/>
      </c>
      <c r="BA35" s="7">
        <f>AA35*0.00788713</f>
        <v/>
      </c>
      <c r="BB35" s="7">
        <f>SUM(AD35:BA35)</f>
        <v/>
      </c>
    </row>
    <row r="36">
      <c r="A36" t="inlineStr">
        <is>
          <t>AMD-FK-SSC</t>
        </is>
      </c>
      <c r="B36" t="inlineStr">
        <is>
          <t>Prime at Client side</t>
        </is>
      </c>
      <c r="C36" s="5" t="n">
        <v>46099</v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3</v>
      </c>
      <c r="Q36" s="6" t="n">
        <v>11</v>
      </c>
      <c r="R36" s="6" t="n">
        <v>1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>
        <f>SUM(D36:AA36)</f>
        <v/>
      </c>
      <c r="AC36" s="3" t="inlineStr"/>
      <c r="AD36" s="7">
        <f>D36*0.00788713</f>
        <v/>
      </c>
      <c r="AE36" s="7">
        <f>E36*0.00788713</f>
        <v/>
      </c>
      <c r="AF36" s="7">
        <f>F36*0.00788713</f>
        <v/>
      </c>
      <c r="AG36" s="7">
        <f>G36*0.00788713</f>
        <v/>
      </c>
      <c r="AH36" s="7">
        <f>H36*0.00788713</f>
        <v/>
      </c>
      <c r="AI36" s="7">
        <f>I36*0.00788713</f>
        <v/>
      </c>
      <c r="AJ36" s="7">
        <f>J36*0.00788713</f>
        <v/>
      </c>
      <c r="AK36" s="7">
        <f>K36*0.00788713</f>
        <v/>
      </c>
      <c r="AL36" s="7">
        <f>L36*0.00788713</f>
        <v/>
      </c>
      <c r="AM36" s="7">
        <f>M36*0.00788713</f>
        <v/>
      </c>
      <c r="AN36" s="7">
        <f>N36*0.00788713</f>
        <v/>
      </c>
      <c r="AO36" s="7">
        <f>O36*0.00788713</f>
        <v/>
      </c>
      <c r="AP36" s="7">
        <f>P36*0.00788713</f>
        <v/>
      </c>
      <c r="AQ36" s="7">
        <f>Q36*0.00788713</f>
        <v/>
      </c>
      <c r="AR36" s="7">
        <f>R36*0.00788713</f>
        <v/>
      </c>
      <c r="AS36" s="7">
        <f>S36*0.00788713</f>
        <v/>
      </c>
      <c r="AT36" s="7">
        <f>T36*0.00788713</f>
        <v/>
      </c>
      <c r="AU36" s="7">
        <f>U36*0.00788713</f>
        <v/>
      </c>
      <c r="AV36" s="7">
        <f>V36*0.00788713</f>
        <v/>
      </c>
      <c r="AW36" s="7">
        <f>W36*0.00788713</f>
        <v/>
      </c>
      <c r="AX36" s="7">
        <f>X36*0.00788713</f>
        <v/>
      </c>
      <c r="AY36" s="7">
        <f>Y36*0.00788713</f>
        <v/>
      </c>
      <c r="AZ36" s="7">
        <f>Z36*0.00788713</f>
        <v/>
      </c>
      <c r="BA36" s="7">
        <f>AA36*0.00788713</f>
        <v/>
      </c>
      <c r="BB36" s="7">
        <f>SUM(AD36:BA36)</f>
        <v/>
      </c>
    </row>
    <row r="37">
      <c r="A37" t="inlineStr">
        <is>
          <t>AMD-FK-SSC</t>
        </is>
      </c>
      <c r="B37" t="inlineStr">
        <is>
          <t>Prime at Client side</t>
        </is>
      </c>
      <c r="C37" s="5" t="n">
        <v>46100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2</v>
      </c>
      <c r="Q37" s="6" t="n">
        <v>8</v>
      </c>
      <c r="R37" s="6" t="n">
        <v>1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>
        <f>SUM(D37:AA37)</f>
        <v/>
      </c>
      <c r="AC37" s="3" t="inlineStr"/>
      <c r="AD37" s="7">
        <f>D37*0.00788713</f>
        <v/>
      </c>
      <c r="AE37" s="7">
        <f>E37*0.00788713</f>
        <v/>
      </c>
      <c r="AF37" s="7">
        <f>F37*0.00788713</f>
        <v/>
      </c>
      <c r="AG37" s="7">
        <f>G37*0.00788713</f>
        <v/>
      </c>
      <c r="AH37" s="7">
        <f>H37*0.00788713</f>
        <v/>
      </c>
      <c r="AI37" s="7">
        <f>I37*0.00788713</f>
        <v/>
      </c>
      <c r="AJ37" s="7">
        <f>J37*0.00788713</f>
        <v/>
      </c>
      <c r="AK37" s="7">
        <f>K37*0.00788713</f>
        <v/>
      </c>
      <c r="AL37" s="7">
        <f>L37*0.00788713</f>
        <v/>
      </c>
      <c r="AM37" s="7">
        <f>M37*0.00788713</f>
        <v/>
      </c>
      <c r="AN37" s="7">
        <f>N37*0.00788713</f>
        <v/>
      </c>
      <c r="AO37" s="7">
        <f>O37*0.00788713</f>
        <v/>
      </c>
      <c r="AP37" s="7">
        <f>P37*0.00788713</f>
        <v/>
      </c>
      <c r="AQ37" s="7">
        <f>Q37*0.00788713</f>
        <v/>
      </c>
      <c r="AR37" s="7">
        <f>R37*0.00788713</f>
        <v/>
      </c>
      <c r="AS37" s="7">
        <f>S37*0.00788713</f>
        <v/>
      </c>
      <c r="AT37" s="7">
        <f>T37*0.00788713</f>
        <v/>
      </c>
      <c r="AU37" s="7">
        <f>U37*0.00788713</f>
        <v/>
      </c>
      <c r="AV37" s="7">
        <f>V37*0.00788713</f>
        <v/>
      </c>
      <c r="AW37" s="7">
        <f>W37*0.00788713</f>
        <v/>
      </c>
      <c r="AX37" s="7">
        <f>X37*0.00788713</f>
        <v/>
      </c>
      <c r="AY37" s="7">
        <f>Y37*0.00788713</f>
        <v/>
      </c>
      <c r="AZ37" s="7">
        <f>Z37*0.00788713</f>
        <v/>
      </c>
      <c r="BA37" s="7">
        <f>AA37*0.00788713</f>
        <v/>
      </c>
      <c r="BB37" s="7">
        <f>SUM(AD37:BA37)</f>
        <v/>
      </c>
    </row>
    <row r="38">
      <c r="A38" t="inlineStr">
        <is>
          <t>AMD-FK-SSC</t>
        </is>
      </c>
      <c r="B38" t="inlineStr">
        <is>
          <t>Prime at Client side</t>
        </is>
      </c>
      <c r="C38" s="5" t="n">
        <v>46101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7</v>
      </c>
      <c r="Q38" s="6" t="n">
        <v>3</v>
      </c>
      <c r="R38" s="6" t="n">
        <v>2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>
        <f>SUM(D38:AA38)</f>
        <v/>
      </c>
      <c r="AC38" s="3" t="inlineStr"/>
      <c r="AD38" s="7">
        <f>D38*0.00788713</f>
        <v/>
      </c>
      <c r="AE38" s="7">
        <f>E38*0.00788713</f>
        <v/>
      </c>
      <c r="AF38" s="7">
        <f>F38*0.00788713</f>
        <v/>
      </c>
      <c r="AG38" s="7">
        <f>G38*0.00788713</f>
        <v/>
      </c>
      <c r="AH38" s="7">
        <f>H38*0.00788713</f>
        <v/>
      </c>
      <c r="AI38" s="7">
        <f>I38*0.00788713</f>
        <v/>
      </c>
      <c r="AJ38" s="7">
        <f>J38*0.00788713</f>
        <v/>
      </c>
      <c r="AK38" s="7">
        <f>K38*0.00788713</f>
        <v/>
      </c>
      <c r="AL38" s="7">
        <f>L38*0.00788713</f>
        <v/>
      </c>
      <c r="AM38" s="7">
        <f>M38*0.00788713</f>
        <v/>
      </c>
      <c r="AN38" s="7">
        <f>N38*0.00788713</f>
        <v/>
      </c>
      <c r="AO38" s="7">
        <f>O38*0.00788713</f>
        <v/>
      </c>
      <c r="AP38" s="7">
        <f>P38*0.00788713</f>
        <v/>
      </c>
      <c r="AQ38" s="7">
        <f>Q38*0.00788713</f>
        <v/>
      </c>
      <c r="AR38" s="7">
        <f>R38*0.00788713</f>
        <v/>
      </c>
      <c r="AS38" s="7">
        <f>S38*0.00788713</f>
        <v/>
      </c>
      <c r="AT38" s="7">
        <f>T38*0.00788713</f>
        <v/>
      </c>
      <c r="AU38" s="7">
        <f>U38*0.00788713</f>
        <v/>
      </c>
      <c r="AV38" s="7">
        <f>V38*0.00788713</f>
        <v/>
      </c>
      <c r="AW38" s="7">
        <f>W38*0.00788713</f>
        <v/>
      </c>
      <c r="AX38" s="7">
        <f>X38*0.00788713</f>
        <v/>
      </c>
      <c r="AY38" s="7">
        <f>Y38*0.00788713</f>
        <v/>
      </c>
      <c r="AZ38" s="7">
        <f>Z38*0.00788713</f>
        <v/>
      </c>
      <c r="BA38" s="7">
        <f>AA38*0.00788713</f>
        <v/>
      </c>
      <c r="BB38" s="7">
        <f>SUM(AD38:BA38)</f>
        <v/>
      </c>
    </row>
    <row r="39">
      <c r="A39" t="inlineStr">
        <is>
          <t>AMD-FK-SSC</t>
        </is>
      </c>
      <c r="B39" t="inlineStr">
        <is>
          <t>Prime at Client side</t>
        </is>
      </c>
      <c r="C39" s="5" t="n">
        <v>46102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2</v>
      </c>
      <c r="Q39" s="6" t="n">
        <v>7</v>
      </c>
      <c r="R39" s="6" t="n">
        <v>1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>
        <f>SUM(D39:AA39)</f>
        <v/>
      </c>
      <c r="AC39" s="3" t="inlineStr"/>
      <c r="AD39" s="7">
        <f>D39*0.00788713</f>
        <v/>
      </c>
      <c r="AE39" s="7">
        <f>E39*0.00788713</f>
        <v/>
      </c>
      <c r="AF39" s="7">
        <f>F39*0.00788713</f>
        <v/>
      </c>
      <c r="AG39" s="7">
        <f>G39*0.00788713</f>
        <v/>
      </c>
      <c r="AH39" s="7">
        <f>H39*0.00788713</f>
        <v/>
      </c>
      <c r="AI39" s="7">
        <f>I39*0.00788713</f>
        <v/>
      </c>
      <c r="AJ39" s="7">
        <f>J39*0.00788713</f>
        <v/>
      </c>
      <c r="AK39" s="7">
        <f>K39*0.00788713</f>
        <v/>
      </c>
      <c r="AL39" s="7">
        <f>L39*0.00788713</f>
        <v/>
      </c>
      <c r="AM39" s="7">
        <f>M39*0.00788713</f>
        <v/>
      </c>
      <c r="AN39" s="7">
        <f>N39*0.00788713</f>
        <v/>
      </c>
      <c r="AO39" s="7">
        <f>O39*0.00788713</f>
        <v/>
      </c>
      <c r="AP39" s="7">
        <f>P39*0.00788713</f>
        <v/>
      </c>
      <c r="AQ39" s="7">
        <f>Q39*0.00788713</f>
        <v/>
      </c>
      <c r="AR39" s="7">
        <f>R39*0.00788713</f>
        <v/>
      </c>
      <c r="AS39" s="7">
        <f>S39*0.00788713</f>
        <v/>
      </c>
      <c r="AT39" s="7">
        <f>T39*0.00788713</f>
        <v/>
      </c>
      <c r="AU39" s="7">
        <f>U39*0.00788713</f>
        <v/>
      </c>
      <c r="AV39" s="7">
        <f>V39*0.00788713</f>
        <v/>
      </c>
      <c r="AW39" s="7">
        <f>W39*0.00788713</f>
        <v/>
      </c>
      <c r="AX39" s="7">
        <f>X39*0.00788713</f>
        <v/>
      </c>
      <c r="AY39" s="7">
        <f>Y39*0.00788713</f>
        <v/>
      </c>
      <c r="AZ39" s="7">
        <f>Z39*0.00788713</f>
        <v/>
      </c>
      <c r="BA39" s="7">
        <f>AA39*0.00788713</f>
        <v/>
      </c>
      <c r="BB39" s="7">
        <f>SUM(AD39:BA39)</f>
        <v/>
      </c>
    </row>
    <row r="40">
      <c r="A40" t="inlineStr">
        <is>
          <t>AMD-FK-SSC</t>
        </is>
      </c>
      <c r="B40" t="inlineStr">
        <is>
          <t>Prime at Client side</t>
        </is>
      </c>
      <c r="C40" s="5" t="n">
        <v>46103</v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0</v>
      </c>
      <c r="M40" s="6" t="n">
        <v>0</v>
      </c>
      <c r="N40" s="6" t="n">
        <v>0</v>
      </c>
      <c r="O40" s="6" t="n">
        <v>0</v>
      </c>
      <c r="P40" s="6" t="n">
        <v>2</v>
      </c>
      <c r="Q40" s="6" t="n">
        <v>7</v>
      </c>
      <c r="R40" s="6" t="n">
        <v>1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>
        <f>SUM(D40:AA40)</f>
        <v/>
      </c>
      <c r="AC40" s="3" t="inlineStr"/>
      <c r="AD40" s="7">
        <f>D40*0.00788713</f>
        <v/>
      </c>
      <c r="AE40" s="7">
        <f>E40*0.00788713</f>
        <v/>
      </c>
      <c r="AF40" s="7">
        <f>F40*0.00788713</f>
        <v/>
      </c>
      <c r="AG40" s="7">
        <f>G40*0.00788713</f>
        <v/>
      </c>
      <c r="AH40" s="7">
        <f>H40*0.00788713</f>
        <v/>
      </c>
      <c r="AI40" s="7">
        <f>I40*0.00788713</f>
        <v/>
      </c>
      <c r="AJ40" s="7">
        <f>J40*0.00788713</f>
        <v/>
      </c>
      <c r="AK40" s="7">
        <f>K40*0.00788713</f>
        <v/>
      </c>
      <c r="AL40" s="7">
        <f>L40*0.00788713</f>
        <v/>
      </c>
      <c r="AM40" s="7">
        <f>M40*0.00788713</f>
        <v/>
      </c>
      <c r="AN40" s="7">
        <f>N40*0.00788713</f>
        <v/>
      </c>
      <c r="AO40" s="7">
        <f>O40*0.00788713</f>
        <v/>
      </c>
      <c r="AP40" s="7">
        <f>P40*0.00788713</f>
        <v/>
      </c>
      <c r="AQ40" s="7">
        <f>Q40*0.00788713</f>
        <v/>
      </c>
      <c r="AR40" s="7">
        <f>R40*0.00788713</f>
        <v/>
      </c>
      <c r="AS40" s="7">
        <f>S40*0.00788713</f>
        <v/>
      </c>
      <c r="AT40" s="7">
        <f>T40*0.00788713</f>
        <v/>
      </c>
      <c r="AU40" s="7">
        <f>U40*0.00788713</f>
        <v/>
      </c>
      <c r="AV40" s="7">
        <f>V40*0.00788713</f>
        <v/>
      </c>
      <c r="AW40" s="7">
        <f>W40*0.00788713</f>
        <v/>
      </c>
      <c r="AX40" s="7">
        <f>X40*0.00788713</f>
        <v/>
      </c>
      <c r="AY40" s="7">
        <f>Y40*0.00788713</f>
        <v/>
      </c>
      <c r="AZ40" s="7">
        <f>Z40*0.00788713</f>
        <v/>
      </c>
      <c r="BA40" s="7">
        <f>AA40*0.00788713</f>
        <v/>
      </c>
      <c r="BB40" s="7">
        <f>SUM(AD40:BA40)</f>
        <v/>
      </c>
    </row>
    <row r="41">
      <c r="A41" t="inlineStr">
        <is>
          <t>AMD-FK-SSC</t>
        </is>
      </c>
      <c r="B41" t="inlineStr">
        <is>
          <t>Prime at Client side</t>
        </is>
      </c>
      <c r="C41" s="5" t="n">
        <v>46104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2</v>
      </c>
      <c r="Q41" s="6" t="n">
        <v>7</v>
      </c>
      <c r="R41" s="6" t="n">
        <v>6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>
        <f>SUM(D41:AA41)</f>
        <v/>
      </c>
      <c r="AC41" s="3" t="inlineStr"/>
      <c r="AD41" s="7">
        <f>D41*0.00788713</f>
        <v/>
      </c>
      <c r="AE41" s="7">
        <f>E41*0.00788713</f>
        <v/>
      </c>
      <c r="AF41" s="7">
        <f>F41*0.00788713</f>
        <v/>
      </c>
      <c r="AG41" s="7">
        <f>G41*0.00788713</f>
        <v/>
      </c>
      <c r="AH41" s="7">
        <f>H41*0.00788713</f>
        <v/>
      </c>
      <c r="AI41" s="7">
        <f>I41*0.00788713</f>
        <v/>
      </c>
      <c r="AJ41" s="7">
        <f>J41*0.00788713</f>
        <v/>
      </c>
      <c r="AK41" s="7">
        <f>K41*0.00788713</f>
        <v/>
      </c>
      <c r="AL41" s="7">
        <f>L41*0.00788713</f>
        <v/>
      </c>
      <c r="AM41" s="7">
        <f>M41*0.00788713</f>
        <v/>
      </c>
      <c r="AN41" s="7">
        <f>N41*0.00788713</f>
        <v/>
      </c>
      <c r="AO41" s="7">
        <f>O41*0.00788713</f>
        <v/>
      </c>
      <c r="AP41" s="7">
        <f>P41*0.00788713</f>
        <v/>
      </c>
      <c r="AQ41" s="7">
        <f>Q41*0.00788713</f>
        <v/>
      </c>
      <c r="AR41" s="7">
        <f>R41*0.00788713</f>
        <v/>
      </c>
      <c r="AS41" s="7">
        <f>S41*0.00788713</f>
        <v/>
      </c>
      <c r="AT41" s="7">
        <f>T41*0.00788713</f>
        <v/>
      </c>
      <c r="AU41" s="7">
        <f>U41*0.00788713</f>
        <v/>
      </c>
      <c r="AV41" s="7">
        <f>V41*0.00788713</f>
        <v/>
      </c>
      <c r="AW41" s="7">
        <f>W41*0.00788713</f>
        <v/>
      </c>
      <c r="AX41" s="7">
        <f>X41*0.00788713</f>
        <v/>
      </c>
      <c r="AY41" s="7">
        <f>Y41*0.00788713</f>
        <v/>
      </c>
      <c r="AZ41" s="7">
        <f>Z41*0.00788713</f>
        <v/>
      </c>
      <c r="BA41" s="7">
        <f>AA41*0.00788713</f>
        <v/>
      </c>
      <c r="BB41" s="7">
        <f>SUM(AD41:BA41)</f>
        <v/>
      </c>
    </row>
    <row r="42">
      <c r="A42" t="inlineStr">
        <is>
          <t>AMD-FK-SSC</t>
        </is>
      </c>
      <c r="B42" t="inlineStr">
        <is>
          <t>Prime at Client side</t>
        </is>
      </c>
      <c r="C42" s="5" t="n">
        <v>46105</v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6" t="n">
        <v>0</v>
      </c>
      <c r="N42" s="6" t="n">
        <v>0</v>
      </c>
      <c r="O42" s="6" t="n">
        <v>0</v>
      </c>
      <c r="P42" s="6" t="n">
        <v>0</v>
      </c>
      <c r="Q42" s="6" t="n">
        <v>16</v>
      </c>
      <c r="R42" s="6" t="n">
        <v>9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>
        <f>SUM(D42:AA42)</f>
        <v/>
      </c>
      <c r="AC42" s="3" t="inlineStr"/>
      <c r="AD42" s="7">
        <f>D42*0.00788713</f>
        <v/>
      </c>
      <c r="AE42" s="7">
        <f>E42*0.00788713</f>
        <v/>
      </c>
      <c r="AF42" s="7">
        <f>F42*0.00788713</f>
        <v/>
      </c>
      <c r="AG42" s="7">
        <f>G42*0.00788713</f>
        <v/>
      </c>
      <c r="AH42" s="7">
        <f>H42*0.00788713</f>
        <v/>
      </c>
      <c r="AI42" s="7">
        <f>I42*0.00788713</f>
        <v/>
      </c>
      <c r="AJ42" s="7">
        <f>J42*0.00788713</f>
        <v/>
      </c>
      <c r="AK42" s="7">
        <f>K42*0.00788713</f>
        <v/>
      </c>
      <c r="AL42" s="7">
        <f>L42*0.00788713</f>
        <v/>
      </c>
      <c r="AM42" s="7">
        <f>M42*0.00788713</f>
        <v/>
      </c>
      <c r="AN42" s="7">
        <f>N42*0.00788713</f>
        <v/>
      </c>
      <c r="AO42" s="7">
        <f>O42*0.00788713</f>
        <v/>
      </c>
      <c r="AP42" s="7">
        <f>P42*0.00788713</f>
        <v/>
      </c>
      <c r="AQ42" s="7">
        <f>Q42*0.00788713</f>
        <v/>
      </c>
      <c r="AR42" s="7">
        <f>R42*0.00788713</f>
        <v/>
      </c>
      <c r="AS42" s="7">
        <f>S42*0.00788713</f>
        <v/>
      </c>
      <c r="AT42" s="7">
        <f>T42*0.00788713</f>
        <v/>
      </c>
      <c r="AU42" s="7">
        <f>U42*0.00788713</f>
        <v/>
      </c>
      <c r="AV42" s="7">
        <f>V42*0.00788713</f>
        <v/>
      </c>
      <c r="AW42" s="7">
        <f>W42*0.00788713</f>
        <v/>
      </c>
      <c r="AX42" s="7">
        <f>X42*0.00788713</f>
        <v/>
      </c>
      <c r="AY42" s="7">
        <f>Y42*0.00788713</f>
        <v/>
      </c>
      <c r="AZ42" s="7">
        <f>Z42*0.00788713</f>
        <v/>
      </c>
      <c r="BA42" s="7">
        <f>AA42*0.00788713</f>
        <v/>
      </c>
      <c r="BB42" s="7">
        <f>SUM(AD42:BA42)</f>
        <v/>
      </c>
    </row>
    <row r="43">
      <c r="A43" t="inlineStr">
        <is>
          <t>AMD-FWDPRI-SSC</t>
        </is>
      </c>
      <c r="B43" t="inlineStr">
        <is>
          <t>FWD Priority OSC</t>
        </is>
      </c>
      <c r="C43" s="5" t="n">
        <v>46098</v>
      </c>
      <c r="D43" s="6" t="n">
        <v>68</v>
      </c>
      <c r="E43" s="6" t="n">
        <v>86</v>
      </c>
      <c r="F43" s="6" t="n">
        <v>69</v>
      </c>
      <c r="G43" s="6" t="n">
        <v>153</v>
      </c>
      <c r="H43" s="6" t="n">
        <v>61</v>
      </c>
      <c r="I43" s="6" t="n">
        <v>64</v>
      </c>
      <c r="J43" s="6" t="n">
        <v>39</v>
      </c>
      <c r="K43" s="6" t="n">
        <v>1</v>
      </c>
      <c r="L43" s="6" t="n">
        <v>6</v>
      </c>
      <c r="M43" s="6" t="n">
        <v>6</v>
      </c>
      <c r="N43" s="6" t="n">
        <v>47</v>
      </c>
      <c r="O43" s="6" t="n">
        <v>71</v>
      </c>
      <c r="P43" s="6" t="n">
        <v>32</v>
      </c>
      <c r="Q43" s="6" t="n">
        <v>1</v>
      </c>
      <c r="R43" s="6" t="n">
        <v>148</v>
      </c>
      <c r="S43" s="6" t="n">
        <v>108</v>
      </c>
      <c r="T43" s="6" t="n">
        <v>48</v>
      </c>
      <c r="U43" s="6" t="n">
        <v>77</v>
      </c>
      <c r="V43" s="6" t="n">
        <v>99</v>
      </c>
      <c r="W43" s="6" t="n">
        <v>130</v>
      </c>
      <c r="X43" s="6" t="n">
        <v>75</v>
      </c>
      <c r="Y43" s="6" t="n">
        <v>52</v>
      </c>
      <c r="Z43" s="6" t="n">
        <v>0</v>
      </c>
      <c r="AA43" s="6" t="n">
        <v>22</v>
      </c>
      <c r="AB43" s="6">
        <f>SUM(D43:AA43)</f>
        <v/>
      </c>
      <c r="AC43" s="3" t="inlineStr"/>
      <c r="AD43" s="7">
        <f>D43*0.00788713</f>
        <v/>
      </c>
      <c r="AE43" s="7">
        <f>E43*0.00788713</f>
        <v/>
      </c>
      <c r="AF43" s="7">
        <f>F43*0.00788713</f>
        <v/>
      </c>
      <c r="AG43" s="7">
        <f>G43*0.00788713</f>
        <v/>
      </c>
      <c r="AH43" s="7">
        <f>H43*0.00788713</f>
        <v/>
      </c>
      <c r="AI43" s="7">
        <f>I43*0.00788713</f>
        <v/>
      </c>
      <c r="AJ43" s="7">
        <f>J43*0.00788713</f>
        <v/>
      </c>
      <c r="AK43" s="7">
        <f>K43*0.00788713</f>
        <v/>
      </c>
      <c r="AL43" s="7">
        <f>L43*0.00788713</f>
        <v/>
      </c>
      <c r="AM43" s="7">
        <f>M43*0.00788713</f>
        <v/>
      </c>
      <c r="AN43" s="7">
        <f>N43*0.00788713</f>
        <v/>
      </c>
      <c r="AO43" s="7">
        <f>O43*0.00788713</f>
        <v/>
      </c>
      <c r="AP43" s="7">
        <f>P43*0.00788713</f>
        <v/>
      </c>
      <c r="AQ43" s="7">
        <f>Q43*0.00788713</f>
        <v/>
      </c>
      <c r="AR43" s="7">
        <f>R43*0.00788713</f>
        <v/>
      </c>
      <c r="AS43" s="7">
        <f>S43*0.00788713</f>
        <v/>
      </c>
      <c r="AT43" s="7">
        <f>T43*0.00788713</f>
        <v/>
      </c>
      <c r="AU43" s="7">
        <f>U43*0.00788713</f>
        <v/>
      </c>
      <c r="AV43" s="7">
        <f>V43*0.00788713</f>
        <v/>
      </c>
      <c r="AW43" s="7">
        <f>W43*0.00788713</f>
        <v/>
      </c>
      <c r="AX43" s="7">
        <f>X43*0.00788713</f>
        <v/>
      </c>
      <c r="AY43" s="7">
        <f>Y43*0.00788713</f>
        <v/>
      </c>
      <c r="AZ43" s="7">
        <f>Z43*0.00788713</f>
        <v/>
      </c>
      <c r="BA43" s="7">
        <f>AA43*0.00788713</f>
        <v/>
      </c>
      <c r="BB43" s="7">
        <f>SUM(AD43:BA43)</f>
        <v/>
      </c>
    </row>
    <row r="44">
      <c r="A44" t="inlineStr">
        <is>
          <t>AMD-FWDPRI-SSC</t>
        </is>
      </c>
      <c r="B44" t="inlineStr">
        <is>
          <t>FWD Priority OSC</t>
        </is>
      </c>
      <c r="C44" s="5" t="n">
        <v>46099</v>
      </c>
      <c r="D44" s="6" t="n">
        <v>101</v>
      </c>
      <c r="E44" s="6" t="n">
        <v>23</v>
      </c>
      <c r="F44" s="6" t="n">
        <v>118</v>
      </c>
      <c r="G44" s="6" t="n">
        <v>111</v>
      </c>
      <c r="H44" s="6" t="n">
        <v>86</v>
      </c>
      <c r="I44" s="6" t="n">
        <v>108</v>
      </c>
      <c r="J44" s="6" t="n">
        <v>131</v>
      </c>
      <c r="K44" s="6" t="n">
        <v>23</v>
      </c>
      <c r="L44" s="6" t="n">
        <v>0</v>
      </c>
      <c r="M44" s="6" t="n">
        <v>7</v>
      </c>
      <c r="N44" s="6" t="n">
        <v>7</v>
      </c>
      <c r="O44" s="6" t="n">
        <v>111</v>
      </c>
      <c r="P44" s="6" t="n">
        <v>66</v>
      </c>
      <c r="Q44" s="6" t="n">
        <v>10</v>
      </c>
      <c r="R44" s="6" t="n">
        <v>146</v>
      </c>
      <c r="S44" s="6" t="n">
        <v>91</v>
      </c>
      <c r="T44" s="6" t="n">
        <v>75</v>
      </c>
      <c r="U44" s="6" t="n">
        <v>12</v>
      </c>
      <c r="V44" s="6" t="n">
        <v>99</v>
      </c>
      <c r="W44" s="6" t="n">
        <v>69</v>
      </c>
      <c r="X44" s="6" t="n">
        <v>98</v>
      </c>
      <c r="Y44" s="6" t="n">
        <v>85</v>
      </c>
      <c r="Z44" s="6" t="n">
        <v>0</v>
      </c>
      <c r="AA44" s="6" t="n">
        <v>97</v>
      </c>
      <c r="AB44" s="6">
        <f>SUM(D44:AA44)</f>
        <v/>
      </c>
      <c r="AC44" s="3" t="inlineStr"/>
      <c r="AD44" s="7">
        <f>D44*0.00788713</f>
        <v/>
      </c>
      <c r="AE44" s="7">
        <f>E44*0.00788713</f>
        <v/>
      </c>
      <c r="AF44" s="7">
        <f>F44*0.00788713</f>
        <v/>
      </c>
      <c r="AG44" s="7">
        <f>G44*0.00788713</f>
        <v/>
      </c>
      <c r="AH44" s="7">
        <f>H44*0.00788713</f>
        <v/>
      </c>
      <c r="AI44" s="7">
        <f>I44*0.00788713</f>
        <v/>
      </c>
      <c r="AJ44" s="7">
        <f>J44*0.00788713</f>
        <v/>
      </c>
      <c r="AK44" s="7">
        <f>K44*0.00788713</f>
        <v/>
      </c>
      <c r="AL44" s="7">
        <f>L44*0.00788713</f>
        <v/>
      </c>
      <c r="AM44" s="7">
        <f>M44*0.00788713</f>
        <v/>
      </c>
      <c r="AN44" s="7">
        <f>N44*0.00788713</f>
        <v/>
      </c>
      <c r="AO44" s="7">
        <f>O44*0.00788713</f>
        <v/>
      </c>
      <c r="AP44" s="7">
        <f>P44*0.00788713</f>
        <v/>
      </c>
      <c r="AQ44" s="7">
        <f>Q44*0.00788713</f>
        <v/>
      </c>
      <c r="AR44" s="7">
        <f>R44*0.00788713</f>
        <v/>
      </c>
      <c r="AS44" s="7">
        <f>S44*0.00788713</f>
        <v/>
      </c>
      <c r="AT44" s="7">
        <f>T44*0.00788713</f>
        <v/>
      </c>
      <c r="AU44" s="7">
        <f>U44*0.00788713</f>
        <v/>
      </c>
      <c r="AV44" s="7">
        <f>V44*0.00788713</f>
        <v/>
      </c>
      <c r="AW44" s="7">
        <f>W44*0.00788713</f>
        <v/>
      </c>
      <c r="AX44" s="7">
        <f>X44*0.00788713</f>
        <v/>
      </c>
      <c r="AY44" s="7">
        <f>Y44*0.00788713</f>
        <v/>
      </c>
      <c r="AZ44" s="7">
        <f>Z44*0.00788713</f>
        <v/>
      </c>
      <c r="BA44" s="7">
        <f>AA44*0.00788713</f>
        <v/>
      </c>
      <c r="BB44" s="7">
        <f>SUM(AD44:BA44)</f>
        <v/>
      </c>
    </row>
    <row r="45">
      <c r="A45" t="inlineStr">
        <is>
          <t>AMD-FWDPRI-SSC</t>
        </is>
      </c>
      <c r="B45" t="inlineStr">
        <is>
          <t>FWD Priority OSC</t>
        </is>
      </c>
      <c r="C45" s="5" t="n">
        <v>46100</v>
      </c>
      <c r="D45" s="6" t="n">
        <v>127</v>
      </c>
      <c r="E45" s="6" t="n">
        <v>40</v>
      </c>
      <c r="F45" s="6" t="n">
        <v>98</v>
      </c>
      <c r="G45" s="6" t="n">
        <v>219</v>
      </c>
      <c r="H45" s="6" t="n">
        <v>91</v>
      </c>
      <c r="I45" s="6" t="n">
        <v>202</v>
      </c>
      <c r="J45" s="6" t="n">
        <v>207</v>
      </c>
      <c r="K45" s="6" t="n">
        <v>4</v>
      </c>
      <c r="L45" s="6" t="n">
        <v>11</v>
      </c>
      <c r="M45" s="6" t="n">
        <v>43</v>
      </c>
      <c r="N45" s="6" t="n">
        <v>93</v>
      </c>
      <c r="O45" s="6" t="n">
        <v>94</v>
      </c>
      <c r="P45" s="6" t="n">
        <v>6</v>
      </c>
      <c r="Q45" s="6" t="n">
        <v>3</v>
      </c>
      <c r="R45" s="6" t="n">
        <v>53</v>
      </c>
      <c r="S45" s="6" t="n">
        <v>95</v>
      </c>
      <c r="T45" s="6" t="n">
        <v>28</v>
      </c>
      <c r="U45" s="6" t="n">
        <v>75</v>
      </c>
      <c r="V45" s="6" t="n">
        <v>70</v>
      </c>
      <c r="W45" s="6" t="n">
        <v>100</v>
      </c>
      <c r="X45" s="6" t="n">
        <v>75</v>
      </c>
      <c r="Y45" s="6" t="n">
        <v>65</v>
      </c>
      <c r="Z45" s="6" t="n">
        <v>1</v>
      </c>
      <c r="AA45" s="6" t="n">
        <v>0</v>
      </c>
      <c r="AB45" s="6">
        <f>SUM(D45:AA45)</f>
        <v/>
      </c>
      <c r="AC45" s="3" t="inlineStr"/>
      <c r="AD45" s="7">
        <f>D45*0.00788713</f>
        <v/>
      </c>
      <c r="AE45" s="7">
        <f>E45*0.00788713</f>
        <v/>
      </c>
      <c r="AF45" s="7">
        <f>F45*0.00788713</f>
        <v/>
      </c>
      <c r="AG45" s="7">
        <f>G45*0.00788713</f>
        <v/>
      </c>
      <c r="AH45" s="7">
        <f>H45*0.00788713</f>
        <v/>
      </c>
      <c r="AI45" s="7">
        <f>I45*0.00788713</f>
        <v/>
      </c>
      <c r="AJ45" s="7">
        <f>J45*0.00788713</f>
        <v/>
      </c>
      <c r="AK45" s="7">
        <f>K45*0.00788713</f>
        <v/>
      </c>
      <c r="AL45" s="7">
        <f>L45*0.00788713</f>
        <v/>
      </c>
      <c r="AM45" s="7">
        <f>M45*0.00788713</f>
        <v/>
      </c>
      <c r="AN45" s="7">
        <f>N45*0.00788713</f>
        <v/>
      </c>
      <c r="AO45" s="7">
        <f>O45*0.00788713</f>
        <v/>
      </c>
      <c r="AP45" s="7">
        <f>P45*0.00788713</f>
        <v/>
      </c>
      <c r="AQ45" s="7">
        <f>Q45*0.00788713</f>
        <v/>
      </c>
      <c r="AR45" s="7">
        <f>R45*0.00788713</f>
        <v/>
      </c>
      <c r="AS45" s="7">
        <f>S45*0.00788713</f>
        <v/>
      </c>
      <c r="AT45" s="7">
        <f>T45*0.00788713</f>
        <v/>
      </c>
      <c r="AU45" s="7">
        <f>U45*0.00788713</f>
        <v/>
      </c>
      <c r="AV45" s="7">
        <f>V45*0.00788713</f>
        <v/>
      </c>
      <c r="AW45" s="7">
        <f>W45*0.00788713</f>
        <v/>
      </c>
      <c r="AX45" s="7">
        <f>X45*0.00788713</f>
        <v/>
      </c>
      <c r="AY45" s="7">
        <f>Y45*0.00788713</f>
        <v/>
      </c>
      <c r="AZ45" s="7">
        <f>Z45*0.00788713</f>
        <v/>
      </c>
      <c r="BA45" s="7">
        <f>AA45*0.00788713</f>
        <v/>
      </c>
      <c r="BB45" s="7">
        <f>SUM(AD45:BA45)</f>
        <v/>
      </c>
    </row>
    <row r="46">
      <c r="A46" t="inlineStr">
        <is>
          <t>AMD-FWDPRI-SSC</t>
        </is>
      </c>
      <c r="B46" t="inlineStr">
        <is>
          <t>FWD Priority OSC</t>
        </is>
      </c>
      <c r="C46" s="5" t="n">
        <v>46101</v>
      </c>
      <c r="D46" s="6" t="n">
        <v>8</v>
      </c>
      <c r="E46" s="6" t="n">
        <v>0</v>
      </c>
      <c r="F46" s="6" t="n">
        <v>2</v>
      </c>
      <c r="G46" s="6" t="n">
        <v>69</v>
      </c>
      <c r="H46" s="6" t="n">
        <v>68</v>
      </c>
      <c r="I46" s="6" t="n">
        <v>103</v>
      </c>
      <c r="J46" s="6" t="n">
        <v>55</v>
      </c>
      <c r="K46" s="6" t="n">
        <v>9</v>
      </c>
      <c r="L46" s="6" t="n">
        <v>104</v>
      </c>
      <c r="M46" s="6" t="n">
        <v>27</v>
      </c>
      <c r="N46" s="6" t="n">
        <v>100</v>
      </c>
      <c r="O46" s="6" t="n">
        <v>64</v>
      </c>
      <c r="P46" s="6" t="n">
        <v>1</v>
      </c>
      <c r="Q46" s="6" t="n">
        <v>113</v>
      </c>
      <c r="R46" s="6" t="n">
        <v>85</v>
      </c>
      <c r="S46" s="6" t="n">
        <v>75</v>
      </c>
      <c r="T46" s="6" t="n">
        <v>63</v>
      </c>
      <c r="U46" s="6" t="n">
        <v>0</v>
      </c>
      <c r="V46" s="6" t="n">
        <v>104</v>
      </c>
      <c r="W46" s="6" t="n">
        <v>87</v>
      </c>
      <c r="X46" s="6" t="n">
        <v>111</v>
      </c>
      <c r="Y46" s="6" t="n">
        <v>69</v>
      </c>
      <c r="Z46" s="6" t="n">
        <v>0</v>
      </c>
      <c r="AA46" s="6" t="n">
        <v>17</v>
      </c>
      <c r="AB46" s="6">
        <f>SUM(D46:AA46)</f>
        <v/>
      </c>
      <c r="AC46" s="3" t="inlineStr"/>
      <c r="AD46" s="7">
        <f>D46*0.00788713</f>
        <v/>
      </c>
      <c r="AE46" s="7">
        <f>E46*0.00788713</f>
        <v/>
      </c>
      <c r="AF46" s="7">
        <f>F46*0.00788713</f>
        <v/>
      </c>
      <c r="AG46" s="7">
        <f>G46*0.00788713</f>
        <v/>
      </c>
      <c r="AH46" s="7">
        <f>H46*0.00788713</f>
        <v/>
      </c>
      <c r="AI46" s="7">
        <f>I46*0.00788713</f>
        <v/>
      </c>
      <c r="AJ46" s="7">
        <f>J46*0.00788713</f>
        <v/>
      </c>
      <c r="AK46" s="7">
        <f>K46*0.00788713</f>
        <v/>
      </c>
      <c r="AL46" s="7">
        <f>L46*0.00788713</f>
        <v/>
      </c>
      <c r="AM46" s="7">
        <f>M46*0.00788713</f>
        <v/>
      </c>
      <c r="AN46" s="7">
        <f>N46*0.00788713</f>
        <v/>
      </c>
      <c r="AO46" s="7">
        <f>O46*0.00788713</f>
        <v/>
      </c>
      <c r="AP46" s="7">
        <f>P46*0.00788713</f>
        <v/>
      </c>
      <c r="AQ46" s="7">
        <f>Q46*0.00788713</f>
        <v/>
      </c>
      <c r="AR46" s="7">
        <f>R46*0.00788713</f>
        <v/>
      </c>
      <c r="AS46" s="7">
        <f>S46*0.00788713</f>
        <v/>
      </c>
      <c r="AT46" s="7">
        <f>T46*0.00788713</f>
        <v/>
      </c>
      <c r="AU46" s="7">
        <f>U46*0.00788713</f>
        <v/>
      </c>
      <c r="AV46" s="7">
        <f>V46*0.00788713</f>
        <v/>
      </c>
      <c r="AW46" s="7">
        <f>W46*0.00788713</f>
        <v/>
      </c>
      <c r="AX46" s="7">
        <f>X46*0.00788713</f>
        <v/>
      </c>
      <c r="AY46" s="7">
        <f>Y46*0.00788713</f>
        <v/>
      </c>
      <c r="AZ46" s="7">
        <f>Z46*0.00788713</f>
        <v/>
      </c>
      <c r="BA46" s="7">
        <f>AA46*0.00788713</f>
        <v/>
      </c>
      <c r="BB46" s="7">
        <f>SUM(AD46:BA46)</f>
        <v/>
      </c>
    </row>
    <row r="47">
      <c r="A47" t="inlineStr">
        <is>
          <t>AMD-FWDPRI-SSC</t>
        </is>
      </c>
      <c r="B47" t="inlineStr">
        <is>
          <t>FWD Priority OSC</t>
        </is>
      </c>
      <c r="C47" s="5" t="n">
        <v>46102</v>
      </c>
      <c r="D47" s="6" t="n">
        <v>117</v>
      </c>
      <c r="E47" s="6" t="n">
        <v>35</v>
      </c>
      <c r="F47" s="6" t="n">
        <v>94</v>
      </c>
      <c r="G47" s="6" t="n">
        <v>164</v>
      </c>
      <c r="H47" s="6" t="n">
        <v>99</v>
      </c>
      <c r="I47" s="6" t="n">
        <v>144</v>
      </c>
      <c r="J47" s="6" t="n">
        <v>115</v>
      </c>
      <c r="K47" s="6" t="n">
        <v>16</v>
      </c>
      <c r="L47" s="6" t="n">
        <v>0</v>
      </c>
      <c r="M47" s="6" t="n">
        <v>0</v>
      </c>
      <c r="N47" s="6" t="n">
        <v>27</v>
      </c>
      <c r="O47" s="6" t="n">
        <v>100</v>
      </c>
      <c r="P47" s="6" t="n">
        <v>65</v>
      </c>
      <c r="Q47" s="6" t="n">
        <v>1</v>
      </c>
      <c r="R47" s="6" t="n">
        <v>101</v>
      </c>
      <c r="S47" s="6" t="n">
        <v>77</v>
      </c>
      <c r="T47" s="6" t="n">
        <v>83</v>
      </c>
      <c r="U47" s="6" t="n">
        <v>6</v>
      </c>
      <c r="V47" s="6" t="n">
        <v>111</v>
      </c>
      <c r="W47" s="6" t="n">
        <v>89</v>
      </c>
      <c r="X47" s="6" t="n">
        <v>99</v>
      </c>
      <c r="Y47" s="6" t="n">
        <v>56</v>
      </c>
      <c r="Z47" s="6" t="n">
        <v>2</v>
      </c>
      <c r="AA47" s="6" t="n">
        <v>22</v>
      </c>
      <c r="AB47" s="6">
        <f>SUM(D47:AA47)</f>
        <v/>
      </c>
      <c r="AC47" s="3" t="inlineStr"/>
      <c r="AD47" s="7">
        <f>D47*0.00788713</f>
        <v/>
      </c>
      <c r="AE47" s="7">
        <f>E47*0.00788713</f>
        <v/>
      </c>
      <c r="AF47" s="7">
        <f>F47*0.00788713</f>
        <v/>
      </c>
      <c r="AG47" s="7">
        <f>G47*0.00788713</f>
        <v/>
      </c>
      <c r="AH47" s="7">
        <f>H47*0.00788713</f>
        <v/>
      </c>
      <c r="AI47" s="7">
        <f>I47*0.00788713</f>
        <v/>
      </c>
      <c r="AJ47" s="7">
        <f>J47*0.00788713</f>
        <v/>
      </c>
      <c r="AK47" s="7">
        <f>K47*0.00788713</f>
        <v/>
      </c>
      <c r="AL47" s="7">
        <f>L47*0.00788713</f>
        <v/>
      </c>
      <c r="AM47" s="7">
        <f>M47*0.00788713</f>
        <v/>
      </c>
      <c r="AN47" s="7">
        <f>N47*0.00788713</f>
        <v/>
      </c>
      <c r="AO47" s="7">
        <f>O47*0.00788713</f>
        <v/>
      </c>
      <c r="AP47" s="7">
        <f>P47*0.00788713</f>
        <v/>
      </c>
      <c r="AQ47" s="7">
        <f>Q47*0.00788713</f>
        <v/>
      </c>
      <c r="AR47" s="7">
        <f>R47*0.00788713</f>
        <v/>
      </c>
      <c r="AS47" s="7">
        <f>S47*0.00788713</f>
        <v/>
      </c>
      <c r="AT47" s="7">
        <f>T47*0.00788713</f>
        <v/>
      </c>
      <c r="AU47" s="7">
        <f>U47*0.00788713</f>
        <v/>
      </c>
      <c r="AV47" s="7">
        <f>V47*0.00788713</f>
        <v/>
      </c>
      <c r="AW47" s="7">
        <f>W47*0.00788713</f>
        <v/>
      </c>
      <c r="AX47" s="7">
        <f>X47*0.00788713</f>
        <v/>
      </c>
      <c r="AY47" s="7">
        <f>Y47*0.00788713</f>
        <v/>
      </c>
      <c r="AZ47" s="7">
        <f>Z47*0.00788713</f>
        <v/>
      </c>
      <c r="BA47" s="7">
        <f>AA47*0.00788713</f>
        <v/>
      </c>
      <c r="BB47" s="7">
        <f>SUM(AD47:BA47)</f>
        <v/>
      </c>
    </row>
    <row r="48">
      <c r="A48" t="inlineStr">
        <is>
          <t>AMD-FWDPRI-SSC</t>
        </is>
      </c>
      <c r="B48" t="inlineStr">
        <is>
          <t>FWD Priority OSC</t>
        </is>
      </c>
      <c r="C48" s="5" t="n">
        <v>46103</v>
      </c>
      <c r="D48" s="6" t="n">
        <v>158</v>
      </c>
      <c r="E48" s="6" t="n">
        <v>24</v>
      </c>
      <c r="F48" s="6" t="n">
        <v>89</v>
      </c>
      <c r="G48" s="6" t="n">
        <v>156</v>
      </c>
      <c r="H48" s="6" t="n">
        <v>97</v>
      </c>
      <c r="I48" s="6" t="n">
        <v>86</v>
      </c>
      <c r="J48" s="6" t="n">
        <v>2</v>
      </c>
      <c r="K48" s="6" t="n">
        <v>0</v>
      </c>
      <c r="L48" s="6" t="n">
        <v>0</v>
      </c>
      <c r="M48" s="6" t="n">
        <v>0</v>
      </c>
      <c r="N48" s="6" t="n">
        <v>30</v>
      </c>
      <c r="O48" s="6" t="n">
        <v>79</v>
      </c>
      <c r="P48" s="6" t="n">
        <v>35</v>
      </c>
      <c r="Q48" s="6" t="n">
        <v>48</v>
      </c>
      <c r="R48" s="6" t="n">
        <v>106</v>
      </c>
      <c r="S48" s="6" t="n">
        <v>95</v>
      </c>
      <c r="T48" s="6" t="n">
        <v>29</v>
      </c>
      <c r="U48" s="6" t="n">
        <v>82</v>
      </c>
      <c r="V48" s="6" t="n">
        <v>93</v>
      </c>
      <c r="W48" s="6" t="n">
        <v>118</v>
      </c>
      <c r="X48" s="6" t="n">
        <v>114</v>
      </c>
      <c r="Y48" s="6" t="n">
        <v>104</v>
      </c>
      <c r="Z48" s="6" t="n">
        <v>0</v>
      </c>
      <c r="AA48" s="6" t="n">
        <v>17</v>
      </c>
      <c r="AB48" s="6">
        <f>SUM(D48:AA48)</f>
        <v/>
      </c>
      <c r="AC48" s="3" t="inlineStr"/>
      <c r="AD48" s="7">
        <f>D48*0.00788713</f>
        <v/>
      </c>
      <c r="AE48" s="7">
        <f>E48*0.00788713</f>
        <v/>
      </c>
      <c r="AF48" s="7">
        <f>F48*0.00788713</f>
        <v/>
      </c>
      <c r="AG48" s="7">
        <f>G48*0.00788713</f>
        <v/>
      </c>
      <c r="AH48" s="7">
        <f>H48*0.00788713</f>
        <v/>
      </c>
      <c r="AI48" s="7">
        <f>I48*0.00788713</f>
        <v/>
      </c>
      <c r="AJ48" s="7">
        <f>J48*0.00788713</f>
        <v/>
      </c>
      <c r="AK48" s="7">
        <f>K48*0.00788713</f>
        <v/>
      </c>
      <c r="AL48" s="7">
        <f>L48*0.00788713</f>
        <v/>
      </c>
      <c r="AM48" s="7">
        <f>M48*0.00788713</f>
        <v/>
      </c>
      <c r="AN48" s="7">
        <f>N48*0.00788713</f>
        <v/>
      </c>
      <c r="AO48" s="7">
        <f>O48*0.00788713</f>
        <v/>
      </c>
      <c r="AP48" s="7">
        <f>P48*0.00788713</f>
        <v/>
      </c>
      <c r="AQ48" s="7">
        <f>Q48*0.00788713</f>
        <v/>
      </c>
      <c r="AR48" s="7">
        <f>R48*0.00788713</f>
        <v/>
      </c>
      <c r="AS48" s="7">
        <f>S48*0.00788713</f>
        <v/>
      </c>
      <c r="AT48" s="7">
        <f>T48*0.00788713</f>
        <v/>
      </c>
      <c r="AU48" s="7">
        <f>U48*0.00788713</f>
        <v/>
      </c>
      <c r="AV48" s="7">
        <f>V48*0.00788713</f>
        <v/>
      </c>
      <c r="AW48" s="7">
        <f>W48*0.00788713</f>
        <v/>
      </c>
      <c r="AX48" s="7">
        <f>X48*0.00788713</f>
        <v/>
      </c>
      <c r="AY48" s="7">
        <f>Y48*0.00788713</f>
        <v/>
      </c>
      <c r="AZ48" s="7">
        <f>Z48*0.00788713</f>
        <v/>
      </c>
      <c r="BA48" s="7">
        <f>AA48*0.00788713</f>
        <v/>
      </c>
      <c r="BB48" s="7">
        <f>SUM(AD48:BA48)</f>
        <v/>
      </c>
    </row>
    <row r="49">
      <c r="A49" t="inlineStr">
        <is>
          <t>AMD-FWDPRI-SSC</t>
        </is>
      </c>
      <c r="B49" t="inlineStr">
        <is>
          <t>FWD Priority OSC</t>
        </is>
      </c>
      <c r="C49" s="5" t="n">
        <v>46104</v>
      </c>
      <c r="D49" s="6" t="n">
        <v>149</v>
      </c>
      <c r="E49" s="6" t="n">
        <v>80</v>
      </c>
      <c r="F49" s="6" t="n">
        <v>9</v>
      </c>
      <c r="G49" s="6" t="n">
        <v>158</v>
      </c>
      <c r="H49" s="6" t="n">
        <v>26</v>
      </c>
      <c r="I49" s="6" t="n">
        <v>27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54</v>
      </c>
      <c r="O49" s="6" t="n">
        <v>100</v>
      </c>
      <c r="P49" s="6" t="n">
        <v>0</v>
      </c>
      <c r="Q49" s="6" t="n">
        <v>0</v>
      </c>
      <c r="R49" s="6" t="n">
        <v>131</v>
      </c>
      <c r="S49" s="6" t="n">
        <v>67</v>
      </c>
      <c r="T49" s="6" t="n">
        <v>30</v>
      </c>
      <c r="U49" s="6" t="n">
        <v>79</v>
      </c>
      <c r="V49" s="6" t="n">
        <v>103</v>
      </c>
      <c r="W49" s="6" t="n">
        <v>99</v>
      </c>
      <c r="X49" s="6" t="n">
        <v>46</v>
      </c>
      <c r="Y49" s="6" t="n">
        <v>0</v>
      </c>
      <c r="Z49" s="6" t="n">
        <v>0</v>
      </c>
      <c r="AA49" s="6" t="n">
        <v>36</v>
      </c>
      <c r="AB49" s="6">
        <f>SUM(D49:AA49)</f>
        <v/>
      </c>
      <c r="AC49" s="3" t="inlineStr"/>
      <c r="AD49" s="7">
        <f>D49*0.00788713</f>
        <v/>
      </c>
      <c r="AE49" s="7">
        <f>E49*0.00788713</f>
        <v/>
      </c>
      <c r="AF49" s="7">
        <f>F49*0.00788713</f>
        <v/>
      </c>
      <c r="AG49" s="7">
        <f>G49*0.00788713</f>
        <v/>
      </c>
      <c r="AH49" s="7">
        <f>H49*0.00788713</f>
        <v/>
      </c>
      <c r="AI49" s="7">
        <f>I49*0.00788713</f>
        <v/>
      </c>
      <c r="AJ49" s="7">
        <f>J49*0.00788713</f>
        <v/>
      </c>
      <c r="AK49" s="7">
        <f>K49*0.00788713</f>
        <v/>
      </c>
      <c r="AL49" s="7">
        <f>L49*0.00788713</f>
        <v/>
      </c>
      <c r="AM49" s="7">
        <f>M49*0.00788713</f>
        <v/>
      </c>
      <c r="AN49" s="7">
        <f>N49*0.00788713</f>
        <v/>
      </c>
      <c r="AO49" s="7">
        <f>O49*0.00788713</f>
        <v/>
      </c>
      <c r="AP49" s="7">
        <f>P49*0.00788713</f>
        <v/>
      </c>
      <c r="AQ49" s="7">
        <f>Q49*0.00788713</f>
        <v/>
      </c>
      <c r="AR49" s="7">
        <f>R49*0.00788713</f>
        <v/>
      </c>
      <c r="AS49" s="7">
        <f>S49*0.00788713</f>
        <v/>
      </c>
      <c r="AT49" s="7">
        <f>T49*0.00788713</f>
        <v/>
      </c>
      <c r="AU49" s="7">
        <f>U49*0.00788713</f>
        <v/>
      </c>
      <c r="AV49" s="7">
        <f>V49*0.00788713</f>
        <v/>
      </c>
      <c r="AW49" s="7">
        <f>W49*0.00788713</f>
        <v/>
      </c>
      <c r="AX49" s="7">
        <f>X49*0.00788713</f>
        <v/>
      </c>
      <c r="AY49" s="7">
        <f>Y49*0.00788713</f>
        <v/>
      </c>
      <c r="AZ49" s="7">
        <f>Z49*0.00788713</f>
        <v/>
      </c>
      <c r="BA49" s="7">
        <f>AA49*0.00788713</f>
        <v/>
      </c>
      <c r="BB49" s="7">
        <f>SUM(AD49:BA49)</f>
        <v/>
      </c>
    </row>
    <row r="50">
      <c r="A50" t="inlineStr">
        <is>
          <t>AMD-FWDPRI-SSC</t>
        </is>
      </c>
      <c r="B50" t="inlineStr">
        <is>
          <t>FWD Priority OSC</t>
        </is>
      </c>
      <c r="C50" s="5" t="n">
        <v>46105</v>
      </c>
      <c r="D50" s="6" t="n">
        <v>151</v>
      </c>
      <c r="E50" s="6" t="n">
        <v>40</v>
      </c>
      <c r="F50" s="6" t="n">
        <v>104</v>
      </c>
      <c r="G50" s="6" t="n">
        <v>161</v>
      </c>
      <c r="H50" s="6" t="n">
        <v>101</v>
      </c>
      <c r="I50" s="6" t="n">
        <v>70</v>
      </c>
      <c r="J50" s="6" t="n">
        <v>17</v>
      </c>
      <c r="K50" s="6" t="n">
        <v>0</v>
      </c>
      <c r="L50" s="6" t="n">
        <v>0</v>
      </c>
      <c r="M50" s="6" t="n">
        <v>0</v>
      </c>
      <c r="N50" s="6" t="n">
        <v>70</v>
      </c>
      <c r="O50" s="6" t="n">
        <v>65</v>
      </c>
      <c r="P50" s="6" t="n">
        <v>2</v>
      </c>
      <c r="Q50" s="6" t="n">
        <v>1</v>
      </c>
      <c r="R50" s="6" t="n">
        <v>0</v>
      </c>
      <c r="S50" s="6" t="n">
        <v>104</v>
      </c>
      <c r="T50" s="6" t="n">
        <v>40</v>
      </c>
      <c r="U50" s="6" t="n">
        <v>96</v>
      </c>
      <c r="V50" s="6" t="n">
        <v>69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0</v>
      </c>
      <c r="AB50" s="6">
        <f>SUM(D50:AA50)</f>
        <v/>
      </c>
      <c r="AC50" s="3" t="inlineStr"/>
      <c r="AD50" s="7">
        <f>D50*0.00788713</f>
        <v/>
      </c>
      <c r="AE50" s="7">
        <f>E50*0.00788713</f>
        <v/>
      </c>
      <c r="AF50" s="7">
        <f>F50*0.00788713</f>
        <v/>
      </c>
      <c r="AG50" s="7">
        <f>G50*0.00788713</f>
        <v/>
      </c>
      <c r="AH50" s="7">
        <f>H50*0.00788713</f>
        <v/>
      </c>
      <c r="AI50" s="7">
        <f>I50*0.00788713</f>
        <v/>
      </c>
      <c r="AJ50" s="7">
        <f>J50*0.00788713</f>
        <v/>
      </c>
      <c r="AK50" s="7">
        <f>K50*0.00788713</f>
        <v/>
      </c>
      <c r="AL50" s="7">
        <f>L50*0.00788713</f>
        <v/>
      </c>
      <c r="AM50" s="7">
        <f>M50*0.00788713</f>
        <v/>
      </c>
      <c r="AN50" s="7">
        <f>N50*0.00788713</f>
        <v/>
      </c>
      <c r="AO50" s="7">
        <f>O50*0.00788713</f>
        <v/>
      </c>
      <c r="AP50" s="7">
        <f>P50*0.00788713</f>
        <v/>
      </c>
      <c r="AQ50" s="7">
        <f>Q50*0.00788713</f>
        <v/>
      </c>
      <c r="AR50" s="7">
        <f>R50*0.00788713</f>
        <v/>
      </c>
      <c r="AS50" s="7">
        <f>S50*0.00788713</f>
        <v/>
      </c>
      <c r="AT50" s="7">
        <f>T50*0.00788713</f>
        <v/>
      </c>
      <c r="AU50" s="7">
        <f>U50*0.00788713</f>
        <v/>
      </c>
      <c r="AV50" s="7">
        <f>V50*0.00788713</f>
        <v/>
      </c>
      <c r="AW50" s="7">
        <f>W50*0.00788713</f>
        <v/>
      </c>
      <c r="AX50" s="7">
        <f>X50*0.00788713</f>
        <v/>
      </c>
      <c r="AY50" s="7">
        <f>Y50*0.00788713</f>
        <v/>
      </c>
      <c r="AZ50" s="7">
        <f>Z50*0.00788713</f>
        <v/>
      </c>
      <c r="BA50" s="7">
        <f>AA50*0.00788713</f>
        <v/>
      </c>
      <c r="BB50" s="7">
        <f>SUM(AD50:BA50)</f>
        <v/>
      </c>
    </row>
    <row r="51">
      <c r="A51" t="inlineStr">
        <is>
          <t>AMD-FWDREG-SSC</t>
        </is>
      </c>
      <c r="B51" t="inlineStr">
        <is>
          <t>Forward Regular OSC</t>
        </is>
      </c>
      <c r="C51" s="5" t="n">
        <v>46098</v>
      </c>
      <c r="D51" s="6" t="n">
        <v>88</v>
      </c>
      <c r="E51" s="6" t="n">
        <v>92</v>
      </c>
      <c r="F51" s="6" t="n">
        <v>165</v>
      </c>
      <c r="G51" s="6" t="n">
        <v>371</v>
      </c>
      <c r="H51" s="6" t="n">
        <v>281</v>
      </c>
      <c r="I51" s="6" t="n">
        <v>265</v>
      </c>
      <c r="J51" s="6" t="n">
        <v>193</v>
      </c>
      <c r="K51" s="6" t="n">
        <v>1</v>
      </c>
      <c r="L51" s="6" t="n">
        <v>149</v>
      </c>
      <c r="M51" s="6" t="n">
        <v>282</v>
      </c>
      <c r="N51" s="6" t="n">
        <v>298</v>
      </c>
      <c r="O51" s="6" t="n">
        <v>278</v>
      </c>
      <c r="P51" s="6" t="n">
        <v>220</v>
      </c>
      <c r="Q51" s="6" t="n">
        <v>95</v>
      </c>
      <c r="R51" s="6" t="n">
        <v>381</v>
      </c>
      <c r="S51" s="6" t="n">
        <v>303</v>
      </c>
      <c r="T51" s="6" t="n">
        <v>196</v>
      </c>
      <c r="U51" s="6" t="n">
        <v>128</v>
      </c>
      <c r="V51" s="6" t="n">
        <v>204</v>
      </c>
      <c r="W51" s="6" t="n">
        <v>205</v>
      </c>
      <c r="X51" s="6" t="n">
        <v>182</v>
      </c>
      <c r="Y51" s="6" t="n">
        <v>151</v>
      </c>
      <c r="Z51" s="6" t="n">
        <v>0</v>
      </c>
      <c r="AA51" s="6" t="n">
        <v>123</v>
      </c>
      <c r="AB51" s="6">
        <f>SUM(D51:AA51)</f>
        <v/>
      </c>
      <c r="AC51" s="3" t="inlineStr"/>
      <c r="AD51" s="7">
        <f>D51*0.00788713</f>
        <v/>
      </c>
      <c r="AE51" s="7">
        <f>E51*0.00788713</f>
        <v/>
      </c>
      <c r="AF51" s="7">
        <f>F51*0.00788713</f>
        <v/>
      </c>
      <c r="AG51" s="7">
        <f>G51*0.00788713</f>
        <v/>
      </c>
      <c r="AH51" s="7">
        <f>H51*0.00788713</f>
        <v/>
      </c>
      <c r="AI51" s="7">
        <f>I51*0.00788713</f>
        <v/>
      </c>
      <c r="AJ51" s="7">
        <f>J51*0.00788713</f>
        <v/>
      </c>
      <c r="AK51" s="7">
        <f>K51*0.00788713</f>
        <v/>
      </c>
      <c r="AL51" s="7">
        <f>L51*0.00788713</f>
        <v/>
      </c>
      <c r="AM51" s="7">
        <f>M51*0.00788713</f>
        <v/>
      </c>
      <c r="AN51" s="7">
        <f>N51*0.00788713</f>
        <v/>
      </c>
      <c r="AO51" s="7">
        <f>O51*0.00788713</f>
        <v/>
      </c>
      <c r="AP51" s="7">
        <f>P51*0.00788713</f>
        <v/>
      </c>
      <c r="AQ51" s="7">
        <f>Q51*0.00788713</f>
        <v/>
      </c>
      <c r="AR51" s="7">
        <f>R51*0.00788713</f>
        <v/>
      </c>
      <c r="AS51" s="7">
        <f>S51*0.00788713</f>
        <v/>
      </c>
      <c r="AT51" s="7">
        <f>T51*0.00788713</f>
        <v/>
      </c>
      <c r="AU51" s="7">
        <f>U51*0.00788713</f>
        <v/>
      </c>
      <c r="AV51" s="7">
        <f>V51*0.00788713</f>
        <v/>
      </c>
      <c r="AW51" s="7">
        <f>W51*0.00788713</f>
        <v/>
      </c>
      <c r="AX51" s="7">
        <f>X51*0.00788713</f>
        <v/>
      </c>
      <c r="AY51" s="7">
        <f>Y51*0.00788713</f>
        <v/>
      </c>
      <c r="AZ51" s="7">
        <f>Z51*0.00788713</f>
        <v/>
      </c>
      <c r="BA51" s="7">
        <f>AA51*0.00788713</f>
        <v/>
      </c>
      <c r="BB51" s="7">
        <f>SUM(AD51:BA51)</f>
        <v/>
      </c>
    </row>
    <row r="52">
      <c r="A52" t="inlineStr">
        <is>
          <t>AMD-FWDREG-SSC</t>
        </is>
      </c>
      <c r="B52" t="inlineStr">
        <is>
          <t>Forward Regular OSC</t>
        </is>
      </c>
      <c r="C52" s="5" t="n">
        <v>46099</v>
      </c>
      <c r="D52" s="6" t="n">
        <v>247</v>
      </c>
      <c r="E52" s="6" t="n">
        <v>35</v>
      </c>
      <c r="F52" s="6" t="n">
        <v>255</v>
      </c>
      <c r="G52" s="6" t="n">
        <v>203</v>
      </c>
      <c r="H52" s="6" t="n">
        <v>134</v>
      </c>
      <c r="I52" s="6" t="n">
        <v>201</v>
      </c>
      <c r="J52" s="6" t="n">
        <v>157</v>
      </c>
      <c r="K52" s="6" t="n">
        <v>2</v>
      </c>
      <c r="L52" s="6" t="n">
        <v>195</v>
      </c>
      <c r="M52" s="6" t="n">
        <v>325</v>
      </c>
      <c r="N52" s="6" t="n">
        <v>310</v>
      </c>
      <c r="O52" s="6" t="n">
        <v>266</v>
      </c>
      <c r="P52" s="6" t="n">
        <v>93</v>
      </c>
      <c r="Q52" s="6" t="n">
        <v>223</v>
      </c>
      <c r="R52" s="6" t="n">
        <v>414</v>
      </c>
      <c r="S52" s="6" t="n">
        <v>393</v>
      </c>
      <c r="T52" s="6" t="n">
        <v>364</v>
      </c>
      <c r="U52" s="6" t="n">
        <v>49</v>
      </c>
      <c r="V52" s="6" t="n">
        <v>132</v>
      </c>
      <c r="W52" s="6" t="n">
        <v>166</v>
      </c>
      <c r="X52" s="6" t="n">
        <v>177</v>
      </c>
      <c r="Y52" s="6" t="n">
        <v>119</v>
      </c>
      <c r="Z52" s="6" t="n">
        <v>3</v>
      </c>
      <c r="AA52" s="6" t="n">
        <v>191</v>
      </c>
      <c r="AB52" s="6">
        <f>SUM(D52:AA52)</f>
        <v/>
      </c>
      <c r="AC52" s="3" t="inlineStr"/>
      <c r="AD52" s="7">
        <f>D52*0.00788713</f>
        <v/>
      </c>
      <c r="AE52" s="7">
        <f>E52*0.00788713</f>
        <v/>
      </c>
      <c r="AF52" s="7">
        <f>F52*0.00788713</f>
        <v/>
      </c>
      <c r="AG52" s="7">
        <f>G52*0.00788713</f>
        <v/>
      </c>
      <c r="AH52" s="7">
        <f>H52*0.00788713</f>
        <v/>
      </c>
      <c r="AI52" s="7">
        <f>I52*0.00788713</f>
        <v/>
      </c>
      <c r="AJ52" s="7">
        <f>J52*0.00788713</f>
        <v/>
      </c>
      <c r="AK52" s="7">
        <f>K52*0.00788713</f>
        <v/>
      </c>
      <c r="AL52" s="7">
        <f>L52*0.00788713</f>
        <v/>
      </c>
      <c r="AM52" s="7">
        <f>M52*0.00788713</f>
        <v/>
      </c>
      <c r="AN52" s="7">
        <f>N52*0.00788713</f>
        <v/>
      </c>
      <c r="AO52" s="7">
        <f>O52*0.00788713</f>
        <v/>
      </c>
      <c r="AP52" s="7">
        <f>P52*0.00788713</f>
        <v/>
      </c>
      <c r="AQ52" s="7">
        <f>Q52*0.00788713</f>
        <v/>
      </c>
      <c r="AR52" s="7">
        <f>R52*0.00788713</f>
        <v/>
      </c>
      <c r="AS52" s="7">
        <f>S52*0.00788713</f>
        <v/>
      </c>
      <c r="AT52" s="7">
        <f>T52*0.00788713</f>
        <v/>
      </c>
      <c r="AU52" s="7">
        <f>U52*0.00788713</f>
        <v/>
      </c>
      <c r="AV52" s="7">
        <f>V52*0.00788713</f>
        <v/>
      </c>
      <c r="AW52" s="7">
        <f>W52*0.00788713</f>
        <v/>
      </c>
      <c r="AX52" s="7">
        <f>X52*0.00788713</f>
        <v/>
      </c>
      <c r="AY52" s="7">
        <f>Y52*0.00788713</f>
        <v/>
      </c>
      <c r="AZ52" s="7">
        <f>Z52*0.00788713</f>
        <v/>
      </c>
      <c r="BA52" s="7">
        <f>AA52*0.00788713</f>
        <v/>
      </c>
      <c r="BB52" s="7">
        <f>SUM(AD52:BA52)</f>
        <v/>
      </c>
    </row>
    <row r="53">
      <c r="A53" t="inlineStr">
        <is>
          <t>AMD-FWDREG-SSC</t>
        </is>
      </c>
      <c r="B53" t="inlineStr">
        <is>
          <t>Forward Regular OSC</t>
        </is>
      </c>
      <c r="C53" s="5" t="n">
        <v>46100</v>
      </c>
      <c r="D53" s="6" t="n">
        <v>361</v>
      </c>
      <c r="E53" s="6" t="n">
        <v>99</v>
      </c>
      <c r="F53" s="6" t="n">
        <v>272</v>
      </c>
      <c r="G53" s="6" t="n">
        <v>345</v>
      </c>
      <c r="H53" s="6" t="n">
        <v>172</v>
      </c>
      <c r="I53" s="6" t="n">
        <v>273</v>
      </c>
      <c r="J53" s="6" t="n">
        <v>93</v>
      </c>
      <c r="K53" s="6" t="n">
        <v>7</v>
      </c>
      <c r="L53" s="6" t="n">
        <v>118</v>
      </c>
      <c r="M53" s="6" t="n">
        <v>266</v>
      </c>
      <c r="N53" s="6" t="n">
        <v>282</v>
      </c>
      <c r="O53" s="6" t="n">
        <v>294</v>
      </c>
      <c r="P53" s="6" t="n">
        <v>276</v>
      </c>
      <c r="Q53" s="6" t="n">
        <v>122</v>
      </c>
      <c r="R53" s="6" t="n">
        <v>186</v>
      </c>
      <c r="S53" s="6" t="n">
        <v>68</v>
      </c>
      <c r="T53" s="6" t="n">
        <v>45</v>
      </c>
      <c r="U53" s="6" t="n">
        <v>63</v>
      </c>
      <c r="V53" s="6" t="n">
        <v>68</v>
      </c>
      <c r="W53" s="6" t="n">
        <v>77</v>
      </c>
      <c r="X53" s="6" t="n">
        <v>80</v>
      </c>
      <c r="Y53" s="6" t="n">
        <v>59</v>
      </c>
      <c r="Z53" s="6" t="n">
        <v>0</v>
      </c>
      <c r="AA53" s="6" t="n">
        <v>0</v>
      </c>
      <c r="AB53" s="6">
        <f>SUM(D53:AA53)</f>
        <v/>
      </c>
      <c r="AC53" s="3" t="inlineStr"/>
      <c r="AD53" s="7">
        <f>D53*0.00788713</f>
        <v/>
      </c>
      <c r="AE53" s="7">
        <f>E53*0.00788713</f>
        <v/>
      </c>
      <c r="AF53" s="7">
        <f>F53*0.00788713</f>
        <v/>
      </c>
      <c r="AG53" s="7">
        <f>G53*0.00788713</f>
        <v/>
      </c>
      <c r="AH53" s="7">
        <f>H53*0.00788713</f>
        <v/>
      </c>
      <c r="AI53" s="7">
        <f>I53*0.00788713</f>
        <v/>
      </c>
      <c r="AJ53" s="7">
        <f>J53*0.00788713</f>
        <v/>
      </c>
      <c r="AK53" s="7">
        <f>K53*0.00788713</f>
        <v/>
      </c>
      <c r="AL53" s="7">
        <f>L53*0.00788713</f>
        <v/>
      </c>
      <c r="AM53" s="7">
        <f>M53*0.00788713</f>
        <v/>
      </c>
      <c r="AN53" s="7">
        <f>N53*0.00788713</f>
        <v/>
      </c>
      <c r="AO53" s="7">
        <f>O53*0.00788713</f>
        <v/>
      </c>
      <c r="AP53" s="7">
        <f>P53*0.00788713</f>
        <v/>
      </c>
      <c r="AQ53" s="7">
        <f>Q53*0.00788713</f>
        <v/>
      </c>
      <c r="AR53" s="7">
        <f>R53*0.00788713</f>
        <v/>
      </c>
      <c r="AS53" s="7">
        <f>S53*0.00788713</f>
        <v/>
      </c>
      <c r="AT53" s="7">
        <f>T53*0.00788713</f>
        <v/>
      </c>
      <c r="AU53" s="7">
        <f>U53*0.00788713</f>
        <v/>
      </c>
      <c r="AV53" s="7">
        <f>V53*0.00788713</f>
        <v/>
      </c>
      <c r="AW53" s="7">
        <f>W53*0.00788713</f>
        <v/>
      </c>
      <c r="AX53" s="7">
        <f>X53*0.00788713</f>
        <v/>
      </c>
      <c r="AY53" s="7">
        <f>Y53*0.00788713</f>
        <v/>
      </c>
      <c r="AZ53" s="7">
        <f>Z53*0.00788713</f>
        <v/>
      </c>
      <c r="BA53" s="7">
        <f>AA53*0.00788713</f>
        <v/>
      </c>
      <c r="BB53" s="7">
        <f>SUM(AD53:BA53)</f>
        <v/>
      </c>
    </row>
    <row r="54">
      <c r="A54" t="inlineStr">
        <is>
          <t>AMD-FWDREG-SSC</t>
        </is>
      </c>
      <c r="B54" t="inlineStr">
        <is>
          <t>Forward Regular OSC</t>
        </is>
      </c>
      <c r="C54" s="5" t="n">
        <v>46101</v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31</v>
      </c>
      <c r="M54" s="6" t="n">
        <v>254</v>
      </c>
      <c r="N54" s="6" t="n">
        <v>295</v>
      </c>
      <c r="O54" s="6" t="n">
        <v>269</v>
      </c>
      <c r="P54" s="6" t="n">
        <v>108</v>
      </c>
      <c r="Q54" s="6" t="n">
        <v>279</v>
      </c>
      <c r="R54" s="6" t="n">
        <v>351</v>
      </c>
      <c r="S54" s="6" t="n">
        <v>405</v>
      </c>
      <c r="T54" s="6" t="n">
        <v>381</v>
      </c>
      <c r="U54" s="6" t="n">
        <v>17</v>
      </c>
      <c r="V54" s="6" t="n">
        <v>272</v>
      </c>
      <c r="W54" s="6" t="n">
        <v>252</v>
      </c>
      <c r="X54" s="6" t="n">
        <v>240</v>
      </c>
      <c r="Y54" s="6" t="n">
        <v>73</v>
      </c>
      <c r="Z54" s="6" t="n">
        <v>1</v>
      </c>
      <c r="AA54" s="6" t="n">
        <v>104</v>
      </c>
      <c r="AB54" s="6">
        <f>SUM(D54:AA54)</f>
        <v/>
      </c>
      <c r="AC54" s="3" t="inlineStr"/>
      <c r="AD54" s="7">
        <f>D54*0.00788713</f>
        <v/>
      </c>
      <c r="AE54" s="7">
        <f>E54*0.00788713</f>
        <v/>
      </c>
      <c r="AF54" s="7">
        <f>F54*0.00788713</f>
        <v/>
      </c>
      <c r="AG54" s="7">
        <f>G54*0.00788713</f>
        <v/>
      </c>
      <c r="AH54" s="7">
        <f>H54*0.00788713</f>
        <v/>
      </c>
      <c r="AI54" s="7">
        <f>I54*0.00788713</f>
        <v/>
      </c>
      <c r="AJ54" s="7">
        <f>J54*0.00788713</f>
        <v/>
      </c>
      <c r="AK54" s="7">
        <f>K54*0.00788713</f>
        <v/>
      </c>
      <c r="AL54" s="7">
        <f>L54*0.00788713</f>
        <v/>
      </c>
      <c r="AM54" s="7">
        <f>M54*0.00788713</f>
        <v/>
      </c>
      <c r="AN54" s="7">
        <f>N54*0.00788713</f>
        <v/>
      </c>
      <c r="AO54" s="7">
        <f>O54*0.00788713</f>
        <v/>
      </c>
      <c r="AP54" s="7">
        <f>P54*0.00788713</f>
        <v/>
      </c>
      <c r="AQ54" s="7">
        <f>Q54*0.00788713</f>
        <v/>
      </c>
      <c r="AR54" s="7">
        <f>R54*0.00788713</f>
        <v/>
      </c>
      <c r="AS54" s="7">
        <f>S54*0.00788713</f>
        <v/>
      </c>
      <c r="AT54" s="7">
        <f>T54*0.00788713</f>
        <v/>
      </c>
      <c r="AU54" s="7">
        <f>U54*0.00788713</f>
        <v/>
      </c>
      <c r="AV54" s="7">
        <f>V54*0.00788713</f>
        <v/>
      </c>
      <c r="AW54" s="7">
        <f>W54*0.00788713</f>
        <v/>
      </c>
      <c r="AX54" s="7">
        <f>X54*0.00788713</f>
        <v/>
      </c>
      <c r="AY54" s="7">
        <f>Y54*0.00788713</f>
        <v/>
      </c>
      <c r="AZ54" s="7">
        <f>Z54*0.00788713</f>
        <v/>
      </c>
      <c r="BA54" s="7">
        <f>AA54*0.00788713</f>
        <v/>
      </c>
      <c r="BB54" s="7">
        <f>SUM(AD54:BA54)</f>
        <v/>
      </c>
    </row>
    <row r="55">
      <c r="A55" t="inlineStr">
        <is>
          <t>AMD-FWDREG-SSC</t>
        </is>
      </c>
      <c r="B55" t="inlineStr">
        <is>
          <t>Forward Regular OSC</t>
        </is>
      </c>
      <c r="C55" s="5" t="n">
        <v>46102</v>
      </c>
      <c r="D55" s="6" t="n">
        <v>227</v>
      </c>
      <c r="E55" s="6" t="n">
        <v>89</v>
      </c>
      <c r="F55" s="6" t="n">
        <v>220</v>
      </c>
      <c r="G55" s="6" t="n">
        <v>226</v>
      </c>
      <c r="H55" s="6" t="n">
        <v>129</v>
      </c>
      <c r="I55" s="6" t="n">
        <v>108</v>
      </c>
      <c r="J55" s="6" t="n">
        <v>115</v>
      </c>
      <c r="K55" s="6" t="n">
        <v>2</v>
      </c>
      <c r="L55" s="6" t="n">
        <v>0</v>
      </c>
      <c r="M55" s="6" t="n">
        <v>268</v>
      </c>
      <c r="N55" s="6" t="n">
        <v>266</v>
      </c>
      <c r="O55" s="6" t="n">
        <v>234</v>
      </c>
      <c r="P55" s="6" t="n">
        <v>160</v>
      </c>
      <c r="Q55" s="6" t="n">
        <v>142</v>
      </c>
      <c r="R55" s="6" t="n">
        <v>62</v>
      </c>
      <c r="S55" s="6" t="n">
        <v>59</v>
      </c>
      <c r="T55" s="6" t="n">
        <v>67</v>
      </c>
      <c r="U55" s="6" t="n">
        <v>5</v>
      </c>
      <c r="V55" s="6" t="n">
        <v>0</v>
      </c>
      <c r="W55" s="6" t="n">
        <v>7</v>
      </c>
      <c r="X55" s="6" t="n">
        <v>0</v>
      </c>
      <c r="Y55" s="6" t="n">
        <v>0</v>
      </c>
      <c r="Z55" s="6" t="n">
        <v>0</v>
      </c>
      <c r="AA55" s="6" t="n">
        <v>9</v>
      </c>
      <c r="AB55" s="6">
        <f>SUM(D55:AA55)</f>
        <v/>
      </c>
      <c r="AC55" s="3" t="inlineStr"/>
      <c r="AD55" s="7">
        <f>D55*0.00788713</f>
        <v/>
      </c>
      <c r="AE55" s="7">
        <f>E55*0.00788713</f>
        <v/>
      </c>
      <c r="AF55" s="7">
        <f>F55*0.00788713</f>
        <v/>
      </c>
      <c r="AG55" s="7">
        <f>G55*0.00788713</f>
        <v/>
      </c>
      <c r="AH55" s="7">
        <f>H55*0.00788713</f>
        <v/>
      </c>
      <c r="AI55" s="7">
        <f>I55*0.00788713</f>
        <v/>
      </c>
      <c r="AJ55" s="7">
        <f>J55*0.00788713</f>
        <v/>
      </c>
      <c r="AK55" s="7">
        <f>K55*0.00788713</f>
        <v/>
      </c>
      <c r="AL55" s="7">
        <f>L55*0.00788713</f>
        <v/>
      </c>
      <c r="AM55" s="7">
        <f>M55*0.00788713</f>
        <v/>
      </c>
      <c r="AN55" s="7">
        <f>N55*0.00788713</f>
        <v/>
      </c>
      <c r="AO55" s="7">
        <f>O55*0.00788713</f>
        <v/>
      </c>
      <c r="AP55" s="7">
        <f>P55*0.00788713</f>
        <v/>
      </c>
      <c r="AQ55" s="7">
        <f>Q55*0.00788713</f>
        <v/>
      </c>
      <c r="AR55" s="7">
        <f>R55*0.00788713</f>
        <v/>
      </c>
      <c r="AS55" s="7">
        <f>S55*0.00788713</f>
        <v/>
      </c>
      <c r="AT55" s="7">
        <f>T55*0.00788713</f>
        <v/>
      </c>
      <c r="AU55" s="7">
        <f>U55*0.00788713</f>
        <v/>
      </c>
      <c r="AV55" s="7">
        <f>V55*0.00788713</f>
        <v/>
      </c>
      <c r="AW55" s="7">
        <f>W55*0.00788713</f>
        <v/>
      </c>
      <c r="AX55" s="7">
        <f>X55*0.00788713</f>
        <v/>
      </c>
      <c r="AY55" s="7">
        <f>Y55*0.00788713</f>
        <v/>
      </c>
      <c r="AZ55" s="7">
        <f>Z55*0.00788713</f>
        <v/>
      </c>
      <c r="BA55" s="7">
        <f>AA55*0.00788713</f>
        <v/>
      </c>
      <c r="BB55" s="7">
        <f>SUM(AD55:BA55)</f>
        <v/>
      </c>
    </row>
    <row r="56">
      <c r="A56" t="inlineStr">
        <is>
          <t>AMD-FWDREG-SSC</t>
        </is>
      </c>
      <c r="B56" t="inlineStr">
        <is>
          <t>Forward Regular OSC</t>
        </is>
      </c>
      <c r="C56" s="5" t="n">
        <v>46103</v>
      </c>
      <c r="D56" s="6" t="n">
        <v>275</v>
      </c>
      <c r="E56" s="6" t="n">
        <v>62</v>
      </c>
      <c r="F56" s="6" t="n">
        <v>184</v>
      </c>
      <c r="G56" s="6" t="n">
        <v>254</v>
      </c>
      <c r="H56" s="6" t="n">
        <v>146</v>
      </c>
      <c r="I56" s="6" t="n">
        <v>130</v>
      </c>
      <c r="J56" s="6" t="n">
        <v>15</v>
      </c>
      <c r="K56" s="6" t="n">
        <v>1</v>
      </c>
      <c r="L56" s="6" t="n">
        <v>0</v>
      </c>
      <c r="M56" s="6" t="n">
        <v>227</v>
      </c>
      <c r="N56" s="6" t="n">
        <v>268</v>
      </c>
      <c r="O56" s="6" t="n">
        <v>227</v>
      </c>
      <c r="P56" s="6" t="n">
        <v>83</v>
      </c>
      <c r="Q56" s="6" t="n">
        <v>48</v>
      </c>
      <c r="R56" s="6" t="n">
        <v>258</v>
      </c>
      <c r="S56" s="6" t="n">
        <v>96</v>
      </c>
      <c r="T56" s="6" t="n">
        <v>5</v>
      </c>
      <c r="U56" s="6" t="n">
        <v>18</v>
      </c>
      <c r="V56" s="6" t="n">
        <v>10</v>
      </c>
      <c r="W56" s="6" t="n">
        <v>44</v>
      </c>
      <c r="X56" s="6" t="n">
        <v>49</v>
      </c>
      <c r="Y56" s="6" t="n">
        <v>50</v>
      </c>
      <c r="Z56" s="6" t="n">
        <v>2</v>
      </c>
      <c r="AA56" s="6" t="n">
        <v>0</v>
      </c>
      <c r="AB56" s="6">
        <f>SUM(D56:AA56)</f>
        <v/>
      </c>
      <c r="AC56" s="3" t="inlineStr"/>
      <c r="AD56" s="7">
        <f>D56*0.00788713</f>
        <v/>
      </c>
      <c r="AE56" s="7">
        <f>E56*0.00788713</f>
        <v/>
      </c>
      <c r="AF56" s="7">
        <f>F56*0.00788713</f>
        <v/>
      </c>
      <c r="AG56" s="7">
        <f>G56*0.00788713</f>
        <v/>
      </c>
      <c r="AH56" s="7">
        <f>H56*0.00788713</f>
        <v/>
      </c>
      <c r="AI56" s="7">
        <f>I56*0.00788713</f>
        <v/>
      </c>
      <c r="AJ56" s="7">
        <f>J56*0.00788713</f>
        <v/>
      </c>
      <c r="AK56" s="7">
        <f>K56*0.00788713</f>
        <v/>
      </c>
      <c r="AL56" s="7">
        <f>L56*0.00788713</f>
        <v/>
      </c>
      <c r="AM56" s="7">
        <f>M56*0.00788713</f>
        <v/>
      </c>
      <c r="AN56" s="7">
        <f>N56*0.00788713</f>
        <v/>
      </c>
      <c r="AO56" s="7">
        <f>O56*0.00788713</f>
        <v/>
      </c>
      <c r="AP56" s="7">
        <f>P56*0.00788713</f>
        <v/>
      </c>
      <c r="AQ56" s="7">
        <f>Q56*0.00788713</f>
        <v/>
      </c>
      <c r="AR56" s="7">
        <f>R56*0.00788713</f>
        <v/>
      </c>
      <c r="AS56" s="7">
        <f>S56*0.00788713</f>
        <v/>
      </c>
      <c r="AT56" s="7">
        <f>T56*0.00788713</f>
        <v/>
      </c>
      <c r="AU56" s="7">
        <f>U56*0.00788713</f>
        <v/>
      </c>
      <c r="AV56" s="7">
        <f>V56*0.00788713</f>
        <v/>
      </c>
      <c r="AW56" s="7">
        <f>W56*0.00788713</f>
        <v/>
      </c>
      <c r="AX56" s="7">
        <f>X56*0.00788713</f>
        <v/>
      </c>
      <c r="AY56" s="7">
        <f>Y56*0.00788713</f>
        <v/>
      </c>
      <c r="AZ56" s="7">
        <f>Z56*0.00788713</f>
        <v/>
      </c>
      <c r="BA56" s="7">
        <f>AA56*0.00788713</f>
        <v/>
      </c>
      <c r="BB56" s="7">
        <f>SUM(AD56:BA56)</f>
        <v/>
      </c>
    </row>
    <row r="57">
      <c r="A57" t="inlineStr">
        <is>
          <t>AMD-FWDREG-SSC</t>
        </is>
      </c>
      <c r="B57" t="inlineStr">
        <is>
          <t>Forward Regular OSC</t>
        </is>
      </c>
      <c r="C57" s="5" t="n">
        <v>46104</v>
      </c>
      <c r="D57" s="6" t="n">
        <v>201</v>
      </c>
      <c r="E57" s="6" t="n">
        <v>154</v>
      </c>
      <c r="F57" s="6" t="n">
        <v>5</v>
      </c>
      <c r="G57" s="6" t="n">
        <v>222</v>
      </c>
      <c r="H57" s="6" t="n">
        <v>114</v>
      </c>
      <c r="I57" s="6" t="n">
        <v>147</v>
      </c>
      <c r="J57" s="6" t="n">
        <v>7</v>
      </c>
      <c r="K57" s="6" t="n">
        <v>0</v>
      </c>
      <c r="L57" s="6" t="n">
        <v>6</v>
      </c>
      <c r="M57" s="6" t="n">
        <v>396</v>
      </c>
      <c r="N57" s="6" t="n">
        <v>218</v>
      </c>
      <c r="O57" s="6" t="n">
        <v>1</v>
      </c>
      <c r="P57" s="6" t="n">
        <v>0</v>
      </c>
      <c r="Q57" s="6" t="n">
        <v>0</v>
      </c>
      <c r="R57" s="6" t="n">
        <v>89</v>
      </c>
      <c r="S57" s="6" t="n">
        <v>68</v>
      </c>
      <c r="T57" s="6" t="n">
        <v>7</v>
      </c>
      <c r="U57" s="6" t="n">
        <v>62</v>
      </c>
      <c r="V57" s="6" t="n">
        <v>38</v>
      </c>
      <c r="W57" s="6" t="n">
        <v>38</v>
      </c>
      <c r="X57" s="6" t="n">
        <v>29</v>
      </c>
      <c r="Y57" s="6" t="n">
        <v>9</v>
      </c>
      <c r="Z57" s="6" t="n">
        <v>0</v>
      </c>
      <c r="AA57" s="6" t="n">
        <v>36</v>
      </c>
      <c r="AB57" s="6">
        <f>SUM(D57:AA57)</f>
        <v/>
      </c>
      <c r="AC57" s="3" t="inlineStr"/>
      <c r="AD57" s="7">
        <f>D57*0.00788713</f>
        <v/>
      </c>
      <c r="AE57" s="7">
        <f>E57*0.00788713</f>
        <v/>
      </c>
      <c r="AF57" s="7">
        <f>F57*0.00788713</f>
        <v/>
      </c>
      <c r="AG57" s="7">
        <f>G57*0.00788713</f>
        <v/>
      </c>
      <c r="AH57" s="7">
        <f>H57*0.00788713</f>
        <v/>
      </c>
      <c r="AI57" s="7">
        <f>I57*0.00788713</f>
        <v/>
      </c>
      <c r="AJ57" s="7">
        <f>J57*0.00788713</f>
        <v/>
      </c>
      <c r="AK57" s="7">
        <f>K57*0.00788713</f>
        <v/>
      </c>
      <c r="AL57" s="7">
        <f>L57*0.00788713</f>
        <v/>
      </c>
      <c r="AM57" s="7">
        <f>M57*0.00788713</f>
        <v/>
      </c>
      <c r="AN57" s="7">
        <f>N57*0.00788713</f>
        <v/>
      </c>
      <c r="AO57" s="7">
        <f>O57*0.00788713</f>
        <v/>
      </c>
      <c r="AP57" s="7">
        <f>P57*0.00788713</f>
        <v/>
      </c>
      <c r="AQ57" s="7">
        <f>Q57*0.00788713</f>
        <v/>
      </c>
      <c r="AR57" s="7">
        <f>R57*0.00788713</f>
        <v/>
      </c>
      <c r="AS57" s="7">
        <f>S57*0.00788713</f>
        <v/>
      </c>
      <c r="AT57" s="7">
        <f>T57*0.00788713</f>
        <v/>
      </c>
      <c r="AU57" s="7">
        <f>U57*0.00788713</f>
        <v/>
      </c>
      <c r="AV57" s="7">
        <f>V57*0.00788713</f>
        <v/>
      </c>
      <c r="AW57" s="7">
        <f>W57*0.00788713</f>
        <v/>
      </c>
      <c r="AX57" s="7">
        <f>X57*0.00788713</f>
        <v/>
      </c>
      <c r="AY57" s="7">
        <f>Y57*0.00788713</f>
        <v/>
      </c>
      <c r="AZ57" s="7">
        <f>Z57*0.00788713</f>
        <v/>
      </c>
      <c r="BA57" s="7">
        <f>AA57*0.00788713</f>
        <v/>
      </c>
      <c r="BB57" s="7">
        <f>SUM(AD57:BA57)</f>
        <v/>
      </c>
    </row>
    <row r="58">
      <c r="A58" t="inlineStr">
        <is>
          <t>AMD-FWDREG-SSC</t>
        </is>
      </c>
      <c r="B58" t="inlineStr">
        <is>
          <t>Forward Regular OSC</t>
        </is>
      </c>
      <c r="C58" s="5" t="n">
        <v>46105</v>
      </c>
      <c r="D58" s="6" t="n">
        <v>447</v>
      </c>
      <c r="E58" s="6" t="n">
        <v>81</v>
      </c>
      <c r="F58" s="6" t="n">
        <v>256</v>
      </c>
      <c r="G58" s="6" t="n">
        <v>219</v>
      </c>
      <c r="H58" s="6" t="n">
        <v>138</v>
      </c>
      <c r="I58" s="6" t="n">
        <v>263</v>
      </c>
      <c r="J58" s="6" t="n">
        <v>218</v>
      </c>
      <c r="K58" s="6" t="n">
        <v>0</v>
      </c>
      <c r="L58" s="6" t="n">
        <v>1</v>
      </c>
      <c r="M58" s="6" t="n">
        <v>448</v>
      </c>
      <c r="N58" s="6" t="n">
        <v>297</v>
      </c>
      <c r="O58" s="6" t="n">
        <v>256</v>
      </c>
      <c r="P58" s="6" t="n">
        <v>159</v>
      </c>
      <c r="Q58" s="6" t="n">
        <v>355</v>
      </c>
      <c r="R58" s="6" t="n">
        <v>189</v>
      </c>
      <c r="S58" s="6" t="n">
        <v>10</v>
      </c>
      <c r="T58" s="6" t="n">
        <v>39</v>
      </c>
      <c r="U58" s="6" t="n">
        <v>96</v>
      </c>
      <c r="V58" s="6" t="n">
        <v>62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0</v>
      </c>
      <c r="AB58" s="6">
        <f>SUM(D58:AA58)</f>
        <v/>
      </c>
      <c r="AC58" s="3" t="inlineStr"/>
      <c r="AD58" s="7">
        <f>D58*0.00788713</f>
        <v/>
      </c>
      <c r="AE58" s="7">
        <f>E58*0.00788713</f>
        <v/>
      </c>
      <c r="AF58" s="7">
        <f>F58*0.00788713</f>
        <v/>
      </c>
      <c r="AG58" s="7">
        <f>G58*0.00788713</f>
        <v/>
      </c>
      <c r="AH58" s="7">
        <f>H58*0.00788713</f>
        <v/>
      </c>
      <c r="AI58" s="7">
        <f>I58*0.00788713</f>
        <v/>
      </c>
      <c r="AJ58" s="7">
        <f>J58*0.00788713</f>
        <v/>
      </c>
      <c r="AK58" s="7">
        <f>K58*0.00788713</f>
        <v/>
      </c>
      <c r="AL58" s="7">
        <f>L58*0.00788713</f>
        <v/>
      </c>
      <c r="AM58" s="7">
        <f>M58*0.00788713</f>
        <v/>
      </c>
      <c r="AN58" s="7">
        <f>N58*0.00788713</f>
        <v/>
      </c>
      <c r="AO58" s="7">
        <f>O58*0.00788713</f>
        <v/>
      </c>
      <c r="AP58" s="7">
        <f>P58*0.00788713</f>
        <v/>
      </c>
      <c r="AQ58" s="7">
        <f>Q58*0.00788713</f>
        <v/>
      </c>
      <c r="AR58" s="7">
        <f>R58*0.00788713</f>
        <v/>
      </c>
      <c r="AS58" s="7">
        <f>S58*0.00788713</f>
        <v/>
      </c>
      <c r="AT58" s="7">
        <f>T58*0.00788713</f>
        <v/>
      </c>
      <c r="AU58" s="7">
        <f>U58*0.00788713</f>
        <v/>
      </c>
      <c r="AV58" s="7">
        <f>V58*0.00788713</f>
        <v/>
      </c>
      <c r="AW58" s="7">
        <f>W58*0.00788713</f>
        <v/>
      </c>
      <c r="AX58" s="7">
        <f>X58*0.00788713</f>
        <v/>
      </c>
      <c r="AY58" s="7">
        <f>Y58*0.00788713</f>
        <v/>
      </c>
      <c r="AZ58" s="7">
        <f>Z58*0.00788713</f>
        <v/>
      </c>
      <c r="BA58" s="7">
        <f>AA58*0.00788713</f>
        <v/>
      </c>
      <c r="BB58" s="7">
        <f>SUM(AD58:BA58)</f>
        <v/>
      </c>
    </row>
    <row r="59">
      <c r="A59" t="inlineStr">
        <is>
          <t>AMD-INTRA-SSC</t>
        </is>
      </c>
      <c r="B59" t="inlineStr">
        <is>
          <t>Forward Regular OSC</t>
        </is>
      </c>
      <c r="C59" s="5" t="n">
        <v>46098</v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Q59" s="6" t="n">
        <v>0</v>
      </c>
      <c r="R59" s="6" t="n">
        <v>0</v>
      </c>
      <c r="S59" s="6" t="n">
        <v>0</v>
      </c>
      <c r="T59" s="6" t="n">
        <v>7</v>
      </c>
      <c r="U59" s="6" t="n">
        <v>6</v>
      </c>
      <c r="V59" s="6" t="n">
        <v>0</v>
      </c>
      <c r="W59" s="6" t="n">
        <v>0</v>
      </c>
      <c r="X59" s="6" t="n">
        <v>0</v>
      </c>
      <c r="Y59" s="6" t="n">
        <v>6</v>
      </c>
      <c r="Z59" s="6" t="n">
        <v>10</v>
      </c>
      <c r="AA59" s="6" t="n">
        <v>7</v>
      </c>
      <c r="AB59" s="6">
        <f>SUM(D59:AA59)</f>
        <v/>
      </c>
      <c r="AC59" s="3" t="inlineStr"/>
      <c r="AD59" s="7">
        <f>D59*0.00788713</f>
        <v/>
      </c>
      <c r="AE59" s="7">
        <f>E59*0.00788713</f>
        <v/>
      </c>
      <c r="AF59" s="7">
        <f>F59*0.00788713</f>
        <v/>
      </c>
      <c r="AG59" s="7">
        <f>G59*0.00788713</f>
        <v/>
      </c>
      <c r="AH59" s="7">
        <f>H59*0.00788713</f>
        <v/>
      </c>
      <c r="AI59" s="7">
        <f>I59*0.00788713</f>
        <v/>
      </c>
      <c r="AJ59" s="7">
        <f>J59*0.00788713</f>
        <v/>
      </c>
      <c r="AK59" s="7">
        <f>K59*0.00788713</f>
        <v/>
      </c>
      <c r="AL59" s="7">
        <f>L59*0.00788713</f>
        <v/>
      </c>
      <c r="AM59" s="7">
        <f>M59*0.00788713</f>
        <v/>
      </c>
      <c r="AN59" s="7">
        <f>N59*0.00788713</f>
        <v/>
      </c>
      <c r="AO59" s="7">
        <f>O59*0.00788713</f>
        <v/>
      </c>
      <c r="AP59" s="7">
        <f>P59*0.00788713</f>
        <v/>
      </c>
      <c r="AQ59" s="7">
        <f>Q59*0.00788713</f>
        <v/>
      </c>
      <c r="AR59" s="7">
        <f>R59*0.00788713</f>
        <v/>
      </c>
      <c r="AS59" s="7">
        <f>S59*0.00788713</f>
        <v/>
      </c>
      <c r="AT59" s="7">
        <f>T59*0.00788713</f>
        <v/>
      </c>
      <c r="AU59" s="7">
        <f>U59*0.00788713</f>
        <v/>
      </c>
      <c r="AV59" s="7">
        <f>V59*0.00788713</f>
        <v/>
      </c>
      <c r="AW59" s="7">
        <f>W59*0.00788713</f>
        <v/>
      </c>
      <c r="AX59" s="7">
        <f>X59*0.00788713</f>
        <v/>
      </c>
      <c r="AY59" s="7">
        <f>Y59*0.00788713</f>
        <v/>
      </c>
      <c r="AZ59" s="7">
        <f>Z59*0.00788713</f>
        <v/>
      </c>
      <c r="BA59" s="7">
        <f>AA59*0.00788713</f>
        <v/>
      </c>
      <c r="BB59" s="7">
        <f>SUM(AD59:BA59)</f>
        <v/>
      </c>
    </row>
    <row r="60">
      <c r="A60" t="inlineStr">
        <is>
          <t>AMD-INTRA-SSC</t>
        </is>
      </c>
      <c r="B60" t="inlineStr">
        <is>
          <t>Forward Regular OSC</t>
        </is>
      </c>
      <c r="C60" s="5" t="n">
        <v>46099</v>
      </c>
      <c r="D60" s="6" t="n">
        <v>13</v>
      </c>
      <c r="E60" s="6" t="n">
        <v>5</v>
      </c>
      <c r="F60" s="6" t="n">
        <v>10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0</v>
      </c>
      <c r="Q60" s="6" t="n">
        <v>6</v>
      </c>
      <c r="R60" s="6" t="n">
        <v>6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8</v>
      </c>
      <c r="Z60" s="6" t="n">
        <v>0</v>
      </c>
      <c r="AA60" s="6" t="n">
        <v>11</v>
      </c>
      <c r="AB60" s="6">
        <f>SUM(D60:AA60)</f>
        <v/>
      </c>
      <c r="AC60" s="3" t="inlineStr"/>
      <c r="AD60" s="7">
        <f>D60*0.00788713</f>
        <v/>
      </c>
      <c r="AE60" s="7">
        <f>E60*0.00788713</f>
        <v/>
      </c>
      <c r="AF60" s="7">
        <f>F60*0.00788713</f>
        <v/>
      </c>
      <c r="AG60" s="7">
        <f>G60*0.00788713</f>
        <v/>
      </c>
      <c r="AH60" s="7">
        <f>H60*0.00788713</f>
        <v/>
      </c>
      <c r="AI60" s="7">
        <f>I60*0.00788713</f>
        <v/>
      </c>
      <c r="AJ60" s="7">
        <f>J60*0.00788713</f>
        <v/>
      </c>
      <c r="AK60" s="7">
        <f>K60*0.00788713</f>
        <v/>
      </c>
      <c r="AL60" s="7">
        <f>L60*0.00788713</f>
        <v/>
      </c>
      <c r="AM60" s="7">
        <f>M60*0.00788713</f>
        <v/>
      </c>
      <c r="AN60" s="7">
        <f>N60*0.00788713</f>
        <v/>
      </c>
      <c r="AO60" s="7">
        <f>O60*0.00788713</f>
        <v/>
      </c>
      <c r="AP60" s="7">
        <f>P60*0.00788713</f>
        <v/>
      </c>
      <c r="AQ60" s="7">
        <f>Q60*0.00788713</f>
        <v/>
      </c>
      <c r="AR60" s="7">
        <f>R60*0.00788713</f>
        <v/>
      </c>
      <c r="AS60" s="7">
        <f>S60*0.00788713</f>
        <v/>
      </c>
      <c r="AT60" s="7">
        <f>T60*0.00788713</f>
        <v/>
      </c>
      <c r="AU60" s="7">
        <f>U60*0.00788713</f>
        <v/>
      </c>
      <c r="AV60" s="7">
        <f>V60*0.00788713</f>
        <v/>
      </c>
      <c r="AW60" s="7">
        <f>W60*0.00788713</f>
        <v/>
      </c>
      <c r="AX60" s="7">
        <f>X60*0.00788713</f>
        <v/>
      </c>
      <c r="AY60" s="7">
        <f>Y60*0.00788713</f>
        <v/>
      </c>
      <c r="AZ60" s="7">
        <f>Z60*0.00788713</f>
        <v/>
      </c>
      <c r="BA60" s="7">
        <f>AA60*0.00788713</f>
        <v/>
      </c>
      <c r="BB60" s="7">
        <f>SUM(AD60:BA60)</f>
        <v/>
      </c>
    </row>
    <row r="61">
      <c r="A61" t="inlineStr">
        <is>
          <t>AMD-INTRA-SSC</t>
        </is>
      </c>
      <c r="B61" t="inlineStr">
        <is>
          <t>Forward Regular OSC</t>
        </is>
      </c>
      <c r="C61" s="5" t="n">
        <v>46100</v>
      </c>
      <c r="D61" s="6" t="n">
        <v>12</v>
      </c>
      <c r="E61" s="6" t="n">
        <v>3</v>
      </c>
      <c r="F61" s="6" t="n">
        <v>7</v>
      </c>
      <c r="G61" s="6" t="n">
        <v>0</v>
      </c>
      <c r="H61" s="6" t="n">
        <v>0</v>
      </c>
      <c r="I61" s="6" t="n">
        <v>3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0</v>
      </c>
      <c r="Q61" s="6" t="n">
        <v>6</v>
      </c>
      <c r="R61" s="6" t="n">
        <v>6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1</v>
      </c>
      <c r="X61" s="6" t="n">
        <v>1</v>
      </c>
      <c r="Y61" s="6" t="n">
        <v>6</v>
      </c>
      <c r="Z61" s="6" t="n">
        <v>0</v>
      </c>
      <c r="AA61" s="6" t="n">
        <v>10</v>
      </c>
      <c r="AB61" s="6">
        <f>SUM(D61:AA61)</f>
        <v/>
      </c>
      <c r="AC61" s="3" t="inlineStr"/>
      <c r="AD61" s="7">
        <f>D61*0.00788713</f>
        <v/>
      </c>
      <c r="AE61" s="7">
        <f>E61*0.00788713</f>
        <v/>
      </c>
      <c r="AF61" s="7">
        <f>F61*0.00788713</f>
        <v/>
      </c>
      <c r="AG61" s="7">
        <f>G61*0.00788713</f>
        <v/>
      </c>
      <c r="AH61" s="7">
        <f>H61*0.00788713</f>
        <v/>
      </c>
      <c r="AI61" s="7">
        <f>I61*0.00788713</f>
        <v/>
      </c>
      <c r="AJ61" s="7">
        <f>J61*0.00788713</f>
        <v/>
      </c>
      <c r="AK61" s="7">
        <f>K61*0.00788713</f>
        <v/>
      </c>
      <c r="AL61" s="7">
        <f>L61*0.00788713</f>
        <v/>
      </c>
      <c r="AM61" s="7">
        <f>M61*0.00788713</f>
        <v/>
      </c>
      <c r="AN61" s="7">
        <f>N61*0.00788713</f>
        <v/>
      </c>
      <c r="AO61" s="7">
        <f>O61*0.00788713</f>
        <v/>
      </c>
      <c r="AP61" s="7">
        <f>P61*0.00788713</f>
        <v/>
      </c>
      <c r="AQ61" s="7">
        <f>Q61*0.00788713</f>
        <v/>
      </c>
      <c r="AR61" s="7">
        <f>R61*0.00788713</f>
        <v/>
      </c>
      <c r="AS61" s="7">
        <f>S61*0.00788713</f>
        <v/>
      </c>
      <c r="AT61" s="7">
        <f>T61*0.00788713</f>
        <v/>
      </c>
      <c r="AU61" s="7">
        <f>U61*0.00788713</f>
        <v/>
      </c>
      <c r="AV61" s="7">
        <f>V61*0.00788713</f>
        <v/>
      </c>
      <c r="AW61" s="7">
        <f>W61*0.00788713</f>
        <v/>
      </c>
      <c r="AX61" s="7">
        <f>X61*0.00788713</f>
        <v/>
      </c>
      <c r="AY61" s="7">
        <f>Y61*0.00788713</f>
        <v/>
      </c>
      <c r="AZ61" s="7">
        <f>Z61*0.00788713</f>
        <v/>
      </c>
      <c r="BA61" s="7">
        <f>AA61*0.00788713</f>
        <v/>
      </c>
      <c r="BB61" s="7">
        <f>SUM(AD61:BA61)</f>
        <v/>
      </c>
    </row>
    <row r="62">
      <c r="A62" t="inlineStr">
        <is>
          <t>AMD-INTRA-SSC</t>
        </is>
      </c>
      <c r="B62" t="inlineStr">
        <is>
          <t>Forward Regular OSC</t>
        </is>
      </c>
      <c r="C62" s="5" t="n">
        <v>46101</v>
      </c>
      <c r="D62" s="6" t="n">
        <v>9</v>
      </c>
      <c r="E62" s="6" t="n">
        <v>0</v>
      </c>
      <c r="F62" s="6" t="n">
        <v>2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0</v>
      </c>
      <c r="M62" s="6" t="n">
        <v>6</v>
      </c>
      <c r="N62" s="6" t="n">
        <v>0</v>
      </c>
      <c r="O62" s="6" t="n">
        <v>0</v>
      </c>
      <c r="P62" s="6" t="n">
        <v>0</v>
      </c>
      <c r="Q62" s="6" t="n">
        <v>9</v>
      </c>
      <c r="R62" s="6" t="n">
        <v>1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4</v>
      </c>
      <c r="Z62" s="6" t="n">
        <v>8</v>
      </c>
      <c r="AA62" s="6" t="n">
        <v>10</v>
      </c>
      <c r="AB62" s="6">
        <f>SUM(D62:AA62)</f>
        <v/>
      </c>
      <c r="AC62" s="3" t="inlineStr"/>
      <c r="AD62" s="7">
        <f>D62*0.00788713</f>
        <v/>
      </c>
      <c r="AE62" s="7">
        <f>E62*0.00788713</f>
        <v/>
      </c>
      <c r="AF62" s="7">
        <f>F62*0.00788713</f>
        <v/>
      </c>
      <c r="AG62" s="7">
        <f>G62*0.00788713</f>
        <v/>
      </c>
      <c r="AH62" s="7">
        <f>H62*0.00788713</f>
        <v/>
      </c>
      <c r="AI62" s="7">
        <f>I62*0.00788713</f>
        <v/>
      </c>
      <c r="AJ62" s="7">
        <f>J62*0.00788713</f>
        <v/>
      </c>
      <c r="AK62" s="7">
        <f>K62*0.00788713</f>
        <v/>
      </c>
      <c r="AL62" s="7">
        <f>L62*0.00788713</f>
        <v/>
      </c>
      <c r="AM62" s="7">
        <f>M62*0.00788713</f>
        <v/>
      </c>
      <c r="AN62" s="7">
        <f>N62*0.00788713</f>
        <v/>
      </c>
      <c r="AO62" s="7">
        <f>O62*0.00788713</f>
        <v/>
      </c>
      <c r="AP62" s="7">
        <f>P62*0.00788713</f>
        <v/>
      </c>
      <c r="AQ62" s="7">
        <f>Q62*0.00788713</f>
        <v/>
      </c>
      <c r="AR62" s="7">
        <f>R62*0.00788713</f>
        <v/>
      </c>
      <c r="AS62" s="7">
        <f>S62*0.00788713</f>
        <v/>
      </c>
      <c r="AT62" s="7">
        <f>T62*0.00788713</f>
        <v/>
      </c>
      <c r="AU62" s="7">
        <f>U62*0.00788713</f>
        <v/>
      </c>
      <c r="AV62" s="7">
        <f>V62*0.00788713</f>
        <v/>
      </c>
      <c r="AW62" s="7">
        <f>W62*0.00788713</f>
        <v/>
      </c>
      <c r="AX62" s="7">
        <f>X62*0.00788713</f>
        <v/>
      </c>
      <c r="AY62" s="7">
        <f>Y62*0.00788713</f>
        <v/>
      </c>
      <c r="AZ62" s="7">
        <f>Z62*0.00788713</f>
        <v/>
      </c>
      <c r="BA62" s="7">
        <f>AA62*0.00788713</f>
        <v/>
      </c>
      <c r="BB62" s="7">
        <f>SUM(AD62:BA62)</f>
        <v/>
      </c>
    </row>
    <row r="63">
      <c r="A63" t="inlineStr">
        <is>
          <t>AMD-INTRA-SSC</t>
        </is>
      </c>
      <c r="B63" t="inlineStr">
        <is>
          <t>Forward Regular OSC</t>
        </is>
      </c>
      <c r="C63" s="5" t="n">
        <v>46102</v>
      </c>
      <c r="D63" s="6" t="n">
        <v>7</v>
      </c>
      <c r="E63" s="6" t="n">
        <v>5</v>
      </c>
      <c r="F63" s="6" t="n">
        <v>5</v>
      </c>
      <c r="G63" s="6" t="n">
        <v>1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10</v>
      </c>
      <c r="N63" s="6" t="n">
        <v>0</v>
      </c>
      <c r="O63" s="6" t="n">
        <v>0</v>
      </c>
      <c r="P63" s="6" t="n">
        <v>0</v>
      </c>
      <c r="Q63" s="6" t="n">
        <v>0</v>
      </c>
      <c r="R63" s="6" t="n">
        <v>7</v>
      </c>
      <c r="S63" s="6" t="n">
        <v>0</v>
      </c>
      <c r="T63" s="6" t="n">
        <v>0</v>
      </c>
      <c r="U63" s="6" t="n">
        <v>0</v>
      </c>
      <c r="V63" s="6" t="n">
        <v>0</v>
      </c>
      <c r="W63" s="6" t="n">
        <v>0</v>
      </c>
      <c r="X63" s="6" t="n">
        <v>8</v>
      </c>
      <c r="Y63" s="6" t="n">
        <v>1</v>
      </c>
      <c r="Z63" s="6" t="n">
        <v>0</v>
      </c>
      <c r="AA63" s="6" t="n">
        <v>12</v>
      </c>
      <c r="AB63" s="6">
        <f>SUM(D63:AA63)</f>
        <v/>
      </c>
      <c r="AC63" s="3" t="inlineStr"/>
      <c r="AD63" s="7">
        <f>D63*0.00788713</f>
        <v/>
      </c>
      <c r="AE63" s="7">
        <f>E63*0.00788713</f>
        <v/>
      </c>
      <c r="AF63" s="7">
        <f>F63*0.00788713</f>
        <v/>
      </c>
      <c r="AG63" s="7">
        <f>G63*0.00788713</f>
        <v/>
      </c>
      <c r="AH63" s="7">
        <f>H63*0.00788713</f>
        <v/>
      </c>
      <c r="AI63" s="7">
        <f>I63*0.00788713</f>
        <v/>
      </c>
      <c r="AJ63" s="7">
        <f>J63*0.00788713</f>
        <v/>
      </c>
      <c r="AK63" s="7">
        <f>K63*0.00788713</f>
        <v/>
      </c>
      <c r="AL63" s="7">
        <f>L63*0.00788713</f>
        <v/>
      </c>
      <c r="AM63" s="7">
        <f>M63*0.00788713</f>
        <v/>
      </c>
      <c r="AN63" s="7">
        <f>N63*0.00788713</f>
        <v/>
      </c>
      <c r="AO63" s="7">
        <f>O63*0.00788713</f>
        <v/>
      </c>
      <c r="AP63" s="7">
        <f>P63*0.00788713</f>
        <v/>
      </c>
      <c r="AQ63" s="7">
        <f>Q63*0.00788713</f>
        <v/>
      </c>
      <c r="AR63" s="7">
        <f>R63*0.00788713</f>
        <v/>
      </c>
      <c r="AS63" s="7">
        <f>S63*0.00788713</f>
        <v/>
      </c>
      <c r="AT63" s="7">
        <f>T63*0.00788713</f>
        <v/>
      </c>
      <c r="AU63" s="7">
        <f>U63*0.00788713</f>
        <v/>
      </c>
      <c r="AV63" s="7">
        <f>V63*0.00788713</f>
        <v/>
      </c>
      <c r="AW63" s="7">
        <f>W63*0.00788713</f>
        <v/>
      </c>
      <c r="AX63" s="7">
        <f>X63*0.00788713</f>
        <v/>
      </c>
      <c r="AY63" s="7">
        <f>Y63*0.00788713</f>
        <v/>
      </c>
      <c r="AZ63" s="7">
        <f>Z63*0.00788713</f>
        <v/>
      </c>
      <c r="BA63" s="7">
        <f>AA63*0.00788713</f>
        <v/>
      </c>
      <c r="BB63" s="7">
        <f>SUM(AD63:BA63)</f>
        <v/>
      </c>
    </row>
    <row r="64">
      <c r="A64" t="inlineStr">
        <is>
          <t>AMD-INTRA-SSC</t>
        </is>
      </c>
      <c r="B64" t="inlineStr">
        <is>
          <t>Forward Regular OSC</t>
        </is>
      </c>
      <c r="C64" s="5" t="n">
        <v>46103</v>
      </c>
      <c r="D64" s="6" t="n">
        <v>7</v>
      </c>
      <c r="E64" s="6" t="n">
        <v>4</v>
      </c>
      <c r="F64" s="6" t="n">
        <v>3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0</v>
      </c>
      <c r="M64" s="6" t="n">
        <v>7</v>
      </c>
      <c r="N64" s="6" t="n">
        <v>12</v>
      </c>
      <c r="O64" s="6" t="n">
        <v>0</v>
      </c>
      <c r="P64" s="6" t="n">
        <v>0</v>
      </c>
      <c r="Q64" s="6" t="n">
        <v>5</v>
      </c>
      <c r="R64" s="6" t="n">
        <v>9</v>
      </c>
      <c r="S64" s="6" t="n">
        <v>0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9</v>
      </c>
      <c r="Y64" s="6" t="n">
        <v>0</v>
      </c>
      <c r="Z64" s="6" t="n">
        <v>7</v>
      </c>
      <c r="AA64" s="6" t="n">
        <v>9</v>
      </c>
      <c r="AB64" s="6">
        <f>SUM(D64:AA64)</f>
        <v/>
      </c>
      <c r="AC64" s="3" t="inlineStr"/>
      <c r="AD64" s="7">
        <f>D64*0.00788713</f>
        <v/>
      </c>
      <c r="AE64" s="7">
        <f>E64*0.00788713</f>
        <v/>
      </c>
      <c r="AF64" s="7">
        <f>F64*0.00788713</f>
        <v/>
      </c>
      <c r="AG64" s="7">
        <f>G64*0.00788713</f>
        <v/>
      </c>
      <c r="AH64" s="7">
        <f>H64*0.00788713</f>
        <v/>
      </c>
      <c r="AI64" s="7">
        <f>I64*0.00788713</f>
        <v/>
      </c>
      <c r="AJ64" s="7">
        <f>J64*0.00788713</f>
        <v/>
      </c>
      <c r="AK64" s="7">
        <f>K64*0.00788713</f>
        <v/>
      </c>
      <c r="AL64" s="7">
        <f>L64*0.00788713</f>
        <v/>
      </c>
      <c r="AM64" s="7">
        <f>M64*0.00788713</f>
        <v/>
      </c>
      <c r="AN64" s="7">
        <f>N64*0.00788713</f>
        <v/>
      </c>
      <c r="AO64" s="7">
        <f>O64*0.00788713</f>
        <v/>
      </c>
      <c r="AP64" s="7">
        <f>P64*0.00788713</f>
        <v/>
      </c>
      <c r="AQ64" s="7">
        <f>Q64*0.00788713</f>
        <v/>
      </c>
      <c r="AR64" s="7">
        <f>R64*0.00788713</f>
        <v/>
      </c>
      <c r="AS64" s="7">
        <f>S64*0.00788713</f>
        <v/>
      </c>
      <c r="AT64" s="7">
        <f>T64*0.00788713</f>
        <v/>
      </c>
      <c r="AU64" s="7">
        <f>U64*0.00788713</f>
        <v/>
      </c>
      <c r="AV64" s="7">
        <f>V64*0.00788713</f>
        <v/>
      </c>
      <c r="AW64" s="7">
        <f>W64*0.00788713</f>
        <v/>
      </c>
      <c r="AX64" s="7">
        <f>X64*0.00788713</f>
        <v/>
      </c>
      <c r="AY64" s="7">
        <f>Y64*0.00788713</f>
        <v/>
      </c>
      <c r="AZ64" s="7">
        <f>Z64*0.00788713</f>
        <v/>
      </c>
      <c r="BA64" s="7">
        <f>AA64*0.00788713</f>
        <v/>
      </c>
      <c r="BB64" s="7">
        <f>SUM(AD64:BA64)</f>
        <v/>
      </c>
    </row>
    <row r="65">
      <c r="A65" t="inlineStr">
        <is>
          <t>AMD-INTRA-SSC</t>
        </is>
      </c>
      <c r="B65" t="inlineStr">
        <is>
          <t>Forward Regular OSC</t>
        </is>
      </c>
      <c r="C65" s="5" t="n">
        <v>46104</v>
      </c>
      <c r="D65" s="6" t="n">
        <v>8</v>
      </c>
      <c r="E65" s="6" t="n">
        <v>11</v>
      </c>
      <c r="F65" s="6" t="n">
        <v>3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15</v>
      </c>
      <c r="N65" s="6" t="n">
        <v>0</v>
      </c>
      <c r="O65" s="6" t="n">
        <v>0</v>
      </c>
      <c r="P65" s="6" t="n">
        <v>0</v>
      </c>
      <c r="Q65" s="6" t="n">
        <v>3</v>
      </c>
      <c r="R65" s="6" t="n">
        <v>7</v>
      </c>
      <c r="S65" s="6" t="n">
        <v>0</v>
      </c>
      <c r="T65" s="6" t="n">
        <v>0</v>
      </c>
      <c r="U65" s="6" t="n">
        <v>0</v>
      </c>
      <c r="V65" s="6" t="n">
        <v>0</v>
      </c>
      <c r="W65" s="6" t="n">
        <v>0</v>
      </c>
      <c r="X65" s="6" t="n">
        <v>5</v>
      </c>
      <c r="Y65" s="6" t="n">
        <v>1</v>
      </c>
      <c r="Z65" s="6" t="n">
        <v>16</v>
      </c>
      <c r="AA65" s="6" t="n">
        <v>8</v>
      </c>
      <c r="AB65" s="6">
        <f>SUM(D65:AA65)</f>
        <v/>
      </c>
      <c r="AC65" s="3" t="inlineStr"/>
      <c r="AD65" s="7">
        <f>D65*0.00788713</f>
        <v/>
      </c>
      <c r="AE65" s="7">
        <f>E65*0.00788713</f>
        <v/>
      </c>
      <c r="AF65" s="7">
        <f>F65*0.00788713</f>
        <v/>
      </c>
      <c r="AG65" s="7">
        <f>G65*0.00788713</f>
        <v/>
      </c>
      <c r="AH65" s="7">
        <f>H65*0.00788713</f>
        <v/>
      </c>
      <c r="AI65" s="7">
        <f>I65*0.00788713</f>
        <v/>
      </c>
      <c r="AJ65" s="7">
        <f>J65*0.00788713</f>
        <v/>
      </c>
      <c r="AK65" s="7">
        <f>K65*0.00788713</f>
        <v/>
      </c>
      <c r="AL65" s="7">
        <f>L65*0.00788713</f>
        <v/>
      </c>
      <c r="AM65" s="7">
        <f>M65*0.00788713</f>
        <v/>
      </c>
      <c r="AN65" s="7">
        <f>N65*0.00788713</f>
        <v/>
      </c>
      <c r="AO65" s="7">
        <f>O65*0.00788713</f>
        <v/>
      </c>
      <c r="AP65" s="7">
        <f>P65*0.00788713</f>
        <v/>
      </c>
      <c r="AQ65" s="7">
        <f>Q65*0.00788713</f>
        <v/>
      </c>
      <c r="AR65" s="7">
        <f>R65*0.00788713</f>
        <v/>
      </c>
      <c r="AS65" s="7">
        <f>S65*0.00788713</f>
        <v/>
      </c>
      <c r="AT65" s="7">
        <f>T65*0.00788713</f>
        <v/>
      </c>
      <c r="AU65" s="7">
        <f>U65*0.00788713</f>
        <v/>
      </c>
      <c r="AV65" s="7">
        <f>V65*0.00788713</f>
        <v/>
      </c>
      <c r="AW65" s="7">
        <f>W65*0.00788713</f>
        <v/>
      </c>
      <c r="AX65" s="7">
        <f>X65*0.00788713</f>
        <v/>
      </c>
      <c r="AY65" s="7">
        <f>Y65*0.00788713</f>
        <v/>
      </c>
      <c r="AZ65" s="7">
        <f>Z65*0.00788713</f>
        <v/>
      </c>
      <c r="BA65" s="7">
        <f>AA65*0.00788713</f>
        <v/>
      </c>
      <c r="BB65" s="7">
        <f>SUM(AD65:BA65)</f>
        <v/>
      </c>
    </row>
    <row r="66">
      <c r="A66" t="inlineStr">
        <is>
          <t>AMD-INTRA-SSC</t>
        </is>
      </c>
      <c r="B66" t="inlineStr">
        <is>
          <t>Forward Regular OSC</t>
        </is>
      </c>
      <c r="C66" s="5" t="n">
        <v>46105</v>
      </c>
      <c r="D66" s="6" t="n">
        <v>8</v>
      </c>
      <c r="E66" s="6" t="n">
        <v>8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16</v>
      </c>
      <c r="N66" s="6" t="n">
        <v>1</v>
      </c>
      <c r="O66" s="6" t="n">
        <v>0</v>
      </c>
      <c r="P66" s="6" t="n">
        <v>0</v>
      </c>
      <c r="Q66" s="6" t="n">
        <v>6</v>
      </c>
      <c r="R66" s="6" t="n">
        <v>6</v>
      </c>
      <c r="S66" s="6" t="n">
        <v>0</v>
      </c>
      <c r="T66" s="6" t="n">
        <v>0</v>
      </c>
      <c r="U66" s="6" t="n">
        <v>0</v>
      </c>
      <c r="V66" s="6" t="n">
        <v>0</v>
      </c>
      <c r="W66" s="6" t="n">
        <v>0</v>
      </c>
      <c r="X66" s="6" t="n">
        <v>0</v>
      </c>
      <c r="Y66" s="6" t="n">
        <v>0</v>
      </c>
      <c r="Z66" s="6" t="n">
        <v>0</v>
      </c>
      <c r="AA66" s="6" t="n">
        <v>0</v>
      </c>
      <c r="AB66" s="6">
        <f>SUM(D66:AA66)</f>
        <v/>
      </c>
      <c r="AC66" s="3" t="inlineStr"/>
      <c r="AD66" s="7">
        <f>D66*0.00788713</f>
        <v/>
      </c>
      <c r="AE66" s="7">
        <f>E66*0.00788713</f>
        <v/>
      </c>
      <c r="AF66" s="7">
        <f>F66*0.00788713</f>
        <v/>
      </c>
      <c r="AG66" s="7">
        <f>G66*0.00788713</f>
        <v/>
      </c>
      <c r="AH66" s="7">
        <f>H66*0.00788713</f>
        <v/>
      </c>
      <c r="AI66" s="7">
        <f>I66*0.00788713</f>
        <v/>
      </c>
      <c r="AJ66" s="7">
        <f>J66*0.00788713</f>
        <v/>
      </c>
      <c r="AK66" s="7">
        <f>K66*0.00788713</f>
        <v/>
      </c>
      <c r="AL66" s="7">
        <f>L66*0.00788713</f>
        <v/>
      </c>
      <c r="AM66" s="7">
        <f>M66*0.00788713</f>
        <v/>
      </c>
      <c r="AN66" s="7">
        <f>N66*0.00788713</f>
        <v/>
      </c>
      <c r="AO66" s="7">
        <f>O66*0.00788713</f>
        <v/>
      </c>
      <c r="AP66" s="7">
        <f>P66*0.00788713</f>
        <v/>
      </c>
      <c r="AQ66" s="7">
        <f>Q66*0.00788713</f>
        <v/>
      </c>
      <c r="AR66" s="7">
        <f>R66*0.00788713</f>
        <v/>
      </c>
      <c r="AS66" s="7">
        <f>S66*0.00788713</f>
        <v/>
      </c>
      <c r="AT66" s="7">
        <f>T66*0.00788713</f>
        <v/>
      </c>
      <c r="AU66" s="7">
        <f>U66*0.00788713</f>
        <v/>
      </c>
      <c r="AV66" s="7">
        <f>V66*0.00788713</f>
        <v/>
      </c>
      <c r="AW66" s="7">
        <f>W66*0.00788713</f>
        <v/>
      </c>
      <c r="AX66" s="7">
        <f>X66*0.00788713</f>
        <v/>
      </c>
      <c r="AY66" s="7">
        <f>Y66*0.00788713</f>
        <v/>
      </c>
      <c r="AZ66" s="7">
        <f>Z66*0.00788713</f>
        <v/>
      </c>
      <c r="BA66" s="7">
        <f>AA66*0.00788713</f>
        <v/>
      </c>
      <c r="BB66" s="7">
        <f>SUM(AD66:BA66)</f>
        <v/>
      </c>
    </row>
    <row r="67">
      <c r="A67" t="inlineStr">
        <is>
          <t>AMD-M1</t>
        </is>
      </c>
      <c r="B67" t="inlineStr">
        <is>
          <t>Forward Regular OSC</t>
        </is>
      </c>
      <c r="C67" s="5" t="n">
        <v>46089</v>
      </c>
      <c r="D67" s="6" t="n">
        <v>67</v>
      </c>
      <c r="E67" s="6" t="n">
        <v>31</v>
      </c>
      <c r="F67" s="6" t="n">
        <v>51</v>
      </c>
      <c r="G67" s="6" t="n">
        <v>78</v>
      </c>
      <c r="H67" s="6" t="n">
        <v>78</v>
      </c>
      <c r="I67" s="6" t="n">
        <v>101</v>
      </c>
      <c r="J67" s="6" t="n">
        <v>56</v>
      </c>
      <c r="K67" s="6" t="n">
        <v>20</v>
      </c>
      <c r="L67" s="6" t="n">
        <v>0</v>
      </c>
      <c r="M67" s="6" t="n">
        <v>13</v>
      </c>
      <c r="N67" s="6" t="n">
        <v>53</v>
      </c>
      <c r="O67" s="6" t="n">
        <v>59</v>
      </c>
      <c r="P67" s="6" t="n">
        <v>82</v>
      </c>
      <c r="Q67" s="6" t="n">
        <v>17</v>
      </c>
      <c r="R67" s="6" t="n">
        <v>36</v>
      </c>
      <c r="S67" s="6" t="n">
        <v>89</v>
      </c>
      <c r="T67" s="6" t="n">
        <v>17</v>
      </c>
      <c r="U67" s="6" t="n">
        <v>0</v>
      </c>
      <c r="V67" s="6" t="n">
        <v>0</v>
      </c>
      <c r="W67" s="6" t="n">
        <v>4</v>
      </c>
      <c r="X67" s="6" t="n">
        <v>0</v>
      </c>
      <c r="Y67" s="6" t="n">
        <v>0</v>
      </c>
      <c r="Z67" s="6" t="n">
        <v>0</v>
      </c>
      <c r="AA67" s="6" t="n">
        <v>53</v>
      </c>
      <c r="AB67" s="6">
        <f>SUM(D67:AA67)</f>
        <v/>
      </c>
      <c r="AC67" s="3" t="inlineStr"/>
      <c r="AD67" s="7">
        <f>D67*0.00788713</f>
        <v/>
      </c>
      <c r="AE67" s="7">
        <f>E67*0.00788713</f>
        <v/>
      </c>
      <c r="AF67" s="7">
        <f>F67*0.00788713</f>
        <v/>
      </c>
      <c r="AG67" s="7">
        <f>G67*0.00788713</f>
        <v/>
      </c>
      <c r="AH67" s="7">
        <f>H67*0.00788713</f>
        <v/>
      </c>
      <c r="AI67" s="7">
        <f>I67*0.00788713</f>
        <v/>
      </c>
      <c r="AJ67" s="7">
        <f>J67*0.00788713</f>
        <v/>
      </c>
      <c r="AK67" s="7">
        <f>K67*0.00788713</f>
        <v/>
      </c>
      <c r="AL67" s="7">
        <f>L67*0.00788713</f>
        <v/>
      </c>
      <c r="AM67" s="7">
        <f>M67*0.00788713</f>
        <v/>
      </c>
      <c r="AN67" s="7">
        <f>N67*0.00788713</f>
        <v/>
      </c>
      <c r="AO67" s="7">
        <f>O67*0.00788713</f>
        <v/>
      </c>
      <c r="AP67" s="7">
        <f>P67*0.00788713</f>
        <v/>
      </c>
      <c r="AQ67" s="7">
        <f>Q67*0.00788713</f>
        <v/>
      </c>
      <c r="AR67" s="7">
        <f>R67*0.00788713</f>
        <v/>
      </c>
      <c r="AS67" s="7">
        <f>S67*0.00788713</f>
        <v/>
      </c>
      <c r="AT67" s="7">
        <f>T67*0.00788713</f>
        <v/>
      </c>
      <c r="AU67" s="7">
        <f>U67*0.00788713</f>
        <v/>
      </c>
      <c r="AV67" s="7">
        <f>V67*0.00788713</f>
        <v/>
      </c>
      <c r="AW67" s="7">
        <f>W67*0.00788713</f>
        <v/>
      </c>
      <c r="AX67" s="7">
        <f>X67*0.00788713</f>
        <v/>
      </c>
      <c r="AY67" s="7">
        <f>Y67*0.00788713</f>
        <v/>
      </c>
      <c r="AZ67" s="7">
        <f>Z67*0.00788713</f>
        <v/>
      </c>
      <c r="BA67" s="7">
        <f>AA67*0.00788713</f>
        <v/>
      </c>
      <c r="BB67" s="7">
        <f>SUM(AD67:BA67)</f>
        <v/>
      </c>
    </row>
    <row r="68">
      <c r="A68" t="inlineStr">
        <is>
          <t>AMD-M1</t>
        </is>
      </c>
      <c r="B68" t="inlineStr">
        <is>
          <t>Forward Regular OSC</t>
        </is>
      </c>
      <c r="C68" s="5" t="n">
        <v>46090</v>
      </c>
      <c r="D68" s="6" t="n">
        <v>71</v>
      </c>
      <c r="E68" s="6" t="n">
        <v>31</v>
      </c>
      <c r="F68" s="6" t="n">
        <v>66</v>
      </c>
      <c r="G68" s="6" t="n">
        <v>87</v>
      </c>
      <c r="H68" s="6" t="n">
        <v>12</v>
      </c>
      <c r="I68" s="6" t="n">
        <v>1</v>
      </c>
      <c r="J68" s="6" t="n">
        <v>0</v>
      </c>
      <c r="K68" s="6" t="n">
        <v>0</v>
      </c>
      <c r="L68" s="6" t="n">
        <v>11</v>
      </c>
      <c r="M68" s="6" t="n">
        <v>54</v>
      </c>
      <c r="N68" s="6" t="n">
        <v>42</v>
      </c>
      <c r="O68" s="6" t="n">
        <v>78</v>
      </c>
      <c r="P68" s="6" t="n">
        <v>29</v>
      </c>
      <c r="Q68" s="6" t="n">
        <v>97</v>
      </c>
      <c r="R68" s="6" t="n">
        <v>111</v>
      </c>
      <c r="S68" s="6" t="n">
        <v>120</v>
      </c>
      <c r="T68" s="6" t="n">
        <v>102</v>
      </c>
      <c r="U68" s="6" t="n">
        <v>5</v>
      </c>
      <c r="V68" s="6" t="n">
        <v>42</v>
      </c>
      <c r="W68" s="6" t="n">
        <v>43</v>
      </c>
      <c r="X68" s="6" t="n">
        <v>66</v>
      </c>
      <c r="Y68" s="6" t="n">
        <v>9</v>
      </c>
      <c r="Z68" s="6" t="n">
        <v>5</v>
      </c>
      <c r="AA68" s="6" t="n">
        <v>87</v>
      </c>
      <c r="AB68" s="6">
        <f>SUM(D68:AA68)</f>
        <v/>
      </c>
      <c r="AC68" s="3" t="inlineStr"/>
      <c r="AD68" s="7">
        <f>D68*0.00788713</f>
        <v/>
      </c>
      <c r="AE68" s="7">
        <f>E68*0.00788713</f>
        <v/>
      </c>
      <c r="AF68" s="7">
        <f>F68*0.00788713</f>
        <v/>
      </c>
      <c r="AG68" s="7">
        <f>G68*0.00788713</f>
        <v/>
      </c>
      <c r="AH68" s="7">
        <f>H68*0.00788713</f>
        <v/>
      </c>
      <c r="AI68" s="7">
        <f>I68*0.00788713</f>
        <v/>
      </c>
      <c r="AJ68" s="7">
        <f>J68*0.00788713</f>
        <v/>
      </c>
      <c r="AK68" s="7">
        <f>K68*0.00788713</f>
        <v/>
      </c>
      <c r="AL68" s="7">
        <f>L68*0.00788713</f>
        <v/>
      </c>
      <c r="AM68" s="7">
        <f>M68*0.00788713</f>
        <v/>
      </c>
      <c r="AN68" s="7">
        <f>N68*0.00788713</f>
        <v/>
      </c>
      <c r="AO68" s="7">
        <f>O68*0.00788713</f>
        <v/>
      </c>
      <c r="AP68" s="7">
        <f>P68*0.00788713</f>
        <v/>
      </c>
      <c r="AQ68" s="7">
        <f>Q68*0.00788713</f>
        <v/>
      </c>
      <c r="AR68" s="7">
        <f>R68*0.00788713</f>
        <v/>
      </c>
      <c r="AS68" s="7">
        <f>S68*0.00788713</f>
        <v/>
      </c>
      <c r="AT68" s="7">
        <f>T68*0.00788713</f>
        <v/>
      </c>
      <c r="AU68" s="7">
        <f>U68*0.00788713</f>
        <v/>
      </c>
      <c r="AV68" s="7">
        <f>V68*0.00788713</f>
        <v/>
      </c>
      <c r="AW68" s="7">
        <f>W68*0.00788713</f>
        <v/>
      </c>
      <c r="AX68" s="7">
        <f>X68*0.00788713</f>
        <v/>
      </c>
      <c r="AY68" s="7">
        <f>Y68*0.00788713</f>
        <v/>
      </c>
      <c r="AZ68" s="7">
        <f>Z68*0.00788713</f>
        <v/>
      </c>
      <c r="BA68" s="7">
        <f>AA68*0.00788713</f>
        <v/>
      </c>
      <c r="BB68" s="7">
        <f>SUM(AD68:BA68)</f>
        <v/>
      </c>
    </row>
    <row r="69">
      <c r="A69" t="inlineStr">
        <is>
          <t>AMD-M1</t>
        </is>
      </c>
      <c r="B69" t="inlineStr">
        <is>
          <t>Forward Regular OSC</t>
        </is>
      </c>
      <c r="C69" s="5" t="n">
        <v>46091</v>
      </c>
      <c r="D69" s="6" t="n">
        <v>77</v>
      </c>
      <c r="E69" s="6" t="n">
        <v>29</v>
      </c>
      <c r="F69" s="6" t="n">
        <v>86</v>
      </c>
      <c r="G69" s="6" t="n">
        <v>137</v>
      </c>
      <c r="H69" s="6" t="n">
        <v>71</v>
      </c>
      <c r="I69" s="6" t="n">
        <v>131</v>
      </c>
      <c r="J69" s="6" t="n">
        <v>18</v>
      </c>
      <c r="K69" s="6" t="n">
        <v>9</v>
      </c>
      <c r="L69" s="6" t="n">
        <v>73</v>
      </c>
      <c r="M69" s="6" t="n">
        <v>63</v>
      </c>
      <c r="N69" s="6" t="n">
        <v>98</v>
      </c>
      <c r="O69" s="6" t="n">
        <v>88</v>
      </c>
      <c r="P69" s="6" t="n">
        <v>64</v>
      </c>
      <c r="Q69" s="6" t="n">
        <v>139</v>
      </c>
      <c r="R69" s="6" t="n">
        <v>185</v>
      </c>
      <c r="S69" s="6" t="n">
        <v>166</v>
      </c>
      <c r="T69" s="6" t="n">
        <v>52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3</v>
      </c>
      <c r="Z69" s="6" t="n">
        <v>1</v>
      </c>
      <c r="AA69" s="6" t="n">
        <v>91</v>
      </c>
      <c r="AB69" s="6">
        <f>SUM(D69:AA69)</f>
        <v/>
      </c>
      <c r="AC69" s="3" t="inlineStr"/>
      <c r="AD69" s="7">
        <f>D69*0.00788713</f>
        <v/>
      </c>
      <c r="AE69" s="7">
        <f>E69*0.00788713</f>
        <v/>
      </c>
      <c r="AF69" s="7">
        <f>F69*0.00788713</f>
        <v/>
      </c>
      <c r="AG69" s="7">
        <f>G69*0.00788713</f>
        <v/>
      </c>
      <c r="AH69" s="7">
        <f>H69*0.00788713</f>
        <v/>
      </c>
      <c r="AI69" s="7">
        <f>I69*0.00788713</f>
        <v/>
      </c>
      <c r="AJ69" s="7">
        <f>J69*0.00788713</f>
        <v/>
      </c>
      <c r="AK69" s="7">
        <f>K69*0.00788713</f>
        <v/>
      </c>
      <c r="AL69" s="7">
        <f>L69*0.00788713</f>
        <v/>
      </c>
      <c r="AM69" s="7">
        <f>M69*0.00788713</f>
        <v/>
      </c>
      <c r="AN69" s="7">
        <f>N69*0.00788713</f>
        <v/>
      </c>
      <c r="AO69" s="7">
        <f>O69*0.00788713</f>
        <v/>
      </c>
      <c r="AP69" s="7">
        <f>P69*0.00788713</f>
        <v/>
      </c>
      <c r="AQ69" s="7">
        <f>Q69*0.00788713</f>
        <v/>
      </c>
      <c r="AR69" s="7">
        <f>R69*0.00788713</f>
        <v/>
      </c>
      <c r="AS69" s="7">
        <f>S69*0.00788713</f>
        <v/>
      </c>
      <c r="AT69" s="7">
        <f>T69*0.00788713</f>
        <v/>
      </c>
      <c r="AU69" s="7">
        <f>U69*0.00788713</f>
        <v/>
      </c>
      <c r="AV69" s="7">
        <f>V69*0.00788713</f>
        <v/>
      </c>
      <c r="AW69" s="7">
        <f>W69*0.00788713</f>
        <v/>
      </c>
      <c r="AX69" s="7">
        <f>X69*0.00788713</f>
        <v/>
      </c>
      <c r="AY69" s="7">
        <f>Y69*0.00788713</f>
        <v/>
      </c>
      <c r="AZ69" s="7">
        <f>Z69*0.00788713</f>
        <v/>
      </c>
      <c r="BA69" s="7">
        <f>AA69*0.00788713</f>
        <v/>
      </c>
      <c r="BB69" s="7">
        <f>SUM(AD69:BA69)</f>
        <v/>
      </c>
    </row>
    <row r="70">
      <c r="A70" t="inlineStr">
        <is>
          <t>AMD-M1</t>
        </is>
      </c>
      <c r="B70" t="inlineStr">
        <is>
          <t>Forward Regular OSC</t>
        </is>
      </c>
      <c r="C70" s="5" t="n">
        <v>46092</v>
      </c>
      <c r="D70" s="6" t="n">
        <v>108</v>
      </c>
      <c r="E70" s="6" t="n">
        <v>37</v>
      </c>
      <c r="F70" s="6" t="n">
        <v>111</v>
      </c>
      <c r="G70" s="6" t="n">
        <v>142</v>
      </c>
      <c r="H70" s="6" t="n">
        <v>91</v>
      </c>
      <c r="I70" s="6" t="n">
        <v>146</v>
      </c>
      <c r="J70" s="6" t="n">
        <v>52</v>
      </c>
      <c r="K70" s="6" t="n">
        <v>4</v>
      </c>
      <c r="L70" s="6" t="n">
        <v>0</v>
      </c>
      <c r="M70" s="6" t="n">
        <v>17</v>
      </c>
      <c r="N70" s="6" t="n">
        <v>71</v>
      </c>
      <c r="O70" s="6" t="n">
        <v>79</v>
      </c>
      <c r="P70" s="6" t="n">
        <v>2</v>
      </c>
      <c r="Q70" s="6" t="n">
        <v>16</v>
      </c>
      <c r="R70" s="6" t="n">
        <v>54</v>
      </c>
      <c r="S70" s="6" t="n">
        <v>25</v>
      </c>
      <c r="T70" s="6" t="n">
        <v>0</v>
      </c>
      <c r="U70" s="6" t="n">
        <v>0</v>
      </c>
      <c r="V70" s="6" t="n">
        <v>0</v>
      </c>
      <c r="W70" s="6" t="n">
        <v>0</v>
      </c>
      <c r="X70" s="6" t="n">
        <v>0</v>
      </c>
      <c r="Y70" s="6" t="n">
        <v>0</v>
      </c>
      <c r="Z70" s="6" t="n">
        <v>2</v>
      </c>
      <c r="AA70" s="6" t="n">
        <v>87</v>
      </c>
      <c r="AB70" s="6">
        <f>SUM(D70:AA70)</f>
        <v/>
      </c>
      <c r="AC70" s="3" t="inlineStr"/>
      <c r="AD70" s="7">
        <f>D70*0.00788713</f>
        <v/>
      </c>
      <c r="AE70" s="7">
        <f>E70*0.00788713</f>
        <v/>
      </c>
      <c r="AF70" s="7">
        <f>F70*0.00788713</f>
        <v/>
      </c>
      <c r="AG70" s="7">
        <f>G70*0.00788713</f>
        <v/>
      </c>
      <c r="AH70" s="7">
        <f>H70*0.00788713</f>
        <v/>
      </c>
      <c r="AI70" s="7">
        <f>I70*0.00788713</f>
        <v/>
      </c>
      <c r="AJ70" s="7">
        <f>J70*0.00788713</f>
        <v/>
      </c>
      <c r="AK70" s="7">
        <f>K70*0.00788713</f>
        <v/>
      </c>
      <c r="AL70" s="7">
        <f>L70*0.00788713</f>
        <v/>
      </c>
      <c r="AM70" s="7">
        <f>M70*0.00788713</f>
        <v/>
      </c>
      <c r="AN70" s="7">
        <f>N70*0.00788713</f>
        <v/>
      </c>
      <c r="AO70" s="7">
        <f>O70*0.00788713</f>
        <v/>
      </c>
      <c r="AP70" s="7">
        <f>P70*0.00788713</f>
        <v/>
      </c>
      <c r="AQ70" s="7">
        <f>Q70*0.00788713</f>
        <v/>
      </c>
      <c r="AR70" s="7">
        <f>R70*0.00788713</f>
        <v/>
      </c>
      <c r="AS70" s="7">
        <f>S70*0.00788713</f>
        <v/>
      </c>
      <c r="AT70" s="7">
        <f>T70*0.00788713</f>
        <v/>
      </c>
      <c r="AU70" s="7">
        <f>U70*0.00788713</f>
        <v/>
      </c>
      <c r="AV70" s="7">
        <f>V70*0.00788713</f>
        <v/>
      </c>
      <c r="AW70" s="7">
        <f>W70*0.00788713</f>
        <v/>
      </c>
      <c r="AX70" s="7">
        <f>X70*0.00788713</f>
        <v/>
      </c>
      <c r="AY70" s="7">
        <f>Y70*0.00788713</f>
        <v/>
      </c>
      <c r="AZ70" s="7">
        <f>Z70*0.00788713</f>
        <v/>
      </c>
      <c r="BA70" s="7">
        <f>AA70*0.00788713</f>
        <v/>
      </c>
      <c r="BB70" s="7">
        <f>SUM(AD70:BA70)</f>
        <v/>
      </c>
    </row>
    <row r="71">
      <c r="A71" t="inlineStr">
        <is>
          <t>AMD-M1</t>
        </is>
      </c>
      <c r="B71" t="inlineStr">
        <is>
          <t>Forward Regular OSC</t>
        </is>
      </c>
      <c r="C71" s="5" t="n">
        <v>46093</v>
      </c>
      <c r="D71" s="6" t="n">
        <v>86</v>
      </c>
      <c r="E71" s="6" t="n">
        <v>39</v>
      </c>
      <c r="F71" s="6" t="n">
        <v>72</v>
      </c>
      <c r="G71" s="6" t="n">
        <v>105</v>
      </c>
      <c r="H71" s="6" t="n">
        <v>77</v>
      </c>
      <c r="I71" s="6" t="n">
        <v>114</v>
      </c>
      <c r="J71" s="6" t="n">
        <v>46</v>
      </c>
      <c r="K71" s="6" t="n">
        <v>0</v>
      </c>
      <c r="L71" s="6" t="n">
        <v>0</v>
      </c>
      <c r="M71" s="6" t="n">
        <v>18</v>
      </c>
      <c r="N71" s="6" t="n">
        <v>36</v>
      </c>
      <c r="O71" s="6" t="n">
        <v>81</v>
      </c>
      <c r="P71" s="6" t="n">
        <v>5</v>
      </c>
      <c r="Q71" s="6" t="n">
        <v>0</v>
      </c>
      <c r="R71" s="6" t="n">
        <v>0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9</v>
      </c>
      <c r="Z71" s="6" t="n">
        <v>10</v>
      </c>
      <c r="AA71" s="6" t="n">
        <v>57</v>
      </c>
      <c r="AB71" s="6">
        <f>SUM(D71:AA71)</f>
        <v/>
      </c>
      <c r="AC71" s="3" t="inlineStr"/>
      <c r="AD71" s="7">
        <f>D71*0.00788713</f>
        <v/>
      </c>
      <c r="AE71" s="7">
        <f>E71*0.00788713</f>
        <v/>
      </c>
      <c r="AF71" s="7">
        <f>F71*0.00788713</f>
        <v/>
      </c>
      <c r="AG71" s="7">
        <f>G71*0.00788713</f>
        <v/>
      </c>
      <c r="AH71" s="7">
        <f>H71*0.00788713</f>
        <v/>
      </c>
      <c r="AI71" s="7">
        <f>I71*0.00788713</f>
        <v/>
      </c>
      <c r="AJ71" s="7">
        <f>J71*0.00788713</f>
        <v/>
      </c>
      <c r="AK71" s="7">
        <f>K71*0.00788713</f>
        <v/>
      </c>
      <c r="AL71" s="7">
        <f>L71*0.00788713</f>
        <v/>
      </c>
      <c r="AM71" s="7">
        <f>M71*0.00788713</f>
        <v/>
      </c>
      <c r="AN71" s="7">
        <f>N71*0.00788713</f>
        <v/>
      </c>
      <c r="AO71" s="7">
        <f>O71*0.00788713</f>
        <v/>
      </c>
      <c r="AP71" s="7">
        <f>P71*0.00788713</f>
        <v/>
      </c>
      <c r="AQ71" s="7">
        <f>Q71*0.00788713</f>
        <v/>
      </c>
      <c r="AR71" s="7">
        <f>R71*0.00788713</f>
        <v/>
      </c>
      <c r="AS71" s="7">
        <f>S71*0.00788713</f>
        <v/>
      </c>
      <c r="AT71" s="7">
        <f>T71*0.00788713</f>
        <v/>
      </c>
      <c r="AU71" s="7">
        <f>U71*0.00788713</f>
        <v/>
      </c>
      <c r="AV71" s="7">
        <f>V71*0.00788713</f>
        <v/>
      </c>
      <c r="AW71" s="7">
        <f>W71*0.00788713</f>
        <v/>
      </c>
      <c r="AX71" s="7">
        <f>X71*0.00788713</f>
        <v/>
      </c>
      <c r="AY71" s="7">
        <f>Y71*0.00788713</f>
        <v/>
      </c>
      <c r="AZ71" s="7">
        <f>Z71*0.00788713</f>
        <v/>
      </c>
      <c r="BA71" s="7">
        <f>AA71*0.00788713</f>
        <v/>
      </c>
      <c r="BB71" s="7">
        <f>SUM(AD71:BA71)</f>
        <v/>
      </c>
    </row>
    <row r="72">
      <c r="A72" t="inlineStr">
        <is>
          <t>AMD-M1</t>
        </is>
      </c>
      <c r="B72" t="inlineStr">
        <is>
          <t>Forward Regular OSC</t>
        </is>
      </c>
      <c r="C72" s="5" t="n">
        <v>46094</v>
      </c>
      <c r="D72" s="6" t="n">
        <v>93</v>
      </c>
      <c r="E72" s="6" t="n">
        <v>38</v>
      </c>
      <c r="F72" s="6" t="n">
        <v>73</v>
      </c>
      <c r="G72" s="6" t="n">
        <v>124</v>
      </c>
      <c r="H72" s="6" t="n">
        <v>128</v>
      </c>
      <c r="I72" s="6" t="n">
        <v>91</v>
      </c>
      <c r="J72" s="6" t="n">
        <v>8</v>
      </c>
      <c r="K72" s="6" t="n">
        <v>0</v>
      </c>
      <c r="L72" s="6" t="n">
        <v>0</v>
      </c>
      <c r="M72" s="6" t="n">
        <v>20</v>
      </c>
      <c r="N72" s="6" t="n">
        <v>30</v>
      </c>
      <c r="O72" s="6" t="n">
        <v>80</v>
      </c>
      <c r="P72" s="6" t="n">
        <v>77</v>
      </c>
      <c r="Q72" s="6" t="n">
        <v>3</v>
      </c>
      <c r="R72" s="6" t="n">
        <v>2</v>
      </c>
      <c r="S72" s="6" t="n">
        <v>1</v>
      </c>
      <c r="T72" s="6" t="n">
        <v>0</v>
      </c>
      <c r="U72" s="6" t="n">
        <v>0</v>
      </c>
      <c r="V72" s="6" t="n">
        <v>0</v>
      </c>
      <c r="W72" s="6" t="n">
        <v>0</v>
      </c>
      <c r="X72" s="6" t="n">
        <v>0</v>
      </c>
      <c r="Y72" s="6" t="n">
        <v>6</v>
      </c>
      <c r="Z72" s="6" t="n">
        <v>0</v>
      </c>
      <c r="AA72" s="6" t="n">
        <v>65</v>
      </c>
      <c r="AB72" s="6">
        <f>SUM(D72:AA72)</f>
        <v/>
      </c>
      <c r="AC72" s="3" t="inlineStr"/>
      <c r="AD72" s="7">
        <f>D72*0.00788713</f>
        <v/>
      </c>
      <c r="AE72" s="7">
        <f>E72*0.00788713</f>
        <v/>
      </c>
      <c r="AF72" s="7">
        <f>F72*0.00788713</f>
        <v/>
      </c>
      <c r="AG72" s="7">
        <f>G72*0.00788713</f>
        <v/>
      </c>
      <c r="AH72" s="7">
        <f>H72*0.00788713</f>
        <v/>
      </c>
      <c r="AI72" s="7">
        <f>I72*0.00788713</f>
        <v/>
      </c>
      <c r="AJ72" s="7">
        <f>J72*0.00788713</f>
        <v/>
      </c>
      <c r="AK72" s="7">
        <f>K72*0.00788713</f>
        <v/>
      </c>
      <c r="AL72" s="7">
        <f>L72*0.00788713</f>
        <v/>
      </c>
      <c r="AM72" s="7">
        <f>M72*0.00788713</f>
        <v/>
      </c>
      <c r="AN72" s="7">
        <f>N72*0.00788713</f>
        <v/>
      </c>
      <c r="AO72" s="7">
        <f>O72*0.00788713</f>
        <v/>
      </c>
      <c r="AP72" s="7">
        <f>P72*0.00788713</f>
        <v/>
      </c>
      <c r="AQ72" s="7">
        <f>Q72*0.00788713</f>
        <v/>
      </c>
      <c r="AR72" s="7">
        <f>R72*0.00788713</f>
        <v/>
      </c>
      <c r="AS72" s="7">
        <f>S72*0.00788713</f>
        <v/>
      </c>
      <c r="AT72" s="7">
        <f>T72*0.00788713</f>
        <v/>
      </c>
      <c r="AU72" s="7">
        <f>U72*0.00788713</f>
        <v/>
      </c>
      <c r="AV72" s="7">
        <f>V72*0.00788713</f>
        <v/>
      </c>
      <c r="AW72" s="7">
        <f>W72*0.00788713</f>
        <v/>
      </c>
      <c r="AX72" s="7">
        <f>X72*0.00788713</f>
        <v/>
      </c>
      <c r="AY72" s="7">
        <f>Y72*0.00788713</f>
        <v/>
      </c>
      <c r="AZ72" s="7">
        <f>Z72*0.00788713</f>
        <v/>
      </c>
      <c r="BA72" s="7">
        <f>AA72*0.00788713</f>
        <v/>
      </c>
      <c r="BB72" s="7">
        <f>SUM(AD72:BA72)</f>
        <v/>
      </c>
    </row>
    <row r="73">
      <c r="A73" t="inlineStr">
        <is>
          <t>AMD-M1</t>
        </is>
      </c>
      <c r="B73" t="inlineStr">
        <is>
          <t>Forward Regular OSC</t>
        </is>
      </c>
      <c r="C73" s="5" t="n">
        <v>46095</v>
      </c>
      <c r="D73" s="6" t="n">
        <v>107</v>
      </c>
      <c r="E73" s="6" t="n">
        <v>25</v>
      </c>
      <c r="F73" s="6" t="n">
        <v>83</v>
      </c>
      <c r="G73" s="6" t="n">
        <v>115</v>
      </c>
      <c r="H73" s="6" t="n">
        <v>83</v>
      </c>
      <c r="I73" s="6" t="n">
        <v>88</v>
      </c>
      <c r="J73" s="6" t="n">
        <v>5</v>
      </c>
      <c r="K73" s="6" t="n">
        <v>3</v>
      </c>
      <c r="L73" s="6" t="n">
        <v>0</v>
      </c>
      <c r="M73" s="6" t="n">
        <v>10</v>
      </c>
      <c r="N73" s="6" t="n">
        <v>50</v>
      </c>
      <c r="O73" s="6" t="n">
        <v>47</v>
      </c>
      <c r="P73" s="6" t="n">
        <v>103</v>
      </c>
      <c r="Q73" s="6" t="n">
        <v>16</v>
      </c>
      <c r="R73" s="6" t="n">
        <v>0</v>
      </c>
      <c r="S73" s="6" t="n">
        <v>0</v>
      </c>
      <c r="T73" s="6" t="n">
        <v>0</v>
      </c>
      <c r="U73" s="6" t="n">
        <v>0</v>
      </c>
      <c r="V73" s="6" t="n">
        <v>0</v>
      </c>
      <c r="W73" s="6" t="n">
        <v>0</v>
      </c>
      <c r="X73" s="6" t="n">
        <v>2</v>
      </c>
      <c r="Y73" s="6" t="n">
        <v>0</v>
      </c>
      <c r="Z73" s="6" t="n">
        <v>2</v>
      </c>
      <c r="AA73" s="6" t="n">
        <v>104</v>
      </c>
      <c r="AB73" s="6">
        <f>SUM(D73:AA73)</f>
        <v/>
      </c>
      <c r="AC73" s="3" t="inlineStr"/>
      <c r="AD73" s="7">
        <f>D73*0.00788713</f>
        <v/>
      </c>
      <c r="AE73" s="7">
        <f>E73*0.00788713</f>
        <v/>
      </c>
      <c r="AF73" s="7">
        <f>F73*0.00788713</f>
        <v/>
      </c>
      <c r="AG73" s="7">
        <f>G73*0.00788713</f>
        <v/>
      </c>
      <c r="AH73" s="7">
        <f>H73*0.00788713</f>
        <v/>
      </c>
      <c r="AI73" s="7">
        <f>I73*0.00788713</f>
        <v/>
      </c>
      <c r="AJ73" s="7">
        <f>J73*0.00788713</f>
        <v/>
      </c>
      <c r="AK73" s="7">
        <f>K73*0.00788713</f>
        <v/>
      </c>
      <c r="AL73" s="7">
        <f>L73*0.00788713</f>
        <v/>
      </c>
      <c r="AM73" s="7">
        <f>M73*0.00788713</f>
        <v/>
      </c>
      <c r="AN73" s="7">
        <f>N73*0.00788713</f>
        <v/>
      </c>
      <c r="AO73" s="7">
        <f>O73*0.00788713</f>
        <v/>
      </c>
      <c r="AP73" s="7">
        <f>P73*0.00788713</f>
        <v/>
      </c>
      <c r="AQ73" s="7">
        <f>Q73*0.00788713</f>
        <v/>
      </c>
      <c r="AR73" s="7">
        <f>R73*0.00788713</f>
        <v/>
      </c>
      <c r="AS73" s="7">
        <f>S73*0.00788713</f>
        <v/>
      </c>
      <c r="AT73" s="7">
        <f>T73*0.00788713</f>
        <v/>
      </c>
      <c r="AU73" s="7">
        <f>U73*0.00788713</f>
        <v/>
      </c>
      <c r="AV73" s="7">
        <f>V73*0.00788713</f>
        <v/>
      </c>
      <c r="AW73" s="7">
        <f>W73*0.00788713</f>
        <v/>
      </c>
      <c r="AX73" s="7">
        <f>X73*0.00788713</f>
        <v/>
      </c>
      <c r="AY73" s="7">
        <f>Y73*0.00788713</f>
        <v/>
      </c>
      <c r="AZ73" s="7">
        <f>Z73*0.00788713</f>
        <v/>
      </c>
      <c r="BA73" s="7">
        <f>AA73*0.00788713</f>
        <v/>
      </c>
      <c r="BB73" s="7">
        <f>SUM(AD73:BA73)</f>
        <v/>
      </c>
    </row>
    <row r="74">
      <c r="A74" t="inlineStr">
        <is>
          <t>AMD-M1</t>
        </is>
      </c>
      <c r="B74" t="inlineStr">
        <is>
          <t>Forward Regular OSC</t>
        </is>
      </c>
      <c r="C74" s="5" t="n">
        <v>46096</v>
      </c>
      <c r="D74" s="6" t="n">
        <v>97</v>
      </c>
      <c r="E74" s="6" t="n">
        <v>42</v>
      </c>
      <c r="F74" s="6" t="n">
        <v>78</v>
      </c>
      <c r="G74" s="6" t="n">
        <v>182</v>
      </c>
      <c r="H74" s="6" t="n">
        <v>29</v>
      </c>
      <c r="I74" s="6" t="n">
        <v>8</v>
      </c>
      <c r="J74" s="6" t="n">
        <v>5</v>
      </c>
      <c r="K74" s="6" t="n">
        <v>0</v>
      </c>
      <c r="L74" s="6" t="n">
        <v>6</v>
      </c>
      <c r="M74" s="6" t="n">
        <v>19</v>
      </c>
      <c r="N74" s="6" t="n">
        <v>54</v>
      </c>
      <c r="O74" s="6" t="n">
        <v>111</v>
      </c>
      <c r="P74" s="6" t="n">
        <v>27</v>
      </c>
      <c r="Q74" s="6" t="n">
        <v>0</v>
      </c>
      <c r="R74" s="6" t="n">
        <v>0</v>
      </c>
      <c r="S74" s="6" t="n">
        <v>0</v>
      </c>
      <c r="T74" s="6" t="n">
        <v>0</v>
      </c>
      <c r="U74" s="6" t="n">
        <v>0</v>
      </c>
      <c r="V74" s="6" t="n">
        <v>0</v>
      </c>
      <c r="W74" s="6" t="n">
        <v>0</v>
      </c>
      <c r="X74" s="6" t="n">
        <v>0</v>
      </c>
      <c r="Y74" s="6" t="n">
        <v>2</v>
      </c>
      <c r="Z74" s="6" t="n">
        <v>0</v>
      </c>
      <c r="AA74" s="6" t="n">
        <v>40</v>
      </c>
      <c r="AB74" s="6">
        <f>SUM(D74:AA74)</f>
        <v/>
      </c>
      <c r="AC74" s="3" t="inlineStr"/>
      <c r="AD74" s="7">
        <f>D74*0.00788713</f>
        <v/>
      </c>
      <c r="AE74" s="7">
        <f>E74*0.00788713</f>
        <v/>
      </c>
      <c r="AF74" s="7">
        <f>F74*0.00788713</f>
        <v/>
      </c>
      <c r="AG74" s="7">
        <f>G74*0.00788713</f>
        <v/>
      </c>
      <c r="AH74" s="7">
        <f>H74*0.00788713</f>
        <v/>
      </c>
      <c r="AI74" s="7">
        <f>I74*0.00788713</f>
        <v/>
      </c>
      <c r="AJ74" s="7">
        <f>J74*0.00788713</f>
        <v/>
      </c>
      <c r="AK74" s="7">
        <f>K74*0.00788713</f>
        <v/>
      </c>
      <c r="AL74" s="7">
        <f>L74*0.00788713</f>
        <v/>
      </c>
      <c r="AM74" s="7">
        <f>M74*0.00788713</f>
        <v/>
      </c>
      <c r="AN74" s="7">
        <f>N74*0.00788713</f>
        <v/>
      </c>
      <c r="AO74" s="7">
        <f>O74*0.00788713</f>
        <v/>
      </c>
      <c r="AP74" s="7">
        <f>P74*0.00788713</f>
        <v/>
      </c>
      <c r="AQ74" s="7">
        <f>Q74*0.00788713</f>
        <v/>
      </c>
      <c r="AR74" s="7">
        <f>R74*0.00788713</f>
        <v/>
      </c>
      <c r="AS74" s="7">
        <f>S74*0.00788713</f>
        <v/>
      </c>
      <c r="AT74" s="7">
        <f>T74*0.00788713</f>
        <v/>
      </c>
      <c r="AU74" s="7">
        <f>U74*0.00788713</f>
        <v/>
      </c>
      <c r="AV74" s="7">
        <f>V74*0.00788713</f>
        <v/>
      </c>
      <c r="AW74" s="7">
        <f>W74*0.00788713</f>
        <v/>
      </c>
      <c r="AX74" s="7">
        <f>X74*0.00788713</f>
        <v/>
      </c>
      <c r="AY74" s="7">
        <f>Y74*0.00788713</f>
        <v/>
      </c>
      <c r="AZ74" s="7">
        <f>Z74*0.00788713</f>
        <v/>
      </c>
      <c r="BA74" s="7">
        <f>AA74*0.00788713</f>
        <v/>
      </c>
      <c r="BB74" s="7">
        <f>SUM(AD74:BA74)</f>
        <v/>
      </c>
    </row>
    <row r="75">
      <c r="A75" t="inlineStr">
        <is>
          <t>AMD-M1</t>
        </is>
      </c>
      <c r="B75" t="inlineStr">
        <is>
          <t>Forward Regular OSC</t>
        </is>
      </c>
      <c r="C75" s="5" t="n">
        <v>46097</v>
      </c>
      <c r="D75" s="6" t="n">
        <v>101</v>
      </c>
      <c r="E75" s="6" t="n">
        <v>31</v>
      </c>
      <c r="F75" s="6" t="n">
        <v>88</v>
      </c>
      <c r="G75" s="6" t="n">
        <v>133</v>
      </c>
      <c r="H75" s="6" t="n">
        <v>43</v>
      </c>
      <c r="I75" s="6" t="n">
        <v>1</v>
      </c>
      <c r="J75" s="6" t="n">
        <v>6</v>
      </c>
      <c r="K75" s="6" t="n">
        <v>0</v>
      </c>
      <c r="L75" s="6" t="n">
        <v>0</v>
      </c>
      <c r="M75" s="6" t="n">
        <v>28</v>
      </c>
      <c r="N75" s="6" t="n">
        <v>88</v>
      </c>
      <c r="O75" s="6" t="n">
        <v>13</v>
      </c>
      <c r="P75" s="6" t="n">
        <v>0</v>
      </c>
      <c r="Q75" s="6" t="n">
        <v>0</v>
      </c>
      <c r="R75" s="6" t="n">
        <v>0</v>
      </c>
      <c r="S75" s="6" t="n">
        <v>0</v>
      </c>
      <c r="T75" s="6" t="n">
        <v>0</v>
      </c>
      <c r="U75" s="6" t="n">
        <v>0</v>
      </c>
      <c r="V75" s="6" t="n">
        <v>0</v>
      </c>
      <c r="W75" s="6" t="n">
        <v>0</v>
      </c>
      <c r="X75" s="6" t="n">
        <v>0</v>
      </c>
      <c r="Y75" s="6" t="n">
        <v>6</v>
      </c>
      <c r="Z75" s="6" t="n">
        <v>0</v>
      </c>
      <c r="AA75" s="6" t="n">
        <v>0</v>
      </c>
      <c r="AB75" s="6">
        <f>SUM(D75:AA75)</f>
        <v/>
      </c>
      <c r="AC75" s="3" t="inlineStr"/>
      <c r="AD75" s="7">
        <f>D75*0.00788713</f>
        <v/>
      </c>
      <c r="AE75" s="7">
        <f>E75*0.00788713</f>
        <v/>
      </c>
      <c r="AF75" s="7">
        <f>F75*0.00788713</f>
        <v/>
      </c>
      <c r="AG75" s="7">
        <f>G75*0.00788713</f>
        <v/>
      </c>
      <c r="AH75" s="7">
        <f>H75*0.00788713</f>
        <v/>
      </c>
      <c r="AI75" s="7">
        <f>I75*0.00788713</f>
        <v/>
      </c>
      <c r="AJ75" s="7">
        <f>J75*0.00788713</f>
        <v/>
      </c>
      <c r="AK75" s="7">
        <f>K75*0.00788713</f>
        <v/>
      </c>
      <c r="AL75" s="7">
        <f>L75*0.00788713</f>
        <v/>
      </c>
      <c r="AM75" s="7">
        <f>M75*0.00788713</f>
        <v/>
      </c>
      <c r="AN75" s="7">
        <f>N75*0.00788713</f>
        <v/>
      </c>
      <c r="AO75" s="7">
        <f>O75*0.00788713</f>
        <v/>
      </c>
      <c r="AP75" s="7">
        <f>P75*0.00788713</f>
        <v/>
      </c>
      <c r="AQ75" s="7">
        <f>Q75*0.00788713</f>
        <v/>
      </c>
      <c r="AR75" s="7">
        <f>R75*0.00788713</f>
        <v/>
      </c>
      <c r="AS75" s="7">
        <f>S75*0.00788713</f>
        <v/>
      </c>
      <c r="AT75" s="7">
        <f>T75*0.00788713</f>
        <v/>
      </c>
      <c r="AU75" s="7">
        <f>U75*0.00788713</f>
        <v/>
      </c>
      <c r="AV75" s="7">
        <f>V75*0.00788713</f>
        <v/>
      </c>
      <c r="AW75" s="7">
        <f>W75*0.00788713</f>
        <v/>
      </c>
      <c r="AX75" s="7">
        <f>X75*0.00788713</f>
        <v/>
      </c>
      <c r="AY75" s="7">
        <f>Y75*0.00788713</f>
        <v/>
      </c>
      <c r="AZ75" s="7">
        <f>Z75*0.00788713</f>
        <v/>
      </c>
      <c r="BA75" s="7">
        <f>AA75*0.00788713</f>
        <v/>
      </c>
      <c r="BB75" s="7">
        <f>SUM(AD75:BA75)</f>
        <v/>
      </c>
    </row>
    <row r="76">
      <c r="A76" t="inlineStr">
        <is>
          <t>AMD-M2</t>
        </is>
      </c>
      <c r="B76" t="inlineStr">
        <is>
          <t>Forward Regular OSC</t>
        </is>
      </c>
      <c r="C76" s="5" t="n">
        <v>46089</v>
      </c>
      <c r="D76" s="6" t="n">
        <v>223</v>
      </c>
      <c r="E76" s="6" t="n">
        <v>73</v>
      </c>
      <c r="F76" s="6" t="n">
        <v>202</v>
      </c>
      <c r="G76" s="6" t="n">
        <v>186</v>
      </c>
      <c r="H76" s="6" t="n">
        <v>192</v>
      </c>
      <c r="I76" s="6" t="n">
        <v>214</v>
      </c>
      <c r="J76" s="6" t="n">
        <v>119</v>
      </c>
      <c r="K76" s="6" t="n">
        <v>1</v>
      </c>
      <c r="L76" s="6" t="n">
        <v>133</v>
      </c>
      <c r="M76" s="6" t="n">
        <v>210</v>
      </c>
      <c r="N76" s="6" t="n">
        <v>286</v>
      </c>
      <c r="O76" s="6" t="n">
        <v>254</v>
      </c>
      <c r="P76" s="6" t="n">
        <v>95</v>
      </c>
      <c r="Q76" s="6" t="n">
        <v>170</v>
      </c>
      <c r="R76" s="6" t="n">
        <v>274</v>
      </c>
      <c r="S76" s="6" t="n">
        <v>175</v>
      </c>
      <c r="T76" s="6" t="n">
        <v>59</v>
      </c>
      <c r="U76" s="6" t="n">
        <v>0</v>
      </c>
      <c r="V76" s="6" t="n">
        <v>0</v>
      </c>
      <c r="W76" s="6" t="n">
        <v>0</v>
      </c>
      <c r="X76" s="6" t="n">
        <v>0</v>
      </c>
      <c r="Y76" s="6" t="n">
        <v>0</v>
      </c>
      <c r="Z76" s="6" t="n">
        <v>2</v>
      </c>
      <c r="AA76" s="6" t="n">
        <v>162</v>
      </c>
      <c r="AB76" s="6">
        <f>SUM(D76:AA76)</f>
        <v/>
      </c>
      <c r="AC76" s="3" t="inlineStr"/>
      <c r="AD76" s="7">
        <f>D76*0.00788713</f>
        <v/>
      </c>
      <c r="AE76" s="7">
        <f>E76*0.00788713</f>
        <v/>
      </c>
      <c r="AF76" s="7">
        <f>F76*0.00788713</f>
        <v/>
      </c>
      <c r="AG76" s="7">
        <f>G76*0.00788713</f>
        <v/>
      </c>
      <c r="AH76" s="7">
        <f>H76*0.00788713</f>
        <v/>
      </c>
      <c r="AI76" s="7">
        <f>I76*0.00788713</f>
        <v/>
      </c>
      <c r="AJ76" s="7">
        <f>J76*0.00788713</f>
        <v/>
      </c>
      <c r="AK76" s="7">
        <f>K76*0.00788713</f>
        <v/>
      </c>
      <c r="AL76" s="7">
        <f>L76*0.00788713</f>
        <v/>
      </c>
      <c r="AM76" s="7">
        <f>M76*0.00788713</f>
        <v/>
      </c>
      <c r="AN76" s="7">
        <f>N76*0.00788713</f>
        <v/>
      </c>
      <c r="AO76" s="7">
        <f>O76*0.00788713</f>
        <v/>
      </c>
      <c r="AP76" s="7">
        <f>P76*0.00788713</f>
        <v/>
      </c>
      <c r="AQ76" s="7">
        <f>Q76*0.00788713</f>
        <v/>
      </c>
      <c r="AR76" s="7">
        <f>R76*0.00788713</f>
        <v/>
      </c>
      <c r="AS76" s="7">
        <f>S76*0.00788713</f>
        <v/>
      </c>
      <c r="AT76" s="7">
        <f>T76*0.00788713</f>
        <v/>
      </c>
      <c r="AU76" s="7">
        <f>U76*0.00788713</f>
        <v/>
      </c>
      <c r="AV76" s="7">
        <f>V76*0.00788713</f>
        <v/>
      </c>
      <c r="AW76" s="7">
        <f>W76*0.00788713</f>
        <v/>
      </c>
      <c r="AX76" s="7">
        <f>X76*0.00788713</f>
        <v/>
      </c>
      <c r="AY76" s="7">
        <f>Y76*0.00788713</f>
        <v/>
      </c>
      <c r="AZ76" s="7">
        <f>Z76*0.00788713</f>
        <v/>
      </c>
      <c r="BA76" s="7">
        <f>AA76*0.00788713</f>
        <v/>
      </c>
      <c r="BB76" s="7">
        <f>SUM(AD76:BA76)</f>
        <v/>
      </c>
    </row>
    <row r="77">
      <c r="A77" t="inlineStr">
        <is>
          <t>AMD-M2</t>
        </is>
      </c>
      <c r="B77" t="inlineStr">
        <is>
          <t>Forward Regular OSC</t>
        </is>
      </c>
      <c r="C77" s="5" t="n">
        <v>46090</v>
      </c>
      <c r="D77" s="6" t="n">
        <v>165</v>
      </c>
      <c r="E77" s="6" t="n">
        <v>61</v>
      </c>
      <c r="F77" s="6" t="n">
        <v>146</v>
      </c>
      <c r="G77" s="6" t="n">
        <v>225</v>
      </c>
      <c r="H77" s="6" t="n">
        <v>158</v>
      </c>
      <c r="I77" s="6" t="n">
        <v>158</v>
      </c>
      <c r="J77" s="6" t="n">
        <v>147</v>
      </c>
      <c r="K77" s="6" t="n">
        <v>186</v>
      </c>
      <c r="L77" s="6" t="n">
        <v>296</v>
      </c>
      <c r="M77" s="6" t="n">
        <v>235</v>
      </c>
      <c r="N77" s="6" t="n">
        <v>303</v>
      </c>
      <c r="O77" s="6" t="n">
        <v>310</v>
      </c>
      <c r="P77" s="6" t="n">
        <v>125</v>
      </c>
      <c r="Q77" s="6" t="n">
        <v>218</v>
      </c>
      <c r="R77" s="6" t="n">
        <v>250</v>
      </c>
      <c r="S77" s="6" t="n">
        <v>251</v>
      </c>
      <c r="T77" s="6" t="n">
        <v>253</v>
      </c>
      <c r="U77" s="6" t="n">
        <v>38</v>
      </c>
      <c r="V77" s="6" t="n">
        <v>75</v>
      </c>
      <c r="W77" s="6" t="n">
        <v>51</v>
      </c>
      <c r="X77" s="6" t="n">
        <v>5</v>
      </c>
      <c r="Y77" s="6" t="n">
        <v>0</v>
      </c>
      <c r="Z77" s="6" t="n">
        <v>25</v>
      </c>
      <c r="AA77" s="6" t="n">
        <v>390</v>
      </c>
      <c r="AB77" s="6">
        <f>SUM(D77:AA77)</f>
        <v/>
      </c>
      <c r="AC77" s="3" t="inlineStr"/>
      <c r="AD77" s="7">
        <f>D77*0.00788713</f>
        <v/>
      </c>
      <c r="AE77" s="7">
        <f>E77*0.00788713</f>
        <v/>
      </c>
      <c r="AF77" s="7">
        <f>F77*0.00788713</f>
        <v/>
      </c>
      <c r="AG77" s="7">
        <f>G77*0.00788713</f>
        <v/>
      </c>
      <c r="AH77" s="7">
        <f>H77*0.00788713</f>
        <v/>
      </c>
      <c r="AI77" s="7">
        <f>I77*0.00788713</f>
        <v/>
      </c>
      <c r="AJ77" s="7">
        <f>J77*0.00788713</f>
        <v/>
      </c>
      <c r="AK77" s="7">
        <f>K77*0.00788713</f>
        <v/>
      </c>
      <c r="AL77" s="7">
        <f>L77*0.00788713</f>
        <v/>
      </c>
      <c r="AM77" s="7">
        <f>M77*0.00788713</f>
        <v/>
      </c>
      <c r="AN77" s="7">
        <f>N77*0.00788713</f>
        <v/>
      </c>
      <c r="AO77" s="7">
        <f>O77*0.00788713</f>
        <v/>
      </c>
      <c r="AP77" s="7">
        <f>P77*0.00788713</f>
        <v/>
      </c>
      <c r="AQ77" s="7">
        <f>Q77*0.00788713</f>
        <v/>
      </c>
      <c r="AR77" s="7">
        <f>R77*0.00788713</f>
        <v/>
      </c>
      <c r="AS77" s="7">
        <f>S77*0.00788713</f>
        <v/>
      </c>
      <c r="AT77" s="7">
        <f>T77*0.00788713</f>
        <v/>
      </c>
      <c r="AU77" s="7">
        <f>U77*0.00788713</f>
        <v/>
      </c>
      <c r="AV77" s="7">
        <f>V77*0.00788713</f>
        <v/>
      </c>
      <c r="AW77" s="7">
        <f>W77*0.00788713</f>
        <v/>
      </c>
      <c r="AX77" s="7">
        <f>X77*0.00788713</f>
        <v/>
      </c>
      <c r="AY77" s="7">
        <f>Y77*0.00788713</f>
        <v/>
      </c>
      <c r="AZ77" s="7">
        <f>Z77*0.00788713</f>
        <v/>
      </c>
      <c r="BA77" s="7">
        <f>AA77*0.00788713</f>
        <v/>
      </c>
      <c r="BB77" s="7">
        <f>SUM(AD77:BA77)</f>
        <v/>
      </c>
    </row>
    <row r="78">
      <c r="A78" t="inlineStr">
        <is>
          <t>AMD-M2</t>
        </is>
      </c>
      <c r="B78" t="inlineStr">
        <is>
          <t>Forward Regular OSC</t>
        </is>
      </c>
      <c r="C78" s="5" t="n">
        <v>46091</v>
      </c>
      <c r="D78" s="6" t="n">
        <v>377</v>
      </c>
      <c r="E78" s="6" t="n">
        <v>248</v>
      </c>
      <c r="F78" s="6" t="n">
        <v>246</v>
      </c>
      <c r="G78" s="6" t="n">
        <v>397</v>
      </c>
      <c r="H78" s="6" t="n">
        <v>266</v>
      </c>
      <c r="I78" s="6" t="n">
        <v>278</v>
      </c>
      <c r="J78" s="6" t="n">
        <v>215</v>
      </c>
      <c r="K78" s="6" t="n">
        <v>120</v>
      </c>
      <c r="L78" s="6" t="n">
        <v>294</v>
      </c>
      <c r="M78" s="6" t="n">
        <v>263</v>
      </c>
      <c r="N78" s="6" t="n">
        <v>315</v>
      </c>
      <c r="O78" s="6" t="n">
        <v>299</v>
      </c>
      <c r="P78" s="6" t="n">
        <v>105</v>
      </c>
      <c r="Q78" s="6" t="n">
        <v>305</v>
      </c>
      <c r="R78" s="6" t="n">
        <v>318</v>
      </c>
      <c r="S78" s="6" t="n">
        <v>348</v>
      </c>
      <c r="T78" s="6" t="n">
        <v>407</v>
      </c>
      <c r="U78" s="6" t="n">
        <v>10</v>
      </c>
      <c r="V78" s="6" t="n">
        <v>149</v>
      </c>
      <c r="W78" s="6" t="n">
        <v>122</v>
      </c>
      <c r="X78" s="6" t="n">
        <v>22</v>
      </c>
      <c r="Y78" s="6" t="n">
        <v>0</v>
      </c>
      <c r="Z78" s="6" t="n">
        <v>6</v>
      </c>
      <c r="AA78" s="6" t="n">
        <v>326</v>
      </c>
      <c r="AB78" s="6">
        <f>SUM(D78:AA78)</f>
        <v/>
      </c>
      <c r="AC78" s="3" t="inlineStr"/>
      <c r="AD78" s="7">
        <f>D78*0.00788713</f>
        <v/>
      </c>
      <c r="AE78" s="7">
        <f>E78*0.00788713</f>
        <v/>
      </c>
      <c r="AF78" s="7">
        <f>F78*0.00788713</f>
        <v/>
      </c>
      <c r="AG78" s="7">
        <f>G78*0.00788713</f>
        <v/>
      </c>
      <c r="AH78" s="7">
        <f>H78*0.00788713</f>
        <v/>
      </c>
      <c r="AI78" s="7">
        <f>I78*0.00788713</f>
        <v/>
      </c>
      <c r="AJ78" s="7">
        <f>J78*0.00788713</f>
        <v/>
      </c>
      <c r="AK78" s="7">
        <f>K78*0.00788713</f>
        <v/>
      </c>
      <c r="AL78" s="7">
        <f>L78*0.00788713</f>
        <v/>
      </c>
      <c r="AM78" s="7">
        <f>M78*0.00788713</f>
        <v/>
      </c>
      <c r="AN78" s="7">
        <f>N78*0.00788713</f>
        <v/>
      </c>
      <c r="AO78" s="7">
        <f>O78*0.00788713</f>
        <v/>
      </c>
      <c r="AP78" s="7">
        <f>P78*0.00788713</f>
        <v/>
      </c>
      <c r="AQ78" s="7">
        <f>Q78*0.00788713</f>
        <v/>
      </c>
      <c r="AR78" s="7">
        <f>R78*0.00788713</f>
        <v/>
      </c>
      <c r="AS78" s="7">
        <f>S78*0.00788713</f>
        <v/>
      </c>
      <c r="AT78" s="7">
        <f>T78*0.00788713</f>
        <v/>
      </c>
      <c r="AU78" s="7">
        <f>U78*0.00788713</f>
        <v/>
      </c>
      <c r="AV78" s="7">
        <f>V78*0.00788713</f>
        <v/>
      </c>
      <c r="AW78" s="7">
        <f>W78*0.00788713</f>
        <v/>
      </c>
      <c r="AX78" s="7">
        <f>X78*0.00788713</f>
        <v/>
      </c>
      <c r="AY78" s="7">
        <f>Y78*0.00788713</f>
        <v/>
      </c>
      <c r="AZ78" s="7">
        <f>Z78*0.00788713</f>
        <v/>
      </c>
      <c r="BA78" s="7">
        <f>AA78*0.00788713</f>
        <v/>
      </c>
      <c r="BB78" s="7">
        <f>SUM(AD78:BA78)</f>
        <v/>
      </c>
    </row>
    <row r="79">
      <c r="A79" t="inlineStr">
        <is>
          <t>AMD-M2</t>
        </is>
      </c>
      <c r="B79" t="inlineStr">
        <is>
          <t>Forward Regular OSC</t>
        </is>
      </c>
      <c r="C79" s="5" t="n">
        <v>46092</v>
      </c>
      <c r="D79" s="6" t="n">
        <v>284</v>
      </c>
      <c r="E79" s="6" t="n">
        <v>160</v>
      </c>
      <c r="F79" s="6" t="n">
        <v>304</v>
      </c>
      <c r="G79" s="6" t="n">
        <v>401</v>
      </c>
      <c r="H79" s="6" t="n">
        <v>218</v>
      </c>
      <c r="I79" s="6" t="n">
        <v>326</v>
      </c>
      <c r="J79" s="6" t="n">
        <v>249</v>
      </c>
      <c r="K79" s="6" t="n">
        <v>44</v>
      </c>
      <c r="L79" s="6" t="n">
        <v>419</v>
      </c>
      <c r="M79" s="6" t="n">
        <v>212</v>
      </c>
      <c r="N79" s="6" t="n">
        <v>401</v>
      </c>
      <c r="O79" s="6" t="n">
        <v>353</v>
      </c>
      <c r="P79" s="6" t="n">
        <v>111</v>
      </c>
      <c r="Q79" s="6" t="n">
        <v>187</v>
      </c>
      <c r="R79" s="6" t="n">
        <v>311</v>
      </c>
      <c r="S79" s="6" t="n">
        <v>256</v>
      </c>
      <c r="T79" s="6" t="n">
        <v>52</v>
      </c>
      <c r="U79" s="6" t="n">
        <v>0</v>
      </c>
      <c r="V79" s="6" t="n">
        <v>0</v>
      </c>
      <c r="W79" s="6" t="n">
        <v>0</v>
      </c>
      <c r="X79" s="6" t="n">
        <v>0</v>
      </c>
      <c r="Y79" s="6" t="n">
        <v>0</v>
      </c>
      <c r="Z79" s="6" t="n">
        <v>0</v>
      </c>
      <c r="AA79" s="6" t="n">
        <v>350</v>
      </c>
      <c r="AB79" s="6">
        <f>SUM(D79:AA79)</f>
        <v/>
      </c>
      <c r="AC79" s="3" t="inlineStr"/>
      <c r="AD79" s="7">
        <f>D79*0.00788713</f>
        <v/>
      </c>
      <c r="AE79" s="7">
        <f>E79*0.00788713</f>
        <v/>
      </c>
      <c r="AF79" s="7">
        <f>F79*0.00788713</f>
        <v/>
      </c>
      <c r="AG79" s="7">
        <f>G79*0.00788713</f>
        <v/>
      </c>
      <c r="AH79" s="7">
        <f>H79*0.00788713</f>
        <v/>
      </c>
      <c r="AI79" s="7">
        <f>I79*0.00788713</f>
        <v/>
      </c>
      <c r="AJ79" s="7">
        <f>J79*0.00788713</f>
        <v/>
      </c>
      <c r="AK79" s="7">
        <f>K79*0.00788713</f>
        <v/>
      </c>
      <c r="AL79" s="7">
        <f>L79*0.00788713</f>
        <v/>
      </c>
      <c r="AM79" s="7">
        <f>M79*0.00788713</f>
        <v/>
      </c>
      <c r="AN79" s="7">
        <f>N79*0.00788713</f>
        <v/>
      </c>
      <c r="AO79" s="7">
        <f>O79*0.00788713</f>
        <v/>
      </c>
      <c r="AP79" s="7">
        <f>P79*0.00788713</f>
        <v/>
      </c>
      <c r="AQ79" s="7">
        <f>Q79*0.00788713</f>
        <v/>
      </c>
      <c r="AR79" s="7">
        <f>R79*0.00788713</f>
        <v/>
      </c>
      <c r="AS79" s="7">
        <f>S79*0.00788713</f>
        <v/>
      </c>
      <c r="AT79" s="7">
        <f>T79*0.00788713</f>
        <v/>
      </c>
      <c r="AU79" s="7">
        <f>U79*0.00788713</f>
        <v/>
      </c>
      <c r="AV79" s="7">
        <f>V79*0.00788713</f>
        <v/>
      </c>
      <c r="AW79" s="7">
        <f>W79*0.00788713</f>
        <v/>
      </c>
      <c r="AX79" s="7">
        <f>X79*0.00788713</f>
        <v/>
      </c>
      <c r="AY79" s="7">
        <f>Y79*0.00788713</f>
        <v/>
      </c>
      <c r="AZ79" s="7">
        <f>Z79*0.00788713</f>
        <v/>
      </c>
      <c r="BA79" s="7">
        <f>AA79*0.00788713</f>
        <v/>
      </c>
      <c r="BB79" s="7">
        <f>SUM(AD79:BA79)</f>
        <v/>
      </c>
    </row>
    <row r="80">
      <c r="A80" t="inlineStr">
        <is>
          <t>AMD-M2</t>
        </is>
      </c>
      <c r="B80" t="inlineStr">
        <is>
          <t>Forward Regular OSC</t>
        </is>
      </c>
      <c r="C80" s="5" t="n">
        <v>46093</v>
      </c>
      <c r="D80" s="6" t="n">
        <v>334</v>
      </c>
      <c r="E80" s="6" t="n">
        <v>114</v>
      </c>
      <c r="F80" s="6" t="n">
        <v>249</v>
      </c>
      <c r="G80" s="6" t="n">
        <v>355</v>
      </c>
      <c r="H80" s="6" t="n">
        <v>200</v>
      </c>
      <c r="I80" s="6" t="n">
        <v>210</v>
      </c>
      <c r="J80" s="6" t="n">
        <v>118</v>
      </c>
      <c r="K80" s="6" t="n">
        <v>2</v>
      </c>
      <c r="L80" s="6" t="n">
        <v>298</v>
      </c>
      <c r="M80" s="6" t="n">
        <v>163</v>
      </c>
      <c r="N80" s="6" t="n">
        <v>335</v>
      </c>
      <c r="O80" s="6" t="n">
        <v>165</v>
      </c>
      <c r="P80" s="6" t="n">
        <v>335</v>
      </c>
      <c r="Q80" s="6" t="n">
        <v>51</v>
      </c>
      <c r="R80" s="6" t="n">
        <v>0</v>
      </c>
      <c r="S80" s="6" t="n">
        <v>1</v>
      </c>
      <c r="T80" s="6" t="n">
        <v>0</v>
      </c>
      <c r="U80" s="6" t="n">
        <v>3</v>
      </c>
      <c r="V80" s="6" t="n">
        <v>0</v>
      </c>
      <c r="W80" s="6" t="n">
        <v>1</v>
      </c>
      <c r="X80" s="6" t="n">
        <v>1</v>
      </c>
      <c r="Y80" s="6" t="n">
        <v>0</v>
      </c>
      <c r="Z80" s="6" t="n">
        <v>0</v>
      </c>
      <c r="AA80" s="6" t="n">
        <v>348</v>
      </c>
      <c r="AB80" s="6">
        <f>SUM(D80:AA80)</f>
        <v/>
      </c>
      <c r="AC80" s="3" t="inlineStr"/>
      <c r="AD80" s="7">
        <f>D80*0.00788713</f>
        <v/>
      </c>
      <c r="AE80" s="7">
        <f>E80*0.00788713</f>
        <v/>
      </c>
      <c r="AF80" s="7">
        <f>F80*0.00788713</f>
        <v/>
      </c>
      <c r="AG80" s="7">
        <f>G80*0.00788713</f>
        <v/>
      </c>
      <c r="AH80" s="7">
        <f>H80*0.00788713</f>
        <v/>
      </c>
      <c r="AI80" s="7">
        <f>I80*0.00788713</f>
        <v/>
      </c>
      <c r="AJ80" s="7">
        <f>J80*0.00788713</f>
        <v/>
      </c>
      <c r="AK80" s="7">
        <f>K80*0.00788713</f>
        <v/>
      </c>
      <c r="AL80" s="7">
        <f>L80*0.00788713</f>
        <v/>
      </c>
      <c r="AM80" s="7">
        <f>M80*0.00788713</f>
        <v/>
      </c>
      <c r="AN80" s="7">
        <f>N80*0.00788713</f>
        <v/>
      </c>
      <c r="AO80" s="7">
        <f>O80*0.00788713</f>
        <v/>
      </c>
      <c r="AP80" s="7">
        <f>P80*0.00788713</f>
        <v/>
      </c>
      <c r="AQ80" s="7">
        <f>Q80*0.00788713</f>
        <v/>
      </c>
      <c r="AR80" s="7">
        <f>R80*0.00788713</f>
        <v/>
      </c>
      <c r="AS80" s="7">
        <f>S80*0.00788713</f>
        <v/>
      </c>
      <c r="AT80" s="7">
        <f>T80*0.00788713</f>
        <v/>
      </c>
      <c r="AU80" s="7">
        <f>U80*0.00788713</f>
        <v/>
      </c>
      <c r="AV80" s="7">
        <f>V80*0.00788713</f>
        <v/>
      </c>
      <c r="AW80" s="7">
        <f>W80*0.00788713</f>
        <v/>
      </c>
      <c r="AX80" s="7">
        <f>X80*0.00788713</f>
        <v/>
      </c>
      <c r="AY80" s="7">
        <f>Y80*0.00788713</f>
        <v/>
      </c>
      <c r="AZ80" s="7">
        <f>Z80*0.00788713</f>
        <v/>
      </c>
      <c r="BA80" s="7">
        <f>AA80*0.00788713</f>
        <v/>
      </c>
      <c r="BB80" s="7">
        <f>SUM(AD80:BA80)</f>
        <v/>
      </c>
    </row>
    <row r="81">
      <c r="A81" t="inlineStr">
        <is>
          <t>AMD-M2</t>
        </is>
      </c>
      <c r="B81" t="inlineStr">
        <is>
          <t>Forward Regular OSC</t>
        </is>
      </c>
      <c r="C81" s="5" t="n">
        <v>46094</v>
      </c>
      <c r="D81" s="6" t="n">
        <v>305</v>
      </c>
      <c r="E81" s="6" t="n">
        <v>167</v>
      </c>
      <c r="F81" s="6" t="n">
        <v>291</v>
      </c>
      <c r="G81" s="6" t="n">
        <v>300</v>
      </c>
      <c r="H81" s="6" t="n">
        <v>140</v>
      </c>
      <c r="I81" s="6" t="n">
        <v>243</v>
      </c>
      <c r="J81" s="6" t="n">
        <v>173</v>
      </c>
      <c r="K81" s="6" t="n">
        <v>0</v>
      </c>
      <c r="L81" s="6" t="n">
        <v>367</v>
      </c>
      <c r="M81" s="6" t="n">
        <v>210</v>
      </c>
      <c r="N81" s="6" t="n">
        <v>314</v>
      </c>
      <c r="O81" s="6" t="n">
        <v>323</v>
      </c>
      <c r="P81" s="6" t="n">
        <v>111</v>
      </c>
      <c r="Q81" s="6" t="n">
        <v>315</v>
      </c>
      <c r="R81" s="6" t="n">
        <v>64</v>
      </c>
      <c r="S81" s="6" t="n">
        <v>0</v>
      </c>
      <c r="T81" s="6" t="n">
        <v>0</v>
      </c>
      <c r="U81" s="6" t="n">
        <v>0</v>
      </c>
      <c r="V81" s="6" t="n">
        <v>0</v>
      </c>
      <c r="W81" s="6" t="n">
        <v>0</v>
      </c>
      <c r="X81" s="6" t="n">
        <v>0</v>
      </c>
      <c r="Y81" s="6" t="n">
        <v>0</v>
      </c>
      <c r="Z81" s="6" t="n">
        <v>17</v>
      </c>
      <c r="AA81" s="6" t="n">
        <v>247</v>
      </c>
      <c r="AB81" s="6">
        <f>SUM(D81:AA81)</f>
        <v/>
      </c>
      <c r="AC81" s="3" t="inlineStr"/>
      <c r="AD81" s="7">
        <f>D81*0.00788713</f>
        <v/>
      </c>
      <c r="AE81" s="7">
        <f>E81*0.00788713</f>
        <v/>
      </c>
      <c r="AF81" s="7">
        <f>F81*0.00788713</f>
        <v/>
      </c>
      <c r="AG81" s="7">
        <f>G81*0.00788713</f>
        <v/>
      </c>
      <c r="AH81" s="7">
        <f>H81*0.00788713</f>
        <v/>
      </c>
      <c r="AI81" s="7">
        <f>I81*0.00788713</f>
        <v/>
      </c>
      <c r="AJ81" s="7">
        <f>J81*0.00788713</f>
        <v/>
      </c>
      <c r="AK81" s="7">
        <f>K81*0.00788713</f>
        <v/>
      </c>
      <c r="AL81" s="7">
        <f>L81*0.00788713</f>
        <v/>
      </c>
      <c r="AM81" s="7">
        <f>M81*0.00788713</f>
        <v/>
      </c>
      <c r="AN81" s="7">
        <f>N81*0.00788713</f>
        <v/>
      </c>
      <c r="AO81" s="7">
        <f>O81*0.00788713</f>
        <v/>
      </c>
      <c r="AP81" s="7">
        <f>P81*0.00788713</f>
        <v/>
      </c>
      <c r="AQ81" s="7">
        <f>Q81*0.00788713</f>
        <v/>
      </c>
      <c r="AR81" s="7">
        <f>R81*0.00788713</f>
        <v/>
      </c>
      <c r="AS81" s="7">
        <f>S81*0.00788713</f>
        <v/>
      </c>
      <c r="AT81" s="7">
        <f>T81*0.00788713</f>
        <v/>
      </c>
      <c r="AU81" s="7">
        <f>U81*0.00788713</f>
        <v/>
      </c>
      <c r="AV81" s="7">
        <f>V81*0.00788713</f>
        <v/>
      </c>
      <c r="AW81" s="7">
        <f>W81*0.00788713</f>
        <v/>
      </c>
      <c r="AX81" s="7">
        <f>X81*0.00788713</f>
        <v/>
      </c>
      <c r="AY81" s="7">
        <f>Y81*0.00788713</f>
        <v/>
      </c>
      <c r="AZ81" s="7">
        <f>Z81*0.00788713</f>
        <v/>
      </c>
      <c r="BA81" s="7">
        <f>AA81*0.00788713</f>
        <v/>
      </c>
      <c r="BB81" s="7">
        <f>SUM(AD81:BA81)</f>
        <v/>
      </c>
    </row>
    <row r="82">
      <c r="A82" t="inlineStr">
        <is>
          <t>AMD-M2</t>
        </is>
      </c>
      <c r="B82" t="inlineStr">
        <is>
          <t>Forward Regular OSC</t>
        </is>
      </c>
      <c r="C82" s="5" t="n">
        <v>46095</v>
      </c>
      <c r="D82" s="6" t="n">
        <v>259</v>
      </c>
      <c r="E82" s="6" t="n">
        <v>174</v>
      </c>
      <c r="F82" s="6" t="n">
        <v>152</v>
      </c>
      <c r="G82" s="6" t="n">
        <v>273</v>
      </c>
      <c r="H82" s="6" t="n">
        <v>201</v>
      </c>
      <c r="I82" s="6" t="n">
        <v>337</v>
      </c>
      <c r="J82" s="6" t="n">
        <v>182</v>
      </c>
      <c r="K82" s="6" t="n">
        <v>32</v>
      </c>
      <c r="L82" s="6" t="n">
        <v>327</v>
      </c>
      <c r="M82" s="6" t="n">
        <v>235</v>
      </c>
      <c r="N82" s="6" t="n">
        <v>316</v>
      </c>
      <c r="O82" s="6" t="n">
        <v>305</v>
      </c>
      <c r="P82" s="6" t="n">
        <v>122</v>
      </c>
      <c r="Q82" s="6" t="n">
        <v>420</v>
      </c>
      <c r="R82" s="6" t="n">
        <v>208</v>
      </c>
      <c r="S82" s="6" t="n">
        <v>8</v>
      </c>
      <c r="T82" s="6" t="n">
        <v>0</v>
      </c>
      <c r="U82" s="6" t="n">
        <v>0</v>
      </c>
      <c r="V82" s="6" t="n">
        <v>0</v>
      </c>
      <c r="W82" s="6" t="n">
        <v>46</v>
      </c>
      <c r="X82" s="6" t="n">
        <v>129</v>
      </c>
      <c r="Y82" s="6" t="n">
        <v>82</v>
      </c>
      <c r="Z82" s="6" t="n">
        <v>46</v>
      </c>
      <c r="AA82" s="6" t="n">
        <v>357</v>
      </c>
      <c r="AB82" s="6">
        <f>SUM(D82:AA82)</f>
        <v/>
      </c>
      <c r="AC82" s="3" t="inlineStr"/>
      <c r="AD82" s="7">
        <f>D82*0.00788713</f>
        <v/>
      </c>
      <c r="AE82" s="7">
        <f>E82*0.00788713</f>
        <v/>
      </c>
      <c r="AF82" s="7">
        <f>F82*0.00788713</f>
        <v/>
      </c>
      <c r="AG82" s="7">
        <f>G82*0.00788713</f>
        <v/>
      </c>
      <c r="AH82" s="7">
        <f>H82*0.00788713</f>
        <v/>
      </c>
      <c r="AI82" s="7">
        <f>I82*0.00788713</f>
        <v/>
      </c>
      <c r="AJ82" s="7">
        <f>J82*0.00788713</f>
        <v/>
      </c>
      <c r="AK82" s="7">
        <f>K82*0.00788713</f>
        <v/>
      </c>
      <c r="AL82" s="7">
        <f>L82*0.00788713</f>
        <v/>
      </c>
      <c r="AM82" s="7">
        <f>M82*0.00788713</f>
        <v/>
      </c>
      <c r="AN82" s="7">
        <f>N82*0.00788713</f>
        <v/>
      </c>
      <c r="AO82" s="7">
        <f>O82*0.00788713</f>
        <v/>
      </c>
      <c r="AP82" s="7">
        <f>P82*0.00788713</f>
        <v/>
      </c>
      <c r="AQ82" s="7">
        <f>Q82*0.00788713</f>
        <v/>
      </c>
      <c r="AR82" s="7">
        <f>R82*0.00788713</f>
        <v/>
      </c>
      <c r="AS82" s="7">
        <f>S82*0.00788713</f>
        <v/>
      </c>
      <c r="AT82" s="7">
        <f>T82*0.00788713</f>
        <v/>
      </c>
      <c r="AU82" s="7">
        <f>U82*0.00788713</f>
        <v/>
      </c>
      <c r="AV82" s="7">
        <f>V82*0.00788713</f>
        <v/>
      </c>
      <c r="AW82" s="7">
        <f>W82*0.00788713</f>
        <v/>
      </c>
      <c r="AX82" s="7">
        <f>X82*0.00788713</f>
        <v/>
      </c>
      <c r="AY82" s="7">
        <f>Y82*0.00788713</f>
        <v/>
      </c>
      <c r="AZ82" s="7">
        <f>Z82*0.00788713</f>
        <v/>
      </c>
      <c r="BA82" s="7">
        <f>AA82*0.00788713</f>
        <v/>
      </c>
      <c r="BB82" s="7">
        <f>SUM(AD82:BA82)</f>
        <v/>
      </c>
    </row>
    <row r="83">
      <c r="A83" t="inlineStr">
        <is>
          <t>AMD-M2</t>
        </is>
      </c>
      <c r="B83" t="inlineStr">
        <is>
          <t>Forward Regular OSC</t>
        </is>
      </c>
      <c r="C83" s="5" t="n">
        <v>46096</v>
      </c>
      <c r="D83" s="6" t="n">
        <v>268</v>
      </c>
      <c r="E83" s="6" t="n">
        <v>87</v>
      </c>
      <c r="F83" s="6" t="n">
        <v>231</v>
      </c>
      <c r="G83" s="6" t="n">
        <v>330</v>
      </c>
      <c r="H83" s="6" t="n">
        <v>169</v>
      </c>
      <c r="I83" s="6" t="n">
        <v>317</v>
      </c>
      <c r="J83" s="6" t="n">
        <v>295</v>
      </c>
      <c r="K83" s="6" t="n">
        <v>2</v>
      </c>
      <c r="L83" s="6" t="n">
        <v>318</v>
      </c>
      <c r="M83" s="6" t="n">
        <v>251</v>
      </c>
      <c r="N83" s="6" t="n">
        <v>261</v>
      </c>
      <c r="O83" s="6" t="n">
        <v>260</v>
      </c>
      <c r="P83" s="6" t="n">
        <v>176</v>
      </c>
      <c r="Q83" s="6" t="n">
        <v>335</v>
      </c>
      <c r="R83" s="6" t="n">
        <v>9</v>
      </c>
      <c r="S83" s="6" t="n">
        <v>0</v>
      </c>
      <c r="T83" s="6" t="n">
        <v>0</v>
      </c>
      <c r="U83" s="6" t="n">
        <v>0</v>
      </c>
      <c r="V83" s="6" t="n">
        <v>0</v>
      </c>
      <c r="W83" s="6" t="n">
        <v>0</v>
      </c>
      <c r="X83" s="6" t="n">
        <v>0</v>
      </c>
      <c r="Y83" s="6" t="n">
        <v>0</v>
      </c>
      <c r="Z83" s="6" t="n">
        <v>0</v>
      </c>
      <c r="AA83" s="6" t="n">
        <v>279</v>
      </c>
      <c r="AB83" s="6">
        <f>SUM(D83:AA83)</f>
        <v/>
      </c>
      <c r="AC83" s="3" t="inlineStr"/>
      <c r="AD83" s="7">
        <f>D83*0.00788713</f>
        <v/>
      </c>
      <c r="AE83" s="7">
        <f>E83*0.00788713</f>
        <v/>
      </c>
      <c r="AF83" s="7">
        <f>F83*0.00788713</f>
        <v/>
      </c>
      <c r="AG83" s="7">
        <f>G83*0.00788713</f>
        <v/>
      </c>
      <c r="AH83" s="7">
        <f>H83*0.00788713</f>
        <v/>
      </c>
      <c r="AI83" s="7">
        <f>I83*0.00788713</f>
        <v/>
      </c>
      <c r="AJ83" s="7">
        <f>J83*0.00788713</f>
        <v/>
      </c>
      <c r="AK83" s="7">
        <f>K83*0.00788713</f>
        <v/>
      </c>
      <c r="AL83" s="7">
        <f>L83*0.00788713</f>
        <v/>
      </c>
      <c r="AM83" s="7">
        <f>M83*0.00788713</f>
        <v/>
      </c>
      <c r="AN83" s="7">
        <f>N83*0.00788713</f>
        <v/>
      </c>
      <c r="AO83" s="7">
        <f>O83*0.00788713</f>
        <v/>
      </c>
      <c r="AP83" s="7">
        <f>P83*0.00788713</f>
        <v/>
      </c>
      <c r="AQ83" s="7">
        <f>Q83*0.00788713</f>
        <v/>
      </c>
      <c r="AR83" s="7">
        <f>R83*0.00788713</f>
        <v/>
      </c>
      <c r="AS83" s="7">
        <f>S83*0.00788713</f>
        <v/>
      </c>
      <c r="AT83" s="7">
        <f>T83*0.00788713</f>
        <v/>
      </c>
      <c r="AU83" s="7">
        <f>U83*0.00788713</f>
        <v/>
      </c>
      <c r="AV83" s="7">
        <f>V83*0.00788713</f>
        <v/>
      </c>
      <c r="AW83" s="7">
        <f>W83*0.00788713</f>
        <v/>
      </c>
      <c r="AX83" s="7">
        <f>X83*0.00788713</f>
        <v/>
      </c>
      <c r="AY83" s="7">
        <f>Y83*0.00788713</f>
        <v/>
      </c>
      <c r="AZ83" s="7">
        <f>Z83*0.00788713</f>
        <v/>
      </c>
      <c r="BA83" s="7">
        <f>AA83*0.00788713</f>
        <v/>
      </c>
      <c r="BB83" s="7">
        <f>SUM(AD83:BA83)</f>
        <v/>
      </c>
    </row>
    <row r="84">
      <c r="A84" t="inlineStr">
        <is>
          <t>AMD-M2</t>
        </is>
      </c>
      <c r="B84" t="inlineStr">
        <is>
          <t>Forward Regular OSC</t>
        </is>
      </c>
      <c r="C84" s="5" t="n">
        <v>46097</v>
      </c>
      <c r="D84" s="6" t="n">
        <v>228</v>
      </c>
      <c r="E84" s="6" t="n">
        <v>122</v>
      </c>
      <c r="F84" s="6" t="n">
        <v>227</v>
      </c>
      <c r="G84" s="6" t="n">
        <v>249</v>
      </c>
      <c r="H84" s="6" t="n">
        <v>166</v>
      </c>
      <c r="I84" s="6" t="n">
        <v>236</v>
      </c>
      <c r="J84" s="6" t="n">
        <v>101</v>
      </c>
      <c r="K84" s="6" t="n">
        <v>0</v>
      </c>
      <c r="L84" s="6" t="n">
        <v>273</v>
      </c>
      <c r="M84" s="6" t="n">
        <v>222</v>
      </c>
      <c r="N84" s="6" t="n">
        <v>310</v>
      </c>
      <c r="O84" s="6" t="n">
        <v>263</v>
      </c>
      <c r="P84" s="6" t="n">
        <v>148</v>
      </c>
      <c r="Q84" s="6" t="n">
        <v>250</v>
      </c>
      <c r="R84" s="6" t="n">
        <v>107</v>
      </c>
      <c r="S84" s="6" t="n">
        <v>1</v>
      </c>
      <c r="T84" s="6" t="n">
        <v>0</v>
      </c>
      <c r="U84" s="6" t="n">
        <v>0</v>
      </c>
      <c r="V84" s="6" t="n">
        <v>0</v>
      </c>
      <c r="W84" s="6" t="n">
        <v>0</v>
      </c>
      <c r="X84" s="6" t="n">
        <v>0</v>
      </c>
      <c r="Y84" s="6" t="n">
        <v>0</v>
      </c>
      <c r="Z84" s="6" t="n">
        <v>0</v>
      </c>
      <c r="AA84" s="6" t="n">
        <v>0</v>
      </c>
      <c r="AB84" s="6">
        <f>SUM(D84:AA84)</f>
        <v/>
      </c>
      <c r="AC84" s="3" t="inlineStr"/>
      <c r="AD84" s="7">
        <f>D84*0.00788713</f>
        <v/>
      </c>
      <c r="AE84" s="7">
        <f>E84*0.00788713</f>
        <v/>
      </c>
      <c r="AF84" s="7">
        <f>F84*0.00788713</f>
        <v/>
      </c>
      <c r="AG84" s="7">
        <f>G84*0.00788713</f>
        <v/>
      </c>
      <c r="AH84" s="7">
        <f>H84*0.00788713</f>
        <v/>
      </c>
      <c r="AI84" s="7">
        <f>I84*0.00788713</f>
        <v/>
      </c>
      <c r="AJ84" s="7">
        <f>J84*0.00788713</f>
        <v/>
      </c>
      <c r="AK84" s="7">
        <f>K84*0.00788713</f>
        <v/>
      </c>
      <c r="AL84" s="7">
        <f>L84*0.00788713</f>
        <v/>
      </c>
      <c r="AM84" s="7">
        <f>M84*0.00788713</f>
        <v/>
      </c>
      <c r="AN84" s="7">
        <f>N84*0.00788713</f>
        <v/>
      </c>
      <c r="AO84" s="7">
        <f>O84*0.00788713</f>
        <v/>
      </c>
      <c r="AP84" s="7">
        <f>P84*0.00788713</f>
        <v/>
      </c>
      <c r="AQ84" s="7">
        <f>Q84*0.00788713</f>
        <v/>
      </c>
      <c r="AR84" s="7">
        <f>R84*0.00788713</f>
        <v/>
      </c>
      <c r="AS84" s="7">
        <f>S84*0.00788713</f>
        <v/>
      </c>
      <c r="AT84" s="7">
        <f>T84*0.00788713</f>
        <v/>
      </c>
      <c r="AU84" s="7">
        <f>U84*0.00788713</f>
        <v/>
      </c>
      <c r="AV84" s="7">
        <f>V84*0.00788713</f>
        <v/>
      </c>
      <c r="AW84" s="7">
        <f>W84*0.00788713</f>
        <v/>
      </c>
      <c r="AX84" s="7">
        <f>X84*0.00788713</f>
        <v/>
      </c>
      <c r="AY84" s="7">
        <f>Y84*0.00788713</f>
        <v/>
      </c>
      <c r="AZ84" s="7">
        <f>Z84*0.00788713</f>
        <v/>
      </c>
      <c r="BA84" s="7">
        <f>AA84*0.00788713</f>
        <v/>
      </c>
      <c r="BB84" s="7">
        <f>SUM(AD84:BA84)</f>
        <v/>
      </c>
    </row>
    <row r="85">
      <c r="A85" t="inlineStr">
        <is>
          <t>AMD-MU-01</t>
        </is>
      </c>
      <c r="B85" t="inlineStr">
        <is>
          <t>Forward Regular OSC</t>
        </is>
      </c>
      <c r="C85" s="5" t="n">
        <v>46091</v>
      </c>
      <c r="D85" s="6" t="n">
        <v>0</v>
      </c>
      <c r="E85" s="6" t="n">
        <v>0</v>
      </c>
      <c r="F85" s="6" t="n">
        <v>0</v>
      </c>
      <c r="G85" s="6" t="n">
        <v>0</v>
      </c>
      <c r="H85" s="6" t="n">
        <v>0</v>
      </c>
      <c r="I85" s="6" t="n">
        <v>0</v>
      </c>
      <c r="J85" s="6" t="n">
        <v>0</v>
      </c>
      <c r="K85" s="6" t="n">
        <v>0</v>
      </c>
      <c r="L85" s="6" t="n">
        <v>0</v>
      </c>
      <c r="M85" s="6" t="n">
        <v>0</v>
      </c>
      <c r="N85" s="6" t="n">
        <v>0</v>
      </c>
      <c r="O85" s="6" t="n">
        <v>0</v>
      </c>
      <c r="P85" s="6" t="n">
        <v>0</v>
      </c>
      <c r="Q85" s="6" t="n">
        <v>0</v>
      </c>
      <c r="R85" s="6" t="n">
        <v>0</v>
      </c>
      <c r="S85" s="6" t="n">
        <v>0</v>
      </c>
      <c r="T85" s="6" t="n">
        <v>0</v>
      </c>
      <c r="U85" s="6" t="n">
        <v>0</v>
      </c>
      <c r="V85" s="6" t="n">
        <v>0</v>
      </c>
      <c r="W85" s="6" t="n">
        <v>0</v>
      </c>
      <c r="X85" s="6" t="n">
        <v>0</v>
      </c>
      <c r="Y85" s="6" t="n">
        <v>0</v>
      </c>
      <c r="Z85" s="6" t="n">
        <v>0</v>
      </c>
      <c r="AA85" s="6" t="n">
        <v>0</v>
      </c>
      <c r="AB85" s="6">
        <f>SUM(D85:AA85)</f>
        <v/>
      </c>
      <c r="AC85" s="3" t="inlineStr"/>
      <c r="AD85" s="7">
        <f>D85*0.00788713</f>
        <v/>
      </c>
      <c r="AE85" s="7">
        <f>E85*0.00788713</f>
        <v/>
      </c>
      <c r="AF85" s="7">
        <f>F85*0.00788713</f>
        <v/>
      </c>
      <c r="AG85" s="7">
        <f>G85*0.00788713</f>
        <v/>
      </c>
      <c r="AH85" s="7">
        <f>H85*0.00788713</f>
        <v/>
      </c>
      <c r="AI85" s="7">
        <f>I85*0.00788713</f>
        <v/>
      </c>
      <c r="AJ85" s="7">
        <f>J85*0.00788713</f>
        <v/>
      </c>
      <c r="AK85" s="7">
        <f>K85*0.00788713</f>
        <v/>
      </c>
      <c r="AL85" s="7">
        <f>L85*0.00788713</f>
        <v/>
      </c>
      <c r="AM85" s="7">
        <f>M85*0.00788713</f>
        <v/>
      </c>
      <c r="AN85" s="7">
        <f>N85*0.00788713</f>
        <v/>
      </c>
      <c r="AO85" s="7">
        <f>O85*0.00788713</f>
        <v/>
      </c>
      <c r="AP85" s="7">
        <f>P85*0.00788713</f>
        <v/>
      </c>
      <c r="AQ85" s="7">
        <f>Q85*0.00788713</f>
        <v/>
      </c>
      <c r="AR85" s="7">
        <f>R85*0.00788713</f>
        <v/>
      </c>
      <c r="AS85" s="7">
        <f>S85*0.00788713</f>
        <v/>
      </c>
      <c r="AT85" s="7">
        <f>T85*0.00788713</f>
        <v/>
      </c>
      <c r="AU85" s="7">
        <f>U85*0.00788713</f>
        <v/>
      </c>
      <c r="AV85" s="7">
        <f>V85*0.00788713</f>
        <v/>
      </c>
      <c r="AW85" s="7">
        <f>W85*0.00788713</f>
        <v/>
      </c>
      <c r="AX85" s="7">
        <f>X85*0.00788713</f>
        <v/>
      </c>
      <c r="AY85" s="7">
        <f>Y85*0.00788713</f>
        <v/>
      </c>
      <c r="AZ85" s="7">
        <f>Z85*0.00788713</f>
        <v/>
      </c>
      <c r="BA85" s="7">
        <f>AA85*0.00788713</f>
        <v/>
      </c>
      <c r="BB85" s="7">
        <f>SUM(AD85:BA85)</f>
        <v/>
      </c>
    </row>
    <row r="86">
      <c r="A86" t="inlineStr">
        <is>
          <t>AMD-RTS-RCLS-1302-SSC</t>
        </is>
      </c>
      <c r="B86" t="inlineStr">
        <is>
          <t>Rev OSC</t>
        </is>
      </c>
      <c r="C86" s="5" t="n">
        <v>46089</v>
      </c>
      <c r="D86" s="6" t="n">
        <v>0</v>
      </c>
      <c r="E86" s="6" t="n">
        <v>0</v>
      </c>
      <c r="F86" s="6" t="n">
        <v>1</v>
      </c>
      <c r="G86" s="6" t="n">
        <v>1</v>
      </c>
      <c r="H86" s="6" t="n">
        <v>1</v>
      </c>
      <c r="I86" s="6" t="n">
        <v>1</v>
      </c>
      <c r="J86" s="6" t="n">
        <v>2</v>
      </c>
      <c r="K86" s="6" t="n">
        <v>0</v>
      </c>
      <c r="L86" s="6" t="n">
        <v>0</v>
      </c>
      <c r="M86" s="6" t="n">
        <v>0</v>
      </c>
      <c r="N86" s="6" t="n">
        <v>0</v>
      </c>
      <c r="O86" s="6" t="n">
        <v>0</v>
      </c>
      <c r="P86" s="6" t="n">
        <v>0</v>
      </c>
      <c r="Q86" s="6" t="n">
        <v>0</v>
      </c>
      <c r="R86" s="6" t="n">
        <v>0</v>
      </c>
      <c r="S86" s="6" t="n">
        <v>0</v>
      </c>
      <c r="T86" s="6" t="n">
        <v>1</v>
      </c>
      <c r="U86" s="6" t="n">
        <v>1</v>
      </c>
      <c r="V86" s="6" t="n">
        <v>1</v>
      </c>
      <c r="W86" s="6" t="n">
        <v>0</v>
      </c>
      <c r="X86" s="6" t="n">
        <v>0</v>
      </c>
      <c r="Y86" s="6" t="n">
        <v>0</v>
      </c>
      <c r="Z86" s="6" t="n">
        <v>0</v>
      </c>
      <c r="AA86" s="6" t="n">
        <v>0</v>
      </c>
      <c r="AB86" s="6">
        <f>SUM(D86:AA86)</f>
        <v/>
      </c>
      <c r="AC86" s="3" t="inlineStr"/>
      <c r="AD86" s="7">
        <f>D86*0.00788713</f>
        <v/>
      </c>
      <c r="AE86" s="7">
        <f>E86*0.00788713</f>
        <v/>
      </c>
      <c r="AF86" s="7">
        <f>F86*0.00788713</f>
        <v/>
      </c>
      <c r="AG86" s="7">
        <f>G86*0.00788713</f>
        <v/>
      </c>
      <c r="AH86" s="7">
        <f>H86*0.00788713</f>
        <v/>
      </c>
      <c r="AI86" s="7">
        <f>I86*0.00788713</f>
        <v/>
      </c>
      <c r="AJ86" s="7">
        <f>J86*0.00788713</f>
        <v/>
      </c>
      <c r="AK86" s="7">
        <f>K86*0.00788713</f>
        <v/>
      </c>
      <c r="AL86" s="7">
        <f>L86*0.00788713</f>
        <v/>
      </c>
      <c r="AM86" s="7">
        <f>M86*0.00788713</f>
        <v/>
      </c>
      <c r="AN86" s="7">
        <f>N86*0.00788713</f>
        <v/>
      </c>
      <c r="AO86" s="7">
        <f>O86*0.00788713</f>
        <v/>
      </c>
      <c r="AP86" s="7">
        <f>P86*0.00788713</f>
        <v/>
      </c>
      <c r="AQ86" s="7">
        <f>Q86*0.00788713</f>
        <v/>
      </c>
      <c r="AR86" s="7">
        <f>R86*0.00788713</f>
        <v/>
      </c>
      <c r="AS86" s="7">
        <f>S86*0.00788713</f>
        <v/>
      </c>
      <c r="AT86" s="7">
        <f>T86*0.00788713</f>
        <v/>
      </c>
      <c r="AU86" s="7">
        <f>U86*0.00788713</f>
        <v/>
      </c>
      <c r="AV86" s="7">
        <f>V86*0.00788713</f>
        <v/>
      </c>
      <c r="AW86" s="7">
        <f>W86*0.00788713</f>
        <v/>
      </c>
      <c r="AX86" s="7">
        <f>X86*0.00788713</f>
        <v/>
      </c>
      <c r="AY86" s="7">
        <f>Y86*0.00788713</f>
        <v/>
      </c>
      <c r="AZ86" s="7">
        <f>Z86*0.00788713</f>
        <v/>
      </c>
      <c r="BA86" s="7">
        <f>AA86*0.00788713</f>
        <v/>
      </c>
      <c r="BB86" s="7">
        <f>SUM(AD86:BA86)</f>
        <v/>
      </c>
    </row>
    <row r="87">
      <c r="A87" t="inlineStr">
        <is>
          <t>AMD-RTS-RCLS-1302-SSC</t>
        </is>
      </c>
      <c r="B87" t="inlineStr">
        <is>
          <t>Rev OSC</t>
        </is>
      </c>
      <c r="C87" s="5" t="n">
        <v>46090</v>
      </c>
      <c r="D87" s="6" t="n">
        <v>0</v>
      </c>
      <c r="E87" s="6" t="n">
        <v>0</v>
      </c>
      <c r="F87" s="6" t="n">
        <v>0</v>
      </c>
      <c r="G87" s="6" t="n">
        <v>0</v>
      </c>
      <c r="H87" s="6" t="n">
        <v>1</v>
      </c>
      <c r="I87" s="6" t="n">
        <v>0</v>
      </c>
      <c r="J87" s="6" t="n">
        <v>0</v>
      </c>
      <c r="K87" s="6" t="n">
        <v>0</v>
      </c>
      <c r="L87" s="6" t="n">
        <v>0</v>
      </c>
      <c r="M87" s="6" t="n">
        <v>0</v>
      </c>
      <c r="N87" s="6" t="n">
        <v>0</v>
      </c>
      <c r="O87" s="6" t="n">
        <v>0</v>
      </c>
      <c r="P87" s="6" t="n">
        <v>0</v>
      </c>
      <c r="Q87" s="6" t="n">
        <v>0</v>
      </c>
      <c r="R87" s="6" t="n">
        <v>0</v>
      </c>
      <c r="S87" s="6" t="n">
        <v>0</v>
      </c>
      <c r="T87" s="6" t="n">
        <v>0</v>
      </c>
      <c r="U87" s="6" t="n">
        <v>0</v>
      </c>
      <c r="V87" s="6" t="n">
        <v>0</v>
      </c>
      <c r="W87" s="6" t="n">
        <v>0</v>
      </c>
      <c r="X87" s="6" t="n">
        <v>0</v>
      </c>
      <c r="Y87" s="6" t="n">
        <v>1</v>
      </c>
      <c r="Z87" s="6" t="n">
        <v>0</v>
      </c>
      <c r="AA87" s="6" t="n">
        <v>0</v>
      </c>
      <c r="AB87" s="6">
        <f>SUM(D87:AA87)</f>
        <v/>
      </c>
      <c r="AC87" s="3" t="inlineStr"/>
      <c r="AD87" s="7">
        <f>D87*0.00788713</f>
        <v/>
      </c>
      <c r="AE87" s="7">
        <f>E87*0.00788713</f>
        <v/>
      </c>
      <c r="AF87" s="7">
        <f>F87*0.00788713</f>
        <v/>
      </c>
      <c r="AG87" s="7">
        <f>G87*0.00788713</f>
        <v/>
      </c>
      <c r="AH87" s="7">
        <f>H87*0.00788713</f>
        <v/>
      </c>
      <c r="AI87" s="7">
        <f>I87*0.00788713</f>
        <v/>
      </c>
      <c r="AJ87" s="7">
        <f>J87*0.00788713</f>
        <v/>
      </c>
      <c r="AK87" s="7">
        <f>K87*0.00788713</f>
        <v/>
      </c>
      <c r="AL87" s="7">
        <f>L87*0.00788713</f>
        <v/>
      </c>
      <c r="AM87" s="7">
        <f>M87*0.00788713</f>
        <v/>
      </c>
      <c r="AN87" s="7">
        <f>N87*0.00788713</f>
        <v/>
      </c>
      <c r="AO87" s="7">
        <f>O87*0.00788713</f>
        <v/>
      </c>
      <c r="AP87" s="7">
        <f>P87*0.00788713</f>
        <v/>
      </c>
      <c r="AQ87" s="7">
        <f>Q87*0.00788713</f>
        <v/>
      </c>
      <c r="AR87" s="7">
        <f>R87*0.00788713</f>
        <v/>
      </c>
      <c r="AS87" s="7">
        <f>S87*0.00788713</f>
        <v/>
      </c>
      <c r="AT87" s="7">
        <f>T87*0.00788713</f>
        <v/>
      </c>
      <c r="AU87" s="7">
        <f>U87*0.00788713</f>
        <v/>
      </c>
      <c r="AV87" s="7">
        <f>V87*0.00788713</f>
        <v/>
      </c>
      <c r="AW87" s="7">
        <f>W87*0.00788713</f>
        <v/>
      </c>
      <c r="AX87" s="7">
        <f>X87*0.00788713</f>
        <v/>
      </c>
      <c r="AY87" s="7">
        <f>Y87*0.00788713</f>
        <v/>
      </c>
      <c r="AZ87" s="7">
        <f>Z87*0.00788713</f>
        <v/>
      </c>
      <c r="BA87" s="7">
        <f>AA87*0.00788713</f>
        <v/>
      </c>
      <c r="BB87" s="7">
        <f>SUM(AD87:BA87)</f>
        <v/>
      </c>
    </row>
    <row r="88">
      <c r="A88" t="inlineStr">
        <is>
          <t>AMD-RTS-RCLS-1302-SSC</t>
        </is>
      </c>
      <c r="B88" t="inlineStr">
        <is>
          <t>Rev OSC</t>
        </is>
      </c>
      <c r="C88" s="5" t="n">
        <v>46092</v>
      </c>
      <c r="D88" s="6" t="n">
        <v>0</v>
      </c>
      <c r="E88" s="6" t="n">
        <v>0</v>
      </c>
      <c r="F88" s="6" t="n">
        <v>1</v>
      </c>
      <c r="G88" s="6" t="n">
        <v>0</v>
      </c>
      <c r="H88" s="6" t="n">
        <v>0</v>
      </c>
      <c r="I88" s="6" t="n">
        <v>0</v>
      </c>
      <c r="J88" s="6" t="n">
        <v>0</v>
      </c>
      <c r="K88" s="6" t="n">
        <v>0</v>
      </c>
      <c r="L88" s="6" t="n">
        <v>0</v>
      </c>
      <c r="M88" s="6" t="n">
        <v>0</v>
      </c>
      <c r="N88" s="6" t="n">
        <v>0</v>
      </c>
      <c r="O88" s="6" t="n">
        <v>1</v>
      </c>
      <c r="P88" s="6" t="n">
        <v>0</v>
      </c>
      <c r="Q88" s="6" t="n">
        <v>0</v>
      </c>
      <c r="R88" s="6" t="n">
        <v>1</v>
      </c>
      <c r="S88" s="6" t="n">
        <v>0</v>
      </c>
      <c r="T88" s="6" t="n">
        <v>0</v>
      </c>
      <c r="U88" s="6" t="n">
        <v>1</v>
      </c>
      <c r="V88" s="6" t="n">
        <v>1</v>
      </c>
      <c r="W88" s="6" t="n">
        <v>1</v>
      </c>
      <c r="X88" s="6" t="n">
        <v>2</v>
      </c>
      <c r="Y88" s="6" t="n">
        <v>1</v>
      </c>
      <c r="Z88" s="6" t="n">
        <v>0</v>
      </c>
      <c r="AA88" s="6" t="n">
        <v>0</v>
      </c>
      <c r="AB88" s="6">
        <f>SUM(D88:AA88)</f>
        <v/>
      </c>
      <c r="AC88" s="3" t="inlineStr"/>
      <c r="AD88" s="7">
        <f>D88*0.00788713</f>
        <v/>
      </c>
      <c r="AE88" s="7">
        <f>E88*0.00788713</f>
        <v/>
      </c>
      <c r="AF88" s="7">
        <f>F88*0.00788713</f>
        <v/>
      </c>
      <c r="AG88" s="7">
        <f>G88*0.00788713</f>
        <v/>
      </c>
      <c r="AH88" s="7">
        <f>H88*0.00788713</f>
        <v/>
      </c>
      <c r="AI88" s="7">
        <f>I88*0.00788713</f>
        <v/>
      </c>
      <c r="AJ88" s="7">
        <f>J88*0.00788713</f>
        <v/>
      </c>
      <c r="AK88" s="7">
        <f>K88*0.00788713</f>
        <v/>
      </c>
      <c r="AL88" s="7">
        <f>L88*0.00788713</f>
        <v/>
      </c>
      <c r="AM88" s="7">
        <f>M88*0.00788713</f>
        <v/>
      </c>
      <c r="AN88" s="7">
        <f>N88*0.00788713</f>
        <v/>
      </c>
      <c r="AO88" s="7">
        <f>O88*0.00788713</f>
        <v/>
      </c>
      <c r="AP88" s="7">
        <f>P88*0.00788713</f>
        <v/>
      </c>
      <c r="AQ88" s="7">
        <f>Q88*0.00788713</f>
        <v/>
      </c>
      <c r="AR88" s="7">
        <f>R88*0.00788713</f>
        <v/>
      </c>
      <c r="AS88" s="7">
        <f>S88*0.00788713</f>
        <v/>
      </c>
      <c r="AT88" s="7">
        <f>T88*0.00788713</f>
        <v/>
      </c>
      <c r="AU88" s="7">
        <f>U88*0.00788713</f>
        <v/>
      </c>
      <c r="AV88" s="7">
        <f>V88*0.00788713</f>
        <v/>
      </c>
      <c r="AW88" s="7">
        <f>W88*0.00788713</f>
        <v/>
      </c>
      <c r="AX88" s="7">
        <f>X88*0.00788713</f>
        <v/>
      </c>
      <c r="AY88" s="7">
        <f>Y88*0.00788713</f>
        <v/>
      </c>
      <c r="AZ88" s="7">
        <f>Z88*0.00788713</f>
        <v/>
      </c>
      <c r="BA88" s="7">
        <f>AA88*0.00788713</f>
        <v/>
      </c>
      <c r="BB88" s="7">
        <f>SUM(AD88:BA88)</f>
        <v/>
      </c>
    </row>
    <row r="89">
      <c r="A89" t="inlineStr">
        <is>
          <t>AMD-RTS-RCLS-1302-SSC</t>
        </is>
      </c>
      <c r="B89" t="inlineStr">
        <is>
          <t>Rev OSC</t>
        </is>
      </c>
      <c r="C89" s="5" t="n">
        <v>46093</v>
      </c>
      <c r="D89" s="6" t="n">
        <v>1</v>
      </c>
      <c r="E89" s="6" t="n">
        <v>0</v>
      </c>
      <c r="F89" s="6" t="n">
        <v>1</v>
      </c>
      <c r="G89" s="6" t="n">
        <v>1</v>
      </c>
      <c r="H89" s="6" t="n">
        <v>1</v>
      </c>
      <c r="I89" s="6" t="n">
        <v>1</v>
      </c>
      <c r="J89" s="6" t="n">
        <v>3</v>
      </c>
      <c r="K89" s="6" t="n">
        <v>0</v>
      </c>
      <c r="L89" s="6" t="n">
        <v>1</v>
      </c>
      <c r="M89" s="6" t="n">
        <v>1</v>
      </c>
      <c r="N89" s="6" t="n">
        <v>1</v>
      </c>
      <c r="O89" s="6" t="n">
        <v>0</v>
      </c>
      <c r="P89" s="6" t="n">
        <v>0</v>
      </c>
      <c r="Q89" s="6" t="n">
        <v>0</v>
      </c>
      <c r="R89" s="6" t="n">
        <v>2</v>
      </c>
      <c r="S89" s="6" t="n">
        <v>1</v>
      </c>
      <c r="T89" s="6" t="n">
        <v>0</v>
      </c>
      <c r="U89" s="6" t="n">
        <v>0</v>
      </c>
      <c r="V89" s="6" t="n">
        <v>1</v>
      </c>
      <c r="W89" s="6" t="n">
        <v>0</v>
      </c>
      <c r="X89" s="6" t="n">
        <v>1</v>
      </c>
      <c r="Y89" s="6" t="n">
        <v>2</v>
      </c>
      <c r="Z89" s="6" t="n">
        <v>0</v>
      </c>
      <c r="AA89" s="6" t="n">
        <v>0</v>
      </c>
      <c r="AB89" s="6">
        <f>SUM(D89:AA89)</f>
        <v/>
      </c>
      <c r="AC89" s="3" t="inlineStr"/>
      <c r="AD89" s="7">
        <f>D89*0.00788713</f>
        <v/>
      </c>
      <c r="AE89" s="7">
        <f>E89*0.00788713</f>
        <v/>
      </c>
      <c r="AF89" s="7">
        <f>F89*0.00788713</f>
        <v/>
      </c>
      <c r="AG89" s="7">
        <f>G89*0.00788713</f>
        <v/>
      </c>
      <c r="AH89" s="7">
        <f>H89*0.00788713</f>
        <v/>
      </c>
      <c r="AI89" s="7">
        <f>I89*0.00788713</f>
        <v/>
      </c>
      <c r="AJ89" s="7">
        <f>J89*0.00788713</f>
        <v/>
      </c>
      <c r="AK89" s="7">
        <f>K89*0.00788713</f>
        <v/>
      </c>
      <c r="AL89" s="7">
        <f>L89*0.00788713</f>
        <v/>
      </c>
      <c r="AM89" s="7">
        <f>M89*0.00788713</f>
        <v/>
      </c>
      <c r="AN89" s="7">
        <f>N89*0.00788713</f>
        <v/>
      </c>
      <c r="AO89" s="7">
        <f>O89*0.00788713</f>
        <v/>
      </c>
      <c r="AP89" s="7">
        <f>P89*0.00788713</f>
        <v/>
      </c>
      <c r="AQ89" s="7">
        <f>Q89*0.00788713</f>
        <v/>
      </c>
      <c r="AR89" s="7">
        <f>R89*0.00788713</f>
        <v/>
      </c>
      <c r="AS89" s="7">
        <f>S89*0.00788713</f>
        <v/>
      </c>
      <c r="AT89" s="7">
        <f>T89*0.00788713</f>
        <v/>
      </c>
      <c r="AU89" s="7">
        <f>U89*0.00788713</f>
        <v/>
      </c>
      <c r="AV89" s="7">
        <f>V89*0.00788713</f>
        <v/>
      </c>
      <c r="AW89" s="7">
        <f>W89*0.00788713</f>
        <v/>
      </c>
      <c r="AX89" s="7">
        <f>X89*0.00788713</f>
        <v/>
      </c>
      <c r="AY89" s="7">
        <f>Y89*0.00788713</f>
        <v/>
      </c>
      <c r="AZ89" s="7">
        <f>Z89*0.00788713</f>
        <v/>
      </c>
      <c r="BA89" s="7">
        <f>AA89*0.00788713</f>
        <v/>
      </c>
      <c r="BB89" s="7">
        <f>SUM(AD89:BA89)</f>
        <v/>
      </c>
    </row>
    <row r="90">
      <c r="A90" t="inlineStr">
        <is>
          <t>AMD-RTS-RCLS-1302-SSC</t>
        </is>
      </c>
      <c r="B90" t="inlineStr">
        <is>
          <t>Rev OSC</t>
        </is>
      </c>
      <c r="C90" s="5" t="n">
        <v>46094</v>
      </c>
      <c r="D90" s="6" t="n">
        <v>1</v>
      </c>
      <c r="E90" s="6" t="n">
        <v>1</v>
      </c>
      <c r="F90" s="6" t="n">
        <v>1</v>
      </c>
      <c r="G90" s="6" t="n">
        <v>1</v>
      </c>
      <c r="H90" s="6" t="n">
        <v>1</v>
      </c>
      <c r="I90" s="6" t="n">
        <v>1</v>
      </c>
      <c r="J90" s="6" t="n">
        <v>3</v>
      </c>
      <c r="K90" s="6" t="n">
        <v>0</v>
      </c>
      <c r="L90" s="6" t="n">
        <v>0</v>
      </c>
      <c r="M90" s="6" t="n">
        <v>0</v>
      </c>
      <c r="N90" s="6" t="n">
        <v>0</v>
      </c>
      <c r="O90" s="6" t="n">
        <v>0</v>
      </c>
      <c r="P90" s="6" t="n">
        <v>0</v>
      </c>
      <c r="Q90" s="6" t="n">
        <v>0</v>
      </c>
      <c r="R90" s="6" t="n">
        <v>1</v>
      </c>
      <c r="S90" s="6" t="n">
        <v>1</v>
      </c>
      <c r="T90" s="6" t="n">
        <v>0</v>
      </c>
      <c r="U90" s="6" t="n">
        <v>1</v>
      </c>
      <c r="V90" s="6" t="n">
        <v>1</v>
      </c>
      <c r="W90" s="6" t="n">
        <v>1</v>
      </c>
      <c r="X90" s="6" t="n">
        <v>1</v>
      </c>
      <c r="Y90" s="6" t="n">
        <v>2</v>
      </c>
      <c r="Z90" s="6" t="n">
        <v>0</v>
      </c>
      <c r="AA90" s="6" t="n">
        <v>0</v>
      </c>
      <c r="AB90" s="6">
        <f>SUM(D90:AA90)</f>
        <v/>
      </c>
      <c r="AC90" s="3" t="inlineStr"/>
      <c r="AD90" s="7">
        <f>D90*0.00788713</f>
        <v/>
      </c>
      <c r="AE90" s="7">
        <f>E90*0.00788713</f>
        <v/>
      </c>
      <c r="AF90" s="7">
        <f>F90*0.00788713</f>
        <v/>
      </c>
      <c r="AG90" s="7">
        <f>G90*0.00788713</f>
        <v/>
      </c>
      <c r="AH90" s="7">
        <f>H90*0.00788713</f>
        <v/>
      </c>
      <c r="AI90" s="7">
        <f>I90*0.00788713</f>
        <v/>
      </c>
      <c r="AJ90" s="7">
        <f>J90*0.00788713</f>
        <v/>
      </c>
      <c r="AK90" s="7">
        <f>K90*0.00788713</f>
        <v/>
      </c>
      <c r="AL90" s="7">
        <f>L90*0.00788713</f>
        <v/>
      </c>
      <c r="AM90" s="7">
        <f>M90*0.00788713</f>
        <v/>
      </c>
      <c r="AN90" s="7">
        <f>N90*0.00788713</f>
        <v/>
      </c>
      <c r="AO90" s="7">
        <f>O90*0.00788713</f>
        <v/>
      </c>
      <c r="AP90" s="7">
        <f>P90*0.00788713</f>
        <v/>
      </c>
      <c r="AQ90" s="7">
        <f>Q90*0.00788713</f>
        <v/>
      </c>
      <c r="AR90" s="7">
        <f>R90*0.00788713</f>
        <v/>
      </c>
      <c r="AS90" s="7">
        <f>S90*0.00788713</f>
        <v/>
      </c>
      <c r="AT90" s="7">
        <f>T90*0.00788713</f>
        <v/>
      </c>
      <c r="AU90" s="7">
        <f>U90*0.00788713</f>
        <v/>
      </c>
      <c r="AV90" s="7">
        <f>V90*0.00788713</f>
        <v/>
      </c>
      <c r="AW90" s="7">
        <f>W90*0.00788713</f>
        <v/>
      </c>
      <c r="AX90" s="7">
        <f>X90*0.00788713</f>
        <v/>
      </c>
      <c r="AY90" s="7">
        <f>Y90*0.00788713</f>
        <v/>
      </c>
      <c r="AZ90" s="7">
        <f>Z90*0.00788713</f>
        <v/>
      </c>
      <c r="BA90" s="7">
        <f>AA90*0.00788713</f>
        <v/>
      </c>
      <c r="BB90" s="7">
        <f>SUM(AD90:BA90)</f>
        <v/>
      </c>
    </row>
    <row r="91">
      <c r="A91" t="inlineStr">
        <is>
          <t>AMD-RTS-RCLS-1302-SSC</t>
        </is>
      </c>
      <c r="B91" t="inlineStr">
        <is>
          <t>Rev OSC</t>
        </is>
      </c>
      <c r="C91" s="5" t="n">
        <v>46095</v>
      </c>
      <c r="D91" s="6" t="n">
        <v>0</v>
      </c>
      <c r="E91" s="6" t="n">
        <v>0</v>
      </c>
      <c r="F91" s="6" t="n">
        <v>0</v>
      </c>
      <c r="G91" s="6" t="n">
        <v>1</v>
      </c>
      <c r="H91" s="6" t="n">
        <v>0</v>
      </c>
      <c r="I91" s="6" t="n">
        <v>1</v>
      </c>
      <c r="J91" s="6" t="n">
        <v>1</v>
      </c>
      <c r="K91" s="6" t="n">
        <v>0</v>
      </c>
      <c r="L91" s="6" t="n">
        <v>0</v>
      </c>
      <c r="M91" s="6" t="n">
        <v>0</v>
      </c>
      <c r="N91" s="6" t="n">
        <v>0</v>
      </c>
      <c r="O91" s="6" t="n">
        <v>0</v>
      </c>
      <c r="P91" s="6" t="n">
        <v>0</v>
      </c>
      <c r="Q91" s="6" t="n">
        <v>0</v>
      </c>
      <c r="R91" s="6" t="n">
        <v>1</v>
      </c>
      <c r="S91" s="6" t="n">
        <v>2</v>
      </c>
      <c r="T91" s="6" t="n">
        <v>1</v>
      </c>
      <c r="U91" s="6" t="n">
        <v>1</v>
      </c>
      <c r="V91" s="6" t="n">
        <v>1</v>
      </c>
      <c r="W91" s="6" t="n">
        <v>2</v>
      </c>
      <c r="X91" s="6" t="n">
        <v>1</v>
      </c>
      <c r="Y91" s="6" t="n">
        <v>1</v>
      </c>
      <c r="Z91" s="6" t="n">
        <v>0</v>
      </c>
      <c r="AA91" s="6" t="n">
        <v>0</v>
      </c>
      <c r="AB91" s="6">
        <f>SUM(D91:AA91)</f>
        <v/>
      </c>
      <c r="AC91" s="3" t="inlineStr"/>
      <c r="AD91" s="7">
        <f>D91*0.00788713</f>
        <v/>
      </c>
      <c r="AE91" s="7">
        <f>E91*0.00788713</f>
        <v/>
      </c>
      <c r="AF91" s="7">
        <f>F91*0.00788713</f>
        <v/>
      </c>
      <c r="AG91" s="7">
        <f>G91*0.00788713</f>
        <v/>
      </c>
      <c r="AH91" s="7">
        <f>H91*0.00788713</f>
        <v/>
      </c>
      <c r="AI91" s="7">
        <f>I91*0.00788713</f>
        <v/>
      </c>
      <c r="AJ91" s="7">
        <f>J91*0.00788713</f>
        <v/>
      </c>
      <c r="AK91" s="7">
        <f>K91*0.00788713</f>
        <v/>
      </c>
      <c r="AL91" s="7">
        <f>L91*0.00788713</f>
        <v/>
      </c>
      <c r="AM91" s="7">
        <f>M91*0.00788713</f>
        <v/>
      </c>
      <c r="AN91" s="7">
        <f>N91*0.00788713</f>
        <v/>
      </c>
      <c r="AO91" s="7">
        <f>O91*0.00788713</f>
        <v/>
      </c>
      <c r="AP91" s="7">
        <f>P91*0.00788713</f>
        <v/>
      </c>
      <c r="AQ91" s="7">
        <f>Q91*0.00788713</f>
        <v/>
      </c>
      <c r="AR91" s="7">
        <f>R91*0.00788713</f>
        <v/>
      </c>
      <c r="AS91" s="7">
        <f>S91*0.00788713</f>
        <v/>
      </c>
      <c r="AT91" s="7">
        <f>T91*0.00788713</f>
        <v/>
      </c>
      <c r="AU91" s="7">
        <f>U91*0.00788713</f>
        <v/>
      </c>
      <c r="AV91" s="7">
        <f>V91*0.00788713</f>
        <v/>
      </c>
      <c r="AW91" s="7">
        <f>W91*0.00788713</f>
        <v/>
      </c>
      <c r="AX91" s="7">
        <f>X91*0.00788713</f>
        <v/>
      </c>
      <c r="AY91" s="7">
        <f>Y91*0.00788713</f>
        <v/>
      </c>
      <c r="AZ91" s="7">
        <f>Z91*0.00788713</f>
        <v/>
      </c>
      <c r="BA91" s="7">
        <f>AA91*0.00788713</f>
        <v/>
      </c>
      <c r="BB91" s="7">
        <f>SUM(AD91:BA91)</f>
        <v/>
      </c>
    </row>
    <row r="92">
      <c r="A92" t="inlineStr">
        <is>
          <t>AMD-RTS-RCLS-1302-SSC</t>
        </is>
      </c>
      <c r="B92" t="inlineStr">
        <is>
          <t>Rev OSC</t>
        </is>
      </c>
      <c r="C92" s="5" t="n">
        <v>46096</v>
      </c>
      <c r="D92" s="6" t="n">
        <v>0</v>
      </c>
      <c r="E92" s="6" t="n">
        <v>0</v>
      </c>
      <c r="F92" s="6" t="n">
        <v>0</v>
      </c>
      <c r="G92" s="6" t="n">
        <v>1</v>
      </c>
      <c r="H92" s="6" t="n">
        <v>0</v>
      </c>
      <c r="I92" s="6" t="n">
        <v>1</v>
      </c>
      <c r="J92" s="6" t="n">
        <v>0</v>
      </c>
      <c r="K92" s="6" t="n">
        <v>0</v>
      </c>
      <c r="L92" s="6" t="n">
        <v>0</v>
      </c>
      <c r="M92" s="6" t="n">
        <v>0</v>
      </c>
      <c r="N92" s="6" t="n">
        <v>0</v>
      </c>
      <c r="O92" s="6" t="n">
        <v>0</v>
      </c>
      <c r="P92" s="6" t="n">
        <v>0</v>
      </c>
      <c r="Q92" s="6" t="n">
        <v>0</v>
      </c>
      <c r="R92" s="6" t="n">
        <v>0</v>
      </c>
      <c r="S92" s="6" t="n">
        <v>2</v>
      </c>
      <c r="T92" s="6" t="n">
        <v>1</v>
      </c>
      <c r="U92" s="6" t="n">
        <v>1</v>
      </c>
      <c r="V92" s="6" t="n">
        <v>0</v>
      </c>
      <c r="W92" s="6" t="n">
        <v>1</v>
      </c>
      <c r="X92" s="6" t="n">
        <v>1</v>
      </c>
      <c r="Y92" s="6" t="n">
        <v>2</v>
      </c>
      <c r="Z92" s="6" t="n">
        <v>0</v>
      </c>
      <c r="AA92" s="6" t="n">
        <v>0</v>
      </c>
      <c r="AB92" s="6">
        <f>SUM(D92:AA92)</f>
        <v/>
      </c>
      <c r="AC92" s="3" t="inlineStr"/>
      <c r="AD92" s="7">
        <f>D92*0.00788713</f>
        <v/>
      </c>
      <c r="AE92" s="7">
        <f>E92*0.00788713</f>
        <v/>
      </c>
      <c r="AF92" s="7">
        <f>F92*0.00788713</f>
        <v/>
      </c>
      <c r="AG92" s="7">
        <f>G92*0.00788713</f>
        <v/>
      </c>
      <c r="AH92" s="7">
        <f>H92*0.00788713</f>
        <v/>
      </c>
      <c r="AI92" s="7">
        <f>I92*0.00788713</f>
        <v/>
      </c>
      <c r="AJ92" s="7">
        <f>J92*0.00788713</f>
        <v/>
      </c>
      <c r="AK92" s="7">
        <f>K92*0.00788713</f>
        <v/>
      </c>
      <c r="AL92" s="7">
        <f>L92*0.00788713</f>
        <v/>
      </c>
      <c r="AM92" s="7">
        <f>M92*0.00788713</f>
        <v/>
      </c>
      <c r="AN92" s="7">
        <f>N92*0.00788713</f>
        <v/>
      </c>
      <c r="AO92" s="7">
        <f>O92*0.00788713</f>
        <v/>
      </c>
      <c r="AP92" s="7">
        <f>P92*0.00788713</f>
        <v/>
      </c>
      <c r="AQ92" s="7">
        <f>Q92*0.00788713</f>
        <v/>
      </c>
      <c r="AR92" s="7">
        <f>R92*0.00788713</f>
        <v/>
      </c>
      <c r="AS92" s="7">
        <f>S92*0.00788713</f>
        <v/>
      </c>
      <c r="AT92" s="7">
        <f>T92*0.00788713</f>
        <v/>
      </c>
      <c r="AU92" s="7">
        <f>U92*0.00788713</f>
        <v/>
      </c>
      <c r="AV92" s="7">
        <f>V92*0.00788713</f>
        <v/>
      </c>
      <c r="AW92" s="7">
        <f>W92*0.00788713</f>
        <v/>
      </c>
      <c r="AX92" s="7">
        <f>X92*0.00788713</f>
        <v/>
      </c>
      <c r="AY92" s="7">
        <f>Y92*0.00788713</f>
        <v/>
      </c>
      <c r="AZ92" s="7">
        <f>Z92*0.00788713</f>
        <v/>
      </c>
      <c r="BA92" s="7">
        <f>AA92*0.00788713</f>
        <v/>
      </c>
      <c r="BB92" s="7">
        <f>SUM(AD92:BA92)</f>
        <v/>
      </c>
    </row>
    <row r="93">
      <c r="A93" t="inlineStr">
        <is>
          <t>AMD-RTS-RCLS-1302-SSC</t>
        </is>
      </c>
      <c r="B93" t="inlineStr">
        <is>
          <t>Rev OSC</t>
        </is>
      </c>
      <c r="C93" s="5" t="n">
        <v>46097</v>
      </c>
      <c r="D93" s="6" t="n">
        <v>0</v>
      </c>
      <c r="E93" s="6" t="n">
        <v>0</v>
      </c>
      <c r="F93" s="6" t="n">
        <v>0</v>
      </c>
      <c r="G93" s="6" t="n">
        <v>0</v>
      </c>
      <c r="H93" s="6" t="n">
        <v>0</v>
      </c>
      <c r="I93" s="6" t="n">
        <v>0</v>
      </c>
      <c r="J93" s="6" t="n">
        <v>0</v>
      </c>
      <c r="K93" s="6" t="n">
        <v>0</v>
      </c>
      <c r="L93" s="6" t="n">
        <v>0</v>
      </c>
      <c r="M93" s="6" t="n">
        <v>0</v>
      </c>
      <c r="N93" s="6" t="n">
        <v>0</v>
      </c>
      <c r="O93" s="6" t="n">
        <v>0</v>
      </c>
      <c r="P93" s="6" t="n">
        <v>0</v>
      </c>
      <c r="Q93" s="6" t="n">
        <v>0</v>
      </c>
      <c r="R93" s="6" t="n">
        <v>0</v>
      </c>
      <c r="S93" s="6" t="n">
        <v>1</v>
      </c>
      <c r="T93" s="6" t="n">
        <v>0</v>
      </c>
      <c r="U93" s="6" t="n">
        <v>1</v>
      </c>
      <c r="V93" s="6" t="n">
        <v>1</v>
      </c>
      <c r="W93" s="6" t="n">
        <v>0</v>
      </c>
      <c r="X93" s="6" t="n">
        <v>0</v>
      </c>
      <c r="Y93" s="6" t="n">
        <v>0</v>
      </c>
      <c r="Z93" s="6" t="n">
        <v>0</v>
      </c>
      <c r="AA93" s="6" t="n">
        <v>0</v>
      </c>
      <c r="AB93" s="6">
        <f>SUM(D93:AA93)</f>
        <v/>
      </c>
      <c r="AC93" s="3" t="inlineStr"/>
      <c r="AD93" s="7">
        <f>D93*0.00788713</f>
        <v/>
      </c>
      <c r="AE93" s="7">
        <f>E93*0.00788713</f>
        <v/>
      </c>
      <c r="AF93" s="7">
        <f>F93*0.00788713</f>
        <v/>
      </c>
      <c r="AG93" s="7">
        <f>G93*0.00788713</f>
        <v/>
      </c>
      <c r="AH93" s="7">
        <f>H93*0.00788713</f>
        <v/>
      </c>
      <c r="AI93" s="7">
        <f>I93*0.00788713</f>
        <v/>
      </c>
      <c r="AJ93" s="7">
        <f>J93*0.00788713</f>
        <v/>
      </c>
      <c r="AK93" s="7">
        <f>K93*0.00788713</f>
        <v/>
      </c>
      <c r="AL93" s="7">
        <f>L93*0.00788713</f>
        <v/>
      </c>
      <c r="AM93" s="7">
        <f>M93*0.00788713</f>
        <v/>
      </c>
      <c r="AN93" s="7">
        <f>N93*0.00788713</f>
        <v/>
      </c>
      <c r="AO93" s="7">
        <f>O93*0.00788713</f>
        <v/>
      </c>
      <c r="AP93" s="7">
        <f>P93*0.00788713</f>
        <v/>
      </c>
      <c r="AQ93" s="7">
        <f>Q93*0.00788713</f>
        <v/>
      </c>
      <c r="AR93" s="7">
        <f>R93*0.00788713</f>
        <v/>
      </c>
      <c r="AS93" s="7">
        <f>S93*0.00788713</f>
        <v/>
      </c>
      <c r="AT93" s="7">
        <f>T93*0.00788713</f>
        <v/>
      </c>
      <c r="AU93" s="7">
        <f>U93*0.00788713</f>
        <v/>
      </c>
      <c r="AV93" s="7">
        <f>V93*0.00788713</f>
        <v/>
      </c>
      <c r="AW93" s="7">
        <f>W93*0.00788713</f>
        <v/>
      </c>
      <c r="AX93" s="7">
        <f>X93*0.00788713</f>
        <v/>
      </c>
      <c r="AY93" s="7">
        <f>Y93*0.00788713</f>
        <v/>
      </c>
      <c r="AZ93" s="7">
        <f>Z93*0.00788713</f>
        <v/>
      </c>
      <c r="BA93" s="7">
        <f>AA93*0.00788713</f>
        <v/>
      </c>
      <c r="BB93" s="7">
        <f>SUM(AD93:BA93)</f>
        <v/>
      </c>
    </row>
    <row r="94">
      <c r="A94" t="inlineStr">
        <is>
          <t>AMD-RTS-RCLS-1302-SSC</t>
        </is>
      </c>
      <c r="B94" t="inlineStr">
        <is>
          <t>Rev OSC</t>
        </is>
      </c>
      <c r="C94" s="5" t="n">
        <v>46100</v>
      </c>
      <c r="D94" s="6" t="n">
        <v>0</v>
      </c>
      <c r="E94" s="6" t="n">
        <v>0</v>
      </c>
      <c r="F94" s="6" t="n">
        <v>0</v>
      </c>
      <c r="G94" s="6" t="n">
        <v>0</v>
      </c>
      <c r="H94" s="6" t="n">
        <v>0</v>
      </c>
      <c r="I94" s="6" t="n">
        <v>0</v>
      </c>
      <c r="J94" s="6" t="n">
        <v>0</v>
      </c>
      <c r="K94" s="6" t="n">
        <v>0</v>
      </c>
      <c r="L94" s="6" t="n">
        <v>0</v>
      </c>
      <c r="M94" s="6" t="n">
        <v>0</v>
      </c>
      <c r="N94" s="6" t="n">
        <v>0</v>
      </c>
      <c r="O94" s="6" t="n">
        <v>0</v>
      </c>
      <c r="P94" s="6" t="n">
        <v>0</v>
      </c>
      <c r="Q94" s="6" t="n">
        <v>0</v>
      </c>
      <c r="R94" s="6" t="n">
        <v>1</v>
      </c>
      <c r="S94" s="6" t="n">
        <v>1</v>
      </c>
      <c r="T94" s="6" t="n">
        <v>0</v>
      </c>
      <c r="U94" s="6" t="n">
        <v>1</v>
      </c>
      <c r="V94" s="6" t="n">
        <v>1</v>
      </c>
      <c r="W94" s="6" t="n">
        <v>3</v>
      </c>
      <c r="X94" s="6" t="n">
        <v>1</v>
      </c>
      <c r="Y94" s="6" t="n">
        <v>3</v>
      </c>
      <c r="Z94" s="6" t="n">
        <v>0</v>
      </c>
      <c r="AA94" s="6" t="n">
        <v>0</v>
      </c>
      <c r="AB94" s="6">
        <f>SUM(D94:AA94)</f>
        <v/>
      </c>
      <c r="AC94" s="3" t="inlineStr"/>
      <c r="AD94" s="7">
        <f>D94*0.00788713</f>
        <v/>
      </c>
      <c r="AE94" s="7">
        <f>E94*0.00788713</f>
        <v/>
      </c>
      <c r="AF94" s="7">
        <f>F94*0.00788713</f>
        <v/>
      </c>
      <c r="AG94" s="7">
        <f>G94*0.00788713</f>
        <v/>
      </c>
      <c r="AH94" s="7">
        <f>H94*0.00788713</f>
        <v/>
      </c>
      <c r="AI94" s="7">
        <f>I94*0.00788713</f>
        <v/>
      </c>
      <c r="AJ94" s="7">
        <f>J94*0.00788713</f>
        <v/>
      </c>
      <c r="AK94" s="7">
        <f>K94*0.00788713</f>
        <v/>
      </c>
      <c r="AL94" s="7">
        <f>L94*0.00788713</f>
        <v/>
      </c>
      <c r="AM94" s="7">
        <f>M94*0.00788713</f>
        <v/>
      </c>
      <c r="AN94" s="7">
        <f>N94*0.00788713</f>
        <v/>
      </c>
      <c r="AO94" s="7">
        <f>O94*0.00788713</f>
        <v/>
      </c>
      <c r="AP94" s="7">
        <f>P94*0.00788713</f>
        <v/>
      </c>
      <c r="AQ94" s="7">
        <f>Q94*0.00788713</f>
        <v/>
      </c>
      <c r="AR94" s="7">
        <f>R94*0.00788713</f>
        <v/>
      </c>
      <c r="AS94" s="7">
        <f>S94*0.00788713</f>
        <v/>
      </c>
      <c r="AT94" s="7">
        <f>T94*0.00788713</f>
        <v/>
      </c>
      <c r="AU94" s="7">
        <f>U94*0.00788713</f>
        <v/>
      </c>
      <c r="AV94" s="7">
        <f>V94*0.00788713</f>
        <v/>
      </c>
      <c r="AW94" s="7">
        <f>W94*0.00788713</f>
        <v/>
      </c>
      <c r="AX94" s="7">
        <f>X94*0.00788713</f>
        <v/>
      </c>
      <c r="AY94" s="7">
        <f>Y94*0.00788713</f>
        <v/>
      </c>
      <c r="AZ94" s="7">
        <f>Z94*0.00788713</f>
        <v/>
      </c>
      <c r="BA94" s="7">
        <f>AA94*0.00788713</f>
        <v/>
      </c>
      <c r="BB94" s="7">
        <f>SUM(AD94:BA94)</f>
        <v/>
      </c>
    </row>
    <row r="95">
      <c r="A95" t="inlineStr">
        <is>
          <t>AMD-RTS-RCLS-1302-SSC</t>
        </is>
      </c>
      <c r="B95" t="inlineStr">
        <is>
          <t>Rev OSC</t>
        </is>
      </c>
      <c r="C95" s="5" t="n">
        <v>46102</v>
      </c>
      <c r="D95" s="6" t="n">
        <v>0</v>
      </c>
      <c r="E95" s="6" t="n">
        <v>0</v>
      </c>
      <c r="F95" s="6" t="n">
        <v>0</v>
      </c>
      <c r="G95" s="6" t="n">
        <v>2</v>
      </c>
      <c r="H95" s="6" t="n">
        <v>1</v>
      </c>
      <c r="I95" s="6" t="n">
        <v>0</v>
      </c>
      <c r="J95" s="6" t="n">
        <v>4</v>
      </c>
      <c r="K95" s="6" t="n">
        <v>0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0</v>
      </c>
      <c r="Q95" s="6" t="n">
        <v>0</v>
      </c>
      <c r="R95" s="6" t="n">
        <v>0</v>
      </c>
      <c r="S95" s="6" t="n">
        <v>2</v>
      </c>
      <c r="T95" s="6" t="n">
        <v>1</v>
      </c>
      <c r="U95" s="6" t="n">
        <v>0</v>
      </c>
      <c r="V95" s="6" t="n">
        <v>1</v>
      </c>
      <c r="W95" s="6" t="n">
        <v>1</v>
      </c>
      <c r="X95" s="6" t="n">
        <v>3</v>
      </c>
      <c r="Y95" s="6" t="n">
        <v>2</v>
      </c>
      <c r="Z95" s="6" t="n">
        <v>0</v>
      </c>
      <c r="AA95" s="6" t="n">
        <v>0</v>
      </c>
      <c r="AB95" s="6">
        <f>SUM(D95:AA95)</f>
        <v/>
      </c>
      <c r="AC95" s="3" t="inlineStr"/>
      <c r="AD95" s="7">
        <f>D95*0.00788713</f>
        <v/>
      </c>
      <c r="AE95" s="7">
        <f>E95*0.00788713</f>
        <v/>
      </c>
      <c r="AF95" s="7">
        <f>F95*0.00788713</f>
        <v/>
      </c>
      <c r="AG95" s="7">
        <f>G95*0.00788713</f>
        <v/>
      </c>
      <c r="AH95" s="7">
        <f>H95*0.00788713</f>
        <v/>
      </c>
      <c r="AI95" s="7">
        <f>I95*0.00788713</f>
        <v/>
      </c>
      <c r="AJ95" s="7">
        <f>J95*0.00788713</f>
        <v/>
      </c>
      <c r="AK95" s="7">
        <f>K95*0.00788713</f>
        <v/>
      </c>
      <c r="AL95" s="7">
        <f>L95*0.00788713</f>
        <v/>
      </c>
      <c r="AM95" s="7">
        <f>M95*0.00788713</f>
        <v/>
      </c>
      <c r="AN95" s="7">
        <f>N95*0.00788713</f>
        <v/>
      </c>
      <c r="AO95" s="7">
        <f>O95*0.00788713</f>
        <v/>
      </c>
      <c r="AP95" s="7">
        <f>P95*0.00788713</f>
        <v/>
      </c>
      <c r="AQ95" s="7">
        <f>Q95*0.00788713</f>
        <v/>
      </c>
      <c r="AR95" s="7">
        <f>R95*0.00788713</f>
        <v/>
      </c>
      <c r="AS95" s="7">
        <f>S95*0.00788713</f>
        <v/>
      </c>
      <c r="AT95" s="7">
        <f>T95*0.00788713</f>
        <v/>
      </c>
      <c r="AU95" s="7">
        <f>U95*0.00788713</f>
        <v/>
      </c>
      <c r="AV95" s="7">
        <f>V95*0.00788713</f>
        <v/>
      </c>
      <c r="AW95" s="7">
        <f>W95*0.00788713</f>
        <v/>
      </c>
      <c r="AX95" s="7">
        <f>X95*0.00788713</f>
        <v/>
      </c>
      <c r="AY95" s="7">
        <f>Y95*0.00788713</f>
        <v/>
      </c>
      <c r="AZ95" s="7">
        <f>Z95*0.00788713</f>
        <v/>
      </c>
      <c r="BA95" s="7">
        <f>AA95*0.00788713</f>
        <v/>
      </c>
      <c r="BB95" s="7">
        <f>SUM(AD95:BA95)</f>
        <v/>
      </c>
    </row>
    <row r="96">
      <c r="A96" t="inlineStr">
        <is>
          <t>AMD-RTS-RCLS-1302-SSC</t>
        </is>
      </c>
      <c r="B96" t="inlineStr">
        <is>
          <t>Rev OSC</t>
        </is>
      </c>
      <c r="C96" s="5" t="n">
        <v>46103</v>
      </c>
      <c r="D96" s="6" t="n">
        <v>0</v>
      </c>
      <c r="E96" s="6" t="n">
        <v>1</v>
      </c>
      <c r="F96" s="6" t="n">
        <v>1</v>
      </c>
      <c r="G96" s="6" t="n">
        <v>1</v>
      </c>
      <c r="H96" s="6" t="n">
        <v>0</v>
      </c>
      <c r="I96" s="6" t="n">
        <v>1</v>
      </c>
      <c r="J96" s="6" t="n">
        <v>1</v>
      </c>
      <c r="K96" s="6" t="n">
        <v>0</v>
      </c>
      <c r="L96" s="6" t="n">
        <v>0</v>
      </c>
      <c r="M96" s="6" t="n">
        <v>0</v>
      </c>
      <c r="N96" s="6" t="n">
        <v>0</v>
      </c>
      <c r="O96" s="6" t="n">
        <v>0</v>
      </c>
      <c r="P96" s="6" t="n">
        <v>0</v>
      </c>
      <c r="Q96" s="6" t="n">
        <v>0</v>
      </c>
      <c r="R96" s="6" t="n">
        <v>0</v>
      </c>
      <c r="S96" s="6" t="n">
        <v>0</v>
      </c>
      <c r="T96" s="6" t="n">
        <v>0</v>
      </c>
      <c r="U96" s="6" t="n">
        <v>1</v>
      </c>
      <c r="V96" s="6" t="n">
        <v>0</v>
      </c>
      <c r="W96" s="6" t="n">
        <v>1</v>
      </c>
      <c r="X96" s="6" t="n">
        <v>2</v>
      </c>
      <c r="Y96" s="6" t="n">
        <v>3</v>
      </c>
      <c r="Z96" s="6" t="n">
        <v>0</v>
      </c>
      <c r="AA96" s="6" t="n">
        <v>0</v>
      </c>
      <c r="AB96" s="6">
        <f>SUM(D96:AA96)</f>
        <v/>
      </c>
      <c r="AC96" s="3" t="inlineStr"/>
      <c r="AD96" s="7">
        <f>D96*0.00788713</f>
        <v/>
      </c>
      <c r="AE96" s="7">
        <f>E96*0.00788713</f>
        <v/>
      </c>
      <c r="AF96" s="7">
        <f>F96*0.00788713</f>
        <v/>
      </c>
      <c r="AG96" s="7">
        <f>G96*0.00788713</f>
        <v/>
      </c>
      <c r="AH96" s="7">
        <f>H96*0.00788713</f>
        <v/>
      </c>
      <c r="AI96" s="7">
        <f>I96*0.00788713</f>
        <v/>
      </c>
      <c r="AJ96" s="7">
        <f>J96*0.00788713</f>
        <v/>
      </c>
      <c r="AK96" s="7">
        <f>K96*0.00788713</f>
        <v/>
      </c>
      <c r="AL96" s="7">
        <f>L96*0.00788713</f>
        <v/>
      </c>
      <c r="AM96" s="7">
        <f>M96*0.00788713</f>
        <v/>
      </c>
      <c r="AN96" s="7">
        <f>N96*0.00788713</f>
        <v/>
      </c>
      <c r="AO96" s="7">
        <f>O96*0.00788713</f>
        <v/>
      </c>
      <c r="AP96" s="7">
        <f>P96*0.00788713</f>
        <v/>
      </c>
      <c r="AQ96" s="7">
        <f>Q96*0.00788713</f>
        <v/>
      </c>
      <c r="AR96" s="7">
        <f>R96*0.00788713</f>
        <v/>
      </c>
      <c r="AS96" s="7">
        <f>S96*0.00788713</f>
        <v/>
      </c>
      <c r="AT96" s="7">
        <f>T96*0.00788713</f>
        <v/>
      </c>
      <c r="AU96" s="7">
        <f>U96*0.00788713</f>
        <v/>
      </c>
      <c r="AV96" s="7">
        <f>V96*0.00788713</f>
        <v/>
      </c>
      <c r="AW96" s="7">
        <f>W96*0.00788713</f>
        <v/>
      </c>
      <c r="AX96" s="7">
        <f>X96*0.00788713</f>
        <v/>
      </c>
      <c r="AY96" s="7">
        <f>Y96*0.00788713</f>
        <v/>
      </c>
      <c r="AZ96" s="7">
        <f>Z96*0.00788713</f>
        <v/>
      </c>
      <c r="BA96" s="7">
        <f>AA96*0.00788713</f>
        <v/>
      </c>
      <c r="BB96" s="7">
        <f>SUM(AD96:BA96)</f>
        <v/>
      </c>
    </row>
    <row r="97">
      <c r="A97" t="inlineStr">
        <is>
          <t>AMD-RTS-RCLS-1302-SSC</t>
        </is>
      </c>
      <c r="B97" t="inlineStr">
        <is>
          <t>Rev OSC</t>
        </is>
      </c>
      <c r="C97" s="5" t="n">
        <v>46104</v>
      </c>
      <c r="D97" s="6" t="n">
        <v>0</v>
      </c>
      <c r="E97" s="6" t="n">
        <v>0</v>
      </c>
      <c r="F97" s="6" t="n">
        <v>0</v>
      </c>
      <c r="G97" s="6" t="n">
        <v>0</v>
      </c>
      <c r="H97" s="6" t="n">
        <v>0</v>
      </c>
      <c r="I97" s="6" t="n">
        <v>0</v>
      </c>
      <c r="J97" s="6" t="n">
        <v>0</v>
      </c>
      <c r="K97" s="6" t="n">
        <v>0</v>
      </c>
      <c r="L97" s="6" t="n">
        <v>0</v>
      </c>
      <c r="M97" s="6" t="n">
        <v>0</v>
      </c>
      <c r="N97" s="6" t="n">
        <v>0</v>
      </c>
      <c r="O97" s="6" t="n">
        <v>0</v>
      </c>
      <c r="P97" s="6" t="n">
        <v>0</v>
      </c>
      <c r="Q97" s="6" t="n">
        <v>0</v>
      </c>
      <c r="R97" s="6" t="n">
        <v>2</v>
      </c>
      <c r="S97" s="6" t="n">
        <v>1</v>
      </c>
      <c r="T97" s="6" t="n">
        <v>0</v>
      </c>
      <c r="U97" s="6" t="n">
        <v>2</v>
      </c>
      <c r="V97" s="6" t="n">
        <v>1</v>
      </c>
      <c r="W97" s="6" t="n">
        <v>2</v>
      </c>
      <c r="X97" s="6" t="n">
        <v>2</v>
      </c>
      <c r="Y97" s="6" t="n">
        <v>1</v>
      </c>
      <c r="Z97" s="6" t="n">
        <v>0</v>
      </c>
      <c r="AA97" s="6" t="n">
        <v>0</v>
      </c>
      <c r="AB97" s="6">
        <f>SUM(D97:AA97)</f>
        <v/>
      </c>
      <c r="AC97" s="3" t="inlineStr"/>
      <c r="AD97" s="7">
        <f>D97*0.00788713</f>
        <v/>
      </c>
      <c r="AE97" s="7">
        <f>E97*0.00788713</f>
        <v/>
      </c>
      <c r="AF97" s="7">
        <f>F97*0.00788713</f>
        <v/>
      </c>
      <c r="AG97" s="7">
        <f>G97*0.00788713</f>
        <v/>
      </c>
      <c r="AH97" s="7">
        <f>H97*0.00788713</f>
        <v/>
      </c>
      <c r="AI97" s="7">
        <f>I97*0.00788713</f>
        <v/>
      </c>
      <c r="AJ97" s="7">
        <f>J97*0.00788713</f>
        <v/>
      </c>
      <c r="AK97" s="7">
        <f>K97*0.00788713</f>
        <v/>
      </c>
      <c r="AL97" s="7">
        <f>L97*0.00788713</f>
        <v/>
      </c>
      <c r="AM97" s="7">
        <f>M97*0.00788713</f>
        <v/>
      </c>
      <c r="AN97" s="7">
        <f>N97*0.00788713</f>
        <v/>
      </c>
      <c r="AO97" s="7">
        <f>O97*0.00788713</f>
        <v/>
      </c>
      <c r="AP97" s="7">
        <f>P97*0.00788713</f>
        <v/>
      </c>
      <c r="AQ97" s="7">
        <f>Q97*0.00788713</f>
        <v/>
      </c>
      <c r="AR97" s="7">
        <f>R97*0.00788713</f>
        <v/>
      </c>
      <c r="AS97" s="7">
        <f>S97*0.00788713</f>
        <v/>
      </c>
      <c r="AT97" s="7">
        <f>T97*0.00788713</f>
        <v/>
      </c>
      <c r="AU97" s="7">
        <f>U97*0.00788713</f>
        <v/>
      </c>
      <c r="AV97" s="7">
        <f>V97*0.00788713</f>
        <v/>
      </c>
      <c r="AW97" s="7">
        <f>W97*0.00788713</f>
        <v/>
      </c>
      <c r="AX97" s="7">
        <f>X97*0.00788713</f>
        <v/>
      </c>
      <c r="AY97" s="7">
        <f>Y97*0.00788713</f>
        <v/>
      </c>
      <c r="AZ97" s="7">
        <f>Z97*0.00788713</f>
        <v/>
      </c>
      <c r="BA97" s="7">
        <f>AA97*0.00788713</f>
        <v/>
      </c>
      <c r="BB97" s="7">
        <f>SUM(AD97:BA97)</f>
        <v/>
      </c>
    </row>
    <row r="98">
      <c r="A98" t="inlineStr">
        <is>
          <t>AMD-RTS-RCLS-1302-SSC</t>
        </is>
      </c>
      <c r="B98" t="inlineStr">
        <is>
          <t>Rev OSC</t>
        </is>
      </c>
      <c r="C98" s="5" t="n">
        <v>46105</v>
      </c>
      <c r="D98" s="6" t="n">
        <v>0</v>
      </c>
      <c r="E98" s="6" t="n">
        <v>0</v>
      </c>
      <c r="F98" s="6" t="n">
        <v>1</v>
      </c>
      <c r="G98" s="6" t="n">
        <v>1</v>
      </c>
      <c r="H98" s="6" t="n">
        <v>1</v>
      </c>
      <c r="I98" s="6" t="n">
        <v>0</v>
      </c>
      <c r="J98" s="6" t="n">
        <v>0</v>
      </c>
      <c r="K98" s="6" t="n">
        <v>0</v>
      </c>
      <c r="L98" s="6" t="n">
        <v>0</v>
      </c>
      <c r="M98" s="6" t="n">
        <v>0</v>
      </c>
      <c r="N98" s="6" t="n">
        <v>0</v>
      </c>
      <c r="O98" s="6" t="n">
        <v>0</v>
      </c>
      <c r="P98" s="6" t="n">
        <v>0</v>
      </c>
      <c r="Q98" s="6" t="n">
        <v>0</v>
      </c>
      <c r="R98" s="6" t="n">
        <v>2</v>
      </c>
      <c r="S98" s="6" t="n">
        <v>1</v>
      </c>
      <c r="T98" s="6" t="n">
        <v>0</v>
      </c>
      <c r="U98" s="6" t="n">
        <v>1</v>
      </c>
      <c r="V98" s="6" t="n">
        <v>2</v>
      </c>
      <c r="W98" s="6" t="n">
        <v>0</v>
      </c>
      <c r="X98" s="6" t="n">
        <v>0</v>
      </c>
      <c r="Y98" s="6" t="n">
        <v>0</v>
      </c>
      <c r="Z98" s="6" t="n">
        <v>0</v>
      </c>
      <c r="AA98" s="6" t="n">
        <v>0</v>
      </c>
      <c r="AB98" s="6">
        <f>SUM(D98:AA98)</f>
        <v/>
      </c>
      <c r="AC98" s="3" t="inlineStr"/>
      <c r="AD98" s="7">
        <f>D98*0.00788713</f>
        <v/>
      </c>
      <c r="AE98" s="7">
        <f>E98*0.00788713</f>
        <v/>
      </c>
      <c r="AF98" s="7">
        <f>F98*0.00788713</f>
        <v/>
      </c>
      <c r="AG98" s="7">
        <f>G98*0.00788713</f>
        <v/>
      </c>
      <c r="AH98" s="7">
        <f>H98*0.00788713</f>
        <v/>
      </c>
      <c r="AI98" s="7">
        <f>I98*0.00788713</f>
        <v/>
      </c>
      <c r="AJ98" s="7">
        <f>J98*0.00788713</f>
        <v/>
      </c>
      <c r="AK98" s="7">
        <f>K98*0.00788713</f>
        <v/>
      </c>
      <c r="AL98" s="7">
        <f>L98*0.00788713</f>
        <v/>
      </c>
      <c r="AM98" s="7">
        <f>M98*0.00788713</f>
        <v/>
      </c>
      <c r="AN98" s="7">
        <f>N98*0.00788713</f>
        <v/>
      </c>
      <c r="AO98" s="7">
        <f>O98*0.00788713</f>
        <v/>
      </c>
      <c r="AP98" s="7">
        <f>P98*0.00788713</f>
        <v/>
      </c>
      <c r="AQ98" s="7">
        <f>Q98*0.00788713</f>
        <v/>
      </c>
      <c r="AR98" s="7">
        <f>R98*0.00788713</f>
        <v/>
      </c>
      <c r="AS98" s="7">
        <f>S98*0.00788713</f>
        <v/>
      </c>
      <c r="AT98" s="7">
        <f>T98*0.00788713</f>
        <v/>
      </c>
      <c r="AU98" s="7">
        <f>U98*0.00788713</f>
        <v/>
      </c>
      <c r="AV98" s="7">
        <f>V98*0.00788713</f>
        <v/>
      </c>
      <c r="AW98" s="7">
        <f>W98*0.00788713</f>
        <v/>
      </c>
      <c r="AX98" s="7">
        <f>X98*0.00788713</f>
        <v/>
      </c>
      <c r="AY98" s="7">
        <f>Y98*0.00788713</f>
        <v/>
      </c>
      <c r="AZ98" s="7">
        <f>Z98*0.00788713</f>
        <v/>
      </c>
      <c r="BA98" s="7">
        <f>AA98*0.00788713</f>
        <v/>
      </c>
      <c r="BB98" s="7">
        <f>SUM(AD98:BA98)</f>
        <v/>
      </c>
    </row>
    <row r="99">
      <c r="A99" t="inlineStr">
        <is>
          <t>AMD-RTS-RCLS-1302-SSC_1</t>
        </is>
      </c>
      <c r="B99" t="inlineStr">
        <is>
          <t>Rev OSC</t>
        </is>
      </c>
      <c r="C99" s="5" t="n">
        <v>46090</v>
      </c>
      <c r="D99" s="6" t="n">
        <v>0</v>
      </c>
      <c r="E99" s="6" t="n">
        <v>0</v>
      </c>
      <c r="F99" s="6" t="n">
        <v>0</v>
      </c>
      <c r="G99" s="6" t="n">
        <v>0</v>
      </c>
      <c r="H99" s="6" t="n">
        <v>0</v>
      </c>
      <c r="I99" s="6" t="n">
        <v>0</v>
      </c>
      <c r="J99" s="6" t="n">
        <v>0</v>
      </c>
      <c r="K99" s="6" t="n">
        <v>0</v>
      </c>
      <c r="L99" s="6" t="n">
        <v>0</v>
      </c>
      <c r="M99" s="6" t="n">
        <v>0</v>
      </c>
      <c r="N99" s="6" t="n">
        <v>0</v>
      </c>
      <c r="O99" s="6" t="n">
        <v>0</v>
      </c>
      <c r="P99" s="6" t="n">
        <v>0</v>
      </c>
      <c r="Q99" s="6" t="n">
        <v>0</v>
      </c>
      <c r="R99" s="6" t="n">
        <v>0</v>
      </c>
      <c r="S99" s="6" t="n">
        <v>0</v>
      </c>
      <c r="T99" s="6" t="n">
        <v>0</v>
      </c>
      <c r="U99" s="6" t="n">
        <v>0</v>
      </c>
      <c r="V99" s="6" t="n">
        <v>0</v>
      </c>
      <c r="W99" s="6" t="n">
        <v>0</v>
      </c>
      <c r="X99" s="6" t="n">
        <v>0</v>
      </c>
      <c r="Y99" s="6" t="n">
        <v>1</v>
      </c>
      <c r="Z99" s="6" t="n">
        <v>0</v>
      </c>
      <c r="AA99" s="6" t="n">
        <v>0</v>
      </c>
      <c r="AB99" s="6">
        <f>SUM(D99:AA99)</f>
        <v/>
      </c>
      <c r="AC99" s="3" t="inlineStr"/>
      <c r="AD99" s="7">
        <f>D99*0.00788713</f>
        <v/>
      </c>
      <c r="AE99" s="7">
        <f>E99*0.00788713</f>
        <v/>
      </c>
      <c r="AF99" s="7">
        <f>F99*0.00788713</f>
        <v/>
      </c>
      <c r="AG99" s="7">
        <f>G99*0.00788713</f>
        <v/>
      </c>
      <c r="AH99" s="7">
        <f>H99*0.00788713</f>
        <v/>
      </c>
      <c r="AI99" s="7">
        <f>I99*0.00788713</f>
        <v/>
      </c>
      <c r="AJ99" s="7">
        <f>J99*0.00788713</f>
        <v/>
      </c>
      <c r="AK99" s="7">
        <f>K99*0.00788713</f>
        <v/>
      </c>
      <c r="AL99" s="7">
        <f>L99*0.00788713</f>
        <v/>
      </c>
      <c r="AM99" s="7">
        <f>M99*0.00788713</f>
        <v/>
      </c>
      <c r="AN99" s="7">
        <f>N99*0.00788713</f>
        <v/>
      </c>
      <c r="AO99" s="7">
        <f>O99*0.00788713</f>
        <v/>
      </c>
      <c r="AP99" s="7">
        <f>P99*0.00788713</f>
        <v/>
      </c>
      <c r="AQ99" s="7">
        <f>Q99*0.00788713</f>
        <v/>
      </c>
      <c r="AR99" s="7">
        <f>R99*0.00788713</f>
        <v/>
      </c>
      <c r="AS99" s="7">
        <f>S99*0.00788713</f>
        <v/>
      </c>
      <c r="AT99" s="7">
        <f>T99*0.00788713</f>
        <v/>
      </c>
      <c r="AU99" s="7">
        <f>U99*0.00788713</f>
        <v/>
      </c>
      <c r="AV99" s="7">
        <f>V99*0.00788713</f>
        <v/>
      </c>
      <c r="AW99" s="7">
        <f>W99*0.00788713</f>
        <v/>
      </c>
      <c r="AX99" s="7">
        <f>X99*0.00788713</f>
        <v/>
      </c>
      <c r="AY99" s="7">
        <f>Y99*0.00788713</f>
        <v/>
      </c>
      <c r="AZ99" s="7">
        <f>Z99*0.00788713</f>
        <v/>
      </c>
      <c r="BA99" s="7">
        <f>AA99*0.00788713</f>
        <v/>
      </c>
      <c r="BB99" s="7">
        <f>SUM(AD99:BA99)</f>
        <v/>
      </c>
    </row>
    <row r="100">
      <c r="A100" t="inlineStr">
        <is>
          <t>AMD-RTS-RCLS-1302-SSC_1</t>
        </is>
      </c>
      <c r="B100" t="inlineStr">
        <is>
          <t>Rev OSC</t>
        </is>
      </c>
      <c r="C100" s="5" t="n">
        <v>46093</v>
      </c>
      <c r="D100" s="6" t="n">
        <v>0</v>
      </c>
      <c r="E100" s="6" t="n">
        <v>0</v>
      </c>
      <c r="F100" s="6" t="n">
        <v>0</v>
      </c>
      <c r="G100" s="6" t="n">
        <v>0</v>
      </c>
      <c r="H100" s="6" t="n">
        <v>0</v>
      </c>
      <c r="I100" s="6" t="n">
        <v>0</v>
      </c>
      <c r="J100" s="6" t="n">
        <v>0</v>
      </c>
      <c r="K100" s="6" t="n">
        <v>0</v>
      </c>
      <c r="L100" s="6" t="n">
        <v>0</v>
      </c>
      <c r="M100" s="6" t="n">
        <v>0</v>
      </c>
      <c r="N100" s="6" t="n">
        <v>0</v>
      </c>
      <c r="O100" s="6" t="n">
        <v>0</v>
      </c>
      <c r="P100" s="6" t="n">
        <v>0</v>
      </c>
      <c r="Q100" s="6" t="n">
        <v>0</v>
      </c>
      <c r="R100" s="6" t="n">
        <v>0</v>
      </c>
      <c r="S100" s="6" t="n">
        <v>0</v>
      </c>
      <c r="T100" s="6" t="n">
        <v>0</v>
      </c>
      <c r="U100" s="6" t="n">
        <v>0</v>
      </c>
      <c r="V100" s="6" t="n">
        <v>0</v>
      </c>
      <c r="W100" s="6" t="n">
        <v>0</v>
      </c>
      <c r="X100" s="6" t="n">
        <v>0</v>
      </c>
      <c r="Y100" s="6" t="n">
        <v>0</v>
      </c>
      <c r="Z100" s="6" t="n">
        <v>0</v>
      </c>
      <c r="AA100" s="6" t="n">
        <v>0</v>
      </c>
      <c r="AB100" s="6">
        <f>SUM(D100:AA100)</f>
        <v/>
      </c>
      <c r="AC100" s="3" t="inlineStr"/>
      <c r="AD100" s="7">
        <f>D100*0.00788713</f>
        <v/>
      </c>
      <c r="AE100" s="7">
        <f>E100*0.00788713</f>
        <v/>
      </c>
      <c r="AF100" s="7">
        <f>F100*0.00788713</f>
        <v/>
      </c>
      <c r="AG100" s="7">
        <f>G100*0.00788713</f>
        <v/>
      </c>
      <c r="AH100" s="7">
        <f>H100*0.00788713</f>
        <v/>
      </c>
      <c r="AI100" s="7">
        <f>I100*0.00788713</f>
        <v/>
      </c>
      <c r="AJ100" s="7">
        <f>J100*0.00788713</f>
        <v/>
      </c>
      <c r="AK100" s="7">
        <f>K100*0.00788713</f>
        <v/>
      </c>
      <c r="AL100" s="7">
        <f>L100*0.00788713</f>
        <v/>
      </c>
      <c r="AM100" s="7">
        <f>M100*0.00788713</f>
        <v/>
      </c>
      <c r="AN100" s="7">
        <f>N100*0.00788713</f>
        <v/>
      </c>
      <c r="AO100" s="7">
        <f>O100*0.00788713</f>
        <v/>
      </c>
      <c r="AP100" s="7">
        <f>P100*0.00788713</f>
        <v/>
      </c>
      <c r="AQ100" s="7">
        <f>Q100*0.00788713</f>
        <v/>
      </c>
      <c r="AR100" s="7">
        <f>R100*0.00788713</f>
        <v/>
      </c>
      <c r="AS100" s="7">
        <f>S100*0.00788713</f>
        <v/>
      </c>
      <c r="AT100" s="7">
        <f>T100*0.00788713</f>
        <v/>
      </c>
      <c r="AU100" s="7">
        <f>U100*0.00788713</f>
        <v/>
      </c>
      <c r="AV100" s="7">
        <f>V100*0.00788713</f>
        <v/>
      </c>
      <c r="AW100" s="7">
        <f>W100*0.00788713</f>
        <v/>
      </c>
      <c r="AX100" s="7">
        <f>X100*0.00788713</f>
        <v/>
      </c>
      <c r="AY100" s="7">
        <f>Y100*0.00788713</f>
        <v/>
      </c>
      <c r="AZ100" s="7">
        <f>Z100*0.00788713</f>
        <v/>
      </c>
      <c r="BA100" s="7">
        <f>AA100*0.00788713</f>
        <v/>
      </c>
      <c r="BB100" s="7">
        <f>SUM(AD100:BA100)</f>
        <v/>
      </c>
    </row>
    <row r="101">
      <c r="A101" t="inlineStr">
        <is>
          <t>AMD-RTS-RCLS-1302-SSC_1</t>
        </is>
      </c>
      <c r="B101" t="inlineStr">
        <is>
          <t>Rev OSC</t>
        </is>
      </c>
      <c r="C101" s="5" t="n">
        <v>46094</v>
      </c>
      <c r="D101" s="6" t="n">
        <v>0</v>
      </c>
      <c r="E101" s="6" t="n">
        <v>0</v>
      </c>
      <c r="F101" s="6" t="n">
        <v>0</v>
      </c>
      <c r="G101" s="6" t="n">
        <v>0</v>
      </c>
      <c r="H101" s="6" t="n">
        <v>0</v>
      </c>
      <c r="I101" s="6" t="n">
        <v>0</v>
      </c>
      <c r="J101" s="6" t="n">
        <v>0</v>
      </c>
      <c r="K101" s="6" t="n">
        <v>0</v>
      </c>
      <c r="L101" s="6" t="n">
        <v>0</v>
      </c>
      <c r="M101" s="6" t="n">
        <v>0</v>
      </c>
      <c r="N101" s="6" t="n">
        <v>0</v>
      </c>
      <c r="O101" s="6" t="n">
        <v>0</v>
      </c>
      <c r="P101" s="6" t="n">
        <v>0</v>
      </c>
      <c r="Q101" s="6" t="n">
        <v>0</v>
      </c>
      <c r="R101" s="6" t="n">
        <v>0</v>
      </c>
      <c r="S101" s="6" t="n">
        <v>0</v>
      </c>
      <c r="T101" s="6" t="n">
        <v>0</v>
      </c>
      <c r="U101" s="6" t="n">
        <v>0</v>
      </c>
      <c r="V101" s="6" t="n">
        <v>0</v>
      </c>
      <c r="W101" s="6" t="n">
        <v>0</v>
      </c>
      <c r="X101" s="6" t="n">
        <v>0</v>
      </c>
      <c r="Y101" s="6" t="n">
        <v>0</v>
      </c>
      <c r="Z101" s="6" t="n">
        <v>0</v>
      </c>
      <c r="AA101" s="6" t="n">
        <v>0</v>
      </c>
      <c r="AB101" s="6">
        <f>SUM(D101:AA101)</f>
        <v/>
      </c>
      <c r="AC101" s="3" t="inlineStr"/>
      <c r="AD101" s="7">
        <f>D101*0.00788713</f>
        <v/>
      </c>
      <c r="AE101" s="7">
        <f>E101*0.00788713</f>
        <v/>
      </c>
      <c r="AF101" s="7">
        <f>F101*0.00788713</f>
        <v/>
      </c>
      <c r="AG101" s="7">
        <f>G101*0.00788713</f>
        <v/>
      </c>
      <c r="AH101" s="7">
        <f>H101*0.00788713</f>
        <v/>
      </c>
      <c r="AI101" s="7">
        <f>I101*0.00788713</f>
        <v/>
      </c>
      <c r="AJ101" s="7">
        <f>J101*0.00788713</f>
        <v/>
      </c>
      <c r="AK101" s="7">
        <f>K101*0.00788713</f>
        <v/>
      </c>
      <c r="AL101" s="7">
        <f>L101*0.00788713</f>
        <v/>
      </c>
      <c r="AM101" s="7">
        <f>M101*0.00788713</f>
        <v/>
      </c>
      <c r="AN101" s="7">
        <f>N101*0.00788713</f>
        <v/>
      </c>
      <c r="AO101" s="7">
        <f>O101*0.00788713</f>
        <v/>
      </c>
      <c r="AP101" s="7">
        <f>P101*0.00788713</f>
        <v/>
      </c>
      <c r="AQ101" s="7">
        <f>Q101*0.00788713</f>
        <v/>
      </c>
      <c r="AR101" s="7">
        <f>R101*0.00788713</f>
        <v/>
      </c>
      <c r="AS101" s="7">
        <f>S101*0.00788713</f>
        <v/>
      </c>
      <c r="AT101" s="7">
        <f>T101*0.00788713</f>
        <v/>
      </c>
      <c r="AU101" s="7">
        <f>U101*0.00788713</f>
        <v/>
      </c>
      <c r="AV101" s="7">
        <f>V101*0.00788713</f>
        <v/>
      </c>
      <c r="AW101" s="7">
        <f>W101*0.00788713</f>
        <v/>
      </c>
      <c r="AX101" s="7">
        <f>X101*0.00788713</f>
        <v/>
      </c>
      <c r="AY101" s="7">
        <f>Y101*0.00788713</f>
        <v/>
      </c>
      <c r="AZ101" s="7">
        <f>Z101*0.00788713</f>
        <v/>
      </c>
      <c r="BA101" s="7">
        <f>AA101*0.00788713</f>
        <v/>
      </c>
      <c r="BB101" s="7">
        <f>SUM(AD101:BA101)</f>
        <v/>
      </c>
    </row>
    <row r="102">
      <c r="A102" t="inlineStr">
        <is>
          <t>AMD-RTS-RCLS-1302-SSC_1</t>
        </is>
      </c>
      <c r="B102" t="inlineStr">
        <is>
          <t>Rev OSC</t>
        </is>
      </c>
      <c r="C102" s="5" t="n">
        <v>46095</v>
      </c>
      <c r="D102" s="6" t="n">
        <v>0</v>
      </c>
      <c r="E102" s="6" t="n">
        <v>0</v>
      </c>
      <c r="F102" s="6" t="n">
        <v>0</v>
      </c>
      <c r="G102" s="6" t="n">
        <v>0</v>
      </c>
      <c r="H102" s="6" t="n">
        <v>0</v>
      </c>
      <c r="I102" s="6" t="n">
        <v>0</v>
      </c>
      <c r="J102" s="6" t="n">
        <v>0</v>
      </c>
      <c r="K102" s="6" t="n">
        <v>0</v>
      </c>
      <c r="L102" s="6" t="n">
        <v>0</v>
      </c>
      <c r="M102" s="6" t="n">
        <v>0</v>
      </c>
      <c r="N102" s="6" t="n">
        <v>0</v>
      </c>
      <c r="O102" s="6" t="n">
        <v>0</v>
      </c>
      <c r="P102" s="6" t="n">
        <v>0</v>
      </c>
      <c r="Q102" s="6" t="n">
        <v>0</v>
      </c>
      <c r="R102" s="6" t="n">
        <v>0</v>
      </c>
      <c r="S102" s="6" t="n">
        <v>0</v>
      </c>
      <c r="T102" s="6" t="n">
        <v>0</v>
      </c>
      <c r="U102" s="6" t="n">
        <v>0</v>
      </c>
      <c r="V102" s="6" t="n">
        <v>0</v>
      </c>
      <c r="W102" s="6" t="n">
        <v>0</v>
      </c>
      <c r="X102" s="6" t="n">
        <v>0</v>
      </c>
      <c r="Y102" s="6" t="n">
        <v>0</v>
      </c>
      <c r="Z102" s="6" t="n">
        <v>0</v>
      </c>
      <c r="AA102" s="6" t="n">
        <v>0</v>
      </c>
      <c r="AB102" s="6">
        <f>SUM(D102:AA102)</f>
        <v/>
      </c>
      <c r="AC102" s="3" t="inlineStr"/>
      <c r="AD102" s="7">
        <f>D102*0.00788713</f>
        <v/>
      </c>
      <c r="AE102" s="7">
        <f>E102*0.00788713</f>
        <v/>
      </c>
      <c r="AF102" s="7">
        <f>F102*0.00788713</f>
        <v/>
      </c>
      <c r="AG102" s="7">
        <f>G102*0.00788713</f>
        <v/>
      </c>
      <c r="AH102" s="7">
        <f>H102*0.00788713</f>
        <v/>
      </c>
      <c r="AI102" s="7">
        <f>I102*0.00788713</f>
        <v/>
      </c>
      <c r="AJ102" s="7">
        <f>J102*0.00788713</f>
        <v/>
      </c>
      <c r="AK102" s="7">
        <f>K102*0.00788713</f>
        <v/>
      </c>
      <c r="AL102" s="7">
        <f>L102*0.00788713</f>
        <v/>
      </c>
      <c r="AM102" s="7">
        <f>M102*0.00788713</f>
        <v/>
      </c>
      <c r="AN102" s="7">
        <f>N102*0.00788713</f>
        <v/>
      </c>
      <c r="AO102" s="7">
        <f>O102*0.00788713</f>
        <v/>
      </c>
      <c r="AP102" s="7">
        <f>P102*0.00788713</f>
        <v/>
      </c>
      <c r="AQ102" s="7">
        <f>Q102*0.00788713</f>
        <v/>
      </c>
      <c r="AR102" s="7">
        <f>R102*0.00788713</f>
        <v/>
      </c>
      <c r="AS102" s="7">
        <f>S102*0.00788713</f>
        <v/>
      </c>
      <c r="AT102" s="7">
        <f>T102*0.00788713</f>
        <v/>
      </c>
      <c r="AU102" s="7">
        <f>U102*0.00788713</f>
        <v/>
      </c>
      <c r="AV102" s="7">
        <f>V102*0.00788713</f>
        <v/>
      </c>
      <c r="AW102" s="7">
        <f>W102*0.00788713</f>
        <v/>
      </c>
      <c r="AX102" s="7">
        <f>X102*0.00788713</f>
        <v/>
      </c>
      <c r="AY102" s="7">
        <f>Y102*0.00788713</f>
        <v/>
      </c>
      <c r="AZ102" s="7">
        <f>Z102*0.00788713</f>
        <v/>
      </c>
      <c r="BA102" s="7">
        <f>AA102*0.00788713</f>
        <v/>
      </c>
      <c r="BB102" s="7">
        <f>SUM(AD102:BA102)</f>
        <v/>
      </c>
    </row>
    <row r="103">
      <c r="A103" t="inlineStr">
        <is>
          <t>AMD-RTS-RCLS-1302-SSC_1</t>
        </is>
      </c>
      <c r="B103" t="inlineStr">
        <is>
          <t>Rev OSC</t>
        </is>
      </c>
      <c r="C103" s="5" t="n">
        <v>46100</v>
      </c>
      <c r="D103" s="6" t="n">
        <v>0</v>
      </c>
      <c r="E103" s="6" t="n">
        <v>0</v>
      </c>
      <c r="F103" s="6" t="n">
        <v>0</v>
      </c>
      <c r="G103" s="6" t="n">
        <v>0</v>
      </c>
      <c r="H103" s="6" t="n">
        <v>0</v>
      </c>
      <c r="I103" s="6" t="n">
        <v>0</v>
      </c>
      <c r="J103" s="6" t="n">
        <v>0</v>
      </c>
      <c r="K103" s="6" t="n">
        <v>0</v>
      </c>
      <c r="L103" s="6" t="n">
        <v>0</v>
      </c>
      <c r="M103" s="6" t="n">
        <v>0</v>
      </c>
      <c r="N103" s="6" t="n">
        <v>0</v>
      </c>
      <c r="O103" s="6" t="n">
        <v>0</v>
      </c>
      <c r="P103" s="6" t="n">
        <v>0</v>
      </c>
      <c r="Q103" s="6" t="n">
        <v>0</v>
      </c>
      <c r="R103" s="6" t="n">
        <v>0</v>
      </c>
      <c r="S103" s="6" t="n">
        <v>0</v>
      </c>
      <c r="T103" s="6" t="n">
        <v>0</v>
      </c>
      <c r="U103" s="6" t="n">
        <v>0</v>
      </c>
      <c r="V103" s="6" t="n">
        <v>0</v>
      </c>
      <c r="W103" s="6" t="n">
        <v>0</v>
      </c>
      <c r="X103" s="6" t="n">
        <v>0</v>
      </c>
      <c r="Y103" s="6" t="n">
        <v>0</v>
      </c>
      <c r="Z103" s="6" t="n">
        <v>0</v>
      </c>
      <c r="AA103" s="6" t="n">
        <v>0</v>
      </c>
      <c r="AB103" s="6">
        <f>SUM(D103:AA103)</f>
        <v/>
      </c>
      <c r="AC103" s="3" t="inlineStr"/>
      <c r="AD103" s="7">
        <f>D103*0.00788713</f>
        <v/>
      </c>
      <c r="AE103" s="7">
        <f>E103*0.00788713</f>
        <v/>
      </c>
      <c r="AF103" s="7">
        <f>F103*0.00788713</f>
        <v/>
      </c>
      <c r="AG103" s="7">
        <f>G103*0.00788713</f>
        <v/>
      </c>
      <c r="AH103" s="7">
        <f>H103*0.00788713</f>
        <v/>
      </c>
      <c r="AI103" s="7">
        <f>I103*0.00788713</f>
        <v/>
      </c>
      <c r="AJ103" s="7">
        <f>J103*0.00788713</f>
        <v/>
      </c>
      <c r="AK103" s="7">
        <f>K103*0.00788713</f>
        <v/>
      </c>
      <c r="AL103" s="7">
        <f>L103*0.00788713</f>
        <v/>
      </c>
      <c r="AM103" s="7">
        <f>M103*0.00788713</f>
        <v/>
      </c>
      <c r="AN103" s="7">
        <f>N103*0.00788713</f>
        <v/>
      </c>
      <c r="AO103" s="7">
        <f>O103*0.00788713</f>
        <v/>
      </c>
      <c r="AP103" s="7">
        <f>P103*0.00788713</f>
        <v/>
      </c>
      <c r="AQ103" s="7">
        <f>Q103*0.00788713</f>
        <v/>
      </c>
      <c r="AR103" s="7">
        <f>R103*0.00788713</f>
        <v/>
      </c>
      <c r="AS103" s="7">
        <f>S103*0.00788713</f>
        <v/>
      </c>
      <c r="AT103" s="7">
        <f>T103*0.00788713</f>
        <v/>
      </c>
      <c r="AU103" s="7">
        <f>U103*0.00788713</f>
        <v/>
      </c>
      <c r="AV103" s="7">
        <f>V103*0.00788713</f>
        <v/>
      </c>
      <c r="AW103" s="7">
        <f>W103*0.00788713</f>
        <v/>
      </c>
      <c r="AX103" s="7">
        <f>X103*0.00788713</f>
        <v/>
      </c>
      <c r="AY103" s="7">
        <f>Y103*0.00788713</f>
        <v/>
      </c>
      <c r="AZ103" s="7">
        <f>Z103*0.00788713</f>
        <v/>
      </c>
      <c r="BA103" s="7">
        <f>AA103*0.00788713</f>
        <v/>
      </c>
      <c r="BB103" s="7">
        <f>SUM(AD103:BA103)</f>
        <v/>
      </c>
    </row>
    <row r="104">
      <c r="A104" t="inlineStr">
        <is>
          <t>AMD-RTS-RCLS-1302-SSC_1</t>
        </is>
      </c>
      <c r="B104" t="inlineStr">
        <is>
          <t>Rev OSC</t>
        </is>
      </c>
      <c r="C104" s="5" t="n">
        <v>46102</v>
      </c>
      <c r="D104" s="6" t="n">
        <v>0</v>
      </c>
      <c r="E104" s="6" t="n">
        <v>0</v>
      </c>
      <c r="F104" s="6" t="n">
        <v>0</v>
      </c>
      <c r="G104" s="6" t="n">
        <v>0</v>
      </c>
      <c r="H104" s="6" t="n">
        <v>0</v>
      </c>
      <c r="I104" s="6" t="n">
        <v>0</v>
      </c>
      <c r="J104" s="6" t="n">
        <v>0</v>
      </c>
      <c r="K104" s="6" t="n">
        <v>0</v>
      </c>
      <c r="L104" s="6" t="n">
        <v>0</v>
      </c>
      <c r="M104" s="6" t="n">
        <v>0</v>
      </c>
      <c r="N104" s="6" t="n">
        <v>0</v>
      </c>
      <c r="O104" s="6" t="n">
        <v>0</v>
      </c>
      <c r="P104" s="6" t="n">
        <v>0</v>
      </c>
      <c r="Q104" s="6" t="n">
        <v>0</v>
      </c>
      <c r="R104" s="6" t="n">
        <v>1</v>
      </c>
      <c r="S104" s="6" t="n">
        <v>2</v>
      </c>
      <c r="T104" s="6" t="n">
        <v>1</v>
      </c>
      <c r="U104" s="6" t="n">
        <v>0</v>
      </c>
      <c r="V104" s="6" t="n">
        <v>0</v>
      </c>
      <c r="W104" s="6" t="n">
        <v>0</v>
      </c>
      <c r="X104" s="6" t="n">
        <v>0</v>
      </c>
      <c r="Y104" s="6" t="n">
        <v>0</v>
      </c>
      <c r="Z104" s="6" t="n">
        <v>0</v>
      </c>
      <c r="AA104" s="6" t="n">
        <v>0</v>
      </c>
      <c r="AB104" s="6">
        <f>SUM(D104:AA104)</f>
        <v/>
      </c>
      <c r="AC104" s="3" t="inlineStr"/>
      <c r="AD104" s="7">
        <f>D104*0.00788713</f>
        <v/>
      </c>
      <c r="AE104" s="7">
        <f>E104*0.00788713</f>
        <v/>
      </c>
      <c r="AF104" s="7">
        <f>F104*0.00788713</f>
        <v/>
      </c>
      <c r="AG104" s="7">
        <f>G104*0.00788713</f>
        <v/>
      </c>
      <c r="AH104" s="7">
        <f>H104*0.00788713</f>
        <v/>
      </c>
      <c r="AI104" s="7">
        <f>I104*0.00788713</f>
        <v/>
      </c>
      <c r="AJ104" s="7">
        <f>J104*0.00788713</f>
        <v/>
      </c>
      <c r="AK104" s="7">
        <f>K104*0.00788713</f>
        <v/>
      </c>
      <c r="AL104" s="7">
        <f>L104*0.00788713</f>
        <v/>
      </c>
      <c r="AM104" s="7">
        <f>M104*0.00788713</f>
        <v/>
      </c>
      <c r="AN104" s="7">
        <f>N104*0.00788713</f>
        <v/>
      </c>
      <c r="AO104" s="7">
        <f>O104*0.00788713</f>
        <v/>
      </c>
      <c r="AP104" s="7">
        <f>P104*0.00788713</f>
        <v/>
      </c>
      <c r="AQ104" s="7">
        <f>Q104*0.00788713</f>
        <v/>
      </c>
      <c r="AR104" s="7">
        <f>R104*0.00788713</f>
        <v/>
      </c>
      <c r="AS104" s="7">
        <f>S104*0.00788713</f>
        <v/>
      </c>
      <c r="AT104" s="7">
        <f>T104*0.00788713</f>
        <v/>
      </c>
      <c r="AU104" s="7">
        <f>U104*0.00788713</f>
        <v/>
      </c>
      <c r="AV104" s="7">
        <f>V104*0.00788713</f>
        <v/>
      </c>
      <c r="AW104" s="7">
        <f>W104*0.00788713</f>
        <v/>
      </c>
      <c r="AX104" s="7">
        <f>X104*0.00788713</f>
        <v/>
      </c>
      <c r="AY104" s="7">
        <f>Y104*0.00788713</f>
        <v/>
      </c>
      <c r="AZ104" s="7">
        <f>Z104*0.00788713</f>
        <v/>
      </c>
      <c r="BA104" s="7">
        <f>AA104*0.00788713</f>
        <v/>
      </c>
      <c r="BB104" s="7">
        <f>SUM(AD104:BA104)</f>
        <v/>
      </c>
    </row>
    <row r="105">
      <c r="A105" t="inlineStr">
        <is>
          <t>AMD-RTS-RCLS-1302-SSC_1</t>
        </is>
      </c>
      <c r="B105" t="inlineStr">
        <is>
          <t>Rev OSC</t>
        </is>
      </c>
      <c r="C105" s="5" t="n">
        <v>46103</v>
      </c>
      <c r="D105" s="6" t="n">
        <v>0</v>
      </c>
      <c r="E105" s="6" t="n">
        <v>0</v>
      </c>
      <c r="F105" s="6" t="n">
        <v>0</v>
      </c>
      <c r="G105" s="6" t="n">
        <v>0</v>
      </c>
      <c r="H105" s="6" t="n">
        <v>0</v>
      </c>
      <c r="I105" s="6" t="n">
        <v>0</v>
      </c>
      <c r="J105" s="6" t="n">
        <v>0</v>
      </c>
      <c r="K105" s="6" t="n">
        <v>0</v>
      </c>
      <c r="L105" s="6" t="n">
        <v>0</v>
      </c>
      <c r="M105" s="6" t="n">
        <v>0</v>
      </c>
      <c r="N105" s="6" t="n">
        <v>0</v>
      </c>
      <c r="O105" s="6" t="n">
        <v>0</v>
      </c>
      <c r="P105" s="6" t="n">
        <v>0</v>
      </c>
      <c r="Q105" s="6" t="n">
        <v>0</v>
      </c>
      <c r="R105" s="6" t="n">
        <v>0</v>
      </c>
      <c r="S105" s="6" t="n">
        <v>0</v>
      </c>
      <c r="T105" s="6" t="n">
        <v>1</v>
      </c>
      <c r="U105" s="6" t="n">
        <v>0</v>
      </c>
      <c r="V105" s="6" t="n">
        <v>0</v>
      </c>
      <c r="W105" s="6" t="n">
        <v>0</v>
      </c>
      <c r="X105" s="6" t="n">
        <v>0</v>
      </c>
      <c r="Y105" s="6" t="n">
        <v>0</v>
      </c>
      <c r="Z105" s="6" t="n">
        <v>0</v>
      </c>
      <c r="AA105" s="6" t="n">
        <v>0</v>
      </c>
      <c r="AB105" s="6">
        <f>SUM(D105:AA105)</f>
        <v/>
      </c>
      <c r="AC105" s="3" t="inlineStr"/>
      <c r="AD105" s="7">
        <f>D105*0.00788713</f>
        <v/>
      </c>
      <c r="AE105" s="7">
        <f>E105*0.00788713</f>
        <v/>
      </c>
      <c r="AF105" s="7">
        <f>F105*0.00788713</f>
        <v/>
      </c>
      <c r="AG105" s="7">
        <f>G105*0.00788713</f>
        <v/>
      </c>
      <c r="AH105" s="7">
        <f>H105*0.00788713</f>
        <v/>
      </c>
      <c r="AI105" s="7">
        <f>I105*0.00788713</f>
        <v/>
      </c>
      <c r="AJ105" s="7">
        <f>J105*0.00788713</f>
        <v/>
      </c>
      <c r="AK105" s="7">
        <f>K105*0.00788713</f>
        <v/>
      </c>
      <c r="AL105" s="7">
        <f>L105*0.00788713</f>
        <v/>
      </c>
      <c r="AM105" s="7">
        <f>M105*0.00788713</f>
        <v/>
      </c>
      <c r="AN105" s="7">
        <f>N105*0.00788713</f>
        <v/>
      </c>
      <c r="AO105" s="7">
        <f>O105*0.00788713</f>
        <v/>
      </c>
      <c r="AP105" s="7">
        <f>P105*0.00788713</f>
        <v/>
      </c>
      <c r="AQ105" s="7">
        <f>Q105*0.00788713</f>
        <v/>
      </c>
      <c r="AR105" s="7">
        <f>R105*0.00788713</f>
        <v/>
      </c>
      <c r="AS105" s="7">
        <f>S105*0.00788713</f>
        <v/>
      </c>
      <c r="AT105" s="7">
        <f>T105*0.00788713</f>
        <v/>
      </c>
      <c r="AU105" s="7">
        <f>U105*0.00788713</f>
        <v/>
      </c>
      <c r="AV105" s="7">
        <f>V105*0.00788713</f>
        <v/>
      </c>
      <c r="AW105" s="7">
        <f>W105*0.00788713</f>
        <v/>
      </c>
      <c r="AX105" s="7">
        <f>X105*0.00788713</f>
        <v/>
      </c>
      <c r="AY105" s="7">
        <f>Y105*0.00788713</f>
        <v/>
      </c>
      <c r="AZ105" s="7">
        <f>Z105*0.00788713</f>
        <v/>
      </c>
      <c r="BA105" s="7">
        <f>AA105*0.00788713</f>
        <v/>
      </c>
      <c r="BB105" s="7">
        <f>SUM(AD105:BA105)</f>
        <v/>
      </c>
    </row>
    <row r="106">
      <c r="A106" t="inlineStr">
        <is>
          <t>AMD-RTS-RCLS-1302-SSC_1</t>
        </is>
      </c>
      <c r="B106" t="inlineStr">
        <is>
          <t>Rev OSC</t>
        </is>
      </c>
      <c r="C106" s="5" t="n">
        <v>46104</v>
      </c>
      <c r="D106" s="6" t="n">
        <v>0</v>
      </c>
      <c r="E106" s="6" t="n">
        <v>0</v>
      </c>
      <c r="F106" s="6" t="n">
        <v>0</v>
      </c>
      <c r="G106" s="6" t="n">
        <v>0</v>
      </c>
      <c r="H106" s="6" t="n">
        <v>0</v>
      </c>
      <c r="I106" s="6" t="n">
        <v>0</v>
      </c>
      <c r="J106" s="6" t="n">
        <v>0</v>
      </c>
      <c r="K106" s="6" t="n">
        <v>0</v>
      </c>
      <c r="L106" s="6" t="n">
        <v>0</v>
      </c>
      <c r="M106" s="6" t="n">
        <v>0</v>
      </c>
      <c r="N106" s="6" t="n">
        <v>0</v>
      </c>
      <c r="O106" s="6" t="n">
        <v>0</v>
      </c>
      <c r="P106" s="6" t="n">
        <v>0</v>
      </c>
      <c r="Q106" s="6" t="n">
        <v>3</v>
      </c>
      <c r="R106" s="6" t="n">
        <v>3</v>
      </c>
      <c r="S106" s="6" t="n">
        <v>2</v>
      </c>
      <c r="T106" s="6" t="n">
        <v>1</v>
      </c>
      <c r="U106" s="6" t="n">
        <v>0</v>
      </c>
      <c r="V106" s="6" t="n">
        <v>0</v>
      </c>
      <c r="W106" s="6" t="n">
        <v>0</v>
      </c>
      <c r="X106" s="6" t="n">
        <v>0</v>
      </c>
      <c r="Y106" s="6" t="n">
        <v>0</v>
      </c>
      <c r="Z106" s="6" t="n">
        <v>0</v>
      </c>
      <c r="AA106" s="6" t="n">
        <v>0</v>
      </c>
      <c r="AB106" s="6">
        <f>SUM(D106:AA106)</f>
        <v/>
      </c>
      <c r="AC106" s="3" t="inlineStr"/>
      <c r="AD106" s="7">
        <f>D106*0.00788713</f>
        <v/>
      </c>
      <c r="AE106" s="7">
        <f>E106*0.00788713</f>
        <v/>
      </c>
      <c r="AF106" s="7">
        <f>F106*0.00788713</f>
        <v/>
      </c>
      <c r="AG106" s="7">
        <f>G106*0.00788713</f>
        <v/>
      </c>
      <c r="AH106" s="7">
        <f>H106*0.00788713</f>
        <v/>
      </c>
      <c r="AI106" s="7">
        <f>I106*0.00788713</f>
        <v/>
      </c>
      <c r="AJ106" s="7">
        <f>J106*0.00788713</f>
        <v/>
      </c>
      <c r="AK106" s="7">
        <f>K106*0.00788713</f>
        <v/>
      </c>
      <c r="AL106" s="7">
        <f>L106*0.00788713</f>
        <v/>
      </c>
      <c r="AM106" s="7">
        <f>M106*0.00788713</f>
        <v/>
      </c>
      <c r="AN106" s="7">
        <f>N106*0.00788713</f>
        <v/>
      </c>
      <c r="AO106" s="7">
        <f>O106*0.00788713</f>
        <v/>
      </c>
      <c r="AP106" s="7">
        <f>P106*0.00788713</f>
        <v/>
      </c>
      <c r="AQ106" s="7">
        <f>Q106*0.00788713</f>
        <v/>
      </c>
      <c r="AR106" s="7">
        <f>R106*0.00788713</f>
        <v/>
      </c>
      <c r="AS106" s="7">
        <f>S106*0.00788713</f>
        <v/>
      </c>
      <c r="AT106" s="7">
        <f>T106*0.00788713</f>
        <v/>
      </c>
      <c r="AU106" s="7">
        <f>U106*0.00788713</f>
        <v/>
      </c>
      <c r="AV106" s="7">
        <f>V106*0.00788713</f>
        <v/>
      </c>
      <c r="AW106" s="7">
        <f>W106*0.00788713</f>
        <v/>
      </c>
      <c r="AX106" s="7">
        <f>X106*0.00788713</f>
        <v/>
      </c>
      <c r="AY106" s="7">
        <f>Y106*0.00788713</f>
        <v/>
      </c>
      <c r="AZ106" s="7">
        <f>Z106*0.00788713</f>
        <v/>
      </c>
      <c r="BA106" s="7">
        <f>AA106*0.00788713</f>
        <v/>
      </c>
      <c r="BB106" s="7">
        <f>SUM(AD106:BA106)</f>
        <v/>
      </c>
    </row>
    <row r="107">
      <c r="A107" t="inlineStr">
        <is>
          <t>AMD-RTS-RCLS-1302-SSC_1</t>
        </is>
      </c>
      <c r="B107" t="inlineStr">
        <is>
          <t>Rev OSC</t>
        </is>
      </c>
      <c r="C107" s="5" t="n">
        <v>46105</v>
      </c>
      <c r="D107" s="6" t="n">
        <v>0</v>
      </c>
      <c r="E107" s="6" t="n">
        <v>0</v>
      </c>
      <c r="F107" s="6" t="n">
        <v>0</v>
      </c>
      <c r="G107" s="6" t="n">
        <v>0</v>
      </c>
      <c r="H107" s="6" t="n">
        <v>0</v>
      </c>
      <c r="I107" s="6" t="n">
        <v>0</v>
      </c>
      <c r="J107" s="6" t="n">
        <v>0</v>
      </c>
      <c r="K107" s="6" t="n">
        <v>0</v>
      </c>
      <c r="L107" s="6" t="n">
        <v>0</v>
      </c>
      <c r="M107" s="6" t="n">
        <v>0</v>
      </c>
      <c r="N107" s="6" t="n">
        <v>0</v>
      </c>
      <c r="O107" s="6" t="n">
        <v>0</v>
      </c>
      <c r="P107" s="6" t="n">
        <v>0</v>
      </c>
      <c r="Q107" s="6" t="n">
        <v>0</v>
      </c>
      <c r="R107" s="6" t="n">
        <v>0</v>
      </c>
      <c r="S107" s="6" t="n">
        <v>1</v>
      </c>
      <c r="T107" s="6" t="n">
        <v>0</v>
      </c>
      <c r="U107" s="6" t="n">
        <v>0</v>
      </c>
      <c r="V107" s="6" t="n">
        <v>0</v>
      </c>
      <c r="W107" s="6" t="n">
        <v>0</v>
      </c>
      <c r="X107" s="6" t="n">
        <v>0</v>
      </c>
      <c r="Y107" s="6" t="n">
        <v>0</v>
      </c>
      <c r="Z107" s="6" t="n">
        <v>0</v>
      </c>
      <c r="AA107" s="6" t="n">
        <v>0</v>
      </c>
      <c r="AB107" s="6">
        <f>SUM(D107:AA107)</f>
        <v/>
      </c>
      <c r="AC107" s="3" t="inlineStr"/>
      <c r="AD107" s="7">
        <f>D107*0.00788713</f>
        <v/>
      </c>
      <c r="AE107" s="7">
        <f>E107*0.00788713</f>
        <v/>
      </c>
      <c r="AF107" s="7">
        <f>F107*0.00788713</f>
        <v/>
      </c>
      <c r="AG107" s="7">
        <f>G107*0.00788713</f>
        <v/>
      </c>
      <c r="AH107" s="7">
        <f>H107*0.00788713</f>
        <v/>
      </c>
      <c r="AI107" s="7">
        <f>I107*0.00788713</f>
        <v/>
      </c>
      <c r="AJ107" s="7">
        <f>J107*0.00788713</f>
        <v/>
      </c>
      <c r="AK107" s="7">
        <f>K107*0.00788713</f>
        <v/>
      </c>
      <c r="AL107" s="7">
        <f>L107*0.00788713</f>
        <v/>
      </c>
      <c r="AM107" s="7">
        <f>M107*0.00788713</f>
        <v/>
      </c>
      <c r="AN107" s="7">
        <f>N107*0.00788713</f>
        <v/>
      </c>
      <c r="AO107" s="7">
        <f>O107*0.00788713</f>
        <v/>
      </c>
      <c r="AP107" s="7">
        <f>P107*0.00788713</f>
        <v/>
      </c>
      <c r="AQ107" s="7">
        <f>Q107*0.00788713</f>
        <v/>
      </c>
      <c r="AR107" s="7">
        <f>R107*0.00788713</f>
        <v/>
      </c>
      <c r="AS107" s="7">
        <f>S107*0.00788713</f>
        <v/>
      </c>
      <c r="AT107" s="7">
        <f>T107*0.00788713</f>
        <v/>
      </c>
      <c r="AU107" s="7">
        <f>U107*0.00788713</f>
        <v/>
      </c>
      <c r="AV107" s="7">
        <f>V107*0.00788713</f>
        <v/>
      </c>
      <c r="AW107" s="7">
        <f>W107*0.00788713</f>
        <v/>
      </c>
      <c r="AX107" s="7">
        <f>X107*0.00788713</f>
        <v/>
      </c>
      <c r="AY107" s="7">
        <f>Y107*0.00788713</f>
        <v/>
      </c>
      <c r="AZ107" s="7">
        <f>Z107*0.00788713</f>
        <v/>
      </c>
      <c r="BA107" s="7">
        <f>AA107*0.00788713</f>
        <v/>
      </c>
      <c r="BB107" s="7">
        <f>SUM(AD107:BA107)</f>
        <v/>
      </c>
    </row>
    <row r="108">
      <c r="A108" t="inlineStr">
        <is>
          <t>AMD-RTS-RCLS-1302-SSC_2</t>
        </is>
      </c>
      <c r="B108" t="inlineStr">
        <is>
          <t>Rev OSC</t>
        </is>
      </c>
      <c r="C108" s="5" t="n">
        <v>46100</v>
      </c>
      <c r="D108" s="6" t="n">
        <v>0</v>
      </c>
      <c r="E108" s="6" t="n">
        <v>0</v>
      </c>
      <c r="F108" s="6" t="n">
        <v>0</v>
      </c>
      <c r="G108" s="6" t="n">
        <v>0</v>
      </c>
      <c r="H108" s="6" t="n">
        <v>0</v>
      </c>
      <c r="I108" s="6" t="n">
        <v>0</v>
      </c>
      <c r="J108" s="6" t="n">
        <v>0</v>
      </c>
      <c r="K108" s="6" t="n">
        <v>0</v>
      </c>
      <c r="L108" s="6" t="n">
        <v>0</v>
      </c>
      <c r="M108" s="6" t="n">
        <v>0</v>
      </c>
      <c r="N108" s="6" t="n">
        <v>0</v>
      </c>
      <c r="O108" s="6" t="n">
        <v>0</v>
      </c>
      <c r="P108" s="6" t="n">
        <v>0</v>
      </c>
      <c r="Q108" s="6" t="n">
        <v>0</v>
      </c>
      <c r="R108" s="6" t="n">
        <v>0</v>
      </c>
      <c r="S108" s="6" t="n">
        <v>0</v>
      </c>
      <c r="T108" s="6" t="n">
        <v>0</v>
      </c>
      <c r="U108" s="6" t="n">
        <v>0</v>
      </c>
      <c r="V108" s="6" t="n">
        <v>0</v>
      </c>
      <c r="W108" s="6" t="n">
        <v>0</v>
      </c>
      <c r="X108" s="6" t="n">
        <v>0</v>
      </c>
      <c r="Y108" s="6" t="n">
        <v>0</v>
      </c>
      <c r="Z108" s="6" t="n">
        <v>0</v>
      </c>
      <c r="AA108" s="6" t="n">
        <v>0</v>
      </c>
      <c r="AB108" s="6">
        <f>SUM(D108:AA108)</f>
        <v/>
      </c>
      <c r="AC108" s="3" t="inlineStr"/>
      <c r="AD108" s="7">
        <f>D108*0.00788713</f>
        <v/>
      </c>
      <c r="AE108" s="7">
        <f>E108*0.00788713</f>
        <v/>
      </c>
      <c r="AF108" s="7">
        <f>F108*0.00788713</f>
        <v/>
      </c>
      <c r="AG108" s="7">
        <f>G108*0.00788713</f>
        <v/>
      </c>
      <c r="AH108" s="7">
        <f>H108*0.00788713</f>
        <v/>
      </c>
      <c r="AI108" s="7">
        <f>I108*0.00788713</f>
        <v/>
      </c>
      <c r="AJ108" s="7">
        <f>J108*0.00788713</f>
        <v/>
      </c>
      <c r="AK108" s="7">
        <f>K108*0.00788713</f>
        <v/>
      </c>
      <c r="AL108" s="7">
        <f>L108*0.00788713</f>
        <v/>
      </c>
      <c r="AM108" s="7">
        <f>M108*0.00788713</f>
        <v/>
      </c>
      <c r="AN108" s="7">
        <f>N108*0.00788713</f>
        <v/>
      </c>
      <c r="AO108" s="7">
        <f>O108*0.00788713</f>
        <v/>
      </c>
      <c r="AP108" s="7">
        <f>P108*0.00788713</f>
        <v/>
      </c>
      <c r="AQ108" s="7">
        <f>Q108*0.00788713</f>
        <v/>
      </c>
      <c r="AR108" s="7">
        <f>R108*0.00788713</f>
        <v/>
      </c>
      <c r="AS108" s="7">
        <f>S108*0.00788713</f>
        <v/>
      </c>
      <c r="AT108" s="7">
        <f>T108*0.00788713</f>
        <v/>
      </c>
      <c r="AU108" s="7">
        <f>U108*0.00788713</f>
        <v/>
      </c>
      <c r="AV108" s="7">
        <f>V108*0.00788713</f>
        <v/>
      </c>
      <c r="AW108" s="7">
        <f>W108*0.00788713</f>
        <v/>
      </c>
      <c r="AX108" s="7">
        <f>X108*0.00788713</f>
        <v/>
      </c>
      <c r="AY108" s="7">
        <f>Y108*0.00788713</f>
        <v/>
      </c>
      <c r="AZ108" s="7">
        <f>Z108*0.00788713</f>
        <v/>
      </c>
      <c r="BA108" s="7">
        <f>AA108*0.00788713</f>
        <v/>
      </c>
      <c r="BB108" s="7">
        <f>SUM(AD108:BA108)</f>
        <v/>
      </c>
    </row>
    <row r="109">
      <c r="A109" t="inlineStr">
        <is>
          <t>AMD-RTS-RCLS-1302-SSC_2</t>
        </is>
      </c>
      <c r="B109" t="inlineStr">
        <is>
          <t>Rev OSC</t>
        </is>
      </c>
      <c r="C109" s="5" t="n">
        <v>46102</v>
      </c>
      <c r="D109" s="6" t="n">
        <v>0</v>
      </c>
      <c r="E109" s="6" t="n">
        <v>0</v>
      </c>
      <c r="F109" s="6" t="n">
        <v>0</v>
      </c>
      <c r="G109" s="6" t="n">
        <v>0</v>
      </c>
      <c r="H109" s="6" t="n">
        <v>0</v>
      </c>
      <c r="I109" s="6" t="n">
        <v>0</v>
      </c>
      <c r="J109" s="6" t="n">
        <v>0</v>
      </c>
      <c r="K109" s="6" t="n">
        <v>0</v>
      </c>
      <c r="L109" s="6" t="n">
        <v>0</v>
      </c>
      <c r="M109" s="6" t="n">
        <v>0</v>
      </c>
      <c r="N109" s="6" t="n">
        <v>0</v>
      </c>
      <c r="O109" s="6" t="n">
        <v>0</v>
      </c>
      <c r="P109" s="6" t="n">
        <v>0</v>
      </c>
      <c r="Q109" s="6" t="n">
        <v>0</v>
      </c>
      <c r="R109" s="6" t="n">
        <v>0</v>
      </c>
      <c r="S109" s="6" t="n">
        <v>0</v>
      </c>
      <c r="T109" s="6" t="n">
        <v>0</v>
      </c>
      <c r="U109" s="6" t="n">
        <v>0</v>
      </c>
      <c r="V109" s="6" t="n">
        <v>0</v>
      </c>
      <c r="W109" s="6" t="n">
        <v>0</v>
      </c>
      <c r="X109" s="6" t="n">
        <v>0</v>
      </c>
      <c r="Y109" s="6" t="n">
        <v>0</v>
      </c>
      <c r="Z109" s="6" t="n">
        <v>0</v>
      </c>
      <c r="AA109" s="6" t="n">
        <v>0</v>
      </c>
      <c r="AB109" s="6">
        <f>SUM(D109:AA109)</f>
        <v/>
      </c>
      <c r="AC109" s="3" t="inlineStr"/>
      <c r="AD109" s="7">
        <f>D109*0.00788713</f>
        <v/>
      </c>
      <c r="AE109" s="7">
        <f>E109*0.00788713</f>
        <v/>
      </c>
      <c r="AF109" s="7">
        <f>F109*0.00788713</f>
        <v/>
      </c>
      <c r="AG109" s="7">
        <f>G109*0.00788713</f>
        <v/>
      </c>
      <c r="AH109" s="7">
        <f>H109*0.00788713</f>
        <v/>
      </c>
      <c r="AI109" s="7">
        <f>I109*0.00788713</f>
        <v/>
      </c>
      <c r="AJ109" s="7">
        <f>J109*0.00788713</f>
        <v/>
      </c>
      <c r="AK109" s="7">
        <f>K109*0.00788713</f>
        <v/>
      </c>
      <c r="AL109" s="7">
        <f>L109*0.00788713</f>
        <v/>
      </c>
      <c r="AM109" s="7">
        <f>M109*0.00788713</f>
        <v/>
      </c>
      <c r="AN109" s="7">
        <f>N109*0.00788713</f>
        <v/>
      </c>
      <c r="AO109" s="7">
        <f>O109*0.00788713</f>
        <v/>
      </c>
      <c r="AP109" s="7">
        <f>P109*0.00788713</f>
        <v/>
      </c>
      <c r="AQ109" s="7">
        <f>Q109*0.00788713</f>
        <v/>
      </c>
      <c r="AR109" s="7">
        <f>R109*0.00788713</f>
        <v/>
      </c>
      <c r="AS109" s="7">
        <f>S109*0.00788713</f>
        <v/>
      </c>
      <c r="AT109" s="7">
        <f>T109*0.00788713</f>
        <v/>
      </c>
      <c r="AU109" s="7">
        <f>U109*0.00788713</f>
        <v/>
      </c>
      <c r="AV109" s="7">
        <f>V109*0.00788713</f>
        <v/>
      </c>
      <c r="AW109" s="7">
        <f>W109*0.00788713</f>
        <v/>
      </c>
      <c r="AX109" s="7">
        <f>X109*0.00788713</f>
        <v/>
      </c>
      <c r="AY109" s="7">
        <f>Y109*0.00788713</f>
        <v/>
      </c>
      <c r="AZ109" s="7">
        <f>Z109*0.00788713</f>
        <v/>
      </c>
      <c r="BA109" s="7">
        <f>AA109*0.00788713</f>
        <v/>
      </c>
      <c r="BB109" s="7">
        <f>SUM(AD109:BA109)</f>
        <v/>
      </c>
    </row>
    <row r="110">
      <c r="A110" t="inlineStr">
        <is>
          <t>AMD-RTS-RCLS-1302-SSC_2</t>
        </is>
      </c>
      <c r="B110" t="inlineStr">
        <is>
          <t>Rev OSC</t>
        </is>
      </c>
      <c r="C110" s="5" t="n">
        <v>46104</v>
      </c>
      <c r="D110" s="6" t="n">
        <v>0</v>
      </c>
      <c r="E110" s="6" t="n">
        <v>0</v>
      </c>
      <c r="F110" s="6" t="n">
        <v>0</v>
      </c>
      <c r="G110" s="6" t="n">
        <v>0</v>
      </c>
      <c r="H110" s="6" t="n">
        <v>0</v>
      </c>
      <c r="I110" s="6" t="n">
        <v>0</v>
      </c>
      <c r="J110" s="6" t="n">
        <v>0</v>
      </c>
      <c r="K110" s="6" t="n">
        <v>0</v>
      </c>
      <c r="L110" s="6" t="n">
        <v>0</v>
      </c>
      <c r="M110" s="6" t="n">
        <v>0</v>
      </c>
      <c r="N110" s="6" t="n">
        <v>0</v>
      </c>
      <c r="O110" s="6" t="n">
        <v>0</v>
      </c>
      <c r="P110" s="6" t="n">
        <v>0</v>
      </c>
      <c r="Q110" s="6" t="n">
        <v>0</v>
      </c>
      <c r="R110" s="6" t="n">
        <v>0</v>
      </c>
      <c r="S110" s="6" t="n">
        <v>1</v>
      </c>
      <c r="T110" s="6" t="n">
        <v>0</v>
      </c>
      <c r="U110" s="6" t="n">
        <v>0</v>
      </c>
      <c r="V110" s="6" t="n">
        <v>0</v>
      </c>
      <c r="W110" s="6" t="n">
        <v>0</v>
      </c>
      <c r="X110" s="6" t="n">
        <v>0</v>
      </c>
      <c r="Y110" s="6" t="n">
        <v>0</v>
      </c>
      <c r="Z110" s="6" t="n">
        <v>0</v>
      </c>
      <c r="AA110" s="6" t="n">
        <v>0</v>
      </c>
      <c r="AB110" s="6">
        <f>SUM(D110:AA110)</f>
        <v/>
      </c>
      <c r="AC110" s="3" t="inlineStr"/>
      <c r="AD110" s="7">
        <f>D110*0.00788713</f>
        <v/>
      </c>
      <c r="AE110" s="7">
        <f>E110*0.00788713</f>
        <v/>
      </c>
      <c r="AF110" s="7">
        <f>F110*0.00788713</f>
        <v/>
      </c>
      <c r="AG110" s="7">
        <f>G110*0.00788713</f>
        <v/>
      </c>
      <c r="AH110" s="7">
        <f>H110*0.00788713</f>
        <v/>
      </c>
      <c r="AI110" s="7">
        <f>I110*0.00788713</f>
        <v/>
      </c>
      <c r="AJ110" s="7">
        <f>J110*0.00788713</f>
        <v/>
      </c>
      <c r="AK110" s="7">
        <f>K110*0.00788713</f>
        <v/>
      </c>
      <c r="AL110" s="7">
        <f>L110*0.00788713</f>
        <v/>
      </c>
      <c r="AM110" s="7">
        <f>M110*0.00788713</f>
        <v/>
      </c>
      <c r="AN110" s="7">
        <f>N110*0.00788713</f>
        <v/>
      </c>
      <c r="AO110" s="7">
        <f>O110*0.00788713</f>
        <v/>
      </c>
      <c r="AP110" s="7">
        <f>P110*0.00788713</f>
        <v/>
      </c>
      <c r="AQ110" s="7">
        <f>Q110*0.00788713</f>
        <v/>
      </c>
      <c r="AR110" s="7">
        <f>R110*0.00788713</f>
        <v/>
      </c>
      <c r="AS110" s="7">
        <f>S110*0.00788713</f>
        <v/>
      </c>
      <c r="AT110" s="7">
        <f>T110*0.00788713</f>
        <v/>
      </c>
      <c r="AU110" s="7">
        <f>U110*0.00788713</f>
        <v/>
      </c>
      <c r="AV110" s="7">
        <f>V110*0.00788713</f>
        <v/>
      </c>
      <c r="AW110" s="7">
        <f>W110*0.00788713</f>
        <v/>
      </c>
      <c r="AX110" s="7">
        <f>X110*0.00788713</f>
        <v/>
      </c>
      <c r="AY110" s="7">
        <f>Y110*0.00788713</f>
        <v/>
      </c>
      <c r="AZ110" s="7">
        <f>Z110*0.00788713</f>
        <v/>
      </c>
      <c r="BA110" s="7">
        <f>AA110*0.00788713</f>
        <v/>
      </c>
      <c r="BB110" s="7">
        <f>SUM(AD110:BA110)</f>
        <v/>
      </c>
    </row>
    <row r="111">
      <c r="A111" t="inlineStr">
        <is>
          <t>DC-10-1</t>
        </is>
      </c>
      <c r="B111" t="inlineStr">
        <is>
          <t>DSC Manual</t>
        </is>
      </c>
      <c r="C111" s="5" t="n">
        <v>46089</v>
      </c>
      <c r="D111" s="6" t="n">
        <v>21</v>
      </c>
      <c r="E111" s="6" t="n">
        <v>7</v>
      </c>
      <c r="F111" s="6" t="n">
        <v>8</v>
      </c>
      <c r="G111" s="6" t="n">
        <v>13</v>
      </c>
      <c r="H111" s="6" t="n">
        <v>9</v>
      </c>
      <c r="I111" s="6" t="n">
        <v>24</v>
      </c>
      <c r="J111" s="6" t="n">
        <v>18</v>
      </c>
      <c r="K111" s="6" t="n">
        <v>2</v>
      </c>
      <c r="L111" s="6" t="n">
        <v>0</v>
      </c>
      <c r="M111" s="6" t="n">
        <v>0</v>
      </c>
      <c r="N111" s="6" t="n">
        <v>0</v>
      </c>
      <c r="O111" s="6" t="n">
        <v>0</v>
      </c>
      <c r="P111" s="6" t="n">
        <v>0</v>
      </c>
      <c r="Q111" s="6" t="n">
        <v>0</v>
      </c>
      <c r="R111" s="6" t="n">
        <v>133</v>
      </c>
      <c r="S111" s="6" t="n">
        <v>173</v>
      </c>
      <c r="T111" s="6" t="n">
        <v>21</v>
      </c>
      <c r="U111" s="6" t="n">
        <v>154</v>
      </c>
      <c r="V111" s="6" t="n">
        <v>133</v>
      </c>
      <c r="W111" s="6" t="n">
        <v>170</v>
      </c>
      <c r="X111" s="6" t="n">
        <v>155</v>
      </c>
      <c r="Y111" s="6" t="n">
        <v>151</v>
      </c>
      <c r="Z111" s="6" t="n">
        <v>0</v>
      </c>
      <c r="AA111" s="6" t="n">
        <v>0</v>
      </c>
      <c r="AB111" s="6">
        <f>SUM(D111:AA111)</f>
        <v/>
      </c>
      <c r="AC111" s="3" t="inlineStr"/>
      <c r="AD111" s="7">
        <f>D111*0.00788713</f>
        <v/>
      </c>
      <c r="AE111" s="7">
        <f>E111*0.00788713</f>
        <v/>
      </c>
      <c r="AF111" s="7">
        <f>F111*0.00788713</f>
        <v/>
      </c>
      <c r="AG111" s="7">
        <f>G111*0.00788713</f>
        <v/>
      </c>
      <c r="AH111" s="7">
        <f>H111*0.00788713</f>
        <v/>
      </c>
      <c r="AI111" s="7">
        <f>I111*0.00788713</f>
        <v/>
      </c>
      <c r="AJ111" s="7">
        <f>J111*0.00788713</f>
        <v/>
      </c>
      <c r="AK111" s="7">
        <f>K111*0.00788713</f>
        <v/>
      </c>
      <c r="AL111" s="7">
        <f>L111*0.00788713</f>
        <v/>
      </c>
      <c r="AM111" s="7">
        <f>M111*0.00788713</f>
        <v/>
      </c>
      <c r="AN111" s="7">
        <f>N111*0.00788713</f>
        <v/>
      </c>
      <c r="AO111" s="7">
        <f>O111*0.00788713</f>
        <v/>
      </c>
      <c r="AP111" s="7">
        <f>P111*0.00788713</f>
        <v/>
      </c>
      <c r="AQ111" s="7">
        <f>Q111*0.00788713</f>
        <v/>
      </c>
      <c r="AR111" s="7">
        <f>R111*0.00788713</f>
        <v/>
      </c>
      <c r="AS111" s="7">
        <f>S111*0.00788713</f>
        <v/>
      </c>
      <c r="AT111" s="7">
        <f>T111*0.00788713</f>
        <v/>
      </c>
      <c r="AU111" s="7">
        <f>U111*0.00788713</f>
        <v/>
      </c>
      <c r="AV111" s="7">
        <f>V111*0.00788713</f>
        <v/>
      </c>
      <c r="AW111" s="7">
        <f>W111*0.00788713</f>
        <v/>
      </c>
      <c r="AX111" s="7">
        <f>X111*0.00788713</f>
        <v/>
      </c>
      <c r="AY111" s="7">
        <f>Y111*0.00788713</f>
        <v/>
      </c>
      <c r="AZ111" s="7">
        <f>Z111*0.00788713</f>
        <v/>
      </c>
      <c r="BA111" s="7">
        <f>AA111*0.00788713</f>
        <v/>
      </c>
      <c r="BB111" s="7">
        <f>SUM(AD111:BA111)</f>
        <v/>
      </c>
    </row>
    <row r="112">
      <c r="A112" t="inlineStr">
        <is>
          <t>DC-10-1</t>
        </is>
      </c>
      <c r="B112" t="inlineStr">
        <is>
          <t>DSC Manual</t>
        </is>
      </c>
      <c r="C112" s="5" t="n">
        <v>46090</v>
      </c>
      <c r="D112" s="6" t="n">
        <v>31</v>
      </c>
      <c r="E112" s="6" t="n">
        <v>15</v>
      </c>
      <c r="F112" s="6" t="n">
        <v>17</v>
      </c>
      <c r="G112" s="6" t="n">
        <v>38</v>
      </c>
      <c r="H112" s="6" t="n">
        <v>32</v>
      </c>
      <c r="I112" s="6" t="n">
        <v>29</v>
      </c>
      <c r="J112" s="6" t="n">
        <v>16</v>
      </c>
      <c r="K112" s="6" t="n">
        <v>0</v>
      </c>
      <c r="L112" s="6" t="n">
        <v>0</v>
      </c>
      <c r="M112" s="6" t="n">
        <v>0</v>
      </c>
      <c r="N112" s="6" t="n">
        <v>0</v>
      </c>
      <c r="O112" s="6" t="n">
        <v>0</v>
      </c>
      <c r="P112" s="6" t="n">
        <v>0</v>
      </c>
      <c r="Q112" s="6" t="n">
        <v>53</v>
      </c>
      <c r="R112" s="6" t="n">
        <v>81</v>
      </c>
      <c r="S112" s="6" t="n">
        <v>96</v>
      </c>
      <c r="T112" s="6" t="n">
        <v>112</v>
      </c>
      <c r="U112" s="6" t="n">
        <v>17</v>
      </c>
      <c r="V112" s="6" t="n">
        <v>148</v>
      </c>
      <c r="W112" s="6" t="n">
        <v>166</v>
      </c>
      <c r="X112" s="6" t="n">
        <v>152</v>
      </c>
      <c r="Y112" s="6" t="n">
        <v>141</v>
      </c>
      <c r="Z112" s="6" t="n">
        <v>12</v>
      </c>
      <c r="AA112" s="6" t="n">
        <v>0</v>
      </c>
      <c r="AB112" s="6">
        <f>SUM(D112:AA112)</f>
        <v/>
      </c>
      <c r="AC112" s="3" t="inlineStr"/>
      <c r="AD112" s="7">
        <f>D112*0.00788713</f>
        <v/>
      </c>
      <c r="AE112" s="7">
        <f>E112*0.00788713</f>
        <v/>
      </c>
      <c r="AF112" s="7">
        <f>F112*0.00788713</f>
        <v/>
      </c>
      <c r="AG112" s="7">
        <f>G112*0.00788713</f>
        <v/>
      </c>
      <c r="AH112" s="7">
        <f>H112*0.00788713</f>
        <v/>
      </c>
      <c r="AI112" s="7">
        <f>I112*0.00788713</f>
        <v/>
      </c>
      <c r="AJ112" s="7">
        <f>J112*0.00788713</f>
        <v/>
      </c>
      <c r="AK112" s="7">
        <f>K112*0.00788713</f>
        <v/>
      </c>
      <c r="AL112" s="7">
        <f>L112*0.00788713</f>
        <v/>
      </c>
      <c r="AM112" s="7">
        <f>M112*0.00788713</f>
        <v/>
      </c>
      <c r="AN112" s="7">
        <f>N112*0.00788713</f>
        <v/>
      </c>
      <c r="AO112" s="7">
        <f>O112*0.00788713</f>
        <v/>
      </c>
      <c r="AP112" s="7">
        <f>P112*0.00788713</f>
        <v/>
      </c>
      <c r="AQ112" s="7">
        <f>Q112*0.00788713</f>
        <v/>
      </c>
      <c r="AR112" s="7">
        <f>R112*0.00788713</f>
        <v/>
      </c>
      <c r="AS112" s="7">
        <f>S112*0.00788713</f>
        <v/>
      </c>
      <c r="AT112" s="7">
        <f>T112*0.00788713</f>
        <v/>
      </c>
      <c r="AU112" s="7">
        <f>U112*0.00788713</f>
        <v/>
      </c>
      <c r="AV112" s="7">
        <f>V112*0.00788713</f>
        <v/>
      </c>
      <c r="AW112" s="7">
        <f>W112*0.00788713</f>
        <v/>
      </c>
      <c r="AX112" s="7">
        <f>X112*0.00788713</f>
        <v/>
      </c>
      <c r="AY112" s="7">
        <f>Y112*0.00788713</f>
        <v/>
      </c>
      <c r="AZ112" s="7">
        <f>Z112*0.00788713</f>
        <v/>
      </c>
      <c r="BA112" s="7">
        <f>AA112*0.00788713</f>
        <v/>
      </c>
      <c r="BB112" s="7">
        <f>SUM(AD112:BA112)</f>
        <v/>
      </c>
    </row>
    <row r="113">
      <c r="A113" t="inlineStr">
        <is>
          <t>DC-10-1</t>
        </is>
      </c>
      <c r="B113" t="inlineStr">
        <is>
          <t>DSC Manual</t>
        </is>
      </c>
      <c r="C113" s="5" t="n">
        <v>46091</v>
      </c>
      <c r="D113" s="6" t="n">
        <v>26</v>
      </c>
      <c r="E113" s="6" t="n">
        <v>4</v>
      </c>
      <c r="F113" s="6" t="n">
        <v>0</v>
      </c>
      <c r="G113" s="6" t="n">
        <v>46</v>
      </c>
      <c r="H113" s="6" t="n">
        <v>31</v>
      </c>
      <c r="I113" s="6" t="n">
        <v>39</v>
      </c>
      <c r="J113" s="6" t="n">
        <v>12</v>
      </c>
      <c r="K113" s="6" t="n">
        <v>0</v>
      </c>
      <c r="L113" s="6" t="n">
        <v>0</v>
      </c>
      <c r="M113" s="6" t="n">
        <v>0</v>
      </c>
      <c r="N113" s="6" t="n">
        <v>0</v>
      </c>
      <c r="O113" s="6" t="n">
        <v>0</v>
      </c>
      <c r="P113" s="6" t="n">
        <v>27</v>
      </c>
      <c r="Q113" s="6" t="n">
        <v>124</v>
      </c>
      <c r="R113" s="6" t="n">
        <v>166</v>
      </c>
      <c r="S113" s="6" t="n">
        <v>148</v>
      </c>
      <c r="T113" s="6" t="n">
        <v>146</v>
      </c>
      <c r="U113" s="6" t="n">
        <v>9</v>
      </c>
      <c r="V113" s="6" t="n">
        <v>218</v>
      </c>
      <c r="W113" s="6" t="n">
        <v>185</v>
      </c>
      <c r="X113" s="6" t="n">
        <v>210</v>
      </c>
      <c r="Y113" s="6" t="n">
        <v>178</v>
      </c>
      <c r="Z113" s="6" t="n">
        <v>0</v>
      </c>
      <c r="AA113" s="6" t="n">
        <v>25</v>
      </c>
      <c r="AB113" s="6">
        <f>SUM(D113:AA113)</f>
        <v/>
      </c>
      <c r="AC113" s="3" t="inlineStr"/>
      <c r="AD113" s="7">
        <f>D113*0.00788713</f>
        <v/>
      </c>
      <c r="AE113" s="7">
        <f>E113*0.00788713</f>
        <v/>
      </c>
      <c r="AF113" s="7">
        <f>F113*0.00788713</f>
        <v/>
      </c>
      <c r="AG113" s="7">
        <f>G113*0.00788713</f>
        <v/>
      </c>
      <c r="AH113" s="7">
        <f>H113*0.00788713</f>
        <v/>
      </c>
      <c r="AI113" s="7">
        <f>I113*0.00788713</f>
        <v/>
      </c>
      <c r="AJ113" s="7">
        <f>J113*0.00788713</f>
        <v/>
      </c>
      <c r="AK113" s="7">
        <f>K113*0.00788713</f>
        <v/>
      </c>
      <c r="AL113" s="7">
        <f>L113*0.00788713</f>
        <v/>
      </c>
      <c r="AM113" s="7">
        <f>M113*0.00788713</f>
        <v/>
      </c>
      <c r="AN113" s="7">
        <f>N113*0.00788713</f>
        <v/>
      </c>
      <c r="AO113" s="7">
        <f>O113*0.00788713</f>
        <v/>
      </c>
      <c r="AP113" s="7">
        <f>P113*0.00788713</f>
        <v/>
      </c>
      <c r="AQ113" s="7">
        <f>Q113*0.00788713</f>
        <v/>
      </c>
      <c r="AR113" s="7">
        <f>R113*0.00788713</f>
        <v/>
      </c>
      <c r="AS113" s="7">
        <f>S113*0.00788713</f>
        <v/>
      </c>
      <c r="AT113" s="7">
        <f>T113*0.00788713</f>
        <v/>
      </c>
      <c r="AU113" s="7">
        <f>U113*0.00788713</f>
        <v/>
      </c>
      <c r="AV113" s="7">
        <f>V113*0.00788713</f>
        <v/>
      </c>
      <c r="AW113" s="7">
        <f>W113*0.00788713</f>
        <v/>
      </c>
      <c r="AX113" s="7">
        <f>X113*0.00788713</f>
        <v/>
      </c>
      <c r="AY113" s="7">
        <f>Y113*0.00788713</f>
        <v/>
      </c>
      <c r="AZ113" s="7">
        <f>Z113*0.00788713</f>
        <v/>
      </c>
      <c r="BA113" s="7">
        <f>AA113*0.00788713</f>
        <v/>
      </c>
      <c r="BB113" s="7">
        <f>SUM(AD113:BA113)</f>
        <v/>
      </c>
    </row>
    <row r="114">
      <c r="A114" t="inlineStr">
        <is>
          <t>DC-10-1</t>
        </is>
      </c>
      <c r="B114" t="inlineStr">
        <is>
          <t>DSC Manual</t>
        </is>
      </c>
      <c r="C114" s="5" t="n">
        <v>46092</v>
      </c>
      <c r="D114" s="6" t="n">
        <v>25</v>
      </c>
      <c r="E114" s="6" t="n">
        <v>2</v>
      </c>
      <c r="F114" s="6" t="n">
        <v>21</v>
      </c>
      <c r="G114" s="6" t="n">
        <v>60</v>
      </c>
      <c r="H114" s="6" t="n">
        <v>15</v>
      </c>
      <c r="I114" s="6" t="n">
        <v>54</v>
      </c>
      <c r="J114" s="6" t="n">
        <v>27</v>
      </c>
      <c r="K114" s="6" t="n">
        <v>4</v>
      </c>
      <c r="L114" s="6" t="n">
        <v>0</v>
      </c>
      <c r="M114" s="6" t="n">
        <v>0</v>
      </c>
      <c r="N114" s="6" t="n">
        <v>0</v>
      </c>
      <c r="O114" s="6" t="n">
        <v>0</v>
      </c>
      <c r="P114" s="6" t="n">
        <v>0</v>
      </c>
      <c r="Q114" s="6" t="n">
        <v>97</v>
      </c>
      <c r="R114" s="6" t="n">
        <v>179</v>
      </c>
      <c r="S114" s="6" t="n">
        <v>156</v>
      </c>
      <c r="T114" s="6" t="n">
        <v>45</v>
      </c>
      <c r="U114" s="6" t="n">
        <v>163</v>
      </c>
      <c r="V114" s="6" t="n">
        <v>190</v>
      </c>
      <c r="W114" s="6" t="n">
        <v>213</v>
      </c>
      <c r="X114" s="6" t="n">
        <v>214</v>
      </c>
      <c r="Y114" s="6" t="n">
        <v>209</v>
      </c>
      <c r="Z114" s="6" t="n">
        <v>3</v>
      </c>
      <c r="AA114" s="6" t="n">
        <v>31</v>
      </c>
      <c r="AB114" s="6">
        <f>SUM(D114:AA114)</f>
        <v/>
      </c>
      <c r="AC114" s="3" t="inlineStr"/>
      <c r="AD114" s="7">
        <f>D114*0.00788713</f>
        <v/>
      </c>
      <c r="AE114" s="7">
        <f>E114*0.00788713</f>
        <v/>
      </c>
      <c r="AF114" s="7">
        <f>F114*0.00788713</f>
        <v/>
      </c>
      <c r="AG114" s="7">
        <f>G114*0.00788713</f>
        <v/>
      </c>
      <c r="AH114" s="7">
        <f>H114*0.00788713</f>
        <v/>
      </c>
      <c r="AI114" s="7">
        <f>I114*0.00788713</f>
        <v/>
      </c>
      <c r="AJ114" s="7">
        <f>J114*0.00788713</f>
        <v/>
      </c>
      <c r="AK114" s="7">
        <f>K114*0.00788713</f>
        <v/>
      </c>
      <c r="AL114" s="7">
        <f>L114*0.00788713</f>
        <v/>
      </c>
      <c r="AM114" s="7">
        <f>M114*0.00788713</f>
        <v/>
      </c>
      <c r="AN114" s="7">
        <f>N114*0.00788713</f>
        <v/>
      </c>
      <c r="AO114" s="7">
        <f>O114*0.00788713</f>
        <v/>
      </c>
      <c r="AP114" s="7">
        <f>P114*0.00788713</f>
        <v/>
      </c>
      <c r="AQ114" s="7">
        <f>Q114*0.00788713</f>
        <v/>
      </c>
      <c r="AR114" s="7">
        <f>R114*0.00788713</f>
        <v/>
      </c>
      <c r="AS114" s="7">
        <f>S114*0.00788713</f>
        <v/>
      </c>
      <c r="AT114" s="7">
        <f>T114*0.00788713</f>
        <v/>
      </c>
      <c r="AU114" s="7">
        <f>U114*0.00788713</f>
        <v/>
      </c>
      <c r="AV114" s="7">
        <f>V114*0.00788713</f>
        <v/>
      </c>
      <c r="AW114" s="7">
        <f>W114*0.00788713</f>
        <v/>
      </c>
      <c r="AX114" s="7">
        <f>X114*0.00788713</f>
        <v/>
      </c>
      <c r="AY114" s="7">
        <f>Y114*0.00788713</f>
        <v/>
      </c>
      <c r="AZ114" s="7">
        <f>Z114*0.00788713</f>
        <v/>
      </c>
      <c r="BA114" s="7">
        <f>AA114*0.00788713</f>
        <v/>
      </c>
      <c r="BB114" s="7">
        <f>SUM(AD114:BA114)</f>
        <v/>
      </c>
    </row>
    <row r="115">
      <c r="A115" t="inlineStr">
        <is>
          <t>DC-10-1</t>
        </is>
      </c>
      <c r="B115" t="inlineStr">
        <is>
          <t>DSC Manual</t>
        </is>
      </c>
      <c r="C115" s="5" t="n">
        <v>46093</v>
      </c>
      <c r="D115" s="6" t="n">
        <v>63</v>
      </c>
      <c r="E115" s="6" t="n">
        <v>9</v>
      </c>
      <c r="F115" s="6" t="n">
        <v>37</v>
      </c>
      <c r="G115" s="6" t="n">
        <v>57</v>
      </c>
      <c r="H115" s="6" t="n">
        <v>36</v>
      </c>
      <c r="I115" s="6" t="n">
        <v>44</v>
      </c>
      <c r="J115" s="6" t="n">
        <v>48</v>
      </c>
      <c r="K115" s="6" t="n">
        <v>12</v>
      </c>
      <c r="L115" s="6" t="n">
        <v>0</v>
      </c>
      <c r="M115" s="6" t="n">
        <v>0</v>
      </c>
      <c r="N115" s="6" t="n">
        <v>4</v>
      </c>
      <c r="O115" s="6" t="n">
        <v>24</v>
      </c>
      <c r="P115" s="6" t="n">
        <v>0</v>
      </c>
      <c r="Q115" s="6" t="n">
        <v>0</v>
      </c>
      <c r="R115" s="6" t="n">
        <v>231</v>
      </c>
      <c r="S115" s="6" t="n">
        <v>187</v>
      </c>
      <c r="T115" s="6" t="n">
        <v>62</v>
      </c>
      <c r="U115" s="6" t="n">
        <v>140</v>
      </c>
      <c r="V115" s="6" t="n">
        <v>146</v>
      </c>
      <c r="W115" s="6" t="n">
        <v>162</v>
      </c>
      <c r="X115" s="6" t="n">
        <v>145</v>
      </c>
      <c r="Y115" s="6" t="n">
        <v>161</v>
      </c>
      <c r="Z115" s="6" t="n">
        <v>7</v>
      </c>
      <c r="AA115" s="6" t="n">
        <v>40</v>
      </c>
      <c r="AB115" s="6">
        <f>SUM(D115:AA115)</f>
        <v/>
      </c>
      <c r="AC115" s="3" t="inlineStr"/>
      <c r="AD115" s="7">
        <f>D115*0.00788713</f>
        <v/>
      </c>
      <c r="AE115" s="7">
        <f>E115*0.00788713</f>
        <v/>
      </c>
      <c r="AF115" s="7">
        <f>F115*0.00788713</f>
        <v/>
      </c>
      <c r="AG115" s="7">
        <f>G115*0.00788713</f>
        <v/>
      </c>
      <c r="AH115" s="7">
        <f>H115*0.00788713</f>
        <v/>
      </c>
      <c r="AI115" s="7">
        <f>I115*0.00788713</f>
        <v/>
      </c>
      <c r="AJ115" s="7">
        <f>J115*0.00788713</f>
        <v/>
      </c>
      <c r="AK115" s="7">
        <f>K115*0.00788713</f>
        <v/>
      </c>
      <c r="AL115" s="7">
        <f>L115*0.00788713</f>
        <v/>
      </c>
      <c r="AM115" s="7">
        <f>M115*0.00788713</f>
        <v/>
      </c>
      <c r="AN115" s="7">
        <f>N115*0.00788713</f>
        <v/>
      </c>
      <c r="AO115" s="7">
        <f>O115*0.00788713</f>
        <v/>
      </c>
      <c r="AP115" s="7">
        <f>P115*0.00788713</f>
        <v/>
      </c>
      <c r="AQ115" s="7">
        <f>Q115*0.00788713</f>
        <v/>
      </c>
      <c r="AR115" s="7">
        <f>R115*0.00788713</f>
        <v/>
      </c>
      <c r="AS115" s="7">
        <f>S115*0.00788713</f>
        <v/>
      </c>
      <c r="AT115" s="7">
        <f>T115*0.00788713</f>
        <v/>
      </c>
      <c r="AU115" s="7">
        <f>U115*0.00788713</f>
        <v/>
      </c>
      <c r="AV115" s="7">
        <f>V115*0.00788713</f>
        <v/>
      </c>
      <c r="AW115" s="7">
        <f>W115*0.00788713</f>
        <v/>
      </c>
      <c r="AX115" s="7">
        <f>X115*0.00788713</f>
        <v/>
      </c>
      <c r="AY115" s="7">
        <f>Y115*0.00788713</f>
        <v/>
      </c>
      <c r="AZ115" s="7">
        <f>Z115*0.00788713</f>
        <v/>
      </c>
      <c r="BA115" s="7">
        <f>AA115*0.00788713</f>
        <v/>
      </c>
      <c r="BB115" s="7">
        <f>SUM(AD115:BA115)</f>
        <v/>
      </c>
    </row>
    <row r="116">
      <c r="A116" t="inlineStr">
        <is>
          <t>DC-10-1</t>
        </is>
      </c>
      <c r="B116" t="inlineStr">
        <is>
          <t>DSC Manual</t>
        </is>
      </c>
      <c r="C116" s="5" t="n">
        <v>46094</v>
      </c>
      <c r="D116" s="6" t="n">
        <v>38</v>
      </c>
      <c r="E116" s="6" t="n">
        <v>4</v>
      </c>
      <c r="F116" s="6" t="n">
        <v>24</v>
      </c>
      <c r="G116" s="6" t="n">
        <v>27</v>
      </c>
      <c r="H116" s="6" t="n">
        <v>22</v>
      </c>
      <c r="I116" s="6" t="n">
        <v>23</v>
      </c>
      <c r="J116" s="6" t="n">
        <v>16</v>
      </c>
      <c r="K116" s="6" t="n">
        <v>1</v>
      </c>
      <c r="L116" s="6" t="n">
        <v>21</v>
      </c>
      <c r="M116" s="6" t="n">
        <v>40</v>
      </c>
      <c r="N116" s="6" t="n">
        <v>58</v>
      </c>
      <c r="O116" s="6" t="n">
        <v>2</v>
      </c>
      <c r="P116" s="6" t="n">
        <v>0</v>
      </c>
      <c r="Q116" s="6" t="n">
        <v>0</v>
      </c>
      <c r="R116" s="6" t="n">
        <v>170</v>
      </c>
      <c r="S116" s="6" t="n">
        <v>193</v>
      </c>
      <c r="T116" s="6" t="n">
        <v>78</v>
      </c>
      <c r="U116" s="6" t="n">
        <v>206</v>
      </c>
      <c r="V116" s="6" t="n">
        <v>193</v>
      </c>
      <c r="W116" s="6" t="n">
        <v>272</v>
      </c>
      <c r="X116" s="6" t="n">
        <v>174</v>
      </c>
      <c r="Y116" s="6" t="n">
        <v>0</v>
      </c>
      <c r="Z116" s="6" t="n">
        <v>0</v>
      </c>
      <c r="AA116" s="6" t="n">
        <v>8</v>
      </c>
      <c r="AB116" s="6">
        <f>SUM(D116:AA116)</f>
        <v/>
      </c>
      <c r="AC116" s="3" t="inlineStr"/>
      <c r="AD116" s="7">
        <f>D116*0.00788713</f>
        <v/>
      </c>
      <c r="AE116" s="7">
        <f>E116*0.00788713</f>
        <v/>
      </c>
      <c r="AF116" s="7">
        <f>F116*0.00788713</f>
        <v/>
      </c>
      <c r="AG116" s="7">
        <f>G116*0.00788713</f>
        <v/>
      </c>
      <c r="AH116" s="7">
        <f>H116*0.00788713</f>
        <v/>
      </c>
      <c r="AI116" s="7">
        <f>I116*0.00788713</f>
        <v/>
      </c>
      <c r="AJ116" s="7">
        <f>J116*0.00788713</f>
        <v/>
      </c>
      <c r="AK116" s="7">
        <f>K116*0.00788713</f>
        <v/>
      </c>
      <c r="AL116" s="7">
        <f>L116*0.00788713</f>
        <v/>
      </c>
      <c r="AM116" s="7">
        <f>M116*0.00788713</f>
        <v/>
      </c>
      <c r="AN116" s="7">
        <f>N116*0.00788713</f>
        <v/>
      </c>
      <c r="AO116" s="7">
        <f>O116*0.00788713</f>
        <v/>
      </c>
      <c r="AP116" s="7">
        <f>P116*0.00788713</f>
        <v/>
      </c>
      <c r="AQ116" s="7">
        <f>Q116*0.00788713</f>
        <v/>
      </c>
      <c r="AR116" s="7">
        <f>R116*0.00788713</f>
        <v/>
      </c>
      <c r="AS116" s="7">
        <f>S116*0.00788713</f>
        <v/>
      </c>
      <c r="AT116" s="7">
        <f>T116*0.00788713</f>
        <v/>
      </c>
      <c r="AU116" s="7">
        <f>U116*0.00788713</f>
        <v/>
      </c>
      <c r="AV116" s="7">
        <f>V116*0.00788713</f>
        <v/>
      </c>
      <c r="AW116" s="7">
        <f>W116*0.00788713</f>
        <v/>
      </c>
      <c r="AX116" s="7">
        <f>X116*0.00788713</f>
        <v/>
      </c>
      <c r="AY116" s="7">
        <f>Y116*0.00788713</f>
        <v/>
      </c>
      <c r="AZ116" s="7">
        <f>Z116*0.00788713</f>
        <v/>
      </c>
      <c r="BA116" s="7">
        <f>AA116*0.00788713</f>
        <v/>
      </c>
      <c r="BB116" s="7">
        <f>SUM(AD116:BA116)</f>
        <v/>
      </c>
    </row>
    <row r="117">
      <c r="A117" t="inlineStr">
        <is>
          <t>DC-10-1</t>
        </is>
      </c>
      <c r="B117" t="inlineStr">
        <is>
          <t>DSC Manual</t>
        </is>
      </c>
      <c r="C117" s="5" t="n">
        <v>46095</v>
      </c>
      <c r="D117" s="6" t="n">
        <v>19</v>
      </c>
      <c r="E117" s="6" t="n">
        <v>2</v>
      </c>
      <c r="F117" s="6" t="n">
        <v>10</v>
      </c>
      <c r="G117" s="6" t="n">
        <v>19</v>
      </c>
      <c r="H117" s="6" t="n">
        <v>19</v>
      </c>
      <c r="I117" s="6" t="n">
        <v>44</v>
      </c>
      <c r="J117" s="6" t="n">
        <v>46</v>
      </c>
      <c r="K117" s="6" t="n">
        <v>0</v>
      </c>
      <c r="L117" s="6" t="n">
        <v>0</v>
      </c>
      <c r="M117" s="6" t="n">
        <v>48</v>
      </c>
      <c r="N117" s="6" t="n">
        <v>41</v>
      </c>
      <c r="O117" s="6" t="n">
        <v>29</v>
      </c>
      <c r="P117" s="6" t="n">
        <v>2</v>
      </c>
      <c r="Q117" s="6" t="n">
        <v>1</v>
      </c>
      <c r="R117" s="6" t="n">
        <v>245</v>
      </c>
      <c r="S117" s="6" t="n">
        <v>200</v>
      </c>
      <c r="T117" s="6" t="n">
        <v>31</v>
      </c>
      <c r="U117" s="6" t="n">
        <v>213</v>
      </c>
      <c r="V117" s="6" t="n">
        <v>164</v>
      </c>
      <c r="W117" s="6" t="n">
        <v>57</v>
      </c>
      <c r="X117" s="6" t="n">
        <v>5</v>
      </c>
      <c r="Y117" s="6" t="n">
        <v>2</v>
      </c>
      <c r="Z117" s="6" t="n">
        <v>9</v>
      </c>
      <c r="AA117" s="6" t="n">
        <v>54</v>
      </c>
      <c r="AB117" s="6">
        <f>SUM(D117:AA117)</f>
        <v/>
      </c>
      <c r="AC117" s="3" t="inlineStr"/>
      <c r="AD117" s="7">
        <f>D117*0.00788713</f>
        <v/>
      </c>
      <c r="AE117" s="7">
        <f>E117*0.00788713</f>
        <v/>
      </c>
      <c r="AF117" s="7">
        <f>F117*0.00788713</f>
        <v/>
      </c>
      <c r="AG117" s="7">
        <f>G117*0.00788713</f>
        <v/>
      </c>
      <c r="AH117" s="7">
        <f>H117*0.00788713</f>
        <v/>
      </c>
      <c r="AI117" s="7">
        <f>I117*0.00788713</f>
        <v/>
      </c>
      <c r="AJ117" s="7">
        <f>J117*0.00788713</f>
        <v/>
      </c>
      <c r="AK117" s="7">
        <f>K117*0.00788713</f>
        <v/>
      </c>
      <c r="AL117" s="7">
        <f>L117*0.00788713</f>
        <v/>
      </c>
      <c r="AM117" s="7">
        <f>M117*0.00788713</f>
        <v/>
      </c>
      <c r="AN117" s="7">
        <f>N117*0.00788713</f>
        <v/>
      </c>
      <c r="AO117" s="7">
        <f>O117*0.00788713</f>
        <v/>
      </c>
      <c r="AP117" s="7">
        <f>P117*0.00788713</f>
        <v/>
      </c>
      <c r="AQ117" s="7">
        <f>Q117*0.00788713</f>
        <v/>
      </c>
      <c r="AR117" s="7">
        <f>R117*0.00788713</f>
        <v/>
      </c>
      <c r="AS117" s="7">
        <f>S117*0.00788713</f>
        <v/>
      </c>
      <c r="AT117" s="7">
        <f>T117*0.00788713</f>
        <v/>
      </c>
      <c r="AU117" s="7">
        <f>U117*0.00788713</f>
        <v/>
      </c>
      <c r="AV117" s="7">
        <f>V117*0.00788713</f>
        <v/>
      </c>
      <c r="AW117" s="7">
        <f>W117*0.00788713</f>
        <v/>
      </c>
      <c r="AX117" s="7">
        <f>X117*0.00788713</f>
        <v/>
      </c>
      <c r="AY117" s="7">
        <f>Y117*0.00788713</f>
        <v/>
      </c>
      <c r="AZ117" s="7">
        <f>Z117*0.00788713</f>
        <v/>
      </c>
      <c r="BA117" s="7">
        <f>AA117*0.00788713</f>
        <v/>
      </c>
      <c r="BB117" s="7">
        <f>SUM(AD117:BA117)</f>
        <v/>
      </c>
    </row>
    <row r="118">
      <c r="A118" t="inlineStr">
        <is>
          <t>DC-10-1</t>
        </is>
      </c>
      <c r="B118" t="inlineStr">
        <is>
          <t>DSC Manual</t>
        </is>
      </c>
      <c r="C118" s="5" t="n">
        <v>46096</v>
      </c>
      <c r="D118" s="6" t="n">
        <v>29</v>
      </c>
      <c r="E118" s="6" t="n">
        <v>15</v>
      </c>
      <c r="F118" s="6" t="n">
        <v>31</v>
      </c>
      <c r="G118" s="6" t="n">
        <v>40</v>
      </c>
      <c r="H118" s="6" t="n">
        <v>23</v>
      </c>
      <c r="I118" s="6" t="n">
        <v>26</v>
      </c>
      <c r="J118" s="6" t="n">
        <v>17</v>
      </c>
      <c r="K118" s="6" t="n">
        <v>3</v>
      </c>
      <c r="L118" s="6" t="n">
        <v>0</v>
      </c>
      <c r="M118" s="6" t="n">
        <v>0</v>
      </c>
      <c r="N118" s="6" t="n">
        <v>0</v>
      </c>
      <c r="O118" s="6" t="n">
        <v>0</v>
      </c>
      <c r="P118" s="6" t="n">
        <v>0</v>
      </c>
      <c r="Q118" s="6" t="n">
        <v>0</v>
      </c>
      <c r="R118" s="6" t="n">
        <v>192</v>
      </c>
      <c r="S118" s="6" t="n">
        <v>146</v>
      </c>
      <c r="T118" s="6" t="n">
        <v>63</v>
      </c>
      <c r="U118" s="6" t="n">
        <v>172</v>
      </c>
      <c r="V118" s="6" t="n">
        <v>162</v>
      </c>
      <c r="W118" s="6" t="n">
        <v>206</v>
      </c>
      <c r="X118" s="6" t="n">
        <v>238</v>
      </c>
      <c r="Y118" s="6" t="n">
        <v>25</v>
      </c>
      <c r="Z118" s="6" t="n">
        <v>0</v>
      </c>
      <c r="AA118" s="6" t="n">
        <v>14</v>
      </c>
      <c r="AB118" s="6">
        <f>SUM(D118:AA118)</f>
        <v/>
      </c>
      <c r="AC118" s="3" t="inlineStr"/>
      <c r="AD118" s="7">
        <f>D118*0.00788713</f>
        <v/>
      </c>
      <c r="AE118" s="7">
        <f>E118*0.00788713</f>
        <v/>
      </c>
      <c r="AF118" s="7">
        <f>F118*0.00788713</f>
        <v/>
      </c>
      <c r="AG118" s="7">
        <f>G118*0.00788713</f>
        <v/>
      </c>
      <c r="AH118" s="7">
        <f>H118*0.00788713</f>
        <v/>
      </c>
      <c r="AI118" s="7">
        <f>I118*0.00788713</f>
        <v/>
      </c>
      <c r="AJ118" s="7">
        <f>J118*0.00788713</f>
        <v/>
      </c>
      <c r="AK118" s="7">
        <f>K118*0.00788713</f>
        <v/>
      </c>
      <c r="AL118" s="7">
        <f>L118*0.00788713</f>
        <v/>
      </c>
      <c r="AM118" s="7">
        <f>M118*0.00788713</f>
        <v/>
      </c>
      <c r="AN118" s="7">
        <f>N118*0.00788713</f>
        <v/>
      </c>
      <c r="AO118" s="7">
        <f>O118*0.00788713</f>
        <v/>
      </c>
      <c r="AP118" s="7">
        <f>P118*0.00788713</f>
        <v/>
      </c>
      <c r="AQ118" s="7">
        <f>Q118*0.00788713</f>
        <v/>
      </c>
      <c r="AR118" s="7">
        <f>R118*0.00788713</f>
        <v/>
      </c>
      <c r="AS118" s="7">
        <f>S118*0.00788713</f>
        <v/>
      </c>
      <c r="AT118" s="7">
        <f>T118*0.00788713</f>
        <v/>
      </c>
      <c r="AU118" s="7">
        <f>U118*0.00788713</f>
        <v/>
      </c>
      <c r="AV118" s="7">
        <f>V118*0.00788713</f>
        <v/>
      </c>
      <c r="AW118" s="7">
        <f>W118*0.00788713</f>
        <v/>
      </c>
      <c r="AX118" s="7">
        <f>X118*0.00788713</f>
        <v/>
      </c>
      <c r="AY118" s="7">
        <f>Y118*0.00788713</f>
        <v/>
      </c>
      <c r="AZ118" s="7">
        <f>Z118*0.00788713</f>
        <v/>
      </c>
      <c r="BA118" s="7">
        <f>AA118*0.00788713</f>
        <v/>
      </c>
      <c r="BB118" s="7">
        <f>SUM(AD118:BA118)</f>
        <v/>
      </c>
    </row>
    <row r="119">
      <c r="A119" t="inlineStr">
        <is>
          <t>DC-10-1</t>
        </is>
      </c>
      <c r="B119" t="inlineStr">
        <is>
          <t>DSC Manual</t>
        </is>
      </c>
      <c r="C119" s="5" t="n">
        <v>46097</v>
      </c>
      <c r="D119" s="6" t="n">
        <v>7</v>
      </c>
      <c r="E119" s="6" t="n">
        <v>5</v>
      </c>
      <c r="F119" s="6" t="n">
        <v>12</v>
      </c>
      <c r="G119" s="6" t="n">
        <v>32</v>
      </c>
      <c r="H119" s="6" t="n">
        <v>22</v>
      </c>
      <c r="I119" s="6" t="n">
        <v>21</v>
      </c>
      <c r="J119" s="6" t="n">
        <v>2</v>
      </c>
      <c r="K119" s="6" t="n">
        <v>0</v>
      </c>
      <c r="L119" s="6" t="n">
        <v>0</v>
      </c>
      <c r="M119" s="6" t="n">
        <v>0</v>
      </c>
      <c r="N119" s="6" t="n">
        <v>0</v>
      </c>
      <c r="O119" s="6" t="n">
        <v>0</v>
      </c>
      <c r="P119" s="6" t="n">
        <v>0</v>
      </c>
      <c r="Q119" s="6" t="n">
        <v>0</v>
      </c>
      <c r="R119" s="6" t="n">
        <v>217</v>
      </c>
      <c r="S119" s="6" t="n">
        <v>170</v>
      </c>
      <c r="T119" s="6" t="n">
        <v>46</v>
      </c>
      <c r="U119" s="6" t="n">
        <v>139</v>
      </c>
      <c r="V119" s="6" t="n">
        <v>163</v>
      </c>
      <c r="W119" s="6" t="n">
        <v>196</v>
      </c>
      <c r="X119" s="6" t="n">
        <v>214</v>
      </c>
      <c r="Y119" s="6" t="n">
        <v>143</v>
      </c>
      <c r="Z119" s="6" t="n">
        <v>0</v>
      </c>
      <c r="AA119" s="6" t="n">
        <v>0</v>
      </c>
      <c r="AB119" s="6">
        <f>SUM(D119:AA119)</f>
        <v/>
      </c>
      <c r="AC119" s="3" t="inlineStr"/>
      <c r="AD119" s="7">
        <f>D119*0.00788713</f>
        <v/>
      </c>
      <c r="AE119" s="7">
        <f>E119*0.00788713</f>
        <v/>
      </c>
      <c r="AF119" s="7">
        <f>F119*0.00788713</f>
        <v/>
      </c>
      <c r="AG119" s="7">
        <f>G119*0.00788713</f>
        <v/>
      </c>
      <c r="AH119" s="7">
        <f>H119*0.00788713</f>
        <v/>
      </c>
      <c r="AI119" s="7">
        <f>I119*0.00788713</f>
        <v/>
      </c>
      <c r="AJ119" s="7">
        <f>J119*0.00788713</f>
        <v/>
      </c>
      <c r="AK119" s="7">
        <f>K119*0.00788713</f>
        <v/>
      </c>
      <c r="AL119" s="7">
        <f>L119*0.00788713</f>
        <v/>
      </c>
      <c r="AM119" s="7">
        <f>M119*0.00788713</f>
        <v/>
      </c>
      <c r="AN119" s="7">
        <f>N119*0.00788713</f>
        <v/>
      </c>
      <c r="AO119" s="7">
        <f>O119*0.00788713</f>
        <v/>
      </c>
      <c r="AP119" s="7">
        <f>P119*0.00788713</f>
        <v/>
      </c>
      <c r="AQ119" s="7">
        <f>Q119*0.00788713</f>
        <v/>
      </c>
      <c r="AR119" s="7">
        <f>R119*0.00788713</f>
        <v/>
      </c>
      <c r="AS119" s="7">
        <f>S119*0.00788713</f>
        <v/>
      </c>
      <c r="AT119" s="7">
        <f>T119*0.00788713</f>
        <v/>
      </c>
      <c r="AU119" s="7">
        <f>U119*0.00788713</f>
        <v/>
      </c>
      <c r="AV119" s="7">
        <f>V119*0.00788713</f>
        <v/>
      </c>
      <c r="AW119" s="7">
        <f>W119*0.00788713</f>
        <v/>
      </c>
      <c r="AX119" s="7">
        <f>X119*0.00788713</f>
        <v/>
      </c>
      <c r="AY119" s="7">
        <f>Y119*0.00788713</f>
        <v/>
      </c>
      <c r="AZ119" s="7">
        <f>Z119*0.00788713</f>
        <v/>
      </c>
      <c r="BA119" s="7">
        <f>AA119*0.00788713</f>
        <v/>
      </c>
      <c r="BB119" s="7">
        <f>SUM(AD119:BA119)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B1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Layout</t>
        </is>
      </c>
      <c r="B1" s="1" t="inlineStr">
        <is>
          <t>Layout Type</t>
        </is>
      </c>
      <c r="C1" s="1" t="inlineStr">
        <is>
          <t>Date</t>
        </is>
      </c>
      <c r="D1" s="2" t="inlineStr">
        <is>
          <t>Act Vol 12 AM</t>
        </is>
      </c>
      <c r="E1" s="2" t="inlineStr">
        <is>
          <t>Act Vol 1 AM</t>
        </is>
      </c>
      <c r="F1" s="2" t="inlineStr">
        <is>
          <t>Act Vol 2 AM</t>
        </is>
      </c>
      <c r="G1" s="2" t="inlineStr">
        <is>
          <t>Act Vol 3 AM</t>
        </is>
      </c>
      <c r="H1" s="2" t="inlineStr">
        <is>
          <t>Act Vol 4 AM</t>
        </is>
      </c>
      <c r="I1" s="2" t="inlineStr">
        <is>
          <t>Act Vol 5 AM</t>
        </is>
      </c>
      <c r="J1" s="2" t="inlineStr">
        <is>
          <t>Act Vol 6 AM</t>
        </is>
      </c>
      <c r="K1" s="2" t="inlineStr">
        <is>
          <t>Act Vol 7 AM</t>
        </is>
      </c>
      <c r="L1" s="2" t="inlineStr">
        <is>
          <t>Act Vol 8 AM</t>
        </is>
      </c>
      <c r="M1" s="2" t="inlineStr">
        <is>
          <t>Act Vol 9 AM</t>
        </is>
      </c>
      <c r="N1" s="2" t="inlineStr">
        <is>
          <t>Act Vol 10 AM</t>
        </is>
      </c>
      <c r="O1" s="2" t="inlineStr">
        <is>
          <t>Act Vol 11 AM</t>
        </is>
      </c>
      <c r="P1" s="2" t="inlineStr">
        <is>
          <t>Act Vol 12 PM</t>
        </is>
      </c>
      <c r="Q1" s="2" t="inlineStr">
        <is>
          <t>Act Vol 1 PM</t>
        </is>
      </c>
      <c r="R1" s="2" t="inlineStr">
        <is>
          <t>Act Vol 2 PM</t>
        </is>
      </c>
      <c r="S1" s="2" t="inlineStr">
        <is>
          <t>Act Vol 3 PM</t>
        </is>
      </c>
      <c r="T1" s="2" t="inlineStr">
        <is>
          <t>Act Vol 4 PM</t>
        </is>
      </c>
      <c r="U1" s="2" t="inlineStr">
        <is>
          <t>Act Vol 5 PM</t>
        </is>
      </c>
      <c r="V1" s="2" t="inlineStr">
        <is>
          <t>Act Vol 6 PM</t>
        </is>
      </c>
      <c r="W1" s="2" t="inlineStr">
        <is>
          <t>Act Vol 7 PM</t>
        </is>
      </c>
      <c r="X1" s="2" t="inlineStr">
        <is>
          <t>Act Vol 8 PM</t>
        </is>
      </c>
      <c r="Y1" s="2" t="inlineStr">
        <is>
          <t>Act Vol 9 PM</t>
        </is>
      </c>
      <c r="Z1" s="2" t="inlineStr">
        <is>
          <t>Act Vol 10 PM</t>
        </is>
      </c>
      <c r="AA1" s="2" t="inlineStr">
        <is>
          <t>Act Vol 11 PM</t>
        </is>
      </c>
      <c r="AB1" s="2" t="inlineStr">
        <is>
          <t>Act Vol Total</t>
        </is>
      </c>
      <c r="AC1" s="3" t="inlineStr"/>
      <c r="AD1" s="4" t="inlineStr">
        <is>
          <t>MH 12 AM</t>
        </is>
      </c>
      <c r="AE1" s="4" t="inlineStr">
        <is>
          <t>MH 1 AM</t>
        </is>
      </c>
      <c r="AF1" s="4" t="inlineStr">
        <is>
          <t>MH 2 AM</t>
        </is>
      </c>
      <c r="AG1" s="4" t="inlineStr">
        <is>
          <t>MH 3 AM</t>
        </is>
      </c>
      <c r="AH1" s="4" t="inlineStr">
        <is>
          <t>MH 4 AM</t>
        </is>
      </c>
      <c r="AI1" s="4" t="inlineStr">
        <is>
          <t>MH 5 AM</t>
        </is>
      </c>
      <c r="AJ1" s="4" t="inlineStr">
        <is>
          <t>MH 6 AM</t>
        </is>
      </c>
      <c r="AK1" s="4" t="inlineStr">
        <is>
          <t>MH 7 AM</t>
        </is>
      </c>
      <c r="AL1" s="4" t="inlineStr">
        <is>
          <t>MH 8 AM</t>
        </is>
      </c>
      <c r="AM1" s="4" t="inlineStr">
        <is>
          <t>MH 9 AM</t>
        </is>
      </c>
      <c r="AN1" s="4" t="inlineStr">
        <is>
          <t>MH 10 AM</t>
        </is>
      </c>
      <c r="AO1" s="4" t="inlineStr">
        <is>
          <t>MH 11 AM</t>
        </is>
      </c>
      <c r="AP1" s="4" t="inlineStr">
        <is>
          <t>MH 12 PM</t>
        </is>
      </c>
      <c r="AQ1" s="4" t="inlineStr">
        <is>
          <t>MH 1 PM</t>
        </is>
      </c>
      <c r="AR1" s="4" t="inlineStr">
        <is>
          <t>MH 2 PM</t>
        </is>
      </c>
      <c r="AS1" s="4" t="inlineStr">
        <is>
          <t>MH 3 PM</t>
        </is>
      </c>
      <c r="AT1" s="4" t="inlineStr">
        <is>
          <t>MH 4 PM</t>
        </is>
      </c>
      <c r="AU1" s="4" t="inlineStr">
        <is>
          <t>MH 5 PM</t>
        </is>
      </c>
      <c r="AV1" s="4" t="inlineStr">
        <is>
          <t>MH 6 PM</t>
        </is>
      </c>
      <c r="AW1" s="4" t="inlineStr">
        <is>
          <t>MH 7 PM</t>
        </is>
      </c>
      <c r="AX1" s="4" t="inlineStr">
        <is>
          <t>MH 8 PM</t>
        </is>
      </c>
      <c r="AY1" s="4" t="inlineStr">
        <is>
          <t>MH 9 PM</t>
        </is>
      </c>
      <c r="AZ1" s="4" t="inlineStr">
        <is>
          <t>MH 10 PM</t>
        </is>
      </c>
      <c r="BA1" s="4" t="inlineStr">
        <is>
          <t>MH 11 PM</t>
        </is>
      </c>
      <c r="BB1" s="4" t="inlineStr">
        <is>
          <t>MH Total</t>
        </is>
      </c>
    </row>
    <row r="2">
      <c r="A2" t="inlineStr">
        <is>
          <t>AMD-AIR-NEW-SSC</t>
        </is>
      </c>
      <c r="B2" t="inlineStr">
        <is>
          <t>Forward Regular OSC</t>
        </is>
      </c>
      <c r="C2" s="5" t="n">
        <v>46093</v>
      </c>
      <c r="D2" s="6">
        <f>Summary!D2</f>
        <v/>
      </c>
      <c r="E2" s="6">
        <f>Summary!E2</f>
        <v/>
      </c>
      <c r="F2" s="6">
        <f>Summary!F2</f>
        <v/>
      </c>
      <c r="G2" s="6">
        <f>Summary!G2</f>
        <v/>
      </c>
      <c r="H2" s="6">
        <f>Summary!H2</f>
        <v/>
      </c>
      <c r="I2" s="6">
        <f>Summary!I2</f>
        <v/>
      </c>
      <c r="J2" s="6">
        <f>Summary!J2</f>
        <v/>
      </c>
      <c r="K2" s="6">
        <f>Summary!K2</f>
        <v/>
      </c>
      <c r="L2" s="6">
        <f>Summary!L2</f>
        <v/>
      </c>
      <c r="M2" s="6">
        <f>Summary!M2</f>
        <v/>
      </c>
      <c r="N2" s="6">
        <f>Summary!N2</f>
        <v/>
      </c>
      <c r="O2" s="6">
        <f>Summary!O2</f>
        <v/>
      </c>
      <c r="P2" s="6">
        <f>Summary!P2</f>
        <v/>
      </c>
      <c r="Q2" s="6">
        <f>Summary!Q2</f>
        <v/>
      </c>
      <c r="R2" s="6">
        <f>Summary!R2</f>
        <v/>
      </c>
      <c r="S2" s="6">
        <f>Summary!S2</f>
        <v/>
      </c>
      <c r="T2" s="6">
        <f>Summary!T2</f>
        <v/>
      </c>
      <c r="U2" s="6">
        <f>Summary!U2</f>
        <v/>
      </c>
      <c r="V2" s="6">
        <f>Summary!V2</f>
        <v/>
      </c>
      <c r="W2" s="6">
        <f>Summary!W2</f>
        <v/>
      </c>
      <c r="X2" s="6">
        <f>Summary!X2</f>
        <v/>
      </c>
      <c r="Y2" s="6">
        <f>Summary!Y2</f>
        <v/>
      </c>
      <c r="Z2" s="6">
        <f>Summary!Z2</f>
        <v/>
      </c>
      <c r="AA2" s="6">
        <f>Summary!AA2</f>
        <v/>
      </c>
      <c r="AB2" s="6">
        <f>SUM(D2:AA2)</f>
        <v/>
      </c>
      <c r="AC2" s="3" t="inlineStr"/>
      <c r="AD2" s="7">
        <f>F2*0.0004002+E2*0.0004002</f>
        <v/>
      </c>
      <c r="AE2" s="7">
        <f>G2*0.0004002+F2*0.0004002</f>
        <v/>
      </c>
      <c r="AF2" s="7">
        <f>H2*0.0004002+G2*0.0004002</f>
        <v/>
      </c>
      <c r="AG2" s="7">
        <f>I2*0.0004002+H2*0.0004002</f>
        <v/>
      </c>
      <c r="AH2" s="7">
        <f>J2*0.0004002+I2*0.0004002</f>
        <v/>
      </c>
      <c r="AI2" s="7">
        <f>K2*0.0004002+J2*0.0004002</f>
        <v/>
      </c>
      <c r="AJ2" s="7">
        <f>L2*0.0004002+K2*0.0004002</f>
        <v/>
      </c>
      <c r="AK2" s="7">
        <f>M2*0.0004002+L2*0.0004002</f>
        <v/>
      </c>
      <c r="AL2" s="7">
        <f>N2*0.0004002+M2*0.0004002</f>
        <v/>
      </c>
      <c r="AM2" s="7">
        <f>O2*0.0004002+N2*0.0004002</f>
        <v/>
      </c>
      <c r="AN2" s="7">
        <f>P2*0.0004002+O2*0.0004002</f>
        <v/>
      </c>
      <c r="AO2" s="7">
        <f>Q2*0.0004002+P2*0.0004002</f>
        <v/>
      </c>
      <c r="AP2" s="7">
        <f>R2*0.0004002+Q2*0.0004002</f>
        <v/>
      </c>
      <c r="AQ2" s="7">
        <f>S2*0.0004002+R2*0.0004002</f>
        <v/>
      </c>
      <c r="AR2" s="7">
        <f>T2*0.0004002+S2*0.0004002</f>
        <v/>
      </c>
      <c r="AS2" s="7">
        <f>U2*0.0004002+T2*0.0004002</f>
        <v/>
      </c>
      <c r="AT2" s="7">
        <f>V2*0.0004002+U2*0.0004002</f>
        <v/>
      </c>
      <c r="AU2" s="7">
        <f>W2*0.0004002+V2*0.0004002</f>
        <v/>
      </c>
      <c r="AV2" s="7">
        <f>X2*0.0004002+W2*0.0004002</f>
        <v/>
      </c>
      <c r="AW2" s="7">
        <f>Y2*0.0004002+X2*0.0004002</f>
        <v/>
      </c>
      <c r="AX2" s="7">
        <f>Z2*0.0004002+Y2*0.0004002</f>
        <v/>
      </c>
      <c r="AY2" s="7">
        <f>AA2*0.0004002+Z2*0.0004002</f>
        <v/>
      </c>
      <c r="AZ2" s="7">
        <f>D2*0.0004002+AA2*0.0004002</f>
        <v/>
      </c>
      <c r="BA2" s="7">
        <f>E2*0.0004002+D2*0.0004002</f>
        <v/>
      </c>
      <c r="BB2" s="7">
        <f>SUM(AD2:BA2)</f>
        <v/>
      </c>
    </row>
    <row r="3">
      <c r="A3" t="inlineStr">
        <is>
          <t>AMD-AIR-NEW-SSC</t>
        </is>
      </c>
      <c r="B3" t="inlineStr">
        <is>
          <t>Forward Regular OSC</t>
        </is>
      </c>
      <c r="C3" s="5" t="n">
        <v>46094</v>
      </c>
      <c r="D3" s="6">
        <f>Summary!D3</f>
        <v/>
      </c>
      <c r="E3" s="6">
        <f>Summary!E3</f>
        <v/>
      </c>
      <c r="F3" s="6">
        <f>Summary!F3</f>
        <v/>
      </c>
      <c r="G3" s="6">
        <f>Summary!G3</f>
        <v/>
      </c>
      <c r="H3" s="6">
        <f>Summary!H3</f>
        <v/>
      </c>
      <c r="I3" s="6">
        <f>Summary!I3</f>
        <v/>
      </c>
      <c r="J3" s="6">
        <f>Summary!J3</f>
        <v/>
      </c>
      <c r="K3" s="6">
        <f>Summary!K3</f>
        <v/>
      </c>
      <c r="L3" s="6">
        <f>Summary!L3</f>
        <v/>
      </c>
      <c r="M3" s="6">
        <f>Summary!M3</f>
        <v/>
      </c>
      <c r="N3" s="6">
        <f>Summary!N3</f>
        <v/>
      </c>
      <c r="O3" s="6">
        <f>Summary!O3</f>
        <v/>
      </c>
      <c r="P3" s="6">
        <f>Summary!P3</f>
        <v/>
      </c>
      <c r="Q3" s="6">
        <f>Summary!Q3</f>
        <v/>
      </c>
      <c r="R3" s="6">
        <f>Summary!R3</f>
        <v/>
      </c>
      <c r="S3" s="6">
        <f>Summary!S3</f>
        <v/>
      </c>
      <c r="T3" s="6">
        <f>Summary!T3</f>
        <v/>
      </c>
      <c r="U3" s="6">
        <f>Summary!U3</f>
        <v/>
      </c>
      <c r="V3" s="6">
        <f>Summary!V3</f>
        <v/>
      </c>
      <c r="W3" s="6">
        <f>Summary!W3</f>
        <v/>
      </c>
      <c r="X3" s="6">
        <f>Summary!X3</f>
        <v/>
      </c>
      <c r="Y3" s="6">
        <f>Summary!Y3</f>
        <v/>
      </c>
      <c r="Z3" s="6">
        <f>Summary!Z3</f>
        <v/>
      </c>
      <c r="AA3" s="6">
        <f>Summary!AA3</f>
        <v/>
      </c>
      <c r="AB3" s="6">
        <f>SUM(D3:AA3)</f>
        <v/>
      </c>
      <c r="AC3" s="3" t="inlineStr"/>
      <c r="AD3" s="7">
        <f>F3*0.0004002+E3*0.0004002</f>
        <v/>
      </c>
      <c r="AE3" s="7">
        <f>G3*0.0004002+F3*0.0004002</f>
        <v/>
      </c>
      <c r="AF3" s="7">
        <f>H3*0.0004002+G3*0.0004002</f>
        <v/>
      </c>
      <c r="AG3" s="7">
        <f>I3*0.0004002+H3*0.0004002</f>
        <v/>
      </c>
      <c r="AH3" s="7">
        <f>J3*0.0004002+I3*0.0004002</f>
        <v/>
      </c>
      <c r="AI3" s="7">
        <f>K3*0.0004002+J3*0.0004002</f>
        <v/>
      </c>
      <c r="AJ3" s="7">
        <f>L3*0.0004002+K3*0.0004002</f>
        <v/>
      </c>
      <c r="AK3" s="7">
        <f>M3*0.0004002+L3*0.0004002</f>
        <v/>
      </c>
      <c r="AL3" s="7">
        <f>N3*0.0004002+M3*0.0004002</f>
        <v/>
      </c>
      <c r="AM3" s="7">
        <f>O3*0.0004002+N3*0.0004002</f>
        <v/>
      </c>
      <c r="AN3" s="7">
        <f>P3*0.0004002+O3*0.0004002</f>
        <v/>
      </c>
      <c r="AO3" s="7">
        <f>Q3*0.0004002+P3*0.0004002</f>
        <v/>
      </c>
      <c r="AP3" s="7">
        <f>R3*0.0004002+Q3*0.0004002</f>
        <v/>
      </c>
      <c r="AQ3" s="7">
        <f>S3*0.0004002+R3*0.0004002</f>
        <v/>
      </c>
      <c r="AR3" s="7">
        <f>T3*0.0004002+S3*0.0004002</f>
        <v/>
      </c>
      <c r="AS3" s="7">
        <f>U3*0.0004002+T3*0.0004002</f>
        <v/>
      </c>
      <c r="AT3" s="7">
        <f>V3*0.0004002+U3*0.0004002</f>
        <v/>
      </c>
      <c r="AU3" s="7">
        <f>W3*0.0004002+V3*0.0004002</f>
        <v/>
      </c>
      <c r="AV3" s="7">
        <f>X3*0.0004002+W3*0.0004002</f>
        <v/>
      </c>
      <c r="AW3" s="7">
        <f>Y3*0.0004002+X3*0.0004002</f>
        <v/>
      </c>
      <c r="AX3" s="7">
        <f>Z3*0.0004002+Y3*0.0004002</f>
        <v/>
      </c>
      <c r="AY3" s="7">
        <f>AA3*0.0004002+Z3*0.0004002</f>
        <v/>
      </c>
      <c r="AZ3" s="7">
        <f>D3*0.0004002+AA3*0.0004002</f>
        <v/>
      </c>
      <c r="BA3" s="7">
        <f>E3*0.0004002+D3*0.0004002</f>
        <v/>
      </c>
      <c r="BB3" s="7">
        <f>SUM(AD3:BA3)</f>
        <v/>
      </c>
    </row>
    <row r="4">
      <c r="A4" t="inlineStr">
        <is>
          <t>AMD-AIR-NEW-SSC</t>
        </is>
      </c>
      <c r="B4" t="inlineStr">
        <is>
          <t>Forward Regular OSC</t>
        </is>
      </c>
      <c r="C4" s="5" t="n">
        <v>46096</v>
      </c>
      <c r="D4" s="6">
        <f>Summary!D4</f>
        <v/>
      </c>
      <c r="E4" s="6">
        <f>Summary!E4</f>
        <v/>
      </c>
      <c r="F4" s="6">
        <f>Summary!F4</f>
        <v/>
      </c>
      <c r="G4" s="6">
        <f>Summary!G4</f>
        <v/>
      </c>
      <c r="H4" s="6">
        <f>Summary!H4</f>
        <v/>
      </c>
      <c r="I4" s="6">
        <f>Summary!I4</f>
        <v/>
      </c>
      <c r="J4" s="6">
        <f>Summary!J4</f>
        <v/>
      </c>
      <c r="K4" s="6">
        <f>Summary!K4</f>
        <v/>
      </c>
      <c r="L4" s="6">
        <f>Summary!L4</f>
        <v/>
      </c>
      <c r="M4" s="6">
        <f>Summary!M4</f>
        <v/>
      </c>
      <c r="N4" s="6">
        <f>Summary!N4</f>
        <v/>
      </c>
      <c r="O4" s="6">
        <f>Summary!O4</f>
        <v/>
      </c>
      <c r="P4" s="6">
        <f>Summary!P4</f>
        <v/>
      </c>
      <c r="Q4" s="6">
        <f>Summary!Q4</f>
        <v/>
      </c>
      <c r="R4" s="6">
        <f>Summary!R4</f>
        <v/>
      </c>
      <c r="S4" s="6">
        <f>Summary!S4</f>
        <v/>
      </c>
      <c r="T4" s="6">
        <f>Summary!T4</f>
        <v/>
      </c>
      <c r="U4" s="6">
        <f>Summary!U4</f>
        <v/>
      </c>
      <c r="V4" s="6">
        <f>Summary!V4</f>
        <v/>
      </c>
      <c r="W4" s="6">
        <f>Summary!W4</f>
        <v/>
      </c>
      <c r="X4" s="6">
        <f>Summary!X4</f>
        <v/>
      </c>
      <c r="Y4" s="6">
        <f>Summary!Y4</f>
        <v/>
      </c>
      <c r="Z4" s="6">
        <f>Summary!Z4</f>
        <v/>
      </c>
      <c r="AA4" s="6">
        <f>Summary!AA4</f>
        <v/>
      </c>
      <c r="AB4" s="6">
        <f>SUM(D4:AA4)</f>
        <v/>
      </c>
      <c r="AC4" s="3" t="inlineStr"/>
      <c r="AD4" s="7">
        <f>F4*0.0004002+E4*0.0004002</f>
        <v/>
      </c>
      <c r="AE4" s="7">
        <f>G4*0.0004002+F4*0.0004002</f>
        <v/>
      </c>
      <c r="AF4" s="7">
        <f>H4*0.0004002+G4*0.0004002</f>
        <v/>
      </c>
      <c r="AG4" s="7">
        <f>I4*0.0004002+H4*0.0004002</f>
        <v/>
      </c>
      <c r="AH4" s="7">
        <f>J4*0.0004002+I4*0.0004002</f>
        <v/>
      </c>
      <c r="AI4" s="7">
        <f>K4*0.0004002+J4*0.0004002</f>
        <v/>
      </c>
      <c r="AJ4" s="7">
        <f>L4*0.0004002+K4*0.0004002</f>
        <v/>
      </c>
      <c r="AK4" s="7">
        <f>M4*0.0004002+L4*0.0004002</f>
        <v/>
      </c>
      <c r="AL4" s="7">
        <f>N4*0.0004002+M4*0.0004002</f>
        <v/>
      </c>
      <c r="AM4" s="7">
        <f>O4*0.0004002+N4*0.0004002</f>
        <v/>
      </c>
      <c r="AN4" s="7">
        <f>P4*0.0004002+O4*0.0004002</f>
        <v/>
      </c>
      <c r="AO4" s="7">
        <f>Q4*0.0004002+P4*0.0004002</f>
        <v/>
      </c>
      <c r="AP4" s="7">
        <f>R4*0.0004002+Q4*0.0004002</f>
        <v/>
      </c>
      <c r="AQ4" s="7">
        <f>S4*0.0004002+R4*0.0004002</f>
        <v/>
      </c>
      <c r="AR4" s="7">
        <f>T4*0.0004002+S4*0.0004002</f>
        <v/>
      </c>
      <c r="AS4" s="7">
        <f>U4*0.0004002+T4*0.0004002</f>
        <v/>
      </c>
      <c r="AT4" s="7">
        <f>V4*0.0004002+U4*0.0004002</f>
        <v/>
      </c>
      <c r="AU4" s="7">
        <f>W4*0.0004002+V4*0.0004002</f>
        <v/>
      </c>
      <c r="AV4" s="7">
        <f>X4*0.0004002+W4*0.0004002</f>
        <v/>
      </c>
      <c r="AW4" s="7">
        <f>Y4*0.0004002+X4*0.0004002</f>
        <v/>
      </c>
      <c r="AX4" s="7">
        <f>Z4*0.0004002+Y4*0.0004002</f>
        <v/>
      </c>
      <c r="AY4" s="7">
        <f>AA4*0.0004002+Z4*0.0004002</f>
        <v/>
      </c>
      <c r="AZ4" s="7">
        <f>D4*0.0004002+AA4*0.0004002</f>
        <v/>
      </c>
      <c r="BA4" s="7">
        <f>E4*0.0004002+D4*0.0004002</f>
        <v/>
      </c>
      <c r="BB4" s="7">
        <f>SUM(AD4:BA4)</f>
        <v/>
      </c>
    </row>
    <row r="5">
      <c r="A5" t="inlineStr">
        <is>
          <t>AMD-AIR-NEW-SSC</t>
        </is>
      </c>
      <c r="B5" t="inlineStr">
        <is>
          <t>Forward Regular OSC</t>
        </is>
      </c>
      <c r="C5" s="5" t="n">
        <v>46097</v>
      </c>
      <c r="D5" s="6">
        <f>Summary!D5</f>
        <v/>
      </c>
      <c r="E5" s="6">
        <f>Summary!E5</f>
        <v/>
      </c>
      <c r="F5" s="6">
        <f>Summary!F5</f>
        <v/>
      </c>
      <c r="G5" s="6">
        <f>Summary!G5</f>
        <v/>
      </c>
      <c r="H5" s="6">
        <f>Summary!H5</f>
        <v/>
      </c>
      <c r="I5" s="6">
        <f>Summary!I5</f>
        <v/>
      </c>
      <c r="J5" s="6">
        <f>Summary!J5</f>
        <v/>
      </c>
      <c r="K5" s="6">
        <f>Summary!K5</f>
        <v/>
      </c>
      <c r="L5" s="6">
        <f>Summary!L5</f>
        <v/>
      </c>
      <c r="M5" s="6">
        <f>Summary!M5</f>
        <v/>
      </c>
      <c r="N5" s="6">
        <f>Summary!N5</f>
        <v/>
      </c>
      <c r="O5" s="6">
        <f>Summary!O5</f>
        <v/>
      </c>
      <c r="P5" s="6">
        <f>Summary!P5</f>
        <v/>
      </c>
      <c r="Q5" s="6">
        <f>Summary!Q5</f>
        <v/>
      </c>
      <c r="R5" s="6">
        <f>Summary!R5</f>
        <v/>
      </c>
      <c r="S5" s="6">
        <f>Summary!S5</f>
        <v/>
      </c>
      <c r="T5" s="6">
        <f>Summary!T5</f>
        <v/>
      </c>
      <c r="U5" s="6">
        <f>Summary!U5</f>
        <v/>
      </c>
      <c r="V5" s="6">
        <f>Summary!V5</f>
        <v/>
      </c>
      <c r="W5" s="6">
        <f>Summary!W5</f>
        <v/>
      </c>
      <c r="X5" s="6">
        <f>Summary!X5</f>
        <v/>
      </c>
      <c r="Y5" s="6">
        <f>Summary!Y5</f>
        <v/>
      </c>
      <c r="Z5" s="6">
        <f>Summary!Z5</f>
        <v/>
      </c>
      <c r="AA5" s="6">
        <f>Summary!AA5</f>
        <v/>
      </c>
      <c r="AB5" s="6">
        <f>SUM(D5:AA5)</f>
        <v/>
      </c>
      <c r="AC5" s="3" t="inlineStr"/>
      <c r="AD5" s="7">
        <f>F5*0.0004002+E5*0.0004002</f>
        <v/>
      </c>
      <c r="AE5" s="7">
        <f>G5*0.0004002+F5*0.0004002</f>
        <v/>
      </c>
      <c r="AF5" s="7">
        <f>H5*0.0004002+G5*0.0004002</f>
        <v/>
      </c>
      <c r="AG5" s="7">
        <f>I5*0.0004002+H5*0.0004002</f>
        <v/>
      </c>
      <c r="AH5" s="7">
        <f>J5*0.0004002+I5*0.0004002</f>
        <v/>
      </c>
      <c r="AI5" s="7">
        <f>K5*0.0004002+J5*0.0004002</f>
        <v/>
      </c>
      <c r="AJ5" s="7">
        <f>L5*0.0004002+K5*0.0004002</f>
        <v/>
      </c>
      <c r="AK5" s="7">
        <f>M5*0.0004002+L5*0.0004002</f>
        <v/>
      </c>
      <c r="AL5" s="7">
        <f>N5*0.0004002+M5*0.0004002</f>
        <v/>
      </c>
      <c r="AM5" s="7">
        <f>O5*0.0004002+N5*0.0004002</f>
        <v/>
      </c>
      <c r="AN5" s="7">
        <f>P5*0.0004002+O5*0.0004002</f>
        <v/>
      </c>
      <c r="AO5" s="7">
        <f>Q5*0.0004002+P5*0.0004002</f>
        <v/>
      </c>
      <c r="AP5" s="7">
        <f>R5*0.0004002+Q5*0.0004002</f>
        <v/>
      </c>
      <c r="AQ5" s="7">
        <f>S5*0.0004002+R5*0.0004002</f>
        <v/>
      </c>
      <c r="AR5" s="7">
        <f>T5*0.0004002+S5*0.0004002</f>
        <v/>
      </c>
      <c r="AS5" s="7">
        <f>U5*0.0004002+T5*0.0004002</f>
        <v/>
      </c>
      <c r="AT5" s="7">
        <f>V5*0.0004002+U5*0.0004002</f>
        <v/>
      </c>
      <c r="AU5" s="7">
        <f>W5*0.0004002+V5*0.0004002</f>
        <v/>
      </c>
      <c r="AV5" s="7">
        <f>X5*0.0004002+W5*0.0004002</f>
        <v/>
      </c>
      <c r="AW5" s="7">
        <f>Y5*0.0004002+X5*0.0004002</f>
        <v/>
      </c>
      <c r="AX5" s="7">
        <f>Z5*0.0004002+Y5*0.0004002</f>
        <v/>
      </c>
      <c r="AY5" s="7">
        <f>AA5*0.0004002+Z5*0.0004002</f>
        <v/>
      </c>
      <c r="AZ5" s="7">
        <f>D5*0.0004002+AA5*0.0004002</f>
        <v/>
      </c>
      <c r="BA5" s="7">
        <f>E5*0.0004002+D5*0.0004002</f>
        <v/>
      </c>
      <c r="BB5" s="7">
        <f>SUM(AD5:BA5)</f>
        <v/>
      </c>
    </row>
    <row r="6">
      <c r="A6" t="inlineStr">
        <is>
          <t>AMD-AIR-NEW-SSC</t>
        </is>
      </c>
      <c r="B6" t="inlineStr">
        <is>
          <t>Forward Regular OSC</t>
        </is>
      </c>
      <c r="C6" s="5" t="n">
        <v>46100</v>
      </c>
      <c r="D6" s="6">
        <f>Summary!D6</f>
        <v/>
      </c>
      <c r="E6" s="6">
        <f>Summary!E6</f>
        <v/>
      </c>
      <c r="F6" s="6">
        <f>Summary!F6</f>
        <v/>
      </c>
      <c r="G6" s="6">
        <f>Summary!G6</f>
        <v/>
      </c>
      <c r="H6" s="6">
        <f>Summary!H6</f>
        <v/>
      </c>
      <c r="I6" s="6">
        <f>Summary!I6</f>
        <v/>
      </c>
      <c r="J6" s="6">
        <f>Summary!J6</f>
        <v/>
      </c>
      <c r="K6" s="6">
        <f>Summary!K6</f>
        <v/>
      </c>
      <c r="L6" s="6">
        <f>Summary!L6</f>
        <v/>
      </c>
      <c r="M6" s="6">
        <f>Summary!M6</f>
        <v/>
      </c>
      <c r="N6" s="6">
        <f>Summary!N6</f>
        <v/>
      </c>
      <c r="O6" s="6">
        <f>Summary!O6</f>
        <v/>
      </c>
      <c r="P6" s="6">
        <f>Summary!P6</f>
        <v/>
      </c>
      <c r="Q6" s="6">
        <f>Summary!Q6</f>
        <v/>
      </c>
      <c r="R6" s="6">
        <f>Summary!R6</f>
        <v/>
      </c>
      <c r="S6" s="6">
        <f>Summary!S6</f>
        <v/>
      </c>
      <c r="T6" s="6">
        <f>Summary!T6</f>
        <v/>
      </c>
      <c r="U6" s="6">
        <f>Summary!U6</f>
        <v/>
      </c>
      <c r="V6" s="6">
        <f>Summary!V6</f>
        <v/>
      </c>
      <c r="W6" s="6">
        <f>Summary!W6</f>
        <v/>
      </c>
      <c r="X6" s="6">
        <f>Summary!X6</f>
        <v/>
      </c>
      <c r="Y6" s="6">
        <f>Summary!Y6</f>
        <v/>
      </c>
      <c r="Z6" s="6">
        <f>Summary!Z6</f>
        <v/>
      </c>
      <c r="AA6" s="6">
        <f>Summary!AA6</f>
        <v/>
      </c>
      <c r="AB6" s="6">
        <f>SUM(D6:AA6)</f>
        <v/>
      </c>
      <c r="AC6" s="3" t="inlineStr"/>
      <c r="AD6" s="7">
        <f>F6*0.0004002+E6*0.0004002</f>
        <v/>
      </c>
      <c r="AE6" s="7">
        <f>G6*0.0004002+F6*0.0004002</f>
        <v/>
      </c>
      <c r="AF6" s="7">
        <f>H6*0.0004002+G6*0.0004002</f>
        <v/>
      </c>
      <c r="AG6" s="7">
        <f>I6*0.0004002+H6*0.0004002</f>
        <v/>
      </c>
      <c r="AH6" s="7">
        <f>J6*0.0004002+I6*0.0004002</f>
        <v/>
      </c>
      <c r="AI6" s="7">
        <f>K6*0.0004002+J6*0.0004002</f>
        <v/>
      </c>
      <c r="AJ6" s="7">
        <f>L6*0.0004002+K6*0.0004002</f>
        <v/>
      </c>
      <c r="AK6" s="7">
        <f>M6*0.0004002+L6*0.0004002</f>
        <v/>
      </c>
      <c r="AL6" s="7">
        <f>N6*0.0004002+M6*0.0004002</f>
        <v/>
      </c>
      <c r="AM6" s="7">
        <f>O6*0.0004002+N6*0.0004002</f>
        <v/>
      </c>
      <c r="AN6" s="7">
        <f>P6*0.0004002+O6*0.0004002</f>
        <v/>
      </c>
      <c r="AO6" s="7">
        <f>Q6*0.0004002+P6*0.0004002</f>
        <v/>
      </c>
      <c r="AP6" s="7">
        <f>R6*0.0004002+Q6*0.0004002</f>
        <v/>
      </c>
      <c r="AQ6" s="7">
        <f>S6*0.0004002+R6*0.0004002</f>
        <v/>
      </c>
      <c r="AR6" s="7">
        <f>T6*0.0004002+S6*0.0004002</f>
        <v/>
      </c>
      <c r="AS6" s="7">
        <f>U6*0.0004002+T6*0.0004002</f>
        <v/>
      </c>
      <c r="AT6" s="7">
        <f>V6*0.0004002+U6*0.0004002</f>
        <v/>
      </c>
      <c r="AU6" s="7">
        <f>W6*0.0004002+V6*0.0004002</f>
        <v/>
      </c>
      <c r="AV6" s="7">
        <f>X6*0.0004002+W6*0.0004002</f>
        <v/>
      </c>
      <c r="AW6" s="7">
        <f>Y6*0.0004002+X6*0.0004002</f>
        <v/>
      </c>
      <c r="AX6" s="7">
        <f>Z6*0.0004002+Y6*0.0004002</f>
        <v/>
      </c>
      <c r="AY6" s="7">
        <f>AA6*0.0004002+Z6*0.0004002</f>
        <v/>
      </c>
      <c r="AZ6" s="7">
        <f>D6*0.0004002+AA6*0.0004002</f>
        <v/>
      </c>
      <c r="BA6" s="7">
        <f>E6*0.0004002+D6*0.0004002</f>
        <v/>
      </c>
      <c r="BB6" s="7">
        <f>SUM(AD6:BA6)</f>
        <v/>
      </c>
    </row>
    <row r="7">
      <c r="A7" t="inlineStr">
        <is>
          <t>AMD-AIR-NEW-SSC</t>
        </is>
      </c>
      <c r="B7" t="inlineStr">
        <is>
          <t>Forward Regular OSC</t>
        </is>
      </c>
      <c r="C7" s="5" t="n">
        <v>46101</v>
      </c>
      <c r="D7" s="6">
        <f>Summary!D7</f>
        <v/>
      </c>
      <c r="E7" s="6">
        <f>Summary!E7</f>
        <v/>
      </c>
      <c r="F7" s="6">
        <f>Summary!F7</f>
        <v/>
      </c>
      <c r="G7" s="6">
        <f>Summary!G7</f>
        <v/>
      </c>
      <c r="H7" s="6">
        <f>Summary!H7</f>
        <v/>
      </c>
      <c r="I7" s="6">
        <f>Summary!I7</f>
        <v/>
      </c>
      <c r="J7" s="6">
        <f>Summary!J7</f>
        <v/>
      </c>
      <c r="K7" s="6">
        <f>Summary!K7</f>
        <v/>
      </c>
      <c r="L7" s="6">
        <f>Summary!L7</f>
        <v/>
      </c>
      <c r="M7" s="6">
        <f>Summary!M7</f>
        <v/>
      </c>
      <c r="N7" s="6">
        <f>Summary!N7</f>
        <v/>
      </c>
      <c r="O7" s="6">
        <f>Summary!O7</f>
        <v/>
      </c>
      <c r="P7" s="6">
        <f>Summary!P7</f>
        <v/>
      </c>
      <c r="Q7" s="6">
        <f>Summary!Q7</f>
        <v/>
      </c>
      <c r="R7" s="6">
        <f>Summary!R7</f>
        <v/>
      </c>
      <c r="S7" s="6">
        <f>Summary!S7</f>
        <v/>
      </c>
      <c r="T7" s="6">
        <f>Summary!T7</f>
        <v/>
      </c>
      <c r="U7" s="6">
        <f>Summary!U7</f>
        <v/>
      </c>
      <c r="V7" s="6">
        <f>Summary!V7</f>
        <v/>
      </c>
      <c r="W7" s="6">
        <f>Summary!W7</f>
        <v/>
      </c>
      <c r="X7" s="6">
        <f>Summary!X7</f>
        <v/>
      </c>
      <c r="Y7" s="6">
        <f>Summary!Y7</f>
        <v/>
      </c>
      <c r="Z7" s="6">
        <f>Summary!Z7</f>
        <v/>
      </c>
      <c r="AA7" s="6">
        <f>Summary!AA7</f>
        <v/>
      </c>
      <c r="AB7" s="6">
        <f>SUM(D7:AA7)</f>
        <v/>
      </c>
      <c r="AC7" s="3" t="inlineStr"/>
      <c r="AD7" s="7">
        <f>F7*0.0004002+E7*0.0004002</f>
        <v/>
      </c>
      <c r="AE7" s="7">
        <f>G7*0.0004002+F7*0.0004002</f>
        <v/>
      </c>
      <c r="AF7" s="7">
        <f>H7*0.0004002+G7*0.0004002</f>
        <v/>
      </c>
      <c r="AG7" s="7">
        <f>I7*0.0004002+H7*0.0004002</f>
        <v/>
      </c>
      <c r="AH7" s="7">
        <f>J7*0.0004002+I7*0.0004002</f>
        <v/>
      </c>
      <c r="AI7" s="7">
        <f>K7*0.0004002+J7*0.0004002</f>
        <v/>
      </c>
      <c r="AJ7" s="7">
        <f>L7*0.0004002+K7*0.0004002</f>
        <v/>
      </c>
      <c r="AK7" s="7">
        <f>M7*0.0004002+L7*0.0004002</f>
        <v/>
      </c>
      <c r="AL7" s="7">
        <f>N7*0.0004002+M7*0.0004002</f>
        <v/>
      </c>
      <c r="AM7" s="7">
        <f>O7*0.0004002+N7*0.0004002</f>
        <v/>
      </c>
      <c r="AN7" s="7">
        <f>P7*0.0004002+O7*0.0004002</f>
        <v/>
      </c>
      <c r="AO7" s="7">
        <f>Q7*0.0004002+P7*0.0004002</f>
        <v/>
      </c>
      <c r="AP7" s="7">
        <f>R7*0.0004002+Q7*0.0004002</f>
        <v/>
      </c>
      <c r="AQ7" s="7">
        <f>S7*0.0004002+R7*0.0004002</f>
        <v/>
      </c>
      <c r="AR7" s="7">
        <f>T7*0.0004002+S7*0.0004002</f>
        <v/>
      </c>
      <c r="AS7" s="7">
        <f>U7*0.0004002+T7*0.0004002</f>
        <v/>
      </c>
      <c r="AT7" s="7">
        <f>V7*0.0004002+U7*0.0004002</f>
        <v/>
      </c>
      <c r="AU7" s="7">
        <f>W7*0.0004002+V7*0.0004002</f>
        <v/>
      </c>
      <c r="AV7" s="7">
        <f>X7*0.0004002+W7*0.0004002</f>
        <v/>
      </c>
      <c r="AW7" s="7">
        <f>Y7*0.0004002+X7*0.0004002</f>
        <v/>
      </c>
      <c r="AX7" s="7">
        <f>Z7*0.0004002+Y7*0.0004002</f>
        <v/>
      </c>
      <c r="AY7" s="7">
        <f>AA7*0.0004002+Z7*0.0004002</f>
        <v/>
      </c>
      <c r="AZ7" s="7">
        <f>D7*0.0004002+AA7*0.0004002</f>
        <v/>
      </c>
      <c r="BA7" s="7">
        <f>E7*0.0004002+D7*0.0004002</f>
        <v/>
      </c>
      <c r="BB7" s="7">
        <f>SUM(AD7:BA7)</f>
        <v/>
      </c>
    </row>
    <row r="8">
      <c r="A8" t="inlineStr">
        <is>
          <t>AMD-AIR-NEW-SSC</t>
        </is>
      </c>
      <c r="B8" t="inlineStr">
        <is>
          <t>Forward Regular OSC</t>
        </is>
      </c>
      <c r="C8" s="5" t="n">
        <v>46102</v>
      </c>
      <c r="D8" s="6">
        <f>Summary!D8</f>
        <v/>
      </c>
      <c r="E8" s="6">
        <f>Summary!E8</f>
        <v/>
      </c>
      <c r="F8" s="6">
        <f>Summary!F8</f>
        <v/>
      </c>
      <c r="G8" s="6">
        <f>Summary!G8</f>
        <v/>
      </c>
      <c r="H8" s="6">
        <f>Summary!H8</f>
        <v/>
      </c>
      <c r="I8" s="6">
        <f>Summary!I8</f>
        <v/>
      </c>
      <c r="J8" s="6">
        <f>Summary!J8</f>
        <v/>
      </c>
      <c r="K8" s="6">
        <f>Summary!K8</f>
        <v/>
      </c>
      <c r="L8" s="6">
        <f>Summary!L8</f>
        <v/>
      </c>
      <c r="M8" s="6">
        <f>Summary!M8</f>
        <v/>
      </c>
      <c r="N8" s="6">
        <f>Summary!N8</f>
        <v/>
      </c>
      <c r="O8" s="6">
        <f>Summary!O8</f>
        <v/>
      </c>
      <c r="P8" s="6">
        <f>Summary!P8</f>
        <v/>
      </c>
      <c r="Q8" s="6">
        <f>Summary!Q8</f>
        <v/>
      </c>
      <c r="R8" s="6">
        <f>Summary!R8</f>
        <v/>
      </c>
      <c r="S8" s="6">
        <f>Summary!S8</f>
        <v/>
      </c>
      <c r="T8" s="6">
        <f>Summary!T8</f>
        <v/>
      </c>
      <c r="U8" s="6">
        <f>Summary!U8</f>
        <v/>
      </c>
      <c r="V8" s="6">
        <f>Summary!V8</f>
        <v/>
      </c>
      <c r="W8" s="6">
        <f>Summary!W8</f>
        <v/>
      </c>
      <c r="X8" s="6">
        <f>Summary!X8</f>
        <v/>
      </c>
      <c r="Y8" s="6">
        <f>Summary!Y8</f>
        <v/>
      </c>
      <c r="Z8" s="6">
        <f>Summary!Z8</f>
        <v/>
      </c>
      <c r="AA8" s="6">
        <f>Summary!AA8</f>
        <v/>
      </c>
      <c r="AB8" s="6">
        <f>SUM(D8:AA8)</f>
        <v/>
      </c>
      <c r="AC8" s="3" t="inlineStr"/>
      <c r="AD8" s="7">
        <f>F8*0.0004002+E8*0.0004002</f>
        <v/>
      </c>
      <c r="AE8" s="7">
        <f>G8*0.0004002+F8*0.0004002</f>
        <v/>
      </c>
      <c r="AF8" s="7">
        <f>H8*0.0004002+G8*0.0004002</f>
        <v/>
      </c>
      <c r="AG8" s="7">
        <f>I8*0.0004002+H8*0.0004002</f>
        <v/>
      </c>
      <c r="AH8" s="7">
        <f>J8*0.0004002+I8*0.0004002</f>
        <v/>
      </c>
      <c r="AI8" s="7">
        <f>K8*0.0004002+J8*0.0004002</f>
        <v/>
      </c>
      <c r="AJ8" s="7">
        <f>L8*0.0004002+K8*0.0004002</f>
        <v/>
      </c>
      <c r="AK8" s="7">
        <f>M8*0.0004002+L8*0.0004002</f>
        <v/>
      </c>
      <c r="AL8" s="7">
        <f>N8*0.0004002+M8*0.0004002</f>
        <v/>
      </c>
      <c r="AM8" s="7">
        <f>O8*0.0004002+N8*0.0004002</f>
        <v/>
      </c>
      <c r="AN8" s="7">
        <f>P8*0.0004002+O8*0.0004002</f>
        <v/>
      </c>
      <c r="AO8" s="7">
        <f>Q8*0.0004002+P8*0.0004002</f>
        <v/>
      </c>
      <c r="AP8" s="7">
        <f>R8*0.0004002+Q8*0.0004002</f>
        <v/>
      </c>
      <c r="AQ8" s="7">
        <f>S8*0.0004002+R8*0.0004002</f>
        <v/>
      </c>
      <c r="AR8" s="7">
        <f>T8*0.0004002+S8*0.0004002</f>
        <v/>
      </c>
      <c r="AS8" s="7">
        <f>U8*0.0004002+T8*0.0004002</f>
        <v/>
      </c>
      <c r="AT8" s="7">
        <f>V8*0.0004002+U8*0.0004002</f>
        <v/>
      </c>
      <c r="AU8" s="7">
        <f>W8*0.0004002+V8*0.0004002</f>
        <v/>
      </c>
      <c r="AV8" s="7">
        <f>X8*0.0004002+W8*0.0004002</f>
        <v/>
      </c>
      <c r="AW8" s="7">
        <f>Y8*0.0004002+X8*0.0004002</f>
        <v/>
      </c>
      <c r="AX8" s="7">
        <f>Z8*0.0004002+Y8*0.0004002</f>
        <v/>
      </c>
      <c r="AY8" s="7">
        <f>AA8*0.0004002+Z8*0.0004002</f>
        <v/>
      </c>
      <c r="AZ8" s="7">
        <f>D8*0.0004002+AA8*0.0004002</f>
        <v/>
      </c>
      <c r="BA8" s="7">
        <f>E8*0.0004002+D8*0.0004002</f>
        <v/>
      </c>
      <c r="BB8" s="7">
        <f>SUM(AD8:BA8)</f>
        <v/>
      </c>
    </row>
    <row r="9">
      <c r="A9" t="inlineStr">
        <is>
          <t>AMD-AIR-NEW-SSC</t>
        </is>
      </c>
      <c r="B9" t="inlineStr">
        <is>
          <t>Forward Regular OSC</t>
        </is>
      </c>
      <c r="C9" s="5" t="n">
        <v>46103</v>
      </c>
      <c r="D9" s="6">
        <f>Summary!D9</f>
        <v/>
      </c>
      <c r="E9" s="6">
        <f>Summary!E9</f>
        <v/>
      </c>
      <c r="F9" s="6">
        <f>Summary!F9</f>
        <v/>
      </c>
      <c r="G9" s="6">
        <f>Summary!G9</f>
        <v/>
      </c>
      <c r="H9" s="6">
        <f>Summary!H9</f>
        <v/>
      </c>
      <c r="I9" s="6">
        <f>Summary!I9</f>
        <v/>
      </c>
      <c r="J9" s="6">
        <f>Summary!J9</f>
        <v/>
      </c>
      <c r="K9" s="6">
        <f>Summary!K9</f>
        <v/>
      </c>
      <c r="L9" s="6">
        <f>Summary!L9</f>
        <v/>
      </c>
      <c r="M9" s="6">
        <f>Summary!M9</f>
        <v/>
      </c>
      <c r="N9" s="6">
        <f>Summary!N9</f>
        <v/>
      </c>
      <c r="O9" s="6">
        <f>Summary!O9</f>
        <v/>
      </c>
      <c r="P9" s="6">
        <f>Summary!P9</f>
        <v/>
      </c>
      <c r="Q9" s="6">
        <f>Summary!Q9</f>
        <v/>
      </c>
      <c r="R9" s="6">
        <f>Summary!R9</f>
        <v/>
      </c>
      <c r="S9" s="6">
        <f>Summary!S9</f>
        <v/>
      </c>
      <c r="T9" s="6">
        <f>Summary!T9</f>
        <v/>
      </c>
      <c r="U9" s="6">
        <f>Summary!U9</f>
        <v/>
      </c>
      <c r="V9" s="6">
        <f>Summary!V9</f>
        <v/>
      </c>
      <c r="W9" s="6">
        <f>Summary!W9</f>
        <v/>
      </c>
      <c r="X9" s="6">
        <f>Summary!X9</f>
        <v/>
      </c>
      <c r="Y9" s="6">
        <f>Summary!Y9</f>
        <v/>
      </c>
      <c r="Z9" s="6">
        <f>Summary!Z9</f>
        <v/>
      </c>
      <c r="AA9" s="6">
        <f>Summary!AA9</f>
        <v/>
      </c>
      <c r="AB9" s="6">
        <f>SUM(D9:AA9)</f>
        <v/>
      </c>
      <c r="AC9" s="3" t="inlineStr"/>
      <c r="AD9" s="7">
        <f>F9*0.0004002+E9*0.0004002</f>
        <v/>
      </c>
      <c r="AE9" s="7">
        <f>G9*0.0004002+F9*0.0004002</f>
        <v/>
      </c>
      <c r="AF9" s="7">
        <f>H9*0.0004002+G9*0.0004002</f>
        <v/>
      </c>
      <c r="AG9" s="7">
        <f>I9*0.0004002+H9*0.0004002</f>
        <v/>
      </c>
      <c r="AH9" s="7">
        <f>J9*0.0004002+I9*0.0004002</f>
        <v/>
      </c>
      <c r="AI9" s="7">
        <f>K9*0.0004002+J9*0.0004002</f>
        <v/>
      </c>
      <c r="AJ9" s="7">
        <f>L9*0.0004002+K9*0.0004002</f>
        <v/>
      </c>
      <c r="AK9" s="7">
        <f>M9*0.0004002+L9*0.0004002</f>
        <v/>
      </c>
      <c r="AL9" s="7">
        <f>N9*0.0004002+M9*0.0004002</f>
        <v/>
      </c>
      <c r="AM9" s="7">
        <f>O9*0.0004002+N9*0.0004002</f>
        <v/>
      </c>
      <c r="AN9" s="7">
        <f>P9*0.0004002+O9*0.0004002</f>
        <v/>
      </c>
      <c r="AO9" s="7">
        <f>Q9*0.0004002+P9*0.0004002</f>
        <v/>
      </c>
      <c r="AP9" s="7">
        <f>R9*0.0004002+Q9*0.0004002</f>
        <v/>
      </c>
      <c r="AQ9" s="7">
        <f>S9*0.0004002+R9*0.0004002</f>
        <v/>
      </c>
      <c r="AR9" s="7">
        <f>T9*0.0004002+S9*0.0004002</f>
        <v/>
      </c>
      <c r="AS9" s="7">
        <f>U9*0.0004002+T9*0.0004002</f>
        <v/>
      </c>
      <c r="AT9" s="7">
        <f>V9*0.0004002+U9*0.0004002</f>
        <v/>
      </c>
      <c r="AU9" s="7">
        <f>W9*0.0004002+V9*0.0004002</f>
        <v/>
      </c>
      <c r="AV9" s="7">
        <f>X9*0.0004002+W9*0.0004002</f>
        <v/>
      </c>
      <c r="AW9" s="7">
        <f>Y9*0.0004002+X9*0.0004002</f>
        <v/>
      </c>
      <c r="AX9" s="7">
        <f>Z9*0.0004002+Y9*0.0004002</f>
        <v/>
      </c>
      <c r="AY9" s="7">
        <f>AA9*0.0004002+Z9*0.0004002</f>
        <v/>
      </c>
      <c r="AZ9" s="7">
        <f>D9*0.0004002+AA9*0.0004002</f>
        <v/>
      </c>
      <c r="BA9" s="7">
        <f>E9*0.0004002+D9*0.0004002</f>
        <v/>
      </c>
      <c r="BB9" s="7">
        <f>SUM(AD9:BA9)</f>
        <v/>
      </c>
    </row>
    <row r="10">
      <c r="A10" t="inlineStr">
        <is>
          <t>AMD-AIR-NEW-SSC</t>
        </is>
      </c>
      <c r="B10" t="inlineStr">
        <is>
          <t>Forward Regular OSC</t>
        </is>
      </c>
      <c r="C10" s="5" t="n">
        <v>46104</v>
      </c>
      <c r="D10" s="6">
        <f>Summary!D10</f>
        <v/>
      </c>
      <c r="E10" s="6">
        <f>Summary!E10</f>
        <v/>
      </c>
      <c r="F10" s="6">
        <f>Summary!F10</f>
        <v/>
      </c>
      <c r="G10" s="6">
        <f>Summary!G10</f>
        <v/>
      </c>
      <c r="H10" s="6">
        <f>Summary!H10</f>
        <v/>
      </c>
      <c r="I10" s="6">
        <f>Summary!I10</f>
        <v/>
      </c>
      <c r="J10" s="6">
        <f>Summary!J10</f>
        <v/>
      </c>
      <c r="K10" s="6">
        <f>Summary!K10</f>
        <v/>
      </c>
      <c r="L10" s="6">
        <f>Summary!L10</f>
        <v/>
      </c>
      <c r="M10" s="6">
        <f>Summary!M10</f>
        <v/>
      </c>
      <c r="N10" s="6">
        <f>Summary!N10</f>
        <v/>
      </c>
      <c r="O10" s="6">
        <f>Summary!O10</f>
        <v/>
      </c>
      <c r="P10" s="6">
        <f>Summary!P10</f>
        <v/>
      </c>
      <c r="Q10" s="6">
        <f>Summary!Q10</f>
        <v/>
      </c>
      <c r="R10" s="6">
        <f>Summary!R10</f>
        <v/>
      </c>
      <c r="S10" s="6">
        <f>Summary!S10</f>
        <v/>
      </c>
      <c r="T10" s="6">
        <f>Summary!T10</f>
        <v/>
      </c>
      <c r="U10" s="6">
        <f>Summary!U10</f>
        <v/>
      </c>
      <c r="V10" s="6">
        <f>Summary!V10</f>
        <v/>
      </c>
      <c r="W10" s="6">
        <f>Summary!W10</f>
        <v/>
      </c>
      <c r="X10" s="6">
        <f>Summary!X10</f>
        <v/>
      </c>
      <c r="Y10" s="6">
        <f>Summary!Y10</f>
        <v/>
      </c>
      <c r="Z10" s="6">
        <f>Summary!Z10</f>
        <v/>
      </c>
      <c r="AA10" s="6">
        <f>Summary!AA10</f>
        <v/>
      </c>
      <c r="AB10" s="6">
        <f>SUM(D10:AA10)</f>
        <v/>
      </c>
      <c r="AC10" s="3" t="inlineStr"/>
      <c r="AD10" s="7">
        <f>F10*0.0004002+E10*0.0004002</f>
        <v/>
      </c>
      <c r="AE10" s="7">
        <f>G10*0.0004002+F10*0.0004002</f>
        <v/>
      </c>
      <c r="AF10" s="7">
        <f>H10*0.0004002+G10*0.0004002</f>
        <v/>
      </c>
      <c r="AG10" s="7">
        <f>I10*0.0004002+H10*0.0004002</f>
        <v/>
      </c>
      <c r="AH10" s="7">
        <f>J10*0.0004002+I10*0.0004002</f>
        <v/>
      </c>
      <c r="AI10" s="7">
        <f>K10*0.0004002+J10*0.0004002</f>
        <v/>
      </c>
      <c r="AJ10" s="7">
        <f>L10*0.0004002+K10*0.0004002</f>
        <v/>
      </c>
      <c r="AK10" s="7">
        <f>M10*0.0004002+L10*0.0004002</f>
        <v/>
      </c>
      <c r="AL10" s="7">
        <f>N10*0.0004002+M10*0.0004002</f>
        <v/>
      </c>
      <c r="AM10" s="7">
        <f>O10*0.0004002+N10*0.0004002</f>
        <v/>
      </c>
      <c r="AN10" s="7">
        <f>P10*0.0004002+O10*0.0004002</f>
        <v/>
      </c>
      <c r="AO10" s="7">
        <f>Q10*0.0004002+P10*0.0004002</f>
        <v/>
      </c>
      <c r="AP10" s="7">
        <f>R10*0.0004002+Q10*0.0004002</f>
        <v/>
      </c>
      <c r="AQ10" s="7">
        <f>S10*0.0004002+R10*0.0004002</f>
        <v/>
      </c>
      <c r="AR10" s="7">
        <f>T10*0.0004002+S10*0.0004002</f>
        <v/>
      </c>
      <c r="AS10" s="7">
        <f>U10*0.0004002+T10*0.0004002</f>
        <v/>
      </c>
      <c r="AT10" s="7">
        <f>V10*0.0004002+U10*0.0004002</f>
        <v/>
      </c>
      <c r="AU10" s="7">
        <f>W10*0.0004002+V10*0.0004002</f>
        <v/>
      </c>
      <c r="AV10" s="7">
        <f>X10*0.0004002+W10*0.0004002</f>
        <v/>
      </c>
      <c r="AW10" s="7">
        <f>Y10*0.0004002+X10*0.0004002</f>
        <v/>
      </c>
      <c r="AX10" s="7">
        <f>Z10*0.0004002+Y10*0.0004002</f>
        <v/>
      </c>
      <c r="AY10" s="7">
        <f>AA10*0.0004002+Z10*0.0004002</f>
        <v/>
      </c>
      <c r="AZ10" s="7">
        <f>D10*0.0004002+AA10*0.0004002</f>
        <v/>
      </c>
      <c r="BA10" s="7">
        <f>E10*0.0004002+D10*0.0004002</f>
        <v/>
      </c>
      <c r="BB10" s="7">
        <f>SUM(AD10:BA10)</f>
        <v/>
      </c>
    </row>
    <row r="11">
      <c r="A11" t="inlineStr">
        <is>
          <t>AMD-EXPR</t>
        </is>
      </c>
      <c r="B11" t="inlineStr">
        <is>
          <t>DSC Manual</t>
        </is>
      </c>
      <c r="C11" s="5" t="n">
        <v>46089</v>
      </c>
      <c r="D11" s="6">
        <f>Summary!D11</f>
        <v/>
      </c>
      <c r="E11" s="6">
        <f>Summary!E11</f>
        <v/>
      </c>
      <c r="F11" s="6">
        <f>Summary!F11</f>
        <v/>
      </c>
      <c r="G11" s="6">
        <f>Summary!G11</f>
        <v/>
      </c>
      <c r="H11" s="6">
        <f>Summary!H11</f>
        <v/>
      </c>
      <c r="I11" s="6">
        <f>Summary!I11</f>
        <v/>
      </c>
      <c r="J11" s="6">
        <f>Summary!J11</f>
        <v/>
      </c>
      <c r="K11" s="6">
        <f>Summary!K11</f>
        <v/>
      </c>
      <c r="L11" s="6">
        <f>Summary!L11</f>
        <v/>
      </c>
      <c r="M11" s="6">
        <f>Summary!M11</f>
        <v/>
      </c>
      <c r="N11" s="6">
        <f>Summary!N11</f>
        <v/>
      </c>
      <c r="O11" s="6">
        <f>Summary!O11</f>
        <v/>
      </c>
      <c r="P11" s="6">
        <f>Summary!P11</f>
        <v/>
      </c>
      <c r="Q11" s="6">
        <f>Summary!Q11</f>
        <v/>
      </c>
      <c r="R11" s="6">
        <f>Summary!R11</f>
        <v/>
      </c>
      <c r="S11" s="6">
        <f>Summary!S11</f>
        <v/>
      </c>
      <c r="T11" s="6">
        <f>Summary!T11</f>
        <v/>
      </c>
      <c r="U11" s="6">
        <f>Summary!U11</f>
        <v/>
      </c>
      <c r="V11" s="6">
        <f>Summary!V11</f>
        <v/>
      </c>
      <c r="W11" s="6">
        <f>Summary!W11</f>
        <v/>
      </c>
      <c r="X11" s="6">
        <f>Summary!X11</f>
        <v/>
      </c>
      <c r="Y11" s="6">
        <f>Summary!Y11</f>
        <v/>
      </c>
      <c r="Z11" s="6">
        <f>Summary!Z11</f>
        <v/>
      </c>
      <c r="AA11" s="6">
        <f>Summary!AA11</f>
        <v/>
      </c>
      <c r="AB11" s="6">
        <f>SUM(D11:AA11)</f>
        <v/>
      </c>
      <c r="AC11" s="3" t="inlineStr"/>
      <c r="AD11" s="7">
        <f>F11*0.0004002+E11*0.0004002</f>
        <v/>
      </c>
      <c r="AE11" s="7">
        <f>G11*0.0004002+F11*0.0004002</f>
        <v/>
      </c>
      <c r="AF11" s="7">
        <f>H11*0.0004002+G11*0.0004002</f>
        <v/>
      </c>
      <c r="AG11" s="7">
        <f>I11*0.0004002+H11*0.0004002</f>
        <v/>
      </c>
      <c r="AH11" s="7">
        <f>J11*0.0004002+I11*0.0004002</f>
        <v/>
      </c>
      <c r="AI11" s="7">
        <f>K11*0.0004002+J11*0.0004002</f>
        <v/>
      </c>
      <c r="AJ11" s="7">
        <f>L11*0.0004002+K11*0.0004002</f>
        <v/>
      </c>
      <c r="AK11" s="7">
        <f>M11*0.0004002+L11*0.0004002</f>
        <v/>
      </c>
      <c r="AL11" s="7">
        <f>N11*0.0004002+M11*0.0004002</f>
        <v/>
      </c>
      <c r="AM11" s="7">
        <f>O11*0.0004002+N11*0.0004002</f>
        <v/>
      </c>
      <c r="AN11" s="7">
        <f>P11*0.0004002+O11*0.0004002</f>
        <v/>
      </c>
      <c r="AO11" s="7">
        <f>Q11*0.0004002+P11*0.0004002</f>
        <v/>
      </c>
      <c r="AP11" s="7">
        <f>R11*0.0004002+Q11*0.0004002</f>
        <v/>
      </c>
      <c r="AQ11" s="7">
        <f>S11*0.0004002+R11*0.0004002</f>
        <v/>
      </c>
      <c r="AR11" s="7">
        <f>T11*0.0004002+S11*0.0004002</f>
        <v/>
      </c>
      <c r="AS11" s="7">
        <f>U11*0.0004002+T11*0.0004002</f>
        <v/>
      </c>
      <c r="AT11" s="7">
        <f>V11*0.0004002+U11*0.0004002</f>
        <v/>
      </c>
      <c r="AU11" s="7">
        <f>W11*0.0004002+V11*0.0004002</f>
        <v/>
      </c>
      <c r="AV11" s="7">
        <f>X11*0.0004002+W11*0.0004002</f>
        <v/>
      </c>
      <c r="AW11" s="7">
        <f>Y11*0.0004002+X11*0.0004002</f>
        <v/>
      </c>
      <c r="AX11" s="7">
        <f>Z11*0.0004002+Y11*0.0004002</f>
        <v/>
      </c>
      <c r="AY11" s="7">
        <f>AA11*0.0004002+Z11*0.0004002</f>
        <v/>
      </c>
      <c r="AZ11" s="7">
        <f>D11*0.0004002+AA11*0.0004002</f>
        <v/>
      </c>
      <c r="BA11" s="7">
        <f>E11*0.0004002+D11*0.0004002</f>
        <v/>
      </c>
      <c r="BB11" s="7">
        <f>SUM(AD11:BA11)</f>
        <v/>
      </c>
    </row>
    <row r="12">
      <c r="A12" t="inlineStr">
        <is>
          <t>AMD-EXPR</t>
        </is>
      </c>
      <c r="B12" t="inlineStr">
        <is>
          <t>DSC Manual</t>
        </is>
      </c>
      <c r="C12" s="5" t="n">
        <v>46090</v>
      </c>
      <c r="D12" s="6">
        <f>Summary!D12</f>
        <v/>
      </c>
      <c r="E12" s="6">
        <f>Summary!E12</f>
        <v/>
      </c>
      <c r="F12" s="6">
        <f>Summary!F12</f>
        <v/>
      </c>
      <c r="G12" s="6">
        <f>Summary!G12</f>
        <v/>
      </c>
      <c r="H12" s="6">
        <f>Summary!H12</f>
        <v/>
      </c>
      <c r="I12" s="6">
        <f>Summary!I12</f>
        <v/>
      </c>
      <c r="J12" s="6">
        <f>Summary!J12</f>
        <v/>
      </c>
      <c r="K12" s="6">
        <f>Summary!K12</f>
        <v/>
      </c>
      <c r="L12" s="6">
        <f>Summary!L12</f>
        <v/>
      </c>
      <c r="M12" s="6">
        <f>Summary!M12</f>
        <v/>
      </c>
      <c r="N12" s="6">
        <f>Summary!N12</f>
        <v/>
      </c>
      <c r="O12" s="6">
        <f>Summary!O12</f>
        <v/>
      </c>
      <c r="P12" s="6">
        <f>Summary!P12</f>
        <v/>
      </c>
      <c r="Q12" s="6">
        <f>Summary!Q12</f>
        <v/>
      </c>
      <c r="R12" s="6">
        <f>Summary!R12</f>
        <v/>
      </c>
      <c r="S12" s="6">
        <f>Summary!S12</f>
        <v/>
      </c>
      <c r="T12" s="6">
        <f>Summary!T12</f>
        <v/>
      </c>
      <c r="U12" s="6">
        <f>Summary!U12</f>
        <v/>
      </c>
      <c r="V12" s="6">
        <f>Summary!V12</f>
        <v/>
      </c>
      <c r="W12" s="6">
        <f>Summary!W12</f>
        <v/>
      </c>
      <c r="X12" s="6">
        <f>Summary!X12</f>
        <v/>
      </c>
      <c r="Y12" s="6">
        <f>Summary!Y12</f>
        <v/>
      </c>
      <c r="Z12" s="6">
        <f>Summary!Z12</f>
        <v/>
      </c>
      <c r="AA12" s="6">
        <f>Summary!AA12</f>
        <v/>
      </c>
      <c r="AB12" s="6">
        <f>SUM(D12:AA12)</f>
        <v/>
      </c>
      <c r="AC12" s="3" t="inlineStr"/>
      <c r="AD12" s="7">
        <f>F12*0.0004002+E12*0.0004002</f>
        <v/>
      </c>
      <c r="AE12" s="7">
        <f>G12*0.0004002+F12*0.0004002</f>
        <v/>
      </c>
      <c r="AF12" s="7">
        <f>H12*0.0004002+G12*0.0004002</f>
        <v/>
      </c>
      <c r="AG12" s="7">
        <f>I12*0.0004002+H12*0.0004002</f>
        <v/>
      </c>
      <c r="AH12" s="7">
        <f>J12*0.0004002+I12*0.0004002</f>
        <v/>
      </c>
      <c r="AI12" s="7">
        <f>K12*0.0004002+J12*0.0004002</f>
        <v/>
      </c>
      <c r="AJ12" s="7">
        <f>L12*0.0004002+K12*0.0004002</f>
        <v/>
      </c>
      <c r="AK12" s="7">
        <f>M12*0.0004002+L12*0.0004002</f>
        <v/>
      </c>
      <c r="AL12" s="7">
        <f>N12*0.0004002+M12*0.0004002</f>
        <v/>
      </c>
      <c r="AM12" s="7">
        <f>O12*0.0004002+N12*0.0004002</f>
        <v/>
      </c>
      <c r="AN12" s="7">
        <f>P12*0.0004002+O12*0.0004002</f>
        <v/>
      </c>
      <c r="AO12" s="7">
        <f>Q12*0.0004002+P12*0.0004002</f>
        <v/>
      </c>
      <c r="AP12" s="7">
        <f>R12*0.0004002+Q12*0.0004002</f>
        <v/>
      </c>
      <c r="AQ12" s="7">
        <f>S12*0.0004002+R12*0.0004002</f>
        <v/>
      </c>
      <c r="AR12" s="7">
        <f>T12*0.0004002+S12*0.0004002</f>
        <v/>
      </c>
      <c r="AS12" s="7">
        <f>U12*0.0004002+T12*0.0004002</f>
        <v/>
      </c>
      <c r="AT12" s="7">
        <f>V12*0.0004002+U12*0.0004002</f>
        <v/>
      </c>
      <c r="AU12" s="7">
        <f>W12*0.0004002+V12*0.0004002</f>
        <v/>
      </c>
      <c r="AV12" s="7">
        <f>X12*0.0004002+W12*0.0004002</f>
        <v/>
      </c>
      <c r="AW12" s="7">
        <f>Y12*0.0004002+X12*0.0004002</f>
        <v/>
      </c>
      <c r="AX12" s="7">
        <f>Z12*0.0004002+Y12*0.0004002</f>
        <v/>
      </c>
      <c r="AY12" s="7">
        <f>AA12*0.0004002+Z12*0.0004002</f>
        <v/>
      </c>
      <c r="AZ12" s="7">
        <f>D12*0.0004002+AA12*0.0004002</f>
        <v/>
      </c>
      <c r="BA12" s="7">
        <f>E12*0.0004002+D12*0.0004002</f>
        <v/>
      </c>
      <c r="BB12" s="7">
        <f>SUM(AD12:BA12)</f>
        <v/>
      </c>
    </row>
    <row r="13">
      <c r="A13" t="inlineStr">
        <is>
          <t>AMD-EXPR</t>
        </is>
      </c>
      <c r="B13" t="inlineStr">
        <is>
          <t>DSC Manual</t>
        </is>
      </c>
      <c r="C13" s="5" t="n">
        <v>46091</v>
      </c>
      <c r="D13" s="6">
        <f>Summary!D13</f>
        <v/>
      </c>
      <c r="E13" s="6">
        <f>Summary!E13</f>
        <v/>
      </c>
      <c r="F13" s="6">
        <f>Summary!F13</f>
        <v/>
      </c>
      <c r="G13" s="6">
        <f>Summary!G13</f>
        <v/>
      </c>
      <c r="H13" s="6">
        <f>Summary!H13</f>
        <v/>
      </c>
      <c r="I13" s="6">
        <f>Summary!I13</f>
        <v/>
      </c>
      <c r="J13" s="6">
        <f>Summary!J13</f>
        <v/>
      </c>
      <c r="K13" s="6">
        <f>Summary!K13</f>
        <v/>
      </c>
      <c r="L13" s="6">
        <f>Summary!L13</f>
        <v/>
      </c>
      <c r="M13" s="6">
        <f>Summary!M13</f>
        <v/>
      </c>
      <c r="N13" s="6">
        <f>Summary!N13</f>
        <v/>
      </c>
      <c r="O13" s="6">
        <f>Summary!O13</f>
        <v/>
      </c>
      <c r="P13" s="6">
        <f>Summary!P13</f>
        <v/>
      </c>
      <c r="Q13" s="6">
        <f>Summary!Q13</f>
        <v/>
      </c>
      <c r="R13" s="6">
        <f>Summary!R13</f>
        <v/>
      </c>
      <c r="S13" s="6">
        <f>Summary!S13</f>
        <v/>
      </c>
      <c r="T13" s="6">
        <f>Summary!T13</f>
        <v/>
      </c>
      <c r="U13" s="6">
        <f>Summary!U13</f>
        <v/>
      </c>
      <c r="V13" s="6">
        <f>Summary!V13</f>
        <v/>
      </c>
      <c r="W13" s="6">
        <f>Summary!W13</f>
        <v/>
      </c>
      <c r="X13" s="6">
        <f>Summary!X13</f>
        <v/>
      </c>
      <c r="Y13" s="6">
        <f>Summary!Y13</f>
        <v/>
      </c>
      <c r="Z13" s="6">
        <f>Summary!Z13</f>
        <v/>
      </c>
      <c r="AA13" s="6">
        <f>Summary!AA13</f>
        <v/>
      </c>
      <c r="AB13" s="6">
        <f>SUM(D13:AA13)</f>
        <v/>
      </c>
      <c r="AC13" s="3" t="inlineStr"/>
      <c r="AD13" s="7">
        <f>F13*0.0004002+E13*0.0004002</f>
        <v/>
      </c>
      <c r="AE13" s="7">
        <f>G13*0.0004002+F13*0.0004002</f>
        <v/>
      </c>
      <c r="AF13" s="7">
        <f>H13*0.0004002+G13*0.0004002</f>
        <v/>
      </c>
      <c r="AG13" s="7">
        <f>I13*0.0004002+H13*0.0004002</f>
        <v/>
      </c>
      <c r="AH13" s="7">
        <f>J13*0.0004002+I13*0.0004002</f>
        <v/>
      </c>
      <c r="AI13" s="7">
        <f>K13*0.0004002+J13*0.0004002</f>
        <v/>
      </c>
      <c r="AJ13" s="7">
        <f>L13*0.0004002+K13*0.0004002</f>
        <v/>
      </c>
      <c r="AK13" s="7">
        <f>M13*0.0004002+L13*0.0004002</f>
        <v/>
      </c>
      <c r="AL13" s="7">
        <f>N13*0.0004002+M13*0.0004002</f>
        <v/>
      </c>
      <c r="AM13" s="7">
        <f>O13*0.0004002+N13*0.0004002</f>
        <v/>
      </c>
      <c r="AN13" s="7">
        <f>P13*0.0004002+O13*0.0004002</f>
        <v/>
      </c>
      <c r="AO13" s="7">
        <f>Q13*0.0004002+P13*0.0004002</f>
        <v/>
      </c>
      <c r="AP13" s="7">
        <f>R13*0.0004002+Q13*0.0004002</f>
        <v/>
      </c>
      <c r="AQ13" s="7">
        <f>S13*0.0004002+R13*0.0004002</f>
        <v/>
      </c>
      <c r="AR13" s="7">
        <f>T13*0.0004002+S13*0.0004002</f>
        <v/>
      </c>
      <c r="AS13" s="7">
        <f>U13*0.0004002+T13*0.0004002</f>
        <v/>
      </c>
      <c r="AT13" s="7">
        <f>V13*0.0004002+U13*0.0004002</f>
        <v/>
      </c>
      <c r="AU13" s="7">
        <f>W13*0.0004002+V13*0.0004002</f>
        <v/>
      </c>
      <c r="AV13" s="7">
        <f>X13*0.0004002+W13*0.0004002</f>
        <v/>
      </c>
      <c r="AW13" s="7">
        <f>Y13*0.0004002+X13*0.0004002</f>
        <v/>
      </c>
      <c r="AX13" s="7">
        <f>Z13*0.0004002+Y13*0.0004002</f>
        <v/>
      </c>
      <c r="AY13" s="7">
        <f>AA13*0.0004002+Z13*0.0004002</f>
        <v/>
      </c>
      <c r="AZ13" s="7">
        <f>D13*0.0004002+AA13*0.0004002</f>
        <v/>
      </c>
      <c r="BA13" s="7">
        <f>E13*0.0004002+D13*0.0004002</f>
        <v/>
      </c>
      <c r="BB13" s="7">
        <f>SUM(AD13:BA13)</f>
        <v/>
      </c>
    </row>
    <row r="14">
      <c r="A14" t="inlineStr">
        <is>
          <t>AMD-EXPR</t>
        </is>
      </c>
      <c r="B14" t="inlineStr">
        <is>
          <t>DSC Manual</t>
        </is>
      </c>
      <c r="C14" s="5" t="n">
        <v>46092</v>
      </c>
      <c r="D14" s="6">
        <f>Summary!D14</f>
        <v/>
      </c>
      <c r="E14" s="6">
        <f>Summary!E14</f>
        <v/>
      </c>
      <c r="F14" s="6">
        <f>Summary!F14</f>
        <v/>
      </c>
      <c r="G14" s="6">
        <f>Summary!G14</f>
        <v/>
      </c>
      <c r="H14" s="6">
        <f>Summary!H14</f>
        <v/>
      </c>
      <c r="I14" s="6">
        <f>Summary!I14</f>
        <v/>
      </c>
      <c r="J14" s="6">
        <f>Summary!J14</f>
        <v/>
      </c>
      <c r="K14" s="6">
        <f>Summary!K14</f>
        <v/>
      </c>
      <c r="L14" s="6">
        <f>Summary!L14</f>
        <v/>
      </c>
      <c r="M14" s="6">
        <f>Summary!M14</f>
        <v/>
      </c>
      <c r="N14" s="6">
        <f>Summary!N14</f>
        <v/>
      </c>
      <c r="O14" s="6">
        <f>Summary!O14</f>
        <v/>
      </c>
      <c r="P14" s="6">
        <f>Summary!P14</f>
        <v/>
      </c>
      <c r="Q14" s="6">
        <f>Summary!Q14</f>
        <v/>
      </c>
      <c r="R14" s="6">
        <f>Summary!R14</f>
        <v/>
      </c>
      <c r="S14" s="6">
        <f>Summary!S14</f>
        <v/>
      </c>
      <c r="T14" s="6">
        <f>Summary!T14</f>
        <v/>
      </c>
      <c r="U14" s="6">
        <f>Summary!U14</f>
        <v/>
      </c>
      <c r="V14" s="6">
        <f>Summary!V14</f>
        <v/>
      </c>
      <c r="W14" s="6">
        <f>Summary!W14</f>
        <v/>
      </c>
      <c r="X14" s="6">
        <f>Summary!X14</f>
        <v/>
      </c>
      <c r="Y14" s="6">
        <f>Summary!Y14</f>
        <v/>
      </c>
      <c r="Z14" s="6">
        <f>Summary!Z14</f>
        <v/>
      </c>
      <c r="AA14" s="6">
        <f>Summary!AA14</f>
        <v/>
      </c>
      <c r="AB14" s="6">
        <f>SUM(D14:AA14)</f>
        <v/>
      </c>
      <c r="AC14" s="3" t="inlineStr"/>
      <c r="AD14" s="7">
        <f>F14*0.0004002+E14*0.0004002</f>
        <v/>
      </c>
      <c r="AE14" s="7">
        <f>G14*0.0004002+F14*0.0004002</f>
        <v/>
      </c>
      <c r="AF14" s="7">
        <f>H14*0.0004002+G14*0.0004002</f>
        <v/>
      </c>
      <c r="AG14" s="7">
        <f>I14*0.0004002+H14*0.0004002</f>
        <v/>
      </c>
      <c r="AH14" s="7">
        <f>J14*0.0004002+I14*0.0004002</f>
        <v/>
      </c>
      <c r="AI14" s="7">
        <f>K14*0.0004002+J14*0.0004002</f>
        <v/>
      </c>
      <c r="AJ14" s="7">
        <f>L14*0.0004002+K14*0.0004002</f>
        <v/>
      </c>
      <c r="AK14" s="7">
        <f>M14*0.0004002+L14*0.0004002</f>
        <v/>
      </c>
      <c r="AL14" s="7">
        <f>N14*0.0004002+M14*0.0004002</f>
        <v/>
      </c>
      <c r="AM14" s="7">
        <f>O14*0.0004002+N14*0.0004002</f>
        <v/>
      </c>
      <c r="AN14" s="7">
        <f>P14*0.0004002+O14*0.0004002</f>
        <v/>
      </c>
      <c r="AO14" s="7">
        <f>Q14*0.0004002+P14*0.0004002</f>
        <v/>
      </c>
      <c r="AP14" s="7">
        <f>R14*0.0004002+Q14*0.0004002</f>
        <v/>
      </c>
      <c r="AQ14" s="7">
        <f>S14*0.0004002+R14*0.0004002</f>
        <v/>
      </c>
      <c r="AR14" s="7">
        <f>T14*0.0004002+S14*0.0004002</f>
        <v/>
      </c>
      <c r="AS14" s="7">
        <f>U14*0.0004002+T14*0.0004002</f>
        <v/>
      </c>
      <c r="AT14" s="7">
        <f>V14*0.0004002+U14*0.0004002</f>
        <v/>
      </c>
      <c r="AU14" s="7">
        <f>W14*0.0004002+V14*0.0004002</f>
        <v/>
      </c>
      <c r="AV14" s="7">
        <f>X14*0.0004002+W14*0.0004002</f>
        <v/>
      </c>
      <c r="AW14" s="7">
        <f>Y14*0.0004002+X14*0.0004002</f>
        <v/>
      </c>
      <c r="AX14" s="7">
        <f>Z14*0.0004002+Y14*0.0004002</f>
        <v/>
      </c>
      <c r="AY14" s="7">
        <f>AA14*0.0004002+Z14*0.0004002</f>
        <v/>
      </c>
      <c r="AZ14" s="7">
        <f>D14*0.0004002+AA14*0.0004002</f>
        <v/>
      </c>
      <c r="BA14" s="7">
        <f>E14*0.0004002+D14*0.0004002</f>
        <v/>
      </c>
      <c r="BB14" s="7">
        <f>SUM(AD14:BA14)</f>
        <v/>
      </c>
    </row>
    <row r="15">
      <c r="A15" t="inlineStr">
        <is>
          <t>AMD-EXPR</t>
        </is>
      </c>
      <c r="B15" t="inlineStr">
        <is>
          <t>DSC Manual</t>
        </is>
      </c>
      <c r="C15" s="5" t="n">
        <v>46093</v>
      </c>
      <c r="D15" s="6">
        <f>Summary!D15</f>
        <v/>
      </c>
      <c r="E15" s="6">
        <f>Summary!E15</f>
        <v/>
      </c>
      <c r="F15" s="6">
        <f>Summary!F15</f>
        <v/>
      </c>
      <c r="G15" s="6">
        <f>Summary!G15</f>
        <v/>
      </c>
      <c r="H15" s="6">
        <f>Summary!H15</f>
        <v/>
      </c>
      <c r="I15" s="6">
        <f>Summary!I15</f>
        <v/>
      </c>
      <c r="J15" s="6">
        <f>Summary!J15</f>
        <v/>
      </c>
      <c r="K15" s="6">
        <f>Summary!K15</f>
        <v/>
      </c>
      <c r="L15" s="6">
        <f>Summary!L15</f>
        <v/>
      </c>
      <c r="M15" s="6">
        <f>Summary!M15</f>
        <v/>
      </c>
      <c r="N15" s="6">
        <f>Summary!N15</f>
        <v/>
      </c>
      <c r="O15" s="6">
        <f>Summary!O15</f>
        <v/>
      </c>
      <c r="P15" s="6">
        <f>Summary!P15</f>
        <v/>
      </c>
      <c r="Q15" s="6">
        <f>Summary!Q15</f>
        <v/>
      </c>
      <c r="R15" s="6">
        <f>Summary!R15</f>
        <v/>
      </c>
      <c r="S15" s="6">
        <f>Summary!S15</f>
        <v/>
      </c>
      <c r="T15" s="6">
        <f>Summary!T15</f>
        <v/>
      </c>
      <c r="U15" s="6">
        <f>Summary!U15</f>
        <v/>
      </c>
      <c r="V15" s="6">
        <f>Summary!V15</f>
        <v/>
      </c>
      <c r="W15" s="6">
        <f>Summary!W15</f>
        <v/>
      </c>
      <c r="X15" s="6">
        <f>Summary!X15</f>
        <v/>
      </c>
      <c r="Y15" s="6">
        <f>Summary!Y15</f>
        <v/>
      </c>
      <c r="Z15" s="6">
        <f>Summary!Z15</f>
        <v/>
      </c>
      <c r="AA15" s="6">
        <f>Summary!AA15</f>
        <v/>
      </c>
      <c r="AB15" s="6">
        <f>SUM(D15:AA15)</f>
        <v/>
      </c>
      <c r="AC15" s="3" t="inlineStr"/>
      <c r="AD15" s="7">
        <f>F15*0.0004002+E15*0.0004002</f>
        <v/>
      </c>
      <c r="AE15" s="7">
        <f>G15*0.0004002+F15*0.0004002</f>
        <v/>
      </c>
      <c r="AF15" s="7">
        <f>H15*0.0004002+G15*0.0004002</f>
        <v/>
      </c>
      <c r="AG15" s="7">
        <f>I15*0.0004002+H15*0.0004002</f>
        <v/>
      </c>
      <c r="AH15" s="7">
        <f>J15*0.0004002+I15*0.0004002</f>
        <v/>
      </c>
      <c r="AI15" s="7">
        <f>K15*0.0004002+J15*0.0004002</f>
        <v/>
      </c>
      <c r="AJ15" s="7">
        <f>L15*0.0004002+K15*0.0004002</f>
        <v/>
      </c>
      <c r="AK15" s="7">
        <f>M15*0.0004002+L15*0.0004002</f>
        <v/>
      </c>
      <c r="AL15" s="7">
        <f>N15*0.0004002+M15*0.0004002</f>
        <v/>
      </c>
      <c r="AM15" s="7">
        <f>O15*0.0004002+N15*0.0004002</f>
        <v/>
      </c>
      <c r="AN15" s="7">
        <f>P15*0.0004002+O15*0.0004002</f>
        <v/>
      </c>
      <c r="AO15" s="7">
        <f>Q15*0.0004002+P15*0.0004002</f>
        <v/>
      </c>
      <c r="AP15" s="7">
        <f>R15*0.0004002+Q15*0.0004002</f>
        <v/>
      </c>
      <c r="AQ15" s="7">
        <f>S15*0.0004002+R15*0.0004002</f>
        <v/>
      </c>
      <c r="AR15" s="7">
        <f>T15*0.0004002+S15*0.0004002</f>
        <v/>
      </c>
      <c r="AS15" s="7">
        <f>U15*0.0004002+T15*0.0004002</f>
        <v/>
      </c>
      <c r="AT15" s="7">
        <f>V15*0.0004002+U15*0.0004002</f>
        <v/>
      </c>
      <c r="AU15" s="7">
        <f>W15*0.0004002+V15*0.0004002</f>
        <v/>
      </c>
      <c r="AV15" s="7">
        <f>X15*0.0004002+W15*0.0004002</f>
        <v/>
      </c>
      <c r="AW15" s="7">
        <f>Y15*0.0004002+X15*0.0004002</f>
        <v/>
      </c>
      <c r="AX15" s="7">
        <f>Z15*0.0004002+Y15*0.0004002</f>
        <v/>
      </c>
      <c r="AY15" s="7">
        <f>AA15*0.0004002+Z15*0.0004002</f>
        <v/>
      </c>
      <c r="AZ15" s="7">
        <f>D15*0.0004002+AA15*0.0004002</f>
        <v/>
      </c>
      <c r="BA15" s="7">
        <f>E15*0.0004002+D15*0.0004002</f>
        <v/>
      </c>
      <c r="BB15" s="7">
        <f>SUM(AD15:BA15)</f>
        <v/>
      </c>
    </row>
    <row r="16">
      <c r="A16" t="inlineStr">
        <is>
          <t>AMD-EXPR</t>
        </is>
      </c>
      <c r="B16" t="inlineStr">
        <is>
          <t>DSC Manual</t>
        </is>
      </c>
      <c r="C16" s="5" t="n">
        <v>46094</v>
      </c>
      <c r="D16" s="6">
        <f>Summary!D16</f>
        <v/>
      </c>
      <c r="E16" s="6">
        <f>Summary!E16</f>
        <v/>
      </c>
      <c r="F16" s="6">
        <f>Summary!F16</f>
        <v/>
      </c>
      <c r="G16" s="6">
        <f>Summary!G16</f>
        <v/>
      </c>
      <c r="H16" s="6">
        <f>Summary!H16</f>
        <v/>
      </c>
      <c r="I16" s="6">
        <f>Summary!I16</f>
        <v/>
      </c>
      <c r="J16" s="6">
        <f>Summary!J16</f>
        <v/>
      </c>
      <c r="K16" s="6">
        <f>Summary!K16</f>
        <v/>
      </c>
      <c r="L16" s="6">
        <f>Summary!L16</f>
        <v/>
      </c>
      <c r="M16" s="6">
        <f>Summary!M16</f>
        <v/>
      </c>
      <c r="N16" s="6">
        <f>Summary!N16</f>
        <v/>
      </c>
      <c r="O16" s="6">
        <f>Summary!O16</f>
        <v/>
      </c>
      <c r="P16" s="6">
        <f>Summary!P16</f>
        <v/>
      </c>
      <c r="Q16" s="6">
        <f>Summary!Q16</f>
        <v/>
      </c>
      <c r="R16" s="6">
        <f>Summary!R16</f>
        <v/>
      </c>
      <c r="S16" s="6">
        <f>Summary!S16</f>
        <v/>
      </c>
      <c r="T16" s="6">
        <f>Summary!T16</f>
        <v/>
      </c>
      <c r="U16" s="6">
        <f>Summary!U16</f>
        <v/>
      </c>
      <c r="V16" s="6">
        <f>Summary!V16</f>
        <v/>
      </c>
      <c r="W16" s="6">
        <f>Summary!W16</f>
        <v/>
      </c>
      <c r="X16" s="6">
        <f>Summary!X16</f>
        <v/>
      </c>
      <c r="Y16" s="6">
        <f>Summary!Y16</f>
        <v/>
      </c>
      <c r="Z16" s="6">
        <f>Summary!Z16</f>
        <v/>
      </c>
      <c r="AA16" s="6">
        <f>Summary!AA16</f>
        <v/>
      </c>
      <c r="AB16" s="6">
        <f>SUM(D16:AA16)</f>
        <v/>
      </c>
      <c r="AC16" s="3" t="inlineStr"/>
      <c r="AD16" s="7">
        <f>F16*0.0004002+E16*0.0004002</f>
        <v/>
      </c>
      <c r="AE16" s="7">
        <f>G16*0.0004002+F16*0.0004002</f>
        <v/>
      </c>
      <c r="AF16" s="7">
        <f>H16*0.0004002+G16*0.0004002</f>
        <v/>
      </c>
      <c r="AG16" s="7">
        <f>I16*0.0004002+H16*0.0004002</f>
        <v/>
      </c>
      <c r="AH16" s="7">
        <f>J16*0.0004002+I16*0.0004002</f>
        <v/>
      </c>
      <c r="AI16" s="7">
        <f>K16*0.0004002+J16*0.0004002</f>
        <v/>
      </c>
      <c r="AJ16" s="7">
        <f>L16*0.0004002+K16*0.0004002</f>
        <v/>
      </c>
      <c r="AK16" s="7">
        <f>M16*0.0004002+L16*0.0004002</f>
        <v/>
      </c>
      <c r="AL16" s="7">
        <f>N16*0.0004002+M16*0.0004002</f>
        <v/>
      </c>
      <c r="AM16" s="7">
        <f>O16*0.0004002+N16*0.0004002</f>
        <v/>
      </c>
      <c r="AN16" s="7">
        <f>P16*0.0004002+O16*0.0004002</f>
        <v/>
      </c>
      <c r="AO16" s="7">
        <f>Q16*0.0004002+P16*0.0004002</f>
        <v/>
      </c>
      <c r="AP16" s="7">
        <f>R16*0.0004002+Q16*0.0004002</f>
        <v/>
      </c>
      <c r="AQ16" s="7">
        <f>S16*0.0004002+R16*0.0004002</f>
        <v/>
      </c>
      <c r="AR16" s="7">
        <f>T16*0.0004002+S16*0.0004002</f>
        <v/>
      </c>
      <c r="AS16" s="7">
        <f>U16*0.0004002+T16*0.0004002</f>
        <v/>
      </c>
      <c r="AT16" s="7">
        <f>V16*0.0004002+U16*0.0004002</f>
        <v/>
      </c>
      <c r="AU16" s="7">
        <f>W16*0.0004002+V16*0.0004002</f>
        <v/>
      </c>
      <c r="AV16" s="7">
        <f>X16*0.0004002+W16*0.0004002</f>
        <v/>
      </c>
      <c r="AW16" s="7">
        <f>Y16*0.0004002+X16*0.0004002</f>
        <v/>
      </c>
      <c r="AX16" s="7">
        <f>Z16*0.0004002+Y16*0.0004002</f>
        <v/>
      </c>
      <c r="AY16" s="7">
        <f>AA16*0.0004002+Z16*0.0004002</f>
        <v/>
      </c>
      <c r="AZ16" s="7">
        <f>D16*0.0004002+AA16*0.0004002</f>
        <v/>
      </c>
      <c r="BA16" s="7">
        <f>E16*0.0004002+D16*0.0004002</f>
        <v/>
      </c>
      <c r="BB16" s="7">
        <f>SUM(AD16:BA16)</f>
        <v/>
      </c>
    </row>
    <row r="17">
      <c r="A17" t="inlineStr">
        <is>
          <t>AMD-EXPR</t>
        </is>
      </c>
      <c r="B17" t="inlineStr">
        <is>
          <t>DSC Manual</t>
        </is>
      </c>
      <c r="C17" s="5" t="n">
        <v>46095</v>
      </c>
      <c r="D17" s="6">
        <f>Summary!D17</f>
        <v/>
      </c>
      <c r="E17" s="6">
        <f>Summary!E17</f>
        <v/>
      </c>
      <c r="F17" s="6">
        <f>Summary!F17</f>
        <v/>
      </c>
      <c r="G17" s="6">
        <f>Summary!G17</f>
        <v/>
      </c>
      <c r="H17" s="6">
        <f>Summary!H17</f>
        <v/>
      </c>
      <c r="I17" s="6">
        <f>Summary!I17</f>
        <v/>
      </c>
      <c r="J17" s="6">
        <f>Summary!J17</f>
        <v/>
      </c>
      <c r="K17" s="6">
        <f>Summary!K17</f>
        <v/>
      </c>
      <c r="L17" s="6">
        <f>Summary!L17</f>
        <v/>
      </c>
      <c r="M17" s="6">
        <f>Summary!M17</f>
        <v/>
      </c>
      <c r="N17" s="6">
        <f>Summary!N17</f>
        <v/>
      </c>
      <c r="O17" s="6">
        <f>Summary!O17</f>
        <v/>
      </c>
      <c r="P17" s="6">
        <f>Summary!P17</f>
        <v/>
      </c>
      <c r="Q17" s="6">
        <f>Summary!Q17</f>
        <v/>
      </c>
      <c r="R17" s="6">
        <f>Summary!R17</f>
        <v/>
      </c>
      <c r="S17" s="6">
        <f>Summary!S17</f>
        <v/>
      </c>
      <c r="T17" s="6">
        <f>Summary!T17</f>
        <v/>
      </c>
      <c r="U17" s="6">
        <f>Summary!U17</f>
        <v/>
      </c>
      <c r="V17" s="6">
        <f>Summary!V17</f>
        <v/>
      </c>
      <c r="W17" s="6">
        <f>Summary!W17</f>
        <v/>
      </c>
      <c r="X17" s="6">
        <f>Summary!X17</f>
        <v/>
      </c>
      <c r="Y17" s="6">
        <f>Summary!Y17</f>
        <v/>
      </c>
      <c r="Z17" s="6">
        <f>Summary!Z17</f>
        <v/>
      </c>
      <c r="AA17" s="6">
        <f>Summary!AA17</f>
        <v/>
      </c>
      <c r="AB17" s="6">
        <f>SUM(D17:AA17)</f>
        <v/>
      </c>
      <c r="AC17" s="3" t="inlineStr"/>
      <c r="AD17" s="7">
        <f>F17*0.0004002+E17*0.0004002</f>
        <v/>
      </c>
      <c r="AE17" s="7">
        <f>G17*0.0004002+F17*0.0004002</f>
        <v/>
      </c>
      <c r="AF17" s="7">
        <f>H17*0.0004002+G17*0.0004002</f>
        <v/>
      </c>
      <c r="AG17" s="7">
        <f>I17*0.0004002+H17*0.0004002</f>
        <v/>
      </c>
      <c r="AH17" s="7">
        <f>J17*0.0004002+I17*0.0004002</f>
        <v/>
      </c>
      <c r="AI17" s="7">
        <f>K17*0.0004002+J17*0.0004002</f>
        <v/>
      </c>
      <c r="AJ17" s="7">
        <f>L17*0.0004002+K17*0.0004002</f>
        <v/>
      </c>
      <c r="AK17" s="7">
        <f>M17*0.0004002+L17*0.0004002</f>
        <v/>
      </c>
      <c r="AL17" s="7">
        <f>N17*0.0004002+M17*0.0004002</f>
        <v/>
      </c>
      <c r="AM17" s="7">
        <f>O17*0.0004002+N17*0.0004002</f>
        <v/>
      </c>
      <c r="AN17" s="7">
        <f>P17*0.0004002+O17*0.0004002</f>
        <v/>
      </c>
      <c r="AO17" s="7">
        <f>Q17*0.0004002+P17*0.0004002</f>
        <v/>
      </c>
      <c r="AP17" s="7">
        <f>R17*0.0004002+Q17*0.0004002</f>
        <v/>
      </c>
      <c r="AQ17" s="7">
        <f>S17*0.0004002+R17*0.0004002</f>
        <v/>
      </c>
      <c r="AR17" s="7">
        <f>T17*0.0004002+S17*0.0004002</f>
        <v/>
      </c>
      <c r="AS17" s="7">
        <f>U17*0.0004002+T17*0.0004002</f>
        <v/>
      </c>
      <c r="AT17" s="7">
        <f>V17*0.0004002+U17*0.0004002</f>
        <v/>
      </c>
      <c r="AU17" s="7">
        <f>W17*0.0004002+V17*0.0004002</f>
        <v/>
      </c>
      <c r="AV17" s="7">
        <f>X17*0.0004002+W17*0.0004002</f>
        <v/>
      </c>
      <c r="AW17" s="7">
        <f>Y17*0.0004002+X17*0.0004002</f>
        <v/>
      </c>
      <c r="AX17" s="7">
        <f>Z17*0.0004002+Y17*0.0004002</f>
        <v/>
      </c>
      <c r="AY17" s="7">
        <f>AA17*0.0004002+Z17*0.0004002</f>
        <v/>
      </c>
      <c r="AZ17" s="7">
        <f>D17*0.0004002+AA17*0.0004002</f>
        <v/>
      </c>
      <c r="BA17" s="7">
        <f>E17*0.0004002+D17*0.0004002</f>
        <v/>
      </c>
      <c r="BB17" s="7">
        <f>SUM(AD17:BA17)</f>
        <v/>
      </c>
    </row>
    <row r="18">
      <c r="A18" t="inlineStr">
        <is>
          <t>AMD-EXPR</t>
        </is>
      </c>
      <c r="B18" t="inlineStr">
        <is>
          <t>DSC Manual</t>
        </is>
      </c>
      <c r="C18" s="5" t="n">
        <v>46096</v>
      </c>
      <c r="D18" s="6">
        <f>Summary!D18</f>
        <v/>
      </c>
      <c r="E18" s="6">
        <f>Summary!E18</f>
        <v/>
      </c>
      <c r="F18" s="6">
        <f>Summary!F18</f>
        <v/>
      </c>
      <c r="G18" s="6">
        <f>Summary!G18</f>
        <v/>
      </c>
      <c r="H18" s="6">
        <f>Summary!H18</f>
        <v/>
      </c>
      <c r="I18" s="6">
        <f>Summary!I18</f>
        <v/>
      </c>
      <c r="J18" s="6">
        <f>Summary!J18</f>
        <v/>
      </c>
      <c r="K18" s="6">
        <f>Summary!K18</f>
        <v/>
      </c>
      <c r="L18" s="6">
        <f>Summary!L18</f>
        <v/>
      </c>
      <c r="M18" s="6">
        <f>Summary!M18</f>
        <v/>
      </c>
      <c r="N18" s="6">
        <f>Summary!N18</f>
        <v/>
      </c>
      <c r="O18" s="6">
        <f>Summary!O18</f>
        <v/>
      </c>
      <c r="P18" s="6">
        <f>Summary!P18</f>
        <v/>
      </c>
      <c r="Q18" s="6">
        <f>Summary!Q18</f>
        <v/>
      </c>
      <c r="R18" s="6">
        <f>Summary!R18</f>
        <v/>
      </c>
      <c r="S18" s="6">
        <f>Summary!S18</f>
        <v/>
      </c>
      <c r="T18" s="6">
        <f>Summary!T18</f>
        <v/>
      </c>
      <c r="U18" s="6">
        <f>Summary!U18</f>
        <v/>
      </c>
      <c r="V18" s="6">
        <f>Summary!V18</f>
        <v/>
      </c>
      <c r="W18" s="6">
        <f>Summary!W18</f>
        <v/>
      </c>
      <c r="X18" s="6">
        <f>Summary!X18</f>
        <v/>
      </c>
      <c r="Y18" s="6">
        <f>Summary!Y18</f>
        <v/>
      </c>
      <c r="Z18" s="6">
        <f>Summary!Z18</f>
        <v/>
      </c>
      <c r="AA18" s="6">
        <f>Summary!AA18</f>
        <v/>
      </c>
      <c r="AB18" s="6">
        <f>SUM(D18:AA18)</f>
        <v/>
      </c>
      <c r="AC18" s="3" t="inlineStr"/>
      <c r="AD18" s="7">
        <f>F18*0.0004002+E18*0.0004002</f>
        <v/>
      </c>
      <c r="AE18" s="7">
        <f>G18*0.0004002+F18*0.0004002</f>
        <v/>
      </c>
      <c r="AF18" s="7">
        <f>H18*0.0004002+G18*0.0004002</f>
        <v/>
      </c>
      <c r="AG18" s="7">
        <f>I18*0.0004002+H18*0.0004002</f>
        <v/>
      </c>
      <c r="AH18" s="7">
        <f>J18*0.0004002+I18*0.0004002</f>
        <v/>
      </c>
      <c r="AI18" s="7">
        <f>K18*0.0004002+J18*0.0004002</f>
        <v/>
      </c>
      <c r="AJ18" s="7">
        <f>L18*0.0004002+K18*0.0004002</f>
        <v/>
      </c>
      <c r="AK18" s="7">
        <f>M18*0.0004002+L18*0.0004002</f>
        <v/>
      </c>
      <c r="AL18" s="7">
        <f>N18*0.0004002+M18*0.0004002</f>
        <v/>
      </c>
      <c r="AM18" s="7">
        <f>O18*0.0004002+N18*0.0004002</f>
        <v/>
      </c>
      <c r="AN18" s="7">
        <f>P18*0.0004002+O18*0.0004002</f>
        <v/>
      </c>
      <c r="AO18" s="7">
        <f>Q18*0.0004002+P18*0.0004002</f>
        <v/>
      </c>
      <c r="AP18" s="7">
        <f>R18*0.0004002+Q18*0.0004002</f>
        <v/>
      </c>
      <c r="AQ18" s="7">
        <f>S18*0.0004002+R18*0.0004002</f>
        <v/>
      </c>
      <c r="AR18" s="7">
        <f>T18*0.0004002+S18*0.0004002</f>
        <v/>
      </c>
      <c r="AS18" s="7">
        <f>U18*0.0004002+T18*0.0004002</f>
        <v/>
      </c>
      <c r="AT18" s="7">
        <f>V18*0.0004002+U18*0.0004002</f>
        <v/>
      </c>
      <c r="AU18" s="7">
        <f>W18*0.0004002+V18*0.0004002</f>
        <v/>
      </c>
      <c r="AV18" s="7">
        <f>X18*0.0004002+W18*0.0004002</f>
        <v/>
      </c>
      <c r="AW18" s="7">
        <f>Y18*0.0004002+X18*0.0004002</f>
        <v/>
      </c>
      <c r="AX18" s="7">
        <f>Z18*0.0004002+Y18*0.0004002</f>
        <v/>
      </c>
      <c r="AY18" s="7">
        <f>AA18*0.0004002+Z18*0.0004002</f>
        <v/>
      </c>
      <c r="AZ18" s="7">
        <f>D18*0.0004002+AA18*0.0004002</f>
        <v/>
      </c>
      <c r="BA18" s="7">
        <f>E18*0.0004002+D18*0.0004002</f>
        <v/>
      </c>
      <c r="BB18" s="7">
        <f>SUM(AD18:BA18)</f>
        <v/>
      </c>
    </row>
    <row r="19">
      <c r="A19" t="inlineStr">
        <is>
          <t>AMD-EXPR</t>
        </is>
      </c>
      <c r="B19" t="inlineStr">
        <is>
          <t>DSC Manual</t>
        </is>
      </c>
      <c r="C19" s="5" t="n">
        <v>46097</v>
      </c>
      <c r="D19" s="6">
        <f>Summary!D19</f>
        <v/>
      </c>
      <c r="E19" s="6">
        <f>Summary!E19</f>
        <v/>
      </c>
      <c r="F19" s="6">
        <f>Summary!F19</f>
        <v/>
      </c>
      <c r="G19" s="6">
        <f>Summary!G19</f>
        <v/>
      </c>
      <c r="H19" s="6">
        <f>Summary!H19</f>
        <v/>
      </c>
      <c r="I19" s="6">
        <f>Summary!I19</f>
        <v/>
      </c>
      <c r="J19" s="6">
        <f>Summary!J19</f>
        <v/>
      </c>
      <c r="K19" s="6">
        <f>Summary!K19</f>
        <v/>
      </c>
      <c r="L19" s="6">
        <f>Summary!L19</f>
        <v/>
      </c>
      <c r="M19" s="6">
        <f>Summary!M19</f>
        <v/>
      </c>
      <c r="N19" s="6">
        <f>Summary!N19</f>
        <v/>
      </c>
      <c r="O19" s="6">
        <f>Summary!O19</f>
        <v/>
      </c>
      <c r="P19" s="6">
        <f>Summary!P19</f>
        <v/>
      </c>
      <c r="Q19" s="6">
        <f>Summary!Q19</f>
        <v/>
      </c>
      <c r="R19" s="6">
        <f>Summary!R19</f>
        <v/>
      </c>
      <c r="S19" s="6">
        <f>Summary!S19</f>
        <v/>
      </c>
      <c r="T19" s="6">
        <f>Summary!T19</f>
        <v/>
      </c>
      <c r="U19" s="6">
        <f>Summary!U19</f>
        <v/>
      </c>
      <c r="V19" s="6">
        <f>Summary!V19</f>
        <v/>
      </c>
      <c r="W19" s="6">
        <f>Summary!W19</f>
        <v/>
      </c>
      <c r="X19" s="6">
        <f>Summary!X19</f>
        <v/>
      </c>
      <c r="Y19" s="6">
        <f>Summary!Y19</f>
        <v/>
      </c>
      <c r="Z19" s="6">
        <f>Summary!Z19</f>
        <v/>
      </c>
      <c r="AA19" s="6">
        <f>Summary!AA19</f>
        <v/>
      </c>
      <c r="AB19" s="6">
        <f>SUM(D19:AA19)</f>
        <v/>
      </c>
      <c r="AC19" s="3" t="inlineStr"/>
      <c r="AD19" s="7">
        <f>F19*0.0004002+E19*0.0004002</f>
        <v/>
      </c>
      <c r="AE19" s="7">
        <f>G19*0.0004002+F19*0.0004002</f>
        <v/>
      </c>
      <c r="AF19" s="7">
        <f>H19*0.0004002+G19*0.0004002</f>
        <v/>
      </c>
      <c r="AG19" s="7">
        <f>I19*0.0004002+H19*0.0004002</f>
        <v/>
      </c>
      <c r="AH19" s="7">
        <f>J19*0.0004002+I19*0.0004002</f>
        <v/>
      </c>
      <c r="AI19" s="7">
        <f>K19*0.0004002+J19*0.0004002</f>
        <v/>
      </c>
      <c r="AJ19" s="7">
        <f>L19*0.0004002+K19*0.0004002</f>
        <v/>
      </c>
      <c r="AK19" s="7">
        <f>M19*0.0004002+L19*0.0004002</f>
        <v/>
      </c>
      <c r="AL19" s="7">
        <f>N19*0.0004002+M19*0.0004002</f>
        <v/>
      </c>
      <c r="AM19" s="7">
        <f>O19*0.0004002+N19*0.0004002</f>
        <v/>
      </c>
      <c r="AN19" s="7">
        <f>P19*0.0004002+O19*0.0004002</f>
        <v/>
      </c>
      <c r="AO19" s="7">
        <f>Q19*0.0004002+P19*0.0004002</f>
        <v/>
      </c>
      <c r="AP19" s="7">
        <f>R19*0.0004002+Q19*0.0004002</f>
        <v/>
      </c>
      <c r="AQ19" s="7">
        <f>S19*0.0004002+R19*0.0004002</f>
        <v/>
      </c>
      <c r="AR19" s="7">
        <f>T19*0.0004002+S19*0.0004002</f>
        <v/>
      </c>
      <c r="AS19" s="7">
        <f>U19*0.0004002+T19*0.0004002</f>
        <v/>
      </c>
      <c r="AT19" s="7">
        <f>V19*0.0004002+U19*0.0004002</f>
        <v/>
      </c>
      <c r="AU19" s="7">
        <f>W19*0.0004002+V19*0.0004002</f>
        <v/>
      </c>
      <c r="AV19" s="7">
        <f>X19*0.0004002+W19*0.0004002</f>
        <v/>
      </c>
      <c r="AW19" s="7">
        <f>Y19*0.0004002+X19*0.0004002</f>
        <v/>
      </c>
      <c r="AX19" s="7">
        <f>Z19*0.0004002+Y19*0.0004002</f>
        <v/>
      </c>
      <c r="AY19" s="7">
        <f>AA19*0.0004002+Z19*0.0004002</f>
        <v/>
      </c>
      <c r="AZ19" s="7">
        <f>D19*0.0004002+AA19*0.0004002</f>
        <v/>
      </c>
      <c r="BA19" s="7">
        <f>E19*0.0004002+D19*0.0004002</f>
        <v/>
      </c>
      <c r="BB19" s="7">
        <f>SUM(AD19:BA19)</f>
        <v/>
      </c>
    </row>
    <row r="20">
      <c r="A20" t="inlineStr">
        <is>
          <t>AMD-EXPR</t>
        </is>
      </c>
      <c r="B20" t="inlineStr">
        <is>
          <t>DSC Manual</t>
        </is>
      </c>
      <c r="C20" s="5" t="n">
        <v>46099</v>
      </c>
      <c r="D20" s="6">
        <f>Summary!D20</f>
        <v/>
      </c>
      <c r="E20" s="6">
        <f>Summary!E20</f>
        <v/>
      </c>
      <c r="F20" s="6">
        <f>Summary!F20</f>
        <v/>
      </c>
      <c r="G20" s="6">
        <f>Summary!G20</f>
        <v/>
      </c>
      <c r="H20" s="6">
        <f>Summary!H20</f>
        <v/>
      </c>
      <c r="I20" s="6">
        <f>Summary!I20</f>
        <v/>
      </c>
      <c r="J20" s="6">
        <f>Summary!J20</f>
        <v/>
      </c>
      <c r="K20" s="6">
        <f>Summary!K20</f>
        <v/>
      </c>
      <c r="L20" s="6">
        <f>Summary!L20</f>
        <v/>
      </c>
      <c r="M20" s="6">
        <f>Summary!M20</f>
        <v/>
      </c>
      <c r="N20" s="6">
        <f>Summary!N20</f>
        <v/>
      </c>
      <c r="O20" s="6">
        <f>Summary!O20</f>
        <v/>
      </c>
      <c r="P20" s="6">
        <f>Summary!P20</f>
        <v/>
      </c>
      <c r="Q20" s="6">
        <f>Summary!Q20</f>
        <v/>
      </c>
      <c r="R20" s="6">
        <f>Summary!R20</f>
        <v/>
      </c>
      <c r="S20" s="6">
        <f>Summary!S20</f>
        <v/>
      </c>
      <c r="T20" s="6">
        <f>Summary!T20</f>
        <v/>
      </c>
      <c r="U20" s="6">
        <f>Summary!U20</f>
        <v/>
      </c>
      <c r="V20" s="6">
        <f>Summary!V20</f>
        <v/>
      </c>
      <c r="W20" s="6">
        <f>Summary!W20</f>
        <v/>
      </c>
      <c r="X20" s="6">
        <f>Summary!X20</f>
        <v/>
      </c>
      <c r="Y20" s="6">
        <f>Summary!Y20</f>
        <v/>
      </c>
      <c r="Z20" s="6">
        <f>Summary!Z20</f>
        <v/>
      </c>
      <c r="AA20" s="6">
        <f>Summary!AA20</f>
        <v/>
      </c>
      <c r="AB20" s="6">
        <f>SUM(D20:AA20)</f>
        <v/>
      </c>
      <c r="AC20" s="3" t="inlineStr"/>
      <c r="AD20" s="7">
        <f>F20*0.0004002+E20*0.0004002</f>
        <v/>
      </c>
      <c r="AE20" s="7">
        <f>G20*0.0004002+F20*0.0004002</f>
        <v/>
      </c>
      <c r="AF20" s="7">
        <f>H20*0.0004002+G20*0.0004002</f>
        <v/>
      </c>
      <c r="AG20" s="7">
        <f>I20*0.0004002+H20*0.0004002</f>
        <v/>
      </c>
      <c r="AH20" s="7">
        <f>J20*0.0004002+I20*0.0004002</f>
        <v/>
      </c>
      <c r="AI20" s="7">
        <f>K20*0.0004002+J20*0.0004002</f>
        <v/>
      </c>
      <c r="AJ20" s="7">
        <f>L20*0.0004002+K20*0.0004002</f>
        <v/>
      </c>
      <c r="AK20" s="7">
        <f>M20*0.0004002+L20*0.0004002</f>
        <v/>
      </c>
      <c r="AL20" s="7">
        <f>N20*0.0004002+M20*0.0004002</f>
        <v/>
      </c>
      <c r="AM20" s="7">
        <f>O20*0.0004002+N20*0.0004002</f>
        <v/>
      </c>
      <c r="AN20" s="7">
        <f>P20*0.0004002+O20*0.0004002</f>
        <v/>
      </c>
      <c r="AO20" s="7">
        <f>Q20*0.0004002+P20*0.0004002</f>
        <v/>
      </c>
      <c r="AP20" s="7">
        <f>R20*0.0004002+Q20*0.0004002</f>
        <v/>
      </c>
      <c r="AQ20" s="7">
        <f>S20*0.0004002+R20*0.0004002</f>
        <v/>
      </c>
      <c r="AR20" s="7">
        <f>T20*0.0004002+S20*0.0004002</f>
        <v/>
      </c>
      <c r="AS20" s="7">
        <f>U20*0.0004002+T20*0.0004002</f>
        <v/>
      </c>
      <c r="AT20" s="7">
        <f>V20*0.0004002+U20*0.0004002</f>
        <v/>
      </c>
      <c r="AU20" s="7">
        <f>W20*0.0004002+V20*0.0004002</f>
        <v/>
      </c>
      <c r="AV20" s="7">
        <f>X20*0.0004002+W20*0.0004002</f>
        <v/>
      </c>
      <c r="AW20" s="7">
        <f>Y20*0.0004002+X20*0.0004002</f>
        <v/>
      </c>
      <c r="AX20" s="7">
        <f>Z20*0.0004002+Y20*0.0004002</f>
        <v/>
      </c>
      <c r="AY20" s="7">
        <f>AA20*0.0004002+Z20*0.0004002</f>
        <v/>
      </c>
      <c r="AZ20" s="7">
        <f>D20*0.0004002+AA20*0.0004002</f>
        <v/>
      </c>
      <c r="BA20" s="7">
        <f>E20*0.0004002+D20*0.0004002</f>
        <v/>
      </c>
      <c r="BB20" s="7">
        <f>SUM(AD20:BA20)</f>
        <v/>
      </c>
    </row>
    <row r="21">
      <c r="A21" t="inlineStr">
        <is>
          <t>AMD-EXPR</t>
        </is>
      </c>
      <c r="B21" t="inlineStr">
        <is>
          <t>DSC Manual</t>
        </is>
      </c>
      <c r="C21" s="5" t="n">
        <v>46100</v>
      </c>
      <c r="D21" s="6">
        <f>Summary!D21</f>
        <v/>
      </c>
      <c r="E21" s="6">
        <f>Summary!E21</f>
        <v/>
      </c>
      <c r="F21" s="6">
        <f>Summary!F21</f>
        <v/>
      </c>
      <c r="G21" s="6">
        <f>Summary!G21</f>
        <v/>
      </c>
      <c r="H21" s="6">
        <f>Summary!H21</f>
        <v/>
      </c>
      <c r="I21" s="6">
        <f>Summary!I21</f>
        <v/>
      </c>
      <c r="J21" s="6">
        <f>Summary!J21</f>
        <v/>
      </c>
      <c r="K21" s="6">
        <f>Summary!K21</f>
        <v/>
      </c>
      <c r="L21" s="6">
        <f>Summary!L21</f>
        <v/>
      </c>
      <c r="M21" s="6">
        <f>Summary!M21</f>
        <v/>
      </c>
      <c r="N21" s="6">
        <f>Summary!N21</f>
        <v/>
      </c>
      <c r="O21" s="6">
        <f>Summary!O21</f>
        <v/>
      </c>
      <c r="P21" s="6">
        <f>Summary!P21</f>
        <v/>
      </c>
      <c r="Q21" s="6">
        <f>Summary!Q21</f>
        <v/>
      </c>
      <c r="R21" s="6">
        <f>Summary!R21</f>
        <v/>
      </c>
      <c r="S21" s="6">
        <f>Summary!S21</f>
        <v/>
      </c>
      <c r="T21" s="6">
        <f>Summary!T21</f>
        <v/>
      </c>
      <c r="U21" s="6">
        <f>Summary!U21</f>
        <v/>
      </c>
      <c r="V21" s="6">
        <f>Summary!V21</f>
        <v/>
      </c>
      <c r="W21" s="6">
        <f>Summary!W21</f>
        <v/>
      </c>
      <c r="X21" s="6">
        <f>Summary!X21</f>
        <v/>
      </c>
      <c r="Y21" s="6">
        <f>Summary!Y21</f>
        <v/>
      </c>
      <c r="Z21" s="6">
        <f>Summary!Z21</f>
        <v/>
      </c>
      <c r="AA21" s="6">
        <f>Summary!AA21</f>
        <v/>
      </c>
      <c r="AB21" s="6">
        <f>SUM(D21:AA21)</f>
        <v/>
      </c>
      <c r="AC21" s="3" t="inlineStr"/>
      <c r="AD21" s="7">
        <f>F21*0.0004002+E21*0.0004002</f>
        <v/>
      </c>
      <c r="AE21" s="7">
        <f>G21*0.0004002+F21*0.0004002</f>
        <v/>
      </c>
      <c r="AF21" s="7">
        <f>H21*0.0004002+G21*0.0004002</f>
        <v/>
      </c>
      <c r="AG21" s="7">
        <f>I21*0.0004002+H21*0.0004002</f>
        <v/>
      </c>
      <c r="AH21" s="7">
        <f>J21*0.0004002+I21*0.0004002</f>
        <v/>
      </c>
      <c r="AI21" s="7">
        <f>K21*0.0004002+J21*0.0004002</f>
        <v/>
      </c>
      <c r="AJ21" s="7">
        <f>L21*0.0004002+K21*0.0004002</f>
        <v/>
      </c>
      <c r="AK21" s="7">
        <f>M21*0.0004002+L21*0.0004002</f>
        <v/>
      </c>
      <c r="AL21" s="7">
        <f>N21*0.0004002+M21*0.0004002</f>
        <v/>
      </c>
      <c r="AM21" s="7">
        <f>O21*0.0004002+N21*0.0004002</f>
        <v/>
      </c>
      <c r="AN21" s="7">
        <f>P21*0.0004002+O21*0.0004002</f>
        <v/>
      </c>
      <c r="AO21" s="7">
        <f>Q21*0.0004002+P21*0.0004002</f>
        <v/>
      </c>
      <c r="AP21" s="7">
        <f>R21*0.0004002+Q21*0.0004002</f>
        <v/>
      </c>
      <c r="AQ21" s="7">
        <f>S21*0.0004002+R21*0.0004002</f>
        <v/>
      </c>
      <c r="AR21" s="7">
        <f>T21*0.0004002+S21*0.0004002</f>
        <v/>
      </c>
      <c r="AS21" s="7">
        <f>U21*0.0004002+T21*0.0004002</f>
        <v/>
      </c>
      <c r="AT21" s="7">
        <f>V21*0.0004002+U21*0.0004002</f>
        <v/>
      </c>
      <c r="AU21" s="7">
        <f>W21*0.0004002+V21*0.0004002</f>
        <v/>
      </c>
      <c r="AV21" s="7">
        <f>X21*0.0004002+W21*0.0004002</f>
        <v/>
      </c>
      <c r="AW21" s="7">
        <f>Y21*0.0004002+X21*0.0004002</f>
        <v/>
      </c>
      <c r="AX21" s="7">
        <f>Z21*0.0004002+Y21*0.0004002</f>
        <v/>
      </c>
      <c r="AY21" s="7">
        <f>AA21*0.0004002+Z21*0.0004002</f>
        <v/>
      </c>
      <c r="AZ21" s="7">
        <f>D21*0.0004002+AA21*0.0004002</f>
        <v/>
      </c>
      <c r="BA21" s="7">
        <f>E21*0.0004002+D21*0.0004002</f>
        <v/>
      </c>
      <c r="BB21" s="7">
        <f>SUM(AD21:BA21)</f>
        <v/>
      </c>
    </row>
    <row r="22">
      <c r="A22" t="inlineStr">
        <is>
          <t>AMD-EXPR</t>
        </is>
      </c>
      <c r="B22" t="inlineStr">
        <is>
          <t>DSC Manual</t>
        </is>
      </c>
      <c r="C22" s="5" t="n">
        <v>46102</v>
      </c>
      <c r="D22" s="6">
        <f>Summary!D22</f>
        <v/>
      </c>
      <c r="E22" s="6">
        <f>Summary!E22</f>
        <v/>
      </c>
      <c r="F22" s="6">
        <f>Summary!F22</f>
        <v/>
      </c>
      <c r="G22" s="6">
        <f>Summary!G22</f>
        <v/>
      </c>
      <c r="H22" s="6">
        <f>Summary!H22</f>
        <v/>
      </c>
      <c r="I22" s="6">
        <f>Summary!I22</f>
        <v/>
      </c>
      <c r="J22" s="6">
        <f>Summary!J22</f>
        <v/>
      </c>
      <c r="K22" s="6">
        <f>Summary!K22</f>
        <v/>
      </c>
      <c r="L22" s="6">
        <f>Summary!L22</f>
        <v/>
      </c>
      <c r="M22" s="6">
        <f>Summary!M22</f>
        <v/>
      </c>
      <c r="N22" s="6">
        <f>Summary!N22</f>
        <v/>
      </c>
      <c r="O22" s="6">
        <f>Summary!O22</f>
        <v/>
      </c>
      <c r="P22" s="6">
        <f>Summary!P22</f>
        <v/>
      </c>
      <c r="Q22" s="6">
        <f>Summary!Q22</f>
        <v/>
      </c>
      <c r="R22" s="6">
        <f>Summary!R22</f>
        <v/>
      </c>
      <c r="S22" s="6">
        <f>Summary!S22</f>
        <v/>
      </c>
      <c r="T22" s="6">
        <f>Summary!T22</f>
        <v/>
      </c>
      <c r="U22" s="6">
        <f>Summary!U22</f>
        <v/>
      </c>
      <c r="V22" s="6">
        <f>Summary!V22</f>
        <v/>
      </c>
      <c r="W22" s="6">
        <f>Summary!W22</f>
        <v/>
      </c>
      <c r="X22" s="6">
        <f>Summary!X22</f>
        <v/>
      </c>
      <c r="Y22" s="6">
        <f>Summary!Y22</f>
        <v/>
      </c>
      <c r="Z22" s="6">
        <f>Summary!Z22</f>
        <v/>
      </c>
      <c r="AA22" s="6">
        <f>Summary!AA22</f>
        <v/>
      </c>
      <c r="AB22" s="6">
        <f>SUM(D22:AA22)</f>
        <v/>
      </c>
      <c r="AC22" s="3" t="inlineStr"/>
      <c r="AD22" s="7">
        <f>F22*0.0004002+E22*0.0004002</f>
        <v/>
      </c>
      <c r="AE22" s="7">
        <f>G22*0.0004002+F22*0.0004002</f>
        <v/>
      </c>
      <c r="AF22" s="7">
        <f>H22*0.0004002+G22*0.0004002</f>
        <v/>
      </c>
      <c r="AG22" s="7">
        <f>I22*0.0004002+H22*0.0004002</f>
        <v/>
      </c>
      <c r="AH22" s="7">
        <f>J22*0.0004002+I22*0.0004002</f>
        <v/>
      </c>
      <c r="AI22" s="7">
        <f>K22*0.0004002+J22*0.0004002</f>
        <v/>
      </c>
      <c r="AJ22" s="7">
        <f>L22*0.0004002+K22*0.0004002</f>
        <v/>
      </c>
      <c r="AK22" s="7">
        <f>M22*0.0004002+L22*0.0004002</f>
        <v/>
      </c>
      <c r="AL22" s="7">
        <f>N22*0.0004002+M22*0.0004002</f>
        <v/>
      </c>
      <c r="AM22" s="7">
        <f>O22*0.0004002+N22*0.0004002</f>
        <v/>
      </c>
      <c r="AN22" s="7">
        <f>P22*0.0004002+O22*0.0004002</f>
        <v/>
      </c>
      <c r="AO22" s="7">
        <f>Q22*0.0004002+P22*0.0004002</f>
        <v/>
      </c>
      <c r="AP22" s="7">
        <f>R22*0.0004002+Q22*0.0004002</f>
        <v/>
      </c>
      <c r="AQ22" s="7">
        <f>S22*0.0004002+R22*0.0004002</f>
        <v/>
      </c>
      <c r="AR22" s="7">
        <f>T22*0.0004002+S22*0.0004002</f>
        <v/>
      </c>
      <c r="AS22" s="7">
        <f>U22*0.0004002+T22*0.0004002</f>
        <v/>
      </c>
      <c r="AT22" s="7">
        <f>V22*0.0004002+U22*0.0004002</f>
        <v/>
      </c>
      <c r="AU22" s="7">
        <f>W22*0.0004002+V22*0.0004002</f>
        <v/>
      </c>
      <c r="AV22" s="7">
        <f>X22*0.0004002+W22*0.0004002</f>
        <v/>
      </c>
      <c r="AW22" s="7">
        <f>Y22*0.0004002+X22*0.0004002</f>
        <v/>
      </c>
      <c r="AX22" s="7">
        <f>Z22*0.0004002+Y22*0.0004002</f>
        <v/>
      </c>
      <c r="AY22" s="7">
        <f>AA22*0.0004002+Z22*0.0004002</f>
        <v/>
      </c>
      <c r="AZ22" s="7">
        <f>D22*0.0004002+AA22*0.0004002</f>
        <v/>
      </c>
      <c r="BA22" s="7">
        <f>E22*0.0004002+D22*0.0004002</f>
        <v/>
      </c>
      <c r="BB22" s="7">
        <f>SUM(AD22:BA22)</f>
        <v/>
      </c>
    </row>
    <row r="23">
      <c r="A23" t="inlineStr">
        <is>
          <t>AMD-EXPR</t>
        </is>
      </c>
      <c r="B23" t="inlineStr">
        <is>
          <t>DSC Manual</t>
        </is>
      </c>
      <c r="C23" s="5" t="n">
        <v>46103</v>
      </c>
      <c r="D23" s="6">
        <f>Summary!D23</f>
        <v/>
      </c>
      <c r="E23" s="6">
        <f>Summary!E23</f>
        <v/>
      </c>
      <c r="F23" s="6">
        <f>Summary!F23</f>
        <v/>
      </c>
      <c r="G23" s="6">
        <f>Summary!G23</f>
        <v/>
      </c>
      <c r="H23" s="6">
        <f>Summary!H23</f>
        <v/>
      </c>
      <c r="I23" s="6">
        <f>Summary!I23</f>
        <v/>
      </c>
      <c r="J23" s="6">
        <f>Summary!J23</f>
        <v/>
      </c>
      <c r="K23" s="6">
        <f>Summary!K23</f>
        <v/>
      </c>
      <c r="L23" s="6">
        <f>Summary!L23</f>
        <v/>
      </c>
      <c r="M23" s="6">
        <f>Summary!M23</f>
        <v/>
      </c>
      <c r="N23" s="6">
        <f>Summary!N23</f>
        <v/>
      </c>
      <c r="O23" s="6">
        <f>Summary!O23</f>
        <v/>
      </c>
      <c r="P23" s="6">
        <f>Summary!P23</f>
        <v/>
      </c>
      <c r="Q23" s="6">
        <f>Summary!Q23</f>
        <v/>
      </c>
      <c r="R23" s="6">
        <f>Summary!R23</f>
        <v/>
      </c>
      <c r="S23" s="6">
        <f>Summary!S23</f>
        <v/>
      </c>
      <c r="T23" s="6">
        <f>Summary!T23</f>
        <v/>
      </c>
      <c r="U23" s="6">
        <f>Summary!U23</f>
        <v/>
      </c>
      <c r="V23" s="6">
        <f>Summary!V23</f>
        <v/>
      </c>
      <c r="W23" s="6">
        <f>Summary!W23</f>
        <v/>
      </c>
      <c r="X23" s="6">
        <f>Summary!X23</f>
        <v/>
      </c>
      <c r="Y23" s="6">
        <f>Summary!Y23</f>
        <v/>
      </c>
      <c r="Z23" s="6">
        <f>Summary!Z23</f>
        <v/>
      </c>
      <c r="AA23" s="6">
        <f>Summary!AA23</f>
        <v/>
      </c>
      <c r="AB23" s="6">
        <f>SUM(D23:AA23)</f>
        <v/>
      </c>
      <c r="AC23" s="3" t="inlineStr"/>
      <c r="AD23" s="7">
        <f>F23*0.0004002+E23*0.0004002</f>
        <v/>
      </c>
      <c r="AE23" s="7">
        <f>G23*0.0004002+F23*0.0004002</f>
        <v/>
      </c>
      <c r="AF23" s="7">
        <f>H23*0.0004002+G23*0.0004002</f>
        <v/>
      </c>
      <c r="AG23" s="7">
        <f>I23*0.0004002+H23*0.0004002</f>
        <v/>
      </c>
      <c r="AH23" s="7">
        <f>J23*0.0004002+I23*0.0004002</f>
        <v/>
      </c>
      <c r="AI23" s="7">
        <f>K23*0.0004002+J23*0.0004002</f>
        <v/>
      </c>
      <c r="AJ23" s="7">
        <f>L23*0.0004002+K23*0.0004002</f>
        <v/>
      </c>
      <c r="AK23" s="7">
        <f>M23*0.0004002+L23*0.0004002</f>
        <v/>
      </c>
      <c r="AL23" s="7">
        <f>N23*0.0004002+M23*0.0004002</f>
        <v/>
      </c>
      <c r="AM23" s="7">
        <f>O23*0.0004002+N23*0.0004002</f>
        <v/>
      </c>
      <c r="AN23" s="7">
        <f>P23*0.0004002+O23*0.0004002</f>
        <v/>
      </c>
      <c r="AO23" s="7">
        <f>Q23*0.0004002+P23*0.0004002</f>
        <v/>
      </c>
      <c r="AP23" s="7">
        <f>R23*0.0004002+Q23*0.0004002</f>
        <v/>
      </c>
      <c r="AQ23" s="7">
        <f>S23*0.0004002+R23*0.0004002</f>
        <v/>
      </c>
      <c r="AR23" s="7">
        <f>T23*0.0004002+S23*0.0004002</f>
        <v/>
      </c>
      <c r="AS23" s="7">
        <f>U23*0.0004002+T23*0.0004002</f>
        <v/>
      </c>
      <c r="AT23" s="7">
        <f>V23*0.0004002+U23*0.0004002</f>
        <v/>
      </c>
      <c r="AU23" s="7">
        <f>W23*0.0004002+V23*0.0004002</f>
        <v/>
      </c>
      <c r="AV23" s="7">
        <f>X23*0.0004002+W23*0.0004002</f>
        <v/>
      </c>
      <c r="AW23" s="7">
        <f>Y23*0.0004002+X23*0.0004002</f>
        <v/>
      </c>
      <c r="AX23" s="7">
        <f>Z23*0.0004002+Y23*0.0004002</f>
        <v/>
      </c>
      <c r="AY23" s="7">
        <f>AA23*0.0004002+Z23*0.0004002</f>
        <v/>
      </c>
      <c r="AZ23" s="7">
        <f>D23*0.0004002+AA23*0.0004002</f>
        <v/>
      </c>
      <c r="BA23" s="7">
        <f>E23*0.0004002+D23*0.0004002</f>
        <v/>
      </c>
      <c r="BB23" s="7">
        <f>SUM(AD23:BA23)</f>
        <v/>
      </c>
    </row>
    <row r="24">
      <c r="A24" t="inlineStr">
        <is>
          <t>AMD-EXPR</t>
        </is>
      </c>
      <c r="B24" t="inlineStr">
        <is>
          <t>DSC Manual</t>
        </is>
      </c>
      <c r="C24" s="5" t="n">
        <v>46104</v>
      </c>
      <c r="D24" s="6">
        <f>Summary!D24</f>
        <v/>
      </c>
      <c r="E24" s="6">
        <f>Summary!E24</f>
        <v/>
      </c>
      <c r="F24" s="6">
        <f>Summary!F24</f>
        <v/>
      </c>
      <c r="G24" s="6">
        <f>Summary!G24</f>
        <v/>
      </c>
      <c r="H24" s="6">
        <f>Summary!H24</f>
        <v/>
      </c>
      <c r="I24" s="6">
        <f>Summary!I24</f>
        <v/>
      </c>
      <c r="J24" s="6">
        <f>Summary!J24</f>
        <v/>
      </c>
      <c r="K24" s="6">
        <f>Summary!K24</f>
        <v/>
      </c>
      <c r="L24" s="6">
        <f>Summary!L24</f>
        <v/>
      </c>
      <c r="M24" s="6">
        <f>Summary!M24</f>
        <v/>
      </c>
      <c r="N24" s="6">
        <f>Summary!N24</f>
        <v/>
      </c>
      <c r="O24" s="6">
        <f>Summary!O24</f>
        <v/>
      </c>
      <c r="P24" s="6">
        <f>Summary!P24</f>
        <v/>
      </c>
      <c r="Q24" s="6">
        <f>Summary!Q24</f>
        <v/>
      </c>
      <c r="R24" s="6">
        <f>Summary!R24</f>
        <v/>
      </c>
      <c r="S24" s="6">
        <f>Summary!S24</f>
        <v/>
      </c>
      <c r="T24" s="6">
        <f>Summary!T24</f>
        <v/>
      </c>
      <c r="U24" s="6">
        <f>Summary!U24</f>
        <v/>
      </c>
      <c r="V24" s="6">
        <f>Summary!V24</f>
        <v/>
      </c>
      <c r="W24" s="6">
        <f>Summary!W24</f>
        <v/>
      </c>
      <c r="X24" s="6">
        <f>Summary!X24</f>
        <v/>
      </c>
      <c r="Y24" s="6">
        <f>Summary!Y24</f>
        <v/>
      </c>
      <c r="Z24" s="6">
        <f>Summary!Z24</f>
        <v/>
      </c>
      <c r="AA24" s="6">
        <f>Summary!AA24</f>
        <v/>
      </c>
      <c r="AB24" s="6">
        <f>SUM(D24:AA24)</f>
        <v/>
      </c>
      <c r="AC24" s="3" t="inlineStr"/>
      <c r="AD24" s="7">
        <f>F24*0.0004002+E24*0.0004002</f>
        <v/>
      </c>
      <c r="AE24" s="7">
        <f>G24*0.0004002+F24*0.0004002</f>
        <v/>
      </c>
      <c r="AF24" s="7">
        <f>H24*0.0004002+G24*0.0004002</f>
        <v/>
      </c>
      <c r="AG24" s="7">
        <f>I24*0.0004002+H24*0.0004002</f>
        <v/>
      </c>
      <c r="AH24" s="7">
        <f>J24*0.0004002+I24*0.0004002</f>
        <v/>
      </c>
      <c r="AI24" s="7">
        <f>K24*0.0004002+J24*0.0004002</f>
        <v/>
      </c>
      <c r="AJ24" s="7">
        <f>L24*0.0004002+K24*0.0004002</f>
        <v/>
      </c>
      <c r="AK24" s="7">
        <f>M24*0.0004002+L24*0.0004002</f>
        <v/>
      </c>
      <c r="AL24" s="7">
        <f>N24*0.0004002+M24*0.0004002</f>
        <v/>
      </c>
      <c r="AM24" s="7">
        <f>O24*0.0004002+N24*0.0004002</f>
        <v/>
      </c>
      <c r="AN24" s="7">
        <f>P24*0.0004002+O24*0.0004002</f>
        <v/>
      </c>
      <c r="AO24" s="7">
        <f>Q24*0.0004002+P24*0.0004002</f>
        <v/>
      </c>
      <c r="AP24" s="7">
        <f>R24*0.0004002+Q24*0.0004002</f>
        <v/>
      </c>
      <c r="AQ24" s="7">
        <f>S24*0.0004002+R24*0.0004002</f>
        <v/>
      </c>
      <c r="AR24" s="7">
        <f>T24*0.0004002+S24*0.0004002</f>
        <v/>
      </c>
      <c r="AS24" s="7">
        <f>U24*0.0004002+T24*0.0004002</f>
        <v/>
      </c>
      <c r="AT24" s="7">
        <f>V24*0.0004002+U24*0.0004002</f>
        <v/>
      </c>
      <c r="AU24" s="7">
        <f>W24*0.0004002+V24*0.0004002</f>
        <v/>
      </c>
      <c r="AV24" s="7">
        <f>X24*0.0004002+W24*0.0004002</f>
        <v/>
      </c>
      <c r="AW24" s="7">
        <f>Y24*0.0004002+X24*0.0004002</f>
        <v/>
      </c>
      <c r="AX24" s="7">
        <f>Z24*0.0004002+Y24*0.0004002</f>
        <v/>
      </c>
      <c r="AY24" s="7">
        <f>AA24*0.0004002+Z24*0.0004002</f>
        <v/>
      </c>
      <c r="AZ24" s="7">
        <f>D24*0.0004002+AA24*0.0004002</f>
        <v/>
      </c>
      <c r="BA24" s="7">
        <f>E24*0.0004002+D24*0.0004002</f>
        <v/>
      </c>
      <c r="BB24" s="7">
        <f>SUM(AD24:BA24)</f>
        <v/>
      </c>
    </row>
    <row r="25">
      <c r="A25" t="inlineStr">
        <is>
          <t>AMD-EXPR</t>
        </is>
      </c>
      <c r="B25" t="inlineStr">
        <is>
          <t>DSC Manual</t>
        </is>
      </c>
      <c r="C25" s="5" t="n">
        <v>46105</v>
      </c>
      <c r="D25" s="6">
        <f>Summary!D25</f>
        <v/>
      </c>
      <c r="E25" s="6">
        <f>Summary!E25</f>
        <v/>
      </c>
      <c r="F25" s="6">
        <f>Summary!F25</f>
        <v/>
      </c>
      <c r="G25" s="6">
        <f>Summary!G25</f>
        <v/>
      </c>
      <c r="H25" s="6">
        <f>Summary!H25</f>
        <v/>
      </c>
      <c r="I25" s="6">
        <f>Summary!I25</f>
        <v/>
      </c>
      <c r="J25" s="6">
        <f>Summary!J25</f>
        <v/>
      </c>
      <c r="K25" s="6">
        <f>Summary!K25</f>
        <v/>
      </c>
      <c r="L25" s="6">
        <f>Summary!L25</f>
        <v/>
      </c>
      <c r="M25" s="6">
        <f>Summary!M25</f>
        <v/>
      </c>
      <c r="N25" s="6">
        <f>Summary!N25</f>
        <v/>
      </c>
      <c r="O25" s="6">
        <f>Summary!O25</f>
        <v/>
      </c>
      <c r="P25" s="6">
        <f>Summary!P25</f>
        <v/>
      </c>
      <c r="Q25" s="6">
        <f>Summary!Q25</f>
        <v/>
      </c>
      <c r="R25" s="6">
        <f>Summary!R25</f>
        <v/>
      </c>
      <c r="S25" s="6">
        <f>Summary!S25</f>
        <v/>
      </c>
      <c r="T25" s="6">
        <f>Summary!T25</f>
        <v/>
      </c>
      <c r="U25" s="6">
        <f>Summary!U25</f>
        <v/>
      </c>
      <c r="V25" s="6">
        <f>Summary!V25</f>
        <v/>
      </c>
      <c r="W25" s="6">
        <f>Summary!W25</f>
        <v/>
      </c>
      <c r="X25" s="6">
        <f>Summary!X25</f>
        <v/>
      </c>
      <c r="Y25" s="6">
        <f>Summary!Y25</f>
        <v/>
      </c>
      <c r="Z25" s="6">
        <f>Summary!Z25</f>
        <v/>
      </c>
      <c r="AA25" s="6">
        <f>Summary!AA25</f>
        <v/>
      </c>
      <c r="AB25" s="6">
        <f>SUM(D25:AA25)</f>
        <v/>
      </c>
      <c r="AC25" s="3" t="inlineStr"/>
      <c r="AD25" s="7">
        <f>F25*0.0004002+E25*0.0004002</f>
        <v/>
      </c>
      <c r="AE25" s="7">
        <f>G25*0.0004002+F25*0.0004002</f>
        <v/>
      </c>
      <c r="AF25" s="7">
        <f>H25*0.0004002+G25*0.0004002</f>
        <v/>
      </c>
      <c r="AG25" s="7">
        <f>I25*0.0004002+H25*0.0004002</f>
        <v/>
      </c>
      <c r="AH25" s="7">
        <f>J25*0.0004002+I25*0.0004002</f>
        <v/>
      </c>
      <c r="AI25" s="7">
        <f>K25*0.0004002+J25*0.0004002</f>
        <v/>
      </c>
      <c r="AJ25" s="7">
        <f>L25*0.0004002+K25*0.0004002</f>
        <v/>
      </c>
      <c r="AK25" s="7">
        <f>M25*0.0004002+L25*0.0004002</f>
        <v/>
      </c>
      <c r="AL25" s="7">
        <f>N25*0.0004002+M25*0.0004002</f>
        <v/>
      </c>
      <c r="AM25" s="7">
        <f>O25*0.0004002+N25*0.0004002</f>
        <v/>
      </c>
      <c r="AN25" s="7">
        <f>P25*0.0004002+O25*0.0004002</f>
        <v/>
      </c>
      <c r="AO25" s="7">
        <f>Q25*0.0004002+P25*0.0004002</f>
        <v/>
      </c>
      <c r="AP25" s="7">
        <f>R25*0.0004002+Q25*0.0004002</f>
        <v/>
      </c>
      <c r="AQ25" s="7">
        <f>S25*0.0004002+R25*0.0004002</f>
        <v/>
      </c>
      <c r="AR25" s="7">
        <f>T25*0.0004002+S25*0.0004002</f>
        <v/>
      </c>
      <c r="AS25" s="7">
        <f>U25*0.0004002+T25*0.0004002</f>
        <v/>
      </c>
      <c r="AT25" s="7">
        <f>V25*0.0004002+U25*0.0004002</f>
        <v/>
      </c>
      <c r="AU25" s="7">
        <f>W25*0.0004002+V25*0.0004002</f>
        <v/>
      </c>
      <c r="AV25" s="7">
        <f>X25*0.0004002+W25*0.0004002</f>
        <v/>
      </c>
      <c r="AW25" s="7">
        <f>Y25*0.0004002+X25*0.0004002</f>
        <v/>
      </c>
      <c r="AX25" s="7">
        <f>Z25*0.0004002+Y25*0.0004002</f>
        <v/>
      </c>
      <c r="AY25" s="7">
        <f>AA25*0.0004002+Z25*0.0004002</f>
        <v/>
      </c>
      <c r="AZ25" s="7">
        <f>D25*0.0004002+AA25*0.0004002</f>
        <v/>
      </c>
      <c r="BA25" s="7">
        <f>E25*0.0004002+D25*0.0004002</f>
        <v/>
      </c>
      <c r="BB25" s="7">
        <f>SUM(AD25:BA25)</f>
        <v/>
      </c>
    </row>
    <row r="26">
      <c r="A26" t="inlineStr">
        <is>
          <t>AMD-FK-SSC</t>
        </is>
      </c>
      <c r="B26" t="inlineStr">
        <is>
          <t>Prime at Client side</t>
        </is>
      </c>
      <c r="C26" s="5" t="n">
        <v>46089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>
        <f>SUM(D26:AA26)</f>
        <v/>
      </c>
      <c r="AC26" s="3" t="inlineStr"/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7" t="n">
        <v>0</v>
      </c>
      <c r="BB26" s="7">
        <f>SUM(AD26:BA26)</f>
        <v/>
      </c>
    </row>
    <row r="27">
      <c r="A27" t="inlineStr">
        <is>
          <t>AMD-FK-SSC</t>
        </is>
      </c>
      <c r="B27" t="inlineStr">
        <is>
          <t>Prime at Client side</t>
        </is>
      </c>
      <c r="C27" s="5" t="n">
        <v>46090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>
        <f>SUM(D27:AA27)</f>
        <v/>
      </c>
      <c r="AC27" s="3" t="inlineStr"/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7" t="n">
        <v>0</v>
      </c>
      <c r="BB27" s="7">
        <f>SUM(AD27:BA27)</f>
        <v/>
      </c>
    </row>
    <row r="28">
      <c r="A28" t="inlineStr">
        <is>
          <t>AMD-FK-SSC</t>
        </is>
      </c>
      <c r="B28" t="inlineStr">
        <is>
          <t>Prime at Client side</t>
        </is>
      </c>
      <c r="C28" s="5" t="n">
        <v>46091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>
        <f>SUM(D28:AA28)</f>
        <v/>
      </c>
      <c r="AC28" s="3" t="inlineStr"/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7" t="n">
        <v>0</v>
      </c>
      <c r="BB28" s="7">
        <f>SUM(AD28:BA28)</f>
        <v/>
      </c>
    </row>
    <row r="29">
      <c r="A29" t="inlineStr">
        <is>
          <t>AMD-FK-SSC</t>
        </is>
      </c>
      <c r="B29" t="inlineStr">
        <is>
          <t>Prime at Client side</t>
        </is>
      </c>
      <c r="C29" s="5" t="n">
        <v>46092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>
        <f>SUM(D29:AA29)</f>
        <v/>
      </c>
      <c r="AC29" s="3" t="inlineStr"/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7" t="n">
        <v>0</v>
      </c>
      <c r="AQ29" s="7" t="n">
        <v>0</v>
      </c>
      <c r="AR29" s="7" t="n">
        <v>0</v>
      </c>
      <c r="AS29" s="7" t="n">
        <v>0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0</v>
      </c>
      <c r="BA29" s="7" t="n">
        <v>0</v>
      </c>
      <c r="BB29" s="7">
        <f>SUM(AD29:BA29)</f>
        <v/>
      </c>
    </row>
    <row r="30">
      <c r="A30" t="inlineStr">
        <is>
          <t>AMD-FK-SSC</t>
        </is>
      </c>
      <c r="B30" t="inlineStr">
        <is>
          <t>Prime at Client side</t>
        </is>
      </c>
      <c r="C30" s="5" t="n">
        <v>46093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>
        <f>SUM(D30:AA30)</f>
        <v/>
      </c>
      <c r="AC30" s="3" t="inlineStr"/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0</v>
      </c>
      <c r="AS30" s="7" t="n">
        <v>0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7" t="n">
        <v>0</v>
      </c>
      <c r="BB30" s="7">
        <f>SUM(AD30:BA30)</f>
        <v/>
      </c>
    </row>
    <row r="31">
      <c r="A31" t="inlineStr">
        <is>
          <t>AMD-FK-SSC</t>
        </is>
      </c>
      <c r="B31" t="inlineStr">
        <is>
          <t>Prime at Client side</t>
        </is>
      </c>
      <c r="C31" s="5" t="n">
        <v>46094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>
        <f>SUM(D31:AA31)</f>
        <v/>
      </c>
      <c r="AC31" s="3" t="inlineStr"/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0</v>
      </c>
      <c r="AT31" s="7" t="n">
        <v>0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0</v>
      </c>
      <c r="BA31" s="7" t="n">
        <v>0</v>
      </c>
      <c r="BB31" s="7">
        <f>SUM(AD31:BA31)</f>
        <v/>
      </c>
    </row>
    <row r="32">
      <c r="A32" t="inlineStr">
        <is>
          <t>AMD-FK-SSC</t>
        </is>
      </c>
      <c r="B32" t="inlineStr">
        <is>
          <t>Prime at Client side</t>
        </is>
      </c>
      <c r="C32" s="5" t="n">
        <v>46095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>
        <f>SUM(D32:AA32)</f>
        <v/>
      </c>
      <c r="AC32" s="3" t="inlineStr"/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7" t="n">
        <v>0</v>
      </c>
      <c r="BB32" s="7">
        <f>SUM(AD32:BA32)</f>
        <v/>
      </c>
    </row>
    <row r="33">
      <c r="A33" t="inlineStr">
        <is>
          <t>AMD-FK-SSC</t>
        </is>
      </c>
      <c r="B33" t="inlineStr">
        <is>
          <t>Prime at Client side</t>
        </is>
      </c>
      <c r="C33" s="5" t="n">
        <v>46096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6">
        <f>SUM(D33:AA33)</f>
        <v/>
      </c>
      <c r="AC33" s="3" t="inlineStr"/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0</v>
      </c>
      <c r="AS33" s="7" t="n">
        <v>0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7" t="n">
        <v>0</v>
      </c>
      <c r="BB33" s="7">
        <f>SUM(AD33:BA33)</f>
        <v/>
      </c>
    </row>
    <row r="34">
      <c r="A34" t="inlineStr">
        <is>
          <t>AMD-FK-SSC</t>
        </is>
      </c>
      <c r="B34" t="inlineStr">
        <is>
          <t>Prime at Client side</t>
        </is>
      </c>
      <c r="C34" s="5" t="n">
        <v>46097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>
        <f>SUM(D34:AA34)</f>
        <v/>
      </c>
      <c r="AC34" s="3" t="inlineStr"/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7" t="n">
        <v>0</v>
      </c>
      <c r="BB34" s="7">
        <f>SUM(AD34:BA34)</f>
        <v/>
      </c>
    </row>
    <row r="35">
      <c r="A35" t="inlineStr">
        <is>
          <t>AMD-FK-SSC</t>
        </is>
      </c>
      <c r="B35" t="inlineStr">
        <is>
          <t>Prime at Client side</t>
        </is>
      </c>
      <c r="C35" s="5" t="n">
        <v>46098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>
        <f>SUM(D35:AA35)</f>
        <v/>
      </c>
      <c r="AC35" s="3" t="inlineStr"/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7" t="n">
        <v>0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0</v>
      </c>
      <c r="BA35" s="7" t="n">
        <v>0</v>
      </c>
      <c r="BB35" s="7">
        <f>SUM(AD35:BA35)</f>
        <v/>
      </c>
    </row>
    <row r="36">
      <c r="A36" t="inlineStr">
        <is>
          <t>AMD-FK-SSC</t>
        </is>
      </c>
      <c r="B36" t="inlineStr">
        <is>
          <t>Prime at Client side</t>
        </is>
      </c>
      <c r="C36" s="5" t="n">
        <v>46099</v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>
        <f>SUM(D36:AA36)</f>
        <v/>
      </c>
      <c r="AC36" s="3" t="inlineStr"/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0</v>
      </c>
      <c r="AT36" s="7" t="n">
        <v>0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0</v>
      </c>
      <c r="BA36" s="7" t="n">
        <v>0</v>
      </c>
      <c r="BB36" s="7">
        <f>SUM(AD36:BA36)</f>
        <v/>
      </c>
    </row>
    <row r="37">
      <c r="A37" t="inlineStr">
        <is>
          <t>AMD-FK-SSC</t>
        </is>
      </c>
      <c r="B37" t="inlineStr">
        <is>
          <t>Prime at Client side</t>
        </is>
      </c>
      <c r="C37" s="5" t="n">
        <v>46100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>
        <f>SUM(D37:AA37)</f>
        <v/>
      </c>
      <c r="AC37" s="3" t="inlineStr"/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0</v>
      </c>
      <c r="AP37" s="7" t="n">
        <v>0</v>
      </c>
      <c r="AQ37" s="7" t="n">
        <v>0</v>
      </c>
      <c r="AR37" s="7" t="n">
        <v>0</v>
      </c>
      <c r="AS37" s="7" t="n">
        <v>0</v>
      </c>
      <c r="AT37" s="7" t="n">
        <v>0</v>
      </c>
      <c r="AU37" s="7" t="n">
        <v>0</v>
      </c>
      <c r="AV37" s="7" t="n">
        <v>0</v>
      </c>
      <c r="AW37" s="7" t="n">
        <v>0</v>
      </c>
      <c r="AX37" s="7" t="n">
        <v>0</v>
      </c>
      <c r="AY37" s="7" t="n">
        <v>0</v>
      </c>
      <c r="AZ37" s="7" t="n">
        <v>0</v>
      </c>
      <c r="BA37" s="7" t="n">
        <v>0</v>
      </c>
      <c r="BB37" s="7">
        <f>SUM(AD37:BA37)</f>
        <v/>
      </c>
    </row>
    <row r="38">
      <c r="A38" t="inlineStr">
        <is>
          <t>AMD-FK-SSC</t>
        </is>
      </c>
      <c r="B38" t="inlineStr">
        <is>
          <t>Prime at Client side</t>
        </is>
      </c>
      <c r="C38" s="5" t="n">
        <v>46101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0</v>
      </c>
      <c r="Q38" s="6" t="n">
        <v>0</v>
      </c>
      <c r="R38" s="6" t="n">
        <v>0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>
        <f>SUM(D38:AA38)</f>
        <v/>
      </c>
      <c r="AC38" s="3" t="inlineStr"/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0</v>
      </c>
      <c r="AP38" s="7" t="n">
        <v>0</v>
      </c>
      <c r="AQ38" s="7" t="n">
        <v>0</v>
      </c>
      <c r="AR38" s="7" t="n">
        <v>0</v>
      </c>
      <c r="AS38" s="7" t="n">
        <v>0</v>
      </c>
      <c r="AT38" s="7" t="n">
        <v>0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0</v>
      </c>
      <c r="BA38" s="7" t="n">
        <v>0</v>
      </c>
      <c r="BB38" s="7">
        <f>SUM(AD38:BA38)</f>
        <v/>
      </c>
    </row>
    <row r="39">
      <c r="A39" t="inlineStr">
        <is>
          <t>AMD-FK-SSC</t>
        </is>
      </c>
      <c r="B39" t="inlineStr">
        <is>
          <t>Prime at Client side</t>
        </is>
      </c>
      <c r="C39" s="5" t="n">
        <v>46102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>
        <f>SUM(D39:AA39)</f>
        <v/>
      </c>
      <c r="AC39" s="3" t="inlineStr"/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0</v>
      </c>
      <c r="AP39" s="7" t="n">
        <v>0</v>
      </c>
      <c r="AQ39" s="7" t="n">
        <v>0</v>
      </c>
      <c r="AR39" s="7" t="n">
        <v>0</v>
      </c>
      <c r="AS39" s="7" t="n">
        <v>0</v>
      </c>
      <c r="AT39" s="7" t="n">
        <v>0</v>
      </c>
      <c r="AU39" s="7" t="n">
        <v>0</v>
      </c>
      <c r="AV39" s="7" t="n">
        <v>0</v>
      </c>
      <c r="AW39" s="7" t="n">
        <v>0</v>
      </c>
      <c r="AX39" s="7" t="n">
        <v>0</v>
      </c>
      <c r="AY39" s="7" t="n">
        <v>0</v>
      </c>
      <c r="AZ39" s="7" t="n">
        <v>0</v>
      </c>
      <c r="BA39" s="7" t="n">
        <v>0</v>
      </c>
      <c r="BB39" s="7">
        <f>SUM(AD39:BA39)</f>
        <v/>
      </c>
    </row>
    <row r="40">
      <c r="A40" t="inlineStr">
        <is>
          <t>AMD-FK-SSC</t>
        </is>
      </c>
      <c r="B40" t="inlineStr">
        <is>
          <t>Prime at Client side</t>
        </is>
      </c>
      <c r="C40" s="5" t="n">
        <v>46103</v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0</v>
      </c>
      <c r="M40" s="6" t="n">
        <v>0</v>
      </c>
      <c r="N40" s="6" t="n">
        <v>0</v>
      </c>
      <c r="O40" s="6" t="n">
        <v>0</v>
      </c>
      <c r="P40" s="6" t="n">
        <v>0</v>
      </c>
      <c r="Q40" s="6" t="n">
        <v>0</v>
      </c>
      <c r="R40" s="6" t="n">
        <v>0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>
        <f>SUM(D40:AA40)</f>
        <v/>
      </c>
      <c r="AC40" s="3" t="inlineStr"/>
      <c r="AD40" s="7" t="n">
        <v>0</v>
      </c>
      <c r="AE40" s="7" t="n">
        <v>0</v>
      </c>
      <c r="AF40" s="7" t="n">
        <v>0</v>
      </c>
      <c r="AG40" s="7" t="n">
        <v>0</v>
      </c>
      <c r="AH40" s="7" t="n">
        <v>0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0</v>
      </c>
      <c r="AS40" s="7" t="n">
        <v>0</v>
      </c>
      <c r="AT40" s="7" t="n">
        <v>0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0</v>
      </c>
      <c r="BA40" s="7" t="n">
        <v>0</v>
      </c>
      <c r="BB40" s="7">
        <f>SUM(AD40:BA40)</f>
        <v/>
      </c>
    </row>
    <row r="41">
      <c r="A41" t="inlineStr">
        <is>
          <t>AMD-FK-SSC</t>
        </is>
      </c>
      <c r="B41" t="inlineStr">
        <is>
          <t>Prime at Client side</t>
        </is>
      </c>
      <c r="C41" s="5" t="n">
        <v>46104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>
        <f>SUM(D41:AA41)</f>
        <v/>
      </c>
      <c r="AC41" s="3" t="inlineStr"/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</v>
      </c>
      <c r="AP41" s="7" t="n">
        <v>0</v>
      </c>
      <c r="AQ41" s="7" t="n">
        <v>0</v>
      </c>
      <c r="AR41" s="7" t="n">
        <v>0</v>
      </c>
      <c r="AS41" s="7" t="n">
        <v>0</v>
      </c>
      <c r="AT41" s="7" t="n">
        <v>0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0</v>
      </c>
      <c r="BA41" s="7" t="n">
        <v>0</v>
      </c>
      <c r="BB41" s="7">
        <f>SUM(AD41:BA41)</f>
        <v/>
      </c>
    </row>
    <row r="42">
      <c r="A42" t="inlineStr">
        <is>
          <t>AMD-FK-SSC</t>
        </is>
      </c>
      <c r="B42" t="inlineStr">
        <is>
          <t>Prime at Client side</t>
        </is>
      </c>
      <c r="C42" s="5" t="n">
        <v>46105</v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6" t="n">
        <v>0</v>
      </c>
      <c r="N42" s="6" t="n">
        <v>0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>
        <f>SUM(D42:AA42)</f>
        <v/>
      </c>
      <c r="AC42" s="3" t="inlineStr"/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7" t="n">
        <v>0</v>
      </c>
      <c r="BB42" s="7">
        <f>SUM(AD42:BA42)</f>
        <v/>
      </c>
    </row>
    <row r="43">
      <c r="A43" t="inlineStr">
        <is>
          <t>AMD-FWDPRI-SSC</t>
        </is>
      </c>
      <c r="B43" t="inlineStr">
        <is>
          <t>FWD Priority OSC</t>
        </is>
      </c>
      <c r="C43" s="5" t="n">
        <v>46098</v>
      </c>
      <c r="D43" s="6">
        <f>Summary!D43</f>
        <v/>
      </c>
      <c r="E43" s="6">
        <f>Summary!E43</f>
        <v/>
      </c>
      <c r="F43" s="6">
        <f>Summary!F43</f>
        <v/>
      </c>
      <c r="G43" s="6">
        <f>Summary!G43</f>
        <v/>
      </c>
      <c r="H43" s="6">
        <f>Summary!H43</f>
        <v/>
      </c>
      <c r="I43" s="6">
        <f>Summary!I43</f>
        <v/>
      </c>
      <c r="J43" s="6">
        <f>Summary!J43</f>
        <v/>
      </c>
      <c r="K43" s="6">
        <f>Summary!K43</f>
        <v/>
      </c>
      <c r="L43" s="6">
        <f>Summary!L43</f>
        <v/>
      </c>
      <c r="M43" s="6">
        <f>Summary!M43</f>
        <v/>
      </c>
      <c r="N43" s="6">
        <f>Summary!N43</f>
        <v/>
      </c>
      <c r="O43" s="6">
        <f>Summary!O43</f>
        <v/>
      </c>
      <c r="P43" s="6">
        <f>Summary!P43</f>
        <v/>
      </c>
      <c r="Q43" s="6">
        <f>Summary!Q43</f>
        <v/>
      </c>
      <c r="R43" s="6">
        <f>Summary!R43</f>
        <v/>
      </c>
      <c r="S43" s="6">
        <f>Summary!S43</f>
        <v/>
      </c>
      <c r="T43" s="6">
        <f>Summary!T43</f>
        <v/>
      </c>
      <c r="U43" s="6">
        <f>Summary!U43</f>
        <v/>
      </c>
      <c r="V43" s="6">
        <f>Summary!V43</f>
        <v/>
      </c>
      <c r="W43" s="6">
        <f>Summary!W43</f>
        <v/>
      </c>
      <c r="X43" s="6">
        <f>Summary!X43</f>
        <v/>
      </c>
      <c r="Y43" s="6">
        <f>Summary!Y43</f>
        <v/>
      </c>
      <c r="Z43" s="6">
        <f>Summary!Z43</f>
        <v/>
      </c>
      <c r="AA43" s="6">
        <f>Summary!AA43</f>
        <v/>
      </c>
      <c r="AB43" s="6">
        <f>SUM(D43:AA43)</f>
        <v/>
      </c>
      <c r="AC43" s="3" t="inlineStr"/>
      <c r="AD43" s="7">
        <f>F43*0.0004002+E43*0.0004002</f>
        <v/>
      </c>
      <c r="AE43" s="7">
        <f>G43*0.0004002+F43*0.0004002</f>
        <v/>
      </c>
      <c r="AF43" s="7">
        <f>H43*0.0004002+G43*0.0004002</f>
        <v/>
      </c>
      <c r="AG43" s="7">
        <f>I43*0.0004002+H43*0.0004002</f>
        <v/>
      </c>
      <c r="AH43" s="7">
        <f>J43*0.0004002+I43*0.0004002</f>
        <v/>
      </c>
      <c r="AI43" s="7">
        <f>K43*0.0004002+J43*0.0004002</f>
        <v/>
      </c>
      <c r="AJ43" s="7">
        <f>L43*0.0004002+K43*0.0004002</f>
        <v/>
      </c>
      <c r="AK43" s="7">
        <f>M43*0.0004002+L43*0.0004002</f>
        <v/>
      </c>
      <c r="AL43" s="7">
        <f>N43*0.0004002+M43*0.0004002</f>
        <v/>
      </c>
      <c r="AM43" s="7">
        <f>O43*0.0004002+N43*0.0004002</f>
        <v/>
      </c>
      <c r="AN43" s="7">
        <f>P43*0.0004002+O43*0.0004002</f>
        <v/>
      </c>
      <c r="AO43" s="7">
        <f>Q43*0.0004002+P43*0.0004002</f>
        <v/>
      </c>
      <c r="AP43" s="7">
        <f>R43*0.0004002+Q43*0.0004002</f>
        <v/>
      </c>
      <c r="AQ43" s="7">
        <f>S43*0.0004002+R43*0.0004002</f>
        <v/>
      </c>
      <c r="AR43" s="7">
        <f>T43*0.0004002+S43*0.0004002</f>
        <v/>
      </c>
      <c r="AS43" s="7">
        <f>U43*0.0004002+T43*0.0004002</f>
        <v/>
      </c>
      <c r="AT43" s="7">
        <f>V43*0.0004002+U43*0.0004002</f>
        <v/>
      </c>
      <c r="AU43" s="7">
        <f>W43*0.0004002+V43*0.0004002</f>
        <v/>
      </c>
      <c r="AV43" s="7">
        <f>X43*0.0004002+W43*0.0004002</f>
        <v/>
      </c>
      <c r="AW43" s="7">
        <f>Y43*0.0004002+X43*0.0004002</f>
        <v/>
      </c>
      <c r="AX43" s="7">
        <f>Z43*0.0004002+Y43*0.0004002</f>
        <v/>
      </c>
      <c r="AY43" s="7">
        <f>AA43*0.0004002+Z43*0.0004002</f>
        <v/>
      </c>
      <c r="AZ43" s="7">
        <f>D43*0.0004002+AA43*0.0004002</f>
        <v/>
      </c>
      <c r="BA43" s="7">
        <f>E43*0.0004002+D43*0.0004002</f>
        <v/>
      </c>
      <c r="BB43" s="7">
        <f>SUM(AD43:BA43)</f>
        <v/>
      </c>
    </row>
    <row r="44">
      <c r="A44" t="inlineStr">
        <is>
          <t>AMD-FWDPRI-SSC</t>
        </is>
      </c>
      <c r="B44" t="inlineStr">
        <is>
          <t>FWD Priority OSC</t>
        </is>
      </c>
      <c r="C44" s="5" t="n">
        <v>46099</v>
      </c>
      <c r="D44" s="6">
        <f>Summary!D44</f>
        <v/>
      </c>
      <c r="E44" s="6">
        <f>Summary!E44</f>
        <v/>
      </c>
      <c r="F44" s="6">
        <f>Summary!F44</f>
        <v/>
      </c>
      <c r="G44" s="6">
        <f>Summary!G44</f>
        <v/>
      </c>
      <c r="H44" s="6">
        <f>Summary!H44</f>
        <v/>
      </c>
      <c r="I44" s="6">
        <f>Summary!I44</f>
        <v/>
      </c>
      <c r="J44" s="6">
        <f>Summary!J44</f>
        <v/>
      </c>
      <c r="K44" s="6">
        <f>Summary!K44</f>
        <v/>
      </c>
      <c r="L44" s="6">
        <f>Summary!L44</f>
        <v/>
      </c>
      <c r="M44" s="6">
        <f>Summary!M44</f>
        <v/>
      </c>
      <c r="N44" s="6">
        <f>Summary!N44</f>
        <v/>
      </c>
      <c r="O44" s="6">
        <f>Summary!O44</f>
        <v/>
      </c>
      <c r="P44" s="6">
        <f>Summary!P44</f>
        <v/>
      </c>
      <c r="Q44" s="6">
        <f>Summary!Q44</f>
        <v/>
      </c>
      <c r="R44" s="6">
        <f>Summary!R44</f>
        <v/>
      </c>
      <c r="S44" s="6">
        <f>Summary!S44</f>
        <v/>
      </c>
      <c r="T44" s="6">
        <f>Summary!T44</f>
        <v/>
      </c>
      <c r="U44" s="6">
        <f>Summary!U44</f>
        <v/>
      </c>
      <c r="V44" s="6">
        <f>Summary!V44</f>
        <v/>
      </c>
      <c r="W44" s="6">
        <f>Summary!W44</f>
        <v/>
      </c>
      <c r="X44" s="6">
        <f>Summary!X44</f>
        <v/>
      </c>
      <c r="Y44" s="6">
        <f>Summary!Y44</f>
        <v/>
      </c>
      <c r="Z44" s="6">
        <f>Summary!Z44</f>
        <v/>
      </c>
      <c r="AA44" s="6">
        <f>Summary!AA44</f>
        <v/>
      </c>
      <c r="AB44" s="6">
        <f>SUM(D44:AA44)</f>
        <v/>
      </c>
      <c r="AC44" s="3" t="inlineStr"/>
      <c r="AD44" s="7">
        <f>F44*0.0004002+E44*0.0004002</f>
        <v/>
      </c>
      <c r="AE44" s="7">
        <f>G44*0.0004002+F44*0.0004002</f>
        <v/>
      </c>
      <c r="AF44" s="7">
        <f>H44*0.0004002+G44*0.0004002</f>
        <v/>
      </c>
      <c r="AG44" s="7">
        <f>I44*0.0004002+H44*0.0004002</f>
        <v/>
      </c>
      <c r="AH44" s="7">
        <f>J44*0.0004002+I44*0.0004002</f>
        <v/>
      </c>
      <c r="AI44" s="7">
        <f>K44*0.0004002+J44*0.0004002</f>
        <v/>
      </c>
      <c r="AJ44" s="7">
        <f>L44*0.0004002+K44*0.0004002</f>
        <v/>
      </c>
      <c r="AK44" s="7">
        <f>M44*0.0004002+L44*0.0004002</f>
        <v/>
      </c>
      <c r="AL44" s="7">
        <f>N44*0.0004002+M44*0.0004002</f>
        <v/>
      </c>
      <c r="AM44" s="7">
        <f>O44*0.0004002+N44*0.0004002</f>
        <v/>
      </c>
      <c r="AN44" s="7">
        <f>P44*0.0004002+O44*0.0004002</f>
        <v/>
      </c>
      <c r="AO44" s="7">
        <f>Q44*0.0004002+P44*0.0004002</f>
        <v/>
      </c>
      <c r="AP44" s="7">
        <f>R44*0.0004002+Q44*0.0004002</f>
        <v/>
      </c>
      <c r="AQ44" s="7">
        <f>S44*0.0004002+R44*0.0004002</f>
        <v/>
      </c>
      <c r="AR44" s="7">
        <f>T44*0.0004002+S44*0.0004002</f>
        <v/>
      </c>
      <c r="AS44" s="7">
        <f>U44*0.0004002+T44*0.0004002</f>
        <v/>
      </c>
      <c r="AT44" s="7">
        <f>V44*0.0004002+U44*0.0004002</f>
        <v/>
      </c>
      <c r="AU44" s="7">
        <f>W44*0.0004002+V44*0.0004002</f>
        <v/>
      </c>
      <c r="AV44" s="7">
        <f>X44*0.0004002+W44*0.0004002</f>
        <v/>
      </c>
      <c r="AW44" s="7">
        <f>Y44*0.0004002+X44*0.0004002</f>
        <v/>
      </c>
      <c r="AX44" s="7">
        <f>Z44*0.0004002+Y44*0.0004002</f>
        <v/>
      </c>
      <c r="AY44" s="7">
        <f>AA44*0.0004002+Z44*0.0004002</f>
        <v/>
      </c>
      <c r="AZ44" s="7">
        <f>D44*0.0004002+AA44*0.0004002</f>
        <v/>
      </c>
      <c r="BA44" s="7">
        <f>E44*0.0004002+D44*0.0004002</f>
        <v/>
      </c>
      <c r="BB44" s="7">
        <f>SUM(AD44:BA44)</f>
        <v/>
      </c>
    </row>
    <row r="45">
      <c r="A45" t="inlineStr">
        <is>
          <t>AMD-FWDPRI-SSC</t>
        </is>
      </c>
      <c r="B45" t="inlineStr">
        <is>
          <t>FWD Priority OSC</t>
        </is>
      </c>
      <c r="C45" s="5" t="n">
        <v>46100</v>
      </c>
      <c r="D45" s="6">
        <f>Summary!D45</f>
        <v/>
      </c>
      <c r="E45" s="6">
        <f>Summary!E45</f>
        <v/>
      </c>
      <c r="F45" s="6">
        <f>Summary!F45</f>
        <v/>
      </c>
      <c r="G45" s="6">
        <f>Summary!G45</f>
        <v/>
      </c>
      <c r="H45" s="6">
        <f>Summary!H45</f>
        <v/>
      </c>
      <c r="I45" s="6">
        <f>Summary!I45</f>
        <v/>
      </c>
      <c r="J45" s="6">
        <f>Summary!J45</f>
        <v/>
      </c>
      <c r="K45" s="6">
        <f>Summary!K45</f>
        <v/>
      </c>
      <c r="L45" s="6">
        <f>Summary!L45</f>
        <v/>
      </c>
      <c r="M45" s="6">
        <f>Summary!M45</f>
        <v/>
      </c>
      <c r="N45" s="6">
        <f>Summary!N45</f>
        <v/>
      </c>
      <c r="O45" s="6">
        <f>Summary!O45</f>
        <v/>
      </c>
      <c r="P45" s="6">
        <f>Summary!P45</f>
        <v/>
      </c>
      <c r="Q45" s="6">
        <f>Summary!Q45</f>
        <v/>
      </c>
      <c r="R45" s="6">
        <f>Summary!R45</f>
        <v/>
      </c>
      <c r="S45" s="6">
        <f>Summary!S45</f>
        <v/>
      </c>
      <c r="T45" s="6">
        <f>Summary!T45</f>
        <v/>
      </c>
      <c r="U45" s="6">
        <f>Summary!U45</f>
        <v/>
      </c>
      <c r="V45" s="6">
        <f>Summary!V45</f>
        <v/>
      </c>
      <c r="W45" s="6">
        <f>Summary!W45</f>
        <v/>
      </c>
      <c r="X45" s="6">
        <f>Summary!X45</f>
        <v/>
      </c>
      <c r="Y45" s="6">
        <f>Summary!Y45</f>
        <v/>
      </c>
      <c r="Z45" s="6">
        <f>Summary!Z45</f>
        <v/>
      </c>
      <c r="AA45" s="6">
        <f>Summary!AA45</f>
        <v/>
      </c>
      <c r="AB45" s="6">
        <f>SUM(D45:AA45)</f>
        <v/>
      </c>
      <c r="AC45" s="3" t="inlineStr"/>
      <c r="AD45" s="7">
        <f>F45*0.0004002+E45*0.0004002</f>
        <v/>
      </c>
      <c r="AE45" s="7">
        <f>G45*0.0004002+F45*0.0004002</f>
        <v/>
      </c>
      <c r="AF45" s="7">
        <f>H45*0.0004002+G45*0.0004002</f>
        <v/>
      </c>
      <c r="AG45" s="7">
        <f>I45*0.0004002+H45*0.0004002</f>
        <v/>
      </c>
      <c r="AH45" s="7">
        <f>J45*0.0004002+I45*0.0004002</f>
        <v/>
      </c>
      <c r="AI45" s="7">
        <f>K45*0.0004002+J45*0.0004002</f>
        <v/>
      </c>
      <c r="AJ45" s="7">
        <f>L45*0.0004002+K45*0.0004002</f>
        <v/>
      </c>
      <c r="AK45" s="7">
        <f>M45*0.0004002+L45*0.0004002</f>
        <v/>
      </c>
      <c r="AL45" s="7">
        <f>N45*0.0004002+M45*0.0004002</f>
        <v/>
      </c>
      <c r="AM45" s="7">
        <f>O45*0.0004002+N45*0.0004002</f>
        <v/>
      </c>
      <c r="AN45" s="7">
        <f>P45*0.0004002+O45*0.0004002</f>
        <v/>
      </c>
      <c r="AO45" s="7">
        <f>Q45*0.0004002+P45*0.0004002</f>
        <v/>
      </c>
      <c r="AP45" s="7">
        <f>R45*0.0004002+Q45*0.0004002</f>
        <v/>
      </c>
      <c r="AQ45" s="7">
        <f>S45*0.0004002+R45*0.0004002</f>
        <v/>
      </c>
      <c r="AR45" s="7">
        <f>T45*0.0004002+S45*0.0004002</f>
        <v/>
      </c>
      <c r="AS45" s="7">
        <f>U45*0.0004002+T45*0.0004002</f>
        <v/>
      </c>
      <c r="AT45" s="7">
        <f>V45*0.0004002+U45*0.0004002</f>
        <v/>
      </c>
      <c r="AU45" s="7">
        <f>W45*0.0004002+V45*0.0004002</f>
        <v/>
      </c>
      <c r="AV45" s="7">
        <f>X45*0.0004002+W45*0.0004002</f>
        <v/>
      </c>
      <c r="AW45" s="7">
        <f>Y45*0.0004002+X45*0.0004002</f>
        <v/>
      </c>
      <c r="AX45" s="7">
        <f>Z45*0.0004002+Y45*0.0004002</f>
        <v/>
      </c>
      <c r="AY45" s="7">
        <f>AA45*0.0004002+Z45*0.0004002</f>
        <v/>
      </c>
      <c r="AZ45" s="7">
        <f>D45*0.0004002+AA45*0.0004002</f>
        <v/>
      </c>
      <c r="BA45" s="7">
        <f>E45*0.0004002+D45*0.0004002</f>
        <v/>
      </c>
      <c r="BB45" s="7">
        <f>SUM(AD45:BA45)</f>
        <v/>
      </c>
    </row>
    <row r="46">
      <c r="A46" t="inlineStr">
        <is>
          <t>AMD-FWDPRI-SSC</t>
        </is>
      </c>
      <c r="B46" t="inlineStr">
        <is>
          <t>FWD Priority OSC</t>
        </is>
      </c>
      <c r="C46" s="5" t="n">
        <v>46101</v>
      </c>
      <c r="D46" s="6">
        <f>Summary!D46</f>
        <v/>
      </c>
      <c r="E46" s="6">
        <f>Summary!E46</f>
        <v/>
      </c>
      <c r="F46" s="6">
        <f>Summary!F46</f>
        <v/>
      </c>
      <c r="G46" s="6">
        <f>Summary!G46</f>
        <v/>
      </c>
      <c r="H46" s="6">
        <f>Summary!H46</f>
        <v/>
      </c>
      <c r="I46" s="6">
        <f>Summary!I46</f>
        <v/>
      </c>
      <c r="J46" s="6">
        <f>Summary!J46</f>
        <v/>
      </c>
      <c r="K46" s="6">
        <f>Summary!K46</f>
        <v/>
      </c>
      <c r="L46" s="6">
        <f>Summary!L46</f>
        <v/>
      </c>
      <c r="M46" s="6">
        <f>Summary!M46</f>
        <v/>
      </c>
      <c r="N46" s="6">
        <f>Summary!N46</f>
        <v/>
      </c>
      <c r="O46" s="6">
        <f>Summary!O46</f>
        <v/>
      </c>
      <c r="P46" s="6">
        <f>Summary!P46</f>
        <v/>
      </c>
      <c r="Q46" s="6">
        <f>Summary!Q46</f>
        <v/>
      </c>
      <c r="R46" s="6">
        <f>Summary!R46</f>
        <v/>
      </c>
      <c r="S46" s="6">
        <f>Summary!S46</f>
        <v/>
      </c>
      <c r="T46" s="6">
        <f>Summary!T46</f>
        <v/>
      </c>
      <c r="U46" s="6">
        <f>Summary!U46</f>
        <v/>
      </c>
      <c r="V46" s="6">
        <f>Summary!V46</f>
        <v/>
      </c>
      <c r="W46" s="6">
        <f>Summary!W46</f>
        <v/>
      </c>
      <c r="X46" s="6">
        <f>Summary!X46</f>
        <v/>
      </c>
      <c r="Y46" s="6">
        <f>Summary!Y46</f>
        <v/>
      </c>
      <c r="Z46" s="6">
        <f>Summary!Z46</f>
        <v/>
      </c>
      <c r="AA46" s="6">
        <f>Summary!AA46</f>
        <v/>
      </c>
      <c r="AB46" s="6">
        <f>SUM(D46:AA46)</f>
        <v/>
      </c>
      <c r="AC46" s="3" t="inlineStr"/>
      <c r="AD46" s="7">
        <f>F46*0.0004002+E46*0.0004002</f>
        <v/>
      </c>
      <c r="AE46" s="7">
        <f>G46*0.0004002+F46*0.0004002</f>
        <v/>
      </c>
      <c r="AF46" s="7">
        <f>H46*0.0004002+G46*0.0004002</f>
        <v/>
      </c>
      <c r="AG46" s="7">
        <f>I46*0.0004002+H46*0.0004002</f>
        <v/>
      </c>
      <c r="AH46" s="7">
        <f>J46*0.0004002+I46*0.0004002</f>
        <v/>
      </c>
      <c r="AI46" s="7">
        <f>K46*0.0004002+J46*0.0004002</f>
        <v/>
      </c>
      <c r="AJ46" s="7">
        <f>L46*0.0004002+K46*0.0004002</f>
        <v/>
      </c>
      <c r="AK46" s="7">
        <f>M46*0.0004002+L46*0.0004002</f>
        <v/>
      </c>
      <c r="AL46" s="7">
        <f>N46*0.0004002+M46*0.0004002</f>
        <v/>
      </c>
      <c r="AM46" s="7">
        <f>O46*0.0004002+N46*0.0004002</f>
        <v/>
      </c>
      <c r="AN46" s="7">
        <f>P46*0.0004002+O46*0.0004002</f>
        <v/>
      </c>
      <c r="AO46" s="7">
        <f>Q46*0.0004002+P46*0.0004002</f>
        <v/>
      </c>
      <c r="AP46" s="7">
        <f>R46*0.0004002+Q46*0.0004002</f>
        <v/>
      </c>
      <c r="AQ46" s="7">
        <f>S46*0.0004002+R46*0.0004002</f>
        <v/>
      </c>
      <c r="AR46" s="7">
        <f>T46*0.0004002+S46*0.0004002</f>
        <v/>
      </c>
      <c r="AS46" s="7">
        <f>U46*0.0004002+T46*0.0004002</f>
        <v/>
      </c>
      <c r="AT46" s="7">
        <f>V46*0.0004002+U46*0.0004002</f>
        <v/>
      </c>
      <c r="AU46" s="7">
        <f>W46*0.0004002+V46*0.0004002</f>
        <v/>
      </c>
      <c r="AV46" s="7">
        <f>X46*0.0004002+W46*0.0004002</f>
        <v/>
      </c>
      <c r="AW46" s="7">
        <f>Y46*0.0004002+X46*0.0004002</f>
        <v/>
      </c>
      <c r="AX46" s="7">
        <f>Z46*0.0004002+Y46*0.0004002</f>
        <v/>
      </c>
      <c r="AY46" s="7">
        <f>AA46*0.0004002+Z46*0.0004002</f>
        <v/>
      </c>
      <c r="AZ46" s="7">
        <f>D46*0.0004002+AA46*0.0004002</f>
        <v/>
      </c>
      <c r="BA46" s="7">
        <f>E46*0.0004002+D46*0.0004002</f>
        <v/>
      </c>
      <c r="BB46" s="7">
        <f>SUM(AD46:BA46)</f>
        <v/>
      </c>
    </row>
    <row r="47">
      <c r="A47" t="inlineStr">
        <is>
          <t>AMD-FWDPRI-SSC</t>
        </is>
      </c>
      <c r="B47" t="inlineStr">
        <is>
          <t>FWD Priority OSC</t>
        </is>
      </c>
      <c r="C47" s="5" t="n">
        <v>46102</v>
      </c>
      <c r="D47" s="6">
        <f>Summary!D47</f>
        <v/>
      </c>
      <c r="E47" s="6">
        <f>Summary!E47</f>
        <v/>
      </c>
      <c r="F47" s="6">
        <f>Summary!F47</f>
        <v/>
      </c>
      <c r="G47" s="6">
        <f>Summary!G47</f>
        <v/>
      </c>
      <c r="H47" s="6">
        <f>Summary!H47</f>
        <v/>
      </c>
      <c r="I47" s="6">
        <f>Summary!I47</f>
        <v/>
      </c>
      <c r="J47" s="6">
        <f>Summary!J47</f>
        <v/>
      </c>
      <c r="K47" s="6">
        <f>Summary!K47</f>
        <v/>
      </c>
      <c r="L47" s="6">
        <f>Summary!L47</f>
        <v/>
      </c>
      <c r="M47" s="6">
        <f>Summary!M47</f>
        <v/>
      </c>
      <c r="N47" s="6">
        <f>Summary!N47</f>
        <v/>
      </c>
      <c r="O47" s="6">
        <f>Summary!O47</f>
        <v/>
      </c>
      <c r="P47" s="6">
        <f>Summary!P47</f>
        <v/>
      </c>
      <c r="Q47" s="6">
        <f>Summary!Q47</f>
        <v/>
      </c>
      <c r="R47" s="6">
        <f>Summary!R47</f>
        <v/>
      </c>
      <c r="S47" s="6">
        <f>Summary!S47</f>
        <v/>
      </c>
      <c r="T47" s="6">
        <f>Summary!T47</f>
        <v/>
      </c>
      <c r="U47" s="6">
        <f>Summary!U47</f>
        <v/>
      </c>
      <c r="V47" s="6">
        <f>Summary!V47</f>
        <v/>
      </c>
      <c r="W47" s="6">
        <f>Summary!W47</f>
        <v/>
      </c>
      <c r="X47" s="6">
        <f>Summary!X47</f>
        <v/>
      </c>
      <c r="Y47" s="6">
        <f>Summary!Y47</f>
        <v/>
      </c>
      <c r="Z47" s="6">
        <f>Summary!Z47</f>
        <v/>
      </c>
      <c r="AA47" s="6">
        <f>Summary!AA47</f>
        <v/>
      </c>
      <c r="AB47" s="6">
        <f>SUM(D47:AA47)</f>
        <v/>
      </c>
      <c r="AC47" s="3" t="inlineStr"/>
      <c r="AD47" s="7">
        <f>F47*0.0004002+E47*0.0004002</f>
        <v/>
      </c>
      <c r="AE47" s="7">
        <f>G47*0.0004002+F47*0.0004002</f>
        <v/>
      </c>
      <c r="AF47" s="7">
        <f>H47*0.0004002+G47*0.0004002</f>
        <v/>
      </c>
      <c r="AG47" s="7">
        <f>I47*0.0004002+H47*0.0004002</f>
        <v/>
      </c>
      <c r="AH47" s="7">
        <f>J47*0.0004002+I47*0.0004002</f>
        <v/>
      </c>
      <c r="AI47" s="7">
        <f>K47*0.0004002+J47*0.0004002</f>
        <v/>
      </c>
      <c r="AJ47" s="7">
        <f>L47*0.0004002+K47*0.0004002</f>
        <v/>
      </c>
      <c r="AK47" s="7">
        <f>M47*0.0004002+L47*0.0004002</f>
        <v/>
      </c>
      <c r="AL47" s="7">
        <f>N47*0.0004002+M47*0.0004002</f>
        <v/>
      </c>
      <c r="AM47" s="7">
        <f>O47*0.0004002+N47*0.0004002</f>
        <v/>
      </c>
      <c r="AN47" s="7">
        <f>P47*0.0004002+O47*0.0004002</f>
        <v/>
      </c>
      <c r="AO47" s="7">
        <f>Q47*0.0004002+P47*0.0004002</f>
        <v/>
      </c>
      <c r="AP47" s="7">
        <f>R47*0.0004002+Q47*0.0004002</f>
        <v/>
      </c>
      <c r="AQ47" s="7">
        <f>S47*0.0004002+R47*0.0004002</f>
        <v/>
      </c>
      <c r="AR47" s="7">
        <f>T47*0.0004002+S47*0.0004002</f>
        <v/>
      </c>
      <c r="AS47" s="7">
        <f>U47*0.0004002+T47*0.0004002</f>
        <v/>
      </c>
      <c r="AT47" s="7">
        <f>V47*0.0004002+U47*0.0004002</f>
        <v/>
      </c>
      <c r="AU47" s="7">
        <f>W47*0.0004002+V47*0.0004002</f>
        <v/>
      </c>
      <c r="AV47" s="7">
        <f>X47*0.0004002+W47*0.0004002</f>
        <v/>
      </c>
      <c r="AW47" s="7">
        <f>Y47*0.0004002+X47*0.0004002</f>
        <v/>
      </c>
      <c r="AX47" s="7">
        <f>Z47*0.0004002+Y47*0.0004002</f>
        <v/>
      </c>
      <c r="AY47" s="7">
        <f>AA47*0.0004002+Z47*0.0004002</f>
        <v/>
      </c>
      <c r="AZ47" s="7">
        <f>D47*0.0004002+AA47*0.0004002</f>
        <v/>
      </c>
      <c r="BA47" s="7">
        <f>E47*0.0004002+D47*0.0004002</f>
        <v/>
      </c>
      <c r="BB47" s="7">
        <f>SUM(AD47:BA47)</f>
        <v/>
      </c>
    </row>
    <row r="48">
      <c r="A48" t="inlineStr">
        <is>
          <t>AMD-FWDPRI-SSC</t>
        </is>
      </c>
      <c r="B48" t="inlineStr">
        <is>
          <t>FWD Priority OSC</t>
        </is>
      </c>
      <c r="C48" s="5" t="n">
        <v>46103</v>
      </c>
      <c r="D48" s="6">
        <f>Summary!D48</f>
        <v/>
      </c>
      <c r="E48" s="6">
        <f>Summary!E48</f>
        <v/>
      </c>
      <c r="F48" s="6">
        <f>Summary!F48</f>
        <v/>
      </c>
      <c r="G48" s="6">
        <f>Summary!G48</f>
        <v/>
      </c>
      <c r="H48" s="6">
        <f>Summary!H48</f>
        <v/>
      </c>
      <c r="I48" s="6">
        <f>Summary!I48</f>
        <v/>
      </c>
      <c r="J48" s="6">
        <f>Summary!J48</f>
        <v/>
      </c>
      <c r="K48" s="6">
        <f>Summary!K48</f>
        <v/>
      </c>
      <c r="L48" s="6">
        <f>Summary!L48</f>
        <v/>
      </c>
      <c r="M48" s="6">
        <f>Summary!M48</f>
        <v/>
      </c>
      <c r="N48" s="6">
        <f>Summary!N48</f>
        <v/>
      </c>
      <c r="O48" s="6">
        <f>Summary!O48</f>
        <v/>
      </c>
      <c r="P48" s="6">
        <f>Summary!P48</f>
        <v/>
      </c>
      <c r="Q48" s="6">
        <f>Summary!Q48</f>
        <v/>
      </c>
      <c r="R48" s="6">
        <f>Summary!R48</f>
        <v/>
      </c>
      <c r="S48" s="6">
        <f>Summary!S48</f>
        <v/>
      </c>
      <c r="T48" s="6">
        <f>Summary!T48</f>
        <v/>
      </c>
      <c r="U48" s="6">
        <f>Summary!U48</f>
        <v/>
      </c>
      <c r="V48" s="6">
        <f>Summary!V48</f>
        <v/>
      </c>
      <c r="W48" s="6">
        <f>Summary!W48</f>
        <v/>
      </c>
      <c r="X48" s="6">
        <f>Summary!X48</f>
        <v/>
      </c>
      <c r="Y48" s="6">
        <f>Summary!Y48</f>
        <v/>
      </c>
      <c r="Z48" s="6">
        <f>Summary!Z48</f>
        <v/>
      </c>
      <c r="AA48" s="6">
        <f>Summary!AA48</f>
        <v/>
      </c>
      <c r="AB48" s="6">
        <f>SUM(D48:AA48)</f>
        <v/>
      </c>
      <c r="AC48" s="3" t="inlineStr"/>
      <c r="AD48" s="7">
        <f>F48*0.0004002+E48*0.0004002</f>
        <v/>
      </c>
      <c r="AE48" s="7">
        <f>G48*0.0004002+F48*0.0004002</f>
        <v/>
      </c>
      <c r="AF48" s="7">
        <f>H48*0.0004002+G48*0.0004002</f>
        <v/>
      </c>
      <c r="AG48" s="7">
        <f>I48*0.0004002+H48*0.0004002</f>
        <v/>
      </c>
      <c r="AH48" s="7">
        <f>J48*0.0004002+I48*0.0004002</f>
        <v/>
      </c>
      <c r="AI48" s="7">
        <f>K48*0.0004002+J48*0.0004002</f>
        <v/>
      </c>
      <c r="AJ48" s="7">
        <f>L48*0.0004002+K48*0.0004002</f>
        <v/>
      </c>
      <c r="AK48" s="7">
        <f>M48*0.0004002+L48*0.0004002</f>
        <v/>
      </c>
      <c r="AL48" s="7">
        <f>N48*0.0004002+M48*0.0004002</f>
        <v/>
      </c>
      <c r="AM48" s="7">
        <f>O48*0.0004002+N48*0.0004002</f>
        <v/>
      </c>
      <c r="AN48" s="7">
        <f>P48*0.0004002+O48*0.0004002</f>
        <v/>
      </c>
      <c r="AO48" s="7">
        <f>Q48*0.0004002+P48*0.0004002</f>
        <v/>
      </c>
      <c r="AP48" s="7">
        <f>R48*0.0004002+Q48*0.0004002</f>
        <v/>
      </c>
      <c r="AQ48" s="7">
        <f>S48*0.0004002+R48*0.0004002</f>
        <v/>
      </c>
      <c r="AR48" s="7">
        <f>T48*0.0004002+S48*0.0004002</f>
        <v/>
      </c>
      <c r="AS48" s="7">
        <f>U48*0.0004002+T48*0.0004002</f>
        <v/>
      </c>
      <c r="AT48" s="7">
        <f>V48*0.0004002+U48*0.0004002</f>
        <v/>
      </c>
      <c r="AU48" s="7">
        <f>W48*0.0004002+V48*0.0004002</f>
        <v/>
      </c>
      <c r="AV48" s="7">
        <f>X48*0.0004002+W48*0.0004002</f>
        <v/>
      </c>
      <c r="AW48" s="7">
        <f>Y48*0.0004002+X48*0.0004002</f>
        <v/>
      </c>
      <c r="AX48" s="7">
        <f>Z48*0.0004002+Y48*0.0004002</f>
        <v/>
      </c>
      <c r="AY48" s="7">
        <f>AA48*0.0004002+Z48*0.0004002</f>
        <v/>
      </c>
      <c r="AZ48" s="7">
        <f>D48*0.0004002+AA48*0.0004002</f>
        <v/>
      </c>
      <c r="BA48" s="7">
        <f>E48*0.0004002+D48*0.0004002</f>
        <v/>
      </c>
      <c r="BB48" s="7">
        <f>SUM(AD48:BA48)</f>
        <v/>
      </c>
    </row>
    <row r="49">
      <c r="A49" t="inlineStr">
        <is>
          <t>AMD-FWDPRI-SSC</t>
        </is>
      </c>
      <c r="B49" t="inlineStr">
        <is>
          <t>FWD Priority OSC</t>
        </is>
      </c>
      <c r="C49" s="5" t="n">
        <v>46104</v>
      </c>
      <c r="D49" s="6">
        <f>Summary!D49</f>
        <v/>
      </c>
      <c r="E49" s="6">
        <f>Summary!E49</f>
        <v/>
      </c>
      <c r="F49" s="6">
        <f>Summary!F49</f>
        <v/>
      </c>
      <c r="G49" s="6">
        <f>Summary!G49</f>
        <v/>
      </c>
      <c r="H49" s="6">
        <f>Summary!H49</f>
        <v/>
      </c>
      <c r="I49" s="6">
        <f>Summary!I49</f>
        <v/>
      </c>
      <c r="J49" s="6">
        <f>Summary!J49</f>
        <v/>
      </c>
      <c r="K49" s="6">
        <f>Summary!K49</f>
        <v/>
      </c>
      <c r="L49" s="6">
        <f>Summary!L49</f>
        <v/>
      </c>
      <c r="M49" s="6">
        <f>Summary!M49</f>
        <v/>
      </c>
      <c r="N49" s="6">
        <f>Summary!N49</f>
        <v/>
      </c>
      <c r="O49" s="6">
        <f>Summary!O49</f>
        <v/>
      </c>
      <c r="P49" s="6">
        <f>Summary!P49</f>
        <v/>
      </c>
      <c r="Q49" s="6">
        <f>Summary!Q49</f>
        <v/>
      </c>
      <c r="R49" s="6">
        <f>Summary!R49</f>
        <v/>
      </c>
      <c r="S49" s="6">
        <f>Summary!S49</f>
        <v/>
      </c>
      <c r="T49" s="6">
        <f>Summary!T49</f>
        <v/>
      </c>
      <c r="U49" s="6">
        <f>Summary!U49</f>
        <v/>
      </c>
      <c r="V49" s="6">
        <f>Summary!V49</f>
        <v/>
      </c>
      <c r="W49" s="6">
        <f>Summary!W49</f>
        <v/>
      </c>
      <c r="X49" s="6">
        <f>Summary!X49</f>
        <v/>
      </c>
      <c r="Y49" s="6">
        <f>Summary!Y49</f>
        <v/>
      </c>
      <c r="Z49" s="6">
        <f>Summary!Z49</f>
        <v/>
      </c>
      <c r="AA49" s="6">
        <f>Summary!AA49</f>
        <v/>
      </c>
      <c r="AB49" s="6">
        <f>SUM(D49:AA49)</f>
        <v/>
      </c>
      <c r="AC49" s="3" t="inlineStr"/>
      <c r="AD49" s="7">
        <f>F49*0.0004002+E49*0.0004002</f>
        <v/>
      </c>
      <c r="AE49" s="7">
        <f>G49*0.0004002+F49*0.0004002</f>
        <v/>
      </c>
      <c r="AF49" s="7">
        <f>H49*0.0004002+G49*0.0004002</f>
        <v/>
      </c>
      <c r="AG49" s="7">
        <f>I49*0.0004002+H49*0.0004002</f>
        <v/>
      </c>
      <c r="AH49" s="7">
        <f>J49*0.0004002+I49*0.0004002</f>
        <v/>
      </c>
      <c r="AI49" s="7">
        <f>K49*0.0004002+J49*0.0004002</f>
        <v/>
      </c>
      <c r="AJ49" s="7">
        <f>L49*0.0004002+K49*0.0004002</f>
        <v/>
      </c>
      <c r="AK49" s="7">
        <f>M49*0.0004002+L49*0.0004002</f>
        <v/>
      </c>
      <c r="AL49" s="7">
        <f>N49*0.0004002+M49*0.0004002</f>
        <v/>
      </c>
      <c r="AM49" s="7">
        <f>O49*0.0004002+N49*0.0004002</f>
        <v/>
      </c>
      <c r="AN49" s="7">
        <f>P49*0.0004002+O49*0.0004002</f>
        <v/>
      </c>
      <c r="AO49" s="7">
        <f>Q49*0.0004002+P49*0.0004002</f>
        <v/>
      </c>
      <c r="AP49" s="7">
        <f>R49*0.0004002+Q49*0.0004002</f>
        <v/>
      </c>
      <c r="AQ49" s="7">
        <f>S49*0.0004002+R49*0.0004002</f>
        <v/>
      </c>
      <c r="AR49" s="7">
        <f>T49*0.0004002+S49*0.0004002</f>
        <v/>
      </c>
      <c r="AS49" s="7">
        <f>U49*0.0004002+T49*0.0004002</f>
        <v/>
      </c>
      <c r="AT49" s="7">
        <f>V49*0.0004002+U49*0.0004002</f>
        <v/>
      </c>
      <c r="AU49" s="7">
        <f>W49*0.0004002+V49*0.0004002</f>
        <v/>
      </c>
      <c r="AV49" s="7">
        <f>X49*0.0004002+W49*0.0004002</f>
        <v/>
      </c>
      <c r="AW49" s="7">
        <f>Y49*0.0004002+X49*0.0004002</f>
        <v/>
      </c>
      <c r="AX49" s="7">
        <f>Z49*0.0004002+Y49*0.0004002</f>
        <v/>
      </c>
      <c r="AY49" s="7">
        <f>AA49*0.0004002+Z49*0.0004002</f>
        <v/>
      </c>
      <c r="AZ49" s="7">
        <f>D49*0.0004002+AA49*0.0004002</f>
        <v/>
      </c>
      <c r="BA49" s="7">
        <f>E49*0.0004002+D49*0.0004002</f>
        <v/>
      </c>
      <c r="BB49" s="7">
        <f>SUM(AD49:BA49)</f>
        <v/>
      </c>
    </row>
    <row r="50">
      <c r="A50" t="inlineStr">
        <is>
          <t>AMD-FWDPRI-SSC</t>
        </is>
      </c>
      <c r="B50" t="inlineStr">
        <is>
          <t>FWD Priority OSC</t>
        </is>
      </c>
      <c r="C50" s="5" t="n">
        <v>46105</v>
      </c>
      <c r="D50" s="6">
        <f>Summary!D50</f>
        <v/>
      </c>
      <c r="E50" s="6">
        <f>Summary!E50</f>
        <v/>
      </c>
      <c r="F50" s="6">
        <f>Summary!F50</f>
        <v/>
      </c>
      <c r="G50" s="6">
        <f>Summary!G50</f>
        <v/>
      </c>
      <c r="H50" s="6">
        <f>Summary!H50</f>
        <v/>
      </c>
      <c r="I50" s="6">
        <f>Summary!I50</f>
        <v/>
      </c>
      <c r="J50" s="6">
        <f>Summary!J50</f>
        <v/>
      </c>
      <c r="K50" s="6">
        <f>Summary!K50</f>
        <v/>
      </c>
      <c r="L50" s="6">
        <f>Summary!L50</f>
        <v/>
      </c>
      <c r="M50" s="6">
        <f>Summary!M50</f>
        <v/>
      </c>
      <c r="N50" s="6">
        <f>Summary!N50</f>
        <v/>
      </c>
      <c r="O50" s="6">
        <f>Summary!O50</f>
        <v/>
      </c>
      <c r="P50" s="6">
        <f>Summary!P50</f>
        <v/>
      </c>
      <c r="Q50" s="6">
        <f>Summary!Q50</f>
        <v/>
      </c>
      <c r="R50" s="6">
        <f>Summary!R50</f>
        <v/>
      </c>
      <c r="S50" s="6">
        <f>Summary!S50</f>
        <v/>
      </c>
      <c r="T50" s="6">
        <f>Summary!T50</f>
        <v/>
      </c>
      <c r="U50" s="6">
        <f>Summary!U50</f>
        <v/>
      </c>
      <c r="V50" s="6">
        <f>Summary!V50</f>
        <v/>
      </c>
      <c r="W50" s="6">
        <f>Summary!W50</f>
        <v/>
      </c>
      <c r="X50" s="6">
        <f>Summary!X50</f>
        <v/>
      </c>
      <c r="Y50" s="6">
        <f>Summary!Y50</f>
        <v/>
      </c>
      <c r="Z50" s="6">
        <f>Summary!Z50</f>
        <v/>
      </c>
      <c r="AA50" s="6">
        <f>Summary!AA50</f>
        <v/>
      </c>
      <c r="AB50" s="6">
        <f>SUM(D50:AA50)</f>
        <v/>
      </c>
      <c r="AC50" s="3" t="inlineStr"/>
      <c r="AD50" s="7">
        <f>F50*0.0004002+E50*0.0004002</f>
        <v/>
      </c>
      <c r="AE50" s="7">
        <f>G50*0.0004002+F50*0.0004002</f>
        <v/>
      </c>
      <c r="AF50" s="7">
        <f>H50*0.0004002+G50*0.0004002</f>
        <v/>
      </c>
      <c r="AG50" s="7">
        <f>I50*0.0004002+H50*0.0004002</f>
        <v/>
      </c>
      <c r="AH50" s="7">
        <f>J50*0.0004002+I50*0.0004002</f>
        <v/>
      </c>
      <c r="AI50" s="7">
        <f>K50*0.0004002+J50*0.0004002</f>
        <v/>
      </c>
      <c r="AJ50" s="7">
        <f>L50*0.0004002+K50*0.0004002</f>
        <v/>
      </c>
      <c r="AK50" s="7">
        <f>M50*0.0004002+L50*0.0004002</f>
        <v/>
      </c>
      <c r="AL50" s="7">
        <f>N50*0.0004002+M50*0.0004002</f>
        <v/>
      </c>
      <c r="AM50" s="7">
        <f>O50*0.0004002+N50*0.0004002</f>
        <v/>
      </c>
      <c r="AN50" s="7">
        <f>P50*0.0004002+O50*0.0004002</f>
        <v/>
      </c>
      <c r="AO50" s="7">
        <f>Q50*0.0004002+P50*0.0004002</f>
        <v/>
      </c>
      <c r="AP50" s="7">
        <f>R50*0.0004002+Q50*0.0004002</f>
        <v/>
      </c>
      <c r="AQ50" s="7">
        <f>S50*0.0004002+R50*0.0004002</f>
        <v/>
      </c>
      <c r="AR50" s="7">
        <f>T50*0.0004002+S50*0.0004002</f>
        <v/>
      </c>
      <c r="AS50" s="7">
        <f>U50*0.0004002+T50*0.0004002</f>
        <v/>
      </c>
      <c r="AT50" s="7">
        <f>V50*0.0004002+U50*0.0004002</f>
        <v/>
      </c>
      <c r="AU50" s="7">
        <f>W50*0.0004002+V50*0.0004002</f>
        <v/>
      </c>
      <c r="AV50" s="7">
        <f>X50*0.0004002+W50*0.0004002</f>
        <v/>
      </c>
      <c r="AW50" s="7">
        <f>Y50*0.0004002+X50*0.0004002</f>
        <v/>
      </c>
      <c r="AX50" s="7">
        <f>Z50*0.0004002+Y50*0.0004002</f>
        <v/>
      </c>
      <c r="AY50" s="7">
        <f>AA50*0.0004002+Z50*0.0004002</f>
        <v/>
      </c>
      <c r="AZ50" s="7">
        <f>D50*0.0004002+AA50*0.0004002</f>
        <v/>
      </c>
      <c r="BA50" s="7">
        <f>E50*0.0004002+D50*0.0004002</f>
        <v/>
      </c>
      <c r="BB50" s="7">
        <f>SUM(AD50:BA50)</f>
        <v/>
      </c>
    </row>
    <row r="51">
      <c r="A51" t="inlineStr">
        <is>
          <t>AMD-FWDREG-SSC</t>
        </is>
      </c>
      <c r="B51" t="inlineStr">
        <is>
          <t>Forward Regular OSC</t>
        </is>
      </c>
      <c r="C51" s="5" t="n">
        <v>46098</v>
      </c>
      <c r="D51" s="6">
        <f>Summary!D51</f>
        <v/>
      </c>
      <c r="E51" s="6">
        <f>Summary!E51</f>
        <v/>
      </c>
      <c r="F51" s="6">
        <f>Summary!F51</f>
        <v/>
      </c>
      <c r="G51" s="6">
        <f>Summary!G51</f>
        <v/>
      </c>
      <c r="H51" s="6">
        <f>Summary!H51</f>
        <v/>
      </c>
      <c r="I51" s="6">
        <f>Summary!I51</f>
        <v/>
      </c>
      <c r="J51" s="6">
        <f>Summary!J51</f>
        <v/>
      </c>
      <c r="K51" s="6">
        <f>Summary!K51</f>
        <v/>
      </c>
      <c r="L51" s="6">
        <f>Summary!L51</f>
        <v/>
      </c>
      <c r="M51" s="6">
        <f>Summary!M51</f>
        <v/>
      </c>
      <c r="N51" s="6">
        <f>Summary!N51</f>
        <v/>
      </c>
      <c r="O51" s="6">
        <f>Summary!O51</f>
        <v/>
      </c>
      <c r="P51" s="6">
        <f>Summary!P51</f>
        <v/>
      </c>
      <c r="Q51" s="6">
        <f>Summary!Q51</f>
        <v/>
      </c>
      <c r="R51" s="6">
        <f>Summary!R51</f>
        <v/>
      </c>
      <c r="S51" s="6">
        <f>Summary!S51</f>
        <v/>
      </c>
      <c r="T51" s="6">
        <f>Summary!T51</f>
        <v/>
      </c>
      <c r="U51" s="6">
        <f>Summary!U51</f>
        <v/>
      </c>
      <c r="V51" s="6">
        <f>Summary!V51</f>
        <v/>
      </c>
      <c r="W51" s="6">
        <f>Summary!W51</f>
        <v/>
      </c>
      <c r="X51" s="6">
        <f>Summary!X51</f>
        <v/>
      </c>
      <c r="Y51" s="6">
        <f>Summary!Y51</f>
        <v/>
      </c>
      <c r="Z51" s="6">
        <f>Summary!Z51</f>
        <v/>
      </c>
      <c r="AA51" s="6">
        <f>Summary!AA51</f>
        <v/>
      </c>
      <c r="AB51" s="6">
        <f>SUM(D51:AA51)</f>
        <v/>
      </c>
      <c r="AC51" s="3" t="inlineStr"/>
      <c r="AD51" s="7">
        <f>F51*0.0004002+E51*0.0004002</f>
        <v/>
      </c>
      <c r="AE51" s="7">
        <f>G51*0.0004002+F51*0.0004002</f>
        <v/>
      </c>
      <c r="AF51" s="7">
        <f>H51*0.0004002+G51*0.0004002</f>
        <v/>
      </c>
      <c r="AG51" s="7">
        <f>I51*0.0004002+H51*0.0004002</f>
        <v/>
      </c>
      <c r="AH51" s="7">
        <f>J51*0.0004002+I51*0.0004002</f>
        <v/>
      </c>
      <c r="AI51" s="7">
        <f>K51*0.0004002+J51*0.0004002</f>
        <v/>
      </c>
      <c r="AJ51" s="7">
        <f>L51*0.0004002+K51*0.0004002</f>
        <v/>
      </c>
      <c r="AK51" s="7">
        <f>M51*0.0004002+L51*0.0004002</f>
        <v/>
      </c>
      <c r="AL51" s="7">
        <f>N51*0.0004002+M51*0.0004002</f>
        <v/>
      </c>
      <c r="AM51" s="7">
        <f>O51*0.0004002+N51*0.0004002</f>
        <v/>
      </c>
      <c r="AN51" s="7">
        <f>P51*0.0004002+O51*0.0004002</f>
        <v/>
      </c>
      <c r="AO51" s="7">
        <f>Q51*0.0004002+P51*0.0004002</f>
        <v/>
      </c>
      <c r="AP51" s="7">
        <f>R51*0.0004002+Q51*0.0004002</f>
        <v/>
      </c>
      <c r="AQ51" s="7">
        <f>S51*0.0004002+R51*0.0004002</f>
        <v/>
      </c>
      <c r="AR51" s="7">
        <f>T51*0.0004002+S51*0.0004002</f>
        <v/>
      </c>
      <c r="AS51" s="7">
        <f>U51*0.0004002+T51*0.0004002</f>
        <v/>
      </c>
      <c r="AT51" s="7">
        <f>V51*0.0004002+U51*0.0004002</f>
        <v/>
      </c>
      <c r="AU51" s="7">
        <f>W51*0.0004002+V51*0.0004002</f>
        <v/>
      </c>
      <c r="AV51" s="7">
        <f>X51*0.0004002+W51*0.0004002</f>
        <v/>
      </c>
      <c r="AW51" s="7">
        <f>Y51*0.0004002+X51*0.0004002</f>
        <v/>
      </c>
      <c r="AX51" s="7">
        <f>Z51*0.0004002+Y51*0.0004002</f>
        <v/>
      </c>
      <c r="AY51" s="7">
        <f>AA51*0.0004002+Z51*0.0004002</f>
        <v/>
      </c>
      <c r="AZ51" s="7">
        <f>D51*0.0004002+AA51*0.0004002</f>
        <v/>
      </c>
      <c r="BA51" s="7">
        <f>E51*0.0004002+D51*0.0004002</f>
        <v/>
      </c>
      <c r="BB51" s="7">
        <f>SUM(AD51:BA51)</f>
        <v/>
      </c>
    </row>
    <row r="52">
      <c r="A52" t="inlineStr">
        <is>
          <t>AMD-FWDREG-SSC</t>
        </is>
      </c>
      <c r="B52" t="inlineStr">
        <is>
          <t>Forward Regular OSC</t>
        </is>
      </c>
      <c r="C52" s="5" t="n">
        <v>46099</v>
      </c>
      <c r="D52" s="6">
        <f>Summary!D52</f>
        <v/>
      </c>
      <c r="E52" s="6">
        <f>Summary!E52</f>
        <v/>
      </c>
      <c r="F52" s="6">
        <f>Summary!F52</f>
        <v/>
      </c>
      <c r="G52" s="6">
        <f>Summary!G52</f>
        <v/>
      </c>
      <c r="H52" s="6">
        <f>Summary!H52</f>
        <v/>
      </c>
      <c r="I52" s="6">
        <f>Summary!I52</f>
        <v/>
      </c>
      <c r="J52" s="6">
        <f>Summary!J52</f>
        <v/>
      </c>
      <c r="K52" s="6">
        <f>Summary!K52</f>
        <v/>
      </c>
      <c r="L52" s="6">
        <f>Summary!L52</f>
        <v/>
      </c>
      <c r="M52" s="6">
        <f>Summary!M52</f>
        <v/>
      </c>
      <c r="N52" s="6">
        <f>Summary!N52</f>
        <v/>
      </c>
      <c r="O52" s="6">
        <f>Summary!O52</f>
        <v/>
      </c>
      <c r="P52" s="6">
        <f>Summary!P52</f>
        <v/>
      </c>
      <c r="Q52" s="6">
        <f>Summary!Q52</f>
        <v/>
      </c>
      <c r="R52" s="6">
        <f>Summary!R52</f>
        <v/>
      </c>
      <c r="S52" s="6">
        <f>Summary!S52</f>
        <v/>
      </c>
      <c r="T52" s="6">
        <f>Summary!T52</f>
        <v/>
      </c>
      <c r="U52" s="6">
        <f>Summary!U52</f>
        <v/>
      </c>
      <c r="V52" s="6">
        <f>Summary!V52</f>
        <v/>
      </c>
      <c r="W52" s="6">
        <f>Summary!W52</f>
        <v/>
      </c>
      <c r="X52" s="6">
        <f>Summary!X52</f>
        <v/>
      </c>
      <c r="Y52" s="6">
        <f>Summary!Y52</f>
        <v/>
      </c>
      <c r="Z52" s="6">
        <f>Summary!Z52</f>
        <v/>
      </c>
      <c r="AA52" s="6">
        <f>Summary!AA52</f>
        <v/>
      </c>
      <c r="AB52" s="6">
        <f>SUM(D52:AA52)</f>
        <v/>
      </c>
      <c r="AC52" s="3" t="inlineStr"/>
      <c r="AD52" s="7">
        <f>F52*0.0004002+E52*0.0004002</f>
        <v/>
      </c>
      <c r="AE52" s="7">
        <f>G52*0.0004002+F52*0.0004002</f>
        <v/>
      </c>
      <c r="AF52" s="7">
        <f>H52*0.0004002+G52*0.0004002</f>
        <v/>
      </c>
      <c r="AG52" s="7">
        <f>I52*0.0004002+H52*0.0004002</f>
        <v/>
      </c>
      <c r="AH52" s="7">
        <f>J52*0.0004002+I52*0.0004002</f>
        <v/>
      </c>
      <c r="AI52" s="7">
        <f>K52*0.0004002+J52*0.0004002</f>
        <v/>
      </c>
      <c r="AJ52" s="7">
        <f>L52*0.0004002+K52*0.0004002</f>
        <v/>
      </c>
      <c r="AK52" s="7">
        <f>M52*0.0004002+L52*0.0004002</f>
        <v/>
      </c>
      <c r="AL52" s="7">
        <f>N52*0.0004002+M52*0.0004002</f>
        <v/>
      </c>
      <c r="AM52" s="7">
        <f>O52*0.0004002+N52*0.0004002</f>
        <v/>
      </c>
      <c r="AN52" s="7">
        <f>P52*0.0004002+O52*0.0004002</f>
        <v/>
      </c>
      <c r="AO52" s="7">
        <f>Q52*0.0004002+P52*0.0004002</f>
        <v/>
      </c>
      <c r="AP52" s="7">
        <f>R52*0.0004002+Q52*0.0004002</f>
        <v/>
      </c>
      <c r="AQ52" s="7">
        <f>S52*0.0004002+R52*0.0004002</f>
        <v/>
      </c>
      <c r="AR52" s="7">
        <f>T52*0.0004002+S52*0.0004002</f>
        <v/>
      </c>
      <c r="AS52" s="7">
        <f>U52*0.0004002+T52*0.0004002</f>
        <v/>
      </c>
      <c r="AT52" s="7">
        <f>V52*0.0004002+U52*0.0004002</f>
        <v/>
      </c>
      <c r="AU52" s="7">
        <f>W52*0.0004002+V52*0.0004002</f>
        <v/>
      </c>
      <c r="AV52" s="7">
        <f>X52*0.0004002+W52*0.0004002</f>
        <v/>
      </c>
      <c r="AW52" s="7">
        <f>Y52*0.0004002+X52*0.0004002</f>
        <v/>
      </c>
      <c r="AX52" s="7">
        <f>Z52*0.0004002+Y52*0.0004002</f>
        <v/>
      </c>
      <c r="AY52" s="7">
        <f>AA52*0.0004002+Z52*0.0004002</f>
        <v/>
      </c>
      <c r="AZ52" s="7">
        <f>D52*0.0004002+AA52*0.0004002</f>
        <v/>
      </c>
      <c r="BA52" s="7">
        <f>E52*0.0004002+D52*0.0004002</f>
        <v/>
      </c>
      <c r="BB52" s="7">
        <f>SUM(AD52:BA52)</f>
        <v/>
      </c>
    </row>
    <row r="53">
      <c r="A53" t="inlineStr">
        <is>
          <t>AMD-FWDREG-SSC</t>
        </is>
      </c>
      <c r="B53" t="inlineStr">
        <is>
          <t>Forward Regular OSC</t>
        </is>
      </c>
      <c r="C53" s="5" t="n">
        <v>46100</v>
      </c>
      <c r="D53" s="6">
        <f>Summary!D53</f>
        <v/>
      </c>
      <c r="E53" s="6">
        <f>Summary!E53</f>
        <v/>
      </c>
      <c r="F53" s="6">
        <f>Summary!F53</f>
        <v/>
      </c>
      <c r="G53" s="6">
        <f>Summary!G53</f>
        <v/>
      </c>
      <c r="H53" s="6">
        <f>Summary!H53</f>
        <v/>
      </c>
      <c r="I53" s="6">
        <f>Summary!I53</f>
        <v/>
      </c>
      <c r="J53" s="6">
        <f>Summary!J53</f>
        <v/>
      </c>
      <c r="K53" s="6">
        <f>Summary!K53</f>
        <v/>
      </c>
      <c r="L53" s="6">
        <f>Summary!L53</f>
        <v/>
      </c>
      <c r="M53" s="6">
        <f>Summary!M53</f>
        <v/>
      </c>
      <c r="N53" s="6">
        <f>Summary!N53</f>
        <v/>
      </c>
      <c r="O53" s="6">
        <f>Summary!O53</f>
        <v/>
      </c>
      <c r="P53" s="6">
        <f>Summary!P53</f>
        <v/>
      </c>
      <c r="Q53" s="6">
        <f>Summary!Q53</f>
        <v/>
      </c>
      <c r="R53" s="6">
        <f>Summary!R53</f>
        <v/>
      </c>
      <c r="S53" s="6">
        <f>Summary!S53</f>
        <v/>
      </c>
      <c r="T53" s="6">
        <f>Summary!T53</f>
        <v/>
      </c>
      <c r="U53" s="6">
        <f>Summary!U53</f>
        <v/>
      </c>
      <c r="V53" s="6">
        <f>Summary!V53</f>
        <v/>
      </c>
      <c r="W53" s="6">
        <f>Summary!W53</f>
        <v/>
      </c>
      <c r="X53" s="6">
        <f>Summary!X53</f>
        <v/>
      </c>
      <c r="Y53" s="6">
        <f>Summary!Y53</f>
        <v/>
      </c>
      <c r="Z53" s="6">
        <f>Summary!Z53</f>
        <v/>
      </c>
      <c r="AA53" s="6">
        <f>Summary!AA53</f>
        <v/>
      </c>
      <c r="AB53" s="6">
        <f>SUM(D53:AA53)</f>
        <v/>
      </c>
      <c r="AC53" s="3" t="inlineStr"/>
      <c r="AD53" s="7">
        <f>F53*0.0004002+E53*0.0004002</f>
        <v/>
      </c>
      <c r="AE53" s="7">
        <f>G53*0.0004002+F53*0.0004002</f>
        <v/>
      </c>
      <c r="AF53" s="7">
        <f>H53*0.0004002+G53*0.0004002</f>
        <v/>
      </c>
      <c r="AG53" s="7">
        <f>I53*0.0004002+H53*0.0004002</f>
        <v/>
      </c>
      <c r="AH53" s="7">
        <f>J53*0.0004002+I53*0.0004002</f>
        <v/>
      </c>
      <c r="AI53" s="7">
        <f>K53*0.0004002+J53*0.0004002</f>
        <v/>
      </c>
      <c r="AJ53" s="7">
        <f>L53*0.0004002+K53*0.0004002</f>
        <v/>
      </c>
      <c r="AK53" s="7">
        <f>M53*0.0004002+L53*0.0004002</f>
        <v/>
      </c>
      <c r="AL53" s="7">
        <f>N53*0.0004002+M53*0.0004002</f>
        <v/>
      </c>
      <c r="AM53" s="7">
        <f>O53*0.0004002+N53*0.0004002</f>
        <v/>
      </c>
      <c r="AN53" s="7">
        <f>P53*0.0004002+O53*0.0004002</f>
        <v/>
      </c>
      <c r="AO53" s="7">
        <f>Q53*0.0004002+P53*0.0004002</f>
        <v/>
      </c>
      <c r="AP53" s="7">
        <f>R53*0.0004002+Q53*0.0004002</f>
        <v/>
      </c>
      <c r="AQ53" s="7">
        <f>S53*0.0004002+R53*0.0004002</f>
        <v/>
      </c>
      <c r="AR53" s="7">
        <f>T53*0.0004002+S53*0.0004002</f>
        <v/>
      </c>
      <c r="AS53" s="7">
        <f>U53*0.0004002+T53*0.0004002</f>
        <v/>
      </c>
      <c r="AT53" s="7">
        <f>V53*0.0004002+U53*0.0004002</f>
        <v/>
      </c>
      <c r="AU53" s="7">
        <f>W53*0.0004002+V53*0.0004002</f>
        <v/>
      </c>
      <c r="AV53" s="7">
        <f>X53*0.0004002+W53*0.0004002</f>
        <v/>
      </c>
      <c r="AW53" s="7">
        <f>Y53*0.0004002+X53*0.0004002</f>
        <v/>
      </c>
      <c r="AX53" s="7">
        <f>Z53*0.0004002+Y53*0.0004002</f>
        <v/>
      </c>
      <c r="AY53" s="7">
        <f>AA53*0.0004002+Z53*0.0004002</f>
        <v/>
      </c>
      <c r="AZ53" s="7">
        <f>D53*0.0004002+AA53*0.0004002</f>
        <v/>
      </c>
      <c r="BA53" s="7">
        <f>E53*0.0004002+D53*0.0004002</f>
        <v/>
      </c>
      <c r="BB53" s="7">
        <f>SUM(AD53:BA53)</f>
        <v/>
      </c>
    </row>
    <row r="54">
      <c r="A54" t="inlineStr">
        <is>
          <t>AMD-FWDREG-SSC</t>
        </is>
      </c>
      <c r="B54" t="inlineStr">
        <is>
          <t>Forward Regular OSC</t>
        </is>
      </c>
      <c r="C54" s="5" t="n">
        <v>46101</v>
      </c>
      <c r="D54" s="6">
        <f>Summary!D54</f>
        <v/>
      </c>
      <c r="E54" s="6">
        <f>Summary!E54</f>
        <v/>
      </c>
      <c r="F54" s="6">
        <f>Summary!F54</f>
        <v/>
      </c>
      <c r="G54" s="6">
        <f>Summary!G54</f>
        <v/>
      </c>
      <c r="H54" s="6">
        <f>Summary!H54</f>
        <v/>
      </c>
      <c r="I54" s="6">
        <f>Summary!I54</f>
        <v/>
      </c>
      <c r="J54" s="6">
        <f>Summary!J54</f>
        <v/>
      </c>
      <c r="K54" s="6">
        <f>Summary!K54</f>
        <v/>
      </c>
      <c r="L54" s="6">
        <f>Summary!L54</f>
        <v/>
      </c>
      <c r="M54" s="6">
        <f>Summary!M54</f>
        <v/>
      </c>
      <c r="N54" s="6">
        <f>Summary!N54</f>
        <v/>
      </c>
      <c r="O54" s="6">
        <f>Summary!O54</f>
        <v/>
      </c>
      <c r="P54" s="6">
        <f>Summary!P54</f>
        <v/>
      </c>
      <c r="Q54" s="6">
        <f>Summary!Q54</f>
        <v/>
      </c>
      <c r="R54" s="6">
        <f>Summary!R54</f>
        <v/>
      </c>
      <c r="S54" s="6">
        <f>Summary!S54</f>
        <v/>
      </c>
      <c r="T54" s="6">
        <f>Summary!T54</f>
        <v/>
      </c>
      <c r="U54" s="6">
        <f>Summary!U54</f>
        <v/>
      </c>
      <c r="V54" s="6">
        <f>Summary!V54</f>
        <v/>
      </c>
      <c r="W54" s="6">
        <f>Summary!W54</f>
        <v/>
      </c>
      <c r="X54" s="6">
        <f>Summary!X54</f>
        <v/>
      </c>
      <c r="Y54" s="6">
        <f>Summary!Y54</f>
        <v/>
      </c>
      <c r="Z54" s="6">
        <f>Summary!Z54</f>
        <v/>
      </c>
      <c r="AA54" s="6">
        <f>Summary!AA54</f>
        <v/>
      </c>
      <c r="AB54" s="6">
        <f>SUM(D54:AA54)</f>
        <v/>
      </c>
      <c r="AC54" s="3" t="inlineStr"/>
      <c r="AD54" s="7">
        <f>F54*0.0004002+E54*0.0004002</f>
        <v/>
      </c>
      <c r="AE54" s="7">
        <f>G54*0.0004002+F54*0.0004002</f>
        <v/>
      </c>
      <c r="AF54" s="7">
        <f>H54*0.0004002+G54*0.0004002</f>
        <v/>
      </c>
      <c r="AG54" s="7">
        <f>I54*0.0004002+H54*0.0004002</f>
        <v/>
      </c>
      <c r="AH54" s="7">
        <f>J54*0.0004002+I54*0.0004002</f>
        <v/>
      </c>
      <c r="AI54" s="7">
        <f>K54*0.0004002+J54*0.0004002</f>
        <v/>
      </c>
      <c r="AJ54" s="7">
        <f>L54*0.0004002+K54*0.0004002</f>
        <v/>
      </c>
      <c r="AK54" s="7">
        <f>M54*0.0004002+L54*0.0004002</f>
        <v/>
      </c>
      <c r="AL54" s="7">
        <f>N54*0.0004002+M54*0.0004002</f>
        <v/>
      </c>
      <c r="AM54" s="7">
        <f>O54*0.0004002+N54*0.0004002</f>
        <v/>
      </c>
      <c r="AN54" s="7">
        <f>P54*0.0004002+O54*0.0004002</f>
        <v/>
      </c>
      <c r="AO54" s="7">
        <f>Q54*0.0004002+P54*0.0004002</f>
        <v/>
      </c>
      <c r="AP54" s="7">
        <f>R54*0.0004002+Q54*0.0004002</f>
        <v/>
      </c>
      <c r="AQ54" s="7">
        <f>S54*0.0004002+R54*0.0004002</f>
        <v/>
      </c>
      <c r="AR54" s="7">
        <f>T54*0.0004002+S54*0.0004002</f>
        <v/>
      </c>
      <c r="AS54" s="7">
        <f>U54*0.0004002+T54*0.0004002</f>
        <v/>
      </c>
      <c r="AT54" s="7">
        <f>V54*0.0004002+U54*0.0004002</f>
        <v/>
      </c>
      <c r="AU54" s="7">
        <f>W54*0.0004002+V54*0.0004002</f>
        <v/>
      </c>
      <c r="AV54" s="7">
        <f>X54*0.0004002+W54*0.0004002</f>
        <v/>
      </c>
      <c r="AW54" s="7">
        <f>Y54*0.0004002+X54*0.0004002</f>
        <v/>
      </c>
      <c r="AX54" s="7">
        <f>Z54*0.0004002+Y54*0.0004002</f>
        <v/>
      </c>
      <c r="AY54" s="7">
        <f>AA54*0.0004002+Z54*0.0004002</f>
        <v/>
      </c>
      <c r="AZ54" s="7">
        <f>D54*0.0004002+AA54*0.0004002</f>
        <v/>
      </c>
      <c r="BA54" s="7">
        <f>E54*0.0004002+D54*0.0004002</f>
        <v/>
      </c>
      <c r="BB54" s="7">
        <f>SUM(AD54:BA54)</f>
        <v/>
      </c>
    </row>
    <row r="55">
      <c r="A55" t="inlineStr">
        <is>
          <t>AMD-FWDREG-SSC</t>
        </is>
      </c>
      <c r="B55" t="inlineStr">
        <is>
          <t>Forward Regular OSC</t>
        </is>
      </c>
      <c r="C55" s="5" t="n">
        <v>46102</v>
      </c>
      <c r="D55" s="6">
        <f>Summary!D55</f>
        <v/>
      </c>
      <c r="E55" s="6">
        <f>Summary!E55</f>
        <v/>
      </c>
      <c r="F55" s="6">
        <f>Summary!F55</f>
        <v/>
      </c>
      <c r="G55" s="6">
        <f>Summary!G55</f>
        <v/>
      </c>
      <c r="H55" s="6">
        <f>Summary!H55</f>
        <v/>
      </c>
      <c r="I55" s="6">
        <f>Summary!I55</f>
        <v/>
      </c>
      <c r="J55" s="6">
        <f>Summary!J55</f>
        <v/>
      </c>
      <c r="K55" s="6">
        <f>Summary!K55</f>
        <v/>
      </c>
      <c r="L55" s="6">
        <f>Summary!L55</f>
        <v/>
      </c>
      <c r="M55" s="6">
        <f>Summary!M55</f>
        <v/>
      </c>
      <c r="N55" s="6">
        <f>Summary!N55</f>
        <v/>
      </c>
      <c r="O55" s="6">
        <f>Summary!O55</f>
        <v/>
      </c>
      <c r="P55" s="6">
        <f>Summary!P55</f>
        <v/>
      </c>
      <c r="Q55" s="6">
        <f>Summary!Q55</f>
        <v/>
      </c>
      <c r="R55" s="6">
        <f>Summary!R55</f>
        <v/>
      </c>
      <c r="S55" s="6">
        <f>Summary!S55</f>
        <v/>
      </c>
      <c r="T55" s="6">
        <f>Summary!T55</f>
        <v/>
      </c>
      <c r="U55" s="6">
        <f>Summary!U55</f>
        <v/>
      </c>
      <c r="V55" s="6">
        <f>Summary!V55</f>
        <v/>
      </c>
      <c r="W55" s="6">
        <f>Summary!W55</f>
        <v/>
      </c>
      <c r="X55" s="6">
        <f>Summary!X55</f>
        <v/>
      </c>
      <c r="Y55" s="6">
        <f>Summary!Y55</f>
        <v/>
      </c>
      <c r="Z55" s="6">
        <f>Summary!Z55</f>
        <v/>
      </c>
      <c r="AA55" s="6">
        <f>Summary!AA55</f>
        <v/>
      </c>
      <c r="AB55" s="6">
        <f>SUM(D55:AA55)</f>
        <v/>
      </c>
      <c r="AC55" s="3" t="inlineStr"/>
      <c r="AD55" s="7">
        <f>F55*0.0004002+E55*0.0004002</f>
        <v/>
      </c>
      <c r="AE55" s="7">
        <f>G55*0.0004002+F55*0.0004002</f>
        <v/>
      </c>
      <c r="AF55" s="7">
        <f>H55*0.0004002+G55*0.0004002</f>
        <v/>
      </c>
      <c r="AG55" s="7">
        <f>I55*0.0004002+H55*0.0004002</f>
        <v/>
      </c>
      <c r="AH55" s="7">
        <f>J55*0.0004002+I55*0.0004002</f>
        <v/>
      </c>
      <c r="AI55" s="7">
        <f>K55*0.0004002+J55*0.0004002</f>
        <v/>
      </c>
      <c r="AJ55" s="7">
        <f>L55*0.0004002+K55*0.0004002</f>
        <v/>
      </c>
      <c r="AK55" s="7">
        <f>M55*0.0004002+L55*0.0004002</f>
        <v/>
      </c>
      <c r="AL55" s="7">
        <f>N55*0.0004002+M55*0.0004002</f>
        <v/>
      </c>
      <c r="AM55" s="7">
        <f>O55*0.0004002+N55*0.0004002</f>
        <v/>
      </c>
      <c r="AN55" s="7">
        <f>P55*0.0004002+O55*0.0004002</f>
        <v/>
      </c>
      <c r="AO55" s="7">
        <f>Q55*0.0004002+P55*0.0004002</f>
        <v/>
      </c>
      <c r="AP55" s="7">
        <f>R55*0.0004002+Q55*0.0004002</f>
        <v/>
      </c>
      <c r="AQ55" s="7">
        <f>S55*0.0004002+R55*0.0004002</f>
        <v/>
      </c>
      <c r="AR55" s="7">
        <f>T55*0.0004002+S55*0.0004002</f>
        <v/>
      </c>
      <c r="AS55" s="7">
        <f>U55*0.0004002+T55*0.0004002</f>
        <v/>
      </c>
      <c r="AT55" s="7">
        <f>V55*0.0004002+U55*0.0004002</f>
        <v/>
      </c>
      <c r="AU55" s="7">
        <f>W55*0.0004002+V55*0.0004002</f>
        <v/>
      </c>
      <c r="AV55" s="7">
        <f>X55*0.0004002+W55*0.0004002</f>
        <v/>
      </c>
      <c r="AW55" s="7">
        <f>Y55*0.0004002+X55*0.0004002</f>
        <v/>
      </c>
      <c r="AX55" s="7">
        <f>Z55*0.0004002+Y55*0.0004002</f>
        <v/>
      </c>
      <c r="AY55" s="7">
        <f>AA55*0.0004002+Z55*0.0004002</f>
        <v/>
      </c>
      <c r="AZ55" s="7">
        <f>D55*0.0004002+AA55*0.0004002</f>
        <v/>
      </c>
      <c r="BA55" s="7">
        <f>E55*0.0004002+D55*0.0004002</f>
        <v/>
      </c>
      <c r="BB55" s="7">
        <f>SUM(AD55:BA55)</f>
        <v/>
      </c>
    </row>
    <row r="56">
      <c r="A56" t="inlineStr">
        <is>
          <t>AMD-FWDREG-SSC</t>
        </is>
      </c>
      <c r="B56" t="inlineStr">
        <is>
          <t>Forward Regular OSC</t>
        </is>
      </c>
      <c r="C56" s="5" t="n">
        <v>46103</v>
      </c>
      <c r="D56" s="6">
        <f>Summary!D56</f>
        <v/>
      </c>
      <c r="E56" s="6">
        <f>Summary!E56</f>
        <v/>
      </c>
      <c r="F56" s="6">
        <f>Summary!F56</f>
        <v/>
      </c>
      <c r="G56" s="6">
        <f>Summary!G56</f>
        <v/>
      </c>
      <c r="H56" s="6">
        <f>Summary!H56</f>
        <v/>
      </c>
      <c r="I56" s="6">
        <f>Summary!I56</f>
        <v/>
      </c>
      <c r="J56" s="6">
        <f>Summary!J56</f>
        <v/>
      </c>
      <c r="K56" s="6">
        <f>Summary!K56</f>
        <v/>
      </c>
      <c r="L56" s="6">
        <f>Summary!L56</f>
        <v/>
      </c>
      <c r="M56" s="6">
        <f>Summary!M56</f>
        <v/>
      </c>
      <c r="N56" s="6">
        <f>Summary!N56</f>
        <v/>
      </c>
      <c r="O56" s="6">
        <f>Summary!O56</f>
        <v/>
      </c>
      <c r="P56" s="6">
        <f>Summary!P56</f>
        <v/>
      </c>
      <c r="Q56" s="6">
        <f>Summary!Q56</f>
        <v/>
      </c>
      <c r="R56" s="6">
        <f>Summary!R56</f>
        <v/>
      </c>
      <c r="S56" s="6">
        <f>Summary!S56</f>
        <v/>
      </c>
      <c r="T56" s="6">
        <f>Summary!T56</f>
        <v/>
      </c>
      <c r="U56" s="6">
        <f>Summary!U56</f>
        <v/>
      </c>
      <c r="V56" s="6">
        <f>Summary!V56</f>
        <v/>
      </c>
      <c r="W56" s="6">
        <f>Summary!W56</f>
        <v/>
      </c>
      <c r="X56" s="6">
        <f>Summary!X56</f>
        <v/>
      </c>
      <c r="Y56" s="6">
        <f>Summary!Y56</f>
        <v/>
      </c>
      <c r="Z56" s="6">
        <f>Summary!Z56</f>
        <v/>
      </c>
      <c r="AA56" s="6">
        <f>Summary!AA56</f>
        <v/>
      </c>
      <c r="AB56" s="6">
        <f>SUM(D56:AA56)</f>
        <v/>
      </c>
      <c r="AC56" s="3" t="inlineStr"/>
      <c r="AD56" s="7">
        <f>F56*0.0004002+E56*0.0004002</f>
        <v/>
      </c>
      <c r="AE56" s="7">
        <f>G56*0.0004002+F56*0.0004002</f>
        <v/>
      </c>
      <c r="AF56" s="7">
        <f>H56*0.0004002+G56*0.0004002</f>
        <v/>
      </c>
      <c r="AG56" s="7">
        <f>I56*0.0004002+H56*0.0004002</f>
        <v/>
      </c>
      <c r="AH56" s="7">
        <f>J56*0.0004002+I56*0.0004002</f>
        <v/>
      </c>
      <c r="AI56" s="7">
        <f>K56*0.0004002+J56*0.0004002</f>
        <v/>
      </c>
      <c r="AJ56" s="7">
        <f>L56*0.0004002+K56*0.0004002</f>
        <v/>
      </c>
      <c r="AK56" s="7">
        <f>M56*0.0004002+L56*0.0004002</f>
        <v/>
      </c>
      <c r="AL56" s="7">
        <f>N56*0.0004002+M56*0.0004002</f>
        <v/>
      </c>
      <c r="AM56" s="7">
        <f>O56*0.0004002+N56*0.0004002</f>
        <v/>
      </c>
      <c r="AN56" s="7">
        <f>P56*0.0004002+O56*0.0004002</f>
        <v/>
      </c>
      <c r="AO56" s="7">
        <f>Q56*0.0004002+P56*0.0004002</f>
        <v/>
      </c>
      <c r="AP56" s="7">
        <f>R56*0.0004002+Q56*0.0004002</f>
        <v/>
      </c>
      <c r="AQ56" s="7">
        <f>S56*0.0004002+R56*0.0004002</f>
        <v/>
      </c>
      <c r="AR56" s="7">
        <f>T56*0.0004002+S56*0.0004002</f>
        <v/>
      </c>
      <c r="AS56" s="7">
        <f>U56*0.0004002+T56*0.0004002</f>
        <v/>
      </c>
      <c r="AT56" s="7">
        <f>V56*0.0004002+U56*0.0004002</f>
        <v/>
      </c>
      <c r="AU56" s="7">
        <f>W56*0.0004002+V56*0.0004002</f>
        <v/>
      </c>
      <c r="AV56" s="7">
        <f>X56*0.0004002+W56*0.0004002</f>
        <v/>
      </c>
      <c r="AW56" s="7">
        <f>Y56*0.0004002+X56*0.0004002</f>
        <v/>
      </c>
      <c r="AX56" s="7">
        <f>Z56*0.0004002+Y56*0.0004002</f>
        <v/>
      </c>
      <c r="AY56" s="7">
        <f>AA56*0.0004002+Z56*0.0004002</f>
        <v/>
      </c>
      <c r="AZ56" s="7">
        <f>D56*0.0004002+AA56*0.0004002</f>
        <v/>
      </c>
      <c r="BA56" s="7">
        <f>E56*0.0004002+D56*0.0004002</f>
        <v/>
      </c>
      <c r="BB56" s="7">
        <f>SUM(AD56:BA56)</f>
        <v/>
      </c>
    </row>
    <row r="57">
      <c r="A57" t="inlineStr">
        <is>
          <t>AMD-FWDREG-SSC</t>
        </is>
      </c>
      <c r="B57" t="inlineStr">
        <is>
          <t>Forward Regular OSC</t>
        </is>
      </c>
      <c r="C57" s="5" t="n">
        <v>46104</v>
      </c>
      <c r="D57" s="6">
        <f>Summary!D57</f>
        <v/>
      </c>
      <c r="E57" s="6">
        <f>Summary!E57</f>
        <v/>
      </c>
      <c r="F57" s="6">
        <f>Summary!F57</f>
        <v/>
      </c>
      <c r="G57" s="6">
        <f>Summary!G57</f>
        <v/>
      </c>
      <c r="H57" s="6">
        <f>Summary!H57</f>
        <v/>
      </c>
      <c r="I57" s="6">
        <f>Summary!I57</f>
        <v/>
      </c>
      <c r="J57" s="6">
        <f>Summary!J57</f>
        <v/>
      </c>
      <c r="K57" s="6">
        <f>Summary!K57</f>
        <v/>
      </c>
      <c r="L57" s="6">
        <f>Summary!L57</f>
        <v/>
      </c>
      <c r="M57" s="6">
        <f>Summary!M57</f>
        <v/>
      </c>
      <c r="N57" s="6">
        <f>Summary!N57</f>
        <v/>
      </c>
      <c r="O57" s="6">
        <f>Summary!O57</f>
        <v/>
      </c>
      <c r="P57" s="6">
        <f>Summary!P57</f>
        <v/>
      </c>
      <c r="Q57" s="6">
        <f>Summary!Q57</f>
        <v/>
      </c>
      <c r="R57" s="6">
        <f>Summary!R57</f>
        <v/>
      </c>
      <c r="S57" s="6">
        <f>Summary!S57</f>
        <v/>
      </c>
      <c r="T57" s="6">
        <f>Summary!T57</f>
        <v/>
      </c>
      <c r="U57" s="6">
        <f>Summary!U57</f>
        <v/>
      </c>
      <c r="V57" s="6">
        <f>Summary!V57</f>
        <v/>
      </c>
      <c r="W57" s="6">
        <f>Summary!W57</f>
        <v/>
      </c>
      <c r="X57" s="6">
        <f>Summary!X57</f>
        <v/>
      </c>
      <c r="Y57" s="6">
        <f>Summary!Y57</f>
        <v/>
      </c>
      <c r="Z57" s="6">
        <f>Summary!Z57</f>
        <v/>
      </c>
      <c r="AA57" s="6">
        <f>Summary!AA57</f>
        <v/>
      </c>
      <c r="AB57" s="6">
        <f>SUM(D57:AA57)</f>
        <v/>
      </c>
      <c r="AC57" s="3" t="inlineStr"/>
      <c r="AD57" s="7">
        <f>F57*0.0004002+E57*0.0004002</f>
        <v/>
      </c>
      <c r="AE57" s="7">
        <f>G57*0.0004002+F57*0.0004002</f>
        <v/>
      </c>
      <c r="AF57" s="7">
        <f>H57*0.0004002+G57*0.0004002</f>
        <v/>
      </c>
      <c r="AG57" s="7">
        <f>I57*0.0004002+H57*0.0004002</f>
        <v/>
      </c>
      <c r="AH57" s="7">
        <f>J57*0.0004002+I57*0.0004002</f>
        <v/>
      </c>
      <c r="AI57" s="7">
        <f>K57*0.0004002+J57*0.0004002</f>
        <v/>
      </c>
      <c r="AJ57" s="7">
        <f>L57*0.0004002+K57*0.0004002</f>
        <v/>
      </c>
      <c r="AK57" s="7">
        <f>M57*0.0004002+L57*0.0004002</f>
        <v/>
      </c>
      <c r="AL57" s="7">
        <f>N57*0.0004002+M57*0.0004002</f>
        <v/>
      </c>
      <c r="AM57" s="7">
        <f>O57*0.0004002+N57*0.0004002</f>
        <v/>
      </c>
      <c r="AN57" s="7">
        <f>P57*0.0004002+O57*0.0004002</f>
        <v/>
      </c>
      <c r="AO57" s="7">
        <f>Q57*0.0004002+P57*0.0004002</f>
        <v/>
      </c>
      <c r="AP57" s="7">
        <f>R57*0.0004002+Q57*0.0004002</f>
        <v/>
      </c>
      <c r="AQ57" s="7">
        <f>S57*0.0004002+R57*0.0004002</f>
        <v/>
      </c>
      <c r="AR57" s="7">
        <f>T57*0.0004002+S57*0.0004002</f>
        <v/>
      </c>
      <c r="AS57" s="7">
        <f>U57*0.0004002+T57*0.0004002</f>
        <v/>
      </c>
      <c r="AT57" s="7">
        <f>V57*0.0004002+U57*0.0004002</f>
        <v/>
      </c>
      <c r="AU57" s="7">
        <f>W57*0.0004002+V57*0.0004002</f>
        <v/>
      </c>
      <c r="AV57" s="7">
        <f>X57*0.0004002+W57*0.0004002</f>
        <v/>
      </c>
      <c r="AW57" s="7">
        <f>Y57*0.0004002+X57*0.0004002</f>
        <v/>
      </c>
      <c r="AX57" s="7">
        <f>Z57*0.0004002+Y57*0.0004002</f>
        <v/>
      </c>
      <c r="AY57" s="7">
        <f>AA57*0.0004002+Z57*0.0004002</f>
        <v/>
      </c>
      <c r="AZ57" s="7">
        <f>D57*0.0004002+AA57*0.0004002</f>
        <v/>
      </c>
      <c r="BA57" s="7">
        <f>E57*0.0004002+D57*0.0004002</f>
        <v/>
      </c>
      <c r="BB57" s="7">
        <f>SUM(AD57:BA57)</f>
        <v/>
      </c>
    </row>
    <row r="58">
      <c r="A58" t="inlineStr">
        <is>
          <t>AMD-FWDREG-SSC</t>
        </is>
      </c>
      <c r="B58" t="inlineStr">
        <is>
          <t>Forward Regular OSC</t>
        </is>
      </c>
      <c r="C58" s="5" t="n">
        <v>46105</v>
      </c>
      <c r="D58" s="6">
        <f>Summary!D58</f>
        <v/>
      </c>
      <c r="E58" s="6">
        <f>Summary!E58</f>
        <v/>
      </c>
      <c r="F58" s="6">
        <f>Summary!F58</f>
        <v/>
      </c>
      <c r="G58" s="6">
        <f>Summary!G58</f>
        <v/>
      </c>
      <c r="H58" s="6">
        <f>Summary!H58</f>
        <v/>
      </c>
      <c r="I58" s="6">
        <f>Summary!I58</f>
        <v/>
      </c>
      <c r="J58" s="6">
        <f>Summary!J58</f>
        <v/>
      </c>
      <c r="K58" s="6">
        <f>Summary!K58</f>
        <v/>
      </c>
      <c r="L58" s="6">
        <f>Summary!L58</f>
        <v/>
      </c>
      <c r="M58" s="6">
        <f>Summary!M58</f>
        <v/>
      </c>
      <c r="N58" s="6">
        <f>Summary!N58</f>
        <v/>
      </c>
      <c r="O58" s="6">
        <f>Summary!O58</f>
        <v/>
      </c>
      <c r="P58" s="6">
        <f>Summary!P58</f>
        <v/>
      </c>
      <c r="Q58" s="6">
        <f>Summary!Q58</f>
        <v/>
      </c>
      <c r="R58" s="6">
        <f>Summary!R58</f>
        <v/>
      </c>
      <c r="S58" s="6">
        <f>Summary!S58</f>
        <v/>
      </c>
      <c r="T58" s="6">
        <f>Summary!T58</f>
        <v/>
      </c>
      <c r="U58" s="6">
        <f>Summary!U58</f>
        <v/>
      </c>
      <c r="V58" s="6">
        <f>Summary!V58</f>
        <v/>
      </c>
      <c r="W58" s="6">
        <f>Summary!W58</f>
        <v/>
      </c>
      <c r="X58" s="6">
        <f>Summary!X58</f>
        <v/>
      </c>
      <c r="Y58" s="6">
        <f>Summary!Y58</f>
        <v/>
      </c>
      <c r="Z58" s="6">
        <f>Summary!Z58</f>
        <v/>
      </c>
      <c r="AA58" s="6">
        <f>Summary!AA58</f>
        <v/>
      </c>
      <c r="AB58" s="6">
        <f>SUM(D58:AA58)</f>
        <v/>
      </c>
      <c r="AC58" s="3" t="inlineStr"/>
      <c r="AD58" s="7">
        <f>F58*0.0004002+E58*0.0004002</f>
        <v/>
      </c>
      <c r="AE58" s="7">
        <f>G58*0.0004002+F58*0.0004002</f>
        <v/>
      </c>
      <c r="AF58" s="7">
        <f>H58*0.0004002+G58*0.0004002</f>
        <v/>
      </c>
      <c r="AG58" s="7">
        <f>I58*0.0004002+H58*0.0004002</f>
        <v/>
      </c>
      <c r="AH58" s="7">
        <f>J58*0.0004002+I58*0.0004002</f>
        <v/>
      </c>
      <c r="AI58" s="7">
        <f>K58*0.0004002+J58*0.0004002</f>
        <v/>
      </c>
      <c r="AJ58" s="7">
        <f>L58*0.0004002+K58*0.0004002</f>
        <v/>
      </c>
      <c r="AK58" s="7">
        <f>M58*0.0004002+L58*0.0004002</f>
        <v/>
      </c>
      <c r="AL58" s="7">
        <f>N58*0.0004002+M58*0.0004002</f>
        <v/>
      </c>
      <c r="AM58" s="7">
        <f>O58*0.0004002+N58*0.0004002</f>
        <v/>
      </c>
      <c r="AN58" s="7">
        <f>P58*0.0004002+O58*0.0004002</f>
        <v/>
      </c>
      <c r="AO58" s="7">
        <f>Q58*0.0004002+P58*0.0004002</f>
        <v/>
      </c>
      <c r="AP58" s="7">
        <f>R58*0.0004002+Q58*0.0004002</f>
        <v/>
      </c>
      <c r="AQ58" s="7">
        <f>S58*0.0004002+R58*0.0004002</f>
        <v/>
      </c>
      <c r="AR58" s="7">
        <f>T58*0.0004002+S58*0.0004002</f>
        <v/>
      </c>
      <c r="AS58" s="7">
        <f>U58*0.0004002+T58*0.0004002</f>
        <v/>
      </c>
      <c r="AT58" s="7">
        <f>V58*0.0004002+U58*0.0004002</f>
        <v/>
      </c>
      <c r="AU58" s="7">
        <f>W58*0.0004002+V58*0.0004002</f>
        <v/>
      </c>
      <c r="AV58" s="7">
        <f>X58*0.0004002+W58*0.0004002</f>
        <v/>
      </c>
      <c r="AW58" s="7">
        <f>Y58*0.0004002+X58*0.0004002</f>
        <v/>
      </c>
      <c r="AX58" s="7">
        <f>Z58*0.0004002+Y58*0.0004002</f>
        <v/>
      </c>
      <c r="AY58" s="7">
        <f>AA58*0.0004002+Z58*0.0004002</f>
        <v/>
      </c>
      <c r="AZ58" s="7">
        <f>D58*0.0004002+AA58*0.0004002</f>
        <v/>
      </c>
      <c r="BA58" s="7">
        <f>E58*0.0004002+D58*0.0004002</f>
        <v/>
      </c>
      <c r="BB58" s="7">
        <f>SUM(AD58:BA58)</f>
        <v/>
      </c>
    </row>
    <row r="59">
      <c r="A59" t="inlineStr">
        <is>
          <t>AMD-INTRA-SSC</t>
        </is>
      </c>
      <c r="B59" t="inlineStr">
        <is>
          <t>Forward Regular OSC</t>
        </is>
      </c>
      <c r="C59" s="5" t="n">
        <v>46098</v>
      </c>
      <c r="D59" s="6">
        <f>Summary!D59</f>
        <v/>
      </c>
      <c r="E59" s="6">
        <f>Summary!E59</f>
        <v/>
      </c>
      <c r="F59" s="6">
        <f>Summary!F59</f>
        <v/>
      </c>
      <c r="G59" s="6">
        <f>Summary!G59</f>
        <v/>
      </c>
      <c r="H59" s="6">
        <f>Summary!H59</f>
        <v/>
      </c>
      <c r="I59" s="6">
        <f>Summary!I59</f>
        <v/>
      </c>
      <c r="J59" s="6">
        <f>Summary!J59</f>
        <v/>
      </c>
      <c r="K59" s="6">
        <f>Summary!K59</f>
        <v/>
      </c>
      <c r="L59" s="6">
        <f>Summary!L59</f>
        <v/>
      </c>
      <c r="M59" s="6">
        <f>Summary!M59</f>
        <v/>
      </c>
      <c r="N59" s="6">
        <f>Summary!N59</f>
        <v/>
      </c>
      <c r="O59" s="6">
        <f>Summary!O59</f>
        <v/>
      </c>
      <c r="P59" s="6">
        <f>Summary!P59</f>
        <v/>
      </c>
      <c r="Q59" s="6">
        <f>Summary!Q59</f>
        <v/>
      </c>
      <c r="R59" s="6">
        <f>Summary!R59</f>
        <v/>
      </c>
      <c r="S59" s="6">
        <f>Summary!S59</f>
        <v/>
      </c>
      <c r="T59" s="6">
        <f>Summary!T59</f>
        <v/>
      </c>
      <c r="U59" s="6">
        <f>Summary!U59</f>
        <v/>
      </c>
      <c r="V59" s="6">
        <f>Summary!V59</f>
        <v/>
      </c>
      <c r="W59" s="6">
        <f>Summary!W59</f>
        <v/>
      </c>
      <c r="X59" s="6">
        <f>Summary!X59</f>
        <v/>
      </c>
      <c r="Y59" s="6">
        <f>Summary!Y59</f>
        <v/>
      </c>
      <c r="Z59" s="6">
        <f>Summary!Z59</f>
        <v/>
      </c>
      <c r="AA59" s="6">
        <f>Summary!AA59</f>
        <v/>
      </c>
      <c r="AB59" s="6">
        <f>SUM(D59:AA59)</f>
        <v/>
      </c>
      <c r="AC59" s="3" t="inlineStr"/>
      <c r="AD59" s="7">
        <f>F59*0.0004002+E59*0.0004002</f>
        <v/>
      </c>
      <c r="AE59" s="7">
        <f>G59*0.0004002+F59*0.0004002</f>
        <v/>
      </c>
      <c r="AF59" s="7">
        <f>H59*0.0004002+G59*0.0004002</f>
        <v/>
      </c>
      <c r="AG59" s="7">
        <f>I59*0.0004002+H59*0.0004002</f>
        <v/>
      </c>
      <c r="AH59" s="7">
        <f>J59*0.0004002+I59*0.0004002</f>
        <v/>
      </c>
      <c r="AI59" s="7">
        <f>K59*0.0004002+J59*0.0004002</f>
        <v/>
      </c>
      <c r="AJ59" s="7">
        <f>L59*0.0004002+K59*0.0004002</f>
        <v/>
      </c>
      <c r="AK59" s="7">
        <f>M59*0.0004002+L59*0.0004002</f>
        <v/>
      </c>
      <c r="AL59" s="7">
        <f>N59*0.0004002+M59*0.0004002</f>
        <v/>
      </c>
      <c r="AM59" s="7">
        <f>O59*0.0004002+N59*0.0004002</f>
        <v/>
      </c>
      <c r="AN59" s="7">
        <f>P59*0.0004002+O59*0.0004002</f>
        <v/>
      </c>
      <c r="AO59" s="7">
        <f>Q59*0.0004002+P59*0.0004002</f>
        <v/>
      </c>
      <c r="AP59" s="7">
        <f>R59*0.0004002+Q59*0.0004002</f>
        <v/>
      </c>
      <c r="AQ59" s="7">
        <f>S59*0.0004002+R59*0.0004002</f>
        <v/>
      </c>
      <c r="AR59" s="7">
        <f>T59*0.0004002+S59*0.0004002</f>
        <v/>
      </c>
      <c r="AS59" s="7">
        <f>U59*0.0004002+T59*0.0004002</f>
        <v/>
      </c>
      <c r="AT59" s="7">
        <f>V59*0.0004002+U59*0.0004002</f>
        <v/>
      </c>
      <c r="AU59" s="7">
        <f>W59*0.0004002+V59*0.0004002</f>
        <v/>
      </c>
      <c r="AV59" s="7">
        <f>X59*0.0004002+W59*0.0004002</f>
        <v/>
      </c>
      <c r="AW59" s="7">
        <f>Y59*0.0004002+X59*0.0004002</f>
        <v/>
      </c>
      <c r="AX59" s="7">
        <f>Z59*0.0004002+Y59*0.0004002</f>
        <v/>
      </c>
      <c r="AY59" s="7">
        <f>AA59*0.0004002+Z59*0.0004002</f>
        <v/>
      </c>
      <c r="AZ59" s="7">
        <f>D59*0.0004002+AA59*0.0004002</f>
        <v/>
      </c>
      <c r="BA59" s="7">
        <f>E59*0.0004002+D59*0.0004002</f>
        <v/>
      </c>
      <c r="BB59" s="7">
        <f>SUM(AD59:BA59)</f>
        <v/>
      </c>
    </row>
    <row r="60">
      <c r="A60" t="inlineStr">
        <is>
          <t>AMD-INTRA-SSC</t>
        </is>
      </c>
      <c r="B60" t="inlineStr">
        <is>
          <t>Forward Regular OSC</t>
        </is>
      </c>
      <c r="C60" s="5" t="n">
        <v>46099</v>
      </c>
      <c r="D60" s="6">
        <f>Summary!D60</f>
        <v/>
      </c>
      <c r="E60" s="6">
        <f>Summary!E60</f>
        <v/>
      </c>
      <c r="F60" s="6">
        <f>Summary!F60</f>
        <v/>
      </c>
      <c r="G60" s="6">
        <f>Summary!G60</f>
        <v/>
      </c>
      <c r="H60" s="6">
        <f>Summary!H60</f>
        <v/>
      </c>
      <c r="I60" s="6">
        <f>Summary!I60</f>
        <v/>
      </c>
      <c r="J60" s="6">
        <f>Summary!J60</f>
        <v/>
      </c>
      <c r="K60" s="6">
        <f>Summary!K60</f>
        <v/>
      </c>
      <c r="L60" s="6">
        <f>Summary!L60</f>
        <v/>
      </c>
      <c r="M60" s="6">
        <f>Summary!M60</f>
        <v/>
      </c>
      <c r="N60" s="6">
        <f>Summary!N60</f>
        <v/>
      </c>
      <c r="O60" s="6">
        <f>Summary!O60</f>
        <v/>
      </c>
      <c r="P60" s="6">
        <f>Summary!P60</f>
        <v/>
      </c>
      <c r="Q60" s="6">
        <f>Summary!Q60</f>
        <v/>
      </c>
      <c r="R60" s="6">
        <f>Summary!R60</f>
        <v/>
      </c>
      <c r="S60" s="6">
        <f>Summary!S60</f>
        <v/>
      </c>
      <c r="T60" s="6">
        <f>Summary!T60</f>
        <v/>
      </c>
      <c r="U60" s="6">
        <f>Summary!U60</f>
        <v/>
      </c>
      <c r="V60" s="6">
        <f>Summary!V60</f>
        <v/>
      </c>
      <c r="W60" s="6">
        <f>Summary!W60</f>
        <v/>
      </c>
      <c r="X60" s="6">
        <f>Summary!X60</f>
        <v/>
      </c>
      <c r="Y60" s="6">
        <f>Summary!Y60</f>
        <v/>
      </c>
      <c r="Z60" s="6">
        <f>Summary!Z60</f>
        <v/>
      </c>
      <c r="AA60" s="6">
        <f>Summary!AA60</f>
        <v/>
      </c>
      <c r="AB60" s="6">
        <f>SUM(D60:AA60)</f>
        <v/>
      </c>
      <c r="AC60" s="3" t="inlineStr"/>
      <c r="AD60" s="7">
        <f>F60*0.0004002+E60*0.0004002</f>
        <v/>
      </c>
      <c r="AE60" s="7">
        <f>G60*0.0004002+F60*0.0004002</f>
        <v/>
      </c>
      <c r="AF60" s="7">
        <f>H60*0.0004002+G60*0.0004002</f>
        <v/>
      </c>
      <c r="AG60" s="7">
        <f>I60*0.0004002+H60*0.0004002</f>
        <v/>
      </c>
      <c r="AH60" s="7">
        <f>J60*0.0004002+I60*0.0004002</f>
        <v/>
      </c>
      <c r="AI60" s="7">
        <f>K60*0.0004002+J60*0.0004002</f>
        <v/>
      </c>
      <c r="AJ60" s="7">
        <f>L60*0.0004002+K60*0.0004002</f>
        <v/>
      </c>
      <c r="AK60" s="7">
        <f>M60*0.0004002+L60*0.0004002</f>
        <v/>
      </c>
      <c r="AL60" s="7">
        <f>N60*0.0004002+M60*0.0004002</f>
        <v/>
      </c>
      <c r="AM60" s="7">
        <f>O60*0.0004002+N60*0.0004002</f>
        <v/>
      </c>
      <c r="AN60" s="7">
        <f>P60*0.0004002+O60*0.0004002</f>
        <v/>
      </c>
      <c r="AO60" s="7">
        <f>Q60*0.0004002+P60*0.0004002</f>
        <v/>
      </c>
      <c r="AP60" s="7">
        <f>R60*0.0004002+Q60*0.0004002</f>
        <v/>
      </c>
      <c r="AQ60" s="7">
        <f>S60*0.0004002+R60*0.0004002</f>
        <v/>
      </c>
      <c r="AR60" s="7">
        <f>T60*0.0004002+S60*0.0004002</f>
        <v/>
      </c>
      <c r="AS60" s="7">
        <f>U60*0.0004002+T60*0.0004002</f>
        <v/>
      </c>
      <c r="AT60" s="7">
        <f>V60*0.0004002+U60*0.0004002</f>
        <v/>
      </c>
      <c r="AU60" s="7">
        <f>W60*0.0004002+V60*0.0004002</f>
        <v/>
      </c>
      <c r="AV60" s="7">
        <f>X60*0.0004002+W60*0.0004002</f>
        <v/>
      </c>
      <c r="AW60" s="7">
        <f>Y60*0.0004002+X60*0.0004002</f>
        <v/>
      </c>
      <c r="AX60" s="7">
        <f>Z60*0.0004002+Y60*0.0004002</f>
        <v/>
      </c>
      <c r="AY60" s="7">
        <f>AA60*0.0004002+Z60*0.0004002</f>
        <v/>
      </c>
      <c r="AZ60" s="7">
        <f>D60*0.0004002+AA60*0.0004002</f>
        <v/>
      </c>
      <c r="BA60" s="7">
        <f>E60*0.0004002+D60*0.0004002</f>
        <v/>
      </c>
      <c r="BB60" s="7">
        <f>SUM(AD60:BA60)</f>
        <v/>
      </c>
    </row>
    <row r="61">
      <c r="A61" t="inlineStr">
        <is>
          <t>AMD-INTRA-SSC</t>
        </is>
      </c>
      <c r="B61" t="inlineStr">
        <is>
          <t>Forward Regular OSC</t>
        </is>
      </c>
      <c r="C61" s="5" t="n">
        <v>46100</v>
      </c>
      <c r="D61" s="6">
        <f>Summary!D61</f>
        <v/>
      </c>
      <c r="E61" s="6">
        <f>Summary!E61</f>
        <v/>
      </c>
      <c r="F61" s="6">
        <f>Summary!F61</f>
        <v/>
      </c>
      <c r="G61" s="6">
        <f>Summary!G61</f>
        <v/>
      </c>
      <c r="H61" s="6">
        <f>Summary!H61</f>
        <v/>
      </c>
      <c r="I61" s="6">
        <f>Summary!I61</f>
        <v/>
      </c>
      <c r="J61" s="6">
        <f>Summary!J61</f>
        <v/>
      </c>
      <c r="K61" s="6">
        <f>Summary!K61</f>
        <v/>
      </c>
      <c r="L61" s="6">
        <f>Summary!L61</f>
        <v/>
      </c>
      <c r="M61" s="6">
        <f>Summary!M61</f>
        <v/>
      </c>
      <c r="N61" s="6">
        <f>Summary!N61</f>
        <v/>
      </c>
      <c r="O61" s="6">
        <f>Summary!O61</f>
        <v/>
      </c>
      <c r="P61" s="6">
        <f>Summary!P61</f>
        <v/>
      </c>
      <c r="Q61" s="6">
        <f>Summary!Q61</f>
        <v/>
      </c>
      <c r="R61" s="6">
        <f>Summary!R61</f>
        <v/>
      </c>
      <c r="S61" s="6">
        <f>Summary!S61</f>
        <v/>
      </c>
      <c r="T61" s="6">
        <f>Summary!T61</f>
        <v/>
      </c>
      <c r="U61" s="6">
        <f>Summary!U61</f>
        <v/>
      </c>
      <c r="V61" s="6">
        <f>Summary!V61</f>
        <v/>
      </c>
      <c r="W61" s="6">
        <f>Summary!W61</f>
        <v/>
      </c>
      <c r="X61" s="6">
        <f>Summary!X61</f>
        <v/>
      </c>
      <c r="Y61" s="6">
        <f>Summary!Y61</f>
        <v/>
      </c>
      <c r="Z61" s="6">
        <f>Summary!Z61</f>
        <v/>
      </c>
      <c r="AA61" s="6">
        <f>Summary!AA61</f>
        <v/>
      </c>
      <c r="AB61" s="6">
        <f>SUM(D61:AA61)</f>
        <v/>
      </c>
      <c r="AC61" s="3" t="inlineStr"/>
      <c r="AD61" s="7">
        <f>F61*0.0004002+E61*0.0004002</f>
        <v/>
      </c>
      <c r="AE61" s="7">
        <f>G61*0.0004002+F61*0.0004002</f>
        <v/>
      </c>
      <c r="AF61" s="7">
        <f>H61*0.0004002+G61*0.0004002</f>
        <v/>
      </c>
      <c r="AG61" s="7">
        <f>I61*0.0004002+H61*0.0004002</f>
        <v/>
      </c>
      <c r="AH61" s="7">
        <f>J61*0.0004002+I61*0.0004002</f>
        <v/>
      </c>
      <c r="AI61" s="7">
        <f>K61*0.0004002+J61*0.0004002</f>
        <v/>
      </c>
      <c r="AJ61" s="7">
        <f>L61*0.0004002+K61*0.0004002</f>
        <v/>
      </c>
      <c r="AK61" s="7">
        <f>M61*0.0004002+L61*0.0004002</f>
        <v/>
      </c>
      <c r="AL61" s="7">
        <f>N61*0.0004002+M61*0.0004002</f>
        <v/>
      </c>
      <c r="AM61" s="7">
        <f>O61*0.0004002+N61*0.0004002</f>
        <v/>
      </c>
      <c r="AN61" s="7">
        <f>P61*0.0004002+O61*0.0004002</f>
        <v/>
      </c>
      <c r="AO61" s="7">
        <f>Q61*0.0004002+P61*0.0004002</f>
        <v/>
      </c>
      <c r="AP61" s="7">
        <f>R61*0.0004002+Q61*0.0004002</f>
        <v/>
      </c>
      <c r="AQ61" s="7">
        <f>S61*0.0004002+R61*0.0004002</f>
        <v/>
      </c>
      <c r="AR61" s="7">
        <f>T61*0.0004002+S61*0.0004002</f>
        <v/>
      </c>
      <c r="AS61" s="7">
        <f>U61*0.0004002+T61*0.0004002</f>
        <v/>
      </c>
      <c r="AT61" s="7">
        <f>V61*0.0004002+U61*0.0004002</f>
        <v/>
      </c>
      <c r="AU61" s="7">
        <f>W61*0.0004002+V61*0.0004002</f>
        <v/>
      </c>
      <c r="AV61" s="7">
        <f>X61*0.0004002+W61*0.0004002</f>
        <v/>
      </c>
      <c r="AW61" s="7">
        <f>Y61*0.0004002+X61*0.0004002</f>
        <v/>
      </c>
      <c r="AX61" s="7">
        <f>Z61*0.0004002+Y61*0.0004002</f>
        <v/>
      </c>
      <c r="AY61" s="7">
        <f>AA61*0.0004002+Z61*0.0004002</f>
        <v/>
      </c>
      <c r="AZ61" s="7">
        <f>D61*0.0004002+AA61*0.0004002</f>
        <v/>
      </c>
      <c r="BA61" s="7">
        <f>E61*0.0004002+D61*0.0004002</f>
        <v/>
      </c>
      <c r="BB61" s="7">
        <f>SUM(AD61:BA61)</f>
        <v/>
      </c>
    </row>
    <row r="62">
      <c r="A62" t="inlineStr">
        <is>
          <t>AMD-INTRA-SSC</t>
        </is>
      </c>
      <c r="B62" t="inlineStr">
        <is>
          <t>Forward Regular OSC</t>
        </is>
      </c>
      <c r="C62" s="5" t="n">
        <v>46101</v>
      </c>
      <c r="D62" s="6">
        <f>Summary!D62</f>
        <v/>
      </c>
      <c r="E62" s="6">
        <f>Summary!E62</f>
        <v/>
      </c>
      <c r="F62" s="6">
        <f>Summary!F62</f>
        <v/>
      </c>
      <c r="G62" s="6">
        <f>Summary!G62</f>
        <v/>
      </c>
      <c r="H62" s="6">
        <f>Summary!H62</f>
        <v/>
      </c>
      <c r="I62" s="6">
        <f>Summary!I62</f>
        <v/>
      </c>
      <c r="J62" s="6">
        <f>Summary!J62</f>
        <v/>
      </c>
      <c r="K62" s="6">
        <f>Summary!K62</f>
        <v/>
      </c>
      <c r="L62" s="6">
        <f>Summary!L62</f>
        <v/>
      </c>
      <c r="M62" s="6">
        <f>Summary!M62</f>
        <v/>
      </c>
      <c r="N62" s="6">
        <f>Summary!N62</f>
        <v/>
      </c>
      <c r="O62" s="6">
        <f>Summary!O62</f>
        <v/>
      </c>
      <c r="P62" s="6">
        <f>Summary!P62</f>
        <v/>
      </c>
      <c r="Q62" s="6">
        <f>Summary!Q62</f>
        <v/>
      </c>
      <c r="R62" s="6">
        <f>Summary!R62</f>
        <v/>
      </c>
      <c r="S62" s="6">
        <f>Summary!S62</f>
        <v/>
      </c>
      <c r="T62" s="6">
        <f>Summary!T62</f>
        <v/>
      </c>
      <c r="U62" s="6">
        <f>Summary!U62</f>
        <v/>
      </c>
      <c r="V62" s="6">
        <f>Summary!V62</f>
        <v/>
      </c>
      <c r="W62" s="6">
        <f>Summary!W62</f>
        <v/>
      </c>
      <c r="X62" s="6">
        <f>Summary!X62</f>
        <v/>
      </c>
      <c r="Y62" s="6">
        <f>Summary!Y62</f>
        <v/>
      </c>
      <c r="Z62" s="6">
        <f>Summary!Z62</f>
        <v/>
      </c>
      <c r="AA62" s="6">
        <f>Summary!AA62</f>
        <v/>
      </c>
      <c r="AB62" s="6">
        <f>SUM(D62:AA62)</f>
        <v/>
      </c>
      <c r="AC62" s="3" t="inlineStr"/>
      <c r="AD62" s="7">
        <f>F62*0.0004002+E62*0.0004002</f>
        <v/>
      </c>
      <c r="AE62" s="7">
        <f>G62*0.0004002+F62*0.0004002</f>
        <v/>
      </c>
      <c r="AF62" s="7">
        <f>H62*0.0004002+G62*0.0004002</f>
        <v/>
      </c>
      <c r="AG62" s="7">
        <f>I62*0.0004002+H62*0.0004002</f>
        <v/>
      </c>
      <c r="AH62" s="7">
        <f>J62*0.0004002+I62*0.0004002</f>
        <v/>
      </c>
      <c r="AI62" s="7">
        <f>K62*0.0004002+J62*0.0004002</f>
        <v/>
      </c>
      <c r="AJ62" s="7">
        <f>L62*0.0004002+K62*0.0004002</f>
        <v/>
      </c>
      <c r="AK62" s="7">
        <f>M62*0.0004002+L62*0.0004002</f>
        <v/>
      </c>
      <c r="AL62" s="7">
        <f>N62*0.0004002+M62*0.0004002</f>
        <v/>
      </c>
      <c r="AM62" s="7">
        <f>O62*0.0004002+N62*0.0004002</f>
        <v/>
      </c>
      <c r="AN62" s="7">
        <f>P62*0.0004002+O62*0.0004002</f>
        <v/>
      </c>
      <c r="AO62" s="7">
        <f>Q62*0.0004002+P62*0.0004002</f>
        <v/>
      </c>
      <c r="AP62" s="7">
        <f>R62*0.0004002+Q62*0.0004002</f>
        <v/>
      </c>
      <c r="AQ62" s="7">
        <f>S62*0.0004002+R62*0.0004002</f>
        <v/>
      </c>
      <c r="AR62" s="7">
        <f>T62*0.0004002+S62*0.0004002</f>
        <v/>
      </c>
      <c r="AS62" s="7">
        <f>U62*0.0004002+T62*0.0004002</f>
        <v/>
      </c>
      <c r="AT62" s="7">
        <f>V62*0.0004002+U62*0.0004002</f>
        <v/>
      </c>
      <c r="AU62" s="7">
        <f>W62*0.0004002+V62*0.0004002</f>
        <v/>
      </c>
      <c r="AV62" s="7">
        <f>X62*0.0004002+W62*0.0004002</f>
        <v/>
      </c>
      <c r="AW62" s="7">
        <f>Y62*0.0004002+X62*0.0004002</f>
        <v/>
      </c>
      <c r="AX62" s="7">
        <f>Z62*0.0004002+Y62*0.0004002</f>
        <v/>
      </c>
      <c r="AY62" s="7">
        <f>AA62*0.0004002+Z62*0.0004002</f>
        <v/>
      </c>
      <c r="AZ62" s="7">
        <f>D62*0.0004002+AA62*0.0004002</f>
        <v/>
      </c>
      <c r="BA62" s="7">
        <f>E62*0.0004002+D62*0.0004002</f>
        <v/>
      </c>
      <c r="BB62" s="7">
        <f>SUM(AD62:BA62)</f>
        <v/>
      </c>
    </row>
    <row r="63">
      <c r="A63" t="inlineStr">
        <is>
          <t>AMD-INTRA-SSC</t>
        </is>
      </c>
      <c r="B63" t="inlineStr">
        <is>
          <t>Forward Regular OSC</t>
        </is>
      </c>
      <c r="C63" s="5" t="n">
        <v>46102</v>
      </c>
      <c r="D63" s="6">
        <f>Summary!D63</f>
        <v/>
      </c>
      <c r="E63" s="6">
        <f>Summary!E63</f>
        <v/>
      </c>
      <c r="F63" s="6">
        <f>Summary!F63</f>
        <v/>
      </c>
      <c r="G63" s="6">
        <f>Summary!G63</f>
        <v/>
      </c>
      <c r="H63" s="6">
        <f>Summary!H63</f>
        <v/>
      </c>
      <c r="I63" s="6">
        <f>Summary!I63</f>
        <v/>
      </c>
      <c r="J63" s="6">
        <f>Summary!J63</f>
        <v/>
      </c>
      <c r="K63" s="6">
        <f>Summary!K63</f>
        <v/>
      </c>
      <c r="L63" s="6">
        <f>Summary!L63</f>
        <v/>
      </c>
      <c r="M63" s="6">
        <f>Summary!M63</f>
        <v/>
      </c>
      <c r="N63" s="6">
        <f>Summary!N63</f>
        <v/>
      </c>
      <c r="O63" s="6">
        <f>Summary!O63</f>
        <v/>
      </c>
      <c r="P63" s="6">
        <f>Summary!P63</f>
        <v/>
      </c>
      <c r="Q63" s="6">
        <f>Summary!Q63</f>
        <v/>
      </c>
      <c r="R63" s="6">
        <f>Summary!R63</f>
        <v/>
      </c>
      <c r="S63" s="6">
        <f>Summary!S63</f>
        <v/>
      </c>
      <c r="T63" s="6">
        <f>Summary!T63</f>
        <v/>
      </c>
      <c r="U63" s="6">
        <f>Summary!U63</f>
        <v/>
      </c>
      <c r="V63" s="6">
        <f>Summary!V63</f>
        <v/>
      </c>
      <c r="W63" s="6">
        <f>Summary!W63</f>
        <v/>
      </c>
      <c r="X63" s="6">
        <f>Summary!X63</f>
        <v/>
      </c>
      <c r="Y63" s="6">
        <f>Summary!Y63</f>
        <v/>
      </c>
      <c r="Z63" s="6">
        <f>Summary!Z63</f>
        <v/>
      </c>
      <c r="AA63" s="6">
        <f>Summary!AA63</f>
        <v/>
      </c>
      <c r="AB63" s="6">
        <f>SUM(D63:AA63)</f>
        <v/>
      </c>
      <c r="AC63" s="3" t="inlineStr"/>
      <c r="AD63" s="7">
        <f>F63*0.0004002+E63*0.0004002</f>
        <v/>
      </c>
      <c r="AE63" s="7">
        <f>G63*0.0004002+F63*0.0004002</f>
        <v/>
      </c>
      <c r="AF63" s="7">
        <f>H63*0.0004002+G63*0.0004002</f>
        <v/>
      </c>
      <c r="AG63" s="7">
        <f>I63*0.0004002+H63*0.0004002</f>
        <v/>
      </c>
      <c r="AH63" s="7">
        <f>J63*0.0004002+I63*0.0004002</f>
        <v/>
      </c>
      <c r="AI63" s="7">
        <f>K63*0.0004002+J63*0.0004002</f>
        <v/>
      </c>
      <c r="AJ63" s="7">
        <f>L63*0.0004002+K63*0.0004002</f>
        <v/>
      </c>
      <c r="AK63" s="7">
        <f>M63*0.0004002+L63*0.0004002</f>
        <v/>
      </c>
      <c r="AL63" s="7">
        <f>N63*0.0004002+M63*0.0004002</f>
        <v/>
      </c>
      <c r="AM63" s="7">
        <f>O63*0.0004002+N63*0.0004002</f>
        <v/>
      </c>
      <c r="AN63" s="7">
        <f>P63*0.0004002+O63*0.0004002</f>
        <v/>
      </c>
      <c r="AO63" s="7">
        <f>Q63*0.0004002+P63*0.0004002</f>
        <v/>
      </c>
      <c r="AP63" s="7">
        <f>R63*0.0004002+Q63*0.0004002</f>
        <v/>
      </c>
      <c r="AQ63" s="7">
        <f>S63*0.0004002+R63*0.0004002</f>
        <v/>
      </c>
      <c r="AR63" s="7">
        <f>T63*0.0004002+S63*0.0004002</f>
        <v/>
      </c>
      <c r="AS63" s="7">
        <f>U63*0.0004002+T63*0.0004002</f>
        <v/>
      </c>
      <c r="AT63" s="7">
        <f>V63*0.0004002+U63*0.0004002</f>
        <v/>
      </c>
      <c r="AU63" s="7">
        <f>W63*0.0004002+V63*0.0004002</f>
        <v/>
      </c>
      <c r="AV63" s="7">
        <f>X63*0.0004002+W63*0.0004002</f>
        <v/>
      </c>
      <c r="AW63" s="7">
        <f>Y63*0.0004002+X63*0.0004002</f>
        <v/>
      </c>
      <c r="AX63" s="7">
        <f>Z63*0.0004002+Y63*0.0004002</f>
        <v/>
      </c>
      <c r="AY63" s="7">
        <f>AA63*0.0004002+Z63*0.0004002</f>
        <v/>
      </c>
      <c r="AZ63" s="7">
        <f>D63*0.0004002+AA63*0.0004002</f>
        <v/>
      </c>
      <c r="BA63" s="7">
        <f>E63*0.0004002+D63*0.0004002</f>
        <v/>
      </c>
      <c r="BB63" s="7">
        <f>SUM(AD63:BA63)</f>
        <v/>
      </c>
    </row>
    <row r="64">
      <c r="A64" t="inlineStr">
        <is>
          <t>AMD-INTRA-SSC</t>
        </is>
      </c>
      <c r="B64" t="inlineStr">
        <is>
          <t>Forward Regular OSC</t>
        </is>
      </c>
      <c r="C64" s="5" t="n">
        <v>46103</v>
      </c>
      <c r="D64" s="6">
        <f>Summary!D64</f>
        <v/>
      </c>
      <c r="E64" s="6">
        <f>Summary!E64</f>
        <v/>
      </c>
      <c r="F64" s="6">
        <f>Summary!F64</f>
        <v/>
      </c>
      <c r="G64" s="6">
        <f>Summary!G64</f>
        <v/>
      </c>
      <c r="H64" s="6">
        <f>Summary!H64</f>
        <v/>
      </c>
      <c r="I64" s="6">
        <f>Summary!I64</f>
        <v/>
      </c>
      <c r="J64" s="6">
        <f>Summary!J64</f>
        <v/>
      </c>
      <c r="K64" s="6">
        <f>Summary!K64</f>
        <v/>
      </c>
      <c r="L64" s="6">
        <f>Summary!L64</f>
        <v/>
      </c>
      <c r="M64" s="6">
        <f>Summary!M64</f>
        <v/>
      </c>
      <c r="N64" s="6">
        <f>Summary!N64</f>
        <v/>
      </c>
      <c r="O64" s="6">
        <f>Summary!O64</f>
        <v/>
      </c>
      <c r="P64" s="6">
        <f>Summary!P64</f>
        <v/>
      </c>
      <c r="Q64" s="6">
        <f>Summary!Q64</f>
        <v/>
      </c>
      <c r="R64" s="6">
        <f>Summary!R64</f>
        <v/>
      </c>
      <c r="S64" s="6">
        <f>Summary!S64</f>
        <v/>
      </c>
      <c r="T64" s="6">
        <f>Summary!T64</f>
        <v/>
      </c>
      <c r="U64" s="6">
        <f>Summary!U64</f>
        <v/>
      </c>
      <c r="V64" s="6">
        <f>Summary!V64</f>
        <v/>
      </c>
      <c r="W64" s="6">
        <f>Summary!W64</f>
        <v/>
      </c>
      <c r="X64" s="6">
        <f>Summary!X64</f>
        <v/>
      </c>
      <c r="Y64" s="6">
        <f>Summary!Y64</f>
        <v/>
      </c>
      <c r="Z64" s="6">
        <f>Summary!Z64</f>
        <v/>
      </c>
      <c r="AA64" s="6">
        <f>Summary!AA64</f>
        <v/>
      </c>
      <c r="AB64" s="6">
        <f>SUM(D64:AA64)</f>
        <v/>
      </c>
      <c r="AC64" s="3" t="inlineStr"/>
      <c r="AD64" s="7">
        <f>F64*0.0004002+E64*0.0004002</f>
        <v/>
      </c>
      <c r="AE64" s="7">
        <f>G64*0.0004002+F64*0.0004002</f>
        <v/>
      </c>
      <c r="AF64" s="7">
        <f>H64*0.0004002+G64*0.0004002</f>
        <v/>
      </c>
      <c r="AG64" s="7">
        <f>I64*0.0004002+H64*0.0004002</f>
        <v/>
      </c>
      <c r="AH64" s="7">
        <f>J64*0.0004002+I64*0.0004002</f>
        <v/>
      </c>
      <c r="AI64" s="7">
        <f>K64*0.0004002+J64*0.0004002</f>
        <v/>
      </c>
      <c r="AJ64" s="7">
        <f>L64*0.0004002+K64*0.0004002</f>
        <v/>
      </c>
      <c r="AK64" s="7">
        <f>M64*0.0004002+L64*0.0004002</f>
        <v/>
      </c>
      <c r="AL64" s="7">
        <f>N64*0.0004002+M64*0.0004002</f>
        <v/>
      </c>
      <c r="AM64" s="7">
        <f>O64*0.0004002+N64*0.0004002</f>
        <v/>
      </c>
      <c r="AN64" s="7">
        <f>P64*0.0004002+O64*0.0004002</f>
        <v/>
      </c>
      <c r="AO64" s="7">
        <f>Q64*0.0004002+P64*0.0004002</f>
        <v/>
      </c>
      <c r="AP64" s="7">
        <f>R64*0.0004002+Q64*0.0004002</f>
        <v/>
      </c>
      <c r="AQ64" s="7">
        <f>S64*0.0004002+R64*0.0004002</f>
        <v/>
      </c>
      <c r="AR64" s="7">
        <f>T64*0.0004002+S64*0.0004002</f>
        <v/>
      </c>
      <c r="AS64" s="7">
        <f>U64*0.0004002+T64*0.0004002</f>
        <v/>
      </c>
      <c r="AT64" s="7">
        <f>V64*0.0004002+U64*0.0004002</f>
        <v/>
      </c>
      <c r="AU64" s="7">
        <f>W64*0.0004002+V64*0.0004002</f>
        <v/>
      </c>
      <c r="AV64" s="7">
        <f>X64*0.0004002+W64*0.0004002</f>
        <v/>
      </c>
      <c r="AW64" s="7">
        <f>Y64*0.0004002+X64*0.0004002</f>
        <v/>
      </c>
      <c r="AX64" s="7">
        <f>Z64*0.0004002+Y64*0.0004002</f>
        <v/>
      </c>
      <c r="AY64" s="7">
        <f>AA64*0.0004002+Z64*0.0004002</f>
        <v/>
      </c>
      <c r="AZ64" s="7">
        <f>D64*0.0004002+AA64*0.0004002</f>
        <v/>
      </c>
      <c r="BA64" s="7">
        <f>E64*0.0004002+D64*0.0004002</f>
        <v/>
      </c>
      <c r="BB64" s="7">
        <f>SUM(AD64:BA64)</f>
        <v/>
      </c>
    </row>
    <row r="65">
      <c r="A65" t="inlineStr">
        <is>
          <t>AMD-INTRA-SSC</t>
        </is>
      </c>
      <c r="B65" t="inlineStr">
        <is>
          <t>Forward Regular OSC</t>
        </is>
      </c>
      <c r="C65" s="5" t="n">
        <v>46104</v>
      </c>
      <c r="D65" s="6">
        <f>Summary!D65</f>
        <v/>
      </c>
      <c r="E65" s="6">
        <f>Summary!E65</f>
        <v/>
      </c>
      <c r="F65" s="6">
        <f>Summary!F65</f>
        <v/>
      </c>
      <c r="G65" s="6">
        <f>Summary!G65</f>
        <v/>
      </c>
      <c r="H65" s="6">
        <f>Summary!H65</f>
        <v/>
      </c>
      <c r="I65" s="6">
        <f>Summary!I65</f>
        <v/>
      </c>
      <c r="J65" s="6">
        <f>Summary!J65</f>
        <v/>
      </c>
      <c r="K65" s="6">
        <f>Summary!K65</f>
        <v/>
      </c>
      <c r="L65" s="6">
        <f>Summary!L65</f>
        <v/>
      </c>
      <c r="M65" s="6">
        <f>Summary!M65</f>
        <v/>
      </c>
      <c r="N65" s="6">
        <f>Summary!N65</f>
        <v/>
      </c>
      <c r="O65" s="6">
        <f>Summary!O65</f>
        <v/>
      </c>
      <c r="P65" s="6">
        <f>Summary!P65</f>
        <v/>
      </c>
      <c r="Q65" s="6">
        <f>Summary!Q65</f>
        <v/>
      </c>
      <c r="R65" s="6">
        <f>Summary!R65</f>
        <v/>
      </c>
      <c r="S65" s="6">
        <f>Summary!S65</f>
        <v/>
      </c>
      <c r="T65" s="6">
        <f>Summary!T65</f>
        <v/>
      </c>
      <c r="U65" s="6">
        <f>Summary!U65</f>
        <v/>
      </c>
      <c r="V65" s="6">
        <f>Summary!V65</f>
        <v/>
      </c>
      <c r="W65" s="6">
        <f>Summary!W65</f>
        <v/>
      </c>
      <c r="X65" s="6">
        <f>Summary!X65</f>
        <v/>
      </c>
      <c r="Y65" s="6">
        <f>Summary!Y65</f>
        <v/>
      </c>
      <c r="Z65" s="6">
        <f>Summary!Z65</f>
        <v/>
      </c>
      <c r="AA65" s="6">
        <f>Summary!AA65</f>
        <v/>
      </c>
      <c r="AB65" s="6">
        <f>SUM(D65:AA65)</f>
        <v/>
      </c>
      <c r="AC65" s="3" t="inlineStr"/>
      <c r="AD65" s="7">
        <f>F65*0.0004002+E65*0.0004002</f>
        <v/>
      </c>
      <c r="AE65" s="7">
        <f>G65*0.0004002+F65*0.0004002</f>
        <v/>
      </c>
      <c r="AF65" s="7">
        <f>H65*0.0004002+G65*0.0004002</f>
        <v/>
      </c>
      <c r="AG65" s="7">
        <f>I65*0.0004002+H65*0.0004002</f>
        <v/>
      </c>
      <c r="AH65" s="7">
        <f>J65*0.0004002+I65*0.0004002</f>
        <v/>
      </c>
      <c r="AI65" s="7">
        <f>K65*0.0004002+J65*0.0004002</f>
        <v/>
      </c>
      <c r="AJ65" s="7">
        <f>L65*0.0004002+K65*0.0004002</f>
        <v/>
      </c>
      <c r="AK65" s="7">
        <f>M65*0.0004002+L65*0.0004002</f>
        <v/>
      </c>
      <c r="AL65" s="7">
        <f>N65*0.0004002+M65*0.0004002</f>
        <v/>
      </c>
      <c r="AM65" s="7">
        <f>O65*0.0004002+N65*0.0004002</f>
        <v/>
      </c>
      <c r="AN65" s="7">
        <f>P65*0.0004002+O65*0.0004002</f>
        <v/>
      </c>
      <c r="AO65" s="7">
        <f>Q65*0.0004002+P65*0.0004002</f>
        <v/>
      </c>
      <c r="AP65" s="7">
        <f>R65*0.0004002+Q65*0.0004002</f>
        <v/>
      </c>
      <c r="AQ65" s="7">
        <f>S65*0.0004002+R65*0.0004002</f>
        <v/>
      </c>
      <c r="AR65" s="7">
        <f>T65*0.0004002+S65*0.0004002</f>
        <v/>
      </c>
      <c r="AS65" s="7">
        <f>U65*0.0004002+T65*0.0004002</f>
        <v/>
      </c>
      <c r="AT65" s="7">
        <f>V65*0.0004002+U65*0.0004002</f>
        <v/>
      </c>
      <c r="AU65" s="7">
        <f>W65*0.0004002+V65*0.0004002</f>
        <v/>
      </c>
      <c r="AV65" s="7">
        <f>X65*0.0004002+W65*0.0004002</f>
        <v/>
      </c>
      <c r="AW65" s="7">
        <f>Y65*0.0004002+X65*0.0004002</f>
        <v/>
      </c>
      <c r="AX65" s="7">
        <f>Z65*0.0004002+Y65*0.0004002</f>
        <v/>
      </c>
      <c r="AY65" s="7">
        <f>AA65*0.0004002+Z65*0.0004002</f>
        <v/>
      </c>
      <c r="AZ65" s="7">
        <f>D65*0.0004002+AA65*0.0004002</f>
        <v/>
      </c>
      <c r="BA65" s="7">
        <f>E65*0.0004002+D65*0.0004002</f>
        <v/>
      </c>
      <c r="BB65" s="7">
        <f>SUM(AD65:BA65)</f>
        <v/>
      </c>
    </row>
    <row r="66">
      <c r="A66" t="inlineStr">
        <is>
          <t>AMD-INTRA-SSC</t>
        </is>
      </c>
      <c r="B66" t="inlineStr">
        <is>
          <t>Forward Regular OSC</t>
        </is>
      </c>
      <c r="C66" s="5" t="n">
        <v>46105</v>
      </c>
      <c r="D66" s="6">
        <f>Summary!D66</f>
        <v/>
      </c>
      <c r="E66" s="6">
        <f>Summary!E66</f>
        <v/>
      </c>
      <c r="F66" s="6">
        <f>Summary!F66</f>
        <v/>
      </c>
      <c r="G66" s="6">
        <f>Summary!G66</f>
        <v/>
      </c>
      <c r="H66" s="6">
        <f>Summary!H66</f>
        <v/>
      </c>
      <c r="I66" s="6">
        <f>Summary!I66</f>
        <v/>
      </c>
      <c r="J66" s="6">
        <f>Summary!J66</f>
        <v/>
      </c>
      <c r="K66" s="6">
        <f>Summary!K66</f>
        <v/>
      </c>
      <c r="L66" s="6">
        <f>Summary!L66</f>
        <v/>
      </c>
      <c r="M66" s="6">
        <f>Summary!M66</f>
        <v/>
      </c>
      <c r="N66" s="6">
        <f>Summary!N66</f>
        <v/>
      </c>
      <c r="O66" s="6">
        <f>Summary!O66</f>
        <v/>
      </c>
      <c r="P66" s="6">
        <f>Summary!P66</f>
        <v/>
      </c>
      <c r="Q66" s="6">
        <f>Summary!Q66</f>
        <v/>
      </c>
      <c r="R66" s="6">
        <f>Summary!R66</f>
        <v/>
      </c>
      <c r="S66" s="6">
        <f>Summary!S66</f>
        <v/>
      </c>
      <c r="T66" s="6">
        <f>Summary!T66</f>
        <v/>
      </c>
      <c r="U66" s="6">
        <f>Summary!U66</f>
        <v/>
      </c>
      <c r="V66" s="6">
        <f>Summary!V66</f>
        <v/>
      </c>
      <c r="W66" s="6">
        <f>Summary!W66</f>
        <v/>
      </c>
      <c r="X66" s="6">
        <f>Summary!X66</f>
        <v/>
      </c>
      <c r="Y66" s="6">
        <f>Summary!Y66</f>
        <v/>
      </c>
      <c r="Z66" s="6">
        <f>Summary!Z66</f>
        <v/>
      </c>
      <c r="AA66" s="6">
        <f>Summary!AA66</f>
        <v/>
      </c>
      <c r="AB66" s="6">
        <f>SUM(D66:AA66)</f>
        <v/>
      </c>
      <c r="AC66" s="3" t="inlineStr"/>
      <c r="AD66" s="7">
        <f>F66*0.0004002+E66*0.0004002</f>
        <v/>
      </c>
      <c r="AE66" s="7">
        <f>G66*0.0004002+F66*0.0004002</f>
        <v/>
      </c>
      <c r="AF66" s="7">
        <f>H66*0.0004002+G66*0.0004002</f>
        <v/>
      </c>
      <c r="AG66" s="7">
        <f>I66*0.0004002+H66*0.0004002</f>
        <v/>
      </c>
      <c r="AH66" s="7">
        <f>J66*0.0004002+I66*0.0004002</f>
        <v/>
      </c>
      <c r="AI66" s="7">
        <f>K66*0.0004002+J66*0.0004002</f>
        <v/>
      </c>
      <c r="AJ66" s="7">
        <f>L66*0.0004002+K66*0.0004002</f>
        <v/>
      </c>
      <c r="AK66" s="7">
        <f>M66*0.0004002+L66*0.0004002</f>
        <v/>
      </c>
      <c r="AL66" s="7">
        <f>N66*0.0004002+M66*0.0004002</f>
        <v/>
      </c>
      <c r="AM66" s="7">
        <f>O66*0.0004002+N66*0.0004002</f>
        <v/>
      </c>
      <c r="AN66" s="7">
        <f>P66*0.0004002+O66*0.0004002</f>
        <v/>
      </c>
      <c r="AO66" s="7">
        <f>Q66*0.0004002+P66*0.0004002</f>
        <v/>
      </c>
      <c r="AP66" s="7">
        <f>R66*0.0004002+Q66*0.0004002</f>
        <v/>
      </c>
      <c r="AQ66" s="7">
        <f>S66*0.0004002+R66*0.0004002</f>
        <v/>
      </c>
      <c r="AR66" s="7">
        <f>T66*0.0004002+S66*0.0004002</f>
        <v/>
      </c>
      <c r="AS66" s="7">
        <f>U66*0.0004002+T66*0.0004002</f>
        <v/>
      </c>
      <c r="AT66" s="7">
        <f>V66*0.0004002+U66*0.0004002</f>
        <v/>
      </c>
      <c r="AU66" s="7">
        <f>W66*0.0004002+V66*0.0004002</f>
        <v/>
      </c>
      <c r="AV66" s="7">
        <f>X66*0.0004002+W66*0.0004002</f>
        <v/>
      </c>
      <c r="AW66" s="7">
        <f>Y66*0.0004002+X66*0.0004002</f>
        <v/>
      </c>
      <c r="AX66" s="7">
        <f>Z66*0.0004002+Y66*0.0004002</f>
        <v/>
      </c>
      <c r="AY66" s="7">
        <f>AA66*0.0004002+Z66*0.0004002</f>
        <v/>
      </c>
      <c r="AZ66" s="7">
        <f>D66*0.0004002+AA66*0.0004002</f>
        <v/>
      </c>
      <c r="BA66" s="7">
        <f>E66*0.0004002+D66*0.0004002</f>
        <v/>
      </c>
      <c r="BB66" s="7">
        <f>SUM(AD66:BA66)</f>
        <v/>
      </c>
    </row>
    <row r="67">
      <c r="A67" t="inlineStr">
        <is>
          <t>AMD-M1</t>
        </is>
      </c>
      <c r="B67" t="inlineStr">
        <is>
          <t>Forward Regular OSC</t>
        </is>
      </c>
      <c r="C67" s="5" t="n">
        <v>46089</v>
      </c>
      <c r="D67" s="6">
        <f>Summary!D67</f>
        <v/>
      </c>
      <c r="E67" s="6">
        <f>Summary!E67</f>
        <v/>
      </c>
      <c r="F67" s="6">
        <f>Summary!F67</f>
        <v/>
      </c>
      <c r="G67" s="6">
        <f>Summary!G67</f>
        <v/>
      </c>
      <c r="H67" s="6">
        <f>Summary!H67</f>
        <v/>
      </c>
      <c r="I67" s="6">
        <f>Summary!I67</f>
        <v/>
      </c>
      <c r="J67" s="6">
        <f>Summary!J67</f>
        <v/>
      </c>
      <c r="K67" s="6">
        <f>Summary!K67</f>
        <v/>
      </c>
      <c r="L67" s="6">
        <f>Summary!L67</f>
        <v/>
      </c>
      <c r="M67" s="6">
        <f>Summary!M67</f>
        <v/>
      </c>
      <c r="N67" s="6">
        <f>Summary!N67</f>
        <v/>
      </c>
      <c r="O67" s="6">
        <f>Summary!O67</f>
        <v/>
      </c>
      <c r="P67" s="6">
        <f>Summary!P67</f>
        <v/>
      </c>
      <c r="Q67" s="6">
        <f>Summary!Q67</f>
        <v/>
      </c>
      <c r="R67" s="6">
        <f>Summary!R67</f>
        <v/>
      </c>
      <c r="S67" s="6">
        <f>Summary!S67</f>
        <v/>
      </c>
      <c r="T67" s="6">
        <f>Summary!T67</f>
        <v/>
      </c>
      <c r="U67" s="6">
        <f>Summary!U67</f>
        <v/>
      </c>
      <c r="V67" s="6">
        <f>Summary!V67</f>
        <v/>
      </c>
      <c r="W67" s="6">
        <f>Summary!W67</f>
        <v/>
      </c>
      <c r="X67" s="6">
        <f>Summary!X67</f>
        <v/>
      </c>
      <c r="Y67" s="6">
        <f>Summary!Y67</f>
        <v/>
      </c>
      <c r="Z67" s="6">
        <f>Summary!Z67</f>
        <v/>
      </c>
      <c r="AA67" s="6">
        <f>Summary!AA67</f>
        <v/>
      </c>
      <c r="AB67" s="6">
        <f>SUM(D67:AA67)</f>
        <v/>
      </c>
      <c r="AC67" s="3" t="inlineStr"/>
      <c r="AD67" s="7">
        <f>F67*0.0004002+E67*0.0004002</f>
        <v/>
      </c>
      <c r="AE67" s="7">
        <f>G67*0.0004002+F67*0.0004002</f>
        <v/>
      </c>
      <c r="AF67" s="7">
        <f>H67*0.0004002+G67*0.0004002</f>
        <v/>
      </c>
      <c r="AG67" s="7">
        <f>I67*0.0004002+H67*0.0004002</f>
        <v/>
      </c>
      <c r="AH67" s="7">
        <f>J67*0.0004002+I67*0.0004002</f>
        <v/>
      </c>
      <c r="AI67" s="7">
        <f>K67*0.0004002+J67*0.0004002</f>
        <v/>
      </c>
      <c r="AJ67" s="7">
        <f>L67*0.0004002+K67*0.0004002</f>
        <v/>
      </c>
      <c r="AK67" s="7">
        <f>M67*0.0004002+L67*0.0004002</f>
        <v/>
      </c>
      <c r="AL67" s="7">
        <f>N67*0.0004002+M67*0.0004002</f>
        <v/>
      </c>
      <c r="AM67" s="7">
        <f>O67*0.0004002+N67*0.0004002</f>
        <v/>
      </c>
      <c r="AN67" s="7">
        <f>P67*0.0004002+O67*0.0004002</f>
        <v/>
      </c>
      <c r="AO67" s="7">
        <f>Q67*0.0004002+P67*0.0004002</f>
        <v/>
      </c>
      <c r="AP67" s="7">
        <f>R67*0.0004002+Q67*0.0004002</f>
        <v/>
      </c>
      <c r="AQ67" s="7">
        <f>S67*0.0004002+R67*0.0004002</f>
        <v/>
      </c>
      <c r="AR67" s="7">
        <f>T67*0.0004002+S67*0.0004002</f>
        <v/>
      </c>
      <c r="AS67" s="7">
        <f>U67*0.0004002+T67*0.0004002</f>
        <v/>
      </c>
      <c r="AT67" s="7">
        <f>V67*0.0004002+U67*0.0004002</f>
        <v/>
      </c>
      <c r="AU67" s="7">
        <f>W67*0.0004002+V67*0.0004002</f>
        <v/>
      </c>
      <c r="AV67" s="7">
        <f>X67*0.0004002+W67*0.0004002</f>
        <v/>
      </c>
      <c r="AW67" s="7">
        <f>Y67*0.0004002+X67*0.0004002</f>
        <v/>
      </c>
      <c r="AX67" s="7">
        <f>Z67*0.0004002+Y67*0.0004002</f>
        <v/>
      </c>
      <c r="AY67" s="7">
        <f>AA67*0.0004002+Z67*0.0004002</f>
        <v/>
      </c>
      <c r="AZ67" s="7">
        <f>D67*0.0004002+AA67*0.0004002</f>
        <v/>
      </c>
      <c r="BA67" s="7">
        <f>E67*0.0004002+D67*0.0004002</f>
        <v/>
      </c>
      <c r="BB67" s="7">
        <f>SUM(AD67:BA67)</f>
        <v/>
      </c>
    </row>
    <row r="68">
      <c r="A68" t="inlineStr">
        <is>
          <t>AMD-M1</t>
        </is>
      </c>
      <c r="B68" t="inlineStr">
        <is>
          <t>Forward Regular OSC</t>
        </is>
      </c>
      <c r="C68" s="5" t="n">
        <v>46090</v>
      </c>
      <c r="D68" s="6">
        <f>Summary!D68</f>
        <v/>
      </c>
      <c r="E68" s="6">
        <f>Summary!E68</f>
        <v/>
      </c>
      <c r="F68" s="6">
        <f>Summary!F68</f>
        <v/>
      </c>
      <c r="G68" s="6">
        <f>Summary!G68</f>
        <v/>
      </c>
      <c r="H68" s="6">
        <f>Summary!H68</f>
        <v/>
      </c>
      <c r="I68" s="6">
        <f>Summary!I68</f>
        <v/>
      </c>
      <c r="J68" s="6">
        <f>Summary!J68</f>
        <v/>
      </c>
      <c r="K68" s="6">
        <f>Summary!K68</f>
        <v/>
      </c>
      <c r="L68" s="6">
        <f>Summary!L68</f>
        <v/>
      </c>
      <c r="M68" s="6">
        <f>Summary!M68</f>
        <v/>
      </c>
      <c r="N68" s="6">
        <f>Summary!N68</f>
        <v/>
      </c>
      <c r="O68" s="6">
        <f>Summary!O68</f>
        <v/>
      </c>
      <c r="P68" s="6">
        <f>Summary!P68</f>
        <v/>
      </c>
      <c r="Q68" s="6">
        <f>Summary!Q68</f>
        <v/>
      </c>
      <c r="R68" s="6">
        <f>Summary!R68</f>
        <v/>
      </c>
      <c r="S68" s="6">
        <f>Summary!S68</f>
        <v/>
      </c>
      <c r="T68" s="6">
        <f>Summary!T68</f>
        <v/>
      </c>
      <c r="U68" s="6">
        <f>Summary!U68</f>
        <v/>
      </c>
      <c r="V68" s="6">
        <f>Summary!V68</f>
        <v/>
      </c>
      <c r="W68" s="6">
        <f>Summary!W68</f>
        <v/>
      </c>
      <c r="X68" s="6">
        <f>Summary!X68</f>
        <v/>
      </c>
      <c r="Y68" s="6">
        <f>Summary!Y68</f>
        <v/>
      </c>
      <c r="Z68" s="6">
        <f>Summary!Z68</f>
        <v/>
      </c>
      <c r="AA68" s="6">
        <f>Summary!AA68</f>
        <v/>
      </c>
      <c r="AB68" s="6">
        <f>SUM(D68:AA68)</f>
        <v/>
      </c>
      <c r="AC68" s="3" t="inlineStr"/>
      <c r="AD68" s="7">
        <f>F68*0.0004002+E68*0.0004002</f>
        <v/>
      </c>
      <c r="AE68" s="7">
        <f>G68*0.0004002+F68*0.0004002</f>
        <v/>
      </c>
      <c r="AF68" s="7">
        <f>H68*0.0004002+G68*0.0004002</f>
        <v/>
      </c>
      <c r="AG68" s="7">
        <f>I68*0.0004002+H68*0.0004002</f>
        <v/>
      </c>
      <c r="AH68" s="7">
        <f>J68*0.0004002+I68*0.0004002</f>
        <v/>
      </c>
      <c r="AI68" s="7">
        <f>K68*0.0004002+J68*0.0004002</f>
        <v/>
      </c>
      <c r="AJ68" s="7">
        <f>L68*0.0004002+K68*0.0004002</f>
        <v/>
      </c>
      <c r="AK68" s="7">
        <f>M68*0.0004002+L68*0.0004002</f>
        <v/>
      </c>
      <c r="AL68" s="7">
        <f>N68*0.0004002+M68*0.0004002</f>
        <v/>
      </c>
      <c r="AM68" s="7">
        <f>O68*0.0004002+N68*0.0004002</f>
        <v/>
      </c>
      <c r="AN68" s="7">
        <f>P68*0.0004002+O68*0.0004002</f>
        <v/>
      </c>
      <c r="AO68" s="7">
        <f>Q68*0.0004002+P68*0.0004002</f>
        <v/>
      </c>
      <c r="AP68" s="7">
        <f>R68*0.0004002+Q68*0.0004002</f>
        <v/>
      </c>
      <c r="AQ68" s="7">
        <f>S68*0.0004002+R68*0.0004002</f>
        <v/>
      </c>
      <c r="AR68" s="7">
        <f>T68*0.0004002+S68*0.0004002</f>
        <v/>
      </c>
      <c r="AS68" s="7">
        <f>U68*0.0004002+T68*0.0004002</f>
        <v/>
      </c>
      <c r="AT68" s="7">
        <f>V68*0.0004002+U68*0.0004002</f>
        <v/>
      </c>
      <c r="AU68" s="7">
        <f>W68*0.0004002+V68*0.0004002</f>
        <v/>
      </c>
      <c r="AV68" s="7">
        <f>X68*0.0004002+W68*0.0004002</f>
        <v/>
      </c>
      <c r="AW68" s="7">
        <f>Y68*0.0004002+X68*0.0004002</f>
        <v/>
      </c>
      <c r="AX68" s="7">
        <f>Z68*0.0004002+Y68*0.0004002</f>
        <v/>
      </c>
      <c r="AY68" s="7">
        <f>AA68*0.0004002+Z68*0.0004002</f>
        <v/>
      </c>
      <c r="AZ68" s="7">
        <f>D68*0.0004002+AA68*0.0004002</f>
        <v/>
      </c>
      <c r="BA68" s="7">
        <f>E68*0.0004002+D68*0.0004002</f>
        <v/>
      </c>
      <c r="BB68" s="7">
        <f>SUM(AD68:BA68)</f>
        <v/>
      </c>
    </row>
    <row r="69">
      <c r="A69" t="inlineStr">
        <is>
          <t>AMD-M1</t>
        </is>
      </c>
      <c r="B69" t="inlineStr">
        <is>
          <t>Forward Regular OSC</t>
        </is>
      </c>
      <c r="C69" s="5" t="n">
        <v>46091</v>
      </c>
      <c r="D69" s="6">
        <f>Summary!D69</f>
        <v/>
      </c>
      <c r="E69" s="6">
        <f>Summary!E69</f>
        <v/>
      </c>
      <c r="F69" s="6">
        <f>Summary!F69</f>
        <v/>
      </c>
      <c r="G69" s="6">
        <f>Summary!G69</f>
        <v/>
      </c>
      <c r="H69" s="6">
        <f>Summary!H69</f>
        <v/>
      </c>
      <c r="I69" s="6">
        <f>Summary!I69</f>
        <v/>
      </c>
      <c r="J69" s="6">
        <f>Summary!J69</f>
        <v/>
      </c>
      <c r="K69" s="6">
        <f>Summary!K69</f>
        <v/>
      </c>
      <c r="L69" s="6">
        <f>Summary!L69</f>
        <v/>
      </c>
      <c r="M69" s="6">
        <f>Summary!M69</f>
        <v/>
      </c>
      <c r="N69" s="6">
        <f>Summary!N69</f>
        <v/>
      </c>
      <c r="O69" s="6">
        <f>Summary!O69</f>
        <v/>
      </c>
      <c r="P69" s="6">
        <f>Summary!P69</f>
        <v/>
      </c>
      <c r="Q69" s="6">
        <f>Summary!Q69</f>
        <v/>
      </c>
      <c r="R69" s="6">
        <f>Summary!R69</f>
        <v/>
      </c>
      <c r="S69" s="6">
        <f>Summary!S69</f>
        <v/>
      </c>
      <c r="T69" s="6">
        <f>Summary!T69</f>
        <v/>
      </c>
      <c r="U69" s="6">
        <f>Summary!U69</f>
        <v/>
      </c>
      <c r="V69" s="6">
        <f>Summary!V69</f>
        <v/>
      </c>
      <c r="W69" s="6">
        <f>Summary!W69</f>
        <v/>
      </c>
      <c r="X69" s="6">
        <f>Summary!X69</f>
        <v/>
      </c>
      <c r="Y69" s="6">
        <f>Summary!Y69</f>
        <v/>
      </c>
      <c r="Z69" s="6">
        <f>Summary!Z69</f>
        <v/>
      </c>
      <c r="AA69" s="6">
        <f>Summary!AA69</f>
        <v/>
      </c>
      <c r="AB69" s="6">
        <f>SUM(D69:AA69)</f>
        <v/>
      </c>
      <c r="AC69" s="3" t="inlineStr"/>
      <c r="AD69" s="7">
        <f>F69*0.0004002+E69*0.0004002</f>
        <v/>
      </c>
      <c r="AE69" s="7">
        <f>G69*0.0004002+F69*0.0004002</f>
        <v/>
      </c>
      <c r="AF69" s="7">
        <f>H69*0.0004002+G69*0.0004002</f>
        <v/>
      </c>
      <c r="AG69" s="7">
        <f>I69*0.0004002+H69*0.0004002</f>
        <v/>
      </c>
      <c r="AH69" s="7">
        <f>J69*0.0004002+I69*0.0004002</f>
        <v/>
      </c>
      <c r="AI69" s="7">
        <f>K69*0.0004002+J69*0.0004002</f>
        <v/>
      </c>
      <c r="AJ69" s="7">
        <f>L69*0.0004002+K69*0.0004002</f>
        <v/>
      </c>
      <c r="AK69" s="7">
        <f>M69*0.0004002+L69*0.0004002</f>
        <v/>
      </c>
      <c r="AL69" s="7">
        <f>N69*0.0004002+M69*0.0004002</f>
        <v/>
      </c>
      <c r="AM69" s="7">
        <f>O69*0.0004002+N69*0.0004002</f>
        <v/>
      </c>
      <c r="AN69" s="7">
        <f>P69*0.0004002+O69*0.0004002</f>
        <v/>
      </c>
      <c r="AO69" s="7">
        <f>Q69*0.0004002+P69*0.0004002</f>
        <v/>
      </c>
      <c r="AP69" s="7">
        <f>R69*0.0004002+Q69*0.0004002</f>
        <v/>
      </c>
      <c r="AQ69" s="7">
        <f>S69*0.0004002+R69*0.0004002</f>
        <v/>
      </c>
      <c r="AR69" s="7">
        <f>T69*0.0004002+S69*0.0004002</f>
        <v/>
      </c>
      <c r="AS69" s="7">
        <f>U69*0.0004002+T69*0.0004002</f>
        <v/>
      </c>
      <c r="AT69" s="7">
        <f>V69*0.0004002+U69*0.0004002</f>
        <v/>
      </c>
      <c r="AU69" s="7">
        <f>W69*0.0004002+V69*0.0004002</f>
        <v/>
      </c>
      <c r="AV69" s="7">
        <f>X69*0.0004002+W69*0.0004002</f>
        <v/>
      </c>
      <c r="AW69" s="7">
        <f>Y69*0.0004002+X69*0.0004002</f>
        <v/>
      </c>
      <c r="AX69" s="7">
        <f>Z69*0.0004002+Y69*0.0004002</f>
        <v/>
      </c>
      <c r="AY69" s="7">
        <f>AA69*0.0004002+Z69*0.0004002</f>
        <v/>
      </c>
      <c r="AZ69" s="7">
        <f>D69*0.0004002+AA69*0.0004002</f>
        <v/>
      </c>
      <c r="BA69" s="7">
        <f>E69*0.0004002+D69*0.0004002</f>
        <v/>
      </c>
      <c r="BB69" s="7">
        <f>SUM(AD69:BA69)</f>
        <v/>
      </c>
    </row>
    <row r="70">
      <c r="A70" t="inlineStr">
        <is>
          <t>AMD-M1</t>
        </is>
      </c>
      <c r="B70" t="inlineStr">
        <is>
          <t>Forward Regular OSC</t>
        </is>
      </c>
      <c r="C70" s="5" t="n">
        <v>46092</v>
      </c>
      <c r="D70" s="6">
        <f>Summary!D70</f>
        <v/>
      </c>
      <c r="E70" s="6">
        <f>Summary!E70</f>
        <v/>
      </c>
      <c r="F70" s="6">
        <f>Summary!F70</f>
        <v/>
      </c>
      <c r="G70" s="6">
        <f>Summary!G70</f>
        <v/>
      </c>
      <c r="H70" s="6">
        <f>Summary!H70</f>
        <v/>
      </c>
      <c r="I70" s="6">
        <f>Summary!I70</f>
        <v/>
      </c>
      <c r="J70" s="6">
        <f>Summary!J70</f>
        <v/>
      </c>
      <c r="K70" s="6">
        <f>Summary!K70</f>
        <v/>
      </c>
      <c r="L70" s="6">
        <f>Summary!L70</f>
        <v/>
      </c>
      <c r="M70" s="6">
        <f>Summary!M70</f>
        <v/>
      </c>
      <c r="N70" s="6">
        <f>Summary!N70</f>
        <v/>
      </c>
      <c r="O70" s="6">
        <f>Summary!O70</f>
        <v/>
      </c>
      <c r="P70" s="6">
        <f>Summary!P70</f>
        <v/>
      </c>
      <c r="Q70" s="6">
        <f>Summary!Q70</f>
        <v/>
      </c>
      <c r="R70" s="6">
        <f>Summary!R70</f>
        <v/>
      </c>
      <c r="S70" s="6">
        <f>Summary!S70</f>
        <v/>
      </c>
      <c r="T70" s="6">
        <f>Summary!T70</f>
        <v/>
      </c>
      <c r="U70" s="6">
        <f>Summary!U70</f>
        <v/>
      </c>
      <c r="V70" s="6">
        <f>Summary!V70</f>
        <v/>
      </c>
      <c r="W70" s="6">
        <f>Summary!W70</f>
        <v/>
      </c>
      <c r="X70" s="6">
        <f>Summary!X70</f>
        <v/>
      </c>
      <c r="Y70" s="6">
        <f>Summary!Y70</f>
        <v/>
      </c>
      <c r="Z70" s="6">
        <f>Summary!Z70</f>
        <v/>
      </c>
      <c r="AA70" s="6">
        <f>Summary!AA70</f>
        <v/>
      </c>
      <c r="AB70" s="6">
        <f>SUM(D70:AA70)</f>
        <v/>
      </c>
      <c r="AC70" s="3" t="inlineStr"/>
      <c r="AD70" s="7">
        <f>F70*0.0004002+E70*0.0004002</f>
        <v/>
      </c>
      <c r="AE70" s="7">
        <f>G70*0.0004002+F70*0.0004002</f>
        <v/>
      </c>
      <c r="AF70" s="7">
        <f>H70*0.0004002+G70*0.0004002</f>
        <v/>
      </c>
      <c r="AG70" s="7">
        <f>I70*0.0004002+H70*0.0004002</f>
        <v/>
      </c>
      <c r="AH70" s="7">
        <f>J70*0.0004002+I70*0.0004002</f>
        <v/>
      </c>
      <c r="AI70" s="7">
        <f>K70*0.0004002+J70*0.0004002</f>
        <v/>
      </c>
      <c r="AJ70" s="7">
        <f>L70*0.0004002+K70*0.0004002</f>
        <v/>
      </c>
      <c r="AK70" s="7">
        <f>M70*0.0004002+L70*0.0004002</f>
        <v/>
      </c>
      <c r="AL70" s="7">
        <f>N70*0.0004002+M70*0.0004002</f>
        <v/>
      </c>
      <c r="AM70" s="7">
        <f>O70*0.0004002+N70*0.0004002</f>
        <v/>
      </c>
      <c r="AN70" s="7">
        <f>P70*0.0004002+O70*0.0004002</f>
        <v/>
      </c>
      <c r="AO70" s="7">
        <f>Q70*0.0004002+P70*0.0004002</f>
        <v/>
      </c>
      <c r="AP70" s="7">
        <f>R70*0.0004002+Q70*0.0004002</f>
        <v/>
      </c>
      <c r="AQ70" s="7">
        <f>S70*0.0004002+R70*0.0004002</f>
        <v/>
      </c>
      <c r="AR70" s="7">
        <f>T70*0.0004002+S70*0.0004002</f>
        <v/>
      </c>
      <c r="AS70" s="7">
        <f>U70*0.0004002+T70*0.0004002</f>
        <v/>
      </c>
      <c r="AT70" s="7">
        <f>V70*0.0004002+U70*0.0004002</f>
        <v/>
      </c>
      <c r="AU70" s="7">
        <f>W70*0.0004002+V70*0.0004002</f>
        <v/>
      </c>
      <c r="AV70" s="7">
        <f>X70*0.0004002+W70*0.0004002</f>
        <v/>
      </c>
      <c r="AW70" s="7">
        <f>Y70*0.0004002+X70*0.0004002</f>
        <v/>
      </c>
      <c r="AX70" s="7">
        <f>Z70*0.0004002+Y70*0.0004002</f>
        <v/>
      </c>
      <c r="AY70" s="7">
        <f>AA70*0.0004002+Z70*0.0004002</f>
        <v/>
      </c>
      <c r="AZ70" s="7">
        <f>D70*0.0004002+AA70*0.0004002</f>
        <v/>
      </c>
      <c r="BA70" s="7">
        <f>E70*0.0004002+D70*0.0004002</f>
        <v/>
      </c>
      <c r="BB70" s="7">
        <f>SUM(AD70:BA70)</f>
        <v/>
      </c>
    </row>
    <row r="71">
      <c r="A71" t="inlineStr">
        <is>
          <t>AMD-M1</t>
        </is>
      </c>
      <c r="B71" t="inlineStr">
        <is>
          <t>Forward Regular OSC</t>
        </is>
      </c>
      <c r="C71" s="5" t="n">
        <v>46093</v>
      </c>
      <c r="D71" s="6">
        <f>Summary!D71</f>
        <v/>
      </c>
      <c r="E71" s="6">
        <f>Summary!E71</f>
        <v/>
      </c>
      <c r="F71" s="6">
        <f>Summary!F71</f>
        <v/>
      </c>
      <c r="G71" s="6">
        <f>Summary!G71</f>
        <v/>
      </c>
      <c r="H71" s="6">
        <f>Summary!H71</f>
        <v/>
      </c>
      <c r="I71" s="6">
        <f>Summary!I71</f>
        <v/>
      </c>
      <c r="J71" s="6">
        <f>Summary!J71</f>
        <v/>
      </c>
      <c r="K71" s="6">
        <f>Summary!K71</f>
        <v/>
      </c>
      <c r="L71" s="6">
        <f>Summary!L71</f>
        <v/>
      </c>
      <c r="M71" s="6">
        <f>Summary!M71</f>
        <v/>
      </c>
      <c r="N71" s="6">
        <f>Summary!N71</f>
        <v/>
      </c>
      <c r="O71" s="6">
        <f>Summary!O71</f>
        <v/>
      </c>
      <c r="P71" s="6">
        <f>Summary!P71</f>
        <v/>
      </c>
      <c r="Q71" s="6">
        <f>Summary!Q71</f>
        <v/>
      </c>
      <c r="R71" s="6">
        <f>Summary!R71</f>
        <v/>
      </c>
      <c r="S71" s="6">
        <f>Summary!S71</f>
        <v/>
      </c>
      <c r="T71" s="6">
        <f>Summary!T71</f>
        <v/>
      </c>
      <c r="U71" s="6">
        <f>Summary!U71</f>
        <v/>
      </c>
      <c r="V71" s="6">
        <f>Summary!V71</f>
        <v/>
      </c>
      <c r="W71" s="6">
        <f>Summary!W71</f>
        <v/>
      </c>
      <c r="X71" s="6">
        <f>Summary!X71</f>
        <v/>
      </c>
      <c r="Y71" s="6">
        <f>Summary!Y71</f>
        <v/>
      </c>
      <c r="Z71" s="6">
        <f>Summary!Z71</f>
        <v/>
      </c>
      <c r="AA71" s="6">
        <f>Summary!AA71</f>
        <v/>
      </c>
      <c r="AB71" s="6">
        <f>SUM(D71:AA71)</f>
        <v/>
      </c>
      <c r="AC71" s="3" t="inlineStr"/>
      <c r="AD71" s="7">
        <f>F71*0.0004002+E71*0.0004002</f>
        <v/>
      </c>
      <c r="AE71" s="7">
        <f>G71*0.0004002+F71*0.0004002</f>
        <v/>
      </c>
      <c r="AF71" s="7">
        <f>H71*0.0004002+G71*0.0004002</f>
        <v/>
      </c>
      <c r="AG71" s="7">
        <f>I71*0.0004002+H71*0.0004002</f>
        <v/>
      </c>
      <c r="AH71" s="7">
        <f>J71*0.0004002+I71*0.0004002</f>
        <v/>
      </c>
      <c r="AI71" s="7">
        <f>K71*0.0004002+J71*0.0004002</f>
        <v/>
      </c>
      <c r="AJ71" s="7">
        <f>L71*0.0004002+K71*0.0004002</f>
        <v/>
      </c>
      <c r="AK71" s="7">
        <f>M71*0.0004002+L71*0.0004002</f>
        <v/>
      </c>
      <c r="AL71" s="7">
        <f>N71*0.0004002+M71*0.0004002</f>
        <v/>
      </c>
      <c r="AM71" s="7">
        <f>O71*0.0004002+N71*0.0004002</f>
        <v/>
      </c>
      <c r="AN71" s="7">
        <f>P71*0.0004002+O71*0.0004002</f>
        <v/>
      </c>
      <c r="AO71" s="7">
        <f>Q71*0.0004002+P71*0.0004002</f>
        <v/>
      </c>
      <c r="AP71" s="7">
        <f>R71*0.0004002+Q71*0.0004002</f>
        <v/>
      </c>
      <c r="AQ71" s="7">
        <f>S71*0.0004002+R71*0.0004002</f>
        <v/>
      </c>
      <c r="AR71" s="7">
        <f>T71*0.0004002+S71*0.0004002</f>
        <v/>
      </c>
      <c r="AS71" s="7">
        <f>U71*0.0004002+T71*0.0004002</f>
        <v/>
      </c>
      <c r="AT71" s="7">
        <f>V71*0.0004002+U71*0.0004002</f>
        <v/>
      </c>
      <c r="AU71" s="7">
        <f>W71*0.0004002+V71*0.0004002</f>
        <v/>
      </c>
      <c r="AV71" s="7">
        <f>X71*0.0004002+W71*0.0004002</f>
        <v/>
      </c>
      <c r="AW71" s="7">
        <f>Y71*0.0004002+X71*0.0004002</f>
        <v/>
      </c>
      <c r="AX71" s="7">
        <f>Z71*0.0004002+Y71*0.0004002</f>
        <v/>
      </c>
      <c r="AY71" s="7">
        <f>AA71*0.0004002+Z71*0.0004002</f>
        <v/>
      </c>
      <c r="AZ71" s="7">
        <f>D71*0.0004002+AA71*0.0004002</f>
        <v/>
      </c>
      <c r="BA71" s="7">
        <f>E71*0.0004002+D71*0.0004002</f>
        <v/>
      </c>
      <c r="BB71" s="7">
        <f>SUM(AD71:BA71)</f>
        <v/>
      </c>
    </row>
    <row r="72">
      <c r="A72" t="inlineStr">
        <is>
          <t>AMD-M1</t>
        </is>
      </c>
      <c r="B72" t="inlineStr">
        <is>
          <t>Forward Regular OSC</t>
        </is>
      </c>
      <c r="C72" s="5" t="n">
        <v>46094</v>
      </c>
      <c r="D72" s="6">
        <f>Summary!D72</f>
        <v/>
      </c>
      <c r="E72" s="6">
        <f>Summary!E72</f>
        <v/>
      </c>
      <c r="F72" s="6">
        <f>Summary!F72</f>
        <v/>
      </c>
      <c r="G72" s="6">
        <f>Summary!G72</f>
        <v/>
      </c>
      <c r="H72" s="6">
        <f>Summary!H72</f>
        <v/>
      </c>
      <c r="I72" s="6">
        <f>Summary!I72</f>
        <v/>
      </c>
      <c r="J72" s="6">
        <f>Summary!J72</f>
        <v/>
      </c>
      <c r="K72" s="6">
        <f>Summary!K72</f>
        <v/>
      </c>
      <c r="L72" s="6">
        <f>Summary!L72</f>
        <v/>
      </c>
      <c r="M72" s="6">
        <f>Summary!M72</f>
        <v/>
      </c>
      <c r="N72" s="6">
        <f>Summary!N72</f>
        <v/>
      </c>
      <c r="O72" s="6">
        <f>Summary!O72</f>
        <v/>
      </c>
      <c r="P72" s="6">
        <f>Summary!P72</f>
        <v/>
      </c>
      <c r="Q72" s="6">
        <f>Summary!Q72</f>
        <v/>
      </c>
      <c r="R72" s="6">
        <f>Summary!R72</f>
        <v/>
      </c>
      <c r="S72" s="6">
        <f>Summary!S72</f>
        <v/>
      </c>
      <c r="T72" s="6">
        <f>Summary!T72</f>
        <v/>
      </c>
      <c r="U72" s="6">
        <f>Summary!U72</f>
        <v/>
      </c>
      <c r="V72" s="6">
        <f>Summary!V72</f>
        <v/>
      </c>
      <c r="W72" s="6">
        <f>Summary!W72</f>
        <v/>
      </c>
      <c r="X72" s="6">
        <f>Summary!X72</f>
        <v/>
      </c>
      <c r="Y72" s="6">
        <f>Summary!Y72</f>
        <v/>
      </c>
      <c r="Z72" s="6">
        <f>Summary!Z72</f>
        <v/>
      </c>
      <c r="AA72" s="6">
        <f>Summary!AA72</f>
        <v/>
      </c>
      <c r="AB72" s="6">
        <f>SUM(D72:AA72)</f>
        <v/>
      </c>
      <c r="AC72" s="3" t="inlineStr"/>
      <c r="AD72" s="7">
        <f>F72*0.0004002+E72*0.0004002</f>
        <v/>
      </c>
      <c r="AE72" s="7">
        <f>G72*0.0004002+F72*0.0004002</f>
        <v/>
      </c>
      <c r="AF72" s="7">
        <f>H72*0.0004002+G72*0.0004002</f>
        <v/>
      </c>
      <c r="AG72" s="7">
        <f>I72*0.0004002+H72*0.0004002</f>
        <v/>
      </c>
      <c r="AH72" s="7">
        <f>J72*0.0004002+I72*0.0004002</f>
        <v/>
      </c>
      <c r="AI72" s="7">
        <f>K72*0.0004002+J72*0.0004002</f>
        <v/>
      </c>
      <c r="AJ72" s="7">
        <f>L72*0.0004002+K72*0.0004002</f>
        <v/>
      </c>
      <c r="AK72" s="7">
        <f>M72*0.0004002+L72*0.0004002</f>
        <v/>
      </c>
      <c r="AL72" s="7">
        <f>N72*0.0004002+M72*0.0004002</f>
        <v/>
      </c>
      <c r="AM72" s="7">
        <f>O72*0.0004002+N72*0.0004002</f>
        <v/>
      </c>
      <c r="AN72" s="7">
        <f>P72*0.0004002+O72*0.0004002</f>
        <v/>
      </c>
      <c r="AO72" s="7">
        <f>Q72*0.0004002+P72*0.0004002</f>
        <v/>
      </c>
      <c r="AP72" s="7">
        <f>R72*0.0004002+Q72*0.0004002</f>
        <v/>
      </c>
      <c r="AQ72" s="7">
        <f>S72*0.0004002+R72*0.0004002</f>
        <v/>
      </c>
      <c r="AR72" s="7">
        <f>T72*0.0004002+S72*0.0004002</f>
        <v/>
      </c>
      <c r="AS72" s="7">
        <f>U72*0.0004002+T72*0.0004002</f>
        <v/>
      </c>
      <c r="AT72" s="7">
        <f>V72*0.0004002+U72*0.0004002</f>
        <v/>
      </c>
      <c r="AU72" s="7">
        <f>W72*0.0004002+V72*0.0004002</f>
        <v/>
      </c>
      <c r="AV72" s="7">
        <f>X72*0.0004002+W72*0.0004002</f>
        <v/>
      </c>
      <c r="AW72" s="7">
        <f>Y72*0.0004002+X72*0.0004002</f>
        <v/>
      </c>
      <c r="AX72" s="7">
        <f>Z72*0.0004002+Y72*0.0004002</f>
        <v/>
      </c>
      <c r="AY72" s="7">
        <f>AA72*0.0004002+Z72*0.0004002</f>
        <v/>
      </c>
      <c r="AZ72" s="7">
        <f>D72*0.0004002+AA72*0.0004002</f>
        <v/>
      </c>
      <c r="BA72" s="7">
        <f>E72*0.0004002+D72*0.0004002</f>
        <v/>
      </c>
      <c r="BB72" s="7">
        <f>SUM(AD72:BA72)</f>
        <v/>
      </c>
    </row>
    <row r="73">
      <c r="A73" t="inlineStr">
        <is>
          <t>AMD-M1</t>
        </is>
      </c>
      <c r="B73" t="inlineStr">
        <is>
          <t>Forward Regular OSC</t>
        </is>
      </c>
      <c r="C73" s="5" t="n">
        <v>46095</v>
      </c>
      <c r="D73" s="6">
        <f>Summary!D73</f>
        <v/>
      </c>
      <c r="E73" s="6">
        <f>Summary!E73</f>
        <v/>
      </c>
      <c r="F73" s="6">
        <f>Summary!F73</f>
        <v/>
      </c>
      <c r="G73" s="6">
        <f>Summary!G73</f>
        <v/>
      </c>
      <c r="H73" s="6">
        <f>Summary!H73</f>
        <v/>
      </c>
      <c r="I73" s="6">
        <f>Summary!I73</f>
        <v/>
      </c>
      <c r="J73" s="6">
        <f>Summary!J73</f>
        <v/>
      </c>
      <c r="K73" s="6">
        <f>Summary!K73</f>
        <v/>
      </c>
      <c r="L73" s="6">
        <f>Summary!L73</f>
        <v/>
      </c>
      <c r="M73" s="6">
        <f>Summary!M73</f>
        <v/>
      </c>
      <c r="N73" s="6">
        <f>Summary!N73</f>
        <v/>
      </c>
      <c r="O73" s="6">
        <f>Summary!O73</f>
        <v/>
      </c>
      <c r="P73" s="6">
        <f>Summary!P73</f>
        <v/>
      </c>
      <c r="Q73" s="6">
        <f>Summary!Q73</f>
        <v/>
      </c>
      <c r="R73" s="6">
        <f>Summary!R73</f>
        <v/>
      </c>
      <c r="S73" s="6">
        <f>Summary!S73</f>
        <v/>
      </c>
      <c r="T73" s="6">
        <f>Summary!T73</f>
        <v/>
      </c>
      <c r="U73" s="6">
        <f>Summary!U73</f>
        <v/>
      </c>
      <c r="V73" s="6">
        <f>Summary!V73</f>
        <v/>
      </c>
      <c r="W73" s="6">
        <f>Summary!W73</f>
        <v/>
      </c>
      <c r="X73" s="6">
        <f>Summary!X73</f>
        <v/>
      </c>
      <c r="Y73" s="6">
        <f>Summary!Y73</f>
        <v/>
      </c>
      <c r="Z73" s="6">
        <f>Summary!Z73</f>
        <v/>
      </c>
      <c r="AA73" s="6">
        <f>Summary!AA73</f>
        <v/>
      </c>
      <c r="AB73" s="6">
        <f>SUM(D73:AA73)</f>
        <v/>
      </c>
      <c r="AC73" s="3" t="inlineStr"/>
      <c r="AD73" s="7">
        <f>F73*0.0004002+E73*0.0004002</f>
        <v/>
      </c>
      <c r="AE73" s="7">
        <f>G73*0.0004002+F73*0.0004002</f>
        <v/>
      </c>
      <c r="AF73" s="7">
        <f>H73*0.0004002+G73*0.0004002</f>
        <v/>
      </c>
      <c r="AG73" s="7">
        <f>I73*0.0004002+H73*0.0004002</f>
        <v/>
      </c>
      <c r="AH73" s="7">
        <f>J73*0.0004002+I73*0.0004002</f>
        <v/>
      </c>
      <c r="AI73" s="7">
        <f>K73*0.0004002+J73*0.0004002</f>
        <v/>
      </c>
      <c r="AJ73" s="7">
        <f>L73*0.0004002+K73*0.0004002</f>
        <v/>
      </c>
      <c r="AK73" s="7">
        <f>M73*0.0004002+L73*0.0004002</f>
        <v/>
      </c>
      <c r="AL73" s="7">
        <f>N73*0.0004002+M73*0.0004002</f>
        <v/>
      </c>
      <c r="AM73" s="7">
        <f>O73*0.0004002+N73*0.0004002</f>
        <v/>
      </c>
      <c r="AN73" s="7">
        <f>P73*0.0004002+O73*0.0004002</f>
        <v/>
      </c>
      <c r="AO73" s="7">
        <f>Q73*0.0004002+P73*0.0004002</f>
        <v/>
      </c>
      <c r="AP73" s="7">
        <f>R73*0.0004002+Q73*0.0004002</f>
        <v/>
      </c>
      <c r="AQ73" s="7">
        <f>S73*0.0004002+R73*0.0004002</f>
        <v/>
      </c>
      <c r="AR73" s="7">
        <f>T73*0.0004002+S73*0.0004002</f>
        <v/>
      </c>
      <c r="AS73" s="7">
        <f>U73*0.0004002+T73*0.0004002</f>
        <v/>
      </c>
      <c r="AT73" s="7">
        <f>V73*0.0004002+U73*0.0004002</f>
        <v/>
      </c>
      <c r="AU73" s="7">
        <f>W73*0.0004002+V73*0.0004002</f>
        <v/>
      </c>
      <c r="AV73" s="7">
        <f>X73*0.0004002+W73*0.0004002</f>
        <v/>
      </c>
      <c r="AW73" s="7">
        <f>Y73*0.0004002+X73*0.0004002</f>
        <v/>
      </c>
      <c r="AX73" s="7">
        <f>Z73*0.0004002+Y73*0.0004002</f>
        <v/>
      </c>
      <c r="AY73" s="7">
        <f>AA73*0.0004002+Z73*0.0004002</f>
        <v/>
      </c>
      <c r="AZ73" s="7">
        <f>D73*0.0004002+AA73*0.0004002</f>
        <v/>
      </c>
      <c r="BA73" s="7">
        <f>E73*0.0004002+D73*0.0004002</f>
        <v/>
      </c>
      <c r="BB73" s="7">
        <f>SUM(AD73:BA73)</f>
        <v/>
      </c>
    </row>
    <row r="74">
      <c r="A74" t="inlineStr">
        <is>
          <t>AMD-M1</t>
        </is>
      </c>
      <c r="B74" t="inlineStr">
        <is>
          <t>Forward Regular OSC</t>
        </is>
      </c>
      <c r="C74" s="5" t="n">
        <v>46096</v>
      </c>
      <c r="D74" s="6">
        <f>Summary!D74</f>
        <v/>
      </c>
      <c r="E74" s="6">
        <f>Summary!E74</f>
        <v/>
      </c>
      <c r="F74" s="6">
        <f>Summary!F74</f>
        <v/>
      </c>
      <c r="G74" s="6">
        <f>Summary!G74</f>
        <v/>
      </c>
      <c r="H74" s="6">
        <f>Summary!H74</f>
        <v/>
      </c>
      <c r="I74" s="6">
        <f>Summary!I74</f>
        <v/>
      </c>
      <c r="J74" s="6">
        <f>Summary!J74</f>
        <v/>
      </c>
      <c r="K74" s="6">
        <f>Summary!K74</f>
        <v/>
      </c>
      <c r="L74" s="6">
        <f>Summary!L74</f>
        <v/>
      </c>
      <c r="M74" s="6">
        <f>Summary!M74</f>
        <v/>
      </c>
      <c r="N74" s="6">
        <f>Summary!N74</f>
        <v/>
      </c>
      <c r="O74" s="6">
        <f>Summary!O74</f>
        <v/>
      </c>
      <c r="P74" s="6">
        <f>Summary!P74</f>
        <v/>
      </c>
      <c r="Q74" s="6">
        <f>Summary!Q74</f>
        <v/>
      </c>
      <c r="R74" s="6">
        <f>Summary!R74</f>
        <v/>
      </c>
      <c r="S74" s="6">
        <f>Summary!S74</f>
        <v/>
      </c>
      <c r="T74" s="6">
        <f>Summary!T74</f>
        <v/>
      </c>
      <c r="U74" s="6">
        <f>Summary!U74</f>
        <v/>
      </c>
      <c r="V74" s="6">
        <f>Summary!V74</f>
        <v/>
      </c>
      <c r="W74" s="6">
        <f>Summary!W74</f>
        <v/>
      </c>
      <c r="X74" s="6">
        <f>Summary!X74</f>
        <v/>
      </c>
      <c r="Y74" s="6">
        <f>Summary!Y74</f>
        <v/>
      </c>
      <c r="Z74" s="6">
        <f>Summary!Z74</f>
        <v/>
      </c>
      <c r="AA74" s="6">
        <f>Summary!AA74</f>
        <v/>
      </c>
      <c r="AB74" s="6">
        <f>SUM(D74:AA74)</f>
        <v/>
      </c>
      <c r="AC74" s="3" t="inlineStr"/>
      <c r="AD74" s="7">
        <f>F74*0.0004002+E74*0.0004002</f>
        <v/>
      </c>
      <c r="AE74" s="7">
        <f>G74*0.0004002+F74*0.0004002</f>
        <v/>
      </c>
      <c r="AF74" s="7">
        <f>H74*0.0004002+G74*0.0004002</f>
        <v/>
      </c>
      <c r="AG74" s="7">
        <f>I74*0.0004002+H74*0.0004002</f>
        <v/>
      </c>
      <c r="AH74" s="7">
        <f>J74*0.0004002+I74*0.0004002</f>
        <v/>
      </c>
      <c r="AI74" s="7">
        <f>K74*0.0004002+J74*0.0004002</f>
        <v/>
      </c>
      <c r="AJ74" s="7">
        <f>L74*0.0004002+K74*0.0004002</f>
        <v/>
      </c>
      <c r="AK74" s="7">
        <f>M74*0.0004002+L74*0.0004002</f>
        <v/>
      </c>
      <c r="AL74" s="7">
        <f>N74*0.0004002+M74*0.0004002</f>
        <v/>
      </c>
      <c r="AM74" s="7">
        <f>O74*0.0004002+N74*0.0004002</f>
        <v/>
      </c>
      <c r="AN74" s="7">
        <f>P74*0.0004002+O74*0.0004002</f>
        <v/>
      </c>
      <c r="AO74" s="7">
        <f>Q74*0.0004002+P74*0.0004002</f>
        <v/>
      </c>
      <c r="AP74" s="7">
        <f>R74*0.0004002+Q74*0.0004002</f>
        <v/>
      </c>
      <c r="AQ74" s="7">
        <f>S74*0.0004002+R74*0.0004002</f>
        <v/>
      </c>
      <c r="AR74" s="7">
        <f>T74*0.0004002+S74*0.0004002</f>
        <v/>
      </c>
      <c r="AS74" s="7">
        <f>U74*0.0004002+T74*0.0004002</f>
        <v/>
      </c>
      <c r="AT74" s="7">
        <f>V74*0.0004002+U74*0.0004002</f>
        <v/>
      </c>
      <c r="AU74" s="7">
        <f>W74*0.0004002+V74*0.0004002</f>
        <v/>
      </c>
      <c r="AV74" s="7">
        <f>X74*0.0004002+W74*0.0004002</f>
        <v/>
      </c>
      <c r="AW74" s="7">
        <f>Y74*0.0004002+X74*0.0004002</f>
        <v/>
      </c>
      <c r="AX74" s="7">
        <f>Z74*0.0004002+Y74*0.0004002</f>
        <v/>
      </c>
      <c r="AY74" s="7">
        <f>AA74*0.0004002+Z74*0.0004002</f>
        <v/>
      </c>
      <c r="AZ74" s="7">
        <f>D74*0.0004002+AA74*0.0004002</f>
        <v/>
      </c>
      <c r="BA74" s="7">
        <f>E74*0.0004002+D74*0.0004002</f>
        <v/>
      </c>
      <c r="BB74" s="7">
        <f>SUM(AD74:BA74)</f>
        <v/>
      </c>
    </row>
    <row r="75">
      <c r="A75" t="inlineStr">
        <is>
          <t>AMD-M1</t>
        </is>
      </c>
      <c r="B75" t="inlineStr">
        <is>
          <t>Forward Regular OSC</t>
        </is>
      </c>
      <c r="C75" s="5" t="n">
        <v>46097</v>
      </c>
      <c r="D75" s="6">
        <f>Summary!D75</f>
        <v/>
      </c>
      <c r="E75" s="6">
        <f>Summary!E75</f>
        <v/>
      </c>
      <c r="F75" s="6">
        <f>Summary!F75</f>
        <v/>
      </c>
      <c r="G75" s="6">
        <f>Summary!G75</f>
        <v/>
      </c>
      <c r="H75" s="6">
        <f>Summary!H75</f>
        <v/>
      </c>
      <c r="I75" s="6">
        <f>Summary!I75</f>
        <v/>
      </c>
      <c r="J75" s="6">
        <f>Summary!J75</f>
        <v/>
      </c>
      <c r="K75" s="6">
        <f>Summary!K75</f>
        <v/>
      </c>
      <c r="L75" s="6">
        <f>Summary!L75</f>
        <v/>
      </c>
      <c r="M75" s="6">
        <f>Summary!M75</f>
        <v/>
      </c>
      <c r="N75" s="6">
        <f>Summary!N75</f>
        <v/>
      </c>
      <c r="O75" s="6">
        <f>Summary!O75</f>
        <v/>
      </c>
      <c r="P75" s="6">
        <f>Summary!P75</f>
        <v/>
      </c>
      <c r="Q75" s="6">
        <f>Summary!Q75</f>
        <v/>
      </c>
      <c r="R75" s="6">
        <f>Summary!R75</f>
        <v/>
      </c>
      <c r="S75" s="6">
        <f>Summary!S75</f>
        <v/>
      </c>
      <c r="T75" s="6">
        <f>Summary!T75</f>
        <v/>
      </c>
      <c r="U75" s="6">
        <f>Summary!U75</f>
        <v/>
      </c>
      <c r="V75" s="6">
        <f>Summary!V75</f>
        <v/>
      </c>
      <c r="W75" s="6">
        <f>Summary!W75</f>
        <v/>
      </c>
      <c r="X75" s="6">
        <f>Summary!X75</f>
        <v/>
      </c>
      <c r="Y75" s="6">
        <f>Summary!Y75</f>
        <v/>
      </c>
      <c r="Z75" s="6">
        <f>Summary!Z75</f>
        <v/>
      </c>
      <c r="AA75" s="6">
        <f>Summary!AA75</f>
        <v/>
      </c>
      <c r="AB75" s="6">
        <f>SUM(D75:AA75)</f>
        <v/>
      </c>
      <c r="AC75" s="3" t="inlineStr"/>
      <c r="AD75" s="7">
        <f>F75*0.0004002+E75*0.0004002</f>
        <v/>
      </c>
      <c r="AE75" s="7">
        <f>G75*0.0004002+F75*0.0004002</f>
        <v/>
      </c>
      <c r="AF75" s="7">
        <f>H75*0.0004002+G75*0.0004002</f>
        <v/>
      </c>
      <c r="AG75" s="7">
        <f>I75*0.0004002+H75*0.0004002</f>
        <v/>
      </c>
      <c r="AH75" s="7">
        <f>J75*0.0004002+I75*0.0004002</f>
        <v/>
      </c>
      <c r="AI75" s="7">
        <f>K75*0.0004002+J75*0.0004002</f>
        <v/>
      </c>
      <c r="AJ75" s="7">
        <f>L75*0.0004002+K75*0.0004002</f>
        <v/>
      </c>
      <c r="AK75" s="7">
        <f>M75*0.0004002+L75*0.0004002</f>
        <v/>
      </c>
      <c r="AL75" s="7">
        <f>N75*0.0004002+M75*0.0004002</f>
        <v/>
      </c>
      <c r="AM75" s="7">
        <f>O75*0.0004002+N75*0.0004002</f>
        <v/>
      </c>
      <c r="AN75" s="7">
        <f>P75*0.0004002+O75*0.0004002</f>
        <v/>
      </c>
      <c r="AO75" s="7">
        <f>Q75*0.0004002+P75*0.0004002</f>
        <v/>
      </c>
      <c r="AP75" s="7">
        <f>R75*0.0004002+Q75*0.0004002</f>
        <v/>
      </c>
      <c r="AQ75" s="7">
        <f>S75*0.0004002+R75*0.0004002</f>
        <v/>
      </c>
      <c r="AR75" s="7">
        <f>T75*0.0004002+S75*0.0004002</f>
        <v/>
      </c>
      <c r="AS75" s="7">
        <f>U75*0.0004002+T75*0.0004002</f>
        <v/>
      </c>
      <c r="AT75" s="7">
        <f>V75*0.0004002+U75*0.0004002</f>
        <v/>
      </c>
      <c r="AU75" s="7">
        <f>W75*0.0004002+V75*0.0004002</f>
        <v/>
      </c>
      <c r="AV75" s="7">
        <f>X75*0.0004002+W75*0.0004002</f>
        <v/>
      </c>
      <c r="AW75" s="7">
        <f>Y75*0.0004002+X75*0.0004002</f>
        <v/>
      </c>
      <c r="AX75" s="7">
        <f>Z75*0.0004002+Y75*0.0004002</f>
        <v/>
      </c>
      <c r="AY75" s="7">
        <f>AA75*0.0004002+Z75*0.0004002</f>
        <v/>
      </c>
      <c r="AZ75" s="7">
        <f>D75*0.0004002+AA75*0.0004002</f>
        <v/>
      </c>
      <c r="BA75" s="7">
        <f>E75*0.0004002+D75*0.0004002</f>
        <v/>
      </c>
      <c r="BB75" s="7">
        <f>SUM(AD75:BA75)</f>
        <v/>
      </c>
    </row>
    <row r="76">
      <c r="A76" t="inlineStr">
        <is>
          <t>AMD-M2</t>
        </is>
      </c>
      <c r="B76" t="inlineStr">
        <is>
          <t>Forward Regular OSC</t>
        </is>
      </c>
      <c r="C76" s="5" t="n">
        <v>46089</v>
      </c>
      <c r="D76" s="6">
        <f>Summary!D76</f>
        <v/>
      </c>
      <c r="E76" s="6">
        <f>Summary!E76</f>
        <v/>
      </c>
      <c r="F76" s="6">
        <f>Summary!F76</f>
        <v/>
      </c>
      <c r="G76" s="6">
        <f>Summary!G76</f>
        <v/>
      </c>
      <c r="H76" s="6">
        <f>Summary!H76</f>
        <v/>
      </c>
      <c r="I76" s="6">
        <f>Summary!I76</f>
        <v/>
      </c>
      <c r="J76" s="6">
        <f>Summary!J76</f>
        <v/>
      </c>
      <c r="K76" s="6">
        <f>Summary!K76</f>
        <v/>
      </c>
      <c r="L76" s="6">
        <f>Summary!L76</f>
        <v/>
      </c>
      <c r="M76" s="6">
        <f>Summary!M76</f>
        <v/>
      </c>
      <c r="N76" s="6">
        <f>Summary!N76</f>
        <v/>
      </c>
      <c r="O76" s="6">
        <f>Summary!O76</f>
        <v/>
      </c>
      <c r="P76" s="6">
        <f>Summary!P76</f>
        <v/>
      </c>
      <c r="Q76" s="6">
        <f>Summary!Q76</f>
        <v/>
      </c>
      <c r="R76" s="6">
        <f>Summary!R76</f>
        <v/>
      </c>
      <c r="S76" s="6">
        <f>Summary!S76</f>
        <v/>
      </c>
      <c r="T76" s="6">
        <f>Summary!T76</f>
        <v/>
      </c>
      <c r="U76" s="6">
        <f>Summary!U76</f>
        <v/>
      </c>
      <c r="V76" s="6">
        <f>Summary!V76</f>
        <v/>
      </c>
      <c r="W76" s="6">
        <f>Summary!W76</f>
        <v/>
      </c>
      <c r="X76" s="6">
        <f>Summary!X76</f>
        <v/>
      </c>
      <c r="Y76" s="6">
        <f>Summary!Y76</f>
        <v/>
      </c>
      <c r="Z76" s="6">
        <f>Summary!Z76</f>
        <v/>
      </c>
      <c r="AA76" s="6">
        <f>Summary!AA76</f>
        <v/>
      </c>
      <c r="AB76" s="6">
        <f>SUM(D76:AA76)</f>
        <v/>
      </c>
      <c r="AC76" s="3" t="inlineStr"/>
      <c r="AD76" s="7">
        <f>F76*0.0004002+E76*0.0004002</f>
        <v/>
      </c>
      <c r="AE76" s="7">
        <f>G76*0.0004002+F76*0.0004002</f>
        <v/>
      </c>
      <c r="AF76" s="7">
        <f>H76*0.0004002+G76*0.0004002</f>
        <v/>
      </c>
      <c r="AG76" s="7">
        <f>I76*0.0004002+H76*0.0004002</f>
        <v/>
      </c>
      <c r="AH76" s="7">
        <f>J76*0.0004002+I76*0.0004002</f>
        <v/>
      </c>
      <c r="AI76" s="7">
        <f>K76*0.0004002+J76*0.0004002</f>
        <v/>
      </c>
      <c r="AJ76" s="7">
        <f>L76*0.0004002+K76*0.0004002</f>
        <v/>
      </c>
      <c r="AK76" s="7">
        <f>M76*0.0004002+L76*0.0004002</f>
        <v/>
      </c>
      <c r="AL76" s="7">
        <f>N76*0.0004002+M76*0.0004002</f>
        <v/>
      </c>
      <c r="AM76" s="7">
        <f>O76*0.0004002+N76*0.0004002</f>
        <v/>
      </c>
      <c r="AN76" s="7">
        <f>P76*0.0004002+O76*0.0004002</f>
        <v/>
      </c>
      <c r="AO76" s="7">
        <f>Q76*0.0004002+P76*0.0004002</f>
        <v/>
      </c>
      <c r="AP76" s="7">
        <f>R76*0.0004002+Q76*0.0004002</f>
        <v/>
      </c>
      <c r="AQ76" s="7">
        <f>S76*0.0004002+R76*0.0004002</f>
        <v/>
      </c>
      <c r="AR76" s="7">
        <f>T76*0.0004002+S76*0.0004002</f>
        <v/>
      </c>
      <c r="AS76" s="7">
        <f>U76*0.0004002+T76*0.0004002</f>
        <v/>
      </c>
      <c r="AT76" s="7">
        <f>V76*0.0004002+U76*0.0004002</f>
        <v/>
      </c>
      <c r="AU76" s="7">
        <f>W76*0.0004002+V76*0.0004002</f>
        <v/>
      </c>
      <c r="AV76" s="7">
        <f>X76*0.0004002+W76*0.0004002</f>
        <v/>
      </c>
      <c r="AW76" s="7">
        <f>Y76*0.0004002+X76*0.0004002</f>
        <v/>
      </c>
      <c r="AX76" s="7">
        <f>Z76*0.0004002+Y76*0.0004002</f>
        <v/>
      </c>
      <c r="AY76" s="7">
        <f>AA76*0.0004002+Z76*0.0004002</f>
        <v/>
      </c>
      <c r="AZ76" s="7">
        <f>D76*0.0004002+AA76*0.0004002</f>
        <v/>
      </c>
      <c r="BA76" s="7">
        <f>E76*0.0004002+D76*0.0004002</f>
        <v/>
      </c>
      <c r="BB76" s="7">
        <f>SUM(AD76:BA76)</f>
        <v/>
      </c>
    </row>
    <row r="77">
      <c r="A77" t="inlineStr">
        <is>
          <t>AMD-M2</t>
        </is>
      </c>
      <c r="B77" t="inlineStr">
        <is>
          <t>Forward Regular OSC</t>
        </is>
      </c>
      <c r="C77" s="5" t="n">
        <v>46090</v>
      </c>
      <c r="D77" s="6">
        <f>Summary!D77</f>
        <v/>
      </c>
      <c r="E77" s="6">
        <f>Summary!E77</f>
        <v/>
      </c>
      <c r="F77" s="6">
        <f>Summary!F77</f>
        <v/>
      </c>
      <c r="G77" s="6">
        <f>Summary!G77</f>
        <v/>
      </c>
      <c r="H77" s="6">
        <f>Summary!H77</f>
        <v/>
      </c>
      <c r="I77" s="6">
        <f>Summary!I77</f>
        <v/>
      </c>
      <c r="J77" s="6">
        <f>Summary!J77</f>
        <v/>
      </c>
      <c r="K77" s="6">
        <f>Summary!K77</f>
        <v/>
      </c>
      <c r="L77" s="6">
        <f>Summary!L77</f>
        <v/>
      </c>
      <c r="M77" s="6">
        <f>Summary!M77</f>
        <v/>
      </c>
      <c r="N77" s="6">
        <f>Summary!N77</f>
        <v/>
      </c>
      <c r="O77" s="6">
        <f>Summary!O77</f>
        <v/>
      </c>
      <c r="P77" s="6">
        <f>Summary!P77</f>
        <v/>
      </c>
      <c r="Q77" s="6">
        <f>Summary!Q77</f>
        <v/>
      </c>
      <c r="R77" s="6">
        <f>Summary!R77</f>
        <v/>
      </c>
      <c r="S77" s="6">
        <f>Summary!S77</f>
        <v/>
      </c>
      <c r="T77" s="6">
        <f>Summary!T77</f>
        <v/>
      </c>
      <c r="U77" s="6">
        <f>Summary!U77</f>
        <v/>
      </c>
      <c r="V77" s="6">
        <f>Summary!V77</f>
        <v/>
      </c>
      <c r="W77" s="6">
        <f>Summary!W77</f>
        <v/>
      </c>
      <c r="X77" s="6">
        <f>Summary!X77</f>
        <v/>
      </c>
      <c r="Y77" s="6">
        <f>Summary!Y77</f>
        <v/>
      </c>
      <c r="Z77" s="6">
        <f>Summary!Z77</f>
        <v/>
      </c>
      <c r="AA77" s="6">
        <f>Summary!AA77</f>
        <v/>
      </c>
      <c r="AB77" s="6">
        <f>SUM(D77:AA77)</f>
        <v/>
      </c>
      <c r="AC77" s="3" t="inlineStr"/>
      <c r="AD77" s="7">
        <f>F77*0.0004002+E77*0.0004002</f>
        <v/>
      </c>
      <c r="AE77" s="7">
        <f>G77*0.0004002+F77*0.0004002</f>
        <v/>
      </c>
      <c r="AF77" s="7">
        <f>H77*0.0004002+G77*0.0004002</f>
        <v/>
      </c>
      <c r="AG77" s="7">
        <f>I77*0.0004002+H77*0.0004002</f>
        <v/>
      </c>
      <c r="AH77" s="7">
        <f>J77*0.0004002+I77*0.0004002</f>
        <v/>
      </c>
      <c r="AI77" s="7">
        <f>K77*0.0004002+J77*0.0004002</f>
        <v/>
      </c>
      <c r="AJ77" s="7">
        <f>L77*0.0004002+K77*0.0004002</f>
        <v/>
      </c>
      <c r="AK77" s="7">
        <f>M77*0.0004002+L77*0.0004002</f>
        <v/>
      </c>
      <c r="AL77" s="7">
        <f>N77*0.0004002+M77*0.0004002</f>
        <v/>
      </c>
      <c r="AM77" s="7">
        <f>O77*0.0004002+N77*0.0004002</f>
        <v/>
      </c>
      <c r="AN77" s="7">
        <f>P77*0.0004002+O77*0.0004002</f>
        <v/>
      </c>
      <c r="AO77" s="7">
        <f>Q77*0.0004002+P77*0.0004002</f>
        <v/>
      </c>
      <c r="AP77" s="7">
        <f>R77*0.0004002+Q77*0.0004002</f>
        <v/>
      </c>
      <c r="AQ77" s="7">
        <f>S77*0.0004002+R77*0.0004002</f>
        <v/>
      </c>
      <c r="AR77" s="7">
        <f>T77*0.0004002+S77*0.0004002</f>
        <v/>
      </c>
      <c r="AS77" s="7">
        <f>U77*0.0004002+T77*0.0004002</f>
        <v/>
      </c>
      <c r="AT77" s="7">
        <f>V77*0.0004002+U77*0.0004002</f>
        <v/>
      </c>
      <c r="AU77" s="7">
        <f>W77*0.0004002+V77*0.0004002</f>
        <v/>
      </c>
      <c r="AV77" s="7">
        <f>X77*0.0004002+W77*0.0004002</f>
        <v/>
      </c>
      <c r="AW77" s="7">
        <f>Y77*0.0004002+X77*0.0004002</f>
        <v/>
      </c>
      <c r="AX77" s="7">
        <f>Z77*0.0004002+Y77*0.0004002</f>
        <v/>
      </c>
      <c r="AY77" s="7">
        <f>AA77*0.0004002+Z77*0.0004002</f>
        <v/>
      </c>
      <c r="AZ77" s="7">
        <f>D77*0.0004002+AA77*0.0004002</f>
        <v/>
      </c>
      <c r="BA77" s="7">
        <f>E77*0.0004002+D77*0.0004002</f>
        <v/>
      </c>
      <c r="BB77" s="7">
        <f>SUM(AD77:BA77)</f>
        <v/>
      </c>
    </row>
    <row r="78">
      <c r="A78" t="inlineStr">
        <is>
          <t>AMD-M2</t>
        </is>
      </c>
      <c r="B78" t="inlineStr">
        <is>
          <t>Forward Regular OSC</t>
        </is>
      </c>
      <c r="C78" s="5" t="n">
        <v>46091</v>
      </c>
      <c r="D78" s="6">
        <f>Summary!D78</f>
        <v/>
      </c>
      <c r="E78" s="6">
        <f>Summary!E78</f>
        <v/>
      </c>
      <c r="F78" s="6">
        <f>Summary!F78</f>
        <v/>
      </c>
      <c r="G78" s="6">
        <f>Summary!G78</f>
        <v/>
      </c>
      <c r="H78" s="6">
        <f>Summary!H78</f>
        <v/>
      </c>
      <c r="I78" s="6">
        <f>Summary!I78</f>
        <v/>
      </c>
      <c r="J78" s="6">
        <f>Summary!J78</f>
        <v/>
      </c>
      <c r="K78" s="6">
        <f>Summary!K78</f>
        <v/>
      </c>
      <c r="L78" s="6">
        <f>Summary!L78</f>
        <v/>
      </c>
      <c r="M78" s="6">
        <f>Summary!M78</f>
        <v/>
      </c>
      <c r="N78" s="6">
        <f>Summary!N78</f>
        <v/>
      </c>
      <c r="O78" s="6">
        <f>Summary!O78</f>
        <v/>
      </c>
      <c r="P78" s="6">
        <f>Summary!P78</f>
        <v/>
      </c>
      <c r="Q78" s="6">
        <f>Summary!Q78</f>
        <v/>
      </c>
      <c r="R78" s="6">
        <f>Summary!R78</f>
        <v/>
      </c>
      <c r="S78" s="6">
        <f>Summary!S78</f>
        <v/>
      </c>
      <c r="T78" s="6">
        <f>Summary!T78</f>
        <v/>
      </c>
      <c r="U78" s="6">
        <f>Summary!U78</f>
        <v/>
      </c>
      <c r="V78" s="6">
        <f>Summary!V78</f>
        <v/>
      </c>
      <c r="W78" s="6">
        <f>Summary!W78</f>
        <v/>
      </c>
      <c r="X78" s="6">
        <f>Summary!X78</f>
        <v/>
      </c>
      <c r="Y78" s="6">
        <f>Summary!Y78</f>
        <v/>
      </c>
      <c r="Z78" s="6">
        <f>Summary!Z78</f>
        <v/>
      </c>
      <c r="AA78" s="6">
        <f>Summary!AA78</f>
        <v/>
      </c>
      <c r="AB78" s="6">
        <f>SUM(D78:AA78)</f>
        <v/>
      </c>
      <c r="AC78" s="3" t="inlineStr"/>
      <c r="AD78" s="7">
        <f>F78*0.0004002+E78*0.0004002</f>
        <v/>
      </c>
      <c r="AE78" s="7">
        <f>G78*0.0004002+F78*0.0004002</f>
        <v/>
      </c>
      <c r="AF78" s="7">
        <f>H78*0.0004002+G78*0.0004002</f>
        <v/>
      </c>
      <c r="AG78" s="7">
        <f>I78*0.0004002+H78*0.0004002</f>
        <v/>
      </c>
      <c r="AH78" s="7">
        <f>J78*0.0004002+I78*0.0004002</f>
        <v/>
      </c>
      <c r="AI78" s="7">
        <f>K78*0.0004002+J78*0.0004002</f>
        <v/>
      </c>
      <c r="AJ78" s="7">
        <f>L78*0.0004002+K78*0.0004002</f>
        <v/>
      </c>
      <c r="AK78" s="7">
        <f>M78*0.0004002+L78*0.0004002</f>
        <v/>
      </c>
      <c r="AL78" s="7">
        <f>N78*0.0004002+M78*0.0004002</f>
        <v/>
      </c>
      <c r="AM78" s="7">
        <f>O78*0.0004002+N78*0.0004002</f>
        <v/>
      </c>
      <c r="AN78" s="7">
        <f>P78*0.0004002+O78*0.0004002</f>
        <v/>
      </c>
      <c r="AO78" s="7">
        <f>Q78*0.0004002+P78*0.0004002</f>
        <v/>
      </c>
      <c r="AP78" s="7">
        <f>R78*0.0004002+Q78*0.0004002</f>
        <v/>
      </c>
      <c r="AQ78" s="7">
        <f>S78*0.0004002+R78*0.0004002</f>
        <v/>
      </c>
      <c r="AR78" s="7">
        <f>T78*0.0004002+S78*0.0004002</f>
        <v/>
      </c>
      <c r="AS78" s="7">
        <f>U78*0.0004002+T78*0.0004002</f>
        <v/>
      </c>
      <c r="AT78" s="7">
        <f>V78*0.0004002+U78*0.0004002</f>
        <v/>
      </c>
      <c r="AU78" s="7">
        <f>W78*0.0004002+V78*0.0004002</f>
        <v/>
      </c>
      <c r="AV78" s="7">
        <f>X78*0.0004002+W78*0.0004002</f>
        <v/>
      </c>
      <c r="AW78" s="7">
        <f>Y78*0.0004002+X78*0.0004002</f>
        <v/>
      </c>
      <c r="AX78" s="7">
        <f>Z78*0.0004002+Y78*0.0004002</f>
        <v/>
      </c>
      <c r="AY78" s="7">
        <f>AA78*0.0004002+Z78*0.0004002</f>
        <v/>
      </c>
      <c r="AZ78" s="7">
        <f>D78*0.0004002+AA78*0.0004002</f>
        <v/>
      </c>
      <c r="BA78" s="7">
        <f>E78*0.0004002+D78*0.0004002</f>
        <v/>
      </c>
      <c r="BB78" s="7">
        <f>SUM(AD78:BA78)</f>
        <v/>
      </c>
    </row>
    <row r="79">
      <c r="A79" t="inlineStr">
        <is>
          <t>AMD-M2</t>
        </is>
      </c>
      <c r="B79" t="inlineStr">
        <is>
          <t>Forward Regular OSC</t>
        </is>
      </c>
      <c r="C79" s="5" t="n">
        <v>46092</v>
      </c>
      <c r="D79" s="6">
        <f>Summary!D79</f>
        <v/>
      </c>
      <c r="E79" s="6">
        <f>Summary!E79</f>
        <v/>
      </c>
      <c r="F79" s="6">
        <f>Summary!F79</f>
        <v/>
      </c>
      <c r="G79" s="6">
        <f>Summary!G79</f>
        <v/>
      </c>
      <c r="H79" s="6">
        <f>Summary!H79</f>
        <v/>
      </c>
      <c r="I79" s="6">
        <f>Summary!I79</f>
        <v/>
      </c>
      <c r="J79" s="6">
        <f>Summary!J79</f>
        <v/>
      </c>
      <c r="K79" s="6">
        <f>Summary!K79</f>
        <v/>
      </c>
      <c r="L79" s="6">
        <f>Summary!L79</f>
        <v/>
      </c>
      <c r="M79" s="6">
        <f>Summary!M79</f>
        <v/>
      </c>
      <c r="N79" s="6">
        <f>Summary!N79</f>
        <v/>
      </c>
      <c r="O79" s="6">
        <f>Summary!O79</f>
        <v/>
      </c>
      <c r="P79" s="6">
        <f>Summary!P79</f>
        <v/>
      </c>
      <c r="Q79" s="6">
        <f>Summary!Q79</f>
        <v/>
      </c>
      <c r="R79" s="6">
        <f>Summary!R79</f>
        <v/>
      </c>
      <c r="S79" s="6">
        <f>Summary!S79</f>
        <v/>
      </c>
      <c r="T79" s="6">
        <f>Summary!T79</f>
        <v/>
      </c>
      <c r="U79" s="6">
        <f>Summary!U79</f>
        <v/>
      </c>
      <c r="V79" s="6">
        <f>Summary!V79</f>
        <v/>
      </c>
      <c r="W79" s="6">
        <f>Summary!W79</f>
        <v/>
      </c>
      <c r="X79" s="6">
        <f>Summary!X79</f>
        <v/>
      </c>
      <c r="Y79" s="6">
        <f>Summary!Y79</f>
        <v/>
      </c>
      <c r="Z79" s="6">
        <f>Summary!Z79</f>
        <v/>
      </c>
      <c r="AA79" s="6">
        <f>Summary!AA79</f>
        <v/>
      </c>
      <c r="AB79" s="6">
        <f>SUM(D79:AA79)</f>
        <v/>
      </c>
      <c r="AC79" s="3" t="inlineStr"/>
      <c r="AD79" s="7">
        <f>F79*0.0004002+E79*0.0004002</f>
        <v/>
      </c>
      <c r="AE79" s="7">
        <f>G79*0.0004002+F79*0.0004002</f>
        <v/>
      </c>
      <c r="AF79" s="7">
        <f>H79*0.0004002+G79*0.0004002</f>
        <v/>
      </c>
      <c r="AG79" s="7">
        <f>I79*0.0004002+H79*0.0004002</f>
        <v/>
      </c>
      <c r="AH79" s="7">
        <f>J79*0.0004002+I79*0.0004002</f>
        <v/>
      </c>
      <c r="AI79" s="7">
        <f>K79*0.0004002+J79*0.0004002</f>
        <v/>
      </c>
      <c r="AJ79" s="7">
        <f>L79*0.0004002+K79*0.0004002</f>
        <v/>
      </c>
      <c r="AK79" s="7">
        <f>M79*0.0004002+L79*0.0004002</f>
        <v/>
      </c>
      <c r="AL79" s="7">
        <f>N79*0.0004002+M79*0.0004002</f>
        <v/>
      </c>
      <c r="AM79" s="7">
        <f>O79*0.0004002+N79*0.0004002</f>
        <v/>
      </c>
      <c r="AN79" s="7">
        <f>P79*0.0004002+O79*0.0004002</f>
        <v/>
      </c>
      <c r="AO79" s="7">
        <f>Q79*0.0004002+P79*0.0004002</f>
        <v/>
      </c>
      <c r="AP79" s="7">
        <f>R79*0.0004002+Q79*0.0004002</f>
        <v/>
      </c>
      <c r="AQ79" s="7">
        <f>S79*0.0004002+R79*0.0004002</f>
        <v/>
      </c>
      <c r="AR79" s="7">
        <f>T79*0.0004002+S79*0.0004002</f>
        <v/>
      </c>
      <c r="AS79" s="7">
        <f>U79*0.0004002+T79*0.0004002</f>
        <v/>
      </c>
      <c r="AT79" s="7">
        <f>V79*0.0004002+U79*0.0004002</f>
        <v/>
      </c>
      <c r="AU79" s="7">
        <f>W79*0.0004002+V79*0.0004002</f>
        <v/>
      </c>
      <c r="AV79" s="7">
        <f>X79*0.0004002+W79*0.0004002</f>
        <v/>
      </c>
      <c r="AW79" s="7">
        <f>Y79*0.0004002+X79*0.0004002</f>
        <v/>
      </c>
      <c r="AX79" s="7">
        <f>Z79*0.0004002+Y79*0.0004002</f>
        <v/>
      </c>
      <c r="AY79" s="7">
        <f>AA79*0.0004002+Z79*0.0004002</f>
        <v/>
      </c>
      <c r="AZ79" s="7">
        <f>D79*0.0004002+AA79*0.0004002</f>
        <v/>
      </c>
      <c r="BA79" s="7">
        <f>E79*0.0004002+D79*0.0004002</f>
        <v/>
      </c>
      <c r="BB79" s="7">
        <f>SUM(AD79:BA79)</f>
        <v/>
      </c>
    </row>
    <row r="80">
      <c r="A80" t="inlineStr">
        <is>
          <t>AMD-M2</t>
        </is>
      </c>
      <c r="B80" t="inlineStr">
        <is>
          <t>Forward Regular OSC</t>
        </is>
      </c>
      <c r="C80" s="5" t="n">
        <v>46093</v>
      </c>
      <c r="D80" s="6">
        <f>Summary!D80</f>
        <v/>
      </c>
      <c r="E80" s="6">
        <f>Summary!E80</f>
        <v/>
      </c>
      <c r="F80" s="6">
        <f>Summary!F80</f>
        <v/>
      </c>
      <c r="G80" s="6">
        <f>Summary!G80</f>
        <v/>
      </c>
      <c r="H80" s="6">
        <f>Summary!H80</f>
        <v/>
      </c>
      <c r="I80" s="6">
        <f>Summary!I80</f>
        <v/>
      </c>
      <c r="J80" s="6">
        <f>Summary!J80</f>
        <v/>
      </c>
      <c r="K80" s="6">
        <f>Summary!K80</f>
        <v/>
      </c>
      <c r="L80" s="6">
        <f>Summary!L80</f>
        <v/>
      </c>
      <c r="M80" s="6">
        <f>Summary!M80</f>
        <v/>
      </c>
      <c r="N80" s="6">
        <f>Summary!N80</f>
        <v/>
      </c>
      <c r="O80" s="6">
        <f>Summary!O80</f>
        <v/>
      </c>
      <c r="P80" s="6">
        <f>Summary!P80</f>
        <v/>
      </c>
      <c r="Q80" s="6">
        <f>Summary!Q80</f>
        <v/>
      </c>
      <c r="R80" s="6">
        <f>Summary!R80</f>
        <v/>
      </c>
      <c r="S80" s="6">
        <f>Summary!S80</f>
        <v/>
      </c>
      <c r="T80" s="6">
        <f>Summary!T80</f>
        <v/>
      </c>
      <c r="U80" s="6">
        <f>Summary!U80</f>
        <v/>
      </c>
      <c r="V80" s="6">
        <f>Summary!V80</f>
        <v/>
      </c>
      <c r="W80" s="6">
        <f>Summary!W80</f>
        <v/>
      </c>
      <c r="X80" s="6">
        <f>Summary!X80</f>
        <v/>
      </c>
      <c r="Y80" s="6">
        <f>Summary!Y80</f>
        <v/>
      </c>
      <c r="Z80" s="6">
        <f>Summary!Z80</f>
        <v/>
      </c>
      <c r="AA80" s="6">
        <f>Summary!AA80</f>
        <v/>
      </c>
      <c r="AB80" s="6">
        <f>SUM(D80:AA80)</f>
        <v/>
      </c>
      <c r="AC80" s="3" t="inlineStr"/>
      <c r="AD80" s="7">
        <f>F80*0.0004002+E80*0.0004002</f>
        <v/>
      </c>
      <c r="AE80" s="7">
        <f>G80*0.0004002+F80*0.0004002</f>
        <v/>
      </c>
      <c r="AF80" s="7">
        <f>H80*0.0004002+G80*0.0004002</f>
        <v/>
      </c>
      <c r="AG80" s="7">
        <f>I80*0.0004002+H80*0.0004002</f>
        <v/>
      </c>
      <c r="AH80" s="7">
        <f>J80*0.0004002+I80*0.0004002</f>
        <v/>
      </c>
      <c r="AI80" s="7">
        <f>K80*0.0004002+J80*0.0004002</f>
        <v/>
      </c>
      <c r="AJ80" s="7">
        <f>L80*0.0004002+K80*0.0004002</f>
        <v/>
      </c>
      <c r="AK80" s="7">
        <f>M80*0.0004002+L80*0.0004002</f>
        <v/>
      </c>
      <c r="AL80" s="7">
        <f>N80*0.0004002+M80*0.0004002</f>
        <v/>
      </c>
      <c r="AM80" s="7">
        <f>O80*0.0004002+N80*0.0004002</f>
        <v/>
      </c>
      <c r="AN80" s="7">
        <f>P80*0.0004002+O80*0.0004002</f>
        <v/>
      </c>
      <c r="AO80" s="7">
        <f>Q80*0.0004002+P80*0.0004002</f>
        <v/>
      </c>
      <c r="AP80" s="7">
        <f>R80*0.0004002+Q80*0.0004002</f>
        <v/>
      </c>
      <c r="AQ80" s="7">
        <f>S80*0.0004002+R80*0.0004002</f>
        <v/>
      </c>
      <c r="AR80" s="7">
        <f>T80*0.0004002+S80*0.0004002</f>
        <v/>
      </c>
      <c r="AS80" s="7">
        <f>U80*0.0004002+T80*0.0004002</f>
        <v/>
      </c>
      <c r="AT80" s="7">
        <f>V80*0.0004002+U80*0.0004002</f>
        <v/>
      </c>
      <c r="AU80" s="7">
        <f>W80*0.0004002+V80*0.0004002</f>
        <v/>
      </c>
      <c r="AV80" s="7">
        <f>X80*0.0004002+W80*0.0004002</f>
        <v/>
      </c>
      <c r="AW80" s="7">
        <f>Y80*0.0004002+X80*0.0004002</f>
        <v/>
      </c>
      <c r="AX80" s="7">
        <f>Z80*0.0004002+Y80*0.0004002</f>
        <v/>
      </c>
      <c r="AY80" s="7">
        <f>AA80*0.0004002+Z80*0.0004002</f>
        <v/>
      </c>
      <c r="AZ80" s="7">
        <f>D80*0.0004002+AA80*0.0004002</f>
        <v/>
      </c>
      <c r="BA80" s="7">
        <f>E80*0.0004002+D80*0.0004002</f>
        <v/>
      </c>
      <c r="BB80" s="7">
        <f>SUM(AD80:BA80)</f>
        <v/>
      </c>
    </row>
    <row r="81">
      <c r="A81" t="inlineStr">
        <is>
          <t>AMD-M2</t>
        </is>
      </c>
      <c r="B81" t="inlineStr">
        <is>
          <t>Forward Regular OSC</t>
        </is>
      </c>
      <c r="C81" s="5" t="n">
        <v>46094</v>
      </c>
      <c r="D81" s="6">
        <f>Summary!D81</f>
        <v/>
      </c>
      <c r="E81" s="6">
        <f>Summary!E81</f>
        <v/>
      </c>
      <c r="F81" s="6">
        <f>Summary!F81</f>
        <v/>
      </c>
      <c r="G81" s="6">
        <f>Summary!G81</f>
        <v/>
      </c>
      <c r="H81" s="6">
        <f>Summary!H81</f>
        <v/>
      </c>
      <c r="I81" s="6">
        <f>Summary!I81</f>
        <v/>
      </c>
      <c r="J81" s="6">
        <f>Summary!J81</f>
        <v/>
      </c>
      <c r="K81" s="6">
        <f>Summary!K81</f>
        <v/>
      </c>
      <c r="L81" s="6">
        <f>Summary!L81</f>
        <v/>
      </c>
      <c r="M81" s="6">
        <f>Summary!M81</f>
        <v/>
      </c>
      <c r="N81" s="6">
        <f>Summary!N81</f>
        <v/>
      </c>
      <c r="O81" s="6">
        <f>Summary!O81</f>
        <v/>
      </c>
      <c r="P81" s="6">
        <f>Summary!P81</f>
        <v/>
      </c>
      <c r="Q81" s="6">
        <f>Summary!Q81</f>
        <v/>
      </c>
      <c r="R81" s="6">
        <f>Summary!R81</f>
        <v/>
      </c>
      <c r="S81" s="6">
        <f>Summary!S81</f>
        <v/>
      </c>
      <c r="T81" s="6">
        <f>Summary!T81</f>
        <v/>
      </c>
      <c r="U81" s="6">
        <f>Summary!U81</f>
        <v/>
      </c>
      <c r="V81" s="6">
        <f>Summary!V81</f>
        <v/>
      </c>
      <c r="W81" s="6">
        <f>Summary!W81</f>
        <v/>
      </c>
      <c r="X81" s="6">
        <f>Summary!X81</f>
        <v/>
      </c>
      <c r="Y81" s="6">
        <f>Summary!Y81</f>
        <v/>
      </c>
      <c r="Z81" s="6">
        <f>Summary!Z81</f>
        <v/>
      </c>
      <c r="AA81" s="6">
        <f>Summary!AA81</f>
        <v/>
      </c>
      <c r="AB81" s="6">
        <f>SUM(D81:AA81)</f>
        <v/>
      </c>
      <c r="AC81" s="3" t="inlineStr"/>
      <c r="AD81" s="7">
        <f>F81*0.0004002+E81*0.0004002</f>
        <v/>
      </c>
      <c r="AE81" s="7">
        <f>G81*0.0004002+F81*0.0004002</f>
        <v/>
      </c>
      <c r="AF81" s="7">
        <f>H81*0.0004002+G81*0.0004002</f>
        <v/>
      </c>
      <c r="AG81" s="7">
        <f>I81*0.0004002+H81*0.0004002</f>
        <v/>
      </c>
      <c r="AH81" s="7">
        <f>J81*0.0004002+I81*0.0004002</f>
        <v/>
      </c>
      <c r="AI81" s="7">
        <f>K81*0.0004002+J81*0.0004002</f>
        <v/>
      </c>
      <c r="AJ81" s="7">
        <f>L81*0.0004002+K81*0.0004002</f>
        <v/>
      </c>
      <c r="AK81" s="7">
        <f>M81*0.0004002+L81*0.0004002</f>
        <v/>
      </c>
      <c r="AL81" s="7">
        <f>N81*0.0004002+M81*0.0004002</f>
        <v/>
      </c>
      <c r="AM81" s="7">
        <f>O81*0.0004002+N81*0.0004002</f>
        <v/>
      </c>
      <c r="AN81" s="7">
        <f>P81*0.0004002+O81*0.0004002</f>
        <v/>
      </c>
      <c r="AO81" s="7">
        <f>Q81*0.0004002+P81*0.0004002</f>
        <v/>
      </c>
      <c r="AP81" s="7">
        <f>R81*0.0004002+Q81*0.0004002</f>
        <v/>
      </c>
      <c r="AQ81" s="7">
        <f>S81*0.0004002+R81*0.0004002</f>
        <v/>
      </c>
      <c r="AR81" s="7">
        <f>T81*0.0004002+S81*0.0004002</f>
        <v/>
      </c>
      <c r="AS81" s="7">
        <f>U81*0.0004002+T81*0.0004002</f>
        <v/>
      </c>
      <c r="AT81" s="7">
        <f>V81*0.0004002+U81*0.0004002</f>
        <v/>
      </c>
      <c r="AU81" s="7">
        <f>W81*0.0004002+V81*0.0004002</f>
        <v/>
      </c>
      <c r="AV81" s="7">
        <f>X81*0.0004002+W81*0.0004002</f>
        <v/>
      </c>
      <c r="AW81" s="7">
        <f>Y81*0.0004002+X81*0.0004002</f>
        <v/>
      </c>
      <c r="AX81" s="7">
        <f>Z81*0.0004002+Y81*0.0004002</f>
        <v/>
      </c>
      <c r="AY81" s="7">
        <f>AA81*0.0004002+Z81*0.0004002</f>
        <v/>
      </c>
      <c r="AZ81" s="7">
        <f>D81*0.0004002+AA81*0.0004002</f>
        <v/>
      </c>
      <c r="BA81" s="7">
        <f>E81*0.0004002+D81*0.0004002</f>
        <v/>
      </c>
      <c r="BB81" s="7">
        <f>SUM(AD81:BA81)</f>
        <v/>
      </c>
    </row>
    <row r="82">
      <c r="A82" t="inlineStr">
        <is>
          <t>AMD-M2</t>
        </is>
      </c>
      <c r="B82" t="inlineStr">
        <is>
          <t>Forward Regular OSC</t>
        </is>
      </c>
      <c r="C82" s="5" t="n">
        <v>46095</v>
      </c>
      <c r="D82" s="6">
        <f>Summary!D82</f>
        <v/>
      </c>
      <c r="E82" s="6">
        <f>Summary!E82</f>
        <v/>
      </c>
      <c r="F82" s="6">
        <f>Summary!F82</f>
        <v/>
      </c>
      <c r="G82" s="6">
        <f>Summary!G82</f>
        <v/>
      </c>
      <c r="H82" s="6">
        <f>Summary!H82</f>
        <v/>
      </c>
      <c r="I82" s="6">
        <f>Summary!I82</f>
        <v/>
      </c>
      <c r="J82" s="6">
        <f>Summary!J82</f>
        <v/>
      </c>
      <c r="K82" s="6">
        <f>Summary!K82</f>
        <v/>
      </c>
      <c r="L82" s="6">
        <f>Summary!L82</f>
        <v/>
      </c>
      <c r="M82" s="6">
        <f>Summary!M82</f>
        <v/>
      </c>
      <c r="N82" s="6">
        <f>Summary!N82</f>
        <v/>
      </c>
      <c r="O82" s="6">
        <f>Summary!O82</f>
        <v/>
      </c>
      <c r="P82" s="6">
        <f>Summary!P82</f>
        <v/>
      </c>
      <c r="Q82" s="6">
        <f>Summary!Q82</f>
        <v/>
      </c>
      <c r="R82" s="6">
        <f>Summary!R82</f>
        <v/>
      </c>
      <c r="S82" s="6">
        <f>Summary!S82</f>
        <v/>
      </c>
      <c r="T82" s="6">
        <f>Summary!T82</f>
        <v/>
      </c>
      <c r="U82" s="6">
        <f>Summary!U82</f>
        <v/>
      </c>
      <c r="V82" s="6">
        <f>Summary!V82</f>
        <v/>
      </c>
      <c r="W82" s="6">
        <f>Summary!W82</f>
        <v/>
      </c>
      <c r="X82" s="6">
        <f>Summary!X82</f>
        <v/>
      </c>
      <c r="Y82" s="6">
        <f>Summary!Y82</f>
        <v/>
      </c>
      <c r="Z82" s="6">
        <f>Summary!Z82</f>
        <v/>
      </c>
      <c r="AA82" s="6">
        <f>Summary!AA82</f>
        <v/>
      </c>
      <c r="AB82" s="6">
        <f>SUM(D82:AA82)</f>
        <v/>
      </c>
      <c r="AC82" s="3" t="inlineStr"/>
      <c r="AD82" s="7">
        <f>F82*0.0004002+E82*0.0004002</f>
        <v/>
      </c>
      <c r="AE82" s="7">
        <f>G82*0.0004002+F82*0.0004002</f>
        <v/>
      </c>
      <c r="AF82" s="7">
        <f>H82*0.0004002+G82*0.0004002</f>
        <v/>
      </c>
      <c r="AG82" s="7">
        <f>I82*0.0004002+H82*0.0004002</f>
        <v/>
      </c>
      <c r="AH82" s="7">
        <f>J82*0.0004002+I82*0.0004002</f>
        <v/>
      </c>
      <c r="AI82" s="7">
        <f>K82*0.0004002+J82*0.0004002</f>
        <v/>
      </c>
      <c r="AJ82" s="7">
        <f>L82*0.0004002+K82*0.0004002</f>
        <v/>
      </c>
      <c r="AK82" s="7">
        <f>M82*0.0004002+L82*0.0004002</f>
        <v/>
      </c>
      <c r="AL82" s="7">
        <f>N82*0.0004002+M82*0.0004002</f>
        <v/>
      </c>
      <c r="AM82" s="7">
        <f>O82*0.0004002+N82*0.0004002</f>
        <v/>
      </c>
      <c r="AN82" s="7">
        <f>P82*0.0004002+O82*0.0004002</f>
        <v/>
      </c>
      <c r="AO82" s="7">
        <f>Q82*0.0004002+P82*0.0004002</f>
        <v/>
      </c>
      <c r="AP82" s="7">
        <f>R82*0.0004002+Q82*0.0004002</f>
        <v/>
      </c>
      <c r="AQ82" s="7">
        <f>S82*0.0004002+R82*0.0004002</f>
        <v/>
      </c>
      <c r="AR82" s="7">
        <f>T82*0.0004002+S82*0.0004002</f>
        <v/>
      </c>
      <c r="AS82" s="7">
        <f>U82*0.0004002+T82*0.0004002</f>
        <v/>
      </c>
      <c r="AT82" s="7">
        <f>V82*0.0004002+U82*0.0004002</f>
        <v/>
      </c>
      <c r="AU82" s="7">
        <f>W82*0.0004002+V82*0.0004002</f>
        <v/>
      </c>
      <c r="AV82" s="7">
        <f>X82*0.0004002+W82*0.0004002</f>
        <v/>
      </c>
      <c r="AW82" s="7">
        <f>Y82*0.0004002+X82*0.0004002</f>
        <v/>
      </c>
      <c r="AX82" s="7">
        <f>Z82*0.0004002+Y82*0.0004002</f>
        <v/>
      </c>
      <c r="AY82" s="7">
        <f>AA82*0.0004002+Z82*0.0004002</f>
        <v/>
      </c>
      <c r="AZ82" s="7">
        <f>D82*0.0004002+AA82*0.0004002</f>
        <v/>
      </c>
      <c r="BA82" s="7">
        <f>E82*0.0004002+D82*0.0004002</f>
        <v/>
      </c>
      <c r="BB82" s="7">
        <f>SUM(AD82:BA82)</f>
        <v/>
      </c>
    </row>
    <row r="83">
      <c r="A83" t="inlineStr">
        <is>
          <t>AMD-M2</t>
        </is>
      </c>
      <c r="B83" t="inlineStr">
        <is>
          <t>Forward Regular OSC</t>
        </is>
      </c>
      <c r="C83" s="5" t="n">
        <v>46096</v>
      </c>
      <c r="D83" s="6">
        <f>Summary!D83</f>
        <v/>
      </c>
      <c r="E83" s="6">
        <f>Summary!E83</f>
        <v/>
      </c>
      <c r="F83" s="6">
        <f>Summary!F83</f>
        <v/>
      </c>
      <c r="G83" s="6">
        <f>Summary!G83</f>
        <v/>
      </c>
      <c r="H83" s="6">
        <f>Summary!H83</f>
        <v/>
      </c>
      <c r="I83" s="6">
        <f>Summary!I83</f>
        <v/>
      </c>
      <c r="J83" s="6">
        <f>Summary!J83</f>
        <v/>
      </c>
      <c r="K83" s="6">
        <f>Summary!K83</f>
        <v/>
      </c>
      <c r="L83" s="6">
        <f>Summary!L83</f>
        <v/>
      </c>
      <c r="M83" s="6">
        <f>Summary!M83</f>
        <v/>
      </c>
      <c r="N83" s="6">
        <f>Summary!N83</f>
        <v/>
      </c>
      <c r="O83" s="6">
        <f>Summary!O83</f>
        <v/>
      </c>
      <c r="P83" s="6">
        <f>Summary!P83</f>
        <v/>
      </c>
      <c r="Q83" s="6">
        <f>Summary!Q83</f>
        <v/>
      </c>
      <c r="R83" s="6">
        <f>Summary!R83</f>
        <v/>
      </c>
      <c r="S83" s="6">
        <f>Summary!S83</f>
        <v/>
      </c>
      <c r="T83" s="6">
        <f>Summary!T83</f>
        <v/>
      </c>
      <c r="U83" s="6">
        <f>Summary!U83</f>
        <v/>
      </c>
      <c r="V83" s="6">
        <f>Summary!V83</f>
        <v/>
      </c>
      <c r="W83" s="6">
        <f>Summary!W83</f>
        <v/>
      </c>
      <c r="X83" s="6">
        <f>Summary!X83</f>
        <v/>
      </c>
      <c r="Y83" s="6">
        <f>Summary!Y83</f>
        <v/>
      </c>
      <c r="Z83" s="6">
        <f>Summary!Z83</f>
        <v/>
      </c>
      <c r="AA83" s="6">
        <f>Summary!AA83</f>
        <v/>
      </c>
      <c r="AB83" s="6">
        <f>SUM(D83:AA83)</f>
        <v/>
      </c>
      <c r="AC83" s="3" t="inlineStr"/>
      <c r="AD83" s="7">
        <f>F83*0.0004002+E83*0.0004002</f>
        <v/>
      </c>
      <c r="AE83" s="7">
        <f>G83*0.0004002+F83*0.0004002</f>
        <v/>
      </c>
      <c r="AF83" s="7">
        <f>H83*0.0004002+G83*0.0004002</f>
        <v/>
      </c>
      <c r="AG83" s="7">
        <f>I83*0.0004002+H83*0.0004002</f>
        <v/>
      </c>
      <c r="AH83" s="7">
        <f>J83*0.0004002+I83*0.0004002</f>
        <v/>
      </c>
      <c r="AI83" s="7">
        <f>K83*0.0004002+J83*0.0004002</f>
        <v/>
      </c>
      <c r="AJ83" s="7">
        <f>L83*0.0004002+K83*0.0004002</f>
        <v/>
      </c>
      <c r="AK83" s="7">
        <f>M83*0.0004002+L83*0.0004002</f>
        <v/>
      </c>
      <c r="AL83" s="7">
        <f>N83*0.0004002+M83*0.0004002</f>
        <v/>
      </c>
      <c r="AM83" s="7">
        <f>O83*0.0004002+N83*0.0004002</f>
        <v/>
      </c>
      <c r="AN83" s="7">
        <f>P83*0.0004002+O83*0.0004002</f>
        <v/>
      </c>
      <c r="AO83" s="7">
        <f>Q83*0.0004002+P83*0.0004002</f>
        <v/>
      </c>
      <c r="AP83" s="7">
        <f>R83*0.0004002+Q83*0.0004002</f>
        <v/>
      </c>
      <c r="AQ83" s="7">
        <f>S83*0.0004002+R83*0.0004002</f>
        <v/>
      </c>
      <c r="AR83" s="7">
        <f>T83*0.0004002+S83*0.0004002</f>
        <v/>
      </c>
      <c r="AS83" s="7">
        <f>U83*0.0004002+T83*0.0004002</f>
        <v/>
      </c>
      <c r="AT83" s="7">
        <f>V83*0.0004002+U83*0.0004002</f>
        <v/>
      </c>
      <c r="AU83" s="7">
        <f>W83*0.0004002+V83*0.0004002</f>
        <v/>
      </c>
      <c r="AV83" s="7">
        <f>X83*0.0004002+W83*0.0004002</f>
        <v/>
      </c>
      <c r="AW83" s="7">
        <f>Y83*0.0004002+X83*0.0004002</f>
        <v/>
      </c>
      <c r="AX83" s="7">
        <f>Z83*0.0004002+Y83*0.0004002</f>
        <v/>
      </c>
      <c r="AY83" s="7">
        <f>AA83*0.0004002+Z83*0.0004002</f>
        <v/>
      </c>
      <c r="AZ83" s="7">
        <f>D83*0.0004002+AA83*0.0004002</f>
        <v/>
      </c>
      <c r="BA83" s="7">
        <f>E83*0.0004002+D83*0.0004002</f>
        <v/>
      </c>
      <c r="BB83" s="7">
        <f>SUM(AD83:BA83)</f>
        <v/>
      </c>
    </row>
    <row r="84">
      <c r="A84" t="inlineStr">
        <is>
          <t>AMD-M2</t>
        </is>
      </c>
      <c r="B84" t="inlineStr">
        <is>
          <t>Forward Regular OSC</t>
        </is>
      </c>
      <c r="C84" s="5" t="n">
        <v>46097</v>
      </c>
      <c r="D84" s="6">
        <f>Summary!D84</f>
        <v/>
      </c>
      <c r="E84" s="6">
        <f>Summary!E84</f>
        <v/>
      </c>
      <c r="F84" s="6">
        <f>Summary!F84</f>
        <v/>
      </c>
      <c r="G84" s="6">
        <f>Summary!G84</f>
        <v/>
      </c>
      <c r="H84" s="6">
        <f>Summary!H84</f>
        <v/>
      </c>
      <c r="I84" s="6">
        <f>Summary!I84</f>
        <v/>
      </c>
      <c r="J84" s="6">
        <f>Summary!J84</f>
        <v/>
      </c>
      <c r="K84" s="6">
        <f>Summary!K84</f>
        <v/>
      </c>
      <c r="L84" s="6">
        <f>Summary!L84</f>
        <v/>
      </c>
      <c r="M84" s="6">
        <f>Summary!M84</f>
        <v/>
      </c>
      <c r="N84" s="6">
        <f>Summary!N84</f>
        <v/>
      </c>
      <c r="O84" s="6">
        <f>Summary!O84</f>
        <v/>
      </c>
      <c r="P84" s="6">
        <f>Summary!P84</f>
        <v/>
      </c>
      <c r="Q84" s="6">
        <f>Summary!Q84</f>
        <v/>
      </c>
      <c r="R84" s="6">
        <f>Summary!R84</f>
        <v/>
      </c>
      <c r="S84" s="6">
        <f>Summary!S84</f>
        <v/>
      </c>
      <c r="T84" s="6">
        <f>Summary!T84</f>
        <v/>
      </c>
      <c r="U84" s="6">
        <f>Summary!U84</f>
        <v/>
      </c>
      <c r="V84" s="6">
        <f>Summary!V84</f>
        <v/>
      </c>
      <c r="W84" s="6">
        <f>Summary!W84</f>
        <v/>
      </c>
      <c r="X84" s="6">
        <f>Summary!X84</f>
        <v/>
      </c>
      <c r="Y84" s="6">
        <f>Summary!Y84</f>
        <v/>
      </c>
      <c r="Z84" s="6">
        <f>Summary!Z84</f>
        <v/>
      </c>
      <c r="AA84" s="6">
        <f>Summary!AA84</f>
        <v/>
      </c>
      <c r="AB84" s="6">
        <f>SUM(D84:AA84)</f>
        <v/>
      </c>
      <c r="AC84" s="3" t="inlineStr"/>
      <c r="AD84" s="7">
        <f>F84*0.0004002+E84*0.0004002</f>
        <v/>
      </c>
      <c r="AE84" s="7">
        <f>G84*0.0004002+F84*0.0004002</f>
        <v/>
      </c>
      <c r="AF84" s="7">
        <f>H84*0.0004002+G84*0.0004002</f>
        <v/>
      </c>
      <c r="AG84" s="7">
        <f>I84*0.0004002+H84*0.0004002</f>
        <v/>
      </c>
      <c r="AH84" s="7">
        <f>J84*0.0004002+I84*0.0004002</f>
        <v/>
      </c>
      <c r="AI84" s="7">
        <f>K84*0.0004002+J84*0.0004002</f>
        <v/>
      </c>
      <c r="AJ84" s="7">
        <f>L84*0.0004002+K84*0.0004002</f>
        <v/>
      </c>
      <c r="AK84" s="7">
        <f>M84*0.0004002+L84*0.0004002</f>
        <v/>
      </c>
      <c r="AL84" s="7">
        <f>N84*0.0004002+M84*0.0004002</f>
        <v/>
      </c>
      <c r="AM84" s="7">
        <f>O84*0.0004002+N84*0.0004002</f>
        <v/>
      </c>
      <c r="AN84" s="7">
        <f>P84*0.0004002+O84*0.0004002</f>
        <v/>
      </c>
      <c r="AO84" s="7">
        <f>Q84*0.0004002+P84*0.0004002</f>
        <v/>
      </c>
      <c r="AP84" s="7">
        <f>R84*0.0004002+Q84*0.0004002</f>
        <v/>
      </c>
      <c r="AQ84" s="7">
        <f>S84*0.0004002+R84*0.0004002</f>
        <v/>
      </c>
      <c r="AR84" s="7">
        <f>T84*0.0004002+S84*0.0004002</f>
        <v/>
      </c>
      <c r="AS84" s="7">
        <f>U84*0.0004002+T84*0.0004002</f>
        <v/>
      </c>
      <c r="AT84" s="7">
        <f>V84*0.0004002+U84*0.0004002</f>
        <v/>
      </c>
      <c r="AU84" s="7">
        <f>W84*0.0004002+V84*0.0004002</f>
        <v/>
      </c>
      <c r="AV84" s="7">
        <f>X84*0.0004002+W84*0.0004002</f>
        <v/>
      </c>
      <c r="AW84" s="7">
        <f>Y84*0.0004002+X84*0.0004002</f>
        <v/>
      </c>
      <c r="AX84" s="7">
        <f>Z84*0.0004002+Y84*0.0004002</f>
        <v/>
      </c>
      <c r="AY84" s="7">
        <f>AA84*0.0004002+Z84*0.0004002</f>
        <v/>
      </c>
      <c r="AZ84" s="7">
        <f>D84*0.0004002+AA84*0.0004002</f>
        <v/>
      </c>
      <c r="BA84" s="7">
        <f>E84*0.0004002+D84*0.0004002</f>
        <v/>
      </c>
      <c r="BB84" s="7">
        <f>SUM(AD84:BA84)</f>
        <v/>
      </c>
    </row>
    <row r="85">
      <c r="A85" t="inlineStr">
        <is>
          <t>AMD-MU-01</t>
        </is>
      </c>
      <c r="B85" t="inlineStr">
        <is>
          <t>Forward Regular OSC</t>
        </is>
      </c>
      <c r="C85" s="5" t="n">
        <v>46091</v>
      </c>
      <c r="D85" s="6">
        <f>Summary!D85</f>
        <v/>
      </c>
      <c r="E85" s="6">
        <f>Summary!E85</f>
        <v/>
      </c>
      <c r="F85" s="6">
        <f>Summary!F85</f>
        <v/>
      </c>
      <c r="G85" s="6">
        <f>Summary!G85</f>
        <v/>
      </c>
      <c r="H85" s="6">
        <f>Summary!H85</f>
        <v/>
      </c>
      <c r="I85" s="6">
        <f>Summary!I85</f>
        <v/>
      </c>
      <c r="J85" s="6">
        <f>Summary!J85</f>
        <v/>
      </c>
      <c r="K85" s="6">
        <f>Summary!K85</f>
        <v/>
      </c>
      <c r="L85" s="6">
        <f>Summary!L85</f>
        <v/>
      </c>
      <c r="M85" s="6">
        <f>Summary!M85</f>
        <v/>
      </c>
      <c r="N85" s="6">
        <f>Summary!N85</f>
        <v/>
      </c>
      <c r="O85" s="6">
        <f>Summary!O85</f>
        <v/>
      </c>
      <c r="P85" s="6">
        <f>Summary!P85</f>
        <v/>
      </c>
      <c r="Q85" s="6">
        <f>Summary!Q85</f>
        <v/>
      </c>
      <c r="R85" s="6">
        <f>Summary!R85</f>
        <v/>
      </c>
      <c r="S85" s="6">
        <f>Summary!S85</f>
        <v/>
      </c>
      <c r="T85" s="6">
        <f>Summary!T85</f>
        <v/>
      </c>
      <c r="U85" s="6">
        <f>Summary!U85</f>
        <v/>
      </c>
      <c r="V85" s="6">
        <f>Summary!V85</f>
        <v/>
      </c>
      <c r="W85" s="6">
        <f>Summary!W85</f>
        <v/>
      </c>
      <c r="X85" s="6">
        <f>Summary!X85</f>
        <v/>
      </c>
      <c r="Y85" s="6">
        <f>Summary!Y85</f>
        <v/>
      </c>
      <c r="Z85" s="6">
        <f>Summary!Z85</f>
        <v/>
      </c>
      <c r="AA85" s="6">
        <f>Summary!AA85</f>
        <v/>
      </c>
      <c r="AB85" s="6">
        <f>SUM(D85:AA85)</f>
        <v/>
      </c>
      <c r="AC85" s="3" t="inlineStr"/>
      <c r="AD85" s="7">
        <f>F85*0.0004002+E85*0.0004002</f>
        <v/>
      </c>
      <c r="AE85" s="7">
        <f>G85*0.0004002+F85*0.0004002</f>
        <v/>
      </c>
      <c r="AF85" s="7">
        <f>H85*0.0004002+G85*0.0004002</f>
        <v/>
      </c>
      <c r="AG85" s="7">
        <f>I85*0.0004002+H85*0.0004002</f>
        <v/>
      </c>
      <c r="AH85" s="7">
        <f>J85*0.0004002+I85*0.0004002</f>
        <v/>
      </c>
      <c r="AI85" s="7">
        <f>K85*0.0004002+J85*0.0004002</f>
        <v/>
      </c>
      <c r="AJ85" s="7">
        <f>L85*0.0004002+K85*0.0004002</f>
        <v/>
      </c>
      <c r="AK85" s="7">
        <f>M85*0.0004002+L85*0.0004002</f>
        <v/>
      </c>
      <c r="AL85" s="7">
        <f>N85*0.0004002+M85*0.0004002</f>
        <v/>
      </c>
      <c r="AM85" s="7">
        <f>O85*0.0004002+N85*0.0004002</f>
        <v/>
      </c>
      <c r="AN85" s="7">
        <f>P85*0.0004002+O85*0.0004002</f>
        <v/>
      </c>
      <c r="AO85" s="7">
        <f>Q85*0.0004002+P85*0.0004002</f>
        <v/>
      </c>
      <c r="AP85" s="7">
        <f>R85*0.0004002+Q85*0.0004002</f>
        <v/>
      </c>
      <c r="AQ85" s="7">
        <f>S85*0.0004002+R85*0.0004002</f>
        <v/>
      </c>
      <c r="AR85" s="7">
        <f>T85*0.0004002+S85*0.0004002</f>
        <v/>
      </c>
      <c r="AS85" s="7">
        <f>U85*0.0004002+T85*0.0004002</f>
        <v/>
      </c>
      <c r="AT85" s="7">
        <f>V85*0.0004002+U85*0.0004002</f>
        <v/>
      </c>
      <c r="AU85" s="7">
        <f>W85*0.0004002+V85*0.0004002</f>
        <v/>
      </c>
      <c r="AV85" s="7">
        <f>X85*0.0004002+W85*0.0004002</f>
        <v/>
      </c>
      <c r="AW85" s="7">
        <f>Y85*0.0004002+X85*0.0004002</f>
        <v/>
      </c>
      <c r="AX85" s="7">
        <f>Z85*0.0004002+Y85*0.0004002</f>
        <v/>
      </c>
      <c r="AY85" s="7">
        <f>AA85*0.0004002+Z85*0.0004002</f>
        <v/>
      </c>
      <c r="AZ85" s="7">
        <f>D85*0.0004002+AA85*0.0004002</f>
        <v/>
      </c>
      <c r="BA85" s="7">
        <f>E85*0.0004002+D85*0.0004002</f>
        <v/>
      </c>
      <c r="BB85" s="7">
        <f>SUM(AD85:BA85)</f>
        <v/>
      </c>
    </row>
    <row r="86">
      <c r="A86" t="inlineStr">
        <is>
          <t>AMD-RTS-RCLS-1302-SSC</t>
        </is>
      </c>
      <c r="B86" t="inlineStr">
        <is>
          <t>Rev OSC</t>
        </is>
      </c>
      <c r="C86" s="5" t="n">
        <v>46089</v>
      </c>
      <c r="D86" s="6">
        <f>Summary!D86</f>
        <v/>
      </c>
      <c r="E86" s="6">
        <f>Summary!E86</f>
        <v/>
      </c>
      <c r="F86" s="6">
        <f>Summary!F86</f>
        <v/>
      </c>
      <c r="G86" s="6">
        <f>Summary!G86</f>
        <v/>
      </c>
      <c r="H86" s="6">
        <f>Summary!H86</f>
        <v/>
      </c>
      <c r="I86" s="6">
        <f>Summary!I86</f>
        <v/>
      </c>
      <c r="J86" s="6">
        <f>Summary!J86</f>
        <v/>
      </c>
      <c r="K86" s="6">
        <f>Summary!K86</f>
        <v/>
      </c>
      <c r="L86" s="6">
        <f>Summary!L86</f>
        <v/>
      </c>
      <c r="M86" s="6">
        <f>Summary!M86</f>
        <v/>
      </c>
      <c r="N86" s="6">
        <f>Summary!N86</f>
        <v/>
      </c>
      <c r="O86" s="6">
        <f>Summary!O86</f>
        <v/>
      </c>
      <c r="P86" s="6">
        <f>Summary!P86</f>
        <v/>
      </c>
      <c r="Q86" s="6">
        <f>Summary!Q86</f>
        <v/>
      </c>
      <c r="R86" s="6">
        <f>Summary!R86</f>
        <v/>
      </c>
      <c r="S86" s="6">
        <f>Summary!S86</f>
        <v/>
      </c>
      <c r="T86" s="6">
        <f>Summary!T86</f>
        <v/>
      </c>
      <c r="U86" s="6">
        <f>Summary!U86</f>
        <v/>
      </c>
      <c r="V86" s="6">
        <f>Summary!V86</f>
        <v/>
      </c>
      <c r="W86" s="6">
        <f>Summary!W86</f>
        <v/>
      </c>
      <c r="X86" s="6">
        <f>Summary!X86</f>
        <v/>
      </c>
      <c r="Y86" s="6">
        <f>Summary!Y86</f>
        <v/>
      </c>
      <c r="Z86" s="6">
        <f>Summary!Z86</f>
        <v/>
      </c>
      <c r="AA86" s="6">
        <f>Summary!AA86</f>
        <v/>
      </c>
      <c r="AB86" s="6">
        <f>SUM(D86:AA86)</f>
        <v/>
      </c>
      <c r="AC86" s="3" t="inlineStr"/>
      <c r="AD86" s="7">
        <f>F86*0.0004002+E86*0.0004002</f>
        <v/>
      </c>
      <c r="AE86" s="7">
        <f>G86*0.0004002+F86*0.0004002</f>
        <v/>
      </c>
      <c r="AF86" s="7">
        <f>H86*0.0004002+G86*0.0004002</f>
        <v/>
      </c>
      <c r="AG86" s="7">
        <f>I86*0.0004002+H86*0.0004002</f>
        <v/>
      </c>
      <c r="AH86" s="7">
        <f>J86*0.0004002+I86*0.0004002</f>
        <v/>
      </c>
      <c r="AI86" s="7">
        <f>K86*0.0004002+J86*0.0004002</f>
        <v/>
      </c>
      <c r="AJ86" s="7">
        <f>L86*0.0004002+K86*0.0004002</f>
        <v/>
      </c>
      <c r="AK86" s="7">
        <f>M86*0.0004002+L86*0.0004002</f>
        <v/>
      </c>
      <c r="AL86" s="7">
        <f>N86*0.0004002+M86*0.0004002</f>
        <v/>
      </c>
      <c r="AM86" s="7">
        <f>O86*0.0004002+N86*0.0004002</f>
        <v/>
      </c>
      <c r="AN86" s="7">
        <f>P86*0.0004002+O86*0.0004002</f>
        <v/>
      </c>
      <c r="AO86" s="7">
        <f>Q86*0.0004002+P86*0.0004002</f>
        <v/>
      </c>
      <c r="AP86" s="7">
        <f>R86*0.0004002+Q86*0.0004002</f>
        <v/>
      </c>
      <c r="AQ86" s="7">
        <f>S86*0.0004002+R86*0.0004002</f>
        <v/>
      </c>
      <c r="AR86" s="7">
        <f>T86*0.0004002+S86*0.0004002</f>
        <v/>
      </c>
      <c r="AS86" s="7">
        <f>U86*0.0004002+T86*0.0004002</f>
        <v/>
      </c>
      <c r="AT86" s="7">
        <f>V86*0.0004002+U86*0.0004002</f>
        <v/>
      </c>
      <c r="AU86" s="7">
        <f>W86*0.0004002+V86*0.0004002</f>
        <v/>
      </c>
      <c r="AV86" s="7">
        <f>X86*0.0004002+W86*0.0004002</f>
        <v/>
      </c>
      <c r="AW86" s="7">
        <f>Y86*0.0004002+X86*0.0004002</f>
        <v/>
      </c>
      <c r="AX86" s="7">
        <f>Z86*0.0004002+Y86*0.0004002</f>
        <v/>
      </c>
      <c r="AY86" s="7">
        <f>AA86*0.0004002+Z86*0.0004002</f>
        <v/>
      </c>
      <c r="AZ86" s="7">
        <f>D86*0.0004002+AA86*0.0004002</f>
        <v/>
      </c>
      <c r="BA86" s="7">
        <f>E86*0.0004002+D86*0.0004002</f>
        <v/>
      </c>
      <c r="BB86" s="7">
        <f>SUM(AD86:BA86)</f>
        <v/>
      </c>
    </row>
    <row r="87">
      <c r="A87" t="inlineStr">
        <is>
          <t>AMD-RTS-RCLS-1302-SSC</t>
        </is>
      </c>
      <c r="B87" t="inlineStr">
        <is>
          <t>Rev OSC</t>
        </is>
      </c>
      <c r="C87" s="5" t="n">
        <v>46090</v>
      </c>
      <c r="D87" s="6">
        <f>Summary!D87</f>
        <v/>
      </c>
      <c r="E87" s="6">
        <f>Summary!E87</f>
        <v/>
      </c>
      <c r="F87" s="6">
        <f>Summary!F87</f>
        <v/>
      </c>
      <c r="G87" s="6">
        <f>Summary!G87</f>
        <v/>
      </c>
      <c r="H87" s="6">
        <f>Summary!H87</f>
        <v/>
      </c>
      <c r="I87" s="6">
        <f>Summary!I87</f>
        <v/>
      </c>
      <c r="J87" s="6">
        <f>Summary!J87</f>
        <v/>
      </c>
      <c r="K87" s="6">
        <f>Summary!K87</f>
        <v/>
      </c>
      <c r="L87" s="6">
        <f>Summary!L87</f>
        <v/>
      </c>
      <c r="M87" s="6">
        <f>Summary!M87</f>
        <v/>
      </c>
      <c r="N87" s="6">
        <f>Summary!N87</f>
        <v/>
      </c>
      <c r="O87" s="6">
        <f>Summary!O87</f>
        <v/>
      </c>
      <c r="P87" s="6">
        <f>Summary!P87</f>
        <v/>
      </c>
      <c r="Q87" s="6">
        <f>Summary!Q87</f>
        <v/>
      </c>
      <c r="R87" s="6">
        <f>Summary!R87</f>
        <v/>
      </c>
      <c r="S87" s="6">
        <f>Summary!S87</f>
        <v/>
      </c>
      <c r="T87" s="6">
        <f>Summary!T87</f>
        <v/>
      </c>
      <c r="U87" s="6">
        <f>Summary!U87</f>
        <v/>
      </c>
      <c r="V87" s="6">
        <f>Summary!V87</f>
        <v/>
      </c>
      <c r="W87" s="6">
        <f>Summary!W87</f>
        <v/>
      </c>
      <c r="X87" s="6">
        <f>Summary!X87</f>
        <v/>
      </c>
      <c r="Y87" s="6">
        <f>Summary!Y87</f>
        <v/>
      </c>
      <c r="Z87" s="6">
        <f>Summary!Z87</f>
        <v/>
      </c>
      <c r="AA87" s="6">
        <f>Summary!AA87</f>
        <v/>
      </c>
      <c r="AB87" s="6">
        <f>SUM(D87:AA87)</f>
        <v/>
      </c>
      <c r="AC87" s="3" t="inlineStr"/>
      <c r="AD87" s="7">
        <f>F87*0.0004002+E87*0.0004002</f>
        <v/>
      </c>
      <c r="AE87" s="7">
        <f>G87*0.0004002+F87*0.0004002</f>
        <v/>
      </c>
      <c r="AF87" s="7">
        <f>H87*0.0004002+G87*0.0004002</f>
        <v/>
      </c>
      <c r="AG87" s="7">
        <f>I87*0.0004002+H87*0.0004002</f>
        <v/>
      </c>
      <c r="AH87" s="7">
        <f>J87*0.0004002+I87*0.0004002</f>
        <v/>
      </c>
      <c r="AI87" s="7">
        <f>K87*0.0004002+J87*0.0004002</f>
        <v/>
      </c>
      <c r="AJ87" s="7">
        <f>L87*0.0004002+K87*0.0004002</f>
        <v/>
      </c>
      <c r="AK87" s="7">
        <f>M87*0.0004002+L87*0.0004002</f>
        <v/>
      </c>
      <c r="AL87" s="7">
        <f>N87*0.0004002+M87*0.0004002</f>
        <v/>
      </c>
      <c r="AM87" s="7">
        <f>O87*0.0004002+N87*0.0004002</f>
        <v/>
      </c>
      <c r="AN87" s="7">
        <f>P87*0.0004002+O87*0.0004002</f>
        <v/>
      </c>
      <c r="AO87" s="7">
        <f>Q87*0.0004002+P87*0.0004002</f>
        <v/>
      </c>
      <c r="AP87" s="7">
        <f>R87*0.0004002+Q87*0.0004002</f>
        <v/>
      </c>
      <c r="AQ87" s="7">
        <f>S87*0.0004002+R87*0.0004002</f>
        <v/>
      </c>
      <c r="AR87" s="7">
        <f>T87*0.0004002+S87*0.0004002</f>
        <v/>
      </c>
      <c r="AS87" s="7">
        <f>U87*0.0004002+T87*0.0004002</f>
        <v/>
      </c>
      <c r="AT87" s="7">
        <f>V87*0.0004002+U87*0.0004002</f>
        <v/>
      </c>
      <c r="AU87" s="7">
        <f>W87*0.0004002+V87*0.0004002</f>
        <v/>
      </c>
      <c r="AV87" s="7">
        <f>X87*0.0004002+W87*0.0004002</f>
        <v/>
      </c>
      <c r="AW87" s="7">
        <f>Y87*0.0004002+X87*0.0004002</f>
        <v/>
      </c>
      <c r="AX87" s="7">
        <f>Z87*0.0004002+Y87*0.0004002</f>
        <v/>
      </c>
      <c r="AY87" s="7">
        <f>AA87*0.0004002+Z87*0.0004002</f>
        <v/>
      </c>
      <c r="AZ87" s="7">
        <f>D87*0.0004002+AA87*0.0004002</f>
        <v/>
      </c>
      <c r="BA87" s="7">
        <f>E87*0.0004002+D87*0.0004002</f>
        <v/>
      </c>
      <c r="BB87" s="7">
        <f>SUM(AD87:BA87)</f>
        <v/>
      </c>
    </row>
    <row r="88">
      <c r="A88" t="inlineStr">
        <is>
          <t>AMD-RTS-RCLS-1302-SSC</t>
        </is>
      </c>
      <c r="B88" t="inlineStr">
        <is>
          <t>Rev OSC</t>
        </is>
      </c>
      <c r="C88" s="5" t="n">
        <v>46092</v>
      </c>
      <c r="D88" s="6">
        <f>Summary!D88</f>
        <v/>
      </c>
      <c r="E88" s="6">
        <f>Summary!E88</f>
        <v/>
      </c>
      <c r="F88" s="6">
        <f>Summary!F88</f>
        <v/>
      </c>
      <c r="G88" s="6">
        <f>Summary!G88</f>
        <v/>
      </c>
      <c r="H88" s="6">
        <f>Summary!H88</f>
        <v/>
      </c>
      <c r="I88" s="6">
        <f>Summary!I88</f>
        <v/>
      </c>
      <c r="J88" s="6">
        <f>Summary!J88</f>
        <v/>
      </c>
      <c r="K88" s="6">
        <f>Summary!K88</f>
        <v/>
      </c>
      <c r="L88" s="6">
        <f>Summary!L88</f>
        <v/>
      </c>
      <c r="M88" s="6">
        <f>Summary!M88</f>
        <v/>
      </c>
      <c r="N88" s="6">
        <f>Summary!N88</f>
        <v/>
      </c>
      <c r="O88" s="6">
        <f>Summary!O88</f>
        <v/>
      </c>
      <c r="P88" s="6">
        <f>Summary!P88</f>
        <v/>
      </c>
      <c r="Q88" s="6">
        <f>Summary!Q88</f>
        <v/>
      </c>
      <c r="R88" s="6">
        <f>Summary!R88</f>
        <v/>
      </c>
      <c r="S88" s="6">
        <f>Summary!S88</f>
        <v/>
      </c>
      <c r="T88" s="6">
        <f>Summary!T88</f>
        <v/>
      </c>
      <c r="U88" s="6">
        <f>Summary!U88</f>
        <v/>
      </c>
      <c r="V88" s="6">
        <f>Summary!V88</f>
        <v/>
      </c>
      <c r="W88" s="6">
        <f>Summary!W88</f>
        <v/>
      </c>
      <c r="X88" s="6">
        <f>Summary!X88</f>
        <v/>
      </c>
      <c r="Y88" s="6">
        <f>Summary!Y88</f>
        <v/>
      </c>
      <c r="Z88" s="6">
        <f>Summary!Z88</f>
        <v/>
      </c>
      <c r="AA88" s="6">
        <f>Summary!AA88</f>
        <v/>
      </c>
      <c r="AB88" s="6">
        <f>SUM(D88:AA88)</f>
        <v/>
      </c>
      <c r="AC88" s="3" t="inlineStr"/>
      <c r="AD88" s="7">
        <f>F88*0.0004002+E88*0.0004002</f>
        <v/>
      </c>
      <c r="AE88" s="7">
        <f>G88*0.0004002+F88*0.0004002</f>
        <v/>
      </c>
      <c r="AF88" s="7">
        <f>H88*0.0004002+G88*0.0004002</f>
        <v/>
      </c>
      <c r="AG88" s="7">
        <f>I88*0.0004002+H88*0.0004002</f>
        <v/>
      </c>
      <c r="AH88" s="7">
        <f>J88*0.0004002+I88*0.0004002</f>
        <v/>
      </c>
      <c r="AI88" s="7">
        <f>K88*0.0004002+J88*0.0004002</f>
        <v/>
      </c>
      <c r="AJ88" s="7">
        <f>L88*0.0004002+K88*0.0004002</f>
        <v/>
      </c>
      <c r="AK88" s="7">
        <f>M88*0.0004002+L88*0.0004002</f>
        <v/>
      </c>
      <c r="AL88" s="7">
        <f>N88*0.0004002+M88*0.0004002</f>
        <v/>
      </c>
      <c r="AM88" s="7">
        <f>O88*0.0004002+N88*0.0004002</f>
        <v/>
      </c>
      <c r="AN88" s="7">
        <f>P88*0.0004002+O88*0.0004002</f>
        <v/>
      </c>
      <c r="AO88" s="7">
        <f>Q88*0.0004002+P88*0.0004002</f>
        <v/>
      </c>
      <c r="AP88" s="7">
        <f>R88*0.0004002+Q88*0.0004002</f>
        <v/>
      </c>
      <c r="AQ88" s="7">
        <f>S88*0.0004002+R88*0.0004002</f>
        <v/>
      </c>
      <c r="AR88" s="7">
        <f>T88*0.0004002+S88*0.0004002</f>
        <v/>
      </c>
      <c r="AS88" s="7">
        <f>U88*0.0004002+T88*0.0004002</f>
        <v/>
      </c>
      <c r="AT88" s="7">
        <f>V88*0.0004002+U88*0.0004002</f>
        <v/>
      </c>
      <c r="AU88" s="7">
        <f>W88*0.0004002+V88*0.0004002</f>
        <v/>
      </c>
      <c r="AV88" s="7">
        <f>X88*0.0004002+W88*0.0004002</f>
        <v/>
      </c>
      <c r="AW88" s="7">
        <f>Y88*0.0004002+X88*0.0004002</f>
        <v/>
      </c>
      <c r="AX88" s="7">
        <f>Z88*0.0004002+Y88*0.0004002</f>
        <v/>
      </c>
      <c r="AY88" s="7">
        <f>AA88*0.0004002+Z88*0.0004002</f>
        <v/>
      </c>
      <c r="AZ88" s="7">
        <f>D88*0.0004002+AA88*0.0004002</f>
        <v/>
      </c>
      <c r="BA88" s="7">
        <f>E88*0.0004002+D88*0.0004002</f>
        <v/>
      </c>
      <c r="BB88" s="7">
        <f>SUM(AD88:BA88)</f>
        <v/>
      </c>
    </row>
    <row r="89">
      <c r="A89" t="inlineStr">
        <is>
          <t>AMD-RTS-RCLS-1302-SSC</t>
        </is>
      </c>
      <c r="B89" t="inlineStr">
        <is>
          <t>Rev OSC</t>
        </is>
      </c>
      <c r="C89" s="5" t="n">
        <v>46093</v>
      </c>
      <c r="D89" s="6">
        <f>Summary!D89</f>
        <v/>
      </c>
      <c r="E89" s="6">
        <f>Summary!E89</f>
        <v/>
      </c>
      <c r="F89" s="6">
        <f>Summary!F89</f>
        <v/>
      </c>
      <c r="G89" s="6">
        <f>Summary!G89</f>
        <v/>
      </c>
      <c r="H89" s="6">
        <f>Summary!H89</f>
        <v/>
      </c>
      <c r="I89" s="6">
        <f>Summary!I89</f>
        <v/>
      </c>
      <c r="J89" s="6">
        <f>Summary!J89</f>
        <v/>
      </c>
      <c r="K89" s="6">
        <f>Summary!K89</f>
        <v/>
      </c>
      <c r="L89" s="6">
        <f>Summary!L89</f>
        <v/>
      </c>
      <c r="M89" s="6">
        <f>Summary!M89</f>
        <v/>
      </c>
      <c r="N89" s="6">
        <f>Summary!N89</f>
        <v/>
      </c>
      <c r="O89" s="6">
        <f>Summary!O89</f>
        <v/>
      </c>
      <c r="P89" s="6">
        <f>Summary!P89</f>
        <v/>
      </c>
      <c r="Q89" s="6">
        <f>Summary!Q89</f>
        <v/>
      </c>
      <c r="R89" s="6">
        <f>Summary!R89</f>
        <v/>
      </c>
      <c r="S89" s="6">
        <f>Summary!S89</f>
        <v/>
      </c>
      <c r="T89" s="6">
        <f>Summary!T89</f>
        <v/>
      </c>
      <c r="U89" s="6">
        <f>Summary!U89</f>
        <v/>
      </c>
      <c r="V89" s="6">
        <f>Summary!V89</f>
        <v/>
      </c>
      <c r="W89" s="6">
        <f>Summary!W89</f>
        <v/>
      </c>
      <c r="X89" s="6">
        <f>Summary!X89</f>
        <v/>
      </c>
      <c r="Y89" s="6">
        <f>Summary!Y89</f>
        <v/>
      </c>
      <c r="Z89" s="6">
        <f>Summary!Z89</f>
        <v/>
      </c>
      <c r="AA89" s="6">
        <f>Summary!AA89</f>
        <v/>
      </c>
      <c r="AB89" s="6">
        <f>SUM(D89:AA89)</f>
        <v/>
      </c>
      <c r="AC89" s="3" t="inlineStr"/>
      <c r="AD89" s="7">
        <f>F89*0.0004002+E89*0.0004002</f>
        <v/>
      </c>
      <c r="AE89" s="7">
        <f>G89*0.0004002+F89*0.0004002</f>
        <v/>
      </c>
      <c r="AF89" s="7">
        <f>H89*0.0004002+G89*0.0004002</f>
        <v/>
      </c>
      <c r="AG89" s="7">
        <f>I89*0.0004002+H89*0.0004002</f>
        <v/>
      </c>
      <c r="AH89" s="7">
        <f>J89*0.0004002+I89*0.0004002</f>
        <v/>
      </c>
      <c r="AI89" s="7">
        <f>K89*0.0004002+J89*0.0004002</f>
        <v/>
      </c>
      <c r="AJ89" s="7">
        <f>L89*0.0004002+K89*0.0004002</f>
        <v/>
      </c>
      <c r="AK89" s="7">
        <f>M89*0.0004002+L89*0.0004002</f>
        <v/>
      </c>
      <c r="AL89" s="7">
        <f>N89*0.0004002+M89*0.0004002</f>
        <v/>
      </c>
      <c r="AM89" s="7">
        <f>O89*0.0004002+N89*0.0004002</f>
        <v/>
      </c>
      <c r="AN89" s="7">
        <f>P89*0.0004002+O89*0.0004002</f>
        <v/>
      </c>
      <c r="AO89" s="7">
        <f>Q89*0.0004002+P89*0.0004002</f>
        <v/>
      </c>
      <c r="AP89" s="7">
        <f>R89*0.0004002+Q89*0.0004002</f>
        <v/>
      </c>
      <c r="AQ89" s="7">
        <f>S89*0.0004002+R89*0.0004002</f>
        <v/>
      </c>
      <c r="AR89" s="7">
        <f>T89*0.0004002+S89*0.0004002</f>
        <v/>
      </c>
      <c r="AS89" s="7">
        <f>U89*0.0004002+T89*0.0004002</f>
        <v/>
      </c>
      <c r="AT89" s="7">
        <f>V89*0.0004002+U89*0.0004002</f>
        <v/>
      </c>
      <c r="AU89" s="7">
        <f>W89*0.0004002+V89*0.0004002</f>
        <v/>
      </c>
      <c r="AV89" s="7">
        <f>X89*0.0004002+W89*0.0004002</f>
        <v/>
      </c>
      <c r="AW89" s="7">
        <f>Y89*0.0004002+X89*0.0004002</f>
        <v/>
      </c>
      <c r="AX89" s="7">
        <f>Z89*0.0004002+Y89*0.0004002</f>
        <v/>
      </c>
      <c r="AY89" s="7">
        <f>AA89*0.0004002+Z89*0.0004002</f>
        <v/>
      </c>
      <c r="AZ89" s="7">
        <f>D89*0.0004002+AA89*0.0004002</f>
        <v/>
      </c>
      <c r="BA89" s="7">
        <f>E89*0.0004002+D89*0.0004002</f>
        <v/>
      </c>
      <c r="BB89" s="7">
        <f>SUM(AD89:BA89)</f>
        <v/>
      </c>
    </row>
    <row r="90">
      <c r="A90" t="inlineStr">
        <is>
          <t>AMD-RTS-RCLS-1302-SSC</t>
        </is>
      </c>
      <c r="B90" t="inlineStr">
        <is>
          <t>Rev OSC</t>
        </is>
      </c>
      <c r="C90" s="5" t="n">
        <v>46094</v>
      </c>
      <c r="D90" s="6">
        <f>Summary!D90</f>
        <v/>
      </c>
      <c r="E90" s="6">
        <f>Summary!E90</f>
        <v/>
      </c>
      <c r="F90" s="6">
        <f>Summary!F90</f>
        <v/>
      </c>
      <c r="G90" s="6">
        <f>Summary!G90</f>
        <v/>
      </c>
      <c r="H90" s="6">
        <f>Summary!H90</f>
        <v/>
      </c>
      <c r="I90" s="6">
        <f>Summary!I90</f>
        <v/>
      </c>
      <c r="J90" s="6">
        <f>Summary!J90</f>
        <v/>
      </c>
      <c r="K90" s="6">
        <f>Summary!K90</f>
        <v/>
      </c>
      <c r="L90" s="6">
        <f>Summary!L90</f>
        <v/>
      </c>
      <c r="M90" s="6">
        <f>Summary!M90</f>
        <v/>
      </c>
      <c r="N90" s="6">
        <f>Summary!N90</f>
        <v/>
      </c>
      <c r="O90" s="6">
        <f>Summary!O90</f>
        <v/>
      </c>
      <c r="P90" s="6">
        <f>Summary!P90</f>
        <v/>
      </c>
      <c r="Q90" s="6">
        <f>Summary!Q90</f>
        <v/>
      </c>
      <c r="R90" s="6">
        <f>Summary!R90</f>
        <v/>
      </c>
      <c r="S90" s="6">
        <f>Summary!S90</f>
        <v/>
      </c>
      <c r="T90" s="6">
        <f>Summary!T90</f>
        <v/>
      </c>
      <c r="U90" s="6">
        <f>Summary!U90</f>
        <v/>
      </c>
      <c r="V90" s="6">
        <f>Summary!V90</f>
        <v/>
      </c>
      <c r="W90" s="6">
        <f>Summary!W90</f>
        <v/>
      </c>
      <c r="X90" s="6">
        <f>Summary!X90</f>
        <v/>
      </c>
      <c r="Y90" s="6">
        <f>Summary!Y90</f>
        <v/>
      </c>
      <c r="Z90" s="6">
        <f>Summary!Z90</f>
        <v/>
      </c>
      <c r="AA90" s="6">
        <f>Summary!AA90</f>
        <v/>
      </c>
      <c r="AB90" s="6">
        <f>SUM(D90:AA90)</f>
        <v/>
      </c>
      <c r="AC90" s="3" t="inlineStr"/>
      <c r="AD90" s="7">
        <f>F90*0.0004002+E90*0.0004002</f>
        <v/>
      </c>
      <c r="AE90" s="7">
        <f>G90*0.0004002+F90*0.0004002</f>
        <v/>
      </c>
      <c r="AF90" s="7">
        <f>H90*0.0004002+G90*0.0004002</f>
        <v/>
      </c>
      <c r="AG90" s="7">
        <f>I90*0.0004002+H90*0.0004002</f>
        <v/>
      </c>
      <c r="AH90" s="7">
        <f>J90*0.0004002+I90*0.0004002</f>
        <v/>
      </c>
      <c r="AI90" s="7">
        <f>K90*0.0004002+J90*0.0004002</f>
        <v/>
      </c>
      <c r="AJ90" s="7">
        <f>L90*0.0004002+K90*0.0004002</f>
        <v/>
      </c>
      <c r="AK90" s="7">
        <f>M90*0.0004002+L90*0.0004002</f>
        <v/>
      </c>
      <c r="AL90" s="7">
        <f>N90*0.0004002+M90*0.0004002</f>
        <v/>
      </c>
      <c r="AM90" s="7">
        <f>O90*0.0004002+N90*0.0004002</f>
        <v/>
      </c>
      <c r="AN90" s="7">
        <f>P90*0.0004002+O90*0.0004002</f>
        <v/>
      </c>
      <c r="AO90" s="7">
        <f>Q90*0.0004002+P90*0.0004002</f>
        <v/>
      </c>
      <c r="AP90" s="7">
        <f>R90*0.0004002+Q90*0.0004002</f>
        <v/>
      </c>
      <c r="AQ90" s="7">
        <f>S90*0.0004002+R90*0.0004002</f>
        <v/>
      </c>
      <c r="AR90" s="7">
        <f>T90*0.0004002+S90*0.0004002</f>
        <v/>
      </c>
      <c r="AS90" s="7">
        <f>U90*0.0004002+T90*0.0004002</f>
        <v/>
      </c>
      <c r="AT90" s="7">
        <f>V90*0.0004002+U90*0.0004002</f>
        <v/>
      </c>
      <c r="AU90" s="7">
        <f>W90*0.0004002+V90*0.0004002</f>
        <v/>
      </c>
      <c r="AV90" s="7">
        <f>X90*0.0004002+W90*0.0004002</f>
        <v/>
      </c>
      <c r="AW90" s="7">
        <f>Y90*0.0004002+X90*0.0004002</f>
        <v/>
      </c>
      <c r="AX90" s="7">
        <f>Z90*0.0004002+Y90*0.0004002</f>
        <v/>
      </c>
      <c r="AY90" s="7">
        <f>AA90*0.0004002+Z90*0.0004002</f>
        <v/>
      </c>
      <c r="AZ90" s="7">
        <f>D90*0.0004002+AA90*0.0004002</f>
        <v/>
      </c>
      <c r="BA90" s="7">
        <f>E90*0.0004002+D90*0.0004002</f>
        <v/>
      </c>
      <c r="BB90" s="7">
        <f>SUM(AD90:BA90)</f>
        <v/>
      </c>
    </row>
    <row r="91">
      <c r="A91" t="inlineStr">
        <is>
          <t>AMD-RTS-RCLS-1302-SSC</t>
        </is>
      </c>
      <c r="B91" t="inlineStr">
        <is>
          <t>Rev OSC</t>
        </is>
      </c>
      <c r="C91" s="5" t="n">
        <v>46095</v>
      </c>
      <c r="D91" s="6">
        <f>Summary!D91</f>
        <v/>
      </c>
      <c r="E91" s="6">
        <f>Summary!E91</f>
        <v/>
      </c>
      <c r="F91" s="6">
        <f>Summary!F91</f>
        <v/>
      </c>
      <c r="G91" s="6">
        <f>Summary!G91</f>
        <v/>
      </c>
      <c r="H91" s="6">
        <f>Summary!H91</f>
        <v/>
      </c>
      <c r="I91" s="6">
        <f>Summary!I91</f>
        <v/>
      </c>
      <c r="J91" s="6">
        <f>Summary!J91</f>
        <v/>
      </c>
      <c r="K91" s="6">
        <f>Summary!K91</f>
        <v/>
      </c>
      <c r="L91" s="6">
        <f>Summary!L91</f>
        <v/>
      </c>
      <c r="M91" s="6">
        <f>Summary!M91</f>
        <v/>
      </c>
      <c r="N91" s="6">
        <f>Summary!N91</f>
        <v/>
      </c>
      <c r="O91" s="6">
        <f>Summary!O91</f>
        <v/>
      </c>
      <c r="P91" s="6">
        <f>Summary!P91</f>
        <v/>
      </c>
      <c r="Q91" s="6">
        <f>Summary!Q91</f>
        <v/>
      </c>
      <c r="R91" s="6">
        <f>Summary!R91</f>
        <v/>
      </c>
      <c r="S91" s="6">
        <f>Summary!S91</f>
        <v/>
      </c>
      <c r="T91" s="6">
        <f>Summary!T91</f>
        <v/>
      </c>
      <c r="U91" s="6">
        <f>Summary!U91</f>
        <v/>
      </c>
      <c r="V91" s="6">
        <f>Summary!V91</f>
        <v/>
      </c>
      <c r="W91" s="6">
        <f>Summary!W91</f>
        <v/>
      </c>
      <c r="X91" s="6">
        <f>Summary!X91</f>
        <v/>
      </c>
      <c r="Y91" s="6">
        <f>Summary!Y91</f>
        <v/>
      </c>
      <c r="Z91" s="6">
        <f>Summary!Z91</f>
        <v/>
      </c>
      <c r="AA91" s="6">
        <f>Summary!AA91</f>
        <v/>
      </c>
      <c r="AB91" s="6">
        <f>SUM(D91:AA91)</f>
        <v/>
      </c>
      <c r="AC91" s="3" t="inlineStr"/>
      <c r="AD91" s="7">
        <f>F91*0.0004002+E91*0.0004002</f>
        <v/>
      </c>
      <c r="AE91" s="7">
        <f>G91*0.0004002+F91*0.0004002</f>
        <v/>
      </c>
      <c r="AF91" s="7">
        <f>H91*0.0004002+G91*0.0004002</f>
        <v/>
      </c>
      <c r="AG91" s="7">
        <f>I91*0.0004002+H91*0.0004002</f>
        <v/>
      </c>
      <c r="AH91" s="7">
        <f>J91*0.0004002+I91*0.0004002</f>
        <v/>
      </c>
      <c r="AI91" s="7">
        <f>K91*0.0004002+J91*0.0004002</f>
        <v/>
      </c>
      <c r="AJ91" s="7">
        <f>L91*0.0004002+K91*0.0004002</f>
        <v/>
      </c>
      <c r="AK91" s="7">
        <f>M91*0.0004002+L91*0.0004002</f>
        <v/>
      </c>
      <c r="AL91" s="7">
        <f>N91*0.0004002+M91*0.0004002</f>
        <v/>
      </c>
      <c r="AM91" s="7">
        <f>O91*0.0004002+N91*0.0004002</f>
        <v/>
      </c>
      <c r="AN91" s="7">
        <f>P91*0.0004002+O91*0.0004002</f>
        <v/>
      </c>
      <c r="AO91" s="7">
        <f>Q91*0.0004002+P91*0.0004002</f>
        <v/>
      </c>
      <c r="AP91" s="7">
        <f>R91*0.0004002+Q91*0.0004002</f>
        <v/>
      </c>
      <c r="AQ91" s="7">
        <f>S91*0.0004002+R91*0.0004002</f>
        <v/>
      </c>
      <c r="AR91" s="7">
        <f>T91*0.0004002+S91*0.0004002</f>
        <v/>
      </c>
      <c r="AS91" s="7">
        <f>U91*0.0004002+T91*0.0004002</f>
        <v/>
      </c>
      <c r="AT91" s="7">
        <f>V91*0.0004002+U91*0.0004002</f>
        <v/>
      </c>
      <c r="AU91" s="7">
        <f>W91*0.0004002+V91*0.0004002</f>
        <v/>
      </c>
      <c r="AV91" s="7">
        <f>X91*0.0004002+W91*0.0004002</f>
        <v/>
      </c>
      <c r="AW91" s="7">
        <f>Y91*0.0004002+X91*0.0004002</f>
        <v/>
      </c>
      <c r="AX91" s="7">
        <f>Z91*0.0004002+Y91*0.0004002</f>
        <v/>
      </c>
      <c r="AY91" s="7">
        <f>AA91*0.0004002+Z91*0.0004002</f>
        <v/>
      </c>
      <c r="AZ91" s="7">
        <f>D91*0.0004002+AA91*0.0004002</f>
        <v/>
      </c>
      <c r="BA91" s="7">
        <f>E91*0.0004002+D91*0.0004002</f>
        <v/>
      </c>
      <c r="BB91" s="7">
        <f>SUM(AD91:BA91)</f>
        <v/>
      </c>
    </row>
    <row r="92">
      <c r="A92" t="inlineStr">
        <is>
          <t>AMD-RTS-RCLS-1302-SSC</t>
        </is>
      </c>
      <c r="B92" t="inlineStr">
        <is>
          <t>Rev OSC</t>
        </is>
      </c>
      <c r="C92" s="5" t="n">
        <v>46096</v>
      </c>
      <c r="D92" s="6">
        <f>Summary!D92</f>
        <v/>
      </c>
      <c r="E92" s="6">
        <f>Summary!E92</f>
        <v/>
      </c>
      <c r="F92" s="6">
        <f>Summary!F92</f>
        <v/>
      </c>
      <c r="G92" s="6">
        <f>Summary!G92</f>
        <v/>
      </c>
      <c r="H92" s="6">
        <f>Summary!H92</f>
        <v/>
      </c>
      <c r="I92" s="6">
        <f>Summary!I92</f>
        <v/>
      </c>
      <c r="J92" s="6">
        <f>Summary!J92</f>
        <v/>
      </c>
      <c r="K92" s="6">
        <f>Summary!K92</f>
        <v/>
      </c>
      <c r="L92" s="6">
        <f>Summary!L92</f>
        <v/>
      </c>
      <c r="M92" s="6">
        <f>Summary!M92</f>
        <v/>
      </c>
      <c r="N92" s="6">
        <f>Summary!N92</f>
        <v/>
      </c>
      <c r="O92" s="6">
        <f>Summary!O92</f>
        <v/>
      </c>
      <c r="P92" s="6">
        <f>Summary!P92</f>
        <v/>
      </c>
      <c r="Q92" s="6">
        <f>Summary!Q92</f>
        <v/>
      </c>
      <c r="R92" s="6">
        <f>Summary!R92</f>
        <v/>
      </c>
      <c r="S92" s="6">
        <f>Summary!S92</f>
        <v/>
      </c>
      <c r="T92" s="6">
        <f>Summary!T92</f>
        <v/>
      </c>
      <c r="U92" s="6">
        <f>Summary!U92</f>
        <v/>
      </c>
      <c r="V92" s="6">
        <f>Summary!V92</f>
        <v/>
      </c>
      <c r="W92" s="6">
        <f>Summary!W92</f>
        <v/>
      </c>
      <c r="X92" s="6">
        <f>Summary!X92</f>
        <v/>
      </c>
      <c r="Y92" s="6">
        <f>Summary!Y92</f>
        <v/>
      </c>
      <c r="Z92" s="6">
        <f>Summary!Z92</f>
        <v/>
      </c>
      <c r="AA92" s="6">
        <f>Summary!AA92</f>
        <v/>
      </c>
      <c r="AB92" s="6">
        <f>SUM(D92:AA92)</f>
        <v/>
      </c>
      <c r="AC92" s="3" t="inlineStr"/>
      <c r="AD92" s="7">
        <f>F92*0.0004002+E92*0.0004002</f>
        <v/>
      </c>
      <c r="AE92" s="7">
        <f>G92*0.0004002+F92*0.0004002</f>
        <v/>
      </c>
      <c r="AF92" s="7">
        <f>H92*0.0004002+G92*0.0004002</f>
        <v/>
      </c>
      <c r="AG92" s="7">
        <f>I92*0.0004002+H92*0.0004002</f>
        <v/>
      </c>
      <c r="AH92" s="7">
        <f>J92*0.0004002+I92*0.0004002</f>
        <v/>
      </c>
      <c r="AI92" s="7">
        <f>K92*0.0004002+J92*0.0004002</f>
        <v/>
      </c>
      <c r="AJ92" s="7">
        <f>L92*0.0004002+K92*0.0004002</f>
        <v/>
      </c>
      <c r="AK92" s="7">
        <f>M92*0.0004002+L92*0.0004002</f>
        <v/>
      </c>
      <c r="AL92" s="7">
        <f>N92*0.0004002+M92*0.0004002</f>
        <v/>
      </c>
      <c r="AM92" s="7">
        <f>O92*0.0004002+N92*0.0004002</f>
        <v/>
      </c>
      <c r="AN92" s="7">
        <f>P92*0.0004002+O92*0.0004002</f>
        <v/>
      </c>
      <c r="AO92" s="7">
        <f>Q92*0.0004002+P92*0.0004002</f>
        <v/>
      </c>
      <c r="AP92" s="7">
        <f>R92*0.0004002+Q92*0.0004002</f>
        <v/>
      </c>
      <c r="AQ92" s="7">
        <f>S92*0.0004002+R92*0.0004002</f>
        <v/>
      </c>
      <c r="AR92" s="7">
        <f>T92*0.0004002+S92*0.0004002</f>
        <v/>
      </c>
      <c r="AS92" s="7">
        <f>U92*0.0004002+T92*0.0004002</f>
        <v/>
      </c>
      <c r="AT92" s="7">
        <f>V92*0.0004002+U92*0.0004002</f>
        <v/>
      </c>
      <c r="AU92" s="7">
        <f>W92*0.0004002+V92*0.0004002</f>
        <v/>
      </c>
      <c r="AV92" s="7">
        <f>X92*0.0004002+W92*0.0004002</f>
        <v/>
      </c>
      <c r="AW92" s="7">
        <f>Y92*0.0004002+X92*0.0004002</f>
        <v/>
      </c>
      <c r="AX92" s="7">
        <f>Z92*0.0004002+Y92*0.0004002</f>
        <v/>
      </c>
      <c r="AY92" s="7">
        <f>AA92*0.0004002+Z92*0.0004002</f>
        <v/>
      </c>
      <c r="AZ92" s="7">
        <f>D92*0.0004002+AA92*0.0004002</f>
        <v/>
      </c>
      <c r="BA92" s="7">
        <f>E92*0.0004002+D92*0.0004002</f>
        <v/>
      </c>
      <c r="BB92" s="7">
        <f>SUM(AD92:BA92)</f>
        <v/>
      </c>
    </row>
    <row r="93">
      <c r="A93" t="inlineStr">
        <is>
          <t>AMD-RTS-RCLS-1302-SSC</t>
        </is>
      </c>
      <c r="B93" t="inlineStr">
        <is>
          <t>Rev OSC</t>
        </is>
      </c>
      <c r="C93" s="5" t="n">
        <v>46097</v>
      </c>
      <c r="D93" s="6">
        <f>Summary!D93</f>
        <v/>
      </c>
      <c r="E93" s="6">
        <f>Summary!E93</f>
        <v/>
      </c>
      <c r="F93" s="6">
        <f>Summary!F93</f>
        <v/>
      </c>
      <c r="G93" s="6">
        <f>Summary!G93</f>
        <v/>
      </c>
      <c r="H93" s="6">
        <f>Summary!H93</f>
        <v/>
      </c>
      <c r="I93" s="6">
        <f>Summary!I93</f>
        <v/>
      </c>
      <c r="J93" s="6">
        <f>Summary!J93</f>
        <v/>
      </c>
      <c r="K93" s="6">
        <f>Summary!K93</f>
        <v/>
      </c>
      <c r="L93" s="6">
        <f>Summary!L93</f>
        <v/>
      </c>
      <c r="M93" s="6">
        <f>Summary!M93</f>
        <v/>
      </c>
      <c r="N93" s="6">
        <f>Summary!N93</f>
        <v/>
      </c>
      <c r="O93" s="6">
        <f>Summary!O93</f>
        <v/>
      </c>
      <c r="P93" s="6">
        <f>Summary!P93</f>
        <v/>
      </c>
      <c r="Q93" s="6">
        <f>Summary!Q93</f>
        <v/>
      </c>
      <c r="R93" s="6">
        <f>Summary!R93</f>
        <v/>
      </c>
      <c r="S93" s="6">
        <f>Summary!S93</f>
        <v/>
      </c>
      <c r="T93" s="6">
        <f>Summary!T93</f>
        <v/>
      </c>
      <c r="U93" s="6">
        <f>Summary!U93</f>
        <v/>
      </c>
      <c r="V93" s="6">
        <f>Summary!V93</f>
        <v/>
      </c>
      <c r="W93" s="6">
        <f>Summary!W93</f>
        <v/>
      </c>
      <c r="X93" s="6">
        <f>Summary!X93</f>
        <v/>
      </c>
      <c r="Y93" s="6">
        <f>Summary!Y93</f>
        <v/>
      </c>
      <c r="Z93" s="6">
        <f>Summary!Z93</f>
        <v/>
      </c>
      <c r="AA93" s="6">
        <f>Summary!AA93</f>
        <v/>
      </c>
      <c r="AB93" s="6">
        <f>SUM(D93:AA93)</f>
        <v/>
      </c>
      <c r="AC93" s="3" t="inlineStr"/>
      <c r="AD93" s="7">
        <f>F93*0.0004002+E93*0.0004002</f>
        <v/>
      </c>
      <c r="AE93" s="7">
        <f>G93*0.0004002+F93*0.0004002</f>
        <v/>
      </c>
      <c r="AF93" s="7">
        <f>H93*0.0004002+G93*0.0004002</f>
        <v/>
      </c>
      <c r="AG93" s="7">
        <f>I93*0.0004002+H93*0.0004002</f>
        <v/>
      </c>
      <c r="AH93" s="7">
        <f>J93*0.0004002+I93*0.0004002</f>
        <v/>
      </c>
      <c r="AI93" s="7">
        <f>K93*0.0004002+J93*0.0004002</f>
        <v/>
      </c>
      <c r="AJ93" s="7">
        <f>L93*0.0004002+K93*0.0004002</f>
        <v/>
      </c>
      <c r="AK93" s="7">
        <f>M93*0.0004002+L93*0.0004002</f>
        <v/>
      </c>
      <c r="AL93" s="7">
        <f>N93*0.0004002+M93*0.0004002</f>
        <v/>
      </c>
      <c r="AM93" s="7">
        <f>O93*0.0004002+N93*0.0004002</f>
        <v/>
      </c>
      <c r="AN93" s="7">
        <f>P93*0.0004002+O93*0.0004002</f>
        <v/>
      </c>
      <c r="AO93" s="7">
        <f>Q93*0.0004002+P93*0.0004002</f>
        <v/>
      </c>
      <c r="AP93" s="7">
        <f>R93*0.0004002+Q93*0.0004002</f>
        <v/>
      </c>
      <c r="AQ93" s="7">
        <f>S93*0.0004002+R93*0.0004002</f>
        <v/>
      </c>
      <c r="AR93" s="7">
        <f>T93*0.0004002+S93*0.0004002</f>
        <v/>
      </c>
      <c r="AS93" s="7">
        <f>U93*0.0004002+T93*0.0004002</f>
        <v/>
      </c>
      <c r="AT93" s="7">
        <f>V93*0.0004002+U93*0.0004002</f>
        <v/>
      </c>
      <c r="AU93" s="7">
        <f>W93*0.0004002+V93*0.0004002</f>
        <v/>
      </c>
      <c r="AV93" s="7">
        <f>X93*0.0004002+W93*0.0004002</f>
        <v/>
      </c>
      <c r="AW93" s="7">
        <f>Y93*0.0004002+X93*0.0004002</f>
        <v/>
      </c>
      <c r="AX93" s="7">
        <f>Z93*0.0004002+Y93*0.0004002</f>
        <v/>
      </c>
      <c r="AY93" s="7">
        <f>AA93*0.0004002+Z93*0.0004002</f>
        <v/>
      </c>
      <c r="AZ93" s="7">
        <f>D93*0.0004002+AA93*0.0004002</f>
        <v/>
      </c>
      <c r="BA93" s="7">
        <f>E93*0.0004002+D93*0.0004002</f>
        <v/>
      </c>
      <c r="BB93" s="7">
        <f>SUM(AD93:BA93)</f>
        <v/>
      </c>
    </row>
    <row r="94">
      <c r="A94" t="inlineStr">
        <is>
          <t>AMD-RTS-RCLS-1302-SSC</t>
        </is>
      </c>
      <c r="B94" t="inlineStr">
        <is>
          <t>Rev OSC</t>
        </is>
      </c>
      <c r="C94" s="5" t="n">
        <v>46100</v>
      </c>
      <c r="D94" s="6">
        <f>Summary!D94</f>
        <v/>
      </c>
      <c r="E94" s="6">
        <f>Summary!E94</f>
        <v/>
      </c>
      <c r="F94" s="6">
        <f>Summary!F94</f>
        <v/>
      </c>
      <c r="G94" s="6">
        <f>Summary!G94</f>
        <v/>
      </c>
      <c r="H94" s="6">
        <f>Summary!H94</f>
        <v/>
      </c>
      <c r="I94" s="6">
        <f>Summary!I94</f>
        <v/>
      </c>
      <c r="J94" s="6">
        <f>Summary!J94</f>
        <v/>
      </c>
      <c r="K94" s="6">
        <f>Summary!K94</f>
        <v/>
      </c>
      <c r="L94" s="6">
        <f>Summary!L94</f>
        <v/>
      </c>
      <c r="M94" s="6">
        <f>Summary!M94</f>
        <v/>
      </c>
      <c r="N94" s="6">
        <f>Summary!N94</f>
        <v/>
      </c>
      <c r="O94" s="6">
        <f>Summary!O94</f>
        <v/>
      </c>
      <c r="P94" s="6">
        <f>Summary!P94</f>
        <v/>
      </c>
      <c r="Q94" s="6">
        <f>Summary!Q94</f>
        <v/>
      </c>
      <c r="R94" s="6">
        <f>Summary!R94</f>
        <v/>
      </c>
      <c r="S94" s="6">
        <f>Summary!S94</f>
        <v/>
      </c>
      <c r="T94" s="6">
        <f>Summary!T94</f>
        <v/>
      </c>
      <c r="U94" s="6">
        <f>Summary!U94</f>
        <v/>
      </c>
      <c r="V94" s="6">
        <f>Summary!V94</f>
        <v/>
      </c>
      <c r="W94" s="6">
        <f>Summary!W94</f>
        <v/>
      </c>
      <c r="X94" s="6">
        <f>Summary!X94</f>
        <v/>
      </c>
      <c r="Y94" s="6">
        <f>Summary!Y94</f>
        <v/>
      </c>
      <c r="Z94" s="6">
        <f>Summary!Z94</f>
        <v/>
      </c>
      <c r="AA94" s="6">
        <f>Summary!AA94</f>
        <v/>
      </c>
      <c r="AB94" s="6">
        <f>SUM(D94:AA94)</f>
        <v/>
      </c>
      <c r="AC94" s="3" t="inlineStr"/>
      <c r="AD94" s="7">
        <f>F94*0.0004002+E94*0.0004002</f>
        <v/>
      </c>
      <c r="AE94" s="7">
        <f>G94*0.0004002+F94*0.0004002</f>
        <v/>
      </c>
      <c r="AF94" s="7">
        <f>H94*0.0004002+G94*0.0004002</f>
        <v/>
      </c>
      <c r="AG94" s="7">
        <f>I94*0.0004002+H94*0.0004002</f>
        <v/>
      </c>
      <c r="AH94" s="7">
        <f>J94*0.0004002+I94*0.0004002</f>
        <v/>
      </c>
      <c r="AI94" s="7">
        <f>K94*0.0004002+J94*0.0004002</f>
        <v/>
      </c>
      <c r="AJ94" s="7">
        <f>L94*0.0004002+K94*0.0004002</f>
        <v/>
      </c>
      <c r="AK94" s="7">
        <f>M94*0.0004002+L94*0.0004002</f>
        <v/>
      </c>
      <c r="AL94" s="7">
        <f>N94*0.0004002+M94*0.0004002</f>
        <v/>
      </c>
      <c r="AM94" s="7">
        <f>O94*0.0004002+N94*0.0004002</f>
        <v/>
      </c>
      <c r="AN94" s="7">
        <f>P94*0.0004002+O94*0.0004002</f>
        <v/>
      </c>
      <c r="AO94" s="7">
        <f>Q94*0.0004002+P94*0.0004002</f>
        <v/>
      </c>
      <c r="AP94" s="7">
        <f>R94*0.0004002+Q94*0.0004002</f>
        <v/>
      </c>
      <c r="AQ94" s="7">
        <f>S94*0.0004002+R94*0.0004002</f>
        <v/>
      </c>
      <c r="AR94" s="7">
        <f>T94*0.0004002+S94*0.0004002</f>
        <v/>
      </c>
      <c r="AS94" s="7">
        <f>U94*0.0004002+T94*0.0004002</f>
        <v/>
      </c>
      <c r="AT94" s="7">
        <f>V94*0.0004002+U94*0.0004002</f>
        <v/>
      </c>
      <c r="AU94" s="7">
        <f>W94*0.0004002+V94*0.0004002</f>
        <v/>
      </c>
      <c r="AV94" s="7">
        <f>X94*0.0004002+W94*0.0004002</f>
        <v/>
      </c>
      <c r="AW94" s="7">
        <f>Y94*0.0004002+X94*0.0004002</f>
        <v/>
      </c>
      <c r="AX94" s="7">
        <f>Z94*0.0004002+Y94*0.0004002</f>
        <v/>
      </c>
      <c r="AY94" s="7">
        <f>AA94*0.0004002+Z94*0.0004002</f>
        <v/>
      </c>
      <c r="AZ94" s="7">
        <f>D94*0.0004002+AA94*0.0004002</f>
        <v/>
      </c>
      <c r="BA94" s="7">
        <f>E94*0.0004002+D94*0.0004002</f>
        <v/>
      </c>
      <c r="BB94" s="7">
        <f>SUM(AD94:BA94)</f>
        <v/>
      </c>
    </row>
    <row r="95">
      <c r="A95" t="inlineStr">
        <is>
          <t>AMD-RTS-RCLS-1302-SSC</t>
        </is>
      </c>
      <c r="B95" t="inlineStr">
        <is>
          <t>Rev OSC</t>
        </is>
      </c>
      <c r="C95" s="5" t="n">
        <v>46102</v>
      </c>
      <c r="D95" s="6">
        <f>Summary!D95</f>
        <v/>
      </c>
      <c r="E95" s="6">
        <f>Summary!E95</f>
        <v/>
      </c>
      <c r="F95" s="6">
        <f>Summary!F95</f>
        <v/>
      </c>
      <c r="G95" s="6">
        <f>Summary!G95</f>
        <v/>
      </c>
      <c r="H95" s="6">
        <f>Summary!H95</f>
        <v/>
      </c>
      <c r="I95" s="6">
        <f>Summary!I95</f>
        <v/>
      </c>
      <c r="J95" s="6">
        <f>Summary!J95</f>
        <v/>
      </c>
      <c r="K95" s="6">
        <f>Summary!K95</f>
        <v/>
      </c>
      <c r="L95" s="6">
        <f>Summary!L95</f>
        <v/>
      </c>
      <c r="M95" s="6">
        <f>Summary!M95</f>
        <v/>
      </c>
      <c r="N95" s="6">
        <f>Summary!N95</f>
        <v/>
      </c>
      <c r="O95" s="6">
        <f>Summary!O95</f>
        <v/>
      </c>
      <c r="P95" s="6">
        <f>Summary!P95</f>
        <v/>
      </c>
      <c r="Q95" s="6">
        <f>Summary!Q95</f>
        <v/>
      </c>
      <c r="R95" s="6">
        <f>Summary!R95</f>
        <v/>
      </c>
      <c r="S95" s="6">
        <f>Summary!S95</f>
        <v/>
      </c>
      <c r="T95" s="6">
        <f>Summary!T95</f>
        <v/>
      </c>
      <c r="U95" s="6">
        <f>Summary!U95</f>
        <v/>
      </c>
      <c r="V95" s="6">
        <f>Summary!V95</f>
        <v/>
      </c>
      <c r="W95" s="6">
        <f>Summary!W95</f>
        <v/>
      </c>
      <c r="X95" s="6">
        <f>Summary!X95</f>
        <v/>
      </c>
      <c r="Y95" s="6">
        <f>Summary!Y95</f>
        <v/>
      </c>
      <c r="Z95" s="6">
        <f>Summary!Z95</f>
        <v/>
      </c>
      <c r="AA95" s="6">
        <f>Summary!AA95</f>
        <v/>
      </c>
      <c r="AB95" s="6">
        <f>SUM(D95:AA95)</f>
        <v/>
      </c>
      <c r="AC95" s="3" t="inlineStr"/>
      <c r="AD95" s="7">
        <f>F95*0.0004002+E95*0.0004002</f>
        <v/>
      </c>
      <c r="AE95" s="7">
        <f>G95*0.0004002+F95*0.0004002</f>
        <v/>
      </c>
      <c r="AF95" s="7">
        <f>H95*0.0004002+G95*0.0004002</f>
        <v/>
      </c>
      <c r="AG95" s="7">
        <f>I95*0.0004002+H95*0.0004002</f>
        <v/>
      </c>
      <c r="AH95" s="7">
        <f>J95*0.0004002+I95*0.0004002</f>
        <v/>
      </c>
      <c r="AI95" s="7">
        <f>K95*0.0004002+J95*0.0004002</f>
        <v/>
      </c>
      <c r="AJ95" s="7">
        <f>L95*0.0004002+K95*0.0004002</f>
        <v/>
      </c>
      <c r="AK95" s="7">
        <f>M95*0.0004002+L95*0.0004002</f>
        <v/>
      </c>
      <c r="AL95" s="7">
        <f>N95*0.0004002+M95*0.0004002</f>
        <v/>
      </c>
      <c r="AM95" s="7">
        <f>O95*0.0004002+N95*0.0004002</f>
        <v/>
      </c>
      <c r="AN95" s="7">
        <f>P95*0.0004002+O95*0.0004002</f>
        <v/>
      </c>
      <c r="AO95" s="7">
        <f>Q95*0.0004002+P95*0.0004002</f>
        <v/>
      </c>
      <c r="AP95" s="7">
        <f>R95*0.0004002+Q95*0.0004002</f>
        <v/>
      </c>
      <c r="AQ95" s="7">
        <f>S95*0.0004002+R95*0.0004002</f>
        <v/>
      </c>
      <c r="AR95" s="7">
        <f>T95*0.0004002+S95*0.0004002</f>
        <v/>
      </c>
      <c r="AS95" s="7">
        <f>U95*0.0004002+T95*0.0004002</f>
        <v/>
      </c>
      <c r="AT95" s="7">
        <f>V95*0.0004002+U95*0.0004002</f>
        <v/>
      </c>
      <c r="AU95" s="7">
        <f>W95*0.0004002+V95*0.0004002</f>
        <v/>
      </c>
      <c r="AV95" s="7">
        <f>X95*0.0004002+W95*0.0004002</f>
        <v/>
      </c>
      <c r="AW95" s="7">
        <f>Y95*0.0004002+X95*0.0004002</f>
        <v/>
      </c>
      <c r="AX95" s="7">
        <f>Z95*0.0004002+Y95*0.0004002</f>
        <v/>
      </c>
      <c r="AY95" s="7">
        <f>AA95*0.0004002+Z95*0.0004002</f>
        <v/>
      </c>
      <c r="AZ95" s="7">
        <f>D95*0.0004002+AA95*0.0004002</f>
        <v/>
      </c>
      <c r="BA95" s="7">
        <f>E95*0.0004002+D95*0.0004002</f>
        <v/>
      </c>
      <c r="BB95" s="7">
        <f>SUM(AD95:BA95)</f>
        <v/>
      </c>
    </row>
    <row r="96">
      <c r="A96" t="inlineStr">
        <is>
          <t>AMD-RTS-RCLS-1302-SSC</t>
        </is>
      </c>
      <c r="B96" t="inlineStr">
        <is>
          <t>Rev OSC</t>
        </is>
      </c>
      <c r="C96" s="5" t="n">
        <v>46103</v>
      </c>
      <c r="D96" s="6">
        <f>Summary!D96</f>
        <v/>
      </c>
      <c r="E96" s="6">
        <f>Summary!E96</f>
        <v/>
      </c>
      <c r="F96" s="6">
        <f>Summary!F96</f>
        <v/>
      </c>
      <c r="G96" s="6">
        <f>Summary!G96</f>
        <v/>
      </c>
      <c r="H96" s="6">
        <f>Summary!H96</f>
        <v/>
      </c>
      <c r="I96" s="6">
        <f>Summary!I96</f>
        <v/>
      </c>
      <c r="J96" s="6">
        <f>Summary!J96</f>
        <v/>
      </c>
      <c r="K96" s="6">
        <f>Summary!K96</f>
        <v/>
      </c>
      <c r="L96" s="6">
        <f>Summary!L96</f>
        <v/>
      </c>
      <c r="M96" s="6">
        <f>Summary!M96</f>
        <v/>
      </c>
      <c r="N96" s="6">
        <f>Summary!N96</f>
        <v/>
      </c>
      <c r="O96" s="6">
        <f>Summary!O96</f>
        <v/>
      </c>
      <c r="P96" s="6">
        <f>Summary!P96</f>
        <v/>
      </c>
      <c r="Q96" s="6">
        <f>Summary!Q96</f>
        <v/>
      </c>
      <c r="R96" s="6">
        <f>Summary!R96</f>
        <v/>
      </c>
      <c r="S96" s="6">
        <f>Summary!S96</f>
        <v/>
      </c>
      <c r="T96" s="6">
        <f>Summary!T96</f>
        <v/>
      </c>
      <c r="U96" s="6">
        <f>Summary!U96</f>
        <v/>
      </c>
      <c r="V96" s="6">
        <f>Summary!V96</f>
        <v/>
      </c>
      <c r="W96" s="6">
        <f>Summary!W96</f>
        <v/>
      </c>
      <c r="X96" s="6">
        <f>Summary!X96</f>
        <v/>
      </c>
      <c r="Y96" s="6">
        <f>Summary!Y96</f>
        <v/>
      </c>
      <c r="Z96" s="6">
        <f>Summary!Z96</f>
        <v/>
      </c>
      <c r="AA96" s="6">
        <f>Summary!AA96</f>
        <v/>
      </c>
      <c r="AB96" s="6">
        <f>SUM(D96:AA96)</f>
        <v/>
      </c>
      <c r="AC96" s="3" t="inlineStr"/>
      <c r="AD96" s="7">
        <f>F96*0.0004002+E96*0.0004002</f>
        <v/>
      </c>
      <c r="AE96" s="7">
        <f>G96*0.0004002+F96*0.0004002</f>
        <v/>
      </c>
      <c r="AF96" s="7">
        <f>H96*0.0004002+G96*0.0004002</f>
        <v/>
      </c>
      <c r="AG96" s="7">
        <f>I96*0.0004002+H96*0.0004002</f>
        <v/>
      </c>
      <c r="AH96" s="7">
        <f>J96*0.0004002+I96*0.0004002</f>
        <v/>
      </c>
      <c r="AI96" s="7">
        <f>K96*0.0004002+J96*0.0004002</f>
        <v/>
      </c>
      <c r="AJ96" s="7">
        <f>L96*0.0004002+K96*0.0004002</f>
        <v/>
      </c>
      <c r="AK96" s="7">
        <f>M96*0.0004002+L96*0.0004002</f>
        <v/>
      </c>
      <c r="AL96" s="7">
        <f>N96*0.0004002+M96*0.0004002</f>
        <v/>
      </c>
      <c r="AM96" s="7">
        <f>O96*0.0004002+N96*0.0004002</f>
        <v/>
      </c>
      <c r="AN96" s="7">
        <f>P96*0.0004002+O96*0.0004002</f>
        <v/>
      </c>
      <c r="AO96" s="7">
        <f>Q96*0.0004002+P96*0.0004002</f>
        <v/>
      </c>
      <c r="AP96" s="7">
        <f>R96*0.0004002+Q96*0.0004002</f>
        <v/>
      </c>
      <c r="AQ96" s="7">
        <f>S96*0.0004002+R96*0.0004002</f>
        <v/>
      </c>
      <c r="AR96" s="7">
        <f>T96*0.0004002+S96*0.0004002</f>
        <v/>
      </c>
      <c r="AS96" s="7">
        <f>U96*0.0004002+T96*0.0004002</f>
        <v/>
      </c>
      <c r="AT96" s="7">
        <f>V96*0.0004002+U96*0.0004002</f>
        <v/>
      </c>
      <c r="AU96" s="7">
        <f>W96*0.0004002+V96*0.0004002</f>
        <v/>
      </c>
      <c r="AV96" s="7">
        <f>X96*0.0004002+W96*0.0004002</f>
        <v/>
      </c>
      <c r="AW96" s="7">
        <f>Y96*0.0004002+X96*0.0004002</f>
        <v/>
      </c>
      <c r="AX96" s="7">
        <f>Z96*0.0004002+Y96*0.0004002</f>
        <v/>
      </c>
      <c r="AY96" s="7">
        <f>AA96*0.0004002+Z96*0.0004002</f>
        <v/>
      </c>
      <c r="AZ96" s="7">
        <f>D96*0.0004002+AA96*0.0004002</f>
        <v/>
      </c>
      <c r="BA96" s="7">
        <f>E96*0.0004002+D96*0.0004002</f>
        <v/>
      </c>
      <c r="BB96" s="7">
        <f>SUM(AD96:BA96)</f>
        <v/>
      </c>
    </row>
    <row r="97">
      <c r="A97" t="inlineStr">
        <is>
          <t>AMD-RTS-RCLS-1302-SSC</t>
        </is>
      </c>
      <c r="B97" t="inlineStr">
        <is>
          <t>Rev OSC</t>
        </is>
      </c>
      <c r="C97" s="5" t="n">
        <v>46104</v>
      </c>
      <c r="D97" s="6">
        <f>Summary!D97</f>
        <v/>
      </c>
      <c r="E97" s="6">
        <f>Summary!E97</f>
        <v/>
      </c>
      <c r="F97" s="6">
        <f>Summary!F97</f>
        <v/>
      </c>
      <c r="G97" s="6">
        <f>Summary!G97</f>
        <v/>
      </c>
      <c r="H97" s="6">
        <f>Summary!H97</f>
        <v/>
      </c>
      <c r="I97" s="6">
        <f>Summary!I97</f>
        <v/>
      </c>
      <c r="J97" s="6">
        <f>Summary!J97</f>
        <v/>
      </c>
      <c r="K97" s="6">
        <f>Summary!K97</f>
        <v/>
      </c>
      <c r="L97" s="6">
        <f>Summary!L97</f>
        <v/>
      </c>
      <c r="M97" s="6">
        <f>Summary!M97</f>
        <v/>
      </c>
      <c r="N97" s="6">
        <f>Summary!N97</f>
        <v/>
      </c>
      <c r="O97" s="6">
        <f>Summary!O97</f>
        <v/>
      </c>
      <c r="P97" s="6">
        <f>Summary!P97</f>
        <v/>
      </c>
      <c r="Q97" s="6">
        <f>Summary!Q97</f>
        <v/>
      </c>
      <c r="R97" s="6">
        <f>Summary!R97</f>
        <v/>
      </c>
      <c r="S97" s="6">
        <f>Summary!S97</f>
        <v/>
      </c>
      <c r="T97" s="6">
        <f>Summary!T97</f>
        <v/>
      </c>
      <c r="U97" s="6">
        <f>Summary!U97</f>
        <v/>
      </c>
      <c r="V97" s="6">
        <f>Summary!V97</f>
        <v/>
      </c>
      <c r="W97" s="6">
        <f>Summary!W97</f>
        <v/>
      </c>
      <c r="X97" s="6">
        <f>Summary!X97</f>
        <v/>
      </c>
      <c r="Y97" s="6">
        <f>Summary!Y97</f>
        <v/>
      </c>
      <c r="Z97" s="6">
        <f>Summary!Z97</f>
        <v/>
      </c>
      <c r="AA97" s="6">
        <f>Summary!AA97</f>
        <v/>
      </c>
      <c r="AB97" s="6">
        <f>SUM(D97:AA97)</f>
        <v/>
      </c>
      <c r="AC97" s="3" t="inlineStr"/>
      <c r="AD97" s="7">
        <f>F97*0.0004002+E97*0.0004002</f>
        <v/>
      </c>
      <c r="AE97" s="7">
        <f>G97*0.0004002+F97*0.0004002</f>
        <v/>
      </c>
      <c r="AF97" s="7">
        <f>H97*0.0004002+G97*0.0004002</f>
        <v/>
      </c>
      <c r="AG97" s="7">
        <f>I97*0.0004002+H97*0.0004002</f>
        <v/>
      </c>
      <c r="AH97" s="7">
        <f>J97*0.0004002+I97*0.0004002</f>
        <v/>
      </c>
      <c r="AI97" s="7">
        <f>K97*0.0004002+J97*0.0004002</f>
        <v/>
      </c>
      <c r="AJ97" s="7">
        <f>L97*0.0004002+K97*0.0004002</f>
        <v/>
      </c>
      <c r="AK97" s="7">
        <f>M97*0.0004002+L97*0.0004002</f>
        <v/>
      </c>
      <c r="AL97" s="7">
        <f>N97*0.0004002+M97*0.0004002</f>
        <v/>
      </c>
      <c r="AM97" s="7">
        <f>O97*0.0004002+N97*0.0004002</f>
        <v/>
      </c>
      <c r="AN97" s="7">
        <f>P97*0.0004002+O97*0.0004002</f>
        <v/>
      </c>
      <c r="AO97" s="7">
        <f>Q97*0.0004002+P97*0.0004002</f>
        <v/>
      </c>
      <c r="AP97" s="7">
        <f>R97*0.0004002+Q97*0.0004002</f>
        <v/>
      </c>
      <c r="AQ97" s="7">
        <f>S97*0.0004002+R97*0.0004002</f>
        <v/>
      </c>
      <c r="AR97" s="7">
        <f>T97*0.0004002+S97*0.0004002</f>
        <v/>
      </c>
      <c r="AS97" s="7">
        <f>U97*0.0004002+T97*0.0004002</f>
        <v/>
      </c>
      <c r="AT97" s="7">
        <f>V97*0.0004002+U97*0.0004002</f>
        <v/>
      </c>
      <c r="AU97" s="7">
        <f>W97*0.0004002+V97*0.0004002</f>
        <v/>
      </c>
      <c r="AV97" s="7">
        <f>X97*0.0004002+W97*0.0004002</f>
        <v/>
      </c>
      <c r="AW97" s="7">
        <f>Y97*0.0004002+X97*0.0004002</f>
        <v/>
      </c>
      <c r="AX97" s="7">
        <f>Z97*0.0004002+Y97*0.0004002</f>
        <v/>
      </c>
      <c r="AY97" s="7">
        <f>AA97*0.0004002+Z97*0.0004002</f>
        <v/>
      </c>
      <c r="AZ97" s="7">
        <f>D97*0.0004002+AA97*0.0004002</f>
        <v/>
      </c>
      <c r="BA97" s="7">
        <f>E97*0.0004002+D97*0.0004002</f>
        <v/>
      </c>
      <c r="BB97" s="7">
        <f>SUM(AD97:BA97)</f>
        <v/>
      </c>
    </row>
    <row r="98">
      <c r="A98" t="inlineStr">
        <is>
          <t>AMD-RTS-RCLS-1302-SSC</t>
        </is>
      </c>
      <c r="B98" t="inlineStr">
        <is>
          <t>Rev OSC</t>
        </is>
      </c>
      <c r="C98" s="5" t="n">
        <v>46105</v>
      </c>
      <c r="D98" s="6">
        <f>Summary!D98</f>
        <v/>
      </c>
      <c r="E98" s="6">
        <f>Summary!E98</f>
        <v/>
      </c>
      <c r="F98" s="6">
        <f>Summary!F98</f>
        <v/>
      </c>
      <c r="G98" s="6">
        <f>Summary!G98</f>
        <v/>
      </c>
      <c r="H98" s="6">
        <f>Summary!H98</f>
        <v/>
      </c>
      <c r="I98" s="6">
        <f>Summary!I98</f>
        <v/>
      </c>
      <c r="J98" s="6">
        <f>Summary!J98</f>
        <v/>
      </c>
      <c r="K98" s="6">
        <f>Summary!K98</f>
        <v/>
      </c>
      <c r="L98" s="6">
        <f>Summary!L98</f>
        <v/>
      </c>
      <c r="M98" s="6">
        <f>Summary!M98</f>
        <v/>
      </c>
      <c r="N98" s="6">
        <f>Summary!N98</f>
        <v/>
      </c>
      <c r="O98" s="6">
        <f>Summary!O98</f>
        <v/>
      </c>
      <c r="P98" s="6">
        <f>Summary!P98</f>
        <v/>
      </c>
      <c r="Q98" s="6">
        <f>Summary!Q98</f>
        <v/>
      </c>
      <c r="R98" s="6">
        <f>Summary!R98</f>
        <v/>
      </c>
      <c r="S98" s="6">
        <f>Summary!S98</f>
        <v/>
      </c>
      <c r="T98" s="6">
        <f>Summary!T98</f>
        <v/>
      </c>
      <c r="U98" s="6">
        <f>Summary!U98</f>
        <v/>
      </c>
      <c r="V98" s="6">
        <f>Summary!V98</f>
        <v/>
      </c>
      <c r="W98" s="6">
        <f>Summary!W98</f>
        <v/>
      </c>
      <c r="X98" s="6">
        <f>Summary!X98</f>
        <v/>
      </c>
      <c r="Y98" s="6">
        <f>Summary!Y98</f>
        <v/>
      </c>
      <c r="Z98" s="6">
        <f>Summary!Z98</f>
        <v/>
      </c>
      <c r="AA98" s="6">
        <f>Summary!AA98</f>
        <v/>
      </c>
      <c r="AB98" s="6">
        <f>SUM(D98:AA98)</f>
        <v/>
      </c>
      <c r="AC98" s="3" t="inlineStr"/>
      <c r="AD98" s="7">
        <f>F98*0.0004002+E98*0.0004002</f>
        <v/>
      </c>
      <c r="AE98" s="7">
        <f>G98*0.0004002+F98*0.0004002</f>
        <v/>
      </c>
      <c r="AF98" s="7">
        <f>H98*0.0004002+G98*0.0004002</f>
        <v/>
      </c>
      <c r="AG98" s="7">
        <f>I98*0.0004002+H98*0.0004002</f>
        <v/>
      </c>
      <c r="AH98" s="7">
        <f>J98*0.0004002+I98*0.0004002</f>
        <v/>
      </c>
      <c r="AI98" s="7">
        <f>K98*0.0004002+J98*0.0004002</f>
        <v/>
      </c>
      <c r="AJ98" s="7">
        <f>L98*0.0004002+K98*0.0004002</f>
        <v/>
      </c>
      <c r="AK98" s="7">
        <f>M98*0.0004002+L98*0.0004002</f>
        <v/>
      </c>
      <c r="AL98" s="7">
        <f>N98*0.0004002+M98*0.0004002</f>
        <v/>
      </c>
      <c r="AM98" s="7">
        <f>O98*0.0004002+N98*0.0004002</f>
        <v/>
      </c>
      <c r="AN98" s="7">
        <f>P98*0.0004002+O98*0.0004002</f>
        <v/>
      </c>
      <c r="AO98" s="7">
        <f>Q98*0.0004002+P98*0.0004002</f>
        <v/>
      </c>
      <c r="AP98" s="7">
        <f>R98*0.0004002+Q98*0.0004002</f>
        <v/>
      </c>
      <c r="AQ98" s="7">
        <f>S98*0.0004002+R98*0.0004002</f>
        <v/>
      </c>
      <c r="AR98" s="7">
        <f>T98*0.0004002+S98*0.0004002</f>
        <v/>
      </c>
      <c r="AS98" s="7">
        <f>U98*0.0004002+T98*0.0004002</f>
        <v/>
      </c>
      <c r="AT98" s="7">
        <f>V98*0.0004002+U98*0.0004002</f>
        <v/>
      </c>
      <c r="AU98" s="7">
        <f>W98*0.0004002+V98*0.0004002</f>
        <v/>
      </c>
      <c r="AV98" s="7">
        <f>X98*0.0004002+W98*0.0004002</f>
        <v/>
      </c>
      <c r="AW98" s="7">
        <f>Y98*0.0004002+X98*0.0004002</f>
        <v/>
      </c>
      <c r="AX98" s="7">
        <f>Z98*0.0004002+Y98*0.0004002</f>
        <v/>
      </c>
      <c r="AY98" s="7">
        <f>AA98*0.0004002+Z98*0.0004002</f>
        <v/>
      </c>
      <c r="AZ98" s="7">
        <f>D98*0.0004002+AA98*0.0004002</f>
        <v/>
      </c>
      <c r="BA98" s="7">
        <f>E98*0.0004002+D98*0.0004002</f>
        <v/>
      </c>
      <c r="BB98" s="7">
        <f>SUM(AD98:BA98)</f>
        <v/>
      </c>
    </row>
    <row r="99">
      <c r="A99" t="inlineStr">
        <is>
          <t>AMD-RTS-RCLS-1302-SSC_1</t>
        </is>
      </c>
      <c r="B99" t="inlineStr">
        <is>
          <t>Rev OSC</t>
        </is>
      </c>
      <c r="C99" s="5" t="n">
        <v>46090</v>
      </c>
      <c r="D99" s="6">
        <f>Summary!D99</f>
        <v/>
      </c>
      <c r="E99" s="6">
        <f>Summary!E99</f>
        <v/>
      </c>
      <c r="F99" s="6">
        <f>Summary!F99</f>
        <v/>
      </c>
      <c r="G99" s="6">
        <f>Summary!G99</f>
        <v/>
      </c>
      <c r="H99" s="6">
        <f>Summary!H99</f>
        <v/>
      </c>
      <c r="I99" s="6">
        <f>Summary!I99</f>
        <v/>
      </c>
      <c r="J99" s="6">
        <f>Summary!J99</f>
        <v/>
      </c>
      <c r="K99" s="6">
        <f>Summary!K99</f>
        <v/>
      </c>
      <c r="L99" s="6">
        <f>Summary!L99</f>
        <v/>
      </c>
      <c r="M99" s="6">
        <f>Summary!M99</f>
        <v/>
      </c>
      <c r="N99" s="6">
        <f>Summary!N99</f>
        <v/>
      </c>
      <c r="O99" s="6">
        <f>Summary!O99</f>
        <v/>
      </c>
      <c r="P99" s="6">
        <f>Summary!P99</f>
        <v/>
      </c>
      <c r="Q99" s="6">
        <f>Summary!Q99</f>
        <v/>
      </c>
      <c r="R99" s="6">
        <f>Summary!R99</f>
        <v/>
      </c>
      <c r="S99" s="6">
        <f>Summary!S99</f>
        <v/>
      </c>
      <c r="T99" s="6">
        <f>Summary!T99</f>
        <v/>
      </c>
      <c r="U99" s="6">
        <f>Summary!U99</f>
        <v/>
      </c>
      <c r="V99" s="6">
        <f>Summary!V99</f>
        <v/>
      </c>
      <c r="W99" s="6">
        <f>Summary!W99</f>
        <v/>
      </c>
      <c r="X99" s="6">
        <f>Summary!X99</f>
        <v/>
      </c>
      <c r="Y99" s="6">
        <f>Summary!Y99</f>
        <v/>
      </c>
      <c r="Z99" s="6">
        <f>Summary!Z99</f>
        <v/>
      </c>
      <c r="AA99" s="6">
        <f>Summary!AA99</f>
        <v/>
      </c>
      <c r="AB99" s="6">
        <f>SUM(D99:AA99)</f>
        <v/>
      </c>
      <c r="AC99" s="3" t="inlineStr"/>
      <c r="AD99" s="7">
        <f>F99*0.0004002+E99*0.0004002</f>
        <v/>
      </c>
      <c r="AE99" s="7">
        <f>G99*0.0004002+F99*0.0004002</f>
        <v/>
      </c>
      <c r="AF99" s="7">
        <f>H99*0.0004002+G99*0.0004002</f>
        <v/>
      </c>
      <c r="AG99" s="7">
        <f>I99*0.0004002+H99*0.0004002</f>
        <v/>
      </c>
      <c r="AH99" s="7">
        <f>J99*0.0004002+I99*0.0004002</f>
        <v/>
      </c>
      <c r="AI99" s="7">
        <f>K99*0.0004002+J99*0.0004002</f>
        <v/>
      </c>
      <c r="AJ99" s="7">
        <f>L99*0.0004002+K99*0.0004002</f>
        <v/>
      </c>
      <c r="AK99" s="7">
        <f>M99*0.0004002+L99*0.0004002</f>
        <v/>
      </c>
      <c r="AL99" s="7">
        <f>N99*0.0004002+M99*0.0004002</f>
        <v/>
      </c>
      <c r="AM99" s="7">
        <f>O99*0.0004002+N99*0.0004002</f>
        <v/>
      </c>
      <c r="AN99" s="7">
        <f>P99*0.0004002+O99*0.0004002</f>
        <v/>
      </c>
      <c r="AO99" s="7">
        <f>Q99*0.0004002+P99*0.0004002</f>
        <v/>
      </c>
      <c r="AP99" s="7">
        <f>R99*0.0004002+Q99*0.0004002</f>
        <v/>
      </c>
      <c r="AQ99" s="7">
        <f>S99*0.0004002+R99*0.0004002</f>
        <v/>
      </c>
      <c r="AR99" s="7">
        <f>T99*0.0004002+S99*0.0004002</f>
        <v/>
      </c>
      <c r="AS99" s="7">
        <f>U99*0.0004002+T99*0.0004002</f>
        <v/>
      </c>
      <c r="AT99" s="7">
        <f>V99*0.0004002+U99*0.0004002</f>
        <v/>
      </c>
      <c r="AU99" s="7">
        <f>W99*0.0004002+V99*0.0004002</f>
        <v/>
      </c>
      <c r="AV99" s="7">
        <f>X99*0.0004002+W99*0.0004002</f>
        <v/>
      </c>
      <c r="AW99" s="7">
        <f>Y99*0.0004002+X99*0.0004002</f>
        <v/>
      </c>
      <c r="AX99" s="7">
        <f>Z99*0.0004002+Y99*0.0004002</f>
        <v/>
      </c>
      <c r="AY99" s="7">
        <f>AA99*0.0004002+Z99*0.0004002</f>
        <v/>
      </c>
      <c r="AZ99" s="7">
        <f>D99*0.0004002+AA99*0.0004002</f>
        <v/>
      </c>
      <c r="BA99" s="7">
        <f>E99*0.0004002+D99*0.0004002</f>
        <v/>
      </c>
      <c r="BB99" s="7">
        <f>SUM(AD99:BA99)</f>
        <v/>
      </c>
    </row>
    <row r="100">
      <c r="A100" t="inlineStr">
        <is>
          <t>AMD-RTS-RCLS-1302-SSC_1</t>
        </is>
      </c>
      <c r="B100" t="inlineStr">
        <is>
          <t>Rev OSC</t>
        </is>
      </c>
      <c r="C100" s="5" t="n">
        <v>46093</v>
      </c>
      <c r="D100" s="6">
        <f>Summary!D100</f>
        <v/>
      </c>
      <c r="E100" s="6">
        <f>Summary!E100</f>
        <v/>
      </c>
      <c r="F100" s="6">
        <f>Summary!F100</f>
        <v/>
      </c>
      <c r="G100" s="6">
        <f>Summary!G100</f>
        <v/>
      </c>
      <c r="H100" s="6">
        <f>Summary!H100</f>
        <v/>
      </c>
      <c r="I100" s="6">
        <f>Summary!I100</f>
        <v/>
      </c>
      <c r="J100" s="6">
        <f>Summary!J100</f>
        <v/>
      </c>
      <c r="K100" s="6">
        <f>Summary!K100</f>
        <v/>
      </c>
      <c r="L100" s="6">
        <f>Summary!L100</f>
        <v/>
      </c>
      <c r="M100" s="6">
        <f>Summary!M100</f>
        <v/>
      </c>
      <c r="N100" s="6">
        <f>Summary!N100</f>
        <v/>
      </c>
      <c r="O100" s="6">
        <f>Summary!O100</f>
        <v/>
      </c>
      <c r="P100" s="6">
        <f>Summary!P100</f>
        <v/>
      </c>
      <c r="Q100" s="6">
        <f>Summary!Q100</f>
        <v/>
      </c>
      <c r="R100" s="6">
        <f>Summary!R100</f>
        <v/>
      </c>
      <c r="S100" s="6">
        <f>Summary!S100</f>
        <v/>
      </c>
      <c r="T100" s="6">
        <f>Summary!T100</f>
        <v/>
      </c>
      <c r="U100" s="6">
        <f>Summary!U100</f>
        <v/>
      </c>
      <c r="V100" s="6">
        <f>Summary!V100</f>
        <v/>
      </c>
      <c r="W100" s="6">
        <f>Summary!W100</f>
        <v/>
      </c>
      <c r="X100" s="6">
        <f>Summary!X100</f>
        <v/>
      </c>
      <c r="Y100" s="6">
        <f>Summary!Y100</f>
        <v/>
      </c>
      <c r="Z100" s="6">
        <f>Summary!Z100</f>
        <v/>
      </c>
      <c r="AA100" s="6">
        <f>Summary!AA100</f>
        <v/>
      </c>
      <c r="AB100" s="6">
        <f>SUM(D100:AA100)</f>
        <v/>
      </c>
      <c r="AC100" s="3" t="inlineStr"/>
      <c r="AD100" s="7">
        <f>F100*0.0004002+E100*0.0004002</f>
        <v/>
      </c>
      <c r="AE100" s="7">
        <f>G100*0.0004002+F100*0.0004002</f>
        <v/>
      </c>
      <c r="AF100" s="7">
        <f>H100*0.0004002+G100*0.0004002</f>
        <v/>
      </c>
      <c r="AG100" s="7">
        <f>I100*0.0004002+H100*0.0004002</f>
        <v/>
      </c>
      <c r="AH100" s="7">
        <f>J100*0.0004002+I100*0.0004002</f>
        <v/>
      </c>
      <c r="AI100" s="7">
        <f>K100*0.0004002+J100*0.0004002</f>
        <v/>
      </c>
      <c r="AJ100" s="7">
        <f>L100*0.0004002+K100*0.0004002</f>
        <v/>
      </c>
      <c r="AK100" s="7">
        <f>M100*0.0004002+L100*0.0004002</f>
        <v/>
      </c>
      <c r="AL100" s="7">
        <f>N100*0.0004002+M100*0.0004002</f>
        <v/>
      </c>
      <c r="AM100" s="7">
        <f>O100*0.0004002+N100*0.0004002</f>
        <v/>
      </c>
      <c r="AN100" s="7">
        <f>P100*0.0004002+O100*0.0004002</f>
        <v/>
      </c>
      <c r="AO100" s="7">
        <f>Q100*0.0004002+P100*0.0004002</f>
        <v/>
      </c>
      <c r="AP100" s="7">
        <f>R100*0.0004002+Q100*0.0004002</f>
        <v/>
      </c>
      <c r="AQ100" s="7">
        <f>S100*0.0004002+R100*0.0004002</f>
        <v/>
      </c>
      <c r="AR100" s="7">
        <f>T100*0.0004002+S100*0.0004002</f>
        <v/>
      </c>
      <c r="AS100" s="7">
        <f>U100*0.0004002+T100*0.0004002</f>
        <v/>
      </c>
      <c r="AT100" s="7">
        <f>V100*0.0004002+U100*0.0004002</f>
        <v/>
      </c>
      <c r="AU100" s="7">
        <f>W100*0.0004002+V100*0.0004002</f>
        <v/>
      </c>
      <c r="AV100" s="7">
        <f>X100*0.0004002+W100*0.0004002</f>
        <v/>
      </c>
      <c r="AW100" s="7">
        <f>Y100*0.0004002+X100*0.0004002</f>
        <v/>
      </c>
      <c r="AX100" s="7">
        <f>Z100*0.0004002+Y100*0.0004002</f>
        <v/>
      </c>
      <c r="AY100" s="7">
        <f>AA100*0.0004002+Z100*0.0004002</f>
        <v/>
      </c>
      <c r="AZ100" s="7">
        <f>D100*0.0004002+AA100*0.0004002</f>
        <v/>
      </c>
      <c r="BA100" s="7">
        <f>E100*0.0004002+D100*0.0004002</f>
        <v/>
      </c>
      <c r="BB100" s="7">
        <f>SUM(AD100:BA100)</f>
        <v/>
      </c>
    </row>
    <row r="101">
      <c r="A101" t="inlineStr">
        <is>
          <t>AMD-RTS-RCLS-1302-SSC_1</t>
        </is>
      </c>
      <c r="B101" t="inlineStr">
        <is>
          <t>Rev OSC</t>
        </is>
      </c>
      <c r="C101" s="5" t="n">
        <v>46094</v>
      </c>
      <c r="D101" s="6">
        <f>Summary!D101</f>
        <v/>
      </c>
      <c r="E101" s="6">
        <f>Summary!E101</f>
        <v/>
      </c>
      <c r="F101" s="6">
        <f>Summary!F101</f>
        <v/>
      </c>
      <c r="G101" s="6">
        <f>Summary!G101</f>
        <v/>
      </c>
      <c r="H101" s="6">
        <f>Summary!H101</f>
        <v/>
      </c>
      <c r="I101" s="6">
        <f>Summary!I101</f>
        <v/>
      </c>
      <c r="J101" s="6">
        <f>Summary!J101</f>
        <v/>
      </c>
      <c r="K101" s="6">
        <f>Summary!K101</f>
        <v/>
      </c>
      <c r="L101" s="6">
        <f>Summary!L101</f>
        <v/>
      </c>
      <c r="M101" s="6">
        <f>Summary!M101</f>
        <v/>
      </c>
      <c r="N101" s="6">
        <f>Summary!N101</f>
        <v/>
      </c>
      <c r="O101" s="6">
        <f>Summary!O101</f>
        <v/>
      </c>
      <c r="P101" s="6">
        <f>Summary!P101</f>
        <v/>
      </c>
      <c r="Q101" s="6">
        <f>Summary!Q101</f>
        <v/>
      </c>
      <c r="R101" s="6">
        <f>Summary!R101</f>
        <v/>
      </c>
      <c r="S101" s="6">
        <f>Summary!S101</f>
        <v/>
      </c>
      <c r="T101" s="6">
        <f>Summary!T101</f>
        <v/>
      </c>
      <c r="U101" s="6">
        <f>Summary!U101</f>
        <v/>
      </c>
      <c r="V101" s="6">
        <f>Summary!V101</f>
        <v/>
      </c>
      <c r="W101" s="6">
        <f>Summary!W101</f>
        <v/>
      </c>
      <c r="X101" s="6">
        <f>Summary!X101</f>
        <v/>
      </c>
      <c r="Y101" s="6">
        <f>Summary!Y101</f>
        <v/>
      </c>
      <c r="Z101" s="6">
        <f>Summary!Z101</f>
        <v/>
      </c>
      <c r="AA101" s="6">
        <f>Summary!AA101</f>
        <v/>
      </c>
      <c r="AB101" s="6">
        <f>SUM(D101:AA101)</f>
        <v/>
      </c>
      <c r="AC101" s="3" t="inlineStr"/>
      <c r="AD101" s="7">
        <f>F101*0.0004002+E101*0.0004002</f>
        <v/>
      </c>
      <c r="AE101" s="7">
        <f>G101*0.0004002+F101*0.0004002</f>
        <v/>
      </c>
      <c r="AF101" s="7">
        <f>H101*0.0004002+G101*0.0004002</f>
        <v/>
      </c>
      <c r="AG101" s="7">
        <f>I101*0.0004002+H101*0.0004002</f>
        <v/>
      </c>
      <c r="AH101" s="7">
        <f>J101*0.0004002+I101*0.0004002</f>
        <v/>
      </c>
      <c r="AI101" s="7">
        <f>K101*0.0004002+J101*0.0004002</f>
        <v/>
      </c>
      <c r="AJ101" s="7">
        <f>L101*0.0004002+K101*0.0004002</f>
        <v/>
      </c>
      <c r="AK101" s="7">
        <f>M101*0.0004002+L101*0.0004002</f>
        <v/>
      </c>
      <c r="AL101" s="7">
        <f>N101*0.0004002+M101*0.0004002</f>
        <v/>
      </c>
      <c r="AM101" s="7">
        <f>O101*0.0004002+N101*0.0004002</f>
        <v/>
      </c>
      <c r="AN101" s="7">
        <f>P101*0.0004002+O101*0.0004002</f>
        <v/>
      </c>
      <c r="AO101" s="7">
        <f>Q101*0.0004002+P101*0.0004002</f>
        <v/>
      </c>
      <c r="AP101" s="7">
        <f>R101*0.0004002+Q101*0.0004002</f>
        <v/>
      </c>
      <c r="AQ101" s="7">
        <f>S101*0.0004002+R101*0.0004002</f>
        <v/>
      </c>
      <c r="AR101" s="7">
        <f>T101*0.0004002+S101*0.0004002</f>
        <v/>
      </c>
      <c r="AS101" s="7">
        <f>U101*0.0004002+T101*0.0004002</f>
        <v/>
      </c>
      <c r="AT101" s="7">
        <f>V101*0.0004002+U101*0.0004002</f>
        <v/>
      </c>
      <c r="AU101" s="7">
        <f>W101*0.0004002+V101*0.0004002</f>
        <v/>
      </c>
      <c r="AV101" s="7">
        <f>X101*0.0004002+W101*0.0004002</f>
        <v/>
      </c>
      <c r="AW101" s="7">
        <f>Y101*0.0004002+X101*0.0004002</f>
        <v/>
      </c>
      <c r="AX101" s="7">
        <f>Z101*0.0004002+Y101*0.0004002</f>
        <v/>
      </c>
      <c r="AY101" s="7">
        <f>AA101*0.0004002+Z101*0.0004002</f>
        <v/>
      </c>
      <c r="AZ101" s="7">
        <f>D101*0.0004002+AA101*0.0004002</f>
        <v/>
      </c>
      <c r="BA101" s="7">
        <f>E101*0.0004002+D101*0.0004002</f>
        <v/>
      </c>
      <c r="BB101" s="7">
        <f>SUM(AD101:BA101)</f>
        <v/>
      </c>
    </row>
    <row r="102">
      <c r="A102" t="inlineStr">
        <is>
          <t>AMD-RTS-RCLS-1302-SSC_1</t>
        </is>
      </c>
      <c r="B102" t="inlineStr">
        <is>
          <t>Rev OSC</t>
        </is>
      </c>
      <c r="C102" s="5" t="n">
        <v>46095</v>
      </c>
      <c r="D102" s="6">
        <f>Summary!D102</f>
        <v/>
      </c>
      <c r="E102" s="6">
        <f>Summary!E102</f>
        <v/>
      </c>
      <c r="F102" s="6">
        <f>Summary!F102</f>
        <v/>
      </c>
      <c r="G102" s="6">
        <f>Summary!G102</f>
        <v/>
      </c>
      <c r="H102" s="6">
        <f>Summary!H102</f>
        <v/>
      </c>
      <c r="I102" s="6">
        <f>Summary!I102</f>
        <v/>
      </c>
      <c r="J102" s="6">
        <f>Summary!J102</f>
        <v/>
      </c>
      <c r="K102" s="6">
        <f>Summary!K102</f>
        <v/>
      </c>
      <c r="L102" s="6">
        <f>Summary!L102</f>
        <v/>
      </c>
      <c r="M102" s="6">
        <f>Summary!M102</f>
        <v/>
      </c>
      <c r="N102" s="6">
        <f>Summary!N102</f>
        <v/>
      </c>
      <c r="O102" s="6">
        <f>Summary!O102</f>
        <v/>
      </c>
      <c r="P102" s="6">
        <f>Summary!P102</f>
        <v/>
      </c>
      <c r="Q102" s="6">
        <f>Summary!Q102</f>
        <v/>
      </c>
      <c r="R102" s="6">
        <f>Summary!R102</f>
        <v/>
      </c>
      <c r="S102" s="6">
        <f>Summary!S102</f>
        <v/>
      </c>
      <c r="T102" s="6">
        <f>Summary!T102</f>
        <v/>
      </c>
      <c r="U102" s="6">
        <f>Summary!U102</f>
        <v/>
      </c>
      <c r="V102" s="6">
        <f>Summary!V102</f>
        <v/>
      </c>
      <c r="W102" s="6">
        <f>Summary!W102</f>
        <v/>
      </c>
      <c r="X102" s="6">
        <f>Summary!X102</f>
        <v/>
      </c>
      <c r="Y102" s="6">
        <f>Summary!Y102</f>
        <v/>
      </c>
      <c r="Z102" s="6">
        <f>Summary!Z102</f>
        <v/>
      </c>
      <c r="AA102" s="6">
        <f>Summary!AA102</f>
        <v/>
      </c>
      <c r="AB102" s="6">
        <f>SUM(D102:AA102)</f>
        <v/>
      </c>
      <c r="AC102" s="3" t="inlineStr"/>
      <c r="AD102" s="7">
        <f>F102*0.0004002+E102*0.0004002</f>
        <v/>
      </c>
      <c r="AE102" s="7">
        <f>G102*0.0004002+F102*0.0004002</f>
        <v/>
      </c>
      <c r="AF102" s="7">
        <f>H102*0.0004002+G102*0.0004002</f>
        <v/>
      </c>
      <c r="AG102" s="7">
        <f>I102*0.0004002+H102*0.0004002</f>
        <v/>
      </c>
      <c r="AH102" s="7">
        <f>J102*0.0004002+I102*0.0004002</f>
        <v/>
      </c>
      <c r="AI102" s="7">
        <f>K102*0.0004002+J102*0.0004002</f>
        <v/>
      </c>
      <c r="AJ102" s="7">
        <f>L102*0.0004002+K102*0.0004002</f>
        <v/>
      </c>
      <c r="AK102" s="7">
        <f>M102*0.0004002+L102*0.0004002</f>
        <v/>
      </c>
      <c r="AL102" s="7">
        <f>N102*0.0004002+M102*0.0004002</f>
        <v/>
      </c>
      <c r="AM102" s="7">
        <f>O102*0.0004002+N102*0.0004002</f>
        <v/>
      </c>
      <c r="AN102" s="7">
        <f>P102*0.0004002+O102*0.0004002</f>
        <v/>
      </c>
      <c r="AO102" s="7">
        <f>Q102*0.0004002+P102*0.0004002</f>
        <v/>
      </c>
      <c r="AP102" s="7">
        <f>R102*0.0004002+Q102*0.0004002</f>
        <v/>
      </c>
      <c r="AQ102" s="7">
        <f>S102*0.0004002+R102*0.0004002</f>
        <v/>
      </c>
      <c r="AR102" s="7">
        <f>T102*0.0004002+S102*0.0004002</f>
        <v/>
      </c>
      <c r="AS102" s="7">
        <f>U102*0.0004002+T102*0.0004002</f>
        <v/>
      </c>
      <c r="AT102" s="7">
        <f>V102*0.0004002+U102*0.0004002</f>
        <v/>
      </c>
      <c r="AU102" s="7">
        <f>W102*0.0004002+V102*0.0004002</f>
        <v/>
      </c>
      <c r="AV102" s="7">
        <f>X102*0.0004002+W102*0.0004002</f>
        <v/>
      </c>
      <c r="AW102" s="7">
        <f>Y102*0.0004002+X102*0.0004002</f>
        <v/>
      </c>
      <c r="AX102" s="7">
        <f>Z102*0.0004002+Y102*0.0004002</f>
        <v/>
      </c>
      <c r="AY102" s="7">
        <f>AA102*0.0004002+Z102*0.0004002</f>
        <v/>
      </c>
      <c r="AZ102" s="7">
        <f>D102*0.0004002+AA102*0.0004002</f>
        <v/>
      </c>
      <c r="BA102" s="7">
        <f>E102*0.0004002+D102*0.0004002</f>
        <v/>
      </c>
      <c r="BB102" s="7">
        <f>SUM(AD102:BA102)</f>
        <v/>
      </c>
    </row>
    <row r="103">
      <c r="A103" t="inlineStr">
        <is>
          <t>AMD-RTS-RCLS-1302-SSC_1</t>
        </is>
      </c>
      <c r="B103" t="inlineStr">
        <is>
          <t>Rev OSC</t>
        </is>
      </c>
      <c r="C103" s="5" t="n">
        <v>46100</v>
      </c>
      <c r="D103" s="6">
        <f>Summary!D103</f>
        <v/>
      </c>
      <c r="E103" s="6">
        <f>Summary!E103</f>
        <v/>
      </c>
      <c r="F103" s="6">
        <f>Summary!F103</f>
        <v/>
      </c>
      <c r="G103" s="6">
        <f>Summary!G103</f>
        <v/>
      </c>
      <c r="H103" s="6">
        <f>Summary!H103</f>
        <v/>
      </c>
      <c r="I103" s="6">
        <f>Summary!I103</f>
        <v/>
      </c>
      <c r="J103" s="6">
        <f>Summary!J103</f>
        <v/>
      </c>
      <c r="K103" s="6">
        <f>Summary!K103</f>
        <v/>
      </c>
      <c r="L103" s="6">
        <f>Summary!L103</f>
        <v/>
      </c>
      <c r="M103" s="6">
        <f>Summary!M103</f>
        <v/>
      </c>
      <c r="N103" s="6">
        <f>Summary!N103</f>
        <v/>
      </c>
      <c r="O103" s="6">
        <f>Summary!O103</f>
        <v/>
      </c>
      <c r="P103" s="6">
        <f>Summary!P103</f>
        <v/>
      </c>
      <c r="Q103" s="6">
        <f>Summary!Q103</f>
        <v/>
      </c>
      <c r="R103" s="6">
        <f>Summary!R103</f>
        <v/>
      </c>
      <c r="S103" s="6">
        <f>Summary!S103</f>
        <v/>
      </c>
      <c r="T103" s="6">
        <f>Summary!T103</f>
        <v/>
      </c>
      <c r="U103" s="6">
        <f>Summary!U103</f>
        <v/>
      </c>
      <c r="V103" s="6">
        <f>Summary!V103</f>
        <v/>
      </c>
      <c r="W103" s="6">
        <f>Summary!W103</f>
        <v/>
      </c>
      <c r="X103" s="6">
        <f>Summary!X103</f>
        <v/>
      </c>
      <c r="Y103" s="6">
        <f>Summary!Y103</f>
        <v/>
      </c>
      <c r="Z103" s="6">
        <f>Summary!Z103</f>
        <v/>
      </c>
      <c r="AA103" s="6">
        <f>Summary!AA103</f>
        <v/>
      </c>
      <c r="AB103" s="6">
        <f>SUM(D103:AA103)</f>
        <v/>
      </c>
      <c r="AC103" s="3" t="inlineStr"/>
      <c r="AD103" s="7">
        <f>F103*0.0004002+E103*0.0004002</f>
        <v/>
      </c>
      <c r="AE103" s="7">
        <f>G103*0.0004002+F103*0.0004002</f>
        <v/>
      </c>
      <c r="AF103" s="7">
        <f>H103*0.0004002+G103*0.0004002</f>
        <v/>
      </c>
      <c r="AG103" s="7">
        <f>I103*0.0004002+H103*0.0004002</f>
        <v/>
      </c>
      <c r="AH103" s="7">
        <f>J103*0.0004002+I103*0.0004002</f>
        <v/>
      </c>
      <c r="AI103" s="7">
        <f>K103*0.0004002+J103*0.0004002</f>
        <v/>
      </c>
      <c r="AJ103" s="7">
        <f>L103*0.0004002+K103*0.0004002</f>
        <v/>
      </c>
      <c r="AK103" s="7">
        <f>M103*0.0004002+L103*0.0004002</f>
        <v/>
      </c>
      <c r="AL103" s="7">
        <f>N103*0.0004002+M103*0.0004002</f>
        <v/>
      </c>
      <c r="AM103" s="7">
        <f>O103*0.0004002+N103*0.0004002</f>
        <v/>
      </c>
      <c r="AN103" s="7">
        <f>P103*0.0004002+O103*0.0004002</f>
        <v/>
      </c>
      <c r="AO103" s="7">
        <f>Q103*0.0004002+P103*0.0004002</f>
        <v/>
      </c>
      <c r="AP103" s="7">
        <f>R103*0.0004002+Q103*0.0004002</f>
        <v/>
      </c>
      <c r="AQ103" s="7">
        <f>S103*0.0004002+R103*0.0004002</f>
        <v/>
      </c>
      <c r="AR103" s="7">
        <f>T103*0.0004002+S103*0.0004002</f>
        <v/>
      </c>
      <c r="AS103" s="7">
        <f>U103*0.0004002+T103*0.0004002</f>
        <v/>
      </c>
      <c r="AT103" s="7">
        <f>V103*0.0004002+U103*0.0004002</f>
        <v/>
      </c>
      <c r="AU103" s="7">
        <f>W103*0.0004002+V103*0.0004002</f>
        <v/>
      </c>
      <c r="AV103" s="7">
        <f>X103*0.0004002+W103*0.0004002</f>
        <v/>
      </c>
      <c r="AW103" s="7">
        <f>Y103*0.0004002+X103*0.0004002</f>
        <v/>
      </c>
      <c r="AX103" s="7">
        <f>Z103*0.0004002+Y103*0.0004002</f>
        <v/>
      </c>
      <c r="AY103" s="7">
        <f>AA103*0.0004002+Z103*0.0004002</f>
        <v/>
      </c>
      <c r="AZ103" s="7">
        <f>D103*0.0004002+AA103*0.0004002</f>
        <v/>
      </c>
      <c r="BA103" s="7">
        <f>E103*0.0004002+D103*0.0004002</f>
        <v/>
      </c>
      <c r="BB103" s="7">
        <f>SUM(AD103:BA103)</f>
        <v/>
      </c>
    </row>
    <row r="104">
      <c r="A104" t="inlineStr">
        <is>
          <t>AMD-RTS-RCLS-1302-SSC_1</t>
        </is>
      </c>
      <c r="B104" t="inlineStr">
        <is>
          <t>Rev OSC</t>
        </is>
      </c>
      <c r="C104" s="5" t="n">
        <v>46102</v>
      </c>
      <c r="D104" s="6">
        <f>Summary!D104</f>
        <v/>
      </c>
      <c r="E104" s="6">
        <f>Summary!E104</f>
        <v/>
      </c>
      <c r="F104" s="6">
        <f>Summary!F104</f>
        <v/>
      </c>
      <c r="G104" s="6">
        <f>Summary!G104</f>
        <v/>
      </c>
      <c r="H104" s="6">
        <f>Summary!H104</f>
        <v/>
      </c>
      <c r="I104" s="6">
        <f>Summary!I104</f>
        <v/>
      </c>
      <c r="J104" s="6">
        <f>Summary!J104</f>
        <v/>
      </c>
      <c r="K104" s="6">
        <f>Summary!K104</f>
        <v/>
      </c>
      <c r="L104" s="6">
        <f>Summary!L104</f>
        <v/>
      </c>
      <c r="M104" s="6">
        <f>Summary!M104</f>
        <v/>
      </c>
      <c r="N104" s="6">
        <f>Summary!N104</f>
        <v/>
      </c>
      <c r="O104" s="6">
        <f>Summary!O104</f>
        <v/>
      </c>
      <c r="P104" s="6">
        <f>Summary!P104</f>
        <v/>
      </c>
      <c r="Q104" s="6">
        <f>Summary!Q104</f>
        <v/>
      </c>
      <c r="R104" s="6">
        <f>Summary!R104</f>
        <v/>
      </c>
      <c r="S104" s="6">
        <f>Summary!S104</f>
        <v/>
      </c>
      <c r="T104" s="6">
        <f>Summary!T104</f>
        <v/>
      </c>
      <c r="U104" s="6">
        <f>Summary!U104</f>
        <v/>
      </c>
      <c r="V104" s="6">
        <f>Summary!V104</f>
        <v/>
      </c>
      <c r="W104" s="6">
        <f>Summary!W104</f>
        <v/>
      </c>
      <c r="X104" s="6">
        <f>Summary!X104</f>
        <v/>
      </c>
      <c r="Y104" s="6">
        <f>Summary!Y104</f>
        <v/>
      </c>
      <c r="Z104" s="6">
        <f>Summary!Z104</f>
        <v/>
      </c>
      <c r="AA104" s="6">
        <f>Summary!AA104</f>
        <v/>
      </c>
      <c r="AB104" s="6">
        <f>SUM(D104:AA104)</f>
        <v/>
      </c>
      <c r="AC104" s="3" t="inlineStr"/>
      <c r="AD104" s="7">
        <f>F104*0.0004002+E104*0.0004002</f>
        <v/>
      </c>
      <c r="AE104" s="7">
        <f>G104*0.0004002+F104*0.0004002</f>
        <v/>
      </c>
      <c r="AF104" s="7">
        <f>H104*0.0004002+G104*0.0004002</f>
        <v/>
      </c>
      <c r="AG104" s="7">
        <f>I104*0.0004002+H104*0.0004002</f>
        <v/>
      </c>
      <c r="AH104" s="7">
        <f>J104*0.0004002+I104*0.0004002</f>
        <v/>
      </c>
      <c r="AI104" s="7">
        <f>K104*0.0004002+J104*0.0004002</f>
        <v/>
      </c>
      <c r="AJ104" s="7">
        <f>L104*0.0004002+K104*0.0004002</f>
        <v/>
      </c>
      <c r="AK104" s="7">
        <f>M104*0.0004002+L104*0.0004002</f>
        <v/>
      </c>
      <c r="AL104" s="7">
        <f>N104*0.0004002+M104*0.0004002</f>
        <v/>
      </c>
      <c r="AM104" s="7">
        <f>O104*0.0004002+N104*0.0004002</f>
        <v/>
      </c>
      <c r="AN104" s="7">
        <f>P104*0.0004002+O104*0.0004002</f>
        <v/>
      </c>
      <c r="AO104" s="7">
        <f>Q104*0.0004002+P104*0.0004002</f>
        <v/>
      </c>
      <c r="AP104" s="7">
        <f>R104*0.0004002+Q104*0.0004002</f>
        <v/>
      </c>
      <c r="AQ104" s="7">
        <f>S104*0.0004002+R104*0.0004002</f>
        <v/>
      </c>
      <c r="AR104" s="7">
        <f>T104*0.0004002+S104*0.0004002</f>
        <v/>
      </c>
      <c r="AS104" s="7">
        <f>U104*0.0004002+T104*0.0004002</f>
        <v/>
      </c>
      <c r="AT104" s="7">
        <f>V104*0.0004002+U104*0.0004002</f>
        <v/>
      </c>
      <c r="AU104" s="7">
        <f>W104*0.0004002+V104*0.0004002</f>
        <v/>
      </c>
      <c r="AV104" s="7">
        <f>X104*0.0004002+W104*0.0004002</f>
        <v/>
      </c>
      <c r="AW104" s="7">
        <f>Y104*0.0004002+X104*0.0004002</f>
        <v/>
      </c>
      <c r="AX104" s="7">
        <f>Z104*0.0004002+Y104*0.0004002</f>
        <v/>
      </c>
      <c r="AY104" s="7">
        <f>AA104*0.0004002+Z104*0.0004002</f>
        <v/>
      </c>
      <c r="AZ104" s="7">
        <f>D104*0.0004002+AA104*0.0004002</f>
        <v/>
      </c>
      <c r="BA104" s="7">
        <f>E104*0.0004002+D104*0.0004002</f>
        <v/>
      </c>
      <c r="BB104" s="7">
        <f>SUM(AD104:BA104)</f>
        <v/>
      </c>
    </row>
    <row r="105">
      <c r="A105" t="inlineStr">
        <is>
          <t>AMD-RTS-RCLS-1302-SSC_1</t>
        </is>
      </c>
      <c r="B105" t="inlineStr">
        <is>
          <t>Rev OSC</t>
        </is>
      </c>
      <c r="C105" s="5" t="n">
        <v>46103</v>
      </c>
      <c r="D105" s="6">
        <f>Summary!D105</f>
        <v/>
      </c>
      <c r="E105" s="6">
        <f>Summary!E105</f>
        <v/>
      </c>
      <c r="F105" s="6">
        <f>Summary!F105</f>
        <v/>
      </c>
      <c r="G105" s="6">
        <f>Summary!G105</f>
        <v/>
      </c>
      <c r="H105" s="6">
        <f>Summary!H105</f>
        <v/>
      </c>
      <c r="I105" s="6">
        <f>Summary!I105</f>
        <v/>
      </c>
      <c r="J105" s="6">
        <f>Summary!J105</f>
        <v/>
      </c>
      <c r="K105" s="6">
        <f>Summary!K105</f>
        <v/>
      </c>
      <c r="L105" s="6">
        <f>Summary!L105</f>
        <v/>
      </c>
      <c r="M105" s="6">
        <f>Summary!M105</f>
        <v/>
      </c>
      <c r="N105" s="6">
        <f>Summary!N105</f>
        <v/>
      </c>
      <c r="O105" s="6">
        <f>Summary!O105</f>
        <v/>
      </c>
      <c r="P105" s="6">
        <f>Summary!P105</f>
        <v/>
      </c>
      <c r="Q105" s="6">
        <f>Summary!Q105</f>
        <v/>
      </c>
      <c r="R105" s="6">
        <f>Summary!R105</f>
        <v/>
      </c>
      <c r="S105" s="6">
        <f>Summary!S105</f>
        <v/>
      </c>
      <c r="T105" s="6">
        <f>Summary!T105</f>
        <v/>
      </c>
      <c r="U105" s="6">
        <f>Summary!U105</f>
        <v/>
      </c>
      <c r="V105" s="6">
        <f>Summary!V105</f>
        <v/>
      </c>
      <c r="W105" s="6">
        <f>Summary!W105</f>
        <v/>
      </c>
      <c r="X105" s="6">
        <f>Summary!X105</f>
        <v/>
      </c>
      <c r="Y105" s="6">
        <f>Summary!Y105</f>
        <v/>
      </c>
      <c r="Z105" s="6">
        <f>Summary!Z105</f>
        <v/>
      </c>
      <c r="AA105" s="6">
        <f>Summary!AA105</f>
        <v/>
      </c>
      <c r="AB105" s="6">
        <f>SUM(D105:AA105)</f>
        <v/>
      </c>
      <c r="AC105" s="3" t="inlineStr"/>
      <c r="AD105" s="7">
        <f>F105*0.0004002+E105*0.0004002</f>
        <v/>
      </c>
      <c r="AE105" s="7">
        <f>G105*0.0004002+F105*0.0004002</f>
        <v/>
      </c>
      <c r="AF105" s="7">
        <f>H105*0.0004002+G105*0.0004002</f>
        <v/>
      </c>
      <c r="AG105" s="7">
        <f>I105*0.0004002+H105*0.0004002</f>
        <v/>
      </c>
      <c r="AH105" s="7">
        <f>J105*0.0004002+I105*0.0004002</f>
        <v/>
      </c>
      <c r="AI105" s="7">
        <f>K105*0.0004002+J105*0.0004002</f>
        <v/>
      </c>
      <c r="AJ105" s="7">
        <f>L105*0.0004002+K105*0.0004002</f>
        <v/>
      </c>
      <c r="AK105" s="7">
        <f>M105*0.0004002+L105*0.0004002</f>
        <v/>
      </c>
      <c r="AL105" s="7">
        <f>N105*0.0004002+M105*0.0004002</f>
        <v/>
      </c>
      <c r="AM105" s="7">
        <f>O105*0.0004002+N105*0.0004002</f>
        <v/>
      </c>
      <c r="AN105" s="7">
        <f>P105*0.0004002+O105*0.0004002</f>
        <v/>
      </c>
      <c r="AO105" s="7">
        <f>Q105*0.0004002+P105*0.0004002</f>
        <v/>
      </c>
      <c r="AP105" s="7">
        <f>R105*0.0004002+Q105*0.0004002</f>
        <v/>
      </c>
      <c r="AQ105" s="7">
        <f>S105*0.0004002+R105*0.0004002</f>
        <v/>
      </c>
      <c r="AR105" s="7">
        <f>T105*0.0004002+S105*0.0004002</f>
        <v/>
      </c>
      <c r="AS105" s="7">
        <f>U105*0.0004002+T105*0.0004002</f>
        <v/>
      </c>
      <c r="AT105" s="7">
        <f>V105*0.0004002+U105*0.0004002</f>
        <v/>
      </c>
      <c r="AU105" s="7">
        <f>W105*0.0004002+V105*0.0004002</f>
        <v/>
      </c>
      <c r="AV105" s="7">
        <f>X105*0.0004002+W105*0.0004002</f>
        <v/>
      </c>
      <c r="AW105" s="7">
        <f>Y105*0.0004002+X105*0.0004002</f>
        <v/>
      </c>
      <c r="AX105" s="7">
        <f>Z105*0.0004002+Y105*0.0004002</f>
        <v/>
      </c>
      <c r="AY105" s="7">
        <f>AA105*0.0004002+Z105*0.0004002</f>
        <v/>
      </c>
      <c r="AZ105" s="7">
        <f>D105*0.0004002+AA105*0.0004002</f>
        <v/>
      </c>
      <c r="BA105" s="7">
        <f>E105*0.0004002+D105*0.0004002</f>
        <v/>
      </c>
      <c r="BB105" s="7">
        <f>SUM(AD105:BA105)</f>
        <v/>
      </c>
    </row>
    <row r="106">
      <c r="A106" t="inlineStr">
        <is>
          <t>AMD-RTS-RCLS-1302-SSC_1</t>
        </is>
      </c>
      <c r="B106" t="inlineStr">
        <is>
          <t>Rev OSC</t>
        </is>
      </c>
      <c r="C106" s="5" t="n">
        <v>46104</v>
      </c>
      <c r="D106" s="6">
        <f>Summary!D106</f>
        <v/>
      </c>
      <c r="E106" s="6">
        <f>Summary!E106</f>
        <v/>
      </c>
      <c r="F106" s="6">
        <f>Summary!F106</f>
        <v/>
      </c>
      <c r="G106" s="6">
        <f>Summary!G106</f>
        <v/>
      </c>
      <c r="H106" s="6">
        <f>Summary!H106</f>
        <v/>
      </c>
      <c r="I106" s="6">
        <f>Summary!I106</f>
        <v/>
      </c>
      <c r="J106" s="6">
        <f>Summary!J106</f>
        <v/>
      </c>
      <c r="K106" s="6">
        <f>Summary!K106</f>
        <v/>
      </c>
      <c r="L106" s="6">
        <f>Summary!L106</f>
        <v/>
      </c>
      <c r="M106" s="6">
        <f>Summary!M106</f>
        <v/>
      </c>
      <c r="N106" s="6">
        <f>Summary!N106</f>
        <v/>
      </c>
      <c r="O106" s="6">
        <f>Summary!O106</f>
        <v/>
      </c>
      <c r="P106" s="6">
        <f>Summary!P106</f>
        <v/>
      </c>
      <c r="Q106" s="6">
        <f>Summary!Q106</f>
        <v/>
      </c>
      <c r="R106" s="6">
        <f>Summary!R106</f>
        <v/>
      </c>
      <c r="S106" s="6">
        <f>Summary!S106</f>
        <v/>
      </c>
      <c r="T106" s="6">
        <f>Summary!T106</f>
        <v/>
      </c>
      <c r="U106" s="6">
        <f>Summary!U106</f>
        <v/>
      </c>
      <c r="V106" s="6">
        <f>Summary!V106</f>
        <v/>
      </c>
      <c r="W106" s="6">
        <f>Summary!W106</f>
        <v/>
      </c>
      <c r="X106" s="6">
        <f>Summary!X106</f>
        <v/>
      </c>
      <c r="Y106" s="6">
        <f>Summary!Y106</f>
        <v/>
      </c>
      <c r="Z106" s="6">
        <f>Summary!Z106</f>
        <v/>
      </c>
      <c r="AA106" s="6">
        <f>Summary!AA106</f>
        <v/>
      </c>
      <c r="AB106" s="6">
        <f>SUM(D106:AA106)</f>
        <v/>
      </c>
      <c r="AC106" s="3" t="inlineStr"/>
      <c r="AD106" s="7">
        <f>F106*0.0004002+E106*0.0004002</f>
        <v/>
      </c>
      <c r="AE106" s="7">
        <f>G106*0.0004002+F106*0.0004002</f>
        <v/>
      </c>
      <c r="AF106" s="7">
        <f>H106*0.0004002+G106*0.0004002</f>
        <v/>
      </c>
      <c r="AG106" s="7">
        <f>I106*0.0004002+H106*0.0004002</f>
        <v/>
      </c>
      <c r="AH106" s="7">
        <f>J106*0.0004002+I106*0.0004002</f>
        <v/>
      </c>
      <c r="AI106" s="7">
        <f>K106*0.0004002+J106*0.0004002</f>
        <v/>
      </c>
      <c r="AJ106" s="7">
        <f>L106*0.0004002+K106*0.0004002</f>
        <v/>
      </c>
      <c r="AK106" s="7">
        <f>M106*0.0004002+L106*0.0004002</f>
        <v/>
      </c>
      <c r="AL106" s="7">
        <f>N106*0.0004002+M106*0.0004002</f>
        <v/>
      </c>
      <c r="AM106" s="7">
        <f>O106*0.0004002+N106*0.0004002</f>
        <v/>
      </c>
      <c r="AN106" s="7">
        <f>P106*0.0004002+O106*0.0004002</f>
        <v/>
      </c>
      <c r="AO106" s="7">
        <f>Q106*0.0004002+P106*0.0004002</f>
        <v/>
      </c>
      <c r="AP106" s="7">
        <f>R106*0.0004002+Q106*0.0004002</f>
        <v/>
      </c>
      <c r="AQ106" s="7">
        <f>S106*0.0004002+R106*0.0004002</f>
        <v/>
      </c>
      <c r="AR106" s="7">
        <f>T106*0.0004002+S106*0.0004002</f>
        <v/>
      </c>
      <c r="AS106" s="7">
        <f>U106*0.0004002+T106*0.0004002</f>
        <v/>
      </c>
      <c r="AT106" s="7">
        <f>V106*0.0004002+U106*0.0004002</f>
        <v/>
      </c>
      <c r="AU106" s="7">
        <f>W106*0.0004002+V106*0.0004002</f>
        <v/>
      </c>
      <c r="AV106" s="7">
        <f>X106*0.0004002+W106*0.0004002</f>
        <v/>
      </c>
      <c r="AW106" s="7">
        <f>Y106*0.0004002+X106*0.0004002</f>
        <v/>
      </c>
      <c r="AX106" s="7">
        <f>Z106*0.0004002+Y106*0.0004002</f>
        <v/>
      </c>
      <c r="AY106" s="7">
        <f>AA106*0.0004002+Z106*0.0004002</f>
        <v/>
      </c>
      <c r="AZ106" s="7">
        <f>D106*0.0004002+AA106*0.0004002</f>
        <v/>
      </c>
      <c r="BA106" s="7">
        <f>E106*0.0004002+D106*0.0004002</f>
        <v/>
      </c>
      <c r="BB106" s="7">
        <f>SUM(AD106:BA106)</f>
        <v/>
      </c>
    </row>
    <row r="107">
      <c r="A107" t="inlineStr">
        <is>
          <t>AMD-RTS-RCLS-1302-SSC_1</t>
        </is>
      </c>
      <c r="B107" t="inlineStr">
        <is>
          <t>Rev OSC</t>
        </is>
      </c>
      <c r="C107" s="5" t="n">
        <v>46105</v>
      </c>
      <c r="D107" s="6">
        <f>Summary!D107</f>
        <v/>
      </c>
      <c r="E107" s="6">
        <f>Summary!E107</f>
        <v/>
      </c>
      <c r="F107" s="6">
        <f>Summary!F107</f>
        <v/>
      </c>
      <c r="G107" s="6">
        <f>Summary!G107</f>
        <v/>
      </c>
      <c r="H107" s="6">
        <f>Summary!H107</f>
        <v/>
      </c>
      <c r="I107" s="6">
        <f>Summary!I107</f>
        <v/>
      </c>
      <c r="J107" s="6">
        <f>Summary!J107</f>
        <v/>
      </c>
      <c r="K107" s="6">
        <f>Summary!K107</f>
        <v/>
      </c>
      <c r="L107" s="6">
        <f>Summary!L107</f>
        <v/>
      </c>
      <c r="M107" s="6">
        <f>Summary!M107</f>
        <v/>
      </c>
      <c r="N107" s="6">
        <f>Summary!N107</f>
        <v/>
      </c>
      <c r="O107" s="6">
        <f>Summary!O107</f>
        <v/>
      </c>
      <c r="P107" s="6">
        <f>Summary!P107</f>
        <v/>
      </c>
      <c r="Q107" s="6">
        <f>Summary!Q107</f>
        <v/>
      </c>
      <c r="R107" s="6">
        <f>Summary!R107</f>
        <v/>
      </c>
      <c r="S107" s="6">
        <f>Summary!S107</f>
        <v/>
      </c>
      <c r="T107" s="6">
        <f>Summary!T107</f>
        <v/>
      </c>
      <c r="U107" s="6">
        <f>Summary!U107</f>
        <v/>
      </c>
      <c r="V107" s="6">
        <f>Summary!V107</f>
        <v/>
      </c>
      <c r="W107" s="6">
        <f>Summary!W107</f>
        <v/>
      </c>
      <c r="X107" s="6">
        <f>Summary!X107</f>
        <v/>
      </c>
      <c r="Y107" s="6">
        <f>Summary!Y107</f>
        <v/>
      </c>
      <c r="Z107" s="6">
        <f>Summary!Z107</f>
        <v/>
      </c>
      <c r="AA107" s="6">
        <f>Summary!AA107</f>
        <v/>
      </c>
      <c r="AB107" s="6">
        <f>SUM(D107:AA107)</f>
        <v/>
      </c>
      <c r="AC107" s="3" t="inlineStr"/>
      <c r="AD107" s="7">
        <f>F107*0.0004002+E107*0.0004002</f>
        <v/>
      </c>
      <c r="AE107" s="7">
        <f>G107*0.0004002+F107*0.0004002</f>
        <v/>
      </c>
      <c r="AF107" s="7">
        <f>H107*0.0004002+G107*0.0004002</f>
        <v/>
      </c>
      <c r="AG107" s="7">
        <f>I107*0.0004002+H107*0.0004002</f>
        <v/>
      </c>
      <c r="AH107" s="7">
        <f>J107*0.0004002+I107*0.0004002</f>
        <v/>
      </c>
      <c r="AI107" s="7">
        <f>K107*0.0004002+J107*0.0004002</f>
        <v/>
      </c>
      <c r="AJ107" s="7">
        <f>L107*0.0004002+K107*0.0004002</f>
        <v/>
      </c>
      <c r="AK107" s="7">
        <f>M107*0.0004002+L107*0.0004002</f>
        <v/>
      </c>
      <c r="AL107" s="7">
        <f>N107*0.0004002+M107*0.0004002</f>
        <v/>
      </c>
      <c r="AM107" s="7">
        <f>O107*0.0004002+N107*0.0004002</f>
        <v/>
      </c>
      <c r="AN107" s="7">
        <f>P107*0.0004002+O107*0.0004002</f>
        <v/>
      </c>
      <c r="AO107" s="7">
        <f>Q107*0.0004002+P107*0.0004002</f>
        <v/>
      </c>
      <c r="AP107" s="7">
        <f>R107*0.0004002+Q107*0.0004002</f>
        <v/>
      </c>
      <c r="AQ107" s="7">
        <f>S107*0.0004002+R107*0.0004002</f>
        <v/>
      </c>
      <c r="AR107" s="7">
        <f>T107*0.0004002+S107*0.0004002</f>
        <v/>
      </c>
      <c r="AS107" s="7">
        <f>U107*0.0004002+T107*0.0004002</f>
        <v/>
      </c>
      <c r="AT107" s="7">
        <f>V107*0.0004002+U107*0.0004002</f>
        <v/>
      </c>
      <c r="AU107" s="7">
        <f>W107*0.0004002+V107*0.0004002</f>
        <v/>
      </c>
      <c r="AV107" s="7">
        <f>X107*0.0004002+W107*0.0004002</f>
        <v/>
      </c>
      <c r="AW107" s="7">
        <f>Y107*0.0004002+X107*0.0004002</f>
        <v/>
      </c>
      <c r="AX107" s="7">
        <f>Z107*0.0004002+Y107*0.0004002</f>
        <v/>
      </c>
      <c r="AY107" s="7">
        <f>AA107*0.0004002+Z107*0.0004002</f>
        <v/>
      </c>
      <c r="AZ107" s="7">
        <f>D107*0.0004002+AA107*0.0004002</f>
        <v/>
      </c>
      <c r="BA107" s="7">
        <f>E107*0.0004002+D107*0.0004002</f>
        <v/>
      </c>
      <c r="BB107" s="7">
        <f>SUM(AD107:BA107)</f>
        <v/>
      </c>
    </row>
    <row r="108">
      <c r="A108" t="inlineStr">
        <is>
          <t>AMD-RTS-RCLS-1302-SSC_2</t>
        </is>
      </c>
      <c r="B108" t="inlineStr">
        <is>
          <t>Rev OSC</t>
        </is>
      </c>
      <c r="C108" s="5" t="n">
        <v>46100</v>
      </c>
      <c r="D108" s="6">
        <f>Summary!D108</f>
        <v/>
      </c>
      <c r="E108" s="6">
        <f>Summary!E108</f>
        <v/>
      </c>
      <c r="F108" s="6">
        <f>Summary!F108</f>
        <v/>
      </c>
      <c r="G108" s="6">
        <f>Summary!G108</f>
        <v/>
      </c>
      <c r="H108" s="6">
        <f>Summary!H108</f>
        <v/>
      </c>
      <c r="I108" s="6">
        <f>Summary!I108</f>
        <v/>
      </c>
      <c r="J108" s="6">
        <f>Summary!J108</f>
        <v/>
      </c>
      <c r="K108" s="6">
        <f>Summary!K108</f>
        <v/>
      </c>
      <c r="L108" s="6">
        <f>Summary!L108</f>
        <v/>
      </c>
      <c r="M108" s="6">
        <f>Summary!M108</f>
        <v/>
      </c>
      <c r="N108" s="6">
        <f>Summary!N108</f>
        <v/>
      </c>
      <c r="O108" s="6">
        <f>Summary!O108</f>
        <v/>
      </c>
      <c r="P108" s="6">
        <f>Summary!P108</f>
        <v/>
      </c>
      <c r="Q108" s="6">
        <f>Summary!Q108</f>
        <v/>
      </c>
      <c r="R108" s="6">
        <f>Summary!R108</f>
        <v/>
      </c>
      <c r="S108" s="6">
        <f>Summary!S108</f>
        <v/>
      </c>
      <c r="T108" s="6">
        <f>Summary!T108</f>
        <v/>
      </c>
      <c r="U108" s="6">
        <f>Summary!U108</f>
        <v/>
      </c>
      <c r="V108" s="6">
        <f>Summary!V108</f>
        <v/>
      </c>
      <c r="W108" s="6">
        <f>Summary!W108</f>
        <v/>
      </c>
      <c r="X108" s="6">
        <f>Summary!X108</f>
        <v/>
      </c>
      <c r="Y108" s="6">
        <f>Summary!Y108</f>
        <v/>
      </c>
      <c r="Z108" s="6">
        <f>Summary!Z108</f>
        <v/>
      </c>
      <c r="AA108" s="6">
        <f>Summary!AA108</f>
        <v/>
      </c>
      <c r="AB108" s="6">
        <f>SUM(D108:AA108)</f>
        <v/>
      </c>
      <c r="AC108" s="3" t="inlineStr"/>
      <c r="AD108" s="7">
        <f>F108*0.0004002+E108*0.0004002</f>
        <v/>
      </c>
      <c r="AE108" s="7">
        <f>G108*0.0004002+F108*0.0004002</f>
        <v/>
      </c>
      <c r="AF108" s="7">
        <f>H108*0.0004002+G108*0.0004002</f>
        <v/>
      </c>
      <c r="AG108" s="7">
        <f>I108*0.0004002+H108*0.0004002</f>
        <v/>
      </c>
      <c r="AH108" s="7">
        <f>J108*0.0004002+I108*0.0004002</f>
        <v/>
      </c>
      <c r="AI108" s="7">
        <f>K108*0.0004002+J108*0.0004002</f>
        <v/>
      </c>
      <c r="AJ108" s="7">
        <f>L108*0.0004002+K108*0.0004002</f>
        <v/>
      </c>
      <c r="AK108" s="7">
        <f>M108*0.0004002+L108*0.0004002</f>
        <v/>
      </c>
      <c r="AL108" s="7">
        <f>N108*0.0004002+M108*0.0004002</f>
        <v/>
      </c>
      <c r="AM108" s="7">
        <f>O108*0.0004002+N108*0.0004002</f>
        <v/>
      </c>
      <c r="AN108" s="7">
        <f>P108*0.0004002+O108*0.0004002</f>
        <v/>
      </c>
      <c r="AO108" s="7">
        <f>Q108*0.0004002+P108*0.0004002</f>
        <v/>
      </c>
      <c r="AP108" s="7">
        <f>R108*0.0004002+Q108*0.0004002</f>
        <v/>
      </c>
      <c r="AQ108" s="7">
        <f>S108*0.0004002+R108*0.0004002</f>
        <v/>
      </c>
      <c r="AR108" s="7">
        <f>T108*0.0004002+S108*0.0004002</f>
        <v/>
      </c>
      <c r="AS108" s="7">
        <f>U108*0.0004002+T108*0.0004002</f>
        <v/>
      </c>
      <c r="AT108" s="7">
        <f>V108*0.0004002+U108*0.0004002</f>
        <v/>
      </c>
      <c r="AU108" s="7">
        <f>W108*0.0004002+V108*0.0004002</f>
        <v/>
      </c>
      <c r="AV108" s="7">
        <f>X108*0.0004002+W108*0.0004002</f>
        <v/>
      </c>
      <c r="AW108" s="7">
        <f>Y108*0.0004002+X108*0.0004002</f>
        <v/>
      </c>
      <c r="AX108" s="7">
        <f>Z108*0.0004002+Y108*0.0004002</f>
        <v/>
      </c>
      <c r="AY108" s="7">
        <f>AA108*0.0004002+Z108*0.0004002</f>
        <v/>
      </c>
      <c r="AZ108" s="7">
        <f>D108*0.0004002+AA108*0.0004002</f>
        <v/>
      </c>
      <c r="BA108" s="7">
        <f>E108*0.0004002+D108*0.0004002</f>
        <v/>
      </c>
      <c r="BB108" s="7">
        <f>SUM(AD108:BA108)</f>
        <v/>
      </c>
    </row>
    <row r="109">
      <c r="A109" t="inlineStr">
        <is>
          <t>AMD-RTS-RCLS-1302-SSC_2</t>
        </is>
      </c>
      <c r="B109" t="inlineStr">
        <is>
          <t>Rev OSC</t>
        </is>
      </c>
      <c r="C109" s="5" t="n">
        <v>46102</v>
      </c>
      <c r="D109" s="6">
        <f>Summary!D109</f>
        <v/>
      </c>
      <c r="E109" s="6">
        <f>Summary!E109</f>
        <v/>
      </c>
      <c r="F109" s="6">
        <f>Summary!F109</f>
        <v/>
      </c>
      <c r="G109" s="6">
        <f>Summary!G109</f>
        <v/>
      </c>
      <c r="H109" s="6">
        <f>Summary!H109</f>
        <v/>
      </c>
      <c r="I109" s="6">
        <f>Summary!I109</f>
        <v/>
      </c>
      <c r="J109" s="6">
        <f>Summary!J109</f>
        <v/>
      </c>
      <c r="K109" s="6">
        <f>Summary!K109</f>
        <v/>
      </c>
      <c r="L109" s="6">
        <f>Summary!L109</f>
        <v/>
      </c>
      <c r="M109" s="6">
        <f>Summary!M109</f>
        <v/>
      </c>
      <c r="N109" s="6">
        <f>Summary!N109</f>
        <v/>
      </c>
      <c r="O109" s="6">
        <f>Summary!O109</f>
        <v/>
      </c>
      <c r="P109" s="6">
        <f>Summary!P109</f>
        <v/>
      </c>
      <c r="Q109" s="6">
        <f>Summary!Q109</f>
        <v/>
      </c>
      <c r="R109" s="6">
        <f>Summary!R109</f>
        <v/>
      </c>
      <c r="S109" s="6">
        <f>Summary!S109</f>
        <v/>
      </c>
      <c r="T109" s="6">
        <f>Summary!T109</f>
        <v/>
      </c>
      <c r="U109" s="6">
        <f>Summary!U109</f>
        <v/>
      </c>
      <c r="V109" s="6">
        <f>Summary!V109</f>
        <v/>
      </c>
      <c r="W109" s="6">
        <f>Summary!W109</f>
        <v/>
      </c>
      <c r="X109" s="6">
        <f>Summary!X109</f>
        <v/>
      </c>
      <c r="Y109" s="6">
        <f>Summary!Y109</f>
        <v/>
      </c>
      <c r="Z109" s="6">
        <f>Summary!Z109</f>
        <v/>
      </c>
      <c r="AA109" s="6">
        <f>Summary!AA109</f>
        <v/>
      </c>
      <c r="AB109" s="6">
        <f>SUM(D109:AA109)</f>
        <v/>
      </c>
      <c r="AC109" s="3" t="inlineStr"/>
      <c r="AD109" s="7">
        <f>F109*0.0004002+E109*0.0004002</f>
        <v/>
      </c>
      <c r="AE109" s="7">
        <f>G109*0.0004002+F109*0.0004002</f>
        <v/>
      </c>
      <c r="AF109" s="7">
        <f>H109*0.0004002+G109*0.0004002</f>
        <v/>
      </c>
      <c r="AG109" s="7">
        <f>I109*0.0004002+H109*0.0004002</f>
        <v/>
      </c>
      <c r="AH109" s="7">
        <f>J109*0.0004002+I109*0.0004002</f>
        <v/>
      </c>
      <c r="AI109" s="7">
        <f>K109*0.0004002+J109*0.0004002</f>
        <v/>
      </c>
      <c r="AJ109" s="7">
        <f>L109*0.0004002+K109*0.0004002</f>
        <v/>
      </c>
      <c r="AK109" s="7">
        <f>M109*0.0004002+L109*0.0004002</f>
        <v/>
      </c>
      <c r="AL109" s="7">
        <f>N109*0.0004002+M109*0.0004002</f>
        <v/>
      </c>
      <c r="AM109" s="7">
        <f>O109*0.0004002+N109*0.0004002</f>
        <v/>
      </c>
      <c r="AN109" s="7">
        <f>P109*0.0004002+O109*0.0004002</f>
        <v/>
      </c>
      <c r="AO109" s="7">
        <f>Q109*0.0004002+P109*0.0004002</f>
        <v/>
      </c>
      <c r="AP109" s="7">
        <f>R109*0.0004002+Q109*0.0004002</f>
        <v/>
      </c>
      <c r="AQ109" s="7">
        <f>S109*0.0004002+R109*0.0004002</f>
        <v/>
      </c>
      <c r="AR109" s="7">
        <f>T109*0.0004002+S109*0.0004002</f>
        <v/>
      </c>
      <c r="AS109" s="7">
        <f>U109*0.0004002+T109*0.0004002</f>
        <v/>
      </c>
      <c r="AT109" s="7">
        <f>V109*0.0004002+U109*0.0004002</f>
        <v/>
      </c>
      <c r="AU109" s="7">
        <f>W109*0.0004002+V109*0.0004002</f>
        <v/>
      </c>
      <c r="AV109" s="7">
        <f>X109*0.0004002+W109*0.0004002</f>
        <v/>
      </c>
      <c r="AW109" s="7">
        <f>Y109*0.0004002+X109*0.0004002</f>
        <v/>
      </c>
      <c r="AX109" s="7">
        <f>Z109*0.0004002+Y109*0.0004002</f>
        <v/>
      </c>
      <c r="AY109" s="7">
        <f>AA109*0.0004002+Z109*0.0004002</f>
        <v/>
      </c>
      <c r="AZ109" s="7">
        <f>D109*0.0004002+AA109*0.0004002</f>
        <v/>
      </c>
      <c r="BA109" s="7">
        <f>E109*0.0004002+D109*0.0004002</f>
        <v/>
      </c>
      <c r="BB109" s="7">
        <f>SUM(AD109:BA109)</f>
        <v/>
      </c>
    </row>
    <row r="110">
      <c r="A110" t="inlineStr">
        <is>
          <t>AMD-RTS-RCLS-1302-SSC_2</t>
        </is>
      </c>
      <c r="B110" t="inlineStr">
        <is>
          <t>Rev OSC</t>
        </is>
      </c>
      <c r="C110" s="5" t="n">
        <v>46104</v>
      </c>
      <c r="D110" s="6">
        <f>Summary!D110</f>
        <v/>
      </c>
      <c r="E110" s="6">
        <f>Summary!E110</f>
        <v/>
      </c>
      <c r="F110" s="6">
        <f>Summary!F110</f>
        <v/>
      </c>
      <c r="G110" s="6">
        <f>Summary!G110</f>
        <v/>
      </c>
      <c r="H110" s="6">
        <f>Summary!H110</f>
        <v/>
      </c>
      <c r="I110" s="6">
        <f>Summary!I110</f>
        <v/>
      </c>
      <c r="J110" s="6">
        <f>Summary!J110</f>
        <v/>
      </c>
      <c r="K110" s="6">
        <f>Summary!K110</f>
        <v/>
      </c>
      <c r="L110" s="6">
        <f>Summary!L110</f>
        <v/>
      </c>
      <c r="M110" s="6">
        <f>Summary!M110</f>
        <v/>
      </c>
      <c r="N110" s="6">
        <f>Summary!N110</f>
        <v/>
      </c>
      <c r="O110" s="6">
        <f>Summary!O110</f>
        <v/>
      </c>
      <c r="P110" s="6">
        <f>Summary!P110</f>
        <v/>
      </c>
      <c r="Q110" s="6">
        <f>Summary!Q110</f>
        <v/>
      </c>
      <c r="R110" s="6">
        <f>Summary!R110</f>
        <v/>
      </c>
      <c r="S110" s="6">
        <f>Summary!S110</f>
        <v/>
      </c>
      <c r="T110" s="6">
        <f>Summary!T110</f>
        <v/>
      </c>
      <c r="U110" s="6">
        <f>Summary!U110</f>
        <v/>
      </c>
      <c r="V110" s="6">
        <f>Summary!V110</f>
        <v/>
      </c>
      <c r="W110" s="6">
        <f>Summary!W110</f>
        <v/>
      </c>
      <c r="X110" s="6">
        <f>Summary!X110</f>
        <v/>
      </c>
      <c r="Y110" s="6">
        <f>Summary!Y110</f>
        <v/>
      </c>
      <c r="Z110" s="6">
        <f>Summary!Z110</f>
        <v/>
      </c>
      <c r="AA110" s="6">
        <f>Summary!AA110</f>
        <v/>
      </c>
      <c r="AB110" s="6">
        <f>SUM(D110:AA110)</f>
        <v/>
      </c>
      <c r="AC110" s="3" t="inlineStr"/>
      <c r="AD110" s="7">
        <f>F110*0.0004002+E110*0.0004002</f>
        <v/>
      </c>
      <c r="AE110" s="7">
        <f>G110*0.0004002+F110*0.0004002</f>
        <v/>
      </c>
      <c r="AF110" s="7">
        <f>H110*0.0004002+G110*0.0004002</f>
        <v/>
      </c>
      <c r="AG110" s="7">
        <f>I110*0.0004002+H110*0.0004002</f>
        <v/>
      </c>
      <c r="AH110" s="7">
        <f>J110*0.0004002+I110*0.0004002</f>
        <v/>
      </c>
      <c r="AI110" s="7">
        <f>K110*0.0004002+J110*0.0004002</f>
        <v/>
      </c>
      <c r="AJ110" s="7">
        <f>L110*0.0004002+K110*0.0004002</f>
        <v/>
      </c>
      <c r="AK110" s="7">
        <f>M110*0.0004002+L110*0.0004002</f>
        <v/>
      </c>
      <c r="AL110" s="7">
        <f>N110*0.0004002+M110*0.0004002</f>
        <v/>
      </c>
      <c r="AM110" s="7">
        <f>O110*0.0004002+N110*0.0004002</f>
        <v/>
      </c>
      <c r="AN110" s="7">
        <f>P110*0.0004002+O110*0.0004002</f>
        <v/>
      </c>
      <c r="AO110" s="7">
        <f>Q110*0.0004002+P110*0.0004002</f>
        <v/>
      </c>
      <c r="AP110" s="7">
        <f>R110*0.0004002+Q110*0.0004002</f>
        <v/>
      </c>
      <c r="AQ110" s="7">
        <f>S110*0.0004002+R110*0.0004002</f>
        <v/>
      </c>
      <c r="AR110" s="7">
        <f>T110*0.0004002+S110*0.0004002</f>
        <v/>
      </c>
      <c r="AS110" s="7">
        <f>U110*0.0004002+T110*0.0004002</f>
        <v/>
      </c>
      <c r="AT110" s="7">
        <f>V110*0.0004002+U110*0.0004002</f>
        <v/>
      </c>
      <c r="AU110" s="7">
        <f>W110*0.0004002+V110*0.0004002</f>
        <v/>
      </c>
      <c r="AV110" s="7">
        <f>X110*0.0004002+W110*0.0004002</f>
        <v/>
      </c>
      <c r="AW110" s="7">
        <f>Y110*0.0004002+X110*0.0004002</f>
        <v/>
      </c>
      <c r="AX110" s="7">
        <f>Z110*0.0004002+Y110*0.0004002</f>
        <v/>
      </c>
      <c r="AY110" s="7">
        <f>AA110*0.0004002+Z110*0.0004002</f>
        <v/>
      </c>
      <c r="AZ110" s="7">
        <f>D110*0.0004002+AA110*0.0004002</f>
        <v/>
      </c>
      <c r="BA110" s="7">
        <f>E110*0.0004002+D110*0.0004002</f>
        <v/>
      </c>
      <c r="BB110" s="7">
        <f>SUM(AD110:BA110)</f>
        <v/>
      </c>
    </row>
    <row r="111">
      <c r="A111" t="inlineStr">
        <is>
          <t>DC-10-1</t>
        </is>
      </c>
      <c r="B111" t="inlineStr">
        <is>
          <t>DSC Manual</t>
        </is>
      </c>
      <c r="C111" s="5" t="n">
        <v>46089</v>
      </c>
      <c r="D111" s="6">
        <f>Summary!D111</f>
        <v/>
      </c>
      <c r="E111" s="6">
        <f>Summary!E111</f>
        <v/>
      </c>
      <c r="F111" s="6">
        <f>Summary!F111</f>
        <v/>
      </c>
      <c r="G111" s="6">
        <f>Summary!G111</f>
        <v/>
      </c>
      <c r="H111" s="6">
        <f>Summary!H111</f>
        <v/>
      </c>
      <c r="I111" s="6">
        <f>Summary!I111</f>
        <v/>
      </c>
      <c r="J111" s="6">
        <f>Summary!J111</f>
        <v/>
      </c>
      <c r="K111" s="6">
        <f>Summary!K111</f>
        <v/>
      </c>
      <c r="L111" s="6">
        <f>Summary!L111</f>
        <v/>
      </c>
      <c r="M111" s="6">
        <f>Summary!M111</f>
        <v/>
      </c>
      <c r="N111" s="6">
        <f>Summary!N111</f>
        <v/>
      </c>
      <c r="O111" s="6">
        <f>Summary!O111</f>
        <v/>
      </c>
      <c r="P111" s="6">
        <f>Summary!P111</f>
        <v/>
      </c>
      <c r="Q111" s="6">
        <f>Summary!Q111</f>
        <v/>
      </c>
      <c r="R111" s="6">
        <f>Summary!R111</f>
        <v/>
      </c>
      <c r="S111" s="6">
        <f>Summary!S111</f>
        <v/>
      </c>
      <c r="T111" s="6">
        <f>Summary!T111</f>
        <v/>
      </c>
      <c r="U111" s="6">
        <f>Summary!U111</f>
        <v/>
      </c>
      <c r="V111" s="6">
        <f>Summary!V111</f>
        <v/>
      </c>
      <c r="W111" s="6">
        <f>Summary!W111</f>
        <v/>
      </c>
      <c r="X111" s="6">
        <f>Summary!X111</f>
        <v/>
      </c>
      <c r="Y111" s="6">
        <f>Summary!Y111</f>
        <v/>
      </c>
      <c r="Z111" s="6">
        <f>Summary!Z111</f>
        <v/>
      </c>
      <c r="AA111" s="6">
        <f>Summary!AA111</f>
        <v/>
      </c>
      <c r="AB111" s="6">
        <f>SUM(D111:AA111)</f>
        <v/>
      </c>
      <c r="AC111" s="3" t="inlineStr"/>
      <c r="AD111" s="7">
        <f>F111*0.0004002+E111*0.0004002</f>
        <v/>
      </c>
      <c r="AE111" s="7">
        <f>G111*0.0004002+F111*0.0004002</f>
        <v/>
      </c>
      <c r="AF111" s="7">
        <f>H111*0.0004002+G111*0.0004002</f>
        <v/>
      </c>
      <c r="AG111" s="7">
        <f>I111*0.0004002+H111*0.0004002</f>
        <v/>
      </c>
      <c r="AH111" s="7">
        <f>J111*0.0004002+I111*0.0004002</f>
        <v/>
      </c>
      <c r="AI111" s="7">
        <f>K111*0.0004002+J111*0.0004002</f>
        <v/>
      </c>
      <c r="AJ111" s="7">
        <f>L111*0.0004002+K111*0.0004002</f>
        <v/>
      </c>
      <c r="AK111" s="7">
        <f>M111*0.0004002+L111*0.0004002</f>
        <v/>
      </c>
      <c r="AL111" s="7">
        <f>N111*0.0004002+M111*0.0004002</f>
        <v/>
      </c>
      <c r="AM111" s="7">
        <f>O111*0.0004002+N111*0.0004002</f>
        <v/>
      </c>
      <c r="AN111" s="7">
        <f>P111*0.0004002+O111*0.0004002</f>
        <v/>
      </c>
      <c r="AO111" s="7">
        <f>Q111*0.0004002+P111*0.0004002</f>
        <v/>
      </c>
      <c r="AP111" s="7">
        <f>R111*0.0004002+Q111*0.0004002</f>
        <v/>
      </c>
      <c r="AQ111" s="7">
        <f>S111*0.0004002+R111*0.0004002</f>
        <v/>
      </c>
      <c r="AR111" s="7">
        <f>T111*0.0004002+S111*0.0004002</f>
        <v/>
      </c>
      <c r="AS111" s="7">
        <f>U111*0.0004002+T111*0.0004002</f>
        <v/>
      </c>
      <c r="AT111" s="7">
        <f>V111*0.0004002+U111*0.0004002</f>
        <v/>
      </c>
      <c r="AU111" s="7">
        <f>W111*0.0004002+V111*0.0004002</f>
        <v/>
      </c>
      <c r="AV111" s="7">
        <f>X111*0.0004002+W111*0.0004002</f>
        <v/>
      </c>
      <c r="AW111" s="7">
        <f>Y111*0.0004002+X111*0.0004002</f>
        <v/>
      </c>
      <c r="AX111" s="7">
        <f>Z111*0.0004002+Y111*0.0004002</f>
        <v/>
      </c>
      <c r="AY111" s="7">
        <f>AA111*0.0004002+Z111*0.0004002</f>
        <v/>
      </c>
      <c r="AZ111" s="7">
        <f>D111*0.0004002+AA111*0.0004002</f>
        <v/>
      </c>
      <c r="BA111" s="7">
        <f>E111*0.0004002+D111*0.0004002</f>
        <v/>
      </c>
      <c r="BB111" s="7">
        <f>SUM(AD111:BA111)</f>
        <v/>
      </c>
    </row>
    <row r="112">
      <c r="A112" t="inlineStr">
        <is>
          <t>DC-10-1</t>
        </is>
      </c>
      <c r="B112" t="inlineStr">
        <is>
          <t>DSC Manual</t>
        </is>
      </c>
      <c r="C112" s="5" t="n">
        <v>46090</v>
      </c>
      <c r="D112" s="6">
        <f>Summary!D112</f>
        <v/>
      </c>
      <c r="E112" s="6">
        <f>Summary!E112</f>
        <v/>
      </c>
      <c r="F112" s="6">
        <f>Summary!F112</f>
        <v/>
      </c>
      <c r="G112" s="6">
        <f>Summary!G112</f>
        <v/>
      </c>
      <c r="H112" s="6">
        <f>Summary!H112</f>
        <v/>
      </c>
      <c r="I112" s="6">
        <f>Summary!I112</f>
        <v/>
      </c>
      <c r="J112" s="6">
        <f>Summary!J112</f>
        <v/>
      </c>
      <c r="K112" s="6">
        <f>Summary!K112</f>
        <v/>
      </c>
      <c r="L112" s="6">
        <f>Summary!L112</f>
        <v/>
      </c>
      <c r="M112" s="6">
        <f>Summary!M112</f>
        <v/>
      </c>
      <c r="N112" s="6">
        <f>Summary!N112</f>
        <v/>
      </c>
      <c r="O112" s="6">
        <f>Summary!O112</f>
        <v/>
      </c>
      <c r="P112" s="6">
        <f>Summary!P112</f>
        <v/>
      </c>
      <c r="Q112" s="6">
        <f>Summary!Q112</f>
        <v/>
      </c>
      <c r="R112" s="6">
        <f>Summary!R112</f>
        <v/>
      </c>
      <c r="S112" s="6">
        <f>Summary!S112</f>
        <v/>
      </c>
      <c r="T112" s="6">
        <f>Summary!T112</f>
        <v/>
      </c>
      <c r="U112" s="6">
        <f>Summary!U112</f>
        <v/>
      </c>
      <c r="V112" s="6">
        <f>Summary!V112</f>
        <v/>
      </c>
      <c r="W112" s="6">
        <f>Summary!W112</f>
        <v/>
      </c>
      <c r="X112" s="6">
        <f>Summary!X112</f>
        <v/>
      </c>
      <c r="Y112" s="6">
        <f>Summary!Y112</f>
        <v/>
      </c>
      <c r="Z112" s="6">
        <f>Summary!Z112</f>
        <v/>
      </c>
      <c r="AA112" s="6">
        <f>Summary!AA112</f>
        <v/>
      </c>
      <c r="AB112" s="6">
        <f>SUM(D112:AA112)</f>
        <v/>
      </c>
      <c r="AC112" s="3" t="inlineStr"/>
      <c r="AD112" s="7">
        <f>F112*0.0004002+E112*0.0004002</f>
        <v/>
      </c>
      <c r="AE112" s="7">
        <f>G112*0.0004002+F112*0.0004002</f>
        <v/>
      </c>
      <c r="AF112" s="7">
        <f>H112*0.0004002+G112*0.0004002</f>
        <v/>
      </c>
      <c r="AG112" s="7">
        <f>I112*0.0004002+H112*0.0004002</f>
        <v/>
      </c>
      <c r="AH112" s="7">
        <f>J112*0.0004002+I112*0.0004002</f>
        <v/>
      </c>
      <c r="AI112" s="7">
        <f>K112*0.0004002+J112*0.0004002</f>
        <v/>
      </c>
      <c r="AJ112" s="7">
        <f>L112*0.0004002+K112*0.0004002</f>
        <v/>
      </c>
      <c r="AK112" s="7">
        <f>M112*0.0004002+L112*0.0004002</f>
        <v/>
      </c>
      <c r="AL112" s="7">
        <f>N112*0.0004002+M112*0.0004002</f>
        <v/>
      </c>
      <c r="AM112" s="7">
        <f>O112*0.0004002+N112*0.0004002</f>
        <v/>
      </c>
      <c r="AN112" s="7">
        <f>P112*0.0004002+O112*0.0004002</f>
        <v/>
      </c>
      <c r="AO112" s="7">
        <f>Q112*0.0004002+P112*0.0004002</f>
        <v/>
      </c>
      <c r="AP112" s="7">
        <f>R112*0.0004002+Q112*0.0004002</f>
        <v/>
      </c>
      <c r="AQ112" s="7">
        <f>S112*0.0004002+R112*0.0004002</f>
        <v/>
      </c>
      <c r="AR112" s="7">
        <f>T112*0.0004002+S112*0.0004002</f>
        <v/>
      </c>
      <c r="AS112" s="7">
        <f>U112*0.0004002+T112*0.0004002</f>
        <v/>
      </c>
      <c r="AT112" s="7">
        <f>V112*0.0004002+U112*0.0004002</f>
        <v/>
      </c>
      <c r="AU112" s="7">
        <f>W112*0.0004002+V112*0.0004002</f>
        <v/>
      </c>
      <c r="AV112" s="7">
        <f>X112*0.0004002+W112*0.0004002</f>
        <v/>
      </c>
      <c r="AW112" s="7">
        <f>Y112*0.0004002+X112*0.0004002</f>
        <v/>
      </c>
      <c r="AX112" s="7">
        <f>Z112*0.0004002+Y112*0.0004002</f>
        <v/>
      </c>
      <c r="AY112" s="7">
        <f>AA112*0.0004002+Z112*0.0004002</f>
        <v/>
      </c>
      <c r="AZ112" s="7">
        <f>D112*0.0004002+AA112*0.0004002</f>
        <v/>
      </c>
      <c r="BA112" s="7">
        <f>E112*0.0004002+D112*0.0004002</f>
        <v/>
      </c>
      <c r="BB112" s="7">
        <f>SUM(AD112:BA112)</f>
        <v/>
      </c>
    </row>
    <row r="113">
      <c r="A113" t="inlineStr">
        <is>
          <t>DC-10-1</t>
        </is>
      </c>
      <c r="B113" t="inlineStr">
        <is>
          <t>DSC Manual</t>
        </is>
      </c>
      <c r="C113" s="5" t="n">
        <v>46091</v>
      </c>
      <c r="D113" s="6">
        <f>Summary!D113</f>
        <v/>
      </c>
      <c r="E113" s="6">
        <f>Summary!E113</f>
        <v/>
      </c>
      <c r="F113" s="6">
        <f>Summary!F113</f>
        <v/>
      </c>
      <c r="G113" s="6">
        <f>Summary!G113</f>
        <v/>
      </c>
      <c r="H113" s="6">
        <f>Summary!H113</f>
        <v/>
      </c>
      <c r="I113" s="6">
        <f>Summary!I113</f>
        <v/>
      </c>
      <c r="J113" s="6">
        <f>Summary!J113</f>
        <v/>
      </c>
      <c r="K113" s="6">
        <f>Summary!K113</f>
        <v/>
      </c>
      <c r="L113" s="6">
        <f>Summary!L113</f>
        <v/>
      </c>
      <c r="M113" s="6">
        <f>Summary!M113</f>
        <v/>
      </c>
      <c r="N113" s="6">
        <f>Summary!N113</f>
        <v/>
      </c>
      <c r="O113" s="6">
        <f>Summary!O113</f>
        <v/>
      </c>
      <c r="P113" s="6">
        <f>Summary!P113</f>
        <v/>
      </c>
      <c r="Q113" s="6">
        <f>Summary!Q113</f>
        <v/>
      </c>
      <c r="R113" s="6">
        <f>Summary!R113</f>
        <v/>
      </c>
      <c r="S113" s="6">
        <f>Summary!S113</f>
        <v/>
      </c>
      <c r="T113" s="6">
        <f>Summary!T113</f>
        <v/>
      </c>
      <c r="U113" s="6">
        <f>Summary!U113</f>
        <v/>
      </c>
      <c r="V113" s="6">
        <f>Summary!V113</f>
        <v/>
      </c>
      <c r="W113" s="6">
        <f>Summary!W113</f>
        <v/>
      </c>
      <c r="X113" s="6">
        <f>Summary!X113</f>
        <v/>
      </c>
      <c r="Y113" s="6">
        <f>Summary!Y113</f>
        <v/>
      </c>
      <c r="Z113" s="6">
        <f>Summary!Z113</f>
        <v/>
      </c>
      <c r="AA113" s="6">
        <f>Summary!AA113</f>
        <v/>
      </c>
      <c r="AB113" s="6">
        <f>SUM(D113:AA113)</f>
        <v/>
      </c>
      <c r="AC113" s="3" t="inlineStr"/>
      <c r="AD113" s="7">
        <f>F113*0.0004002+E113*0.0004002</f>
        <v/>
      </c>
      <c r="AE113" s="7">
        <f>G113*0.0004002+F113*0.0004002</f>
        <v/>
      </c>
      <c r="AF113" s="7">
        <f>H113*0.0004002+G113*0.0004002</f>
        <v/>
      </c>
      <c r="AG113" s="7">
        <f>I113*0.0004002+H113*0.0004002</f>
        <v/>
      </c>
      <c r="AH113" s="7">
        <f>J113*0.0004002+I113*0.0004002</f>
        <v/>
      </c>
      <c r="AI113" s="7">
        <f>K113*0.0004002+J113*0.0004002</f>
        <v/>
      </c>
      <c r="AJ113" s="7">
        <f>L113*0.0004002+K113*0.0004002</f>
        <v/>
      </c>
      <c r="AK113" s="7">
        <f>M113*0.0004002+L113*0.0004002</f>
        <v/>
      </c>
      <c r="AL113" s="7">
        <f>N113*0.0004002+M113*0.0004002</f>
        <v/>
      </c>
      <c r="AM113" s="7">
        <f>O113*0.0004002+N113*0.0004002</f>
        <v/>
      </c>
      <c r="AN113" s="7">
        <f>P113*0.0004002+O113*0.0004002</f>
        <v/>
      </c>
      <c r="AO113" s="7">
        <f>Q113*0.0004002+P113*0.0004002</f>
        <v/>
      </c>
      <c r="AP113" s="7">
        <f>R113*0.0004002+Q113*0.0004002</f>
        <v/>
      </c>
      <c r="AQ113" s="7">
        <f>S113*0.0004002+R113*0.0004002</f>
        <v/>
      </c>
      <c r="AR113" s="7">
        <f>T113*0.0004002+S113*0.0004002</f>
        <v/>
      </c>
      <c r="AS113" s="7">
        <f>U113*0.0004002+T113*0.0004002</f>
        <v/>
      </c>
      <c r="AT113" s="7">
        <f>V113*0.0004002+U113*0.0004002</f>
        <v/>
      </c>
      <c r="AU113" s="7">
        <f>W113*0.0004002+V113*0.0004002</f>
        <v/>
      </c>
      <c r="AV113" s="7">
        <f>X113*0.0004002+W113*0.0004002</f>
        <v/>
      </c>
      <c r="AW113" s="7">
        <f>Y113*0.0004002+X113*0.0004002</f>
        <v/>
      </c>
      <c r="AX113" s="7">
        <f>Z113*0.0004002+Y113*0.0004002</f>
        <v/>
      </c>
      <c r="AY113" s="7">
        <f>AA113*0.0004002+Z113*0.0004002</f>
        <v/>
      </c>
      <c r="AZ113" s="7">
        <f>D113*0.0004002+AA113*0.0004002</f>
        <v/>
      </c>
      <c r="BA113" s="7">
        <f>E113*0.0004002+D113*0.0004002</f>
        <v/>
      </c>
      <c r="BB113" s="7">
        <f>SUM(AD113:BA113)</f>
        <v/>
      </c>
    </row>
    <row r="114">
      <c r="A114" t="inlineStr">
        <is>
          <t>DC-10-1</t>
        </is>
      </c>
      <c r="B114" t="inlineStr">
        <is>
          <t>DSC Manual</t>
        </is>
      </c>
      <c r="C114" s="5" t="n">
        <v>46092</v>
      </c>
      <c r="D114" s="6">
        <f>Summary!D114</f>
        <v/>
      </c>
      <c r="E114" s="6">
        <f>Summary!E114</f>
        <v/>
      </c>
      <c r="F114" s="6">
        <f>Summary!F114</f>
        <v/>
      </c>
      <c r="G114" s="6">
        <f>Summary!G114</f>
        <v/>
      </c>
      <c r="H114" s="6">
        <f>Summary!H114</f>
        <v/>
      </c>
      <c r="I114" s="6">
        <f>Summary!I114</f>
        <v/>
      </c>
      <c r="J114" s="6">
        <f>Summary!J114</f>
        <v/>
      </c>
      <c r="K114" s="6">
        <f>Summary!K114</f>
        <v/>
      </c>
      <c r="L114" s="6">
        <f>Summary!L114</f>
        <v/>
      </c>
      <c r="M114" s="6">
        <f>Summary!M114</f>
        <v/>
      </c>
      <c r="N114" s="6">
        <f>Summary!N114</f>
        <v/>
      </c>
      <c r="O114" s="6">
        <f>Summary!O114</f>
        <v/>
      </c>
      <c r="P114" s="6">
        <f>Summary!P114</f>
        <v/>
      </c>
      <c r="Q114" s="6">
        <f>Summary!Q114</f>
        <v/>
      </c>
      <c r="R114" s="6">
        <f>Summary!R114</f>
        <v/>
      </c>
      <c r="S114" s="6">
        <f>Summary!S114</f>
        <v/>
      </c>
      <c r="T114" s="6">
        <f>Summary!T114</f>
        <v/>
      </c>
      <c r="U114" s="6">
        <f>Summary!U114</f>
        <v/>
      </c>
      <c r="V114" s="6">
        <f>Summary!V114</f>
        <v/>
      </c>
      <c r="W114" s="6">
        <f>Summary!W114</f>
        <v/>
      </c>
      <c r="X114" s="6">
        <f>Summary!X114</f>
        <v/>
      </c>
      <c r="Y114" s="6">
        <f>Summary!Y114</f>
        <v/>
      </c>
      <c r="Z114" s="6">
        <f>Summary!Z114</f>
        <v/>
      </c>
      <c r="AA114" s="6">
        <f>Summary!AA114</f>
        <v/>
      </c>
      <c r="AB114" s="6">
        <f>SUM(D114:AA114)</f>
        <v/>
      </c>
      <c r="AC114" s="3" t="inlineStr"/>
      <c r="AD114" s="7">
        <f>F114*0.0004002+E114*0.0004002</f>
        <v/>
      </c>
      <c r="AE114" s="7">
        <f>G114*0.0004002+F114*0.0004002</f>
        <v/>
      </c>
      <c r="AF114" s="7">
        <f>H114*0.0004002+G114*0.0004002</f>
        <v/>
      </c>
      <c r="AG114" s="7">
        <f>I114*0.0004002+H114*0.0004002</f>
        <v/>
      </c>
      <c r="AH114" s="7">
        <f>J114*0.0004002+I114*0.0004002</f>
        <v/>
      </c>
      <c r="AI114" s="7">
        <f>K114*0.0004002+J114*0.0004002</f>
        <v/>
      </c>
      <c r="AJ114" s="7">
        <f>L114*0.0004002+K114*0.0004002</f>
        <v/>
      </c>
      <c r="AK114" s="7">
        <f>M114*0.0004002+L114*0.0004002</f>
        <v/>
      </c>
      <c r="AL114" s="7">
        <f>N114*0.0004002+M114*0.0004002</f>
        <v/>
      </c>
      <c r="AM114" s="7">
        <f>O114*0.0004002+N114*0.0004002</f>
        <v/>
      </c>
      <c r="AN114" s="7">
        <f>P114*0.0004002+O114*0.0004002</f>
        <v/>
      </c>
      <c r="AO114" s="7">
        <f>Q114*0.0004002+P114*0.0004002</f>
        <v/>
      </c>
      <c r="AP114" s="7">
        <f>R114*0.0004002+Q114*0.0004002</f>
        <v/>
      </c>
      <c r="AQ114" s="7">
        <f>S114*0.0004002+R114*0.0004002</f>
        <v/>
      </c>
      <c r="AR114" s="7">
        <f>T114*0.0004002+S114*0.0004002</f>
        <v/>
      </c>
      <c r="AS114" s="7">
        <f>U114*0.0004002+T114*0.0004002</f>
        <v/>
      </c>
      <c r="AT114" s="7">
        <f>V114*0.0004002+U114*0.0004002</f>
        <v/>
      </c>
      <c r="AU114" s="7">
        <f>W114*0.0004002+V114*0.0004002</f>
        <v/>
      </c>
      <c r="AV114" s="7">
        <f>X114*0.0004002+W114*0.0004002</f>
        <v/>
      </c>
      <c r="AW114" s="7">
        <f>Y114*0.0004002+X114*0.0004002</f>
        <v/>
      </c>
      <c r="AX114" s="7">
        <f>Z114*0.0004002+Y114*0.0004002</f>
        <v/>
      </c>
      <c r="AY114" s="7">
        <f>AA114*0.0004002+Z114*0.0004002</f>
        <v/>
      </c>
      <c r="AZ114" s="7">
        <f>D114*0.0004002+AA114*0.0004002</f>
        <v/>
      </c>
      <c r="BA114" s="7">
        <f>E114*0.0004002+D114*0.0004002</f>
        <v/>
      </c>
      <c r="BB114" s="7">
        <f>SUM(AD114:BA114)</f>
        <v/>
      </c>
    </row>
    <row r="115">
      <c r="A115" t="inlineStr">
        <is>
          <t>DC-10-1</t>
        </is>
      </c>
      <c r="B115" t="inlineStr">
        <is>
          <t>DSC Manual</t>
        </is>
      </c>
      <c r="C115" s="5" t="n">
        <v>46093</v>
      </c>
      <c r="D115" s="6">
        <f>Summary!D115</f>
        <v/>
      </c>
      <c r="E115" s="6">
        <f>Summary!E115</f>
        <v/>
      </c>
      <c r="F115" s="6">
        <f>Summary!F115</f>
        <v/>
      </c>
      <c r="G115" s="6">
        <f>Summary!G115</f>
        <v/>
      </c>
      <c r="H115" s="6">
        <f>Summary!H115</f>
        <v/>
      </c>
      <c r="I115" s="6">
        <f>Summary!I115</f>
        <v/>
      </c>
      <c r="J115" s="6">
        <f>Summary!J115</f>
        <v/>
      </c>
      <c r="K115" s="6">
        <f>Summary!K115</f>
        <v/>
      </c>
      <c r="L115" s="6">
        <f>Summary!L115</f>
        <v/>
      </c>
      <c r="M115" s="6">
        <f>Summary!M115</f>
        <v/>
      </c>
      <c r="N115" s="6">
        <f>Summary!N115</f>
        <v/>
      </c>
      <c r="O115" s="6">
        <f>Summary!O115</f>
        <v/>
      </c>
      <c r="P115" s="6">
        <f>Summary!P115</f>
        <v/>
      </c>
      <c r="Q115" s="6">
        <f>Summary!Q115</f>
        <v/>
      </c>
      <c r="R115" s="6">
        <f>Summary!R115</f>
        <v/>
      </c>
      <c r="S115" s="6">
        <f>Summary!S115</f>
        <v/>
      </c>
      <c r="T115" s="6">
        <f>Summary!T115</f>
        <v/>
      </c>
      <c r="U115" s="6">
        <f>Summary!U115</f>
        <v/>
      </c>
      <c r="V115" s="6">
        <f>Summary!V115</f>
        <v/>
      </c>
      <c r="W115" s="6">
        <f>Summary!W115</f>
        <v/>
      </c>
      <c r="X115" s="6">
        <f>Summary!X115</f>
        <v/>
      </c>
      <c r="Y115" s="6">
        <f>Summary!Y115</f>
        <v/>
      </c>
      <c r="Z115" s="6">
        <f>Summary!Z115</f>
        <v/>
      </c>
      <c r="AA115" s="6">
        <f>Summary!AA115</f>
        <v/>
      </c>
      <c r="AB115" s="6">
        <f>SUM(D115:AA115)</f>
        <v/>
      </c>
      <c r="AC115" s="3" t="inlineStr"/>
      <c r="AD115" s="7">
        <f>F115*0.0004002+E115*0.0004002</f>
        <v/>
      </c>
      <c r="AE115" s="7">
        <f>G115*0.0004002+F115*0.0004002</f>
        <v/>
      </c>
      <c r="AF115" s="7">
        <f>H115*0.0004002+G115*0.0004002</f>
        <v/>
      </c>
      <c r="AG115" s="7">
        <f>I115*0.0004002+H115*0.0004002</f>
        <v/>
      </c>
      <c r="AH115" s="7">
        <f>J115*0.0004002+I115*0.0004002</f>
        <v/>
      </c>
      <c r="AI115" s="7">
        <f>K115*0.0004002+J115*0.0004002</f>
        <v/>
      </c>
      <c r="AJ115" s="7">
        <f>L115*0.0004002+K115*0.0004002</f>
        <v/>
      </c>
      <c r="AK115" s="7">
        <f>M115*0.0004002+L115*0.0004002</f>
        <v/>
      </c>
      <c r="AL115" s="7">
        <f>N115*0.0004002+M115*0.0004002</f>
        <v/>
      </c>
      <c r="AM115" s="7">
        <f>O115*0.0004002+N115*0.0004002</f>
        <v/>
      </c>
      <c r="AN115" s="7">
        <f>P115*0.0004002+O115*0.0004002</f>
        <v/>
      </c>
      <c r="AO115" s="7">
        <f>Q115*0.0004002+P115*0.0004002</f>
        <v/>
      </c>
      <c r="AP115" s="7">
        <f>R115*0.0004002+Q115*0.0004002</f>
        <v/>
      </c>
      <c r="AQ115" s="7">
        <f>S115*0.0004002+R115*0.0004002</f>
        <v/>
      </c>
      <c r="AR115" s="7">
        <f>T115*0.0004002+S115*0.0004002</f>
        <v/>
      </c>
      <c r="AS115" s="7">
        <f>U115*0.0004002+T115*0.0004002</f>
        <v/>
      </c>
      <c r="AT115" s="7">
        <f>V115*0.0004002+U115*0.0004002</f>
        <v/>
      </c>
      <c r="AU115" s="7">
        <f>W115*0.0004002+V115*0.0004002</f>
        <v/>
      </c>
      <c r="AV115" s="7">
        <f>X115*0.0004002+W115*0.0004002</f>
        <v/>
      </c>
      <c r="AW115" s="7">
        <f>Y115*0.0004002+X115*0.0004002</f>
        <v/>
      </c>
      <c r="AX115" s="7">
        <f>Z115*0.0004002+Y115*0.0004002</f>
        <v/>
      </c>
      <c r="AY115" s="7">
        <f>AA115*0.0004002+Z115*0.0004002</f>
        <v/>
      </c>
      <c r="AZ115" s="7">
        <f>D115*0.0004002+AA115*0.0004002</f>
        <v/>
      </c>
      <c r="BA115" s="7">
        <f>E115*0.0004002+D115*0.0004002</f>
        <v/>
      </c>
      <c r="BB115" s="7">
        <f>SUM(AD115:BA115)</f>
        <v/>
      </c>
    </row>
    <row r="116">
      <c r="A116" t="inlineStr">
        <is>
          <t>DC-10-1</t>
        </is>
      </c>
      <c r="B116" t="inlineStr">
        <is>
          <t>DSC Manual</t>
        </is>
      </c>
      <c r="C116" s="5" t="n">
        <v>46094</v>
      </c>
      <c r="D116" s="6">
        <f>Summary!D116</f>
        <v/>
      </c>
      <c r="E116" s="6">
        <f>Summary!E116</f>
        <v/>
      </c>
      <c r="F116" s="6">
        <f>Summary!F116</f>
        <v/>
      </c>
      <c r="G116" s="6">
        <f>Summary!G116</f>
        <v/>
      </c>
      <c r="H116" s="6">
        <f>Summary!H116</f>
        <v/>
      </c>
      <c r="I116" s="6">
        <f>Summary!I116</f>
        <v/>
      </c>
      <c r="J116" s="6">
        <f>Summary!J116</f>
        <v/>
      </c>
      <c r="K116" s="6">
        <f>Summary!K116</f>
        <v/>
      </c>
      <c r="L116" s="6">
        <f>Summary!L116</f>
        <v/>
      </c>
      <c r="M116" s="6">
        <f>Summary!M116</f>
        <v/>
      </c>
      <c r="N116" s="6">
        <f>Summary!N116</f>
        <v/>
      </c>
      <c r="O116" s="6">
        <f>Summary!O116</f>
        <v/>
      </c>
      <c r="P116" s="6">
        <f>Summary!P116</f>
        <v/>
      </c>
      <c r="Q116" s="6">
        <f>Summary!Q116</f>
        <v/>
      </c>
      <c r="R116" s="6">
        <f>Summary!R116</f>
        <v/>
      </c>
      <c r="S116" s="6">
        <f>Summary!S116</f>
        <v/>
      </c>
      <c r="T116" s="6">
        <f>Summary!T116</f>
        <v/>
      </c>
      <c r="U116" s="6">
        <f>Summary!U116</f>
        <v/>
      </c>
      <c r="V116" s="6">
        <f>Summary!V116</f>
        <v/>
      </c>
      <c r="W116" s="6">
        <f>Summary!W116</f>
        <v/>
      </c>
      <c r="X116" s="6">
        <f>Summary!X116</f>
        <v/>
      </c>
      <c r="Y116" s="6">
        <f>Summary!Y116</f>
        <v/>
      </c>
      <c r="Z116" s="6">
        <f>Summary!Z116</f>
        <v/>
      </c>
      <c r="AA116" s="6">
        <f>Summary!AA116</f>
        <v/>
      </c>
      <c r="AB116" s="6">
        <f>SUM(D116:AA116)</f>
        <v/>
      </c>
      <c r="AC116" s="3" t="inlineStr"/>
      <c r="AD116" s="7">
        <f>F116*0.0004002+E116*0.0004002</f>
        <v/>
      </c>
      <c r="AE116" s="7">
        <f>G116*0.0004002+F116*0.0004002</f>
        <v/>
      </c>
      <c r="AF116" s="7">
        <f>H116*0.0004002+G116*0.0004002</f>
        <v/>
      </c>
      <c r="AG116" s="7">
        <f>I116*0.0004002+H116*0.0004002</f>
        <v/>
      </c>
      <c r="AH116" s="7">
        <f>J116*0.0004002+I116*0.0004002</f>
        <v/>
      </c>
      <c r="AI116" s="7">
        <f>K116*0.0004002+J116*0.0004002</f>
        <v/>
      </c>
      <c r="AJ116" s="7">
        <f>L116*0.0004002+K116*0.0004002</f>
        <v/>
      </c>
      <c r="AK116" s="7">
        <f>M116*0.0004002+L116*0.0004002</f>
        <v/>
      </c>
      <c r="AL116" s="7">
        <f>N116*0.0004002+M116*0.0004002</f>
        <v/>
      </c>
      <c r="AM116" s="7">
        <f>O116*0.0004002+N116*0.0004002</f>
        <v/>
      </c>
      <c r="AN116" s="7">
        <f>P116*0.0004002+O116*0.0004002</f>
        <v/>
      </c>
      <c r="AO116" s="7">
        <f>Q116*0.0004002+P116*0.0004002</f>
        <v/>
      </c>
      <c r="AP116" s="7">
        <f>R116*0.0004002+Q116*0.0004002</f>
        <v/>
      </c>
      <c r="AQ116" s="7">
        <f>S116*0.0004002+R116*0.0004002</f>
        <v/>
      </c>
      <c r="AR116" s="7">
        <f>T116*0.0004002+S116*0.0004002</f>
        <v/>
      </c>
      <c r="AS116" s="7">
        <f>U116*0.0004002+T116*0.0004002</f>
        <v/>
      </c>
      <c r="AT116" s="7">
        <f>V116*0.0004002+U116*0.0004002</f>
        <v/>
      </c>
      <c r="AU116" s="7">
        <f>W116*0.0004002+V116*0.0004002</f>
        <v/>
      </c>
      <c r="AV116" s="7">
        <f>X116*0.0004002+W116*0.0004002</f>
        <v/>
      </c>
      <c r="AW116" s="7">
        <f>Y116*0.0004002+X116*0.0004002</f>
        <v/>
      </c>
      <c r="AX116" s="7">
        <f>Z116*0.0004002+Y116*0.0004002</f>
        <v/>
      </c>
      <c r="AY116" s="7">
        <f>AA116*0.0004002+Z116*0.0004002</f>
        <v/>
      </c>
      <c r="AZ116" s="7">
        <f>D116*0.0004002+AA116*0.0004002</f>
        <v/>
      </c>
      <c r="BA116" s="7">
        <f>E116*0.0004002+D116*0.0004002</f>
        <v/>
      </c>
      <c r="BB116" s="7">
        <f>SUM(AD116:BA116)</f>
        <v/>
      </c>
    </row>
    <row r="117">
      <c r="A117" t="inlineStr">
        <is>
          <t>DC-10-1</t>
        </is>
      </c>
      <c r="B117" t="inlineStr">
        <is>
          <t>DSC Manual</t>
        </is>
      </c>
      <c r="C117" s="5" t="n">
        <v>46095</v>
      </c>
      <c r="D117" s="6">
        <f>Summary!D117</f>
        <v/>
      </c>
      <c r="E117" s="6">
        <f>Summary!E117</f>
        <v/>
      </c>
      <c r="F117" s="6">
        <f>Summary!F117</f>
        <v/>
      </c>
      <c r="G117" s="6">
        <f>Summary!G117</f>
        <v/>
      </c>
      <c r="H117" s="6">
        <f>Summary!H117</f>
        <v/>
      </c>
      <c r="I117" s="6">
        <f>Summary!I117</f>
        <v/>
      </c>
      <c r="J117" s="6">
        <f>Summary!J117</f>
        <v/>
      </c>
      <c r="K117" s="6">
        <f>Summary!K117</f>
        <v/>
      </c>
      <c r="L117" s="6">
        <f>Summary!L117</f>
        <v/>
      </c>
      <c r="M117" s="6">
        <f>Summary!M117</f>
        <v/>
      </c>
      <c r="N117" s="6">
        <f>Summary!N117</f>
        <v/>
      </c>
      <c r="O117" s="6">
        <f>Summary!O117</f>
        <v/>
      </c>
      <c r="P117" s="6">
        <f>Summary!P117</f>
        <v/>
      </c>
      <c r="Q117" s="6">
        <f>Summary!Q117</f>
        <v/>
      </c>
      <c r="R117" s="6">
        <f>Summary!R117</f>
        <v/>
      </c>
      <c r="S117" s="6">
        <f>Summary!S117</f>
        <v/>
      </c>
      <c r="T117" s="6">
        <f>Summary!T117</f>
        <v/>
      </c>
      <c r="U117" s="6">
        <f>Summary!U117</f>
        <v/>
      </c>
      <c r="V117" s="6">
        <f>Summary!V117</f>
        <v/>
      </c>
      <c r="W117" s="6">
        <f>Summary!W117</f>
        <v/>
      </c>
      <c r="X117" s="6">
        <f>Summary!X117</f>
        <v/>
      </c>
      <c r="Y117" s="6">
        <f>Summary!Y117</f>
        <v/>
      </c>
      <c r="Z117" s="6">
        <f>Summary!Z117</f>
        <v/>
      </c>
      <c r="AA117" s="6">
        <f>Summary!AA117</f>
        <v/>
      </c>
      <c r="AB117" s="6">
        <f>SUM(D117:AA117)</f>
        <v/>
      </c>
      <c r="AC117" s="3" t="inlineStr"/>
      <c r="AD117" s="7">
        <f>F117*0.0004002+E117*0.0004002</f>
        <v/>
      </c>
      <c r="AE117" s="7">
        <f>G117*0.0004002+F117*0.0004002</f>
        <v/>
      </c>
      <c r="AF117" s="7">
        <f>H117*0.0004002+G117*0.0004002</f>
        <v/>
      </c>
      <c r="AG117" s="7">
        <f>I117*0.0004002+H117*0.0004002</f>
        <v/>
      </c>
      <c r="AH117" s="7">
        <f>J117*0.0004002+I117*0.0004002</f>
        <v/>
      </c>
      <c r="AI117" s="7">
        <f>K117*0.0004002+J117*0.0004002</f>
        <v/>
      </c>
      <c r="AJ117" s="7">
        <f>L117*0.0004002+K117*0.0004002</f>
        <v/>
      </c>
      <c r="AK117" s="7">
        <f>M117*0.0004002+L117*0.0004002</f>
        <v/>
      </c>
      <c r="AL117" s="7">
        <f>N117*0.0004002+M117*0.0004002</f>
        <v/>
      </c>
      <c r="AM117" s="7">
        <f>O117*0.0004002+N117*0.0004002</f>
        <v/>
      </c>
      <c r="AN117" s="7">
        <f>P117*0.0004002+O117*0.0004002</f>
        <v/>
      </c>
      <c r="AO117" s="7">
        <f>Q117*0.0004002+P117*0.0004002</f>
        <v/>
      </c>
      <c r="AP117" s="7">
        <f>R117*0.0004002+Q117*0.0004002</f>
        <v/>
      </c>
      <c r="AQ117" s="7">
        <f>S117*0.0004002+R117*0.0004002</f>
        <v/>
      </c>
      <c r="AR117" s="7">
        <f>T117*0.0004002+S117*0.0004002</f>
        <v/>
      </c>
      <c r="AS117" s="7">
        <f>U117*0.0004002+T117*0.0004002</f>
        <v/>
      </c>
      <c r="AT117" s="7">
        <f>V117*0.0004002+U117*0.0004002</f>
        <v/>
      </c>
      <c r="AU117" s="7">
        <f>W117*0.0004002+V117*0.0004002</f>
        <v/>
      </c>
      <c r="AV117" s="7">
        <f>X117*0.0004002+W117*0.0004002</f>
        <v/>
      </c>
      <c r="AW117" s="7">
        <f>Y117*0.0004002+X117*0.0004002</f>
        <v/>
      </c>
      <c r="AX117" s="7">
        <f>Z117*0.0004002+Y117*0.0004002</f>
        <v/>
      </c>
      <c r="AY117" s="7">
        <f>AA117*0.0004002+Z117*0.0004002</f>
        <v/>
      </c>
      <c r="AZ117" s="7">
        <f>D117*0.0004002+AA117*0.0004002</f>
        <v/>
      </c>
      <c r="BA117" s="7">
        <f>E117*0.0004002+D117*0.0004002</f>
        <v/>
      </c>
      <c r="BB117" s="7">
        <f>SUM(AD117:BA117)</f>
        <v/>
      </c>
    </row>
    <row r="118">
      <c r="A118" t="inlineStr">
        <is>
          <t>DC-10-1</t>
        </is>
      </c>
      <c r="B118" t="inlineStr">
        <is>
          <t>DSC Manual</t>
        </is>
      </c>
      <c r="C118" s="5" t="n">
        <v>46096</v>
      </c>
      <c r="D118" s="6">
        <f>Summary!D118</f>
        <v/>
      </c>
      <c r="E118" s="6">
        <f>Summary!E118</f>
        <v/>
      </c>
      <c r="F118" s="6">
        <f>Summary!F118</f>
        <v/>
      </c>
      <c r="G118" s="6">
        <f>Summary!G118</f>
        <v/>
      </c>
      <c r="H118" s="6">
        <f>Summary!H118</f>
        <v/>
      </c>
      <c r="I118" s="6">
        <f>Summary!I118</f>
        <v/>
      </c>
      <c r="J118" s="6">
        <f>Summary!J118</f>
        <v/>
      </c>
      <c r="K118" s="6">
        <f>Summary!K118</f>
        <v/>
      </c>
      <c r="L118" s="6">
        <f>Summary!L118</f>
        <v/>
      </c>
      <c r="M118" s="6">
        <f>Summary!M118</f>
        <v/>
      </c>
      <c r="N118" s="6">
        <f>Summary!N118</f>
        <v/>
      </c>
      <c r="O118" s="6">
        <f>Summary!O118</f>
        <v/>
      </c>
      <c r="P118" s="6">
        <f>Summary!P118</f>
        <v/>
      </c>
      <c r="Q118" s="6">
        <f>Summary!Q118</f>
        <v/>
      </c>
      <c r="R118" s="6">
        <f>Summary!R118</f>
        <v/>
      </c>
      <c r="S118" s="6">
        <f>Summary!S118</f>
        <v/>
      </c>
      <c r="T118" s="6">
        <f>Summary!T118</f>
        <v/>
      </c>
      <c r="U118" s="6">
        <f>Summary!U118</f>
        <v/>
      </c>
      <c r="V118" s="6">
        <f>Summary!V118</f>
        <v/>
      </c>
      <c r="W118" s="6">
        <f>Summary!W118</f>
        <v/>
      </c>
      <c r="X118" s="6">
        <f>Summary!X118</f>
        <v/>
      </c>
      <c r="Y118" s="6">
        <f>Summary!Y118</f>
        <v/>
      </c>
      <c r="Z118" s="6">
        <f>Summary!Z118</f>
        <v/>
      </c>
      <c r="AA118" s="6">
        <f>Summary!AA118</f>
        <v/>
      </c>
      <c r="AB118" s="6">
        <f>SUM(D118:AA118)</f>
        <v/>
      </c>
      <c r="AC118" s="3" t="inlineStr"/>
      <c r="AD118" s="7">
        <f>F118*0.0004002+E118*0.0004002</f>
        <v/>
      </c>
      <c r="AE118" s="7">
        <f>G118*0.0004002+F118*0.0004002</f>
        <v/>
      </c>
      <c r="AF118" s="7">
        <f>H118*0.0004002+G118*0.0004002</f>
        <v/>
      </c>
      <c r="AG118" s="7">
        <f>I118*0.0004002+H118*0.0004002</f>
        <v/>
      </c>
      <c r="AH118" s="7">
        <f>J118*0.0004002+I118*0.0004002</f>
        <v/>
      </c>
      <c r="AI118" s="7">
        <f>K118*0.0004002+J118*0.0004002</f>
        <v/>
      </c>
      <c r="AJ118" s="7">
        <f>L118*0.0004002+K118*0.0004002</f>
        <v/>
      </c>
      <c r="AK118" s="7">
        <f>M118*0.0004002+L118*0.0004002</f>
        <v/>
      </c>
      <c r="AL118" s="7">
        <f>N118*0.0004002+M118*0.0004002</f>
        <v/>
      </c>
      <c r="AM118" s="7">
        <f>O118*0.0004002+N118*0.0004002</f>
        <v/>
      </c>
      <c r="AN118" s="7">
        <f>P118*0.0004002+O118*0.0004002</f>
        <v/>
      </c>
      <c r="AO118" s="7">
        <f>Q118*0.0004002+P118*0.0004002</f>
        <v/>
      </c>
      <c r="AP118" s="7">
        <f>R118*0.0004002+Q118*0.0004002</f>
        <v/>
      </c>
      <c r="AQ118" s="7">
        <f>S118*0.0004002+R118*0.0004002</f>
        <v/>
      </c>
      <c r="AR118" s="7">
        <f>T118*0.0004002+S118*0.0004002</f>
        <v/>
      </c>
      <c r="AS118" s="7">
        <f>U118*0.0004002+T118*0.0004002</f>
        <v/>
      </c>
      <c r="AT118" s="7">
        <f>V118*0.0004002+U118*0.0004002</f>
        <v/>
      </c>
      <c r="AU118" s="7">
        <f>W118*0.0004002+V118*0.0004002</f>
        <v/>
      </c>
      <c r="AV118" s="7">
        <f>X118*0.0004002+W118*0.0004002</f>
        <v/>
      </c>
      <c r="AW118" s="7">
        <f>Y118*0.0004002+X118*0.0004002</f>
        <v/>
      </c>
      <c r="AX118" s="7">
        <f>Z118*0.0004002+Y118*0.0004002</f>
        <v/>
      </c>
      <c r="AY118" s="7">
        <f>AA118*0.0004002+Z118*0.0004002</f>
        <v/>
      </c>
      <c r="AZ118" s="7">
        <f>D118*0.0004002+AA118*0.0004002</f>
        <v/>
      </c>
      <c r="BA118" s="7">
        <f>E118*0.0004002+D118*0.0004002</f>
        <v/>
      </c>
      <c r="BB118" s="7">
        <f>SUM(AD118:BA118)</f>
        <v/>
      </c>
    </row>
    <row r="119">
      <c r="A119" t="inlineStr">
        <is>
          <t>DC-10-1</t>
        </is>
      </c>
      <c r="B119" t="inlineStr">
        <is>
          <t>DSC Manual</t>
        </is>
      </c>
      <c r="C119" s="5" t="n">
        <v>46097</v>
      </c>
      <c r="D119" s="6">
        <f>Summary!D119</f>
        <v/>
      </c>
      <c r="E119" s="6">
        <f>Summary!E119</f>
        <v/>
      </c>
      <c r="F119" s="6">
        <f>Summary!F119</f>
        <v/>
      </c>
      <c r="G119" s="6">
        <f>Summary!G119</f>
        <v/>
      </c>
      <c r="H119" s="6">
        <f>Summary!H119</f>
        <v/>
      </c>
      <c r="I119" s="6">
        <f>Summary!I119</f>
        <v/>
      </c>
      <c r="J119" s="6">
        <f>Summary!J119</f>
        <v/>
      </c>
      <c r="K119" s="6">
        <f>Summary!K119</f>
        <v/>
      </c>
      <c r="L119" s="6">
        <f>Summary!L119</f>
        <v/>
      </c>
      <c r="M119" s="6">
        <f>Summary!M119</f>
        <v/>
      </c>
      <c r="N119" s="6">
        <f>Summary!N119</f>
        <v/>
      </c>
      <c r="O119" s="6">
        <f>Summary!O119</f>
        <v/>
      </c>
      <c r="P119" s="6">
        <f>Summary!P119</f>
        <v/>
      </c>
      <c r="Q119" s="6">
        <f>Summary!Q119</f>
        <v/>
      </c>
      <c r="R119" s="6">
        <f>Summary!R119</f>
        <v/>
      </c>
      <c r="S119" s="6">
        <f>Summary!S119</f>
        <v/>
      </c>
      <c r="T119" s="6">
        <f>Summary!T119</f>
        <v/>
      </c>
      <c r="U119" s="6">
        <f>Summary!U119</f>
        <v/>
      </c>
      <c r="V119" s="6">
        <f>Summary!V119</f>
        <v/>
      </c>
      <c r="W119" s="6">
        <f>Summary!W119</f>
        <v/>
      </c>
      <c r="X119" s="6">
        <f>Summary!X119</f>
        <v/>
      </c>
      <c r="Y119" s="6">
        <f>Summary!Y119</f>
        <v/>
      </c>
      <c r="Z119" s="6">
        <f>Summary!Z119</f>
        <v/>
      </c>
      <c r="AA119" s="6">
        <f>Summary!AA119</f>
        <v/>
      </c>
      <c r="AB119" s="6">
        <f>SUM(D119:AA119)</f>
        <v/>
      </c>
      <c r="AC119" s="3" t="inlineStr"/>
      <c r="AD119" s="7">
        <f>F119*0.0004002+E119*0.0004002</f>
        <v/>
      </c>
      <c r="AE119" s="7">
        <f>G119*0.0004002+F119*0.0004002</f>
        <v/>
      </c>
      <c r="AF119" s="7">
        <f>H119*0.0004002+G119*0.0004002</f>
        <v/>
      </c>
      <c r="AG119" s="7">
        <f>I119*0.0004002+H119*0.0004002</f>
        <v/>
      </c>
      <c r="AH119" s="7">
        <f>J119*0.0004002+I119*0.0004002</f>
        <v/>
      </c>
      <c r="AI119" s="7">
        <f>K119*0.0004002+J119*0.0004002</f>
        <v/>
      </c>
      <c r="AJ119" s="7">
        <f>L119*0.0004002+K119*0.0004002</f>
        <v/>
      </c>
      <c r="AK119" s="7">
        <f>M119*0.0004002+L119*0.0004002</f>
        <v/>
      </c>
      <c r="AL119" s="7">
        <f>N119*0.0004002+M119*0.0004002</f>
        <v/>
      </c>
      <c r="AM119" s="7">
        <f>O119*0.0004002+N119*0.0004002</f>
        <v/>
      </c>
      <c r="AN119" s="7">
        <f>P119*0.0004002+O119*0.0004002</f>
        <v/>
      </c>
      <c r="AO119" s="7">
        <f>Q119*0.0004002+P119*0.0004002</f>
        <v/>
      </c>
      <c r="AP119" s="7">
        <f>R119*0.0004002+Q119*0.0004002</f>
        <v/>
      </c>
      <c r="AQ119" s="7">
        <f>S119*0.0004002+R119*0.0004002</f>
        <v/>
      </c>
      <c r="AR119" s="7">
        <f>T119*0.0004002+S119*0.0004002</f>
        <v/>
      </c>
      <c r="AS119" s="7">
        <f>U119*0.0004002+T119*0.0004002</f>
        <v/>
      </c>
      <c r="AT119" s="7">
        <f>V119*0.0004002+U119*0.0004002</f>
        <v/>
      </c>
      <c r="AU119" s="7">
        <f>W119*0.0004002+V119*0.0004002</f>
        <v/>
      </c>
      <c r="AV119" s="7">
        <f>X119*0.0004002+W119*0.0004002</f>
        <v/>
      </c>
      <c r="AW119" s="7">
        <f>Y119*0.0004002+X119*0.0004002</f>
        <v/>
      </c>
      <c r="AX119" s="7">
        <f>Z119*0.0004002+Y119*0.0004002</f>
        <v/>
      </c>
      <c r="AY119" s="7">
        <f>AA119*0.0004002+Z119*0.0004002</f>
        <v/>
      </c>
      <c r="AZ119" s="7">
        <f>D119*0.0004002+AA119*0.0004002</f>
        <v/>
      </c>
      <c r="BA119" s="7">
        <f>E119*0.0004002+D119*0.0004002</f>
        <v/>
      </c>
      <c r="BB119" s="7">
        <f>SUM(AD119:BA119)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B1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Layout</t>
        </is>
      </c>
      <c r="B1" s="1" t="inlineStr">
        <is>
          <t>Layout Type</t>
        </is>
      </c>
      <c r="C1" s="1" t="inlineStr">
        <is>
          <t>Date</t>
        </is>
      </c>
      <c r="D1" s="2" t="inlineStr">
        <is>
          <t>Act Vol 12 AM</t>
        </is>
      </c>
      <c r="E1" s="2" t="inlineStr">
        <is>
          <t>Act Vol 1 AM</t>
        </is>
      </c>
      <c r="F1" s="2" t="inlineStr">
        <is>
          <t>Act Vol 2 AM</t>
        </is>
      </c>
      <c r="G1" s="2" t="inlineStr">
        <is>
          <t>Act Vol 3 AM</t>
        </is>
      </c>
      <c r="H1" s="2" t="inlineStr">
        <is>
          <t>Act Vol 4 AM</t>
        </is>
      </c>
      <c r="I1" s="2" t="inlineStr">
        <is>
          <t>Act Vol 5 AM</t>
        </is>
      </c>
      <c r="J1" s="2" t="inlineStr">
        <is>
          <t>Act Vol 6 AM</t>
        </is>
      </c>
      <c r="K1" s="2" t="inlineStr">
        <is>
          <t>Act Vol 7 AM</t>
        </is>
      </c>
      <c r="L1" s="2" t="inlineStr">
        <is>
          <t>Act Vol 8 AM</t>
        </is>
      </c>
      <c r="M1" s="2" t="inlineStr">
        <is>
          <t>Act Vol 9 AM</t>
        </is>
      </c>
      <c r="N1" s="2" t="inlineStr">
        <is>
          <t>Act Vol 10 AM</t>
        </is>
      </c>
      <c r="O1" s="2" t="inlineStr">
        <is>
          <t>Act Vol 11 AM</t>
        </is>
      </c>
      <c r="P1" s="2" t="inlineStr">
        <is>
          <t>Act Vol 12 PM</t>
        </is>
      </c>
      <c r="Q1" s="2" t="inlineStr">
        <is>
          <t>Act Vol 1 PM</t>
        </is>
      </c>
      <c r="R1" s="2" t="inlineStr">
        <is>
          <t>Act Vol 2 PM</t>
        </is>
      </c>
      <c r="S1" s="2" t="inlineStr">
        <is>
          <t>Act Vol 3 PM</t>
        </is>
      </c>
      <c r="T1" s="2" t="inlineStr">
        <is>
          <t>Act Vol 4 PM</t>
        </is>
      </c>
      <c r="U1" s="2" t="inlineStr">
        <is>
          <t>Act Vol 5 PM</t>
        </is>
      </c>
      <c r="V1" s="2" t="inlineStr">
        <is>
          <t>Act Vol 6 PM</t>
        </is>
      </c>
      <c r="W1" s="2" t="inlineStr">
        <is>
          <t>Act Vol 7 PM</t>
        </is>
      </c>
      <c r="X1" s="2" t="inlineStr">
        <is>
          <t>Act Vol 8 PM</t>
        </is>
      </c>
      <c r="Y1" s="2" t="inlineStr">
        <is>
          <t>Act Vol 9 PM</t>
        </is>
      </c>
      <c r="Z1" s="2" t="inlineStr">
        <is>
          <t>Act Vol 10 PM</t>
        </is>
      </c>
      <c r="AA1" s="2" t="inlineStr">
        <is>
          <t>Act Vol 11 PM</t>
        </is>
      </c>
      <c r="AB1" s="2" t="inlineStr">
        <is>
          <t>Act Vol Total</t>
        </is>
      </c>
      <c r="AC1" s="3" t="inlineStr"/>
      <c r="AD1" s="4" t="inlineStr">
        <is>
          <t>MH 12 AM</t>
        </is>
      </c>
      <c r="AE1" s="4" t="inlineStr">
        <is>
          <t>MH 1 AM</t>
        </is>
      </c>
      <c r="AF1" s="4" t="inlineStr">
        <is>
          <t>MH 2 AM</t>
        </is>
      </c>
      <c r="AG1" s="4" t="inlineStr">
        <is>
          <t>MH 3 AM</t>
        </is>
      </c>
      <c r="AH1" s="4" t="inlineStr">
        <is>
          <t>MH 4 AM</t>
        </is>
      </c>
      <c r="AI1" s="4" t="inlineStr">
        <is>
          <t>MH 5 AM</t>
        </is>
      </c>
      <c r="AJ1" s="4" t="inlineStr">
        <is>
          <t>MH 6 AM</t>
        </is>
      </c>
      <c r="AK1" s="4" t="inlineStr">
        <is>
          <t>MH 7 AM</t>
        </is>
      </c>
      <c r="AL1" s="4" t="inlineStr">
        <is>
          <t>MH 8 AM</t>
        </is>
      </c>
      <c r="AM1" s="4" t="inlineStr">
        <is>
          <t>MH 9 AM</t>
        </is>
      </c>
      <c r="AN1" s="4" t="inlineStr">
        <is>
          <t>MH 10 AM</t>
        </is>
      </c>
      <c r="AO1" s="4" t="inlineStr">
        <is>
          <t>MH 11 AM</t>
        </is>
      </c>
      <c r="AP1" s="4" t="inlineStr">
        <is>
          <t>MH 12 PM</t>
        </is>
      </c>
      <c r="AQ1" s="4" t="inlineStr">
        <is>
          <t>MH 1 PM</t>
        </is>
      </c>
      <c r="AR1" s="4" t="inlineStr">
        <is>
          <t>MH 2 PM</t>
        </is>
      </c>
      <c r="AS1" s="4" t="inlineStr">
        <is>
          <t>MH 3 PM</t>
        </is>
      </c>
      <c r="AT1" s="4" t="inlineStr">
        <is>
          <t>MH 4 PM</t>
        </is>
      </c>
      <c r="AU1" s="4" t="inlineStr">
        <is>
          <t>MH 5 PM</t>
        </is>
      </c>
      <c r="AV1" s="4" t="inlineStr">
        <is>
          <t>MH 6 PM</t>
        </is>
      </c>
      <c r="AW1" s="4" t="inlineStr">
        <is>
          <t>MH 7 PM</t>
        </is>
      </c>
      <c r="AX1" s="4" t="inlineStr">
        <is>
          <t>MH 8 PM</t>
        </is>
      </c>
      <c r="AY1" s="4" t="inlineStr">
        <is>
          <t>MH 9 PM</t>
        </is>
      </c>
      <c r="AZ1" s="4" t="inlineStr">
        <is>
          <t>MH 10 PM</t>
        </is>
      </c>
      <c r="BA1" s="4" t="inlineStr">
        <is>
          <t>MH 11 PM</t>
        </is>
      </c>
      <c r="BB1" s="4" t="inlineStr">
        <is>
          <t>MH Total</t>
        </is>
      </c>
    </row>
    <row r="2">
      <c r="A2" t="inlineStr">
        <is>
          <t>AMD-AIR-NEW-SSC</t>
        </is>
      </c>
      <c r="B2" t="inlineStr">
        <is>
          <t>Forward Regular OSC</t>
        </is>
      </c>
      <c r="C2" s="5" t="n">
        <v>46093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v>0</v>
      </c>
      <c r="N2" s="6" t="n">
        <v>0</v>
      </c>
      <c r="O2" s="6" t="n">
        <v>0</v>
      </c>
      <c r="P2" s="6" t="n">
        <v>0</v>
      </c>
      <c r="Q2" s="6" t="n">
        <v>0</v>
      </c>
      <c r="R2" s="6" t="n">
        <v>20</v>
      </c>
      <c r="S2" s="6" t="n">
        <v>19</v>
      </c>
      <c r="T2" s="6" t="n">
        <v>0</v>
      </c>
      <c r="U2" s="6" t="n">
        <v>0</v>
      </c>
      <c r="V2" s="6" t="n">
        <v>0</v>
      </c>
      <c r="W2" s="6" t="n">
        <v>0</v>
      </c>
      <c r="X2" s="6" t="n">
        <v>0</v>
      </c>
      <c r="Y2" s="6" t="n">
        <v>0</v>
      </c>
      <c r="Z2" s="6" t="n">
        <v>0</v>
      </c>
      <c r="AA2" s="6" t="n">
        <v>0</v>
      </c>
      <c r="AB2" s="6">
        <f>SUM(D2:AA2)</f>
        <v/>
      </c>
      <c r="AC2" s="3" t="inlineStr"/>
      <c r="AD2" s="7">
        <f>E2*0.0120051238+D2*0.0024010248</f>
        <v/>
      </c>
      <c r="AE2" s="7">
        <f>F2*0.0120051238+E2*0.0024010248</f>
        <v/>
      </c>
      <c r="AF2" s="7">
        <f>G2*0.0120051238+F2*0.0024010248</f>
        <v/>
      </c>
      <c r="AG2" s="7">
        <f>H2*0.0120051238+G2*0.0024010248</f>
        <v/>
      </c>
      <c r="AH2" s="7">
        <f>I2*0.0120051238+H2*0.0024010248</f>
        <v/>
      </c>
      <c r="AI2" s="7">
        <f>J2*0.0120051238+I2*0.0024010248</f>
        <v/>
      </c>
      <c r="AJ2" s="7">
        <f>K2*0.0120051238+J2*0.0024010248</f>
        <v/>
      </c>
      <c r="AK2" s="7">
        <f>L2*0.0120051238+K2*0.0024010248</f>
        <v/>
      </c>
      <c r="AL2" s="7">
        <f>M2*0.0120051238+L2*0.0024010248</f>
        <v/>
      </c>
      <c r="AM2" s="7">
        <f>N2*0.0120051238+M2*0.0024010248</f>
        <v/>
      </c>
      <c r="AN2" s="7">
        <f>O2*0.0120051238+N2*0.0024010248</f>
        <v/>
      </c>
      <c r="AO2" s="7">
        <f>P2*0.0120051238+O2*0.0024010248</f>
        <v/>
      </c>
      <c r="AP2" s="7">
        <f>Q2*0.0120051238+P2*0.0024010248</f>
        <v/>
      </c>
      <c r="AQ2" s="7">
        <f>R2*0.0120051238+Q2*0.0024010248</f>
        <v/>
      </c>
      <c r="AR2" s="7">
        <f>S2*0.0120051238+R2*0.0024010248</f>
        <v/>
      </c>
      <c r="AS2" s="7">
        <f>T2*0.0120051238+S2*0.0024010248</f>
        <v/>
      </c>
      <c r="AT2" s="7">
        <f>U2*0.0120051238+T2*0.0024010248</f>
        <v/>
      </c>
      <c r="AU2" s="7">
        <f>V2*0.0120051238+U2*0.0024010248</f>
        <v/>
      </c>
      <c r="AV2" s="7">
        <f>W2*0.0120051238+V2*0.0024010248</f>
        <v/>
      </c>
      <c r="AW2" s="7">
        <f>X2*0.0120051238+W2*0.0024010248</f>
        <v/>
      </c>
      <c r="AX2" s="7">
        <f>Y2*0.0120051238+X2*0.0024010248</f>
        <v/>
      </c>
      <c r="AY2" s="7">
        <f>Z2*0.0120051238+Y2*0.0024010248</f>
        <v/>
      </c>
      <c r="AZ2" s="7">
        <f>AA2*0.0120051238+Z2*0.0024010248</f>
        <v/>
      </c>
      <c r="BA2" s="7">
        <f>D2*0.0120051238+AA2*0.0024010248</f>
        <v/>
      </c>
      <c r="BB2" s="7">
        <f>SUM(AD2:BA2)</f>
        <v/>
      </c>
    </row>
    <row r="3">
      <c r="A3" t="inlineStr">
        <is>
          <t>AMD-AIR-NEW-SSC</t>
        </is>
      </c>
      <c r="B3" t="inlineStr">
        <is>
          <t>Forward Regular OSC</t>
        </is>
      </c>
      <c r="C3" s="5" t="n">
        <v>46094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29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>
        <f>SUM(D3:AA3)</f>
        <v/>
      </c>
      <c r="AC3" s="3" t="inlineStr"/>
      <c r="AD3" s="7">
        <f>E3*0.0120051238+D3*0.0024010248</f>
        <v/>
      </c>
      <c r="AE3" s="7">
        <f>F3*0.0120051238+E3*0.0024010248</f>
        <v/>
      </c>
      <c r="AF3" s="7">
        <f>G3*0.0120051238+F3*0.0024010248</f>
        <v/>
      </c>
      <c r="AG3" s="7">
        <f>H3*0.0120051238+G3*0.0024010248</f>
        <v/>
      </c>
      <c r="AH3" s="7">
        <f>I3*0.0120051238+H3*0.0024010248</f>
        <v/>
      </c>
      <c r="AI3" s="7">
        <f>J3*0.0120051238+I3*0.0024010248</f>
        <v/>
      </c>
      <c r="AJ3" s="7">
        <f>K3*0.0120051238+J3*0.0024010248</f>
        <v/>
      </c>
      <c r="AK3" s="7">
        <f>L3*0.0120051238+K3*0.0024010248</f>
        <v/>
      </c>
      <c r="AL3" s="7">
        <f>M3*0.0120051238+L3*0.0024010248</f>
        <v/>
      </c>
      <c r="AM3" s="7">
        <f>N3*0.0120051238+M3*0.0024010248</f>
        <v/>
      </c>
      <c r="AN3" s="7">
        <f>O3*0.0120051238+N3*0.0024010248</f>
        <v/>
      </c>
      <c r="AO3" s="7">
        <f>P3*0.0120051238+O3*0.0024010248</f>
        <v/>
      </c>
      <c r="AP3" s="7">
        <f>Q3*0.0120051238+P3*0.0024010248</f>
        <v/>
      </c>
      <c r="AQ3" s="7">
        <f>R3*0.0120051238+Q3*0.0024010248</f>
        <v/>
      </c>
      <c r="AR3" s="7">
        <f>S3*0.0120051238+R3*0.0024010248</f>
        <v/>
      </c>
      <c r="AS3" s="7">
        <f>T3*0.0120051238+S3*0.0024010248</f>
        <v/>
      </c>
      <c r="AT3" s="7">
        <f>U3*0.0120051238+T3*0.0024010248</f>
        <v/>
      </c>
      <c r="AU3" s="7">
        <f>V3*0.0120051238+U3*0.0024010248</f>
        <v/>
      </c>
      <c r="AV3" s="7">
        <f>W3*0.0120051238+V3*0.0024010248</f>
        <v/>
      </c>
      <c r="AW3" s="7">
        <f>X3*0.0120051238+W3*0.0024010248</f>
        <v/>
      </c>
      <c r="AX3" s="7">
        <f>Y3*0.0120051238+X3*0.0024010248</f>
        <v/>
      </c>
      <c r="AY3" s="7">
        <f>Z3*0.0120051238+Y3*0.0024010248</f>
        <v/>
      </c>
      <c r="AZ3" s="7">
        <f>AA3*0.0120051238+Z3*0.0024010248</f>
        <v/>
      </c>
      <c r="BA3" s="7">
        <f>D3*0.0120051238+AA3*0.0024010248</f>
        <v/>
      </c>
      <c r="BB3" s="7">
        <f>SUM(AD3:BA3)</f>
        <v/>
      </c>
    </row>
    <row r="4">
      <c r="A4" t="inlineStr">
        <is>
          <t>AMD-AIR-NEW-SSC</t>
        </is>
      </c>
      <c r="B4" t="inlineStr">
        <is>
          <t>Forward Regular OSC</t>
        </is>
      </c>
      <c r="C4" s="5" t="n">
        <v>46096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0</v>
      </c>
      <c r="R4" s="6" t="n">
        <v>18</v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0</v>
      </c>
      <c r="AB4" s="6">
        <f>SUM(D4:AA4)</f>
        <v/>
      </c>
      <c r="AC4" s="3" t="inlineStr"/>
      <c r="AD4" s="7">
        <f>E4*0.0120051238+D4*0.0024010248</f>
        <v/>
      </c>
      <c r="AE4" s="7">
        <f>F4*0.0120051238+E4*0.0024010248</f>
        <v/>
      </c>
      <c r="AF4" s="7">
        <f>G4*0.0120051238+F4*0.0024010248</f>
        <v/>
      </c>
      <c r="AG4" s="7">
        <f>H4*0.0120051238+G4*0.0024010248</f>
        <v/>
      </c>
      <c r="AH4" s="7">
        <f>I4*0.0120051238+H4*0.0024010248</f>
        <v/>
      </c>
      <c r="AI4" s="7">
        <f>J4*0.0120051238+I4*0.0024010248</f>
        <v/>
      </c>
      <c r="AJ4" s="7">
        <f>K4*0.0120051238+J4*0.0024010248</f>
        <v/>
      </c>
      <c r="AK4" s="7">
        <f>L4*0.0120051238+K4*0.0024010248</f>
        <v/>
      </c>
      <c r="AL4" s="7">
        <f>M4*0.0120051238+L4*0.0024010248</f>
        <v/>
      </c>
      <c r="AM4" s="7">
        <f>N4*0.0120051238+M4*0.0024010248</f>
        <v/>
      </c>
      <c r="AN4" s="7">
        <f>O4*0.0120051238+N4*0.0024010248</f>
        <v/>
      </c>
      <c r="AO4" s="7">
        <f>P4*0.0120051238+O4*0.0024010248</f>
        <v/>
      </c>
      <c r="AP4" s="7">
        <f>Q4*0.0120051238+P4*0.0024010248</f>
        <v/>
      </c>
      <c r="AQ4" s="7">
        <f>R4*0.0120051238+Q4*0.0024010248</f>
        <v/>
      </c>
      <c r="AR4" s="7">
        <f>S4*0.0120051238+R4*0.0024010248</f>
        <v/>
      </c>
      <c r="AS4" s="7">
        <f>T4*0.0120051238+S4*0.0024010248</f>
        <v/>
      </c>
      <c r="AT4" s="7">
        <f>U4*0.0120051238+T4*0.0024010248</f>
        <v/>
      </c>
      <c r="AU4" s="7">
        <f>V4*0.0120051238+U4*0.0024010248</f>
        <v/>
      </c>
      <c r="AV4" s="7">
        <f>W4*0.0120051238+V4*0.0024010248</f>
        <v/>
      </c>
      <c r="AW4" s="7">
        <f>X4*0.0120051238+W4*0.0024010248</f>
        <v/>
      </c>
      <c r="AX4" s="7">
        <f>Y4*0.0120051238+X4*0.0024010248</f>
        <v/>
      </c>
      <c r="AY4" s="7">
        <f>Z4*0.0120051238+Y4*0.0024010248</f>
        <v/>
      </c>
      <c r="AZ4" s="7">
        <f>AA4*0.0120051238+Z4*0.0024010248</f>
        <v/>
      </c>
      <c r="BA4" s="7">
        <f>D4*0.0120051238+AA4*0.0024010248</f>
        <v/>
      </c>
      <c r="BB4" s="7">
        <f>SUM(AD4:BA4)</f>
        <v/>
      </c>
    </row>
    <row r="5">
      <c r="A5" t="inlineStr">
        <is>
          <t>AMD-AIR-NEW-SSC</t>
        </is>
      </c>
      <c r="B5" t="inlineStr">
        <is>
          <t>Forward Regular OSC</t>
        </is>
      </c>
      <c r="C5" s="5" t="n">
        <v>46097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10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>
        <f>SUM(D5:AA5)</f>
        <v/>
      </c>
      <c r="AC5" s="3" t="inlineStr"/>
      <c r="AD5" s="7">
        <f>E5*0.0120051238+D5*0.0024010248</f>
        <v/>
      </c>
      <c r="AE5" s="7">
        <f>F5*0.0120051238+E5*0.0024010248</f>
        <v/>
      </c>
      <c r="AF5" s="7">
        <f>G5*0.0120051238+F5*0.0024010248</f>
        <v/>
      </c>
      <c r="AG5" s="7">
        <f>H5*0.0120051238+G5*0.0024010248</f>
        <v/>
      </c>
      <c r="AH5" s="7">
        <f>I5*0.0120051238+H5*0.0024010248</f>
        <v/>
      </c>
      <c r="AI5" s="7">
        <f>J5*0.0120051238+I5*0.0024010248</f>
        <v/>
      </c>
      <c r="AJ5" s="7">
        <f>K5*0.0120051238+J5*0.0024010248</f>
        <v/>
      </c>
      <c r="AK5" s="7">
        <f>L5*0.0120051238+K5*0.0024010248</f>
        <v/>
      </c>
      <c r="AL5" s="7">
        <f>M5*0.0120051238+L5*0.0024010248</f>
        <v/>
      </c>
      <c r="AM5" s="7">
        <f>N5*0.0120051238+M5*0.0024010248</f>
        <v/>
      </c>
      <c r="AN5" s="7">
        <f>O5*0.0120051238+N5*0.0024010248</f>
        <v/>
      </c>
      <c r="AO5" s="7">
        <f>P5*0.0120051238+O5*0.0024010248</f>
        <v/>
      </c>
      <c r="AP5" s="7">
        <f>Q5*0.0120051238+P5*0.0024010248</f>
        <v/>
      </c>
      <c r="AQ5" s="7">
        <f>R5*0.0120051238+Q5*0.0024010248</f>
        <v/>
      </c>
      <c r="AR5" s="7">
        <f>S5*0.0120051238+R5*0.0024010248</f>
        <v/>
      </c>
      <c r="AS5" s="7">
        <f>T5*0.0120051238+S5*0.0024010248</f>
        <v/>
      </c>
      <c r="AT5" s="7">
        <f>U5*0.0120051238+T5*0.0024010248</f>
        <v/>
      </c>
      <c r="AU5" s="7">
        <f>V5*0.0120051238+U5*0.0024010248</f>
        <v/>
      </c>
      <c r="AV5" s="7">
        <f>W5*0.0120051238+V5*0.0024010248</f>
        <v/>
      </c>
      <c r="AW5" s="7">
        <f>X5*0.0120051238+W5*0.0024010248</f>
        <v/>
      </c>
      <c r="AX5" s="7">
        <f>Y5*0.0120051238+X5*0.0024010248</f>
        <v/>
      </c>
      <c r="AY5" s="7">
        <f>Z5*0.0120051238+Y5*0.0024010248</f>
        <v/>
      </c>
      <c r="AZ5" s="7">
        <f>AA5*0.0120051238+Z5*0.0024010248</f>
        <v/>
      </c>
      <c r="BA5" s="7">
        <f>D5*0.0120051238+AA5*0.0024010248</f>
        <v/>
      </c>
      <c r="BB5" s="7">
        <f>SUM(AD5:BA5)</f>
        <v/>
      </c>
    </row>
    <row r="6">
      <c r="A6" t="inlineStr">
        <is>
          <t>AMD-AIR-NEW-SSC</t>
        </is>
      </c>
      <c r="B6" t="inlineStr">
        <is>
          <t>Forward Regular OSC</t>
        </is>
      </c>
      <c r="C6" s="5" t="n">
        <v>46100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15</v>
      </c>
      <c r="S6" s="6" t="n">
        <v>16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>
        <f>SUM(D6:AA6)</f>
        <v/>
      </c>
      <c r="AC6" s="3" t="inlineStr"/>
      <c r="AD6" s="7">
        <f>E6*0.0120051238+D6*0.0024010248</f>
        <v/>
      </c>
      <c r="AE6" s="7">
        <f>F6*0.0120051238+E6*0.0024010248</f>
        <v/>
      </c>
      <c r="AF6" s="7">
        <f>G6*0.0120051238+F6*0.0024010248</f>
        <v/>
      </c>
      <c r="AG6" s="7">
        <f>H6*0.0120051238+G6*0.0024010248</f>
        <v/>
      </c>
      <c r="AH6" s="7">
        <f>I6*0.0120051238+H6*0.0024010248</f>
        <v/>
      </c>
      <c r="AI6" s="7">
        <f>J6*0.0120051238+I6*0.0024010248</f>
        <v/>
      </c>
      <c r="AJ6" s="7">
        <f>K6*0.0120051238+J6*0.0024010248</f>
        <v/>
      </c>
      <c r="AK6" s="7">
        <f>L6*0.0120051238+K6*0.0024010248</f>
        <v/>
      </c>
      <c r="AL6" s="7">
        <f>M6*0.0120051238+L6*0.0024010248</f>
        <v/>
      </c>
      <c r="AM6" s="7">
        <f>N6*0.0120051238+M6*0.0024010248</f>
        <v/>
      </c>
      <c r="AN6" s="7">
        <f>O6*0.0120051238+N6*0.0024010248</f>
        <v/>
      </c>
      <c r="AO6" s="7">
        <f>P6*0.0120051238+O6*0.0024010248</f>
        <v/>
      </c>
      <c r="AP6" s="7">
        <f>Q6*0.0120051238+P6*0.0024010248</f>
        <v/>
      </c>
      <c r="AQ6" s="7">
        <f>R6*0.0120051238+Q6*0.0024010248</f>
        <v/>
      </c>
      <c r="AR6" s="7">
        <f>S6*0.0120051238+R6*0.0024010248</f>
        <v/>
      </c>
      <c r="AS6" s="7">
        <f>T6*0.0120051238+S6*0.0024010248</f>
        <v/>
      </c>
      <c r="AT6" s="7">
        <f>U6*0.0120051238+T6*0.0024010248</f>
        <v/>
      </c>
      <c r="AU6" s="7">
        <f>V6*0.0120051238+U6*0.0024010248</f>
        <v/>
      </c>
      <c r="AV6" s="7">
        <f>W6*0.0120051238+V6*0.0024010248</f>
        <v/>
      </c>
      <c r="AW6" s="7">
        <f>X6*0.0120051238+W6*0.0024010248</f>
        <v/>
      </c>
      <c r="AX6" s="7">
        <f>Y6*0.0120051238+X6*0.0024010248</f>
        <v/>
      </c>
      <c r="AY6" s="7">
        <f>Z6*0.0120051238+Y6*0.0024010248</f>
        <v/>
      </c>
      <c r="AZ6" s="7">
        <f>AA6*0.0120051238+Z6*0.0024010248</f>
        <v/>
      </c>
      <c r="BA6" s="7">
        <f>D6*0.0120051238+AA6*0.0024010248</f>
        <v/>
      </c>
      <c r="BB6" s="7">
        <f>SUM(AD6:BA6)</f>
        <v/>
      </c>
    </row>
    <row r="7">
      <c r="A7" t="inlineStr">
        <is>
          <t>AMD-AIR-NEW-SSC</t>
        </is>
      </c>
      <c r="B7" t="inlineStr">
        <is>
          <t>Forward Regular OSC</t>
        </is>
      </c>
      <c r="C7" s="5" t="n">
        <v>46101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18</v>
      </c>
      <c r="T7" s="6" t="n">
        <v>12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>
        <f>SUM(D7:AA7)</f>
        <v/>
      </c>
      <c r="AC7" s="3" t="inlineStr"/>
      <c r="AD7" s="7">
        <f>E7*0.0120051238+D7*0.0024010248</f>
        <v/>
      </c>
      <c r="AE7" s="7">
        <f>F7*0.0120051238+E7*0.0024010248</f>
        <v/>
      </c>
      <c r="AF7" s="7">
        <f>G7*0.0120051238+F7*0.0024010248</f>
        <v/>
      </c>
      <c r="AG7" s="7">
        <f>H7*0.0120051238+G7*0.0024010248</f>
        <v/>
      </c>
      <c r="AH7" s="7">
        <f>I7*0.0120051238+H7*0.0024010248</f>
        <v/>
      </c>
      <c r="AI7" s="7">
        <f>J7*0.0120051238+I7*0.0024010248</f>
        <v/>
      </c>
      <c r="AJ7" s="7">
        <f>K7*0.0120051238+J7*0.0024010248</f>
        <v/>
      </c>
      <c r="AK7" s="7">
        <f>L7*0.0120051238+K7*0.0024010248</f>
        <v/>
      </c>
      <c r="AL7" s="7">
        <f>M7*0.0120051238+L7*0.0024010248</f>
        <v/>
      </c>
      <c r="AM7" s="7">
        <f>N7*0.0120051238+M7*0.0024010248</f>
        <v/>
      </c>
      <c r="AN7" s="7">
        <f>O7*0.0120051238+N7*0.0024010248</f>
        <v/>
      </c>
      <c r="AO7" s="7">
        <f>P7*0.0120051238+O7*0.0024010248</f>
        <v/>
      </c>
      <c r="AP7" s="7">
        <f>Q7*0.0120051238+P7*0.0024010248</f>
        <v/>
      </c>
      <c r="AQ7" s="7">
        <f>R7*0.0120051238+Q7*0.0024010248</f>
        <v/>
      </c>
      <c r="AR7" s="7">
        <f>S7*0.0120051238+R7*0.0024010248</f>
        <v/>
      </c>
      <c r="AS7" s="7">
        <f>T7*0.0120051238+S7*0.0024010248</f>
        <v/>
      </c>
      <c r="AT7" s="7">
        <f>U7*0.0120051238+T7*0.0024010248</f>
        <v/>
      </c>
      <c r="AU7" s="7">
        <f>V7*0.0120051238+U7*0.0024010248</f>
        <v/>
      </c>
      <c r="AV7" s="7">
        <f>W7*0.0120051238+V7*0.0024010248</f>
        <v/>
      </c>
      <c r="AW7" s="7">
        <f>X7*0.0120051238+W7*0.0024010248</f>
        <v/>
      </c>
      <c r="AX7" s="7">
        <f>Y7*0.0120051238+X7*0.0024010248</f>
        <v/>
      </c>
      <c r="AY7" s="7">
        <f>Z7*0.0120051238+Y7*0.0024010248</f>
        <v/>
      </c>
      <c r="AZ7" s="7">
        <f>AA7*0.0120051238+Z7*0.0024010248</f>
        <v/>
      </c>
      <c r="BA7" s="7">
        <f>D7*0.0120051238+AA7*0.0024010248</f>
        <v/>
      </c>
      <c r="BB7" s="7">
        <f>SUM(AD7:BA7)</f>
        <v/>
      </c>
    </row>
    <row r="8">
      <c r="A8" t="inlineStr">
        <is>
          <t>AMD-AIR-NEW-SSC</t>
        </is>
      </c>
      <c r="B8" t="inlineStr">
        <is>
          <t>Forward Regular OSC</t>
        </is>
      </c>
      <c r="C8" s="5" t="n">
        <v>46102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3</v>
      </c>
      <c r="S8" s="6" t="n">
        <v>5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>
        <f>SUM(D8:AA8)</f>
        <v/>
      </c>
      <c r="AC8" s="3" t="inlineStr"/>
      <c r="AD8" s="7">
        <f>E8*0.0120051238+D8*0.0024010248</f>
        <v/>
      </c>
      <c r="AE8" s="7">
        <f>F8*0.0120051238+E8*0.0024010248</f>
        <v/>
      </c>
      <c r="AF8" s="7">
        <f>G8*0.0120051238+F8*0.0024010248</f>
        <v/>
      </c>
      <c r="AG8" s="7">
        <f>H8*0.0120051238+G8*0.0024010248</f>
        <v/>
      </c>
      <c r="AH8" s="7">
        <f>I8*0.0120051238+H8*0.0024010248</f>
        <v/>
      </c>
      <c r="AI8" s="7">
        <f>J8*0.0120051238+I8*0.0024010248</f>
        <v/>
      </c>
      <c r="AJ8" s="7">
        <f>K8*0.0120051238+J8*0.0024010248</f>
        <v/>
      </c>
      <c r="AK8" s="7">
        <f>L8*0.0120051238+K8*0.0024010248</f>
        <v/>
      </c>
      <c r="AL8" s="7">
        <f>M8*0.0120051238+L8*0.0024010248</f>
        <v/>
      </c>
      <c r="AM8" s="7">
        <f>N8*0.0120051238+M8*0.0024010248</f>
        <v/>
      </c>
      <c r="AN8" s="7">
        <f>O8*0.0120051238+N8*0.0024010248</f>
        <v/>
      </c>
      <c r="AO8" s="7">
        <f>P8*0.0120051238+O8*0.0024010248</f>
        <v/>
      </c>
      <c r="AP8" s="7">
        <f>Q8*0.0120051238+P8*0.0024010248</f>
        <v/>
      </c>
      <c r="AQ8" s="7">
        <f>R8*0.0120051238+Q8*0.0024010248</f>
        <v/>
      </c>
      <c r="AR8" s="7">
        <f>S8*0.0120051238+R8*0.0024010248</f>
        <v/>
      </c>
      <c r="AS8" s="7">
        <f>T8*0.0120051238+S8*0.0024010248</f>
        <v/>
      </c>
      <c r="AT8" s="7">
        <f>U8*0.0120051238+T8*0.0024010248</f>
        <v/>
      </c>
      <c r="AU8" s="7">
        <f>V8*0.0120051238+U8*0.0024010248</f>
        <v/>
      </c>
      <c r="AV8" s="7">
        <f>W8*0.0120051238+V8*0.0024010248</f>
        <v/>
      </c>
      <c r="AW8" s="7">
        <f>X8*0.0120051238+W8*0.0024010248</f>
        <v/>
      </c>
      <c r="AX8" s="7">
        <f>Y8*0.0120051238+X8*0.0024010248</f>
        <v/>
      </c>
      <c r="AY8" s="7">
        <f>Z8*0.0120051238+Y8*0.0024010248</f>
        <v/>
      </c>
      <c r="AZ8" s="7">
        <f>AA8*0.0120051238+Z8*0.0024010248</f>
        <v/>
      </c>
      <c r="BA8" s="7">
        <f>D8*0.0120051238+AA8*0.0024010248</f>
        <v/>
      </c>
      <c r="BB8" s="7">
        <f>SUM(AD8:BA8)</f>
        <v/>
      </c>
    </row>
    <row r="9">
      <c r="A9" t="inlineStr">
        <is>
          <t>AMD-AIR-NEW-SSC</t>
        </is>
      </c>
      <c r="B9" t="inlineStr">
        <is>
          <t>Forward Regular OSC</t>
        </is>
      </c>
      <c r="C9" s="5" t="n">
        <v>46103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9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>
        <f>SUM(D9:AA9)</f>
        <v/>
      </c>
      <c r="AC9" s="3" t="inlineStr"/>
      <c r="AD9" s="7">
        <f>E9*0.0120051238+D9*0.0024010248</f>
        <v/>
      </c>
      <c r="AE9" s="7">
        <f>F9*0.0120051238+E9*0.0024010248</f>
        <v/>
      </c>
      <c r="AF9" s="7">
        <f>G9*0.0120051238+F9*0.0024010248</f>
        <v/>
      </c>
      <c r="AG9" s="7">
        <f>H9*0.0120051238+G9*0.0024010248</f>
        <v/>
      </c>
      <c r="AH9" s="7">
        <f>I9*0.0120051238+H9*0.0024010248</f>
        <v/>
      </c>
      <c r="AI9" s="7">
        <f>J9*0.0120051238+I9*0.0024010248</f>
        <v/>
      </c>
      <c r="AJ9" s="7">
        <f>K9*0.0120051238+J9*0.0024010248</f>
        <v/>
      </c>
      <c r="AK9" s="7">
        <f>L9*0.0120051238+K9*0.0024010248</f>
        <v/>
      </c>
      <c r="AL9" s="7">
        <f>M9*0.0120051238+L9*0.0024010248</f>
        <v/>
      </c>
      <c r="AM9" s="7">
        <f>N9*0.0120051238+M9*0.0024010248</f>
        <v/>
      </c>
      <c r="AN9" s="7">
        <f>O9*0.0120051238+N9*0.0024010248</f>
        <v/>
      </c>
      <c r="AO9" s="7">
        <f>P9*0.0120051238+O9*0.0024010248</f>
        <v/>
      </c>
      <c r="AP9" s="7">
        <f>Q9*0.0120051238+P9*0.0024010248</f>
        <v/>
      </c>
      <c r="AQ9" s="7">
        <f>R9*0.0120051238+Q9*0.0024010248</f>
        <v/>
      </c>
      <c r="AR9" s="7">
        <f>S9*0.0120051238+R9*0.0024010248</f>
        <v/>
      </c>
      <c r="AS9" s="7">
        <f>T9*0.0120051238+S9*0.0024010248</f>
        <v/>
      </c>
      <c r="AT9" s="7">
        <f>U9*0.0120051238+T9*0.0024010248</f>
        <v/>
      </c>
      <c r="AU9" s="7">
        <f>V9*0.0120051238+U9*0.0024010248</f>
        <v/>
      </c>
      <c r="AV9" s="7">
        <f>W9*0.0120051238+V9*0.0024010248</f>
        <v/>
      </c>
      <c r="AW9" s="7">
        <f>X9*0.0120051238+W9*0.0024010248</f>
        <v/>
      </c>
      <c r="AX9" s="7">
        <f>Y9*0.0120051238+X9*0.0024010248</f>
        <v/>
      </c>
      <c r="AY9" s="7">
        <f>Z9*0.0120051238+Y9*0.0024010248</f>
        <v/>
      </c>
      <c r="AZ9" s="7">
        <f>AA9*0.0120051238+Z9*0.0024010248</f>
        <v/>
      </c>
      <c r="BA9" s="7">
        <f>D9*0.0120051238+AA9*0.0024010248</f>
        <v/>
      </c>
      <c r="BB9" s="7">
        <f>SUM(AD9:BA9)</f>
        <v/>
      </c>
    </row>
    <row r="10">
      <c r="A10" t="inlineStr">
        <is>
          <t>AMD-AIR-NEW-SSC</t>
        </is>
      </c>
      <c r="B10" t="inlineStr">
        <is>
          <t>Forward Regular OSC</t>
        </is>
      </c>
      <c r="C10" s="5" t="n">
        <v>46104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10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>
        <f>SUM(D10:AA10)</f>
        <v/>
      </c>
      <c r="AC10" s="3" t="inlineStr"/>
      <c r="AD10" s="7">
        <f>E10*0.0120051238+D10*0.0024010248</f>
        <v/>
      </c>
      <c r="AE10" s="7">
        <f>F10*0.0120051238+E10*0.0024010248</f>
        <v/>
      </c>
      <c r="AF10" s="7">
        <f>G10*0.0120051238+F10*0.0024010248</f>
        <v/>
      </c>
      <c r="AG10" s="7">
        <f>H10*0.0120051238+G10*0.0024010248</f>
        <v/>
      </c>
      <c r="AH10" s="7">
        <f>I10*0.0120051238+H10*0.0024010248</f>
        <v/>
      </c>
      <c r="AI10" s="7">
        <f>J10*0.0120051238+I10*0.0024010248</f>
        <v/>
      </c>
      <c r="AJ10" s="7">
        <f>K10*0.0120051238+J10*0.0024010248</f>
        <v/>
      </c>
      <c r="AK10" s="7">
        <f>L10*0.0120051238+K10*0.0024010248</f>
        <v/>
      </c>
      <c r="AL10" s="7">
        <f>M10*0.0120051238+L10*0.0024010248</f>
        <v/>
      </c>
      <c r="AM10" s="7">
        <f>N10*0.0120051238+M10*0.0024010248</f>
        <v/>
      </c>
      <c r="AN10" s="7">
        <f>O10*0.0120051238+N10*0.0024010248</f>
        <v/>
      </c>
      <c r="AO10" s="7">
        <f>P10*0.0120051238+O10*0.0024010248</f>
        <v/>
      </c>
      <c r="AP10" s="7">
        <f>Q10*0.0120051238+P10*0.0024010248</f>
        <v/>
      </c>
      <c r="AQ10" s="7">
        <f>R10*0.0120051238+Q10*0.0024010248</f>
        <v/>
      </c>
      <c r="AR10" s="7">
        <f>S10*0.0120051238+R10*0.0024010248</f>
        <v/>
      </c>
      <c r="AS10" s="7">
        <f>T10*0.0120051238+S10*0.0024010248</f>
        <v/>
      </c>
      <c r="AT10" s="7">
        <f>U10*0.0120051238+T10*0.0024010248</f>
        <v/>
      </c>
      <c r="AU10" s="7">
        <f>V10*0.0120051238+U10*0.0024010248</f>
        <v/>
      </c>
      <c r="AV10" s="7">
        <f>W10*0.0120051238+V10*0.0024010248</f>
        <v/>
      </c>
      <c r="AW10" s="7">
        <f>X10*0.0120051238+W10*0.0024010248</f>
        <v/>
      </c>
      <c r="AX10" s="7">
        <f>Y10*0.0120051238+X10*0.0024010248</f>
        <v/>
      </c>
      <c r="AY10" s="7">
        <f>Z10*0.0120051238+Y10*0.0024010248</f>
        <v/>
      </c>
      <c r="AZ10" s="7">
        <f>AA10*0.0120051238+Z10*0.0024010248</f>
        <v/>
      </c>
      <c r="BA10" s="7">
        <f>D10*0.0120051238+AA10*0.0024010248</f>
        <v/>
      </c>
      <c r="BB10" s="7">
        <f>SUM(AD10:BA10)</f>
        <v/>
      </c>
    </row>
    <row r="11">
      <c r="A11" t="inlineStr">
        <is>
          <t>AMD-EXPR</t>
        </is>
      </c>
      <c r="B11" t="inlineStr">
        <is>
          <t>DSC Manual</t>
        </is>
      </c>
      <c r="C11" s="5" t="n">
        <v>46089</v>
      </c>
      <c r="D11" s="6" t="n">
        <v>0</v>
      </c>
      <c r="E11" s="6" t="n">
        <v>0</v>
      </c>
      <c r="F11" s="6" t="n">
        <v>0</v>
      </c>
      <c r="G11" s="6" t="n">
        <v>2</v>
      </c>
      <c r="H11" s="6" t="n">
        <v>18</v>
      </c>
      <c r="I11" s="6" t="n">
        <v>7</v>
      </c>
      <c r="J11" s="6" t="n">
        <v>5</v>
      </c>
      <c r="K11" s="6" t="n">
        <v>4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23</v>
      </c>
      <c r="T11" s="6" t="n">
        <v>0</v>
      </c>
      <c r="U11" s="6" t="n">
        <v>14</v>
      </c>
      <c r="V11" s="6" t="n">
        <v>18</v>
      </c>
      <c r="W11" s="6" t="n">
        <v>19</v>
      </c>
      <c r="X11" s="6" t="n">
        <v>31</v>
      </c>
      <c r="Y11" s="6" t="n">
        <v>32</v>
      </c>
      <c r="Z11" s="6" t="n">
        <v>0</v>
      </c>
      <c r="AA11" s="6" t="n">
        <v>0</v>
      </c>
      <c r="AB11" s="6">
        <f>SUM(D11:AA11)</f>
        <v/>
      </c>
      <c r="AC11" s="3" t="inlineStr"/>
      <c r="AD11" s="7">
        <f>E11*0.0120051238+D11*0.0024010248</f>
        <v/>
      </c>
      <c r="AE11" s="7">
        <f>F11*0.0120051238+E11*0.0024010248</f>
        <v/>
      </c>
      <c r="AF11" s="7">
        <f>G11*0.0120051238+F11*0.0024010248</f>
        <v/>
      </c>
      <c r="AG11" s="7">
        <f>H11*0.0120051238+G11*0.0024010248</f>
        <v/>
      </c>
      <c r="AH11" s="7">
        <f>I11*0.0120051238+H11*0.0024010248</f>
        <v/>
      </c>
      <c r="AI11" s="7">
        <f>J11*0.0120051238+I11*0.0024010248</f>
        <v/>
      </c>
      <c r="AJ11" s="7">
        <f>K11*0.0120051238+J11*0.0024010248</f>
        <v/>
      </c>
      <c r="AK11" s="7">
        <f>L11*0.0120051238+K11*0.0024010248</f>
        <v/>
      </c>
      <c r="AL11" s="7">
        <f>M11*0.0120051238+L11*0.0024010248</f>
        <v/>
      </c>
      <c r="AM11" s="7">
        <f>N11*0.0120051238+M11*0.0024010248</f>
        <v/>
      </c>
      <c r="AN11" s="7">
        <f>O11*0.0120051238+N11*0.0024010248</f>
        <v/>
      </c>
      <c r="AO11" s="7">
        <f>P11*0.0120051238+O11*0.0024010248</f>
        <v/>
      </c>
      <c r="AP11" s="7">
        <f>Q11*0.0120051238+P11*0.0024010248</f>
        <v/>
      </c>
      <c r="AQ11" s="7">
        <f>R11*0.0120051238+Q11*0.0024010248</f>
        <v/>
      </c>
      <c r="AR11" s="7">
        <f>S11*0.0120051238+R11*0.0024010248</f>
        <v/>
      </c>
      <c r="AS11" s="7">
        <f>T11*0.0120051238+S11*0.0024010248</f>
        <v/>
      </c>
      <c r="AT11" s="7">
        <f>U11*0.0120051238+T11*0.0024010248</f>
        <v/>
      </c>
      <c r="AU11" s="7">
        <f>V11*0.0120051238+U11*0.0024010248</f>
        <v/>
      </c>
      <c r="AV11" s="7">
        <f>W11*0.0120051238+V11*0.0024010248</f>
        <v/>
      </c>
      <c r="AW11" s="7">
        <f>X11*0.0120051238+W11*0.0024010248</f>
        <v/>
      </c>
      <c r="AX11" s="7">
        <f>Y11*0.0120051238+X11*0.0024010248</f>
        <v/>
      </c>
      <c r="AY11" s="7">
        <f>Z11*0.0120051238+Y11*0.0024010248</f>
        <v/>
      </c>
      <c r="AZ11" s="7">
        <f>AA11*0.0120051238+Z11*0.0024010248</f>
        <v/>
      </c>
      <c r="BA11" s="7">
        <f>D11*0.0120051238+AA11*0.0024010248</f>
        <v/>
      </c>
      <c r="BB11" s="7">
        <f>SUM(AD11:BA11)</f>
        <v/>
      </c>
    </row>
    <row r="12">
      <c r="A12" t="inlineStr">
        <is>
          <t>AMD-EXPR</t>
        </is>
      </c>
      <c r="B12" t="inlineStr">
        <is>
          <t>DSC Manual</t>
        </is>
      </c>
      <c r="C12" s="5" t="n">
        <v>46090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10</v>
      </c>
      <c r="J12" s="6" t="n">
        <v>15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23</v>
      </c>
      <c r="U12" s="6" t="n">
        <v>0</v>
      </c>
      <c r="V12" s="6" t="n">
        <v>17</v>
      </c>
      <c r="W12" s="6" t="n">
        <v>16</v>
      </c>
      <c r="X12" s="6" t="n">
        <v>22</v>
      </c>
      <c r="Y12" s="6" t="n">
        <v>22</v>
      </c>
      <c r="Z12" s="6" t="n">
        <v>23</v>
      </c>
      <c r="AA12" s="6" t="n">
        <v>0</v>
      </c>
      <c r="AB12" s="6">
        <f>SUM(D12:AA12)</f>
        <v/>
      </c>
      <c r="AC12" s="3" t="inlineStr"/>
      <c r="AD12" s="7">
        <f>E12*0.0120051238+D12*0.0024010248</f>
        <v/>
      </c>
      <c r="AE12" s="7">
        <f>F12*0.0120051238+E12*0.0024010248</f>
        <v/>
      </c>
      <c r="AF12" s="7">
        <f>G12*0.0120051238+F12*0.0024010248</f>
        <v/>
      </c>
      <c r="AG12" s="7">
        <f>H12*0.0120051238+G12*0.0024010248</f>
        <v/>
      </c>
      <c r="AH12" s="7">
        <f>I12*0.0120051238+H12*0.0024010248</f>
        <v/>
      </c>
      <c r="AI12" s="7">
        <f>J12*0.0120051238+I12*0.0024010248</f>
        <v/>
      </c>
      <c r="AJ12" s="7">
        <f>K12*0.0120051238+J12*0.0024010248</f>
        <v/>
      </c>
      <c r="AK12" s="7">
        <f>L12*0.0120051238+K12*0.0024010248</f>
        <v/>
      </c>
      <c r="AL12" s="7">
        <f>M12*0.0120051238+L12*0.0024010248</f>
        <v/>
      </c>
      <c r="AM12" s="7">
        <f>N12*0.0120051238+M12*0.0024010248</f>
        <v/>
      </c>
      <c r="AN12" s="7">
        <f>O12*0.0120051238+N12*0.0024010248</f>
        <v/>
      </c>
      <c r="AO12" s="7">
        <f>P12*0.0120051238+O12*0.0024010248</f>
        <v/>
      </c>
      <c r="AP12" s="7">
        <f>Q12*0.0120051238+P12*0.0024010248</f>
        <v/>
      </c>
      <c r="AQ12" s="7">
        <f>R12*0.0120051238+Q12*0.0024010248</f>
        <v/>
      </c>
      <c r="AR12" s="7">
        <f>S12*0.0120051238+R12*0.0024010248</f>
        <v/>
      </c>
      <c r="AS12" s="7">
        <f>T12*0.0120051238+S12*0.0024010248</f>
        <v/>
      </c>
      <c r="AT12" s="7">
        <f>U12*0.0120051238+T12*0.0024010248</f>
        <v/>
      </c>
      <c r="AU12" s="7">
        <f>V12*0.0120051238+U12*0.0024010248</f>
        <v/>
      </c>
      <c r="AV12" s="7">
        <f>W12*0.0120051238+V12*0.0024010248</f>
        <v/>
      </c>
      <c r="AW12" s="7">
        <f>X12*0.0120051238+W12*0.0024010248</f>
        <v/>
      </c>
      <c r="AX12" s="7">
        <f>Y12*0.0120051238+X12*0.0024010248</f>
        <v/>
      </c>
      <c r="AY12" s="7">
        <f>Z12*0.0120051238+Y12*0.0024010248</f>
        <v/>
      </c>
      <c r="AZ12" s="7">
        <f>AA12*0.0120051238+Z12*0.0024010248</f>
        <v/>
      </c>
      <c r="BA12" s="7">
        <f>D12*0.0120051238+AA12*0.0024010248</f>
        <v/>
      </c>
      <c r="BB12" s="7">
        <f>SUM(AD12:BA12)</f>
        <v/>
      </c>
    </row>
    <row r="13">
      <c r="A13" t="inlineStr">
        <is>
          <t>AMD-EXPR</t>
        </is>
      </c>
      <c r="B13" t="inlineStr">
        <is>
          <t>DSC Manual</t>
        </is>
      </c>
      <c r="C13" s="5" t="n">
        <v>46091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15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37</v>
      </c>
      <c r="T13" s="6" t="n">
        <v>13</v>
      </c>
      <c r="U13" s="6" t="n">
        <v>0</v>
      </c>
      <c r="V13" s="6" t="n">
        <v>15</v>
      </c>
      <c r="W13" s="6" t="n">
        <v>29</v>
      </c>
      <c r="X13" s="6" t="n">
        <v>14</v>
      </c>
      <c r="Y13" s="6" t="n">
        <v>48</v>
      </c>
      <c r="Z13" s="6" t="n">
        <v>13</v>
      </c>
      <c r="AA13" s="6" t="n">
        <v>0</v>
      </c>
      <c r="AB13" s="6">
        <f>SUM(D13:AA13)</f>
        <v/>
      </c>
      <c r="AC13" s="3" t="inlineStr"/>
      <c r="AD13" s="7">
        <f>E13*0.0120051238+D13*0.0024010248</f>
        <v/>
      </c>
      <c r="AE13" s="7">
        <f>F13*0.0120051238+E13*0.0024010248</f>
        <v/>
      </c>
      <c r="AF13" s="7">
        <f>G13*0.0120051238+F13*0.0024010248</f>
        <v/>
      </c>
      <c r="AG13" s="7">
        <f>H13*0.0120051238+G13*0.0024010248</f>
        <v/>
      </c>
      <c r="AH13" s="7">
        <f>I13*0.0120051238+H13*0.0024010248</f>
        <v/>
      </c>
      <c r="AI13" s="7">
        <f>J13*0.0120051238+I13*0.0024010248</f>
        <v/>
      </c>
      <c r="AJ13" s="7">
        <f>K13*0.0120051238+J13*0.0024010248</f>
        <v/>
      </c>
      <c r="AK13" s="7">
        <f>L13*0.0120051238+K13*0.0024010248</f>
        <v/>
      </c>
      <c r="AL13" s="7">
        <f>M13*0.0120051238+L13*0.0024010248</f>
        <v/>
      </c>
      <c r="AM13" s="7">
        <f>N13*0.0120051238+M13*0.0024010248</f>
        <v/>
      </c>
      <c r="AN13" s="7">
        <f>O13*0.0120051238+N13*0.0024010248</f>
        <v/>
      </c>
      <c r="AO13" s="7">
        <f>P13*0.0120051238+O13*0.0024010248</f>
        <v/>
      </c>
      <c r="AP13" s="7">
        <f>Q13*0.0120051238+P13*0.0024010248</f>
        <v/>
      </c>
      <c r="AQ13" s="7">
        <f>R13*0.0120051238+Q13*0.0024010248</f>
        <v/>
      </c>
      <c r="AR13" s="7">
        <f>S13*0.0120051238+R13*0.0024010248</f>
        <v/>
      </c>
      <c r="AS13" s="7">
        <f>T13*0.0120051238+S13*0.0024010248</f>
        <v/>
      </c>
      <c r="AT13" s="7">
        <f>U13*0.0120051238+T13*0.0024010248</f>
        <v/>
      </c>
      <c r="AU13" s="7">
        <f>V13*0.0120051238+U13*0.0024010248</f>
        <v/>
      </c>
      <c r="AV13" s="7">
        <f>W13*0.0120051238+V13*0.0024010248</f>
        <v/>
      </c>
      <c r="AW13" s="7">
        <f>X13*0.0120051238+W13*0.0024010248</f>
        <v/>
      </c>
      <c r="AX13" s="7">
        <f>Y13*0.0120051238+X13*0.0024010248</f>
        <v/>
      </c>
      <c r="AY13" s="7">
        <f>Z13*0.0120051238+Y13*0.0024010248</f>
        <v/>
      </c>
      <c r="AZ13" s="7">
        <f>AA13*0.0120051238+Z13*0.0024010248</f>
        <v/>
      </c>
      <c r="BA13" s="7">
        <f>D13*0.0120051238+AA13*0.0024010248</f>
        <v/>
      </c>
      <c r="BB13" s="7">
        <f>SUM(AD13:BA13)</f>
        <v/>
      </c>
    </row>
    <row r="14">
      <c r="A14" t="inlineStr">
        <is>
          <t>AMD-EXPR</t>
        </is>
      </c>
      <c r="B14" t="inlineStr">
        <is>
          <t>DSC Manual</t>
        </is>
      </c>
      <c r="C14" s="5" t="n">
        <v>46092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12</v>
      </c>
      <c r="K14" s="6" t="n">
        <v>16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16</v>
      </c>
      <c r="S14" s="6" t="n">
        <v>30</v>
      </c>
      <c r="T14" s="6" t="n">
        <v>0</v>
      </c>
      <c r="U14" s="6" t="n">
        <v>23</v>
      </c>
      <c r="V14" s="6" t="n">
        <v>26</v>
      </c>
      <c r="W14" s="6" t="n">
        <v>28</v>
      </c>
      <c r="X14" s="6" t="n">
        <v>34</v>
      </c>
      <c r="Y14" s="6" t="n">
        <v>22</v>
      </c>
      <c r="Z14" s="6" t="n">
        <v>4</v>
      </c>
      <c r="AA14" s="6" t="n">
        <v>0</v>
      </c>
      <c r="AB14" s="6">
        <f>SUM(D14:AA14)</f>
        <v/>
      </c>
      <c r="AC14" s="3" t="inlineStr"/>
      <c r="AD14" s="7">
        <f>E14*0.0120051238+D14*0.0024010248</f>
        <v/>
      </c>
      <c r="AE14" s="7">
        <f>F14*0.0120051238+E14*0.0024010248</f>
        <v/>
      </c>
      <c r="AF14" s="7">
        <f>G14*0.0120051238+F14*0.0024010248</f>
        <v/>
      </c>
      <c r="AG14" s="7">
        <f>H14*0.0120051238+G14*0.0024010248</f>
        <v/>
      </c>
      <c r="AH14" s="7">
        <f>I14*0.0120051238+H14*0.0024010248</f>
        <v/>
      </c>
      <c r="AI14" s="7">
        <f>J14*0.0120051238+I14*0.0024010248</f>
        <v/>
      </c>
      <c r="AJ14" s="7">
        <f>K14*0.0120051238+J14*0.0024010248</f>
        <v/>
      </c>
      <c r="AK14" s="7">
        <f>L14*0.0120051238+K14*0.0024010248</f>
        <v/>
      </c>
      <c r="AL14" s="7">
        <f>M14*0.0120051238+L14*0.0024010248</f>
        <v/>
      </c>
      <c r="AM14" s="7">
        <f>N14*0.0120051238+M14*0.0024010248</f>
        <v/>
      </c>
      <c r="AN14" s="7">
        <f>O14*0.0120051238+N14*0.0024010248</f>
        <v/>
      </c>
      <c r="AO14" s="7">
        <f>P14*0.0120051238+O14*0.0024010248</f>
        <v/>
      </c>
      <c r="AP14" s="7">
        <f>Q14*0.0120051238+P14*0.0024010248</f>
        <v/>
      </c>
      <c r="AQ14" s="7">
        <f>R14*0.0120051238+Q14*0.0024010248</f>
        <v/>
      </c>
      <c r="AR14" s="7">
        <f>S14*0.0120051238+R14*0.0024010248</f>
        <v/>
      </c>
      <c r="AS14" s="7">
        <f>T14*0.0120051238+S14*0.0024010248</f>
        <v/>
      </c>
      <c r="AT14" s="7">
        <f>U14*0.0120051238+T14*0.0024010248</f>
        <v/>
      </c>
      <c r="AU14" s="7">
        <f>V14*0.0120051238+U14*0.0024010248</f>
        <v/>
      </c>
      <c r="AV14" s="7">
        <f>W14*0.0120051238+V14*0.0024010248</f>
        <v/>
      </c>
      <c r="AW14" s="7">
        <f>X14*0.0120051238+W14*0.0024010248</f>
        <v/>
      </c>
      <c r="AX14" s="7">
        <f>Y14*0.0120051238+X14*0.0024010248</f>
        <v/>
      </c>
      <c r="AY14" s="7">
        <f>Z14*0.0120051238+Y14*0.0024010248</f>
        <v/>
      </c>
      <c r="AZ14" s="7">
        <f>AA14*0.0120051238+Z14*0.0024010248</f>
        <v/>
      </c>
      <c r="BA14" s="7">
        <f>D14*0.0120051238+AA14*0.0024010248</f>
        <v/>
      </c>
      <c r="BB14" s="7">
        <f>SUM(AD14:BA14)</f>
        <v/>
      </c>
    </row>
    <row r="15">
      <c r="A15" t="inlineStr">
        <is>
          <t>AMD-EXPR</t>
        </is>
      </c>
      <c r="B15" t="inlineStr">
        <is>
          <t>DSC Manual</t>
        </is>
      </c>
      <c r="C15" s="5" t="n">
        <v>46093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9</v>
      </c>
      <c r="I15" s="6" t="n">
        <v>12</v>
      </c>
      <c r="J15" s="6" t="n">
        <v>16</v>
      </c>
      <c r="K15" s="6" t="n">
        <v>9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26</v>
      </c>
      <c r="T15" s="6" t="n">
        <v>12</v>
      </c>
      <c r="U15" s="6" t="n">
        <v>20</v>
      </c>
      <c r="V15" s="6" t="n">
        <v>24</v>
      </c>
      <c r="W15" s="6" t="n">
        <v>30</v>
      </c>
      <c r="X15" s="6" t="n">
        <v>25</v>
      </c>
      <c r="Y15" s="6" t="n">
        <v>28</v>
      </c>
      <c r="Z15" s="6" t="n">
        <v>0</v>
      </c>
      <c r="AA15" s="6" t="n">
        <v>0</v>
      </c>
      <c r="AB15" s="6">
        <f>SUM(D15:AA15)</f>
        <v/>
      </c>
      <c r="AC15" s="3" t="inlineStr"/>
      <c r="AD15" s="7">
        <f>E15*0.0120051238+D15*0.0024010248</f>
        <v/>
      </c>
      <c r="AE15" s="7">
        <f>F15*0.0120051238+E15*0.0024010248</f>
        <v/>
      </c>
      <c r="AF15" s="7">
        <f>G15*0.0120051238+F15*0.0024010248</f>
        <v/>
      </c>
      <c r="AG15" s="7">
        <f>H15*0.0120051238+G15*0.0024010248</f>
        <v/>
      </c>
      <c r="AH15" s="7">
        <f>I15*0.0120051238+H15*0.0024010248</f>
        <v/>
      </c>
      <c r="AI15" s="7">
        <f>J15*0.0120051238+I15*0.0024010248</f>
        <v/>
      </c>
      <c r="AJ15" s="7">
        <f>K15*0.0120051238+J15*0.0024010248</f>
        <v/>
      </c>
      <c r="AK15" s="7">
        <f>L15*0.0120051238+K15*0.0024010248</f>
        <v/>
      </c>
      <c r="AL15" s="7">
        <f>M15*0.0120051238+L15*0.0024010248</f>
        <v/>
      </c>
      <c r="AM15" s="7">
        <f>N15*0.0120051238+M15*0.0024010248</f>
        <v/>
      </c>
      <c r="AN15" s="7">
        <f>O15*0.0120051238+N15*0.0024010248</f>
        <v/>
      </c>
      <c r="AO15" s="7">
        <f>P15*0.0120051238+O15*0.0024010248</f>
        <v/>
      </c>
      <c r="AP15" s="7">
        <f>Q15*0.0120051238+P15*0.0024010248</f>
        <v/>
      </c>
      <c r="AQ15" s="7">
        <f>R15*0.0120051238+Q15*0.0024010248</f>
        <v/>
      </c>
      <c r="AR15" s="7">
        <f>S15*0.0120051238+R15*0.0024010248</f>
        <v/>
      </c>
      <c r="AS15" s="7">
        <f>T15*0.0120051238+S15*0.0024010248</f>
        <v/>
      </c>
      <c r="AT15" s="7">
        <f>U15*0.0120051238+T15*0.0024010248</f>
        <v/>
      </c>
      <c r="AU15" s="7">
        <f>V15*0.0120051238+U15*0.0024010248</f>
        <v/>
      </c>
      <c r="AV15" s="7">
        <f>W15*0.0120051238+V15*0.0024010248</f>
        <v/>
      </c>
      <c r="AW15" s="7">
        <f>X15*0.0120051238+W15*0.0024010248</f>
        <v/>
      </c>
      <c r="AX15" s="7">
        <f>Y15*0.0120051238+X15*0.0024010248</f>
        <v/>
      </c>
      <c r="AY15" s="7">
        <f>Z15*0.0120051238+Y15*0.0024010248</f>
        <v/>
      </c>
      <c r="AZ15" s="7">
        <f>AA15*0.0120051238+Z15*0.0024010248</f>
        <v/>
      </c>
      <c r="BA15" s="7">
        <f>D15*0.0120051238+AA15*0.0024010248</f>
        <v/>
      </c>
      <c r="BB15" s="7">
        <f>SUM(AD15:BA15)</f>
        <v/>
      </c>
    </row>
    <row r="16">
      <c r="A16" t="inlineStr">
        <is>
          <t>AMD-EXPR</t>
        </is>
      </c>
      <c r="B16" t="inlineStr">
        <is>
          <t>DSC Manual</t>
        </is>
      </c>
      <c r="C16" s="5" t="n">
        <v>46094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4</v>
      </c>
      <c r="J16" s="6" t="n">
        <v>5</v>
      </c>
      <c r="K16" s="6" t="n">
        <v>12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10</v>
      </c>
      <c r="S16" s="6" t="n">
        <v>32</v>
      </c>
      <c r="T16" s="6" t="n">
        <v>11</v>
      </c>
      <c r="U16" s="6" t="n">
        <v>23</v>
      </c>
      <c r="V16" s="6" t="n">
        <v>25</v>
      </c>
      <c r="W16" s="6" t="n">
        <v>25</v>
      </c>
      <c r="X16" s="6" t="n">
        <v>40</v>
      </c>
      <c r="Y16" s="6" t="n">
        <v>46</v>
      </c>
      <c r="Z16" s="6" t="n">
        <v>0</v>
      </c>
      <c r="AA16" s="6" t="n">
        <v>0</v>
      </c>
      <c r="AB16" s="6">
        <f>SUM(D16:AA16)</f>
        <v/>
      </c>
      <c r="AC16" s="3" t="inlineStr"/>
      <c r="AD16" s="7">
        <f>E16*0.0120051238+D16*0.0024010248</f>
        <v/>
      </c>
      <c r="AE16" s="7">
        <f>F16*0.0120051238+E16*0.0024010248</f>
        <v/>
      </c>
      <c r="AF16" s="7">
        <f>G16*0.0120051238+F16*0.0024010248</f>
        <v/>
      </c>
      <c r="AG16" s="7">
        <f>H16*0.0120051238+G16*0.0024010248</f>
        <v/>
      </c>
      <c r="AH16" s="7">
        <f>I16*0.0120051238+H16*0.0024010248</f>
        <v/>
      </c>
      <c r="AI16" s="7">
        <f>J16*0.0120051238+I16*0.0024010248</f>
        <v/>
      </c>
      <c r="AJ16" s="7">
        <f>K16*0.0120051238+J16*0.0024010248</f>
        <v/>
      </c>
      <c r="AK16" s="7">
        <f>L16*0.0120051238+K16*0.0024010248</f>
        <v/>
      </c>
      <c r="AL16" s="7">
        <f>M16*0.0120051238+L16*0.0024010248</f>
        <v/>
      </c>
      <c r="AM16" s="7">
        <f>N16*0.0120051238+M16*0.0024010248</f>
        <v/>
      </c>
      <c r="AN16" s="7">
        <f>O16*0.0120051238+N16*0.0024010248</f>
        <v/>
      </c>
      <c r="AO16" s="7">
        <f>P16*0.0120051238+O16*0.0024010248</f>
        <v/>
      </c>
      <c r="AP16" s="7">
        <f>Q16*0.0120051238+P16*0.0024010248</f>
        <v/>
      </c>
      <c r="AQ16" s="7">
        <f>R16*0.0120051238+Q16*0.0024010248</f>
        <v/>
      </c>
      <c r="AR16" s="7">
        <f>S16*0.0120051238+R16*0.0024010248</f>
        <v/>
      </c>
      <c r="AS16" s="7">
        <f>T16*0.0120051238+S16*0.0024010248</f>
        <v/>
      </c>
      <c r="AT16" s="7">
        <f>U16*0.0120051238+T16*0.0024010248</f>
        <v/>
      </c>
      <c r="AU16" s="7">
        <f>V16*0.0120051238+U16*0.0024010248</f>
        <v/>
      </c>
      <c r="AV16" s="7">
        <f>W16*0.0120051238+V16*0.0024010248</f>
        <v/>
      </c>
      <c r="AW16" s="7">
        <f>X16*0.0120051238+W16*0.0024010248</f>
        <v/>
      </c>
      <c r="AX16" s="7">
        <f>Y16*0.0120051238+X16*0.0024010248</f>
        <v/>
      </c>
      <c r="AY16" s="7">
        <f>Z16*0.0120051238+Y16*0.0024010248</f>
        <v/>
      </c>
      <c r="AZ16" s="7">
        <f>AA16*0.0120051238+Z16*0.0024010248</f>
        <v/>
      </c>
      <c r="BA16" s="7">
        <f>D16*0.0120051238+AA16*0.0024010248</f>
        <v/>
      </c>
      <c r="BB16" s="7">
        <f>SUM(AD16:BA16)</f>
        <v/>
      </c>
    </row>
    <row r="17">
      <c r="A17" t="inlineStr">
        <is>
          <t>AMD-EXPR</t>
        </is>
      </c>
      <c r="B17" t="inlineStr">
        <is>
          <t>DSC Manual</t>
        </is>
      </c>
      <c r="C17" s="5" t="n">
        <v>46095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12</v>
      </c>
      <c r="K17" s="6" t="n">
        <v>5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20</v>
      </c>
      <c r="S17" s="6" t="n">
        <v>27</v>
      </c>
      <c r="T17" s="6" t="n">
        <v>10</v>
      </c>
      <c r="U17" s="6" t="n">
        <v>27</v>
      </c>
      <c r="V17" s="6" t="n">
        <v>22</v>
      </c>
      <c r="W17" s="6" t="n">
        <v>23</v>
      </c>
      <c r="X17" s="6" t="n">
        <v>23</v>
      </c>
      <c r="Y17" s="6" t="n">
        <v>0</v>
      </c>
      <c r="Z17" s="6" t="n">
        <v>0</v>
      </c>
      <c r="AA17" s="6" t="n">
        <v>0</v>
      </c>
      <c r="AB17" s="6">
        <f>SUM(D17:AA17)</f>
        <v/>
      </c>
      <c r="AC17" s="3" t="inlineStr"/>
      <c r="AD17" s="7">
        <f>E17*0.0120051238+D17*0.0024010248</f>
        <v/>
      </c>
      <c r="AE17" s="7">
        <f>F17*0.0120051238+E17*0.0024010248</f>
        <v/>
      </c>
      <c r="AF17" s="7">
        <f>G17*0.0120051238+F17*0.0024010248</f>
        <v/>
      </c>
      <c r="AG17" s="7">
        <f>H17*0.0120051238+G17*0.0024010248</f>
        <v/>
      </c>
      <c r="AH17" s="7">
        <f>I17*0.0120051238+H17*0.0024010248</f>
        <v/>
      </c>
      <c r="AI17" s="7">
        <f>J17*0.0120051238+I17*0.0024010248</f>
        <v/>
      </c>
      <c r="AJ17" s="7">
        <f>K17*0.0120051238+J17*0.0024010248</f>
        <v/>
      </c>
      <c r="AK17" s="7">
        <f>L17*0.0120051238+K17*0.0024010248</f>
        <v/>
      </c>
      <c r="AL17" s="7">
        <f>M17*0.0120051238+L17*0.0024010248</f>
        <v/>
      </c>
      <c r="AM17" s="7">
        <f>N17*0.0120051238+M17*0.0024010248</f>
        <v/>
      </c>
      <c r="AN17" s="7">
        <f>O17*0.0120051238+N17*0.0024010248</f>
        <v/>
      </c>
      <c r="AO17" s="7">
        <f>P17*0.0120051238+O17*0.0024010248</f>
        <v/>
      </c>
      <c r="AP17" s="7">
        <f>Q17*0.0120051238+P17*0.0024010248</f>
        <v/>
      </c>
      <c r="AQ17" s="7">
        <f>R17*0.0120051238+Q17*0.0024010248</f>
        <v/>
      </c>
      <c r="AR17" s="7">
        <f>S17*0.0120051238+R17*0.0024010248</f>
        <v/>
      </c>
      <c r="AS17" s="7">
        <f>T17*0.0120051238+S17*0.0024010248</f>
        <v/>
      </c>
      <c r="AT17" s="7">
        <f>U17*0.0120051238+T17*0.0024010248</f>
        <v/>
      </c>
      <c r="AU17" s="7">
        <f>V17*0.0120051238+U17*0.0024010248</f>
        <v/>
      </c>
      <c r="AV17" s="7">
        <f>W17*0.0120051238+V17*0.0024010248</f>
        <v/>
      </c>
      <c r="AW17" s="7">
        <f>X17*0.0120051238+W17*0.0024010248</f>
        <v/>
      </c>
      <c r="AX17" s="7">
        <f>Y17*0.0120051238+X17*0.0024010248</f>
        <v/>
      </c>
      <c r="AY17" s="7">
        <f>Z17*0.0120051238+Y17*0.0024010248</f>
        <v/>
      </c>
      <c r="AZ17" s="7">
        <f>AA17*0.0120051238+Z17*0.0024010248</f>
        <v/>
      </c>
      <c r="BA17" s="7">
        <f>D17*0.0120051238+AA17*0.0024010248</f>
        <v/>
      </c>
      <c r="BB17" s="7">
        <f>SUM(AD17:BA17)</f>
        <v/>
      </c>
    </row>
    <row r="18">
      <c r="A18" t="inlineStr">
        <is>
          <t>AMD-EXPR</t>
        </is>
      </c>
      <c r="B18" t="inlineStr">
        <is>
          <t>DSC Manual</t>
        </is>
      </c>
      <c r="C18" s="5" t="n">
        <v>46096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4</v>
      </c>
      <c r="I18" s="6" t="n">
        <v>18</v>
      </c>
      <c r="J18" s="6" t="n">
        <v>4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9</v>
      </c>
      <c r="S18" s="6" t="n">
        <v>29</v>
      </c>
      <c r="T18" s="6" t="n">
        <v>0</v>
      </c>
      <c r="U18" s="6" t="n">
        <v>27</v>
      </c>
      <c r="V18" s="6" t="n">
        <v>27</v>
      </c>
      <c r="W18" s="6" t="n">
        <v>22</v>
      </c>
      <c r="X18" s="6" t="n">
        <v>30</v>
      </c>
      <c r="Y18" s="6" t="n">
        <v>27</v>
      </c>
      <c r="Z18" s="6" t="n">
        <v>0</v>
      </c>
      <c r="AA18" s="6" t="n">
        <v>0</v>
      </c>
      <c r="AB18" s="6">
        <f>SUM(D18:AA18)</f>
        <v/>
      </c>
      <c r="AC18" s="3" t="inlineStr"/>
      <c r="AD18" s="7">
        <f>E18*0.0120051238+D18*0.0024010248</f>
        <v/>
      </c>
      <c r="AE18" s="7">
        <f>F18*0.0120051238+E18*0.0024010248</f>
        <v/>
      </c>
      <c r="AF18" s="7">
        <f>G18*0.0120051238+F18*0.0024010248</f>
        <v/>
      </c>
      <c r="AG18" s="7">
        <f>H18*0.0120051238+G18*0.0024010248</f>
        <v/>
      </c>
      <c r="AH18" s="7">
        <f>I18*0.0120051238+H18*0.0024010248</f>
        <v/>
      </c>
      <c r="AI18" s="7">
        <f>J18*0.0120051238+I18*0.0024010248</f>
        <v/>
      </c>
      <c r="AJ18" s="7">
        <f>K18*0.0120051238+J18*0.0024010248</f>
        <v/>
      </c>
      <c r="AK18" s="7">
        <f>L18*0.0120051238+K18*0.0024010248</f>
        <v/>
      </c>
      <c r="AL18" s="7">
        <f>M18*0.0120051238+L18*0.0024010248</f>
        <v/>
      </c>
      <c r="AM18" s="7">
        <f>N18*0.0120051238+M18*0.0024010248</f>
        <v/>
      </c>
      <c r="AN18" s="7">
        <f>O18*0.0120051238+N18*0.0024010248</f>
        <v/>
      </c>
      <c r="AO18" s="7">
        <f>P18*0.0120051238+O18*0.0024010248</f>
        <v/>
      </c>
      <c r="AP18" s="7">
        <f>Q18*0.0120051238+P18*0.0024010248</f>
        <v/>
      </c>
      <c r="AQ18" s="7">
        <f>R18*0.0120051238+Q18*0.0024010248</f>
        <v/>
      </c>
      <c r="AR18" s="7">
        <f>S18*0.0120051238+R18*0.0024010248</f>
        <v/>
      </c>
      <c r="AS18" s="7">
        <f>T18*0.0120051238+S18*0.0024010248</f>
        <v/>
      </c>
      <c r="AT18" s="7">
        <f>U18*0.0120051238+T18*0.0024010248</f>
        <v/>
      </c>
      <c r="AU18" s="7">
        <f>V18*0.0120051238+U18*0.0024010248</f>
        <v/>
      </c>
      <c r="AV18" s="7">
        <f>W18*0.0120051238+V18*0.0024010248</f>
        <v/>
      </c>
      <c r="AW18" s="7">
        <f>X18*0.0120051238+W18*0.0024010248</f>
        <v/>
      </c>
      <c r="AX18" s="7">
        <f>Y18*0.0120051238+X18*0.0024010248</f>
        <v/>
      </c>
      <c r="AY18" s="7">
        <f>Z18*0.0120051238+Y18*0.0024010248</f>
        <v/>
      </c>
      <c r="AZ18" s="7">
        <f>AA18*0.0120051238+Z18*0.0024010248</f>
        <v/>
      </c>
      <c r="BA18" s="7">
        <f>D18*0.0120051238+AA18*0.0024010248</f>
        <v/>
      </c>
      <c r="BB18" s="7">
        <f>SUM(AD18:BA18)</f>
        <v/>
      </c>
    </row>
    <row r="19">
      <c r="A19" t="inlineStr">
        <is>
          <t>AMD-EXPR</t>
        </is>
      </c>
      <c r="B19" t="inlineStr">
        <is>
          <t>DSC Manual</t>
        </is>
      </c>
      <c r="C19" s="5" t="n">
        <v>46097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11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6</v>
      </c>
      <c r="S19" s="6" t="n">
        <v>27</v>
      </c>
      <c r="T19" s="6" t="n">
        <v>0</v>
      </c>
      <c r="U19" s="6" t="n">
        <v>22</v>
      </c>
      <c r="V19" s="6" t="n">
        <v>9</v>
      </c>
      <c r="W19" s="6" t="n">
        <v>30</v>
      </c>
      <c r="X19" s="6" t="n">
        <v>26</v>
      </c>
      <c r="Y19" s="6" t="n">
        <v>27</v>
      </c>
      <c r="Z19" s="6" t="n">
        <v>0</v>
      </c>
      <c r="AA19" s="6" t="n">
        <v>0</v>
      </c>
      <c r="AB19" s="6">
        <f>SUM(D19:AA19)</f>
        <v/>
      </c>
      <c r="AC19" s="3" t="inlineStr"/>
      <c r="AD19" s="7">
        <f>E19*0.0120051238+D19*0.0024010248</f>
        <v/>
      </c>
      <c r="AE19" s="7">
        <f>F19*0.0120051238+E19*0.0024010248</f>
        <v/>
      </c>
      <c r="AF19" s="7">
        <f>G19*0.0120051238+F19*0.0024010248</f>
        <v/>
      </c>
      <c r="AG19" s="7">
        <f>H19*0.0120051238+G19*0.0024010248</f>
        <v/>
      </c>
      <c r="AH19" s="7">
        <f>I19*0.0120051238+H19*0.0024010248</f>
        <v/>
      </c>
      <c r="AI19" s="7">
        <f>J19*0.0120051238+I19*0.0024010248</f>
        <v/>
      </c>
      <c r="AJ19" s="7">
        <f>K19*0.0120051238+J19*0.0024010248</f>
        <v/>
      </c>
      <c r="AK19" s="7">
        <f>L19*0.0120051238+K19*0.0024010248</f>
        <v/>
      </c>
      <c r="AL19" s="7">
        <f>M19*0.0120051238+L19*0.0024010248</f>
        <v/>
      </c>
      <c r="AM19" s="7">
        <f>N19*0.0120051238+M19*0.0024010248</f>
        <v/>
      </c>
      <c r="AN19" s="7">
        <f>O19*0.0120051238+N19*0.0024010248</f>
        <v/>
      </c>
      <c r="AO19" s="7">
        <f>P19*0.0120051238+O19*0.0024010248</f>
        <v/>
      </c>
      <c r="AP19" s="7">
        <f>Q19*0.0120051238+P19*0.0024010248</f>
        <v/>
      </c>
      <c r="AQ19" s="7">
        <f>R19*0.0120051238+Q19*0.0024010248</f>
        <v/>
      </c>
      <c r="AR19" s="7">
        <f>S19*0.0120051238+R19*0.0024010248</f>
        <v/>
      </c>
      <c r="AS19" s="7">
        <f>T19*0.0120051238+S19*0.0024010248</f>
        <v/>
      </c>
      <c r="AT19" s="7">
        <f>U19*0.0120051238+T19*0.0024010248</f>
        <v/>
      </c>
      <c r="AU19" s="7">
        <f>V19*0.0120051238+U19*0.0024010248</f>
        <v/>
      </c>
      <c r="AV19" s="7">
        <f>W19*0.0120051238+V19*0.0024010248</f>
        <v/>
      </c>
      <c r="AW19" s="7">
        <f>X19*0.0120051238+W19*0.0024010248</f>
        <v/>
      </c>
      <c r="AX19" s="7">
        <f>Y19*0.0120051238+X19*0.0024010248</f>
        <v/>
      </c>
      <c r="AY19" s="7">
        <f>Z19*0.0120051238+Y19*0.0024010248</f>
        <v/>
      </c>
      <c r="AZ19" s="7">
        <f>AA19*0.0120051238+Z19*0.0024010248</f>
        <v/>
      </c>
      <c r="BA19" s="7">
        <f>D19*0.0120051238+AA19*0.0024010248</f>
        <v/>
      </c>
      <c r="BB19" s="7">
        <f>SUM(AD19:BA19)</f>
        <v/>
      </c>
    </row>
    <row r="20">
      <c r="A20" t="inlineStr">
        <is>
          <t>AMD-EXPR</t>
        </is>
      </c>
      <c r="B20" t="inlineStr">
        <is>
          <t>DSC Manual</t>
        </is>
      </c>
      <c r="C20" s="5" t="n">
        <v>46099</v>
      </c>
      <c r="D20" s="6" t="n">
        <v>0</v>
      </c>
      <c r="E20" s="6" t="n">
        <v>0</v>
      </c>
      <c r="F20" s="6" t="n">
        <v>2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4</v>
      </c>
      <c r="U20" s="6" t="n">
        <v>9</v>
      </c>
      <c r="V20" s="6" t="n">
        <v>5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>
        <f>SUM(D20:AA20)</f>
        <v/>
      </c>
      <c r="AC20" s="3" t="inlineStr"/>
      <c r="AD20" s="7">
        <f>E20*0.0120051238+D20*0.0024010248</f>
        <v/>
      </c>
      <c r="AE20" s="7">
        <f>F20*0.0120051238+E20*0.0024010248</f>
        <v/>
      </c>
      <c r="AF20" s="7">
        <f>G20*0.0120051238+F20*0.0024010248</f>
        <v/>
      </c>
      <c r="AG20" s="7">
        <f>H20*0.0120051238+G20*0.0024010248</f>
        <v/>
      </c>
      <c r="AH20" s="7">
        <f>I20*0.0120051238+H20*0.0024010248</f>
        <v/>
      </c>
      <c r="AI20" s="7">
        <f>J20*0.0120051238+I20*0.0024010248</f>
        <v/>
      </c>
      <c r="AJ20" s="7">
        <f>K20*0.0120051238+J20*0.0024010248</f>
        <v/>
      </c>
      <c r="AK20" s="7">
        <f>L20*0.0120051238+K20*0.0024010248</f>
        <v/>
      </c>
      <c r="AL20" s="7">
        <f>M20*0.0120051238+L20*0.0024010248</f>
        <v/>
      </c>
      <c r="AM20" s="7">
        <f>N20*0.0120051238+M20*0.0024010248</f>
        <v/>
      </c>
      <c r="AN20" s="7">
        <f>O20*0.0120051238+N20*0.0024010248</f>
        <v/>
      </c>
      <c r="AO20" s="7">
        <f>P20*0.0120051238+O20*0.0024010248</f>
        <v/>
      </c>
      <c r="AP20" s="7">
        <f>Q20*0.0120051238+P20*0.0024010248</f>
        <v/>
      </c>
      <c r="AQ20" s="7">
        <f>R20*0.0120051238+Q20*0.0024010248</f>
        <v/>
      </c>
      <c r="AR20" s="7">
        <f>S20*0.0120051238+R20*0.0024010248</f>
        <v/>
      </c>
      <c r="AS20" s="7">
        <f>T20*0.0120051238+S20*0.0024010248</f>
        <v/>
      </c>
      <c r="AT20" s="7">
        <f>U20*0.0120051238+T20*0.0024010248</f>
        <v/>
      </c>
      <c r="AU20" s="7">
        <f>V20*0.0120051238+U20*0.0024010248</f>
        <v/>
      </c>
      <c r="AV20" s="7">
        <f>W20*0.0120051238+V20*0.0024010248</f>
        <v/>
      </c>
      <c r="AW20" s="7">
        <f>X20*0.0120051238+W20*0.0024010248</f>
        <v/>
      </c>
      <c r="AX20" s="7">
        <f>Y20*0.0120051238+X20*0.0024010248</f>
        <v/>
      </c>
      <c r="AY20" s="7">
        <f>Z20*0.0120051238+Y20*0.0024010248</f>
        <v/>
      </c>
      <c r="AZ20" s="7">
        <f>AA20*0.0120051238+Z20*0.0024010248</f>
        <v/>
      </c>
      <c r="BA20" s="7">
        <f>D20*0.0120051238+AA20*0.0024010248</f>
        <v/>
      </c>
      <c r="BB20" s="7">
        <f>SUM(AD20:BA20)</f>
        <v/>
      </c>
    </row>
    <row r="21">
      <c r="A21" t="inlineStr">
        <is>
          <t>AMD-EXPR</t>
        </is>
      </c>
      <c r="B21" t="inlineStr">
        <is>
          <t>DSC Manual</t>
        </is>
      </c>
      <c r="C21" s="5" t="n">
        <v>46100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12</v>
      </c>
      <c r="Z21" s="6" t="n">
        <v>0</v>
      </c>
      <c r="AA21" s="6" t="n">
        <v>0</v>
      </c>
      <c r="AB21" s="6">
        <f>SUM(D21:AA21)</f>
        <v/>
      </c>
      <c r="AC21" s="3" t="inlineStr"/>
      <c r="AD21" s="7">
        <f>E21*0.0120051238+D21*0.0024010248</f>
        <v/>
      </c>
      <c r="AE21" s="7">
        <f>F21*0.0120051238+E21*0.0024010248</f>
        <v/>
      </c>
      <c r="AF21" s="7">
        <f>G21*0.0120051238+F21*0.0024010248</f>
        <v/>
      </c>
      <c r="AG21" s="7">
        <f>H21*0.0120051238+G21*0.0024010248</f>
        <v/>
      </c>
      <c r="AH21" s="7">
        <f>I21*0.0120051238+H21*0.0024010248</f>
        <v/>
      </c>
      <c r="AI21" s="7">
        <f>J21*0.0120051238+I21*0.0024010248</f>
        <v/>
      </c>
      <c r="AJ21" s="7">
        <f>K21*0.0120051238+J21*0.0024010248</f>
        <v/>
      </c>
      <c r="AK21" s="7">
        <f>L21*0.0120051238+K21*0.0024010248</f>
        <v/>
      </c>
      <c r="AL21" s="7">
        <f>M21*0.0120051238+L21*0.0024010248</f>
        <v/>
      </c>
      <c r="AM21" s="7">
        <f>N21*0.0120051238+M21*0.0024010248</f>
        <v/>
      </c>
      <c r="AN21" s="7">
        <f>O21*0.0120051238+N21*0.0024010248</f>
        <v/>
      </c>
      <c r="AO21" s="7">
        <f>P21*0.0120051238+O21*0.0024010248</f>
        <v/>
      </c>
      <c r="AP21" s="7">
        <f>Q21*0.0120051238+P21*0.0024010248</f>
        <v/>
      </c>
      <c r="AQ21" s="7">
        <f>R21*0.0120051238+Q21*0.0024010248</f>
        <v/>
      </c>
      <c r="AR21" s="7">
        <f>S21*0.0120051238+R21*0.0024010248</f>
        <v/>
      </c>
      <c r="AS21" s="7">
        <f>T21*0.0120051238+S21*0.0024010248</f>
        <v/>
      </c>
      <c r="AT21" s="7">
        <f>U21*0.0120051238+T21*0.0024010248</f>
        <v/>
      </c>
      <c r="AU21" s="7">
        <f>V21*0.0120051238+U21*0.0024010248</f>
        <v/>
      </c>
      <c r="AV21" s="7">
        <f>W21*0.0120051238+V21*0.0024010248</f>
        <v/>
      </c>
      <c r="AW21" s="7">
        <f>X21*0.0120051238+W21*0.0024010248</f>
        <v/>
      </c>
      <c r="AX21" s="7">
        <f>Y21*0.0120051238+X21*0.0024010248</f>
        <v/>
      </c>
      <c r="AY21" s="7">
        <f>Z21*0.0120051238+Y21*0.0024010248</f>
        <v/>
      </c>
      <c r="AZ21" s="7">
        <f>AA21*0.0120051238+Z21*0.0024010248</f>
        <v/>
      </c>
      <c r="BA21" s="7">
        <f>D21*0.0120051238+AA21*0.0024010248</f>
        <v/>
      </c>
      <c r="BB21" s="7">
        <f>SUM(AD21:BA21)</f>
        <v/>
      </c>
    </row>
    <row r="22">
      <c r="A22" t="inlineStr">
        <is>
          <t>AMD-EXPR</t>
        </is>
      </c>
      <c r="B22" t="inlineStr">
        <is>
          <t>DSC Manual</t>
        </is>
      </c>
      <c r="C22" s="5" t="n">
        <v>46102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6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12</v>
      </c>
      <c r="Z22" s="6" t="n">
        <v>0</v>
      </c>
      <c r="AA22" s="6" t="n">
        <v>0</v>
      </c>
      <c r="AB22" s="6">
        <f>SUM(D22:AA22)</f>
        <v/>
      </c>
      <c r="AC22" s="3" t="inlineStr"/>
      <c r="AD22" s="7">
        <f>E22*0.0120051238+D22*0.0024010248</f>
        <v/>
      </c>
      <c r="AE22" s="7">
        <f>F22*0.0120051238+E22*0.0024010248</f>
        <v/>
      </c>
      <c r="AF22" s="7">
        <f>G22*0.0120051238+F22*0.0024010248</f>
        <v/>
      </c>
      <c r="AG22" s="7">
        <f>H22*0.0120051238+G22*0.0024010248</f>
        <v/>
      </c>
      <c r="AH22" s="7">
        <f>I22*0.0120051238+H22*0.0024010248</f>
        <v/>
      </c>
      <c r="AI22" s="7">
        <f>J22*0.0120051238+I22*0.0024010248</f>
        <v/>
      </c>
      <c r="AJ22" s="7">
        <f>K22*0.0120051238+J22*0.0024010248</f>
        <v/>
      </c>
      <c r="AK22" s="7">
        <f>L22*0.0120051238+K22*0.0024010248</f>
        <v/>
      </c>
      <c r="AL22" s="7">
        <f>M22*0.0120051238+L22*0.0024010248</f>
        <v/>
      </c>
      <c r="AM22" s="7">
        <f>N22*0.0120051238+M22*0.0024010248</f>
        <v/>
      </c>
      <c r="AN22" s="7">
        <f>O22*0.0120051238+N22*0.0024010248</f>
        <v/>
      </c>
      <c r="AO22" s="7">
        <f>P22*0.0120051238+O22*0.0024010248</f>
        <v/>
      </c>
      <c r="AP22" s="7">
        <f>Q22*0.0120051238+P22*0.0024010248</f>
        <v/>
      </c>
      <c r="AQ22" s="7">
        <f>R22*0.0120051238+Q22*0.0024010248</f>
        <v/>
      </c>
      <c r="AR22" s="7">
        <f>S22*0.0120051238+R22*0.0024010248</f>
        <v/>
      </c>
      <c r="AS22" s="7">
        <f>T22*0.0120051238+S22*0.0024010248</f>
        <v/>
      </c>
      <c r="AT22" s="7">
        <f>U22*0.0120051238+T22*0.0024010248</f>
        <v/>
      </c>
      <c r="AU22" s="7">
        <f>V22*0.0120051238+U22*0.0024010248</f>
        <v/>
      </c>
      <c r="AV22" s="7">
        <f>W22*0.0120051238+V22*0.0024010248</f>
        <v/>
      </c>
      <c r="AW22" s="7">
        <f>X22*0.0120051238+W22*0.0024010248</f>
        <v/>
      </c>
      <c r="AX22" s="7">
        <f>Y22*0.0120051238+X22*0.0024010248</f>
        <v/>
      </c>
      <c r="AY22" s="7">
        <f>Z22*0.0120051238+Y22*0.0024010248</f>
        <v/>
      </c>
      <c r="AZ22" s="7">
        <f>AA22*0.0120051238+Z22*0.0024010248</f>
        <v/>
      </c>
      <c r="BA22" s="7">
        <f>D22*0.0120051238+AA22*0.0024010248</f>
        <v/>
      </c>
      <c r="BB22" s="7">
        <f>SUM(AD22:BA22)</f>
        <v/>
      </c>
    </row>
    <row r="23">
      <c r="A23" t="inlineStr">
        <is>
          <t>AMD-EXPR</t>
        </is>
      </c>
      <c r="B23" t="inlineStr">
        <is>
          <t>DSC Manual</t>
        </is>
      </c>
      <c r="C23" s="5" t="n">
        <v>46103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2</v>
      </c>
      <c r="K23" s="6" t="n">
        <v>2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8</v>
      </c>
      <c r="Z23" s="6" t="n">
        <v>0</v>
      </c>
      <c r="AA23" s="6" t="n">
        <v>0</v>
      </c>
      <c r="AB23" s="6">
        <f>SUM(D23:AA23)</f>
        <v/>
      </c>
      <c r="AC23" s="3" t="inlineStr"/>
      <c r="AD23" s="7">
        <f>E23*0.0120051238+D23*0.0024010248</f>
        <v/>
      </c>
      <c r="AE23" s="7">
        <f>F23*0.0120051238+E23*0.0024010248</f>
        <v/>
      </c>
      <c r="AF23" s="7">
        <f>G23*0.0120051238+F23*0.0024010248</f>
        <v/>
      </c>
      <c r="AG23" s="7">
        <f>H23*0.0120051238+G23*0.0024010248</f>
        <v/>
      </c>
      <c r="AH23" s="7">
        <f>I23*0.0120051238+H23*0.0024010248</f>
        <v/>
      </c>
      <c r="AI23" s="7">
        <f>J23*0.0120051238+I23*0.0024010248</f>
        <v/>
      </c>
      <c r="AJ23" s="7">
        <f>K23*0.0120051238+J23*0.0024010248</f>
        <v/>
      </c>
      <c r="AK23" s="7">
        <f>L23*0.0120051238+K23*0.0024010248</f>
        <v/>
      </c>
      <c r="AL23" s="7">
        <f>M23*0.0120051238+L23*0.0024010248</f>
        <v/>
      </c>
      <c r="AM23" s="7">
        <f>N23*0.0120051238+M23*0.0024010248</f>
        <v/>
      </c>
      <c r="AN23" s="7">
        <f>O23*0.0120051238+N23*0.0024010248</f>
        <v/>
      </c>
      <c r="AO23" s="7">
        <f>P23*0.0120051238+O23*0.0024010248</f>
        <v/>
      </c>
      <c r="AP23" s="7">
        <f>Q23*0.0120051238+P23*0.0024010248</f>
        <v/>
      </c>
      <c r="AQ23" s="7">
        <f>R23*0.0120051238+Q23*0.0024010248</f>
        <v/>
      </c>
      <c r="AR23" s="7">
        <f>S23*0.0120051238+R23*0.0024010248</f>
        <v/>
      </c>
      <c r="AS23" s="7">
        <f>T23*0.0120051238+S23*0.0024010248</f>
        <v/>
      </c>
      <c r="AT23" s="7">
        <f>U23*0.0120051238+T23*0.0024010248</f>
        <v/>
      </c>
      <c r="AU23" s="7">
        <f>V23*0.0120051238+U23*0.0024010248</f>
        <v/>
      </c>
      <c r="AV23" s="7">
        <f>W23*0.0120051238+V23*0.0024010248</f>
        <v/>
      </c>
      <c r="AW23" s="7">
        <f>X23*0.0120051238+W23*0.0024010248</f>
        <v/>
      </c>
      <c r="AX23" s="7">
        <f>Y23*0.0120051238+X23*0.0024010248</f>
        <v/>
      </c>
      <c r="AY23" s="7">
        <f>Z23*0.0120051238+Y23*0.0024010248</f>
        <v/>
      </c>
      <c r="AZ23" s="7">
        <f>AA23*0.0120051238+Z23*0.0024010248</f>
        <v/>
      </c>
      <c r="BA23" s="7">
        <f>D23*0.0120051238+AA23*0.0024010248</f>
        <v/>
      </c>
      <c r="BB23" s="7">
        <f>SUM(AD23:BA23)</f>
        <v/>
      </c>
    </row>
    <row r="24">
      <c r="A24" t="inlineStr">
        <is>
          <t>AMD-EXPR</t>
        </is>
      </c>
      <c r="B24" t="inlineStr">
        <is>
          <t>DSC Manual</t>
        </is>
      </c>
      <c r="C24" s="5" t="n">
        <v>46104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5</v>
      </c>
      <c r="Z24" s="6" t="n">
        <v>0</v>
      </c>
      <c r="AA24" s="6" t="n">
        <v>0</v>
      </c>
      <c r="AB24" s="6">
        <f>SUM(D24:AA24)</f>
        <v/>
      </c>
      <c r="AC24" s="3" t="inlineStr"/>
      <c r="AD24" s="7">
        <f>E24*0.0120051238+D24*0.0024010248</f>
        <v/>
      </c>
      <c r="AE24" s="7">
        <f>F24*0.0120051238+E24*0.0024010248</f>
        <v/>
      </c>
      <c r="AF24" s="7">
        <f>G24*0.0120051238+F24*0.0024010248</f>
        <v/>
      </c>
      <c r="AG24" s="7">
        <f>H24*0.0120051238+G24*0.0024010248</f>
        <v/>
      </c>
      <c r="AH24" s="7">
        <f>I24*0.0120051238+H24*0.0024010248</f>
        <v/>
      </c>
      <c r="AI24" s="7">
        <f>J24*0.0120051238+I24*0.0024010248</f>
        <v/>
      </c>
      <c r="AJ24" s="7">
        <f>K24*0.0120051238+J24*0.0024010248</f>
        <v/>
      </c>
      <c r="AK24" s="7">
        <f>L24*0.0120051238+K24*0.0024010248</f>
        <v/>
      </c>
      <c r="AL24" s="7">
        <f>M24*0.0120051238+L24*0.0024010248</f>
        <v/>
      </c>
      <c r="AM24" s="7">
        <f>N24*0.0120051238+M24*0.0024010248</f>
        <v/>
      </c>
      <c r="AN24" s="7">
        <f>O24*0.0120051238+N24*0.0024010248</f>
        <v/>
      </c>
      <c r="AO24" s="7">
        <f>P24*0.0120051238+O24*0.0024010248</f>
        <v/>
      </c>
      <c r="AP24" s="7">
        <f>Q24*0.0120051238+P24*0.0024010248</f>
        <v/>
      </c>
      <c r="AQ24" s="7">
        <f>R24*0.0120051238+Q24*0.0024010248</f>
        <v/>
      </c>
      <c r="AR24" s="7">
        <f>S24*0.0120051238+R24*0.0024010248</f>
        <v/>
      </c>
      <c r="AS24" s="7">
        <f>T24*0.0120051238+S24*0.0024010248</f>
        <v/>
      </c>
      <c r="AT24" s="7">
        <f>U24*0.0120051238+T24*0.0024010248</f>
        <v/>
      </c>
      <c r="AU24" s="7">
        <f>V24*0.0120051238+U24*0.0024010248</f>
        <v/>
      </c>
      <c r="AV24" s="7">
        <f>W24*0.0120051238+V24*0.0024010248</f>
        <v/>
      </c>
      <c r="AW24" s="7">
        <f>X24*0.0120051238+W24*0.0024010248</f>
        <v/>
      </c>
      <c r="AX24" s="7">
        <f>Y24*0.0120051238+X24*0.0024010248</f>
        <v/>
      </c>
      <c r="AY24" s="7">
        <f>Z24*0.0120051238+Y24*0.0024010248</f>
        <v/>
      </c>
      <c r="AZ24" s="7">
        <f>AA24*0.0120051238+Z24*0.0024010248</f>
        <v/>
      </c>
      <c r="BA24" s="7">
        <f>D24*0.0120051238+AA24*0.0024010248</f>
        <v/>
      </c>
      <c r="BB24" s="7">
        <f>SUM(AD24:BA24)</f>
        <v/>
      </c>
    </row>
    <row r="25">
      <c r="A25" t="inlineStr">
        <is>
          <t>AMD-EXPR</t>
        </is>
      </c>
      <c r="B25" t="inlineStr">
        <is>
          <t>DSC Manual</t>
        </is>
      </c>
      <c r="C25" s="5" t="n">
        <v>46105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2</v>
      </c>
      <c r="J25" s="6" t="n">
        <v>1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>
        <f>SUM(D25:AA25)</f>
        <v/>
      </c>
      <c r="AC25" s="3" t="inlineStr"/>
      <c r="AD25" s="7">
        <f>E25*0.0120051238+D25*0.0024010248</f>
        <v/>
      </c>
      <c r="AE25" s="7">
        <f>F25*0.0120051238+E25*0.0024010248</f>
        <v/>
      </c>
      <c r="AF25" s="7">
        <f>G25*0.0120051238+F25*0.0024010248</f>
        <v/>
      </c>
      <c r="AG25" s="7">
        <f>H25*0.0120051238+G25*0.0024010248</f>
        <v/>
      </c>
      <c r="AH25" s="7">
        <f>I25*0.0120051238+H25*0.0024010248</f>
        <v/>
      </c>
      <c r="AI25" s="7">
        <f>J25*0.0120051238+I25*0.0024010248</f>
        <v/>
      </c>
      <c r="AJ25" s="7">
        <f>K25*0.0120051238+J25*0.0024010248</f>
        <v/>
      </c>
      <c r="AK25" s="7">
        <f>L25*0.0120051238+K25*0.0024010248</f>
        <v/>
      </c>
      <c r="AL25" s="7">
        <f>M25*0.0120051238+L25*0.0024010248</f>
        <v/>
      </c>
      <c r="AM25" s="7">
        <f>N25*0.0120051238+M25*0.0024010248</f>
        <v/>
      </c>
      <c r="AN25" s="7">
        <f>O25*0.0120051238+N25*0.0024010248</f>
        <v/>
      </c>
      <c r="AO25" s="7">
        <f>P25*0.0120051238+O25*0.0024010248</f>
        <v/>
      </c>
      <c r="AP25" s="7">
        <f>Q25*0.0120051238+P25*0.0024010248</f>
        <v/>
      </c>
      <c r="AQ25" s="7">
        <f>R25*0.0120051238+Q25*0.0024010248</f>
        <v/>
      </c>
      <c r="AR25" s="7">
        <f>S25*0.0120051238+R25*0.0024010248</f>
        <v/>
      </c>
      <c r="AS25" s="7">
        <f>T25*0.0120051238+S25*0.0024010248</f>
        <v/>
      </c>
      <c r="AT25" s="7">
        <f>U25*0.0120051238+T25*0.0024010248</f>
        <v/>
      </c>
      <c r="AU25" s="7">
        <f>V25*0.0120051238+U25*0.0024010248</f>
        <v/>
      </c>
      <c r="AV25" s="7">
        <f>W25*0.0120051238+V25*0.0024010248</f>
        <v/>
      </c>
      <c r="AW25" s="7">
        <f>X25*0.0120051238+W25*0.0024010248</f>
        <v/>
      </c>
      <c r="AX25" s="7">
        <f>Y25*0.0120051238+X25*0.0024010248</f>
        <v/>
      </c>
      <c r="AY25" s="7">
        <f>Z25*0.0120051238+Y25*0.0024010248</f>
        <v/>
      </c>
      <c r="AZ25" s="7">
        <f>AA25*0.0120051238+Z25*0.0024010248</f>
        <v/>
      </c>
      <c r="BA25" s="7">
        <f>D25*0.0120051238+AA25*0.0024010248</f>
        <v/>
      </c>
      <c r="BB25" s="7">
        <f>SUM(AD25:BA25)</f>
        <v/>
      </c>
    </row>
    <row r="26">
      <c r="A26" t="inlineStr">
        <is>
          <t>AMD-FK-SSC</t>
        </is>
      </c>
      <c r="B26" t="inlineStr">
        <is>
          <t>Prime at Client side</t>
        </is>
      </c>
      <c r="C26" s="5" t="n">
        <v>46089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2</v>
      </c>
      <c r="P26" s="6" t="n">
        <v>6</v>
      </c>
      <c r="Q26" s="6" t="n">
        <v>15</v>
      </c>
      <c r="R26" s="6" t="n">
        <v>7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>
        <f>SUM(D26:AA26)</f>
        <v/>
      </c>
      <c r="AC26" s="3" t="inlineStr"/>
      <c r="AD26" s="7">
        <f>E26*0.0120051238+D26*0.0024010248</f>
        <v/>
      </c>
      <c r="AE26" s="7">
        <f>F26*0.0120051238+E26*0.0024010248</f>
        <v/>
      </c>
      <c r="AF26" s="7">
        <f>G26*0.0120051238+F26*0.0024010248</f>
        <v/>
      </c>
      <c r="AG26" s="7">
        <f>H26*0.0120051238+G26*0.0024010248</f>
        <v/>
      </c>
      <c r="AH26" s="7">
        <f>I26*0.0120051238+H26*0.0024010248</f>
        <v/>
      </c>
      <c r="AI26" s="7">
        <f>J26*0.0120051238+I26*0.0024010248</f>
        <v/>
      </c>
      <c r="AJ26" s="7">
        <f>K26*0.0120051238+J26*0.0024010248</f>
        <v/>
      </c>
      <c r="AK26" s="7">
        <f>L26*0.0120051238+K26*0.0024010248</f>
        <v/>
      </c>
      <c r="AL26" s="7">
        <f>M26*0.0120051238+L26*0.0024010248</f>
        <v/>
      </c>
      <c r="AM26" s="7">
        <f>N26*0.0120051238+M26*0.0024010248</f>
        <v/>
      </c>
      <c r="AN26" s="7">
        <f>O26*0.0120051238+N26*0.0024010248</f>
        <v/>
      </c>
      <c r="AO26" s="7">
        <f>P26*0.0120051238+O26*0.0024010248</f>
        <v/>
      </c>
      <c r="AP26" s="7">
        <f>Q26*0.0120051238+P26*0.0024010248</f>
        <v/>
      </c>
      <c r="AQ26" s="7">
        <f>R26*0.0120051238+Q26*0.0024010248</f>
        <v/>
      </c>
      <c r="AR26" s="7">
        <f>S26*0.0120051238+R26*0.0024010248</f>
        <v/>
      </c>
      <c r="AS26" s="7">
        <f>T26*0.0120051238+S26*0.0024010248</f>
        <v/>
      </c>
      <c r="AT26" s="7">
        <f>U26*0.0120051238+T26*0.0024010248</f>
        <v/>
      </c>
      <c r="AU26" s="7">
        <f>V26*0.0120051238+U26*0.0024010248</f>
        <v/>
      </c>
      <c r="AV26" s="7">
        <f>W26*0.0120051238+V26*0.0024010248</f>
        <v/>
      </c>
      <c r="AW26" s="7">
        <f>X26*0.0120051238+W26*0.0024010248</f>
        <v/>
      </c>
      <c r="AX26" s="7">
        <f>Y26*0.0120051238+X26*0.0024010248</f>
        <v/>
      </c>
      <c r="AY26" s="7">
        <f>Z26*0.0120051238+Y26*0.0024010248</f>
        <v/>
      </c>
      <c r="AZ26" s="7">
        <f>AA26*0.0120051238+Z26*0.0024010248</f>
        <v/>
      </c>
      <c r="BA26" s="7">
        <f>D26*0.0120051238+AA26*0.0024010248</f>
        <v/>
      </c>
      <c r="BB26" s="7">
        <f>SUM(AD26:BA26)</f>
        <v/>
      </c>
    </row>
    <row r="27">
      <c r="A27" t="inlineStr">
        <is>
          <t>AMD-FK-SSC</t>
        </is>
      </c>
      <c r="B27" t="inlineStr">
        <is>
          <t>Prime at Client side</t>
        </is>
      </c>
      <c r="C27" s="5" t="n">
        <v>46090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4</v>
      </c>
      <c r="P27" s="6" t="n">
        <v>8</v>
      </c>
      <c r="Q27" s="6" t="n">
        <v>14</v>
      </c>
      <c r="R27" s="6" t="n">
        <v>1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>
        <f>SUM(D27:AA27)</f>
        <v/>
      </c>
      <c r="AC27" s="3" t="inlineStr"/>
      <c r="AD27" s="7">
        <f>E27*0.0120051238+D27*0.0024010248</f>
        <v/>
      </c>
      <c r="AE27" s="7">
        <f>F27*0.0120051238+E27*0.0024010248</f>
        <v/>
      </c>
      <c r="AF27" s="7">
        <f>G27*0.0120051238+F27*0.0024010248</f>
        <v/>
      </c>
      <c r="AG27" s="7">
        <f>H27*0.0120051238+G27*0.0024010248</f>
        <v/>
      </c>
      <c r="AH27" s="7">
        <f>I27*0.0120051238+H27*0.0024010248</f>
        <v/>
      </c>
      <c r="AI27" s="7">
        <f>J27*0.0120051238+I27*0.0024010248</f>
        <v/>
      </c>
      <c r="AJ27" s="7">
        <f>K27*0.0120051238+J27*0.0024010248</f>
        <v/>
      </c>
      <c r="AK27" s="7">
        <f>L27*0.0120051238+K27*0.0024010248</f>
        <v/>
      </c>
      <c r="AL27" s="7">
        <f>M27*0.0120051238+L27*0.0024010248</f>
        <v/>
      </c>
      <c r="AM27" s="7">
        <f>N27*0.0120051238+M27*0.0024010248</f>
        <v/>
      </c>
      <c r="AN27" s="7">
        <f>O27*0.0120051238+N27*0.0024010248</f>
        <v/>
      </c>
      <c r="AO27" s="7">
        <f>P27*0.0120051238+O27*0.0024010248</f>
        <v/>
      </c>
      <c r="AP27" s="7">
        <f>Q27*0.0120051238+P27*0.0024010248</f>
        <v/>
      </c>
      <c r="AQ27" s="7">
        <f>R27*0.0120051238+Q27*0.0024010248</f>
        <v/>
      </c>
      <c r="AR27" s="7">
        <f>S27*0.0120051238+R27*0.0024010248</f>
        <v/>
      </c>
      <c r="AS27" s="7">
        <f>T27*0.0120051238+S27*0.0024010248</f>
        <v/>
      </c>
      <c r="AT27" s="7">
        <f>U27*0.0120051238+T27*0.0024010248</f>
        <v/>
      </c>
      <c r="AU27" s="7">
        <f>V27*0.0120051238+U27*0.0024010248</f>
        <v/>
      </c>
      <c r="AV27" s="7">
        <f>W27*0.0120051238+V27*0.0024010248</f>
        <v/>
      </c>
      <c r="AW27" s="7">
        <f>X27*0.0120051238+W27*0.0024010248</f>
        <v/>
      </c>
      <c r="AX27" s="7">
        <f>Y27*0.0120051238+X27*0.0024010248</f>
        <v/>
      </c>
      <c r="AY27" s="7">
        <f>Z27*0.0120051238+Y27*0.0024010248</f>
        <v/>
      </c>
      <c r="AZ27" s="7">
        <f>AA27*0.0120051238+Z27*0.0024010248</f>
        <v/>
      </c>
      <c r="BA27" s="7">
        <f>D27*0.0120051238+AA27*0.0024010248</f>
        <v/>
      </c>
      <c r="BB27" s="7">
        <f>SUM(AD27:BA27)</f>
        <v/>
      </c>
    </row>
    <row r="28">
      <c r="A28" t="inlineStr">
        <is>
          <t>AMD-FK-SSC</t>
        </is>
      </c>
      <c r="B28" t="inlineStr">
        <is>
          <t>Prime at Client side</t>
        </is>
      </c>
      <c r="C28" s="5" t="n">
        <v>46091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0</v>
      </c>
      <c r="O28" s="6" t="n">
        <v>10</v>
      </c>
      <c r="P28" s="6" t="n">
        <v>6</v>
      </c>
      <c r="Q28" s="6" t="n">
        <v>10</v>
      </c>
      <c r="R28" s="6" t="n">
        <v>8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>
        <f>SUM(D28:AA28)</f>
        <v/>
      </c>
      <c r="AC28" s="3" t="inlineStr"/>
      <c r="AD28" s="7">
        <f>E28*0.0120051238+D28*0.0024010248</f>
        <v/>
      </c>
      <c r="AE28" s="7">
        <f>F28*0.0120051238+E28*0.0024010248</f>
        <v/>
      </c>
      <c r="AF28" s="7">
        <f>G28*0.0120051238+F28*0.0024010248</f>
        <v/>
      </c>
      <c r="AG28" s="7">
        <f>H28*0.0120051238+G28*0.0024010248</f>
        <v/>
      </c>
      <c r="AH28" s="7">
        <f>I28*0.0120051238+H28*0.0024010248</f>
        <v/>
      </c>
      <c r="AI28" s="7">
        <f>J28*0.0120051238+I28*0.0024010248</f>
        <v/>
      </c>
      <c r="AJ28" s="7">
        <f>K28*0.0120051238+J28*0.0024010248</f>
        <v/>
      </c>
      <c r="AK28" s="7">
        <f>L28*0.0120051238+K28*0.0024010248</f>
        <v/>
      </c>
      <c r="AL28" s="7">
        <f>M28*0.0120051238+L28*0.0024010248</f>
        <v/>
      </c>
      <c r="AM28" s="7">
        <f>N28*0.0120051238+M28*0.0024010248</f>
        <v/>
      </c>
      <c r="AN28" s="7">
        <f>O28*0.0120051238+N28*0.0024010248</f>
        <v/>
      </c>
      <c r="AO28" s="7">
        <f>P28*0.0120051238+O28*0.0024010248</f>
        <v/>
      </c>
      <c r="AP28" s="7">
        <f>Q28*0.0120051238+P28*0.0024010248</f>
        <v/>
      </c>
      <c r="AQ28" s="7">
        <f>R28*0.0120051238+Q28*0.0024010248</f>
        <v/>
      </c>
      <c r="AR28" s="7">
        <f>S28*0.0120051238+R28*0.0024010248</f>
        <v/>
      </c>
      <c r="AS28" s="7">
        <f>T28*0.0120051238+S28*0.0024010248</f>
        <v/>
      </c>
      <c r="AT28" s="7">
        <f>U28*0.0120051238+T28*0.0024010248</f>
        <v/>
      </c>
      <c r="AU28" s="7">
        <f>V28*0.0120051238+U28*0.0024010248</f>
        <v/>
      </c>
      <c r="AV28" s="7">
        <f>W28*0.0120051238+V28*0.0024010248</f>
        <v/>
      </c>
      <c r="AW28" s="7">
        <f>X28*0.0120051238+W28*0.0024010248</f>
        <v/>
      </c>
      <c r="AX28" s="7">
        <f>Y28*0.0120051238+X28*0.0024010248</f>
        <v/>
      </c>
      <c r="AY28" s="7">
        <f>Z28*0.0120051238+Y28*0.0024010248</f>
        <v/>
      </c>
      <c r="AZ28" s="7">
        <f>AA28*0.0120051238+Z28*0.0024010248</f>
        <v/>
      </c>
      <c r="BA28" s="7">
        <f>D28*0.0120051238+AA28*0.0024010248</f>
        <v/>
      </c>
      <c r="BB28" s="7">
        <f>SUM(AD28:BA28)</f>
        <v/>
      </c>
    </row>
    <row r="29">
      <c r="A29" t="inlineStr">
        <is>
          <t>AMD-FK-SSC</t>
        </is>
      </c>
      <c r="B29" t="inlineStr">
        <is>
          <t>Prime at Client side</t>
        </is>
      </c>
      <c r="C29" s="5" t="n">
        <v>46092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9</v>
      </c>
      <c r="P29" s="6" t="n">
        <v>3</v>
      </c>
      <c r="Q29" s="6" t="n">
        <v>10</v>
      </c>
      <c r="R29" s="6" t="n">
        <v>6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>
        <f>SUM(D29:AA29)</f>
        <v/>
      </c>
      <c r="AC29" s="3" t="inlineStr"/>
      <c r="AD29" s="7">
        <f>E29*0.0120051238+D29*0.0024010248</f>
        <v/>
      </c>
      <c r="AE29" s="7">
        <f>F29*0.0120051238+E29*0.0024010248</f>
        <v/>
      </c>
      <c r="AF29" s="7">
        <f>G29*0.0120051238+F29*0.0024010248</f>
        <v/>
      </c>
      <c r="AG29" s="7">
        <f>H29*0.0120051238+G29*0.0024010248</f>
        <v/>
      </c>
      <c r="AH29" s="7">
        <f>I29*0.0120051238+H29*0.0024010248</f>
        <v/>
      </c>
      <c r="AI29" s="7">
        <f>J29*0.0120051238+I29*0.0024010248</f>
        <v/>
      </c>
      <c r="AJ29" s="7">
        <f>K29*0.0120051238+J29*0.0024010248</f>
        <v/>
      </c>
      <c r="AK29" s="7">
        <f>L29*0.0120051238+K29*0.0024010248</f>
        <v/>
      </c>
      <c r="AL29" s="7">
        <f>M29*0.0120051238+L29*0.0024010248</f>
        <v/>
      </c>
      <c r="AM29" s="7">
        <f>N29*0.0120051238+M29*0.0024010248</f>
        <v/>
      </c>
      <c r="AN29" s="7">
        <f>O29*0.0120051238+N29*0.0024010248</f>
        <v/>
      </c>
      <c r="AO29" s="7">
        <f>P29*0.0120051238+O29*0.0024010248</f>
        <v/>
      </c>
      <c r="AP29" s="7">
        <f>Q29*0.0120051238+P29*0.0024010248</f>
        <v/>
      </c>
      <c r="AQ29" s="7">
        <f>R29*0.0120051238+Q29*0.0024010248</f>
        <v/>
      </c>
      <c r="AR29" s="7">
        <f>S29*0.0120051238+R29*0.0024010248</f>
        <v/>
      </c>
      <c r="AS29" s="7">
        <f>T29*0.0120051238+S29*0.0024010248</f>
        <v/>
      </c>
      <c r="AT29" s="7">
        <f>U29*0.0120051238+T29*0.0024010248</f>
        <v/>
      </c>
      <c r="AU29" s="7">
        <f>V29*0.0120051238+U29*0.0024010248</f>
        <v/>
      </c>
      <c r="AV29" s="7">
        <f>W29*0.0120051238+V29*0.0024010248</f>
        <v/>
      </c>
      <c r="AW29" s="7">
        <f>X29*0.0120051238+W29*0.0024010248</f>
        <v/>
      </c>
      <c r="AX29" s="7">
        <f>Y29*0.0120051238+X29*0.0024010248</f>
        <v/>
      </c>
      <c r="AY29" s="7">
        <f>Z29*0.0120051238+Y29*0.0024010248</f>
        <v/>
      </c>
      <c r="AZ29" s="7">
        <f>AA29*0.0120051238+Z29*0.0024010248</f>
        <v/>
      </c>
      <c r="BA29" s="7">
        <f>D29*0.0120051238+AA29*0.0024010248</f>
        <v/>
      </c>
      <c r="BB29" s="7">
        <f>SUM(AD29:BA29)</f>
        <v/>
      </c>
    </row>
    <row r="30">
      <c r="A30" t="inlineStr">
        <is>
          <t>AMD-FK-SSC</t>
        </is>
      </c>
      <c r="B30" t="inlineStr">
        <is>
          <t>Prime at Client side</t>
        </is>
      </c>
      <c r="C30" s="5" t="n">
        <v>46093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11</v>
      </c>
      <c r="Q30" s="6" t="n">
        <v>8</v>
      </c>
      <c r="R30" s="6" t="n">
        <v>8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>
        <f>SUM(D30:AA30)</f>
        <v/>
      </c>
      <c r="AC30" s="3" t="inlineStr"/>
      <c r="AD30" s="7">
        <f>E30*0.0120051238+D30*0.0024010248</f>
        <v/>
      </c>
      <c r="AE30" s="7">
        <f>F30*0.0120051238+E30*0.0024010248</f>
        <v/>
      </c>
      <c r="AF30" s="7">
        <f>G30*0.0120051238+F30*0.0024010248</f>
        <v/>
      </c>
      <c r="AG30" s="7">
        <f>H30*0.0120051238+G30*0.0024010248</f>
        <v/>
      </c>
      <c r="AH30" s="7">
        <f>I30*0.0120051238+H30*0.0024010248</f>
        <v/>
      </c>
      <c r="AI30" s="7">
        <f>J30*0.0120051238+I30*0.0024010248</f>
        <v/>
      </c>
      <c r="AJ30" s="7">
        <f>K30*0.0120051238+J30*0.0024010248</f>
        <v/>
      </c>
      <c r="AK30" s="7">
        <f>L30*0.0120051238+K30*0.0024010248</f>
        <v/>
      </c>
      <c r="AL30" s="7">
        <f>M30*0.0120051238+L30*0.0024010248</f>
        <v/>
      </c>
      <c r="AM30" s="7">
        <f>N30*0.0120051238+M30*0.0024010248</f>
        <v/>
      </c>
      <c r="AN30" s="7">
        <f>O30*0.0120051238+N30*0.0024010248</f>
        <v/>
      </c>
      <c r="AO30" s="7">
        <f>P30*0.0120051238+O30*0.0024010248</f>
        <v/>
      </c>
      <c r="AP30" s="7">
        <f>Q30*0.0120051238+P30*0.0024010248</f>
        <v/>
      </c>
      <c r="AQ30" s="7">
        <f>R30*0.0120051238+Q30*0.0024010248</f>
        <v/>
      </c>
      <c r="AR30" s="7">
        <f>S30*0.0120051238+R30*0.0024010248</f>
        <v/>
      </c>
      <c r="AS30" s="7">
        <f>T30*0.0120051238+S30*0.0024010248</f>
        <v/>
      </c>
      <c r="AT30" s="7">
        <f>U30*0.0120051238+T30*0.0024010248</f>
        <v/>
      </c>
      <c r="AU30" s="7">
        <f>V30*0.0120051238+U30*0.0024010248</f>
        <v/>
      </c>
      <c r="AV30" s="7">
        <f>W30*0.0120051238+V30*0.0024010248</f>
        <v/>
      </c>
      <c r="AW30" s="7">
        <f>X30*0.0120051238+W30*0.0024010248</f>
        <v/>
      </c>
      <c r="AX30" s="7">
        <f>Y30*0.0120051238+X30*0.0024010248</f>
        <v/>
      </c>
      <c r="AY30" s="7">
        <f>Z30*0.0120051238+Y30*0.0024010248</f>
        <v/>
      </c>
      <c r="AZ30" s="7">
        <f>AA30*0.0120051238+Z30*0.0024010248</f>
        <v/>
      </c>
      <c r="BA30" s="7">
        <f>D30*0.0120051238+AA30*0.0024010248</f>
        <v/>
      </c>
      <c r="BB30" s="7">
        <f>SUM(AD30:BA30)</f>
        <v/>
      </c>
    </row>
    <row r="31">
      <c r="A31" t="inlineStr">
        <is>
          <t>AMD-FK-SSC</t>
        </is>
      </c>
      <c r="B31" t="inlineStr">
        <is>
          <t>Prime at Client side</t>
        </is>
      </c>
      <c r="C31" s="5" t="n">
        <v>46094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4</v>
      </c>
      <c r="P31" s="6" t="n">
        <v>3</v>
      </c>
      <c r="Q31" s="6" t="n">
        <v>9</v>
      </c>
      <c r="R31" s="6" t="n">
        <v>1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>
        <f>SUM(D31:AA31)</f>
        <v/>
      </c>
      <c r="AC31" s="3" t="inlineStr"/>
      <c r="AD31" s="7">
        <f>E31*0.0120051238+D31*0.0024010248</f>
        <v/>
      </c>
      <c r="AE31" s="7">
        <f>F31*0.0120051238+E31*0.0024010248</f>
        <v/>
      </c>
      <c r="AF31" s="7">
        <f>G31*0.0120051238+F31*0.0024010248</f>
        <v/>
      </c>
      <c r="AG31" s="7">
        <f>H31*0.0120051238+G31*0.0024010248</f>
        <v/>
      </c>
      <c r="AH31" s="7">
        <f>I31*0.0120051238+H31*0.0024010248</f>
        <v/>
      </c>
      <c r="AI31" s="7">
        <f>J31*0.0120051238+I31*0.0024010248</f>
        <v/>
      </c>
      <c r="AJ31" s="7">
        <f>K31*0.0120051238+J31*0.0024010248</f>
        <v/>
      </c>
      <c r="AK31" s="7">
        <f>L31*0.0120051238+K31*0.0024010248</f>
        <v/>
      </c>
      <c r="AL31" s="7">
        <f>M31*0.0120051238+L31*0.0024010248</f>
        <v/>
      </c>
      <c r="AM31" s="7">
        <f>N31*0.0120051238+M31*0.0024010248</f>
        <v/>
      </c>
      <c r="AN31" s="7">
        <f>O31*0.0120051238+N31*0.0024010248</f>
        <v/>
      </c>
      <c r="AO31" s="7">
        <f>P31*0.0120051238+O31*0.0024010248</f>
        <v/>
      </c>
      <c r="AP31" s="7">
        <f>Q31*0.0120051238+P31*0.0024010248</f>
        <v/>
      </c>
      <c r="AQ31" s="7">
        <f>R31*0.0120051238+Q31*0.0024010248</f>
        <v/>
      </c>
      <c r="AR31" s="7">
        <f>S31*0.0120051238+R31*0.0024010248</f>
        <v/>
      </c>
      <c r="AS31" s="7">
        <f>T31*0.0120051238+S31*0.0024010248</f>
        <v/>
      </c>
      <c r="AT31" s="7">
        <f>U31*0.0120051238+T31*0.0024010248</f>
        <v/>
      </c>
      <c r="AU31" s="7">
        <f>V31*0.0120051238+U31*0.0024010248</f>
        <v/>
      </c>
      <c r="AV31" s="7">
        <f>W31*0.0120051238+V31*0.0024010248</f>
        <v/>
      </c>
      <c r="AW31" s="7">
        <f>X31*0.0120051238+W31*0.0024010248</f>
        <v/>
      </c>
      <c r="AX31" s="7">
        <f>Y31*0.0120051238+X31*0.0024010248</f>
        <v/>
      </c>
      <c r="AY31" s="7">
        <f>Z31*0.0120051238+Y31*0.0024010248</f>
        <v/>
      </c>
      <c r="AZ31" s="7">
        <f>AA31*0.0120051238+Z31*0.0024010248</f>
        <v/>
      </c>
      <c r="BA31" s="7">
        <f>D31*0.0120051238+AA31*0.0024010248</f>
        <v/>
      </c>
      <c r="BB31" s="7">
        <f>SUM(AD31:BA31)</f>
        <v/>
      </c>
    </row>
    <row r="32">
      <c r="A32" t="inlineStr">
        <is>
          <t>AMD-FK-SSC</t>
        </is>
      </c>
      <c r="B32" t="inlineStr">
        <is>
          <t>Prime at Client side</t>
        </is>
      </c>
      <c r="C32" s="5" t="n">
        <v>46095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2</v>
      </c>
      <c r="P32" s="6" t="n">
        <v>7</v>
      </c>
      <c r="Q32" s="6" t="n">
        <v>12</v>
      </c>
      <c r="R32" s="6" t="n">
        <v>5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>
        <f>SUM(D32:AA32)</f>
        <v/>
      </c>
      <c r="AC32" s="3" t="inlineStr"/>
      <c r="AD32" s="7">
        <f>E32*0.0120051238+D32*0.0024010248</f>
        <v/>
      </c>
      <c r="AE32" s="7">
        <f>F32*0.0120051238+E32*0.0024010248</f>
        <v/>
      </c>
      <c r="AF32" s="7">
        <f>G32*0.0120051238+F32*0.0024010248</f>
        <v/>
      </c>
      <c r="AG32" s="7">
        <f>H32*0.0120051238+G32*0.0024010248</f>
        <v/>
      </c>
      <c r="AH32" s="7">
        <f>I32*0.0120051238+H32*0.0024010248</f>
        <v/>
      </c>
      <c r="AI32" s="7">
        <f>J32*0.0120051238+I32*0.0024010248</f>
        <v/>
      </c>
      <c r="AJ32" s="7">
        <f>K32*0.0120051238+J32*0.0024010248</f>
        <v/>
      </c>
      <c r="AK32" s="7">
        <f>L32*0.0120051238+K32*0.0024010248</f>
        <v/>
      </c>
      <c r="AL32" s="7">
        <f>M32*0.0120051238+L32*0.0024010248</f>
        <v/>
      </c>
      <c r="AM32" s="7">
        <f>N32*0.0120051238+M32*0.0024010248</f>
        <v/>
      </c>
      <c r="AN32" s="7">
        <f>O32*0.0120051238+N32*0.0024010248</f>
        <v/>
      </c>
      <c r="AO32" s="7">
        <f>P32*0.0120051238+O32*0.0024010248</f>
        <v/>
      </c>
      <c r="AP32" s="7">
        <f>Q32*0.0120051238+P32*0.0024010248</f>
        <v/>
      </c>
      <c r="AQ32" s="7">
        <f>R32*0.0120051238+Q32*0.0024010248</f>
        <v/>
      </c>
      <c r="AR32" s="7">
        <f>S32*0.0120051238+R32*0.0024010248</f>
        <v/>
      </c>
      <c r="AS32" s="7">
        <f>T32*0.0120051238+S32*0.0024010248</f>
        <v/>
      </c>
      <c r="AT32" s="7">
        <f>U32*0.0120051238+T32*0.0024010248</f>
        <v/>
      </c>
      <c r="AU32" s="7">
        <f>V32*0.0120051238+U32*0.0024010248</f>
        <v/>
      </c>
      <c r="AV32" s="7">
        <f>W32*0.0120051238+V32*0.0024010248</f>
        <v/>
      </c>
      <c r="AW32" s="7">
        <f>X32*0.0120051238+W32*0.0024010248</f>
        <v/>
      </c>
      <c r="AX32" s="7">
        <f>Y32*0.0120051238+X32*0.0024010248</f>
        <v/>
      </c>
      <c r="AY32" s="7">
        <f>Z32*0.0120051238+Y32*0.0024010248</f>
        <v/>
      </c>
      <c r="AZ32" s="7">
        <f>AA32*0.0120051238+Z32*0.0024010248</f>
        <v/>
      </c>
      <c r="BA32" s="7">
        <f>D32*0.0120051238+AA32*0.0024010248</f>
        <v/>
      </c>
      <c r="BB32" s="7">
        <f>SUM(AD32:BA32)</f>
        <v/>
      </c>
    </row>
    <row r="33">
      <c r="A33" t="inlineStr">
        <is>
          <t>AMD-FK-SSC</t>
        </is>
      </c>
      <c r="B33" t="inlineStr">
        <is>
          <t>Prime at Client side</t>
        </is>
      </c>
      <c r="C33" s="5" t="n">
        <v>46096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3</v>
      </c>
      <c r="P33" s="6" t="n">
        <v>3</v>
      </c>
      <c r="Q33" s="6" t="n">
        <v>11</v>
      </c>
      <c r="R33" s="6" t="n">
        <v>5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6">
        <f>SUM(D33:AA33)</f>
        <v/>
      </c>
      <c r="AC33" s="3" t="inlineStr"/>
      <c r="AD33" s="7">
        <f>E33*0.0120051238+D33*0.0024010248</f>
        <v/>
      </c>
      <c r="AE33" s="7">
        <f>F33*0.0120051238+E33*0.0024010248</f>
        <v/>
      </c>
      <c r="AF33" s="7">
        <f>G33*0.0120051238+F33*0.0024010248</f>
        <v/>
      </c>
      <c r="AG33" s="7">
        <f>H33*0.0120051238+G33*0.0024010248</f>
        <v/>
      </c>
      <c r="AH33" s="7">
        <f>I33*0.0120051238+H33*0.0024010248</f>
        <v/>
      </c>
      <c r="AI33" s="7">
        <f>J33*0.0120051238+I33*0.0024010248</f>
        <v/>
      </c>
      <c r="AJ33" s="7">
        <f>K33*0.0120051238+J33*0.0024010248</f>
        <v/>
      </c>
      <c r="AK33" s="7">
        <f>L33*0.0120051238+K33*0.0024010248</f>
        <v/>
      </c>
      <c r="AL33" s="7">
        <f>M33*0.0120051238+L33*0.0024010248</f>
        <v/>
      </c>
      <c r="AM33" s="7">
        <f>N33*0.0120051238+M33*0.0024010248</f>
        <v/>
      </c>
      <c r="AN33" s="7">
        <f>O33*0.0120051238+N33*0.0024010248</f>
        <v/>
      </c>
      <c r="AO33" s="7">
        <f>P33*0.0120051238+O33*0.0024010248</f>
        <v/>
      </c>
      <c r="AP33" s="7">
        <f>Q33*0.0120051238+P33*0.0024010248</f>
        <v/>
      </c>
      <c r="AQ33" s="7">
        <f>R33*0.0120051238+Q33*0.0024010248</f>
        <v/>
      </c>
      <c r="AR33" s="7">
        <f>S33*0.0120051238+R33*0.0024010248</f>
        <v/>
      </c>
      <c r="AS33" s="7">
        <f>T33*0.0120051238+S33*0.0024010248</f>
        <v/>
      </c>
      <c r="AT33" s="7">
        <f>U33*0.0120051238+T33*0.0024010248</f>
        <v/>
      </c>
      <c r="AU33" s="7">
        <f>V33*0.0120051238+U33*0.0024010248</f>
        <v/>
      </c>
      <c r="AV33" s="7">
        <f>W33*0.0120051238+V33*0.0024010248</f>
        <v/>
      </c>
      <c r="AW33" s="7">
        <f>X33*0.0120051238+W33*0.0024010248</f>
        <v/>
      </c>
      <c r="AX33" s="7">
        <f>Y33*0.0120051238+X33*0.0024010248</f>
        <v/>
      </c>
      <c r="AY33" s="7">
        <f>Z33*0.0120051238+Y33*0.0024010248</f>
        <v/>
      </c>
      <c r="AZ33" s="7">
        <f>AA33*0.0120051238+Z33*0.0024010248</f>
        <v/>
      </c>
      <c r="BA33" s="7">
        <f>D33*0.0120051238+AA33*0.0024010248</f>
        <v/>
      </c>
      <c r="BB33" s="7">
        <f>SUM(AD33:BA33)</f>
        <v/>
      </c>
    </row>
    <row r="34">
      <c r="A34" t="inlineStr">
        <is>
          <t>AMD-FK-SSC</t>
        </is>
      </c>
      <c r="B34" t="inlineStr">
        <is>
          <t>Prime at Client side</t>
        </is>
      </c>
      <c r="C34" s="5" t="n">
        <v>46097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7</v>
      </c>
      <c r="P34" s="6" t="n">
        <v>3</v>
      </c>
      <c r="Q34" s="6" t="n">
        <v>9</v>
      </c>
      <c r="R34" s="6" t="n">
        <v>2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>
        <f>SUM(D34:AA34)</f>
        <v/>
      </c>
      <c r="AC34" s="3" t="inlineStr"/>
      <c r="AD34" s="7">
        <f>E34*0.0120051238+D34*0.0024010248</f>
        <v/>
      </c>
      <c r="AE34" s="7">
        <f>F34*0.0120051238+E34*0.0024010248</f>
        <v/>
      </c>
      <c r="AF34" s="7">
        <f>G34*0.0120051238+F34*0.0024010248</f>
        <v/>
      </c>
      <c r="AG34" s="7">
        <f>H34*0.0120051238+G34*0.0024010248</f>
        <v/>
      </c>
      <c r="AH34" s="7">
        <f>I34*0.0120051238+H34*0.0024010248</f>
        <v/>
      </c>
      <c r="AI34" s="7">
        <f>J34*0.0120051238+I34*0.0024010248</f>
        <v/>
      </c>
      <c r="AJ34" s="7">
        <f>K34*0.0120051238+J34*0.0024010248</f>
        <v/>
      </c>
      <c r="AK34" s="7">
        <f>L34*0.0120051238+K34*0.0024010248</f>
        <v/>
      </c>
      <c r="AL34" s="7">
        <f>M34*0.0120051238+L34*0.0024010248</f>
        <v/>
      </c>
      <c r="AM34" s="7">
        <f>N34*0.0120051238+M34*0.0024010248</f>
        <v/>
      </c>
      <c r="AN34" s="7">
        <f>O34*0.0120051238+N34*0.0024010248</f>
        <v/>
      </c>
      <c r="AO34" s="7">
        <f>P34*0.0120051238+O34*0.0024010248</f>
        <v/>
      </c>
      <c r="AP34" s="7">
        <f>Q34*0.0120051238+P34*0.0024010248</f>
        <v/>
      </c>
      <c r="AQ34" s="7">
        <f>R34*0.0120051238+Q34*0.0024010248</f>
        <v/>
      </c>
      <c r="AR34" s="7">
        <f>S34*0.0120051238+R34*0.0024010248</f>
        <v/>
      </c>
      <c r="AS34" s="7">
        <f>T34*0.0120051238+S34*0.0024010248</f>
        <v/>
      </c>
      <c r="AT34" s="7">
        <f>U34*0.0120051238+T34*0.0024010248</f>
        <v/>
      </c>
      <c r="AU34" s="7">
        <f>V34*0.0120051238+U34*0.0024010248</f>
        <v/>
      </c>
      <c r="AV34" s="7">
        <f>W34*0.0120051238+V34*0.0024010248</f>
        <v/>
      </c>
      <c r="AW34" s="7">
        <f>X34*0.0120051238+W34*0.0024010248</f>
        <v/>
      </c>
      <c r="AX34" s="7">
        <f>Y34*0.0120051238+X34*0.0024010248</f>
        <v/>
      </c>
      <c r="AY34" s="7">
        <f>Z34*0.0120051238+Y34*0.0024010248</f>
        <v/>
      </c>
      <c r="AZ34" s="7">
        <f>AA34*0.0120051238+Z34*0.0024010248</f>
        <v/>
      </c>
      <c r="BA34" s="7">
        <f>D34*0.0120051238+AA34*0.0024010248</f>
        <v/>
      </c>
      <c r="BB34" s="7">
        <f>SUM(AD34:BA34)</f>
        <v/>
      </c>
    </row>
    <row r="35">
      <c r="A35" t="inlineStr">
        <is>
          <t>AMD-FK-SSC</t>
        </is>
      </c>
      <c r="B35" t="inlineStr">
        <is>
          <t>Prime at Client side</t>
        </is>
      </c>
      <c r="C35" s="5" t="n">
        <v>46098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3</v>
      </c>
      <c r="Q35" s="6" t="n">
        <v>7</v>
      </c>
      <c r="R35" s="6" t="n">
        <v>8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>
        <f>SUM(D35:AA35)</f>
        <v/>
      </c>
      <c r="AC35" s="3" t="inlineStr"/>
      <c r="AD35" s="7">
        <f>E35*0.0120051238+D35*0.0024010248</f>
        <v/>
      </c>
      <c r="AE35" s="7">
        <f>F35*0.0120051238+E35*0.0024010248</f>
        <v/>
      </c>
      <c r="AF35" s="7">
        <f>G35*0.0120051238+F35*0.0024010248</f>
        <v/>
      </c>
      <c r="AG35" s="7">
        <f>H35*0.0120051238+G35*0.0024010248</f>
        <v/>
      </c>
      <c r="AH35" s="7">
        <f>I35*0.0120051238+H35*0.0024010248</f>
        <v/>
      </c>
      <c r="AI35" s="7">
        <f>J35*0.0120051238+I35*0.0024010248</f>
        <v/>
      </c>
      <c r="AJ35" s="7">
        <f>K35*0.0120051238+J35*0.0024010248</f>
        <v/>
      </c>
      <c r="AK35" s="7">
        <f>L35*0.0120051238+K35*0.0024010248</f>
        <v/>
      </c>
      <c r="AL35" s="7">
        <f>M35*0.0120051238+L35*0.0024010248</f>
        <v/>
      </c>
      <c r="AM35" s="7">
        <f>N35*0.0120051238+M35*0.0024010248</f>
        <v/>
      </c>
      <c r="AN35" s="7">
        <f>O35*0.0120051238+N35*0.0024010248</f>
        <v/>
      </c>
      <c r="AO35" s="7">
        <f>P35*0.0120051238+O35*0.0024010248</f>
        <v/>
      </c>
      <c r="AP35" s="7">
        <f>Q35*0.0120051238+P35*0.0024010248</f>
        <v/>
      </c>
      <c r="AQ35" s="7">
        <f>R35*0.0120051238+Q35*0.0024010248</f>
        <v/>
      </c>
      <c r="AR35" s="7">
        <f>S35*0.0120051238+R35*0.0024010248</f>
        <v/>
      </c>
      <c r="AS35" s="7">
        <f>T35*0.0120051238+S35*0.0024010248</f>
        <v/>
      </c>
      <c r="AT35" s="7">
        <f>U35*0.0120051238+T35*0.0024010248</f>
        <v/>
      </c>
      <c r="AU35" s="7">
        <f>V35*0.0120051238+U35*0.0024010248</f>
        <v/>
      </c>
      <c r="AV35" s="7">
        <f>W35*0.0120051238+V35*0.0024010248</f>
        <v/>
      </c>
      <c r="AW35" s="7">
        <f>X35*0.0120051238+W35*0.0024010248</f>
        <v/>
      </c>
      <c r="AX35" s="7">
        <f>Y35*0.0120051238+X35*0.0024010248</f>
        <v/>
      </c>
      <c r="AY35" s="7">
        <f>Z35*0.0120051238+Y35*0.0024010248</f>
        <v/>
      </c>
      <c r="AZ35" s="7">
        <f>AA35*0.0120051238+Z35*0.0024010248</f>
        <v/>
      </c>
      <c r="BA35" s="7">
        <f>D35*0.0120051238+AA35*0.0024010248</f>
        <v/>
      </c>
      <c r="BB35" s="7">
        <f>SUM(AD35:BA35)</f>
        <v/>
      </c>
    </row>
    <row r="36">
      <c r="A36" t="inlineStr">
        <is>
          <t>AMD-FK-SSC</t>
        </is>
      </c>
      <c r="B36" t="inlineStr">
        <is>
          <t>Prime at Client side</t>
        </is>
      </c>
      <c r="C36" s="5" t="n">
        <v>46099</v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3</v>
      </c>
      <c r="Q36" s="6" t="n">
        <v>11</v>
      </c>
      <c r="R36" s="6" t="n">
        <v>1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>
        <f>SUM(D36:AA36)</f>
        <v/>
      </c>
      <c r="AC36" s="3" t="inlineStr"/>
      <c r="AD36" s="7">
        <f>E36*0.0120051238+D36*0.0024010248</f>
        <v/>
      </c>
      <c r="AE36" s="7">
        <f>F36*0.0120051238+E36*0.0024010248</f>
        <v/>
      </c>
      <c r="AF36" s="7">
        <f>G36*0.0120051238+F36*0.0024010248</f>
        <v/>
      </c>
      <c r="AG36" s="7">
        <f>H36*0.0120051238+G36*0.0024010248</f>
        <v/>
      </c>
      <c r="AH36" s="7">
        <f>I36*0.0120051238+H36*0.0024010248</f>
        <v/>
      </c>
      <c r="AI36" s="7">
        <f>J36*0.0120051238+I36*0.0024010248</f>
        <v/>
      </c>
      <c r="AJ36" s="7">
        <f>K36*0.0120051238+J36*0.0024010248</f>
        <v/>
      </c>
      <c r="AK36" s="7">
        <f>L36*0.0120051238+K36*0.0024010248</f>
        <v/>
      </c>
      <c r="AL36" s="7">
        <f>M36*0.0120051238+L36*0.0024010248</f>
        <v/>
      </c>
      <c r="AM36" s="7">
        <f>N36*0.0120051238+M36*0.0024010248</f>
        <v/>
      </c>
      <c r="AN36" s="7">
        <f>O36*0.0120051238+N36*0.0024010248</f>
        <v/>
      </c>
      <c r="AO36" s="7">
        <f>P36*0.0120051238+O36*0.0024010248</f>
        <v/>
      </c>
      <c r="AP36" s="7">
        <f>Q36*0.0120051238+P36*0.0024010248</f>
        <v/>
      </c>
      <c r="AQ36" s="7">
        <f>R36*0.0120051238+Q36*0.0024010248</f>
        <v/>
      </c>
      <c r="AR36" s="7">
        <f>S36*0.0120051238+R36*0.0024010248</f>
        <v/>
      </c>
      <c r="AS36" s="7">
        <f>T36*0.0120051238+S36*0.0024010248</f>
        <v/>
      </c>
      <c r="AT36" s="7">
        <f>U36*0.0120051238+T36*0.0024010248</f>
        <v/>
      </c>
      <c r="AU36" s="7">
        <f>V36*0.0120051238+U36*0.0024010248</f>
        <v/>
      </c>
      <c r="AV36" s="7">
        <f>W36*0.0120051238+V36*0.0024010248</f>
        <v/>
      </c>
      <c r="AW36" s="7">
        <f>X36*0.0120051238+W36*0.0024010248</f>
        <v/>
      </c>
      <c r="AX36" s="7">
        <f>Y36*0.0120051238+X36*0.0024010248</f>
        <v/>
      </c>
      <c r="AY36" s="7">
        <f>Z36*0.0120051238+Y36*0.0024010248</f>
        <v/>
      </c>
      <c r="AZ36" s="7">
        <f>AA36*0.0120051238+Z36*0.0024010248</f>
        <v/>
      </c>
      <c r="BA36" s="7">
        <f>D36*0.0120051238+AA36*0.0024010248</f>
        <v/>
      </c>
      <c r="BB36" s="7">
        <f>SUM(AD36:BA36)</f>
        <v/>
      </c>
    </row>
    <row r="37">
      <c r="A37" t="inlineStr">
        <is>
          <t>AMD-FK-SSC</t>
        </is>
      </c>
      <c r="B37" t="inlineStr">
        <is>
          <t>Prime at Client side</t>
        </is>
      </c>
      <c r="C37" s="5" t="n">
        <v>46100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2</v>
      </c>
      <c r="Q37" s="6" t="n">
        <v>8</v>
      </c>
      <c r="R37" s="6" t="n">
        <v>1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>
        <f>SUM(D37:AA37)</f>
        <v/>
      </c>
      <c r="AC37" s="3" t="inlineStr"/>
      <c r="AD37" s="7">
        <f>E37*0.0120051238+D37*0.0024010248</f>
        <v/>
      </c>
      <c r="AE37" s="7">
        <f>F37*0.0120051238+E37*0.0024010248</f>
        <v/>
      </c>
      <c r="AF37" s="7">
        <f>G37*0.0120051238+F37*0.0024010248</f>
        <v/>
      </c>
      <c r="AG37" s="7">
        <f>H37*0.0120051238+G37*0.0024010248</f>
        <v/>
      </c>
      <c r="AH37" s="7">
        <f>I37*0.0120051238+H37*0.0024010248</f>
        <v/>
      </c>
      <c r="AI37" s="7">
        <f>J37*0.0120051238+I37*0.0024010248</f>
        <v/>
      </c>
      <c r="AJ37" s="7">
        <f>K37*0.0120051238+J37*0.0024010248</f>
        <v/>
      </c>
      <c r="AK37" s="7">
        <f>L37*0.0120051238+K37*0.0024010248</f>
        <v/>
      </c>
      <c r="AL37" s="7">
        <f>M37*0.0120051238+L37*0.0024010248</f>
        <v/>
      </c>
      <c r="AM37" s="7">
        <f>N37*0.0120051238+M37*0.0024010248</f>
        <v/>
      </c>
      <c r="AN37" s="7">
        <f>O37*0.0120051238+N37*0.0024010248</f>
        <v/>
      </c>
      <c r="AO37" s="7">
        <f>P37*0.0120051238+O37*0.0024010248</f>
        <v/>
      </c>
      <c r="AP37" s="7">
        <f>Q37*0.0120051238+P37*0.0024010248</f>
        <v/>
      </c>
      <c r="AQ37" s="7">
        <f>R37*0.0120051238+Q37*0.0024010248</f>
        <v/>
      </c>
      <c r="AR37" s="7">
        <f>S37*0.0120051238+R37*0.0024010248</f>
        <v/>
      </c>
      <c r="AS37" s="7">
        <f>T37*0.0120051238+S37*0.0024010248</f>
        <v/>
      </c>
      <c r="AT37" s="7">
        <f>U37*0.0120051238+T37*0.0024010248</f>
        <v/>
      </c>
      <c r="AU37" s="7">
        <f>V37*0.0120051238+U37*0.0024010248</f>
        <v/>
      </c>
      <c r="AV37" s="7">
        <f>W37*0.0120051238+V37*0.0024010248</f>
        <v/>
      </c>
      <c r="AW37" s="7">
        <f>X37*0.0120051238+W37*0.0024010248</f>
        <v/>
      </c>
      <c r="AX37" s="7">
        <f>Y37*0.0120051238+X37*0.0024010248</f>
        <v/>
      </c>
      <c r="AY37" s="7">
        <f>Z37*0.0120051238+Y37*0.0024010248</f>
        <v/>
      </c>
      <c r="AZ37" s="7">
        <f>AA37*0.0120051238+Z37*0.0024010248</f>
        <v/>
      </c>
      <c r="BA37" s="7">
        <f>D37*0.0120051238+AA37*0.0024010248</f>
        <v/>
      </c>
      <c r="BB37" s="7">
        <f>SUM(AD37:BA37)</f>
        <v/>
      </c>
    </row>
    <row r="38">
      <c r="A38" t="inlineStr">
        <is>
          <t>AMD-FK-SSC</t>
        </is>
      </c>
      <c r="B38" t="inlineStr">
        <is>
          <t>Prime at Client side</t>
        </is>
      </c>
      <c r="C38" s="5" t="n">
        <v>46101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7</v>
      </c>
      <c r="Q38" s="6" t="n">
        <v>3</v>
      </c>
      <c r="R38" s="6" t="n">
        <v>2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>
        <f>SUM(D38:AA38)</f>
        <v/>
      </c>
      <c r="AC38" s="3" t="inlineStr"/>
      <c r="AD38" s="7">
        <f>E38*0.0120051238+D38*0.0024010248</f>
        <v/>
      </c>
      <c r="AE38" s="7">
        <f>F38*0.0120051238+E38*0.0024010248</f>
        <v/>
      </c>
      <c r="AF38" s="7">
        <f>G38*0.0120051238+F38*0.0024010248</f>
        <v/>
      </c>
      <c r="AG38" s="7">
        <f>H38*0.0120051238+G38*0.0024010248</f>
        <v/>
      </c>
      <c r="AH38" s="7">
        <f>I38*0.0120051238+H38*0.0024010248</f>
        <v/>
      </c>
      <c r="AI38" s="7">
        <f>J38*0.0120051238+I38*0.0024010248</f>
        <v/>
      </c>
      <c r="AJ38" s="7">
        <f>K38*0.0120051238+J38*0.0024010248</f>
        <v/>
      </c>
      <c r="AK38" s="7">
        <f>L38*0.0120051238+K38*0.0024010248</f>
        <v/>
      </c>
      <c r="AL38" s="7">
        <f>M38*0.0120051238+L38*0.0024010248</f>
        <v/>
      </c>
      <c r="AM38" s="7">
        <f>N38*0.0120051238+M38*0.0024010248</f>
        <v/>
      </c>
      <c r="AN38" s="7">
        <f>O38*0.0120051238+N38*0.0024010248</f>
        <v/>
      </c>
      <c r="AO38" s="7">
        <f>P38*0.0120051238+O38*0.0024010248</f>
        <v/>
      </c>
      <c r="AP38" s="7">
        <f>Q38*0.0120051238+P38*0.0024010248</f>
        <v/>
      </c>
      <c r="AQ38" s="7">
        <f>R38*0.0120051238+Q38*0.0024010248</f>
        <v/>
      </c>
      <c r="AR38" s="7">
        <f>S38*0.0120051238+R38*0.0024010248</f>
        <v/>
      </c>
      <c r="AS38" s="7">
        <f>T38*0.0120051238+S38*0.0024010248</f>
        <v/>
      </c>
      <c r="AT38" s="7">
        <f>U38*0.0120051238+T38*0.0024010248</f>
        <v/>
      </c>
      <c r="AU38" s="7">
        <f>V38*0.0120051238+U38*0.0024010248</f>
        <v/>
      </c>
      <c r="AV38" s="7">
        <f>W38*0.0120051238+V38*0.0024010248</f>
        <v/>
      </c>
      <c r="AW38" s="7">
        <f>X38*0.0120051238+W38*0.0024010248</f>
        <v/>
      </c>
      <c r="AX38" s="7">
        <f>Y38*0.0120051238+X38*0.0024010248</f>
        <v/>
      </c>
      <c r="AY38" s="7">
        <f>Z38*0.0120051238+Y38*0.0024010248</f>
        <v/>
      </c>
      <c r="AZ38" s="7">
        <f>AA38*0.0120051238+Z38*0.0024010248</f>
        <v/>
      </c>
      <c r="BA38" s="7">
        <f>D38*0.0120051238+AA38*0.0024010248</f>
        <v/>
      </c>
      <c r="BB38" s="7">
        <f>SUM(AD38:BA38)</f>
        <v/>
      </c>
    </row>
    <row r="39">
      <c r="A39" t="inlineStr">
        <is>
          <t>AMD-FK-SSC</t>
        </is>
      </c>
      <c r="B39" t="inlineStr">
        <is>
          <t>Prime at Client side</t>
        </is>
      </c>
      <c r="C39" s="5" t="n">
        <v>46102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2</v>
      </c>
      <c r="Q39" s="6" t="n">
        <v>7</v>
      </c>
      <c r="R39" s="6" t="n">
        <v>1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>
        <f>SUM(D39:AA39)</f>
        <v/>
      </c>
      <c r="AC39" s="3" t="inlineStr"/>
      <c r="AD39" s="7">
        <f>E39*0.0120051238+D39*0.0024010248</f>
        <v/>
      </c>
      <c r="AE39" s="7">
        <f>F39*0.0120051238+E39*0.0024010248</f>
        <v/>
      </c>
      <c r="AF39" s="7">
        <f>G39*0.0120051238+F39*0.0024010248</f>
        <v/>
      </c>
      <c r="AG39" s="7">
        <f>H39*0.0120051238+G39*0.0024010248</f>
        <v/>
      </c>
      <c r="AH39" s="7">
        <f>I39*0.0120051238+H39*0.0024010248</f>
        <v/>
      </c>
      <c r="AI39" s="7">
        <f>J39*0.0120051238+I39*0.0024010248</f>
        <v/>
      </c>
      <c r="AJ39" s="7">
        <f>K39*0.0120051238+J39*0.0024010248</f>
        <v/>
      </c>
      <c r="AK39" s="7">
        <f>L39*0.0120051238+K39*0.0024010248</f>
        <v/>
      </c>
      <c r="AL39" s="7">
        <f>M39*0.0120051238+L39*0.0024010248</f>
        <v/>
      </c>
      <c r="AM39" s="7">
        <f>N39*0.0120051238+M39*0.0024010248</f>
        <v/>
      </c>
      <c r="AN39" s="7">
        <f>O39*0.0120051238+N39*0.0024010248</f>
        <v/>
      </c>
      <c r="AO39" s="7">
        <f>P39*0.0120051238+O39*0.0024010248</f>
        <v/>
      </c>
      <c r="AP39" s="7">
        <f>Q39*0.0120051238+P39*0.0024010248</f>
        <v/>
      </c>
      <c r="AQ39" s="7">
        <f>R39*0.0120051238+Q39*0.0024010248</f>
        <v/>
      </c>
      <c r="AR39" s="7">
        <f>S39*0.0120051238+R39*0.0024010248</f>
        <v/>
      </c>
      <c r="AS39" s="7">
        <f>T39*0.0120051238+S39*0.0024010248</f>
        <v/>
      </c>
      <c r="AT39" s="7">
        <f>U39*0.0120051238+T39*0.0024010248</f>
        <v/>
      </c>
      <c r="AU39" s="7">
        <f>V39*0.0120051238+U39*0.0024010248</f>
        <v/>
      </c>
      <c r="AV39" s="7">
        <f>W39*0.0120051238+V39*0.0024010248</f>
        <v/>
      </c>
      <c r="AW39" s="7">
        <f>X39*0.0120051238+W39*0.0024010248</f>
        <v/>
      </c>
      <c r="AX39" s="7">
        <f>Y39*0.0120051238+X39*0.0024010248</f>
        <v/>
      </c>
      <c r="AY39" s="7">
        <f>Z39*0.0120051238+Y39*0.0024010248</f>
        <v/>
      </c>
      <c r="AZ39" s="7">
        <f>AA39*0.0120051238+Z39*0.0024010248</f>
        <v/>
      </c>
      <c r="BA39" s="7">
        <f>D39*0.0120051238+AA39*0.0024010248</f>
        <v/>
      </c>
      <c r="BB39" s="7">
        <f>SUM(AD39:BA39)</f>
        <v/>
      </c>
    </row>
    <row r="40">
      <c r="A40" t="inlineStr">
        <is>
          <t>AMD-FK-SSC</t>
        </is>
      </c>
      <c r="B40" t="inlineStr">
        <is>
          <t>Prime at Client side</t>
        </is>
      </c>
      <c r="C40" s="5" t="n">
        <v>46103</v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0</v>
      </c>
      <c r="M40" s="6" t="n">
        <v>0</v>
      </c>
      <c r="N40" s="6" t="n">
        <v>0</v>
      </c>
      <c r="O40" s="6" t="n">
        <v>0</v>
      </c>
      <c r="P40" s="6" t="n">
        <v>2</v>
      </c>
      <c r="Q40" s="6" t="n">
        <v>7</v>
      </c>
      <c r="R40" s="6" t="n">
        <v>1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>
        <f>SUM(D40:AA40)</f>
        <v/>
      </c>
      <c r="AC40" s="3" t="inlineStr"/>
      <c r="AD40" s="7">
        <f>E40*0.0120051238+D40*0.0024010248</f>
        <v/>
      </c>
      <c r="AE40" s="7">
        <f>F40*0.0120051238+E40*0.0024010248</f>
        <v/>
      </c>
      <c r="AF40" s="7">
        <f>G40*0.0120051238+F40*0.0024010248</f>
        <v/>
      </c>
      <c r="AG40" s="7">
        <f>H40*0.0120051238+G40*0.0024010248</f>
        <v/>
      </c>
      <c r="AH40" s="7">
        <f>I40*0.0120051238+H40*0.0024010248</f>
        <v/>
      </c>
      <c r="AI40" s="7">
        <f>J40*0.0120051238+I40*0.0024010248</f>
        <v/>
      </c>
      <c r="AJ40" s="7">
        <f>K40*0.0120051238+J40*0.0024010248</f>
        <v/>
      </c>
      <c r="AK40" s="7">
        <f>L40*0.0120051238+K40*0.0024010248</f>
        <v/>
      </c>
      <c r="AL40" s="7">
        <f>M40*0.0120051238+L40*0.0024010248</f>
        <v/>
      </c>
      <c r="AM40" s="7">
        <f>N40*0.0120051238+M40*0.0024010248</f>
        <v/>
      </c>
      <c r="AN40" s="7">
        <f>O40*0.0120051238+N40*0.0024010248</f>
        <v/>
      </c>
      <c r="AO40" s="7">
        <f>P40*0.0120051238+O40*0.0024010248</f>
        <v/>
      </c>
      <c r="AP40" s="7">
        <f>Q40*0.0120051238+P40*0.0024010248</f>
        <v/>
      </c>
      <c r="AQ40" s="7">
        <f>R40*0.0120051238+Q40*0.0024010248</f>
        <v/>
      </c>
      <c r="AR40" s="7">
        <f>S40*0.0120051238+R40*0.0024010248</f>
        <v/>
      </c>
      <c r="AS40" s="7">
        <f>T40*0.0120051238+S40*0.0024010248</f>
        <v/>
      </c>
      <c r="AT40" s="7">
        <f>U40*0.0120051238+T40*0.0024010248</f>
        <v/>
      </c>
      <c r="AU40" s="7">
        <f>V40*0.0120051238+U40*0.0024010248</f>
        <v/>
      </c>
      <c r="AV40" s="7">
        <f>W40*0.0120051238+V40*0.0024010248</f>
        <v/>
      </c>
      <c r="AW40" s="7">
        <f>X40*0.0120051238+W40*0.0024010248</f>
        <v/>
      </c>
      <c r="AX40" s="7">
        <f>Y40*0.0120051238+X40*0.0024010248</f>
        <v/>
      </c>
      <c r="AY40" s="7">
        <f>Z40*0.0120051238+Y40*0.0024010248</f>
        <v/>
      </c>
      <c r="AZ40" s="7">
        <f>AA40*0.0120051238+Z40*0.0024010248</f>
        <v/>
      </c>
      <c r="BA40" s="7">
        <f>D40*0.0120051238+AA40*0.0024010248</f>
        <v/>
      </c>
      <c r="BB40" s="7">
        <f>SUM(AD40:BA40)</f>
        <v/>
      </c>
    </row>
    <row r="41">
      <c r="A41" t="inlineStr">
        <is>
          <t>AMD-FK-SSC</t>
        </is>
      </c>
      <c r="B41" t="inlineStr">
        <is>
          <t>Prime at Client side</t>
        </is>
      </c>
      <c r="C41" s="5" t="n">
        <v>46104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2</v>
      </c>
      <c r="Q41" s="6" t="n">
        <v>7</v>
      </c>
      <c r="R41" s="6" t="n">
        <v>6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>
        <f>SUM(D41:AA41)</f>
        <v/>
      </c>
      <c r="AC41" s="3" t="inlineStr"/>
      <c r="AD41" s="7">
        <f>E41*0.0120051238+D41*0.0024010248</f>
        <v/>
      </c>
      <c r="AE41" s="7">
        <f>F41*0.0120051238+E41*0.0024010248</f>
        <v/>
      </c>
      <c r="AF41" s="7">
        <f>G41*0.0120051238+F41*0.0024010248</f>
        <v/>
      </c>
      <c r="AG41" s="7">
        <f>H41*0.0120051238+G41*0.0024010248</f>
        <v/>
      </c>
      <c r="AH41" s="7">
        <f>I41*0.0120051238+H41*0.0024010248</f>
        <v/>
      </c>
      <c r="AI41" s="7">
        <f>J41*0.0120051238+I41*0.0024010248</f>
        <v/>
      </c>
      <c r="AJ41" s="7">
        <f>K41*0.0120051238+J41*0.0024010248</f>
        <v/>
      </c>
      <c r="AK41" s="7">
        <f>L41*0.0120051238+K41*0.0024010248</f>
        <v/>
      </c>
      <c r="AL41" s="7">
        <f>M41*0.0120051238+L41*0.0024010248</f>
        <v/>
      </c>
      <c r="AM41" s="7">
        <f>N41*0.0120051238+M41*0.0024010248</f>
        <v/>
      </c>
      <c r="AN41" s="7">
        <f>O41*0.0120051238+N41*0.0024010248</f>
        <v/>
      </c>
      <c r="AO41" s="7">
        <f>P41*0.0120051238+O41*0.0024010248</f>
        <v/>
      </c>
      <c r="AP41" s="7">
        <f>Q41*0.0120051238+P41*0.0024010248</f>
        <v/>
      </c>
      <c r="AQ41" s="7">
        <f>R41*0.0120051238+Q41*0.0024010248</f>
        <v/>
      </c>
      <c r="AR41" s="7">
        <f>S41*0.0120051238+R41*0.0024010248</f>
        <v/>
      </c>
      <c r="AS41" s="7">
        <f>T41*0.0120051238+S41*0.0024010248</f>
        <v/>
      </c>
      <c r="AT41" s="7">
        <f>U41*0.0120051238+T41*0.0024010248</f>
        <v/>
      </c>
      <c r="AU41" s="7">
        <f>V41*0.0120051238+U41*0.0024010248</f>
        <v/>
      </c>
      <c r="AV41" s="7">
        <f>W41*0.0120051238+V41*0.0024010248</f>
        <v/>
      </c>
      <c r="AW41" s="7">
        <f>X41*0.0120051238+W41*0.0024010248</f>
        <v/>
      </c>
      <c r="AX41" s="7">
        <f>Y41*0.0120051238+X41*0.0024010248</f>
        <v/>
      </c>
      <c r="AY41" s="7">
        <f>Z41*0.0120051238+Y41*0.0024010248</f>
        <v/>
      </c>
      <c r="AZ41" s="7">
        <f>AA41*0.0120051238+Z41*0.0024010248</f>
        <v/>
      </c>
      <c r="BA41" s="7">
        <f>D41*0.0120051238+AA41*0.0024010248</f>
        <v/>
      </c>
      <c r="BB41" s="7">
        <f>SUM(AD41:BA41)</f>
        <v/>
      </c>
    </row>
    <row r="42">
      <c r="A42" t="inlineStr">
        <is>
          <t>AMD-FK-SSC</t>
        </is>
      </c>
      <c r="B42" t="inlineStr">
        <is>
          <t>Prime at Client side</t>
        </is>
      </c>
      <c r="C42" s="5" t="n">
        <v>46105</v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6" t="n">
        <v>0</v>
      </c>
      <c r="N42" s="6" t="n">
        <v>0</v>
      </c>
      <c r="O42" s="6" t="n">
        <v>0</v>
      </c>
      <c r="P42" s="6" t="n">
        <v>0</v>
      </c>
      <c r="Q42" s="6" t="n">
        <v>16</v>
      </c>
      <c r="R42" s="6" t="n">
        <v>9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>
        <f>SUM(D42:AA42)</f>
        <v/>
      </c>
      <c r="AC42" s="3" t="inlineStr"/>
      <c r="AD42" s="7">
        <f>E42*0.0120051238+D42*0.0024010248</f>
        <v/>
      </c>
      <c r="AE42" s="7">
        <f>F42*0.0120051238+E42*0.0024010248</f>
        <v/>
      </c>
      <c r="AF42" s="7">
        <f>G42*0.0120051238+F42*0.0024010248</f>
        <v/>
      </c>
      <c r="AG42" s="7">
        <f>H42*0.0120051238+G42*0.0024010248</f>
        <v/>
      </c>
      <c r="AH42" s="7">
        <f>I42*0.0120051238+H42*0.0024010248</f>
        <v/>
      </c>
      <c r="AI42" s="7">
        <f>J42*0.0120051238+I42*0.0024010248</f>
        <v/>
      </c>
      <c r="AJ42" s="7">
        <f>K42*0.0120051238+J42*0.0024010248</f>
        <v/>
      </c>
      <c r="AK42" s="7">
        <f>L42*0.0120051238+K42*0.0024010248</f>
        <v/>
      </c>
      <c r="AL42" s="7">
        <f>M42*0.0120051238+L42*0.0024010248</f>
        <v/>
      </c>
      <c r="AM42" s="7">
        <f>N42*0.0120051238+M42*0.0024010248</f>
        <v/>
      </c>
      <c r="AN42" s="7">
        <f>O42*0.0120051238+N42*0.0024010248</f>
        <v/>
      </c>
      <c r="AO42" s="7">
        <f>P42*0.0120051238+O42*0.0024010248</f>
        <v/>
      </c>
      <c r="AP42" s="7">
        <f>Q42*0.0120051238+P42*0.0024010248</f>
        <v/>
      </c>
      <c r="AQ42" s="7">
        <f>R42*0.0120051238+Q42*0.0024010248</f>
        <v/>
      </c>
      <c r="AR42" s="7">
        <f>S42*0.0120051238+R42*0.0024010248</f>
        <v/>
      </c>
      <c r="AS42" s="7">
        <f>T42*0.0120051238+S42*0.0024010248</f>
        <v/>
      </c>
      <c r="AT42" s="7">
        <f>U42*0.0120051238+T42*0.0024010248</f>
        <v/>
      </c>
      <c r="AU42" s="7">
        <f>V42*0.0120051238+U42*0.0024010248</f>
        <v/>
      </c>
      <c r="AV42" s="7">
        <f>W42*0.0120051238+V42*0.0024010248</f>
        <v/>
      </c>
      <c r="AW42" s="7">
        <f>X42*0.0120051238+W42*0.0024010248</f>
        <v/>
      </c>
      <c r="AX42" s="7">
        <f>Y42*0.0120051238+X42*0.0024010248</f>
        <v/>
      </c>
      <c r="AY42" s="7">
        <f>Z42*0.0120051238+Y42*0.0024010248</f>
        <v/>
      </c>
      <c r="AZ42" s="7">
        <f>AA42*0.0120051238+Z42*0.0024010248</f>
        <v/>
      </c>
      <c r="BA42" s="7">
        <f>D42*0.0120051238+AA42*0.0024010248</f>
        <v/>
      </c>
      <c r="BB42" s="7">
        <f>SUM(AD42:BA42)</f>
        <v/>
      </c>
    </row>
    <row r="43">
      <c r="A43" t="inlineStr">
        <is>
          <t>AMD-FWDPRI-SSC</t>
        </is>
      </c>
      <c r="B43" t="inlineStr">
        <is>
          <t>FWD Priority OSC</t>
        </is>
      </c>
      <c r="C43" s="5" t="n">
        <v>46098</v>
      </c>
      <c r="D43" s="6" t="n">
        <v>68</v>
      </c>
      <c r="E43" s="6" t="n">
        <v>86</v>
      </c>
      <c r="F43" s="6" t="n">
        <v>69</v>
      </c>
      <c r="G43" s="6" t="n">
        <v>153</v>
      </c>
      <c r="H43" s="6" t="n">
        <v>61</v>
      </c>
      <c r="I43" s="6" t="n">
        <v>64</v>
      </c>
      <c r="J43" s="6" t="n">
        <v>39</v>
      </c>
      <c r="K43" s="6" t="n">
        <v>1</v>
      </c>
      <c r="L43" s="6" t="n">
        <v>6</v>
      </c>
      <c r="M43" s="6" t="n">
        <v>6</v>
      </c>
      <c r="N43" s="6" t="n">
        <v>47</v>
      </c>
      <c r="O43" s="6" t="n">
        <v>71</v>
      </c>
      <c r="P43" s="6" t="n">
        <v>32</v>
      </c>
      <c r="Q43" s="6" t="n">
        <v>1</v>
      </c>
      <c r="R43" s="6" t="n">
        <v>148</v>
      </c>
      <c r="S43" s="6" t="n">
        <v>108</v>
      </c>
      <c r="T43" s="6" t="n">
        <v>48</v>
      </c>
      <c r="U43" s="6" t="n">
        <v>77</v>
      </c>
      <c r="V43" s="6" t="n">
        <v>99</v>
      </c>
      <c r="W43" s="6" t="n">
        <v>130</v>
      </c>
      <c r="X43" s="6" t="n">
        <v>75</v>
      </c>
      <c r="Y43" s="6" t="n">
        <v>52</v>
      </c>
      <c r="Z43" s="6" t="n">
        <v>0</v>
      </c>
      <c r="AA43" s="6" t="n">
        <v>22</v>
      </c>
      <c r="AB43" s="6">
        <f>SUM(D43:AA43)</f>
        <v/>
      </c>
      <c r="AC43" s="3" t="inlineStr"/>
      <c r="AD43" s="7">
        <f>E43*0.0120051238+D43*0.0024010248</f>
        <v/>
      </c>
      <c r="AE43" s="7">
        <f>F43*0.0120051238+E43*0.0024010248</f>
        <v/>
      </c>
      <c r="AF43" s="7">
        <f>G43*0.0120051238+F43*0.0024010248</f>
        <v/>
      </c>
      <c r="AG43" s="7">
        <f>H43*0.0120051238+G43*0.0024010248</f>
        <v/>
      </c>
      <c r="AH43" s="7">
        <f>I43*0.0120051238+H43*0.0024010248</f>
        <v/>
      </c>
      <c r="AI43" s="7">
        <f>J43*0.0120051238+I43*0.0024010248</f>
        <v/>
      </c>
      <c r="AJ43" s="7">
        <f>K43*0.0120051238+J43*0.0024010248</f>
        <v/>
      </c>
      <c r="AK43" s="7">
        <f>L43*0.0120051238+K43*0.0024010248</f>
        <v/>
      </c>
      <c r="AL43" s="7">
        <f>M43*0.0120051238+L43*0.0024010248</f>
        <v/>
      </c>
      <c r="AM43" s="7">
        <f>N43*0.0120051238+M43*0.0024010248</f>
        <v/>
      </c>
      <c r="AN43" s="7">
        <f>O43*0.0120051238+N43*0.0024010248</f>
        <v/>
      </c>
      <c r="AO43" s="7">
        <f>P43*0.0120051238+O43*0.0024010248</f>
        <v/>
      </c>
      <c r="AP43" s="7">
        <f>Q43*0.0120051238+P43*0.0024010248</f>
        <v/>
      </c>
      <c r="AQ43" s="7">
        <f>R43*0.0120051238+Q43*0.0024010248</f>
        <v/>
      </c>
      <c r="AR43" s="7">
        <f>S43*0.0120051238+R43*0.0024010248</f>
        <v/>
      </c>
      <c r="AS43" s="7">
        <f>T43*0.0120051238+S43*0.0024010248</f>
        <v/>
      </c>
      <c r="AT43" s="7">
        <f>U43*0.0120051238+T43*0.0024010248</f>
        <v/>
      </c>
      <c r="AU43" s="7">
        <f>V43*0.0120051238+U43*0.0024010248</f>
        <v/>
      </c>
      <c r="AV43" s="7">
        <f>W43*0.0120051238+V43*0.0024010248</f>
        <v/>
      </c>
      <c r="AW43" s="7">
        <f>X43*0.0120051238+W43*0.0024010248</f>
        <v/>
      </c>
      <c r="AX43" s="7">
        <f>Y43*0.0120051238+X43*0.0024010248</f>
        <v/>
      </c>
      <c r="AY43" s="7">
        <f>Z43*0.0120051238+Y43*0.0024010248</f>
        <v/>
      </c>
      <c r="AZ43" s="7">
        <f>AA43*0.0120051238+Z43*0.0024010248</f>
        <v/>
      </c>
      <c r="BA43" s="7">
        <f>D43*0.0120051238+AA43*0.0024010248</f>
        <v/>
      </c>
      <c r="BB43" s="7">
        <f>SUM(AD43:BA43)</f>
        <v/>
      </c>
    </row>
    <row r="44">
      <c r="A44" t="inlineStr">
        <is>
          <t>AMD-FWDPRI-SSC</t>
        </is>
      </c>
      <c r="B44" t="inlineStr">
        <is>
          <t>FWD Priority OSC</t>
        </is>
      </c>
      <c r="C44" s="5" t="n">
        <v>46099</v>
      </c>
      <c r="D44" s="6" t="n">
        <v>101</v>
      </c>
      <c r="E44" s="6" t="n">
        <v>23</v>
      </c>
      <c r="F44" s="6" t="n">
        <v>118</v>
      </c>
      <c r="G44" s="6" t="n">
        <v>111</v>
      </c>
      <c r="H44" s="6" t="n">
        <v>86</v>
      </c>
      <c r="I44" s="6" t="n">
        <v>108</v>
      </c>
      <c r="J44" s="6" t="n">
        <v>131</v>
      </c>
      <c r="K44" s="6" t="n">
        <v>23</v>
      </c>
      <c r="L44" s="6" t="n">
        <v>0</v>
      </c>
      <c r="M44" s="6" t="n">
        <v>7</v>
      </c>
      <c r="N44" s="6" t="n">
        <v>7</v>
      </c>
      <c r="O44" s="6" t="n">
        <v>111</v>
      </c>
      <c r="P44" s="6" t="n">
        <v>66</v>
      </c>
      <c r="Q44" s="6" t="n">
        <v>10</v>
      </c>
      <c r="R44" s="6" t="n">
        <v>146</v>
      </c>
      <c r="S44" s="6" t="n">
        <v>91</v>
      </c>
      <c r="T44" s="6" t="n">
        <v>75</v>
      </c>
      <c r="U44" s="6" t="n">
        <v>12</v>
      </c>
      <c r="V44" s="6" t="n">
        <v>99</v>
      </c>
      <c r="W44" s="6" t="n">
        <v>69</v>
      </c>
      <c r="X44" s="6" t="n">
        <v>98</v>
      </c>
      <c r="Y44" s="6" t="n">
        <v>85</v>
      </c>
      <c r="Z44" s="6" t="n">
        <v>0</v>
      </c>
      <c r="AA44" s="6" t="n">
        <v>97</v>
      </c>
      <c r="AB44" s="6">
        <f>SUM(D44:AA44)</f>
        <v/>
      </c>
      <c r="AC44" s="3" t="inlineStr"/>
      <c r="AD44" s="7">
        <f>E44*0.0120051238+D44*0.0024010248</f>
        <v/>
      </c>
      <c r="AE44" s="7">
        <f>F44*0.0120051238+E44*0.0024010248</f>
        <v/>
      </c>
      <c r="AF44" s="7">
        <f>G44*0.0120051238+F44*0.0024010248</f>
        <v/>
      </c>
      <c r="AG44" s="7">
        <f>H44*0.0120051238+G44*0.0024010248</f>
        <v/>
      </c>
      <c r="AH44" s="7">
        <f>I44*0.0120051238+H44*0.0024010248</f>
        <v/>
      </c>
      <c r="AI44" s="7">
        <f>J44*0.0120051238+I44*0.0024010248</f>
        <v/>
      </c>
      <c r="AJ44" s="7">
        <f>K44*0.0120051238+J44*0.0024010248</f>
        <v/>
      </c>
      <c r="AK44" s="7">
        <f>L44*0.0120051238+K44*0.0024010248</f>
        <v/>
      </c>
      <c r="AL44" s="7">
        <f>M44*0.0120051238+L44*0.0024010248</f>
        <v/>
      </c>
      <c r="AM44" s="7">
        <f>N44*0.0120051238+M44*0.0024010248</f>
        <v/>
      </c>
      <c r="AN44" s="7">
        <f>O44*0.0120051238+N44*0.0024010248</f>
        <v/>
      </c>
      <c r="AO44" s="7">
        <f>P44*0.0120051238+O44*0.0024010248</f>
        <v/>
      </c>
      <c r="AP44" s="7">
        <f>Q44*0.0120051238+P44*0.0024010248</f>
        <v/>
      </c>
      <c r="AQ44" s="7">
        <f>R44*0.0120051238+Q44*0.0024010248</f>
        <v/>
      </c>
      <c r="AR44" s="7">
        <f>S44*0.0120051238+R44*0.0024010248</f>
        <v/>
      </c>
      <c r="AS44" s="7">
        <f>T44*0.0120051238+S44*0.0024010248</f>
        <v/>
      </c>
      <c r="AT44" s="7">
        <f>U44*0.0120051238+T44*0.0024010248</f>
        <v/>
      </c>
      <c r="AU44" s="7">
        <f>V44*0.0120051238+U44*0.0024010248</f>
        <v/>
      </c>
      <c r="AV44" s="7">
        <f>W44*0.0120051238+V44*0.0024010248</f>
        <v/>
      </c>
      <c r="AW44" s="7">
        <f>X44*0.0120051238+W44*0.0024010248</f>
        <v/>
      </c>
      <c r="AX44" s="7">
        <f>Y44*0.0120051238+X44*0.0024010248</f>
        <v/>
      </c>
      <c r="AY44" s="7">
        <f>Z44*0.0120051238+Y44*0.0024010248</f>
        <v/>
      </c>
      <c r="AZ44" s="7">
        <f>AA44*0.0120051238+Z44*0.0024010248</f>
        <v/>
      </c>
      <c r="BA44" s="7">
        <f>D44*0.0120051238+AA44*0.0024010248</f>
        <v/>
      </c>
      <c r="BB44" s="7">
        <f>SUM(AD44:BA44)</f>
        <v/>
      </c>
    </row>
    <row r="45">
      <c r="A45" t="inlineStr">
        <is>
          <t>AMD-FWDPRI-SSC</t>
        </is>
      </c>
      <c r="B45" t="inlineStr">
        <is>
          <t>FWD Priority OSC</t>
        </is>
      </c>
      <c r="C45" s="5" t="n">
        <v>46100</v>
      </c>
      <c r="D45" s="6" t="n">
        <v>127</v>
      </c>
      <c r="E45" s="6" t="n">
        <v>40</v>
      </c>
      <c r="F45" s="6" t="n">
        <v>98</v>
      </c>
      <c r="G45" s="6" t="n">
        <v>219</v>
      </c>
      <c r="H45" s="6" t="n">
        <v>91</v>
      </c>
      <c r="I45" s="6" t="n">
        <v>202</v>
      </c>
      <c r="J45" s="6" t="n">
        <v>207</v>
      </c>
      <c r="K45" s="6" t="n">
        <v>4</v>
      </c>
      <c r="L45" s="6" t="n">
        <v>11</v>
      </c>
      <c r="M45" s="6" t="n">
        <v>43</v>
      </c>
      <c r="N45" s="6" t="n">
        <v>93</v>
      </c>
      <c r="O45" s="6" t="n">
        <v>94</v>
      </c>
      <c r="P45" s="6" t="n">
        <v>6</v>
      </c>
      <c r="Q45" s="6" t="n">
        <v>3</v>
      </c>
      <c r="R45" s="6" t="n">
        <v>53</v>
      </c>
      <c r="S45" s="6" t="n">
        <v>95</v>
      </c>
      <c r="T45" s="6" t="n">
        <v>28</v>
      </c>
      <c r="U45" s="6" t="n">
        <v>75</v>
      </c>
      <c r="V45" s="6" t="n">
        <v>70</v>
      </c>
      <c r="W45" s="6" t="n">
        <v>100</v>
      </c>
      <c r="X45" s="6" t="n">
        <v>75</v>
      </c>
      <c r="Y45" s="6" t="n">
        <v>65</v>
      </c>
      <c r="Z45" s="6" t="n">
        <v>1</v>
      </c>
      <c r="AA45" s="6" t="n">
        <v>0</v>
      </c>
      <c r="AB45" s="6">
        <f>SUM(D45:AA45)</f>
        <v/>
      </c>
      <c r="AC45" s="3" t="inlineStr"/>
      <c r="AD45" s="7">
        <f>E45*0.0120051238+D45*0.0024010248</f>
        <v/>
      </c>
      <c r="AE45" s="7">
        <f>F45*0.0120051238+E45*0.0024010248</f>
        <v/>
      </c>
      <c r="AF45" s="7">
        <f>G45*0.0120051238+F45*0.0024010248</f>
        <v/>
      </c>
      <c r="AG45" s="7">
        <f>H45*0.0120051238+G45*0.0024010248</f>
        <v/>
      </c>
      <c r="AH45" s="7">
        <f>I45*0.0120051238+H45*0.0024010248</f>
        <v/>
      </c>
      <c r="AI45" s="7">
        <f>J45*0.0120051238+I45*0.0024010248</f>
        <v/>
      </c>
      <c r="AJ45" s="7">
        <f>K45*0.0120051238+J45*0.0024010248</f>
        <v/>
      </c>
      <c r="AK45" s="7">
        <f>L45*0.0120051238+K45*0.0024010248</f>
        <v/>
      </c>
      <c r="AL45" s="7">
        <f>M45*0.0120051238+L45*0.0024010248</f>
        <v/>
      </c>
      <c r="AM45" s="7">
        <f>N45*0.0120051238+M45*0.0024010248</f>
        <v/>
      </c>
      <c r="AN45" s="7">
        <f>O45*0.0120051238+N45*0.0024010248</f>
        <v/>
      </c>
      <c r="AO45" s="7">
        <f>P45*0.0120051238+O45*0.0024010248</f>
        <v/>
      </c>
      <c r="AP45" s="7">
        <f>Q45*0.0120051238+P45*0.0024010248</f>
        <v/>
      </c>
      <c r="AQ45" s="7">
        <f>R45*0.0120051238+Q45*0.0024010248</f>
        <v/>
      </c>
      <c r="AR45" s="7">
        <f>S45*0.0120051238+R45*0.0024010248</f>
        <v/>
      </c>
      <c r="AS45" s="7">
        <f>T45*0.0120051238+S45*0.0024010248</f>
        <v/>
      </c>
      <c r="AT45" s="7">
        <f>U45*0.0120051238+T45*0.0024010248</f>
        <v/>
      </c>
      <c r="AU45" s="7">
        <f>V45*0.0120051238+U45*0.0024010248</f>
        <v/>
      </c>
      <c r="AV45" s="7">
        <f>W45*0.0120051238+V45*0.0024010248</f>
        <v/>
      </c>
      <c r="AW45" s="7">
        <f>X45*0.0120051238+W45*0.0024010248</f>
        <v/>
      </c>
      <c r="AX45" s="7">
        <f>Y45*0.0120051238+X45*0.0024010248</f>
        <v/>
      </c>
      <c r="AY45" s="7">
        <f>Z45*0.0120051238+Y45*0.0024010248</f>
        <v/>
      </c>
      <c r="AZ45" s="7">
        <f>AA45*0.0120051238+Z45*0.0024010248</f>
        <v/>
      </c>
      <c r="BA45" s="7">
        <f>D45*0.0120051238+AA45*0.0024010248</f>
        <v/>
      </c>
      <c r="BB45" s="7">
        <f>SUM(AD45:BA45)</f>
        <v/>
      </c>
    </row>
    <row r="46">
      <c r="A46" t="inlineStr">
        <is>
          <t>AMD-FWDPRI-SSC</t>
        </is>
      </c>
      <c r="B46" t="inlineStr">
        <is>
          <t>FWD Priority OSC</t>
        </is>
      </c>
      <c r="C46" s="5" t="n">
        <v>46101</v>
      </c>
      <c r="D46" s="6" t="n">
        <v>8</v>
      </c>
      <c r="E46" s="6" t="n">
        <v>0</v>
      </c>
      <c r="F46" s="6" t="n">
        <v>2</v>
      </c>
      <c r="G46" s="6" t="n">
        <v>69</v>
      </c>
      <c r="H46" s="6" t="n">
        <v>68</v>
      </c>
      <c r="I46" s="6" t="n">
        <v>103</v>
      </c>
      <c r="J46" s="6" t="n">
        <v>55</v>
      </c>
      <c r="K46" s="6" t="n">
        <v>9</v>
      </c>
      <c r="L46" s="6" t="n">
        <v>104</v>
      </c>
      <c r="M46" s="6" t="n">
        <v>27</v>
      </c>
      <c r="N46" s="6" t="n">
        <v>100</v>
      </c>
      <c r="O46" s="6" t="n">
        <v>64</v>
      </c>
      <c r="P46" s="6" t="n">
        <v>1</v>
      </c>
      <c r="Q46" s="6" t="n">
        <v>113</v>
      </c>
      <c r="R46" s="6" t="n">
        <v>85</v>
      </c>
      <c r="S46" s="6" t="n">
        <v>75</v>
      </c>
      <c r="T46" s="6" t="n">
        <v>63</v>
      </c>
      <c r="U46" s="6" t="n">
        <v>0</v>
      </c>
      <c r="V46" s="6" t="n">
        <v>104</v>
      </c>
      <c r="W46" s="6" t="n">
        <v>87</v>
      </c>
      <c r="X46" s="6" t="n">
        <v>111</v>
      </c>
      <c r="Y46" s="6" t="n">
        <v>69</v>
      </c>
      <c r="Z46" s="6" t="n">
        <v>0</v>
      </c>
      <c r="AA46" s="6" t="n">
        <v>17</v>
      </c>
      <c r="AB46" s="6">
        <f>SUM(D46:AA46)</f>
        <v/>
      </c>
      <c r="AC46" s="3" t="inlineStr"/>
      <c r="AD46" s="7">
        <f>E46*0.0120051238+D46*0.0024010248</f>
        <v/>
      </c>
      <c r="AE46" s="7">
        <f>F46*0.0120051238+E46*0.0024010248</f>
        <v/>
      </c>
      <c r="AF46" s="7">
        <f>G46*0.0120051238+F46*0.0024010248</f>
        <v/>
      </c>
      <c r="AG46" s="7">
        <f>H46*0.0120051238+G46*0.0024010248</f>
        <v/>
      </c>
      <c r="AH46" s="7">
        <f>I46*0.0120051238+H46*0.0024010248</f>
        <v/>
      </c>
      <c r="AI46" s="7">
        <f>J46*0.0120051238+I46*0.0024010248</f>
        <v/>
      </c>
      <c r="AJ46" s="7">
        <f>K46*0.0120051238+J46*0.0024010248</f>
        <v/>
      </c>
      <c r="AK46" s="7">
        <f>L46*0.0120051238+K46*0.0024010248</f>
        <v/>
      </c>
      <c r="AL46" s="7">
        <f>M46*0.0120051238+L46*0.0024010248</f>
        <v/>
      </c>
      <c r="AM46" s="7">
        <f>N46*0.0120051238+M46*0.0024010248</f>
        <v/>
      </c>
      <c r="AN46" s="7">
        <f>O46*0.0120051238+N46*0.0024010248</f>
        <v/>
      </c>
      <c r="AO46" s="7">
        <f>P46*0.0120051238+O46*0.0024010248</f>
        <v/>
      </c>
      <c r="AP46" s="7">
        <f>Q46*0.0120051238+P46*0.0024010248</f>
        <v/>
      </c>
      <c r="AQ46" s="7">
        <f>R46*0.0120051238+Q46*0.0024010248</f>
        <v/>
      </c>
      <c r="AR46" s="7">
        <f>S46*0.0120051238+R46*0.0024010248</f>
        <v/>
      </c>
      <c r="AS46" s="7">
        <f>T46*0.0120051238+S46*0.0024010248</f>
        <v/>
      </c>
      <c r="AT46" s="7">
        <f>U46*0.0120051238+T46*0.0024010248</f>
        <v/>
      </c>
      <c r="AU46" s="7">
        <f>V46*0.0120051238+U46*0.0024010248</f>
        <v/>
      </c>
      <c r="AV46" s="7">
        <f>W46*0.0120051238+V46*0.0024010248</f>
        <v/>
      </c>
      <c r="AW46" s="7">
        <f>X46*0.0120051238+W46*0.0024010248</f>
        <v/>
      </c>
      <c r="AX46" s="7">
        <f>Y46*0.0120051238+X46*0.0024010248</f>
        <v/>
      </c>
      <c r="AY46" s="7">
        <f>Z46*0.0120051238+Y46*0.0024010248</f>
        <v/>
      </c>
      <c r="AZ46" s="7">
        <f>AA46*0.0120051238+Z46*0.0024010248</f>
        <v/>
      </c>
      <c r="BA46" s="7">
        <f>D46*0.0120051238+AA46*0.0024010248</f>
        <v/>
      </c>
      <c r="BB46" s="7">
        <f>SUM(AD46:BA46)</f>
        <v/>
      </c>
    </row>
    <row r="47">
      <c r="A47" t="inlineStr">
        <is>
          <t>AMD-FWDPRI-SSC</t>
        </is>
      </c>
      <c r="B47" t="inlineStr">
        <is>
          <t>FWD Priority OSC</t>
        </is>
      </c>
      <c r="C47" s="5" t="n">
        <v>46102</v>
      </c>
      <c r="D47" s="6" t="n">
        <v>117</v>
      </c>
      <c r="E47" s="6" t="n">
        <v>35</v>
      </c>
      <c r="F47" s="6" t="n">
        <v>94</v>
      </c>
      <c r="G47" s="6" t="n">
        <v>164</v>
      </c>
      <c r="H47" s="6" t="n">
        <v>99</v>
      </c>
      <c r="I47" s="6" t="n">
        <v>144</v>
      </c>
      <c r="J47" s="6" t="n">
        <v>115</v>
      </c>
      <c r="K47" s="6" t="n">
        <v>16</v>
      </c>
      <c r="L47" s="6" t="n">
        <v>0</v>
      </c>
      <c r="M47" s="6" t="n">
        <v>0</v>
      </c>
      <c r="N47" s="6" t="n">
        <v>27</v>
      </c>
      <c r="O47" s="6" t="n">
        <v>100</v>
      </c>
      <c r="P47" s="6" t="n">
        <v>65</v>
      </c>
      <c r="Q47" s="6" t="n">
        <v>1</v>
      </c>
      <c r="R47" s="6" t="n">
        <v>101</v>
      </c>
      <c r="S47" s="6" t="n">
        <v>77</v>
      </c>
      <c r="T47" s="6" t="n">
        <v>83</v>
      </c>
      <c r="U47" s="6" t="n">
        <v>6</v>
      </c>
      <c r="V47" s="6" t="n">
        <v>111</v>
      </c>
      <c r="W47" s="6" t="n">
        <v>89</v>
      </c>
      <c r="X47" s="6" t="n">
        <v>99</v>
      </c>
      <c r="Y47" s="6" t="n">
        <v>56</v>
      </c>
      <c r="Z47" s="6" t="n">
        <v>2</v>
      </c>
      <c r="AA47" s="6" t="n">
        <v>22</v>
      </c>
      <c r="AB47" s="6">
        <f>SUM(D47:AA47)</f>
        <v/>
      </c>
      <c r="AC47" s="3" t="inlineStr"/>
      <c r="AD47" s="7">
        <f>E47*0.0120051238+D47*0.0024010248</f>
        <v/>
      </c>
      <c r="AE47" s="7">
        <f>F47*0.0120051238+E47*0.0024010248</f>
        <v/>
      </c>
      <c r="AF47" s="7">
        <f>G47*0.0120051238+F47*0.0024010248</f>
        <v/>
      </c>
      <c r="AG47" s="7">
        <f>H47*0.0120051238+G47*0.0024010248</f>
        <v/>
      </c>
      <c r="AH47" s="7">
        <f>I47*0.0120051238+H47*0.0024010248</f>
        <v/>
      </c>
      <c r="AI47" s="7">
        <f>J47*0.0120051238+I47*0.0024010248</f>
        <v/>
      </c>
      <c r="AJ47" s="7">
        <f>K47*0.0120051238+J47*0.0024010248</f>
        <v/>
      </c>
      <c r="AK47" s="7">
        <f>L47*0.0120051238+K47*0.0024010248</f>
        <v/>
      </c>
      <c r="AL47" s="7">
        <f>M47*0.0120051238+L47*0.0024010248</f>
        <v/>
      </c>
      <c r="AM47" s="7">
        <f>N47*0.0120051238+M47*0.0024010248</f>
        <v/>
      </c>
      <c r="AN47" s="7">
        <f>O47*0.0120051238+N47*0.0024010248</f>
        <v/>
      </c>
      <c r="AO47" s="7">
        <f>P47*0.0120051238+O47*0.0024010248</f>
        <v/>
      </c>
      <c r="AP47" s="7">
        <f>Q47*0.0120051238+P47*0.0024010248</f>
        <v/>
      </c>
      <c r="AQ47" s="7">
        <f>R47*0.0120051238+Q47*0.0024010248</f>
        <v/>
      </c>
      <c r="AR47" s="7">
        <f>S47*0.0120051238+R47*0.0024010248</f>
        <v/>
      </c>
      <c r="AS47" s="7">
        <f>T47*0.0120051238+S47*0.0024010248</f>
        <v/>
      </c>
      <c r="AT47" s="7">
        <f>U47*0.0120051238+T47*0.0024010248</f>
        <v/>
      </c>
      <c r="AU47" s="7">
        <f>V47*0.0120051238+U47*0.0024010248</f>
        <v/>
      </c>
      <c r="AV47" s="7">
        <f>W47*0.0120051238+V47*0.0024010248</f>
        <v/>
      </c>
      <c r="AW47" s="7">
        <f>X47*0.0120051238+W47*0.0024010248</f>
        <v/>
      </c>
      <c r="AX47" s="7">
        <f>Y47*0.0120051238+X47*0.0024010248</f>
        <v/>
      </c>
      <c r="AY47" s="7">
        <f>Z47*0.0120051238+Y47*0.0024010248</f>
        <v/>
      </c>
      <c r="AZ47" s="7">
        <f>AA47*0.0120051238+Z47*0.0024010248</f>
        <v/>
      </c>
      <c r="BA47" s="7">
        <f>D47*0.0120051238+AA47*0.0024010248</f>
        <v/>
      </c>
      <c r="BB47" s="7">
        <f>SUM(AD47:BA47)</f>
        <v/>
      </c>
    </row>
    <row r="48">
      <c r="A48" t="inlineStr">
        <is>
          <t>AMD-FWDPRI-SSC</t>
        </is>
      </c>
      <c r="B48" t="inlineStr">
        <is>
          <t>FWD Priority OSC</t>
        </is>
      </c>
      <c r="C48" s="5" t="n">
        <v>46103</v>
      </c>
      <c r="D48" s="6" t="n">
        <v>158</v>
      </c>
      <c r="E48" s="6" t="n">
        <v>24</v>
      </c>
      <c r="F48" s="6" t="n">
        <v>89</v>
      </c>
      <c r="G48" s="6" t="n">
        <v>156</v>
      </c>
      <c r="H48" s="6" t="n">
        <v>97</v>
      </c>
      <c r="I48" s="6" t="n">
        <v>86</v>
      </c>
      <c r="J48" s="6" t="n">
        <v>2</v>
      </c>
      <c r="K48" s="6" t="n">
        <v>0</v>
      </c>
      <c r="L48" s="6" t="n">
        <v>0</v>
      </c>
      <c r="M48" s="6" t="n">
        <v>0</v>
      </c>
      <c r="N48" s="6" t="n">
        <v>30</v>
      </c>
      <c r="O48" s="6" t="n">
        <v>79</v>
      </c>
      <c r="P48" s="6" t="n">
        <v>35</v>
      </c>
      <c r="Q48" s="6" t="n">
        <v>48</v>
      </c>
      <c r="R48" s="6" t="n">
        <v>106</v>
      </c>
      <c r="S48" s="6" t="n">
        <v>95</v>
      </c>
      <c r="T48" s="6" t="n">
        <v>29</v>
      </c>
      <c r="U48" s="6" t="n">
        <v>82</v>
      </c>
      <c r="V48" s="6" t="n">
        <v>93</v>
      </c>
      <c r="W48" s="6" t="n">
        <v>118</v>
      </c>
      <c r="X48" s="6" t="n">
        <v>114</v>
      </c>
      <c r="Y48" s="6" t="n">
        <v>104</v>
      </c>
      <c r="Z48" s="6" t="n">
        <v>0</v>
      </c>
      <c r="AA48" s="6" t="n">
        <v>17</v>
      </c>
      <c r="AB48" s="6">
        <f>SUM(D48:AA48)</f>
        <v/>
      </c>
      <c r="AC48" s="3" t="inlineStr"/>
      <c r="AD48" s="7">
        <f>E48*0.0120051238+D48*0.0024010248</f>
        <v/>
      </c>
      <c r="AE48" s="7">
        <f>F48*0.0120051238+E48*0.0024010248</f>
        <v/>
      </c>
      <c r="AF48" s="7">
        <f>G48*0.0120051238+F48*0.0024010248</f>
        <v/>
      </c>
      <c r="AG48" s="7">
        <f>H48*0.0120051238+G48*0.0024010248</f>
        <v/>
      </c>
      <c r="AH48" s="7">
        <f>I48*0.0120051238+H48*0.0024010248</f>
        <v/>
      </c>
      <c r="AI48" s="7">
        <f>J48*0.0120051238+I48*0.0024010248</f>
        <v/>
      </c>
      <c r="AJ48" s="7">
        <f>K48*0.0120051238+J48*0.0024010248</f>
        <v/>
      </c>
      <c r="AK48" s="7">
        <f>L48*0.0120051238+K48*0.0024010248</f>
        <v/>
      </c>
      <c r="AL48" s="7">
        <f>M48*0.0120051238+L48*0.0024010248</f>
        <v/>
      </c>
      <c r="AM48" s="7">
        <f>N48*0.0120051238+M48*0.0024010248</f>
        <v/>
      </c>
      <c r="AN48" s="7">
        <f>O48*0.0120051238+N48*0.0024010248</f>
        <v/>
      </c>
      <c r="AO48" s="7">
        <f>P48*0.0120051238+O48*0.0024010248</f>
        <v/>
      </c>
      <c r="AP48" s="7">
        <f>Q48*0.0120051238+P48*0.0024010248</f>
        <v/>
      </c>
      <c r="AQ48" s="7">
        <f>R48*0.0120051238+Q48*0.0024010248</f>
        <v/>
      </c>
      <c r="AR48" s="7">
        <f>S48*0.0120051238+R48*0.0024010248</f>
        <v/>
      </c>
      <c r="AS48" s="7">
        <f>T48*0.0120051238+S48*0.0024010248</f>
        <v/>
      </c>
      <c r="AT48" s="7">
        <f>U48*0.0120051238+T48*0.0024010248</f>
        <v/>
      </c>
      <c r="AU48" s="7">
        <f>V48*0.0120051238+U48*0.0024010248</f>
        <v/>
      </c>
      <c r="AV48" s="7">
        <f>W48*0.0120051238+V48*0.0024010248</f>
        <v/>
      </c>
      <c r="AW48" s="7">
        <f>X48*0.0120051238+W48*0.0024010248</f>
        <v/>
      </c>
      <c r="AX48" s="7">
        <f>Y48*0.0120051238+X48*0.0024010248</f>
        <v/>
      </c>
      <c r="AY48" s="7">
        <f>Z48*0.0120051238+Y48*0.0024010248</f>
        <v/>
      </c>
      <c r="AZ48" s="7">
        <f>AA48*0.0120051238+Z48*0.0024010248</f>
        <v/>
      </c>
      <c r="BA48" s="7">
        <f>D48*0.0120051238+AA48*0.0024010248</f>
        <v/>
      </c>
      <c r="BB48" s="7">
        <f>SUM(AD48:BA48)</f>
        <v/>
      </c>
    </row>
    <row r="49">
      <c r="A49" t="inlineStr">
        <is>
          <t>AMD-FWDPRI-SSC</t>
        </is>
      </c>
      <c r="B49" t="inlineStr">
        <is>
          <t>FWD Priority OSC</t>
        </is>
      </c>
      <c r="C49" s="5" t="n">
        <v>46104</v>
      </c>
      <c r="D49" s="6" t="n">
        <v>149</v>
      </c>
      <c r="E49" s="6" t="n">
        <v>80</v>
      </c>
      <c r="F49" s="6" t="n">
        <v>9</v>
      </c>
      <c r="G49" s="6" t="n">
        <v>158</v>
      </c>
      <c r="H49" s="6" t="n">
        <v>26</v>
      </c>
      <c r="I49" s="6" t="n">
        <v>27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54</v>
      </c>
      <c r="O49" s="6" t="n">
        <v>100</v>
      </c>
      <c r="P49" s="6" t="n">
        <v>0</v>
      </c>
      <c r="Q49" s="6" t="n">
        <v>0</v>
      </c>
      <c r="R49" s="6" t="n">
        <v>131</v>
      </c>
      <c r="S49" s="6" t="n">
        <v>67</v>
      </c>
      <c r="T49" s="6" t="n">
        <v>30</v>
      </c>
      <c r="U49" s="6" t="n">
        <v>79</v>
      </c>
      <c r="V49" s="6" t="n">
        <v>103</v>
      </c>
      <c r="W49" s="6" t="n">
        <v>99</v>
      </c>
      <c r="X49" s="6" t="n">
        <v>46</v>
      </c>
      <c r="Y49" s="6" t="n">
        <v>0</v>
      </c>
      <c r="Z49" s="6" t="n">
        <v>0</v>
      </c>
      <c r="AA49" s="6" t="n">
        <v>36</v>
      </c>
      <c r="AB49" s="6">
        <f>SUM(D49:AA49)</f>
        <v/>
      </c>
      <c r="AC49" s="3" t="inlineStr"/>
      <c r="AD49" s="7">
        <f>E49*0.0120051238+D49*0.0024010248</f>
        <v/>
      </c>
      <c r="AE49" s="7">
        <f>F49*0.0120051238+E49*0.0024010248</f>
        <v/>
      </c>
      <c r="AF49" s="7">
        <f>G49*0.0120051238+F49*0.0024010248</f>
        <v/>
      </c>
      <c r="AG49" s="7">
        <f>H49*0.0120051238+G49*0.0024010248</f>
        <v/>
      </c>
      <c r="AH49" s="7">
        <f>I49*0.0120051238+H49*0.0024010248</f>
        <v/>
      </c>
      <c r="AI49" s="7">
        <f>J49*0.0120051238+I49*0.0024010248</f>
        <v/>
      </c>
      <c r="AJ49" s="7">
        <f>K49*0.0120051238+J49*0.0024010248</f>
        <v/>
      </c>
      <c r="AK49" s="7">
        <f>L49*0.0120051238+K49*0.0024010248</f>
        <v/>
      </c>
      <c r="AL49" s="7">
        <f>M49*0.0120051238+L49*0.0024010248</f>
        <v/>
      </c>
      <c r="AM49" s="7">
        <f>N49*0.0120051238+M49*0.0024010248</f>
        <v/>
      </c>
      <c r="AN49" s="7">
        <f>O49*0.0120051238+N49*0.0024010248</f>
        <v/>
      </c>
      <c r="AO49" s="7">
        <f>P49*0.0120051238+O49*0.0024010248</f>
        <v/>
      </c>
      <c r="AP49" s="7">
        <f>Q49*0.0120051238+P49*0.0024010248</f>
        <v/>
      </c>
      <c r="AQ49" s="7">
        <f>R49*0.0120051238+Q49*0.0024010248</f>
        <v/>
      </c>
      <c r="AR49" s="7">
        <f>S49*0.0120051238+R49*0.0024010248</f>
        <v/>
      </c>
      <c r="AS49" s="7">
        <f>T49*0.0120051238+S49*0.0024010248</f>
        <v/>
      </c>
      <c r="AT49" s="7">
        <f>U49*0.0120051238+T49*0.0024010248</f>
        <v/>
      </c>
      <c r="AU49" s="7">
        <f>V49*0.0120051238+U49*0.0024010248</f>
        <v/>
      </c>
      <c r="AV49" s="7">
        <f>W49*0.0120051238+V49*0.0024010248</f>
        <v/>
      </c>
      <c r="AW49" s="7">
        <f>X49*0.0120051238+W49*0.0024010248</f>
        <v/>
      </c>
      <c r="AX49" s="7">
        <f>Y49*0.0120051238+X49*0.0024010248</f>
        <v/>
      </c>
      <c r="AY49" s="7">
        <f>Z49*0.0120051238+Y49*0.0024010248</f>
        <v/>
      </c>
      <c r="AZ49" s="7">
        <f>AA49*0.0120051238+Z49*0.0024010248</f>
        <v/>
      </c>
      <c r="BA49" s="7">
        <f>D49*0.0120051238+AA49*0.0024010248</f>
        <v/>
      </c>
      <c r="BB49" s="7">
        <f>SUM(AD49:BA49)</f>
        <v/>
      </c>
    </row>
    <row r="50">
      <c r="A50" t="inlineStr">
        <is>
          <t>AMD-FWDPRI-SSC</t>
        </is>
      </c>
      <c r="B50" t="inlineStr">
        <is>
          <t>FWD Priority OSC</t>
        </is>
      </c>
      <c r="C50" s="5" t="n">
        <v>46105</v>
      </c>
      <c r="D50" s="6" t="n">
        <v>151</v>
      </c>
      <c r="E50" s="6" t="n">
        <v>40</v>
      </c>
      <c r="F50" s="6" t="n">
        <v>104</v>
      </c>
      <c r="G50" s="6" t="n">
        <v>161</v>
      </c>
      <c r="H50" s="6" t="n">
        <v>101</v>
      </c>
      <c r="I50" s="6" t="n">
        <v>70</v>
      </c>
      <c r="J50" s="6" t="n">
        <v>17</v>
      </c>
      <c r="K50" s="6" t="n">
        <v>0</v>
      </c>
      <c r="L50" s="6" t="n">
        <v>0</v>
      </c>
      <c r="M50" s="6" t="n">
        <v>0</v>
      </c>
      <c r="N50" s="6" t="n">
        <v>70</v>
      </c>
      <c r="O50" s="6" t="n">
        <v>65</v>
      </c>
      <c r="P50" s="6" t="n">
        <v>2</v>
      </c>
      <c r="Q50" s="6" t="n">
        <v>1</v>
      </c>
      <c r="R50" s="6" t="n">
        <v>0</v>
      </c>
      <c r="S50" s="6" t="n">
        <v>104</v>
      </c>
      <c r="T50" s="6" t="n">
        <v>40</v>
      </c>
      <c r="U50" s="6" t="n">
        <v>96</v>
      </c>
      <c r="V50" s="6" t="n">
        <v>69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0</v>
      </c>
      <c r="AB50" s="6">
        <f>SUM(D50:AA50)</f>
        <v/>
      </c>
      <c r="AC50" s="3" t="inlineStr"/>
      <c r="AD50" s="7">
        <f>E50*0.0120051238+D50*0.0024010248</f>
        <v/>
      </c>
      <c r="AE50" s="7">
        <f>F50*0.0120051238+E50*0.0024010248</f>
        <v/>
      </c>
      <c r="AF50" s="7">
        <f>G50*0.0120051238+F50*0.0024010248</f>
        <v/>
      </c>
      <c r="AG50" s="7">
        <f>H50*0.0120051238+G50*0.0024010248</f>
        <v/>
      </c>
      <c r="AH50" s="7">
        <f>I50*0.0120051238+H50*0.0024010248</f>
        <v/>
      </c>
      <c r="AI50" s="7">
        <f>J50*0.0120051238+I50*0.0024010248</f>
        <v/>
      </c>
      <c r="AJ50" s="7">
        <f>K50*0.0120051238+J50*0.0024010248</f>
        <v/>
      </c>
      <c r="AK50" s="7">
        <f>L50*0.0120051238+K50*0.0024010248</f>
        <v/>
      </c>
      <c r="AL50" s="7">
        <f>M50*0.0120051238+L50*0.0024010248</f>
        <v/>
      </c>
      <c r="AM50" s="7">
        <f>N50*0.0120051238+M50*0.0024010248</f>
        <v/>
      </c>
      <c r="AN50" s="7">
        <f>O50*0.0120051238+N50*0.0024010248</f>
        <v/>
      </c>
      <c r="AO50" s="7">
        <f>P50*0.0120051238+O50*0.0024010248</f>
        <v/>
      </c>
      <c r="AP50" s="7">
        <f>Q50*0.0120051238+P50*0.0024010248</f>
        <v/>
      </c>
      <c r="AQ50" s="7">
        <f>R50*0.0120051238+Q50*0.0024010248</f>
        <v/>
      </c>
      <c r="AR50" s="7">
        <f>S50*0.0120051238+R50*0.0024010248</f>
        <v/>
      </c>
      <c r="AS50" s="7">
        <f>T50*0.0120051238+S50*0.0024010248</f>
        <v/>
      </c>
      <c r="AT50" s="7">
        <f>U50*0.0120051238+T50*0.0024010248</f>
        <v/>
      </c>
      <c r="AU50" s="7">
        <f>V50*0.0120051238+U50*0.0024010248</f>
        <v/>
      </c>
      <c r="AV50" s="7">
        <f>W50*0.0120051238+V50*0.0024010248</f>
        <v/>
      </c>
      <c r="AW50" s="7">
        <f>X50*0.0120051238+W50*0.0024010248</f>
        <v/>
      </c>
      <c r="AX50" s="7">
        <f>Y50*0.0120051238+X50*0.0024010248</f>
        <v/>
      </c>
      <c r="AY50" s="7">
        <f>Z50*0.0120051238+Y50*0.0024010248</f>
        <v/>
      </c>
      <c r="AZ50" s="7">
        <f>AA50*0.0120051238+Z50*0.0024010248</f>
        <v/>
      </c>
      <c r="BA50" s="7">
        <f>D50*0.0120051238+AA50*0.0024010248</f>
        <v/>
      </c>
      <c r="BB50" s="7">
        <f>SUM(AD50:BA50)</f>
        <v/>
      </c>
    </row>
    <row r="51">
      <c r="A51" t="inlineStr">
        <is>
          <t>AMD-FWDREG-SSC</t>
        </is>
      </c>
      <c r="B51" t="inlineStr">
        <is>
          <t>Forward Regular OSC</t>
        </is>
      </c>
      <c r="C51" s="5" t="n">
        <v>46098</v>
      </c>
      <c r="D51" s="6" t="n">
        <v>88</v>
      </c>
      <c r="E51" s="6" t="n">
        <v>92</v>
      </c>
      <c r="F51" s="6" t="n">
        <v>165</v>
      </c>
      <c r="G51" s="6" t="n">
        <v>371</v>
      </c>
      <c r="H51" s="6" t="n">
        <v>281</v>
      </c>
      <c r="I51" s="6" t="n">
        <v>265</v>
      </c>
      <c r="J51" s="6" t="n">
        <v>193</v>
      </c>
      <c r="K51" s="6" t="n">
        <v>1</v>
      </c>
      <c r="L51" s="6" t="n">
        <v>149</v>
      </c>
      <c r="M51" s="6" t="n">
        <v>282</v>
      </c>
      <c r="N51" s="6" t="n">
        <v>298</v>
      </c>
      <c r="O51" s="6" t="n">
        <v>278</v>
      </c>
      <c r="P51" s="6" t="n">
        <v>220</v>
      </c>
      <c r="Q51" s="6" t="n">
        <v>95</v>
      </c>
      <c r="R51" s="6" t="n">
        <v>381</v>
      </c>
      <c r="S51" s="6" t="n">
        <v>303</v>
      </c>
      <c r="T51" s="6" t="n">
        <v>196</v>
      </c>
      <c r="U51" s="6" t="n">
        <v>128</v>
      </c>
      <c r="V51" s="6" t="n">
        <v>204</v>
      </c>
      <c r="W51" s="6" t="n">
        <v>205</v>
      </c>
      <c r="X51" s="6" t="n">
        <v>182</v>
      </c>
      <c r="Y51" s="6" t="n">
        <v>151</v>
      </c>
      <c r="Z51" s="6" t="n">
        <v>0</v>
      </c>
      <c r="AA51" s="6" t="n">
        <v>123</v>
      </c>
      <c r="AB51" s="6">
        <f>SUM(D51:AA51)</f>
        <v/>
      </c>
      <c r="AC51" s="3" t="inlineStr"/>
      <c r="AD51" s="7">
        <f>E51*0.0120051238+D51*0.0024010248</f>
        <v/>
      </c>
      <c r="AE51" s="7">
        <f>F51*0.0120051238+E51*0.0024010248</f>
        <v/>
      </c>
      <c r="AF51" s="7">
        <f>G51*0.0120051238+F51*0.0024010248</f>
        <v/>
      </c>
      <c r="AG51" s="7">
        <f>H51*0.0120051238+G51*0.0024010248</f>
        <v/>
      </c>
      <c r="AH51" s="7">
        <f>I51*0.0120051238+H51*0.0024010248</f>
        <v/>
      </c>
      <c r="AI51" s="7">
        <f>J51*0.0120051238+I51*0.0024010248</f>
        <v/>
      </c>
      <c r="AJ51" s="7">
        <f>K51*0.0120051238+J51*0.0024010248</f>
        <v/>
      </c>
      <c r="AK51" s="7">
        <f>L51*0.0120051238+K51*0.0024010248</f>
        <v/>
      </c>
      <c r="AL51" s="7">
        <f>M51*0.0120051238+L51*0.0024010248</f>
        <v/>
      </c>
      <c r="AM51" s="7">
        <f>N51*0.0120051238+M51*0.0024010248</f>
        <v/>
      </c>
      <c r="AN51" s="7">
        <f>O51*0.0120051238+N51*0.0024010248</f>
        <v/>
      </c>
      <c r="AO51" s="7">
        <f>P51*0.0120051238+O51*0.0024010248</f>
        <v/>
      </c>
      <c r="AP51" s="7">
        <f>Q51*0.0120051238+P51*0.0024010248</f>
        <v/>
      </c>
      <c r="AQ51" s="7">
        <f>R51*0.0120051238+Q51*0.0024010248</f>
        <v/>
      </c>
      <c r="AR51" s="7">
        <f>S51*0.0120051238+R51*0.0024010248</f>
        <v/>
      </c>
      <c r="AS51" s="7">
        <f>T51*0.0120051238+S51*0.0024010248</f>
        <v/>
      </c>
      <c r="AT51" s="7">
        <f>U51*0.0120051238+T51*0.0024010248</f>
        <v/>
      </c>
      <c r="AU51" s="7">
        <f>V51*0.0120051238+U51*0.0024010248</f>
        <v/>
      </c>
      <c r="AV51" s="7">
        <f>W51*0.0120051238+V51*0.0024010248</f>
        <v/>
      </c>
      <c r="AW51" s="7">
        <f>X51*0.0120051238+W51*0.0024010248</f>
        <v/>
      </c>
      <c r="AX51" s="7">
        <f>Y51*0.0120051238+X51*0.0024010248</f>
        <v/>
      </c>
      <c r="AY51" s="7">
        <f>Z51*0.0120051238+Y51*0.0024010248</f>
        <v/>
      </c>
      <c r="AZ51" s="7">
        <f>AA51*0.0120051238+Z51*0.0024010248</f>
        <v/>
      </c>
      <c r="BA51" s="7">
        <f>D51*0.0120051238+AA51*0.0024010248</f>
        <v/>
      </c>
      <c r="BB51" s="7">
        <f>SUM(AD51:BA51)</f>
        <v/>
      </c>
    </row>
    <row r="52">
      <c r="A52" t="inlineStr">
        <is>
          <t>AMD-FWDREG-SSC</t>
        </is>
      </c>
      <c r="B52" t="inlineStr">
        <is>
          <t>Forward Regular OSC</t>
        </is>
      </c>
      <c r="C52" s="5" t="n">
        <v>46099</v>
      </c>
      <c r="D52" s="6" t="n">
        <v>247</v>
      </c>
      <c r="E52" s="6" t="n">
        <v>35</v>
      </c>
      <c r="F52" s="6" t="n">
        <v>255</v>
      </c>
      <c r="G52" s="6" t="n">
        <v>203</v>
      </c>
      <c r="H52" s="6" t="n">
        <v>134</v>
      </c>
      <c r="I52" s="6" t="n">
        <v>201</v>
      </c>
      <c r="J52" s="6" t="n">
        <v>157</v>
      </c>
      <c r="K52" s="6" t="n">
        <v>2</v>
      </c>
      <c r="L52" s="6" t="n">
        <v>195</v>
      </c>
      <c r="M52" s="6" t="n">
        <v>325</v>
      </c>
      <c r="N52" s="6" t="n">
        <v>310</v>
      </c>
      <c r="O52" s="6" t="n">
        <v>266</v>
      </c>
      <c r="P52" s="6" t="n">
        <v>93</v>
      </c>
      <c r="Q52" s="6" t="n">
        <v>223</v>
      </c>
      <c r="R52" s="6" t="n">
        <v>414</v>
      </c>
      <c r="S52" s="6" t="n">
        <v>393</v>
      </c>
      <c r="T52" s="6" t="n">
        <v>364</v>
      </c>
      <c r="U52" s="6" t="n">
        <v>49</v>
      </c>
      <c r="V52" s="6" t="n">
        <v>132</v>
      </c>
      <c r="W52" s="6" t="n">
        <v>166</v>
      </c>
      <c r="X52" s="6" t="n">
        <v>177</v>
      </c>
      <c r="Y52" s="6" t="n">
        <v>119</v>
      </c>
      <c r="Z52" s="6" t="n">
        <v>3</v>
      </c>
      <c r="AA52" s="6" t="n">
        <v>191</v>
      </c>
      <c r="AB52" s="6">
        <f>SUM(D52:AA52)</f>
        <v/>
      </c>
      <c r="AC52" s="3" t="inlineStr"/>
      <c r="AD52" s="7">
        <f>E52*0.0120051238+D52*0.0024010248</f>
        <v/>
      </c>
      <c r="AE52" s="7">
        <f>F52*0.0120051238+E52*0.0024010248</f>
        <v/>
      </c>
      <c r="AF52" s="7">
        <f>G52*0.0120051238+F52*0.0024010248</f>
        <v/>
      </c>
      <c r="AG52" s="7">
        <f>H52*0.0120051238+G52*0.0024010248</f>
        <v/>
      </c>
      <c r="AH52" s="7">
        <f>I52*0.0120051238+H52*0.0024010248</f>
        <v/>
      </c>
      <c r="AI52" s="7">
        <f>J52*0.0120051238+I52*0.0024010248</f>
        <v/>
      </c>
      <c r="AJ52" s="7">
        <f>K52*0.0120051238+J52*0.0024010248</f>
        <v/>
      </c>
      <c r="AK52" s="7">
        <f>L52*0.0120051238+K52*0.0024010248</f>
        <v/>
      </c>
      <c r="AL52" s="7">
        <f>M52*0.0120051238+L52*0.0024010248</f>
        <v/>
      </c>
      <c r="AM52" s="7">
        <f>N52*0.0120051238+M52*0.0024010248</f>
        <v/>
      </c>
      <c r="AN52" s="7">
        <f>O52*0.0120051238+N52*0.0024010248</f>
        <v/>
      </c>
      <c r="AO52" s="7">
        <f>P52*0.0120051238+O52*0.0024010248</f>
        <v/>
      </c>
      <c r="AP52" s="7">
        <f>Q52*0.0120051238+P52*0.0024010248</f>
        <v/>
      </c>
      <c r="AQ52" s="7">
        <f>R52*0.0120051238+Q52*0.0024010248</f>
        <v/>
      </c>
      <c r="AR52" s="7">
        <f>S52*0.0120051238+R52*0.0024010248</f>
        <v/>
      </c>
      <c r="AS52" s="7">
        <f>T52*0.0120051238+S52*0.0024010248</f>
        <v/>
      </c>
      <c r="AT52" s="7">
        <f>U52*0.0120051238+T52*0.0024010248</f>
        <v/>
      </c>
      <c r="AU52" s="7">
        <f>V52*0.0120051238+U52*0.0024010248</f>
        <v/>
      </c>
      <c r="AV52" s="7">
        <f>W52*0.0120051238+V52*0.0024010248</f>
        <v/>
      </c>
      <c r="AW52" s="7">
        <f>X52*0.0120051238+W52*0.0024010248</f>
        <v/>
      </c>
      <c r="AX52" s="7">
        <f>Y52*0.0120051238+X52*0.0024010248</f>
        <v/>
      </c>
      <c r="AY52" s="7">
        <f>Z52*0.0120051238+Y52*0.0024010248</f>
        <v/>
      </c>
      <c r="AZ52" s="7">
        <f>AA52*0.0120051238+Z52*0.0024010248</f>
        <v/>
      </c>
      <c r="BA52" s="7">
        <f>D52*0.0120051238+AA52*0.0024010248</f>
        <v/>
      </c>
      <c r="BB52" s="7">
        <f>SUM(AD52:BA52)</f>
        <v/>
      </c>
    </row>
    <row r="53">
      <c r="A53" t="inlineStr">
        <is>
          <t>AMD-FWDREG-SSC</t>
        </is>
      </c>
      <c r="B53" t="inlineStr">
        <is>
          <t>Forward Regular OSC</t>
        </is>
      </c>
      <c r="C53" s="5" t="n">
        <v>46100</v>
      </c>
      <c r="D53" s="6" t="n">
        <v>361</v>
      </c>
      <c r="E53" s="6" t="n">
        <v>99</v>
      </c>
      <c r="F53" s="6" t="n">
        <v>272</v>
      </c>
      <c r="G53" s="6" t="n">
        <v>345</v>
      </c>
      <c r="H53" s="6" t="n">
        <v>172</v>
      </c>
      <c r="I53" s="6" t="n">
        <v>273</v>
      </c>
      <c r="J53" s="6" t="n">
        <v>93</v>
      </c>
      <c r="K53" s="6" t="n">
        <v>7</v>
      </c>
      <c r="L53" s="6" t="n">
        <v>118</v>
      </c>
      <c r="M53" s="6" t="n">
        <v>266</v>
      </c>
      <c r="N53" s="6" t="n">
        <v>282</v>
      </c>
      <c r="O53" s="6" t="n">
        <v>294</v>
      </c>
      <c r="P53" s="6" t="n">
        <v>276</v>
      </c>
      <c r="Q53" s="6" t="n">
        <v>122</v>
      </c>
      <c r="R53" s="6" t="n">
        <v>186</v>
      </c>
      <c r="S53" s="6" t="n">
        <v>68</v>
      </c>
      <c r="T53" s="6" t="n">
        <v>45</v>
      </c>
      <c r="U53" s="6" t="n">
        <v>63</v>
      </c>
      <c r="V53" s="6" t="n">
        <v>68</v>
      </c>
      <c r="W53" s="6" t="n">
        <v>77</v>
      </c>
      <c r="X53" s="6" t="n">
        <v>80</v>
      </c>
      <c r="Y53" s="6" t="n">
        <v>59</v>
      </c>
      <c r="Z53" s="6" t="n">
        <v>0</v>
      </c>
      <c r="AA53" s="6" t="n">
        <v>0</v>
      </c>
      <c r="AB53" s="6">
        <f>SUM(D53:AA53)</f>
        <v/>
      </c>
      <c r="AC53" s="3" t="inlineStr"/>
      <c r="AD53" s="7">
        <f>E53*0.0120051238+D53*0.0024010248</f>
        <v/>
      </c>
      <c r="AE53" s="7">
        <f>F53*0.0120051238+E53*0.0024010248</f>
        <v/>
      </c>
      <c r="AF53" s="7">
        <f>G53*0.0120051238+F53*0.0024010248</f>
        <v/>
      </c>
      <c r="AG53" s="7">
        <f>H53*0.0120051238+G53*0.0024010248</f>
        <v/>
      </c>
      <c r="AH53" s="7">
        <f>I53*0.0120051238+H53*0.0024010248</f>
        <v/>
      </c>
      <c r="AI53" s="7">
        <f>J53*0.0120051238+I53*0.0024010248</f>
        <v/>
      </c>
      <c r="AJ53" s="7">
        <f>K53*0.0120051238+J53*0.0024010248</f>
        <v/>
      </c>
      <c r="AK53" s="7">
        <f>L53*0.0120051238+K53*0.0024010248</f>
        <v/>
      </c>
      <c r="AL53" s="7">
        <f>M53*0.0120051238+L53*0.0024010248</f>
        <v/>
      </c>
      <c r="AM53" s="7">
        <f>N53*0.0120051238+M53*0.0024010248</f>
        <v/>
      </c>
      <c r="AN53" s="7">
        <f>O53*0.0120051238+N53*0.0024010248</f>
        <v/>
      </c>
      <c r="AO53" s="7">
        <f>P53*0.0120051238+O53*0.0024010248</f>
        <v/>
      </c>
      <c r="AP53" s="7">
        <f>Q53*0.0120051238+P53*0.0024010248</f>
        <v/>
      </c>
      <c r="AQ53" s="7">
        <f>R53*0.0120051238+Q53*0.0024010248</f>
        <v/>
      </c>
      <c r="AR53" s="7">
        <f>S53*0.0120051238+R53*0.0024010248</f>
        <v/>
      </c>
      <c r="AS53" s="7">
        <f>T53*0.0120051238+S53*0.0024010248</f>
        <v/>
      </c>
      <c r="AT53" s="7">
        <f>U53*0.0120051238+T53*0.0024010248</f>
        <v/>
      </c>
      <c r="AU53" s="7">
        <f>V53*0.0120051238+U53*0.0024010248</f>
        <v/>
      </c>
      <c r="AV53" s="7">
        <f>W53*0.0120051238+V53*0.0024010248</f>
        <v/>
      </c>
      <c r="AW53" s="7">
        <f>X53*0.0120051238+W53*0.0024010248</f>
        <v/>
      </c>
      <c r="AX53" s="7">
        <f>Y53*0.0120051238+X53*0.0024010248</f>
        <v/>
      </c>
      <c r="AY53" s="7">
        <f>Z53*0.0120051238+Y53*0.0024010248</f>
        <v/>
      </c>
      <c r="AZ53" s="7">
        <f>AA53*0.0120051238+Z53*0.0024010248</f>
        <v/>
      </c>
      <c r="BA53" s="7">
        <f>D53*0.0120051238+AA53*0.0024010248</f>
        <v/>
      </c>
      <c r="BB53" s="7">
        <f>SUM(AD53:BA53)</f>
        <v/>
      </c>
    </row>
    <row r="54">
      <c r="A54" t="inlineStr">
        <is>
          <t>AMD-FWDREG-SSC</t>
        </is>
      </c>
      <c r="B54" t="inlineStr">
        <is>
          <t>Forward Regular OSC</t>
        </is>
      </c>
      <c r="C54" s="5" t="n">
        <v>46101</v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31</v>
      </c>
      <c r="M54" s="6" t="n">
        <v>254</v>
      </c>
      <c r="N54" s="6" t="n">
        <v>295</v>
      </c>
      <c r="O54" s="6" t="n">
        <v>269</v>
      </c>
      <c r="P54" s="6" t="n">
        <v>108</v>
      </c>
      <c r="Q54" s="6" t="n">
        <v>279</v>
      </c>
      <c r="R54" s="6" t="n">
        <v>351</v>
      </c>
      <c r="S54" s="6" t="n">
        <v>405</v>
      </c>
      <c r="T54" s="6" t="n">
        <v>381</v>
      </c>
      <c r="U54" s="6" t="n">
        <v>17</v>
      </c>
      <c r="V54" s="6" t="n">
        <v>272</v>
      </c>
      <c r="W54" s="6" t="n">
        <v>252</v>
      </c>
      <c r="X54" s="6" t="n">
        <v>240</v>
      </c>
      <c r="Y54" s="6" t="n">
        <v>73</v>
      </c>
      <c r="Z54" s="6" t="n">
        <v>1</v>
      </c>
      <c r="AA54" s="6" t="n">
        <v>104</v>
      </c>
      <c r="AB54" s="6">
        <f>SUM(D54:AA54)</f>
        <v/>
      </c>
      <c r="AC54" s="3" t="inlineStr"/>
      <c r="AD54" s="7">
        <f>E54*0.0120051238+D54*0.0024010248</f>
        <v/>
      </c>
      <c r="AE54" s="7">
        <f>F54*0.0120051238+E54*0.0024010248</f>
        <v/>
      </c>
      <c r="AF54" s="7">
        <f>G54*0.0120051238+F54*0.0024010248</f>
        <v/>
      </c>
      <c r="AG54" s="7">
        <f>H54*0.0120051238+G54*0.0024010248</f>
        <v/>
      </c>
      <c r="AH54" s="7">
        <f>I54*0.0120051238+H54*0.0024010248</f>
        <v/>
      </c>
      <c r="AI54" s="7">
        <f>J54*0.0120051238+I54*0.0024010248</f>
        <v/>
      </c>
      <c r="AJ54" s="7">
        <f>K54*0.0120051238+J54*0.0024010248</f>
        <v/>
      </c>
      <c r="AK54" s="7">
        <f>L54*0.0120051238+K54*0.0024010248</f>
        <v/>
      </c>
      <c r="AL54" s="7">
        <f>M54*0.0120051238+L54*0.0024010248</f>
        <v/>
      </c>
      <c r="AM54" s="7">
        <f>N54*0.0120051238+M54*0.0024010248</f>
        <v/>
      </c>
      <c r="AN54" s="7">
        <f>O54*0.0120051238+N54*0.0024010248</f>
        <v/>
      </c>
      <c r="AO54" s="7">
        <f>P54*0.0120051238+O54*0.0024010248</f>
        <v/>
      </c>
      <c r="AP54" s="7">
        <f>Q54*0.0120051238+P54*0.0024010248</f>
        <v/>
      </c>
      <c r="AQ54" s="7">
        <f>R54*0.0120051238+Q54*0.0024010248</f>
        <v/>
      </c>
      <c r="AR54" s="7">
        <f>S54*0.0120051238+R54*0.0024010248</f>
        <v/>
      </c>
      <c r="AS54" s="7">
        <f>T54*0.0120051238+S54*0.0024010248</f>
        <v/>
      </c>
      <c r="AT54" s="7">
        <f>U54*0.0120051238+T54*0.0024010248</f>
        <v/>
      </c>
      <c r="AU54" s="7">
        <f>V54*0.0120051238+U54*0.0024010248</f>
        <v/>
      </c>
      <c r="AV54" s="7">
        <f>W54*0.0120051238+V54*0.0024010248</f>
        <v/>
      </c>
      <c r="AW54" s="7">
        <f>X54*0.0120051238+W54*0.0024010248</f>
        <v/>
      </c>
      <c r="AX54" s="7">
        <f>Y54*0.0120051238+X54*0.0024010248</f>
        <v/>
      </c>
      <c r="AY54" s="7">
        <f>Z54*0.0120051238+Y54*0.0024010248</f>
        <v/>
      </c>
      <c r="AZ54" s="7">
        <f>AA54*0.0120051238+Z54*0.0024010248</f>
        <v/>
      </c>
      <c r="BA54" s="7">
        <f>D54*0.0120051238+AA54*0.0024010248</f>
        <v/>
      </c>
      <c r="BB54" s="7">
        <f>SUM(AD54:BA54)</f>
        <v/>
      </c>
    </row>
    <row r="55">
      <c r="A55" t="inlineStr">
        <is>
          <t>AMD-FWDREG-SSC</t>
        </is>
      </c>
      <c r="B55" t="inlineStr">
        <is>
          <t>Forward Regular OSC</t>
        </is>
      </c>
      <c r="C55" s="5" t="n">
        <v>46102</v>
      </c>
      <c r="D55" s="6" t="n">
        <v>227</v>
      </c>
      <c r="E55" s="6" t="n">
        <v>89</v>
      </c>
      <c r="F55" s="6" t="n">
        <v>220</v>
      </c>
      <c r="G55" s="6" t="n">
        <v>226</v>
      </c>
      <c r="H55" s="6" t="n">
        <v>129</v>
      </c>
      <c r="I55" s="6" t="n">
        <v>108</v>
      </c>
      <c r="J55" s="6" t="n">
        <v>115</v>
      </c>
      <c r="K55" s="6" t="n">
        <v>2</v>
      </c>
      <c r="L55" s="6" t="n">
        <v>0</v>
      </c>
      <c r="M55" s="6" t="n">
        <v>268</v>
      </c>
      <c r="N55" s="6" t="n">
        <v>266</v>
      </c>
      <c r="O55" s="6" t="n">
        <v>234</v>
      </c>
      <c r="P55" s="6" t="n">
        <v>160</v>
      </c>
      <c r="Q55" s="6" t="n">
        <v>142</v>
      </c>
      <c r="R55" s="6" t="n">
        <v>62</v>
      </c>
      <c r="S55" s="6" t="n">
        <v>59</v>
      </c>
      <c r="T55" s="6" t="n">
        <v>67</v>
      </c>
      <c r="U55" s="6" t="n">
        <v>5</v>
      </c>
      <c r="V55" s="6" t="n">
        <v>0</v>
      </c>
      <c r="W55" s="6" t="n">
        <v>7</v>
      </c>
      <c r="X55" s="6" t="n">
        <v>0</v>
      </c>
      <c r="Y55" s="6" t="n">
        <v>0</v>
      </c>
      <c r="Z55" s="6" t="n">
        <v>0</v>
      </c>
      <c r="AA55" s="6" t="n">
        <v>9</v>
      </c>
      <c r="AB55" s="6">
        <f>SUM(D55:AA55)</f>
        <v/>
      </c>
      <c r="AC55" s="3" t="inlineStr"/>
      <c r="AD55" s="7">
        <f>E55*0.0120051238+D55*0.0024010248</f>
        <v/>
      </c>
      <c r="AE55" s="7">
        <f>F55*0.0120051238+E55*0.0024010248</f>
        <v/>
      </c>
      <c r="AF55" s="7">
        <f>G55*0.0120051238+F55*0.0024010248</f>
        <v/>
      </c>
      <c r="AG55" s="7">
        <f>H55*0.0120051238+G55*0.0024010248</f>
        <v/>
      </c>
      <c r="AH55" s="7">
        <f>I55*0.0120051238+H55*0.0024010248</f>
        <v/>
      </c>
      <c r="AI55" s="7">
        <f>J55*0.0120051238+I55*0.0024010248</f>
        <v/>
      </c>
      <c r="AJ55" s="7">
        <f>K55*0.0120051238+J55*0.0024010248</f>
        <v/>
      </c>
      <c r="AK55" s="7">
        <f>L55*0.0120051238+K55*0.0024010248</f>
        <v/>
      </c>
      <c r="AL55" s="7">
        <f>M55*0.0120051238+L55*0.0024010248</f>
        <v/>
      </c>
      <c r="AM55" s="7">
        <f>N55*0.0120051238+M55*0.0024010248</f>
        <v/>
      </c>
      <c r="AN55" s="7">
        <f>O55*0.0120051238+N55*0.0024010248</f>
        <v/>
      </c>
      <c r="AO55" s="7">
        <f>P55*0.0120051238+O55*0.0024010248</f>
        <v/>
      </c>
      <c r="AP55" s="7">
        <f>Q55*0.0120051238+P55*0.0024010248</f>
        <v/>
      </c>
      <c r="AQ55" s="7">
        <f>R55*0.0120051238+Q55*0.0024010248</f>
        <v/>
      </c>
      <c r="AR55" s="7">
        <f>S55*0.0120051238+R55*0.0024010248</f>
        <v/>
      </c>
      <c r="AS55" s="7">
        <f>T55*0.0120051238+S55*0.0024010248</f>
        <v/>
      </c>
      <c r="AT55" s="7">
        <f>U55*0.0120051238+T55*0.0024010248</f>
        <v/>
      </c>
      <c r="AU55" s="7">
        <f>V55*0.0120051238+U55*0.0024010248</f>
        <v/>
      </c>
      <c r="AV55" s="7">
        <f>W55*0.0120051238+V55*0.0024010248</f>
        <v/>
      </c>
      <c r="AW55" s="7">
        <f>X55*0.0120051238+W55*0.0024010248</f>
        <v/>
      </c>
      <c r="AX55" s="7">
        <f>Y55*0.0120051238+X55*0.0024010248</f>
        <v/>
      </c>
      <c r="AY55" s="7">
        <f>Z55*0.0120051238+Y55*0.0024010248</f>
        <v/>
      </c>
      <c r="AZ55" s="7">
        <f>AA55*0.0120051238+Z55*0.0024010248</f>
        <v/>
      </c>
      <c r="BA55" s="7">
        <f>D55*0.0120051238+AA55*0.0024010248</f>
        <v/>
      </c>
      <c r="BB55" s="7">
        <f>SUM(AD55:BA55)</f>
        <v/>
      </c>
    </row>
    <row r="56">
      <c r="A56" t="inlineStr">
        <is>
          <t>AMD-FWDREG-SSC</t>
        </is>
      </c>
      <c r="B56" t="inlineStr">
        <is>
          <t>Forward Regular OSC</t>
        </is>
      </c>
      <c r="C56" s="5" t="n">
        <v>46103</v>
      </c>
      <c r="D56" s="6" t="n">
        <v>275</v>
      </c>
      <c r="E56" s="6" t="n">
        <v>62</v>
      </c>
      <c r="F56" s="6" t="n">
        <v>184</v>
      </c>
      <c r="G56" s="6" t="n">
        <v>254</v>
      </c>
      <c r="H56" s="6" t="n">
        <v>146</v>
      </c>
      <c r="I56" s="6" t="n">
        <v>130</v>
      </c>
      <c r="J56" s="6" t="n">
        <v>15</v>
      </c>
      <c r="K56" s="6" t="n">
        <v>1</v>
      </c>
      <c r="L56" s="6" t="n">
        <v>0</v>
      </c>
      <c r="M56" s="6" t="n">
        <v>227</v>
      </c>
      <c r="N56" s="6" t="n">
        <v>268</v>
      </c>
      <c r="O56" s="6" t="n">
        <v>227</v>
      </c>
      <c r="P56" s="6" t="n">
        <v>83</v>
      </c>
      <c r="Q56" s="6" t="n">
        <v>48</v>
      </c>
      <c r="R56" s="6" t="n">
        <v>258</v>
      </c>
      <c r="S56" s="6" t="n">
        <v>96</v>
      </c>
      <c r="T56" s="6" t="n">
        <v>5</v>
      </c>
      <c r="U56" s="6" t="n">
        <v>18</v>
      </c>
      <c r="V56" s="6" t="n">
        <v>10</v>
      </c>
      <c r="W56" s="6" t="n">
        <v>44</v>
      </c>
      <c r="X56" s="6" t="n">
        <v>49</v>
      </c>
      <c r="Y56" s="6" t="n">
        <v>50</v>
      </c>
      <c r="Z56" s="6" t="n">
        <v>2</v>
      </c>
      <c r="AA56" s="6" t="n">
        <v>0</v>
      </c>
      <c r="AB56" s="6">
        <f>SUM(D56:AA56)</f>
        <v/>
      </c>
      <c r="AC56" s="3" t="inlineStr"/>
      <c r="AD56" s="7">
        <f>E56*0.0120051238+D56*0.0024010248</f>
        <v/>
      </c>
      <c r="AE56" s="7">
        <f>F56*0.0120051238+E56*0.0024010248</f>
        <v/>
      </c>
      <c r="AF56" s="7">
        <f>G56*0.0120051238+F56*0.0024010248</f>
        <v/>
      </c>
      <c r="AG56" s="7">
        <f>H56*0.0120051238+G56*0.0024010248</f>
        <v/>
      </c>
      <c r="AH56" s="7">
        <f>I56*0.0120051238+H56*0.0024010248</f>
        <v/>
      </c>
      <c r="AI56" s="7">
        <f>J56*0.0120051238+I56*0.0024010248</f>
        <v/>
      </c>
      <c r="AJ56" s="7">
        <f>K56*0.0120051238+J56*0.0024010248</f>
        <v/>
      </c>
      <c r="AK56" s="7">
        <f>L56*0.0120051238+K56*0.0024010248</f>
        <v/>
      </c>
      <c r="AL56" s="7">
        <f>M56*0.0120051238+L56*0.0024010248</f>
        <v/>
      </c>
      <c r="AM56" s="7">
        <f>N56*0.0120051238+M56*0.0024010248</f>
        <v/>
      </c>
      <c r="AN56" s="7">
        <f>O56*0.0120051238+N56*0.0024010248</f>
        <v/>
      </c>
      <c r="AO56" s="7">
        <f>P56*0.0120051238+O56*0.0024010248</f>
        <v/>
      </c>
      <c r="AP56" s="7">
        <f>Q56*0.0120051238+P56*0.0024010248</f>
        <v/>
      </c>
      <c r="AQ56" s="7">
        <f>R56*0.0120051238+Q56*0.0024010248</f>
        <v/>
      </c>
      <c r="AR56" s="7">
        <f>S56*0.0120051238+R56*0.0024010248</f>
        <v/>
      </c>
      <c r="AS56" s="7">
        <f>T56*0.0120051238+S56*0.0024010248</f>
        <v/>
      </c>
      <c r="AT56" s="7">
        <f>U56*0.0120051238+T56*0.0024010248</f>
        <v/>
      </c>
      <c r="AU56" s="7">
        <f>V56*0.0120051238+U56*0.0024010248</f>
        <v/>
      </c>
      <c r="AV56" s="7">
        <f>W56*0.0120051238+V56*0.0024010248</f>
        <v/>
      </c>
      <c r="AW56" s="7">
        <f>X56*0.0120051238+W56*0.0024010248</f>
        <v/>
      </c>
      <c r="AX56" s="7">
        <f>Y56*0.0120051238+X56*0.0024010248</f>
        <v/>
      </c>
      <c r="AY56" s="7">
        <f>Z56*0.0120051238+Y56*0.0024010248</f>
        <v/>
      </c>
      <c r="AZ56" s="7">
        <f>AA56*0.0120051238+Z56*0.0024010248</f>
        <v/>
      </c>
      <c r="BA56" s="7">
        <f>D56*0.0120051238+AA56*0.0024010248</f>
        <v/>
      </c>
      <c r="BB56" s="7">
        <f>SUM(AD56:BA56)</f>
        <v/>
      </c>
    </row>
    <row r="57">
      <c r="A57" t="inlineStr">
        <is>
          <t>AMD-FWDREG-SSC</t>
        </is>
      </c>
      <c r="B57" t="inlineStr">
        <is>
          <t>Forward Regular OSC</t>
        </is>
      </c>
      <c r="C57" s="5" t="n">
        <v>46104</v>
      </c>
      <c r="D57" s="6" t="n">
        <v>201</v>
      </c>
      <c r="E57" s="6" t="n">
        <v>154</v>
      </c>
      <c r="F57" s="6" t="n">
        <v>5</v>
      </c>
      <c r="G57" s="6" t="n">
        <v>222</v>
      </c>
      <c r="H57" s="6" t="n">
        <v>114</v>
      </c>
      <c r="I57" s="6" t="n">
        <v>147</v>
      </c>
      <c r="J57" s="6" t="n">
        <v>7</v>
      </c>
      <c r="K57" s="6" t="n">
        <v>0</v>
      </c>
      <c r="L57" s="6" t="n">
        <v>6</v>
      </c>
      <c r="M57" s="6" t="n">
        <v>396</v>
      </c>
      <c r="N57" s="6" t="n">
        <v>218</v>
      </c>
      <c r="O57" s="6" t="n">
        <v>1</v>
      </c>
      <c r="P57" s="6" t="n">
        <v>0</v>
      </c>
      <c r="Q57" s="6" t="n">
        <v>0</v>
      </c>
      <c r="R57" s="6" t="n">
        <v>89</v>
      </c>
      <c r="S57" s="6" t="n">
        <v>68</v>
      </c>
      <c r="T57" s="6" t="n">
        <v>7</v>
      </c>
      <c r="U57" s="6" t="n">
        <v>62</v>
      </c>
      <c r="V57" s="6" t="n">
        <v>38</v>
      </c>
      <c r="W57" s="6" t="n">
        <v>38</v>
      </c>
      <c r="X57" s="6" t="n">
        <v>29</v>
      </c>
      <c r="Y57" s="6" t="n">
        <v>9</v>
      </c>
      <c r="Z57" s="6" t="n">
        <v>0</v>
      </c>
      <c r="AA57" s="6" t="n">
        <v>36</v>
      </c>
      <c r="AB57" s="6">
        <f>SUM(D57:AA57)</f>
        <v/>
      </c>
      <c r="AC57" s="3" t="inlineStr"/>
      <c r="AD57" s="7">
        <f>E57*0.0120051238+D57*0.0024010248</f>
        <v/>
      </c>
      <c r="AE57" s="7">
        <f>F57*0.0120051238+E57*0.0024010248</f>
        <v/>
      </c>
      <c r="AF57" s="7">
        <f>G57*0.0120051238+F57*0.0024010248</f>
        <v/>
      </c>
      <c r="AG57" s="7">
        <f>H57*0.0120051238+G57*0.0024010248</f>
        <v/>
      </c>
      <c r="AH57" s="7">
        <f>I57*0.0120051238+H57*0.0024010248</f>
        <v/>
      </c>
      <c r="AI57" s="7">
        <f>J57*0.0120051238+I57*0.0024010248</f>
        <v/>
      </c>
      <c r="AJ57" s="7">
        <f>K57*0.0120051238+J57*0.0024010248</f>
        <v/>
      </c>
      <c r="AK57" s="7">
        <f>L57*0.0120051238+K57*0.0024010248</f>
        <v/>
      </c>
      <c r="AL57" s="7">
        <f>M57*0.0120051238+L57*0.0024010248</f>
        <v/>
      </c>
      <c r="AM57" s="7">
        <f>N57*0.0120051238+M57*0.0024010248</f>
        <v/>
      </c>
      <c r="AN57" s="7">
        <f>O57*0.0120051238+N57*0.0024010248</f>
        <v/>
      </c>
      <c r="AO57" s="7">
        <f>P57*0.0120051238+O57*0.0024010248</f>
        <v/>
      </c>
      <c r="AP57" s="7">
        <f>Q57*0.0120051238+P57*0.0024010248</f>
        <v/>
      </c>
      <c r="AQ57" s="7">
        <f>R57*0.0120051238+Q57*0.0024010248</f>
        <v/>
      </c>
      <c r="AR57" s="7">
        <f>S57*0.0120051238+R57*0.0024010248</f>
        <v/>
      </c>
      <c r="AS57" s="7">
        <f>T57*0.0120051238+S57*0.0024010248</f>
        <v/>
      </c>
      <c r="AT57" s="7">
        <f>U57*0.0120051238+T57*0.0024010248</f>
        <v/>
      </c>
      <c r="AU57" s="7">
        <f>V57*0.0120051238+U57*0.0024010248</f>
        <v/>
      </c>
      <c r="AV57" s="7">
        <f>W57*0.0120051238+V57*0.0024010248</f>
        <v/>
      </c>
      <c r="AW57" s="7">
        <f>X57*0.0120051238+W57*0.0024010248</f>
        <v/>
      </c>
      <c r="AX57" s="7">
        <f>Y57*0.0120051238+X57*0.0024010248</f>
        <v/>
      </c>
      <c r="AY57" s="7">
        <f>Z57*0.0120051238+Y57*0.0024010248</f>
        <v/>
      </c>
      <c r="AZ57" s="7">
        <f>AA57*0.0120051238+Z57*0.0024010248</f>
        <v/>
      </c>
      <c r="BA57" s="7">
        <f>D57*0.0120051238+AA57*0.0024010248</f>
        <v/>
      </c>
      <c r="BB57" s="7">
        <f>SUM(AD57:BA57)</f>
        <v/>
      </c>
    </row>
    <row r="58">
      <c r="A58" t="inlineStr">
        <is>
          <t>AMD-FWDREG-SSC</t>
        </is>
      </c>
      <c r="B58" t="inlineStr">
        <is>
          <t>Forward Regular OSC</t>
        </is>
      </c>
      <c r="C58" s="5" t="n">
        <v>46105</v>
      </c>
      <c r="D58" s="6" t="n">
        <v>447</v>
      </c>
      <c r="E58" s="6" t="n">
        <v>81</v>
      </c>
      <c r="F58" s="6" t="n">
        <v>256</v>
      </c>
      <c r="G58" s="6" t="n">
        <v>219</v>
      </c>
      <c r="H58" s="6" t="n">
        <v>138</v>
      </c>
      <c r="I58" s="6" t="n">
        <v>263</v>
      </c>
      <c r="J58" s="6" t="n">
        <v>218</v>
      </c>
      <c r="K58" s="6" t="n">
        <v>0</v>
      </c>
      <c r="L58" s="6" t="n">
        <v>1</v>
      </c>
      <c r="M58" s="6" t="n">
        <v>448</v>
      </c>
      <c r="N58" s="6" t="n">
        <v>297</v>
      </c>
      <c r="O58" s="6" t="n">
        <v>256</v>
      </c>
      <c r="P58" s="6" t="n">
        <v>159</v>
      </c>
      <c r="Q58" s="6" t="n">
        <v>355</v>
      </c>
      <c r="R58" s="6" t="n">
        <v>189</v>
      </c>
      <c r="S58" s="6" t="n">
        <v>10</v>
      </c>
      <c r="T58" s="6" t="n">
        <v>39</v>
      </c>
      <c r="U58" s="6" t="n">
        <v>96</v>
      </c>
      <c r="V58" s="6" t="n">
        <v>62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0</v>
      </c>
      <c r="AB58" s="6">
        <f>SUM(D58:AA58)</f>
        <v/>
      </c>
      <c r="AC58" s="3" t="inlineStr"/>
      <c r="AD58" s="7">
        <f>E58*0.0120051238+D58*0.0024010248</f>
        <v/>
      </c>
      <c r="AE58" s="7">
        <f>F58*0.0120051238+E58*0.0024010248</f>
        <v/>
      </c>
      <c r="AF58" s="7">
        <f>G58*0.0120051238+F58*0.0024010248</f>
        <v/>
      </c>
      <c r="AG58" s="7">
        <f>H58*0.0120051238+G58*0.0024010248</f>
        <v/>
      </c>
      <c r="AH58" s="7">
        <f>I58*0.0120051238+H58*0.0024010248</f>
        <v/>
      </c>
      <c r="AI58" s="7">
        <f>J58*0.0120051238+I58*0.0024010248</f>
        <v/>
      </c>
      <c r="AJ58" s="7">
        <f>K58*0.0120051238+J58*0.0024010248</f>
        <v/>
      </c>
      <c r="AK58" s="7">
        <f>L58*0.0120051238+K58*0.0024010248</f>
        <v/>
      </c>
      <c r="AL58" s="7">
        <f>M58*0.0120051238+L58*0.0024010248</f>
        <v/>
      </c>
      <c r="AM58" s="7">
        <f>N58*0.0120051238+M58*0.0024010248</f>
        <v/>
      </c>
      <c r="AN58" s="7">
        <f>O58*0.0120051238+N58*0.0024010248</f>
        <v/>
      </c>
      <c r="AO58" s="7">
        <f>P58*0.0120051238+O58*0.0024010248</f>
        <v/>
      </c>
      <c r="AP58" s="7">
        <f>Q58*0.0120051238+P58*0.0024010248</f>
        <v/>
      </c>
      <c r="AQ58" s="7">
        <f>R58*0.0120051238+Q58*0.0024010248</f>
        <v/>
      </c>
      <c r="AR58" s="7">
        <f>S58*0.0120051238+R58*0.0024010248</f>
        <v/>
      </c>
      <c r="AS58" s="7">
        <f>T58*0.0120051238+S58*0.0024010248</f>
        <v/>
      </c>
      <c r="AT58" s="7">
        <f>U58*0.0120051238+T58*0.0024010248</f>
        <v/>
      </c>
      <c r="AU58" s="7">
        <f>V58*0.0120051238+U58*0.0024010248</f>
        <v/>
      </c>
      <c r="AV58" s="7">
        <f>W58*0.0120051238+V58*0.0024010248</f>
        <v/>
      </c>
      <c r="AW58" s="7">
        <f>X58*0.0120051238+W58*0.0024010248</f>
        <v/>
      </c>
      <c r="AX58" s="7">
        <f>Y58*0.0120051238+X58*0.0024010248</f>
        <v/>
      </c>
      <c r="AY58" s="7">
        <f>Z58*0.0120051238+Y58*0.0024010248</f>
        <v/>
      </c>
      <c r="AZ58" s="7">
        <f>AA58*0.0120051238+Z58*0.0024010248</f>
        <v/>
      </c>
      <c r="BA58" s="7">
        <f>D58*0.0120051238+AA58*0.0024010248</f>
        <v/>
      </c>
      <c r="BB58" s="7">
        <f>SUM(AD58:BA58)</f>
        <v/>
      </c>
    </row>
    <row r="59">
      <c r="A59" t="inlineStr">
        <is>
          <t>AMD-INTRA-SSC</t>
        </is>
      </c>
      <c r="B59" t="inlineStr">
        <is>
          <t>Forward Regular OSC</t>
        </is>
      </c>
      <c r="C59" s="5" t="n">
        <v>46098</v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Q59" s="6" t="n">
        <v>0</v>
      </c>
      <c r="R59" s="6" t="n">
        <v>0</v>
      </c>
      <c r="S59" s="6" t="n">
        <v>0</v>
      </c>
      <c r="T59" s="6" t="n">
        <v>7</v>
      </c>
      <c r="U59" s="6" t="n">
        <v>6</v>
      </c>
      <c r="V59" s="6" t="n">
        <v>0</v>
      </c>
      <c r="W59" s="6" t="n">
        <v>0</v>
      </c>
      <c r="X59" s="6" t="n">
        <v>0</v>
      </c>
      <c r="Y59" s="6" t="n">
        <v>6</v>
      </c>
      <c r="Z59" s="6" t="n">
        <v>10</v>
      </c>
      <c r="AA59" s="6" t="n">
        <v>7</v>
      </c>
      <c r="AB59" s="6">
        <f>SUM(D59:AA59)</f>
        <v/>
      </c>
      <c r="AC59" s="3" t="inlineStr"/>
      <c r="AD59" s="7">
        <f>E59*0.0120051238+D59*0.0024010248</f>
        <v/>
      </c>
      <c r="AE59" s="7">
        <f>F59*0.0120051238+E59*0.0024010248</f>
        <v/>
      </c>
      <c r="AF59" s="7">
        <f>G59*0.0120051238+F59*0.0024010248</f>
        <v/>
      </c>
      <c r="AG59" s="7">
        <f>H59*0.0120051238+G59*0.0024010248</f>
        <v/>
      </c>
      <c r="AH59" s="7">
        <f>I59*0.0120051238+H59*0.0024010248</f>
        <v/>
      </c>
      <c r="AI59" s="7">
        <f>J59*0.0120051238+I59*0.0024010248</f>
        <v/>
      </c>
      <c r="AJ59" s="7">
        <f>K59*0.0120051238+J59*0.0024010248</f>
        <v/>
      </c>
      <c r="AK59" s="7">
        <f>L59*0.0120051238+K59*0.0024010248</f>
        <v/>
      </c>
      <c r="AL59" s="7">
        <f>M59*0.0120051238+L59*0.0024010248</f>
        <v/>
      </c>
      <c r="AM59" s="7">
        <f>N59*0.0120051238+M59*0.0024010248</f>
        <v/>
      </c>
      <c r="AN59" s="7">
        <f>O59*0.0120051238+N59*0.0024010248</f>
        <v/>
      </c>
      <c r="AO59" s="7">
        <f>P59*0.0120051238+O59*0.0024010248</f>
        <v/>
      </c>
      <c r="AP59" s="7">
        <f>Q59*0.0120051238+P59*0.0024010248</f>
        <v/>
      </c>
      <c r="AQ59" s="7">
        <f>R59*0.0120051238+Q59*0.0024010248</f>
        <v/>
      </c>
      <c r="AR59" s="7">
        <f>S59*0.0120051238+R59*0.0024010248</f>
        <v/>
      </c>
      <c r="AS59" s="7">
        <f>T59*0.0120051238+S59*0.0024010248</f>
        <v/>
      </c>
      <c r="AT59" s="7">
        <f>U59*0.0120051238+T59*0.0024010248</f>
        <v/>
      </c>
      <c r="AU59" s="7">
        <f>V59*0.0120051238+U59*0.0024010248</f>
        <v/>
      </c>
      <c r="AV59" s="7">
        <f>W59*0.0120051238+V59*0.0024010248</f>
        <v/>
      </c>
      <c r="AW59" s="7">
        <f>X59*0.0120051238+W59*0.0024010248</f>
        <v/>
      </c>
      <c r="AX59" s="7">
        <f>Y59*0.0120051238+X59*0.0024010248</f>
        <v/>
      </c>
      <c r="AY59" s="7">
        <f>Z59*0.0120051238+Y59*0.0024010248</f>
        <v/>
      </c>
      <c r="AZ59" s="7">
        <f>AA59*0.0120051238+Z59*0.0024010248</f>
        <v/>
      </c>
      <c r="BA59" s="7">
        <f>D59*0.0120051238+AA59*0.0024010248</f>
        <v/>
      </c>
      <c r="BB59" s="7">
        <f>SUM(AD59:BA59)</f>
        <v/>
      </c>
    </row>
    <row r="60">
      <c r="A60" t="inlineStr">
        <is>
          <t>AMD-INTRA-SSC</t>
        </is>
      </c>
      <c r="B60" t="inlineStr">
        <is>
          <t>Forward Regular OSC</t>
        </is>
      </c>
      <c r="C60" s="5" t="n">
        <v>46099</v>
      </c>
      <c r="D60" s="6" t="n">
        <v>13</v>
      </c>
      <c r="E60" s="6" t="n">
        <v>5</v>
      </c>
      <c r="F60" s="6" t="n">
        <v>10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0</v>
      </c>
      <c r="Q60" s="6" t="n">
        <v>6</v>
      </c>
      <c r="R60" s="6" t="n">
        <v>6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8</v>
      </c>
      <c r="Z60" s="6" t="n">
        <v>0</v>
      </c>
      <c r="AA60" s="6" t="n">
        <v>11</v>
      </c>
      <c r="AB60" s="6">
        <f>SUM(D60:AA60)</f>
        <v/>
      </c>
      <c r="AC60" s="3" t="inlineStr"/>
      <c r="AD60" s="7">
        <f>E60*0.0120051238+D60*0.0024010248</f>
        <v/>
      </c>
      <c r="AE60" s="7">
        <f>F60*0.0120051238+E60*0.0024010248</f>
        <v/>
      </c>
      <c r="AF60" s="7">
        <f>G60*0.0120051238+F60*0.0024010248</f>
        <v/>
      </c>
      <c r="AG60" s="7">
        <f>H60*0.0120051238+G60*0.0024010248</f>
        <v/>
      </c>
      <c r="AH60" s="7">
        <f>I60*0.0120051238+H60*0.0024010248</f>
        <v/>
      </c>
      <c r="AI60" s="7">
        <f>J60*0.0120051238+I60*0.0024010248</f>
        <v/>
      </c>
      <c r="AJ60" s="7">
        <f>K60*0.0120051238+J60*0.0024010248</f>
        <v/>
      </c>
      <c r="AK60" s="7">
        <f>L60*0.0120051238+K60*0.0024010248</f>
        <v/>
      </c>
      <c r="AL60" s="7">
        <f>M60*0.0120051238+L60*0.0024010248</f>
        <v/>
      </c>
      <c r="AM60" s="7">
        <f>N60*0.0120051238+M60*0.0024010248</f>
        <v/>
      </c>
      <c r="AN60" s="7">
        <f>O60*0.0120051238+N60*0.0024010248</f>
        <v/>
      </c>
      <c r="AO60" s="7">
        <f>P60*0.0120051238+O60*0.0024010248</f>
        <v/>
      </c>
      <c r="AP60" s="7">
        <f>Q60*0.0120051238+P60*0.0024010248</f>
        <v/>
      </c>
      <c r="AQ60" s="7">
        <f>R60*0.0120051238+Q60*0.0024010248</f>
        <v/>
      </c>
      <c r="AR60" s="7">
        <f>S60*0.0120051238+R60*0.0024010248</f>
        <v/>
      </c>
      <c r="AS60" s="7">
        <f>T60*0.0120051238+S60*0.0024010248</f>
        <v/>
      </c>
      <c r="AT60" s="7">
        <f>U60*0.0120051238+T60*0.0024010248</f>
        <v/>
      </c>
      <c r="AU60" s="7">
        <f>V60*0.0120051238+U60*0.0024010248</f>
        <v/>
      </c>
      <c r="AV60" s="7">
        <f>W60*0.0120051238+V60*0.0024010248</f>
        <v/>
      </c>
      <c r="AW60" s="7">
        <f>X60*0.0120051238+W60*0.0024010248</f>
        <v/>
      </c>
      <c r="AX60" s="7">
        <f>Y60*0.0120051238+X60*0.0024010248</f>
        <v/>
      </c>
      <c r="AY60" s="7">
        <f>Z60*0.0120051238+Y60*0.0024010248</f>
        <v/>
      </c>
      <c r="AZ60" s="7">
        <f>AA60*0.0120051238+Z60*0.0024010248</f>
        <v/>
      </c>
      <c r="BA60" s="7">
        <f>D60*0.0120051238+AA60*0.0024010248</f>
        <v/>
      </c>
      <c r="BB60" s="7">
        <f>SUM(AD60:BA60)</f>
        <v/>
      </c>
    </row>
    <row r="61">
      <c r="A61" t="inlineStr">
        <is>
          <t>AMD-INTRA-SSC</t>
        </is>
      </c>
      <c r="B61" t="inlineStr">
        <is>
          <t>Forward Regular OSC</t>
        </is>
      </c>
      <c r="C61" s="5" t="n">
        <v>46100</v>
      </c>
      <c r="D61" s="6" t="n">
        <v>12</v>
      </c>
      <c r="E61" s="6" t="n">
        <v>3</v>
      </c>
      <c r="F61" s="6" t="n">
        <v>7</v>
      </c>
      <c r="G61" s="6" t="n">
        <v>0</v>
      </c>
      <c r="H61" s="6" t="n">
        <v>0</v>
      </c>
      <c r="I61" s="6" t="n">
        <v>3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0</v>
      </c>
      <c r="Q61" s="6" t="n">
        <v>6</v>
      </c>
      <c r="R61" s="6" t="n">
        <v>6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1</v>
      </c>
      <c r="X61" s="6" t="n">
        <v>1</v>
      </c>
      <c r="Y61" s="6" t="n">
        <v>6</v>
      </c>
      <c r="Z61" s="6" t="n">
        <v>0</v>
      </c>
      <c r="AA61" s="6" t="n">
        <v>10</v>
      </c>
      <c r="AB61" s="6">
        <f>SUM(D61:AA61)</f>
        <v/>
      </c>
      <c r="AC61" s="3" t="inlineStr"/>
      <c r="AD61" s="7">
        <f>E61*0.0120051238+D61*0.0024010248</f>
        <v/>
      </c>
      <c r="AE61" s="7">
        <f>F61*0.0120051238+E61*0.0024010248</f>
        <v/>
      </c>
      <c r="AF61" s="7">
        <f>G61*0.0120051238+F61*0.0024010248</f>
        <v/>
      </c>
      <c r="AG61" s="7">
        <f>H61*0.0120051238+G61*0.0024010248</f>
        <v/>
      </c>
      <c r="AH61" s="7">
        <f>I61*0.0120051238+H61*0.0024010248</f>
        <v/>
      </c>
      <c r="AI61" s="7">
        <f>J61*0.0120051238+I61*0.0024010248</f>
        <v/>
      </c>
      <c r="AJ61" s="7">
        <f>K61*0.0120051238+J61*0.0024010248</f>
        <v/>
      </c>
      <c r="AK61" s="7">
        <f>L61*0.0120051238+K61*0.0024010248</f>
        <v/>
      </c>
      <c r="AL61" s="7">
        <f>M61*0.0120051238+L61*0.0024010248</f>
        <v/>
      </c>
      <c r="AM61" s="7">
        <f>N61*0.0120051238+M61*0.0024010248</f>
        <v/>
      </c>
      <c r="AN61" s="7">
        <f>O61*0.0120051238+N61*0.0024010248</f>
        <v/>
      </c>
      <c r="AO61" s="7">
        <f>P61*0.0120051238+O61*0.0024010248</f>
        <v/>
      </c>
      <c r="AP61" s="7">
        <f>Q61*0.0120051238+P61*0.0024010248</f>
        <v/>
      </c>
      <c r="AQ61" s="7">
        <f>R61*0.0120051238+Q61*0.0024010248</f>
        <v/>
      </c>
      <c r="AR61" s="7">
        <f>S61*0.0120051238+R61*0.0024010248</f>
        <v/>
      </c>
      <c r="AS61" s="7">
        <f>T61*0.0120051238+S61*0.0024010248</f>
        <v/>
      </c>
      <c r="AT61" s="7">
        <f>U61*0.0120051238+T61*0.0024010248</f>
        <v/>
      </c>
      <c r="AU61" s="7">
        <f>V61*0.0120051238+U61*0.0024010248</f>
        <v/>
      </c>
      <c r="AV61" s="7">
        <f>W61*0.0120051238+V61*0.0024010248</f>
        <v/>
      </c>
      <c r="AW61" s="7">
        <f>X61*0.0120051238+W61*0.0024010248</f>
        <v/>
      </c>
      <c r="AX61" s="7">
        <f>Y61*0.0120051238+X61*0.0024010248</f>
        <v/>
      </c>
      <c r="AY61" s="7">
        <f>Z61*0.0120051238+Y61*0.0024010248</f>
        <v/>
      </c>
      <c r="AZ61" s="7">
        <f>AA61*0.0120051238+Z61*0.0024010248</f>
        <v/>
      </c>
      <c r="BA61" s="7">
        <f>D61*0.0120051238+AA61*0.0024010248</f>
        <v/>
      </c>
      <c r="BB61" s="7">
        <f>SUM(AD61:BA61)</f>
        <v/>
      </c>
    </row>
    <row r="62">
      <c r="A62" t="inlineStr">
        <is>
          <t>AMD-INTRA-SSC</t>
        </is>
      </c>
      <c r="B62" t="inlineStr">
        <is>
          <t>Forward Regular OSC</t>
        </is>
      </c>
      <c r="C62" s="5" t="n">
        <v>46101</v>
      </c>
      <c r="D62" s="6" t="n">
        <v>9</v>
      </c>
      <c r="E62" s="6" t="n">
        <v>0</v>
      </c>
      <c r="F62" s="6" t="n">
        <v>2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0</v>
      </c>
      <c r="M62" s="6" t="n">
        <v>6</v>
      </c>
      <c r="N62" s="6" t="n">
        <v>0</v>
      </c>
      <c r="O62" s="6" t="n">
        <v>0</v>
      </c>
      <c r="P62" s="6" t="n">
        <v>0</v>
      </c>
      <c r="Q62" s="6" t="n">
        <v>9</v>
      </c>
      <c r="R62" s="6" t="n">
        <v>1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4</v>
      </c>
      <c r="Z62" s="6" t="n">
        <v>8</v>
      </c>
      <c r="AA62" s="6" t="n">
        <v>10</v>
      </c>
      <c r="AB62" s="6">
        <f>SUM(D62:AA62)</f>
        <v/>
      </c>
      <c r="AC62" s="3" t="inlineStr"/>
      <c r="AD62" s="7">
        <f>E62*0.0120051238+D62*0.0024010248</f>
        <v/>
      </c>
      <c r="AE62" s="7">
        <f>F62*0.0120051238+E62*0.0024010248</f>
        <v/>
      </c>
      <c r="AF62" s="7">
        <f>G62*0.0120051238+F62*0.0024010248</f>
        <v/>
      </c>
      <c r="AG62" s="7">
        <f>H62*0.0120051238+G62*0.0024010248</f>
        <v/>
      </c>
      <c r="AH62" s="7">
        <f>I62*0.0120051238+H62*0.0024010248</f>
        <v/>
      </c>
      <c r="AI62" s="7">
        <f>J62*0.0120051238+I62*0.0024010248</f>
        <v/>
      </c>
      <c r="AJ62" s="7">
        <f>K62*0.0120051238+J62*0.0024010248</f>
        <v/>
      </c>
      <c r="AK62" s="7">
        <f>L62*0.0120051238+K62*0.0024010248</f>
        <v/>
      </c>
      <c r="AL62" s="7">
        <f>M62*0.0120051238+L62*0.0024010248</f>
        <v/>
      </c>
      <c r="AM62" s="7">
        <f>N62*0.0120051238+M62*0.0024010248</f>
        <v/>
      </c>
      <c r="AN62" s="7">
        <f>O62*0.0120051238+N62*0.0024010248</f>
        <v/>
      </c>
      <c r="AO62" s="7">
        <f>P62*0.0120051238+O62*0.0024010248</f>
        <v/>
      </c>
      <c r="AP62" s="7">
        <f>Q62*0.0120051238+P62*0.0024010248</f>
        <v/>
      </c>
      <c r="AQ62" s="7">
        <f>R62*0.0120051238+Q62*0.0024010248</f>
        <v/>
      </c>
      <c r="AR62" s="7">
        <f>S62*0.0120051238+R62*0.0024010248</f>
        <v/>
      </c>
      <c r="AS62" s="7">
        <f>T62*0.0120051238+S62*0.0024010248</f>
        <v/>
      </c>
      <c r="AT62" s="7">
        <f>U62*0.0120051238+T62*0.0024010248</f>
        <v/>
      </c>
      <c r="AU62" s="7">
        <f>V62*0.0120051238+U62*0.0024010248</f>
        <v/>
      </c>
      <c r="AV62" s="7">
        <f>W62*0.0120051238+V62*0.0024010248</f>
        <v/>
      </c>
      <c r="AW62" s="7">
        <f>X62*0.0120051238+W62*0.0024010248</f>
        <v/>
      </c>
      <c r="AX62" s="7">
        <f>Y62*0.0120051238+X62*0.0024010248</f>
        <v/>
      </c>
      <c r="AY62" s="7">
        <f>Z62*0.0120051238+Y62*0.0024010248</f>
        <v/>
      </c>
      <c r="AZ62" s="7">
        <f>AA62*0.0120051238+Z62*0.0024010248</f>
        <v/>
      </c>
      <c r="BA62" s="7">
        <f>D62*0.0120051238+AA62*0.0024010248</f>
        <v/>
      </c>
      <c r="BB62" s="7">
        <f>SUM(AD62:BA62)</f>
        <v/>
      </c>
    </row>
    <row r="63">
      <c r="A63" t="inlineStr">
        <is>
          <t>AMD-INTRA-SSC</t>
        </is>
      </c>
      <c r="B63" t="inlineStr">
        <is>
          <t>Forward Regular OSC</t>
        </is>
      </c>
      <c r="C63" s="5" t="n">
        <v>46102</v>
      </c>
      <c r="D63" s="6" t="n">
        <v>7</v>
      </c>
      <c r="E63" s="6" t="n">
        <v>5</v>
      </c>
      <c r="F63" s="6" t="n">
        <v>5</v>
      </c>
      <c r="G63" s="6" t="n">
        <v>1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10</v>
      </c>
      <c r="N63" s="6" t="n">
        <v>0</v>
      </c>
      <c r="O63" s="6" t="n">
        <v>0</v>
      </c>
      <c r="P63" s="6" t="n">
        <v>0</v>
      </c>
      <c r="Q63" s="6" t="n">
        <v>0</v>
      </c>
      <c r="R63" s="6" t="n">
        <v>7</v>
      </c>
      <c r="S63" s="6" t="n">
        <v>0</v>
      </c>
      <c r="T63" s="6" t="n">
        <v>0</v>
      </c>
      <c r="U63" s="6" t="n">
        <v>0</v>
      </c>
      <c r="V63" s="6" t="n">
        <v>0</v>
      </c>
      <c r="W63" s="6" t="n">
        <v>0</v>
      </c>
      <c r="X63" s="6" t="n">
        <v>8</v>
      </c>
      <c r="Y63" s="6" t="n">
        <v>1</v>
      </c>
      <c r="Z63" s="6" t="n">
        <v>0</v>
      </c>
      <c r="AA63" s="6" t="n">
        <v>12</v>
      </c>
      <c r="AB63" s="6">
        <f>SUM(D63:AA63)</f>
        <v/>
      </c>
      <c r="AC63" s="3" t="inlineStr"/>
      <c r="AD63" s="7">
        <f>E63*0.0120051238+D63*0.0024010248</f>
        <v/>
      </c>
      <c r="AE63" s="7">
        <f>F63*0.0120051238+E63*0.0024010248</f>
        <v/>
      </c>
      <c r="AF63" s="7">
        <f>G63*0.0120051238+F63*0.0024010248</f>
        <v/>
      </c>
      <c r="AG63" s="7">
        <f>H63*0.0120051238+G63*0.0024010248</f>
        <v/>
      </c>
      <c r="AH63" s="7">
        <f>I63*0.0120051238+H63*0.0024010248</f>
        <v/>
      </c>
      <c r="AI63" s="7">
        <f>J63*0.0120051238+I63*0.0024010248</f>
        <v/>
      </c>
      <c r="AJ63" s="7">
        <f>K63*0.0120051238+J63*0.0024010248</f>
        <v/>
      </c>
      <c r="AK63" s="7">
        <f>L63*0.0120051238+K63*0.0024010248</f>
        <v/>
      </c>
      <c r="AL63" s="7">
        <f>M63*0.0120051238+L63*0.0024010248</f>
        <v/>
      </c>
      <c r="AM63" s="7">
        <f>N63*0.0120051238+M63*0.0024010248</f>
        <v/>
      </c>
      <c r="AN63" s="7">
        <f>O63*0.0120051238+N63*0.0024010248</f>
        <v/>
      </c>
      <c r="AO63" s="7">
        <f>P63*0.0120051238+O63*0.0024010248</f>
        <v/>
      </c>
      <c r="AP63" s="7">
        <f>Q63*0.0120051238+P63*0.0024010248</f>
        <v/>
      </c>
      <c r="AQ63" s="7">
        <f>R63*0.0120051238+Q63*0.0024010248</f>
        <v/>
      </c>
      <c r="AR63" s="7">
        <f>S63*0.0120051238+R63*0.0024010248</f>
        <v/>
      </c>
      <c r="AS63" s="7">
        <f>T63*0.0120051238+S63*0.0024010248</f>
        <v/>
      </c>
      <c r="AT63" s="7">
        <f>U63*0.0120051238+T63*0.0024010248</f>
        <v/>
      </c>
      <c r="AU63" s="7">
        <f>V63*0.0120051238+U63*0.0024010248</f>
        <v/>
      </c>
      <c r="AV63" s="7">
        <f>W63*0.0120051238+V63*0.0024010248</f>
        <v/>
      </c>
      <c r="AW63" s="7">
        <f>X63*0.0120051238+W63*0.0024010248</f>
        <v/>
      </c>
      <c r="AX63" s="7">
        <f>Y63*0.0120051238+X63*0.0024010248</f>
        <v/>
      </c>
      <c r="AY63" s="7">
        <f>Z63*0.0120051238+Y63*0.0024010248</f>
        <v/>
      </c>
      <c r="AZ63" s="7">
        <f>AA63*0.0120051238+Z63*0.0024010248</f>
        <v/>
      </c>
      <c r="BA63" s="7">
        <f>D63*0.0120051238+AA63*0.0024010248</f>
        <v/>
      </c>
      <c r="BB63" s="7">
        <f>SUM(AD63:BA63)</f>
        <v/>
      </c>
    </row>
    <row r="64">
      <c r="A64" t="inlineStr">
        <is>
          <t>AMD-INTRA-SSC</t>
        </is>
      </c>
      <c r="B64" t="inlineStr">
        <is>
          <t>Forward Regular OSC</t>
        </is>
      </c>
      <c r="C64" s="5" t="n">
        <v>46103</v>
      </c>
      <c r="D64" s="6" t="n">
        <v>7</v>
      </c>
      <c r="E64" s="6" t="n">
        <v>4</v>
      </c>
      <c r="F64" s="6" t="n">
        <v>3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0</v>
      </c>
      <c r="M64" s="6" t="n">
        <v>7</v>
      </c>
      <c r="N64" s="6" t="n">
        <v>12</v>
      </c>
      <c r="O64" s="6" t="n">
        <v>0</v>
      </c>
      <c r="P64" s="6" t="n">
        <v>0</v>
      </c>
      <c r="Q64" s="6" t="n">
        <v>5</v>
      </c>
      <c r="R64" s="6" t="n">
        <v>9</v>
      </c>
      <c r="S64" s="6" t="n">
        <v>0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9</v>
      </c>
      <c r="Y64" s="6" t="n">
        <v>0</v>
      </c>
      <c r="Z64" s="6" t="n">
        <v>7</v>
      </c>
      <c r="AA64" s="6" t="n">
        <v>9</v>
      </c>
      <c r="AB64" s="6">
        <f>SUM(D64:AA64)</f>
        <v/>
      </c>
      <c r="AC64" s="3" t="inlineStr"/>
      <c r="AD64" s="7">
        <f>E64*0.0120051238+D64*0.0024010248</f>
        <v/>
      </c>
      <c r="AE64" s="7">
        <f>F64*0.0120051238+E64*0.0024010248</f>
        <v/>
      </c>
      <c r="AF64" s="7">
        <f>G64*0.0120051238+F64*0.0024010248</f>
        <v/>
      </c>
      <c r="AG64" s="7">
        <f>H64*0.0120051238+G64*0.0024010248</f>
        <v/>
      </c>
      <c r="AH64" s="7">
        <f>I64*0.0120051238+H64*0.0024010248</f>
        <v/>
      </c>
      <c r="AI64" s="7">
        <f>J64*0.0120051238+I64*0.0024010248</f>
        <v/>
      </c>
      <c r="AJ64" s="7">
        <f>K64*0.0120051238+J64*0.0024010248</f>
        <v/>
      </c>
      <c r="AK64" s="7">
        <f>L64*0.0120051238+K64*0.0024010248</f>
        <v/>
      </c>
      <c r="AL64" s="7">
        <f>M64*0.0120051238+L64*0.0024010248</f>
        <v/>
      </c>
      <c r="AM64" s="7">
        <f>N64*0.0120051238+M64*0.0024010248</f>
        <v/>
      </c>
      <c r="AN64" s="7">
        <f>O64*0.0120051238+N64*0.0024010248</f>
        <v/>
      </c>
      <c r="AO64" s="7">
        <f>P64*0.0120051238+O64*0.0024010248</f>
        <v/>
      </c>
      <c r="AP64" s="7">
        <f>Q64*0.0120051238+P64*0.0024010248</f>
        <v/>
      </c>
      <c r="AQ64" s="7">
        <f>R64*0.0120051238+Q64*0.0024010248</f>
        <v/>
      </c>
      <c r="AR64" s="7">
        <f>S64*0.0120051238+R64*0.0024010248</f>
        <v/>
      </c>
      <c r="AS64" s="7">
        <f>T64*0.0120051238+S64*0.0024010248</f>
        <v/>
      </c>
      <c r="AT64" s="7">
        <f>U64*0.0120051238+T64*0.0024010248</f>
        <v/>
      </c>
      <c r="AU64" s="7">
        <f>V64*0.0120051238+U64*0.0024010248</f>
        <v/>
      </c>
      <c r="AV64" s="7">
        <f>W64*0.0120051238+V64*0.0024010248</f>
        <v/>
      </c>
      <c r="AW64" s="7">
        <f>X64*0.0120051238+W64*0.0024010248</f>
        <v/>
      </c>
      <c r="AX64" s="7">
        <f>Y64*0.0120051238+X64*0.0024010248</f>
        <v/>
      </c>
      <c r="AY64" s="7">
        <f>Z64*0.0120051238+Y64*0.0024010248</f>
        <v/>
      </c>
      <c r="AZ64" s="7">
        <f>AA64*0.0120051238+Z64*0.0024010248</f>
        <v/>
      </c>
      <c r="BA64" s="7">
        <f>D64*0.0120051238+AA64*0.0024010248</f>
        <v/>
      </c>
      <c r="BB64" s="7">
        <f>SUM(AD64:BA64)</f>
        <v/>
      </c>
    </row>
    <row r="65">
      <c r="A65" t="inlineStr">
        <is>
          <t>AMD-INTRA-SSC</t>
        </is>
      </c>
      <c r="B65" t="inlineStr">
        <is>
          <t>Forward Regular OSC</t>
        </is>
      </c>
      <c r="C65" s="5" t="n">
        <v>46104</v>
      </c>
      <c r="D65" s="6" t="n">
        <v>8</v>
      </c>
      <c r="E65" s="6" t="n">
        <v>11</v>
      </c>
      <c r="F65" s="6" t="n">
        <v>3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15</v>
      </c>
      <c r="N65" s="6" t="n">
        <v>0</v>
      </c>
      <c r="O65" s="6" t="n">
        <v>0</v>
      </c>
      <c r="P65" s="6" t="n">
        <v>0</v>
      </c>
      <c r="Q65" s="6" t="n">
        <v>3</v>
      </c>
      <c r="R65" s="6" t="n">
        <v>7</v>
      </c>
      <c r="S65" s="6" t="n">
        <v>0</v>
      </c>
      <c r="T65" s="6" t="n">
        <v>0</v>
      </c>
      <c r="U65" s="6" t="n">
        <v>0</v>
      </c>
      <c r="V65" s="6" t="n">
        <v>0</v>
      </c>
      <c r="W65" s="6" t="n">
        <v>0</v>
      </c>
      <c r="X65" s="6" t="n">
        <v>5</v>
      </c>
      <c r="Y65" s="6" t="n">
        <v>1</v>
      </c>
      <c r="Z65" s="6" t="n">
        <v>16</v>
      </c>
      <c r="AA65" s="6" t="n">
        <v>8</v>
      </c>
      <c r="AB65" s="6">
        <f>SUM(D65:AA65)</f>
        <v/>
      </c>
      <c r="AC65" s="3" t="inlineStr"/>
      <c r="AD65" s="7">
        <f>E65*0.0120051238+D65*0.0024010248</f>
        <v/>
      </c>
      <c r="AE65" s="7">
        <f>F65*0.0120051238+E65*0.0024010248</f>
        <v/>
      </c>
      <c r="AF65" s="7">
        <f>G65*0.0120051238+F65*0.0024010248</f>
        <v/>
      </c>
      <c r="AG65" s="7">
        <f>H65*0.0120051238+G65*0.0024010248</f>
        <v/>
      </c>
      <c r="AH65" s="7">
        <f>I65*0.0120051238+H65*0.0024010248</f>
        <v/>
      </c>
      <c r="AI65" s="7">
        <f>J65*0.0120051238+I65*0.0024010248</f>
        <v/>
      </c>
      <c r="AJ65" s="7">
        <f>K65*0.0120051238+J65*0.0024010248</f>
        <v/>
      </c>
      <c r="AK65" s="7">
        <f>L65*0.0120051238+K65*0.0024010248</f>
        <v/>
      </c>
      <c r="AL65" s="7">
        <f>M65*0.0120051238+L65*0.0024010248</f>
        <v/>
      </c>
      <c r="AM65" s="7">
        <f>N65*0.0120051238+M65*0.0024010248</f>
        <v/>
      </c>
      <c r="AN65" s="7">
        <f>O65*0.0120051238+N65*0.0024010248</f>
        <v/>
      </c>
      <c r="AO65" s="7">
        <f>P65*0.0120051238+O65*0.0024010248</f>
        <v/>
      </c>
      <c r="AP65" s="7">
        <f>Q65*0.0120051238+P65*0.0024010248</f>
        <v/>
      </c>
      <c r="AQ65" s="7">
        <f>R65*0.0120051238+Q65*0.0024010248</f>
        <v/>
      </c>
      <c r="AR65" s="7">
        <f>S65*0.0120051238+R65*0.0024010248</f>
        <v/>
      </c>
      <c r="AS65" s="7">
        <f>T65*0.0120051238+S65*0.0024010248</f>
        <v/>
      </c>
      <c r="AT65" s="7">
        <f>U65*0.0120051238+T65*0.0024010248</f>
        <v/>
      </c>
      <c r="AU65" s="7">
        <f>V65*0.0120051238+U65*0.0024010248</f>
        <v/>
      </c>
      <c r="AV65" s="7">
        <f>W65*0.0120051238+V65*0.0024010248</f>
        <v/>
      </c>
      <c r="AW65" s="7">
        <f>X65*0.0120051238+W65*0.0024010248</f>
        <v/>
      </c>
      <c r="AX65" s="7">
        <f>Y65*0.0120051238+X65*0.0024010248</f>
        <v/>
      </c>
      <c r="AY65" s="7">
        <f>Z65*0.0120051238+Y65*0.0024010248</f>
        <v/>
      </c>
      <c r="AZ65" s="7">
        <f>AA65*0.0120051238+Z65*0.0024010248</f>
        <v/>
      </c>
      <c r="BA65" s="7">
        <f>D65*0.0120051238+AA65*0.0024010248</f>
        <v/>
      </c>
      <c r="BB65" s="7">
        <f>SUM(AD65:BA65)</f>
        <v/>
      </c>
    </row>
    <row r="66">
      <c r="A66" t="inlineStr">
        <is>
          <t>AMD-INTRA-SSC</t>
        </is>
      </c>
      <c r="B66" t="inlineStr">
        <is>
          <t>Forward Regular OSC</t>
        </is>
      </c>
      <c r="C66" s="5" t="n">
        <v>46105</v>
      </c>
      <c r="D66" s="6" t="n">
        <v>8</v>
      </c>
      <c r="E66" s="6" t="n">
        <v>8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16</v>
      </c>
      <c r="N66" s="6" t="n">
        <v>1</v>
      </c>
      <c r="O66" s="6" t="n">
        <v>0</v>
      </c>
      <c r="P66" s="6" t="n">
        <v>0</v>
      </c>
      <c r="Q66" s="6" t="n">
        <v>6</v>
      </c>
      <c r="R66" s="6" t="n">
        <v>6</v>
      </c>
      <c r="S66" s="6" t="n">
        <v>0</v>
      </c>
      <c r="T66" s="6" t="n">
        <v>0</v>
      </c>
      <c r="U66" s="6" t="n">
        <v>0</v>
      </c>
      <c r="V66" s="6" t="n">
        <v>0</v>
      </c>
      <c r="W66" s="6" t="n">
        <v>0</v>
      </c>
      <c r="X66" s="6" t="n">
        <v>0</v>
      </c>
      <c r="Y66" s="6" t="n">
        <v>0</v>
      </c>
      <c r="Z66" s="6" t="n">
        <v>0</v>
      </c>
      <c r="AA66" s="6" t="n">
        <v>0</v>
      </c>
      <c r="AB66" s="6">
        <f>SUM(D66:AA66)</f>
        <v/>
      </c>
      <c r="AC66" s="3" t="inlineStr"/>
      <c r="AD66" s="7">
        <f>E66*0.0120051238+D66*0.0024010248</f>
        <v/>
      </c>
      <c r="AE66" s="7">
        <f>F66*0.0120051238+E66*0.0024010248</f>
        <v/>
      </c>
      <c r="AF66" s="7">
        <f>G66*0.0120051238+F66*0.0024010248</f>
        <v/>
      </c>
      <c r="AG66" s="7">
        <f>H66*0.0120051238+G66*0.0024010248</f>
        <v/>
      </c>
      <c r="AH66" s="7">
        <f>I66*0.0120051238+H66*0.0024010248</f>
        <v/>
      </c>
      <c r="AI66" s="7">
        <f>J66*0.0120051238+I66*0.0024010248</f>
        <v/>
      </c>
      <c r="AJ66" s="7">
        <f>K66*0.0120051238+J66*0.0024010248</f>
        <v/>
      </c>
      <c r="AK66" s="7">
        <f>L66*0.0120051238+K66*0.0024010248</f>
        <v/>
      </c>
      <c r="AL66" s="7">
        <f>M66*0.0120051238+L66*0.0024010248</f>
        <v/>
      </c>
      <c r="AM66" s="7">
        <f>N66*0.0120051238+M66*0.0024010248</f>
        <v/>
      </c>
      <c r="AN66" s="7">
        <f>O66*0.0120051238+N66*0.0024010248</f>
        <v/>
      </c>
      <c r="AO66" s="7">
        <f>P66*0.0120051238+O66*0.0024010248</f>
        <v/>
      </c>
      <c r="AP66" s="7">
        <f>Q66*0.0120051238+P66*0.0024010248</f>
        <v/>
      </c>
      <c r="AQ66" s="7">
        <f>R66*0.0120051238+Q66*0.0024010248</f>
        <v/>
      </c>
      <c r="AR66" s="7">
        <f>S66*0.0120051238+R66*0.0024010248</f>
        <v/>
      </c>
      <c r="AS66" s="7">
        <f>T66*0.0120051238+S66*0.0024010248</f>
        <v/>
      </c>
      <c r="AT66" s="7">
        <f>U66*0.0120051238+T66*0.0024010248</f>
        <v/>
      </c>
      <c r="AU66" s="7">
        <f>V66*0.0120051238+U66*0.0024010248</f>
        <v/>
      </c>
      <c r="AV66" s="7">
        <f>W66*0.0120051238+V66*0.0024010248</f>
        <v/>
      </c>
      <c r="AW66" s="7">
        <f>X66*0.0120051238+W66*0.0024010248</f>
        <v/>
      </c>
      <c r="AX66" s="7">
        <f>Y66*0.0120051238+X66*0.0024010248</f>
        <v/>
      </c>
      <c r="AY66" s="7">
        <f>Z66*0.0120051238+Y66*0.0024010248</f>
        <v/>
      </c>
      <c r="AZ66" s="7">
        <f>AA66*0.0120051238+Z66*0.0024010248</f>
        <v/>
      </c>
      <c r="BA66" s="7">
        <f>D66*0.0120051238+AA66*0.0024010248</f>
        <v/>
      </c>
      <c r="BB66" s="7">
        <f>SUM(AD66:BA66)</f>
        <v/>
      </c>
    </row>
    <row r="67">
      <c r="A67" t="inlineStr">
        <is>
          <t>AMD-M1</t>
        </is>
      </c>
      <c r="B67" t="inlineStr">
        <is>
          <t>Forward Regular OSC</t>
        </is>
      </c>
      <c r="C67" s="5" t="n">
        <v>46089</v>
      </c>
      <c r="D67" s="6" t="n">
        <v>67</v>
      </c>
      <c r="E67" s="6" t="n">
        <v>31</v>
      </c>
      <c r="F67" s="6" t="n">
        <v>51</v>
      </c>
      <c r="G67" s="6" t="n">
        <v>78</v>
      </c>
      <c r="H67" s="6" t="n">
        <v>78</v>
      </c>
      <c r="I67" s="6" t="n">
        <v>101</v>
      </c>
      <c r="J67" s="6" t="n">
        <v>56</v>
      </c>
      <c r="K67" s="6" t="n">
        <v>20</v>
      </c>
      <c r="L67" s="6" t="n">
        <v>0</v>
      </c>
      <c r="M67" s="6" t="n">
        <v>13</v>
      </c>
      <c r="N67" s="6" t="n">
        <v>53</v>
      </c>
      <c r="O67" s="6" t="n">
        <v>59</v>
      </c>
      <c r="P67" s="6" t="n">
        <v>82</v>
      </c>
      <c r="Q67" s="6" t="n">
        <v>17</v>
      </c>
      <c r="R67" s="6" t="n">
        <v>36</v>
      </c>
      <c r="S67" s="6" t="n">
        <v>89</v>
      </c>
      <c r="T67" s="6" t="n">
        <v>17</v>
      </c>
      <c r="U67" s="6" t="n">
        <v>0</v>
      </c>
      <c r="V67" s="6" t="n">
        <v>0</v>
      </c>
      <c r="W67" s="6" t="n">
        <v>4</v>
      </c>
      <c r="X67" s="6" t="n">
        <v>0</v>
      </c>
      <c r="Y67" s="6" t="n">
        <v>0</v>
      </c>
      <c r="Z67" s="6" t="n">
        <v>0</v>
      </c>
      <c r="AA67" s="6" t="n">
        <v>53</v>
      </c>
      <c r="AB67" s="6">
        <f>SUM(D67:AA67)</f>
        <v/>
      </c>
      <c r="AC67" s="3" t="inlineStr"/>
      <c r="AD67" s="7">
        <f>E67*0.0120051238+D67*0.0024010248</f>
        <v/>
      </c>
      <c r="AE67" s="7">
        <f>F67*0.0120051238+E67*0.0024010248</f>
        <v/>
      </c>
      <c r="AF67" s="7">
        <f>G67*0.0120051238+F67*0.0024010248</f>
        <v/>
      </c>
      <c r="AG67" s="7">
        <f>H67*0.0120051238+G67*0.0024010248</f>
        <v/>
      </c>
      <c r="AH67" s="7">
        <f>I67*0.0120051238+H67*0.0024010248</f>
        <v/>
      </c>
      <c r="AI67" s="7">
        <f>J67*0.0120051238+I67*0.0024010248</f>
        <v/>
      </c>
      <c r="AJ67" s="7">
        <f>K67*0.0120051238+J67*0.0024010248</f>
        <v/>
      </c>
      <c r="AK67" s="7">
        <f>L67*0.0120051238+K67*0.0024010248</f>
        <v/>
      </c>
      <c r="AL67" s="7">
        <f>M67*0.0120051238+L67*0.0024010248</f>
        <v/>
      </c>
      <c r="AM67" s="7">
        <f>N67*0.0120051238+M67*0.0024010248</f>
        <v/>
      </c>
      <c r="AN67" s="7">
        <f>O67*0.0120051238+N67*0.0024010248</f>
        <v/>
      </c>
      <c r="AO67" s="7">
        <f>P67*0.0120051238+O67*0.0024010248</f>
        <v/>
      </c>
      <c r="AP67" s="7">
        <f>Q67*0.0120051238+P67*0.0024010248</f>
        <v/>
      </c>
      <c r="AQ67" s="7">
        <f>R67*0.0120051238+Q67*0.0024010248</f>
        <v/>
      </c>
      <c r="AR67" s="7">
        <f>S67*0.0120051238+R67*0.0024010248</f>
        <v/>
      </c>
      <c r="AS67" s="7">
        <f>T67*0.0120051238+S67*0.0024010248</f>
        <v/>
      </c>
      <c r="AT67" s="7">
        <f>U67*0.0120051238+T67*0.0024010248</f>
        <v/>
      </c>
      <c r="AU67" s="7">
        <f>V67*0.0120051238+U67*0.0024010248</f>
        <v/>
      </c>
      <c r="AV67" s="7">
        <f>W67*0.0120051238+V67*0.0024010248</f>
        <v/>
      </c>
      <c r="AW67" s="7">
        <f>X67*0.0120051238+W67*0.0024010248</f>
        <v/>
      </c>
      <c r="AX67" s="7">
        <f>Y67*0.0120051238+X67*0.0024010248</f>
        <v/>
      </c>
      <c r="AY67" s="7">
        <f>Z67*0.0120051238+Y67*0.0024010248</f>
        <v/>
      </c>
      <c r="AZ67" s="7">
        <f>AA67*0.0120051238+Z67*0.0024010248</f>
        <v/>
      </c>
      <c r="BA67" s="7">
        <f>D67*0.0120051238+AA67*0.0024010248</f>
        <v/>
      </c>
      <c r="BB67" s="7">
        <f>SUM(AD67:BA67)</f>
        <v/>
      </c>
    </row>
    <row r="68">
      <c r="A68" t="inlineStr">
        <is>
          <t>AMD-M1</t>
        </is>
      </c>
      <c r="B68" t="inlineStr">
        <is>
          <t>Forward Regular OSC</t>
        </is>
      </c>
      <c r="C68" s="5" t="n">
        <v>46090</v>
      </c>
      <c r="D68" s="6" t="n">
        <v>71</v>
      </c>
      <c r="E68" s="6" t="n">
        <v>31</v>
      </c>
      <c r="F68" s="6" t="n">
        <v>66</v>
      </c>
      <c r="G68" s="6" t="n">
        <v>87</v>
      </c>
      <c r="H68" s="6" t="n">
        <v>12</v>
      </c>
      <c r="I68" s="6" t="n">
        <v>1</v>
      </c>
      <c r="J68" s="6" t="n">
        <v>0</v>
      </c>
      <c r="K68" s="6" t="n">
        <v>0</v>
      </c>
      <c r="L68" s="6" t="n">
        <v>11</v>
      </c>
      <c r="M68" s="6" t="n">
        <v>54</v>
      </c>
      <c r="N68" s="6" t="n">
        <v>42</v>
      </c>
      <c r="O68" s="6" t="n">
        <v>78</v>
      </c>
      <c r="P68" s="6" t="n">
        <v>29</v>
      </c>
      <c r="Q68" s="6" t="n">
        <v>97</v>
      </c>
      <c r="R68" s="6" t="n">
        <v>111</v>
      </c>
      <c r="S68" s="6" t="n">
        <v>120</v>
      </c>
      <c r="T68" s="6" t="n">
        <v>102</v>
      </c>
      <c r="U68" s="6" t="n">
        <v>5</v>
      </c>
      <c r="V68" s="6" t="n">
        <v>42</v>
      </c>
      <c r="W68" s="6" t="n">
        <v>43</v>
      </c>
      <c r="X68" s="6" t="n">
        <v>66</v>
      </c>
      <c r="Y68" s="6" t="n">
        <v>9</v>
      </c>
      <c r="Z68" s="6" t="n">
        <v>5</v>
      </c>
      <c r="AA68" s="6" t="n">
        <v>87</v>
      </c>
      <c r="AB68" s="6">
        <f>SUM(D68:AA68)</f>
        <v/>
      </c>
      <c r="AC68" s="3" t="inlineStr"/>
      <c r="AD68" s="7">
        <f>E68*0.0120051238+D68*0.0024010248</f>
        <v/>
      </c>
      <c r="AE68" s="7">
        <f>F68*0.0120051238+E68*0.0024010248</f>
        <v/>
      </c>
      <c r="AF68" s="7">
        <f>G68*0.0120051238+F68*0.0024010248</f>
        <v/>
      </c>
      <c r="AG68" s="7">
        <f>H68*0.0120051238+G68*0.0024010248</f>
        <v/>
      </c>
      <c r="AH68" s="7">
        <f>I68*0.0120051238+H68*0.0024010248</f>
        <v/>
      </c>
      <c r="AI68" s="7">
        <f>J68*0.0120051238+I68*0.0024010248</f>
        <v/>
      </c>
      <c r="AJ68" s="7">
        <f>K68*0.0120051238+J68*0.0024010248</f>
        <v/>
      </c>
      <c r="AK68" s="7">
        <f>L68*0.0120051238+K68*0.0024010248</f>
        <v/>
      </c>
      <c r="AL68" s="7">
        <f>M68*0.0120051238+L68*0.0024010248</f>
        <v/>
      </c>
      <c r="AM68" s="7">
        <f>N68*0.0120051238+M68*0.0024010248</f>
        <v/>
      </c>
      <c r="AN68" s="7">
        <f>O68*0.0120051238+N68*0.0024010248</f>
        <v/>
      </c>
      <c r="AO68" s="7">
        <f>P68*0.0120051238+O68*0.0024010248</f>
        <v/>
      </c>
      <c r="AP68" s="7">
        <f>Q68*0.0120051238+P68*0.0024010248</f>
        <v/>
      </c>
      <c r="AQ68" s="7">
        <f>R68*0.0120051238+Q68*0.0024010248</f>
        <v/>
      </c>
      <c r="AR68" s="7">
        <f>S68*0.0120051238+R68*0.0024010248</f>
        <v/>
      </c>
      <c r="AS68" s="7">
        <f>T68*0.0120051238+S68*0.0024010248</f>
        <v/>
      </c>
      <c r="AT68" s="7">
        <f>U68*0.0120051238+T68*0.0024010248</f>
        <v/>
      </c>
      <c r="AU68" s="7">
        <f>V68*0.0120051238+U68*0.0024010248</f>
        <v/>
      </c>
      <c r="AV68" s="7">
        <f>W68*0.0120051238+V68*0.0024010248</f>
        <v/>
      </c>
      <c r="AW68" s="7">
        <f>X68*0.0120051238+W68*0.0024010248</f>
        <v/>
      </c>
      <c r="AX68" s="7">
        <f>Y68*0.0120051238+X68*0.0024010248</f>
        <v/>
      </c>
      <c r="AY68" s="7">
        <f>Z68*0.0120051238+Y68*0.0024010248</f>
        <v/>
      </c>
      <c r="AZ68" s="7">
        <f>AA68*0.0120051238+Z68*0.0024010248</f>
        <v/>
      </c>
      <c r="BA68" s="7">
        <f>D68*0.0120051238+AA68*0.0024010248</f>
        <v/>
      </c>
      <c r="BB68" s="7">
        <f>SUM(AD68:BA68)</f>
        <v/>
      </c>
    </row>
    <row r="69">
      <c r="A69" t="inlineStr">
        <is>
          <t>AMD-M1</t>
        </is>
      </c>
      <c r="B69" t="inlineStr">
        <is>
          <t>Forward Regular OSC</t>
        </is>
      </c>
      <c r="C69" s="5" t="n">
        <v>46091</v>
      </c>
      <c r="D69" s="6" t="n">
        <v>77</v>
      </c>
      <c r="E69" s="6" t="n">
        <v>29</v>
      </c>
      <c r="F69" s="6" t="n">
        <v>86</v>
      </c>
      <c r="G69" s="6" t="n">
        <v>137</v>
      </c>
      <c r="H69" s="6" t="n">
        <v>71</v>
      </c>
      <c r="I69" s="6" t="n">
        <v>131</v>
      </c>
      <c r="J69" s="6" t="n">
        <v>18</v>
      </c>
      <c r="K69" s="6" t="n">
        <v>9</v>
      </c>
      <c r="L69" s="6" t="n">
        <v>73</v>
      </c>
      <c r="M69" s="6" t="n">
        <v>63</v>
      </c>
      <c r="N69" s="6" t="n">
        <v>98</v>
      </c>
      <c r="O69" s="6" t="n">
        <v>88</v>
      </c>
      <c r="P69" s="6" t="n">
        <v>64</v>
      </c>
      <c r="Q69" s="6" t="n">
        <v>139</v>
      </c>
      <c r="R69" s="6" t="n">
        <v>185</v>
      </c>
      <c r="S69" s="6" t="n">
        <v>166</v>
      </c>
      <c r="T69" s="6" t="n">
        <v>52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3</v>
      </c>
      <c r="Z69" s="6" t="n">
        <v>1</v>
      </c>
      <c r="AA69" s="6" t="n">
        <v>91</v>
      </c>
      <c r="AB69" s="6">
        <f>SUM(D69:AA69)</f>
        <v/>
      </c>
      <c r="AC69" s="3" t="inlineStr"/>
      <c r="AD69" s="7">
        <f>E69*0.0120051238+D69*0.0024010248</f>
        <v/>
      </c>
      <c r="AE69" s="7">
        <f>F69*0.0120051238+E69*0.0024010248</f>
        <v/>
      </c>
      <c r="AF69" s="7">
        <f>G69*0.0120051238+F69*0.0024010248</f>
        <v/>
      </c>
      <c r="AG69" s="7">
        <f>H69*0.0120051238+G69*0.0024010248</f>
        <v/>
      </c>
      <c r="AH69" s="7">
        <f>I69*0.0120051238+H69*0.0024010248</f>
        <v/>
      </c>
      <c r="AI69" s="7">
        <f>J69*0.0120051238+I69*0.0024010248</f>
        <v/>
      </c>
      <c r="AJ69" s="7">
        <f>K69*0.0120051238+J69*0.0024010248</f>
        <v/>
      </c>
      <c r="AK69" s="7">
        <f>L69*0.0120051238+K69*0.0024010248</f>
        <v/>
      </c>
      <c r="AL69" s="7">
        <f>M69*0.0120051238+L69*0.0024010248</f>
        <v/>
      </c>
      <c r="AM69" s="7">
        <f>N69*0.0120051238+M69*0.0024010248</f>
        <v/>
      </c>
      <c r="AN69" s="7">
        <f>O69*0.0120051238+N69*0.0024010248</f>
        <v/>
      </c>
      <c r="AO69" s="7">
        <f>P69*0.0120051238+O69*0.0024010248</f>
        <v/>
      </c>
      <c r="AP69" s="7">
        <f>Q69*0.0120051238+P69*0.0024010248</f>
        <v/>
      </c>
      <c r="AQ69" s="7">
        <f>R69*0.0120051238+Q69*0.0024010248</f>
        <v/>
      </c>
      <c r="AR69" s="7">
        <f>S69*0.0120051238+R69*0.0024010248</f>
        <v/>
      </c>
      <c r="AS69" s="7">
        <f>T69*0.0120051238+S69*0.0024010248</f>
        <v/>
      </c>
      <c r="AT69" s="7">
        <f>U69*0.0120051238+T69*0.0024010248</f>
        <v/>
      </c>
      <c r="AU69" s="7">
        <f>V69*0.0120051238+U69*0.0024010248</f>
        <v/>
      </c>
      <c r="AV69" s="7">
        <f>W69*0.0120051238+V69*0.0024010248</f>
        <v/>
      </c>
      <c r="AW69" s="7">
        <f>X69*0.0120051238+W69*0.0024010248</f>
        <v/>
      </c>
      <c r="AX69" s="7">
        <f>Y69*0.0120051238+X69*0.0024010248</f>
        <v/>
      </c>
      <c r="AY69" s="7">
        <f>Z69*0.0120051238+Y69*0.0024010248</f>
        <v/>
      </c>
      <c r="AZ69" s="7">
        <f>AA69*0.0120051238+Z69*0.0024010248</f>
        <v/>
      </c>
      <c r="BA69" s="7">
        <f>D69*0.0120051238+AA69*0.0024010248</f>
        <v/>
      </c>
      <c r="BB69" s="7">
        <f>SUM(AD69:BA69)</f>
        <v/>
      </c>
    </row>
    <row r="70">
      <c r="A70" t="inlineStr">
        <is>
          <t>AMD-M1</t>
        </is>
      </c>
      <c r="B70" t="inlineStr">
        <is>
          <t>Forward Regular OSC</t>
        </is>
      </c>
      <c r="C70" s="5" t="n">
        <v>46092</v>
      </c>
      <c r="D70" s="6" t="n">
        <v>108</v>
      </c>
      <c r="E70" s="6" t="n">
        <v>37</v>
      </c>
      <c r="F70" s="6" t="n">
        <v>111</v>
      </c>
      <c r="G70" s="6" t="n">
        <v>142</v>
      </c>
      <c r="H70" s="6" t="n">
        <v>91</v>
      </c>
      <c r="I70" s="6" t="n">
        <v>146</v>
      </c>
      <c r="J70" s="6" t="n">
        <v>52</v>
      </c>
      <c r="K70" s="6" t="n">
        <v>4</v>
      </c>
      <c r="L70" s="6" t="n">
        <v>0</v>
      </c>
      <c r="M70" s="6" t="n">
        <v>17</v>
      </c>
      <c r="N70" s="6" t="n">
        <v>71</v>
      </c>
      <c r="O70" s="6" t="n">
        <v>79</v>
      </c>
      <c r="P70" s="6" t="n">
        <v>2</v>
      </c>
      <c r="Q70" s="6" t="n">
        <v>16</v>
      </c>
      <c r="R70" s="6" t="n">
        <v>54</v>
      </c>
      <c r="S70" s="6" t="n">
        <v>25</v>
      </c>
      <c r="T70" s="6" t="n">
        <v>0</v>
      </c>
      <c r="U70" s="6" t="n">
        <v>0</v>
      </c>
      <c r="V70" s="6" t="n">
        <v>0</v>
      </c>
      <c r="W70" s="6" t="n">
        <v>0</v>
      </c>
      <c r="X70" s="6" t="n">
        <v>0</v>
      </c>
      <c r="Y70" s="6" t="n">
        <v>0</v>
      </c>
      <c r="Z70" s="6" t="n">
        <v>2</v>
      </c>
      <c r="AA70" s="6" t="n">
        <v>87</v>
      </c>
      <c r="AB70" s="6">
        <f>SUM(D70:AA70)</f>
        <v/>
      </c>
      <c r="AC70" s="3" t="inlineStr"/>
      <c r="AD70" s="7">
        <f>E70*0.0120051238+D70*0.0024010248</f>
        <v/>
      </c>
      <c r="AE70" s="7">
        <f>F70*0.0120051238+E70*0.0024010248</f>
        <v/>
      </c>
      <c r="AF70" s="7">
        <f>G70*0.0120051238+F70*0.0024010248</f>
        <v/>
      </c>
      <c r="AG70" s="7">
        <f>H70*0.0120051238+G70*0.0024010248</f>
        <v/>
      </c>
      <c r="AH70" s="7">
        <f>I70*0.0120051238+H70*0.0024010248</f>
        <v/>
      </c>
      <c r="AI70" s="7">
        <f>J70*0.0120051238+I70*0.0024010248</f>
        <v/>
      </c>
      <c r="AJ70" s="7">
        <f>K70*0.0120051238+J70*0.0024010248</f>
        <v/>
      </c>
      <c r="AK70" s="7">
        <f>L70*0.0120051238+K70*0.0024010248</f>
        <v/>
      </c>
      <c r="AL70" s="7">
        <f>M70*0.0120051238+L70*0.0024010248</f>
        <v/>
      </c>
      <c r="AM70" s="7">
        <f>N70*0.0120051238+M70*0.0024010248</f>
        <v/>
      </c>
      <c r="AN70" s="7">
        <f>O70*0.0120051238+N70*0.0024010248</f>
        <v/>
      </c>
      <c r="AO70" s="7">
        <f>P70*0.0120051238+O70*0.0024010248</f>
        <v/>
      </c>
      <c r="AP70" s="7">
        <f>Q70*0.0120051238+P70*0.0024010248</f>
        <v/>
      </c>
      <c r="AQ70" s="7">
        <f>R70*0.0120051238+Q70*0.0024010248</f>
        <v/>
      </c>
      <c r="AR70" s="7">
        <f>S70*0.0120051238+R70*0.0024010248</f>
        <v/>
      </c>
      <c r="AS70" s="7">
        <f>T70*0.0120051238+S70*0.0024010248</f>
        <v/>
      </c>
      <c r="AT70" s="7">
        <f>U70*0.0120051238+T70*0.0024010248</f>
        <v/>
      </c>
      <c r="AU70" s="7">
        <f>V70*0.0120051238+U70*0.0024010248</f>
        <v/>
      </c>
      <c r="AV70" s="7">
        <f>W70*0.0120051238+V70*0.0024010248</f>
        <v/>
      </c>
      <c r="AW70" s="7">
        <f>X70*0.0120051238+W70*0.0024010248</f>
        <v/>
      </c>
      <c r="AX70" s="7">
        <f>Y70*0.0120051238+X70*0.0024010248</f>
        <v/>
      </c>
      <c r="AY70" s="7">
        <f>Z70*0.0120051238+Y70*0.0024010248</f>
        <v/>
      </c>
      <c r="AZ70" s="7">
        <f>AA70*0.0120051238+Z70*0.0024010248</f>
        <v/>
      </c>
      <c r="BA70" s="7">
        <f>D70*0.0120051238+AA70*0.0024010248</f>
        <v/>
      </c>
      <c r="BB70" s="7">
        <f>SUM(AD70:BA70)</f>
        <v/>
      </c>
    </row>
    <row r="71">
      <c r="A71" t="inlineStr">
        <is>
          <t>AMD-M1</t>
        </is>
      </c>
      <c r="B71" t="inlineStr">
        <is>
          <t>Forward Regular OSC</t>
        </is>
      </c>
      <c r="C71" s="5" t="n">
        <v>46093</v>
      </c>
      <c r="D71" s="6" t="n">
        <v>86</v>
      </c>
      <c r="E71" s="6" t="n">
        <v>39</v>
      </c>
      <c r="F71" s="6" t="n">
        <v>72</v>
      </c>
      <c r="G71" s="6" t="n">
        <v>105</v>
      </c>
      <c r="H71" s="6" t="n">
        <v>77</v>
      </c>
      <c r="I71" s="6" t="n">
        <v>114</v>
      </c>
      <c r="J71" s="6" t="n">
        <v>46</v>
      </c>
      <c r="K71" s="6" t="n">
        <v>0</v>
      </c>
      <c r="L71" s="6" t="n">
        <v>0</v>
      </c>
      <c r="M71" s="6" t="n">
        <v>18</v>
      </c>
      <c r="N71" s="6" t="n">
        <v>36</v>
      </c>
      <c r="O71" s="6" t="n">
        <v>81</v>
      </c>
      <c r="P71" s="6" t="n">
        <v>5</v>
      </c>
      <c r="Q71" s="6" t="n">
        <v>0</v>
      </c>
      <c r="R71" s="6" t="n">
        <v>0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9</v>
      </c>
      <c r="Z71" s="6" t="n">
        <v>10</v>
      </c>
      <c r="AA71" s="6" t="n">
        <v>57</v>
      </c>
      <c r="AB71" s="6">
        <f>SUM(D71:AA71)</f>
        <v/>
      </c>
      <c r="AC71" s="3" t="inlineStr"/>
      <c r="AD71" s="7">
        <f>E71*0.0120051238+D71*0.0024010248</f>
        <v/>
      </c>
      <c r="AE71" s="7">
        <f>F71*0.0120051238+E71*0.0024010248</f>
        <v/>
      </c>
      <c r="AF71" s="7">
        <f>G71*0.0120051238+F71*0.0024010248</f>
        <v/>
      </c>
      <c r="AG71" s="7">
        <f>H71*0.0120051238+G71*0.0024010248</f>
        <v/>
      </c>
      <c r="AH71" s="7">
        <f>I71*0.0120051238+H71*0.0024010248</f>
        <v/>
      </c>
      <c r="AI71" s="7">
        <f>J71*0.0120051238+I71*0.0024010248</f>
        <v/>
      </c>
      <c r="AJ71" s="7">
        <f>K71*0.0120051238+J71*0.0024010248</f>
        <v/>
      </c>
      <c r="AK71" s="7">
        <f>L71*0.0120051238+K71*0.0024010248</f>
        <v/>
      </c>
      <c r="AL71" s="7">
        <f>M71*0.0120051238+L71*0.0024010248</f>
        <v/>
      </c>
      <c r="AM71" s="7">
        <f>N71*0.0120051238+M71*0.0024010248</f>
        <v/>
      </c>
      <c r="AN71" s="7">
        <f>O71*0.0120051238+N71*0.0024010248</f>
        <v/>
      </c>
      <c r="AO71" s="7">
        <f>P71*0.0120051238+O71*0.0024010248</f>
        <v/>
      </c>
      <c r="AP71" s="7">
        <f>Q71*0.0120051238+P71*0.0024010248</f>
        <v/>
      </c>
      <c r="AQ71" s="7">
        <f>R71*0.0120051238+Q71*0.0024010248</f>
        <v/>
      </c>
      <c r="AR71" s="7">
        <f>S71*0.0120051238+R71*0.0024010248</f>
        <v/>
      </c>
      <c r="AS71" s="7">
        <f>T71*0.0120051238+S71*0.0024010248</f>
        <v/>
      </c>
      <c r="AT71" s="7">
        <f>U71*0.0120051238+T71*0.0024010248</f>
        <v/>
      </c>
      <c r="AU71" s="7">
        <f>V71*0.0120051238+U71*0.0024010248</f>
        <v/>
      </c>
      <c r="AV71" s="7">
        <f>W71*0.0120051238+V71*0.0024010248</f>
        <v/>
      </c>
      <c r="AW71" s="7">
        <f>X71*0.0120051238+W71*0.0024010248</f>
        <v/>
      </c>
      <c r="AX71" s="7">
        <f>Y71*0.0120051238+X71*0.0024010248</f>
        <v/>
      </c>
      <c r="AY71" s="7">
        <f>Z71*0.0120051238+Y71*0.0024010248</f>
        <v/>
      </c>
      <c r="AZ71" s="7">
        <f>AA71*0.0120051238+Z71*0.0024010248</f>
        <v/>
      </c>
      <c r="BA71" s="7">
        <f>D71*0.0120051238+AA71*0.0024010248</f>
        <v/>
      </c>
      <c r="BB71" s="7">
        <f>SUM(AD71:BA71)</f>
        <v/>
      </c>
    </row>
    <row r="72">
      <c r="A72" t="inlineStr">
        <is>
          <t>AMD-M1</t>
        </is>
      </c>
      <c r="B72" t="inlineStr">
        <is>
          <t>Forward Regular OSC</t>
        </is>
      </c>
      <c r="C72" s="5" t="n">
        <v>46094</v>
      </c>
      <c r="D72" s="6" t="n">
        <v>93</v>
      </c>
      <c r="E72" s="6" t="n">
        <v>38</v>
      </c>
      <c r="F72" s="6" t="n">
        <v>73</v>
      </c>
      <c r="G72" s="6" t="n">
        <v>124</v>
      </c>
      <c r="H72" s="6" t="n">
        <v>128</v>
      </c>
      <c r="I72" s="6" t="n">
        <v>91</v>
      </c>
      <c r="J72" s="6" t="n">
        <v>8</v>
      </c>
      <c r="K72" s="6" t="n">
        <v>0</v>
      </c>
      <c r="L72" s="6" t="n">
        <v>0</v>
      </c>
      <c r="M72" s="6" t="n">
        <v>20</v>
      </c>
      <c r="N72" s="6" t="n">
        <v>30</v>
      </c>
      <c r="O72" s="6" t="n">
        <v>80</v>
      </c>
      <c r="P72" s="6" t="n">
        <v>77</v>
      </c>
      <c r="Q72" s="6" t="n">
        <v>3</v>
      </c>
      <c r="R72" s="6" t="n">
        <v>2</v>
      </c>
      <c r="S72" s="6" t="n">
        <v>1</v>
      </c>
      <c r="T72" s="6" t="n">
        <v>0</v>
      </c>
      <c r="U72" s="6" t="n">
        <v>0</v>
      </c>
      <c r="V72" s="6" t="n">
        <v>0</v>
      </c>
      <c r="W72" s="6" t="n">
        <v>0</v>
      </c>
      <c r="X72" s="6" t="n">
        <v>0</v>
      </c>
      <c r="Y72" s="6" t="n">
        <v>6</v>
      </c>
      <c r="Z72" s="6" t="n">
        <v>0</v>
      </c>
      <c r="AA72" s="6" t="n">
        <v>65</v>
      </c>
      <c r="AB72" s="6">
        <f>SUM(D72:AA72)</f>
        <v/>
      </c>
      <c r="AC72" s="3" t="inlineStr"/>
      <c r="AD72" s="7">
        <f>E72*0.0120051238+D72*0.0024010248</f>
        <v/>
      </c>
      <c r="AE72" s="7">
        <f>F72*0.0120051238+E72*0.0024010248</f>
        <v/>
      </c>
      <c r="AF72" s="7">
        <f>G72*0.0120051238+F72*0.0024010248</f>
        <v/>
      </c>
      <c r="AG72" s="7">
        <f>H72*0.0120051238+G72*0.0024010248</f>
        <v/>
      </c>
      <c r="AH72" s="7">
        <f>I72*0.0120051238+H72*0.0024010248</f>
        <v/>
      </c>
      <c r="AI72" s="7">
        <f>J72*0.0120051238+I72*0.0024010248</f>
        <v/>
      </c>
      <c r="AJ72" s="7">
        <f>K72*0.0120051238+J72*0.0024010248</f>
        <v/>
      </c>
      <c r="AK72" s="7">
        <f>L72*0.0120051238+K72*0.0024010248</f>
        <v/>
      </c>
      <c r="AL72" s="7">
        <f>M72*0.0120051238+L72*0.0024010248</f>
        <v/>
      </c>
      <c r="AM72" s="7">
        <f>N72*0.0120051238+M72*0.0024010248</f>
        <v/>
      </c>
      <c r="AN72" s="7">
        <f>O72*0.0120051238+N72*0.0024010248</f>
        <v/>
      </c>
      <c r="AO72" s="7">
        <f>P72*0.0120051238+O72*0.0024010248</f>
        <v/>
      </c>
      <c r="AP72" s="7">
        <f>Q72*0.0120051238+P72*0.0024010248</f>
        <v/>
      </c>
      <c r="AQ72" s="7">
        <f>R72*0.0120051238+Q72*0.0024010248</f>
        <v/>
      </c>
      <c r="AR72" s="7">
        <f>S72*0.0120051238+R72*0.0024010248</f>
        <v/>
      </c>
      <c r="AS72" s="7">
        <f>T72*0.0120051238+S72*0.0024010248</f>
        <v/>
      </c>
      <c r="AT72" s="7">
        <f>U72*0.0120051238+T72*0.0024010248</f>
        <v/>
      </c>
      <c r="AU72" s="7">
        <f>V72*0.0120051238+U72*0.0024010248</f>
        <v/>
      </c>
      <c r="AV72" s="7">
        <f>W72*0.0120051238+V72*0.0024010248</f>
        <v/>
      </c>
      <c r="AW72" s="7">
        <f>X72*0.0120051238+W72*0.0024010248</f>
        <v/>
      </c>
      <c r="AX72" s="7">
        <f>Y72*0.0120051238+X72*0.0024010248</f>
        <v/>
      </c>
      <c r="AY72" s="7">
        <f>Z72*0.0120051238+Y72*0.0024010248</f>
        <v/>
      </c>
      <c r="AZ72" s="7">
        <f>AA72*0.0120051238+Z72*0.0024010248</f>
        <v/>
      </c>
      <c r="BA72" s="7">
        <f>D72*0.0120051238+AA72*0.0024010248</f>
        <v/>
      </c>
      <c r="BB72" s="7">
        <f>SUM(AD72:BA72)</f>
        <v/>
      </c>
    </row>
    <row r="73">
      <c r="A73" t="inlineStr">
        <is>
          <t>AMD-M1</t>
        </is>
      </c>
      <c r="B73" t="inlineStr">
        <is>
          <t>Forward Regular OSC</t>
        </is>
      </c>
      <c r="C73" s="5" t="n">
        <v>46095</v>
      </c>
      <c r="D73" s="6" t="n">
        <v>107</v>
      </c>
      <c r="E73" s="6" t="n">
        <v>25</v>
      </c>
      <c r="F73" s="6" t="n">
        <v>83</v>
      </c>
      <c r="G73" s="6" t="n">
        <v>115</v>
      </c>
      <c r="H73" s="6" t="n">
        <v>83</v>
      </c>
      <c r="I73" s="6" t="n">
        <v>88</v>
      </c>
      <c r="J73" s="6" t="n">
        <v>5</v>
      </c>
      <c r="K73" s="6" t="n">
        <v>3</v>
      </c>
      <c r="L73" s="6" t="n">
        <v>0</v>
      </c>
      <c r="M73" s="6" t="n">
        <v>10</v>
      </c>
      <c r="N73" s="6" t="n">
        <v>50</v>
      </c>
      <c r="O73" s="6" t="n">
        <v>47</v>
      </c>
      <c r="P73" s="6" t="n">
        <v>103</v>
      </c>
      <c r="Q73" s="6" t="n">
        <v>16</v>
      </c>
      <c r="R73" s="6" t="n">
        <v>0</v>
      </c>
      <c r="S73" s="6" t="n">
        <v>0</v>
      </c>
      <c r="T73" s="6" t="n">
        <v>0</v>
      </c>
      <c r="U73" s="6" t="n">
        <v>0</v>
      </c>
      <c r="V73" s="6" t="n">
        <v>0</v>
      </c>
      <c r="W73" s="6" t="n">
        <v>0</v>
      </c>
      <c r="X73" s="6" t="n">
        <v>2</v>
      </c>
      <c r="Y73" s="6" t="n">
        <v>0</v>
      </c>
      <c r="Z73" s="6" t="n">
        <v>2</v>
      </c>
      <c r="AA73" s="6" t="n">
        <v>104</v>
      </c>
      <c r="AB73" s="6">
        <f>SUM(D73:AA73)</f>
        <v/>
      </c>
      <c r="AC73" s="3" t="inlineStr"/>
      <c r="AD73" s="7">
        <f>E73*0.0120051238+D73*0.0024010248</f>
        <v/>
      </c>
      <c r="AE73" s="7">
        <f>F73*0.0120051238+E73*0.0024010248</f>
        <v/>
      </c>
      <c r="AF73" s="7">
        <f>G73*0.0120051238+F73*0.0024010248</f>
        <v/>
      </c>
      <c r="AG73" s="7">
        <f>H73*0.0120051238+G73*0.0024010248</f>
        <v/>
      </c>
      <c r="AH73" s="7">
        <f>I73*0.0120051238+H73*0.0024010248</f>
        <v/>
      </c>
      <c r="AI73" s="7">
        <f>J73*0.0120051238+I73*0.0024010248</f>
        <v/>
      </c>
      <c r="AJ73" s="7">
        <f>K73*0.0120051238+J73*0.0024010248</f>
        <v/>
      </c>
      <c r="AK73" s="7">
        <f>L73*0.0120051238+K73*0.0024010248</f>
        <v/>
      </c>
      <c r="AL73" s="7">
        <f>M73*0.0120051238+L73*0.0024010248</f>
        <v/>
      </c>
      <c r="AM73" s="7">
        <f>N73*0.0120051238+M73*0.0024010248</f>
        <v/>
      </c>
      <c r="AN73" s="7">
        <f>O73*0.0120051238+N73*0.0024010248</f>
        <v/>
      </c>
      <c r="AO73" s="7">
        <f>P73*0.0120051238+O73*0.0024010248</f>
        <v/>
      </c>
      <c r="AP73" s="7">
        <f>Q73*0.0120051238+P73*0.0024010248</f>
        <v/>
      </c>
      <c r="AQ73" s="7">
        <f>R73*0.0120051238+Q73*0.0024010248</f>
        <v/>
      </c>
      <c r="AR73" s="7">
        <f>S73*0.0120051238+R73*0.0024010248</f>
        <v/>
      </c>
      <c r="AS73" s="7">
        <f>T73*0.0120051238+S73*0.0024010248</f>
        <v/>
      </c>
      <c r="AT73" s="7">
        <f>U73*0.0120051238+T73*0.0024010248</f>
        <v/>
      </c>
      <c r="AU73" s="7">
        <f>V73*0.0120051238+U73*0.0024010248</f>
        <v/>
      </c>
      <c r="AV73" s="7">
        <f>W73*0.0120051238+V73*0.0024010248</f>
        <v/>
      </c>
      <c r="AW73" s="7">
        <f>X73*0.0120051238+W73*0.0024010248</f>
        <v/>
      </c>
      <c r="AX73" s="7">
        <f>Y73*0.0120051238+X73*0.0024010248</f>
        <v/>
      </c>
      <c r="AY73" s="7">
        <f>Z73*0.0120051238+Y73*0.0024010248</f>
        <v/>
      </c>
      <c r="AZ73" s="7">
        <f>AA73*0.0120051238+Z73*0.0024010248</f>
        <v/>
      </c>
      <c r="BA73" s="7">
        <f>D73*0.0120051238+AA73*0.0024010248</f>
        <v/>
      </c>
      <c r="BB73" s="7">
        <f>SUM(AD73:BA73)</f>
        <v/>
      </c>
    </row>
    <row r="74">
      <c r="A74" t="inlineStr">
        <is>
          <t>AMD-M1</t>
        </is>
      </c>
      <c r="B74" t="inlineStr">
        <is>
          <t>Forward Regular OSC</t>
        </is>
      </c>
      <c r="C74" s="5" t="n">
        <v>46096</v>
      </c>
      <c r="D74" s="6" t="n">
        <v>97</v>
      </c>
      <c r="E74" s="6" t="n">
        <v>42</v>
      </c>
      <c r="F74" s="6" t="n">
        <v>78</v>
      </c>
      <c r="G74" s="6" t="n">
        <v>182</v>
      </c>
      <c r="H74" s="6" t="n">
        <v>29</v>
      </c>
      <c r="I74" s="6" t="n">
        <v>8</v>
      </c>
      <c r="J74" s="6" t="n">
        <v>5</v>
      </c>
      <c r="K74" s="6" t="n">
        <v>0</v>
      </c>
      <c r="L74" s="6" t="n">
        <v>6</v>
      </c>
      <c r="M74" s="6" t="n">
        <v>19</v>
      </c>
      <c r="N74" s="6" t="n">
        <v>54</v>
      </c>
      <c r="O74" s="6" t="n">
        <v>111</v>
      </c>
      <c r="P74" s="6" t="n">
        <v>27</v>
      </c>
      <c r="Q74" s="6" t="n">
        <v>0</v>
      </c>
      <c r="R74" s="6" t="n">
        <v>0</v>
      </c>
      <c r="S74" s="6" t="n">
        <v>0</v>
      </c>
      <c r="T74" s="6" t="n">
        <v>0</v>
      </c>
      <c r="U74" s="6" t="n">
        <v>0</v>
      </c>
      <c r="V74" s="6" t="n">
        <v>0</v>
      </c>
      <c r="W74" s="6" t="n">
        <v>0</v>
      </c>
      <c r="X74" s="6" t="n">
        <v>0</v>
      </c>
      <c r="Y74" s="6" t="n">
        <v>2</v>
      </c>
      <c r="Z74" s="6" t="n">
        <v>0</v>
      </c>
      <c r="AA74" s="6" t="n">
        <v>40</v>
      </c>
      <c r="AB74" s="6">
        <f>SUM(D74:AA74)</f>
        <v/>
      </c>
      <c r="AC74" s="3" t="inlineStr"/>
      <c r="AD74" s="7">
        <f>E74*0.0120051238+D74*0.0024010248</f>
        <v/>
      </c>
      <c r="AE74" s="7">
        <f>F74*0.0120051238+E74*0.0024010248</f>
        <v/>
      </c>
      <c r="AF74" s="7">
        <f>G74*0.0120051238+F74*0.0024010248</f>
        <v/>
      </c>
      <c r="AG74" s="7">
        <f>H74*0.0120051238+G74*0.0024010248</f>
        <v/>
      </c>
      <c r="AH74" s="7">
        <f>I74*0.0120051238+H74*0.0024010248</f>
        <v/>
      </c>
      <c r="AI74" s="7">
        <f>J74*0.0120051238+I74*0.0024010248</f>
        <v/>
      </c>
      <c r="AJ74" s="7">
        <f>K74*0.0120051238+J74*0.0024010248</f>
        <v/>
      </c>
      <c r="AK74" s="7">
        <f>L74*0.0120051238+K74*0.0024010248</f>
        <v/>
      </c>
      <c r="AL74" s="7">
        <f>M74*0.0120051238+L74*0.0024010248</f>
        <v/>
      </c>
      <c r="AM74" s="7">
        <f>N74*0.0120051238+M74*0.0024010248</f>
        <v/>
      </c>
      <c r="AN74" s="7">
        <f>O74*0.0120051238+N74*0.0024010248</f>
        <v/>
      </c>
      <c r="AO74" s="7">
        <f>P74*0.0120051238+O74*0.0024010248</f>
        <v/>
      </c>
      <c r="AP74" s="7">
        <f>Q74*0.0120051238+P74*0.0024010248</f>
        <v/>
      </c>
      <c r="AQ74" s="7">
        <f>R74*0.0120051238+Q74*0.0024010248</f>
        <v/>
      </c>
      <c r="AR74" s="7">
        <f>S74*0.0120051238+R74*0.0024010248</f>
        <v/>
      </c>
      <c r="AS74" s="7">
        <f>T74*0.0120051238+S74*0.0024010248</f>
        <v/>
      </c>
      <c r="AT74" s="7">
        <f>U74*0.0120051238+T74*0.0024010248</f>
        <v/>
      </c>
      <c r="AU74" s="7">
        <f>V74*0.0120051238+U74*0.0024010248</f>
        <v/>
      </c>
      <c r="AV74" s="7">
        <f>W74*0.0120051238+V74*0.0024010248</f>
        <v/>
      </c>
      <c r="AW74" s="7">
        <f>X74*0.0120051238+W74*0.0024010248</f>
        <v/>
      </c>
      <c r="AX74" s="7">
        <f>Y74*0.0120051238+X74*0.0024010248</f>
        <v/>
      </c>
      <c r="AY74" s="7">
        <f>Z74*0.0120051238+Y74*0.0024010248</f>
        <v/>
      </c>
      <c r="AZ74" s="7">
        <f>AA74*0.0120051238+Z74*0.0024010248</f>
        <v/>
      </c>
      <c r="BA74" s="7">
        <f>D74*0.0120051238+AA74*0.0024010248</f>
        <v/>
      </c>
      <c r="BB74" s="7">
        <f>SUM(AD74:BA74)</f>
        <v/>
      </c>
    </row>
    <row r="75">
      <c r="A75" t="inlineStr">
        <is>
          <t>AMD-M1</t>
        </is>
      </c>
      <c r="B75" t="inlineStr">
        <is>
          <t>Forward Regular OSC</t>
        </is>
      </c>
      <c r="C75" s="5" t="n">
        <v>46097</v>
      </c>
      <c r="D75" s="6" t="n">
        <v>101</v>
      </c>
      <c r="E75" s="6" t="n">
        <v>31</v>
      </c>
      <c r="F75" s="6" t="n">
        <v>88</v>
      </c>
      <c r="G75" s="6" t="n">
        <v>133</v>
      </c>
      <c r="H75" s="6" t="n">
        <v>43</v>
      </c>
      <c r="I75" s="6" t="n">
        <v>1</v>
      </c>
      <c r="J75" s="6" t="n">
        <v>6</v>
      </c>
      <c r="K75" s="6" t="n">
        <v>0</v>
      </c>
      <c r="L75" s="6" t="n">
        <v>0</v>
      </c>
      <c r="M75" s="6" t="n">
        <v>28</v>
      </c>
      <c r="N75" s="6" t="n">
        <v>88</v>
      </c>
      <c r="O75" s="6" t="n">
        <v>13</v>
      </c>
      <c r="P75" s="6" t="n">
        <v>0</v>
      </c>
      <c r="Q75" s="6" t="n">
        <v>0</v>
      </c>
      <c r="R75" s="6" t="n">
        <v>0</v>
      </c>
      <c r="S75" s="6" t="n">
        <v>0</v>
      </c>
      <c r="T75" s="6" t="n">
        <v>0</v>
      </c>
      <c r="U75" s="6" t="n">
        <v>0</v>
      </c>
      <c r="V75" s="6" t="n">
        <v>0</v>
      </c>
      <c r="W75" s="6" t="n">
        <v>0</v>
      </c>
      <c r="X75" s="6" t="n">
        <v>0</v>
      </c>
      <c r="Y75" s="6" t="n">
        <v>6</v>
      </c>
      <c r="Z75" s="6" t="n">
        <v>0</v>
      </c>
      <c r="AA75" s="6" t="n">
        <v>0</v>
      </c>
      <c r="AB75" s="6">
        <f>SUM(D75:AA75)</f>
        <v/>
      </c>
      <c r="AC75" s="3" t="inlineStr"/>
      <c r="AD75" s="7">
        <f>E75*0.0120051238+D75*0.0024010248</f>
        <v/>
      </c>
      <c r="AE75" s="7">
        <f>F75*0.0120051238+E75*0.0024010248</f>
        <v/>
      </c>
      <c r="AF75" s="7">
        <f>G75*0.0120051238+F75*0.0024010248</f>
        <v/>
      </c>
      <c r="AG75" s="7">
        <f>H75*0.0120051238+G75*0.0024010248</f>
        <v/>
      </c>
      <c r="AH75" s="7">
        <f>I75*0.0120051238+H75*0.0024010248</f>
        <v/>
      </c>
      <c r="AI75" s="7">
        <f>J75*0.0120051238+I75*0.0024010248</f>
        <v/>
      </c>
      <c r="AJ75" s="7">
        <f>K75*0.0120051238+J75*0.0024010248</f>
        <v/>
      </c>
      <c r="AK75" s="7">
        <f>L75*0.0120051238+K75*0.0024010248</f>
        <v/>
      </c>
      <c r="AL75" s="7">
        <f>M75*0.0120051238+L75*0.0024010248</f>
        <v/>
      </c>
      <c r="AM75" s="7">
        <f>N75*0.0120051238+M75*0.0024010248</f>
        <v/>
      </c>
      <c r="AN75" s="7">
        <f>O75*0.0120051238+N75*0.0024010248</f>
        <v/>
      </c>
      <c r="AO75" s="7">
        <f>P75*0.0120051238+O75*0.0024010248</f>
        <v/>
      </c>
      <c r="AP75" s="7">
        <f>Q75*0.0120051238+P75*0.0024010248</f>
        <v/>
      </c>
      <c r="AQ75" s="7">
        <f>R75*0.0120051238+Q75*0.0024010248</f>
        <v/>
      </c>
      <c r="AR75" s="7">
        <f>S75*0.0120051238+R75*0.0024010248</f>
        <v/>
      </c>
      <c r="AS75" s="7">
        <f>T75*0.0120051238+S75*0.0024010248</f>
        <v/>
      </c>
      <c r="AT75" s="7">
        <f>U75*0.0120051238+T75*0.0024010248</f>
        <v/>
      </c>
      <c r="AU75" s="7">
        <f>V75*0.0120051238+U75*0.0024010248</f>
        <v/>
      </c>
      <c r="AV75" s="7">
        <f>W75*0.0120051238+V75*0.0024010248</f>
        <v/>
      </c>
      <c r="AW75" s="7">
        <f>X75*0.0120051238+W75*0.0024010248</f>
        <v/>
      </c>
      <c r="AX75" s="7">
        <f>Y75*0.0120051238+X75*0.0024010248</f>
        <v/>
      </c>
      <c r="AY75" s="7">
        <f>Z75*0.0120051238+Y75*0.0024010248</f>
        <v/>
      </c>
      <c r="AZ75" s="7">
        <f>AA75*0.0120051238+Z75*0.0024010248</f>
        <v/>
      </c>
      <c r="BA75" s="7">
        <f>D75*0.0120051238+AA75*0.0024010248</f>
        <v/>
      </c>
      <c r="BB75" s="7">
        <f>SUM(AD75:BA75)</f>
        <v/>
      </c>
    </row>
    <row r="76">
      <c r="A76" t="inlineStr">
        <is>
          <t>AMD-M2</t>
        </is>
      </c>
      <c r="B76" t="inlineStr">
        <is>
          <t>Forward Regular OSC</t>
        </is>
      </c>
      <c r="C76" s="5" t="n">
        <v>46089</v>
      </c>
      <c r="D76" s="6" t="n">
        <v>223</v>
      </c>
      <c r="E76" s="6" t="n">
        <v>73</v>
      </c>
      <c r="F76" s="6" t="n">
        <v>202</v>
      </c>
      <c r="G76" s="6" t="n">
        <v>186</v>
      </c>
      <c r="H76" s="6" t="n">
        <v>192</v>
      </c>
      <c r="I76" s="6" t="n">
        <v>214</v>
      </c>
      <c r="J76" s="6" t="n">
        <v>119</v>
      </c>
      <c r="K76" s="6" t="n">
        <v>1</v>
      </c>
      <c r="L76" s="6" t="n">
        <v>133</v>
      </c>
      <c r="M76" s="6" t="n">
        <v>210</v>
      </c>
      <c r="N76" s="6" t="n">
        <v>286</v>
      </c>
      <c r="O76" s="6" t="n">
        <v>254</v>
      </c>
      <c r="P76" s="6" t="n">
        <v>95</v>
      </c>
      <c r="Q76" s="6" t="n">
        <v>170</v>
      </c>
      <c r="R76" s="6" t="n">
        <v>274</v>
      </c>
      <c r="S76" s="6" t="n">
        <v>175</v>
      </c>
      <c r="T76" s="6" t="n">
        <v>59</v>
      </c>
      <c r="U76" s="6" t="n">
        <v>0</v>
      </c>
      <c r="V76" s="6" t="n">
        <v>0</v>
      </c>
      <c r="W76" s="6" t="n">
        <v>0</v>
      </c>
      <c r="X76" s="6" t="n">
        <v>0</v>
      </c>
      <c r="Y76" s="6" t="n">
        <v>0</v>
      </c>
      <c r="Z76" s="6" t="n">
        <v>2</v>
      </c>
      <c r="AA76" s="6" t="n">
        <v>162</v>
      </c>
      <c r="AB76" s="6">
        <f>SUM(D76:AA76)</f>
        <v/>
      </c>
      <c r="AC76" s="3" t="inlineStr"/>
      <c r="AD76" s="7">
        <f>E76*0.0120051238+D76*0.0024010248</f>
        <v/>
      </c>
      <c r="AE76" s="7">
        <f>F76*0.0120051238+E76*0.0024010248</f>
        <v/>
      </c>
      <c r="AF76" s="7">
        <f>G76*0.0120051238+F76*0.0024010248</f>
        <v/>
      </c>
      <c r="AG76" s="7">
        <f>H76*0.0120051238+G76*0.0024010248</f>
        <v/>
      </c>
      <c r="AH76" s="7">
        <f>I76*0.0120051238+H76*0.0024010248</f>
        <v/>
      </c>
      <c r="AI76" s="7">
        <f>J76*0.0120051238+I76*0.0024010248</f>
        <v/>
      </c>
      <c r="AJ76" s="7">
        <f>K76*0.0120051238+J76*0.0024010248</f>
        <v/>
      </c>
      <c r="AK76" s="7">
        <f>L76*0.0120051238+K76*0.0024010248</f>
        <v/>
      </c>
      <c r="AL76" s="7">
        <f>M76*0.0120051238+L76*0.0024010248</f>
        <v/>
      </c>
      <c r="AM76" s="7">
        <f>N76*0.0120051238+M76*0.0024010248</f>
        <v/>
      </c>
      <c r="AN76" s="7">
        <f>O76*0.0120051238+N76*0.0024010248</f>
        <v/>
      </c>
      <c r="AO76" s="7">
        <f>P76*0.0120051238+O76*0.0024010248</f>
        <v/>
      </c>
      <c r="AP76" s="7">
        <f>Q76*0.0120051238+P76*0.0024010248</f>
        <v/>
      </c>
      <c r="AQ76" s="7">
        <f>R76*0.0120051238+Q76*0.0024010248</f>
        <v/>
      </c>
      <c r="AR76" s="7">
        <f>S76*0.0120051238+R76*0.0024010248</f>
        <v/>
      </c>
      <c r="AS76" s="7">
        <f>T76*0.0120051238+S76*0.0024010248</f>
        <v/>
      </c>
      <c r="AT76" s="7">
        <f>U76*0.0120051238+T76*0.0024010248</f>
        <v/>
      </c>
      <c r="AU76" s="7">
        <f>V76*0.0120051238+U76*0.0024010248</f>
        <v/>
      </c>
      <c r="AV76" s="7">
        <f>W76*0.0120051238+V76*0.0024010248</f>
        <v/>
      </c>
      <c r="AW76" s="7">
        <f>X76*0.0120051238+W76*0.0024010248</f>
        <v/>
      </c>
      <c r="AX76" s="7">
        <f>Y76*0.0120051238+X76*0.0024010248</f>
        <v/>
      </c>
      <c r="AY76" s="7">
        <f>Z76*0.0120051238+Y76*0.0024010248</f>
        <v/>
      </c>
      <c r="AZ76" s="7">
        <f>AA76*0.0120051238+Z76*0.0024010248</f>
        <v/>
      </c>
      <c r="BA76" s="7">
        <f>D76*0.0120051238+AA76*0.0024010248</f>
        <v/>
      </c>
      <c r="BB76" s="7">
        <f>SUM(AD76:BA76)</f>
        <v/>
      </c>
    </row>
    <row r="77">
      <c r="A77" t="inlineStr">
        <is>
          <t>AMD-M2</t>
        </is>
      </c>
      <c r="B77" t="inlineStr">
        <is>
          <t>Forward Regular OSC</t>
        </is>
      </c>
      <c r="C77" s="5" t="n">
        <v>46090</v>
      </c>
      <c r="D77" s="6" t="n">
        <v>165</v>
      </c>
      <c r="E77" s="6" t="n">
        <v>61</v>
      </c>
      <c r="F77" s="6" t="n">
        <v>146</v>
      </c>
      <c r="G77" s="6" t="n">
        <v>225</v>
      </c>
      <c r="H77" s="6" t="n">
        <v>158</v>
      </c>
      <c r="I77" s="6" t="n">
        <v>158</v>
      </c>
      <c r="J77" s="6" t="n">
        <v>147</v>
      </c>
      <c r="K77" s="6" t="n">
        <v>186</v>
      </c>
      <c r="L77" s="6" t="n">
        <v>296</v>
      </c>
      <c r="M77" s="6" t="n">
        <v>235</v>
      </c>
      <c r="N77" s="6" t="n">
        <v>303</v>
      </c>
      <c r="O77" s="6" t="n">
        <v>310</v>
      </c>
      <c r="P77" s="6" t="n">
        <v>125</v>
      </c>
      <c r="Q77" s="6" t="n">
        <v>218</v>
      </c>
      <c r="R77" s="6" t="n">
        <v>250</v>
      </c>
      <c r="S77" s="6" t="n">
        <v>251</v>
      </c>
      <c r="T77" s="6" t="n">
        <v>253</v>
      </c>
      <c r="U77" s="6" t="n">
        <v>38</v>
      </c>
      <c r="V77" s="6" t="n">
        <v>75</v>
      </c>
      <c r="W77" s="6" t="n">
        <v>51</v>
      </c>
      <c r="X77" s="6" t="n">
        <v>5</v>
      </c>
      <c r="Y77" s="6" t="n">
        <v>0</v>
      </c>
      <c r="Z77" s="6" t="n">
        <v>25</v>
      </c>
      <c r="AA77" s="6" t="n">
        <v>390</v>
      </c>
      <c r="AB77" s="6">
        <f>SUM(D77:AA77)</f>
        <v/>
      </c>
      <c r="AC77" s="3" t="inlineStr"/>
      <c r="AD77" s="7">
        <f>E77*0.0120051238+D77*0.0024010248</f>
        <v/>
      </c>
      <c r="AE77" s="7">
        <f>F77*0.0120051238+E77*0.0024010248</f>
        <v/>
      </c>
      <c r="AF77" s="7">
        <f>G77*0.0120051238+F77*0.0024010248</f>
        <v/>
      </c>
      <c r="AG77" s="7">
        <f>H77*0.0120051238+G77*0.0024010248</f>
        <v/>
      </c>
      <c r="AH77" s="7">
        <f>I77*0.0120051238+H77*0.0024010248</f>
        <v/>
      </c>
      <c r="AI77" s="7">
        <f>J77*0.0120051238+I77*0.0024010248</f>
        <v/>
      </c>
      <c r="AJ77" s="7">
        <f>K77*0.0120051238+J77*0.0024010248</f>
        <v/>
      </c>
      <c r="AK77" s="7">
        <f>L77*0.0120051238+K77*0.0024010248</f>
        <v/>
      </c>
      <c r="AL77" s="7">
        <f>M77*0.0120051238+L77*0.0024010248</f>
        <v/>
      </c>
      <c r="AM77" s="7">
        <f>N77*0.0120051238+M77*0.0024010248</f>
        <v/>
      </c>
      <c r="AN77" s="7">
        <f>O77*0.0120051238+N77*0.0024010248</f>
        <v/>
      </c>
      <c r="AO77" s="7">
        <f>P77*0.0120051238+O77*0.0024010248</f>
        <v/>
      </c>
      <c r="AP77" s="7">
        <f>Q77*0.0120051238+P77*0.0024010248</f>
        <v/>
      </c>
      <c r="AQ77" s="7">
        <f>R77*0.0120051238+Q77*0.0024010248</f>
        <v/>
      </c>
      <c r="AR77" s="7">
        <f>S77*0.0120051238+R77*0.0024010248</f>
        <v/>
      </c>
      <c r="AS77" s="7">
        <f>T77*0.0120051238+S77*0.0024010248</f>
        <v/>
      </c>
      <c r="AT77" s="7">
        <f>U77*0.0120051238+T77*0.0024010248</f>
        <v/>
      </c>
      <c r="AU77" s="7">
        <f>V77*0.0120051238+U77*0.0024010248</f>
        <v/>
      </c>
      <c r="AV77" s="7">
        <f>W77*0.0120051238+V77*0.0024010248</f>
        <v/>
      </c>
      <c r="AW77" s="7">
        <f>X77*0.0120051238+W77*0.0024010248</f>
        <v/>
      </c>
      <c r="AX77" s="7">
        <f>Y77*0.0120051238+X77*0.0024010248</f>
        <v/>
      </c>
      <c r="AY77" s="7">
        <f>Z77*0.0120051238+Y77*0.0024010248</f>
        <v/>
      </c>
      <c r="AZ77" s="7">
        <f>AA77*0.0120051238+Z77*0.0024010248</f>
        <v/>
      </c>
      <c r="BA77" s="7">
        <f>D77*0.0120051238+AA77*0.0024010248</f>
        <v/>
      </c>
      <c r="BB77" s="7">
        <f>SUM(AD77:BA77)</f>
        <v/>
      </c>
    </row>
    <row r="78">
      <c r="A78" t="inlineStr">
        <is>
          <t>AMD-M2</t>
        </is>
      </c>
      <c r="B78" t="inlineStr">
        <is>
          <t>Forward Regular OSC</t>
        </is>
      </c>
      <c r="C78" s="5" t="n">
        <v>46091</v>
      </c>
      <c r="D78" s="6" t="n">
        <v>377</v>
      </c>
      <c r="E78" s="6" t="n">
        <v>248</v>
      </c>
      <c r="F78" s="6" t="n">
        <v>246</v>
      </c>
      <c r="G78" s="6" t="n">
        <v>397</v>
      </c>
      <c r="H78" s="6" t="n">
        <v>266</v>
      </c>
      <c r="I78" s="6" t="n">
        <v>278</v>
      </c>
      <c r="J78" s="6" t="n">
        <v>215</v>
      </c>
      <c r="K78" s="6" t="n">
        <v>120</v>
      </c>
      <c r="L78" s="6" t="n">
        <v>294</v>
      </c>
      <c r="M78" s="6" t="n">
        <v>263</v>
      </c>
      <c r="N78" s="6" t="n">
        <v>315</v>
      </c>
      <c r="O78" s="6" t="n">
        <v>299</v>
      </c>
      <c r="P78" s="6" t="n">
        <v>105</v>
      </c>
      <c r="Q78" s="6" t="n">
        <v>305</v>
      </c>
      <c r="R78" s="6" t="n">
        <v>318</v>
      </c>
      <c r="S78" s="6" t="n">
        <v>348</v>
      </c>
      <c r="T78" s="6" t="n">
        <v>407</v>
      </c>
      <c r="U78" s="6" t="n">
        <v>10</v>
      </c>
      <c r="V78" s="6" t="n">
        <v>149</v>
      </c>
      <c r="W78" s="6" t="n">
        <v>122</v>
      </c>
      <c r="X78" s="6" t="n">
        <v>22</v>
      </c>
      <c r="Y78" s="6" t="n">
        <v>0</v>
      </c>
      <c r="Z78" s="6" t="n">
        <v>6</v>
      </c>
      <c r="AA78" s="6" t="n">
        <v>326</v>
      </c>
      <c r="AB78" s="6">
        <f>SUM(D78:AA78)</f>
        <v/>
      </c>
      <c r="AC78" s="3" t="inlineStr"/>
      <c r="AD78" s="7">
        <f>E78*0.0120051238+D78*0.0024010248</f>
        <v/>
      </c>
      <c r="AE78" s="7">
        <f>F78*0.0120051238+E78*0.0024010248</f>
        <v/>
      </c>
      <c r="AF78" s="7">
        <f>G78*0.0120051238+F78*0.0024010248</f>
        <v/>
      </c>
      <c r="AG78" s="7">
        <f>H78*0.0120051238+G78*0.0024010248</f>
        <v/>
      </c>
      <c r="AH78" s="7">
        <f>I78*0.0120051238+H78*0.0024010248</f>
        <v/>
      </c>
      <c r="AI78" s="7">
        <f>J78*0.0120051238+I78*0.0024010248</f>
        <v/>
      </c>
      <c r="AJ78" s="7">
        <f>K78*0.0120051238+J78*0.0024010248</f>
        <v/>
      </c>
      <c r="AK78" s="7">
        <f>L78*0.0120051238+K78*0.0024010248</f>
        <v/>
      </c>
      <c r="AL78" s="7">
        <f>M78*0.0120051238+L78*0.0024010248</f>
        <v/>
      </c>
      <c r="AM78" s="7">
        <f>N78*0.0120051238+M78*0.0024010248</f>
        <v/>
      </c>
      <c r="AN78" s="7">
        <f>O78*0.0120051238+N78*0.0024010248</f>
        <v/>
      </c>
      <c r="AO78" s="7">
        <f>P78*0.0120051238+O78*0.0024010248</f>
        <v/>
      </c>
      <c r="AP78" s="7">
        <f>Q78*0.0120051238+P78*0.0024010248</f>
        <v/>
      </c>
      <c r="AQ78" s="7">
        <f>R78*0.0120051238+Q78*0.0024010248</f>
        <v/>
      </c>
      <c r="AR78" s="7">
        <f>S78*0.0120051238+R78*0.0024010248</f>
        <v/>
      </c>
      <c r="AS78" s="7">
        <f>T78*0.0120051238+S78*0.0024010248</f>
        <v/>
      </c>
      <c r="AT78" s="7">
        <f>U78*0.0120051238+T78*0.0024010248</f>
        <v/>
      </c>
      <c r="AU78" s="7">
        <f>V78*0.0120051238+U78*0.0024010248</f>
        <v/>
      </c>
      <c r="AV78" s="7">
        <f>W78*0.0120051238+V78*0.0024010248</f>
        <v/>
      </c>
      <c r="AW78" s="7">
        <f>X78*0.0120051238+W78*0.0024010248</f>
        <v/>
      </c>
      <c r="AX78" s="7">
        <f>Y78*0.0120051238+X78*0.0024010248</f>
        <v/>
      </c>
      <c r="AY78" s="7">
        <f>Z78*0.0120051238+Y78*0.0024010248</f>
        <v/>
      </c>
      <c r="AZ78" s="7">
        <f>AA78*0.0120051238+Z78*0.0024010248</f>
        <v/>
      </c>
      <c r="BA78" s="7">
        <f>D78*0.0120051238+AA78*0.0024010248</f>
        <v/>
      </c>
      <c r="BB78" s="7">
        <f>SUM(AD78:BA78)</f>
        <v/>
      </c>
    </row>
    <row r="79">
      <c r="A79" t="inlineStr">
        <is>
          <t>AMD-M2</t>
        </is>
      </c>
      <c r="B79" t="inlineStr">
        <is>
          <t>Forward Regular OSC</t>
        </is>
      </c>
      <c r="C79" s="5" t="n">
        <v>46092</v>
      </c>
      <c r="D79" s="6" t="n">
        <v>284</v>
      </c>
      <c r="E79" s="6" t="n">
        <v>160</v>
      </c>
      <c r="F79" s="6" t="n">
        <v>304</v>
      </c>
      <c r="G79" s="6" t="n">
        <v>401</v>
      </c>
      <c r="H79" s="6" t="n">
        <v>218</v>
      </c>
      <c r="I79" s="6" t="n">
        <v>326</v>
      </c>
      <c r="J79" s="6" t="n">
        <v>249</v>
      </c>
      <c r="K79" s="6" t="n">
        <v>44</v>
      </c>
      <c r="L79" s="6" t="n">
        <v>419</v>
      </c>
      <c r="M79" s="6" t="n">
        <v>212</v>
      </c>
      <c r="N79" s="6" t="n">
        <v>401</v>
      </c>
      <c r="O79" s="6" t="n">
        <v>353</v>
      </c>
      <c r="P79" s="6" t="n">
        <v>111</v>
      </c>
      <c r="Q79" s="6" t="n">
        <v>187</v>
      </c>
      <c r="R79" s="6" t="n">
        <v>311</v>
      </c>
      <c r="S79" s="6" t="n">
        <v>256</v>
      </c>
      <c r="T79" s="6" t="n">
        <v>52</v>
      </c>
      <c r="U79" s="6" t="n">
        <v>0</v>
      </c>
      <c r="V79" s="6" t="n">
        <v>0</v>
      </c>
      <c r="W79" s="6" t="n">
        <v>0</v>
      </c>
      <c r="X79" s="6" t="n">
        <v>0</v>
      </c>
      <c r="Y79" s="6" t="n">
        <v>0</v>
      </c>
      <c r="Z79" s="6" t="n">
        <v>0</v>
      </c>
      <c r="AA79" s="6" t="n">
        <v>350</v>
      </c>
      <c r="AB79" s="6">
        <f>SUM(D79:AA79)</f>
        <v/>
      </c>
      <c r="AC79" s="3" t="inlineStr"/>
      <c r="AD79" s="7">
        <f>E79*0.0120051238+D79*0.0024010248</f>
        <v/>
      </c>
      <c r="AE79" s="7">
        <f>F79*0.0120051238+E79*0.0024010248</f>
        <v/>
      </c>
      <c r="AF79" s="7">
        <f>G79*0.0120051238+F79*0.0024010248</f>
        <v/>
      </c>
      <c r="AG79" s="7">
        <f>H79*0.0120051238+G79*0.0024010248</f>
        <v/>
      </c>
      <c r="AH79" s="7">
        <f>I79*0.0120051238+H79*0.0024010248</f>
        <v/>
      </c>
      <c r="AI79" s="7">
        <f>J79*0.0120051238+I79*0.0024010248</f>
        <v/>
      </c>
      <c r="AJ79" s="7">
        <f>K79*0.0120051238+J79*0.0024010248</f>
        <v/>
      </c>
      <c r="AK79" s="7">
        <f>L79*0.0120051238+K79*0.0024010248</f>
        <v/>
      </c>
      <c r="AL79" s="7">
        <f>M79*0.0120051238+L79*0.0024010248</f>
        <v/>
      </c>
      <c r="AM79" s="7">
        <f>N79*0.0120051238+M79*0.0024010248</f>
        <v/>
      </c>
      <c r="AN79" s="7">
        <f>O79*0.0120051238+N79*0.0024010248</f>
        <v/>
      </c>
      <c r="AO79" s="7">
        <f>P79*0.0120051238+O79*0.0024010248</f>
        <v/>
      </c>
      <c r="AP79" s="7">
        <f>Q79*0.0120051238+P79*0.0024010248</f>
        <v/>
      </c>
      <c r="AQ79" s="7">
        <f>R79*0.0120051238+Q79*0.0024010248</f>
        <v/>
      </c>
      <c r="AR79" s="7">
        <f>S79*0.0120051238+R79*0.0024010248</f>
        <v/>
      </c>
      <c r="AS79" s="7">
        <f>T79*0.0120051238+S79*0.0024010248</f>
        <v/>
      </c>
      <c r="AT79" s="7">
        <f>U79*0.0120051238+T79*0.0024010248</f>
        <v/>
      </c>
      <c r="AU79" s="7">
        <f>V79*0.0120051238+U79*0.0024010248</f>
        <v/>
      </c>
      <c r="AV79" s="7">
        <f>W79*0.0120051238+V79*0.0024010248</f>
        <v/>
      </c>
      <c r="AW79" s="7">
        <f>X79*0.0120051238+W79*0.0024010248</f>
        <v/>
      </c>
      <c r="AX79" s="7">
        <f>Y79*0.0120051238+X79*0.0024010248</f>
        <v/>
      </c>
      <c r="AY79" s="7">
        <f>Z79*0.0120051238+Y79*0.0024010248</f>
        <v/>
      </c>
      <c r="AZ79" s="7">
        <f>AA79*0.0120051238+Z79*0.0024010248</f>
        <v/>
      </c>
      <c r="BA79" s="7">
        <f>D79*0.0120051238+AA79*0.0024010248</f>
        <v/>
      </c>
      <c r="BB79" s="7">
        <f>SUM(AD79:BA79)</f>
        <v/>
      </c>
    </row>
    <row r="80">
      <c r="A80" t="inlineStr">
        <is>
          <t>AMD-M2</t>
        </is>
      </c>
      <c r="B80" t="inlineStr">
        <is>
          <t>Forward Regular OSC</t>
        </is>
      </c>
      <c r="C80" s="5" t="n">
        <v>46093</v>
      </c>
      <c r="D80" s="6" t="n">
        <v>334</v>
      </c>
      <c r="E80" s="6" t="n">
        <v>114</v>
      </c>
      <c r="F80" s="6" t="n">
        <v>249</v>
      </c>
      <c r="G80" s="6" t="n">
        <v>355</v>
      </c>
      <c r="H80" s="6" t="n">
        <v>200</v>
      </c>
      <c r="I80" s="6" t="n">
        <v>210</v>
      </c>
      <c r="J80" s="6" t="n">
        <v>118</v>
      </c>
      <c r="K80" s="6" t="n">
        <v>2</v>
      </c>
      <c r="L80" s="6" t="n">
        <v>298</v>
      </c>
      <c r="M80" s="6" t="n">
        <v>163</v>
      </c>
      <c r="N80" s="6" t="n">
        <v>335</v>
      </c>
      <c r="O80" s="6" t="n">
        <v>165</v>
      </c>
      <c r="P80" s="6" t="n">
        <v>335</v>
      </c>
      <c r="Q80" s="6" t="n">
        <v>51</v>
      </c>
      <c r="R80" s="6" t="n">
        <v>0</v>
      </c>
      <c r="S80" s="6" t="n">
        <v>1</v>
      </c>
      <c r="T80" s="6" t="n">
        <v>0</v>
      </c>
      <c r="U80" s="6" t="n">
        <v>3</v>
      </c>
      <c r="V80" s="6" t="n">
        <v>0</v>
      </c>
      <c r="W80" s="6" t="n">
        <v>1</v>
      </c>
      <c r="X80" s="6" t="n">
        <v>1</v>
      </c>
      <c r="Y80" s="6" t="n">
        <v>0</v>
      </c>
      <c r="Z80" s="6" t="n">
        <v>0</v>
      </c>
      <c r="AA80" s="6" t="n">
        <v>348</v>
      </c>
      <c r="AB80" s="6">
        <f>SUM(D80:AA80)</f>
        <v/>
      </c>
      <c r="AC80" s="3" t="inlineStr"/>
      <c r="AD80" s="7">
        <f>E80*0.0120051238+D80*0.0024010248</f>
        <v/>
      </c>
      <c r="AE80" s="7">
        <f>F80*0.0120051238+E80*0.0024010248</f>
        <v/>
      </c>
      <c r="AF80" s="7">
        <f>G80*0.0120051238+F80*0.0024010248</f>
        <v/>
      </c>
      <c r="AG80" s="7">
        <f>H80*0.0120051238+G80*0.0024010248</f>
        <v/>
      </c>
      <c r="AH80" s="7">
        <f>I80*0.0120051238+H80*0.0024010248</f>
        <v/>
      </c>
      <c r="AI80" s="7">
        <f>J80*0.0120051238+I80*0.0024010248</f>
        <v/>
      </c>
      <c r="AJ80" s="7">
        <f>K80*0.0120051238+J80*0.0024010248</f>
        <v/>
      </c>
      <c r="AK80" s="7">
        <f>L80*0.0120051238+K80*0.0024010248</f>
        <v/>
      </c>
      <c r="AL80" s="7">
        <f>M80*0.0120051238+L80*0.0024010248</f>
        <v/>
      </c>
      <c r="AM80" s="7">
        <f>N80*0.0120051238+M80*0.0024010248</f>
        <v/>
      </c>
      <c r="AN80" s="7">
        <f>O80*0.0120051238+N80*0.0024010248</f>
        <v/>
      </c>
      <c r="AO80" s="7">
        <f>P80*0.0120051238+O80*0.0024010248</f>
        <v/>
      </c>
      <c r="AP80" s="7">
        <f>Q80*0.0120051238+P80*0.0024010248</f>
        <v/>
      </c>
      <c r="AQ80" s="7">
        <f>R80*0.0120051238+Q80*0.0024010248</f>
        <v/>
      </c>
      <c r="AR80" s="7">
        <f>S80*0.0120051238+R80*0.0024010248</f>
        <v/>
      </c>
      <c r="AS80" s="7">
        <f>T80*0.0120051238+S80*0.0024010248</f>
        <v/>
      </c>
      <c r="AT80" s="7">
        <f>U80*0.0120051238+T80*0.0024010248</f>
        <v/>
      </c>
      <c r="AU80" s="7">
        <f>V80*0.0120051238+U80*0.0024010248</f>
        <v/>
      </c>
      <c r="AV80" s="7">
        <f>W80*0.0120051238+V80*0.0024010248</f>
        <v/>
      </c>
      <c r="AW80" s="7">
        <f>X80*0.0120051238+W80*0.0024010248</f>
        <v/>
      </c>
      <c r="AX80" s="7">
        <f>Y80*0.0120051238+X80*0.0024010248</f>
        <v/>
      </c>
      <c r="AY80" s="7">
        <f>Z80*0.0120051238+Y80*0.0024010248</f>
        <v/>
      </c>
      <c r="AZ80" s="7">
        <f>AA80*0.0120051238+Z80*0.0024010248</f>
        <v/>
      </c>
      <c r="BA80" s="7">
        <f>D80*0.0120051238+AA80*0.0024010248</f>
        <v/>
      </c>
      <c r="BB80" s="7">
        <f>SUM(AD80:BA80)</f>
        <v/>
      </c>
    </row>
    <row r="81">
      <c r="A81" t="inlineStr">
        <is>
          <t>AMD-M2</t>
        </is>
      </c>
      <c r="B81" t="inlineStr">
        <is>
          <t>Forward Regular OSC</t>
        </is>
      </c>
      <c r="C81" s="5" t="n">
        <v>46094</v>
      </c>
      <c r="D81" s="6" t="n">
        <v>305</v>
      </c>
      <c r="E81" s="6" t="n">
        <v>167</v>
      </c>
      <c r="F81" s="6" t="n">
        <v>291</v>
      </c>
      <c r="G81" s="6" t="n">
        <v>300</v>
      </c>
      <c r="H81" s="6" t="n">
        <v>140</v>
      </c>
      <c r="I81" s="6" t="n">
        <v>243</v>
      </c>
      <c r="J81" s="6" t="n">
        <v>173</v>
      </c>
      <c r="K81" s="6" t="n">
        <v>0</v>
      </c>
      <c r="L81" s="6" t="n">
        <v>367</v>
      </c>
      <c r="M81" s="6" t="n">
        <v>210</v>
      </c>
      <c r="N81" s="6" t="n">
        <v>314</v>
      </c>
      <c r="O81" s="6" t="n">
        <v>323</v>
      </c>
      <c r="P81" s="6" t="n">
        <v>111</v>
      </c>
      <c r="Q81" s="6" t="n">
        <v>315</v>
      </c>
      <c r="R81" s="6" t="n">
        <v>64</v>
      </c>
      <c r="S81" s="6" t="n">
        <v>0</v>
      </c>
      <c r="T81" s="6" t="n">
        <v>0</v>
      </c>
      <c r="U81" s="6" t="n">
        <v>0</v>
      </c>
      <c r="V81" s="6" t="n">
        <v>0</v>
      </c>
      <c r="W81" s="6" t="n">
        <v>0</v>
      </c>
      <c r="X81" s="6" t="n">
        <v>0</v>
      </c>
      <c r="Y81" s="6" t="n">
        <v>0</v>
      </c>
      <c r="Z81" s="6" t="n">
        <v>17</v>
      </c>
      <c r="AA81" s="6" t="n">
        <v>247</v>
      </c>
      <c r="AB81" s="6">
        <f>SUM(D81:AA81)</f>
        <v/>
      </c>
      <c r="AC81" s="3" t="inlineStr"/>
      <c r="AD81" s="7">
        <f>E81*0.0120051238+D81*0.0024010248</f>
        <v/>
      </c>
      <c r="AE81" s="7">
        <f>F81*0.0120051238+E81*0.0024010248</f>
        <v/>
      </c>
      <c r="AF81" s="7">
        <f>G81*0.0120051238+F81*0.0024010248</f>
        <v/>
      </c>
      <c r="AG81" s="7">
        <f>H81*0.0120051238+G81*0.0024010248</f>
        <v/>
      </c>
      <c r="AH81" s="7">
        <f>I81*0.0120051238+H81*0.0024010248</f>
        <v/>
      </c>
      <c r="AI81" s="7">
        <f>J81*0.0120051238+I81*0.0024010248</f>
        <v/>
      </c>
      <c r="AJ81" s="7">
        <f>K81*0.0120051238+J81*0.0024010248</f>
        <v/>
      </c>
      <c r="AK81" s="7">
        <f>L81*0.0120051238+K81*0.0024010248</f>
        <v/>
      </c>
      <c r="AL81" s="7">
        <f>M81*0.0120051238+L81*0.0024010248</f>
        <v/>
      </c>
      <c r="AM81" s="7">
        <f>N81*0.0120051238+M81*0.0024010248</f>
        <v/>
      </c>
      <c r="AN81" s="7">
        <f>O81*0.0120051238+N81*0.0024010248</f>
        <v/>
      </c>
      <c r="AO81" s="7">
        <f>P81*0.0120051238+O81*0.0024010248</f>
        <v/>
      </c>
      <c r="AP81" s="7">
        <f>Q81*0.0120051238+P81*0.0024010248</f>
        <v/>
      </c>
      <c r="AQ81" s="7">
        <f>R81*0.0120051238+Q81*0.0024010248</f>
        <v/>
      </c>
      <c r="AR81" s="7">
        <f>S81*0.0120051238+R81*0.0024010248</f>
        <v/>
      </c>
      <c r="AS81" s="7">
        <f>T81*0.0120051238+S81*0.0024010248</f>
        <v/>
      </c>
      <c r="AT81" s="7">
        <f>U81*0.0120051238+T81*0.0024010248</f>
        <v/>
      </c>
      <c r="AU81" s="7">
        <f>V81*0.0120051238+U81*0.0024010248</f>
        <v/>
      </c>
      <c r="AV81" s="7">
        <f>W81*0.0120051238+V81*0.0024010248</f>
        <v/>
      </c>
      <c r="AW81" s="7">
        <f>X81*0.0120051238+W81*0.0024010248</f>
        <v/>
      </c>
      <c r="AX81" s="7">
        <f>Y81*0.0120051238+X81*0.0024010248</f>
        <v/>
      </c>
      <c r="AY81" s="7">
        <f>Z81*0.0120051238+Y81*0.0024010248</f>
        <v/>
      </c>
      <c r="AZ81" s="7">
        <f>AA81*0.0120051238+Z81*0.0024010248</f>
        <v/>
      </c>
      <c r="BA81" s="7">
        <f>D81*0.0120051238+AA81*0.0024010248</f>
        <v/>
      </c>
      <c r="BB81" s="7">
        <f>SUM(AD81:BA81)</f>
        <v/>
      </c>
    </row>
    <row r="82">
      <c r="A82" t="inlineStr">
        <is>
          <t>AMD-M2</t>
        </is>
      </c>
      <c r="B82" t="inlineStr">
        <is>
          <t>Forward Regular OSC</t>
        </is>
      </c>
      <c r="C82" s="5" t="n">
        <v>46095</v>
      </c>
      <c r="D82" s="6" t="n">
        <v>259</v>
      </c>
      <c r="E82" s="6" t="n">
        <v>174</v>
      </c>
      <c r="F82" s="6" t="n">
        <v>152</v>
      </c>
      <c r="G82" s="6" t="n">
        <v>273</v>
      </c>
      <c r="H82" s="6" t="n">
        <v>201</v>
      </c>
      <c r="I82" s="6" t="n">
        <v>337</v>
      </c>
      <c r="J82" s="6" t="n">
        <v>182</v>
      </c>
      <c r="K82" s="6" t="n">
        <v>32</v>
      </c>
      <c r="L82" s="6" t="n">
        <v>327</v>
      </c>
      <c r="M82" s="6" t="n">
        <v>235</v>
      </c>
      <c r="N82" s="6" t="n">
        <v>316</v>
      </c>
      <c r="O82" s="6" t="n">
        <v>305</v>
      </c>
      <c r="P82" s="6" t="n">
        <v>122</v>
      </c>
      <c r="Q82" s="6" t="n">
        <v>420</v>
      </c>
      <c r="R82" s="6" t="n">
        <v>208</v>
      </c>
      <c r="S82" s="6" t="n">
        <v>8</v>
      </c>
      <c r="T82" s="6" t="n">
        <v>0</v>
      </c>
      <c r="U82" s="6" t="n">
        <v>0</v>
      </c>
      <c r="V82" s="6" t="n">
        <v>0</v>
      </c>
      <c r="W82" s="6" t="n">
        <v>46</v>
      </c>
      <c r="X82" s="6" t="n">
        <v>129</v>
      </c>
      <c r="Y82" s="6" t="n">
        <v>82</v>
      </c>
      <c r="Z82" s="6" t="n">
        <v>46</v>
      </c>
      <c r="AA82" s="6" t="n">
        <v>357</v>
      </c>
      <c r="AB82" s="6">
        <f>SUM(D82:AA82)</f>
        <v/>
      </c>
      <c r="AC82" s="3" t="inlineStr"/>
      <c r="AD82" s="7">
        <f>E82*0.0120051238+D82*0.0024010248</f>
        <v/>
      </c>
      <c r="AE82" s="7">
        <f>F82*0.0120051238+E82*0.0024010248</f>
        <v/>
      </c>
      <c r="AF82" s="7">
        <f>G82*0.0120051238+F82*0.0024010248</f>
        <v/>
      </c>
      <c r="AG82" s="7">
        <f>H82*0.0120051238+G82*0.0024010248</f>
        <v/>
      </c>
      <c r="AH82" s="7">
        <f>I82*0.0120051238+H82*0.0024010248</f>
        <v/>
      </c>
      <c r="AI82" s="7">
        <f>J82*0.0120051238+I82*0.0024010248</f>
        <v/>
      </c>
      <c r="AJ82" s="7">
        <f>K82*0.0120051238+J82*0.0024010248</f>
        <v/>
      </c>
      <c r="AK82" s="7">
        <f>L82*0.0120051238+K82*0.0024010248</f>
        <v/>
      </c>
      <c r="AL82" s="7">
        <f>M82*0.0120051238+L82*0.0024010248</f>
        <v/>
      </c>
      <c r="AM82" s="7">
        <f>N82*0.0120051238+M82*0.0024010248</f>
        <v/>
      </c>
      <c r="AN82" s="7">
        <f>O82*0.0120051238+N82*0.0024010248</f>
        <v/>
      </c>
      <c r="AO82" s="7">
        <f>P82*0.0120051238+O82*0.0024010248</f>
        <v/>
      </c>
      <c r="AP82" s="7">
        <f>Q82*0.0120051238+P82*0.0024010248</f>
        <v/>
      </c>
      <c r="AQ82" s="7">
        <f>R82*0.0120051238+Q82*0.0024010248</f>
        <v/>
      </c>
      <c r="AR82" s="7">
        <f>S82*0.0120051238+R82*0.0024010248</f>
        <v/>
      </c>
      <c r="AS82" s="7">
        <f>T82*0.0120051238+S82*0.0024010248</f>
        <v/>
      </c>
      <c r="AT82" s="7">
        <f>U82*0.0120051238+T82*0.0024010248</f>
        <v/>
      </c>
      <c r="AU82" s="7">
        <f>V82*0.0120051238+U82*0.0024010248</f>
        <v/>
      </c>
      <c r="AV82" s="7">
        <f>W82*0.0120051238+V82*0.0024010248</f>
        <v/>
      </c>
      <c r="AW82" s="7">
        <f>X82*0.0120051238+W82*0.0024010248</f>
        <v/>
      </c>
      <c r="AX82" s="7">
        <f>Y82*0.0120051238+X82*0.0024010248</f>
        <v/>
      </c>
      <c r="AY82" s="7">
        <f>Z82*0.0120051238+Y82*0.0024010248</f>
        <v/>
      </c>
      <c r="AZ82" s="7">
        <f>AA82*0.0120051238+Z82*0.0024010248</f>
        <v/>
      </c>
      <c r="BA82" s="7">
        <f>D82*0.0120051238+AA82*0.0024010248</f>
        <v/>
      </c>
      <c r="BB82" s="7">
        <f>SUM(AD82:BA82)</f>
        <v/>
      </c>
    </row>
    <row r="83">
      <c r="A83" t="inlineStr">
        <is>
          <t>AMD-M2</t>
        </is>
      </c>
      <c r="B83" t="inlineStr">
        <is>
          <t>Forward Regular OSC</t>
        </is>
      </c>
      <c r="C83" s="5" t="n">
        <v>46096</v>
      </c>
      <c r="D83" s="6" t="n">
        <v>268</v>
      </c>
      <c r="E83" s="6" t="n">
        <v>87</v>
      </c>
      <c r="F83" s="6" t="n">
        <v>231</v>
      </c>
      <c r="G83" s="6" t="n">
        <v>330</v>
      </c>
      <c r="H83" s="6" t="n">
        <v>169</v>
      </c>
      <c r="I83" s="6" t="n">
        <v>317</v>
      </c>
      <c r="J83" s="6" t="n">
        <v>295</v>
      </c>
      <c r="K83" s="6" t="n">
        <v>2</v>
      </c>
      <c r="L83" s="6" t="n">
        <v>318</v>
      </c>
      <c r="M83" s="6" t="n">
        <v>251</v>
      </c>
      <c r="N83" s="6" t="n">
        <v>261</v>
      </c>
      <c r="O83" s="6" t="n">
        <v>260</v>
      </c>
      <c r="P83" s="6" t="n">
        <v>176</v>
      </c>
      <c r="Q83" s="6" t="n">
        <v>335</v>
      </c>
      <c r="R83" s="6" t="n">
        <v>9</v>
      </c>
      <c r="S83" s="6" t="n">
        <v>0</v>
      </c>
      <c r="T83" s="6" t="n">
        <v>0</v>
      </c>
      <c r="U83" s="6" t="n">
        <v>0</v>
      </c>
      <c r="V83" s="6" t="n">
        <v>0</v>
      </c>
      <c r="W83" s="6" t="n">
        <v>0</v>
      </c>
      <c r="X83" s="6" t="n">
        <v>0</v>
      </c>
      <c r="Y83" s="6" t="n">
        <v>0</v>
      </c>
      <c r="Z83" s="6" t="n">
        <v>0</v>
      </c>
      <c r="AA83" s="6" t="n">
        <v>279</v>
      </c>
      <c r="AB83" s="6">
        <f>SUM(D83:AA83)</f>
        <v/>
      </c>
      <c r="AC83" s="3" t="inlineStr"/>
      <c r="AD83" s="7">
        <f>E83*0.0120051238+D83*0.0024010248</f>
        <v/>
      </c>
      <c r="AE83" s="7">
        <f>F83*0.0120051238+E83*0.0024010248</f>
        <v/>
      </c>
      <c r="AF83" s="7">
        <f>G83*0.0120051238+F83*0.0024010248</f>
        <v/>
      </c>
      <c r="AG83" s="7">
        <f>H83*0.0120051238+G83*0.0024010248</f>
        <v/>
      </c>
      <c r="AH83" s="7">
        <f>I83*0.0120051238+H83*0.0024010248</f>
        <v/>
      </c>
      <c r="AI83" s="7">
        <f>J83*0.0120051238+I83*0.0024010248</f>
        <v/>
      </c>
      <c r="AJ83" s="7">
        <f>K83*0.0120051238+J83*0.0024010248</f>
        <v/>
      </c>
      <c r="AK83" s="7">
        <f>L83*0.0120051238+K83*0.0024010248</f>
        <v/>
      </c>
      <c r="AL83" s="7">
        <f>M83*0.0120051238+L83*0.0024010248</f>
        <v/>
      </c>
      <c r="AM83" s="7">
        <f>N83*0.0120051238+M83*0.0024010248</f>
        <v/>
      </c>
      <c r="AN83" s="7">
        <f>O83*0.0120051238+N83*0.0024010248</f>
        <v/>
      </c>
      <c r="AO83" s="7">
        <f>P83*0.0120051238+O83*0.0024010248</f>
        <v/>
      </c>
      <c r="AP83" s="7">
        <f>Q83*0.0120051238+P83*0.0024010248</f>
        <v/>
      </c>
      <c r="AQ83" s="7">
        <f>R83*0.0120051238+Q83*0.0024010248</f>
        <v/>
      </c>
      <c r="AR83" s="7">
        <f>S83*0.0120051238+R83*0.0024010248</f>
        <v/>
      </c>
      <c r="AS83" s="7">
        <f>T83*0.0120051238+S83*0.0024010248</f>
        <v/>
      </c>
      <c r="AT83" s="7">
        <f>U83*0.0120051238+T83*0.0024010248</f>
        <v/>
      </c>
      <c r="AU83" s="7">
        <f>V83*0.0120051238+U83*0.0024010248</f>
        <v/>
      </c>
      <c r="AV83" s="7">
        <f>W83*0.0120051238+V83*0.0024010248</f>
        <v/>
      </c>
      <c r="AW83" s="7">
        <f>X83*0.0120051238+W83*0.0024010248</f>
        <v/>
      </c>
      <c r="AX83" s="7">
        <f>Y83*0.0120051238+X83*0.0024010248</f>
        <v/>
      </c>
      <c r="AY83" s="7">
        <f>Z83*0.0120051238+Y83*0.0024010248</f>
        <v/>
      </c>
      <c r="AZ83" s="7">
        <f>AA83*0.0120051238+Z83*0.0024010248</f>
        <v/>
      </c>
      <c r="BA83" s="7">
        <f>D83*0.0120051238+AA83*0.0024010248</f>
        <v/>
      </c>
      <c r="BB83" s="7">
        <f>SUM(AD83:BA83)</f>
        <v/>
      </c>
    </row>
    <row r="84">
      <c r="A84" t="inlineStr">
        <is>
          <t>AMD-M2</t>
        </is>
      </c>
      <c r="B84" t="inlineStr">
        <is>
          <t>Forward Regular OSC</t>
        </is>
      </c>
      <c r="C84" s="5" t="n">
        <v>46097</v>
      </c>
      <c r="D84" s="6" t="n">
        <v>228</v>
      </c>
      <c r="E84" s="6" t="n">
        <v>122</v>
      </c>
      <c r="F84" s="6" t="n">
        <v>227</v>
      </c>
      <c r="G84" s="6" t="n">
        <v>249</v>
      </c>
      <c r="H84" s="6" t="n">
        <v>166</v>
      </c>
      <c r="I84" s="6" t="n">
        <v>236</v>
      </c>
      <c r="J84" s="6" t="n">
        <v>101</v>
      </c>
      <c r="K84" s="6" t="n">
        <v>0</v>
      </c>
      <c r="L84" s="6" t="n">
        <v>273</v>
      </c>
      <c r="M84" s="6" t="n">
        <v>222</v>
      </c>
      <c r="N84" s="6" t="n">
        <v>310</v>
      </c>
      <c r="O84" s="6" t="n">
        <v>263</v>
      </c>
      <c r="P84" s="6" t="n">
        <v>148</v>
      </c>
      <c r="Q84" s="6" t="n">
        <v>250</v>
      </c>
      <c r="R84" s="6" t="n">
        <v>107</v>
      </c>
      <c r="S84" s="6" t="n">
        <v>1</v>
      </c>
      <c r="T84" s="6" t="n">
        <v>0</v>
      </c>
      <c r="U84" s="6" t="n">
        <v>0</v>
      </c>
      <c r="V84" s="6" t="n">
        <v>0</v>
      </c>
      <c r="W84" s="6" t="n">
        <v>0</v>
      </c>
      <c r="X84" s="6" t="n">
        <v>0</v>
      </c>
      <c r="Y84" s="6" t="n">
        <v>0</v>
      </c>
      <c r="Z84" s="6" t="n">
        <v>0</v>
      </c>
      <c r="AA84" s="6" t="n">
        <v>0</v>
      </c>
      <c r="AB84" s="6">
        <f>SUM(D84:AA84)</f>
        <v/>
      </c>
      <c r="AC84" s="3" t="inlineStr"/>
      <c r="AD84" s="7">
        <f>E84*0.0120051238+D84*0.0024010248</f>
        <v/>
      </c>
      <c r="AE84" s="7">
        <f>F84*0.0120051238+E84*0.0024010248</f>
        <v/>
      </c>
      <c r="AF84" s="7">
        <f>G84*0.0120051238+F84*0.0024010248</f>
        <v/>
      </c>
      <c r="AG84" s="7">
        <f>H84*0.0120051238+G84*0.0024010248</f>
        <v/>
      </c>
      <c r="AH84" s="7">
        <f>I84*0.0120051238+H84*0.0024010248</f>
        <v/>
      </c>
      <c r="AI84" s="7">
        <f>J84*0.0120051238+I84*0.0024010248</f>
        <v/>
      </c>
      <c r="AJ84" s="7">
        <f>K84*0.0120051238+J84*0.0024010248</f>
        <v/>
      </c>
      <c r="AK84" s="7">
        <f>L84*0.0120051238+K84*0.0024010248</f>
        <v/>
      </c>
      <c r="AL84" s="7">
        <f>M84*0.0120051238+L84*0.0024010248</f>
        <v/>
      </c>
      <c r="AM84" s="7">
        <f>N84*0.0120051238+M84*0.0024010248</f>
        <v/>
      </c>
      <c r="AN84" s="7">
        <f>O84*0.0120051238+N84*0.0024010248</f>
        <v/>
      </c>
      <c r="AO84" s="7">
        <f>P84*0.0120051238+O84*0.0024010248</f>
        <v/>
      </c>
      <c r="AP84" s="7">
        <f>Q84*0.0120051238+P84*0.0024010248</f>
        <v/>
      </c>
      <c r="AQ84" s="7">
        <f>R84*0.0120051238+Q84*0.0024010248</f>
        <v/>
      </c>
      <c r="AR84" s="7">
        <f>S84*0.0120051238+R84*0.0024010248</f>
        <v/>
      </c>
      <c r="AS84" s="7">
        <f>T84*0.0120051238+S84*0.0024010248</f>
        <v/>
      </c>
      <c r="AT84" s="7">
        <f>U84*0.0120051238+T84*0.0024010248</f>
        <v/>
      </c>
      <c r="AU84" s="7">
        <f>V84*0.0120051238+U84*0.0024010248</f>
        <v/>
      </c>
      <c r="AV84" s="7">
        <f>W84*0.0120051238+V84*0.0024010248</f>
        <v/>
      </c>
      <c r="AW84" s="7">
        <f>X84*0.0120051238+W84*0.0024010248</f>
        <v/>
      </c>
      <c r="AX84" s="7">
        <f>Y84*0.0120051238+X84*0.0024010248</f>
        <v/>
      </c>
      <c r="AY84" s="7">
        <f>Z84*0.0120051238+Y84*0.0024010248</f>
        <v/>
      </c>
      <c r="AZ84" s="7">
        <f>AA84*0.0120051238+Z84*0.0024010248</f>
        <v/>
      </c>
      <c r="BA84" s="7">
        <f>D84*0.0120051238+AA84*0.0024010248</f>
        <v/>
      </c>
      <c r="BB84" s="7">
        <f>SUM(AD84:BA84)</f>
        <v/>
      </c>
    </row>
    <row r="85">
      <c r="A85" t="inlineStr">
        <is>
          <t>AMD-MU-01</t>
        </is>
      </c>
      <c r="B85" t="inlineStr">
        <is>
          <t>Forward Regular OSC</t>
        </is>
      </c>
      <c r="C85" s="5" t="n">
        <v>46091</v>
      </c>
      <c r="D85" s="6" t="n">
        <v>0</v>
      </c>
      <c r="E85" s="6" t="n">
        <v>0</v>
      </c>
      <c r="F85" s="6" t="n">
        <v>0</v>
      </c>
      <c r="G85" s="6" t="n">
        <v>0</v>
      </c>
      <c r="H85" s="6" t="n">
        <v>0</v>
      </c>
      <c r="I85" s="6" t="n">
        <v>0</v>
      </c>
      <c r="J85" s="6" t="n">
        <v>0</v>
      </c>
      <c r="K85" s="6" t="n">
        <v>0</v>
      </c>
      <c r="L85" s="6" t="n">
        <v>0</v>
      </c>
      <c r="M85" s="6" t="n">
        <v>0</v>
      </c>
      <c r="N85" s="6" t="n">
        <v>0</v>
      </c>
      <c r="O85" s="6" t="n">
        <v>0</v>
      </c>
      <c r="P85" s="6" t="n">
        <v>0</v>
      </c>
      <c r="Q85" s="6" t="n">
        <v>0</v>
      </c>
      <c r="R85" s="6" t="n">
        <v>0</v>
      </c>
      <c r="S85" s="6" t="n">
        <v>0</v>
      </c>
      <c r="T85" s="6" t="n">
        <v>0</v>
      </c>
      <c r="U85" s="6" t="n">
        <v>0</v>
      </c>
      <c r="V85" s="6" t="n">
        <v>0</v>
      </c>
      <c r="W85" s="6" t="n">
        <v>0</v>
      </c>
      <c r="X85" s="6" t="n">
        <v>0</v>
      </c>
      <c r="Y85" s="6" t="n">
        <v>0</v>
      </c>
      <c r="Z85" s="6" t="n">
        <v>0</v>
      </c>
      <c r="AA85" s="6" t="n">
        <v>0</v>
      </c>
      <c r="AB85" s="6">
        <f>SUM(D85:AA85)</f>
        <v/>
      </c>
      <c r="AC85" s="3" t="inlineStr"/>
      <c r="AD85" s="7">
        <f>E85*0.0120051238+D85*0.0024010248</f>
        <v/>
      </c>
      <c r="AE85" s="7">
        <f>F85*0.0120051238+E85*0.0024010248</f>
        <v/>
      </c>
      <c r="AF85" s="7">
        <f>G85*0.0120051238+F85*0.0024010248</f>
        <v/>
      </c>
      <c r="AG85" s="7">
        <f>H85*0.0120051238+G85*0.0024010248</f>
        <v/>
      </c>
      <c r="AH85" s="7">
        <f>I85*0.0120051238+H85*0.0024010248</f>
        <v/>
      </c>
      <c r="AI85" s="7">
        <f>J85*0.0120051238+I85*0.0024010248</f>
        <v/>
      </c>
      <c r="AJ85" s="7">
        <f>K85*0.0120051238+J85*0.0024010248</f>
        <v/>
      </c>
      <c r="AK85" s="7">
        <f>L85*0.0120051238+K85*0.0024010248</f>
        <v/>
      </c>
      <c r="AL85" s="7">
        <f>M85*0.0120051238+L85*0.0024010248</f>
        <v/>
      </c>
      <c r="AM85" s="7">
        <f>N85*0.0120051238+M85*0.0024010248</f>
        <v/>
      </c>
      <c r="AN85" s="7">
        <f>O85*0.0120051238+N85*0.0024010248</f>
        <v/>
      </c>
      <c r="AO85" s="7">
        <f>P85*0.0120051238+O85*0.0024010248</f>
        <v/>
      </c>
      <c r="AP85" s="7">
        <f>Q85*0.0120051238+P85*0.0024010248</f>
        <v/>
      </c>
      <c r="AQ85" s="7">
        <f>R85*0.0120051238+Q85*0.0024010248</f>
        <v/>
      </c>
      <c r="AR85" s="7">
        <f>S85*0.0120051238+R85*0.0024010248</f>
        <v/>
      </c>
      <c r="AS85" s="7">
        <f>T85*0.0120051238+S85*0.0024010248</f>
        <v/>
      </c>
      <c r="AT85" s="7">
        <f>U85*0.0120051238+T85*0.0024010248</f>
        <v/>
      </c>
      <c r="AU85" s="7">
        <f>V85*0.0120051238+U85*0.0024010248</f>
        <v/>
      </c>
      <c r="AV85" s="7">
        <f>W85*0.0120051238+V85*0.0024010248</f>
        <v/>
      </c>
      <c r="AW85" s="7">
        <f>X85*0.0120051238+W85*0.0024010248</f>
        <v/>
      </c>
      <c r="AX85" s="7">
        <f>Y85*0.0120051238+X85*0.0024010248</f>
        <v/>
      </c>
      <c r="AY85" s="7">
        <f>Z85*0.0120051238+Y85*0.0024010248</f>
        <v/>
      </c>
      <c r="AZ85" s="7">
        <f>AA85*0.0120051238+Z85*0.0024010248</f>
        <v/>
      </c>
      <c r="BA85" s="7">
        <f>D85*0.0120051238+AA85*0.0024010248</f>
        <v/>
      </c>
      <c r="BB85" s="7">
        <f>SUM(AD85:BA85)</f>
        <v/>
      </c>
    </row>
    <row r="86">
      <c r="A86" t="inlineStr">
        <is>
          <t>AMD-RTS-RCLS-1302-SSC</t>
        </is>
      </c>
      <c r="B86" t="inlineStr">
        <is>
          <t>Rev OSC</t>
        </is>
      </c>
      <c r="C86" s="5" t="n">
        <v>46089</v>
      </c>
      <c r="D86" s="6" t="n">
        <v>0</v>
      </c>
      <c r="E86" s="6" t="n">
        <v>0</v>
      </c>
      <c r="F86" s="6" t="n">
        <v>1</v>
      </c>
      <c r="G86" s="6" t="n">
        <v>1</v>
      </c>
      <c r="H86" s="6" t="n">
        <v>1</v>
      </c>
      <c r="I86" s="6" t="n">
        <v>1</v>
      </c>
      <c r="J86" s="6" t="n">
        <v>2</v>
      </c>
      <c r="K86" s="6" t="n">
        <v>0</v>
      </c>
      <c r="L86" s="6" t="n">
        <v>0</v>
      </c>
      <c r="M86" s="6" t="n">
        <v>0</v>
      </c>
      <c r="N86" s="6" t="n">
        <v>0</v>
      </c>
      <c r="O86" s="6" t="n">
        <v>0</v>
      </c>
      <c r="P86" s="6" t="n">
        <v>0</v>
      </c>
      <c r="Q86" s="6" t="n">
        <v>0</v>
      </c>
      <c r="R86" s="6" t="n">
        <v>0</v>
      </c>
      <c r="S86" s="6" t="n">
        <v>0</v>
      </c>
      <c r="T86" s="6" t="n">
        <v>1</v>
      </c>
      <c r="U86" s="6" t="n">
        <v>1</v>
      </c>
      <c r="V86" s="6" t="n">
        <v>1</v>
      </c>
      <c r="W86" s="6" t="n">
        <v>0</v>
      </c>
      <c r="X86" s="6" t="n">
        <v>0</v>
      </c>
      <c r="Y86" s="6" t="n">
        <v>0</v>
      </c>
      <c r="Z86" s="6" t="n">
        <v>0</v>
      </c>
      <c r="AA86" s="6" t="n">
        <v>0</v>
      </c>
      <c r="AB86" s="6">
        <f>SUM(D86:AA86)</f>
        <v/>
      </c>
      <c r="AC86" s="3" t="inlineStr"/>
      <c r="AD86" s="7">
        <f>E86*0.0120051238+D86*0.0024010248</f>
        <v/>
      </c>
      <c r="AE86" s="7">
        <f>F86*0.0120051238+E86*0.0024010248</f>
        <v/>
      </c>
      <c r="AF86" s="7">
        <f>G86*0.0120051238+F86*0.0024010248</f>
        <v/>
      </c>
      <c r="AG86" s="7">
        <f>H86*0.0120051238+G86*0.0024010248</f>
        <v/>
      </c>
      <c r="AH86" s="7">
        <f>I86*0.0120051238+H86*0.0024010248</f>
        <v/>
      </c>
      <c r="AI86" s="7">
        <f>J86*0.0120051238+I86*0.0024010248</f>
        <v/>
      </c>
      <c r="AJ86" s="7">
        <f>K86*0.0120051238+J86*0.0024010248</f>
        <v/>
      </c>
      <c r="AK86" s="7">
        <f>L86*0.0120051238+K86*0.0024010248</f>
        <v/>
      </c>
      <c r="AL86" s="7">
        <f>M86*0.0120051238+L86*0.0024010248</f>
        <v/>
      </c>
      <c r="AM86" s="7">
        <f>N86*0.0120051238+M86*0.0024010248</f>
        <v/>
      </c>
      <c r="AN86" s="7">
        <f>O86*0.0120051238+N86*0.0024010248</f>
        <v/>
      </c>
      <c r="AO86" s="7">
        <f>P86*0.0120051238+O86*0.0024010248</f>
        <v/>
      </c>
      <c r="AP86" s="7">
        <f>Q86*0.0120051238+P86*0.0024010248</f>
        <v/>
      </c>
      <c r="AQ86" s="7">
        <f>R86*0.0120051238+Q86*0.0024010248</f>
        <v/>
      </c>
      <c r="AR86" s="7">
        <f>S86*0.0120051238+R86*0.0024010248</f>
        <v/>
      </c>
      <c r="AS86" s="7">
        <f>T86*0.0120051238+S86*0.0024010248</f>
        <v/>
      </c>
      <c r="AT86" s="7">
        <f>U86*0.0120051238+T86*0.0024010248</f>
        <v/>
      </c>
      <c r="AU86" s="7">
        <f>V86*0.0120051238+U86*0.0024010248</f>
        <v/>
      </c>
      <c r="AV86" s="7">
        <f>W86*0.0120051238+V86*0.0024010248</f>
        <v/>
      </c>
      <c r="AW86" s="7">
        <f>X86*0.0120051238+W86*0.0024010248</f>
        <v/>
      </c>
      <c r="AX86" s="7">
        <f>Y86*0.0120051238+X86*0.0024010248</f>
        <v/>
      </c>
      <c r="AY86" s="7">
        <f>Z86*0.0120051238+Y86*0.0024010248</f>
        <v/>
      </c>
      <c r="AZ86" s="7">
        <f>AA86*0.0120051238+Z86*0.0024010248</f>
        <v/>
      </c>
      <c r="BA86" s="7">
        <f>D86*0.0120051238+AA86*0.0024010248</f>
        <v/>
      </c>
      <c r="BB86" s="7">
        <f>SUM(AD86:BA86)</f>
        <v/>
      </c>
    </row>
    <row r="87">
      <c r="A87" t="inlineStr">
        <is>
          <t>AMD-RTS-RCLS-1302-SSC</t>
        </is>
      </c>
      <c r="B87" t="inlineStr">
        <is>
          <t>Rev OSC</t>
        </is>
      </c>
      <c r="C87" s="5" t="n">
        <v>46090</v>
      </c>
      <c r="D87" s="6" t="n">
        <v>0</v>
      </c>
      <c r="E87" s="6" t="n">
        <v>0</v>
      </c>
      <c r="F87" s="6" t="n">
        <v>0</v>
      </c>
      <c r="G87" s="6" t="n">
        <v>0</v>
      </c>
      <c r="H87" s="6" t="n">
        <v>1</v>
      </c>
      <c r="I87" s="6" t="n">
        <v>0</v>
      </c>
      <c r="J87" s="6" t="n">
        <v>0</v>
      </c>
      <c r="K87" s="6" t="n">
        <v>0</v>
      </c>
      <c r="L87" s="6" t="n">
        <v>0</v>
      </c>
      <c r="M87" s="6" t="n">
        <v>0</v>
      </c>
      <c r="N87" s="6" t="n">
        <v>0</v>
      </c>
      <c r="O87" s="6" t="n">
        <v>0</v>
      </c>
      <c r="P87" s="6" t="n">
        <v>0</v>
      </c>
      <c r="Q87" s="6" t="n">
        <v>0</v>
      </c>
      <c r="R87" s="6" t="n">
        <v>0</v>
      </c>
      <c r="S87" s="6" t="n">
        <v>0</v>
      </c>
      <c r="T87" s="6" t="n">
        <v>0</v>
      </c>
      <c r="U87" s="6" t="n">
        <v>0</v>
      </c>
      <c r="V87" s="6" t="n">
        <v>0</v>
      </c>
      <c r="W87" s="6" t="n">
        <v>0</v>
      </c>
      <c r="X87" s="6" t="n">
        <v>0</v>
      </c>
      <c r="Y87" s="6" t="n">
        <v>1</v>
      </c>
      <c r="Z87" s="6" t="n">
        <v>0</v>
      </c>
      <c r="AA87" s="6" t="n">
        <v>0</v>
      </c>
      <c r="AB87" s="6">
        <f>SUM(D87:AA87)</f>
        <v/>
      </c>
      <c r="AC87" s="3" t="inlineStr"/>
      <c r="AD87" s="7">
        <f>E87*0.0120051238+D87*0.0024010248</f>
        <v/>
      </c>
      <c r="AE87" s="7">
        <f>F87*0.0120051238+E87*0.0024010248</f>
        <v/>
      </c>
      <c r="AF87" s="7">
        <f>G87*0.0120051238+F87*0.0024010248</f>
        <v/>
      </c>
      <c r="AG87" s="7">
        <f>H87*0.0120051238+G87*0.0024010248</f>
        <v/>
      </c>
      <c r="AH87" s="7">
        <f>I87*0.0120051238+H87*0.0024010248</f>
        <v/>
      </c>
      <c r="AI87" s="7">
        <f>J87*0.0120051238+I87*0.0024010248</f>
        <v/>
      </c>
      <c r="AJ87" s="7">
        <f>K87*0.0120051238+J87*0.0024010248</f>
        <v/>
      </c>
      <c r="AK87" s="7">
        <f>L87*0.0120051238+K87*0.0024010248</f>
        <v/>
      </c>
      <c r="AL87" s="7">
        <f>M87*0.0120051238+L87*0.0024010248</f>
        <v/>
      </c>
      <c r="AM87" s="7">
        <f>N87*0.0120051238+M87*0.0024010248</f>
        <v/>
      </c>
      <c r="AN87" s="7">
        <f>O87*0.0120051238+N87*0.0024010248</f>
        <v/>
      </c>
      <c r="AO87" s="7">
        <f>P87*0.0120051238+O87*0.0024010248</f>
        <v/>
      </c>
      <c r="AP87" s="7">
        <f>Q87*0.0120051238+P87*0.0024010248</f>
        <v/>
      </c>
      <c r="AQ87" s="7">
        <f>R87*0.0120051238+Q87*0.0024010248</f>
        <v/>
      </c>
      <c r="AR87" s="7">
        <f>S87*0.0120051238+R87*0.0024010248</f>
        <v/>
      </c>
      <c r="AS87" s="7">
        <f>T87*0.0120051238+S87*0.0024010248</f>
        <v/>
      </c>
      <c r="AT87" s="7">
        <f>U87*0.0120051238+T87*0.0024010248</f>
        <v/>
      </c>
      <c r="AU87" s="7">
        <f>V87*0.0120051238+U87*0.0024010248</f>
        <v/>
      </c>
      <c r="AV87" s="7">
        <f>W87*0.0120051238+V87*0.0024010248</f>
        <v/>
      </c>
      <c r="AW87" s="7">
        <f>X87*0.0120051238+W87*0.0024010248</f>
        <v/>
      </c>
      <c r="AX87" s="7">
        <f>Y87*0.0120051238+X87*0.0024010248</f>
        <v/>
      </c>
      <c r="AY87" s="7">
        <f>Z87*0.0120051238+Y87*0.0024010248</f>
        <v/>
      </c>
      <c r="AZ87" s="7">
        <f>AA87*0.0120051238+Z87*0.0024010248</f>
        <v/>
      </c>
      <c r="BA87" s="7">
        <f>D87*0.0120051238+AA87*0.0024010248</f>
        <v/>
      </c>
      <c r="BB87" s="7">
        <f>SUM(AD87:BA87)</f>
        <v/>
      </c>
    </row>
    <row r="88">
      <c r="A88" t="inlineStr">
        <is>
          <t>AMD-RTS-RCLS-1302-SSC</t>
        </is>
      </c>
      <c r="B88" t="inlineStr">
        <is>
          <t>Rev OSC</t>
        </is>
      </c>
      <c r="C88" s="5" t="n">
        <v>46092</v>
      </c>
      <c r="D88" s="6" t="n">
        <v>0</v>
      </c>
      <c r="E88" s="6" t="n">
        <v>0</v>
      </c>
      <c r="F88" s="6" t="n">
        <v>1</v>
      </c>
      <c r="G88" s="6" t="n">
        <v>0</v>
      </c>
      <c r="H88" s="6" t="n">
        <v>0</v>
      </c>
      <c r="I88" s="6" t="n">
        <v>0</v>
      </c>
      <c r="J88" s="6" t="n">
        <v>0</v>
      </c>
      <c r="K88" s="6" t="n">
        <v>0</v>
      </c>
      <c r="L88" s="6" t="n">
        <v>0</v>
      </c>
      <c r="M88" s="6" t="n">
        <v>0</v>
      </c>
      <c r="N88" s="6" t="n">
        <v>0</v>
      </c>
      <c r="O88" s="6" t="n">
        <v>1</v>
      </c>
      <c r="P88" s="6" t="n">
        <v>0</v>
      </c>
      <c r="Q88" s="6" t="n">
        <v>0</v>
      </c>
      <c r="R88" s="6" t="n">
        <v>1</v>
      </c>
      <c r="S88" s="6" t="n">
        <v>0</v>
      </c>
      <c r="T88" s="6" t="n">
        <v>0</v>
      </c>
      <c r="U88" s="6" t="n">
        <v>1</v>
      </c>
      <c r="V88" s="6" t="n">
        <v>1</v>
      </c>
      <c r="W88" s="6" t="n">
        <v>1</v>
      </c>
      <c r="X88" s="6" t="n">
        <v>2</v>
      </c>
      <c r="Y88" s="6" t="n">
        <v>1</v>
      </c>
      <c r="Z88" s="6" t="n">
        <v>0</v>
      </c>
      <c r="AA88" s="6" t="n">
        <v>0</v>
      </c>
      <c r="AB88" s="6">
        <f>SUM(D88:AA88)</f>
        <v/>
      </c>
      <c r="AC88" s="3" t="inlineStr"/>
      <c r="AD88" s="7">
        <f>E88*0.0120051238+D88*0.0024010248</f>
        <v/>
      </c>
      <c r="AE88" s="7">
        <f>F88*0.0120051238+E88*0.0024010248</f>
        <v/>
      </c>
      <c r="AF88" s="7">
        <f>G88*0.0120051238+F88*0.0024010248</f>
        <v/>
      </c>
      <c r="AG88" s="7">
        <f>H88*0.0120051238+G88*0.0024010248</f>
        <v/>
      </c>
      <c r="AH88" s="7">
        <f>I88*0.0120051238+H88*0.0024010248</f>
        <v/>
      </c>
      <c r="AI88" s="7">
        <f>J88*0.0120051238+I88*0.0024010248</f>
        <v/>
      </c>
      <c r="AJ88" s="7">
        <f>K88*0.0120051238+J88*0.0024010248</f>
        <v/>
      </c>
      <c r="AK88" s="7">
        <f>L88*0.0120051238+K88*0.0024010248</f>
        <v/>
      </c>
      <c r="AL88" s="7">
        <f>M88*0.0120051238+L88*0.0024010248</f>
        <v/>
      </c>
      <c r="AM88" s="7">
        <f>N88*0.0120051238+M88*0.0024010248</f>
        <v/>
      </c>
      <c r="AN88" s="7">
        <f>O88*0.0120051238+N88*0.0024010248</f>
        <v/>
      </c>
      <c r="AO88" s="7">
        <f>P88*0.0120051238+O88*0.0024010248</f>
        <v/>
      </c>
      <c r="AP88" s="7">
        <f>Q88*0.0120051238+P88*0.0024010248</f>
        <v/>
      </c>
      <c r="AQ88" s="7">
        <f>R88*0.0120051238+Q88*0.0024010248</f>
        <v/>
      </c>
      <c r="AR88" s="7">
        <f>S88*0.0120051238+R88*0.0024010248</f>
        <v/>
      </c>
      <c r="AS88" s="7">
        <f>T88*0.0120051238+S88*0.0024010248</f>
        <v/>
      </c>
      <c r="AT88" s="7">
        <f>U88*0.0120051238+T88*0.0024010248</f>
        <v/>
      </c>
      <c r="AU88" s="7">
        <f>V88*0.0120051238+U88*0.0024010248</f>
        <v/>
      </c>
      <c r="AV88" s="7">
        <f>W88*0.0120051238+V88*0.0024010248</f>
        <v/>
      </c>
      <c r="AW88" s="7">
        <f>X88*0.0120051238+W88*0.0024010248</f>
        <v/>
      </c>
      <c r="AX88" s="7">
        <f>Y88*0.0120051238+X88*0.0024010248</f>
        <v/>
      </c>
      <c r="AY88" s="7">
        <f>Z88*0.0120051238+Y88*0.0024010248</f>
        <v/>
      </c>
      <c r="AZ88" s="7">
        <f>AA88*0.0120051238+Z88*0.0024010248</f>
        <v/>
      </c>
      <c r="BA88" s="7">
        <f>D88*0.0120051238+AA88*0.0024010248</f>
        <v/>
      </c>
      <c r="BB88" s="7">
        <f>SUM(AD88:BA88)</f>
        <v/>
      </c>
    </row>
    <row r="89">
      <c r="A89" t="inlineStr">
        <is>
          <t>AMD-RTS-RCLS-1302-SSC</t>
        </is>
      </c>
      <c r="B89" t="inlineStr">
        <is>
          <t>Rev OSC</t>
        </is>
      </c>
      <c r="C89" s="5" t="n">
        <v>46093</v>
      </c>
      <c r="D89" s="6" t="n">
        <v>1</v>
      </c>
      <c r="E89" s="6" t="n">
        <v>0</v>
      </c>
      <c r="F89" s="6" t="n">
        <v>1</v>
      </c>
      <c r="G89" s="6" t="n">
        <v>1</v>
      </c>
      <c r="H89" s="6" t="n">
        <v>1</v>
      </c>
      <c r="I89" s="6" t="n">
        <v>1</v>
      </c>
      <c r="J89" s="6" t="n">
        <v>3</v>
      </c>
      <c r="K89" s="6" t="n">
        <v>0</v>
      </c>
      <c r="L89" s="6" t="n">
        <v>1</v>
      </c>
      <c r="M89" s="6" t="n">
        <v>1</v>
      </c>
      <c r="N89" s="6" t="n">
        <v>1</v>
      </c>
      <c r="O89" s="6" t="n">
        <v>0</v>
      </c>
      <c r="P89" s="6" t="n">
        <v>0</v>
      </c>
      <c r="Q89" s="6" t="n">
        <v>0</v>
      </c>
      <c r="R89" s="6" t="n">
        <v>2</v>
      </c>
      <c r="S89" s="6" t="n">
        <v>1</v>
      </c>
      <c r="T89" s="6" t="n">
        <v>0</v>
      </c>
      <c r="U89" s="6" t="n">
        <v>0</v>
      </c>
      <c r="V89" s="6" t="n">
        <v>1</v>
      </c>
      <c r="W89" s="6" t="n">
        <v>0</v>
      </c>
      <c r="X89" s="6" t="n">
        <v>1</v>
      </c>
      <c r="Y89" s="6" t="n">
        <v>2</v>
      </c>
      <c r="Z89" s="6" t="n">
        <v>0</v>
      </c>
      <c r="AA89" s="6" t="n">
        <v>0</v>
      </c>
      <c r="AB89" s="6">
        <f>SUM(D89:AA89)</f>
        <v/>
      </c>
      <c r="AC89" s="3" t="inlineStr"/>
      <c r="AD89" s="7">
        <f>E89*0.0120051238+D89*0.0024010248</f>
        <v/>
      </c>
      <c r="AE89" s="7">
        <f>F89*0.0120051238+E89*0.0024010248</f>
        <v/>
      </c>
      <c r="AF89" s="7">
        <f>G89*0.0120051238+F89*0.0024010248</f>
        <v/>
      </c>
      <c r="AG89" s="7">
        <f>H89*0.0120051238+G89*0.0024010248</f>
        <v/>
      </c>
      <c r="AH89" s="7">
        <f>I89*0.0120051238+H89*0.0024010248</f>
        <v/>
      </c>
      <c r="AI89" s="7">
        <f>J89*0.0120051238+I89*0.0024010248</f>
        <v/>
      </c>
      <c r="AJ89" s="7">
        <f>K89*0.0120051238+J89*0.0024010248</f>
        <v/>
      </c>
      <c r="AK89" s="7">
        <f>L89*0.0120051238+K89*0.0024010248</f>
        <v/>
      </c>
      <c r="AL89" s="7">
        <f>M89*0.0120051238+L89*0.0024010248</f>
        <v/>
      </c>
      <c r="AM89" s="7">
        <f>N89*0.0120051238+M89*0.0024010248</f>
        <v/>
      </c>
      <c r="AN89" s="7">
        <f>O89*0.0120051238+N89*0.0024010248</f>
        <v/>
      </c>
      <c r="AO89" s="7">
        <f>P89*0.0120051238+O89*0.0024010248</f>
        <v/>
      </c>
      <c r="AP89" s="7">
        <f>Q89*0.0120051238+P89*0.0024010248</f>
        <v/>
      </c>
      <c r="AQ89" s="7">
        <f>R89*0.0120051238+Q89*0.0024010248</f>
        <v/>
      </c>
      <c r="AR89" s="7">
        <f>S89*0.0120051238+R89*0.0024010248</f>
        <v/>
      </c>
      <c r="AS89" s="7">
        <f>T89*0.0120051238+S89*0.0024010248</f>
        <v/>
      </c>
      <c r="AT89" s="7">
        <f>U89*0.0120051238+T89*0.0024010248</f>
        <v/>
      </c>
      <c r="AU89" s="7">
        <f>V89*0.0120051238+U89*0.0024010248</f>
        <v/>
      </c>
      <c r="AV89" s="7">
        <f>W89*0.0120051238+V89*0.0024010248</f>
        <v/>
      </c>
      <c r="AW89" s="7">
        <f>X89*0.0120051238+W89*0.0024010248</f>
        <v/>
      </c>
      <c r="AX89" s="7">
        <f>Y89*0.0120051238+X89*0.0024010248</f>
        <v/>
      </c>
      <c r="AY89" s="7">
        <f>Z89*0.0120051238+Y89*0.0024010248</f>
        <v/>
      </c>
      <c r="AZ89" s="7">
        <f>AA89*0.0120051238+Z89*0.0024010248</f>
        <v/>
      </c>
      <c r="BA89" s="7">
        <f>D89*0.0120051238+AA89*0.0024010248</f>
        <v/>
      </c>
      <c r="BB89" s="7">
        <f>SUM(AD89:BA89)</f>
        <v/>
      </c>
    </row>
    <row r="90">
      <c r="A90" t="inlineStr">
        <is>
          <t>AMD-RTS-RCLS-1302-SSC</t>
        </is>
      </c>
      <c r="B90" t="inlineStr">
        <is>
          <t>Rev OSC</t>
        </is>
      </c>
      <c r="C90" s="5" t="n">
        <v>46094</v>
      </c>
      <c r="D90" s="6" t="n">
        <v>1</v>
      </c>
      <c r="E90" s="6" t="n">
        <v>1</v>
      </c>
      <c r="F90" s="6" t="n">
        <v>1</v>
      </c>
      <c r="G90" s="6" t="n">
        <v>1</v>
      </c>
      <c r="H90" s="6" t="n">
        <v>1</v>
      </c>
      <c r="I90" s="6" t="n">
        <v>1</v>
      </c>
      <c r="J90" s="6" t="n">
        <v>3</v>
      </c>
      <c r="K90" s="6" t="n">
        <v>0</v>
      </c>
      <c r="L90" s="6" t="n">
        <v>0</v>
      </c>
      <c r="M90" s="6" t="n">
        <v>0</v>
      </c>
      <c r="N90" s="6" t="n">
        <v>0</v>
      </c>
      <c r="O90" s="6" t="n">
        <v>0</v>
      </c>
      <c r="P90" s="6" t="n">
        <v>0</v>
      </c>
      <c r="Q90" s="6" t="n">
        <v>0</v>
      </c>
      <c r="R90" s="6" t="n">
        <v>1</v>
      </c>
      <c r="S90" s="6" t="n">
        <v>1</v>
      </c>
      <c r="T90" s="6" t="n">
        <v>0</v>
      </c>
      <c r="U90" s="6" t="n">
        <v>1</v>
      </c>
      <c r="V90" s="6" t="n">
        <v>1</v>
      </c>
      <c r="W90" s="6" t="n">
        <v>1</v>
      </c>
      <c r="X90" s="6" t="n">
        <v>1</v>
      </c>
      <c r="Y90" s="6" t="n">
        <v>2</v>
      </c>
      <c r="Z90" s="6" t="n">
        <v>0</v>
      </c>
      <c r="AA90" s="6" t="n">
        <v>0</v>
      </c>
      <c r="AB90" s="6">
        <f>SUM(D90:AA90)</f>
        <v/>
      </c>
      <c r="AC90" s="3" t="inlineStr"/>
      <c r="AD90" s="7">
        <f>E90*0.0120051238+D90*0.0024010248</f>
        <v/>
      </c>
      <c r="AE90" s="7">
        <f>F90*0.0120051238+E90*0.0024010248</f>
        <v/>
      </c>
      <c r="AF90" s="7">
        <f>G90*0.0120051238+F90*0.0024010248</f>
        <v/>
      </c>
      <c r="AG90" s="7">
        <f>H90*0.0120051238+G90*0.0024010248</f>
        <v/>
      </c>
      <c r="AH90" s="7">
        <f>I90*0.0120051238+H90*0.0024010248</f>
        <v/>
      </c>
      <c r="AI90" s="7">
        <f>J90*0.0120051238+I90*0.0024010248</f>
        <v/>
      </c>
      <c r="AJ90" s="7">
        <f>K90*0.0120051238+J90*0.0024010248</f>
        <v/>
      </c>
      <c r="AK90" s="7">
        <f>L90*0.0120051238+K90*0.0024010248</f>
        <v/>
      </c>
      <c r="AL90" s="7">
        <f>M90*0.0120051238+L90*0.0024010248</f>
        <v/>
      </c>
      <c r="AM90" s="7">
        <f>N90*0.0120051238+M90*0.0024010248</f>
        <v/>
      </c>
      <c r="AN90" s="7">
        <f>O90*0.0120051238+N90*0.0024010248</f>
        <v/>
      </c>
      <c r="AO90" s="7">
        <f>P90*0.0120051238+O90*0.0024010248</f>
        <v/>
      </c>
      <c r="AP90" s="7">
        <f>Q90*0.0120051238+P90*0.0024010248</f>
        <v/>
      </c>
      <c r="AQ90" s="7">
        <f>R90*0.0120051238+Q90*0.0024010248</f>
        <v/>
      </c>
      <c r="AR90" s="7">
        <f>S90*0.0120051238+R90*0.0024010248</f>
        <v/>
      </c>
      <c r="AS90" s="7">
        <f>T90*0.0120051238+S90*0.0024010248</f>
        <v/>
      </c>
      <c r="AT90" s="7">
        <f>U90*0.0120051238+T90*0.0024010248</f>
        <v/>
      </c>
      <c r="AU90" s="7">
        <f>V90*0.0120051238+U90*0.0024010248</f>
        <v/>
      </c>
      <c r="AV90" s="7">
        <f>W90*0.0120051238+V90*0.0024010248</f>
        <v/>
      </c>
      <c r="AW90" s="7">
        <f>X90*0.0120051238+W90*0.0024010248</f>
        <v/>
      </c>
      <c r="AX90" s="7">
        <f>Y90*0.0120051238+X90*0.0024010248</f>
        <v/>
      </c>
      <c r="AY90" s="7">
        <f>Z90*0.0120051238+Y90*0.0024010248</f>
        <v/>
      </c>
      <c r="AZ90" s="7">
        <f>AA90*0.0120051238+Z90*0.0024010248</f>
        <v/>
      </c>
      <c r="BA90" s="7">
        <f>D90*0.0120051238+AA90*0.0024010248</f>
        <v/>
      </c>
      <c r="BB90" s="7">
        <f>SUM(AD90:BA90)</f>
        <v/>
      </c>
    </row>
    <row r="91">
      <c r="A91" t="inlineStr">
        <is>
          <t>AMD-RTS-RCLS-1302-SSC</t>
        </is>
      </c>
      <c r="B91" t="inlineStr">
        <is>
          <t>Rev OSC</t>
        </is>
      </c>
      <c r="C91" s="5" t="n">
        <v>46095</v>
      </c>
      <c r="D91" s="6" t="n">
        <v>0</v>
      </c>
      <c r="E91" s="6" t="n">
        <v>0</v>
      </c>
      <c r="F91" s="6" t="n">
        <v>0</v>
      </c>
      <c r="G91" s="6" t="n">
        <v>1</v>
      </c>
      <c r="H91" s="6" t="n">
        <v>0</v>
      </c>
      <c r="I91" s="6" t="n">
        <v>1</v>
      </c>
      <c r="J91" s="6" t="n">
        <v>1</v>
      </c>
      <c r="K91" s="6" t="n">
        <v>0</v>
      </c>
      <c r="L91" s="6" t="n">
        <v>0</v>
      </c>
      <c r="M91" s="6" t="n">
        <v>0</v>
      </c>
      <c r="N91" s="6" t="n">
        <v>0</v>
      </c>
      <c r="O91" s="6" t="n">
        <v>0</v>
      </c>
      <c r="P91" s="6" t="n">
        <v>0</v>
      </c>
      <c r="Q91" s="6" t="n">
        <v>0</v>
      </c>
      <c r="R91" s="6" t="n">
        <v>1</v>
      </c>
      <c r="S91" s="6" t="n">
        <v>2</v>
      </c>
      <c r="T91" s="6" t="n">
        <v>1</v>
      </c>
      <c r="U91" s="6" t="n">
        <v>1</v>
      </c>
      <c r="V91" s="6" t="n">
        <v>1</v>
      </c>
      <c r="W91" s="6" t="n">
        <v>2</v>
      </c>
      <c r="X91" s="6" t="n">
        <v>1</v>
      </c>
      <c r="Y91" s="6" t="n">
        <v>1</v>
      </c>
      <c r="Z91" s="6" t="n">
        <v>0</v>
      </c>
      <c r="AA91" s="6" t="n">
        <v>0</v>
      </c>
      <c r="AB91" s="6">
        <f>SUM(D91:AA91)</f>
        <v/>
      </c>
      <c r="AC91" s="3" t="inlineStr"/>
      <c r="AD91" s="7">
        <f>E91*0.0120051238+D91*0.0024010248</f>
        <v/>
      </c>
      <c r="AE91" s="7">
        <f>F91*0.0120051238+E91*0.0024010248</f>
        <v/>
      </c>
      <c r="AF91" s="7">
        <f>G91*0.0120051238+F91*0.0024010248</f>
        <v/>
      </c>
      <c r="AG91" s="7">
        <f>H91*0.0120051238+G91*0.0024010248</f>
        <v/>
      </c>
      <c r="AH91" s="7">
        <f>I91*0.0120051238+H91*0.0024010248</f>
        <v/>
      </c>
      <c r="AI91" s="7">
        <f>J91*0.0120051238+I91*0.0024010248</f>
        <v/>
      </c>
      <c r="AJ91" s="7">
        <f>K91*0.0120051238+J91*0.0024010248</f>
        <v/>
      </c>
      <c r="AK91" s="7">
        <f>L91*0.0120051238+K91*0.0024010248</f>
        <v/>
      </c>
      <c r="AL91" s="7">
        <f>M91*0.0120051238+L91*0.0024010248</f>
        <v/>
      </c>
      <c r="AM91" s="7">
        <f>N91*0.0120051238+M91*0.0024010248</f>
        <v/>
      </c>
      <c r="AN91" s="7">
        <f>O91*0.0120051238+N91*0.0024010248</f>
        <v/>
      </c>
      <c r="AO91" s="7">
        <f>P91*0.0120051238+O91*0.0024010248</f>
        <v/>
      </c>
      <c r="AP91" s="7">
        <f>Q91*0.0120051238+P91*0.0024010248</f>
        <v/>
      </c>
      <c r="AQ91" s="7">
        <f>R91*0.0120051238+Q91*0.0024010248</f>
        <v/>
      </c>
      <c r="AR91" s="7">
        <f>S91*0.0120051238+R91*0.0024010248</f>
        <v/>
      </c>
      <c r="AS91" s="7">
        <f>T91*0.0120051238+S91*0.0024010248</f>
        <v/>
      </c>
      <c r="AT91" s="7">
        <f>U91*0.0120051238+T91*0.0024010248</f>
        <v/>
      </c>
      <c r="AU91" s="7">
        <f>V91*0.0120051238+U91*0.0024010248</f>
        <v/>
      </c>
      <c r="AV91" s="7">
        <f>W91*0.0120051238+V91*0.0024010248</f>
        <v/>
      </c>
      <c r="AW91" s="7">
        <f>X91*0.0120051238+W91*0.0024010248</f>
        <v/>
      </c>
      <c r="AX91" s="7">
        <f>Y91*0.0120051238+X91*0.0024010248</f>
        <v/>
      </c>
      <c r="AY91" s="7">
        <f>Z91*0.0120051238+Y91*0.0024010248</f>
        <v/>
      </c>
      <c r="AZ91" s="7">
        <f>AA91*0.0120051238+Z91*0.0024010248</f>
        <v/>
      </c>
      <c r="BA91" s="7">
        <f>D91*0.0120051238+AA91*0.0024010248</f>
        <v/>
      </c>
      <c r="BB91" s="7">
        <f>SUM(AD91:BA91)</f>
        <v/>
      </c>
    </row>
    <row r="92">
      <c r="A92" t="inlineStr">
        <is>
          <t>AMD-RTS-RCLS-1302-SSC</t>
        </is>
      </c>
      <c r="B92" t="inlineStr">
        <is>
          <t>Rev OSC</t>
        </is>
      </c>
      <c r="C92" s="5" t="n">
        <v>46096</v>
      </c>
      <c r="D92" s="6" t="n">
        <v>0</v>
      </c>
      <c r="E92" s="6" t="n">
        <v>0</v>
      </c>
      <c r="F92" s="6" t="n">
        <v>0</v>
      </c>
      <c r="G92" s="6" t="n">
        <v>1</v>
      </c>
      <c r="H92" s="6" t="n">
        <v>0</v>
      </c>
      <c r="I92" s="6" t="n">
        <v>1</v>
      </c>
      <c r="J92" s="6" t="n">
        <v>0</v>
      </c>
      <c r="K92" s="6" t="n">
        <v>0</v>
      </c>
      <c r="L92" s="6" t="n">
        <v>0</v>
      </c>
      <c r="M92" s="6" t="n">
        <v>0</v>
      </c>
      <c r="N92" s="6" t="n">
        <v>0</v>
      </c>
      <c r="O92" s="6" t="n">
        <v>0</v>
      </c>
      <c r="P92" s="6" t="n">
        <v>0</v>
      </c>
      <c r="Q92" s="6" t="n">
        <v>0</v>
      </c>
      <c r="R92" s="6" t="n">
        <v>0</v>
      </c>
      <c r="S92" s="6" t="n">
        <v>2</v>
      </c>
      <c r="T92" s="6" t="n">
        <v>1</v>
      </c>
      <c r="U92" s="6" t="n">
        <v>1</v>
      </c>
      <c r="V92" s="6" t="n">
        <v>0</v>
      </c>
      <c r="W92" s="6" t="n">
        <v>1</v>
      </c>
      <c r="X92" s="6" t="n">
        <v>1</v>
      </c>
      <c r="Y92" s="6" t="n">
        <v>2</v>
      </c>
      <c r="Z92" s="6" t="n">
        <v>0</v>
      </c>
      <c r="AA92" s="6" t="n">
        <v>0</v>
      </c>
      <c r="AB92" s="6">
        <f>SUM(D92:AA92)</f>
        <v/>
      </c>
      <c r="AC92" s="3" t="inlineStr"/>
      <c r="AD92" s="7">
        <f>E92*0.0120051238+D92*0.0024010248</f>
        <v/>
      </c>
      <c r="AE92" s="7">
        <f>F92*0.0120051238+E92*0.0024010248</f>
        <v/>
      </c>
      <c r="AF92" s="7">
        <f>G92*0.0120051238+F92*0.0024010248</f>
        <v/>
      </c>
      <c r="AG92" s="7">
        <f>H92*0.0120051238+G92*0.0024010248</f>
        <v/>
      </c>
      <c r="AH92" s="7">
        <f>I92*0.0120051238+H92*0.0024010248</f>
        <v/>
      </c>
      <c r="AI92" s="7">
        <f>J92*0.0120051238+I92*0.0024010248</f>
        <v/>
      </c>
      <c r="AJ92" s="7">
        <f>K92*0.0120051238+J92*0.0024010248</f>
        <v/>
      </c>
      <c r="AK92" s="7">
        <f>L92*0.0120051238+K92*0.0024010248</f>
        <v/>
      </c>
      <c r="AL92" s="7">
        <f>M92*0.0120051238+L92*0.0024010248</f>
        <v/>
      </c>
      <c r="AM92" s="7">
        <f>N92*0.0120051238+M92*0.0024010248</f>
        <v/>
      </c>
      <c r="AN92" s="7">
        <f>O92*0.0120051238+N92*0.0024010248</f>
        <v/>
      </c>
      <c r="AO92" s="7">
        <f>P92*0.0120051238+O92*0.0024010248</f>
        <v/>
      </c>
      <c r="AP92" s="7">
        <f>Q92*0.0120051238+P92*0.0024010248</f>
        <v/>
      </c>
      <c r="AQ92" s="7">
        <f>R92*0.0120051238+Q92*0.0024010248</f>
        <v/>
      </c>
      <c r="AR92" s="7">
        <f>S92*0.0120051238+R92*0.0024010248</f>
        <v/>
      </c>
      <c r="AS92" s="7">
        <f>T92*0.0120051238+S92*0.0024010248</f>
        <v/>
      </c>
      <c r="AT92" s="7">
        <f>U92*0.0120051238+T92*0.0024010248</f>
        <v/>
      </c>
      <c r="AU92" s="7">
        <f>V92*0.0120051238+U92*0.0024010248</f>
        <v/>
      </c>
      <c r="AV92" s="7">
        <f>W92*0.0120051238+V92*0.0024010248</f>
        <v/>
      </c>
      <c r="AW92" s="7">
        <f>X92*0.0120051238+W92*0.0024010248</f>
        <v/>
      </c>
      <c r="AX92" s="7">
        <f>Y92*0.0120051238+X92*0.0024010248</f>
        <v/>
      </c>
      <c r="AY92" s="7">
        <f>Z92*0.0120051238+Y92*0.0024010248</f>
        <v/>
      </c>
      <c r="AZ92" s="7">
        <f>AA92*0.0120051238+Z92*0.0024010248</f>
        <v/>
      </c>
      <c r="BA92" s="7">
        <f>D92*0.0120051238+AA92*0.0024010248</f>
        <v/>
      </c>
      <c r="BB92" s="7">
        <f>SUM(AD92:BA92)</f>
        <v/>
      </c>
    </row>
    <row r="93">
      <c r="A93" t="inlineStr">
        <is>
          <t>AMD-RTS-RCLS-1302-SSC</t>
        </is>
      </c>
      <c r="B93" t="inlineStr">
        <is>
          <t>Rev OSC</t>
        </is>
      </c>
      <c r="C93" s="5" t="n">
        <v>46097</v>
      </c>
      <c r="D93" s="6" t="n">
        <v>0</v>
      </c>
      <c r="E93" s="6" t="n">
        <v>0</v>
      </c>
      <c r="F93" s="6" t="n">
        <v>0</v>
      </c>
      <c r="G93" s="6" t="n">
        <v>0</v>
      </c>
      <c r="H93" s="6" t="n">
        <v>0</v>
      </c>
      <c r="I93" s="6" t="n">
        <v>0</v>
      </c>
      <c r="J93" s="6" t="n">
        <v>0</v>
      </c>
      <c r="K93" s="6" t="n">
        <v>0</v>
      </c>
      <c r="L93" s="6" t="n">
        <v>0</v>
      </c>
      <c r="M93" s="6" t="n">
        <v>0</v>
      </c>
      <c r="N93" s="6" t="n">
        <v>0</v>
      </c>
      <c r="O93" s="6" t="n">
        <v>0</v>
      </c>
      <c r="P93" s="6" t="n">
        <v>0</v>
      </c>
      <c r="Q93" s="6" t="n">
        <v>0</v>
      </c>
      <c r="R93" s="6" t="n">
        <v>0</v>
      </c>
      <c r="S93" s="6" t="n">
        <v>1</v>
      </c>
      <c r="T93" s="6" t="n">
        <v>0</v>
      </c>
      <c r="U93" s="6" t="n">
        <v>1</v>
      </c>
      <c r="V93" s="6" t="n">
        <v>1</v>
      </c>
      <c r="W93" s="6" t="n">
        <v>0</v>
      </c>
      <c r="X93" s="6" t="n">
        <v>0</v>
      </c>
      <c r="Y93" s="6" t="n">
        <v>0</v>
      </c>
      <c r="Z93" s="6" t="n">
        <v>0</v>
      </c>
      <c r="AA93" s="6" t="n">
        <v>0</v>
      </c>
      <c r="AB93" s="6">
        <f>SUM(D93:AA93)</f>
        <v/>
      </c>
      <c r="AC93" s="3" t="inlineStr"/>
      <c r="AD93" s="7">
        <f>E93*0.0120051238+D93*0.0024010248</f>
        <v/>
      </c>
      <c r="AE93" s="7">
        <f>F93*0.0120051238+E93*0.0024010248</f>
        <v/>
      </c>
      <c r="AF93" s="7">
        <f>G93*0.0120051238+F93*0.0024010248</f>
        <v/>
      </c>
      <c r="AG93" s="7">
        <f>H93*0.0120051238+G93*0.0024010248</f>
        <v/>
      </c>
      <c r="AH93" s="7">
        <f>I93*0.0120051238+H93*0.0024010248</f>
        <v/>
      </c>
      <c r="AI93" s="7">
        <f>J93*0.0120051238+I93*0.0024010248</f>
        <v/>
      </c>
      <c r="AJ93" s="7">
        <f>K93*0.0120051238+J93*0.0024010248</f>
        <v/>
      </c>
      <c r="AK93" s="7">
        <f>L93*0.0120051238+K93*0.0024010248</f>
        <v/>
      </c>
      <c r="AL93" s="7">
        <f>M93*0.0120051238+L93*0.0024010248</f>
        <v/>
      </c>
      <c r="AM93" s="7">
        <f>N93*0.0120051238+M93*0.0024010248</f>
        <v/>
      </c>
      <c r="AN93" s="7">
        <f>O93*0.0120051238+N93*0.0024010248</f>
        <v/>
      </c>
      <c r="AO93" s="7">
        <f>P93*0.0120051238+O93*0.0024010248</f>
        <v/>
      </c>
      <c r="AP93" s="7">
        <f>Q93*0.0120051238+P93*0.0024010248</f>
        <v/>
      </c>
      <c r="AQ93" s="7">
        <f>R93*0.0120051238+Q93*0.0024010248</f>
        <v/>
      </c>
      <c r="AR93" s="7">
        <f>S93*0.0120051238+R93*0.0024010248</f>
        <v/>
      </c>
      <c r="AS93" s="7">
        <f>T93*0.0120051238+S93*0.0024010248</f>
        <v/>
      </c>
      <c r="AT93" s="7">
        <f>U93*0.0120051238+T93*0.0024010248</f>
        <v/>
      </c>
      <c r="AU93" s="7">
        <f>V93*0.0120051238+U93*0.0024010248</f>
        <v/>
      </c>
      <c r="AV93" s="7">
        <f>W93*0.0120051238+V93*0.0024010248</f>
        <v/>
      </c>
      <c r="AW93" s="7">
        <f>X93*0.0120051238+W93*0.0024010248</f>
        <v/>
      </c>
      <c r="AX93" s="7">
        <f>Y93*0.0120051238+X93*0.0024010248</f>
        <v/>
      </c>
      <c r="AY93" s="7">
        <f>Z93*0.0120051238+Y93*0.0024010248</f>
        <v/>
      </c>
      <c r="AZ93" s="7">
        <f>AA93*0.0120051238+Z93*0.0024010248</f>
        <v/>
      </c>
      <c r="BA93" s="7">
        <f>D93*0.0120051238+AA93*0.0024010248</f>
        <v/>
      </c>
      <c r="BB93" s="7">
        <f>SUM(AD93:BA93)</f>
        <v/>
      </c>
    </row>
    <row r="94">
      <c r="A94" t="inlineStr">
        <is>
          <t>AMD-RTS-RCLS-1302-SSC</t>
        </is>
      </c>
      <c r="B94" t="inlineStr">
        <is>
          <t>Rev OSC</t>
        </is>
      </c>
      <c r="C94" s="5" t="n">
        <v>46100</v>
      </c>
      <c r="D94" s="6" t="n">
        <v>0</v>
      </c>
      <c r="E94" s="6" t="n">
        <v>0</v>
      </c>
      <c r="F94" s="6" t="n">
        <v>0</v>
      </c>
      <c r="G94" s="6" t="n">
        <v>0</v>
      </c>
      <c r="H94" s="6" t="n">
        <v>0</v>
      </c>
      <c r="I94" s="6" t="n">
        <v>0</v>
      </c>
      <c r="J94" s="6" t="n">
        <v>0</v>
      </c>
      <c r="K94" s="6" t="n">
        <v>0</v>
      </c>
      <c r="L94" s="6" t="n">
        <v>0</v>
      </c>
      <c r="M94" s="6" t="n">
        <v>0</v>
      </c>
      <c r="N94" s="6" t="n">
        <v>0</v>
      </c>
      <c r="O94" s="6" t="n">
        <v>0</v>
      </c>
      <c r="P94" s="6" t="n">
        <v>0</v>
      </c>
      <c r="Q94" s="6" t="n">
        <v>0</v>
      </c>
      <c r="R94" s="6" t="n">
        <v>1</v>
      </c>
      <c r="S94" s="6" t="n">
        <v>1</v>
      </c>
      <c r="T94" s="6" t="n">
        <v>0</v>
      </c>
      <c r="U94" s="6" t="n">
        <v>1</v>
      </c>
      <c r="V94" s="6" t="n">
        <v>1</v>
      </c>
      <c r="W94" s="6" t="n">
        <v>3</v>
      </c>
      <c r="X94" s="6" t="n">
        <v>1</v>
      </c>
      <c r="Y94" s="6" t="n">
        <v>3</v>
      </c>
      <c r="Z94" s="6" t="n">
        <v>0</v>
      </c>
      <c r="AA94" s="6" t="n">
        <v>0</v>
      </c>
      <c r="AB94" s="6">
        <f>SUM(D94:AA94)</f>
        <v/>
      </c>
      <c r="AC94" s="3" t="inlineStr"/>
      <c r="AD94" s="7">
        <f>E94*0.0120051238+D94*0.0024010248</f>
        <v/>
      </c>
      <c r="AE94" s="7">
        <f>F94*0.0120051238+E94*0.0024010248</f>
        <v/>
      </c>
      <c r="AF94" s="7">
        <f>G94*0.0120051238+F94*0.0024010248</f>
        <v/>
      </c>
      <c r="AG94" s="7">
        <f>H94*0.0120051238+G94*0.0024010248</f>
        <v/>
      </c>
      <c r="AH94" s="7">
        <f>I94*0.0120051238+H94*0.0024010248</f>
        <v/>
      </c>
      <c r="AI94" s="7">
        <f>J94*0.0120051238+I94*0.0024010248</f>
        <v/>
      </c>
      <c r="AJ94" s="7">
        <f>K94*0.0120051238+J94*0.0024010248</f>
        <v/>
      </c>
      <c r="AK94" s="7">
        <f>L94*0.0120051238+K94*0.0024010248</f>
        <v/>
      </c>
      <c r="AL94" s="7">
        <f>M94*0.0120051238+L94*0.0024010248</f>
        <v/>
      </c>
      <c r="AM94" s="7">
        <f>N94*0.0120051238+M94*0.0024010248</f>
        <v/>
      </c>
      <c r="AN94" s="7">
        <f>O94*0.0120051238+N94*0.0024010248</f>
        <v/>
      </c>
      <c r="AO94" s="7">
        <f>P94*0.0120051238+O94*0.0024010248</f>
        <v/>
      </c>
      <c r="AP94" s="7">
        <f>Q94*0.0120051238+P94*0.0024010248</f>
        <v/>
      </c>
      <c r="AQ94" s="7">
        <f>R94*0.0120051238+Q94*0.0024010248</f>
        <v/>
      </c>
      <c r="AR94" s="7">
        <f>S94*0.0120051238+R94*0.0024010248</f>
        <v/>
      </c>
      <c r="AS94" s="7">
        <f>T94*0.0120051238+S94*0.0024010248</f>
        <v/>
      </c>
      <c r="AT94" s="7">
        <f>U94*0.0120051238+T94*0.0024010248</f>
        <v/>
      </c>
      <c r="AU94" s="7">
        <f>V94*0.0120051238+U94*0.0024010248</f>
        <v/>
      </c>
      <c r="AV94" s="7">
        <f>W94*0.0120051238+V94*0.0024010248</f>
        <v/>
      </c>
      <c r="AW94" s="7">
        <f>X94*0.0120051238+W94*0.0024010248</f>
        <v/>
      </c>
      <c r="AX94" s="7">
        <f>Y94*0.0120051238+X94*0.0024010248</f>
        <v/>
      </c>
      <c r="AY94" s="7">
        <f>Z94*0.0120051238+Y94*0.0024010248</f>
        <v/>
      </c>
      <c r="AZ94" s="7">
        <f>AA94*0.0120051238+Z94*0.0024010248</f>
        <v/>
      </c>
      <c r="BA94" s="7">
        <f>D94*0.0120051238+AA94*0.0024010248</f>
        <v/>
      </c>
      <c r="BB94" s="7">
        <f>SUM(AD94:BA94)</f>
        <v/>
      </c>
    </row>
    <row r="95">
      <c r="A95" t="inlineStr">
        <is>
          <t>AMD-RTS-RCLS-1302-SSC</t>
        </is>
      </c>
      <c r="B95" t="inlineStr">
        <is>
          <t>Rev OSC</t>
        </is>
      </c>
      <c r="C95" s="5" t="n">
        <v>46102</v>
      </c>
      <c r="D95" s="6" t="n">
        <v>0</v>
      </c>
      <c r="E95" s="6" t="n">
        <v>0</v>
      </c>
      <c r="F95" s="6" t="n">
        <v>0</v>
      </c>
      <c r="G95" s="6" t="n">
        <v>2</v>
      </c>
      <c r="H95" s="6" t="n">
        <v>1</v>
      </c>
      <c r="I95" s="6" t="n">
        <v>0</v>
      </c>
      <c r="J95" s="6" t="n">
        <v>4</v>
      </c>
      <c r="K95" s="6" t="n">
        <v>0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0</v>
      </c>
      <c r="Q95" s="6" t="n">
        <v>0</v>
      </c>
      <c r="R95" s="6" t="n">
        <v>0</v>
      </c>
      <c r="S95" s="6" t="n">
        <v>2</v>
      </c>
      <c r="T95" s="6" t="n">
        <v>1</v>
      </c>
      <c r="U95" s="6" t="n">
        <v>0</v>
      </c>
      <c r="V95" s="6" t="n">
        <v>1</v>
      </c>
      <c r="W95" s="6" t="n">
        <v>1</v>
      </c>
      <c r="X95" s="6" t="n">
        <v>3</v>
      </c>
      <c r="Y95" s="6" t="n">
        <v>2</v>
      </c>
      <c r="Z95" s="6" t="n">
        <v>0</v>
      </c>
      <c r="AA95" s="6" t="n">
        <v>0</v>
      </c>
      <c r="AB95" s="6">
        <f>SUM(D95:AA95)</f>
        <v/>
      </c>
      <c r="AC95" s="3" t="inlineStr"/>
      <c r="AD95" s="7">
        <f>E95*0.0120051238+D95*0.0024010248</f>
        <v/>
      </c>
      <c r="AE95" s="7">
        <f>F95*0.0120051238+E95*0.0024010248</f>
        <v/>
      </c>
      <c r="AF95" s="7">
        <f>G95*0.0120051238+F95*0.0024010248</f>
        <v/>
      </c>
      <c r="AG95" s="7">
        <f>H95*0.0120051238+G95*0.0024010248</f>
        <v/>
      </c>
      <c r="AH95" s="7">
        <f>I95*0.0120051238+H95*0.0024010248</f>
        <v/>
      </c>
      <c r="AI95" s="7">
        <f>J95*0.0120051238+I95*0.0024010248</f>
        <v/>
      </c>
      <c r="AJ95" s="7">
        <f>K95*0.0120051238+J95*0.0024010248</f>
        <v/>
      </c>
      <c r="AK95" s="7">
        <f>L95*0.0120051238+K95*0.0024010248</f>
        <v/>
      </c>
      <c r="AL95" s="7">
        <f>M95*0.0120051238+L95*0.0024010248</f>
        <v/>
      </c>
      <c r="AM95" s="7">
        <f>N95*0.0120051238+M95*0.0024010248</f>
        <v/>
      </c>
      <c r="AN95" s="7">
        <f>O95*0.0120051238+N95*0.0024010248</f>
        <v/>
      </c>
      <c r="AO95" s="7">
        <f>P95*0.0120051238+O95*0.0024010248</f>
        <v/>
      </c>
      <c r="AP95" s="7">
        <f>Q95*0.0120051238+P95*0.0024010248</f>
        <v/>
      </c>
      <c r="AQ95" s="7">
        <f>R95*0.0120051238+Q95*0.0024010248</f>
        <v/>
      </c>
      <c r="AR95" s="7">
        <f>S95*0.0120051238+R95*0.0024010248</f>
        <v/>
      </c>
      <c r="AS95" s="7">
        <f>T95*0.0120051238+S95*0.0024010248</f>
        <v/>
      </c>
      <c r="AT95" s="7">
        <f>U95*0.0120051238+T95*0.0024010248</f>
        <v/>
      </c>
      <c r="AU95" s="7">
        <f>V95*0.0120051238+U95*0.0024010248</f>
        <v/>
      </c>
      <c r="AV95" s="7">
        <f>W95*0.0120051238+V95*0.0024010248</f>
        <v/>
      </c>
      <c r="AW95" s="7">
        <f>X95*0.0120051238+W95*0.0024010248</f>
        <v/>
      </c>
      <c r="AX95" s="7">
        <f>Y95*0.0120051238+X95*0.0024010248</f>
        <v/>
      </c>
      <c r="AY95" s="7">
        <f>Z95*0.0120051238+Y95*0.0024010248</f>
        <v/>
      </c>
      <c r="AZ95" s="7">
        <f>AA95*0.0120051238+Z95*0.0024010248</f>
        <v/>
      </c>
      <c r="BA95" s="7">
        <f>D95*0.0120051238+AA95*0.0024010248</f>
        <v/>
      </c>
      <c r="BB95" s="7">
        <f>SUM(AD95:BA95)</f>
        <v/>
      </c>
    </row>
    <row r="96">
      <c r="A96" t="inlineStr">
        <is>
          <t>AMD-RTS-RCLS-1302-SSC</t>
        </is>
      </c>
      <c r="B96" t="inlineStr">
        <is>
          <t>Rev OSC</t>
        </is>
      </c>
      <c r="C96" s="5" t="n">
        <v>46103</v>
      </c>
      <c r="D96" s="6" t="n">
        <v>0</v>
      </c>
      <c r="E96" s="6" t="n">
        <v>1</v>
      </c>
      <c r="F96" s="6" t="n">
        <v>1</v>
      </c>
      <c r="G96" s="6" t="n">
        <v>1</v>
      </c>
      <c r="H96" s="6" t="n">
        <v>0</v>
      </c>
      <c r="I96" s="6" t="n">
        <v>1</v>
      </c>
      <c r="J96" s="6" t="n">
        <v>1</v>
      </c>
      <c r="K96" s="6" t="n">
        <v>0</v>
      </c>
      <c r="L96" s="6" t="n">
        <v>0</v>
      </c>
      <c r="M96" s="6" t="n">
        <v>0</v>
      </c>
      <c r="N96" s="6" t="n">
        <v>0</v>
      </c>
      <c r="O96" s="6" t="n">
        <v>0</v>
      </c>
      <c r="P96" s="6" t="n">
        <v>0</v>
      </c>
      <c r="Q96" s="6" t="n">
        <v>0</v>
      </c>
      <c r="R96" s="6" t="n">
        <v>0</v>
      </c>
      <c r="S96" s="6" t="n">
        <v>0</v>
      </c>
      <c r="T96" s="6" t="n">
        <v>0</v>
      </c>
      <c r="U96" s="6" t="n">
        <v>1</v>
      </c>
      <c r="V96" s="6" t="n">
        <v>0</v>
      </c>
      <c r="W96" s="6" t="n">
        <v>1</v>
      </c>
      <c r="X96" s="6" t="n">
        <v>2</v>
      </c>
      <c r="Y96" s="6" t="n">
        <v>3</v>
      </c>
      <c r="Z96" s="6" t="n">
        <v>0</v>
      </c>
      <c r="AA96" s="6" t="n">
        <v>0</v>
      </c>
      <c r="AB96" s="6">
        <f>SUM(D96:AA96)</f>
        <v/>
      </c>
      <c r="AC96" s="3" t="inlineStr"/>
      <c r="AD96" s="7">
        <f>E96*0.0120051238+D96*0.0024010248</f>
        <v/>
      </c>
      <c r="AE96" s="7">
        <f>F96*0.0120051238+E96*0.0024010248</f>
        <v/>
      </c>
      <c r="AF96" s="7">
        <f>G96*0.0120051238+F96*0.0024010248</f>
        <v/>
      </c>
      <c r="AG96" s="7">
        <f>H96*0.0120051238+G96*0.0024010248</f>
        <v/>
      </c>
      <c r="AH96" s="7">
        <f>I96*0.0120051238+H96*0.0024010248</f>
        <v/>
      </c>
      <c r="AI96" s="7">
        <f>J96*0.0120051238+I96*0.0024010248</f>
        <v/>
      </c>
      <c r="AJ96" s="7">
        <f>K96*0.0120051238+J96*0.0024010248</f>
        <v/>
      </c>
      <c r="AK96" s="7">
        <f>L96*0.0120051238+K96*0.0024010248</f>
        <v/>
      </c>
      <c r="AL96" s="7">
        <f>M96*0.0120051238+L96*0.0024010248</f>
        <v/>
      </c>
      <c r="AM96" s="7">
        <f>N96*0.0120051238+M96*0.0024010248</f>
        <v/>
      </c>
      <c r="AN96" s="7">
        <f>O96*0.0120051238+N96*0.0024010248</f>
        <v/>
      </c>
      <c r="AO96" s="7">
        <f>P96*0.0120051238+O96*0.0024010248</f>
        <v/>
      </c>
      <c r="AP96" s="7">
        <f>Q96*0.0120051238+P96*0.0024010248</f>
        <v/>
      </c>
      <c r="AQ96" s="7">
        <f>R96*0.0120051238+Q96*0.0024010248</f>
        <v/>
      </c>
      <c r="AR96" s="7">
        <f>S96*0.0120051238+R96*0.0024010248</f>
        <v/>
      </c>
      <c r="AS96" s="7">
        <f>T96*0.0120051238+S96*0.0024010248</f>
        <v/>
      </c>
      <c r="AT96" s="7">
        <f>U96*0.0120051238+T96*0.0024010248</f>
        <v/>
      </c>
      <c r="AU96" s="7">
        <f>V96*0.0120051238+U96*0.0024010248</f>
        <v/>
      </c>
      <c r="AV96" s="7">
        <f>W96*0.0120051238+V96*0.0024010248</f>
        <v/>
      </c>
      <c r="AW96" s="7">
        <f>X96*0.0120051238+W96*0.0024010248</f>
        <v/>
      </c>
      <c r="AX96" s="7">
        <f>Y96*0.0120051238+X96*0.0024010248</f>
        <v/>
      </c>
      <c r="AY96" s="7">
        <f>Z96*0.0120051238+Y96*0.0024010248</f>
        <v/>
      </c>
      <c r="AZ96" s="7">
        <f>AA96*0.0120051238+Z96*0.0024010248</f>
        <v/>
      </c>
      <c r="BA96" s="7">
        <f>D96*0.0120051238+AA96*0.0024010248</f>
        <v/>
      </c>
      <c r="BB96" s="7">
        <f>SUM(AD96:BA96)</f>
        <v/>
      </c>
    </row>
    <row r="97">
      <c r="A97" t="inlineStr">
        <is>
          <t>AMD-RTS-RCLS-1302-SSC</t>
        </is>
      </c>
      <c r="B97" t="inlineStr">
        <is>
          <t>Rev OSC</t>
        </is>
      </c>
      <c r="C97" s="5" t="n">
        <v>46104</v>
      </c>
      <c r="D97" s="6" t="n">
        <v>0</v>
      </c>
      <c r="E97" s="6" t="n">
        <v>0</v>
      </c>
      <c r="F97" s="6" t="n">
        <v>0</v>
      </c>
      <c r="G97" s="6" t="n">
        <v>0</v>
      </c>
      <c r="H97" s="6" t="n">
        <v>0</v>
      </c>
      <c r="I97" s="6" t="n">
        <v>0</v>
      </c>
      <c r="J97" s="6" t="n">
        <v>0</v>
      </c>
      <c r="K97" s="6" t="n">
        <v>0</v>
      </c>
      <c r="L97" s="6" t="n">
        <v>0</v>
      </c>
      <c r="M97" s="6" t="n">
        <v>0</v>
      </c>
      <c r="N97" s="6" t="n">
        <v>0</v>
      </c>
      <c r="O97" s="6" t="n">
        <v>0</v>
      </c>
      <c r="P97" s="6" t="n">
        <v>0</v>
      </c>
      <c r="Q97" s="6" t="n">
        <v>0</v>
      </c>
      <c r="R97" s="6" t="n">
        <v>2</v>
      </c>
      <c r="S97" s="6" t="n">
        <v>1</v>
      </c>
      <c r="T97" s="6" t="n">
        <v>0</v>
      </c>
      <c r="U97" s="6" t="n">
        <v>2</v>
      </c>
      <c r="V97" s="6" t="n">
        <v>1</v>
      </c>
      <c r="W97" s="6" t="n">
        <v>2</v>
      </c>
      <c r="X97" s="6" t="n">
        <v>2</v>
      </c>
      <c r="Y97" s="6" t="n">
        <v>1</v>
      </c>
      <c r="Z97" s="6" t="n">
        <v>0</v>
      </c>
      <c r="AA97" s="6" t="n">
        <v>0</v>
      </c>
      <c r="AB97" s="6">
        <f>SUM(D97:AA97)</f>
        <v/>
      </c>
      <c r="AC97" s="3" t="inlineStr"/>
      <c r="AD97" s="7">
        <f>E97*0.0120051238+D97*0.0024010248</f>
        <v/>
      </c>
      <c r="AE97" s="7">
        <f>F97*0.0120051238+E97*0.0024010248</f>
        <v/>
      </c>
      <c r="AF97" s="7">
        <f>G97*0.0120051238+F97*0.0024010248</f>
        <v/>
      </c>
      <c r="AG97" s="7">
        <f>H97*0.0120051238+G97*0.0024010248</f>
        <v/>
      </c>
      <c r="AH97" s="7">
        <f>I97*0.0120051238+H97*0.0024010248</f>
        <v/>
      </c>
      <c r="AI97" s="7">
        <f>J97*0.0120051238+I97*0.0024010248</f>
        <v/>
      </c>
      <c r="AJ97" s="7">
        <f>K97*0.0120051238+J97*0.0024010248</f>
        <v/>
      </c>
      <c r="AK97" s="7">
        <f>L97*0.0120051238+K97*0.0024010248</f>
        <v/>
      </c>
      <c r="AL97" s="7">
        <f>M97*0.0120051238+L97*0.0024010248</f>
        <v/>
      </c>
      <c r="AM97" s="7">
        <f>N97*0.0120051238+M97*0.0024010248</f>
        <v/>
      </c>
      <c r="AN97" s="7">
        <f>O97*0.0120051238+N97*0.0024010248</f>
        <v/>
      </c>
      <c r="AO97" s="7">
        <f>P97*0.0120051238+O97*0.0024010248</f>
        <v/>
      </c>
      <c r="AP97" s="7">
        <f>Q97*0.0120051238+P97*0.0024010248</f>
        <v/>
      </c>
      <c r="AQ97" s="7">
        <f>R97*0.0120051238+Q97*0.0024010248</f>
        <v/>
      </c>
      <c r="AR97" s="7">
        <f>S97*0.0120051238+R97*0.0024010248</f>
        <v/>
      </c>
      <c r="AS97" s="7">
        <f>T97*0.0120051238+S97*0.0024010248</f>
        <v/>
      </c>
      <c r="AT97" s="7">
        <f>U97*0.0120051238+T97*0.0024010248</f>
        <v/>
      </c>
      <c r="AU97" s="7">
        <f>V97*0.0120051238+U97*0.0024010248</f>
        <v/>
      </c>
      <c r="AV97" s="7">
        <f>W97*0.0120051238+V97*0.0024010248</f>
        <v/>
      </c>
      <c r="AW97" s="7">
        <f>X97*0.0120051238+W97*0.0024010248</f>
        <v/>
      </c>
      <c r="AX97" s="7">
        <f>Y97*0.0120051238+X97*0.0024010248</f>
        <v/>
      </c>
      <c r="AY97" s="7">
        <f>Z97*0.0120051238+Y97*0.0024010248</f>
        <v/>
      </c>
      <c r="AZ97" s="7">
        <f>AA97*0.0120051238+Z97*0.0024010248</f>
        <v/>
      </c>
      <c r="BA97" s="7">
        <f>D97*0.0120051238+AA97*0.0024010248</f>
        <v/>
      </c>
      <c r="BB97" s="7">
        <f>SUM(AD97:BA97)</f>
        <v/>
      </c>
    </row>
    <row r="98">
      <c r="A98" t="inlineStr">
        <is>
          <t>AMD-RTS-RCLS-1302-SSC</t>
        </is>
      </c>
      <c r="B98" t="inlineStr">
        <is>
          <t>Rev OSC</t>
        </is>
      </c>
      <c r="C98" s="5" t="n">
        <v>46105</v>
      </c>
      <c r="D98" s="6" t="n">
        <v>0</v>
      </c>
      <c r="E98" s="6" t="n">
        <v>0</v>
      </c>
      <c r="F98" s="6" t="n">
        <v>1</v>
      </c>
      <c r="G98" s="6" t="n">
        <v>1</v>
      </c>
      <c r="H98" s="6" t="n">
        <v>1</v>
      </c>
      <c r="I98" s="6" t="n">
        <v>0</v>
      </c>
      <c r="J98" s="6" t="n">
        <v>0</v>
      </c>
      <c r="K98" s="6" t="n">
        <v>0</v>
      </c>
      <c r="L98" s="6" t="n">
        <v>0</v>
      </c>
      <c r="M98" s="6" t="n">
        <v>0</v>
      </c>
      <c r="N98" s="6" t="n">
        <v>0</v>
      </c>
      <c r="O98" s="6" t="n">
        <v>0</v>
      </c>
      <c r="P98" s="6" t="n">
        <v>0</v>
      </c>
      <c r="Q98" s="6" t="n">
        <v>0</v>
      </c>
      <c r="R98" s="6" t="n">
        <v>2</v>
      </c>
      <c r="S98" s="6" t="n">
        <v>1</v>
      </c>
      <c r="T98" s="6" t="n">
        <v>0</v>
      </c>
      <c r="U98" s="6" t="n">
        <v>1</v>
      </c>
      <c r="V98" s="6" t="n">
        <v>2</v>
      </c>
      <c r="W98" s="6" t="n">
        <v>0</v>
      </c>
      <c r="X98" s="6" t="n">
        <v>0</v>
      </c>
      <c r="Y98" s="6" t="n">
        <v>0</v>
      </c>
      <c r="Z98" s="6" t="n">
        <v>0</v>
      </c>
      <c r="AA98" s="6" t="n">
        <v>0</v>
      </c>
      <c r="AB98" s="6">
        <f>SUM(D98:AA98)</f>
        <v/>
      </c>
      <c r="AC98" s="3" t="inlineStr"/>
      <c r="AD98" s="7">
        <f>E98*0.0120051238+D98*0.0024010248</f>
        <v/>
      </c>
      <c r="AE98" s="7">
        <f>F98*0.0120051238+E98*0.0024010248</f>
        <v/>
      </c>
      <c r="AF98" s="7">
        <f>G98*0.0120051238+F98*0.0024010248</f>
        <v/>
      </c>
      <c r="AG98" s="7">
        <f>H98*0.0120051238+G98*0.0024010248</f>
        <v/>
      </c>
      <c r="AH98" s="7">
        <f>I98*0.0120051238+H98*0.0024010248</f>
        <v/>
      </c>
      <c r="AI98" s="7">
        <f>J98*0.0120051238+I98*0.0024010248</f>
        <v/>
      </c>
      <c r="AJ98" s="7">
        <f>K98*0.0120051238+J98*0.0024010248</f>
        <v/>
      </c>
      <c r="AK98" s="7">
        <f>L98*0.0120051238+K98*0.0024010248</f>
        <v/>
      </c>
      <c r="AL98" s="7">
        <f>M98*0.0120051238+L98*0.0024010248</f>
        <v/>
      </c>
      <c r="AM98" s="7">
        <f>N98*0.0120051238+M98*0.0024010248</f>
        <v/>
      </c>
      <c r="AN98" s="7">
        <f>O98*0.0120051238+N98*0.0024010248</f>
        <v/>
      </c>
      <c r="AO98" s="7">
        <f>P98*0.0120051238+O98*0.0024010248</f>
        <v/>
      </c>
      <c r="AP98" s="7">
        <f>Q98*0.0120051238+P98*0.0024010248</f>
        <v/>
      </c>
      <c r="AQ98" s="7">
        <f>R98*0.0120051238+Q98*0.0024010248</f>
        <v/>
      </c>
      <c r="AR98" s="7">
        <f>S98*0.0120051238+R98*0.0024010248</f>
        <v/>
      </c>
      <c r="AS98" s="7">
        <f>T98*0.0120051238+S98*0.0024010248</f>
        <v/>
      </c>
      <c r="AT98" s="7">
        <f>U98*0.0120051238+T98*0.0024010248</f>
        <v/>
      </c>
      <c r="AU98" s="7">
        <f>V98*0.0120051238+U98*0.0024010248</f>
        <v/>
      </c>
      <c r="AV98" s="7">
        <f>W98*0.0120051238+V98*0.0024010248</f>
        <v/>
      </c>
      <c r="AW98" s="7">
        <f>X98*0.0120051238+W98*0.0024010248</f>
        <v/>
      </c>
      <c r="AX98" s="7">
        <f>Y98*0.0120051238+X98*0.0024010248</f>
        <v/>
      </c>
      <c r="AY98" s="7">
        <f>Z98*0.0120051238+Y98*0.0024010248</f>
        <v/>
      </c>
      <c r="AZ98" s="7">
        <f>AA98*0.0120051238+Z98*0.0024010248</f>
        <v/>
      </c>
      <c r="BA98" s="7">
        <f>D98*0.0120051238+AA98*0.0024010248</f>
        <v/>
      </c>
      <c r="BB98" s="7">
        <f>SUM(AD98:BA98)</f>
        <v/>
      </c>
    </row>
    <row r="99">
      <c r="A99" t="inlineStr">
        <is>
          <t>AMD-RTS-RCLS-1302-SSC_1</t>
        </is>
      </c>
      <c r="B99" t="inlineStr">
        <is>
          <t>Rev OSC</t>
        </is>
      </c>
      <c r="C99" s="5" t="n">
        <v>46090</v>
      </c>
      <c r="D99" s="6" t="n">
        <v>0</v>
      </c>
      <c r="E99" s="6" t="n">
        <v>0</v>
      </c>
      <c r="F99" s="6" t="n">
        <v>0</v>
      </c>
      <c r="G99" s="6" t="n">
        <v>0</v>
      </c>
      <c r="H99" s="6" t="n">
        <v>0</v>
      </c>
      <c r="I99" s="6" t="n">
        <v>0</v>
      </c>
      <c r="J99" s="6" t="n">
        <v>0</v>
      </c>
      <c r="K99" s="6" t="n">
        <v>0</v>
      </c>
      <c r="L99" s="6" t="n">
        <v>0</v>
      </c>
      <c r="M99" s="6" t="n">
        <v>0</v>
      </c>
      <c r="N99" s="6" t="n">
        <v>0</v>
      </c>
      <c r="O99" s="6" t="n">
        <v>0</v>
      </c>
      <c r="P99" s="6" t="n">
        <v>0</v>
      </c>
      <c r="Q99" s="6" t="n">
        <v>0</v>
      </c>
      <c r="R99" s="6" t="n">
        <v>0</v>
      </c>
      <c r="S99" s="6" t="n">
        <v>0</v>
      </c>
      <c r="T99" s="6" t="n">
        <v>0</v>
      </c>
      <c r="U99" s="6" t="n">
        <v>0</v>
      </c>
      <c r="V99" s="6" t="n">
        <v>0</v>
      </c>
      <c r="W99" s="6" t="n">
        <v>0</v>
      </c>
      <c r="X99" s="6" t="n">
        <v>0</v>
      </c>
      <c r="Y99" s="6" t="n">
        <v>1</v>
      </c>
      <c r="Z99" s="6" t="n">
        <v>0</v>
      </c>
      <c r="AA99" s="6" t="n">
        <v>0</v>
      </c>
      <c r="AB99" s="6">
        <f>SUM(D99:AA99)</f>
        <v/>
      </c>
      <c r="AC99" s="3" t="inlineStr"/>
      <c r="AD99" s="7">
        <f>E99*0.0120051238+D99*0.0024010248</f>
        <v/>
      </c>
      <c r="AE99" s="7">
        <f>F99*0.0120051238+E99*0.0024010248</f>
        <v/>
      </c>
      <c r="AF99" s="7">
        <f>G99*0.0120051238+F99*0.0024010248</f>
        <v/>
      </c>
      <c r="AG99" s="7">
        <f>H99*0.0120051238+G99*0.0024010248</f>
        <v/>
      </c>
      <c r="AH99" s="7">
        <f>I99*0.0120051238+H99*0.0024010248</f>
        <v/>
      </c>
      <c r="AI99" s="7">
        <f>J99*0.0120051238+I99*0.0024010248</f>
        <v/>
      </c>
      <c r="AJ99" s="7">
        <f>K99*0.0120051238+J99*0.0024010248</f>
        <v/>
      </c>
      <c r="AK99" s="7">
        <f>L99*0.0120051238+K99*0.0024010248</f>
        <v/>
      </c>
      <c r="AL99" s="7">
        <f>M99*0.0120051238+L99*0.0024010248</f>
        <v/>
      </c>
      <c r="AM99" s="7">
        <f>N99*0.0120051238+M99*0.0024010248</f>
        <v/>
      </c>
      <c r="AN99" s="7">
        <f>O99*0.0120051238+N99*0.0024010248</f>
        <v/>
      </c>
      <c r="AO99" s="7">
        <f>P99*0.0120051238+O99*0.0024010248</f>
        <v/>
      </c>
      <c r="AP99" s="7">
        <f>Q99*0.0120051238+P99*0.0024010248</f>
        <v/>
      </c>
      <c r="AQ99" s="7">
        <f>R99*0.0120051238+Q99*0.0024010248</f>
        <v/>
      </c>
      <c r="AR99" s="7">
        <f>S99*0.0120051238+R99*0.0024010248</f>
        <v/>
      </c>
      <c r="AS99" s="7">
        <f>T99*0.0120051238+S99*0.0024010248</f>
        <v/>
      </c>
      <c r="AT99" s="7">
        <f>U99*0.0120051238+T99*0.0024010248</f>
        <v/>
      </c>
      <c r="AU99" s="7">
        <f>V99*0.0120051238+U99*0.0024010248</f>
        <v/>
      </c>
      <c r="AV99" s="7">
        <f>W99*0.0120051238+V99*0.0024010248</f>
        <v/>
      </c>
      <c r="AW99" s="7">
        <f>X99*0.0120051238+W99*0.0024010248</f>
        <v/>
      </c>
      <c r="AX99" s="7">
        <f>Y99*0.0120051238+X99*0.0024010248</f>
        <v/>
      </c>
      <c r="AY99" s="7">
        <f>Z99*0.0120051238+Y99*0.0024010248</f>
        <v/>
      </c>
      <c r="AZ99" s="7">
        <f>AA99*0.0120051238+Z99*0.0024010248</f>
        <v/>
      </c>
      <c r="BA99" s="7">
        <f>D99*0.0120051238+AA99*0.0024010248</f>
        <v/>
      </c>
      <c r="BB99" s="7">
        <f>SUM(AD99:BA99)</f>
        <v/>
      </c>
    </row>
    <row r="100">
      <c r="A100" t="inlineStr">
        <is>
          <t>AMD-RTS-RCLS-1302-SSC_1</t>
        </is>
      </c>
      <c r="B100" t="inlineStr">
        <is>
          <t>Rev OSC</t>
        </is>
      </c>
      <c r="C100" s="5" t="n">
        <v>46093</v>
      </c>
      <c r="D100" s="6" t="n">
        <v>0</v>
      </c>
      <c r="E100" s="6" t="n">
        <v>0</v>
      </c>
      <c r="F100" s="6" t="n">
        <v>0</v>
      </c>
      <c r="G100" s="6" t="n">
        <v>0</v>
      </c>
      <c r="H100" s="6" t="n">
        <v>0</v>
      </c>
      <c r="I100" s="6" t="n">
        <v>0</v>
      </c>
      <c r="J100" s="6" t="n">
        <v>0</v>
      </c>
      <c r="K100" s="6" t="n">
        <v>0</v>
      </c>
      <c r="L100" s="6" t="n">
        <v>0</v>
      </c>
      <c r="M100" s="6" t="n">
        <v>0</v>
      </c>
      <c r="N100" s="6" t="n">
        <v>0</v>
      </c>
      <c r="O100" s="6" t="n">
        <v>0</v>
      </c>
      <c r="P100" s="6" t="n">
        <v>0</v>
      </c>
      <c r="Q100" s="6" t="n">
        <v>0</v>
      </c>
      <c r="R100" s="6" t="n">
        <v>0</v>
      </c>
      <c r="S100" s="6" t="n">
        <v>0</v>
      </c>
      <c r="T100" s="6" t="n">
        <v>0</v>
      </c>
      <c r="U100" s="6" t="n">
        <v>0</v>
      </c>
      <c r="V100" s="6" t="n">
        <v>0</v>
      </c>
      <c r="W100" s="6" t="n">
        <v>0</v>
      </c>
      <c r="X100" s="6" t="n">
        <v>0</v>
      </c>
      <c r="Y100" s="6" t="n">
        <v>0</v>
      </c>
      <c r="Z100" s="6" t="n">
        <v>0</v>
      </c>
      <c r="AA100" s="6" t="n">
        <v>0</v>
      </c>
      <c r="AB100" s="6">
        <f>SUM(D100:AA100)</f>
        <v/>
      </c>
      <c r="AC100" s="3" t="inlineStr"/>
      <c r="AD100" s="7">
        <f>E100*0.0120051238+D100*0.0024010248</f>
        <v/>
      </c>
      <c r="AE100" s="7">
        <f>F100*0.0120051238+E100*0.0024010248</f>
        <v/>
      </c>
      <c r="AF100" s="7">
        <f>G100*0.0120051238+F100*0.0024010248</f>
        <v/>
      </c>
      <c r="AG100" s="7">
        <f>H100*0.0120051238+G100*0.0024010248</f>
        <v/>
      </c>
      <c r="AH100" s="7">
        <f>I100*0.0120051238+H100*0.0024010248</f>
        <v/>
      </c>
      <c r="AI100" s="7">
        <f>J100*0.0120051238+I100*0.0024010248</f>
        <v/>
      </c>
      <c r="AJ100" s="7">
        <f>K100*0.0120051238+J100*0.0024010248</f>
        <v/>
      </c>
      <c r="AK100" s="7">
        <f>L100*0.0120051238+K100*0.0024010248</f>
        <v/>
      </c>
      <c r="AL100" s="7">
        <f>M100*0.0120051238+L100*0.0024010248</f>
        <v/>
      </c>
      <c r="AM100" s="7">
        <f>N100*0.0120051238+M100*0.0024010248</f>
        <v/>
      </c>
      <c r="AN100" s="7">
        <f>O100*0.0120051238+N100*0.0024010248</f>
        <v/>
      </c>
      <c r="AO100" s="7">
        <f>P100*0.0120051238+O100*0.0024010248</f>
        <v/>
      </c>
      <c r="AP100" s="7">
        <f>Q100*0.0120051238+P100*0.0024010248</f>
        <v/>
      </c>
      <c r="AQ100" s="7">
        <f>R100*0.0120051238+Q100*0.0024010248</f>
        <v/>
      </c>
      <c r="AR100" s="7">
        <f>S100*0.0120051238+R100*0.0024010248</f>
        <v/>
      </c>
      <c r="AS100" s="7">
        <f>T100*0.0120051238+S100*0.0024010248</f>
        <v/>
      </c>
      <c r="AT100" s="7">
        <f>U100*0.0120051238+T100*0.0024010248</f>
        <v/>
      </c>
      <c r="AU100" s="7">
        <f>V100*0.0120051238+U100*0.0024010248</f>
        <v/>
      </c>
      <c r="AV100" s="7">
        <f>W100*0.0120051238+V100*0.0024010248</f>
        <v/>
      </c>
      <c r="AW100" s="7">
        <f>X100*0.0120051238+W100*0.0024010248</f>
        <v/>
      </c>
      <c r="AX100" s="7">
        <f>Y100*0.0120051238+X100*0.0024010248</f>
        <v/>
      </c>
      <c r="AY100" s="7">
        <f>Z100*0.0120051238+Y100*0.0024010248</f>
        <v/>
      </c>
      <c r="AZ100" s="7">
        <f>AA100*0.0120051238+Z100*0.0024010248</f>
        <v/>
      </c>
      <c r="BA100" s="7">
        <f>D100*0.0120051238+AA100*0.0024010248</f>
        <v/>
      </c>
      <c r="BB100" s="7">
        <f>SUM(AD100:BA100)</f>
        <v/>
      </c>
    </row>
    <row r="101">
      <c r="A101" t="inlineStr">
        <is>
          <t>AMD-RTS-RCLS-1302-SSC_1</t>
        </is>
      </c>
      <c r="B101" t="inlineStr">
        <is>
          <t>Rev OSC</t>
        </is>
      </c>
      <c r="C101" s="5" t="n">
        <v>46094</v>
      </c>
      <c r="D101" s="6" t="n">
        <v>0</v>
      </c>
      <c r="E101" s="6" t="n">
        <v>0</v>
      </c>
      <c r="F101" s="6" t="n">
        <v>0</v>
      </c>
      <c r="G101" s="6" t="n">
        <v>0</v>
      </c>
      <c r="H101" s="6" t="n">
        <v>0</v>
      </c>
      <c r="I101" s="6" t="n">
        <v>0</v>
      </c>
      <c r="J101" s="6" t="n">
        <v>0</v>
      </c>
      <c r="K101" s="6" t="n">
        <v>0</v>
      </c>
      <c r="L101" s="6" t="n">
        <v>0</v>
      </c>
      <c r="M101" s="6" t="n">
        <v>0</v>
      </c>
      <c r="N101" s="6" t="n">
        <v>0</v>
      </c>
      <c r="O101" s="6" t="n">
        <v>0</v>
      </c>
      <c r="P101" s="6" t="n">
        <v>0</v>
      </c>
      <c r="Q101" s="6" t="n">
        <v>0</v>
      </c>
      <c r="R101" s="6" t="n">
        <v>0</v>
      </c>
      <c r="S101" s="6" t="n">
        <v>0</v>
      </c>
      <c r="T101" s="6" t="n">
        <v>0</v>
      </c>
      <c r="U101" s="6" t="n">
        <v>0</v>
      </c>
      <c r="V101" s="6" t="n">
        <v>0</v>
      </c>
      <c r="W101" s="6" t="n">
        <v>0</v>
      </c>
      <c r="X101" s="6" t="n">
        <v>0</v>
      </c>
      <c r="Y101" s="6" t="n">
        <v>0</v>
      </c>
      <c r="Z101" s="6" t="n">
        <v>0</v>
      </c>
      <c r="AA101" s="6" t="n">
        <v>0</v>
      </c>
      <c r="AB101" s="6">
        <f>SUM(D101:AA101)</f>
        <v/>
      </c>
      <c r="AC101" s="3" t="inlineStr"/>
      <c r="AD101" s="7">
        <f>E101*0.0120051238+D101*0.0024010248</f>
        <v/>
      </c>
      <c r="AE101" s="7">
        <f>F101*0.0120051238+E101*0.0024010248</f>
        <v/>
      </c>
      <c r="AF101" s="7">
        <f>G101*0.0120051238+F101*0.0024010248</f>
        <v/>
      </c>
      <c r="AG101" s="7">
        <f>H101*0.0120051238+G101*0.0024010248</f>
        <v/>
      </c>
      <c r="AH101" s="7">
        <f>I101*0.0120051238+H101*0.0024010248</f>
        <v/>
      </c>
      <c r="AI101" s="7">
        <f>J101*0.0120051238+I101*0.0024010248</f>
        <v/>
      </c>
      <c r="AJ101" s="7">
        <f>K101*0.0120051238+J101*0.0024010248</f>
        <v/>
      </c>
      <c r="AK101" s="7">
        <f>L101*0.0120051238+K101*0.0024010248</f>
        <v/>
      </c>
      <c r="AL101" s="7">
        <f>M101*0.0120051238+L101*0.0024010248</f>
        <v/>
      </c>
      <c r="AM101" s="7">
        <f>N101*0.0120051238+M101*0.0024010248</f>
        <v/>
      </c>
      <c r="AN101" s="7">
        <f>O101*0.0120051238+N101*0.0024010248</f>
        <v/>
      </c>
      <c r="AO101" s="7">
        <f>P101*0.0120051238+O101*0.0024010248</f>
        <v/>
      </c>
      <c r="AP101" s="7">
        <f>Q101*0.0120051238+P101*0.0024010248</f>
        <v/>
      </c>
      <c r="AQ101" s="7">
        <f>R101*0.0120051238+Q101*0.0024010248</f>
        <v/>
      </c>
      <c r="AR101" s="7">
        <f>S101*0.0120051238+R101*0.0024010248</f>
        <v/>
      </c>
      <c r="AS101" s="7">
        <f>T101*0.0120051238+S101*0.0024010248</f>
        <v/>
      </c>
      <c r="AT101" s="7">
        <f>U101*0.0120051238+T101*0.0024010248</f>
        <v/>
      </c>
      <c r="AU101" s="7">
        <f>V101*0.0120051238+U101*0.0024010248</f>
        <v/>
      </c>
      <c r="AV101" s="7">
        <f>W101*0.0120051238+V101*0.0024010248</f>
        <v/>
      </c>
      <c r="AW101" s="7">
        <f>X101*0.0120051238+W101*0.0024010248</f>
        <v/>
      </c>
      <c r="AX101" s="7">
        <f>Y101*0.0120051238+X101*0.0024010248</f>
        <v/>
      </c>
      <c r="AY101" s="7">
        <f>Z101*0.0120051238+Y101*0.0024010248</f>
        <v/>
      </c>
      <c r="AZ101" s="7">
        <f>AA101*0.0120051238+Z101*0.0024010248</f>
        <v/>
      </c>
      <c r="BA101" s="7">
        <f>D101*0.0120051238+AA101*0.0024010248</f>
        <v/>
      </c>
      <c r="BB101" s="7">
        <f>SUM(AD101:BA101)</f>
        <v/>
      </c>
    </row>
    <row r="102">
      <c r="A102" t="inlineStr">
        <is>
          <t>AMD-RTS-RCLS-1302-SSC_1</t>
        </is>
      </c>
      <c r="B102" t="inlineStr">
        <is>
          <t>Rev OSC</t>
        </is>
      </c>
      <c r="C102" s="5" t="n">
        <v>46095</v>
      </c>
      <c r="D102" s="6" t="n">
        <v>0</v>
      </c>
      <c r="E102" s="6" t="n">
        <v>0</v>
      </c>
      <c r="F102" s="6" t="n">
        <v>0</v>
      </c>
      <c r="G102" s="6" t="n">
        <v>0</v>
      </c>
      <c r="H102" s="6" t="n">
        <v>0</v>
      </c>
      <c r="I102" s="6" t="n">
        <v>0</v>
      </c>
      <c r="J102" s="6" t="n">
        <v>0</v>
      </c>
      <c r="K102" s="6" t="n">
        <v>0</v>
      </c>
      <c r="L102" s="6" t="n">
        <v>0</v>
      </c>
      <c r="M102" s="6" t="n">
        <v>0</v>
      </c>
      <c r="N102" s="6" t="n">
        <v>0</v>
      </c>
      <c r="O102" s="6" t="n">
        <v>0</v>
      </c>
      <c r="P102" s="6" t="n">
        <v>0</v>
      </c>
      <c r="Q102" s="6" t="n">
        <v>0</v>
      </c>
      <c r="R102" s="6" t="n">
        <v>0</v>
      </c>
      <c r="S102" s="6" t="n">
        <v>0</v>
      </c>
      <c r="T102" s="6" t="n">
        <v>0</v>
      </c>
      <c r="U102" s="6" t="n">
        <v>0</v>
      </c>
      <c r="V102" s="6" t="n">
        <v>0</v>
      </c>
      <c r="W102" s="6" t="n">
        <v>0</v>
      </c>
      <c r="X102" s="6" t="n">
        <v>0</v>
      </c>
      <c r="Y102" s="6" t="n">
        <v>0</v>
      </c>
      <c r="Z102" s="6" t="n">
        <v>0</v>
      </c>
      <c r="AA102" s="6" t="n">
        <v>0</v>
      </c>
      <c r="AB102" s="6">
        <f>SUM(D102:AA102)</f>
        <v/>
      </c>
      <c r="AC102" s="3" t="inlineStr"/>
      <c r="AD102" s="7">
        <f>E102*0.0120051238+D102*0.0024010248</f>
        <v/>
      </c>
      <c r="AE102" s="7">
        <f>F102*0.0120051238+E102*0.0024010248</f>
        <v/>
      </c>
      <c r="AF102" s="7">
        <f>G102*0.0120051238+F102*0.0024010248</f>
        <v/>
      </c>
      <c r="AG102" s="7">
        <f>H102*0.0120051238+G102*0.0024010248</f>
        <v/>
      </c>
      <c r="AH102" s="7">
        <f>I102*0.0120051238+H102*0.0024010248</f>
        <v/>
      </c>
      <c r="AI102" s="7">
        <f>J102*0.0120051238+I102*0.0024010248</f>
        <v/>
      </c>
      <c r="AJ102" s="7">
        <f>K102*0.0120051238+J102*0.0024010248</f>
        <v/>
      </c>
      <c r="AK102" s="7">
        <f>L102*0.0120051238+K102*0.0024010248</f>
        <v/>
      </c>
      <c r="AL102" s="7">
        <f>M102*0.0120051238+L102*0.0024010248</f>
        <v/>
      </c>
      <c r="AM102" s="7">
        <f>N102*0.0120051238+M102*0.0024010248</f>
        <v/>
      </c>
      <c r="AN102" s="7">
        <f>O102*0.0120051238+N102*0.0024010248</f>
        <v/>
      </c>
      <c r="AO102" s="7">
        <f>P102*0.0120051238+O102*0.0024010248</f>
        <v/>
      </c>
      <c r="AP102" s="7">
        <f>Q102*0.0120051238+P102*0.0024010248</f>
        <v/>
      </c>
      <c r="AQ102" s="7">
        <f>R102*0.0120051238+Q102*0.0024010248</f>
        <v/>
      </c>
      <c r="AR102" s="7">
        <f>S102*0.0120051238+R102*0.0024010248</f>
        <v/>
      </c>
      <c r="AS102" s="7">
        <f>T102*0.0120051238+S102*0.0024010248</f>
        <v/>
      </c>
      <c r="AT102" s="7">
        <f>U102*0.0120051238+T102*0.0024010248</f>
        <v/>
      </c>
      <c r="AU102" s="7">
        <f>V102*0.0120051238+U102*0.0024010248</f>
        <v/>
      </c>
      <c r="AV102" s="7">
        <f>W102*0.0120051238+V102*0.0024010248</f>
        <v/>
      </c>
      <c r="AW102" s="7">
        <f>X102*0.0120051238+W102*0.0024010248</f>
        <v/>
      </c>
      <c r="AX102" s="7">
        <f>Y102*0.0120051238+X102*0.0024010248</f>
        <v/>
      </c>
      <c r="AY102" s="7">
        <f>Z102*0.0120051238+Y102*0.0024010248</f>
        <v/>
      </c>
      <c r="AZ102" s="7">
        <f>AA102*0.0120051238+Z102*0.0024010248</f>
        <v/>
      </c>
      <c r="BA102" s="7">
        <f>D102*0.0120051238+AA102*0.0024010248</f>
        <v/>
      </c>
      <c r="BB102" s="7">
        <f>SUM(AD102:BA102)</f>
        <v/>
      </c>
    </row>
    <row r="103">
      <c r="A103" t="inlineStr">
        <is>
          <t>AMD-RTS-RCLS-1302-SSC_1</t>
        </is>
      </c>
      <c r="B103" t="inlineStr">
        <is>
          <t>Rev OSC</t>
        </is>
      </c>
      <c r="C103" s="5" t="n">
        <v>46100</v>
      </c>
      <c r="D103" s="6" t="n">
        <v>0</v>
      </c>
      <c r="E103" s="6" t="n">
        <v>0</v>
      </c>
      <c r="F103" s="6" t="n">
        <v>0</v>
      </c>
      <c r="G103" s="6" t="n">
        <v>0</v>
      </c>
      <c r="H103" s="6" t="n">
        <v>0</v>
      </c>
      <c r="I103" s="6" t="n">
        <v>0</v>
      </c>
      <c r="J103" s="6" t="n">
        <v>0</v>
      </c>
      <c r="K103" s="6" t="n">
        <v>0</v>
      </c>
      <c r="L103" s="6" t="n">
        <v>0</v>
      </c>
      <c r="M103" s="6" t="n">
        <v>0</v>
      </c>
      <c r="N103" s="6" t="n">
        <v>0</v>
      </c>
      <c r="O103" s="6" t="n">
        <v>0</v>
      </c>
      <c r="P103" s="6" t="n">
        <v>0</v>
      </c>
      <c r="Q103" s="6" t="n">
        <v>0</v>
      </c>
      <c r="R103" s="6" t="n">
        <v>0</v>
      </c>
      <c r="S103" s="6" t="n">
        <v>0</v>
      </c>
      <c r="T103" s="6" t="n">
        <v>0</v>
      </c>
      <c r="U103" s="6" t="n">
        <v>0</v>
      </c>
      <c r="V103" s="6" t="n">
        <v>0</v>
      </c>
      <c r="W103" s="6" t="n">
        <v>0</v>
      </c>
      <c r="X103" s="6" t="n">
        <v>0</v>
      </c>
      <c r="Y103" s="6" t="n">
        <v>0</v>
      </c>
      <c r="Z103" s="6" t="n">
        <v>0</v>
      </c>
      <c r="AA103" s="6" t="n">
        <v>0</v>
      </c>
      <c r="AB103" s="6">
        <f>SUM(D103:AA103)</f>
        <v/>
      </c>
      <c r="AC103" s="3" t="inlineStr"/>
      <c r="AD103" s="7">
        <f>E103*0.0120051238+D103*0.0024010248</f>
        <v/>
      </c>
      <c r="AE103" s="7">
        <f>F103*0.0120051238+E103*0.0024010248</f>
        <v/>
      </c>
      <c r="AF103" s="7">
        <f>G103*0.0120051238+F103*0.0024010248</f>
        <v/>
      </c>
      <c r="AG103" s="7">
        <f>H103*0.0120051238+G103*0.0024010248</f>
        <v/>
      </c>
      <c r="AH103" s="7">
        <f>I103*0.0120051238+H103*0.0024010248</f>
        <v/>
      </c>
      <c r="AI103" s="7">
        <f>J103*0.0120051238+I103*0.0024010248</f>
        <v/>
      </c>
      <c r="AJ103" s="7">
        <f>K103*0.0120051238+J103*0.0024010248</f>
        <v/>
      </c>
      <c r="AK103" s="7">
        <f>L103*0.0120051238+K103*0.0024010248</f>
        <v/>
      </c>
      <c r="AL103" s="7">
        <f>M103*0.0120051238+L103*0.0024010248</f>
        <v/>
      </c>
      <c r="AM103" s="7">
        <f>N103*0.0120051238+M103*0.0024010248</f>
        <v/>
      </c>
      <c r="AN103" s="7">
        <f>O103*0.0120051238+N103*0.0024010248</f>
        <v/>
      </c>
      <c r="AO103" s="7">
        <f>P103*0.0120051238+O103*0.0024010248</f>
        <v/>
      </c>
      <c r="AP103" s="7">
        <f>Q103*0.0120051238+P103*0.0024010248</f>
        <v/>
      </c>
      <c r="AQ103" s="7">
        <f>R103*0.0120051238+Q103*0.0024010248</f>
        <v/>
      </c>
      <c r="AR103" s="7">
        <f>S103*0.0120051238+R103*0.0024010248</f>
        <v/>
      </c>
      <c r="AS103" s="7">
        <f>T103*0.0120051238+S103*0.0024010248</f>
        <v/>
      </c>
      <c r="AT103" s="7">
        <f>U103*0.0120051238+T103*0.0024010248</f>
        <v/>
      </c>
      <c r="AU103" s="7">
        <f>V103*0.0120051238+U103*0.0024010248</f>
        <v/>
      </c>
      <c r="AV103" s="7">
        <f>W103*0.0120051238+V103*0.0024010248</f>
        <v/>
      </c>
      <c r="AW103" s="7">
        <f>X103*0.0120051238+W103*0.0024010248</f>
        <v/>
      </c>
      <c r="AX103" s="7">
        <f>Y103*0.0120051238+X103*0.0024010248</f>
        <v/>
      </c>
      <c r="AY103" s="7">
        <f>Z103*0.0120051238+Y103*0.0024010248</f>
        <v/>
      </c>
      <c r="AZ103" s="7">
        <f>AA103*0.0120051238+Z103*0.0024010248</f>
        <v/>
      </c>
      <c r="BA103" s="7">
        <f>D103*0.0120051238+AA103*0.0024010248</f>
        <v/>
      </c>
      <c r="BB103" s="7">
        <f>SUM(AD103:BA103)</f>
        <v/>
      </c>
    </row>
    <row r="104">
      <c r="A104" t="inlineStr">
        <is>
          <t>AMD-RTS-RCLS-1302-SSC_1</t>
        </is>
      </c>
      <c r="B104" t="inlineStr">
        <is>
          <t>Rev OSC</t>
        </is>
      </c>
      <c r="C104" s="5" t="n">
        <v>46102</v>
      </c>
      <c r="D104" s="6" t="n">
        <v>0</v>
      </c>
      <c r="E104" s="6" t="n">
        <v>0</v>
      </c>
      <c r="F104" s="6" t="n">
        <v>0</v>
      </c>
      <c r="G104" s="6" t="n">
        <v>0</v>
      </c>
      <c r="H104" s="6" t="n">
        <v>0</v>
      </c>
      <c r="I104" s="6" t="n">
        <v>0</v>
      </c>
      <c r="J104" s="6" t="n">
        <v>0</v>
      </c>
      <c r="K104" s="6" t="n">
        <v>0</v>
      </c>
      <c r="L104" s="6" t="n">
        <v>0</v>
      </c>
      <c r="M104" s="6" t="n">
        <v>0</v>
      </c>
      <c r="N104" s="6" t="n">
        <v>0</v>
      </c>
      <c r="O104" s="6" t="n">
        <v>0</v>
      </c>
      <c r="P104" s="6" t="n">
        <v>0</v>
      </c>
      <c r="Q104" s="6" t="n">
        <v>0</v>
      </c>
      <c r="R104" s="6" t="n">
        <v>1</v>
      </c>
      <c r="S104" s="6" t="n">
        <v>2</v>
      </c>
      <c r="T104" s="6" t="n">
        <v>1</v>
      </c>
      <c r="U104" s="6" t="n">
        <v>0</v>
      </c>
      <c r="V104" s="6" t="n">
        <v>0</v>
      </c>
      <c r="W104" s="6" t="n">
        <v>0</v>
      </c>
      <c r="X104" s="6" t="n">
        <v>0</v>
      </c>
      <c r="Y104" s="6" t="n">
        <v>0</v>
      </c>
      <c r="Z104" s="6" t="n">
        <v>0</v>
      </c>
      <c r="AA104" s="6" t="n">
        <v>0</v>
      </c>
      <c r="AB104" s="6">
        <f>SUM(D104:AA104)</f>
        <v/>
      </c>
      <c r="AC104" s="3" t="inlineStr"/>
      <c r="AD104" s="7">
        <f>E104*0.0120051238+D104*0.0024010248</f>
        <v/>
      </c>
      <c r="AE104" s="7">
        <f>F104*0.0120051238+E104*0.0024010248</f>
        <v/>
      </c>
      <c r="AF104" s="7">
        <f>G104*0.0120051238+F104*0.0024010248</f>
        <v/>
      </c>
      <c r="AG104" s="7">
        <f>H104*0.0120051238+G104*0.0024010248</f>
        <v/>
      </c>
      <c r="AH104" s="7">
        <f>I104*0.0120051238+H104*0.0024010248</f>
        <v/>
      </c>
      <c r="AI104" s="7">
        <f>J104*0.0120051238+I104*0.0024010248</f>
        <v/>
      </c>
      <c r="AJ104" s="7">
        <f>K104*0.0120051238+J104*0.0024010248</f>
        <v/>
      </c>
      <c r="AK104" s="7">
        <f>L104*0.0120051238+K104*0.0024010248</f>
        <v/>
      </c>
      <c r="AL104" s="7">
        <f>M104*0.0120051238+L104*0.0024010248</f>
        <v/>
      </c>
      <c r="AM104" s="7">
        <f>N104*0.0120051238+M104*0.0024010248</f>
        <v/>
      </c>
      <c r="AN104" s="7">
        <f>O104*0.0120051238+N104*0.0024010248</f>
        <v/>
      </c>
      <c r="AO104" s="7">
        <f>P104*0.0120051238+O104*0.0024010248</f>
        <v/>
      </c>
      <c r="AP104" s="7">
        <f>Q104*0.0120051238+P104*0.0024010248</f>
        <v/>
      </c>
      <c r="AQ104" s="7">
        <f>R104*0.0120051238+Q104*0.0024010248</f>
        <v/>
      </c>
      <c r="AR104" s="7">
        <f>S104*0.0120051238+R104*0.0024010248</f>
        <v/>
      </c>
      <c r="AS104" s="7">
        <f>T104*0.0120051238+S104*0.0024010248</f>
        <v/>
      </c>
      <c r="AT104" s="7">
        <f>U104*0.0120051238+T104*0.0024010248</f>
        <v/>
      </c>
      <c r="AU104" s="7">
        <f>V104*0.0120051238+U104*0.0024010248</f>
        <v/>
      </c>
      <c r="AV104" s="7">
        <f>W104*0.0120051238+V104*0.0024010248</f>
        <v/>
      </c>
      <c r="AW104" s="7">
        <f>X104*0.0120051238+W104*0.0024010248</f>
        <v/>
      </c>
      <c r="AX104" s="7">
        <f>Y104*0.0120051238+X104*0.0024010248</f>
        <v/>
      </c>
      <c r="AY104" s="7">
        <f>Z104*0.0120051238+Y104*0.0024010248</f>
        <v/>
      </c>
      <c r="AZ104" s="7">
        <f>AA104*0.0120051238+Z104*0.0024010248</f>
        <v/>
      </c>
      <c r="BA104" s="7">
        <f>D104*0.0120051238+AA104*0.0024010248</f>
        <v/>
      </c>
      <c r="BB104" s="7">
        <f>SUM(AD104:BA104)</f>
        <v/>
      </c>
    </row>
    <row r="105">
      <c r="A105" t="inlineStr">
        <is>
          <t>AMD-RTS-RCLS-1302-SSC_1</t>
        </is>
      </c>
      <c r="B105" t="inlineStr">
        <is>
          <t>Rev OSC</t>
        </is>
      </c>
      <c r="C105" s="5" t="n">
        <v>46103</v>
      </c>
      <c r="D105" s="6" t="n">
        <v>0</v>
      </c>
      <c r="E105" s="6" t="n">
        <v>0</v>
      </c>
      <c r="F105" s="6" t="n">
        <v>0</v>
      </c>
      <c r="G105" s="6" t="n">
        <v>0</v>
      </c>
      <c r="H105" s="6" t="n">
        <v>0</v>
      </c>
      <c r="I105" s="6" t="n">
        <v>0</v>
      </c>
      <c r="J105" s="6" t="n">
        <v>0</v>
      </c>
      <c r="K105" s="6" t="n">
        <v>0</v>
      </c>
      <c r="L105" s="6" t="n">
        <v>0</v>
      </c>
      <c r="M105" s="6" t="n">
        <v>0</v>
      </c>
      <c r="N105" s="6" t="n">
        <v>0</v>
      </c>
      <c r="O105" s="6" t="n">
        <v>0</v>
      </c>
      <c r="P105" s="6" t="n">
        <v>0</v>
      </c>
      <c r="Q105" s="6" t="n">
        <v>0</v>
      </c>
      <c r="R105" s="6" t="n">
        <v>0</v>
      </c>
      <c r="S105" s="6" t="n">
        <v>0</v>
      </c>
      <c r="T105" s="6" t="n">
        <v>1</v>
      </c>
      <c r="U105" s="6" t="n">
        <v>0</v>
      </c>
      <c r="V105" s="6" t="n">
        <v>0</v>
      </c>
      <c r="W105" s="6" t="n">
        <v>0</v>
      </c>
      <c r="X105" s="6" t="n">
        <v>0</v>
      </c>
      <c r="Y105" s="6" t="n">
        <v>0</v>
      </c>
      <c r="Z105" s="6" t="n">
        <v>0</v>
      </c>
      <c r="AA105" s="6" t="n">
        <v>0</v>
      </c>
      <c r="AB105" s="6">
        <f>SUM(D105:AA105)</f>
        <v/>
      </c>
      <c r="AC105" s="3" t="inlineStr"/>
      <c r="AD105" s="7">
        <f>E105*0.0120051238+D105*0.0024010248</f>
        <v/>
      </c>
      <c r="AE105" s="7">
        <f>F105*0.0120051238+E105*0.0024010248</f>
        <v/>
      </c>
      <c r="AF105" s="7">
        <f>G105*0.0120051238+F105*0.0024010248</f>
        <v/>
      </c>
      <c r="AG105" s="7">
        <f>H105*0.0120051238+G105*0.0024010248</f>
        <v/>
      </c>
      <c r="AH105" s="7">
        <f>I105*0.0120051238+H105*0.0024010248</f>
        <v/>
      </c>
      <c r="AI105" s="7">
        <f>J105*0.0120051238+I105*0.0024010248</f>
        <v/>
      </c>
      <c r="AJ105" s="7">
        <f>K105*0.0120051238+J105*0.0024010248</f>
        <v/>
      </c>
      <c r="AK105" s="7">
        <f>L105*0.0120051238+K105*0.0024010248</f>
        <v/>
      </c>
      <c r="AL105" s="7">
        <f>M105*0.0120051238+L105*0.0024010248</f>
        <v/>
      </c>
      <c r="AM105" s="7">
        <f>N105*0.0120051238+M105*0.0024010248</f>
        <v/>
      </c>
      <c r="AN105" s="7">
        <f>O105*0.0120051238+N105*0.0024010248</f>
        <v/>
      </c>
      <c r="AO105" s="7">
        <f>P105*0.0120051238+O105*0.0024010248</f>
        <v/>
      </c>
      <c r="AP105" s="7">
        <f>Q105*0.0120051238+P105*0.0024010248</f>
        <v/>
      </c>
      <c r="AQ105" s="7">
        <f>R105*0.0120051238+Q105*0.0024010248</f>
        <v/>
      </c>
      <c r="AR105" s="7">
        <f>S105*0.0120051238+R105*0.0024010248</f>
        <v/>
      </c>
      <c r="AS105" s="7">
        <f>T105*0.0120051238+S105*0.0024010248</f>
        <v/>
      </c>
      <c r="AT105" s="7">
        <f>U105*0.0120051238+T105*0.0024010248</f>
        <v/>
      </c>
      <c r="AU105" s="7">
        <f>V105*0.0120051238+U105*0.0024010248</f>
        <v/>
      </c>
      <c r="AV105" s="7">
        <f>W105*0.0120051238+V105*0.0024010248</f>
        <v/>
      </c>
      <c r="AW105" s="7">
        <f>X105*0.0120051238+W105*0.0024010248</f>
        <v/>
      </c>
      <c r="AX105" s="7">
        <f>Y105*0.0120051238+X105*0.0024010248</f>
        <v/>
      </c>
      <c r="AY105" s="7">
        <f>Z105*0.0120051238+Y105*0.0024010248</f>
        <v/>
      </c>
      <c r="AZ105" s="7">
        <f>AA105*0.0120051238+Z105*0.0024010248</f>
        <v/>
      </c>
      <c r="BA105" s="7">
        <f>D105*0.0120051238+AA105*0.0024010248</f>
        <v/>
      </c>
      <c r="BB105" s="7">
        <f>SUM(AD105:BA105)</f>
        <v/>
      </c>
    </row>
    <row r="106">
      <c r="A106" t="inlineStr">
        <is>
          <t>AMD-RTS-RCLS-1302-SSC_1</t>
        </is>
      </c>
      <c r="B106" t="inlineStr">
        <is>
          <t>Rev OSC</t>
        </is>
      </c>
      <c r="C106" s="5" t="n">
        <v>46104</v>
      </c>
      <c r="D106" s="6" t="n">
        <v>0</v>
      </c>
      <c r="E106" s="6" t="n">
        <v>0</v>
      </c>
      <c r="F106" s="6" t="n">
        <v>0</v>
      </c>
      <c r="G106" s="6" t="n">
        <v>0</v>
      </c>
      <c r="H106" s="6" t="n">
        <v>0</v>
      </c>
      <c r="I106" s="6" t="n">
        <v>0</v>
      </c>
      <c r="J106" s="6" t="n">
        <v>0</v>
      </c>
      <c r="K106" s="6" t="n">
        <v>0</v>
      </c>
      <c r="L106" s="6" t="n">
        <v>0</v>
      </c>
      <c r="M106" s="6" t="n">
        <v>0</v>
      </c>
      <c r="N106" s="6" t="n">
        <v>0</v>
      </c>
      <c r="O106" s="6" t="n">
        <v>0</v>
      </c>
      <c r="P106" s="6" t="n">
        <v>0</v>
      </c>
      <c r="Q106" s="6" t="n">
        <v>3</v>
      </c>
      <c r="R106" s="6" t="n">
        <v>3</v>
      </c>
      <c r="S106" s="6" t="n">
        <v>2</v>
      </c>
      <c r="T106" s="6" t="n">
        <v>1</v>
      </c>
      <c r="U106" s="6" t="n">
        <v>0</v>
      </c>
      <c r="V106" s="6" t="n">
        <v>0</v>
      </c>
      <c r="W106" s="6" t="n">
        <v>0</v>
      </c>
      <c r="X106" s="6" t="n">
        <v>0</v>
      </c>
      <c r="Y106" s="6" t="n">
        <v>0</v>
      </c>
      <c r="Z106" s="6" t="n">
        <v>0</v>
      </c>
      <c r="AA106" s="6" t="n">
        <v>0</v>
      </c>
      <c r="AB106" s="6">
        <f>SUM(D106:AA106)</f>
        <v/>
      </c>
      <c r="AC106" s="3" t="inlineStr"/>
      <c r="AD106" s="7">
        <f>E106*0.0120051238+D106*0.0024010248</f>
        <v/>
      </c>
      <c r="AE106" s="7">
        <f>F106*0.0120051238+E106*0.0024010248</f>
        <v/>
      </c>
      <c r="AF106" s="7">
        <f>G106*0.0120051238+F106*0.0024010248</f>
        <v/>
      </c>
      <c r="AG106" s="7">
        <f>H106*0.0120051238+G106*0.0024010248</f>
        <v/>
      </c>
      <c r="AH106" s="7">
        <f>I106*0.0120051238+H106*0.0024010248</f>
        <v/>
      </c>
      <c r="AI106" s="7">
        <f>J106*0.0120051238+I106*0.0024010248</f>
        <v/>
      </c>
      <c r="AJ106" s="7">
        <f>K106*0.0120051238+J106*0.0024010248</f>
        <v/>
      </c>
      <c r="AK106" s="7">
        <f>L106*0.0120051238+K106*0.0024010248</f>
        <v/>
      </c>
      <c r="AL106" s="7">
        <f>M106*0.0120051238+L106*0.0024010248</f>
        <v/>
      </c>
      <c r="AM106" s="7">
        <f>N106*0.0120051238+M106*0.0024010248</f>
        <v/>
      </c>
      <c r="AN106" s="7">
        <f>O106*0.0120051238+N106*0.0024010248</f>
        <v/>
      </c>
      <c r="AO106" s="7">
        <f>P106*0.0120051238+O106*0.0024010248</f>
        <v/>
      </c>
      <c r="AP106" s="7">
        <f>Q106*0.0120051238+P106*0.0024010248</f>
        <v/>
      </c>
      <c r="AQ106" s="7">
        <f>R106*0.0120051238+Q106*0.0024010248</f>
        <v/>
      </c>
      <c r="AR106" s="7">
        <f>S106*0.0120051238+R106*0.0024010248</f>
        <v/>
      </c>
      <c r="AS106" s="7">
        <f>T106*0.0120051238+S106*0.0024010248</f>
        <v/>
      </c>
      <c r="AT106" s="7">
        <f>U106*0.0120051238+T106*0.0024010248</f>
        <v/>
      </c>
      <c r="AU106" s="7">
        <f>V106*0.0120051238+U106*0.0024010248</f>
        <v/>
      </c>
      <c r="AV106" s="7">
        <f>W106*0.0120051238+V106*0.0024010248</f>
        <v/>
      </c>
      <c r="AW106" s="7">
        <f>X106*0.0120051238+W106*0.0024010248</f>
        <v/>
      </c>
      <c r="AX106" s="7">
        <f>Y106*0.0120051238+X106*0.0024010248</f>
        <v/>
      </c>
      <c r="AY106" s="7">
        <f>Z106*0.0120051238+Y106*0.0024010248</f>
        <v/>
      </c>
      <c r="AZ106" s="7">
        <f>AA106*0.0120051238+Z106*0.0024010248</f>
        <v/>
      </c>
      <c r="BA106" s="7">
        <f>D106*0.0120051238+AA106*0.0024010248</f>
        <v/>
      </c>
      <c r="BB106" s="7">
        <f>SUM(AD106:BA106)</f>
        <v/>
      </c>
    </row>
    <row r="107">
      <c r="A107" t="inlineStr">
        <is>
          <t>AMD-RTS-RCLS-1302-SSC_1</t>
        </is>
      </c>
      <c r="B107" t="inlineStr">
        <is>
          <t>Rev OSC</t>
        </is>
      </c>
      <c r="C107" s="5" t="n">
        <v>46105</v>
      </c>
      <c r="D107" s="6" t="n">
        <v>0</v>
      </c>
      <c r="E107" s="6" t="n">
        <v>0</v>
      </c>
      <c r="F107" s="6" t="n">
        <v>0</v>
      </c>
      <c r="G107" s="6" t="n">
        <v>0</v>
      </c>
      <c r="H107" s="6" t="n">
        <v>0</v>
      </c>
      <c r="I107" s="6" t="n">
        <v>0</v>
      </c>
      <c r="J107" s="6" t="n">
        <v>0</v>
      </c>
      <c r="K107" s="6" t="n">
        <v>0</v>
      </c>
      <c r="L107" s="6" t="n">
        <v>0</v>
      </c>
      <c r="M107" s="6" t="n">
        <v>0</v>
      </c>
      <c r="N107" s="6" t="n">
        <v>0</v>
      </c>
      <c r="O107" s="6" t="n">
        <v>0</v>
      </c>
      <c r="P107" s="6" t="n">
        <v>0</v>
      </c>
      <c r="Q107" s="6" t="n">
        <v>0</v>
      </c>
      <c r="R107" s="6" t="n">
        <v>0</v>
      </c>
      <c r="S107" s="6" t="n">
        <v>1</v>
      </c>
      <c r="T107" s="6" t="n">
        <v>0</v>
      </c>
      <c r="U107" s="6" t="n">
        <v>0</v>
      </c>
      <c r="V107" s="6" t="n">
        <v>0</v>
      </c>
      <c r="W107" s="6" t="n">
        <v>0</v>
      </c>
      <c r="X107" s="6" t="n">
        <v>0</v>
      </c>
      <c r="Y107" s="6" t="n">
        <v>0</v>
      </c>
      <c r="Z107" s="6" t="n">
        <v>0</v>
      </c>
      <c r="AA107" s="6" t="n">
        <v>0</v>
      </c>
      <c r="AB107" s="6">
        <f>SUM(D107:AA107)</f>
        <v/>
      </c>
      <c r="AC107" s="3" t="inlineStr"/>
      <c r="AD107" s="7">
        <f>E107*0.0120051238+D107*0.0024010248</f>
        <v/>
      </c>
      <c r="AE107" s="7">
        <f>F107*0.0120051238+E107*0.0024010248</f>
        <v/>
      </c>
      <c r="AF107" s="7">
        <f>G107*0.0120051238+F107*0.0024010248</f>
        <v/>
      </c>
      <c r="AG107" s="7">
        <f>H107*0.0120051238+G107*0.0024010248</f>
        <v/>
      </c>
      <c r="AH107" s="7">
        <f>I107*0.0120051238+H107*0.0024010248</f>
        <v/>
      </c>
      <c r="AI107" s="7">
        <f>J107*0.0120051238+I107*0.0024010248</f>
        <v/>
      </c>
      <c r="AJ107" s="7">
        <f>K107*0.0120051238+J107*0.0024010248</f>
        <v/>
      </c>
      <c r="AK107" s="7">
        <f>L107*0.0120051238+K107*0.0024010248</f>
        <v/>
      </c>
      <c r="AL107" s="7">
        <f>M107*0.0120051238+L107*0.0024010248</f>
        <v/>
      </c>
      <c r="AM107" s="7">
        <f>N107*0.0120051238+M107*0.0024010248</f>
        <v/>
      </c>
      <c r="AN107" s="7">
        <f>O107*0.0120051238+N107*0.0024010248</f>
        <v/>
      </c>
      <c r="AO107" s="7">
        <f>P107*0.0120051238+O107*0.0024010248</f>
        <v/>
      </c>
      <c r="AP107" s="7">
        <f>Q107*0.0120051238+P107*0.0024010248</f>
        <v/>
      </c>
      <c r="AQ107" s="7">
        <f>R107*0.0120051238+Q107*0.0024010248</f>
        <v/>
      </c>
      <c r="AR107" s="7">
        <f>S107*0.0120051238+R107*0.0024010248</f>
        <v/>
      </c>
      <c r="AS107" s="7">
        <f>T107*0.0120051238+S107*0.0024010248</f>
        <v/>
      </c>
      <c r="AT107" s="7">
        <f>U107*0.0120051238+T107*0.0024010248</f>
        <v/>
      </c>
      <c r="AU107" s="7">
        <f>V107*0.0120051238+U107*0.0024010248</f>
        <v/>
      </c>
      <c r="AV107" s="7">
        <f>W107*0.0120051238+V107*0.0024010248</f>
        <v/>
      </c>
      <c r="AW107" s="7">
        <f>X107*0.0120051238+W107*0.0024010248</f>
        <v/>
      </c>
      <c r="AX107" s="7">
        <f>Y107*0.0120051238+X107*0.0024010248</f>
        <v/>
      </c>
      <c r="AY107" s="7">
        <f>Z107*0.0120051238+Y107*0.0024010248</f>
        <v/>
      </c>
      <c r="AZ107" s="7">
        <f>AA107*0.0120051238+Z107*0.0024010248</f>
        <v/>
      </c>
      <c r="BA107" s="7">
        <f>D107*0.0120051238+AA107*0.0024010248</f>
        <v/>
      </c>
      <c r="BB107" s="7">
        <f>SUM(AD107:BA107)</f>
        <v/>
      </c>
    </row>
    <row r="108">
      <c r="A108" t="inlineStr">
        <is>
          <t>AMD-RTS-RCLS-1302-SSC_2</t>
        </is>
      </c>
      <c r="B108" t="inlineStr">
        <is>
          <t>Rev OSC</t>
        </is>
      </c>
      <c r="C108" s="5" t="n">
        <v>46100</v>
      </c>
      <c r="D108" s="6" t="n">
        <v>0</v>
      </c>
      <c r="E108" s="6" t="n">
        <v>0</v>
      </c>
      <c r="F108" s="6" t="n">
        <v>0</v>
      </c>
      <c r="G108" s="6" t="n">
        <v>0</v>
      </c>
      <c r="H108" s="6" t="n">
        <v>0</v>
      </c>
      <c r="I108" s="6" t="n">
        <v>0</v>
      </c>
      <c r="J108" s="6" t="n">
        <v>0</v>
      </c>
      <c r="K108" s="6" t="n">
        <v>0</v>
      </c>
      <c r="L108" s="6" t="n">
        <v>0</v>
      </c>
      <c r="M108" s="6" t="n">
        <v>0</v>
      </c>
      <c r="N108" s="6" t="n">
        <v>0</v>
      </c>
      <c r="O108" s="6" t="n">
        <v>0</v>
      </c>
      <c r="P108" s="6" t="n">
        <v>0</v>
      </c>
      <c r="Q108" s="6" t="n">
        <v>0</v>
      </c>
      <c r="R108" s="6" t="n">
        <v>0</v>
      </c>
      <c r="S108" s="6" t="n">
        <v>0</v>
      </c>
      <c r="T108" s="6" t="n">
        <v>0</v>
      </c>
      <c r="U108" s="6" t="n">
        <v>0</v>
      </c>
      <c r="V108" s="6" t="n">
        <v>0</v>
      </c>
      <c r="W108" s="6" t="n">
        <v>0</v>
      </c>
      <c r="X108" s="6" t="n">
        <v>0</v>
      </c>
      <c r="Y108" s="6" t="n">
        <v>0</v>
      </c>
      <c r="Z108" s="6" t="n">
        <v>0</v>
      </c>
      <c r="AA108" s="6" t="n">
        <v>0</v>
      </c>
      <c r="AB108" s="6">
        <f>SUM(D108:AA108)</f>
        <v/>
      </c>
      <c r="AC108" s="3" t="inlineStr"/>
      <c r="AD108" s="7">
        <f>E108*0.0120051238+D108*0.0024010248</f>
        <v/>
      </c>
      <c r="AE108" s="7">
        <f>F108*0.0120051238+E108*0.0024010248</f>
        <v/>
      </c>
      <c r="AF108" s="7">
        <f>G108*0.0120051238+F108*0.0024010248</f>
        <v/>
      </c>
      <c r="AG108" s="7">
        <f>H108*0.0120051238+G108*0.0024010248</f>
        <v/>
      </c>
      <c r="AH108" s="7">
        <f>I108*0.0120051238+H108*0.0024010248</f>
        <v/>
      </c>
      <c r="AI108" s="7">
        <f>J108*0.0120051238+I108*0.0024010248</f>
        <v/>
      </c>
      <c r="AJ108" s="7">
        <f>K108*0.0120051238+J108*0.0024010248</f>
        <v/>
      </c>
      <c r="AK108" s="7">
        <f>L108*0.0120051238+K108*0.0024010248</f>
        <v/>
      </c>
      <c r="AL108" s="7">
        <f>M108*0.0120051238+L108*0.0024010248</f>
        <v/>
      </c>
      <c r="AM108" s="7">
        <f>N108*0.0120051238+M108*0.0024010248</f>
        <v/>
      </c>
      <c r="AN108" s="7">
        <f>O108*0.0120051238+N108*0.0024010248</f>
        <v/>
      </c>
      <c r="AO108" s="7">
        <f>P108*0.0120051238+O108*0.0024010248</f>
        <v/>
      </c>
      <c r="AP108" s="7">
        <f>Q108*0.0120051238+P108*0.0024010248</f>
        <v/>
      </c>
      <c r="AQ108" s="7">
        <f>R108*0.0120051238+Q108*0.0024010248</f>
        <v/>
      </c>
      <c r="AR108" s="7">
        <f>S108*0.0120051238+R108*0.0024010248</f>
        <v/>
      </c>
      <c r="AS108" s="7">
        <f>T108*0.0120051238+S108*0.0024010248</f>
        <v/>
      </c>
      <c r="AT108" s="7">
        <f>U108*0.0120051238+T108*0.0024010248</f>
        <v/>
      </c>
      <c r="AU108" s="7">
        <f>V108*0.0120051238+U108*0.0024010248</f>
        <v/>
      </c>
      <c r="AV108" s="7">
        <f>W108*0.0120051238+V108*0.0024010248</f>
        <v/>
      </c>
      <c r="AW108" s="7">
        <f>X108*0.0120051238+W108*0.0024010248</f>
        <v/>
      </c>
      <c r="AX108" s="7">
        <f>Y108*0.0120051238+X108*0.0024010248</f>
        <v/>
      </c>
      <c r="AY108" s="7">
        <f>Z108*0.0120051238+Y108*0.0024010248</f>
        <v/>
      </c>
      <c r="AZ108" s="7">
        <f>AA108*0.0120051238+Z108*0.0024010248</f>
        <v/>
      </c>
      <c r="BA108" s="7">
        <f>D108*0.0120051238+AA108*0.0024010248</f>
        <v/>
      </c>
      <c r="BB108" s="7">
        <f>SUM(AD108:BA108)</f>
        <v/>
      </c>
    </row>
    <row r="109">
      <c r="A109" t="inlineStr">
        <is>
          <t>AMD-RTS-RCLS-1302-SSC_2</t>
        </is>
      </c>
      <c r="B109" t="inlineStr">
        <is>
          <t>Rev OSC</t>
        </is>
      </c>
      <c r="C109" s="5" t="n">
        <v>46102</v>
      </c>
      <c r="D109" s="6" t="n">
        <v>0</v>
      </c>
      <c r="E109" s="6" t="n">
        <v>0</v>
      </c>
      <c r="F109" s="6" t="n">
        <v>0</v>
      </c>
      <c r="G109" s="6" t="n">
        <v>0</v>
      </c>
      <c r="H109" s="6" t="n">
        <v>0</v>
      </c>
      <c r="I109" s="6" t="n">
        <v>0</v>
      </c>
      <c r="J109" s="6" t="n">
        <v>0</v>
      </c>
      <c r="K109" s="6" t="n">
        <v>0</v>
      </c>
      <c r="L109" s="6" t="n">
        <v>0</v>
      </c>
      <c r="M109" s="6" t="n">
        <v>0</v>
      </c>
      <c r="N109" s="6" t="n">
        <v>0</v>
      </c>
      <c r="O109" s="6" t="n">
        <v>0</v>
      </c>
      <c r="P109" s="6" t="n">
        <v>0</v>
      </c>
      <c r="Q109" s="6" t="n">
        <v>0</v>
      </c>
      <c r="R109" s="6" t="n">
        <v>0</v>
      </c>
      <c r="S109" s="6" t="n">
        <v>0</v>
      </c>
      <c r="T109" s="6" t="n">
        <v>0</v>
      </c>
      <c r="U109" s="6" t="n">
        <v>0</v>
      </c>
      <c r="V109" s="6" t="n">
        <v>0</v>
      </c>
      <c r="W109" s="6" t="n">
        <v>0</v>
      </c>
      <c r="X109" s="6" t="n">
        <v>0</v>
      </c>
      <c r="Y109" s="6" t="n">
        <v>0</v>
      </c>
      <c r="Z109" s="6" t="n">
        <v>0</v>
      </c>
      <c r="AA109" s="6" t="n">
        <v>0</v>
      </c>
      <c r="AB109" s="6">
        <f>SUM(D109:AA109)</f>
        <v/>
      </c>
      <c r="AC109" s="3" t="inlineStr"/>
      <c r="AD109" s="7">
        <f>E109*0.0120051238+D109*0.0024010248</f>
        <v/>
      </c>
      <c r="AE109" s="7">
        <f>F109*0.0120051238+E109*0.0024010248</f>
        <v/>
      </c>
      <c r="AF109" s="7">
        <f>G109*0.0120051238+F109*0.0024010248</f>
        <v/>
      </c>
      <c r="AG109" s="7">
        <f>H109*0.0120051238+G109*0.0024010248</f>
        <v/>
      </c>
      <c r="AH109" s="7">
        <f>I109*0.0120051238+H109*0.0024010248</f>
        <v/>
      </c>
      <c r="AI109" s="7">
        <f>J109*0.0120051238+I109*0.0024010248</f>
        <v/>
      </c>
      <c r="AJ109" s="7">
        <f>K109*0.0120051238+J109*0.0024010248</f>
        <v/>
      </c>
      <c r="AK109" s="7">
        <f>L109*0.0120051238+K109*0.0024010248</f>
        <v/>
      </c>
      <c r="AL109" s="7">
        <f>M109*0.0120051238+L109*0.0024010248</f>
        <v/>
      </c>
      <c r="AM109" s="7">
        <f>N109*0.0120051238+M109*0.0024010248</f>
        <v/>
      </c>
      <c r="AN109" s="7">
        <f>O109*0.0120051238+N109*0.0024010248</f>
        <v/>
      </c>
      <c r="AO109" s="7">
        <f>P109*0.0120051238+O109*0.0024010248</f>
        <v/>
      </c>
      <c r="AP109" s="7">
        <f>Q109*0.0120051238+P109*0.0024010248</f>
        <v/>
      </c>
      <c r="AQ109" s="7">
        <f>R109*0.0120051238+Q109*0.0024010248</f>
        <v/>
      </c>
      <c r="AR109" s="7">
        <f>S109*0.0120051238+R109*0.0024010248</f>
        <v/>
      </c>
      <c r="AS109" s="7">
        <f>T109*0.0120051238+S109*0.0024010248</f>
        <v/>
      </c>
      <c r="AT109" s="7">
        <f>U109*0.0120051238+T109*0.0024010248</f>
        <v/>
      </c>
      <c r="AU109" s="7">
        <f>V109*0.0120051238+U109*0.0024010248</f>
        <v/>
      </c>
      <c r="AV109" s="7">
        <f>W109*0.0120051238+V109*0.0024010248</f>
        <v/>
      </c>
      <c r="AW109" s="7">
        <f>X109*0.0120051238+W109*0.0024010248</f>
        <v/>
      </c>
      <c r="AX109" s="7">
        <f>Y109*0.0120051238+X109*0.0024010248</f>
        <v/>
      </c>
      <c r="AY109" s="7">
        <f>Z109*0.0120051238+Y109*0.0024010248</f>
        <v/>
      </c>
      <c r="AZ109" s="7">
        <f>AA109*0.0120051238+Z109*0.0024010248</f>
        <v/>
      </c>
      <c r="BA109" s="7">
        <f>D109*0.0120051238+AA109*0.0024010248</f>
        <v/>
      </c>
      <c r="BB109" s="7">
        <f>SUM(AD109:BA109)</f>
        <v/>
      </c>
    </row>
    <row r="110">
      <c r="A110" t="inlineStr">
        <is>
          <t>AMD-RTS-RCLS-1302-SSC_2</t>
        </is>
      </c>
      <c r="B110" t="inlineStr">
        <is>
          <t>Rev OSC</t>
        </is>
      </c>
      <c r="C110" s="5" t="n">
        <v>46104</v>
      </c>
      <c r="D110" s="6" t="n">
        <v>0</v>
      </c>
      <c r="E110" s="6" t="n">
        <v>0</v>
      </c>
      <c r="F110" s="6" t="n">
        <v>0</v>
      </c>
      <c r="G110" s="6" t="n">
        <v>0</v>
      </c>
      <c r="H110" s="6" t="n">
        <v>0</v>
      </c>
      <c r="I110" s="6" t="n">
        <v>0</v>
      </c>
      <c r="J110" s="6" t="n">
        <v>0</v>
      </c>
      <c r="K110" s="6" t="n">
        <v>0</v>
      </c>
      <c r="L110" s="6" t="n">
        <v>0</v>
      </c>
      <c r="M110" s="6" t="n">
        <v>0</v>
      </c>
      <c r="N110" s="6" t="n">
        <v>0</v>
      </c>
      <c r="O110" s="6" t="n">
        <v>0</v>
      </c>
      <c r="P110" s="6" t="n">
        <v>0</v>
      </c>
      <c r="Q110" s="6" t="n">
        <v>0</v>
      </c>
      <c r="R110" s="6" t="n">
        <v>0</v>
      </c>
      <c r="S110" s="6" t="n">
        <v>1</v>
      </c>
      <c r="T110" s="6" t="n">
        <v>0</v>
      </c>
      <c r="U110" s="6" t="n">
        <v>0</v>
      </c>
      <c r="V110" s="6" t="n">
        <v>0</v>
      </c>
      <c r="W110" s="6" t="n">
        <v>0</v>
      </c>
      <c r="X110" s="6" t="n">
        <v>0</v>
      </c>
      <c r="Y110" s="6" t="n">
        <v>0</v>
      </c>
      <c r="Z110" s="6" t="n">
        <v>0</v>
      </c>
      <c r="AA110" s="6" t="n">
        <v>0</v>
      </c>
      <c r="AB110" s="6">
        <f>SUM(D110:AA110)</f>
        <v/>
      </c>
      <c r="AC110" s="3" t="inlineStr"/>
      <c r="AD110" s="7">
        <f>E110*0.0120051238+D110*0.0024010248</f>
        <v/>
      </c>
      <c r="AE110" s="7">
        <f>F110*0.0120051238+E110*0.0024010248</f>
        <v/>
      </c>
      <c r="AF110" s="7">
        <f>G110*0.0120051238+F110*0.0024010248</f>
        <v/>
      </c>
      <c r="AG110" s="7">
        <f>H110*0.0120051238+G110*0.0024010248</f>
        <v/>
      </c>
      <c r="AH110" s="7">
        <f>I110*0.0120051238+H110*0.0024010248</f>
        <v/>
      </c>
      <c r="AI110" s="7">
        <f>J110*0.0120051238+I110*0.0024010248</f>
        <v/>
      </c>
      <c r="AJ110" s="7">
        <f>K110*0.0120051238+J110*0.0024010248</f>
        <v/>
      </c>
      <c r="AK110" s="7">
        <f>L110*0.0120051238+K110*0.0024010248</f>
        <v/>
      </c>
      <c r="AL110" s="7">
        <f>M110*0.0120051238+L110*0.0024010248</f>
        <v/>
      </c>
      <c r="AM110" s="7">
        <f>N110*0.0120051238+M110*0.0024010248</f>
        <v/>
      </c>
      <c r="AN110" s="7">
        <f>O110*0.0120051238+N110*0.0024010248</f>
        <v/>
      </c>
      <c r="AO110" s="7">
        <f>P110*0.0120051238+O110*0.0024010248</f>
        <v/>
      </c>
      <c r="AP110" s="7">
        <f>Q110*0.0120051238+P110*0.0024010248</f>
        <v/>
      </c>
      <c r="AQ110" s="7">
        <f>R110*0.0120051238+Q110*0.0024010248</f>
        <v/>
      </c>
      <c r="AR110" s="7">
        <f>S110*0.0120051238+R110*0.0024010248</f>
        <v/>
      </c>
      <c r="AS110" s="7">
        <f>T110*0.0120051238+S110*0.0024010248</f>
        <v/>
      </c>
      <c r="AT110" s="7">
        <f>U110*0.0120051238+T110*0.0024010248</f>
        <v/>
      </c>
      <c r="AU110" s="7">
        <f>V110*0.0120051238+U110*0.0024010248</f>
        <v/>
      </c>
      <c r="AV110" s="7">
        <f>W110*0.0120051238+V110*0.0024010248</f>
        <v/>
      </c>
      <c r="AW110" s="7">
        <f>X110*0.0120051238+W110*0.0024010248</f>
        <v/>
      </c>
      <c r="AX110" s="7">
        <f>Y110*0.0120051238+X110*0.0024010248</f>
        <v/>
      </c>
      <c r="AY110" s="7">
        <f>Z110*0.0120051238+Y110*0.0024010248</f>
        <v/>
      </c>
      <c r="AZ110" s="7">
        <f>AA110*0.0120051238+Z110*0.0024010248</f>
        <v/>
      </c>
      <c r="BA110" s="7">
        <f>D110*0.0120051238+AA110*0.0024010248</f>
        <v/>
      </c>
      <c r="BB110" s="7">
        <f>SUM(AD110:BA110)</f>
        <v/>
      </c>
    </row>
    <row r="111">
      <c r="A111" t="inlineStr">
        <is>
          <t>DC-10-1</t>
        </is>
      </c>
      <c r="B111" t="inlineStr">
        <is>
          <t>DSC Manual</t>
        </is>
      </c>
      <c r="C111" s="5" t="n">
        <v>46089</v>
      </c>
      <c r="D111" s="6" t="n">
        <v>21</v>
      </c>
      <c r="E111" s="6" t="n">
        <v>7</v>
      </c>
      <c r="F111" s="6" t="n">
        <v>8</v>
      </c>
      <c r="G111" s="6" t="n">
        <v>13</v>
      </c>
      <c r="H111" s="6" t="n">
        <v>9</v>
      </c>
      <c r="I111" s="6" t="n">
        <v>24</v>
      </c>
      <c r="J111" s="6" t="n">
        <v>18</v>
      </c>
      <c r="K111" s="6" t="n">
        <v>2</v>
      </c>
      <c r="L111" s="6" t="n">
        <v>0</v>
      </c>
      <c r="M111" s="6" t="n">
        <v>0</v>
      </c>
      <c r="N111" s="6" t="n">
        <v>0</v>
      </c>
      <c r="O111" s="6" t="n">
        <v>0</v>
      </c>
      <c r="P111" s="6" t="n">
        <v>0</v>
      </c>
      <c r="Q111" s="6" t="n">
        <v>0</v>
      </c>
      <c r="R111" s="6" t="n">
        <v>133</v>
      </c>
      <c r="S111" s="6" t="n">
        <v>173</v>
      </c>
      <c r="T111" s="6" t="n">
        <v>21</v>
      </c>
      <c r="U111" s="6" t="n">
        <v>154</v>
      </c>
      <c r="V111" s="6" t="n">
        <v>133</v>
      </c>
      <c r="W111" s="6" t="n">
        <v>170</v>
      </c>
      <c r="X111" s="6" t="n">
        <v>155</v>
      </c>
      <c r="Y111" s="6" t="n">
        <v>151</v>
      </c>
      <c r="Z111" s="6" t="n">
        <v>0</v>
      </c>
      <c r="AA111" s="6" t="n">
        <v>0</v>
      </c>
      <c r="AB111" s="6">
        <f>SUM(D111:AA111)</f>
        <v/>
      </c>
      <c r="AC111" s="3" t="inlineStr"/>
      <c r="AD111" s="7">
        <f>E111*0.0120051238+D111*0.0024010248</f>
        <v/>
      </c>
      <c r="AE111" s="7">
        <f>F111*0.0120051238+E111*0.0024010248</f>
        <v/>
      </c>
      <c r="AF111" s="7">
        <f>G111*0.0120051238+F111*0.0024010248</f>
        <v/>
      </c>
      <c r="AG111" s="7">
        <f>H111*0.0120051238+G111*0.0024010248</f>
        <v/>
      </c>
      <c r="AH111" s="7">
        <f>I111*0.0120051238+H111*0.0024010248</f>
        <v/>
      </c>
      <c r="AI111" s="7">
        <f>J111*0.0120051238+I111*0.0024010248</f>
        <v/>
      </c>
      <c r="AJ111" s="7">
        <f>K111*0.0120051238+J111*0.0024010248</f>
        <v/>
      </c>
      <c r="AK111" s="7">
        <f>L111*0.0120051238+K111*0.0024010248</f>
        <v/>
      </c>
      <c r="AL111" s="7">
        <f>M111*0.0120051238+L111*0.0024010248</f>
        <v/>
      </c>
      <c r="AM111" s="7">
        <f>N111*0.0120051238+M111*0.0024010248</f>
        <v/>
      </c>
      <c r="AN111" s="7">
        <f>O111*0.0120051238+N111*0.0024010248</f>
        <v/>
      </c>
      <c r="AO111" s="7">
        <f>P111*0.0120051238+O111*0.0024010248</f>
        <v/>
      </c>
      <c r="AP111" s="7">
        <f>Q111*0.0120051238+P111*0.0024010248</f>
        <v/>
      </c>
      <c r="AQ111" s="7">
        <f>R111*0.0120051238+Q111*0.0024010248</f>
        <v/>
      </c>
      <c r="AR111" s="7">
        <f>S111*0.0120051238+R111*0.0024010248</f>
        <v/>
      </c>
      <c r="AS111" s="7">
        <f>T111*0.0120051238+S111*0.0024010248</f>
        <v/>
      </c>
      <c r="AT111" s="7">
        <f>U111*0.0120051238+T111*0.0024010248</f>
        <v/>
      </c>
      <c r="AU111" s="7">
        <f>V111*0.0120051238+U111*0.0024010248</f>
        <v/>
      </c>
      <c r="AV111" s="7">
        <f>W111*0.0120051238+V111*0.0024010248</f>
        <v/>
      </c>
      <c r="AW111" s="7">
        <f>X111*0.0120051238+W111*0.0024010248</f>
        <v/>
      </c>
      <c r="AX111" s="7">
        <f>Y111*0.0120051238+X111*0.0024010248</f>
        <v/>
      </c>
      <c r="AY111" s="7">
        <f>Z111*0.0120051238+Y111*0.0024010248</f>
        <v/>
      </c>
      <c r="AZ111" s="7">
        <f>AA111*0.0120051238+Z111*0.0024010248</f>
        <v/>
      </c>
      <c r="BA111" s="7">
        <f>D111*0.0120051238+AA111*0.0024010248</f>
        <v/>
      </c>
      <c r="BB111" s="7">
        <f>SUM(AD111:BA111)</f>
        <v/>
      </c>
    </row>
    <row r="112">
      <c r="A112" t="inlineStr">
        <is>
          <t>DC-10-1</t>
        </is>
      </c>
      <c r="B112" t="inlineStr">
        <is>
          <t>DSC Manual</t>
        </is>
      </c>
      <c r="C112" s="5" t="n">
        <v>46090</v>
      </c>
      <c r="D112" s="6" t="n">
        <v>31</v>
      </c>
      <c r="E112" s="6" t="n">
        <v>15</v>
      </c>
      <c r="F112" s="6" t="n">
        <v>17</v>
      </c>
      <c r="G112" s="6" t="n">
        <v>38</v>
      </c>
      <c r="H112" s="6" t="n">
        <v>32</v>
      </c>
      <c r="I112" s="6" t="n">
        <v>29</v>
      </c>
      <c r="J112" s="6" t="n">
        <v>16</v>
      </c>
      <c r="K112" s="6" t="n">
        <v>0</v>
      </c>
      <c r="L112" s="6" t="n">
        <v>0</v>
      </c>
      <c r="M112" s="6" t="n">
        <v>0</v>
      </c>
      <c r="N112" s="6" t="n">
        <v>0</v>
      </c>
      <c r="O112" s="6" t="n">
        <v>0</v>
      </c>
      <c r="P112" s="6" t="n">
        <v>0</v>
      </c>
      <c r="Q112" s="6" t="n">
        <v>53</v>
      </c>
      <c r="R112" s="6" t="n">
        <v>81</v>
      </c>
      <c r="S112" s="6" t="n">
        <v>96</v>
      </c>
      <c r="T112" s="6" t="n">
        <v>112</v>
      </c>
      <c r="U112" s="6" t="n">
        <v>17</v>
      </c>
      <c r="V112" s="6" t="n">
        <v>148</v>
      </c>
      <c r="W112" s="6" t="n">
        <v>166</v>
      </c>
      <c r="X112" s="6" t="n">
        <v>152</v>
      </c>
      <c r="Y112" s="6" t="n">
        <v>141</v>
      </c>
      <c r="Z112" s="6" t="n">
        <v>12</v>
      </c>
      <c r="AA112" s="6" t="n">
        <v>0</v>
      </c>
      <c r="AB112" s="6">
        <f>SUM(D112:AA112)</f>
        <v/>
      </c>
      <c r="AC112" s="3" t="inlineStr"/>
      <c r="AD112" s="7">
        <f>E112*0.0120051238+D112*0.0024010248</f>
        <v/>
      </c>
      <c r="AE112" s="7">
        <f>F112*0.0120051238+E112*0.0024010248</f>
        <v/>
      </c>
      <c r="AF112" s="7">
        <f>G112*0.0120051238+F112*0.0024010248</f>
        <v/>
      </c>
      <c r="AG112" s="7">
        <f>H112*0.0120051238+G112*0.0024010248</f>
        <v/>
      </c>
      <c r="AH112" s="7">
        <f>I112*0.0120051238+H112*0.0024010248</f>
        <v/>
      </c>
      <c r="AI112" s="7">
        <f>J112*0.0120051238+I112*0.0024010248</f>
        <v/>
      </c>
      <c r="AJ112" s="7">
        <f>K112*0.0120051238+J112*0.0024010248</f>
        <v/>
      </c>
      <c r="AK112" s="7">
        <f>L112*0.0120051238+K112*0.0024010248</f>
        <v/>
      </c>
      <c r="AL112" s="7">
        <f>M112*0.0120051238+L112*0.0024010248</f>
        <v/>
      </c>
      <c r="AM112" s="7">
        <f>N112*0.0120051238+M112*0.0024010248</f>
        <v/>
      </c>
      <c r="AN112" s="7">
        <f>O112*0.0120051238+N112*0.0024010248</f>
        <v/>
      </c>
      <c r="AO112" s="7">
        <f>P112*0.0120051238+O112*0.0024010248</f>
        <v/>
      </c>
      <c r="AP112" s="7">
        <f>Q112*0.0120051238+P112*0.0024010248</f>
        <v/>
      </c>
      <c r="AQ112" s="7">
        <f>R112*0.0120051238+Q112*0.0024010248</f>
        <v/>
      </c>
      <c r="AR112" s="7">
        <f>S112*0.0120051238+R112*0.0024010248</f>
        <v/>
      </c>
      <c r="AS112" s="7">
        <f>T112*0.0120051238+S112*0.0024010248</f>
        <v/>
      </c>
      <c r="AT112" s="7">
        <f>U112*0.0120051238+T112*0.0024010248</f>
        <v/>
      </c>
      <c r="AU112" s="7">
        <f>V112*0.0120051238+U112*0.0024010248</f>
        <v/>
      </c>
      <c r="AV112" s="7">
        <f>W112*0.0120051238+V112*0.0024010248</f>
        <v/>
      </c>
      <c r="AW112" s="7">
        <f>X112*0.0120051238+W112*0.0024010248</f>
        <v/>
      </c>
      <c r="AX112" s="7">
        <f>Y112*0.0120051238+X112*0.0024010248</f>
        <v/>
      </c>
      <c r="AY112" s="7">
        <f>Z112*0.0120051238+Y112*0.0024010248</f>
        <v/>
      </c>
      <c r="AZ112" s="7">
        <f>AA112*0.0120051238+Z112*0.0024010248</f>
        <v/>
      </c>
      <c r="BA112" s="7">
        <f>D112*0.0120051238+AA112*0.0024010248</f>
        <v/>
      </c>
      <c r="BB112" s="7">
        <f>SUM(AD112:BA112)</f>
        <v/>
      </c>
    </row>
    <row r="113">
      <c r="A113" t="inlineStr">
        <is>
          <t>DC-10-1</t>
        </is>
      </c>
      <c r="B113" t="inlineStr">
        <is>
          <t>DSC Manual</t>
        </is>
      </c>
      <c r="C113" s="5" t="n">
        <v>46091</v>
      </c>
      <c r="D113" s="6" t="n">
        <v>26</v>
      </c>
      <c r="E113" s="6" t="n">
        <v>4</v>
      </c>
      <c r="F113" s="6" t="n">
        <v>0</v>
      </c>
      <c r="G113" s="6" t="n">
        <v>46</v>
      </c>
      <c r="H113" s="6" t="n">
        <v>31</v>
      </c>
      <c r="I113" s="6" t="n">
        <v>39</v>
      </c>
      <c r="J113" s="6" t="n">
        <v>12</v>
      </c>
      <c r="K113" s="6" t="n">
        <v>0</v>
      </c>
      <c r="L113" s="6" t="n">
        <v>0</v>
      </c>
      <c r="M113" s="6" t="n">
        <v>0</v>
      </c>
      <c r="N113" s="6" t="n">
        <v>0</v>
      </c>
      <c r="O113" s="6" t="n">
        <v>0</v>
      </c>
      <c r="P113" s="6" t="n">
        <v>27</v>
      </c>
      <c r="Q113" s="6" t="n">
        <v>124</v>
      </c>
      <c r="R113" s="6" t="n">
        <v>166</v>
      </c>
      <c r="S113" s="6" t="n">
        <v>148</v>
      </c>
      <c r="T113" s="6" t="n">
        <v>146</v>
      </c>
      <c r="U113" s="6" t="n">
        <v>9</v>
      </c>
      <c r="V113" s="6" t="n">
        <v>218</v>
      </c>
      <c r="W113" s="6" t="n">
        <v>185</v>
      </c>
      <c r="X113" s="6" t="n">
        <v>210</v>
      </c>
      <c r="Y113" s="6" t="n">
        <v>178</v>
      </c>
      <c r="Z113" s="6" t="n">
        <v>0</v>
      </c>
      <c r="AA113" s="6" t="n">
        <v>25</v>
      </c>
      <c r="AB113" s="6">
        <f>SUM(D113:AA113)</f>
        <v/>
      </c>
      <c r="AC113" s="3" t="inlineStr"/>
      <c r="AD113" s="7">
        <f>E113*0.0120051238+D113*0.0024010248</f>
        <v/>
      </c>
      <c r="AE113" s="7">
        <f>F113*0.0120051238+E113*0.0024010248</f>
        <v/>
      </c>
      <c r="AF113" s="7">
        <f>G113*0.0120051238+F113*0.0024010248</f>
        <v/>
      </c>
      <c r="AG113" s="7">
        <f>H113*0.0120051238+G113*0.0024010248</f>
        <v/>
      </c>
      <c r="AH113" s="7">
        <f>I113*0.0120051238+H113*0.0024010248</f>
        <v/>
      </c>
      <c r="AI113" s="7">
        <f>J113*0.0120051238+I113*0.0024010248</f>
        <v/>
      </c>
      <c r="AJ113" s="7">
        <f>K113*0.0120051238+J113*0.0024010248</f>
        <v/>
      </c>
      <c r="AK113" s="7">
        <f>L113*0.0120051238+K113*0.0024010248</f>
        <v/>
      </c>
      <c r="AL113" s="7">
        <f>M113*0.0120051238+L113*0.0024010248</f>
        <v/>
      </c>
      <c r="AM113" s="7">
        <f>N113*0.0120051238+M113*0.0024010248</f>
        <v/>
      </c>
      <c r="AN113" s="7">
        <f>O113*0.0120051238+N113*0.0024010248</f>
        <v/>
      </c>
      <c r="AO113" s="7">
        <f>P113*0.0120051238+O113*0.0024010248</f>
        <v/>
      </c>
      <c r="AP113" s="7">
        <f>Q113*0.0120051238+P113*0.0024010248</f>
        <v/>
      </c>
      <c r="AQ113" s="7">
        <f>R113*0.0120051238+Q113*0.0024010248</f>
        <v/>
      </c>
      <c r="AR113" s="7">
        <f>S113*0.0120051238+R113*0.0024010248</f>
        <v/>
      </c>
      <c r="AS113" s="7">
        <f>T113*0.0120051238+S113*0.0024010248</f>
        <v/>
      </c>
      <c r="AT113" s="7">
        <f>U113*0.0120051238+T113*0.0024010248</f>
        <v/>
      </c>
      <c r="AU113" s="7">
        <f>V113*0.0120051238+U113*0.0024010248</f>
        <v/>
      </c>
      <c r="AV113" s="7">
        <f>W113*0.0120051238+V113*0.0024010248</f>
        <v/>
      </c>
      <c r="AW113" s="7">
        <f>X113*0.0120051238+W113*0.0024010248</f>
        <v/>
      </c>
      <c r="AX113" s="7">
        <f>Y113*0.0120051238+X113*0.0024010248</f>
        <v/>
      </c>
      <c r="AY113" s="7">
        <f>Z113*0.0120051238+Y113*0.0024010248</f>
        <v/>
      </c>
      <c r="AZ113" s="7">
        <f>AA113*0.0120051238+Z113*0.0024010248</f>
        <v/>
      </c>
      <c r="BA113" s="7">
        <f>D113*0.0120051238+AA113*0.0024010248</f>
        <v/>
      </c>
      <c r="BB113" s="7">
        <f>SUM(AD113:BA113)</f>
        <v/>
      </c>
    </row>
    <row r="114">
      <c r="A114" t="inlineStr">
        <is>
          <t>DC-10-1</t>
        </is>
      </c>
      <c r="B114" t="inlineStr">
        <is>
          <t>DSC Manual</t>
        </is>
      </c>
      <c r="C114" s="5" t="n">
        <v>46092</v>
      </c>
      <c r="D114" s="6" t="n">
        <v>25</v>
      </c>
      <c r="E114" s="6" t="n">
        <v>2</v>
      </c>
      <c r="F114" s="6" t="n">
        <v>21</v>
      </c>
      <c r="G114" s="6" t="n">
        <v>60</v>
      </c>
      <c r="H114" s="6" t="n">
        <v>15</v>
      </c>
      <c r="I114" s="6" t="n">
        <v>54</v>
      </c>
      <c r="J114" s="6" t="n">
        <v>27</v>
      </c>
      <c r="K114" s="6" t="n">
        <v>4</v>
      </c>
      <c r="L114" s="6" t="n">
        <v>0</v>
      </c>
      <c r="M114" s="6" t="n">
        <v>0</v>
      </c>
      <c r="N114" s="6" t="n">
        <v>0</v>
      </c>
      <c r="O114" s="6" t="n">
        <v>0</v>
      </c>
      <c r="P114" s="6" t="n">
        <v>0</v>
      </c>
      <c r="Q114" s="6" t="n">
        <v>97</v>
      </c>
      <c r="R114" s="6" t="n">
        <v>179</v>
      </c>
      <c r="S114" s="6" t="n">
        <v>156</v>
      </c>
      <c r="T114" s="6" t="n">
        <v>45</v>
      </c>
      <c r="U114" s="6" t="n">
        <v>163</v>
      </c>
      <c r="V114" s="6" t="n">
        <v>190</v>
      </c>
      <c r="W114" s="6" t="n">
        <v>213</v>
      </c>
      <c r="X114" s="6" t="n">
        <v>214</v>
      </c>
      <c r="Y114" s="6" t="n">
        <v>209</v>
      </c>
      <c r="Z114" s="6" t="n">
        <v>3</v>
      </c>
      <c r="AA114" s="6" t="n">
        <v>31</v>
      </c>
      <c r="AB114" s="6">
        <f>SUM(D114:AA114)</f>
        <v/>
      </c>
      <c r="AC114" s="3" t="inlineStr"/>
      <c r="AD114" s="7">
        <f>E114*0.0120051238+D114*0.0024010248</f>
        <v/>
      </c>
      <c r="AE114" s="7">
        <f>F114*0.0120051238+E114*0.0024010248</f>
        <v/>
      </c>
      <c r="AF114" s="7">
        <f>G114*0.0120051238+F114*0.0024010248</f>
        <v/>
      </c>
      <c r="AG114" s="7">
        <f>H114*0.0120051238+G114*0.0024010248</f>
        <v/>
      </c>
      <c r="AH114" s="7">
        <f>I114*0.0120051238+H114*0.0024010248</f>
        <v/>
      </c>
      <c r="AI114" s="7">
        <f>J114*0.0120051238+I114*0.0024010248</f>
        <v/>
      </c>
      <c r="AJ114" s="7">
        <f>K114*0.0120051238+J114*0.0024010248</f>
        <v/>
      </c>
      <c r="AK114" s="7">
        <f>L114*0.0120051238+K114*0.0024010248</f>
        <v/>
      </c>
      <c r="AL114" s="7">
        <f>M114*0.0120051238+L114*0.0024010248</f>
        <v/>
      </c>
      <c r="AM114" s="7">
        <f>N114*0.0120051238+M114*0.0024010248</f>
        <v/>
      </c>
      <c r="AN114" s="7">
        <f>O114*0.0120051238+N114*0.0024010248</f>
        <v/>
      </c>
      <c r="AO114" s="7">
        <f>P114*0.0120051238+O114*0.0024010248</f>
        <v/>
      </c>
      <c r="AP114" s="7">
        <f>Q114*0.0120051238+P114*0.0024010248</f>
        <v/>
      </c>
      <c r="AQ114" s="7">
        <f>R114*0.0120051238+Q114*0.0024010248</f>
        <v/>
      </c>
      <c r="AR114" s="7">
        <f>S114*0.0120051238+R114*0.0024010248</f>
        <v/>
      </c>
      <c r="AS114" s="7">
        <f>T114*0.0120051238+S114*0.0024010248</f>
        <v/>
      </c>
      <c r="AT114" s="7">
        <f>U114*0.0120051238+T114*0.0024010248</f>
        <v/>
      </c>
      <c r="AU114" s="7">
        <f>V114*0.0120051238+U114*0.0024010248</f>
        <v/>
      </c>
      <c r="AV114" s="7">
        <f>W114*0.0120051238+V114*0.0024010248</f>
        <v/>
      </c>
      <c r="AW114" s="7">
        <f>X114*0.0120051238+W114*0.0024010248</f>
        <v/>
      </c>
      <c r="AX114" s="7">
        <f>Y114*0.0120051238+X114*0.0024010248</f>
        <v/>
      </c>
      <c r="AY114" s="7">
        <f>Z114*0.0120051238+Y114*0.0024010248</f>
        <v/>
      </c>
      <c r="AZ114" s="7">
        <f>AA114*0.0120051238+Z114*0.0024010248</f>
        <v/>
      </c>
      <c r="BA114" s="7">
        <f>D114*0.0120051238+AA114*0.0024010248</f>
        <v/>
      </c>
      <c r="BB114" s="7">
        <f>SUM(AD114:BA114)</f>
        <v/>
      </c>
    </row>
    <row r="115">
      <c r="A115" t="inlineStr">
        <is>
          <t>DC-10-1</t>
        </is>
      </c>
      <c r="B115" t="inlineStr">
        <is>
          <t>DSC Manual</t>
        </is>
      </c>
      <c r="C115" s="5" t="n">
        <v>46093</v>
      </c>
      <c r="D115" s="6" t="n">
        <v>63</v>
      </c>
      <c r="E115" s="6" t="n">
        <v>9</v>
      </c>
      <c r="F115" s="6" t="n">
        <v>37</v>
      </c>
      <c r="G115" s="6" t="n">
        <v>57</v>
      </c>
      <c r="H115" s="6" t="n">
        <v>36</v>
      </c>
      <c r="I115" s="6" t="n">
        <v>44</v>
      </c>
      <c r="J115" s="6" t="n">
        <v>48</v>
      </c>
      <c r="K115" s="6" t="n">
        <v>12</v>
      </c>
      <c r="L115" s="6" t="n">
        <v>0</v>
      </c>
      <c r="M115" s="6" t="n">
        <v>0</v>
      </c>
      <c r="N115" s="6" t="n">
        <v>4</v>
      </c>
      <c r="O115" s="6" t="n">
        <v>24</v>
      </c>
      <c r="P115" s="6" t="n">
        <v>0</v>
      </c>
      <c r="Q115" s="6" t="n">
        <v>0</v>
      </c>
      <c r="R115" s="6" t="n">
        <v>231</v>
      </c>
      <c r="S115" s="6" t="n">
        <v>187</v>
      </c>
      <c r="T115" s="6" t="n">
        <v>62</v>
      </c>
      <c r="U115" s="6" t="n">
        <v>140</v>
      </c>
      <c r="V115" s="6" t="n">
        <v>146</v>
      </c>
      <c r="W115" s="6" t="n">
        <v>162</v>
      </c>
      <c r="X115" s="6" t="n">
        <v>145</v>
      </c>
      <c r="Y115" s="6" t="n">
        <v>161</v>
      </c>
      <c r="Z115" s="6" t="n">
        <v>7</v>
      </c>
      <c r="AA115" s="6" t="n">
        <v>40</v>
      </c>
      <c r="AB115" s="6">
        <f>SUM(D115:AA115)</f>
        <v/>
      </c>
      <c r="AC115" s="3" t="inlineStr"/>
      <c r="AD115" s="7">
        <f>E115*0.0120051238+D115*0.0024010248</f>
        <v/>
      </c>
      <c r="AE115" s="7">
        <f>F115*0.0120051238+E115*0.0024010248</f>
        <v/>
      </c>
      <c r="AF115" s="7">
        <f>G115*0.0120051238+F115*0.0024010248</f>
        <v/>
      </c>
      <c r="AG115" s="7">
        <f>H115*0.0120051238+G115*0.0024010248</f>
        <v/>
      </c>
      <c r="AH115" s="7">
        <f>I115*0.0120051238+H115*0.0024010248</f>
        <v/>
      </c>
      <c r="AI115" s="7">
        <f>J115*0.0120051238+I115*0.0024010248</f>
        <v/>
      </c>
      <c r="AJ115" s="7">
        <f>K115*0.0120051238+J115*0.0024010248</f>
        <v/>
      </c>
      <c r="AK115" s="7">
        <f>L115*0.0120051238+K115*0.0024010248</f>
        <v/>
      </c>
      <c r="AL115" s="7">
        <f>M115*0.0120051238+L115*0.0024010248</f>
        <v/>
      </c>
      <c r="AM115" s="7">
        <f>N115*0.0120051238+M115*0.0024010248</f>
        <v/>
      </c>
      <c r="AN115" s="7">
        <f>O115*0.0120051238+N115*0.0024010248</f>
        <v/>
      </c>
      <c r="AO115" s="7">
        <f>P115*0.0120051238+O115*0.0024010248</f>
        <v/>
      </c>
      <c r="AP115" s="7">
        <f>Q115*0.0120051238+P115*0.0024010248</f>
        <v/>
      </c>
      <c r="AQ115" s="7">
        <f>R115*0.0120051238+Q115*0.0024010248</f>
        <v/>
      </c>
      <c r="AR115" s="7">
        <f>S115*0.0120051238+R115*0.0024010248</f>
        <v/>
      </c>
      <c r="AS115" s="7">
        <f>T115*0.0120051238+S115*0.0024010248</f>
        <v/>
      </c>
      <c r="AT115" s="7">
        <f>U115*0.0120051238+T115*0.0024010248</f>
        <v/>
      </c>
      <c r="AU115" s="7">
        <f>V115*0.0120051238+U115*0.0024010248</f>
        <v/>
      </c>
      <c r="AV115" s="7">
        <f>W115*0.0120051238+V115*0.0024010248</f>
        <v/>
      </c>
      <c r="AW115" s="7">
        <f>X115*0.0120051238+W115*0.0024010248</f>
        <v/>
      </c>
      <c r="AX115" s="7">
        <f>Y115*0.0120051238+X115*0.0024010248</f>
        <v/>
      </c>
      <c r="AY115" s="7">
        <f>Z115*0.0120051238+Y115*0.0024010248</f>
        <v/>
      </c>
      <c r="AZ115" s="7">
        <f>AA115*0.0120051238+Z115*0.0024010248</f>
        <v/>
      </c>
      <c r="BA115" s="7">
        <f>D115*0.0120051238+AA115*0.0024010248</f>
        <v/>
      </c>
      <c r="BB115" s="7">
        <f>SUM(AD115:BA115)</f>
        <v/>
      </c>
    </row>
    <row r="116">
      <c r="A116" t="inlineStr">
        <is>
          <t>DC-10-1</t>
        </is>
      </c>
      <c r="B116" t="inlineStr">
        <is>
          <t>DSC Manual</t>
        </is>
      </c>
      <c r="C116" s="5" t="n">
        <v>46094</v>
      </c>
      <c r="D116" s="6" t="n">
        <v>38</v>
      </c>
      <c r="E116" s="6" t="n">
        <v>4</v>
      </c>
      <c r="F116" s="6" t="n">
        <v>24</v>
      </c>
      <c r="G116" s="6" t="n">
        <v>27</v>
      </c>
      <c r="H116" s="6" t="n">
        <v>22</v>
      </c>
      <c r="I116" s="6" t="n">
        <v>23</v>
      </c>
      <c r="J116" s="6" t="n">
        <v>16</v>
      </c>
      <c r="K116" s="6" t="n">
        <v>1</v>
      </c>
      <c r="L116" s="6" t="n">
        <v>21</v>
      </c>
      <c r="M116" s="6" t="n">
        <v>40</v>
      </c>
      <c r="N116" s="6" t="n">
        <v>58</v>
      </c>
      <c r="O116" s="6" t="n">
        <v>2</v>
      </c>
      <c r="P116" s="6" t="n">
        <v>0</v>
      </c>
      <c r="Q116" s="6" t="n">
        <v>0</v>
      </c>
      <c r="R116" s="6" t="n">
        <v>170</v>
      </c>
      <c r="S116" s="6" t="n">
        <v>193</v>
      </c>
      <c r="T116" s="6" t="n">
        <v>78</v>
      </c>
      <c r="U116" s="6" t="n">
        <v>206</v>
      </c>
      <c r="V116" s="6" t="n">
        <v>193</v>
      </c>
      <c r="W116" s="6" t="n">
        <v>272</v>
      </c>
      <c r="X116" s="6" t="n">
        <v>174</v>
      </c>
      <c r="Y116" s="6" t="n">
        <v>0</v>
      </c>
      <c r="Z116" s="6" t="n">
        <v>0</v>
      </c>
      <c r="AA116" s="6" t="n">
        <v>8</v>
      </c>
      <c r="AB116" s="6">
        <f>SUM(D116:AA116)</f>
        <v/>
      </c>
      <c r="AC116" s="3" t="inlineStr"/>
      <c r="AD116" s="7">
        <f>E116*0.0120051238+D116*0.0024010248</f>
        <v/>
      </c>
      <c r="AE116" s="7">
        <f>F116*0.0120051238+E116*0.0024010248</f>
        <v/>
      </c>
      <c r="AF116" s="7">
        <f>G116*0.0120051238+F116*0.0024010248</f>
        <v/>
      </c>
      <c r="AG116" s="7">
        <f>H116*0.0120051238+G116*0.0024010248</f>
        <v/>
      </c>
      <c r="AH116" s="7">
        <f>I116*0.0120051238+H116*0.0024010248</f>
        <v/>
      </c>
      <c r="AI116" s="7">
        <f>J116*0.0120051238+I116*0.0024010248</f>
        <v/>
      </c>
      <c r="AJ116" s="7">
        <f>K116*0.0120051238+J116*0.0024010248</f>
        <v/>
      </c>
      <c r="AK116" s="7">
        <f>L116*0.0120051238+K116*0.0024010248</f>
        <v/>
      </c>
      <c r="AL116" s="7">
        <f>M116*0.0120051238+L116*0.0024010248</f>
        <v/>
      </c>
      <c r="AM116" s="7">
        <f>N116*0.0120051238+M116*0.0024010248</f>
        <v/>
      </c>
      <c r="AN116" s="7">
        <f>O116*0.0120051238+N116*0.0024010248</f>
        <v/>
      </c>
      <c r="AO116" s="7">
        <f>P116*0.0120051238+O116*0.0024010248</f>
        <v/>
      </c>
      <c r="AP116" s="7">
        <f>Q116*0.0120051238+P116*0.0024010248</f>
        <v/>
      </c>
      <c r="AQ116" s="7">
        <f>R116*0.0120051238+Q116*0.0024010248</f>
        <v/>
      </c>
      <c r="AR116" s="7">
        <f>S116*0.0120051238+R116*0.0024010248</f>
        <v/>
      </c>
      <c r="AS116" s="7">
        <f>T116*0.0120051238+S116*0.0024010248</f>
        <v/>
      </c>
      <c r="AT116" s="7">
        <f>U116*0.0120051238+T116*0.0024010248</f>
        <v/>
      </c>
      <c r="AU116" s="7">
        <f>V116*0.0120051238+U116*0.0024010248</f>
        <v/>
      </c>
      <c r="AV116" s="7">
        <f>W116*0.0120051238+V116*0.0024010248</f>
        <v/>
      </c>
      <c r="AW116" s="7">
        <f>X116*0.0120051238+W116*0.0024010248</f>
        <v/>
      </c>
      <c r="AX116" s="7">
        <f>Y116*0.0120051238+X116*0.0024010248</f>
        <v/>
      </c>
      <c r="AY116" s="7">
        <f>Z116*0.0120051238+Y116*0.0024010248</f>
        <v/>
      </c>
      <c r="AZ116" s="7">
        <f>AA116*0.0120051238+Z116*0.0024010248</f>
        <v/>
      </c>
      <c r="BA116" s="7">
        <f>D116*0.0120051238+AA116*0.0024010248</f>
        <v/>
      </c>
      <c r="BB116" s="7">
        <f>SUM(AD116:BA116)</f>
        <v/>
      </c>
    </row>
    <row r="117">
      <c r="A117" t="inlineStr">
        <is>
          <t>DC-10-1</t>
        </is>
      </c>
      <c r="B117" t="inlineStr">
        <is>
          <t>DSC Manual</t>
        </is>
      </c>
      <c r="C117" s="5" t="n">
        <v>46095</v>
      </c>
      <c r="D117" s="6" t="n">
        <v>19</v>
      </c>
      <c r="E117" s="6" t="n">
        <v>2</v>
      </c>
      <c r="F117" s="6" t="n">
        <v>10</v>
      </c>
      <c r="G117" s="6" t="n">
        <v>19</v>
      </c>
      <c r="H117" s="6" t="n">
        <v>19</v>
      </c>
      <c r="I117" s="6" t="n">
        <v>44</v>
      </c>
      <c r="J117" s="6" t="n">
        <v>46</v>
      </c>
      <c r="K117" s="6" t="n">
        <v>0</v>
      </c>
      <c r="L117" s="6" t="n">
        <v>0</v>
      </c>
      <c r="M117" s="6" t="n">
        <v>48</v>
      </c>
      <c r="N117" s="6" t="n">
        <v>41</v>
      </c>
      <c r="O117" s="6" t="n">
        <v>29</v>
      </c>
      <c r="P117" s="6" t="n">
        <v>2</v>
      </c>
      <c r="Q117" s="6" t="n">
        <v>1</v>
      </c>
      <c r="R117" s="6" t="n">
        <v>245</v>
      </c>
      <c r="S117" s="6" t="n">
        <v>200</v>
      </c>
      <c r="T117" s="6" t="n">
        <v>31</v>
      </c>
      <c r="U117" s="6" t="n">
        <v>213</v>
      </c>
      <c r="V117" s="6" t="n">
        <v>164</v>
      </c>
      <c r="W117" s="6" t="n">
        <v>57</v>
      </c>
      <c r="X117" s="6" t="n">
        <v>5</v>
      </c>
      <c r="Y117" s="6" t="n">
        <v>2</v>
      </c>
      <c r="Z117" s="6" t="n">
        <v>9</v>
      </c>
      <c r="AA117" s="6" t="n">
        <v>54</v>
      </c>
      <c r="AB117" s="6">
        <f>SUM(D117:AA117)</f>
        <v/>
      </c>
      <c r="AC117" s="3" t="inlineStr"/>
      <c r="AD117" s="7">
        <f>E117*0.0120051238+D117*0.0024010248</f>
        <v/>
      </c>
      <c r="AE117" s="7">
        <f>F117*0.0120051238+E117*0.0024010248</f>
        <v/>
      </c>
      <c r="AF117" s="7">
        <f>G117*0.0120051238+F117*0.0024010248</f>
        <v/>
      </c>
      <c r="AG117" s="7">
        <f>H117*0.0120051238+G117*0.0024010248</f>
        <v/>
      </c>
      <c r="AH117" s="7">
        <f>I117*0.0120051238+H117*0.0024010248</f>
        <v/>
      </c>
      <c r="AI117" s="7">
        <f>J117*0.0120051238+I117*0.0024010248</f>
        <v/>
      </c>
      <c r="AJ117" s="7">
        <f>K117*0.0120051238+J117*0.0024010248</f>
        <v/>
      </c>
      <c r="AK117" s="7">
        <f>L117*0.0120051238+K117*0.0024010248</f>
        <v/>
      </c>
      <c r="AL117" s="7">
        <f>M117*0.0120051238+L117*0.0024010248</f>
        <v/>
      </c>
      <c r="AM117" s="7">
        <f>N117*0.0120051238+M117*0.0024010248</f>
        <v/>
      </c>
      <c r="AN117" s="7">
        <f>O117*0.0120051238+N117*0.0024010248</f>
        <v/>
      </c>
      <c r="AO117" s="7">
        <f>P117*0.0120051238+O117*0.0024010248</f>
        <v/>
      </c>
      <c r="AP117" s="7">
        <f>Q117*0.0120051238+P117*0.0024010248</f>
        <v/>
      </c>
      <c r="AQ117" s="7">
        <f>R117*0.0120051238+Q117*0.0024010248</f>
        <v/>
      </c>
      <c r="AR117" s="7">
        <f>S117*0.0120051238+R117*0.0024010248</f>
        <v/>
      </c>
      <c r="AS117" s="7">
        <f>T117*0.0120051238+S117*0.0024010248</f>
        <v/>
      </c>
      <c r="AT117" s="7">
        <f>U117*0.0120051238+T117*0.0024010248</f>
        <v/>
      </c>
      <c r="AU117" s="7">
        <f>V117*0.0120051238+U117*0.0024010248</f>
        <v/>
      </c>
      <c r="AV117" s="7">
        <f>W117*0.0120051238+V117*0.0024010248</f>
        <v/>
      </c>
      <c r="AW117" s="7">
        <f>X117*0.0120051238+W117*0.0024010248</f>
        <v/>
      </c>
      <c r="AX117" s="7">
        <f>Y117*0.0120051238+X117*0.0024010248</f>
        <v/>
      </c>
      <c r="AY117" s="7">
        <f>Z117*0.0120051238+Y117*0.0024010248</f>
        <v/>
      </c>
      <c r="AZ117" s="7">
        <f>AA117*0.0120051238+Z117*0.0024010248</f>
        <v/>
      </c>
      <c r="BA117" s="7">
        <f>D117*0.0120051238+AA117*0.0024010248</f>
        <v/>
      </c>
      <c r="BB117" s="7">
        <f>SUM(AD117:BA117)</f>
        <v/>
      </c>
    </row>
    <row r="118">
      <c r="A118" t="inlineStr">
        <is>
          <t>DC-10-1</t>
        </is>
      </c>
      <c r="B118" t="inlineStr">
        <is>
          <t>DSC Manual</t>
        </is>
      </c>
      <c r="C118" s="5" t="n">
        <v>46096</v>
      </c>
      <c r="D118" s="6" t="n">
        <v>29</v>
      </c>
      <c r="E118" s="6" t="n">
        <v>15</v>
      </c>
      <c r="F118" s="6" t="n">
        <v>31</v>
      </c>
      <c r="G118" s="6" t="n">
        <v>40</v>
      </c>
      <c r="H118" s="6" t="n">
        <v>23</v>
      </c>
      <c r="I118" s="6" t="n">
        <v>26</v>
      </c>
      <c r="J118" s="6" t="n">
        <v>17</v>
      </c>
      <c r="K118" s="6" t="n">
        <v>3</v>
      </c>
      <c r="L118" s="6" t="n">
        <v>0</v>
      </c>
      <c r="M118" s="6" t="n">
        <v>0</v>
      </c>
      <c r="N118" s="6" t="n">
        <v>0</v>
      </c>
      <c r="O118" s="6" t="n">
        <v>0</v>
      </c>
      <c r="P118" s="6" t="n">
        <v>0</v>
      </c>
      <c r="Q118" s="6" t="n">
        <v>0</v>
      </c>
      <c r="R118" s="6" t="n">
        <v>192</v>
      </c>
      <c r="S118" s="6" t="n">
        <v>146</v>
      </c>
      <c r="T118" s="6" t="n">
        <v>63</v>
      </c>
      <c r="U118" s="6" t="n">
        <v>172</v>
      </c>
      <c r="V118" s="6" t="n">
        <v>162</v>
      </c>
      <c r="W118" s="6" t="n">
        <v>206</v>
      </c>
      <c r="X118" s="6" t="n">
        <v>238</v>
      </c>
      <c r="Y118" s="6" t="n">
        <v>25</v>
      </c>
      <c r="Z118" s="6" t="n">
        <v>0</v>
      </c>
      <c r="AA118" s="6" t="n">
        <v>14</v>
      </c>
      <c r="AB118" s="6">
        <f>SUM(D118:AA118)</f>
        <v/>
      </c>
      <c r="AC118" s="3" t="inlineStr"/>
      <c r="AD118" s="7">
        <f>E118*0.0120051238+D118*0.0024010248</f>
        <v/>
      </c>
      <c r="AE118" s="7">
        <f>F118*0.0120051238+E118*0.0024010248</f>
        <v/>
      </c>
      <c r="AF118" s="7">
        <f>G118*0.0120051238+F118*0.0024010248</f>
        <v/>
      </c>
      <c r="AG118" s="7">
        <f>H118*0.0120051238+G118*0.0024010248</f>
        <v/>
      </c>
      <c r="AH118" s="7">
        <f>I118*0.0120051238+H118*0.0024010248</f>
        <v/>
      </c>
      <c r="AI118" s="7">
        <f>J118*0.0120051238+I118*0.0024010248</f>
        <v/>
      </c>
      <c r="AJ118" s="7">
        <f>K118*0.0120051238+J118*0.0024010248</f>
        <v/>
      </c>
      <c r="AK118" s="7">
        <f>L118*0.0120051238+K118*0.0024010248</f>
        <v/>
      </c>
      <c r="AL118" s="7">
        <f>M118*0.0120051238+L118*0.0024010248</f>
        <v/>
      </c>
      <c r="AM118" s="7">
        <f>N118*0.0120051238+M118*0.0024010248</f>
        <v/>
      </c>
      <c r="AN118" s="7">
        <f>O118*0.0120051238+N118*0.0024010248</f>
        <v/>
      </c>
      <c r="AO118" s="7">
        <f>P118*0.0120051238+O118*0.0024010248</f>
        <v/>
      </c>
      <c r="AP118" s="7">
        <f>Q118*0.0120051238+P118*0.0024010248</f>
        <v/>
      </c>
      <c r="AQ118" s="7">
        <f>R118*0.0120051238+Q118*0.0024010248</f>
        <v/>
      </c>
      <c r="AR118" s="7">
        <f>S118*0.0120051238+R118*0.0024010248</f>
        <v/>
      </c>
      <c r="AS118" s="7">
        <f>T118*0.0120051238+S118*0.0024010248</f>
        <v/>
      </c>
      <c r="AT118" s="7">
        <f>U118*0.0120051238+T118*0.0024010248</f>
        <v/>
      </c>
      <c r="AU118" s="7">
        <f>V118*0.0120051238+U118*0.0024010248</f>
        <v/>
      </c>
      <c r="AV118" s="7">
        <f>W118*0.0120051238+V118*0.0024010248</f>
        <v/>
      </c>
      <c r="AW118" s="7">
        <f>X118*0.0120051238+W118*0.0024010248</f>
        <v/>
      </c>
      <c r="AX118" s="7">
        <f>Y118*0.0120051238+X118*0.0024010248</f>
        <v/>
      </c>
      <c r="AY118" s="7">
        <f>Z118*0.0120051238+Y118*0.0024010248</f>
        <v/>
      </c>
      <c r="AZ118" s="7">
        <f>AA118*0.0120051238+Z118*0.0024010248</f>
        <v/>
      </c>
      <c r="BA118" s="7">
        <f>D118*0.0120051238+AA118*0.0024010248</f>
        <v/>
      </c>
      <c r="BB118" s="7">
        <f>SUM(AD118:BA118)</f>
        <v/>
      </c>
    </row>
    <row r="119">
      <c r="A119" t="inlineStr">
        <is>
          <t>DC-10-1</t>
        </is>
      </c>
      <c r="B119" t="inlineStr">
        <is>
          <t>DSC Manual</t>
        </is>
      </c>
      <c r="C119" s="5" t="n">
        <v>46097</v>
      </c>
      <c r="D119" s="6" t="n">
        <v>7</v>
      </c>
      <c r="E119" s="6" t="n">
        <v>5</v>
      </c>
      <c r="F119" s="6" t="n">
        <v>12</v>
      </c>
      <c r="G119" s="6" t="n">
        <v>32</v>
      </c>
      <c r="H119" s="6" t="n">
        <v>22</v>
      </c>
      <c r="I119" s="6" t="n">
        <v>21</v>
      </c>
      <c r="J119" s="6" t="n">
        <v>2</v>
      </c>
      <c r="K119" s="6" t="n">
        <v>0</v>
      </c>
      <c r="L119" s="6" t="n">
        <v>0</v>
      </c>
      <c r="M119" s="6" t="n">
        <v>0</v>
      </c>
      <c r="N119" s="6" t="n">
        <v>0</v>
      </c>
      <c r="O119" s="6" t="n">
        <v>0</v>
      </c>
      <c r="P119" s="6" t="n">
        <v>0</v>
      </c>
      <c r="Q119" s="6" t="n">
        <v>0</v>
      </c>
      <c r="R119" s="6" t="n">
        <v>217</v>
      </c>
      <c r="S119" s="6" t="n">
        <v>170</v>
      </c>
      <c r="T119" s="6" t="n">
        <v>46</v>
      </c>
      <c r="U119" s="6" t="n">
        <v>139</v>
      </c>
      <c r="V119" s="6" t="n">
        <v>163</v>
      </c>
      <c r="W119" s="6" t="n">
        <v>196</v>
      </c>
      <c r="X119" s="6" t="n">
        <v>214</v>
      </c>
      <c r="Y119" s="6" t="n">
        <v>143</v>
      </c>
      <c r="Z119" s="6" t="n">
        <v>0</v>
      </c>
      <c r="AA119" s="6" t="n">
        <v>0</v>
      </c>
      <c r="AB119" s="6">
        <f>SUM(D119:AA119)</f>
        <v/>
      </c>
      <c r="AC119" s="3" t="inlineStr"/>
      <c r="AD119" s="7">
        <f>E119*0.0120051238+D119*0.0024010248</f>
        <v/>
      </c>
      <c r="AE119" s="7">
        <f>F119*0.0120051238+E119*0.0024010248</f>
        <v/>
      </c>
      <c r="AF119" s="7">
        <f>G119*0.0120051238+F119*0.0024010248</f>
        <v/>
      </c>
      <c r="AG119" s="7">
        <f>H119*0.0120051238+G119*0.0024010248</f>
        <v/>
      </c>
      <c r="AH119" s="7">
        <f>I119*0.0120051238+H119*0.0024010248</f>
        <v/>
      </c>
      <c r="AI119" s="7">
        <f>J119*0.0120051238+I119*0.0024010248</f>
        <v/>
      </c>
      <c r="AJ119" s="7">
        <f>K119*0.0120051238+J119*0.0024010248</f>
        <v/>
      </c>
      <c r="AK119" s="7">
        <f>L119*0.0120051238+K119*0.0024010248</f>
        <v/>
      </c>
      <c r="AL119" s="7">
        <f>M119*0.0120051238+L119*0.0024010248</f>
        <v/>
      </c>
      <c r="AM119" s="7">
        <f>N119*0.0120051238+M119*0.0024010248</f>
        <v/>
      </c>
      <c r="AN119" s="7">
        <f>O119*0.0120051238+N119*0.0024010248</f>
        <v/>
      </c>
      <c r="AO119" s="7">
        <f>P119*0.0120051238+O119*0.0024010248</f>
        <v/>
      </c>
      <c r="AP119" s="7">
        <f>Q119*0.0120051238+P119*0.0024010248</f>
        <v/>
      </c>
      <c r="AQ119" s="7">
        <f>R119*0.0120051238+Q119*0.0024010248</f>
        <v/>
      </c>
      <c r="AR119" s="7">
        <f>S119*0.0120051238+R119*0.0024010248</f>
        <v/>
      </c>
      <c r="AS119" s="7">
        <f>T119*0.0120051238+S119*0.0024010248</f>
        <v/>
      </c>
      <c r="AT119" s="7">
        <f>U119*0.0120051238+T119*0.0024010248</f>
        <v/>
      </c>
      <c r="AU119" s="7">
        <f>V119*0.0120051238+U119*0.0024010248</f>
        <v/>
      </c>
      <c r="AV119" s="7">
        <f>W119*0.0120051238+V119*0.0024010248</f>
        <v/>
      </c>
      <c r="AW119" s="7">
        <f>X119*0.0120051238+W119*0.0024010248</f>
        <v/>
      </c>
      <c r="AX119" s="7">
        <f>Y119*0.0120051238+X119*0.0024010248</f>
        <v/>
      </c>
      <c r="AY119" s="7">
        <f>Z119*0.0120051238+Y119*0.0024010248</f>
        <v/>
      </c>
      <c r="AZ119" s="7">
        <f>AA119*0.0120051238+Z119*0.0024010248</f>
        <v/>
      </c>
      <c r="BA119" s="7">
        <f>D119*0.0120051238+AA119*0.0024010248</f>
        <v/>
      </c>
      <c r="BB119" s="7">
        <f>SUM(AD119:BA119)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B1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Layout</t>
        </is>
      </c>
      <c r="B1" s="1" t="inlineStr">
        <is>
          <t>Layout Type</t>
        </is>
      </c>
      <c r="C1" s="1" t="inlineStr">
        <is>
          <t>Date</t>
        </is>
      </c>
      <c r="D1" s="2" t="inlineStr">
        <is>
          <t>Act Vol 12 AM</t>
        </is>
      </c>
      <c r="E1" s="2" t="inlineStr">
        <is>
          <t>Act Vol 1 AM</t>
        </is>
      </c>
      <c r="F1" s="2" t="inlineStr">
        <is>
          <t>Act Vol 2 AM</t>
        </is>
      </c>
      <c r="G1" s="2" t="inlineStr">
        <is>
          <t>Act Vol 3 AM</t>
        </is>
      </c>
      <c r="H1" s="2" t="inlineStr">
        <is>
          <t>Act Vol 4 AM</t>
        </is>
      </c>
      <c r="I1" s="2" t="inlineStr">
        <is>
          <t>Act Vol 5 AM</t>
        </is>
      </c>
      <c r="J1" s="2" t="inlineStr">
        <is>
          <t>Act Vol 6 AM</t>
        </is>
      </c>
      <c r="K1" s="2" t="inlineStr">
        <is>
          <t>Act Vol 7 AM</t>
        </is>
      </c>
      <c r="L1" s="2" t="inlineStr">
        <is>
          <t>Act Vol 8 AM</t>
        </is>
      </c>
      <c r="M1" s="2" t="inlineStr">
        <is>
          <t>Act Vol 9 AM</t>
        </is>
      </c>
      <c r="N1" s="2" t="inlineStr">
        <is>
          <t>Act Vol 10 AM</t>
        </is>
      </c>
      <c r="O1" s="2" t="inlineStr">
        <is>
          <t>Act Vol 11 AM</t>
        </is>
      </c>
      <c r="P1" s="2" t="inlineStr">
        <is>
          <t>Act Vol 12 PM</t>
        </is>
      </c>
      <c r="Q1" s="2" t="inlineStr">
        <is>
          <t>Act Vol 1 PM</t>
        </is>
      </c>
      <c r="R1" s="2" t="inlineStr">
        <is>
          <t>Act Vol 2 PM</t>
        </is>
      </c>
      <c r="S1" s="2" t="inlineStr">
        <is>
          <t>Act Vol 3 PM</t>
        </is>
      </c>
      <c r="T1" s="2" t="inlineStr">
        <is>
          <t>Act Vol 4 PM</t>
        </is>
      </c>
      <c r="U1" s="2" t="inlineStr">
        <is>
          <t>Act Vol 5 PM</t>
        </is>
      </c>
      <c r="V1" s="2" t="inlineStr">
        <is>
          <t>Act Vol 6 PM</t>
        </is>
      </c>
      <c r="W1" s="2" t="inlineStr">
        <is>
          <t>Act Vol 7 PM</t>
        </is>
      </c>
      <c r="X1" s="2" t="inlineStr">
        <is>
          <t>Act Vol 8 PM</t>
        </is>
      </c>
      <c r="Y1" s="2" t="inlineStr">
        <is>
          <t>Act Vol 9 PM</t>
        </is>
      </c>
      <c r="Z1" s="2" t="inlineStr">
        <is>
          <t>Act Vol 10 PM</t>
        </is>
      </c>
      <c r="AA1" s="2" t="inlineStr">
        <is>
          <t>Act Vol 11 PM</t>
        </is>
      </c>
      <c r="AB1" s="2" t="inlineStr">
        <is>
          <t>Act Vol Total</t>
        </is>
      </c>
      <c r="AC1" s="3" t="inlineStr"/>
      <c r="AD1" s="4" t="inlineStr">
        <is>
          <t>MH 12 AM</t>
        </is>
      </c>
      <c r="AE1" s="4" t="inlineStr">
        <is>
          <t>MH 1 AM</t>
        </is>
      </c>
      <c r="AF1" s="4" t="inlineStr">
        <is>
          <t>MH 2 AM</t>
        </is>
      </c>
      <c r="AG1" s="4" t="inlineStr">
        <is>
          <t>MH 3 AM</t>
        </is>
      </c>
      <c r="AH1" s="4" t="inlineStr">
        <is>
          <t>MH 4 AM</t>
        </is>
      </c>
      <c r="AI1" s="4" t="inlineStr">
        <is>
          <t>MH 5 AM</t>
        </is>
      </c>
      <c r="AJ1" s="4" t="inlineStr">
        <is>
          <t>MH 6 AM</t>
        </is>
      </c>
      <c r="AK1" s="4" t="inlineStr">
        <is>
          <t>MH 7 AM</t>
        </is>
      </c>
      <c r="AL1" s="4" t="inlineStr">
        <is>
          <t>MH 8 AM</t>
        </is>
      </c>
      <c r="AM1" s="4" t="inlineStr">
        <is>
          <t>MH 9 AM</t>
        </is>
      </c>
      <c r="AN1" s="4" t="inlineStr">
        <is>
          <t>MH 10 AM</t>
        </is>
      </c>
      <c r="AO1" s="4" t="inlineStr">
        <is>
          <t>MH 11 AM</t>
        </is>
      </c>
      <c r="AP1" s="4" t="inlineStr">
        <is>
          <t>MH 12 PM</t>
        </is>
      </c>
      <c r="AQ1" s="4" t="inlineStr">
        <is>
          <t>MH 1 PM</t>
        </is>
      </c>
      <c r="AR1" s="4" t="inlineStr">
        <is>
          <t>MH 2 PM</t>
        </is>
      </c>
      <c r="AS1" s="4" t="inlineStr">
        <is>
          <t>MH 3 PM</t>
        </is>
      </c>
      <c r="AT1" s="4" t="inlineStr">
        <is>
          <t>MH 4 PM</t>
        </is>
      </c>
      <c r="AU1" s="4" t="inlineStr">
        <is>
          <t>MH 5 PM</t>
        </is>
      </c>
      <c r="AV1" s="4" t="inlineStr">
        <is>
          <t>MH 6 PM</t>
        </is>
      </c>
      <c r="AW1" s="4" t="inlineStr">
        <is>
          <t>MH 7 PM</t>
        </is>
      </c>
      <c r="AX1" s="4" t="inlineStr">
        <is>
          <t>MH 8 PM</t>
        </is>
      </c>
      <c r="AY1" s="4" t="inlineStr">
        <is>
          <t>MH 9 PM</t>
        </is>
      </c>
      <c r="AZ1" s="4" t="inlineStr">
        <is>
          <t>MH 10 PM</t>
        </is>
      </c>
      <c r="BA1" s="4" t="inlineStr">
        <is>
          <t>MH 11 PM</t>
        </is>
      </c>
      <c r="BB1" s="4" t="inlineStr">
        <is>
          <t>MH Total</t>
        </is>
      </c>
    </row>
    <row r="2">
      <c r="A2" t="inlineStr">
        <is>
          <t>AMD-AIR-NEW-SSC</t>
        </is>
      </c>
      <c r="B2" t="inlineStr">
        <is>
          <t>Forward Regular OSC</t>
        </is>
      </c>
      <c r="C2" s="5" t="n">
        <v>46093</v>
      </c>
      <c r="D2" s="6">
        <f>Summary!D2</f>
        <v/>
      </c>
      <c r="E2" s="6">
        <f>Summary!E2</f>
        <v/>
      </c>
      <c r="F2" s="6">
        <f>Summary!F2</f>
        <v/>
      </c>
      <c r="G2" s="6">
        <f>Summary!G2</f>
        <v/>
      </c>
      <c r="H2" s="6">
        <f>Summary!H2</f>
        <v/>
      </c>
      <c r="I2" s="6">
        <f>Summary!I2</f>
        <v/>
      </c>
      <c r="J2" s="6">
        <f>Summary!J2</f>
        <v/>
      </c>
      <c r="K2" s="6">
        <f>Summary!K2</f>
        <v/>
      </c>
      <c r="L2" s="6">
        <f>Summary!L2</f>
        <v/>
      </c>
      <c r="M2" s="6">
        <f>Summary!M2</f>
        <v/>
      </c>
      <c r="N2" s="6">
        <f>Summary!N2</f>
        <v/>
      </c>
      <c r="O2" s="6">
        <f>Summary!O2</f>
        <v/>
      </c>
      <c r="P2" s="6">
        <f>Summary!P2</f>
        <v/>
      </c>
      <c r="Q2" s="6">
        <f>Summary!Q2</f>
        <v/>
      </c>
      <c r="R2" s="6">
        <f>Summary!R2</f>
        <v/>
      </c>
      <c r="S2" s="6">
        <f>Summary!S2</f>
        <v/>
      </c>
      <c r="T2" s="6">
        <f>Summary!T2</f>
        <v/>
      </c>
      <c r="U2" s="6">
        <f>Summary!U2</f>
        <v/>
      </c>
      <c r="V2" s="6">
        <f>Summary!V2</f>
        <v/>
      </c>
      <c r="W2" s="6">
        <f>Summary!W2</f>
        <v/>
      </c>
      <c r="X2" s="6">
        <f>Summary!X2</f>
        <v/>
      </c>
      <c r="Y2" s="6">
        <f>Summary!Y2</f>
        <v/>
      </c>
      <c r="Z2" s="6">
        <f>Summary!Z2</f>
        <v/>
      </c>
      <c r="AA2" s="6">
        <f>Summary!AA2</f>
        <v/>
      </c>
      <c r="AB2" s="6">
        <f>SUM(D2:AA2)</f>
        <v/>
      </c>
      <c r="AC2" s="3" t="inlineStr"/>
      <c r="AD2" s="7">
        <f>Y2*0.00045414</f>
        <v/>
      </c>
      <c r="AE2" s="7">
        <f>Z2*0.00045414</f>
        <v/>
      </c>
      <c r="AF2" s="7">
        <f>AA2*0.00045414</f>
        <v/>
      </c>
      <c r="AG2" s="7">
        <f>D2*0.00045414</f>
        <v/>
      </c>
      <c r="AH2" s="7">
        <f>E2*0.00045414</f>
        <v/>
      </c>
      <c r="AI2" s="7">
        <f>F2*0.00045414</f>
        <v/>
      </c>
      <c r="AJ2" s="7">
        <f>G2*0.00045414</f>
        <v/>
      </c>
      <c r="AK2" s="7">
        <f>H2*0.00045414</f>
        <v/>
      </c>
      <c r="AL2" s="7">
        <f>I2*0.00045414</f>
        <v/>
      </c>
      <c r="AM2" s="7">
        <f>J2*0.00045414</f>
        <v/>
      </c>
      <c r="AN2" s="7">
        <f>K2*0.00045414</f>
        <v/>
      </c>
      <c r="AO2" s="7">
        <f>L2*0.00045414</f>
        <v/>
      </c>
      <c r="AP2" s="7">
        <f>M2*0.00045414</f>
        <v/>
      </c>
      <c r="AQ2" s="7">
        <f>N2*0.00045414</f>
        <v/>
      </c>
      <c r="AR2" s="7">
        <f>O2*0.00045414</f>
        <v/>
      </c>
      <c r="AS2" s="7">
        <f>P2*0.00045414</f>
        <v/>
      </c>
      <c r="AT2" s="7">
        <f>Q2*0.00045414</f>
        <v/>
      </c>
      <c r="AU2" s="7">
        <f>R2*0.00045414</f>
        <v/>
      </c>
      <c r="AV2" s="7">
        <f>S2*0.00045414</f>
        <v/>
      </c>
      <c r="AW2" s="7">
        <f>T2*0.00045414</f>
        <v/>
      </c>
      <c r="AX2" s="7">
        <f>U2*0.00045414</f>
        <v/>
      </c>
      <c r="AY2" s="7">
        <f>V2*0.00045414</f>
        <v/>
      </c>
      <c r="AZ2" s="7">
        <f>W2*0.00045414</f>
        <v/>
      </c>
      <c r="BA2" s="7">
        <f>X2*0.00045414</f>
        <v/>
      </c>
      <c r="BB2" s="7">
        <f>SUM(AD2:BA2)</f>
        <v/>
      </c>
    </row>
    <row r="3">
      <c r="A3" t="inlineStr">
        <is>
          <t>AMD-AIR-NEW-SSC</t>
        </is>
      </c>
      <c r="B3" t="inlineStr">
        <is>
          <t>Forward Regular OSC</t>
        </is>
      </c>
      <c r="C3" s="5" t="n">
        <v>46094</v>
      </c>
      <c r="D3" s="6">
        <f>Summary!D3</f>
        <v/>
      </c>
      <c r="E3" s="6">
        <f>Summary!E3</f>
        <v/>
      </c>
      <c r="F3" s="6">
        <f>Summary!F3</f>
        <v/>
      </c>
      <c r="G3" s="6">
        <f>Summary!G3</f>
        <v/>
      </c>
      <c r="H3" s="6">
        <f>Summary!H3</f>
        <v/>
      </c>
      <c r="I3" s="6">
        <f>Summary!I3</f>
        <v/>
      </c>
      <c r="J3" s="6">
        <f>Summary!J3</f>
        <v/>
      </c>
      <c r="K3" s="6">
        <f>Summary!K3</f>
        <v/>
      </c>
      <c r="L3" s="6">
        <f>Summary!L3</f>
        <v/>
      </c>
      <c r="M3" s="6">
        <f>Summary!M3</f>
        <v/>
      </c>
      <c r="N3" s="6">
        <f>Summary!N3</f>
        <v/>
      </c>
      <c r="O3" s="6">
        <f>Summary!O3</f>
        <v/>
      </c>
      <c r="P3" s="6">
        <f>Summary!P3</f>
        <v/>
      </c>
      <c r="Q3" s="6">
        <f>Summary!Q3</f>
        <v/>
      </c>
      <c r="R3" s="6">
        <f>Summary!R3</f>
        <v/>
      </c>
      <c r="S3" s="6">
        <f>Summary!S3</f>
        <v/>
      </c>
      <c r="T3" s="6">
        <f>Summary!T3</f>
        <v/>
      </c>
      <c r="U3" s="6">
        <f>Summary!U3</f>
        <v/>
      </c>
      <c r="V3" s="6">
        <f>Summary!V3</f>
        <v/>
      </c>
      <c r="W3" s="6">
        <f>Summary!W3</f>
        <v/>
      </c>
      <c r="X3" s="6">
        <f>Summary!X3</f>
        <v/>
      </c>
      <c r="Y3" s="6">
        <f>Summary!Y3</f>
        <v/>
      </c>
      <c r="Z3" s="6">
        <f>Summary!Z3</f>
        <v/>
      </c>
      <c r="AA3" s="6">
        <f>Summary!AA3</f>
        <v/>
      </c>
      <c r="AB3" s="6">
        <f>SUM(D3:AA3)</f>
        <v/>
      </c>
      <c r="AC3" s="3" t="inlineStr"/>
      <c r="AD3" s="7">
        <f>Y3*0.00045414</f>
        <v/>
      </c>
      <c r="AE3" s="7">
        <f>Z3*0.00045414</f>
        <v/>
      </c>
      <c r="AF3" s="7">
        <f>AA3*0.00045414</f>
        <v/>
      </c>
      <c r="AG3" s="7">
        <f>D3*0.00045414</f>
        <v/>
      </c>
      <c r="AH3" s="7">
        <f>E3*0.00045414</f>
        <v/>
      </c>
      <c r="AI3" s="7">
        <f>F3*0.00045414</f>
        <v/>
      </c>
      <c r="AJ3" s="7">
        <f>G3*0.00045414</f>
        <v/>
      </c>
      <c r="AK3" s="7">
        <f>H3*0.00045414</f>
        <v/>
      </c>
      <c r="AL3" s="7">
        <f>I3*0.00045414</f>
        <v/>
      </c>
      <c r="AM3" s="7">
        <f>J3*0.00045414</f>
        <v/>
      </c>
      <c r="AN3" s="7">
        <f>K3*0.00045414</f>
        <v/>
      </c>
      <c r="AO3" s="7">
        <f>L3*0.00045414</f>
        <v/>
      </c>
      <c r="AP3" s="7">
        <f>M3*0.00045414</f>
        <v/>
      </c>
      <c r="AQ3" s="7">
        <f>N3*0.00045414</f>
        <v/>
      </c>
      <c r="AR3" s="7">
        <f>O3*0.00045414</f>
        <v/>
      </c>
      <c r="AS3" s="7">
        <f>P3*0.00045414</f>
        <v/>
      </c>
      <c r="AT3" s="7">
        <f>Q3*0.00045414</f>
        <v/>
      </c>
      <c r="AU3" s="7">
        <f>R3*0.00045414</f>
        <v/>
      </c>
      <c r="AV3" s="7">
        <f>S3*0.00045414</f>
        <v/>
      </c>
      <c r="AW3" s="7">
        <f>T3*0.00045414</f>
        <v/>
      </c>
      <c r="AX3" s="7">
        <f>U3*0.00045414</f>
        <v/>
      </c>
      <c r="AY3" s="7">
        <f>V3*0.00045414</f>
        <v/>
      </c>
      <c r="AZ3" s="7">
        <f>W3*0.00045414</f>
        <v/>
      </c>
      <c r="BA3" s="7">
        <f>X3*0.00045414</f>
        <v/>
      </c>
      <c r="BB3" s="7">
        <f>SUM(AD3:BA3)</f>
        <v/>
      </c>
    </row>
    <row r="4">
      <c r="A4" t="inlineStr">
        <is>
          <t>AMD-AIR-NEW-SSC</t>
        </is>
      </c>
      <c r="B4" t="inlineStr">
        <is>
          <t>Forward Regular OSC</t>
        </is>
      </c>
      <c r="C4" s="5" t="n">
        <v>46096</v>
      </c>
      <c r="D4" s="6">
        <f>Summary!D4</f>
        <v/>
      </c>
      <c r="E4" s="6">
        <f>Summary!E4</f>
        <v/>
      </c>
      <c r="F4" s="6">
        <f>Summary!F4</f>
        <v/>
      </c>
      <c r="G4" s="6">
        <f>Summary!G4</f>
        <v/>
      </c>
      <c r="H4" s="6">
        <f>Summary!H4</f>
        <v/>
      </c>
      <c r="I4" s="6">
        <f>Summary!I4</f>
        <v/>
      </c>
      <c r="J4" s="6">
        <f>Summary!J4</f>
        <v/>
      </c>
      <c r="K4" s="6">
        <f>Summary!K4</f>
        <v/>
      </c>
      <c r="L4" s="6">
        <f>Summary!L4</f>
        <v/>
      </c>
      <c r="M4" s="6">
        <f>Summary!M4</f>
        <v/>
      </c>
      <c r="N4" s="6">
        <f>Summary!N4</f>
        <v/>
      </c>
      <c r="O4" s="6">
        <f>Summary!O4</f>
        <v/>
      </c>
      <c r="P4" s="6">
        <f>Summary!P4</f>
        <v/>
      </c>
      <c r="Q4" s="6">
        <f>Summary!Q4</f>
        <v/>
      </c>
      <c r="R4" s="6">
        <f>Summary!R4</f>
        <v/>
      </c>
      <c r="S4" s="6">
        <f>Summary!S4</f>
        <v/>
      </c>
      <c r="T4" s="6">
        <f>Summary!T4</f>
        <v/>
      </c>
      <c r="U4" s="6">
        <f>Summary!U4</f>
        <v/>
      </c>
      <c r="V4" s="6">
        <f>Summary!V4</f>
        <v/>
      </c>
      <c r="W4" s="6">
        <f>Summary!W4</f>
        <v/>
      </c>
      <c r="X4" s="6">
        <f>Summary!X4</f>
        <v/>
      </c>
      <c r="Y4" s="6">
        <f>Summary!Y4</f>
        <v/>
      </c>
      <c r="Z4" s="6">
        <f>Summary!Z4</f>
        <v/>
      </c>
      <c r="AA4" s="6">
        <f>Summary!AA4</f>
        <v/>
      </c>
      <c r="AB4" s="6">
        <f>SUM(D4:AA4)</f>
        <v/>
      </c>
      <c r="AC4" s="3" t="inlineStr"/>
      <c r="AD4" s="7">
        <f>Y4*0.00045414</f>
        <v/>
      </c>
      <c r="AE4" s="7">
        <f>Z4*0.00045414</f>
        <v/>
      </c>
      <c r="AF4" s="7">
        <f>AA4*0.00045414</f>
        <v/>
      </c>
      <c r="AG4" s="7">
        <f>D4*0.00045414</f>
        <v/>
      </c>
      <c r="AH4" s="7">
        <f>E4*0.00045414</f>
        <v/>
      </c>
      <c r="AI4" s="7">
        <f>F4*0.00045414</f>
        <v/>
      </c>
      <c r="AJ4" s="7">
        <f>G4*0.00045414</f>
        <v/>
      </c>
      <c r="AK4" s="7">
        <f>H4*0.00045414</f>
        <v/>
      </c>
      <c r="AL4" s="7">
        <f>I4*0.00045414</f>
        <v/>
      </c>
      <c r="AM4" s="7">
        <f>J4*0.00045414</f>
        <v/>
      </c>
      <c r="AN4" s="7">
        <f>K4*0.00045414</f>
        <v/>
      </c>
      <c r="AO4" s="7">
        <f>L4*0.00045414</f>
        <v/>
      </c>
      <c r="AP4" s="7">
        <f>M4*0.00045414</f>
        <v/>
      </c>
      <c r="AQ4" s="7">
        <f>N4*0.00045414</f>
        <v/>
      </c>
      <c r="AR4" s="7">
        <f>O4*0.00045414</f>
        <v/>
      </c>
      <c r="AS4" s="7">
        <f>P4*0.00045414</f>
        <v/>
      </c>
      <c r="AT4" s="7">
        <f>Q4*0.00045414</f>
        <v/>
      </c>
      <c r="AU4" s="7">
        <f>R4*0.00045414</f>
        <v/>
      </c>
      <c r="AV4" s="7">
        <f>S4*0.00045414</f>
        <v/>
      </c>
      <c r="AW4" s="7">
        <f>T4*0.00045414</f>
        <v/>
      </c>
      <c r="AX4" s="7">
        <f>U4*0.00045414</f>
        <v/>
      </c>
      <c r="AY4" s="7">
        <f>V4*0.00045414</f>
        <v/>
      </c>
      <c r="AZ4" s="7">
        <f>W4*0.00045414</f>
        <v/>
      </c>
      <c r="BA4" s="7">
        <f>X4*0.00045414</f>
        <v/>
      </c>
      <c r="BB4" s="7">
        <f>SUM(AD4:BA4)</f>
        <v/>
      </c>
    </row>
    <row r="5">
      <c r="A5" t="inlineStr">
        <is>
          <t>AMD-AIR-NEW-SSC</t>
        </is>
      </c>
      <c r="B5" t="inlineStr">
        <is>
          <t>Forward Regular OSC</t>
        </is>
      </c>
      <c r="C5" s="5" t="n">
        <v>46097</v>
      </c>
      <c r="D5" s="6">
        <f>Summary!D5</f>
        <v/>
      </c>
      <c r="E5" s="6">
        <f>Summary!E5</f>
        <v/>
      </c>
      <c r="F5" s="6">
        <f>Summary!F5</f>
        <v/>
      </c>
      <c r="G5" s="6">
        <f>Summary!G5</f>
        <v/>
      </c>
      <c r="H5" s="6">
        <f>Summary!H5</f>
        <v/>
      </c>
      <c r="I5" s="6">
        <f>Summary!I5</f>
        <v/>
      </c>
      <c r="J5" s="6">
        <f>Summary!J5</f>
        <v/>
      </c>
      <c r="K5" s="6">
        <f>Summary!K5</f>
        <v/>
      </c>
      <c r="L5" s="6">
        <f>Summary!L5</f>
        <v/>
      </c>
      <c r="M5" s="6">
        <f>Summary!M5</f>
        <v/>
      </c>
      <c r="N5" s="6">
        <f>Summary!N5</f>
        <v/>
      </c>
      <c r="O5" s="6">
        <f>Summary!O5</f>
        <v/>
      </c>
      <c r="P5" s="6">
        <f>Summary!P5</f>
        <v/>
      </c>
      <c r="Q5" s="6">
        <f>Summary!Q5</f>
        <v/>
      </c>
      <c r="R5" s="6">
        <f>Summary!R5</f>
        <v/>
      </c>
      <c r="S5" s="6">
        <f>Summary!S5</f>
        <v/>
      </c>
      <c r="T5" s="6">
        <f>Summary!T5</f>
        <v/>
      </c>
      <c r="U5" s="6">
        <f>Summary!U5</f>
        <v/>
      </c>
      <c r="V5" s="6">
        <f>Summary!V5</f>
        <v/>
      </c>
      <c r="W5" s="6">
        <f>Summary!W5</f>
        <v/>
      </c>
      <c r="X5" s="6">
        <f>Summary!X5</f>
        <v/>
      </c>
      <c r="Y5" s="6">
        <f>Summary!Y5</f>
        <v/>
      </c>
      <c r="Z5" s="6">
        <f>Summary!Z5</f>
        <v/>
      </c>
      <c r="AA5" s="6">
        <f>Summary!AA5</f>
        <v/>
      </c>
      <c r="AB5" s="6">
        <f>SUM(D5:AA5)</f>
        <v/>
      </c>
      <c r="AC5" s="3" t="inlineStr"/>
      <c r="AD5" s="7">
        <f>Y5*0.00045414</f>
        <v/>
      </c>
      <c r="AE5" s="7">
        <f>Z5*0.00045414</f>
        <v/>
      </c>
      <c r="AF5" s="7">
        <f>AA5*0.00045414</f>
        <v/>
      </c>
      <c r="AG5" s="7">
        <f>D5*0.00045414</f>
        <v/>
      </c>
      <c r="AH5" s="7">
        <f>E5*0.00045414</f>
        <v/>
      </c>
      <c r="AI5" s="7">
        <f>F5*0.00045414</f>
        <v/>
      </c>
      <c r="AJ5" s="7">
        <f>G5*0.00045414</f>
        <v/>
      </c>
      <c r="AK5" s="7">
        <f>H5*0.00045414</f>
        <v/>
      </c>
      <c r="AL5" s="7">
        <f>I5*0.00045414</f>
        <v/>
      </c>
      <c r="AM5" s="7">
        <f>J5*0.00045414</f>
        <v/>
      </c>
      <c r="AN5" s="7">
        <f>K5*0.00045414</f>
        <v/>
      </c>
      <c r="AO5" s="7">
        <f>L5*0.00045414</f>
        <v/>
      </c>
      <c r="AP5" s="7">
        <f>M5*0.00045414</f>
        <v/>
      </c>
      <c r="AQ5" s="7">
        <f>N5*0.00045414</f>
        <v/>
      </c>
      <c r="AR5" s="7">
        <f>O5*0.00045414</f>
        <v/>
      </c>
      <c r="AS5" s="7">
        <f>P5*0.00045414</f>
        <v/>
      </c>
      <c r="AT5" s="7">
        <f>Q5*0.00045414</f>
        <v/>
      </c>
      <c r="AU5" s="7">
        <f>R5*0.00045414</f>
        <v/>
      </c>
      <c r="AV5" s="7">
        <f>S5*0.00045414</f>
        <v/>
      </c>
      <c r="AW5" s="7">
        <f>T5*0.00045414</f>
        <v/>
      </c>
      <c r="AX5" s="7">
        <f>U5*0.00045414</f>
        <v/>
      </c>
      <c r="AY5" s="7">
        <f>V5*0.00045414</f>
        <v/>
      </c>
      <c r="AZ5" s="7">
        <f>W5*0.00045414</f>
        <v/>
      </c>
      <c r="BA5" s="7">
        <f>X5*0.00045414</f>
        <v/>
      </c>
      <c r="BB5" s="7">
        <f>SUM(AD5:BA5)</f>
        <v/>
      </c>
    </row>
    <row r="6">
      <c r="A6" t="inlineStr">
        <is>
          <t>AMD-AIR-NEW-SSC</t>
        </is>
      </c>
      <c r="B6" t="inlineStr">
        <is>
          <t>Forward Regular OSC</t>
        </is>
      </c>
      <c r="C6" s="5" t="n">
        <v>46100</v>
      </c>
      <c r="D6" s="6">
        <f>Summary!D6</f>
        <v/>
      </c>
      <c r="E6" s="6">
        <f>Summary!E6</f>
        <v/>
      </c>
      <c r="F6" s="6">
        <f>Summary!F6</f>
        <v/>
      </c>
      <c r="G6" s="6">
        <f>Summary!G6</f>
        <v/>
      </c>
      <c r="H6" s="6">
        <f>Summary!H6</f>
        <v/>
      </c>
      <c r="I6" s="6">
        <f>Summary!I6</f>
        <v/>
      </c>
      <c r="J6" s="6">
        <f>Summary!J6</f>
        <v/>
      </c>
      <c r="K6" s="6">
        <f>Summary!K6</f>
        <v/>
      </c>
      <c r="L6" s="6">
        <f>Summary!L6</f>
        <v/>
      </c>
      <c r="M6" s="6">
        <f>Summary!M6</f>
        <v/>
      </c>
      <c r="N6" s="6">
        <f>Summary!N6</f>
        <v/>
      </c>
      <c r="O6" s="6">
        <f>Summary!O6</f>
        <v/>
      </c>
      <c r="P6" s="6">
        <f>Summary!P6</f>
        <v/>
      </c>
      <c r="Q6" s="6">
        <f>Summary!Q6</f>
        <v/>
      </c>
      <c r="R6" s="6">
        <f>Summary!R6</f>
        <v/>
      </c>
      <c r="S6" s="6">
        <f>Summary!S6</f>
        <v/>
      </c>
      <c r="T6" s="6">
        <f>Summary!T6</f>
        <v/>
      </c>
      <c r="U6" s="6">
        <f>Summary!U6</f>
        <v/>
      </c>
      <c r="V6" s="6">
        <f>Summary!V6</f>
        <v/>
      </c>
      <c r="W6" s="6">
        <f>Summary!W6</f>
        <v/>
      </c>
      <c r="X6" s="6">
        <f>Summary!X6</f>
        <v/>
      </c>
      <c r="Y6" s="6">
        <f>Summary!Y6</f>
        <v/>
      </c>
      <c r="Z6" s="6">
        <f>Summary!Z6</f>
        <v/>
      </c>
      <c r="AA6" s="6">
        <f>Summary!AA6</f>
        <v/>
      </c>
      <c r="AB6" s="6">
        <f>SUM(D6:AA6)</f>
        <v/>
      </c>
      <c r="AC6" s="3" t="inlineStr"/>
      <c r="AD6" s="7">
        <f>Y6*0.00045414</f>
        <v/>
      </c>
      <c r="AE6" s="7">
        <f>Z6*0.00045414</f>
        <v/>
      </c>
      <c r="AF6" s="7">
        <f>AA6*0.00045414</f>
        <v/>
      </c>
      <c r="AG6" s="7">
        <f>D6*0.00045414</f>
        <v/>
      </c>
      <c r="AH6" s="7">
        <f>E6*0.00045414</f>
        <v/>
      </c>
      <c r="AI6" s="7">
        <f>F6*0.00045414</f>
        <v/>
      </c>
      <c r="AJ6" s="7">
        <f>G6*0.00045414</f>
        <v/>
      </c>
      <c r="AK6" s="7">
        <f>H6*0.00045414</f>
        <v/>
      </c>
      <c r="AL6" s="7">
        <f>I6*0.00045414</f>
        <v/>
      </c>
      <c r="AM6" s="7">
        <f>J6*0.00045414</f>
        <v/>
      </c>
      <c r="AN6" s="7">
        <f>K6*0.00045414</f>
        <v/>
      </c>
      <c r="AO6" s="7">
        <f>L6*0.00045414</f>
        <v/>
      </c>
      <c r="AP6" s="7">
        <f>M6*0.00045414</f>
        <v/>
      </c>
      <c r="AQ6" s="7">
        <f>N6*0.00045414</f>
        <v/>
      </c>
      <c r="AR6" s="7">
        <f>O6*0.00045414</f>
        <v/>
      </c>
      <c r="AS6" s="7">
        <f>P6*0.00045414</f>
        <v/>
      </c>
      <c r="AT6" s="7">
        <f>Q6*0.00045414</f>
        <v/>
      </c>
      <c r="AU6" s="7">
        <f>R6*0.00045414</f>
        <v/>
      </c>
      <c r="AV6" s="7">
        <f>S6*0.00045414</f>
        <v/>
      </c>
      <c r="AW6" s="7">
        <f>T6*0.00045414</f>
        <v/>
      </c>
      <c r="AX6" s="7">
        <f>U6*0.00045414</f>
        <v/>
      </c>
      <c r="AY6" s="7">
        <f>V6*0.00045414</f>
        <v/>
      </c>
      <c r="AZ6" s="7">
        <f>W6*0.00045414</f>
        <v/>
      </c>
      <c r="BA6" s="7">
        <f>X6*0.00045414</f>
        <v/>
      </c>
      <c r="BB6" s="7">
        <f>SUM(AD6:BA6)</f>
        <v/>
      </c>
    </row>
    <row r="7">
      <c r="A7" t="inlineStr">
        <is>
          <t>AMD-AIR-NEW-SSC</t>
        </is>
      </c>
      <c r="B7" t="inlineStr">
        <is>
          <t>Forward Regular OSC</t>
        </is>
      </c>
      <c r="C7" s="5" t="n">
        <v>46101</v>
      </c>
      <c r="D7" s="6">
        <f>Summary!D7</f>
        <v/>
      </c>
      <c r="E7" s="6">
        <f>Summary!E7</f>
        <v/>
      </c>
      <c r="F7" s="6">
        <f>Summary!F7</f>
        <v/>
      </c>
      <c r="G7" s="6">
        <f>Summary!G7</f>
        <v/>
      </c>
      <c r="H7" s="6">
        <f>Summary!H7</f>
        <v/>
      </c>
      <c r="I7" s="6">
        <f>Summary!I7</f>
        <v/>
      </c>
      <c r="J7" s="6">
        <f>Summary!J7</f>
        <v/>
      </c>
      <c r="K7" s="6">
        <f>Summary!K7</f>
        <v/>
      </c>
      <c r="L7" s="6">
        <f>Summary!L7</f>
        <v/>
      </c>
      <c r="M7" s="6">
        <f>Summary!M7</f>
        <v/>
      </c>
      <c r="N7" s="6">
        <f>Summary!N7</f>
        <v/>
      </c>
      <c r="O7" s="6">
        <f>Summary!O7</f>
        <v/>
      </c>
      <c r="P7" s="6">
        <f>Summary!P7</f>
        <v/>
      </c>
      <c r="Q7" s="6">
        <f>Summary!Q7</f>
        <v/>
      </c>
      <c r="R7" s="6">
        <f>Summary!R7</f>
        <v/>
      </c>
      <c r="S7" s="6">
        <f>Summary!S7</f>
        <v/>
      </c>
      <c r="T7" s="6">
        <f>Summary!T7</f>
        <v/>
      </c>
      <c r="U7" s="6">
        <f>Summary!U7</f>
        <v/>
      </c>
      <c r="V7" s="6">
        <f>Summary!V7</f>
        <v/>
      </c>
      <c r="W7" s="6">
        <f>Summary!W7</f>
        <v/>
      </c>
      <c r="X7" s="6">
        <f>Summary!X7</f>
        <v/>
      </c>
      <c r="Y7" s="6">
        <f>Summary!Y7</f>
        <v/>
      </c>
      <c r="Z7" s="6">
        <f>Summary!Z7</f>
        <v/>
      </c>
      <c r="AA7" s="6">
        <f>Summary!AA7</f>
        <v/>
      </c>
      <c r="AB7" s="6">
        <f>SUM(D7:AA7)</f>
        <v/>
      </c>
      <c r="AC7" s="3" t="inlineStr"/>
      <c r="AD7" s="7">
        <f>Y7*0.00045414</f>
        <v/>
      </c>
      <c r="AE7" s="7">
        <f>Z7*0.00045414</f>
        <v/>
      </c>
      <c r="AF7" s="7">
        <f>AA7*0.00045414</f>
        <v/>
      </c>
      <c r="AG7" s="7">
        <f>D7*0.00045414</f>
        <v/>
      </c>
      <c r="AH7" s="7">
        <f>E7*0.00045414</f>
        <v/>
      </c>
      <c r="AI7" s="7">
        <f>F7*0.00045414</f>
        <v/>
      </c>
      <c r="AJ7" s="7">
        <f>G7*0.00045414</f>
        <v/>
      </c>
      <c r="AK7" s="7">
        <f>H7*0.00045414</f>
        <v/>
      </c>
      <c r="AL7" s="7">
        <f>I7*0.00045414</f>
        <v/>
      </c>
      <c r="AM7" s="7">
        <f>J7*0.00045414</f>
        <v/>
      </c>
      <c r="AN7" s="7">
        <f>K7*0.00045414</f>
        <v/>
      </c>
      <c r="AO7" s="7">
        <f>L7*0.00045414</f>
        <v/>
      </c>
      <c r="AP7" s="7">
        <f>M7*0.00045414</f>
        <v/>
      </c>
      <c r="AQ7" s="7">
        <f>N7*0.00045414</f>
        <v/>
      </c>
      <c r="AR7" s="7">
        <f>O7*0.00045414</f>
        <v/>
      </c>
      <c r="AS7" s="7">
        <f>P7*0.00045414</f>
        <v/>
      </c>
      <c r="AT7" s="7">
        <f>Q7*0.00045414</f>
        <v/>
      </c>
      <c r="AU7" s="7">
        <f>R7*0.00045414</f>
        <v/>
      </c>
      <c r="AV7" s="7">
        <f>S7*0.00045414</f>
        <v/>
      </c>
      <c r="AW7" s="7">
        <f>T7*0.00045414</f>
        <v/>
      </c>
      <c r="AX7" s="7">
        <f>U7*0.00045414</f>
        <v/>
      </c>
      <c r="AY7" s="7">
        <f>V7*0.00045414</f>
        <v/>
      </c>
      <c r="AZ7" s="7">
        <f>W7*0.00045414</f>
        <v/>
      </c>
      <c r="BA7" s="7">
        <f>X7*0.00045414</f>
        <v/>
      </c>
      <c r="BB7" s="7">
        <f>SUM(AD7:BA7)</f>
        <v/>
      </c>
    </row>
    <row r="8">
      <c r="A8" t="inlineStr">
        <is>
          <t>AMD-AIR-NEW-SSC</t>
        </is>
      </c>
      <c r="B8" t="inlineStr">
        <is>
          <t>Forward Regular OSC</t>
        </is>
      </c>
      <c r="C8" s="5" t="n">
        <v>46102</v>
      </c>
      <c r="D8" s="6">
        <f>Summary!D8</f>
        <v/>
      </c>
      <c r="E8" s="6">
        <f>Summary!E8</f>
        <v/>
      </c>
      <c r="F8" s="6">
        <f>Summary!F8</f>
        <v/>
      </c>
      <c r="G8" s="6">
        <f>Summary!G8</f>
        <v/>
      </c>
      <c r="H8" s="6">
        <f>Summary!H8</f>
        <v/>
      </c>
      <c r="I8" s="6">
        <f>Summary!I8</f>
        <v/>
      </c>
      <c r="J8" s="6">
        <f>Summary!J8</f>
        <v/>
      </c>
      <c r="K8" s="6">
        <f>Summary!K8</f>
        <v/>
      </c>
      <c r="L8" s="6">
        <f>Summary!L8</f>
        <v/>
      </c>
      <c r="M8" s="6">
        <f>Summary!M8</f>
        <v/>
      </c>
      <c r="N8" s="6">
        <f>Summary!N8</f>
        <v/>
      </c>
      <c r="O8" s="6">
        <f>Summary!O8</f>
        <v/>
      </c>
      <c r="P8" s="6">
        <f>Summary!P8</f>
        <v/>
      </c>
      <c r="Q8" s="6">
        <f>Summary!Q8</f>
        <v/>
      </c>
      <c r="R8" s="6">
        <f>Summary!R8</f>
        <v/>
      </c>
      <c r="S8" s="6">
        <f>Summary!S8</f>
        <v/>
      </c>
      <c r="T8" s="6">
        <f>Summary!T8</f>
        <v/>
      </c>
      <c r="U8" s="6">
        <f>Summary!U8</f>
        <v/>
      </c>
      <c r="V8" s="6">
        <f>Summary!V8</f>
        <v/>
      </c>
      <c r="W8" s="6">
        <f>Summary!W8</f>
        <v/>
      </c>
      <c r="X8" s="6">
        <f>Summary!X8</f>
        <v/>
      </c>
      <c r="Y8" s="6">
        <f>Summary!Y8</f>
        <v/>
      </c>
      <c r="Z8" s="6">
        <f>Summary!Z8</f>
        <v/>
      </c>
      <c r="AA8" s="6">
        <f>Summary!AA8</f>
        <v/>
      </c>
      <c r="AB8" s="6">
        <f>SUM(D8:AA8)</f>
        <v/>
      </c>
      <c r="AC8" s="3" t="inlineStr"/>
      <c r="AD8" s="7">
        <f>Y8*0.00045414</f>
        <v/>
      </c>
      <c r="AE8" s="7">
        <f>Z8*0.00045414</f>
        <v/>
      </c>
      <c r="AF8" s="7">
        <f>AA8*0.00045414</f>
        <v/>
      </c>
      <c r="AG8" s="7">
        <f>D8*0.00045414</f>
        <v/>
      </c>
      <c r="AH8" s="7">
        <f>E8*0.00045414</f>
        <v/>
      </c>
      <c r="AI8" s="7">
        <f>F8*0.00045414</f>
        <v/>
      </c>
      <c r="AJ8" s="7">
        <f>G8*0.00045414</f>
        <v/>
      </c>
      <c r="AK8" s="7">
        <f>H8*0.00045414</f>
        <v/>
      </c>
      <c r="AL8" s="7">
        <f>I8*0.00045414</f>
        <v/>
      </c>
      <c r="AM8" s="7">
        <f>J8*0.00045414</f>
        <v/>
      </c>
      <c r="AN8" s="7">
        <f>K8*0.00045414</f>
        <v/>
      </c>
      <c r="AO8" s="7">
        <f>L8*0.00045414</f>
        <v/>
      </c>
      <c r="AP8" s="7">
        <f>M8*0.00045414</f>
        <v/>
      </c>
      <c r="AQ8" s="7">
        <f>N8*0.00045414</f>
        <v/>
      </c>
      <c r="AR8" s="7">
        <f>O8*0.00045414</f>
        <v/>
      </c>
      <c r="AS8" s="7">
        <f>P8*0.00045414</f>
        <v/>
      </c>
      <c r="AT8" s="7">
        <f>Q8*0.00045414</f>
        <v/>
      </c>
      <c r="AU8" s="7">
        <f>R8*0.00045414</f>
        <v/>
      </c>
      <c r="AV8" s="7">
        <f>S8*0.00045414</f>
        <v/>
      </c>
      <c r="AW8" s="7">
        <f>T8*0.00045414</f>
        <v/>
      </c>
      <c r="AX8" s="7">
        <f>U8*0.00045414</f>
        <v/>
      </c>
      <c r="AY8" s="7">
        <f>V8*0.00045414</f>
        <v/>
      </c>
      <c r="AZ8" s="7">
        <f>W8*0.00045414</f>
        <v/>
      </c>
      <c r="BA8" s="7">
        <f>X8*0.00045414</f>
        <v/>
      </c>
      <c r="BB8" s="7">
        <f>SUM(AD8:BA8)</f>
        <v/>
      </c>
    </row>
    <row r="9">
      <c r="A9" t="inlineStr">
        <is>
          <t>AMD-AIR-NEW-SSC</t>
        </is>
      </c>
      <c r="B9" t="inlineStr">
        <is>
          <t>Forward Regular OSC</t>
        </is>
      </c>
      <c r="C9" s="5" t="n">
        <v>46103</v>
      </c>
      <c r="D9" s="6">
        <f>Summary!D9</f>
        <v/>
      </c>
      <c r="E9" s="6">
        <f>Summary!E9</f>
        <v/>
      </c>
      <c r="F9" s="6">
        <f>Summary!F9</f>
        <v/>
      </c>
      <c r="G9" s="6">
        <f>Summary!G9</f>
        <v/>
      </c>
      <c r="H9" s="6">
        <f>Summary!H9</f>
        <v/>
      </c>
      <c r="I9" s="6">
        <f>Summary!I9</f>
        <v/>
      </c>
      <c r="J9" s="6">
        <f>Summary!J9</f>
        <v/>
      </c>
      <c r="K9" s="6">
        <f>Summary!K9</f>
        <v/>
      </c>
      <c r="L9" s="6">
        <f>Summary!L9</f>
        <v/>
      </c>
      <c r="M9" s="6">
        <f>Summary!M9</f>
        <v/>
      </c>
      <c r="N9" s="6">
        <f>Summary!N9</f>
        <v/>
      </c>
      <c r="O9" s="6">
        <f>Summary!O9</f>
        <v/>
      </c>
      <c r="P9" s="6">
        <f>Summary!P9</f>
        <v/>
      </c>
      <c r="Q9" s="6">
        <f>Summary!Q9</f>
        <v/>
      </c>
      <c r="R9" s="6">
        <f>Summary!R9</f>
        <v/>
      </c>
      <c r="S9" s="6">
        <f>Summary!S9</f>
        <v/>
      </c>
      <c r="T9" s="6">
        <f>Summary!T9</f>
        <v/>
      </c>
      <c r="U9" s="6">
        <f>Summary!U9</f>
        <v/>
      </c>
      <c r="V9" s="6">
        <f>Summary!V9</f>
        <v/>
      </c>
      <c r="W9" s="6">
        <f>Summary!W9</f>
        <v/>
      </c>
      <c r="X9" s="6">
        <f>Summary!X9</f>
        <v/>
      </c>
      <c r="Y9" s="6">
        <f>Summary!Y9</f>
        <v/>
      </c>
      <c r="Z9" s="6">
        <f>Summary!Z9</f>
        <v/>
      </c>
      <c r="AA9" s="6">
        <f>Summary!AA9</f>
        <v/>
      </c>
      <c r="AB9" s="6">
        <f>SUM(D9:AA9)</f>
        <v/>
      </c>
      <c r="AC9" s="3" t="inlineStr"/>
      <c r="AD9" s="7">
        <f>Y9*0.00045414</f>
        <v/>
      </c>
      <c r="AE9" s="7">
        <f>Z9*0.00045414</f>
        <v/>
      </c>
      <c r="AF9" s="7">
        <f>AA9*0.00045414</f>
        <v/>
      </c>
      <c r="AG9" s="7">
        <f>D9*0.00045414</f>
        <v/>
      </c>
      <c r="AH9" s="7">
        <f>E9*0.00045414</f>
        <v/>
      </c>
      <c r="AI9" s="7">
        <f>F9*0.00045414</f>
        <v/>
      </c>
      <c r="AJ9" s="7">
        <f>G9*0.00045414</f>
        <v/>
      </c>
      <c r="AK9" s="7">
        <f>H9*0.00045414</f>
        <v/>
      </c>
      <c r="AL9" s="7">
        <f>I9*0.00045414</f>
        <v/>
      </c>
      <c r="AM9" s="7">
        <f>J9*0.00045414</f>
        <v/>
      </c>
      <c r="AN9" s="7">
        <f>K9*0.00045414</f>
        <v/>
      </c>
      <c r="AO9" s="7">
        <f>L9*0.00045414</f>
        <v/>
      </c>
      <c r="AP9" s="7">
        <f>M9*0.00045414</f>
        <v/>
      </c>
      <c r="AQ9" s="7">
        <f>N9*0.00045414</f>
        <v/>
      </c>
      <c r="AR9" s="7">
        <f>O9*0.00045414</f>
        <v/>
      </c>
      <c r="AS9" s="7">
        <f>P9*0.00045414</f>
        <v/>
      </c>
      <c r="AT9" s="7">
        <f>Q9*0.00045414</f>
        <v/>
      </c>
      <c r="AU9" s="7">
        <f>R9*0.00045414</f>
        <v/>
      </c>
      <c r="AV9" s="7">
        <f>S9*0.00045414</f>
        <v/>
      </c>
      <c r="AW9" s="7">
        <f>T9*0.00045414</f>
        <v/>
      </c>
      <c r="AX9" s="7">
        <f>U9*0.00045414</f>
        <v/>
      </c>
      <c r="AY9" s="7">
        <f>V9*0.00045414</f>
        <v/>
      </c>
      <c r="AZ9" s="7">
        <f>W9*0.00045414</f>
        <v/>
      </c>
      <c r="BA9" s="7">
        <f>X9*0.00045414</f>
        <v/>
      </c>
      <c r="BB9" s="7">
        <f>SUM(AD9:BA9)</f>
        <v/>
      </c>
    </row>
    <row r="10">
      <c r="A10" t="inlineStr">
        <is>
          <t>AMD-AIR-NEW-SSC</t>
        </is>
      </c>
      <c r="B10" t="inlineStr">
        <is>
          <t>Forward Regular OSC</t>
        </is>
      </c>
      <c r="C10" s="5" t="n">
        <v>46104</v>
      </c>
      <c r="D10" s="6">
        <f>Summary!D10</f>
        <v/>
      </c>
      <c r="E10" s="6">
        <f>Summary!E10</f>
        <v/>
      </c>
      <c r="F10" s="6">
        <f>Summary!F10</f>
        <v/>
      </c>
      <c r="G10" s="6">
        <f>Summary!G10</f>
        <v/>
      </c>
      <c r="H10" s="6">
        <f>Summary!H10</f>
        <v/>
      </c>
      <c r="I10" s="6">
        <f>Summary!I10</f>
        <v/>
      </c>
      <c r="J10" s="6">
        <f>Summary!J10</f>
        <v/>
      </c>
      <c r="K10" s="6">
        <f>Summary!K10</f>
        <v/>
      </c>
      <c r="L10" s="6">
        <f>Summary!L10</f>
        <v/>
      </c>
      <c r="M10" s="6">
        <f>Summary!M10</f>
        <v/>
      </c>
      <c r="N10" s="6">
        <f>Summary!N10</f>
        <v/>
      </c>
      <c r="O10" s="6">
        <f>Summary!O10</f>
        <v/>
      </c>
      <c r="P10" s="6">
        <f>Summary!P10</f>
        <v/>
      </c>
      <c r="Q10" s="6">
        <f>Summary!Q10</f>
        <v/>
      </c>
      <c r="R10" s="6">
        <f>Summary!R10</f>
        <v/>
      </c>
      <c r="S10" s="6">
        <f>Summary!S10</f>
        <v/>
      </c>
      <c r="T10" s="6">
        <f>Summary!T10</f>
        <v/>
      </c>
      <c r="U10" s="6">
        <f>Summary!U10</f>
        <v/>
      </c>
      <c r="V10" s="6">
        <f>Summary!V10</f>
        <v/>
      </c>
      <c r="W10" s="6">
        <f>Summary!W10</f>
        <v/>
      </c>
      <c r="X10" s="6">
        <f>Summary!X10</f>
        <v/>
      </c>
      <c r="Y10" s="6">
        <f>Summary!Y10</f>
        <v/>
      </c>
      <c r="Z10" s="6">
        <f>Summary!Z10</f>
        <v/>
      </c>
      <c r="AA10" s="6">
        <f>Summary!AA10</f>
        <v/>
      </c>
      <c r="AB10" s="6">
        <f>SUM(D10:AA10)</f>
        <v/>
      </c>
      <c r="AC10" s="3" t="inlineStr"/>
      <c r="AD10" s="7">
        <f>Y10*0.00045414</f>
        <v/>
      </c>
      <c r="AE10" s="7">
        <f>Z10*0.00045414</f>
        <v/>
      </c>
      <c r="AF10" s="7">
        <f>AA10*0.00045414</f>
        <v/>
      </c>
      <c r="AG10" s="7">
        <f>D10*0.00045414</f>
        <v/>
      </c>
      <c r="AH10" s="7">
        <f>E10*0.00045414</f>
        <v/>
      </c>
      <c r="AI10" s="7">
        <f>F10*0.00045414</f>
        <v/>
      </c>
      <c r="AJ10" s="7">
        <f>G10*0.00045414</f>
        <v/>
      </c>
      <c r="AK10" s="7">
        <f>H10*0.00045414</f>
        <v/>
      </c>
      <c r="AL10" s="7">
        <f>I10*0.00045414</f>
        <v/>
      </c>
      <c r="AM10" s="7">
        <f>J10*0.00045414</f>
        <v/>
      </c>
      <c r="AN10" s="7">
        <f>K10*0.00045414</f>
        <v/>
      </c>
      <c r="AO10" s="7">
        <f>L10*0.00045414</f>
        <v/>
      </c>
      <c r="AP10" s="7">
        <f>M10*0.00045414</f>
        <v/>
      </c>
      <c r="AQ10" s="7">
        <f>N10*0.00045414</f>
        <v/>
      </c>
      <c r="AR10" s="7">
        <f>O10*0.00045414</f>
        <v/>
      </c>
      <c r="AS10" s="7">
        <f>P10*0.00045414</f>
        <v/>
      </c>
      <c r="AT10" s="7">
        <f>Q10*0.00045414</f>
        <v/>
      </c>
      <c r="AU10" s="7">
        <f>R10*0.00045414</f>
        <v/>
      </c>
      <c r="AV10" s="7">
        <f>S10*0.00045414</f>
        <v/>
      </c>
      <c r="AW10" s="7">
        <f>T10*0.00045414</f>
        <v/>
      </c>
      <c r="AX10" s="7">
        <f>U10*0.00045414</f>
        <v/>
      </c>
      <c r="AY10" s="7">
        <f>V10*0.00045414</f>
        <v/>
      </c>
      <c r="AZ10" s="7">
        <f>W10*0.00045414</f>
        <v/>
      </c>
      <c r="BA10" s="7">
        <f>X10*0.00045414</f>
        <v/>
      </c>
      <c r="BB10" s="7">
        <f>SUM(AD10:BA10)</f>
        <v/>
      </c>
    </row>
    <row r="11">
      <c r="A11" t="inlineStr">
        <is>
          <t>AMD-EXPR</t>
        </is>
      </c>
      <c r="B11" t="inlineStr">
        <is>
          <t>DSC Manual</t>
        </is>
      </c>
      <c r="C11" s="5" t="n">
        <v>46089</v>
      </c>
      <c r="D11" s="6">
        <f>Summary!D11</f>
        <v/>
      </c>
      <c r="E11" s="6">
        <f>Summary!E11</f>
        <v/>
      </c>
      <c r="F11" s="6">
        <f>Summary!F11</f>
        <v/>
      </c>
      <c r="G11" s="6">
        <f>Summary!G11</f>
        <v/>
      </c>
      <c r="H11" s="6">
        <f>Summary!H11</f>
        <v/>
      </c>
      <c r="I11" s="6">
        <f>Summary!I11</f>
        <v/>
      </c>
      <c r="J11" s="6">
        <f>Summary!J11</f>
        <v/>
      </c>
      <c r="K11" s="6">
        <f>Summary!K11</f>
        <v/>
      </c>
      <c r="L11" s="6">
        <f>Summary!L11</f>
        <v/>
      </c>
      <c r="M11" s="6">
        <f>Summary!M11</f>
        <v/>
      </c>
      <c r="N11" s="6">
        <f>Summary!N11</f>
        <v/>
      </c>
      <c r="O11" s="6">
        <f>Summary!O11</f>
        <v/>
      </c>
      <c r="P11" s="6">
        <f>Summary!P11</f>
        <v/>
      </c>
      <c r="Q11" s="6">
        <f>Summary!Q11</f>
        <v/>
      </c>
      <c r="R11" s="6">
        <f>Summary!R11</f>
        <v/>
      </c>
      <c r="S11" s="6">
        <f>Summary!S11</f>
        <v/>
      </c>
      <c r="T11" s="6">
        <f>Summary!T11</f>
        <v/>
      </c>
      <c r="U11" s="6">
        <f>Summary!U11</f>
        <v/>
      </c>
      <c r="V11" s="6">
        <f>Summary!V11</f>
        <v/>
      </c>
      <c r="W11" s="6">
        <f>Summary!W11</f>
        <v/>
      </c>
      <c r="X11" s="6">
        <f>Summary!X11</f>
        <v/>
      </c>
      <c r="Y11" s="6">
        <f>Summary!Y11</f>
        <v/>
      </c>
      <c r="Z11" s="6">
        <f>Summary!Z11</f>
        <v/>
      </c>
      <c r="AA11" s="6">
        <f>Summary!AA11</f>
        <v/>
      </c>
      <c r="AB11" s="6">
        <f>SUM(D11:AA11)</f>
        <v/>
      </c>
      <c r="AC11" s="3" t="inlineStr"/>
      <c r="AD11" s="7">
        <f>Y11*0.00045414</f>
        <v/>
      </c>
      <c r="AE11" s="7">
        <f>Z11*0.00045414</f>
        <v/>
      </c>
      <c r="AF11" s="7">
        <f>AA11*0.00045414</f>
        <v/>
      </c>
      <c r="AG11" s="7">
        <f>D11*0.00045414</f>
        <v/>
      </c>
      <c r="AH11" s="7">
        <f>E11*0.00045414</f>
        <v/>
      </c>
      <c r="AI11" s="7">
        <f>F11*0.00045414</f>
        <v/>
      </c>
      <c r="AJ11" s="7">
        <f>G11*0.00045414</f>
        <v/>
      </c>
      <c r="AK11" s="7">
        <f>H11*0.00045414</f>
        <v/>
      </c>
      <c r="AL11" s="7">
        <f>I11*0.00045414</f>
        <v/>
      </c>
      <c r="AM11" s="7">
        <f>J11*0.00045414</f>
        <v/>
      </c>
      <c r="AN11" s="7">
        <f>K11*0.00045414</f>
        <v/>
      </c>
      <c r="AO11" s="7">
        <f>L11*0.00045414</f>
        <v/>
      </c>
      <c r="AP11" s="7">
        <f>M11*0.00045414</f>
        <v/>
      </c>
      <c r="AQ11" s="7">
        <f>N11*0.00045414</f>
        <v/>
      </c>
      <c r="AR11" s="7">
        <f>O11*0.00045414</f>
        <v/>
      </c>
      <c r="AS11" s="7">
        <f>P11*0.00045414</f>
        <v/>
      </c>
      <c r="AT11" s="7">
        <f>Q11*0.00045414</f>
        <v/>
      </c>
      <c r="AU11" s="7">
        <f>R11*0.00045414</f>
        <v/>
      </c>
      <c r="AV11" s="7">
        <f>S11*0.00045414</f>
        <v/>
      </c>
      <c r="AW11" s="7">
        <f>T11*0.00045414</f>
        <v/>
      </c>
      <c r="AX11" s="7">
        <f>U11*0.00045414</f>
        <v/>
      </c>
      <c r="AY11" s="7">
        <f>V11*0.00045414</f>
        <v/>
      </c>
      <c r="AZ11" s="7">
        <f>W11*0.00045414</f>
        <v/>
      </c>
      <c r="BA11" s="7">
        <f>X11*0.00045414</f>
        <v/>
      </c>
      <c r="BB11" s="7">
        <f>SUM(AD11:BA11)</f>
        <v/>
      </c>
    </row>
    <row r="12">
      <c r="A12" t="inlineStr">
        <is>
          <t>AMD-EXPR</t>
        </is>
      </c>
      <c r="B12" t="inlineStr">
        <is>
          <t>DSC Manual</t>
        </is>
      </c>
      <c r="C12" s="5" t="n">
        <v>46090</v>
      </c>
      <c r="D12" s="6">
        <f>Summary!D12</f>
        <v/>
      </c>
      <c r="E12" s="6">
        <f>Summary!E12</f>
        <v/>
      </c>
      <c r="F12" s="6">
        <f>Summary!F12</f>
        <v/>
      </c>
      <c r="G12" s="6">
        <f>Summary!G12</f>
        <v/>
      </c>
      <c r="H12" s="6">
        <f>Summary!H12</f>
        <v/>
      </c>
      <c r="I12" s="6">
        <f>Summary!I12</f>
        <v/>
      </c>
      <c r="J12" s="6">
        <f>Summary!J12</f>
        <v/>
      </c>
      <c r="K12" s="6">
        <f>Summary!K12</f>
        <v/>
      </c>
      <c r="L12" s="6">
        <f>Summary!L12</f>
        <v/>
      </c>
      <c r="M12" s="6">
        <f>Summary!M12</f>
        <v/>
      </c>
      <c r="N12" s="6">
        <f>Summary!N12</f>
        <v/>
      </c>
      <c r="O12" s="6">
        <f>Summary!O12</f>
        <v/>
      </c>
      <c r="P12" s="6">
        <f>Summary!P12</f>
        <v/>
      </c>
      <c r="Q12" s="6">
        <f>Summary!Q12</f>
        <v/>
      </c>
      <c r="R12" s="6">
        <f>Summary!R12</f>
        <v/>
      </c>
      <c r="S12" s="6">
        <f>Summary!S12</f>
        <v/>
      </c>
      <c r="T12" s="6">
        <f>Summary!T12</f>
        <v/>
      </c>
      <c r="U12" s="6">
        <f>Summary!U12</f>
        <v/>
      </c>
      <c r="V12" s="6">
        <f>Summary!V12</f>
        <v/>
      </c>
      <c r="W12" s="6">
        <f>Summary!W12</f>
        <v/>
      </c>
      <c r="X12" s="6">
        <f>Summary!X12</f>
        <v/>
      </c>
      <c r="Y12" s="6">
        <f>Summary!Y12</f>
        <v/>
      </c>
      <c r="Z12" s="6">
        <f>Summary!Z12</f>
        <v/>
      </c>
      <c r="AA12" s="6">
        <f>Summary!AA12</f>
        <v/>
      </c>
      <c r="AB12" s="6">
        <f>SUM(D12:AA12)</f>
        <v/>
      </c>
      <c r="AC12" s="3" t="inlineStr"/>
      <c r="AD12" s="7">
        <f>Y12*0.00045414</f>
        <v/>
      </c>
      <c r="AE12" s="7">
        <f>Z12*0.00045414</f>
        <v/>
      </c>
      <c r="AF12" s="7">
        <f>AA12*0.00045414</f>
        <v/>
      </c>
      <c r="AG12" s="7">
        <f>D12*0.00045414</f>
        <v/>
      </c>
      <c r="AH12" s="7">
        <f>E12*0.00045414</f>
        <v/>
      </c>
      <c r="AI12" s="7">
        <f>F12*0.00045414</f>
        <v/>
      </c>
      <c r="AJ12" s="7">
        <f>G12*0.00045414</f>
        <v/>
      </c>
      <c r="AK12" s="7">
        <f>H12*0.00045414</f>
        <v/>
      </c>
      <c r="AL12" s="7">
        <f>I12*0.00045414</f>
        <v/>
      </c>
      <c r="AM12" s="7">
        <f>J12*0.00045414</f>
        <v/>
      </c>
      <c r="AN12" s="7">
        <f>K12*0.00045414</f>
        <v/>
      </c>
      <c r="AO12" s="7">
        <f>L12*0.00045414</f>
        <v/>
      </c>
      <c r="AP12" s="7">
        <f>M12*0.00045414</f>
        <v/>
      </c>
      <c r="AQ12" s="7">
        <f>N12*0.00045414</f>
        <v/>
      </c>
      <c r="AR12" s="7">
        <f>O12*0.00045414</f>
        <v/>
      </c>
      <c r="AS12" s="7">
        <f>P12*0.00045414</f>
        <v/>
      </c>
      <c r="AT12" s="7">
        <f>Q12*0.00045414</f>
        <v/>
      </c>
      <c r="AU12" s="7">
        <f>R12*0.00045414</f>
        <v/>
      </c>
      <c r="AV12" s="7">
        <f>S12*0.00045414</f>
        <v/>
      </c>
      <c r="AW12" s="7">
        <f>T12*0.00045414</f>
        <v/>
      </c>
      <c r="AX12" s="7">
        <f>U12*0.00045414</f>
        <v/>
      </c>
      <c r="AY12" s="7">
        <f>V12*0.00045414</f>
        <v/>
      </c>
      <c r="AZ12" s="7">
        <f>W12*0.00045414</f>
        <v/>
      </c>
      <c r="BA12" s="7">
        <f>X12*0.00045414</f>
        <v/>
      </c>
      <c r="BB12" s="7">
        <f>SUM(AD12:BA12)</f>
        <v/>
      </c>
    </row>
    <row r="13">
      <c r="A13" t="inlineStr">
        <is>
          <t>AMD-EXPR</t>
        </is>
      </c>
      <c r="B13" t="inlineStr">
        <is>
          <t>DSC Manual</t>
        </is>
      </c>
      <c r="C13" s="5" t="n">
        <v>46091</v>
      </c>
      <c r="D13" s="6">
        <f>Summary!D13</f>
        <v/>
      </c>
      <c r="E13" s="6">
        <f>Summary!E13</f>
        <v/>
      </c>
      <c r="F13" s="6">
        <f>Summary!F13</f>
        <v/>
      </c>
      <c r="G13" s="6">
        <f>Summary!G13</f>
        <v/>
      </c>
      <c r="H13" s="6">
        <f>Summary!H13</f>
        <v/>
      </c>
      <c r="I13" s="6">
        <f>Summary!I13</f>
        <v/>
      </c>
      <c r="J13" s="6">
        <f>Summary!J13</f>
        <v/>
      </c>
      <c r="K13" s="6">
        <f>Summary!K13</f>
        <v/>
      </c>
      <c r="L13" s="6">
        <f>Summary!L13</f>
        <v/>
      </c>
      <c r="M13" s="6">
        <f>Summary!M13</f>
        <v/>
      </c>
      <c r="N13" s="6">
        <f>Summary!N13</f>
        <v/>
      </c>
      <c r="O13" s="6">
        <f>Summary!O13</f>
        <v/>
      </c>
      <c r="P13" s="6">
        <f>Summary!P13</f>
        <v/>
      </c>
      <c r="Q13" s="6">
        <f>Summary!Q13</f>
        <v/>
      </c>
      <c r="R13" s="6">
        <f>Summary!R13</f>
        <v/>
      </c>
      <c r="S13" s="6">
        <f>Summary!S13</f>
        <v/>
      </c>
      <c r="T13" s="6">
        <f>Summary!T13</f>
        <v/>
      </c>
      <c r="U13" s="6">
        <f>Summary!U13</f>
        <v/>
      </c>
      <c r="V13" s="6">
        <f>Summary!V13</f>
        <v/>
      </c>
      <c r="W13" s="6">
        <f>Summary!W13</f>
        <v/>
      </c>
      <c r="X13" s="6">
        <f>Summary!X13</f>
        <v/>
      </c>
      <c r="Y13" s="6">
        <f>Summary!Y13</f>
        <v/>
      </c>
      <c r="Z13" s="6">
        <f>Summary!Z13</f>
        <v/>
      </c>
      <c r="AA13" s="6">
        <f>Summary!AA13</f>
        <v/>
      </c>
      <c r="AB13" s="6">
        <f>SUM(D13:AA13)</f>
        <v/>
      </c>
      <c r="AC13" s="3" t="inlineStr"/>
      <c r="AD13" s="7">
        <f>Y13*0.00045414</f>
        <v/>
      </c>
      <c r="AE13" s="7">
        <f>Z13*0.00045414</f>
        <v/>
      </c>
      <c r="AF13" s="7">
        <f>AA13*0.00045414</f>
        <v/>
      </c>
      <c r="AG13" s="7">
        <f>D13*0.00045414</f>
        <v/>
      </c>
      <c r="AH13" s="7">
        <f>E13*0.00045414</f>
        <v/>
      </c>
      <c r="AI13" s="7">
        <f>F13*0.00045414</f>
        <v/>
      </c>
      <c r="AJ13" s="7">
        <f>G13*0.00045414</f>
        <v/>
      </c>
      <c r="AK13" s="7">
        <f>H13*0.00045414</f>
        <v/>
      </c>
      <c r="AL13" s="7">
        <f>I13*0.00045414</f>
        <v/>
      </c>
      <c r="AM13" s="7">
        <f>J13*0.00045414</f>
        <v/>
      </c>
      <c r="AN13" s="7">
        <f>K13*0.00045414</f>
        <v/>
      </c>
      <c r="AO13" s="7">
        <f>L13*0.00045414</f>
        <v/>
      </c>
      <c r="AP13" s="7">
        <f>M13*0.00045414</f>
        <v/>
      </c>
      <c r="AQ13" s="7">
        <f>N13*0.00045414</f>
        <v/>
      </c>
      <c r="AR13" s="7">
        <f>O13*0.00045414</f>
        <v/>
      </c>
      <c r="AS13" s="7">
        <f>P13*0.00045414</f>
        <v/>
      </c>
      <c r="AT13" s="7">
        <f>Q13*0.00045414</f>
        <v/>
      </c>
      <c r="AU13" s="7">
        <f>R13*0.00045414</f>
        <v/>
      </c>
      <c r="AV13" s="7">
        <f>S13*0.00045414</f>
        <v/>
      </c>
      <c r="AW13" s="7">
        <f>T13*0.00045414</f>
        <v/>
      </c>
      <c r="AX13" s="7">
        <f>U13*0.00045414</f>
        <v/>
      </c>
      <c r="AY13" s="7">
        <f>V13*0.00045414</f>
        <v/>
      </c>
      <c r="AZ13" s="7">
        <f>W13*0.00045414</f>
        <v/>
      </c>
      <c r="BA13" s="7">
        <f>X13*0.00045414</f>
        <v/>
      </c>
      <c r="BB13" s="7">
        <f>SUM(AD13:BA13)</f>
        <v/>
      </c>
    </row>
    <row r="14">
      <c r="A14" t="inlineStr">
        <is>
          <t>AMD-EXPR</t>
        </is>
      </c>
      <c r="B14" t="inlineStr">
        <is>
          <t>DSC Manual</t>
        </is>
      </c>
      <c r="C14" s="5" t="n">
        <v>46092</v>
      </c>
      <c r="D14" s="6">
        <f>Summary!D14</f>
        <v/>
      </c>
      <c r="E14" s="6">
        <f>Summary!E14</f>
        <v/>
      </c>
      <c r="F14" s="6">
        <f>Summary!F14</f>
        <v/>
      </c>
      <c r="G14" s="6">
        <f>Summary!G14</f>
        <v/>
      </c>
      <c r="H14" s="6">
        <f>Summary!H14</f>
        <v/>
      </c>
      <c r="I14" s="6">
        <f>Summary!I14</f>
        <v/>
      </c>
      <c r="J14" s="6">
        <f>Summary!J14</f>
        <v/>
      </c>
      <c r="K14" s="6">
        <f>Summary!K14</f>
        <v/>
      </c>
      <c r="L14" s="6">
        <f>Summary!L14</f>
        <v/>
      </c>
      <c r="M14" s="6">
        <f>Summary!M14</f>
        <v/>
      </c>
      <c r="N14" s="6">
        <f>Summary!N14</f>
        <v/>
      </c>
      <c r="O14" s="6">
        <f>Summary!O14</f>
        <v/>
      </c>
      <c r="P14" s="6">
        <f>Summary!P14</f>
        <v/>
      </c>
      <c r="Q14" s="6">
        <f>Summary!Q14</f>
        <v/>
      </c>
      <c r="R14" s="6">
        <f>Summary!R14</f>
        <v/>
      </c>
      <c r="S14" s="6">
        <f>Summary!S14</f>
        <v/>
      </c>
      <c r="T14" s="6">
        <f>Summary!T14</f>
        <v/>
      </c>
      <c r="U14" s="6">
        <f>Summary!U14</f>
        <v/>
      </c>
      <c r="V14" s="6">
        <f>Summary!V14</f>
        <v/>
      </c>
      <c r="W14" s="6">
        <f>Summary!W14</f>
        <v/>
      </c>
      <c r="X14" s="6">
        <f>Summary!X14</f>
        <v/>
      </c>
      <c r="Y14" s="6">
        <f>Summary!Y14</f>
        <v/>
      </c>
      <c r="Z14" s="6">
        <f>Summary!Z14</f>
        <v/>
      </c>
      <c r="AA14" s="6">
        <f>Summary!AA14</f>
        <v/>
      </c>
      <c r="AB14" s="6">
        <f>SUM(D14:AA14)</f>
        <v/>
      </c>
      <c r="AC14" s="3" t="inlineStr"/>
      <c r="AD14" s="7">
        <f>Y14*0.00045414</f>
        <v/>
      </c>
      <c r="AE14" s="7">
        <f>Z14*0.00045414</f>
        <v/>
      </c>
      <c r="AF14" s="7">
        <f>AA14*0.00045414</f>
        <v/>
      </c>
      <c r="AG14" s="7">
        <f>D14*0.00045414</f>
        <v/>
      </c>
      <c r="AH14" s="7">
        <f>E14*0.00045414</f>
        <v/>
      </c>
      <c r="AI14" s="7">
        <f>F14*0.00045414</f>
        <v/>
      </c>
      <c r="AJ14" s="7">
        <f>G14*0.00045414</f>
        <v/>
      </c>
      <c r="AK14" s="7">
        <f>H14*0.00045414</f>
        <v/>
      </c>
      <c r="AL14" s="7">
        <f>I14*0.00045414</f>
        <v/>
      </c>
      <c r="AM14" s="7">
        <f>J14*0.00045414</f>
        <v/>
      </c>
      <c r="AN14" s="7">
        <f>K14*0.00045414</f>
        <v/>
      </c>
      <c r="AO14" s="7">
        <f>L14*0.00045414</f>
        <v/>
      </c>
      <c r="AP14" s="7">
        <f>M14*0.00045414</f>
        <v/>
      </c>
      <c r="AQ14" s="7">
        <f>N14*0.00045414</f>
        <v/>
      </c>
      <c r="AR14" s="7">
        <f>O14*0.00045414</f>
        <v/>
      </c>
      <c r="AS14" s="7">
        <f>P14*0.00045414</f>
        <v/>
      </c>
      <c r="AT14" s="7">
        <f>Q14*0.00045414</f>
        <v/>
      </c>
      <c r="AU14" s="7">
        <f>R14*0.00045414</f>
        <v/>
      </c>
      <c r="AV14" s="7">
        <f>S14*0.00045414</f>
        <v/>
      </c>
      <c r="AW14" s="7">
        <f>T14*0.00045414</f>
        <v/>
      </c>
      <c r="AX14" s="7">
        <f>U14*0.00045414</f>
        <v/>
      </c>
      <c r="AY14" s="7">
        <f>V14*0.00045414</f>
        <v/>
      </c>
      <c r="AZ14" s="7">
        <f>W14*0.00045414</f>
        <v/>
      </c>
      <c r="BA14" s="7">
        <f>X14*0.00045414</f>
        <v/>
      </c>
      <c r="BB14" s="7">
        <f>SUM(AD14:BA14)</f>
        <v/>
      </c>
    </row>
    <row r="15">
      <c r="A15" t="inlineStr">
        <is>
          <t>AMD-EXPR</t>
        </is>
      </c>
      <c r="B15" t="inlineStr">
        <is>
          <t>DSC Manual</t>
        </is>
      </c>
      <c r="C15" s="5" t="n">
        <v>46093</v>
      </c>
      <c r="D15" s="6">
        <f>Summary!D15</f>
        <v/>
      </c>
      <c r="E15" s="6">
        <f>Summary!E15</f>
        <v/>
      </c>
      <c r="F15" s="6">
        <f>Summary!F15</f>
        <v/>
      </c>
      <c r="G15" s="6">
        <f>Summary!G15</f>
        <v/>
      </c>
      <c r="H15" s="6">
        <f>Summary!H15</f>
        <v/>
      </c>
      <c r="I15" s="6">
        <f>Summary!I15</f>
        <v/>
      </c>
      <c r="J15" s="6">
        <f>Summary!J15</f>
        <v/>
      </c>
      <c r="K15" s="6">
        <f>Summary!K15</f>
        <v/>
      </c>
      <c r="L15" s="6">
        <f>Summary!L15</f>
        <v/>
      </c>
      <c r="M15" s="6">
        <f>Summary!M15</f>
        <v/>
      </c>
      <c r="N15" s="6">
        <f>Summary!N15</f>
        <v/>
      </c>
      <c r="O15" s="6">
        <f>Summary!O15</f>
        <v/>
      </c>
      <c r="P15" s="6">
        <f>Summary!P15</f>
        <v/>
      </c>
      <c r="Q15" s="6">
        <f>Summary!Q15</f>
        <v/>
      </c>
      <c r="R15" s="6">
        <f>Summary!R15</f>
        <v/>
      </c>
      <c r="S15" s="6">
        <f>Summary!S15</f>
        <v/>
      </c>
      <c r="T15" s="6">
        <f>Summary!T15</f>
        <v/>
      </c>
      <c r="U15" s="6">
        <f>Summary!U15</f>
        <v/>
      </c>
      <c r="V15" s="6">
        <f>Summary!V15</f>
        <v/>
      </c>
      <c r="W15" s="6">
        <f>Summary!W15</f>
        <v/>
      </c>
      <c r="X15" s="6">
        <f>Summary!X15</f>
        <v/>
      </c>
      <c r="Y15" s="6">
        <f>Summary!Y15</f>
        <v/>
      </c>
      <c r="Z15" s="6">
        <f>Summary!Z15</f>
        <v/>
      </c>
      <c r="AA15" s="6">
        <f>Summary!AA15</f>
        <v/>
      </c>
      <c r="AB15" s="6">
        <f>SUM(D15:AA15)</f>
        <v/>
      </c>
      <c r="AC15" s="3" t="inlineStr"/>
      <c r="AD15" s="7">
        <f>Y15*0.00045414</f>
        <v/>
      </c>
      <c r="AE15" s="7">
        <f>Z15*0.00045414</f>
        <v/>
      </c>
      <c r="AF15" s="7">
        <f>AA15*0.00045414</f>
        <v/>
      </c>
      <c r="AG15" s="7">
        <f>D15*0.00045414</f>
        <v/>
      </c>
      <c r="AH15" s="7">
        <f>E15*0.00045414</f>
        <v/>
      </c>
      <c r="AI15" s="7">
        <f>F15*0.00045414</f>
        <v/>
      </c>
      <c r="AJ15" s="7">
        <f>G15*0.00045414</f>
        <v/>
      </c>
      <c r="AK15" s="7">
        <f>H15*0.00045414</f>
        <v/>
      </c>
      <c r="AL15" s="7">
        <f>I15*0.00045414</f>
        <v/>
      </c>
      <c r="AM15" s="7">
        <f>J15*0.00045414</f>
        <v/>
      </c>
      <c r="AN15" s="7">
        <f>K15*0.00045414</f>
        <v/>
      </c>
      <c r="AO15" s="7">
        <f>L15*0.00045414</f>
        <v/>
      </c>
      <c r="AP15" s="7">
        <f>M15*0.00045414</f>
        <v/>
      </c>
      <c r="AQ15" s="7">
        <f>N15*0.00045414</f>
        <v/>
      </c>
      <c r="AR15" s="7">
        <f>O15*0.00045414</f>
        <v/>
      </c>
      <c r="AS15" s="7">
        <f>P15*0.00045414</f>
        <v/>
      </c>
      <c r="AT15" s="7">
        <f>Q15*0.00045414</f>
        <v/>
      </c>
      <c r="AU15" s="7">
        <f>R15*0.00045414</f>
        <v/>
      </c>
      <c r="AV15" s="7">
        <f>S15*0.00045414</f>
        <v/>
      </c>
      <c r="AW15" s="7">
        <f>T15*0.00045414</f>
        <v/>
      </c>
      <c r="AX15" s="7">
        <f>U15*0.00045414</f>
        <v/>
      </c>
      <c r="AY15" s="7">
        <f>V15*0.00045414</f>
        <v/>
      </c>
      <c r="AZ15" s="7">
        <f>W15*0.00045414</f>
        <v/>
      </c>
      <c r="BA15" s="7">
        <f>X15*0.00045414</f>
        <v/>
      </c>
      <c r="BB15" s="7">
        <f>SUM(AD15:BA15)</f>
        <v/>
      </c>
    </row>
    <row r="16">
      <c r="A16" t="inlineStr">
        <is>
          <t>AMD-EXPR</t>
        </is>
      </c>
      <c r="B16" t="inlineStr">
        <is>
          <t>DSC Manual</t>
        </is>
      </c>
      <c r="C16" s="5" t="n">
        <v>46094</v>
      </c>
      <c r="D16" s="6">
        <f>Summary!D16</f>
        <v/>
      </c>
      <c r="E16" s="6">
        <f>Summary!E16</f>
        <v/>
      </c>
      <c r="F16" s="6">
        <f>Summary!F16</f>
        <v/>
      </c>
      <c r="G16" s="6">
        <f>Summary!G16</f>
        <v/>
      </c>
      <c r="H16" s="6">
        <f>Summary!H16</f>
        <v/>
      </c>
      <c r="I16" s="6">
        <f>Summary!I16</f>
        <v/>
      </c>
      <c r="J16" s="6">
        <f>Summary!J16</f>
        <v/>
      </c>
      <c r="K16" s="6">
        <f>Summary!K16</f>
        <v/>
      </c>
      <c r="L16" s="6">
        <f>Summary!L16</f>
        <v/>
      </c>
      <c r="M16" s="6">
        <f>Summary!M16</f>
        <v/>
      </c>
      <c r="N16" s="6">
        <f>Summary!N16</f>
        <v/>
      </c>
      <c r="O16" s="6">
        <f>Summary!O16</f>
        <v/>
      </c>
      <c r="P16" s="6">
        <f>Summary!P16</f>
        <v/>
      </c>
      <c r="Q16" s="6">
        <f>Summary!Q16</f>
        <v/>
      </c>
      <c r="R16" s="6">
        <f>Summary!R16</f>
        <v/>
      </c>
      <c r="S16" s="6">
        <f>Summary!S16</f>
        <v/>
      </c>
      <c r="T16" s="6">
        <f>Summary!T16</f>
        <v/>
      </c>
      <c r="U16" s="6">
        <f>Summary!U16</f>
        <v/>
      </c>
      <c r="V16" s="6">
        <f>Summary!V16</f>
        <v/>
      </c>
      <c r="W16" s="6">
        <f>Summary!W16</f>
        <v/>
      </c>
      <c r="X16" s="6">
        <f>Summary!X16</f>
        <v/>
      </c>
      <c r="Y16" s="6">
        <f>Summary!Y16</f>
        <v/>
      </c>
      <c r="Z16" s="6">
        <f>Summary!Z16</f>
        <v/>
      </c>
      <c r="AA16" s="6">
        <f>Summary!AA16</f>
        <v/>
      </c>
      <c r="AB16" s="6">
        <f>SUM(D16:AA16)</f>
        <v/>
      </c>
      <c r="AC16" s="3" t="inlineStr"/>
      <c r="AD16" s="7">
        <f>Y16*0.00045414</f>
        <v/>
      </c>
      <c r="AE16" s="7">
        <f>Z16*0.00045414</f>
        <v/>
      </c>
      <c r="AF16" s="7">
        <f>AA16*0.00045414</f>
        <v/>
      </c>
      <c r="AG16" s="7">
        <f>D16*0.00045414</f>
        <v/>
      </c>
      <c r="AH16" s="7">
        <f>E16*0.00045414</f>
        <v/>
      </c>
      <c r="AI16" s="7">
        <f>F16*0.00045414</f>
        <v/>
      </c>
      <c r="AJ16" s="7">
        <f>G16*0.00045414</f>
        <v/>
      </c>
      <c r="AK16" s="7">
        <f>H16*0.00045414</f>
        <v/>
      </c>
      <c r="AL16" s="7">
        <f>I16*0.00045414</f>
        <v/>
      </c>
      <c r="AM16" s="7">
        <f>J16*0.00045414</f>
        <v/>
      </c>
      <c r="AN16" s="7">
        <f>K16*0.00045414</f>
        <v/>
      </c>
      <c r="AO16" s="7">
        <f>L16*0.00045414</f>
        <v/>
      </c>
      <c r="AP16" s="7">
        <f>M16*0.00045414</f>
        <v/>
      </c>
      <c r="AQ16" s="7">
        <f>N16*0.00045414</f>
        <v/>
      </c>
      <c r="AR16" s="7">
        <f>O16*0.00045414</f>
        <v/>
      </c>
      <c r="AS16" s="7">
        <f>P16*0.00045414</f>
        <v/>
      </c>
      <c r="AT16" s="7">
        <f>Q16*0.00045414</f>
        <v/>
      </c>
      <c r="AU16" s="7">
        <f>R16*0.00045414</f>
        <v/>
      </c>
      <c r="AV16" s="7">
        <f>S16*0.00045414</f>
        <v/>
      </c>
      <c r="AW16" s="7">
        <f>T16*0.00045414</f>
        <v/>
      </c>
      <c r="AX16" s="7">
        <f>U16*0.00045414</f>
        <v/>
      </c>
      <c r="AY16" s="7">
        <f>V16*0.00045414</f>
        <v/>
      </c>
      <c r="AZ16" s="7">
        <f>W16*0.00045414</f>
        <v/>
      </c>
      <c r="BA16" s="7">
        <f>X16*0.00045414</f>
        <v/>
      </c>
      <c r="BB16" s="7">
        <f>SUM(AD16:BA16)</f>
        <v/>
      </c>
    </row>
    <row r="17">
      <c r="A17" t="inlineStr">
        <is>
          <t>AMD-EXPR</t>
        </is>
      </c>
      <c r="B17" t="inlineStr">
        <is>
          <t>DSC Manual</t>
        </is>
      </c>
      <c r="C17" s="5" t="n">
        <v>46095</v>
      </c>
      <c r="D17" s="6">
        <f>Summary!D17</f>
        <v/>
      </c>
      <c r="E17" s="6">
        <f>Summary!E17</f>
        <v/>
      </c>
      <c r="F17" s="6">
        <f>Summary!F17</f>
        <v/>
      </c>
      <c r="G17" s="6">
        <f>Summary!G17</f>
        <v/>
      </c>
      <c r="H17" s="6">
        <f>Summary!H17</f>
        <v/>
      </c>
      <c r="I17" s="6">
        <f>Summary!I17</f>
        <v/>
      </c>
      <c r="J17" s="6">
        <f>Summary!J17</f>
        <v/>
      </c>
      <c r="K17" s="6">
        <f>Summary!K17</f>
        <v/>
      </c>
      <c r="L17" s="6">
        <f>Summary!L17</f>
        <v/>
      </c>
      <c r="M17" s="6">
        <f>Summary!M17</f>
        <v/>
      </c>
      <c r="N17" s="6">
        <f>Summary!N17</f>
        <v/>
      </c>
      <c r="O17" s="6">
        <f>Summary!O17</f>
        <v/>
      </c>
      <c r="P17" s="6">
        <f>Summary!P17</f>
        <v/>
      </c>
      <c r="Q17" s="6">
        <f>Summary!Q17</f>
        <v/>
      </c>
      <c r="R17" s="6">
        <f>Summary!R17</f>
        <v/>
      </c>
      <c r="S17" s="6">
        <f>Summary!S17</f>
        <v/>
      </c>
      <c r="T17" s="6">
        <f>Summary!T17</f>
        <v/>
      </c>
      <c r="U17" s="6">
        <f>Summary!U17</f>
        <v/>
      </c>
      <c r="V17" s="6">
        <f>Summary!V17</f>
        <v/>
      </c>
      <c r="W17" s="6">
        <f>Summary!W17</f>
        <v/>
      </c>
      <c r="X17" s="6">
        <f>Summary!X17</f>
        <v/>
      </c>
      <c r="Y17" s="6">
        <f>Summary!Y17</f>
        <v/>
      </c>
      <c r="Z17" s="6">
        <f>Summary!Z17</f>
        <v/>
      </c>
      <c r="AA17" s="6">
        <f>Summary!AA17</f>
        <v/>
      </c>
      <c r="AB17" s="6">
        <f>SUM(D17:AA17)</f>
        <v/>
      </c>
      <c r="AC17" s="3" t="inlineStr"/>
      <c r="AD17" s="7">
        <f>Y17*0.00045414</f>
        <v/>
      </c>
      <c r="AE17" s="7">
        <f>Z17*0.00045414</f>
        <v/>
      </c>
      <c r="AF17" s="7">
        <f>AA17*0.00045414</f>
        <v/>
      </c>
      <c r="AG17" s="7">
        <f>D17*0.00045414</f>
        <v/>
      </c>
      <c r="AH17" s="7">
        <f>E17*0.00045414</f>
        <v/>
      </c>
      <c r="AI17" s="7">
        <f>F17*0.00045414</f>
        <v/>
      </c>
      <c r="AJ17" s="7">
        <f>G17*0.00045414</f>
        <v/>
      </c>
      <c r="AK17" s="7">
        <f>H17*0.00045414</f>
        <v/>
      </c>
      <c r="AL17" s="7">
        <f>I17*0.00045414</f>
        <v/>
      </c>
      <c r="AM17" s="7">
        <f>J17*0.00045414</f>
        <v/>
      </c>
      <c r="AN17" s="7">
        <f>K17*0.00045414</f>
        <v/>
      </c>
      <c r="AO17" s="7">
        <f>L17*0.00045414</f>
        <v/>
      </c>
      <c r="AP17" s="7">
        <f>M17*0.00045414</f>
        <v/>
      </c>
      <c r="AQ17" s="7">
        <f>N17*0.00045414</f>
        <v/>
      </c>
      <c r="AR17" s="7">
        <f>O17*0.00045414</f>
        <v/>
      </c>
      <c r="AS17" s="7">
        <f>P17*0.00045414</f>
        <v/>
      </c>
      <c r="AT17" s="7">
        <f>Q17*0.00045414</f>
        <v/>
      </c>
      <c r="AU17" s="7">
        <f>R17*0.00045414</f>
        <v/>
      </c>
      <c r="AV17" s="7">
        <f>S17*0.00045414</f>
        <v/>
      </c>
      <c r="AW17" s="7">
        <f>T17*0.00045414</f>
        <v/>
      </c>
      <c r="AX17" s="7">
        <f>U17*0.00045414</f>
        <v/>
      </c>
      <c r="AY17" s="7">
        <f>V17*0.00045414</f>
        <v/>
      </c>
      <c r="AZ17" s="7">
        <f>W17*0.00045414</f>
        <v/>
      </c>
      <c r="BA17" s="7">
        <f>X17*0.00045414</f>
        <v/>
      </c>
      <c r="BB17" s="7">
        <f>SUM(AD17:BA17)</f>
        <v/>
      </c>
    </row>
    <row r="18">
      <c r="A18" t="inlineStr">
        <is>
          <t>AMD-EXPR</t>
        </is>
      </c>
      <c r="B18" t="inlineStr">
        <is>
          <t>DSC Manual</t>
        </is>
      </c>
      <c r="C18" s="5" t="n">
        <v>46096</v>
      </c>
      <c r="D18" s="6">
        <f>Summary!D18</f>
        <v/>
      </c>
      <c r="E18" s="6">
        <f>Summary!E18</f>
        <v/>
      </c>
      <c r="F18" s="6">
        <f>Summary!F18</f>
        <v/>
      </c>
      <c r="G18" s="6">
        <f>Summary!G18</f>
        <v/>
      </c>
      <c r="H18" s="6">
        <f>Summary!H18</f>
        <v/>
      </c>
      <c r="I18" s="6">
        <f>Summary!I18</f>
        <v/>
      </c>
      <c r="J18" s="6">
        <f>Summary!J18</f>
        <v/>
      </c>
      <c r="K18" s="6">
        <f>Summary!K18</f>
        <v/>
      </c>
      <c r="L18" s="6">
        <f>Summary!L18</f>
        <v/>
      </c>
      <c r="M18" s="6">
        <f>Summary!M18</f>
        <v/>
      </c>
      <c r="N18" s="6">
        <f>Summary!N18</f>
        <v/>
      </c>
      <c r="O18" s="6">
        <f>Summary!O18</f>
        <v/>
      </c>
      <c r="P18" s="6">
        <f>Summary!P18</f>
        <v/>
      </c>
      <c r="Q18" s="6">
        <f>Summary!Q18</f>
        <v/>
      </c>
      <c r="R18" s="6">
        <f>Summary!R18</f>
        <v/>
      </c>
      <c r="S18" s="6">
        <f>Summary!S18</f>
        <v/>
      </c>
      <c r="T18" s="6">
        <f>Summary!T18</f>
        <v/>
      </c>
      <c r="U18" s="6">
        <f>Summary!U18</f>
        <v/>
      </c>
      <c r="V18" s="6">
        <f>Summary!V18</f>
        <v/>
      </c>
      <c r="W18" s="6">
        <f>Summary!W18</f>
        <v/>
      </c>
      <c r="X18" s="6">
        <f>Summary!X18</f>
        <v/>
      </c>
      <c r="Y18" s="6">
        <f>Summary!Y18</f>
        <v/>
      </c>
      <c r="Z18" s="6">
        <f>Summary!Z18</f>
        <v/>
      </c>
      <c r="AA18" s="6">
        <f>Summary!AA18</f>
        <v/>
      </c>
      <c r="AB18" s="6">
        <f>SUM(D18:AA18)</f>
        <v/>
      </c>
      <c r="AC18" s="3" t="inlineStr"/>
      <c r="AD18" s="7">
        <f>Y18*0.00045414</f>
        <v/>
      </c>
      <c r="AE18" s="7">
        <f>Z18*0.00045414</f>
        <v/>
      </c>
      <c r="AF18" s="7">
        <f>AA18*0.00045414</f>
        <v/>
      </c>
      <c r="AG18" s="7">
        <f>D18*0.00045414</f>
        <v/>
      </c>
      <c r="AH18" s="7">
        <f>E18*0.00045414</f>
        <v/>
      </c>
      <c r="AI18" s="7">
        <f>F18*0.00045414</f>
        <v/>
      </c>
      <c r="AJ18" s="7">
        <f>G18*0.00045414</f>
        <v/>
      </c>
      <c r="AK18" s="7">
        <f>H18*0.00045414</f>
        <v/>
      </c>
      <c r="AL18" s="7">
        <f>I18*0.00045414</f>
        <v/>
      </c>
      <c r="AM18" s="7">
        <f>J18*0.00045414</f>
        <v/>
      </c>
      <c r="AN18" s="7">
        <f>K18*0.00045414</f>
        <v/>
      </c>
      <c r="AO18" s="7">
        <f>L18*0.00045414</f>
        <v/>
      </c>
      <c r="AP18" s="7">
        <f>M18*0.00045414</f>
        <v/>
      </c>
      <c r="AQ18" s="7">
        <f>N18*0.00045414</f>
        <v/>
      </c>
      <c r="AR18" s="7">
        <f>O18*0.00045414</f>
        <v/>
      </c>
      <c r="AS18" s="7">
        <f>P18*0.00045414</f>
        <v/>
      </c>
      <c r="AT18" s="7">
        <f>Q18*0.00045414</f>
        <v/>
      </c>
      <c r="AU18" s="7">
        <f>R18*0.00045414</f>
        <v/>
      </c>
      <c r="AV18" s="7">
        <f>S18*0.00045414</f>
        <v/>
      </c>
      <c r="AW18" s="7">
        <f>T18*0.00045414</f>
        <v/>
      </c>
      <c r="AX18" s="7">
        <f>U18*0.00045414</f>
        <v/>
      </c>
      <c r="AY18" s="7">
        <f>V18*0.00045414</f>
        <v/>
      </c>
      <c r="AZ18" s="7">
        <f>W18*0.00045414</f>
        <v/>
      </c>
      <c r="BA18" s="7">
        <f>X18*0.00045414</f>
        <v/>
      </c>
      <c r="BB18" s="7">
        <f>SUM(AD18:BA18)</f>
        <v/>
      </c>
    </row>
    <row r="19">
      <c r="A19" t="inlineStr">
        <is>
          <t>AMD-EXPR</t>
        </is>
      </c>
      <c r="B19" t="inlineStr">
        <is>
          <t>DSC Manual</t>
        </is>
      </c>
      <c r="C19" s="5" t="n">
        <v>46097</v>
      </c>
      <c r="D19" s="6">
        <f>Summary!D19</f>
        <v/>
      </c>
      <c r="E19" s="6">
        <f>Summary!E19</f>
        <v/>
      </c>
      <c r="F19" s="6">
        <f>Summary!F19</f>
        <v/>
      </c>
      <c r="G19" s="6">
        <f>Summary!G19</f>
        <v/>
      </c>
      <c r="H19" s="6">
        <f>Summary!H19</f>
        <v/>
      </c>
      <c r="I19" s="6">
        <f>Summary!I19</f>
        <v/>
      </c>
      <c r="J19" s="6">
        <f>Summary!J19</f>
        <v/>
      </c>
      <c r="K19" s="6">
        <f>Summary!K19</f>
        <v/>
      </c>
      <c r="L19" s="6">
        <f>Summary!L19</f>
        <v/>
      </c>
      <c r="M19" s="6">
        <f>Summary!M19</f>
        <v/>
      </c>
      <c r="N19" s="6">
        <f>Summary!N19</f>
        <v/>
      </c>
      <c r="O19" s="6">
        <f>Summary!O19</f>
        <v/>
      </c>
      <c r="P19" s="6">
        <f>Summary!P19</f>
        <v/>
      </c>
      <c r="Q19" s="6">
        <f>Summary!Q19</f>
        <v/>
      </c>
      <c r="R19" s="6">
        <f>Summary!R19</f>
        <v/>
      </c>
      <c r="S19" s="6">
        <f>Summary!S19</f>
        <v/>
      </c>
      <c r="T19" s="6">
        <f>Summary!T19</f>
        <v/>
      </c>
      <c r="U19" s="6">
        <f>Summary!U19</f>
        <v/>
      </c>
      <c r="V19" s="6">
        <f>Summary!V19</f>
        <v/>
      </c>
      <c r="W19" s="6">
        <f>Summary!W19</f>
        <v/>
      </c>
      <c r="X19" s="6">
        <f>Summary!X19</f>
        <v/>
      </c>
      <c r="Y19" s="6">
        <f>Summary!Y19</f>
        <v/>
      </c>
      <c r="Z19" s="6">
        <f>Summary!Z19</f>
        <v/>
      </c>
      <c r="AA19" s="6">
        <f>Summary!AA19</f>
        <v/>
      </c>
      <c r="AB19" s="6">
        <f>SUM(D19:AA19)</f>
        <v/>
      </c>
      <c r="AC19" s="3" t="inlineStr"/>
      <c r="AD19" s="7">
        <f>Y19*0.00045414</f>
        <v/>
      </c>
      <c r="AE19" s="7">
        <f>Z19*0.00045414</f>
        <v/>
      </c>
      <c r="AF19" s="7">
        <f>AA19*0.00045414</f>
        <v/>
      </c>
      <c r="AG19" s="7">
        <f>D19*0.00045414</f>
        <v/>
      </c>
      <c r="AH19" s="7">
        <f>E19*0.00045414</f>
        <v/>
      </c>
      <c r="AI19" s="7">
        <f>F19*0.00045414</f>
        <v/>
      </c>
      <c r="AJ19" s="7">
        <f>G19*0.00045414</f>
        <v/>
      </c>
      <c r="AK19" s="7">
        <f>H19*0.00045414</f>
        <v/>
      </c>
      <c r="AL19" s="7">
        <f>I19*0.00045414</f>
        <v/>
      </c>
      <c r="AM19" s="7">
        <f>J19*0.00045414</f>
        <v/>
      </c>
      <c r="AN19" s="7">
        <f>K19*0.00045414</f>
        <v/>
      </c>
      <c r="AO19" s="7">
        <f>L19*0.00045414</f>
        <v/>
      </c>
      <c r="AP19" s="7">
        <f>M19*0.00045414</f>
        <v/>
      </c>
      <c r="AQ19" s="7">
        <f>N19*0.00045414</f>
        <v/>
      </c>
      <c r="AR19" s="7">
        <f>O19*0.00045414</f>
        <v/>
      </c>
      <c r="AS19" s="7">
        <f>P19*0.00045414</f>
        <v/>
      </c>
      <c r="AT19" s="7">
        <f>Q19*0.00045414</f>
        <v/>
      </c>
      <c r="AU19" s="7">
        <f>R19*0.00045414</f>
        <v/>
      </c>
      <c r="AV19" s="7">
        <f>S19*0.00045414</f>
        <v/>
      </c>
      <c r="AW19" s="7">
        <f>T19*0.00045414</f>
        <v/>
      </c>
      <c r="AX19" s="7">
        <f>U19*0.00045414</f>
        <v/>
      </c>
      <c r="AY19" s="7">
        <f>V19*0.00045414</f>
        <v/>
      </c>
      <c r="AZ19" s="7">
        <f>W19*0.00045414</f>
        <v/>
      </c>
      <c r="BA19" s="7">
        <f>X19*0.00045414</f>
        <v/>
      </c>
      <c r="BB19" s="7">
        <f>SUM(AD19:BA19)</f>
        <v/>
      </c>
    </row>
    <row r="20">
      <c r="A20" t="inlineStr">
        <is>
          <t>AMD-EXPR</t>
        </is>
      </c>
      <c r="B20" t="inlineStr">
        <is>
          <t>DSC Manual</t>
        </is>
      </c>
      <c r="C20" s="5" t="n">
        <v>46099</v>
      </c>
      <c r="D20" s="6">
        <f>Summary!D20</f>
        <v/>
      </c>
      <c r="E20" s="6">
        <f>Summary!E20</f>
        <v/>
      </c>
      <c r="F20" s="6">
        <f>Summary!F20</f>
        <v/>
      </c>
      <c r="G20" s="6">
        <f>Summary!G20</f>
        <v/>
      </c>
      <c r="H20" s="6">
        <f>Summary!H20</f>
        <v/>
      </c>
      <c r="I20" s="6">
        <f>Summary!I20</f>
        <v/>
      </c>
      <c r="J20" s="6">
        <f>Summary!J20</f>
        <v/>
      </c>
      <c r="K20" s="6">
        <f>Summary!K20</f>
        <v/>
      </c>
      <c r="L20" s="6">
        <f>Summary!L20</f>
        <v/>
      </c>
      <c r="M20" s="6">
        <f>Summary!M20</f>
        <v/>
      </c>
      <c r="N20" s="6">
        <f>Summary!N20</f>
        <v/>
      </c>
      <c r="O20" s="6">
        <f>Summary!O20</f>
        <v/>
      </c>
      <c r="P20" s="6">
        <f>Summary!P20</f>
        <v/>
      </c>
      <c r="Q20" s="6">
        <f>Summary!Q20</f>
        <v/>
      </c>
      <c r="R20" s="6">
        <f>Summary!R20</f>
        <v/>
      </c>
      <c r="S20" s="6">
        <f>Summary!S20</f>
        <v/>
      </c>
      <c r="T20" s="6">
        <f>Summary!T20</f>
        <v/>
      </c>
      <c r="U20" s="6">
        <f>Summary!U20</f>
        <v/>
      </c>
      <c r="V20" s="6">
        <f>Summary!V20</f>
        <v/>
      </c>
      <c r="W20" s="6">
        <f>Summary!W20</f>
        <v/>
      </c>
      <c r="X20" s="6">
        <f>Summary!X20</f>
        <v/>
      </c>
      <c r="Y20" s="6">
        <f>Summary!Y20</f>
        <v/>
      </c>
      <c r="Z20" s="6">
        <f>Summary!Z20</f>
        <v/>
      </c>
      <c r="AA20" s="6">
        <f>Summary!AA20</f>
        <v/>
      </c>
      <c r="AB20" s="6">
        <f>SUM(D20:AA20)</f>
        <v/>
      </c>
      <c r="AC20" s="3" t="inlineStr"/>
      <c r="AD20" s="7">
        <f>Y20*0.00045414</f>
        <v/>
      </c>
      <c r="AE20" s="7">
        <f>Z20*0.00045414</f>
        <v/>
      </c>
      <c r="AF20" s="7">
        <f>AA20*0.00045414</f>
        <v/>
      </c>
      <c r="AG20" s="7">
        <f>D20*0.00045414</f>
        <v/>
      </c>
      <c r="AH20" s="7">
        <f>E20*0.00045414</f>
        <v/>
      </c>
      <c r="AI20" s="7">
        <f>F20*0.00045414</f>
        <v/>
      </c>
      <c r="AJ20" s="7">
        <f>G20*0.00045414</f>
        <v/>
      </c>
      <c r="AK20" s="7">
        <f>H20*0.00045414</f>
        <v/>
      </c>
      <c r="AL20" s="7">
        <f>I20*0.00045414</f>
        <v/>
      </c>
      <c r="AM20" s="7">
        <f>J20*0.00045414</f>
        <v/>
      </c>
      <c r="AN20" s="7">
        <f>K20*0.00045414</f>
        <v/>
      </c>
      <c r="AO20" s="7">
        <f>L20*0.00045414</f>
        <v/>
      </c>
      <c r="AP20" s="7">
        <f>M20*0.00045414</f>
        <v/>
      </c>
      <c r="AQ20" s="7">
        <f>N20*0.00045414</f>
        <v/>
      </c>
      <c r="AR20" s="7">
        <f>O20*0.00045414</f>
        <v/>
      </c>
      <c r="AS20" s="7">
        <f>P20*0.00045414</f>
        <v/>
      </c>
      <c r="AT20" s="7">
        <f>Q20*0.00045414</f>
        <v/>
      </c>
      <c r="AU20" s="7">
        <f>R20*0.00045414</f>
        <v/>
      </c>
      <c r="AV20" s="7">
        <f>S20*0.00045414</f>
        <v/>
      </c>
      <c r="AW20" s="7">
        <f>T20*0.00045414</f>
        <v/>
      </c>
      <c r="AX20" s="7">
        <f>U20*0.00045414</f>
        <v/>
      </c>
      <c r="AY20" s="7">
        <f>V20*0.00045414</f>
        <v/>
      </c>
      <c r="AZ20" s="7">
        <f>W20*0.00045414</f>
        <v/>
      </c>
      <c r="BA20" s="7">
        <f>X20*0.00045414</f>
        <v/>
      </c>
      <c r="BB20" s="7">
        <f>SUM(AD20:BA20)</f>
        <v/>
      </c>
    </row>
    <row r="21">
      <c r="A21" t="inlineStr">
        <is>
          <t>AMD-EXPR</t>
        </is>
      </c>
      <c r="B21" t="inlineStr">
        <is>
          <t>DSC Manual</t>
        </is>
      </c>
      <c r="C21" s="5" t="n">
        <v>46100</v>
      </c>
      <c r="D21" s="6">
        <f>Summary!D21</f>
        <v/>
      </c>
      <c r="E21" s="6">
        <f>Summary!E21</f>
        <v/>
      </c>
      <c r="F21" s="6">
        <f>Summary!F21</f>
        <v/>
      </c>
      <c r="G21" s="6">
        <f>Summary!G21</f>
        <v/>
      </c>
      <c r="H21" s="6">
        <f>Summary!H21</f>
        <v/>
      </c>
      <c r="I21" s="6">
        <f>Summary!I21</f>
        <v/>
      </c>
      <c r="J21" s="6">
        <f>Summary!J21</f>
        <v/>
      </c>
      <c r="K21" s="6">
        <f>Summary!K21</f>
        <v/>
      </c>
      <c r="L21" s="6">
        <f>Summary!L21</f>
        <v/>
      </c>
      <c r="M21" s="6">
        <f>Summary!M21</f>
        <v/>
      </c>
      <c r="N21" s="6">
        <f>Summary!N21</f>
        <v/>
      </c>
      <c r="O21" s="6">
        <f>Summary!O21</f>
        <v/>
      </c>
      <c r="P21" s="6">
        <f>Summary!P21</f>
        <v/>
      </c>
      <c r="Q21" s="6">
        <f>Summary!Q21</f>
        <v/>
      </c>
      <c r="R21" s="6">
        <f>Summary!R21</f>
        <v/>
      </c>
      <c r="S21" s="6">
        <f>Summary!S21</f>
        <v/>
      </c>
      <c r="T21" s="6">
        <f>Summary!T21</f>
        <v/>
      </c>
      <c r="U21" s="6">
        <f>Summary!U21</f>
        <v/>
      </c>
      <c r="V21" s="6">
        <f>Summary!V21</f>
        <v/>
      </c>
      <c r="W21" s="6">
        <f>Summary!W21</f>
        <v/>
      </c>
      <c r="X21" s="6">
        <f>Summary!X21</f>
        <v/>
      </c>
      <c r="Y21" s="6">
        <f>Summary!Y21</f>
        <v/>
      </c>
      <c r="Z21" s="6">
        <f>Summary!Z21</f>
        <v/>
      </c>
      <c r="AA21" s="6">
        <f>Summary!AA21</f>
        <v/>
      </c>
      <c r="AB21" s="6">
        <f>SUM(D21:AA21)</f>
        <v/>
      </c>
      <c r="AC21" s="3" t="inlineStr"/>
      <c r="AD21" s="7">
        <f>Y21*0.00045414</f>
        <v/>
      </c>
      <c r="AE21" s="7">
        <f>Z21*0.00045414</f>
        <v/>
      </c>
      <c r="AF21" s="7">
        <f>AA21*0.00045414</f>
        <v/>
      </c>
      <c r="AG21" s="7">
        <f>D21*0.00045414</f>
        <v/>
      </c>
      <c r="AH21" s="7">
        <f>E21*0.00045414</f>
        <v/>
      </c>
      <c r="AI21" s="7">
        <f>F21*0.00045414</f>
        <v/>
      </c>
      <c r="AJ21" s="7">
        <f>G21*0.00045414</f>
        <v/>
      </c>
      <c r="AK21" s="7">
        <f>H21*0.00045414</f>
        <v/>
      </c>
      <c r="AL21" s="7">
        <f>I21*0.00045414</f>
        <v/>
      </c>
      <c r="AM21" s="7">
        <f>J21*0.00045414</f>
        <v/>
      </c>
      <c r="AN21" s="7">
        <f>K21*0.00045414</f>
        <v/>
      </c>
      <c r="AO21" s="7">
        <f>L21*0.00045414</f>
        <v/>
      </c>
      <c r="AP21" s="7">
        <f>M21*0.00045414</f>
        <v/>
      </c>
      <c r="AQ21" s="7">
        <f>N21*0.00045414</f>
        <v/>
      </c>
      <c r="AR21" s="7">
        <f>O21*0.00045414</f>
        <v/>
      </c>
      <c r="AS21" s="7">
        <f>P21*0.00045414</f>
        <v/>
      </c>
      <c r="AT21" s="7">
        <f>Q21*0.00045414</f>
        <v/>
      </c>
      <c r="AU21" s="7">
        <f>R21*0.00045414</f>
        <v/>
      </c>
      <c r="AV21" s="7">
        <f>S21*0.00045414</f>
        <v/>
      </c>
      <c r="AW21" s="7">
        <f>T21*0.00045414</f>
        <v/>
      </c>
      <c r="AX21" s="7">
        <f>U21*0.00045414</f>
        <v/>
      </c>
      <c r="AY21" s="7">
        <f>V21*0.00045414</f>
        <v/>
      </c>
      <c r="AZ21" s="7">
        <f>W21*0.00045414</f>
        <v/>
      </c>
      <c r="BA21" s="7">
        <f>X21*0.00045414</f>
        <v/>
      </c>
      <c r="BB21" s="7">
        <f>SUM(AD21:BA21)</f>
        <v/>
      </c>
    </row>
    <row r="22">
      <c r="A22" t="inlineStr">
        <is>
          <t>AMD-EXPR</t>
        </is>
      </c>
      <c r="B22" t="inlineStr">
        <is>
          <t>DSC Manual</t>
        </is>
      </c>
      <c r="C22" s="5" t="n">
        <v>46102</v>
      </c>
      <c r="D22" s="6">
        <f>Summary!D22</f>
        <v/>
      </c>
      <c r="E22" s="6">
        <f>Summary!E22</f>
        <v/>
      </c>
      <c r="F22" s="6">
        <f>Summary!F22</f>
        <v/>
      </c>
      <c r="G22" s="6">
        <f>Summary!G22</f>
        <v/>
      </c>
      <c r="H22" s="6">
        <f>Summary!H22</f>
        <v/>
      </c>
      <c r="I22" s="6">
        <f>Summary!I22</f>
        <v/>
      </c>
      <c r="J22" s="6">
        <f>Summary!J22</f>
        <v/>
      </c>
      <c r="K22" s="6">
        <f>Summary!K22</f>
        <v/>
      </c>
      <c r="L22" s="6">
        <f>Summary!L22</f>
        <v/>
      </c>
      <c r="M22" s="6">
        <f>Summary!M22</f>
        <v/>
      </c>
      <c r="N22" s="6">
        <f>Summary!N22</f>
        <v/>
      </c>
      <c r="O22" s="6">
        <f>Summary!O22</f>
        <v/>
      </c>
      <c r="P22" s="6">
        <f>Summary!P22</f>
        <v/>
      </c>
      <c r="Q22" s="6">
        <f>Summary!Q22</f>
        <v/>
      </c>
      <c r="R22" s="6">
        <f>Summary!R22</f>
        <v/>
      </c>
      <c r="S22" s="6">
        <f>Summary!S22</f>
        <v/>
      </c>
      <c r="T22" s="6">
        <f>Summary!T22</f>
        <v/>
      </c>
      <c r="U22" s="6">
        <f>Summary!U22</f>
        <v/>
      </c>
      <c r="V22" s="6">
        <f>Summary!V22</f>
        <v/>
      </c>
      <c r="W22" s="6">
        <f>Summary!W22</f>
        <v/>
      </c>
      <c r="X22" s="6">
        <f>Summary!X22</f>
        <v/>
      </c>
      <c r="Y22" s="6">
        <f>Summary!Y22</f>
        <v/>
      </c>
      <c r="Z22" s="6">
        <f>Summary!Z22</f>
        <v/>
      </c>
      <c r="AA22" s="6">
        <f>Summary!AA22</f>
        <v/>
      </c>
      <c r="AB22" s="6">
        <f>SUM(D22:AA22)</f>
        <v/>
      </c>
      <c r="AC22" s="3" t="inlineStr"/>
      <c r="AD22" s="7">
        <f>Y22*0.00045414</f>
        <v/>
      </c>
      <c r="AE22" s="7">
        <f>Z22*0.00045414</f>
        <v/>
      </c>
      <c r="AF22" s="7">
        <f>AA22*0.00045414</f>
        <v/>
      </c>
      <c r="AG22" s="7">
        <f>D22*0.00045414</f>
        <v/>
      </c>
      <c r="AH22" s="7">
        <f>E22*0.00045414</f>
        <v/>
      </c>
      <c r="AI22" s="7">
        <f>F22*0.00045414</f>
        <v/>
      </c>
      <c r="AJ22" s="7">
        <f>G22*0.00045414</f>
        <v/>
      </c>
      <c r="AK22" s="7">
        <f>H22*0.00045414</f>
        <v/>
      </c>
      <c r="AL22" s="7">
        <f>I22*0.00045414</f>
        <v/>
      </c>
      <c r="AM22" s="7">
        <f>J22*0.00045414</f>
        <v/>
      </c>
      <c r="AN22" s="7">
        <f>K22*0.00045414</f>
        <v/>
      </c>
      <c r="AO22" s="7">
        <f>L22*0.00045414</f>
        <v/>
      </c>
      <c r="AP22" s="7">
        <f>M22*0.00045414</f>
        <v/>
      </c>
      <c r="AQ22" s="7">
        <f>N22*0.00045414</f>
        <v/>
      </c>
      <c r="AR22" s="7">
        <f>O22*0.00045414</f>
        <v/>
      </c>
      <c r="AS22" s="7">
        <f>P22*0.00045414</f>
        <v/>
      </c>
      <c r="AT22" s="7">
        <f>Q22*0.00045414</f>
        <v/>
      </c>
      <c r="AU22" s="7">
        <f>R22*0.00045414</f>
        <v/>
      </c>
      <c r="AV22" s="7">
        <f>S22*0.00045414</f>
        <v/>
      </c>
      <c r="AW22" s="7">
        <f>T22*0.00045414</f>
        <v/>
      </c>
      <c r="AX22" s="7">
        <f>U22*0.00045414</f>
        <v/>
      </c>
      <c r="AY22" s="7">
        <f>V22*0.00045414</f>
        <v/>
      </c>
      <c r="AZ22" s="7">
        <f>W22*0.00045414</f>
        <v/>
      </c>
      <c r="BA22" s="7">
        <f>X22*0.00045414</f>
        <v/>
      </c>
      <c r="BB22" s="7">
        <f>SUM(AD22:BA22)</f>
        <v/>
      </c>
    </row>
    <row r="23">
      <c r="A23" t="inlineStr">
        <is>
          <t>AMD-EXPR</t>
        </is>
      </c>
      <c r="B23" t="inlineStr">
        <is>
          <t>DSC Manual</t>
        </is>
      </c>
      <c r="C23" s="5" t="n">
        <v>46103</v>
      </c>
      <c r="D23" s="6">
        <f>Summary!D23</f>
        <v/>
      </c>
      <c r="E23" s="6">
        <f>Summary!E23</f>
        <v/>
      </c>
      <c r="F23" s="6">
        <f>Summary!F23</f>
        <v/>
      </c>
      <c r="G23" s="6">
        <f>Summary!G23</f>
        <v/>
      </c>
      <c r="H23" s="6">
        <f>Summary!H23</f>
        <v/>
      </c>
      <c r="I23" s="6">
        <f>Summary!I23</f>
        <v/>
      </c>
      <c r="J23" s="6">
        <f>Summary!J23</f>
        <v/>
      </c>
      <c r="K23" s="6">
        <f>Summary!K23</f>
        <v/>
      </c>
      <c r="L23" s="6">
        <f>Summary!L23</f>
        <v/>
      </c>
      <c r="M23" s="6">
        <f>Summary!M23</f>
        <v/>
      </c>
      <c r="N23" s="6">
        <f>Summary!N23</f>
        <v/>
      </c>
      <c r="O23" s="6">
        <f>Summary!O23</f>
        <v/>
      </c>
      <c r="P23" s="6">
        <f>Summary!P23</f>
        <v/>
      </c>
      <c r="Q23" s="6">
        <f>Summary!Q23</f>
        <v/>
      </c>
      <c r="R23" s="6">
        <f>Summary!R23</f>
        <v/>
      </c>
      <c r="S23" s="6">
        <f>Summary!S23</f>
        <v/>
      </c>
      <c r="T23" s="6">
        <f>Summary!T23</f>
        <v/>
      </c>
      <c r="U23" s="6">
        <f>Summary!U23</f>
        <v/>
      </c>
      <c r="V23" s="6">
        <f>Summary!V23</f>
        <v/>
      </c>
      <c r="W23" s="6">
        <f>Summary!W23</f>
        <v/>
      </c>
      <c r="X23" s="6">
        <f>Summary!X23</f>
        <v/>
      </c>
      <c r="Y23" s="6">
        <f>Summary!Y23</f>
        <v/>
      </c>
      <c r="Z23" s="6">
        <f>Summary!Z23</f>
        <v/>
      </c>
      <c r="AA23" s="6">
        <f>Summary!AA23</f>
        <v/>
      </c>
      <c r="AB23" s="6">
        <f>SUM(D23:AA23)</f>
        <v/>
      </c>
      <c r="AC23" s="3" t="inlineStr"/>
      <c r="AD23" s="7">
        <f>Y23*0.00045414</f>
        <v/>
      </c>
      <c r="AE23" s="7">
        <f>Z23*0.00045414</f>
        <v/>
      </c>
      <c r="AF23" s="7">
        <f>AA23*0.00045414</f>
        <v/>
      </c>
      <c r="AG23" s="7">
        <f>D23*0.00045414</f>
        <v/>
      </c>
      <c r="AH23" s="7">
        <f>E23*0.00045414</f>
        <v/>
      </c>
      <c r="AI23" s="7">
        <f>F23*0.00045414</f>
        <v/>
      </c>
      <c r="AJ23" s="7">
        <f>G23*0.00045414</f>
        <v/>
      </c>
      <c r="AK23" s="7">
        <f>H23*0.00045414</f>
        <v/>
      </c>
      <c r="AL23" s="7">
        <f>I23*0.00045414</f>
        <v/>
      </c>
      <c r="AM23" s="7">
        <f>J23*0.00045414</f>
        <v/>
      </c>
      <c r="AN23" s="7">
        <f>K23*0.00045414</f>
        <v/>
      </c>
      <c r="AO23" s="7">
        <f>L23*0.00045414</f>
        <v/>
      </c>
      <c r="AP23" s="7">
        <f>M23*0.00045414</f>
        <v/>
      </c>
      <c r="AQ23" s="7">
        <f>N23*0.00045414</f>
        <v/>
      </c>
      <c r="AR23" s="7">
        <f>O23*0.00045414</f>
        <v/>
      </c>
      <c r="AS23" s="7">
        <f>P23*0.00045414</f>
        <v/>
      </c>
      <c r="AT23" s="7">
        <f>Q23*0.00045414</f>
        <v/>
      </c>
      <c r="AU23" s="7">
        <f>R23*0.00045414</f>
        <v/>
      </c>
      <c r="AV23" s="7">
        <f>S23*0.00045414</f>
        <v/>
      </c>
      <c r="AW23" s="7">
        <f>T23*0.00045414</f>
        <v/>
      </c>
      <c r="AX23" s="7">
        <f>U23*0.00045414</f>
        <v/>
      </c>
      <c r="AY23" s="7">
        <f>V23*0.00045414</f>
        <v/>
      </c>
      <c r="AZ23" s="7">
        <f>W23*0.00045414</f>
        <v/>
      </c>
      <c r="BA23" s="7">
        <f>X23*0.00045414</f>
        <v/>
      </c>
      <c r="BB23" s="7">
        <f>SUM(AD23:BA23)</f>
        <v/>
      </c>
    </row>
    <row r="24">
      <c r="A24" t="inlineStr">
        <is>
          <t>AMD-EXPR</t>
        </is>
      </c>
      <c r="B24" t="inlineStr">
        <is>
          <t>DSC Manual</t>
        </is>
      </c>
      <c r="C24" s="5" t="n">
        <v>46104</v>
      </c>
      <c r="D24" s="6">
        <f>Summary!D24</f>
        <v/>
      </c>
      <c r="E24" s="6">
        <f>Summary!E24</f>
        <v/>
      </c>
      <c r="F24" s="6">
        <f>Summary!F24</f>
        <v/>
      </c>
      <c r="G24" s="6">
        <f>Summary!G24</f>
        <v/>
      </c>
      <c r="H24" s="6">
        <f>Summary!H24</f>
        <v/>
      </c>
      <c r="I24" s="6">
        <f>Summary!I24</f>
        <v/>
      </c>
      <c r="J24" s="6">
        <f>Summary!J24</f>
        <v/>
      </c>
      <c r="K24" s="6">
        <f>Summary!K24</f>
        <v/>
      </c>
      <c r="L24" s="6">
        <f>Summary!L24</f>
        <v/>
      </c>
      <c r="M24" s="6">
        <f>Summary!M24</f>
        <v/>
      </c>
      <c r="N24" s="6">
        <f>Summary!N24</f>
        <v/>
      </c>
      <c r="O24" s="6">
        <f>Summary!O24</f>
        <v/>
      </c>
      <c r="P24" s="6">
        <f>Summary!P24</f>
        <v/>
      </c>
      <c r="Q24" s="6">
        <f>Summary!Q24</f>
        <v/>
      </c>
      <c r="R24" s="6">
        <f>Summary!R24</f>
        <v/>
      </c>
      <c r="S24" s="6">
        <f>Summary!S24</f>
        <v/>
      </c>
      <c r="T24" s="6">
        <f>Summary!T24</f>
        <v/>
      </c>
      <c r="U24" s="6">
        <f>Summary!U24</f>
        <v/>
      </c>
      <c r="V24" s="6">
        <f>Summary!V24</f>
        <v/>
      </c>
      <c r="W24" s="6">
        <f>Summary!W24</f>
        <v/>
      </c>
      <c r="X24" s="6">
        <f>Summary!X24</f>
        <v/>
      </c>
      <c r="Y24" s="6">
        <f>Summary!Y24</f>
        <v/>
      </c>
      <c r="Z24" s="6">
        <f>Summary!Z24</f>
        <v/>
      </c>
      <c r="AA24" s="6">
        <f>Summary!AA24</f>
        <v/>
      </c>
      <c r="AB24" s="6">
        <f>SUM(D24:AA24)</f>
        <v/>
      </c>
      <c r="AC24" s="3" t="inlineStr"/>
      <c r="AD24" s="7">
        <f>Y24*0.00045414</f>
        <v/>
      </c>
      <c r="AE24" s="7">
        <f>Z24*0.00045414</f>
        <v/>
      </c>
      <c r="AF24" s="7">
        <f>AA24*0.00045414</f>
        <v/>
      </c>
      <c r="AG24" s="7">
        <f>D24*0.00045414</f>
        <v/>
      </c>
      <c r="AH24" s="7">
        <f>E24*0.00045414</f>
        <v/>
      </c>
      <c r="AI24" s="7">
        <f>F24*0.00045414</f>
        <v/>
      </c>
      <c r="AJ24" s="7">
        <f>G24*0.00045414</f>
        <v/>
      </c>
      <c r="AK24" s="7">
        <f>H24*0.00045414</f>
        <v/>
      </c>
      <c r="AL24" s="7">
        <f>I24*0.00045414</f>
        <v/>
      </c>
      <c r="AM24" s="7">
        <f>J24*0.00045414</f>
        <v/>
      </c>
      <c r="AN24" s="7">
        <f>K24*0.00045414</f>
        <v/>
      </c>
      <c r="AO24" s="7">
        <f>L24*0.00045414</f>
        <v/>
      </c>
      <c r="AP24" s="7">
        <f>M24*0.00045414</f>
        <v/>
      </c>
      <c r="AQ24" s="7">
        <f>N24*0.00045414</f>
        <v/>
      </c>
      <c r="AR24" s="7">
        <f>O24*0.00045414</f>
        <v/>
      </c>
      <c r="AS24" s="7">
        <f>P24*0.00045414</f>
        <v/>
      </c>
      <c r="AT24" s="7">
        <f>Q24*0.00045414</f>
        <v/>
      </c>
      <c r="AU24" s="7">
        <f>R24*0.00045414</f>
        <v/>
      </c>
      <c r="AV24" s="7">
        <f>S24*0.00045414</f>
        <v/>
      </c>
      <c r="AW24" s="7">
        <f>T24*0.00045414</f>
        <v/>
      </c>
      <c r="AX24" s="7">
        <f>U24*0.00045414</f>
        <v/>
      </c>
      <c r="AY24" s="7">
        <f>V24*0.00045414</f>
        <v/>
      </c>
      <c r="AZ24" s="7">
        <f>W24*0.00045414</f>
        <v/>
      </c>
      <c r="BA24" s="7">
        <f>X24*0.00045414</f>
        <v/>
      </c>
      <c r="BB24" s="7">
        <f>SUM(AD24:BA24)</f>
        <v/>
      </c>
    </row>
    <row r="25">
      <c r="A25" t="inlineStr">
        <is>
          <t>AMD-EXPR</t>
        </is>
      </c>
      <c r="B25" t="inlineStr">
        <is>
          <t>DSC Manual</t>
        </is>
      </c>
      <c r="C25" s="5" t="n">
        <v>46105</v>
      </c>
      <c r="D25" s="6">
        <f>Summary!D25</f>
        <v/>
      </c>
      <c r="E25" s="6">
        <f>Summary!E25</f>
        <v/>
      </c>
      <c r="F25" s="6">
        <f>Summary!F25</f>
        <v/>
      </c>
      <c r="G25" s="6">
        <f>Summary!G25</f>
        <v/>
      </c>
      <c r="H25" s="6">
        <f>Summary!H25</f>
        <v/>
      </c>
      <c r="I25" s="6">
        <f>Summary!I25</f>
        <v/>
      </c>
      <c r="J25" s="6">
        <f>Summary!J25</f>
        <v/>
      </c>
      <c r="K25" s="6">
        <f>Summary!K25</f>
        <v/>
      </c>
      <c r="L25" s="6">
        <f>Summary!L25</f>
        <v/>
      </c>
      <c r="M25" s="6">
        <f>Summary!M25</f>
        <v/>
      </c>
      <c r="N25" s="6">
        <f>Summary!N25</f>
        <v/>
      </c>
      <c r="O25" s="6">
        <f>Summary!O25</f>
        <v/>
      </c>
      <c r="P25" s="6">
        <f>Summary!P25</f>
        <v/>
      </c>
      <c r="Q25" s="6">
        <f>Summary!Q25</f>
        <v/>
      </c>
      <c r="R25" s="6">
        <f>Summary!R25</f>
        <v/>
      </c>
      <c r="S25" s="6">
        <f>Summary!S25</f>
        <v/>
      </c>
      <c r="T25" s="6">
        <f>Summary!T25</f>
        <v/>
      </c>
      <c r="U25" s="6">
        <f>Summary!U25</f>
        <v/>
      </c>
      <c r="V25" s="6">
        <f>Summary!V25</f>
        <v/>
      </c>
      <c r="W25" s="6">
        <f>Summary!W25</f>
        <v/>
      </c>
      <c r="X25" s="6">
        <f>Summary!X25</f>
        <v/>
      </c>
      <c r="Y25" s="6">
        <f>Summary!Y25</f>
        <v/>
      </c>
      <c r="Z25" s="6">
        <f>Summary!Z25</f>
        <v/>
      </c>
      <c r="AA25" s="6">
        <f>Summary!AA25</f>
        <v/>
      </c>
      <c r="AB25" s="6">
        <f>SUM(D25:AA25)</f>
        <v/>
      </c>
      <c r="AC25" s="3" t="inlineStr"/>
      <c r="AD25" s="7">
        <f>Y25*0.00045414</f>
        <v/>
      </c>
      <c r="AE25" s="7">
        <f>Z25*0.00045414</f>
        <v/>
      </c>
      <c r="AF25" s="7">
        <f>AA25*0.00045414</f>
        <v/>
      </c>
      <c r="AG25" s="7">
        <f>D25*0.00045414</f>
        <v/>
      </c>
      <c r="AH25" s="7">
        <f>E25*0.00045414</f>
        <v/>
      </c>
      <c r="AI25" s="7">
        <f>F25*0.00045414</f>
        <v/>
      </c>
      <c r="AJ25" s="7">
        <f>G25*0.00045414</f>
        <v/>
      </c>
      <c r="AK25" s="7">
        <f>H25*0.00045414</f>
        <v/>
      </c>
      <c r="AL25" s="7">
        <f>I25*0.00045414</f>
        <v/>
      </c>
      <c r="AM25" s="7">
        <f>J25*0.00045414</f>
        <v/>
      </c>
      <c r="AN25" s="7">
        <f>K25*0.00045414</f>
        <v/>
      </c>
      <c r="AO25" s="7">
        <f>L25*0.00045414</f>
        <v/>
      </c>
      <c r="AP25" s="7">
        <f>M25*0.00045414</f>
        <v/>
      </c>
      <c r="AQ25" s="7">
        <f>N25*0.00045414</f>
        <v/>
      </c>
      <c r="AR25" s="7">
        <f>O25*0.00045414</f>
        <v/>
      </c>
      <c r="AS25" s="7">
        <f>P25*0.00045414</f>
        <v/>
      </c>
      <c r="AT25" s="7">
        <f>Q25*0.00045414</f>
        <v/>
      </c>
      <c r="AU25" s="7">
        <f>R25*0.00045414</f>
        <v/>
      </c>
      <c r="AV25" s="7">
        <f>S25*0.00045414</f>
        <v/>
      </c>
      <c r="AW25" s="7">
        <f>T25*0.00045414</f>
        <v/>
      </c>
      <c r="AX25" s="7">
        <f>U25*0.00045414</f>
        <v/>
      </c>
      <c r="AY25" s="7">
        <f>V25*0.00045414</f>
        <v/>
      </c>
      <c r="AZ25" s="7">
        <f>W25*0.00045414</f>
        <v/>
      </c>
      <c r="BA25" s="7">
        <f>X25*0.00045414</f>
        <v/>
      </c>
      <c r="BB25" s="7">
        <f>SUM(AD25:BA25)</f>
        <v/>
      </c>
    </row>
    <row r="26">
      <c r="A26" t="inlineStr">
        <is>
          <t>AMD-FK-SSC</t>
        </is>
      </c>
      <c r="B26" t="inlineStr">
        <is>
          <t>Prime at Client side</t>
        </is>
      </c>
      <c r="C26" s="5" t="n">
        <v>46089</v>
      </c>
      <c r="D26" s="6">
        <f>Summary!D26</f>
        <v/>
      </c>
      <c r="E26" s="6">
        <f>Summary!E26</f>
        <v/>
      </c>
      <c r="F26" s="6">
        <f>Summary!F26</f>
        <v/>
      </c>
      <c r="G26" s="6">
        <f>Summary!G26</f>
        <v/>
      </c>
      <c r="H26" s="6">
        <f>Summary!H26</f>
        <v/>
      </c>
      <c r="I26" s="6">
        <f>Summary!I26</f>
        <v/>
      </c>
      <c r="J26" s="6">
        <f>Summary!J26</f>
        <v/>
      </c>
      <c r="K26" s="6">
        <f>Summary!K26</f>
        <v/>
      </c>
      <c r="L26" s="6">
        <f>Summary!L26</f>
        <v/>
      </c>
      <c r="M26" s="6">
        <f>Summary!M26</f>
        <v/>
      </c>
      <c r="N26" s="6">
        <f>Summary!N26</f>
        <v/>
      </c>
      <c r="O26" s="6">
        <f>Summary!O26</f>
        <v/>
      </c>
      <c r="P26" s="6">
        <f>Summary!P26</f>
        <v/>
      </c>
      <c r="Q26" s="6">
        <f>Summary!Q26</f>
        <v/>
      </c>
      <c r="R26" s="6">
        <f>Summary!R26</f>
        <v/>
      </c>
      <c r="S26" s="6">
        <f>Summary!S26</f>
        <v/>
      </c>
      <c r="T26" s="6">
        <f>Summary!T26</f>
        <v/>
      </c>
      <c r="U26" s="6">
        <f>Summary!U26</f>
        <v/>
      </c>
      <c r="V26" s="6">
        <f>Summary!V26</f>
        <v/>
      </c>
      <c r="W26" s="6">
        <f>Summary!W26</f>
        <v/>
      </c>
      <c r="X26" s="6">
        <f>Summary!X26</f>
        <v/>
      </c>
      <c r="Y26" s="6">
        <f>Summary!Y26</f>
        <v/>
      </c>
      <c r="Z26" s="6">
        <f>Summary!Z26</f>
        <v/>
      </c>
      <c r="AA26" s="6">
        <f>Summary!AA26</f>
        <v/>
      </c>
      <c r="AB26" s="6">
        <f>SUM(D26:AA26)</f>
        <v/>
      </c>
      <c r="AC26" s="3" t="inlineStr"/>
      <c r="AD26" s="7">
        <f>Y26*0.00045414</f>
        <v/>
      </c>
      <c r="AE26" s="7">
        <f>Z26*0.00045414</f>
        <v/>
      </c>
      <c r="AF26" s="7">
        <f>AA26*0.00045414</f>
        <v/>
      </c>
      <c r="AG26" s="7">
        <f>D26*0.00045414</f>
        <v/>
      </c>
      <c r="AH26" s="7">
        <f>E26*0.00045414</f>
        <v/>
      </c>
      <c r="AI26" s="7">
        <f>F26*0.00045414</f>
        <v/>
      </c>
      <c r="AJ26" s="7">
        <f>G26*0.00045414</f>
        <v/>
      </c>
      <c r="AK26" s="7">
        <f>H26*0.00045414</f>
        <v/>
      </c>
      <c r="AL26" s="7">
        <f>I26*0.00045414</f>
        <v/>
      </c>
      <c r="AM26" s="7">
        <f>J26*0.00045414</f>
        <v/>
      </c>
      <c r="AN26" s="7">
        <f>K26*0.00045414</f>
        <v/>
      </c>
      <c r="AO26" s="7">
        <f>L26*0.00045414</f>
        <v/>
      </c>
      <c r="AP26" s="7">
        <f>M26*0.00045414</f>
        <v/>
      </c>
      <c r="AQ26" s="7">
        <f>N26*0.00045414</f>
        <v/>
      </c>
      <c r="AR26" s="7">
        <f>O26*0.00045414</f>
        <v/>
      </c>
      <c r="AS26" s="7">
        <f>P26*0.00045414</f>
        <v/>
      </c>
      <c r="AT26" s="7">
        <f>Q26*0.00045414</f>
        <v/>
      </c>
      <c r="AU26" s="7">
        <f>R26*0.00045414</f>
        <v/>
      </c>
      <c r="AV26" s="7">
        <f>S26*0.00045414</f>
        <v/>
      </c>
      <c r="AW26" s="7">
        <f>T26*0.00045414</f>
        <v/>
      </c>
      <c r="AX26" s="7">
        <f>U26*0.00045414</f>
        <v/>
      </c>
      <c r="AY26" s="7">
        <f>V26*0.00045414</f>
        <v/>
      </c>
      <c r="AZ26" s="7">
        <f>W26*0.00045414</f>
        <v/>
      </c>
      <c r="BA26" s="7">
        <f>X26*0.00045414</f>
        <v/>
      </c>
      <c r="BB26" s="7">
        <f>SUM(AD26:BA26)</f>
        <v/>
      </c>
    </row>
    <row r="27">
      <c r="A27" t="inlineStr">
        <is>
          <t>AMD-FK-SSC</t>
        </is>
      </c>
      <c r="B27" t="inlineStr">
        <is>
          <t>Prime at Client side</t>
        </is>
      </c>
      <c r="C27" s="5" t="n">
        <v>46090</v>
      </c>
      <c r="D27" s="6">
        <f>Summary!D27</f>
        <v/>
      </c>
      <c r="E27" s="6">
        <f>Summary!E27</f>
        <v/>
      </c>
      <c r="F27" s="6">
        <f>Summary!F27</f>
        <v/>
      </c>
      <c r="G27" s="6">
        <f>Summary!G27</f>
        <v/>
      </c>
      <c r="H27" s="6">
        <f>Summary!H27</f>
        <v/>
      </c>
      <c r="I27" s="6">
        <f>Summary!I27</f>
        <v/>
      </c>
      <c r="J27" s="6">
        <f>Summary!J27</f>
        <v/>
      </c>
      <c r="K27" s="6">
        <f>Summary!K27</f>
        <v/>
      </c>
      <c r="L27" s="6">
        <f>Summary!L27</f>
        <v/>
      </c>
      <c r="M27" s="6">
        <f>Summary!M27</f>
        <v/>
      </c>
      <c r="N27" s="6">
        <f>Summary!N27</f>
        <v/>
      </c>
      <c r="O27" s="6">
        <f>Summary!O27</f>
        <v/>
      </c>
      <c r="P27" s="6">
        <f>Summary!P27</f>
        <v/>
      </c>
      <c r="Q27" s="6">
        <f>Summary!Q27</f>
        <v/>
      </c>
      <c r="R27" s="6">
        <f>Summary!R27</f>
        <v/>
      </c>
      <c r="S27" s="6">
        <f>Summary!S27</f>
        <v/>
      </c>
      <c r="T27" s="6">
        <f>Summary!T27</f>
        <v/>
      </c>
      <c r="U27" s="6">
        <f>Summary!U27</f>
        <v/>
      </c>
      <c r="V27" s="6">
        <f>Summary!V27</f>
        <v/>
      </c>
      <c r="W27" s="6">
        <f>Summary!W27</f>
        <v/>
      </c>
      <c r="X27" s="6">
        <f>Summary!X27</f>
        <v/>
      </c>
      <c r="Y27" s="6">
        <f>Summary!Y27</f>
        <v/>
      </c>
      <c r="Z27" s="6">
        <f>Summary!Z27</f>
        <v/>
      </c>
      <c r="AA27" s="6">
        <f>Summary!AA27</f>
        <v/>
      </c>
      <c r="AB27" s="6">
        <f>SUM(D27:AA27)</f>
        <v/>
      </c>
      <c r="AC27" s="3" t="inlineStr"/>
      <c r="AD27" s="7">
        <f>Y27*0.00045414</f>
        <v/>
      </c>
      <c r="AE27" s="7">
        <f>Z27*0.00045414</f>
        <v/>
      </c>
      <c r="AF27" s="7">
        <f>AA27*0.00045414</f>
        <v/>
      </c>
      <c r="AG27" s="7">
        <f>D27*0.00045414</f>
        <v/>
      </c>
      <c r="AH27" s="7">
        <f>E27*0.00045414</f>
        <v/>
      </c>
      <c r="AI27" s="7">
        <f>F27*0.00045414</f>
        <v/>
      </c>
      <c r="AJ27" s="7">
        <f>G27*0.00045414</f>
        <v/>
      </c>
      <c r="AK27" s="7">
        <f>H27*0.00045414</f>
        <v/>
      </c>
      <c r="AL27" s="7">
        <f>I27*0.00045414</f>
        <v/>
      </c>
      <c r="AM27" s="7">
        <f>J27*0.00045414</f>
        <v/>
      </c>
      <c r="AN27" s="7">
        <f>K27*0.00045414</f>
        <v/>
      </c>
      <c r="AO27" s="7">
        <f>L27*0.00045414</f>
        <v/>
      </c>
      <c r="AP27" s="7">
        <f>M27*0.00045414</f>
        <v/>
      </c>
      <c r="AQ27" s="7">
        <f>N27*0.00045414</f>
        <v/>
      </c>
      <c r="AR27" s="7">
        <f>O27*0.00045414</f>
        <v/>
      </c>
      <c r="AS27" s="7">
        <f>P27*0.00045414</f>
        <v/>
      </c>
      <c r="AT27" s="7">
        <f>Q27*0.00045414</f>
        <v/>
      </c>
      <c r="AU27" s="7">
        <f>R27*0.00045414</f>
        <v/>
      </c>
      <c r="AV27" s="7">
        <f>S27*0.00045414</f>
        <v/>
      </c>
      <c r="AW27" s="7">
        <f>T27*0.00045414</f>
        <v/>
      </c>
      <c r="AX27" s="7">
        <f>U27*0.00045414</f>
        <v/>
      </c>
      <c r="AY27" s="7">
        <f>V27*0.00045414</f>
        <v/>
      </c>
      <c r="AZ27" s="7">
        <f>W27*0.00045414</f>
        <v/>
      </c>
      <c r="BA27" s="7">
        <f>X27*0.00045414</f>
        <v/>
      </c>
      <c r="BB27" s="7">
        <f>SUM(AD27:BA27)</f>
        <v/>
      </c>
    </row>
    <row r="28">
      <c r="A28" t="inlineStr">
        <is>
          <t>AMD-FK-SSC</t>
        </is>
      </c>
      <c r="B28" t="inlineStr">
        <is>
          <t>Prime at Client side</t>
        </is>
      </c>
      <c r="C28" s="5" t="n">
        <v>46091</v>
      </c>
      <c r="D28" s="6">
        <f>Summary!D28</f>
        <v/>
      </c>
      <c r="E28" s="6">
        <f>Summary!E28</f>
        <v/>
      </c>
      <c r="F28" s="6">
        <f>Summary!F28</f>
        <v/>
      </c>
      <c r="G28" s="6">
        <f>Summary!G28</f>
        <v/>
      </c>
      <c r="H28" s="6">
        <f>Summary!H28</f>
        <v/>
      </c>
      <c r="I28" s="6">
        <f>Summary!I28</f>
        <v/>
      </c>
      <c r="J28" s="6">
        <f>Summary!J28</f>
        <v/>
      </c>
      <c r="K28" s="6">
        <f>Summary!K28</f>
        <v/>
      </c>
      <c r="L28" s="6">
        <f>Summary!L28</f>
        <v/>
      </c>
      <c r="M28" s="6">
        <f>Summary!M28</f>
        <v/>
      </c>
      <c r="N28" s="6">
        <f>Summary!N28</f>
        <v/>
      </c>
      <c r="O28" s="6">
        <f>Summary!O28</f>
        <v/>
      </c>
      <c r="P28" s="6">
        <f>Summary!P28</f>
        <v/>
      </c>
      <c r="Q28" s="6">
        <f>Summary!Q28</f>
        <v/>
      </c>
      <c r="R28" s="6">
        <f>Summary!R28</f>
        <v/>
      </c>
      <c r="S28" s="6">
        <f>Summary!S28</f>
        <v/>
      </c>
      <c r="T28" s="6">
        <f>Summary!T28</f>
        <v/>
      </c>
      <c r="U28" s="6">
        <f>Summary!U28</f>
        <v/>
      </c>
      <c r="V28" s="6">
        <f>Summary!V28</f>
        <v/>
      </c>
      <c r="W28" s="6">
        <f>Summary!W28</f>
        <v/>
      </c>
      <c r="X28" s="6">
        <f>Summary!X28</f>
        <v/>
      </c>
      <c r="Y28" s="6">
        <f>Summary!Y28</f>
        <v/>
      </c>
      <c r="Z28" s="6">
        <f>Summary!Z28</f>
        <v/>
      </c>
      <c r="AA28" s="6">
        <f>Summary!AA28</f>
        <v/>
      </c>
      <c r="AB28" s="6">
        <f>SUM(D28:AA28)</f>
        <v/>
      </c>
      <c r="AC28" s="3" t="inlineStr"/>
      <c r="AD28" s="7">
        <f>Y28*0.00045414</f>
        <v/>
      </c>
      <c r="AE28" s="7">
        <f>Z28*0.00045414</f>
        <v/>
      </c>
      <c r="AF28" s="7">
        <f>AA28*0.00045414</f>
        <v/>
      </c>
      <c r="AG28" s="7">
        <f>D28*0.00045414</f>
        <v/>
      </c>
      <c r="AH28" s="7">
        <f>E28*0.00045414</f>
        <v/>
      </c>
      <c r="AI28" s="7">
        <f>F28*0.00045414</f>
        <v/>
      </c>
      <c r="AJ28" s="7">
        <f>G28*0.00045414</f>
        <v/>
      </c>
      <c r="AK28" s="7">
        <f>H28*0.00045414</f>
        <v/>
      </c>
      <c r="AL28" s="7">
        <f>I28*0.00045414</f>
        <v/>
      </c>
      <c r="AM28" s="7">
        <f>J28*0.00045414</f>
        <v/>
      </c>
      <c r="AN28" s="7">
        <f>K28*0.00045414</f>
        <v/>
      </c>
      <c r="AO28" s="7">
        <f>L28*0.00045414</f>
        <v/>
      </c>
      <c r="AP28" s="7">
        <f>M28*0.00045414</f>
        <v/>
      </c>
      <c r="AQ28" s="7">
        <f>N28*0.00045414</f>
        <v/>
      </c>
      <c r="AR28" s="7">
        <f>O28*0.00045414</f>
        <v/>
      </c>
      <c r="AS28" s="7">
        <f>P28*0.00045414</f>
        <v/>
      </c>
      <c r="AT28" s="7">
        <f>Q28*0.00045414</f>
        <v/>
      </c>
      <c r="AU28" s="7">
        <f>R28*0.00045414</f>
        <v/>
      </c>
      <c r="AV28" s="7">
        <f>S28*0.00045414</f>
        <v/>
      </c>
      <c r="AW28" s="7">
        <f>T28*0.00045414</f>
        <v/>
      </c>
      <c r="AX28" s="7">
        <f>U28*0.00045414</f>
        <v/>
      </c>
      <c r="AY28" s="7">
        <f>V28*0.00045414</f>
        <v/>
      </c>
      <c r="AZ28" s="7">
        <f>W28*0.00045414</f>
        <v/>
      </c>
      <c r="BA28" s="7">
        <f>X28*0.00045414</f>
        <v/>
      </c>
      <c r="BB28" s="7">
        <f>SUM(AD28:BA28)</f>
        <v/>
      </c>
    </row>
    <row r="29">
      <c r="A29" t="inlineStr">
        <is>
          <t>AMD-FK-SSC</t>
        </is>
      </c>
      <c r="B29" t="inlineStr">
        <is>
          <t>Prime at Client side</t>
        </is>
      </c>
      <c r="C29" s="5" t="n">
        <v>46092</v>
      </c>
      <c r="D29" s="6">
        <f>Summary!D29</f>
        <v/>
      </c>
      <c r="E29" s="6">
        <f>Summary!E29</f>
        <v/>
      </c>
      <c r="F29" s="6">
        <f>Summary!F29</f>
        <v/>
      </c>
      <c r="G29" s="6">
        <f>Summary!G29</f>
        <v/>
      </c>
      <c r="H29" s="6">
        <f>Summary!H29</f>
        <v/>
      </c>
      <c r="I29" s="6">
        <f>Summary!I29</f>
        <v/>
      </c>
      <c r="J29" s="6">
        <f>Summary!J29</f>
        <v/>
      </c>
      <c r="K29" s="6">
        <f>Summary!K29</f>
        <v/>
      </c>
      <c r="L29" s="6">
        <f>Summary!L29</f>
        <v/>
      </c>
      <c r="M29" s="6">
        <f>Summary!M29</f>
        <v/>
      </c>
      <c r="N29" s="6">
        <f>Summary!N29</f>
        <v/>
      </c>
      <c r="O29" s="6">
        <f>Summary!O29</f>
        <v/>
      </c>
      <c r="P29" s="6">
        <f>Summary!P29</f>
        <v/>
      </c>
      <c r="Q29" s="6">
        <f>Summary!Q29</f>
        <v/>
      </c>
      <c r="R29" s="6">
        <f>Summary!R29</f>
        <v/>
      </c>
      <c r="S29" s="6">
        <f>Summary!S29</f>
        <v/>
      </c>
      <c r="T29" s="6">
        <f>Summary!T29</f>
        <v/>
      </c>
      <c r="U29" s="6">
        <f>Summary!U29</f>
        <v/>
      </c>
      <c r="V29" s="6">
        <f>Summary!V29</f>
        <v/>
      </c>
      <c r="W29" s="6">
        <f>Summary!W29</f>
        <v/>
      </c>
      <c r="X29" s="6">
        <f>Summary!X29</f>
        <v/>
      </c>
      <c r="Y29" s="6">
        <f>Summary!Y29</f>
        <v/>
      </c>
      <c r="Z29" s="6">
        <f>Summary!Z29</f>
        <v/>
      </c>
      <c r="AA29" s="6">
        <f>Summary!AA29</f>
        <v/>
      </c>
      <c r="AB29" s="6">
        <f>SUM(D29:AA29)</f>
        <v/>
      </c>
      <c r="AC29" s="3" t="inlineStr"/>
      <c r="AD29" s="7">
        <f>Y29*0.00045414</f>
        <v/>
      </c>
      <c r="AE29" s="7">
        <f>Z29*0.00045414</f>
        <v/>
      </c>
      <c r="AF29" s="7">
        <f>AA29*0.00045414</f>
        <v/>
      </c>
      <c r="AG29" s="7">
        <f>D29*0.00045414</f>
        <v/>
      </c>
      <c r="AH29" s="7">
        <f>E29*0.00045414</f>
        <v/>
      </c>
      <c r="AI29" s="7">
        <f>F29*0.00045414</f>
        <v/>
      </c>
      <c r="AJ29" s="7">
        <f>G29*0.00045414</f>
        <v/>
      </c>
      <c r="AK29" s="7">
        <f>H29*0.00045414</f>
        <v/>
      </c>
      <c r="AL29" s="7">
        <f>I29*0.00045414</f>
        <v/>
      </c>
      <c r="AM29" s="7">
        <f>J29*0.00045414</f>
        <v/>
      </c>
      <c r="AN29" s="7">
        <f>K29*0.00045414</f>
        <v/>
      </c>
      <c r="AO29" s="7">
        <f>L29*0.00045414</f>
        <v/>
      </c>
      <c r="AP29" s="7">
        <f>M29*0.00045414</f>
        <v/>
      </c>
      <c r="AQ29" s="7">
        <f>N29*0.00045414</f>
        <v/>
      </c>
      <c r="AR29" s="7">
        <f>O29*0.00045414</f>
        <v/>
      </c>
      <c r="AS29" s="7">
        <f>P29*0.00045414</f>
        <v/>
      </c>
      <c r="AT29" s="7">
        <f>Q29*0.00045414</f>
        <v/>
      </c>
      <c r="AU29" s="7">
        <f>R29*0.00045414</f>
        <v/>
      </c>
      <c r="AV29" s="7">
        <f>S29*0.00045414</f>
        <v/>
      </c>
      <c r="AW29" s="7">
        <f>T29*0.00045414</f>
        <v/>
      </c>
      <c r="AX29" s="7">
        <f>U29*0.00045414</f>
        <v/>
      </c>
      <c r="AY29" s="7">
        <f>V29*0.00045414</f>
        <v/>
      </c>
      <c r="AZ29" s="7">
        <f>W29*0.00045414</f>
        <v/>
      </c>
      <c r="BA29" s="7">
        <f>X29*0.00045414</f>
        <v/>
      </c>
      <c r="BB29" s="7">
        <f>SUM(AD29:BA29)</f>
        <v/>
      </c>
    </row>
    <row r="30">
      <c r="A30" t="inlineStr">
        <is>
          <t>AMD-FK-SSC</t>
        </is>
      </c>
      <c r="B30" t="inlineStr">
        <is>
          <t>Prime at Client side</t>
        </is>
      </c>
      <c r="C30" s="5" t="n">
        <v>46093</v>
      </c>
      <c r="D30" s="6">
        <f>Summary!D30</f>
        <v/>
      </c>
      <c r="E30" s="6">
        <f>Summary!E30</f>
        <v/>
      </c>
      <c r="F30" s="6">
        <f>Summary!F30</f>
        <v/>
      </c>
      <c r="G30" s="6">
        <f>Summary!G30</f>
        <v/>
      </c>
      <c r="H30" s="6">
        <f>Summary!H30</f>
        <v/>
      </c>
      <c r="I30" s="6">
        <f>Summary!I30</f>
        <v/>
      </c>
      <c r="J30" s="6">
        <f>Summary!J30</f>
        <v/>
      </c>
      <c r="K30" s="6">
        <f>Summary!K30</f>
        <v/>
      </c>
      <c r="L30" s="6">
        <f>Summary!L30</f>
        <v/>
      </c>
      <c r="M30" s="6">
        <f>Summary!M30</f>
        <v/>
      </c>
      <c r="N30" s="6">
        <f>Summary!N30</f>
        <v/>
      </c>
      <c r="O30" s="6">
        <f>Summary!O30</f>
        <v/>
      </c>
      <c r="P30" s="6">
        <f>Summary!P30</f>
        <v/>
      </c>
      <c r="Q30" s="6">
        <f>Summary!Q30</f>
        <v/>
      </c>
      <c r="R30" s="6">
        <f>Summary!R30</f>
        <v/>
      </c>
      <c r="S30" s="6">
        <f>Summary!S30</f>
        <v/>
      </c>
      <c r="T30" s="6">
        <f>Summary!T30</f>
        <v/>
      </c>
      <c r="U30" s="6">
        <f>Summary!U30</f>
        <v/>
      </c>
      <c r="V30" s="6">
        <f>Summary!V30</f>
        <v/>
      </c>
      <c r="W30" s="6">
        <f>Summary!W30</f>
        <v/>
      </c>
      <c r="X30" s="6">
        <f>Summary!X30</f>
        <v/>
      </c>
      <c r="Y30" s="6">
        <f>Summary!Y30</f>
        <v/>
      </c>
      <c r="Z30" s="6">
        <f>Summary!Z30</f>
        <v/>
      </c>
      <c r="AA30" s="6">
        <f>Summary!AA30</f>
        <v/>
      </c>
      <c r="AB30" s="6">
        <f>SUM(D30:AA30)</f>
        <v/>
      </c>
      <c r="AC30" s="3" t="inlineStr"/>
      <c r="AD30" s="7">
        <f>Y30*0.00045414</f>
        <v/>
      </c>
      <c r="AE30" s="7">
        <f>Z30*0.00045414</f>
        <v/>
      </c>
      <c r="AF30" s="7">
        <f>AA30*0.00045414</f>
        <v/>
      </c>
      <c r="AG30" s="7">
        <f>D30*0.00045414</f>
        <v/>
      </c>
      <c r="AH30" s="7">
        <f>E30*0.00045414</f>
        <v/>
      </c>
      <c r="AI30" s="7">
        <f>F30*0.00045414</f>
        <v/>
      </c>
      <c r="AJ30" s="7">
        <f>G30*0.00045414</f>
        <v/>
      </c>
      <c r="AK30" s="7">
        <f>H30*0.00045414</f>
        <v/>
      </c>
      <c r="AL30" s="7">
        <f>I30*0.00045414</f>
        <v/>
      </c>
      <c r="AM30" s="7">
        <f>J30*0.00045414</f>
        <v/>
      </c>
      <c r="AN30" s="7">
        <f>K30*0.00045414</f>
        <v/>
      </c>
      <c r="AO30" s="7">
        <f>L30*0.00045414</f>
        <v/>
      </c>
      <c r="AP30" s="7">
        <f>M30*0.00045414</f>
        <v/>
      </c>
      <c r="AQ30" s="7">
        <f>N30*0.00045414</f>
        <v/>
      </c>
      <c r="AR30" s="7">
        <f>O30*0.00045414</f>
        <v/>
      </c>
      <c r="AS30" s="7">
        <f>P30*0.00045414</f>
        <v/>
      </c>
      <c r="AT30" s="7">
        <f>Q30*0.00045414</f>
        <v/>
      </c>
      <c r="AU30" s="7">
        <f>R30*0.00045414</f>
        <v/>
      </c>
      <c r="AV30" s="7">
        <f>S30*0.00045414</f>
        <v/>
      </c>
      <c r="AW30" s="7">
        <f>T30*0.00045414</f>
        <v/>
      </c>
      <c r="AX30" s="7">
        <f>U30*0.00045414</f>
        <v/>
      </c>
      <c r="AY30" s="7">
        <f>V30*0.00045414</f>
        <v/>
      </c>
      <c r="AZ30" s="7">
        <f>W30*0.00045414</f>
        <v/>
      </c>
      <c r="BA30" s="7">
        <f>X30*0.00045414</f>
        <v/>
      </c>
      <c r="BB30" s="7">
        <f>SUM(AD30:BA30)</f>
        <v/>
      </c>
    </row>
    <row r="31">
      <c r="A31" t="inlineStr">
        <is>
          <t>AMD-FK-SSC</t>
        </is>
      </c>
      <c r="B31" t="inlineStr">
        <is>
          <t>Prime at Client side</t>
        </is>
      </c>
      <c r="C31" s="5" t="n">
        <v>46094</v>
      </c>
      <c r="D31" s="6">
        <f>Summary!D31</f>
        <v/>
      </c>
      <c r="E31" s="6">
        <f>Summary!E31</f>
        <v/>
      </c>
      <c r="F31" s="6">
        <f>Summary!F31</f>
        <v/>
      </c>
      <c r="G31" s="6">
        <f>Summary!G31</f>
        <v/>
      </c>
      <c r="H31" s="6">
        <f>Summary!H31</f>
        <v/>
      </c>
      <c r="I31" s="6">
        <f>Summary!I31</f>
        <v/>
      </c>
      <c r="J31" s="6">
        <f>Summary!J31</f>
        <v/>
      </c>
      <c r="K31" s="6">
        <f>Summary!K31</f>
        <v/>
      </c>
      <c r="L31" s="6">
        <f>Summary!L31</f>
        <v/>
      </c>
      <c r="M31" s="6">
        <f>Summary!M31</f>
        <v/>
      </c>
      <c r="N31" s="6">
        <f>Summary!N31</f>
        <v/>
      </c>
      <c r="O31" s="6">
        <f>Summary!O31</f>
        <v/>
      </c>
      <c r="P31" s="6">
        <f>Summary!P31</f>
        <v/>
      </c>
      <c r="Q31" s="6">
        <f>Summary!Q31</f>
        <v/>
      </c>
      <c r="R31" s="6">
        <f>Summary!R31</f>
        <v/>
      </c>
      <c r="S31" s="6">
        <f>Summary!S31</f>
        <v/>
      </c>
      <c r="T31" s="6">
        <f>Summary!T31</f>
        <v/>
      </c>
      <c r="U31" s="6">
        <f>Summary!U31</f>
        <v/>
      </c>
      <c r="V31" s="6">
        <f>Summary!V31</f>
        <v/>
      </c>
      <c r="W31" s="6">
        <f>Summary!W31</f>
        <v/>
      </c>
      <c r="X31" s="6">
        <f>Summary!X31</f>
        <v/>
      </c>
      <c r="Y31" s="6">
        <f>Summary!Y31</f>
        <v/>
      </c>
      <c r="Z31" s="6">
        <f>Summary!Z31</f>
        <v/>
      </c>
      <c r="AA31" s="6">
        <f>Summary!AA31</f>
        <v/>
      </c>
      <c r="AB31" s="6">
        <f>SUM(D31:AA31)</f>
        <v/>
      </c>
      <c r="AC31" s="3" t="inlineStr"/>
      <c r="AD31" s="7">
        <f>Y31*0.00045414</f>
        <v/>
      </c>
      <c r="AE31" s="7">
        <f>Z31*0.00045414</f>
        <v/>
      </c>
      <c r="AF31" s="7">
        <f>AA31*0.00045414</f>
        <v/>
      </c>
      <c r="AG31" s="7">
        <f>D31*0.00045414</f>
        <v/>
      </c>
      <c r="AH31" s="7">
        <f>E31*0.00045414</f>
        <v/>
      </c>
      <c r="AI31" s="7">
        <f>F31*0.00045414</f>
        <v/>
      </c>
      <c r="AJ31" s="7">
        <f>G31*0.00045414</f>
        <v/>
      </c>
      <c r="AK31" s="7">
        <f>H31*0.00045414</f>
        <v/>
      </c>
      <c r="AL31" s="7">
        <f>I31*0.00045414</f>
        <v/>
      </c>
      <c r="AM31" s="7">
        <f>J31*0.00045414</f>
        <v/>
      </c>
      <c r="AN31" s="7">
        <f>K31*0.00045414</f>
        <v/>
      </c>
      <c r="AO31" s="7">
        <f>L31*0.00045414</f>
        <v/>
      </c>
      <c r="AP31" s="7">
        <f>M31*0.00045414</f>
        <v/>
      </c>
      <c r="AQ31" s="7">
        <f>N31*0.00045414</f>
        <v/>
      </c>
      <c r="AR31" s="7">
        <f>O31*0.00045414</f>
        <v/>
      </c>
      <c r="AS31" s="7">
        <f>P31*0.00045414</f>
        <v/>
      </c>
      <c r="AT31" s="7">
        <f>Q31*0.00045414</f>
        <v/>
      </c>
      <c r="AU31" s="7">
        <f>R31*0.00045414</f>
        <v/>
      </c>
      <c r="AV31" s="7">
        <f>S31*0.00045414</f>
        <v/>
      </c>
      <c r="AW31" s="7">
        <f>T31*0.00045414</f>
        <v/>
      </c>
      <c r="AX31" s="7">
        <f>U31*0.00045414</f>
        <v/>
      </c>
      <c r="AY31" s="7">
        <f>V31*0.00045414</f>
        <v/>
      </c>
      <c r="AZ31" s="7">
        <f>W31*0.00045414</f>
        <v/>
      </c>
      <c r="BA31" s="7">
        <f>X31*0.00045414</f>
        <v/>
      </c>
      <c r="BB31" s="7">
        <f>SUM(AD31:BA31)</f>
        <v/>
      </c>
    </row>
    <row r="32">
      <c r="A32" t="inlineStr">
        <is>
          <t>AMD-FK-SSC</t>
        </is>
      </c>
      <c r="B32" t="inlineStr">
        <is>
          <t>Prime at Client side</t>
        </is>
      </c>
      <c r="C32" s="5" t="n">
        <v>46095</v>
      </c>
      <c r="D32" s="6">
        <f>Summary!D32</f>
        <v/>
      </c>
      <c r="E32" s="6">
        <f>Summary!E32</f>
        <v/>
      </c>
      <c r="F32" s="6">
        <f>Summary!F32</f>
        <v/>
      </c>
      <c r="G32" s="6">
        <f>Summary!G32</f>
        <v/>
      </c>
      <c r="H32" s="6">
        <f>Summary!H32</f>
        <v/>
      </c>
      <c r="I32" s="6">
        <f>Summary!I32</f>
        <v/>
      </c>
      <c r="J32" s="6">
        <f>Summary!J32</f>
        <v/>
      </c>
      <c r="K32" s="6">
        <f>Summary!K32</f>
        <v/>
      </c>
      <c r="L32" s="6">
        <f>Summary!L32</f>
        <v/>
      </c>
      <c r="M32" s="6">
        <f>Summary!M32</f>
        <v/>
      </c>
      <c r="N32" s="6">
        <f>Summary!N32</f>
        <v/>
      </c>
      <c r="O32" s="6">
        <f>Summary!O32</f>
        <v/>
      </c>
      <c r="P32" s="6">
        <f>Summary!P32</f>
        <v/>
      </c>
      <c r="Q32" s="6">
        <f>Summary!Q32</f>
        <v/>
      </c>
      <c r="R32" s="6">
        <f>Summary!R32</f>
        <v/>
      </c>
      <c r="S32" s="6">
        <f>Summary!S32</f>
        <v/>
      </c>
      <c r="T32" s="6">
        <f>Summary!T32</f>
        <v/>
      </c>
      <c r="U32" s="6">
        <f>Summary!U32</f>
        <v/>
      </c>
      <c r="V32" s="6">
        <f>Summary!V32</f>
        <v/>
      </c>
      <c r="W32" s="6">
        <f>Summary!W32</f>
        <v/>
      </c>
      <c r="X32" s="6">
        <f>Summary!X32</f>
        <v/>
      </c>
      <c r="Y32" s="6">
        <f>Summary!Y32</f>
        <v/>
      </c>
      <c r="Z32" s="6">
        <f>Summary!Z32</f>
        <v/>
      </c>
      <c r="AA32" s="6">
        <f>Summary!AA32</f>
        <v/>
      </c>
      <c r="AB32" s="6">
        <f>SUM(D32:AA32)</f>
        <v/>
      </c>
      <c r="AC32" s="3" t="inlineStr"/>
      <c r="AD32" s="7">
        <f>Y32*0.00045414</f>
        <v/>
      </c>
      <c r="AE32" s="7">
        <f>Z32*0.00045414</f>
        <v/>
      </c>
      <c r="AF32" s="7">
        <f>AA32*0.00045414</f>
        <v/>
      </c>
      <c r="AG32" s="7">
        <f>D32*0.00045414</f>
        <v/>
      </c>
      <c r="AH32" s="7">
        <f>E32*0.00045414</f>
        <v/>
      </c>
      <c r="AI32" s="7">
        <f>F32*0.00045414</f>
        <v/>
      </c>
      <c r="AJ32" s="7">
        <f>G32*0.00045414</f>
        <v/>
      </c>
      <c r="AK32" s="7">
        <f>H32*0.00045414</f>
        <v/>
      </c>
      <c r="AL32" s="7">
        <f>I32*0.00045414</f>
        <v/>
      </c>
      <c r="AM32" s="7">
        <f>J32*0.00045414</f>
        <v/>
      </c>
      <c r="AN32" s="7">
        <f>K32*0.00045414</f>
        <v/>
      </c>
      <c r="AO32" s="7">
        <f>L32*0.00045414</f>
        <v/>
      </c>
      <c r="AP32" s="7">
        <f>M32*0.00045414</f>
        <v/>
      </c>
      <c r="AQ32" s="7">
        <f>N32*0.00045414</f>
        <v/>
      </c>
      <c r="AR32" s="7">
        <f>O32*0.00045414</f>
        <v/>
      </c>
      <c r="AS32" s="7">
        <f>P32*0.00045414</f>
        <v/>
      </c>
      <c r="AT32" s="7">
        <f>Q32*0.00045414</f>
        <v/>
      </c>
      <c r="AU32" s="7">
        <f>R32*0.00045414</f>
        <v/>
      </c>
      <c r="AV32" s="7">
        <f>S32*0.00045414</f>
        <v/>
      </c>
      <c r="AW32" s="7">
        <f>T32*0.00045414</f>
        <v/>
      </c>
      <c r="AX32" s="7">
        <f>U32*0.00045414</f>
        <v/>
      </c>
      <c r="AY32" s="7">
        <f>V32*0.00045414</f>
        <v/>
      </c>
      <c r="AZ32" s="7">
        <f>W32*0.00045414</f>
        <v/>
      </c>
      <c r="BA32" s="7">
        <f>X32*0.00045414</f>
        <v/>
      </c>
      <c r="BB32" s="7">
        <f>SUM(AD32:BA32)</f>
        <v/>
      </c>
    </row>
    <row r="33">
      <c r="A33" t="inlineStr">
        <is>
          <t>AMD-FK-SSC</t>
        </is>
      </c>
      <c r="B33" t="inlineStr">
        <is>
          <t>Prime at Client side</t>
        </is>
      </c>
      <c r="C33" s="5" t="n">
        <v>46096</v>
      </c>
      <c r="D33" s="6">
        <f>Summary!D33</f>
        <v/>
      </c>
      <c r="E33" s="6">
        <f>Summary!E33</f>
        <v/>
      </c>
      <c r="F33" s="6">
        <f>Summary!F33</f>
        <v/>
      </c>
      <c r="G33" s="6">
        <f>Summary!G33</f>
        <v/>
      </c>
      <c r="H33" s="6">
        <f>Summary!H33</f>
        <v/>
      </c>
      <c r="I33" s="6">
        <f>Summary!I33</f>
        <v/>
      </c>
      <c r="J33" s="6">
        <f>Summary!J33</f>
        <v/>
      </c>
      <c r="K33" s="6">
        <f>Summary!K33</f>
        <v/>
      </c>
      <c r="L33" s="6">
        <f>Summary!L33</f>
        <v/>
      </c>
      <c r="M33" s="6">
        <f>Summary!M33</f>
        <v/>
      </c>
      <c r="N33" s="6">
        <f>Summary!N33</f>
        <v/>
      </c>
      <c r="O33" s="6">
        <f>Summary!O33</f>
        <v/>
      </c>
      <c r="P33" s="6">
        <f>Summary!P33</f>
        <v/>
      </c>
      <c r="Q33" s="6">
        <f>Summary!Q33</f>
        <v/>
      </c>
      <c r="R33" s="6">
        <f>Summary!R33</f>
        <v/>
      </c>
      <c r="S33" s="6">
        <f>Summary!S33</f>
        <v/>
      </c>
      <c r="T33" s="6">
        <f>Summary!T33</f>
        <v/>
      </c>
      <c r="U33" s="6">
        <f>Summary!U33</f>
        <v/>
      </c>
      <c r="V33" s="6">
        <f>Summary!V33</f>
        <v/>
      </c>
      <c r="W33" s="6">
        <f>Summary!W33</f>
        <v/>
      </c>
      <c r="X33" s="6">
        <f>Summary!X33</f>
        <v/>
      </c>
      <c r="Y33" s="6">
        <f>Summary!Y33</f>
        <v/>
      </c>
      <c r="Z33" s="6">
        <f>Summary!Z33</f>
        <v/>
      </c>
      <c r="AA33" s="6">
        <f>Summary!AA33</f>
        <v/>
      </c>
      <c r="AB33" s="6">
        <f>SUM(D33:AA33)</f>
        <v/>
      </c>
      <c r="AC33" s="3" t="inlineStr"/>
      <c r="AD33" s="7">
        <f>Y33*0.00045414</f>
        <v/>
      </c>
      <c r="AE33" s="7">
        <f>Z33*0.00045414</f>
        <v/>
      </c>
      <c r="AF33" s="7">
        <f>AA33*0.00045414</f>
        <v/>
      </c>
      <c r="AG33" s="7">
        <f>D33*0.00045414</f>
        <v/>
      </c>
      <c r="AH33" s="7">
        <f>E33*0.00045414</f>
        <v/>
      </c>
      <c r="AI33" s="7">
        <f>F33*0.00045414</f>
        <v/>
      </c>
      <c r="AJ33" s="7">
        <f>G33*0.00045414</f>
        <v/>
      </c>
      <c r="AK33" s="7">
        <f>H33*0.00045414</f>
        <v/>
      </c>
      <c r="AL33" s="7">
        <f>I33*0.00045414</f>
        <v/>
      </c>
      <c r="AM33" s="7">
        <f>J33*0.00045414</f>
        <v/>
      </c>
      <c r="AN33" s="7">
        <f>K33*0.00045414</f>
        <v/>
      </c>
      <c r="AO33" s="7">
        <f>L33*0.00045414</f>
        <v/>
      </c>
      <c r="AP33" s="7">
        <f>M33*0.00045414</f>
        <v/>
      </c>
      <c r="AQ33" s="7">
        <f>N33*0.00045414</f>
        <v/>
      </c>
      <c r="AR33" s="7">
        <f>O33*0.00045414</f>
        <v/>
      </c>
      <c r="AS33" s="7">
        <f>P33*0.00045414</f>
        <v/>
      </c>
      <c r="AT33" s="7">
        <f>Q33*0.00045414</f>
        <v/>
      </c>
      <c r="AU33" s="7">
        <f>R33*0.00045414</f>
        <v/>
      </c>
      <c r="AV33" s="7">
        <f>S33*0.00045414</f>
        <v/>
      </c>
      <c r="AW33" s="7">
        <f>T33*0.00045414</f>
        <v/>
      </c>
      <c r="AX33" s="7">
        <f>U33*0.00045414</f>
        <v/>
      </c>
      <c r="AY33" s="7">
        <f>V33*0.00045414</f>
        <v/>
      </c>
      <c r="AZ33" s="7">
        <f>W33*0.00045414</f>
        <v/>
      </c>
      <c r="BA33" s="7">
        <f>X33*0.00045414</f>
        <v/>
      </c>
      <c r="BB33" s="7">
        <f>SUM(AD33:BA33)</f>
        <v/>
      </c>
    </row>
    <row r="34">
      <c r="A34" t="inlineStr">
        <is>
          <t>AMD-FK-SSC</t>
        </is>
      </c>
      <c r="B34" t="inlineStr">
        <is>
          <t>Prime at Client side</t>
        </is>
      </c>
      <c r="C34" s="5" t="n">
        <v>46097</v>
      </c>
      <c r="D34" s="6">
        <f>Summary!D34</f>
        <v/>
      </c>
      <c r="E34" s="6">
        <f>Summary!E34</f>
        <v/>
      </c>
      <c r="F34" s="6">
        <f>Summary!F34</f>
        <v/>
      </c>
      <c r="G34" s="6">
        <f>Summary!G34</f>
        <v/>
      </c>
      <c r="H34" s="6">
        <f>Summary!H34</f>
        <v/>
      </c>
      <c r="I34" s="6">
        <f>Summary!I34</f>
        <v/>
      </c>
      <c r="J34" s="6">
        <f>Summary!J34</f>
        <v/>
      </c>
      <c r="K34" s="6">
        <f>Summary!K34</f>
        <v/>
      </c>
      <c r="L34" s="6">
        <f>Summary!L34</f>
        <v/>
      </c>
      <c r="M34" s="6">
        <f>Summary!M34</f>
        <v/>
      </c>
      <c r="N34" s="6">
        <f>Summary!N34</f>
        <v/>
      </c>
      <c r="O34" s="6">
        <f>Summary!O34</f>
        <v/>
      </c>
      <c r="P34" s="6">
        <f>Summary!P34</f>
        <v/>
      </c>
      <c r="Q34" s="6">
        <f>Summary!Q34</f>
        <v/>
      </c>
      <c r="R34" s="6">
        <f>Summary!R34</f>
        <v/>
      </c>
      <c r="S34" s="6">
        <f>Summary!S34</f>
        <v/>
      </c>
      <c r="T34" s="6">
        <f>Summary!T34</f>
        <v/>
      </c>
      <c r="U34" s="6">
        <f>Summary!U34</f>
        <v/>
      </c>
      <c r="V34" s="6">
        <f>Summary!V34</f>
        <v/>
      </c>
      <c r="W34" s="6">
        <f>Summary!W34</f>
        <v/>
      </c>
      <c r="X34" s="6">
        <f>Summary!X34</f>
        <v/>
      </c>
      <c r="Y34" s="6">
        <f>Summary!Y34</f>
        <v/>
      </c>
      <c r="Z34" s="6">
        <f>Summary!Z34</f>
        <v/>
      </c>
      <c r="AA34" s="6">
        <f>Summary!AA34</f>
        <v/>
      </c>
      <c r="AB34" s="6">
        <f>SUM(D34:AA34)</f>
        <v/>
      </c>
      <c r="AC34" s="3" t="inlineStr"/>
      <c r="AD34" s="7">
        <f>Y34*0.00045414</f>
        <v/>
      </c>
      <c r="AE34" s="7">
        <f>Z34*0.00045414</f>
        <v/>
      </c>
      <c r="AF34" s="7">
        <f>AA34*0.00045414</f>
        <v/>
      </c>
      <c r="AG34" s="7">
        <f>D34*0.00045414</f>
        <v/>
      </c>
      <c r="AH34" s="7">
        <f>E34*0.00045414</f>
        <v/>
      </c>
      <c r="AI34" s="7">
        <f>F34*0.00045414</f>
        <v/>
      </c>
      <c r="AJ34" s="7">
        <f>G34*0.00045414</f>
        <v/>
      </c>
      <c r="AK34" s="7">
        <f>H34*0.00045414</f>
        <v/>
      </c>
      <c r="AL34" s="7">
        <f>I34*0.00045414</f>
        <v/>
      </c>
      <c r="AM34" s="7">
        <f>J34*0.00045414</f>
        <v/>
      </c>
      <c r="AN34" s="7">
        <f>K34*0.00045414</f>
        <v/>
      </c>
      <c r="AO34" s="7">
        <f>L34*0.00045414</f>
        <v/>
      </c>
      <c r="AP34" s="7">
        <f>M34*0.00045414</f>
        <v/>
      </c>
      <c r="AQ34" s="7">
        <f>N34*0.00045414</f>
        <v/>
      </c>
      <c r="AR34" s="7">
        <f>O34*0.00045414</f>
        <v/>
      </c>
      <c r="AS34" s="7">
        <f>P34*0.00045414</f>
        <v/>
      </c>
      <c r="AT34" s="7">
        <f>Q34*0.00045414</f>
        <v/>
      </c>
      <c r="AU34" s="7">
        <f>R34*0.00045414</f>
        <v/>
      </c>
      <c r="AV34" s="7">
        <f>S34*0.00045414</f>
        <v/>
      </c>
      <c r="AW34" s="7">
        <f>T34*0.00045414</f>
        <v/>
      </c>
      <c r="AX34" s="7">
        <f>U34*0.00045414</f>
        <v/>
      </c>
      <c r="AY34" s="7">
        <f>V34*0.00045414</f>
        <v/>
      </c>
      <c r="AZ34" s="7">
        <f>W34*0.00045414</f>
        <v/>
      </c>
      <c r="BA34" s="7">
        <f>X34*0.00045414</f>
        <v/>
      </c>
      <c r="BB34" s="7">
        <f>SUM(AD34:BA34)</f>
        <v/>
      </c>
    </row>
    <row r="35">
      <c r="A35" t="inlineStr">
        <is>
          <t>AMD-FK-SSC</t>
        </is>
      </c>
      <c r="B35" t="inlineStr">
        <is>
          <t>Prime at Client side</t>
        </is>
      </c>
      <c r="C35" s="5" t="n">
        <v>46098</v>
      </c>
      <c r="D35" s="6">
        <f>Summary!D35</f>
        <v/>
      </c>
      <c r="E35" s="6">
        <f>Summary!E35</f>
        <v/>
      </c>
      <c r="F35" s="6">
        <f>Summary!F35</f>
        <v/>
      </c>
      <c r="G35" s="6">
        <f>Summary!G35</f>
        <v/>
      </c>
      <c r="H35" s="6">
        <f>Summary!H35</f>
        <v/>
      </c>
      <c r="I35" s="6">
        <f>Summary!I35</f>
        <v/>
      </c>
      <c r="J35" s="6">
        <f>Summary!J35</f>
        <v/>
      </c>
      <c r="K35" s="6">
        <f>Summary!K35</f>
        <v/>
      </c>
      <c r="L35" s="6">
        <f>Summary!L35</f>
        <v/>
      </c>
      <c r="M35" s="6">
        <f>Summary!M35</f>
        <v/>
      </c>
      <c r="N35" s="6">
        <f>Summary!N35</f>
        <v/>
      </c>
      <c r="O35" s="6">
        <f>Summary!O35</f>
        <v/>
      </c>
      <c r="P35" s="6">
        <f>Summary!P35</f>
        <v/>
      </c>
      <c r="Q35" s="6">
        <f>Summary!Q35</f>
        <v/>
      </c>
      <c r="R35" s="6">
        <f>Summary!R35</f>
        <v/>
      </c>
      <c r="S35" s="6">
        <f>Summary!S35</f>
        <v/>
      </c>
      <c r="T35" s="6">
        <f>Summary!T35</f>
        <v/>
      </c>
      <c r="U35" s="6">
        <f>Summary!U35</f>
        <v/>
      </c>
      <c r="V35" s="6">
        <f>Summary!V35</f>
        <v/>
      </c>
      <c r="W35" s="6">
        <f>Summary!W35</f>
        <v/>
      </c>
      <c r="X35" s="6">
        <f>Summary!X35</f>
        <v/>
      </c>
      <c r="Y35" s="6">
        <f>Summary!Y35</f>
        <v/>
      </c>
      <c r="Z35" s="6">
        <f>Summary!Z35</f>
        <v/>
      </c>
      <c r="AA35" s="6">
        <f>Summary!AA35</f>
        <v/>
      </c>
      <c r="AB35" s="6">
        <f>SUM(D35:AA35)</f>
        <v/>
      </c>
      <c r="AC35" s="3" t="inlineStr"/>
      <c r="AD35" s="7">
        <f>Y35*0.00045414</f>
        <v/>
      </c>
      <c r="AE35" s="7">
        <f>Z35*0.00045414</f>
        <v/>
      </c>
      <c r="AF35" s="7">
        <f>AA35*0.00045414</f>
        <v/>
      </c>
      <c r="AG35" s="7">
        <f>D35*0.00045414</f>
        <v/>
      </c>
      <c r="AH35" s="7">
        <f>E35*0.00045414</f>
        <v/>
      </c>
      <c r="AI35" s="7">
        <f>F35*0.00045414</f>
        <v/>
      </c>
      <c r="AJ35" s="7">
        <f>G35*0.00045414</f>
        <v/>
      </c>
      <c r="AK35" s="7">
        <f>H35*0.00045414</f>
        <v/>
      </c>
      <c r="AL35" s="7">
        <f>I35*0.00045414</f>
        <v/>
      </c>
      <c r="AM35" s="7">
        <f>J35*0.00045414</f>
        <v/>
      </c>
      <c r="AN35" s="7">
        <f>K35*0.00045414</f>
        <v/>
      </c>
      <c r="AO35" s="7">
        <f>L35*0.00045414</f>
        <v/>
      </c>
      <c r="AP35" s="7">
        <f>M35*0.00045414</f>
        <v/>
      </c>
      <c r="AQ35" s="7">
        <f>N35*0.00045414</f>
        <v/>
      </c>
      <c r="AR35" s="7">
        <f>O35*0.00045414</f>
        <v/>
      </c>
      <c r="AS35" s="7">
        <f>P35*0.00045414</f>
        <v/>
      </c>
      <c r="AT35" s="7">
        <f>Q35*0.00045414</f>
        <v/>
      </c>
      <c r="AU35" s="7">
        <f>R35*0.00045414</f>
        <v/>
      </c>
      <c r="AV35" s="7">
        <f>S35*0.00045414</f>
        <v/>
      </c>
      <c r="AW35" s="7">
        <f>T35*0.00045414</f>
        <v/>
      </c>
      <c r="AX35" s="7">
        <f>U35*0.00045414</f>
        <v/>
      </c>
      <c r="AY35" s="7">
        <f>V35*0.00045414</f>
        <v/>
      </c>
      <c r="AZ35" s="7">
        <f>W35*0.00045414</f>
        <v/>
      </c>
      <c r="BA35" s="7">
        <f>X35*0.00045414</f>
        <v/>
      </c>
      <c r="BB35" s="7">
        <f>SUM(AD35:BA35)</f>
        <v/>
      </c>
    </row>
    <row r="36">
      <c r="A36" t="inlineStr">
        <is>
          <t>AMD-FK-SSC</t>
        </is>
      </c>
      <c r="B36" t="inlineStr">
        <is>
          <t>Prime at Client side</t>
        </is>
      </c>
      <c r="C36" s="5" t="n">
        <v>46099</v>
      </c>
      <c r="D36" s="6">
        <f>Summary!D36</f>
        <v/>
      </c>
      <c r="E36" s="6">
        <f>Summary!E36</f>
        <v/>
      </c>
      <c r="F36" s="6">
        <f>Summary!F36</f>
        <v/>
      </c>
      <c r="G36" s="6">
        <f>Summary!G36</f>
        <v/>
      </c>
      <c r="H36" s="6">
        <f>Summary!H36</f>
        <v/>
      </c>
      <c r="I36" s="6">
        <f>Summary!I36</f>
        <v/>
      </c>
      <c r="J36" s="6">
        <f>Summary!J36</f>
        <v/>
      </c>
      <c r="K36" s="6">
        <f>Summary!K36</f>
        <v/>
      </c>
      <c r="L36" s="6">
        <f>Summary!L36</f>
        <v/>
      </c>
      <c r="M36" s="6">
        <f>Summary!M36</f>
        <v/>
      </c>
      <c r="N36" s="6">
        <f>Summary!N36</f>
        <v/>
      </c>
      <c r="O36" s="6">
        <f>Summary!O36</f>
        <v/>
      </c>
      <c r="P36" s="6">
        <f>Summary!P36</f>
        <v/>
      </c>
      <c r="Q36" s="6">
        <f>Summary!Q36</f>
        <v/>
      </c>
      <c r="R36" s="6">
        <f>Summary!R36</f>
        <v/>
      </c>
      <c r="S36" s="6">
        <f>Summary!S36</f>
        <v/>
      </c>
      <c r="T36" s="6">
        <f>Summary!T36</f>
        <v/>
      </c>
      <c r="U36" s="6">
        <f>Summary!U36</f>
        <v/>
      </c>
      <c r="V36" s="6">
        <f>Summary!V36</f>
        <v/>
      </c>
      <c r="W36" s="6">
        <f>Summary!W36</f>
        <v/>
      </c>
      <c r="X36" s="6">
        <f>Summary!X36</f>
        <v/>
      </c>
      <c r="Y36" s="6">
        <f>Summary!Y36</f>
        <v/>
      </c>
      <c r="Z36" s="6">
        <f>Summary!Z36</f>
        <v/>
      </c>
      <c r="AA36" s="6">
        <f>Summary!AA36</f>
        <v/>
      </c>
      <c r="AB36" s="6">
        <f>SUM(D36:AA36)</f>
        <v/>
      </c>
      <c r="AC36" s="3" t="inlineStr"/>
      <c r="AD36" s="7">
        <f>Y36*0.00045414</f>
        <v/>
      </c>
      <c r="AE36" s="7">
        <f>Z36*0.00045414</f>
        <v/>
      </c>
      <c r="AF36" s="7">
        <f>AA36*0.00045414</f>
        <v/>
      </c>
      <c r="AG36" s="7">
        <f>D36*0.00045414</f>
        <v/>
      </c>
      <c r="AH36" s="7">
        <f>E36*0.00045414</f>
        <v/>
      </c>
      <c r="AI36" s="7">
        <f>F36*0.00045414</f>
        <v/>
      </c>
      <c r="AJ36" s="7">
        <f>G36*0.00045414</f>
        <v/>
      </c>
      <c r="AK36" s="7">
        <f>H36*0.00045414</f>
        <v/>
      </c>
      <c r="AL36" s="7">
        <f>I36*0.00045414</f>
        <v/>
      </c>
      <c r="AM36" s="7">
        <f>J36*0.00045414</f>
        <v/>
      </c>
      <c r="AN36" s="7">
        <f>K36*0.00045414</f>
        <v/>
      </c>
      <c r="AO36" s="7">
        <f>L36*0.00045414</f>
        <v/>
      </c>
      <c r="AP36" s="7">
        <f>M36*0.00045414</f>
        <v/>
      </c>
      <c r="AQ36" s="7">
        <f>N36*0.00045414</f>
        <v/>
      </c>
      <c r="AR36" s="7">
        <f>O36*0.00045414</f>
        <v/>
      </c>
      <c r="AS36" s="7">
        <f>P36*0.00045414</f>
        <v/>
      </c>
      <c r="AT36" s="7">
        <f>Q36*0.00045414</f>
        <v/>
      </c>
      <c r="AU36" s="7">
        <f>R36*0.00045414</f>
        <v/>
      </c>
      <c r="AV36" s="7">
        <f>S36*0.00045414</f>
        <v/>
      </c>
      <c r="AW36" s="7">
        <f>T36*0.00045414</f>
        <v/>
      </c>
      <c r="AX36" s="7">
        <f>U36*0.00045414</f>
        <v/>
      </c>
      <c r="AY36" s="7">
        <f>V36*0.00045414</f>
        <v/>
      </c>
      <c r="AZ36" s="7">
        <f>W36*0.00045414</f>
        <v/>
      </c>
      <c r="BA36" s="7">
        <f>X36*0.00045414</f>
        <v/>
      </c>
      <c r="BB36" s="7">
        <f>SUM(AD36:BA36)</f>
        <v/>
      </c>
    </row>
    <row r="37">
      <c r="A37" t="inlineStr">
        <is>
          <t>AMD-FK-SSC</t>
        </is>
      </c>
      <c r="B37" t="inlineStr">
        <is>
          <t>Prime at Client side</t>
        </is>
      </c>
      <c r="C37" s="5" t="n">
        <v>46100</v>
      </c>
      <c r="D37" s="6">
        <f>Summary!D37</f>
        <v/>
      </c>
      <c r="E37" s="6">
        <f>Summary!E37</f>
        <v/>
      </c>
      <c r="F37" s="6">
        <f>Summary!F37</f>
        <v/>
      </c>
      <c r="G37" s="6">
        <f>Summary!G37</f>
        <v/>
      </c>
      <c r="H37" s="6">
        <f>Summary!H37</f>
        <v/>
      </c>
      <c r="I37" s="6">
        <f>Summary!I37</f>
        <v/>
      </c>
      <c r="J37" s="6">
        <f>Summary!J37</f>
        <v/>
      </c>
      <c r="K37" s="6">
        <f>Summary!K37</f>
        <v/>
      </c>
      <c r="L37" s="6">
        <f>Summary!L37</f>
        <v/>
      </c>
      <c r="M37" s="6">
        <f>Summary!M37</f>
        <v/>
      </c>
      <c r="N37" s="6">
        <f>Summary!N37</f>
        <v/>
      </c>
      <c r="O37" s="6">
        <f>Summary!O37</f>
        <v/>
      </c>
      <c r="P37" s="6">
        <f>Summary!P37</f>
        <v/>
      </c>
      <c r="Q37" s="6">
        <f>Summary!Q37</f>
        <v/>
      </c>
      <c r="R37" s="6">
        <f>Summary!R37</f>
        <v/>
      </c>
      <c r="S37" s="6">
        <f>Summary!S37</f>
        <v/>
      </c>
      <c r="T37" s="6">
        <f>Summary!T37</f>
        <v/>
      </c>
      <c r="U37" s="6">
        <f>Summary!U37</f>
        <v/>
      </c>
      <c r="V37" s="6">
        <f>Summary!V37</f>
        <v/>
      </c>
      <c r="W37" s="6">
        <f>Summary!W37</f>
        <v/>
      </c>
      <c r="X37" s="6">
        <f>Summary!X37</f>
        <v/>
      </c>
      <c r="Y37" s="6">
        <f>Summary!Y37</f>
        <v/>
      </c>
      <c r="Z37" s="6">
        <f>Summary!Z37</f>
        <v/>
      </c>
      <c r="AA37" s="6">
        <f>Summary!AA37</f>
        <v/>
      </c>
      <c r="AB37" s="6">
        <f>SUM(D37:AA37)</f>
        <v/>
      </c>
      <c r="AC37" s="3" t="inlineStr"/>
      <c r="AD37" s="7">
        <f>Y37*0.00045414</f>
        <v/>
      </c>
      <c r="AE37" s="7">
        <f>Z37*0.00045414</f>
        <v/>
      </c>
      <c r="AF37" s="7">
        <f>AA37*0.00045414</f>
        <v/>
      </c>
      <c r="AG37" s="7">
        <f>D37*0.00045414</f>
        <v/>
      </c>
      <c r="AH37" s="7">
        <f>E37*0.00045414</f>
        <v/>
      </c>
      <c r="AI37" s="7">
        <f>F37*0.00045414</f>
        <v/>
      </c>
      <c r="AJ37" s="7">
        <f>G37*0.00045414</f>
        <v/>
      </c>
      <c r="AK37" s="7">
        <f>H37*0.00045414</f>
        <v/>
      </c>
      <c r="AL37" s="7">
        <f>I37*0.00045414</f>
        <v/>
      </c>
      <c r="AM37" s="7">
        <f>J37*0.00045414</f>
        <v/>
      </c>
      <c r="AN37" s="7">
        <f>K37*0.00045414</f>
        <v/>
      </c>
      <c r="AO37" s="7">
        <f>L37*0.00045414</f>
        <v/>
      </c>
      <c r="AP37" s="7">
        <f>M37*0.00045414</f>
        <v/>
      </c>
      <c r="AQ37" s="7">
        <f>N37*0.00045414</f>
        <v/>
      </c>
      <c r="AR37" s="7">
        <f>O37*0.00045414</f>
        <v/>
      </c>
      <c r="AS37" s="7">
        <f>P37*0.00045414</f>
        <v/>
      </c>
      <c r="AT37" s="7">
        <f>Q37*0.00045414</f>
        <v/>
      </c>
      <c r="AU37" s="7">
        <f>R37*0.00045414</f>
        <v/>
      </c>
      <c r="AV37" s="7">
        <f>S37*0.00045414</f>
        <v/>
      </c>
      <c r="AW37" s="7">
        <f>T37*0.00045414</f>
        <v/>
      </c>
      <c r="AX37" s="7">
        <f>U37*0.00045414</f>
        <v/>
      </c>
      <c r="AY37" s="7">
        <f>V37*0.00045414</f>
        <v/>
      </c>
      <c r="AZ37" s="7">
        <f>W37*0.00045414</f>
        <v/>
      </c>
      <c r="BA37" s="7">
        <f>X37*0.00045414</f>
        <v/>
      </c>
      <c r="BB37" s="7">
        <f>SUM(AD37:BA37)</f>
        <v/>
      </c>
    </row>
    <row r="38">
      <c r="A38" t="inlineStr">
        <is>
          <t>AMD-FK-SSC</t>
        </is>
      </c>
      <c r="B38" t="inlineStr">
        <is>
          <t>Prime at Client side</t>
        </is>
      </c>
      <c r="C38" s="5" t="n">
        <v>46101</v>
      </c>
      <c r="D38" s="6">
        <f>Summary!D38</f>
        <v/>
      </c>
      <c r="E38" s="6">
        <f>Summary!E38</f>
        <v/>
      </c>
      <c r="F38" s="6">
        <f>Summary!F38</f>
        <v/>
      </c>
      <c r="G38" s="6">
        <f>Summary!G38</f>
        <v/>
      </c>
      <c r="H38" s="6">
        <f>Summary!H38</f>
        <v/>
      </c>
      <c r="I38" s="6">
        <f>Summary!I38</f>
        <v/>
      </c>
      <c r="J38" s="6">
        <f>Summary!J38</f>
        <v/>
      </c>
      <c r="K38" s="6">
        <f>Summary!K38</f>
        <v/>
      </c>
      <c r="L38" s="6">
        <f>Summary!L38</f>
        <v/>
      </c>
      <c r="M38" s="6">
        <f>Summary!M38</f>
        <v/>
      </c>
      <c r="N38" s="6">
        <f>Summary!N38</f>
        <v/>
      </c>
      <c r="O38" s="6">
        <f>Summary!O38</f>
        <v/>
      </c>
      <c r="P38" s="6">
        <f>Summary!P38</f>
        <v/>
      </c>
      <c r="Q38" s="6">
        <f>Summary!Q38</f>
        <v/>
      </c>
      <c r="R38" s="6">
        <f>Summary!R38</f>
        <v/>
      </c>
      <c r="S38" s="6">
        <f>Summary!S38</f>
        <v/>
      </c>
      <c r="T38" s="6">
        <f>Summary!T38</f>
        <v/>
      </c>
      <c r="U38" s="6">
        <f>Summary!U38</f>
        <v/>
      </c>
      <c r="V38" s="6">
        <f>Summary!V38</f>
        <v/>
      </c>
      <c r="W38" s="6">
        <f>Summary!W38</f>
        <v/>
      </c>
      <c r="X38" s="6">
        <f>Summary!X38</f>
        <v/>
      </c>
      <c r="Y38" s="6">
        <f>Summary!Y38</f>
        <v/>
      </c>
      <c r="Z38" s="6">
        <f>Summary!Z38</f>
        <v/>
      </c>
      <c r="AA38" s="6">
        <f>Summary!AA38</f>
        <v/>
      </c>
      <c r="AB38" s="6">
        <f>SUM(D38:AA38)</f>
        <v/>
      </c>
      <c r="AC38" s="3" t="inlineStr"/>
      <c r="AD38" s="7">
        <f>Y38*0.00045414</f>
        <v/>
      </c>
      <c r="AE38" s="7">
        <f>Z38*0.00045414</f>
        <v/>
      </c>
      <c r="AF38" s="7">
        <f>AA38*0.00045414</f>
        <v/>
      </c>
      <c r="AG38" s="7">
        <f>D38*0.00045414</f>
        <v/>
      </c>
      <c r="AH38" s="7">
        <f>E38*0.00045414</f>
        <v/>
      </c>
      <c r="AI38" s="7">
        <f>F38*0.00045414</f>
        <v/>
      </c>
      <c r="AJ38" s="7">
        <f>G38*0.00045414</f>
        <v/>
      </c>
      <c r="AK38" s="7">
        <f>H38*0.00045414</f>
        <v/>
      </c>
      <c r="AL38" s="7">
        <f>I38*0.00045414</f>
        <v/>
      </c>
      <c r="AM38" s="7">
        <f>J38*0.00045414</f>
        <v/>
      </c>
      <c r="AN38" s="7">
        <f>K38*0.00045414</f>
        <v/>
      </c>
      <c r="AO38" s="7">
        <f>L38*0.00045414</f>
        <v/>
      </c>
      <c r="AP38" s="7">
        <f>M38*0.00045414</f>
        <v/>
      </c>
      <c r="AQ38" s="7">
        <f>N38*0.00045414</f>
        <v/>
      </c>
      <c r="AR38" s="7">
        <f>O38*0.00045414</f>
        <v/>
      </c>
      <c r="AS38" s="7">
        <f>P38*0.00045414</f>
        <v/>
      </c>
      <c r="AT38" s="7">
        <f>Q38*0.00045414</f>
        <v/>
      </c>
      <c r="AU38" s="7">
        <f>R38*0.00045414</f>
        <v/>
      </c>
      <c r="AV38" s="7">
        <f>S38*0.00045414</f>
        <v/>
      </c>
      <c r="AW38" s="7">
        <f>T38*0.00045414</f>
        <v/>
      </c>
      <c r="AX38" s="7">
        <f>U38*0.00045414</f>
        <v/>
      </c>
      <c r="AY38" s="7">
        <f>V38*0.00045414</f>
        <v/>
      </c>
      <c r="AZ38" s="7">
        <f>W38*0.00045414</f>
        <v/>
      </c>
      <c r="BA38" s="7">
        <f>X38*0.00045414</f>
        <v/>
      </c>
      <c r="BB38" s="7">
        <f>SUM(AD38:BA38)</f>
        <v/>
      </c>
    </row>
    <row r="39">
      <c r="A39" t="inlineStr">
        <is>
          <t>AMD-FK-SSC</t>
        </is>
      </c>
      <c r="B39" t="inlineStr">
        <is>
          <t>Prime at Client side</t>
        </is>
      </c>
      <c r="C39" s="5" t="n">
        <v>46102</v>
      </c>
      <c r="D39" s="6">
        <f>Summary!D39</f>
        <v/>
      </c>
      <c r="E39" s="6">
        <f>Summary!E39</f>
        <v/>
      </c>
      <c r="F39" s="6">
        <f>Summary!F39</f>
        <v/>
      </c>
      <c r="G39" s="6">
        <f>Summary!G39</f>
        <v/>
      </c>
      <c r="H39" s="6">
        <f>Summary!H39</f>
        <v/>
      </c>
      <c r="I39" s="6">
        <f>Summary!I39</f>
        <v/>
      </c>
      <c r="J39" s="6">
        <f>Summary!J39</f>
        <v/>
      </c>
      <c r="K39" s="6">
        <f>Summary!K39</f>
        <v/>
      </c>
      <c r="L39" s="6">
        <f>Summary!L39</f>
        <v/>
      </c>
      <c r="M39" s="6">
        <f>Summary!M39</f>
        <v/>
      </c>
      <c r="N39" s="6">
        <f>Summary!N39</f>
        <v/>
      </c>
      <c r="O39" s="6">
        <f>Summary!O39</f>
        <v/>
      </c>
      <c r="P39" s="6">
        <f>Summary!P39</f>
        <v/>
      </c>
      <c r="Q39" s="6">
        <f>Summary!Q39</f>
        <v/>
      </c>
      <c r="R39" s="6">
        <f>Summary!R39</f>
        <v/>
      </c>
      <c r="S39" s="6">
        <f>Summary!S39</f>
        <v/>
      </c>
      <c r="T39" s="6">
        <f>Summary!T39</f>
        <v/>
      </c>
      <c r="U39" s="6">
        <f>Summary!U39</f>
        <v/>
      </c>
      <c r="V39" s="6">
        <f>Summary!V39</f>
        <v/>
      </c>
      <c r="W39" s="6">
        <f>Summary!W39</f>
        <v/>
      </c>
      <c r="X39" s="6">
        <f>Summary!X39</f>
        <v/>
      </c>
      <c r="Y39" s="6">
        <f>Summary!Y39</f>
        <v/>
      </c>
      <c r="Z39" s="6">
        <f>Summary!Z39</f>
        <v/>
      </c>
      <c r="AA39" s="6">
        <f>Summary!AA39</f>
        <v/>
      </c>
      <c r="AB39" s="6">
        <f>SUM(D39:AA39)</f>
        <v/>
      </c>
      <c r="AC39" s="3" t="inlineStr"/>
      <c r="AD39" s="7">
        <f>Y39*0.00045414</f>
        <v/>
      </c>
      <c r="AE39" s="7">
        <f>Z39*0.00045414</f>
        <v/>
      </c>
      <c r="AF39" s="7">
        <f>AA39*0.00045414</f>
        <v/>
      </c>
      <c r="AG39" s="7">
        <f>D39*0.00045414</f>
        <v/>
      </c>
      <c r="AH39" s="7">
        <f>E39*0.00045414</f>
        <v/>
      </c>
      <c r="AI39" s="7">
        <f>F39*0.00045414</f>
        <v/>
      </c>
      <c r="AJ39" s="7">
        <f>G39*0.00045414</f>
        <v/>
      </c>
      <c r="AK39" s="7">
        <f>H39*0.00045414</f>
        <v/>
      </c>
      <c r="AL39" s="7">
        <f>I39*0.00045414</f>
        <v/>
      </c>
      <c r="AM39" s="7">
        <f>J39*0.00045414</f>
        <v/>
      </c>
      <c r="AN39" s="7">
        <f>K39*0.00045414</f>
        <v/>
      </c>
      <c r="AO39" s="7">
        <f>L39*0.00045414</f>
        <v/>
      </c>
      <c r="AP39" s="7">
        <f>M39*0.00045414</f>
        <v/>
      </c>
      <c r="AQ39" s="7">
        <f>N39*0.00045414</f>
        <v/>
      </c>
      <c r="AR39" s="7">
        <f>O39*0.00045414</f>
        <v/>
      </c>
      <c r="AS39" s="7">
        <f>P39*0.00045414</f>
        <v/>
      </c>
      <c r="AT39" s="7">
        <f>Q39*0.00045414</f>
        <v/>
      </c>
      <c r="AU39" s="7">
        <f>R39*0.00045414</f>
        <v/>
      </c>
      <c r="AV39" s="7">
        <f>S39*0.00045414</f>
        <v/>
      </c>
      <c r="AW39" s="7">
        <f>T39*0.00045414</f>
        <v/>
      </c>
      <c r="AX39" s="7">
        <f>U39*0.00045414</f>
        <v/>
      </c>
      <c r="AY39" s="7">
        <f>V39*0.00045414</f>
        <v/>
      </c>
      <c r="AZ39" s="7">
        <f>W39*0.00045414</f>
        <v/>
      </c>
      <c r="BA39" s="7">
        <f>X39*0.00045414</f>
        <v/>
      </c>
      <c r="BB39" s="7">
        <f>SUM(AD39:BA39)</f>
        <v/>
      </c>
    </row>
    <row r="40">
      <c r="A40" t="inlineStr">
        <is>
          <t>AMD-FK-SSC</t>
        </is>
      </c>
      <c r="B40" t="inlineStr">
        <is>
          <t>Prime at Client side</t>
        </is>
      </c>
      <c r="C40" s="5" t="n">
        <v>46103</v>
      </c>
      <c r="D40" s="6">
        <f>Summary!D40</f>
        <v/>
      </c>
      <c r="E40" s="6">
        <f>Summary!E40</f>
        <v/>
      </c>
      <c r="F40" s="6">
        <f>Summary!F40</f>
        <v/>
      </c>
      <c r="G40" s="6">
        <f>Summary!G40</f>
        <v/>
      </c>
      <c r="H40" s="6">
        <f>Summary!H40</f>
        <v/>
      </c>
      <c r="I40" s="6">
        <f>Summary!I40</f>
        <v/>
      </c>
      <c r="J40" s="6">
        <f>Summary!J40</f>
        <v/>
      </c>
      <c r="K40" s="6">
        <f>Summary!K40</f>
        <v/>
      </c>
      <c r="L40" s="6">
        <f>Summary!L40</f>
        <v/>
      </c>
      <c r="M40" s="6">
        <f>Summary!M40</f>
        <v/>
      </c>
      <c r="N40" s="6">
        <f>Summary!N40</f>
        <v/>
      </c>
      <c r="O40" s="6">
        <f>Summary!O40</f>
        <v/>
      </c>
      <c r="P40" s="6">
        <f>Summary!P40</f>
        <v/>
      </c>
      <c r="Q40" s="6">
        <f>Summary!Q40</f>
        <v/>
      </c>
      <c r="R40" s="6">
        <f>Summary!R40</f>
        <v/>
      </c>
      <c r="S40" s="6">
        <f>Summary!S40</f>
        <v/>
      </c>
      <c r="T40" s="6">
        <f>Summary!T40</f>
        <v/>
      </c>
      <c r="U40" s="6">
        <f>Summary!U40</f>
        <v/>
      </c>
      <c r="V40" s="6">
        <f>Summary!V40</f>
        <v/>
      </c>
      <c r="W40" s="6">
        <f>Summary!W40</f>
        <v/>
      </c>
      <c r="X40" s="6">
        <f>Summary!X40</f>
        <v/>
      </c>
      <c r="Y40" s="6">
        <f>Summary!Y40</f>
        <v/>
      </c>
      <c r="Z40" s="6">
        <f>Summary!Z40</f>
        <v/>
      </c>
      <c r="AA40" s="6">
        <f>Summary!AA40</f>
        <v/>
      </c>
      <c r="AB40" s="6">
        <f>SUM(D40:AA40)</f>
        <v/>
      </c>
      <c r="AC40" s="3" t="inlineStr"/>
      <c r="AD40" s="7">
        <f>Y40*0.00045414</f>
        <v/>
      </c>
      <c r="AE40" s="7">
        <f>Z40*0.00045414</f>
        <v/>
      </c>
      <c r="AF40" s="7">
        <f>AA40*0.00045414</f>
        <v/>
      </c>
      <c r="AG40" s="7">
        <f>D40*0.00045414</f>
        <v/>
      </c>
      <c r="AH40" s="7">
        <f>E40*0.00045414</f>
        <v/>
      </c>
      <c r="AI40" s="7">
        <f>F40*0.00045414</f>
        <v/>
      </c>
      <c r="AJ40" s="7">
        <f>G40*0.00045414</f>
        <v/>
      </c>
      <c r="AK40" s="7">
        <f>H40*0.00045414</f>
        <v/>
      </c>
      <c r="AL40" s="7">
        <f>I40*0.00045414</f>
        <v/>
      </c>
      <c r="AM40" s="7">
        <f>J40*0.00045414</f>
        <v/>
      </c>
      <c r="AN40" s="7">
        <f>K40*0.00045414</f>
        <v/>
      </c>
      <c r="AO40" s="7">
        <f>L40*0.00045414</f>
        <v/>
      </c>
      <c r="AP40" s="7">
        <f>M40*0.00045414</f>
        <v/>
      </c>
      <c r="AQ40" s="7">
        <f>N40*0.00045414</f>
        <v/>
      </c>
      <c r="AR40" s="7">
        <f>O40*0.00045414</f>
        <v/>
      </c>
      <c r="AS40" s="7">
        <f>P40*0.00045414</f>
        <v/>
      </c>
      <c r="AT40" s="7">
        <f>Q40*0.00045414</f>
        <v/>
      </c>
      <c r="AU40" s="7">
        <f>R40*0.00045414</f>
        <v/>
      </c>
      <c r="AV40" s="7">
        <f>S40*0.00045414</f>
        <v/>
      </c>
      <c r="AW40" s="7">
        <f>T40*0.00045414</f>
        <v/>
      </c>
      <c r="AX40" s="7">
        <f>U40*0.00045414</f>
        <v/>
      </c>
      <c r="AY40" s="7">
        <f>V40*0.00045414</f>
        <v/>
      </c>
      <c r="AZ40" s="7">
        <f>W40*0.00045414</f>
        <v/>
      </c>
      <c r="BA40" s="7">
        <f>X40*0.00045414</f>
        <v/>
      </c>
      <c r="BB40" s="7">
        <f>SUM(AD40:BA40)</f>
        <v/>
      </c>
    </row>
    <row r="41">
      <c r="A41" t="inlineStr">
        <is>
          <t>AMD-FK-SSC</t>
        </is>
      </c>
      <c r="B41" t="inlineStr">
        <is>
          <t>Prime at Client side</t>
        </is>
      </c>
      <c r="C41" s="5" t="n">
        <v>46104</v>
      </c>
      <c r="D41" s="6">
        <f>Summary!D41</f>
        <v/>
      </c>
      <c r="E41" s="6">
        <f>Summary!E41</f>
        <v/>
      </c>
      <c r="F41" s="6">
        <f>Summary!F41</f>
        <v/>
      </c>
      <c r="G41" s="6">
        <f>Summary!G41</f>
        <v/>
      </c>
      <c r="H41" s="6">
        <f>Summary!H41</f>
        <v/>
      </c>
      <c r="I41" s="6">
        <f>Summary!I41</f>
        <v/>
      </c>
      <c r="J41" s="6">
        <f>Summary!J41</f>
        <v/>
      </c>
      <c r="K41" s="6">
        <f>Summary!K41</f>
        <v/>
      </c>
      <c r="L41" s="6">
        <f>Summary!L41</f>
        <v/>
      </c>
      <c r="M41" s="6">
        <f>Summary!M41</f>
        <v/>
      </c>
      <c r="N41" s="6">
        <f>Summary!N41</f>
        <v/>
      </c>
      <c r="O41" s="6">
        <f>Summary!O41</f>
        <v/>
      </c>
      <c r="P41" s="6">
        <f>Summary!P41</f>
        <v/>
      </c>
      <c r="Q41" s="6">
        <f>Summary!Q41</f>
        <v/>
      </c>
      <c r="R41" s="6">
        <f>Summary!R41</f>
        <v/>
      </c>
      <c r="S41" s="6">
        <f>Summary!S41</f>
        <v/>
      </c>
      <c r="T41" s="6">
        <f>Summary!T41</f>
        <v/>
      </c>
      <c r="U41" s="6">
        <f>Summary!U41</f>
        <v/>
      </c>
      <c r="V41" s="6">
        <f>Summary!V41</f>
        <v/>
      </c>
      <c r="W41" s="6">
        <f>Summary!W41</f>
        <v/>
      </c>
      <c r="X41" s="6">
        <f>Summary!X41</f>
        <v/>
      </c>
      <c r="Y41" s="6">
        <f>Summary!Y41</f>
        <v/>
      </c>
      <c r="Z41" s="6">
        <f>Summary!Z41</f>
        <v/>
      </c>
      <c r="AA41" s="6">
        <f>Summary!AA41</f>
        <v/>
      </c>
      <c r="AB41" s="6">
        <f>SUM(D41:AA41)</f>
        <v/>
      </c>
      <c r="AC41" s="3" t="inlineStr"/>
      <c r="AD41" s="7">
        <f>Y41*0.00045414</f>
        <v/>
      </c>
      <c r="AE41" s="7">
        <f>Z41*0.00045414</f>
        <v/>
      </c>
      <c r="AF41" s="7">
        <f>AA41*0.00045414</f>
        <v/>
      </c>
      <c r="AG41" s="7">
        <f>D41*0.00045414</f>
        <v/>
      </c>
      <c r="AH41" s="7">
        <f>E41*0.00045414</f>
        <v/>
      </c>
      <c r="AI41" s="7">
        <f>F41*0.00045414</f>
        <v/>
      </c>
      <c r="AJ41" s="7">
        <f>G41*0.00045414</f>
        <v/>
      </c>
      <c r="AK41" s="7">
        <f>H41*0.00045414</f>
        <v/>
      </c>
      <c r="AL41" s="7">
        <f>I41*0.00045414</f>
        <v/>
      </c>
      <c r="AM41" s="7">
        <f>J41*0.00045414</f>
        <v/>
      </c>
      <c r="AN41" s="7">
        <f>K41*0.00045414</f>
        <v/>
      </c>
      <c r="AO41" s="7">
        <f>L41*0.00045414</f>
        <v/>
      </c>
      <c r="AP41" s="7">
        <f>M41*0.00045414</f>
        <v/>
      </c>
      <c r="AQ41" s="7">
        <f>N41*0.00045414</f>
        <v/>
      </c>
      <c r="AR41" s="7">
        <f>O41*0.00045414</f>
        <v/>
      </c>
      <c r="AS41" s="7">
        <f>P41*0.00045414</f>
        <v/>
      </c>
      <c r="AT41" s="7">
        <f>Q41*0.00045414</f>
        <v/>
      </c>
      <c r="AU41" s="7">
        <f>R41*0.00045414</f>
        <v/>
      </c>
      <c r="AV41" s="7">
        <f>S41*0.00045414</f>
        <v/>
      </c>
      <c r="AW41" s="7">
        <f>T41*0.00045414</f>
        <v/>
      </c>
      <c r="AX41" s="7">
        <f>U41*0.00045414</f>
        <v/>
      </c>
      <c r="AY41" s="7">
        <f>V41*0.00045414</f>
        <v/>
      </c>
      <c r="AZ41" s="7">
        <f>W41*0.00045414</f>
        <v/>
      </c>
      <c r="BA41" s="7">
        <f>X41*0.00045414</f>
        <v/>
      </c>
      <c r="BB41" s="7">
        <f>SUM(AD41:BA41)</f>
        <v/>
      </c>
    </row>
    <row r="42">
      <c r="A42" t="inlineStr">
        <is>
          <t>AMD-FK-SSC</t>
        </is>
      </c>
      <c r="B42" t="inlineStr">
        <is>
          <t>Prime at Client side</t>
        </is>
      </c>
      <c r="C42" s="5" t="n">
        <v>46105</v>
      </c>
      <c r="D42" s="6">
        <f>Summary!D42</f>
        <v/>
      </c>
      <c r="E42" s="6">
        <f>Summary!E42</f>
        <v/>
      </c>
      <c r="F42" s="6">
        <f>Summary!F42</f>
        <v/>
      </c>
      <c r="G42" s="6">
        <f>Summary!G42</f>
        <v/>
      </c>
      <c r="H42" s="6">
        <f>Summary!H42</f>
        <v/>
      </c>
      <c r="I42" s="6">
        <f>Summary!I42</f>
        <v/>
      </c>
      <c r="J42" s="6">
        <f>Summary!J42</f>
        <v/>
      </c>
      <c r="K42" s="6">
        <f>Summary!K42</f>
        <v/>
      </c>
      <c r="L42" s="6">
        <f>Summary!L42</f>
        <v/>
      </c>
      <c r="M42" s="6">
        <f>Summary!M42</f>
        <v/>
      </c>
      <c r="N42" s="6">
        <f>Summary!N42</f>
        <v/>
      </c>
      <c r="O42" s="6">
        <f>Summary!O42</f>
        <v/>
      </c>
      <c r="P42" s="6">
        <f>Summary!P42</f>
        <v/>
      </c>
      <c r="Q42" s="6">
        <f>Summary!Q42</f>
        <v/>
      </c>
      <c r="R42" s="6">
        <f>Summary!R42</f>
        <v/>
      </c>
      <c r="S42" s="6">
        <f>Summary!S42</f>
        <v/>
      </c>
      <c r="T42" s="6">
        <f>Summary!T42</f>
        <v/>
      </c>
      <c r="U42" s="6">
        <f>Summary!U42</f>
        <v/>
      </c>
      <c r="V42" s="6">
        <f>Summary!V42</f>
        <v/>
      </c>
      <c r="W42" s="6">
        <f>Summary!W42</f>
        <v/>
      </c>
      <c r="X42" s="6">
        <f>Summary!X42</f>
        <v/>
      </c>
      <c r="Y42" s="6">
        <f>Summary!Y42</f>
        <v/>
      </c>
      <c r="Z42" s="6">
        <f>Summary!Z42</f>
        <v/>
      </c>
      <c r="AA42" s="6">
        <f>Summary!AA42</f>
        <v/>
      </c>
      <c r="AB42" s="6">
        <f>SUM(D42:AA42)</f>
        <v/>
      </c>
      <c r="AC42" s="3" t="inlineStr"/>
      <c r="AD42" s="7">
        <f>Y42*0.00045414</f>
        <v/>
      </c>
      <c r="AE42" s="7">
        <f>Z42*0.00045414</f>
        <v/>
      </c>
      <c r="AF42" s="7">
        <f>AA42*0.00045414</f>
        <v/>
      </c>
      <c r="AG42" s="7">
        <f>D42*0.00045414</f>
        <v/>
      </c>
      <c r="AH42" s="7">
        <f>E42*0.00045414</f>
        <v/>
      </c>
      <c r="AI42" s="7">
        <f>F42*0.00045414</f>
        <v/>
      </c>
      <c r="AJ42" s="7">
        <f>G42*0.00045414</f>
        <v/>
      </c>
      <c r="AK42" s="7">
        <f>H42*0.00045414</f>
        <v/>
      </c>
      <c r="AL42" s="7">
        <f>I42*0.00045414</f>
        <v/>
      </c>
      <c r="AM42" s="7">
        <f>J42*0.00045414</f>
        <v/>
      </c>
      <c r="AN42" s="7">
        <f>K42*0.00045414</f>
        <v/>
      </c>
      <c r="AO42" s="7">
        <f>L42*0.00045414</f>
        <v/>
      </c>
      <c r="AP42" s="7">
        <f>M42*0.00045414</f>
        <v/>
      </c>
      <c r="AQ42" s="7">
        <f>N42*0.00045414</f>
        <v/>
      </c>
      <c r="AR42" s="7">
        <f>O42*0.00045414</f>
        <v/>
      </c>
      <c r="AS42" s="7">
        <f>P42*0.00045414</f>
        <v/>
      </c>
      <c r="AT42" s="7">
        <f>Q42*0.00045414</f>
        <v/>
      </c>
      <c r="AU42" s="7">
        <f>R42*0.00045414</f>
        <v/>
      </c>
      <c r="AV42" s="7">
        <f>S42*0.00045414</f>
        <v/>
      </c>
      <c r="AW42" s="7">
        <f>T42*0.00045414</f>
        <v/>
      </c>
      <c r="AX42" s="7">
        <f>U42*0.00045414</f>
        <v/>
      </c>
      <c r="AY42" s="7">
        <f>V42*0.00045414</f>
        <v/>
      </c>
      <c r="AZ42" s="7">
        <f>W42*0.00045414</f>
        <v/>
      </c>
      <c r="BA42" s="7">
        <f>X42*0.00045414</f>
        <v/>
      </c>
      <c r="BB42" s="7">
        <f>SUM(AD42:BA42)</f>
        <v/>
      </c>
    </row>
    <row r="43">
      <c r="A43" t="inlineStr">
        <is>
          <t>AMD-FWDPRI-SSC</t>
        </is>
      </c>
      <c r="B43" t="inlineStr">
        <is>
          <t>FWD Priority OSC</t>
        </is>
      </c>
      <c r="C43" s="5" t="n">
        <v>46098</v>
      </c>
      <c r="D43" s="6">
        <f>Summary!D43</f>
        <v/>
      </c>
      <c r="E43" s="6">
        <f>Summary!E43</f>
        <v/>
      </c>
      <c r="F43" s="6">
        <f>Summary!F43</f>
        <v/>
      </c>
      <c r="G43" s="6">
        <f>Summary!G43</f>
        <v/>
      </c>
      <c r="H43" s="6">
        <f>Summary!H43</f>
        <v/>
      </c>
      <c r="I43" s="6">
        <f>Summary!I43</f>
        <v/>
      </c>
      <c r="J43" s="6">
        <f>Summary!J43</f>
        <v/>
      </c>
      <c r="K43" s="6">
        <f>Summary!K43</f>
        <v/>
      </c>
      <c r="L43" s="6">
        <f>Summary!L43</f>
        <v/>
      </c>
      <c r="M43" s="6">
        <f>Summary!M43</f>
        <v/>
      </c>
      <c r="N43" s="6">
        <f>Summary!N43</f>
        <v/>
      </c>
      <c r="O43" s="6">
        <f>Summary!O43</f>
        <v/>
      </c>
      <c r="P43" s="6">
        <f>Summary!P43</f>
        <v/>
      </c>
      <c r="Q43" s="6">
        <f>Summary!Q43</f>
        <v/>
      </c>
      <c r="R43" s="6">
        <f>Summary!R43</f>
        <v/>
      </c>
      <c r="S43" s="6">
        <f>Summary!S43</f>
        <v/>
      </c>
      <c r="T43" s="6">
        <f>Summary!T43</f>
        <v/>
      </c>
      <c r="U43" s="6">
        <f>Summary!U43</f>
        <v/>
      </c>
      <c r="V43" s="6">
        <f>Summary!V43</f>
        <v/>
      </c>
      <c r="W43" s="6">
        <f>Summary!W43</f>
        <v/>
      </c>
      <c r="X43" s="6">
        <f>Summary!X43</f>
        <v/>
      </c>
      <c r="Y43" s="6">
        <f>Summary!Y43</f>
        <v/>
      </c>
      <c r="Z43" s="6">
        <f>Summary!Z43</f>
        <v/>
      </c>
      <c r="AA43" s="6">
        <f>Summary!AA43</f>
        <v/>
      </c>
      <c r="AB43" s="6">
        <f>SUM(D43:AA43)</f>
        <v/>
      </c>
      <c r="AC43" s="3" t="inlineStr"/>
      <c r="AD43" s="7">
        <f>Y43*0.00045414</f>
        <v/>
      </c>
      <c r="AE43" s="7">
        <f>Z43*0.00045414</f>
        <v/>
      </c>
      <c r="AF43" s="7">
        <f>AA43*0.00045414</f>
        <v/>
      </c>
      <c r="AG43" s="7">
        <f>D43*0.00045414</f>
        <v/>
      </c>
      <c r="AH43" s="7">
        <f>E43*0.00045414</f>
        <v/>
      </c>
      <c r="AI43" s="7">
        <f>F43*0.00045414</f>
        <v/>
      </c>
      <c r="AJ43" s="7">
        <f>G43*0.00045414</f>
        <v/>
      </c>
      <c r="AK43" s="7">
        <f>H43*0.00045414</f>
        <v/>
      </c>
      <c r="AL43" s="7">
        <f>I43*0.00045414</f>
        <v/>
      </c>
      <c r="AM43" s="7">
        <f>J43*0.00045414</f>
        <v/>
      </c>
      <c r="AN43" s="7">
        <f>K43*0.00045414</f>
        <v/>
      </c>
      <c r="AO43" s="7">
        <f>L43*0.00045414</f>
        <v/>
      </c>
      <c r="AP43" s="7">
        <f>M43*0.00045414</f>
        <v/>
      </c>
      <c r="AQ43" s="7">
        <f>N43*0.00045414</f>
        <v/>
      </c>
      <c r="AR43" s="7">
        <f>O43*0.00045414</f>
        <v/>
      </c>
      <c r="AS43" s="7">
        <f>P43*0.00045414</f>
        <v/>
      </c>
      <c r="AT43" s="7">
        <f>Q43*0.00045414</f>
        <v/>
      </c>
      <c r="AU43" s="7">
        <f>R43*0.00045414</f>
        <v/>
      </c>
      <c r="AV43" s="7">
        <f>S43*0.00045414</f>
        <v/>
      </c>
      <c r="AW43" s="7">
        <f>T43*0.00045414</f>
        <v/>
      </c>
      <c r="AX43" s="7">
        <f>U43*0.00045414</f>
        <v/>
      </c>
      <c r="AY43" s="7">
        <f>V43*0.00045414</f>
        <v/>
      </c>
      <c r="AZ43" s="7">
        <f>W43*0.00045414</f>
        <v/>
      </c>
      <c r="BA43" s="7">
        <f>X43*0.00045414</f>
        <v/>
      </c>
      <c r="BB43" s="7">
        <f>SUM(AD43:BA43)</f>
        <v/>
      </c>
    </row>
    <row r="44">
      <c r="A44" t="inlineStr">
        <is>
          <t>AMD-FWDPRI-SSC</t>
        </is>
      </c>
      <c r="B44" t="inlineStr">
        <is>
          <t>FWD Priority OSC</t>
        </is>
      </c>
      <c r="C44" s="5" t="n">
        <v>46099</v>
      </c>
      <c r="D44" s="6">
        <f>Summary!D44</f>
        <v/>
      </c>
      <c r="E44" s="6">
        <f>Summary!E44</f>
        <v/>
      </c>
      <c r="F44" s="6">
        <f>Summary!F44</f>
        <v/>
      </c>
      <c r="G44" s="6">
        <f>Summary!G44</f>
        <v/>
      </c>
      <c r="H44" s="6">
        <f>Summary!H44</f>
        <v/>
      </c>
      <c r="I44" s="6">
        <f>Summary!I44</f>
        <v/>
      </c>
      <c r="J44" s="6">
        <f>Summary!J44</f>
        <v/>
      </c>
      <c r="K44" s="6">
        <f>Summary!K44</f>
        <v/>
      </c>
      <c r="L44" s="6">
        <f>Summary!L44</f>
        <v/>
      </c>
      <c r="M44" s="6">
        <f>Summary!M44</f>
        <v/>
      </c>
      <c r="N44" s="6">
        <f>Summary!N44</f>
        <v/>
      </c>
      <c r="O44" s="6">
        <f>Summary!O44</f>
        <v/>
      </c>
      <c r="P44" s="6">
        <f>Summary!P44</f>
        <v/>
      </c>
      <c r="Q44" s="6">
        <f>Summary!Q44</f>
        <v/>
      </c>
      <c r="R44" s="6">
        <f>Summary!R44</f>
        <v/>
      </c>
      <c r="S44" s="6">
        <f>Summary!S44</f>
        <v/>
      </c>
      <c r="T44" s="6">
        <f>Summary!T44</f>
        <v/>
      </c>
      <c r="U44" s="6">
        <f>Summary!U44</f>
        <v/>
      </c>
      <c r="V44" s="6">
        <f>Summary!V44</f>
        <v/>
      </c>
      <c r="W44" s="6">
        <f>Summary!W44</f>
        <v/>
      </c>
      <c r="X44" s="6">
        <f>Summary!X44</f>
        <v/>
      </c>
      <c r="Y44" s="6">
        <f>Summary!Y44</f>
        <v/>
      </c>
      <c r="Z44" s="6">
        <f>Summary!Z44</f>
        <v/>
      </c>
      <c r="AA44" s="6">
        <f>Summary!AA44</f>
        <v/>
      </c>
      <c r="AB44" s="6">
        <f>SUM(D44:AA44)</f>
        <v/>
      </c>
      <c r="AC44" s="3" t="inlineStr"/>
      <c r="AD44" s="7">
        <f>Y44*0.00045414</f>
        <v/>
      </c>
      <c r="AE44" s="7">
        <f>Z44*0.00045414</f>
        <v/>
      </c>
      <c r="AF44" s="7">
        <f>AA44*0.00045414</f>
        <v/>
      </c>
      <c r="AG44" s="7">
        <f>D44*0.00045414</f>
        <v/>
      </c>
      <c r="AH44" s="7">
        <f>E44*0.00045414</f>
        <v/>
      </c>
      <c r="AI44" s="7">
        <f>F44*0.00045414</f>
        <v/>
      </c>
      <c r="AJ44" s="7">
        <f>G44*0.00045414</f>
        <v/>
      </c>
      <c r="AK44" s="7">
        <f>H44*0.00045414</f>
        <v/>
      </c>
      <c r="AL44" s="7">
        <f>I44*0.00045414</f>
        <v/>
      </c>
      <c r="AM44" s="7">
        <f>J44*0.00045414</f>
        <v/>
      </c>
      <c r="AN44" s="7">
        <f>K44*0.00045414</f>
        <v/>
      </c>
      <c r="AO44" s="7">
        <f>L44*0.00045414</f>
        <v/>
      </c>
      <c r="AP44" s="7">
        <f>M44*0.00045414</f>
        <v/>
      </c>
      <c r="AQ44" s="7">
        <f>N44*0.00045414</f>
        <v/>
      </c>
      <c r="AR44" s="7">
        <f>O44*0.00045414</f>
        <v/>
      </c>
      <c r="AS44" s="7">
        <f>P44*0.00045414</f>
        <v/>
      </c>
      <c r="AT44" s="7">
        <f>Q44*0.00045414</f>
        <v/>
      </c>
      <c r="AU44" s="7">
        <f>R44*0.00045414</f>
        <v/>
      </c>
      <c r="AV44" s="7">
        <f>S44*0.00045414</f>
        <v/>
      </c>
      <c r="AW44" s="7">
        <f>T44*0.00045414</f>
        <v/>
      </c>
      <c r="AX44" s="7">
        <f>U44*0.00045414</f>
        <v/>
      </c>
      <c r="AY44" s="7">
        <f>V44*0.00045414</f>
        <v/>
      </c>
      <c r="AZ44" s="7">
        <f>W44*0.00045414</f>
        <v/>
      </c>
      <c r="BA44" s="7">
        <f>X44*0.00045414</f>
        <v/>
      </c>
      <c r="BB44" s="7">
        <f>SUM(AD44:BA44)</f>
        <v/>
      </c>
    </row>
    <row r="45">
      <c r="A45" t="inlineStr">
        <is>
          <t>AMD-FWDPRI-SSC</t>
        </is>
      </c>
      <c r="B45" t="inlineStr">
        <is>
          <t>FWD Priority OSC</t>
        </is>
      </c>
      <c r="C45" s="5" t="n">
        <v>46100</v>
      </c>
      <c r="D45" s="6">
        <f>Summary!D45</f>
        <v/>
      </c>
      <c r="E45" s="6">
        <f>Summary!E45</f>
        <v/>
      </c>
      <c r="F45" s="6">
        <f>Summary!F45</f>
        <v/>
      </c>
      <c r="G45" s="6">
        <f>Summary!G45</f>
        <v/>
      </c>
      <c r="H45" s="6">
        <f>Summary!H45</f>
        <v/>
      </c>
      <c r="I45" s="6">
        <f>Summary!I45</f>
        <v/>
      </c>
      <c r="J45" s="6">
        <f>Summary!J45</f>
        <v/>
      </c>
      <c r="K45" s="6">
        <f>Summary!K45</f>
        <v/>
      </c>
      <c r="L45" s="6">
        <f>Summary!L45</f>
        <v/>
      </c>
      <c r="M45" s="6">
        <f>Summary!M45</f>
        <v/>
      </c>
      <c r="N45" s="6">
        <f>Summary!N45</f>
        <v/>
      </c>
      <c r="O45" s="6">
        <f>Summary!O45</f>
        <v/>
      </c>
      <c r="P45" s="6">
        <f>Summary!P45</f>
        <v/>
      </c>
      <c r="Q45" s="6">
        <f>Summary!Q45</f>
        <v/>
      </c>
      <c r="R45" s="6">
        <f>Summary!R45</f>
        <v/>
      </c>
      <c r="S45" s="6">
        <f>Summary!S45</f>
        <v/>
      </c>
      <c r="T45" s="6">
        <f>Summary!T45</f>
        <v/>
      </c>
      <c r="U45" s="6">
        <f>Summary!U45</f>
        <v/>
      </c>
      <c r="V45" s="6">
        <f>Summary!V45</f>
        <v/>
      </c>
      <c r="W45" s="6">
        <f>Summary!W45</f>
        <v/>
      </c>
      <c r="X45" s="6">
        <f>Summary!X45</f>
        <v/>
      </c>
      <c r="Y45" s="6">
        <f>Summary!Y45</f>
        <v/>
      </c>
      <c r="Z45" s="6">
        <f>Summary!Z45</f>
        <v/>
      </c>
      <c r="AA45" s="6">
        <f>Summary!AA45</f>
        <v/>
      </c>
      <c r="AB45" s="6">
        <f>SUM(D45:AA45)</f>
        <v/>
      </c>
      <c r="AC45" s="3" t="inlineStr"/>
      <c r="AD45" s="7">
        <f>Y45*0.00045414</f>
        <v/>
      </c>
      <c r="AE45" s="7">
        <f>Z45*0.00045414</f>
        <v/>
      </c>
      <c r="AF45" s="7">
        <f>AA45*0.00045414</f>
        <v/>
      </c>
      <c r="AG45" s="7">
        <f>D45*0.00045414</f>
        <v/>
      </c>
      <c r="AH45" s="7">
        <f>E45*0.00045414</f>
        <v/>
      </c>
      <c r="AI45" s="7">
        <f>F45*0.00045414</f>
        <v/>
      </c>
      <c r="AJ45" s="7">
        <f>G45*0.00045414</f>
        <v/>
      </c>
      <c r="AK45" s="7">
        <f>H45*0.00045414</f>
        <v/>
      </c>
      <c r="AL45" s="7">
        <f>I45*0.00045414</f>
        <v/>
      </c>
      <c r="AM45" s="7">
        <f>J45*0.00045414</f>
        <v/>
      </c>
      <c r="AN45" s="7">
        <f>K45*0.00045414</f>
        <v/>
      </c>
      <c r="AO45" s="7">
        <f>L45*0.00045414</f>
        <v/>
      </c>
      <c r="AP45" s="7">
        <f>M45*0.00045414</f>
        <v/>
      </c>
      <c r="AQ45" s="7">
        <f>N45*0.00045414</f>
        <v/>
      </c>
      <c r="AR45" s="7">
        <f>O45*0.00045414</f>
        <v/>
      </c>
      <c r="AS45" s="7">
        <f>P45*0.00045414</f>
        <v/>
      </c>
      <c r="AT45" s="7">
        <f>Q45*0.00045414</f>
        <v/>
      </c>
      <c r="AU45" s="7">
        <f>R45*0.00045414</f>
        <v/>
      </c>
      <c r="AV45" s="7">
        <f>S45*0.00045414</f>
        <v/>
      </c>
      <c r="AW45" s="7">
        <f>T45*0.00045414</f>
        <v/>
      </c>
      <c r="AX45" s="7">
        <f>U45*0.00045414</f>
        <v/>
      </c>
      <c r="AY45" s="7">
        <f>V45*0.00045414</f>
        <v/>
      </c>
      <c r="AZ45" s="7">
        <f>W45*0.00045414</f>
        <v/>
      </c>
      <c r="BA45" s="7">
        <f>X45*0.00045414</f>
        <v/>
      </c>
      <c r="BB45" s="7">
        <f>SUM(AD45:BA45)</f>
        <v/>
      </c>
    </row>
    <row r="46">
      <c r="A46" t="inlineStr">
        <is>
          <t>AMD-FWDPRI-SSC</t>
        </is>
      </c>
      <c r="B46" t="inlineStr">
        <is>
          <t>FWD Priority OSC</t>
        </is>
      </c>
      <c r="C46" s="5" t="n">
        <v>46101</v>
      </c>
      <c r="D46" s="6">
        <f>Summary!D46</f>
        <v/>
      </c>
      <c r="E46" s="6">
        <f>Summary!E46</f>
        <v/>
      </c>
      <c r="F46" s="6">
        <f>Summary!F46</f>
        <v/>
      </c>
      <c r="G46" s="6">
        <f>Summary!G46</f>
        <v/>
      </c>
      <c r="H46" s="6">
        <f>Summary!H46</f>
        <v/>
      </c>
      <c r="I46" s="6">
        <f>Summary!I46</f>
        <v/>
      </c>
      <c r="J46" s="6">
        <f>Summary!J46</f>
        <v/>
      </c>
      <c r="K46" s="6">
        <f>Summary!K46</f>
        <v/>
      </c>
      <c r="L46" s="6">
        <f>Summary!L46</f>
        <v/>
      </c>
      <c r="M46" s="6">
        <f>Summary!M46</f>
        <v/>
      </c>
      <c r="N46" s="6">
        <f>Summary!N46</f>
        <v/>
      </c>
      <c r="O46" s="6">
        <f>Summary!O46</f>
        <v/>
      </c>
      <c r="P46" s="6">
        <f>Summary!P46</f>
        <v/>
      </c>
      <c r="Q46" s="6">
        <f>Summary!Q46</f>
        <v/>
      </c>
      <c r="R46" s="6">
        <f>Summary!R46</f>
        <v/>
      </c>
      <c r="S46" s="6">
        <f>Summary!S46</f>
        <v/>
      </c>
      <c r="T46" s="6">
        <f>Summary!T46</f>
        <v/>
      </c>
      <c r="U46" s="6">
        <f>Summary!U46</f>
        <v/>
      </c>
      <c r="V46" s="6">
        <f>Summary!V46</f>
        <v/>
      </c>
      <c r="W46" s="6">
        <f>Summary!W46</f>
        <v/>
      </c>
      <c r="X46" s="6">
        <f>Summary!X46</f>
        <v/>
      </c>
      <c r="Y46" s="6">
        <f>Summary!Y46</f>
        <v/>
      </c>
      <c r="Z46" s="6">
        <f>Summary!Z46</f>
        <v/>
      </c>
      <c r="AA46" s="6">
        <f>Summary!AA46</f>
        <v/>
      </c>
      <c r="AB46" s="6">
        <f>SUM(D46:AA46)</f>
        <v/>
      </c>
      <c r="AC46" s="3" t="inlineStr"/>
      <c r="AD46" s="7">
        <f>Y46*0.00045414</f>
        <v/>
      </c>
      <c r="AE46" s="7">
        <f>Z46*0.00045414</f>
        <v/>
      </c>
      <c r="AF46" s="7">
        <f>AA46*0.00045414</f>
        <v/>
      </c>
      <c r="AG46" s="7">
        <f>D46*0.00045414</f>
        <v/>
      </c>
      <c r="AH46" s="7">
        <f>E46*0.00045414</f>
        <v/>
      </c>
      <c r="AI46" s="7">
        <f>F46*0.00045414</f>
        <v/>
      </c>
      <c r="AJ46" s="7">
        <f>G46*0.00045414</f>
        <v/>
      </c>
      <c r="AK46" s="7">
        <f>H46*0.00045414</f>
        <v/>
      </c>
      <c r="AL46" s="7">
        <f>I46*0.00045414</f>
        <v/>
      </c>
      <c r="AM46" s="7">
        <f>J46*0.00045414</f>
        <v/>
      </c>
      <c r="AN46" s="7">
        <f>K46*0.00045414</f>
        <v/>
      </c>
      <c r="AO46" s="7">
        <f>L46*0.00045414</f>
        <v/>
      </c>
      <c r="AP46" s="7">
        <f>M46*0.00045414</f>
        <v/>
      </c>
      <c r="AQ46" s="7">
        <f>N46*0.00045414</f>
        <v/>
      </c>
      <c r="AR46" s="7">
        <f>O46*0.00045414</f>
        <v/>
      </c>
      <c r="AS46" s="7">
        <f>P46*0.00045414</f>
        <v/>
      </c>
      <c r="AT46" s="7">
        <f>Q46*0.00045414</f>
        <v/>
      </c>
      <c r="AU46" s="7">
        <f>R46*0.00045414</f>
        <v/>
      </c>
      <c r="AV46" s="7">
        <f>S46*0.00045414</f>
        <v/>
      </c>
      <c r="AW46" s="7">
        <f>T46*0.00045414</f>
        <v/>
      </c>
      <c r="AX46" s="7">
        <f>U46*0.00045414</f>
        <v/>
      </c>
      <c r="AY46" s="7">
        <f>V46*0.00045414</f>
        <v/>
      </c>
      <c r="AZ46" s="7">
        <f>W46*0.00045414</f>
        <v/>
      </c>
      <c r="BA46" s="7">
        <f>X46*0.00045414</f>
        <v/>
      </c>
      <c r="BB46" s="7">
        <f>SUM(AD46:BA46)</f>
        <v/>
      </c>
    </row>
    <row r="47">
      <c r="A47" t="inlineStr">
        <is>
          <t>AMD-FWDPRI-SSC</t>
        </is>
      </c>
      <c r="B47" t="inlineStr">
        <is>
          <t>FWD Priority OSC</t>
        </is>
      </c>
      <c r="C47" s="5" t="n">
        <v>46102</v>
      </c>
      <c r="D47" s="6">
        <f>Summary!D47</f>
        <v/>
      </c>
      <c r="E47" s="6">
        <f>Summary!E47</f>
        <v/>
      </c>
      <c r="F47" s="6">
        <f>Summary!F47</f>
        <v/>
      </c>
      <c r="G47" s="6">
        <f>Summary!G47</f>
        <v/>
      </c>
      <c r="H47" s="6">
        <f>Summary!H47</f>
        <v/>
      </c>
      <c r="I47" s="6">
        <f>Summary!I47</f>
        <v/>
      </c>
      <c r="J47" s="6">
        <f>Summary!J47</f>
        <v/>
      </c>
      <c r="K47" s="6">
        <f>Summary!K47</f>
        <v/>
      </c>
      <c r="L47" s="6">
        <f>Summary!L47</f>
        <v/>
      </c>
      <c r="M47" s="6">
        <f>Summary!M47</f>
        <v/>
      </c>
      <c r="N47" s="6">
        <f>Summary!N47</f>
        <v/>
      </c>
      <c r="O47" s="6">
        <f>Summary!O47</f>
        <v/>
      </c>
      <c r="P47" s="6">
        <f>Summary!P47</f>
        <v/>
      </c>
      <c r="Q47" s="6">
        <f>Summary!Q47</f>
        <v/>
      </c>
      <c r="R47" s="6">
        <f>Summary!R47</f>
        <v/>
      </c>
      <c r="S47" s="6">
        <f>Summary!S47</f>
        <v/>
      </c>
      <c r="T47" s="6">
        <f>Summary!T47</f>
        <v/>
      </c>
      <c r="U47" s="6">
        <f>Summary!U47</f>
        <v/>
      </c>
      <c r="V47" s="6">
        <f>Summary!V47</f>
        <v/>
      </c>
      <c r="W47" s="6">
        <f>Summary!W47</f>
        <v/>
      </c>
      <c r="X47" s="6">
        <f>Summary!X47</f>
        <v/>
      </c>
      <c r="Y47" s="6">
        <f>Summary!Y47</f>
        <v/>
      </c>
      <c r="Z47" s="6">
        <f>Summary!Z47</f>
        <v/>
      </c>
      <c r="AA47" s="6">
        <f>Summary!AA47</f>
        <v/>
      </c>
      <c r="AB47" s="6">
        <f>SUM(D47:AA47)</f>
        <v/>
      </c>
      <c r="AC47" s="3" t="inlineStr"/>
      <c r="AD47" s="7">
        <f>Y47*0.00045414</f>
        <v/>
      </c>
      <c r="AE47" s="7">
        <f>Z47*0.00045414</f>
        <v/>
      </c>
      <c r="AF47" s="7">
        <f>AA47*0.00045414</f>
        <v/>
      </c>
      <c r="AG47" s="7">
        <f>D47*0.00045414</f>
        <v/>
      </c>
      <c r="AH47" s="7">
        <f>E47*0.00045414</f>
        <v/>
      </c>
      <c r="AI47" s="7">
        <f>F47*0.00045414</f>
        <v/>
      </c>
      <c r="AJ47" s="7">
        <f>G47*0.00045414</f>
        <v/>
      </c>
      <c r="AK47" s="7">
        <f>H47*0.00045414</f>
        <v/>
      </c>
      <c r="AL47" s="7">
        <f>I47*0.00045414</f>
        <v/>
      </c>
      <c r="AM47" s="7">
        <f>J47*0.00045414</f>
        <v/>
      </c>
      <c r="AN47" s="7">
        <f>K47*0.00045414</f>
        <v/>
      </c>
      <c r="AO47" s="7">
        <f>L47*0.00045414</f>
        <v/>
      </c>
      <c r="AP47" s="7">
        <f>M47*0.00045414</f>
        <v/>
      </c>
      <c r="AQ47" s="7">
        <f>N47*0.00045414</f>
        <v/>
      </c>
      <c r="AR47" s="7">
        <f>O47*0.00045414</f>
        <v/>
      </c>
      <c r="AS47" s="7">
        <f>P47*0.00045414</f>
        <v/>
      </c>
      <c r="AT47" s="7">
        <f>Q47*0.00045414</f>
        <v/>
      </c>
      <c r="AU47" s="7">
        <f>R47*0.00045414</f>
        <v/>
      </c>
      <c r="AV47" s="7">
        <f>S47*0.00045414</f>
        <v/>
      </c>
      <c r="AW47" s="7">
        <f>T47*0.00045414</f>
        <v/>
      </c>
      <c r="AX47" s="7">
        <f>U47*0.00045414</f>
        <v/>
      </c>
      <c r="AY47" s="7">
        <f>V47*0.00045414</f>
        <v/>
      </c>
      <c r="AZ47" s="7">
        <f>W47*0.00045414</f>
        <v/>
      </c>
      <c r="BA47" s="7">
        <f>X47*0.00045414</f>
        <v/>
      </c>
      <c r="BB47" s="7">
        <f>SUM(AD47:BA47)</f>
        <v/>
      </c>
    </row>
    <row r="48">
      <c r="A48" t="inlineStr">
        <is>
          <t>AMD-FWDPRI-SSC</t>
        </is>
      </c>
      <c r="B48" t="inlineStr">
        <is>
          <t>FWD Priority OSC</t>
        </is>
      </c>
      <c r="C48" s="5" t="n">
        <v>46103</v>
      </c>
      <c r="D48" s="6">
        <f>Summary!D48</f>
        <v/>
      </c>
      <c r="E48" s="6">
        <f>Summary!E48</f>
        <v/>
      </c>
      <c r="F48" s="6">
        <f>Summary!F48</f>
        <v/>
      </c>
      <c r="G48" s="6">
        <f>Summary!G48</f>
        <v/>
      </c>
      <c r="H48" s="6">
        <f>Summary!H48</f>
        <v/>
      </c>
      <c r="I48" s="6">
        <f>Summary!I48</f>
        <v/>
      </c>
      <c r="J48" s="6">
        <f>Summary!J48</f>
        <v/>
      </c>
      <c r="K48" s="6">
        <f>Summary!K48</f>
        <v/>
      </c>
      <c r="L48" s="6">
        <f>Summary!L48</f>
        <v/>
      </c>
      <c r="M48" s="6">
        <f>Summary!M48</f>
        <v/>
      </c>
      <c r="N48" s="6">
        <f>Summary!N48</f>
        <v/>
      </c>
      <c r="O48" s="6">
        <f>Summary!O48</f>
        <v/>
      </c>
      <c r="P48" s="6">
        <f>Summary!P48</f>
        <v/>
      </c>
      <c r="Q48" s="6">
        <f>Summary!Q48</f>
        <v/>
      </c>
      <c r="R48" s="6">
        <f>Summary!R48</f>
        <v/>
      </c>
      <c r="S48" s="6">
        <f>Summary!S48</f>
        <v/>
      </c>
      <c r="T48" s="6">
        <f>Summary!T48</f>
        <v/>
      </c>
      <c r="U48" s="6">
        <f>Summary!U48</f>
        <v/>
      </c>
      <c r="V48" s="6">
        <f>Summary!V48</f>
        <v/>
      </c>
      <c r="W48" s="6">
        <f>Summary!W48</f>
        <v/>
      </c>
      <c r="X48" s="6">
        <f>Summary!X48</f>
        <v/>
      </c>
      <c r="Y48" s="6">
        <f>Summary!Y48</f>
        <v/>
      </c>
      <c r="Z48" s="6">
        <f>Summary!Z48</f>
        <v/>
      </c>
      <c r="AA48" s="6">
        <f>Summary!AA48</f>
        <v/>
      </c>
      <c r="AB48" s="6">
        <f>SUM(D48:AA48)</f>
        <v/>
      </c>
      <c r="AC48" s="3" t="inlineStr"/>
      <c r="AD48" s="7">
        <f>Y48*0.00045414</f>
        <v/>
      </c>
      <c r="AE48" s="7">
        <f>Z48*0.00045414</f>
        <v/>
      </c>
      <c r="AF48" s="7">
        <f>AA48*0.00045414</f>
        <v/>
      </c>
      <c r="AG48" s="7">
        <f>D48*0.00045414</f>
        <v/>
      </c>
      <c r="AH48" s="7">
        <f>E48*0.00045414</f>
        <v/>
      </c>
      <c r="AI48" s="7">
        <f>F48*0.00045414</f>
        <v/>
      </c>
      <c r="AJ48" s="7">
        <f>G48*0.00045414</f>
        <v/>
      </c>
      <c r="AK48" s="7">
        <f>H48*0.00045414</f>
        <v/>
      </c>
      <c r="AL48" s="7">
        <f>I48*0.00045414</f>
        <v/>
      </c>
      <c r="AM48" s="7">
        <f>J48*0.00045414</f>
        <v/>
      </c>
      <c r="AN48" s="7">
        <f>K48*0.00045414</f>
        <v/>
      </c>
      <c r="AO48" s="7">
        <f>L48*0.00045414</f>
        <v/>
      </c>
      <c r="AP48" s="7">
        <f>M48*0.00045414</f>
        <v/>
      </c>
      <c r="AQ48" s="7">
        <f>N48*0.00045414</f>
        <v/>
      </c>
      <c r="AR48" s="7">
        <f>O48*0.00045414</f>
        <v/>
      </c>
      <c r="AS48" s="7">
        <f>P48*0.00045414</f>
        <v/>
      </c>
      <c r="AT48" s="7">
        <f>Q48*0.00045414</f>
        <v/>
      </c>
      <c r="AU48" s="7">
        <f>R48*0.00045414</f>
        <v/>
      </c>
      <c r="AV48" s="7">
        <f>S48*0.00045414</f>
        <v/>
      </c>
      <c r="AW48" s="7">
        <f>T48*0.00045414</f>
        <v/>
      </c>
      <c r="AX48" s="7">
        <f>U48*0.00045414</f>
        <v/>
      </c>
      <c r="AY48" s="7">
        <f>V48*0.00045414</f>
        <v/>
      </c>
      <c r="AZ48" s="7">
        <f>W48*0.00045414</f>
        <v/>
      </c>
      <c r="BA48" s="7">
        <f>X48*0.00045414</f>
        <v/>
      </c>
      <c r="BB48" s="7">
        <f>SUM(AD48:BA48)</f>
        <v/>
      </c>
    </row>
    <row r="49">
      <c r="A49" t="inlineStr">
        <is>
          <t>AMD-FWDPRI-SSC</t>
        </is>
      </c>
      <c r="B49" t="inlineStr">
        <is>
          <t>FWD Priority OSC</t>
        </is>
      </c>
      <c r="C49" s="5" t="n">
        <v>46104</v>
      </c>
      <c r="D49" s="6">
        <f>Summary!D49</f>
        <v/>
      </c>
      <c r="E49" s="6">
        <f>Summary!E49</f>
        <v/>
      </c>
      <c r="F49" s="6">
        <f>Summary!F49</f>
        <v/>
      </c>
      <c r="G49" s="6">
        <f>Summary!G49</f>
        <v/>
      </c>
      <c r="H49" s="6">
        <f>Summary!H49</f>
        <v/>
      </c>
      <c r="I49" s="6">
        <f>Summary!I49</f>
        <v/>
      </c>
      <c r="J49" s="6">
        <f>Summary!J49</f>
        <v/>
      </c>
      <c r="K49" s="6">
        <f>Summary!K49</f>
        <v/>
      </c>
      <c r="L49" s="6">
        <f>Summary!L49</f>
        <v/>
      </c>
      <c r="M49" s="6">
        <f>Summary!M49</f>
        <v/>
      </c>
      <c r="N49" s="6">
        <f>Summary!N49</f>
        <v/>
      </c>
      <c r="O49" s="6">
        <f>Summary!O49</f>
        <v/>
      </c>
      <c r="P49" s="6">
        <f>Summary!P49</f>
        <v/>
      </c>
      <c r="Q49" s="6">
        <f>Summary!Q49</f>
        <v/>
      </c>
      <c r="R49" s="6">
        <f>Summary!R49</f>
        <v/>
      </c>
      <c r="S49" s="6">
        <f>Summary!S49</f>
        <v/>
      </c>
      <c r="T49" s="6">
        <f>Summary!T49</f>
        <v/>
      </c>
      <c r="U49" s="6">
        <f>Summary!U49</f>
        <v/>
      </c>
      <c r="V49" s="6">
        <f>Summary!V49</f>
        <v/>
      </c>
      <c r="W49" s="6">
        <f>Summary!W49</f>
        <v/>
      </c>
      <c r="X49" s="6">
        <f>Summary!X49</f>
        <v/>
      </c>
      <c r="Y49" s="6">
        <f>Summary!Y49</f>
        <v/>
      </c>
      <c r="Z49" s="6">
        <f>Summary!Z49</f>
        <v/>
      </c>
      <c r="AA49" s="6">
        <f>Summary!AA49</f>
        <v/>
      </c>
      <c r="AB49" s="6">
        <f>SUM(D49:AA49)</f>
        <v/>
      </c>
      <c r="AC49" s="3" t="inlineStr"/>
      <c r="AD49" s="7">
        <f>Y49*0.00045414</f>
        <v/>
      </c>
      <c r="AE49" s="7">
        <f>Z49*0.00045414</f>
        <v/>
      </c>
      <c r="AF49" s="7">
        <f>AA49*0.00045414</f>
        <v/>
      </c>
      <c r="AG49" s="7">
        <f>D49*0.00045414</f>
        <v/>
      </c>
      <c r="AH49" s="7">
        <f>E49*0.00045414</f>
        <v/>
      </c>
      <c r="AI49" s="7">
        <f>F49*0.00045414</f>
        <v/>
      </c>
      <c r="AJ49" s="7">
        <f>G49*0.00045414</f>
        <v/>
      </c>
      <c r="AK49" s="7">
        <f>H49*0.00045414</f>
        <v/>
      </c>
      <c r="AL49" s="7">
        <f>I49*0.00045414</f>
        <v/>
      </c>
      <c r="AM49" s="7">
        <f>J49*0.00045414</f>
        <v/>
      </c>
      <c r="AN49" s="7">
        <f>K49*0.00045414</f>
        <v/>
      </c>
      <c r="AO49" s="7">
        <f>L49*0.00045414</f>
        <v/>
      </c>
      <c r="AP49" s="7">
        <f>M49*0.00045414</f>
        <v/>
      </c>
      <c r="AQ49" s="7">
        <f>N49*0.00045414</f>
        <v/>
      </c>
      <c r="AR49" s="7">
        <f>O49*0.00045414</f>
        <v/>
      </c>
      <c r="AS49" s="7">
        <f>P49*0.00045414</f>
        <v/>
      </c>
      <c r="AT49" s="7">
        <f>Q49*0.00045414</f>
        <v/>
      </c>
      <c r="AU49" s="7">
        <f>R49*0.00045414</f>
        <v/>
      </c>
      <c r="AV49" s="7">
        <f>S49*0.00045414</f>
        <v/>
      </c>
      <c r="AW49" s="7">
        <f>T49*0.00045414</f>
        <v/>
      </c>
      <c r="AX49" s="7">
        <f>U49*0.00045414</f>
        <v/>
      </c>
      <c r="AY49" s="7">
        <f>V49*0.00045414</f>
        <v/>
      </c>
      <c r="AZ49" s="7">
        <f>W49*0.00045414</f>
        <v/>
      </c>
      <c r="BA49" s="7">
        <f>X49*0.00045414</f>
        <v/>
      </c>
      <c r="BB49" s="7">
        <f>SUM(AD49:BA49)</f>
        <v/>
      </c>
    </row>
    <row r="50">
      <c r="A50" t="inlineStr">
        <is>
          <t>AMD-FWDPRI-SSC</t>
        </is>
      </c>
      <c r="B50" t="inlineStr">
        <is>
          <t>FWD Priority OSC</t>
        </is>
      </c>
      <c r="C50" s="5" t="n">
        <v>46105</v>
      </c>
      <c r="D50" s="6">
        <f>Summary!D50</f>
        <v/>
      </c>
      <c r="E50" s="6">
        <f>Summary!E50</f>
        <v/>
      </c>
      <c r="F50" s="6">
        <f>Summary!F50</f>
        <v/>
      </c>
      <c r="G50" s="6">
        <f>Summary!G50</f>
        <v/>
      </c>
      <c r="H50" s="6">
        <f>Summary!H50</f>
        <v/>
      </c>
      <c r="I50" s="6">
        <f>Summary!I50</f>
        <v/>
      </c>
      <c r="J50" s="6">
        <f>Summary!J50</f>
        <v/>
      </c>
      <c r="K50" s="6">
        <f>Summary!K50</f>
        <v/>
      </c>
      <c r="L50" s="6">
        <f>Summary!L50</f>
        <v/>
      </c>
      <c r="M50" s="6">
        <f>Summary!M50</f>
        <v/>
      </c>
      <c r="N50" s="6">
        <f>Summary!N50</f>
        <v/>
      </c>
      <c r="O50" s="6">
        <f>Summary!O50</f>
        <v/>
      </c>
      <c r="P50" s="6">
        <f>Summary!P50</f>
        <v/>
      </c>
      <c r="Q50" s="6">
        <f>Summary!Q50</f>
        <v/>
      </c>
      <c r="R50" s="6">
        <f>Summary!R50</f>
        <v/>
      </c>
      <c r="S50" s="6">
        <f>Summary!S50</f>
        <v/>
      </c>
      <c r="T50" s="6">
        <f>Summary!T50</f>
        <v/>
      </c>
      <c r="U50" s="6">
        <f>Summary!U50</f>
        <v/>
      </c>
      <c r="V50" s="6">
        <f>Summary!V50</f>
        <v/>
      </c>
      <c r="W50" s="6">
        <f>Summary!W50</f>
        <v/>
      </c>
      <c r="X50" s="6">
        <f>Summary!X50</f>
        <v/>
      </c>
      <c r="Y50" s="6">
        <f>Summary!Y50</f>
        <v/>
      </c>
      <c r="Z50" s="6">
        <f>Summary!Z50</f>
        <v/>
      </c>
      <c r="AA50" s="6">
        <f>Summary!AA50</f>
        <v/>
      </c>
      <c r="AB50" s="6">
        <f>SUM(D50:AA50)</f>
        <v/>
      </c>
      <c r="AC50" s="3" t="inlineStr"/>
      <c r="AD50" s="7">
        <f>Y50*0.00045414</f>
        <v/>
      </c>
      <c r="AE50" s="7">
        <f>Z50*0.00045414</f>
        <v/>
      </c>
      <c r="AF50" s="7">
        <f>AA50*0.00045414</f>
        <v/>
      </c>
      <c r="AG50" s="7">
        <f>D50*0.00045414</f>
        <v/>
      </c>
      <c r="AH50" s="7">
        <f>E50*0.00045414</f>
        <v/>
      </c>
      <c r="AI50" s="7">
        <f>F50*0.00045414</f>
        <v/>
      </c>
      <c r="AJ50" s="7">
        <f>G50*0.00045414</f>
        <v/>
      </c>
      <c r="AK50" s="7">
        <f>H50*0.00045414</f>
        <v/>
      </c>
      <c r="AL50" s="7">
        <f>I50*0.00045414</f>
        <v/>
      </c>
      <c r="AM50" s="7">
        <f>J50*0.00045414</f>
        <v/>
      </c>
      <c r="AN50" s="7">
        <f>K50*0.00045414</f>
        <v/>
      </c>
      <c r="AO50" s="7">
        <f>L50*0.00045414</f>
        <v/>
      </c>
      <c r="AP50" s="7">
        <f>M50*0.00045414</f>
        <v/>
      </c>
      <c r="AQ50" s="7">
        <f>N50*0.00045414</f>
        <v/>
      </c>
      <c r="AR50" s="7">
        <f>O50*0.00045414</f>
        <v/>
      </c>
      <c r="AS50" s="7">
        <f>P50*0.00045414</f>
        <v/>
      </c>
      <c r="AT50" s="7">
        <f>Q50*0.00045414</f>
        <v/>
      </c>
      <c r="AU50" s="7">
        <f>R50*0.00045414</f>
        <v/>
      </c>
      <c r="AV50" s="7">
        <f>S50*0.00045414</f>
        <v/>
      </c>
      <c r="AW50" s="7">
        <f>T50*0.00045414</f>
        <v/>
      </c>
      <c r="AX50" s="7">
        <f>U50*0.00045414</f>
        <v/>
      </c>
      <c r="AY50" s="7">
        <f>V50*0.00045414</f>
        <v/>
      </c>
      <c r="AZ50" s="7">
        <f>W50*0.00045414</f>
        <v/>
      </c>
      <c r="BA50" s="7">
        <f>X50*0.00045414</f>
        <v/>
      </c>
      <c r="BB50" s="7">
        <f>SUM(AD50:BA50)</f>
        <v/>
      </c>
    </row>
    <row r="51">
      <c r="A51" t="inlineStr">
        <is>
          <t>AMD-FWDREG-SSC</t>
        </is>
      </c>
      <c r="B51" t="inlineStr">
        <is>
          <t>Forward Regular OSC</t>
        </is>
      </c>
      <c r="C51" s="5" t="n">
        <v>46098</v>
      </c>
      <c r="D51" s="6">
        <f>Summary!D51</f>
        <v/>
      </c>
      <c r="E51" s="6">
        <f>Summary!E51</f>
        <v/>
      </c>
      <c r="F51" s="6">
        <f>Summary!F51</f>
        <v/>
      </c>
      <c r="G51" s="6">
        <f>Summary!G51</f>
        <v/>
      </c>
      <c r="H51" s="6">
        <f>Summary!H51</f>
        <v/>
      </c>
      <c r="I51" s="6">
        <f>Summary!I51</f>
        <v/>
      </c>
      <c r="J51" s="6">
        <f>Summary!J51</f>
        <v/>
      </c>
      <c r="K51" s="6">
        <f>Summary!K51</f>
        <v/>
      </c>
      <c r="L51" s="6">
        <f>Summary!L51</f>
        <v/>
      </c>
      <c r="M51" s="6">
        <f>Summary!M51</f>
        <v/>
      </c>
      <c r="N51" s="6">
        <f>Summary!N51</f>
        <v/>
      </c>
      <c r="O51" s="6">
        <f>Summary!O51</f>
        <v/>
      </c>
      <c r="P51" s="6">
        <f>Summary!P51</f>
        <v/>
      </c>
      <c r="Q51" s="6">
        <f>Summary!Q51</f>
        <v/>
      </c>
      <c r="R51" s="6">
        <f>Summary!R51</f>
        <v/>
      </c>
      <c r="S51" s="6">
        <f>Summary!S51</f>
        <v/>
      </c>
      <c r="T51" s="6">
        <f>Summary!T51</f>
        <v/>
      </c>
      <c r="U51" s="6">
        <f>Summary!U51</f>
        <v/>
      </c>
      <c r="V51" s="6">
        <f>Summary!V51</f>
        <v/>
      </c>
      <c r="W51" s="6">
        <f>Summary!W51</f>
        <v/>
      </c>
      <c r="X51" s="6">
        <f>Summary!X51</f>
        <v/>
      </c>
      <c r="Y51" s="6">
        <f>Summary!Y51</f>
        <v/>
      </c>
      <c r="Z51" s="6">
        <f>Summary!Z51</f>
        <v/>
      </c>
      <c r="AA51" s="6">
        <f>Summary!AA51</f>
        <v/>
      </c>
      <c r="AB51" s="6">
        <f>SUM(D51:AA51)</f>
        <v/>
      </c>
      <c r="AC51" s="3" t="inlineStr"/>
      <c r="AD51" s="7">
        <f>Y51*0.00045414</f>
        <v/>
      </c>
      <c r="AE51" s="7">
        <f>Z51*0.00045414</f>
        <v/>
      </c>
      <c r="AF51" s="7">
        <f>AA51*0.00045414</f>
        <v/>
      </c>
      <c r="AG51" s="7">
        <f>D51*0.00045414</f>
        <v/>
      </c>
      <c r="AH51" s="7">
        <f>E51*0.00045414</f>
        <v/>
      </c>
      <c r="AI51" s="7">
        <f>F51*0.00045414</f>
        <v/>
      </c>
      <c r="AJ51" s="7">
        <f>G51*0.00045414</f>
        <v/>
      </c>
      <c r="AK51" s="7">
        <f>H51*0.00045414</f>
        <v/>
      </c>
      <c r="AL51" s="7">
        <f>I51*0.00045414</f>
        <v/>
      </c>
      <c r="AM51" s="7">
        <f>J51*0.00045414</f>
        <v/>
      </c>
      <c r="AN51" s="7">
        <f>K51*0.00045414</f>
        <v/>
      </c>
      <c r="AO51" s="7">
        <f>L51*0.00045414</f>
        <v/>
      </c>
      <c r="AP51" s="7">
        <f>M51*0.00045414</f>
        <v/>
      </c>
      <c r="AQ51" s="7">
        <f>N51*0.00045414</f>
        <v/>
      </c>
      <c r="AR51" s="7">
        <f>O51*0.00045414</f>
        <v/>
      </c>
      <c r="AS51" s="7">
        <f>P51*0.00045414</f>
        <v/>
      </c>
      <c r="AT51" s="7">
        <f>Q51*0.00045414</f>
        <v/>
      </c>
      <c r="AU51" s="7">
        <f>R51*0.00045414</f>
        <v/>
      </c>
      <c r="AV51" s="7">
        <f>S51*0.00045414</f>
        <v/>
      </c>
      <c r="AW51" s="7">
        <f>T51*0.00045414</f>
        <v/>
      </c>
      <c r="AX51" s="7">
        <f>U51*0.00045414</f>
        <v/>
      </c>
      <c r="AY51" s="7">
        <f>V51*0.00045414</f>
        <v/>
      </c>
      <c r="AZ51" s="7">
        <f>W51*0.00045414</f>
        <v/>
      </c>
      <c r="BA51" s="7">
        <f>X51*0.00045414</f>
        <v/>
      </c>
      <c r="BB51" s="7">
        <f>SUM(AD51:BA51)</f>
        <v/>
      </c>
    </row>
    <row r="52">
      <c r="A52" t="inlineStr">
        <is>
          <t>AMD-FWDREG-SSC</t>
        </is>
      </c>
      <c r="B52" t="inlineStr">
        <is>
          <t>Forward Regular OSC</t>
        </is>
      </c>
      <c r="C52" s="5" t="n">
        <v>46099</v>
      </c>
      <c r="D52" s="6">
        <f>Summary!D52</f>
        <v/>
      </c>
      <c r="E52" s="6">
        <f>Summary!E52</f>
        <v/>
      </c>
      <c r="F52" s="6">
        <f>Summary!F52</f>
        <v/>
      </c>
      <c r="G52" s="6">
        <f>Summary!G52</f>
        <v/>
      </c>
      <c r="H52" s="6">
        <f>Summary!H52</f>
        <v/>
      </c>
      <c r="I52" s="6">
        <f>Summary!I52</f>
        <v/>
      </c>
      <c r="J52" s="6">
        <f>Summary!J52</f>
        <v/>
      </c>
      <c r="K52" s="6">
        <f>Summary!K52</f>
        <v/>
      </c>
      <c r="L52" s="6">
        <f>Summary!L52</f>
        <v/>
      </c>
      <c r="M52" s="6">
        <f>Summary!M52</f>
        <v/>
      </c>
      <c r="N52" s="6">
        <f>Summary!N52</f>
        <v/>
      </c>
      <c r="O52" s="6">
        <f>Summary!O52</f>
        <v/>
      </c>
      <c r="P52" s="6">
        <f>Summary!P52</f>
        <v/>
      </c>
      <c r="Q52" s="6">
        <f>Summary!Q52</f>
        <v/>
      </c>
      <c r="R52" s="6">
        <f>Summary!R52</f>
        <v/>
      </c>
      <c r="S52" s="6">
        <f>Summary!S52</f>
        <v/>
      </c>
      <c r="T52" s="6">
        <f>Summary!T52</f>
        <v/>
      </c>
      <c r="U52" s="6">
        <f>Summary!U52</f>
        <v/>
      </c>
      <c r="V52" s="6">
        <f>Summary!V52</f>
        <v/>
      </c>
      <c r="W52" s="6">
        <f>Summary!W52</f>
        <v/>
      </c>
      <c r="X52" s="6">
        <f>Summary!X52</f>
        <v/>
      </c>
      <c r="Y52" s="6">
        <f>Summary!Y52</f>
        <v/>
      </c>
      <c r="Z52" s="6">
        <f>Summary!Z52</f>
        <v/>
      </c>
      <c r="AA52" s="6">
        <f>Summary!AA52</f>
        <v/>
      </c>
      <c r="AB52" s="6">
        <f>SUM(D52:AA52)</f>
        <v/>
      </c>
      <c r="AC52" s="3" t="inlineStr"/>
      <c r="AD52" s="7">
        <f>Y52*0.00045414</f>
        <v/>
      </c>
      <c r="AE52" s="7">
        <f>Z52*0.00045414</f>
        <v/>
      </c>
      <c r="AF52" s="7">
        <f>AA52*0.00045414</f>
        <v/>
      </c>
      <c r="AG52" s="7">
        <f>D52*0.00045414</f>
        <v/>
      </c>
      <c r="AH52" s="7">
        <f>E52*0.00045414</f>
        <v/>
      </c>
      <c r="AI52" s="7">
        <f>F52*0.00045414</f>
        <v/>
      </c>
      <c r="AJ52" s="7">
        <f>G52*0.00045414</f>
        <v/>
      </c>
      <c r="AK52" s="7">
        <f>H52*0.00045414</f>
        <v/>
      </c>
      <c r="AL52" s="7">
        <f>I52*0.00045414</f>
        <v/>
      </c>
      <c r="AM52" s="7">
        <f>J52*0.00045414</f>
        <v/>
      </c>
      <c r="AN52" s="7">
        <f>K52*0.00045414</f>
        <v/>
      </c>
      <c r="AO52" s="7">
        <f>L52*0.00045414</f>
        <v/>
      </c>
      <c r="AP52" s="7">
        <f>M52*0.00045414</f>
        <v/>
      </c>
      <c r="AQ52" s="7">
        <f>N52*0.00045414</f>
        <v/>
      </c>
      <c r="AR52" s="7">
        <f>O52*0.00045414</f>
        <v/>
      </c>
      <c r="AS52" s="7">
        <f>P52*0.00045414</f>
        <v/>
      </c>
      <c r="AT52" s="7">
        <f>Q52*0.00045414</f>
        <v/>
      </c>
      <c r="AU52" s="7">
        <f>R52*0.00045414</f>
        <v/>
      </c>
      <c r="AV52" s="7">
        <f>S52*0.00045414</f>
        <v/>
      </c>
      <c r="AW52" s="7">
        <f>T52*0.00045414</f>
        <v/>
      </c>
      <c r="AX52" s="7">
        <f>U52*0.00045414</f>
        <v/>
      </c>
      <c r="AY52" s="7">
        <f>V52*0.00045414</f>
        <v/>
      </c>
      <c r="AZ52" s="7">
        <f>W52*0.00045414</f>
        <v/>
      </c>
      <c r="BA52" s="7">
        <f>X52*0.00045414</f>
        <v/>
      </c>
      <c r="BB52" s="7">
        <f>SUM(AD52:BA52)</f>
        <v/>
      </c>
    </row>
    <row r="53">
      <c r="A53" t="inlineStr">
        <is>
          <t>AMD-FWDREG-SSC</t>
        </is>
      </c>
      <c r="B53" t="inlineStr">
        <is>
          <t>Forward Regular OSC</t>
        </is>
      </c>
      <c r="C53" s="5" t="n">
        <v>46100</v>
      </c>
      <c r="D53" s="6">
        <f>Summary!D53</f>
        <v/>
      </c>
      <c r="E53" s="6">
        <f>Summary!E53</f>
        <v/>
      </c>
      <c r="F53" s="6">
        <f>Summary!F53</f>
        <v/>
      </c>
      <c r="G53" s="6">
        <f>Summary!G53</f>
        <v/>
      </c>
      <c r="H53" s="6">
        <f>Summary!H53</f>
        <v/>
      </c>
      <c r="I53" s="6">
        <f>Summary!I53</f>
        <v/>
      </c>
      <c r="J53" s="6">
        <f>Summary!J53</f>
        <v/>
      </c>
      <c r="K53" s="6">
        <f>Summary!K53</f>
        <v/>
      </c>
      <c r="L53" s="6">
        <f>Summary!L53</f>
        <v/>
      </c>
      <c r="M53" s="6">
        <f>Summary!M53</f>
        <v/>
      </c>
      <c r="N53" s="6">
        <f>Summary!N53</f>
        <v/>
      </c>
      <c r="O53" s="6">
        <f>Summary!O53</f>
        <v/>
      </c>
      <c r="P53" s="6">
        <f>Summary!P53</f>
        <v/>
      </c>
      <c r="Q53" s="6">
        <f>Summary!Q53</f>
        <v/>
      </c>
      <c r="R53" s="6">
        <f>Summary!R53</f>
        <v/>
      </c>
      <c r="S53" s="6">
        <f>Summary!S53</f>
        <v/>
      </c>
      <c r="T53" s="6">
        <f>Summary!T53</f>
        <v/>
      </c>
      <c r="U53" s="6">
        <f>Summary!U53</f>
        <v/>
      </c>
      <c r="V53" s="6">
        <f>Summary!V53</f>
        <v/>
      </c>
      <c r="W53" s="6">
        <f>Summary!W53</f>
        <v/>
      </c>
      <c r="X53" s="6">
        <f>Summary!X53</f>
        <v/>
      </c>
      <c r="Y53" s="6">
        <f>Summary!Y53</f>
        <v/>
      </c>
      <c r="Z53" s="6">
        <f>Summary!Z53</f>
        <v/>
      </c>
      <c r="AA53" s="6">
        <f>Summary!AA53</f>
        <v/>
      </c>
      <c r="AB53" s="6">
        <f>SUM(D53:AA53)</f>
        <v/>
      </c>
      <c r="AC53" s="3" t="inlineStr"/>
      <c r="AD53" s="7">
        <f>Y53*0.00045414</f>
        <v/>
      </c>
      <c r="AE53" s="7">
        <f>Z53*0.00045414</f>
        <v/>
      </c>
      <c r="AF53" s="7">
        <f>AA53*0.00045414</f>
        <v/>
      </c>
      <c r="AG53" s="7">
        <f>D53*0.00045414</f>
        <v/>
      </c>
      <c r="AH53" s="7">
        <f>E53*0.00045414</f>
        <v/>
      </c>
      <c r="AI53" s="7">
        <f>F53*0.00045414</f>
        <v/>
      </c>
      <c r="AJ53" s="7">
        <f>G53*0.00045414</f>
        <v/>
      </c>
      <c r="AK53" s="7">
        <f>H53*0.00045414</f>
        <v/>
      </c>
      <c r="AL53" s="7">
        <f>I53*0.00045414</f>
        <v/>
      </c>
      <c r="AM53" s="7">
        <f>J53*0.00045414</f>
        <v/>
      </c>
      <c r="AN53" s="7">
        <f>K53*0.00045414</f>
        <v/>
      </c>
      <c r="AO53" s="7">
        <f>L53*0.00045414</f>
        <v/>
      </c>
      <c r="AP53" s="7">
        <f>M53*0.00045414</f>
        <v/>
      </c>
      <c r="AQ53" s="7">
        <f>N53*0.00045414</f>
        <v/>
      </c>
      <c r="AR53" s="7">
        <f>O53*0.00045414</f>
        <v/>
      </c>
      <c r="AS53" s="7">
        <f>P53*0.00045414</f>
        <v/>
      </c>
      <c r="AT53" s="7">
        <f>Q53*0.00045414</f>
        <v/>
      </c>
      <c r="AU53" s="7">
        <f>R53*0.00045414</f>
        <v/>
      </c>
      <c r="AV53" s="7">
        <f>S53*0.00045414</f>
        <v/>
      </c>
      <c r="AW53" s="7">
        <f>T53*0.00045414</f>
        <v/>
      </c>
      <c r="AX53" s="7">
        <f>U53*0.00045414</f>
        <v/>
      </c>
      <c r="AY53" s="7">
        <f>V53*0.00045414</f>
        <v/>
      </c>
      <c r="AZ53" s="7">
        <f>W53*0.00045414</f>
        <v/>
      </c>
      <c r="BA53" s="7">
        <f>X53*0.00045414</f>
        <v/>
      </c>
      <c r="BB53" s="7">
        <f>SUM(AD53:BA53)</f>
        <v/>
      </c>
    </row>
    <row r="54">
      <c r="A54" t="inlineStr">
        <is>
          <t>AMD-FWDREG-SSC</t>
        </is>
      </c>
      <c r="B54" t="inlineStr">
        <is>
          <t>Forward Regular OSC</t>
        </is>
      </c>
      <c r="C54" s="5" t="n">
        <v>46101</v>
      </c>
      <c r="D54" s="6">
        <f>Summary!D54</f>
        <v/>
      </c>
      <c r="E54" s="6">
        <f>Summary!E54</f>
        <v/>
      </c>
      <c r="F54" s="6">
        <f>Summary!F54</f>
        <v/>
      </c>
      <c r="G54" s="6">
        <f>Summary!G54</f>
        <v/>
      </c>
      <c r="H54" s="6">
        <f>Summary!H54</f>
        <v/>
      </c>
      <c r="I54" s="6">
        <f>Summary!I54</f>
        <v/>
      </c>
      <c r="J54" s="6">
        <f>Summary!J54</f>
        <v/>
      </c>
      <c r="K54" s="6">
        <f>Summary!K54</f>
        <v/>
      </c>
      <c r="L54" s="6">
        <f>Summary!L54</f>
        <v/>
      </c>
      <c r="M54" s="6">
        <f>Summary!M54</f>
        <v/>
      </c>
      <c r="N54" s="6">
        <f>Summary!N54</f>
        <v/>
      </c>
      <c r="O54" s="6">
        <f>Summary!O54</f>
        <v/>
      </c>
      <c r="P54" s="6">
        <f>Summary!P54</f>
        <v/>
      </c>
      <c r="Q54" s="6">
        <f>Summary!Q54</f>
        <v/>
      </c>
      <c r="R54" s="6">
        <f>Summary!R54</f>
        <v/>
      </c>
      <c r="S54" s="6">
        <f>Summary!S54</f>
        <v/>
      </c>
      <c r="T54" s="6">
        <f>Summary!T54</f>
        <v/>
      </c>
      <c r="U54" s="6">
        <f>Summary!U54</f>
        <v/>
      </c>
      <c r="V54" s="6">
        <f>Summary!V54</f>
        <v/>
      </c>
      <c r="W54" s="6">
        <f>Summary!W54</f>
        <v/>
      </c>
      <c r="X54" s="6">
        <f>Summary!X54</f>
        <v/>
      </c>
      <c r="Y54" s="6">
        <f>Summary!Y54</f>
        <v/>
      </c>
      <c r="Z54" s="6">
        <f>Summary!Z54</f>
        <v/>
      </c>
      <c r="AA54" s="6">
        <f>Summary!AA54</f>
        <v/>
      </c>
      <c r="AB54" s="6">
        <f>SUM(D54:AA54)</f>
        <v/>
      </c>
      <c r="AC54" s="3" t="inlineStr"/>
      <c r="AD54" s="7">
        <f>Y54*0.00045414</f>
        <v/>
      </c>
      <c r="AE54" s="7">
        <f>Z54*0.00045414</f>
        <v/>
      </c>
      <c r="AF54" s="7">
        <f>AA54*0.00045414</f>
        <v/>
      </c>
      <c r="AG54" s="7">
        <f>D54*0.00045414</f>
        <v/>
      </c>
      <c r="AH54" s="7">
        <f>E54*0.00045414</f>
        <v/>
      </c>
      <c r="AI54" s="7">
        <f>F54*0.00045414</f>
        <v/>
      </c>
      <c r="AJ54" s="7">
        <f>G54*0.00045414</f>
        <v/>
      </c>
      <c r="AK54" s="7">
        <f>H54*0.00045414</f>
        <v/>
      </c>
      <c r="AL54" s="7">
        <f>I54*0.00045414</f>
        <v/>
      </c>
      <c r="AM54" s="7">
        <f>J54*0.00045414</f>
        <v/>
      </c>
      <c r="AN54" s="7">
        <f>K54*0.00045414</f>
        <v/>
      </c>
      <c r="AO54" s="7">
        <f>L54*0.00045414</f>
        <v/>
      </c>
      <c r="AP54" s="7">
        <f>M54*0.00045414</f>
        <v/>
      </c>
      <c r="AQ54" s="7">
        <f>N54*0.00045414</f>
        <v/>
      </c>
      <c r="AR54" s="7">
        <f>O54*0.00045414</f>
        <v/>
      </c>
      <c r="AS54" s="7">
        <f>P54*0.00045414</f>
        <v/>
      </c>
      <c r="AT54" s="7">
        <f>Q54*0.00045414</f>
        <v/>
      </c>
      <c r="AU54" s="7">
        <f>R54*0.00045414</f>
        <v/>
      </c>
      <c r="AV54" s="7">
        <f>S54*0.00045414</f>
        <v/>
      </c>
      <c r="AW54" s="7">
        <f>T54*0.00045414</f>
        <v/>
      </c>
      <c r="AX54" s="7">
        <f>U54*0.00045414</f>
        <v/>
      </c>
      <c r="AY54" s="7">
        <f>V54*0.00045414</f>
        <v/>
      </c>
      <c r="AZ54" s="7">
        <f>W54*0.00045414</f>
        <v/>
      </c>
      <c r="BA54" s="7">
        <f>X54*0.00045414</f>
        <v/>
      </c>
      <c r="BB54" s="7">
        <f>SUM(AD54:BA54)</f>
        <v/>
      </c>
    </row>
    <row r="55">
      <c r="A55" t="inlineStr">
        <is>
          <t>AMD-FWDREG-SSC</t>
        </is>
      </c>
      <c r="B55" t="inlineStr">
        <is>
          <t>Forward Regular OSC</t>
        </is>
      </c>
      <c r="C55" s="5" t="n">
        <v>46102</v>
      </c>
      <c r="D55" s="6">
        <f>Summary!D55</f>
        <v/>
      </c>
      <c r="E55" s="6">
        <f>Summary!E55</f>
        <v/>
      </c>
      <c r="F55" s="6">
        <f>Summary!F55</f>
        <v/>
      </c>
      <c r="G55" s="6">
        <f>Summary!G55</f>
        <v/>
      </c>
      <c r="H55" s="6">
        <f>Summary!H55</f>
        <v/>
      </c>
      <c r="I55" s="6">
        <f>Summary!I55</f>
        <v/>
      </c>
      <c r="J55" s="6">
        <f>Summary!J55</f>
        <v/>
      </c>
      <c r="K55" s="6">
        <f>Summary!K55</f>
        <v/>
      </c>
      <c r="L55" s="6">
        <f>Summary!L55</f>
        <v/>
      </c>
      <c r="M55" s="6">
        <f>Summary!M55</f>
        <v/>
      </c>
      <c r="N55" s="6">
        <f>Summary!N55</f>
        <v/>
      </c>
      <c r="O55" s="6">
        <f>Summary!O55</f>
        <v/>
      </c>
      <c r="P55" s="6">
        <f>Summary!P55</f>
        <v/>
      </c>
      <c r="Q55" s="6">
        <f>Summary!Q55</f>
        <v/>
      </c>
      <c r="R55" s="6">
        <f>Summary!R55</f>
        <v/>
      </c>
      <c r="S55" s="6">
        <f>Summary!S55</f>
        <v/>
      </c>
      <c r="T55" s="6">
        <f>Summary!T55</f>
        <v/>
      </c>
      <c r="U55" s="6">
        <f>Summary!U55</f>
        <v/>
      </c>
      <c r="V55" s="6">
        <f>Summary!V55</f>
        <v/>
      </c>
      <c r="W55" s="6">
        <f>Summary!W55</f>
        <v/>
      </c>
      <c r="X55" s="6">
        <f>Summary!X55</f>
        <v/>
      </c>
      <c r="Y55" s="6">
        <f>Summary!Y55</f>
        <v/>
      </c>
      <c r="Z55" s="6">
        <f>Summary!Z55</f>
        <v/>
      </c>
      <c r="AA55" s="6">
        <f>Summary!AA55</f>
        <v/>
      </c>
      <c r="AB55" s="6">
        <f>SUM(D55:AA55)</f>
        <v/>
      </c>
      <c r="AC55" s="3" t="inlineStr"/>
      <c r="AD55" s="7">
        <f>Y55*0.00045414</f>
        <v/>
      </c>
      <c r="AE55" s="7">
        <f>Z55*0.00045414</f>
        <v/>
      </c>
      <c r="AF55" s="7">
        <f>AA55*0.00045414</f>
        <v/>
      </c>
      <c r="AG55" s="7">
        <f>D55*0.00045414</f>
        <v/>
      </c>
      <c r="AH55" s="7">
        <f>E55*0.00045414</f>
        <v/>
      </c>
      <c r="AI55" s="7">
        <f>F55*0.00045414</f>
        <v/>
      </c>
      <c r="AJ55" s="7">
        <f>G55*0.00045414</f>
        <v/>
      </c>
      <c r="AK55" s="7">
        <f>H55*0.00045414</f>
        <v/>
      </c>
      <c r="AL55" s="7">
        <f>I55*0.00045414</f>
        <v/>
      </c>
      <c r="AM55" s="7">
        <f>J55*0.00045414</f>
        <v/>
      </c>
      <c r="AN55" s="7">
        <f>K55*0.00045414</f>
        <v/>
      </c>
      <c r="AO55" s="7">
        <f>L55*0.00045414</f>
        <v/>
      </c>
      <c r="AP55" s="7">
        <f>M55*0.00045414</f>
        <v/>
      </c>
      <c r="AQ55" s="7">
        <f>N55*0.00045414</f>
        <v/>
      </c>
      <c r="AR55" s="7">
        <f>O55*0.00045414</f>
        <v/>
      </c>
      <c r="AS55" s="7">
        <f>P55*0.00045414</f>
        <v/>
      </c>
      <c r="AT55" s="7">
        <f>Q55*0.00045414</f>
        <v/>
      </c>
      <c r="AU55" s="7">
        <f>R55*0.00045414</f>
        <v/>
      </c>
      <c r="AV55" s="7">
        <f>S55*0.00045414</f>
        <v/>
      </c>
      <c r="AW55" s="7">
        <f>T55*0.00045414</f>
        <v/>
      </c>
      <c r="AX55" s="7">
        <f>U55*0.00045414</f>
        <v/>
      </c>
      <c r="AY55" s="7">
        <f>V55*0.00045414</f>
        <v/>
      </c>
      <c r="AZ55" s="7">
        <f>W55*0.00045414</f>
        <v/>
      </c>
      <c r="BA55" s="7">
        <f>X55*0.00045414</f>
        <v/>
      </c>
      <c r="BB55" s="7">
        <f>SUM(AD55:BA55)</f>
        <v/>
      </c>
    </row>
    <row r="56">
      <c r="A56" t="inlineStr">
        <is>
          <t>AMD-FWDREG-SSC</t>
        </is>
      </c>
      <c r="B56" t="inlineStr">
        <is>
          <t>Forward Regular OSC</t>
        </is>
      </c>
      <c r="C56" s="5" t="n">
        <v>46103</v>
      </c>
      <c r="D56" s="6">
        <f>Summary!D56</f>
        <v/>
      </c>
      <c r="E56" s="6">
        <f>Summary!E56</f>
        <v/>
      </c>
      <c r="F56" s="6">
        <f>Summary!F56</f>
        <v/>
      </c>
      <c r="G56" s="6">
        <f>Summary!G56</f>
        <v/>
      </c>
      <c r="H56" s="6">
        <f>Summary!H56</f>
        <v/>
      </c>
      <c r="I56" s="6">
        <f>Summary!I56</f>
        <v/>
      </c>
      <c r="J56" s="6">
        <f>Summary!J56</f>
        <v/>
      </c>
      <c r="K56" s="6">
        <f>Summary!K56</f>
        <v/>
      </c>
      <c r="L56" s="6">
        <f>Summary!L56</f>
        <v/>
      </c>
      <c r="M56" s="6">
        <f>Summary!M56</f>
        <v/>
      </c>
      <c r="N56" s="6">
        <f>Summary!N56</f>
        <v/>
      </c>
      <c r="O56" s="6">
        <f>Summary!O56</f>
        <v/>
      </c>
      <c r="P56" s="6">
        <f>Summary!P56</f>
        <v/>
      </c>
      <c r="Q56" s="6">
        <f>Summary!Q56</f>
        <v/>
      </c>
      <c r="R56" s="6">
        <f>Summary!R56</f>
        <v/>
      </c>
      <c r="S56" s="6">
        <f>Summary!S56</f>
        <v/>
      </c>
      <c r="T56" s="6">
        <f>Summary!T56</f>
        <v/>
      </c>
      <c r="U56" s="6">
        <f>Summary!U56</f>
        <v/>
      </c>
      <c r="V56" s="6">
        <f>Summary!V56</f>
        <v/>
      </c>
      <c r="W56" s="6">
        <f>Summary!W56</f>
        <v/>
      </c>
      <c r="X56" s="6">
        <f>Summary!X56</f>
        <v/>
      </c>
      <c r="Y56" s="6">
        <f>Summary!Y56</f>
        <v/>
      </c>
      <c r="Z56" s="6">
        <f>Summary!Z56</f>
        <v/>
      </c>
      <c r="AA56" s="6">
        <f>Summary!AA56</f>
        <v/>
      </c>
      <c r="AB56" s="6">
        <f>SUM(D56:AA56)</f>
        <v/>
      </c>
      <c r="AC56" s="3" t="inlineStr"/>
      <c r="AD56" s="7">
        <f>Y56*0.00045414</f>
        <v/>
      </c>
      <c r="AE56" s="7">
        <f>Z56*0.00045414</f>
        <v/>
      </c>
      <c r="AF56" s="7">
        <f>AA56*0.00045414</f>
        <v/>
      </c>
      <c r="AG56" s="7">
        <f>D56*0.00045414</f>
        <v/>
      </c>
      <c r="AH56" s="7">
        <f>E56*0.00045414</f>
        <v/>
      </c>
      <c r="AI56" s="7">
        <f>F56*0.00045414</f>
        <v/>
      </c>
      <c r="AJ56" s="7">
        <f>G56*0.00045414</f>
        <v/>
      </c>
      <c r="AK56" s="7">
        <f>H56*0.00045414</f>
        <v/>
      </c>
      <c r="AL56" s="7">
        <f>I56*0.00045414</f>
        <v/>
      </c>
      <c r="AM56" s="7">
        <f>J56*0.00045414</f>
        <v/>
      </c>
      <c r="AN56" s="7">
        <f>K56*0.00045414</f>
        <v/>
      </c>
      <c r="AO56" s="7">
        <f>L56*0.00045414</f>
        <v/>
      </c>
      <c r="AP56" s="7">
        <f>M56*0.00045414</f>
        <v/>
      </c>
      <c r="AQ56" s="7">
        <f>N56*0.00045414</f>
        <v/>
      </c>
      <c r="AR56" s="7">
        <f>O56*0.00045414</f>
        <v/>
      </c>
      <c r="AS56" s="7">
        <f>P56*0.00045414</f>
        <v/>
      </c>
      <c r="AT56" s="7">
        <f>Q56*0.00045414</f>
        <v/>
      </c>
      <c r="AU56" s="7">
        <f>R56*0.00045414</f>
        <v/>
      </c>
      <c r="AV56" s="7">
        <f>S56*0.00045414</f>
        <v/>
      </c>
      <c r="AW56" s="7">
        <f>T56*0.00045414</f>
        <v/>
      </c>
      <c r="AX56" s="7">
        <f>U56*0.00045414</f>
        <v/>
      </c>
      <c r="AY56" s="7">
        <f>V56*0.00045414</f>
        <v/>
      </c>
      <c r="AZ56" s="7">
        <f>W56*0.00045414</f>
        <v/>
      </c>
      <c r="BA56" s="7">
        <f>X56*0.00045414</f>
        <v/>
      </c>
      <c r="BB56" s="7">
        <f>SUM(AD56:BA56)</f>
        <v/>
      </c>
    </row>
    <row r="57">
      <c r="A57" t="inlineStr">
        <is>
          <t>AMD-FWDREG-SSC</t>
        </is>
      </c>
      <c r="B57" t="inlineStr">
        <is>
          <t>Forward Regular OSC</t>
        </is>
      </c>
      <c r="C57" s="5" t="n">
        <v>46104</v>
      </c>
      <c r="D57" s="6">
        <f>Summary!D57</f>
        <v/>
      </c>
      <c r="E57" s="6">
        <f>Summary!E57</f>
        <v/>
      </c>
      <c r="F57" s="6">
        <f>Summary!F57</f>
        <v/>
      </c>
      <c r="G57" s="6">
        <f>Summary!G57</f>
        <v/>
      </c>
      <c r="H57" s="6">
        <f>Summary!H57</f>
        <v/>
      </c>
      <c r="I57" s="6">
        <f>Summary!I57</f>
        <v/>
      </c>
      <c r="J57" s="6">
        <f>Summary!J57</f>
        <v/>
      </c>
      <c r="K57" s="6">
        <f>Summary!K57</f>
        <v/>
      </c>
      <c r="L57" s="6">
        <f>Summary!L57</f>
        <v/>
      </c>
      <c r="M57" s="6">
        <f>Summary!M57</f>
        <v/>
      </c>
      <c r="N57" s="6">
        <f>Summary!N57</f>
        <v/>
      </c>
      <c r="O57" s="6">
        <f>Summary!O57</f>
        <v/>
      </c>
      <c r="P57" s="6">
        <f>Summary!P57</f>
        <v/>
      </c>
      <c r="Q57" s="6">
        <f>Summary!Q57</f>
        <v/>
      </c>
      <c r="R57" s="6">
        <f>Summary!R57</f>
        <v/>
      </c>
      <c r="S57" s="6">
        <f>Summary!S57</f>
        <v/>
      </c>
      <c r="T57" s="6">
        <f>Summary!T57</f>
        <v/>
      </c>
      <c r="U57" s="6">
        <f>Summary!U57</f>
        <v/>
      </c>
      <c r="V57" s="6">
        <f>Summary!V57</f>
        <v/>
      </c>
      <c r="W57" s="6">
        <f>Summary!W57</f>
        <v/>
      </c>
      <c r="X57" s="6">
        <f>Summary!X57</f>
        <v/>
      </c>
      <c r="Y57" s="6">
        <f>Summary!Y57</f>
        <v/>
      </c>
      <c r="Z57" s="6">
        <f>Summary!Z57</f>
        <v/>
      </c>
      <c r="AA57" s="6">
        <f>Summary!AA57</f>
        <v/>
      </c>
      <c r="AB57" s="6">
        <f>SUM(D57:AA57)</f>
        <v/>
      </c>
      <c r="AC57" s="3" t="inlineStr"/>
      <c r="AD57" s="7">
        <f>Y57*0.00045414</f>
        <v/>
      </c>
      <c r="AE57" s="7">
        <f>Z57*0.00045414</f>
        <v/>
      </c>
      <c r="AF57" s="7">
        <f>AA57*0.00045414</f>
        <v/>
      </c>
      <c r="AG57" s="7">
        <f>D57*0.00045414</f>
        <v/>
      </c>
      <c r="AH57" s="7">
        <f>E57*0.00045414</f>
        <v/>
      </c>
      <c r="AI57" s="7">
        <f>F57*0.00045414</f>
        <v/>
      </c>
      <c r="AJ57" s="7">
        <f>G57*0.00045414</f>
        <v/>
      </c>
      <c r="AK57" s="7">
        <f>H57*0.00045414</f>
        <v/>
      </c>
      <c r="AL57" s="7">
        <f>I57*0.00045414</f>
        <v/>
      </c>
      <c r="AM57" s="7">
        <f>J57*0.00045414</f>
        <v/>
      </c>
      <c r="AN57" s="7">
        <f>K57*0.00045414</f>
        <v/>
      </c>
      <c r="AO57" s="7">
        <f>L57*0.00045414</f>
        <v/>
      </c>
      <c r="AP57" s="7">
        <f>M57*0.00045414</f>
        <v/>
      </c>
      <c r="AQ57" s="7">
        <f>N57*0.00045414</f>
        <v/>
      </c>
      <c r="AR57" s="7">
        <f>O57*0.00045414</f>
        <v/>
      </c>
      <c r="AS57" s="7">
        <f>P57*0.00045414</f>
        <v/>
      </c>
      <c r="AT57" s="7">
        <f>Q57*0.00045414</f>
        <v/>
      </c>
      <c r="AU57" s="7">
        <f>R57*0.00045414</f>
        <v/>
      </c>
      <c r="AV57" s="7">
        <f>S57*0.00045414</f>
        <v/>
      </c>
      <c r="AW57" s="7">
        <f>T57*0.00045414</f>
        <v/>
      </c>
      <c r="AX57" s="7">
        <f>U57*0.00045414</f>
        <v/>
      </c>
      <c r="AY57" s="7">
        <f>V57*0.00045414</f>
        <v/>
      </c>
      <c r="AZ57" s="7">
        <f>W57*0.00045414</f>
        <v/>
      </c>
      <c r="BA57" s="7">
        <f>X57*0.00045414</f>
        <v/>
      </c>
      <c r="BB57" s="7">
        <f>SUM(AD57:BA57)</f>
        <v/>
      </c>
    </row>
    <row r="58">
      <c r="A58" t="inlineStr">
        <is>
          <t>AMD-FWDREG-SSC</t>
        </is>
      </c>
      <c r="B58" t="inlineStr">
        <is>
          <t>Forward Regular OSC</t>
        </is>
      </c>
      <c r="C58" s="5" t="n">
        <v>46105</v>
      </c>
      <c r="D58" s="6">
        <f>Summary!D58</f>
        <v/>
      </c>
      <c r="E58" s="6">
        <f>Summary!E58</f>
        <v/>
      </c>
      <c r="F58" s="6">
        <f>Summary!F58</f>
        <v/>
      </c>
      <c r="G58" s="6">
        <f>Summary!G58</f>
        <v/>
      </c>
      <c r="H58" s="6">
        <f>Summary!H58</f>
        <v/>
      </c>
      <c r="I58" s="6">
        <f>Summary!I58</f>
        <v/>
      </c>
      <c r="J58" s="6">
        <f>Summary!J58</f>
        <v/>
      </c>
      <c r="K58" s="6">
        <f>Summary!K58</f>
        <v/>
      </c>
      <c r="L58" s="6">
        <f>Summary!L58</f>
        <v/>
      </c>
      <c r="M58" s="6">
        <f>Summary!M58</f>
        <v/>
      </c>
      <c r="N58" s="6">
        <f>Summary!N58</f>
        <v/>
      </c>
      <c r="O58" s="6">
        <f>Summary!O58</f>
        <v/>
      </c>
      <c r="P58" s="6">
        <f>Summary!P58</f>
        <v/>
      </c>
      <c r="Q58" s="6">
        <f>Summary!Q58</f>
        <v/>
      </c>
      <c r="R58" s="6">
        <f>Summary!R58</f>
        <v/>
      </c>
      <c r="S58" s="6">
        <f>Summary!S58</f>
        <v/>
      </c>
      <c r="T58" s="6">
        <f>Summary!T58</f>
        <v/>
      </c>
      <c r="U58" s="6">
        <f>Summary!U58</f>
        <v/>
      </c>
      <c r="V58" s="6">
        <f>Summary!V58</f>
        <v/>
      </c>
      <c r="W58" s="6">
        <f>Summary!W58</f>
        <v/>
      </c>
      <c r="X58" s="6">
        <f>Summary!X58</f>
        <v/>
      </c>
      <c r="Y58" s="6">
        <f>Summary!Y58</f>
        <v/>
      </c>
      <c r="Z58" s="6">
        <f>Summary!Z58</f>
        <v/>
      </c>
      <c r="AA58" s="6">
        <f>Summary!AA58</f>
        <v/>
      </c>
      <c r="AB58" s="6">
        <f>SUM(D58:AA58)</f>
        <v/>
      </c>
      <c r="AC58" s="3" t="inlineStr"/>
      <c r="AD58" s="7">
        <f>Y58*0.00045414</f>
        <v/>
      </c>
      <c r="AE58" s="7">
        <f>Z58*0.00045414</f>
        <v/>
      </c>
      <c r="AF58" s="7">
        <f>AA58*0.00045414</f>
        <v/>
      </c>
      <c r="AG58" s="7">
        <f>D58*0.00045414</f>
        <v/>
      </c>
      <c r="AH58" s="7">
        <f>E58*0.00045414</f>
        <v/>
      </c>
      <c r="AI58" s="7">
        <f>F58*0.00045414</f>
        <v/>
      </c>
      <c r="AJ58" s="7">
        <f>G58*0.00045414</f>
        <v/>
      </c>
      <c r="AK58" s="7">
        <f>H58*0.00045414</f>
        <v/>
      </c>
      <c r="AL58" s="7">
        <f>I58*0.00045414</f>
        <v/>
      </c>
      <c r="AM58" s="7">
        <f>J58*0.00045414</f>
        <v/>
      </c>
      <c r="AN58" s="7">
        <f>K58*0.00045414</f>
        <v/>
      </c>
      <c r="AO58" s="7">
        <f>L58*0.00045414</f>
        <v/>
      </c>
      <c r="AP58" s="7">
        <f>M58*0.00045414</f>
        <v/>
      </c>
      <c r="AQ58" s="7">
        <f>N58*0.00045414</f>
        <v/>
      </c>
      <c r="AR58" s="7">
        <f>O58*0.00045414</f>
        <v/>
      </c>
      <c r="AS58" s="7">
        <f>P58*0.00045414</f>
        <v/>
      </c>
      <c r="AT58" s="7">
        <f>Q58*0.00045414</f>
        <v/>
      </c>
      <c r="AU58" s="7">
        <f>R58*0.00045414</f>
        <v/>
      </c>
      <c r="AV58" s="7">
        <f>S58*0.00045414</f>
        <v/>
      </c>
      <c r="AW58" s="7">
        <f>T58*0.00045414</f>
        <v/>
      </c>
      <c r="AX58" s="7">
        <f>U58*0.00045414</f>
        <v/>
      </c>
      <c r="AY58" s="7">
        <f>V58*0.00045414</f>
        <v/>
      </c>
      <c r="AZ58" s="7">
        <f>W58*0.00045414</f>
        <v/>
      </c>
      <c r="BA58" s="7">
        <f>X58*0.00045414</f>
        <v/>
      </c>
      <c r="BB58" s="7">
        <f>SUM(AD58:BA58)</f>
        <v/>
      </c>
    </row>
    <row r="59">
      <c r="A59" t="inlineStr">
        <is>
          <t>AMD-INTRA-SSC</t>
        </is>
      </c>
      <c r="B59" t="inlineStr">
        <is>
          <t>Forward Regular OSC</t>
        </is>
      </c>
      <c r="C59" s="5" t="n">
        <v>46098</v>
      </c>
      <c r="D59" s="6">
        <f>Summary!D59</f>
        <v/>
      </c>
      <c r="E59" s="6">
        <f>Summary!E59</f>
        <v/>
      </c>
      <c r="F59" s="6">
        <f>Summary!F59</f>
        <v/>
      </c>
      <c r="G59" s="6">
        <f>Summary!G59</f>
        <v/>
      </c>
      <c r="H59" s="6">
        <f>Summary!H59</f>
        <v/>
      </c>
      <c r="I59" s="6">
        <f>Summary!I59</f>
        <v/>
      </c>
      <c r="J59" s="6">
        <f>Summary!J59</f>
        <v/>
      </c>
      <c r="K59" s="6">
        <f>Summary!K59</f>
        <v/>
      </c>
      <c r="L59" s="6">
        <f>Summary!L59</f>
        <v/>
      </c>
      <c r="M59" s="6">
        <f>Summary!M59</f>
        <v/>
      </c>
      <c r="N59" s="6">
        <f>Summary!N59</f>
        <v/>
      </c>
      <c r="O59" s="6">
        <f>Summary!O59</f>
        <v/>
      </c>
      <c r="P59" s="6">
        <f>Summary!P59</f>
        <v/>
      </c>
      <c r="Q59" s="6">
        <f>Summary!Q59</f>
        <v/>
      </c>
      <c r="R59" s="6">
        <f>Summary!R59</f>
        <v/>
      </c>
      <c r="S59" s="6">
        <f>Summary!S59</f>
        <v/>
      </c>
      <c r="T59" s="6">
        <f>Summary!T59</f>
        <v/>
      </c>
      <c r="U59" s="6">
        <f>Summary!U59</f>
        <v/>
      </c>
      <c r="V59" s="6">
        <f>Summary!V59</f>
        <v/>
      </c>
      <c r="W59" s="6">
        <f>Summary!W59</f>
        <v/>
      </c>
      <c r="X59" s="6">
        <f>Summary!X59</f>
        <v/>
      </c>
      <c r="Y59" s="6">
        <f>Summary!Y59</f>
        <v/>
      </c>
      <c r="Z59" s="6">
        <f>Summary!Z59</f>
        <v/>
      </c>
      <c r="AA59" s="6">
        <f>Summary!AA59</f>
        <v/>
      </c>
      <c r="AB59" s="6">
        <f>SUM(D59:AA59)</f>
        <v/>
      </c>
      <c r="AC59" s="3" t="inlineStr"/>
      <c r="AD59" s="7">
        <f>Y59*0.00045414</f>
        <v/>
      </c>
      <c r="AE59" s="7">
        <f>Z59*0.00045414</f>
        <v/>
      </c>
      <c r="AF59" s="7">
        <f>AA59*0.00045414</f>
        <v/>
      </c>
      <c r="AG59" s="7">
        <f>D59*0.00045414</f>
        <v/>
      </c>
      <c r="AH59" s="7">
        <f>E59*0.00045414</f>
        <v/>
      </c>
      <c r="AI59" s="7">
        <f>F59*0.00045414</f>
        <v/>
      </c>
      <c r="AJ59" s="7">
        <f>G59*0.00045414</f>
        <v/>
      </c>
      <c r="AK59" s="7">
        <f>H59*0.00045414</f>
        <v/>
      </c>
      <c r="AL59" s="7">
        <f>I59*0.00045414</f>
        <v/>
      </c>
      <c r="AM59" s="7">
        <f>J59*0.00045414</f>
        <v/>
      </c>
      <c r="AN59" s="7">
        <f>K59*0.00045414</f>
        <v/>
      </c>
      <c r="AO59" s="7">
        <f>L59*0.00045414</f>
        <v/>
      </c>
      <c r="AP59" s="7">
        <f>M59*0.00045414</f>
        <v/>
      </c>
      <c r="AQ59" s="7">
        <f>N59*0.00045414</f>
        <v/>
      </c>
      <c r="AR59" s="7">
        <f>O59*0.00045414</f>
        <v/>
      </c>
      <c r="AS59" s="7">
        <f>P59*0.00045414</f>
        <v/>
      </c>
      <c r="AT59" s="7">
        <f>Q59*0.00045414</f>
        <v/>
      </c>
      <c r="AU59" s="7">
        <f>R59*0.00045414</f>
        <v/>
      </c>
      <c r="AV59" s="7">
        <f>S59*0.00045414</f>
        <v/>
      </c>
      <c r="AW59" s="7">
        <f>T59*0.00045414</f>
        <v/>
      </c>
      <c r="AX59" s="7">
        <f>U59*0.00045414</f>
        <v/>
      </c>
      <c r="AY59" s="7">
        <f>V59*0.00045414</f>
        <v/>
      </c>
      <c r="AZ59" s="7">
        <f>W59*0.00045414</f>
        <v/>
      </c>
      <c r="BA59" s="7">
        <f>X59*0.00045414</f>
        <v/>
      </c>
      <c r="BB59" s="7">
        <f>SUM(AD59:BA59)</f>
        <v/>
      </c>
    </row>
    <row r="60">
      <c r="A60" t="inlineStr">
        <is>
          <t>AMD-INTRA-SSC</t>
        </is>
      </c>
      <c r="B60" t="inlineStr">
        <is>
          <t>Forward Regular OSC</t>
        </is>
      </c>
      <c r="C60" s="5" t="n">
        <v>46099</v>
      </c>
      <c r="D60" s="6">
        <f>Summary!D60</f>
        <v/>
      </c>
      <c r="E60" s="6">
        <f>Summary!E60</f>
        <v/>
      </c>
      <c r="F60" s="6">
        <f>Summary!F60</f>
        <v/>
      </c>
      <c r="G60" s="6">
        <f>Summary!G60</f>
        <v/>
      </c>
      <c r="H60" s="6">
        <f>Summary!H60</f>
        <v/>
      </c>
      <c r="I60" s="6">
        <f>Summary!I60</f>
        <v/>
      </c>
      <c r="J60" s="6">
        <f>Summary!J60</f>
        <v/>
      </c>
      <c r="K60" s="6">
        <f>Summary!K60</f>
        <v/>
      </c>
      <c r="L60" s="6">
        <f>Summary!L60</f>
        <v/>
      </c>
      <c r="M60" s="6">
        <f>Summary!M60</f>
        <v/>
      </c>
      <c r="N60" s="6">
        <f>Summary!N60</f>
        <v/>
      </c>
      <c r="O60" s="6">
        <f>Summary!O60</f>
        <v/>
      </c>
      <c r="P60" s="6">
        <f>Summary!P60</f>
        <v/>
      </c>
      <c r="Q60" s="6">
        <f>Summary!Q60</f>
        <v/>
      </c>
      <c r="R60" s="6">
        <f>Summary!R60</f>
        <v/>
      </c>
      <c r="S60" s="6">
        <f>Summary!S60</f>
        <v/>
      </c>
      <c r="T60" s="6">
        <f>Summary!T60</f>
        <v/>
      </c>
      <c r="U60" s="6">
        <f>Summary!U60</f>
        <v/>
      </c>
      <c r="V60" s="6">
        <f>Summary!V60</f>
        <v/>
      </c>
      <c r="W60" s="6">
        <f>Summary!W60</f>
        <v/>
      </c>
      <c r="X60" s="6">
        <f>Summary!X60</f>
        <v/>
      </c>
      <c r="Y60" s="6">
        <f>Summary!Y60</f>
        <v/>
      </c>
      <c r="Z60" s="6">
        <f>Summary!Z60</f>
        <v/>
      </c>
      <c r="AA60" s="6">
        <f>Summary!AA60</f>
        <v/>
      </c>
      <c r="AB60" s="6">
        <f>SUM(D60:AA60)</f>
        <v/>
      </c>
      <c r="AC60" s="3" t="inlineStr"/>
      <c r="AD60" s="7">
        <f>Y60*0.00045414</f>
        <v/>
      </c>
      <c r="AE60" s="7">
        <f>Z60*0.00045414</f>
        <v/>
      </c>
      <c r="AF60" s="7">
        <f>AA60*0.00045414</f>
        <v/>
      </c>
      <c r="AG60" s="7">
        <f>D60*0.00045414</f>
        <v/>
      </c>
      <c r="AH60" s="7">
        <f>E60*0.00045414</f>
        <v/>
      </c>
      <c r="AI60" s="7">
        <f>F60*0.00045414</f>
        <v/>
      </c>
      <c r="AJ60" s="7">
        <f>G60*0.00045414</f>
        <v/>
      </c>
      <c r="AK60" s="7">
        <f>H60*0.00045414</f>
        <v/>
      </c>
      <c r="AL60" s="7">
        <f>I60*0.00045414</f>
        <v/>
      </c>
      <c r="AM60" s="7">
        <f>J60*0.00045414</f>
        <v/>
      </c>
      <c r="AN60" s="7">
        <f>K60*0.00045414</f>
        <v/>
      </c>
      <c r="AO60" s="7">
        <f>L60*0.00045414</f>
        <v/>
      </c>
      <c r="AP60" s="7">
        <f>M60*0.00045414</f>
        <v/>
      </c>
      <c r="AQ60" s="7">
        <f>N60*0.00045414</f>
        <v/>
      </c>
      <c r="AR60" s="7">
        <f>O60*0.00045414</f>
        <v/>
      </c>
      <c r="AS60" s="7">
        <f>P60*0.00045414</f>
        <v/>
      </c>
      <c r="AT60" s="7">
        <f>Q60*0.00045414</f>
        <v/>
      </c>
      <c r="AU60" s="7">
        <f>R60*0.00045414</f>
        <v/>
      </c>
      <c r="AV60" s="7">
        <f>S60*0.00045414</f>
        <v/>
      </c>
      <c r="AW60" s="7">
        <f>T60*0.00045414</f>
        <v/>
      </c>
      <c r="AX60" s="7">
        <f>U60*0.00045414</f>
        <v/>
      </c>
      <c r="AY60" s="7">
        <f>V60*0.00045414</f>
        <v/>
      </c>
      <c r="AZ60" s="7">
        <f>W60*0.00045414</f>
        <v/>
      </c>
      <c r="BA60" s="7">
        <f>X60*0.00045414</f>
        <v/>
      </c>
      <c r="BB60" s="7">
        <f>SUM(AD60:BA60)</f>
        <v/>
      </c>
    </row>
    <row r="61">
      <c r="A61" t="inlineStr">
        <is>
          <t>AMD-INTRA-SSC</t>
        </is>
      </c>
      <c r="B61" t="inlineStr">
        <is>
          <t>Forward Regular OSC</t>
        </is>
      </c>
      <c r="C61" s="5" t="n">
        <v>46100</v>
      </c>
      <c r="D61" s="6">
        <f>Summary!D61</f>
        <v/>
      </c>
      <c r="E61" s="6">
        <f>Summary!E61</f>
        <v/>
      </c>
      <c r="F61" s="6">
        <f>Summary!F61</f>
        <v/>
      </c>
      <c r="G61" s="6">
        <f>Summary!G61</f>
        <v/>
      </c>
      <c r="H61" s="6">
        <f>Summary!H61</f>
        <v/>
      </c>
      <c r="I61" s="6">
        <f>Summary!I61</f>
        <v/>
      </c>
      <c r="J61" s="6">
        <f>Summary!J61</f>
        <v/>
      </c>
      <c r="K61" s="6">
        <f>Summary!K61</f>
        <v/>
      </c>
      <c r="L61" s="6">
        <f>Summary!L61</f>
        <v/>
      </c>
      <c r="M61" s="6">
        <f>Summary!M61</f>
        <v/>
      </c>
      <c r="N61" s="6">
        <f>Summary!N61</f>
        <v/>
      </c>
      <c r="O61" s="6">
        <f>Summary!O61</f>
        <v/>
      </c>
      <c r="P61" s="6">
        <f>Summary!P61</f>
        <v/>
      </c>
      <c r="Q61" s="6">
        <f>Summary!Q61</f>
        <v/>
      </c>
      <c r="R61" s="6">
        <f>Summary!R61</f>
        <v/>
      </c>
      <c r="S61" s="6">
        <f>Summary!S61</f>
        <v/>
      </c>
      <c r="T61" s="6">
        <f>Summary!T61</f>
        <v/>
      </c>
      <c r="U61" s="6">
        <f>Summary!U61</f>
        <v/>
      </c>
      <c r="V61" s="6">
        <f>Summary!V61</f>
        <v/>
      </c>
      <c r="W61" s="6">
        <f>Summary!W61</f>
        <v/>
      </c>
      <c r="X61" s="6">
        <f>Summary!X61</f>
        <v/>
      </c>
      <c r="Y61" s="6">
        <f>Summary!Y61</f>
        <v/>
      </c>
      <c r="Z61" s="6">
        <f>Summary!Z61</f>
        <v/>
      </c>
      <c r="AA61" s="6">
        <f>Summary!AA61</f>
        <v/>
      </c>
      <c r="AB61" s="6">
        <f>SUM(D61:AA61)</f>
        <v/>
      </c>
      <c r="AC61" s="3" t="inlineStr"/>
      <c r="AD61" s="7">
        <f>Y61*0.00045414</f>
        <v/>
      </c>
      <c r="AE61" s="7">
        <f>Z61*0.00045414</f>
        <v/>
      </c>
      <c r="AF61" s="7">
        <f>AA61*0.00045414</f>
        <v/>
      </c>
      <c r="AG61" s="7">
        <f>D61*0.00045414</f>
        <v/>
      </c>
      <c r="AH61" s="7">
        <f>E61*0.00045414</f>
        <v/>
      </c>
      <c r="AI61" s="7">
        <f>F61*0.00045414</f>
        <v/>
      </c>
      <c r="AJ61" s="7">
        <f>G61*0.00045414</f>
        <v/>
      </c>
      <c r="AK61" s="7">
        <f>H61*0.00045414</f>
        <v/>
      </c>
      <c r="AL61" s="7">
        <f>I61*0.00045414</f>
        <v/>
      </c>
      <c r="AM61" s="7">
        <f>J61*0.00045414</f>
        <v/>
      </c>
      <c r="AN61" s="7">
        <f>K61*0.00045414</f>
        <v/>
      </c>
      <c r="AO61" s="7">
        <f>L61*0.00045414</f>
        <v/>
      </c>
      <c r="AP61" s="7">
        <f>M61*0.00045414</f>
        <v/>
      </c>
      <c r="AQ61" s="7">
        <f>N61*0.00045414</f>
        <v/>
      </c>
      <c r="AR61" s="7">
        <f>O61*0.00045414</f>
        <v/>
      </c>
      <c r="AS61" s="7">
        <f>P61*0.00045414</f>
        <v/>
      </c>
      <c r="AT61" s="7">
        <f>Q61*0.00045414</f>
        <v/>
      </c>
      <c r="AU61" s="7">
        <f>R61*0.00045414</f>
        <v/>
      </c>
      <c r="AV61" s="7">
        <f>S61*0.00045414</f>
        <v/>
      </c>
      <c r="AW61" s="7">
        <f>T61*0.00045414</f>
        <v/>
      </c>
      <c r="AX61" s="7">
        <f>U61*0.00045414</f>
        <v/>
      </c>
      <c r="AY61" s="7">
        <f>V61*0.00045414</f>
        <v/>
      </c>
      <c r="AZ61" s="7">
        <f>W61*0.00045414</f>
        <v/>
      </c>
      <c r="BA61" s="7">
        <f>X61*0.00045414</f>
        <v/>
      </c>
      <c r="BB61" s="7">
        <f>SUM(AD61:BA61)</f>
        <v/>
      </c>
    </row>
    <row r="62">
      <c r="A62" t="inlineStr">
        <is>
          <t>AMD-INTRA-SSC</t>
        </is>
      </c>
      <c r="B62" t="inlineStr">
        <is>
          <t>Forward Regular OSC</t>
        </is>
      </c>
      <c r="C62" s="5" t="n">
        <v>46101</v>
      </c>
      <c r="D62" s="6">
        <f>Summary!D62</f>
        <v/>
      </c>
      <c r="E62" s="6">
        <f>Summary!E62</f>
        <v/>
      </c>
      <c r="F62" s="6">
        <f>Summary!F62</f>
        <v/>
      </c>
      <c r="G62" s="6">
        <f>Summary!G62</f>
        <v/>
      </c>
      <c r="H62" s="6">
        <f>Summary!H62</f>
        <v/>
      </c>
      <c r="I62" s="6">
        <f>Summary!I62</f>
        <v/>
      </c>
      <c r="J62" s="6">
        <f>Summary!J62</f>
        <v/>
      </c>
      <c r="K62" s="6">
        <f>Summary!K62</f>
        <v/>
      </c>
      <c r="L62" s="6">
        <f>Summary!L62</f>
        <v/>
      </c>
      <c r="M62" s="6">
        <f>Summary!M62</f>
        <v/>
      </c>
      <c r="N62" s="6">
        <f>Summary!N62</f>
        <v/>
      </c>
      <c r="O62" s="6">
        <f>Summary!O62</f>
        <v/>
      </c>
      <c r="P62" s="6">
        <f>Summary!P62</f>
        <v/>
      </c>
      <c r="Q62" s="6">
        <f>Summary!Q62</f>
        <v/>
      </c>
      <c r="R62" s="6">
        <f>Summary!R62</f>
        <v/>
      </c>
      <c r="S62" s="6">
        <f>Summary!S62</f>
        <v/>
      </c>
      <c r="T62" s="6">
        <f>Summary!T62</f>
        <v/>
      </c>
      <c r="U62" s="6">
        <f>Summary!U62</f>
        <v/>
      </c>
      <c r="V62" s="6">
        <f>Summary!V62</f>
        <v/>
      </c>
      <c r="W62" s="6">
        <f>Summary!W62</f>
        <v/>
      </c>
      <c r="X62" s="6">
        <f>Summary!X62</f>
        <v/>
      </c>
      <c r="Y62" s="6">
        <f>Summary!Y62</f>
        <v/>
      </c>
      <c r="Z62" s="6">
        <f>Summary!Z62</f>
        <v/>
      </c>
      <c r="AA62" s="6">
        <f>Summary!AA62</f>
        <v/>
      </c>
      <c r="AB62" s="6">
        <f>SUM(D62:AA62)</f>
        <v/>
      </c>
      <c r="AC62" s="3" t="inlineStr"/>
      <c r="AD62" s="7">
        <f>Y62*0.00045414</f>
        <v/>
      </c>
      <c r="AE62" s="7">
        <f>Z62*0.00045414</f>
        <v/>
      </c>
      <c r="AF62" s="7">
        <f>AA62*0.00045414</f>
        <v/>
      </c>
      <c r="AG62" s="7">
        <f>D62*0.00045414</f>
        <v/>
      </c>
      <c r="AH62" s="7">
        <f>E62*0.00045414</f>
        <v/>
      </c>
      <c r="AI62" s="7">
        <f>F62*0.00045414</f>
        <v/>
      </c>
      <c r="AJ62" s="7">
        <f>G62*0.00045414</f>
        <v/>
      </c>
      <c r="AK62" s="7">
        <f>H62*0.00045414</f>
        <v/>
      </c>
      <c r="AL62" s="7">
        <f>I62*0.00045414</f>
        <v/>
      </c>
      <c r="AM62" s="7">
        <f>J62*0.00045414</f>
        <v/>
      </c>
      <c r="AN62" s="7">
        <f>K62*0.00045414</f>
        <v/>
      </c>
      <c r="AO62" s="7">
        <f>L62*0.00045414</f>
        <v/>
      </c>
      <c r="AP62" s="7">
        <f>M62*0.00045414</f>
        <v/>
      </c>
      <c r="AQ62" s="7">
        <f>N62*0.00045414</f>
        <v/>
      </c>
      <c r="AR62" s="7">
        <f>O62*0.00045414</f>
        <v/>
      </c>
      <c r="AS62" s="7">
        <f>P62*0.00045414</f>
        <v/>
      </c>
      <c r="AT62" s="7">
        <f>Q62*0.00045414</f>
        <v/>
      </c>
      <c r="AU62" s="7">
        <f>R62*0.00045414</f>
        <v/>
      </c>
      <c r="AV62" s="7">
        <f>S62*0.00045414</f>
        <v/>
      </c>
      <c r="AW62" s="7">
        <f>T62*0.00045414</f>
        <v/>
      </c>
      <c r="AX62" s="7">
        <f>U62*0.00045414</f>
        <v/>
      </c>
      <c r="AY62" s="7">
        <f>V62*0.00045414</f>
        <v/>
      </c>
      <c r="AZ62" s="7">
        <f>W62*0.00045414</f>
        <v/>
      </c>
      <c r="BA62" s="7">
        <f>X62*0.00045414</f>
        <v/>
      </c>
      <c r="BB62" s="7">
        <f>SUM(AD62:BA62)</f>
        <v/>
      </c>
    </row>
    <row r="63">
      <c r="A63" t="inlineStr">
        <is>
          <t>AMD-INTRA-SSC</t>
        </is>
      </c>
      <c r="B63" t="inlineStr">
        <is>
          <t>Forward Regular OSC</t>
        </is>
      </c>
      <c r="C63" s="5" t="n">
        <v>46102</v>
      </c>
      <c r="D63" s="6">
        <f>Summary!D63</f>
        <v/>
      </c>
      <c r="E63" s="6">
        <f>Summary!E63</f>
        <v/>
      </c>
      <c r="F63" s="6">
        <f>Summary!F63</f>
        <v/>
      </c>
      <c r="G63" s="6">
        <f>Summary!G63</f>
        <v/>
      </c>
      <c r="H63" s="6">
        <f>Summary!H63</f>
        <v/>
      </c>
      <c r="I63" s="6">
        <f>Summary!I63</f>
        <v/>
      </c>
      <c r="J63" s="6">
        <f>Summary!J63</f>
        <v/>
      </c>
      <c r="K63" s="6">
        <f>Summary!K63</f>
        <v/>
      </c>
      <c r="L63" s="6">
        <f>Summary!L63</f>
        <v/>
      </c>
      <c r="M63" s="6">
        <f>Summary!M63</f>
        <v/>
      </c>
      <c r="N63" s="6">
        <f>Summary!N63</f>
        <v/>
      </c>
      <c r="O63" s="6">
        <f>Summary!O63</f>
        <v/>
      </c>
      <c r="P63" s="6">
        <f>Summary!P63</f>
        <v/>
      </c>
      <c r="Q63" s="6">
        <f>Summary!Q63</f>
        <v/>
      </c>
      <c r="R63" s="6">
        <f>Summary!R63</f>
        <v/>
      </c>
      <c r="S63" s="6">
        <f>Summary!S63</f>
        <v/>
      </c>
      <c r="T63" s="6">
        <f>Summary!T63</f>
        <v/>
      </c>
      <c r="U63" s="6">
        <f>Summary!U63</f>
        <v/>
      </c>
      <c r="V63" s="6">
        <f>Summary!V63</f>
        <v/>
      </c>
      <c r="W63" s="6">
        <f>Summary!W63</f>
        <v/>
      </c>
      <c r="X63" s="6">
        <f>Summary!X63</f>
        <v/>
      </c>
      <c r="Y63" s="6">
        <f>Summary!Y63</f>
        <v/>
      </c>
      <c r="Z63" s="6">
        <f>Summary!Z63</f>
        <v/>
      </c>
      <c r="AA63" s="6">
        <f>Summary!AA63</f>
        <v/>
      </c>
      <c r="AB63" s="6">
        <f>SUM(D63:AA63)</f>
        <v/>
      </c>
      <c r="AC63" s="3" t="inlineStr"/>
      <c r="AD63" s="7">
        <f>Y63*0.00045414</f>
        <v/>
      </c>
      <c r="AE63" s="7">
        <f>Z63*0.00045414</f>
        <v/>
      </c>
      <c r="AF63" s="7">
        <f>AA63*0.00045414</f>
        <v/>
      </c>
      <c r="AG63" s="7">
        <f>D63*0.00045414</f>
        <v/>
      </c>
      <c r="AH63" s="7">
        <f>E63*0.00045414</f>
        <v/>
      </c>
      <c r="AI63" s="7">
        <f>F63*0.00045414</f>
        <v/>
      </c>
      <c r="AJ63" s="7">
        <f>G63*0.00045414</f>
        <v/>
      </c>
      <c r="AK63" s="7">
        <f>H63*0.00045414</f>
        <v/>
      </c>
      <c r="AL63" s="7">
        <f>I63*0.00045414</f>
        <v/>
      </c>
      <c r="AM63" s="7">
        <f>J63*0.00045414</f>
        <v/>
      </c>
      <c r="AN63" s="7">
        <f>K63*0.00045414</f>
        <v/>
      </c>
      <c r="AO63" s="7">
        <f>L63*0.00045414</f>
        <v/>
      </c>
      <c r="AP63" s="7">
        <f>M63*0.00045414</f>
        <v/>
      </c>
      <c r="AQ63" s="7">
        <f>N63*0.00045414</f>
        <v/>
      </c>
      <c r="AR63" s="7">
        <f>O63*0.00045414</f>
        <v/>
      </c>
      <c r="AS63" s="7">
        <f>P63*0.00045414</f>
        <v/>
      </c>
      <c r="AT63" s="7">
        <f>Q63*0.00045414</f>
        <v/>
      </c>
      <c r="AU63" s="7">
        <f>R63*0.00045414</f>
        <v/>
      </c>
      <c r="AV63" s="7">
        <f>S63*0.00045414</f>
        <v/>
      </c>
      <c r="AW63" s="7">
        <f>T63*0.00045414</f>
        <v/>
      </c>
      <c r="AX63" s="7">
        <f>U63*0.00045414</f>
        <v/>
      </c>
      <c r="AY63" s="7">
        <f>V63*0.00045414</f>
        <v/>
      </c>
      <c r="AZ63" s="7">
        <f>W63*0.00045414</f>
        <v/>
      </c>
      <c r="BA63" s="7">
        <f>X63*0.00045414</f>
        <v/>
      </c>
      <c r="BB63" s="7">
        <f>SUM(AD63:BA63)</f>
        <v/>
      </c>
    </row>
    <row r="64">
      <c r="A64" t="inlineStr">
        <is>
          <t>AMD-INTRA-SSC</t>
        </is>
      </c>
      <c r="B64" t="inlineStr">
        <is>
          <t>Forward Regular OSC</t>
        </is>
      </c>
      <c r="C64" s="5" t="n">
        <v>46103</v>
      </c>
      <c r="D64" s="6">
        <f>Summary!D64</f>
        <v/>
      </c>
      <c r="E64" s="6">
        <f>Summary!E64</f>
        <v/>
      </c>
      <c r="F64" s="6">
        <f>Summary!F64</f>
        <v/>
      </c>
      <c r="G64" s="6">
        <f>Summary!G64</f>
        <v/>
      </c>
      <c r="H64" s="6">
        <f>Summary!H64</f>
        <v/>
      </c>
      <c r="I64" s="6">
        <f>Summary!I64</f>
        <v/>
      </c>
      <c r="J64" s="6">
        <f>Summary!J64</f>
        <v/>
      </c>
      <c r="K64" s="6">
        <f>Summary!K64</f>
        <v/>
      </c>
      <c r="L64" s="6">
        <f>Summary!L64</f>
        <v/>
      </c>
      <c r="M64" s="6">
        <f>Summary!M64</f>
        <v/>
      </c>
      <c r="N64" s="6">
        <f>Summary!N64</f>
        <v/>
      </c>
      <c r="O64" s="6">
        <f>Summary!O64</f>
        <v/>
      </c>
      <c r="P64" s="6">
        <f>Summary!P64</f>
        <v/>
      </c>
      <c r="Q64" s="6">
        <f>Summary!Q64</f>
        <v/>
      </c>
      <c r="R64" s="6">
        <f>Summary!R64</f>
        <v/>
      </c>
      <c r="S64" s="6">
        <f>Summary!S64</f>
        <v/>
      </c>
      <c r="T64" s="6">
        <f>Summary!T64</f>
        <v/>
      </c>
      <c r="U64" s="6">
        <f>Summary!U64</f>
        <v/>
      </c>
      <c r="V64" s="6">
        <f>Summary!V64</f>
        <v/>
      </c>
      <c r="W64" s="6">
        <f>Summary!W64</f>
        <v/>
      </c>
      <c r="X64" s="6">
        <f>Summary!X64</f>
        <v/>
      </c>
      <c r="Y64" s="6">
        <f>Summary!Y64</f>
        <v/>
      </c>
      <c r="Z64" s="6">
        <f>Summary!Z64</f>
        <v/>
      </c>
      <c r="AA64" s="6">
        <f>Summary!AA64</f>
        <v/>
      </c>
      <c r="AB64" s="6">
        <f>SUM(D64:AA64)</f>
        <v/>
      </c>
      <c r="AC64" s="3" t="inlineStr"/>
      <c r="AD64" s="7">
        <f>Y64*0.00045414</f>
        <v/>
      </c>
      <c r="AE64" s="7">
        <f>Z64*0.00045414</f>
        <v/>
      </c>
      <c r="AF64" s="7">
        <f>AA64*0.00045414</f>
        <v/>
      </c>
      <c r="AG64" s="7">
        <f>D64*0.00045414</f>
        <v/>
      </c>
      <c r="AH64" s="7">
        <f>E64*0.00045414</f>
        <v/>
      </c>
      <c r="AI64" s="7">
        <f>F64*0.00045414</f>
        <v/>
      </c>
      <c r="AJ64" s="7">
        <f>G64*0.00045414</f>
        <v/>
      </c>
      <c r="AK64" s="7">
        <f>H64*0.00045414</f>
        <v/>
      </c>
      <c r="AL64" s="7">
        <f>I64*0.00045414</f>
        <v/>
      </c>
      <c r="AM64" s="7">
        <f>J64*0.00045414</f>
        <v/>
      </c>
      <c r="AN64" s="7">
        <f>K64*0.00045414</f>
        <v/>
      </c>
      <c r="AO64" s="7">
        <f>L64*0.00045414</f>
        <v/>
      </c>
      <c r="AP64" s="7">
        <f>M64*0.00045414</f>
        <v/>
      </c>
      <c r="AQ64" s="7">
        <f>N64*0.00045414</f>
        <v/>
      </c>
      <c r="AR64" s="7">
        <f>O64*0.00045414</f>
        <v/>
      </c>
      <c r="AS64" s="7">
        <f>P64*0.00045414</f>
        <v/>
      </c>
      <c r="AT64" s="7">
        <f>Q64*0.00045414</f>
        <v/>
      </c>
      <c r="AU64" s="7">
        <f>R64*0.00045414</f>
        <v/>
      </c>
      <c r="AV64" s="7">
        <f>S64*0.00045414</f>
        <v/>
      </c>
      <c r="AW64" s="7">
        <f>T64*0.00045414</f>
        <v/>
      </c>
      <c r="AX64" s="7">
        <f>U64*0.00045414</f>
        <v/>
      </c>
      <c r="AY64" s="7">
        <f>V64*0.00045414</f>
        <v/>
      </c>
      <c r="AZ64" s="7">
        <f>W64*0.00045414</f>
        <v/>
      </c>
      <c r="BA64" s="7">
        <f>X64*0.00045414</f>
        <v/>
      </c>
      <c r="BB64" s="7">
        <f>SUM(AD64:BA64)</f>
        <v/>
      </c>
    </row>
    <row r="65">
      <c r="A65" t="inlineStr">
        <is>
          <t>AMD-INTRA-SSC</t>
        </is>
      </c>
      <c r="B65" t="inlineStr">
        <is>
          <t>Forward Regular OSC</t>
        </is>
      </c>
      <c r="C65" s="5" t="n">
        <v>46104</v>
      </c>
      <c r="D65" s="6">
        <f>Summary!D65</f>
        <v/>
      </c>
      <c r="E65" s="6">
        <f>Summary!E65</f>
        <v/>
      </c>
      <c r="F65" s="6">
        <f>Summary!F65</f>
        <v/>
      </c>
      <c r="G65" s="6">
        <f>Summary!G65</f>
        <v/>
      </c>
      <c r="H65" s="6">
        <f>Summary!H65</f>
        <v/>
      </c>
      <c r="I65" s="6">
        <f>Summary!I65</f>
        <v/>
      </c>
      <c r="J65" s="6">
        <f>Summary!J65</f>
        <v/>
      </c>
      <c r="K65" s="6">
        <f>Summary!K65</f>
        <v/>
      </c>
      <c r="L65" s="6">
        <f>Summary!L65</f>
        <v/>
      </c>
      <c r="M65" s="6">
        <f>Summary!M65</f>
        <v/>
      </c>
      <c r="N65" s="6">
        <f>Summary!N65</f>
        <v/>
      </c>
      <c r="O65" s="6">
        <f>Summary!O65</f>
        <v/>
      </c>
      <c r="P65" s="6">
        <f>Summary!P65</f>
        <v/>
      </c>
      <c r="Q65" s="6">
        <f>Summary!Q65</f>
        <v/>
      </c>
      <c r="R65" s="6">
        <f>Summary!R65</f>
        <v/>
      </c>
      <c r="S65" s="6">
        <f>Summary!S65</f>
        <v/>
      </c>
      <c r="T65" s="6">
        <f>Summary!T65</f>
        <v/>
      </c>
      <c r="U65" s="6">
        <f>Summary!U65</f>
        <v/>
      </c>
      <c r="V65" s="6">
        <f>Summary!V65</f>
        <v/>
      </c>
      <c r="W65" s="6">
        <f>Summary!W65</f>
        <v/>
      </c>
      <c r="X65" s="6">
        <f>Summary!X65</f>
        <v/>
      </c>
      <c r="Y65" s="6">
        <f>Summary!Y65</f>
        <v/>
      </c>
      <c r="Z65" s="6">
        <f>Summary!Z65</f>
        <v/>
      </c>
      <c r="AA65" s="6">
        <f>Summary!AA65</f>
        <v/>
      </c>
      <c r="AB65" s="6">
        <f>SUM(D65:AA65)</f>
        <v/>
      </c>
      <c r="AC65" s="3" t="inlineStr"/>
      <c r="AD65" s="7">
        <f>Y65*0.00045414</f>
        <v/>
      </c>
      <c r="AE65" s="7">
        <f>Z65*0.00045414</f>
        <v/>
      </c>
      <c r="AF65" s="7">
        <f>AA65*0.00045414</f>
        <v/>
      </c>
      <c r="AG65" s="7">
        <f>D65*0.00045414</f>
        <v/>
      </c>
      <c r="AH65" s="7">
        <f>E65*0.00045414</f>
        <v/>
      </c>
      <c r="AI65" s="7">
        <f>F65*0.00045414</f>
        <v/>
      </c>
      <c r="AJ65" s="7">
        <f>G65*0.00045414</f>
        <v/>
      </c>
      <c r="AK65" s="7">
        <f>H65*0.00045414</f>
        <v/>
      </c>
      <c r="AL65" s="7">
        <f>I65*0.00045414</f>
        <v/>
      </c>
      <c r="AM65" s="7">
        <f>J65*0.00045414</f>
        <v/>
      </c>
      <c r="AN65" s="7">
        <f>K65*0.00045414</f>
        <v/>
      </c>
      <c r="AO65" s="7">
        <f>L65*0.00045414</f>
        <v/>
      </c>
      <c r="AP65" s="7">
        <f>M65*0.00045414</f>
        <v/>
      </c>
      <c r="AQ65" s="7">
        <f>N65*0.00045414</f>
        <v/>
      </c>
      <c r="AR65" s="7">
        <f>O65*0.00045414</f>
        <v/>
      </c>
      <c r="AS65" s="7">
        <f>P65*0.00045414</f>
        <v/>
      </c>
      <c r="AT65" s="7">
        <f>Q65*0.00045414</f>
        <v/>
      </c>
      <c r="AU65" s="7">
        <f>R65*0.00045414</f>
        <v/>
      </c>
      <c r="AV65" s="7">
        <f>S65*0.00045414</f>
        <v/>
      </c>
      <c r="AW65" s="7">
        <f>T65*0.00045414</f>
        <v/>
      </c>
      <c r="AX65" s="7">
        <f>U65*0.00045414</f>
        <v/>
      </c>
      <c r="AY65" s="7">
        <f>V65*0.00045414</f>
        <v/>
      </c>
      <c r="AZ65" s="7">
        <f>W65*0.00045414</f>
        <v/>
      </c>
      <c r="BA65" s="7">
        <f>X65*0.00045414</f>
        <v/>
      </c>
      <c r="BB65" s="7">
        <f>SUM(AD65:BA65)</f>
        <v/>
      </c>
    </row>
    <row r="66">
      <c r="A66" t="inlineStr">
        <is>
          <t>AMD-INTRA-SSC</t>
        </is>
      </c>
      <c r="B66" t="inlineStr">
        <is>
          <t>Forward Regular OSC</t>
        </is>
      </c>
      <c r="C66" s="5" t="n">
        <v>46105</v>
      </c>
      <c r="D66" s="6">
        <f>Summary!D66</f>
        <v/>
      </c>
      <c r="E66" s="6">
        <f>Summary!E66</f>
        <v/>
      </c>
      <c r="F66" s="6">
        <f>Summary!F66</f>
        <v/>
      </c>
      <c r="G66" s="6">
        <f>Summary!G66</f>
        <v/>
      </c>
      <c r="H66" s="6">
        <f>Summary!H66</f>
        <v/>
      </c>
      <c r="I66" s="6">
        <f>Summary!I66</f>
        <v/>
      </c>
      <c r="J66" s="6">
        <f>Summary!J66</f>
        <v/>
      </c>
      <c r="K66" s="6">
        <f>Summary!K66</f>
        <v/>
      </c>
      <c r="L66" s="6">
        <f>Summary!L66</f>
        <v/>
      </c>
      <c r="M66" s="6">
        <f>Summary!M66</f>
        <v/>
      </c>
      <c r="N66" s="6">
        <f>Summary!N66</f>
        <v/>
      </c>
      <c r="O66" s="6">
        <f>Summary!O66</f>
        <v/>
      </c>
      <c r="P66" s="6">
        <f>Summary!P66</f>
        <v/>
      </c>
      <c r="Q66" s="6">
        <f>Summary!Q66</f>
        <v/>
      </c>
      <c r="R66" s="6">
        <f>Summary!R66</f>
        <v/>
      </c>
      <c r="S66" s="6">
        <f>Summary!S66</f>
        <v/>
      </c>
      <c r="T66" s="6">
        <f>Summary!T66</f>
        <v/>
      </c>
      <c r="U66" s="6">
        <f>Summary!U66</f>
        <v/>
      </c>
      <c r="V66" s="6">
        <f>Summary!V66</f>
        <v/>
      </c>
      <c r="W66" s="6">
        <f>Summary!W66</f>
        <v/>
      </c>
      <c r="X66" s="6">
        <f>Summary!X66</f>
        <v/>
      </c>
      <c r="Y66" s="6">
        <f>Summary!Y66</f>
        <v/>
      </c>
      <c r="Z66" s="6">
        <f>Summary!Z66</f>
        <v/>
      </c>
      <c r="AA66" s="6">
        <f>Summary!AA66</f>
        <v/>
      </c>
      <c r="AB66" s="6">
        <f>SUM(D66:AA66)</f>
        <v/>
      </c>
      <c r="AC66" s="3" t="inlineStr"/>
      <c r="AD66" s="7">
        <f>Y66*0.00045414</f>
        <v/>
      </c>
      <c r="AE66" s="7">
        <f>Z66*0.00045414</f>
        <v/>
      </c>
      <c r="AF66" s="7">
        <f>AA66*0.00045414</f>
        <v/>
      </c>
      <c r="AG66" s="7">
        <f>D66*0.00045414</f>
        <v/>
      </c>
      <c r="AH66" s="7">
        <f>E66*0.00045414</f>
        <v/>
      </c>
      <c r="AI66" s="7">
        <f>F66*0.00045414</f>
        <v/>
      </c>
      <c r="AJ66" s="7">
        <f>G66*0.00045414</f>
        <v/>
      </c>
      <c r="AK66" s="7">
        <f>H66*0.00045414</f>
        <v/>
      </c>
      <c r="AL66" s="7">
        <f>I66*0.00045414</f>
        <v/>
      </c>
      <c r="AM66" s="7">
        <f>J66*0.00045414</f>
        <v/>
      </c>
      <c r="AN66" s="7">
        <f>K66*0.00045414</f>
        <v/>
      </c>
      <c r="AO66" s="7">
        <f>L66*0.00045414</f>
        <v/>
      </c>
      <c r="AP66" s="7">
        <f>M66*0.00045414</f>
        <v/>
      </c>
      <c r="AQ66" s="7">
        <f>N66*0.00045414</f>
        <v/>
      </c>
      <c r="AR66" s="7">
        <f>O66*0.00045414</f>
        <v/>
      </c>
      <c r="AS66" s="7">
        <f>P66*0.00045414</f>
        <v/>
      </c>
      <c r="AT66" s="7">
        <f>Q66*0.00045414</f>
        <v/>
      </c>
      <c r="AU66" s="7">
        <f>R66*0.00045414</f>
        <v/>
      </c>
      <c r="AV66" s="7">
        <f>S66*0.00045414</f>
        <v/>
      </c>
      <c r="AW66" s="7">
        <f>T66*0.00045414</f>
        <v/>
      </c>
      <c r="AX66" s="7">
        <f>U66*0.00045414</f>
        <v/>
      </c>
      <c r="AY66" s="7">
        <f>V66*0.00045414</f>
        <v/>
      </c>
      <c r="AZ66" s="7">
        <f>W66*0.00045414</f>
        <v/>
      </c>
      <c r="BA66" s="7">
        <f>X66*0.00045414</f>
        <v/>
      </c>
      <c r="BB66" s="7">
        <f>SUM(AD66:BA66)</f>
        <v/>
      </c>
    </row>
    <row r="67">
      <c r="A67" t="inlineStr">
        <is>
          <t>AMD-M1</t>
        </is>
      </c>
      <c r="B67" t="inlineStr">
        <is>
          <t>Forward Regular OSC</t>
        </is>
      </c>
      <c r="C67" s="5" t="n">
        <v>46089</v>
      </c>
      <c r="D67" s="6">
        <f>Summary!D67</f>
        <v/>
      </c>
      <c r="E67" s="6">
        <f>Summary!E67</f>
        <v/>
      </c>
      <c r="F67" s="6">
        <f>Summary!F67</f>
        <v/>
      </c>
      <c r="G67" s="6">
        <f>Summary!G67</f>
        <v/>
      </c>
      <c r="H67" s="6">
        <f>Summary!H67</f>
        <v/>
      </c>
      <c r="I67" s="6">
        <f>Summary!I67</f>
        <v/>
      </c>
      <c r="J67" s="6">
        <f>Summary!J67</f>
        <v/>
      </c>
      <c r="K67" s="6">
        <f>Summary!K67</f>
        <v/>
      </c>
      <c r="L67" s="6">
        <f>Summary!L67</f>
        <v/>
      </c>
      <c r="M67" s="6">
        <f>Summary!M67</f>
        <v/>
      </c>
      <c r="N67" s="6">
        <f>Summary!N67</f>
        <v/>
      </c>
      <c r="O67" s="6">
        <f>Summary!O67</f>
        <v/>
      </c>
      <c r="P67" s="6">
        <f>Summary!P67</f>
        <v/>
      </c>
      <c r="Q67" s="6">
        <f>Summary!Q67</f>
        <v/>
      </c>
      <c r="R67" s="6">
        <f>Summary!R67</f>
        <v/>
      </c>
      <c r="S67" s="6">
        <f>Summary!S67</f>
        <v/>
      </c>
      <c r="T67" s="6">
        <f>Summary!T67</f>
        <v/>
      </c>
      <c r="U67" s="6">
        <f>Summary!U67</f>
        <v/>
      </c>
      <c r="V67" s="6">
        <f>Summary!V67</f>
        <v/>
      </c>
      <c r="W67" s="6">
        <f>Summary!W67</f>
        <v/>
      </c>
      <c r="X67" s="6">
        <f>Summary!X67</f>
        <v/>
      </c>
      <c r="Y67" s="6">
        <f>Summary!Y67</f>
        <v/>
      </c>
      <c r="Z67" s="6">
        <f>Summary!Z67</f>
        <v/>
      </c>
      <c r="AA67" s="6">
        <f>Summary!AA67</f>
        <v/>
      </c>
      <c r="AB67" s="6">
        <f>SUM(D67:AA67)</f>
        <v/>
      </c>
      <c r="AC67" s="3" t="inlineStr"/>
      <c r="AD67" s="7">
        <f>Y67*0.00045414</f>
        <v/>
      </c>
      <c r="AE67" s="7">
        <f>Z67*0.00045414</f>
        <v/>
      </c>
      <c r="AF67" s="7">
        <f>AA67*0.00045414</f>
        <v/>
      </c>
      <c r="AG67" s="7">
        <f>D67*0.00045414</f>
        <v/>
      </c>
      <c r="AH67" s="7">
        <f>E67*0.00045414</f>
        <v/>
      </c>
      <c r="AI67" s="7">
        <f>F67*0.00045414</f>
        <v/>
      </c>
      <c r="AJ67" s="7">
        <f>G67*0.00045414</f>
        <v/>
      </c>
      <c r="AK67" s="7">
        <f>H67*0.00045414</f>
        <v/>
      </c>
      <c r="AL67" s="7">
        <f>I67*0.00045414</f>
        <v/>
      </c>
      <c r="AM67" s="7">
        <f>J67*0.00045414</f>
        <v/>
      </c>
      <c r="AN67" s="7">
        <f>K67*0.00045414</f>
        <v/>
      </c>
      <c r="AO67" s="7">
        <f>L67*0.00045414</f>
        <v/>
      </c>
      <c r="AP67" s="7">
        <f>M67*0.00045414</f>
        <v/>
      </c>
      <c r="AQ67" s="7">
        <f>N67*0.00045414</f>
        <v/>
      </c>
      <c r="AR67" s="7">
        <f>O67*0.00045414</f>
        <v/>
      </c>
      <c r="AS67" s="7">
        <f>P67*0.00045414</f>
        <v/>
      </c>
      <c r="AT67" s="7">
        <f>Q67*0.00045414</f>
        <v/>
      </c>
      <c r="AU67" s="7">
        <f>R67*0.00045414</f>
        <v/>
      </c>
      <c r="AV67" s="7">
        <f>S67*0.00045414</f>
        <v/>
      </c>
      <c r="AW67" s="7">
        <f>T67*0.00045414</f>
        <v/>
      </c>
      <c r="AX67" s="7">
        <f>U67*0.00045414</f>
        <v/>
      </c>
      <c r="AY67" s="7">
        <f>V67*0.00045414</f>
        <v/>
      </c>
      <c r="AZ67" s="7">
        <f>W67*0.00045414</f>
        <v/>
      </c>
      <c r="BA67" s="7">
        <f>X67*0.00045414</f>
        <v/>
      </c>
      <c r="BB67" s="7">
        <f>SUM(AD67:BA67)</f>
        <v/>
      </c>
    </row>
    <row r="68">
      <c r="A68" t="inlineStr">
        <is>
          <t>AMD-M1</t>
        </is>
      </c>
      <c r="B68" t="inlineStr">
        <is>
          <t>Forward Regular OSC</t>
        </is>
      </c>
      <c r="C68" s="5" t="n">
        <v>46090</v>
      </c>
      <c r="D68" s="6">
        <f>Summary!D68</f>
        <v/>
      </c>
      <c r="E68" s="6">
        <f>Summary!E68</f>
        <v/>
      </c>
      <c r="F68" s="6">
        <f>Summary!F68</f>
        <v/>
      </c>
      <c r="G68" s="6">
        <f>Summary!G68</f>
        <v/>
      </c>
      <c r="H68" s="6">
        <f>Summary!H68</f>
        <v/>
      </c>
      <c r="I68" s="6">
        <f>Summary!I68</f>
        <v/>
      </c>
      <c r="J68" s="6">
        <f>Summary!J68</f>
        <v/>
      </c>
      <c r="K68" s="6">
        <f>Summary!K68</f>
        <v/>
      </c>
      <c r="L68" s="6">
        <f>Summary!L68</f>
        <v/>
      </c>
      <c r="M68" s="6">
        <f>Summary!M68</f>
        <v/>
      </c>
      <c r="N68" s="6">
        <f>Summary!N68</f>
        <v/>
      </c>
      <c r="O68" s="6">
        <f>Summary!O68</f>
        <v/>
      </c>
      <c r="P68" s="6">
        <f>Summary!P68</f>
        <v/>
      </c>
      <c r="Q68" s="6">
        <f>Summary!Q68</f>
        <v/>
      </c>
      <c r="R68" s="6">
        <f>Summary!R68</f>
        <v/>
      </c>
      <c r="S68" s="6">
        <f>Summary!S68</f>
        <v/>
      </c>
      <c r="T68" s="6">
        <f>Summary!T68</f>
        <v/>
      </c>
      <c r="U68" s="6">
        <f>Summary!U68</f>
        <v/>
      </c>
      <c r="V68" s="6">
        <f>Summary!V68</f>
        <v/>
      </c>
      <c r="W68" s="6">
        <f>Summary!W68</f>
        <v/>
      </c>
      <c r="X68" s="6">
        <f>Summary!X68</f>
        <v/>
      </c>
      <c r="Y68" s="6">
        <f>Summary!Y68</f>
        <v/>
      </c>
      <c r="Z68" s="6">
        <f>Summary!Z68</f>
        <v/>
      </c>
      <c r="AA68" s="6">
        <f>Summary!AA68</f>
        <v/>
      </c>
      <c r="AB68" s="6">
        <f>SUM(D68:AA68)</f>
        <v/>
      </c>
      <c r="AC68" s="3" t="inlineStr"/>
      <c r="AD68" s="7">
        <f>Y68*0.00045414</f>
        <v/>
      </c>
      <c r="AE68" s="7">
        <f>Z68*0.00045414</f>
        <v/>
      </c>
      <c r="AF68" s="7">
        <f>AA68*0.00045414</f>
        <v/>
      </c>
      <c r="AG68" s="7">
        <f>D68*0.00045414</f>
        <v/>
      </c>
      <c r="AH68" s="7">
        <f>E68*0.00045414</f>
        <v/>
      </c>
      <c r="AI68" s="7">
        <f>F68*0.00045414</f>
        <v/>
      </c>
      <c r="AJ68" s="7">
        <f>G68*0.00045414</f>
        <v/>
      </c>
      <c r="AK68" s="7">
        <f>H68*0.00045414</f>
        <v/>
      </c>
      <c r="AL68" s="7">
        <f>I68*0.00045414</f>
        <v/>
      </c>
      <c r="AM68" s="7">
        <f>J68*0.00045414</f>
        <v/>
      </c>
      <c r="AN68" s="7">
        <f>K68*0.00045414</f>
        <v/>
      </c>
      <c r="AO68" s="7">
        <f>L68*0.00045414</f>
        <v/>
      </c>
      <c r="AP68" s="7">
        <f>M68*0.00045414</f>
        <v/>
      </c>
      <c r="AQ68" s="7">
        <f>N68*0.00045414</f>
        <v/>
      </c>
      <c r="AR68" s="7">
        <f>O68*0.00045414</f>
        <v/>
      </c>
      <c r="AS68" s="7">
        <f>P68*0.00045414</f>
        <v/>
      </c>
      <c r="AT68" s="7">
        <f>Q68*0.00045414</f>
        <v/>
      </c>
      <c r="AU68" s="7">
        <f>R68*0.00045414</f>
        <v/>
      </c>
      <c r="AV68" s="7">
        <f>S68*0.00045414</f>
        <v/>
      </c>
      <c r="AW68" s="7">
        <f>T68*0.00045414</f>
        <v/>
      </c>
      <c r="AX68" s="7">
        <f>U68*0.00045414</f>
        <v/>
      </c>
      <c r="AY68" s="7">
        <f>V68*0.00045414</f>
        <v/>
      </c>
      <c r="AZ68" s="7">
        <f>W68*0.00045414</f>
        <v/>
      </c>
      <c r="BA68" s="7">
        <f>X68*0.00045414</f>
        <v/>
      </c>
      <c r="BB68" s="7">
        <f>SUM(AD68:BA68)</f>
        <v/>
      </c>
    </row>
    <row r="69">
      <c r="A69" t="inlineStr">
        <is>
          <t>AMD-M1</t>
        </is>
      </c>
      <c r="B69" t="inlineStr">
        <is>
          <t>Forward Regular OSC</t>
        </is>
      </c>
      <c r="C69" s="5" t="n">
        <v>46091</v>
      </c>
      <c r="D69" s="6">
        <f>Summary!D69</f>
        <v/>
      </c>
      <c r="E69" s="6">
        <f>Summary!E69</f>
        <v/>
      </c>
      <c r="F69" s="6">
        <f>Summary!F69</f>
        <v/>
      </c>
      <c r="G69" s="6">
        <f>Summary!G69</f>
        <v/>
      </c>
      <c r="H69" s="6">
        <f>Summary!H69</f>
        <v/>
      </c>
      <c r="I69" s="6">
        <f>Summary!I69</f>
        <v/>
      </c>
      <c r="J69" s="6">
        <f>Summary!J69</f>
        <v/>
      </c>
      <c r="K69" s="6">
        <f>Summary!K69</f>
        <v/>
      </c>
      <c r="L69" s="6">
        <f>Summary!L69</f>
        <v/>
      </c>
      <c r="M69" s="6">
        <f>Summary!M69</f>
        <v/>
      </c>
      <c r="N69" s="6">
        <f>Summary!N69</f>
        <v/>
      </c>
      <c r="O69" s="6">
        <f>Summary!O69</f>
        <v/>
      </c>
      <c r="P69" s="6">
        <f>Summary!P69</f>
        <v/>
      </c>
      <c r="Q69" s="6">
        <f>Summary!Q69</f>
        <v/>
      </c>
      <c r="R69" s="6">
        <f>Summary!R69</f>
        <v/>
      </c>
      <c r="S69" s="6">
        <f>Summary!S69</f>
        <v/>
      </c>
      <c r="T69" s="6">
        <f>Summary!T69</f>
        <v/>
      </c>
      <c r="U69" s="6">
        <f>Summary!U69</f>
        <v/>
      </c>
      <c r="V69" s="6">
        <f>Summary!V69</f>
        <v/>
      </c>
      <c r="W69" s="6">
        <f>Summary!W69</f>
        <v/>
      </c>
      <c r="X69" s="6">
        <f>Summary!X69</f>
        <v/>
      </c>
      <c r="Y69" s="6">
        <f>Summary!Y69</f>
        <v/>
      </c>
      <c r="Z69" s="6">
        <f>Summary!Z69</f>
        <v/>
      </c>
      <c r="AA69" s="6">
        <f>Summary!AA69</f>
        <v/>
      </c>
      <c r="AB69" s="6">
        <f>SUM(D69:AA69)</f>
        <v/>
      </c>
      <c r="AC69" s="3" t="inlineStr"/>
      <c r="AD69" s="7">
        <f>Y69*0.00045414</f>
        <v/>
      </c>
      <c r="AE69" s="7">
        <f>Z69*0.00045414</f>
        <v/>
      </c>
      <c r="AF69" s="7">
        <f>AA69*0.00045414</f>
        <v/>
      </c>
      <c r="AG69" s="7">
        <f>D69*0.00045414</f>
        <v/>
      </c>
      <c r="AH69" s="7">
        <f>E69*0.00045414</f>
        <v/>
      </c>
      <c r="AI69" s="7">
        <f>F69*0.00045414</f>
        <v/>
      </c>
      <c r="AJ69" s="7">
        <f>G69*0.00045414</f>
        <v/>
      </c>
      <c r="AK69" s="7">
        <f>H69*0.00045414</f>
        <v/>
      </c>
      <c r="AL69" s="7">
        <f>I69*0.00045414</f>
        <v/>
      </c>
      <c r="AM69" s="7">
        <f>J69*0.00045414</f>
        <v/>
      </c>
      <c r="AN69" s="7">
        <f>K69*0.00045414</f>
        <v/>
      </c>
      <c r="AO69" s="7">
        <f>L69*0.00045414</f>
        <v/>
      </c>
      <c r="AP69" s="7">
        <f>M69*0.00045414</f>
        <v/>
      </c>
      <c r="AQ69" s="7">
        <f>N69*0.00045414</f>
        <v/>
      </c>
      <c r="AR69" s="7">
        <f>O69*0.00045414</f>
        <v/>
      </c>
      <c r="AS69" s="7">
        <f>P69*0.00045414</f>
        <v/>
      </c>
      <c r="AT69" s="7">
        <f>Q69*0.00045414</f>
        <v/>
      </c>
      <c r="AU69" s="7">
        <f>R69*0.00045414</f>
        <v/>
      </c>
      <c r="AV69" s="7">
        <f>S69*0.00045414</f>
        <v/>
      </c>
      <c r="AW69" s="7">
        <f>T69*0.00045414</f>
        <v/>
      </c>
      <c r="AX69" s="7">
        <f>U69*0.00045414</f>
        <v/>
      </c>
      <c r="AY69" s="7">
        <f>V69*0.00045414</f>
        <v/>
      </c>
      <c r="AZ69" s="7">
        <f>W69*0.00045414</f>
        <v/>
      </c>
      <c r="BA69" s="7">
        <f>X69*0.00045414</f>
        <v/>
      </c>
      <c r="BB69" s="7">
        <f>SUM(AD69:BA69)</f>
        <v/>
      </c>
    </row>
    <row r="70">
      <c r="A70" t="inlineStr">
        <is>
          <t>AMD-M1</t>
        </is>
      </c>
      <c r="B70" t="inlineStr">
        <is>
          <t>Forward Regular OSC</t>
        </is>
      </c>
      <c r="C70" s="5" t="n">
        <v>46092</v>
      </c>
      <c r="D70" s="6">
        <f>Summary!D70</f>
        <v/>
      </c>
      <c r="E70" s="6">
        <f>Summary!E70</f>
        <v/>
      </c>
      <c r="F70" s="6">
        <f>Summary!F70</f>
        <v/>
      </c>
      <c r="G70" s="6">
        <f>Summary!G70</f>
        <v/>
      </c>
      <c r="H70" s="6">
        <f>Summary!H70</f>
        <v/>
      </c>
      <c r="I70" s="6">
        <f>Summary!I70</f>
        <v/>
      </c>
      <c r="J70" s="6">
        <f>Summary!J70</f>
        <v/>
      </c>
      <c r="K70" s="6">
        <f>Summary!K70</f>
        <v/>
      </c>
      <c r="L70" s="6">
        <f>Summary!L70</f>
        <v/>
      </c>
      <c r="M70" s="6">
        <f>Summary!M70</f>
        <v/>
      </c>
      <c r="N70" s="6">
        <f>Summary!N70</f>
        <v/>
      </c>
      <c r="O70" s="6">
        <f>Summary!O70</f>
        <v/>
      </c>
      <c r="P70" s="6">
        <f>Summary!P70</f>
        <v/>
      </c>
      <c r="Q70" s="6">
        <f>Summary!Q70</f>
        <v/>
      </c>
      <c r="R70" s="6">
        <f>Summary!R70</f>
        <v/>
      </c>
      <c r="S70" s="6">
        <f>Summary!S70</f>
        <v/>
      </c>
      <c r="T70" s="6">
        <f>Summary!T70</f>
        <v/>
      </c>
      <c r="U70" s="6">
        <f>Summary!U70</f>
        <v/>
      </c>
      <c r="V70" s="6">
        <f>Summary!V70</f>
        <v/>
      </c>
      <c r="W70" s="6">
        <f>Summary!W70</f>
        <v/>
      </c>
      <c r="X70" s="6">
        <f>Summary!X70</f>
        <v/>
      </c>
      <c r="Y70" s="6">
        <f>Summary!Y70</f>
        <v/>
      </c>
      <c r="Z70" s="6">
        <f>Summary!Z70</f>
        <v/>
      </c>
      <c r="AA70" s="6">
        <f>Summary!AA70</f>
        <v/>
      </c>
      <c r="AB70" s="6">
        <f>SUM(D70:AA70)</f>
        <v/>
      </c>
      <c r="AC70" s="3" t="inlineStr"/>
      <c r="AD70" s="7">
        <f>Y70*0.00045414</f>
        <v/>
      </c>
      <c r="AE70" s="7">
        <f>Z70*0.00045414</f>
        <v/>
      </c>
      <c r="AF70" s="7">
        <f>AA70*0.00045414</f>
        <v/>
      </c>
      <c r="AG70" s="7">
        <f>D70*0.00045414</f>
        <v/>
      </c>
      <c r="AH70" s="7">
        <f>E70*0.00045414</f>
        <v/>
      </c>
      <c r="AI70" s="7">
        <f>F70*0.00045414</f>
        <v/>
      </c>
      <c r="AJ70" s="7">
        <f>G70*0.00045414</f>
        <v/>
      </c>
      <c r="AK70" s="7">
        <f>H70*0.00045414</f>
        <v/>
      </c>
      <c r="AL70" s="7">
        <f>I70*0.00045414</f>
        <v/>
      </c>
      <c r="AM70" s="7">
        <f>J70*0.00045414</f>
        <v/>
      </c>
      <c r="AN70" s="7">
        <f>K70*0.00045414</f>
        <v/>
      </c>
      <c r="AO70" s="7">
        <f>L70*0.00045414</f>
        <v/>
      </c>
      <c r="AP70" s="7">
        <f>M70*0.00045414</f>
        <v/>
      </c>
      <c r="AQ70" s="7">
        <f>N70*0.00045414</f>
        <v/>
      </c>
      <c r="AR70" s="7">
        <f>O70*0.00045414</f>
        <v/>
      </c>
      <c r="AS70" s="7">
        <f>P70*0.00045414</f>
        <v/>
      </c>
      <c r="AT70" s="7">
        <f>Q70*0.00045414</f>
        <v/>
      </c>
      <c r="AU70" s="7">
        <f>R70*0.00045414</f>
        <v/>
      </c>
      <c r="AV70" s="7">
        <f>S70*0.00045414</f>
        <v/>
      </c>
      <c r="AW70" s="7">
        <f>T70*0.00045414</f>
        <v/>
      </c>
      <c r="AX70" s="7">
        <f>U70*0.00045414</f>
        <v/>
      </c>
      <c r="AY70" s="7">
        <f>V70*0.00045414</f>
        <v/>
      </c>
      <c r="AZ70" s="7">
        <f>W70*0.00045414</f>
        <v/>
      </c>
      <c r="BA70" s="7">
        <f>X70*0.00045414</f>
        <v/>
      </c>
      <c r="BB70" s="7">
        <f>SUM(AD70:BA70)</f>
        <v/>
      </c>
    </row>
    <row r="71">
      <c r="A71" t="inlineStr">
        <is>
          <t>AMD-M1</t>
        </is>
      </c>
      <c r="B71" t="inlineStr">
        <is>
          <t>Forward Regular OSC</t>
        </is>
      </c>
      <c r="C71" s="5" t="n">
        <v>46093</v>
      </c>
      <c r="D71" s="6">
        <f>Summary!D71</f>
        <v/>
      </c>
      <c r="E71" s="6">
        <f>Summary!E71</f>
        <v/>
      </c>
      <c r="F71" s="6">
        <f>Summary!F71</f>
        <v/>
      </c>
      <c r="G71" s="6">
        <f>Summary!G71</f>
        <v/>
      </c>
      <c r="H71" s="6">
        <f>Summary!H71</f>
        <v/>
      </c>
      <c r="I71" s="6">
        <f>Summary!I71</f>
        <v/>
      </c>
      <c r="J71" s="6">
        <f>Summary!J71</f>
        <v/>
      </c>
      <c r="K71" s="6">
        <f>Summary!K71</f>
        <v/>
      </c>
      <c r="L71" s="6">
        <f>Summary!L71</f>
        <v/>
      </c>
      <c r="M71" s="6">
        <f>Summary!M71</f>
        <v/>
      </c>
      <c r="N71" s="6">
        <f>Summary!N71</f>
        <v/>
      </c>
      <c r="O71" s="6">
        <f>Summary!O71</f>
        <v/>
      </c>
      <c r="P71" s="6">
        <f>Summary!P71</f>
        <v/>
      </c>
      <c r="Q71" s="6">
        <f>Summary!Q71</f>
        <v/>
      </c>
      <c r="R71" s="6">
        <f>Summary!R71</f>
        <v/>
      </c>
      <c r="S71" s="6">
        <f>Summary!S71</f>
        <v/>
      </c>
      <c r="T71" s="6">
        <f>Summary!T71</f>
        <v/>
      </c>
      <c r="U71" s="6">
        <f>Summary!U71</f>
        <v/>
      </c>
      <c r="V71" s="6">
        <f>Summary!V71</f>
        <v/>
      </c>
      <c r="W71" s="6">
        <f>Summary!W71</f>
        <v/>
      </c>
      <c r="X71" s="6">
        <f>Summary!X71</f>
        <v/>
      </c>
      <c r="Y71" s="6">
        <f>Summary!Y71</f>
        <v/>
      </c>
      <c r="Z71" s="6">
        <f>Summary!Z71</f>
        <v/>
      </c>
      <c r="AA71" s="6">
        <f>Summary!AA71</f>
        <v/>
      </c>
      <c r="AB71" s="6">
        <f>SUM(D71:AA71)</f>
        <v/>
      </c>
      <c r="AC71" s="3" t="inlineStr"/>
      <c r="AD71" s="7">
        <f>Y71*0.00045414</f>
        <v/>
      </c>
      <c r="AE71" s="7">
        <f>Z71*0.00045414</f>
        <v/>
      </c>
      <c r="AF71" s="7">
        <f>AA71*0.00045414</f>
        <v/>
      </c>
      <c r="AG71" s="7">
        <f>D71*0.00045414</f>
        <v/>
      </c>
      <c r="AH71" s="7">
        <f>E71*0.00045414</f>
        <v/>
      </c>
      <c r="AI71" s="7">
        <f>F71*0.00045414</f>
        <v/>
      </c>
      <c r="AJ71" s="7">
        <f>G71*0.00045414</f>
        <v/>
      </c>
      <c r="AK71" s="7">
        <f>H71*0.00045414</f>
        <v/>
      </c>
      <c r="AL71" s="7">
        <f>I71*0.00045414</f>
        <v/>
      </c>
      <c r="AM71" s="7">
        <f>J71*0.00045414</f>
        <v/>
      </c>
      <c r="AN71" s="7">
        <f>K71*0.00045414</f>
        <v/>
      </c>
      <c r="AO71" s="7">
        <f>L71*0.00045414</f>
        <v/>
      </c>
      <c r="AP71" s="7">
        <f>M71*0.00045414</f>
        <v/>
      </c>
      <c r="AQ71" s="7">
        <f>N71*0.00045414</f>
        <v/>
      </c>
      <c r="AR71" s="7">
        <f>O71*0.00045414</f>
        <v/>
      </c>
      <c r="AS71" s="7">
        <f>P71*0.00045414</f>
        <v/>
      </c>
      <c r="AT71" s="7">
        <f>Q71*0.00045414</f>
        <v/>
      </c>
      <c r="AU71" s="7">
        <f>R71*0.00045414</f>
        <v/>
      </c>
      <c r="AV71" s="7">
        <f>S71*0.00045414</f>
        <v/>
      </c>
      <c r="AW71" s="7">
        <f>T71*0.00045414</f>
        <v/>
      </c>
      <c r="AX71" s="7">
        <f>U71*0.00045414</f>
        <v/>
      </c>
      <c r="AY71" s="7">
        <f>V71*0.00045414</f>
        <v/>
      </c>
      <c r="AZ71" s="7">
        <f>W71*0.00045414</f>
        <v/>
      </c>
      <c r="BA71" s="7">
        <f>X71*0.00045414</f>
        <v/>
      </c>
      <c r="BB71" s="7">
        <f>SUM(AD71:BA71)</f>
        <v/>
      </c>
    </row>
    <row r="72">
      <c r="A72" t="inlineStr">
        <is>
          <t>AMD-M1</t>
        </is>
      </c>
      <c r="B72" t="inlineStr">
        <is>
          <t>Forward Regular OSC</t>
        </is>
      </c>
      <c r="C72" s="5" t="n">
        <v>46094</v>
      </c>
      <c r="D72" s="6">
        <f>Summary!D72</f>
        <v/>
      </c>
      <c r="E72" s="6">
        <f>Summary!E72</f>
        <v/>
      </c>
      <c r="F72" s="6">
        <f>Summary!F72</f>
        <v/>
      </c>
      <c r="G72" s="6">
        <f>Summary!G72</f>
        <v/>
      </c>
      <c r="H72" s="6">
        <f>Summary!H72</f>
        <v/>
      </c>
      <c r="I72" s="6">
        <f>Summary!I72</f>
        <v/>
      </c>
      <c r="J72" s="6">
        <f>Summary!J72</f>
        <v/>
      </c>
      <c r="K72" s="6">
        <f>Summary!K72</f>
        <v/>
      </c>
      <c r="L72" s="6">
        <f>Summary!L72</f>
        <v/>
      </c>
      <c r="M72" s="6">
        <f>Summary!M72</f>
        <v/>
      </c>
      <c r="N72" s="6">
        <f>Summary!N72</f>
        <v/>
      </c>
      <c r="O72" s="6">
        <f>Summary!O72</f>
        <v/>
      </c>
      <c r="P72" s="6">
        <f>Summary!P72</f>
        <v/>
      </c>
      <c r="Q72" s="6">
        <f>Summary!Q72</f>
        <v/>
      </c>
      <c r="R72" s="6">
        <f>Summary!R72</f>
        <v/>
      </c>
      <c r="S72" s="6">
        <f>Summary!S72</f>
        <v/>
      </c>
      <c r="T72" s="6">
        <f>Summary!T72</f>
        <v/>
      </c>
      <c r="U72" s="6">
        <f>Summary!U72</f>
        <v/>
      </c>
      <c r="V72" s="6">
        <f>Summary!V72</f>
        <v/>
      </c>
      <c r="W72" s="6">
        <f>Summary!W72</f>
        <v/>
      </c>
      <c r="X72" s="6">
        <f>Summary!X72</f>
        <v/>
      </c>
      <c r="Y72" s="6">
        <f>Summary!Y72</f>
        <v/>
      </c>
      <c r="Z72" s="6">
        <f>Summary!Z72</f>
        <v/>
      </c>
      <c r="AA72" s="6">
        <f>Summary!AA72</f>
        <v/>
      </c>
      <c r="AB72" s="6">
        <f>SUM(D72:AA72)</f>
        <v/>
      </c>
      <c r="AC72" s="3" t="inlineStr"/>
      <c r="AD72" s="7">
        <f>Y72*0.00045414</f>
        <v/>
      </c>
      <c r="AE72" s="7">
        <f>Z72*0.00045414</f>
        <v/>
      </c>
      <c r="AF72" s="7">
        <f>AA72*0.00045414</f>
        <v/>
      </c>
      <c r="AG72" s="7">
        <f>D72*0.00045414</f>
        <v/>
      </c>
      <c r="AH72" s="7">
        <f>E72*0.00045414</f>
        <v/>
      </c>
      <c r="AI72" s="7">
        <f>F72*0.00045414</f>
        <v/>
      </c>
      <c r="AJ72" s="7">
        <f>G72*0.00045414</f>
        <v/>
      </c>
      <c r="AK72" s="7">
        <f>H72*0.00045414</f>
        <v/>
      </c>
      <c r="AL72" s="7">
        <f>I72*0.00045414</f>
        <v/>
      </c>
      <c r="AM72" s="7">
        <f>J72*0.00045414</f>
        <v/>
      </c>
      <c r="AN72" s="7">
        <f>K72*0.00045414</f>
        <v/>
      </c>
      <c r="AO72" s="7">
        <f>L72*0.00045414</f>
        <v/>
      </c>
      <c r="AP72" s="7">
        <f>M72*0.00045414</f>
        <v/>
      </c>
      <c r="AQ72" s="7">
        <f>N72*0.00045414</f>
        <v/>
      </c>
      <c r="AR72" s="7">
        <f>O72*0.00045414</f>
        <v/>
      </c>
      <c r="AS72" s="7">
        <f>P72*0.00045414</f>
        <v/>
      </c>
      <c r="AT72" s="7">
        <f>Q72*0.00045414</f>
        <v/>
      </c>
      <c r="AU72" s="7">
        <f>R72*0.00045414</f>
        <v/>
      </c>
      <c r="AV72" s="7">
        <f>S72*0.00045414</f>
        <v/>
      </c>
      <c r="AW72" s="7">
        <f>T72*0.00045414</f>
        <v/>
      </c>
      <c r="AX72" s="7">
        <f>U72*0.00045414</f>
        <v/>
      </c>
      <c r="AY72" s="7">
        <f>V72*0.00045414</f>
        <v/>
      </c>
      <c r="AZ72" s="7">
        <f>W72*0.00045414</f>
        <v/>
      </c>
      <c r="BA72" s="7">
        <f>X72*0.00045414</f>
        <v/>
      </c>
      <c r="BB72" s="7">
        <f>SUM(AD72:BA72)</f>
        <v/>
      </c>
    </row>
    <row r="73">
      <c r="A73" t="inlineStr">
        <is>
          <t>AMD-M1</t>
        </is>
      </c>
      <c r="B73" t="inlineStr">
        <is>
          <t>Forward Regular OSC</t>
        </is>
      </c>
      <c r="C73" s="5" t="n">
        <v>46095</v>
      </c>
      <c r="D73" s="6">
        <f>Summary!D73</f>
        <v/>
      </c>
      <c r="E73" s="6">
        <f>Summary!E73</f>
        <v/>
      </c>
      <c r="F73" s="6">
        <f>Summary!F73</f>
        <v/>
      </c>
      <c r="G73" s="6">
        <f>Summary!G73</f>
        <v/>
      </c>
      <c r="H73" s="6">
        <f>Summary!H73</f>
        <v/>
      </c>
      <c r="I73" s="6">
        <f>Summary!I73</f>
        <v/>
      </c>
      <c r="J73" s="6">
        <f>Summary!J73</f>
        <v/>
      </c>
      <c r="K73" s="6">
        <f>Summary!K73</f>
        <v/>
      </c>
      <c r="L73" s="6">
        <f>Summary!L73</f>
        <v/>
      </c>
      <c r="M73" s="6">
        <f>Summary!M73</f>
        <v/>
      </c>
      <c r="N73" s="6">
        <f>Summary!N73</f>
        <v/>
      </c>
      <c r="O73" s="6">
        <f>Summary!O73</f>
        <v/>
      </c>
      <c r="P73" s="6">
        <f>Summary!P73</f>
        <v/>
      </c>
      <c r="Q73" s="6">
        <f>Summary!Q73</f>
        <v/>
      </c>
      <c r="R73" s="6">
        <f>Summary!R73</f>
        <v/>
      </c>
      <c r="S73" s="6">
        <f>Summary!S73</f>
        <v/>
      </c>
      <c r="T73" s="6">
        <f>Summary!T73</f>
        <v/>
      </c>
      <c r="U73" s="6">
        <f>Summary!U73</f>
        <v/>
      </c>
      <c r="V73" s="6">
        <f>Summary!V73</f>
        <v/>
      </c>
      <c r="W73" s="6">
        <f>Summary!W73</f>
        <v/>
      </c>
      <c r="X73" s="6">
        <f>Summary!X73</f>
        <v/>
      </c>
      <c r="Y73" s="6">
        <f>Summary!Y73</f>
        <v/>
      </c>
      <c r="Z73" s="6">
        <f>Summary!Z73</f>
        <v/>
      </c>
      <c r="AA73" s="6">
        <f>Summary!AA73</f>
        <v/>
      </c>
      <c r="AB73" s="6">
        <f>SUM(D73:AA73)</f>
        <v/>
      </c>
      <c r="AC73" s="3" t="inlineStr"/>
      <c r="AD73" s="7">
        <f>Y73*0.00045414</f>
        <v/>
      </c>
      <c r="AE73" s="7">
        <f>Z73*0.00045414</f>
        <v/>
      </c>
      <c r="AF73" s="7">
        <f>AA73*0.00045414</f>
        <v/>
      </c>
      <c r="AG73" s="7">
        <f>D73*0.00045414</f>
        <v/>
      </c>
      <c r="AH73" s="7">
        <f>E73*0.00045414</f>
        <v/>
      </c>
      <c r="AI73" s="7">
        <f>F73*0.00045414</f>
        <v/>
      </c>
      <c r="AJ73" s="7">
        <f>G73*0.00045414</f>
        <v/>
      </c>
      <c r="AK73" s="7">
        <f>H73*0.00045414</f>
        <v/>
      </c>
      <c r="AL73" s="7">
        <f>I73*0.00045414</f>
        <v/>
      </c>
      <c r="AM73" s="7">
        <f>J73*0.00045414</f>
        <v/>
      </c>
      <c r="AN73" s="7">
        <f>K73*0.00045414</f>
        <v/>
      </c>
      <c r="AO73" s="7">
        <f>L73*0.00045414</f>
        <v/>
      </c>
      <c r="AP73" s="7">
        <f>M73*0.00045414</f>
        <v/>
      </c>
      <c r="AQ73" s="7">
        <f>N73*0.00045414</f>
        <v/>
      </c>
      <c r="AR73" s="7">
        <f>O73*0.00045414</f>
        <v/>
      </c>
      <c r="AS73" s="7">
        <f>P73*0.00045414</f>
        <v/>
      </c>
      <c r="AT73" s="7">
        <f>Q73*0.00045414</f>
        <v/>
      </c>
      <c r="AU73" s="7">
        <f>R73*0.00045414</f>
        <v/>
      </c>
      <c r="AV73" s="7">
        <f>S73*0.00045414</f>
        <v/>
      </c>
      <c r="AW73" s="7">
        <f>T73*0.00045414</f>
        <v/>
      </c>
      <c r="AX73" s="7">
        <f>U73*0.00045414</f>
        <v/>
      </c>
      <c r="AY73" s="7">
        <f>V73*0.00045414</f>
        <v/>
      </c>
      <c r="AZ73" s="7">
        <f>W73*0.00045414</f>
        <v/>
      </c>
      <c r="BA73" s="7">
        <f>X73*0.00045414</f>
        <v/>
      </c>
      <c r="BB73" s="7">
        <f>SUM(AD73:BA73)</f>
        <v/>
      </c>
    </row>
    <row r="74">
      <c r="A74" t="inlineStr">
        <is>
          <t>AMD-M1</t>
        </is>
      </c>
      <c r="B74" t="inlineStr">
        <is>
          <t>Forward Regular OSC</t>
        </is>
      </c>
      <c r="C74" s="5" t="n">
        <v>46096</v>
      </c>
      <c r="D74" s="6">
        <f>Summary!D74</f>
        <v/>
      </c>
      <c r="E74" s="6">
        <f>Summary!E74</f>
        <v/>
      </c>
      <c r="F74" s="6">
        <f>Summary!F74</f>
        <v/>
      </c>
      <c r="G74" s="6">
        <f>Summary!G74</f>
        <v/>
      </c>
      <c r="H74" s="6">
        <f>Summary!H74</f>
        <v/>
      </c>
      <c r="I74" s="6">
        <f>Summary!I74</f>
        <v/>
      </c>
      <c r="J74" s="6">
        <f>Summary!J74</f>
        <v/>
      </c>
      <c r="K74" s="6">
        <f>Summary!K74</f>
        <v/>
      </c>
      <c r="L74" s="6">
        <f>Summary!L74</f>
        <v/>
      </c>
      <c r="M74" s="6">
        <f>Summary!M74</f>
        <v/>
      </c>
      <c r="N74" s="6">
        <f>Summary!N74</f>
        <v/>
      </c>
      <c r="O74" s="6">
        <f>Summary!O74</f>
        <v/>
      </c>
      <c r="P74" s="6">
        <f>Summary!P74</f>
        <v/>
      </c>
      <c r="Q74" s="6">
        <f>Summary!Q74</f>
        <v/>
      </c>
      <c r="R74" s="6">
        <f>Summary!R74</f>
        <v/>
      </c>
      <c r="S74" s="6">
        <f>Summary!S74</f>
        <v/>
      </c>
      <c r="T74" s="6">
        <f>Summary!T74</f>
        <v/>
      </c>
      <c r="U74" s="6">
        <f>Summary!U74</f>
        <v/>
      </c>
      <c r="V74" s="6">
        <f>Summary!V74</f>
        <v/>
      </c>
      <c r="W74" s="6">
        <f>Summary!W74</f>
        <v/>
      </c>
      <c r="X74" s="6">
        <f>Summary!X74</f>
        <v/>
      </c>
      <c r="Y74" s="6">
        <f>Summary!Y74</f>
        <v/>
      </c>
      <c r="Z74" s="6">
        <f>Summary!Z74</f>
        <v/>
      </c>
      <c r="AA74" s="6">
        <f>Summary!AA74</f>
        <v/>
      </c>
      <c r="AB74" s="6">
        <f>SUM(D74:AA74)</f>
        <v/>
      </c>
      <c r="AC74" s="3" t="inlineStr"/>
      <c r="AD74" s="7">
        <f>Y74*0.00045414</f>
        <v/>
      </c>
      <c r="AE74" s="7">
        <f>Z74*0.00045414</f>
        <v/>
      </c>
      <c r="AF74" s="7">
        <f>AA74*0.00045414</f>
        <v/>
      </c>
      <c r="AG74" s="7">
        <f>D74*0.00045414</f>
        <v/>
      </c>
      <c r="AH74" s="7">
        <f>E74*0.00045414</f>
        <v/>
      </c>
      <c r="AI74" s="7">
        <f>F74*0.00045414</f>
        <v/>
      </c>
      <c r="AJ74" s="7">
        <f>G74*0.00045414</f>
        <v/>
      </c>
      <c r="AK74" s="7">
        <f>H74*0.00045414</f>
        <v/>
      </c>
      <c r="AL74" s="7">
        <f>I74*0.00045414</f>
        <v/>
      </c>
      <c r="AM74" s="7">
        <f>J74*0.00045414</f>
        <v/>
      </c>
      <c r="AN74" s="7">
        <f>K74*0.00045414</f>
        <v/>
      </c>
      <c r="AO74" s="7">
        <f>L74*0.00045414</f>
        <v/>
      </c>
      <c r="AP74" s="7">
        <f>M74*0.00045414</f>
        <v/>
      </c>
      <c r="AQ74" s="7">
        <f>N74*0.00045414</f>
        <v/>
      </c>
      <c r="AR74" s="7">
        <f>O74*0.00045414</f>
        <v/>
      </c>
      <c r="AS74" s="7">
        <f>P74*0.00045414</f>
        <v/>
      </c>
      <c r="AT74" s="7">
        <f>Q74*0.00045414</f>
        <v/>
      </c>
      <c r="AU74" s="7">
        <f>R74*0.00045414</f>
        <v/>
      </c>
      <c r="AV74" s="7">
        <f>S74*0.00045414</f>
        <v/>
      </c>
      <c r="AW74" s="7">
        <f>T74*0.00045414</f>
        <v/>
      </c>
      <c r="AX74" s="7">
        <f>U74*0.00045414</f>
        <v/>
      </c>
      <c r="AY74" s="7">
        <f>V74*0.00045414</f>
        <v/>
      </c>
      <c r="AZ74" s="7">
        <f>W74*0.00045414</f>
        <v/>
      </c>
      <c r="BA74" s="7">
        <f>X74*0.00045414</f>
        <v/>
      </c>
      <c r="BB74" s="7">
        <f>SUM(AD74:BA74)</f>
        <v/>
      </c>
    </row>
    <row r="75">
      <c r="A75" t="inlineStr">
        <is>
          <t>AMD-M1</t>
        </is>
      </c>
      <c r="B75" t="inlineStr">
        <is>
          <t>Forward Regular OSC</t>
        </is>
      </c>
      <c r="C75" s="5" t="n">
        <v>46097</v>
      </c>
      <c r="D75" s="6">
        <f>Summary!D75</f>
        <v/>
      </c>
      <c r="E75" s="6">
        <f>Summary!E75</f>
        <v/>
      </c>
      <c r="F75" s="6">
        <f>Summary!F75</f>
        <v/>
      </c>
      <c r="G75" s="6">
        <f>Summary!G75</f>
        <v/>
      </c>
      <c r="H75" s="6">
        <f>Summary!H75</f>
        <v/>
      </c>
      <c r="I75" s="6">
        <f>Summary!I75</f>
        <v/>
      </c>
      <c r="J75" s="6">
        <f>Summary!J75</f>
        <v/>
      </c>
      <c r="K75" s="6">
        <f>Summary!K75</f>
        <v/>
      </c>
      <c r="L75" s="6">
        <f>Summary!L75</f>
        <v/>
      </c>
      <c r="M75" s="6">
        <f>Summary!M75</f>
        <v/>
      </c>
      <c r="N75" s="6">
        <f>Summary!N75</f>
        <v/>
      </c>
      <c r="O75" s="6">
        <f>Summary!O75</f>
        <v/>
      </c>
      <c r="P75" s="6">
        <f>Summary!P75</f>
        <v/>
      </c>
      <c r="Q75" s="6">
        <f>Summary!Q75</f>
        <v/>
      </c>
      <c r="R75" s="6">
        <f>Summary!R75</f>
        <v/>
      </c>
      <c r="S75" s="6">
        <f>Summary!S75</f>
        <v/>
      </c>
      <c r="T75" s="6">
        <f>Summary!T75</f>
        <v/>
      </c>
      <c r="U75" s="6">
        <f>Summary!U75</f>
        <v/>
      </c>
      <c r="V75" s="6">
        <f>Summary!V75</f>
        <v/>
      </c>
      <c r="W75" s="6">
        <f>Summary!W75</f>
        <v/>
      </c>
      <c r="X75" s="6">
        <f>Summary!X75</f>
        <v/>
      </c>
      <c r="Y75" s="6">
        <f>Summary!Y75</f>
        <v/>
      </c>
      <c r="Z75" s="6">
        <f>Summary!Z75</f>
        <v/>
      </c>
      <c r="AA75" s="6">
        <f>Summary!AA75</f>
        <v/>
      </c>
      <c r="AB75" s="6">
        <f>SUM(D75:AA75)</f>
        <v/>
      </c>
      <c r="AC75" s="3" t="inlineStr"/>
      <c r="AD75" s="7">
        <f>Y75*0.00045414</f>
        <v/>
      </c>
      <c r="AE75" s="7">
        <f>Z75*0.00045414</f>
        <v/>
      </c>
      <c r="AF75" s="7">
        <f>AA75*0.00045414</f>
        <v/>
      </c>
      <c r="AG75" s="7">
        <f>D75*0.00045414</f>
        <v/>
      </c>
      <c r="AH75" s="7">
        <f>E75*0.00045414</f>
        <v/>
      </c>
      <c r="AI75" s="7">
        <f>F75*0.00045414</f>
        <v/>
      </c>
      <c r="AJ75" s="7">
        <f>G75*0.00045414</f>
        <v/>
      </c>
      <c r="AK75" s="7">
        <f>H75*0.00045414</f>
        <v/>
      </c>
      <c r="AL75" s="7">
        <f>I75*0.00045414</f>
        <v/>
      </c>
      <c r="AM75" s="7">
        <f>J75*0.00045414</f>
        <v/>
      </c>
      <c r="AN75" s="7">
        <f>K75*0.00045414</f>
        <v/>
      </c>
      <c r="AO75" s="7">
        <f>L75*0.00045414</f>
        <v/>
      </c>
      <c r="AP75" s="7">
        <f>M75*0.00045414</f>
        <v/>
      </c>
      <c r="AQ75" s="7">
        <f>N75*0.00045414</f>
        <v/>
      </c>
      <c r="AR75" s="7">
        <f>O75*0.00045414</f>
        <v/>
      </c>
      <c r="AS75" s="7">
        <f>P75*0.00045414</f>
        <v/>
      </c>
      <c r="AT75" s="7">
        <f>Q75*0.00045414</f>
        <v/>
      </c>
      <c r="AU75" s="7">
        <f>R75*0.00045414</f>
        <v/>
      </c>
      <c r="AV75" s="7">
        <f>S75*0.00045414</f>
        <v/>
      </c>
      <c r="AW75" s="7">
        <f>T75*0.00045414</f>
        <v/>
      </c>
      <c r="AX75" s="7">
        <f>U75*0.00045414</f>
        <v/>
      </c>
      <c r="AY75" s="7">
        <f>V75*0.00045414</f>
        <v/>
      </c>
      <c r="AZ75" s="7">
        <f>W75*0.00045414</f>
        <v/>
      </c>
      <c r="BA75" s="7">
        <f>X75*0.00045414</f>
        <v/>
      </c>
      <c r="BB75" s="7">
        <f>SUM(AD75:BA75)</f>
        <v/>
      </c>
    </row>
    <row r="76">
      <c r="A76" t="inlineStr">
        <is>
          <t>AMD-M2</t>
        </is>
      </c>
      <c r="B76" t="inlineStr">
        <is>
          <t>Forward Regular OSC</t>
        </is>
      </c>
      <c r="C76" s="5" t="n">
        <v>46089</v>
      </c>
      <c r="D76" s="6">
        <f>Summary!D76</f>
        <v/>
      </c>
      <c r="E76" s="6">
        <f>Summary!E76</f>
        <v/>
      </c>
      <c r="F76" s="6">
        <f>Summary!F76</f>
        <v/>
      </c>
      <c r="G76" s="6">
        <f>Summary!G76</f>
        <v/>
      </c>
      <c r="H76" s="6">
        <f>Summary!H76</f>
        <v/>
      </c>
      <c r="I76" s="6">
        <f>Summary!I76</f>
        <v/>
      </c>
      <c r="J76" s="6">
        <f>Summary!J76</f>
        <v/>
      </c>
      <c r="K76" s="6">
        <f>Summary!K76</f>
        <v/>
      </c>
      <c r="L76" s="6">
        <f>Summary!L76</f>
        <v/>
      </c>
      <c r="M76" s="6">
        <f>Summary!M76</f>
        <v/>
      </c>
      <c r="N76" s="6">
        <f>Summary!N76</f>
        <v/>
      </c>
      <c r="O76" s="6">
        <f>Summary!O76</f>
        <v/>
      </c>
      <c r="P76" s="6">
        <f>Summary!P76</f>
        <v/>
      </c>
      <c r="Q76" s="6">
        <f>Summary!Q76</f>
        <v/>
      </c>
      <c r="R76" s="6">
        <f>Summary!R76</f>
        <v/>
      </c>
      <c r="S76" s="6">
        <f>Summary!S76</f>
        <v/>
      </c>
      <c r="T76" s="6">
        <f>Summary!T76</f>
        <v/>
      </c>
      <c r="U76" s="6">
        <f>Summary!U76</f>
        <v/>
      </c>
      <c r="V76" s="6">
        <f>Summary!V76</f>
        <v/>
      </c>
      <c r="W76" s="6">
        <f>Summary!W76</f>
        <v/>
      </c>
      <c r="X76" s="6">
        <f>Summary!X76</f>
        <v/>
      </c>
      <c r="Y76" s="6">
        <f>Summary!Y76</f>
        <v/>
      </c>
      <c r="Z76" s="6">
        <f>Summary!Z76</f>
        <v/>
      </c>
      <c r="AA76" s="6">
        <f>Summary!AA76</f>
        <v/>
      </c>
      <c r="AB76" s="6">
        <f>SUM(D76:AA76)</f>
        <v/>
      </c>
      <c r="AC76" s="3" t="inlineStr"/>
      <c r="AD76" s="7">
        <f>Y76*0.00045414</f>
        <v/>
      </c>
      <c r="AE76" s="7">
        <f>Z76*0.00045414</f>
        <v/>
      </c>
      <c r="AF76" s="7">
        <f>AA76*0.00045414</f>
        <v/>
      </c>
      <c r="AG76" s="7">
        <f>D76*0.00045414</f>
        <v/>
      </c>
      <c r="AH76" s="7">
        <f>E76*0.00045414</f>
        <v/>
      </c>
      <c r="AI76" s="7">
        <f>F76*0.00045414</f>
        <v/>
      </c>
      <c r="AJ76" s="7">
        <f>G76*0.00045414</f>
        <v/>
      </c>
      <c r="AK76" s="7">
        <f>H76*0.00045414</f>
        <v/>
      </c>
      <c r="AL76" s="7">
        <f>I76*0.00045414</f>
        <v/>
      </c>
      <c r="AM76" s="7">
        <f>J76*0.00045414</f>
        <v/>
      </c>
      <c r="AN76" s="7">
        <f>K76*0.00045414</f>
        <v/>
      </c>
      <c r="AO76" s="7">
        <f>L76*0.00045414</f>
        <v/>
      </c>
      <c r="AP76" s="7">
        <f>M76*0.00045414</f>
        <v/>
      </c>
      <c r="AQ76" s="7">
        <f>N76*0.00045414</f>
        <v/>
      </c>
      <c r="AR76" s="7">
        <f>O76*0.00045414</f>
        <v/>
      </c>
      <c r="AS76" s="7">
        <f>P76*0.00045414</f>
        <v/>
      </c>
      <c r="AT76" s="7">
        <f>Q76*0.00045414</f>
        <v/>
      </c>
      <c r="AU76" s="7">
        <f>R76*0.00045414</f>
        <v/>
      </c>
      <c r="AV76" s="7">
        <f>S76*0.00045414</f>
        <v/>
      </c>
      <c r="AW76" s="7">
        <f>T76*0.00045414</f>
        <v/>
      </c>
      <c r="AX76" s="7">
        <f>U76*0.00045414</f>
        <v/>
      </c>
      <c r="AY76" s="7">
        <f>V76*0.00045414</f>
        <v/>
      </c>
      <c r="AZ76" s="7">
        <f>W76*0.00045414</f>
        <v/>
      </c>
      <c r="BA76" s="7">
        <f>X76*0.00045414</f>
        <v/>
      </c>
      <c r="BB76" s="7">
        <f>SUM(AD76:BA76)</f>
        <v/>
      </c>
    </row>
    <row r="77">
      <c r="A77" t="inlineStr">
        <is>
          <t>AMD-M2</t>
        </is>
      </c>
      <c r="B77" t="inlineStr">
        <is>
          <t>Forward Regular OSC</t>
        </is>
      </c>
      <c r="C77" s="5" t="n">
        <v>46090</v>
      </c>
      <c r="D77" s="6">
        <f>Summary!D77</f>
        <v/>
      </c>
      <c r="E77" s="6">
        <f>Summary!E77</f>
        <v/>
      </c>
      <c r="F77" s="6">
        <f>Summary!F77</f>
        <v/>
      </c>
      <c r="G77" s="6">
        <f>Summary!G77</f>
        <v/>
      </c>
      <c r="H77" s="6">
        <f>Summary!H77</f>
        <v/>
      </c>
      <c r="I77" s="6">
        <f>Summary!I77</f>
        <v/>
      </c>
      <c r="J77" s="6">
        <f>Summary!J77</f>
        <v/>
      </c>
      <c r="K77" s="6">
        <f>Summary!K77</f>
        <v/>
      </c>
      <c r="L77" s="6">
        <f>Summary!L77</f>
        <v/>
      </c>
      <c r="M77" s="6">
        <f>Summary!M77</f>
        <v/>
      </c>
      <c r="N77" s="6">
        <f>Summary!N77</f>
        <v/>
      </c>
      <c r="O77" s="6">
        <f>Summary!O77</f>
        <v/>
      </c>
      <c r="P77" s="6">
        <f>Summary!P77</f>
        <v/>
      </c>
      <c r="Q77" s="6">
        <f>Summary!Q77</f>
        <v/>
      </c>
      <c r="R77" s="6">
        <f>Summary!R77</f>
        <v/>
      </c>
      <c r="S77" s="6">
        <f>Summary!S77</f>
        <v/>
      </c>
      <c r="T77" s="6">
        <f>Summary!T77</f>
        <v/>
      </c>
      <c r="U77" s="6">
        <f>Summary!U77</f>
        <v/>
      </c>
      <c r="V77" s="6">
        <f>Summary!V77</f>
        <v/>
      </c>
      <c r="W77" s="6">
        <f>Summary!W77</f>
        <v/>
      </c>
      <c r="X77" s="6">
        <f>Summary!X77</f>
        <v/>
      </c>
      <c r="Y77" s="6">
        <f>Summary!Y77</f>
        <v/>
      </c>
      <c r="Z77" s="6">
        <f>Summary!Z77</f>
        <v/>
      </c>
      <c r="AA77" s="6">
        <f>Summary!AA77</f>
        <v/>
      </c>
      <c r="AB77" s="6">
        <f>SUM(D77:AA77)</f>
        <v/>
      </c>
      <c r="AC77" s="3" t="inlineStr"/>
      <c r="AD77" s="7">
        <f>Y77*0.00045414</f>
        <v/>
      </c>
      <c r="AE77" s="7">
        <f>Z77*0.00045414</f>
        <v/>
      </c>
      <c r="AF77" s="7">
        <f>AA77*0.00045414</f>
        <v/>
      </c>
      <c r="AG77" s="7">
        <f>D77*0.00045414</f>
        <v/>
      </c>
      <c r="AH77" s="7">
        <f>E77*0.00045414</f>
        <v/>
      </c>
      <c r="AI77" s="7">
        <f>F77*0.00045414</f>
        <v/>
      </c>
      <c r="AJ77" s="7">
        <f>G77*0.00045414</f>
        <v/>
      </c>
      <c r="AK77" s="7">
        <f>H77*0.00045414</f>
        <v/>
      </c>
      <c r="AL77" s="7">
        <f>I77*0.00045414</f>
        <v/>
      </c>
      <c r="AM77" s="7">
        <f>J77*0.00045414</f>
        <v/>
      </c>
      <c r="AN77" s="7">
        <f>K77*0.00045414</f>
        <v/>
      </c>
      <c r="AO77" s="7">
        <f>L77*0.00045414</f>
        <v/>
      </c>
      <c r="AP77" s="7">
        <f>M77*0.00045414</f>
        <v/>
      </c>
      <c r="AQ77" s="7">
        <f>N77*0.00045414</f>
        <v/>
      </c>
      <c r="AR77" s="7">
        <f>O77*0.00045414</f>
        <v/>
      </c>
      <c r="AS77" s="7">
        <f>P77*0.00045414</f>
        <v/>
      </c>
      <c r="AT77" s="7">
        <f>Q77*0.00045414</f>
        <v/>
      </c>
      <c r="AU77" s="7">
        <f>R77*0.00045414</f>
        <v/>
      </c>
      <c r="AV77" s="7">
        <f>S77*0.00045414</f>
        <v/>
      </c>
      <c r="AW77" s="7">
        <f>T77*0.00045414</f>
        <v/>
      </c>
      <c r="AX77" s="7">
        <f>U77*0.00045414</f>
        <v/>
      </c>
      <c r="AY77" s="7">
        <f>V77*0.00045414</f>
        <v/>
      </c>
      <c r="AZ77" s="7">
        <f>W77*0.00045414</f>
        <v/>
      </c>
      <c r="BA77" s="7">
        <f>X77*0.00045414</f>
        <v/>
      </c>
      <c r="BB77" s="7">
        <f>SUM(AD77:BA77)</f>
        <v/>
      </c>
    </row>
    <row r="78">
      <c r="A78" t="inlineStr">
        <is>
          <t>AMD-M2</t>
        </is>
      </c>
      <c r="B78" t="inlineStr">
        <is>
          <t>Forward Regular OSC</t>
        </is>
      </c>
      <c r="C78" s="5" t="n">
        <v>46091</v>
      </c>
      <c r="D78" s="6">
        <f>Summary!D78</f>
        <v/>
      </c>
      <c r="E78" s="6">
        <f>Summary!E78</f>
        <v/>
      </c>
      <c r="F78" s="6">
        <f>Summary!F78</f>
        <v/>
      </c>
      <c r="G78" s="6">
        <f>Summary!G78</f>
        <v/>
      </c>
      <c r="H78" s="6">
        <f>Summary!H78</f>
        <v/>
      </c>
      <c r="I78" s="6">
        <f>Summary!I78</f>
        <v/>
      </c>
      <c r="J78" s="6">
        <f>Summary!J78</f>
        <v/>
      </c>
      <c r="K78" s="6">
        <f>Summary!K78</f>
        <v/>
      </c>
      <c r="L78" s="6">
        <f>Summary!L78</f>
        <v/>
      </c>
      <c r="M78" s="6">
        <f>Summary!M78</f>
        <v/>
      </c>
      <c r="N78" s="6">
        <f>Summary!N78</f>
        <v/>
      </c>
      <c r="O78" s="6">
        <f>Summary!O78</f>
        <v/>
      </c>
      <c r="P78" s="6">
        <f>Summary!P78</f>
        <v/>
      </c>
      <c r="Q78" s="6">
        <f>Summary!Q78</f>
        <v/>
      </c>
      <c r="R78" s="6">
        <f>Summary!R78</f>
        <v/>
      </c>
      <c r="S78" s="6">
        <f>Summary!S78</f>
        <v/>
      </c>
      <c r="T78" s="6">
        <f>Summary!T78</f>
        <v/>
      </c>
      <c r="U78" s="6">
        <f>Summary!U78</f>
        <v/>
      </c>
      <c r="V78" s="6">
        <f>Summary!V78</f>
        <v/>
      </c>
      <c r="W78" s="6">
        <f>Summary!W78</f>
        <v/>
      </c>
      <c r="X78" s="6">
        <f>Summary!X78</f>
        <v/>
      </c>
      <c r="Y78" s="6">
        <f>Summary!Y78</f>
        <v/>
      </c>
      <c r="Z78" s="6">
        <f>Summary!Z78</f>
        <v/>
      </c>
      <c r="AA78" s="6">
        <f>Summary!AA78</f>
        <v/>
      </c>
      <c r="AB78" s="6">
        <f>SUM(D78:AA78)</f>
        <v/>
      </c>
      <c r="AC78" s="3" t="inlineStr"/>
      <c r="AD78" s="7">
        <f>Y78*0.00045414</f>
        <v/>
      </c>
      <c r="AE78" s="7">
        <f>Z78*0.00045414</f>
        <v/>
      </c>
      <c r="AF78" s="7">
        <f>AA78*0.00045414</f>
        <v/>
      </c>
      <c r="AG78" s="7">
        <f>D78*0.00045414</f>
        <v/>
      </c>
      <c r="AH78" s="7">
        <f>E78*0.00045414</f>
        <v/>
      </c>
      <c r="AI78" s="7">
        <f>F78*0.00045414</f>
        <v/>
      </c>
      <c r="AJ78" s="7">
        <f>G78*0.00045414</f>
        <v/>
      </c>
      <c r="AK78" s="7">
        <f>H78*0.00045414</f>
        <v/>
      </c>
      <c r="AL78" s="7">
        <f>I78*0.00045414</f>
        <v/>
      </c>
      <c r="AM78" s="7">
        <f>J78*0.00045414</f>
        <v/>
      </c>
      <c r="AN78" s="7">
        <f>K78*0.00045414</f>
        <v/>
      </c>
      <c r="AO78" s="7">
        <f>L78*0.00045414</f>
        <v/>
      </c>
      <c r="AP78" s="7">
        <f>M78*0.00045414</f>
        <v/>
      </c>
      <c r="AQ78" s="7">
        <f>N78*0.00045414</f>
        <v/>
      </c>
      <c r="AR78" s="7">
        <f>O78*0.00045414</f>
        <v/>
      </c>
      <c r="AS78" s="7">
        <f>P78*0.00045414</f>
        <v/>
      </c>
      <c r="AT78" s="7">
        <f>Q78*0.00045414</f>
        <v/>
      </c>
      <c r="AU78" s="7">
        <f>R78*0.00045414</f>
        <v/>
      </c>
      <c r="AV78" s="7">
        <f>S78*0.00045414</f>
        <v/>
      </c>
      <c r="AW78" s="7">
        <f>T78*0.00045414</f>
        <v/>
      </c>
      <c r="AX78" s="7">
        <f>U78*0.00045414</f>
        <v/>
      </c>
      <c r="AY78" s="7">
        <f>V78*0.00045414</f>
        <v/>
      </c>
      <c r="AZ78" s="7">
        <f>W78*0.00045414</f>
        <v/>
      </c>
      <c r="BA78" s="7">
        <f>X78*0.00045414</f>
        <v/>
      </c>
      <c r="BB78" s="7">
        <f>SUM(AD78:BA78)</f>
        <v/>
      </c>
    </row>
    <row r="79">
      <c r="A79" t="inlineStr">
        <is>
          <t>AMD-M2</t>
        </is>
      </c>
      <c r="B79" t="inlineStr">
        <is>
          <t>Forward Regular OSC</t>
        </is>
      </c>
      <c r="C79" s="5" t="n">
        <v>46092</v>
      </c>
      <c r="D79" s="6">
        <f>Summary!D79</f>
        <v/>
      </c>
      <c r="E79" s="6">
        <f>Summary!E79</f>
        <v/>
      </c>
      <c r="F79" s="6">
        <f>Summary!F79</f>
        <v/>
      </c>
      <c r="G79" s="6">
        <f>Summary!G79</f>
        <v/>
      </c>
      <c r="H79" s="6">
        <f>Summary!H79</f>
        <v/>
      </c>
      <c r="I79" s="6">
        <f>Summary!I79</f>
        <v/>
      </c>
      <c r="J79" s="6">
        <f>Summary!J79</f>
        <v/>
      </c>
      <c r="K79" s="6">
        <f>Summary!K79</f>
        <v/>
      </c>
      <c r="L79" s="6">
        <f>Summary!L79</f>
        <v/>
      </c>
      <c r="M79" s="6">
        <f>Summary!M79</f>
        <v/>
      </c>
      <c r="N79" s="6">
        <f>Summary!N79</f>
        <v/>
      </c>
      <c r="O79" s="6">
        <f>Summary!O79</f>
        <v/>
      </c>
      <c r="P79" s="6">
        <f>Summary!P79</f>
        <v/>
      </c>
      <c r="Q79" s="6">
        <f>Summary!Q79</f>
        <v/>
      </c>
      <c r="R79" s="6">
        <f>Summary!R79</f>
        <v/>
      </c>
      <c r="S79" s="6">
        <f>Summary!S79</f>
        <v/>
      </c>
      <c r="T79" s="6">
        <f>Summary!T79</f>
        <v/>
      </c>
      <c r="U79" s="6">
        <f>Summary!U79</f>
        <v/>
      </c>
      <c r="V79" s="6">
        <f>Summary!V79</f>
        <v/>
      </c>
      <c r="W79" s="6">
        <f>Summary!W79</f>
        <v/>
      </c>
      <c r="X79" s="6">
        <f>Summary!X79</f>
        <v/>
      </c>
      <c r="Y79" s="6">
        <f>Summary!Y79</f>
        <v/>
      </c>
      <c r="Z79" s="6">
        <f>Summary!Z79</f>
        <v/>
      </c>
      <c r="AA79" s="6">
        <f>Summary!AA79</f>
        <v/>
      </c>
      <c r="AB79" s="6">
        <f>SUM(D79:AA79)</f>
        <v/>
      </c>
      <c r="AC79" s="3" t="inlineStr"/>
      <c r="AD79" s="7">
        <f>Y79*0.00045414</f>
        <v/>
      </c>
      <c r="AE79" s="7">
        <f>Z79*0.00045414</f>
        <v/>
      </c>
      <c r="AF79" s="7">
        <f>AA79*0.00045414</f>
        <v/>
      </c>
      <c r="AG79" s="7">
        <f>D79*0.00045414</f>
        <v/>
      </c>
      <c r="AH79" s="7">
        <f>E79*0.00045414</f>
        <v/>
      </c>
      <c r="AI79" s="7">
        <f>F79*0.00045414</f>
        <v/>
      </c>
      <c r="AJ79" s="7">
        <f>G79*0.00045414</f>
        <v/>
      </c>
      <c r="AK79" s="7">
        <f>H79*0.00045414</f>
        <v/>
      </c>
      <c r="AL79" s="7">
        <f>I79*0.00045414</f>
        <v/>
      </c>
      <c r="AM79" s="7">
        <f>J79*0.00045414</f>
        <v/>
      </c>
      <c r="AN79" s="7">
        <f>K79*0.00045414</f>
        <v/>
      </c>
      <c r="AO79" s="7">
        <f>L79*0.00045414</f>
        <v/>
      </c>
      <c r="AP79" s="7">
        <f>M79*0.00045414</f>
        <v/>
      </c>
      <c r="AQ79" s="7">
        <f>N79*0.00045414</f>
        <v/>
      </c>
      <c r="AR79" s="7">
        <f>O79*0.00045414</f>
        <v/>
      </c>
      <c r="AS79" s="7">
        <f>P79*0.00045414</f>
        <v/>
      </c>
      <c r="AT79" s="7">
        <f>Q79*0.00045414</f>
        <v/>
      </c>
      <c r="AU79" s="7">
        <f>R79*0.00045414</f>
        <v/>
      </c>
      <c r="AV79" s="7">
        <f>S79*0.00045414</f>
        <v/>
      </c>
      <c r="AW79" s="7">
        <f>T79*0.00045414</f>
        <v/>
      </c>
      <c r="AX79" s="7">
        <f>U79*0.00045414</f>
        <v/>
      </c>
      <c r="AY79" s="7">
        <f>V79*0.00045414</f>
        <v/>
      </c>
      <c r="AZ79" s="7">
        <f>W79*0.00045414</f>
        <v/>
      </c>
      <c r="BA79" s="7">
        <f>X79*0.00045414</f>
        <v/>
      </c>
      <c r="BB79" s="7">
        <f>SUM(AD79:BA79)</f>
        <v/>
      </c>
    </row>
    <row r="80">
      <c r="A80" t="inlineStr">
        <is>
          <t>AMD-M2</t>
        </is>
      </c>
      <c r="B80" t="inlineStr">
        <is>
          <t>Forward Regular OSC</t>
        </is>
      </c>
      <c r="C80" s="5" t="n">
        <v>46093</v>
      </c>
      <c r="D80" s="6">
        <f>Summary!D80</f>
        <v/>
      </c>
      <c r="E80" s="6">
        <f>Summary!E80</f>
        <v/>
      </c>
      <c r="F80" s="6">
        <f>Summary!F80</f>
        <v/>
      </c>
      <c r="G80" s="6">
        <f>Summary!G80</f>
        <v/>
      </c>
      <c r="H80" s="6">
        <f>Summary!H80</f>
        <v/>
      </c>
      <c r="I80" s="6">
        <f>Summary!I80</f>
        <v/>
      </c>
      <c r="J80" s="6">
        <f>Summary!J80</f>
        <v/>
      </c>
      <c r="K80" s="6">
        <f>Summary!K80</f>
        <v/>
      </c>
      <c r="L80" s="6">
        <f>Summary!L80</f>
        <v/>
      </c>
      <c r="M80" s="6">
        <f>Summary!M80</f>
        <v/>
      </c>
      <c r="N80" s="6">
        <f>Summary!N80</f>
        <v/>
      </c>
      <c r="O80" s="6">
        <f>Summary!O80</f>
        <v/>
      </c>
      <c r="P80" s="6">
        <f>Summary!P80</f>
        <v/>
      </c>
      <c r="Q80" s="6">
        <f>Summary!Q80</f>
        <v/>
      </c>
      <c r="R80" s="6">
        <f>Summary!R80</f>
        <v/>
      </c>
      <c r="S80" s="6">
        <f>Summary!S80</f>
        <v/>
      </c>
      <c r="T80" s="6">
        <f>Summary!T80</f>
        <v/>
      </c>
      <c r="U80" s="6">
        <f>Summary!U80</f>
        <v/>
      </c>
      <c r="V80" s="6">
        <f>Summary!V80</f>
        <v/>
      </c>
      <c r="W80" s="6">
        <f>Summary!W80</f>
        <v/>
      </c>
      <c r="X80" s="6">
        <f>Summary!X80</f>
        <v/>
      </c>
      <c r="Y80" s="6">
        <f>Summary!Y80</f>
        <v/>
      </c>
      <c r="Z80" s="6">
        <f>Summary!Z80</f>
        <v/>
      </c>
      <c r="AA80" s="6">
        <f>Summary!AA80</f>
        <v/>
      </c>
      <c r="AB80" s="6">
        <f>SUM(D80:AA80)</f>
        <v/>
      </c>
      <c r="AC80" s="3" t="inlineStr"/>
      <c r="AD80" s="7">
        <f>Y80*0.00045414</f>
        <v/>
      </c>
      <c r="AE80" s="7">
        <f>Z80*0.00045414</f>
        <v/>
      </c>
      <c r="AF80" s="7">
        <f>AA80*0.00045414</f>
        <v/>
      </c>
      <c r="AG80" s="7">
        <f>D80*0.00045414</f>
        <v/>
      </c>
      <c r="AH80" s="7">
        <f>E80*0.00045414</f>
        <v/>
      </c>
      <c r="AI80" s="7">
        <f>F80*0.00045414</f>
        <v/>
      </c>
      <c r="AJ80" s="7">
        <f>G80*0.00045414</f>
        <v/>
      </c>
      <c r="AK80" s="7">
        <f>H80*0.00045414</f>
        <v/>
      </c>
      <c r="AL80" s="7">
        <f>I80*0.00045414</f>
        <v/>
      </c>
      <c r="AM80" s="7">
        <f>J80*0.00045414</f>
        <v/>
      </c>
      <c r="AN80" s="7">
        <f>K80*0.00045414</f>
        <v/>
      </c>
      <c r="AO80" s="7">
        <f>L80*0.00045414</f>
        <v/>
      </c>
      <c r="AP80" s="7">
        <f>M80*0.00045414</f>
        <v/>
      </c>
      <c r="AQ80" s="7">
        <f>N80*0.00045414</f>
        <v/>
      </c>
      <c r="AR80" s="7">
        <f>O80*0.00045414</f>
        <v/>
      </c>
      <c r="AS80" s="7">
        <f>P80*0.00045414</f>
        <v/>
      </c>
      <c r="AT80" s="7">
        <f>Q80*0.00045414</f>
        <v/>
      </c>
      <c r="AU80" s="7">
        <f>R80*0.00045414</f>
        <v/>
      </c>
      <c r="AV80" s="7">
        <f>S80*0.00045414</f>
        <v/>
      </c>
      <c r="AW80" s="7">
        <f>T80*0.00045414</f>
        <v/>
      </c>
      <c r="AX80" s="7">
        <f>U80*0.00045414</f>
        <v/>
      </c>
      <c r="AY80" s="7">
        <f>V80*0.00045414</f>
        <v/>
      </c>
      <c r="AZ80" s="7">
        <f>W80*0.00045414</f>
        <v/>
      </c>
      <c r="BA80" s="7">
        <f>X80*0.00045414</f>
        <v/>
      </c>
      <c r="BB80" s="7">
        <f>SUM(AD80:BA80)</f>
        <v/>
      </c>
    </row>
    <row r="81">
      <c r="A81" t="inlineStr">
        <is>
          <t>AMD-M2</t>
        </is>
      </c>
      <c r="B81" t="inlineStr">
        <is>
          <t>Forward Regular OSC</t>
        </is>
      </c>
      <c r="C81" s="5" t="n">
        <v>46094</v>
      </c>
      <c r="D81" s="6">
        <f>Summary!D81</f>
        <v/>
      </c>
      <c r="E81" s="6">
        <f>Summary!E81</f>
        <v/>
      </c>
      <c r="F81" s="6">
        <f>Summary!F81</f>
        <v/>
      </c>
      <c r="G81" s="6">
        <f>Summary!G81</f>
        <v/>
      </c>
      <c r="H81" s="6">
        <f>Summary!H81</f>
        <v/>
      </c>
      <c r="I81" s="6">
        <f>Summary!I81</f>
        <v/>
      </c>
      <c r="J81" s="6">
        <f>Summary!J81</f>
        <v/>
      </c>
      <c r="K81" s="6">
        <f>Summary!K81</f>
        <v/>
      </c>
      <c r="L81" s="6">
        <f>Summary!L81</f>
        <v/>
      </c>
      <c r="M81" s="6">
        <f>Summary!M81</f>
        <v/>
      </c>
      <c r="N81" s="6">
        <f>Summary!N81</f>
        <v/>
      </c>
      <c r="O81" s="6">
        <f>Summary!O81</f>
        <v/>
      </c>
      <c r="P81" s="6">
        <f>Summary!P81</f>
        <v/>
      </c>
      <c r="Q81" s="6">
        <f>Summary!Q81</f>
        <v/>
      </c>
      <c r="R81" s="6">
        <f>Summary!R81</f>
        <v/>
      </c>
      <c r="S81" s="6">
        <f>Summary!S81</f>
        <v/>
      </c>
      <c r="T81" s="6">
        <f>Summary!T81</f>
        <v/>
      </c>
      <c r="U81" s="6">
        <f>Summary!U81</f>
        <v/>
      </c>
      <c r="V81" s="6">
        <f>Summary!V81</f>
        <v/>
      </c>
      <c r="W81" s="6">
        <f>Summary!W81</f>
        <v/>
      </c>
      <c r="X81" s="6">
        <f>Summary!X81</f>
        <v/>
      </c>
      <c r="Y81" s="6">
        <f>Summary!Y81</f>
        <v/>
      </c>
      <c r="Z81" s="6">
        <f>Summary!Z81</f>
        <v/>
      </c>
      <c r="AA81" s="6">
        <f>Summary!AA81</f>
        <v/>
      </c>
      <c r="AB81" s="6">
        <f>SUM(D81:AA81)</f>
        <v/>
      </c>
      <c r="AC81" s="3" t="inlineStr"/>
      <c r="AD81" s="7">
        <f>Y81*0.00045414</f>
        <v/>
      </c>
      <c r="AE81" s="7">
        <f>Z81*0.00045414</f>
        <v/>
      </c>
      <c r="AF81" s="7">
        <f>AA81*0.00045414</f>
        <v/>
      </c>
      <c r="AG81" s="7">
        <f>D81*0.00045414</f>
        <v/>
      </c>
      <c r="AH81" s="7">
        <f>E81*0.00045414</f>
        <v/>
      </c>
      <c r="AI81" s="7">
        <f>F81*0.00045414</f>
        <v/>
      </c>
      <c r="AJ81" s="7">
        <f>G81*0.00045414</f>
        <v/>
      </c>
      <c r="AK81" s="7">
        <f>H81*0.00045414</f>
        <v/>
      </c>
      <c r="AL81" s="7">
        <f>I81*0.00045414</f>
        <v/>
      </c>
      <c r="AM81" s="7">
        <f>J81*0.00045414</f>
        <v/>
      </c>
      <c r="AN81" s="7">
        <f>K81*0.00045414</f>
        <v/>
      </c>
      <c r="AO81" s="7">
        <f>L81*0.00045414</f>
        <v/>
      </c>
      <c r="AP81" s="7">
        <f>M81*0.00045414</f>
        <v/>
      </c>
      <c r="AQ81" s="7">
        <f>N81*0.00045414</f>
        <v/>
      </c>
      <c r="AR81" s="7">
        <f>O81*0.00045414</f>
        <v/>
      </c>
      <c r="AS81" s="7">
        <f>P81*0.00045414</f>
        <v/>
      </c>
      <c r="AT81" s="7">
        <f>Q81*0.00045414</f>
        <v/>
      </c>
      <c r="AU81" s="7">
        <f>R81*0.00045414</f>
        <v/>
      </c>
      <c r="AV81" s="7">
        <f>S81*0.00045414</f>
        <v/>
      </c>
      <c r="AW81" s="7">
        <f>T81*0.00045414</f>
        <v/>
      </c>
      <c r="AX81" s="7">
        <f>U81*0.00045414</f>
        <v/>
      </c>
      <c r="AY81" s="7">
        <f>V81*0.00045414</f>
        <v/>
      </c>
      <c r="AZ81" s="7">
        <f>W81*0.00045414</f>
        <v/>
      </c>
      <c r="BA81" s="7">
        <f>X81*0.00045414</f>
        <v/>
      </c>
      <c r="BB81" s="7">
        <f>SUM(AD81:BA81)</f>
        <v/>
      </c>
    </row>
    <row r="82">
      <c r="A82" t="inlineStr">
        <is>
          <t>AMD-M2</t>
        </is>
      </c>
      <c r="B82" t="inlineStr">
        <is>
          <t>Forward Regular OSC</t>
        </is>
      </c>
      <c r="C82" s="5" t="n">
        <v>46095</v>
      </c>
      <c r="D82" s="6">
        <f>Summary!D82</f>
        <v/>
      </c>
      <c r="E82" s="6">
        <f>Summary!E82</f>
        <v/>
      </c>
      <c r="F82" s="6">
        <f>Summary!F82</f>
        <v/>
      </c>
      <c r="G82" s="6">
        <f>Summary!G82</f>
        <v/>
      </c>
      <c r="H82" s="6">
        <f>Summary!H82</f>
        <v/>
      </c>
      <c r="I82" s="6">
        <f>Summary!I82</f>
        <v/>
      </c>
      <c r="J82" s="6">
        <f>Summary!J82</f>
        <v/>
      </c>
      <c r="K82" s="6">
        <f>Summary!K82</f>
        <v/>
      </c>
      <c r="L82" s="6">
        <f>Summary!L82</f>
        <v/>
      </c>
      <c r="M82" s="6">
        <f>Summary!M82</f>
        <v/>
      </c>
      <c r="N82" s="6">
        <f>Summary!N82</f>
        <v/>
      </c>
      <c r="O82" s="6">
        <f>Summary!O82</f>
        <v/>
      </c>
      <c r="P82" s="6">
        <f>Summary!P82</f>
        <v/>
      </c>
      <c r="Q82" s="6">
        <f>Summary!Q82</f>
        <v/>
      </c>
      <c r="R82" s="6">
        <f>Summary!R82</f>
        <v/>
      </c>
      <c r="S82" s="6">
        <f>Summary!S82</f>
        <v/>
      </c>
      <c r="T82" s="6">
        <f>Summary!T82</f>
        <v/>
      </c>
      <c r="U82" s="6">
        <f>Summary!U82</f>
        <v/>
      </c>
      <c r="V82" s="6">
        <f>Summary!V82</f>
        <v/>
      </c>
      <c r="W82" s="6">
        <f>Summary!W82</f>
        <v/>
      </c>
      <c r="X82" s="6">
        <f>Summary!X82</f>
        <v/>
      </c>
      <c r="Y82" s="6">
        <f>Summary!Y82</f>
        <v/>
      </c>
      <c r="Z82" s="6">
        <f>Summary!Z82</f>
        <v/>
      </c>
      <c r="AA82" s="6">
        <f>Summary!AA82</f>
        <v/>
      </c>
      <c r="AB82" s="6">
        <f>SUM(D82:AA82)</f>
        <v/>
      </c>
      <c r="AC82" s="3" t="inlineStr"/>
      <c r="AD82" s="7">
        <f>Y82*0.00045414</f>
        <v/>
      </c>
      <c r="AE82" s="7">
        <f>Z82*0.00045414</f>
        <v/>
      </c>
      <c r="AF82" s="7">
        <f>AA82*0.00045414</f>
        <v/>
      </c>
      <c r="AG82" s="7">
        <f>D82*0.00045414</f>
        <v/>
      </c>
      <c r="AH82" s="7">
        <f>E82*0.00045414</f>
        <v/>
      </c>
      <c r="AI82" s="7">
        <f>F82*0.00045414</f>
        <v/>
      </c>
      <c r="AJ82" s="7">
        <f>G82*0.00045414</f>
        <v/>
      </c>
      <c r="AK82" s="7">
        <f>H82*0.00045414</f>
        <v/>
      </c>
      <c r="AL82" s="7">
        <f>I82*0.00045414</f>
        <v/>
      </c>
      <c r="AM82" s="7">
        <f>J82*0.00045414</f>
        <v/>
      </c>
      <c r="AN82" s="7">
        <f>K82*0.00045414</f>
        <v/>
      </c>
      <c r="AO82" s="7">
        <f>L82*0.00045414</f>
        <v/>
      </c>
      <c r="AP82" s="7">
        <f>M82*0.00045414</f>
        <v/>
      </c>
      <c r="AQ82" s="7">
        <f>N82*0.00045414</f>
        <v/>
      </c>
      <c r="AR82" s="7">
        <f>O82*0.00045414</f>
        <v/>
      </c>
      <c r="AS82" s="7">
        <f>P82*0.00045414</f>
        <v/>
      </c>
      <c r="AT82" s="7">
        <f>Q82*0.00045414</f>
        <v/>
      </c>
      <c r="AU82" s="7">
        <f>R82*0.00045414</f>
        <v/>
      </c>
      <c r="AV82" s="7">
        <f>S82*0.00045414</f>
        <v/>
      </c>
      <c r="AW82" s="7">
        <f>T82*0.00045414</f>
        <v/>
      </c>
      <c r="AX82" s="7">
        <f>U82*0.00045414</f>
        <v/>
      </c>
      <c r="AY82" s="7">
        <f>V82*0.00045414</f>
        <v/>
      </c>
      <c r="AZ82" s="7">
        <f>W82*0.00045414</f>
        <v/>
      </c>
      <c r="BA82" s="7">
        <f>X82*0.00045414</f>
        <v/>
      </c>
      <c r="BB82" s="7">
        <f>SUM(AD82:BA82)</f>
        <v/>
      </c>
    </row>
    <row r="83">
      <c r="A83" t="inlineStr">
        <is>
          <t>AMD-M2</t>
        </is>
      </c>
      <c r="B83" t="inlineStr">
        <is>
          <t>Forward Regular OSC</t>
        </is>
      </c>
      <c r="C83" s="5" t="n">
        <v>46096</v>
      </c>
      <c r="D83" s="6">
        <f>Summary!D83</f>
        <v/>
      </c>
      <c r="E83" s="6">
        <f>Summary!E83</f>
        <v/>
      </c>
      <c r="F83" s="6">
        <f>Summary!F83</f>
        <v/>
      </c>
      <c r="G83" s="6">
        <f>Summary!G83</f>
        <v/>
      </c>
      <c r="H83" s="6">
        <f>Summary!H83</f>
        <v/>
      </c>
      <c r="I83" s="6">
        <f>Summary!I83</f>
        <v/>
      </c>
      <c r="J83" s="6">
        <f>Summary!J83</f>
        <v/>
      </c>
      <c r="K83" s="6">
        <f>Summary!K83</f>
        <v/>
      </c>
      <c r="L83" s="6">
        <f>Summary!L83</f>
        <v/>
      </c>
      <c r="M83" s="6">
        <f>Summary!M83</f>
        <v/>
      </c>
      <c r="N83" s="6">
        <f>Summary!N83</f>
        <v/>
      </c>
      <c r="O83" s="6">
        <f>Summary!O83</f>
        <v/>
      </c>
      <c r="P83" s="6">
        <f>Summary!P83</f>
        <v/>
      </c>
      <c r="Q83" s="6">
        <f>Summary!Q83</f>
        <v/>
      </c>
      <c r="R83" s="6">
        <f>Summary!R83</f>
        <v/>
      </c>
      <c r="S83" s="6">
        <f>Summary!S83</f>
        <v/>
      </c>
      <c r="T83" s="6">
        <f>Summary!T83</f>
        <v/>
      </c>
      <c r="U83" s="6">
        <f>Summary!U83</f>
        <v/>
      </c>
      <c r="V83" s="6">
        <f>Summary!V83</f>
        <v/>
      </c>
      <c r="W83" s="6">
        <f>Summary!W83</f>
        <v/>
      </c>
      <c r="X83" s="6">
        <f>Summary!X83</f>
        <v/>
      </c>
      <c r="Y83" s="6">
        <f>Summary!Y83</f>
        <v/>
      </c>
      <c r="Z83" s="6">
        <f>Summary!Z83</f>
        <v/>
      </c>
      <c r="AA83" s="6">
        <f>Summary!AA83</f>
        <v/>
      </c>
      <c r="AB83" s="6">
        <f>SUM(D83:AA83)</f>
        <v/>
      </c>
      <c r="AC83" s="3" t="inlineStr"/>
      <c r="AD83" s="7">
        <f>Y83*0.00045414</f>
        <v/>
      </c>
      <c r="AE83" s="7">
        <f>Z83*0.00045414</f>
        <v/>
      </c>
      <c r="AF83" s="7">
        <f>AA83*0.00045414</f>
        <v/>
      </c>
      <c r="AG83" s="7">
        <f>D83*0.00045414</f>
        <v/>
      </c>
      <c r="AH83" s="7">
        <f>E83*0.00045414</f>
        <v/>
      </c>
      <c r="AI83" s="7">
        <f>F83*0.00045414</f>
        <v/>
      </c>
      <c r="AJ83" s="7">
        <f>G83*0.00045414</f>
        <v/>
      </c>
      <c r="AK83" s="7">
        <f>H83*0.00045414</f>
        <v/>
      </c>
      <c r="AL83" s="7">
        <f>I83*0.00045414</f>
        <v/>
      </c>
      <c r="AM83" s="7">
        <f>J83*0.00045414</f>
        <v/>
      </c>
      <c r="AN83" s="7">
        <f>K83*0.00045414</f>
        <v/>
      </c>
      <c r="AO83" s="7">
        <f>L83*0.00045414</f>
        <v/>
      </c>
      <c r="AP83" s="7">
        <f>M83*0.00045414</f>
        <v/>
      </c>
      <c r="AQ83" s="7">
        <f>N83*0.00045414</f>
        <v/>
      </c>
      <c r="AR83" s="7">
        <f>O83*0.00045414</f>
        <v/>
      </c>
      <c r="AS83" s="7">
        <f>P83*0.00045414</f>
        <v/>
      </c>
      <c r="AT83" s="7">
        <f>Q83*0.00045414</f>
        <v/>
      </c>
      <c r="AU83" s="7">
        <f>R83*0.00045414</f>
        <v/>
      </c>
      <c r="AV83" s="7">
        <f>S83*0.00045414</f>
        <v/>
      </c>
      <c r="AW83" s="7">
        <f>T83*0.00045414</f>
        <v/>
      </c>
      <c r="AX83" s="7">
        <f>U83*0.00045414</f>
        <v/>
      </c>
      <c r="AY83" s="7">
        <f>V83*0.00045414</f>
        <v/>
      </c>
      <c r="AZ83" s="7">
        <f>W83*0.00045414</f>
        <v/>
      </c>
      <c r="BA83" s="7">
        <f>X83*0.00045414</f>
        <v/>
      </c>
      <c r="BB83" s="7">
        <f>SUM(AD83:BA83)</f>
        <v/>
      </c>
    </row>
    <row r="84">
      <c r="A84" t="inlineStr">
        <is>
          <t>AMD-M2</t>
        </is>
      </c>
      <c r="B84" t="inlineStr">
        <is>
          <t>Forward Regular OSC</t>
        </is>
      </c>
      <c r="C84" s="5" t="n">
        <v>46097</v>
      </c>
      <c r="D84" s="6">
        <f>Summary!D84</f>
        <v/>
      </c>
      <c r="E84" s="6">
        <f>Summary!E84</f>
        <v/>
      </c>
      <c r="F84" s="6">
        <f>Summary!F84</f>
        <v/>
      </c>
      <c r="G84" s="6">
        <f>Summary!G84</f>
        <v/>
      </c>
      <c r="H84" s="6">
        <f>Summary!H84</f>
        <v/>
      </c>
      <c r="I84" s="6">
        <f>Summary!I84</f>
        <v/>
      </c>
      <c r="J84" s="6">
        <f>Summary!J84</f>
        <v/>
      </c>
      <c r="K84" s="6">
        <f>Summary!K84</f>
        <v/>
      </c>
      <c r="L84" s="6">
        <f>Summary!L84</f>
        <v/>
      </c>
      <c r="M84" s="6">
        <f>Summary!M84</f>
        <v/>
      </c>
      <c r="N84" s="6">
        <f>Summary!N84</f>
        <v/>
      </c>
      <c r="O84" s="6">
        <f>Summary!O84</f>
        <v/>
      </c>
      <c r="P84" s="6">
        <f>Summary!P84</f>
        <v/>
      </c>
      <c r="Q84" s="6">
        <f>Summary!Q84</f>
        <v/>
      </c>
      <c r="R84" s="6">
        <f>Summary!R84</f>
        <v/>
      </c>
      <c r="S84" s="6">
        <f>Summary!S84</f>
        <v/>
      </c>
      <c r="T84" s="6">
        <f>Summary!T84</f>
        <v/>
      </c>
      <c r="U84" s="6">
        <f>Summary!U84</f>
        <v/>
      </c>
      <c r="V84" s="6">
        <f>Summary!V84</f>
        <v/>
      </c>
      <c r="W84" s="6">
        <f>Summary!W84</f>
        <v/>
      </c>
      <c r="X84" s="6">
        <f>Summary!X84</f>
        <v/>
      </c>
      <c r="Y84" s="6">
        <f>Summary!Y84</f>
        <v/>
      </c>
      <c r="Z84" s="6">
        <f>Summary!Z84</f>
        <v/>
      </c>
      <c r="AA84" s="6">
        <f>Summary!AA84</f>
        <v/>
      </c>
      <c r="AB84" s="6">
        <f>SUM(D84:AA84)</f>
        <v/>
      </c>
      <c r="AC84" s="3" t="inlineStr"/>
      <c r="AD84" s="7">
        <f>Y84*0.00045414</f>
        <v/>
      </c>
      <c r="AE84" s="7">
        <f>Z84*0.00045414</f>
        <v/>
      </c>
      <c r="AF84" s="7">
        <f>AA84*0.00045414</f>
        <v/>
      </c>
      <c r="AG84" s="7">
        <f>D84*0.00045414</f>
        <v/>
      </c>
      <c r="AH84" s="7">
        <f>E84*0.00045414</f>
        <v/>
      </c>
      <c r="AI84" s="7">
        <f>F84*0.00045414</f>
        <v/>
      </c>
      <c r="AJ84" s="7">
        <f>G84*0.00045414</f>
        <v/>
      </c>
      <c r="AK84" s="7">
        <f>H84*0.00045414</f>
        <v/>
      </c>
      <c r="AL84" s="7">
        <f>I84*0.00045414</f>
        <v/>
      </c>
      <c r="AM84" s="7">
        <f>J84*0.00045414</f>
        <v/>
      </c>
      <c r="AN84" s="7">
        <f>K84*0.00045414</f>
        <v/>
      </c>
      <c r="AO84" s="7">
        <f>L84*0.00045414</f>
        <v/>
      </c>
      <c r="AP84" s="7">
        <f>M84*0.00045414</f>
        <v/>
      </c>
      <c r="AQ84" s="7">
        <f>N84*0.00045414</f>
        <v/>
      </c>
      <c r="AR84" s="7">
        <f>O84*0.00045414</f>
        <v/>
      </c>
      <c r="AS84" s="7">
        <f>P84*0.00045414</f>
        <v/>
      </c>
      <c r="AT84" s="7">
        <f>Q84*0.00045414</f>
        <v/>
      </c>
      <c r="AU84" s="7">
        <f>R84*0.00045414</f>
        <v/>
      </c>
      <c r="AV84" s="7">
        <f>S84*0.00045414</f>
        <v/>
      </c>
      <c r="AW84" s="7">
        <f>T84*0.00045414</f>
        <v/>
      </c>
      <c r="AX84" s="7">
        <f>U84*0.00045414</f>
        <v/>
      </c>
      <c r="AY84" s="7">
        <f>V84*0.00045414</f>
        <v/>
      </c>
      <c r="AZ84" s="7">
        <f>W84*0.00045414</f>
        <v/>
      </c>
      <c r="BA84" s="7">
        <f>X84*0.00045414</f>
        <v/>
      </c>
      <c r="BB84" s="7">
        <f>SUM(AD84:BA84)</f>
        <v/>
      </c>
    </row>
    <row r="85">
      <c r="A85" t="inlineStr">
        <is>
          <t>AMD-MU-01</t>
        </is>
      </c>
      <c r="B85" t="inlineStr">
        <is>
          <t>Forward Regular OSC</t>
        </is>
      </c>
      <c r="C85" s="5" t="n">
        <v>46091</v>
      </c>
      <c r="D85" s="6">
        <f>Summary!D85</f>
        <v/>
      </c>
      <c r="E85" s="6">
        <f>Summary!E85</f>
        <v/>
      </c>
      <c r="F85" s="6">
        <f>Summary!F85</f>
        <v/>
      </c>
      <c r="G85" s="6">
        <f>Summary!G85</f>
        <v/>
      </c>
      <c r="H85" s="6">
        <f>Summary!H85</f>
        <v/>
      </c>
      <c r="I85" s="6">
        <f>Summary!I85</f>
        <v/>
      </c>
      <c r="J85" s="6">
        <f>Summary!J85</f>
        <v/>
      </c>
      <c r="K85" s="6">
        <f>Summary!K85</f>
        <v/>
      </c>
      <c r="L85" s="6">
        <f>Summary!L85</f>
        <v/>
      </c>
      <c r="M85" s="6">
        <f>Summary!M85</f>
        <v/>
      </c>
      <c r="N85" s="6">
        <f>Summary!N85</f>
        <v/>
      </c>
      <c r="O85" s="6">
        <f>Summary!O85</f>
        <v/>
      </c>
      <c r="P85" s="6">
        <f>Summary!P85</f>
        <v/>
      </c>
      <c r="Q85" s="6">
        <f>Summary!Q85</f>
        <v/>
      </c>
      <c r="R85" s="6">
        <f>Summary!R85</f>
        <v/>
      </c>
      <c r="S85" s="6">
        <f>Summary!S85</f>
        <v/>
      </c>
      <c r="T85" s="6">
        <f>Summary!T85</f>
        <v/>
      </c>
      <c r="U85" s="6">
        <f>Summary!U85</f>
        <v/>
      </c>
      <c r="V85" s="6">
        <f>Summary!V85</f>
        <v/>
      </c>
      <c r="W85" s="6">
        <f>Summary!W85</f>
        <v/>
      </c>
      <c r="X85" s="6">
        <f>Summary!X85</f>
        <v/>
      </c>
      <c r="Y85" s="6">
        <f>Summary!Y85</f>
        <v/>
      </c>
      <c r="Z85" s="6">
        <f>Summary!Z85</f>
        <v/>
      </c>
      <c r="AA85" s="6">
        <f>Summary!AA85</f>
        <v/>
      </c>
      <c r="AB85" s="6">
        <f>SUM(D85:AA85)</f>
        <v/>
      </c>
      <c r="AC85" s="3" t="inlineStr"/>
      <c r="AD85" s="7">
        <f>Y85*0.00045414</f>
        <v/>
      </c>
      <c r="AE85" s="7">
        <f>Z85*0.00045414</f>
        <v/>
      </c>
      <c r="AF85" s="7">
        <f>AA85*0.00045414</f>
        <v/>
      </c>
      <c r="AG85" s="7">
        <f>D85*0.00045414</f>
        <v/>
      </c>
      <c r="AH85" s="7">
        <f>E85*0.00045414</f>
        <v/>
      </c>
      <c r="AI85" s="7">
        <f>F85*0.00045414</f>
        <v/>
      </c>
      <c r="AJ85" s="7">
        <f>G85*0.00045414</f>
        <v/>
      </c>
      <c r="AK85" s="7">
        <f>H85*0.00045414</f>
        <v/>
      </c>
      <c r="AL85" s="7">
        <f>I85*0.00045414</f>
        <v/>
      </c>
      <c r="AM85" s="7">
        <f>J85*0.00045414</f>
        <v/>
      </c>
      <c r="AN85" s="7">
        <f>K85*0.00045414</f>
        <v/>
      </c>
      <c r="AO85" s="7">
        <f>L85*0.00045414</f>
        <v/>
      </c>
      <c r="AP85" s="7">
        <f>M85*0.00045414</f>
        <v/>
      </c>
      <c r="AQ85" s="7">
        <f>N85*0.00045414</f>
        <v/>
      </c>
      <c r="AR85" s="7">
        <f>O85*0.00045414</f>
        <v/>
      </c>
      <c r="AS85" s="7">
        <f>P85*0.00045414</f>
        <v/>
      </c>
      <c r="AT85" s="7">
        <f>Q85*0.00045414</f>
        <v/>
      </c>
      <c r="AU85" s="7">
        <f>R85*0.00045414</f>
        <v/>
      </c>
      <c r="AV85" s="7">
        <f>S85*0.00045414</f>
        <v/>
      </c>
      <c r="AW85" s="7">
        <f>T85*0.00045414</f>
        <v/>
      </c>
      <c r="AX85" s="7">
        <f>U85*0.00045414</f>
        <v/>
      </c>
      <c r="AY85" s="7">
        <f>V85*0.00045414</f>
        <v/>
      </c>
      <c r="AZ85" s="7">
        <f>W85*0.00045414</f>
        <v/>
      </c>
      <c r="BA85" s="7">
        <f>X85*0.00045414</f>
        <v/>
      </c>
      <c r="BB85" s="7">
        <f>SUM(AD85:BA85)</f>
        <v/>
      </c>
    </row>
    <row r="86">
      <c r="A86" t="inlineStr">
        <is>
          <t>AMD-RTS-RCLS-1302-SSC</t>
        </is>
      </c>
      <c r="B86" t="inlineStr">
        <is>
          <t>Rev OSC</t>
        </is>
      </c>
      <c r="C86" s="5" t="n">
        <v>46089</v>
      </c>
      <c r="D86" s="6">
        <f>Summary!D86</f>
        <v/>
      </c>
      <c r="E86" s="6">
        <f>Summary!E86</f>
        <v/>
      </c>
      <c r="F86" s="6">
        <f>Summary!F86</f>
        <v/>
      </c>
      <c r="G86" s="6">
        <f>Summary!G86</f>
        <v/>
      </c>
      <c r="H86" s="6">
        <f>Summary!H86</f>
        <v/>
      </c>
      <c r="I86" s="6">
        <f>Summary!I86</f>
        <v/>
      </c>
      <c r="J86" s="6">
        <f>Summary!J86</f>
        <v/>
      </c>
      <c r="K86" s="6">
        <f>Summary!K86</f>
        <v/>
      </c>
      <c r="L86" s="6">
        <f>Summary!L86</f>
        <v/>
      </c>
      <c r="M86" s="6">
        <f>Summary!M86</f>
        <v/>
      </c>
      <c r="N86" s="6">
        <f>Summary!N86</f>
        <v/>
      </c>
      <c r="O86" s="6">
        <f>Summary!O86</f>
        <v/>
      </c>
      <c r="P86" s="6">
        <f>Summary!P86</f>
        <v/>
      </c>
      <c r="Q86" s="6">
        <f>Summary!Q86</f>
        <v/>
      </c>
      <c r="R86" s="6">
        <f>Summary!R86</f>
        <v/>
      </c>
      <c r="S86" s="6">
        <f>Summary!S86</f>
        <v/>
      </c>
      <c r="T86" s="6">
        <f>Summary!T86</f>
        <v/>
      </c>
      <c r="U86" s="6">
        <f>Summary!U86</f>
        <v/>
      </c>
      <c r="V86" s="6">
        <f>Summary!V86</f>
        <v/>
      </c>
      <c r="W86" s="6">
        <f>Summary!W86</f>
        <v/>
      </c>
      <c r="X86" s="6">
        <f>Summary!X86</f>
        <v/>
      </c>
      <c r="Y86" s="6">
        <f>Summary!Y86</f>
        <v/>
      </c>
      <c r="Z86" s="6">
        <f>Summary!Z86</f>
        <v/>
      </c>
      <c r="AA86" s="6">
        <f>Summary!AA86</f>
        <v/>
      </c>
      <c r="AB86" s="6">
        <f>SUM(D86:AA86)</f>
        <v/>
      </c>
      <c r="AC86" s="3" t="inlineStr"/>
      <c r="AD86" s="7">
        <f>Y86*0.00045414</f>
        <v/>
      </c>
      <c r="AE86" s="7">
        <f>Z86*0.00045414</f>
        <v/>
      </c>
      <c r="AF86" s="7">
        <f>AA86*0.00045414</f>
        <v/>
      </c>
      <c r="AG86" s="7">
        <f>D86*0.00045414</f>
        <v/>
      </c>
      <c r="AH86" s="7">
        <f>E86*0.00045414</f>
        <v/>
      </c>
      <c r="AI86" s="7">
        <f>F86*0.00045414</f>
        <v/>
      </c>
      <c r="AJ86" s="7">
        <f>G86*0.00045414</f>
        <v/>
      </c>
      <c r="AK86" s="7">
        <f>H86*0.00045414</f>
        <v/>
      </c>
      <c r="AL86" s="7">
        <f>I86*0.00045414</f>
        <v/>
      </c>
      <c r="AM86" s="7">
        <f>J86*0.00045414</f>
        <v/>
      </c>
      <c r="AN86" s="7">
        <f>K86*0.00045414</f>
        <v/>
      </c>
      <c r="AO86" s="7">
        <f>L86*0.00045414</f>
        <v/>
      </c>
      <c r="AP86" s="7">
        <f>M86*0.00045414</f>
        <v/>
      </c>
      <c r="AQ86" s="7">
        <f>N86*0.00045414</f>
        <v/>
      </c>
      <c r="AR86" s="7">
        <f>O86*0.00045414</f>
        <v/>
      </c>
      <c r="AS86" s="7">
        <f>P86*0.00045414</f>
        <v/>
      </c>
      <c r="AT86" s="7">
        <f>Q86*0.00045414</f>
        <v/>
      </c>
      <c r="AU86" s="7">
        <f>R86*0.00045414</f>
        <v/>
      </c>
      <c r="AV86" s="7">
        <f>S86*0.00045414</f>
        <v/>
      </c>
      <c r="AW86" s="7">
        <f>T86*0.00045414</f>
        <v/>
      </c>
      <c r="AX86" s="7">
        <f>U86*0.00045414</f>
        <v/>
      </c>
      <c r="AY86" s="7">
        <f>V86*0.00045414</f>
        <v/>
      </c>
      <c r="AZ86" s="7">
        <f>W86*0.00045414</f>
        <v/>
      </c>
      <c r="BA86" s="7">
        <f>X86*0.00045414</f>
        <v/>
      </c>
      <c r="BB86" s="7">
        <f>SUM(AD86:BA86)</f>
        <v/>
      </c>
    </row>
    <row r="87">
      <c r="A87" t="inlineStr">
        <is>
          <t>AMD-RTS-RCLS-1302-SSC</t>
        </is>
      </c>
      <c r="B87" t="inlineStr">
        <is>
          <t>Rev OSC</t>
        </is>
      </c>
      <c r="C87" s="5" t="n">
        <v>46090</v>
      </c>
      <c r="D87" s="6">
        <f>Summary!D87</f>
        <v/>
      </c>
      <c r="E87" s="6">
        <f>Summary!E87</f>
        <v/>
      </c>
      <c r="F87" s="6">
        <f>Summary!F87</f>
        <v/>
      </c>
      <c r="G87" s="6">
        <f>Summary!G87</f>
        <v/>
      </c>
      <c r="H87" s="6">
        <f>Summary!H87</f>
        <v/>
      </c>
      <c r="I87" s="6">
        <f>Summary!I87</f>
        <v/>
      </c>
      <c r="J87" s="6">
        <f>Summary!J87</f>
        <v/>
      </c>
      <c r="K87" s="6">
        <f>Summary!K87</f>
        <v/>
      </c>
      <c r="L87" s="6">
        <f>Summary!L87</f>
        <v/>
      </c>
      <c r="M87" s="6">
        <f>Summary!M87</f>
        <v/>
      </c>
      <c r="N87" s="6">
        <f>Summary!N87</f>
        <v/>
      </c>
      <c r="O87" s="6">
        <f>Summary!O87</f>
        <v/>
      </c>
      <c r="P87" s="6">
        <f>Summary!P87</f>
        <v/>
      </c>
      <c r="Q87" s="6">
        <f>Summary!Q87</f>
        <v/>
      </c>
      <c r="R87" s="6">
        <f>Summary!R87</f>
        <v/>
      </c>
      <c r="S87" s="6">
        <f>Summary!S87</f>
        <v/>
      </c>
      <c r="T87" s="6">
        <f>Summary!T87</f>
        <v/>
      </c>
      <c r="U87" s="6">
        <f>Summary!U87</f>
        <v/>
      </c>
      <c r="V87" s="6">
        <f>Summary!V87</f>
        <v/>
      </c>
      <c r="W87" s="6">
        <f>Summary!W87</f>
        <v/>
      </c>
      <c r="X87" s="6">
        <f>Summary!X87</f>
        <v/>
      </c>
      <c r="Y87" s="6">
        <f>Summary!Y87</f>
        <v/>
      </c>
      <c r="Z87" s="6">
        <f>Summary!Z87</f>
        <v/>
      </c>
      <c r="AA87" s="6">
        <f>Summary!AA87</f>
        <v/>
      </c>
      <c r="AB87" s="6">
        <f>SUM(D87:AA87)</f>
        <v/>
      </c>
      <c r="AC87" s="3" t="inlineStr"/>
      <c r="AD87" s="7">
        <f>Y87*0.00045414</f>
        <v/>
      </c>
      <c r="AE87" s="7">
        <f>Z87*0.00045414</f>
        <v/>
      </c>
      <c r="AF87" s="7">
        <f>AA87*0.00045414</f>
        <v/>
      </c>
      <c r="AG87" s="7">
        <f>D87*0.00045414</f>
        <v/>
      </c>
      <c r="AH87" s="7">
        <f>E87*0.00045414</f>
        <v/>
      </c>
      <c r="AI87" s="7">
        <f>F87*0.00045414</f>
        <v/>
      </c>
      <c r="AJ87" s="7">
        <f>G87*0.00045414</f>
        <v/>
      </c>
      <c r="AK87" s="7">
        <f>H87*0.00045414</f>
        <v/>
      </c>
      <c r="AL87" s="7">
        <f>I87*0.00045414</f>
        <v/>
      </c>
      <c r="AM87" s="7">
        <f>J87*0.00045414</f>
        <v/>
      </c>
      <c r="AN87" s="7">
        <f>K87*0.00045414</f>
        <v/>
      </c>
      <c r="AO87" s="7">
        <f>L87*0.00045414</f>
        <v/>
      </c>
      <c r="AP87" s="7">
        <f>M87*0.00045414</f>
        <v/>
      </c>
      <c r="AQ87" s="7">
        <f>N87*0.00045414</f>
        <v/>
      </c>
      <c r="AR87" s="7">
        <f>O87*0.00045414</f>
        <v/>
      </c>
      <c r="AS87" s="7">
        <f>P87*0.00045414</f>
        <v/>
      </c>
      <c r="AT87" s="7">
        <f>Q87*0.00045414</f>
        <v/>
      </c>
      <c r="AU87" s="7">
        <f>R87*0.00045414</f>
        <v/>
      </c>
      <c r="AV87" s="7">
        <f>S87*0.00045414</f>
        <v/>
      </c>
      <c r="AW87" s="7">
        <f>T87*0.00045414</f>
        <v/>
      </c>
      <c r="AX87" s="7">
        <f>U87*0.00045414</f>
        <v/>
      </c>
      <c r="AY87" s="7">
        <f>V87*0.00045414</f>
        <v/>
      </c>
      <c r="AZ87" s="7">
        <f>W87*0.00045414</f>
        <v/>
      </c>
      <c r="BA87" s="7">
        <f>X87*0.00045414</f>
        <v/>
      </c>
      <c r="BB87" s="7">
        <f>SUM(AD87:BA87)</f>
        <v/>
      </c>
    </row>
    <row r="88">
      <c r="A88" t="inlineStr">
        <is>
          <t>AMD-RTS-RCLS-1302-SSC</t>
        </is>
      </c>
      <c r="B88" t="inlineStr">
        <is>
          <t>Rev OSC</t>
        </is>
      </c>
      <c r="C88" s="5" t="n">
        <v>46092</v>
      </c>
      <c r="D88" s="6">
        <f>Summary!D88</f>
        <v/>
      </c>
      <c r="E88" s="6">
        <f>Summary!E88</f>
        <v/>
      </c>
      <c r="F88" s="6">
        <f>Summary!F88</f>
        <v/>
      </c>
      <c r="G88" s="6">
        <f>Summary!G88</f>
        <v/>
      </c>
      <c r="H88" s="6">
        <f>Summary!H88</f>
        <v/>
      </c>
      <c r="I88" s="6">
        <f>Summary!I88</f>
        <v/>
      </c>
      <c r="J88" s="6">
        <f>Summary!J88</f>
        <v/>
      </c>
      <c r="K88" s="6">
        <f>Summary!K88</f>
        <v/>
      </c>
      <c r="L88" s="6">
        <f>Summary!L88</f>
        <v/>
      </c>
      <c r="M88" s="6">
        <f>Summary!M88</f>
        <v/>
      </c>
      <c r="N88" s="6">
        <f>Summary!N88</f>
        <v/>
      </c>
      <c r="O88" s="6">
        <f>Summary!O88</f>
        <v/>
      </c>
      <c r="P88" s="6">
        <f>Summary!P88</f>
        <v/>
      </c>
      <c r="Q88" s="6">
        <f>Summary!Q88</f>
        <v/>
      </c>
      <c r="R88" s="6">
        <f>Summary!R88</f>
        <v/>
      </c>
      <c r="S88" s="6">
        <f>Summary!S88</f>
        <v/>
      </c>
      <c r="T88" s="6">
        <f>Summary!T88</f>
        <v/>
      </c>
      <c r="U88" s="6">
        <f>Summary!U88</f>
        <v/>
      </c>
      <c r="V88" s="6">
        <f>Summary!V88</f>
        <v/>
      </c>
      <c r="W88" s="6">
        <f>Summary!W88</f>
        <v/>
      </c>
      <c r="X88" s="6">
        <f>Summary!X88</f>
        <v/>
      </c>
      <c r="Y88" s="6">
        <f>Summary!Y88</f>
        <v/>
      </c>
      <c r="Z88" s="6">
        <f>Summary!Z88</f>
        <v/>
      </c>
      <c r="AA88" s="6">
        <f>Summary!AA88</f>
        <v/>
      </c>
      <c r="AB88" s="6">
        <f>SUM(D88:AA88)</f>
        <v/>
      </c>
      <c r="AC88" s="3" t="inlineStr"/>
      <c r="AD88" s="7">
        <f>Y88*0.00045414</f>
        <v/>
      </c>
      <c r="AE88" s="7">
        <f>Z88*0.00045414</f>
        <v/>
      </c>
      <c r="AF88" s="7">
        <f>AA88*0.00045414</f>
        <v/>
      </c>
      <c r="AG88" s="7">
        <f>D88*0.00045414</f>
        <v/>
      </c>
      <c r="AH88" s="7">
        <f>E88*0.00045414</f>
        <v/>
      </c>
      <c r="AI88" s="7">
        <f>F88*0.00045414</f>
        <v/>
      </c>
      <c r="AJ88" s="7">
        <f>G88*0.00045414</f>
        <v/>
      </c>
      <c r="AK88" s="7">
        <f>H88*0.00045414</f>
        <v/>
      </c>
      <c r="AL88" s="7">
        <f>I88*0.00045414</f>
        <v/>
      </c>
      <c r="AM88" s="7">
        <f>J88*0.00045414</f>
        <v/>
      </c>
      <c r="AN88" s="7">
        <f>K88*0.00045414</f>
        <v/>
      </c>
      <c r="AO88" s="7">
        <f>L88*0.00045414</f>
        <v/>
      </c>
      <c r="AP88" s="7">
        <f>M88*0.00045414</f>
        <v/>
      </c>
      <c r="AQ88" s="7">
        <f>N88*0.00045414</f>
        <v/>
      </c>
      <c r="AR88" s="7">
        <f>O88*0.00045414</f>
        <v/>
      </c>
      <c r="AS88" s="7">
        <f>P88*0.00045414</f>
        <v/>
      </c>
      <c r="AT88" s="7">
        <f>Q88*0.00045414</f>
        <v/>
      </c>
      <c r="AU88" s="7">
        <f>R88*0.00045414</f>
        <v/>
      </c>
      <c r="AV88" s="7">
        <f>S88*0.00045414</f>
        <v/>
      </c>
      <c r="AW88" s="7">
        <f>T88*0.00045414</f>
        <v/>
      </c>
      <c r="AX88" s="7">
        <f>U88*0.00045414</f>
        <v/>
      </c>
      <c r="AY88" s="7">
        <f>V88*0.00045414</f>
        <v/>
      </c>
      <c r="AZ88" s="7">
        <f>W88*0.00045414</f>
        <v/>
      </c>
      <c r="BA88" s="7">
        <f>X88*0.00045414</f>
        <v/>
      </c>
      <c r="BB88" s="7">
        <f>SUM(AD88:BA88)</f>
        <v/>
      </c>
    </row>
    <row r="89">
      <c r="A89" t="inlineStr">
        <is>
          <t>AMD-RTS-RCLS-1302-SSC</t>
        </is>
      </c>
      <c r="B89" t="inlineStr">
        <is>
          <t>Rev OSC</t>
        </is>
      </c>
      <c r="C89" s="5" t="n">
        <v>46093</v>
      </c>
      <c r="D89" s="6">
        <f>Summary!D89</f>
        <v/>
      </c>
      <c r="E89" s="6">
        <f>Summary!E89</f>
        <v/>
      </c>
      <c r="F89" s="6">
        <f>Summary!F89</f>
        <v/>
      </c>
      <c r="G89" s="6">
        <f>Summary!G89</f>
        <v/>
      </c>
      <c r="H89" s="6">
        <f>Summary!H89</f>
        <v/>
      </c>
      <c r="I89" s="6">
        <f>Summary!I89</f>
        <v/>
      </c>
      <c r="J89" s="6">
        <f>Summary!J89</f>
        <v/>
      </c>
      <c r="K89" s="6">
        <f>Summary!K89</f>
        <v/>
      </c>
      <c r="L89" s="6">
        <f>Summary!L89</f>
        <v/>
      </c>
      <c r="M89" s="6">
        <f>Summary!M89</f>
        <v/>
      </c>
      <c r="N89" s="6">
        <f>Summary!N89</f>
        <v/>
      </c>
      <c r="O89" s="6">
        <f>Summary!O89</f>
        <v/>
      </c>
      <c r="P89" s="6">
        <f>Summary!P89</f>
        <v/>
      </c>
      <c r="Q89" s="6">
        <f>Summary!Q89</f>
        <v/>
      </c>
      <c r="R89" s="6">
        <f>Summary!R89</f>
        <v/>
      </c>
      <c r="S89" s="6">
        <f>Summary!S89</f>
        <v/>
      </c>
      <c r="T89" s="6">
        <f>Summary!T89</f>
        <v/>
      </c>
      <c r="U89" s="6">
        <f>Summary!U89</f>
        <v/>
      </c>
      <c r="V89" s="6">
        <f>Summary!V89</f>
        <v/>
      </c>
      <c r="W89" s="6">
        <f>Summary!W89</f>
        <v/>
      </c>
      <c r="X89" s="6">
        <f>Summary!X89</f>
        <v/>
      </c>
      <c r="Y89" s="6">
        <f>Summary!Y89</f>
        <v/>
      </c>
      <c r="Z89" s="6">
        <f>Summary!Z89</f>
        <v/>
      </c>
      <c r="AA89" s="6">
        <f>Summary!AA89</f>
        <v/>
      </c>
      <c r="AB89" s="6">
        <f>SUM(D89:AA89)</f>
        <v/>
      </c>
      <c r="AC89" s="3" t="inlineStr"/>
      <c r="AD89" s="7">
        <f>Y89*0.00045414</f>
        <v/>
      </c>
      <c r="AE89" s="7">
        <f>Z89*0.00045414</f>
        <v/>
      </c>
      <c r="AF89" s="7">
        <f>AA89*0.00045414</f>
        <v/>
      </c>
      <c r="AG89" s="7">
        <f>D89*0.00045414</f>
        <v/>
      </c>
      <c r="AH89" s="7">
        <f>E89*0.00045414</f>
        <v/>
      </c>
      <c r="AI89" s="7">
        <f>F89*0.00045414</f>
        <v/>
      </c>
      <c r="AJ89" s="7">
        <f>G89*0.00045414</f>
        <v/>
      </c>
      <c r="AK89" s="7">
        <f>H89*0.00045414</f>
        <v/>
      </c>
      <c r="AL89" s="7">
        <f>I89*0.00045414</f>
        <v/>
      </c>
      <c r="AM89" s="7">
        <f>J89*0.00045414</f>
        <v/>
      </c>
      <c r="AN89" s="7">
        <f>K89*0.00045414</f>
        <v/>
      </c>
      <c r="AO89" s="7">
        <f>L89*0.00045414</f>
        <v/>
      </c>
      <c r="AP89" s="7">
        <f>M89*0.00045414</f>
        <v/>
      </c>
      <c r="AQ89" s="7">
        <f>N89*0.00045414</f>
        <v/>
      </c>
      <c r="AR89" s="7">
        <f>O89*0.00045414</f>
        <v/>
      </c>
      <c r="AS89" s="7">
        <f>P89*0.00045414</f>
        <v/>
      </c>
      <c r="AT89" s="7">
        <f>Q89*0.00045414</f>
        <v/>
      </c>
      <c r="AU89" s="7">
        <f>R89*0.00045414</f>
        <v/>
      </c>
      <c r="AV89" s="7">
        <f>S89*0.00045414</f>
        <v/>
      </c>
      <c r="AW89" s="7">
        <f>T89*0.00045414</f>
        <v/>
      </c>
      <c r="AX89" s="7">
        <f>U89*0.00045414</f>
        <v/>
      </c>
      <c r="AY89" s="7">
        <f>V89*0.00045414</f>
        <v/>
      </c>
      <c r="AZ89" s="7">
        <f>W89*0.00045414</f>
        <v/>
      </c>
      <c r="BA89" s="7">
        <f>X89*0.00045414</f>
        <v/>
      </c>
      <c r="BB89" s="7">
        <f>SUM(AD89:BA89)</f>
        <v/>
      </c>
    </row>
    <row r="90">
      <c r="A90" t="inlineStr">
        <is>
          <t>AMD-RTS-RCLS-1302-SSC</t>
        </is>
      </c>
      <c r="B90" t="inlineStr">
        <is>
          <t>Rev OSC</t>
        </is>
      </c>
      <c r="C90" s="5" t="n">
        <v>46094</v>
      </c>
      <c r="D90" s="6">
        <f>Summary!D90</f>
        <v/>
      </c>
      <c r="E90" s="6">
        <f>Summary!E90</f>
        <v/>
      </c>
      <c r="F90" s="6">
        <f>Summary!F90</f>
        <v/>
      </c>
      <c r="G90" s="6">
        <f>Summary!G90</f>
        <v/>
      </c>
      <c r="H90" s="6">
        <f>Summary!H90</f>
        <v/>
      </c>
      <c r="I90" s="6">
        <f>Summary!I90</f>
        <v/>
      </c>
      <c r="J90" s="6">
        <f>Summary!J90</f>
        <v/>
      </c>
      <c r="K90" s="6">
        <f>Summary!K90</f>
        <v/>
      </c>
      <c r="L90" s="6">
        <f>Summary!L90</f>
        <v/>
      </c>
      <c r="M90" s="6">
        <f>Summary!M90</f>
        <v/>
      </c>
      <c r="N90" s="6">
        <f>Summary!N90</f>
        <v/>
      </c>
      <c r="O90" s="6">
        <f>Summary!O90</f>
        <v/>
      </c>
      <c r="P90" s="6">
        <f>Summary!P90</f>
        <v/>
      </c>
      <c r="Q90" s="6">
        <f>Summary!Q90</f>
        <v/>
      </c>
      <c r="R90" s="6">
        <f>Summary!R90</f>
        <v/>
      </c>
      <c r="S90" s="6">
        <f>Summary!S90</f>
        <v/>
      </c>
      <c r="T90" s="6">
        <f>Summary!T90</f>
        <v/>
      </c>
      <c r="U90" s="6">
        <f>Summary!U90</f>
        <v/>
      </c>
      <c r="V90" s="6">
        <f>Summary!V90</f>
        <v/>
      </c>
      <c r="W90" s="6">
        <f>Summary!W90</f>
        <v/>
      </c>
      <c r="X90" s="6">
        <f>Summary!X90</f>
        <v/>
      </c>
      <c r="Y90" s="6">
        <f>Summary!Y90</f>
        <v/>
      </c>
      <c r="Z90" s="6">
        <f>Summary!Z90</f>
        <v/>
      </c>
      <c r="AA90" s="6">
        <f>Summary!AA90</f>
        <v/>
      </c>
      <c r="AB90" s="6">
        <f>SUM(D90:AA90)</f>
        <v/>
      </c>
      <c r="AC90" s="3" t="inlineStr"/>
      <c r="AD90" s="7">
        <f>Y90*0.00045414</f>
        <v/>
      </c>
      <c r="AE90" s="7">
        <f>Z90*0.00045414</f>
        <v/>
      </c>
      <c r="AF90" s="7">
        <f>AA90*0.00045414</f>
        <v/>
      </c>
      <c r="AG90" s="7">
        <f>D90*0.00045414</f>
        <v/>
      </c>
      <c r="AH90" s="7">
        <f>E90*0.00045414</f>
        <v/>
      </c>
      <c r="AI90" s="7">
        <f>F90*0.00045414</f>
        <v/>
      </c>
      <c r="AJ90" s="7">
        <f>G90*0.00045414</f>
        <v/>
      </c>
      <c r="AK90" s="7">
        <f>H90*0.00045414</f>
        <v/>
      </c>
      <c r="AL90" s="7">
        <f>I90*0.00045414</f>
        <v/>
      </c>
      <c r="AM90" s="7">
        <f>J90*0.00045414</f>
        <v/>
      </c>
      <c r="AN90" s="7">
        <f>K90*0.00045414</f>
        <v/>
      </c>
      <c r="AO90" s="7">
        <f>L90*0.00045414</f>
        <v/>
      </c>
      <c r="AP90" s="7">
        <f>M90*0.00045414</f>
        <v/>
      </c>
      <c r="AQ90" s="7">
        <f>N90*0.00045414</f>
        <v/>
      </c>
      <c r="AR90" s="7">
        <f>O90*0.00045414</f>
        <v/>
      </c>
      <c r="AS90" s="7">
        <f>P90*0.00045414</f>
        <v/>
      </c>
      <c r="AT90" s="7">
        <f>Q90*0.00045414</f>
        <v/>
      </c>
      <c r="AU90" s="7">
        <f>R90*0.00045414</f>
        <v/>
      </c>
      <c r="AV90" s="7">
        <f>S90*0.00045414</f>
        <v/>
      </c>
      <c r="AW90" s="7">
        <f>T90*0.00045414</f>
        <v/>
      </c>
      <c r="AX90" s="7">
        <f>U90*0.00045414</f>
        <v/>
      </c>
      <c r="AY90" s="7">
        <f>V90*0.00045414</f>
        <v/>
      </c>
      <c r="AZ90" s="7">
        <f>W90*0.00045414</f>
        <v/>
      </c>
      <c r="BA90" s="7">
        <f>X90*0.00045414</f>
        <v/>
      </c>
      <c r="BB90" s="7">
        <f>SUM(AD90:BA90)</f>
        <v/>
      </c>
    </row>
    <row r="91">
      <c r="A91" t="inlineStr">
        <is>
          <t>AMD-RTS-RCLS-1302-SSC</t>
        </is>
      </c>
      <c r="B91" t="inlineStr">
        <is>
          <t>Rev OSC</t>
        </is>
      </c>
      <c r="C91" s="5" t="n">
        <v>46095</v>
      </c>
      <c r="D91" s="6">
        <f>Summary!D91</f>
        <v/>
      </c>
      <c r="E91" s="6">
        <f>Summary!E91</f>
        <v/>
      </c>
      <c r="F91" s="6">
        <f>Summary!F91</f>
        <v/>
      </c>
      <c r="G91" s="6">
        <f>Summary!G91</f>
        <v/>
      </c>
      <c r="H91" s="6">
        <f>Summary!H91</f>
        <v/>
      </c>
      <c r="I91" s="6">
        <f>Summary!I91</f>
        <v/>
      </c>
      <c r="J91" s="6">
        <f>Summary!J91</f>
        <v/>
      </c>
      <c r="K91" s="6">
        <f>Summary!K91</f>
        <v/>
      </c>
      <c r="L91" s="6">
        <f>Summary!L91</f>
        <v/>
      </c>
      <c r="M91" s="6">
        <f>Summary!M91</f>
        <v/>
      </c>
      <c r="N91" s="6">
        <f>Summary!N91</f>
        <v/>
      </c>
      <c r="O91" s="6">
        <f>Summary!O91</f>
        <v/>
      </c>
      <c r="P91" s="6">
        <f>Summary!P91</f>
        <v/>
      </c>
      <c r="Q91" s="6">
        <f>Summary!Q91</f>
        <v/>
      </c>
      <c r="R91" s="6">
        <f>Summary!R91</f>
        <v/>
      </c>
      <c r="S91" s="6">
        <f>Summary!S91</f>
        <v/>
      </c>
      <c r="T91" s="6">
        <f>Summary!T91</f>
        <v/>
      </c>
      <c r="U91" s="6">
        <f>Summary!U91</f>
        <v/>
      </c>
      <c r="V91" s="6">
        <f>Summary!V91</f>
        <v/>
      </c>
      <c r="W91" s="6">
        <f>Summary!W91</f>
        <v/>
      </c>
      <c r="X91" s="6">
        <f>Summary!X91</f>
        <v/>
      </c>
      <c r="Y91" s="6">
        <f>Summary!Y91</f>
        <v/>
      </c>
      <c r="Z91" s="6">
        <f>Summary!Z91</f>
        <v/>
      </c>
      <c r="AA91" s="6">
        <f>Summary!AA91</f>
        <v/>
      </c>
      <c r="AB91" s="6">
        <f>SUM(D91:AA91)</f>
        <v/>
      </c>
      <c r="AC91" s="3" t="inlineStr"/>
      <c r="AD91" s="7">
        <f>Y91*0.00045414</f>
        <v/>
      </c>
      <c r="AE91" s="7">
        <f>Z91*0.00045414</f>
        <v/>
      </c>
      <c r="AF91" s="7">
        <f>AA91*0.00045414</f>
        <v/>
      </c>
      <c r="AG91" s="7">
        <f>D91*0.00045414</f>
        <v/>
      </c>
      <c r="AH91" s="7">
        <f>E91*0.00045414</f>
        <v/>
      </c>
      <c r="AI91" s="7">
        <f>F91*0.00045414</f>
        <v/>
      </c>
      <c r="AJ91" s="7">
        <f>G91*0.00045414</f>
        <v/>
      </c>
      <c r="AK91" s="7">
        <f>H91*0.00045414</f>
        <v/>
      </c>
      <c r="AL91" s="7">
        <f>I91*0.00045414</f>
        <v/>
      </c>
      <c r="AM91" s="7">
        <f>J91*0.00045414</f>
        <v/>
      </c>
      <c r="AN91" s="7">
        <f>K91*0.00045414</f>
        <v/>
      </c>
      <c r="AO91" s="7">
        <f>L91*0.00045414</f>
        <v/>
      </c>
      <c r="AP91" s="7">
        <f>M91*0.00045414</f>
        <v/>
      </c>
      <c r="AQ91" s="7">
        <f>N91*0.00045414</f>
        <v/>
      </c>
      <c r="AR91" s="7">
        <f>O91*0.00045414</f>
        <v/>
      </c>
      <c r="AS91" s="7">
        <f>P91*0.00045414</f>
        <v/>
      </c>
      <c r="AT91" s="7">
        <f>Q91*0.00045414</f>
        <v/>
      </c>
      <c r="AU91" s="7">
        <f>R91*0.00045414</f>
        <v/>
      </c>
      <c r="AV91" s="7">
        <f>S91*0.00045414</f>
        <v/>
      </c>
      <c r="AW91" s="7">
        <f>T91*0.00045414</f>
        <v/>
      </c>
      <c r="AX91" s="7">
        <f>U91*0.00045414</f>
        <v/>
      </c>
      <c r="AY91" s="7">
        <f>V91*0.00045414</f>
        <v/>
      </c>
      <c r="AZ91" s="7">
        <f>W91*0.00045414</f>
        <v/>
      </c>
      <c r="BA91" s="7">
        <f>X91*0.00045414</f>
        <v/>
      </c>
      <c r="BB91" s="7">
        <f>SUM(AD91:BA91)</f>
        <v/>
      </c>
    </row>
    <row r="92">
      <c r="A92" t="inlineStr">
        <is>
          <t>AMD-RTS-RCLS-1302-SSC</t>
        </is>
      </c>
      <c r="B92" t="inlineStr">
        <is>
          <t>Rev OSC</t>
        </is>
      </c>
      <c r="C92" s="5" t="n">
        <v>46096</v>
      </c>
      <c r="D92" s="6">
        <f>Summary!D92</f>
        <v/>
      </c>
      <c r="E92" s="6">
        <f>Summary!E92</f>
        <v/>
      </c>
      <c r="F92" s="6">
        <f>Summary!F92</f>
        <v/>
      </c>
      <c r="G92" s="6">
        <f>Summary!G92</f>
        <v/>
      </c>
      <c r="H92" s="6">
        <f>Summary!H92</f>
        <v/>
      </c>
      <c r="I92" s="6">
        <f>Summary!I92</f>
        <v/>
      </c>
      <c r="J92" s="6">
        <f>Summary!J92</f>
        <v/>
      </c>
      <c r="K92" s="6">
        <f>Summary!K92</f>
        <v/>
      </c>
      <c r="L92" s="6">
        <f>Summary!L92</f>
        <v/>
      </c>
      <c r="M92" s="6">
        <f>Summary!M92</f>
        <v/>
      </c>
      <c r="N92" s="6">
        <f>Summary!N92</f>
        <v/>
      </c>
      <c r="O92" s="6">
        <f>Summary!O92</f>
        <v/>
      </c>
      <c r="P92" s="6">
        <f>Summary!P92</f>
        <v/>
      </c>
      <c r="Q92" s="6">
        <f>Summary!Q92</f>
        <v/>
      </c>
      <c r="R92" s="6">
        <f>Summary!R92</f>
        <v/>
      </c>
      <c r="S92" s="6">
        <f>Summary!S92</f>
        <v/>
      </c>
      <c r="T92" s="6">
        <f>Summary!T92</f>
        <v/>
      </c>
      <c r="U92" s="6">
        <f>Summary!U92</f>
        <v/>
      </c>
      <c r="V92" s="6">
        <f>Summary!V92</f>
        <v/>
      </c>
      <c r="W92" s="6">
        <f>Summary!W92</f>
        <v/>
      </c>
      <c r="X92" s="6">
        <f>Summary!X92</f>
        <v/>
      </c>
      <c r="Y92" s="6">
        <f>Summary!Y92</f>
        <v/>
      </c>
      <c r="Z92" s="6">
        <f>Summary!Z92</f>
        <v/>
      </c>
      <c r="AA92" s="6">
        <f>Summary!AA92</f>
        <v/>
      </c>
      <c r="AB92" s="6">
        <f>SUM(D92:AA92)</f>
        <v/>
      </c>
      <c r="AC92" s="3" t="inlineStr"/>
      <c r="AD92" s="7">
        <f>Y92*0.00045414</f>
        <v/>
      </c>
      <c r="AE92" s="7">
        <f>Z92*0.00045414</f>
        <v/>
      </c>
      <c r="AF92" s="7">
        <f>AA92*0.00045414</f>
        <v/>
      </c>
      <c r="AG92" s="7">
        <f>D92*0.00045414</f>
        <v/>
      </c>
      <c r="AH92" s="7">
        <f>E92*0.00045414</f>
        <v/>
      </c>
      <c r="AI92" s="7">
        <f>F92*0.00045414</f>
        <v/>
      </c>
      <c r="AJ92" s="7">
        <f>G92*0.00045414</f>
        <v/>
      </c>
      <c r="AK92" s="7">
        <f>H92*0.00045414</f>
        <v/>
      </c>
      <c r="AL92" s="7">
        <f>I92*0.00045414</f>
        <v/>
      </c>
      <c r="AM92" s="7">
        <f>J92*0.00045414</f>
        <v/>
      </c>
      <c r="AN92" s="7">
        <f>K92*0.00045414</f>
        <v/>
      </c>
      <c r="AO92" s="7">
        <f>L92*0.00045414</f>
        <v/>
      </c>
      <c r="AP92" s="7">
        <f>M92*0.00045414</f>
        <v/>
      </c>
      <c r="AQ92" s="7">
        <f>N92*0.00045414</f>
        <v/>
      </c>
      <c r="AR92" s="7">
        <f>O92*0.00045414</f>
        <v/>
      </c>
      <c r="AS92" s="7">
        <f>P92*0.00045414</f>
        <v/>
      </c>
      <c r="AT92" s="7">
        <f>Q92*0.00045414</f>
        <v/>
      </c>
      <c r="AU92" s="7">
        <f>R92*0.00045414</f>
        <v/>
      </c>
      <c r="AV92" s="7">
        <f>S92*0.00045414</f>
        <v/>
      </c>
      <c r="AW92" s="7">
        <f>T92*0.00045414</f>
        <v/>
      </c>
      <c r="AX92" s="7">
        <f>U92*0.00045414</f>
        <v/>
      </c>
      <c r="AY92" s="7">
        <f>V92*0.00045414</f>
        <v/>
      </c>
      <c r="AZ92" s="7">
        <f>W92*0.00045414</f>
        <v/>
      </c>
      <c r="BA92" s="7">
        <f>X92*0.00045414</f>
        <v/>
      </c>
      <c r="BB92" s="7">
        <f>SUM(AD92:BA92)</f>
        <v/>
      </c>
    </row>
    <row r="93">
      <c r="A93" t="inlineStr">
        <is>
          <t>AMD-RTS-RCLS-1302-SSC</t>
        </is>
      </c>
      <c r="B93" t="inlineStr">
        <is>
          <t>Rev OSC</t>
        </is>
      </c>
      <c r="C93" s="5" t="n">
        <v>46097</v>
      </c>
      <c r="D93" s="6">
        <f>Summary!D93</f>
        <v/>
      </c>
      <c r="E93" s="6">
        <f>Summary!E93</f>
        <v/>
      </c>
      <c r="F93" s="6">
        <f>Summary!F93</f>
        <v/>
      </c>
      <c r="G93" s="6">
        <f>Summary!G93</f>
        <v/>
      </c>
      <c r="H93" s="6">
        <f>Summary!H93</f>
        <v/>
      </c>
      <c r="I93" s="6">
        <f>Summary!I93</f>
        <v/>
      </c>
      <c r="J93" s="6">
        <f>Summary!J93</f>
        <v/>
      </c>
      <c r="K93" s="6">
        <f>Summary!K93</f>
        <v/>
      </c>
      <c r="L93" s="6">
        <f>Summary!L93</f>
        <v/>
      </c>
      <c r="M93" s="6">
        <f>Summary!M93</f>
        <v/>
      </c>
      <c r="N93" s="6">
        <f>Summary!N93</f>
        <v/>
      </c>
      <c r="O93" s="6">
        <f>Summary!O93</f>
        <v/>
      </c>
      <c r="P93" s="6">
        <f>Summary!P93</f>
        <v/>
      </c>
      <c r="Q93" s="6">
        <f>Summary!Q93</f>
        <v/>
      </c>
      <c r="R93" s="6">
        <f>Summary!R93</f>
        <v/>
      </c>
      <c r="S93" s="6">
        <f>Summary!S93</f>
        <v/>
      </c>
      <c r="T93" s="6">
        <f>Summary!T93</f>
        <v/>
      </c>
      <c r="U93" s="6">
        <f>Summary!U93</f>
        <v/>
      </c>
      <c r="V93" s="6">
        <f>Summary!V93</f>
        <v/>
      </c>
      <c r="W93" s="6">
        <f>Summary!W93</f>
        <v/>
      </c>
      <c r="X93" s="6">
        <f>Summary!X93</f>
        <v/>
      </c>
      <c r="Y93" s="6">
        <f>Summary!Y93</f>
        <v/>
      </c>
      <c r="Z93" s="6">
        <f>Summary!Z93</f>
        <v/>
      </c>
      <c r="AA93" s="6">
        <f>Summary!AA93</f>
        <v/>
      </c>
      <c r="AB93" s="6">
        <f>SUM(D93:AA93)</f>
        <v/>
      </c>
      <c r="AC93" s="3" t="inlineStr"/>
      <c r="AD93" s="7">
        <f>Y93*0.00045414</f>
        <v/>
      </c>
      <c r="AE93" s="7">
        <f>Z93*0.00045414</f>
        <v/>
      </c>
      <c r="AF93" s="7">
        <f>AA93*0.00045414</f>
        <v/>
      </c>
      <c r="AG93" s="7">
        <f>D93*0.00045414</f>
        <v/>
      </c>
      <c r="AH93" s="7">
        <f>E93*0.00045414</f>
        <v/>
      </c>
      <c r="AI93" s="7">
        <f>F93*0.00045414</f>
        <v/>
      </c>
      <c r="AJ93" s="7">
        <f>G93*0.00045414</f>
        <v/>
      </c>
      <c r="AK93" s="7">
        <f>H93*0.00045414</f>
        <v/>
      </c>
      <c r="AL93" s="7">
        <f>I93*0.00045414</f>
        <v/>
      </c>
      <c r="AM93" s="7">
        <f>J93*0.00045414</f>
        <v/>
      </c>
      <c r="AN93" s="7">
        <f>K93*0.00045414</f>
        <v/>
      </c>
      <c r="AO93" s="7">
        <f>L93*0.00045414</f>
        <v/>
      </c>
      <c r="AP93" s="7">
        <f>M93*0.00045414</f>
        <v/>
      </c>
      <c r="AQ93" s="7">
        <f>N93*0.00045414</f>
        <v/>
      </c>
      <c r="AR93" s="7">
        <f>O93*0.00045414</f>
        <v/>
      </c>
      <c r="AS93" s="7">
        <f>P93*0.00045414</f>
        <v/>
      </c>
      <c r="AT93" s="7">
        <f>Q93*0.00045414</f>
        <v/>
      </c>
      <c r="AU93" s="7">
        <f>R93*0.00045414</f>
        <v/>
      </c>
      <c r="AV93" s="7">
        <f>S93*0.00045414</f>
        <v/>
      </c>
      <c r="AW93" s="7">
        <f>T93*0.00045414</f>
        <v/>
      </c>
      <c r="AX93" s="7">
        <f>U93*0.00045414</f>
        <v/>
      </c>
      <c r="AY93" s="7">
        <f>V93*0.00045414</f>
        <v/>
      </c>
      <c r="AZ93" s="7">
        <f>W93*0.00045414</f>
        <v/>
      </c>
      <c r="BA93" s="7">
        <f>X93*0.00045414</f>
        <v/>
      </c>
      <c r="BB93" s="7">
        <f>SUM(AD93:BA93)</f>
        <v/>
      </c>
    </row>
    <row r="94">
      <c r="A94" t="inlineStr">
        <is>
          <t>AMD-RTS-RCLS-1302-SSC</t>
        </is>
      </c>
      <c r="B94" t="inlineStr">
        <is>
          <t>Rev OSC</t>
        </is>
      </c>
      <c r="C94" s="5" t="n">
        <v>46100</v>
      </c>
      <c r="D94" s="6">
        <f>Summary!D94</f>
        <v/>
      </c>
      <c r="E94" s="6">
        <f>Summary!E94</f>
        <v/>
      </c>
      <c r="F94" s="6">
        <f>Summary!F94</f>
        <v/>
      </c>
      <c r="G94" s="6">
        <f>Summary!G94</f>
        <v/>
      </c>
      <c r="H94" s="6">
        <f>Summary!H94</f>
        <v/>
      </c>
      <c r="I94" s="6">
        <f>Summary!I94</f>
        <v/>
      </c>
      <c r="J94" s="6">
        <f>Summary!J94</f>
        <v/>
      </c>
      <c r="K94" s="6">
        <f>Summary!K94</f>
        <v/>
      </c>
      <c r="L94" s="6">
        <f>Summary!L94</f>
        <v/>
      </c>
      <c r="M94" s="6">
        <f>Summary!M94</f>
        <v/>
      </c>
      <c r="N94" s="6">
        <f>Summary!N94</f>
        <v/>
      </c>
      <c r="O94" s="6">
        <f>Summary!O94</f>
        <v/>
      </c>
      <c r="P94" s="6">
        <f>Summary!P94</f>
        <v/>
      </c>
      <c r="Q94" s="6">
        <f>Summary!Q94</f>
        <v/>
      </c>
      <c r="R94" s="6">
        <f>Summary!R94</f>
        <v/>
      </c>
      <c r="S94" s="6">
        <f>Summary!S94</f>
        <v/>
      </c>
      <c r="T94" s="6">
        <f>Summary!T94</f>
        <v/>
      </c>
      <c r="U94" s="6">
        <f>Summary!U94</f>
        <v/>
      </c>
      <c r="V94" s="6">
        <f>Summary!V94</f>
        <v/>
      </c>
      <c r="W94" s="6">
        <f>Summary!W94</f>
        <v/>
      </c>
      <c r="X94" s="6">
        <f>Summary!X94</f>
        <v/>
      </c>
      <c r="Y94" s="6">
        <f>Summary!Y94</f>
        <v/>
      </c>
      <c r="Z94" s="6">
        <f>Summary!Z94</f>
        <v/>
      </c>
      <c r="AA94" s="6">
        <f>Summary!AA94</f>
        <v/>
      </c>
      <c r="AB94" s="6">
        <f>SUM(D94:AA94)</f>
        <v/>
      </c>
      <c r="AC94" s="3" t="inlineStr"/>
      <c r="AD94" s="7">
        <f>Y94*0.00045414</f>
        <v/>
      </c>
      <c r="AE94" s="7">
        <f>Z94*0.00045414</f>
        <v/>
      </c>
      <c r="AF94" s="7">
        <f>AA94*0.00045414</f>
        <v/>
      </c>
      <c r="AG94" s="7">
        <f>D94*0.00045414</f>
        <v/>
      </c>
      <c r="AH94" s="7">
        <f>E94*0.00045414</f>
        <v/>
      </c>
      <c r="AI94" s="7">
        <f>F94*0.00045414</f>
        <v/>
      </c>
      <c r="AJ94" s="7">
        <f>G94*0.00045414</f>
        <v/>
      </c>
      <c r="AK94" s="7">
        <f>H94*0.00045414</f>
        <v/>
      </c>
      <c r="AL94" s="7">
        <f>I94*0.00045414</f>
        <v/>
      </c>
      <c r="AM94" s="7">
        <f>J94*0.00045414</f>
        <v/>
      </c>
      <c r="AN94" s="7">
        <f>K94*0.00045414</f>
        <v/>
      </c>
      <c r="AO94" s="7">
        <f>L94*0.00045414</f>
        <v/>
      </c>
      <c r="AP94" s="7">
        <f>M94*0.00045414</f>
        <v/>
      </c>
      <c r="AQ94" s="7">
        <f>N94*0.00045414</f>
        <v/>
      </c>
      <c r="AR94" s="7">
        <f>O94*0.00045414</f>
        <v/>
      </c>
      <c r="AS94" s="7">
        <f>P94*0.00045414</f>
        <v/>
      </c>
      <c r="AT94" s="7">
        <f>Q94*0.00045414</f>
        <v/>
      </c>
      <c r="AU94" s="7">
        <f>R94*0.00045414</f>
        <v/>
      </c>
      <c r="AV94" s="7">
        <f>S94*0.00045414</f>
        <v/>
      </c>
      <c r="AW94" s="7">
        <f>T94*0.00045414</f>
        <v/>
      </c>
      <c r="AX94" s="7">
        <f>U94*0.00045414</f>
        <v/>
      </c>
      <c r="AY94" s="7">
        <f>V94*0.00045414</f>
        <v/>
      </c>
      <c r="AZ94" s="7">
        <f>W94*0.00045414</f>
        <v/>
      </c>
      <c r="BA94" s="7">
        <f>X94*0.00045414</f>
        <v/>
      </c>
      <c r="BB94" s="7">
        <f>SUM(AD94:BA94)</f>
        <v/>
      </c>
    </row>
    <row r="95">
      <c r="A95" t="inlineStr">
        <is>
          <t>AMD-RTS-RCLS-1302-SSC</t>
        </is>
      </c>
      <c r="B95" t="inlineStr">
        <is>
          <t>Rev OSC</t>
        </is>
      </c>
      <c r="C95" s="5" t="n">
        <v>46102</v>
      </c>
      <c r="D95" s="6">
        <f>Summary!D95</f>
        <v/>
      </c>
      <c r="E95" s="6">
        <f>Summary!E95</f>
        <v/>
      </c>
      <c r="F95" s="6">
        <f>Summary!F95</f>
        <v/>
      </c>
      <c r="G95" s="6">
        <f>Summary!G95</f>
        <v/>
      </c>
      <c r="H95" s="6">
        <f>Summary!H95</f>
        <v/>
      </c>
      <c r="I95" s="6">
        <f>Summary!I95</f>
        <v/>
      </c>
      <c r="J95" s="6">
        <f>Summary!J95</f>
        <v/>
      </c>
      <c r="K95" s="6">
        <f>Summary!K95</f>
        <v/>
      </c>
      <c r="L95" s="6">
        <f>Summary!L95</f>
        <v/>
      </c>
      <c r="M95" s="6">
        <f>Summary!M95</f>
        <v/>
      </c>
      <c r="N95" s="6">
        <f>Summary!N95</f>
        <v/>
      </c>
      <c r="O95" s="6">
        <f>Summary!O95</f>
        <v/>
      </c>
      <c r="P95" s="6">
        <f>Summary!P95</f>
        <v/>
      </c>
      <c r="Q95" s="6">
        <f>Summary!Q95</f>
        <v/>
      </c>
      <c r="R95" s="6">
        <f>Summary!R95</f>
        <v/>
      </c>
      <c r="S95" s="6">
        <f>Summary!S95</f>
        <v/>
      </c>
      <c r="T95" s="6">
        <f>Summary!T95</f>
        <v/>
      </c>
      <c r="U95" s="6">
        <f>Summary!U95</f>
        <v/>
      </c>
      <c r="V95" s="6">
        <f>Summary!V95</f>
        <v/>
      </c>
      <c r="W95" s="6">
        <f>Summary!W95</f>
        <v/>
      </c>
      <c r="X95" s="6">
        <f>Summary!X95</f>
        <v/>
      </c>
      <c r="Y95" s="6">
        <f>Summary!Y95</f>
        <v/>
      </c>
      <c r="Z95" s="6">
        <f>Summary!Z95</f>
        <v/>
      </c>
      <c r="AA95" s="6">
        <f>Summary!AA95</f>
        <v/>
      </c>
      <c r="AB95" s="6">
        <f>SUM(D95:AA95)</f>
        <v/>
      </c>
      <c r="AC95" s="3" t="inlineStr"/>
      <c r="AD95" s="7">
        <f>Y95*0.00045414</f>
        <v/>
      </c>
      <c r="AE95" s="7">
        <f>Z95*0.00045414</f>
        <v/>
      </c>
      <c r="AF95" s="7">
        <f>AA95*0.00045414</f>
        <v/>
      </c>
      <c r="AG95" s="7">
        <f>D95*0.00045414</f>
        <v/>
      </c>
      <c r="AH95" s="7">
        <f>E95*0.00045414</f>
        <v/>
      </c>
      <c r="AI95" s="7">
        <f>F95*0.00045414</f>
        <v/>
      </c>
      <c r="AJ95" s="7">
        <f>G95*0.00045414</f>
        <v/>
      </c>
      <c r="AK95" s="7">
        <f>H95*0.00045414</f>
        <v/>
      </c>
      <c r="AL95" s="7">
        <f>I95*0.00045414</f>
        <v/>
      </c>
      <c r="AM95" s="7">
        <f>J95*0.00045414</f>
        <v/>
      </c>
      <c r="AN95" s="7">
        <f>K95*0.00045414</f>
        <v/>
      </c>
      <c r="AO95" s="7">
        <f>L95*0.00045414</f>
        <v/>
      </c>
      <c r="AP95" s="7">
        <f>M95*0.00045414</f>
        <v/>
      </c>
      <c r="AQ95" s="7">
        <f>N95*0.00045414</f>
        <v/>
      </c>
      <c r="AR95" s="7">
        <f>O95*0.00045414</f>
        <v/>
      </c>
      <c r="AS95" s="7">
        <f>P95*0.00045414</f>
        <v/>
      </c>
      <c r="AT95" s="7">
        <f>Q95*0.00045414</f>
        <v/>
      </c>
      <c r="AU95" s="7">
        <f>R95*0.00045414</f>
        <v/>
      </c>
      <c r="AV95" s="7">
        <f>S95*0.00045414</f>
        <v/>
      </c>
      <c r="AW95" s="7">
        <f>T95*0.00045414</f>
        <v/>
      </c>
      <c r="AX95" s="7">
        <f>U95*0.00045414</f>
        <v/>
      </c>
      <c r="AY95" s="7">
        <f>V95*0.00045414</f>
        <v/>
      </c>
      <c r="AZ95" s="7">
        <f>W95*0.00045414</f>
        <v/>
      </c>
      <c r="BA95" s="7">
        <f>X95*0.00045414</f>
        <v/>
      </c>
      <c r="BB95" s="7">
        <f>SUM(AD95:BA95)</f>
        <v/>
      </c>
    </row>
    <row r="96">
      <c r="A96" t="inlineStr">
        <is>
          <t>AMD-RTS-RCLS-1302-SSC</t>
        </is>
      </c>
      <c r="B96" t="inlineStr">
        <is>
          <t>Rev OSC</t>
        </is>
      </c>
      <c r="C96" s="5" t="n">
        <v>46103</v>
      </c>
      <c r="D96" s="6">
        <f>Summary!D96</f>
        <v/>
      </c>
      <c r="E96" s="6">
        <f>Summary!E96</f>
        <v/>
      </c>
      <c r="F96" s="6">
        <f>Summary!F96</f>
        <v/>
      </c>
      <c r="G96" s="6">
        <f>Summary!G96</f>
        <v/>
      </c>
      <c r="H96" s="6">
        <f>Summary!H96</f>
        <v/>
      </c>
      <c r="I96" s="6">
        <f>Summary!I96</f>
        <v/>
      </c>
      <c r="J96" s="6">
        <f>Summary!J96</f>
        <v/>
      </c>
      <c r="K96" s="6">
        <f>Summary!K96</f>
        <v/>
      </c>
      <c r="L96" s="6">
        <f>Summary!L96</f>
        <v/>
      </c>
      <c r="M96" s="6">
        <f>Summary!M96</f>
        <v/>
      </c>
      <c r="N96" s="6">
        <f>Summary!N96</f>
        <v/>
      </c>
      <c r="O96" s="6">
        <f>Summary!O96</f>
        <v/>
      </c>
      <c r="P96" s="6">
        <f>Summary!P96</f>
        <v/>
      </c>
      <c r="Q96" s="6">
        <f>Summary!Q96</f>
        <v/>
      </c>
      <c r="R96" s="6">
        <f>Summary!R96</f>
        <v/>
      </c>
      <c r="S96" s="6">
        <f>Summary!S96</f>
        <v/>
      </c>
      <c r="T96" s="6">
        <f>Summary!T96</f>
        <v/>
      </c>
      <c r="U96" s="6">
        <f>Summary!U96</f>
        <v/>
      </c>
      <c r="V96" s="6">
        <f>Summary!V96</f>
        <v/>
      </c>
      <c r="W96" s="6">
        <f>Summary!W96</f>
        <v/>
      </c>
      <c r="X96" s="6">
        <f>Summary!X96</f>
        <v/>
      </c>
      <c r="Y96" s="6">
        <f>Summary!Y96</f>
        <v/>
      </c>
      <c r="Z96" s="6">
        <f>Summary!Z96</f>
        <v/>
      </c>
      <c r="AA96" s="6">
        <f>Summary!AA96</f>
        <v/>
      </c>
      <c r="AB96" s="6">
        <f>SUM(D96:AA96)</f>
        <v/>
      </c>
      <c r="AC96" s="3" t="inlineStr"/>
      <c r="AD96" s="7">
        <f>Y96*0.00045414</f>
        <v/>
      </c>
      <c r="AE96" s="7">
        <f>Z96*0.00045414</f>
        <v/>
      </c>
      <c r="AF96" s="7">
        <f>AA96*0.00045414</f>
        <v/>
      </c>
      <c r="AG96" s="7">
        <f>D96*0.00045414</f>
        <v/>
      </c>
      <c r="AH96" s="7">
        <f>E96*0.00045414</f>
        <v/>
      </c>
      <c r="AI96" s="7">
        <f>F96*0.00045414</f>
        <v/>
      </c>
      <c r="AJ96" s="7">
        <f>G96*0.00045414</f>
        <v/>
      </c>
      <c r="AK96" s="7">
        <f>H96*0.00045414</f>
        <v/>
      </c>
      <c r="AL96" s="7">
        <f>I96*0.00045414</f>
        <v/>
      </c>
      <c r="AM96" s="7">
        <f>J96*0.00045414</f>
        <v/>
      </c>
      <c r="AN96" s="7">
        <f>K96*0.00045414</f>
        <v/>
      </c>
      <c r="AO96" s="7">
        <f>L96*0.00045414</f>
        <v/>
      </c>
      <c r="AP96" s="7">
        <f>M96*0.00045414</f>
        <v/>
      </c>
      <c r="AQ96" s="7">
        <f>N96*0.00045414</f>
        <v/>
      </c>
      <c r="AR96" s="7">
        <f>O96*0.00045414</f>
        <v/>
      </c>
      <c r="AS96" s="7">
        <f>P96*0.00045414</f>
        <v/>
      </c>
      <c r="AT96" s="7">
        <f>Q96*0.00045414</f>
        <v/>
      </c>
      <c r="AU96" s="7">
        <f>R96*0.00045414</f>
        <v/>
      </c>
      <c r="AV96" s="7">
        <f>S96*0.00045414</f>
        <v/>
      </c>
      <c r="AW96" s="7">
        <f>T96*0.00045414</f>
        <v/>
      </c>
      <c r="AX96" s="7">
        <f>U96*0.00045414</f>
        <v/>
      </c>
      <c r="AY96" s="7">
        <f>V96*0.00045414</f>
        <v/>
      </c>
      <c r="AZ96" s="7">
        <f>W96*0.00045414</f>
        <v/>
      </c>
      <c r="BA96" s="7">
        <f>X96*0.00045414</f>
        <v/>
      </c>
      <c r="BB96" s="7">
        <f>SUM(AD96:BA96)</f>
        <v/>
      </c>
    </row>
    <row r="97">
      <c r="A97" t="inlineStr">
        <is>
          <t>AMD-RTS-RCLS-1302-SSC</t>
        </is>
      </c>
      <c r="B97" t="inlineStr">
        <is>
          <t>Rev OSC</t>
        </is>
      </c>
      <c r="C97" s="5" t="n">
        <v>46104</v>
      </c>
      <c r="D97" s="6">
        <f>Summary!D97</f>
        <v/>
      </c>
      <c r="E97" s="6">
        <f>Summary!E97</f>
        <v/>
      </c>
      <c r="F97" s="6">
        <f>Summary!F97</f>
        <v/>
      </c>
      <c r="G97" s="6">
        <f>Summary!G97</f>
        <v/>
      </c>
      <c r="H97" s="6">
        <f>Summary!H97</f>
        <v/>
      </c>
      <c r="I97" s="6">
        <f>Summary!I97</f>
        <v/>
      </c>
      <c r="J97" s="6">
        <f>Summary!J97</f>
        <v/>
      </c>
      <c r="K97" s="6">
        <f>Summary!K97</f>
        <v/>
      </c>
      <c r="L97" s="6">
        <f>Summary!L97</f>
        <v/>
      </c>
      <c r="M97" s="6">
        <f>Summary!M97</f>
        <v/>
      </c>
      <c r="N97" s="6">
        <f>Summary!N97</f>
        <v/>
      </c>
      <c r="O97" s="6">
        <f>Summary!O97</f>
        <v/>
      </c>
      <c r="P97" s="6">
        <f>Summary!P97</f>
        <v/>
      </c>
      <c r="Q97" s="6">
        <f>Summary!Q97</f>
        <v/>
      </c>
      <c r="R97" s="6">
        <f>Summary!R97</f>
        <v/>
      </c>
      <c r="S97" s="6">
        <f>Summary!S97</f>
        <v/>
      </c>
      <c r="T97" s="6">
        <f>Summary!T97</f>
        <v/>
      </c>
      <c r="U97" s="6">
        <f>Summary!U97</f>
        <v/>
      </c>
      <c r="V97" s="6">
        <f>Summary!V97</f>
        <v/>
      </c>
      <c r="W97" s="6">
        <f>Summary!W97</f>
        <v/>
      </c>
      <c r="X97" s="6">
        <f>Summary!X97</f>
        <v/>
      </c>
      <c r="Y97" s="6">
        <f>Summary!Y97</f>
        <v/>
      </c>
      <c r="Z97" s="6">
        <f>Summary!Z97</f>
        <v/>
      </c>
      <c r="AA97" s="6">
        <f>Summary!AA97</f>
        <v/>
      </c>
      <c r="AB97" s="6">
        <f>SUM(D97:AA97)</f>
        <v/>
      </c>
      <c r="AC97" s="3" t="inlineStr"/>
      <c r="AD97" s="7">
        <f>Y97*0.00045414</f>
        <v/>
      </c>
      <c r="AE97" s="7">
        <f>Z97*0.00045414</f>
        <v/>
      </c>
      <c r="AF97" s="7">
        <f>AA97*0.00045414</f>
        <v/>
      </c>
      <c r="AG97" s="7">
        <f>D97*0.00045414</f>
        <v/>
      </c>
      <c r="AH97" s="7">
        <f>E97*0.00045414</f>
        <v/>
      </c>
      <c r="AI97" s="7">
        <f>F97*0.00045414</f>
        <v/>
      </c>
      <c r="AJ97" s="7">
        <f>G97*0.00045414</f>
        <v/>
      </c>
      <c r="AK97" s="7">
        <f>H97*0.00045414</f>
        <v/>
      </c>
      <c r="AL97" s="7">
        <f>I97*0.00045414</f>
        <v/>
      </c>
      <c r="AM97" s="7">
        <f>J97*0.00045414</f>
        <v/>
      </c>
      <c r="AN97" s="7">
        <f>K97*0.00045414</f>
        <v/>
      </c>
      <c r="AO97" s="7">
        <f>L97*0.00045414</f>
        <v/>
      </c>
      <c r="AP97" s="7">
        <f>M97*0.00045414</f>
        <v/>
      </c>
      <c r="AQ97" s="7">
        <f>N97*0.00045414</f>
        <v/>
      </c>
      <c r="AR97" s="7">
        <f>O97*0.00045414</f>
        <v/>
      </c>
      <c r="AS97" s="7">
        <f>P97*0.00045414</f>
        <v/>
      </c>
      <c r="AT97" s="7">
        <f>Q97*0.00045414</f>
        <v/>
      </c>
      <c r="AU97" s="7">
        <f>R97*0.00045414</f>
        <v/>
      </c>
      <c r="AV97" s="7">
        <f>S97*0.00045414</f>
        <v/>
      </c>
      <c r="AW97" s="7">
        <f>T97*0.00045414</f>
        <v/>
      </c>
      <c r="AX97" s="7">
        <f>U97*0.00045414</f>
        <v/>
      </c>
      <c r="AY97" s="7">
        <f>V97*0.00045414</f>
        <v/>
      </c>
      <c r="AZ97" s="7">
        <f>W97*0.00045414</f>
        <v/>
      </c>
      <c r="BA97" s="7">
        <f>X97*0.00045414</f>
        <v/>
      </c>
      <c r="BB97" s="7">
        <f>SUM(AD97:BA97)</f>
        <v/>
      </c>
    </row>
    <row r="98">
      <c r="A98" t="inlineStr">
        <is>
          <t>AMD-RTS-RCLS-1302-SSC</t>
        </is>
      </c>
      <c r="B98" t="inlineStr">
        <is>
          <t>Rev OSC</t>
        </is>
      </c>
      <c r="C98" s="5" t="n">
        <v>46105</v>
      </c>
      <c r="D98" s="6">
        <f>Summary!D98</f>
        <v/>
      </c>
      <c r="E98" s="6">
        <f>Summary!E98</f>
        <v/>
      </c>
      <c r="F98" s="6">
        <f>Summary!F98</f>
        <v/>
      </c>
      <c r="G98" s="6">
        <f>Summary!G98</f>
        <v/>
      </c>
      <c r="H98" s="6">
        <f>Summary!H98</f>
        <v/>
      </c>
      <c r="I98" s="6">
        <f>Summary!I98</f>
        <v/>
      </c>
      <c r="J98" s="6">
        <f>Summary!J98</f>
        <v/>
      </c>
      <c r="K98" s="6">
        <f>Summary!K98</f>
        <v/>
      </c>
      <c r="L98" s="6">
        <f>Summary!L98</f>
        <v/>
      </c>
      <c r="M98" s="6">
        <f>Summary!M98</f>
        <v/>
      </c>
      <c r="N98" s="6">
        <f>Summary!N98</f>
        <v/>
      </c>
      <c r="O98" s="6">
        <f>Summary!O98</f>
        <v/>
      </c>
      <c r="P98" s="6">
        <f>Summary!P98</f>
        <v/>
      </c>
      <c r="Q98" s="6">
        <f>Summary!Q98</f>
        <v/>
      </c>
      <c r="R98" s="6">
        <f>Summary!R98</f>
        <v/>
      </c>
      <c r="S98" s="6">
        <f>Summary!S98</f>
        <v/>
      </c>
      <c r="T98" s="6">
        <f>Summary!T98</f>
        <v/>
      </c>
      <c r="U98" s="6">
        <f>Summary!U98</f>
        <v/>
      </c>
      <c r="V98" s="6">
        <f>Summary!V98</f>
        <v/>
      </c>
      <c r="W98" s="6">
        <f>Summary!W98</f>
        <v/>
      </c>
      <c r="X98" s="6">
        <f>Summary!X98</f>
        <v/>
      </c>
      <c r="Y98" s="6">
        <f>Summary!Y98</f>
        <v/>
      </c>
      <c r="Z98" s="6">
        <f>Summary!Z98</f>
        <v/>
      </c>
      <c r="AA98" s="6">
        <f>Summary!AA98</f>
        <v/>
      </c>
      <c r="AB98" s="6">
        <f>SUM(D98:AA98)</f>
        <v/>
      </c>
      <c r="AC98" s="3" t="inlineStr"/>
      <c r="AD98" s="7">
        <f>Y98*0.00045414</f>
        <v/>
      </c>
      <c r="AE98" s="7">
        <f>Z98*0.00045414</f>
        <v/>
      </c>
      <c r="AF98" s="7">
        <f>AA98*0.00045414</f>
        <v/>
      </c>
      <c r="AG98" s="7">
        <f>D98*0.00045414</f>
        <v/>
      </c>
      <c r="AH98" s="7">
        <f>E98*0.00045414</f>
        <v/>
      </c>
      <c r="AI98" s="7">
        <f>F98*0.00045414</f>
        <v/>
      </c>
      <c r="AJ98" s="7">
        <f>G98*0.00045414</f>
        <v/>
      </c>
      <c r="AK98" s="7">
        <f>H98*0.00045414</f>
        <v/>
      </c>
      <c r="AL98" s="7">
        <f>I98*0.00045414</f>
        <v/>
      </c>
      <c r="AM98" s="7">
        <f>J98*0.00045414</f>
        <v/>
      </c>
      <c r="AN98" s="7">
        <f>K98*0.00045414</f>
        <v/>
      </c>
      <c r="AO98" s="7">
        <f>L98*0.00045414</f>
        <v/>
      </c>
      <c r="AP98" s="7">
        <f>M98*0.00045414</f>
        <v/>
      </c>
      <c r="AQ98" s="7">
        <f>N98*0.00045414</f>
        <v/>
      </c>
      <c r="AR98" s="7">
        <f>O98*0.00045414</f>
        <v/>
      </c>
      <c r="AS98" s="7">
        <f>P98*0.00045414</f>
        <v/>
      </c>
      <c r="AT98" s="7">
        <f>Q98*0.00045414</f>
        <v/>
      </c>
      <c r="AU98" s="7">
        <f>R98*0.00045414</f>
        <v/>
      </c>
      <c r="AV98" s="7">
        <f>S98*0.00045414</f>
        <v/>
      </c>
      <c r="AW98" s="7">
        <f>T98*0.00045414</f>
        <v/>
      </c>
      <c r="AX98" s="7">
        <f>U98*0.00045414</f>
        <v/>
      </c>
      <c r="AY98" s="7">
        <f>V98*0.00045414</f>
        <v/>
      </c>
      <c r="AZ98" s="7">
        <f>W98*0.00045414</f>
        <v/>
      </c>
      <c r="BA98" s="7">
        <f>X98*0.00045414</f>
        <v/>
      </c>
      <c r="BB98" s="7">
        <f>SUM(AD98:BA98)</f>
        <v/>
      </c>
    </row>
    <row r="99">
      <c r="A99" t="inlineStr">
        <is>
          <t>AMD-RTS-RCLS-1302-SSC_1</t>
        </is>
      </c>
      <c r="B99" t="inlineStr">
        <is>
          <t>Rev OSC</t>
        </is>
      </c>
      <c r="C99" s="5" t="n">
        <v>46090</v>
      </c>
      <c r="D99" s="6">
        <f>Summary!D99</f>
        <v/>
      </c>
      <c r="E99" s="6">
        <f>Summary!E99</f>
        <v/>
      </c>
      <c r="F99" s="6">
        <f>Summary!F99</f>
        <v/>
      </c>
      <c r="G99" s="6">
        <f>Summary!G99</f>
        <v/>
      </c>
      <c r="H99" s="6">
        <f>Summary!H99</f>
        <v/>
      </c>
      <c r="I99" s="6">
        <f>Summary!I99</f>
        <v/>
      </c>
      <c r="J99" s="6">
        <f>Summary!J99</f>
        <v/>
      </c>
      <c r="K99" s="6">
        <f>Summary!K99</f>
        <v/>
      </c>
      <c r="L99" s="6">
        <f>Summary!L99</f>
        <v/>
      </c>
      <c r="M99" s="6">
        <f>Summary!M99</f>
        <v/>
      </c>
      <c r="N99" s="6">
        <f>Summary!N99</f>
        <v/>
      </c>
      <c r="O99" s="6">
        <f>Summary!O99</f>
        <v/>
      </c>
      <c r="P99" s="6">
        <f>Summary!P99</f>
        <v/>
      </c>
      <c r="Q99" s="6">
        <f>Summary!Q99</f>
        <v/>
      </c>
      <c r="R99" s="6">
        <f>Summary!R99</f>
        <v/>
      </c>
      <c r="S99" s="6">
        <f>Summary!S99</f>
        <v/>
      </c>
      <c r="T99" s="6">
        <f>Summary!T99</f>
        <v/>
      </c>
      <c r="U99" s="6">
        <f>Summary!U99</f>
        <v/>
      </c>
      <c r="V99" s="6">
        <f>Summary!V99</f>
        <v/>
      </c>
      <c r="W99" s="6">
        <f>Summary!W99</f>
        <v/>
      </c>
      <c r="X99" s="6">
        <f>Summary!X99</f>
        <v/>
      </c>
      <c r="Y99" s="6">
        <f>Summary!Y99</f>
        <v/>
      </c>
      <c r="Z99" s="6">
        <f>Summary!Z99</f>
        <v/>
      </c>
      <c r="AA99" s="6">
        <f>Summary!AA99</f>
        <v/>
      </c>
      <c r="AB99" s="6">
        <f>SUM(D99:AA99)</f>
        <v/>
      </c>
      <c r="AC99" s="3" t="inlineStr"/>
      <c r="AD99" s="7">
        <f>Y99*0.00045414</f>
        <v/>
      </c>
      <c r="AE99" s="7">
        <f>Z99*0.00045414</f>
        <v/>
      </c>
      <c r="AF99" s="7">
        <f>AA99*0.00045414</f>
        <v/>
      </c>
      <c r="AG99" s="7">
        <f>D99*0.00045414</f>
        <v/>
      </c>
      <c r="AH99" s="7">
        <f>E99*0.00045414</f>
        <v/>
      </c>
      <c r="AI99" s="7">
        <f>F99*0.00045414</f>
        <v/>
      </c>
      <c r="AJ99" s="7">
        <f>G99*0.00045414</f>
        <v/>
      </c>
      <c r="AK99" s="7">
        <f>H99*0.00045414</f>
        <v/>
      </c>
      <c r="AL99" s="7">
        <f>I99*0.00045414</f>
        <v/>
      </c>
      <c r="AM99" s="7">
        <f>J99*0.00045414</f>
        <v/>
      </c>
      <c r="AN99" s="7">
        <f>K99*0.00045414</f>
        <v/>
      </c>
      <c r="AO99" s="7">
        <f>L99*0.00045414</f>
        <v/>
      </c>
      <c r="AP99" s="7">
        <f>M99*0.00045414</f>
        <v/>
      </c>
      <c r="AQ99" s="7">
        <f>N99*0.00045414</f>
        <v/>
      </c>
      <c r="AR99" s="7">
        <f>O99*0.00045414</f>
        <v/>
      </c>
      <c r="AS99" s="7">
        <f>P99*0.00045414</f>
        <v/>
      </c>
      <c r="AT99" s="7">
        <f>Q99*0.00045414</f>
        <v/>
      </c>
      <c r="AU99" s="7">
        <f>R99*0.00045414</f>
        <v/>
      </c>
      <c r="AV99" s="7">
        <f>S99*0.00045414</f>
        <v/>
      </c>
      <c r="AW99" s="7">
        <f>T99*0.00045414</f>
        <v/>
      </c>
      <c r="AX99" s="7">
        <f>U99*0.00045414</f>
        <v/>
      </c>
      <c r="AY99" s="7">
        <f>V99*0.00045414</f>
        <v/>
      </c>
      <c r="AZ99" s="7">
        <f>W99*0.00045414</f>
        <v/>
      </c>
      <c r="BA99" s="7">
        <f>X99*0.00045414</f>
        <v/>
      </c>
      <c r="BB99" s="7">
        <f>SUM(AD99:BA99)</f>
        <v/>
      </c>
    </row>
    <row r="100">
      <c r="A100" t="inlineStr">
        <is>
          <t>AMD-RTS-RCLS-1302-SSC_1</t>
        </is>
      </c>
      <c r="B100" t="inlineStr">
        <is>
          <t>Rev OSC</t>
        </is>
      </c>
      <c r="C100" s="5" t="n">
        <v>46093</v>
      </c>
      <c r="D100" s="6">
        <f>Summary!D100</f>
        <v/>
      </c>
      <c r="E100" s="6">
        <f>Summary!E100</f>
        <v/>
      </c>
      <c r="F100" s="6">
        <f>Summary!F100</f>
        <v/>
      </c>
      <c r="G100" s="6">
        <f>Summary!G100</f>
        <v/>
      </c>
      <c r="H100" s="6">
        <f>Summary!H100</f>
        <v/>
      </c>
      <c r="I100" s="6">
        <f>Summary!I100</f>
        <v/>
      </c>
      <c r="J100" s="6">
        <f>Summary!J100</f>
        <v/>
      </c>
      <c r="K100" s="6">
        <f>Summary!K100</f>
        <v/>
      </c>
      <c r="L100" s="6">
        <f>Summary!L100</f>
        <v/>
      </c>
      <c r="M100" s="6">
        <f>Summary!M100</f>
        <v/>
      </c>
      <c r="N100" s="6">
        <f>Summary!N100</f>
        <v/>
      </c>
      <c r="O100" s="6">
        <f>Summary!O100</f>
        <v/>
      </c>
      <c r="P100" s="6">
        <f>Summary!P100</f>
        <v/>
      </c>
      <c r="Q100" s="6">
        <f>Summary!Q100</f>
        <v/>
      </c>
      <c r="R100" s="6">
        <f>Summary!R100</f>
        <v/>
      </c>
      <c r="S100" s="6">
        <f>Summary!S100</f>
        <v/>
      </c>
      <c r="T100" s="6">
        <f>Summary!T100</f>
        <v/>
      </c>
      <c r="U100" s="6">
        <f>Summary!U100</f>
        <v/>
      </c>
      <c r="V100" s="6">
        <f>Summary!V100</f>
        <v/>
      </c>
      <c r="W100" s="6">
        <f>Summary!W100</f>
        <v/>
      </c>
      <c r="X100" s="6">
        <f>Summary!X100</f>
        <v/>
      </c>
      <c r="Y100" s="6">
        <f>Summary!Y100</f>
        <v/>
      </c>
      <c r="Z100" s="6">
        <f>Summary!Z100</f>
        <v/>
      </c>
      <c r="AA100" s="6">
        <f>Summary!AA100</f>
        <v/>
      </c>
      <c r="AB100" s="6">
        <f>SUM(D100:AA100)</f>
        <v/>
      </c>
      <c r="AC100" s="3" t="inlineStr"/>
      <c r="AD100" s="7">
        <f>Y100*0.00045414</f>
        <v/>
      </c>
      <c r="AE100" s="7">
        <f>Z100*0.00045414</f>
        <v/>
      </c>
      <c r="AF100" s="7">
        <f>AA100*0.00045414</f>
        <v/>
      </c>
      <c r="AG100" s="7">
        <f>D100*0.00045414</f>
        <v/>
      </c>
      <c r="AH100" s="7">
        <f>E100*0.00045414</f>
        <v/>
      </c>
      <c r="AI100" s="7">
        <f>F100*0.00045414</f>
        <v/>
      </c>
      <c r="AJ100" s="7">
        <f>G100*0.00045414</f>
        <v/>
      </c>
      <c r="AK100" s="7">
        <f>H100*0.00045414</f>
        <v/>
      </c>
      <c r="AL100" s="7">
        <f>I100*0.00045414</f>
        <v/>
      </c>
      <c r="AM100" s="7">
        <f>J100*0.00045414</f>
        <v/>
      </c>
      <c r="AN100" s="7">
        <f>K100*0.00045414</f>
        <v/>
      </c>
      <c r="AO100" s="7">
        <f>L100*0.00045414</f>
        <v/>
      </c>
      <c r="AP100" s="7">
        <f>M100*0.00045414</f>
        <v/>
      </c>
      <c r="AQ100" s="7">
        <f>N100*0.00045414</f>
        <v/>
      </c>
      <c r="AR100" s="7">
        <f>O100*0.00045414</f>
        <v/>
      </c>
      <c r="AS100" s="7">
        <f>P100*0.00045414</f>
        <v/>
      </c>
      <c r="AT100" s="7">
        <f>Q100*0.00045414</f>
        <v/>
      </c>
      <c r="AU100" s="7">
        <f>R100*0.00045414</f>
        <v/>
      </c>
      <c r="AV100" s="7">
        <f>S100*0.00045414</f>
        <v/>
      </c>
      <c r="AW100" s="7">
        <f>T100*0.00045414</f>
        <v/>
      </c>
      <c r="AX100" s="7">
        <f>U100*0.00045414</f>
        <v/>
      </c>
      <c r="AY100" s="7">
        <f>V100*0.00045414</f>
        <v/>
      </c>
      <c r="AZ100" s="7">
        <f>W100*0.00045414</f>
        <v/>
      </c>
      <c r="BA100" s="7">
        <f>X100*0.00045414</f>
        <v/>
      </c>
      <c r="BB100" s="7">
        <f>SUM(AD100:BA100)</f>
        <v/>
      </c>
    </row>
    <row r="101">
      <c r="A101" t="inlineStr">
        <is>
          <t>AMD-RTS-RCLS-1302-SSC_1</t>
        </is>
      </c>
      <c r="B101" t="inlineStr">
        <is>
          <t>Rev OSC</t>
        </is>
      </c>
      <c r="C101" s="5" t="n">
        <v>46094</v>
      </c>
      <c r="D101" s="6">
        <f>Summary!D101</f>
        <v/>
      </c>
      <c r="E101" s="6">
        <f>Summary!E101</f>
        <v/>
      </c>
      <c r="F101" s="6">
        <f>Summary!F101</f>
        <v/>
      </c>
      <c r="G101" s="6">
        <f>Summary!G101</f>
        <v/>
      </c>
      <c r="H101" s="6">
        <f>Summary!H101</f>
        <v/>
      </c>
      <c r="I101" s="6">
        <f>Summary!I101</f>
        <v/>
      </c>
      <c r="J101" s="6">
        <f>Summary!J101</f>
        <v/>
      </c>
      <c r="K101" s="6">
        <f>Summary!K101</f>
        <v/>
      </c>
      <c r="L101" s="6">
        <f>Summary!L101</f>
        <v/>
      </c>
      <c r="M101" s="6">
        <f>Summary!M101</f>
        <v/>
      </c>
      <c r="N101" s="6">
        <f>Summary!N101</f>
        <v/>
      </c>
      <c r="O101" s="6">
        <f>Summary!O101</f>
        <v/>
      </c>
      <c r="P101" s="6">
        <f>Summary!P101</f>
        <v/>
      </c>
      <c r="Q101" s="6">
        <f>Summary!Q101</f>
        <v/>
      </c>
      <c r="R101" s="6">
        <f>Summary!R101</f>
        <v/>
      </c>
      <c r="S101" s="6">
        <f>Summary!S101</f>
        <v/>
      </c>
      <c r="T101" s="6">
        <f>Summary!T101</f>
        <v/>
      </c>
      <c r="U101" s="6">
        <f>Summary!U101</f>
        <v/>
      </c>
      <c r="V101" s="6">
        <f>Summary!V101</f>
        <v/>
      </c>
      <c r="W101" s="6">
        <f>Summary!W101</f>
        <v/>
      </c>
      <c r="X101" s="6">
        <f>Summary!X101</f>
        <v/>
      </c>
      <c r="Y101" s="6">
        <f>Summary!Y101</f>
        <v/>
      </c>
      <c r="Z101" s="6">
        <f>Summary!Z101</f>
        <v/>
      </c>
      <c r="AA101" s="6">
        <f>Summary!AA101</f>
        <v/>
      </c>
      <c r="AB101" s="6">
        <f>SUM(D101:AA101)</f>
        <v/>
      </c>
      <c r="AC101" s="3" t="inlineStr"/>
      <c r="AD101" s="7">
        <f>Y101*0.00045414</f>
        <v/>
      </c>
      <c r="AE101" s="7">
        <f>Z101*0.00045414</f>
        <v/>
      </c>
      <c r="AF101" s="7">
        <f>AA101*0.00045414</f>
        <v/>
      </c>
      <c r="AG101" s="7">
        <f>D101*0.00045414</f>
        <v/>
      </c>
      <c r="AH101" s="7">
        <f>E101*0.00045414</f>
        <v/>
      </c>
      <c r="AI101" s="7">
        <f>F101*0.00045414</f>
        <v/>
      </c>
      <c r="AJ101" s="7">
        <f>G101*0.00045414</f>
        <v/>
      </c>
      <c r="AK101" s="7">
        <f>H101*0.00045414</f>
        <v/>
      </c>
      <c r="AL101" s="7">
        <f>I101*0.00045414</f>
        <v/>
      </c>
      <c r="AM101" s="7">
        <f>J101*0.00045414</f>
        <v/>
      </c>
      <c r="AN101" s="7">
        <f>K101*0.00045414</f>
        <v/>
      </c>
      <c r="AO101" s="7">
        <f>L101*0.00045414</f>
        <v/>
      </c>
      <c r="AP101" s="7">
        <f>M101*0.00045414</f>
        <v/>
      </c>
      <c r="AQ101" s="7">
        <f>N101*0.00045414</f>
        <v/>
      </c>
      <c r="AR101" s="7">
        <f>O101*0.00045414</f>
        <v/>
      </c>
      <c r="AS101" s="7">
        <f>P101*0.00045414</f>
        <v/>
      </c>
      <c r="AT101" s="7">
        <f>Q101*0.00045414</f>
        <v/>
      </c>
      <c r="AU101" s="7">
        <f>R101*0.00045414</f>
        <v/>
      </c>
      <c r="AV101" s="7">
        <f>S101*0.00045414</f>
        <v/>
      </c>
      <c r="AW101" s="7">
        <f>T101*0.00045414</f>
        <v/>
      </c>
      <c r="AX101" s="7">
        <f>U101*0.00045414</f>
        <v/>
      </c>
      <c r="AY101" s="7">
        <f>V101*0.00045414</f>
        <v/>
      </c>
      <c r="AZ101" s="7">
        <f>W101*0.00045414</f>
        <v/>
      </c>
      <c r="BA101" s="7">
        <f>X101*0.00045414</f>
        <v/>
      </c>
      <c r="BB101" s="7">
        <f>SUM(AD101:BA101)</f>
        <v/>
      </c>
    </row>
    <row r="102">
      <c r="A102" t="inlineStr">
        <is>
          <t>AMD-RTS-RCLS-1302-SSC_1</t>
        </is>
      </c>
      <c r="B102" t="inlineStr">
        <is>
          <t>Rev OSC</t>
        </is>
      </c>
      <c r="C102" s="5" t="n">
        <v>46095</v>
      </c>
      <c r="D102" s="6">
        <f>Summary!D102</f>
        <v/>
      </c>
      <c r="E102" s="6">
        <f>Summary!E102</f>
        <v/>
      </c>
      <c r="F102" s="6">
        <f>Summary!F102</f>
        <v/>
      </c>
      <c r="G102" s="6">
        <f>Summary!G102</f>
        <v/>
      </c>
      <c r="H102" s="6">
        <f>Summary!H102</f>
        <v/>
      </c>
      <c r="I102" s="6">
        <f>Summary!I102</f>
        <v/>
      </c>
      <c r="J102" s="6">
        <f>Summary!J102</f>
        <v/>
      </c>
      <c r="K102" s="6">
        <f>Summary!K102</f>
        <v/>
      </c>
      <c r="L102" s="6">
        <f>Summary!L102</f>
        <v/>
      </c>
      <c r="M102" s="6">
        <f>Summary!M102</f>
        <v/>
      </c>
      <c r="N102" s="6">
        <f>Summary!N102</f>
        <v/>
      </c>
      <c r="O102" s="6">
        <f>Summary!O102</f>
        <v/>
      </c>
      <c r="P102" s="6">
        <f>Summary!P102</f>
        <v/>
      </c>
      <c r="Q102" s="6">
        <f>Summary!Q102</f>
        <v/>
      </c>
      <c r="R102" s="6">
        <f>Summary!R102</f>
        <v/>
      </c>
      <c r="S102" s="6">
        <f>Summary!S102</f>
        <v/>
      </c>
      <c r="T102" s="6">
        <f>Summary!T102</f>
        <v/>
      </c>
      <c r="U102" s="6">
        <f>Summary!U102</f>
        <v/>
      </c>
      <c r="V102" s="6">
        <f>Summary!V102</f>
        <v/>
      </c>
      <c r="W102" s="6">
        <f>Summary!W102</f>
        <v/>
      </c>
      <c r="X102" s="6">
        <f>Summary!X102</f>
        <v/>
      </c>
      <c r="Y102" s="6">
        <f>Summary!Y102</f>
        <v/>
      </c>
      <c r="Z102" s="6">
        <f>Summary!Z102</f>
        <v/>
      </c>
      <c r="AA102" s="6">
        <f>Summary!AA102</f>
        <v/>
      </c>
      <c r="AB102" s="6">
        <f>SUM(D102:AA102)</f>
        <v/>
      </c>
      <c r="AC102" s="3" t="inlineStr"/>
      <c r="AD102" s="7">
        <f>Y102*0.00045414</f>
        <v/>
      </c>
      <c r="AE102" s="7">
        <f>Z102*0.00045414</f>
        <v/>
      </c>
      <c r="AF102" s="7">
        <f>AA102*0.00045414</f>
        <v/>
      </c>
      <c r="AG102" s="7">
        <f>D102*0.00045414</f>
        <v/>
      </c>
      <c r="AH102" s="7">
        <f>E102*0.00045414</f>
        <v/>
      </c>
      <c r="AI102" s="7">
        <f>F102*0.00045414</f>
        <v/>
      </c>
      <c r="AJ102" s="7">
        <f>G102*0.00045414</f>
        <v/>
      </c>
      <c r="AK102" s="7">
        <f>H102*0.00045414</f>
        <v/>
      </c>
      <c r="AL102" s="7">
        <f>I102*0.00045414</f>
        <v/>
      </c>
      <c r="AM102" s="7">
        <f>J102*0.00045414</f>
        <v/>
      </c>
      <c r="AN102" s="7">
        <f>K102*0.00045414</f>
        <v/>
      </c>
      <c r="AO102" s="7">
        <f>L102*0.00045414</f>
        <v/>
      </c>
      <c r="AP102" s="7">
        <f>M102*0.00045414</f>
        <v/>
      </c>
      <c r="AQ102" s="7">
        <f>N102*0.00045414</f>
        <v/>
      </c>
      <c r="AR102" s="7">
        <f>O102*0.00045414</f>
        <v/>
      </c>
      <c r="AS102" s="7">
        <f>P102*0.00045414</f>
        <v/>
      </c>
      <c r="AT102" s="7">
        <f>Q102*0.00045414</f>
        <v/>
      </c>
      <c r="AU102" s="7">
        <f>R102*0.00045414</f>
        <v/>
      </c>
      <c r="AV102" s="7">
        <f>S102*0.00045414</f>
        <v/>
      </c>
      <c r="AW102" s="7">
        <f>T102*0.00045414</f>
        <v/>
      </c>
      <c r="AX102" s="7">
        <f>U102*0.00045414</f>
        <v/>
      </c>
      <c r="AY102" s="7">
        <f>V102*0.00045414</f>
        <v/>
      </c>
      <c r="AZ102" s="7">
        <f>W102*0.00045414</f>
        <v/>
      </c>
      <c r="BA102" s="7">
        <f>X102*0.00045414</f>
        <v/>
      </c>
      <c r="BB102" s="7">
        <f>SUM(AD102:BA102)</f>
        <v/>
      </c>
    </row>
    <row r="103">
      <c r="A103" t="inlineStr">
        <is>
          <t>AMD-RTS-RCLS-1302-SSC_1</t>
        </is>
      </c>
      <c r="B103" t="inlineStr">
        <is>
          <t>Rev OSC</t>
        </is>
      </c>
      <c r="C103" s="5" t="n">
        <v>46100</v>
      </c>
      <c r="D103" s="6">
        <f>Summary!D103</f>
        <v/>
      </c>
      <c r="E103" s="6">
        <f>Summary!E103</f>
        <v/>
      </c>
      <c r="F103" s="6">
        <f>Summary!F103</f>
        <v/>
      </c>
      <c r="G103" s="6">
        <f>Summary!G103</f>
        <v/>
      </c>
      <c r="H103" s="6">
        <f>Summary!H103</f>
        <v/>
      </c>
      <c r="I103" s="6">
        <f>Summary!I103</f>
        <v/>
      </c>
      <c r="J103" s="6">
        <f>Summary!J103</f>
        <v/>
      </c>
      <c r="K103" s="6">
        <f>Summary!K103</f>
        <v/>
      </c>
      <c r="L103" s="6">
        <f>Summary!L103</f>
        <v/>
      </c>
      <c r="M103" s="6">
        <f>Summary!M103</f>
        <v/>
      </c>
      <c r="N103" s="6">
        <f>Summary!N103</f>
        <v/>
      </c>
      <c r="O103" s="6">
        <f>Summary!O103</f>
        <v/>
      </c>
      <c r="P103" s="6">
        <f>Summary!P103</f>
        <v/>
      </c>
      <c r="Q103" s="6">
        <f>Summary!Q103</f>
        <v/>
      </c>
      <c r="R103" s="6">
        <f>Summary!R103</f>
        <v/>
      </c>
      <c r="S103" s="6">
        <f>Summary!S103</f>
        <v/>
      </c>
      <c r="T103" s="6">
        <f>Summary!T103</f>
        <v/>
      </c>
      <c r="U103" s="6">
        <f>Summary!U103</f>
        <v/>
      </c>
      <c r="V103" s="6">
        <f>Summary!V103</f>
        <v/>
      </c>
      <c r="W103" s="6">
        <f>Summary!W103</f>
        <v/>
      </c>
      <c r="X103" s="6">
        <f>Summary!X103</f>
        <v/>
      </c>
      <c r="Y103" s="6">
        <f>Summary!Y103</f>
        <v/>
      </c>
      <c r="Z103" s="6">
        <f>Summary!Z103</f>
        <v/>
      </c>
      <c r="AA103" s="6">
        <f>Summary!AA103</f>
        <v/>
      </c>
      <c r="AB103" s="6">
        <f>SUM(D103:AA103)</f>
        <v/>
      </c>
      <c r="AC103" s="3" t="inlineStr"/>
      <c r="AD103" s="7">
        <f>Y103*0.00045414</f>
        <v/>
      </c>
      <c r="AE103" s="7">
        <f>Z103*0.00045414</f>
        <v/>
      </c>
      <c r="AF103" s="7">
        <f>AA103*0.00045414</f>
        <v/>
      </c>
      <c r="AG103" s="7">
        <f>D103*0.00045414</f>
        <v/>
      </c>
      <c r="AH103" s="7">
        <f>E103*0.00045414</f>
        <v/>
      </c>
      <c r="AI103" s="7">
        <f>F103*0.00045414</f>
        <v/>
      </c>
      <c r="AJ103" s="7">
        <f>G103*0.00045414</f>
        <v/>
      </c>
      <c r="AK103" s="7">
        <f>H103*0.00045414</f>
        <v/>
      </c>
      <c r="AL103" s="7">
        <f>I103*0.00045414</f>
        <v/>
      </c>
      <c r="AM103" s="7">
        <f>J103*0.00045414</f>
        <v/>
      </c>
      <c r="AN103" s="7">
        <f>K103*0.00045414</f>
        <v/>
      </c>
      <c r="AO103" s="7">
        <f>L103*0.00045414</f>
        <v/>
      </c>
      <c r="AP103" s="7">
        <f>M103*0.00045414</f>
        <v/>
      </c>
      <c r="AQ103" s="7">
        <f>N103*0.00045414</f>
        <v/>
      </c>
      <c r="AR103" s="7">
        <f>O103*0.00045414</f>
        <v/>
      </c>
      <c r="AS103" s="7">
        <f>P103*0.00045414</f>
        <v/>
      </c>
      <c r="AT103" s="7">
        <f>Q103*0.00045414</f>
        <v/>
      </c>
      <c r="AU103" s="7">
        <f>R103*0.00045414</f>
        <v/>
      </c>
      <c r="AV103" s="7">
        <f>S103*0.00045414</f>
        <v/>
      </c>
      <c r="AW103" s="7">
        <f>T103*0.00045414</f>
        <v/>
      </c>
      <c r="AX103" s="7">
        <f>U103*0.00045414</f>
        <v/>
      </c>
      <c r="AY103" s="7">
        <f>V103*0.00045414</f>
        <v/>
      </c>
      <c r="AZ103" s="7">
        <f>W103*0.00045414</f>
        <v/>
      </c>
      <c r="BA103" s="7">
        <f>X103*0.00045414</f>
        <v/>
      </c>
      <c r="BB103" s="7">
        <f>SUM(AD103:BA103)</f>
        <v/>
      </c>
    </row>
    <row r="104">
      <c r="A104" t="inlineStr">
        <is>
          <t>AMD-RTS-RCLS-1302-SSC_1</t>
        </is>
      </c>
      <c r="B104" t="inlineStr">
        <is>
          <t>Rev OSC</t>
        </is>
      </c>
      <c r="C104" s="5" t="n">
        <v>46102</v>
      </c>
      <c r="D104" s="6">
        <f>Summary!D104</f>
        <v/>
      </c>
      <c r="E104" s="6">
        <f>Summary!E104</f>
        <v/>
      </c>
      <c r="F104" s="6">
        <f>Summary!F104</f>
        <v/>
      </c>
      <c r="G104" s="6">
        <f>Summary!G104</f>
        <v/>
      </c>
      <c r="H104" s="6">
        <f>Summary!H104</f>
        <v/>
      </c>
      <c r="I104" s="6">
        <f>Summary!I104</f>
        <v/>
      </c>
      <c r="J104" s="6">
        <f>Summary!J104</f>
        <v/>
      </c>
      <c r="K104" s="6">
        <f>Summary!K104</f>
        <v/>
      </c>
      <c r="L104" s="6">
        <f>Summary!L104</f>
        <v/>
      </c>
      <c r="M104" s="6">
        <f>Summary!M104</f>
        <v/>
      </c>
      <c r="N104" s="6">
        <f>Summary!N104</f>
        <v/>
      </c>
      <c r="O104" s="6">
        <f>Summary!O104</f>
        <v/>
      </c>
      <c r="P104" s="6">
        <f>Summary!P104</f>
        <v/>
      </c>
      <c r="Q104" s="6">
        <f>Summary!Q104</f>
        <v/>
      </c>
      <c r="R104" s="6">
        <f>Summary!R104</f>
        <v/>
      </c>
      <c r="S104" s="6">
        <f>Summary!S104</f>
        <v/>
      </c>
      <c r="T104" s="6">
        <f>Summary!T104</f>
        <v/>
      </c>
      <c r="U104" s="6">
        <f>Summary!U104</f>
        <v/>
      </c>
      <c r="V104" s="6">
        <f>Summary!V104</f>
        <v/>
      </c>
      <c r="W104" s="6">
        <f>Summary!W104</f>
        <v/>
      </c>
      <c r="X104" s="6">
        <f>Summary!X104</f>
        <v/>
      </c>
      <c r="Y104" s="6">
        <f>Summary!Y104</f>
        <v/>
      </c>
      <c r="Z104" s="6">
        <f>Summary!Z104</f>
        <v/>
      </c>
      <c r="AA104" s="6">
        <f>Summary!AA104</f>
        <v/>
      </c>
      <c r="AB104" s="6">
        <f>SUM(D104:AA104)</f>
        <v/>
      </c>
      <c r="AC104" s="3" t="inlineStr"/>
      <c r="AD104" s="7">
        <f>Y104*0.00045414</f>
        <v/>
      </c>
      <c r="AE104" s="7">
        <f>Z104*0.00045414</f>
        <v/>
      </c>
      <c r="AF104" s="7">
        <f>AA104*0.00045414</f>
        <v/>
      </c>
      <c r="AG104" s="7">
        <f>D104*0.00045414</f>
        <v/>
      </c>
      <c r="AH104" s="7">
        <f>E104*0.00045414</f>
        <v/>
      </c>
      <c r="AI104" s="7">
        <f>F104*0.00045414</f>
        <v/>
      </c>
      <c r="AJ104" s="7">
        <f>G104*0.00045414</f>
        <v/>
      </c>
      <c r="AK104" s="7">
        <f>H104*0.00045414</f>
        <v/>
      </c>
      <c r="AL104" s="7">
        <f>I104*0.00045414</f>
        <v/>
      </c>
      <c r="AM104" s="7">
        <f>J104*0.00045414</f>
        <v/>
      </c>
      <c r="AN104" s="7">
        <f>K104*0.00045414</f>
        <v/>
      </c>
      <c r="AO104" s="7">
        <f>L104*0.00045414</f>
        <v/>
      </c>
      <c r="AP104" s="7">
        <f>M104*0.00045414</f>
        <v/>
      </c>
      <c r="AQ104" s="7">
        <f>N104*0.00045414</f>
        <v/>
      </c>
      <c r="AR104" s="7">
        <f>O104*0.00045414</f>
        <v/>
      </c>
      <c r="AS104" s="7">
        <f>P104*0.00045414</f>
        <v/>
      </c>
      <c r="AT104" s="7">
        <f>Q104*0.00045414</f>
        <v/>
      </c>
      <c r="AU104" s="7">
        <f>R104*0.00045414</f>
        <v/>
      </c>
      <c r="AV104" s="7">
        <f>S104*0.00045414</f>
        <v/>
      </c>
      <c r="AW104" s="7">
        <f>T104*0.00045414</f>
        <v/>
      </c>
      <c r="AX104" s="7">
        <f>U104*0.00045414</f>
        <v/>
      </c>
      <c r="AY104" s="7">
        <f>V104*0.00045414</f>
        <v/>
      </c>
      <c r="AZ104" s="7">
        <f>W104*0.00045414</f>
        <v/>
      </c>
      <c r="BA104" s="7">
        <f>X104*0.00045414</f>
        <v/>
      </c>
      <c r="BB104" s="7">
        <f>SUM(AD104:BA104)</f>
        <v/>
      </c>
    </row>
    <row r="105">
      <c r="A105" t="inlineStr">
        <is>
          <t>AMD-RTS-RCLS-1302-SSC_1</t>
        </is>
      </c>
      <c r="B105" t="inlineStr">
        <is>
          <t>Rev OSC</t>
        </is>
      </c>
      <c r="C105" s="5" t="n">
        <v>46103</v>
      </c>
      <c r="D105" s="6">
        <f>Summary!D105</f>
        <v/>
      </c>
      <c r="E105" s="6">
        <f>Summary!E105</f>
        <v/>
      </c>
      <c r="F105" s="6">
        <f>Summary!F105</f>
        <v/>
      </c>
      <c r="G105" s="6">
        <f>Summary!G105</f>
        <v/>
      </c>
      <c r="H105" s="6">
        <f>Summary!H105</f>
        <v/>
      </c>
      <c r="I105" s="6">
        <f>Summary!I105</f>
        <v/>
      </c>
      <c r="J105" s="6">
        <f>Summary!J105</f>
        <v/>
      </c>
      <c r="K105" s="6">
        <f>Summary!K105</f>
        <v/>
      </c>
      <c r="L105" s="6">
        <f>Summary!L105</f>
        <v/>
      </c>
      <c r="M105" s="6">
        <f>Summary!M105</f>
        <v/>
      </c>
      <c r="N105" s="6">
        <f>Summary!N105</f>
        <v/>
      </c>
      <c r="O105" s="6">
        <f>Summary!O105</f>
        <v/>
      </c>
      <c r="P105" s="6">
        <f>Summary!P105</f>
        <v/>
      </c>
      <c r="Q105" s="6">
        <f>Summary!Q105</f>
        <v/>
      </c>
      <c r="R105" s="6">
        <f>Summary!R105</f>
        <v/>
      </c>
      <c r="S105" s="6">
        <f>Summary!S105</f>
        <v/>
      </c>
      <c r="T105" s="6">
        <f>Summary!T105</f>
        <v/>
      </c>
      <c r="U105" s="6">
        <f>Summary!U105</f>
        <v/>
      </c>
      <c r="V105" s="6">
        <f>Summary!V105</f>
        <v/>
      </c>
      <c r="W105" s="6">
        <f>Summary!W105</f>
        <v/>
      </c>
      <c r="X105" s="6">
        <f>Summary!X105</f>
        <v/>
      </c>
      <c r="Y105" s="6">
        <f>Summary!Y105</f>
        <v/>
      </c>
      <c r="Z105" s="6">
        <f>Summary!Z105</f>
        <v/>
      </c>
      <c r="AA105" s="6">
        <f>Summary!AA105</f>
        <v/>
      </c>
      <c r="AB105" s="6">
        <f>SUM(D105:AA105)</f>
        <v/>
      </c>
      <c r="AC105" s="3" t="inlineStr"/>
      <c r="AD105" s="7">
        <f>Y105*0.00045414</f>
        <v/>
      </c>
      <c r="AE105" s="7">
        <f>Z105*0.00045414</f>
        <v/>
      </c>
      <c r="AF105" s="7">
        <f>AA105*0.00045414</f>
        <v/>
      </c>
      <c r="AG105" s="7">
        <f>D105*0.00045414</f>
        <v/>
      </c>
      <c r="AH105" s="7">
        <f>E105*0.00045414</f>
        <v/>
      </c>
      <c r="AI105" s="7">
        <f>F105*0.00045414</f>
        <v/>
      </c>
      <c r="AJ105" s="7">
        <f>G105*0.00045414</f>
        <v/>
      </c>
      <c r="AK105" s="7">
        <f>H105*0.00045414</f>
        <v/>
      </c>
      <c r="AL105" s="7">
        <f>I105*0.00045414</f>
        <v/>
      </c>
      <c r="AM105" s="7">
        <f>J105*0.00045414</f>
        <v/>
      </c>
      <c r="AN105" s="7">
        <f>K105*0.00045414</f>
        <v/>
      </c>
      <c r="AO105" s="7">
        <f>L105*0.00045414</f>
        <v/>
      </c>
      <c r="AP105" s="7">
        <f>M105*0.00045414</f>
        <v/>
      </c>
      <c r="AQ105" s="7">
        <f>N105*0.00045414</f>
        <v/>
      </c>
      <c r="AR105" s="7">
        <f>O105*0.00045414</f>
        <v/>
      </c>
      <c r="AS105" s="7">
        <f>P105*0.00045414</f>
        <v/>
      </c>
      <c r="AT105" s="7">
        <f>Q105*0.00045414</f>
        <v/>
      </c>
      <c r="AU105" s="7">
        <f>R105*0.00045414</f>
        <v/>
      </c>
      <c r="AV105" s="7">
        <f>S105*0.00045414</f>
        <v/>
      </c>
      <c r="AW105" s="7">
        <f>T105*0.00045414</f>
        <v/>
      </c>
      <c r="AX105" s="7">
        <f>U105*0.00045414</f>
        <v/>
      </c>
      <c r="AY105" s="7">
        <f>V105*0.00045414</f>
        <v/>
      </c>
      <c r="AZ105" s="7">
        <f>W105*0.00045414</f>
        <v/>
      </c>
      <c r="BA105" s="7">
        <f>X105*0.00045414</f>
        <v/>
      </c>
      <c r="BB105" s="7">
        <f>SUM(AD105:BA105)</f>
        <v/>
      </c>
    </row>
    <row r="106">
      <c r="A106" t="inlineStr">
        <is>
          <t>AMD-RTS-RCLS-1302-SSC_1</t>
        </is>
      </c>
      <c r="B106" t="inlineStr">
        <is>
          <t>Rev OSC</t>
        </is>
      </c>
      <c r="C106" s="5" t="n">
        <v>46104</v>
      </c>
      <c r="D106" s="6">
        <f>Summary!D106</f>
        <v/>
      </c>
      <c r="E106" s="6">
        <f>Summary!E106</f>
        <v/>
      </c>
      <c r="F106" s="6">
        <f>Summary!F106</f>
        <v/>
      </c>
      <c r="G106" s="6">
        <f>Summary!G106</f>
        <v/>
      </c>
      <c r="H106" s="6">
        <f>Summary!H106</f>
        <v/>
      </c>
      <c r="I106" s="6">
        <f>Summary!I106</f>
        <v/>
      </c>
      <c r="J106" s="6">
        <f>Summary!J106</f>
        <v/>
      </c>
      <c r="K106" s="6">
        <f>Summary!K106</f>
        <v/>
      </c>
      <c r="L106" s="6">
        <f>Summary!L106</f>
        <v/>
      </c>
      <c r="M106" s="6">
        <f>Summary!M106</f>
        <v/>
      </c>
      <c r="N106" s="6">
        <f>Summary!N106</f>
        <v/>
      </c>
      <c r="O106" s="6">
        <f>Summary!O106</f>
        <v/>
      </c>
      <c r="P106" s="6">
        <f>Summary!P106</f>
        <v/>
      </c>
      <c r="Q106" s="6">
        <f>Summary!Q106</f>
        <v/>
      </c>
      <c r="R106" s="6">
        <f>Summary!R106</f>
        <v/>
      </c>
      <c r="S106" s="6">
        <f>Summary!S106</f>
        <v/>
      </c>
      <c r="T106" s="6">
        <f>Summary!T106</f>
        <v/>
      </c>
      <c r="U106" s="6">
        <f>Summary!U106</f>
        <v/>
      </c>
      <c r="V106" s="6">
        <f>Summary!V106</f>
        <v/>
      </c>
      <c r="W106" s="6">
        <f>Summary!W106</f>
        <v/>
      </c>
      <c r="X106" s="6">
        <f>Summary!X106</f>
        <v/>
      </c>
      <c r="Y106" s="6">
        <f>Summary!Y106</f>
        <v/>
      </c>
      <c r="Z106" s="6">
        <f>Summary!Z106</f>
        <v/>
      </c>
      <c r="AA106" s="6">
        <f>Summary!AA106</f>
        <v/>
      </c>
      <c r="AB106" s="6">
        <f>SUM(D106:AA106)</f>
        <v/>
      </c>
      <c r="AC106" s="3" t="inlineStr"/>
      <c r="AD106" s="7">
        <f>Y106*0.00045414</f>
        <v/>
      </c>
      <c r="AE106" s="7">
        <f>Z106*0.00045414</f>
        <v/>
      </c>
      <c r="AF106" s="7">
        <f>AA106*0.00045414</f>
        <v/>
      </c>
      <c r="AG106" s="7">
        <f>D106*0.00045414</f>
        <v/>
      </c>
      <c r="AH106" s="7">
        <f>E106*0.00045414</f>
        <v/>
      </c>
      <c r="AI106" s="7">
        <f>F106*0.00045414</f>
        <v/>
      </c>
      <c r="AJ106" s="7">
        <f>G106*0.00045414</f>
        <v/>
      </c>
      <c r="AK106" s="7">
        <f>H106*0.00045414</f>
        <v/>
      </c>
      <c r="AL106" s="7">
        <f>I106*0.00045414</f>
        <v/>
      </c>
      <c r="AM106" s="7">
        <f>J106*0.00045414</f>
        <v/>
      </c>
      <c r="AN106" s="7">
        <f>K106*0.00045414</f>
        <v/>
      </c>
      <c r="AO106" s="7">
        <f>L106*0.00045414</f>
        <v/>
      </c>
      <c r="AP106" s="7">
        <f>M106*0.00045414</f>
        <v/>
      </c>
      <c r="AQ106" s="7">
        <f>N106*0.00045414</f>
        <v/>
      </c>
      <c r="AR106" s="7">
        <f>O106*0.00045414</f>
        <v/>
      </c>
      <c r="AS106" s="7">
        <f>P106*0.00045414</f>
        <v/>
      </c>
      <c r="AT106" s="7">
        <f>Q106*0.00045414</f>
        <v/>
      </c>
      <c r="AU106" s="7">
        <f>R106*0.00045414</f>
        <v/>
      </c>
      <c r="AV106" s="7">
        <f>S106*0.00045414</f>
        <v/>
      </c>
      <c r="AW106" s="7">
        <f>T106*0.00045414</f>
        <v/>
      </c>
      <c r="AX106" s="7">
        <f>U106*0.00045414</f>
        <v/>
      </c>
      <c r="AY106" s="7">
        <f>V106*0.00045414</f>
        <v/>
      </c>
      <c r="AZ106" s="7">
        <f>W106*0.00045414</f>
        <v/>
      </c>
      <c r="BA106" s="7">
        <f>X106*0.00045414</f>
        <v/>
      </c>
      <c r="BB106" s="7">
        <f>SUM(AD106:BA106)</f>
        <v/>
      </c>
    </row>
    <row r="107">
      <c r="A107" t="inlineStr">
        <is>
          <t>AMD-RTS-RCLS-1302-SSC_1</t>
        </is>
      </c>
      <c r="B107" t="inlineStr">
        <is>
          <t>Rev OSC</t>
        </is>
      </c>
      <c r="C107" s="5" t="n">
        <v>46105</v>
      </c>
      <c r="D107" s="6">
        <f>Summary!D107</f>
        <v/>
      </c>
      <c r="E107" s="6">
        <f>Summary!E107</f>
        <v/>
      </c>
      <c r="F107" s="6">
        <f>Summary!F107</f>
        <v/>
      </c>
      <c r="G107" s="6">
        <f>Summary!G107</f>
        <v/>
      </c>
      <c r="H107" s="6">
        <f>Summary!H107</f>
        <v/>
      </c>
      <c r="I107" s="6">
        <f>Summary!I107</f>
        <v/>
      </c>
      <c r="J107" s="6">
        <f>Summary!J107</f>
        <v/>
      </c>
      <c r="K107" s="6">
        <f>Summary!K107</f>
        <v/>
      </c>
      <c r="L107" s="6">
        <f>Summary!L107</f>
        <v/>
      </c>
      <c r="M107" s="6">
        <f>Summary!M107</f>
        <v/>
      </c>
      <c r="N107" s="6">
        <f>Summary!N107</f>
        <v/>
      </c>
      <c r="O107" s="6">
        <f>Summary!O107</f>
        <v/>
      </c>
      <c r="P107" s="6">
        <f>Summary!P107</f>
        <v/>
      </c>
      <c r="Q107" s="6">
        <f>Summary!Q107</f>
        <v/>
      </c>
      <c r="R107" s="6">
        <f>Summary!R107</f>
        <v/>
      </c>
      <c r="S107" s="6">
        <f>Summary!S107</f>
        <v/>
      </c>
      <c r="T107" s="6">
        <f>Summary!T107</f>
        <v/>
      </c>
      <c r="U107" s="6">
        <f>Summary!U107</f>
        <v/>
      </c>
      <c r="V107" s="6">
        <f>Summary!V107</f>
        <v/>
      </c>
      <c r="W107" s="6">
        <f>Summary!W107</f>
        <v/>
      </c>
      <c r="X107" s="6">
        <f>Summary!X107</f>
        <v/>
      </c>
      <c r="Y107" s="6">
        <f>Summary!Y107</f>
        <v/>
      </c>
      <c r="Z107" s="6">
        <f>Summary!Z107</f>
        <v/>
      </c>
      <c r="AA107" s="6">
        <f>Summary!AA107</f>
        <v/>
      </c>
      <c r="AB107" s="6">
        <f>SUM(D107:AA107)</f>
        <v/>
      </c>
      <c r="AC107" s="3" t="inlineStr"/>
      <c r="AD107" s="7">
        <f>Y107*0.00045414</f>
        <v/>
      </c>
      <c r="AE107" s="7">
        <f>Z107*0.00045414</f>
        <v/>
      </c>
      <c r="AF107" s="7">
        <f>AA107*0.00045414</f>
        <v/>
      </c>
      <c r="AG107" s="7">
        <f>D107*0.00045414</f>
        <v/>
      </c>
      <c r="AH107" s="7">
        <f>E107*0.00045414</f>
        <v/>
      </c>
      <c r="AI107" s="7">
        <f>F107*0.00045414</f>
        <v/>
      </c>
      <c r="AJ107" s="7">
        <f>G107*0.00045414</f>
        <v/>
      </c>
      <c r="AK107" s="7">
        <f>H107*0.00045414</f>
        <v/>
      </c>
      <c r="AL107" s="7">
        <f>I107*0.00045414</f>
        <v/>
      </c>
      <c r="AM107" s="7">
        <f>J107*0.00045414</f>
        <v/>
      </c>
      <c r="AN107" s="7">
        <f>K107*0.00045414</f>
        <v/>
      </c>
      <c r="AO107" s="7">
        <f>L107*0.00045414</f>
        <v/>
      </c>
      <c r="AP107" s="7">
        <f>M107*0.00045414</f>
        <v/>
      </c>
      <c r="AQ107" s="7">
        <f>N107*0.00045414</f>
        <v/>
      </c>
      <c r="AR107" s="7">
        <f>O107*0.00045414</f>
        <v/>
      </c>
      <c r="AS107" s="7">
        <f>P107*0.00045414</f>
        <v/>
      </c>
      <c r="AT107" s="7">
        <f>Q107*0.00045414</f>
        <v/>
      </c>
      <c r="AU107" s="7">
        <f>R107*0.00045414</f>
        <v/>
      </c>
      <c r="AV107" s="7">
        <f>S107*0.00045414</f>
        <v/>
      </c>
      <c r="AW107" s="7">
        <f>T107*0.00045414</f>
        <v/>
      </c>
      <c r="AX107" s="7">
        <f>U107*0.00045414</f>
        <v/>
      </c>
      <c r="AY107" s="7">
        <f>V107*0.00045414</f>
        <v/>
      </c>
      <c r="AZ107" s="7">
        <f>W107*0.00045414</f>
        <v/>
      </c>
      <c r="BA107" s="7">
        <f>X107*0.00045414</f>
        <v/>
      </c>
      <c r="BB107" s="7">
        <f>SUM(AD107:BA107)</f>
        <v/>
      </c>
    </row>
    <row r="108">
      <c r="A108" t="inlineStr">
        <is>
          <t>AMD-RTS-RCLS-1302-SSC_2</t>
        </is>
      </c>
      <c r="B108" t="inlineStr">
        <is>
          <t>Rev OSC</t>
        </is>
      </c>
      <c r="C108" s="5" t="n">
        <v>46100</v>
      </c>
      <c r="D108" s="6">
        <f>Summary!D108</f>
        <v/>
      </c>
      <c r="E108" s="6">
        <f>Summary!E108</f>
        <v/>
      </c>
      <c r="F108" s="6">
        <f>Summary!F108</f>
        <v/>
      </c>
      <c r="G108" s="6">
        <f>Summary!G108</f>
        <v/>
      </c>
      <c r="H108" s="6">
        <f>Summary!H108</f>
        <v/>
      </c>
      <c r="I108" s="6">
        <f>Summary!I108</f>
        <v/>
      </c>
      <c r="J108" s="6">
        <f>Summary!J108</f>
        <v/>
      </c>
      <c r="K108" s="6">
        <f>Summary!K108</f>
        <v/>
      </c>
      <c r="L108" s="6">
        <f>Summary!L108</f>
        <v/>
      </c>
      <c r="M108" s="6">
        <f>Summary!M108</f>
        <v/>
      </c>
      <c r="N108" s="6">
        <f>Summary!N108</f>
        <v/>
      </c>
      <c r="O108" s="6">
        <f>Summary!O108</f>
        <v/>
      </c>
      <c r="P108" s="6">
        <f>Summary!P108</f>
        <v/>
      </c>
      <c r="Q108" s="6">
        <f>Summary!Q108</f>
        <v/>
      </c>
      <c r="R108" s="6">
        <f>Summary!R108</f>
        <v/>
      </c>
      <c r="S108" s="6">
        <f>Summary!S108</f>
        <v/>
      </c>
      <c r="T108" s="6">
        <f>Summary!T108</f>
        <v/>
      </c>
      <c r="U108" s="6">
        <f>Summary!U108</f>
        <v/>
      </c>
      <c r="V108" s="6">
        <f>Summary!V108</f>
        <v/>
      </c>
      <c r="W108" s="6">
        <f>Summary!W108</f>
        <v/>
      </c>
      <c r="X108" s="6">
        <f>Summary!X108</f>
        <v/>
      </c>
      <c r="Y108" s="6">
        <f>Summary!Y108</f>
        <v/>
      </c>
      <c r="Z108" s="6">
        <f>Summary!Z108</f>
        <v/>
      </c>
      <c r="AA108" s="6">
        <f>Summary!AA108</f>
        <v/>
      </c>
      <c r="AB108" s="6">
        <f>SUM(D108:AA108)</f>
        <v/>
      </c>
      <c r="AC108" s="3" t="inlineStr"/>
      <c r="AD108" s="7">
        <f>Y108*0.00045414</f>
        <v/>
      </c>
      <c r="AE108" s="7">
        <f>Z108*0.00045414</f>
        <v/>
      </c>
      <c r="AF108" s="7">
        <f>AA108*0.00045414</f>
        <v/>
      </c>
      <c r="AG108" s="7">
        <f>D108*0.00045414</f>
        <v/>
      </c>
      <c r="AH108" s="7">
        <f>E108*0.00045414</f>
        <v/>
      </c>
      <c r="AI108" s="7">
        <f>F108*0.00045414</f>
        <v/>
      </c>
      <c r="AJ108" s="7">
        <f>G108*0.00045414</f>
        <v/>
      </c>
      <c r="AK108" s="7">
        <f>H108*0.00045414</f>
        <v/>
      </c>
      <c r="AL108" s="7">
        <f>I108*0.00045414</f>
        <v/>
      </c>
      <c r="AM108" s="7">
        <f>J108*0.00045414</f>
        <v/>
      </c>
      <c r="AN108" s="7">
        <f>K108*0.00045414</f>
        <v/>
      </c>
      <c r="AO108" s="7">
        <f>L108*0.00045414</f>
        <v/>
      </c>
      <c r="AP108" s="7">
        <f>M108*0.00045414</f>
        <v/>
      </c>
      <c r="AQ108" s="7">
        <f>N108*0.00045414</f>
        <v/>
      </c>
      <c r="AR108" s="7">
        <f>O108*0.00045414</f>
        <v/>
      </c>
      <c r="AS108" s="7">
        <f>P108*0.00045414</f>
        <v/>
      </c>
      <c r="AT108" s="7">
        <f>Q108*0.00045414</f>
        <v/>
      </c>
      <c r="AU108" s="7">
        <f>R108*0.00045414</f>
        <v/>
      </c>
      <c r="AV108" s="7">
        <f>S108*0.00045414</f>
        <v/>
      </c>
      <c r="AW108" s="7">
        <f>T108*0.00045414</f>
        <v/>
      </c>
      <c r="AX108" s="7">
        <f>U108*0.00045414</f>
        <v/>
      </c>
      <c r="AY108" s="7">
        <f>V108*0.00045414</f>
        <v/>
      </c>
      <c r="AZ108" s="7">
        <f>W108*0.00045414</f>
        <v/>
      </c>
      <c r="BA108" s="7">
        <f>X108*0.00045414</f>
        <v/>
      </c>
      <c r="BB108" s="7">
        <f>SUM(AD108:BA108)</f>
        <v/>
      </c>
    </row>
    <row r="109">
      <c r="A109" t="inlineStr">
        <is>
          <t>AMD-RTS-RCLS-1302-SSC_2</t>
        </is>
      </c>
      <c r="B109" t="inlineStr">
        <is>
          <t>Rev OSC</t>
        </is>
      </c>
      <c r="C109" s="5" t="n">
        <v>46102</v>
      </c>
      <c r="D109" s="6">
        <f>Summary!D109</f>
        <v/>
      </c>
      <c r="E109" s="6">
        <f>Summary!E109</f>
        <v/>
      </c>
      <c r="F109" s="6">
        <f>Summary!F109</f>
        <v/>
      </c>
      <c r="G109" s="6">
        <f>Summary!G109</f>
        <v/>
      </c>
      <c r="H109" s="6">
        <f>Summary!H109</f>
        <v/>
      </c>
      <c r="I109" s="6">
        <f>Summary!I109</f>
        <v/>
      </c>
      <c r="J109" s="6">
        <f>Summary!J109</f>
        <v/>
      </c>
      <c r="K109" s="6">
        <f>Summary!K109</f>
        <v/>
      </c>
      <c r="L109" s="6">
        <f>Summary!L109</f>
        <v/>
      </c>
      <c r="M109" s="6">
        <f>Summary!M109</f>
        <v/>
      </c>
      <c r="N109" s="6">
        <f>Summary!N109</f>
        <v/>
      </c>
      <c r="O109" s="6">
        <f>Summary!O109</f>
        <v/>
      </c>
      <c r="P109" s="6">
        <f>Summary!P109</f>
        <v/>
      </c>
      <c r="Q109" s="6">
        <f>Summary!Q109</f>
        <v/>
      </c>
      <c r="R109" s="6">
        <f>Summary!R109</f>
        <v/>
      </c>
      <c r="S109" s="6">
        <f>Summary!S109</f>
        <v/>
      </c>
      <c r="T109" s="6">
        <f>Summary!T109</f>
        <v/>
      </c>
      <c r="U109" s="6">
        <f>Summary!U109</f>
        <v/>
      </c>
      <c r="V109" s="6">
        <f>Summary!V109</f>
        <v/>
      </c>
      <c r="W109" s="6">
        <f>Summary!W109</f>
        <v/>
      </c>
      <c r="X109" s="6">
        <f>Summary!X109</f>
        <v/>
      </c>
      <c r="Y109" s="6">
        <f>Summary!Y109</f>
        <v/>
      </c>
      <c r="Z109" s="6">
        <f>Summary!Z109</f>
        <v/>
      </c>
      <c r="AA109" s="6">
        <f>Summary!AA109</f>
        <v/>
      </c>
      <c r="AB109" s="6">
        <f>SUM(D109:AA109)</f>
        <v/>
      </c>
      <c r="AC109" s="3" t="inlineStr"/>
      <c r="AD109" s="7">
        <f>Y109*0.00045414</f>
        <v/>
      </c>
      <c r="AE109" s="7">
        <f>Z109*0.00045414</f>
        <v/>
      </c>
      <c r="AF109" s="7">
        <f>AA109*0.00045414</f>
        <v/>
      </c>
      <c r="AG109" s="7">
        <f>D109*0.00045414</f>
        <v/>
      </c>
      <c r="AH109" s="7">
        <f>E109*0.00045414</f>
        <v/>
      </c>
      <c r="AI109" s="7">
        <f>F109*0.00045414</f>
        <v/>
      </c>
      <c r="AJ109" s="7">
        <f>G109*0.00045414</f>
        <v/>
      </c>
      <c r="AK109" s="7">
        <f>H109*0.00045414</f>
        <v/>
      </c>
      <c r="AL109" s="7">
        <f>I109*0.00045414</f>
        <v/>
      </c>
      <c r="AM109" s="7">
        <f>J109*0.00045414</f>
        <v/>
      </c>
      <c r="AN109" s="7">
        <f>K109*0.00045414</f>
        <v/>
      </c>
      <c r="AO109" s="7">
        <f>L109*0.00045414</f>
        <v/>
      </c>
      <c r="AP109" s="7">
        <f>M109*0.00045414</f>
        <v/>
      </c>
      <c r="AQ109" s="7">
        <f>N109*0.00045414</f>
        <v/>
      </c>
      <c r="AR109" s="7">
        <f>O109*0.00045414</f>
        <v/>
      </c>
      <c r="AS109" s="7">
        <f>P109*0.00045414</f>
        <v/>
      </c>
      <c r="AT109" s="7">
        <f>Q109*0.00045414</f>
        <v/>
      </c>
      <c r="AU109" s="7">
        <f>R109*0.00045414</f>
        <v/>
      </c>
      <c r="AV109" s="7">
        <f>S109*0.00045414</f>
        <v/>
      </c>
      <c r="AW109" s="7">
        <f>T109*0.00045414</f>
        <v/>
      </c>
      <c r="AX109" s="7">
        <f>U109*0.00045414</f>
        <v/>
      </c>
      <c r="AY109" s="7">
        <f>V109*0.00045414</f>
        <v/>
      </c>
      <c r="AZ109" s="7">
        <f>W109*0.00045414</f>
        <v/>
      </c>
      <c r="BA109" s="7">
        <f>X109*0.00045414</f>
        <v/>
      </c>
      <c r="BB109" s="7">
        <f>SUM(AD109:BA109)</f>
        <v/>
      </c>
    </row>
    <row r="110">
      <c r="A110" t="inlineStr">
        <is>
          <t>AMD-RTS-RCLS-1302-SSC_2</t>
        </is>
      </c>
      <c r="B110" t="inlineStr">
        <is>
          <t>Rev OSC</t>
        </is>
      </c>
      <c r="C110" s="5" t="n">
        <v>46104</v>
      </c>
      <c r="D110" s="6">
        <f>Summary!D110</f>
        <v/>
      </c>
      <c r="E110" s="6">
        <f>Summary!E110</f>
        <v/>
      </c>
      <c r="F110" s="6">
        <f>Summary!F110</f>
        <v/>
      </c>
      <c r="G110" s="6">
        <f>Summary!G110</f>
        <v/>
      </c>
      <c r="H110" s="6">
        <f>Summary!H110</f>
        <v/>
      </c>
      <c r="I110" s="6">
        <f>Summary!I110</f>
        <v/>
      </c>
      <c r="J110" s="6">
        <f>Summary!J110</f>
        <v/>
      </c>
      <c r="K110" s="6">
        <f>Summary!K110</f>
        <v/>
      </c>
      <c r="L110" s="6">
        <f>Summary!L110</f>
        <v/>
      </c>
      <c r="M110" s="6">
        <f>Summary!M110</f>
        <v/>
      </c>
      <c r="N110" s="6">
        <f>Summary!N110</f>
        <v/>
      </c>
      <c r="O110" s="6">
        <f>Summary!O110</f>
        <v/>
      </c>
      <c r="P110" s="6">
        <f>Summary!P110</f>
        <v/>
      </c>
      <c r="Q110" s="6">
        <f>Summary!Q110</f>
        <v/>
      </c>
      <c r="R110" s="6">
        <f>Summary!R110</f>
        <v/>
      </c>
      <c r="S110" s="6">
        <f>Summary!S110</f>
        <v/>
      </c>
      <c r="T110" s="6">
        <f>Summary!T110</f>
        <v/>
      </c>
      <c r="U110" s="6">
        <f>Summary!U110</f>
        <v/>
      </c>
      <c r="V110" s="6">
        <f>Summary!V110</f>
        <v/>
      </c>
      <c r="W110" s="6">
        <f>Summary!W110</f>
        <v/>
      </c>
      <c r="X110" s="6">
        <f>Summary!X110</f>
        <v/>
      </c>
      <c r="Y110" s="6">
        <f>Summary!Y110</f>
        <v/>
      </c>
      <c r="Z110" s="6">
        <f>Summary!Z110</f>
        <v/>
      </c>
      <c r="AA110" s="6">
        <f>Summary!AA110</f>
        <v/>
      </c>
      <c r="AB110" s="6">
        <f>SUM(D110:AA110)</f>
        <v/>
      </c>
      <c r="AC110" s="3" t="inlineStr"/>
      <c r="AD110" s="7">
        <f>Y110*0.00045414</f>
        <v/>
      </c>
      <c r="AE110" s="7">
        <f>Z110*0.00045414</f>
        <v/>
      </c>
      <c r="AF110" s="7">
        <f>AA110*0.00045414</f>
        <v/>
      </c>
      <c r="AG110" s="7">
        <f>D110*0.00045414</f>
        <v/>
      </c>
      <c r="AH110" s="7">
        <f>E110*0.00045414</f>
        <v/>
      </c>
      <c r="AI110" s="7">
        <f>F110*0.00045414</f>
        <v/>
      </c>
      <c r="AJ110" s="7">
        <f>G110*0.00045414</f>
        <v/>
      </c>
      <c r="AK110" s="7">
        <f>H110*0.00045414</f>
        <v/>
      </c>
      <c r="AL110" s="7">
        <f>I110*0.00045414</f>
        <v/>
      </c>
      <c r="AM110" s="7">
        <f>J110*0.00045414</f>
        <v/>
      </c>
      <c r="AN110" s="7">
        <f>K110*0.00045414</f>
        <v/>
      </c>
      <c r="AO110" s="7">
        <f>L110*0.00045414</f>
        <v/>
      </c>
      <c r="AP110" s="7">
        <f>M110*0.00045414</f>
        <v/>
      </c>
      <c r="AQ110" s="7">
        <f>N110*0.00045414</f>
        <v/>
      </c>
      <c r="AR110" s="7">
        <f>O110*0.00045414</f>
        <v/>
      </c>
      <c r="AS110" s="7">
        <f>P110*0.00045414</f>
        <v/>
      </c>
      <c r="AT110" s="7">
        <f>Q110*0.00045414</f>
        <v/>
      </c>
      <c r="AU110" s="7">
        <f>R110*0.00045414</f>
        <v/>
      </c>
      <c r="AV110" s="7">
        <f>S110*0.00045414</f>
        <v/>
      </c>
      <c r="AW110" s="7">
        <f>T110*0.00045414</f>
        <v/>
      </c>
      <c r="AX110" s="7">
        <f>U110*0.00045414</f>
        <v/>
      </c>
      <c r="AY110" s="7">
        <f>V110*0.00045414</f>
        <v/>
      </c>
      <c r="AZ110" s="7">
        <f>W110*0.00045414</f>
        <v/>
      </c>
      <c r="BA110" s="7">
        <f>X110*0.00045414</f>
        <v/>
      </c>
      <c r="BB110" s="7">
        <f>SUM(AD110:BA110)</f>
        <v/>
      </c>
    </row>
    <row r="111">
      <c r="A111" t="inlineStr">
        <is>
          <t>DC-10-1</t>
        </is>
      </c>
      <c r="B111" t="inlineStr">
        <is>
          <t>DSC Manual</t>
        </is>
      </c>
      <c r="C111" s="5" t="n">
        <v>46089</v>
      </c>
      <c r="D111" s="6">
        <f>Summary!D111</f>
        <v/>
      </c>
      <c r="E111" s="6">
        <f>Summary!E111</f>
        <v/>
      </c>
      <c r="F111" s="6">
        <f>Summary!F111</f>
        <v/>
      </c>
      <c r="G111" s="6">
        <f>Summary!G111</f>
        <v/>
      </c>
      <c r="H111" s="6">
        <f>Summary!H111</f>
        <v/>
      </c>
      <c r="I111" s="6">
        <f>Summary!I111</f>
        <v/>
      </c>
      <c r="J111" s="6">
        <f>Summary!J111</f>
        <v/>
      </c>
      <c r="K111" s="6">
        <f>Summary!K111</f>
        <v/>
      </c>
      <c r="L111" s="6">
        <f>Summary!L111</f>
        <v/>
      </c>
      <c r="M111" s="6">
        <f>Summary!M111</f>
        <v/>
      </c>
      <c r="N111" s="6">
        <f>Summary!N111</f>
        <v/>
      </c>
      <c r="O111" s="6">
        <f>Summary!O111</f>
        <v/>
      </c>
      <c r="P111" s="6">
        <f>Summary!P111</f>
        <v/>
      </c>
      <c r="Q111" s="6">
        <f>Summary!Q111</f>
        <v/>
      </c>
      <c r="R111" s="6">
        <f>Summary!R111</f>
        <v/>
      </c>
      <c r="S111" s="6">
        <f>Summary!S111</f>
        <v/>
      </c>
      <c r="T111" s="6">
        <f>Summary!T111</f>
        <v/>
      </c>
      <c r="U111" s="6">
        <f>Summary!U111</f>
        <v/>
      </c>
      <c r="V111" s="6">
        <f>Summary!V111</f>
        <v/>
      </c>
      <c r="W111" s="6">
        <f>Summary!W111</f>
        <v/>
      </c>
      <c r="X111" s="6">
        <f>Summary!X111</f>
        <v/>
      </c>
      <c r="Y111" s="6">
        <f>Summary!Y111</f>
        <v/>
      </c>
      <c r="Z111" s="6">
        <f>Summary!Z111</f>
        <v/>
      </c>
      <c r="AA111" s="6">
        <f>Summary!AA111</f>
        <v/>
      </c>
      <c r="AB111" s="6">
        <f>SUM(D111:AA111)</f>
        <v/>
      </c>
      <c r="AC111" s="3" t="inlineStr"/>
      <c r="AD111" s="7">
        <f>Y111*0.00045414</f>
        <v/>
      </c>
      <c r="AE111" s="7">
        <f>Z111*0.00045414</f>
        <v/>
      </c>
      <c r="AF111" s="7">
        <f>AA111*0.00045414</f>
        <v/>
      </c>
      <c r="AG111" s="7">
        <f>D111*0.00045414</f>
        <v/>
      </c>
      <c r="AH111" s="7">
        <f>E111*0.00045414</f>
        <v/>
      </c>
      <c r="AI111" s="7">
        <f>F111*0.00045414</f>
        <v/>
      </c>
      <c r="AJ111" s="7">
        <f>G111*0.00045414</f>
        <v/>
      </c>
      <c r="AK111" s="7">
        <f>H111*0.00045414</f>
        <v/>
      </c>
      <c r="AL111" s="7">
        <f>I111*0.00045414</f>
        <v/>
      </c>
      <c r="AM111" s="7">
        <f>J111*0.00045414</f>
        <v/>
      </c>
      <c r="AN111" s="7">
        <f>K111*0.00045414</f>
        <v/>
      </c>
      <c r="AO111" s="7">
        <f>L111*0.00045414</f>
        <v/>
      </c>
      <c r="AP111" s="7">
        <f>M111*0.00045414</f>
        <v/>
      </c>
      <c r="AQ111" s="7">
        <f>N111*0.00045414</f>
        <v/>
      </c>
      <c r="AR111" s="7">
        <f>O111*0.00045414</f>
        <v/>
      </c>
      <c r="AS111" s="7">
        <f>P111*0.00045414</f>
        <v/>
      </c>
      <c r="AT111" s="7">
        <f>Q111*0.00045414</f>
        <v/>
      </c>
      <c r="AU111" s="7">
        <f>R111*0.00045414</f>
        <v/>
      </c>
      <c r="AV111" s="7">
        <f>S111*0.00045414</f>
        <v/>
      </c>
      <c r="AW111" s="7">
        <f>T111*0.00045414</f>
        <v/>
      </c>
      <c r="AX111" s="7">
        <f>U111*0.00045414</f>
        <v/>
      </c>
      <c r="AY111" s="7">
        <f>V111*0.00045414</f>
        <v/>
      </c>
      <c r="AZ111" s="7">
        <f>W111*0.00045414</f>
        <v/>
      </c>
      <c r="BA111" s="7">
        <f>X111*0.00045414</f>
        <v/>
      </c>
      <c r="BB111" s="7">
        <f>SUM(AD111:BA111)</f>
        <v/>
      </c>
    </row>
    <row r="112">
      <c r="A112" t="inlineStr">
        <is>
          <t>DC-10-1</t>
        </is>
      </c>
      <c r="B112" t="inlineStr">
        <is>
          <t>DSC Manual</t>
        </is>
      </c>
      <c r="C112" s="5" t="n">
        <v>46090</v>
      </c>
      <c r="D112" s="6">
        <f>Summary!D112</f>
        <v/>
      </c>
      <c r="E112" s="6">
        <f>Summary!E112</f>
        <v/>
      </c>
      <c r="F112" s="6">
        <f>Summary!F112</f>
        <v/>
      </c>
      <c r="G112" s="6">
        <f>Summary!G112</f>
        <v/>
      </c>
      <c r="H112" s="6">
        <f>Summary!H112</f>
        <v/>
      </c>
      <c r="I112" s="6">
        <f>Summary!I112</f>
        <v/>
      </c>
      <c r="J112" s="6">
        <f>Summary!J112</f>
        <v/>
      </c>
      <c r="K112" s="6">
        <f>Summary!K112</f>
        <v/>
      </c>
      <c r="L112" s="6">
        <f>Summary!L112</f>
        <v/>
      </c>
      <c r="M112" s="6">
        <f>Summary!M112</f>
        <v/>
      </c>
      <c r="N112" s="6">
        <f>Summary!N112</f>
        <v/>
      </c>
      <c r="O112" s="6">
        <f>Summary!O112</f>
        <v/>
      </c>
      <c r="P112" s="6">
        <f>Summary!P112</f>
        <v/>
      </c>
      <c r="Q112" s="6">
        <f>Summary!Q112</f>
        <v/>
      </c>
      <c r="R112" s="6">
        <f>Summary!R112</f>
        <v/>
      </c>
      <c r="S112" s="6">
        <f>Summary!S112</f>
        <v/>
      </c>
      <c r="T112" s="6">
        <f>Summary!T112</f>
        <v/>
      </c>
      <c r="U112" s="6">
        <f>Summary!U112</f>
        <v/>
      </c>
      <c r="V112" s="6">
        <f>Summary!V112</f>
        <v/>
      </c>
      <c r="W112" s="6">
        <f>Summary!W112</f>
        <v/>
      </c>
      <c r="X112" s="6">
        <f>Summary!X112</f>
        <v/>
      </c>
      <c r="Y112" s="6">
        <f>Summary!Y112</f>
        <v/>
      </c>
      <c r="Z112" s="6">
        <f>Summary!Z112</f>
        <v/>
      </c>
      <c r="AA112" s="6">
        <f>Summary!AA112</f>
        <v/>
      </c>
      <c r="AB112" s="6">
        <f>SUM(D112:AA112)</f>
        <v/>
      </c>
      <c r="AC112" s="3" t="inlineStr"/>
      <c r="AD112" s="7">
        <f>Y112*0.00045414</f>
        <v/>
      </c>
      <c r="AE112" s="7">
        <f>Z112*0.00045414</f>
        <v/>
      </c>
      <c r="AF112" s="7">
        <f>AA112*0.00045414</f>
        <v/>
      </c>
      <c r="AG112" s="7">
        <f>D112*0.00045414</f>
        <v/>
      </c>
      <c r="AH112" s="7">
        <f>E112*0.00045414</f>
        <v/>
      </c>
      <c r="AI112" s="7">
        <f>F112*0.00045414</f>
        <v/>
      </c>
      <c r="AJ112" s="7">
        <f>G112*0.00045414</f>
        <v/>
      </c>
      <c r="AK112" s="7">
        <f>H112*0.00045414</f>
        <v/>
      </c>
      <c r="AL112" s="7">
        <f>I112*0.00045414</f>
        <v/>
      </c>
      <c r="AM112" s="7">
        <f>J112*0.00045414</f>
        <v/>
      </c>
      <c r="AN112" s="7">
        <f>K112*0.00045414</f>
        <v/>
      </c>
      <c r="AO112" s="7">
        <f>L112*0.00045414</f>
        <v/>
      </c>
      <c r="AP112" s="7">
        <f>M112*0.00045414</f>
        <v/>
      </c>
      <c r="AQ112" s="7">
        <f>N112*0.00045414</f>
        <v/>
      </c>
      <c r="AR112" s="7">
        <f>O112*0.00045414</f>
        <v/>
      </c>
      <c r="AS112" s="7">
        <f>P112*0.00045414</f>
        <v/>
      </c>
      <c r="AT112" s="7">
        <f>Q112*0.00045414</f>
        <v/>
      </c>
      <c r="AU112" s="7">
        <f>R112*0.00045414</f>
        <v/>
      </c>
      <c r="AV112" s="7">
        <f>S112*0.00045414</f>
        <v/>
      </c>
      <c r="AW112" s="7">
        <f>T112*0.00045414</f>
        <v/>
      </c>
      <c r="AX112" s="7">
        <f>U112*0.00045414</f>
        <v/>
      </c>
      <c r="AY112" s="7">
        <f>V112*0.00045414</f>
        <v/>
      </c>
      <c r="AZ112" s="7">
        <f>W112*0.00045414</f>
        <v/>
      </c>
      <c r="BA112" s="7">
        <f>X112*0.00045414</f>
        <v/>
      </c>
      <c r="BB112" s="7">
        <f>SUM(AD112:BA112)</f>
        <v/>
      </c>
    </row>
    <row r="113">
      <c r="A113" t="inlineStr">
        <is>
          <t>DC-10-1</t>
        </is>
      </c>
      <c r="B113" t="inlineStr">
        <is>
          <t>DSC Manual</t>
        </is>
      </c>
      <c r="C113" s="5" t="n">
        <v>46091</v>
      </c>
      <c r="D113" s="6">
        <f>Summary!D113</f>
        <v/>
      </c>
      <c r="E113" s="6">
        <f>Summary!E113</f>
        <v/>
      </c>
      <c r="F113" s="6">
        <f>Summary!F113</f>
        <v/>
      </c>
      <c r="G113" s="6">
        <f>Summary!G113</f>
        <v/>
      </c>
      <c r="H113" s="6">
        <f>Summary!H113</f>
        <v/>
      </c>
      <c r="I113" s="6">
        <f>Summary!I113</f>
        <v/>
      </c>
      <c r="J113" s="6">
        <f>Summary!J113</f>
        <v/>
      </c>
      <c r="K113" s="6">
        <f>Summary!K113</f>
        <v/>
      </c>
      <c r="L113" s="6">
        <f>Summary!L113</f>
        <v/>
      </c>
      <c r="M113" s="6">
        <f>Summary!M113</f>
        <v/>
      </c>
      <c r="N113" s="6">
        <f>Summary!N113</f>
        <v/>
      </c>
      <c r="O113" s="6">
        <f>Summary!O113</f>
        <v/>
      </c>
      <c r="P113" s="6">
        <f>Summary!P113</f>
        <v/>
      </c>
      <c r="Q113" s="6">
        <f>Summary!Q113</f>
        <v/>
      </c>
      <c r="R113" s="6">
        <f>Summary!R113</f>
        <v/>
      </c>
      <c r="S113" s="6">
        <f>Summary!S113</f>
        <v/>
      </c>
      <c r="T113" s="6">
        <f>Summary!T113</f>
        <v/>
      </c>
      <c r="U113" s="6">
        <f>Summary!U113</f>
        <v/>
      </c>
      <c r="V113" s="6">
        <f>Summary!V113</f>
        <v/>
      </c>
      <c r="W113" s="6">
        <f>Summary!W113</f>
        <v/>
      </c>
      <c r="X113" s="6">
        <f>Summary!X113</f>
        <v/>
      </c>
      <c r="Y113" s="6">
        <f>Summary!Y113</f>
        <v/>
      </c>
      <c r="Z113" s="6">
        <f>Summary!Z113</f>
        <v/>
      </c>
      <c r="AA113" s="6">
        <f>Summary!AA113</f>
        <v/>
      </c>
      <c r="AB113" s="6">
        <f>SUM(D113:AA113)</f>
        <v/>
      </c>
      <c r="AC113" s="3" t="inlineStr"/>
      <c r="AD113" s="7">
        <f>Y113*0.00045414</f>
        <v/>
      </c>
      <c r="AE113" s="7">
        <f>Z113*0.00045414</f>
        <v/>
      </c>
      <c r="AF113" s="7">
        <f>AA113*0.00045414</f>
        <v/>
      </c>
      <c r="AG113" s="7">
        <f>D113*0.00045414</f>
        <v/>
      </c>
      <c r="AH113" s="7">
        <f>E113*0.00045414</f>
        <v/>
      </c>
      <c r="AI113" s="7">
        <f>F113*0.00045414</f>
        <v/>
      </c>
      <c r="AJ113" s="7">
        <f>G113*0.00045414</f>
        <v/>
      </c>
      <c r="AK113" s="7">
        <f>H113*0.00045414</f>
        <v/>
      </c>
      <c r="AL113" s="7">
        <f>I113*0.00045414</f>
        <v/>
      </c>
      <c r="AM113" s="7">
        <f>J113*0.00045414</f>
        <v/>
      </c>
      <c r="AN113" s="7">
        <f>K113*0.00045414</f>
        <v/>
      </c>
      <c r="AO113" s="7">
        <f>L113*0.00045414</f>
        <v/>
      </c>
      <c r="AP113" s="7">
        <f>M113*0.00045414</f>
        <v/>
      </c>
      <c r="AQ113" s="7">
        <f>N113*0.00045414</f>
        <v/>
      </c>
      <c r="AR113" s="7">
        <f>O113*0.00045414</f>
        <v/>
      </c>
      <c r="AS113" s="7">
        <f>P113*0.00045414</f>
        <v/>
      </c>
      <c r="AT113" s="7">
        <f>Q113*0.00045414</f>
        <v/>
      </c>
      <c r="AU113" s="7">
        <f>R113*0.00045414</f>
        <v/>
      </c>
      <c r="AV113" s="7">
        <f>S113*0.00045414</f>
        <v/>
      </c>
      <c r="AW113" s="7">
        <f>T113*0.00045414</f>
        <v/>
      </c>
      <c r="AX113" s="7">
        <f>U113*0.00045414</f>
        <v/>
      </c>
      <c r="AY113" s="7">
        <f>V113*0.00045414</f>
        <v/>
      </c>
      <c r="AZ113" s="7">
        <f>W113*0.00045414</f>
        <v/>
      </c>
      <c r="BA113" s="7">
        <f>X113*0.00045414</f>
        <v/>
      </c>
      <c r="BB113" s="7">
        <f>SUM(AD113:BA113)</f>
        <v/>
      </c>
    </row>
    <row r="114">
      <c r="A114" t="inlineStr">
        <is>
          <t>DC-10-1</t>
        </is>
      </c>
      <c r="B114" t="inlineStr">
        <is>
          <t>DSC Manual</t>
        </is>
      </c>
      <c r="C114" s="5" t="n">
        <v>46092</v>
      </c>
      <c r="D114" s="6">
        <f>Summary!D114</f>
        <v/>
      </c>
      <c r="E114" s="6">
        <f>Summary!E114</f>
        <v/>
      </c>
      <c r="F114" s="6">
        <f>Summary!F114</f>
        <v/>
      </c>
      <c r="G114" s="6">
        <f>Summary!G114</f>
        <v/>
      </c>
      <c r="H114" s="6">
        <f>Summary!H114</f>
        <v/>
      </c>
      <c r="I114" s="6">
        <f>Summary!I114</f>
        <v/>
      </c>
      <c r="J114" s="6">
        <f>Summary!J114</f>
        <v/>
      </c>
      <c r="K114" s="6">
        <f>Summary!K114</f>
        <v/>
      </c>
      <c r="L114" s="6">
        <f>Summary!L114</f>
        <v/>
      </c>
      <c r="M114" s="6">
        <f>Summary!M114</f>
        <v/>
      </c>
      <c r="N114" s="6">
        <f>Summary!N114</f>
        <v/>
      </c>
      <c r="O114" s="6">
        <f>Summary!O114</f>
        <v/>
      </c>
      <c r="P114" s="6">
        <f>Summary!P114</f>
        <v/>
      </c>
      <c r="Q114" s="6">
        <f>Summary!Q114</f>
        <v/>
      </c>
      <c r="R114" s="6">
        <f>Summary!R114</f>
        <v/>
      </c>
      <c r="S114" s="6">
        <f>Summary!S114</f>
        <v/>
      </c>
      <c r="T114" s="6">
        <f>Summary!T114</f>
        <v/>
      </c>
      <c r="U114" s="6">
        <f>Summary!U114</f>
        <v/>
      </c>
      <c r="V114" s="6">
        <f>Summary!V114</f>
        <v/>
      </c>
      <c r="W114" s="6">
        <f>Summary!W114</f>
        <v/>
      </c>
      <c r="X114" s="6">
        <f>Summary!X114</f>
        <v/>
      </c>
      <c r="Y114" s="6">
        <f>Summary!Y114</f>
        <v/>
      </c>
      <c r="Z114" s="6">
        <f>Summary!Z114</f>
        <v/>
      </c>
      <c r="AA114" s="6">
        <f>Summary!AA114</f>
        <v/>
      </c>
      <c r="AB114" s="6">
        <f>SUM(D114:AA114)</f>
        <v/>
      </c>
      <c r="AC114" s="3" t="inlineStr"/>
      <c r="AD114" s="7">
        <f>Y114*0.00045414</f>
        <v/>
      </c>
      <c r="AE114" s="7">
        <f>Z114*0.00045414</f>
        <v/>
      </c>
      <c r="AF114" s="7">
        <f>AA114*0.00045414</f>
        <v/>
      </c>
      <c r="AG114" s="7">
        <f>D114*0.00045414</f>
        <v/>
      </c>
      <c r="AH114" s="7">
        <f>E114*0.00045414</f>
        <v/>
      </c>
      <c r="AI114" s="7">
        <f>F114*0.00045414</f>
        <v/>
      </c>
      <c r="AJ114" s="7">
        <f>G114*0.00045414</f>
        <v/>
      </c>
      <c r="AK114" s="7">
        <f>H114*0.00045414</f>
        <v/>
      </c>
      <c r="AL114" s="7">
        <f>I114*0.00045414</f>
        <v/>
      </c>
      <c r="AM114" s="7">
        <f>J114*0.00045414</f>
        <v/>
      </c>
      <c r="AN114" s="7">
        <f>K114*0.00045414</f>
        <v/>
      </c>
      <c r="AO114" s="7">
        <f>L114*0.00045414</f>
        <v/>
      </c>
      <c r="AP114" s="7">
        <f>M114*0.00045414</f>
        <v/>
      </c>
      <c r="AQ114" s="7">
        <f>N114*0.00045414</f>
        <v/>
      </c>
      <c r="AR114" s="7">
        <f>O114*0.00045414</f>
        <v/>
      </c>
      <c r="AS114" s="7">
        <f>P114*0.00045414</f>
        <v/>
      </c>
      <c r="AT114" s="7">
        <f>Q114*0.00045414</f>
        <v/>
      </c>
      <c r="AU114" s="7">
        <f>R114*0.00045414</f>
        <v/>
      </c>
      <c r="AV114" s="7">
        <f>S114*0.00045414</f>
        <v/>
      </c>
      <c r="AW114" s="7">
        <f>T114*0.00045414</f>
        <v/>
      </c>
      <c r="AX114" s="7">
        <f>U114*0.00045414</f>
        <v/>
      </c>
      <c r="AY114" s="7">
        <f>V114*0.00045414</f>
        <v/>
      </c>
      <c r="AZ114" s="7">
        <f>W114*0.00045414</f>
        <v/>
      </c>
      <c r="BA114" s="7">
        <f>X114*0.00045414</f>
        <v/>
      </c>
      <c r="BB114" s="7">
        <f>SUM(AD114:BA114)</f>
        <v/>
      </c>
    </row>
    <row r="115">
      <c r="A115" t="inlineStr">
        <is>
          <t>DC-10-1</t>
        </is>
      </c>
      <c r="B115" t="inlineStr">
        <is>
          <t>DSC Manual</t>
        </is>
      </c>
      <c r="C115" s="5" t="n">
        <v>46093</v>
      </c>
      <c r="D115" s="6">
        <f>Summary!D115</f>
        <v/>
      </c>
      <c r="E115" s="6">
        <f>Summary!E115</f>
        <v/>
      </c>
      <c r="F115" s="6">
        <f>Summary!F115</f>
        <v/>
      </c>
      <c r="G115" s="6">
        <f>Summary!G115</f>
        <v/>
      </c>
      <c r="H115" s="6">
        <f>Summary!H115</f>
        <v/>
      </c>
      <c r="I115" s="6">
        <f>Summary!I115</f>
        <v/>
      </c>
      <c r="J115" s="6">
        <f>Summary!J115</f>
        <v/>
      </c>
      <c r="K115" s="6">
        <f>Summary!K115</f>
        <v/>
      </c>
      <c r="L115" s="6">
        <f>Summary!L115</f>
        <v/>
      </c>
      <c r="M115" s="6">
        <f>Summary!M115</f>
        <v/>
      </c>
      <c r="N115" s="6">
        <f>Summary!N115</f>
        <v/>
      </c>
      <c r="O115" s="6">
        <f>Summary!O115</f>
        <v/>
      </c>
      <c r="P115" s="6">
        <f>Summary!P115</f>
        <v/>
      </c>
      <c r="Q115" s="6">
        <f>Summary!Q115</f>
        <v/>
      </c>
      <c r="R115" s="6">
        <f>Summary!R115</f>
        <v/>
      </c>
      <c r="S115" s="6">
        <f>Summary!S115</f>
        <v/>
      </c>
      <c r="T115" s="6">
        <f>Summary!T115</f>
        <v/>
      </c>
      <c r="U115" s="6">
        <f>Summary!U115</f>
        <v/>
      </c>
      <c r="V115" s="6">
        <f>Summary!V115</f>
        <v/>
      </c>
      <c r="W115" s="6">
        <f>Summary!W115</f>
        <v/>
      </c>
      <c r="X115" s="6">
        <f>Summary!X115</f>
        <v/>
      </c>
      <c r="Y115" s="6">
        <f>Summary!Y115</f>
        <v/>
      </c>
      <c r="Z115" s="6">
        <f>Summary!Z115</f>
        <v/>
      </c>
      <c r="AA115" s="6">
        <f>Summary!AA115</f>
        <v/>
      </c>
      <c r="AB115" s="6">
        <f>SUM(D115:AA115)</f>
        <v/>
      </c>
      <c r="AC115" s="3" t="inlineStr"/>
      <c r="AD115" s="7">
        <f>Y115*0.00045414</f>
        <v/>
      </c>
      <c r="AE115" s="7">
        <f>Z115*0.00045414</f>
        <v/>
      </c>
      <c r="AF115" s="7">
        <f>AA115*0.00045414</f>
        <v/>
      </c>
      <c r="AG115" s="7">
        <f>D115*0.00045414</f>
        <v/>
      </c>
      <c r="AH115" s="7">
        <f>E115*0.00045414</f>
        <v/>
      </c>
      <c r="AI115" s="7">
        <f>F115*0.00045414</f>
        <v/>
      </c>
      <c r="AJ115" s="7">
        <f>G115*0.00045414</f>
        <v/>
      </c>
      <c r="AK115" s="7">
        <f>H115*0.00045414</f>
        <v/>
      </c>
      <c r="AL115" s="7">
        <f>I115*0.00045414</f>
        <v/>
      </c>
      <c r="AM115" s="7">
        <f>J115*0.00045414</f>
        <v/>
      </c>
      <c r="AN115" s="7">
        <f>K115*0.00045414</f>
        <v/>
      </c>
      <c r="AO115" s="7">
        <f>L115*0.00045414</f>
        <v/>
      </c>
      <c r="AP115" s="7">
        <f>M115*0.00045414</f>
        <v/>
      </c>
      <c r="AQ115" s="7">
        <f>N115*0.00045414</f>
        <v/>
      </c>
      <c r="AR115" s="7">
        <f>O115*0.00045414</f>
        <v/>
      </c>
      <c r="AS115" s="7">
        <f>P115*0.00045414</f>
        <v/>
      </c>
      <c r="AT115" s="7">
        <f>Q115*0.00045414</f>
        <v/>
      </c>
      <c r="AU115" s="7">
        <f>R115*0.00045414</f>
        <v/>
      </c>
      <c r="AV115" s="7">
        <f>S115*0.00045414</f>
        <v/>
      </c>
      <c r="AW115" s="7">
        <f>T115*0.00045414</f>
        <v/>
      </c>
      <c r="AX115" s="7">
        <f>U115*0.00045414</f>
        <v/>
      </c>
      <c r="AY115" s="7">
        <f>V115*0.00045414</f>
        <v/>
      </c>
      <c r="AZ115" s="7">
        <f>W115*0.00045414</f>
        <v/>
      </c>
      <c r="BA115" s="7">
        <f>X115*0.00045414</f>
        <v/>
      </c>
      <c r="BB115" s="7">
        <f>SUM(AD115:BA115)</f>
        <v/>
      </c>
    </row>
    <row r="116">
      <c r="A116" t="inlineStr">
        <is>
          <t>DC-10-1</t>
        </is>
      </c>
      <c r="B116" t="inlineStr">
        <is>
          <t>DSC Manual</t>
        </is>
      </c>
      <c r="C116" s="5" t="n">
        <v>46094</v>
      </c>
      <c r="D116" s="6">
        <f>Summary!D116</f>
        <v/>
      </c>
      <c r="E116" s="6">
        <f>Summary!E116</f>
        <v/>
      </c>
      <c r="F116" s="6">
        <f>Summary!F116</f>
        <v/>
      </c>
      <c r="G116" s="6">
        <f>Summary!G116</f>
        <v/>
      </c>
      <c r="H116" s="6">
        <f>Summary!H116</f>
        <v/>
      </c>
      <c r="I116" s="6">
        <f>Summary!I116</f>
        <v/>
      </c>
      <c r="J116" s="6">
        <f>Summary!J116</f>
        <v/>
      </c>
      <c r="K116" s="6">
        <f>Summary!K116</f>
        <v/>
      </c>
      <c r="L116" s="6">
        <f>Summary!L116</f>
        <v/>
      </c>
      <c r="M116" s="6">
        <f>Summary!M116</f>
        <v/>
      </c>
      <c r="N116" s="6">
        <f>Summary!N116</f>
        <v/>
      </c>
      <c r="O116" s="6">
        <f>Summary!O116</f>
        <v/>
      </c>
      <c r="P116" s="6">
        <f>Summary!P116</f>
        <v/>
      </c>
      <c r="Q116" s="6">
        <f>Summary!Q116</f>
        <v/>
      </c>
      <c r="R116" s="6">
        <f>Summary!R116</f>
        <v/>
      </c>
      <c r="S116" s="6">
        <f>Summary!S116</f>
        <v/>
      </c>
      <c r="T116" s="6">
        <f>Summary!T116</f>
        <v/>
      </c>
      <c r="U116" s="6">
        <f>Summary!U116</f>
        <v/>
      </c>
      <c r="V116" s="6">
        <f>Summary!V116</f>
        <v/>
      </c>
      <c r="W116" s="6">
        <f>Summary!W116</f>
        <v/>
      </c>
      <c r="X116" s="6">
        <f>Summary!X116</f>
        <v/>
      </c>
      <c r="Y116" s="6">
        <f>Summary!Y116</f>
        <v/>
      </c>
      <c r="Z116" s="6">
        <f>Summary!Z116</f>
        <v/>
      </c>
      <c r="AA116" s="6">
        <f>Summary!AA116</f>
        <v/>
      </c>
      <c r="AB116" s="6">
        <f>SUM(D116:AA116)</f>
        <v/>
      </c>
      <c r="AC116" s="3" t="inlineStr"/>
      <c r="AD116" s="7">
        <f>Y116*0.00045414</f>
        <v/>
      </c>
      <c r="AE116" s="7">
        <f>Z116*0.00045414</f>
        <v/>
      </c>
      <c r="AF116" s="7">
        <f>AA116*0.00045414</f>
        <v/>
      </c>
      <c r="AG116" s="7">
        <f>D116*0.00045414</f>
        <v/>
      </c>
      <c r="AH116" s="7">
        <f>E116*0.00045414</f>
        <v/>
      </c>
      <c r="AI116" s="7">
        <f>F116*0.00045414</f>
        <v/>
      </c>
      <c r="AJ116" s="7">
        <f>G116*0.00045414</f>
        <v/>
      </c>
      <c r="AK116" s="7">
        <f>H116*0.00045414</f>
        <v/>
      </c>
      <c r="AL116" s="7">
        <f>I116*0.00045414</f>
        <v/>
      </c>
      <c r="AM116" s="7">
        <f>J116*0.00045414</f>
        <v/>
      </c>
      <c r="AN116" s="7">
        <f>K116*0.00045414</f>
        <v/>
      </c>
      <c r="AO116" s="7">
        <f>L116*0.00045414</f>
        <v/>
      </c>
      <c r="AP116" s="7">
        <f>M116*0.00045414</f>
        <v/>
      </c>
      <c r="AQ116" s="7">
        <f>N116*0.00045414</f>
        <v/>
      </c>
      <c r="AR116" s="7">
        <f>O116*0.00045414</f>
        <v/>
      </c>
      <c r="AS116" s="7">
        <f>P116*0.00045414</f>
        <v/>
      </c>
      <c r="AT116" s="7">
        <f>Q116*0.00045414</f>
        <v/>
      </c>
      <c r="AU116" s="7">
        <f>R116*0.00045414</f>
        <v/>
      </c>
      <c r="AV116" s="7">
        <f>S116*0.00045414</f>
        <v/>
      </c>
      <c r="AW116" s="7">
        <f>T116*0.00045414</f>
        <v/>
      </c>
      <c r="AX116" s="7">
        <f>U116*0.00045414</f>
        <v/>
      </c>
      <c r="AY116" s="7">
        <f>V116*0.00045414</f>
        <v/>
      </c>
      <c r="AZ116" s="7">
        <f>W116*0.00045414</f>
        <v/>
      </c>
      <c r="BA116" s="7">
        <f>X116*0.00045414</f>
        <v/>
      </c>
      <c r="BB116" s="7">
        <f>SUM(AD116:BA116)</f>
        <v/>
      </c>
    </row>
    <row r="117">
      <c r="A117" t="inlineStr">
        <is>
          <t>DC-10-1</t>
        </is>
      </c>
      <c r="B117" t="inlineStr">
        <is>
          <t>DSC Manual</t>
        </is>
      </c>
      <c r="C117" s="5" t="n">
        <v>46095</v>
      </c>
      <c r="D117" s="6">
        <f>Summary!D117</f>
        <v/>
      </c>
      <c r="E117" s="6">
        <f>Summary!E117</f>
        <v/>
      </c>
      <c r="F117" s="6">
        <f>Summary!F117</f>
        <v/>
      </c>
      <c r="G117" s="6">
        <f>Summary!G117</f>
        <v/>
      </c>
      <c r="H117" s="6">
        <f>Summary!H117</f>
        <v/>
      </c>
      <c r="I117" s="6">
        <f>Summary!I117</f>
        <v/>
      </c>
      <c r="J117" s="6">
        <f>Summary!J117</f>
        <v/>
      </c>
      <c r="K117" s="6">
        <f>Summary!K117</f>
        <v/>
      </c>
      <c r="L117" s="6">
        <f>Summary!L117</f>
        <v/>
      </c>
      <c r="M117" s="6">
        <f>Summary!M117</f>
        <v/>
      </c>
      <c r="N117" s="6">
        <f>Summary!N117</f>
        <v/>
      </c>
      <c r="O117" s="6">
        <f>Summary!O117</f>
        <v/>
      </c>
      <c r="P117" s="6">
        <f>Summary!P117</f>
        <v/>
      </c>
      <c r="Q117" s="6">
        <f>Summary!Q117</f>
        <v/>
      </c>
      <c r="R117" s="6">
        <f>Summary!R117</f>
        <v/>
      </c>
      <c r="S117" s="6">
        <f>Summary!S117</f>
        <v/>
      </c>
      <c r="T117" s="6">
        <f>Summary!T117</f>
        <v/>
      </c>
      <c r="U117" s="6">
        <f>Summary!U117</f>
        <v/>
      </c>
      <c r="V117" s="6">
        <f>Summary!V117</f>
        <v/>
      </c>
      <c r="W117" s="6">
        <f>Summary!W117</f>
        <v/>
      </c>
      <c r="X117" s="6">
        <f>Summary!X117</f>
        <v/>
      </c>
      <c r="Y117" s="6">
        <f>Summary!Y117</f>
        <v/>
      </c>
      <c r="Z117" s="6">
        <f>Summary!Z117</f>
        <v/>
      </c>
      <c r="AA117" s="6">
        <f>Summary!AA117</f>
        <v/>
      </c>
      <c r="AB117" s="6">
        <f>SUM(D117:AA117)</f>
        <v/>
      </c>
      <c r="AC117" s="3" t="inlineStr"/>
      <c r="AD117" s="7">
        <f>Y117*0.00045414</f>
        <v/>
      </c>
      <c r="AE117" s="7">
        <f>Z117*0.00045414</f>
        <v/>
      </c>
      <c r="AF117" s="7">
        <f>AA117*0.00045414</f>
        <v/>
      </c>
      <c r="AG117" s="7">
        <f>D117*0.00045414</f>
        <v/>
      </c>
      <c r="AH117" s="7">
        <f>E117*0.00045414</f>
        <v/>
      </c>
      <c r="AI117" s="7">
        <f>F117*0.00045414</f>
        <v/>
      </c>
      <c r="AJ117" s="7">
        <f>G117*0.00045414</f>
        <v/>
      </c>
      <c r="AK117" s="7">
        <f>H117*0.00045414</f>
        <v/>
      </c>
      <c r="AL117" s="7">
        <f>I117*0.00045414</f>
        <v/>
      </c>
      <c r="AM117" s="7">
        <f>J117*0.00045414</f>
        <v/>
      </c>
      <c r="AN117" s="7">
        <f>K117*0.00045414</f>
        <v/>
      </c>
      <c r="AO117" s="7">
        <f>L117*0.00045414</f>
        <v/>
      </c>
      <c r="AP117" s="7">
        <f>M117*0.00045414</f>
        <v/>
      </c>
      <c r="AQ117" s="7">
        <f>N117*0.00045414</f>
        <v/>
      </c>
      <c r="AR117" s="7">
        <f>O117*0.00045414</f>
        <v/>
      </c>
      <c r="AS117" s="7">
        <f>P117*0.00045414</f>
        <v/>
      </c>
      <c r="AT117" s="7">
        <f>Q117*0.00045414</f>
        <v/>
      </c>
      <c r="AU117" s="7">
        <f>R117*0.00045414</f>
        <v/>
      </c>
      <c r="AV117" s="7">
        <f>S117*0.00045414</f>
        <v/>
      </c>
      <c r="AW117" s="7">
        <f>T117*0.00045414</f>
        <v/>
      </c>
      <c r="AX117" s="7">
        <f>U117*0.00045414</f>
        <v/>
      </c>
      <c r="AY117" s="7">
        <f>V117*0.00045414</f>
        <v/>
      </c>
      <c r="AZ117" s="7">
        <f>W117*0.00045414</f>
        <v/>
      </c>
      <c r="BA117" s="7">
        <f>X117*0.00045414</f>
        <v/>
      </c>
      <c r="BB117" s="7">
        <f>SUM(AD117:BA117)</f>
        <v/>
      </c>
    </row>
    <row r="118">
      <c r="A118" t="inlineStr">
        <is>
          <t>DC-10-1</t>
        </is>
      </c>
      <c r="B118" t="inlineStr">
        <is>
          <t>DSC Manual</t>
        </is>
      </c>
      <c r="C118" s="5" t="n">
        <v>46096</v>
      </c>
      <c r="D118" s="6">
        <f>Summary!D118</f>
        <v/>
      </c>
      <c r="E118" s="6">
        <f>Summary!E118</f>
        <v/>
      </c>
      <c r="F118" s="6">
        <f>Summary!F118</f>
        <v/>
      </c>
      <c r="G118" s="6">
        <f>Summary!G118</f>
        <v/>
      </c>
      <c r="H118" s="6">
        <f>Summary!H118</f>
        <v/>
      </c>
      <c r="I118" s="6">
        <f>Summary!I118</f>
        <v/>
      </c>
      <c r="J118" s="6">
        <f>Summary!J118</f>
        <v/>
      </c>
      <c r="K118" s="6">
        <f>Summary!K118</f>
        <v/>
      </c>
      <c r="L118" s="6">
        <f>Summary!L118</f>
        <v/>
      </c>
      <c r="M118" s="6">
        <f>Summary!M118</f>
        <v/>
      </c>
      <c r="N118" s="6">
        <f>Summary!N118</f>
        <v/>
      </c>
      <c r="O118" s="6">
        <f>Summary!O118</f>
        <v/>
      </c>
      <c r="P118" s="6">
        <f>Summary!P118</f>
        <v/>
      </c>
      <c r="Q118" s="6">
        <f>Summary!Q118</f>
        <v/>
      </c>
      <c r="R118" s="6">
        <f>Summary!R118</f>
        <v/>
      </c>
      <c r="S118" s="6">
        <f>Summary!S118</f>
        <v/>
      </c>
      <c r="T118" s="6">
        <f>Summary!T118</f>
        <v/>
      </c>
      <c r="U118" s="6">
        <f>Summary!U118</f>
        <v/>
      </c>
      <c r="V118" s="6">
        <f>Summary!V118</f>
        <v/>
      </c>
      <c r="W118" s="6">
        <f>Summary!W118</f>
        <v/>
      </c>
      <c r="X118" s="6">
        <f>Summary!X118</f>
        <v/>
      </c>
      <c r="Y118" s="6">
        <f>Summary!Y118</f>
        <v/>
      </c>
      <c r="Z118" s="6">
        <f>Summary!Z118</f>
        <v/>
      </c>
      <c r="AA118" s="6">
        <f>Summary!AA118</f>
        <v/>
      </c>
      <c r="AB118" s="6">
        <f>SUM(D118:AA118)</f>
        <v/>
      </c>
      <c r="AC118" s="3" t="inlineStr"/>
      <c r="AD118" s="7">
        <f>Y118*0.00045414</f>
        <v/>
      </c>
      <c r="AE118" s="7">
        <f>Z118*0.00045414</f>
        <v/>
      </c>
      <c r="AF118" s="7">
        <f>AA118*0.00045414</f>
        <v/>
      </c>
      <c r="AG118" s="7">
        <f>D118*0.00045414</f>
        <v/>
      </c>
      <c r="AH118" s="7">
        <f>E118*0.00045414</f>
        <v/>
      </c>
      <c r="AI118" s="7">
        <f>F118*0.00045414</f>
        <v/>
      </c>
      <c r="AJ118" s="7">
        <f>G118*0.00045414</f>
        <v/>
      </c>
      <c r="AK118" s="7">
        <f>H118*0.00045414</f>
        <v/>
      </c>
      <c r="AL118" s="7">
        <f>I118*0.00045414</f>
        <v/>
      </c>
      <c r="AM118" s="7">
        <f>J118*0.00045414</f>
        <v/>
      </c>
      <c r="AN118" s="7">
        <f>K118*0.00045414</f>
        <v/>
      </c>
      <c r="AO118" s="7">
        <f>L118*0.00045414</f>
        <v/>
      </c>
      <c r="AP118" s="7">
        <f>M118*0.00045414</f>
        <v/>
      </c>
      <c r="AQ118" s="7">
        <f>N118*0.00045414</f>
        <v/>
      </c>
      <c r="AR118" s="7">
        <f>O118*0.00045414</f>
        <v/>
      </c>
      <c r="AS118" s="7">
        <f>P118*0.00045414</f>
        <v/>
      </c>
      <c r="AT118" s="7">
        <f>Q118*0.00045414</f>
        <v/>
      </c>
      <c r="AU118" s="7">
        <f>R118*0.00045414</f>
        <v/>
      </c>
      <c r="AV118" s="7">
        <f>S118*0.00045414</f>
        <v/>
      </c>
      <c r="AW118" s="7">
        <f>T118*0.00045414</f>
        <v/>
      </c>
      <c r="AX118" s="7">
        <f>U118*0.00045414</f>
        <v/>
      </c>
      <c r="AY118" s="7">
        <f>V118*0.00045414</f>
        <v/>
      </c>
      <c r="AZ118" s="7">
        <f>W118*0.00045414</f>
        <v/>
      </c>
      <c r="BA118" s="7">
        <f>X118*0.00045414</f>
        <v/>
      </c>
      <c r="BB118" s="7">
        <f>SUM(AD118:BA118)</f>
        <v/>
      </c>
    </row>
    <row r="119">
      <c r="A119" t="inlineStr">
        <is>
          <t>DC-10-1</t>
        </is>
      </c>
      <c r="B119" t="inlineStr">
        <is>
          <t>DSC Manual</t>
        </is>
      </c>
      <c r="C119" s="5" t="n">
        <v>46097</v>
      </c>
      <c r="D119" s="6">
        <f>Summary!D119</f>
        <v/>
      </c>
      <c r="E119" s="6">
        <f>Summary!E119</f>
        <v/>
      </c>
      <c r="F119" s="6">
        <f>Summary!F119</f>
        <v/>
      </c>
      <c r="G119" s="6">
        <f>Summary!G119</f>
        <v/>
      </c>
      <c r="H119" s="6">
        <f>Summary!H119</f>
        <v/>
      </c>
      <c r="I119" s="6">
        <f>Summary!I119</f>
        <v/>
      </c>
      <c r="J119" s="6">
        <f>Summary!J119</f>
        <v/>
      </c>
      <c r="K119" s="6">
        <f>Summary!K119</f>
        <v/>
      </c>
      <c r="L119" s="6">
        <f>Summary!L119</f>
        <v/>
      </c>
      <c r="M119" s="6">
        <f>Summary!M119</f>
        <v/>
      </c>
      <c r="N119" s="6">
        <f>Summary!N119</f>
        <v/>
      </c>
      <c r="O119" s="6">
        <f>Summary!O119</f>
        <v/>
      </c>
      <c r="P119" s="6">
        <f>Summary!P119</f>
        <v/>
      </c>
      <c r="Q119" s="6">
        <f>Summary!Q119</f>
        <v/>
      </c>
      <c r="R119" s="6">
        <f>Summary!R119</f>
        <v/>
      </c>
      <c r="S119" s="6">
        <f>Summary!S119</f>
        <v/>
      </c>
      <c r="T119" s="6">
        <f>Summary!T119</f>
        <v/>
      </c>
      <c r="U119" s="6">
        <f>Summary!U119</f>
        <v/>
      </c>
      <c r="V119" s="6">
        <f>Summary!V119</f>
        <v/>
      </c>
      <c r="W119" s="6">
        <f>Summary!W119</f>
        <v/>
      </c>
      <c r="X119" s="6">
        <f>Summary!X119</f>
        <v/>
      </c>
      <c r="Y119" s="6">
        <f>Summary!Y119</f>
        <v/>
      </c>
      <c r="Z119" s="6">
        <f>Summary!Z119</f>
        <v/>
      </c>
      <c r="AA119" s="6">
        <f>Summary!AA119</f>
        <v/>
      </c>
      <c r="AB119" s="6">
        <f>SUM(D119:AA119)</f>
        <v/>
      </c>
      <c r="AC119" s="3" t="inlineStr"/>
      <c r="AD119" s="7">
        <f>Y119*0.00045414</f>
        <v/>
      </c>
      <c r="AE119" s="7">
        <f>Z119*0.00045414</f>
        <v/>
      </c>
      <c r="AF119" s="7">
        <f>AA119*0.00045414</f>
        <v/>
      </c>
      <c r="AG119" s="7">
        <f>D119*0.00045414</f>
        <v/>
      </c>
      <c r="AH119" s="7">
        <f>E119*0.00045414</f>
        <v/>
      </c>
      <c r="AI119" s="7">
        <f>F119*0.00045414</f>
        <v/>
      </c>
      <c r="AJ119" s="7">
        <f>G119*0.00045414</f>
        <v/>
      </c>
      <c r="AK119" s="7">
        <f>H119*0.00045414</f>
        <v/>
      </c>
      <c r="AL119" s="7">
        <f>I119*0.00045414</f>
        <v/>
      </c>
      <c r="AM119" s="7">
        <f>J119*0.00045414</f>
        <v/>
      </c>
      <c r="AN119" s="7">
        <f>K119*0.00045414</f>
        <v/>
      </c>
      <c r="AO119" s="7">
        <f>L119*0.00045414</f>
        <v/>
      </c>
      <c r="AP119" s="7">
        <f>M119*0.00045414</f>
        <v/>
      </c>
      <c r="AQ119" s="7">
        <f>N119*0.00045414</f>
        <v/>
      </c>
      <c r="AR119" s="7">
        <f>O119*0.00045414</f>
        <v/>
      </c>
      <c r="AS119" s="7">
        <f>P119*0.00045414</f>
        <v/>
      </c>
      <c r="AT119" s="7">
        <f>Q119*0.00045414</f>
        <v/>
      </c>
      <c r="AU119" s="7">
        <f>R119*0.00045414</f>
        <v/>
      </c>
      <c r="AV119" s="7">
        <f>S119*0.00045414</f>
        <v/>
      </c>
      <c r="AW119" s="7">
        <f>T119*0.00045414</f>
        <v/>
      </c>
      <c r="AX119" s="7">
        <f>U119*0.00045414</f>
        <v/>
      </c>
      <c r="AY119" s="7">
        <f>V119*0.00045414</f>
        <v/>
      </c>
      <c r="AZ119" s="7">
        <f>W119*0.00045414</f>
        <v/>
      </c>
      <c r="BA119" s="7">
        <f>X119*0.00045414</f>
        <v/>
      </c>
      <c r="BB119" s="7">
        <f>SUM(AD119:BA119)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B1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Layout</t>
        </is>
      </c>
      <c r="B1" s="1" t="inlineStr">
        <is>
          <t>Layout Type</t>
        </is>
      </c>
      <c r="C1" s="1" t="inlineStr">
        <is>
          <t>Date</t>
        </is>
      </c>
      <c r="D1" s="2" t="inlineStr">
        <is>
          <t>Act Vol 12 AM</t>
        </is>
      </c>
      <c r="E1" s="2" t="inlineStr">
        <is>
          <t>Act Vol 1 AM</t>
        </is>
      </c>
      <c r="F1" s="2" t="inlineStr">
        <is>
          <t>Act Vol 2 AM</t>
        </is>
      </c>
      <c r="G1" s="2" t="inlineStr">
        <is>
          <t>Act Vol 3 AM</t>
        </is>
      </c>
      <c r="H1" s="2" t="inlineStr">
        <is>
          <t>Act Vol 4 AM</t>
        </is>
      </c>
      <c r="I1" s="2" t="inlineStr">
        <is>
          <t>Act Vol 5 AM</t>
        </is>
      </c>
      <c r="J1" s="2" t="inlineStr">
        <is>
          <t>Act Vol 6 AM</t>
        </is>
      </c>
      <c r="K1" s="2" t="inlineStr">
        <is>
          <t>Act Vol 7 AM</t>
        </is>
      </c>
      <c r="L1" s="2" t="inlineStr">
        <is>
          <t>Act Vol 8 AM</t>
        </is>
      </c>
      <c r="M1" s="2" t="inlineStr">
        <is>
          <t>Act Vol 9 AM</t>
        </is>
      </c>
      <c r="N1" s="2" t="inlineStr">
        <is>
          <t>Act Vol 10 AM</t>
        </is>
      </c>
      <c r="O1" s="2" t="inlineStr">
        <is>
          <t>Act Vol 11 AM</t>
        </is>
      </c>
      <c r="P1" s="2" t="inlineStr">
        <is>
          <t>Act Vol 12 PM</t>
        </is>
      </c>
      <c r="Q1" s="2" t="inlineStr">
        <is>
          <t>Act Vol 1 PM</t>
        </is>
      </c>
      <c r="R1" s="2" t="inlineStr">
        <is>
          <t>Act Vol 2 PM</t>
        </is>
      </c>
      <c r="S1" s="2" t="inlineStr">
        <is>
          <t>Act Vol 3 PM</t>
        </is>
      </c>
      <c r="T1" s="2" t="inlineStr">
        <is>
          <t>Act Vol 4 PM</t>
        </is>
      </c>
      <c r="U1" s="2" t="inlineStr">
        <is>
          <t>Act Vol 5 PM</t>
        </is>
      </c>
      <c r="V1" s="2" t="inlineStr">
        <is>
          <t>Act Vol 6 PM</t>
        </is>
      </c>
      <c r="W1" s="2" t="inlineStr">
        <is>
          <t>Act Vol 7 PM</t>
        </is>
      </c>
      <c r="X1" s="2" t="inlineStr">
        <is>
          <t>Act Vol 8 PM</t>
        </is>
      </c>
      <c r="Y1" s="2" t="inlineStr">
        <is>
          <t>Act Vol 9 PM</t>
        </is>
      </c>
      <c r="Z1" s="2" t="inlineStr">
        <is>
          <t>Act Vol 10 PM</t>
        </is>
      </c>
      <c r="AA1" s="2" t="inlineStr">
        <is>
          <t>Act Vol 11 PM</t>
        </is>
      </c>
      <c r="AB1" s="2" t="inlineStr">
        <is>
          <t>Act Vol Total</t>
        </is>
      </c>
      <c r="AC1" s="3" t="inlineStr"/>
      <c r="AD1" s="4" t="inlineStr">
        <is>
          <t>MH 12 AM</t>
        </is>
      </c>
      <c r="AE1" s="4" t="inlineStr">
        <is>
          <t>MH 1 AM</t>
        </is>
      </c>
      <c r="AF1" s="4" t="inlineStr">
        <is>
          <t>MH 2 AM</t>
        </is>
      </c>
      <c r="AG1" s="4" t="inlineStr">
        <is>
          <t>MH 3 AM</t>
        </is>
      </c>
      <c r="AH1" s="4" t="inlineStr">
        <is>
          <t>MH 4 AM</t>
        </is>
      </c>
      <c r="AI1" s="4" t="inlineStr">
        <is>
          <t>MH 5 AM</t>
        </is>
      </c>
      <c r="AJ1" s="4" t="inlineStr">
        <is>
          <t>MH 6 AM</t>
        </is>
      </c>
      <c r="AK1" s="4" t="inlineStr">
        <is>
          <t>MH 7 AM</t>
        </is>
      </c>
      <c r="AL1" s="4" t="inlineStr">
        <is>
          <t>MH 8 AM</t>
        </is>
      </c>
      <c r="AM1" s="4" t="inlineStr">
        <is>
          <t>MH 9 AM</t>
        </is>
      </c>
      <c r="AN1" s="4" t="inlineStr">
        <is>
          <t>MH 10 AM</t>
        </is>
      </c>
      <c r="AO1" s="4" t="inlineStr">
        <is>
          <t>MH 11 AM</t>
        </is>
      </c>
      <c r="AP1" s="4" t="inlineStr">
        <is>
          <t>MH 12 PM</t>
        </is>
      </c>
      <c r="AQ1" s="4" t="inlineStr">
        <is>
          <t>MH 1 PM</t>
        </is>
      </c>
      <c r="AR1" s="4" t="inlineStr">
        <is>
          <t>MH 2 PM</t>
        </is>
      </c>
      <c r="AS1" s="4" t="inlineStr">
        <is>
          <t>MH 3 PM</t>
        </is>
      </c>
      <c r="AT1" s="4" t="inlineStr">
        <is>
          <t>MH 4 PM</t>
        </is>
      </c>
      <c r="AU1" s="4" t="inlineStr">
        <is>
          <t>MH 5 PM</t>
        </is>
      </c>
      <c r="AV1" s="4" t="inlineStr">
        <is>
          <t>MH 6 PM</t>
        </is>
      </c>
      <c r="AW1" s="4" t="inlineStr">
        <is>
          <t>MH 7 PM</t>
        </is>
      </c>
      <c r="AX1" s="4" t="inlineStr">
        <is>
          <t>MH 8 PM</t>
        </is>
      </c>
      <c r="AY1" s="4" t="inlineStr">
        <is>
          <t>MH 9 PM</t>
        </is>
      </c>
      <c r="AZ1" s="4" t="inlineStr">
        <is>
          <t>MH 10 PM</t>
        </is>
      </c>
      <c r="BA1" s="4" t="inlineStr">
        <is>
          <t>MH 11 PM</t>
        </is>
      </c>
      <c r="BB1" s="4" t="inlineStr">
        <is>
          <t>MH Total</t>
        </is>
      </c>
    </row>
    <row r="2">
      <c r="A2" t="inlineStr">
        <is>
          <t>AMD-AIR-NEW-SSC</t>
        </is>
      </c>
      <c r="B2" t="inlineStr">
        <is>
          <t>Forward Regular OSC</t>
        </is>
      </c>
      <c r="C2" s="5" t="n">
        <v>46093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v>0</v>
      </c>
      <c r="N2" s="6" t="n">
        <v>0</v>
      </c>
      <c r="O2" s="6" t="n">
        <v>0</v>
      </c>
      <c r="P2" s="6" t="n">
        <v>0</v>
      </c>
      <c r="Q2" s="6" t="n">
        <v>0</v>
      </c>
      <c r="R2" s="6" t="n">
        <v>20</v>
      </c>
      <c r="S2" s="6" t="n">
        <v>19</v>
      </c>
      <c r="T2" s="6" t="n">
        <v>0</v>
      </c>
      <c r="U2" s="6" t="n">
        <v>0</v>
      </c>
      <c r="V2" s="6" t="n">
        <v>0</v>
      </c>
      <c r="W2" s="6" t="n">
        <v>0</v>
      </c>
      <c r="X2" s="6" t="n">
        <v>0</v>
      </c>
      <c r="Y2" s="6" t="n">
        <v>0</v>
      </c>
      <c r="Z2" s="6" t="n">
        <v>0</v>
      </c>
      <c r="AA2" s="6" t="n">
        <v>0</v>
      </c>
      <c r="AB2" s="6">
        <f>SUM(D2:AA2)</f>
        <v/>
      </c>
      <c r="AC2" s="3" t="inlineStr"/>
      <c r="AD2" s="7">
        <f>Y2*0.0081726819</f>
        <v/>
      </c>
      <c r="AE2" s="7">
        <f>Z2*0.0081726819</f>
        <v/>
      </c>
      <c r="AF2" s="7">
        <f>AA2*0.0081726819</f>
        <v/>
      </c>
      <c r="AG2" s="7">
        <f>D2*0.0081726819</f>
        <v/>
      </c>
      <c r="AH2" s="7">
        <f>E2*0.0081726819</f>
        <v/>
      </c>
      <c r="AI2" s="7">
        <f>F2*0.0081726819</f>
        <v/>
      </c>
      <c r="AJ2" s="7">
        <f>G2*0.0081726819</f>
        <v/>
      </c>
      <c r="AK2" s="7">
        <f>H2*0.0081726819</f>
        <v/>
      </c>
      <c r="AL2" s="7">
        <f>I2*0.0081726819</f>
        <v/>
      </c>
      <c r="AM2" s="7">
        <f>J2*0.0081726819</f>
        <v/>
      </c>
      <c r="AN2" s="7">
        <f>K2*0.0081726819</f>
        <v/>
      </c>
      <c r="AO2" s="7">
        <f>L2*0.0081726819</f>
        <v/>
      </c>
      <c r="AP2" s="7">
        <f>M2*0.0081726819</f>
        <v/>
      </c>
      <c r="AQ2" s="7">
        <f>N2*0.0081726819</f>
        <v/>
      </c>
      <c r="AR2" s="7">
        <f>O2*0.0081726819</f>
        <v/>
      </c>
      <c r="AS2" s="7">
        <f>P2*0.0081726819</f>
        <v/>
      </c>
      <c r="AT2" s="7">
        <f>Q2*0.0081726819</f>
        <v/>
      </c>
      <c r="AU2" s="7">
        <f>R2*0.0081726819</f>
        <v/>
      </c>
      <c r="AV2" s="7">
        <f>S2*0.0081726819</f>
        <v/>
      </c>
      <c r="AW2" s="7">
        <f>T2*0.0081726819</f>
        <v/>
      </c>
      <c r="AX2" s="7">
        <f>U2*0.0081726819</f>
        <v/>
      </c>
      <c r="AY2" s="7">
        <f>V2*0.0081726819</f>
        <v/>
      </c>
      <c r="AZ2" s="7">
        <f>W2*0.0081726819</f>
        <v/>
      </c>
      <c r="BA2" s="7">
        <f>X2*0.0081726819</f>
        <v/>
      </c>
      <c r="BB2" s="7">
        <f>SUM(AD2:BA2)</f>
        <v/>
      </c>
    </row>
    <row r="3">
      <c r="A3" t="inlineStr">
        <is>
          <t>AMD-AIR-NEW-SSC</t>
        </is>
      </c>
      <c r="B3" t="inlineStr">
        <is>
          <t>Forward Regular OSC</t>
        </is>
      </c>
      <c r="C3" s="5" t="n">
        <v>46094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29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>
        <f>SUM(D3:AA3)</f>
        <v/>
      </c>
      <c r="AC3" s="3" t="inlineStr"/>
      <c r="AD3" s="7">
        <f>Y3*0.0081726819</f>
        <v/>
      </c>
      <c r="AE3" s="7">
        <f>Z3*0.0081726819</f>
        <v/>
      </c>
      <c r="AF3" s="7">
        <f>AA3*0.0081726819</f>
        <v/>
      </c>
      <c r="AG3" s="7">
        <f>D3*0.0081726819</f>
        <v/>
      </c>
      <c r="AH3" s="7">
        <f>E3*0.0081726819</f>
        <v/>
      </c>
      <c r="AI3" s="7">
        <f>F3*0.0081726819</f>
        <v/>
      </c>
      <c r="AJ3" s="7">
        <f>G3*0.0081726819</f>
        <v/>
      </c>
      <c r="AK3" s="7">
        <f>H3*0.0081726819</f>
        <v/>
      </c>
      <c r="AL3" s="7">
        <f>I3*0.0081726819</f>
        <v/>
      </c>
      <c r="AM3" s="7">
        <f>J3*0.0081726819</f>
        <v/>
      </c>
      <c r="AN3" s="7">
        <f>K3*0.0081726819</f>
        <v/>
      </c>
      <c r="AO3" s="7">
        <f>L3*0.0081726819</f>
        <v/>
      </c>
      <c r="AP3" s="7">
        <f>M3*0.0081726819</f>
        <v/>
      </c>
      <c r="AQ3" s="7">
        <f>N3*0.0081726819</f>
        <v/>
      </c>
      <c r="AR3" s="7">
        <f>O3*0.0081726819</f>
        <v/>
      </c>
      <c r="AS3" s="7">
        <f>P3*0.0081726819</f>
        <v/>
      </c>
      <c r="AT3" s="7">
        <f>Q3*0.0081726819</f>
        <v/>
      </c>
      <c r="AU3" s="7">
        <f>R3*0.0081726819</f>
        <v/>
      </c>
      <c r="AV3" s="7">
        <f>S3*0.0081726819</f>
        <v/>
      </c>
      <c r="AW3" s="7">
        <f>T3*0.0081726819</f>
        <v/>
      </c>
      <c r="AX3" s="7">
        <f>U3*0.0081726819</f>
        <v/>
      </c>
      <c r="AY3" s="7">
        <f>V3*0.0081726819</f>
        <v/>
      </c>
      <c r="AZ3" s="7">
        <f>W3*0.0081726819</f>
        <v/>
      </c>
      <c r="BA3" s="7">
        <f>X3*0.0081726819</f>
        <v/>
      </c>
      <c r="BB3" s="7">
        <f>SUM(AD3:BA3)</f>
        <v/>
      </c>
    </row>
    <row r="4">
      <c r="A4" t="inlineStr">
        <is>
          <t>AMD-AIR-NEW-SSC</t>
        </is>
      </c>
      <c r="B4" t="inlineStr">
        <is>
          <t>Forward Regular OSC</t>
        </is>
      </c>
      <c r="C4" s="5" t="n">
        <v>46096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0</v>
      </c>
      <c r="R4" s="6" t="n">
        <v>18</v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0</v>
      </c>
      <c r="AB4" s="6">
        <f>SUM(D4:AA4)</f>
        <v/>
      </c>
      <c r="AC4" s="3" t="inlineStr"/>
      <c r="AD4" s="7">
        <f>Y4*0.0081726819</f>
        <v/>
      </c>
      <c r="AE4" s="7">
        <f>Z4*0.0081726819</f>
        <v/>
      </c>
      <c r="AF4" s="7">
        <f>AA4*0.0081726819</f>
        <v/>
      </c>
      <c r="AG4" s="7">
        <f>D4*0.0081726819</f>
        <v/>
      </c>
      <c r="AH4" s="7">
        <f>E4*0.0081726819</f>
        <v/>
      </c>
      <c r="AI4" s="7">
        <f>F4*0.0081726819</f>
        <v/>
      </c>
      <c r="AJ4" s="7">
        <f>G4*0.0081726819</f>
        <v/>
      </c>
      <c r="AK4" s="7">
        <f>H4*0.0081726819</f>
        <v/>
      </c>
      <c r="AL4" s="7">
        <f>I4*0.0081726819</f>
        <v/>
      </c>
      <c r="AM4" s="7">
        <f>J4*0.0081726819</f>
        <v/>
      </c>
      <c r="AN4" s="7">
        <f>K4*0.0081726819</f>
        <v/>
      </c>
      <c r="AO4" s="7">
        <f>L4*0.0081726819</f>
        <v/>
      </c>
      <c r="AP4" s="7">
        <f>M4*0.0081726819</f>
        <v/>
      </c>
      <c r="AQ4" s="7">
        <f>N4*0.0081726819</f>
        <v/>
      </c>
      <c r="AR4" s="7">
        <f>O4*0.0081726819</f>
        <v/>
      </c>
      <c r="AS4" s="7">
        <f>P4*0.0081726819</f>
        <v/>
      </c>
      <c r="AT4" s="7">
        <f>Q4*0.0081726819</f>
        <v/>
      </c>
      <c r="AU4" s="7">
        <f>R4*0.0081726819</f>
        <v/>
      </c>
      <c r="AV4" s="7">
        <f>S4*0.0081726819</f>
        <v/>
      </c>
      <c r="AW4" s="7">
        <f>T4*0.0081726819</f>
        <v/>
      </c>
      <c r="AX4" s="7">
        <f>U4*0.0081726819</f>
        <v/>
      </c>
      <c r="AY4" s="7">
        <f>V4*0.0081726819</f>
        <v/>
      </c>
      <c r="AZ4" s="7">
        <f>W4*0.0081726819</f>
        <v/>
      </c>
      <c r="BA4" s="7">
        <f>X4*0.0081726819</f>
        <v/>
      </c>
      <c r="BB4" s="7">
        <f>SUM(AD4:BA4)</f>
        <v/>
      </c>
    </row>
    <row r="5">
      <c r="A5" t="inlineStr">
        <is>
          <t>AMD-AIR-NEW-SSC</t>
        </is>
      </c>
      <c r="B5" t="inlineStr">
        <is>
          <t>Forward Regular OSC</t>
        </is>
      </c>
      <c r="C5" s="5" t="n">
        <v>46097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10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>
        <f>SUM(D5:AA5)</f>
        <v/>
      </c>
      <c r="AC5" s="3" t="inlineStr"/>
      <c r="AD5" s="7">
        <f>Y5*0.0081726819</f>
        <v/>
      </c>
      <c r="AE5" s="7">
        <f>Z5*0.0081726819</f>
        <v/>
      </c>
      <c r="AF5" s="7">
        <f>AA5*0.0081726819</f>
        <v/>
      </c>
      <c r="AG5" s="7">
        <f>D5*0.0081726819</f>
        <v/>
      </c>
      <c r="AH5" s="7">
        <f>E5*0.0081726819</f>
        <v/>
      </c>
      <c r="AI5" s="7">
        <f>F5*0.0081726819</f>
        <v/>
      </c>
      <c r="AJ5" s="7">
        <f>G5*0.0081726819</f>
        <v/>
      </c>
      <c r="AK5" s="7">
        <f>H5*0.0081726819</f>
        <v/>
      </c>
      <c r="AL5" s="7">
        <f>I5*0.0081726819</f>
        <v/>
      </c>
      <c r="AM5" s="7">
        <f>J5*0.0081726819</f>
        <v/>
      </c>
      <c r="AN5" s="7">
        <f>K5*0.0081726819</f>
        <v/>
      </c>
      <c r="AO5" s="7">
        <f>L5*0.0081726819</f>
        <v/>
      </c>
      <c r="AP5" s="7">
        <f>M5*0.0081726819</f>
        <v/>
      </c>
      <c r="AQ5" s="7">
        <f>N5*0.0081726819</f>
        <v/>
      </c>
      <c r="AR5" s="7">
        <f>O5*0.0081726819</f>
        <v/>
      </c>
      <c r="AS5" s="7">
        <f>P5*0.0081726819</f>
        <v/>
      </c>
      <c r="AT5" s="7">
        <f>Q5*0.0081726819</f>
        <v/>
      </c>
      <c r="AU5" s="7">
        <f>R5*0.0081726819</f>
        <v/>
      </c>
      <c r="AV5" s="7">
        <f>S5*0.0081726819</f>
        <v/>
      </c>
      <c r="AW5" s="7">
        <f>T5*0.0081726819</f>
        <v/>
      </c>
      <c r="AX5" s="7">
        <f>U5*0.0081726819</f>
        <v/>
      </c>
      <c r="AY5" s="7">
        <f>V5*0.0081726819</f>
        <v/>
      </c>
      <c r="AZ5" s="7">
        <f>W5*0.0081726819</f>
        <v/>
      </c>
      <c r="BA5" s="7">
        <f>X5*0.0081726819</f>
        <v/>
      </c>
      <c r="BB5" s="7">
        <f>SUM(AD5:BA5)</f>
        <v/>
      </c>
    </row>
    <row r="6">
      <c r="A6" t="inlineStr">
        <is>
          <t>AMD-AIR-NEW-SSC</t>
        </is>
      </c>
      <c r="B6" t="inlineStr">
        <is>
          <t>Forward Regular OSC</t>
        </is>
      </c>
      <c r="C6" s="5" t="n">
        <v>46100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15</v>
      </c>
      <c r="S6" s="6" t="n">
        <v>16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>
        <f>SUM(D6:AA6)</f>
        <v/>
      </c>
      <c r="AC6" s="3" t="inlineStr"/>
      <c r="AD6" s="7">
        <f>Y6*0.0081726819</f>
        <v/>
      </c>
      <c r="AE6" s="7">
        <f>Z6*0.0081726819</f>
        <v/>
      </c>
      <c r="AF6" s="7">
        <f>AA6*0.0081726819</f>
        <v/>
      </c>
      <c r="AG6" s="7">
        <f>D6*0.0081726819</f>
        <v/>
      </c>
      <c r="AH6" s="7">
        <f>E6*0.0081726819</f>
        <v/>
      </c>
      <c r="AI6" s="7">
        <f>F6*0.0081726819</f>
        <v/>
      </c>
      <c r="AJ6" s="7">
        <f>G6*0.0081726819</f>
        <v/>
      </c>
      <c r="AK6" s="7">
        <f>H6*0.0081726819</f>
        <v/>
      </c>
      <c r="AL6" s="7">
        <f>I6*0.0081726819</f>
        <v/>
      </c>
      <c r="AM6" s="7">
        <f>J6*0.0081726819</f>
        <v/>
      </c>
      <c r="AN6" s="7">
        <f>K6*0.0081726819</f>
        <v/>
      </c>
      <c r="AO6" s="7">
        <f>L6*0.0081726819</f>
        <v/>
      </c>
      <c r="AP6" s="7">
        <f>M6*0.0081726819</f>
        <v/>
      </c>
      <c r="AQ6" s="7">
        <f>N6*0.0081726819</f>
        <v/>
      </c>
      <c r="AR6" s="7">
        <f>O6*0.0081726819</f>
        <v/>
      </c>
      <c r="AS6" s="7">
        <f>P6*0.0081726819</f>
        <v/>
      </c>
      <c r="AT6" s="7">
        <f>Q6*0.0081726819</f>
        <v/>
      </c>
      <c r="AU6" s="7">
        <f>R6*0.0081726819</f>
        <v/>
      </c>
      <c r="AV6" s="7">
        <f>S6*0.0081726819</f>
        <v/>
      </c>
      <c r="AW6" s="7">
        <f>T6*0.0081726819</f>
        <v/>
      </c>
      <c r="AX6" s="7">
        <f>U6*0.0081726819</f>
        <v/>
      </c>
      <c r="AY6" s="7">
        <f>V6*0.0081726819</f>
        <v/>
      </c>
      <c r="AZ6" s="7">
        <f>W6*0.0081726819</f>
        <v/>
      </c>
      <c r="BA6" s="7">
        <f>X6*0.0081726819</f>
        <v/>
      </c>
      <c r="BB6" s="7">
        <f>SUM(AD6:BA6)</f>
        <v/>
      </c>
    </row>
    <row r="7">
      <c r="A7" t="inlineStr">
        <is>
          <t>AMD-AIR-NEW-SSC</t>
        </is>
      </c>
      <c r="B7" t="inlineStr">
        <is>
          <t>Forward Regular OSC</t>
        </is>
      </c>
      <c r="C7" s="5" t="n">
        <v>46101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18</v>
      </c>
      <c r="T7" s="6" t="n">
        <v>12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>
        <f>SUM(D7:AA7)</f>
        <v/>
      </c>
      <c r="AC7" s="3" t="inlineStr"/>
      <c r="AD7" s="7">
        <f>Y7*0.0081726819</f>
        <v/>
      </c>
      <c r="AE7" s="7">
        <f>Z7*0.0081726819</f>
        <v/>
      </c>
      <c r="AF7" s="7">
        <f>AA7*0.0081726819</f>
        <v/>
      </c>
      <c r="AG7" s="7">
        <f>D7*0.0081726819</f>
        <v/>
      </c>
      <c r="AH7" s="7">
        <f>E7*0.0081726819</f>
        <v/>
      </c>
      <c r="AI7" s="7">
        <f>F7*0.0081726819</f>
        <v/>
      </c>
      <c r="AJ7" s="7">
        <f>G7*0.0081726819</f>
        <v/>
      </c>
      <c r="AK7" s="7">
        <f>H7*0.0081726819</f>
        <v/>
      </c>
      <c r="AL7" s="7">
        <f>I7*0.0081726819</f>
        <v/>
      </c>
      <c r="AM7" s="7">
        <f>J7*0.0081726819</f>
        <v/>
      </c>
      <c r="AN7" s="7">
        <f>K7*0.0081726819</f>
        <v/>
      </c>
      <c r="AO7" s="7">
        <f>L7*0.0081726819</f>
        <v/>
      </c>
      <c r="AP7" s="7">
        <f>M7*0.0081726819</f>
        <v/>
      </c>
      <c r="AQ7" s="7">
        <f>N7*0.0081726819</f>
        <v/>
      </c>
      <c r="AR7" s="7">
        <f>O7*0.0081726819</f>
        <v/>
      </c>
      <c r="AS7" s="7">
        <f>P7*0.0081726819</f>
        <v/>
      </c>
      <c r="AT7" s="7">
        <f>Q7*0.0081726819</f>
        <v/>
      </c>
      <c r="AU7" s="7">
        <f>R7*0.0081726819</f>
        <v/>
      </c>
      <c r="AV7" s="7">
        <f>S7*0.0081726819</f>
        <v/>
      </c>
      <c r="AW7" s="7">
        <f>T7*0.0081726819</f>
        <v/>
      </c>
      <c r="AX7" s="7">
        <f>U7*0.0081726819</f>
        <v/>
      </c>
      <c r="AY7" s="7">
        <f>V7*0.0081726819</f>
        <v/>
      </c>
      <c r="AZ7" s="7">
        <f>W7*0.0081726819</f>
        <v/>
      </c>
      <c r="BA7" s="7">
        <f>X7*0.0081726819</f>
        <v/>
      </c>
      <c r="BB7" s="7">
        <f>SUM(AD7:BA7)</f>
        <v/>
      </c>
    </row>
    <row r="8">
      <c r="A8" t="inlineStr">
        <is>
          <t>AMD-AIR-NEW-SSC</t>
        </is>
      </c>
      <c r="B8" t="inlineStr">
        <is>
          <t>Forward Regular OSC</t>
        </is>
      </c>
      <c r="C8" s="5" t="n">
        <v>46102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3</v>
      </c>
      <c r="S8" s="6" t="n">
        <v>5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>
        <f>SUM(D8:AA8)</f>
        <v/>
      </c>
      <c r="AC8" s="3" t="inlineStr"/>
      <c r="AD8" s="7">
        <f>Y8*0.0081726819</f>
        <v/>
      </c>
      <c r="AE8" s="7">
        <f>Z8*0.0081726819</f>
        <v/>
      </c>
      <c r="AF8" s="7">
        <f>AA8*0.0081726819</f>
        <v/>
      </c>
      <c r="AG8" s="7">
        <f>D8*0.0081726819</f>
        <v/>
      </c>
      <c r="AH8" s="7">
        <f>E8*0.0081726819</f>
        <v/>
      </c>
      <c r="AI8" s="7">
        <f>F8*0.0081726819</f>
        <v/>
      </c>
      <c r="AJ8" s="7">
        <f>G8*0.0081726819</f>
        <v/>
      </c>
      <c r="AK8" s="7">
        <f>H8*0.0081726819</f>
        <v/>
      </c>
      <c r="AL8" s="7">
        <f>I8*0.0081726819</f>
        <v/>
      </c>
      <c r="AM8" s="7">
        <f>J8*0.0081726819</f>
        <v/>
      </c>
      <c r="AN8" s="7">
        <f>K8*0.0081726819</f>
        <v/>
      </c>
      <c r="AO8" s="7">
        <f>L8*0.0081726819</f>
        <v/>
      </c>
      <c r="AP8" s="7">
        <f>M8*0.0081726819</f>
        <v/>
      </c>
      <c r="AQ8" s="7">
        <f>N8*0.0081726819</f>
        <v/>
      </c>
      <c r="AR8" s="7">
        <f>O8*0.0081726819</f>
        <v/>
      </c>
      <c r="AS8" s="7">
        <f>P8*0.0081726819</f>
        <v/>
      </c>
      <c r="AT8" s="7">
        <f>Q8*0.0081726819</f>
        <v/>
      </c>
      <c r="AU8" s="7">
        <f>R8*0.0081726819</f>
        <v/>
      </c>
      <c r="AV8" s="7">
        <f>S8*0.0081726819</f>
        <v/>
      </c>
      <c r="AW8" s="7">
        <f>T8*0.0081726819</f>
        <v/>
      </c>
      <c r="AX8" s="7">
        <f>U8*0.0081726819</f>
        <v/>
      </c>
      <c r="AY8" s="7">
        <f>V8*0.0081726819</f>
        <v/>
      </c>
      <c r="AZ8" s="7">
        <f>W8*0.0081726819</f>
        <v/>
      </c>
      <c r="BA8" s="7">
        <f>X8*0.0081726819</f>
        <v/>
      </c>
      <c r="BB8" s="7">
        <f>SUM(AD8:BA8)</f>
        <v/>
      </c>
    </row>
    <row r="9">
      <c r="A9" t="inlineStr">
        <is>
          <t>AMD-AIR-NEW-SSC</t>
        </is>
      </c>
      <c r="B9" t="inlineStr">
        <is>
          <t>Forward Regular OSC</t>
        </is>
      </c>
      <c r="C9" s="5" t="n">
        <v>46103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9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>
        <f>SUM(D9:AA9)</f>
        <v/>
      </c>
      <c r="AC9" s="3" t="inlineStr"/>
      <c r="AD9" s="7">
        <f>Y9*0.0081726819</f>
        <v/>
      </c>
      <c r="AE9" s="7">
        <f>Z9*0.0081726819</f>
        <v/>
      </c>
      <c r="AF9" s="7">
        <f>AA9*0.0081726819</f>
        <v/>
      </c>
      <c r="AG9" s="7">
        <f>D9*0.0081726819</f>
        <v/>
      </c>
      <c r="AH9" s="7">
        <f>E9*0.0081726819</f>
        <v/>
      </c>
      <c r="AI9" s="7">
        <f>F9*0.0081726819</f>
        <v/>
      </c>
      <c r="AJ9" s="7">
        <f>G9*0.0081726819</f>
        <v/>
      </c>
      <c r="AK9" s="7">
        <f>H9*0.0081726819</f>
        <v/>
      </c>
      <c r="AL9" s="7">
        <f>I9*0.0081726819</f>
        <v/>
      </c>
      <c r="AM9" s="7">
        <f>J9*0.0081726819</f>
        <v/>
      </c>
      <c r="AN9" s="7">
        <f>K9*0.0081726819</f>
        <v/>
      </c>
      <c r="AO9" s="7">
        <f>L9*0.0081726819</f>
        <v/>
      </c>
      <c r="AP9" s="7">
        <f>M9*0.0081726819</f>
        <v/>
      </c>
      <c r="AQ9" s="7">
        <f>N9*0.0081726819</f>
        <v/>
      </c>
      <c r="AR9" s="7">
        <f>O9*0.0081726819</f>
        <v/>
      </c>
      <c r="AS9" s="7">
        <f>P9*0.0081726819</f>
        <v/>
      </c>
      <c r="AT9" s="7">
        <f>Q9*0.0081726819</f>
        <v/>
      </c>
      <c r="AU9" s="7">
        <f>R9*0.0081726819</f>
        <v/>
      </c>
      <c r="AV9" s="7">
        <f>S9*0.0081726819</f>
        <v/>
      </c>
      <c r="AW9" s="7">
        <f>T9*0.0081726819</f>
        <v/>
      </c>
      <c r="AX9" s="7">
        <f>U9*0.0081726819</f>
        <v/>
      </c>
      <c r="AY9" s="7">
        <f>V9*0.0081726819</f>
        <v/>
      </c>
      <c r="AZ9" s="7">
        <f>W9*0.0081726819</f>
        <v/>
      </c>
      <c r="BA9" s="7">
        <f>X9*0.0081726819</f>
        <v/>
      </c>
      <c r="BB9" s="7">
        <f>SUM(AD9:BA9)</f>
        <v/>
      </c>
    </row>
    <row r="10">
      <c r="A10" t="inlineStr">
        <is>
          <t>AMD-AIR-NEW-SSC</t>
        </is>
      </c>
      <c r="B10" t="inlineStr">
        <is>
          <t>Forward Regular OSC</t>
        </is>
      </c>
      <c r="C10" s="5" t="n">
        <v>46104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10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>
        <f>SUM(D10:AA10)</f>
        <v/>
      </c>
      <c r="AC10" s="3" t="inlineStr"/>
      <c r="AD10" s="7">
        <f>Y10*0.0081726819</f>
        <v/>
      </c>
      <c r="AE10" s="7">
        <f>Z10*0.0081726819</f>
        <v/>
      </c>
      <c r="AF10" s="7">
        <f>AA10*0.0081726819</f>
        <v/>
      </c>
      <c r="AG10" s="7">
        <f>D10*0.0081726819</f>
        <v/>
      </c>
      <c r="AH10" s="7">
        <f>E10*0.0081726819</f>
        <v/>
      </c>
      <c r="AI10" s="7">
        <f>F10*0.0081726819</f>
        <v/>
      </c>
      <c r="AJ10" s="7">
        <f>G10*0.0081726819</f>
        <v/>
      </c>
      <c r="AK10" s="7">
        <f>H10*0.0081726819</f>
        <v/>
      </c>
      <c r="AL10" s="7">
        <f>I10*0.0081726819</f>
        <v/>
      </c>
      <c r="AM10" s="7">
        <f>J10*0.0081726819</f>
        <v/>
      </c>
      <c r="AN10" s="7">
        <f>K10*0.0081726819</f>
        <v/>
      </c>
      <c r="AO10" s="7">
        <f>L10*0.0081726819</f>
        <v/>
      </c>
      <c r="AP10" s="7">
        <f>M10*0.0081726819</f>
        <v/>
      </c>
      <c r="AQ10" s="7">
        <f>N10*0.0081726819</f>
        <v/>
      </c>
      <c r="AR10" s="7">
        <f>O10*0.0081726819</f>
        <v/>
      </c>
      <c r="AS10" s="7">
        <f>P10*0.0081726819</f>
        <v/>
      </c>
      <c r="AT10" s="7">
        <f>Q10*0.0081726819</f>
        <v/>
      </c>
      <c r="AU10" s="7">
        <f>R10*0.0081726819</f>
        <v/>
      </c>
      <c r="AV10" s="7">
        <f>S10*0.0081726819</f>
        <v/>
      </c>
      <c r="AW10" s="7">
        <f>T10*0.0081726819</f>
        <v/>
      </c>
      <c r="AX10" s="7">
        <f>U10*0.0081726819</f>
        <v/>
      </c>
      <c r="AY10" s="7">
        <f>V10*0.0081726819</f>
        <v/>
      </c>
      <c r="AZ10" s="7">
        <f>W10*0.0081726819</f>
        <v/>
      </c>
      <c r="BA10" s="7">
        <f>X10*0.0081726819</f>
        <v/>
      </c>
      <c r="BB10" s="7">
        <f>SUM(AD10:BA10)</f>
        <v/>
      </c>
    </row>
    <row r="11">
      <c r="A11" t="inlineStr">
        <is>
          <t>AMD-EXPR</t>
        </is>
      </c>
      <c r="B11" t="inlineStr">
        <is>
          <t>DSC Manual</t>
        </is>
      </c>
      <c r="C11" s="5" t="n">
        <v>46089</v>
      </c>
      <c r="D11" s="6" t="n">
        <v>0</v>
      </c>
      <c r="E11" s="6" t="n">
        <v>0</v>
      </c>
      <c r="F11" s="6" t="n">
        <v>0</v>
      </c>
      <c r="G11" s="6" t="n">
        <v>2</v>
      </c>
      <c r="H11" s="6" t="n">
        <v>18</v>
      </c>
      <c r="I11" s="6" t="n">
        <v>7</v>
      </c>
      <c r="J11" s="6" t="n">
        <v>5</v>
      </c>
      <c r="K11" s="6" t="n">
        <v>4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23</v>
      </c>
      <c r="T11" s="6" t="n">
        <v>0</v>
      </c>
      <c r="U11" s="6" t="n">
        <v>14</v>
      </c>
      <c r="V11" s="6" t="n">
        <v>18</v>
      </c>
      <c r="W11" s="6" t="n">
        <v>19</v>
      </c>
      <c r="X11" s="6" t="n">
        <v>31</v>
      </c>
      <c r="Y11" s="6" t="n">
        <v>32</v>
      </c>
      <c r="Z11" s="6" t="n">
        <v>0</v>
      </c>
      <c r="AA11" s="6" t="n">
        <v>0</v>
      </c>
      <c r="AB11" s="6">
        <f>SUM(D11:AA11)</f>
        <v/>
      </c>
      <c r="AC11" s="3" t="inlineStr"/>
      <c r="AD11" s="7">
        <f>Y11*0.0081726819</f>
        <v/>
      </c>
      <c r="AE11" s="7">
        <f>Z11*0.0081726819</f>
        <v/>
      </c>
      <c r="AF11" s="7">
        <f>AA11*0.0081726819</f>
        <v/>
      </c>
      <c r="AG11" s="7">
        <f>D11*0.0081726819</f>
        <v/>
      </c>
      <c r="AH11" s="7">
        <f>E11*0.0081726819</f>
        <v/>
      </c>
      <c r="AI11" s="7">
        <f>F11*0.0081726819</f>
        <v/>
      </c>
      <c r="AJ11" s="7">
        <f>G11*0.0081726819</f>
        <v/>
      </c>
      <c r="AK11" s="7">
        <f>H11*0.0081726819</f>
        <v/>
      </c>
      <c r="AL11" s="7">
        <f>I11*0.0081726819</f>
        <v/>
      </c>
      <c r="AM11" s="7">
        <f>J11*0.0081726819</f>
        <v/>
      </c>
      <c r="AN11" s="7">
        <f>K11*0.0081726819</f>
        <v/>
      </c>
      <c r="AO11" s="7">
        <f>L11*0.0081726819</f>
        <v/>
      </c>
      <c r="AP11" s="7">
        <f>M11*0.0081726819</f>
        <v/>
      </c>
      <c r="AQ11" s="7">
        <f>N11*0.0081726819</f>
        <v/>
      </c>
      <c r="AR11" s="7">
        <f>O11*0.0081726819</f>
        <v/>
      </c>
      <c r="AS11" s="7">
        <f>P11*0.0081726819</f>
        <v/>
      </c>
      <c r="AT11" s="7">
        <f>Q11*0.0081726819</f>
        <v/>
      </c>
      <c r="AU11" s="7">
        <f>R11*0.0081726819</f>
        <v/>
      </c>
      <c r="AV11" s="7">
        <f>S11*0.0081726819</f>
        <v/>
      </c>
      <c r="AW11" s="7">
        <f>T11*0.0081726819</f>
        <v/>
      </c>
      <c r="AX11" s="7">
        <f>U11*0.0081726819</f>
        <v/>
      </c>
      <c r="AY11" s="7">
        <f>V11*0.0081726819</f>
        <v/>
      </c>
      <c r="AZ11" s="7">
        <f>W11*0.0081726819</f>
        <v/>
      </c>
      <c r="BA11" s="7">
        <f>X11*0.0081726819</f>
        <v/>
      </c>
      <c r="BB11" s="7">
        <f>SUM(AD11:BA11)</f>
        <v/>
      </c>
    </row>
    <row r="12">
      <c r="A12" t="inlineStr">
        <is>
          <t>AMD-EXPR</t>
        </is>
      </c>
      <c r="B12" t="inlineStr">
        <is>
          <t>DSC Manual</t>
        </is>
      </c>
      <c r="C12" s="5" t="n">
        <v>46090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10</v>
      </c>
      <c r="J12" s="6" t="n">
        <v>15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23</v>
      </c>
      <c r="U12" s="6" t="n">
        <v>0</v>
      </c>
      <c r="V12" s="6" t="n">
        <v>17</v>
      </c>
      <c r="W12" s="6" t="n">
        <v>16</v>
      </c>
      <c r="X12" s="6" t="n">
        <v>22</v>
      </c>
      <c r="Y12" s="6" t="n">
        <v>22</v>
      </c>
      <c r="Z12" s="6" t="n">
        <v>23</v>
      </c>
      <c r="AA12" s="6" t="n">
        <v>0</v>
      </c>
      <c r="AB12" s="6">
        <f>SUM(D12:AA12)</f>
        <v/>
      </c>
      <c r="AC12" s="3" t="inlineStr"/>
      <c r="AD12" s="7">
        <f>Y12*0.0081726819</f>
        <v/>
      </c>
      <c r="AE12" s="7">
        <f>Z12*0.0081726819</f>
        <v/>
      </c>
      <c r="AF12" s="7">
        <f>AA12*0.0081726819</f>
        <v/>
      </c>
      <c r="AG12" s="7">
        <f>D12*0.0081726819</f>
        <v/>
      </c>
      <c r="AH12" s="7">
        <f>E12*0.0081726819</f>
        <v/>
      </c>
      <c r="AI12" s="7">
        <f>F12*0.0081726819</f>
        <v/>
      </c>
      <c r="AJ12" s="7">
        <f>G12*0.0081726819</f>
        <v/>
      </c>
      <c r="AK12" s="7">
        <f>H12*0.0081726819</f>
        <v/>
      </c>
      <c r="AL12" s="7">
        <f>I12*0.0081726819</f>
        <v/>
      </c>
      <c r="AM12" s="7">
        <f>J12*0.0081726819</f>
        <v/>
      </c>
      <c r="AN12" s="7">
        <f>K12*0.0081726819</f>
        <v/>
      </c>
      <c r="AO12" s="7">
        <f>L12*0.0081726819</f>
        <v/>
      </c>
      <c r="AP12" s="7">
        <f>M12*0.0081726819</f>
        <v/>
      </c>
      <c r="AQ12" s="7">
        <f>N12*0.0081726819</f>
        <v/>
      </c>
      <c r="AR12" s="7">
        <f>O12*0.0081726819</f>
        <v/>
      </c>
      <c r="AS12" s="7">
        <f>P12*0.0081726819</f>
        <v/>
      </c>
      <c r="AT12" s="7">
        <f>Q12*0.0081726819</f>
        <v/>
      </c>
      <c r="AU12" s="7">
        <f>R12*0.0081726819</f>
        <v/>
      </c>
      <c r="AV12" s="7">
        <f>S12*0.0081726819</f>
        <v/>
      </c>
      <c r="AW12" s="7">
        <f>T12*0.0081726819</f>
        <v/>
      </c>
      <c r="AX12" s="7">
        <f>U12*0.0081726819</f>
        <v/>
      </c>
      <c r="AY12" s="7">
        <f>V12*0.0081726819</f>
        <v/>
      </c>
      <c r="AZ12" s="7">
        <f>W12*0.0081726819</f>
        <v/>
      </c>
      <c r="BA12" s="7">
        <f>X12*0.0081726819</f>
        <v/>
      </c>
      <c r="BB12" s="7">
        <f>SUM(AD12:BA12)</f>
        <v/>
      </c>
    </row>
    <row r="13">
      <c r="A13" t="inlineStr">
        <is>
          <t>AMD-EXPR</t>
        </is>
      </c>
      <c r="B13" t="inlineStr">
        <is>
          <t>DSC Manual</t>
        </is>
      </c>
      <c r="C13" s="5" t="n">
        <v>46091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15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37</v>
      </c>
      <c r="T13" s="6" t="n">
        <v>13</v>
      </c>
      <c r="U13" s="6" t="n">
        <v>0</v>
      </c>
      <c r="V13" s="6" t="n">
        <v>15</v>
      </c>
      <c r="W13" s="6" t="n">
        <v>29</v>
      </c>
      <c r="X13" s="6" t="n">
        <v>14</v>
      </c>
      <c r="Y13" s="6" t="n">
        <v>48</v>
      </c>
      <c r="Z13" s="6" t="n">
        <v>13</v>
      </c>
      <c r="AA13" s="6" t="n">
        <v>0</v>
      </c>
      <c r="AB13" s="6">
        <f>SUM(D13:AA13)</f>
        <v/>
      </c>
      <c r="AC13" s="3" t="inlineStr"/>
      <c r="AD13" s="7">
        <f>Y13*0.0081726819</f>
        <v/>
      </c>
      <c r="AE13" s="7">
        <f>Z13*0.0081726819</f>
        <v/>
      </c>
      <c r="AF13" s="7">
        <f>AA13*0.0081726819</f>
        <v/>
      </c>
      <c r="AG13" s="7">
        <f>D13*0.0081726819</f>
        <v/>
      </c>
      <c r="AH13" s="7">
        <f>E13*0.0081726819</f>
        <v/>
      </c>
      <c r="AI13" s="7">
        <f>F13*0.0081726819</f>
        <v/>
      </c>
      <c r="AJ13" s="7">
        <f>G13*0.0081726819</f>
        <v/>
      </c>
      <c r="AK13" s="7">
        <f>H13*0.0081726819</f>
        <v/>
      </c>
      <c r="AL13" s="7">
        <f>I13*0.0081726819</f>
        <v/>
      </c>
      <c r="AM13" s="7">
        <f>J13*0.0081726819</f>
        <v/>
      </c>
      <c r="AN13" s="7">
        <f>K13*0.0081726819</f>
        <v/>
      </c>
      <c r="AO13" s="7">
        <f>L13*0.0081726819</f>
        <v/>
      </c>
      <c r="AP13" s="7">
        <f>M13*0.0081726819</f>
        <v/>
      </c>
      <c r="AQ13" s="7">
        <f>N13*0.0081726819</f>
        <v/>
      </c>
      <c r="AR13" s="7">
        <f>O13*0.0081726819</f>
        <v/>
      </c>
      <c r="AS13" s="7">
        <f>P13*0.0081726819</f>
        <v/>
      </c>
      <c r="AT13" s="7">
        <f>Q13*0.0081726819</f>
        <v/>
      </c>
      <c r="AU13" s="7">
        <f>R13*0.0081726819</f>
        <v/>
      </c>
      <c r="AV13" s="7">
        <f>S13*0.0081726819</f>
        <v/>
      </c>
      <c r="AW13" s="7">
        <f>T13*0.0081726819</f>
        <v/>
      </c>
      <c r="AX13" s="7">
        <f>U13*0.0081726819</f>
        <v/>
      </c>
      <c r="AY13" s="7">
        <f>V13*0.0081726819</f>
        <v/>
      </c>
      <c r="AZ13" s="7">
        <f>W13*0.0081726819</f>
        <v/>
      </c>
      <c r="BA13" s="7">
        <f>X13*0.0081726819</f>
        <v/>
      </c>
      <c r="BB13" s="7">
        <f>SUM(AD13:BA13)</f>
        <v/>
      </c>
    </row>
    <row r="14">
      <c r="A14" t="inlineStr">
        <is>
          <t>AMD-EXPR</t>
        </is>
      </c>
      <c r="B14" t="inlineStr">
        <is>
          <t>DSC Manual</t>
        </is>
      </c>
      <c r="C14" s="5" t="n">
        <v>46092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12</v>
      </c>
      <c r="K14" s="6" t="n">
        <v>16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16</v>
      </c>
      <c r="S14" s="6" t="n">
        <v>30</v>
      </c>
      <c r="T14" s="6" t="n">
        <v>0</v>
      </c>
      <c r="U14" s="6" t="n">
        <v>23</v>
      </c>
      <c r="V14" s="6" t="n">
        <v>26</v>
      </c>
      <c r="W14" s="6" t="n">
        <v>28</v>
      </c>
      <c r="X14" s="6" t="n">
        <v>34</v>
      </c>
      <c r="Y14" s="6" t="n">
        <v>22</v>
      </c>
      <c r="Z14" s="6" t="n">
        <v>4</v>
      </c>
      <c r="AA14" s="6" t="n">
        <v>0</v>
      </c>
      <c r="AB14" s="6">
        <f>SUM(D14:AA14)</f>
        <v/>
      </c>
      <c r="AC14" s="3" t="inlineStr"/>
      <c r="AD14" s="7">
        <f>Y14*0.0081726819</f>
        <v/>
      </c>
      <c r="AE14" s="7">
        <f>Z14*0.0081726819</f>
        <v/>
      </c>
      <c r="AF14" s="7">
        <f>AA14*0.0081726819</f>
        <v/>
      </c>
      <c r="AG14" s="7">
        <f>D14*0.0081726819</f>
        <v/>
      </c>
      <c r="AH14" s="7">
        <f>E14*0.0081726819</f>
        <v/>
      </c>
      <c r="AI14" s="7">
        <f>F14*0.0081726819</f>
        <v/>
      </c>
      <c r="AJ14" s="7">
        <f>G14*0.0081726819</f>
        <v/>
      </c>
      <c r="AK14" s="7">
        <f>H14*0.0081726819</f>
        <v/>
      </c>
      <c r="AL14" s="7">
        <f>I14*0.0081726819</f>
        <v/>
      </c>
      <c r="AM14" s="7">
        <f>J14*0.0081726819</f>
        <v/>
      </c>
      <c r="AN14" s="7">
        <f>K14*0.0081726819</f>
        <v/>
      </c>
      <c r="AO14" s="7">
        <f>L14*0.0081726819</f>
        <v/>
      </c>
      <c r="AP14" s="7">
        <f>M14*0.0081726819</f>
        <v/>
      </c>
      <c r="AQ14" s="7">
        <f>N14*0.0081726819</f>
        <v/>
      </c>
      <c r="AR14" s="7">
        <f>O14*0.0081726819</f>
        <v/>
      </c>
      <c r="AS14" s="7">
        <f>P14*0.0081726819</f>
        <v/>
      </c>
      <c r="AT14" s="7">
        <f>Q14*0.0081726819</f>
        <v/>
      </c>
      <c r="AU14" s="7">
        <f>R14*0.0081726819</f>
        <v/>
      </c>
      <c r="AV14" s="7">
        <f>S14*0.0081726819</f>
        <v/>
      </c>
      <c r="AW14" s="7">
        <f>T14*0.0081726819</f>
        <v/>
      </c>
      <c r="AX14" s="7">
        <f>U14*0.0081726819</f>
        <v/>
      </c>
      <c r="AY14" s="7">
        <f>V14*0.0081726819</f>
        <v/>
      </c>
      <c r="AZ14" s="7">
        <f>W14*0.0081726819</f>
        <v/>
      </c>
      <c r="BA14" s="7">
        <f>X14*0.0081726819</f>
        <v/>
      </c>
      <c r="BB14" s="7">
        <f>SUM(AD14:BA14)</f>
        <v/>
      </c>
    </row>
    <row r="15">
      <c r="A15" t="inlineStr">
        <is>
          <t>AMD-EXPR</t>
        </is>
      </c>
      <c r="B15" t="inlineStr">
        <is>
          <t>DSC Manual</t>
        </is>
      </c>
      <c r="C15" s="5" t="n">
        <v>46093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9</v>
      </c>
      <c r="I15" s="6" t="n">
        <v>12</v>
      </c>
      <c r="J15" s="6" t="n">
        <v>16</v>
      </c>
      <c r="K15" s="6" t="n">
        <v>9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26</v>
      </c>
      <c r="T15" s="6" t="n">
        <v>12</v>
      </c>
      <c r="U15" s="6" t="n">
        <v>20</v>
      </c>
      <c r="V15" s="6" t="n">
        <v>24</v>
      </c>
      <c r="W15" s="6" t="n">
        <v>30</v>
      </c>
      <c r="X15" s="6" t="n">
        <v>25</v>
      </c>
      <c r="Y15" s="6" t="n">
        <v>28</v>
      </c>
      <c r="Z15" s="6" t="n">
        <v>0</v>
      </c>
      <c r="AA15" s="6" t="n">
        <v>0</v>
      </c>
      <c r="AB15" s="6">
        <f>SUM(D15:AA15)</f>
        <v/>
      </c>
      <c r="AC15" s="3" t="inlineStr"/>
      <c r="AD15" s="7">
        <f>Y15*0.0081726819</f>
        <v/>
      </c>
      <c r="AE15" s="7">
        <f>Z15*0.0081726819</f>
        <v/>
      </c>
      <c r="AF15" s="7">
        <f>AA15*0.0081726819</f>
        <v/>
      </c>
      <c r="AG15" s="7">
        <f>D15*0.0081726819</f>
        <v/>
      </c>
      <c r="AH15" s="7">
        <f>E15*0.0081726819</f>
        <v/>
      </c>
      <c r="AI15" s="7">
        <f>F15*0.0081726819</f>
        <v/>
      </c>
      <c r="AJ15" s="7">
        <f>G15*0.0081726819</f>
        <v/>
      </c>
      <c r="AK15" s="7">
        <f>H15*0.0081726819</f>
        <v/>
      </c>
      <c r="AL15" s="7">
        <f>I15*0.0081726819</f>
        <v/>
      </c>
      <c r="AM15" s="7">
        <f>J15*0.0081726819</f>
        <v/>
      </c>
      <c r="AN15" s="7">
        <f>K15*0.0081726819</f>
        <v/>
      </c>
      <c r="AO15" s="7">
        <f>L15*0.0081726819</f>
        <v/>
      </c>
      <c r="AP15" s="7">
        <f>M15*0.0081726819</f>
        <v/>
      </c>
      <c r="AQ15" s="7">
        <f>N15*0.0081726819</f>
        <v/>
      </c>
      <c r="AR15" s="7">
        <f>O15*0.0081726819</f>
        <v/>
      </c>
      <c r="AS15" s="7">
        <f>P15*0.0081726819</f>
        <v/>
      </c>
      <c r="AT15" s="7">
        <f>Q15*0.0081726819</f>
        <v/>
      </c>
      <c r="AU15" s="7">
        <f>R15*0.0081726819</f>
        <v/>
      </c>
      <c r="AV15" s="7">
        <f>S15*0.0081726819</f>
        <v/>
      </c>
      <c r="AW15" s="7">
        <f>T15*0.0081726819</f>
        <v/>
      </c>
      <c r="AX15" s="7">
        <f>U15*0.0081726819</f>
        <v/>
      </c>
      <c r="AY15" s="7">
        <f>V15*0.0081726819</f>
        <v/>
      </c>
      <c r="AZ15" s="7">
        <f>W15*0.0081726819</f>
        <v/>
      </c>
      <c r="BA15" s="7">
        <f>X15*0.0081726819</f>
        <v/>
      </c>
      <c r="BB15" s="7">
        <f>SUM(AD15:BA15)</f>
        <v/>
      </c>
    </row>
    <row r="16">
      <c r="A16" t="inlineStr">
        <is>
          <t>AMD-EXPR</t>
        </is>
      </c>
      <c r="B16" t="inlineStr">
        <is>
          <t>DSC Manual</t>
        </is>
      </c>
      <c r="C16" s="5" t="n">
        <v>46094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4</v>
      </c>
      <c r="J16" s="6" t="n">
        <v>5</v>
      </c>
      <c r="K16" s="6" t="n">
        <v>12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10</v>
      </c>
      <c r="S16" s="6" t="n">
        <v>32</v>
      </c>
      <c r="T16" s="6" t="n">
        <v>11</v>
      </c>
      <c r="U16" s="6" t="n">
        <v>23</v>
      </c>
      <c r="V16" s="6" t="n">
        <v>25</v>
      </c>
      <c r="W16" s="6" t="n">
        <v>25</v>
      </c>
      <c r="X16" s="6" t="n">
        <v>40</v>
      </c>
      <c r="Y16" s="6" t="n">
        <v>46</v>
      </c>
      <c r="Z16" s="6" t="n">
        <v>0</v>
      </c>
      <c r="AA16" s="6" t="n">
        <v>0</v>
      </c>
      <c r="AB16" s="6">
        <f>SUM(D16:AA16)</f>
        <v/>
      </c>
      <c r="AC16" s="3" t="inlineStr"/>
      <c r="AD16" s="7">
        <f>Y16*0.0081726819</f>
        <v/>
      </c>
      <c r="AE16" s="7">
        <f>Z16*0.0081726819</f>
        <v/>
      </c>
      <c r="AF16" s="7">
        <f>AA16*0.0081726819</f>
        <v/>
      </c>
      <c r="AG16" s="7">
        <f>D16*0.0081726819</f>
        <v/>
      </c>
      <c r="AH16" s="7">
        <f>E16*0.0081726819</f>
        <v/>
      </c>
      <c r="AI16" s="7">
        <f>F16*0.0081726819</f>
        <v/>
      </c>
      <c r="AJ16" s="7">
        <f>G16*0.0081726819</f>
        <v/>
      </c>
      <c r="AK16" s="7">
        <f>H16*0.0081726819</f>
        <v/>
      </c>
      <c r="AL16" s="7">
        <f>I16*0.0081726819</f>
        <v/>
      </c>
      <c r="AM16" s="7">
        <f>J16*0.0081726819</f>
        <v/>
      </c>
      <c r="AN16" s="7">
        <f>K16*0.0081726819</f>
        <v/>
      </c>
      <c r="AO16" s="7">
        <f>L16*0.0081726819</f>
        <v/>
      </c>
      <c r="AP16" s="7">
        <f>M16*0.0081726819</f>
        <v/>
      </c>
      <c r="AQ16" s="7">
        <f>N16*0.0081726819</f>
        <v/>
      </c>
      <c r="AR16" s="7">
        <f>O16*0.0081726819</f>
        <v/>
      </c>
      <c r="AS16" s="7">
        <f>P16*0.0081726819</f>
        <v/>
      </c>
      <c r="AT16" s="7">
        <f>Q16*0.0081726819</f>
        <v/>
      </c>
      <c r="AU16" s="7">
        <f>R16*0.0081726819</f>
        <v/>
      </c>
      <c r="AV16" s="7">
        <f>S16*0.0081726819</f>
        <v/>
      </c>
      <c r="AW16" s="7">
        <f>T16*0.0081726819</f>
        <v/>
      </c>
      <c r="AX16" s="7">
        <f>U16*0.0081726819</f>
        <v/>
      </c>
      <c r="AY16" s="7">
        <f>V16*0.0081726819</f>
        <v/>
      </c>
      <c r="AZ16" s="7">
        <f>W16*0.0081726819</f>
        <v/>
      </c>
      <c r="BA16" s="7">
        <f>X16*0.0081726819</f>
        <v/>
      </c>
      <c r="BB16" s="7">
        <f>SUM(AD16:BA16)</f>
        <v/>
      </c>
    </row>
    <row r="17">
      <c r="A17" t="inlineStr">
        <is>
          <t>AMD-EXPR</t>
        </is>
      </c>
      <c r="B17" t="inlineStr">
        <is>
          <t>DSC Manual</t>
        </is>
      </c>
      <c r="C17" s="5" t="n">
        <v>46095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12</v>
      </c>
      <c r="K17" s="6" t="n">
        <v>5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20</v>
      </c>
      <c r="S17" s="6" t="n">
        <v>27</v>
      </c>
      <c r="T17" s="6" t="n">
        <v>10</v>
      </c>
      <c r="U17" s="6" t="n">
        <v>27</v>
      </c>
      <c r="V17" s="6" t="n">
        <v>22</v>
      </c>
      <c r="W17" s="6" t="n">
        <v>23</v>
      </c>
      <c r="X17" s="6" t="n">
        <v>23</v>
      </c>
      <c r="Y17" s="6" t="n">
        <v>0</v>
      </c>
      <c r="Z17" s="6" t="n">
        <v>0</v>
      </c>
      <c r="AA17" s="6" t="n">
        <v>0</v>
      </c>
      <c r="AB17" s="6">
        <f>SUM(D17:AA17)</f>
        <v/>
      </c>
      <c r="AC17" s="3" t="inlineStr"/>
      <c r="AD17" s="7">
        <f>Y17*0.0081726819</f>
        <v/>
      </c>
      <c r="AE17" s="7">
        <f>Z17*0.0081726819</f>
        <v/>
      </c>
      <c r="AF17" s="7">
        <f>AA17*0.0081726819</f>
        <v/>
      </c>
      <c r="AG17" s="7">
        <f>D17*0.0081726819</f>
        <v/>
      </c>
      <c r="AH17" s="7">
        <f>E17*0.0081726819</f>
        <v/>
      </c>
      <c r="AI17" s="7">
        <f>F17*0.0081726819</f>
        <v/>
      </c>
      <c r="AJ17" s="7">
        <f>G17*0.0081726819</f>
        <v/>
      </c>
      <c r="AK17" s="7">
        <f>H17*0.0081726819</f>
        <v/>
      </c>
      <c r="AL17" s="7">
        <f>I17*0.0081726819</f>
        <v/>
      </c>
      <c r="AM17" s="7">
        <f>J17*0.0081726819</f>
        <v/>
      </c>
      <c r="AN17" s="7">
        <f>K17*0.0081726819</f>
        <v/>
      </c>
      <c r="AO17" s="7">
        <f>L17*0.0081726819</f>
        <v/>
      </c>
      <c r="AP17" s="7">
        <f>M17*0.0081726819</f>
        <v/>
      </c>
      <c r="AQ17" s="7">
        <f>N17*0.0081726819</f>
        <v/>
      </c>
      <c r="AR17" s="7">
        <f>O17*0.0081726819</f>
        <v/>
      </c>
      <c r="AS17" s="7">
        <f>P17*0.0081726819</f>
        <v/>
      </c>
      <c r="AT17" s="7">
        <f>Q17*0.0081726819</f>
        <v/>
      </c>
      <c r="AU17" s="7">
        <f>R17*0.0081726819</f>
        <v/>
      </c>
      <c r="AV17" s="7">
        <f>S17*0.0081726819</f>
        <v/>
      </c>
      <c r="AW17" s="7">
        <f>T17*0.0081726819</f>
        <v/>
      </c>
      <c r="AX17" s="7">
        <f>U17*0.0081726819</f>
        <v/>
      </c>
      <c r="AY17" s="7">
        <f>V17*0.0081726819</f>
        <v/>
      </c>
      <c r="AZ17" s="7">
        <f>W17*0.0081726819</f>
        <v/>
      </c>
      <c r="BA17" s="7">
        <f>X17*0.0081726819</f>
        <v/>
      </c>
      <c r="BB17" s="7">
        <f>SUM(AD17:BA17)</f>
        <v/>
      </c>
    </row>
    <row r="18">
      <c r="A18" t="inlineStr">
        <is>
          <t>AMD-EXPR</t>
        </is>
      </c>
      <c r="B18" t="inlineStr">
        <is>
          <t>DSC Manual</t>
        </is>
      </c>
      <c r="C18" s="5" t="n">
        <v>46096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4</v>
      </c>
      <c r="I18" s="6" t="n">
        <v>18</v>
      </c>
      <c r="J18" s="6" t="n">
        <v>4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9</v>
      </c>
      <c r="S18" s="6" t="n">
        <v>29</v>
      </c>
      <c r="T18" s="6" t="n">
        <v>0</v>
      </c>
      <c r="U18" s="6" t="n">
        <v>27</v>
      </c>
      <c r="V18" s="6" t="n">
        <v>27</v>
      </c>
      <c r="W18" s="6" t="n">
        <v>22</v>
      </c>
      <c r="X18" s="6" t="n">
        <v>30</v>
      </c>
      <c r="Y18" s="6" t="n">
        <v>27</v>
      </c>
      <c r="Z18" s="6" t="n">
        <v>0</v>
      </c>
      <c r="AA18" s="6" t="n">
        <v>0</v>
      </c>
      <c r="AB18" s="6">
        <f>SUM(D18:AA18)</f>
        <v/>
      </c>
      <c r="AC18" s="3" t="inlineStr"/>
      <c r="AD18" s="7">
        <f>Y18*0.0081726819</f>
        <v/>
      </c>
      <c r="AE18" s="7">
        <f>Z18*0.0081726819</f>
        <v/>
      </c>
      <c r="AF18" s="7">
        <f>AA18*0.0081726819</f>
        <v/>
      </c>
      <c r="AG18" s="7">
        <f>D18*0.0081726819</f>
        <v/>
      </c>
      <c r="AH18" s="7">
        <f>E18*0.0081726819</f>
        <v/>
      </c>
      <c r="AI18" s="7">
        <f>F18*0.0081726819</f>
        <v/>
      </c>
      <c r="AJ18" s="7">
        <f>G18*0.0081726819</f>
        <v/>
      </c>
      <c r="AK18" s="7">
        <f>H18*0.0081726819</f>
        <v/>
      </c>
      <c r="AL18" s="7">
        <f>I18*0.0081726819</f>
        <v/>
      </c>
      <c r="AM18" s="7">
        <f>J18*0.0081726819</f>
        <v/>
      </c>
      <c r="AN18" s="7">
        <f>K18*0.0081726819</f>
        <v/>
      </c>
      <c r="AO18" s="7">
        <f>L18*0.0081726819</f>
        <v/>
      </c>
      <c r="AP18" s="7">
        <f>M18*0.0081726819</f>
        <v/>
      </c>
      <c r="AQ18" s="7">
        <f>N18*0.0081726819</f>
        <v/>
      </c>
      <c r="AR18" s="7">
        <f>O18*0.0081726819</f>
        <v/>
      </c>
      <c r="AS18" s="7">
        <f>P18*0.0081726819</f>
        <v/>
      </c>
      <c r="AT18" s="7">
        <f>Q18*0.0081726819</f>
        <v/>
      </c>
      <c r="AU18" s="7">
        <f>R18*0.0081726819</f>
        <v/>
      </c>
      <c r="AV18" s="7">
        <f>S18*0.0081726819</f>
        <v/>
      </c>
      <c r="AW18" s="7">
        <f>T18*0.0081726819</f>
        <v/>
      </c>
      <c r="AX18" s="7">
        <f>U18*0.0081726819</f>
        <v/>
      </c>
      <c r="AY18" s="7">
        <f>V18*0.0081726819</f>
        <v/>
      </c>
      <c r="AZ18" s="7">
        <f>W18*0.0081726819</f>
        <v/>
      </c>
      <c r="BA18" s="7">
        <f>X18*0.0081726819</f>
        <v/>
      </c>
      <c r="BB18" s="7">
        <f>SUM(AD18:BA18)</f>
        <v/>
      </c>
    </row>
    <row r="19">
      <c r="A19" t="inlineStr">
        <is>
          <t>AMD-EXPR</t>
        </is>
      </c>
      <c r="B19" t="inlineStr">
        <is>
          <t>DSC Manual</t>
        </is>
      </c>
      <c r="C19" s="5" t="n">
        <v>46097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11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6</v>
      </c>
      <c r="S19" s="6" t="n">
        <v>27</v>
      </c>
      <c r="T19" s="6" t="n">
        <v>0</v>
      </c>
      <c r="U19" s="6" t="n">
        <v>22</v>
      </c>
      <c r="V19" s="6" t="n">
        <v>9</v>
      </c>
      <c r="W19" s="6" t="n">
        <v>30</v>
      </c>
      <c r="X19" s="6" t="n">
        <v>26</v>
      </c>
      <c r="Y19" s="6" t="n">
        <v>27</v>
      </c>
      <c r="Z19" s="6" t="n">
        <v>0</v>
      </c>
      <c r="AA19" s="6" t="n">
        <v>0</v>
      </c>
      <c r="AB19" s="6">
        <f>SUM(D19:AA19)</f>
        <v/>
      </c>
      <c r="AC19" s="3" t="inlineStr"/>
      <c r="AD19" s="7">
        <f>Y19*0.0081726819</f>
        <v/>
      </c>
      <c r="AE19" s="7">
        <f>Z19*0.0081726819</f>
        <v/>
      </c>
      <c r="AF19" s="7">
        <f>AA19*0.0081726819</f>
        <v/>
      </c>
      <c r="AG19" s="7">
        <f>D19*0.0081726819</f>
        <v/>
      </c>
      <c r="AH19" s="7">
        <f>E19*0.0081726819</f>
        <v/>
      </c>
      <c r="AI19" s="7">
        <f>F19*0.0081726819</f>
        <v/>
      </c>
      <c r="AJ19" s="7">
        <f>G19*0.0081726819</f>
        <v/>
      </c>
      <c r="AK19" s="7">
        <f>H19*0.0081726819</f>
        <v/>
      </c>
      <c r="AL19" s="7">
        <f>I19*0.0081726819</f>
        <v/>
      </c>
      <c r="AM19" s="7">
        <f>J19*0.0081726819</f>
        <v/>
      </c>
      <c r="AN19" s="7">
        <f>K19*0.0081726819</f>
        <v/>
      </c>
      <c r="AO19" s="7">
        <f>L19*0.0081726819</f>
        <v/>
      </c>
      <c r="AP19" s="7">
        <f>M19*0.0081726819</f>
        <v/>
      </c>
      <c r="AQ19" s="7">
        <f>N19*0.0081726819</f>
        <v/>
      </c>
      <c r="AR19" s="7">
        <f>O19*0.0081726819</f>
        <v/>
      </c>
      <c r="AS19" s="7">
        <f>P19*0.0081726819</f>
        <v/>
      </c>
      <c r="AT19" s="7">
        <f>Q19*0.0081726819</f>
        <v/>
      </c>
      <c r="AU19" s="7">
        <f>R19*0.0081726819</f>
        <v/>
      </c>
      <c r="AV19" s="7">
        <f>S19*0.0081726819</f>
        <v/>
      </c>
      <c r="AW19" s="7">
        <f>T19*0.0081726819</f>
        <v/>
      </c>
      <c r="AX19" s="7">
        <f>U19*0.0081726819</f>
        <v/>
      </c>
      <c r="AY19" s="7">
        <f>V19*0.0081726819</f>
        <v/>
      </c>
      <c r="AZ19" s="7">
        <f>W19*0.0081726819</f>
        <v/>
      </c>
      <c r="BA19" s="7">
        <f>X19*0.0081726819</f>
        <v/>
      </c>
      <c r="BB19" s="7">
        <f>SUM(AD19:BA19)</f>
        <v/>
      </c>
    </row>
    <row r="20">
      <c r="A20" t="inlineStr">
        <is>
          <t>AMD-EXPR</t>
        </is>
      </c>
      <c r="B20" t="inlineStr">
        <is>
          <t>DSC Manual</t>
        </is>
      </c>
      <c r="C20" s="5" t="n">
        <v>46099</v>
      </c>
      <c r="D20" s="6" t="n">
        <v>0</v>
      </c>
      <c r="E20" s="6" t="n">
        <v>0</v>
      </c>
      <c r="F20" s="6" t="n">
        <v>2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4</v>
      </c>
      <c r="U20" s="6" t="n">
        <v>9</v>
      </c>
      <c r="V20" s="6" t="n">
        <v>5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>
        <f>SUM(D20:AA20)</f>
        <v/>
      </c>
      <c r="AC20" s="3" t="inlineStr"/>
      <c r="AD20" s="7">
        <f>Y20*0.0081726819</f>
        <v/>
      </c>
      <c r="AE20" s="7">
        <f>Z20*0.0081726819</f>
        <v/>
      </c>
      <c r="AF20" s="7">
        <f>AA20*0.0081726819</f>
        <v/>
      </c>
      <c r="AG20" s="7">
        <f>D20*0.0081726819</f>
        <v/>
      </c>
      <c r="AH20" s="7">
        <f>E20*0.0081726819</f>
        <v/>
      </c>
      <c r="AI20" s="7">
        <f>F20*0.0081726819</f>
        <v/>
      </c>
      <c r="AJ20" s="7">
        <f>G20*0.0081726819</f>
        <v/>
      </c>
      <c r="AK20" s="7">
        <f>H20*0.0081726819</f>
        <v/>
      </c>
      <c r="AL20" s="7">
        <f>I20*0.0081726819</f>
        <v/>
      </c>
      <c r="AM20" s="7">
        <f>J20*0.0081726819</f>
        <v/>
      </c>
      <c r="AN20" s="7">
        <f>K20*0.0081726819</f>
        <v/>
      </c>
      <c r="AO20" s="7">
        <f>L20*0.0081726819</f>
        <v/>
      </c>
      <c r="AP20" s="7">
        <f>M20*0.0081726819</f>
        <v/>
      </c>
      <c r="AQ20" s="7">
        <f>N20*0.0081726819</f>
        <v/>
      </c>
      <c r="AR20" s="7">
        <f>O20*0.0081726819</f>
        <v/>
      </c>
      <c r="AS20" s="7">
        <f>P20*0.0081726819</f>
        <v/>
      </c>
      <c r="AT20" s="7">
        <f>Q20*0.0081726819</f>
        <v/>
      </c>
      <c r="AU20" s="7">
        <f>R20*0.0081726819</f>
        <v/>
      </c>
      <c r="AV20" s="7">
        <f>S20*0.0081726819</f>
        <v/>
      </c>
      <c r="AW20" s="7">
        <f>T20*0.0081726819</f>
        <v/>
      </c>
      <c r="AX20" s="7">
        <f>U20*0.0081726819</f>
        <v/>
      </c>
      <c r="AY20" s="7">
        <f>V20*0.0081726819</f>
        <v/>
      </c>
      <c r="AZ20" s="7">
        <f>W20*0.0081726819</f>
        <v/>
      </c>
      <c r="BA20" s="7">
        <f>X20*0.0081726819</f>
        <v/>
      </c>
      <c r="BB20" s="7">
        <f>SUM(AD20:BA20)</f>
        <v/>
      </c>
    </row>
    <row r="21">
      <c r="A21" t="inlineStr">
        <is>
          <t>AMD-EXPR</t>
        </is>
      </c>
      <c r="B21" t="inlineStr">
        <is>
          <t>DSC Manual</t>
        </is>
      </c>
      <c r="C21" s="5" t="n">
        <v>46100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12</v>
      </c>
      <c r="Z21" s="6" t="n">
        <v>0</v>
      </c>
      <c r="AA21" s="6" t="n">
        <v>0</v>
      </c>
      <c r="AB21" s="6">
        <f>SUM(D21:AA21)</f>
        <v/>
      </c>
      <c r="AC21" s="3" t="inlineStr"/>
      <c r="AD21" s="7">
        <f>Y21*0.0081726819</f>
        <v/>
      </c>
      <c r="AE21" s="7">
        <f>Z21*0.0081726819</f>
        <v/>
      </c>
      <c r="AF21" s="7">
        <f>AA21*0.0081726819</f>
        <v/>
      </c>
      <c r="AG21" s="7">
        <f>D21*0.0081726819</f>
        <v/>
      </c>
      <c r="AH21" s="7">
        <f>E21*0.0081726819</f>
        <v/>
      </c>
      <c r="AI21" s="7">
        <f>F21*0.0081726819</f>
        <v/>
      </c>
      <c r="AJ21" s="7">
        <f>G21*0.0081726819</f>
        <v/>
      </c>
      <c r="AK21" s="7">
        <f>H21*0.0081726819</f>
        <v/>
      </c>
      <c r="AL21" s="7">
        <f>I21*0.0081726819</f>
        <v/>
      </c>
      <c r="AM21" s="7">
        <f>J21*0.0081726819</f>
        <v/>
      </c>
      <c r="AN21" s="7">
        <f>K21*0.0081726819</f>
        <v/>
      </c>
      <c r="AO21" s="7">
        <f>L21*0.0081726819</f>
        <v/>
      </c>
      <c r="AP21" s="7">
        <f>M21*0.0081726819</f>
        <v/>
      </c>
      <c r="AQ21" s="7">
        <f>N21*0.0081726819</f>
        <v/>
      </c>
      <c r="AR21" s="7">
        <f>O21*0.0081726819</f>
        <v/>
      </c>
      <c r="AS21" s="7">
        <f>P21*0.0081726819</f>
        <v/>
      </c>
      <c r="AT21" s="7">
        <f>Q21*0.0081726819</f>
        <v/>
      </c>
      <c r="AU21" s="7">
        <f>R21*0.0081726819</f>
        <v/>
      </c>
      <c r="AV21" s="7">
        <f>S21*0.0081726819</f>
        <v/>
      </c>
      <c r="AW21" s="7">
        <f>T21*0.0081726819</f>
        <v/>
      </c>
      <c r="AX21" s="7">
        <f>U21*0.0081726819</f>
        <v/>
      </c>
      <c r="AY21" s="7">
        <f>V21*0.0081726819</f>
        <v/>
      </c>
      <c r="AZ21" s="7">
        <f>W21*0.0081726819</f>
        <v/>
      </c>
      <c r="BA21" s="7">
        <f>X21*0.0081726819</f>
        <v/>
      </c>
      <c r="BB21" s="7">
        <f>SUM(AD21:BA21)</f>
        <v/>
      </c>
    </row>
    <row r="22">
      <c r="A22" t="inlineStr">
        <is>
          <t>AMD-EXPR</t>
        </is>
      </c>
      <c r="B22" t="inlineStr">
        <is>
          <t>DSC Manual</t>
        </is>
      </c>
      <c r="C22" s="5" t="n">
        <v>46102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6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12</v>
      </c>
      <c r="Z22" s="6" t="n">
        <v>0</v>
      </c>
      <c r="AA22" s="6" t="n">
        <v>0</v>
      </c>
      <c r="AB22" s="6">
        <f>SUM(D22:AA22)</f>
        <v/>
      </c>
      <c r="AC22" s="3" t="inlineStr"/>
      <c r="AD22" s="7">
        <f>Y22*0.0081726819</f>
        <v/>
      </c>
      <c r="AE22" s="7">
        <f>Z22*0.0081726819</f>
        <v/>
      </c>
      <c r="AF22" s="7">
        <f>AA22*0.0081726819</f>
        <v/>
      </c>
      <c r="AG22" s="7">
        <f>D22*0.0081726819</f>
        <v/>
      </c>
      <c r="AH22" s="7">
        <f>E22*0.0081726819</f>
        <v/>
      </c>
      <c r="AI22" s="7">
        <f>F22*0.0081726819</f>
        <v/>
      </c>
      <c r="AJ22" s="7">
        <f>G22*0.0081726819</f>
        <v/>
      </c>
      <c r="AK22" s="7">
        <f>H22*0.0081726819</f>
        <v/>
      </c>
      <c r="AL22" s="7">
        <f>I22*0.0081726819</f>
        <v/>
      </c>
      <c r="AM22" s="7">
        <f>J22*0.0081726819</f>
        <v/>
      </c>
      <c r="AN22" s="7">
        <f>K22*0.0081726819</f>
        <v/>
      </c>
      <c r="AO22" s="7">
        <f>L22*0.0081726819</f>
        <v/>
      </c>
      <c r="AP22" s="7">
        <f>M22*0.0081726819</f>
        <v/>
      </c>
      <c r="AQ22" s="7">
        <f>N22*0.0081726819</f>
        <v/>
      </c>
      <c r="AR22" s="7">
        <f>O22*0.0081726819</f>
        <v/>
      </c>
      <c r="AS22" s="7">
        <f>P22*0.0081726819</f>
        <v/>
      </c>
      <c r="AT22" s="7">
        <f>Q22*0.0081726819</f>
        <v/>
      </c>
      <c r="AU22" s="7">
        <f>R22*0.0081726819</f>
        <v/>
      </c>
      <c r="AV22" s="7">
        <f>S22*0.0081726819</f>
        <v/>
      </c>
      <c r="AW22" s="7">
        <f>T22*0.0081726819</f>
        <v/>
      </c>
      <c r="AX22" s="7">
        <f>U22*0.0081726819</f>
        <v/>
      </c>
      <c r="AY22" s="7">
        <f>V22*0.0081726819</f>
        <v/>
      </c>
      <c r="AZ22" s="7">
        <f>W22*0.0081726819</f>
        <v/>
      </c>
      <c r="BA22" s="7">
        <f>X22*0.0081726819</f>
        <v/>
      </c>
      <c r="BB22" s="7">
        <f>SUM(AD22:BA22)</f>
        <v/>
      </c>
    </row>
    <row r="23">
      <c r="A23" t="inlineStr">
        <is>
          <t>AMD-EXPR</t>
        </is>
      </c>
      <c r="B23" t="inlineStr">
        <is>
          <t>DSC Manual</t>
        </is>
      </c>
      <c r="C23" s="5" t="n">
        <v>46103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2</v>
      </c>
      <c r="K23" s="6" t="n">
        <v>2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8</v>
      </c>
      <c r="Z23" s="6" t="n">
        <v>0</v>
      </c>
      <c r="AA23" s="6" t="n">
        <v>0</v>
      </c>
      <c r="AB23" s="6">
        <f>SUM(D23:AA23)</f>
        <v/>
      </c>
      <c r="AC23" s="3" t="inlineStr"/>
      <c r="AD23" s="7">
        <f>Y23*0.0081726819</f>
        <v/>
      </c>
      <c r="AE23" s="7">
        <f>Z23*0.0081726819</f>
        <v/>
      </c>
      <c r="AF23" s="7">
        <f>AA23*0.0081726819</f>
        <v/>
      </c>
      <c r="AG23" s="7">
        <f>D23*0.0081726819</f>
        <v/>
      </c>
      <c r="AH23" s="7">
        <f>E23*0.0081726819</f>
        <v/>
      </c>
      <c r="AI23" s="7">
        <f>F23*0.0081726819</f>
        <v/>
      </c>
      <c r="AJ23" s="7">
        <f>G23*0.0081726819</f>
        <v/>
      </c>
      <c r="AK23" s="7">
        <f>H23*0.0081726819</f>
        <v/>
      </c>
      <c r="AL23" s="7">
        <f>I23*0.0081726819</f>
        <v/>
      </c>
      <c r="AM23" s="7">
        <f>J23*0.0081726819</f>
        <v/>
      </c>
      <c r="AN23" s="7">
        <f>K23*0.0081726819</f>
        <v/>
      </c>
      <c r="AO23" s="7">
        <f>L23*0.0081726819</f>
        <v/>
      </c>
      <c r="AP23" s="7">
        <f>M23*0.0081726819</f>
        <v/>
      </c>
      <c r="AQ23" s="7">
        <f>N23*0.0081726819</f>
        <v/>
      </c>
      <c r="AR23" s="7">
        <f>O23*0.0081726819</f>
        <v/>
      </c>
      <c r="AS23" s="7">
        <f>P23*0.0081726819</f>
        <v/>
      </c>
      <c r="AT23" s="7">
        <f>Q23*0.0081726819</f>
        <v/>
      </c>
      <c r="AU23" s="7">
        <f>R23*0.0081726819</f>
        <v/>
      </c>
      <c r="AV23" s="7">
        <f>S23*0.0081726819</f>
        <v/>
      </c>
      <c r="AW23" s="7">
        <f>T23*0.0081726819</f>
        <v/>
      </c>
      <c r="AX23" s="7">
        <f>U23*0.0081726819</f>
        <v/>
      </c>
      <c r="AY23" s="7">
        <f>V23*0.0081726819</f>
        <v/>
      </c>
      <c r="AZ23" s="7">
        <f>W23*0.0081726819</f>
        <v/>
      </c>
      <c r="BA23" s="7">
        <f>X23*0.0081726819</f>
        <v/>
      </c>
      <c r="BB23" s="7">
        <f>SUM(AD23:BA23)</f>
        <v/>
      </c>
    </row>
    <row r="24">
      <c r="A24" t="inlineStr">
        <is>
          <t>AMD-EXPR</t>
        </is>
      </c>
      <c r="B24" t="inlineStr">
        <is>
          <t>DSC Manual</t>
        </is>
      </c>
      <c r="C24" s="5" t="n">
        <v>46104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5</v>
      </c>
      <c r="Z24" s="6" t="n">
        <v>0</v>
      </c>
      <c r="AA24" s="6" t="n">
        <v>0</v>
      </c>
      <c r="AB24" s="6">
        <f>SUM(D24:AA24)</f>
        <v/>
      </c>
      <c r="AC24" s="3" t="inlineStr"/>
      <c r="AD24" s="7">
        <f>Y24*0.0081726819</f>
        <v/>
      </c>
      <c r="AE24" s="7">
        <f>Z24*0.0081726819</f>
        <v/>
      </c>
      <c r="AF24" s="7">
        <f>AA24*0.0081726819</f>
        <v/>
      </c>
      <c r="AG24" s="7">
        <f>D24*0.0081726819</f>
        <v/>
      </c>
      <c r="AH24" s="7">
        <f>E24*0.0081726819</f>
        <v/>
      </c>
      <c r="AI24" s="7">
        <f>F24*0.0081726819</f>
        <v/>
      </c>
      <c r="AJ24" s="7">
        <f>G24*0.0081726819</f>
        <v/>
      </c>
      <c r="AK24" s="7">
        <f>H24*0.0081726819</f>
        <v/>
      </c>
      <c r="AL24" s="7">
        <f>I24*0.0081726819</f>
        <v/>
      </c>
      <c r="AM24" s="7">
        <f>J24*0.0081726819</f>
        <v/>
      </c>
      <c r="AN24" s="7">
        <f>K24*0.0081726819</f>
        <v/>
      </c>
      <c r="AO24" s="7">
        <f>L24*0.0081726819</f>
        <v/>
      </c>
      <c r="AP24" s="7">
        <f>M24*0.0081726819</f>
        <v/>
      </c>
      <c r="AQ24" s="7">
        <f>N24*0.0081726819</f>
        <v/>
      </c>
      <c r="AR24" s="7">
        <f>O24*0.0081726819</f>
        <v/>
      </c>
      <c r="AS24" s="7">
        <f>P24*0.0081726819</f>
        <v/>
      </c>
      <c r="AT24" s="7">
        <f>Q24*0.0081726819</f>
        <v/>
      </c>
      <c r="AU24" s="7">
        <f>R24*0.0081726819</f>
        <v/>
      </c>
      <c r="AV24" s="7">
        <f>S24*0.0081726819</f>
        <v/>
      </c>
      <c r="AW24" s="7">
        <f>T24*0.0081726819</f>
        <v/>
      </c>
      <c r="AX24" s="7">
        <f>U24*0.0081726819</f>
        <v/>
      </c>
      <c r="AY24" s="7">
        <f>V24*0.0081726819</f>
        <v/>
      </c>
      <c r="AZ24" s="7">
        <f>W24*0.0081726819</f>
        <v/>
      </c>
      <c r="BA24" s="7">
        <f>X24*0.0081726819</f>
        <v/>
      </c>
      <c r="BB24" s="7">
        <f>SUM(AD24:BA24)</f>
        <v/>
      </c>
    </row>
    <row r="25">
      <c r="A25" t="inlineStr">
        <is>
          <t>AMD-EXPR</t>
        </is>
      </c>
      <c r="B25" t="inlineStr">
        <is>
          <t>DSC Manual</t>
        </is>
      </c>
      <c r="C25" s="5" t="n">
        <v>46105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2</v>
      </c>
      <c r="J25" s="6" t="n">
        <v>1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>
        <f>SUM(D25:AA25)</f>
        <v/>
      </c>
      <c r="AC25" s="3" t="inlineStr"/>
      <c r="AD25" s="7">
        <f>Y25*0.0081726819</f>
        <v/>
      </c>
      <c r="AE25" s="7">
        <f>Z25*0.0081726819</f>
        <v/>
      </c>
      <c r="AF25" s="7">
        <f>AA25*0.0081726819</f>
        <v/>
      </c>
      <c r="AG25" s="7">
        <f>D25*0.0081726819</f>
        <v/>
      </c>
      <c r="AH25" s="7">
        <f>E25*0.0081726819</f>
        <v/>
      </c>
      <c r="AI25" s="7">
        <f>F25*0.0081726819</f>
        <v/>
      </c>
      <c r="AJ25" s="7">
        <f>G25*0.0081726819</f>
        <v/>
      </c>
      <c r="AK25" s="7">
        <f>H25*0.0081726819</f>
        <v/>
      </c>
      <c r="AL25" s="7">
        <f>I25*0.0081726819</f>
        <v/>
      </c>
      <c r="AM25" s="7">
        <f>J25*0.0081726819</f>
        <v/>
      </c>
      <c r="AN25" s="7">
        <f>K25*0.0081726819</f>
        <v/>
      </c>
      <c r="AO25" s="7">
        <f>L25*0.0081726819</f>
        <v/>
      </c>
      <c r="AP25" s="7">
        <f>M25*0.0081726819</f>
        <v/>
      </c>
      <c r="AQ25" s="7">
        <f>N25*0.0081726819</f>
        <v/>
      </c>
      <c r="AR25" s="7">
        <f>O25*0.0081726819</f>
        <v/>
      </c>
      <c r="AS25" s="7">
        <f>P25*0.0081726819</f>
        <v/>
      </c>
      <c r="AT25" s="7">
        <f>Q25*0.0081726819</f>
        <v/>
      </c>
      <c r="AU25" s="7">
        <f>R25*0.0081726819</f>
        <v/>
      </c>
      <c r="AV25" s="7">
        <f>S25*0.0081726819</f>
        <v/>
      </c>
      <c r="AW25" s="7">
        <f>T25*0.0081726819</f>
        <v/>
      </c>
      <c r="AX25" s="7">
        <f>U25*0.0081726819</f>
        <v/>
      </c>
      <c r="AY25" s="7">
        <f>V25*0.0081726819</f>
        <v/>
      </c>
      <c r="AZ25" s="7">
        <f>W25*0.0081726819</f>
        <v/>
      </c>
      <c r="BA25" s="7">
        <f>X25*0.0081726819</f>
        <v/>
      </c>
      <c r="BB25" s="7">
        <f>SUM(AD25:BA25)</f>
        <v/>
      </c>
    </row>
    <row r="26">
      <c r="A26" t="inlineStr">
        <is>
          <t>AMD-FK-SSC</t>
        </is>
      </c>
      <c r="B26" t="inlineStr">
        <is>
          <t>Prime at Client side</t>
        </is>
      </c>
      <c r="C26" s="5" t="n">
        <v>46089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2</v>
      </c>
      <c r="P26" s="6" t="n">
        <v>6</v>
      </c>
      <c r="Q26" s="6" t="n">
        <v>15</v>
      </c>
      <c r="R26" s="6" t="n">
        <v>7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>
        <f>SUM(D26:AA26)</f>
        <v/>
      </c>
      <c r="AC26" s="3" t="inlineStr"/>
      <c r="AD26" s="7">
        <f>Y26*0.0081726819</f>
        <v/>
      </c>
      <c r="AE26" s="7">
        <f>Z26*0.0081726819</f>
        <v/>
      </c>
      <c r="AF26" s="7">
        <f>AA26*0.0081726819</f>
        <v/>
      </c>
      <c r="AG26" s="7">
        <f>D26*0.0081726819</f>
        <v/>
      </c>
      <c r="AH26" s="7">
        <f>E26*0.0081726819</f>
        <v/>
      </c>
      <c r="AI26" s="7">
        <f>F26*0.0081726819</f>
        <v/>
      </c>
      <c r="AJ26" s="7">
        <f>G26*0.0081726819</f>
        <v/>
      </c>
      <c r="AK26" s="7">
        <f>H26*0.0081726819</f>
        <v/>
      </c>
      <c r="AL26" s="7">
        <f>I26*0.0081726819</f>
        <v/>
      </c>
      <c r="AM26" s="7">
        <f>J26*0.0081726819</f>
        <v/>
      </c>
      <c r="AN26" s="7">
        <f>K26*0.0081726819</f>
        <v/>
      </c>
      <c r="AO26" s="7">
        <f>L26*0.0081726819</f>
        <v/>
      </c>
      <c r="AP26" s="7">
        <f>M26*0.0081726819</f>
        <v/>
      </c>
      <c r="AQ26" s="7">
        <f>N26*0.0081726819</f>
        <v/>
      </c>
      <c r="AR26" s="7">
        <f>O26*0.0081726819</f>
        <v/>
      </c>
      <c r="AS26" s="7">
        <f>P26*0.0081726819</f>
        <v/>
      </c>
      <c r="AT26" s="7">
        <f>Q26*0.0081726819</f>
        <v/>
      </c>
      <c r="AU26" s="7">
        <f>R26*0.0081726819</f>
        <v/>
      </c>
      <c r="AV26" s="7">
        <f>S26*0.0081726819</f>
        <v/>
      </c>
      <c r="AW26" s="7">
        <f>T26*0.0081726819</f>
        <v/>
      </c>
      <c r="AX26" s="7">
        <f>U26*0.0081726819</f>
        <v/>
      </c>
      <c r="AY26" s="7">
        <f>V26*0.0081726819</f>
        <v/>
      </c>
      <c r="AZ26" s="7">
        <f>W26*0.0081726819</f>
        <v/>
      </c>
      <c r="BA26" s="7">
        <f>X26*0.0081726819</f>
        <v/>
      </c>
      <c r="BB26" s="7">
        <f>SUM(AD26:BA26)</f>
        <v/>
      </c>
    </row>
    <row r="27">
      <c r="A27" t="inlineStr">
        <is>
          <t>AMD-FK-SSC</t>
        </is>
      </c>
      <c r="B27" t="inlineStr">
        <is>
          <t>Prime at Client side</t>
        </is>
      </c>
      <c r="C27" s="5" t="n">
        <v>46090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4</v>
      </c>
      <c r="P27" s="6" t="n">
        <v>8</v>
      </c>
      <c r="Q27" s="6" t="n">
        <v>14</v>
      </c>
      <c r="R27" s="6" t="n">
        <v>1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>
        <f>SUM(D27:AA27)</f>
        <v/>
      </c>
      <c r="AC27" s="3" t="inlineStr"/>
      <c r="AD27" s="7">
        <f>Y27*0.0081726819</f>
        <v/>
      </c>
      <c r="AE27" s="7">
        <f>Z27*0.0081726819</f>
        <v/>
      </c>
      <c r="AF27" s="7">
        <f>AA27*0.0081726819</f>
        <v/>
      </c>
      <c r="AG27" s="7">
        <f>D27*0.0081726819</f>
        <v/>
      </c>
      <c r="AH27" s="7">
        <f>E27*0.0081726819</f>
        <v/>
      </c>
      <c r="AI27" s="7">
        <f>F27*0.0081726819</f>
        <v/>
      </c>
      <c r="AJ27" s="7">
        <f>G27*0.0081726819</f>
        <v/>
      </c>
      <c r="AK27" s="7">
        <f>H27*0.0081726819</f>
        <v/>
      </c>
      <c r="AL27" s="7">
        <f>I27*0.0081726819</f>
        <v/>
      </c>
      <c r="AM27" s="7">
        <f>J27*0.0081726819</f>
        <v/>
      </c>
      <c r="AN27" s="7">
        <f>K27*0.0081726819</f>
        <v/>
      </c>
      <c r="AO27" s="7">
        <f>L27*0.0081726819</f>
        <v/>
      </c>
      <c r="AP27" s="7">
        <f>M27*0.0081726819</f>
        <v/>
      </c>
      <c r="AQ27" s="7">
        <f>N27*0.0081726819</f>
        <v/>
      </c>
      <c r="AR27" s="7">
        <f>O27*0.0081726819</f>
        <v/>
      </c>
      <c r="AS27" s="7">
        <f>P27*0.0081726819</f>
        <v/>
      </c>
      <c r="AT27" s="7">
        <f>Q27*0.0081726819</f>
        <v/>
      </c>
      <c r="AU27" s="7">
        <f>R27*0.0081726819</f>
        <v/>
      </c>
      <c r="AV27" s="7">
        <f>S27*0.0081726819</f>
        <v/>
      </c>
      <c r="AW27" s="7">
        <f>T27*0.0081726819</f>
        <v/>
      </c>
      <c r="AX27" s="7">
        <f>U27*0.0081726819</f>
        <v/>
      </c>
      <c r="AY27" s="7">
        <f>V27*0.0081726819</f>
        <v/>
      </c>
      <c r="AZ27" s="7">
        <f>W27*0.0081726819</f>
        <v/>
      </c>
      <c r="BA27" s="7">
        <f>X27*0.0081726819</f>
        <v/>
      </c>
      <c r="BB27" s="7">
        <f>SUM(AD27:BA27)</f>
        <v/>
      </c>
    </row>
    <row r="28">
      <c r="A28" t="inlineStr">
        <is>
          <t>AMD-FK-SSC</t>
        </is>
      </c>
      <c r="B28" t="inlineStr">
        <is>
          <t>Prime at Client side</t>
        </is>
      </c>
      <c r="C28" s="5" t="n">
        <v>46091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0</v>
      </c>
      <c r="O28" s="6" t="n">
        <v>10</v>
      </c>
      <c r="P28" s="6" t="n">
        <v>6</v>
      </c>
      <c r="Q28" s="6" t="n">
        <v>10</v>
      </c>
      <c r="R28" s="6" t="n">
        <v>8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>
        <f>SUM(D28:AA28)</f>
        <v/>
      </c>
      <c r="AC28" s="3" t="inlineStr"/>
      <c r="AD28" s="7">
        <f>Y28*0.0081726819</f>
        <v/>
      </c>
      <c r="AE28" s="7">
        <f>Z28*0.0081726819</f>
        <v/>
      </c>
      <c r="AF28" s="7">
        <f>AA28*0.0081726819</f>
        <v/>
      </c>
      <c r="AG28" s="7">
        <f>D28*0.0081726819</f>
        <v/>
      </c>
      <c r="AH28" s="7">
        <f>E28*0.0081726819</f>
        <v/>
      </c>
      <c r="AI28" s="7">
        <f>F28*0.0081726819</f>
        <v/>
      </c>
      <c r="AJ28" s="7">
        <f>G28*0.0081726819</f>
        <v/>
      </c>
      <c r="AK28" s="7">
        <f>H28*0.0081726819</f>
        <v/>
      </c>
      <c r="AL28" s="7">
        <f>I28*0.0081726819</f>
        <v/>
      </c>
      <c r="AM28" s="7">
        <f>J28*0.0081726819</f>
        <v/>
      </c>
      <c r="AN28" s="7">
        <f>K28*0.0081726819</f>
        <v/>
      </c>
      <c r="AO28" s="7">
        <f>L28*0.0081726819</f>
        <v/>
      </c>
      <c r="AP28" s="7">
        <f>M28*0.0081726819</f>
        <v/>
      </c>
      <c r="AQ28" s="7">
        <f>N28*0.0081726819</f>
        <v/>
      </c>
      <c r="AR28" s="7">
        <f>O28*0.0081726819</f>
        <v/>
      </c>
      <c r="AS28" s="7">
        <f>P28*0.0081726819</f>
        <v/>
      </c>
      <c r="AT28" s="7">
        <f>Q28*0.0081726819</f>
        <v/>
      </c>
      <c r="AU28" s="7">
        <f>R28*0.0081726819</f>
        <v/>
      </c>
      <c r="AV28" s="7">
        <f>S28*0.0081726819</f>
        <v/>
      </c>
      <c r="AW28" s="7">
        <f>T28*0.0081726819</f>
        <v/>
      </c>
      <c r="AX28" s="7">
        <f>U28*0.0081726819</f>
        <v/>
      </c>
      <c r="AY28" s="7">
        <f>V28*0.0081726819</f>
        <v/>
      </c>
      <c r="AZ28" s="7">
        <f>W28*0.0081726819</f>
        <v/>
      </c>
      <c r="BA28" s="7">
        <f>X28*0.0081726819</f>
        <v/>
      </c>
      <c r="BB28" s="7">
        <f>SUM(AD28:BA28)</f>
        <v/>
      </c>
    </row>
    <row r="29">
      <c r="A29" t="inlineStr">
        <is>
          <t>AMD-FK-SSC</t>
        </is>
      </c>
      <c r="B29" t="inlineStr">
        <is>
          <t>Prime at Client side</t>
        </is>
      </c>
      <c r="C29" s="5" t="n">
        <v>46092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9</v>
      </c>
      <c r="P29" s="6" t="n">
        <v>3</v>
      </c>
      <c r="Q29" s="6" t="n">
        <v>10</v>
      </c>
      <c r="R29" s="6" t="n">
        <v>6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>
        <f>SUM(D29:AA29)</f>
        <v/>
      </c>
      <c r="AC29" s="3" t="inlineStr"/>
      <c r="AD29" s="7">
        <f>Y29*0.0081726819</f>
        <v/>
      </c>
      <c r="AE29" s="7">
        <f>Z29*0.0081726819</f>
        <v/>
      </c>
      <c r="AF29" s="7">
        <f>AA29*0.0081726819</f>
        <v/>
      </c>
      <c r="AG29" s="7">
        <f>D29*0.0081726819</f>
        <v/>
      </c>
      <c r="AH29" s="7">
        <f>E29*0.0081726819</f>
        <v/>
      </c>
      <c r="AI29" s="7">
        <f>F29*0.0081726819</f>
        <v/>
      </c>
      <c r="AJ29" s="7">
        <f>G29*0.0081726819</f>
        <v/>
      </c>
      <c r="AK29" s="7">
        <f>H29*0.0081726819</f>
        <v/>
      </c>
      <c r="AL29" s="7">
        <f>I29*0.0081726819</f>
        <v/>
      </c>
      <c r="AM29" s="7">
        <f>J29*0.0081726819</f>
        <v/>
      </c>
      <c r="AN29" s="7">
        <f>K29*0.0081726819</f>
        <v/>
      </c>
      <c r="AO29" s="7">
        <f>L29*0.0081726819</f>
        <v/>
      </c>
      <c r="AP29" s="7">
        <f>M29*0.0081726819</f>
        <v/>
      </c>
      <c r="AQ29" s="7">
        <f>N29*0.0081726819</f>
        <v/>
      </c>
      <c r="AR29" s="7">
        <f>O29*0.0081726819</f>
        <v/>
      </c>
      <c r="AS29" s="7">
        <f>P29*0.0081726819</f>
        <v/>
      </c>
      <c r="AT29" s="7">
        <f>Q29*0.0081726819</f>
        <v/>
      </c>
      <c r="AU29" s="7">
        <f>R29*0.0081726819</f>
        <v/>
      </c>
      <c r="AV29" s="7">
        <f>S29*0.0081726819</f>
        <v/>
      </c>
      <c r="AW29" s="7">
        <f>T29*0.0081726819</f>
        <v/>
      </c>
      <c r="AX29" s="7">
        <f>U29*0.0081726819</f>
        <v/>
      </c>
      <c r="AY29" s="7">
        <f>V29*0.0081726819</f>
        <v/>
      </c>
      <c r="AZ29" s="7">
        <f>W29*0.0081726819</f>
        <v/>
      </c>
      <c r="BA29" s="7">
        <f>X29*0.0081726819</f>
        <v/>
      </c>
      <c r="BB29" s="7">
        <f>SUM(AD29:BA29)</f>
        <v/>
      </c>
    </row>
    <row r="30">
      <c r="A30" t="inlineStr">
        <is>
          <t>AMD-FK-SSC</t>
        </is>
      </c>
      <c r="B30" t="inlineStr">
        <is>
          <t>Prime at Client side</t>
        </is>
      </c>
      <c r="C30" s="5" t="n">
        <v>46093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11</v>
      </c>
      <c r="Q30" s="6" t="n">
        <v>8</v>
      </c>
      <c r="R30" s="6" t="n">
        <v>8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>
        <f>SUM(D30:AA30)</f>
        <v/>
      </c>
      <c r="AC30" s="3" t="inlineStr"/>
      <c r="AD30" s="7">
        <f>Y30*0.0081726819</f>
        <v/>
      </c>
      <c r="AE30" s="7">
        <f>Z30*0.0081726819</f>
        <v/>
      </c>
      <c r="AF30" s="7">
        <f>AA30*0.0081726819</f>
        <v/>
      </c>
      <c r="AG30" s="7">
        <f>D30*0.0081726819</f>
        <v/>
      </c>
      <c r="AH30" s="7">
        <f>E30*0.0081726819</f>
        <v/>
      </c>
      <c r="AI30" s="7">
        <f>F30*0.0081726819</f>
        <v/>
      </c>
      <c r="AJ30" s="7">
        <f>G30*0.0081726819</f>
        <v/>
      </c>
      <c r="AK30" s="7">
        <f>H30*0.0081726819</f>
        <v/>
      </c>
      <c r="AL30" s="7">
        <f>I30*0.0081726819</f>
        <v/>
      </c>
      <c r="AM30" s="7">
        <f>J30*0.0081726819</f>
        <v/>
      </c>
      <c r="AN30" s="7">
        <f>K30*0.0081726819</f>
        <v/>
      </c>
      <c r="AO30" s="7">
        <f>L30*0.0081726819</f>
        <v/>
      </c>
      <c r="AP30" s="7">
        <f>M30*0.0081726819</f>
        <v/>
      </c>
      <c r="AQ30" s="7">
        <f>N30*0.0081726819</f>
        <v/>
      </c>
      <c r="AR30" s="7">
        <f>O30*0.0081726819</f>
        <v/>
      </c>
      <c r="AS30" s="7">
        <f>P30*0.0081726819</f>
        <v/>
      </c>
      <c r="AT30" s="7">
        <f>Q30*0.0081726819</f>
        <v/>
      </c>
      <c r="AU30" s="7">
        <f>R30*0.0081726819</f>
        <v/>
      </c>
      <c r="AV30" s="7">
        <f>S30*0.0081726819</f>
        <v/>
      </c>
      <c r="AW30" s="7">
        <f>T30*0.0081726819</f>
        <v/>
      </c>
      <c r="AX30" s="7">
        <f>U30*0.0081726819</f>
        <v/>
      </c>
      <c r="AY30" s="7">
        <f>V30*0.0081726819</f>
        <v/>
      </c>
      <c r="AZ30" s="7">
        <f>W30*0.0081726819</f>
        <v/>
      </c>
      <c r="BA30" s="7">
        <f>X30*0.0081726819</f>
        <v/>
      </c>
      <c r="BB30" s="7">
        <f>SUM(AD30:BA30)</f>
        <v/>
      </c>
    </row>
    <row r="31">
      <c r="A31" t="inlineStr">
        <is>
          <t>AMD-FK-SSC</t>
        </is>
      </c>
      <c r="B31" t="inlineStr">
        <is>
          <t>Prime at Client side</t>
        </is>
      </c>
      <c r="C31" s="5" t="n">
        <v>46094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4</v>
      </c>
      <c r="P31" s="6" t="n">
        <v>3</v>
      </c>
      <c r="Q31" s="6" t="n">
        <v>9</v>
      </c>
      <c r="R31" s="6" t="n">
        <v>1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>
        <f>SUM(D31:AA31)</f>
        <v/>
      </c>
      <c r="AC31" s="3" t="inlineStr"/>
      <c r="AD31" s="7">
        <f>Y31*0.0081726819</f>
        <v/>
      </c>
      <c r="AE31" s="7">
        <f>Z31*0.0081726819</f>
        <v/>
      </c>
      <c r="AF31" s="7">
        <f>AA31*0.0081726819</f>
        <v/>
      </c>
      <c r="AG31" s="7">
        <f>D31*0.0081726819</f>
        <v/>
      </c>
      <c r="AH31" s="7">
        <f>E31*0.0081726819</f>
        <v/>
      </c>
      <c r="AI31" s="7">
        <f>F31*0.0081726819</f>
        <v/>
      </c>
      <c r="AJ31" s="7">
        <f>G31*0.0081726819</f>
        <v/>
      </c>
      <c r="AK31" s="7">
        <f>H31*0.0081726819</f>
        <v/>
      </c>
      <c r="AL31" s="7">
        <f>I31*0.0081726819</f>
        <v/>
      </c>
      <c r="AM31" s="7">
        <f>J31*0.0081726819</f>
        <v/>
      </c>
      <c r="AN31" s="7">
        <f>K31*0.0081726819</f>
        <v/>
      </c>
      <c r="AO31" s="7">
        <f>L31*0.0081726819</f>
        <v/>
      </c>
      <c r="AP31" s="7">
        <f>M31*0.0081726819</f>
        <v/>
      </c>
      <c r="AQ31" s="7">
        <f>N31*0.0081726819</f>
        <v/>
      </c>
      <c r="AR31" s="7">
        <f>O31*0.0081726819</f>
        <v/>
      </c>
      <c r="AS31" s="7">
        <f>P31*0.0081726819</f>
        <v/>
      </c>
      <c r="AT31" s="7">
        <f>Q31*0.0081726819</f>
        <v/>
      </c>
      <c r="AU31" s="7">
        <f>R31*0.0081726819</f>
        <v/>
      </c>
      <c r="AV31" s="7">
        <f>S31*0.0081726819</f>
        <v/>
      </c>
      <c r="AW31" s="7">
        <f>T31*0.0081726819</f>
        <v/>
      </c>
      <c r="AX31" s="7">
        <f>U31*0.0081726819</f>
        <v/>
      </c>
      <c r="AY31" s="7">
        <f>V31*0.0081726819</f>
        <v/>
      </c>
      <c r="AZ31" s="7">
        <f>W31*0.0081726819</f>
        <v/>
      </c>
      <c r="BA31" s="7">
        <f>X31*0.0081726819</f>
        <v/>
      </c>
      <c r="BB31" s="7">
        <f>SUM(AD31:BA31)</f>
        <v/>
      </c>
    </row>
    <row r="32">
      <c r="A32" t="inlineStr">
        <is>
          <t>AMD-FK-SSC</t>
        </is>
      </c>
      <c r="B32" t="inlineStr">
        <is>
          <t>Prime at Client side</t>
        </is>
      </c>
      <c r="C32" s="5" t="n">
        <v>46095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2</v>
      </c>
      <c r="P32" s="6" t="n">
        <v>7</v>
      </c>
      <c r="Q32" s="6" t="n">
        <v>12</v>
      </c>
      <c r="R32" s="6" t="n">
        <v>5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>
        <f>SUM(D32:AA32)</f>
        <v/>
      </c>
      <c r="AC32" s="3" t="inlineStr"/>
      <c r="AD32" s="7">
        <f>Y32*0.0081726819</f>
        <v/>
      </c>
      <c r="AE32" s="7">
        <f>Z32*0.0081726819</f>
        <v/>
      </c>
      <c r="AF32" s="7">
        <f>AA32*0.0081726819</f>
        <v/>
      </c>
      <c r="AG32" s="7">
        <f>D32*0.0081726819</f>
        <v/>
      </c>
      <c r="AH32" s="7">
        <f>E32*0.0081726819</f>
        <v/>
      </c>
      <c r="AI32" s="7">
        <f>F32*0.0081726819</f>
        <v/>
      </c>
      <c r="AJ32" s="7">
        <f>G32*0.0081726819</f>
        <v/>
      </c>
      <c r="AK32" s="7">
        <f>H32*0.0081726819</f>
        <v/>
      </c>
      <c r="AL32" s="7">
        <f>I32*0.0081726819</f>
        <v/>
      </c>
      <c r="AM32" s="7">
        <f>J32*0.0081726819</f>
        <v/>
      </c>
      <c r="AN32" s="7">
        <f>K32*0.0081726819</f>
        <v/>
      </c>
      <c r="AO32" s="7">
        <f>L32*0.0081726819</f>
        <v/>
      </c>
      <c r="AP32" s="7">
        <f>M32*0.0081726819</f>
        <v/>
      </c>
      <c r="AQ32" s="7">
        <f>N32*0.0081726819</f>
        <v/>
      </c>
      <c r="AR32" s="7">
        <f>O32*0.0081726819</f>
        <v/>
      </c>
      <c r="AS32" s="7">
        <f>P32*0.0081726819</f>
        <v/>
      </c>
      <c r="AT32" s="7">
        <f>Q32*0.0081726819</f>
        <v/>
      </c>
      <c r="AU32" s="7">
        <f>R32*0.0081726819</f>
        <v/>
      </c>
      <c r="AV32" s="7">
        <f>S32*0.0081726819</f>
        <v/>
      </c>
      <c r="AW32" s="7">
        <f>T32*0.0081726819</f>
        <v/>
      </c>
      <c r="AX32" s="7">
        <f>U32*0.0081726819</f>
        <v/>
      </c>
      <c r="AY32" s="7">
        <f>V32*0.0081726819</f>
        <v/>
      </c>
      <c r="AZ32" s="7">
        <f>W32*0.0081726819</f>
        <v/>
      </c>
      <c r="BA32" s="7">
        <f>X32*0.0081726819</f>
        <v/>
      </c>
      <c r="BB32" s="7">
        <f>SUM(AD32:BA32)</f>
        <v/>
      </c>
    </row>
    <row r="33">
      <c r="A33" t="inlineStr">
        <is>
          <t>AMD-FK-SSC</t>
        </is>
      </c>
      <c r="B33" t="inlineStr">
        <is>
          <t>Prime at Client side</t>
        </is>
      </c>
      <c r="C33" s="5" t="n">
        <v>46096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3</v>
      </c>
      <c r="P33" s="6" t="n">
        <v>3</v>
      </c>
      <c r="Q33" s="6" t="n">
        <v>11</v>
      </c>
      <c r="R33" s="6" t="n">
        <v>5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6">
        <f>SUM(D33:AA33)</f>
        <v/>
      </c>
      <c r="AC33" s="3" t="inlineStr"/>
      <c r="AD33" s="7">
        <f>Y33*0.0081726819</f>
        <v/>
      </c>
      <c r="AE33" s="7">
        <f>Z33*0.0081726819</f>
        <v/>
      </c>
      <c r="AF33" s="7">
        <f>AA33*0.0081726819</f>
        <v/>
      </c>
      <c r="AG33" s="7">
        <f>D33*0.0081726819</f>
        <v/>
      </c>
      <c r="AH33" s="7">
        <f>E33*0.0081726819</f>
        <v/>
      </c>
      <c r="AI33" s="7">
        <f>F33*0.0081726819</f>
        <v/>
      </c>
      <c r="AJ33" s="7">
        <f>G33*0.0081726819</f>
        <v/>
      </c>
      <c r="AK33" s="7">
        <f>H33*0.0081726819</f>
        <v/>
      </c>
      <c r="AL33" s="7">
        <f>I33*0.0081726819</f>
        <v/>
      </c>
      <c r="AM33" s="7">
        <f>J33*0.0081726819</f>
        <v/>
      </c>
      <c r="AN33" s="7">
        <f>K33*0.0081726819</f>
        <v/>
      </c>
      <c r="AO33" s="7">
        <f>L33*0.0081726819</f>
        <v/>
      </c>
      <c r="AP33" s="7">
        <f>M33*0.0081726819</f>
        <v/>
      </c>
      <c r="AQ33" s="7">
        <f>N33*0.0081726819</f>
        <v/>
      </c>
      <c r="AR33" s="7">
        <f>O33*0.0081726819</f>
        <v/>
      </c>
      <c r="AS33" s="7">
        <f>P33*0.0081726819</f>
        <v/>
      </c>
      <c r="AT33" s="7">
        <f>Q33*0.0081726819</f>
        <v/>
      </c>
      <c r="AU33" s="7">
        <f>R33*0.0081726819</f>
        <v/>
      </c>
      <c r="AV33" s="7">
        <f>S33*0.0081726819</f>
        <v/>
      </c>
      <c r="AW33" s="7">
        <f>T33*0.0081726819</f>
        <v/>
      </c>
      <c r="AX33" s="7">
        <f>U33*0.0081726819</f>
        <v/>
      </c>
      <c r="AY33" s="7">
        <f>V33*0.0081726819</f>
        <v/>
      </c>
      <c r="AZ33" s="7">
        <f>W33*0.0081726819</f>
        <v/>
      </c>
      <c r="BA33" s="7">
        <f>X33*0.0081726819</f>
        <v/>
      </c>
      <c r="BB33" s="7">
        <f>SUM(AD33:BA33)</f>
        <v/>
      </c>
    </row>
    <row r="34">
      <c r="A34" t="inlineStr">
        <is>
          <t>AMD-FK-SSC</t>
        </is>
      </c>
      <c r="B34" t="inlineStr">
        <is>
          <t>Prime at Client side</t>
        </is>
      </c>
      <c r="C34" s="5" t="n">
        <v>46097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7</v>
      </c>
      <c r="P34" s="6" t="n">
        <v>3</v>
      </c>
      <c r="Q34" s="6" t="n">
        <v>9</v>
      </c>
      <c r="R34" s="6" t="n">
        <v>2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>
        <f>SUM(D34:AA34)</f>
        <v/>
      </c>
      <c r="AC34" s="3" t="inlineStr"/>
      <c r="AD34" s="7">
        <f>Y34*0.0081726819</f>
        <v/>
      </c>
      <c r="AE34" s="7">
        <f>Z34*0.0081726819</f>
        <v/>
      </c>
      <c r="AF34" s="7">
        <f>AA34*0.0081726819</f>
        <v/>
      </c>
      <c r="AG34" s="7">
        <f>D34*0.0081726819</f>
        <v/>
      </c>
      <c r="AH34" s="7">
        <f>E34*0.0081726819</f>
        <v/>
      </c>
      <c r="AI34" s="7">
        <f>F34*0.0081726819</f>
        <v/>
      </c>
      <c r="AJ34" s="7">
        <f>G34*0.0081726819</f>
        <v/>
      </c>
      <c r="AK34" s="7">
        <f>H34*0.0081726819</f>
        <v/>
      </c>
      <c r="AL34" s="7">
        <f>I34*0.0081726819</f>
        <v/>
      </c>
      <c r="AM34" s="7">
        <f>J34*0.0081726819</f>
        <v/>
      </c>
      <c r="AN34" s="7">
        <f>K34*0.0081726819</f>
        <v/>
      </c>
      <c r="AO34" s="7">
        <f>L34*0.0081726819</f>
        <v/>
      </c>
      <c r="AP34" s="7">
        <f>M34*0.0081726819</f>
        <v/>
      </c>
      <c r="AQ34" s="7">
        <f>N34*0.0081726819</f>
        <v/>
      </c>
      <c r="AR34" s="7">
        <f>O34*0.0081726819</f>
        <v/>
      </c>
      <c r="AS34" s="7">
        <f>P34*0.0081726819</f>
        <v/>
      </c>
      <c r="AT34" s="7">
        <f>Q34*0.0081726819</f>
        <v/>
      </c>
      <c r="AU34" s="7">
        <f>R34*0.0081726819</f>
        <v/>
      </c>
      <c r="AV34" s="7">
        <f>S34*0.0081726819</f>
        <v/>
      </c>
      <c r="AW34" s="7">
        <f>T34*0.0081726819</f>
        <v/>
      </c>
      <c r="AX34" s="7">
        <f>U34*0.0081726819</f>
        <v/>
      </c>
      <c r="AY34" s="7">
        <f>V34*0.0081726819</f>
        <v/>
      </c>
      <c r="AZ34" s="7">
        <f>W34*0.0081726819</f>
        <v/>
      </c>
      <c r="BA34" s="7">
        <f>X34*0.0081726819</f>
        <v/>
      </c>
      <c r="BB34" s="7">
        <f>SUM(AD34:BA34)</f>
        <v/>
      </c>
    </row>
    <row r="35">
      <c r="A35" t="inlineStr">
        <is>
          <t>AMD-FK-SSC</t>
        </is>
      </c>
      <c r="B35" t="inlineStr">
        <is>
          <t>Prime at Client side</t>
        </is>
      </c>
      <c r="C35" s="5" t="n">
        <v>46098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3</v>
      </c>
      <c r="Q35" s="6" t="n">
        <v>7</v>
      </c>
      <c r="R35" s="6" t="n">
        <v>8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>
        <f>SUM(D35:AA35)</f>
        <v/>
      </c>
      <c r="AC35" s="3" t="inlineStr"/>
      <c r="AD35" s="7">
        <f>Y35*0.0081726819</f>
        <v/>
      </c>
      <c r="AE35" s="7">
        <f>Z35*0.0081726819</f>
        <v/>
      </c>
      <c r="AF35" s="7">
        <f>AA35*0.0081726819</f>
        <v/>
      </c>
      <c r="AG35" s="7">
        <f>D35*0.0081726819</f>
        <v/>
      </c>
      <c r="AH35" s="7">
        <f>E35*0.0081726819</f>
        <v/>
      </c>
      <c r="AI35" s="7">
        <f>F35*0.0081726819</f>
        <v/>
      </c>
      <c r="AJ35" s="7">
        <f>G35*0.0081726819</f>
        <v/>
      </c>
      <c r="AK35" s="7">
        <f>H35*0.0081726819</f>
        <v/>
      </c>
      <c r="AL35" s="7">
        <f>I35*0.0081726819</f>
        <v/>
      </c>
      <c r="AM35" s="7">
        <f>J35*0.0081726819</f>
        <v/>
      </c>
      <c r="AN35" s="7">
        <f>K35*0.0081726819</f>
        <v/>
      </c>
      <c r="AO35" s="7">
        <f>L35*0.0081726819</f>
        <v/>
      </c>
      <c r="AP35" s="7">
        <f>M35*0.0081726819</f>
        <v/>
      </c>
      <c r="AQ35" s="7">
        <f>N35*0.0081726819</f>
        <v/>
      </c>
      <c r="AR35" s="7">
        <f>O35*0.0081726819</f>
        <v/>
      </c>
      <c r="AS35" s="7">
        <f>P35*0.0081726819</f>
        <v/>
      </c>
      <c r="AT35" s="7">
        <f>Q35*0.0081726819</f>
        <v/>
      </c>
      <c r="AU35" s="7">
        <f>R35*0.0081726819</f>
        <v/>
      </c>
      <c r="AV35" s="7">
        <f>S35*0.0081726819</f>
        <v/>
      </c>
      <c r="AW35" s="7">
        <f>T35*0.0081726819</f>
        <v/>
      </c>
      <c r="AX35" s="7">
        <f>U35*0.0081726819</f>
        <v/>
      </c>
      <c r="AY35" s="7">
        <f>V35*0.0081726819</f>
        <v/>
      </c>
      <c r="AZ35" s="7">
        <f>W35*0.0081726819</f>
        <v/>
      </c>
      <c r="BA35" s="7">
        <f>X35*0.0081726819</f>
        <v/>
      </c>
      <c r="BB35" s="7">
        <f>SUM(AD35:BA35)</f>
        <v/>
      </c>
    </row>
    <row r="36">
      <c r="A36" t="inlineStr">
        <is>
          <t>AMD-FK-SSC</t>
        </is>
      </c>
      <c r="B36" t="inlineStr">
        <is>
          <t>Prime at Client side</t>
        </is>
      </c>
      <c r="C36" s="5" t="n">
        <v>46099</v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3</v>
      </c>
      <c r="Q36" s="6" t="n">
        <v>11</v>
      </c>
      <c r="R36" s="6" t="n">
        <v>1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>
        <f>SUM(D36:AA36)</f>
        <v/>
      </c>
      <c r="AC36" s="3" t="inlineStr"/>
      <c r="AD36" s="7">
        <f>Y36*0.0081726819</f>
        <v/>
      </c>
      <c r="AE36" s="7">
        <f>Z36*0.0081726819</f>
        <v/>
      </c>
      <c r="AF36" s="7">
        <f>AA36*0.0081726819</f>
        <v/>
      </c>
      <c r="AG36" s="7">
        <f>D36*0.0081726819</f>
        <v/>
      </c>
      <c r="AH36" s="7">
        <f>E36*0.0081726819</f>
        <v/>
      </c>
      <c r="AI36" s="7">
        <f>F36*0.0081726819</f>
        <v/>
      </c>
      <c r="AJ36" s="7">
        <f>G36*0.0081726819</f>
        <v/>
      </c>
      <c r="AK36" s="7">
        <f>H36*0.0081726819</f>
        <v/>
      </c>
      <c r="AL36" s="7">
        <f>I36*0.0081726819</f>
        <v/>
      </c>
      <c r="AM36" s="7">
        <f>J36*0.0081726819</f>
        <v/>
      </c>
      <c r="AN36" s="7">
        <f>K36*0.0081726819</f>
        <v/>
      </c>
      <c r="AO36" s="7">
        <f>L36*0.0081726819</f>
        <v/>
      </c>
      <c r="AP36" s="7">
        <f>M36*0.0081726819</f>
        <v/>
      </c>
      <c r="AQ36" s="7">
        <f>N36*0.0081726819</f>
        <v/>
      </c>
      <c r="AR36" s="7">
        <f>O36*0.0081726819</f>
        <v/>
      </c>
      <c r="AS36" s="7">
        <f>P36*0.0081726819</f>
        <v/>
      </c>
      <c r="AT36" s="7">
        <f>Q36*0.0081726819</f>
        <v/>
      </c>
      <c r="AU36" s="7">
        <f>R36*0.0081726819</f>
        <v/>
      </c>
      <c r="AV36" s="7">
        <f>S36*0.0081726819</f>
        <v/>
      </c>
      <c r="AW36" s="7">
        <f>T36*0.0081726819</f>
        <v/>
      </c>
      <c r="AX36" s="7">
        <f>U36*0.0081726819</f>
        <v/>
      </c>
      <c r="AY36" s="7">
        <f>V36*0.0081726819</f>
        <v/>
      </c>
      <c r="AZ36" s="7">
        <f>W36*0.0081726819</f>
        <v/>
      </c>
      <c r="BA36" s="7">
        <f>X36*0.0081726819</f>
        <v/>
      </c>
      <c r="BB36" s="7">
        <f>SUM(AD36:BA36)</f>
        <v/>
      </c>
    </row>
    <row r="37">
      <c r="A37" t="inlineStr">
        <is>
          <t>AMD-FK-SSC</t>
        </is>
      </c>
      <c r="B37" t="inlineStr">
        <is>
          <t>Prime at Client side</t>
        </is>
      </c>
      <c r="C37" s="5" t="n">
        <v>46100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2</v>
      </c>
      <c r="Q37" s="6" t="n">
        <v>8</v>
      </c>
      <c r="R37" s="6" t="n">
        <v>1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>
        <f>SUM(D37:AA37)</f>
        <v/>
      </c>
      <c r="AC37" s="3" t="inlineStr"/>
      <c r="AD37" s="7">
        <f>Y37*0.0081726819</f>
        <v/>
      </c>
      <c r="AE37" s="7">
        <f>Z37*0.0081726819</f>
        <v/>
      </c>
      <c r="AF37" s="7">
        <f>AA37*0.0081726819</f>
        <v/>
      </c>
      <c r="AG37" s="7">
        <f>D37*0.0081726819</f>
        <v/>
      </c>
      <c r="AH37" s="7">
        <f>E37*0.0081726819</f>
        <v/>
      </c>
      <c r="AI37" s="7">
        <f>F37*0.0081726819</f>
        <v/>
      </c>
      <c r="AJ37" s="7">
        <f>G37*0.0081726819</f>
        <v/>
      </c>
      <c r="AK37" s="7">
        <f>H37*0.0081726819</f>
        <v/>
      </c>
      <c r="AL37" s="7">
        <f>I37*0.0081726819</f>
        <v/>
      </c>
      <c r="AM37" s="7">
        <f>J37*0.0081726819</f>
        <v/>
      </c>
      <c r="AN37" s="7">
        <f>K37*0.0081726819</f>
        <v/>
      </c>
      <c r="AO37" s="7">
        <f>L37*0.0081726819</f>
        <v/>
      </c>
      <c r="AP37" s="7">
        <f>M37*0.0081726819</f>
        <v/>
      </c>
      <c r="AQ37" s="7">
        <f>N37*0.0081726819</f>
        <v/>
      </c>
      <c r="AR37" s="7">
        <f>O37*0.0081726819</f>
        <v/>
      </c>
      <c r="AS37" s="7">
        <f>P37*0.0081726819</f>
        <v/>
      </c>
      <c r="AT37" s="7">
        <f>Q37*0.0081726819</f>
        <v/>
      </c>
      <c r="AU37" s="7">
        <f>R37*0.0081726819</f>
        <v/>
      </c>
      <c r="AV37" s="7">
        <f>S37*0.0081726819</f>
        <v/>
      </c>
      <c r="AW37" s="7">
        <f>T37*0.0081726819</f>
        <v/>
      </c>
      <c r="AX37" s="7">
        <f>U37*0.0081726819</f>
        <v/>
      </c>
      <c r="AY37" s="7">
        <f>V37*0.0081726819</f>
        <v/>
      </c>
      <c r="AZ37" s="7">
        <f>W37*0.0081726819</f>
        <v/>
      </c>
      <c r="BA37" s="7">
        <f>X37*0.0081726819</f>
        <v/>
      </c>
      <c r="BB37" s="7">
        <f>SUM(AD37:BA37)</f>
        <v/>
      </c>
    </row>
    <row r="38">
      <c r="A38" t="inlineStr">
        <is>
          <t>AMD-FK-SSC</t>
        </is>
      </c>
      <c r="B38" t="inlineStr">
        <is>
          <t>Prime at Client side</t>
        </is>
      </c>
      <c r="C38" s="5" t="n">
        <v>46101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7</v>
      </c>
      <c r="Q38" s="6" t="n">
        <v>3</v>
      </c>
      <c r="R38" s="6" t="n">
        <v>2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>
        <f>SUM(D38:AA38)</f>
        <v/>
      </c>
      <c r="AC38" s="3" t="inlineStr"/>
      <c r="AD38" s="7">
        <f>Y38*0.0081726819</f>
        <v/>
      </c>
      <c r="AE38" s="7">
        <f>Z38*0.0081726819</f>
        <v/>
      </c>
      <c r="AF38" s="7">
        <f>AA38*0.0081726819</f>
        <v/>
      </c>
      <c r="AG38" s="7">
        <f>D38*0.0081726819</f>
        <v/>
      </c>
      <c r="AH38" s="7">
        <f>E38*0.0081726819</f>
        <v/>
      </c>
      <c r="AI38" s="7">
        <f>F38*0.0081726819</f>
        <v/>
      </c>
      <c r="AJ38" s="7">
        <f>G38*0.0081726819</f>
        <v/>
      </c>
      <c r="AK38" s="7">
        <f>H38*0.0081726819</f>
        <v/>
      </c>
      <c r="AL38" s="7">
        <f>I38*0.0081726819</f>
        <v/>
      </c>
      <c r="AM38" s="7">
        <f>J38*0.0081726819</f>
        <v/>
      </c>
      <c r="AN38" s="7">
        <f>K38*0.0081726819</f>
        <v/>
      </c>
      <c r="AO38" s="7">
        <f>L38*0.0081726819</f>
        <v/>
      </c>
      <c r="AP38" s="7">
        <f>M38*0.0081726819</f>
        <v/>
      </c>
      <c r="AQ38" s="7">
        <f>N38*0.0081726819</f>
        <v/>
      </c>
      <c r="AR38" s="7">
        <f>O38*0.0081726819</f>
        <v/>
      </c>
      <c r="AS38" s="7">
        <f>P38*0.0081726819</f>
        <v/>
      </c>
      <c r="AT38" s="7">
        <f>Q38*0.0081726819</f>
        <v/>
      </c>
      <c r="AU38" s="7">
        <f>R38*0.0081726819</f>
        <v/>
      </c>
      <c r="AV38" s="7">
        <f>S38*0.0081726819</f>
        <v/>
      </c>
      <c r="AW38" s="7">
        <f>T38*0.0081726819</f>
        <v/>
      </c>
      <c r="AX38" s="7">
        <f>U38*0.0081726819</f>
        <v/>
      </c>
      <c r="AY38" s="7">
        <f>V38*0.0081726819</f>
        <v/>
      </c>
      <c r="AZ38" s="7">
        <f>W38*0.0081726819</f>
        <v/>
      </c>
      <c r="BA38" s="7">
        <f>X38*0.0081726819</f>
        <v/>
      </c>
      <c r="BB38" s="7">
        <f>SUM(AD38:BA38)</f>
        <v/>
      </c>
    </row>
    <row r="39">
      <c r="A39" t="inlineStr">
        <is>
          <t>AMD-FK-SSC</t>
        </is>
      </c>
      <c r="B39" t="inlineStr">
        <is>
          <t>Prime at Client side</t>
        </is>
      </c>
      <c r="C39" s="5" t="n">
        <v>46102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2</v>
      </c>
      <c r="Q39" s="6" t="n">
        <v>7</v>
      </c>
      <c r="R39" s="6" t="n">
        <v>1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>
        <f>SUM(D39:AA39)</f>
        <v/>
      </c>
      <c r="AC39" s="3" t="inlineStr"/>
      <c r="AD39" s="7">
        <f>Y39*0.0081726819</f>
        <v/>
      </c>
      <c r="AE39" s="7">
        <f>Z39*0.0081726819</f>
        <v/>
      </c>
      <c r="AF39" s="7">
        <f>AA39*0.0081726819</f>
        <v/>
      </c>
      <c r="AG39" s="7">
        <f>D39*0.0081726819</f>
        <v/>
      </c>
      <c r="AH39" s="7">
        <f>E39*0.0081726819</f>
        <v/>
      </c>
      <c r="AI39" s="7">
        <f>F39*0.0081726819</f>
        <v/>
      </c>
      <c r="AJ39" s="7">
        <f>G39*0.0081726819</f>
        <v/>
      </c>
      <c r="AK39" s="7">
        <f>H39*0.0081726819</f>
        <v/>
      </c>
      <c r="AL39" s="7">
        <f>I39*0.0081726819</f>
        <v/>
      </c>
      <c r="AM39" s="7">
        <f>J39*0.0081726819</f>
        <v/>
      </c>
      <c r="AN39" s="7">
        <f>K39*0.0081726819</f>
        <v/>
      </c>
      <c r="AO39" s="7">
        <f>L39*0.0081726819</f>
        <v/>
      </c>
      <c r="AP39" s="7">
        <f>M39*0.0081726819</f>
        <v/>
      </c>
      <c r="AQ39" s="7">
        <f>N39*0.0081726819</f>
        <v/>
      </c>
      <c r="AR39" s="7">
        <f>O39*0.0081726819</f>
        <v/>
      </c>
      <c r="AS39" s="7">
        <f>P39*0.0081726819</f>
        <v/>
      </c>
      <c r="AT39" s="7">
        <f>Q39*0.0081726819</f>
        <v/>
      </c>
      <c r="AU39" s="7">
        <f>R39*0.0081726819</f>
        <v/>
      </c>
      <c r="AV39" s="7">
        <f>S39*0.0081726819</f>
        <v/>
      </c>
      <c r="AW39" s="7">
        <f>T39*0.0081726819</f>
        <v/>
      </c>
      <c r="AX39" s="7">
        <f>U39*0.0081726819</f>
        <v/>
      </c>
      <c r="AY39" s="7">
        <f>V39*0.0081726819</f>
        <v/>
      </c>
      <c r="AZ39" s="7">
        <f>W39*0.0081726819</f>
        <v/>
      </c>
      <c r="BA39" s="7">
        <f>X39*0.0081726819</f>
        <v/>
      </c>
      <c r="BB39" s="7">
        <f>SUM(AD39:BA39)</f>
        <v/>
      </c>
    </row>
    <row r="40">
      <c r="A40" t="inlineStr">
        <is>
          <t>AMD-FK-SSC</t>
        </is>
      </c>
      <c r="B40" t="inlineStr">
        <is>
          <t>Prime at Client side</t>
        </is>
      </c>
      <c r="C40" s="5" t="n">
        <v>46103</v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0</v>
      </c>
      <c r="M40" s="6" t="n">
        <v>0</v>
      </c>
      <c r="N40" s="6" t="n">
        <v>0</v>
      </c>
      <c r="O40" s="6" t="n">
        <v>0</v>
      </c>
      <c r="P40" s="6" t="n">
        <v>2</v>
      </c>
      <c r="Q40" s="6" t="n">
        <v>7</v>
      </c>
      <c r="R40" s="6" t="n">
        <v>1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>
        <f>SUM(D40:AA40)</f>
        <v/>
      </c>
      <c r="AC40" s="3" t="inlineStr"/>
      <c r="AD40" s="7">
        <f>Y40*0.0081726819</f>
        <v/>
      </c>
      <c r="AE40" s="7">
        <f>Z40*0.0081726819</f>
        <v/>
      </c>
      <c r="AF40" s="7">
        <f>AA40*0.0081726819</f>
        <v/>
      </c>
      <c r="AG40" s="7">
        <f>D40*0.0081726819</f>
        <v/>
      </c>
      <c r="AH40" s="7">
        <f>E40*0.0081726819</f>
        <v/>
      </c>
      <c r="AI40" s="7">
        <f>F40*0.0081726819</f>
        <v/>
      </c>
      <c r="AJ40" s="7">
        <f>G40*0.0081726819</f>
        <v/>
      </c>
      <c r="AK40" s="7">
        <f>H40*0.0081726819</f>
        <v/>
      </c>
      <c r="AL40" s="7">
        <f>I40*0.0081726819</f>
        <v/>
      </c>
      <c r="AM40" s="7">
        <f>J40*0.0081726819</f>
        <v/>
      </c>
      <c r="AN40" s="7">
        <f>K40*0.0081726819</f>
        <v/>
      </c>
      <c r="AO40" s="7">
        <f>L40*0.0081726819</f>
        <v/>
      </c>
      <c r="AP40" s="7">
        <f>M40*0.0081726819</f>
        <v/>
      </c>
      <c r="AQ40" s="7">
        <f>N40*0.0081726819</f>
        <v/>
      </c>
      <c r="AR40" s="7">
        <f>O40*0.0081726819</f>
        <v/>
      </c>
      <c r="AS40" s="7">
        <f>P40*0.0081726819</f>
        <v/>
      </c>
      <c r="AT40" s="7">
        <f>Q40*0.0081726819</f>
        <v/>
      </c>
      <c r="AU40" s="7">
        <f>R40*0.0081726819</f>
        <v/>
      </c>
      <c r="AV40" s="7">
        <f>S40*0.0081726819</f>
        <v/>
      </c>
      <c r="AW40" s="7">
        <f>T40*0.0081726819</f>
        <v/>
      </c>
      <c r="AX40" s="7">
        <f>U40*0.0081726819</f>
        <v/>
      </c>
      <c r="AY40" s="7">
        <f>V40*0.0081726819</f>
        <v/>
      </c>
      <c r="AZ40" s="7">
        <f>W40*0.0081726819</f>
        <v/>
      </c>
      <c r="BA40" s="7">
        <f>X40*0.0081726819</f>
        <v/>
      </c>
      <c r="BB40" s="7">
        <f>SUM(AD40:BA40)</f>
        <v/>
      </c>
    </row>
    <row r="41">
      <c r="A41" t="inlineStr">
        <is>
          <t>AMD-FK-SSC</t>
        </is>
      </c>
      <c r="B41" t="inlineStr">
        <is>
          <t>Prime at Client side</t>
        </is>
      </c>
      <c r="C41" s="5" t="n">
        <v>46104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2</v>
      </c>
      <c r="Q41" s="6" t="n">
        <v>7</v>
      </c>
      <c r="R41" s="6" t="n">
        <v>6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>
        <f>SUM(D41:AA41)</f>
        <v/>
      </c>
      <c r="AC41" s="3" t="inlineStr"/>
      <c r="AD41" s="7">
        <f>Y41*0.0081726819</f>
        <v/>
      </c>
      <c r="AE41" s="7">
        <f>Z41*0.0081726819</f>
        <v/>
      </c>
      <c r="AF41" s="7">
        <f>AA41*0.0081726819</f>
        <v/>
      </c>
      <c r="AG41" s="7">
        <f>D41*0.0081726819</f>
        <v/>
      </c>
      <c r="AH41" s="7">
        <f>E41*0.0081726819</f>
        <v/>
      </c>
      <c r="AI41" s="7">
        <f>F41*0.0081726819</f>
        <v/>
      </c>
      <c r="AJ41" s="7">
        <f>G41*0.0081726819</f>
        <v/>
      </c>
      <c r="AK41" s="7">
        <f>H41*0.0081726819</f>
        <v/>
      </c>
      <c r="AL41" s="7">
        <f>I41*0.0081726819</f>
        <v/>
      </c>
      <c r="AM41" s="7">
        <f>J41*0.0081726819</f>
        <v/>
      </c>
      <c r="AN41" s="7">
        <f>K41*0.0081726819</f>
        <v/>
      </c>
      <c r="AO41" s="7">
        <f>L41*0.0081726819</f>
        <v/>
      </c>
      <c r="AP41" s="7">
        <f>M41*0.0081726819</f>
        <v/>
      </c>
      <c r="AQ41" s="7">
        <f>N41*0.0081726819</f>
        <v/>
      </c>
      <c r="AR41" s="7">
        <f>O41*0.0081726819</f>
        <v/>
      </c>
      <c r="AS41" s="7">
        <f>P41*0.0081726819</f>
        <v/>
      </c>
      <c r="AT41" s="7">
        <f>Q41*0.0081726819</f>
        <v/>
      </c>
      <c r="AU41" s="7">
        <f>R41*0.0081726819</f>
        <v/>
      </c>
      <c r="AV41" s="7">
        <f>S41*0.0081726819</f>
        <v/>
      </c>
      <c r="AW41" s="7">
        <f>T41*0.0081726819</f>
        <v/>
      </c>
      <c r="AX41" s="7">
        <f>U41*0.0081726819</f>
        <v/>
      </c>
      <c r="AY41" s="7">
        <f>V41*0.0081726819</f>
        <v/>
      </c>
      <c r="AZ41" s="7">
        <f>W41*0.0081726819</f>
        <v/>
      </c>
      <c r="BA41" s="7">
        <f>X41*0.0081726819</f>
        <v/>
      </c>
      <c r="BB41" s="7">
        <f>SUM(AD41:BA41)</f>
        <v/>
      </c>
    </row>
    <row r="42">
      <c r="A42" t="inlineStr">
        <is>
          <t>AMD-FK-SSC</t>
        </is>
      </c>
      <c r="B42" t="inlineStr">
        <is>
          <t>Prime at Client side</t>
        </is>
      </c>
      <c r="C42" s="5" t="n">
        <v>46105</v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6" t="n">
        <v>0</v>
      </c>
      <c r="N42" s="6" t="n">
        <v>0</v>
      </c>
      <c r="O42" s="6" t="n">
        <v>0</v>
      </c>
      <c r="P42" s="6" t="n">
        <v>0</v>
      </c>
      <c r="Q42" s="6" t="n">
        <v>16</v>
      </c>
      <c r="R42" s="6" t="n">
        <v>9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>
        <f>SUM(D42:AA42)</f>
        <v/>
      </c>
      <c r="AC42" s="3" t="inlineStr"/>
      <c r="AD42" s="7">
        <f>Y42*0.0081726819</f>
        <v/>
      </c>
      <c r="AE42" s="7">
        <f>Z42*0.0081726819</f>
        <v/>
      </c>
      <c r="AF42" s="7">
        <f>AA42*0.0081726819</f>
        <v/>
      </c>
      <c r="AG42" s="7">
        <f>D42*0.0081726819</f>
        <v/>
      </c>
      <c r="AH42" s="7">
        <f>E42*0.0081726819</f>
        <v/>
      </c>
      <c r="AI42" s="7">
        <f>F42*0.0081726819</f>
        <v/>
      </c>
      <c r="AJ42" s="7">
        <f>G42*0.0081726819</f>
        <v/>
      </c>
      <c r="AK42" s="7">
        <f>H42*0.0081726819</f>
        <v/>
      </c>
      <c r="AL42" s="7">
        <f>I42*0.0081726819</f>
        <v/>
      </c>
      <c r="AM42" s="7">
        <f>J42*0.0081726819</f>
        <v/>
      </c>
      <c r="AN42" s="7">
        <f>K42*0.0081726819</f>
        <v/>
      </c>
      <c r="AO42" s="7">
        <f>L42*0.0081726819</f>
        <v/>
      </c>
      <c r="AP42" s="7">
        <f>M42*0.0081726819</f>
        <v/>
      </c>
      <c r="AQ42" s="7">
        <f>N42*0.0081726819</f>
        <v/>
      </c>
      <c r="AR42" s="7">
        <f>O42*0.0081726819</f>
        <v/>
      </c>
      <c r="AS42" s="7">
        <f>P42*0.0081726819</f>
        <v/>
      </c>
      <c r="AT42" s="7">
        <f>Q42*0.0081726819</f>
        <v/>
      </c>
      <c r="AU42" s="7">
        <f>R42*0.0081726819</f>
        <v/>
      </c>
      <c r="AV42" s="7">
        <f>S42*0.0081726819</f>
        <v/>
      </c>
      <c r="AW42" s="7">
        <f>T42*0.0081726819</f>
        <v/>
      </c>
      <c r="AX42" s="7">
        <f>U42*0.0081726819</f>
        <v/>
      </c>
      <c r="AY42" s="7">
        <f>V42*0.0081726819</f>
        <v/>
      </c>
      <c r="AZ42" s="7">
        <f>W42*0.0081726819</f>
        <v/>
      </c>
      <c r="BA42" s="7">
        <f>X42*0.0081726819</f>
        <v/>
      </c>
      <c r="BB42" s="7">
        <f>SUM(AD42:BA42)</f>
        <v/>
      </c>
    </row>
    <row r="43">
      <c r="A43" t="inlineStr">
        <is>
          <t>AMD-FWDPRI-SSC</t>
        </is>
      </c>
      <c r="B43" t="inlineStr">
        <is>
          <t>FWD Priority OSC</t>
        </is>
      </c>
      <c r="C43" s="5" t="n">
        <v>46098</v>
      </c>
      <c r="D43" s="6" t="n">
        <v>68</v>
      </c>
      <c r="E43" s="6" t="n">
        <v>86</v>
      </c>
      <c r="F43" s="6" t="n">
        <v>69</v>
      </c>
      <c r="G43" s="6" t="n">
        <v>153</v>
      </c>
      <c r="H43" s="6" t="n">
        <v>61</v>
      </c>
      <c r="I43" s="6" t="n">
        <v>64</v>
      </c>
      <c r="J43" s="6" t="n">
        <v>39</v>
      </c>
      <c r="K43" s="6" t="n">
        <v>1</v>
      </c>
      <c r="L43" s="6" t="n">
        <v>6</v>
      </c>
      <c r="M43" s="6" t="n">
        <v>6</v>
      </c>
      <c r="N43" s="6" t="n">
        <v>47</v>
      </c>
      <c r="O43" s="6" t="n">
        <v>71</v>
      </c>
      <c r="P43" s="6" t="n">
        <v>32</v>
      </c>
      <c r="Q43" s="6" t="n">
        <v>1</v>
      </c>
      <c r="R43" s="6" t="n">
        <v>148</v>
      </c>
      <c r="S43" s="6" t="n">
        <v>108</v>
      </c>
      <c r="T43" s="6" t="n">
        <v>48</v>
      </c>
      <c r="U43" s="6" t="n">
        <v>77</v>
      </c>
      <c r="V43" s="6" t="n">
        <v>99</v>
      </c>
      <c r="W43" s="6" t="n">
        <v>130</v>
      </c>
      <c r="X43" s="6" t="n">
        <v>75</v>
      </c>
      <c r="Y43" s="6" t="n">
        <v>52</v>
      </c>
      <c r="Z43" s="6" t="n">
        <v>0</v>
      </c>
      <c r="AA43" s="6" t="n">
        <v>22</v>
      </c>
      <c r="AB43" s="6">
        <f>SUM(D43:AA43)</f>
        <v/>
      </c>
      <c r="AC43" s="3" t="inlineStr"/>
      <c r="AD43" s="7">
        <f>Y43*0.0081726819</f>
        <v/>
      </c>
      <c r="AE43" s="7">
        <f>Z43*0.0081726819</f>
        <v/>
      </c>
      <c r="AF43" s="7">
        <f>AA43*0.0081726819</f>
        <v/>
      </c>
      <c r="AG43" s="7">
        <f>D43*0.0081726819</f>
        <v/>
      </c>
      <c r="AH43" s="7">
        <f>E43*0.0081726819</f>
        <v/>
      </c>
      <c r="AI43" s="7">
        <f>F43*0.0081726819</f>
        <v/>
      </c>
      <c r="AJ43" s="7">
        <f>G43*0.0081726819</f>
        <v/>
      </c>
      <c r="AK43" s="7">
        <f>H43*0.0081726819</f>
        <v/>
      </c>
      <c r="AL43" s="7">
        <f>I43*0.0081726819</f>
        <v/>
      </c>
      <c r="AM43" s="7">
        <f>J43*0.0081726819</f>
        <v/>
      </c>
      <c r="AN43" s="7">
        <f>K43*0.0081726819</f>
        <v/>
      </c>
      <c r="AO43" s="7">
        <f>L43*0.0081726819</f>
        <v/>
      </c>
      <c r="AP43" s="7">
        <f>M43*0.0081726819</f>
        <v/>
      </c>
      <c r="AQ43" s="7">
        <f>N43*0.0081726819</f>
        <v/>
      </c>
      <c r="AR43" s="7">
        <f>O43*0.0081726819</f>
        <v/>
      </c>
      <c r="AS43" s="7">
        <f>P43*0.0081726819</f>
        <v/>
      </c>
      <c r="AT43" s="7">
        <f>Q43*0.0081726819</f>
        <v/>
      </c>
      <c r="AU43" s="7">
        <f>R43*0.0081726819</f>
        <v/>
      </c>
      <c r="AV43" s="7">
        <f>S43*0.0081726819</f>
        <v/>
      </c>
      <c r="AW43" s="7">
        <f>T43*0.0081726819</f>
        <v/>
      </c>
      <c r="AX43" s="7">
        <f>U43*0.0081726819</f>
        <v/>
      </c>
      <c r="AY43" s="7">
        <f>V43*0.0081726819</f>
        <v/>
      </c>
      <c r="AZ43" s="7">
        <f>W43*0.0081726819</f>
        <v/>
      </c>
      <c r="BA43" s="7">
        <f>X43*0.0081726819</f>
        <v/>
      </c>
      <c r="BB43" s="7">
        <f>SUM(AD43:BA43)</f>
        <v/>
      </c>
    </row>
    <row r="44">
      <c r="A44" t="inlineStr">
        <is>
          <t>AMD-FWDPRI-SSC</t>
        </is>
      </c>
      <c r="B44" t="inlineStr">
        <is>
          <t>FWD Priority OSC</t>
        </is>
      </c>
      <c r="C44" s="5" t="n">
        <v>46099</v>
      </c>
      <c r="D44" s="6" t="n">
        <v>101</v>
      </c>
      <c r="E44" s="6" t="n">
        <v>23</v>
      </c>
      <c r="F44" s="6" t="n">
        <v>118</v>
      </c>
      <c r="G44" s="6" t="n">
        <v>111</v>
      </c>
      <c r="H44" s="6" t="n">
        <v>86</v>
      </c>
      <c r="I44" s="6" t="n">
        <v>108</v>
      </c>
      <c r="J44" s="6" t="n">
        <v>131</v>
      </c>
      <c r="K44" s="6" t="n">
        <v>23</v>
      </c>
      <c r="L44" s="6" t="n">
        <v>0</v>
      </c>
      <c r="M44" s="6" t="n">
        <v>7</v>
      </c>
      <c r="N44" s="6" t="n">
        <v>7</v>
      </c>
      <c r="O44" s="6" t="n">
        <v>111</v>
      </c>
      <c r="P44" s="6" t="n">
        <v>66</v>
      </c>
      <c r="Q44" s="6" t="n">
        <v>10</v>
      </c>
      <c r="R44" s="6" t="n">
        <v>146</v>
      </c>
      <c r="S44" s="6" t="n">
        <v>91</v>
      </c>
      <c r="T44" s="6" t="n">
        <v>75</v>
      </c>
      <c r="U44" s="6" t="n">
        <v>12</v>
      </c>
      <c r="V44" s="6" t="n">
        <v>99</v>
      </c>
      <c r="W44" s="6" t="n">
        <v>69</v>
      </c>
      <c r="X44" s="6" t="n">
        <v>98</v>
      </c>
      <c r="Y44" s="6" t="n">
        <v>85</v>
      </c>
      <c r="Z44" s="6" t="n">
        <v>0</v>
      </c>
      <c r="AA44" s="6" t="n">
        <v>97</v>
      </c>
      <c r="AB44" s="6">
        <f>SUM(D44:AA44)</f>
        <v/>
      </c>
      <c r="AC44" s="3" t="inlineStr"/>
      <c r="AD44" s="7">
        <f>Y44*0.0081726819</f>
        <v/>
      </c>
      <c r="AE44" s="7">
        <f>Z44*0.0081726819</f>
        <v/>
      </c>
      <c r="AF44" s="7">
        <f>AA44*0.0081726819</f>
        <v/>
      </c>
      <c r="AG44" s="7">
        <f>D44*0.0081726819</f>
        <v/>
      </c>
      <c r="AH44" s="7">
        <f>E44*0.0081726819</f>
        <v/>
      </c>
      <c r="AI44" s="7">
        <f>F44*0.0081726819</f>
        <v/>
      </c>
      <c r="AJ44" s="7">
        <f>G44*0.0081726819</f>
        <v/>
      </c>
      <c r="AK44" s="7">
        <f>H44*0.0081726819</f>
        <v/>
      </c>
      <c r="AL44" s="7">
        <f>I44*0.0081726819</f>
        <v/>
      </c>
      <c r="AM44" s="7">
        <f>J44*0.0081726819</f>
        <v/>
      </c>
      <c r="AN44" s="7">
        <f>K44*0.0081726819</f>
        <v/>
      </c>
      <c r="AO44" s="7">
        <f>L44*0.0081726819</f>
        <v/>
      </c>
      <c r="AP44" s="7">
        <f>M44*0.0081726819</f>
        <v/>
      </c>
      <c r="AQ44" s="7">
        <f>N44*0.0081726819</f>
        <v/>
      </c>
      <c r="AR44" s="7">
        <f>O44*0.0081726819</f>
        <v/>
      </c>
      <c r="AS44" s="7">
        <f>P44*0.0081726819</f>
        <v/>
      </c>
      <c r="AT44" s="7">
        <f>Q44*0.0081726819</f>
        <v/>
      </c>
      <c r="AU44" s="7">
        <f>R44*0.0081726819</f>
        <v/>
      </c>
      <c r="AV44" s="7">
        <f>S44*0.0081726819</f>
        <v/>
      </c>
      <c r="AW44" s="7">
        <f>T44*0.0081726819</f>
        <v/>
      </c>
      <c r="AX44" s="7">
        <f>U44*0.0081726819</f>
        <v/>
      </c>
      <c r="AY44" s="7">
        <f>V44*0.0081726819</f>
        <v/>
      </c>
      <c r="AZ44" s="7">
        <f>W44*0.0081726819</f>
        <v/>
      </c>
      <c r="BA44" s="7">
        <f>X44*0.0081726819</f>
        <v/>
      </c>
      <c r="BB44" s="7">
        <f>SUM(AD44:BA44)</f>
        <v/>
      </c>
    </row>
    <row r="45">
      <c r="A45" t="inlineStr">
        <is>
          <t>AMD-FWDPRI-SSC</t>
        </is>
      </c>
      <c r="B45" t="inlineStr">
        <is>
          <t>FWD Priority OSC</t>
        </is>
      </c>
      <c r="C45" s="5" t="n">
        <v>46100</v>
      </c>
      <c r="D45" s="6" t="n">
        <v>127</v>
      </c>
      <c r="E45" s="6" t="n">
        <v>40</v>
      </c>
      <c r="F45" s="6" t="n">
        <v>98</v>
      </c>
      <c r="G45" s="6" t="n">
        <v>219</v>
      </c>
      <c r="H45" s="6" t="n">
        <v>91</v>
      </c>
      <c r="I45" s="6" t="n">
        <v>202</v>
      </c>
      <c r="J45" s="6" t="n">
        <v>207</v>
      </c>
      <c r="K45" s="6" t="n">
        <v>4</v>
      </c>
      <c r="L45" s="6" t="n">
        <v>11</v>
      </c>
      <c r="M45" s="6" t="n">
        <v>43</v>
      </c>
      <c r="N45" s="6" t="n">
        <v>93</v>
      </c>
      <c r="O45" s="6" t="n">
        <v>94</v>
      </c>
      <c r="P45" s="6" t="n">
        <v>6</v>
      </c>
      <c r="Q45" s="6" t="n">
        <v>3</v>
      </c>
      <c r="R45" s="6" t="n">
        <v>53</v>
      </c>
      <c r="S45" s="6" t="n">
        <v>95</v>
      </c>
      <c r="T45" s="6" t="n">
        <v>28</v>
      </c>
      <c r="U45" s="6" t="n">
        <v>75</v>
      </c>
      <c r="V45" s="6" t="n">
        <v>70</v>
      </c>
      <c r="W45" s="6" t="n">
        <v>100</v>
      </c>
      <c r="X45" s="6" t="n">
        <v>75</v>
      </c>
      <c r="Y45" s="6" t="n">
        <v>65</v>
      </c>
      <c r="Z45" s="6" t="n">
        <v>1</v>
      </c>
      <c r="AA45" s="6" t="n">
        <v>0</v>
      </c>
      <c r="AB45" s="6">
        <f>SUM(D45:AA45)</f>
        <v/>
      </c>
      <c r="AC45" s="3" t="inlineStr"/>
      <c r="AD45" s="7">
        <f>Y45*0.0081726819</f>
        <v/>
      </c>
      <c r="AE45" s="7">
        <f>Z45*0.0081726819</f>
        <v/>
      </c>
      <c r="AF45" s="7">
        <f>AA45*0.0081726819</f>
        <v/>
      </c>
      <c r="AG45" s="7">
        <f>D45*0.0081726819</f>
        <v/>
      </c>
      <c r="AH45" s="7">
        <f>E45*0.0081726819</f>
        <v/>
      </c>
      <c r="AI45" s="7">
        <f>F45*0.0081726819</f>
        <v/>
      </c>
      <c r="AJ45" s="7">
        <f>G45*0.0081726819</f>
        <v/>
      </c>
      <c r="AK45" s="7">
        <f>H45*0.0081726819</f>
        <v/>
      </c>
      <c r="AL45" s="7">
        <f>I45*0.0081726819</f>
        <v/>
      </c>
      <c r="AM45" s="7">
        <f>J45*0.0081726819</f>
        <v/>
      </c>
      <c r="AN45" s="7">
        <f>K45*0.0081726819</f>
        <v/>
      </c>
      <c r="AO45" s="7">
        <f>L45*0.0081726819</f>
        <v/>
      </c>
      <c r="AP45" s="7">
        <f>M45*0.0081726819</f>
        <v/>
      </c>
      <c r="AQ45" s="7">
        <f>N45*0.0081726819</f>
        <v/>
      </c>
      <c r="AR45" s="7">
        <f>O45*0.0081726819</f>
        <v/>
      </c>
      <c r="AS45" s="7">
        <f>P45*0.0081726819</f>
        <v/>
      </c>
      <c r="AT45" s="7">
        <f>Q45*0.0081726819</f>
        <v/>
      </c>
      <c r="AU45" s="7">
        <f>R45*0.0081726819</f>
        <v/>
      </c>
      <c r="AV45" s="7">
        <f>S45*0.0081726819</f>
        <v/>
      </c>
      <c r="AW45" s="7">
        <f>T45*0.0081726819</f>
        <v/>
      </c>
      <c r="AX45" s="7">
        <f>U45*0.0081726819</f>
        <v/>
      </c>
      <c r="AY45" s="7">
        <f>V45*0.0081726819</f>
        <v/>
      </c>
      <c r="AZ45" s="7">
        <f>W45*0.0081726819</f>
        <v/>
      </c>
      <c r="BA45" s="7">
        <f>X45*0.0081726819</f>
        <v/>
      </c>
      <c r="BB45" s="7">
        <f>SUM(AD45:BA45)</f>
        <v/>
      </c>
    </row>
    <row r="46">
      <c r="A46" t="inlineStr">
        <is>
          <t>AMD-FWDPRI-SSC</t>
        </is>
      </c>
      <c r="B46" t="inlineStr">
        <is>
          <t>FWD Priority OSC</t>
        </is>
      </c>
      <c r="C46" s="5" t="n">
        <v>46101</v>
      </c>
      <c r="D46" s="6" t="n">
        <v>8</v>
      </c>
      <c r="E46" s="6" t="n">
        <v>0</v>
      </c>
      <c r="F46" s="6" t="n">
        <v>2</v>
      </c>
      <c r="G46" s="6" t="n">
        <v>69</v>
      </c>
      <c r="H46" s="6" t="n">
        <v>68</v>
      </c>
      <c r="I46" s="6" t="n">
        <v>103</v>
      </c>
      <c r="J46" s="6" t="n">
        <v>55</v>
      </c>
      <c r="K46" s="6" t="n">
        <v>9</v>
      </c>
      <c r="L46" s="6" t="n">
        <v>104</v>
      </c>
      <c r="M46" s="6" t="n">
        <v>27</v>
      </c>
      <c r="N46" s="6" t="n">
        <v>100</v>
      </c>
      <c r="O46" s="6" t="n">
        <v>64</v>
      </c>
      <c r="P46" s="6" t="n">
        <v>1</v>
      </c>
      <c r="Q46" s="6" t="n">
        <v>113</v>
      </c>
      <c r="R46" s="6" t="n">
        <v>85</v>
      </c>
      <c r="S46" s="6" t="n">
        <v>75</v>
      </c>
      <c r="T46" s="6" t="n">
        <v>63</v>
      </c>
      <c r="U46" s="6" t="n">
        <v>0</v>
      </c>
      <c r="V46" s="6" t="n">
        <v>104</v>
      </c>
      <c r="W46" s="6" t="n">
        <v>87</v>
      </c>
      <c r="X46" s="6" t="n">
        <v>111</v>
      </c>
      <c r="Y46" s="6" t="n">
        <v>69</v>
      </c>
      <c r="Z46" s="6" t="n">
        <v>0</v>
      </c>
      <c r="AA46" s="6" t="n">
        <v>17</v>
      </c>
      <c r="AB46" s="6">
        <f>SUM(D46:AA46)</f>
        <v/>
      </c>
      <c r="AC46" s="3" t="inlineStr"/>
      <c r="AD46" s="7">
        <f>Y46*0.0081726819</f>
        <v/>
      </c>
      <c r="AE46" s="7">
        <f>Z46*0.0081726819</f>
        <v/>
      </c>
      <c r="AF46" s="7">
        <f>AA46*0.0081726819</f>
        <v/>
      </c>
      <c r="AG46" s="7">
        <f>D46*0.0081726819</f>
        <v/>
      </c>
      <c r="AH46" s="7">
        <f>E46*0.0081726819</f>
        <v/>
      </c>
      <c r="AI46" s="7">
        <f>F46*0.0081726819</f>
        <v/>
      </c>
      <c r="AJ46" s="7">
        <f>G46*0.0081726819</f>
        <v/>
      </c>
      <c r="AK46" s="7">
        <f>H46*0.0081726819</f>
        <v/>
      </c>
      <c r="AL46" s="7">
        <f>I46*0.0081726819</f>
        <v/>
      </c>
      <c r="AM46" s="7">
        <f>J46*0.0081726819</f>
        <v/>
      </c>
      <c r="AN46" s="7">
        <f>K46*0.0081726819</f>
        <v/>
      </c>
      <c r="AO46" s="7">
        <f>L46*0.0081726819</f>
        <v/>
      </c>
      <c r="AP46" s="7">
        <f>M46*0.0081726819</f>
        <v/>
      </c>
      <c r="AQ46" s="7">
        <f>N46*0.0081726819</f>
        <v/>
      </c>
      <c r="AR46" s="7">
        <f>O46*0.0081726819</f>
        <v/>
      </c>
      <c r="AS46" s="7">
        <f>P46*0.0081726819</f>
        <v/>
      </c>
      <c r="AT46" s="7">
        <f>Q46*0.0081726819</f>
        <v/>
      </c>
      <c r="AU46" s="7">
        <f>R46*0.0081726819</f>
        <v/>
      </c>
      <c r="AV46" s="7">
        <f>S46*0.0081726819</f>
        <v/>
      </c>
      <c r="AW46" s="7">
        <f>T46*0.0081726819</f>
        <v/>
      </c>
      <c r="AX46" s="7">
        <f>U46*0.0081726819</f>
        <v/>
      </c>
      <c r="AY46" s="7">
        <f>V46*0.0081726819</f>
        <v/>
      </c>
      <c r="AZ46" s="7">
        <f>W46*0.0081726819</f>
        <v/>
      </c>
      <c r="BA46" s="7">
        <f>X46*0.0081726819</f>
        <v/>
      </c>
      <c r="BB46" s="7">
        <f>SUM(AD46:BA46)</f>
        <v/>
      </c>
    </row>
    <row r="47">
      <c r="A47" t="inlineStr">
        <is>
          <t>AMD-FWDPRI-SSC</t>
        </is>
      </c>
      <c r="B47" t="inlineStr">
        <is>
          <t>FWD Priority OSC</t>
        </is>
      </c>
      <c r="C47" s="5" t="n">
        <v>46102</v>
      </c>
      <c r="D47" s="6" t="n">
        <v>117</v>
      </c>
      <c r="E47" s="6" t="n">
        <v>35</v>
      </c>
      <c r="F47" s="6" t="n">
        <v>94</v>
      </c>
      <c r="G47" s="6" t="n">
        <v>164</v>
      </c>
      <c r="H47" s="6" t="n">
        <v>99</v>
      </c>
      <c r="I47" s="6" t="n">
        <v>144</v>
      </c>
      <c r="J47" s="6" t="n">
        <v>115</v>
      </c>
      <c r="K47" s="6" t="n">
        <v>16</v>
      </c>
      <c r="L47" s="6" t="n">
        <v>0</v>
      </c>
      <c r="M47" s="6" t="n">
        <v>0</v>
      </c>
      <c r="N47" s="6" t="n">
        <v>27</v>
      </c>
      <c r="O47" s="6" t="n">
        <v>100</v>
      </c>
      <c r="P47" s="6" t="n">
        <v>65</v>
      </c>
      <c r="Q47" s="6" t="n">
        <v>1</v>
      </c>
      <c r="R47" s="6" t="n">
        <v>101</v>
      </c>
      <c r="S47" s="6" t="n">
        <v>77</v>
      </c>
      <c r="T47" s="6" t="n">
        <v>83</v>
      </c>
      <c r="U47" s="6" t="n">
        <v>6</v>
      </c>
      <c r="V47" s="6" t="n">
        <v>111</v>
      </c>
      <c r="W47" s="6" t="n">
        <v>89</v>
      </c>
      <c r="X47" s="6" t="n">
        <v>99</v>
      </c>
      <c r="Y47" s="6" t="n">
        <v>56</v>
      </c>
      <c r="Z47" s="6" t="n">
        <v>2</v>
      </c>
      <c r="AA47" s="6" t="n">
        <v>22</v>
      </c>
      <c r="AB47" s="6">
        <f>SUM(D47:AA47)</f>
        <v/>
      </c>
      <c r="AC47" s="3" t="inlineStr"/>
      <c r="AD47" s="7">
        <f>Y47*0.0081726819</f>
        <v/>
      </c>
      <c r="AE47" s="7">
        <f>Z47*0.0081726819</f>
        <v/>
      </c>
      <c r="AF47" s="7">
        <f>AA47*0.0081726819</f>
        <v/>
      </c>
      <c r="AG47" s="7">
        <f>D47*0.0081726819</f>
        <v/>
      </c>
      <c r="AH47" s="7">
        <f>E47*0.0081726819</f>
        <v/>
      </c>
      <c r="AI47" s="7">
        <f>F47*0.0081726819</f>
        <v/>
      </c>
      <c r="AJ47" s="7">
        <f>G47*0.0081726819</f>
        <v/>
      </c>
      <c r="AK47" s="7">
        <f>H47*0.0081726819</f>
        <v/>
      </c>
      <c r="AL47" s="7">
        <f>I47*0.0081726819</f>
        <v/>
      </c>
      <c r="AM47" s="7">
        <f>J47*0.0081726819</f>
        <v/>
      </c>
      <c r="AN47" s="7">
        <f>K47*0.0081726819</f>
        <v/>
      </c>
      <c r="AO47" s="7">
        <f>L47*0.0081726819</f>
        <v/>
      </c>
      <c r="AP47" s="7">
        <f>M47*0.0081726819</f>
        <v/>
      </c>
      <c r="AQ47" s="7">
        <f>N47*0.0081726819</f>
        <v/>
      </c>
      <c r="AR47" s="7">
        <f>O47*0.0081726819</f>
        <v/>
      </c>
      <c r="AS47" s="7">
        <f>P47*0.0081726819</f>
        <v/>
      </c>
      <c r="AT47" s="7">
        <f>Q47*0.0081726819</f>
        <v/>
      </c>
      <c r="AU47" s="7">
        <f>R47*0.0081726819</f>
        <v/>
      </c>
      <c r="AV47" s="7">
        <f>S47*0.0081726819</f>
        <v/>
      </c>
      <c r="AW47" s="7">
        <f>T47*0.0081726819</f>
        <v/>
      </c>
      <c r="AX47" s="7">
        <f>U47*0.0081726819</f>
        <v/>
      </c>
      <c r="AY47" s="7">
        <f>V47*0.0081726819</f>
        <v/>
      </c>
      <c r="AZ47" s="7">
        <f>W47*0.0081726819</f>
        <v/>
      </c>
      <c r="BA47" s="7">
        <f>X47*0.0081726819</f>
        <v/>
      </c>
      <c r="BB47" s="7">
        <f>SUM(AD47:BA47)</f>
        <v/>
      </c>
    </row>
    <row r="48">
      <c r="A48" t="inlineStr">
        <is>
          <t>AMD-FWDPRI-SSC</t>
        </is>
      </c>
      <c r="B48" t="inlineStr">
        <is>
          <t>FWD Priority OSC</t>
        </is>
      </c>
      <c r="C48" s="5" t="n">
        <v>46103</v>
      </c>
      <c r="D48" s="6" t="n">
        <v>158</v>
      </c>
      <c r="E48" s="6" t="n">
        <v>24</v>
      </c>
      <c r="F48" s="6" t="n">
        <v>89</v>
      </c>
      <c r="G48" s="6" t="n">
        <v>156</v>
      </c>
      <c r="H48" s="6" t="n">
        <v>97</v>
      </c>
      <c r="I48" s="6" t="n">
        <v>86</v>
      </c>
      <c r="J48" s="6" t="n">
        <v>2</v>
      </c>
      <c r="K48" s="6" t="n">
        <v>0</v>
      </c>
      <c r="L48" s="6" t="n">
        <v>0</v>
      </c>
      <c r="M48" s="6" t="n">
        <v>0</v>
      </c>
      <c r="N48" s="6" t="n">
        <v>30</v>
      </c>
      <c r="O48" s="6" t="n">
        <v>79</v>
      </c>
      <c r="P48" s="6" t="n">
        <v>35</v>
      </c>
      <c r="Q48" s="6" t="n">
        <v>48</v>
      </c>
      <c r="R48" s="6" t="n">
        <v>106</v>
      </c>
      <c r="S48" s="6" t="n">
        <v>95</v>
      </c>
      <c r="T48" s="6" t="n">
        <v>29</v>
      </c>
      <c r="U48" s="6" t="n">
        <v>82</v>
      </c>
      <c r="V48" s="6" t="n">
        <v>93</v>
      </c>
      <c r="W48" s="6" t="n">
        <v>118</v>
      </c>
      <c r="X48" s="6" t="n">
        <v>114</v>
      </c>
      <c r="Y48" s="6" t="n">
        <v>104</v>
      </c>
      <c r="Z48" s="6" t="n">
        <v>0</v>
      </c>
      <c r="AA48" s="6" t="n">
        <v>17</v>
      </c>
      <c r="AB48" s="6">
        <f>SUM(D48:AA48)</f>
        <v/>
      </c>
      <c r="AC48" s="3" t="inlineStr"/>
      <c r="AD48" s="7">
        <f>Y48*0.0081726819</f>
        <v/>
      </c>
      <c r="AE48" s="7">
        <f>Z48*0.0081726819</f>
        <v/>
      </c>
      <c r="AF48" s="7">
        <f>AA48*0.0081726819</f>
        <v/>
      </c>
      <c r="AG48" s="7">
        <f>D48*0.0081726819</f>
        <v/>
      </c>
      <c r="AH48" s="7">
        <f>E48*0.0081726819</f>
        <v/>
      </c>
      <c r="AI48" s="7">
        <f>F48*0.0081726819</f>
        <v/>
      </c>
      <c r="AJ48" s="7">
        <f>G48*0.0081726819</f>
        <v/>
      </c>
      <c r="AK48" s="7">
        <f>H48*0.0081726819</f>
        <v/>
      </c>
      <c r="AL48" s="7">
        <f>I48*0.0081726819</f>
        <v/>
      </c>
      <c r="AM48" s="7">
        <f>J48*0.0081726819</f>
        <v/>
      </c>
      <c r="AN48" s="7">
        <f>K48*0.0081726819</f>
        <v/>
      </c>
      <c r="AO48" s="7">
        <f>L48*0.0081726819</f>
        <v/>
      </c>
      <c r="AP48" s="7">
        <f>M48*0.0081726819</f>
        <v/>
      </c>
      <c r="AQ48" s="7">
        <f>N48*0.0081726819</f>
        <v/>
      </c>
      <c r="AR48" s="7">
        <f>O48*0.0081726819</f>
        <v/>
      </c>
      <c r="AS48" s="7">
        <f>P48*0.0081726819</f>
        <v/>
      </c>
      <c r="AT48" s="7">
        <f>Q48*0.0081726819</f>
        <v/>
      </c>
      <c r="AU48" s="7">
        <f>R48*0.0081726819</f>
        <v/>
      </c>
      <c r="AV48" s="7">
        <f>S48*0.0081726819</f>
        <v/>
      </c>
      <c r="AW48" s="7">
        <f>T48*0.0081726819</f>
        <v/>
      </c>
      <c r="AX48" s="7">
        <f>U48*0.0081726819</f>
        <v/>
      </c>
      <c r="AY48" s="7">
        <f>V48*0.0081726819</f>
        <v/>
      </c>
      <c r="AZ48" s="7">
        <f>W48*0.0081726819</f>
        <v/>
      </c>
      <c r="BA48" s="7">
        <f>X48*0.0081726819</f>
        <v/>
      </c>
      <c r="BB48" s="7">
        <f>SUM(AD48:BA48)</f>
        <v/>
      </c>
    </row>
    <row r="49">
      <c r="A49" t="inlineStr">
        <is>
          <t>AMD-FWDPRI-SSC</t>
        </is>
      </c>
      <c r="B49" t="inlineStr">
        <is>
          <t>FWD Priority OSC</t>
        </is>
      </c>
      <c r="C49" s="5" t="n">
        <v>46104</v>
      </c>
      <c r="D49" s="6" t="n">
        <v>149</v>
      </c>
      <c r="E49" s="6" t="n">
        <v>80</v>
      </c>
      <c r="F49" s="6" t="n">
        <v>9</v>
      </c>
      <c r="G49" s="6" t="n">
        <v>158</v>
      </c>
      <c r="H49" s="6" t="n">
        <v>26</v>
      </c>
      <c r="I49" s="6" t="n">
        <v>27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54</v>
      </c>
      <c r="O49" s="6" t="n">
        <v>100</v>
      </c>
      <c r="P49" s="6" t="n">
        <v>0</v>
      </c>
      <c r="Q49" s="6" t="n">
        <v>0</v>
      </c>
      <c r="R49" s="6" t="n">
        <v>131</v>
      </c>
      <c r="S49" s="6" t="n">
        <v>67</v>
      </c>
      <c r="T49" s="6" t="n">
        <v>30</v>
      </c>
      <c r="U49" s="6" t="n">
        <v>79</v>
      </c>
      <c r="V49" s="6" t="n">
        <v>103</v>
      </c>
      <c r="W49" s="6" t="n">
        <v>99</v>
      </c>
      <c r="X49" s="6" t="n">
        <v>46</v>
      </c>
      <c r="Y49" s="6" t="n">
        <v>0</v>
      </c>
      <c r="Z49" s="6" t="n">
        <v>0</v>
      </c>
      <c r="AA49" s="6" t="n">
        <v>36</v>
      </c>
      <c r="AB49" s="6">
        <f>SUM(D49:AA49)</f>
        <v/>
      </c>
      <c r="AC49" s="3" t="inlineStr"/>
      <c r="AD49" s="7">
        <f>Y49*0.0081726819</f>
        <v/>
      </c>
      <c r="AE49" s="7">
        <f>Z49*0.0081726819</f>
        <v/>
      </c>
      <c r="AF49" s="7">
        <f>AA49*0.0081726819</f>
        <v/>
      </c>
      <c r="AG49" s="7">
        <f>D49*0.0081726819</f>
        <v/>
      </c>
      <c r="AH49" s="7">
        <f>E49*0.0081726819</f>
        <v/>
      </c>
      <c r="AI49" s="7">
        <f>F49*0.0081726819</f>
        <v/>
      </c>
      <c r="AJ49" s="7">
        <f>G49*0.0081726819</f>
        <v/>
      </c>
      <c r="AK49" s="7">
        <f>H49*0.0081726819</f>
        <v/>
      </c>
      <c r="AL49" s="7">
        <f>I49*0.0081726819</f>
        <v/>
      </c>
      <c r="AM49" s="7">
        <f>J49*0.0081726819</f>
        <v/>
      </c>
      <c r="AN49" s="7">
        <f>K49*0.0081726819</f>
        <v/>
      </c>
      <c r="AO49" s="7">
        <f>L49*0.0081726819</f>
        <v/>
      </c>
      <c r="AP49" s="7">
        <f>M49*0.0081726819</f>
        <v/>
      </c>
      <c r="AQ49" s="7">
        <f>N49*0.0081726819</f>
        <v/>
      </c>
      <c r="AR49" s="7">
        <f>O49*0.0081726819</f>
        <v/>
      </c>
      <c r="AS49" s="7">
        <f>P49*0.0081726819</f>
        <v/>
      </c>
      <c r="AT49" s="7">
        <f>Q49*0.0081726819</f>
        <v/>
      </c>
      <c r="AU49" s="7">
        <f>R49*0.0081726819</f>
        <v/>
      </c>
      <c r="AV49" s="7">
        <f>S49*0.0081726819</f>
        <v/>
      </c>
      <c r="AW49" s="7">
        <f>T49*0.0081726819</f>
        <v/>
      </c>
      <c r="AX49" s="7">
        <f>U49*0.0081726819</f>
        <v/>
      </c>
      <c r="AY49" s="7">
        <f>V49*0.0081726819</f>
        <v/>
      </c>
      <c r="AZ49" s="7">
        <f>W49*0.0081726819</f>
        <v/>
      </c>
      <c r="BA49" s="7">
        <f>X49*0.0081726819</f>
        <v/>
      </c>
      <c r="BB49" s="7">
        <f>SUM(AD49:BA49)</f>
        <v/>
      </c>
    </row>
    <row r="50">
      <c r="A50" t="inlineStr">
        <is>
          <t>AMD-FWDPRI-SSC</t>
        </is>
      </c>
      <c r="B50" t="inlineStr">
        <is>
          <t>FWD Priority OSC</t>
        </is>
      </c>
      <c r="C50" s="5" t="n">
        <v>46105</v>
      </c>
      <c r="D50" s="6" t="n">
        <v>151</v>
      </c>
      <c r="E50" s="6" t="n">
        <v>40</v>
      </c>
      <c r="F50" s="6" t="n">
        <v>104</v>
      </c>
      <c r="G50" s="6" t="n">
        <v>161</v>
      </c>
      <c r="H50" s="6" t="n">
        <v>101</v>
      </c>
      <c r="I50" s="6" t="n">
        <v>70</v>
      </c>
      <c r="J50" s="6" t="n">
        <v>17</v>
      </c>
      <c r="K50" s="6" t="n">
        <v>0</v>
      </c>
      <c r="L50" s="6" t="n">
        <v>0</v>
      </c>
      <c r="M50" s="6" t="n">
        <v>0</v>
      </c>
      <c r="N50" s="6" t="n">
        <v>70</v>
      </c>
      <c r="O50" s="6" t="n">
        <v>65</v>
      </c>
      <c r="P50" s="6" t="n">
        <v>2</v>
      </c>
      <c r="Q50" s="6" t="n">
        <v>1</v>
      </c>
      <c r="R50" s="6" t="n">
        <v>0</v>
      </c>
      <c r="S50" s="6" t="n">
        <v>104</v>
      </c>
      <c r="T50" s="6" t="n">
        <v>40</v>
      </c>
      <c r="U50" s="6" t="n">
        <v>96</v>
      </c>
      <c r="V50" s="6" t="n">
        <v>69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0</v>
      </c>
      <c r="AB50" s="6">
        <f>SUM(D50:AA50)</f>
        <v/>
      </c>
      <c r="AC50" s="3" t="inlineStr"/>
      <c r="AD50" s="7">
        <f>Y50*0.0081726819</f>
        <v/>
      </c>
      <c r="AE50" s="7">
        <f>Z50*0.0081726819</f>
        <v/>
      </c>
      <c r="AF50" s="7">
        <f>AA50*0.0081726819</f>
        <v/>
      </c>
      <c r="AG50" s="7">
        <f>D50*0.0081726819</f>
        <v/>
      </c>
      <c r="AH50" s="7">
        <f>E50*0.0081726819</f>
        <v/>
      </c>
      <c r="AI50" s="7">
        <f>F50*0.0081726819</f>
        <v/>
      </c>
      <c r="AJ50" s="7">
        <f>G50*0.0081726819</f>
        <v/>
      </c>
      <c r="AK50" s="7">
        <f>H50*0.0081726819</f>
        <v/>
      </c>
      <c r="AL50" s="7">
        <f>I50*0.0081726819</f>
        <v/>
      </c>
      <c r="AM50" s="7">
        <f>J50*0.0081726819</f>
        <v/>
      </c>
      <c r="AN50" s="7">
        <f>K50*0.0081726819</f>
        <v/>
      </c>
      <c r="AO50" s="7">
        <f>L50*0.0081726819</f>
        <v/>
      </c>
      <c r="AP50" s="7">
        <f>M50*0.0081726819</f>
        <v/>
      </c>
      <c r="AQ50" s="7">
        <f>N50*0.0081726819</f>
        <v/>
      </c>
      <c r="AR50" s="7">
        <f>O50*0.0081726819</f>
        <v/>
      </c>
      <c r="AS50" s="7">
        <f>P50*0.0081726819</f>
        <v/>
      </c>
      <c r="AT50" s="7">
        <f>Q50*0.0081726819</f>
        <v/>
      </c>
      <c r="AU50" s="7">
        <f>R50*0.0081726819</f>
        <v/>
      </c>
      <c r="AV50" s="7">
        <f>S50*0.0081726819</f>
        <v/>
      </c>
      <c r="AW50" s="7">
        <f>T50*0.0081726819</f>
        <v/>
      </c>
      <c r="AX50" s="7">
        <f>U50*0.0081726819</f>
        <v/>
      </c>
      <c r="AY50" s="7">
        <f>V50*0.0081726819</f>
        <v/>
      </c>
      <c r="AZ50" s="7">
        <f>W50*0.0081726819</f>
        <v/>
      </c>
      <c r="BA50" s="7">
        <f>X50*0.0081726819</f>
        <v/>
      </c>
      <c r="BB50" s="7">
        <f>SUM(AD50:BA50)</f>
        <v/>
      </c>
    </row>
    <row r="51">
      <c r="A51" t="inlineStr">
        <is>
          <t>AMD-FWDREG-SSC</t>
        </is>
      </c>
      <c r="B51" t="inlineStr">
        <is>
          <t>Forward Regular OSC</t>
        </is>
      </c>
      <c r="C51" s="5" t="n">
        <v>46098</v>
      </c>
      <c r="D51" s="6" t="n">
        <v>88</v>
      </c>
      <c r="E51" s="6" t="n">
        <v>92</v>
      </c>
      <c r="F51" s="6" t="n">
        <v>165</v>
      </c>
      <c r="G51" s="6" t="n">
        <v>371</v>
      </c>
      <c r="H51" s="6" t="n">
        <v>281</v>
      </c>
      <c r="I51" s="6" t="n">
        <v>265</v>
      </c>
      <c r="J51" s="6" t="n">
        <v>193</v>
      </c>
      <c r="K51" s="6" t="n">
        <v>1</v>
      </c>
      <c r="L51" s="6" t="n">
        <v>149</v>
      </c>
      <c r="M51" s="6" t="n">
        <v>282</v>
      </c>
      <c r="N51" s="6" t="n">
        <v>298</v>
      </c>
      <c r="O51" s="6" t="n">
        <v>278</v>
      </c>
      <c r="P51" s="6" t="n">
        <v>220</v>
      </c>
      <c r="Q51" s="6" t="n">
        <v>95</v>
      </c>
      <c r="R51" s="6" t="n">
        <v>381</v>
      </c>
      <c r="S51" s="6" t="n">
        <v>303</v>
      </c>
      <c r="T51" s="6" t="n">
        <v>196</v>
      </c>
      <c r="U51" s="6" t="n">
        <v>128</v>
      </c>
      <c r="V51" s="6" t="n">
        <v>204</v>
      </c>
      <c r="W51" s="6" t="n">
        <v>205</v>
      </c>
      <c r="X51" s="6" t="n">
        <v>182</v>
      </c>
      <c r="Y51" s="6" t="n">
        <v>151</v>
      </c>
      <c r="Z51" s="6" t="n">
        <v>0</v>
      </c>
      <c r="AA51" s="6" t="n">
        <v>123</v>
      </c>
      <c r="AB51" s="6">
        <f>SUM(D51:AA51)</f>
        <v/>
      </c>
      <c r="AC51" s="3" t="inlineStr"/>
      <c r="AD51" s="7">
        <f>Y51*0.0081726819</f>
        <v/>
      </c>
      <c r="AE51" s="7">
        <f>Z51*0.0081726819</f>
        <v/>
      </c>
      <c r="AF51" s="7">
        <f>AA51*0.0081726819</f>
        <v/>
      </c>
      <c r="AG51" s="7">
        <f>D51*0.0081726819</f>
        <v/>
      </c>
      <c r="AH51" s="7">
        <f>E51*0.0081726819</f>
        <v/>
      </c>
      <c r="AI51" s="7">
        <f>F51*0.0081726819</f>
        <v/>
      </c>
      <c r="AJ51" s="7">
        <f>G51*0.0081726819</f>
        <v/>
      </c>
      <c r="AK51" s="7">
        <f>H51*0.0081726819</f>
        <v/>
      </c>
      <c r="AL51" s="7">
        <f>I51*0.0081726819</f>
        <v/>
      </c>
      <c r="AM51" s="7">
        <f>J51*0.0081726819</f>
        <v/>
      </c>
      <c r="AN51" s="7">
        <f>K51*0.0081726819</f>
        <v/>
      </c>
      <c r="AO51" s="7">
        <f>L51*0.0081726819</f>
        <v/>
      </c>
      <c r="AP51" s="7">
        <f>M51*0.0081726819</f>
        <v/>
      </c>
      <c r="AQ51" s="7">
        <f>N51*0.0081726819</f>
        <v/>
      </c>
      <c r="AR51" s="7">
        <f>O51*0.0081726819</f>
        <v/>
      </c>
      <c r="AS51" s="7">
        <f>P51*0.0081726819</f>
        <v/>
      </c>
      <c r="AT51" s="7">
        <f>Q51*0.0081726819</f>
        <v/>
      </c>
      <c r="AU51" s="7">
        <f>R51*0.0081726819</f>
        <v/>
      </c>
      <c r="AV51" s="7">
        <f>S51*0.0081726819</f>
        <v/>
      </c>
      <c r="AW51" s="7">
        <f>T51*0.0081726819</f>
        <v/>
      </c>
      <c r="AX51" s="7">
        <f>U51*0.0081726819</f>
        <v/>
      </c>
      <c r="AY51" s="7">
        <f>V51*0.0081726819</f>
        <v/>
      </c>
      <c r="AZ51" s="7">
        <f>W51*0.0081726819</f>
        <v/>
      </c>
      <c r="BA51" s="7">
        <f>X51*0.0081726819</f>
        <v/>
      </c>
      <c r="BB51" s="7">
        <f>SUM(AD51:BA51)</f>
        <v/>
      </c>
    </row>
    <row r="52">
      <c r="A52" t="inlineStr">
        <is>
          <t>AMD-FWDREG-SSC</t>
        </is>
      </c>
      <c r="B52" t="inlineStr">
        <is>
          <t>Forward Regular OSC</t>
        </is>
      </c>
      <c r="C52" s="5" t="n">
        <v>46099</v>
      </c>
      <c r="D52" s="6" t="n">
        <v>247</v>
      </c>
      <c r="E52" s="6" t="n">
        <v>35</v>
      </c>
      <c r="F52" s="6" t="n">
        <v>255</v>
      </c>
      <c r="G52" s="6" t="n">
        <v>203</v>
      </c>
      <c r="H52" s="6" t="n">
        <v>134</v>
      </c>
      <c r="I52" s="6" t="n">
        <v>201</v>
      </c>
      <c r="J52" s="6" t="n">
        <v>157</v>
      </c>
      <c r="K52" s="6" t="n">
        <v>2</v>
      </c>
      <c r="L52" s="6" t="n">
        <v>195</v>
      </c>
      <c r="M52" s="6" t="n">
        <v>325</v>
      </c>
      <c r="N52" s="6" t="n">
        <v>310</v>
      </c>
      <c r="O52" s="6" t="n">
        <v>266</v>
      </c>
      <c r="P52" s="6" t="n">
        <v>93</v>
      </c>
      <c r="Q52" s="6" t="n">
        <v>223</v>
      </c>
      <c r="R52" s="6" t="n">
        <v>414</v>
      </c>
      <c r="S52" s="6" t="n">
        <v>393</v>
      </c>
      <c r="T52" s="6" t="n">
        <v>364</v>
      </c>
      <c r="U52" s="6" t="n">
        <v>49</v>
      </c>
      <c r="V52" s="6" t="n">
        <v>132</v>
      </c>
      <c r="W52" s="6" t="n">
        <v>166</v>
      </c>
      <c r="X52" s="6" t="n">
        <v>177</v>
      </c>
      <c r="Y52" s="6" t="n">
        <v>119</v>
      </c>
      <c r="Z52" s="6" t="n">
        <v>3</v>
      </c>
      <c r="AA52" s="6" t="n">
        <v>191</v>
      </c>
      <c r="AB52" s="6">
        <f>SUM(D52:AA52)</f>
        <v/>
      </c>
      <c r="AC52" s="3" t="inlineStr"/>
      <c r="AD52" s="7">
        <f>Y52*0.0081726819</f>
        <v/>
      </c>
      <c r="AE52" s="7">
        <f>Z52*0.0081726819</f>
        <v/>
      </c>
      <c r="AF52" s="7">
        <f>AA52*0.0081726819</f>
        <v/>
      </c>
      <c r="AG52" s="7">
        <f>D52*0.0081726819</f>
        <v/>
      </c>
      <c r="AH52" s="7">
        <f>E52*0.0081726819</f>
        <v/>
      </c>
      <c r="AI52" s="7">
        <f>F52*0.0081726819</f>
        <v/>
      </c>
      <c r="AJ52" s="7">
        <f>G52*0.0081726819</f>
        <v/>
      </c>
      <c r="AK52" s="7">
        <f>H52*0.0081726819</f>
        <v/>
      </c>
      <c r="AL52" s="7">
        <f>I52*0.0081726819</f>
        <v/>
      </c>
      <c r="AM52" s="7">
        <f>J52*0.0081726819</f>
        <v/>
      </c>
      <c r="AN52" s="7">
        <f>K52*0.0081726819</f>
        <v/>
      </c>
      <c r="AO52" s="7">
        <f>L52*0.0081726819</f>
        <v/>
      </c>
      <c r="AP52" s="7">
        <f>M52*0.0081726819</f>
        <v/>
      </c>
      <c r="AQ52" s="7">
        <f>N52*0.0081726819</f>
        <v/>
      </c>
      <c r="AR52" s="7">
        <f>O52*0.0081726819</f>
        <v/>
      </c>
      <c r="AS52" s="7">
        <f>P52*0.0081726819</f>
        <v/>
      </c>
      <c r="AT52" s="7">
        <f>Q52*0.0081726819</f>
        <v/>
      </c>
      <c r="AU52" s="7">
        <f>R52*0.0081726819</f>
        <v/>
      </c>
      <c r="AV52" s="7">
        <f>S52*0.0081726819</f>
        <v/>
      </c>
      <c r="AW52" s="7">
        <f>T52*0.0081726819</f>
        <v/>
      </c>
      <c r="AX52" s="7">
        <f>U52*0.0081726819</f>
        <v/>
      </c>
      <c r="AY52" s="7">
        <f>V52*0.0081726819</f>
        <v/>
      </c>
      <c r="AZ52" s="7">
        <f>W52*0.0081726819</f>
        <v/>
      </c>
      <c r="BA52" s="7">
        <f>X52*0.0081726819</f>
        <v/>
      </c>
      <c r="BB52" s="7">
        <f>SUM(AD52:BA52)</f>
        <v/>
      </c>
    </row>
    <row r="53">
      <c r="A53" t="inlineStr">
        <is>
          <t>AMD-FWDREG-SSC</t>
        </is>
      </c>
      <c r="B53" t="inlineStr">
        <is>
          <t>Forward Regular OSC</t>
        </is>
      </c>
      <c r="C53" s="5" t="n">
        <v>46100</v>
      </c>
      <c r="D53" s="6" t="n">
        <v>361</v>
      </c>
      <c r="E53" s="6" t="n">
        <v>99</v>
      </c>
      <c r="F53" s="6" t="n">
        <v>272</v>
      </c>
      <c r="G53" s="6" t="n">
        <v>345</v>
      </c>
      <c r="H53" s="6" t="n">
        <v>172</v>
      </c>
      <c r="I53" s="6" t="n">
        <v>273</v>
      </c>
      <c r="J53" s="6" t="n">
        <v>93</v>
      </c>
      <c r="K53" s="6" t="n">
        <v>7</v>
      </c>
      <c r="L53" s="6" t="n">
        <v>118</v>
      </c>
      <c r="M53" s="6" t="n">
        <v>266</v>
      </c>
      <c r="N53" s="6" t="n">
        <v>282</v>
      </c>
      <c r="O53" s="6" t="n">
        <v>294</v>
      </c>
      <c r="P53" s="6" t="n">
        <v>276</v>
      </c>
      <c r="Q53" s="6" t="n">
        <v>122</v>
      </c>
      <c r="R53" s="6" t="n">
        <v>186</v>
      </c>
      <c r="S53" s="6" t="n">
        <v>68</v>
      </c>
      <c r="T53" s="6" t="n">
        <v>45</v>
      </c>
      <c r="U53" s="6" t="n">
        <v>63</v>
      </c>
      <c r="V53" s="6" t="n">
        <v>68</v>
      </c>
      <c r="W53" s="6" t="n">
        <v>77</v>
      </c>
      <c r="X53" s="6" t="n">
        <v>80</v>
      </c>
      <c r="Y53" s="6" t="n">
        <v>59</v>
      </c>
      <c r="Z53" s="6" t="n">
        <v>0</v>
      </c>
      <c r="AA53" s="6" t="n">
        <v>0</v>
      </c>
      <c r="AB53" s="6">
        <f>SUM(D53:AA53)</f>
        <v/>
      </c>
      <c r="AC53" s="3" t="inlineStr"/>
      <c r="AD53" s="7">
        <f>Y53*0.0081726819</f>
        <v/>
      </c>
      <c r="AE53" s="7">
        <f>Z53*0.0081726819</f>
        <v/>
      </c>
      <c r="AF53" s="7">
        <f>AA53*0.0081726819</f>
        <v/>
      </c>
      <c r="AG53" s="7">
        <f>D53*0.0081726819</f>
        <v/>
      </c>
      <c r="AH53" s="7">
        <f>E53*0.0081726819</f>
        <v/>
      </c>
      <c r="AI53" s="7">
        <f>F53*0.0081726819</f>
        <v/>
      </c>
      <c r="AJ53" s="7">
        <f>G53*0.0081726819</f>
        <v/>
      </c>
      <c r="AK53" s="7">
        <f>H53*0.0081726819</f>
        <v/>
      </c>
      <c r="AL53" s="7">
        <f>I53*0.0081726819</f>
        <v/>
      </c>
      <c r="AM53" s="7">
        <f>J53*0.0081726819</f>
        <v/>
      </c>
      <c r="AN53" s="7">
        <f>K53*0.0081726819</f>
        <v/>
      </c>
      <c r="AO53" s="7">
        <f>L53*0.0081726819</f>
        <v/>
      </c>
      <c r="AP53" s="7">
        <f>M53*0.0081726819</f>
        <v/>
      </c>
      <c r="AQ53" s="7">
        <f>N53*0.0081726819</f>
        <v/>
      </c>
      <c r="AR53" s="7">
        <f>O53*0.0081726819</f>
        <v/>
      </c>
      <c r="AS53" s="7">
        <f>P53*0.0081726819</f>
        <v/>
      </c>
      <c r="AT53" s="7">
        <f>Q53*0.0081726819</f>
        <v/>
      </c>
      <c r="AU53" s="7">
        <f>R53*0.0081726819</f>
        <v/>
      </c>
      <c r="AV53" s="7">
        <f>S53*0.0081726819</f>
        <v/>
      </c>
      <c r="AW53" s="7">
        <f>T53*0.0081726819</f>
        <v/>
      </c>
      <c r="AX53" s="7">
        <f>U53*0.0081726819</f>
        <v/>
      </c>
      <c r="AY53" s="7">
        <f>V53*0.0081726819</f>
        <v/>
      </c>
      <c r="AZ53" s="7">
        <f>W53*0.0081726819</f>
        <v/>
      </c>
      <c r="BA53" s="7">
        <f>X53*0.0081726819</f>
        <v/>
      </c>
      <c r="BB53" s="7">
        <f>SUM(AD53:BA53)</f>
        <v/>
      </c>
    </row>
    <row r="54">
      <c r="A54" t="inlineStr">
        <is>
          <t>AMD-FWDREG-SSC</t>
        </is>
      </c>
      <c r="B54" t="inlineStr">
        <is>
          <t>Forward Regular OSC</t>
        </is>
      </c>
      <c r="C54" s="5" t="n">
        <v>46101</v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31</v>
      </c>
      <c r="M54" s="6" t="n">
        <v>254</v>
      </c>
      <c r="N54" s="6" t="n">
        <v>295</v>
      </c>
      <c r="O54" s="6" t="n">
        <v>269</v>
      </c>
      <c r="P54" s="6" t="n">
        <v>108</v>
      </c>
      <c r="Q54" s="6" t="n">
        <v>279</v>
      </c>
      <c r="R54" s="6" t="n">
        <v>351</v>
      </c>
      <c r="S54" s="6" t="n">
        <v>405</v>
      </c>
      <c r="T54" s="6" t="n">
        <v>381</v>
      </c>
      <c r="U54" s="6" t="n">
        <v>17</v>
      </c>
      <c r="V54" s="6" t="n">
        <v>272</v>
      </c>
      <c r="W54" s="6" t="n">
        <v>252</v>
      </c>
      <c r="X54" s="6" t="n">
        <v>240</v>
      </c>
      <c r="Y54" s="6" t="n">
        <v>73</v>
      </c>
      <c r="Z54" s="6" t="n">
        <v>1</v>
      </c>
      <c r="AA54" s="6" t="n">
        <v>104</v>
      </c>
      <c r="AB54" s="6">
        <f>SUM(D54:AA54)</f>
        <v/>
      </c>
      <c r="AC54" s="3" t="inlineStr"/>
      <c r="AD54" s="7">
        <f>Y54*0.0081726819</f>
        <v/>
      </c>
      <c r="AE54" s="7">
        <f>Z54*0.0081726819</f>
        <v/>
      </c>
      <c r="AF54" s="7">
        <f>AA54*0.0081726819</f>
        <v/>
      </c>
      <c r="AG54" s="7">
        <f>D54*0.0081726819</f>
        <v/>
      </c>
      <c r="AH54" s="7">
        <f>E54*0.0081726819</f>
        <v/>
      </c>
      <c r="AI54" s="7">
        <f>F54*0.0081726819</f>
        <v/>
      </c>
      <c r="AJ54" s="7">
        <f>G54*0.0081726819</f>
        <v/>
      </c>
      <c r="AK54" s="7">
        <f>H54*0.0081726819</f>
        <v/>
      </c>
      <c r="AL54" s="7">
        <f>I54*0.0081726819</f>
        <v/>
      </c>
      <c r="AM54" s="7">
        <f>J54*0.0081726819</f>
        <v/>
      </c>
      <c r="AN54" s="7">
        <f>K54*0.0081726819</f>
        <v/>
      </c>
      <c r="AO54" s="7">
        <f>L54*0.0081726819</f>
        <v/>
      </c>
      <c r="AP54" s="7">
        <f>M54*0.0081726819</f>
        <v/>
      </c>
      <c r="AQ54" s="7">
        <f>N54*0.0081726819</f>
        <v/>
      </c>
      <c r="AR54" s="7">
        <f>O54*0.0081726819</f>
        <v/>
      </c>
      <c r="AS54" s="7">
        <f>P54*0.0081726819</f>
        <v/>
      </c>
      <c r="AT54" s="7">
        <f>Q54*0.0081726819</f>
        <v/>
      </c>
      <c r="AU54" s="7">
        <f>R54*0.0081726819</f>
        <v/>
      </c>
      <c r="AV54" s="7">
        <f>S54*0.0081726819</f>
        <v/>
      </c>
      <c r="AW54" s="7">
        <f>T54*0.0081726819</f>
        <v/>
      </c>
      <c r="AX54" s="7">
        <f>U54*0.0081726819</f>
        <v/>
      </c>
      <c r="AY54" s="7">
        <f>V54*0.0081726819</f>
        <v/>
      </c>
      <c r="AZ54" s="7">
        <f>W54*0.0081726819</f>
        <v/>
      </c>
      <c r="BA54" s="7">
        <f>X54*0.0081726819</f>
        <v/>
      </c>
      <c r="BB54" s="7">
        <f>SUM(AD54:BA54)</f>
        <v/>
      </c>
    </row>
    <row r="55">
      <c r="A55" t="inlineStr">
        <is>
          <t>AMD-FWDREG-SSC</t>
        </is>
      </c>
      <c r="B55" t="inlineStr">
        <is>
          <t>Forward Regular OSC</t>
        </is>
      </c>
      <c r="C55" s="5" t="n">
        <v>46102</v>
      </c>
      <c r="D55" s="6" t="n">
        <v>227</v>
      </c>
      <c r="E55" s="6" t="n">
        <v>89</v>
      </c>
      <c r="F55" s="6" t="n">
        <v>220</v>
      </c>
      <c r="G55" s="6" t="n">
        <v>226</v>
      </c>
      <c r="H55" s="6" t="n">
        <v>129</v>
      </c>
      <c r="I55" s="6" t="n">
        <v>108</v>
      </c>
      <c r="J55" s="6" t="n">
        <v>115</v>
      </c>
      <c r="K55" s="6" t="n">
        <v>2</v>
      </c>
      <c r="L55" s="6" t="n">
        <v>0</v>
      </c>
      <c r="M55" s="6" t="n">
        <v>268</v>
      </c>
      <c r="N55" s="6" t="n">
        <v>266</v>
      </c>
      <c r="O55" s="6" t="n">
        <v>234</v>
      </c>
      <c r="P55" s="6" t="n">
        <v>160</v>
      </c>
      <c r="Q55" s="6" t="n">
        <v>142</v>
      </c>
      <c r="R55" s="6" t="n">
        <v>62</v>
      </c>
      <c r="S55" s="6" t="n">
        <v>59</v>
      </c>
      <c r="T55" s="6" t="n">
        <v>67</v>
      </c>
      <c r="U55" s="6" t="n">
        <v>5</v>
      </c>
      <c r="V55" s="6" t="n">
        <v>0</v>
      </c>
      <c r="W55" s="6" t="n">
        <v>7</v>
      </c>
      <c r="X55" s="6" t="n">
        <v>0</v>
      </c>
      <c r="Y55" s="6" t="n">
        <v>0</v>
      </c>
      <c r="Z55" s="6" t="n">
        <v>0</v>
      </c>
      <c r="AA55" s="6" t="n">
        <v>9</v>
      </c>
      <c r="AB55" s="6">
        <f>SUM(D55:AA55)</f>
        <v/>
      </c>
      <c r="AC55" s="3" t="inlineStr"/>
      <c r="AD55" s="7">
        <f>Y55*0.0081726819</f>
        <v/>
      </c>
      <c r="AE55" s="7">
        <f>Z55*0.0081726819</f>
        <v/>
      </c>
      <c r="AF55" s="7">
        <f>AA55*0.0081726819</f>
        <v/>
      </c>
      <c r="AG55" s="7">
        <f>D55*0.0081726819</f>
        <v/>
      </c>
      <c r="AH55" s="7">
        <f>E55*0.0081726819</f>
        <v/>
      </c>
      <c r="AI55" s="7">
        <f>F55*0.0081726819</f>
        <v/>
      </c>
      <c r="AJ55" s="7">
        <f>G55*0.0081726819</f>
        <v/>
      </c>
      <c r="AK55" s="7">
        <f>H55*0.0081726819</f>
        <v/>
      </c>
      <c r="AL55" s="7">
        <f>I55*0.0081726819</f>
        <v/>
      </c>
      <c r="AM55" s="7">
        <f>J55*0.0081726819</f>
        <v/>
      </c>
      <c r="AN55" s="7">
        <f>K55*0.0081726819</f>
        <v/>
      </c>
      <c r="AO55" s="7">
        <f>L55*0.0081726819</f>
        <v/>
      </c>
      <c r="AP55" s="7">
        <f>M55*0.0081726819</f>
        <v/>
      </c>
      <c r="AQ55" s="7">
        <f>N55*0.0081726819</f>
        <v/>
      </c>
      <c r="AR55" s="7">
        <f>O55*0.0081726819</f>
        <v/>
      </c>
      <c r="AS55" s="7">
        <f>P55*0.0081726819</f>
        <v/>
      </c>
      <c r="AT55" s="7">
        <f>Q55*0.0081726819</f>
        <v/>
      </c>
      <c r="AU55" s="7">
        <f>R55*0.0081726819</f>
        <v/>
      </c>
      <c r="AV55" s="7">
        <f>S55*0.0081726819</f>
        <v/>
      </c>
      <c r="AW55" s="7">
        <f>T55*0.0081726819</f>
        <v/>
      </c>
      <c r="AX55" s="7">
        <f>U55*0.0081726819</f>
        <v/>
      </c>
      <c r="AY55" s="7">
        <f>V55*0.0081726819</f>
        <v/>
      </c>
      <c r="AZ55" s="7">
        <f>W55*0.0081726819</f>
        <v/>
      </c>
      <c r="BA55" s="7">
        <f>X55*0.0081726819</f>
        <v/>
      </c>
      <c r="BB55" s="7">
        <f>SUM(AD55:BA55)</f>
        <v/>
      </c>
    </row>
    <row r="56">
      <c r="A56" t="inlineStr">
        <is>
          <t>AMD-FWDREG-SSC</t>
        </is>
      </c>
      <c r="B56" t="inlineStr">
        <is>
          <t>Forward Regular OSC</t>
        </is>
      </c>
      <c r="C56" s="5" t="n">
        <v>46103</v>
      </c>
      <c r="D56" s="6" t="n">
        <v>275</v>
      </c>
      <c r="E56" s="6" t="n">
        <v>62</v>
      </c>
      <c r="F56" s="6" t="n">
        <v>184</v>
      </c>
      <c r="G56" s="6" t="n">
        <v>254</v>
      </c>
      <c r="H56" s="6" t="n">
        <v>146</v>
      </c>
      <c r="I56" s="6" t="n">
        <v>130</v>
      </c>
      <c r="J56" s="6" t="n">
        <v>15</v>
      </c>
      <c r="K56" s="6" t="n">
        <v>1</v>
      </c>
      <c r="L56" s="6" t="n">
        <v>0</v>
      </c>
      <c r="M56" s="6" t="n">
        <v>227</v>
      </c>
      <c r="N56" s="6" t="n">
        <v>268</v>
      </c>
      <c r="O56" s="6" t="n">
        <v>227</v>
      </c>
      <c r="P56" s="6" t="n">
        <v>83</v>
      </c>
      <c r="Q56" s="6" t="n">
        <v>48</v>
      </c>
      <c r="R56" s="6" t="n">
        <v>258</v>
      </c>
      <c r="S56" s="6" t="n">
        <v>96</v>
      </c>
      <c r="T56" s="6" t="n">
        <v>5</v>
      </c>
      <c r="U56" s="6" t="n">
        <v>18</v>
      </c>
      <c r="V56" s="6" t="n">
        <v>10</v>
      </c>
      <c r="W56" s="6" t="n">
        <v>44</v>
      </c>
      <c r="X56" s="6" t="n">
        <v>49</v>
      </c>
      <c r="Y56" s="6" t="n">
        <v>50</v>
      </c>
      <c r="Z56" s="6" t="n">
        <v>2</v>
      </c>
      <c r="AA56" s="6" t="n">
        <v>0</v>
      </c>
      <c r="AB56" s="6">
        <f>SUM(D56:AA56)</f>
        <v/>
      </c>
      <c r="AC56" s="3" t="inlineStr"/>
      <c r="AD56" s="7">
        <f>Y56*0.0081726819</f>
        <v/>
      </c>
      <c r="AE56" s="7">
        <f>Z56*0.0081726819</f>
        <v/>
      </c>
      <c r="AF56" s="7">
        <f>AA56*0.0081726819</f>
        <v/>
      </c>
      <c r="AG56" s="7">
        <f>D56*0.0081726819</f>
        <v/>
      </c>
      <c r="AH56" s="7">
        <f>E56*0.0081726819</f>
        <v/>
      </c>
      <c r="AI56" s="7">
        <f>F56*0.0081726819</f>
        <v/>
      </c>
      <c r="AJ56" s="7">
        <f>G56*0.0081726819</f>
        <v/>
      </c>
      <c r="AK56" s="7">
        <f>H56*0.0081726819</f>
        <v/>
      </c>
      <c r="AL56" s="7">
        <f>I56*0.0081726819</f>
        <v/>
      </c>
      <c r="AM56" s="7">
        <f>J56*0.0081726819</f>
        <v/>
      </c>
      <c r="AN56" s="7">
        <f>K56*0.0081726819</f>
        <v/>
      </c>
      <c r="AO56" s="7">
        <f>L56*0.0081726819</f>
        <v/>
      </c>
      <c r="AP56" s="7">
        <f>M56*0.0081726819</f>
        <v/>
      </c>
      <c r="AQ56" s="7">
        <f>N56*0.0081726819</f>
        <v/>
      </c>
      <c r="AR56" s="7">
        <f>O56*0.0081726819</f>
        <v/>
      </c>
      <c r="AS56" s="7">
        <f>P56*0.0081726819</f>
        <v/>
      </c>
      <c r="AT56" s="7">
        <f>Q56*0.0081726819</f>
        <v/>
      </c>
      <c r="AU56" s="7">
        <f>R56*0.0081726819</f>
        <v/>
      </c>
      <c r="AV56" s="7">
        <f>S56*0.0081726819</f>
        <v/>
      </c>
      <c r="AW56" s="7">
        <f>T56*0.0081726819</f>
        <v/>
      </c>
      <c r="AX56" s="7">
        <f>U56*0.0081726819</f>
        <v/>
      </c>
      <c r="AY56" s="7">
        <f>V56*0.0081726819</f>
        <v/>
      </c>
      <c r="AZ56" s="7">
        <f>W56*0.0081726819</f>
        <v/>
      </c>
      <c r="BA56" s="7">
        <f>X56*0.0081726819</f>
        <v/>
      </c>
      <c r="BB56" s="7">
        <f>SUM(AD56:BA56)</f>
        <v/>
      </c>
    </row>
    <row r="57">
      <c r="A57" t="inlineStr">
        <is>
          <t>AMD-FWDREG-SSC</t>
        </is>
      </c>
      <c r="B57" t="inlineStr">
        <is>
          <t>Forward Regular OSC</t>
        </is>
      </c>
      <c r="C57" s="5" t="n">
        <v>46104</v>
      </c>
      <c r="D57" s="6" t="n">
        <v>201</v>
      </c>
      <c r="E57" s="6" t="n">
        <v>154</v>
      </c>
      <c r="F57" s="6" t="n">
        <v>5</v>
      </c>
      <c r="G57" s="6" t="n">
        <v>222</v>
      </c>
      <c r="H57" s="6" t="n">
        <v>114</v>
      </c>
      <c r="I57" s="6" t="n">
        <v>147</v>
      </c>
      <c r="J57" s="6" t="n">
        <v>7</v>
      </c>
      <c r="K57" s="6" t="n">
        <v>0</v>
      </c>
      <c r="L57" s="6" t="n">
        <v>6</v>
      </c>
      <c r="M57" s="6" t="n">
        <v>396</v>
      </c>
      <c r="N57" s="6" t="n">
        <v>218</v>
      </c>
      <c r="O57" s="6" t="n">
        <v>1</v>
      </c>
      <c r="P57" s="6" t="n">
        <v>0</v>
      </c>
      <c r="Q57" s="6" t="n">
        <v>0</v>
      </c>
      <c r="R57" s="6" t="n">
        <v>89</v>
      </c>
      <c r="S57" s="6" t="n">
        <v>68</v>
      </c>
      <c r="T57" s="6" t="n">
        <v>7</v>
      </c>
      <c r="U57" s="6" t="n">
        <v>62</v>
      </c>
      <c r="V57" s="6" t="n">
        <v>38</v>
      </c>
      <c r="W57" s="6" t="n">
        <v>38</v>
      </c>
      <c r="X57" s="6" t="n">
        <v>29</v>
      </c>
      <c r="Y57" s="6" t="n">
        <v>9</v>
      </c>
      <c r="Z57" s="6" t="n">
        <v>0</v>
      </c>
      <c r="AA57" s="6" t="n">
        <v>36</v>
      </c>
      <c r="AB57" s="6">
        <f>SUM(D57:AA57)</f>
        <v/>
      </c>
      <c r="AC57" s="3" t="inlineStr"/>
      <c r="AD57" s="7">
        <f>Y57*0.0081726819</f>
        <v/>
      </c>
      <c r="AE57" s="7">
        <f>Z57*0.0081726819</f>
        <v/>
      </c>
      <c r="AF57" s="7">
        <f>AA57*0.0081726819</f>
        <v/>
      </c>
      <c r="AG57" s="7">
        <f>D57*0.0081726819</f>
        <v/>
      </c>
      <c r="AH57" s="7">
        <f>E57*0.0081726819</f>
        <v/>
      </c>
      <c r="AI57" s="7">
        <f>F57*0.0081726819</f>
        <v/>
      </c>
      <c r="AJ57" s="7">
        <f>G57*0.0081726819</f>
        <v/>
      </c>
      <c r="AK57" s="7">
        <f>H57*0.0081726819</f>
        <v/>
      </c>
      <c r="AL57" s="7">
        <f>I57*0.0081726819</f>
        <v/>
      </c>
      <c r="AM57" s="7">
        <f>J57*0.0081726819</f>
        <v/>
      </c>
      <c r="AN57" s="7">
        <f>K57*0.0081726819</f>
        <v/>
      </c>
      <c r="AO57" s="7">
        <f>L57*0.0081726819</f>
        <v/>
      </c>
      <c r="AP57" s="7">
        <f>M57*0.0081726819</f>
        <v/>
      </c>
      <c r="AQ57" s="7">
        <f>N57*0.0081726819</f>
        <v/>
      </c>
      <c r="AR57" s="7">
        <f>O57*0.0081726819</f>
        <v/>
      </c>
      <c r="AS57" s="7">
        <f>P57*0.0081726819</f>
        <v/>
      </c>
      <c r="AT57" s="7">
        <f>Q57*0.0081726819</f>
        <v/>
      </c>
      <c r="AU57" s="7">
        <f>R57*0.0081726819</f>
        <v/>
      </c>
      <c r="AV57" s="7">
        <f>S57*0.0081726819</f>
        <v/>
      </c>
      <c r="AW57" s="7">
        <f>T57*0.0081726819</f>
        <v/>
      </c>
      <c r="AX57" s="7">
        <f>U57*0.0081726819</f>
        <v/>
      </c>
      <c r="AY57" s="7">
        <f>V57*0.0081726819</f>
        <v/>
      </c>
      <c r="AZ57" s="7">
        <f>W57*0.0081726819</f>
        <v/>
      </c>
      <c r="BA57" s="7">
        <f>X57*0.0081726819</f>
        <v/>
      </c>
      <c r="BB57" s="7">
        <f>SUM(AD57:BA57)</f>
        <v/>
      </c>
    </row>
    <row r="58">
      <c r="A58" t="inlineStr">
        <is>
          <t>AMD-FWDREG-SSC</t>
        </is>
      </c>
      <c r="B58" t="inlineStr">
        <is>
          <t>Forward Regular OSC</t>
        </is>
      </c>
      <c r="C58" s="5" t="n">
        <v>46105</v>
      </c>
      <c r="D58" s="6" t="n">
        <v>447</v>
      </c>
      <c r="E58" s="6" t="n">
        <v>81</v>
      </c>
      <c r="F58" s="6" t="n">
        <v>256</v>
      </c>
      <c r="G58" s="6" t="n">
        <v>219</v>
      </c>
      <c r="H58" s="6" t="n">
        <v>138</v>
      </c>
      <c r="I58" s="6" t="n">
        <v>263</v>
      </c>
      <c r="J58" s="6" t="n">
        <v>218</v>
      </c>
      <c r="K58" s="6" t="n">
        <v>0</v>
      </c>
      <c r="L58" s="6" t="n">
        <v>1</v>
      </c>
      <c r="M58" s="6" t="n">
        <v>448</v>
      </c>
      <c r="N58" s="6" t="n">
        <v>297</v>
      </c>
      <c r="O58" s="6" t="n">
        <v>256</v>
      </c>
      <c r="P58" s="6" t="n">
        <v>159</v>
      </c>
      <c r="Q58" s="6" t="n">
        <v>355</v>
      </c>
      <c r="R58" s="6" t="n">
        <v>189</v>
      </c>
      <c r="S58" s="6" t="n">
        <v>10</v>
      </c>
      <c r="T58" s="6" t="n">
        <v>39</v>
      </c>
      <c r="U58" s="6" t="n">
        <v>96</v>
      </c>
      <c r="V58" s="6" t="n">
        <v>62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0</v>
      </c>
      <c r="AB58" s="6">
        <f>SUM(D58:AA58)</f>
        <v/>
      </c>
      <c r="AC58" s="3" t="inlineStr"/>
      <c r="AD58" s="7">
        <f>Y58*0.0081726819</f>
        <v/>
      </c>
      <c r="AE58" s="7">
        <f>Z58*0.0081726819</f>
        <v/>
      </c>
      <c r="AF58" s="7">
        <f>AA58*0.0081726819</f>
        <v/>
      </c>
      <c r="AG58" s="7">
        <f>D58*0.0081726819</f>
        <v/>
      </c>
      <c r="AH58" s="7">
        <f>E58*0.0081726819</f>
        <v/>
      </c>
      <c r="AI58" s="7">
        <f>F58*0.0081726819</f>
        <v/>
      </c>
      <c r="AJ58" s="7">
        <f>G58*0.0081726819</f>
        <v/>
      </c>
      <c r="AK58" s="7">
        <f>H58*0.0081726819</f>
        <v/>
      </c>
      <c r="AL58" s="7">
        <f>I58*0.0081726819</f>
        <v/>
      </c>
      <c r="AM58" s="7">
        <f>J58*0.0081726819</f>
        <v/>
      </c>
      <c r="AN58" s="7">
        <f>K58*0.0081726819</f>
        <v/>
      </c>
      <c r="AO58" s="7">
        <f>L58*0.0081726819</f>
        <v/>
      </c>
      <c r="AP58" s="7">
        <f>M58*0.0081726819</f>
        <v/>
      </c>
      <c r="AQ58" s="7">
        <f>N58*0.0081726819</f>
        <v/>
      </c>
      <c r="AR58" s="7">
        <f>O58*0.0081726819</f>
        <v/>
      </c>
      <c r="AS58" s="7">
        <f>P58*0.0081726819</f>
        <v/>
      </c>
      <c r="AT58" s="7">
        <f>Q58*0.0081726819</f>
        <v/>
      </c>
      <c r="AU58" s="7">
        <f>R58*0.0081726819</f>
        <v/>
      </c>
      <c r="AV58" s="7">
        <f>S58*0.0081726819</f>
        <v/>
      </c>
      <c r="AW58" s="7">
        <f>T58*0.0081726819</f>
        <v/>
      </c>
      <c r="AX58" s="7">
        <f>U58*0.0081726819</f>
        <v/>
      </c>
      <c r="AY58" s="7">
        <f>V58*0.0081726819</f>
        <v/>
      </c>
      <c r="AZ58" s="7">
        <f>W58*0.0081726819</f>
        <v/>
      </c>
      <c r="BA58" s="7">
        <f>X58*0.0081726819</f>
        <v/>
      </c>
      <c r="BB58" s="7">
        <f>SUM(AD58:BA58)</f>
        <v/>
      </c>
    </row>
    <row r="59">
      <c r="A59" t="inlineStr">
        <is>
          <t>AMD-INTRA-SSC</t>
        </is>
      </c>
      <c r="B59" t="inlineStr">
        <is>
          <t>Forward Regular OSC</t>
        </is>
      </c>
      <c r="C59" s="5" t="n">
        <v>46098</v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Q59" s="6" t="n">
        <v>0</v>
      </c>
      <c r="R59" s="6" t="n">
        <v>0</v>
      </c>
      <c r="S59" s="6" t="n">
        <v>0</v>
      </c>
      <c r="T59" s="6" t="n">
        <v>7</v>
      </c>
      <c r="U59" s="6" t="n">
        <v>6</v>
      </c>
      <c r="V59" s="6" t="n">
        <v>0</v>
      </c>
      <c r="W59" s="6" t="n">
        <v>0</v>
      </c>
      <c r="X59" s="6" t="n">
        <v>0</v>
      </c>
      <c r="Y59" s="6" t="n">
        <v>6</v>
      </c>
      <c r="Z59" s="6" t="n">
        <v>10</v>
      </c>
      <c r="AA59" s="6" t="n">
        <v>7</v>
      </c>
      <c r="AB59" s="6">
        <f>SUM(D59:AA59)</f>
        <v/>
      </c>
      <c r="AC59" s="3" t="inlineStr"/>
      <c r="AD59" s="7">
        <f>Y59*0.0081726819</f>
        <v/>
      </c>
      <c r="AE59" s="7">
        <f>Z59*0.0081726819</f>
        <v/>
      </c>
      <c r="AF59" s="7">
        <f>AA59*0.0081726819</f>
        <v/>
      </c>
      <c r="AG59" s="7">
        <f>D59*0.0081726819</f>
        <v/>
      </c>
      <c r="AH59" s="7">
        <f>E59*0.0081726819</f>
        <v/>
      </c>
      <c r="AI59" s="7">
        <f>F59*0.0081726819</f>
        <v/>
      </c>
      <c r="AJ59" s="7">
        <f>G59*0.0081726819</f>
        <v/>
      </c>
      <c r="AK59" s="7">
        <f>H59*0.0081726819</f>
        <v/>
      </c>
      <c r="AL59" s="7">
        <f>I59*0.0081726819</f>
        <v/>
      </c>
      <c r="AM59" s="7">
        <f>J59*0.0081726819</f>
        <v/>
      </c>
      <c r="AN59" s="7">
        <f>K59*0.0081726819</f>
        <v/>
      </c>
      <c r="AO59" s="7">
        <f>L59*0.0081726819</f>
        <v/>
      </c>
      <c r="AP59" s="7">
        <f>M59*0.0081726819</f>
        <v/>
      </c>
      <c r="AQ59" s="7">
        <f>N59*0.0081726819</f>
        <v/>
      </c>
      <c r="AR59" s="7">
        <f>O59*0.0081726819</f>
        <v/>
      </c>
      <c r="AS59" s="7">
        <f>P59*0.0081726819</f>
        <v/>
      </c>
      <c r="AT59" s="7">
        <f>Q59*0.0081726819</f>
        <v/>
      </c>
      <c r="AU59" s="7">
        <f>R59*0.0081726819</f>
        <v/>
      </c>
      <c r="AV59" s="7">
        <f>S59*0.0081726819</f>
        <v/>
      </c>
      <c r="AW59" s="7">
        <f>T59*0.0081726819</f>
        <v/>
      </c>
      <c r="AX59" s="7">
        <f>U59*0.0081726819</f>
        <v/>
      </c>
      <c r="AY59" s="7">
        <f>V59*0.0081726819</f>
        <v/>
      </c>
      <c r="AZ59" s="7">
        <f>W59*0.0081726819</f>
        <v/>
      </c>
      <c r="BA59" s="7">
        <f>X59*0.0081726819</f>
        <v/>
      </c>
      <c r="BB59" s="7">
        <f>SUM(AD59:BA59)</f>
        <v/>
      </c>
    </row>
    <row r="60">
      <c r="A60" t="inlineStr">
        <is>
          <t>AMD-INTRA-SSC</t>
        </is>
      </c>
      <c r="B60" t="inlineStr">
        <is>
          <t>Forward Regular OSC</t>
        </is>
      </c>
      <c r="C60" s="5" t="n">
        <v>46099</v>
      </c>
      <c r="D60" s="6" t="n">
        <v>13</v>
      </c>
      <c r="E60" s="6" t="n">
        <v>5</v>
      </c>
      <c r="F60" s="6" t="n">
        <v>10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0</v>
      </c>
      <c r="Q60" s="6" t="n">
        <v>6</v>
      </c>
      <c r="R60" s="6" t="n">
        <v>6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8</v>
      </c>
      <c r="Z60" s="6" t="n">
        <v>0</v>
      </c>
      <c r="AA60" s="6" t="n">
        <v>11</v>
      </c>
      <c r="AB60" s="6">
        <f>SUM(D60:AA60)</f>
        <v/>
      </c>
      <c r="AC60" s="3" t="inlineStr"/>
      <c r="AD60" s="7">
        <f>Y60*0.0081726819</f>
        <v/>
      </c>
      <c r="AE60" s="7">
        <f>Z60*0.0081726819</f>
        <v/>
      </c>
      <c r="AF60" s="7">
        <f>AA60*0.0081726819</f>
        <v/>
      </c>
      <c r="AG60" s="7">
        <f>D60*0.0081726819</f>
        <v/>
      </c>
      <c r="AH60" s="7">
        <f>E60*0.0081726819</f>
        <v/>
      </c>
      <c r="AI60" s="7">
        <f>F60*0.0081726819</f>
        <v/>
      </c>
      <c r="AJ60" s="7">
        <f>G60*0.0081726819</f>
        <v/>
      </c>
      <c r="AK60" s="7">
        <f>H60*0.0081726819</f>
        <v/>
      </c>
      <c r="AL60" s="7">
        <f>I60*0.0081726819</f>
        <v/>
      </c>
      <c r="AM60" s="7">
        <f>J60*0.0081726819</f>
        <v/>
      </c>
      <c r="AN60" s="7">
        <f>K60*0.0081726819</f>
        <v/>
      </c>
      <c r="AO60" s="7">
        <f>L60*0.0081726819</f>
        <v/>
      </c>
      <c r="AP60" s="7">
        <f>M60*0.0081726819</f>
        <v/>
      </c>
      <c r="AQ60" s="7">
        <f>N60*0.0081726819</f>
        <v/>
      </c>
      <c r="AR60" s="7">
        <f>O60*0.0081726819</f>
        <v/>
      </c>
      <c r="AS60" s="7">
        <f>P60*0.0081726819</f>
        <v/>
      </c>
      <c r="AT60" s="7">
        <f>Q60*0.0081726819</f>
        <v/>
      </c>
      <c r="AU60" s="7">
        <f>R60*0.0081726819</f>
        <v/>
      </c>
      <c r="AV60" s="7">
        <f>S60*0.0081726819</f>
        <v/>
      </c>
      <c r="AW60" s="7">
        <f>T60*0.0081726819</f>
        <v/>
      </c>
      <c r="AX60" s="7">
        <f>U60*0.0081726819</f>
        <v/>
      </c>
      <c r="AY60" s="7">
        <f>V60*0.0081726819</f>
        <v/>
      </c>
      <c r="AZ60" s="7">
        <f>W60*0.0081726819</f>
        <v/>
      </c>
      <c r="BA60" s="7">
        <f>X60*0.0081726819</f>
        <v/>
      </c>
      <c r="BB60" s="7">
        <f>SUM(AD60:BA60)</f>
        <v/>
      </c>
    </row>
    <row r="61">
      <c r="A61" t="inlineStr">
        <is>
          <t>AMD-INTRA-SSC</t>
        </is>
      </c>
      <c r="B61" t="inlineStr">
        <is>
          <t>Forward Regular OSC</t>
        </is>
      </c>
      <c r="C61" s="5" t="n">
        <v>46100</v>
      </c>
      <c r="D61" s="6" t="n">
        <v>12</v>
      </c>
      <c r="E61" s="6" t="n">
        <v>3</v>
      </c>
      <c r="F61" s="6" t="n">
        <v>7</v>
      </c>
      <c r="G61" s="6" t="n">
        <v>0</v>
      </c>
      <c r="H61" s="6" t="n">
        <v>0</v>
      </c>
      <c r="I61" s="6" t="n">
        <v>3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0</v>
      </c>
      <c r="Q61" s="6" t="n">
        <v>6</v>
      </c>
      <c r="R61" s="6" t="n">
        <v>6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1</v>
      </c>
      <c r="X61" s="6" t="n">
        <v>1</v>
      </c>
      <c r="Y61" s="6" t="n">
        <v>6</v>
      </c>
      <c r="Z61" s="6" t="n">
        <v>0</v>
      </c>
      <c r="AA61" s="6" t="n">
        <v>10</v>
      </c>
      <c r="AB61" s="6">
        <f>SUM(D61:AA61)</f>
        <v/>
      </c>
      <c r="AC61" s="3" t="inlineStr"/>
      <c r="AD61" s="7">
        <f>Y61*0.0081726819</f>
        <v/>
      </c>
      <c r="AE61" s="7">
        <f>Z61*0.0081726819</f>
        <v/>
      </c>
      <c r="AF61" s="7">
        <f>AA61*0.0081726819</f>
        <v/>
      </c>
      <c r="AG61" s="7">
        <f>D61*0.0081726819</f>
        <v/>
      </c>
      <c r="AH61" s="7">
        <f>E61*0.0081726819</f>
        <v/>
      </c>
      <c r="AI61" s="7">
        <f>F61*0.0081726819</f>
        <v/>
      </c>
      <c r="AJ61" s="7">
        <f>G61*0.0081726819</f>
        <v/>
      </c>
      <c r="AK61" s="7">
        <f>H61*0.0081726819</f>
        <v/>
      </c>
      <c r="AL61" s="7">
        <f>I61*0.0081726819</f>
        <v/>
      </c>
      <c r="AM61" s="7">
        <f>J61*0.0081726819</f>
        <v/>
      </c>
      <c r="AN61" s="7">
        <f>K61*0.0081726819</f>
        <v/>
      </c>
      <c r="AO61" s="7">
        <f>L61*0.0081726819</f>
        <v/>
      </c>
      <c r="AP61" s="7">
        <f>M61*0.0081726819</f>
        <v/>
      </c>
      <c r="AQ61" s="7">
        <f>N61*0.0081726819</f>
        <v/>
      </c>
      <c r="AR61" s="7">
        <f>O61*0.0081726819</f>
        <v/>
      </c>
      <c r="AS61" s="7">
        <f>P61*0.0081726819</f>
        <v/>
      </c>
      <c r="AT61" s="7">
        <f>Q61*0.0081726819</f>
        <v/>
      </c>
      <c r="AU61" s="7">
        <f>R61*0.0081726819</f>
        <v/>
      </c>
      <c r="AV61" s="7">
        <f>S61*0.0081726819</f>
        <v/>
      </c>
      <c r="AW61" s="7">
        <f>T61*0.0081726819</f>
        <v/>
      </c>
      <c r="AX61" s="7">
        <f>U61*0.0081726819</f>
        <v/>
      </c>
      <c r="AY61" s="7">
        <f>V61*0.0081726819</f>
        <v/>
      </c>
      <c r="AZ61" s="7">
        <f>W61*0.0081726819</f>
        <v/>
      </c>
      <c r="BA61" s="7">
        <f>X61*0.0081726819</f>
        <v/>
      </c>
      <c r="BB61" s="7">
        <f>SUM(AD61:BA61)</f>
        <v/>
      </c>
    </row>
    <row r="62">
      <c r="A62" t="inlineStr">
        <is>
          <t>AMD-INTRA-SSC</t>
        </is>
      </c>
      <c r="B62" t="inlineStr">
        <is>
          <t>Forward Regular OSC</t>
        </is>
      </c>
      <c r="C62" s="5" t="n">
        <v>46101</v>
      </c>
      <c r="D62" s="6" t="n">
        <v>9</v>
      </c>
      <c r="E62" s="6" t="n">
        <v>0</v>
      </c>
      <c r="F62" s="6" t="n">
        <v>2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0</v>
      </c>
      <c r="M62" s="6" t="n">
        <v>6</v>
      </c>
      <c r="N62" s="6" t="n">
        <v>0</v>
      </c>
      <c r="O62" s="6" t="n">
        <v>0</v>
      </c>
      <c r="P62" s="6" t="n">
        <v>0</v>
      </c>
      <c r="Q62" s="6" t="n">
        <v>9</v>
      </c>
      <c r="R62" s="6" t="n">
        <v>1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4</v>
      </c>
      <c r="Z62" s="6" t="n">
        <v>8</v>
      </c>
      <c r="AA62" s="6" t="n">
        <v>10</v>
      </c>
      <c r="AB62" s="6">
        <f>SUM(D62:AA62)</f>
        <v/>
      </c>
      <c r="AC62" s="3" t="inlineStr"/>
      <c r="AD62" s="7">
        <f>Y62*0.0081726819</f>
        <v/>
      </c>
      <c r="AE62" s="7">
        <f>Z62*0.0081726819</f>
        <v/>
      </c>
      <c r="AF62" s="7">
        <f>AA62*0.0081726819</f>
        <v/>
      </c>
      <c r="AG62" s="7">
        <f>D62*0.0081726819</f>
        <v/>
      </c>
      <c r="AH62" s="7">
        <f>E62*0.0081726819</f>
        <v/>
      </c>
      <c r="AI62" s="7">
        <f>F62*0.0081726819</f>
        <v/>
      </c>
      <c r="AJ62" s="7">
        <f>G62*0.0081726819</f>
        <v/>
      </c>
      <c r="AK62" s="7">
        <f>H62*0.0081726819</f>
        <v/>
      </c>
      <c r="AL62" s="7">
        <f>I62*0.0081726819</f>
        <v/>
      </c>
      <c r="AM62" s="7">
        <f>J62*0.0081726819</f>
        <v/>
      </c>
      <c r="AN62" s="7">
        <f>K62*0.0081726819</f>
        <v/>
      </c>
      <c r="AO62" s="7">
        <f>L62*0.0081726819</f>
        <v/>
      </c>
      <c r="AP62" s="7">
        <f>M62*0.0081726819</f>
        <v/>
      </c>
      <c r="AQ62" s="7">
        <f>N62*0.0081726819</f>
        <v/>
      </c>
      <c r="AR62" s="7">
        <f>O62*0.0081726819</f>
        <v/>
      </c>
      <c r="AS62" s="7">
        <f>P62*0.0081726819</f>
        <v/>
      </c>
      <c r="AT62" s="7">
        <f>Q62*0.0081726819</f>
        <v/>
      </c>
      <c r="AU62" s="7">
        <f>R62*0.0081726819</f>
        <v/>
      </c>
      <c r="AV62" s="7">
        <f>S62*0.0081726819</f>
        <v/>
      </c>
      <c r="AW62" s="7">
        <f>T62*0.0081726819</f>
        <v/>
      </c>
      <c r="AX62" s="7">
        <f>U62*0.0081726819</f>
        <v/>
      </c>
      <c r="AY62" s="7">
        <f>V62*0.0081726819</f>
        <v/>
      </c>
      <c r="AZ62" s="7">
        <f>W62*0.0081726819</f>
        <v/>
      </c>
      <c r="BA62" s="7">
        <f>X62*0.0081726819</f>
        <v/>
      </c>
      <c r="BB62" s="7">
        <f>SUM(AD62:BA62)</f>
        <v/>
      </c>
    </row>
    <row r="63">
      <c r="A63" t="inlineStr">
        <is>
          <t>AMD-INTRA-SSC</t>
        </is>
      </c>
      <c r="B63" t="inlineStr">
        <is>
          <t>Forward Regular OSC</t>
        </is>
      </c>
      <c r="C63" s="5" t="n">
        <v>46102</v>
      </c>
      <c r="D63" s="6" t="n">
        <v>7</v>
      </c>
      <c r="E63" s="6" t="n">
        <v>5</v>
      </c>
      <c r="F63" s="6" t="n">
        <v>5</v>
      </c>
      <c r="G63" s="6" t="n">
        <v>1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10</v>
      </c>
      <c r="N63" s="6" t="n">
        <v>0</v>
      </c>
      <c r="O63" s="6" t="n">
        <v>0</v>
      </c>
      <c r="P63" s="6" t="n">
        <v>0</v>
      </c>
      <c r="Q63" s="6" t="n">
        <v>0</v>
      </c>
      <c r="R63" s="6" t="n">
        <v>7</v>
      </c>
      <c r="S63" s="6" t="n">
        <v>0</v>
      </c>
      <c r="T63" s="6" t="n">
        <v>0</v>
      </c>
      <c r="U63" s="6" t="n">
        <v>0</v>
      </c>
      <c r="V63" s="6" t="n">
        <v>0</v>
      </c>
      <c r="W63" s="6" t="n">
        <v>0</v>
      </c>
      <c r="X63" s="6" t="n">
        <v>8</v>
      </c>
      <c r="Y63" s="6" t="n">
        <v>1</v>
      </c>
      <c r="Z63" s="6" t="n">
        <v>0</v>
      </c>
      <c r="AA63" s="6" t="n">
        <v>12</v>
      </c>
      <c r="AB63" s="6">
        <f>SUM(D63:AA63)</f>
        <v/>
      </c>
      <c r="AC63" s="3" t="inlineStr"/>
      <c r="AD63" s="7">
        <f>Y63*0.0081726819</f>
        <v/>
      </c>
      <c r="AE63" s="7">
        <f>Z63*0.0081726819</f>
        <v/>
      </c>
      <c r="AF63" s="7">
        <f>AA63*0.0081726819</f>
        <v/>
      </c>
      <c r="AG63" s="7">
        <f>D63*0.0081726819</f>
        <v/>
      </c>
      <c r="AH63" s="7">
        <f>E63*0.0081726819</f>
        <v/>
      </c>
      <c r="AI63" s="7">
        <f>F63*0.0081726819</f>
        <v/>
      </c>
      <c r="AJ63" s="7">
        <f>G63*0.0081726819</f>
        <v/>
      </c>
      <c r="AK63" s="7">
        <f>H63*0.0081726819</f>
        <v/>
      </c>
      <c r="AL63" s="7">
        <f>I63*0.0081726819</f>
        <v/>
      </c>
      <c r="AM63" s="7">
        <f>J63*0.0081726819</f>
        <v/>
      </c>
      <c r="AN63" s="7">
        <f>K63*0.0081726819</f>
        <v/>
      </c>
      <c r="AO63" s="7">
        <f>L63*0.0081726819</f>
        <v/>
      </c>
      <c r="AP63" s="7">
        <f>M63*0.0081726819</f>
        <v/>
      </c>
      <c r="AQ63" s="7">
        <f>N63*0.0081726819</f>
        <v/>
      </c>
      <c r="AR63" s="7">
        <f>O63*0.0081726819</f>
        <v/>
      </c>
      <c r="AS63" s="7">
        <f>P63*0.0081726819</f>
        <v/>
      </c>
      <c r="AT63" s="7">
        <f>Q63*0.0081726819</f>
        <v/>
      </c>
      <c r="AU63" s="7">
        <f>R63*0.0081726819</f>
        <v/>
      </c>
      <c r="AV63" s="7">
        <f>S63*0.0081726819</f>
        <v/>
      </c>
      <c r="AW63" s="7">
        <f>T63*0.0081726819</f>
        <v/>
      </c>
      <c r="AX63" s="7">
        <f>U63*0.0081726819</f>
        <v/>
      </c>
      <c r="AY63" s="7">
        <f>V63*0.0081726819</f>
        <v/>
      </c>
      <c r="AZ63" s="7">
        <f>W63*0.0081726819</f>
        <v/>
      </c>
      <c r="BA63" s="7">
        <f>X63*0.0081726819</f>
        <v/>
      </c>
      <c r="BB63" s="7">
        <f>SUM(AD63:BA63)</f>
        <v/>
      </c>
    </row>
    <row r="64">
      <c r="A64" t="inlineStr">
        <is>
          <t>AMD-INTRA-SSC</t>
        </is>
      </c>
      <c r="B64" t="inlineStr">
        <is>
          <t>Forward Regular OSC</t>
        </is>
      </c>
      <c r="C64" s="5" t="n">
        <v>46103</v>
      </c>
      <c r="D64" s="6" t="n">
        <v>7</v>
      </c>
      <c r="E64" s="6" t="n">
        <v>4</v>
      </c>
      <c r="F64" s="6" t="n">
        <v>3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0</v>
      </c>
      <c r="M64" s="6" t="n">
        <v>7</v>
      </c>
      <c r="N64" s="6" t="n">
        <v>12</v>
      </c>
      <c r="O64" s="6" t="n">
        <v>0</v>
      </c>
      <c r="P64" s="6" t="n">
        <v>0</v>
      </c>
      <c r="Q64" s="6" t="n">
        <v>5</v>
      </c>
      <c r="R64" s="6" t="n">
        <v>9</v>
      </c>
      <c r="S64" s="6" t="n">
        <v>0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9</v>
      </c>
      <c r="Y64" s="6" t="n">
        <v>0</v>
      </c>
      <c r="Z64" s="6" t="n">
        <v>7</v>
      </c>
      <c r="AA64" s="6" t="n">
        <v>9</v>
      </c>
      <c r="AB64" s="6">
        <f>SUM(D64:AA64)</f>
        <v/>
      </c>
      <c r="AC64" s="3" t="inlineStr"/>
      <c r="AD64" s="7">
        <f>Y64*0.0081726819</f>
        <v/>
      </c>
      <c r="AE64" s="7">
        <f>Z64*0.0081726819</f>
        <v/>
      </c>
      <c r="AF64" s="7">
        <f>AA64*0.0081726819</f>
        <v/>
      </c>
      <c r="AG64" s="7">
        <f>D64*0.0081726819</f>
        <v/>
      </c>
      <c r="AH64" s="7">
        <f>E64*0.0081726819</f>
        <v/>
      </c>
      <c r="AI64" s="7">
        <f>F64*0.0081726819</f>
        <v/>
      </c>
      <c r="AJ64" s="7">
        <f>G64*0.0081726819</f>
        <v/>
      </c>
      <c r="AK64" s="7">
        <f>H64*0.0081726819</f>
        <v/>
      </c>
      <c r="AL64" s="7">
        <f>I64*0.0081726819</f>
        <v/>
      </c>
      <c r="AM64" s="7">
        <f>J64*0.0081726819</f>
        <v/>
      </c>
      <c r="AN64" s="7">
        <f>K64*0.0081726819</f>
        <v/>
      </c>
      <c r="AO64" s="7">
        <f>L64*0.0081726819</f>
        <v/>
      </c>
      <c r="AP64" s="7">
        <f>M64*0.0081726819</f>
        <v/>
      </c>
      <c r="AQ64" s="7">
        <f>N64*0.0081726819</f>
        <v/>
      </c>
      <c r="AR64" s="7">
        <f>O64*0.0081726819</f>
        <v/>
      </c>
      <c r="AS64" s="7">
        <f>P64*0.0081726819</f>
        <v/>
      </c>
      <c r="AT64" s="7">
        <f>Q64*0.0081726819</f>
        <v/>
      </c>
      <c r="AU64" s="7">
        <f>R64*0.0081726819</f>
        <v/>
      </c>
      <c r="AV64" s="7">
        <f>S64*0.0081726819</f>
        <v/>
      </c>
      <c r="AW64" s="7">
        <f>T64*0.0081726819</f>
        <v/>
      </c>
      <c r="AX64" s="7">
        <f>U64*0.0081726819</f>
        <v/>
      </c>
      <c r="AY64" s="7">
        <f>V64*0.0081726819</f>
        <v/>
      </c>
      <c r="AZ64" s="7">
        <f>W64*0.0081726819</f>
        <v/>
      </c>
      <c r="BA64" s="7">
        <f>X64*0.0081726819</f>
        <v/>
      </c>
      <c r="BB64" s="7">
        <f>SUM(AD64:BA64)</f>
        <v/>
      </c>
    </row>
    <row r="65">
      <c r="A65" t="inlineStr">
        <is>
          <t>AMD-INTRA-SSC</t>
        </is>
      </c>
      <c r="B65" t="inlineStr">
        <is>
          <t>Forward Regular OSC</t>
        </is>
      </c>
      <c r="C65" s="5" t="n">
        <v>46104</v>
      </c>
      <c r="D65" s="6" t="n">
        <v>8</v>
      </c>
      <c r="E65" s="6" t="n">
        <v>11</v>
      </c>
      <c r="F65" s="6" t="n">
        <v>3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15</v>
      </c>
      <c r="N65" s="6" t="n">
        <v>0</v>
      </c>
      <c r="O65" s="6" t="n">
        <v>0</v>
      </c>
      <c r="P65" s="6" t="n">
        <v>0</v>
      </c>
      <c r="Q65" s="6" t="n">
        <v>3</v>
      </c>
      <c r="R65" s="6" t="n">
        <v>7</v>
      </c>
      <c r="S65" s="6" t="n">
        <v>0</v>
      </c>
      <c r="T65" s="6" t="n">
        <v>0</v>
      </c>
      <c r="U65" s="6" t="n">
        <v>0</v>
      </c>
      <c r="V65" s="6" t="n">
        <v>0</v>
      </c>
      <c r="W65" s="6" t="n">
        <v>0</v>
      </c>
      <c r="X65" s="6" t="n">
        <v>5</v>
      </c>
      <c r="Y65" s="6" t="n">
        <v>1</v>
      </c>
      <c r="Z65" s="6" t="n">
        <v>16</v>
      </c>
      <c r="AA65" s="6" t="n">
        <v>8</v>
      </c>
      <c r="AB65" s="6">
        <f>SUM(D65:AA65)</f>
        <v/>
      </c>
      <c r="AC65" s="3" t="inlineStr"/>
      <c r="AD65" s="7">
        <f>Y65*0.0081726819</f>
        <v/>
      </c>
      <c r="AE65" s="7">
        <f>Z65*0.0081726819</f>
        <v/>
      </c>
      <c r="AF65" s="7">
        <f>AA65*0.0081726819</f>
        <v/>
      </c>
      <c r="AG65" s="7">
        <f>D65*0.0081726819</f>
        <v/>
      </c>
      <c r="AH65" s="7">
        <f>E65*0.0081726819</f>
        <v/>
      </c>
      <c r="AI65" s="7">
        <f>F65*0.0081726819</f>
        <v/>
      </c>
      <c r="AJ65" s="7">
        <f>G65*0.0081726819</f>
        <v/>
      </c>
      <c r="AK65" s="7">
        <f>H65*0.0081726819</f>
        <v/>
      </c>
      <c r="AL65" s="7">
        <f>I65*0.0081726819</f>
        <v/>
      </c>
      <c r="AM65" s="7">
        <f>J65*0.0081726819</f>
        <v/>
      </c>
      <c r="AN65" s="7">
        <f>K65*0.0081726819</f>
        <v/>
      </c>
      <c r="AO65" s="7">
        <f>L65*0.0081726819</f>
        <v/>
      </c>
      <c r="AP65" s="7">
        <f>M65*0.0081726819</f>
        <v/>
      </c>
      <c r="AQ65" s="7">
        <f>N65*0.0081726819</f>
        <v/>
      </c>
      <c r="AR65" s="7">
        <f>O65*0.0081726819</f>
        <v/>
      </c>
      <c r="AS65" s="7">
        <f>P65*0.0081726819</f>
        <v/>
      </c>
      <c r="AT65" s="7">
        <f>Q65*0.0081726819</f>
        <v/>
      </c>
      <c r="AU65" s="7">
        <f>R65*0.0081726819</f>
        <v/>
      </c>
      <c r="AV65" s="7">
        <f>S65*0.0081726819</f>
        <v/>
      </c>
      <c r="AW65" s="7">
        <f>T65*0.0081726819</f>
        <v/>
      </c>
      <c r="AX65" s="7">
        <f>U65*0.0081726819</f>
        <v/>
      </c>
      <c r="AY65" s="7">
        <f>V65*0.0081726819</f>
        <v/>
      </c>
      <c r="AZ65" s="7">
        <f>W65*0.0081726819</f>
        <v/>
      </c>
      <c r="BA65" s="7">
        <f>X65*0.0081726819</f>
        <v/>
      </c>
      <c r="BB65" s="7">
        <f>SUM(AD65:BA65)</f>
        <v/>
      </c>
    </row>
    <row r="66">
      <c r="A66" t="inlineStr">
        <is>
          <t>AMD-INTRA-SSC</t>
        </is>
      </c>
      <c r="B66" t="inlineStr">
        <is>
          <t>Forward Regular OSC</t>
        </is>
      </c>
      <c r="C66" s="5" t="n">
        <v>46105</v>
      </c>
      <c r="D66" s="6" t="n">
        <v>8</v>
      </c>
      <c r="E66" s="6" t="n">
        <v>8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16</v>
      </c>
      <c r="N66" s="6" t="n">
        <v>1</v>
      </c>
      <c r="O66" s="6" t="n">
        <v>0</v>
      </c>
      <c r="P66" s="6" t="n">
        <v>0</v>
      </c>
      <c r="Q66" s="6" t="n">
        <v>6</v>
      </c>
      <c r="R66" s="6" t="n">
        <v>6</v>
      </c>
      <c r="S66" s="6" t="n">
        <v>0</v>
      </c>
      <c r="T66" s="6" t="n">
        <v>0</v>
      </c>
      <c r="U66" s="6" t="n">
        <v>0</v>
      </c>
      <c r="V66" s="6" t="n">
        <v>0</v>
      </c>
      <c r="W66" s="6" t="n">
        <v>0</v>
      </c>
      <c r="X66" s="6" t="n">
        <v>0</v>
      </c>
      <c r="Y66" s="6" t="n">
        <v>0</v>
      </c>
      <c r="Z66" s="6" t="n">
        <v>0</v>
      </c>
      <c r="AA66" s="6" t="n">
        <v>0</v>
      </c>
      <c r="AB66" s="6">
        <f>SUM(D66:AA66)</f>
        <v/>
      </c>
      <c r="AC66" s="3" t="inlineStr"/>
      <c r="AD66" s="7">
        <f>Y66*0.0081726819</f>
        <v/>
      </c>
      <c r="AE66" s="7">
        <f>Z66*0.0081726819</f>
        <v/>
      </c>
      <c r="AF66" s="7">
        <f>AA66*0.0081726819</f>
        <v/>
      </c>
      <c r="AG66" s="7">
        <f>D66*0.0081726819</f>
        <v/>
      </c>
      <c r="AH66" s="7">
        <f>E66*0.0081726819</f>
        <v/>
      </c>
      <c r="AI66" s="7">
        <f>F66*0.0081726819</f>
        <v/>
      </c>
      <c r="AJ66" s="7">
        <f>G66*0.0081726819</f>
        <v/>
      </c>
      <c r="AK66" s="7">
        <f>H66*0.0081726819</f>
        <v/>
      </c>
      <c r="AL66" s="7">
        <f>I66*0.0081726819</f>
        <v/>
      </c>
      <c r="AM66" s="7">
        <f>J66*0.0081726819</f>
        <v/>
      </c>
      <c r="AN66" s="7">
        <f>K66*0.0081726819</f>
        <v/>
      </c>
      <c r="AO66" s="7">
        <f>L66*0.0081726819</f>
        <v/>
      </c>
      <c r="AP66" s="7">
        <f>M66*0.0081726819</f>
        <v/>
      </c>
      <c r="AQ66" s="7">
        <f>N66*0.0081726819</f>
        <v/>
      </c>
      <c r="AR66" s="7">
        <f>O66*0.0081726819</f>
        <v/>
      </c>
      <c r="AS66" s="7">
        <f>P66*0.0081726819</f>
        <v/>
      </c>
      <c r="AT66" s="7">
        <f>Q66*0.0081726819</f>
        <v/>
      </c>
      <c r="AU66" s="7">
        <f>R66*0.0081726819</f>
        <v/>
      </c>
      <c r="AV66" s="7">
        <f>S66*0.0081726819</f>
        <v/>
      </c>
      <c r="AW66" s="7">
        <f>T66*0.0081726819</f>
        <v/>
      </c>
      <c r="AX66" s="7">
        <f>U66*0.0081726819</f>
        <v/>
      </c>
      <c r="AY66" s="7">
        <f>V66*0.0081726819</f>
        <v/>
      </c>
      <c r="AZ66" s="7">
        <f>W66*0.0081726819</f>
        <v/>
      </c>
      <c r="BA66" s="7">
        <f>X66*0.0081726819</f>
        <v/>
      </c>
      <c r="BB66" s="7">
        <f>SUM(AD66:BA66)</f>
        <v/>
      </c>
    </row>
    <row r="67">
      <c r="A67" t="inlineStr">
        <is>
          <t>AMD-M1</t>
        </is>
      </c>
      <c r="B67" t="inlineStr">
        <is>
          <t>Forward Regular OSC</t>
        </is>
      </c>
      <c r="C67" s="5" t="n">
        <v>46089</v>
      </c>
      <c r="D67" s="6" t="n">
        <v>67</v>
      </c>
      <c r="E67" s="6" t="n">
        <v>31</v>
      </c>
      <c r="F67" s="6" t="n">
        <v>51</v>
      </c>
      <c r="G67" s="6" t="n">
        <v>78</v>
      </c>
      <c r="H67" s="6" t="n">
        <v>78</v>
      </c>
      <c r="I67" s="6" t="n">
        <v>101</v>
      </c>
      <c r="J67" s="6" t="n">
        <v>56</v>
      </c>
      <c r="K67" s="6" t="n">
        <v>20</v>
      </c>
      <c r="L67" s="6" t="n">
        <v>0</v>
      </c>
      <c r="M67" s="6" t="n">
        <v>13</v>
      </c>
      <c r="N67" s="6" t="n">
        <v>53</v>
      </c>
      <c r="O67" s="6" t="n">
        <v>59</v>
      </c>
      <c r="P67" s="6" t="n">
        <v>82</v>
      </c>
      <c r="Q67" s="6" t="n">
        <v>17</v>
      </c>
      <c r="R67" s="6" t="n">
        <v>36</v>
      </c>
      <c r="S67" s="6" t="n">
        <v>89</v>
      </c>
      <c r="T67" s="6" t="n">
        <v>17</v>
      </c>
      <c r="U67" s="6" t="n">
        <v>0</v>
      </c>
      <c r="V67" s="6" t="n">
        <v>0</v>
      </c>
      <c r="W67" s="6" t="n">
        <v>4</v>
      </c>
      <c r="X67" s="6" t="n">
        <v>0</v>
      </c>
      <c r="Y67" s="6" t="n">
        <v>0</v>
      </c>
      <c r="Z67" s="6" t="n">
        <v>0</v>
      </c>
      <c r="AA67" s="6" t="n">
        <v>53</v>
      </c>
      <c r="AB67" s="6">
        <f>SUM(D67:AA67)</f>
        <v/>
      </c>
      <c r="AC67" s="3" t="inlineStr"/>
      <c r="AD67" s="7">
        <f>Y67*0.0081726819</f>
        <v/>
      </c>
      <c r="AE67" s="7">
        <f>Z67*0.0081726819</f>
        <v/>
      </c>
      <c r="AF67" s="7">
        <f>AA67*0.0081726819</f>
        <v/>
      </c>
      <c r="AG67" s="7">
        <f>D67*0.0081726819</f>
        <v/>
      </c>
      <c r="AH67" s="7">
        <f>E67*0.0081726819</f>
        <v/>
      </c>
      <c r="AI67" s="7">
        <f>F67*0.0081726819</f>
        <v/>
      </c>
      <c r="AJ67" s="7">
        <f>G67*0.0081726819</f>
        <v/>
      </c>
      <c r="AK67" s="7">
        <f>H67*0.0081726819</f>
        <v/>
      </c>
      <c r="AL67" s="7">
        <f>I67*0.0081726819</f>
        <v/>
      </c>
      <c r="AM67" s="7">
        <f>J67*0.0081726819</f>
        <v/>
      </c>
      <c r="AN67" s="7">
        <f>K67*0.0081726819</f>
        <v/>
      </c>
      <c r="AO67" s="7">
        <f>L67*0.0081726819</f>
        <v/>
      </c>
      <c r="AP67" s="7">
        <f>M67*0.0081726819</f>
        <v/>
      </c>
      <c r="AQ67" s="7">
        <f>N67*0.0081726819</f>
        <v/>
      </c>
      <c r="AR67" s="7">
        <f>O67*0.0081726819</f>
        <v/>
      </c>
      <c r="AS67" s="7">
        <f>P67*0.0081726819</f>
        <v/>
      </c>
      <c r="AT67" s="7">
        <f>Q67*0.0081726819</f>
        <v/>
      </c>
      <c r="AU67" s="7">
        <f>R67*0.0081726819</f>
        <v/>
      </c>
      <c r="AV67" s="7">
        <f>S67*0.0081726819</f>
        <v/>
      </c>
      <c r="AW67" s="7">
        <f>T67*0.0081726819</f>
        <v/>
      </c>
      <c r="AX67" s="7">
        <f>U67*0.0081726819</f>
        <v/>
      </c>
      <c r="AY67" s="7">
        <f>V67*0.0081726819</f>
        <v/>
      </c>
      <c r="AZ67" s="7">
        <f>W67*0.0081726819</f>
        <v/>
      </c>
      <c r="BA67" s="7">
        <f>X67*0.0081726819</f>
        <v/>
      </c>
      <c r="BB67" s="7">
        <f>SUM(AD67:BA67)</f>
        <v/>
      </c>
    </row>
    <row r="68">
      <c r="A68" t="inlineStr">
        <is>
          <t>AMD-M1</t>
        </is>
      </c>
      <c r="B68" t="inlineStr">
        <is>
          <t>Forward Regular OSC</t>
        </is>
      </c>
      <c r="C68" s="5" t="n">
        <v>46090</v>
      </c>
      <c r="D68" s="6" t="n">
        <v>71</v>
      </c>
      <c r="E68" s="6" t="n">
        <v>31</v>
      </c>
      <c r="F68" s="6" t="n">
        <v>66</v>
      </c>
      <c r="G68" s="6" t="n">
        <v>87</v>
      </c>
      <c r="H68" s="6" t="n">
        <v>12</v>
      </c>
      <c r="I68" s="6" t="n">
        <v>1</v>
      </c>
      <c r="J68" s="6" t="n">
        <v>0</v>
      </c>
      <c r="K68" s="6" t="n">
        <v>0</v>
      </c>
      <c r="L68" s="6" t="n">
        <v>11</v>
      </c>
      <c r="M68" s="6" t="n">
        <v>54</v>
      </c>
      <c r="N68" s="6" t="n">
        <v>42</v>
      </c>
      <c r="O68" s="6" t="n">
        <v>78</v>
      </c>
      <c r="P68" s="6" t="n">
        <v>29</v>
      </c>
      <c r="Q68" s="6" t="n">
        <v>97</v>
      </c>
      <c r="R68" s="6" t="n">
        <v>111</v>
      </c>
      <c r="S68" s="6" t="n">
        <v>120</v>
      </c>
      <c r="T68" s="6" t="n">
        <v>102</v>
      </c>
      <c r="U68" s="6" t="n">
        <v>5</v>
      </c>
      <c r="V68" s="6" t="n">
        <v>42</v>
      </c>
      <c r="W68" s="6" t="n">
        <v>43</v>
      </c>
      <c r="X68" s="6" t="n">
        <v>66</v>
      </c>
      <c r="Y68" s="6" t="n">
        <v>9</v>
      </c>
      <c r="Z68" s="6" t="n">
        <v>5</v>
      </c>
      <c r="AA68" s="6" t="n">
        <v>87</v>
      </c>
      <c r="AB68" s="6">
        <f>SUM(D68:AA68)</f>
        <v/>
      </c>
      <c r="AC68" s="3" t="inlineStr"/>
      <c r="AD68" s="7">
        <f>Y68*0.0081726819</f>
        <v/>
      </c>
      <c r="AE68" s="7">
        <f>Z68*0.0081726819</f>
        <v/>
      </c>
      <c r="AF68" s="7">
        <f>AA68*0.0081726819</f>
        <v/>
      </c>
      <c r="AG68" s="7">
        <f>D68*0.0081726819</f>
        <v/>
      </c>
      <c r="AH68" s="7">
        <f>E68*0.0081726819</f>
        <v/>
      </c>
      <c r="AI68" s="7">
        <f>F68*0.0081726819</f>
        <v/>
      </c>
      <c r="AJ68" s="7">
        <f>G68*0.0081726819</f>
        <v/>
      </c>
      <c r="AK68" s="7">
        <f>H68*0.0081726819</f>
        <v/>
      </c>
      <c r="AL68" s="7">
        <f>I68*0.0081726819</f>
        <v/>
      </c>
      <c r="AM68" s="7">
        <f>J68*0.0081726819</f>
        <v/>
      </c>
      <c r="AN68" s="7">
        <f>K68*0.0081726819</f>
        <v/>
      </c>
      <c r="AO68" s="7">
        <f>L68*0.0081726819</f>
        <v/>
      </c>
      <c r="AP68" s="7">
        <f>M68*0.0081726819</f>
        <v/>
      </c>
      <c r="AQ68" s="7">
        <f>N68*0.0081726819</f>
        <v/>
      </c>
      <c r="AR68" s="7">
        <f>O68*0.0081726819</f>
        <v/>
      </c>
      <c r="AS68" s="7">
        <f>P68*0.0081726819</f>
        <v/>
      </c>
      <c r="AT68" s="7">
        <f>Q68*0.0081726819</f>
        <v/>
      </c>
      <c r="AU68" s="7">
        <f>R68*0.0081726819</f>
        <v/>
      </c>
      <c r="AV68" s="7">
        <f>S68*0.0081726819</f>
        <v/>
      </c>
      <c r="AW68" s="7">
        <f>T68*0.0081726819</f>
        <v/>
      </c>
      <c r="AX68" s="7">
        <f>U68*0.0081726819</f>
        <v/>
      </c>
      <c r="AY68" s="7">
        <f>V68*0.0081726819</f>
        <v/>
      </c>
      <c r="AZ68" s="7">
        <f>W68*0.0081726819</f>
        <v/>
      </c>
      <c r="BA68" s="7">
        <f>X68*0.0081726819</f>
        <v/>
      </c>
      <c r="BB68" s="7">
        <f>SUM(AD68:BA68)</f>
        <v/>
      </c>
    </row>
    <row r="69">
      <c r="A69" t="inlineStr">
        <is>
          <t>AMD-M1</t>
        </is>
      </c>
      <c r="B69" t="inlineStr">
        <is>
          <t>Forward Regular OSC</t>
        </is>
      </c>
      <c r="C69" s="5" t="n">
        <v>46091</v>
      </c>
      <c r="D69" s="6" t="n">
        <v>77</v>
      </c>
      <c r="E69" s="6" t="n">
        <v>29</v>
      </c>
      <c r="F69" s="6" t="n">
        <v>86</v>
      </c>
      <c r="G69" s="6" t="n">
        <v>137</v>
      </c>
      <c r="H69" s="6" t="n">
        <v>71</v>
      </c>
      <c r="I69" s="6" t="n">
        <v>131</v>
      </c>
      <c r="J69" s="6" t="n">
        <v>18</v>
      </c>
      <c r="K69" s="6" t="n">
        <v>9</v>
      </c>
      <c r="L69" s="6" t="n">
        <v>73</v>
      </c>
      <c r="M69" s="6" t="n">
        <v>63</v>
      </c>
      <c r="N69" s="6" t="n">
        <v>98</v>
      </c>
      <c r="O69" s="6" t="n">
        <v>88</v>
      </c>
      <c r="P69" s="6" t="n">
        <v>64</v>
      </c>
      <c r="Q69" s="6" t="n">
        <v>139</v>
      </c>
      <c r="R69" s="6" t="n">
        <v>185</v>
      </c>
      <c r="S69" s="6" t="n">
        <v>166</v>
      </c>
      <c r="T69" s="6" t="n">
        <v>52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3</v>
      </c>
      <c r="Z69" s="6" t="n">
        <v>1</v>
      </c>
      <c r="AA69" s="6" t="n">
        <v>91</v>
      </c>
      <c r="AB69" s="6">
        <f>SUM(D69:AA69)</f>
        <v/>
      </c>
      <c r="AC69" s="3" t="inlineStr"/>
      <c r="AD69" s="7">
        <f>Y69*0.0081726819</f>
        <v/>
      </c>
      <c r="AE69" s="7">
        <f>Z69*0.0081726819</f>
        <v/>
      </c>
      <c r="AF69" s="7">
        <f>AA69*0.0081726819</f>
        <v/>
      </c>
      <c r="AG69" s="7">
        <f>D69*0.0081726819</f>
        <v/>
      </c>
      <c r="AH69" s="7">
        <f>E69*0.0081726819</f>
        <v/>
      </c>
      <c r="AI69" s="7">
        <f>F69*0.0081726819</f>
        <v/>
      </c>
      <c r="AJ69" s="7">
        <f>G69*0.0081726819</f>
        <v/>
      </c>
      <c r="AK69" s="7">
        <f>H69*0.0081726819</f>
        <v/>
      </c>
      <c r="AL69" s="7">
        <f>I69*0.0081726819</f>
        <v/>
      </c>
      <c r="AM69" s="7">
        <f>J69*0.0081726819</f>
        <v/>
      </c>
      <c r="AN69" s="7">
        <f>K69*0.0081726819</f>
        <v/>
      </c>
      <c r="AO69" s="7">
        <f>L69*0.0081726819</f>
        <v/>
      </c>
      <c r="AP69" s="7">
        <f>M69*0.0081726819</f>
        <v/>
      </c>
      <c r="AQ69" s="7">
        <f>N69*0.0081726819</f>
        <v/>
      </c>
      <c r="AR69" s="7">
        <f>O69*0.0081726819</f>
        <v/>
      </c>
      <c r="AS69" s="7">
        <f>P69*0.0081726819</f>
        <v/>
      </c>
      <c r="AT69" s="7">
        <f>Q69*0.0081726819</f>
        <v/>
      </c>
      <c r="AU69" s="7">
        <f>R69*0.0081726819</f>
        <v/>
      </c>
      <c r="AV69" s="7">
        <f>S69*0.0081726819</f>
        <v/>
      </c>
      <c r="AW69" s="7">
        <f>T69*0.0081726819</f>
        <v/>
      </c>
      <c r="AX69" s="7">
        <f>U69*0.0081726819</f>
        <v/>
      </c>
      <c r="AY69" s="7">
        <f>V69*0.0081726819</f>
        <v/>
      </c>
      <c r="AZ69" s="7">
        <f>W69*0.0081726819</f>
        <v/>
      </c>
      <c r="BA69" s="7">
        <f>X69*0.0081726819</f>
        <v/>
      </c>
      <c r="BB69" s="7">
        <f>SUM(AD69:BA69)</f>
        <v/>
      </c>
    </row>
    <row r="70">
      <c r="A70" t="inlineStr">
        <is>
          <t>AMD-M1</t>
        </is>
      </c>
      <c r="B70" t="inlineStr">
        <is>
          <t>Forward Regular OSC</t>
        </is>
      </c>
      <c r="C70" s="5" t="n">
        <v>46092</v>
      </c>
      <c r="D70" s="6" t="n">
        <v>108</v>
      </c>
      <c r="E70" s="6" t="n">
        <v>37</v>
      </c>
      <c r="F70" s="6" t="n">
        <v>111</v>
      </c>
      <c r="G70" s="6" t="n">
        <v>142</v>
      </c>
      <c r="H70" s="6" t="n">
        <v>91</v>
      </c>
      <c r="I70" s="6" t="n">
        <v>146</v>
      </c>
      <c r="J70" s="6" t="n">
        <v>52</v>
      </c>
      <c r="K70" s="6" t="n">
        <v>4</v>
      </c>
      <c r="L70" s="6" t="n">
        <v>0</v>
      </c>
      <c r="M70" s="6" t="n">
        <v>17</v>
      </c>
      <c r="N70" s="6" t="n">
        <v>71</v>
      </c>
      <c r="O70" s="6" t="n">
        <v>79</v>
      </c>
      <c r="P70" s="6" t="n">
        <v>2</v>
      </c>
      <c r="Q70" s="6" t="n">
        <v>16</v>
      </c>
      <c r="R70" s="6" t="n">
        <v>54</v>
      </c>
      <c r="S70" s="6" t="n">
        <v>25</v>
      </c>
      <c r="T70" s="6" t="n">
        <v>0</v>
      </c>
      <c r="U70" s="6" t="n">
        <v>0</v>
      </c>
      <c r="V70" s="6" t="n">
        <v>0</v>
      </c>
      <c r="W70" s="6" t="n">
        <v>0</v>
      </c>
      <c r="X70" s="6" t="n">
        <v>0</v>
      </c>
      <c r="Y70" s="6" t="n">
        <v>0</v>
      </c>
      <c r="Z70" s="6" t="n">
        <v>2</v>
      </c>
      <c r="AA70" s="6" t="n">
        <v>87</v>
      </c>
      <c r="AB70" s="6">
        <f>SUM(D70:AA70)</f>
        <v/>
      </c>
      <c r="AC70" s="3" t="inlineStr"/>
      <c r="AD70" s="7">
        <f>Y70*0.0081726819</f>
        <v/>
      </c>
      <c r="AE70" s="7">
        <f>Z70*0.0081726819</f>
        <v/>
      </c>
      <c r="AF70" s="7">
        <f>AA70*0.0081726819</f>
        <v/>
      </c>
      <c r="AG70" s="7">
        <f>D70*0.0081726819</f>
        <v/>
      </c>
      <c r="AH70" s="7">
        <f>E70*0.0081726819</f>
        <v/>
      </c>
      <c r="AI70" s="7">
        <f>F70*0.0081726819</f>
        <v/>
      </c>
      <c r="AJ70" s="7">
        <f>G70*0.0081726819</f>
        <v/>
      </c>
      <c r="AK70" s="7">
        <f>H70*0.0081726819</f>
        <v/>
      </c>
      <c r="AL70" s="7">
        <f>I70*0.0081726819</f>
        <v/>
      </c>
      <c r="AM70" s="7">
        <f>J70*0.0081726819</f>
        <v/>
      </c>
      <c r="AN70" s="7">
        <f>K70*0.0081726819</f>
        <v/>
      </c>
      <c r="AO70" s="7">
        <f>L70*0.0081726819</f>
        <v/>
      </c>
      <c r="AP70" s="7">
        <f>M70*0.0081726819</f>
        <v/>
      </c>
      <c r="AQ70" s="7">
        <f>N70*0.0081726819</f>
        <v/>
      </c>
      <c r="AR70" s="7">
        <f>O70*0.0081726819</f>
        <v/>
      </c>
      <c r="AS70" s="7">
        <f>P70*0.0081726819</f>
        <v/>
      </c>
      <c r="AT70" s="7">
        <f>Q70*0.0081726819</f>
        <v/>
      </c>
      <c r="AU70" s="7">
        <f>R70*0.0081726819</f>
        <v/>
      </c>
      <c r="AV70" s="7">
        <f>S70*0.0081726819</f>
        <v/>
      </c>
      <c r="AW70" s="7">
        <f>T70*0.0081726819</f>
        <v/>
      </c>
      <c r="AX70" s="7">
        <f>U70*0.0081726819</f>
        <v/>
      </c>
      <c r="AY70" s="7">
        <f>V70*0.0081726819</f>
        <v/>
      </c>
      <c r="AZ70" s="7">
        <f>W70*0.0081726819</f>
        <v/>
      </c>
      <c r="BA70" s="7">
        <f>X70*0.0081726819</f>
        <v/>
      </c>
      <c r="BB70" s="7">
        <f>SUM(AD70:BA70)</f>
        <v/>
      </c>
    </row>
    <row r="71">
      <c r="A71" t="inlineStr">
        <is>
          <t>AMD-M1</t>
        </is>
      </c>
      <c r="B71" t="inlineStr">
        <is>
          <t>Forward Regular OSC</t>
        </is>
      </c>
      <c r="C71" s="5" t="n">
        <v>46093</v>
      </c>
      <c r="D71" s="6" t="n">
        <v>86</v>
      </c>
      <c r="E71" s="6" t="n">
        <v>39</v>
      </c>
      <c r="F71" s="6" t="n">
        <v>72</v>
      </c>
      <c r="G71" s="6" t="n">
        <v>105</v>
      </c>
      <c r="H71" s="6" t="n">
        <v>77</v>
      </c>
      <c r="I71" s="6" t="n">
        <v>114</v>
      </c>
      <c r="J71" s="6" t="n">
        <v>46</v>
      </c>
      <c r="K71" s="6" t="n">
        <v>0</v>
      </c>
      <c r="L71" s="6" t="n">
        <v>0</v>
      </c>
      <c r="M71" s="6" t="n">
        <v>18</v>
      </c>
      <c r="N71" s="6" t="n">
        <v>36</v>
      </c>
      <c r="O71" s="6" t="n">
        <v>81</v>
      </c>
      <c r="P71" s="6" t="n">
        <v>5</v>
      </c>
      <c r="Q71" s="6" t="n">
        <v>0</v>
      </c>
      <c r="R71" s="6" t="n">
        <v>0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9</v>
      </c>
      <c r="Z71" s="6" t="n">
        <v>10</v>
      </c>
      <c r="AA71" s="6" t="n">
        <v>57</v>
      </c>
      <c r="AB71" s="6">
        <f>SUM(D71:AA71)</f>
        <v/>
      </c>
      <c r="AC71" s="3" t="inlineStr"/>
      <c r="AD71" s="7">
        <f>Y71*0.0081726819</f>
        <v/>
      </c>
      <c r="AE71" s="7">
        <f>Z71*0.0081726819</f>
        <v/>
      </c>
      <c r="AF71" s="7">
        <f>AA71*0.0081726819</f>
        <v/>
      </c>
      <c r="AG71" s="7">
        <f>D71*0.0081726819</f>
        <v/>
      </c>
      <c r="AH71" s="7">
        <f>E71*0.0081726819</f>
        <v/>
      </c>
      <c r="AI71" s="7">
        <f>F71*0.0081726819</f>
        <v/>
      </c>
      <c r="AJ71" s="7">
        <f>G71*0.0081726819</f>
        <v/>
      </c>
      <c r="AK71" s="7">
        <f>H71*0.0081726819</f>
        <v/>
      </c>
      <c r="AL71" s="7">
        <f>I71*0.0081726819</f>
        <v/>
      </c>
      <c r="AM71" s="7">
        <f>J71*0.0081726819</f>
        <v/>
      </c>
      <c r="AN71" s="7">
        <f>K71*0.0081726819</f>
        <v/>
      </c>
      <c r="AO71" s="7">
        <f>L71*0.0081726819</f>
        <v/>
      </c>
      <c r="AP71" s="7">
        <f>M71*0.0081726819</f>
        <v/>
      </c>
      <c r="AQ71" s="7">
        <f>N71*0.0081726819</f>
        <v/>
      </c>
      <c r="AR71" s="7">
        <f>O71*0.0081726819</f>
        <v/>
      </c>
      <c r="AS71" s="7">
        <f>P71*0.0081726819</f>
        <v/>
      </c>
      <c r="AT71" s="7">
        <f>Q71*0.0081726819</f>
        <v/>
      </c>
      <c r="AU71" s="7">
        <f>R71*0.0081726819</f>
        <v/>
      </c>
      <c r="AV71" s="7">
        <f>S71*0.0081726819</f>
        <v/>
      </c>
      <c r="AW71" s="7">
        <f>T71*0.0081726819</f>
        <v/>
      </c>
      <c r="AX71" s="7">
        <f>U71*0.0081726819</f>
        <v/>
      </c>
      <c r="AY71" s="7">
        <f>V71*0.0081726819</f>
        <v/>
      </c>
      <c r="AZ71" s="7">
        <f>W71*0.0081726819</f>
        <v/>
      </c>
      <c r="BA71" s="7">
        <f>X71*0.0081726819</f>
        <v/>
      </c>
      <c r="BB71" s="7">
        <f>SUM(AD71:BA71)</f>
        <v/>
      </c>
    </row>
    <row r="72">
      <c r="A72" t="inlineStr">
        <is>
          <t>AMD-M1</t>
        </is>
      </c>
      <c r="B72" t="inlineStr">
        <is>
          <t>Forward Regular OSC</t>
        </is>
      </c>
      <c r="C72" s="5" t="n">
        <v>46094</v>
      </c>
      <c r="D72" s="6" t="n">
        <v>93</v>
      </c>
      <c r="E72" s="6" t="n">
        <v>38</v>
      </c>
      <c r="F72" s="6" t="n">
        <v>73</v>
      </c>
      <c r="G72" s="6" t="n">
        <v>124</v>
      </c>
      <c r="H72" s="6" t="n">
        <v>128</v>
      </c>
      <c r="I72" s="6" t="n">
        <v>91</v>
      </c>
      <c r="J72" s="6" t="n">
        <v>8</v>
      </c>
      <c r="K72" s="6" t="n">
        <v>0</v>
      </c>
      <c r="L72" s="6" t="n">
        <v>0</v>
      </c>
      <c r="M72" s="6" t="n">
        <v>20</v>
      </c>
      <c r="N72" s="6" t="n">
        <v>30</v>
      </c>
      <c r="O72" s="6" t="n">
        <v>80</v>
      </c>
      <c r="P72" s="6" t="n">
        <v>77</v>
      </c>
      <c r="Q72" s="6" t="n">
        <v>3</v>
      </c>
      <c r="R72" s="6" t="n">
        <v>2</v>
      </c>
      <c r="S72" s="6" t="n">
        <v>1</v>
      </c>
      <c r="T72" s="6" t="n">
        <v>0</v>
      </c>
      <c r="U72" s="6" t="n">
        <v>0</v>
      </c>
      <c r="V72" s="6" t="n">
        <v>0</v>
      </c>
      <c r="W72" s="6" t="n">
        <v>0</v>
      </c>
      <c r="X72" s="6" t="n">
        <v>0</v>
      </c>
      <c r="Y72" s="6" t="n">
        <v>6</v>
      </c>
      <c r="Z72" s="6" t="n">
        <v>0</v>
      </c>
      <c r="AA72" s="6" t="n">
        <v>65</v>
      </c>
      <c r="AB72" s="6">
        <f>SUM(D72:AA72)</f>
        <v/>
      </c>
      <c r="AC72" s="3" t="inlineStr"/>
      <c r="AD72" s="7">
        <f>Y72*0.0081726819</f>
        <v/>
      </c>
      <c r="AE72" s="7">
        <f>Z72*0.0081726819</f>
        <v/>
      </c>
      <c r="AF72" s="7">
        <f>AA72*0.0081726819</f>
        <v/>
      </c>
      <c r="AG72" s="7">
        <f>D72*0.0081726819</f>
        <v/>
      </c>
      <c r="AH72" s="7">
        <f>E72*0.0081726819</f>
        <v/>
      </c>
      <c r="AI72" s="7">
        <f>F72*0.0081726819</f>
        <v/>
      </c>
      <c r="AJ72" s="7">
        <f>G72*0.0081726819</f>
        <v/>
      </c>
      <c r="AK72" s="7">
        <f>H72*0.0081726819</f>
        <v/>
      </c>
      <c r="AL72" s="7">
        <f>I72*0.0081726819</f>
        <v/>
      </c>
      <c r="AM72" s="7">
        <f>J72*0.0081726819</f>
        <v/>
      </c>
      <c r="AN72" s="7">
        <f>K72*0.0081726819</f>
        <v/>
      </c>
      <c r="AO72" s="7">
        <f>L72*0.0081726819</f>
        <v/>
      </c>
      <c r="AP72" s="7">
        <f>M72*0.0081726819</f>
        <v/>
      </c>
      <c r="AQ72" s="7">
        <f>N72*0.0081726819</f>
        <v/>
      </c>
      <c r="AR72" s="7">
        <f>O72*0.0081726819</f>
        <v/>
      </c>
      <c r="AS72" s="7">
        <f>P72*0.0081726819</f>
        <v/>
      </c>
      <c r="AT72" s="7">
        <f>Q72*0.0081726819</f>
        <v/>
      </c>
      <c r="AU72" s="7">
        <f>R72*0.0081726819</f>
        <v/>
      </c>
      <c r="AV72" s="7">
        <f>S72*0.0081726819</f>
        <v/>
      </c>
      <c r="AW72" s="7">
        <f>T72*0.0081726819</f>
        <v/>
      </c>
      <c r="AX72" s="7">
        <f>U72*0.0081726819</f>
        <v/>
      </c>
      <c r="AY72" s="7">
        <f>V72*0.0081726819</f>
        <v/>
      </c>
      <c r="AZ72" s="7">
        <f>W72*0.0081726819</f>
        <v/>
      </c>
      <c r="BA72" s="7">
        <f>X72*0.0081726819</f>
        <v/>
      </c>
      <c r="BB72" s="7">
        <f>SUM(AD72:BA72)</f>
        <v/>
      </c>
    </row>
    <row r="73">
      <c r="A73" t="inlineStr">
        <is>
          <t>AMD-M1</t>
        </is>
      </c>
      <c r="B73" t="inlineStr">
        <is>
          <t>Forward Regular OSC</t>
        </is>
      </c>
      <c r="C73" s="5" t="n">
        <v>46095</v>
      </c>
      <c r="D73" s="6" t="n">
        <v>107</v>
      </c>
      <c r="E73" s="6" t="n">
        <v>25</v>
      </c>
      <c r="F73" s="6" t="n">
        <v>83</v>
      </c>
      <c r="G73" s="6" t="n">
        <v>115</v>
      </c>
      <c r="H73" s="6" t="n">
        <v>83</v>
      </c>
      <c r="I73" s="6" t="n">
        <v>88</v>
      </c>
      <c r="J73" s="6" t="n">
        <v>5</v>
      </c>
      <c r="K73" s="6" t="n">
        <v>3</v>
      </c>
      <c r="L73" s="6" t="n">
        <v>0</v>
      </c>
      <c r="M73" s="6" t="n">
        <v>10</v>
      </c>
      <c r="N73" s="6" t="n">
        <v>50</v>
      </c>
      <c r="O73" s="6" t="n">
        <v>47</v>
      </c>
      <c r="P73" s="6" t="n">
        <v>103</v>
      </c>
      <c r="Q73" s="6" t="n">
        <v>16</v>
      </c>
      <c r="R73" s="6" t="n">
        <v>0</v>
      </c>
      <c r="S73" s="6" t="n">
        <v>0</v>
      </c>
      <c r="T73" s="6" t="n">
        <v>0</v>
      </c>
      <c r="U73" s="6" t="n">
        <v>0</v>
      </c>
      <c r="V73" s="6" t="n">
        <v>0</v>
      </c>
      <c r="W73" s="6" t="n">
        <v>0</v>
      </c>
      <c r="X73" s="6" t="n">
        <v>2</v>
      </c>
      <c r="Y73" s="6" t="n">
        <v>0</v>
      </c>
      <c r="Z73" s="6" t="n">
        <v>2</v>
      </c>
      <c r="AA73" s="6" t="n">
        <v>104</v>
      </c>
      <c r="AB73" s="6">
        <f>SUM(D73:AA73)</f>
        <v/>
      </c>
      <c r="AC73" s="3" t="inlineStr"/>
      <c r="AD73" s="7">
        <f>Y73*0.0081726819</f>
        <v/>
      </c>
      <c r="AE73" s="7">
        <f>Z73*0.0081726819</f>
        <v/>
      </c>
      <c r="AF73" s="7">
        <f>AA73*0.0081726819</f>
        <v/>
      </c>
      <c r="AG73" s="7">
        <f>D73*0.0081726819</f>
        <v/>
      </c>
      <c r="AH73" s="7">
        <f>E73*0.0081726819</f>
        <v/>
      </c>
      <c r="AI73" s="7">
        <f>F73*0.0081726819</f>
        <v/>
      </c>
      <c r="AJ73" s="7">
        <f>G73*0.0081726819</f>
        <v/>
      </c>
      <c r="AK73" s="7">
        <f>H73*0.0081726819</f>
        <v/>
      </c>
      <c r="AL73" s="7">
        <f>I73*0.0081726819</f>
        <v/>
      </c>
      <c r="AM73" s="7">
        <f>J73*0.0081726819</f>
        <v/>
      </c>
      <c r="AN73" s="7">
        <f>K73*0.0081726819</f>
        <v/>
      </c>
      <c r="AO73" s="7">
        <f>L73*0.0081726819</f>
        <v/>
      </c>
      <c r="AP73" s="7">
        <f>M73*0.0081726819</f>
        <v/>
      </c>
      <c r="AQ73" s="7">
        <f>N73*0.0081726819</f>
        <v/>
      </c>
      <c r="AR73" s="7">
        <f>O73*0.0081726819</f>
        <v/>
      </c>
      <c r="AS73" s="7">
        <f>P73*0.0081726819</f>
        <v/>
      </c>
      <c r="AT73" s="7">
        <f>Q73*0.0081726819</f>
        <v/>
      </c>
      <c r="AU73" s="7">
        <f>R73*0.0081726819</f>
        <v/>
      </c>
      <c r="AV73" s="7">
        <f>S73*0.0081726819</f>
        <v/>
      </c>
      <c r="AW73" s="7">
        <f>T73*0.0081726819</f>
        <v/>
      </c>
      <c r="AX73" s="7">
        <f>U73*0.0081726819</f>
        <v/>
      </c>
      <c r="AY73" s="7">
        <f>V73*0.0081726819</f>
        <v/>
      </c>
      <c r="AZ73" s="7">
        <f>W73*0.0081726819</f>
        <v/>
      </c>
      <c r="BA73" s="7">
        <f>X73*0.0081726819</f>
        <v/>
      </c>
      <c r="BB73" s="7">
        <f>SUM(AD73:BA73)</f>
        <v/>
      </c>
    </row>
    <row r="74">
      <c r="A74" t="inlineStr">
        <is>
          <t>AMD-M1</t>
        </is>
      </c>
      <c r="B74" t="inlineStr">
        <is>
          <t>Forward Regular OSC</t>
        </is>
      </c>
      <c r="C74" s="5" t="n">
        <v>46096</v>
      </c>
      <c r="D74" s="6" t="n">
        <v>97</v>
      </c>
      <c r="E74" s="6" t="n">
        <v>42</v>
      </c>
      <c r="F74" s="6" t="n">
        <v>78</v>
      </c>
      <c r="G74" s="6" t="n">
        <v>182</v>
      </c>
      <c r="H74" s="6" t="n">
        <v>29</v>
      </c>
      <c r="I74" s="6" t="n">
        <v>8</v>
      </c>
      <c r="J74" s="6" t="n">
        <v>5</v>
      </c>
      <c r="K74" s="6" t="n">
        <v>0</v>
      </c>
      <c r="L74" s="6" t="n">
        <v>6</v>
      </c>
      <c r="M74" s="6" t="n">
        <v>19</v>
      </c>
      <c r="N74" s="6" t="n">
        <v>54</v>
      </c>
      <c r="O74" s="6" t="n">
        <v>111</v>
      </c>
      <c r="P74" s="6" t="n">
        <v>27</v>
      </c>
      <c r="Q74" s="6" t="n">
        <v>0</v>
      </c>
      <c r="R74" s="6" t="n">
        <v>0</v>
      </c>
      <c r="S74" s="6" t="n">
        <v>0</v>
      </c>
      <c r="T74" s="6" t="n">
        <v>0</v>
      </c>
      <c r="U74" s="6" t="n">
        <v>0</v>
      </c>
      <c r="V74" s="6" t="n">
        <v>0</v>
      </c>
      <c r="W74" s="6" t="n">
        <v>0</v>
      </c>
      <c r="X74" s="6" t="n">
        <v>0</v>
      </c>
      <c r="Y74" s="6" t="n">
        <v>2</v>
      </c>
      <c r="Z74" s="6" t="n">
        <v>0</v>
      </c>
      <c r="AA74" s="6" t="n">
        <v>40</v>
      </c>
      <c r="AB74" s="6">
        <f>SUM(D74:AA74)</f>
        <v/>
      </c>
      <c r="AC74" s="3" t="inlineStr"/>
      <c r="AD74" s="7">
        <f>Y74*0.0081726819</f>
        <v/>
      </c>
      <c r="AE74" s="7">
        <f>Z74*0.0081726819</f>
        <v/>
      </c>
      <c r="AF74" s="7">
        <f>AA74*0.0081726819</f>
        <v/>
      </c>
      <c r="AG74" s="7">
        <f>D74*0.0081726819</f>
        <v/>
      </c>
      <c r="AH74" s="7">
        <f>E74*0.0081726819</f>
        <v/>
      </c>
      <c r="AI74" s="7">
        <f>F74*0.0081726819</f>
        <v/>
      </c>
      <c r="AJ74" s="7">
        <f>G74*0.0081726819</f>
        <v/>
      </c>
      <c r="AK74" s="7">
        <f>H74*0.0081726819</f>
        <v/>
      </c>
      <c r="AL74" s="7">
        <f>I74*0.0081726819</f>
        <v/>
      </c>
      <c r="AM74" s="7">
        <f>J74*0.0081726819</f>
        <v/>
      </c>
      <c r="AN74" s="7">
        <f>K74*0.0081726819</f>
        <v/>
      </c>
      <c r="AO74" s="7">
        <f>L74*0.0081726819</f>
        <v/>
      </c>
      <c r="AP74" s="7">
        <f>M74*0.0081726819</f>
        <v/>
      </c>
      <c r="AQ74" s="7">
        <f>N74*0.0081726819</f>
        <v/>
      </c>
      <c r="AR74" s="7">
        <f>O74*0.0081726819</f>
        <v/>
      </c>
      <c r="AS74" s="7">
        <f>P74*0.0081726819</f>
        <v/>
      </c>
      <c r="AT74" s="7">
        <f>Q74*0.0081726819</f>
        <v/>
      </c>
      <c r="AU74" s="7">
        <f>R74*0.0081726819</f>
        <v/>
      </c>
      <c r="AV74" s="7">
        <f>S74*0.0081726819</f>
        <v/>
      </c>
      <c r="AW74" s="7">
        <f>T74*0.0081726819</f>
        <v/>
      </c>
      <c r="AX74" s="7">
        <f>U74*0.0081726819</f>
        <v/>
      </c>
      <c r="AY74" s="7">
        <f>V74*0.0081726819</f>
        <v/>
      </c>
      <c r="AZ74" s="7">
        <f>W74*0.0081726819</f>
        <v/>
      </c>
      <c r="BA74" s="7">
        <f>X74*0.0081726819</f>
        <v/>
      </c>
      <c r="BB74" s="7">
        <f>SUM(AD74:BA74)</f>
        <v/>
      </c>
    </row>
    <row r="75">
      <c r="A75" t="inlineStr">
        <is>
          <t>AMD-M1</t>
        </is>
      </c>
      <c r="B75" t="inlineStr">
        <is>
          <t>Forward Regular OSC</t>
        </is>
      </c>
      <c r="C75" s="5" t="n">
        <v>46097</v>
      </c>
      <c r="D75" s="6" t="n">
        <v>101</v>
      </c>
      <c r="E75" s="6" t="n">
        <v>31</v>
      </c>
      <c r="F75" s="6" t="n">
        <v>88</v>
      </c>
      <c r="G75" s="6" t="n">
        <v>133</v>
      </c>
      <c r="H75" s="6" t="n">
        <v>43</v>
      </c>
      <c r="I75" s="6" t="n">
        <v>1</v>
      </c>
      <c r="J75" s="6" t="n">
        <v>6</v>
      </c>
      <c r="K75" s="6" t="n">
        <v>0</v>
      </c>
      <c r="L75" s="6" t="n">
        <v>0</v>
      </c>
      <c r="M75" s="6" t="n">
        <v>28</v>
      </c>
      <c r="N75" s="6" t="n">
        <v>88</v>
      </c>
      <c r="O75" s="6" t="n">
        <v>13</v>
      </c>
      <c r="P75" s="6" t="n">
        <v>0</v>
      </c>
      <c r="Q75" s="6" t="n">
        <v>0</v>
      </c>
      <c r="R75" s="6" t="n">
        <v>0</v>
      </c>
      <c r="S75" s="6" t="n">
        <v>0</v>
      </c>
      <c r="T75" s="6" t="n">
        <v>0</v>
      </c>
      <c r="U75" s="6" t="n">
        <v>0</v>
      </c>
      <c r="V75" s="6" t="n">
        <v>0</v>
      </c>
      <c r="W75" s="6" t="n">
        <v>0</v>
      </c>
      <c r="X75" s="6" t="n">
        <v>0</v>
      </c>
      <c r="Y75" s="6" t="n">
        <v>6</v>
      </c>
      <c r="Z75" s="6" t="n">
        <v>0</v>
      </c>
      <c r="AA75" s="6" t="n">
        <v>0</v>
      </c>
      <c r="AB75" s="6">
        <f>SUM(D75:AA75)</f>
        <v/>
      </c>
      <c r="AC75" s="3" t="inlineStr"/>
      <c r="AD75" s="7">
        <f>Y75*0.0081726819</f>
        <v/>
      </c>
      <c r="AE75" s="7">
        <f>Z75*0.0081726819</f>
        <v/>
      </c>
      <c r="AF75" s="7">
        <f>AA75*0.0081726819</f>
        <v/>
      </c>
      <c r="AG75" s="7">
        <f>D75*0.0081726819</f>
        <v/>
      </c>
      <c r="AH75" s="7">
        <f>E75*0.0081726819</f>
        <v/>
      </c>
      <c r="AI75" s="7">
        <f>F75*0.0081726819</f>
        <v/>
      </c>
      <c r="AJ75" s="7">
        <f>G75*0.0081726819</f>
        <v/>
      </c>
      <c r="AK75" s="7">
        <f>H75*0.0081726819</f>
        <v/>
      </c>
      <c r="AL75" s="7">
        <f>I75*0.0081726819</f>
        <v/>
      </c>
      <c r="AM75" s="7">
        <f>J75*0.0081726819</f>
        <v/>
      </c>
      <c r="AN75" s="7">
        <f>K75*0.0081726819</f>
        <v/>
      </c>
      <c r="AO75" s="7">
        <f>L75*0.0081726819</f>
        <v/>
      </c>
      <c r="AP75" s="7">
        <f>M75*0.0081726819</f>
        <v/>
      </c>
      <c r="AQ75" s="7">
        <f>N75*0.0081726819</f>
        <v/>
      </c>
      <c r="AR75" s="7">
        <f>O75*0.0081726819</f>
        <v/>
      </c>
      <c r="AS75" s="7">
        <f>P75*0.0081726819</f>
        <v/>
      </c>
      <c r="AT75" s="7">
        <f>Q75*0.0081726819</f>
        <v/>
      </c>
      <c r="AU75" s="7">
        <f>R75*0.0081726819</f>
        <v/>
      </c>
      <c r="AV75" s="7">
        <f>S75*0.0081726819</f>
        <v/>
      </c>
      <c r="AW75" s="7">
        <f>T75*0.0081726819</f>
        <v/>
      </c>
      <c r="AX75" s="7">
        <f>U75*0.0081726819</f>
        <v/>
      </c>
      <c r="AY75" s="7">
        <f>V75*0.0081726819</f>
        <v/>
      </c>
      <c r="AZ75" s="7">
        <f>W75*0.0081726819</f>
        <v/>
      </c>
      <c r="BA75" s="7">
        <f>X75*0.0081726819</f>
        <v/>
      </c>
      <c r="BB75" s="7">
        <f>SUM(AD75:BA75)</f>
        <v/>
      </c>
    </row>
    <row r="76">
      <c r="A76" t="inlineStr">
        <is>
          <t>AMD-M2</t>
        </is>
      </c>
      <c r="B76" t="inlineStr">
        <is>
          <t>Forward Regular OSC</t>
        </is>
      </c>
      <c r="C76" s="5" t="n">
        <v>46089</v>
      </c>
      <c r="D76" s="6" t="n">
        <v>223</v>
      </c>
      <c r="E76" s="6" t="n">
        <v>73</v>
      </c>
      <c r="F76" s="6" t="n">
        <v>202</v>
      </c>
      <c r="G76" s="6" t="n">
        <v>186</v>
      </c>
      <c r="H76" s="6" t="n">
        <v>192</v>
      </c>
      <c r="I76" s="6" t="n">
        <v>214</v>
      </c>
      <c r="J76" s="6" t="n">
        <v>119</v>
      </c>
      <c r="K76" s="6" t="n">
        <v>1</v>
      </c>
      <c r="L76" s="6" t="n">
        <v>133</v>
      </c>
      <c r="M76" s="6" t="n">
        <v>210</v>
      </c>
      <c r="N76" s="6" t="n">
        <v>286</v>
      </c>
      <c r="O76" s="6" t="n">
        <v>254</v>
      </c>
      <c r="P76" s="6" t="n">
        <v>95</v>
      </c>
      <c r="Q76" s="6" t="n">
        <v>170</v>
      </c>
      <c r="R76" s="6" t="n">
        <v>274</v>
      </c>
      <c r="S76" s="6" t="n">
        <v>175</v>
      </c>
      <c r="T76" s="6" t="n">
        <v>59</v>
      </c>
      <c r="U76" s="6" t="n">
        <v>0</v>
      </c>
      <c r="V76" s="6" t="n">
        <v>0</v>
      </c>
      <c r="W76" s="6" t="n">
        <v>0</v>
      </c>
      <c r="X76" s="6" t="n">
        <v>0</v>
      </c>
      <c r="Y76" s="6" t="n">
        <v>0</v>
      </c>
      <c r="Z76" s="6" t="n">
        <v>2</v>
      </c>
      <c r="AA76" s="6" t="n">
        <v>162</v>
      </c>
      <c r="AB76" s="6">
        <f>SUM(D76:AA76)</f>
        <v/>
      </c>
      <c r="AC76" s="3" t="inlineStr"/>
      <c r="AD76" s="7">
        <f>Y76*0.0081726819</f>
        <v/>
      </c>
      <c r="AE76" s="7">
        <f>Z76*0.0081726819</f>
        <v/>
      </c>
      <c r="AF76" s="7">
        <f>AA76*0.0081726819</f>
        <v/>
      </c>
      <c r="AG76" s="7">
        <f>D76*0.0081726819</f>
        <v/>
      </c>
      <c r="AH76" s="7">
        <f>E76*0.0081726819</f>
        <v/>
      </c>
      <c r="AI76" s="7">
        <f>F76*0.0081726819</f>
        <v/>
      </c>
      <c r="AJ76" s="7">
        <f>G76*0.0081726819</f>
        <v/>
      </c>
      <c r="AK76" s="7">
        <f>H76*0.0081726819</f>
        <v/>
      </c>
      <c r="AL76" s="7">
        <f>I76*0.0081726819</f>
        <v/>
      </c>
      <c r="AM76" s="7">
        <f>J76*0.0081726819</f>
        <v/>
      </c>
      <c r="AN76" s="7">
        <f>K76*0.0081726819</f>
        <v/>
      </c>
      <c r="AO76" s="7">
        <f>L76*0.0081726819</f>
        <v/>
      </c>
      <c r="AP76" s="7">
        <f>M76*0.0081726819</f>
        <v/>
      </c>
      <c r="AQ76" s="7">
        <f>N76*0.0081726819</f>
        <v/>
      </c>
      <c r="AR76" s="7">
        <f>O76*0.0081726819</f>
        <v/>
      </c>
      <c r="AS76" s="7">
        <f>P76*0.0081726819</f>
        <v/>
      </c>
      <c r="AT76" s="7">
        <f>Q76*0.0081726819</f>
        <v/>
      </c>
      <c r="AU76" s="7">
        <f>R76*0.0081726819</f>
        <v/>
      </c>
      <c r="AV76" s="7">
        <f>S76*0.0081726819</f>
        <v/>
      </c>
      <c r="AW76" s="7">
        <f>T76*0.0081726819</f>
        <v/>
      </c>
      <c r="AX76" s="7">
        <f>U76*0.0081726819</f>
        <v/>
      </c>
      <c r="AY76" s="7">
        <f>V76*0.0081726819</f>
        <v/>
      </c>
      <c r="AZ76" s="7">
        <f>W76*0.0081726819</f>
        <v/>
      </c>
      <c r="BA76" s="7">
        <f>X76*0.0081726819</f>
        <v/>
      </c>
      <c r="BB76" s="7">
        <f>SUM(AD76:BA76)</f>
        <v/>
      </c>
    </row>
    <row r="77">
      <c r="A77" t="inlineStr">
        <is>
          <t>AMD-M2</t>
        </is>
      </c>
      <c r="B77" t="inlineStr">
        <is>
          <t>Forward Regular OSC</t>
        </is>
      </c>
      <c r="C77" s="5" t="n">
        <v>46090</v>
      </c>
      <c r="D77" s="6" t="n">
        <v>165</v>
      </c>
      <c r="E77" s="6" t="n">
        <v>61</v>
      </c>
      <c r="F77" s="6" t="n">
        <v>146</v>
      </c>
      <c r="G77" s="6" t="n">
        <v>225</v>
      </c>
      <c r="H77" s="6" t="n">
        <v>158</v>
      </c>
      <c r="I77" s="6" t="n">
        <v>158</v>
      </c>
      <c r="J77" s="6" t="n">
        <v>147</v>
      </c>
      <c r="K77" s="6" t="n">
        <v>186</v>
      </c>
      <c r="L77" s="6" t="n">
        <v>296</v>
      </c>
      <c r="M77" s="6" t="n">
        <v>235</v>
      </c>
      <c r="N77" s="6" t="n">
        <v>303</v>
      </c>
      <c r="O77" s="6" t="n">
        <v>310</v>
      </c>
      <c r="P77" s="6" t="n">
        <v>125</v>
      </c>
      <c r="Q77" s="6" t="n">
        <v>218</v>
      </c>
      <c r="R77" s="6" t="n">
        <v>250</v>
      </c>
      <c r="S77" s="6" t="n">
        <v>251</v>
      </c>
      <c r="T77" s="6" t="n">
        <v>253</v>
      </c>
      <c r="U77" s="6" t="n">
        <v>38</v>
      </c>
      <c r="V77" s="6" t="n">
        <v>75</v>
      </c>
      <c r="W77" s="6" t="n">
        <v>51</v>
      </c>
      <c r="X77" s="6" t="n">
        <v>5</v>
      </c>
      <c r="Y77" s="6" t="n">
        <v>0</v>
      </c>
      <c r="Z77" s="6" t="n">
        <v>25</v>
      </c>
      <c r="AA77" s="6" t="n">
        <v>390</v>
      </c>
      <c r="AB77" s="6">
        <f>SUM(D77:AA77)</f>
        <v/>
      </c>
      <c r="AC77" s="3" t="inlineStr"/>
      <c r="AD77" s="7">
        <f>Y77*0.0081726819</f>
        <v/>
      </c>
      <c r="AE77" s="7">
        <f>Z77*0.0081726819</f>
        <v/>
      </c>
      <c r="AF77" s="7">
        <f>AA77*0.0081726819</f>
        <v/>
      </c>
      <c r="AG77" s="7">
        <f>D77*0.0081726819</f>
        <v/>
      </c>
      <c r="AH77" s="7">
        <f>E77*0.0081726819</f>
        <v/>
      </c>
      <c r="AI77" s="7">
        <f>F77*0.0081726819</f>
        <v/>
      </c>
      <c r="AJ77" s="7">
        <f>G77*0.0081726819</f>
        <v/>
      </c>
      <c r="AK77" s="7">
        <f>H77*0.0081726819</f>
        <v/>
      </c>
      <c r="AL77" s="7">
        <f>I77*0.0081726819</f>
        <v/>
      </c>
      <c r="AM77" s="7">
        <f>J77*0.0081726819</f>
        <v/>
      </c>
      <c r="AN77" s="7">
        <f>K77*0.0081726819</f>
        <v/>
      </c>
      <c r="AO77" s="7">
        <f>L77*0.0081726819</f>
        <v/>
      </c>
      <c r="AP77" s="7">
        <f>M77*0.0081726819</f>
        <v/>
      </c>
      <c r="AQ77" s="7">
        <f>N77*0.0081726819</f>
        <v/>
      </c>
      <c r="AR77" s="7">
        <f>O77*0.0081726819</f>
        <v/>
      </c>
      <c r="AS77" s="7">
        <f>P77*0.0081726819</f>
        <v/>
      </c>
      <c r="AT77" s="7">
        <f>Q77*0.0081726819</f>
        <v/>
      </c>
      <c r="AU77" s="7">
        <f>R77*0.0081726819</f>
        <v/>
      </c>
      <c r="AV77" s="7">
        <f>S77*0.0081726819</f>
        <v/>
      </c>
      <c r="AW77" s="7">
        <f>T77*0.0081726819</f>
        <v/>
      </c>
      <c r="AX77" s="7">
        <f>U77*0.0081726819</f>
        <v/>
      </c>
      <c r="AY77" s="7">
        <f>V77*0.0081726819</f>
        <v/>
      </c>
      <c r="AZ77" s="7">
        <f>W77*0.0081726819</f>
        <v/>
      </c>
      <c r="BA77" s="7">
        <f>X77*0.0081726819</f>
        <v/>
      </c>
      <c r="BB77" s="7">
        <f>SUM(AD77:BA77)</f>
        <v/>
      </c>
    </row>
    <row r="78">
      <c r="A78" t="inlineStr">
        <is>
          <t>AMD-M2</t>
        </is>
      </c>
      <c r="B78" t="inlineStr">
        <is>
          <t>Forward Regular OSC</t>
        </is>
      </c>
      <c r="C78" s="5" t="n">
        <v>46091</v>
      </c>
      <c r="D78" s="6" t="n">
        <v>377</v>
      </c>
      <c r="E78" s="6" t="n">
        <v>248</v>
      </c>
      <c r="F78" s="6" t="n">
        <v>246</v>
      </c>
      <c r="G78" s="6" t="n">
        <v>397</v>
      </c>
      <c r="H78" s="6" t="n">
        <v>266</v>
      </c>
      <c r="I78" s="6" t="n">
        <v>278</v>
      </c>
      <c r="J78" s="6" t="n">
        <v>215</v>
      </c>
      <c r="K78" s="6" t="n">
        <v>120</v>
      </c>
      <c r="L78" s="6" t="n">
        <v>294</v>
      </c>
      <c r="M78" s="6" t="n">
        <v>263</v>
      </c>
      <c r="N78" s="6" t="n">
        <v>315</v>
      </c>
      <c r="O78" s="6" t="n">
        <v>299</v>
      </c>
      <c r="P78" s="6" t="n">
        <v>105</v>
      </c>
      <c r="Q78" s="6" t="n">
        <v>305</v>
      </c>
      <c r="R78" s="6" t="n">
        <v>318</v>
      </c>
      <c r="S78" s="6" t="n">
        <v>348</v>
      </c>
      <c r="T78" s="6" t="n">
        <v>407</v>
      </c>
      <c r="U78" s="6" t="n">
        <v>10</v>
      </c>
      <c r="V78" s="6" t="n">
        <v>149</v>
      </c>
      <c r="W78" s="6" t="n">
        <v>122</v>
      </c>
      <c r="X78" s="6" t="n">
        <v>22</v>
      </c>
      <c r="Y78" s="6" t="n">
        <v>0</v>
      </c>
      <c r="Z78" s="6" t="n">
        <v>6</v>
      </c>
      <c r="AA78" s="6" t="n">
        <v>326</v>
      </c>
      <c r="AB78" s="6">
        <f>SUM(D78:AA78)</f>
        <v/>
      </c>
      <c r="AC78" s="3" t="inlineStr"/>
      <c r="AD78" s="7">
        <f>Y78*0.0081726819</f>
        <v/>
      </c>
      <c r="AE78" s="7">
        <f>Z78*0.0081726819</f>
        <v/>
      </c>
      <c r="AF78" s="7">
        <f>AA78*0.0081726819</f>
        <v/>
      </c>
      <c r="AG78" s="7">
        <f>D78*0.0081726819</f>
        <v/>
      </c>
      <c r="AH78" s="7">
        <f>E78*0.0081726819</f>
        <v/>
      </c>
      <c r="AI78" s="7">
        <f>F78*0.0081726819</f>
        <v/>
      </c>
      <c r="AJ78" s="7">
        <f>G78*0.0081726819</f>
        <v/>
      </c>
      <c r="AK78" s="7">
        <f>H78*0.0081726819</f>
        <v/>
      </c>
      <c r="AL78" s="7">
        <f>I78*0.0081726819</f>
        <v/>
      </c>
      <c r="AM78" s="7">
        <f>J78*0.0081726819</f>
        <v/>
      </c>
      <c r="AN78" s="7">
        <f>K78*0.0081726819</f>
        <v/>
      </c>
      <c r="AO78" s="7">
        <f>L78*0.0081726819</f>
        <v/>
      </c>
      <c r="AP78" s="7">
        <f>M78*0.0081726819</f>
        <v/>
      </c>
      <c r="AQ78" s="7">
        <f>N78*0.0081726819</f>
        <v/>
      </c>
      <c r="AR78" s="7">
        <f>O78*0.0081726819</f>
        <v/>
      </c>
      <c r="AS78" s="7">
        <f>P78*0.0081726819</f>
        <v/>
      </c>
      <c r="AT78" s="7">
        <f>Q78*0.0081726819</f>
        <v/>
      </c>
      <c r="AU78" s="7">
        <f>R78*0.0081726819</f>
        <v/>
      </c>
      <c r="AV78" s="7">
        <f>S78*0.0081726819</f>
        <v/>
      </c>
      <c r="AW78" s="7">
        <f>T78*0.0081726819</f>
        <v/>
      </c>
      <c r="AX78" s="7">
        <f>U78*0.0081726819</f>
        <v/>
      </c>
      <c r="AY78" s="7">
        <f>V78*0.0081726819</f>
        <v/>
      </c>
      <c r="AZ78" s="7">
        <f>W78*0.0081726819</f>
        <v/>
      </c>
      <c r="BA78" s="7">
        <f>X78*0.0081726819</f>
        <v/>
      </c>
      <c r="BB78" s="7">
        <f>SUM(AD78:BA78)</f>
        <v/>
      </c>
    </row>
    <row r="79">
      <c r="A79" t="inlineStr">
        <is>
          <t>AMD-M2</t>
        </is>
      </c>
      <c r="B79" t="inlineStr">
        <is>
          <t>Forward Regular OSC</t>
        </is>
      </c>
      <c r="C79" s="5" t="n">
        <v>46092</v>
      </c>
      <c r="D79" s="6" t="n">
        <v>284</v>
      </c>
      <c r="E79" s="6" t="n">
        <v>160</v>
      </c>
      <c r="F79" s="6" t="n">
        <v>304</v>
      </c>
      <c r="G79" s="6" t="n">
        <v>401</v>
      </c>
      <c r="H79" s="6" t="n">
        <v>218</v>
      </c>
      <c r="I79" s="6" t="n">
        <v>326</v>
      </c>
      <c r="J79" s="6" t="n">
        <v>249</v>
      </c>
      <c r="K79" s="6" t="n">
        <v>44</v>
      </c>
      <c r="L79" s="6" t="n">
        <v>419</v>
      </c>
      <c r="M79" s="6" t="n">
        <v>212</v>
      </c>
      <c r="N79" s="6" t="n">
        <v>401</v>
      </c>
      <c r="O79" s="6" t="n">
        <v>353</v>
      </c>
      <c r="P79" s="6" t="n">
        <v>111</v>
      </c>
      <c r="Q79" s="6" t="n">
        <v>187</v>
      </c>
      <c r="R79" s="6" t="n">
        <v>311</v>
      </c>
      <c r="S79" s="6" t="n">
        <v>256</v>
      </c>
      <c r="T79" s="6" t="n">
        <v>52</v>
      </c>
      <c r="U79" s="6" t="n">
        <v>0</v>
      </c>
      <c r="V79" s="6" t="n">
        <v>0</v>
      </c>
      <c r="W79" s="6" t="n">
        <v>0</v>
      </c>
      <c r="X79" s="6" t="n">
        <v>0</v>
      </c>
      <c r="Y79" s="6" t="n">
        <v>0</v>
      </c>
      <c r="Z79" s="6" t="n">
        <v>0</v>
      </c>
      <c r="AA79" s="6" t="n">
        <v>350</v>
      </c>
      <c r="AB79" s="6">
        <f>SUM(D79:AA79)</f>
        <v/>
      </c>
      <c r="AC79" s="3" t="inlineStr"/>
      <c r="AD79" s="7">
        <f>Y79*0.0081726819</f>
        <v/>
      </c>
      <c r="AE79" s="7">
        <f>Z79*0.0081726819</f>
        <v/>
      </c>
      <c r="AF79" s="7">
        <f>AA79*0.0081726819</f>
        <v/>
      </c>
      <c r="AG79" s="7">
        <f>D79*0.0081726819</f>
        <v/>
      </c>
      <c r="AH79" s="7">
        <f>E79*0.0081726819</f>
        <v/>
      </c>
      <c r="AI79" s="7">
        <f>F79*0.0081726819</f>
        <v/>
      </c>
      <c r="AJ79" s="7">
        <f>G79*0.0081726819</f>
        <v/>
      </c>
      <c r="AK79" s="7">
        <f>H79*0.0081726819</f>
        <v/>
      </c>
      <c r="AL79" s="7">
        <f>I79*0.0081726819</f>
        <v/>
      </c>
      <c r="AM79" s="7">
        <f>J79*0.0081726819</f>
        <v/>
      </c>
      <c r="AN79" s="7">
        <f>K79*0.0081726819</f>
        <v/>
      </c>
      <c r="AO79" s="7">
        <f>L79*0.0081726819</f>
        <v/>
      </c>
      <c r="AP79" s="7">
        <f>M79*0.0081726819</f>
        <v/>
      </c>
      <c r="AQ79" s="7">
        <f>N79*0.0081726819</f>
        <v/>
      </c>
      <c r="AR79" s="7">
        <f>O79*0.0081726819</f>
        <v/>
      </c>
      <c r="AS79" s="7">
        <f>P79*0.0081726819</f>
        <v/>
      </c>
      <c r="AT79" s="7">
        <f>Q79*0.0081726819</f>
        <v/>
      </c>
      <c r="AU79" s="7">
        <f>R79*0.0081726819</f>
        <v/>
      </c>
      <c r="AV79" s="7">
        <f>S79*0.0081726819</f>
        <v/>
      </c>
      <c r="AW79" s="7">
        <f>T79*0.0081726819</f>
        <v/>
      </c>
      <c r="AX79" s="7">
        <f>U79*0.0081726819</f>
        <v/>
      </c>
      <c r="AY79" s="7">
        <f>V79*0.0081726819</f>
        <v/>
      </c>
      <c r="AZ79" s="7">
        <f>W79*0.0081726819</f>
        <v/>
      </c>
      <c r="BA79" s="7">
        <f>X79*0.0081726819</f>
        <v/>
      </c>
      <c r="BB79" s="7">
        <f>SUM(AD79:BA79)</f>
        <v/>
      </c>
    </row>
    <row r="80">
      <c r="A80" t="inlineStr">
        <is>
          <t>AMD-M2</t>
        </is>
      </c>
      <c r="B80" t="inlineStr">
        <is>
          <t>Forward Regular OSC</t>
        </is>
      </c>
      <c r="C80" s="5" t="n">
        <v>46093</v>
      </c>
      <c r="D80" s="6" t="n">
        <v>334</v>
      </c>
      <c r="E80" s="6" t="n">
        <v>114</v>
      </c>
      <c r="F80" s="6" t="n">
        <v>249</v>
      </c>
      <c r="G80" s="6" t="n">
        <v>355</v>
      </c>
      <c r="H80" s="6" t="n">
        <v>200</v>
      </c>
      <c r="I80" s="6" t="n">
        <v>210</v>
      </c>
      <c r="J80" s="6" t="n">
        <v>118</v>
      </c>
      <c r="K80" s="6" t="n">
        <v>2</v>
      </c>
      <c r="L80" s="6" t="n">
        <v>298</v>
      </c>
      <c r="M80" s="6" t="n">
        <v>163</v>
      </c>
      <c r="N80" s="6" t="n">
        <v>335</v>
      </c>
      <c r="O80" s="6" t="n">
        <v>165</v>
      </c>
      <c r="P80" s="6" t="n">
        <v>335</v>
      </c>
      <c r="Q80" s="6" t="n">
        <v>51</v>
      </c>
      <c r="R80" s="6" t="n">
        <v>0</v>
      </c>
      <c r="S80" s="6" t="n">
        <v>1</v>
      </c>
      <c r="T80" s="6" t="n">
        <v>0</v>
      </c>
      <c r="U80" s="6" t="n">
        <v>3</v>
      </c>
      <c r="V80" s="6" t="n">
        <v>0</v>
      </c>
      <c r="W80" s="6" t="n">
        <v>1</v>
      </c>
      <c r="X80" s="6" t="n">
        <v>1</v>
      </c>
      <c r="Y80" s="6" t="n">
        <v>0</v>
      </c>
      <c r="Z80" s="6" t="n">
        <v>0</v>
      </c>
      <c r="AA80" s="6" t="n">
        <v>348</v>
      </c>
      <c r="AB80" s="6">
        <f>SUM(D80:AA80)</f>
        <v/>
      </c>
      <c r="AC80" s="3" t="inlineStr"/>
      <c r="AD80" s="7">
        <f>Y80*0.0081726819</f>
        <v/>
      </c>
      <c r="AE80" s="7">
        <f>Z80*0.0081726819</f>
        <v/>
      </c>
      <c r="AF80" s="7">
        <f>AA80*0.0081726819</f>
        <v/>
      </c>
      <c r="AG80" s="7">
        <f>D80*0.0081726819</f>
        <v/>
      </c>
      <c r="AH80" s="7">
        <f>E80*0.0081726819</f>
        <v/>
      </c>
      <c r="AI80" s="7">
        <f>F80*0.0081726819</f>
        <v/>
      </c>
      <c r="AJ80" s="7">
        <f>G80*0.0081726819</f>
        <v/>
      </c>
      <c r="AK80" s="7">
        <f>H80*0.0081726819</f>
        <v/>
      </c>
      <c r="AL80" s="7">
        <f>I80*0.0081726819</f>
        <v/>
      </c>
      <c r="AM80" s="7">
        <f>J80*0.0081726819</f>
        <v/>
      </c>
      <c r="AN80" s="7">
        <f>K80*0.0081726819</f>
        <v/>
      </c>
      <c r="AO80" s="7">
        <f>L80*0.0081726819</f>
        <v/>
      </c>
      <c r="AP80" s="7">
        <f>M80*0.0081726819</f>
        <v/>
      </c>
      <c r="AQ80" s="7">
        <f>N80*0.0081726819</f>
        <v/>
      </c>
      <c r="AR80" s="7">
        <f>O80*0.0081726819</f>
        <v/>
      </c>
      <c r="AS80" s="7">
        <f>P80*0.0081726819</f>
        <v/>
      </c>
      <c r="AT80" s="7">
        <f>Q80*0.0081726819</f>
        <v/>
      </c>
      <c r="AU80" s="7">
        <f>R80*0.0081726819</f>
        <v/>
      </c>
      <c r="AV80" s="7">
        <f>S80*0.0081726819</f>
        <v/>
      </c>
      <c r="AW80" s="7">
        <f>T80*0.0081726819</f>
        <v/>
      </c>
      <c r="AX80" s="7">
        <f>U80*0.0081726819</f>
        <v/>
      </c>
      <c r="AY80" s="7">
        <f>V80*0.0081726819</f>
        <v/>
      </c>
      <c r="AZ80" s="7">
        <f>W80*0.0081726819</f>
        <v/>
      </c>
      <c r="BA80" s="7">
        <f>X80*0.0081726819</f>
        <v/>
      </c>
      <c r="BB80" s="7">
        <f>SUM(AD80:BA80)</f>
        <v/>
      </c>
    </row>
    <row r="81">
      <c r="A81" t="inlineStr">
        <is>
          <t>AMD-M2</t>
        </is>
      </c>
      <c r="B81" t="inlineStr">
        <is>
          <t>Forward Regular OSC</t>
        </is>
      </c>
      <c r="C81" s="5" t="n">
        <v>46094</v>
      </c>
      <c r="D81" s="6" t="n">
        <v>305</v>
      </c>
      <c r="E81" s="6" t="n">
        <v>167</v>
      </c>
      <c r="F81" s="6" t="n">
        <v>291</v>
      </c>
      <c r="G81" s="6" t="n">
        <v>300</v>
      </c>
      <c r="H81" s="6" t="n">
        <v>140</v>
      </c>
      <c r="I81" s="6" t="n">
        <v>243</v>
      </c>
      <c r="J81" s="6" t="n">
        <v>173</v>
      </c>
      <c r="K81" s="6" t="n">
        <v>0</v>
      </c>
      <c r="L81" s="6" t="n">
        <v>367</v>
      </c>
      <c r="M81" s="6" t="n">
        <v>210</v>
      </c>
      <c r="N81" s="6" t="n">
        <v>314</v>
      </c>
      <c r="O81" s="6" t="n">
        <v>323</v>
      </c>
      <c r="P81" s="6" t="n">
        <v>111</v>
      </c>
      <c r="Q81" s="6" t="n">
        <v>315</v>
      </c>
      <c r="R81" s="6" t="n">
        <v>64</v>
      </c>
      <c r="S81" s="6" t="n">
        <v>0</v>
      </c>
      <c r="T81" s="6" t="n">
        <v>0</v>
      </c>
      <c r="U81" s="6" t="n">
        <v>0</v>
      </c>
      <c r="V81" s="6" t="n">
        <v>0</v>
      </c>
      <c r="W81" s="6" t="n">
        <v>0</v>
      </c>
      <c r="X81" s="6" t="n">
        <v>0</v>
      </c>
      <c r="Y81" s="6" t="n">
        <v>0</v>
      </c>
      <c r="Z81" s="6" t="n">
        <v>17</v>
      </c>
      <c r="AA81" s="6" t="n">
        <v>247</v>
      </c>
      <c r="AB81" s="6">
        <f>SUM(D81:AA81)</f>
        <v/>
      </c>
      <c r="AC81" s="3" t="inlineStr"/>
      <c r="AD81" s="7">
        <f>Y81*0.0081726819</f>
        <v/>
      </c>
      <c r="AE81" s="7">
        <f>Z81*0.0081726819</f>
        <v/>
      </c>
      <c r="AF81" s="7">
        <f>AA81*0.0081726819</f>
        <v/>
      </c>
      <c r="AG81" s="7">
        <f>D81*0.0081726819</f>
        <v/>
      </c>
      <c r="AH81" s="7">
        <f>E81*0.0081726819</f>
        <v/>
      </c>
      <c r="AI81" s="7">
        <f>F81*0.0081726819</f>
        <v/>
      </c>
      <c r="AJ81" s="7">
        <f>G81*0.0081726819</f>
        <v/>
      </c>
      <c r="AK81" s="7">
        <f>H81*0.0081726819</f>
        <v/>
      </c>
      <c r="AL81" s="7">
        <f>I81*0.0081726819</f>
        <v/>
      </c>
      <c r="AM81" s="7">
        <f>J81*0.0081726819</f>
        <v/>
      </c>
      <c r="AN81" s="7">
        <f>K81*0.0081726819</f>
        <v/>
      </c>
      <c r="AO81" s="7">
        <f>L81*0.0081726819</f>
        <v/>
      </c>
      <c r="AP81" s="7">
        <f>M81*0.0081726819</f>
        <v/>
      </c>
      <c r="AQ81" s="7">
        <f>N81*0.0081726819</f>
        <v/>
      </c>
      <c r="AR81" s="7">
        <f>O81*0.0081726819</f>
        <v/>
      </c>
      <c r="AS81" s="7">
        <f>P81*0.0081726819</f>
        <v/>
      </c>
      <c r="AT81" s="7">
        <f>Q81*0.0081726819</f>
        <v/>
      </c>
      <c r="AU81" s="7">
        <f>R81*0.0081726819</f>
        <v/>
      </c>
      <c r="AV81" s="7">
        <f>S81*0.0081726819</f>
        <v/>
      </c>
      <c r="AW81" s="7">
        <f>T81*0.0081726819</f>
        <v/>
      </c>
      <c r="AX81" s="7">
        <f>U81*0.0081726819</f>
        <v/>
      </c>
      <c r="AY81" s="7">
        <f>V81*0.0081726819</f>
        <v/>
      </c>
      <c r="AZ81" s="7">
        <f>W81*0.0081726819</f>
        <v/>
      </c>
      <c r="BA81" s="7">
        <f>X81*0.0081726819</f>
        <v/>
      </c>
      <c r="BB81" s="7">
        <f>SUM(AD81:BA81)</f>
        <v/>
      </c>
    </row>
    <row r="82">
      <c r="A82" t="inlineStr">
        <is>
          <t>AMD-M2</t>
        </is>
      </c>
      <c r="B82" t="inlineStr">
        <is>
          <t>Forward Regular OSC</t>
        </is>
      </c>
      <c r="C82" s="5" t="n">
        <v>46095</v>
      </c>
      <c r="D82" s="6" t="n">
        <v>259</v>
      </c>
      <c r="E82" s="6" t="n">
        <v>174</v>
      </c>
      <c r="F82" s="6" t="n">
        <v>152</v>
      </c>
      <c r="G82" s="6" t="n">
        <v>273</v>
      </c>
      <c r="H82" s="6" t="n">
        <v>201</v>
      </c>
      <c r="I82" s="6" t="n">
        <v>337</v>
      </c>
      <c r="J82" s="6" t="n">
        <v>182</v>
      </c>
      <c r="K82" s="6" t="n">
        <v>32</v>
      </c>
      <c r="L82" s="6" t="n">
        <v>327</v>
      </c>
      <c r="M82" s="6" t="n">
        <v>235</v>
      </c>
      <c r="N82" s="6" t="n">
        <v>316</v>
      </c>
      <c r="O82" s="6" t="n">
        <v>305</v>
      </c>
      <c r="P82" s="6" t="n">
        <v>122</v>
      </c>
      <c r="Q82" s="6" t="n">
        <v>420</v>
      </c>
      <c r="R82" s="6" t="n">
        <v>208</v>
      </c>
      <c r="S82" s="6" t="n">
        <v>8</v>
      </c>
      <c r="T82" s="6" t="n">
        <v>0</v>
      </c>
      <c r="U82" s="6" t="n">
        <v>0</v>
      </c>
      <c r="V82" s="6" t="n">
        <v>0</v>
      </c>
      <c r="W82" s="6" t="n">
        <v>46</v>
      </c>
      <c r="X82" s="6" t="n">
        <v>129</v>
      </c>
      <c r="Y82" s="6" t="n">
        <v>82</v>
      </c>
      <c r="Z82" s="6" t="n">
        <v>46</v>
      </c>
      <c r="AA82" s="6" t="n">
        <v>357</v>
      </c>
      <c r="AB82" s="6">
        <f>SUM(D82:AA82)</f>
        <v/>
      </c>
      <c r="AC82" s="3" t="inlineStr"/>
      <c r="AD82" s="7">
        <f>Y82*0.0081726819</f>
        <v/>
      </c>
      <c r="AE82" s="7">
        <f>Z82*0.0081726819</f>
        <v/>
      </c>
      <c r="AF82" s="7">
        <f>AA82*0.0081726819</f>
        <v/>
      </c>
      <c r="AG82" s="7">
        <f>D82*0.0081726819</f>
        <v/>
      </c>
      <c r="AH82" s="7">
        <f>E82*0.0081726819</f>
        <v/>
      </c>
      <c r="AI82" s="7">
        <f>F82*0.0081726819</f>
        <v/>
      </c>
      <c r="AJ82" s="7">
        <f>G82*0.0081726819</f>
        <v/>
      </c>
      <c r="AK82" s="7">
        <f>H82*0.0081726819</f>
        <v/>
      </c>
      <c r="AL82" s="7">
        <f>I82*0.0081726819</f>
        <v/>
      </c>
      <c r="AM82" s="7">
        <f>J82*0.0081726819</f>
        <v/>
      </c>
      <c r="AN82" s="7">
        <f>K82*0.0081726819</f>
        <v/>
      </c>
      <c r="AO82" s="7">
        <f>L82*0.0081726819</f>
        <v/>
      </c>
      <c r="AP82" s="7">
        <f>M82*0.0081726819</f>
        <v/>
      </c>
      <c r="AQ82" s="7">
        <f>N82*0.0081726819</f>
        <v/>
      </c>
      <c r="AR82" s="7">
        <f>O82*0.0081726819</f>
        <v/>
      </c>
      <c r="AS82" s="7">
        <f>P82*0.0081726819</f>
        <v/>
      </c>
      <c r="AT82" s="7">
        <f>Q82*0.0081726819</f>
        <v/>
      </c>
      <c r="AU82" s="7">
        <f>R82*0.0081726819</f>
        <v/>
      </c>
      <c r="AV82" s="7">
        <f>S82*0.0081726819</f>
        <v/>
      </c>
      <c r="AW82" s="7">
        <f>T82*0.0081726819</f>
        <v/>
      </c>
      <c r="AX82" s="7">
        <f>U82*0.0081726819</f>
        <v/>
      </c>
      <c r="AY82" s="7">
        <f>V82*0.0081726819</f>
        <v/>
      </c>
      <c r="AZ82" s="7">
        <f>W82*0.0081726819</f>
        <v/>
      </c>
      <c r="BA82" s="7">
        <f>X82*0.0081726819</f>
        <v/>
      </c>
      <c r="BB82" s="7">
        <f>SUM(AD82:BA82)</f>
        <v/>
      </c>
    </row>
    <row r="83">
      <c r="A83" t="inlineStr">
        <is>
          <t>AMD-M2</t>
        </is>
      </c>
      <c r="B83" t="inlineStr">
        <is>
          <t>Forward Regular OSC</t>
        </is>
      </c>
      <c r="C83" s="5" t="n">
        <v>46096</v>
      </c>
      <c r="D83" s="6" t="n">
        <v>268</v>
      </c>
      <c r="E83" s="6" t="n">
        <v>87</v>
      </c>
      <c r="F83" s="6" t="n">
        <v>231</v>
      </c>
      <c r="G83" s="6" t="n">
        <v>330</v>
      </c>
      <c r="H83" s="6" t="n">
        <v>169</v>
      </c>
      <c r="I83" s="6" t="n">
        <v>317</v>
      </c>
      <c r="J83" s="6" t="n">
        <v>295</v>
      </c>
      <c r="K83" s="6" t="n">
        <v>2</v>
      </c>
      <c r="L83" s="6" t="n">
        <v>318</v>
      </c>
      <c r="M83" s="6" t="n">
        <v>251</v>
      </c>
      <c r="N83" s="6" t="n">
        <v>261</v>
      </c>
      <c r="O83" s="6" t="n">
        <v>260</v>
      </c>
      <c r="P83" s="6" t="n">
        <v>176</v>
      </c>
      <c r="Q83" s="6" t="n">
        <v>335</v>
      </c>
      <c r="R83" s="6" t="n">
        <v>9</v>
      </c>
      <c r="S83" s="6" t="n">
        <v>0</v>
      </c>
      <c r="T83" s="6" t="n">
        <v>0</v>
      </c>
      <c r="U83" s="6" t="n">
        <v>0</v>
      </c>
      <c r="V83" s="6" t="n">
        <v>0</v>
      </c>
      <c r="W83" s="6" t="n">
        <v>0</v>
      </c>
      <c r="X83" s="6" t="n">
        <v>0</v>
      </c>
      <c r="Y83" s="6" t="n">
        <v>0</v>
      </c>
      <c r="Z83" s="6" t="n">
        <v>0</v>
      </c>
      <c r="AA83" s="6" t="n">
        <v>279</v>
      </c>
      <c r="AB83" s="6">
        <f>SUM(D83:AA83)</f>
        <v/>
      </c>
      <c r="AC83" s="3" t="inlineStr"/>
      <c r="AD83" s="7">
        <f>Y83*0.0081726819</f>
        <v/>
      </c>
      <c r="AE83" s="7">
        <f>Z83*0.0081726819</f>
        <v/>
      </c>
      <c r="AF83" s="7">
        <f>AA83*0.0081726819</f>
        <v/>
      </c>
      <c r="AG83" s="7">
        <f>D83*0.0081726819</f>
        <v/>
      </c>
      <c r="AH83" s="7">
        <f>E83*0.0081726819</f>
        <v/>
      </c>
      <c r="AI83" s="7">
        <f>F83*0.0081726819</f>
        <v/>
      </c>
      <c r="AJ83" s="7">
        <f>G83*0.0081726819</f>
        <v/>
      </c>
      <c r="AK83" s="7">
        <f>H83*0.0081726819</f>
        <v/>
      </c>
      <c r="AL83" s="7">
        <f>I83*0.0081726819</f>
        <v/>
      </c>
      <c r="AM83" s="7">
        <f>J83*0.0081726819</f>
        <v/>
      </c>
      <c r="AN83" s="7">
        <f>K83*0.0081726819</f>
        <v/>
      </c>
      <c r="AO83" s="7">
        <f>L83*0.0081726819</f>
        <v/>
      </c>
      <c r="AP83" s="7">
        <f>M83*0.0081726819</f>
        <v/>
      </c>
      <c r="AQ83" s="7">
        <f>N83*0.0081726819</f>
        <v/>
      </c>
      <c r="AR83" s="7">
        <f>O83*0.0081726819</f>
        <v/>
      </c>
      <c r="AS83" s="7">
        <f>P83*0.0081726819</f>
        <v/>
      </c>
      <c r="AT83" s="7">
        <f>Q83*0.0081726819</f>
        <v/>
      </c>
      <c r="AU83" s="7">
        <f>R83*0.0081726819</f>
        <v/>
      </c>
      <c r="AV83" s="7">
        <f>S83*0.0081726819</f>
        <v/>
      </c>
      <c r="AW83" s="7">
        <f>T83*0.0081726819</f>
        <v/>
      </c>
      <c r="AX83" s="7">
        <f>U83*0.0081726819</f>
        <v/>
      </c>
      <c r="AY83" s="7">
        <f>V83*0.0081726819</f>
        <v/>
      </c>
      <c r="AZ83" s="7">
        <f>W83*0.0081726819</f>
        <v/>
      </c>
      <c r="BA83" s="7">
        <f>X83*0.0081726819</f>
        <v/>
      </c>
      <c r="BB83" s="7">
        <f>SUM(AD83:BA83)</f>
        <v/>
      </c>
    </row>
    <row r="84">
      <c r="A84" t="inlineStr">
        <is>
          <t>AMD-M2</t>
        </is>
      </c>
      <c r="B84" t="inlineStr">
        <is>
          <t>Forward Regular OSC</t>
        </is>
      </c>
      <c r="C84" s="5" t="n">
        <v>46097</v>
      </c>
      <c r="D84" s="6" t="n">
        <v>228</v>
      </c>
      <c r="E84" s="6" t="n">
        <v>122</v>
      </c>
      <c r="F84" s="6" t="n">
        <v>227</v>
      </c>
      <c r="G84" s="6" t="n">
        <v>249</v>
      </c>
      <c r="H84" s="6" t="n">
        <v>166</v>
      </c>
      <c r="I84" s="6" t="n">
        <v>236</v>
      </c>
      <c r="J84" s="6" t="n">
        <v>101</v>
      </c>
      <c r="K84" s="6" t="n">
        <v>0</v>
      </c>
      <c r="L84" s="6" t="n">
        <v>273</v>
      </c>
      <c r="M84" s="6" t="n">
        <v>222</v>
      </c>
      <c r="N84" s="6" t="n">
        <v>310</v>
      </c>
      <c r="O84" s="6" t="n">
        <v>263</v>
      </c>
      <c r="P84" s="6" t="n">
        <v>148</v>
      </c>
      <c r="Q84" s="6" t="n">
        <v>250</v>
      </c>
      <c r="R84" s="6" t="n">
        <v>107</v>
      </c>
      <c r="S84" s="6" t="n">
        <v>1</v>
      </c>
      <c r="T84" s="6" t="n">
        <v>0</v>
      </c>
      <c r="U84" s="6" t="n">
        <v>0</v>
      </c>
      <c r="V84" s="6" t="n">
        <v>0</v>
      </c>
      <c r="W84" s="6" t="n">
        <v>0</v>
      </c>
      <c r="X84" s="6" t="n">
        <v>0</v>
      </c>
      <c r="Y84" s="6" t="n">
        <v>0</v>
      </c>
      <c r="Z84" s="6" t="n">
        <v>0</v>
      </c>
      <c r="AA84" s="6" t="n">
        <v>0</v>
      </c>
      <c r="AB84" s="6">
        <f>SUM(D84:AA84)</f>
        <v/>
      </c>
      <c r="AC84" s="3" t="inlineStr"/>
      <c r="AD84" s="7">
        <f>Y84*0.0081726819</f>
        <v/>
      </c>
      <c r="AE84" s="7">
        <f>Z84*0.0081726819</f>
        <v/>
      </c>
      <c r="AF84" s="7">
        <f>AA84*0.0081726819</f>
        <v/>
      </c>
      <c r="AG84" s="7">
        <f>D84*0.0081726819</f>
        <v/>
      </c>
      <c r="AH84" s="7">
        <f>E84*0.0081726819</f>
        <v/>
      </c>
      <c r="AI84" s="7">
        <f>F84*0.0081726819</f>
        <v/>
      </c>
      <c r="AJ84" s="7">
        <f>G84*0.0081726819</f>
        <v/>
      </c>
      <c r="AK84" s="7">
        <f>H84*0.0081726819</f>
        <v/>
      </c>
      <c r="AL84" s="7">
        <f>I84*0.0081726819</f>
        <v/>
      </c>
      <c r="AM84" s="7">
        <f>J84*0.0081726819</f>
        <v/>
      </c>
      <c r="AN84" s="7">
        <f>K84*0.0081726819</f>
        <v/>
      </c>
      <c r="AO84" s="7">
        <f>L84*0.0081726819</f>
        <v/>
      </c>
      <c r="AP84" s="7">
        <f>M84*0.0081726819</f>
        <v/>
      </c>
      <c r="AQ84" s="7">
        <f>N84*0.0081726819</f>
        <v/>
      </c>
      <c r="AR84" s="7">
        <f>O84*0.0081726819</f>
        <v/>
      </c>
      <c r="AS84" s="7">
        <f>P84*0.0081726819</f>
        <v/>
      </c>
      <c r="AT84" s="7">
        <f>Q84*0.0081726819</f>
        <v/>
      </c>
      <c r="AU84" s="7">
        <f>R84*0.0081726819</f>
        <v/>
      </c>
      <c r="AV84" s="7">
        <f>S84*0.0081726819</f>
        <v/>
      </c>
      <c r="AW84" s="7">
        <f>T84*0.0081726819</f>
        <v/>
      </c>
      <c r="AX84" s="7">
        <f>U84*0.0081726819</f>
        <v/>
      </c>
      <c r="AY84" s="7">
        <f>V84*0.0081726819</f>
        <v/>
      </c>
      <c r="AZ84" s="7">
        <f>W84*0.0081726819</f>
        <v/>
      </c>
      <c r="BA84" s="7">
        <f>X84*0.0081726819</f>
        <v/>
      </c>
      <c r="BB84" s="7">
        <f>SUM(AD84:BA84)</f>
        <v/>
      </c>
    </row>
    <row r="85">
      <c r="A85" t="inlineStr">
        <is>
          <t>AMD-MU-01</t>
        </is>
      </c>
      <c r="B85" t="inlineStr">
        <is>
          <t>Forward Regular OSC</t>
        </is>
      </c>
      <c r="C85" s="5" t="n">
        <v>46091</v>
      </c>
      <c r="D85" s="6" t="n">
        <v>0</v>
      </c>
      <c r="E85" s="6" t="n">
        <v>0</v>
      </c>
      <c r="F85" s="6" t="n">
        <v>0</v>
      </c>
      <c r="G85" s="6" t="n">
        <v>0</v>
      </c>
      <c r="H85" s="6" t="n">
        <v>0</v>
      </c>
      <c r="I85" s="6" t="n">
        <v>0</v>
      </c>
      <c r="J85" s="6" t="n">
        <v>0</v>
      </c>
      <c r="K85" s="6" t="n">
        <v>0</v>
      </c>
      <c r="L85" s="6" t="n">
        <v>0</v>
      </c>
      <c r="M85" s="6" t="n">
        <v>0</v>
      </c>
      <c r="N85" s="6" t="n">
        <v>0</v>
      </c>
      <c r="O85" s="6" t="n">
        <v>0</v>
      </c>
      <c r="P85" s="6" t="n">
        <v>0</v>
      </c>
      <c r="Q85" s="6" t="n">
        <v>0</v>
      </c>
      <c r="R85" s="6" t="n">
        <v>0</v>
      </c>
      <c r="S85" s="6" t="n">
        <v>0</v>
      </c>
      <c r="T85" s="6" t="n">
        <v>0</v>
      </c>
      <c r="U85" s="6" t="n">
        <v>0</v>
      </c>
      <c r="V85" s="6" t="n">
        <v>0</v>
      </c>
      <c r="W85" s="6" t="n">
        <v>0</v>
      </c>
      <c r="X85" s="6" t="n">
        <v>0</v>
      </c>
      <c r="Y85" s="6" t="n">
        <v>0</v>
      </c>
      <c r="Z85" s="6" t="n">
        <v>0</v>
      </c>
      <c r="AA85" s="6" t="n">
        <v>0</v>
      </c>
      <c r="AB85" s="6">
        <f>SUM(D85:AA85)</f>
        <v/>
      </c>
      <c r="AC85" s="3" t="inlineStr"/>
      <c r="AD85" s="7">
        <f>Y85*0.0081726819</f>
        <v/>
      </c>
      <c r="AE85" s="7">
        <f>Z85*0.0081726819</f>
        <v/>
      </c>
      <c r="AF85" s="7">
        <f>AA85*0.0081726819</f>
        <v/>
      </c>
      <c r="AG85" s="7">
        <f>D85*0.0081726819</f>
        <v/>
      </c>
      <c r="AH85" s="7">
        <f>E85*0.0081726819</f>
        <v/>
      </c>
      <c r="AI85" s="7">
        <f>F85*0.0081726819</f>
        <v/>
      </c>
      <c r="AJ85" s="7">
        <f>G85*0.0081726819</f>
        <v/>
      </c>
      <c r="AK85" s="7">
        <f>H85*0.0081726819</f>
        <v/>
      </c>
      <c r="AL85" s="7">
        <f>I85*0.0081726819</f>
        <v/>
      </c>
      <c r="AM85" s="7">
        <f>J85*0.0081726819</f>
        <v/>
      </c>
      <c r="AN85" s="7">
        <f>K85*0.0081726819</f>
        <v/>
      </c>
      <c r="AO85" s="7">
        <f>L85*0.0081726819</f>
        <v/>
      </c>
      <c r="AP85" s="7">
        <f>M85*0.0081726819</f>
        <v/>
      </c>
      <c r="AQ85" s="7">
        <f>N85*0.0081726819</f>
        <v/>
      </c>
      <c r="AR85" s="7">
        <f>O85*0.0081726819</f>
        <v/>
      </c>
      <c r="AS85" s="7">
        <f>P85*0.0081726819</f>
        <v/>
      </c>
      <c r="AT85" s="7">
        <f>Q85*0.0081726819</f>
        <v/>
      </c>
      <c r="AU85" s="7">
        <f>R85*0.0081726819</f>
        <v/>
      </c>
      <c r="AV85" s="7">
        <f>S85*0.0081726819</f>
        <v/>
      </c>
      <c r="AW85" s="7">
        <f>T85*0.0081726819</f>
        <v/>
      </c>
      <c r="AX85" s="7">
        <f>U85*0.0081726819</f>
        <v/>
      </c>
      <c r="AY85" s="7">
        <f>V85*0.0081726819</f>
        <v/>
      </c>
      <c r="AZ85" s="7">
        <f>W85*0.0081726819</f>
        <v/>
      </c>
      <c r="BA85" s="7">
        <f>X85*0.0081726819</f>
        <v/>
      </c>
      <c r="BB85" s="7">
        <f>SUM(AD85:BA85)</f>
        <v/>
      </c>
    </row>
    <row r="86">
      <c r="A86" t="inlineStr">
        <is>
          <t>AMD-RTS-RCLS-1302-SSC</t>
        </is>
      </c>
      <c r="B86" t="inlineStr">
        <is>
          <t>Rev OSC</t>
        </is>
      </c>
      <c r="C86" s="5" t="n">
        <v>46089</v>
      </c>
      <c r="D86" s="6" t="n">
        <v>0</v>
      </c>
      <c r="E86" s="6" t="n">
        <v>0</v>
      </c>
      <c r="F86" s="6" t="n">
        <v>1</v>
      </c>
      <c r="G86" s="6" t="n">
        <v>1</v>
      </c>
      <c r="H86" s="6" t="n">
        <v>1</v>
      </c>
      <c r="I86" s="6" t="n">
        <v>1</v>
      </c>
      <c r="J86" s="6" t="n">
        <v>2</v>
      </c>
      <c r="K86" s="6" t="n">
        <v>0</v>
      </c>
      <c r="L86" s="6" t="n">
        <v>0</v>
      </c>
      <c r="M86" s="6" t="n">
        <v>0</v>
      </c>
      <c r="N86" s="6" t="n">
        <v>0</v>
      </c>
      <c r="O86" s="6" t="n">
        <v>0</v>
      </c>
      <c r="P86" s="6" t="n">
        <v>0</v>
      </c>
      <c r="Q86" s="6" t="n">
        <v>0</v>
      </c>
      <c r="R86" s="6" t="n">
        <v>0</v>
      </c>
      <c r="S86" s="6" t="n">
        <v>0</v>
      </c>
      <c r="T86" s="6" t="n">
        <v>1</v>
      </c>
      <c r="U86" s="6" t="n">
        <v>1</v>
      </c>
      <c r="V86" s="6" t="n">
        <v>1</v>
      </c>
      <c r="W86" s="6" t="n">
        <v>0</v>
      </c>
      <c r="X86" s="6" t="n">
        <v>0</v>
      </c>
      <c r="Y86" s="6" t="n">
        <v>0</v>
      </c>
      <c r="Z86" s="6" t="n">
        <v>0</v>
      </c>
      <c r="AA86" s="6" t="n">
        <v>0</v>
      </c>
      <c r="AB86" s="6">
        <f>SUM(D86:AA86)</f>
        <v/>
      </c>
      <c r="AC86" s="3" t="inlineStr"/>
      <c r="AD86" s="7">
        <f>Y86*0.0081726819</f>
        <v/>
      </c>
      <c r="AE86" s="7">
        <f>Z86*0.0081726819</f>
        <v/>
      </c>
      <c r="AF86" s="7">
        <f>AA86*0.0081726819</f>
        <v/>
      </c>
      <c r="AG86" s="7">
        <f>D86*0.0081726819</f>
        <v/>
      </c>
      <c r="AH86" s="7">
        <f>E86*0.0081726819</f>
        <v/>
      </c>
      <c r="AI86" s="7">
        <f>F86*0.0081726819</f>
        <v/>
      </c>
      <c r="AJ86" s="7">
        <f>G86*0.0081726819</f>
        <v/>
      </c>
      <c r="AK86" s="7">
        <f>H86*0.0081726819</f>
        <v/>
      </c>
      <c r="AL86" s="7">
        <f>I86*0.0081726819</f>
        <v/>
      </c>
      <c r="AM86" s="7">
        <f>J86*0.0081726819</f>
        <v/>
      </c>
      <c r="AN86" s="7">
        <f>K86*0.0081726819</f>
        <v/>
      </c>
      <c r="AO86" s="7">
        <f>L86*0.0081726819</f>
        <v/>
      </c>
      <c r="AP86" s="7">
        <f>M86*0.0081726819</f>
        <v/>
      </c>
      <c r="AQ86" s="7">
        <f>N86*0.0081726819</f>
        <v/>
      </c>
      <c r="AR86" s="7">
        <f>O86*0.0081726819</f>
        <v/>
      </c>
      <c r="AS86" s="7">
        <f>P86*0.0081726819</f>
        <v/>
      </c>
      <c r="AT86" s="7">
        <f>Q86*0.0081726819</f>
        <v/>
      </c>
      <c r="AU86" s="7">
        <f>R86*0.0081726819</f>
        <v/>
      </c>
      <c r="AV86" s="7">
        <f>S86*0.0081726819</f>
        <v/>
      </c>
      <c r="AW86" s="7">
        <f>T86*0.0081726819</f>
        <v/>
      </c>
      <c r="AX86" s="7">
        <f>U86*0.0081726819</f>
        <v/>
      </c>
      <c r="AY86" s="7">
        <f>V86*0.0081726819</f>
        <v/>
      </c>
      <c r="AZ86" s="7">
        <f>W86*0.0081726819</f>
        <v/>
      </c>
      <c r="BA86" s="7">
        <f>X86*0.0081726819</f>
        <v/>
      </c>
      <c r="BB86" s="7">
        <f>SUM(AD86:BA86)</f>
        <v/>
      </c>
    </row>
    <row r="87">
      <c r="A87" t="inlineStr">
        <is>
          <t>AMD-RTS-RCLS-1302-SSC</t>
        </is>
      </c>
      <c r="B87" t="inlineStr">
        <is>
          <t>Rev OSC</t>
        </is>
      </c>
      <c r="C87" s="5" t="n">
        <v>46090</v>
      </c>
      <c r="D87" s="6" t="n">
        <v>0</v>
      </c>
      <c r="E87" s="6" t="n">
        <v>0</v>
      </c>
      <c r="F87" s="6" t="n">
        <v>0</v>
      </c>
      <c r="G87" s="6" t="n">
        <v>0</v>
      </c>
      <c r="H87" s="6" t="n">
        <v>1</v>
      </c>
      <c r="I87" s="6" t="n">
        <v>0</v>
      </c>
      <c r="J87" s="6" t="n">
        <v>0</v>
      </c>
      <c r="K87" s="6" t="n">
        <v>0</v>
      </c>
      <c r="L87" s="6" t="n">
        <v>0</v>
      </c>
      <c r="M87" s="6" t="n">
        <v>0</v>
      </c>
      <c r="N87" s="6" t="n">
        <v>0</v>
      </c>
      <c r="O87" s="6" t="n">
        <v>0</v>
      </c>
      <c r="P87" s="6" t="n">
        <v>0</v>
      </c>
      <c r="Q87" s="6" t="n">
        <v>0</v>
      </c>
      <c r="R87" s="6" t="n">
        <v>0</v>
      </c>
      <c r="S87" s="6" t="n">
        <v>0</v>
      </c>
      <c r="T87" s="6" t="n">
        <v>0</v>
      </c>
      <c r="U87" s="6" t="n">
        <v>0</v>
      </c>
      <c r="V87" s="6" t="n">
        <v>0</v>
      </c>
      <c r="W87" s="6" t="n">
        <v>0</v>
      </c>
      <c r="X87" s="6" t="n">
        <v>0</v>
      </c>
      <c r="Y87" s="6" t="n">
        <v>1</v>
      </c>
      <c r="Z87" s="6" t="n">
        <v>0</v>
      </c>
      <c r="AA87" s="6" t="n">
        <v>0</v>
      </c>
      <c r="AB87" s="6">
        <f>SUM(D87:AA87)</f>
        <v/>
      </c>
      <c r="AC87" s="3" t="inlineStr"/>
      <c r="AD87" s="7">
        <f>Y87*0.0081726819</f>
        <v/>
      </c>
      <c r="AE87" s="7">
        <f>Z87*0.0081726819</f>
        <v/>
      </c>
      <c r="AF87" s="7">
        <f>AA87*0.0081726819</f>
        <v/>
      </c>
      <c r="AG87" s="7">
        <f>D87*0.0081726819</f>
        <v/>
      </c>
      <c r="AH87" s="7">
        <f>E87*0.0081726819</f>
        <v/>
      </c>
      <c r="AI87" s="7">
        <f>F87*0.0081726819</f>
        <v/>
      </c>
      <c r="AJ87" s="7">
        <f>G87*0.0081726819</f>
        <v/>
      </c>
      <c r="AK87" s="7">
        <f>H87*0.0081726819</f>
        <v/>
      </c>
      <c r="AL87" s="7">
        <f>I87*0.0081726819</f>
        <v/>
      </c>
      <c r="AM87" s="7">
        <f>J87*0.0081726819</f>
        <v/>
      </c>
      <c r="AN87" s="7">
        <f>K87*0.0081726819</f>
        <v/>
      </c>
      <c r="AO87" s="7">
        <f>L87*0.0081726819</f>
        <v/>
      </c>
      <c r="AP87" s="7">
        <f>M87*0.0081726819</f>
        <v/>
      </c>
      <c r="AQ87" s="7">
        <f>N87*0.0081726819</f>
        <v/>
      </c>
      <c r="AR87" s="7">
        <f>O87*0.0081726819</f>
        <v/>
      </c>
      <c r="AS87" s="7">
        <f>P87*0.0081726819</f>
        <v/>
      </c>
      <c r="AT87" s="7">
        <f>Q87*0.0081726819</f>
        <v/>
      </c>
      <c r="AU87" s="7">
        <f>R87*0.0081726819</f>
        <v/>
      </c>
      <c r="AV87" s="7">
        <f>S87*0.0081726819</f>
        <v/>
      </c>
      <c r="AW87" s="7">
        <f>T87*0.0081726819</f>
        <v/>
      </c>
      <c r="AX87" s="7">
        <f>U87*0.0081726819</f>
        <v/>
      </c>
      <c r="AY87" s="7">
        <f>V87*0.0081726819</f>
        <v/>
      </c>
      <c r="AZ87" s="7">
        <f>W87*0.0081726819</f>
        <v/>
      </c>
      <c r="BA87" s="7">
        <f>X87*0.0081726819</f>
        <v/>
      </c>
      <c r="BB87" s="7">
        <f>SUM(AD87:BA87)</f>
        <v/>
      </c>
    </row>
    <row r="88">
      <c r="A88" t="inlineStr">
        <is>
          <t>AMD-RTS-RCLS-1302-SSC</t>
        </is>
      </c>
      <c r="B88" t="inlineStr">
        <is>
          <t>Rev OSC</t>
        </is>
      </c>
      <c r="C88" s="5" t="n">
        <v>46092</v>
      </c>
      <c r="D88" s="6" t="n">
        <v>0</v>
      </c>
      <c r="E88" s="6" t="n">
        <v>0</v>
      </c>
      <c r="F88" s="6" t="n">
        <v>1</v>
      </c>
      <c r="G88" s="6" t="n">
        <v>0</v>
      </c>
      <c r="H88" s="6" t="n">
        <v>0</v>
      </c>
      <c r="I88" s="6" t="n">
        <v>0</v>
      </c>
      <c r="J88" s="6" t="n">
        <v>0</v>
      </c>
      <c r="K88" s="6" t="n">
        <v>0</v>
      </c>
      <c r="L88" s="6" t="n">
        <v>0</v>
      </c>
      <c r="M88" s="6" t="n">
        <v>0</v>
      </c>
      <c r="N88" s="6" t="n">
        <v>0</v>
      </c>
      <c r="O88" s="6" t="n">
        <v>1</v>
      </c>
      <c r="P88" s="6" t="n">
        <v>0</v>
      </c>
      <c r="Q88" s="6" t="n">
        <v>0</v>
      </c>
      <c r="R88" s="6" t="n">
        <v>1</v>
      </c>
      <c r="S88" s="6" t="n">
        <v>0</v>
      </c>
      <c r="T88" s="6" t="n">
        <v>0</v>
      </c>
      <c r="U88" s="6" t="n">
        <v>1</v>
      </c>
      <c r="V88" s="6" t="n">
        <v>1</v>
      </c>
      <c r="W88" s="6" t="n">
        <v>1</v>
      </c>
      <c r="X88" s="6" t="n">
        <v>2</v>
      </c>
      <c r="Y88" s="6" t="n">
        <v>1</v>
      </c>
      <c r="Z88" s="6" t="n">
        <v>0</v>
      </c>
      <c r="AA88" s="6" t="n">
        <v>0</v>
      </c>
      <c r="AB88" s="6">
        <f>SUM(D88:AA88)</f>
        <v/>
      </c>
      <c r="AC88" s="3" t="inlineStr"/>
      <c r="AD88" s="7">
        <f>Y88*0.0081726819</f>
        <v/>
      </c>
      <c r="AE88" s="7">
        <f>Z88*0.0081726819</f>
        <v/>
      </c>
      <c r="AF88" s="7">
        <f>AA88*0.0081726819</f>
        <v/>
      </c>
      <c r="AG88" s="7">
        <f>D88*0.0081726819</f>
        <v/>
      </c>
      <c r="AH88" s="7">
        <f>E88*0.0081726819</f>
        <v/>
      </c>
      <c r="AI88" s="7">
        <f>F88*0.0081726819</f>
        <v/>
      </c>
      <c r="AJ88" s="7">
        <f>G88*0.0081726819</f>
        <v/>
      </c>
      <c r="AK88" s="7">
        <f>H88*0.0081726819</f>
        <v/>
      </c>
      <c r="AL88" s="7">
        <f>I88*0.0081726819</f>
        <v/>
      </c>
      <c r="AM88" s="7">
        <f>J88*0.0081726819</f>
        <v/>
      </c>
      <c r="AN88" s="7">
        <f>K88*0.0081726819</f>
        <v/>
      </c>
      <c r="AO88" s="7">
        <f>L88*0.0081726819</f>
        <v/>
      </c>
      <c r="AP88" s="7">
        <f>M88*0.0081726819</f>
        <v/>
      </c>
      <c r="AQ88" s="7">
        <f>N88*0.0081726819</f>
        <v/>
      </c>
      <c r="AR88" s="7">
        <f>O88*0.0081726819</f>
        <v/>
      </c>
      <c r="AS88" s="7">
        <f>P88*0.0081726819</f>
        <v/>
      </c>
      <c r="AT88" s="7">
        <f>Q88*0.0081726819</f>
        <v/>
      </c>
      <c r="AU88" s="7">
        <f>R88*0.0081726819</f>
        <v/>
      </c>
      <c r="AV88" s="7">
        <f>S88*0.0081726819</f>
        <v/>
      </c>
      <c r="AW88" s="7">
        <f>T88*0.0081726819</f>
        <v/>
      </c>
      <c r="AX88" s="7">
        <f>U88*0.0081726819</f>
        <v/>
      </c>
      <c r="AY88" s="7">
        <f>V88*0.0081726819</f>
        <v/>
      </c>
      <c r="AZ88" s="7">
        <f>W88*0.0081726819</f>
        <v/>
      </c>
      <c r="BA88" s="7">
        <f>X88*0.0081726819</f>
        <v/>
      </c>
      <c r="BB88" s="7">
        <f>SUM(AD88:BA88)</f>
        <v/>
      </c>
    </row>
    <row r="89">
      <c r="A89" t="inlineStr">
        <is>
          <t>AMD-RTS-RCLS-1302-SSC</t>
        </is>
      </c>
      <c r="B89" t="inlineStr">
        <is>
          <t>Rev OSC</t>
        </is>
      </c>
      <c r="C89" s="5" t="n">
        <v>46093</v>
      </c>
      <c r="D89" s="6" t="n">
        <v>1</v>
      </c>
      <c r="E89" s="6" t="n">
        <v>0</v>
      </c>
      <c r="F89" s="6" t="n">
        <v>1</v>
      </c>
      <c r="G89" s="6" t="n">
        <v>1</v>
      </c>
      <c r="H89" s="6" t="n">
        <v>1</v>
      </c>
      <c r="I89" s="6" t="n">
        <v>1</v>
      </c>
      <c r="J89" s="6" t="n">
        <v>3</v>
      </c>
      <c r="K89" s="6" t="n">
        <v>0</v>
      </c>
      <c r="L89" s="6" t="n">
        <v>1</v>
      </c>
      <c r="M89" s="6" t="n">
        <v>1</v>
      </c>
      <c r="N89" s="6" t="n">
        <v>1</v>
      </c>
      <c r="O89" s="6" t="n">
        <v>0</v>
      </c>
      <c r="P89" s="6" t="n">
        <v>0</v>
      </c>
      <c r="Q89" s="6" t="n">
        <v>0</v>
      </c>
      <c r="R89" s="6" t="n">
        <v>2</v>
      </c>
      <c r="S89" s="6" t="n">
        <v>1</v>
      </c>
      <c r="T89" s="6" t="n">
        <v>0</v>
      </c>
      <c r="U89" s="6" t="n">
        <v>0</v>
      </c>
      <c r="V89" s="6" t="n">
        <v>1</v>
      </c>
      <c r="W89" s="6" t="n">
        <v>0</v>
      </c>
      <c r="X89" s="6" t="n">
        <v>1</v>
      </c>
      <c r="Y89" s="6" t="n">
        <v>2</v>
      </c>
      <c r="Z89" s="6" t="n">
        <v>0</v>
      </c>
      <c r="AA89" s="6" t="n">
        <v>0</v>
      </c>
      <c r="AB89" s="6">
        <f>SUM(D89:AA89)</f>
        <v/>
      </c>
      <c r="AC89" s="3" t="inlineStr"/>
      <c r="AD89" s="7">
        <f>Y89*0.0081726819</f>
        <v/>
      </c>
      <c r="AE89" s="7">
        <f>Z89*0.0081726819</f>
        <v/>
      </c>
      <c r="AF89" s="7">
        <f>AA89*0.0081726819</f>
        <v/>
      </c>
      <c r="AG89" s="7">
        <f>D89*0.0081726819</f>
        <v/>
      </c>
      <c r="AH89" s="7">
        <f>E89*0.0081726819</f>
        <v/>
      </c>
      <c r="AI89" s="7">
        <f>F89*0.0081726819</f>
        <v/>
      </c>
      <c r="AJ89" s="7">
        <f>G89*0.0081726819</f>
        <v/>
      </c>
      <c r="AK89" s="7">
        <f>H89*0.0081726819</f>
        <v/>
      </c>
      <c r="AL89" s="7">
        <f>I89*0.0081726819</f>
        <v/>
      </c>
      <c r="AM89" s="7">
        <f>J89*0.0081726819</f>
        <v/>
      </c>
      <c r="AN89" s="7">
        <f>K89*0.0081726819</f>
        <v/>
      </c>
      <c r="AO89" s="7">
        <f>L89*0.0081726819</f>
        <v/>
      </c>
      <c r="AP89" s="7">
        <f>M89*0.0081726819</f>
        <v/>
      </c>
      <c r="AQ89" s="7">
        <f>N89*0.0081726819</f>
        <v/>
      </c>
      <c r="AR89" s="7">
        <f>O89*0.0081726819</f>
        <v/>
      </c>
      <c r="AS89" s="7">
        <f>P89*0.0081726819</f>
        <v/>
      </c>
      <c r="AT89" s="7">
        <f>Q89*0.0081726819</f>
        <v/>
      </c>
      <c r="AU89" s="7">
        <f>R89*0.0081726819</f>
        <v/>
      </c>
      <c r="AV89" s="7">
        <f>S89*0.0081726819</f>
        <v/>
      </c>
      <c r="AW89" s="7">
        <f>T89*0.0081726819</f>
        <v/>
      </c>
      <c r="AX89" s="7">
        <f>U89*0.0081726819</f>
        <v/>
      </c>
      <c r="AY89" s="7">
        <f>V89*0.0081726819</f>
        <v/>
      </c>
      <c r="AZ89" s="7">
        <f>W89*0.0081726819</f>
        <v/>
      </c>
      <c r="BA89" s="7">
        <f>X89*0.0081726819</f>
        <v/>
      </c>
      <c r="BB89" s="7">
        <f>SUM(AD89:BA89)</f>
        <v/>
      </c>
    </row>
    <row r="90">
      <c r="A90" t="inlineStr">
        <is>
          <t>AMD-RTS-RCLS-1302-SSC</t>
        </is>
      </c>
      <c r="B90" t="inlineStr">
        <is>
          <t>Rev OSC</t>
        </is>
      </c>
      <c r="C90" s="5" t="n">
        <v>46094</v>
      </c>
      <c r="D90" s="6" t="n">
        <v>1</v>
      </c>
      <c r="E90" s="6" t="n">
        <v>1</v>
      </c>
      <c r="F90" s="6" t="n">
        <v>1</v>
      </c>
      <c r="G90" s="6" t="n">
        <v>1</v>
      </c>
      <c r="H90" s="6" t="n">
        <v>1</v>
      </c>
      <c r="I90" s="6" t="n">
        <v>1</v>
      </c>
      <c r="J90" s="6" t="n">
        <v>3</v>
      </c>
      <c r="K90" s="6" t="n">
        <v>0</v>
      </c>
      <c r="L90" s="6" t="n">
        <v>0</v>
      </c>
      <c r="M90" s="6" t="n">
        <v>0</v>
      </c>
      <c r="N90" s="6" t="n">
        <v>0</v>
      </c>
      <c r="O90" s="6" t="n">
        <v>0</v>
      </c>
      <c r="P90" s="6" t="n">
        <v>0</v>
      </c>
      <c r="Q90" s="6" t="n">
        <v>0</v>
      </c>
      <c r="R90" s="6" t="n">
        <v>1</v>
      </c>
      <c r="S90" s="6" t="n">
        <v>1</v>
      </c>
      <c r="T90" s="6" t="n">
        <v>0</v>
      </c>
      <c r="U90" s="6" t="n">
        <v>1</v>
      </c>
      <c r="V90" s="6" t="n">
        <v>1</v>
      </c>
      <c r="W90" s="6" t="n">
        <v>1</v>
      </c>
      <c r="X90" s="6" t="n">
        <v>1</v>
      </c>
      <c r="Y90" s="6" t="n">
        <v>2</v>
      </c>
      <c r="Z90" s="6" t="n">
        <v>0</v>
      </c>
      <c r="AA90" s="6" t="n">
        <v>0</v>
      </c>
      <c r="AB90" s="6">
        <f>SUM(D90:AA90)</f>
        <v/>
      </c>
      <c r="AC90" s="3" t="inlineStr"/>
      <c r="AD90" s="7">
        <f>Y90*0.0081726819</f>
        <v/>
      </c>
      <c r="AE90" s="7">
        <f>Z90*0.0081726819</f>
        <v/>
      </c>
      <c r="AF90" s="7">
        <f>AA90*0.0081726819</f>
        <v/>
      </c>
      <c r="AG90" s="7">
        <f>D90*0.0081726819</f>
        <v/>
      </c>
      <c r="AH90" s="7">
        <f>E90*0.0081726819</f>
        <v/>
      </c>
      <c r="AI90" s="7">
        <f>F90*0.0081726819</f>
        <v/>
      </c>
      <c r="AJ90" s="7">
        <f>G90*0.0081726819</f>
        <v/>
      </c>
      <c r="AK90" s="7">
        <f>H90*0.0081726819</f>
        <v/>
      </c>
      <c r="AL90" s="7">
        <f>I90*0.0081726819</f>
        <v/>
      </c>
      <c r="AM90" s="7">
        <f>J90*0.0081726819</f>
        <v/>
      </c>
      <c r="AN90" s="7">
        <f>K90*0.0081726819</f>
        <v/>
      </c>
      <c r="AO90" s="7">
        <f>L90*0.0081726819</f>
        <v/>
      </c>
      <c r="AP90" s="7">
        <f>M90*0.0081726819</f>
        <v/>
      </c>
      <c r="AQ90" s="7">
        <f>N90*0.0081726819</f>
        <v/>
      </c>
      <c r="AR90" s="7">
        <f>O90*0.0081726819</f>
        <v/>
      </c>
      <c r="AS90" s="7">
        <f>P90*0.0081726819</f>
        <v/>
      </c>
      <c r="AT90" s="7">
        <f>Q90*0.0081726819</f>
        <v/>
      </c>
      <c r="AU90" s="7">
        <f>R90*0.0081726819</f>
        <v/>
      </c>
      <c r="AV90" s="7">
        <f>S90*0.0081726819</f>
        <v/>
      </c>
      <c r="AW90" s="7">
        <f>T90*0.0081726819</f>
        <v/>
      </c>
      <c r="AX90" s="7">
        <f>U90*0.0081726819</f>
        <v/>
      </c>
      <c r="AY90" s="7">
        <f>V90*0.0081726819</f>
        <v/>
      </c>
      <c r="AZ90" s="7">
        <f>W90*0.0081726819</f>
        <v/>
      </c>
      <c r="BA90" s="7">
        <f>X90*0.0081726819</f>
        <v/>
      </c>
      <c r="BB90" s="7">
        <f>SUM(AD90:BA90)</f>
        <v/>
      </c>
    </row>
    <row r="91">
      <c r="A91" t="inlineStr">
        <is>
          <t>AMD-RTS-RCLS-1302-SSC</t>
        </is>
      </c>
      <c r="B91" t="inlineStr">
        <is>
          <t>Rev OSC</t>
        </is>
      </c>
      <c r="C91" s="5" t="n">
        <v>46095</v>
      </c>
      <c r="D91" s="6" t="n">
        <v>0</v>
      </c>
      <c r="E91" s="6" t="n">
        <v>0</v>
      </c>
      <c r="F91" s="6" t="n">
        <v>0</v>
      </c>
      <c r="G91" s="6" t="n">
        <v>1</v>
      </c>
      <c r="H91" s="6" t="n">
        <v>0</v>
      </c>
      <c r="I91" s="6" t="n">
        <v>1</v>
      </c>
      <c r="J91" s="6" t="n">
        <v>1</v>
      </c>
      <c r="K91" s="6" t="n">
        <v>0</v>
      </c>
      <c r="L91" s="6" t="n">
        <v>0</v>
      </c>
      <c r="M91" s="6" t="n">
        <v>0</v>
      </c>
      <c r="N91" s="6" t="n">
        <v>0</v>
      </c>
      <c r="O91" s="6" t="n">
        <v>0</v>
      </c>
      <c r="P91" s="6" t="n">
        <v>0</v>
      </c>
      <c r="Q91" s="6" t="n">
        <v>0</v>
      </c>
      <c r="R91" s="6" t="n">
        <v>1</v>
      </c>
      <c r="S91" s="6" t="n">
        <v>2</v>
      </c>
      <c r="T91" s="6" t="n">
        <v>1</v>
      </c>
      <c r="U91" s="6" t="n">
        <v>1</v>
      </c>
      <c r="V91" s="6" t="n">
        <v>1</v>
      </c>
      <c r="W91" s="6" t="n">
        <v>2</v>
      </c>
      <c r="X91" s="6" t="n">
        <v>1</v>
      </c>
      <c r="Y91" s="6" t="n">
        <v>1</v>
      </c>
      <c r="Z91" s="6" t="n">
        <v>0</v>
      </c>
      <c r="AA91" s="6" t="n">
        <v>0</v>
      </c>
      <c r="AB91" s="6">
        <f>SUM(D91:AA91)</f>
        <v/>
      </c>
      <c r="AC91" s="3" t="inlineStr"/>
      <c r="AD91" s="7">
        <f>Y91*0.0081726819</f>
        <v/>
      </c>
      <c r="AE91" s="7">
        <f>Z91*0.0081726819</f>
        <v/>
      </c>
      <c r="AF91" s="7">
        <f>AA91*0.0081726819</f>
        <v/>
      </c>
      <c r="AG91" s="7">
        <f>D91*0.0081726819</f>
        <v/>
      </c>
      <c r="AH91" s="7">
        <f>E91*0.0081726819</f>
        <v/>
      </c>
      <c r="AI91" s="7">
        <f>F91*0.0081726819</f>
        <v/>
      </c>
      <c r="AJ91" s="7">
        <f>G91*0.0081726819</f>
        <v/>
      </c>
      <c r="AK91" s="7">
        <f>H91*0.0081726819</f>
        <v/>
      </c>
      <c r="AL91" s="7">
        <f>I91*0.0081726819</f>
        <v/>
      </c>
      <c r="AM91" s="7">
        <f>J91*0.0081726819</f>
        <v/>
      </c>
      <c r="AN91" s="7">
        <f>K91*0.0081726819</f>
        <v/>
      </c>
      <c r="AO91" s="7">
        <f>L91*0.0081726819</f>
        <v/>
      </c>
      <c r="AP91" s="7">
        <f>M91*0.0081726819</f>
        <v/>
      </c>
      <c r="AQ91" s="7">
        <f>N91*0.0081726819</f>
        <v/>
      </c>
      <c r="AR91" s="7">
        <f>O91*0.0081726819</f>
        <v/>
      </c>
      <c r="AS91" s="7">
        <f>P91*0.0081726819</f>
        <v/>
      </c>
      <c r="AT91" s="7">
        <f>Q91*0.0081726819</f>
        <v/>
      </c>
      <c r="AU91" s="7">
        <f>R91*0.0081726819</f>
        <v/>
      </c>
      <c r="AV91" s="7">
        <f>S91*0.0081726819</f>
        <v/>
      </c>
      <c r="AW91" s="7">
        <f>T91*0.0081726819</f>
        <v/>
      </c>
      <c r="AX91" s="7">
        <f>U91*0.0081726819</f>
        <v/>
      </c>
      <c r="AY91" s="7">
        <f>V91*0.0081726819</f>
        <v/>
      </c>
      <c r="AZ91" s="7">
        <f>W91*0.0081726819</f>
        <v/>
      </c>
      <c r="BA91" s="7">
        <f>X91*0.0081726819</f>
        <v/>
      </c>
      <c r="BB91" s="7">
        <f>SUM(AD91:BA91)</f>
        <v/>
      </c>
    </row>
    <row r="92">
      <c r="A92" t="inlineStr">
        <is>
          <t>AMD-RTS-RCLS-1302-SSC</t>
        </is>
      </c>
      <c r="B92" t="inlineStr">
        <is>
          <t>Rev OSC</t>
        </is>
      </c>
      <c r="C92" s="5" t="n">
        <v>46096</v>
      </c>
      <c r="D92" s="6" t="n">
        <v>0</v>
      </c>
      <c r="E92" s="6" t="n">
        <v>0</v>
      </c>
      <c r="F92" s="6" t="n">
        <v>0</v>
      </c>
      <c r="G92" s="6" t="n">
        <v>1</v>
      </c>
      <c r="H92" s="6" t="n">
        <v>0</v>
      </c>
      <c r="I92" s="6" t="n">
        <v>1</v>
      </c>
      <c r="J92" s="6" t="n">
        <v>0</v>
      </c>
      <c r="K92" s="6" t="n">
        <v>0</v>
      </c>
      <c r="L92" s="6" t="n">
        <v>0</v>
      </c>
      <c r="M92" s="6" t="n">
        <v>0</v>
      </c>
      <c r="N92" s="6" t="n">
        <v>0</v>
      </c>
      <c r="O92" s="6" t="n">
        <v>0</v>
      </c>
      <c r="P92" s="6" t="n">
        <v>0</v>
      </c>
      <c r="Q92" s="6" t="n">
        <v>0</v>
      </c>
      <c r="R92" s="6" t="n">
        <v>0</v>
      </c>
      <c r="S92" s="6" t="n">
        <v>2</v>
      </c>
      <c r="T92" s="6" t="n">
        <v>1</v>
      </c>
      <c r="U92" s="6" t="n">
        <v>1</v>
      </c>
      <c r="V92" s="6" t="n">
        <v>0</v>
      </c>
      <c r="W92" s="6" t="n">
        <v>1</v>
      </c>
      <c r="X92" s="6" t="n">
        <v>1</v>
      </c>
      <c r="Y92" s="6" t="n">
        <v>2</v>
      </c>
      <c r="Z92" s="6" t="n">
        <v>0</v>
      </c>
      <c r="AA92" s="6" t="n">
        <v>0</v>
      </c>
      <c r="AB92" s="6">
        <f>SUM(D92:AA92)</f>
        <v/>
      </c>
      <c r="AC92" s="3" t="inlineStr"/>
      <c r="AD92" s="7">
        <f>Y92*0.0081726819</f>
        <v/>
      </c>
      <c r="AE92" s="7">
        <f>Z92*0.0081726819</f>
        <v/>
      </c>
      <c r="AF92" s="7">
        <f>AA92*0.0081726819</f>
        <v/>
      </c>
      <c r="AG92" s="7">
        <f>D92*0.0081726819</f>
        <v/>
      </c>
      <c r="AH92" s="7">
        <f>E92*0.0081726819</f>
        <v/>
      </c>
      <c r="AI92" s="7">
        <f>F92*0.0081726819</f>
        <v/>
      </c>
      <c r="AJ92" s="7">
        <f>G92*0.0081726819</f>
        <v/>
      </c>
      <c r="AK92" s="7">
        <f>H92*0.0081726819</f>
        <v/>
      </c>
      <c r="AL92" s="7">
        <f>I92*0.0081726819</f>
        <v/>
      </c>
      <c r="AM92" s="7">
        <f>J92*0.0081726819</f>
        <v/>
      </c>
      <c r="AN92" s="7">
        <f>K92*0.0081726819</f>
        <v/>
      </c>
      <c r="AO92" s="7">
        <f>L92*0.0081726819</f>
        <v/>
      </c>
      <c r="AP92" s="7">
        <f>M92*0.0081726819</f>
        <v/>
      </c>
      <c r="AQ92" s="7">
        <f>N92*0.0081726819</f>
        <v/>
      </c>
      <c r="AR92" s="7">
        <f>O92*0.0081726819</f>
        <v/>
      </c>
      <c r="AS92" s="7">
        <f>P92*0.0081726819</f>
        <v/>
      </c>
      <c r="AT92" s="7">
        <f>Q92*0.0081726819</f>
        <v/>
      </c>
      <c r="AU92" s="7">
        <f>R92*0.0081726819</f>
        <v/>
      </c>
      <c r="AV92" s="7">
        <f>S92*0.0081726819</f>
        <v/>
      </c>
      <c r="AW92" s="7">
        <f>T92*0.0081726819</f>
        <v/>
      </c>
      <c r="AX92" s="7">
        <f>U92*0.0081726819</f>
        <v/>
      </c>
      <c r="AY92" s="7">
        <f>V92*0.0081726819</f>
        <v/>
      </c>
      <c r="AZ92" s="7">
        <f>W92*0.0081726819</f>
        <v/>
      </c>
      <c r="BA92" s="7">
        <f>X92*0.0081726819</f>
        <v/>
      </c>
      <c r="BB92" s="7">
        <f>SUM(AD92:BA92)</f>
        <v/>
      </c>
    </row>
    <row r="93">
      <c r="A93" t="inlineStr">
        <is>
          <t>AMD-RTS-RCLS-1302-SSC</t>
        </is>
      </c>
      <c r="B93" t="inlineStr">
        <is>
          <t>Rev OSC</t>
        </is>
      </c>
      <c r="C93" s="5" t="n">
        <v>46097</v>
      </c>
      <c r="D93" s="6" t="n">
        <v>0</v>
      </c>
      <c r="E93" s="6" t="n">
        <v>0</v>
      </c>
      <c r="F93" s="6" t="n">
        <v>0</v>
      </c>
      <c r="G93" s="6" t="n">
        <v>0</v>
      </c>
      <c r="H93" s="6" t="n">
        <v>0</v>
      </c>
      <c r="I93" s="6" t="n">
        <v>0</v>
      </c>
      <c r="J93" s="6" t="n">
        <v>0</v>
      </c>
      <c r="K93" s="6" t="n">
        <v>0</v>
      </c>
      <c r="L93" s="6" t="n">
        <v>0</v>
      </c>
      <c r="M93" s="6" t="n">
        <v>0</v>
      </c>
      <c r="N93" s="6" t="n">
        <v>0</v>
      </c>
      <c r="O93" s="6" t="n">
        <v>0</v>
      </c>
      <c r="P93" s="6" t="n">
        <v>0</v>
      </c>
      <c r="Q93" s="6" t="n">
        <v>0</v>
      </c>
      <c r="R93" s="6" t="n">
        <v>0</v>
      </c>
      <c r="S93" s="6" t="n">
        <v>1</v>
      </c>
      <c r="T93" s="6" t="n">
        <v>0</v>
      </c>
      <c r="U93" s="6" t="n">
        <v>1</v>
      </c>
      <c r="V93" s="6" t="n">
        <v>1</v>
      </c>
      <c r="W93" s="6" t="n">
        <v>0</v>
      </c>
      <c r="X93" s="6" t="n">
        <v>0</v>
      </c>
      <c r="Y93" s="6" t="n">
        <v>0</v>
      </c>
      <c r="Z93" s="6" t="n">
        <v>0</v>
      </c>
      <c r="AA93" s="6" t="n">
        <v>0</v>
      </c>
      <c r="AB93" s="6">
        <f>SUM(D93:AA93)</f>
        <v/>
      </c>
      <c r="AC93" s="3" t="inlineStr"/>
      <c r="AD93" s="7">
        <f>Y93*0.0081726819</f>
        <v/>
      </c>
      <c r="AE93" s="7">
        <f>Z93*0.0081726819</f>
        <v/>
      </c>
      <c r="AF93" s="7">
        <f>AA93*0.0081726819</f>
        <v/>
      </c>
      <c r="AG93" s="7">
        <f>D93*0.0081726819</f>
        <v/>
      </c>
      <c r="AH93" s="7">
        <f>E93*0.0081726819</f>
        <v/>
      </c>
      <c r="AI93" s="7">
        <f>F93*0.0081726819</f>
        <v/>
      </c>
      <c r="AJ93" s="7">
        <f>G93*0.0081726819</f>
        <v/>
      </c>
      <c r="AK93" s="7">
        <f>H93*0.0081726819</f>
        <v/>
      </c>
      <c r="AL93" s="7">
        <f>I93*0.0081726819</f>
        <v/>
      </c>
      <c r="AM93" s="7">
        <f>J93*0.0081726819</f>
        <v/>
      </c>
      <c r="AN93" s="7">
        <f>K93*0.0081726819</f>
        <v/>
      </c>
      <c r="AO93" s="7">
        <f>L93*0.0081726819</f>
        <v/>
      </c>
      <c r="AP93" s="7">
        <f>M93*0.0081726819</f>
        <v/>
      </c>
      <c r="AQ93" s="7">
        <f>N93*0.0081726819</f>
        <v/>
      </c>
      <c r="AR93" s="7">
        <f>O93*0.0081726819</f>
        <v/>
      </c>
      <c r="AS93" s="7">
        <f>P93*0.0081726819</f>
        <v/>
      </c>
      <c r="AT93" s="7">
        <f>Q93*0.0081726819</f>
        <v/>
      </c>
      <c r="AU93" s="7">
        <f>R93*0.0081726819</f>
        <v/>
      </c>
      <c r="AV93" s="7">
        <f>S93*0.0081726819</f>
        <v/>
      </c>
      <c r="AW93" s="7">
        <f>T93*0.0081726819</f>
        <v/>
      </c>
      <c r="AX93" s="7">
        <f>U93*0.0081726819</f>
        <v/>
      </c>
      <c r="AY93" s="7">
        <f>V93*0.0081726819</f>
        <v/>
      </c>
      <c r="AZ93" s="7">
        <f>W93*0.0081726819</f>
        <v/>
      </c>
      <c r="BA93" s="7">
        <f>X93*0.0081726819</f>
        <v/>
      </c>
      <c r="BB93" s="7">
        <f>SUM(AD93:BA93)</f>
        <v/>
      </c>
    </row>
    <row r="94">
      <c r="A94" t="inlineStr">
        <is>
          <t>AMD-RTS-RCLS-1302-SSC</t>
        </is>
      </c>
      <c r="B94" t="inlineStr">
        <is>
          <t>Rev OSC</t>
        </is>
      </c>
      <c r="C94" s="5" t="n">
        <v>46100</v>
      </c>
      <c r="D94" s="6" t="n">
        <v>0</v>
      </c>
      <c r="E94" s="6" t="n">
        <v>0</v>
      </c>
      <c r="F94" s="6" t="n">
        <v>0</v>
      </c>
      <c r="G94" s="6" t="n">
        <v>0</v>
      </c>
      <c r="H94" s="6" t="n">
        <v>0</v>
      </c>
      <c r="I94" s="6" t="n">
        <v>0</v>
      </c>
      <c r="J94" s="6" t="n">
        <v>0</v>
      </c>
      <c r="K94" s="6" t="n">
        <v>0</v>
      </c>
      <c r="L94" s="6" t="n">
        <v>0</v>
      </c>
      <c r="M94" s="6" t="n">
        <v>0</v>
      </c>
      <c r="N94" s="6" t="n">
        <v>0</v>
      </c>
      <c r="O94" s="6" t="n">
        <v>0</v>
      </c>
      <c r="P94" s="6" t="n">
        <v>0</v>
      </c>
      <c r="Q94" s="6" t="n">
        <v>0</v>
      </c>
      <c r="R94" s="6" t="n">
        <v>1</v>
      </c>
      <c r="S94" s="6" t="n">
        <v>1</v>
      </c>
      <c r="T94" s="6" t="n">
        <v>0</v>
      </c>
      <c r="U94" s="6" t="n">
        <v>1</v>
      </c>
      <c r="V94" s="6" t="n">
        <v>1</v>
      </c>
      <c r="W94" s="6" t="n">
        <v>3</v>
      </c>
      <c r="X94" s="6" t="n">
        <v>1</v>
      </c>
      <c r="Y94" s="6" t="n">
        <v>3</v>
      </c>
      <c r="Z94" s="6" t="n">
        <v>0</v>
      </c>
      <c r="AA94" s="6" t="n">
        <v>0</v>
      </c>
      <c r="AB94" s="6">
        <f>SUM(D94:AA94)</f>
        <v/>
      </c>
      <c r="AC94" s="3" t="inlineStr"/>
      <c r="AD94" s="7">
        <f>Y94*0.0081726819</f>
        <v/>
      </c>
      <c r="AE94" s="7">
        <f>Z94*0.0081726819</f>
        <v/>
      </c>
      <c r="AF94" s="7">
        <f>AA94*0.0081726819</f>
        <v/>
      </c>
      <c r="AG94" s="7">
        <f>D94*0.0081726819</f>
        <v/>
      </c>
      <c r="AH94" s="7">
        <f>E94*0.0081726819</f>
        <v/>
      </c>
      <c r="AI94" s="7">
        <f>F94*0.0081726819</f>
        <v/>
      </c>
      <c r="AJ94" s="7">
        <f>G94*0.0081726819</f>
        <v/>
      </c>
      <c r="AK94" s="7">
        <f>H94*0.0081726819</f>
        <v/>
      </c>
      <c r="AL94" s="7">
        <f>I94*0.0081726819</f>
        <v/>
      </c>
      <c r="AM94" s="7">
        <f>J94*0.0081726819</f>
        <v/>
      </c>
      <c r="AN94" s="7">
        <f>K94*0.0081726819</f>
        <v/>
      </c>
      <c r="AO94" s="7">
        <f>L94*0.0081726819</f>
        <v/>
      </c>
      <c r="AP94" s="7">
        <f>M94*0.0081726819</f>
        <v/>
      </c>
      <c r="AQ94" s="7">
        <f>N94*0.0081726819</f>
        <v/>
      </c>
      <c r="AR94" s="7">
        <f>O94*0.0081726819</f>
        <v/>
      </c>
      <c r="AS94" s="7">
        <f>P94*0.0081726819</f>
        <v/>
      </c>
      <c r="AT94" s="7">
        <f>Q94*0.0081726819</f>
        <v/>
      </c>
      <c r="AU94" s="7">
        <f>R94*0.0081726819</f>
        <v/>
      </c>
      <c r="AV94" s="7">
        <f>S94*0.0081726819</f>
        <v/>
      </c>
      <c r="AW94" s="7">
        <f>T94*0.0081726819</f>
        <v/>
      </c>
      <c r="AX94" s="7">
        <f>U94*0.0081726819</f>
        <v/>
      </c>
      <c r="AY94" s="7">
        <f>V94*0.0081726819</f>
        <v/>
      </c>
      <c r="AZ94" s="7">
        <f>W94*0.0081726819</f>
        <v/>
      </c>
      <c r="BA94" s="7">
        <f>X94*0.0081726819</f>
        <v/>
      </c>
      <c r="BB94" s="7">
        <f>SUM(AD94:BA94)</f>
        <v/>
      </c>
    </row>
    <row r="95">
      <c r="A95" t="inlineStr">
        <is>
          <t>AMD-RTS-RCLS-1302-SSC</t>
        </is>
      </c>
      <c r="B95" t="inlineStr">
        <is>
          <t>Rev OSC</t>
        </is>
      </c>
      <c r="C95" s="5" t="n">
        <v>46102</v>
      </c>
      <c r="D95" s="6" t="n">
        <v>0</v>
      </c>
      <c r="E95" s="6" t="n">
        <v>0</v>
      </c>
      <c r="F95" s="6" t="n">
        <v>0</v>
      </c>
      <c r="G95" s="6" t="n">
        <v>2</v>
      </c>
      <c r="H95" s="6" t="n">
        <v>1</v>
      </c>
      <c r="I95" s="6" t="n">
        <v>0</v>
      </c>
      <c r="J95" s="6" t="n">
        <v>4</v>
      </c>
      <c r="K95" s="6" t="n">
        <v>0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0</v>
      </c>
      <c r="Q95" s="6" t="n">
        <v>0</v>
      </c>
      <c r="R95" s="6" t="n">
        <v>0</v>
      </c>
      <c r="S95" s="6" t="n">
        <v>2</v>
      </c>
      <c r="T95" s="6" t="n">
        <v>1</v>
      </c>
      <c r="U95" s="6" t="n">
        <v>0</v>
      </c>
      <c r="V95" s="6" t="n">
        <v>1</v>
      </c>
      <c r="W95" s="6" t="n">
        <v>1</v>
      </c>
      <c r="X95" s="6" t="n">
        <v>3</v>
      </c>
      <c r="Y95" s="6" t="n">
        <v>2</v>
      </c>
      <c r="Z95" s="6" t="n">
        <v>0</v>
      </c>
      <c r="AA95" s="6" t="n">
        <v>0</v>
      </c>
      <c r="AB95" s="6">
        <f>SUM(D95:AA95)</f>
        <v/>
      </c>
      <c r="AC95" s="3" t="inlineStr"/>
      <c r="AD95" s="7">
        <f>Y95*0.0081726819</f>
        <v/>
      </c>
      <c r="AE95" s="7">
        <f>Z95*0.0081726819</f>
        <v/>
      </c>
      <c r="AF95" s="7">
        <f>AA95*0.0081726819</f>
        <v/>
      </c>
      <c r="AG95" s="7">
        <f>D95*0.0081726819</f>
        <v/>
      </c>
      <c r="AH95" s="7">
        <f>E95*0.0081726819</f>
        <v/>
      </c>
      <c r="AI95" s="7">
        <f>F95*0.0081726819</f>
        <v/>
      </c>
      <c r="AJ95" s="7">
        <f>G95*0.0081726819</f>
        <v/>
      </c>
      <c r="AK95" s="7">
        <f>H95*0.0081726819</f>
        <v/>
      </c>
      <c r="AL95" s="7">
        <f>I95*0.0081726819</f>
        <v/>
      </c>
      <c r="AM95" s="7">
        <f>J95*0.0081726819</f>
        <v/>
      </c>
      <c r="AN95" s="7">
        <f>K95*0.0081726819</f>
        <v/>
      </c>
      <c r="AO95" s="7">
        <f>L95*0.0081726819</f>
        <v/>
      </c>
      <c r="AP95" s="7">
        <f>M95*0.0081726819</f>
        <v/>
      </c>
      <c r="AQ95" s="7">
        <f>N95*0.0081726819</f>
        <v/>
      </c>
      <c r="AR95" s="7">
        <f>O95*0.0081726819</f>
        <v/>
      </c>
      <c r="AS95" s="7">
        <f>P95*0.0081726819</f>
        <v/>
      </c>
      <c r="AT95" s="7">
        <f>Q95*0.0081726819</f>
        <v/>
      </c>
      <c r="AU95" s="7">
        <f>R95*0.0081726819</f>
        <v/>
      </c>
      <c r="AV95" s="7">
        <f>S95*0.0081726819</f>
        <v/>
      </c>
      <c r="AW95" s="7">
        <f>T95*0.0081726819</f>
        <v/>
      </c>
      <c r="AX95" s="7">
        <f>U95*0.0081726819</f>
        <v/>
      </c>
      <c r="AY95" s="7">
        <f>V95*0.0081726819</f>
        <v/>
      </c>
      <c r="AZ95" s="7">
        <f>W95*0.0081726819</f>
        <v/>
      </c>
      <c r="BA95" s="7">
        <f>X95*0.0081726819</f>
        <v/>
      </c>
      <c r="BB95" s="7">
        <f>SUM(AD95:BA95)</f>
        <v/>
      </c>
    </row>
    <row r="96">
      <c r="A96" t="inlineStr">
        <is>
          <t>AMD-RTS-RCLS-1302-SSC</t>
        </is>
      </c>
      <c r="B96" t="inlineStr">
        <is>
          <t>Rev OSC</t>
        </is>
      </c>
      <c r="C96" s="5" t="n">
        <v>46103</v>
      </c>
      <c r="D96" s="6" t="n">
        <v>0</v>
      </c>
      <c r="E96" s="6" t="n">
        <v>1</v>
      </c>
      <c r="F96" s="6" t="n">
        <v>1</v>
      </c>
      <c r="G96" s="6" t="n">
        <v>1</v>
      </c>
      <c r="H96" s="6" t="n">
        <v>0</v>
      </c>
      <c r="I96" s="6" t="n">
        <v>1</v>
      </c>
      <c r="J96" s="6" t="n">
        <v>1</v>
      </c>
      <c r="K96" s="6" t="n">
        <v>0</v>
      </c>
      <c r="L96" s="6" t="n">
        <v>0</v>
      </c>
      <c r="M96" s="6" t="n">
        <v>0</v>
      </c>
      <c r="N96" s="6" t="n">
        <v>0</v>
      </c>
      <c r="O96" s="6" t="n">
        <v>0</v>
      </c>
      <c r="P96" s="6" t="n">
        <v>0</v>
      </c>
      <c r="Q96" s="6" t="n">
        <v>0</v>
      </c>
      <c r="R96" s="6" t="n">
        <v>0</v>
      </c>
      <c r="S96" s="6" t="n">
        <v>0</v>
      </c>
      <c r="T96" s="6" t="n">
        <v>0</v>
      </c>
      <c r="U96" s="6" t="n">
        <v>1</v>
      </c>
      <c r="V96" s="6" t="n">
        <v>0</v>
      </c>
      <c r="W96" s="6" t="n">
        <v>1</v>
      </c>
      <c r="X96" s="6" t="n">
        <v>2</v>
      </c>
      <c r="Y96" s="6" t="n">
        <v>3</v>
      </c>
      <c r="Z96" s="6" t="n">
        <v>0</v>
      </c>
      <c r="AA96" s="6" t="n">
        <v>0</v>
      </c>
      <c r="AB96" s="6">
        <f>SUM(D96:AA96)</f>
        <v/>
      </c>
      <c r="AC96" s="3" t="inlineStr"/>
      <c r="AD96" s="7">
        <f>Y96*0.0081726819</f>
        <v/>
      </c>
      <c r="AE96" s="7">
        <f>Z96*0.0081726819</f>
        <v/>
      </c>
      <c r="AF96" s="7">
        <f>AA96*0.0081726819</f>
        <v/>
      </c>
      <c r="AG96" s="7">
        <f>D96*0.0081726819</f>
        <v/>
      </c>
      <c r="AH96" s="7">
        <f>E96*0.0081726819</f>
        <v/>
      </c>
      <c r="AI96" s="7">
        <f>F96*0.0081726819</f>
        <v/>
      </c>
      <c r="AJ96" s="7">
        <f>G96*0.0081726819</f>
        <v/>
      </c>
      <c r="AK96" s="7">
        <f>H96*0.0081726819</f>
        <v/>
      </c>
      <c r="AL96" s="7">
        <f>I96*0.0081726819</f>
        <v/>
      </c>
      <c r="AM96" s="7">
        <f>J96*0.0081726819</f>
        <v/>
      </c>
      <c r="AN96" s="7">
        <f>K96*0.0081726819</f>
        <v/>
      </c>
      <c r="AO96" s="7">
        <f>L96*0.0081726819</f>
        <v/>
      </c>
      <c r="AP96" s="7">
        <f>M96*0.0081726819</f>
        <v/>
      </c>
      <c r="AQ96" s="7">
        <f>N96*0.0081726819</f>
        <v/>
      </c>
      <c r="AR96" s="7">
        <f>O96*0.0081726819</f>
        <v/>
      </c>
      <c r="AS96" s="7">
        <f>P96*0.0081726819</f>
        <v/>
      </c>
      <c r="AT96" s="7">
        <f>Q96*0.0081726819</f>
        <v/>
      </c>
      <c r="AU96" s="7">
        <f>R96*0.0081726819</f>
        <v/>
      </c>
      <c r="AV96" s="7">
        <f>S96*0.0081726819</f>
        <v/>
      </c>
      <c r="AW96" s="7">
        <f>T96*0.0081726819</f>
        <v/>
      </c>
      <c r="AX96" s="7">
        <f>U96*0.0081726819</f>
        <v/>
      </c>
      <c r="AY96" s="7">
        <f>V96*0.0081726819</f>
        <v/>
      </c>
      <c r="AZ96" s="7">
        <f>W96*0.0081726819</f>
        <v/>
      </c>
      <c r="BA96" s="7">
        <f>X96*0.0081726819</f>
        <v/>
      </c>
      <c r="BB96" s="7">
        <f>SUM(AD96:BA96)</f>
        <v/>
      </c>
    </row>
    <row r="97">
      <c r="A97" t="inlineStr">
        <is>
          <t>AMD-RTS-RCLS-1302-SSC</t>
        </is>
      </c>
      <c r="B97" t="inlineStr">
        <is>
          <t>Rev OSC</t>
        </is>
      </c>
      <c r="C97" s="5" t="n">
        <v>46104</v>
      </c>
      <c r="D97" s="6" t="n">
        <v>0</v>
      </c>
      <c r="E97" s="6" t="n">
        <v>0</v>
      </c>
      <c r="F97" s="6" t="n">
        <v>0</v>
      </c>
      <c r="G97" s="6" t="n">
        <v>0</v>
      </c>
      <c r="H97" s="6" t="n">
        <v>0</v>
      </c>
      <c r="I97" s="6" t="n">
        <v>0</v>
      </c>
      <c r="J97" s="6" t="n">
        <v>0</v>
      </c>
      <c r="K97" s="6" t="n">
        <v>0</v>
      </c>
      <c r="L97" s="6" t="n">
        <v>0</v>
      </c>
      <c r="M97" s="6" t="n">
        <v>0</v>
      </c>
      <c r="N97" s="6" t="n">
        <v>0</v>
      </c>
      <c r="O97" s="6" t="n">
        <v>0</v>
      </c>
      <c r="P97" s="6" t="n">
        <v>0</v>
      </c>
      <c r="Q97" s="6" t="n">
        <v>0</v>
      </c>
      <c r="R97" s="6" t="n">
        <v>2</v>
      </c>
      <c r="S97" s="6" t="n">
        <v>1</v>
      </c>
      <c r="T97" s="6" t="n">
        <v>0</v>
      </c>
      <c r="U97" s="6" t="n">
        <v>2</v>
      </c>
      <c r="V97" s="6" t="n">
        <v>1</v>
      </c>
      <c r="W97" s="6" t="n">
        <v>2</v>
      </c>
      <c r="X97" s="6" t="n">
        <v>2</v>
      </c>
      <c r="Y97" s="6" t="n">
        <v>1</v>
      </c>
      <c r="Z97" s="6" t="n">
        <v>0</v>
      </c>
      <c r="AA97" s="6" t="n">
        <v>0</v>
      </c>
      <c r="AB97" s="6">
        <f>SUM(D97:AA97)</f>
        <v/>
      </c>
      <c r="AC97" s="3" t="inlineStr"/>
      <c r="AD97" s="7">
        <f>Y97*0.0081726819</f>
        <v/>
      </c>
      <c r="AE97" s="7">
        <f>Z97*0.0081726819</f>
        <v/>
      </c>
      <c r="AF97" s="7">
        <f>AA97*0.0081726819</f>
        <v/>
      </c>
      <c r="AG97" s="7">
        <f>D97*0.0081726819</f>
        <v/>
      </c>
      <c r="AH97" s="7">
        <f>E97*0.0081726819</f>
        <v/>
      </c>
      <c r="AI97" s="7">
        <f>F97*0.0081726819</f>
        <v/>
      </c>
      <c r="AJ97" s="7">
        <f>G97*0.0081726819</f>
        <v/>
      </c>
      <c r="AK97" s="7">
        <f>H97*0.0081726819</f>
        <v/>
      </c>
      <c r="AL97" s="7">
        <f>I97*0.0081726819</f>
        <v/>
      </c>
      <c r="AM97" s="7">
        <f>J97*0.0081726819</f>
        <v/>
      </c>
      <c r="AN97" s="7">
        <f>K97*0.0081726819</f>
        <v/>
      </c>
      <c r="AO97" s="7">
        <f>L97*0.0081726819</f>
        <v/>
      </c>
      <c r="AP97" s="7">
        <f>M97*0.0081726819</f>
        <v/>
      </c>
      <c r="AQ97" s="7">
        <f>N97*0.0081726819</f>
        <v/>
      </c>
      <c r="AR97" s="7">
        <f>O97*0.0081726819</f>
        <v/>
      </c>
      <c r="AS97" s="7">
        <f>P97*0.0081726819</f>
        <v/>
      </c>
      <c r="AT97" s="7">
        <f>Q97*0.0081726819</f>
        <v/>
      </c>
      <c r="AU97" s="7">
        <f>R97*0.0081726819</f>
        <v/>
      </c>
      <c r="AV97" s="7">
        <f>S97*0.0081726819</f>
        <v/>
      </c>
      <c r="AW97" s="7">
        <f>T97*0.0081726819</f>
        <v/>
      </c>
      <c r="AX97" s="7">
        <f>U97*0.0081726819</f>
        <v/>
      </c>
      <c r="AY97" s="7">
        <f>V97*0.0081726819</f>
        <v/>
      </c>
      <c r="AZ97" s="7">
        <f>W97*0.0081726819</f>
        <v/>
      </c>
      <c r="BA97" s="7">
        <f>X97*0.0081726819</f>
        <v/>
      </c>
      <c r="BB97" s="7">
        <f>SUM(AD97:BA97)</f>
        <v/>
      </c>
    </row>
    <row r="98">
      <c r="A98" t="inlineStr">
        <is>
          <t>AMD-RTS-RCLS-1302-SSC</t>
        </is>
      </c>
      <c r="B98" t="inlineStr">
        <is>
          <t>Rev OSC</t>
        </is>
      </c>
      <c r="C98" s="5" t="n">
        <v>46105</v>
      </c>
      <c r="D98" s="6" t="n">
        <v>0</v>
      </c>
      <c r="E98" s="6" t="n">
        <v>0</v>
      </c>
      <c r="F98" s="6" t="n">
        <v>1</v>
      </c>
      <c r="G98" s="6" t="n">
        <v>1</v>
      </c>
      <c r="H98" s="6" t="n">
        <v>1</v>
      </c>
      <c r="I98" s="6" t="n">
        <v>0</v>
      </c>
      <c r="J98" s="6" t="n">
        <v>0</v>
      </c>
      <c r="K98" s="6" t="n">
        <v>0</v>
      </c>
      <c r="L98" s="6" t="n">
        <v>0</v>
      </c>
      <c r="M98" s="6" t="n">
        <v>0</v>
      </c>
      <c r="N98" s="6" t="n">
        <v>0</v>
      </c>
      <c r="O98" s="6" t="n">
        <v>0</v>
      </c>
      <c r="P98" s="6" t="n">
        <v>0</v>
      </c>
      <c r="Q98" s="6" t="n">
        <v>0</v>
      </c>
      <c r="R98" s="6" t="n">
        <v>2</v>
      </c>
      <c r="S98" s="6" t="n">
        <v>1</v>
      </c>
      <c r="T98" s="6" t="n">
        <v>0</v>
      </c>
      <c r="U98" s="6" t="n">
        <v>1</v>
      </c>
      <c r="V98" s="6" t="n">
        <v>2</v>
      </c>
      <c r="W98" s="6" t="n">
        <v>0</v>
      </c>
      <c r="X98" s="6" t="n">
        <v>0</v>
      </c>
      <c r="Y98" s="6" t="n">
        <v>0</v>
      </c>
      <c r="Z98" s="6" t="n">
        <v>0</v>
      </c>
      <c r="AA98" s="6" t="n">
        <v>0</v>
      </c>
      <c r="AB98" s="6">
        <f>SUM(D98:AA98)</f>
        <v/>
      </c>
      <c r="AC98" s="3" t="inlineStr"/>
      <c r="AD98" s="7">
        <f>Y98*0.0081726819</f>
        <v/>
      </c>
      <c r="AE98" s="7">
        <f>Z98*0.0081726819</f>
        <v/>
      </c>
      <c r="AF98" s="7">
        <f>AA98*0.0081726819</f>
        <v/>
      </c>
      <c r="AG98" s="7">
        <f>D98*0.0081726819</f>
        <v/>
      </c>
      <c r="AH98" s="7">
        <f>E98*0.0081726819</f>
        <v/>
      </c>
      <c r="AI98" s="7">
        <f>F98*0.0081726819</f>
        <v/>
      </c>
      <c r="AJ98" s="7">
        <f>G98*0.0081726819</f>
        <v/>
      </c>
      <c r="AK98" s="7">
        <f>H98*0.0081726819</f>
        <v/>
      </c>
      <c r="AL98" s="7">
        <f>I98*0.0081726819</f>
        <v/>
      </c>
      <c r="AM98" s="7">
        <f>J98*0.0081726819</f>
        <v/>
      </c>
      <c r="AN98" s="7">
        <f>K98*0.0081726819</f>
        <v/>
      </c>
      <c r="AO98" s="7">
        <f>L98*0.0081726819</f>
        <v/>
      </c>
      <c r="AP98" s="7">
        <f>M98*0.0081726819</f>
        <v/>
      </c>
      <c r="AQ98" s="7">
        <f>N98*0.0081726819</f>
        <v/>
      </c>
      <c r="AR98" s="7">
        <f>O98*0.0081726819</f>
        <v/>
      </c>
      <c r="AS98" s="7">
        <f>P98*0.0081726819</f>
        <v/>
      </c>
      <c r="AT98" s="7">
        <f>Q98*0.0081726819</f>
        <v/>
      </c>
      <c r="AU98" s="7">
        <f>R98*0.0081726819</f>
        <v/>
      </c>
      <c r="AV98" s="7">
        <f>S98*0.0081726819</f>
        <v/>
      </c>
      <c r="AW98" s="7">
        <f>T98*0.0081726819</f>
        <v/>
      </c>
      <c r="AX98" s="7">
        <f>U98*0.0081726819</f>
        <v/>
      </c>
      <c r="AY98" s="7">
        <f>V98*0.0081726819</f>
        <v/>
      </c>
      <c r="AZ98" s="7">
        <f>W98*0.0081726819</f>
        <v/>
      </c>
      <c r="BA98" s="7">
        <f>X98*0.0081726819</f>
        <v/>
      </c>
      <c r="BB98" s="7">
        <f>SUM(AD98:BA98)</f>
        <v/>
      </c>
    </row>
    <row r="99">
      <c r="A99" t="inlineStr">
        <is>
          <t>AMD-RTS-RCLS-1302-SSC_1</t>
        </is>
      </c>
      <c r="B99" t="inlineStr">
        <is>
          <t>Rev OSC</t>
        </is>
      </c>
      <c r="C99" s="5" t="n">
        <v>46090</v>
      </c>
      <c r="D99" s="6" t="n">
        <v>0</v>
      </c>
      <c r="E99" s="6" t="n">
        <v>0</v>
      </c>
      <c r="F99" s="6" t="n">
        <v>0</v>
      </c>
      <c r="G99" s="6" t="n">
        <v>0</v>
      </c>
      <c r="H99" s="6" t="n">
        <v>0</v>
      </c>
      <c r="I99" s="6" t="n">
        <v>0</v>
      </c>
      <c r="J99" s="6" t="n">
        <v>0</v>
      </c>
      <c r="K99" s="6" t="n">
        <v>0</v>
      </c>
      <c r="L99" s="6" t="n">
        <v>0</v>
      </c>
      <c r="M99" s="6" t="n">
        <v>0</v>
      </c>
      <c r="N99" s="6" t="n">
        <v>0</v>
      </c>
      <c r="O99" s="6" t="n">
        <v>0</v>
      </c>
      <c r="P99" s="6" t="n">
        <v>0</v>
      </c>
      <c r="Q99" s="6" t="n">
        <v>0</v>
      </c>
      <c r="R99" s="6" t="n">
        <v>0</v>
      </c>
      <c r="S99" s="6" t="n">
        <v>0</v>
      </c>
      <c r="T99" s="6" t="n">
        <v>0</v>
      </c>
      <c r="U99" s="6" t="n">
        <v>0</v>
      </c>
      <c r="V99" s="6" t="n">
        <v>0</v>
      </c>
      <c r="W99" s="6" t="n">
        <v>0</v>
      </c>
      <c r="X99" s="6" t="n">
        <v>0</v>
      </c>
      <c r="Y99" s="6" t="n">
        <v>1</v>
      </c>
      <c r="Z99" s="6" t="n">
        <v>0</v>
      </c>
      <c r="AA99" s="6" t="n">
        <v>0</v>
      </c>
      <c r="AB99" s="6">
        <f>SUM(D99:AA99)</f>
        <v/>
      </c>
      <c r="AC99" s="3" t="inlineStr"/>
      <c r="AD99" s="7">
        <f>Y99*0.0081726819</f>
        <v/>
      </c>
      <c r="AE99" s="7">
        <f>Z99*0.0081726819</f>
        <v/>
      </c>
      <c r="AF99" s="7">
        <f>AA99*0.0081726819</f>
        <v/>
      </c>
      <c r="AG99" s="7">
        <f>D99*0.0081726819</f>
        <v/>
      </c>
      <c r="AH99" s="7">
        <f>E99*0.0081726819</f>
        <v/>
      </c>
      <c r="AI99" s="7">
        <f>F99*0.0081726819</f>
        <v/>
      </c>
      <c r="AJ99" s="7">
        <f>G99*0.0081726819</f>
        <v/>
      </c>
      <c r="AK99" s="7">
        <f>H99*0.0081726819</f>
        <v/>
      </c>
      <c r="AL99" s="7">
        <f>I99*0.0081726819</f>
        <v/>
      </c>
      <c r="AM99" s="7">
        <f>J99*0.0081726819</f>
        <v/>
      </c>
      <c r="AN99" s="7">
        <f>K99*0.0081726819</f>
        <v/>
      </c>
      <c r="AO99" s="7">
        <f>L99*0.0081726819</f>
        <v/>
      </c>
      <c r="AP99" s="7">
        <f>M99*0.0081726819</f>
        <v/>
      </c>
      <c r="AQ99" s="7">
        <f>N99*0.0081726819</f>
        <v/>
      </c>
      <c r="AR99" s="7">
        <f>O99*0.0081726819</f>
        <v/>
      </c>
      <c r="AS99" s="7">
        <f>P99*0.0081726819</f>
        <v/>
      </c>
      <c r="AT99" s="7">
        <f>Q99*0.0081726819</f>
        <v/>
      </c>
      <c r="AU99" s="7">
        <f>R99*0.0081726819</f>
        <v/>
      </c>
      <c r="AV99" s="7">
        <f>S99*0.0081726819</f>
        <v/>
      </c>
      <c r="AW99" s="7">
        <f>T99*0.0081726819</f>
        <v/>
      </c>
      <c r="AX99" s="7">
        <f>U99*0.0081726819</f>
        <v/>
      </c>
      <c r="AY99" s="7">
        <f>V99*0.0081726819</f>
        <v/>
      </c>
      <c r="AZ99" s="7">
        <f>W99*0.0081726819</f>
        <v/>
      </c>
      <c r="BA99" s="7">
        <f>X99*0.0081726819</f>
        <v/>
      </c>
      <c r="BB99" s="7">
        <f>SUM(AD99:BA99)</f>
        <v/>
      </c>
    </row>
    <row r="100">
      <c r="A100" t="inlineStr">
        <is>
          <t>AMD-RTS-RCLS-1302-SSC_1</t>
        </is>
      </c>
      <c r="B100" t="inlineStr">
        <is>
          <t>Rev OSC</t>
        </is>
      </c>
      <c r="C100" s="5" t="n">
        <v>46093</v>
      </c>
      <c r="D100" s="6" t="n">
        <v>0</v>
      </c>
      <c r="E100" s="6" t="n">
        <v>0</v>
      </c>
      <c r="F100" s="6" t="n">
        <v>0</v>
      </c>
      <c r="G100" s="6" t="n">
        <v>0</v>
      </c>
      <c r="H100" s="6" t="n">
        <v>0</v>
      </c>
      <c r="I100" s="6" t="n">
        <v>0</v>
      </c>
      <c r="J100" s="6" t="n">
        <v>0</v>
      </c>
      <c r="K100" s="6" t="n">
        <v>0</v>
      </c>
      <c r="L100" s="6" t="n">
        <v>0</v>
      </c>
      <c r="M100" s="6" t="n">
        <v>0</v>
      </c>
      <c r="N100" s="6" t="n">
        <v>0</v>
      </c>
      <c r="O100" s="6" t="n">
        <v>0</v>
      </c>
      <c r="P100" s="6" t="n">
        <v>0</v>
      </c>
      <c r="Q100" s="6" t="n">
        <v>0</v>
      </c>
      <c r="R100" s="6" t="n">
        <v>0</v>
      </c>
      <c r="S100" s="6" t="n">
        <v>0</v>
      </c>
      <c r="T100" s="6" t="n">
        <v>0</v>
      </c>
      <c r="U100" s="6" t="n">
        <v>0</v>
      </c>
      <c r="V100" s="6" t="n">
        <v>0</v>
      </c>
      <c r="W100" s="6" t="n">
        <v>0</v>
      </c>
      <c r="X100" s="6" t="n">
        <v>0</v>
      </c>
      <c r="Y100" s="6" t="n">
        <v>0</v>
      </c>
      <c r="Z100" s="6" t="n">
        <v>0</v>
      </c>
      <c r="AA100" s="6" t="n">
        <v>0</v>
      </c>
      <c r="AB100" s="6">
        <f>SUM(D100:AA100)</f>
        <v/>
      </c>
      <c r="AC100" s="3" t="inlineStr"/>
      <c r="AD100" s="7">
        <f>Y100*0.0081726819</f>
        <v/>
      </c>
      <c r="AE100" s="7">
        <f>Z100*0.0081726819</f>
        <v/>
      </c>
      <c r="AF100" s="7">
        <f>AA100*0.0081726819</f>
        <v/>
      </c>
      <c r="AG100" s="7">
        <f>D100*0.0081726819</f>
        <v/>
      </c>
      <c r="AH100" s="7">
        <f>E100*0.0081726819</f>
        <v/>
      </c>
      <c r="AI100" s="7">
        <f>F100*0.0081726819</f>
        <v/>
      </c>
      <c r="AJ100" s="7">
        <f>G100*0.0081726819</f>
        <v/>
      </c>
      <c r="AK100" s="7">
        <f>H100*0.0081726819</f>
        <v/>
      </c>
      <c r="AL100" s="7">
        <f>I100*0.0081726819</f>
        <v/>
      </c>
      <c r="AM100" s="7">
        <f>J100*0.0081726819</f>
        <v/>
      </c>
      <c r="AN100" s="7">
        <f>K100*0.0081726819</f>
        <v/>
      </c>
      <c r="AO100" s="7">
        <f>L100*0.0081726819</f>
        <v/>
      </c>
      <c r="AP100" s="7">
        <f>M100*0.0081726819</f>
        <v/>
      </c>
      <c r="AQ100" s="7">
        <f>N100*0.0081726819</f>
        <v/>
      </c>
      <c r="AR100" s="7">
        <f>O100*0.0081726819</f>
        <v/>
      </c>
      <c r="AS100" s="7">
        <f>P100*0.0081726819</f>
        <v/>
      </c>
      <c r="AT100" s="7">
        <f>Q100*0.0081726819</f>
        <v/>
      </c>
      <c r="AU100" s="7">
        <f>R100*0.0081726819</f>
        <v/>
      </c>
      <c r="AV100" s="7">
        <f>S100*0.0081726819</f>
        <v/>
      </c>
      <c r="AW100" s="7">
        <f>T100*0.0081726819</f>
        <v/>
      </c>
      <c r="AX100" s="7">
        <f>U100*0.0081726819</f>
        <v/>
      </c>
      <c r="AY100" s="7">
        <f>V100*0.0081726819</f>
        <v/>
      </c>
      <c r="AZ100" s="7">
        <f>W100*0.0081726819</f>
        <v/>
      </c>
      <c r="BA100" s="7">
        <f>X100*0.0081726819</f>
        <v/>
      </c>
      <c r="BB100" s="7">
        <f>SUM(AD100:BA100)</f>
        <v/>
      </c>
    </row>
    <row r="101">
      <c r="A101" t="inlineStr">
        <is>
          <t>AMD-RTS-RCLS-1302-SSC_1</t>
        </is>
      </c>
      <c r="B101" t="inlineStr">
        <is>
          <t>Rev OSC</t>
        </is>
      </c>
      <c r="C101" s="5" t="n">
        <v>46094</v>
      </c>
      <c r="D101" s="6" t="n">
        <v>0</v>
      </c>
      <c r="E101" s="6" t="n">
        <v>0</v>
      </c>
      <c r="F101" s="6" t="n">
        <v>0</v>
      </c>
      <c r="G101" s="6" t="n">
        <v>0</v>
      </c>
      <c r="H101" s="6" t="n">
        <v>0</v>
      </c>
      <c r="I101" s="6" t="n">
        <v>0</v>
      </c>
      <c r="J101" s="6" t="n">
        <v>0</v>
      </c>
      <c r="K101" s="6" t="n">
        <v>0</v>
      </c>
      <c r="L101" s="6" t="n">
        <v>0</v>
      </c>
      <c r="M101" s="6" t="n">
        <v>0</v>
      </c>
      <c r="N101" s="6" t="n">
        <v>0</v>
      </c>
      <c r="O101" s="6" t="n">
        <v>0</v>
      </c>
      <c r="P101" s="6" t="n">
        <v>0</v>
      </c>
      <c r="Q101" s="6" t="n">
        <v>0</v>
      </c>
      <c r="R101" s="6" t="n">
        <v>0</v>
      </c>
      <c r="S101" s="6" t="n">
        <v>0</v>
      </c>
      <c r="T101" s="6" t="n">
        <v>0</v>
      </c>
      <c r="U101" s="6" t="n">
        <v>0</v>
      </c>
      <c r="V101" s="6" t="n">
        <v>0</v>
      </c>
      <c r="W101" s="6" t="n">
        <v>0</v>
      </c>
      <c r="X101" s="6" t="n">
        <v>0</v>
      </c>
      <c r="Y101" s="6" t="n">
        <v>0</v>
      </c>
      <c r="Z101" s="6" t="n">
        <v>0</v>
      </c>
      <c r="AA101" s="6" t="n">
        <v>0</v>
      </c>
      <c r="AB101" s="6">
        <f>SUM(D101:AA101)</f>
        <v/>
      </c>
      <c r="AC101" s="3" t="inlineStr"/>
      <c r="AD101" s="7">
        <f>Y101*0.0081726819</f>
        <v/>
      </c>
      <c r="AE101" s="7">
        <f>Z101*0.0081726819</f>
        <v/>
      </c>
      <c r="AF101" s="7">
        <f>AA101*0.0081726819</f>
        <v/>
      </c>
      <c r="AG101" s="7">
        <f>D101*0.0081726819</f>
        <v/>
      </c>
      <c r="AH101" s="7">
        <f>E101*0.0081726819</f>
        <v/>
      </c>
      <c r="AI101" s="7">
        <f>F101*0.0081726819</f>
        <v/>
      </c>
      <c r="AJ101" s="7">
        <f>G101*0.0081726819</f>
        <v/>
      </c>
      <c r="AK101" s="7">
        <f>H101*0.0081726819</f>
        <v/>
      </c>
      <c r="AL101" s="7">
        <f>I101*0.0081726819</f>
        <v/>
      </c>
      <c r="AM101" s="7">
        <f>J101*0.0081726819</f>
        <v/>
      </c>
      <c r="AN101" s="7">
        <f>K101*0.0081726819</f>
        <v/>
      </c>
      <c r="AO101" s="7">
        <f>L101*0.0081726819</f>
        <v/>
      </c>
      <c r="AP101" s="7">
        <f>M101*0.0081726819</f>
        <v/>
      </c>
      <c r="AQ101" s="7">
        <f>N101*0.0081726819</f>
        <v/>
      </c>
      <c r="AR101" s="7">
        <f>O101*0.0081726819</f>
        <v/>
      </c>
      <c r="AS101" s="7">
        <f>P101*0.0081726819</f>
        <v/>
      </c>
      <c r="AT101" s="7">
        <f>Q101*0.0081726819</f>
        <v/>
      </c>
      <c r="AU101" s="7">
        <f>R101*0.0081726819</f>
        <v/>
      </c>
      <c r="AV101" s="7">
        <f>S101*0.0081726819</f>
        <v/>
      </c>
      <c r="AW101" s="7">
        <f>T101*0.0081726819</f>
        <v/>
      </c>
      <c r="AX101" s="7">
        <f>U101*0.0081726819</f>
        <v/>
      </c>
      <c r="AY101" s="7">
        <f>V101*0.0081726819</f>
        <v/>
      </c>
      <c r="AZ101" s="7">
        <f>W101*0.0081726819</f>
        <v/>
      </c>
      <c r="BA101" s="7">
        <f>X101*0.0081726819</f>
        <v/>
      </c>
      <c r="BB101" s="7">
        <f>SUM(AD101:BA101)</f>
        <v/>
      </c>
    </row>
    <row r="102">
      <c r="A102" t="inlineStr">
        <is>
          <t>AMD-RTS-RCLS-1302-SSC_1</t>
        </is>
      </c>
      <c r="B102" t="inlineStr">
        <is>
          <t>Rev OSC</t>
        </is>
      </c>
      <c r="C102" s="5" t="n">
        <v>46095</v>
      </c>
      <c r="D102" s="6" t="n">
        <v>0</v>
      </c>
      <c r="E102" s="6" t="n">
        <v>0</v>
      </c>
      <c r="F102" s="6" t="n">
        <v>0</v>
      </c>
      <c r="G102" s="6" t="n">
        <v>0</v>
      </c>
      <c r="H102" s="6" t="n">
        <v>0</v>
      </c>
      <c r="I102" s="6" t="n">
        <v>0</v>
      </c>
      <c r="J102" s="6" t="n">
        <v>0</v>
      </c>
      <c r="K102" s="6" t="n">
        <v>0</v>
      </c>
      <c r="L102" s="6" t="n">
        <v>0</v>
      </c>
      <c r="M102" s="6" t="n">
        <v>0</v>
      </c>
      <c r="N102" s="6" t="n">
        <v>0</v>
      </c>
      <c r="O102" s="6" t="n">
        <v>0</v>
      </c>
      <c r="P102" s="6" t="n">
        <v>0</v>
      </c>
      <c r="Q102" s="6" t="n">
        <v>0</v>
      </c>
      <c r="R102" s="6" t="n">
        <v>0</v>
      </c>
      <c r="S102" s="6" t="n">
        <v>0</v>
      </c>
      <c r="T102" s="6" t="n">
        <v>0</v>
      </c>
      <c r="U102" s="6" t="n">
        <v>0</v>
      </c>
      <c r="V102" s="6" t="n">
        <v>0</v>
      </c>
      <c r="W102" s="6" t="n">
        <v>0</v>
      </c>
      <c r="X102" s="6" t="n">
        <v>0</v>
      </c>
      <c r="Y102" s="6" t="n">
        <v>0</v>
      </c>
      <c r="Z102" s="6" t="n">
        <v>0</v>
      </c>
      <c r="AA102" s="6" t="n">
        <v>0</v>
      </c>
      <c r="AB102" s="6">
        <f>SUM(D102:AA102)</f>
        <v/>
      </c>
      <c r="AC102" s="3" t="inlineStr"/>
      <c r="AD102" s="7">
        <f>Y102*0.0081726819</f>
        <v/>
      </c>
      <c r="AE102" s="7">
        <f>Z102*0.0081726819</f>
        <v/>
      </c>
      <c r="AF102" s="7">
        <f>AA102*0.0081726819</f>
        <v/>
      </c>
      <c r="AG102" s="7">
        <f>D102*0.0081726819</f>
        <v/>
      </c>
      <c r="AH102" s="7">
        <f>E102*0.0081726819</f>
        <v/>
      </c>
      <c r="AI102" s="7">
        <f>F102*0.0081726819</f>
        <v/>
      </c>
      <c r="AJ102" s="7">
        <f>G102*0.0081726819</f>
        <v/>
      </c>
      <c r="AK102" s="7">
        <f>H102*0.0081726819</f>
        <v/>
      </c>
      <c r="AL102" s="7">
        <f>I102*0.0081726819</f>
        <v/>
      </c>
      <c r="AM102" s="7">
        <f>J102*0.0081726819</f>
        <v/>
      </c>
      <c r="AN102" s="7">
        <f>K102*0.0081726819</f>
        <v/>
      </c>
      <c r="AO102" s="7">
        <f>L102*0.0081726819</f>
        <v/>
      </c>
      <c r="AP102" s="7">
        <f>M102*0.0081726819</f>
        <v/>
      </c>
      <c r="AQ102" s="7">
        <f>N102*0.0081726819</f>
        <v/>
      </c>
      <c r="AR102" s="7">
        <f>O102*0.0081726819</f>
        <v/>
      </c>
      <c r="AS102" s="7">
        <f>P102*0.0081726819</f>
        <v/>
      </c>
      <c r="AT102" s="7">
        <f>Q102*0.0081726819</f>
        <v/>
      </c>
      <c r="AU102" s="7">
        <f>R102*0.0081726819</f>
        <v/>
      </c>
      <c r="AV102" s="7">
        <f>S102*0.0081726819</f>
        <v/>
      </c>
      <c r="AW102" s="7">
        <f>T102*0.0081726819</f>
        <v/>
      </c>
      <c r="AX102" s="7">
        <f>U102*0.0081726819</f>
        <v/>
      </c>
      <c r="AY102" s="7">
        <f>V102*0.0081726819</f>
        <v/>
      </c>
      <c r="AZ102" s="7">
        <f>W102*0.0081726819</f>
        <v/>
      </c>
      <c r="BA102" s="7">
        <f>X102*0.0081726819</f>
        <v/>
      </c>
      <c r="BB102" s="7">
        <f>SUM(AD102:BA102)</f>
        <v/>
      </c>
    </row>
    <row r="103">
      <c r="A103" t="inlineStr">
        <is>
          <t>AMD-RTS-RCLS-1302-SSC_1</t>
        </is>
      </c>
      <c r="B103" t="inlineStr">
        <is>
          <t>Rev OSC</t>
        </is>
      </c>
      <c r="C103" s="5" t="n">
        <v>46100</v>
      </c>
      <c r="D103" s="6" t="n">
        <v>0</v>
      </c>
      <c r="E103" s="6" t="n">
        <v>0</v>
      </c>
      <c r="F103" s="6" t="n">
        <v>0</v>
      </c>
      <c r="G103" s="6" t="n">
        <v>0</v>
      </c>
      <c r="H103" s="6" t="n">
        <v>0</v>
      </c>
      <c r="I103" s="6" t="n">
        <v>0</v>
      </c>
      <c r="J103" s="6" t="n">
        <v>0</v>
      </c>
      <c r="K103" s="6" t="n">
        <v>0</v>
      </c>
      <c r="L103" s="6" t="n">
        <v>0</v>
      </c>
      <c r="M103" s="6" t="n">
        <v>0</v>
      </c>
      <c r="N103" s="6" t="n">
        <v>0</v>
      </c>
      <c r="O103" s="6" t="n">
        <v>0</v>
      </c>
      <c r="P103" s="6" t="n">
        <v>0</v>
      </c>
      <c r="Q103" s="6" t="n">
        <v>0</v>
      </c>
      <c r="R103" s="6" t="n">
        <v>0</v>
      </c>
      <c r="S103" s="6" t="n">
        <v>0</v>
      </c>
      <c r="T103" s="6" t="n">
        <v>0</v>
      </c>
      <c r="U103" s="6" t="n">
        <v>0</v>
      </c>
      <c r="V103" s="6" t="n">
        <v>0</v>
      </c>
      <c r="W103" s="6" t="n">
        <v>0</v>
      </c>
      <c r="X103" s="6" t="n">
        <v>0</v>
      </c>
      <c r="Y103" s="6" t="n">
        <v>0</v>
      </c>
      <c r="Z103" s="6" t="n">
        <v>0</v>
      </c>
      <c r="AA103" s="6" t="n">
        <v>0</v>
      </c>
      <c r="AB103" s="6">
        <f>SUM(D103:AA103)</f>
        <v/>
      </c>
      <c r="AC103" s="3" t="inlineStr"/>
      <c r="AD103" s="7">
        <f>Y103*0.0081726819</f>
        <v/>
      </c>
      <c r="AE103" s="7">
        <f>Z103*0.0081726819</f>
        <v/>
      </c>
      <c r="AF103" s="7">
        <f>AA103*0.0081726819</f>
        <v/>
      </c>
      <c r="AG103" s="7">
        <f>D103*0.0081726819</f>
        <v/>
      </c>
      <c r="AH103" s="7">
        <f>E103*0.0081726819</f>
        <v/>
      </c>
      <c r="AI103" s="7">
        <f>F103*0.0081726819</f>
        <v/>
      </c>
      <c r="AJ103" s="7">
        <f>G103*0.0081726819</f>
        <v/>
      </c>
      <c r="AK103" s="7">
        <f>H103*0.0081726819</f>
        <v/>
      </c>
      <c r="AL103" s="7">
        <f>I103*0.0081726819</f>
        <v/>
      </c>
      <c r="AM103" s="7">
        <f>J103*0.0081726819</f>
        <v/>
      </c>
      <c r="AN103" s="7">
        <f>K103*0.0081726819</f>
        <v/>
      </c>
      <c r="AO103" s="7">
        <f>L103*0.0081726819</f>
        <v/>
      </c>
      <c r="AP103" s="7">
        <f>M103*0.0081726819</f>
        <v/>
      </c>
      <c r="AQ103" s="7">
        <f>N103*0.0081726819</f>
        <v/>
      </c>
      <c r="AR103" s="7">
        <f>O103*0.0081726819</f>
        <v/>
      </c>
      <c r="AS103" s="7">
        <f>P103*0.0081726819</f>
        <v/>
      </c>
      <c r="AT103" s="7">
        <f>Q103*0.0081726819</f>
        <v/>
      </c>
      <c r="AU103" s="7">
        <f>R103*0.0081726819</f>
        <v/>
      </c>
      <c r="AV103" s="7">
        <f>S103*0.0081726819</f>
        <v/>
      </c>
      <c r="AW103" s="7">
        <f>T103*0.0081726819</f>
        <v/>
      </c>
      <c r="AX103" s="7">
        <f>U103*0.0081726819</f>
        <v/>
      </c>
      <c r="AY103" s="7">
        <f>V103*0.0081726819</f>
        <v/>
      </c>
      <c r="AZ103" s="7">
        <f>W103*0.0081726819</f>
        <v/>
      </c>
      <c r="BA103" s="7">
        <f>X103*0.0081726819</f>
        <v/>
      </c>
      <c r="BB103" s="7">
        <f>SUM(AD103:BA103)</f>
        <v/>
      </c>
    </row>
    <row r="104">
      <c r="A104" t="inlineStr">
        <is>
          <t>AMD-RTS-RCLS-1302-SSC_1</t>
        </is>
      </c>
      <c r="B104" t="inlineStr">
        <is>
          <t>Rev OSC</t>
        </is>
      </c>
      <c r="C104" s="5" t="n">
        <v>46102</v>
      </c>
      <c r="D104" s="6" t="n">
        <v>0</v>
      </c>
      <c r="E104" s="6" t="n">
        <v>0</v>
      </c>
      <c r="F104" s="6" t="n">
        <v>0</v>
      </c>
      <c r="G104" s="6" t="n">
        <v>0</v>
      </c>
      <c r="H104" s="6" t="n">
        <v>0</v>
      </c>
      <c r="I104" s="6" t="n">
        <v>0</v>
      </c>
      <c r="J104" s="6" t="n">
        <v>0</v>
      </c>
      <c r="K104" s="6" t="n">
        <v>0</v>
      </c>
      <c r="L104" s="6" t="n">
        <v>0</v>
      </c>
      <c r="M104" s="6" t="n">
        <v>0</v>
      </c>
      <c r="N104" s="6" t="n">
        <v>0</v>
      </c>
      <c r="O104" s="6" t="n">
        <v>0</v>
      </c>
      <c r="P104" s="6" t="n">
        <v>0</v>
      </c>
      <c r="Q104" s="6" t="n">
        <v>0</v>
      </c>
      <c r="R104" s="6" t="n">
        <v>1</v>
      </c>
      <c r="S104" s="6" t="n">
        <v>2</v>
      </c>
      <c r="T104" s="6" t="n">
        <v>1</v>
      </c>
      <c r="U104" s="6" t="n">
        <v>0</v>
      </c>
      <c r="V104" s="6" t="n">
        <v>0</v>
      </c>
      <c r="W104" s="6" t="n">
        <v>0</v>
      </c>
      <c r="X104" s="6" t="n">
        <v>0</v>
      </c>
      <c r="Y104" s="6" t="n">
        <v>0</v>
      </c>
      <c r="Z104" s="6" t="n">
        <v>0</v>
      </c>
      <c r="AA104" s="6" t="n">
        <v>0</v>
      </c>
      <c r="AB104" s="6">
        <f>SUM(D104:AA104)</f>
        <v/>
      </c>
      <c r="AC104" s="3" t="inlineStr"/>
      <c r="AD104" s="7">
        <f>Y104*0.0081726819</f>
        <v/>
      </c>
      <c r="AE104" s="7">
        <f>Z104*0.0081726819</f>
        <v/>
      </c>
      <c r="AF104" s="7">
        <f>AA104*0.0081726819</f>
        <v/>
      </c>
      <c r="AG104" s="7">
        <f>D104*0.0081726819</f>
        <v/>
      </c>
      <c r="AH104" s="7">
        <f>E104*0.0081726819</f>
        <v/>
      </c>
      <c r="AI104" s="7">
        <f>F104*0.0081726819</f>
        <v/>
      </c>
      <c r="AJ104" s="7">
        <f>G104*0.0081726819</f>
        <v/>
      </c>
      <c r="AK104" s="7">
        <f>H104*0.0081726819</f>
        <v/>
      </c>
      <c r="AL104" s="7">
        <f>I104*0.0081726819</f>
        <v/>
      </c>
      <c r="AM104" s="7">
        <f>J104*0.0081726819</f>
        <v/>
      </c>
      <c r="AN104" s="7">
        <f>K104*0.0081726819</f>
        <v/>
      </c>
      <c r="AO104" s="7">
        <f>L104*0.0081726819</f>
        <v/>
      </c>
      <c r="AP104" s="7">
        <f>M104*0.0081726819</f>
        <v/>
      </c>
      <c r="AQ104" s="7">
        <f>N104*0.0081726819</f>
        <v/>
      </c>
      <c r="AR104" s="7">
        <f>O104*0.0081726819</f>
        <v/>
      </c>
      <c r="AS104" s="7">
        <f>P104*0.0081726819</f>
        <v/>
      </c>
      <c r="AT104" s="7">
        <f>Q104*0.0081726819</f>
        <v/>
      </c>
      <c r="AU104" s="7">
        <f>R104*0.0081726819</f>
        <v/>
      </c>
      <c r="AV104" s="7">
        <f>S104*0.0081726819</f>
        <v/>
      </c>
      <c r="AW104" s="7">
        <f>T104*0.0081726819</f>
        <v/>
      </c>
      <c r="AX104" s="7">
        <f>U104*0.0081726819</f>
        <v/>
      </c>
      <c r="AY104" s="7">
        <f>V104*0.0081726819</f>
        <v/>
      </c>
      <c r="AZ104" s="7">
        <f>W104*0.0081726819</f>
        <v/>
      </c>
      <c r="BA104" s="7">
        <f>X104*0.0081726819</f>
        <v/>
      </c>
      <c r="BB104" s="7">
        <f>SUM(AD104:BA104)</f>
        <v/>
      </c>
    </row>
    <row r="105">
      <c r="A105" t="inlineStr">
        <is>
          <t>AMD-RTS-RCLS-1302-SSC_1</t>
        </is>
      </c>
      <c r="B105" t="inlineStr">
        <is>
          <t>Rev OSC</t>
        </is>
      </c>
      <c r="C105" s="5" t="n">
        <v>46103</v>
      </c>
      <c r="D105" s="6" t="n">
        <v>0</v>
      </c>
      <c r="E105" s="6" t="n">
        <v>0</v>
      </c>
      <c r="F105" s="6" t="n">
        <v>0</v>
      </c>
      <c r="G105" s="6" t="n">
        <v>0</v>
      </c>
      <c r="H105" s="6" t="n">
        <v>0</v>
      </c>
      <c r="I105" s="6" t="n">
        <v>0</v>
      </c>
      <c r="J105" s="6" t="n">
        <v>0</v>
      </c>
      <c r="K105" s="6" t="n">
        <v>0</v>
      </c>
      <c r="L105" s="6" t="n">
        <v>0</v>
      </c>
      <c r="M105" s="6" t="n">
        <v>0</v>
      </c>
      <c r="N105" s="6" t="n">
        <v>0</v>
      </c>
      <c r="O105" s="6" t="n">
        <v>0</v>
      </c>
      <c r="P105" s="6" t="n">
        <v>0</v>
      </c>
      <c r="Q105" s="6" t="n">
        <v>0</v>
      </c>
      <c r="R105" s="6" t="n">
        <v>0</v>
      </c>
      <c r="S105" s="6" t="n">
        <v>0</v>
      </c>
      <c r="T105" s="6" t="n">
        <v>1</v>
      </c>
      <c r="U105" s="6" t="n">
        <v>0</v>
      </c>
      <c r="V105" s="6" t="n">
        <v>0</v>
      </c>
      <c r="W105" s="6" t="n">
        <v>0</v>
      </c>
      <c r="X105" s="6" t="n">
        <v>0</v>
      </c>
      <c r="Y105" s="6" t="n">
        <v>0</v>
      </c>
      <c r="Z105" s="6" t="n">
        <v>0</v>
      </c>
      <c r="AA105" s="6" t="n">
        <v>0</v>
      </c>
      <c r="AB105" s="6">
        <f>SUM(D105:AA105)</f>
        <v/>
      </c>
      <c r="AC105" s="3" t="inlineStr"/>
      <c r="AD105" s="7">
        <f>Y105*0.0081726819</f>
        <v/>
      </c>
      <c r="AE105" s="7">
        <f>Z105*0.0081726819</f>
        <v/>
      </c>
      <c r="AF105" s="7">
        <f>AA105*0.0081726819</f>
        <v/>
      </c>
      <c r="AG105" s="7">
        <f>D105*0.0081726819</f>
        <v/>
      </c>
      <c r="AH105" s="7">
        <f>E105*0.0081726819</f>
        <v/>
      </c>
      <c r="AI105" s="7">
        <f>F105*0.0081726819</f>
        <v/>
      </c>
      <c r="AJ105" s="7">
        <f>G105*0.0081726819</f>
        <v/>
      </c>
      <c r="AK105" s="7">
        <f>H105*0.0081726819</f>
        <v/>
      </c>
      <c r="AL105" s="7">
        <f>I105*0.0081726819</f>
        <v/>
      </c>
      <c r="AM105" s="7">
        <f>J105*0.0081726819</f>
        <v/>
      </c>
      <c r="AN105" s="7">
        <f>K105*0.0081726819</f>
        <v/>
      </c>
      <c r="AO105" s="7">
        <f>L105*0.0081726819</f>
        <v/>
      </c>
      <c r="AP105" s="7">
        <f>M105*0.0081726819</f>
        <v/>
      </c>
      <c r="AQ105" s="7">
        <f>N105*0.0081726819</f>
        <v/>
      </c>
      <c r="AR105" s="7">
        <f>O105*0.0081726819</f>
        <v/>
      </c>
      <c r="AS105" s="7">
        <f>P105*0.0081726819</f>
        <v/>
      </c>
      <c r="AT105" s="7">
        <f>Q105*0.0081726819</f>
        <v/>
      </c>
      <c r="AU105" s="7">
        <f>R105*0.0081726819</f>
        <v/>
      </c>
      <c r="AV105" s="7">
        <f>S105*0.0081726819</f>
        <v/>
      </c>
      <c r="AW105" s="7">
        <f>T105*0.0081726819</f>
        <v/>
      </c>
      <c r="AX105" s="7">
        <f>U105*0.0081726819</f>
        <v/>
      </c>
      <c r="AY105" s="7">
        <f>V105*0.0081726819</f>
        <v/>
      </c>
      <c r="AZ105" s="7">
        <f>W105*0.0081726819</f>
        <v/>
      </c>
      <c r="BA105" s="7">
        <f>X105*0.0081726819</f>
        <v/>
      </c>
      <c r="BB105" s="7">
        <f>SUM(AD105:BA105)</f>
        <v/>
      </c>
    </row>
    <row r="106">
      <c r="A106" t="inlineStr">
        <is>
          <t>AMD-RTS-RCLS-1302-SSC_1</t>
        </is>
      </c>
      <c r="B106" t="inlineStr">
        <is>
          <t>Rev OSC</t>
        </is>
      </c>
      <c r="C106" s="5" t="n">
        <v>46104</v>
      </c>
      <c r="D106" s="6" t="n">
        <v>0</v>
      </c>
      <c r="E106" s="6" t="n">
        <v>0</v>
      </c>
      <c r="F106" s="6" t="n">
        <v>0</v>
      </c>
      <c r="G106" s="6" t="n">
        <v>0</v>
      </c>
      <c r="H106" s="6" t="n">
        <v>0</v>
      </c>
      <c r="I106" s="6" t="n">
        <v>0</v>
      </c>
      <c r="J106" s="6" t="n">
        <v>0</v>
      </c>
      <c r="K106" s="6" t="n">
        <v>0</v>
      </c>
      <c r="L106" s="6" t="n">
        <v>0</v>
      </c>
      <c r="M106" s="6" t="n">
        <v>0</v>
      </c>
      <c r="N106" s="6" t="n">
        <v>0</v>
      </c>
      <c r="O106" s="6" t="n">
        <v>0</v>
      </c>
      <c r="P106" s="6" t="n">
        <v>0</v>
      </c>
      <c r="Q106" s="6" t="n">
        <v>3</v>
      </c>
      <c r="R106" s="6" t="n">
        <v>3</v>
      </c>
      <c r="S106" s="6" t="n">
        <v>2</v>
      </c>
      <c r="T106" s="6" t="n">
        <v>1</v>
      </c>
      <c r="U106" s="6" t="n">
        <v>0</v>
      </c>
      <c r="V106" s="6" t="n">
        <v>0</v>
      </c>
      <c r="W106" s="6" t="n">
        <v>0</v>
      </c>
      <c r="X106" s="6" t="n">
        <v>0</v>
      </c>
      <c r="Y106" s="6" t="n">
        <v>0</v>
      </c>
      <c r="Z106" s="6" t="n">
        <v>0</v>
      </c>
      <c r="AA106" s="6" t="n">
        <v>0</v>
      </c>
      <c r="AB106" s="6">
        <f>SUM(D106:AA106)</f>
        <v/>
      </c>
      <c r="AC106" s="3" t="inlineStr"/>
      <c r="AD106" s="7">
        <f>Y106*0.0081726819</f>
        <v/>
      </c>
      <c r="AE106" s="7">
        <f>Z106*0.0081726819</f>
        <v/>
      </c>
      <c r="AF106" s="7">
        <f>AA106*0.0081726819</f>
        <v/>
      </c>
      <c r="AG106" s="7">
        <f>D106*0.0081726819</f>
        <v/>
      </c>
      <c r="AH106" s="7">
        <f>E106*0.0081726819</f>
        <v/>
      </c>
      <c r="AI106" s="7">
        <f>F106*0.0081726819</f>
        <v/>
      </c>
      <c r="AJ106" s="7">
        <f>G106*0.0081726819</f>
        <v/>
      </c>
      <c r="AK106" s="7">
        <f>H106*0.0081726819</f>
        <v/>
      </c>
      <c r="AL106" s="7">
        <f>I106*0.0081726819</f>
        <v/>
      </c>
      <c r="AM106" s="7">
        <f>J106*0.0081726819</f>
        <v/>
      </c>
      <c r="AN106" s="7">
        <f>K106*0.0081726819</f>
        <v/>
      </c>
      <c r="AO106" s="7">
        <f>L106*0.0081726819</f>
        <v/>
      </c>
      <c r="AP106" s="7">
        <f>M106*0.0081726819</f>
        <v/>
      </c>
      <c r="AQ106" s="7">
        <f>N106*0.0081726819</f>
        <v/>
      </c>
      <c r="AR106" s="7">
        <f>O106*0.0081726819</f>
        <v/>
      </c>
      <c r="AS106" s="7">
        <f>P106*0.0081726819</f>
        <v/>
      </c>
      <c r="AT106" s="7">
        <f>Q106*0.0081726819</f>
        <v/>
      </c>
      <c r="AU106" s="7">
        <f>R106*0.0081726819</f>
        <v/>
      </c>
      <c r="AV106" s="7">
        <f>S106*0.0081726819</f>
        <v/>
      </c>
      <c r="AW106" s="7">
        <f>T106*0.0081726819</f>
        <v/>
      </c>
      <c r="AX106" s="7">
        <f>U106*0.0081726819</f>
        <v/>
      </c>
      <c r="AY106" s="7">
        <f>V106*0.0081726819</f>
        <v/>
      </c>
      <c r="AZ106" s="7">
        <f>W106*0.0081726819</f>
        <v/>
      </c>
      <c r="BA106" s="7">
        <f>X106*0.0081726819</f>
        <v/>
      </c>
      <c r="BB106" s="7">
        <f>SUM(AD106:BA106)</f>
        <v/>
      </c>
    </row>
    <row r="107">
      <c r="A107" t="inlineStr">
        <is>
          <t>AMD-RTS-RCLS-1302-SSC_1</t>
        </is>
      </c>
      <c r="B107" t="inlineStr">
        <is>
          <t>Rev OSC</t>
        </is>
      </c>
      <c r="C107" s="5" t="n">
        <v>46105</v>
      </c>
      <c r="D107" s="6" t="n">
        <v>0</v>
      </c>
      <c r="E107" s="6" t="n">
        <v>0</v>
      </c>
      <c r="F107" s="6" t="n">
        <v>0</v>
      </c>
      <c r="G107" s="6" t="n">
        <v>0</v>
      </c>
      <c r="H107" s="6" t="n">
        <v>0</v>
      </c>
      <c r="I107" s="6" t="n">
        <v>0</v>
      </c>
      <c r="J107" s="6" t="n">
        <v>0</v>
      </c>
      <c r="K107" s="6" t="n">
        <v>0</v>
      </c>
      <c r="L107" s="6" t="n">
        <v>0</v>
      </c>
      <c r="M107" s="6" t="n">
        <v>0</v>
      </c>
      <c r="N107" s="6" t="n">
        <v>0</v>
      </c>
      <c r="O107" s="6" t="n">
        <v>0</v>
      </c>
      <c r="P107" s="6" t="n">
        <v>0</v>
      </c>
      <c r="Q107" s="6" t="n">
        <v>0</v>
      </c>
      <c r="R107" s="6" t="n">
        <v>0</v>
      </c>
      <c r="S107" s="6" t="n">
        <v>1</v>
      </c>
      <c r="T107" s="6" t="n">
        <v>0</v>
      </c>
      <c r="U107" s="6" t="n">
        <v>0</v>
      </c>
      <c r="V107" s="6" t="n">
        <v>0</v>
      </c>
      <c r="W107" s="6" t="n">
        <v>0</v>
      </c>
      <c r="X107" s="6" t="n">
        <v>0</v>
      </c>
      <c r="Y107" s="6" t="n">
        <v>0</v>
      </c>
      <c r="Z107" s="6" t="n">
        <v>0</v>
      </c>
      <c r="AA107" s="6" t="n">
        <v>0</v>
      </c>
      <c r="AB107" s="6">
        <f>SUM(D107:AA107)</f>
        <v/>
      </c>
      <c r="AC107" s="3" t="inlineStr"/>
      <c r="AD107" s="7">
        <f>Y107*0.0081726819</f>
        <v/>
      </c>
      <c r="AE107" s="7">
        <f>Z107*0.0081726819</f>
        <v/>
      </c>
      <c r="AF107" s="7">
        <f>AA107*0.0081726819</f>
        <v/>
      </c>
      <c r="AG107" s="7">
        <f>D107*0.0081726819</f>
        <v/>
      </c>
      <c r="AH107" s="7">
        <f>E107*0.0081726819</f>
        <v/>
      </c>
      <c r="AI107" s="7">
        <f>F107*0.0081726819</f>
        <v/>
      </c>
      <c r="AJ107" s="7">
        <f>G107*0.0081726819</f>
        <v/>
      </c>
      <c r="AK107" s="7">
        <f>H107*0.0081726819</f>
        <v/>
      </c>
      <c r="AL107" s="7">
        <f>I107*0.0081726819</f>
        <v/>
      </c>
      <c r="AM107" s="7">
        <f>J107*0.0081726819</f>
        <v/>
      </c>
      <c r="AN107" s="7">
        <f>K107*0.0081726819</f>
        <v/>
      </c>
      <c r="AO107" s="7">
        <f>L107*0.0081726819</f>
        <v/>
      </c>
      <c r="AP107" s="7">
        <f>M107*0.0081726819</f>
        <v/>
      </c>
      <c r="AQ107" s="7">
        <f>N107*0.0081726819</f>
        <v/>
      </c>
      <c r="AR107" s="7">
        <f>O107*0.0081726819</f>
        <v/>
      </c>
      <c r="AS107" s="7">
        <f>P107*0.0081726819</f>
        <v/>
      </c>
      <c r="AT107" s="7">
        <f>Q107*0.0081726819</f>
        <v/>
      </c>
      <c r="AU107" s="7">
        <f>R107*0.0081726819</f>
        <v/>
      </c>
      <c r="AV107" s="7">
        <f>S107*0.0081726819</f>
        <v/>
      </c>
      <c r="AW107" s="7">
        <f>T107*0.0081726819</f>
        <v/>
      </c>
      <c r="AX107" s="7">
        <f>U107*0.0081726819</f>
        <v/>
      </c>
      <c r="AY107" s="7">
        <f>V107*0.0081726819</f>
        <v/>
      </c>
      <c r="AZ107" s="7">
        <f>W107*0.0081726819</f>
        <v/>
      </c>
      <c r="BA107" s="7">
        <f>X107*0.0081726819</f>
        <v/>
      </c>
      <c r="BB107" s="7">
        <f>SUM(AD107:BA107)</f>
        <v/>
      </c>
    </row>
    <row r="108">
      <c r="A108" t="inlineStr">
        <is>
          <t>AMD-RTS-RCLS-1302-SSC_2</t>
        </is>
      </c>
      <c r="B108" t="inlineStr">
        <is>
          <t>Rev OSC</t>
        </is>
      </c>
      <c r="C108" s="5" t="n">
        <v>46100</v>
      </c>
      <c r="D108" s="6" t="n">
        <v>0</v>
      </c>
      <c r="E108" s="6" t="n">
        <v>0</v>
      </c>
      <c r="F108" s="6" t="n">
        <v>0</v>
      </c>
      <c r="G108" s="6" t="n">
        <v>0</v>
      </c>
      <c r="H108" s="6" t="n">
        <v>0</v>
      </c>
      <c r="I108" s="6" t="n">
        <v>0</v>
      </c>
      <c r="J108" s="6" t="n">
        <v>0</v>
      </c>
      <c r="K108" s="6" t="n">
        <v>0</v>
      </c>
      <c r="L108" s="6" t="n">
        <v>0</v>
      </c>
      <c r="M108" s="6" t="n">
        <v>0</v>
      </c>
      <c r="N108" s="6" t="n">
        <v>0</v>
      </c>
      <c r="O108" s="6" t="n">
        <v>0</v>
      </c>
      <c r="P108" s="6" t="n">
        <v>0</v>
      </c>
      <c r="Q108" s="6" t="n">
        <v>0</v>
      </c>
      <c r="R108" s="6" t="n">
        <v>0</v>
      </c>
      <c r="S108" s="6" t="n">
        <v>0</v>
      </c>
      <c r="T108" s="6" t="n">
        <v>0</v>
      </c>
      <c r="U108" s="6" t="n">
        <v>0</v>
      </c>
      <c r="V108" s="6" t="n">
        <v>0</v>
      </c>
      <c r="W108" s="6" t="n">
        <v>0</v>
      </c>
      <c r="X108" s="6" t="n">
        <v>0</v>
      </c>
      <c r="Y108" s="6" t="n">
        <v>0</v>
      </c>
      <c r="Z108" s="6" t="n">
        <v>0</v>
      </c>
      <c r="AA108" s="6" t="n">
        <v>0</v>
      </c>
      <c r="AB108" s="6">
        <f>SUM(D108:AA108)</f>
        <v/>
      </c>
      <c r="AC108" s="3" t="inlineStr"/>
      <c r="AD108" s="7">
        <f>Y108*0.0081726819</f>
        <v/>
      </c>
      <c r="AE108" s="7">
        <f>Z108*0.0081726819</f>
        <v/>
      </c>
      <c r="AF108" s="7">
        <f>AA108*0.0081726819</f>
        <v/>
      </c>
      <c r="AG108" s="7">
        <f>D108*0.0081726819</f>
        <v/>
      </c>
      <c r="AH108" s="7">
        <f>E108*0.0081726819</f>
        <v/>
      </c>
      <c r="AI108" s="7">
        <f>F108*0.0081726819</f>
        <v/>
      </c>
      <c r="AJ108" s="7">
        <f>G108*0.0081726819</f>
        <v/>
      </c>
      <c r="AK108" s="7">
        <f>H108*0.0081726819</f>
        <v/>
      </c>
      <c r="AL108" s="7">
        <f>I108*0.0081726819</f>
        <v/>
      </c>
      <c r="AM108" s="7">
        <f>J108*0.0081726819</f>
        <v/>
      </c>
      <c r="AN108" s="7">
        <f>K108*0.0081726819</f>
        <v/>
      </c>
      <c r="AO108" s="7">
        <f>L108*0.0081726819</f>
        <v/>
      </c>
      <c r="AP108" s="7">
        <f>M108*0.0081726819</f>
        <v/>
      </c>
      <c r="AQ108" s="7">
        <f>N108*0.0081726819</f>
        <v/>
      </c>
      <c r="AR108" s="7">
        <f>O108*0.0081726819</f>
        <v/>
      </c>
      <c r="AS108" s="7">
        <f>P108*0.0081726819</f>
        <v/>
      </c>
      <c r="AT108" s="7">
        <f>Q108*0.0081726819</f>
        <v/>
      </c>
      <c r="AU108" s="7">
        <f>R108*0.0081726819</f>
        <v/>
      </c>
      <c r="AV108" s="7">
        <f>S108*0.0081726819</f>
        <v/>
      </c>
      <c r="AW108" s="7">
        <f>T108*0.0081726819</f>
        <v/>
      </c>
      <c r="AX108" s="7">
        <f>U108*0.0081726819</f>
        <v/>
      </c>
      <c r="AY108" s="7">
        <f>V108*0.0081726819</f>
        <v/>
      </c>
      <c r="AZ108" s="7">
        <f>W108*0.0081726819</f>
        <v/>
      </c>
      <c r="BA108" s="7">
        <f>X108*0.0081726819</f>
        <v/>
      </c>
      <c r="BB108" s="7">
        <f>SUM(AD108:BA108)</f>
        <v/>
      </c>
    </row>
    <row r="109">
      <c r="A109" t="inlineStr">
        <is>
          <t>AMD-RTS-RCLS-1302-SSC_2</t>
        </is>
      </c>
      <c r="B109" t="inlineStr">
        <is>
          <t>Rev OSC</t>
        </is>
      </c>
      <c r="C109" s="5" t="n">
        <v>46102</v>
      </c>
      <c r="D109" s="6" t="n">
        <v>0</v>
      </c>
      <c r="E109" s="6" t="n">
        <v>0</v>
      </c>
      <c r="F109" s="6" t="n">
        <v>0</v>
      </c>
      <c r="G109" s="6" t="n">
        <v>0</v>
      </c>
      <c r="H109" s="6" t="n">
        <v>0</v>
      </c>
      <c r="I109" s="6" t="n">
        <v>0</v>
      </c>
      <c r="J109" s="6" t="n">
        <v>0</v>
      </c>
      <c r="K109" s="6" t="n">
        <v>0</v>
      </c>
      <c r="L109" s="6" t="n">
        <v>0</v>
      </c>
      <c r="M109" s="6" t="n">
        <v>0</v>
      </c>
      <c r="N109" s="6" t="n">
        <v>0</v>
      </c>
      <c r="O109" s="6" t="n">
        <v>0</v>
      </c>
      <c r="P109" s="6" t="n">
        <v>0</v>
      </c>
      <c r="Q109" s="6" t="n">
        <v>0</v>
      </c>
      <c r="R109" s="6" t="n">
        <v>0</v>
      </c>
      <c r="S109" s="6" t="n">
        <v>0</v>
      </c>
      <c r="T109" s="6" t="n">
        <v>0</v>
      </c>
      <c r="U109" s="6" t="n">
        <v>0</v>
      </c>
      <c r="V109" s="6" t="n">
        <v>0</v>
      </c>
      <c r="W109" s="6" t="n">
        <v>0</v>
      </c>
      <c r="X109" s="6" t="n">
        <v>0</v>
      </c>
      <c r="Y109" s="6" t="n">
        <v>0</v>
      </c>
      <c r="Z109" s="6" t="n">
        <v>0</v>
      </c>
      <c r="AA109" s="6" t="n">
        <v>0</v>
      </c>
      <c r="AB109" s="6">
        <f>SUM(D109:AA109)</f>
        <v/>
      </c>
      <c r="AC109" s="3" t="inlineStr"/>
      <c r="AD109" s="7">
        <f>Y109*0.0081726819</f>
        <v/>
      </c>
      <c r="AE109" s="7">
        <f>Z109*0.0081726819</f>
        <v/>
      </c>
      <c r="AF109" s="7">
        <f>AA109*0.0081726819</f>
        <v/>
      </c>
      <c r="AG109" s="7">
        <f>D109*0.0081726819</f>
        <v/>
      </c>
      <c r="AH109" s="7">
        <f>E109*0.0081726819</f>
        <v/>
      </c>
      <c r="AI109" s="7">
        <f>F109*0.0081726819</f>
        <v/>
      </c>
      <c r="AJ109" s="7">
        <f>G109*0.0081726819</f>
        <v/>
      </c>
      <c r="AK109" s="7">
        <f>H109*0.0081726819</f>
        <v/>
      </c>
      <c r="AL109" s="7">
        <f>I109*0.0081726819</f>
        <v/>
      </c>
      <c r="AM109" s="7">
        <f>J109*0.0081726819</f>
        <v/>
      </c>
      <c r="AN109" s="7">
        <f>K109*0.0081726819</f>
        <v/>
      </c>
      <c r="AO109" s="7">
        <f>L109*0.0081726819</f>
        <v/>
      </c>
      <c r="AP109" s="7">
        <f>M109*0.0081726819</f>
        <v/>
      </c>
      <c r="AQ109" s="7">
        <f>N109*0.0081726819</f>
        <v/>
      </c>
      <c r="AR109" s="7">
        <f>O109*0.0081726819</f>
        <v/>
      </c>
      <c r="AS109" s="7">
        <f>P109*0.0081726819</f>
        <v/>
      </c>
      <c r="AT109" s="7">
        <f>Q109*0.0081726819</f>
        <v/>
      </c>
      <c r="AU109" s="7">
        <f>R109*0.0081726819</f>
        <v/>
      </c>
      <c r="AV109" s="7">
        <f>S109*0.0081726819</f>
        <v/>
      </c>
      <c r="AW109" s="7">
        <f>T109*0.0081726819</f>
        <v/>
      </c>
      <c r="AX109" s="7">
        <f>U109*0.0081726819</f>
        <v/>
      </c>
      <c r="AY109" s="7">
        <f>V109*0.0081726819</f>
        <v/>
      </c>
      <c r="AZ109" s="7">
        <f>W109*0.0081726819</f>
        <v/>
      </c>
      <c r="BA109" s="7">
        <f>X109*0.0081726819</f>
        <v/>
      </c>
      <c r="BB109" s="7">
        <f>SUM(AD109:BA109)</f>
        <v/>
      </c>
    </row>
    <row r="110">
      <c r="A110" t="inlineStr">
        <is>
          <t>AMD-RTS-RCLS-1302-SSC_2</t>
        </is>
      </c>
      <c r="B110" t="inlineStr">
        <is>
          <t>Rev OSC</t>
        </is>
      </c>
      <c r="C110" s="5" t="n">
        <v>46104</v>
      </c>
      <c r="D110" s="6" t="n">
        <v>0</v>
      </c>
      <c r="E110" s="6" t="n">
        <v>0</v>
      </c>
      <c r="F110" s="6" t="n">
        <v>0</v>
      </c>
      <c r="G110" s="6" t="n">
        <v>0</v>
      </c>
      <c r="H110" s="6" t="n">
        <v>0</v>
      </c>
      <c r="I110" s="6" t="n">
        <v>0</v>
      </c>
      <c r="J110" s="6" t="n">
        <v>0</v>
      </c>
      <c r="K110" s="6" t="n">
        <v>0</v>
      </c>
      <c r="L110" s="6" t="n">
        <v>0</v>
      </c>
      <c r="M110" s="6" t="n">
        <v>0</v>
      </c>
      <c r="N110" s="6" t="n">
        <v>0</v>
      </c>
      <c r="O110" s="6" t="n">
        <v>0</v>
      </c>
      <c r="P110" s="6" t="n">
        <v>0</v>
      </c>
      <c r="Q110" s="6" t="n">
        <v>0</v>
      </c>
      <c r="R110" s="6" t="n">
        <v>0</v>
      </c>
      <c r="S110" s="6" t="n">
        <v>1</v>
      </c>
      <c r="T110" s="6" t="n">
        <v>0</v>
      </c>
      <c r="U110" s="6" t="n">
        <v>0</v>
      </c>
      <c r="V110" s="6" t="n">
        <v>0</v>
      </c>
      <c r="W110" s="6" t="n">
        <v>0</v>
      </c>
      <c r="X110" s="6" t="n">
        <v>0</v>
      </c>
      <c r="Y110" s="6" t="n">
        <v>0</v>
      </c>
      <c r="Z110" s="6" t="n">
        <v>0</v>
      </c>
      <c r="AA110" s="6" t="n">
        <v>0</v>
      </c>
      <c r="AB110" s="6">
        <f>SUM(D110:AA110)</f>
        <v/>
      </c>
      <c r="AC110" s="3" t="inlineStr"/>
      <c r="AD110" s="7">
        <f>Y110*0.0081726819</f>
        <v/>
      </c>
      <c r="AE110" s="7">
        <f>Z110*0.0081726819</f>
        <v/>
      </c>
      <c r="AF110" s="7">
        <f>AA110*0.0081726819</f>
        <v/>
      </c>
      <c r="AG110" s="7">
        <f>D110*0.0081726819</f>
        <v/>
      </c>
      <c r="AH110" s="7">
        <f>E110*0.0081726819</f>
        <v/>
      </c>
      <c r="AI110" s="7">
        <f>F110*0.0081726819</f>
        <v/>
      </c>
      <c r="AJ110" s="7">
        <f>G110*0.0081726819</f>
        <v/>
      </c>
      <c r="AK110" s="7">
        <f>H110*0.0081726819</f>
        <v/>
      </c>
      <c r="AL110" s="7">
        <f>I110*0.0081726819</f>
        <v/>
      </c>
      <c r="AM110" s="7">
        <f>J110*0.0081726819</f>
        <v/>
      </c>
      <c r="AN110" s="7">
        <f>K110*0.0081726819</f>
        <v/>
      </c>
      <c r="AO110" s="7">
        <f>L110*0.0081726819</f>
        <v/>
      </c>
      <c r="AP110" s="7">
        <f>M110*0.0081726819</f>
        <v/>
      </c>
      <c r="AQ110" s="7">
        <f>N110*0.0081726819</f>
        <v/>
      </c>
      <c r="AR110" s="7">
        <f>O110*0.0081726819</f>
        <v/>
      </c>
      <c r="AS110" s="7">
        <f>P110*0.0081726819</f>
        <v/>
      </c>
      <c r="AT110" s="7">
        <f>Q110*0.0081726819</f>
        <v/>
      </c>
      <c r="AU110" s="7">
        <f>R110*0.0081726819</f>
        <v/>
      </c>
      <c r="AV110" s="7">
        <f>S110*0.0081726819</f>
        <v/>
      </c>
      <c r="AW110" s="7">
        <f>T110*0.0081726819</f>
        <v/>
      </c>
      <c r="AX110" s="7">
        <f>U110*0.0081726819</f>
        <v/>
      </c>
      <c r="AY110" s="7">
        <f>V110*0.0081726819</f>
        <v/>
      </c>
      <c r="AZ110" s="7">
        <f>W110*0.0081726819</f>
        <v/>
      </c>
      <c r="BA110" s="7">
        <f>X110*0.0081726819</f>
        <v/>
      </c>
      <c r="BB110" s="7">
        <f>SUM(AD110:BA110)</f>
        <v/>
      </c>
    </row>
    <row r="111">
      <c r="A111" t="inlineStr">
        <is>
          <t>DC-10-1</t>
        </is>
      </c>
      <c r="B111" t="inlineStr">
        <is>
          <t>DSC Manual</t>
        </is>
      </c>
      <c r="C111" s="5" t="n">
        <v>46089</v>
      </c>
      <c r="D111" s="6" t="n">
        <v>21</v>
      </c>
      <c r="E111" s="6" t="n">
        <v>7</v>
      </c>
      <c r="F111" s="6" t="n">
        <v>8</v>
      </c>
      <c r="G111" s="6" t="n">
        <v>13</v>
      </c>
      <c r="H111" s="6" t="n">
        <v>9</v>
      </c>
      <c r="I111" s="6" t="n">
        <v>24</v>
      </c>
      <c r="J111" s="6" t="n">
        <v>18</v>
      </c>
      <c r="K111" s="6" t="n">
        <v>2</v>
      </c>
      <c r="L111" s="6" t="n">
        <v>0</v>
      </c>
      <c r="M111" s="6" t="n">
        <v>0</v>
      </c>
      <c r="N111" s="6" t="n">
        <v>0</v>
      </c>
      <c r="O111" s="6" t="n">
        <v>0</v>
      </c>
      <c r="P111" s="6" t="n">
        <v>0</v>
      </c>
      <c r="Q111" s="6" t="n">
        <v>0</v>
      </c>
      <c r="R111" s="6" t="n">
        <v>133</v>
      </c>
      <c r="S111" s="6" t="n">
        <v>173</v>
      </c>
      <c r="T111" s="6" t="n">
        <v>21</v>
      </c>
      <c r="U111" s="6" t="n">
        <v>154</v>
      </c>
      <c r="V111" s="6" t="n">
        <v>133</v>
      </c>
      <c r="W111" s="6" t="n">
        <v>170</v>
      </c>
      <c r="X111" s="6" t="n">
        <v>155</v>
      </c>
      <c r="Y111" s="6" t="n">
        <v>151</v>
      </c>
      <c r="Z111" s="6" t="n">
        <v>0</v>
      </c>
      <c r="AA111" s="6" t="n">
        <v>0</v>
      </c>
      <c r="AB111" s="6">
        <f>SUM(D111:AA111)</f>
        <v/>
      </c>
      <c r="AC111" s="3" t="inlineStr"/>
      <c r="AD111" s="7">
        <f>Y111*0.0081726819</f>
        <v/>
      </c>
      <c r="AE111" s="7">
        <f>Z111*0.0081726819</f>
        <v/>
      </c>
      <c r="AF111" s="7">
        <f>AA111*0.0081726819</f>
        <v/>
      </c>
      <c r="AG111" s="7">
        <f>D111*0.0081726819</f>
        <v/>
      </c>
      <c r="AH111" s="7">
        <f>E111*0.0081726819</f>
        <v/>
      </c>
      <c r="AI111" s="7">
        <f>F111*0.0081726819</f>
        <v/>
      </c>
      <c r="AJ111" s="7">
        <f>G111*0.0081726819</f>
        <v/>
      </c>
      <c r="AK111" s="7">
        <f>H111*0.0081726819</f>
        <v/>
      </c>
      <c r="AL111" s="7">
        <f>I111*0.0081726819</f>
        <v/>
      </c>
      <c r="AM111" s="7">
        <f>J111*0.0081726819</f>
        <v/>
      </c>
      <c r="AN111" s="7">
        <f>K111*0.0081726819</f>
        <v/>
      </c>
      <c r="AO111" s="7">
        <f>L111*0.0081726819</f>
        <v/>
      </c>
      <c r="AP111" s="7">
        <f>M111*0.0081726819</f>
        <v/>
      </c>
      <c r="AQ111" s="7">
        <f>N111*0.0081726819</f>
        <v/>
      </c>
      <c r="AR111" s="7">
        <f>O111*0.0081726819</f>
        <v/>
      </c>
      <c r="AS111" s="7">
        <f>P111*0.0081726819</f>
        <v/>
      </c>
      <c r="AT111" s="7">
        <f>Q111*0.0081726819</f>
        <v/>
      </c>
      <c r="AU111" s="7">
        <f>R111*0.0081726819</f>
        <v/>
      </c>
      <c r="AV111" s="7">
        <f>S111*0.0081726819</f>
        <v/>
      </c>
      <c r="AW111" s="7">
        <f>T111*0.0081726819</f>
        <v/>
      </c>
      <c r="AX111" s="7">
        <f>U111*0.0081726819</f>
        <v/>
      </c>
      <c r="AY111" s="7">
        <f>V111*0.0081726819</f>
        <v/>
      </c>
      <c r="AZ111" s="7">
        <f>W111*0.0081726819</f>
        <v/>
      </c>
      <c r="BA111" s="7">
        <f>X111*0.0081726819</f>
        <v/>
      </c>
      <c r="BB111" s="7">
        <f>SUM(AD111:BA111)</f>
        <v/>
      </c>
    </row>
    <row r="112">
      <c r="A112" t="inlineStr">
        <is>
          <t>DC-10-1</t>
        </is>
      </c>
      <c r="B112" t="inlineStr">
        <is>
          <t>DSC Manual</t>
        </is>
      </c>
      <c r="C112" s="5" t="n">
        <v>46090</v>
      </c>
      <c r="D112" s="6" t="n">
        <v>31</v>
      </c>
      <c r="E112" s="6" t="n">
        <v>15</v>
      </c>
      <c r="F112" s="6" t="n">
        <v>17</v>
      </c>
      <c r="G112" s="6" t="n">
        <v>38</v>
      </c>
      <c r="H112" s="6" t="n">
        <v>32</v>
      </c>
      <c r="I112" s="6" t="n">
        <v>29</v>
      </c>
      <c r="J112" s="6" t="n">
        <v>16</v>
      </c>
      <c r="K112" s="6" t="n">
        <v>0</v>
      </c>
      <c r="L112" s="6" t="n">
        <v>0</v>
      </c>
      <c r="M112" s="6" t="n">
        <v>0</v>
      </c>
      <c r="N112" s="6" t="n">
        <v>0</v>
      </c>
      <c r="O112" s="6" t="n">
        <v>0</v>
      </c>
      <c r="P112" s="6" t="n">
        <v>0</v>
      </c>
      <c r="Q112" s="6" t="n">
        <v>53</v>
      </c>
      <c r="R112" s="6" t="n">
        <v>81</v>
      </c>
      <c r="S112" s="6" t="n">
        <v>96</v>
      </c>
      <c r="T112" s="6" t="n">
        <v>112</v>
      </c>
      <c r="U112" s="6" t="n">
        <v>17</v>
      </c>
      <c r="V112" s="6" t="n">
        <v>148</v>
      </c>
      <c r="W112" s="6" t="n">
        <v>166</v>
      </c>
      <c r="X112" s="6" t="n">
        <v>152</v>
      </c>
      <c r="Y112" s="6" t="n">
        <v>141</v>
      </c>
      <c r="Z112" s="6" t="n">
        <v>12</v>
      </c>
      <c r="AA112" s="6" t="n">
        <v>0</v>
      </c>
      <c r="AB112" s="6">
        <f>SUM(D112:AA112)</f>
        <v/>
      </c>
      <c r="AC112" s="3" t="inlineStr"/>
      <c r="AD112" s="7">
        <f>Y112*0.0081726819</f>
        <v/>
      </c>
      <c r="AE112" s="7">
        <f>Z112*0.0081726819</f>
        <v/>
      </c>
      <c r="AF112" s="7">
        <f>AA112*0.0081726819</f>
        <v/>
      </c>
      <c r="AG112" s="7">
        <f>D112*0.0081726819</f>
        <v/>
      </c>
      <c r="AH112" s="7">
        <f>E112*0.0081726819</f>
        <v/>
      </c>
      <c r="AI112" s="7">
        <f>F112*0.0081726819</f>
        <v/>
      </c>
      <c r="AJ112" s="7">
        <f>G112*0.0081726819</f>
        <v/>
      </c>
      <c r="AK112" s="7">
        <f>H112*0.0081726819</f>
        <v/>
      </c>
      <c r="AL112" s="7">
        <f>I112*0.0081726819</f>
        <v/>
      </c>
      <c r="AM112" s="7">
        <f>J112*0.0081726819</f>
        <v/>
      </c>
      <c r="AN112" s="7">
        <f>K112*0.0081726819</f>
        <v/>
      </c>
      <c r="AO112" s="7">
        <f>L112*0.0081726819</f>
        <v/>
      </c>
      <c r="AP112" s="7">
        <f>M112*0.0081726819</f>
        <v/>
      </c>
      <c r="AQ112" s="7">
        <f>N112*0.0081726819</f>
        <v/>
      </c>
      <c r="AR112" s="7">
        <f>O112*0.0081726819</f>
        <v/>
      </c>
      <c r="AS112" s="7">
        <f>P112*0.0081726819</f>
        <v/>
      </c>
      <c r="AT112" s="7">
        <f>Q112*0.0081726819</f>
        <v/>
      </c>
      <c r="AU112" s="7">
        <f>R112*0.0081726819</f>
        <v/>
      </c>
      <c r="AV112" s="7">
        <f>S112*0.0081726819</f>
        <v/>
      </c>
      <c r="AW112" s="7">
        <f>T112*0.0081726819</f>
        <v/>
      </c>
      <c r="AX112" s="7">
        <f>U112*0.0081726819</f>
        <v/>
      </c>
      <c r="AY112" s="7">
        <f>V112*0.0081726819</f>
        <v/>
      </c>
      <c r="AZ112" s="7">
        <f>W112*0.0081726819</f>
        <v/>
      </c>
      <c r="BA112" s="7">
        <f>X112*0.0081726819</f>
        <v/>
      </c>
      <c r="BB112" s="7">
        <f>SUM(AD112:BA112)</f>
        <v/>
      </c>
    </row>
    <row r="113">
      <c r="A113" t="inlineStr">
        <is>
          <t>DC-10-1</t>
        </is>
      </c>
      <c r="B113" t="inlineStr">
        <is>
          <t>DSC Manual</t>
        </is>
      </c>
      <c r="C113" s="5" t="n">
        <v>46091</v>
      </c>
      <c r="D113" s="6" t="n">
        <v>26</v>
      </c>
      <c r="E113" s="6" t="n">
        <v>4</v>
      </c>
      <c r="F113" s="6" t="n">
        <v>0</v>
      </c>
      <c r="G113" s="6" t="n">
        <v>46</v>
      </c>
      <c r="H113" s="6" t="n">
        <v>31</v>
      </c>
      <c r="I113" s="6" t="n">
        <v>39</v>
      </c>
      <c r="J113" s="6" t="n">
        <v>12</v>
      </c>
      <c r="K113" s="6" t="n">
        <v>0</v>
      </c>
      <c r="L113" s="6" t="n">
        <v>0</v>
      </c>
      <c r="M113" s="6" t="n">
        <v>0</v>
      </c>
      <c r="N113" s="6" t="n">
        <v>0</v>
      </c>
      <c r="O113" s="6" t="n">
        <v>0</v>
      </c>
      <c r="P113" s="6" t="n">
        <v>27</v>
      </c>
      <c r="Q113" s="6" t="n">
        <v>124</v>
      </c>
      <c r="R113" s="6" t="n">
        <v>166</v>
      </c>
      <c r="S113" s="6" t="n">
        <v>148</v>
      </c>
      <c r="T113" s="6" t="n">
        <v>146</v>
      </c>
      <c r="U113" s="6" t="n">
        <v>9</v>
      </c>
      <c r="V113" s="6" t="n">
        <v>218</v>
      </c>
      <c r="W113" s="6" t="n">
        <v>185</v>
      </c>
      <c r="X113" s="6" t="n">
        <v>210</v>
      </c>
      <c r="Y113" s="6" t="n">
        <v>178</v>
      </c>
      <c r="Z113" s="6" t="n">
        <v>0</v>
      </c>
      <c r="AA113" s="6" t="n">
        <v>25</v>
      </c>
      <c r="AB113" s="6">
        <f>SUM(D113:AA113)</f>
        <v/>
      </c>
      <c r="AC113" s="3" t="inlineStr"/>
      <c r="AD113" s="7">
        <f>Y113*0.0081726819</f>
        <v/>
      </c>
      <c r="AE113" s="7">
        <f>Z113*0.0081726819</f>
        <v/>
      </c>
      <c r="AF113" s="7">
        <f>AA113*0.0081726819</f>
        <v/>
      </c>
      <c r="AG113" s="7">
        <f>D113*0.0081726819</f>
        <v/>
      </c>
      <c r="AH113" s="7">
        <f>E113*0.0081726819</f>
        <v/>
      </c>
      <c r="AI113" s="7">
        <f>F113*0.0081726819</f>
        <v/>
      </c>
      <c r="AJ113" s="7">
        <f>G113*0.0081726819</f>
        <v/>
      </c>
      <c r="AK113" s="7">
        <f>H113*0.0081726819</f>
        <v/>
      </c>
      <c r="AL113" s="7">
        <f>I113*0.0081726819</f>
        <v/>
      </c>
      <c r="AM113" s="7">
        <f>J113*0.0081726819</f>
        <v/>
      </c>
      <c r="AN113" s="7">
        <f>K113*0.0081726819</f>
        <v/>
      </c>
      <c r="AO113" s="7">
        <f>L113*0.0081726819</f>
        <v/>
      </c>
      <c r="AP113" s="7">
        <f>M113*0.0081726819</f>
        <v/>
      </c>
      <c r="AQ113" s="7">
        <f>N113*0.0081726819</f>
        <v/>
      </c>
      <c r="AR113" s="7">
        <f>O113*0.0081726819</f>
        <v/>
      </c>
      <c r="AS113" s="7">
        <f>P113*0.0081726819</f>
        <v/>
      </c>
      <c r="AT113" s="7">
        <f>Q113*0.0081726819</f>
        <v/>
      </c>
      <c r="AU113" s="7">
        <f>R113*0.0081726819</f>
        <v/>
      </c>
      <c r="AV113" s="7">
        <f>S113*0.0081726819</f>
        <v/>
      </c>
      <c r="AW113" s="7">
        <f>T113*0.0081726819</f>
        <v/>
      </c>
      <c r="AX113" s="7">
        <f>U113*0.0081726819</f>
        <v/>
      </c>
      <c r="AY113" s="7">
        <f>V113*0.0081726819</f>
        <v/>
      </c>
      <c r="AZ113" s="7">
        <f>W113*0.0081726819</f>
        <v/>
      </c>
      <c r="BA113" s="7">
        <f>X113*0.0081726819</f>
        <v/>
      </c>
      <c r="BB113" s="7">
        <f>SUM(AD113:BA113)</f>
        <v/>
      </c>
    </row>
    <row r="114">
      <c r="A114" t="inlineStr">
        <is>
          <t>DC-10-1</t>
        </is>
      </c>
      <c r="B114" t="inlineStr">
        <is>
          <t>DSC Manual</t>
        </is>
      </c>
      <c r="C114" s="5" t="n">
        <v>46092</v>
      </c>
      <c r="D114" s="6" t="n">
        <v>25</v>
      </c>
      <c r="E114" s="6" t="n">
        <v>2</v>
      </c>
      <c r="F114" s="6" t="n">
        <v>21</v>
      </c>
      <c r="G114" s="6" t="n">
        <v>60</v>
      </c>
      <c r="H114" s="6" t="n">
        <v>15</v>
      </c>
      <c r="I114" s="6" t="n">
        <v>54</v>
      </c>
      <c r="J114" s="6" t="n">
        <v>27</v>
      </c>
      <c r="K114" s="6" t="n">
        <v>4</v>
      </c>
      <c r="L114" s="6" t="n">
        <v>0</v>
      </c>
      <c r="M114" s="6" t="n">
        <v>0</v>
      </c>
      <c r="N114" s="6" t="n">
        <v>0</v>
      </c>
      <c r="O114" s="6" t="n">
        <v>0</v>
      </c>
      <c r="P114" s="6" t="n">
        <v>0</v>
      </c>
      <c r="Q114" s="6" t="n">
        <v>97</v>
      </c>
      <c r="R114" s="6" t="n">
        <v>179</v>
      </c>
      <c r="S114" s="6" t="n">
        <v>156</v>
      </c>
      <c r="T114" s="6" t="n">
        <v>45</v>
      </c>
      <c r="U114" s="6" t="n">
        <v>163</v>
      </c>
      <c r="V114" s="6" t="n">
        <v>190</v>
      </c>
      <c r="W114" s="6" t="n">
        <v>213</v>
      </c>
      <c r="X114" s="6" t="n">
        <v>214</v>
      </c>
      <c r="Y114" s="6" t="n">
        <v>209</v>
      </c>
      <c r="Z114" s="6" t="n">
        <v>3</v>
      </c>
      <c r="AA114" s="6" t="n">
        <v>31</v>
      </c>
      <c r="AB114" s="6">
        <f>SUM(D114:AA114)</f>
        <v/>
      </c>
      <c r="AC114" s="3" t="inlineStr"/>
      <c r="AD114" s="7">
        <f>Y114*0.0081726819</f>
        <v/>
      </c>
      <c r="AE114" s="7">
        <f>Z114*0.0081726819</f>
        <v/>
      </c>
      <c r="AF114" s="7">
        <f>AA114*0.0081726819</f>
        <v/>
      </c>
      <c r="AG114" s="7">
        <f>D114*0.0081726819</f>
        <v/>
      </c>
      <c r="AH114" s="7">
        <f>E114*0.0081726819</f>
        <v/>
      </c>
      <c r="AI114" s="7">
        <f>F114*0.0081726819</f>
        <v/>
      </c>
      <c r="AJ114" s="7">
        <f>G114*0.0081726819</f>
        <v/>
      </c>
      <c r="AK114" s="7">
        <f>H114*0.0081726819</f>
        <v/>
      </c>
      <c r="AL114" s="7">
        <f>I114*0.0081726819</f>
        <v/>
      </c>
      <c r="AM114" s="7">
        <f>J114*0.0081726819</f>
        <v/>
      </c>
      <c r="AN114" s="7">
        <f>K114*0.0081726819</f>
        <v/>
      </c>
      <c r="AO114" s="7">
        <f>L114*0.0081726819</f>
        <v/>
      </c>
      <c r="AP114" s="7">
        <f>M114*0.0081726819</f>
        <v/>
      </c>
      <c r="AQ114" s="7">
        <f>N114*0.0081726819</f>
        <v/>
      </c>
      <c r="AR114" s="7">
        <f>O114*0.0081726819</f>
        <v/>
      </c>
      <c r="AS114" s="7">
        <f>P114*0.0081726819</f>
        <v/>
      </c>
      <c r="AT114" s="7">
        <f>Q114*0.0081726819</f>
        <v/>
      </c>
      <c r="AU114" s="7">
        <f>R114*0.0081726819</f>
        <v/>
      </c>
      <c r="AV114" s="7">
        <f>S114*0.0081726819</f>
        <v/>
      </c>
      <c r="AW114" s="7">
        <f>T114*0.0081726819</f>
        <v/>
      </c>
      <c r="AX114" s="7">
        <f>U114*0.0081726819</f>
        <v/>
      </c>
      <c r="AY114" s="7">
        <f>V114*0.0081726819</f>
        <v/>
      </c>
      <c r="AZ114" s="7">
        <f>W114*0.0081726819</f>
        <v/>
      </c>
      <c r="BA114" s="7">
        <f>X114*0.0081726819</f>
        <v/>
      </c>
      <c r="BB114" s="7">
        <f>SUM(AD114:BA114)</f>
        <v/>
      </c>
    </row>
    <row r="115">
      <c r="A115" t="inlineStr">
        <is>
          <t>DC-10-1</t>
        </is>
      </c>
      <c r="B115" t="inlineStr">
        <is>
          <t>DSC Manual</t>
        </is>
      </c>
      <c r="C115" s="5" t="n">
        <v>46093</v>
      </c>
      <c r="D115" s="6" t="n">
        <v>63</v>
      </c>
      <c r="E115" s="6" t="n">
        <v>9</v>
      </c>
      <c r="F115" s="6" t="n">
        <v>37</v>
      </c>
      <c r="G115" s="6" t="n">
        <v>57</v>
      </c>
      <c r="H115" s="6" t="n">
        <v>36</v>
      </c>
      <c r="I115" s="6" t="n">
        <v>44</v>
      </c>
      <c r="J115" s="6" t="n">
        <v>48</v>
      </c>
      <c r="K115" s="6" t="n">
        <v>12</v>
      </c>
      <c r="L115" s="6" t="n">
        <v>0</v>
      </c>
      <c r="M115" s="6" t="n">
        <v>0</v>
      </c>
      <c r="N115" s="6" t="n">
        <v>4</v>
      </c>
      <c r="O115" s="6" t="n">
        <v>24</v>
      </c>
      <c r="P115" s="6" t="n">
        <v>0</v>
      </c>
      <c r="Q115" s="6" t="n">
        <v>0</v>
      </c>
      <c r="R115" s="6" t="n">
        <v>231</v>
      </c>
      <c r="S115" s="6" t="n">
        <v>187</v>
      </c>
      <c r="T115" s="6" t="n">
        <v>62</v>
      </c>
      <c r="U115" s="6" t="n">
        <v>140</v>
      </c>
      <c r="V115" s="6" t="n">
        <v>146</v>
      </c>
      <c r="W115" s="6" t="n">
        <v>162</v>
      </c>
      <c r="X115" s="6" t="n">
        <v>145</v>
      </c>
      <c r="Y115" s="6" t="n">
        <v>161</v>
      </c>
      <c r="Z115" s="6" t="n">
        <v>7</v>
      </c>
      <c r="AA115" s="6" t="n">
        <v>40</v>
      </c>
      <c r="AB115" s="6">
        <f>SUM(D115:AA115)</f>
        <v/>
      </c>
      <c r="AC115" s="3" t="inlineStr"/>
      <c r="AD115" s="7">
        <f>Y115*0.0081726819</f>
        <v/>
      </c>
      <c r="AE115" s="7">
        <f>Z115*0.0081726819</f>
        <v/>
      </c>
      <c r="AF115" s="7">
        <f>AA115*0.0081726819</f>
        <v/>
      </c>
      <c r="AG115" s="7">
        <f>D115*0.0081726819</f>
        <v/>
      </c>
      <c r="AH115" s="7">
        <f>E115*0.0081726819</f>
        <v/>
      </c>
      <c r="AI115" s="7">
        <f>F115*0.0081726819</f>
        <v/>
      </c>
      <c r="AJ115" s="7">
        <f>G115*0.0081726819</f>
        <v/>
      </c>
      <c r="AK115" s="7">
        <f>H115*0.0081726819</f>
        <v/>
      </c>
      <c r="AL115" s="7">
        <f>I115*0.0081726819</f>
        <v/>
      </c>
      <c r="AM115" s="7">
        <f>J115*0.0081726819</f>
        <v/>
      </c>
      <c r="AN115" s="7">
        <f>K115*0.0081726819</f>
        <v/>
      </c>
      <c r="AO115" s="7">
        <f>L115*0.0081726819</f>
        <v/>
      </c>
      <c r="AP115" s="7">
        <f>M115*0.0081726819</f>
        <v/>
      </c>
      <c r="AQ115" s="7">
        <f>N115*0.0081726819</f>
        <v/>
      </c>
      <c r="AR115" s="7">
        <f>O115*0.0081726819</f>
        <v/>
      </c>
      <c r="AS115" s="7">
        <f>P115*0.0081726819</f>
        <v/>
      </c>
      <c r="AT115" s="7">
        <f>Q115*0.0081726819</f>
        <v/>
      </c>
      <c r="AU115" s="7">
        <f>R115*0.0081726819</f>
        <v/>
      </c>
      <c r="AV115" s="7">
        <f>S115*0.0081726819</f>
        <v/>
      </c>
      <c r="AW115" s="7">
        <f>T115*0.0081726819</f>
        <v/>
      </c>
      <c r="AX115" s="7">
        <f>U115*0.0081726819</f>
        <v/>
      </c>
      <c r="AY115" s="7">
        <f>V115*0.0081726819</f>
        <v/>
      </c>
      <c r="AZ115" s="7">
        <f>W115*0.0081726819</f>
        <v/>
      </c>
      <c r="BA115" s="7">
        <f>X115*0.0081726819</f>
        <v/>
      </c>
      <c r="BB115" s="7">
        <f>SUM(AD115:BA115)</f>
        <v/>
      </c>
    </row>
    <row r="116">
      <c r="A116" t="inlineStr">
        <is>
          <t>DC-10-1</t>
        </is>
      </c>
      <c r="B116" t="inlineStr">
        <is>
          <t>DSC Manual</t>
        </is>
      </c>
      <c r="C116" s="5" t="n">
        <v>46094</v>
      </c>
      <c r="D116" s="6" t="n">
        <v>38</v>
      </c>
      <c r="E116" s="6" t="n">
        <v>4</v>
      </c>
      <c r="F116" s="6" t="n">
        <v>24</v>
      </c>
      <c r="G116" s="6" t="n">
        <v>27</v>
      </c>
      <c r="H116" s="6" t="n">
        <v>22</v>
      </c>
      <c r="I116" s="6" t="n">
        <v>23</v>
      </c>
      <c r="J116" s="6" t="n">
        <v>16</v>
      </c>
      <c r="K116" s="6" t="n">
        <v>1</v>
      </c>
      <c r="L116" s="6" t="n">
        <v>21</v>
      </c>
      <c r="M116" s="6" t="n">
        <v>40</v>
      </c>
      <c r="N116" s="6" t="n">
        <v>58</v>
      </c>
      <c r="O116" s="6" t="n">
        <v>2</v>
      </c>
      <c r="P116" s="6" t="n">
        <v>0</v>
      </c>
      <c r="Q116" s="6" t="n">
        <v>0</v>
      </c>
      <c r="R116" s="6" t="n">
        <v>170</v>
      </c>
      <c r="S116" s="6" t="n">
        <v>193</v>
      </c>
      <c r="T116" s="6" t="n">
        <v>78</v>
      </c>
      <c r="U116" s="6" t="n">
        <v>206</v>
      </c>
      <c r="V116" s="6" t="n">
        <v>193</v>
      </c>
      <c r="W116" s="6" t="n">
        <v>272</v>
      </c>
      <c r="X116" s="6" t="n">
        <v>174</v>
      </c>
      <c r="Y116" s="6" t="n">
        <v>0</v>
      </c>
      <c r="Z116" s="6" t="n">
        <v>0</v>
      </c>
      <c r="AA116" s="6" t="n">
        <v>8</v>
      </c>
      <c r="AB116" s="6">
        <f>SUM(D116:AA116)</f>
        <v/>
      </c>
      <c r="AC116" s="3" t="inlineStr"/>
      <c r="AD116" s="7">
        <f>Y116*0.0081726819</f>
        <v/>
      </c>
      <c r="AE116" s="7">
        <f>Z116*0.0081726819</f>
        <v/>
      </c>
      <c r="AF116" s="7">
        <f>AA116*0.0081726819</f>
        <v/>
      </c>
      <c r="AG116" s="7">
        <f>D116*0.0081726819</f>
        <v/>
      </c>
      <c r="AH116" s="7">
        <f>E116*0.0081726819</f>
        <v/>
      </c>
      <c r="AI116" s="7">
        <f>F116*0.0081726819</f>
        <v/>
      </c>
      <c r="AJ116" s="7">
        <f>G116*0.0081726819</f>
        <v/>
      </c>
      <c r="AK116" s="7">
        <f>H116*0.0081726819</f>
        <v/>
      </c>
      <c r="AL116" s="7">
        <f>I116*0.0081726819</f>
        <v/>
      </c>
      <c r="AM116" s="7">
        <f>J116*0.0081726819</f>
        <v/>
      </c>
      <c r="AN116" s="7">
        <f>K116*0.0081726819</f>
        <v/>
      </c>
      <c r="AO116" s="7">
        <f>L116*0.0081726819</f>
        <v/>
      </c>
      <c r="AP116" s="7">
        <f>M116*0.0081726819</f>
        <v/>
      </c>
      <c r="AQ116" s="7">
        <f>N116*0.0081726819</f>
        <v/>
      </c>
      <c r="AR116" s="7">
        <f>O116*0.0081726819</f>
        <v/>
      </c>
      <c r="AS116" s="7">
        <f>P116*0.0081726819</f>
        <v/>
      </c>
      <c r="AT116" s="7">
        <f>Q116*0.0081726819</f>
        <v/>
      </c>
      <c r="AU116" s="7">
        <f>R116*0.0081726819</f>
        <v/>
      </c>
      <c r="AV116" s="7">
        <f>S116*0.0081726819</f>
        <v/>
      </c>
      <c r="AW116" s="7">
        <f>T116*0.0081726819</f>
        <v/>
      </c>
      <c r="AX116" s="7">
        <f>U116*0.0081726819</f>
        <v/>
      </c>
      <c r="AY116" s="7">
        <f>V116*0.0081726819</f>
        <v/>
      </c>
      <c r="AZ116" s="7">
        <f>W116*0.0081726819</f>
        <v/>
      </c>
      <c r="BA116" s="7">
        <f>X116*0.0081726819</f>
        <v/>
      </c>
      <c r="BB116" s="7">
        <f>SUM(AD116:BA116)</f>
        <v/>
      </c>
    </row>
    <row r="117">
      <c r="A117" t="inlineStr">
        <is>
          <t>DC-10-1</t>
        </is>
      </c>
      <c r="B117" t="inlineStr">
        <is>
          <t>DSC Manual</t>
        </is>
      </c>
      <c r="C117" s="5" t="n">
        <v>46095</v>
      </c>
      <c r="D117" s="6" t="n">
        <v>19</v>
      </c>
      <c r="E117" s="6" t="n">
        <v>2</v>
      </c>
      <c r="F117" s="6" t="n">
        <v>10</v>
      </c>
      <c r="G117" s="6" t="n">
        <v>19</v>
      </c>
      <c r="H117" s="6" t="n">
        <v>19</v>
      </c>
      <c r="I117" s="6" t="n">
        <v>44</v>
      </c>
      <c r="J117" s="6" t="n">
        <v>46</v>
      </c>
      <c r="K117" s="6" t="n">
        <v>0</v>
      </c>
      <c r="L117" s="6" t="n">
        <v>0</v>
      </c>
      <c r="M117" s="6" t="n">
        <v>48</v>
      </c>
      <c r="N117" s="6" t="n">
        <v>41</v>
      </c>
      <c r="O117" s="6" t="n">
        <v>29</v>
      </c>
      <c r="P117" s="6" t="n">
        <v>2</v>
      </c>
      <c r="Q117" s="6" t="n">
        <v>1</v>
      </c>
      <c r="R117" s="6" t="n">
        <v>245</v>
      </c>
      <c r="S117" s="6" t="n">
        <v>200</v>
      </c>
      <c r="T117" s="6" t="n">
        <v>31</v>
      </c>
      <c r="U117" s="6" t="n">
        <v>213</v>
      </c>
      <c r="V117" s="6" t="n">
        <v>164</v>
      </c>
      <c r="W117" s="6" t="n">
        <v>57</v>
      </c>
      <c r="X117" s="6" t="n">
        <v>5</v>
      </c>
      <c r="Y117" s="6" t="n">
        <v>2</v>
      </c>
      <c r="Z117" s="6" t="n">
        <v>9</v>
      </c>
      <c r="AA117" s="6" t="n">
        <v>54</v>
      </c>
      <c r="AB117" s="6">
        <f>SUM(D117:AA117)</f>
        <v/>
      </c>
      <c r="AC117" s="3" t="inlineStr"/>
      <c r="AD117" s="7">
        <f>Y117*0.0081726819</f>
        <v/>
      </c>
      <c r="AE117" s="7">
        <f>Z117*0.0081726819</f>
        <v/>
      </c>
      <c r="AF117" s="7">
        <f>AA117*0.0081726819</f>
        <v/>
      </c>
      <c r="AG117" s="7">
        <f>D117*0.0081726819</f>
        <v/>
      </c>
      <c r="AH117" s="7">
        <f>E117*0.0081726819</f>
        <v/>
      </c>
      <c r="AI117" s="7">
        <f>F117*0.0081726819</f>
        <v/>
      </c>
      <c r="AJ117" s="7">
        <f>G117*0.0081726819</f>
        <v/>
      </c>
      <c r="AK117" s="7">
        <f>H117*0.0081726819</f>
        <v/>
      </c>
      <c r="AL117" s="7">
        <f>I117*0.0081726819</f>
        <v/>
      </c>
      <c r="AM117" s="7">
        <f>J117*0.0081726819</f>
        <v/>
      </c>
      <c r="AN117" s="7">
        <f>K117*0.0081726819</f>
        <v/>
      </c>
      <c r="AO117" s="7">
        <f>L117*0.0081726819</f>
        <v/>
      </c>
      <c r="AP117" s="7">
        <f>M117*0.0081726819</f>
        <v/>
      </c>
      <c r="AQ117" s="7">
        <f>N117*0.0081726819</f>
        <v/>
      </c>
      <c r="AR117" s="7">
        <f>O117*0.0081726819</f>
        <v/>
      </c>
      <c r="AS117" s="7">
        <f>P117*0.0081726819</f>
        <v/>
      </c>
      <c r="AT117" s="7">
        <f>Q117*0.0081726819</f>
        <v/>
      </c>
      <c r="AU117" s="7">
        <f>R117*0.0081726819</f>
        <v/>
      </c>
      <c r="AV117" s="7">
        <f>S117*0.0081726819</f>
        <v/>
      </c>
      <c r="AW117" s="7">
        <f>T117*0.0081726819</f>
        <v/>
      </c>
      <c r="AX117" s="7">
        <f>U117*0.0081726819</f>
        <v/>
      </c>
      <c r="AY117" s="7">
        <f>V117*0.0081726819</f>
        <v/>
      </c>
      <c r="AZ117" s="7">
        <f>W117*0.0081726819</f>
        <v/>
      </c>
      <c r="BA117" s="7">
        <f>X117*0.0081726819</f>
        <v/>
      </c>
      <c r="BB117" s="7">
        <f>SUM(AD117:BA117)</f>
        <v/>
      </c>
    </row>
    <row r="118">
      <c r="A118" t="inlineStr">
        <is>
          <t>DC-10-1</t>
        </is>
      </c>
      <c r="B118" t="inlineStr">
        <is>
          <t>DSC Manual</t>
        </is>
      </c>
      <c r="C118" s="5" t="n">
        <v>46096</v>
      </c>
      <c r="D118" s="6" t="n">
        <v>29</v>
      </c>
      <c r="E118" s="6" t="n">
        <v>15</v>
      </c>
      <c r="F118" s="6" t="n">
        <v>31</v>
      </c>
      <c r="G118" s="6" t="n">
        <v>40</v>
      </c>
      <c r="H118" s="6" t="n">
        <v>23</v>
      </c>
      <c r="I118" s="6" t="n">
        <v>26</v>
      </c>
      <c r="J118" s="6" t="n">
        <v>17</v>
      </c>
      <c r="K118" s="6" t="n">
        <v>3</v>
      </c>
      <c r="L118" s="6" t="n">
        <v>0</v>
      </c>
      <c r="M118" s="6" t="n">
        <v>0</v>
      </c>
      <c r="N118" s="6" t="n">
        <v>0</v>
      </c>
      <c r="O118" s="6" t="n">
        <v>0</v>
      </c>
      <c r="P118" s="6" t="n">
        <v>0</v>
      </c>
      <c r="Q118" s="6" t="n">
        <v>0</v>
      </c>
      <c r="R118" s="6" t="n">
        <v>192</v>
      </c>
      <c r="S118" s="6" t="n">
        <v>146</v>
      </c>
      <c r="T118" s="6" t="n">
        <v>63</v>
      </c>
      <c r="U118" s="6" t="n">
        <v>172</v>
      </c>
      <c r="V118" s="6" t="n">
        <v>162</v>
      </c>
      <c r="W118" s="6" t="n">
        <v>206</v>
      </c>
      <c r="X118" s="6" t="n">
        <v>238</v>
      </c>
      <c r="Y118" s="6" t="n">
        <v>25</v>
      </c>
      <c r="Z118" s="6" t="n">
        <v>0</v>
      </c>
      <c r="AA118" s="6" t="n">
        <v>14</v>
      </c>
      <c r="AB118" s="6">
        <f>SUM(D118:AA118)</f>
        <v/>
      </c>
      <c r="AC118" s="3" t="inlineStr"/>
      <c r="AD118" s="7">
        <f>Y118*0.0081726819</f>
        <v/>
      </c>
      <c r="AE118" s="7">
        <f>Z118*0.0081726819</f>
        <v/>
      </c>
      <c r="AF118" s="7">
        <f>AA118*0.0081726819</f>
        <v/>
      </c>
      <c r="AG118" s="7">
        <f>D118*0.0081726819</f>
        <v/>
      </c>
      <c r="AH118" s="7">
        <f>E118*0.0081726819</f>
        <v/>
      </c>
      <c r="AI118" s="7">
        <f>F118*0.0081726819</f>
        <v/>
      </c>
      <c r="AJ118" s="7">
        <f>G118*0.0081726819</f>
        <v/>
      </c>
      <c r="AK118" s="7">
        <f>H118*0.0081726819</f>
        <v/>
      </c>
      <c r="AL118" s="7">
        <f>I118*0.0081726819</f>
        <v/>
      </c>
      <c r="AM118" s="7">
        <f>J118*0.0081726819</f>
        <v/>
      </c>
      <c r="AN118" s="7">
        <f>K118*0.0081726819</f>
        <v/>
      </c>
      <c r="AO118" s="7">
        <f>L118*0.0081726819</f>
        <v/>
      </c>
      <c r="AP118" s="7">
        <f>M118*0.0081726819</f>
        <v/>
      </c>
      <c r="AQ118" s="7">
        <f>N118*0.0081726819</f>
        <v/>
      </c>
      <c r="AR118" s="7">
        <f>O118*0.0081726819</f>
        <v/>
      </c>
      <c r="AS118" s="7">
        <f>P118*0.0081726819</f>
        <v/>
      </c>
      <c r="AT118" s="7">
        <f>Q118*0.0081726819</f>
        <v/>
      </c>
      <c r="AU118" s="7">
        <f>R118*0.0081726819</f>
        <v/>
      </c>
      <c r="AV118" s="7">
        <f>S118*0.0081726819</f>
        <v/>
      </c>
      <c r="AW118" s="7">
        <f>T118*0.0081726819</f>
        <v/>
      </c>
      <c r="AX118" s="7">
        <f>U118*0.0081726819</f>
        <v/>
      </c>
      <c r="AY118" s="7">
        <f>V118*0.0081726819</f>
        <v/>
      </c>
      <c r="AZ118" s="7">
        <f>W118*0.0081726819</f>
        <v/>
      </c>
      <c r="BA118" s="7">
        <f>X118*0.0081726819</f>
        <v/>
      </c>
      <c r="BB118" s="7">
        <f>SUM(AD118:BA118)</f>
        <v/>
      </c>
    </row>
    <row r="119">
      <c r="A119" t="inlineStr">
        <is>
          <t>DC-10-1</t>
        </is>
      </c>
      <c r="B119" t="inlineStr">
        <is>
          <t>DSC Manual</t>
        </is>
      </c>
      <c r="C119" s="5" t="n">
        <v>46097</v>
      </c>
      <c r="D119" s="6" t="n">
        <v>7</v>
      </c>
      <c r="E119" s="6" t="n">
        <v>5</v>
      </c>
      <c r="F119" s="6" t="n">
        <v>12</v>
      </c>
      <c r="G119" s="6" t="n">
        <v>32</v>
      </c>
      <c r="H119" s="6" t="n">
        <v>22</v>
      </c>
      <c r="I119" s="6" t="n">
        <v>21</v>
      </c>
      <c r="J119" s="6" t="n">
        <v>2</v>
      </c>
      <c r="K119" s="6" t="n">
        <v>0</v>
      </c>
      <c r="L119" s="6" t="n">
        <v>0</v>
      </c>
      <c r="M119" s="6" t="n">
        <v>0</v>
      </c>
      <c r="N119" s="6" t="n">
        <v>0</v>
      </c>
      <c r="O119" s="6" t="n">
        <v>0</v>
      </c>
      <c r="P119" s="6" t="n">
        <v>0</v>
      </c>
      <c r="Q119" s="6" t="n">
        <v>0</v>
      </c>
      <c r="R119" s="6" t="n">
        <v>217</v>
      </c>
      <c r="S119" s="6" t="n">
        <v>170</v>
      </c>
      <c r="T119" s="6" t="n">
        <v>46</v>
      </c>
      <c r="U119" s="6" t="n">
        <v>139</v>
      </c>
      <c r="V119" s="6" t="n">
        <v>163</v>
      </c>
      <c r="W119" s="6" t="n">
        <v>196</v>
      </c>
      <c r="X119" s="6" t="n">
        <v>214</v>
      </c>
      <c r="Y119" s="6" t="n">
        <v>143</v>
      </c>
      <c r="Z119" s="6" t="n">
        <v>0</v>
      </c>
      <c r="AA119" s="6" t="n">
        <v>0</v>
      </c>
      <c r="AB119" s="6">
        <f>SUM(D119:AA119)</f>
        <v/>
      </c>
      <c r="AC119" s="3" t="inlineStr"/>
      <c r="AD119" s="7">
        <f>Y119*0.0081726819</f>
        <v/>
      </c>
      <c r="AE119" s="7">
        <f>Z119*0.0081726819</f>
        <v/>
      </c>
      <c r="AF119" s="7">
        <f>AA119*0.0081726819</f>
        <v/>
      </c>
      <c r="AG119" s="7">
        <f>D119*0.0081726819</f>
        <v/>
      </c>
      <c r="AH119" s="7">
        <f>E119*0.0081726819</f>
        <v/>
      </c>
      <c r="AI119" s="7">
        <f>F119*0.0081726819</f>
        <v/>
      </c>
      <c r="AJ119" s="7">
        <f>G119*0.0081726819</f>
        <v/>
      </c>
      <c r="AK119" s="7">
        <f>H119*0.0081726819</f>
        <v/>
      </c>
      <c r="AL119" s="7">
        <f>I119*0.0081726819</f>
        <v/>
      </c>
      <c r="AM119" s="7">
        <f>J119*0.0081726819</f>
        <v/>
      </c>
      <c r="AN119" s="7">
        <f>K119*0.0081726819</f>
        <v/>
      </c>
      <c r="AO119" s="7">
        <f>L119*0.0081726819</f>
        <v/>
      </c>
      <c r="AP119" s="7">
        <f>M119*0.0081726819</f>
        <v/>
      </c>
      <c r="AQ119" s="7">
        <f>N119*0.0081726819</f>
        <v/>
      </c>
      <c r="AR119" s="7">
        <f>O119*0.0081726819</f>
        <v/>
      </c>
      <c r="AS119" s="7">
        <f>P119*0.0081726819</f>
        <v/>
      </c>
      <c r="AT119" s="7">
        <f>Q119*0.0081726819</f>
        <v/>
      </c>
      <c r="AU119" s="7">
        <f>R119*0.0081726819</f>
        <v/>
      </c>
      <c r="AV119" s="7">
        <f>S119*0.0081726819</f>
        <v/>
      </c>
      <c r="AW119" s="7">
        <f>T119*0.0081726819</f>
        <v/>
      </c>
      <c r="AX119" s="7">
        <f>U119*0.0081726819</f>
        <v/>
      </c>
      <c r="AY119" s="7">
        <f>V119*0.0081726819</f>
        <v/>
      </c>
      <c r="AZ119" s="7">
        <f>W119*0.0081726819</f>
        <v/>
      </c>
      <c r="BA119" s="7">
        <f>X119*0.0081726819</f>
        <v/>
      </c>
      <c r="BB119" s="7">
        <f>SUM(AD119:BA119)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B1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Layout</t>
        </is>
      </c>
      <c r="B1" s="1" t="inlineStr">
        <is>
          <t>Layout Type</t>
        </is>
      </c>
      <c r="C1" s="1" t="inlineStr">
        <is>
          <t>Date</t>
        </is>
      </c>
      <c r="D1" s="2" t="inlineStr">
        <is>
          <t>Act Vol 12 AM</t>
        </is>
      </c>
      <c r="E1" s="2" t="inlineStr">
        <is>
          <t>Act Vol 1 AM</t>
        </is>
      </c>
      <c r="F1" s="2" t="inlineStr">
        <is>
          <t>Act Vol 2 AM</t>
        </is>
      </c>
      <c r="G1" s="2" t="inlineStr">
        <is>
          <t>Act Vol 3 AM</t>
        </is>
      </c>
      <c r="H1" s="2" t="inlineStr">
        <is>
          <t>Act Vol 4 AM</t>
        </is>
      </c>
      <c r="I1" s="2" t="inlineStr">
        <is>
          <t>Act Vol 5 AM</t>
        </is>
      </c>
      <c r="J1" s="2" t="inlineStr">
        <is>
          <t>Act Vol 6 AM</t>
        </is>
      </c>
      <c r="K1" s="2" t="inlineStr">
        <is>
          <t>Act Vol 7 AM</t>
        </is>
      </c>
      <c r="L1" s="2" t="inlineStr">
        <is>
          <t>Act Vol 8 AM</t>
        </is>
      </c>
      <c r="M1" s="2" t="inlineStr">
        <is>
          <t>Act Vol 9 AM</t>
        </is>
      </c>
      <c r="N1" s="2" t="inlineStr">
        <is>
          <t>Act Vol 10 AM</t>
        </is>
      </c>
      <c r="O1" s="2" t="inlineStr">
        <is>
          <t>Act Vol 11 AM</t>
        </is>
      </c>
      <c r="P1" s="2" t="inlineStr">
        <is>
          <t>Act Vol 12 PM</t>
        </is>
      </c>
      <c r="Q1" s="2" t="inlineStr">
        <is>
          <t>Act Vol 1 PM</t>
        </is>
      </c>
      <c r="R1" s="2" t="inlineStr">
        <is>
          <t>Act Vol 2 PM</t>
        </is>
      </c>
      <c r="S1" s="2" t="inlineStr">
        <is>
          <t>Act Vol 3 PM</t>
        </is>
      </c>
      <c r="T1" s="2" t="inlineStr">
        <is>
          <t>Act Vol 4 PM</t>
        </is>
      </c>
      <c r="U1" s="2" t="inlineStr">
        <is>
          <t>Act Vol 5 PM</t>
        </is>
      </c>
      <c r="V1" s="2" t="inlineStr">
        <is>
          <t>Act Vol 6 PM</t>
        </is>
      </c>
      <c r="W1" s="2" t="inlineStr">
        <is>
          <t>Act Vol 7 PM</t>
        </is>
      </c>
      <c r="X1" s="2" t="inlineStr">
        <is>
          <t>Act Vol 8 PM</t>
        </is>
      </c>
      <c r="Y1" s="2" t="inlineStr">
        <is>
          <t>Act Vol 9 PM</t>
        </is>
      </c>
      <c r="Z1" s="2" t="inlineStr">
        <is>
          <t>Act Vol 10 PM</t>
        </is>
      </c>
      <c r="AA1" s="2" t="inlineStr">
        <is>
          <t>Act Vol 11 PM</t>
        </is>
      </c>
      <c r="AB1" s="2" t="inlineStr">
        <is>
          <t>Act Vol Total</t>
        </is>
      </c>
      <c r="AC1" s="3" t="inlineStr"/>
      <c r="AD1" s="4" t="inlineStr">
        <is>
          <t>MH 12 AM</t>
        </is>
      </c>
      <c r="AE1" s="4" t="inlineStr">
        <is>
          <t>MH 1 AM</t>
        </is>
      </c>
      <c r="AF1" s="4" t="inlineStr">
        <is>
          <t>MH 2 AM</t>
        </is>
      </c>
      <c r="AG1" s="4" t="inlineStr">
        <is>
          <t>MH 3 AM</t>
        </is>
      </c>
      <c r="AH1" s="4" t="inlineStr">
        <is>
          <t>MH 4 AM</t>
        </is>
      </c>
      <c r="AI1" s="4" t="inlineStr">
        <is>
          <t>MH 5 AM</t>
        </is>
      </c>
      <c r="AJ1" s="4" t="inlineStr">
        <is>
          <t>MH 6 AM</t>
        </is>
      </c>
      <c r="AK1" s="4" t="inlineStr">
        <is>
          <t>MH 7 AM</t>
        </is>
      </c>
      <c r="AL1" s="4" t="inlineStr">
        <is>
          <t>MH 8 AM</t>
        </is>
      </c>
      <c r="AM1" s="4" t="inlineStr">
        <is>
          <t>MH 9 AM</t>
        </is>
      </c>
      <c r="AN1" s="4" t="inlineStr">
        <is>
          <t>MH 10 AM</t>
        </is>
      </c>
      <c r="AO1" s="4" t="inlineStr">
        <is>
          <t>MH 11 AM</t>
        </is>
      </c>
      <c r="AP1" s="4" t="inlineStr">
        <is>
          <t>MH 12 PM</t>
        </is>
      </c>
      <c r="AQ1" s="4" t="inlineStr">
        <is>
          <t>MH 1 PM</t>
        </is>
      </c>
      <c r="AR1" s="4" t="inlineStr">
        <is>
          <t>MH 2 PM</t>
        </is>
      </c>
      <c r="AS1" s="4" t="inlineStr">
        <is>
          <t>MH 3 PM</t>
        </is>
      </c>
      <c r="AT1" s="4" t="inlineStr">
        <is>
          <t>MH 4 PM</t>
        </is>
      </c>
      <c r="AU1" s="4" t="inlineStr">
        <is>
          <t>MH 5 PM</t>
        </is>
      </c>
      <c r="AV1" s="4" t="inlineStr">
        <is>
          <t>MH 6 PM</t>
        </is>
      </c>
      <c r="AW1" s="4" t="inlineStr">
        <is>
          <t>MH 7 PM</t>
        </is>
      </c>
      <c r="AX1" s="4" t="inlineStr">
        <is>
          <t>MH 8 PM</t>
        </is>
      </c>
      <c r="AY1" s="4" t="inlineStr">
        <is>
          <t>MH 9 PM</t>
        </is>
      </c>
      <c r="AZ1" s="4" t="inlineStr">
        <is>
          <t>MH 10 PM</t>
        </is>
      </c>
      <c r="BA1" s="4" t="inlineStr">
        <is>
          <t>MH 11 PM</t>
        </is>
      </c>
      <c r="BB1" s="4" t="inlineStr">
        <is>
          <t>MH Total</t>
        </is>
      </c>
    </row>
    <row r="2">
      <c r="A2" t="inlineStr">
        <is>
          <t>AMD-AIR-NEW-SSC</t>
        </is>
      </c>
      <c r="B2" t="inlineStr">
        <is>
          <t>Forward Regular OSC</t>
        </is>
      </c>
      <c r="C2" s="5" t="n">
        <v>46093</v>
      </c>
      <c r="D2" s="6">
        <f>Summary!D2</f>
        <v/>
      </c>
      <c r="E2" s="6">
        <f>Summary!E2</f>
        <v/>
      </c>
      <c r="F2" s="6">
        <f>Summary!F2</f>
        <v/>
      </c>
      <c r="G2" s="6">
        <f>Summary!G2</f>
        <v/>
      </c>
      <c r="H2" s="6">
        <f>Summary!H2</f>
        <v/>
      </c>
      <c r="I2" s="6">
        <f>Summary!I2</f>
        <v/>
      </c>
      <c r="J2" s="6">
        <f>Summary!J2</f>
        <v/>
      </c>
      <c r="K2" s="6">
        <f>Summary!K2</f>
        <v/>
      </c>
      <c r="L2" s="6">
        <f>Summary!L2</f>
        <v/>
      </c>
      <c r="M2" s="6">
        <f>Summary!M2</f>
        <v/>
      </c>
      <c r="N2" s="6">
        <f>Summary!N2</f>
        <v/>
      </c>
      <c r="O2" s="6">
        <f>Summary!O2</f>
        <v/>
      </c>
      <c r="P2" s="6">
        <f>Summary!P2</f>
        <v/>
      </c>
      <c r="Q2" s="6">
        <f>Summary!Q2</f>
        <v/>
      </c>
      <c r="R2" s="6">
        <f>Summary!R2</f>
        <v/>
      </c>
      <c r="S2" s="6">
        <f>Summary!S2</f>
        <v/>
      </c>
      <c r="T2" s="6">
        <f>Summary!T2</f>
        <v/>
      </c>
      <c r="U2" s="6">
        <f>Summary!U2</f>
        <v/>
      </c>
      <c r="V2" s="6">
        <f>Summary!V2</f>
        <v/>
      </c>
      <c r="W2" s="6">
        <f>Summary!W2</f>
        <v/>
      </c>
      <c r="X2" s="6">
        <f>Summary!X2</f>
        <v/>
      </c>
      <c r="Y2" s="6">
        <f>Summary!Y2</f>
        <v/>
      </c>
      <c r="Z2" s="6">
        <f>Summary!Z2</f>
        <v/>
      </c>
      <c r="AA2" s="6">
        <f>Summary!AA2</f>
        <v/>
      </c>
      <c r="AB2" s="6">
        <f>SUM(D2:AA2)</f>
        <v/>
      </c>
      <c r="AC2" s="3" t="inlineStr"/>
      <c r="AD2" s="7">
        <f>AA2*0.000680195+D2*0.000680195</f>
        <v/>
      </c>
      <c r="AE2" s="7">
        <f>D2*0.000680195+E2*0.000680195</f>
        <v/>
      </c>
      <c r="AF2" s="7">
        <f>E2*0.000680195+F2*0.000680195</f>
        <v/>
      </c>
      <c r="AG2" s="7">
        <f>F2*0.000680195+G2*0.000680195</f>
        <v/>
      </c>
      <c r="AH2" s="7">
        <f>G2*0.000680195+H2*0.000680195</f>
        <v/>
      </c>
      <c r="AI2" s="7">
        <f>H2*0.000680195+I2*0.000680195</f>
        <v/>
      </c>
      <c r="AJ2" s="7">
        <f>I2*0.000680195+J2*0.000680195</f>
        <v/>
      </c>
      <c r="AK2" s="7">
        <f>J2*0.000680195+K2*0.000680195</f>
        <v/>
      </c>
      <c r="AL2" s="7">
        <f>K2*0.000680195+L2*0.000680195</f>
        <v/>
      </c>
      <c r="AM2" s="7">
        <f>L2*0.000680195+M2*0.000680195</f>
        <v/>
      </c>
      <c r="AN2" s="7">
        <f>M2*0.000680195+N2*0.000680195</f>
        <v/>
      </c>
      <c r="AO2" s="7">
        <f>N2*0.000680195+O2*0.000680195</f>
        <v/>
      </c>
      <c r="AP2" s="7">
        <f>O2*0.000680195+P2*0.000680195</f>
        <v/>
      </c>
      <c r="AQ2" s="7">
        <f>P2*0.000680195+Q2*0.000680195</f>
        <v/>
      </c>
      <c r="AR2" s="7">
        <f>Q2*0.000680195+R2*0.000680195</f>
        <v/>
      </c>
      <c r="AS2" s="7">
        <f>R2*0.000680195+S2*0.000680195</f>
        <v/>
      </c>
      <c r="AT2" s="7">
        <f>S2*0.000680195+T2*0.000680195</f>
        <v/>
      </c>
      <c r="AU2" s="7">
        <f>T2*0.000680195+U2*0.000680195</f>
        <v/>
      </c>
      <c r="AV2" s="7">
        <f>U2*0.000680195+V2*0.000680195</f>
        <v/>
      </c>
      <c r="AW2" s="7">
        <f>V2*0.000680195+W2*0.000680195</f>
        <v/>
      </c>
      <c r="AX2" s="7">
        <f>W2*0.000680195+X2*0.000680195</f>
        <v/>
      </c>
      <c r="AY2" s="7">
        <f>X2*0.000680195+Y2*0.000680195</f>
        <v/>
      </c>
      <c r="AZ2" s="7">
        <f>Y2*0.000680195+Z2*0.000680195</f>
        <v/>
      </c>
      <c r="BA2" s="7">
        <f>Z2*0.000680195+AA2*0.000680195</f>
        <v/>
      </c>
      <c r="BB2" s="7">
        <f>SUM(AD2:BA2)</f>
        <v/>
      </c>
    </row>
    <row r="3">
      <c r="A3" t="inlineStr">
        <is>
          <t>AMD-AIR-NEW-SSC</t>
        </is>
      </c>
      <c r="B3" t="inlineStr">
        <is>
          <t>Forward Regular OSC</t>
        </is>
      </c>
      <c r="C3" s="5" t="n">
        <v>46094</v>
      </c>
      <c r="D3" s="6">
        <f>Summary!D3</f>
        <v/>
      </c>
      <c r="E3" s="6">
        <f>Summary!E3</f>
        <v/>
      </c>
      <c r="F3" s="6">
        <f>Summary!F3</f>
        <v/>
      </c>
      <c r="G3" s="6">
        <f>Summary!G3</f>
        <v/>
      </c>
      <c r="H3" s="6">
        <f>Summary!H3</f>
        <v/>
      </c>
      <c r="I3" s="6">
        <f>Summary!I3</f>
        <v/>
      </c>
      <c r="J3" s="6">
        <f>Summary!J3</f>
        <v/>
      </c>
      <c r="K3" s="6">
        <f>Summary!K3</f>
        <v/>
      </c>
      <c r="L3" s="6">
        <f>Summary!L3</f>
        <v/>
      </c>
      <c r="M3" s="6">
        <f>Summary!M3</f>
        <v/>
      </c>
      <c r="N3" s="6">
        <f>Summary!N3</f>
        <v/>
      </c>
      <c r="O3" s="6">
        <f>Summary!O3</f>
        <v/>
      </c>
      <c r="P3" s="6">
        <f>Summary!P3</f>
        <v/>
      </c>
      <c r="Q3" s="6">
        <f>Summary!Q3</f>
        <v/>
      </c>
      <c r="R3" s="6">
        <f>Summary!R3</f>
        <v/>
      </c>
      <c r="S3" s="6">
        <f>Summary!S3</f>
        <v/>
      </c>
      <c r="T3" s="6">
        <f>Summary!T3</f>
        <v/>
      </c>
      <c r="U3" s="6">
        <f>Summary!U3</f>
        <v/>
      </c>
      <c r="V3" s="6">
        <f>Summary!V3</f>
        <v/>
      </c>
      <c r="W3" s="6">
        <f>Summary!W3</f>
        <v/>
      </c>
      <c r="X3" s="6">
        <f>Summary!X3</f>
        <v/>
      </c>
      <c r="Y3" s="6">
        <f>Summary!Y3</f>
        <v/>
      </c>
      <c r="Z3" s="6">
        <f>Summary!Z3</f>
        <v/>
      </c>
      <c r="AA3" s="6">
        <f>Summary!AA3</f>
        <v/>
      </c>
      <c r="AB3" s="6">
        <f>SUM(D3:AA3)</f>
        <v/>
      </c>
      <c r="AC3" s="3" t="inlineStr"/>
      <c r="AD3" s="7">
        <f>AA3*0.000680195+D3*0.000680195</f>
        <v/>
      </c>
      <c r="AE3" s="7">
        <f>D3*0.000680195+E3*0.000680195</f>
        <v/>
      </c>
      <c r="AF3" s="7">
        <f>E3*0.000680195+F3*0.000680195</f>
        <v/>
      </c>
      <c r="AG3" s="7">
        <f>F3*0.000680195+G3*0.000680195</f>
        <v/>
      </c>
      <c r="AH3" s="7">
        <f>G3*0.000680195+H3*0.000680195</f>
        <v/>
      </c>
      <c r="AI3" s="7">
        <f>H3*0.000680195+I3*0.000680195</f>
        <v/>
      </c>
      <c r="AJ3" s="7">
        <f>I3*0.000680195+J3*0.000680195</f>
        <v/>
      </c>
      <c r="AK3" s="7">
        <f>J3*0.000680195+K3*0.000680195</f>
        <v/>
      </c>
      <c r="AL3" s="7">
        <f>K3*0.000680195+L3*0.000680195</f>
        <v/>
      </c>
      <c r="AM3" s="7">
        <f>L3*0.000680195+M3*0.000680195</f>
        <v/>
      </c>
      <c r="AN3" s="7">
        <f>M3*0.000680195+N3*0.000680195</f>
        <v/>
      </c>
      <c r="AO3" s="7">
        <f>N3*0.000680195+O3*0.000680195</f>
        <v/>
      </c>
      <c r="AP3" s="7">
        <f>O3*0.000680195+P3*0.000680195</f>
        <v/>
      </c>
      <c r="AQ3" s="7">
        <f>P3*0.000680195+Q3*0.000680195</f>
        <v/>
      </c>
      <c r="AR3" s="7">
        <f>Q3*0.000680195+R3*0.000680195</f>
        <v/>
      </c>
      <c r="AS3" s="7">
        <f>R3*0.000680195+S3*0.000680195</f>
        <v/>
      </c>
      <c r="AT3" s="7">
        <f>S3*0.000680195+T3*0.000680195</f>
        <v/>
      </c>
      <c r="AU3" s="7">
        <f>T3*0.000680195+U3*0.000680195</f>
        <v/>
      </c>
      <c r="AV3" s="7">
        <f>U3*0.000680195+V3*0.000680195</f>
        <v/>
      </c>
      <c r="AW3" s="7">
        <f>V3*0.000680195+W3*0.000680195</f>
        <v/>
      </c>
      <c r="AX3" s="7">
        <f>W3*0.000680195+X3*0.000680195</f>
        <v/>
      </c>
      <c r="AY3" s="7">
        <f>X3*0.000680195+Y3*0.000680195</f>
        <v/>
      </c>
      <c r="AZ3" s="7">
        <f>Y3*0.000680195+Z3*0.000680195</f>
        <v/>
      </c>
      <c r="BA3" s="7">
        <f>Z3*0.000680195+AA3*0.000680195</f>
        <v/>
      </c>
      <c r="BB3" s="7">
        <f>SUM(AD3:BA3)</f>
        <v/>
      </c>
    </row>
    <row r="4">
      <c r="A4" t="inlineStr">
        <is>
          <t>AMD-AIR-NEW-SSC</t>
        </is>
      </c>
      <c r="B4" t="inlineStr">
        <is>
          <t>Forward Regular OSC</t>
        </is>
      </c>
      <c r="C4" s="5" t="n">
        <v>46096</v>
      </c>
      <c r="D4" s="6">
        <f>Summary!D4</f>
        <v/>
      </c>
      <c r="E4" s="6">
        <f>Summary!E4</f>
        <v/>
      </c>
      <c r="F4" s="6">
        <f>Summary!F4</f>
        <v/>
      </c>
      <c r="G4" s="6">
        <f>Summary!G4</f>
        <v/>
      </c>
      <c r="H4" s="6">
        <f>Summary!H4</f>
        <v/>
      </c>
      <c r="I4" s="6">
        <f>Summary!I4</f>
        <v/>
      </c>
      <c r="J4" s="6">
        <f>Summary!J4</f>
        <v/>
      </c>
      <c r="K4" s="6">
        <f>Summary!K4</f>
        <v/>
      </c>
      <c r="L4" s="6">
        <f>Summary!L4</f>
        <v/>
      </c>
      <c r="M4" s="6">
        <f>Summary!M4</f>
        <v/>
      </c>
      <c r="N4" s="6">
        <f>Summary!N4</f>
        <v/>
      </c>
      <c r="O4" s="6">
        <f>Summary!O4</f>
        <v/>
      </c>
      <c r="P4" s="6">
        <f>Summary!P4</f>
        <v/>
      </c>
      <c r="Q4" s="6">
        <f>Summary!Q4</f>
        <v/>
      </c>
      <c r="R4" s="6">
        <f>Summary!R4</f>
        <v/>
      </c>
      <c r="S4" s="6">
        <f>Summary!S4</f>
        <v/>
      </c>
      <c r="T4" s="6">
        <f>Summary!T4</f>
        <v/>
      </c>
      <c r="U4" s="6">
        <f>Summary!U4</f>
        <v/>
      </c>
      <c r="V4" s="6">
        <f>Summary!V4</f>
        <v/>
      </c>
      <c r="W4" s="6">
        <f>Summary!W4</f>
        <v/>
      </c>
      <c r="X4" s="6">
        <f>Summary!X4</f>
        <v/>
      </c>
      <c r="Y4" s="6">
        <f>Summary!Y4</f>
        <v/>
      </c>
      <c r="Z4" s="6">
        <f>Summary!Z4</f>
        <v/>
      </c>
      <c r="AA4" s="6">
        <f>Summary!AA4</f>
        <v/>
      </c>
      <c r="AB4" s="6">
        <f>SUM(D4:AA4)</f>
        <v/>
      </c>
      <c r="AC4" s="3" t="inlineStr"/>
      <c r="AD4" s="7">
        <f>AA4*0.000680195+D4*0.000680195</f>
        <v/>
      </c>
      <c r="AE4" s="7">
        <f>D4*0.000680195+E4*0.000680195</f>
        <v/>
      </c>
      <c r="AF4" s="7">
        <f>E4*0.000680195+F4*0.000680195</f>
        <v/>
      </c>
      <c r="AG4" s="7">
        <f>F4*0.000680195+G4*0.000680195</f>
        <v/>
      </c>
      <c r="AH4" s="7">
        <f>G4*0.000680195+H4*0.000680195</f>
        <v/>
      </c>
      <c r="AI4" s="7">
        <f>H4*0.000680195+I4*0.000680195</f>
        <v/>
      </c>
      <c r="AJ4" s="7">
        <f>I4*0.000680195+J4*0.000680195</f>
        <v/>
      </c>
      <c r="AK4" s="7">
        <f>J4*0.000680195+K4*0.000680195</f>
        <v/>
      </c>
      <c r="AL4" s="7">
        <f>K4*0.000680195+L4*0.000680195</f>
        <v/>
      </c>
      <c r="AM4" s="7">
        <f>L4*0.000680195+M4*0.000680195</f>
        <v/>
      </c>
      <c r="AN4" s="7">
        <f>M4*0.000680195+N4*0.000680195</f>
        <v/>
      </c>
      <c r="AO4" s="7">
        <f>N4*0.000680195+O4*0.000680195</f>
        <v/>
      </c>
      <c r="AP4" s="7">
        <f>O4*0.000680195+P4*0.000680195</f>
        <v/>
      </c>
      <c r="AQ4" s="7">
        <f>P4*0.000680195+Q4*0.000680195</f>
        <v/>
      </c>
      <c r="AR4" s="7">
        <f>Q4*0.000680195+R4*0.000680195</f>
        <v/>
      </c>
      <c r="AS4" s="7">
        <f>R4*0.000680195+S4*0.000680195</f>
        <v/>
      </c>
      <c r="AT4" s="7">
        <f>S4*0.000680195+T4*0.000680195</f>
        <v/>
      </c>
      <c r="AU4" s="7">
        <f>T4*0.000680195+U4*0.000680195</f>
        <v/>
      </c>
      <c r="AV4" s="7">
        <f>U4*0.000680195+V4*0.000680195</f>
        <v/>
      </c>
      <c r="AW4" s="7">
        <f>V4*0.000680195+W4*0.000680195</f>
        <v/>
      </c>
      <c r="AX4" s="7">
        <f>W4*0.000680195+X4*0.000680195</f>
        <v/>
      </c>
      <c r="AY4" s="7">
        <f>X4*0.000680195+Y4*0.000680195</f>
        <v/>
      </c>
      <c r="AZ4" s="7">
        <f>Y4*0.000680195+Z4*0.000680195</f>
        <v/>
      </c>
      <c r="BA4" s="7">
        <f>Z4*0.000680195+AA4*0.000680195</f>
        <v/>
      </c>
      <c r="BB4" s="7">
        <f>SUM(AD4:BA4)</f>
        <v/>
      </c>
    </row>
    <row r="5">
      <c r="A5" t="inlineStr">
        <is>
          <t>AMD-AIR-NEW-SSC</t>
        </is>
      </c>
      <c r="B5" t="inlineStr">
        <is>
          <t>Forward Regular OSC</t>
        </is>
      </c>
      <c r="C5" s="5" t="n">
        <v>46097</v>
      </c>
      <c r="D5" s="6">
        <f>Summary!D5</f>
        <v/>
      </c>
      <c r="E5" s="6">
        <f>Summary!E5</f>
        <v/>
      </c>
      <c r="F5" s="6">
        <f>Summary!F5</f>
        <v/>
      </c>
      <c r="G5" s="6">
        <f>Summary!G5</f>
        <v/>
      </c>
      <c r="H5" s="6">
        <f>Summary!H5</f>
        <v/>
      </c>
      <c r="I5" s="6">
        <f>Summary!I5</f>
        <v/>
      </c>
      <c r="J5" s="6">
        <f>Summary!J5</f>
        <v/>
      </c>
      <c r="K5" s="6">
        <f>Summary!K5</f>
        <v/>
      </c>
      <c r="L5" s="6">
        <f>Summary!L5</f>
        <v/>
      </c>
      <c r="M5" s="6">
        <f>Summary!M5</f>
        <v/>
      </c>
      <c r="N5" s="6">
        <f>Summary!N5</f>
        <v/>
      </c>
      <c r="O5" s="6">
        <f>Summary!O5</f>
        <v/>
      </c>
      <c r="P5" s="6">
        <f>Summary!P5</f>
        <v/>
      </c>
      <c r="Q5" s="6">
        <f>Summary!Q5</f>
        <v/>
      </c>
      <c r="R5" s="6">
        <f>Summary!R5</f>
        <v/>
      </c>
      <c r="S5" s="6">
        <f>Summary!S5</f>
        <v/>
      </c>
      <c r="T5" s="6">
        <f>Summary!T5</f>
        <v/>
      </c>
      <c r="U5" s="6">
        <f>Summary!U5</f>
        <v/>
      </c>
      <c r="V5" s="6">
        <f>Summary!V5</f>
        <v/>
      </c>
      <c r="W5" s="6">
        <f>Summary!W5</f>
        <v/>
      </c>
      <c r="X5" s="6">
        <f>Summary!X5</f>
        <v/>
      </c>
      <c r="Y5" s="6">
        <f>Summary!Y5</f>
        <v/>
      </c>
      <c r="Z5" s="6">
        <f>Summary!Z5</f>
        <v/>
      </c>
      <c r="AA5" s="6">
        <f>Summary!AA5</f>
        <v/>
      </c>
      <c r="AB5" s="6">
        <f>SUM(D5:AA5)</f>
        <v/>
      </c>
      <c r="AC5" s="3" t="inlineStr"/>
      <c r="AD5" s="7">
        <f>AA5*0.000680195+D5*0.000680195</f>
        <v/>
      </c>
      <c r="AE5" s="7">
        <f>D5*0.000680195+E5*0.000680195</f>
        <v/>
      </c>
      <c r="AF5" s="7">
        <f>E5*0.000680195+F5*0.000680195</f>
        <v/>
      </c>
      <c r="AG5" s="7">
        <f>F5*0.000680195+G5*0.000680195</f>
        <v/>
      </c>
      <c r="AH5" s="7">
        <f>G5*0.000680195+H5*0.000680195</f>
        <v/>
      </c>
      <c r="AI5" s="7">
        <f>H5*0.000680195+I5*0.000680195</f>
        <v/>
      </c>
      <c r="AJ5" s="7">
        <f>I5*0.000680195+J5*0.000680195</f>
        <v/>
      </c>
      <c r="AK5" s="7">
        <f>J5*0.000680195+K5*0.000680195</f>
        <v/>
      </c>
      <c r="AL5" s="7">
        <f>K5*0.000680195+L5*0.000680195</f>
        <v/>
      </c>
      <c r="AM5" s="7">
        <f>L5*0.000680195+M5*0.000680195</f>
        <v/>
      </c>
      <c r="AN5" s="7">
        <f>M5*0.000680195+N5*0.000680195</f>
        <v/>
      </c>
      <c r="AO5" s="7">
        <f>N5*0.000680195+O5*0.000680195</f>
        <v/>
      </c>
      <c r="AP5" s="7">
        <f>O5*0.000680195+P5*0.000680195</f>
        <v/>
      </c>
      <c r="AQ5" s="7">
        <f>P5*0.000680195+Q5*0.000680195</f>
        <v/>
      </c>
      <c r="AR5" s="7">
        <f>Q5*0.000680195+R5*0.000680195</f>
        <v/>
      </c>
      <c r="AS5" s="7">
        <f>R5*0.000680195+S5*0.000680195</f>
        <v/>
      </c>
      <c r="AT5" s="7">
        <f>S5*0.000680195+T5*0.000680195</f>
        <v/>
      </c>
      <c r="AU5" s="7">
        <f>T5*0.000680195+U5*0.000680195</f>
        <v/>
      </c>
      <c r="AV5" s="7">
        <f>U5*0.000680195+V5*0.000680195</f>
        <v/>
      </c>
      <c r="AW5" s="7">
        <f>V5*0.000680195+W5*0.000680195</f>
        <v/>
      </c>
      <c r="AX5" s="7">
        <f>W5*0.000680195+X5*0.000680195</f>
        <v/>
      </c>
      <c r="AY5" s="7">
        <f>X5*0.000680195+Y5*0.000680195</f>
        <v/>
      </c>
      <c r="AZ5" s="7">
        <f>Y5*0.000680195+Z5*0.000680195</f>
        <v/>
      </c>
      <c r="BA5" s="7">
        <f>Z5*0.000680195+AA5*0.000680195</f>
        <v/>
      </c>
      <c r="BB5" s="7">
        <f>SUM(AD5:BA5)</f>
        <v/>
      </c>
    </row>
    <row r="6">
      <c r="A6" t="inlineStr">
        <is>
          <t>AMD-AIR-NEW-SSC</t>
        </is>
      </c>
      <c r="B6" t="inlineStr">
        <is>
          <t>Forward Regular OSC</t>
        </is>
      </c>
      <c r="C6" s="5" t="n">
        <v>46100</v>
      </c>
      <c r="D6" s="6">
        <f>Summary!D6</f>
        <v/>
      </c>
      <c r="E6" s="6">
        <f>Summary!E6</f>
        <v/>
      </c>
      <c r="F6" s="6">
        <f>Summary!F6</f>
        <v/>
      </c>
      <c r="G6" s="6">
        <f>Summary!G6</f>
        <v/>
      </c>
      <c r="H6" s="6">
        <f>Summary!H6</f>
        <v/>
      </c>
      <c r="I6" s="6">
        <f>Summary!I6</f>
        <v/>
      </c>
      <c r="J6" s="6">
        <f>Summary!J6</f>
        <v/>
      </c>
      <c r="K6" s="6">
        <f>Summary!K6</f>
        <v/>
      </c>
      <c r="L6" s="6">
        <f>Summary!L6</f>
        <v/>
      </c>
      <c r="M6" s="6">
        <f>Summary!M6</f>
        <v/>
      </c>
      <c r="N6" s="6">
        <f>Summary!N6</f>
        <v/>
      </c>
      <c r="O6" s="6">
        <f>Summary!O6</f>
        <v/>
      </c>
      <c r="P6" s="6">
        <f>Summary!P6</f>
        <v/>
      </c>
      <c r="Q6" s="6">
        <f>Summary!Q6</f>
        <v/>
      </c>
      <c r="R6" s="6">
        <f>Summary!R6</f>
        <v/>
      </c>
      <c r="S6" s="6">
        <f>Summary!S6</f>
        <v/>
      </c>
      <c r="T6" s="6">
        <f>Summary!T6</f>
        <v/>
      </c>
      <c r="U6" s="6">
        <f>Summary!U6</f>
        <v/>
      </c>
      <c r="V6" s="6">
        <f>Summary!V6</f>
        <v/>
      </c>
      <c r="W6" s="6">
        <f>Summary!W6</f>
        <v/>
      </c>
      <c r="X6" s="6">
        <f>Summary!X6</f>
        <v/>
      </c>
      <c r="Y6" s="6">
        <f>Summary!Y6</f>
        <v/>
      </c>
      <c r="Z6" s="6">
        <f>Summary!Z6</f>
        <v/>
      </c>
      <c r="AA6" s="6">
        <f>Summary!AA6</f>
        <v/>
      </c>
      <c r="AB6" s="6">
        <f>SUM(D6:AA6)</f>
        <v/>
      </c>
      <c r="AC6" s="3" t="inlineStr"/>
      <c r="AD6" s="7">
        <f>AA6*0.000680195+D6*0.000680195</f>
        <v/>
      </c>
      <c r="AE6" s="7">
        <f>D6*0.000680195+E6*0.000680195</f>
        <v/>
      </c>
      <c r="AF6" s="7">
        <f>E6*0.000680195+F6*0.000680195</f>
        <v/>
      </c>
      <c r="AG6" s="7">
        <f>F6*0.000680195+G6*0.000680195</f>
        <v/>
      </c>
      <c r="AH6" s="7">
        <f>G6*0.000680195+H6*0.000680195</f>
        <v/>
      </c>
      <c r="AI6" s="7">
        <f>H6*0.000680195+I6*0.000680195</f>
        <v/>
      </c>
      <c r="AJ6" s="7">
        <f>I6*0.000680195+J6*0.000680195</f>
        <v/>
      </c>
      <c r="AK6" s="7">
        <f>J6*0.000680195+K6*0.000680195</f>
        <v/>
      </c>
      <c r="AL6" s="7">
        <f>K6*0.000680195+L6*0.000680195</f>
        <v/>
      </c>
      <c r="AM6" s="7">
        <f>L6*0.000680195+M6*0.000680195</f>
        <v/>
      </c>
      <c r="AN6" s="7">
        <f>M6*0.000680195+N6*0.000680195</f>
        <v/>
      </c>
      <c r="AO6" s="7">
        <f>N6*0.000680195+O6*0.000680195</f>
        <v/>
      </c>
      <c r="AP6" s="7">
        <f>O6*0.000680195+P6*0.000680195</f>
        <v/>
      </c>
      <c r="AQ6" s="7">
        <f>P6*0.000680195+Q6*0.000680195</f>
        <v/>
      </c>
      <c r="AR6" s="7">
        <f>Q6*0.000680195+R6*0.000680195</f>
        <v/>
      </c>
      <c r="AS6" s="7">
        <f>R6*0.000680195+S6*0.000680195</f>
        <v/>
      </c>
      <c r="AT6" s="7">
        <f>S6*0.000680195+T6*0.000680195</f>
        <v/>
      </c>
      <c r="AU6" s="7">
        <f>T6*0.000680195+U6*0.000680195</f>
        <v/>
      </c>
      <c r="AV6" s="7">
        <f>U6*0.000680195+V6*0.000680195</f>
        <v/>
      </c>
      <c r="AW6" s="7">
        <f>V6*0.000680195+W6*0.000680195</f>
        <v/>
      </c>
      <c r="AX6" s="7">
        <f>W6*0.000680195+X6*0.000680195</f>
        <v/>
      </c>
      <c r="AY6" s="7">
        <f>X6*0.000680195+Y6*0.000680195</f>
        <v/>
      </c>
      <c r="AZ6" s="7">
        <f>Y6*0.000680195+Z6*0.000680195</f>
        <v/>
      </c>
      <c r="BA6" s="7">
        <f>Z6*0.000680195+AA6*0.000680195</f>
        <v/>
      </c>
      <c r="BB6" s="7">
        <f>SUM(AD6:BA6)</f>
        <v/>
      </c>
    </row>
    <row r="7">
      <c r="A7" t="inlineStr">
        <is>
          <t>AMD-AIR-NEW-SSC</t>
        </is>
      </c>
      <c r="B7" t="inlineStr">
        <is>
          <t>Forward Regular OSC</t>
        </is>
      </c>
      <c r="C7" s="5" t="n">
        <v>46101</v>
      </c>
      <c r="D7" s="6">
        <f>Summary!D7</f>
        <v/>
      </c>
      <c r="E7" s="6">
        <f>Summary!E7</f>
        <v/>
      </c>
      <c r="F7" s="6">
        <f>Summary!F7</f>
        <v/>
      </c>
      <c r="G7" s="6">
        <f>Summary!G7</f>
        <v/>
      </c>
      <c r="H7" s="6">
        <f>Summary!H7</f>
        <v/>
      </c>
      <c r="I7" s="6">
        <f>Summary!I7</f>
        <v/>
      </c>
      <c r="J7" s="6">
        <f>Summary!J7</f>
        <v/>
      </c>
      <c r="K7" s="6">
        <f>Summary!K7</f>
        <v/>
      </c>
      <c r="L7" s="6">
        <f>Summary!L7</f>
        <v/>
      </c>
      <c r="M7" s="6">
        <f>Summary!M7</f>
        <v/>
      </c>
      <c r="N7" s="6">
        <f>Summary!N7</f>
        <v/>
      </c>
      <c r="O7" s="6">
        <f>Summary!O7</f>
        <v/>
      </c>
      <c r="P7" s="6">
        <f>Summary!P7</f>
        <v/>
      </c>
      <c r="Q7" s="6">
        <f>Summary!Q7</f>
        <v/>
      </c>
      <c r="R7" s="6">
        <f>Summary!R7</f>
        <v/>
      </c>
      <c r="S7" s="6">
        <f>Summary!S7</f>
        <v/>
      </c>
      <c r="T7" s="6">
        <f>Summary!T7</f>
        <v/>
      </c>
      <c r="U7" s="6">
        <f>Summary!U7</f>
        <v/>
      </c>
      <c r="V7" s="6">
        <f>Summary!V7</f>
        <v/>
      </c>
      <c r="W7" s="6">
        <f>Summary!W7</f>
        <v/>
      </c>
      <c r="X7" s="6">
        <f>Summary!X7</f>
        <v/>
      </c>
      <c r="Y7" s="6">
        <f>Summary!Y7</f>
        <v/>
      </c>
      <c r="Z7" s="6">
        <f>Summary!Z7</f>
        <v/>
      </c>
      <c r="AA7" s="6">
        <f>Summary!AA7</f>
        <v/>
      </c>
      <c r="AB7" s="6">
        <f>SUM(D7:AA7)</f>
        <v/>
      </c>
      <c r="AC7" s="3" t="inlineStr"/>
      <c r="AD7" s="7">
        <f>AA7*0.000680195+D7*0.000680195</f>
        <v/>
      </c>
      <c r="AE7" s="7">
        <f>D7*0.000680195+E7*0.000680195</f>
        <v/>
      </c>
      <c r="AF7" s="7">
        <f>E7*0.000680195+F7*0.000680195</f>
        <v/>
      </c>
      <c r="AG7" s="7">
        <f>F7*0.000680195+G7*0.000680195</f>
        <v/>
      </c>
      <c r="AH7" s="7">
        <f>G7*0.000680195+H7*0.000680195</f>
        <v/>
      </c>
      <c r="AI7" s="7">
        <f>H7*0.000680195+I7*0.000680195</f>
        <v/>
      </c>
      <c r="AJ7" s="7">
        <f>I7*0.000680195+J7*0.000680195</f>
        <v/>
      </c>
      <c r="AK7" s="7">
        <f>J7*0.000680195+K7*0.000680195</f>
        <v/>
      </c>
      <c r="AL7" s="7">
        <f>K7*0.000680195+L7*0.000680195</f>
        <v/>
      </c>
      <c r="AM7" s="7">
        <f>L7*0.000680195+M7*0.000680195</f>
        <v/>
      </c>
      <c r="AN7" s="7">
        <f>M7*0.000680195+N7*0.000680195</f>
        <v/>
      </c>
      <c r="AO7" s="7">
        <f>N7*0.000680195+O7*0.000680195</f>
        <v/>
      </c>
      <c r="AP7" s="7">
        <f>O7*0.000680195+P7*0.000680195</f>
        <v/>
      </c>
      <c r="AQ7" s="7">
        <f>P7*0.000680195+Q7*0.000680195</f>
        <v/>
      </c>
      <c r="AR7" s="7">
        <f>Q7*0.000680195+R7*0.000680195</f>
        <v/>
      </c>
      <c r="AS7" s="7">
        <f>R7*0.000680195+S7*0.000680195</f>
        <v/>
      </c>
      <c r="AT7" s="7">
        <f>S7*0.000680195+T7*0.000680195</f>
        <v/>
      </c>
      <c r="AU7" s="7">
        <f>T7*0.000680195+U7*0.000680195</f>
        <v/>
      </c>
      <c r="AV7" s="7">
        <f>U7*0.000680195+V7*0.000680195</f>
        <v/>
      </c>
      <c r="AW7" s="7">
        <f>V7*0.000680195+W7*0.000680195</f>
        <v/>
      </c>
      <c r="AX7" s="7">
        <f>W7*0.000680195+X7*0.000680195</f>
        <v/>
      </c>
      <c r="AY7" s="7">
        <f>X7*0.000680195+Y7*0.000680195</f>
        <v/>
      </c>
      <c r="AZ7" s="7">
        <f>Y7*0.000680195+Z7*0.000680195</f>
        <v/>
      </c>
      <c r="BA7" s="7">
        <f>Z7*0.000680195+AA7*0.000680195</f>
        <v/>
      </c>
      <c r="BB7" s="7">
        <f>SUM(AD7:BA7)</f>
        <v/>
      </c>
    </row>
    <row r="8">
      <c r="A8" t="inlineStr">
        <is>
          <t>AMD-AIR-NEW-SSC</t>
        </is>
      </c>
      <c r="B8" t="inlineStr">
        <is>
          <t>Forward Regular OSC</t>
        </is>
      </c>
      <c r="C8" s="5" t="n">
        <v>46102</v>
      </c>
      <c r="D8" s="6">
        <f>Summary!D8</f>
        <v/>
      </c>
      <c r="E8" s="6">
        <f>Summary!E8</f>
        <v/>
      </c>
      <c r="F8" s="6">
        <f>Summary!F8</f>
        <v/>
      </c>
      <c r="G8" s="6">
        <f>Summary!G8</f>
        <v/>
      </c>
      <c r="H8" s="6">
        <f>Summary!H8</f>
        <v/>
      </c>
      <c r="I8" s="6">
        <f>Summary!I8</f>
        <v/>
      </c>
      <c r="J8" s="6">
        <f>Summary!J8</f>
        <v/>
      </c>
      <c r="K8" s="6">
        <f>Summary!K8</f>
        <v/>
      </c>
      <c r="L8" s="6">
        <f>Summary!L8</f>
        <v/>
      </c>
      <c r="M8" s="6">
        <f>Summary!M8</f>
        <v/>
      </c>
      <c r="N8" s="6">
        <f>Summary!N8</f>
        <v/>
      </c>
      <c r="O8" s="6">
        <f>Summary!O8</f>
        <v/>
      </c>
      <c r="P8" s="6">
        <f>Summary!P8</f>
        <v/>
      </c>
      <c r="Q8" s="6">
        <f>Summary!Q8</f>
        <v/>
      </c>
      <c r="R8" s="6">
        <f>Summary!R8</f>
        <v/>
      </c>
      <c r="S8" s="6">
        <f>Summary!S8</f>
        <v/>
      </c>
      <c r="T8" s="6">
        <f>Summary!T8</f>
        <v/>
      </c>
      <c r="U8" s="6">
        <f>Summary!U8</f>
        <v/>
      </c>
      <c r="V8" s="6">
        <f>Summary!V8</f>
        <v/>
      </c>
      <c r="W8" s="6">
        <f>Summary!W8</f>
        <v/>
      </c>
      <c r="X8" s="6">
        <f>Summary!X8</f>
        <v/>
      </c>
      <c r="Y8" s="6">
        <f>Summary!Y8</f>
        <v/>
      </c>
      <c r="Z8" s="6">
        <f>Summary!Z8</f>
        <v/>
      </c>
      <c r="AA8" s="6">
        <f>Summary!AA8</f>
        <v/>
      </c>
      <c r="AB8" s="6">
        <f>SUM(D8:AA8)</f>
        <v/>
      </c>
      <c r="AC8" s="3" t="inlineStr"/>
      <c r="AD8" s="7">
        <f>AA8*0.000680195+D8*0.000680195</f>
        <v/>
      </c>
      <c r="AE8" s="7">
        <f>D8*0.000680195+E8*0.000680195</f>
        <v/>
      </c>
      <c r="AF8" s="7">
        <f>E8*0.000680195+F8*0.000680195</f>
        <v/>
      </c>
      <c r="AG8" s="7">
        <f>F8*0.000680195+G8*0.000680195</f>
        <v/>
      </c>
      <c r="AH8" s="7">
        <f>G8*0.000680195+H8*0.000680195</f>
        <v/>
      </c>
      <c r="AI8" s="7">
        <f>H8*0.000680195+I8*0.000680195</f>
        <v/>
      </c>
      <c r="AJ8" s="7">
        <f>I8*0.000680195+J8*0.000680195</f>
        <v/>
      </c>
      <c r="AK8" s="7">
        <f>J8*0.000680195+K8*0.000680195</f>
        <v/>
      </c>
      <c r="AL8" s="7">
        <f>K8*0.000680195+L8*0.000680195</f>
        <v/>
      </c>
      <c r="AM8" s="7">
        <f>L8*0.000680195+M8*0.000680195</f>
        <v/>
      </c>
      <c r="AN8" s="7">
        <f>M8*0.000680195+N8*0.000680195</f>
        <v/>
      </c>
      <c r="AO8" s="7">
        <f>N8*0.000680195+O8*0.000680195</f>
        <v/>
      </c>
      <c r="AP8" s="7">
        <f>O8*0.000680195+P8*0.000680195</f>
        <v/>
      </c>
      <c r="AQ8" s="7">
        <f>P8*0.000680195+Q8*0.000680195</f>
        <v/>
      </c>
      <c r="AR8" s="7">
        <f>Q8*0.000680195+R8*0.000680195</f>
        <v/>
      </c>
      <c r="AS8" s="7">
        <f>R8*0.000680195+S8*0.000680195</f>
        <v/>
      </c>
      <c r="AT8" s="7">
        <f>S8*0.000680195+T8*0.000680195</f>
        <v/>
      </c>
      <c r="AU8" s="7">
        <f>T8*0.000680195+U8*0.000680195</f>
        <v/>
      </c>
      <c r="AV8" s="7">
        <f>U8*0.000680195+V8*0.000680195</f>
        <v/>
      </c>
      <c r="AW8" s="7">
        <f>V8*0.000680195+W8*0.000680195</f>
        <v/>
      </c>
      <c r="AX8" s="7">
        <f>W8*0.000680195+X8*0.000680195</f>
        <v/>
      </c>
      <c r="AY8" s="7">
        <f>X8*0.000680195+Y8*0.000680195</f>
        <v/>
      </c>
      <c r="AZ8" s="7">
        <f>Y8*0.000680195+Z8*0.000680195</f>
        <v/>
      </c>
      <c r="BA8" s="7">
        <f>Z8*0.000680195+AA8*0.000680195</f>
        <v/>
      </c>
      <c r="BB8" s="7">
        <f>SUM(AD8:BA8)</f>
        <v/>
      </c>
    </row>
    <row r="9">
      <c r="A9" t="inlineStr">
        <is>
          <t>AMD-AIR-NEW-SSC</t>
        </is>
      </c>
      <c r="B9" t="inlineStr">
        <is>
          <t>Forward Regular OSC</t>
        </is>
      </c>
      <c r="C9" s="5" t="n">
        <v>46103</v>
      </c>
      <c r="D9" s="6">
        <f>Summary!D9</f>
        <v/>
      </c>
      <c r="E9" s="6">
        <f>Summary!E9</f>
        <v/>
      </c>
      <c r="F9" s="6">
        <f>Summary!F9</f>
        <v/>
      </c>
      <c r="G9" s="6">
        <f>Summary!G9</f>
        <v/>
      </c>
      <c r="H9" s="6">
        <f>Summary!H9</f>
        <v/>
      </c>
      <c r="I9" s="6">
        <f>Summary!I9</f>
        <v/>
      </c>
      <c r="J9" s="6">
        <f>Summary!J9</f>
        <v/>
      </c>
      <c r="K9" s="6">
        <f>Summary!K9</f>
        <v/>
      </c>
      <c r="L9" s="6">
        <f>Summary!L9</f>
        <v/>
      </c>
      <c r="M9" s="6">
        <f>Summary!M9</f>
        <v/>
      </c>
      <c r="N9" s="6">
        <f>Summary!N9</f>
        <v/>
      </c>
      <c r="O9" s="6">
        <f>Summary!O9</f>
        <v/>
      </c>
      <c r="P9" s="6">
        <f>Summary!P9</f>
        <v/>
      </c>
      <c r="Q9" s="6">
        <f>Summary!Q9</f>
        <v/>
      </c>
      <c r="R9" s="6">
        <f>Summary!R9</f>
        <v/>
      </c>
      <c r="S9" s="6">
        <f>Summary!S9</f>
        <v/>
      </c>
      <c r="T9" s="6">
        <f>Summary!T9</f>
        <v/>
      </c>
      <c r="U9" s="6">
        <f>Summary!U9</f>
        <v/>
      </c>
      <c r="V9" s="6">
        <f>Summary!V9</f>
        <v/>
      </c>
      <c r="W9" s="6">
        <f>Summary!W9</f>
        <v/>
      </c>
      <c r="X9" s="6">
        <f>Summary!X9</f>
        <v/>
      </c>
      <c r="Y9" s="6">
        <f>Summary!Y9</f>
        <v/>
      </c>
      <c r="Z9" s="6">
        <f>Summary!Z9</f>
        <v/>
      </c>
      <c r="AA9" s="6">
        <f>Summary!AA9</f>
        <v/>
      </c>
      <c r="AB9" s="6">
        <f>SUM(D9:AA9)</f>
        <v/>
      </c>
      <c r="AC9" s="3" t="inlineStr"/>
      <c r="AD9" s="7">
        <f>AA9*0.000680195+D9*0.000680195</f>
        <v/>
      </c>
      <c r="AE9" s="7">
        <f>D9*0.000680195+E9*0.000680195</f>
        <v/>
      </c>
      <c r="AF9" s="7">
        <f>E9*0.000680195+F9*0.000680195</f>
        <v/>
      </c>
      <c r="AG9" s="7">
        <f>F9*0.000680195+G9*0.000680195</f>
        <v/>
      </c>
      <c r="AH9" s="7">
        <f>G9*0.000680195+H9*0.000680195</f>
        <v/>
      </c>
      <c r="AI9" s="7">
        <f>H9*0.000680195+I9*0.000680195</f>
        <v/>
      </c>
      <c r="AJ9" s="7">
        <f>I9*0.000680195+J9*0.000680195</f>
        <v/>
      </c>
      <c r="AK9" s="7">
        <f>J9*0.000680195+K9*0.000680195</f>
        <v/>
      </c>
      <c r="AL9" s="7">
        <f>K9*0.000680195+L9*0.000680195</f>
        <v/>
      </c>
      <c r="AM9" s="7">
        <f>L9*0.000680195+M9*0.000680195</f>
        <v/>
      </c>
      <c r="AN9" s="7">
        <f>M9*0.000680195+N9*0.000680195</f>
        <v/>
      </c>
      <c r="AO9" s="7">
        <f>N9*0.000680195+O9*0.000680195</f>
        <v/>
      </c>
      <c r="AP9" s="7">
        <f>O9*0.000680195+P9*0.000680195</f>
        <v/>
      </c>
      <c r="AQ9" s="7">
        <f>P9*0.000680195+Q9*0.000680195</f>
        <v/>
      </c>
      <c r="AR9" s="7">
        <f>Q9*0.000680195+R9*0.000680195</f>
        <v/>
      </c>
      <c r="AS9" s="7">
        <f>R9*0.000680195+S9*0.000680195</f>
        <v/>
      </c>
      <c r="AT9" s="7">
        <f>S9*0.000680195+T9*0.000680195</f>
        <v/>
      </c>
      <c r="AU9" s="7">
        <f>T9*0.000680195+U9*0.000680195</f>
        <v/>
      </c>
      <c r="AV9" s="7">
        <f>U9*0.000680195+V9*0.000680195</f>
        <v/>
      </c>
      <c r="AW9" s="7">
        <f>V9*0.000680195+W9*0.000680195</f>
        <v/>
      </c>
      <c r="AX9" s="7">
        <f>W9*0.000680195+X9*0.000680195</f>
        <v/>
      </c>
      <c r="AY9" s="7">
        <f>X9*0.000680195+Y9*0.000680195</f>
        <v/>
      </c>
      <c r="AZ9" s="7">
        <f>Y9*0.000680195+Z9*0.000680195</f>
        <v/>
      </c>
      <c r="BA9" s="7">
        <f>Z9*0.000680195+AA9*0.000680195</f>
        <v/>
      </c>
      <c r="BB9" s="7">
        <f>SUM(AD9:BA9)</f>
        <v/>
      </c>
    </row>
    <row r="10">
      <c r="A10" t="inlineStr">
        <is>
          <t>AMD-AIR-NEW-SSC</t>
        </is>
      </c>
      <c r="B10" t="inlineStr">
        <is>
          <t>Forward Regular OSC</t>
        </is>
      </c>
      <c r="C10" s="5" t="n">
        <v>46104</v>
      </c>
      <c r="D10" s="6">
        <f>Summary!D10</f>
        <v/>
      </c>
      <c r="E10" s="6">
        <f>Summary!E10</f>
        <v/>
      </c>
      <c r="F10" s="6">
        <f>Summary!F10</f>
        <v/>
      </c>
      <c r="G10" s="6">
        <f>Summary!G10</f>
        <v/>
      </c>
      <c r="H10" s="6">
        <f>Summary!H10</f>
        <v/>
      </c>
      <c r="I10" s="6">
        <f>Summary!I10</f>
        <v/>
      </c>
      <c r="J10" s="6">
        <f>Summary!J10</f>
        <v/>
      </c>
      <c r="K10" s="6">
        <f>Summary!K10</f>
        <v/>
      </c>
      <c r="L10" s="6">
        <f>Summary!L10</f>
        <v/>
      </c>
      <c r="M10" s="6">
        <f>Summary!M10</f>
        <v/>
      </c>
      <c r="N10" s="6">
        <f>Summary!N10</f>
        <v/>
      </c>
      <c r="O10" s="6">
        <f>Summary!O10</f>
        <v/>
      </c>
      <c r="P10" s="6">
        <f>Summary!P10</f>
        <v/>
      </c>
      <c r="Q10" s="6">
        <f>Summary!Q10</f>
        <v/>
      </c>
      <c r="R10" s="6">
        <f>Summary!R10</f>
        <v/>
      </c>
      <c r="S10" s="6">
        <f>Summary!S10</f>
        <v/>
      </c>
      <c r="T10" s="6">
        <f>Summary!T10</f>
        <v/>
      </c>
      <c r="U10" s="6">
        <f>Summary!U10</f>
        <v/>
      </c>
      <c r="V10" s="6">
        <f>Summary!V10</f>
        <v/>
      </c>
      <c r="W10" s="6">
        <f>Summary!W10</f>
        <v/>
      </c>
      <c r="X10" s="6">
        <f>Summary!X10</f>
        <v/>
      </c>
      <c r="Y10" s="6">
        <f>Summary!Y10</f>
        <v/>
      </c>
      <c r="Z10" s="6">
        <f>Summary!Z10</f>
        <v/>
      </c>
      <c r="AA10" s="6">
        <f>Summary!AA10</f>
        <v/>
      </c>
      <c r="AB10" s="6">
        <f>SUM(D10:AA10)</f>
        <v/>
      </c>
      <c r="AC10" s="3" t="inlineStr"/>
      <c r="AD10" s="7">
        <f>AA10*0.000680195+D10*0.000680195</f>
        <v/>
      </c>
      <c r="AE10" s="7">
        <f>D10*0.000680195+E10*0.000680195</f>
        <v/>
      </c>
      <c r="AF10" s="7">
        <f>E10*0.000680195+F10*0.000680195</f>
        <v/>
      </c>
      <c r="AG10" s="7">
        <f>F10*0.000680195+G10*0.000680195</f>
        <v/>
      </c>
      <c r="AH10" s="7">
        <f>G10*0.000680195+H10*0.000680195</f>
        <v/>
      </c>
      <c r="AI10" s="7">
        <f>H10*0.000680195+I10*0.000680195</f>
        <v/>
      </c>
      <c r="AJ10" s="7">
        <f>I10*0.000680195+J10*0.000680195</f>
        <v/>
      </c>
      <c r="AK10" s="7">
        <f>J10*0.000680195+K10*0.000680195</f>
        <v/>
      </c>
      <c r="AL10" s="7">
        <f>K10*0.000680195+L10*0.000680195</f>
        <v/>
      </c>
      <c r="AM10" s="7">
        <f>L10*0.000680195+M10*0.000680195</f>
        <v/>
      </c>
      <c r="AN10" s="7">
        <f>M10*0.000680195+N10*0.000680195</f>
        <v/>
      </c>
      <c r="AO10" s="7">
        <f>N10*0.000680195+O10*0.000680195</f>
        <v/>
      </c>
      <c r="AP10" s="7">
        <f>O10*0.000680195+P10*0.000680195</f>
        <v/>
      </c>
      <c r="AQ10" s="7">
        <f>P10*0.000680195+Q10*0.000680195</f>
        <v/>
      </c>
      <c r="AR10" s="7">
        <f>Q10*0.000680195+R10*0.000680195</f>
        <v/>
      </c>
      <c r="AS10" s="7">
        <f>R10*0.000680195+S10*0.000680195</f>
        <v/>
      </c>
      <c r="AT10" s="7">
        <f>S10*0.000680195+T10*0.000680195</f>
        <v/>
      </c>
      <c r="AU10" s="7">
        <f>T10*0.000680195+U10*0.000680195</f>
        <v/>
      </c>
      <c r="AV10" s="7">
        <f>U10*0.000680195+V10*0.000680195</f>
        <v/>
      </c>
      <c r="AW10" s="7">
        <f>V10*0.000680195+W10*0.000680195</f>
        <v/>
      </c>
      <c r="AX10" s="7">
        <f>W10*0.000680195+X10*0.000680195</f>
        <v/>
      </c>
      <c r="AY10" s="7">
        <f>X10*0.000680195+Y10*0.000680195</f>
        <v/>
      </c>
      <c r="AZ10" s="7">
        <f>Y10*0.000680195+Z10*0.000680195</f>
        <v/>
      </c>
      <c r="BA10" s="7">
        <f>Z10*0.000680195+AA10*0.000680195</f>
        <v/>
      </c>
      <c r="BB10" s="7">
        <f>SUM(AD10:BA10)</f>
        <v/>
      </c>
    </row>
    <row r="11">
      <c r="A11" t="inlineStr">
        <is>
          <t>AMD-EXPR</t>
        </is>
      </c>
      <c r="B11" t="inlineStr">
        <is>
          <t>DSC Manual</t>
        </is>
      </c>
      <c r="C11" s="5" t="n">
        <v>46089</v>
      </c>
      <c r="D11" s="6">
        <f>Summary!D11</f>
        <v/>
      </c>
      <c r="E11" s="6">
        <f>Summary!E11</f>
        <v/>
      </c>
      <c r="F11" s="6">
        <f>Summary!F11</f>
        <v/>
      </c>
      <c r="G11" s="6">
        <f>Summary!G11</f>
        <v/>
      </c>
      <c r="H11" s="6">
        <f>Summary!H11</f>
        <v/>
      </c>
      <c r="I11" s="6">
        <f>Summary!I11</f>
        <v/>
      </c>
      <c r="J11" s="6">
        <f>Summary!J11</f>
        <v/>
      </c>
      <c r="K11" s="6">
        <f>Summary!K11</f>
        <v/>
      </c>
      <c r="L11" s="6">
        <f>Summary!L11</f>
        <v/>
      </c>
      <c r="M11" s="6">
        <f>Summary!M11</f>
        <v/>
      </c>
      <c r="N11" s="6">
        <f>Summary!N11</f>
        <v/>
      </c>
      <c r="O11" s="6">
        <f>Summary!O11</f>
        <v/>
      </c>
      <c r="P11" s="6">
        <f>Summary!P11</f>
        <v/>
      </c>
      <c r="Q11" s="6">
        <f>Summary!Q11</f>
        <v/>
      </c>
      <c r="R11" s="6">
        <f>Summary!R11</f>
        <v/>
      </c>
      <c r="S11" s="6">
        <f>Summary!S11</f>
        <v/>
      </c>
      <c r="T11" s="6">
        <f>Summary!T11</f>
        <v/>
      </c>
      <c r="U11" s="6">
        <f>Summary!U11</f>
        <v/>
      </c>
      <c r="V11" s="6">
        <f>Summary!V11</f>
        <v/>
      </c>
      <c r="W11" s="6">
        <f>Summary!W11</f>
        <v/>
      </c>
      <c r="X11" s="6">
        <f>Summary!X11</f>
        <v/>
      </c>
      <c r="Y11" s="6">
        <f>Summary!Y11</f>
        <v/>
      </c>
      <c r="Z11" s="6">
        <f>Summary!Z11</f>
        <v/>
      </c>
      <c r="AA11" s="6">
        <f>Summary!AA11</f>
        <v/>
      </c>
      <c r="AB11" s="6">
        <f>SUM(D11:AA11)</f>
        <v/>
      </c>
      <c r="AC11" s="3" t="inlineStr"/>
      <c r="AD11" s="7">
        <f>AA11*0.000680195+D11*0.000680195</f>
        <v/>
      </c>
      <c r="AE11" s="7">
        <f>D11*0.000680195+E11*0.000680195</f>
        <v/>
      </c>
      <c r="AF11" s="7">
        <f>E11*0.000680195+F11*0.000680195</f>
        <v/>
      </c>
      <c r="AG11" s="7">
        <f>F11*0.000680195+G11*0.000680195</f>
        <v/>
      </c>
      <c r="AH11" s="7">
        <f>G11*0.000680195+H11*0.000680195</f>
        <v/>
      </c>
      <c r="AI11" s="7">
        <f>H11*0.000680195+I11*0.000680195</f>
        <v/>
      </c>
      <c r="AJ11" s="7">
        <f>I11*0.000680195+J11*0.000680195</f>
        <v/>
      </c>
      <c r="AK11" s="7">
        <f>J11*0.000680195+K11*0.000680195</f>
        <v/>
      </c>
      <c r="AL11" s="7">
        <f>K11*0.000680195+L11*0.000680195</f>
        <v/>
      </c>
      <c r="AM11" s="7">
        <f>L11*0.000680195+M11*0.000680195</f>
        <v/>
      </c>
      <c r="AN11" s="7">
        <f>M11*0.000680195+N11*0.000680195</f>
        <v/>
      </c>
      <c r="AO11" s="7">
        <f>N11*0.000680195+O11*0.000680195</f>
        <v/>
      </c>
      <c r="AP11" s="7">
        <f>O11*0.000680195+P11*0.000680195</f>
        <v/>
      </c>
      <c r="AQ11" s="7">
        <f>P11*0.000680195+Q11*0.000680195</f>
        <v/>
      </c>
      <c r="AR11" s="7">
        <f>Q11*0.000680195+R11*0.000680195</f>
        <v/>
      </c>
      <c r="AS11" s="7">
        <f>R11*0.000680195+S11*0.000680195</f>
        <v/>
      </c>
      <c r="AT11" s="7">
        <f>S11*0.000680195+T11*0.000680195</f>
        <v/>
      </c>
      <c r="AU11" s="7">
        <f>T11*0.000680195+U11*0.000680195</f>
        <v/>
      </c>
      <c r="AV11" s="7">
        <f>U11*0.000680195+V11*0.000680195</f>
        <v/>
      </c>
      <c r="AW11" s="7">
        <f>V11*0.000680195+W11*0.000680195</f>
        <v/>
      </c>
      <c r="AX11" s="7">
        <f>W11*0.000680195+X11*0.000680195</f>
        <v/>
      </c>
      <c r="AY11" s="7">
        <f>X11*0.000680195+Y11*0.000680195</f>
        <v/>
      </c>
      <c r="AZ11" s="7">
        <f>Y11*0.000680195+Z11*0.000680195</f>
        <v/>
      </c>
      <c r="BA11" s="7">
        <f>Z11*0.000680195+AA11*0.000680195</f>
        <v/>
      </c>
      <c r="BB11" s="7">
        <f>SUM(AD11:BA11)</f>
        <v/>
      </c>
    </row>
    <row r="12">
      <c r="A12" t="inlineStr">
        <is>
          <t>AMD-EXPR</t>
        </is>
      </c>
      <c r="B12" t="inlineStr">
        <is>
          <t>DSC Manual</t>
        </is>
      </c>
      <c r="C12" s="5" t="n">
        <v>46090</v>
      </c>
      <c r="D12" s="6">
        <f>Summary!D12</f>
        <v/>
      </c>
      <c r="E12" s="6">
        <f>Summary!E12</f>
        <v/>
      </c>
      <c r="F12" s="6">
        <f>Summary!F12</f>
        <v/>
      </c>
      <c r="G12" s="6">
        <f>Summary!G12</f>
        <v/>
      </c>
      <c r="H12" s="6">
        <f>Summary!H12</f>
        <v/>
      </c>
      <c r="I12" s="6">
        <f>Summary!I12</f>
        <v/>
      </c>
      <c r="J12" s="6">
        <f>Summary!J12</f>
        <v/>
      </c>
      <c r="K12" s="6">
        <f>Summary!K12</f>
        <v/>
      </c>
      <c r="L12" s="6">
        <f>Summary!L12</f>
        <v/>
      </c>
      <c r="M12" s="6">
        <f>Summary!M12</f>
        <v/>
      </c>
      <c r="N12" s="6">
        <f>Summary!N12</f>
        <v/>
      </c>
      <c r="O12" s="6">
        <f>Summary!O12</f>
        <v/>
      </c>
      <c r="P12" s="6">
        <f>Summary!P12</f>
        <v/>
      </c>
      <c r="Q12" s="6">
        <f>Summary!Q12</f>
        <v/>
      </c>
      <c r="R12" s="6">
        <f>Summary!R12</f>
        <v/>
      </c>
      <c r="S12" s="6">
        <f>Summary!S12</f>
        <v/>
      </c>
      <c r="T12" s="6">
        <f>Summary!T12</f>
        <v/>
      </c>
      <c r="U12" s="6">
        <f>Summary!U12</f>
        <v/>
      </c>
      <c r="V12" s="6">
        <f>Summary!V12</f>
        <v/>
      </c>
      <c r="W12" s="6">
        <f>Summary!W12</f>
        <v/>
      </c>
      <c r="X12" s="6">
        <f>Summary!X12</f>
        <v/>
      </c>
      <c r="Y12" s="6">
        <f>Summary!Y12</f>
        <v/>
      </c>
      <c r="Z12" s="6">
        <f>Summary!Z12</f>
        <v/>
      </c>
      <c r="AA12" s="6">
        <f>Summary!AA12</f>
        <v/>
      </c>
      <c r="AB12" s="6">
        <f>SUM(D12:AA12)</f>
        <v/>
      </c>
      <c r="AC12" s="3" t="inlineStr"/>
      <c r="AD12" s="7">
        <f>AA12*0.000680195+D12*0.000680195</f>
        <v/>
      </c>
      <c r="AE12" s="7">
        <f>D12*0.000680195+E12*0.000680195</f>
        <v/>
      </c>
      <c r="AF12" s="7">
        <f>E12*0.000680195+F12*0.000680195</f>
        <v/>
      </c>
      <c r="AG12" s="7">
        <f>F12*0.000680195+G12*0.000680195</f>
        <v/>
      </c>
      <c r="AH12" s="7">
        <f>G12*0.000680195+H12*0.000680195</f>
        <v/>
      </c>
      <c r="AI12" s="7">
        <f>H12*0.000680195+I12*0.000680195</f>
        <v/>
      </c>
      <c r="AJ12" s="7">
        <f>I12*0.000680195+J12*0.000680195</f>
        <v/>
      </c>
      <c r="AK12" s="7">
        <f>J12*0.000680195+K12*0.000680195</f>
        <v/>
      </c>
      <c r="AL12" s="7">
        <f>K12*0.000680195+L12*0.000680195</f>
        <v/>
      </c>
      <c r="AM12" s="7">
        <f>L12*0.000680195+M12*0.000680195</f>
        <v/>
      </c>
      <c r="AN12" s="7">
        <f>M12*0.000680195+N12*0.000680195</f>
        <v/>
      </c>
      <c r="AO12" s="7">
        <f>N12*0.000680195+O12*0.000680195</f>
        <v/>
      </c>
      <c r="AP12" s="7">
        <f>O12*0.000680195+P12*0.000680195</f>
        <v/>
      </c>
      <c r="AQ12" s="7">
        <f>P12*0.000680195+Q12*0.000680195</f>
        <v/>
      </c>
      <c r="AR12" s="7">
        <f>Q12*0.000680195+R12*0.000680195</f>
        <v/>
      </c>
      <c r="AS12" s="7">
        <f>R12*0.000680195+S12*0.000680195</f>
        <v/>
      </c>
      <c r="AT12" s="7">
        <f>S12*0.000680195+T12*0.000680195</f>
        <v/>
      </c>
      <c r="AU12" s="7">
        <f>T12*0.000680195+U12*0.000680195</f>
        <v/>
      </c>
      <c r="AV12" s="7">
        <f>U12*0.000680195+V12*0.000680195</f>
        <v/>
      </c>
      <c r="AW12" s="7">
        <f>V12*0.000680195+W12*0.000680195</f>
        <v/>
      </c>
      <c r="AX12" s="7">
        <f>W12*0.000680195+X12*0.000680195</f>
        <v/>
      </c>
      <c r="AY12" s="7">
        <f>X12*0.000680195+Y12*0.000680195</f>
        <v/>
      </c>
      <c r="AZ12" s="7">
        <f>Y12*0.000680195+Z12*0.000680195</f>
        <v/>
      </c>
      <c r="BA12" s="7">
        <f>Z12*0.000680195+AA12*0.000680195</f>
        <v/>
      </c>
      <c r="BB12" s="7">
        <f>SUM(AD12:BA12)</f>
        <v/>
      </c>
    </row>
    <row r="13">
      <c r="A13" t="inlineStr">
        <is>
          <t>AMD-EXPR</t>
        </is>
      </c>
      <c r="B13" t="inlineStr">
        <is>
          <t>DSC Manual</t>
        </is>
      </c>
      <c r="C13" s="5" t="n">
        <v>46091</v>
      </c>
      <c r="D13" s="6">
        <f>Summary!D13</f>
        <v/>
      </c>
      <c r="E13" s="6">
        <f>Summary!E13</f>
        <v/>
      </c>
      <c r="F13" s="6">
        <f>Summary!F13</f>
        <v/>
      </c>
      <c r="G13" s="6">
        <f>Summary!G13</f>
        <v/>
      </c>
      <c r="H13" s="6">
        <f>Summary!H13</f>
        <v/>
      </c>
      <c r="I13" s="6">
        <f>Summary!I13</f>
        <v/>
      </c>
      <c r="J13" s="6">
        <f>Summary!J13</f>
        <v/>
      </c>
      <c r="K13" s="6">
        <f>Summary!K13</f>
        <v/>
      </c>
      <c r="L13" s="6">
        <f>Summary!L13</f>
        <v/>
      </c>
      <c r="M13" s="6">
        <f>Summary!M13</f>
        <v/>
      </c>
      <c r="N13" s="6">
        <f>Summary!N13</f>
        <v/>
      </c>
      <c r="O13" s="6">
        <f>Summary!O13</f>
        <v/>
      </c>
      <c r="P13" s="6">
        <f>Summary!P13</f>
        <v/>
      </c>
      <c r="Q13" s="6">
        <f>Summary!Q13</f>
        <v/>
      </c>
      <c r="R13" s="6">
        <f>Summary!R13</f>
        <v/>
      </c>
      <c r="S13" s="6">
        <f>Summary!S13</f>
        <v/>
      </c>
      <c r="T13" s="6">
        <f>Summary!T13</f>
        <v/>
      </c>
      <c r="U13" s="6">
        <f>Summary!U13</f>
        <v/>
      </c>
      <c r="V13" s="6">
        <f>Summary!V13</f>
        <v/>
      </c>
      <c r="W13" s="6">
        <f>Summary!W13</f>
        <v/>
      </c>
      <c r="X13" s="6">
        <f>Summary!X13</f>
        <v/>
      </c>
      <c r="Y13" s="6">
        <f>Summary!Y13</f>
        <v/>
      </c>
      <c r="Z13" s="6">
        <f>Summary!Z13</f>
        <v/>
      </c>
      <c r="AA13" s="6">
        <f>Summary!AA13</f>
        <v/>
      </c>
      <c r="AB13" s="6">
        <f>SUM(D13:AA13)</f>
        <v/>
      </c>
      <c r="AC13" s="3" t="inlineStr"/>
      <c r="AD13" s="7">
        <f>AA13*0.000680195+D13*0.000680195</f>
        <v/>
      </c>
      <c r="AE13" s="7">
        <f>D13*0.000680195+E13*0.000680195</f>
        <v/>
      </c>
      <c r="AF13" s="7">
        <f>E13*0.000680195+F13*0.000680195</f>
        <v/>
      </c>
      <c r="AG13" s="7">
        <f>F13*0.000680195+G13*0.000680195</f>
        <v/>
      </c>
      <c r="AH13" s="7">
        <f>G13*0.000680195+H13*0.000680195</f>
        <v/>
      </c>
      <c r="AI13" s="7">
        <f>H13*0.000680195+I13*0.000680195</f>
        <v/>
      </c>
      <c r="AJ13" s="7">
        <f>I13*0.000680195+J13*0.000680195</f>
        <v/>
      </c>
      <c r="AK13" s="7">
        <f>J13*0.000680195+K13*0.000680195</f>
        <v/>
      </c>
      <c r="AL13" s="7">
        <f>K13*0.000680195+L13*0.000680195</f>
        <v/>
      </c>
      <c r="AM13" s="7">
        <f>L13*0.000680195+M13*0.000680195</f>
        <v/>
      </c>
      <c r="AN13" s="7">
        <f>M13*0.000680195+N13*0.000680195</f>
        <v/>
      </c>
      <c r="AO13" s="7">
        <f>N13*0.000680195+O13*0.000680195</f>
        <v/>
      </c>
      <c r="AP13" s="7">
        <f>O13*0.000680195+P13*0.000680195</f>
        <v/>
      </c>
      <c r="AQ13" s="7">
        <f>P13*0.000680195+Q13*0.000680195</f>
        <v/>
      </c>
      <c r="AR13" s="7">
        <f>Q13*0.000680195+R13*0.000680195</f>
        <v/>
      </c>
      <c r="AS13" s="7">
        <f>R13*0.000680195+S13*0.000680195</f>
        <v/>
      </c>
      <c r="AT13" s="7">
        <f>S13*0.000680195+T13*0.000680195</f>
        <v/>
      </c>
      <c r="AU13" s="7">
        <f>T13*0.000680195+U13*0.000680195</f>
        <v/>
      </c>
      <c r="AV13" s="7">
        <f>U13*0.000680195+V13*0.000680195</f>
        <v/>
      </c>
      <c r="AW13" s="7">
        <f>V13*0.000680195+W13*0.000680195</f>
        <v/>
      </c>
      <c r="AX13" s="7">
        <f>W13*0.000680195+X13*0.000680195</f>
        <v/>
      </c>
      <c r="AY13" s="7">
        <f>X13*0.000680195+Y13*0.000680195</f>
        <v/>
      </c>
      <c r="AZ13" s="7">
        <f>Y13*0.000680195+Z13*0.000680195</f>
        <v/>
      </c>
      <c r="BA13" s="7">
        <f>Z13*0.000680195+AA13*0.000680195</f>
        <v/>
      </c>
      <c r="BB13" s="7">
        <f>SUM(AD13:BA13)</f>
        <v/>
      </c>
    </row>
    <row r="14">
      <c r="A14" t="inlineStr">
        <is>
          <t>AMD-EXPR</t>
        </is>
      </c>
      <c r="B14" t="inlineStr">
        <is>
          <t>DSC Manual</t>
        </is>
      </c>
      <c r="C14" s="5" t="n">
        <v>46092</v>
      </c>
      <c r="D14" s="6">
        <f>Summary!D14</f>
        <v/>
      </c>
      <c r="E14" s="6">
        <f>Summary!E14</f>
        <v/>
      </c>
      <c r="F14" s="6">
        <f>Summary!F14</f>
        <v/>
      </c>
      <c r="G14" s="6">
        <f>Summary!G14</f>
        <v/>
      </c>
      <c r="H14" s="6">
        <f>Summary!H14</f>
        <v/>
      </c>
      <c r="I14" s="6">
        <f>Summary!I14</f>
        <v/>
      </c>
      <c r="J14" s="6">
        <f>Summary!J14</f>
        <v/>
      </c>
      <c r="K14" s="6">
        <f>Summary!K14</f>
        <v/>
      </c>
      <c r="L14" s="6">
        <f>Summary!L14</f>
        <v/>
      </c>
      <c r="M14" s="6">
        <f>Summary!M14</f>
        <v/>
      </c>
      <c r="N14" s="6">
        <f>Summary!N14</f>
        <v/>
      </c>
      <c r="O14" s="6">
        <f>Summary!O14</f>
        <v/>
      </c>
      <c r="P14" s="6">
        <f>Summary!P14</f>
        <v/>
      </c>
      <c r="Q14" s="6">
        <f>Summary!Q14</f>
        <v/>
      </c>
      <c r="R14" s="6">
        <f>Summary!R14</f>
        <v/>
      </c>
      <c r="S14" s="6">
        <f>Summary!S14</f>
        <v/>
      </c>
      <c r="T14" s="6">
        <f>Summary!T14</f>
        <v/>
      </c>
      <c r="U14" s="6">
        <f>Summary!U14</f>
        <v/>
      </c>
      <c r="V14" s="6">
        <f>Summary!V14</f>
        <v/>
      </c>
      <c r="W14" s="6">
        <f>Summary!W14</f>
        <v/>
      </c>
      <c r="X14" s="6">
        <f>Summary!X14</f>
        <v/>
      </c>
      <c r="Y14" s="6">
        <f>Summary!Y14</f>
        <v/>
      </c>
      <c r="Z14" s="6">
        <f>Summary!Z14</f>
        <v/>
      </c>
      <c r="AA14" s="6">
        <f>Summary!AA14</f>
        <v/>
      </c>
      <c r="AB14" s="6">
        <f>SUM(D14:AA14)</f>
        <v/>
      </c>
      <c r="AC14" s="3" t="inlineStr"/>
      <c r="AD14" s="7">
        <f>AA14*0.000680195+D14*0.000680195</f>
        <v/>
      </c>
      <c r="AE14" s="7">
        <f>D14*0.000680195+E14*0.000680195</f>
        <v/>
      </c>
      <c r="AF14" s="7">
        <f>E14*0.000680195+F14*0.000680195</f>
        <v/>
      </c>
      <c r="AG14" s="7">
        <f>F14*0.000680195+G14*0.000680195</f>
        <v/>
      </c>
      <c r="AH14" s="7">
        <f>G14*0.000680195+H14*0.000680195</f>
        <v/>
      </c>
      <c r="AI14" s="7">
        <f>H14*0.000680195+I14*0.000680195</f>
        <v/>
      </c>
      <c r="AJ14" s="7">
        <f>I14*0.000680195+J14*0.000680195</f>
        <v/>
      </c>
      <c r="AK14" s="7">
        <f>J14*0.000680195+K14*0.000680195</f>
        <v/>
      </c>
      <c r="AL14" s="7">
        <f>K14*0.000680195+L14*0.000680195</f>
        <v/>
      </c>
      <c r="AM14" s="7">
        <f>L14*0.000680195+M14*0.000680195</f>
        <v/>
      </c>
      <c r="AN14" s="7">
        <f>M14*0.000680195+N14*0.000680195</f>
        <v/>
      </c>
      <c r="AO14" s="7">
        <f>N14*0.000680195+O14*0.000680195</f>
        <v/>
      </c>
      <c r="AP14" s="7">
        <f>O14*0.000680195+P14*0.000680195</f>
        <v/>
      </c>
      <c r="AQ14" s="7">
        <f>P14*0.000680195+Q14*0.000680195</f>
        <v/>
      </c>
      <c r="AR14" s="7">
        <f>Q14*0.000680195+R14*0.000680195</f>
        <v/>
      </c>
      <c r="AS14" s="7">
        <f>R14*0.000680195+S14*0.000680195</f>
        <v/>
      </c>
      <c r="AT14" s="7">
        <f>S14*0.000680195+T14*0.000680195</f>
        <v/>
      </c>
      <c r="AU14" s="7">
        <f>T14*0.000680195+U14*0.000680195</f>
        <v/>
      </c>
      <c r="AV14" s="7">
        <f>U14*0.000680195+V14*0.000680195</f>
        <v/>
      </c>
      <c r="AW14" s="7">
        <f>V14*0.000680195+W14*0.000680195</f>
        <v/>
      </c>
      <c r="AX14" s="7">
        <f>W14*0.000680195+X14*0.000680195</f>
        <v/>
      </c>
      <c r="AY14" s="7">
        <f>X14*0.000680195+Y14*0.000680195</f>
        <v/>
      </c>
      <c r="AZ14" s="7">
        <f>Y14*0.000680195+Z14*0.000680195</f>
        <v/>
      </c>
      <c r="BA14" s="7">
        <f>Z14*0.000680195+AA14*0.000680195</f>
        <v/>
      </c>
      <c r="BB14" s="7">
        <f>SUM(AD14:BA14)</f>
        <v/>
      </c>
    </row>
    <row r="15">
      <c r="A15" t="inlineStr">
        <is>
          <t>AMD-EXPR</t>
        </is>
      </c>
      <c r="B15" t="inlineStr">
        <is>
          <t>DSC Manual</t>
        </is>
      </c>
      <c r="C15" s="5" t="n">
        <v>46093</v>
      </c>
      <c r="D15" s="6">
        <f>Summary!D15</f>
        <v/>
      </c>
      <c r="E15" s="6">
        <f>Summary!E15</f>
        <v/>
      </c>
      <c r="F15" s="6">
        <f>Summary!F15</f>
        <v/>
      </c>
      <c r="G15" s="6">
        <f>Summary!G15</f>
        <v/>
      </c>
      <c r="H15" s="6">
        <f>Summary!H15</f>
        <v/>
      </c>
      <c r="I15" s="6">
        <f>Summary!I15</f>
        <v/>
      </c>
      <c r="J15" s="6">
        <f>Summary!J15</f>
        <v/>
      </c>
      <c r="K15" s="6">
        <f>Summary!K15</f>
        <v/>
      </c>
      <c r="L15" s="6">
        <f>Summary!L15</f>
        <v/>
      </c>
      <c r="M15" s="6">
        <f>Summary!M15</f>
        <v/>
      </c>
      <c r="N15" s="6">
        <f>Summary!N15</f>
        <v/>
      </c>
      <c r="O15" s="6">
        <f>Summary!O15</f>
        <v/>
      </c>
      <c r="P15" s="6">
        <f>Summary!P15</f>
        <v/>
      </c>
      <c r="Q15" s="6">
        <f>Summary!Q15</f>
        <v/>
      </c>
      <c r="R15" s="6">
        <f>Summary!R15</f>
        <v/>
      </c>
      <c r="S15" s="6">
        <f>Summary!S15</f>
        <v/>
      </c>
      <c r="T15" s="6">
        <f>Summary!T15</f>
        <v/>
      </c>
      <c r="U15" s="6">
        <f>Summary!U15</f>
        <v/>
      </c>
      <c r="V15" s="6">
        <f>Summary!V15</f>
        <v/>
      </c>
      <c r="W15" s="6">
        <f>Summary!W15</f>
        <v/>
      </c>
      <c r="X15" s="6">
        <f>Summary!X15</f>
        <v/>
      </c>
      <c r="Y15" s="6">
        <f>Summary!Y15</f>
        <v/>
      </c>
      <c r="Z15" s="6">
        <f>Summary!Z15</f>
        <v/>
      </c>
      <c r="AA15" s="6">
        <f>Summary!AA15</f>
        <v/>
      </c>
      <c r="AB15" s="6">
        <f>SUM(D15:AA15)</f>
        <v/>
      </c>
      <c r="AC15" s="3" t="inlineStr"/>
      <c r="AD15" s="7">
        <f>AA15*0.000680195+D15*0.000680195</f>
        <v/>
      </c>
      <c r="AE15" s="7">
        <f>D15*0.000680195+E15*0.000680195</f>
        <v/>
      </c>
      <c r="AF15" s="7">
        <f>E15*0.000680195+F15*0.000680195</f>
        <v/>
      </c>
      <c r="AG15" s="7">
        <f>F15*0.000680195+G15*0.000680195</f>
        <v/>
      </c>
      <c r="AH15" s="7">
        <f>G15*0.000680195+H15*0.000680195</f>
        <v/>
      </c>
      <c r="AI15" s="7">
        <f>H15*0.000680195+I15*0.000680195</f>
        <v/>
      </c>
      <c r="AJ15" s="7">
        <f>I15*0.000680195+J15*0.000680195</f>
        <v/>
      </c>
      <c r="AK15" s="7">
        <f>J15*0.000680195+K15*0.000680195</f>
        <v/>
      </c>
      <c r="AL15" s="7">
        <f>K15*0.000680195+L15*0.000680195</f>
        <v/>
      </c>
      <c r="AM15" s="7">
        <f>L15*0.000680195+M15*0.000680195</f>
        <v/>
      </c>
      <c r="AN15" s="7">
        <f>M15*0.000680195+N15*0.000680195</f>
        <v/>
      </c>
      <c r="AO15" s="7">
        <f>N15*0.000680195+O15*0.000680195</f>
        <v/>
      </c>
      <c r="AP15" s="7">
        <f>O15*0.000680195+P15*0.000680195</f>
        <v/>
      </c>
      <c r="AQ15" s="7">
        <f>P15*0.000680195+Q15*0.000680195</f>
        <v/>
      </c>
      <c r="AR15" s="7">
        <f>Q15*0.000680195+R15*0.000680195</f>
        <v/>
      </c>
      <c r="AS15" s="7">
        <f>R15*0.000680195+S15*0.000680195</f>
        <v/>
      </c>
      <c r="AT15" s="7">
        <f>S15*0.000680195+T15*0.000680195</f>
        <v/>
      </c>
      <c r="AU15" s="7">
        <f>T15*0.000680195+U15*0.000680195</f>
        <v/>
      </c>
      <c r="AV15" s="7">
        <f>U15*0.000680195+V15*0.000680195</f>
        <v/>
      </c>
      <c r="AW15" s="7">
        <f>V15*0.000680195+W15*0.000680195</f>
        <v/>
      </c>
      <c r="AX15" s="7">
        <f>W15*0.000680195+X15*0.000680195</f>
        <v/>
      </c>
      <c r="AY15" s="7">
        <f>X15*0.000680195+Y15*0.000680195</f>
        <v/>
      </c>
      <c r="AZ15" s="7">
        <f>Y15*0.000680195+Z15*0.000680195</f>
        <v/>
      </c>
      <c r="BA15" s="7">
        <f>Z15*0.000680195+AA15*0.000680195</f>
        <v/>
      </c>
      <c r="BB15" s="7">
        <f>SUM(AD15:BA15)</f>
        <v/>
      </c>
    </row>
    <row r="16">
      <c r="A16" t="inlineStr">
        <is>
          <t>AMD-EXPR</t>
        </is>
      </c>
      <c r="B16" t="inlineStr">
        <is>
          <t>DSC Manual</t>
        </is>
      </c>
      <c r="C16" s="5" t="n">
        <v>46094</v>
      </c>
      <c r="D16" s="6">
        <f>Summary!D16</f>
        <v/>
      </c>
      <c r="E16" s="6">
        <f>Summary!E16</f>
        <v/>
      </c>
      <c r="F16" s="6">
        <f>Summary!F16</f>
        <v/>
      </c>
      <c r="G16" s="6">
        <f>Summary!G16</f>
        <v/>
      </c>
      <c r="H16" s="6">
        <f>Summary!H16</f>
        <v/>
      </c>
      <c r="I16" s="6">
        <f>Summary!I16</f>
        <v/>
      </c>
      <c r="J16" s="6">
        <f>Summary!J16</f>
        <v/>
      </c>
      <c r="K16" s="6">
        <f>Summary!K16</f>
        <v/>
      </c>
      <c r="L16" s="6">
        <f>Summary!L16</f>
        <v/>
      </c>
      <c r="M16" s="6">
        <f>Summary!M16</f>
        <v/>
      </c>
      <c r="N16" s="6">
        <f>Summary!N16</f>
        <v/>
      </c>
      <c r="O16" s="6">
        <f>Summary!O16</f>
        <v/>
      </c>
      <c r="P16" s="6">
        <f>Summary!P16</f>
        <v/>
      </c>
      <c r="Q16" s="6">
        <f>Summary!Q16</f>
        <v/>
      </c>
      <c r="R16" s="6">
        <f>Summary!R16</f>
        <v/>
      </c>
      <c r="S16" s="6">
        <f>Summary!S16</f>
        <v/>
      </c>
      <c r="T16" s="6">
        <f>Summary!T16</f>
        <v/>
      </c>
      <c r="U16" s="6">
        <f>Summary!U16</f>
        <v/>
      </c>
      <c r="V16" s="6">
        <f>Summary!V16</f>
        <v/>
      </c>
      <c r="W16" s="6">
        <f>Summary!W16</f>
        <v/>
      </c>
      <c r="X16" s="6">
        <f>Summary!X16</f>
        <v/>
      </c>
      <c r="Y16" s="6">
        <f>Summary!Y16</f>
        <v/>
      </c>
      <c r="Z16" s="6">
        <f>Summary!Z16</f>
        <v/>
      </c>
      <c r="AA16" s="6">
        <f>Summary!AA16</f>
        <v/>
      </c>
      <c r="AB16" s="6">
        <f>SUM(D16:AA16)</f>
        <v/>
      </c>
      <c r="AC16" s="3" t="inlineStr"/>
      <c r="AD16" s="7">
        <f>AA16*0.000680195+D16*0.000680195</f>
        <v/>
      </c>
      <c r="AE16" s="7">
        <f>D16*0.000680195+E16*0.000680195</f>
        <v/>
      </c>
      <c r="AF16" s="7">
        <f>E16*0.000680195+F16*0.000680195</f>
        <v/>
      </c>
      <c r="AG16" s="7">
        <f>F16*0.000680195+G16*0.000680195</f>
        <v/>
      </c>
      <c r="AH16" s="7">
        <f>G16*0.000680195+H16*0.000680195</f>
        <v/>
      </c>
      <c r="AI16" s="7">
        <f>H16*0.000680195+I16*0.000680195</f>
        <v/>
      </c>
      <c r="AJ16" s="7">
        <f>I16*0.000680195+J16*0.000680195</f>
        <v/>
      </c>
      <c r="AK16" s="7">
        <f>J16*0.000680195+K16*0.000680195</f>
        <v/>
      </c>
      <c r="AL16" s="7">
        <f>K16*0.000680195+L16*0.000680195</f>
        <v/>
      </c>
      <c r="AM16" s="7">
        <f>L16*0.000680195+M16*0.000680195</f>
        <v/>
      </c>
      <c r="AN16" s="7">
        <f>M16*0.000680195+N16*0.000680195</f>
        <v/>
      </c>
      <c r="AO16" s="7">
        <f>N16*0.000680195+O16*0.000680195</f>
        <v/>
      </c>
      <c r="AP16" s="7">
        <f>O16*0.000680195+P16*0.000680195</f>
        <v/>
      </c>
      <c r="AQ16" s="7">
        <f>P16*0.000680195+Q16*0.000680195</f>
        <v/>
      </c>
      <c r="AR16" s="7">
        <f>Q16*0.000680195+R16*0.000680195</f>
        <v/>
      </c>
      <c r="AS16" s="7">
        <f>R16*0.000680195+S16*0.000680195</f>
        <v/>
      </c>
      <c r="AT16" s="7">
        <f>S16*0.000680195+T16*0.000680195</f>
        <v/>
      </c>
      <c r="AU16" s="7">
        <f>T16*0.000680195+U16*0.000680195</f>
        <v/>
      </c>
      <c r="AV16" s="7">
        <f>U16*0.000680195+V16*0.000680195</f>
        <v/>
      </c>
      <c r="AW16" s="7">
        <f>V16*0.000680195+W16*0.000680195</f>
        <v/>
      </c>
      <c r="AX16" s="7">
        <f>W16*0.000680195+X16*0.000680195</f>
        <v/>
      </c>
      <c r="AY16" s="7">
        <f>X16*0.000680195+Y16*0.000680195</f>
        <v/>
      </c>
      <c r="AZ16" s="7">
        <f>Y16*0.000680195+Z16*0.000680195</f>
        <v/>
      </c>
      <c r="BA16" s="7">
        <f>Z16*0.000680195+AA16*0.000680195</f>
        <v/>
      </c>
      <c r="BB16" s="7">
        <f>SUM(AD16:BA16)</f>
        <v/>
      </c>
    </row>
    <row r="17">
      <c r="A17" t="inlineStr">
        <is>
          <t>AMD-EXPR</t>
        </is>
      </c>
      <c r="B17" t="inlineStr">
        <is>
          <t>DSC Manual</t>
        </is>
      </c>
      <c r="C17" s="5" t="n">
        <v>46095</v>
      </c>
      <c r="D17" s="6">
        <f>Summary!D17</f>
        <v/>
      </c>
      <c r="E17" s="6">
        <f>Summary!E17</f>
        <v/>
      </c>
      <c r="F17" s="6">
        <f>Summary!F17</f>
        <v/>
      </c>
      <c r="G17" s="6">
        <f>Summary!G17</f>
        <v/>
      </c>
      <c r="H17" s="6">
        <f>Summary!H17</f>
        <v/>
      </c>
      <c r="I17" s="6">
        <f>Summary!I17</f>
        <v/>
      </c>
      <c r="J17" s="6">
        <f>Summary!J17</f>
        <v/>
      </c>
      <c r="K17" s="6">
        <f>Summary!K17</f>
        <v/>
      </c>
      <c r="L17" s="6">
        <f>Summary!L17</f>
        <v/>
      </c>
      <c r="M17" s="6">
        <f>Summary!M17</f>
        <v/>
      </c>
      <c r="N17" s="6">
        <f>Summary!N17</f>
        <v/>
      </c>
      <c r="O17" s="6">
        <f>Summary!O17</f>
        <v/>
      </c>
      <c r="P17" s="6">
        <f>Summary!P17</f>
        <v/>
      </c>
      <c r="Q17" s="6">
        <f>Summary!Q17</f>
        <v/>
      </c>
      <c r="R17" s="6">
        <f>Summary!R17</f>
        <v/>
      </c>
      <c r="S17" s="6">
        <f>Summary!S17</f>
        <v/>
      </c>
      <c r="T17" s="6">
        <f>Summary!T17</f>
        <v/>
      </c>
      <c r="U17" s="6">
        <f>Summary!U17</f>
        <v/>
      </c>
      <c r="V17" s="6">
        <f>Summary!V17</f>
        <v/>
      </c>
      <c r="W17" s="6">
        <f>Summary!W17</f>
        <v/>
      </c>
      <c r="X17" s="6">
        <f>Summary!X17</f>
        <v/>
      </c>
      <c r="Y17" s="6">
        <f>Summary!Y17</f>
        <v/>
      </c>
      <c r="Z17" s="6">
        <f>Summary!Z17</f>
        <v/>
      </c>
      <c r="AA17" s="6">
        <f>Summary!AA17</f>
        <v/>
      </c>
      <c r="AB17" s="6">
        <f>SUM(D17:AA17)</f>
        <v/>
      </c>
      <c r="AC17" s="3" t="inlineStr"/>
      <c r="AD17" s="7">
        <f>AA17*0.000680195+D17*0.000680195</f>
        <v/>
      </c>
      <c r="AE17" s="7">
        <f>D17*0.000680195+E17*0.000680195</f>
        <v/>
      </c>
      <c r="AF17" s="7">
        <f>E17*0.000680195+F17*0.000680195</f>
        <v/>
      </c>
      <c r="AG17" s="7">
        <f>F17*0.000680195+G17*0.000680195</f>
        <v/>
      </c>
      <c r="AH17" s="7">
        <f>G17*0.000680195+H17*0.000680195</f>
        <v/>
      </c>
      <c r="AI17" s="7">
        <f>H17*0.000680195+I17*0.000680195</f>
        <v/>
      </c>
      <c r="AJ17" s="7">
        <f>I17*0.000680195+J17*0.000680195</f>
        <v/>
      </c>
      <c r="AK17" s="7">
        <f>J17*0.000680195+K17*0.000680195</f>
        <v/>
      </c>
      <c r="AL17" s="7">
        <f>K17*0.000680195+L17*0.000680195</f>
        <v/>
      </c>
      <c r="AM17" s="7">
        <f>L17*0.000680195+M17*0.000680195</f>
        <v/>
      </c>
      <c r="AN17" s="7">
        <f>M17*0.000680195+N17*0.000680195</f>
        <v/>
      </c>
      <c r="AO17" s="7">
        <f>N17*0.000680195+O17*0.000680195</f>
        <v/>
      </c>
      <c r="AP17" s="7">
        <f>O17*0.000680195+P17*0.000680195</f>
        <v/>
      </c>
      <c r="AQ17" s="7">
        <f>P17*0.000680195+Q17*0.000680195</f>
        <v/>
      </c>
      <c r="AR17" s="7">
        <f>Q17*0.000680195+R17*0.000680195</f>
        <v/>
      </c>
      <c r="AS17" s="7">
        <f>R17*0.000680195+S17*0.000680195</f>
        <v/>
      </c>
      <c r="AT17" s="7">
        <f>S17*0.000680195+T17*0.000680195</f>
        <v/>
      </c>
      <c r="AU17" s="7">
        <f>T17*0.000680195+U17*0.000680195</f>
        <v/>
      </c>
      <c r="AV17" s="7">
        <f>U17*0.000680195+V17*0.000680195</f>
        <v/>
      </c>
      <c r="AW17" s="7">
        <f>V17*0.000680195+W17*0.000680195</f>
        <v/>
      </c>
      <c r="AX17" s="7">
        <f>W17*0.000680195+X17*0.000680195</f>
        <v/>
      </c>
      <c r="AY17" s="7">
        <f>X17*0.000680195+Y17*0.000680195</f>
        <v/>
      </c>
      <c r="AZ17" s="7">
        <f>Y17*0.000680195+Z17*0.000680195</f>
        <v/>
      </c>
      <c r="BA17" s="7">
        <f>Z17*0.000680195+AA17*0.000680195</f>
        <v/>
      </c>
      <c r="BB17" s="7">
        <f>SUM(AD17:BA17)</f>
        <v/>
      </c>
    </row>
    <row r="18">
      <c r="A18" t="inlineStr">
        <is>
          <t>AMD-EXPR</t>
        </is>
      </c>
      <c r="B18" t="inlineStr">
        <is>
          <t>DSC Manual</t>
        </is>
      </c>
      <c r="C18" s="5" t="n">
        <v>46096</v>
      </c>
      <c r="D18" s="6">
        <f>Summary!D18</f>
        <v/>
      </c>
      <c r="E18" s="6">
        <f>Summary!E18</f>
        <v/>
      </c>
      <c r="F18" s="6">
        <f>Summary!F18</f>
        <v/>
      </c>
      <c r="G18" s="6">
        <f>Summary!G18</f>
        <v/>
      </c>
      <c r="H18" s="6">
        <f>Summary!H18</f>
        <v/>
      </c>
      <c r="I18" s="6">
        <f>Summary!I18</f>
        <v/>
      </c>
      <c r="J18" s="6">
        <f>Summary!J18</f>
        <v/>
      </c>
      <c r="K18" s="6">
        <f>Summary!K18</f>
        <v/>
      </c>
      <c r="L18" s="6">
        <f>Summary!L18</f>
        <v/>
      </c>
      <c r="M18" s="6">
        <f>Summary!M18</f>
        <v/>
      </c>
      <c r="N18" s="6">
        <f>Summary!N18</f>
        <v/>
      </c>
      <c r="O18" s="6">
        <f>Summary!O18</f>
        <v/>
      </c>
      <c r="P18" s="6">
        <f>Summary!P18</f>
        <v/>
      </c>
      <c r="Q18" s="6">
        <f>Summary!Q18</f>
        <v/>
      </c>
      <c r="R18" s="6">
        <f>Summary!R18</f>
        <v/>
      </c>
      <c r="S18" s="6">
        <f>Summary!S18</f>
        <v/>
      </c>
      <c r="T18" s="6">
        <f>Summary!T18</f>
        <v/>
      </c>
      <c r="U18" s="6">
        <f>Summary!U18</f>
        <v/>
      </c>
      <c r="V18" s="6">
        <f>Summary!V18</f>
        <v/>
      </c>
      <c r="W18" s="6">
        <f>Summary!W18</f>
        <v/>
      </c>
      <c r="X18" s="6">
        <f>Summary!X18</f>
        <v/>
      </c>
      <c r="Y18" s="6">
        <f>Summary!Y18</f>
        <v/>
      </c>
      <c r="Z18" s="6">
        <f>Summary!Z18</f>
        <v/>
      </c>
      <c r="AA18" s="6">
        <f>Summary!AA18</f>
        <v/>
      </c>
      <c r="AB18" s="6">
        <f>SUM(D18:AA18)</f>
        <v/>
      </c>
      <c r="AC18" s="3" t="inlineStr"/>
      <c r="AD18" s="7">
        <f>AA18*0.000680195+D18*0.000680195</f>
        <v/>
      </c>
      <c r="AE18" s="7">
        <f>D18*0.000680195+E18*0.000680195</f>
        <v/>
      </c>
      <c r="AF18" s="7">
        <f>E18*0.000680195+F18*0.000680195</f>
        <v/>
      </c>
      <c r="AG18" s="7">
        <f>F18*0.000680195+G18*0.000680195</f>
        <v/>
      </c>
      <c r="AH18" s="7">
        <f>G18*0.000680195+H18*0.000680195</f>
        <v/>
      </c>
      <c r="AI18" s="7">
        <f>H18*0.000680195+I18*0.000680195</f>
        <v/>
      </c>
      <c r="AJ18" s="7">
        <f>I18*0.000680195+J18*0.000680195</f>
        <v/>
      </c>
      <c r="AK18" s="7">
        <f>J18*0.000680195+K18*0.000680195</f>
        <v/>
      </c>
      <c r="AL18" s="7">
        <f>K18*0.000680195+L18*0.000680195</f>
        <v/>
      </c>
      <c r="AM18" s="7">
        <f>L18*0.000680195+M18*0.000680195</f>
        <v/>
      </c>
      <c r="AN18" s="7">
        <f>M18*0.000680195+N18*0.000680195</f>
        <v/>
      </c>
      <c r="AO18" s="7">
        <f>N18*0.000680195+O18*0.000680195</f>
        <v/>
      </c>
      <c r="AP18" s="7">
        <f>O18*0.000680195+P18*0.000680195</f>
        <v/>
      </c>
      <c r="AQ18" s="7">
        <f>P18*0.000680195+Q18*0.000680195</f>
        <v/>
      </c>
      <c r="AR18" s="7">
        <f>Q18*0.000680195+R18*0.000680195</f>
        <v/>
      </c>
      <c r="AS18" s="7">
        <f>R18*0.000680195+S18*0.000680195</f>
        <v/>
      </c>
      <c r="AT18" s="7">
        <f>S18*0.000680195+T18*0.000680195</f>
        <v/>
      </c>
      <c r="AU18" s="7">
        <f>T18*0.000680195+U18*0.000680195</f>
        <v/>
      </c>
      <c r="AV18" s="7">
        <f>U18*0.000680195+V18*0.000680195</f>
        <v/>
      </c>
      <c r="AW18" s="7">
        <f>V18*0.000680195+W18*0.000680195</f>
        <v/>
      </c>
      <c r="AX18" s="7">
        <f>W18*0.000680195+X18*0.000680195</f>
        <v/>
      </c>
      <c r="AY18" s="7">
        <f>X18*0.000680195+Y18*0.000680195</f>
        <v/>
      </c>
      <c r="AZ18" s="7">
        <f>Y18*0.000680195+Z18*0.000680195</f>
        <v/>
      </c>
      <c r="BA18" s="7">
        <f>Z18*0.000680195+AA18*0.000680195</f>
        <v/>
      </c>
      <c r="BB18" s="7">
        <f>SUM(AD18:BA18)</f>
        <v/>
      </c>
    </row>
    <row r="19">
      <c r="A19" t="inlineStr">
        <is>
          <t>AMD-EXPR</t>
        </is>
      </c>
      <c r="B19" t="inlineStr">
        <is>
          <t>DSC Manual</t>
        </is>
      </c>
      <c r="C19" s="5" t="n">
        <v>46097</v>
      </c>
      <c r="D19" s="6">
        <f>Summary!D19</f>
        <v/>
      </c>
      <c r="E19" s="6">
        <f>Summary!E19</f>
        <v/>
      </c>
      <c r="F19" s="6">
        <f>Summary!F19</f>
        <v/>
      </c>
      <c r="G19" s="6">
        <f>Summary!G19</f>
        <v/>
      </c>
      <c r="H19" s="6">
        <f>Summary!H19</f>
        <v/>
      </c>
      <c r="I19" s="6">
        <f>Summary!I19</f>
        <v/>
      </c>
      <c r="J19" s="6">
        <f>Summary!J19</f>
        <v/>
      </c>
      <c r="K19" s="6">
        <f>Summary!K19</f>
        <v/>
      </c>
      <c r="L19" s="6">
        <f>Summary!L19</f>
        <v/>
      </c>
      <c r="M19" s="6">
        <f>Summary!M19</f>
        <v/>
      </c>
      <c r="N19" s="6">
        <f>Summary!N19</f>
        <v/>
      </c>
      <c r="O19" s="6">
        <f>Summary!O19</f>
        <v/>
      </c>
      <c r="P19" s="6">
        <f>Summary!P19</f>
        <v/>
      </c>
      <c r="Q19" s="6">
        <f>Summary!Q19</f>
        <v/>
      </c>
      <c r="R19" s="6">
        <f>Summary!R19</f>
        <v/>
      </c>
      <c r="S19" s="6">
        <f>Summary!S19</f>
        <v/>
      </c>
      <c r="T19" s="6">
        <f>Summary!T19</f>
        <v/>
      </c>
      <c r="U19" s="6">
        <f>Summary!U19</f>
        <v/>
      </c>
      <c r="V19" s="6">
        <f>Summary!V19</f>
        <v/>
      </c>
      <c r="W19" s="6">
        <f>Summary!W19</f>
        <v/>
      </c>
      <c r="X19" s="6">
        <f>Summary!X19</f>
        <v/>
      </c>
      <c r="Y19" s="6">
        <f>Summary!Y19</f>
        <v/>
      </c>
      <c r="Z19" s="6">
        <f>Summary!Z19</f>
        <v/>
      </c>
      <c r="AA19" s="6">
        <f>Summary!AA19</f>
        <v/>
      </c>
      <c r="AB19" s="6">
        <f>SUM(D19:AA19)</f>
        <v/>
      </c>
      <c r="AC19" s="3" t="inlineStr"/>
      <c r="AD19" s="7">
        <f>AA19*0.000680195+D19*0.000680195</f>
        <v/>
      </c>
      <c r="AE19" s="7">
        <f>D19*0.000680195+E19*0.000680195</f>
        <v/>
      </c>
      <c r="AF19" s="7">
        <f>E19*0.000680195+F19*0.000680195</f>
        <v/>
      </c>
      <c r="AG19" s="7">
        <f>F19*0.000680195+G19*0.000680195</f>
        <v/>
      </c>
      <c r="AH19" s="7">
        <f>G19*0.000680195+H19*0.000680195</f>
        <v/>
      </c>
      <c r="AI19" s="7">
        <f>H19*0.000680195+I19*0.000680195</f>
        <v/>
      </c>
      <c r="AJ19" s="7">
        <f>I19*0.000680195+J19*0.000680195</f>
        <v/>
      </c>
      <c r="AK19" s="7">
        <f>J19*0.000680195+K19*0.000680195</f>
        <v/>
      </c>
      <c r="AL19" s="7">
        <f>K19*0.000680195+L19*0.000680195</f>
        <v/>
      </c>
      <c r="AM19" s="7">
        <f>L19*0.000680195+M19*0.000680195</f>
        <v/>
      </c>
      <c r="AN19" s="7">
        <f>M19*0.000680195+N19*0.000680195</f>
        <v/>
      </c>
      <c r="AO19" s="7">
        <f>N19*0.000680195+O19*0.000680195</f>
        <v/>
      </c>
      <c r="AP19" s="7">
        <f>O19*0.000680195+P19*0.000680195</f>
        <v/>
      </c>
      <c r="AQ19" s="7">
        <f>P19*0.000680195+Q19*0.000680195</f>
        <v/>
      </c>
      <c r="AR19" s="7">
        <f>Q19*0.000680195+R19*0.000680195</f>
        <v/>
      </c>
      <c r="AS19" s="7">
        <f>R19*0.000680195+S19*0.000680195</f>
        <v/>
      </c>
      <c r="AT19" s="7">
        <f>S19*0.000680195+T19*0.000680195</f>
        <v/>
      </c>
      <c r="AU19" s="7">
        <f>T19*0.000680195+U19*0.000680195</f>
        <v/>
      </c>
      <c r="AV19" s="7">
        <f>U19*0.000680195+V19*0.000680195</f>
        <v/>
      </c>
      <c r="AW19" s="7">
        <f>V19*0.000680195+W19*0.000680195</f>
        <v/>
      </c>
      <c r="AX19" s="7">
        <f>W19*0.000680195+X19*0.000680195</f>
        <v/>
      </c>
      <c r="AY19" s="7">
        <f>X19*0.000680195+Y19*0.000680195</f>
        <v/>
      </c>
      <c r="AZ19" s="7">
        <f>Y19*0.000680195+Z19*0.000680195</f>
        <v/>
      </c>
      <c r="BA19" s="7">
        <f>Z19*0.000680195+AA19*0.000680195</f>
        <v/>
      </c>
      <c r="BB19" s="7">
        <f>SUM(AD19:BA19)</f>
        <v/>
      </c>
    </row>
    <row r="20">
      <c r="A20" t="inlineStr">
        <is>
          <t>AMD-EXPR</t>
        </is>
      </c>
      <c r="B20" t="inlineStr">
        <is>
          <t>DSC Manual</t>
        </is>
      </c>
      <c r="C20" s="5" t="n">
        <v>46099</v>
      </c>
      <c r="D20" s="6">
        <f>Summary!D20</f>
        <v/>
      </c>
      <c r="E20" s="6">
        <f>Summary!E20</f>
        <v/>
      </c>
      <c r="F20" s="6">
        <f>Summary!F20</f>
        <v/>
      </c>
      <c r="G20" s="6">
        <f>Summary!G20</f>
        <v/>
      </c>
      <c r="H20" s="6">
        <f>Summary!H20</f>
        <v/>
      </c>
      <c r="I20" s="6">
        <f>Summary!I20</f>
        <v/>
      </c>
      <c r="J20" s="6">
        <f>Summary!J20</f>
        <v/>
      </c>
      <c r="K20" s="6">
        <f>Summary!K20</f>
        <v/>
      </c>
      <c r="L20" s="6">
        <f>Summary!L20</f>
        <v/>
      </c>
      <c r="M20" s="6">
        <f>Summary!M20</f>
        <v/>
      </c>
      <c r="N20" s="6">
        <f>Summary!N20</f>
        <v/>
      </c>
      <c r="O20" s="6">
        <f>Summary!O20</f>
        <v/>
      </c>
      <c r="P20" s="6">
        <f>Summary!P20</f>
        <v/>
      </c>
      <c r="Q20" s="6">
        <f>Summary!Q20</f>
        <v/>
      </c>
      <c r="R20" s="6">
        <f>Summary!R20</f>
        <v/>
      </c>
      <c r="S20" s="6">
        <f>Summary!S20</f>
        <v/>
      </c>
      <c r="T20" s="6">
        <f>Summary!T20</f>
        <v/>
      </c>
      <c r="U20" s="6">
        <f>Summary!U20</f>
        <v/>
      </c>
      <c r="V20" s="6">
        <f>Summary!V20</f>
        <v/>
      </c>
      <c r="W20" s="6">
        <f>Summary!W20</f>
        <v/>
      </c>
      <c r="X20" s="6">
        <f>Summary!X20</f>
        <v/>
      </c>
      <c r="Y20" s="6">
        <f>Summary!Y20</f>
        <v/>
      </c>
      <c r="Z20" s="6">
        <f>Summary!Z20</f>
        <v/>
      </c>
      <c r="AA20" s="6">
        <f>Summary!AA20</f>
        <v/>
      </c>
      <c r="AB20" s="6">
        <f>SUM(D20:AA20)</f>
        <v/>
      </c>
      <c r="AC20" s="3" t="inlineStr"/>
      <c r="AD20" s="7">
        <f>AA20*0.000680195+D20*0.000680195</f>
        <v/>
      </c>
      <c r="AE20" s="7">
        <f>D20*0.000680195+E20*0.000680195</f>
        <v/>
      </c>
      <c r="AF20" s="7">
        <f>E20*0.000680195+F20*0.000680195</f>
        <v/>
      </c>
      <c r="AG20" s="7">
        <f>F20*0.000680195+G20*0.000680195</f>
        <v/>
      </c>
      <c r="AH20" s="7">
        <f>G20*0.000680195+H20*0.000680195</f>
        <v/>
      </c>
      <c r="AI20" s="7">
        <f>H20*0.000680195+I20*0.000680195</f>
        <v/>
      </c>
      <c r="AJ20" s="7">
        <f>I20*0.000680195+J20*0.000680195</f>
        <v/>
      </c>
      <c r="AK20" s="7">
        <f>J20*0.000680195+K20*0.000680195</f>
        <v/>
      </c>
      <c r="AL20" s="7">
        <f>K20*0.000680195+L20*0.000680195</f>
        <v/>
      </c>
      <c r="AM20" s="7">
        <f>L20*0.000680195+M20*0.000680195</f>
        <v/>
      </c>
      <c r="AN20" s="7">
        <f>M20*0.000680195+N20*0.000680195</f>
        <v/>
      </c>
      <c r="AO20" s="7">
        <f>N20*0.000680195+O20*0.000680195</f>
        <v/>
      </c>
      <c r="AP20" s="7">
        <f>O20*0.000680195+P20*0.000680195</f>
        <v/>
      </c>
      <c r="AQ20" s="7">
        <f>P20*0.000680195+Q20*0.000680195</f>
        <v/>
      </c>
      <c r="AR20" s="7">
        <f>Q20*0.000680195+R20*0.000680195</f>
        <v/>
      </c>
      <c r="AS20" s="7">
        <f>R20*0.000680195+S20*0.000680195</f>
        <v/>
      </c>
      <c r="AT20" s="7">
        <f>S20*0.000680195+T20*0.000680195</f>
        <v/>
      </c>
      <c r="AU20" s="7">
        <f>T20*0.000680195+U20*0.000680195</f>
        <v/>
      </c>
      <c r="AV20" s="7">
        <f>U20*0.000680195+V20*0.000680195</f>
        <v/>
      </c>
      <c r="AW20" s="7">
        <f>V20*0.000680195+W20*0.000680195</f>
        <v/>
      </c>
      <c r="AX20" s="7">
        <f>W20*0.000680195+X20*0.000680195</f>
        <v/>
      </c>
      <c r="AY20" s="7">
        <f>X20*0.000680195+Y20*0.000680195</f>
        <v/>
      </c>
      <c r="AZ20" s="7">
        <f>Y20*0.000680195+Z20*0.000680195</f>
        <v/>
      </c>
      <c r="BA20" s="7">
        <f>Z20*0.000680195+AA20*0.000680195</f>
        <v/>
      </c>
      <c r="BB20" s="7">
        <f>SUM(AD20:BA20)</f>
        <v/>
      </c>
    </row>
    <row r="21">
      <c r="A21" t="inlineStr">
        <is>
          <t>AMD-EXPR</t>
        </is>
      </c>
      <c r="B21" t="inlineStr">
        <is>
          <t>DSC Manual</t>
        </is>
      </c>
      <c r="C21" s="5" t="n">
        <v>46100</v>
      </c>
      <c r="D21" s="6">
        <f>Summary!D21</f>
        <v/>
      </c>
      <c r="E21" s="6">
        <f>Summary!E21</f>
        <v/>
      </c>
      <c r="F21" s="6">
        <f>Summary!F21</f>
        <v/>
      </c>
      <c r="G21" s="6">
        <f>Summary!G21</f>
        <v/>
      </c>
      <c r="H21" s="6">
        <f>Summary!H21</f>
        <v/>
      </c>
      <c r="I21" s="6">
        <f>Summary!I21</f>
        <v/>
      </c>
      <c r="J21" s="6">
        <f>Summary!J21</f>
        <v/>
      </c>
      <c r="K21" s="6">
        <f>Summary!K21</f>
        <v/>
      </c>
      <c r="L21" s="6">
        <f>Summary!L21</f>
        <v/>
      </c>
      <c r="M21" s="6">
        <f>Summary!M21</f>
        <v/>
      </c>
      <c r="N21" s="6">
        <f>Summary!N21</f>
        <v/>
      </c>
      <c r="O21" s="6">
        <f>Summary!O21</f>
        <v/>
      </c>
      <c r="P21" s="6">
        <f>Summary!P21</f>
        <v/>
      </c>
      <c r="Q21" s="6">
        <f>Summary!Q21</f>
        <v/>
      </c>
      <c r="R21" s="6">
        <f>Summary!R21</f>
        <v/>
      </c>
      <c r="S21" s="6">
        <f>Summary!S21</f>
        <v/>
      </c>
      <c r="T21" s="6">
        <f>Summary!T21</f>
        <v/>
      </c>
      <c r="U21" s="6">
        <f>Summary!U21</f>
        <v/>
      </c>
      <c r="V21" s="6">
        <f>Summary!V21</f>
        <v/>
      </c>
      <c r="W21" s="6">
        <f>Summary!W21</f>
        <v/>
      </c>
      <c r="X21" s="6">
        <f>Summary!X21</f>
        <v/>
      </c>
      <c r="Y21" s="6">
        <f>Summary!Y21</f>
        <v/>
      </c>
      <c r="Z21" s="6">
        <f>Summary!Z21</f>
        <v/>
      </c>
      <c r="AA21" s="6">
        <f>Summary!AA21</f>
        <v/>
      </c>
      <c r="AB21" s="6">
        <f>SUM(D21:AA21)</f>
        <v/>
      </c>
      <c r="AC21" s="3" t="inlineStr"/>
      <c r="AD21" s="7">
        <f>AA21*0.000680195+D21*0.000680195</f>
        <v/>
      </c>
      <c r="AE21" s="7">
        <f>D21*0.000680195+E21*0.000680195</f>
        <v/>
      </c>
      <c r="AF21" s="7">
        <f>E21*0.000680195+F21*0.000680195</f>
        <v/>
      </c>
      <c r="AG21" s="7">
        <f>F21*0.000680195+G21*0.000680195</f>
        <v/>
      </c>
      <c r="AH21" s="7">
        <f>G21*0.000680195+H21*0.000680195</f>
        <v/>
      </c>
      <c r="AI21" s="7">
        <f>H21*0.000680195+I21*0.000680195</f>
        <v/>
      </c>
      <c r="AJ21" s="7">
        <f>I21*0.000680195+J21*0.000680195</f>
        <v/>
      </c>
      <c r="AK21" s="7">
        <f>J21*0.000680195+K21*0.000680195</f>
        <v/>
      </c>
      <c r="AL21" s="7">
        <f>K21*0.000680195+L21*0.000680195</f>
        <v/>
      </c>
      <c r="AM21" s="7">
        <f>L21*0.000680195+M21*0.000680195</f>
        <v/>
      </c>
      <c r="AN21" s="7">
        <f>M21*0.000680195+N21*0.000680195</f>
        <v/>
      </c>
      <c r="AO21" s="7">
        <f>N21*0.000680195+O21*0.000680195</f>
        <v/>
      </c>
      <c r="AP21" s="7">
        <f>O21*0.000680195+P21*0.000680195</f>
        <v/>
      </c>
      <c r="AQ21" s="7">
        <f>P21*0.000680195+Q21*0.000680195</f>
        <v/>
      </c>
      <c r="AR21" s="7">
        <f>Q21*0.000680195+R21*0.000680195</f>
        <v/>
      </c>
      <c r="AS21" s="7">
        <f>R21*0.000680195+S21*0.000680195</f>
        <v/>
      </c>
      <c r="AT21" s="7">
        <f>S21*0.000680195+T21*0.000680195</f>
        <v/>
      </c>
      <c r="AU21" s="7">
        <f>T21*0.000680195+U21*0.000680195</f>
        <v/>
      </c>
      <c r="AV21" s="7">
        <f>U21*0.000680195+V21*0.000680195</f>
        <v/>
      </c>
      <c r="AW21" s="7">
        <f>V21*0.000680195+W21*0.000680195</f>
        <v/>
      </c>
      <c r="AX21" s="7">
        <f>W21*0.000680195+X21*0.000680195</f>
        <v/>
      </c>
      <c r="AY21" s="7">
        <f>X21*0.000680195+Y21*0.000680195</f>
        <v/>
      </c>
      <c r="AZ21" s="7">
        <f>Y21*0.000680195+Z21*0.000680195</f>
        <v/>
      </c>
      <c r="BA21" s="7">
        <f>Z21*0.000680195+AA21*0.000680195</f>
        <v/>
      </c>
      <c r="BB21" s="7">
        <f>SUM(AD21:BA21)</f>
        <v/>
      </c>
    </row>
    <row r="22">
      <c r="A22" t="inlineStr">
        <is>
          <t>AMD-EXPR</t>
        </is>
      </c>
      <c r="B22" t="inlineStr">
        <is>
          <t>DSC Manual</t>
        </is>
      </c>
      <c r="C22" s="5" t="n">
        <v>46102</v>
      </c>
      <c r="D22" s="6">
        <f>Summary!D22</f>
        <v/>
      </c>
      <c r="E22" s="6">
        <f>Summary!E22</f>
        <v/>
      </c>
      <c r="F22" s="6">
        <f>Summary!F22</f>
        <v/>
      </c>
      <c r="G22" s="6">
        <f>Summary!G22</f>
        <v/>
      </c>
      <c r="H22" s="6">
        <f>Summary!H22</f>
        <v/>
      </c>
      <c r="I22" s="6">
        <f>Summary!I22</f>
        <v/>
      </c>
      <c r="J22" s="6">
        <f>Summary!J22</f>
        <v/>
      </c>
      <c r="K22" s="6">
        <f>Summary!K22</f>
        <v/>
      </c>
      <c r="L22" s="6">
        <f>Summary!L22</f>
        <v/>
      </c>
      <c r="M22" s="6">
        <f>Summary!M22</f>
        <v/>
      </c>
      <c r="N22" s="6">
        <f>Summary!N22</f>
        <v/>
      </c>
      <c r="O22" s="6">
        <f>Summary!O22</f>
        <v/>
      </c>
      <c r="P22" s="6">
        <f>Summary!P22</f>
        <v/>
      </c>
      <c r="Q22" s="6">
        <f>Summary!Q22</f>
        <v/>
      </c>
      <c r="R22" s="6">
        <f>Summary!R22</f>
        <v/>
      </c>
      <c r="S22" s="6">
        <f>Summary!S22</f>
        <v/>
      </c>
      <c r="T22" s="6">
        <f>Summary!T22</f>
        <v/>
      </c>
      <c r="U22" s="6">
        <f>Summary!U22</f>
        <v/>
      </c>
      <c r="V22" s="6">
        <f>Summary!V22</f>
        <v/>
      </c>
      <c r="W22" s="6">
        <f>Summary!W22</f>
        <v/>
      </c>
      <c r="X22" s="6">
        <f>Summary!X22</f>
        <v/>
      </c>
      <c r="Y22" s="6">
        <f>Summary!Y22</f>
        <v/>
      </c>
      <c r="Z22" s="6">
        <f>Summary!Z22</f>
        <v/>
      </c>
      <c r="AA22" s="6">
        <f>Summary!AA22</f>
        <v/>
      </c>
      <c r="AB22" s="6">
        <f>SUM(D22:AA22)</f>
        <v/>
      </c>
      <c r="AC22" s="3" t="inlineStr"/>
      <c r="AD22" s="7">
        <f>AA22*0.000680195+D22*0.000680195</f>
        <v/>
      </c>
      <c r="AE22" s="7">
        <f>D22*0.000680195+E22*0.000680195</f>
        <v/>
      </c>
      <c r="AF22" s="7">
        <f>E22*0.000680195+F22*0.000680195</f>
        <v/>
      </c>
      <c r="AG22" s="7">
        <f>F22*0.000680195+G22*0.000680195</f>
        <v/>
      </c>
      <c r="AH22" s="7">
        <f>G22*0.000680195+H22*0.000680195</f>
        <v/>
      </c>
      <c r="AI22" s="7">
        <f>H22*0.000680195+I22*0.000680195</f>
        <v/>
      </c>
      <c r="AJ22" s="7">
        <f>I22*0.000680195+J22*0.000680195</f>
        <v/>
      </c>
      <c r="AK22" s="7">
        <f>J22*0.000680195+K22*0.000680195</f>
        <v/>
      </c>
      <c r="AL22" s="7">
        <f>K22*0.000680195+L22*0.000680195</f>
        <v/>
      </c>
      <c r="AM22" s="7">
        <f>L22*0.000680195+M22*0.000680195</f>
        <v/>
      </c>
      <c r="AN22" s="7">
        <f>M22*0.000680195+N22*0.000680195</f>
        <v/>
      </c>
      <c r="AO22" s="7">
        <f>N22*0.000680195+O22*0.000680195</f>
        <v/>
      </c>
      <c r="AP22" s="7">
        <f>O22*0.000680195+P22*0.000680195</f>
        <v/>
      </c>
      <c r="AQ22" s="7">
        <f>P22*0.000680195+Q22*0.000680195</f>
        <v/>
      </c>
      <c r="AR22" s="7">
        <f>Q22*0.000680195+R22*0.000680195</f>
        <v/>
      </c>
      <c r="AS22" s="7">
        <f>R22*0.000680195+S22*0.000680195</f>
        <v/>
      </c>
      <c r="AT22" s="7">
        <f>S22*0.000680195+T22*0.000680195</f>
        <v/>
      </c>
      <c r="AU22" s="7">
        <f>T22*0.000680195+U22*0.000680195</f>
        <v/>
      </c>
      <c r="AV22" s="7">
        <f>U22*0.000680195+V22*0.000680195</f>
        <v/>
      </c>
      <c r="AW22" s="7">
        <f>V22*0.000680195+W22*0.000680195</f>
        <v/>
      </c>
      <c r="AX22" s="7">
        <f>W22*0.000680195+X22*0.000680195</f>
        <v/>
      </c>
      <c r="AY22" s="7">
        <f>X22*0.000680195+Y22*0.000680195</f>
        <v/>
      </c>
      <c r="AZ22" s="7">
        <f>Y22*0.000680195+Z22*0.000680195</f>
        <v/>
      </c>
      <c r="BA22" s="7">
        <f>Z22*0.000680195+AA22*0.000680195</f>
        <v/>
      </c>
      <c r="BB22" s="7">
        <f>SUM(AD22:BA22)</f>
        <v/>
      </c>
    </row>
    <row r="23">
      <c r="A23" t="inlineStr">
        <is>
          <t>AMD-EXPR</t>
        </is>
      </c>
      <c r="B23" t="inlineStr">
        <is>
          <t>DSC Manual</t>
        </is>
      </c>
      <c r="C23" s="5" t="n">
        <v>46103</v>
      </c>
      <c r="D23" s="6">
        <f>Summary!D23</f>
        <v/>
      </c>
      <c r="E23" s="6">
        <f>Summary!E23</f>
        <v/>
      </c>
      <c r="F23" s="6">
        <f>Summary!F23</f>
        <v/>
      </c>
      <c r="G23" s="6">
        <f>Summary!G23</f>
        <v/>
      </c>
      <c r="H23" s="6">
        <f>Summary!H23</f>
        <v/>
      </c>
      <c r="I23" s="6">
        <f>Summary!I23</f>
        <v/>
      </c>
      <c r="J23" s="6">
        <f>Summary!J23</f>
        <v/>
      </c>
      <c r="K23" s="6">
        <f>Summary!K23</f>
        <v/>
      </c>
      <c r="L23" s="6">
        <f>Summary!L23</f>
        <v/>
      </c>
      <c r="M23" s="6">
        <f>Summary!M23</f>
        <v/>
      </c>
      <c r="N23" s="6">
        <f>Summary!N23</f>
        <v/>
      </c>
      <c r="O23" s="6">
        <f>Summary!O23</f>
        <v/>
      </c>
      <c r="P23" s="6">
        <f>Summary!P23</f>
        <v/>
      </c>
      <c r="Q23" s="6">
        <f>Summary!Q23</f>
        <v/>
      </c>
      <c r="R23" s="6">
        <f>Summary!R23</f>
        <v/>
      </c>
      <c r="S23" s="6">
        <f>Summary!S23</f>
        <v/>
      </c>
      <c r="T23" s="6">
        <f>Summary!T23</f>
        <v/>
      </c>
      <c r="U23" s="6">
        <f>Summary!U23</f>
        <v/>
      </c>
      <c r="V23" s="6">
        <f>Summary!V23</f>
        <v/>
      </c>
      <c r="W23" s="6">
        <f>Summary!W23</f>
        <v/>
      </c>
      <c r="X23" s="6">
        <f>Summary!X23</f>
        <v/>
      </c>
      <c r="Y23" s="6">
        <f>Summary!Y23</f>
        <v/>
      </c>
      <c r="Z23" s="6">
        <f>Summary!Z23</f>
        <v/>
      </c>
      <c r="AA23" s="6">
        <f>Summary!AA23</f>
        <v/>
      </c>
      <c r="AB23" s="6">
        <f>SUM(D23:AA23)</f>
        <v/>
      </c>
      <c r="AC23" s="3" t="inlineStr"/>
      <c r="AD23" s="7">
        <f>AA23*0.000680195+D23*0.000680195</f>
        <v/>
      </c>
      <c r="AE23" s="7">
        <f>D23*0.000680195+E23*0.000680195</f>
        <v/>
      </c>
      <c r="AF23" s="7">
        <f>E23*0.000680195+F23*0.000680195</f>
        <v/>
      </c>
      <c r="AG23" s="7">
        <f>F23*0.000680195+G23*0.000680195</f>
        <v/>
      </c>
      <c r="AH23" s="7">
        <f>G23*0.000680195+H23*0.000680195</f>
        <v/>
      </c>
      <c r="AI23" s="7">
        <f>H23*0.000680195+I23*0.000680195</f>
        <v/>
      </c>
      <c r="AJ23" s="7">
        <f>I23*0.000680195+J23*0.000680195</f>
        <v/>
      </c>
      <c r="AK23" s="7">
        <f>J23*0.000680195+K23*0.000680195</f>
        <v/>
      </c>
      <c r="AL23" s="7">
        <f>K23*0.000680195+L23*0.000680195</f>
        <v/>
      </c>
      <c r="AM23" s="7">
        <f>L23*0.000680195+M23*0.000680195</f>
        <v/>
      </c>
      <c r="AN23" s="7">
        <f>M23*0.000680195+N23*0.000680195</f>
        <v/>
      </c>
      <c r="AO23" s="7">
        <f>N23*0.000680195+O23*0.000680195</f>
        <v/>
      </c>
      <c r="AP23" s="7">
        <f>O23*0.000680195+P23*0.000680195</f>
        <v/>
      </c>
      <c r="AQ23" s="7">
        <f>P23*0.000680195+Q23*0.000680195</f>
        <v/>
      </c>
      <c r="AR23" s="7">
        <f>Q23*0.000680195+R23*0.000680195</f>
        <v/>
      </c>
      <c r="AS23" s="7">
        <f>R23*0.000680195+S23*0.000680195</f>
        <v/>
      </c>
      <c r="AT23" s="7">
        <f>S23*0.000680195+T23*0.000680195</f>
        <v/>
      </c>
      <c r="AU23" s="7">
        <f>T23*0.000680195+U23*0.000680195</f>
        <v/>
      </c>
      <c r="AV23" s="7">
        <f>U23*0.000680195+V23*0.000680195</f>
        <v/>
      </c>
      <c r="AW23" s="7">
        <f>V23*0.000680195+W23*0.000680195</f>
        <v/>
      </c>
      <c r="AX23" s="7">
        <f>W23*0.000680195+X23*0.000680195</f>
        <v/>
      </c>
      <c r="AY23" s="7">
        <f>X23*0.000680195+Y23*0.000680195</f>
        <v/>
      </c>
      <c r="AZ23" s="7">
        <f>Y23*0.000680195+Z23*0.000680195</f>
        <v/>
      </c>
      <c r="BA23" s="7">
        <f>Z23*0.000680195+AA23*0.000680195</f>
        <v/>
      </c>
      <c r="BB23" s="7">
        <f>SUM(AD23:BA23)</f>
        <v/>
      </c>
    </row>
    <row r="24">
      <c r="A24" t="inlineStr">
        <is>
          <t>AMD-EXPR</t>
        </is>
      </c>
      <c r="B24" t="inlineStr">
        <is>
          <t>DSC Manual</t>
        </is>
      </c>
      <c r="C24" s="5" t="n">
        <v>46104</v>
      </c>
      <c r="D24" s="6">
        <f>Summary!D24</f>
        <v/>
      </c>
      <c r="E24" s="6">
        <f>Summary!E24</f>
        <v/>
      </c>
      <c r="F24" s="6">
        <f>Summary!F24</f>
        <v/>
      </c>
      <c r="G24" s="6">
        <f>Summary!G24</f>
        <v/>
      </c>
      <c r="H24" s="6">
        <f>Summary!H24</f>
        <v/>
      </c>
      <c r="I24" s="6">
        <f>Summary!I24</f>
        <v/>
      </c>
      <c r="J24" s="6">
        <f>Summary!J24</f>
        <v/>
      </c>
      <c r="K24" s="6">
        <f>Summary!K24</f>
        <v/>
      </c>
      <c r="L24" s="6">
        <f>Summary!L24</f>
        <v/>
      </c>
      <c r="M24" s="6">
        <f>Summary!M24</f>
        <v/>
      </c>
      <c r="N24" s="6">
        <f>Summary!N24</f>
        <v/>
      </c>
      <c r="O24" s="6">
        <f>Summary!O24</f>
        <v/>
      </c>
      <c r="P24" s="6">
        <f>Summary!P24</f>
        <v/>
      </c>
      <c r="Q24" s="6">
        <f>Summary!Q24</f>
        <v/>
      </c>
      <c r="R24" s="6">
        <f>Summary!R24</f>
        <v/>
      </c>
      <c r="S24" s="6">
        <f>Summary!S24</f>
        <v/>
      </c>
      <c r="T24" s="6">
        <f>Summary!T24</f>
        <v/>
      </c>
      <c r="U24" s="6">
        <f>Summary!U24</f>
        <v/>
      </c>
      <c r="V24" s="6">
        <f>Summary!V24</f>
        <v/>
      </c>
      <c r="W24" s="6">
        <f>Summary!W24</f>
        <v/>
      </c>
      <c r="X24" s="6">
        <f>Summary!X24</f>
        <v/>
      </c>
      <c r="Y24" s="6">
        <f>Summary!Y24</f>
        <v/>
      </c>
      <c r="Z24" s="6">
        <f>Summary!Z24</f>
        <v/>
      </c>
      <c r="AA24" s="6">
        <f>Summary!AA24</f>
        <v/>
      </c>
      <c r="AB24" s="6">
        <f>SUM(D24:AA24)</f>
        <v/>
      </c>
      <c r="AC24" s="3" t="inlineStr"/>
      <c r="AD24" s="7">
        <f>AA24*0.000680195+D24*0.000680195</f>
        <v/>
      </c>
      <c r="AE24" s="7">
        <f>D24*0.000680195+E24*0.000680195</f>
        <v/>
      </c>
      <c r="AF24" s="7">
        <f>E24*0.000680195+F24*0.000680195</f>
        <v/>
      </c>
      <c r="AG24" s="7">
        <f>F24*0.000680195+G24*0.000680195</f>
        <v/>
      </c>
      <c r="AH24" s="7">
        <f>G24*0.000680195+H24*0.000680195</f>
        <v/>
      </c>
      <c r="AI24" s="7">
        <f>H24*0.000680195+I24*0.000680195</f>
        <v/>
      </c>
      <c r="AJ24" s="7">
        <f>I24*0.000680195+J24*0.000680195</f>
        <v/>
      </c>
      <c r="AK24" s="7">
        <f>J24*0.000680195+K24*0.000680195</f>
        <v/>
      </c>
      <c r="AL24" s="7">
        <f>K24*0.000680195+L24*0.000680195</f>
        <v/>
      </c>
      <c r="AM24" s="7">
        <f>L24*0.000680195+M24*0.000680195</f>
        <v/>
      </c>
      <c r="AN24" s="7">
        <f>M24*0.000680195+N24*0.000680195</f>
        <v/>
      </c>
      <c r="AO24" s="7">
        <f>N24*0.000680195+O24*0.000680195</f>
        <v/>
      </c>
      <c r="AP24" s="7">
        <f>O24*0.000680195+P24*0.000680195</f>
        <v/>
      </c>
      <c r="AQ24" s="7">
        <f>P24*0.000680195+Q24*0.000680195</f>
        <v/>
      </c>
      <c r="AR24" s="7">
        <f>Q24*0.000680195+R24*0.000680195</f>
        <v/>
      </c>
      <c r="AS24" s="7">
        <f>R24*0.000680195+S24*0.000680195</f>
        <v/>
      </c>
      <c r="AT24" s="7">
        <f>S24*0.000680195+T24*0.000680195</f>
        <v/>
      </c>
      <c r="AU24" s="7">
        <f>T24*0.000680195+U24*0.000680195</f>
        <v/>
      </c>
      <c r="AV24" s="7">
        <f>U24*0.000680195+V24*0.000680195</f>
        <v/>
      </c>
      <c r="AW24" s="7">
        <f>V24*0.000680195+W24*0.000680195</f>
        <v/>
      </c>
      <c r="AX24" s="7">
        <f>W24*0.000680195+X24*0.000680195</f>
        <v/>
      </c>
      <c r="AY24" s="7">
        <f>X24*0.000680195+Y24*0.000680195</f>
        <v/>
      </c>
      <c r="AZ24" s="7">
        <f>Y24*0.000680195+Z24*0.000680195</f>
        <v/>
      </c>
      <c r="BA24" s="7">
        <f>Z24*0.000680195+AA24*0.000680195</f>
        <v/>
      </c>
      <c r="BB24" s="7">
        <f>SUM(AD24:BA24)</f>
        <v/>
      </c>
    </row>
    <row r="25">
      <c r="A25" t="inlineStr">
        <is>
          <t>AMD-EXPR</t>
        </is>
      </c>
      <c r="B25" t="inlineStr">
        <is>
          <t>DSC Manual</t>
        </is>
      </c>
      <c r="C25" s="5" t="n">
        <v>46105</v>
      </c>
      <c r="D25" s="6">
        <f>Summary!D25</f>
        <v/>
      </c>
      <c r="E25" s="6">
        <f>Summary!E25</f>
        <v/>
      </c>
      <c r="F25" s="6">
        <f>Summary!F25</f>
        <v/>
      </c>
      <c r="G25" s="6">
        <f>Summary!G25</f>
        <v/>
      </c>
      <c r="H25" s="6">
        <f>Summary!H25</f>
        <v/>
      </c>
      <c r="I25" s="6">
        <f>Summary!I25</f>
        <v/>
      </c>
      <c r="J25" s="6">
        <f>Summary!J25</f>
        <v/>
      </c>
      <c r="K25" s="6">
        <f>Summary!K25</f>
        <v/>
      </c>
      <c r="L25" s="6">
        <f>Summary!L25</f>
        <v/>
      </c>
      <c r="M25" s="6">
        <f>Summary!M25</f>
        <v/>
      </c>
      <c r="N25" s="6">
        <f>Summary!N25</f>
        <v/>
      </c>
      <c r="O25" s="6">
        <f>Summary!O25</f>
        <v/>
      </c>
      <c r="P25" s="6">
        <f>Summary!P25</f>
        <v/>
      </c>
      <c r="Q25" s="6">
        <f>Summary!Q25</f>
        <v/>
      </c>
      <c r="R25" s="6">
        <f>Summary!R25</f>
        <v/>
      </c>
      <c r="S25" s="6">
        <f>Summary!S25</f>
        <v/>
      </c>
      <c r="T25" s="6">
        <f>Summary!T25</f>
        <v/>
      </c>
      <c r="U25" s="6">
        <f>Summary!U25</f>
        <v/>
      </c>
      <c r="V25" s="6">
        <f>Summary!V25</f>
        <v/>
      </c>
      <c r="W25" s="6">
        <f>Summary!W25</f>
        <v/>
      </c>
      <c r="X25" s="6">
        <f>Summary!X25</f>
        <v/>
      </c>
      <c r="Y25" s="6">
        <f>Summary!Y25</f>
        <v/>
      </c>
      <c r="Z25" s="6">
        <f>Summary!Z25</f>
        <v/>
      </c>
      <c r="AA25" s="6">
        <f>Summary!AA25</f>
        <v/>
      </c>
      <c r="AB25" s="6">
        <f>SUM(D25:AA25)</f>
        <v/>
      </c>
      <c r="AC25" s="3" t="inlineStr"/>
      <c r="AD25" s="7">
        <f>AA25*0.000680195+D25*0.000680195</f>
        <v/>
      </c>
      <c r="AE25" s="7">
        <f>D25*0.000680195+E25*0.000680195</f>
        <v/>
      </c>
      <c r="AF25" s="7">
        <f>E25*0.000680195+F25*0.000680195</f>
        <v/>
      </c>
      <c r="AG25" s="7">
        <f>F25*0.000680195+G25*0.000680195</f>
        <v/>
      </c>
      <c r="AH25" s="7">
        <f>G25*0.000680195+H25*0.000680195</f>
        <v/>
      </c>
      <c r="AI25" s="7">
        <f>H25*0.000680195+I25*0.000680195</f>
        <v/>
      </c>
      <c r="AJ25" s="7">
        <f>I25*0.000680195+J25*0.000680195</f>
        <v/>
      </c>
      <c r="AK25" s="7">
        <f>J25*0.000680195+K25*0.000680195</f>
        <v/>
      </c>
      <c r="AL25" s="7">
        <f>K25*0.000680195+L25*0.000680195</f>
        <v/>
      </c>
      <c r="AM25" s="7">
        <f>L25*0.000680195+M25*0.000680195</f>
        <v/>
      </c>
      <c r="AN25" s="7">
        <f>M25*0.000680195+N25*0.000680195</f>
        <v/>
      </c>
      <c r="AO25" s="7">
        <f>N25*0.000680195+O25*0.000680195</f>
        <v/>
      </c>
      <c r="AP25" s="7">
        <f>O25*0.000680195+P25*0.000680195</f>
        <v/>
      </c>
      <c r="AQ25" s="7">
        <f>P25*0.000680195+Q25*0.000680195</f>
        <v/>
      </c>
      <c r="AR25" s="7">
        <f>Q25*0.000680195+R25*0.000680195</f>
        <v/>
      </c>
      <c r="AS25" s="7">
        <f>R25*0.000680195+S25*0.000680195</f>
        <v/>
      </c>
      <c r="AT25" s="7">
        <f>S25*0.000680195+T25*0.000680195</f>
        <v/>
      </c>
      <c r="AU25" s="7">
        <f>T25*0.000680195+U25*0.000680195</f>
        <v/>
      </c>
      <c r="AV25" s="7">
        <f>U25*0.000680195+V25*0.000680195</f>
        <v/>
      </c>
      <c r="AW25" s="7">
        <f>V25*0.000680195+W25*0.000680195</f>
        <v/>
      </c>
      <c r="AX25" s="7">
        <f>W25*0.000680195+X25*0.000680195</f>
        <v/>
      </c>
      <c r="AY25" s="7">
        <f>X25*0.000680195+Y25*0.000680195</f>
        <v/>
      </c>
      <c r="AZ25" s="7">
        <f>Y25*0.000680195+Z25*0.000680195</f>
        <v/>
      </c>
      <c r="BA25" s="7">
        <f>Z25*0.000680195+AA25*0.000680195</f>
        <v/>
      </c>
      <c r="BB25" s="7">
        <f>SUM(AD25:BA25)</f>
        <v/>
      </c>
    </row>
    <row r="26">
      <c r="A26" t="inlineStr">
        <is>
          <t>AMD-FK-SSC</t>
        </is>
      </c>
      <c r="B26" t="inlineStr">
        <is>
          <t>Prime at Client side</t>
        </is>
      </c>
      <c r="C26" s="5" t="n">
        <v>46089</v>
      </c>
      <c r="D26" s="6">
        <f>Summary!D26</f>
        <v/>
      </c>
      <c r="E26" s="6">
        <f>Summary!E26</f>
        <v/>
      </c>
      <c r="F26" s="6">
        <f>Summary!F26</f>
        <v/>
      </c>
      <c r="G26" s="6">
        <f>Summary!G26</f>
        <v/>
      </c>
      <c r="H26" s="6">
        <f>Summary!H26</f>
        <v/>
      </c>
      <c r="I26" s="6">
        <f>Summary!I26</f>
        <v/>
      </c>
      <c r="J26" s="6">
        <f>Summary!J26</f>
        <v/>
      </c>
      <c r="K26" s="6">
        <f>Summary!K26</f>
        <v/>
      </c>
      <c r="L26" s="6">
        <f>Summary!L26</f>
        <v/>
      </c>
      <c r="M26" s="6">
        <f>Summary!M26</f>
        <v/>
      </c>
      <c r="N26" s="6">
        <f>Summary!N26</f>
        <v/>
      </c>
      <c r="O26" s="6">
        <f>Summary!O26</f>
        <v/>
      </c>
      <c r="P26" s="6">
        <f>Summary!P26</f>
        <v/>
      </c>
      <c r="Q26" s="6">
        <f>Summary!Q26</f>
        <v/>
      </c>
      <c r="R26" s="6">
        <f>Summary!R26</f>
        <v/>
      </c>
      <c r="S26" s="6">
        <f>Summary!S26</f>
        <v/>
      </c>
      <c r="T26" s="6">
        <f>Summary!T26</f>
        <v/>
      </c>
      <c r="U26" s="6">
        <f>Summary!U26</f>
        <v/>
      </c>
      <c r="V26" s="6">
        <f>Summary!V26</f>
        <v/>
      </c>
      <c r="W26" s="6">
        <f>Summary!W26</f>
        <v/>
      </c>
      <c r="X26" s="6">
        <f>Summary!X26</f>
        <v/>
      </c>
      <c r="Y26" s="6">
        <f>Summary!Y26</f>
        <v/>
      </c>
      <c r="Z26" s="6">
        <f>Summary!Z26</f>
        <v/>
      </c>
      <c r="AA26" s="6">
        <f>Summary!AA26</f>
        <v/>
      </c>
      <c r="AB26" s="6">
        <f>SUM(D26:AA26)</f>
        <v/>
      </c>
      <c r="AC26" s="3" t="inlineStr"/>
      <c r="AD26" s="7">
        <f>AA26*0.000680195+D26*0.000680195</f>
        <v/>
      </c>
      <c r="AE26" s="7">
        <f>D26*0.000680195+E26*0.000680195</f>
        <v/>
      </c>
      <c r="AF26" s="7">
        <f>E26*0.000680195+F26*0.000680195</f>
        <v/>
      </c>
      <c r="AG26" s="7">
        <f>F26*0.000680195+G26*0.000680195</f>
        <v/>
      </c>
      <c r="AH26" s="7">
        <f>G26*0.000680195+H26*0.000680195</f>
        <v/>
      </c>
      <c r="AI26" s="7">
        <f>H26*0.000680195+I26*0.000680195</f>
        <v/>
      </c>
      <c r="AJ26" s="7">
        <f>I26*0.000680195+J26*0.000680195</f>
        <v/>
      </c>
      <c r="AK26" s="7">
        <f>J26*0.000680195+K26*0.000680195</f>
        <v/>
      </c>
      <c r="AL26" s="7">
        <f>K26*0.000680195+L26*0.000680195</f>
        <v/>
      </c>
      <c r="AM26" s="7">
        <f>L26*0.000680195+M26*0.000680195</f>
        <v/>
      </c>
      <c r="AN26" s="7">
        <f>M26*0.000680195+N26*0.000680195</f>
        <v/>
      </c>
      <c r="AO26" s="7">
        <f>N26*0.000680195+O26*0.000680195</f>
        <v/>
      </c>
      <c r="AP26" s="7">
        <f>O26*0.000680195+P26*0.000680195</f>
        <v/>
      </c>
      <c r="AQ26" s="7">
        <f>P26*0.000680195+Q26*0.000680195</f>
        <v/>
      </c>
      <c r="AR26" s="7">
        <f>Q26*0.000680195+R26*0.000680195</f>
        <v/>
      </c>
      <c r="AS26" s="7">
        <f>R26*0.000680195+S26*0.000680195</f>
        <v/>
      </c>
      <c r="AT26" s="7">
        <f>S26*0.000680195+T26*0.000680195</f>
        <v/>
      </c>
      <c r="AU26" s="7">
        <f>T26*0.000680195+U26*0.000680195</f>
        <v/>
      </c>
      <c r="AV26" s="7">
        <f>U26*0.000680195+V26*0.000680195</f>
        <v/>
      </c>
      <c r="AW26" s="7">
        <f>V26*0.000680195+W26*0.000680195</f>
        <v/>
      </c>
      <c r="AX26" s="7">
        <f>W26*0.000680195+X26*0.000680195</f>
        <v/>
      </c>
      <c r="AY26" s="7">
        <f>X26*0.000680195+Y26*0.000680195</f>
        <v/>
      </c>
      <c r="AZ26" s="7">
        <f>Y26*0.000680195+Z26*0.000680195</f>
        <v/>
      </c>
      <c r="BA26" s="7">
        <f>Z26*0.000680195+AA26*0.000680195</f>
        <v/>
      </c>
      <c r="BB26" s="7">
        <f>SUM(AD26:BA26)</f>
        <v/>
      </c>
    </row>
    <row r="27">
      <c r="A27" t="inlineStr">
        <is>
          <t>AMD-FK-SSC</t>
        </is>
      </c>
      <c r="B27" t="inlineStr">
        <is>
          <t>Prime at Client side</t>
        </is>
      </c>
      <c r="C27" s="5" t="n">
        <v>46090</v>
      </c>
      <c r="D27" s="6">
        <f>Summary!D27</f>
        <v/>
      </c>
      <c r="E27" s="6">
        <f>Summary!E27</f>
        <v/>
      </c>
      <c r="F27" s="6">
        <f>Summary!F27</f>
        <v/>
      </c>
      <c r="G27" s="6">
        <f>Summary!G27</f>
        <v/>
      </c>
      <c r="H27" s="6">
        <f>Summary!H27</f>
        <v/>
      </c>
      <c r="I27" s="6">
        <f>Summary!I27</f>
        <v/>
      </c>
      <c r="J27" s="6">
        <f>Summary!J27</f>
        <v/>
      </c>
      <c r="K27" s="6">
        <f>Summary!K27</f>
        <v/>
      </c>
      <c r="L27" s="6">
        <f>Summary!L27</f>
        <v/>
      </c>
      <c r="M27" s="6">
        <f>Summary!M27</f>
        <v/>
      </c>
      <c r="N27" s="6">
        <f>Summary!N27</f>
        <v/>
      </c>
      <c r="O27" s="6">
        <f>Summary!O27</f>
        <v/>
      </c>
      <c r="P27" s="6">
        <f>Summary!P27</f>
        <v/>
      </c>
      <c r="Q27" s="6">
        <f>Summary!Q27</f>
        <v/>
      </c>
      <c r="R27" s="6">
        <f>Summary!R27</f>
        <v/>
      </c>
      <c r="S27" s="6">
        <f>Summary!S27</f>
        <v/>
      </c>
      <c r="T27" s="6">
        <f>Summary!T27</f>
        <v/>
      </c>
      <c r="U27" s="6">
        <f>Summary!U27</f>
        <v/>
      </c>
      <c r="V27" s="6">
        <f>Summary!V27</f>
        <v/>
      </c>
      <c r="W27" s="6">
        <f>Summary!W27</f>
        <v/>
      </c>
      <c r="X27" s="6">
        <f>Summary!X27</f>
        <v/>
      </c>
      <c r="Y27" s="6">
        <f>Summary!Y27</f>
        <v/>
      </c>
      <c r="Z27" s="6">
        <f>Summary!Z27</f>
        <v/>
      </c>
      <c r="AA27" s="6">
        <f>Summary!AA27</f>
        <v/>
      </c>
      <c r="AB27" s="6">
        <f>SUM(D27:AA27)</f>
        <v/>
      </c>
      <c r="AC27" s="3" t="inlineStr"/>
      <c r="AD27" s="7">
        <f>AA27*0.000680195+D27*0.000680195</f>
        <v/>
      </c>
      <c r="AE27" s="7">
        <f>D27*0.000680195+E27*0.000680195</f>
        <v/>
      </c>
      <c r="AF27" s="7">
        <f>E27*0.000680195+F27*0.000680195</f>
        <v/>
      </c>
      <c r="AG27" s="7">
        <f>F27*0.000680195+G27*0.000680195</f>
        <v/>
      </c>
      <c r="AH27" s="7">
        <f>G27*0.000680195+H27*0.000680195</f>
        <v/>
      </c>
      <c r="AI27" s="7">
        <f>H27*0.000680195+I27*0.000680195</f>
        <v/>
      </c>
      <c r="AJ27" s="7">
        <f>I27*0.000680195+J27*0.000680195</f>
        <v/>
      </c>
      <c r="AK27" s="7">
        <f>J27*0.000680195+K27*0.000680195</f>
        <v/>
      </c>
      <c r="AL27" s="7">
        <f>K27*0.000680195+L27*0.000680195</f>
        <v/>
      </c>
      <c r="AM27" s="7">
        <f>L27*0.000680195+M27*0.000680195</f>
        <v/>
      </c>
      <c r="AN27" s="7">
        <f>M27*0.000680195+N27*0.000680195</f>
        <v/>
      </c>
      <c r="AO27" s="7">
        <f>N27*0.000680195+O27*0.000680195</f>
        <v/>
      </c>
      <c r="AP27" s="7">
        <f>O27*0.000680195+P27*0.000680195</f>
        <v/>
      </c>
      <c r="AQ27" s="7">
        <f>P27*0.000680195+Q27*0.000680195</f>
        <v/>
      </c>
      <c r="AR27" s="7">
        <f>Q27*0.000680195+R27*0.000680195</f>
        <v/>
      </c>
      <c r="AS27" s="7">
        <f>R27*0.000680195+S27*0.000680195</f>
        <v/>
      </c>
      <c r="AT27" s="7">
        <f>S27*0.000680195+T27*0.000680195</f>
        <v/>
      </c>
      <c r="AU27" s="7">
        <f>T27*0.000680195+U27*0.000680195</f>
        <v/>
      </c>
      <c r="AV27" s="7">
        <f>U27*0.000680195+V27*0.000680195</f>
        <v/>
      </c>
      <c r="AW27" s="7">
        <f>V27*0.000680195+W27*0.000680195</f>
        <v/>
      </c>
      <c r="AX27" s="7">
        <f>W27*0.000680195+X27*0.000680195</f>
        <v/>
      </c>
      <c r="AY27" s="7">
        <f>X27*0.000680195+Y27*0.000680195</f>
        <v/>
      </c>
      <c r="AZ27" s="7">
        <f>Y27*0.000680195+Z27*0.000680195</f>
        <v/>
      </c>
      <c r="BA27" s="7">
        <f>Z27*0.000680195+AA27*0.000680195</f>
        <v/>
      </c>
      <c r="BB27" s="7">
        <f>SUM(AD27:BA27)</f>
        <v/>
      </c>
    </row>
    <row r="28">
      <c r="A28" t="inlineStr">
        <is>
          <t>AMD-FK-SSC</t>
        </is>
      </c>
      <c r="B28" t="inlineStr">
        <is>
          <t>Prime at Client side</t>
        </is>
      </c>
      <c r="C28" s="5" t="n">
        <v>46091</v>
      </c>
      <c r="D28" s="6">
        <f>Summary!D28</f>
        <v/>
      </c>
      <c r="E28" s="6">
        <f>Summary!E28</f>
        <v/>
      </c>
      <c r="F28" s="6">
        <f>Summary!F28</f>
        <v/>
      </c>
      <c r="G28" s="6">
        <f>Summary!G28</f>
        <v/>
      </c>
      <c r="H28" s="6">
        <f>Summary!H28</f>
        <v/>
      </c>
      <c r="I28" s="6">
        <f>Summary!I28</f>
        <v/>
      </c>
      <c r="J28" s="6">
        <f>Summary!J28</f>
        <v/>
      </c>
      <c r="K28" s="6">
        <f>Summary!K28</f>
        <v/>
      </c>
      <c r="L28" s="6">
        <f>Summary!L28</f>
        <v/>
      </c>
      <c r="M28" s="6">
        <f>Summary!M28</f>
        <v/>
      </c>
      <c r="N28" s="6">
        <f>Summary!N28</f>
        <v/>
      </c>
      <c r="O28" s="6">
        <f>Summary!O28</f>
        <v/>
      </c>
      <c r="P28" s="6">
        <f>Summary!P28</f>
        <v/>
      </c>
      <c r="Q28" s="6">
        <f>Summary!Q28</f>
        <v/>
      </c>
      <c r="R28" s="6">
        <f>Summary!R28</f>
        <v/>
      </c>
      <c r="S28" s="6">
        <f>Summary!S28</f>
        <v/>
      </c>
      <c r="T28" s="6">
        <f>Summary!T28</f>
        <v/>
      </c>
      <c r="U28" s="6">
        <f>Summary!U28</f>
        <v/>
      </c>
      <c r="V28" s="6">
        <f>Summary!V28</f>
        <v/>
      </c>
      <c r="W28" s="6">
        <f>Summary!W28</f>
        <v/>
      </c>
      <c r="X28" s="6">
        <f>Summary!X28</f>
        <v/>
      </c>
      <c r="Y28" s="6">
        <f>Summary!Y28</f>
        <v/>
      </c>
      <c r="Z28" s="6">
        <f>Summary!Z28</f>
        <v/>
      </c>
      <c r="AA28" s="6">
        <f>Summary!AA28</f>
        <v/>
      </c>
      <c r="AB28" s="6">
        <f>SUM(D28:AA28)</f>
        <v/>
      </c>
      <c r="AC28" s="3" t="inlineStr"/>
      <c r="AD28" s="7">
        <f>AA28*0.000680195+D28*0.000680195</f>
        <v/>
      </c>
      <c r="AE28" s="7">
        <f>D28*0.000680195+E28*0.000680195</f>
        <v/>
      </c>
      <c r="AF28" s="7">
        <f>E28*0.000680195+F28*0.000680195</f>
        <v/>
      </c>
      <c r="AG28" s="7">
        <f>F28*0.000680195+G28*0.000680195</f>
        <v/>
      </c>
      <c r="AH28" s="7">
        <f>G28*0.000680195+H28*0.000680195</f>
        <v/>
      </c>
      <c r="AI28" s="7">
        <f>H28*0.000680195+I28*0.000680195</f>
        <v/>
      </c>
      <c r="AJ28" s="7">
        <f>I28*0.000680195+J28*0.000680195</f>
        <v/>
      </c>
      <c r="AK28" s="7">
        <f>J28*0.000680195+K28*0.000680195</f>
        <v/>
      </c>
      <c r="AL28" s="7">
        <f>K28*0.000680195+L28*0.000680195</f>
        <v/>
      </c>
      <c r="AM28" s="7">
        <f>L28*0.000680195+M28*0.000680195</f>
        <v/>
      </c>
      <c r="AN28" s="7">
        <f>M28*0.000680195+N28*0.000680195</f>
        <v/>
      </c>
      <c r="AO28" s="7">
        <f>N28*0.000680195+O28*0.000680195</f>
        <v/>
      </c>
      <c r="AP28" s="7">
        <f>O28*0.000680195+P28*0.000680195</f>
        <v/>
      </c>
      <c r="AQ28" s="7">
        <f>P28*0.000680195+Q28*0.000680195</f>
        <v/>
      </c>
      <c r="AR28" s="7">
        <f>Q28*0.000680195+R28*0.000680195</f>
        <v/>
      </c>
      <c r="AS28" s="7">
        <f>R28*0.000680195+S28*0.000680195</f>
        <v/>
      </c>
      <c r="AT28" s="7">
        <f>S28*0.000680195+T28*0.000680195</f>
        <v/>
      </c>
      <c r="AU28" s="7">
        <f>T28*0.000680195+U28*0.000680195</f>
        <v/>
      </c>
      <c r="AV28" s="7">
        <f>U28*0.000680195+V28*0.000680195</f>
        <v/>
      </c>
      <c r="AW28" s="7">
        <f>V28*0.000680195+W28*0.000680195</f>
        <v/>
      </c>
      <c r="AX28" s="7">
        <f>W28*0.000680195+X28*0.000680195</f>
        <v/>
      </c>
      <c r="AY28" s="7">
        <f>X28*0.000680195+Y28*0.000680195</f>
        <v/>
      </c>
      <c r="AZ28" s="7">
        <f>Y28*0.000680195+Z28*0.000680195</f>
        <v/>
      </c>
      <c r="BA28" s="7">
        <f>Z28*0.000680195+AA28*0.000680195</f>
        <v/>
      </c>
      <c r="BB28" s="7">
        <f>SUM(AD28:BA28)</f>
        <v/>
      </c>
    </row>
    <row r="29">
      <c r="A29" t="inlineStr">
        <is>
          <t>AMD-FK-SSC</t>
        </is>
      </c>
      <c r="B29" t="inlineStr">
        <is>
          <t>Prime at Client side</t>
        </is>
      </c>
      <c r="C29" s="5" t="n">
        <v>46092</v>
      </c>
      <c r="D29" s="6">
        <f>Summary!D29</f>
        <v/>
      </c>
      <c r="E29" s="6">
        <f>Summary!E29</f>
        <v/>
      </c>
      <c r="F29" s="6">
        <f>Summary!F29</f>
        <v/>
      </c>
      <c r="G29" s="6">
        <f>Summary!G29</f>
        <v/>
      </c>
      <c r="H29" s="6">
        <f>Summary!H29</f>
        <v/>
      </c>
      <c r="I29" s="6">
        <f>Summary!I29</f>
        <v/>
      </c>
      <c r="J29" s="6">
        <f>Summary!J29</f>
        <v/>
      </c>
      <c r="K29" s="6">
        <f>Summary!K29</f>
        <v/>
      </c>
      <c r="L29" s="6">
        <f>Summary!L29</f>
        <v/>
      </c>
      <c r="M29" s="6">
        <f>Summary!M29</f>
        <v/>
      </c>
      <c r="N29" s="6">
        <f>Summary!N29</f>
        <v/>
      </c>
      <c r="O29" s="6">
        <f>Summary!O29</f>
        <v/>
      </c>
      <c r="P29" s="6">
        <f>Summary!P29</f>
        <v/>
      </c>
      <c r="Q29" s="6">
        <f>Summary!Q29</f>
        <v/>
      </c>
      <c r="R29" s="6">
        <f>Summary!R29</f>
        <v/>
      </c>
      <c r="S29" s="6">
        <f>Summary!S29</f>
        <v/>
      </c>
      <c r="T29" s="6">
        <f>Summary!T29</f>
        <v/>
      </c>
      <c r="U29" s="6">
        <f>Summary!U29</f>
        <v/>
      </c>
      <c r="V29" s="6">
        <f>Summary!V29</f>
        <v/>
      </c>
      <c r="W29" s="6">
        <f>Summary!W29</f>
        <v/>
      </c>
      <c r="X29" s="6">
        <f>Summary!X29</f>
        <v/>
      </c>
      <c r="Y29" s="6">
        <f>Summary!Y29</f>
        <v/>
      </c>
      <c r="Z29" s="6">
        <f>Summary!Z29</f>
        <v/>
      </c>
      <c r="AA29" s="6">
        <f>Summary!AA29</f>
        <v/>
      </c>
      <c r="AB29" s="6">
        <f>SUM(D29:AA29)</f>
        <v/>
      </c>
      <c r="AC29" s="3" t="inlineStr"/>
      <c r="AD29" s="7">
        <f>AA29*0.000680195+D29*0.000680195</f>
        <v/>
      </c>
      <c r="AE29" s="7">
        <f>D29*0.000680195+E29*0.000680195</f>
        <v/>
      </c>
      <c r="AF29" s="7">
        <f>E29*0.000680195+F29*0.000680195</f>
        <v/>
      </c>
      <c r="AG29" s="7">
        <f>F29*0.000680195+G29*0.000680195</f>
        <v/>
      </c>
      <c r="AH29" s="7">
        <f>G29*0.000680195+H29*0.000680195</f>
        <v/>
      </c>
      <c r="AI29" s="7">
        <f>H29*0.000680195+I29*0.000680195</f>
        <v/>
      </c>
      <c r="AJ29" s="7">
        <f>I29*0.000680195+J29*0.000680195</f>
        <v/>
      </c>
      <c r="AK29" s="7">
        <f>J29*0.000680195+K29*0.000680195</f>
        <v/>
      </c>
      <c r="AL29" s="7">
        <f>K29*0.000680195+L29*0.000680195</f>
        <v/>
      </c>
      <c r="AM29" s="7">
        <f>L29*0.000680195+M29*0.000680195</f>
        <v/>
      </c>
      <c r="AN29" s="7">
        <f>M29*0.000680195+N29*0.000680195</f>
        <v/>
      </c>
      <c r="AO29" s="7">
        <f>N29*0.000680195+O29*0.000680195</f>
        <v/>
      </c>
      <c r="AP29" s="7">
        <f>O29*0.000680195+P29*0.000680195</f>
        <v/>
      </c>
      <c r="AQ29" s="7">
        <f>P29*0.000680195+Q29*0.000680195</f>
        <v/>
      </c>
      <c r="AR29" s="7">
        <f>Q29*0.000680195+R29*0.000680195</f>
        <v/>
      </c>
      <c r="AS29" s="7">
        <f>R29*0.000680195+S29*0.000680195</f>
        <v/>
      </c>
      <c r="AT29" s="7">
        <f>S29*0.000680195+T29*0.000680195</f>
        <v/>
      </c>
      <c r="AU29" s="7">
        <f>T29*0.000680195+U29*0.000680195</f>
        <v/>
      </c>
      <c r="AV29" s="7">
        <f>U29*0.000680195+V29*0.000680195</f>
        <v/>
      </c>
      <c r="AW29" s="7">
        <f>V29*0.000680195+W29*0.000680195</f>
        <v/>
      </c>
      <c r="AX29" s="7">
        <f>W29*0.000680195+X29*0.000680195</f>
        <v/>
      </c>
      <c r="AY29" s="7">
        <f>X29*0.000680195+Y29*0.000680195</f>
        <v/>
      </c>
      <c r="AZ29" s="7">
        <f>Y29*0.000680195+Z29*0.000680195</f>
        <v/>
      </c>
      <c r="BA29" s="7">
        <f>Z29*0.000680195+AA29*0.000680195</f>
        <v/>
      </c>
      <c r="BB29" s="7">
        <f>SUM(AD29:BA29)</f>
        <v/>
      </c>
    </row>
    <row r="30">
      <c r="A30" t="inlineStr">
        <is>
          <t>AMD-FK-SSC</t>
        </is>
      </c>
      <c r="B30" t="inlineStr">
        <is>
          <t>Prime at Client side</t>
        </is>
      </c>
      <c r="C30" s="5" t="n">
        <v>46093</v>
      </c>
      <c r="D30" s="6">
        <f>Summary!D30</f>
        <v/>
      </c>
      <c r="E30" s="6">
        <f>Summary!E30</f>
        <v/>
      </c>
      <c r="F30" s="6">
        <f>Summary!F30</f>
        <v/>
      </c>
      <c r="G30" s="6">
        <f>Summary!G30</f>
        <v/>
      </c>
      <c r="H30" s="6">
        <f>Summary!H30</f>
        <v/>
      </c>
      <c r="I30" s="6">
        <f>Summary!I30</f>
        <v/>
      </c>
      <c r="J30" s="6">
        <f>Summary!J30</f>
        <v/>
      </c>
      <c r="K30" s="6">
        <f>Summary!K30</f>
        <v/>
      </c>
      <c r="L30" s="6">
        <f>Summary!L30</f>
        <v/>
      </c>
      <c r="M30" s="6">
        <f>Summary!M30</f>
        <v/>
      </c>
      <c r="N30" s="6">
        <f>Summary!N30</f>
        <v/>
      </c>
      <c r="O30" s="6">
        <f>Summary!O30</f>
        <v/>
      </c>
      <c r="P30" s="6">
        <f>Summary!P30</f>
        <v/>
      </c>
      <c r="Q30" s="6">
        <f>Summary!Q30</f>
        <v/>
      </c>
      <c r="R30" s="6">
        <f>Summary!R30</f>
        <v/>
      </c>
      <c r="S30" s="6">
        <f>Summary!S30</f>
        <v/>
      </c>
      <c r="T30" s="6">
        <f>Summary!T30</f>
        <v/>
      </c>
      <c r="U30" s="6">
        <f>Summary!U30</f>
        <v/>
      </c>
      <c r="V30" s="6">
        <f>Summary!V30</f>
        <v/>
      </c>
      <c r="W30" s="6">
        <f>Summary!W30</f>
        <v/>
      </c>
      <c r="X30" s="6">
        <f>Summary!X30</f>
        <v/>
      </c>
      <c r="Y30" s="6">
        <f>Summary!Y30</f>
        <v/>
      </c>
      <c r="Z30" s="6">
        <f>Summary!Z30</f>
        <v/>
      </c>
      <c r="AA30" s="6">
        <f>Summary!AA30</f>
        <v/>
      </c>
      <c r="AB30" s="6">
        <f>SUM(D30:AA30)</f>
        <v/>
      </c>
      <c r="AC30" s="3" t="inlineStr"/>
      <c r="AD30" s="7">
        <f>AA30*0.000680195+D30*0.000680195</f>
        <v/>
      </c>
      <c r="AE30" s="7">
        <f>D30*0.000680195+E30*0.000680195</f>
        <v/>
      </c>
      <c r="AF30" s="7">
        <f>E30*0.000680195+F30*0.000680195</f>
        <v/>
      </c>
      <c r="AG30" s="7">
        <f>F30*0.000680195+G30*0.000680195</f>
        <v/>
      </c>
      <c r="AH30" s="7">
        <f>G30*0.000680195+H30*0.000680195</f>
        <v/>
      </c>
      <c r="AI30" s="7">
        <f>H30*0.000680195+I30*0.000680195</f>
        <v/>
      </c>
      <c r="AJ30" s="7">
        <f>I30*0.000680195+J30*0.000680195</f>
        <v/>
      </c>
      <c r="AK30" s="7">
        <f>J30*0.000680195+K30*0.000680195</f>
        <v/>
      </c>
      <c r="AL30" s="7">
        <f>K30*0.000680195+L30*0.000680195</f>
        <v/>
      </c>
      <c r="AM30" s="7">
        <f>L30*0.000680195+M30*0.000680195</f>
        <v/>
      </c>
      <c r="AN30" s="7">
        <f>M30*0.000680195+N30*0.000680195</f>
        <v/>
      </c>
      <c r="AO30" s="7">
        <f>N30*0.000680195+O30*0.000680195</f>
        <v/>
      </c>
      <c r="AP30" s="7">
        <f>O30*0.000680195+P30*0.000680195</f>
        <v/>
      </c>
      <c r="AQ30" s="7">
        <f>P30*0.000680195+Q30*0.000680195</f>
        <v/>
      </c>
      <c r="AR30" s="7">
        <f>Q30*0.000680195+R30*0.000680195</f>
        <v/>
      </c>
      <c r="AS30" s="7">
        <f>R30*0.000680195+S30*0.000680195</f>
        <v/>
      </c>
      <c r="AT30" s="7">
        <f>S30*0.000680195+T30*0.000680195</f>
        <v/>
      </c>
      <c r="AU30" s="7">
        <f>T30*0.000680195+U30*0.000680195</f>
        <v/>
      </c>
      <c r="AV30" s="7">
        <f>U30*0.000680195+V30*0.000680195</f>
        <v/>
      </c>
      <c r="AW30" s="7">
        <f>V30*0.000680195+W30*0.000680195</f>
        <v/>
      </c>
      <c r="AX30" s="7">
        <f>W30*0.000680195+X30*0.000680195</f>
        <v/>
      </c>
      <c r="AY30" s="7">
        <f>X30*0.000680195+Y30*0.000680195</f>
        <v/>
      </c>
      <c r="AZ30" s="7">
        <f>Y30*0.000680195+Z30*0.000680195</f>
        <v/>
      </c>
      <c r="BA30" s="7">
        <f>Z30*0.000680195+AA30*0.000680195</f>
        <v/>
      </c>
      <c r="BB30" s="7">
        <f>SUM(AD30:BA30)</f>
        <v/>
      </c>
    </row>
    <row r="31">
      <c r="A31" t="inlineStr">
        <is>
          <t>AMD-FK-SSC</t>
        </is>
      </c>
      <c r="B31" t="inlineStr">
        <is>
          <t>Prime at Client side</t>
        </is>
      </c>
      <c r="C31" s="5" t="n">
        <v>46094</v>
      </c>
      <c r="D31" s="6">
        <f>Summary!D31</f>
        <v/>
      </c>
      <c r="E31" s="6">
        <f>Summary!E31</f>
        <v/>
      </c>
      <c r="F31" s="6">
        <f>Summary!F31</f>
        <v/>
      </c>
      <c r="G31" s="6">
        <f>Summary!G31</f>
        <v/>
      </c>
      <c r="H31" s="6">
        <f>Summary!H31</f>
        <v/>
      </c>
      <c r="I31" s="6">
        <f>Summary!I31</f>
        <v/>
      </c>
      <c r="J31" s="6">
        <f>Summary!J31</f>
        <v/>
      </c>
      <c r="K31" s="6">
        <f>Summary!K31</f>
        <v/>
      </c>
      <c r="L31" s="6">
        <f>Summary!L31</f>
        <v/>
      </c>
      <c r="M31" s="6">
        <f>Summary!M31</f>
        <v/>
      </c>
      <c r="N31" s="6">
        <f>Summary!N31</f>
        <v/>
      </c>
      <c r="O31" s="6">
        <f>Summary!O31</f>
        <v/>
      </c>
      <c r="P31" s="6">
        <f>Summary!P31</f>
        <v/>
      </c>
      <c r="Q31" s="6">
        <f>Summary!Q31</f>
        <v/>
      </c>
      <c r="R31" s="6">
        <f>Summary!R31</f>
        <v/>
      </c>
      <c r="S31" s="6">
        <f>Summary!S31</f>
        <v/>
      </c>
      <c r="T31" s="6">
        <f>Summary!T31</f>
        <v/>
      </c>
      <c r="U31" s="6">
        <f>Summary!U31</f>
        <v/>
      </c>
      <c r="V31" s="6">
        <f>Summary!V31</f>
        <v/>
      </c>
      <c r="W31" s="6">
        <f>Summary!W31</f>
        <v/>
      </c>
      <c r="X31" s="6">
        <f>Summary!X31</f>
        <v/>
      </c>
      <c r="Y31" s="6">
        <f>Summary!Y31</f>
        <v/>
      </c>
      <c r="Z31" s="6">
        <f>Summary!Z31</f>
        <v/>
      </c>
      <c r="AA31" s="6">
        <f>Summary!AA31</f>
        <v/>
      </c>
      <c r="AB31" s="6">
        <f>SUM(D31:AA31)</f>
        <v/>
      </c>
      <c r="AC31" s="3" t="inlineStr"/>
      <c r="AD31" s="7">
        <f>AA31*0.000680195+D31*0.000680195</f>
        <v/>
      </c>
      <c r="AE31" s="7">
        <f>D31*0.000680195+E31*0.000680195</f>
        <v/>
      </c>
      <c r="AF31" s="7">
        <f>E31*0.000680195+F31*0.000680195</f>
        <v/>
      </c>
      <c r="AG31" s="7">
        <f>F31*0.000680195+G31*0.000680195</f>
        <v/>
      </c>
      <c r="AH31" s="7">
        <f>G31*0.000680195+H31*0.000680195</f>
        <v/>
      </c>
      <c r="AI31" s="7">
        <f>H31*0.000680195+I31*0.000680195</f>
        <v/>
      </c>
      <c r="AJ31" s="7">
        <f>I31*0.000680195+J31*0.000680195</f>
        <v/>
      </c>
      <c r="AK31" s="7">
        <f>J31*0.000680195+K31*0.000680195</f>
        <v/>
      </c>
      <c r="AL31" s="7">
        <f>K31*0.000680195+L31*0.000680195</f>
        <v/>
      </c>
      <c r="AM31" s="7">
        <f>L31*0.000680195+M31*0.000680195</f>
        <v/>
      </c>
      <c r="AN31" s="7">
        <f>M31*0.000680195+N31*0.000680195</f>
        <v/>
      </c>
      <c r="AO31" s="7">
        <f>N31*0.000680195+O31*0.000680195</f>
        <v/>
      </c>
      <c r="AP31" s="7">
        <f>O31*0.000680195+P31*0.000680195</f>
        <v/>
      </c>
      <c r="AQ31" s="7">
        <f>P31*0.000680195+Q31*0.000680195</f>
        <v/>
      </c>
      <c r="AR31" s="7">
        <f>Q31*0.000680195+R31*0.000680195</f>
        <v/>
      </c>
      <c r="AS31" s="7">
        <f>R31*0.000680195+S31*0.000680195</f>
        <v/>
      </c>
      <c r="AT31" s="7">
        <f>S31*0.000680195+T31*0.000680195</f>
        <v/>
      </c>
      <c r="AU31" s="7">
        <f>T31*0.000680195+U31*0.000680195</f>
        <v/>
      </c>
      <c r="AV31" s="7">
        <f>U31*0.000680195+V31*0.000680195</f>
        <v/>
      </c>
      <c r="AW31" s="7">
        <f>V31*0.000680195+W31*0.000680195</f>
        <v/>
      </c>
      <c r="AX31" s="7">
        <f>W31*0.000680195+X31*0.000680195</f>
        <v/>
      </c>
      <c r="AY31" s="7">
        <f>X31*0.000680195+Y31*0.000680195</f>
        <v/>
      </c>
      <c r="AZ31" s="7">
        <f>Y31*0.000680195+Z31*0.000680195</f>
        <v/>
      </c>
      <c r="BA31" s="7">
        <f>Z31*0.000680195+AA31*0.000680195</f>
        <v/>
      </c>
      <c r="BB31" s="7">
        <f>SUM(AD31:BA31)</f>
        <v/>
      </c>
    </row>
    <row r="32">
      <c r="A32" t="inlineStr">
        <is>
          <t>AMD-FK-SSC</t>
        </is>
      </c>
      <c r="B32" t="inlineStr">
        <is>
          <t>Prime at Client side</t>
        </is>
      </c>
      <c r="C32" s="5" t="n">
        <v>46095</v>
      </c>
      <c r="D32" s="6">
        <f>Summary!D32</f>
        <v/>
      </c>
      <c r="E32" s="6">
        <f>Summary!E32</f>
        <v/>
      </c>
      <c r="F32" s="6">
        <f>Summary!F32</f>
        <v/>
      </c>
      <c r="G32" s="6">
        <f>Summary!G32</f>
        <v/>
      </c>
      <c r="H32" s="6">
        <f>Summary!H32</f>
        <v/>
      </c>
      <c r="I32" s="6">
        <f>Summary!I32</f>
        <v/>
      </c>
      <c r="J32" s="6">
        <f>Summary!J32</f>
        <v/>
      </c>
      <c r="K32" s="6">
        <f>Summary!K32</f>
        <v/>
      </c>
      <c r="L32" s="6">
        <f>Summary!L32</f>
        <v/>
      </c>
      <c r="M32" s="6">
        <f>Summary!M32</f>
        <v/>
      </c>
      <c r="N32" s="6">
        <f>Summary!N32</f>
        <v/>
      </c>
      <c r="O32" s="6">
        <f>Summary!O32</f>
        <v/>
      </c>
      <c r="P32" s="6">
        <f>Summary!P32</f>
        <v/>
      </c>
      <c r="Q32" s="6">
        <f>Summary!Q32</f>
        <v/>
      </c>
      <c r="R32" s="6">
        <f>Summary!R32</f>
        <v/>
      </c>
      <c r="S32" s="6">
        <f>Summary!S32</f>
        <v/>
      </c>
      <c r="T32" s="6">
        <f>Summary!T32</f>
        <v/>
      </c>
      <c r="U32" s="6">
        <f>Summary!U32</f>
        <v/>
      </c>
      <c r="V32" s="6">
        <f>Summary!V32</f>
        <v/>
      </c>
      <c r="W32" s="6">
        <f>Summary!W32</f>
        <v/>
      </c>
      <c r="X32" s="6">
        <f>Summary!X32</f>
        <v/>
      </c>
      <c r="Y32" s="6">
        <f>Summary!Y32</f>
        <v/>
      </c>
      <c r="Z32" s="6">
        <f>Summary!Z32</f>
        <v/>
      </c>
      <c r="AA32" s="6">
        <f>Summary!AA32</f>
        <v/>
      </c>
      <c r="AB32" s="6">
        <f>SUM(D32:AA32)</f>
        <v/>
      </c>
      <c r="AC32" s="3" t="inlineStr"/>
      <c r="AD32" s="7">
        <f>AA32*0.000680195+D32*0.000680195</f>
        <v/>
      </c>
      <c r="AE32" s="7">
        <f>D32*0.000680195+E32*0.000680195</f>
        <v/>
      </c>
      <c r="AF32" s="7">
        <f>E32*0.000680195+F32*0.000680195</f>
        <v/>
      </c>
      <c r="AG32" s="7">
        <f>F32*0.000680195+G32*0.000680195</f>
        <v/>
      </c>
      <c r="AH32" s="7">
        <f>G32*0.000680195+H32*0.000680195</f>
        <v/>
      </c>
      <c r="AI32" s="7">
        <f>H32*0.000680195+I32*0.000680195</f>
        <v/>
      </c>
      <c r="AJ32" s="7">
        <f>I32*0.000680195+J32*0.000680195</f>
        <v/>
      </c>
      <c r="AK32" s="7">
        <f>J32*0.000680195+K32*0.000680195</f>
        <v/>
      </c>
      <c r="AL32" s="7">
        <f>K32*0.000680195+L32*0.000680195</f>
        <v/>
      </c>
      <c r="AM32" s="7">
        <f>L32*0.000680195+M32*0.000680195</f>
        <v/>
      </c>
      <c r="AN32" s="7">
        <f>M32*0.000680195+N32*0.000680195</f>
        <v/>
      </c>
      <c r="AO32" s="7">
        <f>N32*0.000680195+O32*0.000680195</f>
        <v/>
      </c>
      <c r="AP32" s="7">
        <f>O32*0.000680195+P32*0.000680195</f>
        <v/>
      </c>
      <c r="AQ32" s="7">
        <f>P32*0.000680195+Q32*0.000680195</f>
        <v/>
      </c>
      <c r="AR32" s="7">
        <f>Q32*0.000680195+R32*0.000680195</f>
        <v/>
      </c>
      <c r="AS32" s="7">
        <f>R32*0.000680195+S32*0.000680195</f>
        <v/>
      </c>
      <c r="AT32" s="7">
        <f>S32*0.000680195+T32*0.000680195</f>
        <v/>
      </c>
      <c r="AU32" s="7">
        <f>T32*0.000680195+U32*0.000680195</f>
        <v/>
      </c>
      <c r="AV32" s="7">
        <f>U32*0.000680195+V32*0.000680195</f>
        <v/>
      </c>
      <c r="AW32" s="7">
        <f>V32*0.000680195+W32*0.000680195</f>
        <v/>
      </c>
      <c r="AX32" s="7">
        <f>W32*0.000680195+X32*0.000680195</f>
        <v/>
      </c>
      <c r="AY32" s="7">
        <f>X32*0.000680195+Y32*0.000680195</f>
        <v/>
      </c>
      <c r="AZ32" s="7">
        <f>Y32*0.000680195+Z32*0.000680195</f>
        <v/>
      </c>
      <c r="BA32" s="7">
        <f>Z32*0.000680195+AA32*0.000680195</f>
        <v/>
      </c>
      <c r="BB32" s="7">
        <f>SUM(AD32:BA32)</f>
        <v/>
      </c>
    </row>
    <row r="33">
      <c r="A33" t="inlineStr">
        <is>
          <t>AMD-FK-SSC</t>
        </is>
      </c>
      <c r="B33" t="inlineStr">
        <is>
          <t>Prime at Client side</t>
        </is>
      </c>
      <c r="C33" s="5" t="n">
        <v>46096</v>
      </c>
      <c r="D33" s="6">
        <f>Summary!D33</f>
        <v/>
      </c>
      <c r="E33" s="6">
        <f>Summary!E33</f>
        <v/>
      </c>
      <c r="F33" s="6">
        <f>Summary!F33</f>
        <v/>
      </c>
      <c r="G33" s="6">
        <f>Summary!G33</f>
        <v/>
      </c>
      <c r="H33" s="6">
        <f>Summary!H33</f>
        <v/>
      </c>
      <c r="I33" s="6">
        <f>Summary!I33</f>
        <v/>
      </c>
      <c r="J33" s="6">
        <f>Summary!J33</f>
        <v/>
      </c>
      <c r="K33" s="6">
        <f>Summary!K33</f>
        <v/>
      </c>
      <c r="L33" s="6">
        <f>Summary!L33</f>
        <v/>
      </c>
      <c r="M33" s="6">
        <f>Summary!M33</f>
        <v/>
      </c>
      <c r="N33" s="6">
        <f>Summary!N33</f>
        <v/>
      </c>
      <c r="O33" s="6">
        <f>Summary!O33</f>
        <v/>
      </c>
      <c r="P33" s="6">
        <f>Summary!P33</f>
        <v/>
      </c>
      <c r="Q33" s="6">
        <f>Summary!Q33</f>
        <v/>
      </c>
      <c r="R33" s="6">
        <f>Summary!R33</f>
        <v/>
      </c>
      <c r="S33" s="6">
        <f>Summary!S33</f>
        <v/>
      </c>
      <c r="T33" s="6">
        <f>Summary!T33</f>
        <v/>
      </c>
      <c r="U33" s="6">
        <f>Summary!U33</f>
        <v/>
      </c>
      <c r="V33" s="6">
        <f>Summary!V33</f>
        <v/>
      </c>
      <c r="W33" s="6">
        <f>Summary!W33</f>
        <v/>
      </c>
      <c r="X33" s="6">
        <f>Summary!X33</f>
        <v/>
      </c>
      <c r="Y33" s="6">
        <f>Summary!Y33</f>
        <v/>
      </c>
      <c r="Z33" s="6">
        <f>Summary!Z33</f>
        <v/>
      </c>
      <c r="AA33" s="6">
        <f>Summary!AA33</f>
        <v/>
      </c>
      <c r="AB33" s="6">
        <f>SUM(D33:AA33)</f>
        <v/>
      </c>
      <c r="AC33" s="3" t="inlineStr"/>
      <c r="AD33" s="7">
        <f>AA33*0.000680195+D33*0.000680195</f>
        <v/>
      </c>
      <c r="AE33" s="7">
        <f>D33*0.000680195+E33*0.000680195</f>
        <v/>
      </c>
      <c r="AF33" s="7">
        <f>E33*0.000680195+F33*0.000680195</f>
        <v/>
      </c>
      <c r="AG33" s="7">
        <f>F33*0.000680195+G33*0.000680195</f>
        <v/>
      </c>
      <c r="AH33" s="7">
        <f>G33*0.000680195+H33*0.000680195</f>
        <v/>
      </c>
      <c r="AI33" s="7">
        <f>H33*0.000680195+I33*0.000680195</f>
        <v/>
      </c>
      <c r="AJ33" s="7">
        <f>I33*0.000680195+J33*0.000680195</f>
        <v/>
      </c>
      <c r="AK33" s="7">
        <f>J33*0.000680195+K33*0.000680195</f>
        <v/>
      </c>
      <c r="AL33" s="7">
        <f>K33*0.000680195+L33*0.000680195</f>
        <v/>
      </c>
      <c r="AM33" s="7">
        <f>L33*0.000680195+M33*0.000680195</f>
        <v/>
      </c>
      <c r="AN33" s="7">
        <f>M33*0.000680195+N33*0.000680195</f>
        <v/>
      </c>
      <c r="AO33" s="7">
        <f>N33*0.000680195+O33*0.000680195</f>
        <v/>
      </c>
      <c r="AP33" s="7">
        <f>O33*0.000680195+P33*0.000680195</f>
        <v/>
      </c>
      <c r="AQ33" s="7">
        <f>P33*0.000680195+Q33*0.000680195</f>
        <v/>
      </c>
      <c r="AR33" s="7">
        <f>Q33*0.000680195+R33*0.000680195</f>
        <v/>
      </c>
      <c r="AS33" s="7">
        <f>R33*0.000680195+S33*0.000680195</f>
        <v/>
      </c>
      <c r="AT33" s="7">
        <f>S33*0.000680195+T33*0.000680195</f>
        <v/>
      </c>
      <c r="AU33" s="7">
        <f>T33*0.000680195+U33*0.000680195</f>
        <v/>
      </c>
      <c r="AV33" s="7">
        <f>U33*0.000680195+V33*0.000680195</f>
        <v/>
      </c>
      <c r="AW33" s="7">
        <f>V33*0.000680195+W33*0.000680195</f>
        <v/>
      </c>
      <c r="AX33" s="7">
        <f>W33*0.000680195+X33*0.000680195</f>
        <v/>
      </c>
      <c r="AY33" s="7">
        <f>X33*0.000680195+Y33*0.000680195</f>
        <v/>
      </c>
      <c r="AZ33" s="7">
        <f>Y33*0.000680195+Z33*0.000680195</f>
        <v/>
      </c>
      <c r="BA33" s="7">
        <f>Z33*0.000680195+AA33*0.000680195</f>
        <v/>
      </c>
      <c r="BB33" s="7">
        <f>SUM(AD33:BA33)</f>
        <v/>
      </c>
    </row>
    <row r="34">
      <c r="A34" t="inlineStr">
        <is>
          <t>AMD-FK-SSC</t>
        </is>
      </c>
      <c r="B34" t="inlineStr">
        <is>
          <t>Prime at Client side</t>
        </is>
      </c>
      <c r="C34" s="5" t="n">
        <v>46097</v>
      </c>
      <c r="D34" s="6">
        <f>Summary!D34</f>
        <v/>
      </c>
      <c r="E34" s="6">
        <f>Summary!E34</f>
        <v/>
      </c>
      <c r="F34" s="6">
        <f>Summary!F34</f>
        <v/>
      </c>
      <c r="G34" s="6">
        <f>Summary!G34</f>
        <v/>
      </c>
      <c r="H34" s="6">
        <f>Summary!H34</f>
        <v/>
      </c>
      <c r="I34" s="6">
        <f>Summary!I34</f>
        <v/>
      </c>
      <c r="J34" s="6">
        <f>Summary!J34</f>
        <v/>
      </c>
      <c r="K34" s="6">
        <f>Summary!K34</f>
        <v/>
      </c>
      <c r="L34" s="6">
        <f>Summary!L34</f>
        <v/>
      </c>
      <c r="M34" s="6">
        <f>Summary!M34</f>
        <v/>
      </c>
      <c r="N34" s="6">
        <f>Summary!N34</f>
        <v/>
      </c>
      <c r="O34" s="6">
        <f>Summary!O34</f>
        <v/>
      </c>
      <c r="P34" s="6">
        <f>Summary!P34</f>
        <v/>
      </c>
      <c r="Q34" s="6">
        <f>Summary!Q34</f>
        <v/>
      </c>
      <c r="R34" s="6">
        <f>Summary!R34</f>
        <v/>
      </c>
      <c r="S34" s="6">
        <f>Summary!S34</f>
        <v/>
      </c>
      <c r="T34" s="6">
        <f>Summary!T34</f>
        <v/>
      </c>
      <c r="U34" s="6">
        <f>Summary!U34</f>
        <v/>
      </c>
      <c r="V34" s="6">
        <f>Summary!V34</f>
        <v/>
      </c>
      <c r="W34" s="6">
        <f>Summary!W34</f>
        <v/>
      </c>
      <c r="X34" s="6">
        <f>Summary!X34</f>
        <v/>
      </c>
      <c r="Y34" s="6">
        <f>Summary!Y34</f>
        <v/>
      </c>
      <c r="Z34" s="6">
        <f>Summary!Z34</f>
        <v/>
      </c>
      <c r="AA34" s="6">
        <f>Summary!AA34</f>
        <v/>
      </c>
      <c r="AB34" s="6">
        <f>SUM(D34:AA34)</f>
        <v/>
      </c>
      <c r="AC34" s="3" t="inlineStr"/>
      <c r="AD34" s="7">
        <f>AA34*0.000680195+D34*0.000680195</f>
        <v/>
      </c>
      <c r="AE34" s="7">
        <f>D34*0.000680195+E34*0.000680195</f>
        <v/>
      </c>
      <c r="AF34" s="7">
        <f>E34*0.000680195+F34*0.000680195</f>
        <v/>
      </c>
      <c r="AG34" s="7">
        <f>F34*0.000680195+G34*0.000680195</f>
        <v/>
      </c>
      <c r="AH34" s="7">
        <f>G34*0.000680195+H34*0.000680195</f>
        <v/>
      </c>
      <c r="AI34" s="7">
        <f>H34*0.000680195+I34*0.000680195</f>
        <v/>
      </c>
      <c r="AJ34" s="7">
        <f>I34*0.000680195+J34*0.000680195</f>
        <v/>
      </c>
      <c r="AK34" s="7">
        <f>J34*0.000680195+K34*0.000680195</f>
        <v/>
      </c>
      <c r="AL34" s="7">
        <f>K34*0.000680195+L34*0.000680195</f>
        <v/>
      </c>
      <c r="AM34" s="7">
        <f>L34*0.000680195+M34*0.000680195</f>
        <v/>
      </c>
      <c r="AN34" s="7">
        <f>M34*0.000680195+N34*0.000680195</f>
        <v/>
      </c>
      <c r="AO34" s="7">
        <f>N34*0.000680195+O34*0.000680195</f>
        <v/>
      </c>
      <c r="AP34" s="7">
        <f>O34*0.000680195+P34*0.000680195</f>
        <v/>
      </c>
      <c r="AQ34" s="7">
        <f>P34*0.000680195+Q34*0.000680195</f>
        <v/>
      </c>
      <c r="AR34" s="7">
        <f>Q34*0.000680195+R34*0.000680195</f>
        <v/>
      </c>
      <c r="AS34" s="7">
        <f>R34*0.000680195+S34*0.000680195</f>
        <v/>
      </c>
      <c r="AT34" s="7">
        <f>S34*0.000680195+T34*0.000680195</f>
        <v/>
      </c>
      <c r="AU34" s="7">
        <f>T34*0.000680195+U34*0.000680195</f>
        <v/>
      </c>
      <c r="AV34" s="7">
        <f>U34*0.000680195+V34*0.000680195</f>
        <v/>
      </c>
      <c r="AW34" s="7">
        <f>V34*0.000680195+W34*0.000680195</f>
        <v/>
      </c>
      <c r="AX34" s="7">
        <f>W34*0.000680195+X34*0.000680195</f>
        <v/>
      </c>
      <c r="AY34" s="7">
        <f>X34*0.000680195+Y34*0.000680195</f>
        <v/>
      </c>
      <c r="AZ34" s="7">
        <f>Y34*0.000680195+Z34*0.000680195</f>
        <v/>
      </c>
      <c r="BA34" s="7">
        <f>Z34*0.000680195+AA34*0.000680195</f>
        <v/>
      </c>
      <c r="BB34" s="7">
        <f>SUM(AD34:BA34)</f>
        <v/>
      </c>
    </row>
    <row r="35">
      <c r="A35" t="inlineStr">
        <is>
          <t>AMD-FK-SSC</t>
        </is>
      </c>
      <c r="B35" t="inlineStr">
        <is>
          <t>Prime at Client side</t>
        </is>
      </c>
      <c r="C35" s="5" t="n">
        <v>46098</v>
      </c>
      <c r="D35" s="6">
        <f>Summary!D35</f>
        <v/>
      </c>
      <c r="E35" s="6">
        <f>Summary!E35</f>
        <v/>
      </c>
      <c r="F35" s="6">
        <f>Summary!F35</f>
        <v/>
      </c>
      <c r="G35" s="6">
        <f>Summary!G35</f>
        <v/>
      </c>
      <c r="H35" s="6">
        <f>Summary!H35</f>
        <v/>
      </c>
      <c r="I35" s="6">
        <f>Summary!I35</f>
        <v/>
      </c>
      <c r="J35" s="6">
        <f>Summary!J35</f>
        <v/>
      </c>
      <c r="K35" s="6">
        <f>Summary!K35</f>
        <v/>
      </c>
      <c r="L35" s="6">
        <f>Summary!L35</f>
        <v/>
      </c>
      <c r="M35" s="6">
        <f>Summary!M35</f>
        <v/>
      </c>
      <c r="N35" s="6">
        <f>Summary!N35</f>
        <v/>
      </c>
      <c r="O35" s="6">
        <f>Summary!O35</f>
        <v/>
      </c>
      <c r="P35" s="6">
        <f>Summary!P35</f>
        <v/>
      </c>
      <c r="Q35" s="6">
        <f>Summary!Q35</f>
        <v/>
      </c>
      <c r="R35" s="6">
        <f>Summary!R35</f>
        <v/>
      </c>
      <c r="S35" s="6">
        <f>Summary!S35</f>
        <v/>
      </c>
      <c r="T35" s="6">
        <f>Summary!T35</f>
        <v/>
      </c>
      <c r="U35" s="6">
        <f>Summary!U35</f>
        <v/>
      </c>
      <c r="V35" s="6">
        <f>Summary!V35</f>
        <v/>
      </c>
      <c r="W35" s="6">
        <f>Summary!W35</f>
        <v/>
      </c>
      <c r="X35" s="6">
        <f>Summary!X35</f>
        <v/>
      </c>
      <c r="Y35" s="6">
        <f>Summary!Y35</f>
        <v/>
      </c>
      <c r="Z35" s="6">
        <f>Summary!Z35</f>
        <v/>
      </c>
      <c r="AA35" s="6">
        <f>Summary!AA35</f>
        <v/>
      </c>
      <c r="AB35" s="6">
        <f>SUM(D35:AA35)</f>
        <v/>
      </c>
      <c r="AC35" s="3" t="inlineStr"/>
      <c r="AD35" s="7">
        <f>AA35*0.000680195+D35*0.000680195</f>
        <v/>
      </c>
      <c r="AE35" s="7">
        <f>D35*0.000680195+E35*0.000680195</f>
        <v/>
      </c>
      <c r="AF35" s="7">
        <f>E35*0.000680195+F35*0.000680195</f>
        <v/>
      </c>
      <c r="AG35" s="7">
        <f>F35*0.000680195+G35*0.000680195</f>
        <v/>
      </c>
      <c r="AH35" s="7">
        <f>G35*0.000680195+H35*0.000680195</f>
        <v/>
      </c>
      <c r="AI35" s="7">
        <f>H35*0.000680195+I35*0.000680195</f>
        <v/>
      </c>
      <c r="AJ35" s="7">
        <f>I35*0.000680195+J35*0.000680195</f>
        <v/>
      </c>
      <c r="AK35" s="7">
        <f>J35*0.000680195+K35*0.000680195</f>
        <v/>
      </c>
      <c r="AL35" s="7">
        <f>K35*0.000680195+L35*0.000680195</f>
        <v/>
      </c>
      <c r="AM35" s="7">
        <f>L35*0.000680195+M35*0.000680195</f>
        <v/>
      </c>
      <c r="AN35" s="7">
        <f>M35*0.000680195+N35*0.000680195</f>
        <v/>
      </c>
      <c r="AO35" s="7">
        <f>N35*0.000680195+O35*0.000680195</f>
        <v/>
      </c>
      <c r="AP35" s="7">
        <f>O35*0.000680195+P35*0.000680195</f>
        <v/>
      </c>
      <c r="AQ35" s="7">
        <f>P35*0.000680195+Q35*0.000680195</f>
        <v/>
      </c>
      <c r="AR35" s="7">
        <f>Q35*0.000680195+R35*0.000680195</f>
        <v/>
      </c>
      <c r="AS35" s="7">
        <f>R35*0.000680195+S35*0.000680195</f>
        <v/>
      </c>
      <c r="AT35" s="7">
        <f>S35*0.000680195+T35*0.000680195</f>
        <v/>
      </c>
      <c r="AU35" s="7">
        <f>T35*0.000680195+U35*0.000680195</f>
        <v/>
      </c>
      <c r="AV35" s="7">
        <f>U35*0.000680195+V35*0.000680195</f>
        <v/>
      </c>
      <c r="AW35" s="7">
        <f>V35*0.000680195+W35*0.000680195</f>
        <v/>
      </c>
      <c r="AX35" s="7">
        <f>W35*0.000680195+X35*0.000680195</f>
        <v/>
      </c>
      <c r="AY35" s="7">
        <f>X35*0.000680195+Y35*0.000680195</f>
        <v/>
      </c>
      <c r="AZ35" s="7">
        <f>Y35*0.000680195+Z35*0.000680195</f>
        <v/>
      </c>
      <c r="BA35" s="7">
        <f>Z35*0.000680195+AA35*0.000680195</f>
        <v/>
      </c>
      <c r="BB35" s="7">
        <f>SUM(AD35:BA35)</f>
        <v/>
      </c>
    </row>
    <row r="36">
      <c r="A36" t="inlineStr">
        <is>
          <t>AMD-FK-SSC</t>
        </is>
      </c>
      <c r="B36" t="inlineStr">
        <is>
          <t>Prime at Client side</t>
        </is>
      </c>
      <c r="C36" s="5" t="n">
        <v>46099</v>
      </c>
      <c r="D36" s="6">
        <f>Summary!D36</f>
        <v/>
      </c>
      <c r="E36" s="6">
        <f>Summary!E36</f>
        <v/>
      </c>
      <c r="F36" s="6">
        <f>Summary!F36</f>
        <v/>
      </c>
      <c r="G36" s="6">
        <f>Summary!G36</f>
        <v/>
      </c>
      <c r="H36" s="6">
        <f>Summary!H36</f>
        <v/>
      </c>
      <c r="I36" s="6">
        <f>Summary!I36</f>
        <v/>
      </c>
      <c r="J36" s="6">
        <f>Summary!J36</f>
        <v/>
      </c>
      <c r="K36" s="6">
        <f>Summary!K36</f>
        <v/>
      </c>
      <c r="L36" s="6">
        <f>Summary!L36</f>
        <v/>
      </c>
      <c r="M36" s="6">
        <f>Summary!M36</f>
        <v/>
      </c>
      <c r="N36" s="6">
        <f>Summary!N36</f>
        <v/>
      </c>
      <c r="O36" s="6">
        <f>Summary!O36</f>
        <v/>
      </c>
      <c r="P36" s="6">
        <f>Summary!P36</f>
        <v/>
      </c>
      <c r="Q36" s="6">
        <f>Summary!Q36</f>
        <v/>
      </c>
      <c r="R36" s="6">
        <f>Summary!R36</f>
        <v/>
      </c>
      <c r="S36" s="6">
        <f>Summary!S36</f>
        <v/>
      </c>
      <c r="T36" s="6">
        <f>Summary!T36</f>
        <v/>
      </c>
      <c r="U36" s="6">
        <f>Summary!U36</f>
        <v/>
      </c>
      <c r="V36" s="6">
        <f>Summary!V36</f>
        <v/>
      </c>
      <c r="W36" s="6">
        <f>Summary!W36</f>
        <v/>
      </c>
      <c r="X36" s="6">
        <f>Summary!X36</f>
        <v/>
      </c>
      <c r="Y36" s="6">
        <f>Summary!Y36</f>
        <v/>
      </c>
      <c r="Z36" s="6">
        <f>Summary!Z36</f>
        <v/>
      </c>
      <c r="AA36" s="6">
        <f>Summary!AA36</f>
        <v/>
      </c>
      <c r="AB36" s="6">
        <f>SUM(D36:AA36)</f>
        <v/>
      </c>
      <c r="AC36" s="3" t="inlineStr"/>
      <c r="AD36" s="7">
        <f>AA36*0.000680195+D36*0.000680195</f>
        <v/>
      </c>
      <c r="AE36" s="7">
        <f>D36*0.000680195+E36*0.000680195</f>
        <v/>
      </c>
      <c r="AF36" s="7">
        <f>E36*0.000680195+F36*0.000680195</f>
        <v/>
      </c>
      <c r="AG36" s="7">
        <f>F36*0.000680195+G36*0.000680195</f>
        <v/>
      </c>
      <c r="AH36" s="7">
        <f>G36*0.000680195+H36*0.000680195</f>
        <v/>
      </c>
      <c r="AI36" s="7">
        <f>H36*0.000680195+I36*0.000680195</f>
        <v/>
      </c>
      <c r="AJ36" s="7">
        <f>I36*0.000680195+J36*0.000680195</f>
        <v/>
      </c>
      <c r="AK36" s="7">
        <f>J36*0.000680195+K36*0.000680195</f>
        <v/>
      </c>
      <c r="AL36" s="7">
        <f>K36*0.000680195+L36*0.000680195</f>
        <v/>
      </c>
      <c r="AM36" s="7">
        <f>L36*0.000680195+M36*0.000680195</f>
        <v/>
      </c>
      <c r="AN36" s="7">
        <f>M36*0.000680195+N36*0.000680195</f>
        <v/>
      </c>
      <c r="AO36" s="7">
        <f>N36*0.000680195+O36*0.000680195</f>
        <v/>
      </c>
      <c r="AP36" s="7">
        <f>O36*0.000680195+P36*0.000680195</f>
        <v/>
      </c>
      <c r="AQ36" s="7">
        <f>P36*0.000680195+Q36*0.000680195</f>
        <v/>
      </c>
      <c r="AR36" s="7">
        <f>Q36*0.000680195+R36*0.000680195</f>
        <v/>
      </c>
      <c r="AS36" s="7">
        <f>R36*0.000680195+S36*0.000680195</f>
        <v/>
      </c>
      <c r="AT36" s="7">
        <f>S36*0.000680195+T36*0.000680195</f>
        <v/>
      </c>
      <c r="AU36" s="7">
        <f>T36*0.000680195+U36*0.000680195</f>
        <v/>
      </c>
      <c r="AV36" s="7">
        <f>U36*0.000680195+V36*0.000680195</f>
        <v/>
      </c>
      <c r="AW36" s="7">
        <f>V36*0.000680195+W36*0.000680195</f>
        <v/>
      </c>
      <c r="AX36" s="7">
        <f>W36*0.000680195+X36*0.000680195</f>
        <v/>
      </c>
      <c r="AY36" s="7">
        <f>X36*0.000680195+Y36*0.000680195</f>
        <v/>
      </c>
      <c r="AZ36" s="7">
        <f>Y36*0.000680195+Z36*0.000680195</f>
        <v/>
      </c>
      <c r="BA36" s="7">
        <f>Z36*0.000680195+AA36*0.000680195</f>
        <v/>
      </c>
      <c r="BB36" s="7">
        <f>SUM(AD36:BA36)</f>
        <v/>
      </c>
    </row>
    <row r="37">
      <c r="A37" t="inlineStr">
        <is>
          <t>AMD-FK-SSC</t>
        </is>
      </c>
      <c r="B37" t="inlineStr">
        <is>
          <t>Prime at Client side</t>
        </is>
      </c>
      <c r="C37" s="5" t="n">
        <v>46100</v>
      </c>
      <c r="D37" s="6">
        <f>Summary!D37</f>
        <v/>
      </c>
      <c r="E37" s="6">
        <f>Summary!E37</f>
        <v/>
      </c>
      <c r="F37" s="6">
        <f>Summary!F37</f>
        <v/>
      </c>
      <c r="G37" s="6">
        <f>Summary!G37</f>
        <v/>
      </c>
      <c r="H37" s="6">
        <f>Summary!H37</f>
        <v/>
      </c>
      <c r="I37" s="6">
        <f>Summary!I37</f>
        <v/>
      </c>
      <c r="J37" s="6">
        <f>Summary!J37</f>
        <v/>
      </c>
      <c r="K37" s="6">
        <f>Summary!K37</f>
        <v/>
      </c>
      <c r="L37" s="6">
        <f>Summary!L37</f>
        <v/>
      </c>
      <c r="M37" s="6">
        <f>Summary!M37</f>
        <v/>
      </c>
      <c r="N37" s="6">
        <f>Summary!N37</f>
        <v/>
      </c>
      <c r="O37" s="6">
        <f>Summary!O37</f>
        <v/>
      </c>
      <c r="P37" s="6">
        <f>Summary!P37</f>
        <v/>
      </c>
      <c r="Q37" s="6">
        <f>Summary!Q37</f>
        <v/>
      </c>
      <c r="R37" s="6">
        <f>Summary!R37</f>
        <v/>
      </c>
      <c r="S37" s="6">
        <f>Summary!S37</f>
        <v/>
      </c>
      <c r="T37" s="6">
        <f>Summary!T37</f>
        <v/>
      </c>
      <c r="U37" s="6">
        <f>Summary!U37</f>
        <v/>
      </c>
      <c r="V37" s="6">
        <f>Summary!V37</f>
        <v/>
      </c>
      <c r="W37" s="6">
        <f>Summary!W37</f>
        <v/>
      </c>
      <c r="X37" s="6">
        <f>Summary!X37</f>
        <v/>
      </c>
      <c r="Y37" s="6">
        <f>Summary!Y37</f>
        <v/>
      </c>
      <c r="Z37" s="6">
        <f>Summary!Z37</f>
        <v/>
      </c>
      <c r="AA37" s="6">
        <f>Summary!AA37</f>
        <v/>
      </c>
      <c r="AB37" s="6">
        <f>SUM(D37:AA37)</f>
        <v/>
      </c>
      <c r="AC37" s="3" t="inlineStr"/>
      <c r="AD37" s="7">
        <f>AA37*0.000680195+D37*0.000680195</f>
        <v/>
      </c>
      <c r="AE37" s="7">
        <f>D37*0.000680195+E37*0.000680195</f>
        <v/>
      </c>
      <c r="AF37" s="7">
        <f>E37*0.000680195+F37*0.000680195</f>
        <v/>
      </c>
      <c r="AG37" s="7">
        <f>F37*0.000680195+G37*0.000680195</f>
        <v/>
      </c>
      <c r="AH37" s="7">
        <f>G37*0.000680195+H37*0.000680195</f>
        <v/>
      </c>
      <c r="AI37" s="7">
        <f>H37*0.000680195+I37*0.000680195</f>
        <v/>
      </c>
      <c r="AJ37" s="7">
        <f>I37*0.000680195+J37*0.000680195</f>
        <v/>
      </c>
      <c r="AK37" s="7">
        <f>J37*0.000680195+K37*0.000680195</f>
        <v/>
      </c>
      <c r="AL37" s="7">
        <f>K37*0.000680195+L37*0.000680195</f>
        <v/>
      </c>
      <c r="AM37" s="7">
        <f>L37*0.000680195+M37*0.000680195</f>
        <v/>
      </c>
      <c r="AN37" s="7">
        <f>M37*0.000680195+N37*0.000680195</f>
        <v/>
      </c>
      <c r="AO37" s="7">
        <f>N37*0.000680195+O37*0.000680195</f>
        <v/>
      </c>
      <c r="AP37" s="7">
        <f>O37*0.000680195+P37*0.000680195</f>
        <v/>
      </c>
      <c r="AQ37" s="7">
        <f>P37*0.000680195+Q37*0.000680195</f>
        <v/>
      </c>
      <c r="AR37" s="7">
        <f>Q37*0.000680195+R37*0.000680195</f>
        <v/>
      </c>
      <c r="AS37" s="7">
        <f>R37*0.000680195+S37*0.000680195</f>
        <v/>
      </c>
      <c r="AT37" s="7">
        <f>S37*0.000680195+T37*0.000680195</f>
        <v/>
      </c>
      <c r="AU37" s="7">
        <f>T37*0.000680195+U37*0.000680195</f>
        <v/>
      </c>
      <c r="AV37" s="7">
        <f>U37*0.000680195+V37*0.000680195</f>
        <v/>
      </c>
      <c r="AW37" s="7">
        <f>V37*0.000680195+W37*0.000680195</f>
        <v/>
      </c>
      <c r="AX37" s="7">
        <f>W37*0.000680195+X37*0.000680195</f>
        <v/>
      </c>
      <c r="AY37" s="7">
        <f>X37*0.000680195+Y37*0.000680195</f>
        <v/>
      </c>
      <c r="AZ37" s="7">
        <f>Y37*0.000680195+Z37*0.000680195</f>
        <v/>
      </c>
      <c r="BA37" s="7">
        <f>Z37*0.000680195+AA37*0.000680195</f>
        <v/>
      </c>
      <c r="BB37" s="7">
        <f>SUM(AD37:BA37)</f>
        <v/>
      </c>
    </row>
    <row r="38">
      <c r="A38" t="inlineStr">
        <is>
          <t>AMD-FK-SSC</t>
        </is>
      </c>
      <c r="B38" t="inlineStr">
        <is>
          <t>Prime at Client side</t>
        </is>
      </c>
      <c r="C38" s="5" t="n">
        <v>46101</v>
      </c>
      <c r="D38" s="6">
        <f>Summary!D38</f>
        <v/>
      </c>
      <c r="E38" s="6">
        <f>Summary!E38</f>
        <v/>
      </c>
      <c r="F38" s="6">
        <f>Summary!F38</f>
        <v/>
      </c>
      <c r="G38" s="6">
        <f>Summary!G38</f>
        <v/>
      </c>
      <c r="H38" s="6">
        <f>Summary!H38</f>
        <v/>
      </c>
      <c r="I38" s="6">
        <f>Summary!I38</f>
        <v/>
      </c>
      <c r="J38" s="6">
        <f>Summary!J38</f>
        <v/>
      </c>
      <c r="K38" s="6">
        <f>Summary!K38</f>
        <v/>
      </c>
      <c r="L38" s="6">
        <f>Summary!L38</f>
        <v/>
      </c>
      <c r="M38" s="6">
        <f>Summary!M38</f>
        <v/>
      </c>
      <c r="N38" s="6">
        <f>Summary!N38</f>
        <v/>
      </c>
      <c r="O38" s="6">
        <f>Summary!O38</f>
        <v/>
      </c>
      <c r="P38" s="6">
        <f>Summary!P38</f>
        <v/>
      </c>
      <c r="Q38" s="6">
        <f>Summary!Q38</f>
        <v/>
      </c>
      <c r="R38" s="6">
        <f>Summary!R38</f>
        <v/>
      </c>
      <c r="S38" s="6">
        <f>Summary!S38</f>
        <v/>
      </c>
      <c r="T38" s="6">
        <f>Summary!T38</f>
        <v/>
      </c>
      <c r="U38" s="6">
        <f>Summary!U38</f>
        <v/>
      </c>
      <c r="V38" s="6">
        <f>Summary!V38</f>
        <v/>
      </c>
      <c r="W38" s="6">
        <f>Summary!W38</f>
        <v/>
      </c>
      <c r="X38" s="6">
        <f>Summary!X38</f>
        <v/>
      </c>
      <c r="Y38" s="6">
        <f>Summary!Y38</f>
        <v/>
      </c>
      <c r="Z38" s="6">
        <f>Summary!Z38</f>
        <v/>
      </c>
      <c r="AA38" s="6">
        <f>Summary!AA38</f>
        <v/>
      </c>
      <c r="AB38" s="6">
        <f>SUM(D38:AA38)</f>
        <v/>
      </c>
      <c r="AC38" s="3" t="inlineStr"/>
      <c r="AD38" s="7">
        <f>AA38*0.000680195+D38*0.000680195</f>
        <v/>
      </c>
      <c r="AE38" s="7">
        <f>D38*0.000680195+E38*0.000680195</f>
        <v/>
      </c>
      <c r="AF38" s="7">
        <f>E38*0.000680195+F38*0.000680195</f>
        <v/>
      </c>
      <c r="AG38" s="7">
        <f>F38*0.000680195+G38*0.000680195</f>
        <v/>
      </c>
      <c r="AH38" s="7">
        <f>G38*0.000680195+H38*0.000680195</f>
        <v/>
      </c>
      <c r="AI38" s="7">
        <f>H38*0.000680195+I38*0.000680195</f>
        <v/>
      </c>
      <c r="AJ38" s="7">
        <f>I38*0.000680195+J38*0.000680195</f>
        <v/>
      </c>
      <c r="AK38" s="7">
        <f>J38*0.000680195+K38*0.000680195</f>
        <v/>
      </c>
      <c r="AL38" s="7">
        <f>K38*0.000680195+L38*0.000680195</f>
        <v/>
      </c>
      <c r="AM38" s="7">
        <f>L38*0.000680195+M38*0.000680195</f>
        <v/>
      </c>
      <c r="AN38" s="7">
        <f>M38*0.000680195+N38*0.000680195</f>
        <v/>
      </c>
      <c r="AO38" s="7">
        <f>N38*0.000680195+O38*0.000680195</f>
        <v/>
      </c>
      <c r="AP38" s="7">
        <f>O38*0.000680195+P38*0.000680195</f>
        <v/>
      </c>
      <c r="AQ38" s="7">
        <f>P38*0.000680195+Q38*0.000680195</f>
        <v/>
      </c>
      <c r="AR38" s="7">
        <f>Q38*0.000680195+R38*0.000680195</f>
        <v/>
      </c>
      <c r="AS38" s="7">
        <f>R38*0.000680195+S38*0.000680195</f>
        <v/>
      </c>
      <c r="AT38" s="7">
        <f>S38*0.000680195+T38*0.000680195</f>
        <v/>
      </c>
      <c r="AU38" s="7">
        <f>T38*0.000680195+U38*0.000680195</f>
        <v/>
      </c>
      <c r="AV38" s="7">
        <f>U38*0.000680195+V38*0.000680195</f>
        <v/>
      </c>
      <c r="AW38" s="7">
        <f>V38*0.000680195+W38*0.000680195</f>
        <v/>
      </c>
      <c r="AX38" s="7">
        <f>W38*0.000680195+X38*0.000680195</f>
        <v/>
      </c>
      <c r="AY38" s="7">
        <f>X38*0.000680195+Y38*0.000680195</f>
        <v/>
      </c>
      <c r="AZ38" s="7">
        <f>Y38*0.000680195+Z38*0.000680195</f>
        <v/>
      </c>
      <c r="BA38" s="7">
        <f>Z38*0.000680195+AA38*0.000680195</f>
        <v/>
      </c>
      <c r="BB38" s="7">
        <f>SUM(AD38:BA38)</f>
        <v/>
      </c>
    </row>
    <row r="39">
      <c r="A39" t="inlineStr">
        <is>
          <t>AMD-FK-SSC</t>
        </is>
      </c>
      <c r="B39" t="inlineStr">
        <is>
          <t>Prime at Client side</t>
        </is>
      </c>
      <c r="C39" s="5" t="n">
        <v>46102</v>
      </c>
      <c r="D39" s="6">
        <f>Summary!D39</f>
        <v/>
      </c>
      <c r="E39" s="6">
        <f>Summary!E39</f>
        <v/>
      </c>
      <c r="F39" s="6">
        <f>Summary!F39</f>
        <v/>
      </c>
      <c r="G39" s="6">
        <f>Summary!G39</f>
        <v/>
      </c>
      <c r="H39" s="6">
        <f>Summary!H39</f>
        <v/>
      </c>
      <c r="I39" s="6">
        <f>Summary!I39</f>
        <v/>
      </c>
      <c r="J39" s="6">
        <f>Summary!J39</f>
        <v/>
      </c>
      <c r="K39" s="6">
        <f>Summary!K39</f>
        <v/>
      </c>
      <c r="L39" s="6">
        <f>Summary!L39</f>
        <v/>
      </c>
      <c r="M39" s="6">
        <f>Summary!M39</f>
        <v/>
      </c>
      <c r="N39" s="6">
        <f>Summary!N39</f>
        <v/>
      </c>
      <c r="O39" s="6">
        <f>Summary!O39</f>
        <v/>
      </c>
      <c r="P39" s="6">
        <f>Summary!P39</f>
        <v/>
      </c>
      <c r="Q39" s="6">
        <f>Summary!Q39</f>
        <v/>
      </c>
      <c r="R39" s="6">
        <f>Summary!R39</f>
        <v/>
      </c>
      <c r="S39" s="6">
        <f>Summary!S39</f>
        <v/>
      </c>
      <c r="T39" s="6">
        <f>Summary!T39</f>
        <v/>
      </c>
      <c r="U39" s="6">
        <f>Summary!U39</f>
        <v/>
      </c>
      <c r="V39" s="6">
        <f>Summary!V39</f>
        <v/>
      </c>
      <c r="W39" s="6">
        <f>Summary!W39</f>
        <v/>
      </c>
      <c r="X39" s="6">
        <f>Summary!X39</f>
        <v/>
      </c>
      <c r="Y39" s="6">
        <f>Summary!Y39</f>
        <v/>
      </c>
      <c r="Z39" s="6">
        <f>Summary!Z39</f>
        <v/>
      </c>
      <c r="AA39" s="6">
        <f>Summary!AA39</f>
        <v/>
      </c>
      <c r="AB39" s="6">
        <f>SUM(D39:AA39)</f>
        <v/>
      </c>
      <c r="AC39" s="3" t="inlineStr"/>
      <c r="AD39" s="7">
        <f>AA39*0.000680195+D39*0.000680195</f>
        <v/>
      </c>
      <c r="AE39" s="7">
        <f>D39*0.000680195+E39*0.000680195</f>
        <v/>
      </c>
      <c r="AF39" s="7">
        <f>E39*0.000680195+F39*0.000680195</f>
        <v/>
      </c>
      <c r="AG39" s="7">
        <f>F39*0.000680195+G39*0.000680195</f>
        <v/>
      </c>
      <c r="AH39" s="7">
        <f>G39*0.000680195+H39*0.000680195</f>
        <v/>
      </c>
      <c r="AI39" s="7">
        <f>H39*0.000680195+I39*0.000680195</f>
        <v/>
      </c>
      <c r="AJ39" s="7">
        <f>I39*0.000680195+J39*0.000680195</f>
        <v/>
      </c>
      <c r="AK39" s="7">
        <f>J39*0.000680195+K39*0.000680195</f>
        <v/>
      </c>
      <c r="AL39" s="7">
        <f>K39*0.000680195+L39*0.000680195</f>
        <v/>
      </c>
      <c r="AM39" s="7">
        <f>L39*0.000680195+M39*0.000680195</f>
        <v/>
      </c>
      <c r="AN39" s="7">
        <f>M39*0.000680195+N39*0.000680195</f>
        <v/>
      </c>
      <c r="AO39" s="7">
        <f>N39*0.000680195+O39*0.000680195</f>
        <v/>
      </c>
      <c r="AP39" s="7">
        <f>O39*0.000680195+P39*0.000680195</f>
        <v/>
      </c>
      <c r="AQ39" s="7">
        <f>P39*0.000680195+Q39*0.000680195</f>
        <v/>
      </c>
      <c r="AR39" s="7">
        <f>Q39*0.000680195+R39*0.000680195</f>
        <v/>
      </c>
      <c r="AS39" s="7">
        <f>R39*0.000680195+S39*0.000680195</f>
        <v/>
      </c>
      <c r="AT39" s="7">
        <f>S39*0.000680195+T39*0.000680195</f>
        <v/>
      </c>
      <c r="AU39" s="7">
        <f>T39*0.000680195+U39*0.000680195</f>
        <v/>
      </c>
      <c r="AV39" s="7">
        <f>U39*0.000680195+V39*0.000680195</f>
        <v/>
      </c>
      <c r="AW39" s="7">
        <f>V39*0.000680195+W39*0.000680195</f>
        <v/>
      </c>
      <c r="AX39" s="7">
        <f>W39*0.000680195+X39*0.000680195</f>
        <v/>
      </c>
      <c r="AY39" s="7">
        <f>X39*0.000680195+Y39*0.000680195</f>
        <v/>
      </c>
      <c r="AZ39" s="7">
        <f>Y39*0.000680195+Z39*0.000680195</f>
        <v/>
      </c>
      <c r="BA39" s="7">
        <f>Z39*0.000680195+AA39*0.000680195</f>
        <v/>
      </c>
      <c r="BB39" s="7">
        <f>SUM(AD39:BA39)</f>
        <v/>
      </c>
    </row>
    <row r="40">
      <c r="A40" t="inlineStr">
        <is>
          <t>AMD-FK-SSC</t>
        </is>
      </c>
      <c r="B40" t="inlineStr">
        <is>
          <t>Prime at Client side</t>
        </is>
      </c>
      <c r="C40" s="5" t="n">
        <v>46103</v>
      </c>
      <c r="D40" s="6">
        <f>Summary!D40</f>
        <v/>
      </c>
      <c r="E40" s="6">
        <f>Summary!E40</f>
        <v/>
      </c>
      <c r="F40" s="6">
        <f>Summary!F40</f>
        <v/>
      </c>
      <c r="G40" s="6">
        <f>Summary!G40</f>
        <v/>
      </c>
      <c r="H40" s="6">
        <f>Summary!H40</f>
        <v/>
      </c>
      <c r="I40" s="6">
        <f>Summary!I40</f>
        <v/>
      </c>
      <c r="J40" s="6">
        <f>Summary!J40</f>
        <v/>
      </c>
      <c r="K40" s="6">
        <f>Summary!K40</f>
        <v/>
      </c>
      <c r="L40" s="6">
        <f>Summary!L40</f>
        <v/>
      </c>
      <c r="M40" s="6">
        <f>Summary!M40</f>
        <v/>
      </c>
      <c r="N40" s="6">
        <f>Summary!N40</f>
        <v/>
      </c>
      <c r="O40" s="6">
        <f>Summary!O40</f>
        <v/>
      </c>
      <c r="P40" s="6">
        <f>Summary!P40</f>
        <v/>
      </c>
      <c r="Q40" s="6">
        <f>Summary!Q40</f>
        <v/>
      </c>
      <c r="R40" s="6">
        <f>Summary!R40</f>
        <v/>
      </c>
      <c r="S40" s="6">
        <f>Summary!S40</f>
        <v/>
      </c>
      <c r="T40" s="6">
        <f>Summary!T40</f>
        <v/>
      </c>
      <c r="U40" s="6">
        <f>Summary!U40</f>
        <v/>
      </c>
      <c r="V40" s="6">
        <f>Summary!V40</f>
        <v/>
      </c>
      <c r="W40" s="6">
        <f>Summary!W40</f>
        <v/>
      </c>
      <c r="X40" s="6">
        <f>Summary!X40</f>
        <v/>
      </c>
      <c r="Y40" s="6">
        <f>Summary!Y40</f>
        <v/>
      </c>
      <c r="Z40" s="6">
        <f>Summary!Z40</f>
        <v/>
      </c>
      <c r="AA40" s="6">
        <f>Summary!AA40</f>
        <v/>
      </c>
      <c r="AB40" s="6">
        <f>SUM(D40:AA40)</f>
        <v/>
      </c>
      <c r="AC40" s="3" t="inlineStr"/>
      <c r="AD40" s="7">
        <f>AA40*0.000680195+D40*0.000680195</f>
        <v/>
      </c>
      <c r="AE40" s="7">
        <f>D40*0.000680195+E40*0.000680195</f>
        <v/>
      </c>
      <c r="AF40" s="7">
        <f>E40*0.000680195+F40*0.000680195</f>
        <v/>
      </c>
      <c r="AG40" s="7">
        <f>F40*0.000680195+G40*0.000680195</f>
        <v/>
      </c>
      <c r="AH40" s="7">
        <f>G40*0.000680195+H40*0.000680195</f>
        <v/>
      </c>
      <c r="AI40" s="7">
        <f>H40*0.000680195+I40*0.000680195</f>
        <v/>
      </c>
      <c r="AJ40" s="7">
        <f>I40*0.000680195+J40*0.000680195</f>
        <v/>
      </c>
      <c r="AK40" s="7">
        <f>J40*0.000680195+K40*0.000680195</f>
        <v/>
      </c>
      <c r="AL40" s="7">
        <f>K40*0.000680195+L40*0.000680195</f>
        <v/>
      </c>
      <c r="AM40" s="7">
        <f>L40*0.000680195+M40*0.000680195</f>
        <v/>
      </c>
      <c r="AN40" s="7">
        <f>M40*0.000680195+N40*0.000680195</f>
        <v/>
      </c>
      <c r="AO40" s="7">
        <f>N40*0.000680195+O40*0.000680195</f>
        <v/>
      </c>
      <c r="AP40" s="7">
        <f>O40*0.000680195+P40*0.000680195</f>
        <v/>
      </c>
      <c r="AQ40" s="7">
        <f>P40*0.000680195+Q40*0.000680195</f>
        <v/>
      </c>
      <c r="AR40" s="7">
        <f>Q40*0.000680195+R40*0.000680195</f>
        <v/>
      </c>
      <c r="AS40" s="7">
        <f>R40*0.000680195+S40*0.000680195</f>
        <v/>
      </c>
      <c r="AT40" s="7">
        <f>S40*0.000680195+T40*0.000680195</f>
        <v/>
      </c>
      <c r="AU40" s="7">
        <f>T40*0.000680195+U40*0.000680195</f>
        <v/>
      </c>
      <c r="AV40" s="7">
        <f>U40*0.000680195+V40*0.000680195</f>
        <v/>
      </c>
      <c r="AW40" s="7">
        <f>V40*0.000680195+W40*0.000680195</f>
        <v/>
      </c>
      <c r="AX40" s="7">
        <f>W40*0.000680195+X40*0.000680195</f>
        <v/>
      </c>
      <c r="AY40" s="7">
        <f>X40*0.000680195+Y40*0.000680195</f>
        <v/>
      </c>
      <c r="AZ40" s="7">
        <f>Y40*0.000680195+Z40*0.000680195</f>
        <v/>
      </c>
      <c r="BA40" s="7">
        <f>Z40*0.000680195+AA40*0.000680195</f>
        <v/>
      </c>
      <c r="BB40" s="7">
        <f>SUM(AD40:BA40)</f>
        <v/>
      </c>
    </row>
    <row r="41">
      <c r="A41" t="inlineStr">
        <is>
          <t>AMD-FK-SSC</t>
        </is>
      </c>
      <c r="B41" t="inlineStr">
        <is>
          <t>Prime at Client side</t>
        </is>
      </c>
      <c r="C41" s="5" t="n">
        <v>46104</v>
      </c>
      <c r="D41" s="6">
        <f>Summary!D41</f>
        <v/>
      </c>
      <c r="E41" s="6">
        <f>Summary!E41</f>
        <v/>
      </c>
      <c r="F41" s="6">
        <f>Summary!F41</f>
        <v/>
      </c>
      <c r="G41" s="6">
        <f>Summary!G41</f>
        <v/>
      </c>
      <c r="H41" s="6">
        <f>Summary!H41</f>
        <v/>
      </c>
      <c r="I41" s="6">
        <f>Summary!I41</f>
        <v/>
      </c>
      <c r="J41" s="6">
        <f>Summary!J41</f>
        <v/>
      </c>
      <c r="K41" s="6">
        <f>Summary!K41</f>
        <v/>
      </c>
      <c r="L41" s="6">
        <f>Summary!L41</f>
        <v/>
      </c>
      <c r="M41" s="6">
        <f>Summary!M41</f>
        <v/>
      </c>
      <c r="N41" s="6">
        <f>Summary!N41</f>
        <v/>
      </c>
      <c r="O41" s="6">
        <f>Summary!O41</f>
        <v/>
      </c>
      <c r="P41" s="6">
        <f>Summary!P41</f>
        <v/>
      </c>
      <c r="Q41" s="6">
        <f>Summary!Q41</f>
        <v/>
      </c>
      <c r="R41" s="6">
        <f>Summary!R41</f>
        <v/>
      </c>
      <c r="S41" s="6">
        <f>Summary!S41</f>
        <v/>
      </c>
      <c r="T41" s="6">
        <f>Summary!T41</f>
        <v/>
      </c>
      <c r="U41" s="6">
        <f>Summary!U41</f>
        <v/>
      </c>
      <c r="V41" s="6">
        <f>Summary!V41</f>
        <v/>
      </c>
      <c r="W41" s="6">
        <f>Summary!W41</f>
        <v/>
      </c>
      <c r="X41" s="6">
        <f>Summary!X41</f>
        <v/>
      </c>
      <c r="Y41" s="6">
        <f>Summary!Y41</f>
        <v/>
      </c>
      <c r="Z41" s="6">
        <f>Summary!Z41</f>
        <v/>
      </c>
      <c r="AA41" s="6">
        <f>Summary!AA41</f>
        <v/>
      </c>
      <c r="AB41" s="6">
        <f>SUM(D41:AA41)</f>
        <v/>
      </c>
      <c r="AC41" s="3" t="inlineStr"/>
      <c r="AD41" s="7">
        <f>AA41*0.000680195+D41*0.000680195</f>
        <v/>
      </c>
      <c r="AE41" s="7">
        <f>D41*0.000680195+E41*0.000680195</f>
        <v/>
      </c>
      <c r="AF41" s="7">
        <f>E41*0.000680195+F41*0.000680195</f>
        <v/>
      </c>
      <c r="AG41" s="7">
        <f>F41*0.000680195+G41*0.000680195</f>
        <v/>
      </c>
      <c r="AH41" s="7">
        <f>G41*0.000680195+H41*0.000680195</f>
        <v/>
      </c>
      <c r="AI41" s="7">
        <f>H41*0.000680195+I41*0.000680195</f>
        <v/>
      </c>
      <c r="AJ41" s="7">
        <f>I41*0.000680195+J41*0.000680195</f>
        <v/>
      </c>
      <c r="AK41" s="7">
        <f>J41*0.000680195+K41*0.000680195</f>
        <v/>
      </c>
      <c r="AL41" s="7">
        <f>K41*0.000680195+L41*0.000680195</f>
        <v/>
      </c>
      <c r="AM41" s="7">
        <f>L41*0.000680195+M41*0.000680195</f>
        <v/>
      </c>
      <c r="AN41" s="7">
        <f>M41*0.000680195+N41*0.000680195</f>
        <v/>
      </c>
      <c r="AO41" s="7">
        <f>N41*0.000680195+O41*0.000680195</f>
        <v/>
      </c>
      <c r="AP41" s="7">
        <f>O41*0.000680195+P41*0.000680195</f>
        <v/>
      </c>
      <c r="AQ41" s="7">
        <f>P41*0.000680195+Q41*0.000680195</f>
        <v/>
      </c>
      <c r="AR41" s="7">
        <f>Q41*0.000680195+R41*0.000680195</f>
        <v/>
      </c>
      <c r="AS41" s="7">
        <f>R41*0.000680195+S41*0.000680195</f>
        <v/>
      </c>
      <c r="AT41" s="7">
        <f>S41*0.000680195+T41*0.000680195</f>
        <v/>
      </c>
      <c r="AU41" s="7">
        <f>T41*0.000680195+U41*0.000680195</f>
        <v/>
      </c>
      <c r="AV41" s="7">
        <f>U41*0.000680195+V41*0.000680195</f>
        <v/>
      </c>
      <c r="AW41" s="7">
        <f>V41*0.000680195+W41*0.000680195</f>
        <v/>
      </c>
      <c r="AX41" s="7">
        <f>W41*0.000680195+X41*0.000680195</f>
        <v/>
      </c>
      <c r="AY41" s="7">
        <f>X41*0.000680195+Y41*0.000680195</f>
        <v/>
      </c>
      <c r="AZ41" s="7">
        <f>Y41*0.000680195+Z41*0.000680195</f>
        <v/>
      </c>
      <c r="BA41" s="7">
        <f>Z41*0.000680195+AA41*0.000680195</f>
        <v/>
      </c>
      <c r="BB41" s="7">
        <f>SUM(AD41:BA41)</f>
        <v/>
      </c>
    </row>
    <row r="42">
      <c r="A42" t="inlineStr">
        <is>
          <t>AMD-FK-SSC</t>
        </is>
      </c>
      <c r="B42" t="inlineStr">
        <is>
          <t>Prime at Client side</t>
        </is>
      </c>
      <c r="C42" s="5" t="n">
        <v>46105</v>
      </c>
      <c r="D42" s="6">
        <f>Summary!D42</f>
        <v/>
      </c>
      <c r="E42" s="6">
        <f>Summary!E42</f>
        <v/>
      </c>
      <c r="F42" s="6">
        <f>Summary!F42</f>
        <v/>
      </c>
      <c r="G42" s="6">
        <f>Summary!G42</f>
        <v/>
      </c>
      <c r="H42" s="6">
        <f>Summary!H42</f>
        <v/>
      </c>
      <c r="I42" s="6">
        <f>Summary!I42</f>
        <v/>
      </c>
      <c r="J42" s="6">
        <f>Summary!J42</f>
        <v/>
      </c>
      <c r="K42" s="6">
        <f>Summary!K42</f>
        <v/>
      </c>
      <c r="L42" s="6">
        <f>Summary!L42</f>
        <v/>
      </c>
      <c r="M42" s="6">
        <f>Summary!M42</f>
        <v/>
      </c>
      <c r="N42" s="6">
        <f>Summary!N42</f>
        <v/>
      </c>
      <c r="O42" s="6">
        <f>Summary!O42</f>
        <v/>
      </c>
      <c r="P42" s="6">
        <f>Summary!P42</f>
        <v/>
      </c>
      <c r="Q42" s="6">
        <f>Summary!Q42</f>
        <v/>
      </c>
      <c r="R42" s="6">
        <f>Summary!R42</f>
        <v/>
      </c>
      <c r="S42" s="6">
        <f>Summary!S42</f>
        <v/>
      </c>
      <c r="T42" s="6">
        <f>Summary!T42</f>
        <v/>
      </c>
      <c r="U42" s="6">
        <f>Summary!U42</f>
        <v/>
      </c>
      <c r="V42" s="6">
        <f>Summary!V42</f>
        <v/>
      </c>
      <c r="W42" s="6">
        <f>Summary!W42</f>
        <v/>
      </c>
      <c r="X42" s="6">
        <f>Summary!X42</f>
        <v/>
      </c>
      <c r="Y42" s="6">
        <f>Summary!Y42</f>
        <v/>
      </c>
      <c r="Z42" s="6">
        <f>Summary!Z42</f>
        <v/>
      </c>
      <c r="AA42" s="6">
        <f>Summary!AA42</f>
        <v/>
      </c>
      <c r="AB42" s="6">
        <f>SUM(D42:AA42)</f>
        <v/>
      </c>
      <c r="AC42" s="3" t="inlineStr"/>
      <c r="AD42" s="7">
        <f>AA42*0.000680195+D42*0.000680195</f>
        <v/>
      </c>
      <c r="AE42" s="7">
        <f>D42*0.000680195+E42*0.000680195</f>
        <v/>
      </c>
      <c r="AF42" s="7">
        <f>E42*0.000680195+F42*0.000680195</f>
        <v/>
      </c>
      <c r="AG42" s="7">
        <f>F42*0.000680195+G42*0.000680195</f>
        <v/>
      </c>
      <c r="AH42" s="7">
        <f>G42*0.000680195+H42*0.000680195</f>
        <v/>
      </c>
      <c r="AI42" s="7">
        <f>H42*0.000680195+I42*0.000680195</f>
        <v/>
      </c>
      <c r="AJ42" s="7">
        <f>I42*0.000680195+J42*0.000680195</f>
        <v/>
      </c>
      <c r="AK42" s="7">
        <f>J42*0.000680195+K42*0.000680195</f>
        <v/>
      </c>
      <c r="AL42" s="7">
        <f>K42*0.000680195+L42*0.000680195</f>
        <v/>
      </c>
      <c r="AM42" s="7">
        <f>L42*0.000680195+M42*0.000680195</f>
        <v/>
      </c>
      <c r="AN42" s="7">
        <f>M42*0.000680195+N42*0.000680195</f>
        <v/>
      </c>
      <c r="AO42" s="7">
        <f>N42*0.000680195+O42*0.000680195</f>
        <v/>
      </c>
      <c r="AP42" s="7">
        <f>O42*0.000680195+P42*0.000680195</f>
        <v/>
      </c>
      <c r="AQ42" s="7">
        <f>P42*0.000680195+Q42*0.000680195</f>
        <v/>
      </c>
      <c r="AR42" s="7">
        <f>Q42*0.000680195+R42*0.000680195</f>
        <v/>
      </c>
      <c r="AS42" s="7">
        <f>R42*0.000680195+S42*0.000680195</f>
        <v/>
      </c>
      <c r="AT42" s="7">
        <f>S42*0.000680195+T42*0.000680195</f>
        <v/>
      </c>
      <c r="AU42" s="7">
        <f>T42*0.000680195+U42*0.000680195</f>
        <v/>
      </c>
      <c r="AV42" s="7">
        <f>U42*0.000680195+V42*0.000680195</f>
        <v/>
      </c>
      <c r="AW42" s="7">
        <f>V42*0.000680195+W42*0.000680195</f>
        <v/>
      </c>
      <c r="AX42" s="7">
        <f>W42*0.000680195+X42*0.000680195</f>
        <v/>
      </c>
      <c r="AY42" s="7">
        <f>X42*0.000680195+Y42*0.000680195</f>
        <v/>
      </c>
      <c r="AZ42" s="7">
        <f>Y42*0.000680195+Z42*0.000680195</f>
        <v/>
      </c>
      <c r="BA42" s="7">
        <f>Z42*0.000680195+AA42*0.000680195</f>
        <v/>
      </c>
      <c r="BB42" s="7">
        <f>SUM(AD42:BA42)</f>
        <v/>
      </c>
    </row>
    <row r="43">
      <c r="A43" t="inlineStr">
        <is>
          <t>AMD-FWDPRI-SSC</t>
        </is>
      </c>
      <c r="B43" t="inlineStr">
        <is>
          <t>FWD Priority OSC</t>
        </is>
      </c>
      <c r="C43" s="5" t="n">
        <v>46098</v>
      </c>
      <c r="D43" s="6">
        <f>Summary!D43</f>
        <v/>
      </c>
      <c r="E43" s="6">
        <f>Summary!E43</f>
        <v/>
      </c>
      <c r="F43" s="6">
        <f>Summary!F43</f>
        <v/>
      </c>
      <c r="G43" s="6">
        <f>Summary!G43</f>
        <v/>
      </c>
      <c r="H43" s="6">
        <f>Summary!H43</f>
        <v/>
      </c>
      <c r="I43" s="6">
        <f>Summary!I43</f>
        <v/>
      </c>
      <c r="J43" s="6">
        <f>Summary!J43</f>
        <v/>
      </c>
      <c r="K43" s="6">
        <f>Summary!K43</f>
        <v/>
      </c>
      <c r="L43" s="6">
        <f>Summary!L43</f>
        <v/>
      </c>
      <c r="M43" s="6">
        <f>Summary!M43</f>
        <v/>
      </c>
      <c r="N43" s="6">
        <f>Summary!N43</f>
        <v/>
      </c>
      <c r="O43" s="6">
        <f>Summary!O43</f>
        <v/>
      </c>
      <c r="P43" s="6">
        <f>Summary!P43</f>
        <v/>
      </c>
      <c r="Q43" s="6">
        <f>Summary!Q43</f>
        <v/>
      </c>
      <c r="R43" s="6">
        <f>Summary!R43</f>
        <v/>
      </c>
      <c r="S43" s="6">
        <f>Summary!S43</f>
        <v/>
      </c>
      <c r="T43" s="6">
        <f>Summary!T43</f>
        <v/>
      </c>
      <c r="U43" s="6">
        <f>Summary!U43</f>
        <v/>
      </c>
      <c r="V43" s="6">
        <f>Summary!V43</f>
        <v/>
      </c>
      <c r="W43" s="6">
        <f>Summary!W43</f>
        <v/>
      </c>
      <c r="X43" s="6">
        <f>Summary!X43</f>
        <v/>
      </c>
      <c r="Y43" s="6">
        <f>Summary!Y43</f>
        <v/>
      </c>
      <c r="Z43" s="6">
        <f>Summary!Z43</f>
        <v/>
      </c>
      <c r="AA43" s="6">
        <f>Summary!AA43</f>
        <v/>
      </c>
      <c r="AB43" s="6">
        <f>SUM(D43:AA43)</f>
        <v/>
      </c>
      <c r="AC43" s="3" t="inlineStr"/>
      <c r="AD43" s="7">
        <f>AA43*0.000680195+D43*0.000680195</f>
        <v/>
      </c>
      <c r="AE43" s="7">
        <f>D43*0.000680195+E43*0.000680195</f>
        <v/>
      </c>
      <c r="AF43" s="7">
        <f>E43*0.000680195+F43*0.000680195</f>
        <v/>
      </c>
      <c r="AG43" s="7">
        <f>F43*0.000680195+G43*0.000680195</f>
        <v/>
      </c>
      <c r="AH43" s="7">
        <f>G43*0.000680195+H43*0.000680195</f>
        <v/>
      </c>
      <c r="AI43" s="7">
        <f>H43*0.000680195+I43*0.000680195</f>
        <v/>
      </c>
      <c r="AJ43" s="7">
        <f>I43*0.000680195+J43*0.000680195</f>
        <v/>
      </c>
      <c r="AK43" s="7">
        <f>J43*0.000680195+K43*0.000680195</f>
        <v/>
      </c>
      <c r="AL43" s="7">
        <f>K43*0.000680195+L43*0.000680195</f>
        <v/>
      </c>
      <c r="AM43" s="7">
        <f>L43*0.000680195+M43*0.000680195</f>
        <v/>
      </c>
      <c r="AN43" s="7">
        <f>M43*0.000680195+N43*0.000680195</f>
        <v/>
      </c>
      <c r="AO43" s="7">
        <f>N43*0.000680195+O43*0.000680195</f>
        <v/>
      </c>
      <c r="AP43" s="7">
        <f>O43*0.000680195+P43*0.000680195</f>
        <v/>
      </c>
      <c r="AQ43" s="7">
        <f>P43*0.000680195+Q43*0.000680195</f>
        <v/>
      </c>
      <c r="AR43" s="7">
        <f>Q43*0.000680195+R43*0.000680195</f>
        <v/>
      </c>
      <c r="AS43" s="7">
        <f>R43*0.000680195+S43*0.000680195</f>
        <v/>
      </c>
      <c r="AT43" s="7">
        <f>S43*0.000680195+T43*0.000680195</f>
        <v/>
      </c>
      <c r="AU43" s="7">
        <f>T43*0.000680195+U43*0.000680195</f>
        <v/>
      </c>
      <c r="AV43" s="7">
        <f>U43*0.000680195+V43*0.000680195</f>
        <v/>
      </c>
      <c r="AW43" s="7">
        <f>V43*0.000680195+W43*0.000680195</f>
        <v/>
      </c>
      <c r="AX43" s="7">
        <f>W43*0.000680195+X43*0.000680195</f>
        <v/>
      </c>
      <c r="AY43" s="7">
        <f>X43*0.000680195+Y43*0.000680195</f>
        <v/>
      </c>
      <c r="AZ43" s="7">
        <f>Y43*0.000680195+Z43*0.000680195</f>
        <v/>
      </c>
      <c r="BA43" s="7">
        <f>Z43*0.000680195+AA43*0.000680195</f>
        <v/>
      </c>
      <c r="BB43" s="7">
        <f>SUM(AD43:BA43)</f>
        <v/>
      </c>
    </row>
    <row r="44">
      <c r="A44" t="inlineStr">
        <is>
          <t>AMD-FWDPRI-SSC</t>
        </is>
      </c>
      <c r="B44" t="inlineStr">
        <is>
          <t>FWD Priority OSC</t>
        </is>
      </c>
      <c r="C44" s="5" t="n">
        <v>46099</v>
      </c>
      <c r="D44" s="6">
        <f>Summary!D44</f>
        <v/>
      </c>
      <c r="E44" s="6">
        <f>Summary!E44</f>
        <v/>
      </c>
      <c r="F44" s="6">
        <f>Summary!F44</f>
        <v/>
      </c>
      <c r="G44" s="6">
        <f>Summary!G44</f>
        <v/>
      </c>
      <c r="H44" s="6">
        <f>Summary!H44</f>
        <v/>
      </c>
      <c r="I44" s="6">
        <f>Summary!I44</f>
        <v/>
      </c>
      <c r="J44" s="6">
        <f>Summary!J44</f>
        <v/>
      </c>
      <c r="K44" s="6">
        <f>Summary!K44</f>
        <v/>
      </c>
      <c r="L44" s="6">
        <f>Summary!L44</f>
        <v/>
      </c>
      <c r="M44" s="6">
        <f>Summary!M44</f>
        <v/>
      </c>
      <c r="N44" s="6">
        <f>Summary!N44</f>
        <v/>
      </c>
      <c r="O44" s="6">
        <f>Summary!O44</f>
        <v/>
      </c>
      <c r="P44" s="6">
        <f>Summary!P44</f>
        <v/>
      </c>
      <c r="Q44" s="6">
        <f>Summary!Q44</f>
        <v/>
      </c>
      <c r="R44" s="6">
        <f>Summary!R44</f>
        <v/>
      </c>
      <c r="S44" s="6">
        <f>Summary!S44</f>
        <v/>
      </c>
      <c r="T44" s="6">
        <f>Summary!T44</f>
        <v/>
      </c>
      <c r="U44" s="6">
        <f>Summary!U44</f>
        <v/>
      </c>
      <c r="V44" s="6">
        <f>Summary!V44</f>
        <v/>
      </c>
      <c r="W44" s="6">
        <f>Summary!W44</f>
        <v/>
      </c>
      <c r="X44" s="6">
        <f>Summary!X44</f>
        <v/>
      </c>
      <c r="Y44" s="6">
        <f>Summary!Y44</f>
        <v/>
      </c>
      <c r="Z44" s="6">
        <f>Summary!Z44</f>
        <v/>
      </c>
      <c r="AA44" s="6">
        <f>Summary!AA44</f>
        <v/>
      </c>
      <c r="AB44" s="6">
        <f>SUM(D44:AA44)</f>
        <v/>
      </c>
      <c r="AC44" s="3" t="inlineStr"/>
      <c r="AD44" s="7">
        <f>AA44*0.000680195+D44*0.000680195</f>
        <v/>
      </c>
      <c r="AE44" s="7">
        <f>D44*0.000680195+E44*0.000680195</f>
        <v/>
      </c>
      <c r="AF44" s="7">
        <f>E44*0.000680195+F44*0.000680195</f>
        <v/>
      </c>
      <c r="AG44" s="7">
        <f>F44*0.000680195+G44*0.000680195</f>
        <v/>
      </c>
      <c r="AH44" s="7">
        <f>G44*0.000680195+H44*0.000680195</f>
        <v/>
      </c>
      <c r="AI44" s="7">
        <f>H44*0.000680195+I44*0.000680195</f>
        <v/>
      </c>
      <c r="AJ44" s="7">
        <f>I44*0.000680195+J44*0.000680195</f>
        <v/>
      </c>
      <c r="AK44" s="7">
        <f>J44*0.000680195+K44*0.000680195</f>
        <v/>
      </c>
      <c r="AL44" s="7">
        <f>K44*0.000680195+L44*0.000680195</f>
        <v/>
      </c>
      <c r="AM44" s="7">
        <f>L44*0.000680195+M44*0.000680195</f>
        <v/>
      </c>
      <c r="AN44" s="7">
        <f>M44*0.000680195+N44*0.000680195</f>
        <v/>
      </c>
      <c r="AO44" s="7">
        <f>N44*0.000680195+O44*0.000680195</f>
        <v/>
      </c>
      <c r="AP44" s="7">
        <f>O44*0.000680195+P44*0.000680195</f>
        <v/>
      </c>
      <c r="AQ44" s="7">
        <f>P44*0.000680195+Q44*0.000680195</f>
        <v/>
      </c>
      <c r="AR44" s="7">
        <f>Q44*0.000680195+R44*0.000680195</f>
        <v/>
      </c>
      <c r="AS44" s="7">
        <f>R44*0.000680195+S44*0.000680195</f>
        <v/>
      </c>
      <c r="AT44" s="7">
        <f>S44*0.000680195+T44*0.000680195</f>
        <v/>
      </c>
      <c r="AU44" s="7">
        <f>T44*0.000680195+U44*0.000680195</f>
        <v/>
      </c>
      <c r="AV44" s="7">
        <f>U44*0.000680195+V44*0.000680195</f>
        <v/>
      </c>
      <c r="AW44" s="7">
        <f>V44*0.000680195+W44*0.000680195</f>
        <v/>
      </c>
      <c r="AX44" s="7">
        <f>W44*0.000680195+X44*0.000680195</f>
        <v/>
      </c>
      <c r="AY44" s="7">
        <f>X44*0.000680195+Y44*0.000680195</f>
        <v/>
      </c>
      <c r="AZ44" s="7">
        <f>Y44*0.000680195+Z44*0.000680195</f>
        <v/>
      </c>
      <c r="BA44" s="7">
        <f>Z44*0.000680195+AA44*0.000680195</f>
        <v/>
      </c>
      <c r="BB44" s="7">
        <f>SUM(AD44:BA44)</f>
        <v/>
      </c>
    </row>
    <row r="45">
      <c r="A45" t="inlineStr">
        <is>
          <t>AMD-FWDPRI-SSC</t>
        </is>
      </c>
      <c r="B45" t="inlineStr">
        <is>
          <t>FWD Priority OSC</t>
        </is>
      </c>
      <c r="C45" s="5" t="n">
        <v>46100</v>
      </c>
      <c r="D45" s="6">
        <f>Summary!D45</f>
        <v/>
      </c>
      <c r="E45" s="6">
        <f>Summary!E45</f>
        <v/>
      </c>
      <c r="F45" s="6">
        <f>Summary!F45</f>
        <v/>
      </c>
      <c r="G45" s="6">
        <f>Summary!G45</f>
        <v/>
      </c>
      <c r="H45" s="6">
        <f>Summary!H45</f>
        <v/>
      </c>
      <c r="I45" s="6">
        <f>Summary!I45</f>
        <v/>
      </c>
      <c r="J45" s="6">
        <f>Summary!J45</f>
        <v/>
      </c>
      <c r="K45" s="6">
        <f>Summary!K45</f>
        <v/>
      </c>
      <c r="L45" s="6">
        <f>Summary!L45</f>
        <v/>
      </c>
      <c r="M45" s="6">
        <f>Summary!M45</f>
        <v/>
      </c>
      <c r="N45" s="6">
        <f>Summary!N45</f>
        <v/>
      </c>
      <c r="O45" s="6">
        <f>Summary!O45</f>
        <v/>
      </c>
      <c r="P45" s="6">
        <f>Summary!P45</f>
        <v/>
      </c>
      <c r="Q45" s="6">
        <f>Summary!Q45</f>
        <v/>
      </c>
      <c r="R45" s="6">
        <f>Summary!R45</f>
        <v/>
      </c>
      <c r="S45" s="6">
        <f>Summary!S45</f>
        <v/>
      </c>
      <c r="T45" s="6">
        <f>Summary!T45</f>
        <v/>
      </c>
      <c r="U45" s="6">
        <f>Summary!U45</f>
        <v/>
      </c>
      <c r="V45" s="6">
        <f>Summary!V45</f>
        <v/>
      </c>
      <c r="W45" s="6">
        <f>Summary!W45</f>
        <v/>
      </c>
      <c r="X45" s="6">
        <f>Summary!X45</f>
        <v/>
      </c>
      <c r="Y45" s="6">
        <f>Summary!Y45</f>
        <v/>
      </c>
      <c r="Z45" s="6">
        <f>Summary!Z45</f>
        <v/>
      </c>
      <c r="AA45" s="6">
        <f>Summary!AA45</f>
        <v/>
      </c>
      <c r="AB45" s="6">
        <f>SUM(D45:AA45)</f>
        <v/>
      </c>
      <c r="AC45" s="3" t="inlineStr"/>
      <c r="AD45" s="7">
        <f>AA45*0.000680195+D45*0.000680195</f>
        <v/>
      </c>
      <c r="AE45" s="7">
        <f>D45*0.000680195+E45*0.000680195</f>
        <v/>
      </c>
      <c r="AF45" s="7">
        <f>E45*0.000680195+F45*0.000680195</f>
        <v/>
      </c>
      <c r="AG45" s="7">
        <f>F45*0.000680195+G45*0.000680195</f>
        <v/>
      </c>
      <c r="AH45" s="7">
        <f>G45*0.000680195+H45*0.000680195</f>
        <v/>
      </c>
      <c r="AI45" s="7">
        <f>H45*0.000680195+I45*0.000680195</f>
        <v/>
      </c>
      <c r="AJ45" s="7">
        <f>I45*0.000680195+J45*0.000680195</f>
        <v/>
      </c>
      <c r="AK45" s="7">
        <f>J45*0.000680195+K45*0.000680195</f>
        <v/>
      </c>
      <c r="AL45" s="7">
        <f>K45*0.000680195+L45*0.000680195</f>
        <v/>
      </c>
      <c r="AM45" s="7">
        <f>L45*0.000680195+M45*0.000680195</f>
        <v/>
      </c>
      <c r="AN45" s="7">
        <f>M45*0.000680195+N45*0.000680195</f>
        <v/>
      </c>
      <c r="AO45" s="7">
        <f>N45*0.000680195+O45*0.000680195</f>
        <v/>
      </c>
      <c r="AP45" s="7">
        <f>O45*0.000680195+P45*0.000680195</f>
        <v/>
      </c>
      <c r="AQ45" s="7">
        <f>P45*0.000680195+Q45*0.000680195</f>
        <v/>
      </c>
      <c r="AR45" s="7">
        <f>Q45*0.000680195+R45*0.000680195</f>
        <v/>
      </c>
      <c r="AS45" s="7">
        <f>R45*0.000680195+S45*0.000680195</f>
        <v/>
      </c>
      <c r="AT45" s="7">
        <f>S45*0.000680195+T45*0.000680195</f>
        <v/>
      </c>
      <c r="AU45" s="7">
        <f>T45*0.000680195+U45*0.000680195</f>
        <v/>
      </c>
      <c r="AV45" s="7">
        <f>U45*0.000680195+V45*0.000680195</f>
        <v/>
      </c>
      <c r="AW45" s="7">
        <f>V45*0.000680195+W45*0.000680195</f>
        <v/>
      </c>
      <c r="AX45" s="7">
        <f>W45*0.000680195+X45*0.000680195</f>
        <v/>
      </c>
      <c r="AY45" s="7">
        <f>X45*0.000680195+Y45*0.000680195</f>
        <v/>
      </c>
      <c r="AZ45" s="7">
        <f>Y45*0.000680195+Z45*0.000680195</f>
        <v/>
      </c>
      <c r="BA45" s="7">
        <f>Z45*0.000680195+AA45*0.000680195</f>
        <v/>
      </c>
      <c r="BB45" s="7">
        <f>SUM(AD45:BA45)</f>
        <v/>
      </c>
    </row>
    <row r="46">
      <c r="A46" t="inlineStr">
        <is>
          <t>AMD-FWDPRI-SSC</t>
        </is>
      </c>
      <c r="B46" t="inlineStr">
        <is>
          <t>FWD Priority OSC</t>
        </is>
      </c>
      <c r="C46" s="5" t="n">
        <v>46101</v>
      </c>
      <c r="D46" s="6">
        <f>Summary!D46</f>
        <v/>
      </c>
      <c r="E46" s="6">
        <f>Summary!E46</f>
        <v/>
      </c>
      <c r="F46" s="6">
        <f>Summary!F46</f>
        <v/>
      </c>
      <c r="G46" s="6">
        <f>Summary!G46</f>
        <v/>
      </c>
      <c r="H46" s="6">
        <f>Summary!H46</f>
        <v/>
      </c>
      <c r="I46" s="6">
        <f>Summary!I46</f>
        <v/>
      </c>
      <c r="J46" s="6">
        <f>Summary!J46</f>
        <v/>
      </c>
      <c r="K46" s="6">
        <f>Summary!K46</f>
        <v/>
      </c>
      <c r="L46" s="6">
        <f>Summary!L46</f>
        <v/>
      </c>
      <c r="M46" s="6">
        <f>Summary!M46</f>
        <v/>
      </c>
      <c r="N46" s="6">
        <f>Summary!N46</f>
        <v/>
      </c>
      <c r="O46" s="6">
        <f>Summary!O46</f>
        <v/>
      </c>
      <c r="P46" s="6">
        <f>Summary!P46</f>
        <v/>
      </c>
      <c r="Q46" s="6">
        <f>Summary!Q46</f>
        <v/>
      </c>
      <c r="R46" s="6">
        <f>Summary!R46</f>
        <v/>
      </c>
      <c r="S46" s="6">
        <f>Summary!S46</f>
        <v/>
      </c>
      <c r="T46" s="6">
        <f>Summary!T46</f>
        <v/>
      </c>
      <c r="U46" s="6">
        <f>Summary!U46</f>
        <v/>
      </c>
      <c r="V46" s="6">
        <f>Summary!V46</f>
        <v/>
      </c>
      <c r="W46" s="6">
        <f>Summary!W46</f>
        <v/>
      </c>
      <c r="X46" s="6">
        <f>Summary!X46</f>
        <v/>
      </c>
      <c r="Y46" s="6">
        <f>Summary!Y46</f>
        <v/>
      </c>
      <c r="Z46" s="6">
        <f>Summary!Z46</f>
        <v/>
      </c>
      <c r="AA46" s="6">
        <f>Summary!AA46</f>
        <v/>
      </c>
      <c r="AB46" s="6">
        <f>SUM(D46:AA46)</f>
        <v/>
      </c>
      <c r="AC46" s="3" t="inlineStr"/>
      <c r="AD46" s="7">
        <f>AA46*0.000680195+D46*0.000680195</f>
        <v/>
      </c>
      <c r="AE46" s="7">
        <f>D46*0.000680195+E46*0.000680195</f>
        <v/>
      </c>
      <c r="AF46" s="7">
        <f>E46*0.000680195+F46*0.000680195</f>
        <v/>
      </c>
      <c r="AG46" s="7">
        <f>F46*0.000680195+G46*0.000680195</f>
        <v/>
      </c>
      <c r="AH46" s="7">
        <f>G46*0.000680195+H46*0.000680195</f>
        <v/>
      </c>
      <c r="AI46" s="7">
        <f>H46*0.000680195+I46*0.000680195</f>
        <v/>
      </c>
      <c r="AJ46" s="7">
        <f>I46*0.000680195+J46*0.000680195</f>
        <v/>
      </c>
      <c r="AK46" s="7">
        <f>J46*0.000680195+K46*0.000680195</f>
        <v/>
      </c>
      <c r="AL46" s="7">
        <f>K46*0.000680195+L46*0.000680195</f>
        <v/>
      </c>
      <c r="AM46" s="7">
        <f>L46*0.000680195+M46*0.000680195</f>
        <v/>
      </c>
      <c r="AN46" s="7">
        <f>M46*0.000680195+N46*0.000680195</f>
        <v/>
      </c>
      <c r="AO46" s="7">
        <f>N46*0.000680195+O46*0.000680195</f>
        <v/>
      </c>
      <c r="AP46" s="7">
        <f>O46*0.000680195+P46*0.000680195</f>
        <v/>
      </c>
      <c r="AQ46" s="7">
        <f>P46*0.000680195+Q46*0.000680195</f>
        <v/>
      </c>
      <c r="AR46" s="7">
        <f>Q46*0.000680195+R46*0.000680195</f>
        <v/>
      </c>
      <c r="AS46" s="7">
        <f>R46*0.000680195+S46*0.000680195</f>
        <v/>
      </c>
      <c r="AT46" s="7">
        <f>S46*0.000680195+T46*0.000680195</f>
        <v/>
      </c>
      <c r="AU46" s="7">
        <f>T46*0.000680195+U46*0.000680195</f>
        <v/>
      </c>
      <c r="AV46" s="7">
        <f>U46*0.000680195+V46*0.000680195</f>
        <v/>
      </c>
      <c r="AW46" s="7">
        <f>V46*0.000680195+W46*0.000680195</f>
        <v/>
      </c>
      <c r="AX46" s="7">
        <f>W46*0.000680195+X46*0.000680195</f>
        <v/>
      </c>
      <c r="AY46" s="7">
        <f>X46*0.000680195+Y46*0.000680195</f>
        <v/>
      </c>
      <c r="AZ46" s="7">
        <f>Y46*0.000680195+Z46*0.000680195</f>
        <v/>
      </c>
      <c r="BA46" s="7">
        <f>Z46*0.000680195+AA46*0.000680195</f>
        <v/>
      </c>
      <c r="BB46" s="7">
        <f>SUM(AD46:BA46)</f>
        <v/>
      </c>
    </row>
    <row r="47">
      <c r="A47" t="inlineStr">
        <is>
          <t>AMD-FWDPRI-SSC</t>
        </is>
      </c>
      <c r="B47" t="inlineStr">
        <is>
          <t>FWD Priority OSC</t>
        </is>
      </c>
      <c r="C47" s="5" t="n">
        <v>46102</v>
      </c>
      <c r="D47" s="6">
        <f>Summary!D47</f>
        <v/>
      </c>
      <c r="E47" s="6">
        <f>Summary!E47</f>
        <v/>
      </c>
      <c r="F47" s="6">
        <f>Summary!F47</f>
        <v/>
      </c>
      <c r="G47" s="6">
        <f>Summary!G47</f>
        <v/>
      </c>
      <c r="H47" s="6">
        <f>Summary!H47</f>
        <v/>
      </c>
      <c r="I47" s="6">
        <f>Summary!I47</f>
        <v/>
      </c>
      <c r="J47" s="6">
        <f>Summary!J47</f>
        <v/>
      </c>
      <c r="K47" s="6">
        <f>Summary!K47</f>
        <v/>
      </c>
      <c r="L47" s="6">
        <f>Summary!L47</f>
        <v/>
      </c>
      <c r="M47" s="6">
        <f>Summary!M47</f>
        <v/>
      </c>
      <c r="N47" s="6">
        <f>Summary!N47</f>
        <v/>
      </c>
      <c r="O47" s="6">
        <f>Summary!O47</f>
        <v/>
      </c>
      <c r="P47" s="6">
        <f>Summary!P47</f>
        <v/>
      </c>
      <c r="Q47" s="6">
        <f>Summary!Q47</f>
        <v/>
      </c>
      <c r="R47" s="6">
        <f>Summary!R47</f>
        <v/>
      </c>
      <c r="S47" s="6">
        <f>Summary!S47</f>
        <v/>
      </c>
      <c r="T47" s="6">
        <f>Summary!T47</f>
        <v/>
      </c>
      <c r="U47" s="6">
        <f>Summary!U47</f>
        <v/>
      </c>
      <c r="V47" s="6">
        <f>Summary!V47</f>
        <v/>
      </c>
      <c r="W47" s="6">
        <f>Summary!W47</f>
        <v/>
      </c>
      <c r="X47" s="6">
        <f>Summary!X47</f>
        <v/>
      </c>
      <c r="Y47" s="6">
        <f>Summary!Y47</f>
        <v/>
      </c>
      <c r="Z47" s="6">
        <f>Summary!Z47</f>
        <v/>
      </c>
      <c r="AA47" s="6">
        <f>Summary!AA47</f>
        <v/>
      </c>
      <c r="AB47" s="6">
        <f>SUM(D47:AA47)</f>
        <v/>
      </c>
      <c r="AC47" s="3" t="inlineStr"/>
      <c r="AD47" s="7">
        <f>AA47*0.000680195+D47*0.000680195</f>
        <v/>
      </c>
      <c r="AE47" s="7">
        <f>D47*0.000680195+E47*0.000680195</f>
        <v/>
      </c>
      <c r="AF47" s="7">
        <f>E47*0.000680195+F47*0.000680195</f>
        <v/>
      </c>
      <c r="AG47" s="7">
        <f>F47*0.000680195+G47*0.000680195</f>
        <v/>
      </c>
      <c r="AH47" s="7">
        <f>G47*0.000680195+H47*0.000680195</f>
        <v/>
      </c>
      <c r="AI47" s="7">
        <f>H47*0.000680195+I47*0.000680195</f>
        <v/>
      </c>
      <c r="AJ47" s="7">
        <f>I47*0.000680195+J47*0.000680195</f>
        <v/>
      </c>
      <c r="AK47" s="7">
        <f>J47*0.000680195+K47*0.000680195</f>
        <v/>
      </c>
      <c r="AL47" s="7">
        <f>K47*0.000680195+L47*0.000680195</f>
        <v/>
      </c>
      <c r="AM47" s="7">
        <f>L47*0.000680195+M47*0.000680195</f>
        <v/>
      </c>
      <c r="AN47" s="7">
        <f>M47*0.000680195+N47*0.000680195</f>
        <v/>
      </c>
      <c r="AO47" s="7">
        <f>N47*0.000680195+O47*0.000680195</f>
        <v/>
      </c>
      <c r="AP47" s="7">
        <f>O47*0.000680195+P47*0.000680195</f>
        <v/>
      </c>
      <c r="AQ47" s="7">
        <f>P47*0.000680195+Q47*0.000680195</f>
        <v/>
      </c>
      <c r="AR47" s="7">
        <f>Q47*0.000680195+R47*0.000680195</f>
        <v/>
      </c>
      <c r="AS47" s="7">
        <f>R47*0.000680195+S47*0.000680195</f>
        <v/>
      </c>
      <c r="AT47" s="7">
        <f>S47*0.000680195+T47*0.000680195</f>
        <v/>
      </c>
      <c r="AU47" s="7">
        <f>T47*0.000680195+U47*0.000680195</f>
        <v/>
      </c>
      <c r="AV47" s="7">
        <f>U47*0.000680195+V47*0.000680195</f>
        <v/>
      </c>
      <c r="AW47" s="7">
        <f>V47*0.000680195+W47*0.000680195</f>
        <v/>
      </c>
      <c r="AX47" s="7">
        <f>W47*0.000680195+X47*0.000680195</f>
        <v/>
      </c>
      <c r="AY47" s="7">
        <f>X47*0.000680195+Y47*0.000680195</f>
        <v/>
      </c>
      <c r="AZ47" s="7">
        <f>Y47*0.000680195+Z47*0.000680195</f>
        <v/>
      </c>
      <c r="BA47" s="7">
        <f>Z47*0.000680195+AA47*0.000680195</f>
        <v/>
      </c>
      <c r="BB47" s="7">
        <f>SUM(AD47:BA47)</f>
        <v/>
      </c>
    </row>
    <row r="48">
      <c r="A48" t="inlineStr">
        <is>
          <t>AMD-FWDPRI-SSC</t>
        </is>
      </c>
      <c r="B48" t="inlineStr">
        <is>
          <t>FWD Priority OSC</t>
        </is>
      </c>
      <c r="C48" s="5" t="n">
        <v>46103</v>
      </c>
      <c r="D48" s="6">
        <f>Summary!D48</f>
        <v/>
      </c>
      <c r="E48" s="6">
        <f>Summary!E48</f>
        <v/>
      </c>
      <c r="F48" s="6">
        <f>Summary!F48</f>
        <v/>
      </c>
      <c r="G48" s="6">
        <f>Summary!G48</f>
        <v/>
      </c>
      <c r="H48" s="6">
        <f>Summary!H48</f>
        <v/>
      </c>
      <c r="I48" s="6">
        <f>Summary!I48</f>
        <v/>
      </c>
      <c r="J48" s="6">
        <f>Summary!J48</f>
        <v/>
      </c>
      <c r="K48" s="6">
        <f>Summary!K48</f>
        <v/>
      </c>
      <c r="L48" s="6">
        <f>Summary!L48</f>
        <v/>
      </c>
      <c r="M48" s="6">
        <f>Summary!M48</f>
        <v/>
      </c>
      <c r="N48" s="6">
        <f>Summary!N48</f>
        <v/>
      </c>
      <c r="O48" s="6">
        <f>Summary!O48</f>
        <v/>
      </c>
      <c r="P48" s="6">
        <f>Summary!P48</f>
        <v/>
      </c>
      <c r="Q48" s="6">
        <f>Summary!Q48</f>
        <v/>
      </c>
      <c r="R48" s="6">
        <f>Summary!R48</f>
        <v/>
      </c>
      <c r="S48" s="6">
        <f>Summary!S48</f>
        <v/>
      </c>
      <c r="T48" s="6">
        <f>Summary!T48</f>
        <v/>
      </c>
      <c r="U48" s="6">
        <f>Summary!U48</f>
        <v/>
      </c>
      <c r="V48" s="6">
        <f>Summary!V48</f>
        <v/>
      </c>
      <c r="W48" s="6">
        <f>Summary!W48</f>
        <v/>
      </c>
      <c r="X48" s="6">
        <f>Summary!X48</f>
        <v/>
      </c>
      <c r="Y48" s="6">
        <f>Summary!Y48</f>
        <v/>
      </c>
      <c r="Z48" s="6">
        <f>Summary!Z48</f>
        <v/>
      </c>
      <c r="AA48" s="6">
        <f>Summary!AA48</f>
        <v/>
      </c>
      <c r="AB48" s="6">
        <f>SUM(D48:AA48)</f>
        <v/>
      </c>
      <c r="AC48" s="3" t="inlineStr"/>
      <c r="AD48" s="7">
        <f>AA48*0.000680195+D48*0.000680195</f>
        <v/>
      </c>
      <c r="AE48" s="7">
        <f>D48*0.000680195+E48*0.000680195</f>
        <v/>
      </c>
      <c r="AF48" s="7">
        <f>E48*0.000680195+F48*0.000680195</f>
        <v/>
      </c>
      <c r="AG48" s="7">
        <f>F48*0.000680195+G48*0.000680195</f>
        <v/>
      </c>
      <c r="AH48" s="7">
        <f>G48*0.000680195+H48*0.000680195</f>
        <v/>
      </c>
      <c r="AI48" s="7">
        <f>H48*0.000680195+I48*0.000680195</f>
        <v/>
      </c>
      <c r="AJ48" s="7">
        <f>I48*0.000680195+J48*0.000680195</f>
        <v/>
      </c>
      <c r="AK48" s="7">
        <f>J48*0.000680195+K48*0.000680195</f>
        <v/>
      </c>
      <c r="AL48" s="7">
        <f>K48*0.000680195+L48*0.000680195</f>
        <v/>
      </c>
      <c r="AM48" s="7">
        <f>L48*0.000680195+M48*0.000680195</f>
        <v/>
      </c>
      <c r="AN48" s="7">
        <f>M48*0.000680195+N48*0.000680195</f>
        <v/>
      </c>
      <c r="AO48" s="7">
        <f>N48*0.000680195+O48*0.000680195</f>
        <v/>
      </c>
      <c r="AP48" s="7">
        <f>O48*0.000680195+P48*0.000680195</f>
        <v/>
      </c>
      <c r="AQ48" s="7">
        <f>P48*0.000680195+Q48*0.000680195</f>
        <v/>
      </c>
      <c r="AR48" s="7">
        <f>Q48*0.000680195+R48*0.000680195</f>
        <v/>
      </c>
      <c r="AS48" s="7">
        <f>R48*0.000680195+S48*0.000680195</f>
        <v/>
      </c>
      <c r="AT48" s="7">
        <f>S48*0.000680195+T48*0.000680195</f>
        <v/>
      </c>
      <c r="AU48" s="7">
        <f>T48*0.000680195+U48*0.000680195</f>
        <v/>
      </c>
      <c r="AV48" s="7">
        <f>U48*0.000680195+V48*0.000680195</f>
        <v/>
      </c>
      <c r="AW48" s="7">
        <f>V48*0.000680195+W48*0.000680195</f>
        <v/>
      </c>
      <c r="AX48" s="7">
        <f>W48*0.000680195+X48*0.000680195</f>
        <v/>
      </c>
      <c r="AY48" s="7">
        <f>X48*0.000680195+Y48*0.000680195</f>
        <v/>
      </c>
      <c r="AZ48" s="7">
        <f>Y48*0.000680195+Z48*0.000680195</f>
        <v/>
      </c>
      <c r="BA48" s="7">
        <f>Z48*0.000680195+AA48*0.000680195</f>
        <v/>
      </c>
      <c r="BB48" s="7">
        <f>SUM(AD48:BA48)</f>
        <v/>
      </c>
    </row>
    <row r="49">
      <c r="A49" t="inlineStr">
        <is>
          <t>AMD-FWDPRI-SSC</t>
        </is>
      </c>
      <c r="B49" t="inlineStr">
        <is>
          <t>FWD Priority OSC</t>
        </is>
      </c>
      <c r="C49" s="5" t="n">
        <v>46104</v>
      </c>
      <c r="D49" s="6">
        <f>Summary!D49</f>
        <v/>
      </c>
      <c r="E49" s="6">
        <f>Summary!E49</f>
        <v/>
      </c>
      <c r="F49" s="6">
        <f>Summary!F49</f>
        <v/>
      </c>
      <c r="G49" s="6">
        <f>Summary!G49</f>
        <v/>
      </c>
      <c r="H49" s="6">
        <f>Summary!H49</f>
        <v/>
      </c>
      <c r="I49" s="6">
        <f>Summary!I49</f>
        <v/>
      </c>
      <c r="J49" s="6">
        <f>Summary!J49</f>
        <v/>
      </c>
      <c r="K49" s="6">
        <f>Summary!K49</f>
        <v/>
      </c>
      <c r="L49" s="6">
        <f>Summary!L49</f>
        <v/>
      </c>
      <c r="M49" s="6">
        <f>Summary!M49</f>
        <v/>
      </c>
      <c r="N49" s="6">
        <f>Summary!N49</f>
        <v/>
      </c>
      <c r="O49" s="6">
        <f>Summary!O49</f>
        <v/>
      </c>
      <c r="P49" s="6">
        <f>Summary!P49</f>
        <v/>
      </c>
      <c r="Q49" s="6">
        <f>Summary!Q49</f>
        <v/>
      </c>
      <c r="R49" s="6">
        <f>Summary!R49</f>
        <v/>
      </c>
      <c r="S49" s="6">
        <f>Summary!S49</f>
        <v/>
      </c>
      <c r="T49" s="6">
        <f>Summary!T49</f>
        <v/>
      </c>
      <c r="U49" s="6">
        <f>Summary!U49</f>
        <v/>
      </c>
      <c r="V49" s="6">
        <f>Summary!V49</f>
        <v/>
      </c>
      <c r="W49" s="6">
        <f>Summary!W49</f>
        <v/>
      </c>
      <c r="X49" s="6">
        <f>Summary!X49</f>
        <v/>
      </c>
      <c r="Y49" s="6">
        <f>Summary!Y49</f>
        <v/>
      </c>
      <c r="Z49" s="6">
        <f>Summary!Z49</f>
        <v/>
      </c>
      <c r="AA49" s="6">
        <f>Summary!AA49</f>
        <v/>
      </c>
      <c r="AB49" s="6">
        <f>SUM(D49:AA49)</f>
        <v/>
      </c>
      <c r="AC49" s="3" t="inlineStr"/>
      <c r="AD49" s="7">
        <f>AA49*0.000680195+D49*0.000680195</f>
        <v/>
      </c>
      <c r="AE49" s="7">
        <f>D49*0.000680195+E49*0.000680195</f>
        <v/>
      </c>
      <c r="AF49" s="7">
        <f>E49*0.000680195+F49*0.000680195</f>
        <v/>
      </c>
      <c r="AG49" s="7">
        <f>F49*0.000680195+G49*0.000680195</f>
        <v/>
      </c>
      <c r="AH49" s="7">
        <f>G49*0.000680195+H49*0.000680195</f>
        <v/>
      </c>
      <c r="AI49" s="7">
        <f>H49*0.000680195+I49*0.000680195</f>
        <v/>
      </c>
      <c r="AJ49" s="7">
        <f>I49*0.000680195+J49*0.000680195</f>
        <v/>
      </c>
      <c r="AK49" s="7">
        <f>J49*0.000680195+K49*0.000680195</f>
        <v/>
      </c>
      <c r="AL49" s="7">
        <f>K49*0.000680195+L49*0.000680195</f>
        <v/>
      </c>
      <c r="AM49" s="7">
        <f>L49*0.000680195+M49*0.000680195</f>
        <v/>
      </c>
      <c r="AN49" s="7">
        <f>M49*0.000680195+N49*0.000680195</f>
        <v/>
      </c>
      <c r="AO49" s="7">
        <f>N49*0.000680195+O49*0.000680195</f>
        <v/>
      </c>
      <c r="AP49" s="7">
        <f>O49*0.000680195+P49*0.000680195</f>
        <v/>
      </c>
      <c r="AQ49" s="7">
        <f>P49*0.000680195+Q49*0.000680195</f>
        <v/>
      </c>
      <c r="AR49" s="7">
        <f>Q49*0.000680195+R49*0.000680195</f>
        <v/>
      </c>
      <c r="AS49" s="7">
        <f>R49*0.000680195+S49*0.000680195</f>
        <v/>
      </c>
      <c r="AT49" s="7">
        <f>S49*0.000680195+T49*0.000680195</f>
        <v/>
      </c>
      <c r="AU49" s="7">
        <f>T49*0.000680195+U49*0.000680195</f>
        <v/>
      </c>
      <c r="AV49" s="7">
        <f>U49*0.000680195+V49*0.000680195</f>
        <v/>
      </c>
      <c r="AW49" s="7">
        <f>V49*0.000680195+W49*0.000680195</f>
        <v/>
      </c>
      <c r="AX49" s="7">
        <f>W49*0.000680195+X49*0.000680195</f>
        <v/>
      </c>
      <c r="AY49" s="7">
        <f>X49*0.000680195+Y49*0.000680195</f>
        <v/>
      </c>
      <c r="AZ49" s="7">
        <f>Y49*0.000680195+Z49*0.000680195</f>
        <v/>
      </c>
      <c r="BA49" s="7">
        <f>Z49*0.000680195+AA49*0.000680195</f>
        <v/>
      </c>
      <c r="BB49" s="7">
        <f>SUM(AD49:BA49)</f>
        <v/>
      </c>
    </row>
    <row r="50">
      <c r="A50" t="inlineStr">
        <is>
          <t>AMD-FWDPRI-SSC</t>
        </is>
      </c>
      <c r="B50" t="inlineStr">
        <is>
          <t>FWD Priority OSC</t>
        </is>
      </c>
      <c r="C50" s="5" t="n">
        <v>46105</v>
      </c>
      <c r="D50" s="6">
        <f>Summary!D50</f>
        <v/>
      </c>
      <c r="E50" s="6">
        <f>Summary!E50</f>
        <v/>
      </c>
      <c r="F50" s="6">
        <f>Summary!F50</f>
        <v/>
      </c>
      <c r="G50" s="6">
        <f>Summary!G50</f>
        <v/>
      </c>
      <c r="H50" s="6">
        <f>Summary!H50</f>
        <v/>
      </c>
      <c r="I50" s="6">
        <f>Summary!I50</f>
        <v/>
      </c>
      <c r="J50" s="6">
        <f>Summary!J50</f>
        <v/>
      </c>
      <c r="K50" s="6">
        <f>Summary!K50</f>
        <v/>
      </c>
      <c r="L50" s="6">
        <f>Summary!L50</f>
        <v/>
      </c>
      <c r="M50" s="6">
        <f>Summary!M50</f>
        <v/>
      </c>
      <c r="N50" s="6">
        <f>Summary!N50</f>
        <v/>
      </c>
      <c r="O50" s="6">
        <f>Summary!O50</f>
        <v/>
      </c>
      <c r="P50" s="6">
        <f>Summary!P50</f>
        <v/>
      </c>
      <c r="Q50" s="6">
        <f>Summary!Q50</f>
        <v/>
      </c>
      <c r="R50" s="6">
        <f>Summary!R50</f>
        <v/>
      </c>
      <c r="S50" s="6">
        <f>Summary!S50</f>
        <v/>
      </c>
      <c r="T50" s="6">
        <f>Summary!T50</f>
        <v/>
      </c>
      <c r="U50" s="6">
        <f>Summary!U50</f>
        <v/>
      </c>
      <c r="V50" s="6">
        <f>Summary!V50</f>
        <v/>
      </c>
      <c r="W50" s="6">
        <f>Summary!W50</f>
        <v/>
      </c>
      <c r="X50" s="6">
        <f>Summary!X50</f>
        <v/>
      </c>
      <c r="Y50" s="6">
        <f>Summary!Y50</f>
        <v/>
      </c>
      <c r="Z50" s="6">
        <f>Summary!Z50</f>
        <v/>
      </c>
      <c r="AA50" s="6">
        <f>Summary!AA50</f>
        <v/>
      </c>
      <c r="AB50" s="6">
        <f>SUM(D50:AA50)</f>
        <v/>
      </c>
      <c r="AC50" s="3" t="inlineStr"/>
      <c r="AD50" s="7">
        <f>AA50*0.000680195+D50*0.000680195</f>
        <v/>
      </c>
      <c r="AE50" s="7">
        <f>D50*0.000680195+E50*0.000680195</f>
        <v/>
      </c>
      <c r="AF50" s="7">
        <f>E50*0.000680195+F50*0.000680195</f>
        <v/>
      </c>
      <c r="AG50" s="7">
        <f>F50*0.000680195+G50*0.000680195</f>
        <v/>
      </c>
      <c r="AH50" s="7">
        <f>G50*0.000680195+H50*0.000680195</f>
        <v/>
      </c>
      <c r="AI50" s="7">
        <f>H50*0.000680195+I50*0.000680195</f>
        <v/>
      </c>
      <c r="AJ50" s="7">
        <f>I50*0.000680195+J50*0.000680195</f>
        <v/>
      </c>
      <c r="AK50" s="7">
        <f>J50*0.000680195+K50*0.000680195</f>
        <v/>
      </c>
      <c r="AL50" s="7">
        <f>K50*0.000680195+L50*0.000680195</f>
        <v/>
      </c>
      <c r="AM50" s="7">
        <f>L50*0.000680195+M50*0.000680195</f>
        <v/>
      </c>
      <c r="AN50" s="7">
        <f>M50*0.000680195+N50*0.000680195</f>
        <v/>
      </c>
      <c r="AO50" s="7">
        <f>N50*0.000680195+O50*0.000680195</f>
        <v/>
      </c>
      <c r="AP50" s="7">
        <f>O50*0.000680195+P50*0.000680195</f>
        <v/>
      </c>
      <c r="AQ50" s="7">
        <f>P50*0.000680195+Q50*0.000680195</f>
        <v/>
      </c>
      <c r="AR50" s="7">
        <f>Q50*0.000680195+R50*0.000680195</f>
        <v/>
      </c>
      <c r="AS50" s="7">
        <f>R50*0.000680195+S50*0.000680195</f>
        <v/>
      </c>
      <c r="AT50" s="7">
        <f>S50*0.000680195+T50*0.000680195</f>
        <v/>
      </c>
      <c r="AU50" s="7">
        <f>T50*0.000680195+U50*0.000680195</f>
        <v/>
      </c>
      <c r="AV50" s="7">
        <f>U50*0.000680195+V50*0.000680195</f>
        <v/>
      </c>
      <c r="AW50" s="7">
        <f>V50*0.000680195+W50*0.000680195</f>
        <v/>
      </c>
      <c r="AX50" s="7">
        <f>W50*0.000680195+X50*0.000680195</f>
        <v/>
      </c>
      <c r="AY50" s="7">
        <f>X50*0.000680195+Y50*0.000680195</f>
        <v/>
      </c>
      <c r="AZ50" s="7">
        <f>Y50*0.000680195+Z50*0.000680195</f>
        <v/>
      </c>
      <c r="BA50" s="7">
        <f>Z50*0.000680195+AA50*0.000680195</f>
        <v/>
      </c>
      <c r="BB50" s="7">
        <f>SUM(AD50:BA50)</f>
        <v/>
      </c>
    </row>
    <row r="51">
      <c r="A51" t="inlineStr">
        <is>
          <t>AMD-FWDREG-SSC</t>
        </is>
      </c>
      <c r="B51" t="inlineStr">
        <is>
          <t>Forward Regular OSC</t>
        </is>
      </c>
      <c r="C51" s="5" t="n">
        <v>46098</v>
      </c>
      <c r="D51" s="6">
        <f>Summary!D51</f>
        <v/>
      </c>
      <c r="E51" s="6">
        <f>Summary!E51</f>
        <v/>
      </c>
      <c r="F51" s="6">
        <f>Summary!F51</f>
        <v/>
      </c>
      <c r="G51" s="6">
        <f>Summary!G51</f>
        <v/>
      </c>
      <c r="H51" s="6">
        <f>Summary!H51</f>
        <v/>
      </c>
      <c r="I51" s="6">
        <f>Summary!I51</f>
        <v/>
      </c>
      <c r="J51" s="6">
        <f>Summary!J51</f>
        <v/>
      </c>
      <c r="K51" s="6">
        <f>Summary!K51</f>
        <v/>
      </c>
      <c r="L51" s="6">
        <f>Summary!L51</f>
        <v/>
      </c>
      <c r="M51" s="6">
        <f>Summary!M51</f>
        <v/>
      </c>
      <c r="N51" s="6">
        <f>Summary!N51</f>
        <v/>
      </c>
      <c r="O51" s="6">
        <f>Summary!O51</f>
        <v/>
      </c>
      <c r="P51" s="6">
        <f>Summary!P51</f>
        <v/>
      </c>
      <c r="Q51" s="6">
        <f>Summary!Q51</f>
        <v/>
      </c>
      <c r="R51" s="6">
        <f>Summary!R51</f>
        <v/>
      </c>
      <c r="S51" s="6">
        <f>Summary!S51</f>
        <v/>
      </c>
      <c r="T51" s="6">
        <f>Summary!T51</f>
        <v/>
      </c>
      <c r="U51" s="6">
        <f>Summary!U51</f>
        <v/>
      </c>
      <c r="V51" s="6">
        <f>Summary!V51</f>
        <v/>
      </c>
      <c r="W51" s="6">
        <f>Summary!W51</f>
        <v/>
      </c>
      <c r="X51" s="6">
        <f>Summary!X51</f>
        <v/>
      </c>
      <c r="Y51" s="6">
        <f>Summary!Y51</f>
        <v/>
      </c>
      <c r="Z51" s="6">
        <f>Summary!Z51</f>
        <v/>
      </c>
      <c r="AA51" s="6">
        <f>Summary!AA51</f>
        <v/>
      </c>
      <c r="AB51" s="6">
        <f>SUM(D51:AA51)</f>
        <v/>
      </c>
      <c r="AC51" s="3" t="inlineStr"/>
      <c r="AD51" s="7">
        <f>AA51*0.000680195+D51*0.000680195</f>
        <v/>
      </c>
      <c r="AE51" s="7">
        <f>D51*0.000680195+E51*0.000680195</f>
        <v/>
      </c>
      <c r="AF51" s="7">
        <f>E51*0.000680195+F51*0.000680195</f>
        <v/>
      </c>
      <c r="AG51" s="7">
        <f>F51*0.000680195+G51*0.000680195</f>
        <v/>
      </c>
      <c r="AH51" s="7">
        <f>G51*0.000680195+H51*0.000680195</f>
        <v/>
      </c>
      <c r="AI51" s="7">
        <f>H51*0.000680195+I51*0.000680195</f>
        <v/>
      </c>
      <c r="AJ51" s="7">
        <f>I51*0.000680195+J51*0.000680195</f>
        <v/>
      </c>
      <c r="AK51" s="7">
        <f>J51*0.000680195+K51*0.000680195</f>
        <v/>
      </c>
      <c r="AL51" s="7">
        <f>K51*0.000680195+L51*0.000680195</f>
        <v/>
      </c>
      <c r="AM51" s="7">
        <f>L51*0.000680195+M51*0.000680195</f>
        <v/>
      </c>
      <c r="AN51" s="7">
        <f>M51*0.000680195+N51*0.000680195</f>
        <v/>
      </c>
      <c r="AO51" s="7">
        <f>N51*0.000680195+O51*0.000680195</f>
        <v/>
      </c>
      <c r="AP51" s="7">
        <f>O51*0.000680195+P51*0.000680195</f>
        <v/>
      </c>
      <c r="AQ51" s="7">
        <f>P51*0.000680195+Q51*0.000680195</f>
        <v/>
      </c>
      <c r="AR51" s="7">
        <f>Q51*0.000680195+R51*0.000680195</f>
        <v/>
      </c>
      <c r="AS51" s="7">
        <f>R51*0.000680195+S51*0.000680195</f>
        <v/>
      </c>
      <c r="AT51" s="7">
        <f>S51*0.000680195+T51*0.000680195</f>
        <v/>
      </c>
      <c r="AU51" s="7">
        <f>T51*0.000680195+U51*0.000680195</f>
        <v/>
      </c>
      <c r="AV51" s="7">
        <f>U51*0.000680195+V51*0.000680195</f>
        <v/>
      </c>
      <c r="AW51" s="7">
        <f>V51*0.000680195+W51*0.000680195</f>
        <v/>
      </c>
      <c r="AX51" s="7">
        <f>W51*0.000680195+X51*0.000680195</f>
        <v/>
      </c>
      <c r="AY51" s="7">
        <f>X51*0.000680195+Y51*0.000680195</f>
        <v/>
      </c>
      <c r="AZ51" s="7">
        <f>Y51*0.000680195+Z51*0.000680195</f>
        <v/>
      </c>
      <c r="BA51" s="7">
        <f>Z51*0.000680195+AA51*0.000680195</f>
        <v/>
      </c>
      <c r="BB51" s="7">
        <f>SUM(AD51:BA51)</f>
        <v/>
      </c>
    </row>
    <row r="52">
      <c r="A52" t="inlineStr">
        <is>
          <t>AMD-FWDREG-SSC</t>
        </is>
      </c>
      <c r="B52" t="inlineStr">
        <is>
          <t>Forward Regular OSC</t>
        </is>
      </c>
      <c r="C52" s="5" t="n">
        <v>46099</v>
      </c>
      <c r="D52" s="6">
        <f>Summary!D52</f>
        <v/>
      </c>
      <c r="E52" s="6">
        <f>Summary!E52</f>
        <v/>
      </c>
      <c r="F52" s="6">
        <f>Summary!F52</f>
        <v/>
      </c>
      <c r="G52" s="6">
        <f>Summary!G52</f>
        <v/>
      </c>
      <c r="H52" s="6">
        <f>Summary!H52</f>
        <v/>
      </c>
      <c r="I52" s="6">
        <f>Summary!I52</f>
        <v/>
      </c>
      <c r="J52" s="6">
        <f>Summary!J52</f>
        <v/>
      </c>
      <c r="K52" s="6">
        <f>Summary!K52</f>
        <v/>
      </c>
      <c r="L52" s="6">
        <f>Summary!L52</f>
        <v/>
      </c>
      <c r="M52" s="6">
        <f>Summary!M52</f>
        <v/>
      </c>
      <c r="N52" s="6">
        <f>Summary!N52</f>
        <v/>
      </c>
      <c r="O52" s="6">
        <f>Summary!O52</f>
        <v/>
      </c>
      <c r="P52" s="6">
        <f>Summary!P52</f>
        <v/>
      </c>
      <c r="Q52" s="6">
        <f>Summary!Q52</f>
        <v/>
      </c>
      <c r="R52" s="6">
        <f>Summary!R52</f>
        <v/>
      </c>
      <c r="S52" s="6">
        <f>Summary!S52</f>
        <v/>
      </c>
      <c r="T52" s="6">
        <f>Summary!T52</f>
        <v/>
      </c>
      <c r="U52" s="6">
        <f>Summary!U52</f>
        <v/>
      </c>
      <c r="V52" s="6">
        <f>Summary!V52</f>
        <v/>
      </c>
      <c r="W52" s="6">
        <f>Summary!W52</f>
        <v/>
      </c>
      <c r="X52" s="6">
        <f>Summary!X52</f>
        <v/>
      </c>
      <c r="Y52" s="6">
        <f>Summary!Y52</f>
        <v/>
      </c>
      <c r="Z52" s="6">
        <f>Summary!Z52</f>
        <v/>
      </c>
      <c r="AA52" s="6">
        <f>Summary!AA52</f>
        <v/>
      </c>
      <c r="AB52" s="6">
        <f>SUM(D52:AA52)</f>
        <v/>
      </c>
      <c r="AC52" s="3" t="inlineStr"/>
      <c r="AD52" s="7">
        <f>AA52*0.000680195+D52*0.000680195</f>
        <v/>
      </c>
      <c r="AE52" s="7">
        <f>D52*0.000680195+E52*0.000680195</f>
        <v/>
      </c>
      <c r="AF52" s="7">
        <f>E52*0.000680195+F52*0.000680195</f>
        <v/>
      </c>
      <c r="AG52" s="7">
        <f>F52*0.000680195+G52*0.000680195</f>
        <v/>
      </c>
      <c r="AH52" s="7">
        <f>G52*0.000680195+H52*0.000680195</f>
        <v/>
      </c>
      <c r="AI52" s="7">
        <f>H52*0.000680195+I52*0.000680195</f>
        <v/>
      </c>
      <c r="AJ52" s="7">
        <f>I52*0.000680195+J52*0.000680195</f>
        <v/>
      </c>
      <c r="AK52" s="7">
        <f>J52*0.000680195+K52*0.000680195</f>
        <v/>
      </c>
      <c r="AL52" s="7">
        <f>K52*0.000680195+L52*0.000680195</f>
        <v/>
      </c>
      <c r="AM52" s="7">
        <f>L52*0.000680195+M52*0.000680195</f>
        <v/>
      </c>
      <c r="AN52" s="7">
        <f>M52*0.000680195+N52*0.000680195</f>
        <v/>
      </c>
      <c r="AO52" s="7">
        <f>N52*0.000680195+O52*0.000680195</f>
        <v/>
      </c>
      <c r="AP52" s="7">
        <f>O52*0.000680195+P52*0.000680195</f>
        <v/>
      </c>
      <c r="AQ52" s="7">
        <f>P52*0.000680195+Q52*0.000680195</f>
        <v/>
      </c>
      <c r="AR52" s="7">
        <f>Q52*0.000680195+R52*0.000680195</f>
        <v/>
      </c>
      <c r="AS52" s="7">
        <f>R52*0.000680195+S52*0.000680195</f>
        <v/>
      </c>
      <c r="AT52" s="7">
        <f>S52*0.000680195+T52*0.000680195</f>
        <v/>
      </c>
      <c r="AU52" s="7">
        <f>T52*0.000680195+U52*0.000680195</f>
        <v/>
      </c>
      <c r="AV52" s="7">
        <f>U52*0.000680195+V52*0.000680195</f>
        <v/>
      </c>
      <c r="AW52" s="7">
        <f>V52*0.000680195+W52*0.000680195</f>
        <v/>
      </c>
      <c r="AX52" s="7">
        <f>W52*0.000680195+X52*0.000680195</f>
        <v/>
      </c>
      <c r="AY52" s="7">
        <f>X52*0.000680195+Y52*0.000680195</f>
        <v/>
      </c>
      <c r="AZ52" s="7">
        <f>Y52*0.000680195+Z52*0.000680195</f>
        <v/>
      </c>
      <c r="BA52" s="7">
        <f>Z52*0.000680195+AA52*0.000680195</f>
        <v/>
      </c>
      <c r="BB52" s="7">
        <f>SUM(AD52:BA52)</f>
        <v/>
      </c>
    </row>
    <row r="53">
      <c r="A53" t="inlineStr">
        <is>
          <t>AMD-FWDREG-SSC</t>
        </is>
      </c>
      <c r="B53" t="inlineStr">
        <is>
          <t>Forward Regular OSC</t>
        </is>
      </c>
      <c r="C53" s="5" t="n">
        <v>46100</v>
      </c>
      <c r="D53" s="6">
        <f>Summary!D53</f>
        <v/>
      </c>
      <c r="E53" s="6">
        <f>Summary!E53</f>
        <v/>
      </c>
      <c r="F53" s="6">
        <f>Summary!F53</f>
        <v/>
      </c>
      <c r="G53" s="6">
        <f>Summary!G53</f>
        <v/>
      </c>
      <c r="H53" s="6">
        <f>Summary!H53</f>
        <v/>
      </c>
      <c r="I53" s="6">
        <f>Summary!I53</f>
        <v/>
      </c>
      <c r="J53" s="6">
        <f>Summary!J53</f>
        <v/>
      </c>
      <c r="K53" s="6">
        <f>Summary!K53</f>
        <v/>
      </c>
      <c r="L53" s="6">
        <f>Summary!L53</f>
        <v/>
      </c>
      <c r="M53" s="6">
        <f>Summary!M53</f>
        <v/>
      </c>
      <c r="N53" s="6">
        <f>Summary!N53</f>
        <v/>
      </c>
      <c r="O53" s="6">
        <f>Summary!O53</f>
        <v/>
      </c>
      <c r="P53" s="6">
        <f>Summary!P53</f>
        <v/>
      </c>
      <c r="Q53" s="6">
        <f>Summary!Q53</f>
        <v/>
      </c>
      <c r="R53" s="6">
        <f>Summary!R53</f>
        <v/>
      </c>
      <c r="S53" s="6">
        <f>Summary!S53</f>
        <v/>
      </c>
      <c r="T53" s="6">
        <f>Summary!T53</f>
        <v/>
      </c>
      <c r="U53" s="6">
        <f>Summary!U53</f>
        <v/>
      </c>
      <c r="V53" s="6">
        <f>Summary!V53</f>
        <v/>
      </c>
      <c r="W53" s="6">
        <f>Summary!W53</f>
        <v/>
      </c>
      <c r="X53" s="6">
        <f>Summary!X53</f>
        <v/>
      </c>
      <c r="Y53" s="6">
        <f>Summary!Y53</f>
        <v/>
      </c>
      <c r="Z53" s="6">
        <f>Summary!Z53</f>
        <v/>
      </c>
      <c r="AA53" s="6">
        <f>Summary!AA53</f>
        <v/>
      </c>
      <c r="AB53" s="6">
        <f>SUM(D53:AA53)</f>
        <v/>
      </c>
      <c r="AC53" s="3" t="inlineStr"/>
      <c r="AD53" s="7">
        <f>AA53*0.000680195+D53*0.000680195</f>
        <v/>
      </c>
      <c r="AE53" s="7">
        <f>D53*0.000680195+E53*0.000680195</f>
        <v/>
      </c>
      <c r="AF53" s="7">
        <f>E53*0.000680195+F53*0.000680195</f>
        <v/>
      </c>
      <c r="AG53" s="7">
        <f>F53*0.000680195+G53*0.000680195</f>
        <v/>
      </c>
      <c r="AH53" s="7">
        <f>G53*0.000680195+H53*0.000680195</f>
        <v/>
      </c>
      <c r="AI53" s="7">
        <f>H53*0.000680195+I53*0.000680195</f>
        <v/>
      </c>
      <c r="AJ53" s="7">
        <f>I53*0.000680195+J53*0.000680195</f>
        <v/>
      </c>
      <c r="AK53" s="7">
        <f>J53*0.000680195+K53*0.000680195</f>
        <v/>
      </c>
      <c r="AL53" s="7">
        <f>K53*0.000680195+L53*0.000680195</f>
        <v/>
      </c>
      <c r="AM53" s="7">
        <f>L53*0.000680195+M53*0.000680195</f>
        <v/>
      </c>
      <c r="AN53" s="7">
        <f>M53*0.000680195+N53*0.000680195</f>
        <v/>
      </c>
      <c r="AO53" s="7">
        <f>N53*0.000680195+O53*0.000680195</f>
        <v/>
      </c>
      <c r="AP53" s="7">
        <f>O53*0.000680195+P53*0.000680195</f>
        <v/>
      </c>
      <c r="AQ53" s="7">
        <f>P53*0.000680195+Q53*0.000680195</f>
        <v/>
      </c>
      <c r="AR53" s="7">
        <f>Q53*0.000680195+R53*0.000680195</f>
        <v/>
      </c>
      <c r="AS53" s="7">
        <f>R53*0.000680195+S53*0.000680195</f>
        <v/>
      </c>
      <c r="AT53" s="7">
        <f>S53*0.000680195+T53*0.000680195</f>
        <v/>
      </c>
      <c r="AU53" s="7">
        <f>T53*0.000680195+U53*0.000680195</f>
        <v/>
      </c>
      <c r="AV53" s="7">
        <f>U53*0.000680195+V53*0.000680195</f>
        <v/>
      </c>
      <c r="AW53" s="7">
        <f>V53*0.000680195+W53*0.000680195</f>
        <v/>
      </c>
      <c r="AX53" s="7">
        <f>W53*0.000680195+X53*0.000680195</f>
        <v/>
      </c>
      <c r="AY53" s="7">
        <f>X53*0.000680195+Y53*0.000680195</f>
        <v/>
      </c>
      <c r="AZ53" s="7">
        <f>Y53*0.000680195+Z53*0.000680195</f>
        <v/>
      </c>
      <c r="BA53" s="7">
        <f>Z53*0.000680195+AA53*0.000680195</f>
        <v/>
      </c>
      <c r="BB53" s="7">
        <f>SUM(AD53:BA53)</f>
        <v/>
      </c>
    </row>
    <row r="54">
      <c r="A54" t="inlineStr">
        <is>
          <t>AMD-FWDREG-SSC</t>
        </is>
      </c>
      <c r="B54" t="inlineStr">
        <is>
          <t>Forward Regular OSC</t>
        </is>
      </c>
      <c r="C54" s="5" t="n">
        <v>46101</v>
      </c>
      <c r="D54" s="6">
        <f>Summary!D54</f>
        <v/>
      </c>
      <c r="E54" s="6">
        <f>Summary!E54</f>
        <v/>
      </c>
      <c r="F54" s="6">
        <f>Summary!F54</f>
        <v/>
      </c>
      <c r="G54" s="6">
        <f>Summary!G54</f>
        <v/>
      </c>
      <c r="H54" s="6">
        <f>Summary!H54</f>
        <v/>
      </c>
      <c r="I54" s="6">
        <f>Summary!I54</f>
        <v/>
      </c>
      <c r="J54" s="6">
        <f>Summary!J54</f>
        <v/>
      </c>
      <c r="K54" s="6">
        <f>Summary!K54</f>
        <v/>
      </c>
      <c r="L54" s="6">
        <f>Summary!L54</f>
        <v/>
      </c>
      <c r="M54" s="6">
        <f>Summary!M54</f>
        <v/>
      </c>
      <c r="N54" s="6">
        <f>Summary!N54</f>
        <v/>
      </c>
      <c r="O54" s="6">
        <f>Summary!O54</f>
        <v/>
      </c>
      <c r="P54" s="6">
        <f>Summary!P54</f>
        <v/>
      </c>
      <c r="Q54" s="6">
        <f>Summary!Q54</f>
        <v/>
      </c>
      <c r="R54" s="6">
        <f>Summary!R54</f>
        <v/>
      </c>
      <c r="S54" s="6">
        <f>Summary!S54</f>
        <v/>
      </c>
      <c r="T54" s="6">
        <f>Summary!T54</f>
        <v/>
      </c>
      <c r="U54" s="6">
        <f>Summary!U54</f>
        <v/>
      </c>
      <c r="V54" s="6">
        <f>Summary!V54</f>
        <v/>
      </c>
      <c r="W54" s="6">
        <f>Summary!W54</f>
        <v/>
      </c>
      <c r="X54" s="6">
        <f>Summary!X54</f>
        <v/>
      </c>
      <c r="Y54" s="6">
        <f>Summary!Y54</f>
        <v/>
      </c>
      <c r="Z54" s="6">
        <f>Summary!Z54</f>
        <v/>
      </c>
      <c r="AA54" s="6">
        <f>Summary!AA54</f>
        <v/>
      </c>
      <c r="AB54" s="6">
        <f>SUM(D54:AA54)</f>
        <v/>
      </c>
      <c r="AC54" s="3" t="inlineStr"/>
      <c r="AD54" s="7">
        <f>AA54*0.000680195+D54*0.000680195</f>
        <v/>
      </c>
      <c r="AE54" s="7">
        <f>D54*0.000680195+E54*0.000680195</f>
        <v/>
      </c>
      <c r="AF54" s="7">
        <f>E54*0.000680195+F54*0.000680195</f>
        <v/>
      </c>
      <c r="AG54" s="7">
        <f>F54*0.000680195+G54*0.000680195</f>
        <v/>
      </c>
      <c r="AH54" s="7">
        <f>G54*0.000680195+H54*0.000680195</f>
        <v/>
      </c>
      <c r="AI54" s="7">
        <f>H54*0.000680195+I54*0.000680195</f>
        <v/>
      </c>
      <c r="AJ54" s="7">
        <f>I54*0.000680195+J54*0.000680195</f>
        <v/>
      </c>
      <c r="AK54" s="7">
        <f>J54*0.000680195+K54*0.000680195</f>
        <v/>
      </c>
      <c r="AL54" s="7">
        <f>K54*0.000680195+L54*0.000680195</f>
        <v/>
      </c>
      <c r="AM54" s="7">
        <f>L54*0.000680195+M54*0.000680195</f>
        <v/>
      </c>
      <c r="AN54" s="7">
        <f>M54*0.000680195+N54*0.000680195</f>
        <v/>
      </c>
      <c r="AO54" s="7">
        <f>N54*0.000680195+O54*0.000680195</f>
        <v/>
      </c>
      <c r="AP54" s="7">
        <f>O54*0.000680195+P54*0.000680195</f>
        <v/>
      </c>
      <c r="AQ54" s="7">
        <f>P54*0.000680195+Q54*0.000680195</f>
        <v/>
      </c>
      <c r="AR54" s="7">
        <f>Q54*0.000680195+R54*0.000680195</f>
        <v/>
      </c>
      <c r="AS54" s="7">
        <f>R54*0.000680195+S54*0.000680195</f>
        <v/>
      </c>
      <c r="AT54" s="7">
        <f>S54*0.000680195+T54*0.000680195</f>
        <v/>
      </c>
      <c r="AU54" s="7">
        <f>T54*0.000680195+U54*0.000680195</f>
        <v/>
      </c>
      <c r="AV54" s="7">
        <f>U54*0.000680195+V54*0.000680195</f>
        <v/>
      </c>
      <c r="AW54" s="7">
        <f>V54*0.000680195+W54*0.000680195</f>
        <v/>
      </c>
      <c r="AX54" s="7">
        <f>W54*0.000680195+X54*0.000680195</f>
        <v/>
      </c>
      <c r="AY54" s="7">
        <f>X54*0.000680195+Y54*0.000680195</f>
        <v/>
      </c>
      <c r="AZ54" s="7">
        <f>Y54*0.000680195+Z54*0.000680195</f>
        <v/>
      </c>
      <c r="BA54" s="7">
        <f>Z54*0.000680195+AA54*0.000680195</f>
        <v/>
      </c>
      <c r="BB54" s="7">
        <f>SUM(AD54:BA54)</f>
        <v/>
      </c>
    </row>
    <row r="55">
      <c r="A55" t="inlineStr">
        <is>
          <t>AMD-FWDREG-SSC</t>
        </is>
      </c>
      <c r="B55" t="inlineStr">
        <is>
          <t>Forward Regular OSC</t>
        </is>
      </c>
      <c r="C55" s="5" t="n">
        <v>46102</v>
      </c>
      <c r="D55" s="6">
        <f>Summary!D55</f>
        <v/>
      </c>
      <c r="E55" s="6">
        <f>Summary!E55</f>
        <v/>
      </c>
      <c r="F55" s="6">
        <f>Summary!F55</f>
        <v/>
      </c>
      <c r="G55" s="6">
        <f>Summary!G55</f>
        <v/>
      </c>
      <c r="H55" s="6">
        <f>Summary!H55</f>
        <v/>
      </c>
      <c r="I55" s="6">
        <f>Summary!I55</f>
        <v/>
      </c>
      <c r="J55" s="6">
        <f>Summary!J55</f>
        <v/>
      </c>
      <c r="K55" s="6">
        <f>Summary!K55</f>
        <v/>
      </c>
      <c r="L55" s="6">
        <f>Summary!L55</f>
        <v/>
      </c>
      <c r="M55" s="6">
        <f>Summary!M55</f>
        <v/>
      </c>
      <c r="N55" s="6">
        <f>Summary!N55</f>
        <v/>
      </c>
      <c r="O55" s="6">
        <f>Summary!O55</f>
        <v/>
      </c>
      <c r="P55" s="6">
        <f>Summary!P55</f>
        <v/>
      </c>
      <c r="Q55" s="6">
        <f>Summary!Q55</f>
        <v/>
      </c>
      <c r="R55" s="6">
        <f>Summary!R55</f>
        <v/>
      </c>
      <c r="S55" s="6">
        <f>Summary!S55</f>
        <v/>
      </c>
      <c r="T55" s="6">
        <f>Summary!T55</f>
        <v/>
      </c>
      <c r="U55" s="6">
        <f>Summary!U55</f>
        <v/>
      </c>
      <c r="V55" s="6">
        <f>Summary!V55</f>
        <v/>
      </c>
      <c r="W55" s="6">
        <f>Summary!W55</f>
        <v/>
      </c>
      <c r="X55" s="6">
        <f>Summary!X55</f>
        <v/>
      </c>
      <c r="Y55" s="6">
        <f>Summary!Y55</f>
        <v/>
      </c>
      <c r="Z55" s="6">
        <f>Summary!Z55</f>
        <v/>
      </c>
      <c r="AA55" s="6">
        <f>Summary!AA55</f>
        <v/>
      </c>
      <c r="AB55" s="6">
        <f>SUM(D55:AA55)</f>
        <v/>
      </c>
      <c r="AC55" s="3" t="inlineStr"/>
      <c r="AD55" s="7">
        <f>AA55*0.000680195+D55*0.000680195</f>
        <v/>
      </c>
      <c r="AE55" s="7">
        <f>D55*0.000680195+E55*0.000680195</f>
        <v/>
      </c>
      <c r="AF55" s="7">
        <f>E55*0.000680195+F55*0.000680195</f>
        <v/>
      </c>
      <c r="AG55" s="7">
        <f>F55*0.000680195+G55*0.000680195</f>
        <v/>
      </c>
      <c r="AH55" s="7">
        <f>G55*0.000680195+H55*0.000680195</f>
        <v/>
      </c>
      <c r="AI55" s="7">
        <f>H55*0.000680195+I55*0.000680195</f>
        <v/>
      </c>
      <c r="AJ55" s="7">
        <f>I55*0.000680195+J55*0.000680195</f>
        <v/>
      </c>
      <c r="AK55" s="7">
        <f>J55*0.000680195+K55*0.000680195</f>
        <v/>
      </c>
      <c r="AL55" s="7">
        <f>K55*0.000680195+L55*0.000680195</f>
        <v/>
      </c>
      <c r="AM55" s="7">
        <f>L55*0.000680195+M55*0.000680195</f>
        <v/>
      </c>
      <c r="AN55" s="7">
        <f>M55*0.000680195+N55*0.000680195</f>
        <v/>
      </c>
      <c r="AO55" s="7">
        <f>N55*0.000680195+O55*0.000680195</f>
        <v/>
      </c>
      <c r="AP55" s="7">
        <f>O55*0.000680195+P55*0.000680195</f>
        <v/>
      </c>
      <c r="AQ55" s="7">
        <f>P55*0.000680195+Q55*0.000680195</f>
        <v/>
      </c>
      <c r="AR55" s="7">
        <f>Q55*0.000680195+R55*0.000680195</f>
        <v/>
      </c>
      <c r="AS55" s="7">
        <f>R55*0.000680195+S55*0.000680195</f>
        <v/>
      </c>
      <c r="AT55" s="7">
        <f>S55*0.000680195+T55*0.000680195</f>
        <v/>
      </c>
      <c r="AU55" s="7">
        <f>T55*0.000680195+U55*0.000680195</f>
        <v/>
      </c>
      <c r="AV55" s="7">
        <f>U55*0.000680195+V55*0.000680195</f>
        <v/>
      </c>
      <c r="AW55" s="7">
        <f>V55*0.000680195+W55*0.000680195</f>
        <v/>
      </c>
      <c r="AX55" s="7">
        <f>W55*0.000680195+X55*0.000680195</f>
        <v/>
      </c>
      <c r="AY55" s="7">
        <f>X55*0.000680195+Y55*0.000680195</f>
        <v/>
      </c>
      <c r="AZ55" s="7">
        <f>Y55*0.000680195+Z55*0.000680195</f>
        <v/>
      </c>
      <c r="BA55" s="7">
        <f>Z55*0.000680195+AA55*0.000680195</f>
        <v/>
      </c>
      <c r="BB55" s="7">
        <f>SUM(AD55:BA55)</f>
        <v/>
      </c>
    </row>
    <row r="56">
      <c r="A56" t="inlineStr">
        <is>
          <t>AMD-FWDREG-SSC</t>
        </is>
      </c>
      <c r="B56" t="inlineStr">
        <is>
          <t>Forward Regular OSC</t>
        </is>
      </c>
      <c r="C56" s="5" t="n">
        <v>46103</v>
      </c>
      <c r="D56" s="6">
        <f>Summary!D56</f>
        <v/>
      </c>
      <c r="E56" s="6">
        <f>Summary!E56</f>
        <v/>
      </c>
      <c r="F56" s="6">
        <f>Summary!F56</f>
        <v/>
      </c>
      <c r="G56" s="6">
        <f>Summary!G56</f>
        <v/>
      </c>
      <c r="H56" s="6">
        <f>Summary!H56</f>
        <v/>
      </c>
      <c r="I56" s="6">
        <f>Summary!I56</f>
        <v/>
      </c>
      <c r="J56" s="6">
        <f>Summary!J56</f>
        <v/>
      </c>
      <c r="K56" s="6">
        <f>Summary!K56</f>
        <v/>
      </c>
      <c r="L56" s="6">
        <f>Summary!L56</f>
        <v/>
      </c>
      <c r="M56" s="6">
        <f>Summary!M56</f>
        <v/>
      </c>
      <c r="N56" s="6">
        <f>Summary!N56</f>
        <v/>
      </c>
      <c r="O56" s="6">
        <f>Summary!O56</f>
        <v/>
      </c>
      <c r="P56" s="6">
        <f>Summary!P56</f>
        <v/>
      </c>
      <c r="Q56" s="6">
        <f>Summary!Q56</f>
        <v/>
      </c>
      <c r="R56" s="6">
        <f>Summary!R56</f>
        <v/>
      </c>
      <c r="S56" s="6">
        <f>Summary!S56</f>
        <v/>
      </c>
      <c r="T56" s="6">
        <f>Summary!T56</f>
        <v/>
      </c>
      <c r="U56" s="6">
        <f>Summary!U56</f>
        <v/>
      </c>
      <c r="V56" s="6">
        <f>Summary!V56</f>
        <v/>
      </c>
      <c r="W56" s="6">
        <f>Summary!W56</f>
        <v/>
      </c>
      <c r="X56" s="6">
        <f>Summary!X56</f>
        <v/>
      </c>
      <c r="Y56" s="6">
        <f>Summary!Y56</f>
        <v/>
      </c>
      <c r="Z56" s="6">
        <f>Summary!Z56</f>
        <v/>
      </c>
      <c r="AA56" s="6">
        <f>Summary!AA56</f>
        <v/>
      </c>
      <c r="AB56" s="6">
        <f>SUM(D56:AA56)</f>
        <v/>
      </c>
      <c r="AC56" s="3" t="inlineStr"/>
      <c r="AD56" s="7">
        <f>AA56*0.000680195+D56*0.000680195</f>
        <v/>
      </c>
      <c r="AE56" s="7">
        <f>D56*0.000680195+E56*0.000680195</f>
        <v/>
      </c>
      <c r="AF56" s="7">
        <f>E56*0.000680195+F56*0.000680195</f>
        <v/>
      </c>
      <c r="AG56" s="7">
        <f>F56*0.000680195+G56*0.000680195</f>
        <v/>
      </c>
      <c r="AH56" s="7">
        <f>G56*0.000680195+H56*0.000680195</f>
        <v/>
      </c>
      <c r="AI56" s="7">
        <f>H56*0.000680195+I56*0.000680195</f>
        <v/>
      </c>
      <c r="AJ56" s="7">
        <f>I56*0.000680195+J56*0.000680195</f>
        <v/>
      </c>
      <c r="AK56" s="7">
        <f>J56*0.000680195+K56*0.000680195</f>
        <v/>
      </c>
      <c r="AL56" s="7">
        <f>K56*0.000680195+L56*0.000680195</f>
        <v/>
      </c>
      <c r="AM56" s="7">
        <f>L56*0.000680195+M56*0.000680195</f>
        <v/>
      </c>
      <c r="AN56" s="7">
        <f>M56*0.000680195+N56*0.000680195</f>
        <v/>
      </c>
      <c r="AO56" s="7">
        <f>N56*0.000680195+O56*0.000680195</f>
        <v/>
      </c>
      <c r="AP56" s="7">
        <f>O56*0.000680195+P56*0.000680195</f>
        <v/>
      </c>
      <c r="AQ56" s="7">
        <f>P56*0.000680195+Q56*0.000680195</f>
        <v/>
      </c>
      <c r="AR56" s="7">
        <f>Q56*0.000680195+R56*0.000680195</f>
        <v/>
      </c>
      <c r="AS56" s="7">
        <f>R56*0.000680195+S56*0.000680195</f>
        <v/>
      </c>
      <c r="AT56" s="7">
        <f>S56*0.000680195+T56*0.000680195</f>
        <v/>
      </c>
      <c r="AU56" s="7">
        <f>T56*0.000680195+U56*0.000680195</f>
        <v/>
      </c>
      <c r="AV56" s="7">
        <f>U56*0.000680195+V56*0.000680195</f>
        <v/>
      </c>
      <c r="AW56" s="7">
        <f>V56*0.000680195+W56*0.000680195</f>
        <v/>
      </c>
      <c r="AX56" s="7">
        <f>W56*0.000680195+X56*0.000680195</f>
        <v/>
      </c>
      <c r="AY56" s="7">
        <f>X56*0.000680195+Y56*0.000680195</f>
        <v/>
      </c>
      <c r="AZ56" s="7">
        <f>Y56*0.000680195+Z56*0.000680195</f>
        <v/>
      </c>
      <c r="BA56" s="7">
        <f>Z56*0.000680195+AA56*0.000680195</f>
        <v/>
      </c>
      <c r="BB56" s="7">
        <f>SUM(AD56:BA56)</f>
        <v/>
      </c>
    </row>
    <row r="57">
      <c r="A57" t="inlineStr">
        <is>
          <t>AMD-FWDREG-SSC</t>
        </is>
      </c>
      <c r="B57" t="inlineStr">
        <is>
          <t>Forward Regular OSC</t>
        </is>
      </c>
      <c r="C57" s="5" t="n">
        <v>46104</v>
      </c>
      <c r="D57" s="6">
        <f>Summary!D57</f>
        <v/>
      </c>
      <c r="E57" s="6">
        <f>Summary!E57</f>
        <v/>
      </c>
      <c r="F57" s="6">
        <f>Summary!F57</f>
        <v/>
      </c>
      <c r="G57" s="6">
        <f>Summary!G57</f>
        <v/>
      </c>
      <c r="H57" s="6">
        <f>Summary!H57</f>
        <v/>
      </c>
      <c r="I57" s="6">
        <f>Summary!I57</f>
        <v/>
      </c>
      <c r="J57" s="6">
        <f>Summary!J57</f>
        <v/>
      </c>
      <c r="K57" s="6">
        <f>Summary!K57</f>
        <v/>
      </c>
      <c r="L57" s="6">
        <f>Summary!L57</f>
        <v/>
      </c>
      <c r="M57" s="6">
        <f>Summary!M57</f>
        <v/>
      </c>
      <c r="N57" s="6">
        <f>Summary!N57</f>
        <v/>
      </c>
      <c r="O57" s="6">
        <f>Summary!O57</f>
        <v/>
      </c>
      <c r="P57" s="6">
        <f>Summary!P57</f>
        <v/>
      </c>
      <c r="Q57" s="6">
        <f>Summary!Q57</f>
        <v/>
      </c>
      <c r="R57" s="6">
        <f>Summary!R57</f>
        <v/>
      </c>
      <c r="S57" s="6">
        <f>Summary!S57</f>
        <v/>
      </c>
      <c r="T57" s="6">
        <f>Summary!T57</f>
        <v/>
      </c>
      <c r="U57" s="6">
        <f>Summary!U57</f>
        <v/>
      </c>
      <c r="V57" s="6">
        <f>Summary!V57</f>
        <v/>
      </c>
      <c r="W57" s="6">
        <f>Summary!W57</f>
        <v/>
      </c>
      <c r="X57" s="6">
        <f>Summary!X57</f>
        <v/>
      </c>
      <c r="Y57" s="6">
        <f>Summary!Y57</f>
        <v/>
      </c>
      <c r="Z57" s="6">
        <f>Summary!Z57</f>
        <v/>
      </c>
      <c r="AA57" s="6">
        <f>Summary!AA57</f>
        <v/>
      </c>
      <c r="AB57" s="6">
        <f>SUM(D57:AA57)</f>
        <v/>
      </c>
      <c r="AC57" s="3" t="inlineStr"/>
      <c r="AD57" s="7">
        <f>AA57*0.000680195+D57*0.000680195</f>
        <v/>
      </c>
      <c r="AE57" s="7">
        <f>D57*0.000680195+E57*0.000680195</f>
        <v/>
      </c>
      <c r="AF57" s="7">
        <f>E57*0.000680195+F57*0.000680195</f>
        <v/>
      </c>
      <c r="AG57" s="7">
        <f>F57*0.000680195+G57*0.000680195</f>
        <v/>
      </c>
      <c r="AH57" s="7">
        <f>G57*0.000680195+H57*0.000680195</f>
        <v/>
      </c>
      <c r="AI57" s="7">
        <f>H57*0.000680195+I57*0.000680195</f>
        <v/>
      </c>
      <c r="AJ57" s="7">
        <f>I57*0.000680195+J57*0.000680195</f>
        <v/>
      </c>
      <c r="AK57" s="7">
        <f>J57*0.000680195+K57*0.000680195</f>
        <v/>
      </c>
      <c r="AL57" s="7">
        <f>K57*0.000680195+L57*0.000680195</f>
        <v/>
      </c>
      <c r="AM57" s="7">
        <f>L57*0.000680195+M57*0.000680195</f>
        <v/>
      </c>
      <c r="AN57" s="7">
        <f>M57*0.000680195+N57*0.000680195</f>
        <v/>
      </c>
      <c r="AO57" s="7">
        <f>N57*0.000680195+O57*0.000680195</f>
        <v/>
      </c>
      <c r="AP57" s="7">
        <f>O57*0.000680195+P57*0.000680195</f>
        <v/>
      </c>
      <c r="AQ57" s="7">
        <f>P57*0.000680195+Q57*0.000680195</f>
        <v/>
      </c>
      <c r="AR57" s="7">
        <f>Q57*0.000680195+R57*0.000680195</f>
        <v/>
      </c>
      <c r="AS57" s="7">
        <f>R57*0.000680195+S57*0.000680195</f>
        <v/>
      </c>
      <c r="AT57" s="7">
        <f>S57*0.000680195+T57*0.000680195</f>
        <v/>
      </c>
      <c r="AU57" s="7">
        <f>T57*0.000680195+U57*0.000680195</f>
        <v/>
      </c>
      <c r="AV57" s="7">
        <f>U57*0.000680195+V57*0.000680195</f>
        <v/>
      </c>
      <c r="AW57" s="7">
        <f>V57*0.000680195+W57*0.000680195</f>
        <v/>
      </c>
      <c r="AX57" s="7">
        <f>W57*0.000680195+X57*0.000680195</f>
        <v/>
      </c>
      <c r="AY57" s="7">
        <f>X57*0.000680195+Y57*0.000680195</f>
        <v/>
      </c>
      <c r="AZ57" s="7">
        <f>Y57*0.000680195+Z57*0.000680195</f>
        <v/>
      </c>
      <c r="BA57" s="7">
        <f>Z57*0.000680195+AA57*0.000680195</f>
        <v/>
      </c>
      <c r="BB57" s="7">
        <f>SUM(AD57:BA57)</f>
        <v/>
      </c>
    </row>
    <row r="58">
      <c r="A58" t="inlineStr">
        <is>
          <t>AMD-FWDREG-SSC</t>
        </is>
      </c>
      <c r="B58" t="inlineStr">
        <is>
          <t>Forward Regular OSC</t>
        </is>
      </c>
      <c r="C58" s="5" t="n">
        <v>46105</v>
      </c>
      <c r="D58" s="6">
        <f>Summary!D58</f>
        <v/>
      </c>
      <c r="E58" s="6">
        <f>Summary!E58</f>
        <v/>
      </c>
      <c r="F58" s="6">
        <f>Summary!F58</f>
        <v/>
      </c>
      <c r="G58" s="6">
        <f>Summary!G58</f>
        <v/>
      </c>
      <c r="H58" s="6">
        <f>Summary!H58</f>
        <v/>
      </c>
      <c r="I58" s="6">
        <f>Summary!I58</f>
        <v/>
      </c>
      <c r="J58" s="6">
        <f>Summary!J58</f>
        <v/>
      </c>
      <c r="K58" s="6">
        <f>Summary!K58</f>
        <v/>
      </c>
      <c r="L58" s="6">
        <f>Summary!L58</f>
        <v/>
      </c>
      <c r="M58" s="6">
        <f>Summary!M58</f>
        <v/>
      </c>
      <c r="N58" s="6">
        <f>Summary!N58</f>
        <v/>
      </c>
      <c r="O58" s="6">
        <f>Summary!O58</f>
        <v/>
      </c>
      <c r="P58" s="6">
        <f>Summary!P58</f>
        <v/>
      </c>
      <c r="Q58" s="6">
        <f>Summary!Q58</f>
        <v/>
      </c>
      <c r="R58" s="6">
        <f>Summary!R58</f>
        <v/>
      </c>
      <c r="S58" s="6">
        <f>Summary!S58</f>
        <v/>
      </c>
      <c r="T58" s="6">
        <f>Summary!T58</f>
        <v/>
      </c>
      <c r="U58" s="6">
        <f>Summary!U58</f>
        <v/>
      </c>
      <c r="V58" s="6">
        <f>Summary!V58</f>
        <v/>
      </c>
      <c r="W58" s="6">
        <f>Summary!W58</f>
        <v/>
      </c>
      <c r="X58" s="6">
        <f>Summary!X58</f>
        <v/>
      </c>
      <c r="Y58" s="6">
        <f>Summary!Y58</f>
        <v/>
      </c>
      <c r="Z58" s="6">
        <f>Summary!Z58</f>
        <v/>
      </c>
      <c r="AA58" s="6">
        <f>Summary!AA58</f>
        <v/>
      </c>
      <c r="AB58" s="6">
        <f>SUM(D58:AA58)</f>
        <v/>
      </c>
      <c r="AC58" s="3" t="inlineStr"/>
      <c r="AD58" s="7">
        <f>AA58*0.000680195+D58*0.000680195</f>
        <v/>
      </c>
      <c r="AE58" s="7">
        <f>D58*0.000680195+E58*0.000680195</f>
        <v/>
      </c>
      <c r="AF58" s="7">
        <f>E58*0.000680195+F58*0.000680195</f>
        <v/>
      </c>
      <c r="AG58" s="7">
        <f>F58*0.000680195+G58*0.000680195</f>
        <v/>
      </c>
      <c r="AH58" s="7">
        <f>G58*0.000680195+H58*0.000680195</f>
        <v/>
      </c>
      <c r="AI58" s="7">
        <f>H58*0.000680195+I58*0.000680195</f>
        <v/>
      </c>
      <c r="AJ58" s="7">
        <f>I58*0.000680195+J58*0.000680195</f>
        <v/>
      </c>
      <c r="AK58" s="7">
        <f>J58*0.000680195+K58*0.000680195</f>
        <v/>
      </c>
      <c r="AL58" s="7">
        <f>K58*0.000680195+L58*0.000680195</f>
        <v/>
      </c>
      <c r="AM58" s="7">
        <f>L58*0.000680195+M58*0.000680195</f>
        <v/>
      </c>
      <c r="AN58" s="7">
        <f>M58*0.000680195+N58*0.000680195</f>
        <v/>
      </c>
      <c r="AO58" s="7">
        <f>N58*0.000680195+O58*0.000680195</f>
        <v/>
      </c>
      <c r="AP58" s="7">
        <f>O58*0.000680195+P58*0.000680195</f>
        <v/>
      </c>
      <c r="AQ58" s="7">
        <f>P58*0.000680195+Q58*0.000680195</f>
        <v/>
      </c>
      <c r="AR58" s="7">
        <f>Q58*0.000680195+R58*0.000680195</f>
        <v/>
      </c>
      <c r="AS58" s="7">
        <f>R58*0.000680195+S58*0.000680195</f>
        <v/>
      </c>
      <c r="AT58" s="7">
        <f>S58*0.000680195+T58*0.000680195</f>
        <v/>
      </c>
      <c r="AU58" s="7">
        <f>T58*0.000680195+U58*0.000680195</f>
        <v/>
      </c>
      <c r="AV58" s="7">
        <f>U58*0.000680195+V58*0.000680195</f>
        <v/>
      </c>
      <c r="AW58" s="7">
        <f>V58*0.000680195+W58*0.000680195</f>
        <v/>
      </c>
      <c r="AX58" s="7">
        <f>W58*0.000680195+X58*0.000680195</f>
        <v/>
      </c>
      <c r="AY58" s="7">
        <f>X58*0.000680195+Y58*0.000680195</f>
        <v/>
      </c>
      <c r="AZ58" s="7">
        <f>Y58*0.000680195+Z58*0.000680195</f>
        <v/>
      </c>
      <c r="BA58" s="7">
        <f>Z58*0.000680195+AA58*0.000680195</f>
        <v/>
      </c>
      <c r="BB58" s="7">
        <f>SUM(AD58:BA58)</f>
        <v/>
      </c>
    </row>
    <row r="59">
      <c r="A59" t="inlineStr">
        <is>
          <t>AMD-INTRA-SSC</t>
        </is>
      </c>
      <c r="B59" t="inlineStr">
        <is>
          <t>Forward Regular OSC</t>
        </is>
      </c>
      <c r="C59" s="5" t="n">
        <v>46098</v>
      </c>
      <c r="D59" s="6">
        <f>Summary!D59</f>
        <v/>
      </c>
      <c r="E59" s="6">
        <f>Summary!E59</f>
        <v/>
      </c>
      <c r="F59" s="6">
        <f>Summary!F59</f>
        <v/>
      </c>
      <c r="G59" s="6">
        <f>Summary!G59</f>
        <v/>
      </c>
      <c r="H59" s="6">
        <f>Summary!H59</f>
        <v/>
      </c>
      <c r="I59" s="6">
        <f>Summary!I59</f>
        <v/>
      </c>
      <c r="J59" s="6">
        <f>Summary!J59</f>
        <v/>
      </c>
      <c r="K59" s="6">
        <f>Summary!K59</f>
        <v/>
      </c>
      <c r="L59" s="6">
        <f>Summary!L59</f>
        <v/>
      </c>
      <c r="M59" s="6">
        <f>Summary!M59</f>
        <v/>
      </c>
      <c r="N59" s="6">
        <f>Summary!N59</f>
        <v/>
      </c>
      <c r="O59" s="6">
        <f>Summary!O59</f>
        <v/>
      </c>
      <c r="P59" s="6">
        <f>Summary!P59</f>
        <v/>
      </c>
      <c r="Q59" s="6">
        <f>Summary!Q59</f>
        <v/>
      </c>
      <c r="R59" s="6">
        <f>Summary!R59</f>
        <v/>
      </c>
      <c r="S59" s="6">
        <f>Summary!S59</f>
        <v/>
      </c>
      <c r="T59" s="6">
        <f>Summary!T59</f>
        <v/>
      </c>
      <c r="U59" s="6">
        <f>Summary!U59</f>
        <v/>
      </c>
      <c r="V59" s="6">
        <f>Summary!V59</f>
        <v/>
      </c>
      <c r="W59" s="6">
        <f>Summary!W59</f>
        <v/>
      </c>
      <c r="X59" s="6">
        <f>Summary!X59</f>
        <v/>
      </c>
      <c r="Y59" s="6">
        <f>Summary!Y59</f>
        <v/>
      </c>
      <c r="Z59" s="6">
        <f>Summary!Z59</f>
        <v/>
      </c>
      <c r="AA59" s="6">
        <f>Summary!AA59</f>
        <v/>
      </c>
      <c r="AB59" s="6">
        <f>SUM(D59:AA59)</f>
        <v/>
      </c>
      <c r="AC59" s="3" t="inlineStr"/>
      <c r="AD59" s="7">
        <f>AA59*0.000680195+D59*0.000680195</f>
        <v/>
      </c>
      <c r="AE59" s="7">
        <f>D59*0.000680195+E59*0.000680195</f>
        <v/>
      </c>
      <c r="AF59" s="7">
        <f>E59*0.000680195+F59*0.000680195</f>
        <v/>
      </c>
      <c r="AG59" s="7">
        <f>F59*0.000680195+G59*0.000680195</f>
        <v/>
      </c>
      <c r="AH59" s="7">
        <f>G59*0.000680195+H59*0.000680195</f>
        <v/>
      </c>
      <c r="AI59" s="7">
        <f>H59*0.000680195+I59*0.000680195</f>
        <v/>
      </c>
      <c r="AJ59" s="7">
        <f>I59*0.000680195+J59*0.000680195</f>
        <v/>
      </c>
      <c r="AK59" s="7">
        <f>J59*0.000680195+K59*0.000680195</f>
        <v/>
      </c>
      <c r="AL59" s="7">
        <f>K59*0.000680195+L59*0.000680195</f>
        <v/>
      </c>
      <c r="AM59" s="7">
        <f>L59*0.000680195+M59*0.000680195</f>
        <v/>
      </c>
      <c r="AN59" s="7">
        <f>M59*0.000680195+N59*0.000680195</f>
        <v/>
      </c>
      <c r="AO59" s="7">
        <f>N59*0.000680195+O59*0.000680195</f>
        <v/>
      </c>
      <c r="AP59" s="7">
        <f>O59*0.000680195+P59*0.000680195</f>
        <v/>
      </c>
      <c r="AQ59" s="7">
        <f>P59*0.000680195+Q59*0.000680195</f>
        <v/>
      </c>
      <c r="AR59" s="7">
        <f>Q59*0.000680195+R59*0.000680195</f>
        <v/>
      </c>
      <c r="AS59" s="7">
        <f>R59*0.000680195+S59*0.000680195</f>
        <v/>
      </c>
      <c r="AT59" s="7">
        <f>S59*0.000680195+T59*0.000680195</f>
        <v/>
      </c>
      <c r="AU59" s="7">
        <f>T59*0.000680195+U59*0.000680195</f>
        <v/>
      </c>
      <c r="AV59" s="7">
        <f>U59*0.000680195+V59*0.000680195</f>
        <v/>
      </c>
      <c r="AW59" s="7">
        <f>V59*0.000680195+W59*0.000680195</f>
        <v/>
      </c>
      <c r="AX59" s="7">
        <f>W59*0.000680195+X59*0.000680195</f>
        <v/>
      </c>
      <c r="AY59" s="7">
        <f>X59*0.000680195+Y59*0.000680195</f>
        <v/>
      </c>
      <c r="AZ59" s="7">
        <f>Y59*0.000680195+Z59*0.000680195</f>
        <v/>
      </c>
      <c r="BA59" s="7">
        <f>Z59*0.000680195+AA59*0.000680195</f>
        <v/>
      </c>
      <c r="BB59" s="7">
        <f>SUM(AD59:BA59)</f>
        <v/>
      </c>
    </row>
    <row r="60">
      <c r="A60" t="inlineStr">
        <is>
          <t>AMD-INTRA-SSC</t>
        </is>
      </c>
      <c r="B60" t="inlineStr">
        <is>
          <t>Forward Regular OSC</t>
        </is>
      </c>
      <c r="C60" s="5" t="n">
        <v>46099</v>
      </c>
      <c r="D60" s="6">
        <f>Summary!D60</f>
        <v/>
      </c>
      <c r="E60" s="6">
        <f>Summary!E60</f>
        <v/>
      </c>
      <c r="F60" s="6">
        <f>Summary!F60</f>
        <v/>
      </c>
      <c r="G60" s="6">
        <f>Summary!G60</f>
        <v/>
      </c>
      <c r="H60" s="6">
        <f>Summary!H60</f>
        <v/>
      </c>
      <c r="I60" s="6">
        <f>Summary!I60</f>
        <v/>
      </c>
      <c r="J60" s="6">
        <f>Summary!J60</f>
        <v/>
      </c>
      <c r="K60" s="6">
        <f>Summary!K60</f>
        <v/>
      </c>
      <c r="L60" s="6">
        <f>Summary!L60</f>
        <v/>
      </c>
      <c r="M60" s="6">
        <f>Summary!M60</f>
        <v/>
      </c>
      <c r="N60" s="6">
        <f>Summary!N60</f>
        <v/>
      </c>
      <c r="O60" s="6">
        <f>Summary!O60</f>
        <v/>
      </c>
      <c r="P60" s="6">
        <f>Summary!P60</f>
        <v/>
      </c>
      <c r="Q60" s="6">
        <f>Summary!Q60</f>
        <v/>
      </c>
      <c r="R60" s="6">
        <f>Summary!R60</f>
        <v/>
      </c>
      <c r="S60" s="6">
        <f>Summary!S60</f>
        <v/>
      </c>
      <c r="T60" s="6">
        <f>Summary!T60</f>
        <v/>
      </c>
      <c r="U60" s="6">
        <f>Summary!U60</f>
        <v/>
      </c>
      <c r="V60" s="6">
        <f>Summary!V60</f>
        <v/>
      </c>
      <c r="W60" s="6">
        <f>Summary!W60</f>
        <v/>
      </c>
      <c r="X60" s="6">
        <f>Summary!X60</f>
        <v/>
      </c>
      <c r="Y60" s="6">
        <f>Summary!Y60</f>
        <v/>
      </c>
      <c r="Z60" s="6">
        <f>Summary!Z60</f>
        <v/>
      </c>
      <c r="AA60" s="6">
        <f>Summary!AA60</f>
        <v/>
      </c>
      <c r="AB60" s="6">
        <f>SUM(D60:AA60)</f>
        <v/>
      </c>
      <c r="AC60" s="3" t="inlineStr"/>
      <c r="AD60" s="7">
        <f>AA60*0.000680195+D60*0.000680195</f>
        <v/>
      </c>
      <c r="AE60" s="7">
        <f>D60*0.000680195+E60*0.000680195</f>
        <v/>
      </c>
      <c r="AF60" s="7">
        <f>E60*0.000680195+F60*0.000680195</f>
        <v/>
      </c>
      <c r="AG60" s="7">
        <f>F60*0.000680195+G60*0.000680195</f>
        <v/>
      </c>
      <c r="AH60" s="7">
        <f>G60*0.000680195+H60*0.000680195</f>
        <v/>
      </c>
      <c r="AI60" s="7">
        <f>H60*0.000680195+I60*0.000680195</f>
        <v/>
      </c>
      <c r="AJ60" s="7">
        <f>I60*0.000680195+J60*0.000680195</f>
        <v/>
      </c>
      <c r="AK60" s="7">
        <f>J60*0.000680195+K60*0.000680195</f>
        <v/>
      </c>
      <c r="AL60" s="7">
        <f>K60*0.000680195+L60*0.000680195</f>
        <v/>
      </c>
      <c r="AM60" s="7">
        <f>L60*0.000680195+M60*0.000680195</f>
        <v/>
      </c>
      <c r="AN60" s="7">
        <f>M60*0.000680195+N60*0.000680195</f>
        <v/>
      </c>
      <c r="AO60" s="7">
        <f>N60*0.000680195+O60*0.000680195</f>
        <v/>
      </c>
      <c r="AP60" s="7">
        <f>O60*0.000680195+P60*0.000680195</f>
        <v/>
      </c>
      <c r="AQ60" s="7">
        <f>P60*0.000680195+Q60*0.000680195</f>
        <v/>
      </c>
      <c r="AR60" s="7">
        <f>Q60*0.000680195+R60*0.000680195</f>
        <v/>
      </c>
      <c r="AS60" s="7">
        <f>R60*0.000680195+S60*0.000680195</f>
        <v/>
      </c>
      <c r="AT60" s="7">
        <f>S60*0.000680195+T60*0.000680195</f>
        <v/>
      </c>
      <c r="AU60" s="7">
        <f>T60*0.000680195+U60*0.000680195</f>
        <v/>
      </c>
      <c r="AV60" s="7">
        <f>U60*0.000680195+V60*0.000680195</f>
        <v/>
      </c>
      <c r="AW60" s="7">
        <f>V60*0.000680195+W60*0.000680195</f>
        <v/>
      </c>
      <c r="AX60" s="7">
        <f>W60*0.000680195+X60*0.000680195</f>
        <v/>
      </c>
      <c r="AY60" s="7">
        <f>X60*0.000680195+Y60*0.000680195</f>
        <v/>
      </c>
      <c r="AZ60" s="7">
        <f>Y60*0.000680195+Z60*0.000680195</f>
        <v/>
      </c>
      <c r="BA60" s="7">
        <f>Z60*0.000680195+AA60*0.000680195</f>
        <v/>
      </c>
      <c r="BB60" s="7">
        <f>SUM(AD60:BA60)</f>
        <v/>
      </c>
    </row>
    <row r="61">
      <c r="A61" t="inlineStr">
        <is>
          <t>AMD-INTRA-SSC</t>
        </is>
      </c>
      <c r="B61" t="inlineStr">
        <is>
          <t>Forward Regular OSC</t>
        </is>
      </c>
      <c r="C61" s="5" t="n">
        <v>46100</v>
      </c>
      <c r="D61" s="6">
        <f>Summary!D61</f>
        <v/>
      </c>
      <c r="E61" s="6">
        <f>Summary!E61</f>
        <v/>
      </c>
      <c r="F61" s="6">
        <f>Summary!F61</f>
        <v/>
      </c>
      <c r="G61" s="6">
        <f>Summary!G61</f>
        <v/>
      </c>
      <c r="H61" s="6">
        <f>Summary!H61</f>
        <v/>
      </c>
      <c r="I61" s="6">
        <f>Summary!I61</f>
        <v/>
      </c>
      <c r="J61" s="6">
        <f>Summary!J61</f>
        <v/>
      </c>
      <c r="K61" s="6">
        <f>Summary!K61</f>
        <v/>
      </c>
      <c r="L61" s="6">
        <f>Summary!L61</f>
        <v/>
      </c>
      <c r="M61" s="6">
        <f>Summary!M61</f>
        <v/>
      </c>
      <c r="N61" s="6">
        <f>Summary!N61</f>
        <v/>
      </c>
      <c r="O61" s="6">
        <f>Summary!O61</f>
        <v/>
      </c>
      <c r="P61" s="6">
        <f>Summary!P61</f>
        <v/>
      </c>
      <c r="Q61" s="6">
        <f>Summary!Q61</f>
        <v/>
      </c>
      <c r="R61" s="6">
        <f>Summary!R61</f>
        <v/>
      </c>
      <c r="S61" s="6">
        <f>Summary!S61</f>
        <v/>
      </c>
      <c r="T61" s="6">
        <f>Summary!T61</f>
        <v/>
      </c>
      <c r="U61" s="6">
        <f>Summary!U61</f>
        <v/>
      </c>
      <c r="V61" s="6">
        <f>Summary!V61</f>
        <v/>
      </c>
      <c r="W61" s="6">
        <f>Summary!W61</f>
        <v/>
      </c>
      <c r="X61" s="6">
        <f>Summary!X61</f>
        <v/>
      </c>
      <c r="Y61" s="6">
        <f>Summary!Y61</f>
        <v/>
      </c>
      <c r="Z61" s="6">
        <f>Summary!Z61</f>
        <v/>
      </c>
      <c r="AA61" s="6">
        <f>Summary!AA61</f>
        <v/>
      </c>
      <c r="AB61" s="6">
        <f>SUM(D61:AA61)</f>
        <v/>
      </c>
      <c r="AC61" s="3" t="inlineStr"/>
      <c r="AD61" s="7">
        <f>AA61*0.000680195+D61*0.000680195</f>
        <v/>
      </c>
      <c r="AE61" s="7">
        <f>D61*0.000680195+E61*0.000680195</f>
        <v/>
      </c>
      <c r="AF61" s="7">
        <f>E61*0.000680195+F61*0.000680195</f>
        <v/>
      </c>
      <c r="AG61" s="7">
        <f>F61*0.000680195+G61*0.000680195</f>
        <v/>
      </c>
      <c r="AH61" s="7">
        <f>G61*0.000680195+H61*0.000680195</f>
        <v/>
      </c>
      <c r="AI61" s="7">
        <f>H61*0.000680195+I61*0.000680195</f>
        <v/>
      </c>
      <c r="AJ61" s="7">
        <f>I61*0.000680195+J61*0.000680195</f>
        <v/>
      </c>
      <c r="AK61" s="7">
        <f>J61*0.000680195+K61*0.000680195</f>
        <v/>
      </c>
      <c r="AL61" s="7">
        <f>K61*0.000680195+L61*0.000680195</f>
        <v/>
      </c>
      <c r="AM61" s="7">
        <f>L61*0.000680195+M61*0.000680195</f>
        <v/>
      </c>
      <c r="AN61" s="7">
        <f>M61*0.000680195+N61*0.000680195</f>
        <v/>
      </c>
      <c r="AO61" s="7">
        <f>N61*0.000680195+O61*0.000680195</f>
        <v/>
      </c>
      <c r="AP61" s="7">
        <f>O61*0.000680195+P61*0.000680195</f>
        <v/>
      </c>
      <c r="AQ61" s="7">
        <f>P61*0.000680195+Q61*0.000680195</f>
        <v/>
      </c>
      <c r="AR61" s="7">
        <f>Q61*0.000680195+R61*0.000680195</f>
        <v/>
      </c>
      <c r="AS61" s="7">
        <f>R61*0.000680195+S61*0.000680195</f>
        <v/>
      </c>
      <c r="AT61" s="7">
        <f>S61*0.000680195+T61*0.000680195</f>
        <v/>
      </c>
      <c r="AU61" s="7">
        <f>T61*0.000680195+U61*0.000680195</f>
        <v/>
      </c>
      <c r="AV61" s="7">
        <f>U61*0.000680195+V61*0.000680195</f>
        <v/>
      </c>
      <c r="AW61" s="7">
        <f>V61*0.000680195+W61*0.000680195</f>
        <v/>
      </c>
      <c r="AX61" s="7">
        <f>W61*0.000680195+X61*0.000680195</f>
        <v/>
      </c>
      <c r="AY61" s="7">
        <f>X61*0.000680195+Y61*0.000680195</f>
        <v/>
      </c>
      <c r="AZ61" s="7">
        <f>Y61*0.000680195+Z61*0.000680195</f>
        <v/>
      </c>
      <c r="BA61" s="7">
        <f>Z61*0.000680195+AA61*0.000680195</f>
        <v/>
      </c>
      <c r="BB61" s="7">
        <f>SUM(AD61:BA61)</f>
        <v/>
      </c>
    </row>
    <row r="62">
      <c r="A62" t="inlineStr">
        <is>
          <t>AMD-INTRA-SSC</t>
        </is>
      </c>
      <c r="B62" t="inlineStr">
        <is>
          <t>Forward Regular OSC</t>
        </is>
      </c>
      <c r="C62" s="5" t="n">
        <v>46101</v>
      </c>
      <c r="D62" s="6">
        <f>Summary!D62</f>
        <v/>
      </c>
      <c r="E62" s="6">
        <f>Summary!E62</f>
        <v/>
      </c>
      <c r="F62" s="6">
        <f>Summary!F62</f>
        <v/>
      </c>
      <c r="G62" s="6">
        <f>Summary!G62</f>
        <v/>
      </c>
      <c r="H62" s="6">
        <f>Summary!H62</f>
        <v/>
      </c>
      <c r="I62" s="6">
        <f>Summary!I62</f>
        <v/>
      </c>
      <c r="J62" s="6">
        <f>Summary!J62</f>
        <v/>
      </c>
      <c r="K62" s="6">
        <f>Summary!K62</f>
        <v/>
      </c>
      <c r="L62" s="6">
        <f>Summary!L62</f>
        <v/>
      </c>
      <c r="M62" s="6">
        <f>Summary!M62</f>
        <v/>
      </c>
      <c r="N62" s="6">
        <f>Summary!N62</f>
        <v/>
      </c>
      <c r="O62" s="6">
        <f>Summary!O62</f>
        <v/>
      </c>
      <c r="P62" s="6">
        <f>Summary!P62</f>
        <v/>
      </c>
      <c r="Q62" s="6">
        <f>Summary!Q62</f>
        <v/>
      </c>
      <c r="R62" s="6">
        <f>Summary!R62</f>
        <v/>
      </c>
      <c r="S62" s="6">
        <f>Summary!S62</f>
        <v/>
      </c>
      <c r="T62" s="6">
        <f>Summary!T62</f>
        <v/>
      </c>
      <c r="U62" s="6">
        <f>Summary!U62</f>
        <v/>
      </c>
      <c r="V62" s="6">
        <f>Summary!V62</f>
        <v/>
      </c>
      <c r="W62" s="6">
        <f>Summary!W62</f>
        <v/>
      </c>
      <c r="X62" s="6">
        <f>Summary!X62</f>
        <v/>
      </c>
      <c r="Y62" s="6">
        <f>Summary!Y62</f>
        <v/>
      </c>
      <c r="Z62" s="6">
        <f>Summary!Z62</f>
        <v/>
      </c>
      <c r="AA62" s="6">
        <f>Summary!AA62</f>
        <v/>
      </c>
      <c r="AB62" s="6">
        <f>SUM(D62:AA62)</f>
        <v/>
      </c>
      <c r="AC62" s="3" t="inlineStr"/>
      <c r="AD62" s="7">
        <f>AA62*0.000680195+D62*0.000680195</f>
        <v/>
      </c>
      <c r="AE62" s="7">
        <f>D62*0.000680195+E62*0.000680195</f>
        <v/>
      </c>
      <c r="AF62" s="7">
        <f>E62*0.000680195+F62*0.000680195</f>
        <v/>
      </c>
      <c r="AG62" s="7">
        <f>F62*0.000680195+G62*0.000680195</f>
        <v/>
      </c>
      <c r="AH62" s="7">
        <f>G62*0.000680195+H62*0.000680195</f>
        <v/>
      </c>
      <c r="AI62" s="7">
        <f>H62*0.000680195+I62*0.000680195</f>
        <v/>
      </c>
      <c r="AJ62" s="7">
        <f>I62*0.000680195+J62*0.000680195</f>
        <v/>
      </c>
      <c r="AK62" s="7">
        <f>J62*0.000680195+K62*0.000680195</f>
        <v/>
      </c>
      <c r="AL62" s="7">
        <f>K62*0.000680195+L62*0.000680195</f>
        <v/>
      </c>
      <c r="AM62" s="7">
        <f>L62*0.000680195+M62*0.000680195</f>
        <v/>
      </c>
      <c r="AN62" s="7">
        <f>M62*0.000680195+N62*0.000680195</f>
        <v/>
      </c>
      <c r="AO62" s="7">
        <f>N62*0.000680195+O62*0.000680195</f>
        <v/>
      </c>
      <c r="AP62" s="7">
        <f>O62*0.000680195+P62*0.000680195</f>
        <v/>
      </c>
      <c r="AQ62" s="7">
        <f>P62*0.000680195+Q62*0.000680195</f>
        <v/>
      </c>
      <c r="AR62" s="7">
        <f>Q62*0.000680195+R62*0.000680195</f>
        <v/>
      </c>
      <c r="AS62" s="7">
        <f>R62*0.000680195+S62*0.000680195</f>
        <v/>
      </c>
      <c r="AT62" s="7">
        <f>S62*0.000680195+T62*0.000680195</f>
        <v/>
      </c>
      <c r="AU62" s="7">
        <f>T62*0.000680195+U62*0.000680195</f>
        <v/>
      </c>
      <c r="AV62" s="7">
        <f>U62*0.000680195+V62*0.000680195</f>
        <v/>
      </c>
      <c r="AW62" s="7">
        <f>V62*0.000680195+W62*0.000680195</f>
        <v/>
      </c>
      <c r="AX62" s="7">
        <f>W62*0.000680195+X62*0.000680195</f>
        <v/>
      </c>
      <c r="AY62" s="7">
        <f>X62*0.000680195+Y62*0.000680195</f>
        <v/>
      </c>
      <c r="AZ62" s="7">
        <f>Y62*0.000680195+Z62*0.000680195</f>
        <v/>
      </c>
      <c r="BA62" s="7">
        <f>Z62*0.000680195+AA62*0.000680195</f>
        <v/>
      </c>
      <c r="BB62" s="7">
        <f>SUM(AD62:BA62)</f>
        <v/>
      </c>
    </row>
    <row r="63">
      <c r="A63" t="inlineStr">
        <is>
          <t>AMD-INTRA-SSC</t>
        </is>
      </c>
      <c r="B63" t="inlineStr">
        <is>
          <t>Forward Regular OSC</t>
        </is>
      </c>
      <c r="C63" s="5" t="n">
        <v>46102</v>
      </c>
      <c r="D63" s="6">
        <f>Summary!D63</f>
        <v/>
      </c>
      <c r="E63" s="6">
        <f>Summary!E63</f>
        <v/>
      </c>
      <c r="F63" s="6">
        <f>Summary!F63</f>
        <v/>
      </c>
      <c r="G63" s="6">
        <f>Summary!G63</f>
        <v/>
      </c>
      <c r="H63" s="6">
        <f>Summary!H63</f>
        <v/>
      </c>
      <c r="I63" s="6">
        <f>Summary!I63</f>
        <v/>
      </c>
      <c r="J63" s="6">
        <f>Summary!J63</f>
        <v/>
      </c>
      <c r="K63" s="6">
        <f>Summary!K63</f>
        <v/>
      </c>
      <c r="L63" s="6">
        <f>Summary!L63</f>
        <v/>
      </c>
      <c r="M63" s="6">
        <f>Summary!M63</f>
        <v/>
      </c>
      <c r="N63" s="6">
        <f>Summary!N63</f>
        <v/>
      </c>
      <c r="O63" s="6">
        <f>Summary!O63</f>
        <v/>
      </c>
      <c r="P63" s="6">
        <f>Summary!P63</f>
        <v/>
      </c>
      <c r="Q63" s="6">
        <f>Summary!Q63</f>
        <v/>
      </c>
      <c r="R63" s="6">
        <f>Summary!R63</f>
        <v/>
      </c>
      <c r="S63" s="6">
        <f>Summary!S63</f>
        <v/>
      </c>
      <c r="T63" s="6">
        <f>Summary!T63</f>
        <v/>
      </c>
      <c r="U63" s="6">
        <f>Summary!U63</f>
        <v/>
      </c>
      <c r="V63" s="6">
        <f>Summary!V63</f>
        <v/>
      </c>
      <c r="W63" s="6">
        <f>Summary!W63</f>
        <v/>
      </c>
      <c r="X63" s="6">
        <f>Summary!X63</f>
        <v/>
      </c>
      <c r="Y63" s="6">
        <f>Summary!Y63</f>
        <v/>
      </c>
      <c r="Z63" s="6">
        <f>Summary!Z63</f>
        <v/>
      </c>
      <c r="AA63" s="6">
        <f>Summary!AA63</f>
        <v/>
      </c>
      <c r="AB63" s="6">
        <f>SUM(D63:AA63)</f>
        <v/>
      </c>
      <c r="AC63" s="3" t="inlineStr"/>
      <c r="AD63" s="7">
        <f>AA63*0.000680195+D63*0.000680195</f>
        <v/>
      </c>
      <c r="AE63" s="7">
        <f>D63*0.000680195+E63*0.000680195</f>
        <v/>
      </c>
      <c r="AF63" s="7">
        <f>E63*0.000680195+F63*0.000680195</f>
        <v/>
      </c>
      <c r="AG63" s="7">
        <f>F63*0.000680195+G63*0.000680195</f>
        <v/>
      </c>
      <c r="AH63" s="7">
        <f>G63*0.000680195+H63*0.000680195</f>
        <v/>
      </c>
      <c r="AI63" s="7">
        <f>H63*0.000680195+I63*0.000680195</f>
        <v/>
      </c>
      <c r="AJ63" s="7">
        <f>I63*0.000680195+J63*0.000680195</f>
        <v/>
      </c>
      <c r="AK63" s="7">
        <f>J63*0.000680195+K63*0.000680195</f>
        <v/>
      </c>
      <c r="AL63" s="7">
        <f>K63*0.000680195+L63*0.000680195</f>
        <v/>
      </c>
      <c r="AM63" s="7">
        <f>L63*0.000680195+M63*0.000680195</f>
        <v/>
      </c>
      <c r="AN63" s="7">
        <f>M63*0.000680195+N63*0.000680195</f>
        <v/>
      </c>
      <c r="AO63" s="7">
        <f>N63*0.000680195+O63*0.000680195</f>
        <v/>
      </c>
      <c r="AP63" s="7">
        <f>O63*0.000680195+P63*0.000680195</f>
        <v/>
      </c>
      <c r="AQ63" s="7">
        <f>P63*0.000680195+Q63*0.000680195</f>
        <v/>
      </c>
      <c r="AR63" s="7">
        <f>Q63*0.000680195+R63*0.000680195</f>
        <v/>
      </c>
      <c r="AS63" s="7">
        <f>R63*0.000680195+S63*0.000680195</f>
        <v/>
      </c>
      <c r="AT63" s="7">
        <f>S63*0.000680195+T63*0.000680195</f>
        <v/>
      </c>
      <c r="AU63" s="7">
        <f>T63*0.000680195+U63*0.000680195</f>
        <v/>
      </c>
      <c r="AV63" s="7">
        <f>U63*0.000680195+V63*0.000680195</f>
        <v/>
      </c>
      <c r="AW63" s="7">
        <f>V63*0.000680195+W63*0.000680195</f>
        <v/>
      </c>
      <c r="AX63" s="7">
        <f>W63*0.000680195+X63*0.000680195</f>
        <v/>
      </c>
      <c r="AY63" s="7">
        <f>X63*0.000680195+Y63*0.000680195</f>
        <v/>
      </c>
      <c r="AZ63" s="7">
        <f>Y63*0.000680195+Z63*0.000680195</f>
        <v/>
      </c>
      <c r="BA63" s="7">
        <f>Z63*0.000680195+AA63*0.000680195</f>
        <v/>
      </c>
      <c r="BB63" s="7">
        <f>SUM(AD63:BA63)</f>
        <v/>
      </c>
    </row>
    <row r="64">
      <c r="A64" t="inlineStr">
        <is>
          <t>AMD-INTRA-SSC</t>
        </is>
      </c>
      <c r="B64" t="inlineStr">
        <is>
          <t>Forward Regular OSC</t>
        </is>
      </c>
      <c r="C64" s="5" t="n">
        <v>46103</v>
      </c>
      <c r="D64" s="6">
        <f>Summary!D64</f>
        <v/>
      </c>
      <c r="E64" s="6">
        <f>Summary!E64</f>
        <v/>
      </c>
      <c r="F64" s="6">
        <f>Summary!F64</f>
        <v/>
      </c>
      <c r="G64" s="6">
        <f>Summary!G64</f>
        <v/>
      </c>
      <c r="H64" s="6">
        <f>Summary!H64</f>
        <v/>
      </c>
      <c r="I64" s="6">
        <f>Summary!I64</f>
        <v/>
      </c>
      <c r="J64" s="6">
        <f>Summary!J64</f>
        <v/>
      </c>
      <c r="K64" s="6">
        <f>Summary!K64</f>
        <v/>
      </c>
      <c r="L64" s="6">
        <f>Summary!L64</f>
        <v/>
      </c>
      <c r="M64" s="6">
        <f>Summary!M64</f>
        <v/>
      </c>
      <c r="N64" s="6">
        <f>Summary!N64</f>
        <v/>
      </c>
      <c r="O64" s="6">
        <f>Summary!O64</f>
        <v/>
      </c>
      <c r="P64" s="6">
        <f>Summary!P64</f>
        <v/>
      </c>
      <c r="Q64" s="6">
        <f>Summary!Q64</f>
        <v/>
      </c>
      <c r="R64" s="6">
        <f>Summary!R64</f>
        <v/>
      </c>
      <c r="S64" s="6">
        <f>Summary!S64</f>
        <v/>
      </c>
      <c r="T64" s="6">
        <f>Summary!T64</f>
        <v/>
      </c>
      <c r="U64" s="6">
        <f>Summary!U64</f>
        <v/>
      </c>
      <c r="V64" s="6">
        <f>Summary!V64</f>
        <v/>
      </c>
      <c r="W64" s="6">
        <f>Summary!W64</f>
        <v/>
      </c>
      <c r="X64" s="6">
        <f>Summary!X64</f>
        <v/>
      </c>
      <c r="Y64" s="6">
        <f>Summary!Y64</f>
        <v/>
      </c>
      <c r="Z64" s="6">
        <f>Summary!Z64</f>
        <v/>
      </c>
      <c r="AA64" s="6">
        <f>Summary!AA64</f>
        <v/>
      </c>
      <c r="AB64" s="6">
        <f>SUM(D64:AA64)</f>
        <v/>
      </c>
      <c r="AC64" s="3" t="inlineStr"/>
      <c r="AD64" s="7">
        <f>AA64*0.000680195+D64*0.000680195</f>
        <v/>
      </c>
      <c r="AE64" s="7">
        <f>D64*0.000680195+E64*0.000680195</f>
        <v/>
      </c>
      <c r="AF64" s="7">
        <f>E64*0.000680195+F64*0.000680195</f>
        <v/>
      </c>
      <c r="AG64" s="7">
        <f>F64*0.000680195+G64*0.000680195</f>
        <v/>
      </c>
      <c r="AH64" s="7">
        <f>G64*0.000680195+H64*0.000680195</f>
        <v/>
      </c>
      <c r="AI64" s="7">
        <f>H64*0.000680195+I64*0.000680195</f>
        <v/>
      </c>
      <c r="AJ64" s="7">
        <f>I64*0.000680195+J64*0.000680195</f>
        <v/>
      </c>
      <c r="AK64" s="7">
        <f>J64*0.000680195+K64*0.000680195</f>
        <v/>
      </c>
      <c r="AL64" s="7">
        <f>K64*0.000680195+L64*0.000680195</f>
        <v/>
      </c>
      <c r="AM64" s="7">
        <f>L64*0.000680195+M64*0.000680195</f>
        <v/>
      </c>
      <c r="AN64" s="7">
        <f>M64*0.000680195+N64*0.000680195</f>
        <v/>
      </c>
      <c r="AO64" s="7">
        <f>N64*0.000680195+O64*0.000680195</f>
        <v/>
      </c>
      <c r="AP64" s="7">
        <f>O64*0.000680195+P64*0.000680195</f>
        <v/>
      </c>
      <c r="AQ64" s="7">
        <f>P64*0.000680195+Q64*0.000680195</f>
        <v/>
      </c>
      <c r="AR64" s="7">
        <f>Q64*0.000680195+R64*0.000680195</f>
        <v/>
      </c>
      <c r="AS64" s="7">
        <f>R64*0.000680195+S64*0.000680195</f>
        <v/>
      </c>
      <c r="AT64" s="7">
        <f>S64*0.000680195+T64*0.000680195</f>
        <v/>
      </c>
      <c r="AU64" s="7">
        <f>T64*0.000680195+U64*0.000680195</f>
        <v/>
      </c>
      <c r="AV64" s="7">
        <f>U64*0.000680195+V64*0.000680195</f>
        <v/>
      </c>
      <c r="AW64" s="7">
        <f>V64*0.000680195+W64*0.000680195</f>
        <v/>
      </c>
      <c r="AX64" s="7">
        <f>W64*0.000680195+X64*0.000680195</f>
        <v/>
      </c>
      <c r="AY64" s="7">
        <f>X64*0.000680195+Y64*0.000680195</f>
        <v/>
      </c>
      <c r="AZ64" s="7">
        <f>Y64*0.000680195+Z64*0.000680195</f>
        <v/>
      </c>
      <c r="BA64" s="7">
        <f>Z64*0.000680195+AA64*0.000680195</f>
        <v/>
      </c>
      <c r="BB64" s="7">
        <f>SUM(AD64:BA64)</f>
        <v/>
      </c>
    </row>
    <row r="65">
      <c r="A65" t="inlineStr">
        <is>
          <t>AMD-INTRA-SSC</t>
        </is>
      </c>
      <c r="B65" t="inlineStr">
        <is>
          <t>Forward Regular OSC</t>
        </is>
      </c>
      <c r="C65" s="5" t="n">
        <v>46104</v>
      </c>
      <c r="D65" s="6">
        <f>Summary!D65</f>
        <v/>
      </c>
      <c r="E65" s="6">
        <f>Summary!E65</f>
        <v/>
      </c>
      <c r="F65" s="6">
        <f>Summary!F65</f>
        <v/>
      </c>
      <c r="G65" s="6">
        <f>Summary!G65</f>
        <v/>
      </c>
      <c r="H65" s="6">
        <f>Summary!H65</f>
        <v/>
      </c>
      <c r="I65" s="6">
        <f>Summary!I65</f>
        <v/>
      </c>
      <c r="J65" s="6">
        <f>Summary!J65</f>
        <v/>
      </c>
      <c r="K65" s="6">
        <f>Summary!K65</f>
        <v/>
      </c>
      <c r="L65" s="6">
        <f>Summary!L65</f>
        <v/>
      </c>
      <c r="M65" s="6">
        <f>Summary!M65</f>
        <v/>
      </c>
      <c r="N65" s="6">
        <f>Summary!N65</f>
        <v/>
      </c>
      <c r="O65" s="6">
        <f>Summary!O65</f>
        <v/>
      </c>
      <c r="P65" s="6">
        <f>Summary!P65</f>
        <v/>
      </c>
      <c r="Q65" s="6">
        <f>Summary!Q65</f>
        <v/>
      </c>
      <c r="R65" s="6">
        <f>Summary!R65</f>
        <v/>
      </c>
      <c r="S65" s="6">
        <f>Summary!S65</f>
        <v/>
      </c>
      <c r="T65" s="6">
        <f>Summary!T65</f>
        <v/>
      </c>
      <c r="U65" s="6">
        <f>Summary!U65</f>
        <v/>
      </c>
      <c r="V65" s="6">
        <f>Summary!V65</f>
        <v/>
      </c>
      <c r="W65" s="6">
        <f>Summary!W65</f>
        <v/>
      </c>
      <c r="X65" s="6">
        <f>Summary!X65</f>
        <v/>
      </c>
      <c r="Y65" s="6">
        <f>Summary!Y65</f>
        <v/>
      </c>
      <c r="Z65" s="6">
        <f>Summary!Z65</f>
        <v/>
      </c>
      <c r="AA65" s="6">
        <f>Summary!AA65</f>
        <v/>
      </c>
      <c r="AB65" s="6">
        <f>SUM(D65:AA65)</f>
        <v/>
      </c>
      <c r="AC65" s="3" t="inlineStr"/>
      <c r="AD65" s="7">
        <f>AA65*0.000680195+D65*0.000680195</f>
        <v/>
      </c>
      <c r="AE65" s="7">
        <f>D65*0.000680195+E65*0.000680195</f>
        <v/>
      </c>
      <c r="AF65" s="7">
        <f>E65*0.000680195+F65*0.000680195</f>
        <v/>
      </c>
      <c r="AG65" s="7">
        <f>F65*0.000680195+G65*0.000680195</f>
        <v/>
      </c>
      <c r="AH65" s="7">
        <f>G65*0.000680195+H65*0.000680195</f>
        <v/>
      </c>
      <c r="AI65" s="7">
        <f>H65*0.000680195+I65*0.000680195</f>
        <v/>
      </c>
      <c r="AJ65" s="7">
        <f>I65*0.000680195+J65*0.000680195</f>
        <v/>
      </c>
      <c r="AK65" s="7">
        <f>J65*0.000680195+K65*0.000680195</f>
        <v/>
      </c>
      <c r="AL65" s="7">
        <f>K65*0.000680195+L65*0.000680195</f>
        <v/>
      </c>
      <c r="AM65" s="7">
        <f>L65*0.000680195+M65*0.000680195</f>
        <v/>
      </c>
      <c r="AN65" s="7">
        <f>M65*0.000680195+N65*0.000680195</f>
        <v/>
      </c>
      <c r="AO65" s="7">
        <f>N65*0.000680195+O65*0.000680195</f>
        <v/>
      </c>
      <c r="AP65" s="7">
        <f>O65*0.000680195+P65*0.000680195</f>
        <v/>
      </c>
      <c r="AQ65" s="7">
        <f>P65*0.000680195+Q65*0.000680195</f>
        <v/>
      </c>
      <c r="AR65" s="7">
        <f>Q65*0.000680195+R65*0.000680195</f>
        <v/>
      </c>
      <c r="AS65" s="7">
        <f>R65*0.000680195+S65*0.000680195</f>
        <v/>
      </c>
      <c r="AT65" s="7">
        <f>S65*0.000680195+T65*0.000680195</f>
        <v/>
      </c>
      <c r="AU65" s="7">
        <f>T65*0.000680195+U65*0.000680195</f>
        <v/>
      </c>
      <c r="AV65" s="7">
        <f>U65*0.000680195+V65*0.000680195</f>
        <v/>
      </c>
      <c r="AW65" s="7">
        <f>V65*0.000680195+W65*0.000680195</f>
        <v/>
      </c>
      <c r="AX65" s="7">
        <f>W65*0.000680195+X65*0.000680195</f>
        <v/>
      </c>
      <c r="AY65" s="7">
        <f>X65*0.000680195+Y65*0.000680195</f>
        <v/>
      </c>
      <c r="AZ65" s="7">
        <f>Y65*0.000680195+Z65*0.000680195</f>
        <v/>
      </c>
      <c r="BA65" s="7">
        <f>Z65*0.000680195+AA65*0.000680195</f>
        <v/>
      </c>
      <c r="BB65" s="7">
        <f>SUM(AD65:BA65)</f>
        <v/>
      </c>
    </row>
    <row r="66">
      <c r="A66" t="inlineStr">
        <is>
          <t>AMD-INTRA-SSC</t>
        </is>
      </c>
      <c r="B66" t="inlineStr">
        <is>
          <t>Forward Regular OSC</t>
        </is>
      </c>
      <c r="C66" s="5" t="n">
        <v>46105</v>
      </c>
      <c r="D66" s="6">
        <f>Summary!D66</f>
        <v/>
      </c>
      <c r="E66" s="6">
        <f>Summary!E66</f>
        <v/>
      </c>
      <c r="F66" s="6">
        <f>Summary!F66</f>
        <v/>
      </c>
      <c r="G66" s="6">
        <f>Summary!G66</f>
        <v/>
      </c>
      <c r="H66" s="6">
        <f>Summary!H66</f>
        <v/>
      </c>
      <c r="I66" s="6">
        <f>Summary!I66</f>
        <v/>
      </c>
      <c r="J66" s="6">
        <f>Summary!J66</f>
        <v/>
      </c>
      <c r="K66" s="6">
        <f>Summary!K66</f>
        <v/>
      </c>
      <c r="L66" s="6">
        <f>Summary!L66</f>
        <v/>
      </c>
      <c r="M66" s="6">
        <f>Summary!M66</f>
        <v/>
      </c>
      <c r="N66" s="6">
        <f>Summary!N66</f>
        <v/>
      </c>
      <c r="O66" s="6">
        <f>Summary!O66</f>
        <v/>
      </c>
      <c r="P66" s="6">
        <f>Summary!P66</f>
        <v/>
      </c>
      <c r="Q66" s="6">
        <f>Summary!Q66</f>
        <v/>
      </c>
      <c r="R66" s="6">
        <f>Summary!R66</f>
        <v/>
      </c>
      <c r="S66" s="6">
        <f>Summary!S66</f>
        <v/>
      </c>
      <c r="T66" s="6">
        <f>Summary!T66</f>
        <v/>
      </c>
      <c r="U66" s="6">
        <f>Summary!U66</f>
        <v/>
      </c>
      <c r="V66" s="6">
        <f>Summary!V66</f>
        <v/>
      </c>
      <c r="W66" s="6">
        <f>Summary!W66</f>
        <v/>
      </c>
      <c r="X66" s="6">
        <f>Summary!X66</f>
        <v/>
      </c>
      <c r="Y66" s="6">
        <f>Summary!Y66</f>
        <v/>
      </c>
      <c r="Z66" s="6">
        <f>Summary!Z66</f>
        <v/>
      </c>
      <c r="AA66" s="6">
        <f>Summary!AA66</f>
        <v/>
      </c>
      <c r="AB66" s="6">
        <f>SUM(D66:AA66)</f>
        <v/>
      </c>
      <c r="AC66" s="3" t="inlineStr"/>
      <c r="AD66" s="7">
        <f>AA66*0.000680195+D66*0.000680195</f>
        <v/>
      </c>
      <c r="AE66" s="7">
        <f>D66*0.000680195+E66*0.000680195</f>
        <v/>
      </c>
      <c r="AF66" s="7">
        <f>E66*0.000680195+F66*0.000680195</f>
        <v/>
      </c>
      <c r="AG66" s="7">
        <f>F66*0.000680195+G66*0.000680195</f>
        <v/>
      </c>
      <c r="AH66" s="7">
        <f>G66*0.000680195+H66*0.000680195</f>
        <v/>
      </c>
      <c r="AI66" s="7">
        <f>H66*0.000680195+I66*0.000680195</f>
        <v/>
      </c>
      <c r="AJ66" s="7">
        <f>I66*0.000680195+J66*0.000680195</f>
        <v/>
      </c>
      <c r="AK66" s="7">
        <f>J66*0.000680195+K66*0.000680195</f>
        <v/>
      </c>
      <c r="AL66" s="7">
        <f>K66*0.000680195+L66*0.000680195</f>
        <v/>
      </c>
      <c r="AM66" s="7">
        <f>L66*0.000680195+M66*0.000680195</f>
        <v/>
      </c>
      <c r="AN66" s="7">
        <f>M66*0.000680195+N66*0.000680195</f>
        <v/>
      </c>
      <c r="AO66" s="7">
        <f>N66*0.000680195+O66*0.000680195</f>
        <v/>
      </c>
      <c r="AP66" s="7">
        <f>O66*0.000680195+P66*0.000680195</f>
        <v/>
      </c>
      <c r="AQ66" s="7">
        <f>P66*0.000680195+Q66*0.000680195</f>
        <v/>
      </c>
      <c r="AR66" s="7">
        <f>Q66*0.000680195+R66*0.000680195</f>
        <v/>
      </c>
      <c r="AS66" s="7">
        <f>R66*0.000680195+S66*0.000680195</f>
        <v/>
      </c>
      <c r="AT66" s="7">
        <f>S66*0.000680195+T66*0.000680195</f>
        <v/>
      </c>
      <c r="AU66" s="7">
        <f>T66*0.000680195+U66*0.000680195</f>
        <v/>
      </c>
      <c r="AV66" s="7">
        <f>U66*0.000680195+V66*0.000680195</f>
        <v/>
      </c>
      <c r="AW66" s="7">
        <f>V66*0.000680195+W66*0.000680195</f>
        <v/>
      </c>
      <c r="AX66" s="7">
        <f>W66*0.000680195+X66*0.000680195</f>
        <v/>
      </c>
      <c r="AY66" s="7">
        <f>X66*0.000680195+Y66*0.000680195</f>
        <v/>
      </c>
      <c r="AZ66" s="7">
        <f>Y66*0.000680195+Z66*0.000680195</f>
        <v/>
      </c>
      <c r="BA66" s="7">
        <f>Z66*0.000680195+AA66*0.000680195</f>
        <v/>
      </c>
      <c r="BB66" s="7">
        <f>SUM(AD66:BA66)</f>
        <v/>
      </c>
    </row>
    <row r="67">
      <c r="A67" t="inlineStr">
        <is>
          <t>AMD-M1</t>
        </is>
      </c>
      <c r="B67" t="inlineStr">
        <is>
          <t>Forward Regular OSC</t>
        </is>
      </c>
      <c r="C67" s="5" t="n">
        <v>46089</v>
      </c>
      <c r="D67" s="6">
        <f>Summary!D67</f>
        <v/>
      </c>
      <c r="E67" s="6">
        <f>Summary!E67</f>
        <v/>
      </c>
      <c r="F67" s="6">
        <f>Summary!F67</f>
        <v/>
      </c>
      <c r="G67" s="6">
        <f>Summary!G67</f>
        <v/>
      </c>
      <c r="H67" s="6">
        <f>Summary!H67</f>
        <v/>
      </c>
      <c r="I67" s="6">
        <f>Summary!I67</f>
        <v/>
      </c>
      <c r="J67" s="6">
        <f>Summary!J67</f>
        <v/>
      </c>
      <c r="K67" s="6">
        <f>Summary!K67</f>
        <v/>
      </c>
      <c r="L67" s="6">
        <f>Summary!L67</f>
        <v/>
      </c>
      <c r="M67" s="6">
        <f>Summary!M67</f>
        <v/>
      </c>
      <c r="N67" s="6">
        <f>Summary!N67</f>
        <v/>
      </c>
      <c r="O67" s="6">
        <f>Summary!O67</f>
        <v/>
      </c>
      <c r="P67" s="6">
        <f>Summary!P67</f>
        <v/>
      </c>
      <c r="Q67" s="6">
        <f>Summary!Q67</f>
        <v/>
      </c>
      <c r="R67" s="6">
        <f>Summary!R67</f>
        <v/>
      </c>
      <c r="S67" s="6">
        <f>Summary!S67</f>
        <v/>
      </c>
      <c r="T67" s="6">
        <f>Summary!T67</f>
        <v/>
      </c>
      <c r="U67" s="6">
        <f>Summary!U67</f>
        <v/>
      </c>
      <c r="V67" s="6">
        <f>Summary!V67</f>
        <v/>
      </c>
      <c r="W67" s="6">
        <f>Summary!W67</f>
        <v/>
      </c>
      <c r="X67" s="6">
        <f>Summary!X67</f>
        <v/>
      </c>
      <c r="Y67" s="6">
        <f>Summary!Y67</f>
        <v/>
      </c>
      <c r="Z67" s="6">
        <f>Summary!Z67</f>
        <v/>
      </c>
      <c r="AA67" s="6">
        <f>Summary!AA67</f>
        <v/>
      </c>
      <c r="AB67" s="6">
        <f>SUM(D67:AA67)</f>
        <v/>
      </c>
      <c r="AC67" s="3" t="inlineStr"/>
      <c r="AD67" s="7">
        <f>AA67*0.000680195+D67*0.000680195</f>
        <v/>
      </c>
      <c r="AE67" s="7">
        <f>D67*0.000680195+E67*0.000680195</f>
        <v/>
      </c>
      <c r="AF67" s="7">
        <f>E67*0.000680195+F67*0.000680195</f>
        <v/>
      </c>
      <c r="AG67" s="7">
        <f>F67*0.000680195+G67*0.000680195</f>
        <v/>
      </c>
      <c r="AH67" s="7">
        <f>G67*0.000680195+H67*0.000680195</f>
        <v/>
      </c>
      <c r="AI67" s="7">
        <f>H67*0.000680195+I67*0.000680195</f>
        <v/>
      </c>
      <c r="AJ67" s="7">
        <f>I67*0.000680195+J67*0.000680195</f>
        <v/>
      </c>
      <c r="AK67" s="7">
        <f>J67*0.000680195+K67*0.000680195</f>
        <v/>
      </c>
      <c r="AL67" s="7">
        <f>K67*0.000680195+L67*0.000680195</f>
        <v/>
      </c>
      <c r="AM67" s="7">
        <f>L67*0.000680195+M67*0.000680195</f>
        <v/>
      </c>
      <c r="AN67" s="7">
        <f>M67*0.000680195+N67*0.000680195</f>
        <v/>
      </c>
      <c r="AO67" s="7">
        <f>N67*0.000680195+O67*0.000680195</f>
        <v/>
      </c>
      <c r="AP67" s="7">
        <f>O67*0.000680195+P67*0.000680195</f>
        <v/>
      </c>
      <c r="AQ67" s="7">
        <f>P67*0.000680195+Q67*0.000680195</f>
        <v/>
      </c>
      <c r="AR67" s="7">
        <f>Q67*0.000680195+R67*0.000680195</f>
        <v/>
      </c>
      <c r="AS67" s="7">
        <f>R67*0.000680195+S67*0.000680195</f>
        <v/>
      </c>
      <c r="AT67" s="7">
        <f>S67*0.000680195+T67*0.000680195</f>
        <v/>
      </c>
      <c r="AU67" s="7">
        <f>T67*0.000680195+U67*0.000680195</f>
        <v/>
      </c>
      <c r="AV67" s="7">
        <f>U67*0.000680195+V67*0.000680195</f>
        <v/>
      </c>
      <c r="AW67" s="7">
        <f>V67*0.000680195+W67*0.000680195</f>
        <v/>
      </c>
      <c r="AX67" s="7">
        <f>W67*0.000680195+X67*0.000680195</f>
        <v/>
      </c>
      <c r="AY67" s="7">
        <f>X67*0.000680195+Y67*0.000680195</f>
        <v/>
      </c>
      <c r="AZ67" s="7">
        <f>Y67*0.000680195+Z67*0.000680195</f>
        <v/>
      </c>
      <c r="BA67" s="7">
        <f>Z67*0.000680195+AA67*0.000680195</f>
        <v/>
      </c>
      <c r="BB67" s="7">
        <f>SUM(AD67:BA67)</f>
        <v/>
      </c>
    </row>
    <row r="68">
      <c r="A68" t="inlineStr">
        <is>
          <t>AMD-M1</t>
        </is>
      </c>
      <c r="B68" t="inlineStr">
        <is>
          <t>Forward Regular OSC</t>
        </is>
      </c>
      <c r="C68" s="5" t="n">
        <v>46090</v>
      </c>
      <c r="D68" s="6">
        <f>Summary!D68</f>
        <v/>
      </c>
      <c r="E68" s="6">
        <f>Summary!E68</f>
        <v/>
      </c>
      <c r="F68" s="6">
        <f>Summary!F68</f>
        <v/>
      </c>
      <c r="G68" s="6">
        <f>Summary!G68</f>
        <v/>
      </c>
      <c r="H68" s="6">
        <f>Summary!H68</f>
        <v/>
      </c>
      <c r="I68" s="6">
        <f>Summary!I68</f>
        <v/>
      </c>
      <c r="J68" s="6">
        <f>Summary!J68</f>
        <v/>
      </c>
      <c r="K68" s="6">
        <f>Summary!K68</f>
        <v/>
      </c>
      <c r="L68" s="6">
        <f>Summary!L68</f>
        <v/>
      </c>
      <c r="M68" s="6">
        <f>Summary!M68</f>
        <v/>
      </c>
      <c r="N68" s="6">
        <f>Summary!N68</f>
        <v/>
      </c>
      <c r="O68" s="6">
        <f>Summary!O68</f>
        <v/>
      </c>
      <c r="P68" s="6">
        <f>Summary!P68</f>
        <v/>
      </c>
      <c r="Q68" s="6">
        <f>Summary!Q68</f>
        <v/>
      </c>
      <c r="R68" s="6">
        <f>Summary!R68</f>
        <v/>
      </c>
      <c r="S68" s="6">
        <f>Summary!S68</f>
        <v/>
      </c>
      <c r="T68" s="6">
        <f>Summary!T68</f>
        <v/>
      </c>
      <c r="U68" s="6">
        <f>Summary!U68</f>
        <v/>
      </c>
      <c r="V68" s="6">
        <f>Summary!V68</f>
        <v/>
      </c>
      <c r="W68" s="6">
        <f>Summary!W68</f>
        <v/>
      </c>
      <c r="X68" s="6">
        <f>Summary!X68</f>
        <v/>
      </c>
      <c r="Y68" s="6">
        <f>Summary!Y68</f>
        <v/>
      </c>
      <c r="Z68" s="6">
        <f>Summary!Z68</f>
        <v/>
      </c>
      <c r="AA68" s="6">
        <f>Summary!AA68</f>
        <v/>
      </c>
      <c r="AB68" s="6">
        <f>SUM(D68:AA68)</f>
        <v/>
      </c>
      <c r="AC68" s="3" t="inlineStr"/>
      <c r="AD68" s="7">
        <f>AA68*0.000680195+D68*0.000680195</f>
        <v/>
      </c>
      <c r="AE68" s="7">
        <f>D68*0.000680195+E68*0.000680195</f>
        <v/>
      </c>
      <c r="AF68" s="7">
        <f>E68*0.000680195+F68*0.000680195</f>
        <v/>
      </c>
      <c r="AG68" s="7">
        <f>F68*0.000680195+G68*0.000680195</f>
        <v/>
      </c>
      <c r="AH68" s="7">
        <f>G68*0.000680195+H68*0.000680195</f>
        <v/>
      </c>
      <c r="AI68" s="7">
        <f>H68*0.000680195+I68*0.000680195</f>
        <v/>
      </c>
      <c r="AJ68" s="7">
        <f>I68*0.000680195+J68*0.000680195</f>
        <v/>
      </c>
      <c r="AK68" s="7">
        <f>J68*0.000680195+K68*0.000680195</f>
        <v/>
      </c>
      <c r="AL68" s="7">
        <f>K68*0.000680195+L68*0.000680195</f>
        <v/>
      </c>
      <c r="AM68" s="7">
        <f>L68*0.000680195+M68*0.000680195</f>
        <v/>
      </c>
      <c r="AN68" s="7">
        <f>M68*0.000680195+N68*0.000680195</f>
        <v/>
      </c>
      <c r="AO68" s="7">
        <f>N68*0.000680195+O68*0.000680195</f>
        <v/>
      </c>
      <c r="AP68" s="7">
        <f>O68*0.000680195+P68*0.000680195</f>
        <v/>
      </c>
      <c r="AQ68" s="7">
        <f>P68*0.000680195+Q68*0.000680195</f>
        <v/>
      </c>
      <c r="AR68" s="7">
        <f>Q68*0.000680195+R68*0.000680195</f>
        <v/>
      </c>
      <c r="AS68" s="7">
        <f>R68*0.000680195+S68*0.000680195</f>
        <v/>
      </c>
      <c r="AT68" s="7">
        <f>S68*0.000680195+T68*0.000680195</f>
        <v/>
      </c>
      <c r="AU68" s="7">
        <f>T68*0.000680195+U68*0.000680195</f>
        <v/>
      </c>
      <c r="AV68" s="7">
        <f>U68*0.000680195+V68*0.000680195</f>
        <v/>
      </c>
      <c r="AW68" s="7">
        <f>V68*0.000680195+W68*0.000680195</f>
        <v/>
      </c>
      <c r="AX68" s="7">
        <f>W68*0.000680195+X68*0.000680195</f>
        <v/>
      </c>
      <c r="AY68" s="7">
        <f>X68*0.000680195+Y68*0.000680195</f>
        <v/>
      </c>
      <c r="AZ68" s="7">
        <f>Y68*0.000680195+Z68*0.000680195</f>
        <v/>
      </c>
      <c r="BA68" s="7">
        <f>Z68*0.000680195+AA68*0.000680195</f>
        <v/>
      </c>
      <c r="BB68" s="7">
        <f>SUM(AD68:BA68)</f>
        <v/>
      </c>
    </row>
    <row r="69">
      <c r="A69" t="inlineStr">
        <is>
          <t>AMD-M1</t>
        </is>
      </c>
      <c r="B69" t="inlineStr">
        <is>
          <t>Forward Regular OSC</t>
        </is>
      </c>
      <c r="C69" s="5" t="n">
        <v>46091</v>
      </c>
      <c r="D69" s="6">
        <f>Summary!D69</f>
        <v/>
      </c>
      <c r="E69" s="6">
        <f>Summary!E69</f>
        <v/>
      </c>
      <c r="F69" s="6">
        <f>Summary!F69</f>
        <v/>
      </c>
      <c r="G69" s="6">
        <f>Summary!G69</f>
        <v/>
      </c>
      <c r="H69" s="6">
        <f>Summary!H69</f>
        <v/>
      </c>
      <c r="I69" s="6">
        <f>Summary!I69</f>
        <v/>
      </c>
      <c r="J69" s="6">
        <f>Summary!J69</f>
        <v/>
      </c>
      <c r="K69" s="6">
        <f>Summary!K69</f>
        <v/>
      </c>
      <c r="L69" s="6">
        <f>Summary!L69</f>
        <v/>
      </c>
      <c r="M69" s="6">
        <f>Summary!M69</f>
        <v/>
      </c>
      <c r="N69" s="6">
        <f>Summary!N69</f>
        <v/>
      </c>
      <c r="O69" s="6">
        <f>Summary!O69</f>
        <v/>
      </c>
      <c r="P69" s="6">
        <f>Summary!P69</f>
        <v/>
      </c>
      <c r="Q69" s="6">
        <f>Summary!Q69</f>
        <v/>
      </c>
      <c r="R69" s="6">
        <f>Summary!R69</f>
        <v/>
      </c>
      <c r="S69" s="6">
        <f>Summary!S69</f>
        <v/>
      </c>
      <c r="T69" s="6">
        <f>Summary!T69</f>
        <v/>
      </c>
      <c r="U69" s="6">
        <f>Summary!U69</f>
        <v/>
      </c>
      <c r="V69" s="6">
        <f>Summary!V69</f>
        <v/>
      </c>
      <c r="W69" s="6">
        <f>Summary!W69</f>
        <v/>
      </c>
      <c r="X69" s="6">
        <f>Summary!X69</f>
        <v/>
      </c>
      <c r="Y69" s="6">
        <f>Summary!Y69</f>
        <v/>
      </c>
      <c r="Z69" s="6">
        <f>Summary!Z69</f>
        <v/>
      </c>
      <c r="AA69" s="6">
        <f>Summary!AA69</f>
        <v/>
      </c>
      <c r="AB69" s="6">
        <f>SUM(D69:AA69)</f>
        <v/>
      </c>
      <c r="AC69" s="3" t="inlineStr"/>
      <c r="AD69" s="7">
        <f>AA69*0.000680195+D69*0.000680195</f>
        <v/>
      </c>
      <c r="AE69" s="7">
        <f>D69*0.000680195+E69*0.000680195</f>
        <v/>
      </c>
      <c r="AF69" s="7">
        <f>E69*0.000680195+F69*0.000680195</f>
        <v/>
      </c>
      <c r="AG69" s="7">
        <f>F69*0.000680195+G69*0.000680195</f>
        <v/>
      </c>
      <c r="AH69" s="7">
        <f>G69*0.000680195+H69*0.000680195</f>
        <v/>
      </c>
      <c r="AI69" s="7">
        <f>H69*0.000680195+I69*0.000680195</f>
        <v/>
      </c>
      <c r="AJ69" s="7">
        <f>I69*0.000680195+J69*0.000680195</f>
        <v/>
      </c>
      <c r="AK69" s="7">
        <f>J69*0.000680195+K69*0.000680195</f>
        <v/>
      </c>
      <c r="AL69" s="7">
        <f>K69*0.000680195+L69*0.000680195</f>
        <v/>
      </c>
      <c r="AM69" s="7">
        <f>L69*0.000680195+M69*0.000680195</f>
        <v/>
      </c>
      <c r="AN69" s="7">
        <f>M69*0.000680195+N69*0.000680195</f>
        <v/>
      </c>
      <c r="AO69" s="7">
        <f>N69*0.000680195+O69*0.000680195</f>
        <v/>
      </c>
      <c r="AP69" s="7">
        <f>O69*0.000680195+P69*0.000680195</f>
        <v/>
      </c>
      <c r="AQ69" s="7">
        <f>P69*0.000680195+Q69*0.000680195</f>
        <v/>
      </c>
      <c r="AR69" s="7">
        <f>Q69*0.000680195+R69*0.000680195</f>
        <v/>
      </c>
      <c r="AS69" s="7">
        <f>R69*0.000680195+S69*0.000680195</f>
        <v/>
      </c>
      <c r="AT69" s="7">
        <f>S69*0.000680195+T69*0.000680195</f>
        <v/>
      </c>
      <c r="AU69" s="7">
        <f>T69*0.000680195+U69*0.000680195</f>
        <v/>
      </c>
      <c r="AV69" s="7">
        <f>U69*0.000680195+V69*0.000680195</f>
        <v/>
      </c>
      <c r="AW69" s="7">
        <f>V69*0.000680195+W69*0.000680195</f>
        <v/>
      </c>
      <c r="AX69" s="7">
        <f>W69*0.000680195+X69*0.000680195</f>
        <v/>
      </c>
      <c r="AY69" s="7">
        <f>X69*0.000680195+Y69*0.000680195</f>
        <v/>
      </c>
      <c r="AZ69" s="7">
        <f>Y69*0.000680195+Z69*0.000680195</f>
        <v/>
      </c>
      <c r="BA69" s="7">
        <f>Z69*0.000680195+AA69*0.000680195</f>
        <v/>
      </c>
      <c r="BB69" s="7">
        <f>SUM(AD69:BA69)</f>
        <v/>
      </c>
    </row>
    <row r="70">
      <c r="A70" t="inlineStr">
        <is>
          <t>AMD-M1</t>
        </is>
      </c>
      <c r="B70" t="inlineStr">
        <is>
          <t>Forward Regular OSC</t>
        </is>
      </c>
      <c r="C70" s="5" t="n">
        <v>46092</v>
      </c>
      <c r="D70" s="6">
        <f>Summary!D70</f>
        <v/>
      </c>
      <c r="E70" s="6">
        <f>Summary!E70</f>
        <v/>
      </c>
      <c r="F70" s="6">
        <f>Summary!F70</f>
        <v/>
      </c>
      <c r="G70" s="6">
        <f>Summary!G70</f>
        <v/>
      </c>
      <c r="H70" s="6">
        <f>Summary!H70</f>
        <v/>
      </c>
      <c r="I70" s="6">
        <f>Summary!I70</f>
        <v/>
      </c>
      <c r="J70" s="6">
        <f>Summary!J70</f>
        <v/>
      </c>
      <c r="K70" s="6">
        <f>Summary!K70</f>
        <v/>
      </c>
      <c r="L70" s="6">
        <f>Summary!L70</f>
        <v/>
      </c>
      <c r="M70" s="6">
        <f>Summary!M70</f>
        <v/>
      </c>
      <c r="N70" s="6">
        <f>Summary!N70</f>
        <v/>
      </c>
      <c r="O70" s="6">
        <f>Summary!O70</f>
        <v/>
      </c>
      <c r="P70" s="6">
        <f>Summary!P70</f>
        <v/>
      </c>
      <c r="Q70" s="6">
        <f>Summary!Q70</f>
        <v/>
      </c>
      <c r="R70" s="6">
        <f>Summary!R70</f>
        <v/>
      </c>
      <c r="S70" s="6">
        <f>Summary!S70</f>
        <v/>
      </c>
      <c r="T70" s="6">
        <f>Summary!T70</f>
        <v/>
      </c>
      <c r="U70" s="6">
        <f>Summary!U70</f>
        <v/>
      </c>
      <c r="V70" s="6">
        <f>Summary!V70</f>
        <v/>
      </c>
      <c r="W70" s="6">
        <f>Summary!W70</f>
        <v/>
      </c>
      <c r="X70" s="6">
        <f>Summary!X70</f>
        <v/>
      </c>
      <c r="Y70" s="6">
        <f>Summary!Y70</f>
        <v/>
      </c>
      <c r="Z70" s="6">
        <f>Summary!Z70</f>
        <v/>
      </c>
      <c r="AA70" s="6">
        <f>Summary!AA70</f>
        <v/>
      </c>
      <c r="AB70" s="6">
        <f>SUM(D70:AA70)</f>
        <v/>
      </c>
      <c r="AC70" s="3" t="inlineStr"/>
      <c r="AD70" s="7">
        <f>AA70*0.000680195+D70*0.000680195</f>
        <v/>
      </c>
      <c r="AE70" s="7">
        <f>D70*0.000680195+E70*0.000680195</f>
        <v/>
      </c>
      <c r="AF70" s="7">
        <f>E70*0.000680195+F70*0.000680195</f>
        <v/>
      </c>
      <c r="AG70" s="7">
        <f>F70*0.000680195+G70*0.000680195</f>
        <v/>
      </c>
      <c r="AH70" s="7">
        <f>G70*0.000680195+H70*0.000680195</f>
        <v/>
      </c>
      <c r="AI70" s="7">
        <f>H70*0.000680195+I70*0.000680195</f>
        <v/>
      </c>
      <c r="AJ70" s="7">
        <f>I70*0.000680195+J70*0.000680195</f>
        <v/>
      </c>
      <c r="AK70" s="7">
        <f>J70*0.000680195+K70*0.000680195</f>
        <v/>
      </c>
      <c r="AL70" s="7">
        <f>K70*0.000680195+L70*0.000680195</f>
        <v/>
      </c>
      <c r="AM70" s="7">
        <f>L70*0.000680195+M70*0.000680195</f>
        <v/>
      </c>
      <c r="AN70" s="7">
        <f>M70*0.000680195+N70*0.000680195</f>
        <v/>
      </c>
      <c r="AO70" s="7">
        <f>N70*0.000680195+O70*0.000680195</f>
        <v/>
      </c>
      <c r="AP70" s="7">
        <f>O70*0.000680195+P70*0.000680195</f>
        <v/>
      </c>
      <c r="AQ70" s="7">
        <f>P70*0.000680195+Q70*0.000680195</f>
        <v/>
      </c>
      <c r="AR70" s="7">
        <f>Q70*0.000680195+R70*0.000680195</f>
        <v/>
      </c>
      <c r="AS70" s="7">
        <f>R70*0.000680195+S70*0.000680195</f>
        <v/>
      </c>
      <c r="AT70" s="7">
        <f>S70*0.000680195+T70*0.000680195</f>
        <v/>
      </c>
      <c r="AU70" s="7">
        <f>T70*0.000680195+U70*0.000680195</f>
        <v/>
      </c>
      <c r="AV70" s="7">
        <f>U70*0.000680195+V70*0.000680195</f>
        <v/>
      </c>
      <c r="AW70" s="7">
        <f>V70*0.000680195+W70*0.000680195</f>
        <v/>
      </c>
      <c r="AX70" s="7">
        <f>W70*0.000680195+X70*0.000680195</f>
        <v/>
      </c>
      <c r="AY70" s="7">
        <f>X70*0.000680195+Y70*0.000680195</f>
        <v/>
      </c>
      <c r="AZ70" s="7">
        <f>Y70*0.000680195+Z70*0.000680195</f>
        <v/>
      </c>
      <c r="BA70" s="7">
        <f>Z70*0.000680195+AA70*0.000680195</f>
        <v/>
      </c>
      <c r="BB70" s="7">
        <f>SUM(AD70:BA70)</f>
        <v/>
      </c>
    </row>
    <row r="71">
      <c r="A71" t="inlineStr">
        <is>
          <t>AMD-M1</t>
        </is>
      </c>
      <c r="B71" t="inlineStr">
        <is>
          <t>Forward Regular OSC</t>
        </is>
      </c>
      <c r="C71" s="5" t="n">
        <v>46093</v>
      </c>
      <c r="D71" s="6">
        <f>Summary!D71</f>
        <v/>
      </c>
      <c r="E71" s="6">
        <f>Summary!E71</f>
        <v/>
      </c>
      <c r="F71" s="6">
        <f>Summary!F71</f>
        <v/>
      </c>
      <c r="G71" s="6">
        <f>Summary!G71</f>
        <v/>
      </c>
      <c r="H71" s="6">
        <f>Summary!H71</f>
        <v/>
      </c>
      <c r="I71" s="6">
        <f>Summary!I71</f>
        <v/>
      </c>
      <c r="J71" s="6">
        <f>Summary!J71</f>
        <v/>
      </c>
      <c r="K71" s="6">
        <f>Summary!K71</f>
        <v/>
      </c>
      <c r="L71" s="6">
        <f>Summary!L71</f>
        <v/>
      </c>
      <c r="M71" s="6">
        <f>Summary!M71</f>
        <v/>
      </c>
      <c r="N71" s="6">
        <f>Summary!N71</f>
        <v/>
      </c>
      <c r="O71" s="6">
        <f>Summary!O71</f>
        <v/>
      </c>
      <c r="P71" s="6">
        <f>Summary!P71</f>
        <v/>
      </c>
      <c r="Q71" s="6">
        <f>Summary!Q71</f>
        <v/>
      </c>
      <c r="R71" s="6">
        <f>Summary!R71</f>
        <v/>
      </c>
      <c r="S71" s="6">
        <f>Summary!S71</f>
        <v/>
      </c>
      <c r="T71" s="6">
        <f>Summary!T71</f>
        <v/>
      </c>
      <c r="U71" s="6">
        <f>Summary!U71</f>
        <v/>
      </c>
      <c r="V71" s="6">
        <f>Summary!V71</f>
        <v/>
      </c>
      <c r="W71" s="6">
        <f>Summary!W71</f>
        <v/>
      </c>
      <c r="X71" s="6">
        <f>Summary!X71</f>
        <v/>
      </c>
      <c r="Y71" s="6">
        <f>Summary!Y71</f>
        <v/>
      </c>
      <c r="Z71" s="6">
        <f>Summary!Z71</f>
        <v/>
      </c>
      <c r="AA71" s="6">
        <f>Summary!AA71</f>
        <v/>
      </c>
      <c r="AB71" s="6">
        <f>SUM(D71:AA71)</f>
        <v/>
      </c>
      <c r="AC71" s="3" t="inlineStr"/>
      <c r="AD71" s="7">
        <f>AA71*0.000680195+D71*0.000680195</f>
        <v/>
      </c>
      <c r="AE71" s="7">
        <f>D71*0.000680195+E71*0.000680195</f>
        <v/>
      </c>
      <c r="AF71" s="7">
        <f>E71*0.000680195+F71*0.000680195</f>
        <v/>
      </c>
      <c r="AG71" s="7">
        <f>F71*0.000680195+G71*0.000680195</f>
        <v/>
      </c>
      <c r="AH71" s="7">
        <f>G71*0.000680195+H71*0.000680195</f>
        <v/>
      </c>
      <c r="AI71" s="7">
        <f>H71*0.000680195+I71*0.000680195</f>
        <v/>
      </c>
      <c r="AJ71" s="7">
        <f>I71*0.000680195+J71*0.000680195</f>
        <v/>
      </c>
      <c r="AK71" s="7">
        <f>J71*0.000680195+K71*0.000680195</f>
        <v/>
      </c>
      <c r="AL71" s="7">
        <f>K71*0.000680195+L71*0.000680195</f>
        <v/>
      </c>
      <c r="AM71" s="7">
        <f>L71*0.000680195+M71*0.000680195</f>
        <v/>
      </c>
      <c r="AN71" s="7">
        <f>M71*0.000680195+N71*0.000680195</f>
        <v/>
      </c>
      <c r="AO71" s="7">
        <f>N71*0.000680195+O71*0.000680195</f>
        <v/>
      </c>
      <c r="AP71" s="7">
        <f>O71*0.000680195+P71*0.000680195</f>
        <v/>
      </c>
      <c r="AQ71" s="7">
        <f>P71*0.000680195+Q71*0.000680195</f>
        <v/>
      </c>
      <c r="AR71" s="7">
        <f>Q71*0.000680195+R71*0.000680195</f>
        <v/>
      </c>
      <c r="AS71" s="7">
        <f>R71*0.000680195+S71*0.000680195</f>
        <v/>
      </c>
      <c r="AT71" s="7">
        <f>S71*0.000680195+T71*0.000680195</f>
        <v/>
      </c>
      <c r="AU71" s="7">
        <f>T71*0.000680195+U71*0.000680195</f>
        <v/>
      </c>
      <c r="AV71" s="7">
        <f>U71*0.000680195+V71*0.000680195</f>
        <v/>
      </c>
      <c r="AW71" s="7">
        <f>V71*0.000680195+W71*0.000680195</f>
        <v/>
      </c>
      <c r="AX71" s="7">
        <f>W71*0.000680195+X71*0.000680195</f>
        <v/>
      </c>
      <c r="AY71" s="7">
        <f>X71*0.000680195+Y71*0.000680195</f>
        <v/>
      </c>
      <c r="AZ71" s="7">
        <f>Y71*0.000680195+Z71*0.000680195</f>
        <v/>
      </c>
      <c r="BA71" s="7">
        <f>Z71*0.000680195+AA71*0.000680195</f>
        <v/>
      </c>
      <c r="BB71" s="7">
        <f>SUM(AD71:BA71)</f>
        <v/>
      </c>
    </row>
    <row r="72">
      <c r="A72" t="inlineStr">
        <is>
          <t>AMD-M1</t>
        </is>
      </c>
      <c r="B72" t="inlineStr">
        <is>
          <t>Forward Regular OSC</t>
        </is>
      </c>
      <c r="C72" s="5" t="n">
        <v>46094</v>
      </c>
      <c r="D72" s="6">
        <f>Summary!D72</f>
        <v/>
      </c>
      <c r="E72" s="6">
        <f>Summary!E72</f>
        <v/>
      </c>
      <c r="F72" s="6">
        <f>Summary!F72</f>
        <v/>
      </c>
      <c r="G72" s="6">
        <f>Summary!G72</f>
        <v/>
      </c>
      <c r="H72" s="6">
        <f>Summary!H72</f>
        <v/>
      </c>
      <c r="I72" s="6">
        <f>Summary!I72</f>
        <v/>
      </c>
      <c r="J72" s="6">
        <f>Summary!J72</f>
        <v/>
      </c>
      <c r="K72" s="6">
        <f>Summary!K72</f>
        <v/>
      </c>
      <c r="L72" s="6">
        <f>Summary!L72</f>
        <v/>
      </c>
      <c r="M72" s="6">
        <f>Summary!M72</f>
        <v/>
      </c>
      <c r="N72" s="6">
        <f>Summary!N72</f>
        <v/>
      </c>
      <c r="O72" s="6">
        <f>Summary!O72</f>
        <v/>
      </c>
      <c r="P72" s="6">
        <f>Summary!P72</f>
        <v/>
      </c>
      <c r="Q72" s="6">
        <f>Summary!Q72</f>
        <v/>
      </c>
      <c r="R72" s="6">
        <f>Summary!R72</f>
        <v/>
      </c>
      <c r="S72" s="6">
        <f>Summary!S72</f>
        <v/>
      </c>
      <c r="T72" s="6">
        <f>Summary!T72</f>
        <v/>
      </c>
      <c r="U72" s="6">
        <f>Summary!U72</f>
        <v/>
      </c>
      <c r="V72" s="6">
        <f>Summary!V72</f>
        <v/>
      </c>
      <c r="W72" s="6">
        <f>Summary!W72</f>
        <v/>
      </c>
      <c r="X72" s="6">
        <f>Summary!X72</f>
        <v/>
      </c>
      <c r="Y72" s="6">
        <f>Summary!Y72</f>
        <v/>
      </c>
      <c r="Z72" s="6">
        <f>Summary!Z72</f>
        <v/>
      </c>
      <c r="AA72" s="6">
        <f>Summary!AA72</f>
        <v/>
      </c>
      <c r="AB72" s="6">
        <f>SUM(D72:AA72)</f>
        <v/>
      </c>
      <c r="AC72" s="3" t="inlineStr"/>
      <c r="AD72" s="7">
        <f>AA72*0.000680195+D72*0.000680195</f>
        <v/>
      </c>
      <c r="AE72" s="7">
        <f>D72*0.000680195+E72*0.000680195</f>
        <v/>
      </c>
      <c r="AF72" s="7">
        <f>E72*0.000680195+F72*0.000680195</f>
        <v/>
      </c>
      <c r="AG72" s="7">
        <f>F72*0.000680195+G72*0.000680195</f>
        <v/>
      </c>
      <c r="AH72" s="7">
        <f>G72*0.000680195+H72*0.000680195</f>
        <v/>
      </c>
      <c r="AI72" s="7">
        <f>H72*0.000680195+I72*0.000680195</f>
        <v/>
      </c>
      <c r="AJ72" s="7">
        <f>I72*0.000680195+J72*0.000680195</f>
        <v/>
      </c>
      <c r="AK72" s="7">
        <f>J72*0.000680195+K72*0.000680195</f>
        <v/>
      </c>
      <c r="AL72" s="7">
        <f>K72*0.000680195+L72*0.000680195</f>
        <v/>
      </c>
      <c r="AM72" s="7">
        <f>L72*0.000680195+M72*0.000680195</f>
        <v/>
      </c>
      <c r="AN72" s="7">
        <f>M72*0.000680195+N72*0.000680195</f>
        <v/>
      </c>
      <c r="AO72" s="7">
        <f>N72*0.000680195+O72*0.000680195</f>
        <v/>
      </c>
      <c r="AP72" s="7">
        <f>O72*0.000680195+P72*0.000680195</f>
        <v/>
      </c>
      <c r="AQ72" s="7">
        <f>P72*0.000680195+Q72*0.000680195</f>
        <v/>
      </c>
      <c r="AR72" s="7">
        <f>Q72*0.000680195+R72*0.000680195</f>
        <v/>
      </c>
      <c r="AS72" s="7">
        <f>R72*0.000680195+S72*0.000680195</f>
        <v/>
      </c>
      <c r="AT72" s="7">
        <f>S72*0.000680195+T72*0.000680195</f>
        <v/>
      </c>
      <c r="AU72" s="7">
        <f>T72*0.000680195+U72*0.000680195</f>
        <v/>
      </c>
      <c r="AV72" s="7">
        <f>U72*0.000680195+V72*0.000680195</f>
        <v/>
      </c>
      <c r="AW72" s="7">
        <f>V72*0.000680195+W72*0.000680195</f>
        <v/>
      </c>
      <c r="AX72" s="7">
        <f>W72*0.000680195+X72*0.000680195</f>
        <v/>
      </c>
      <c r="AY72" s="7">
        <f>X72*0.000680195+Y72*0.000680195</f>
        <v/>
      </c>
      <c r="AZ72" s="7">
        <f>Y72*0.000680195+Z72*0.000680195</f>
        <v/>
      </c>
      <c r="BA72" s="7">
        <f>Z72*0.000680195+AA72*0.000680195</f>
        <v/>
      </c>
      <c r="BB72" s="7">
        <f>SUM(AD72:BA72)</f>
        <v/>
      </c>
    </row>
    <row r="73">
      <c r="A73" t="inlineStr">
        <is>
          <t>AMD-M1</t>
        </is>
      </c>
      <c r="B73" t="inlineStr">
        <is>
          <t>Forward Regular OSC</t>
        </is>
      </c>
      <c r="C73" s="5" t="n">
        <v>46095</v>
      </c>
      <c r="D73" s="6">
        <f>Summary!D73</f>
        <v/>
      </c>
      <c r="E73" s="6">
        <f>Summary!E73</f>
        <v/>
      </c>
      <c r="F73" s="6">
        <f>Summary!F73</f>
        <v/>
      </c>
      <c r="G73" s="6">
        <f>Summary!G73</f>
        <v/>
      </c>
      <c r="H73" s="6">
        <f>Summary!H73</f>
        <v/>
      </c>
      <c r="I73" s="6">
        <f>Summary!I73</f>
        <v/>
      </c>
      <c r="J73" s="6">
        <f>Summary!J73</f>
        <v/>
      </c>
      <c r="K73" s="6">
        <f>Summary!K73</f>
        <v/>
      </c>
      <c r="L73" s="6">
        <f>Summary!L73</f>
        <v/>
      </c>
      <c r="M73" s="6">
        <f>Summary!M73</f>
        <v/>
      </c>
      <c r="N73" s="6">
        <f>Summary!N73</f>
        <v/>
      </c>
      <c r="O73" s="6">
        <f>Summary!O73</f>
        <v/>
      </c>
      <c r="P73" s="6">
        <f>Summary!P73</f>
        <v/>
      </c>
      <c r="Q73" s="6">
        <f>Summary!Q73</f>
        <v/>
      </c>
      <c r="R73" s="6">
        <f>Summary!R73</f>
        <v/>
      </c>
      <c r="S73" s="6">
        <f>Summary!S73</f>
        <v/>
      </c>
      <c r="T73" s="6">
        <f>Summary!T73</f>
        <v/>
      </c>
      <c r="U73" s="6">
        <f>Summary!U73</f>
        <v/>
      </c>
      <c r="V73" s="6">
        <f>Summary!V73</f>
        <v/>
      </c>
      <c r="W73" s="6">
        <f>Summary!W73</f>
        <v/>
      </c>
      <c r="X73" s="6">
        <f>Summary!X73</f>
        <v/>
      </c>
      <c r="Y73" s="6">
        <f>Summary!Y73</f>
        <v/>
      </c>
      <c r="Z73" s="6">
        <f>Summary!Z73</f>
        <v/>
      </c>
      <c r="AA73" s="6">
        <f>Summary!AA73</f>
        <v/>
      </c>
      <c r="AB73" s="6">
        <f>SUM(D73:AA73)</f>
        <v/>
      </c>
      <c r="AC73" s="3" t="inlineStr"/>
      <c r="AD73" s="7">
        <f>AA73*0.000680195+D73*0.000680195</f>
        <v/>
      </c>
      <c r="AE73" s="7">
        <f>D73*0.000680195+E73*0.000680195</f>
        <v/>
      </c>
      <c r="AF73" s="7">
        <f>E73*0.000680195+F73*0.000680195</f>
        <v/>
      </c>
      <c r="AG73" s="7">
        <f>F73*0.000680195+G73*0.000680195</f>
        <v/>
      </c>
      <c r="AH73" s="7">
        <f>G73*0.000680195+H73*0.000680195</f>
        <v/>
      </c>
      <c r="AI73" s="7">
        <f>H73*0.000680195+I73*0.000680195</f>
        <v/>
      </c>
      <c r="AJ73" s="7">
        <f>I73*0.000680195+J73*0.000680195</f>
        <v/>
      </c>
      <c r="AK73" s="7">
        <f>J73*0.000680195+K73*0.000680195</f>
        <v/>
      </c>
      <c r="AL73" s="7">
        <f>K73*0.000680195+L73*0.000680195</f>
        <v/>
      </c>
      <c r="AM73" s="7">
        <f>L73*0.000680195+M73*0.000680195</f>
        <v/>
      </c>
      <c r="AN73" s="7">
        <f>M73*0.000680195+N73*0.000680195</f>
        <v/>
      </c>
      <c r="AO73" s="7">
        <f>N73*0.000680195+O73*0.000680195</f>
        <v/>
      </c>
      <c r="AP73" s="7">
        <f>O73*0.000680195+P73*0.000680195</f>
        <v/>
      </c>
      <c r="AQ73" s="7">
        <f>P73*0.000680195+Q73*0.000680195</f>
        <v/>
      </c>
      <c r="AR73" s="7">
        <f>Q73*0.000680195+R73*0.000680195</f>
        <v/>
      </c>
      <c r="AS73" s="7">
        <f>R73*0.000680195+S73*0.000680195</f>
        <v/>
      </c>
      <c r="AT73" s="7">
        <f>S73*0.000680195+T73*0.000680195</f>
        <v/>
      </c>
      <c r="AU73" s="7">
        <f>T73*0.000680195+U73*0.000680195</f>
        <v/>
      </c>
      <c r="AV73" s="7">
        <f>U73*0.000680195+V73*0.000680195</f>
        <v/>
      </c>
      <c r="AW73" s="7">
        <f>V73*0.000680195+W73*0.000680195</f>
        <v/>
      </c>
      <c r="AX73" s="7">
        <f>W73*0.000680195+X73*0.000680195</f>
        <v/>
      </c>
      <c r="AY73" s="7">
        <f>X73*0.000680195+Y73*0.000680195</f>
        <v/>
      </c>
      <c r="AZ73" s="7">
        <f>Y73*0.000680195+Z73*0.000680195</f>
        <v/>
      </c>
      <c r="BA73" s="7">
        <f>Z73*0.000680195+AA73*0.000680195</f>
        <v/>
      </c>
      <c r="BB73" s="7">
        <f>SUM(AD73:BA73)</f>
        <v/>
      </c>
    </row>
    <row r="74">
      <c r="A74" t="inlineStr">
        <is>
          <t>AMD-M1</t>
        </is>
      </c>
      <c r="B74" t="inlineStr">
        <is>
          <t>Forward Regular OSC</t>
        </is>
      </c>
      <c r="C74" s="5" t="n">
        <v>46096</v>
      </c>
      <c r="D74" s="6">
        <f>Summary!D74</f>
        <v/>
      </c>
      <c r="E74" s="6">
        <f>Summary!E74</f>
        <v/>
      </c>
      <c r="F74" s="6">
        <f>Summary!F74</f>
        <v/>
      </c>
      <c r="G74" s="6">
        <f>Summary!G74</f>
        <v/>
      </c>
      <c r="H74" s="6">
        <f>Summary!H74</f>
        <v/>
      </c>
      <c r="I74" s="6">
        <f>Summary!I74</f>
        <v/>
      </c>
      <c r="J74" s="6">
        <f>Summary!J74</f>
        <v/>
      </c>
      <c r="K74" s="6">
        <f>Summary!K74</f>
        <v/>
      </c>
      <c r="L74" s="6">
        <f>Summary!L74</f>
        <v/>
      </c>
      <c r="M74" s="6">
        <f>Summary!M74</f>
        <v/>
      </c>
      <c r="N74" s="6">
        <f>Summary!N74</f>
        <v/>
      </c>
      <c r="O74" s="6">
        <f>Summary!O74</f>
        <v/>
      </c>
      <c r="P74" s="6">
        <f>Summary!P74</f>
        <v/>
      </c>
      <c r="Q74" s="6">
        <f>Summary!Q74</f>
        <v/>
      </c>
      <c r="R74" s="6">
        <f>Summary!R74</f>
        <v/>
      </c>
      <c r="S74" s="6">
        <f>Summary!S74</f>
        <v/>
      </c>
      <c r="T74" s="6">
        <f>Summary!T74</f>
        <v/>
      </c>
      <c r="U74" s="6">
        <f>Summary!U74</f>
        <v/>
      </c>
      <c r="V74" s="6">
        <f>Summary!V74</f>
        <v/>
      </c>
      <c r="W74" s="6">
        <f>Summary!W74</f>
        <v/>
      </c>
      <c r="X74" s="6">
        <f>Summary!X74</f>
        <v/>
      </c>
      <c r="Y74" s="6">
        <f>Summary!Y74</f>
        <v/>
      </c>
      <c r="Z74" s="6">
        <f>Summary!Z74</f>
        <v/>
      </c>
      <c r="AA74" s="6">
        <f>Summary!AA74</f>
        <v/>
      </c>
      <c r="AB74" s="6">
        <f>SUM(D74:AA74)</f>
        <v/>
      </c>
      <c r="AC74" s="3" t="inlineStr"/>
      <c r="AD74" s="7">
        <f>AA74*0.000680195+D74*0.000680195</f>
        <v/>
      </c>
      <c r="AE74" s="7">
        <f>D74*0.000680195+E74*0.000680195</f>
        <v/>
      </c>
      <c r="AF74" s="7">
        <f>E74*0.000680195+F74*0.000680195</f>
        <v/>
      </c>
      <c r="AG74" s="7">
        <f>F74*0.000680195+G74*0.000680195</f>
        <v/>
      </c>
      <c r="AH74" s="7">
        <f>G74*0.000680195+H74*0.000680195</f>
        <v/>
      </c>
      <c r="AI74" s="7">
        <f>H74*0.000680195+I74*0.000680195</f>
        <v/>
      </c>
      <c r="AJ74" s="7">
        <f>I74*0.000680195+J74*0.000680195</f>
        <v/>
      </c>
      <c r="AK74" s="7">
        <f>J74*0.000680195+K74*0.000680195</f>
        <v/>
      </c>
      <c r="AL74" s="7">
        <f>K74*0.000680195+L74*0.000680195</f>
        <v/>
      </c>
      <c r="AM74" s="7">
        <f>L74*0.000680195+M74*0.000680195</f>
        <v/>
      </c>
      <c r="AN74" s="7">
        <f>M74*0.000680195+N74*0.000680195</f>
        <v/>
      </c>
      <c r="AO74" s="7">
        <f>N74*0.000680195+O74*0.000680195</f>
        <v/>
      </c>
      <c r="AP74" s="7">
        <f>O74*0.000680195+P74*0.000680195</f>
        <v/>
      </c>
      <c r="AQ74" s="7">
        <f>P74*0.000680195+Q74*0.000680195</f>
        <v/>
      </c>
      <c r="AR74" s="7">
        <f>Q74*0.000680195+R74*0.000680195</f>
        <v/>
      </c>
      <c r="AS74" s="7">
        <f>R74*0.000680195+S74*0.000680195</f>
        <v/>
      </c>
      <c r="AT74" s="7">
        <f>S74*0.000680195+T74*0.000680195</f>
        <v/>
      </c>
      <c r="AU74" s="7">
        <f>T74*0.000680195+U74*0.000680195</f>
        <v/>
      </c>
      <c r="AV74" s="7">
        <f>U74*0.000680195+V74*0.000680195</f>
        <v/>
      </c>
      <c r="AW74" s="7">
        <f>V74*0.000680195+W74*0.000680195</f>
        <v/>
      </c>
      <c r="AX74" s="7">
        <f>W74*0.000680195+X74*0.000680195</f>
        <v/>
      </c>
      <c r="AY74" s="7">
        <f>X74*0.000680195+Y74*0.000680195</f>
        <v/>
      </c>
      <c r="AZ74" s="7">
        <f>Y74*0.000680195+Z74*0.000680195</f>
        <v/>
      </c>
      <c r="BA74" s="7">
        <f>Z74*0.000680195+AA74*0.000680195</f>
        <v/>
      </c>
      <c r="BB74" s="7">
        <f>SUM(AD74:BA74)</f>
        <v/>
      </c>
    </row>
    <row r="75">
      <c r="A75" t="inlineStr">
        <is>
          <t>AMD-M1</t>
        </is>
      </c>
      <c r="B75" t="inlineStr">
        <is>
          <t>Forward Regular OSC</t>
        </is>
      </c>
      <c r="C75" s="5" t="n">
        <v>46097</v>
      </c>
      <c r="D75" s="6">
        <f>Summary!D75</f>
        <v/>
      </c>
      <c r="E75" s="6">
        <f>Summary!E75</f>
        <v/>
      </c>
      <c r="F75" s="6">
        <f>Summary!F75</f>
        <v/>
      </c>
      <c r="G75" s="6">
        <f>Summary!G75</f>
        <v/>
      </c>
      <c r="H75" s="6">
        <f>Summary!H75</f>
        <v/>
      </c>
      <c r="I75" s="6">
        <f>Summary!I75</f>
        <v/>
      </c>
      <c r="J75" s="6">
        <f>Summary!J75</f>
        <v/>
      </c>
      <c r="K75" s="6">
        <f>Summary!K75</f>
        <v/>
      </c>
      <c r="L75" s="6">
        <f>Summary!L75</f>
        <v/>
      </c>
      <c r="M75" s="6">
        <f>Summary!M75</f>
        <v/>
      </c>
      <c r="N75" s="6">
        <f>Summary!N75</f>
        <v/>
      </c>
      <c r="O75" s="6">
        <f>Summary!O75</f>
        <v/>
      </c>
      <c r="P75" s="6">
        <f>Summary!P75</f>
        <v/>
      </c>
      <c r="Q75" s="6">
        <f>Summary!Q75</f>
        <v/>
      </c>
      <c r="R75" s="6">
        <f>Summary!R75</f>
        <v/>
      </c>
      <c r="S75" s="6">
        <f>Summary!S75</f>
        <v/>
      </c>
      <c r="T75" s="6">
        <f>Summary!T75</f>
        <v/>
      </c>
      <c r="U75" s="6">
        <f>Summary!U75</f>
        <v/>
      </c>
      <c r="V75" s="6">
        <f>Summary!V75</f>
        <v/>
      </c>
      <c r="W75" s="6">
        <f>Summary!W75</f>
        <v/>
      </c>
      <c r="X75" s="6">
        <f>Summary!X75</f>
        <v/>
      </c>
      <c r="Y75" s="6">
        <f>Summary!Y75</f>
        <v/>
      </c>
      <c r="Z75" s="6">
        <f>Summary!Z75</f>
        <v/>
      </c>
      <c r="AA75" s="6">
        <f>Summary!AA75</f>
        <v/>
      </c>
      <c r="AB75" s="6">
        <f>SUM(D75:AA75)</f>
        <v/>
      </c>
      <c r="AC75" s="3" t="inlineStr"/>
      <c r="AD75" s="7">
        <f>AA75*0.000680195+D75*0.000680195</f>
        <v/>
      </c>
      <c r="AE75" s="7">
        <f>D75*0.000680195+E75*0.000680195</f>
        <v/>
      </c>
      <c r="AF75" s="7">
        <f>E75*0.000680195+F75*0.000680195</f>
        <v/>
      </c>
      <c r="AG75" s="7">
        <f>F75*0.000680195+G75*0.000680195</f>
        <v/>
      </c>
      <c r="AH75" s="7">
        <f>G75*0.000680195+H75*0.000680195</f>
        <v/>
      </c>
      <c r="AI75" s="7">
        <f>H75*0.000680195+I75*0.000680195</f>
        <v/>
      </c>
      <c r="AJ75" s="7">
        <f>I75*0.000680195+J75*0.000680195</f>
        <v/>
      </c>
      <c r="AK75" s="7">
        <f>J75*0.000680195+K75*0.000680195</f>
        <v/>
      </c>
      <c r="AL75" s="7">
        <f>K75*0.000680195+L75*0.000680195</f>
        <v/>
      </c>
      <c r="AM75" s="7">
        <f>L75*0.000680195+M75*0.000680195</f>
        <v/>
      </c>
      <c r="AN75" s="7">
        <f>M75*0.000680195+N75*0.000680195</f>
        <v/>
      </c>
      <c r="AO75" s="7">
        <f>N75*0.000680195+O75*0.000680195</f>
        <v/>
      </c>
      <c r="AP75" s="7">
        <f>O75*0.000680195+P75*0.000680195</f>
        <v/>
      </c>
      <c r="AQ75" s="7">
        <f>P75*0.000680195+Q75*0.000680195</f>
        <v/>
      </c>
      <c r="AR75" s="7">
        <f>Q75*0.000680195+R75*0.000680195</f>
        <v/>
      </c>
      <c r="AS75" s="7">
        <f>R75*0.000680195+S75*0.000680195</f>
        <v/>
      </c>
      <c r="AT75" s="7">
        <f>S75*0.000680195+T75*0.000680195</f>
        <v/>
      </c>
      <c r="AU75" s="7">
        <f>T75*0.000680195+U75*0.000680195</f>
        <v/>
      </c>
      <c r="AV75" s="7">
        <f>U75*0.000680195+V75*0.000680195</f>
        <v/>
      </c>
      <c r="AW75" s="7">
        <f>V75*0.000680195+W75*0.000680195</f>
        <v/>
      </c>
      <c r="AX75" s="7">
        <f>W75*0.000680195+X75*0.000680195</f>
        <v/>
      </c>
      <c r="AY75" s="7">
        <f>X75*0.000680195+Y75*0.000680195</f>
        <v/>
      </c>
      <c r="AZ75" s="7">
        <f>Y75*0.000680195+Z75*0.000680195</f>
        <v/>
      </c>
      <c r="BA75" s="7">
        <f>Z75*0.000680195+AA75*0.000680195</f>
        <v/>
      </c>
      <c r="BB75" s="7">
        <f>SUM(AD75:BA75)</f>
        <v/>
      </c>
    </row>
    <row r="76">
      <c r="A76" t="inlineStr">
        <is>
          <t>AMD-M2</t>
        </is>
      </c>
      <c r="B76" t="inlineStr">
        <is>
          <t>Forward Regular OSC</t>
        </is>
      </c>
      <c r="C76" s="5" t="n">
        <v>46089</v>
      </c>
      <c r="D76" s="6">
        <f>Summary!D76</f>
        <v/>
      </c>
      <c r="E76" s="6">
        <f>Summary!E76</f>
        <v/>
      </c>
      <c r="F76" s="6">
        <f>Summary!F76</f>
        <v/>
      </c>
      <c r="G76" s="6">
        <f>Summary!G76</f>
        <v/>
      </c>
      <c r="H76" s="6">
        <f>Summary!H76</f>
        <v/>
      </c>
      <c r="I76" s="6">
        <f>Summary!I76</f>
        <v/>
      </c>
      <c r="J76" s="6">
        <f>Summary!J76</f>
        <v/>
      </c>
      <c r="K76" s="6">
        <f>Summary!K76</f>
        <v/>
      </c>
      <c r="L76" s="6">
        <f>Summary!L76</f>
        <v/>
      </c>
      <c r="M76" s="6">
        <f>Summary!M76</f>
        <v/>
      </c>
      <c r="N76" s="6">
        <f>Summary!N76</f>
        <v/>
      </c>
      <c r="O76" s="6">
        <f>Summary!O76</f>
        <v/>
      </c>
      <c r="P76" s="6">
        <f>Summary!P76</f>
        <v/>
      </c>
      <c r="Q76" s="6">
        <f>Summary!Q76</f>
        <v/>
      </c>
      <c r="R76" s="6">
        <f>Summary!R76</f>
        <v/>
      </c>
      <c r="S76" s="6">
        <f>Summary!S76</f>
        <v/>
      </c>
      <c r="T76" s="6">
        <f>Summary!T76</f>
        <v/>
      </c>
      <c r="U76" s="6">
        <f>Summary!U76</f>
        <v/>
      </c>
      <c r="V76" s="6">
        <f>Summary!V76</f>
        <v/>
      </c>
      <c r="W76" s="6">
        <f>Summary!W76</f>
        <v/>
      </c>
      <c r="X76" s="6">
        <f>Summary!X76</f>
        <v/>
      </c>
      <c r="Y76" s="6">
        <f>Summary!Y76</f>
        <v/>
      </c>
      <c r="Z76" s="6">
        <f>Summary!Z76</f>
        <v/>
      </c>
      <c r="AA76" s="6">
        <f>Summary!AA76</f>
        <v/>
      </c>
      <c r="AB76" s="6">
        <f>SUM(D76:AA76)</f>
        <v/>
      </c>
      <c r="AC76" s="3" t="inlineStr"/>
      <c r="AD76" s="7">
        <f>AA76*0.000680195+D76*0.000680195</f>
        <v/>
      </c>
      <c r="AE76" s="7">
        <f>D76*0.000680195+E76*0.000680195</f>
        <v/>
      </c>
      <c r="AF76" s="7">
        <f>E76*0.000680195+F76*0.000680195</f>
        <v/>
      </c>
      <c r="AG76" s="7">
        <f>F76*0.000680195+G76*0.000680195</f>
        <v/>
      </c>
      <c r="AH76" s="7">
        <f>G76*0.000680195+H76*0.000680195</f>
        <v/>
      </c>
      <c r="AI76" s="7">
        <f>H76*0.000680195+I76*0.000680195</f>
        <v/>
      </c>
      <c r="AJ76" s="7">
        <f>I76*0.000680195+J76*0.000680195</f>
        <v/>
      </c>
      <c r="AK76" s="7">
        <f>J76*0.000680195+K76*0.000680195</f>
        <v/>
      </c>
      <c r="AL76" s="7">
        <f>K76*0.000680195+L76*0.000680195</f>
        <v/>
      </c>
      <c r="AM76" s="7">
        <f>L76*0.000680195+M76*0.000680195</f>
        <v/>
      </c>
      <c r="AN76" s="7">
        <f>M76*0.000680195+N76*0.000680195</f>
        <v/>
      </c>
      <c r="AO76" s="7">
        <f>N76*0.000680195+O76*0.000680195</f>
        <v/>
      </c>
      <c r="AP76" s="7">
        <f>O76*0.000680195+P76*0.000680195</f>
        <v/>
      </c>
      <c r="AQ76" s="7">
        <f>P76*0.000680195+Q76*0.000680195</f>
        <v/>
      </c>
      <c r="AR76" s="7">
        <f>Q76*0.000680195+R76*0.000680195</f>
        <v/>
      </c>
      <c r="AS76" s="7">
        <f>R76*0.000680195+S76*0.000680195</f>
        <v/>
      </c>
      <c r="AT76" s="7">
        <f>S76*0.000680195+T76*0.000680195</f>
        <v/>
      </c>
      <c r="AU76" s="7">
        <f>T76*0.000680195+U76*0.000680195</f>
        <v/>
      </c>
      <c r="AV76" s="7">
        <f>U76*0.000680195+V76*0.000680195</f>
        <v/>
      </c>
      <c r="AW76" s="7">
        <f>V76*0.000680195+W76*0.000680195</f>
        <v/>
      </c>
      <c r="AX76" s="7">
        <f>W76*0.000680195+X76*0.000680195</f>
        <v/>
      </c>
      <c r="AY76" s="7">
        <f>X76*0.000680195+Y76*0.000680195</f>
        <v/>
      </c>
      <c r="AZ76" s="7">
        <f>Y76*0.000680195+Z76*0.000680195</f>
        <v/>
      </c>
      <c r="BA76" s="7">
        <f>Z76*0.000680195+AA76*0.000680195</f>
        <v/>
      </c>
      <c r="BB76" s="7">
        <f>SUM(AD76:BA76)</f>
        <v/>
      </c>
    </row>
    <row r="77">
      <c r="A77" t="inlineStr">
        <is>
          <t>AMD-M2</t>
        </is>
      </c>
      <c r="B77" t="inlineStr">
        <is>
          <t>Forward Regular OSC</t>
        </is>
      </c>
      <c r="C77" s="5" t="n">
        <v>46090</v>
      </c>
      <c r="D77" s="6">
        <f>Summary!D77</f>
        <v/>
      </c>
      <c r="E77" s="6">
        <f>Summary!E77</f>
        <v/>
      </c>
      <c r="F77" s="6">
        <f>Summary!F77</f>
        <v/>
      </c>
      <c r="G77" s="6">
        <f>Summary!G77</f>
        <v/>
      </c>
      <c r="H77" s="6">
        <f>Summary!H77</f>
        <v/>
      </c>
      <c r="I77" s="6">
        <f>Summary!I77</f>
        <v/>
      </c>
      <c r="J77" s="6">
        <f>Summary!J77</f>
        <v/>
      </c>
      <c r="K77" s="6">
        <f>Summary!K77</f>
        <v/>
      </c>
      <c r="L77" s="6">
        <f>Summary!L77</f>
        <v/>
      </c>
      <c r="M77" s="6">
        <f>Summary!M77</f>
        <v/>
      </c>
      <c r="N77" s="6">
        <f>Summary!N77</f>
        <v/>
      </c>
      <c r="O77" s="6">
        <f>Summary!O77</f>
        <v/>
      </c>
      <c r="P77" s="6">
        <f>Summary!P77</f>
        <v/>
      </c>
      <c r="Q77" s="6">
        <f>Summary!Q77</f>
        <v/>
      </c>
      <c r="R77" s="6">
        <f>Summary!R77</f>
        <v/>
      </c>
      <c r="S77" s="6">
        <f>Summary!S77</f>
        <v/>
      </c>
      <c r="T77" s="6">
        <f>Summary!T77</f>
        <v/>
      </c>
      <c r="U77" s="6">
        <f>Summary!U77</f>
        <v/>
      </c>
      <c r="V77" s="6">
        <f>Summary!V77</f>
        <v/>
      </c>
      <c r="W77" s="6">
        <f>Summary!W77</f>
        <v/>
      </c>
      <c r="X77" s="6">
        <f>Summary!X77</f>
        <v/>
      </c>
      <c r="Y77" s="6">
        <f>Summary!Y77</f>
        <v/>
      </c>
      <c r="Z77" s="6">
        <f>Summary!Z77</f>
        <v/>
      </c>
      <c r="AA77" s="6">
        <f>Summary!AA77</f>
        <v/>
      </c>
      <c r="AB77" s="6">
        <f>SUM(D77:AA77)</f>
        <v/>
      </c>
      <c r="AC77" s="3" t="inlineStr"/>
      <c r="AD77" s="7">
        <f>AA77*0.000680195+D77*0.000680195</f>
        <v/>
      </c>
      <c r="AE77" s="7">
        <f>D77*0.000680195+E77*0.000680195</f>
        <v/>
      </c>
      <c r="AF77" s="7">
        <f>E77*0.000680195+F77*0.000680195</f>
        <v/>
      </c>
      <c r="AG77" s="7">
        <f>F77*0.000680195+G77*0.000680195</f>
        <v/>
      </c>
      <c r="AH77" s="7">
        <f>G77*0.000680195+H77*0.000680195</f>
        <v/>
      </c>
      <c r="AI77" s="7">
        <f>H77*0.000680195+I77*0.000680195</f>
        <v/>
      </c>
      <c r="AJ77" s="7">
        <f>I77*0.000680195+J77*0.000680195</f>
        <v/>
      </c>
      <c r="AK77" s="7">
        <f>J77*0.000680195+K77*0.000680195</f>
        <v/>
      </c>
      <c r="AL77" s="7">
        <f>K77*0.000680195+L77*0.000680195</f>
        <v/>
      </c>
      <c r="AM77" s="7">
        <f>L77*0.000680195+M77*0.000680195</f>
        <v/>
      </c>
      <c r="AN77" s="7">
        <f>M77*0.000680195+N77*0.000680195</f>
        <v/>
      </c>
      <c r="AO77" s="7">
        <f>N77*0.000680195+O77*0.000680195</f>
        <v/>
      </c>
      <c r="AP77" s="7">
        <f>O77*0.000680195+P77*0.000680195</f>
        <v/>
      </c>
      <c r="AQ77" s="7">
        <f>P77*0.000680195+Q77*0.000680195</f>
        <v/>
      </c>
      <c r="AR77" s="7">
        <f>Q77*0.000680195+R77*0.000680195</f>
        <v/>
      </c>
      <c r="AS77" s="7">
        <f>R77*0.000680195+S77*0.000680195</f>
        <v/>
      </c>
      <c r="AT77" s="7">
        <f>S77*0.000680195+T77*0.000680195</f>
        <v/>
      </c>
      <c r="AU77" s="7">
        <f>T77*0.000680195+U77*0.000680195</f>
        <v/>
      </c>
      <c r="AV77" s="7">
        <f>U77*0.000680195+V77*0.000680195</f>
        <v/>
      </c>
      <c r="AW77" s="7">
        <f>V77*0.000680195+W77*0.000680195</f>
        <v/>
      </c>
      <c r="AX77" s="7">
        <f>W77*0.000680195+X77*0.000680195</f>
        <v/>
      </c>
      <c r="AY77" s="7">
        <f>X77*0.000680195+Y77*0.000680195</f>
        <v/>
      </c>
      <c r="AZ77" s="7">
        <f>Y77*0.000680195+Z77*0.000680195</f>
        <v/>
      </c>
      <c r="BA77" s="7">
        <f>Z77*0.000680195+AA77*0.000680195</f>
        <v/>
      </c>
      <c r="BB77" s="7">
        <f>SUM(AD77:BA77)</f>
        <v/>
      </c>
    </row>
    <row r="78">
      <c r="A78" t="inlineStr">
        <is>
          <t>AMD-M2</t>
        </is>
      </c>
      <c r="B78" t="inlineStr">
        <is>
          <t>Forward Regular OSC</t>
        </is>
      </c>
      <c r="C78" s="5" t="n">
        <v>46091</v>
      </c>
      <c r="D78" s="6">
        <f>Summary!D78</f>
        <v/>
      </c>
      <c r="E78" s="6">
        <f>Summary!E78</f>
        <v/>
      </c>
      <c r="F78" s="6">
        <f>Summary!F78</f>
        <v/>
      </c>
      <c r="G78" s="6">
        <f>Summary!G78</f>
        <v/>
      </c>
      <c r="H78" s="6">
        <f>Summary!H78</f>
        <v/>
      </c>
      <c r="I78" s="6">
        <f>Summary!I78</f>
        <v/>
      </c>
      <c r="J78" s="6">
        <f>Summary!J78</f>
        <v/>
      </c>
      <c r="K78" s="6">
        <f>Summary!K78</f>
        <v/>
      </c>
      <c r="L78" s="6">
        <f>Summary!L78</f>
        <v/>
      </c>
      <c r="M78" s="6">
        <f>Summary!M78</f>
        <v/>
      </c>
      <c r="N78" s="6">
        <f>Summary!N78</f>
        <v/>
      </c>
      <c r="O78" s="6">
        <f>Summary!O78</f>
        <v/>
      </c>
      <c r="P78" s="6">
        <f>Summary!P78</f>
        <v/>
      </c>
      <c r="Q78" s="6">
        <f>Summary!Q78</f>
        <v/>
      </c>
      <c r="R78" s="6">
        <f>Summary!R78</f>
        <v/>
      </c>
      <c r="S78" s="6">
        <f>Summary!S78</f>
        <v/>
      </c>
      <c r="T78" s="6">
        <f>Summary!T78</f>
        <v/>
      </c>
      <c r="U78" s="6">
        <f>Summary!U78</f>
        <v/>
      </c>
      <c r="V78" s="6">
        <f>Summary!V78</f>
        <v/>
      </c>
      <c r="W78" s="6">
        <f>Summary!W78</f>
        <v/>
      </c>
      <c r="X78" s="6">
        <f>Summary!X78</f>
        <v/>
      </c>
      <c r="Y78" s="6">
        <f>Summary!Y78</f>
        <v/>
      </c>
      <c r="Z78" s="6">
        <f>Summary!Z78</f>
        <v/>
      </c>
      <c r="AA78" s="6">
        <f>Summary!AA78</f>
        <v/>
      </c>
      <c r="AB78" s="6">
        <f>SUM(D78:AA78)</f>
        <v/>
      </c>
      <c r="AC78" s="3" t="inlineStr"/>
      <c r="AD78" s="7">
        <f>AA78*0.000680195+D78*0.000680195</f>
        <v/>
      </c>
      <c r="AE78" s="7">
        <f>D78*0.000680195+E78*0.000680195</f>
        <v/>
      </c>
      <c r="AF78" s="7">
        <f>E78*0.000680195+F78*0.000680195</f>
        <v/>
      </c>
      <c r="AG78" s="7">
        <f>F78*0.000680195+G78*0.000680195</f>
        <v/>
      </c>
      <c r="AH78" s="7">
        <f>G78*0.000680195+H78*0.000680195</f>
        <v/>
      </c>
      <c r="AI78" s="7">
        <f>H78*0.000680195+I78*0.000680195</f>
        <v/>
      </c>
      <c r="AJ78" s="7">
        <f>I78*0.000680195+J78*0.000680195</f>
        <v/>
      </c>
      <c r="AK78" s="7">
        <f>J78*0.000680195+K78*0.000680195</f>
        <v/>
      </c>
      <c r="AL78" s="7">
        <f>K78*0.000680195+L78*0.000680195</f>
        <v/>
      </c>
      <c r="AM78" s="7">
        <f>L78*0.000680195+M78*0.000680195</f>
        <v/>
      </c>
      <c r="AN78" s="7">
        <f>M78*0.000680195+N78*0.000680195</f>
        <v/>
      </c>
      <c r="AO78" s="7">
        <f>N78*0.000680195+O78*0.000680195</f>
        <v/>
      </c>
      <c r="AP78" s="7">
        <f>O78*0.000680195+P78*0.000680195</f>
        <v/>
      </c>
      <c r="AQ78" s="7">
        <f>P78*0.000680195+Q78*0.000680195</f>
        <v/>
      </c>
      <c r="AR78" s="7">
        <f>Q78*0.000680195+R78*0.000680195</f>
        <v/>
      </c>
      <c r="AS78" s="7">
        <f>R78*0.000680195+S78*0.000680195</f>
        <v/>
      </c>
      <c r="AT78" s="7">
        <f>S78*0.000680195+T78*0.000680195</f>
        <v/>
      </c>
      <c r="AU78" s="7">
        <f>T78*0.000680195+U78*0.000680195</f>
        <v/>
      </c>
      <c r="AV78" s="7">
        <f>U78*0.000680195+V78*0.000680195</f>
        <v/>
      </c>
      <c r="AW78" s="7">
        <f>V78*0.000680195+W78*0.000680195</f>
        <v/>
      </c>
      <c r="AX78" s="7">
        <f>W78*0.000680195+X78*0.000680195</f>
        <v/>
      </c>
      <c r="AY78" s="7">
        <f>X78*0.000680195+Y78*0.000680195</f>
        <v/>
      </c>
      <c r="AZ78" s="7">
        <f>Y78*0.000680195+Z78*0.000680195</f>
        <v/>
      </c>
      <c r="BA78" s="7">
        <f>Z78*0.000680195+AA78*0.000680195</f>
        <v/>
      </c>
      <c r="BB78" s="7">
        <f>SUM(AD78:BA78)</f>
        <v/>
      </c>
    </row>
    <row r="79">
      <c r="A79" t="inlineStr">
        <is>
          <t>AMD-M2</t>
        </is>
      </c>
      <c r="B79" t="inlineStr">
        <is>
          <t>Forward Regular OSC</t>
        </is>
      </c>
      <c r="C79" s="5" t="n">
        <v>46092</v>
      </c>
      <c r="D79" s="6">
        <f>Summary!D79</f>
        <v/>
      </c>
      <c r="E79" s="6">
        <f>Summary!E79</f>
        <v/>
      </c>
      <c r="F79" s="6">
        <f>Summary!F79</f>
        <v/>
      </c>
      <c r="G79" s="6">
        <f>Summary!G79</f>
        <v/>
      </c>
      <c r="H79" s="6">
        <f>Summary!H79</f>
        <v/>
      </c>
      <c r="I79" s="6">
        <f>Summary!I79</f>
        <v/>
      </c>
      <c r="J79" s="6">
        <f>Summary!J79</f>
        <v/>
      </c>
      <c r="K79" s="6">
        <f>Summary!K79</f>
        <v/>
      </c>
      <c r="L79" s="6">
        <f>Summary!L79</f>
        <v/>
      </c>
      <c r="M79" s="6">
        <f>Summary!M79</f>
        <v/>
      </c>
      <c r="N79" s="6">
        <f>Summary!N79</f>
        <v/>
      </c>
      <c r="O79" s="6">
        <f>Summary!O79</f>
        <v/>
      </c>
      <c r="P79" s="6">
        <f>Summary!P79</f>
        <v/>
      </c>
      <c r="Q79" s="6">
        <f>Summary!Q79</f>
        <v/>
      </c>
      <c r="R79" s="6">
        <f>Summary!R79</f>
        <v/>
      </c>
      <c r="S79" s="6">
        <f>Summary!S79</f>
        <v/>
      </c>
      <c r="T79" s="6">
        <f>Summary!T79</f>
        <v/>
      </c>
      <c r="U79" s="6">
        <f>Summary!U79</f>
        <v/>
      </c>
      <c r="V79" s="6">
        <f>Summary!V79</f>
        <v/>
      </c>
      <c r="W79" s="6">
        <f>Summary!W79</f>
        <v/>
      </c>
      <c r="X79" s="6">
        <f>Summary!X79</f>
        <v/>
      </c>
      <c r="Y79" s="6">
        <f>Summary!Y79</f>
        <v/>
      </c>
      <c r="Z79" s="6">
        <f>Summary!Z79</f>
        <v/>
      </c>
      <c r="AA79" s="6">
        <f>Summary!AA79</f>
        <v/>
      </c>
      <c r="AB79" s="6">
        <f>SUM(D79:AA79)</f>
        <v/>
      </c>
      <c r="AC79" s="3" t="inlineStr"/>
      <c r="AD79" s="7">
        <f>AA79*0.000680195+D79*0.000680195</f>
        <v/>
      </c>
      <c r="AE79" s="7">
        <f>D79*0.000680195+E79*0.000680195</f>
        <v/>
      </c>
      <c r="AF79" s="7">
        <f>E79*0.000680195+F79*0.000680195</f>
        <v/>
      </c>
      <c r="AG79" s="7">
        <f>F79*0.000680195+G79*0.000680195</f>
        <v/>
      </c>
      <c r="AH79" s="7">
        <f>G79*0.000680195+H79*0.000680195</f>
        <v/>
      </c>
      <c r="AI79" s="7">
        <f>H79*0.000680195+I79*0.000680195</f>
        <v/>
      </c>
      <c r="AJ79" s="7">
        <f>I79*0.000680195+J79*0.000680195</f>
        <v/>
      </c>
      <c r="AK79" s="7">
        <f>J79*0.000680195+K79*0.000680195</f>
        <v/>
      </c>
      <c r="AL79" s="7">
        <f>K79*0.000680195+L79*0.000680195</f>
        <v/>
      </c>
      <c r="AM79" s="7">
        <f>L79*0.000680195+M79*0.000680195</f>
        <v/>
      </c>
      <c r="AN79" s="7">
        <f>M79*0.000680195+N79*0.000680195</f>
        <v/>
      </c>
      <c r="AO79" s="7">
        <f>N79*0.000680195+O79*0.000680195</f>
        <v/>
      </c>
      <c r="AP79" s="7">
        <f>O79*0.000680195+P79*0.000680195</f>
        <v/>
      </c>
      <c r="AQ79" s="7">
        <f>P79*0.000680195+Q79*0.000680195</f>
        <v/>
      </c>
      <c r="AR79" s="7">
        <f>Q79*0.000680195+R79*0.000680195</f>
        <v/>
      </c>
      <c r="AS79" s="7">
        <f>R79*0.000680195+S79*0.000680195</f>
        <v/>
      </c>
      <c r="AT79" s="7">
        <f>S79*0.000680195+T79*0.000680195</f>
        <v/>
      </c>
      <c r="AU79" s="7">
        <f>T79*0.000680195+U79*0.000680195</f>
        <v/>
      </c>
      <c r="AV79" s="7">
        <f>U79*0.000680195+V79*0.000680195</f>
        <v/>
      </c>
      <c r="AW79" s="7">
        <f>V79*0.000680195+W79*0.000680195</f>
        <v/>
      </c>
      <c r="AX79" s="7">
        <f>W79*0.000680195+X79*0.000680195</f>
        <v/>
      </c>
      <c r="AY79" s="7">
        <f>X79*0.000680195+Y79*0.000680195</f>
        <v/>
      </c>
      <c r="AZ79" s="7">
        <f>Y79*0.000680195+Z79*0.000680195</f>
        <v/>
      </c>
      <c r="BA79" s="7">
        <f>Z79*0.000680195+AA79*0.000680195</f>
        <v/>
      </c>
      <c r="BB79" s="7">
        <f>SUM(AD79:BA79)</f>
        <v/>
      </c>
    </row>
    <row r="80">
      <c r="A80" t="inlineStr">
        <is>
          <t>AMD-M2</t>
        </is>
      </c>
      <c r="B80" t="inlineStr">
        <is>
          <t>Forward Regular OSC</t>
        </is>
      </c>
      <c r="C80" s="5" t="n">
        <v>46093</v>
      </c>
      <c r="D80" s="6">
        <f>Summary!D80</f>
        <v/>
      </c>
      <c r="E80" s="6">
        <f>Summary!E80</f>
        <v/>
      </c>
      <c r="F80" s="6">
        <f>Summary!F80</f>
        <v/>
      </c>
      <c r="G80" s="6">
        <f>Summary!G80</f>
        <v/>
      </c>
      <c r="H80" s="6">
        <f>Summary!H80</f>
        <v/>
      </c>
      <c r="I80" s="6">
        <f>Summary!I80</f>
        <v/>
      </c>
      <c r="J80" s="6">
        <f>Summary!J80</f>
        <v/>
      </c>
      <c r="K80" s="6">
        <f>Summary!K80</f>
        <v/>
      </c>
      <c r="L80" s="6">
        <f>Summary!L80</f>
        <v/>
      </c>
      <c r="M80" s="6">
        <f>Summary!M80</f>
        <v/>
      </c>
      <c r="N80" s="6">
        <f>Summary!N80</f>
        <v/>
      </c>
      <c r="O80" s="6">
        <f>Summary!O80</f>
        <v/>
      </c>
      <c r="P80" s="6">
        <f>Summary!P80</f>
        <v/>
      </c>
      <c r="Q80" s="6">
        <f>Summary!Q80</f>
        <v/>
      </c>
      <c r="R80" s="6">
        <f>Summary!R80</f>
        <v/>
      </c>
      <c r="S80" s="6">
        <f>Summary!S80</f>
        <v/>
      </c>
      <c r="T80" s="6">
        <f>Summary!T80</f>
        <v/>
      </c>
      <c r="U80" s="6">
        <f>Summary!U80</f>
        <v/>
      </c>
      <c r="V80" s="6">
        <f>Summary!V80</f>
        <v/>
      </c>
      <c r="W80" s="6">
        <f>Summary!W80</f>
        <v/>
      </c>
      <c r="X80" s="6">
        <f>Summary!X80</f>
        <v/>
      </c>
      <c r="Y80" s="6">
        <f>Summary!Y80</f>
        <v/>
      </c>
      <c r="Z80" s="6">
        <f>Summary!Z80</f>
        <v/>
      </c>
      <c r="AA80" s="6">
        <f>Summary!AA80</f>
        <v/>
      </c>
      <c r="AB80" s="6">
        <f>SUM(D80:AA80)</f>
        <v/>
      </c>
      <c r="AC80" s="3" t="inlineStr"/>
      <c r="AD80" s="7">
        <f>AA80*0.000680195+D80*0.000680195</f>
        <v/>
      </c>
      <c r="AE80" s="7">
        <f>D80*0.000680195+E80*0.000680195</f>
        <v/>
      </c>
      <c r="AF80" s="7">
        <f>E80*0.000680195+F80*0.000680195</f>
        <v/>
      </c>
      <c r="AG80" s="7">
        <f>F80*0.000680195+G80*0.000680195</f>
        <v/>
      </c>
      <c r="AH80" s="7">
        <f>G80*0.000680195+H80*0.000680195</f>
        <v/>
      </c>
      <c r="AI80" s="7">
        <f>H80*0.000680195+I80*0.000680195</f>
        <v/>
      </c>
      <c r="AJ80" s="7">
        <f>I80*0.000680195+J80*0.000680195</f>
        <v/>
      </c>
      <c r="AK80" s="7">
        <f>J80*0.000680195+K80*0.000680195</f>
        <v/>
      </c>
      <c r="AL80" s="7">
        <f>K80*0.000680195+L80*0.000680195</f>
        <v/>
      </c>
      <c r="AM80" s="7">
        <f>L80*0.000680195+M80*0.000680195</f>
        <v/>
      </c>
      <c r="AN80" s="7">
        <f>M80*0.000680195+N80*0.000680195</f>
        <v/>
      </c>
      <c r="AO80" s="7">
        <f>N80*0.000680195+O80*0.000680195</f>
        <v/>
      </c>
      <c r="AP80" s="7">
        <f>O80*0.000680195+P80*0.000680195</f>
        <v/>
      </c>
      <c r="AQ80" s="7">
        <f>P80*0.000680195+Q80*0.000680195</f>
        <v/>
      </c>
      <c r="AR80" s="7">
        <f>Q80*0.000680195+R80*0.000680195</f>
        <v/>
      </c>
      <c r="AS80" s="7">
        <f>R80*0.000680195+S80*0.000680195</f>
        <v/>
      </c>
      <c r="AT80" s="7">
        <f>S80*0.000680195+T80*0.000680195</f>
        <v/>
      </c>
      <c r="AU80" s="7">
        <f>T80*0.000680195+U80*0.000680195</f>
        <v/>
      </c>
      <c r="AV80" s="7">
        <f>U80*0.000680195+V80*0.000680195</f>
        <v/>
      </c>
      <c r="AW80" s="7">
        <f>V80*0.000680195+W80*0.000680195</f>
        <v/>
      </c>
      <c r="AX80" s="7">
        <f>W80*0.000680195+X80*0.000680195</f>
        <v/>
      </c>
      <c r="AY80" s="7">
        <f>X80*0.000680195+Y80*0.000680195</f>
        <v/>
      </c>
      <c r="AZ80" s="7">
        <f>Y80*0.000680195+Z80*0.000680195</f>
        <v/>
      </c>
      <c r="BA80" s="7">
        <f>Z80*0.000680195+AA80*0.000680195</f>
        <v/>
      </c>
      <c r="BB80" s="7">
        <f>SUM(AD80:BA80)</f>
        <v/>
      </c>
    </row>
    <row r="81">
      <c r="A81" t="inlineStr">
        <is>
          <t>AMD-M2</t>
        </is>
      </c>
      <c r="B81" t="inlineStr">
        <is>
          <t>Forward Regular OSC</t>
        </is>
      </c>
      <c r="C81" s="5" t="n">
        <v>46094</v>
      </c>
      <c r="D81" s="6">
        <f>Summary!D81</f>
        <v/>
      </c>
      <c r="E81" s="6">
        <f>Summary!E81</f>
        <v/>
      </c>
      <c r="F81" s="6">
        <f>Summary!F81</f>
        <v/>
      </c>
      <c r="G81" s="6">
        <f>Summary!G81</f>
        <v/>
      </c>
      <c r="H81" s="6">
        <f>Summary!H81</f>
        <v/>
      </c>
      <c r="I81" s="6">
        <f>Summary!I81</f>
        <v/>
      </c>
      <c r="J81" s="6">
        <f>Summary!J81</f>
        <v/>
      </c>
      <c r="K81" s="6">
        <f>Summary!K81</f>
        <v/>
      </c>
      <c r="L81" s="6">
        <f>Summary!L81</f>
        <v/>
      </c>
      <c r="M81" s="6">
        <f>Summary!M81</f>
        <v/>
      </c>
      <c r="N81" s="6">
        <f>Summary!N81</f>
        <v/>
      </c>
      <c r="O81" s="6">
        <f>Summary!O81</f>
        <v/>
      </c>
      <c r="P81" s="6">
        <f>Summary!P81</f>
        <v/>
      </c>
      <c r="Q81" s="6">
        <f>Summary!Q81</f>
        <v/>
      </c>
      <c r="R81" s="6">
        <f>Summary!R81</f>
        <v/>
      </c>
      <c r="S81" s="6">
        <f>Summary!S81</f>
        <v/>
      </c>
      <c r="T81" s="6">
        <f>Summary!T81</f>
        <v/>
      </c>
      <c r="U81" s="6">
        <f>Summary!U81</f>
        <v/>
      </c>
      <c r="V81" s="6">
        <f>Summary!V81</f>
        <v/>
      </c>
      <c r="W81" s="6">
        <f>Summary!W81</f>
        <v/>
      </c>
      <c r="X81" s="6">
        <f>Summary!X81</f>
        <v/>
      </c>
      <c r="Y81" s="6">
        <f>Summary!Y81</f>
        <v/>
      </c>
      <c r="Z81" s="6">
        <f>Summary!Z81</f>
        <v/>
      </c>
      <c r="AA81" s="6">
        <f>Summary!AA81</f>
        <v/>
      </c>
      <c r="AB81" s="6">
        <f>SUM(D81:AA81)</f>
        <v/>
      </c>
      <c r="AC81" s="3" t="inlineStr"/>
      <c r="AD81" s="7">
        <f>AA81*0.000680195+D81*0.000680195</f>
        <v/>
      </c>
      <c r="AE81" s="7">
        <f>D81*0.000680195+E81*0.000680195</f>
        <v/>
      </c>
      <c r="AF81" s="7">
        <f>E81*0.000680195+F81*0.000680195</f>
        <v/>
      </c>
      <c r="AG81" s="7">
        <f>F81*0.000680195+G81*0.000680195</f>
        <v/>
      </c>
      <c r="AH81" s="7">
        <f>G81*0.000680195+H81*0.000680195</f>
        <v/>
      </c>
      <c r="AI81" s="7">
        <f>H81*0.000680195+I81*0.000680195</f>
        <v/>
      </c>
      <c r="AJ81" s="7">
        <f>I81*0.000680195+J81*0.000680195</f>
        <v/>
      </c>
      <c r="AK81" s="7">
        <f>J81*0.000680195+K81*0.000680195</f>
        <v/>
      </c>
      <c r="AL81" s="7">
        <f>K81*0.000680195+L81*0.000680195</f>
        <v/>
      </c>
      <c r="AM81" s="7">
        <f>L81*0.000680195+M81*0.000680195</f>
        <v/>
      </c>
      <c r="AN81" s="7">
        <f>M81*0.000680195+N81*0.000680195</f>
        <v/>
      </c>
      <c r="AO81" s="7">
        <f>N81*0.000680195+O81*0.000680195</f>
        <v/>
      </c>
      <c r="AP81" s="7">
        <f>O81*0.000680195+P81*0.000680195</f>
        <v/>
      </c>
      <c r="AQ81" s="7">
        <f>P81*0.000680195+Q81*0.000680195</f>
        <v/>
      </c>
      <c r="AR81" s="7">
        <f>Q81*0.000680195+R81*0.000680195</f>
        <v/>
      </c>
      <c r="AS81" s="7">
        <f>R81*0.000680195+S81*0.000680195</f>
        <v/>
      </c>
      <c r="AT81" s="7">
        <f>S81*0.000680195+T81*0.000680195</f>
        <v/>
      </c>
      <c r="AU81" s="7">
        <f>T81*0.000680195+U81*0.000680195</f>
        <v/>
      </c>
      <c r="AV81" s="7">
        <f>U81*0.000680195+V81*0.000680195</f>
        <v/>
      </c>
      <c r="AW81" s="7">
        <f>V81*0.000680195+W81*0.000680195</f>
        <v/>
      </c>
      <c r="AX81" s="7">
        <f>W81*0.000680195+X81*0.000680195</f>
        <v/>
      </c>
      <c r="AY81" s="7">
        <f>X81*0.000680195+Y81*0.000680195</f>
        <v/>
      </c>
      <c r="AZ81" s="7">
        <f>Y81*0.000680195+Z81*0.000680195</f>
        <v/>
      </c>
      <c r="BA81" s="7">
        <f>Z81*0.000680195+AA81*0.000680195</f>
        <v/>
      </c>
      <c r="BB81" s="7">
        <f>SUM(AD81:BA81)</f>
        <v/>
      </c>
    </row>
    <row r="82">
      <c r="A82" t="inlineStr">
        <is>
          <t>AMD-M2</t>
        </is>
      </c>
      <c r="B82" t="inlineStr">
        <is>
          <t>Forward Regular OSC</t>
        </is>
      </c>
      <c r="C82" s="5" t="n">
        <v>46095</v>
      </c>
      <c r="D82" s="6">
        <f>Summary!D82</f>
        <v/>
      </c>
      <c r="E82" s="6">
        <f>Summary!E82</f>
        <v/>
      </c>
      <c r="F82" s="6">
        <f>Summary!F82</f>
        <v/>
      </c>
      <c r="G82" s="6">
        <f>Summary!G82</f>
        <v/>
      </c>
      <c r="H82" s="6">
        <f>Summary!H82</f>
        <v/>
      </c>
      <c r="I82" s="6">
        <f>Summary!I82</f>
        <v/>
      </c>
      <c r="J82" s="6">
        <f>Summary!J82</f>
        <v/>
      </c>
      <c r="K82" s="6">
        <f>Summary!K82</f>
        <v/>
      </c>
      <c r="L82" s="6">
        <f>Summary!L82</f>
        <v/>
      </c>
      <c r="M82" s="6">
        <f>Summary!M82</f>
        <v/>
      </c>
      <c r="N82" s="6">
        <f>Summary!N82</f>
        <v/>
      </c>
      <c r="O82" s="6">
        <f>Summary!O82</f>
        <v/>
      </c>
      <c r="P82" s="6">
        <f>Summary!P82</f>
        <v/>
      </c>
      <c r="Q82" s="6">
        <f>Summary!Q82</f>
        <v/>
      </c>
      <c r="R82" s="6">
        <f>Summary!R82</f>
        <v/>
      </c>
      <c r="S82" s="6">
        <f>Summary!S82</f>
        <v/>
      </c>
      <c r="T82" s="6">
        <f>Summary!T82</f>
        <v/>
      </c>
      <c r="U82" s="6">
        <f>Summary!U82</f>
        <v/>
      </c>
      <c r="V82" s="6">
        <f>Summary!V82</f>
        <v/>
      </c>
      <c r="W82" s="6">
        <f>Summary!W82</f>
        <v/>
      </c>
      <c r="X82" s="6">
        <f>Summary!X82</f>
        <v/>
      </c>
      <c r="Y82" s="6">
        <f>Summary!Y82</f>
        <v/>
      </c>
      <c r="Z82" s="6">
        <f>Summary!Z82</f>
        <v/>
      </c>
      <c r="AA82" s="6">
        <f>Summary!AA82</f>
        <v/>
      </c>
      <c r="AB82" s="6">
        <f>SUM(D82:AA82)</f>
        <v/>
      </c>
      <c r="AC82" s="3" t="inlineStr"/>
      <c r="AD82" s="7">
        <f>AA82*0.000680195+D82*0.000680195</f>
        <v/>
      </c>
      <c r="AE82" s="7">
        <f>D82*0.000680195+E82*0.000680195</f>
        <v/>
      </c>
      <c r="AF82" s="7">
        <f>E82*0.000680195+F82*0.000680195</f>
        <v/>
      </c>
      <c r="AG82" s="7">
        <f>F82*0.000680195+G82*0.000680195</f>
        <v/>
      </c>
      <c r="AH82" s="7">
        <f>G82*0.000680195+H82*0.000680195</f>
        <v/>
      </c>
      <c r="AI82" s="7">
        <f>H82*0.000680195+I82*0.000680195</f>
        <v/>
      </c>
      <c r="AJ82" s="7">
        <f>I82*0.000680195+J82*0.000680195</f>
        <v/>
      </c>
      <c r="AK82" s="7">
        <f>J82*0.000680195+K82*0.000680195</f>
        <v/>
      </c>
      <c r="AL82" s="7">
        <f>K82*0.000680195+L82*0.000680195</f>
        <v/>
      </c>
      <c r="AM82" s="7">
        <f>L82*0.000680195+M82*0.000680195</f>
        <v/>
      </c>
      <c r="AN82" s="7">
        <f>M82*0.000680195+N82*0.000680195</f>
        <v/>
      </c>
      <c r="AO82" s="7">
        <f>N82*0.000680195+O82*0.000680195</f>
        <v/>
      </c>
      <c r="AP82" s="7">
        <f>O82*0.000680195+P82*0.000680195</f>
        <v/>
      </c>
      <c r="AQ82" s="7">
        <f>P82*0.000680195+Q82*0.000680195</f>
        <v/>
      </c>
      <c r="AR82" s="7">
        <f>Q82*0.000680195+R82*0.000680195</f>
        <v/>
      </c>
      <c r="AS82" s="7">
        <f>R82*0.000680195+S82*0.000680195</f>
        <v/>
      </c>
      <c r="AT82" s="7">
        <f>S82*0.000680195+T82*0.000680195</f>
        <v/>
      </c>
      <c r="AU82" s="7">
        <f>T82*0.000680195+U82*0.000680195</f>
        <v/>
      </c>
      <c r="AV82" s="7">
        <f>U82*0.000680195+V82*0.000680195</f>
        <v/>
      </c>
      <c r="AW82" s="7">
        <f>V82*0.000680195+W82*0.000680195</f>
        <v/>
      </c>
      <c r="AX82" s="7">
        <f>W82*0.000680195+X82*0.000680195</f>
        <v/>
      </c>
      <c r="AY82" s="7">
        <f>X82*0.000680195+Y82*0.000680195</f>
        <v/>
      </c>
      <c r="AZ82" s="7">
        <f>Y82*0.000680195+Z82*0.000680195</f>
        <v/>
      </c>
      <c r="BA82" s="7">
        <f>Z82*0.000680195+AA82*0.000680195</f>
        <v/>
      </c>
      <c r="BB82" s="7">
        <f>SUM(AD82:BA82)</f>
        <v/>
      </c>
    </row>
    <row r="83">
      <c r="A83" t="inlineStr">
        <is>
          <t>AMD-M2</t>
        </is>
      </c>
      <c r="B83" t="inlineStr">
        <is>
          <t>Forward Regular OSC</t>
        </is>
      </c>
      <c r="C83" s="5" t="n">
        <v>46096</v>
      </c>
      <c r="D83" s="6">
        <f>Summary!D83</f>
        <v/>
      </c>
      <c r="E83" s="6">
        <f>Summary!E83</f>
        <v/>
      </c>
      <c r="F83" s="6">
        <f>Summary!F83</f>
        <v/>
      </c>
      <c r="G83" s="6">
        <f>Summary!G83</f>
        <v/>
      </c>
      <c r="H83" s="6">
        <f>Summary!H83</f>
        <v/>
      </c>
      <c r="I83" s="6">
        <f>Summary!I83</f>
        <v/>
      </c>
      <c r="J83" s="6">
        <f>Summary!J83</f>
        <v/>
      </c>
      <c r="K83" s="6">
        <f>Summary!K83</f>
        <v/>
      </c>
      <c r="L83" s="6">
        <f>Summary!L83</f>
        <v/>
      </c>
      <c r="M83" s="6">
        <f>Summary!M83</f>
        <v/>
      </c>
      <c r="N83" s="6">
        <f>Summary!N83</f>
        <v/>
      </c>
      <c r="O83" s="6">
        <f>Summary!O83</f>
        <v/>
      </c>
      <c r="P83" s="6">
        <f>Summary!P83</f>
        <v/>
      </c>
      <c r="Q83" s="6">
        <f>Summary!Q83</f>
        <v/>
      </c>
      <c r="R83" s="6">
        <f>Summary!R83</f>
        <v/>
      </c>
      <c r="S83" s="6">
        <f>Summary!S83</f>
        <v/>
      </c>
      <c r="T83" s="6">
        <f>Summary!T83</f>
        <v/>
      </c>
      <c r="U83" s="6">
        <f>Summary!U83</f>
        <v/>
      </c>
      <c r="V83" s="6">
        <f>Summary!V83</f>
        <v/>
      </c>
      <c r="W83" s="6">
        <f>Summary!W83</f>
        <v/>
      </c>
      <c r="X83" s="6">
        <f>Summary!X83</f>
        <v/>
      </c>
      <c r="Y83" s="6">
        <f>Summary!Y83</f>
        <v/>
      </c>
      <c r="Z83" s="6">
        <f>Summary!Z83</f>
        <v/>
      </c>
      <c r="AA83" s="6">
        <f>Summary!AA83</f>
        <v/>
      </c>
      <c r="AB83" s="6">
        <f>SUM(D83:AA83)</f>
        <v/>
      </c>
      <c r="AC83" s="3" t="inlineStr"/>
      <c r="AD83" s="7">
        <f>AA83*0.000680195+D83*0.000680195</f>
        <v/>
      </c>
      <c r="AE83" s="7">
        <f>D83*0.000680195+E83*0.000680195</f>
        <v/>
      </c>
      <c r="AF83" s="7">
        <f>E83*0.000680195+F83*0.000680195</f>
        <v/>
      </c>
      <c r="AG83" s="7">
        <f>F83*0.000680195+G83*0.000680195</f>
        <v/>
      </c>
      <c r="AH83" s="7">
        <f>G83*0.000680195+H83*0.000680195</f>
        <v/>
      </c>
      <c r="AI83" s="7">
        <f>H83*0.000680195+I83*0.000680195</f>
        <v/>
      </c>
      <c r="AJ83" s="7">
        <f>I83*0.000680195+J83*0.000680195</f>
        <v/>
      </c>
      <c r="AK83" s="7">
        <f>J83*0.000680195+K83*0.000680195</f>
        <v/>
      </c>
      <c r="AL83" s="7">
        <f>K83*0.000680195+L83*0.000680195</f>
        <v/>
      </c>
      <c r="AM83" s="7">
        <f>L83*0.000680195+M83*0.000680195</f>
        <v/>
      </c>
      <c r="AN83" s="7">
        <f>M83*0.000680195+N83*0.000680195</f>
        <v/>
      </c>
      <c r="AO83" s="7">
        <f>N83*0.000680195+O83*0.000680195</f>
        <v/>
      </c>
      <c r="AP83" s="7">
        <f>O83*0.000680195+P83*0.000680195</f>
        <v/>
      </c>
      <c r="AQ83" s="7">
        <f>P83*0.000680195+Q83*0.000680195</f>
        <v/>
      </c>
      <c r="AR83" s="7">
        <f>Q83*0.000680195+R83*0.000680195</f>
        <v/>
      </c>
      <c r="AS83" s="7">
        <f>R83*0.000680195+S83*0.000680195</f>
        <v/>
      </c>
      <c r="AT83" s="7">
        <f>S83*0.000680195+T83*0.000680195</f>
        <v/>
      </c>
      <c r="AU83" s="7">
        <f>T83*0.000680195+U83*0.000680195</f>
        <v/>
      </c>
      <c r="AV83" s="7">
        <f>U83*0.000680195+V83*0.000680195</f>
        <v/>
      </c>
      <c r="AW83" s="7">
        <f>V83*0.000680195+W83*0.000680195</f>
        <v/>
      </c>
      <c r="AX83" s="7">
        <f>W83*0.000680195+X83*0.000680195</f>
        <v/>
      </c>
      <c r="AY83" s="7">
        <f>X83*0.000680195+Y83*0.000680195</f>
        <v/>
      </c>
      <c r="AZ83" s="7">
        <f>Y83*0.000680195+Z83*0.000680195</f>
        <v/>
      </c>
      <c r="BA83" s="7">
        <f>Z83*0.000680195+AA83*0.000680195</f>
        <v/>
      </c>
      <c r="BB83" s="7">
        <f>SUM(AD83:BA83)</f>
        <v/>
      </c>
    </row>
    <row r="84">
      <c r="A84" t="inlineStr">
        <is>
          <t>AMD-M2</t>
        </is>
      </c>
      <c r="B84" t="inlineStr">
        <is>
          <t>Forward Regular OSC</t>
        </is>
      </c>
      <c r="C84" s="5" t="n">
        <v>46097</v>
      </c>
      <c r="D84" s="6">
        <f>Summary!D84</f>
        <v/>
      </c>
      <c r="E84" s="6">
        <f>Summary!E84</f>
        <v/>
      </c>
      <c r="F84" s="6">
        <f>Summary!F84</f>
        <v/>
      </c>
      <c r="G84" s="6">
        <f>Summary!G84</f>
        <v/>
      </c>
      <c r="H84" s="6">
        <f>Summary!H84</f>
        <v/>
      </c>
      <c r="I84" s="6">
        <f>Summary!I84</f>
        <v/>
      </c>
      <c r="J84" s="6">
        <f>Summary!J84</f>
        <v/>
      </c>
      <c r="K84" s="6">
        <f>Summary!K84</f>
        <v/>
      </c>
      <c r="L84" s="6">
        <f>Summary!L84</f>
        <v/>
      </c>
      <c r="M84" s="6">
        <f>Summary!M84</f>
        <v/>
      </c>
      <c r="N84" s="6">
        <f>Summary!N84</f>
        <v/>
      </c>
      <c r="O84" s="6">
        <f>Summary!O84</f>
        <v/>
      </c>
      <c r="P84" s="6">
        <f>Summary!P84</f>
        <v/>
      </c>
      <c r="Q84" s="6">
        <f>Summary!Q84</f>
        <v/>
      </c>
      <c r="R84" s="6">
        <f>Summary!R84</f>
        <v/>
      </c>
      <c r="S84" s="6">
        <f>Summary!S84</f>
        <v/>
      </c>
      <c r="T84" s="6">
        <f>Summary!T84</f>
        <v/>
      </c>
      <c r="U84" s="6">
        <f>Summary!U84</f>
        <v/>
      </c>
      <c r="V84" s="6">
        <f>Summary!V84</f>
        <v/>
      </c>
      <c r="W84" s="6">
        <f>Summary!W84</f>
        <v/>
      </c>
      <c r="X84" s="6">
        <f>Summary!X84</f>
        <v/>
      </c>
      <c r="Y84" s="6">
        <f>Summary!Y84</f>
        <v/>
      </c>
      <c r="Z84" s="6">
        <f>Summary!Z84</f>
        <v/>
      </c>
      <c r="AA84" s="6">
        <f>Summary!AA84</f>
        <v/>
      </c>
      <c r="AB84" s="6">
        <f>SUM(D84:AA84)</f>
        <v/>
      </c>
      <c r="AC84" s="3" t="inlineStr"/>
      <c r="AD84" s="7">
        <f>AA84*0.000680195+D84*0.000680195</f>
        <v/>
      </c>
      <c r="AE84" s="7">
        <f>D84*0.000680195+E84*0.000680195</f>
        <v/>
      </c>
      <c r="AF84" s="7">
        <f>E84*0.000680195+F84*0.000680195</f>
        <v/>
      </c>
      <c r="AG84" s="7">
        <f>F84*0.000680195+G84*0.000680195</f>
        <v/>
      </c>
      <c r="AH84" s="7">
        <f>G84*0.000680195+H84*0.000680195</f>
        <v/>
      </c>
      <c r="AI84" s="7">
        <f>H84*0.000680195+I84*0.000680195</f>
        <v/>
      </c>
      <c r="AJ84" s="7">
        <f>I84*0.000680195+J84*0.000680195</f>
        <v/>
      </c>
      <c r="AK84" s="7">
        <f>J84*0.000680195+K84*0.000680195</f>
        <v/>
      </c>
      <c r="AL84" s="7">
        <f>K84*0.000680195+L84*0.000680195</f>
        <v/>
      </c>
      <c r="AM84" s="7">
        <f>L84*0.000680195+M84*0.000680195</f>
        <v/>
      </c>
      <c r="AN84" s="7">
        <f>M84*0.000680195+N84*0.000680195</f>
        <v/>
      </c>
      <c r="AO84" s="7">
        <f>N84*0.000680195+O84*0.000680195</f>
        <v/>
      </c>
      <c r="AP84" s="7">
        <f>O84*0.000680195+P84*0.000680195</f>
        <v/>
      </c>
      <c r="AQ84" s="7">
        <f>P84*0.000680195+Q84*0.000680195</f>
        <v/>
      </c>
      <c r="AR84" s="7">
        <f>Q84*0.000680195+R84*0.000680195</f>
        <v/>
      </c>
      <c r="AS84" s="7">
        <f>R84*0.000680195+S84*0.000680195</f>
        <v/>
      </c>
      <c r="AT84" s="7">
        <f>S84*0.000680195+T84*0.000680195</f>
        <v/>
      </c>
      <c r="AU84" s="7">
        <f>T84*0.000680195+U84*0.000680195</f>
        <v/>
      </c>
      <c r="AV84" s="7">
        <f>U84*0.000680195+V84*0.000680195</f>
        <v/>
      </c>
      <c r="AW84" s="7">
        <f>V84*0.000680195+W84*0.000680195</f>
        <v/>
      </c>
      <c r="AX84" s="7">
        <f>W84*0.000680195+X84*0.000680195</f>
        <v/>
      </c>
      <c r="AY84" s="7">
        <f>X84*0.000680195+Y84*0.000680195</f>
        <v/>
      </c>
      <c r="AZ84" s="7">
        <f>Y84*0.000680195+Z84*0.000680195</f>
        <v/>
      </c>
      <c r="BA84" s="7">
        <f>Z84*0.000680195+AA84*0.000680195</f>
        <v/>
      </c>
      <c r="BB84" s="7">
        <f>SUM(AD84:BA84)</f>
        <v/>
      </c>
    </row>
    <row r="85">
      <c r="A85" t="inlineStr">
        <is>
          <t>AMD-MU-01</t>
        </is>
      </c>
      <c r="B85" t="inlineStr">
        <is>
          <t>Forward Regular OSC</t>
        </is>
      </c>
      <c r="C85" s="5" t="n">
        <v>46091</v>
      </c>
      <c r="D85" s="6">
        <f>Summary!D85</f>
        <v/>
      </c>
      <c r="E85" s="6">
        <f>Summary!E85</f>
        <v/>
      </c>
      <c r="F85" s="6">
        <f>Summary!F85</f>
        <v/>
      </c>
      <c r="G85" s="6">
        <f>Summary!G85</f>
        <v/>
      </c>
      <c r="H85" s="6">
        <f>Summary!H85</f>
        <v/>
      </c>
      <c r="I85" s="6">
        <f>Summary!I85</f>
        <v/>
      </c>
      <c r="J85" s="6">
        <f>Summary!J85</f>
        <v/>
      </c>
      <c r="K85" s="6">
        <f>Summary!K85</f>
        <v/>
      </c>
      <c r="L85" s="6">
        <f>Summary!L85</f>
        <v/>
      </c>
      <c r="M85" s="6">
        <f>Summary!M85</f>
        <v/>
      </c>
      <c r="N85" s="6">
        <f>Summary!N85</f>
        <v/>
      </c>
      <c r="O85" s="6">
        <f>Summary!O85</f>
        <v/>
      </c>
      <c r="P85" s="6">
        <f>Summary!P85</f>
        <v/>
      </c>
      <c r="Q85" s="6">
        <f>Summary!Q85</f>
        <v/>
      </c>
      <c r="R85" s="6">
        <f>Summary!R85</f>
        <v/>
      </c>
      <c r="S85" s="6">
        <f>Summary!S85</f>
        <v/>
      </c>
      <c r="T85" s="6">
        <f>Summary!T85</f>
        <v/>
      </c>
      <c r="U85" s="6">
        <f>Summary!U85</f>
        <v/>
      </c>
      <c r="V85" s="6">
        <f>Summary!V85</f>
        <v/>
      </c>
      <c r="W85" s="6">
        <f>Summary!W85</f>
        <v/>
      </c>
      <c r="X85" s="6">
        <f>Summary!X85</f>
        <v/>
      </c>
      <c r="Y85" s="6">
        <f>Summary!Y85</f>
        <v/>
      </c>
      <c r="Z85" s="6">
        <f>Summary!Z85</f>
        <v/>
      </c>
      <c r="AA85" s="6">
        <f>Summary!AA85</f>
        <v/>
      </c>
      <c r="AB85" s="6">
        <f>SUM(D85:AA85)</f>
        <v/>
      </c>
      <c r="AC85" s="3" t="inlineStr"/>
      <c r="AD85" s="7">
        <f>AA85*0.000680195+D85*0.000680195</f>
        <v/>
      </c>
      <c r="AE85" s="7">
        <f>D85*0.000680195+E85*0.000680195</f>
        <v/>
      </c>
      <c r="AF85" s="7">
        <f>E85*0.000680195+F85*0.000680195</f>
        <v/>
      </c>
      <c r="AG85" s="7">
        <f>F85*0.000680195+G85*0.000680195</f>
        <v/>
      </c>
      <c r="AH85" s="7">
        <f>G85*0.000680195+H85*0.000680195</f>
        <v/>
      </c>
      <c r="AI85" s="7">
        <f>H85*0.000680195+I85*0.000680195</f>
        <v/>
      </c>
      <c r="AJ85" s="7">
        <f>I85*0.000680195+J85*0.000680195</f>
        <v/>
      </c>
      <c r="AK85" s="7">
        <f>J85*0.000680195+K85*0.000680195</f>
        <v/>
      </c>
      <c r="AL85" s="7">
        <f>K85*0.000680195+L85*0.000680195</f>
        <v/>
      </c>
      <c r="AM85" s="7">
        <f>L85*0.000680195+M85*0.000680195</f>
        <v/>
      </c>
      <c r="AN85" s="7">
        <f>M85*0.000680195+N85*0.000680195</f>
        <v/>
      </c>
      <c r="AO85" s="7">
        <f>N85*0.000680195+O85*0.000680195</f>
        <v/>
      </c>
      <c r="AP85" s="7">
        <f>O85*0.000680195+P85*0.000680195</f>
        <v/>
      </c>
      <c r="AQ85" s="7">
        <f>P85*0.000680195+Q85*0.000680195</f>
        <v/>
      </c>
      <c r="AR85" s="7">
        <f>Q85*0.000680195+R85*0.000680195</f>
        <v/>
      </c>
      <c r="AS85" s="7">
        <f>R85*0.000680195+S85*0.000680195</f>
        <v/>
      </c>
      <c r="AT85" s="7">
        <f>S85*0.000680195+T85*0.000680195</f>
        <v/>
      </c>
      <c r="AU85" s="7">
        <f>T85*0.000680195+U85*0.000680195</f>
        <v/>
      </c>
      <c r="AV85" s="7">
        <f>U85*0.000680195+V85*0.000680195</f>
        <v/>
      </c>
      <c r="AW85" s="7">
        <f>V85*0.000680195+W85*0.000680195</f>
        <v/>
      </c>
      <c r="AX85" s="7">
        <f>W85*0.000680195+X85*0.000680195</f>
        <v/>
      </c>
      <c r="AY85" s="7">
        <f>X85*0.000680195+Y85*0.000680195</f>
        <v/>
      </c>
      <c r="AZ85" s="7">
        <f>Y85*0.000680195+Z85*0.000680195</f>
        <v/>
      </c>
      <c r="BA85" s="7">
        <f>Z85*0.000680195+AA85*0.000680195</f>
        <v/>
      </c>
      <c r="BB85" s="7">
        <f>SUM(AD85:BA85)</f>
        <v/>
      </c>
    </row>
    <row r="86">
      <c r="A86" t="inlineStr">
        <is>
          <t>AMD-RTS-RCLS-1302-SSC</t>
        </is>
      </c>
      <c r="B86" t="inlineStr">
        <is>
          <t>Rev OSC</t>
        </is>
      </c>
      <c r="C86" s="5" t="n">
        <v>46089</v>
      </c>
      <c r="D86" s="6">
        <f>Summary!D86</f>
        <v/>
      </c>
      <c r="E86" s="6">
        <f>Summary!E86</f>
        <v/>
      </c>
      <c r="F86" s="6">
        <f>Summary!F86</f>
        <v/>
      </c>
      <c r="G86" s="6">
        <f>Summary!G86</f>
        <v/>
      </c>
      <c r="H86" s="6">
        <f>Summary!H86</f>
        <v/>
      </c>
      <c r="I86" s="6">
        <f>Summary!I86</f>
        <v/>
      </c>
      <c r="J86" s="6">
        <f>Summary!J86</f>
        <v/>
      </c>
      <c r="K86" s="6">
        <f>Summary!K86</f>
        <v/>
      </c>
      <c r="L86" s="6">
        <f>Summary!L86</f>
        <v/>
      </c>
      <c r="M86" s="6">
        <f>Summary!M86</f>
        <v/>
      </c>
      <c r="N86" s="6">
        <f>Summary!N86</f>
        <v/>
      </c>
      <c r="O86" s="6">
        <f>Summary!O86</f>
        <v/>
      </c>
      <c r="P86" s="6">
        <f>Summary!P86</f>
        <v/>
      </c>
      <c r="Q86" s="6">
        <f>Summary!Q86</f>
        <v/>
      </c>
      <c r="R86" s="6">
        <f>Summary!R86</f>
        <v/>
      </c>
      <c r="S86" s="6">
        <f>Summary!S86</f>
        <v/>
      </c>
      <c r="T86" s="6">
        <f>Summary!T86</f>
        <v/>
      </c>
      <c r="U86" s="6">
        <f>Summary!U86</f>
        <v/>
      </c>
      <c r="V86" s="6">
        <f>Summary!V86</f>
        <v/>
      </c>
      <c r="W86" s="6">
        <f>Summary!W86</f>
        <v/>
      </c>
      <c r="X86" s="6">
        <f>Summary!X86</f>
        <v/>
      </c>
      <c r="Y86" s="6">
        <f>Summary!Y86</f>
        <v/>
      </c>
      <c r="Z86" s="6">
        <f>Summary!Z86</f>
        <v/>
      </c>
      <c r="AA86" s="6">
        <f>Summary!AA86</f>
        <v/>
      </c>
      <c r="AB86" s="6">
        <f>SUM(D86:AA86)</f>
        <v/>
      </c>
      <c r="AC86" s="3" t="inlineStr"/>
      <c r="AD86" s="7">
        <f>AA86*0.000680195+D86*0.000680195</f>
        <v/>
      </c>
      <c r="AE86" s="7">
        <f>D86*0.000680195+E86*0.000680195</f>
        <v/>
      </c>
      <c r="AF86" s="7">
        <f>E86*0.000680195+F86*0.000680195</f>
        <v/>
      </c>
      <c r="AG86" s="7">
        <f>F86*0.000680195+G86*0.000680195</f>
        <v/>
      </c>
      <c r="AH86" s="7">
        <f>G86*0.000680195+H86*0.000680195</f>
        <v/>
      </c>
      <c r="AI86" s="7">
        <f>H86*0.000680195+I86*0.000680195</f>
        <v/>
      </c>
      <c r="AJ86" s="7">
        <f>I86*0.000680195+J86*0.000680195</f>
        <v/>
      </c>
      <c r="AK86" s="7">
        <f>J86*0.000680195+K86*0.000680195</f>
        <v/>
      </c>
      <c r="AL86" s="7">
        <f>K86*0.000680195+L86*0.000680195</f>
        <v/>
      </c>
      <c r="AM86" s="7">
        <f>L86*0.000680195+M86*0.000680195</f>
        <v/>
      </c>
      <c r="AN86" s="7">
        <f>M86*0.000680195+N86*0.000680195</f>
        <v/>
      </c>
      <c r="AO86" s="7">
        <f>N86*0.000680195+O86*0.000680195</f>
        <v/>
      </c>
      <c r="AP86" s="7">
        <f>O86*0.000680195+P86*0.000680195</f>
        <v/>
      </c>
      <c r="AQ86" s="7">
        <f>P86*0.000680195+Q86*0.000680195</f>
        <v/>
      </c>
      <c r="AR86" s="7">
        <f>Q86*0.000680195+R86*0.000680195</f>
        <v/>
      </c>
      <c r="AS86" s="7">
        <f>R86*0.000680195+S86*0.000680195</f>
        <v/>
      </c>
      <c r="AT86" s="7">
        <f>S86*0.000680195+T86*0.000680195</f>
        <v/>
      </c>
      <c r="AU86" s="7">
        <f>T86*0.000680195+U86*0.000680195</f>
        <v/>
      </c>
      <c r="AV86" s="7">
        <f>U86*0.000680195+V86*0.000680195</f>
        <v/>
      </c>
      <c r="AW86" s="7">
        <f>V86*0.000680195+W86*0.000680195</f>
        <v/>
      </c>
      <c r="AX86" s="7">
        <f>W86*0.000680195+X86*0.000680195</f>
        <v/>
      </c>
      <c r="AY86" s="7">
        <f>X86*0.000680195+Y86*0.000680195</f>
        <v/>
      </c>
      <c r="AZ86" s="7">
        <f>Y86*0.000680195+Z86*0.000680195</f>
        <v/>
      </c>
      <c r="BA86" s="7">
        <f>Z86*0.000680195+AA86*0.000680195</f>
        <v/>
      </c>
      <c r="BB86" s="7">
        <f>SUM(AD86:BA86)</f>
        <v/>
      </c>
    </row>
    <row r="87">
      <c r="A87" t="inlineStr">
        <is>
          <t>AMD-RTS-RCLS-1302-SSC</t>
        </is>
      </c>
      <c r="B87" t="inlineStr">
        <is>
          <t>Rev OSC</t>
        </is>
      </c>
      <c r="C87" s="5" t="n">
        <v>46090</v>
      </c>
      <c r="D87" s="6">
        <f>Summary!D87</f>
        <v/>
      </c>
      <c r="E87" s="6">
        <f>Summary!E87</f>
        <v/>
      </c>
      <c r="F87" s="6">
        <f>Summary!F87</f>
        <v/>
      </c>
      <c r="G87" s="6">
        <f>Summary!G87</f>
        <v/>
      </c>
      <c r="H87" s="6">
        <f>Summary!H87</f>
        <v/>
      </c>
      <c r="I87" s="6">
        <f>Summary!I87</f>
        <v/>
      </c>
      <c r="J87" s="6">
        <f>Summary!J87</f>
        <v/>
      </c>
      <c r="K87" s="6">
        <f>Summary!K87</f>
        <v/>
      </c>
      <c r="L87" s="6">
        <f>Summary!L87</f>
        <v/>
      </c>
      <c r="M87" s="6">
        <f>Summary!M87</f>
        <v/>
      </c>
      <c r="N87" s="6">
        <f>Summary!N87</f>
        <v/>
      </c>
      <c r="O87" s="6">
        <f>Summary!O87</f>
        <v/>
      </c>
      <c r="P87" s="6">
        <f>Summary!P87</f>
        <v/>
      </c>
      <c r="Q87" s="6">
        <f>Summary!Q87</f>
        <v/>
      </c>
      <c r="R87" s="6">
        <f>Summary!R87</f>
        <v/>
      </c>
      <c r="S87" s="6">
        <f>Summary!S87</f>
        <v/>
      </c>
      <c r="T87" s="6">
        <f>Summary!T87</f>
        <v/>
      </c>
      <c r="U87" s="6">
        <f>Summary!U87</f>
        <v/>
      </c>
      <c r="V87" s="6">
        <f>Summary!V87</f>
        <v/>
      </c>
      <c r="W87" s="6">
        <f>Summary!W87</f>
        <v/>
      </c>
      <c r="X87" s="6">
        <f>Summary!X87</f>
        <v/>
      </c>
      <c r="Y87" s="6">
        <f>Summary!Y87</f>
        <v/>
      </c>
      <c r="Z87" s="6">
        <f>Summary!Z87</f>
        <v/>
      </c>
      <c r="AA87" s="6">
        <f>Summary!AA87</f>
        <v/>
      </c>
      <c r="AB87" s="6">
        <f>SUM(D87:AA87)</f>
        <v/>
      </c>
      <c r="AC87" s="3" t="inlineStr"/>
      <c r="AD87" s="7">
        <f>AA87*0.000680195+D87*0.000680195</f>
        <v/>
      </c>
      <c r="AE87" s="7">
        <f>D87*0.000680195+E87*0.000680195</f>
        <v/>
      </c>
      <c r="AF87" s="7">
        <f>E87*0.000680195+F87*0.000680195</f>
        <v/>
      </c>
      <c r="AG87" s="7">
        <f>F87*0.000680195+G87*0.000680195</f>
        <v/>
      </c>
      <c r="AH87" s="7">
        <f>G87*0.000680195+H87*0.000680195</f>
        <v/>
      </c>
      <c r="AI87" s="7">
        <f>H87*0.000680195+I87*0.000680195</f>
        <v/>
      </c>
      <c r="AJ87" s="7">
        <f>I87*0.000680195+J87*0.000680195</f>
        <v/>
      </c>
      <c r="AK87" s="7">
        <f>J87*0.000680195+K87*0.000680195</f>
        <v/>
      </c>
      <c r="AL87" s="7">
        <f>K87*0.000680195+L87*0.000680195</f>
        <v/>
      </c>
      <c r="AM87" s="7">
        <f>L87*0.000680195+M87*0.000680195</f>
        <v/>
      </c>
      <c r="AN87" s="7">
        <f>M87*0.000680195+N87*0.000680195</f>
        <v/>
      </c>
      <c r="AO87" s="7">
        <f>N87*0.000680195+O87*0.000680195</f>
        <v/>
      </c>
      <c r="AP87" s="7">
        <f>O87*0.000680195+P87*0.000680195</f>
        <v/>
      </c>
      <c r="AQ87" s="7">
        <f>P87*0.000680195+Q87*0.000680195</f>
        <v/>
      </c>
      <c r="AR87" s="7">
        <f>Q87*0.000680195+R87*0.000680195</f>
        <v/>
      </c>
      <c r="AS87" s="7">
        <f>R87*0.000680195+S87*0.000680195</f>
        <v/>
      </c>
      <c r="AT87" s="7">
        <f>S87*0.000680195+T87*0.000680195</f>
        <v/>
      </c>
      <c r="AU87" s="7">
        <f>T87*0.000680195+U87*0.000680195</f>
        <v/>
      </c>
      <c r="AV87" s="7">
        <f>U87*0.000680195+V87*0.000680195</f>
        <v/>
      </c>
      <c r="AW87" s="7">
        <f>V87*0.000680195+W87*0.000680195</f>
        <v/>
      </c>
      <c r="AX87" s="7">
        <f>W87*0.000680195+X87*0.000680195</f>
        <v/>
      </c>
      <c r="AY87" s="7">
        <f>X87*0.000680195+Y87*0.000680195</f>
        <v/>
      </c>
      <c r="AZ87" s="7">
        <f>Y87*0.000680195+Z87*0.000680195</f>
        <v/>
      </c>
      <c r="BA87" s="7">
        <f>Z87*0.000680195+AA87*0.000680195</f>
        <v/>
      </c>
      <c r="BB87" s="7">
        <f>SUM(AD87:BA87)</f>
        <v/>
      </c>
    </row>
    <row r="88">
      <c r="A88" t="inlineStr">
        <is>
          <t>AMD-RTS-RCLS-1302-SSC</t>
        </is>
      </c>
      <c r="B88" t="inlineStr">
        <is>
          <t>Rev OSC</t>
        </is>
      </c>
      <c r="C88" s="5" t="n">
        <v>46092</v>
      </c>
      <c r="D88" s="6">
        <f>Summary!D88</f>
        <v/>
      </c>
      <c r="E88" s="6">
        <f>Summary!E88</f>
        <v/>
      </c>
      <c r="F88" s="6">
        <f>Summary!F88</f>
        <v/>
      </c>
      <c r="G88" s="6">
        <f>Summary!G88</f>
        <v/>
      </c>
      <c r="H88" s="6">
        <f>Summary!H88</f>
        <v/>
      </c>
      <c r="I88" s="6">
        <f>Summary!I88</f>
        <v/>
      </c>
      <c r="J88" s="6">
        <f>Summary!J88</f>
        <v/>
      </c>
      <c r="K88" s="6">
        <f>Summary!K88</f>
        <v/>
      </c>
      <c r="L88" s="6">
        <f>Summary!L88</f>
        <v/>
      </c>
      <c r="M88" s="6">
        <f>Summary!M88</f>
        <v/>
      </c>
      <c r="N88" s="6">
        <f>Summary!N88</f>
        <v/>
      </c>
      <c r="O88" s="6">
        <f>Summary!O88</f>
        <v/>
      </c>
      <c r="P88" s="6">
        <f>Summary!P88</f>
        <v/>
      </c>
      <c r="Q88" s="6">
        <f>Summary!Q88</f>
        <v/>
      </c>
      <c r="R88" s="6">
        <f>Summary!R88</f>
        <v/>
      </c>
      <c r="S88" s="6">
        <f>Summary!S88</f>
        <v/>
      </c>
      <c r="T88" s="6">
        <f>Summary!T88</f>
        <v/>
      </c>
      <c r="U88" s="6">
        <f>Summary!U88</f>
        <v/>
      </c>
      <c r="V88" s="6">
        <f>Summary!V88</f>
        <v/>
      </c>
      <c r="W88" s="6">
        <f>Summary!W88</f>
        <v/>
      </c>
      <c r="X88" s="6">
        <f>Summary!X88</f>
        <v/>
      </c>
      <c r="Y88" s="6">
        <f>Summary!Y88</f>
        <v/>
      </c>
      <c r="Z88" s="6">
        <f>Summary!Z88</f>
        <v/>
      </c>
      <c r="AA88" s="6">
        <f>Summary!AA88</f>
        <v/>
      </c>
      <c r="AB88" s="6">
        <f>SUM(D88:AA88)</f>
        <v/>
      </c>
      <c r="AC88" s="3" t="inlineStr"/>
      <c r="AD88" s="7">
        <f>AA88*0.000680195+D88*0.000680195</f>
        <v/>
      </c>
      <c r="AE88" s="7">
        <f>D88*0.000680195+E88*0.000680195</f>
        <v/>
      </c>
      <c r="AF88" s="7">
        <f>E88*0.000680195+F88*0.000680195</f>
        <v/>
      </c>
      <c r="AG88" s="7">
        <f>F88*0.000680195+G88*0.000680195</f>
        <v/>
      </c>
      <c r="AH88" s="7">
        <f>G88*0.000680195+H88*0.000680195</f>
        <v/>
      </c>
      <c r="AI88" s="7">
        <f>H88*0.000680195+I88*0.000680195</f>
        <v/>
      </c>
      <c r="AJ88" s="7">
        <f>I88*0.000680195+J88*0.000680195</f>
        <v/>
      </c>
      <c r="AK88" s="7">
        <f>J88*0.000680195+K88*0.000680195</f>
        <v/>
      </c>
      <c r="AL88" s="7">
        <f>K88*0.000680195+L88*0.000680195</f>
        <v/>
      </c>
      <c r="AM88" s="7">
        <f>L88*0.000680195+M88*0.000680195</f>
        <v/>
      </c>
      <c r="AN88" s="7">
        <f>M88*0.000680195+N88*0.000680195</f>
        <v/>
      </c>
      <c r="AO88" s="7">
        <f>N88*0.000680195+O88*0.000680195</f>
        <v/>
      </c>
      <c r="AP88" s="7">
        <f>O88*0.000680195+P88*0.000680195</f>
        <v/>
      </c>
      <c r="AQ88" s="7">
        <f>P88*0.000680195+Q88*0.000680195</f>
        <v/>
      </c>
      <c r="AR88" s="7">
        <f>Q88*0.000680195+R88*0.000680195</f>
        <v/>
      </c>
      <c r="AS88" s="7">
        <f>R88*0.000680195+S88*0.000680195</f>
        <v/>
      </c>
      <c r="AT88" s="7">
        <f>S88*0.000680195+T88*0.000680195</f>
        <v/>
      </c>
      <c r="AU88" s="7">
        <f>T88*0.000680195+U88*0.000680195</f>
        <v/>
      </c>
      <c r="AV88" s="7">
        <f>U88*0.000680195+V88*0.000680195</f>
        <v/>
      </c>
      <c r="AW88" s="7">
        <f>V88*0.000680195+W88*0.000680195</f>
        <v/>
      </c>
      <c r="AX88" s="7">
        <f>W88*0.000680195+X88*0.000680195</f>
        <v/>
      </c>
      <c r="AY88" s="7">
        <f>X88*0.000680195+Y88*0.000680195</f>
        <v/>
      </c>
      <c r="AZ88" s="7">
        <f>Y88*0.000680195+Z88*0.000680195</f>
        <v/>
      </c>
      <c r="BA88" s="7">
        <f>Z88*0.000680195+AA88*0.000680195</f>
        <v/>
      </c>
      <c r="BB88" s="7">
        <f>SUM(AD88:BA88)</f>
        <v/>
      </c>
    </row>
    <row r="89">
      <c r="A89" t="inlineStr">
        <is>
          <t>AMD-RTS-RCLS-1302-SSC</t>
        </is>
      </c>
      <c r="B89" t="inlineStr">
        <is>
          <t>Rev OSC</t>
        </is>
      </c>
      <c r="C89" s="5" t="n">
        <v>46093</v>
      </c>
      <c r="D89" s="6">
        <f>Summary!D89</f>
        <v/>
      </c>
      <c r="E89" s="6">
        <f>Summary!E89</f>
        <v/>
      </c>
      <c r="F89" s="6">
        <f>Summary!F89</f>
        <v/>
      </c>
      <c r="G89" s="6">
        <f>Summary!G89</f>
        <v/>
      </c>
      <c r="H89" s="6">
        <f>Summary!H89</f>
        <v/>
      </c>
      <c r="I89" s="6">
        <f>Summary!I89</f>
        <v/>
      </c>
      <c r="J89" s="6">
        <f>Summary!J89</f>
        <v/>
      </c>
      <c r="K89" s="6">
        <f>Summary!K89</f>
        <v/>
      </c>
      <c r="L89" s="6">
        <f>Summary!L89</f>
        <v/>
      </c>
      <c r="M89" s="6">
        <f>Summary!M89</f>
        <v/>
      </c>
      <c r="N89" s="6">
        <f>Summary!N89</f>
        <v/>
      </c>
      <c r="O89" s="6">
        <f>Summary!O89</f>
        <v/>
      </c>
      <c r="P89" s="6">
        <f>Summary!P89</f>
        <v/>
      </c>
      <c r="Q89" s="6">
        <f>Summary!Q89</f>
        <v/>
      </c>
      <c r="R89" s="6">
        <f>Summary!R89</f>
        <v/>
      </c>
      <c r="S89" s="6">
        <f>Summary!S89</f>
        <v/>
      </c>
      <c r="T89" s="6">
        <f>Summary!T89</f>
        <v/>
      </c>
      <c r="U89" s="6">
        <f>Summary!U89</f>
        <v/>
      </c>
      <c r="V89" s="6">
        <f>Summary!V89</f>
        <v/>
      </c>
      <c r="W89" s="6">
        <f>Summary!W89</f>
        <v/>
      </c>
      <c r="X89" s="6">
        <f>Summary!X89</f>
        <v/>
      </c>
      <c r="Y89" s="6">
        <f>Summary!Y89</f>
        <v/>
      </c>
      <c r="Z89" s="6">
        <f>Summary!Z89</f>
        <v/>
      </c>
      <c r="AA89" s="6">
        <f>Summary!AA89</f>
        <v/>
      </c>
      <c r="AB89" s="6">
        <f>SUM(D89:AA89)</f>
        <v/>
      </c>
      <c r="AC89" s="3" t="inlineStr"/>
      <c r="AD89" s="7">
        <f>AA89*0.000680195+D89*0.000680195</f>
        <v/>
      </c>
      <c r="AE89" s="7">
        <f>D89*0.000680195+E89*0.000680195</f>
        <v/>
      </c>
      <c r="AF89" s="7">
        <f>E89*0.000680195+F89*0.000680195</f>
        <v/>
      </c>
      <c r="AG89" s="7">
        <f>F89*0.000680195+G89*0.000680195</f>
        <v/>
      </c>
      <c r="AH89" s="7">
        <f>G89*0.000680195+H89*0.000680195</f>
        <v/>
      </c>
      <c r="AI89" s="7">
        <f>H89*0.000680195+I89*0.000680195</f>
        <v/>
      </c>
      <c r="AJ89" s="7">
        <f>I89*0.000680195+J89*0.000680195</f>
        <v/>
      </c>
      <c r="AK89" s="7">
        <f>J89*0.000680195+K89*0.000680195</f>
        <v/>
      </c>
      <c r="AL89" s="7">
        <f>K89*0.000680195+L89*0.000680195</f>
        <v/>
      </c>
      <c r="AM89" s="7">
        <f>L89*0.000680195+M89*0.000680195</f>
        <v/>
      </c>
      <c r="AN89" s="7">
        <f>M89*0.000680195+N89*0.000680195</f>
        <v/>
      </c>
      <c r="AO89" s="7">
        <f>N89*0.000680195+O89*0.000680195</f>
        <v/>
      </c>
      <c r="AP89" s="7">
        <f>O89*0.000680195+P89*0.000680195</f>
        <v/>
      </c>
      <c r="AQ89" s="7">
        <f>P89*0.000680195+Q89*0.000680195</f>
        <v/>
      </c>
      <c r="AR89" s="7">
        <f>Q89*0.000680195+R89*0.000680195</f>
        <v/>
      </c>
      <c r="AS89" s="7">
        <f>R89*0.000680195+S89*0.000680195</f>
        <v/>
      </c>
      <c r="AT89" s="7">
        <f>S89*0.000680195+T89*0.000680195</f>
        <v/>
      </c>
      <c r="AU89" s="7">
        <f>T89*0.000680195+U89*0.000680195</f>
        <v/>
      </c>
      <c r="AV89" s="7">
        <f>U89*0.000680195+V89*0.000680195</f>
        <v/>
      </c>
      <c r="AW89" s="7">
        <f>V89*0.000680195+W89*0.000680195</f>
        <v/>
      </c>
      <c r="AX89" s="7">
        <f>W89*0.000680195+X89*0.000680195</f>
        <v/>
      </c>
      <c r="AY89" s="7">
        <f>X89*0.000680195+Y89*0.000680195</f>
        <v/>
      </c>
      <c r="AZ89" s="7">
        <f>Y89*0.000680195+Z89*0.000680195</f>
        <v/>
      </c>
      <c r="BA89" s="7">
        <f>Z89*0.000680195+AA89*0.000680195</f>
        <v/>
      </c>
      <c r="BB89" s="7">
        <f>SUM(AD89:BA89)</f>
        <v/>
      </c>
    </row>
    <row r="90">
      <c r="A90" t="inlineStr">
        <is>
          <t>AMD-RTS-RCLS-1302-SSC</t>
        </is>
      </c>
      <c r="B90" t="inlineStr">
        <is>
          <t>Rev OSC</t>
        </is>
      </c>
      <c r="C90" s="5" t="n">
        <v>46094</v>
      </c>
      <c r="D90" s="6">
        <f>Summary!D90</f>
        <v/>
      </c>
      <c r="E90" s="6">
        <f>Summary!E90</f>
        <v/>
      </c>
      <c r="F90" s="6">
        <f>Summary!F90</f>
        <v/>
      </c>
      <c r="G90" s="6">
        <f>Summary!G90</f>
        <v/>
      </c>
      <c r="H90" s="6">
        <f>Summary!H90</f>
        <v/>
      </c>
      <c r="I90" s="6">
        <f>Summary!I90</f>
        <v/>
      </c>
      <c r="J90" s="6">
        <f>Summary!J90</f>
        <v/>
      </c>
      <c r="K90" s="6">
        <f>Summary!K90</f>
        <v/>
      </c>
      <c r="L90" s="6">
        <f>Summary!L90</f>
        <v/>
      </c>
      <c r="M90" s="6">
        <f>Summary!M90</f>
        <v/>
      </c>
      <c r="N90" s="6">
        <f>Summary!N90</f>
        <v/>
      </c>
      <c r="O90" s="6">
        <f>Summary!O90</f>
        <v/>
      </c>
      <c r="P90" s="6">
        <f>Summary!P90</f>
        <v/>
      </c>
      <c r="Q90" s="6">
        <f>Summary!Q90</f>
        <v/>
      </c>
      <c r="R90" s="6">
        <f>Summary!R90</f>
        <v/>
      </c>
      <c r="S90" s="6">
        <f>Summary!S90</f>
        <v/>
      </c>
      <c r="T90" s="6">
        <f>Summary!T90</f>
        <v/>
      </c>
      <c r="U90" s="6">
        <f>Summary!U90</f>
        <v/>
      </c>
      <c r="V90" s="6">
        <f>Summary!V90</f>
        <v/>
      </c>
      <c r="W90" s="6">
        <f>Summary!W90</f>
        <v/>
      </c>
      <c r="X90" s="6">
        <f>Summary!X90</f>
        <v/>
      </c>
      <c r="Y90" s="6">
        <f>Summary!Y90</f>
        <v/>
      </c>
      <c r="Z90" s="6">
        <f>Summary!Z90</f>
        <v/>
      </c>
      <c r="AA90" s="6">
        <f>Summary!AA90</f>
        <v/>
      </c>
      <c r="AB90" s="6">
        <f>SUM(D90:AA90)</f>
        <v/>
      </c>
      <c r="AC90" s="3" t="inlineStr"/>
      <c r="AD90" s="7">
        <f>AA90*0.000680195+D90*0.000680195</f>
        <v/>
      </c>
      <c r="AE90" s="7">
        <f>D90*0.000680195+E90*0.000680195</f>
        <v/>
      </c>
      <c r="AF90" s="7">
        <f>E90*0.000680195+F90*0.000680195</f>
        <v/>
      </c>
      <c r="AG90" s="7">
        <f>F90*0.000680195+G90*0.000680195</f>
        <v/>
      </c>
      <c r="AH90" s="7">
        <f>G90*0.000680195+H90*0.000680195</f>
        <v/>
      </c>
      <c r="AI90" s="7">
        <f>H90*0.000680195+I90*0.000680195</f>
        <v/>
      </c>
      <c r="AJ90" s="7">
        <f>I90*0.000680195+J90*0.000680195</f>
        <v/>
      </c>
      <c r="AK90" s="7">
        <f>J90*0.000680195+K90*0.000680195</f>
        <v/>
      </c>
      <c r="AL90" s="7">
        <f>K90*0.000680195+L90*0.000680195</f>
        <v/>
      </c>
      <c r="AM90" s="7">
        <f>L90*0.000680195+M90*0.000680195</f>
        <v/>
      </c>
      <c r="AN90" s="7">
        <f>M90*0.000680195+N90*0.000680195</f>
        <v/>
      </c>
      <c r="AO90" s="7">
        <f>N90*0.000680195+O90*0.000680195</f>
        <v/>
      </c>
      <c r="AP90" s="7">
        <f>O90*0.000680195+P90*0.000680195</f>
        <v/>
      </c>
      <c r="AQ90" s="7">
        <f>P90*0.000680195+Q90*0.000680195</f>
        <v/>
      </c>
      <c r="AR90" s="7">
        <f>Q90*0.000680195+R90*0.000680195</f>
        <v/>
      </c>
      <c r="AS90" s="7">
        <f>R90*0.000680195+S90*0.000680195</f>
        <v/>
      </c>
      <c r="AT90" s="7">
        <f>S90*0.000680195+T90*0.000680195</f>
        <v/>
      </c>
      <c r="AU90" s="7">
        <f>T90*0.000680195+U90*0.000680195</f>
        <v/>
      </c>
      <c r="AV90" s="7">
        <f>U90*0.000680195+V90*0.000680195</f>
        <v/>
      </c>
      <c r="AW90" s="7">
        <f>V90*0.000680195+W90*0.000680195</f>
        <v/>
      </c>
      <c r="AX90" s="7">
        <f>W90*0.000680195+X90*0.000680195</f>
        <v/>
      </c>
      <c r="AY90" s="7">
        <f>X90*0.000680195+Y90*0.000680195</f>
        <v/>
      </c>
      <c r="AZ90" s="7">
        <f>Y90*0.000680195+Z90*0.000680195</f>
        <v/>
      </c>
      <c r="BA90" s="7">
        <f>Z90*0.000680195+AA90*0.000680195</f>
        <v/>
      </c>
      <c r="BB90" s="7">
        <f>SUM(AD90:BA90)</f>
        <v/>
      </c>
    </row>
    <row r="91">
      <c r="A91" t="inlineStr">
        <is>
          <t>AMD-RTS-RCLS-1302-SSC</t>
        </is>
      </c>
      <c r="B91" t="inlineStr">
        <is>
          <t>Rev OSC</t>
        </is>
      </c>
      <c r="C91" s="5" t="n">
        <v>46095</v>
      </c>
      <c r="D91" s="6">
        <f>Summary!D91</f>
        <v/>
      </c>
      <c r="E91" s="6">
        <f>Summary!E91</f>
        <v/>
      </c>
      <c r="F91" s="6">
        <f>Summary!F91</f>
        <v/>
      </c>
      <c r="G91" s="6">
        <f>Summary!G91</f>
        <v/>
      </c>
      <c r="H91" s="6">
        <f>Summary!H91</f>
        <v/>
      </c>
      <c r="I91" s="6">
        <f>Summary!I91</f>
        <v/>
      </c>
      <c r="J91" s="6">
        <f>Summary!J91</f>
        <v/>
      </c>
      <c r="K91" s="6">
        <f>Summary!K91</f>
        <v/>
      </c>
      <c r="L91" s="6">
        <f>Summary!L91</f>
        <v/>
      </c>
      <c r="M91" s="6">
        <f>Summary!M91</f>
        <v/>
      </c>
      <c r="N91" s="6">
        <f>Summary!N91</f>
        <v/>
      </c>
      <c r="O91" s="6">
        <f>Summary!O91</f>
        <v/>
      </c>
      <c r="P91" s="6">
        <f>Summary!P91</f>
        <v/>
      </c>
      <c r="Q91" s="6">
        <f>Summary!Q91</f>
        <v/>
      </c>
      <c r="R91" s="6">
        <f>Summary!R91</f>
        <v/>
      </c>
      <c r="S91" s="6">
        <f>Summary!S91</f>
        <v/>
      </c>
      <c r="T91" s="6">
        <f>Summary!T91</f>
        <v/>
      </c>
      <c r="U91" s="6">
        <f>Summary!U91</f>
        <v/>
      </c>
      <c r="V91" s="6">
        <f>Summary!V91</f>
        <v/>
      </c>
      <c r="W91" s="6">
        <f>Summary!W91</f>
        <v/>
      </c>
      <c r="X91" s="6">
        <f>Summary!X91</f>
        <v/>
      </c>
      <c r="Y91" s="6">
        <f>Summary!Y91</f>
        <v/>
      </c>
      <c r="Z91" s="6">
        <f>Summary!Z91</f>
        <v/>
      </c>
      <c r="AA91" s="6">
        <f>Summary!AA91</f>
        <v/>
      </c>
      <c r="AB91" s="6">
        <f>SUM(D91:AA91)</f>
        <v/>
      </c>
      <c r="AC91" s="3" t="inlineStr"/>
      <c r="AD91" s="7">
        <f>AA91*0.000680195+D91*0.000680195</f>
        <v/>
      </c>
      <c r="AE91" s="7">
        <f>D91*0.000680195+E91*0.000680195</f>
        <v/>
      </c>
      <c r="AF91" s="7">
        <f>E91*0.000680195+F91*0.000680195</f>
        <v/>
      </c>
      <c r="AG91" s="7">
        <f>F91*0.000680195+G91*0.000680195</f>
        <v/>
      </c>
      <c r="AH91" s="7">
        <f>G91*0.000680195+H91*0.000680195</f>
        <v/>
      </c>
      <c r="AI91" s="7">
        <f>H91*0.000680195+I91*0.000680195</f>
        <v/>
      </c>
      <c r="AJ91" s="7">
        <f>I91*0.000680195+J91*0.000680195</f>
        <v/>
      </c>
      <c r="AK91" s="7">
        <f>J91*0.000680195+K91*0.000680195</f>
        <v/>
      </c>
      <c r="AL91" s="7">
        <f>K91*0.000680195+L91*0.000680195</f>
        <v/>
      </c>
      <c r="AM91" s="7">
        <f>L91*0.000680195+M91*0.000680195</f>
        <v/>
      </c>
      <c r="AN91" s="7">
        <f>M91*0.000680195+N91*0.000680195</f>
        <v/>
      </c>
      <c r="AO91" s="7">
        <f>N91*0.000680195+O91*0.000680195</f>
        <v/>
      </c>
      <c r="AP91" s="7">
        <f>O91*0.000680195+P91*0.000680195</f>
        <v/>
      </c>
      <c r="AQ91" s="7">
        <f>P91*0.000680195+Q91*0.000680195</f>
        <v/>
      </c>
      <c r="AR91" s="7">
        <f>Q91*0.000680195+R91*0.000680195</f>
        <v/>
      </c>
      <c r="AS91" s="7">
        <f>R91*0.000680195+S91*0.000680195</f>
        <v/>
      </c>
      <c r="AT91" s="7">
        <f>S91*0.000680195+T91*0.000680195</f>
        <v/>
      </c>
      <c r="AU91" s="7">
        <f>T91*0.000680195+U91*0.000680195</f>
        <v/>
      </c>
      <c r="AV91" s="7">
        <f>U91*0.000680195+V91*0.000680195</f>
        <v/>
      </c>
      <c r="AW91" s="7">
        <f>V91*0.000680195+W91*0.000680195</f>
        <v/>
      </c>
      <c r="AX91" s="7">
        <f>W91*0.000680195+X91*0.000680195</f>
        <v/>
      </c>
      <c r="AY91" s="7">
        <f>X91*0.000680195+Y91*0.000680195</f>
        <v/>
      </c>
      <c r="AZ91" s="7">
        <f>Y91*0.000680195+Z91*0.000680195</f>
        <v/>
      </c>
      <c r="BA91" s="7">
        <f>Z91*0.000680195+AA91*0.000680195</f>
        <v/>
      </c>
      <c r="BB91" s="7">
        <f>SUM(AD91:BA91)</f>
        <v/>
      </c>
    </row>
    <row r="92">
      <c r="A92" t="inlineStr">
        <is>
          <t>AMD-RTS-RCLS-1302-SSC</t>
        </is>
      </c>
      <c r="B92" t="inlineStr">
        <is>
          <t>Rev OSC</t>
        </is>
      </c>
      <c r="C92" s="5" t="n">
        <v>46096</v>
      </c>
      <c r="D92" s="6">
        <f>Summary!D92</f>
        <v/>
      </c>
      <c r="E92" s="6">
        <f>Summary!E92</f>
        <v/>
      </c>
      <c r="F92" s="6">
        <f>Summary!F92</f>
        <v/>
      </c>
      <c r="G92" s="6">
        <f>Summary!G92</f>
        <v/>
      </c>
      <c r="H92" s="6">
        <f>Summary!H92</f>
        <v/>
      </c>
      <c r="I92" s="6">
        <f>Summary!I92</f>
        <v/>
      </c>
      <c r="J92" s="6">
        <f>Summary!J92</f>
        <v/>
      </c>
      <c r="K92" s="6">
        <f>Summary!K92</f>
        <v/>
      </c>
      <c r="L92" s="6">
        <f>Summary!L92</f>
        <v/>
      </c>
      <c r="M92" s="6">
        <f>Summary!M92</f>
        <v/>
      </c>
      <c r="N92" s="6">
        <f>Summary!N92</f>
        <v/>
      </c>
      <c r="O92" s="6">
        <f>Summary!O92</f>
        <v/>
      </c>
      <c r="P92" s="6">
        <f>Summary!P92</f>
        <v/>
      </c>
      <c r="Q92" s="6">
        <f>Summary!Q92</f>
        <v/>
      </c>
      <c r="R92" s="6">
        <f>Summary!R92</f>
        <v/>
      </c>
      <c r="S92" s="6">
        <f>Summary!S92</f>
        <v/>
      </c>
      <c r="T92" s="6">
        <f>Summary!T92</f>
        <v/>
      </c>
      <c r="U92" s="6">
        <f>Summary!U92</f>
        <v/>
      </c>
      <c r="V92" s="6">
        <f>Summary!V92</f>
        <v/>
      </c>
      <c r="W92" s="6">
        <f>Summary!W92</f>
        <v/>
      </c>
      <c r="X92" s="6">
        <f>Summary!X92</f>
        <v/>
      </c>
      <c r="Y92" s="6">
        <f>Summary!Y92</f>
        <v/>
      </c>
      <c r="Z92" s="6">
        <f>Summary!Z92</f>
        <v/>
      </c>
      <c r="AA92" s="6">
        <f>Summary!AA92</f>
        <v/>
      </c>
      <c r="AB92" s="6">
        <f>SUM(D92:AA92)</f>
        <v/>
      </c>
      <c r="AC92" s="3" t="inlineStr"/>
      <c r="AD92" s="7">
        <f>AA92*0.000680195+D92*0.000680195</f>
        <v/>
      </c>
      <c r="AE92" s="7">
        <f>D92*0.000680195+E92*0.000680195</f>
        <v/>
      </c>
      <c r="AF92" s="7">
        <f>E92*0.000680195+F92*0.000680195</f>
        <v/>
      </c>
      <c r="AG92" s="7">
        <f>F92*0.000680195+G92*0.000680195</f>
        <v/>
      </c>
      <c r="AH92" s="7">
        <f>G92*0.000680195+H92*0.000680195</f>
        <v/>
      </c>
      <c r="AI92" s="7">
        <f>H92*0.000680195+I92*0.000680195</f>
        <v/>
      </c>
      <c r="AJ92" s="7">
        <f>I92*0.000680195+J92*0.000680195</f>
        <v/>
      </c>
      <c r="AK92" s="7">
        <f>J92*0.000680195+K92*0.000680195</f>
        <v/>
      </c>
      <c r="AL92" s="7">
        <f>K92*0.000680195+L92*0.000680195</f>
        <v/>
      </c>
      <c r="AM92" s="7">
        <f>L92*0.000680195+M92*0.000680195</f>
        <v/>
      </c>
      <c r="AN92" s="7">
        <f>M92*0.000680195+N92*0.000680195</f>
        <v/>
      </c>
      <c r="AO92" s="7">
        <f>N92*0.000680195+O92*0.000680195</f>
        <v/>
      </c>
      <c r="AP92" s="7">
        <f>O92*0.000680195+P92*0.000680195</f>
        <v/>
      </c>
      <c r="AQ92" s="7">
        <f>P92*0.000680195+Q92*0.000680195</f>
        <v/>
      </c>
      <c r="AR92" s="7">
        <f>Q92*0.000680195+R92*0.000680195</f>
        <v/>
      </c>
      <c r="AS92" s="7">
        <f>R92*0.000680195+S92*0.000680195</f>
        <v/>
      </c>
      <c r="AT92" s="7">
        <f>S92*0.000680195+T92*0.000680195</f>
        <v/>
      </c>
      <c r="AU92" s="7">
        <f>T92*0.000680195+U92*0.000680195</f>
        <v/>
      </c>
      <c r="AV92" s="7">
        <f>U92*0.000680195+V92*0.000680195</f>
        <v/>
      </c>
      <c r="AW92" s="7">
        <f>V92*0.000680195+W92*0.000680195</f>
        <v/>
      </c>
      <c r="AX92" s="7">
        <f>W92*0.000680195+X92*0.000680195</f>
        <v/>
      </c>
      <c r="AY92" s="7">
        <f>X92*0.000680195+Y92*0.000680195</f>
        <v/>
      </c>
      <c r="AZ92" s="7">
        <f>Y92*0.000680195+Z92*0.000680195</f>
        <v/>
      </c>
      <c r="BA92" s="7">
        <f>Z92*0.000680195+AA92*0.000680195</f>
        <v/>
      </c>
      <c r="BB92" s="7">
        <f>SUM(AD92:BA92)</f>
        <v/>
      </c>
    </row>
    <row r="93">
      <c r="A93" t="inlineStr">
        <is>
          <t>AMD-RTS-RCLS-1302-SSC</t>
        </is>
      </c>
      <c r="B93" t="inlineStr">
        <is>
          <t>Rev OSC</t>
        </is>
      </c>
      <c r="C93" s="5" t="n">
        <v>46097</v>
      </c>
      <c r="D93" s="6">
        <f>Summary!D93</f>
        <v/>
      </c>
      <c r="E93" s="6">
        <f>Summary!E93</f>
        <v/>
      </c>
      <c r="F93" s="6">
        <f>Summary!F93</f>
        <v/>
      </c>
      <c r="G93" s="6">
        <f>Summary!G93</f>
        <v/>
      </c>
      <c r="H93" s="6">
        <f>Summary!H93</f>
        <v/>
      </c>
      <c r="I93" s="6">
        <f>Summary!I93</f>
        <v/>
      </c>
      <c r="J93" s="6">
        <f>Summary!J93</f>
        <v/>
      </c>
      <c r="K93" s="6">
        <f>Summary!K93</f>
        <v/>
      </c>
      <c r="L93" s="6">
        <f>Summary!L93</f>
        <v/>
      </c>
      <c r="M93" s="6">
        <f>Summary!M93</f>
        <v/>
      </c>
      <c r="N93" s="6">
        <f>Summary!N93</f>
        <v/>
      </c>
      <c r="O93" s="6">
        <f>Summary!O93</f>
        <v/>
      </c>
      <c r="P93" s="6">
        <f>Summary!P93</f>
        <v/>
      </c>
      <c r="Q93" s="6">
        <f>Summary!Q93</f>
        <v/>
      </c>
      <c r="R93" s="6">
        <f>Summary!R93</f>
        <v/>
      </c>
      <c r="S93" s="6">
        <f>Summary!S93</f>
        <v/>
      </c>
      <c r="T93" s="6">
        <f>Summary!T93</f>
        <v/>
      </c>
      <c r="U93" s="6">
        <f>Summary!U93</f>
        <v/>
      </c>
      <c r="V93" s="6">
        <f>Summary!V93</f>
        <v/>
      </c>
      <c r="W93" s="6">
        <f>Summary!W93</f>
        <v/>
      </c>
      <c r="X93" s="6">
        <f>Summary!X93</f>
        <v/>
      </c>
      <c r="Y93" s="6">
        <f>Summary!Y93</f>
        <v/>
      </c>
      <c r="Z93" s="6">
        <f>Summary!Z93</f>
        <v/>
      </c>
      <c r="AA93" s="6">
        <f>Summary!AA93</f>
        <v/>
      </c>
      <c r="AB93" s="6">
        <f>SUM(D93:AA93)</f>
        <v/>
      </c>
      <c r="AC93" s="3" t="inlineStr"/>
      <c r="AD93" s="7">
        <f>AA93*0.000680195+D93*0.000680195</f>
        <v/>
      </c>
      <c r="AE93" s="7">
        <f>D93*0.000680195+E93*0.000680195</f>
        <v/>
      </c>
      <c r="AF93" s="7">
        <f>E93*0.000680195+F93*0.000680195</f>
        <v/>
      </c>
      <c r="AG93" s="7">
        <f>F93*0.000680195+G93*0.000680195</f>
        <v/>
      </c>
      <c r="AH93" s="7">
        <f>G93*0.000680195+H93*0.000680195</f>
        <v/>
      </c>
      <c r="AI93" s="7">
        <f>H93*0.000680195+I93*0.000680195</f>
        <v/>
      </c>
      <c r="AJ93" s="7">
        <f>I93*0.000680195+J93*0.000680195</f>
        <v/>
      </c>
      <c r="AK93" s="7">
        <f>J93*0.000680195+K93*0.000680195</f>
        <v/>
      </c>
      <c r="AL93" s="7">
        <f>K93*0.000680195+L93*0.000680195</f>
        <v/>
      </c>
      <c r="AM93" s="7">
        <f>L93*0.000680195+M93*0.000680195</f>
        <v/>
      </c>
      <c r="AN93" s="7">
        <f>M93*0.000680195+N93*0.000680195</f>
        <v/>
      </c>
      <c r="AO93" s="7">
        <f>N93*0.000680195+O93*0.000680195</f>
        <v/>
      </c>
      <c r="AP93" s="7">
        <f>O93*0.000680195+P93*0.000680195</f>
        <v/>
      </c>
      <c r="AQ93" s="7">
        <f>P93*0.000680195+Q93*0.000680195</f>
        <v/>
      </c>
      <c r="AR93" s="7">
        <f>Q93*0.000680195+R93*0.000680195</f>
        <v/>
      </c>
      <c r="AS93" s="7">
        <f>R93*0.000680195+S93*0.000680195</f>
        <v/>
      </c>
      <c r="AT93" s="7">
        <f>S93*0.000680195+T93*0.000680195</f>
        <v/>
      </c>
      <c r="AU93" s="7">
        <f>T93*0.000680195+U93*0.000680195</f>
        <v/>
      </c>
      <c r="AV93" s="7">
        <f>U93*0.000680195+V93*0.000680195</f>
        <v/>
      </c>
      <c r="AW93" s="7">
        <f>V93*0.000680195+W93*0.000680195</f>
        <v/>
      </c>
      <c r="AX93" s="7">
        <f>W93*0.000680195+X93*0.000680195</f>
        <v/>
      </c>
      <c r="AY93" s="7">
        <f>X93*0.000680195+Y93*0.000680195</f>
        <v/>
      </c>
      <c r="AZ93" s="7">
        <f>Y93*0.000680195+Z93*0.000680195</f>
        <v/>
      </c>
      <c r="BA93" s="7">
        <f>Z93*0.000680195+AA93*0.000680195</f>
        <v/>
      </c>
      <c r="BB93" s="7">
        <f>SUM(AD93:BA93)</f>
        <v/>
      </c>
    </row>
    <row r="94">
      <c r="A94" t="inlineStr">
        <is>
          <t>AMD-RTS-RCLS-1302-SSC</t>
        </is>
      </c>
      <c r="B94" t="inlineStr">
        <is>
          <t>Rev OSC</t>
        </is>
      </c>
      <c r="C94" s="5" t="n">
        <v>46100</v>
      </c>
      <c r="D94" s="6">
        <f>Summary!D94</f>
        <v/>
      </c>
      <c r="E94" s="6">
        <f>Summary!E94</f>
        <v/>
      </c>
      <c r="F94" s="6">
        <f>Summary!F94</f>
        <v/>
      </c>
      <c r="G94" s="6">
        <f>Summary!G94</f>
        <v/>
      </c>
      <c r="H94" s="6">
        <f>Summary!H94</f>
        <v/>
      </c>
      <c r="I94" s="6">
        <f>Summary!I94</f>
        <v/>
      </c>
      <c r="J94" s="6">
        <f>Summary!J94</f>
        <v/>
      </c>
      <c r="K94" s="6">
        <f>Summary!K94</f>
        <v/>
      </c>
      <c r="L94" s="6">
        <f>Summary!L94</f>
        <v/>
      </c>
      <c r="M94" s="6">
        <f>Summary!M94</f>
        <v/>
      </c>
      <c r="N94" s="6">
        <f>Summary!N94</f>
        <v/>
      </c>
      <c r="O94" s="6">
        <f>Summary!O94</f>
        <v/>
      </c>
      <c r="P94" s="6">
        <f>Summary!P94</f>
        <v/>
      </c>
      <c r="Q94" s="6">
        <f>Summary!Q94</f>
        <v/>
      </c>
      <c r="R94" s="6">
        <f>Summary!R94</f>
        <v/>
      </c>
      <c r="S94" s="6">
        <f>Summary!S94</f>
        <v/>
      </c>
      <c r="T94" s="6">
        <f>Summary!T94</f>
        <v/>
      </c>
      <c r="U94" s="6">
        <f>Summary!U94</f>
        <v/>
      </c>
      <c r="V94" s="6">
        <f>Summary!V94</f>
        <v/>
      </c>
      <c r="W94" s="6">
        <f>Summary!W94</f>
        <v/>
      </c>
      <c r="X94" s="6">
        <f>Summary!X94</f>
        <v/>
      </c>
      <c r="Y94" s="6">
        <f>Summary!Y94</f>
        <v/>
      </c>
      <c r="Z94" s="6">
        <f>Summary!Z94</f>
        <v/>
      </c>
      <c r="AA94" s="6">
        <f>Summary!AA94</f>
        <v/>
      </c>
      <c r="AB94" s="6">
        <f>SUM(D94:AA94)</f>
        <v/>
      </c>
      <c r="AC94" s="3" t="inlineStr"/>
      <c r="AD94" s="7">
        <f>AA94*0.000680195+D94*0.000680195</f>
        <v/>
      </c>
      <c r="AE94" s="7">
        <f>D94*0.000680195+E94*0.000680195</f>
        <v/>
      </c>
      <c r="AF94" s="7">
        <f>E94*0.000680195+F94*0.000680195</f>
        <v/>
      </c>
      <c r="AG94" s="7">
        <f>F94*0.000680195+G94*0.000680195</f>
        <v/>
      </c>
      <c r="AH94" s="7">
        <f>G94*0.000680195+H94*0.000680195</f>
        <v/>
      </c>
      <c r="AI94" s="7">
        <f>H94*0.000680195+I94*0.000680195</f>
        <v/>
      </c>
      <c r="AJ94" s="7">
        <f>I94*0.000680195+J94*0.000680195</f>
        <v/>
      </c>
      <c r="AK94" s="7">
        <f>J94*0.000680195+K94*0.000680195</f>
        <v/>
      </c>
      <c r="AL94" s="7">
        <f>K94*0.000680195+L94*0.000680195</f>
        <v/>
      </c>
      <c r="AM94" s="7">
        <f>L94*0.000680195+M94*0.000680195</f>
        <v/>
      </c>
      <c r="AN94" s="7">
        <f>M94*0.000680195+N94*0.000680195</f>
        <v/>
      </c>
      <c r="AO94" s="7">
        <f>N94*0.000680195+O94*0.000680195</f>
        <v/>
      </c>
      <c r="AP94" s="7">
        <f>O94*0.000680195+P94*0.000680195</f>
        <v/>
      </c>
      <c r="AQ94" s="7">
        <f>P94*0.000680195+Q94*0.000680195</f>
        <v/>
      </c>
      <c r="AR94" s="7">
        <f>Q94*0.000680195+R94*0.000680195</f>
        <v/>
      </c>
      <c r="AS94" s="7">
        <f>R94*0.000680195+S94*0.000680195</f>
        <v/>
      </c>
      <c r="AT94" s="7">
        <f>S94*0.000680195+T94*0.000680195</f>
        <v/>
      </c>
      <c r="AU94" s="7">
        <f>T94*0.000680195+U94*0.000680195</f>
        <v/>
      </c>
      <c r="AV94" s="7">
        <f>U94*0.000680195+V94*0.000680195</f>
        <v/>
      </c>
      <c r="AW94" s="7">
        <f>V94*0.000680195+W94*0.000680195</f>
        <v/>
      </c>
      <c r="AX94" s="7">
        <f>W94*0.000680195+X94*0.000680195</f>
        <v/>
      </c>
      <c r="AY94" s="7">
        <f>X94*0.000680195+Y94*0.000680195</f>
        <v/>
      </c>
      <c r="AZ94" s="7">
        <f>Y94*0.000680195+Z94*0.000680195</f>
        <v/>
      </c>
      <c r="BA94" s="7">
        <f>Z94*0.000680195+AA94*0.000680195</f>
        <v/>
      </c>
      <c r="BB94" s="7">
        <f>SUM(AD94:BA94)</f>
        <v/>
      </c>
    </row>
    <row r="95">
      <c r="A95" t="inlineStr">
        <is>
          <t>AMD-RTS-RCLS-1302-SSC</t>
        </is>
      </c>
      <c r="B95" t="inlineStr">
        <is>
          <t>Rev OSC</t>
        </is>
      </c>
      <c r="C95" s="5" t="n">
        <v>46102</v>
      </c>
      <c r="D95" s="6">
        <f>Summary!D95</f>
        <v/>
      </c>
      <c r="E95" s="6">
        <f>Summary!E95</f>
        <v/>
      </c>
      <c r="F95" s="6">
        <f>Summary!F95</f>
        <v/>
      </c>
      <c r="G95" s="6">
        <f>Summary!G95</f>
        <v/>
      </c>
      <c r="H95" s="6">
        <f>Summary!H95</f>
        <v/>
      </c>
      <c r="I95" s="6">
        <f>Summary!I95</f>
        <v/>
      </c>
      <c r="J95" s="6">
        <f>Summary!J95</f>
        <v/>
      </c>
      <c r="K95" s="6">
        <f>Summary!K95</f>
        <v/>
      </c>
      <c r="L95" s="6">
        <f>Summary!L95</f>
        <v/>
      </c>
      <c r="M95" s="6">
        <f>Summary!M95</f>
        <v/>
      </c>
      <c r="N95" s="6">
        <f>Summary!N95</f>
        <v/>
      </c>
      <c r="O95" s="6">
        <f>Summary!O95</f>
        <v/>
      </c>
      <c r="P95" s="6">
        <f>Summary!P95</f>
        <v/>
      </c>
      <c r="Q95" s="6">
        <f>Summary!Q95</f>
        <v/>
      </c>
      <c r="R95" s="6">
        <f>Summary!R95</f>
        <v/>
      </c>
      <c r="S95" s="6">
        <f>Summary!S95</f>
        <v/>
      </c>
      <c r="T95" s="6">
        <f>Summary!T95</f>
        <v/>
      </c>
      <c r="U95" s="6">
        <f>Summary!U95</f>
        <v/>
      </c>
      <c r="V95" s="6">
        <f>Summary!V95</f>
        <v/>
      </c>
      <c r="W95" s="6">
        <f>Summary!W95</f>
        <v/>
      </c>
      <c r="X95" s="6">
        <f>Summary!X95</f>
        <v/>
      </c>
      <c r="Y95" s="6">
        <f>Summary!Y95</f>
        <v/>
      </c>
      <c r="Z95" s="6">
        <f>Summary!Z95</f>
        <v/>
      </c>
      <c r="AA95" s="6">
        <f>Summary!AA95</f>
        <v/>
      </c>
      <c r="AB95" s="6">
        <f>SUM(D95:AA95)</f>
        <v/>
      </c>
      <c r="AC95" s="3" t="inlineStr"/>
      <c r="AD95" s="7">
        <f>AA95*0.000680195+D95*0.000680195</f>
        <v/>
      </c>
      <c r="AE95" s="7">
        <f>D95*0.000680195+E95*0.000680195</f>
        <v/>
      </c>
      <c r="AF95" s="7">
        <f>E95*0.000680195+F95*0.000680195</f>
        <v/>
      </c>
      <c r="AG95" s="7">
        <f>F95*0.000680195+G95*0.000680195</f>
        <v/>
      </c>
      <c r="AH95" s="7">
        <f>G95*0.000680195+H95*0.000680195</f>
        <v/>
      </c>
      <c r="AI95" s="7">
        <f>H95*0.000680195+I95*0.000680195</f>
        <v/>
      </c>
      <c r="AJ95" s="7">
        <f>I95*0.000680195+J95*0.000680195</f>
        <v/>
      </c>
      <c r="AK95" s="7">
        <f>J95*0.000680195+K95*0.000680195</f>
        <v/>
      </c>
      <c r="AL95" s="7">
        <f>K95*0.000680195+L95*0.000680195</f>
        <v/>
      </c>
      <c r="AM95" s="7">
        <f>L95*0.000680195+M95*0.000680195</f>
        <v/>
      </c>
      <c r="AN95" s="7">
        <f>M95*0.000680195+N95*0.000680195</f>
        <v/>
      </c>
      <c r="AO95" s="7">
        <f>N95*0.000680195+O95*0.000680195</f>
        <v/>
      </c>
      <c r="AP95" s="7">
        <f>O95*0.000680195+P95*0.000680195</f>
        <v/>
      </c>
      <c r="AQ95" s="7">
        <f>P95*0.000680195+Q95*0.000680195</f>
        <v/>
      </c>
      <c r="AR95" s="7">
        <f>Q95*0.000680195+R95*0.000680195</f>
        <v/>
      </c>
      <c r="AS95" s="7">
        <f>R95*0.000680195+S95*0.000680195</f>
        <v/>
      </c>
      <c r="AT95" s="7">
        <f>S95*0.000680195+T95*0.000680195</f>
        <v/>
      </c>
      <c r="AU95" s="7">
        <f>T95*0.000680195+U95*0.000680195</f>
        <v/>
      </c>
      <c r="AV95" s="7">
        <f>U95*0.000680195+V95*0.000680195</f>
        <v/>
      </c>
      <c r="AW95" s="7">
        <f>V95*0.000680195+W95*0.000680195</f>
        <v/>
      </c>
      <c r="AX95" s="7">
        <f>W95*0.000680195+X95*0.000680195</f>
        <v/>
      </c>
      <c r="AY95" s="7">
        <f>X95*0.000680195+Y95*0.000680195</f>
        <v/>
      </c>
      <c r="AZ95" s="7">
        <f>Y95*0.000680195+Z95*0.000680195</f>
        <v/>
      </c>
      <c r="BA95" s="7">
        <f>Z95*0.000680195+AA95*0.000680195</f>
        <v/>
      </c>
      <c r="BB95" s="7">
        <f>SUM(AD95:BA95)</f>
        <v/>
      </c>
    </row>
    <row r="96">
      <c r="A96" t="inlineStr">
        <is>
          <t>AMD-RTS-RCLS-1302-SSC</t>
        </is>
      </c>
      <c r="B96" t="inlineStr">
        <is>
          <t>Rev OSC</t>
        </is>
      </c>
      <c r="C96" s="5" t="n">
        <v>46103</v>
      </c>
      <c r="D96" s="6">
        <f>Summary!D96</f>
        <v/>
      </c>
      <c r="E96" s="6">
        <f>Summary!E96</f>
        <v/>
      </c>
      <c r="F96" s="6">
        <f>Summary!F96</f>
        <v/>
      </c>
      <c r="G96" s="6">
        <f>Summary!G96</f>
        <v/>
      </c>
      <c r="H96" s="6">
        <f>Summary!H96</f>
        <v/>
      </c>
      <c r="I96" s="6">
        <f>Summary!I96</f>
        <v/>
      </c>
      <c r="J96" s="6">
        <f>Summary!J96</f>
        <v/>
      </c>
      <c r="K96" s="6">
        <f>Summary!K96</f>
        <v/>
      </c>
      <c r="L96" s="6">
        <f>Summary!L96</f>
        <v/>
      </c>
      <c r="M96" s="6">
        <f>Summary!M96</f>
        <v/>
      </c>
      <c r="N96" s="6">
        <f>Summary!N96</f>
        <v/>
      </c>
      <c r="O96" s="6">
        <f>Summary!O96</f>
        <v/>
      </c>
      <c r="P96" s="6">
        <f>Summary!P96</f>
        <v/>
      </c>
      <c r="Q96" s="6">
        <f>Summary!Q96</f>
        <v/>
      </c>
      <c r="R96" s="6">
        <f>Summary!R96</f>
        <v/>
      </c>
      <c r="S96" s="6">
        <f>Summary!S96</f>
        <v/>
      </c>
      <c r="T96" s="6">
        <f>Summary!T96</f>
        <v/>
      </c>
      <c r="U96" s="6">
        <f>Summary!U96</f>
        <v/>
      </c>
      <c r="V96" s="6">
        <f>Summary!V96</f>
        <v/>
      </c>
      <c r="W96" s="6">
        <f>Summary!W96</f>
        <v/>
      </c>
      <c r="X96" s="6">
        <f>Summary!X96</f>
        <v/>
      </c>
      <c r="Y96" s="6">
        <f>Summary!Y96</f>
        <v/>
      </c>
      <c r="Z96" s="6">
        <f>Summary!Z96</f>
        <v/>
      </c>
      <c r="AA96" s="6">
        <f>Summary!AA96</f>
        <v/>
      </c>
      <c r="AB96" s="6">
        <f>SUM(D96:AA96)</f>
        <v/>
      </c>
      <c r="AC96" s="3" t="inlineStr"/>
      <c r="AD96" s="7">
        <f>AA96*0.000680195+D96*0.000680195</f>
        <v/>
      </c>
      <c r="AE96" s="7">
        <f>D96*0.000680195+E96*0.000680195</f>
        <v/>
      </c>
      <c r="AF96" s="7">
        <f>E96*0.000680195+F96*0.000680195</f>
        <v/>
      </c>
      <c r="AG96" s="7">
        <f>F96*0.000680195+G96*0.000680195</f>
        <v/>
      </c>
      <c r="AH96" s="7">
        <f>G96*0.000680195+H96*0.000680195</f>
        <v/>
      </c>
      <c r="AI96" s="7">
        <f>H96*0.000680195+I96*0.000680195</f>
        <v/>
      </c>
      <c r="AJ96" s="7">
        <f>I96*0.000680195+J96*0.000680195</f>
        <v/>
      </c>
      <c r="AK96" s="7">
        <f>J96*0.000680195+K96*0.000680195</f>
        <v/>
      </c>
      <c r="AL96" s="7">
        <f>K96*0.000680195+L96*0.000680195</f>
        <v/>
      </c>
      <c r="AM96" s="7">
        <f>L96*0.000680195+M96*0.000680195</f>
        <v/>
      </c>
      <c r="AN96" s="7">
        <f>M96*0.000680195+N96*0.000680195</f>
        <v/>
      </c>
      <c r="AO96" s="7">
        <f>N96*0.000680195+O96*0.000680195</f>
        <v/>
      </c>
      <c r="AP96" s="7">
        <f>O96*0.000680195+P96*0.000680195</f>
        <v/>
      </c>
      <c r="AQ96" s="7">
        <f>P96*0.000680195+Q96*0.000680195</f>
        <v/>
      </c>
      <c r="AR96" s="7">
        <f>Q96*0.000680195+R96*0.000680195</f>
        <v/>
      </c>
      <c r="AS96" s="7">
        <f>R96*0.000680195+S96*0.000680195</f>
        <v/>
      </c>
      <c r="AT96" s="7">
        <f>S96*0.000680195+T96*0.000680195</f>
        <v/>
      </c>
      <c r="AU96" s="7">
        <f>T96*0.000680195+U96*0.000680195</f>
        <v/>
      </c>
      <c r="AV96" s="7">
        <f>U96*0.000680195+V96*0.000680195</f>
        <v/>
      </c>
      <c r="AW96" s="7">
        <f>V96*0.000680195+W96*0.000680195</f>
        <v/>
      </c>
      <c r="AX96" s="7">
        <f>W96*0.000680195+X96*0.000680195</f>
        <v/>
      </c>
      <c r="AY96" s="7">
        <f>X96*0.000680195+Y96*0.000680195</f>
        <v/>
      </c>
      <c r="AZ96" s="7">
        <f>Y96*0.000680195+Z96*0.000680195</f>
        <v/>
      </c>
      <c r="BA96" s="7">
        <f>Z96*0.000680195+AA96*0.000680195</f>
        <v/>
      </c>
      <c r="BB96" s="7">
        <f>SUM(AD96:BA96)</f>
        <v/>
      </c>
    </row>
    <row r="97">
      <c r="A97" t="inlineStr">
        <is>
          <t>AMD-RTS-RCLS-1302-SSC</t>
        </is>
      </c>
      <c r="B97" t="inlineStr">
        <is>
          <t>Rev OSC</t>
        </is>
      </c>
      <c r="C97" s="5" t="n">
        <v>46104</v>
      </c>
      <c r="D97" s="6">
        <f>Summary!D97</f>
        <v/>
      </c>
      <c r="E97" s="6">
        <f>Summary!E97</f>
        <v/>
      </c>
      <c r="F97" s="6">
        <f>Summary!F97</f>
        <v/>
      </c>
      <c r="G97" s="6">
        <f>Summary!G97</f>
        <v/>
      </c>
      <c r="H97" s="6">
        <f>Summary!H97</f>
        <v/>
      </c>
      <c r="I97" s="6">
        <f>Summary!I97</f>
        <v/>
      </c>
      <c r="J97" s="6">
        <f>Summary!J97</f>
        <v/>
      </c>
      <c r="K97" s="6">
        <f>Summary!K97</f>
        <v/>
      </c>
      <c r="L97" s="6">
        <f>Summary!L97</f>
        <v/>
      </c>
      <c r="M97" s="6">
        <f>Summary!M97</f>
        <v/>
      </c>
      <c r="N97" s="6">
        <f>Summary!N97</f>
        <v/>
      </c>
      <c r="O97" s="6">
        <f>Summary!O97</f>
        <v/>
      </c>
      <c r="P97" s="6">
        <f>Summary!P97</f>
        <v/>
      </c>
      <c r="Q97" s="6">
        <f>Summary!Q97</f>
        <v/>
      </c>
      <c r="R97" s="6">
        <f>Summary!R97</f>
        <v/>
      </c>
      <c r="S97" s="6">
        <f>Summary!S97</f>
        <v/>
      </c>
      <c r="T97" s="6">
        <f>Summary!T97</f>
        <v/>
      </c>
      <c r="U97" s="6">
        <f>Summary!U97</f>
        <v/>
      </c>
      <c r="V97" s="6">
        <f>Summary!V97</f>
        <v/>
      </c>
      <c r="W97" s="6">
        <f>Summary!W97</f>
        <v/>
      </c>
      <c r="X97" s="6">
        <f>Summary!X97</f>
        <v/>
      </c>
      <c r="Y97" s="6">
        <f>Summary!Y97</f>
        <v/>
      </c>
      <c r="Z97" s="6">
        <f>Summary!Z97</f>
        <v/>
      </c>
      <c r="AA97" s="6">
        <f>Summary!AA97</f>
        <v/>
      </c>
      <c r="AB97" s="6">
        <f>SUM(D97:AA97)</f>
        <v/>
      </c>
      <c r="AC97" s="3" t="inlineStr"/>
      <c r="AD97" s="7">
        <f>AA97*0.000680195+D97*0.000680195</f>
        <v/>
      </c>
      <c r="AE97" s="7">
        <f>D97*0.000680195+E97*0.000680195</f>
        <v/>
      </c>
      <c r="AF97" s="7">
        <f>E97*0.000680195+F97*0.000680195</f>
        <v/>
      </c>
      <c r="AG97" s="7">
        <f>F97*0.000680195+G97*0.000680195</f>
        <v/>
      </c>
      <c r="AH97" s="7">
        <f>G97*0.000680195+H97*0.000680195</f>
        <v/>
      </c>
      <c r="AI97" s="7">
        <f>H97*0.000680195+I97*0.000680195</f>
        <v/>
      </c>
      <c r="AJ97" s="7">
        <f>I97*0.000680195+J97*0.000680195</f>
        <v/>
      </c>
      <c r="AK97" s="7">
        <f>J97*0.000680195+K97*0.000680195</f>
        <v/>
      </c>
      <c r="AL97" s="7">
        <f>K97*0.000680195+L97*0.000680195</f>
        <v/>
      </c>
      <c r="AM97" s="7">
        <f>L97*0.000680195+M97*0.000680195</f>
        <v/>
      </c>
      <c r="AN97" s="7">
        <f>M97*0.000680195+N97*0.000680195</f>
        <v/>
      </c>
      <c r="AO97" s="7">
        <f>N97*0.000680195+O97*0.000680195</f>
        <v/>
      </c>
      <c r="AP97" s="7">
        <f>O97*0.000680195+P97*0.000680195</f>
        <v/>
      </c>
      <c r="AQ97" s="7">
        <f>P97*0.000680195+Q97*0.000680195</f>
        <v/>
      </c>
      <c r="AR97" s="7">
        <f>Q97*0.000680195+R97*0.000680195</f>
        <v/>
      </c>
      <c r="AS97" s="7">
        <f>R97*0.000680195+S97*0.000680195</f>
        <v/>
      </c>
      <c r="AT97" s="7">
        <f>S97*0.000680195+T97*0.000680195</f>
        <v/>
      </c>
      <c r="AU97" s="7">
        <f>T97*0.000680195+U97*0.000680195</f>
        <v/>
      </c>
      <c r="AV97" s="7">
        <f>U97*0.000680195+V97*0.000680195</f>
        <v/>
      </c>
      <c r="AW97" s="7">
        <f>V97*0.000680195+W97*0.000680195</f>
        <v/>
      </c>
      <c r="AX97" s="7">
        <f>W97*0.000680195+X97*0.000680195</f>
        <v/>
      </c>
      <c r="AY97" s="7">
        <f>X97*0.000680195+Y97*0.000680195</f>
        <v/>
      </c>
      <c r="AZ97" s="7">
        <f>Y97*0.000680195+Z97*0.000680195</f>
        <v/>
      </c>
      <c r="BA97" s="7">
        <f>Z97*0.000680195+AA97*0.000680195</f>
        <v/>
      </c>
      <c r="BB97" s="7">
        <f>SUM(AD97:BA97)</f>
        <v/>
      </c>
    </row>
    <row r="98">
      <c r="A98" t="inlineStr">
        <is>
          <t>AMD-RTS-RCLS-1302-SSC</t>
        </is>
      </c>
      <c r="B98" t="inlineStr">
        <is>
          <t>Rev OSC</t>
        </is>
      </c>
      <c r="C98" s="5" t="n">
        <v>46105</v>
      </c>
      <c r="D98" s="6">
        <f>Summary!D98</f>
        <v/>
      </c>
      <c r="E98" s="6">
        <f>Summary!E98</f>
        <v/>
      </c>
      <c r="F98" s="6">
        <f>Summary!F98</f>
        <v/>
      </c>
      <c r="G98" s="6">
        <f>Summary!G98</f>
        <v/>
      </c>
      <c r="H98" s="6">
        <f>Summary!H98</f>
        <v/>
      </c>
      <c r="I98" s="6">
        <f>Summary!I98</f>
        <v/>
      </c>
      <c r="J98" s="6">
        <f>Summary!J98</f>
        <v/>
      </c>
      <c r="K98" s="6">
        <f>Summary!K98</f>
        <v/>
      </c>
      <c r="L98" s="6">
        <f>Summary!L98</f>
        <v/>
      </c>
      <c r="M98" s="6">
        <f>Summary!M98</f>
        <v/>
      </c>
      <c r="N98" s="6">
        <f>Summary!N98</f>
        <v/>
      </c>
      <c r="O98" s="6">
        <f>Summary!O98</f>
        <v/>
      </c>
      <c r="P98" s="6">
        <f>Summary!P98</f>
        <v/>
      </c>
      <c r="Q98" s="6">
        <f>Summary!Q98</f>
        <v/>
      </c>
      <c r="R98" s="6">
        <f>Summary!R98</f>
        <v/>
      </c>
      <c r="S98" s="6">
        <f>Summary!S98</f>
        <v/>
      </c>
      <c r="T98" s="6">
        <f>Summary!T98</f>
        <v/>
      </c>
      <c r="U98" s="6">
        <f>Summary!U98</f>
        <v/>
      </c>
      <c r="V98" s="6">
        <f>Summary!V98</f>
        <v/>
      </c>
      <c r="W98" s="6">
        <f>Summary!W98</f>
        <v/>
      </c>
      <c r="X98" s="6">
        <f>Summary!X98</f>
        <v/>
      </c>
      <c r="Y98" s="6">
        <f>Summary!Y98</f>
        <v/>
      </c>
      <c r="Z98" s="6">
        <f>Summary!Z98</f>
        <v/>
      </c>
      <c r="AA98" s="6">
        <f>Summary!AA98</f>
        <v/>
      </c>
      <c r="AB98" s="6">
        <f>SUM(D98:AA98)</f>
        <v/>
      </c>
      <c r="AC98" s="3" t="inlineStr"/>
      <c r="AD98" s="7">
        <f>AA98*0.000680195+D98*0.000680195</f>
        <v/>
      </c>
      <c r="AE98" s="7">
        <f>D98*0.000680195+E98*0.000680195</f>
        <v/>
      </c>
      <c r="AF98" s="7">
        <f>E98*0.000680195+F98*0.000680195</f>
        <v/>
      </c>
      <c r="AG98" s="7">
        <f>F98*0.000680195+G98*0.000680195</f>
        <v/>
      </c>
      <c r="AH98" s="7">
        <f>G98*0.000680195+H98*0.000680195</f>
        <v/>
      </c>
      <c r="AI98" s="7">
        <f>H98*0.000680195+I98*0.000680195</f>
        <v/>
      </c>
      <c r="AJ98" s="7">
        <f>I98*0.000680195+J98*0.000680195</f>
        <v/>
      </c>
      <c r="AK98" s="7">
        <f>J98*0.000680195+K98*0.000680195</f>
        <v/>
      </c>
      <c r="AL98" s="7">
        <f>K98*0.000680195+L98*0.000680195</f>
        <v/>
      </c>
      <c r="AM98" s="7">
        <f>L98*0.000680195+M98*0.000680195</f>
        <v/>
      </c>
      <c r="AN98" s="7">
        <f>M98*0.000680195+N98*0.000680195</f>
        <v/>
      </c>
      <c r="AO98" s="7">
        <f>N98*0.000680195+O98*0.000680195</f>
        <v/>
      </c>
      <c r="AP98" s="7">
        <f>O98*0.000680195+P98*0.000680195</f>
        <v/>
      </c>
      <c r="AQ98" s="7">
        <f>P98*0.000680195+Q98*0.000680195</f>
        <v/>
      </c>
      <c r="AR98" s="7">
        <f>Q98*0.000680195+R98*0.000680195</f>
        <v/>
      </c>
      <c r="AS98" s="7">
        <f>R98*0.000680195+S98*0.000680195</f>
        <v/>
      </c>
      <c r="AT98" s="7">
        <f>S98*0.000680195+T98*0.000680195</f>
        <v/>
      </c>
      <c r="AU98" s="7">
        <f>T98*0.000680195+U98*0.000680195</f>
        <v/>
      </c>
      <c r="AV98" s="7">
        <f>U98*0.000680195+V98*0.000680195</f>
        <v/>
      </c>
      <c r="AW98" s="7">
        <f>V98*0.000680195+W98*0.000680195</f>
        <v/>
      </c>
      <c r="AX98" s="7">
        <f>W98*0.000680195+X98*0.000680195</f>
        <v/>
      </c>
      <c r="AY98" s="7">
        <f>X98*0.000680195+Y98*0.000680195</f>
        <v/>
      </c>
      <c r="AZ98" s="7">
        <f>Y98*0.000680195+Z98*0.000680195</f>
        <v/>
      </c>
      <c r="BA98" s="7">
        <f>Z98*0.000680195+AA98*0.000680195</f>
        <v/>
      </c>
      <c r="BB98" s="7">
        <f>SUM(AD98:BA98)</f>
        <v/>
      </c>
    </row>
    <row r="99">
      <c r="A99" t="inlineStr">
        <is>
          <t>AMD-RTS-RCLS-1302-SSC_1</t>
        </is>
      </c>
      <c r="B99" t="inlineStr">
        <is>
          <t>Rev OSC</t>
        </is>
      </c>
      <c r="C99" s="5" t="n">
        <v>46090</v>
      </c>
      <c r="D99" s="6">
        <f>Summary!D99</f>
        <v/>
      </c>
      <c r="E99" s="6">
        <f>Summary!E99</f>
        <v/>
      </c>
      <c r="F99" s="6">
        <f>Summary!F99</f>
        <v/>
      </c>
      <c r="G99" s="6">
        <f>Summary!G99</f>
        <v/>
      </c>
      <c r="H99" s="6">
        <f>Summary!H99</f>
        <v/>
      </c>
      <c r="I99" s="6">
        <f>Summary!I99</f>
        <v/>
      </c>
      <c r="J99" s="6">
        <f>Summary!J99</f>
        <v/>
      </c>
      <c r="K99" s="6">
        <f>Summary!K99</f>
        <v/>
      </c>
      <c r="L99" s="6">
        <f>Summary!L99</f>
        <v/>
      </c>
      <c r="M99" s="6">
        <f>Summary!M99</f>
        <v/>
      </c>
      <c r="N99" s="6">
        <f>Summary!N99</f>
        <v/>
      </c>
      <c r="O99" s="6">
        <f>Summary!O99</f>
        <v/>
      </c>
      <c r="P99" s="6">
        <f>Summary!P99</f>
        <v/>
      </c>
      <c r="Q99" s="6">
        <f>Summary!Q99</f>
        <v/>
      </c>
      <c r="R99" s="6">
        <f>Summary!R99</f>
        <v/>
      </c>
      <c r="S99" s="6">
        <f>Summary!S99</f>
        <v/>
      </c>
      <c r="T99" s="6">
        <f>Summary!T99</f>
        <v/>
      </c>
      <c r="U99" s="6">
        <f>Summary!U99</f>
        <v/>
      </c>
      <c r="V99" s="6">
        <f>Summary!V99</f>
        <v/>
      </c>
      <c r="W99" s="6">
        <f>Summary!W99</f>
        <v/>
      </c>
      <c r="X99" s="6">
        <f>Summary!X99</f>
        <v/>
      </c>
      <c r="Y99" s="6">
        <f>Summary!Y99</f>
        <v/>
      </c>
      <c r="Z99" s="6">
        <f>Summary!Z99</f>
        <v/>
      </c>
      <c r="AA99" s="6">
        <f>Summary!AA99</f>
        <v/>
      </c>
      <c r="AB99" s="6">
        <f>SUM(D99:AA99)</f>
        <v/>
      </c>
      <c r="AC99" s="3" t="inlineStr"/>
      <c r="AD99" s="7">
        <f>AA99*0.000680195+D99*0.000680195</f>
        <v/>
      </c>
      <c r="AE99" s="7">
        <f>D99*0.000680195+E99*0.000680195</f>
        <v/>
      </c>
      <c r="AF99" s="7">
        <f>E99*0.000680195+F99*0.000680195</f>
        <v/>
      </c>
      <c r="AG99" s="7">
        <f>F99*0.000680195+G99*0.000680195</f>
        <v/>
      </c>
      <c r="AH99" s="7">
        <f>G99*0.000680195+H99*0.000680195</f>
        <v/>
      </c>
      <c r="AI99" s="7">
        <f>H99*0.000680195+I99*0.000680195</f>
        <v/>
      </c>
      <c r="AJ99" s="7">
        <f>I99*0.000680195+J99*0.000680195</f>
        <v/>
      </c>
      <c r="AK99" s="7">
        <f>J99*0.000680195+K99*0.000680195</f>
        <v/>
      </c>
      <c r="AL99" s="7">
        <f>K99*0.000680195+L99*0.000680195</f>
        <v/>
      </c>
      <c r="AM99" s="7">
        <f>L99*0.000680195+M99*0.000680195</f>
        <v/>
      </c>
      <c r="AN99" s="7">
        <f>M99*0.000680195+N99*0.000680195</f>
        <v/>
      </c>
      <c r="AO99" s="7">
        <f>N99*0.000680195+O99*0.000680195</f>
        <v/>
      </c>
      <c r="AP99" s="7">
        <f>O99*0.000680195+P99*0.000680195</f>
        <v/>
      </c>
      <c r="AQ99" s="7">
        <f>P99*0.000680195+Q99*0.000680195</f>
        <v/>
      </c>
      <c r="AR99" s="7">
        <f>Q99*0.000680195+R99*0.000680195</f>
        <v/>
      </c>
      <c r="AS99" s="7">
        <f>R99*0.000680195+S99*0.000680195</f>
        <v/>
      </c>
      <c r="AT99" s="7">
        <f>S99*0.000680195+T99*0.000680195</f>
        <v/>
      </c>
      <c r="AU99" s="7">
        <f>T99*0.000680195+U99*0.000680195</f>
        <v/>
      </c>
      <c r="AV99" s="7">
        <f>U99*0.000680195+V99*0.000680195</f>
        <v/>
      </c>
      <c r="AW99" s="7">
        <f>V99*0.000680195+W99*0.000680195</f>
        <v/>
      </c>
      <c r="AX99" s="7">
        <f>W99*0.000680195+X99*0.000680195</f>
        <v/>
      </c>
      <c r="AY99" s="7">
        <f>X99*0.000680195+Y99*0.000680195</f>
        <v/>
      </c>
      <c r="AZ99" s="7">
        <f>Y99*0.000680195+Z99*0.000680195</f>
        <v/>
      </c>
      <c r="BA99" s="7">
        <f>Z99*0.000680195+AA99*0.000680195</f>
        <v/>
      </c>
      <c r="BB99" s="7">
        <f>SUM(AD99:BA99)</f>
        <v/>
      </c>
    </row>
    <row r="100">
      <c r="A100" t="inlineStr">
        <is>
          <t>AMD-RTS-RCLS-1302-SSC_1</t>
        </is>
      </c>
      <c r="B100" t="inlineStr">
        <is>
          <t>Rev OSC</t>
        </is>
      </c>
      <c r="C100" s="5" t="n">
        <v>46093</v>
      </c>
      <c r="D100" s="6">
        <f>Summary!D100</f>
        <v/>
      </c>
      <c r="E100" s="6">
        <f>Summary!E100</f>
        <v/>
      </c>
      <c r="F100" s="6">
        <f>Summary!F100</f>
        <v/>
      </c>
      <c r="G100" s="6">
        <f>Summary!G100</f>
        <v/>
      </c>
      <c r="H100" s="6">
        <f>Summary!H100</f>
        <v/>
      </c>
      <c r="I100" s="6">
        <f>Summary!I100</f>
        <v/>
      </c>
      <c r="J100" s="6">
        <f>Summary!J100</f>
        <v/>
      </c>
      <c r="K100" s="6">
        <f>Summary!K100</f>
        <v/>
      </c>
      <c r="L100" s="6">
        <f>Summary!L100</f>
        <v/>
      </c>
      <c r="M100" s="6">
        <f>Summary!M100</f>
        <v/>
      </c>
      <c r="N100" s="6">
        <f>Summary!N100</f>
        <v/>
      </c>
      <c r="O100" s="6">
        <f>Summary!O100</f>
        <v/>
      </c>
      <c r="P100" s="6">
        <f>Summary!P100</f>
        <v/>
      </c>
      <c r="Q100" s="6">
        <f>Summary!Q100</f>
        <v/>
      </c>
      <c r="R100" s="6">
        <f>Summary!R100</f>
        <v/>
      </c>
      <c r="S100" s="6">
        <f>Summary!S100</f>
        <v/>
      </c>
      <c r="T100" s="6">
        <f>Summary!T100</f>
        <v/>
      </c>
      <c r="U100" s="6">
        <f>Summary!U100</f>
        <v/>
      </c>
      <c r="V100" s="6">
        <f>Summary!V100</f>
        <v/>
      </c>
      <c r="W100" s="6">
        <f>Summary!W100</f>
        <v/>
      </c>
      <c r="X100" s="6">
        <f>Summary!X100</f>
        <v/>
      </c>
      <c r="Y100" s="6">
        <f>Summary!Y100</f>
        <v/>
      </c>
      <c r="Z100" s="6">
        <f>Summary!Z100</f>
        <v/>
      </c>
      <c r="AA100" s="6">
        <f>Summary!AA100</f>
        <v/>
      </c>
      <c r="AB100" s="6">
        <f>SUM(D100:AA100)</f>
        <v/>
      </c>
      <c r="AC100" s="3" t="inlineStr"/>
      <c r="AD100" s="7">
        <f>AA100*0.000680195+D100*0.000680195</f>
        <v/>
      </c>
      <c r="AE100" s="7">
        <f>D100*0.000680195+E100*0.000680195</f>
        <v/>
      </c>
      <c r="AF100" s="7">
        <f>E100*0.000680195+F100*0.000680195</f>
        <v/>
      </c>
      <c r="AG100" s="7">
        <f>F100*0.000680195+G100*0.000680195</f>
        <v/>
      </c>
      <c r="AH100" s="7">
        <f>G100*0.000680195+H100*0.000680195</f>
        <v/>
      </c>
      <c r="AI100" s="7">
        <f>H100*0.000680195+I100*0.000680195</f>
        <v/>
      </c>
      <c r="AJ100" s="7">
        <f>I100*0.000680195+J100*0.000680195</f>
        <v/>
      </c>
      <c r="AK100" s="7">
        <f>J100*0.000680195+K100*0.000680195</f>
        <v/>
      </c>
      <c r="AL100" s="7">
        <f>K100*0.000680195+L100*0.000680195</f>
        <v/>
      </c>
      <c r="AM100" s="7">
        <f>L100*0.000680195+M100*0.000680195</f>
        <v/>
      </c>
      <c r="AN100" s="7">
        <f>M100*0.000680195+N100*0.000680195</f>
        <v/>
      </c>
      <c r="AO100" s="7">
        <f>N100*0.000680195+O100*0.000680195</f>
        <v/>
      </c>
      <c r="AP100" s="7">
        <f>O100*0.000680195+P100*0.000680195</f>
        <v/>
      </c>
      <c r="AQ100" s="7">
        <f>P100*0.000680195+Q100*0.000680195</f>
        <v/>
      </c>
      <c r="AR100" s="7">
        <f>Q100*0.000680195+R100*0.000680195</f>
        <v/>
      </c>
      <c r="AS100" s="7">
        <f>R100*0.000680195+S100*0.000680195</f>
        <v/>
      </c>
      <c r="AT100" s="7">
        <f>S100*0.000680195+T100*0.000680195</f>
        <v/>
      </c>
      <c r="AU100" s="7">
        <f>T100*0.000680195+U100*0.000680195</f>
        <v/>
      </c>
      <c r="AV100" s="7">
        <f>U100*0.000680195+V100*0.000680195</f>
        <v/>
      </c>
      <c r="AW100" s="7">
        <f>V100*0.000680195+W100*0.000680195</f>
        <v/>
      </c>
      <c r="AX100" s="7">
        <f>W100*0.000680195+X100*0.000680195</f>
        <v/>
      </c>
      <c r="AY100" s="7">
        <f>X100*0.000680195+Y100*0.000680195</f>
        <v/>
      </c>
      <c r="AZ100" s="7">
        <f>Y100*0.000680195+Z100*0.000680195</f>
        <v/>
      </c>
      <c r="BA100" s="7">
        <f>Z100*0.000680195+AA100*0.000680195</f>
        <v/>
      </c>
      <c r="BB100" s="7">
        <f>SUM(AD100:BA100)</f>
        <v/>
      </c>
    </row>
    <row r="101">
      <c r="A101" t="inlineStr">
        <is>
          <t>AMD-RTS-RCLS-1302-SSC_1</t>
        </is>
      </c>
      <c r="B101" t="inlineStr">
        <is>
          <t>Rev OSC</t>
        </is>
      </c>
      <c r="C101" s="5" t="n">
        <v>46094</v>
      </c>
      <c r="D101" s="6">
        <f>Summary!D101</f>
        <v/>
      </c>
      <c r="E101" s="6">
        <f>Summary!E101</f>
        <v/>
      </c>
      <c r="F101" s="6">
        <f>Summary!F101</f>
        <v/>
      </c>
      <c r="G101" s="6">
        <f>Summary!G101</f>
        <v/>
      </c>
      <c r="H101" s="6">
        <f>Summary!H101</f>
        <v/>
      </c>
      <c r="I101" s="6">
        <f>Summary!I101</f>
        <v/>
      </c>
      <c r="J101" s="6">
        <f>Summary!J101</f>
        <v/>
      </c>
      <c r="K101" s="6">
        <f>Summary!K101</f>
        <v/>
      </c>
      <c r="L101" s="6">
        <f>Summary!L101</f>
        <v/>
      </c>
      <c r="M101" s="6">
        <f>Summary!M101</f>
        <v/>
      </c>
      <c r="N101" s="6">
        <f>Summary!N101</f>
        <v/>
      </c>
      <c r="O101" s="6">
        <f>Summary!O101</f>
        <v/>
      </c>
      <c r="P101" s="6">
        <f>Summary!P101</f>
        <v/>
      </c>
      <c r="Q101" s="6">
        <f>Summary!Q101</f>
        <v/>
      </c>
      <c r="R101" s="6">
        <f>Summary!R101</f>
        <v/>
      </c>
      <c r="S101" s="6">
        <f>Summary!S101</f>
        <v/>
      </c>
      <c r="T101" s="6">
        <f>Summary!T101</f>
        <v/>
      </c>
      <c r="U101" s="6">
        <f>Summary!U101</f>
        <v/>
      </c>
      <c r="V101" s="6">
        <f>Summary!V101</f>
        <v/>
      </c>
      <c r="W101" s="6">
        <f>Summary!W101</f>
        <v/>
      </c>
      <c r="X101" s="6">
        <f>Summary!X101</f>
        <v/>
      </c>
      <c r="Y101" s="6">
        <f>Summary!Y101</f>
        <v/>
      </c>
      <c r="Z101" s="6">
        <f>Summary!Z101</f>
        <v/>
      </c>
      <c r="AA101" s="6">
        <f>Summary!AA101</f>
        <v/>
      </c>
      <c r="AB101" s="6">
        <f>SUM(D101:AA101)</f>
        <v/>
      </c>
      <c r="AC101" s="3" t="inlineStr"/>
      <c r="AD101" s="7">
        <f>AA101*0.000680195+D101*0.000680195</f>
        <v/>
      </c>
      <c r="AE101" s="7">
        <f>D101*0.000680195+E101*0.000680195</f>
        <v/>
      </c>
      <c r="AF101" s="7">
        <f>E101*0.000680195+F101*0.000680195</f>
        <v/>
      </c>
      <c r="AG101" s="7">
        <f>F101*0.000680195+G101*0.000680195</f>
        <v/>
      </c>
      <c r="AH101" s="7">
        <f>G101*0.000680195+H101*0.000680195</f>
        <v/>
      </c>
      <c r="AI101" s="7">
        <f>H101*0.000680195+I101*0.000680195</f>
        <v/>
      </c>
      <c r="AJ101" s="7">
        <f>I101*0.000680195+J101*0.000680195</f>
        <v/>
      </c>
      <c r="AK101" s="7">
        <f>J101*0.000680195+K101*0.000680195</f>
        <v/>
      </c>
      <c r="AL101" s="7">
        <f>K101*0.000680195+L101*0.000680195</f>
        <v/>
      </c>
      <c r="AM101" s="7">
        <f>L101*0.000680195+M101*0.000680195</f>
        <v/>
      </c>
      <c r="AN101" s="7">
        <f>M101*0.000680195+N101*0.000680195</f>
        <v/>
      </c>
      <c r="AO101" s="7">
        <f>N101*0.000680195+O101*0.000680195</f>
        <v/>
      </c>
      <c r="AP101" s="7">
        <f>O101*0.000680195+P101*0.000680195</f>
        <v/>
      </c>
      <c r="AQ101" s="7">
        <f>P101*0.000680195+Q101*0.000680195</f>
        <v/>
      </c>
      <c r="AR101" s="7">
        <f>Q101*0.000680195+R101*0.000680195</f>
        <v/>
      </c>
      <c r="AS101" s="7">
        <f>R101*0.000680195+S101*0.000680195</f>
        <v/>
      </c>
      <c r="AT101" s="7">
        <f>S101*0.000680195+T101*0.000680195</f>
        <v/>
      </c>
      <c r="AU101" s="7">
        <f>T101*0.000680195+U101*0.000680195</f>
        <v/>
      </c>
      <c r="AV101" s="7">
        <f>U101*0.000680195+V101*0.000680195</f>
        <v/>
      </c>
      <c r="AW101" s="7">
        <f>V101*0.000680195+W101*0.000680195</f>
        <v/>
      </c>
      <c r="AX101" s="7">
        <f>W101*0.000680195+X101*0.000680195</f>
        <v/>
      </c>
      <c r="AY101" s="7">
        <f>X101*0.000680195+Y101*0.000680195</f>
        <v/>
      </c>
      <c r="AZ101" s="7">
        <f>Y101*0.000680195+Z101*0.000680195</f>
        <v/>
      </c>
      <c r="BA101" s="7">
        <f>Z101*0.000680195+AA101*0.000680195</f>
        <v/>
      </c>
      <c r="BB101" s="7">
        <f>SUM(AD101:BA101)</f>
        <v/>
      </c>
    </row>
    <row r="102">
      <c r="A102" t="inlineStr">
        <is>
          <t>AMD-RTS-RCLS-1302-SSC_1</t>
        </is>
      </c>
      <c r="B102" t="inlineStr">
        <is>
          <t>Rev OSC</t>
        </is>
      </c>
      <c r="C102" s="5" t="n">
        <v>46095</v>
      </c>
      <c r="D102" s="6">
        <f>Summary!D102</f>
        <v/>
      </c>
      <c r="E102" s="6">
        <f>Summary!E102</f>
        <v/>
      </c>
      <c r="F102" s="6">
        <f>Summary!F102</f>
        <v/>
      </c>
      <c r="G102" s="6">
        <f>Summary!G102</f>
        <v/>
      </c>
      <c r="H102" s="6">
        <f>Summary!H102</f>
        <v/>
      </c>
      <c r="I102" s="6">
        <f>Summary!I102</f>
        <v/>
      </c>
      <c r="J102" s="6">
        <f>Summary!J102</f>
        <v/>
      </c>
      <c r="K102" s="6">
        <f>Summary!K102</f>
        <v/>
      </c>
      <c r="L102" s="6">
        <f>Summary!L102</f>
        <v/>
      </c>
      <c r="M102" s="6">
        <f>Summary!M102</f>
        <v/>
      </c>
      <c r="N102" s="6">
        <f>Summary!N102</f>
        <v/>
      </c>
      <c r="O102" s="6">
        <f>Summary!O102</f>
        <v/>
      </c>
      <c r="P102" s="6">
        <f>Summary!P102</f>
        <v/>
      </c>
      <c r="Q102" s="6">
        <f>Summary!Q102</f>
        <v/>
      </c>
      <c r="R102" s="6">
        <f>Summary!R102</f>
        <v/>
      </c>
      <c r="S102" s="6">
        <f>Summary!S102</f>
        <v/>
      </c>
      <c r="T102" s="6">
        <f>Summary!T102</f>
        <v/>
      </c>
      <c r="U102" s="6">
        <f>Summary!U102</f>
        <v/>
      </c>
      <c r="V102" s="6">
        <f>Summary!V102</f>
        <v/>
      </c>
      <c r="W102" s="6">
        <f>Summary!W102</f>
        <v/>
      </c>
      <c r="X102" s="6">
        <f>Summary!X102</f>
        <v/>
      </c>
      <c r="Y102" s="6">
        <f>Summary!Y102</f>
        <v/>
      </c>
      <c r="Z102" s="6">
        <f>Summary!Z102</f>
        <v/>
      </c>
      <c r="AA102" s="6">
        <f>Summary!AA102</f>
        <v/>
      </c>
      <c r="AB102" s="6">
        <f>SUM(D102:AA102)</f>
        <v/>
      </c>
      <c r="AC102" s="3" t="inlineStr"/>
      <c r="AD102" s="7">
        <f>AA102*0.000680195+D102*0.000680195</f>
        <v/>
      </c>
      <c r="AE102" s="7">
        <f>D102*0.000680195+E102*0.000680195</f>
        <v/>
      </c>
      <c r="AF102" s="7">
        <f>E102*0.000680195+F102*0.000680195</f>
        <v/>
      </c>
      <c r="AG102" s="7">
        <f>F102*0.000680195+G102*0.000680195</f>
        <v/>
      </c>
      <c r="AH102" s="7">
        <f>G102*0.000680195+H102*0.000680195</f>
        <v/>
      </c>
      <c r="AI102" s="7">
        <f>H102*0.000680195+I102*0.000680195</f>
        <v/>
      </c>
      <c r="AJ102" s="7">
        <f>I102*0.000680195+J102*0.000680195</f>
        <v/>
      </c>
      <c r="AK102" s="7">
        <f>J102*0.000680195+K102*0.000680195</f>
        <v/>
      </c>
      <c r="AL102" s="7">
        <f>K102*0.000680195+L102*0.000680195</f>
        <v/>
      </c>
      <c r="AM102" s="7">
        <f>L102*0.000680195+M102*0.000680195</f>
        <v/>
      </c>
      <c r="AN102" s="7">
        <f>M102*0.000680195+N102*0.000680195</f>
        <v/>
      </c>
      <c r="AO102" s="7">
        <f>N102*0.000680195+O102*0.000680195</f>
        <v/>
      </c>
      <c r="AP102" s="7">
        <f>O102*0.000680195+P102*0.000680195</f>
        <v/>
      </c>
      <c r="AQ102" s="7">
        <f>P102*0.000680195+Q102*0.000680195</f>
        <v/>
      </c>
      <c r="AR102" s="7">
        <f>Q102*0.000680195+R102*0.000680195</f>
        <v/>
      </c>
      <c r="AS102" s="7">
        <f>R102*0.000680195+S102*0.000680195</f>
        <v/>
      </c>
      <c r="AT102" s="7">
        <f>S102*0.000680195+T102*0.000680195</f>
        <v/>
      </c>
      <c r="AU102" s="7">
        <f>T102*0.000680195+U102*0.000680195</f>
        <v/>
      </c>
      <c r="AV102" s="7">
        <f>U102*0.000680195+V102*0.000680195</f>
        <v/>
      </c>
      <c r="AW102" s="7">
        <f>V102*0.000680195+W102*0.000680195</f>
        <v/>
      </c>
      <c r="AX102" s="7">
        <f>W102*0.000680195+X102*0.000680195</f>
        <v/>
      </c>
      <c r="AY102" s="7">
        <f>X102*0.000680195+Y102*0.000680195</f>
        <v/>
      </c>
      <c r="AZ102" s="7">
        <f>Y102*0.000680195+Z102*0.000680195</f>
        <v/>
      </c>
      <c r="BA102" s="7">
        <f>Z102*0.000680195+AA102*0.000680195</f>
        <v/>
      </c>
      <c r="BB102" s="7">
        <f>SUM(AD102:BA102)</f>
        <v/>
      </c>
    </row>
    <row r="103">
      <c r="A103" t="inlineStr">
        <is>
          <t>AMD-RTS-RCLS-1302-SSC_1</t>
        </is>
      </c>
      <c r="B103" t="inlineStr">
        <is>
          <t>Rev OSC</t>
        </is>
      </c>
      <c r="C103" s="5" t="n">
        <v>46100</v>
      </c>
      <c r="D103" s="6">
        <f>Summary!D103</f>
        <v/>
      </c>
      <c r="E103" s="6">
        <f>Summary!E103</f>
        <v/>
      </c>
      <c r="F103" s="6">
        <f>Summary!F103</f>
        <v/>
      </c>
      <c r="G103" s="6">
        <f>Summary!G103</f>
        <v/>
      </c>
      <c r="H103" s="6">
        <f>Summary!H103</f>
        <v/>
      </c>
      <c r="I103" s="6">
        <f>Summary!I103</f>
        <v/>
      </c>
      <c r="J103" s="6">
        <f>Summary!J103</f>
        <v/>
      </c>
      <c r="K103" s="6">
        <f>Summary!K103</f>
        <v/>
      </c>
      <c r="L103" s="6">
        <f>Summary!L103</f>
        <v/>
      </c>
      <c r="M103" s="6">
        <f>Summary!M103</f>
        <v/>
      </c>
      <c r="N103" s="6">
        <f>Summary!N103</f>
        <v/>
      </c>
      <c r="O103" s="6">
        <f>Summary!O103</f>
        <v/>
      </c>
      <c r="P103" s="6">
        <f>Summary!P103</f>
        <v/>
      </c>
      <c r="Q103" s="6">
        <f>Summary!Q103</f>
        <v/>
      </c>
      <c r="R103" s="6">
        <f>Summary!R103</f>
        <v/>
      </c>
      <c r="S103" s="6">
        <f>Summary!S103</f>
        <v/>
      </c>
      <c r="T103" s="6">
        <f>Summary!T103</f>
        <v/>
      </c>
      <c r="U103" s="6">
        <f>Summary!U103</f>
        <v/>
      </c>
      <c r="V103" s="6">
        <f>Summary!V103</f>
        <v/>
      </c>
      <c r="W103" s="6">
        <f>Summary!W103</f>
        <v/>
      </c>
      <c r="X103" s="6">
        <f>Summary!X103</f>
        <v/>
      </c>
      <c r="Y103" s="6">
        <f>Summary!Y103</f>
        <v/>
      </c>
      <c r="Z103" s="6">
        <f>Summary!Z103</f>
        <v/>
      </c>
      <c r="AA103" s="6">
        <f>Summary!AA103</f>
        <v/>
      </c>
      <c r="AB103" s="6">
        <f>SUM(D103:AA103)</f>
        <v/>
      </c>
      <c r="AC103" s="3" t="inlineStr"/>
      <c r="AD103" s="7">
        <f>AA103*0.000680195+D103*0.000680195</f>
        <v/>
      </c>
      <c r="AE103" s="7">
        <f>D103*0.000680195+E103*0.000680195</f>
        <v/>
      </c>
      <c r="AF103" s="7">
        <f>E103*0.000680195+F103*0.000680195</f>
        <v/>
      </c>
      <c r="AG103" s="7">
        <f>F103*0.000680195+G103*0.000680195</f>
        <v/>
      </c>
      <c r="AH103" s="7">
        <f>G103*0.000680195+H103*0.000680195</f>
        <v/>
      </c>
      <c r="AI103" s="7">
        <f>H103*0.000680195+I103*0.000680195</f>
        <v/>
      </c>
      <c r="AJ103" s="7">
        <f>I103*0.000680195+J103*0.000680195</f>
        <v/>
      </c>
      <c r="AK103" s="7">
        <f>J103*0.000680195+K103*0.000680195</f>
        <v/>
      </c>
      <c r="AL103" s="7">
        <f>K103*0.000680195+L103*0.000680195</f>
        <v/>
      </c>
      <c r="AM103" s="7">
        <f>L103*0.000680195+M103*0.000680195</f>
        <v/>
      </c>
      <c r="AN103" s="7">
        <f>M103*0.000680195+N103*0.000680195</f>
        <v/>
      </c>
      <c r="AO103" s="7">
        <f>N103*0.000680195+O103*0.000680195</f>
        <v/>
      </c>
      <c r="AP103" s="7">
        <f>O103*0.000680195+P103*0.000680195</f>
        <v/>
      </c>
      <c r="AQ103" s="7">
        <f>P103*0.000680195+Q103*0.000680195</f>
        <v/>
      </c>
      <c r="AR103" s="7">
        <f>Q103*0.000680195+R103*0.000680195</f>
        <v/>
      </c>
      <c r="AS103" s="7">
        <f>R103*0.000680195+S103*0.000680195</f>
        <v/>
      </c>
      <c r="AT103" s="7">
        <f>S103*0.000680195+T103*0.000680195</f>
        <v/>
      </c>
      <c r="AU103" s="7">
        <f>T103*0.000680195+U103*0.000680195</f>
        <v/>
      </c>
      <c r="AV103" s="7">
        <f>U103*0.000680195+V103*0.000680195</f>
        <v/>
      </c>
      <c r="AW103" s="7">
        <f>V103*0.000680195+W103*0.000680195</f>
        <v/>
      </c>
      <c r="AX103" s="7">
        <f>W103*0.000680195+X103*0.000680195</f>
        <v/>
      </c>
      <c r="AY103" s="7">
        <f>X103*0.000680195+Y103*0.000680195</f>
        <v/>
      </c>
      <c r="AZ103" s="7">
        <f>Y103*0.000680195+Z103*0.000680195</f>
        <v/>
      </c>
      <c r="BA103" s="7">
        <f>Z103*0.000680195+AA103*0.000680195</f>
        <v/>
      </c>
      <c r="BB103" s="7">
        <f>SUM(AD103:BA103)</f>
        <v/>
      </c>
    </row>
    <row r="104">
      <c r="A104" t="inlineStr">
        <is>
          <t>AMD-RTS-RCLS-1302-SSC_1</t>
        </is>
      </c>
      <c r="B104" t="inlineStr">
        <is>
          <t>Rev OSC</t>
        </is>
      </c>
      <c r="C104" s="5" t="n">
        <v>46102</v>
      </c>
      <c r="D104" s="6">
        <f>Summary!D104</f>
        <v/>
      </c>
      <c r="E104" s="6">
        <f>Summary!E104</f>
        <v/>
      </c>
      <c r="F104" s="6">
        <f>Summary!F104</f>
        <v/>
      </c>
      <c r="G104" s="6">
        <f>Summary!G104</f>
        <v/>
      </c>
      <c r="H104" s="6">
        <f>Summary!H104</f>
        <v/>
      </c>
      <c r="I104" s="6">
        <f>Summary!I104</f>
        <v/>
      </c>
      <c r="J104" s="6">
        <f>Summary!J104</f>
        <v/>
      </c>
      <c r="K104" s="6">
        <f>Summary!K104</f>
        <v/>
      </c>
      <c r="L104" s="6">
        <f>Summary!L104</f>
        <v/>
      </c>
      <c r="M104" s="6">
        <f>Summary!M104</f>
        <v/>
      </c>
      <c r="N104" s="6">
        <f>Summary!N104</f>
        <v/>
      </c>
      <c r="O104" s="6">
        <f>Summary!O104</f>
        <v/>
      </c>
      <c r="P104" s="6">
        <f>Summary!P104</f>
        <v/>
      </c>
      <c r="Q104" s="6">
        <f>Summary!Q104</f>
        <v/>
      </c>
      <c r="R104" s="6">
        <f>Summary!R104</f>
        <v/>
      </c>
      <c r="S104" s="6">
        <f>Summary!S104</f>
        <v/>
      </c>
      <c r="T104" s="6">
        <f>Summary!T104</f>
        <v/>
      </c>
      <c r="U104" s="6">
        <f>Summary!U104</f>
        <v/>
      </c>
      <c r="V104" s="6">
        <f>Summary!V104</f>
        <v/>
      </c>
      <c r="W104" s="6">
        <f>Summary!W104</f>
        <v/>
      </c>
      <c r="X104" s="6">
        <f>Summary!X104</f>
        <v/>
      </c>
      <c r="Y104" s="6">
        <f>Summary!Y104</f>
        <v/>
      </c>
      <c r="Z104" s="6">
        <f>Summary!Z104</f>
        <v/>
      </c>
      <c r="AA104" s="6">
        <f>Summary!AA104</f>
        <v/>
      </c>
      <c r="AB104" s="6">
        <f>SUM(D104:AA104)</f>
        <v/>
      </c>
      <c r="AC104" s="3" t="inlineStr"/>
      <c r="AD104" s="7">
        <f>AA104*0.000680195+D104*0.000680195</f>
        <v/>
      </c>
      <c r="AE104" s="7">
        <f>D104*0.000680195+E104*0.000680195</f>
        <v/>
      </c>
      <c r="AF104" s="7">
        <f>E104*0.000680195+F104*0.000680195</f>
        <v/>
      </c>
      <c r="AG104" s="7">
        <f>F104*0.000680195+G104*0.000680195</f>
        <v/>
      </c>
      <c r="AH104" s="7">
        <f>G104*0.000680195+H104*0.000680195</f>
        <v/>
      </c>
      <c r="AI104" s="7">
        <f>H104*0.000680195+I104*0.000680195</f>
        <v/>
      </c>
      <c r="AJ104" s="7">
        <f>I104*0.000680195+J104*0.000680195</f>
        <v/>
      </c>
      <c r="AK104" s="7">
        <f>J104*0.000680195+K104*0.000680195</f>
        <v/>
      </c>
      <c r="AL104" s="7">
        <f>K104*0.000680195+L104*0.000680195</f>
        <v/>
      </c>
      <c r="AM104" s="7">
        <f>L104*0.000680195+M104*0.000680195</f>
        <v/>
      </c>
      <c r="AN104" s="7">
        <f>M104*0.000680195+N104*0.000680195</f>
        <v/>
      </c>
      <c r="AO104" s="7">
        <f>N104*0.000680195+O104*0.000680195</f>
        <v/>
      </c>
      <c r="AP104" s="7">
        <f>O104*0.000680195+P104*0.000680195</f>
        <v/>
      </c>
      <c r="AQ104" s="7">
        <f>P104*0.000680195+Q104*0.000680195</f>
        <v/>
      </c>
      <c r="AR104" s="7">
        <f>Q104*0.000680195+R104*0.000680195</f>
        <v/>
      </c>
      <c r="AS104" s="7">
        <f>R104*0.000680195+S104*0.000680195</f>
        <v/>
      </c>
      <c r="AT104" s="7">
        <f>S104*0.000680195+T104*0.000680195</f>
        <v/>
      </c>
      <c r="AU104" s="7">
        <f>T104*0.000680195+U104*0.000680195</f>
        <v/>
      </c>
      <c r="AV104" s="7">
        <f>U104*0.000680195+V104*0.000680195</f>
        <v/>
      </c>
      <c r="AW104" s="7">
        <f>V104*0.000680195+W104*0.000680195</f>
        <v/>
      </c>
      <c r="AX104" s="7">
        <f>W104*0.000680195+X104*0.000680195</f>
        <v/>
      </c>
      <c r="AY104" s="7">
        <f>X104*0.000680195+Y104*0.000680195</f>
        <v/>
      </c>
      <c r="AZ104" s="7">
        <f>Y104*0.000680195+Z104*0.000680195</f>
        <v/>
      </c>
      <c r="BA104" s="7">
        <f>Z104*0.000680195+AA104*0.000680195</f>
        <v/>
      </c>
      <c r="BB104" s="7">
        <f>SUM(AD104:BA104)</f>
        <v/>
      </c>
    </row>
    <row r="105">
      <c r="A105" t="inlineStr">
        <is>
          <t>AMD-RTS-RCLS-1302-SSC_1</t>
        </is>
      </c>
      <c r="B105" t="inlineStr">
        <is>
          <t>Rev OSC</t>
        </is>
      </c>
      <c r="C105" s="5" t="n">
        <v>46103</v>
      </c>
      <c r="D105" s="6">
        <f>Summary!D105</f>
        <v/>
      </c>
      <c r="E105" s="6">
        <f>Summary!E105</f>
        <v/>
      </c>
      <c r="F105" s="6">
        <f>Summary!F105</f>
        <v/>
      </c>
      <c r="G105" s="6">
        <f>Summary!G105</f>
        <v/>
      </c>
      <c r="H105" s="6">
        <f>Summary!H105</f>
        <v/>
      </c>
      <c r="I105" s="6">
        <f>Summary!I105</f>
        <v/>
      </c>
      <c r="J105" s="6">
        <f>Summary!J105</f>
        <v/>
      </c>
      <c r="K105" s="6">
        <f>Summary!K105</f>
        <v/>
      </c>
      <c r="L105" s="6">
        <f>Summary!L105</f>
        <v/>
      </c>
      <c r="M105" s="6">
        <f>Summary!M105</f>
        <v/>
      </c>
      <c r="N105" s="6">
        <f>Summary!N105</f>
        <v/>
      </c>
      <c r="O105" s="6">
        <f>Summary!O105</f>
        <v/>
      </c>
      <c r="P105" s="6">
        <f>Summary!P105</f>
        <v/>
      </c>
      <c r="Q105" s="6">
        <f>Summary!Q105</f>
        <v/>
      </c>
      <c r="R105" s="6">
        <f>Summary!R105</f>
        <v/>
      </c>
      <c r="S105" s="6">
        <f>Summary!S105</f>
        <v/>
      </c>
      <c r="T105" s="6">
        <f>Summary!T105</f>
        <v/>
      </c>
      <c r="U105" s="6">
        <f>Summary!U105</f>
        <v/>
      </c>
      <c r="V105" s="6">
        <f>Summary!V105</f>
        <v/>
      </c>
      <c r="W105" s="6">
        <f>Summary!W105</f>
        <v/>
      </c>
      <c r="X105" s="6">
        <f>Summary!X105</f>
        <v/>
      </c>
      <c r="Y105" s="6">
        <f>Summary!Y105</f>
        <v/>
      </c>
      <c r="Z105" s="6">
        <f>Summary!Z105</f>
        <v/>
      </c>
      <c r="AA105" s="6">
        <f>Summary!AA105</f>
        <v/>
      </c>
      <c r="AB105" s="6">
        <f>SUM(D105:AA105)</f>
        <v/>
      </c>
      <c r="AC105" s="3" t="inlineStr"/>
      <c r="AD105" s="7">
        <f>AA105*0.000680195+D105*0.000680195</f>
        <v/>
      </c>
      <c r="AE105" s="7">
        <f>D105*0.000680195+E105*0.000680195</f>
        <v/>
      </c>
      <c r="AF105" s="7">
        <f>E105*0.000680195+F105*0.000680195</f>
        <v/>
      </c>
      <c r="AG105" s="7">
        <f>F105*0.000680195+G105*0.000680195</f>
        <v/>
      </c>
      <c r="AH105" s="7">
        <f>G105*0.000680195+H105*0.000680195</f>
        <v/>
      </c>
      <c r="AI105" s="7">
        <f>H105*0.000680195+I105*0.000680195</f>
        <v/>
      </c>
      <c r="AJ105" s="7">
        <f>I105*0.000680195+J105*0.000680195</f>
        <v/>
      </c>
      <c r="AK105" s="7">
        <f>J105*0.000680195+K105*0.000680195</f>
        <v/>
      </c>
      <c r="AL105" s="7">
        <f>K105*0.000680195+L105*0.000680195</f>
        <v/>
      </c>
      <c r="AM105" s="7">
        <f>L105*0.000680195+M105*0.000680195</f>
        <v/>
      </c>
      <c r="AN105" s="7">
        <f>M105*0.000680195+N105*0.000680195</f>
        <v/>
      </c>
      <c r="AO105" s="7">
        <f>N105*0.000680195+O105*0.000680195</f>
        <v/>
      </c>
      <c r="AP105" s="7">
        <f>O105*0.000680195+P105*0.000680195</f>
        <v/>
      </c>
      <c r="AQ105" s="7">
        <f>P105*0.000680195+Q105*0.000680195</f>
        <v/>
      </c>
      <c r="AR105" s="7">
        <f>Q105*0.000680195+R105*0.000680195</f>
        <v/>
      </c>
      <c r="AS105" s="7">
        <f>R105*0.000680195+S105*0.000680195</f>
        <v/>
      </c>
      <c r="AT105" s="7">
        <f>S105*0.000680195+T105*0.000680195</f>
        <v/>
      </c>
      <c r="AU105" s="7">
        <f>T105*0.000680195+U105*0.000680195</f>
        <v/>
      </c>
      <c r="AV105" s="7">
        <f>U105*0.000680195+V105*0.000680195</f>
        <v/>
      </c>
      <c r="AW105" s="7">
        <f>V105*0.000680195+W105*0.000680195</f>
        <v/>
      </c>
      <c r="AX105" s="7">
        <f>W105*0.000680195+X105*0.000680195</f>
        <v/>
      </c>
      <c r="AY105" s="7">
        <f>X105*0.000680195+Y105*0.000680195</f>
        <v/>
      </c>
      <c r="AZ105" s="7">
        <f>Y105*0.000680195+Z105*0.000680195</f>
        <v/>
      </c>
      <c r="BA105" s="7">
        <f>Z105*0.000680195+AA105*0.000680195</f>
        <v/>
      </c>
      <c r="BB105" s="7">
        <f>SUM(AD105:BA105)</f>
        <v/>
      </c>
    </row>
    <row r="106">
      <c r="A106" t="inlineStr">
        <is>
          <t>AMD-RTS-RCLS-1302-SSC_1</t>
        </is>
      </c>
      <c r="B106" t="inlineStr">
        <is>
          <t>Rev OSC</t>
        </is>
      </c>
      <c r="C106" s="5" t="n">
        <v>46104</v>
      </c>
      <c r="D106" s="6">
        <f>Summary!D106</f>
        <v/>
      </c>
      <c r="E106" s="6">
        <f>Summary!E106</f>
        <v/>
      </c>
      <c r="F106" s="6">
        <f>Summary!F106</f>
        <v/>
      </c>
      <c r="G106" s="6">
        <f>Summary!G106</f>
        <v/>
      </c>
      <c r="H106" s="6">
        <f>Summary!H106</f>
        <v/>
      </c>
      <c r="I106" s="6">
        <f>Summary!I106</f>
        <v/>
      </c>
      <c r="J106" s="6">
        <f>Summary!J106</f>
        <v/>
      </c>
      <c r="K106" s="6">
        <f>Summary!K106</f>
        <v/>
      </c>
      <c r="L106" s="6">
        <f>Summary!L106</f>
        <v/>
      </c>
      <c r="M106" s="6">
        <f>Summary!M106</f>
        <v/>
      </c>
      <c r="N106" s="6">
        <f>Summary!N106</f>
        <v/>
      </c>
      <c r="O106" s="6">
        <f>Summary!O106</f>
        <v/>
      </c>
      <c r="P106" s="6">
        <f>Summary!P106</f>
        <v/>
      </c>
      <c r="Q106" s="6">
        <f>Summary!Q106</f>
        <v/>
      </c>
      <c r="R106" s="6">
        <f>Summary!R106</f>
        <v/>
      </c>
      <c r="S106" s="6">
        <f>Summary!S106</f>
        <v/>
      </c>
      <c r="T106" s="6">
        <f>Summary!T106</f>
        <v/>
      </c>
      <c r="U106" s="6">
        <f>Summary!U106</f>
        <v/>
      </c>
      <c r="V106" s="6">
        <f>Summary!V106</f>
        <v/>
      </c>
      <c r="W106" s="6">
        <f>Summary!W106</f>
        <v/>
      </c>
      <c r="X106" s="6">
        <f>Summary!X106</f>
        <v/>
      </c>
      <c r="Y106" s="6">
        <f>Summary!Y106</f>
        <v/>
      </c>
      <c r="Z106" s="6">
        <f>Summary!Z106</f>
        <v/>
      </c>
      <c r="AA106" s="6">
        <f>Summary!AA106</f>
        <v/>
      </c>
      <c r="AB106" s="6">
        <f>SUM(D106:AA106)</f>
        <v/>
      </c>
      <c r="AC106" s="3" t="inlineStr"/>
      <c r="AD106" s="7">
        <f>AA106*0.000680195+D106*0.000680195</f>
        <v/>
      </c>
      <c r="AE106" s="7">
        <f>D106*0.000680195+E106*0.000680195</f>
        <v/>
      </c>
      <c r="AF106" s="7">
        <f>E106*0.000680195+F106*0.000680195</f>
        <v/>
      </c>
      <c r="AG106" s="7">
        <f>F106*0.000680195+G106*0.000680195</f>
        <v/>
      </c>
      <c r="AH106" s="7">
        <f>G106*0.000680195+H106*0.000680195</f>
        <v/>
      </c>
      <c r="AI106" s="7">
        <f>H106*0.000680195+I106*0.000680195</f>
        <v/>
      </c>
      <c r="AJ106" s="7">
        <f>I106*0.000680195+J106*0.000680195</f>
        <v/>
      </c>
      <c r="AK106" s="7">
        <f>J106*0.000680195+K106*0.000680195</f>
        <v/>
      </c>
      <c r="AL106" s="7">
        <f>K106*0.000680195+L106*0.000680195</f>
        <v/>
      </c>
      <c r="AM106" s="7">
        <f>L106*0.000680195+M106*0.000680195</f>
        <v/>
      </c>
      <c r="AN106" s="7">
        <f>M106*0.000680195+N106*0.000680195</f>
        <v/>
      </c>
      <c r="AO106" s="7">
        <f>N106*0.000680195+O106*0.000680195</f>
        <v/>
      </c>
      <c r="AP106" s="7">
        <f>O106*0.000680195+P106*0.000680195</f>
        <v/>
      </c>
      <c r="AQ106" s="7">
        <f>P106*0.000680195+Q106*0.000680195</f>
        <v/>
      </c>
      <c r="AR106" s="7">
        <f>Q106*0.000680195+R106*0.000680195</f>
        <v/>
      </c>
      <c r="AS106" s="7">
        <f>R106*0.000680195+S106*0.000680195</f>
        <v/>
      </c>
      <c r="AT106" s="7">
        <f>S106*0.000680195+T106*0.000680195</f>
        <v/>
      </c>
      <c r="AU106" s="7">
        <f>T106*0.000680195+U106*0.000680195</f>
        <v/>
      </c>
      <c r="AV106" s="7">
        <f>U106*0.000680195+V106*0.000680195</f>
        <v/>
      </c>
      <c r="AW106" s="7">
        <f>V106*0.000680195+W106*0.000680195</f>
        <v/>
      </c>
      <c r="AX106" s="7">
        <f>W106*0.000680195+X106*0.000680195</f>
        <v/>
      </c>
      <c r="AY106" s="7">
        <f>X106*0.000680195+Y106*0.000680195</f>
        <v/>
      </c>
      <c r="AZ106" s="7">
        <f>Y106*0.000680195+Z106*0.000680195</f>
        <v/>
      </c>
      <c r="BA106" s="7">
        <f>Z106*0.000680195+AA106*0.000680195</f>
        <v/>
      </c>
      <c r="BB106" s="7">
        <f>SUM(AD106:BA106)</f>
        <v/>
      </c>
    </row>
    <row r="107">
      <c r="A107" t="inlineStr">
        <is>
          <t>AMD-RTS-RCLS-1302-SSC_1</t>
        </is>
      </c>
      <c r="B107" t="inlineStr">
        <is>
          <t>Rev OSC</t>
        </is>
      </c>
      <c r="C107" s="5" t="n">
        <v>46105</v>
      </c>
      <c r="D107" s="6">
        <f>Summary!D107</f>
        <v/>
      </c>
      <c r="E107" s="6">
        <f>Summary!E107</f>
        <v/>
      </c>
      <c r="F107" s="6">
        <f>Summary!F107</f>
        <v/>
      </c>
      <c r="G107" s="6">
        <f>Summary!G107</f>
        <v/>
      </c>
      <c r="H107" s="6">
        <f>Summary!H107</f>
        <v/>
      </c>
      <c r="I107" s="6">
        <f>Summary!I107</f>
        <v/>
      </c>
      <c r="J107" s="6">
        <f>Summary!J107</f>
        <v/>
      </c>
      <c r="K107" s="6">
        <f>Summary!K107</f>
        <v/>
      </c>
      <c r="L107" s="6">
        <f>Summary!L107</f>
        <v/>
      </c>
      <c r="M107" s="6">
        <f>Summary!M107</f>
        <v/>
      </c>
      <c r="N107" s="6">
        <f>Summary!N107</f>
        <v/>
      </c>
      <c r="O107" s="6">
        <f>Summary!O107</f>
        <v/>
      </c>
      <c r="P107" s="6">
        <f>Summary!P107</f>
        <v/>
      </c>
      <c r="Q107" s="6">
        <f>Summary!Q107</f>
        <v/>
      </c>
      <c r="R107" s="6">
        <f>Summary!R107</f>
        <v/>
      </c>
      <c r="S107" s="6">
        <f>Summary!S107</f>
        <v/>
      </c>
      <c r="T107" s="6">
        <f>Summary!T107</f>
        <v/>
      </c>
      <c r="U107" s="6">
        <f>Summary!U107</f>
        <v/>
      </c>
      <c r="V107" s="6">
        <f>Summary!V107</f>
        <v/>
      </c>
      <c r="W107" s="6">
        <f>Summary!W107</f>
        <v/>
      </c>
      <c r="X107" s="6">
        <f>Summary!X107</f>
        <v/>
      </c>
      <c r="Y107" s="6">
        <f>Summary!Y107</f>
        <v/>
      </c>
      <c r="Z107" s="6">
        <f>Summary!Z107</f>
        <v/>
      </c>
      <c r="AA107" s="6">
        <f>Summary!AA107</f>
        <v/>
      </c>
      <c r="AB107" s="6">
        <f>SUM(D107:AA107)</f>
        <v/>
      </c>
      <c r="AC107" s="3" t="inlineStr"/>
      <c r="AD107" s="7">
        <f>AA107*0.000680195+D107*0.000680195</f>
        <v/>
      </c>
      <c r="AE107" s="7">
        <f>D107*0.000680195+E107*0.000680195</f>
        <v/>
      </c>
      <c r="AF107" s="7">
        <f>E107*0.000680195+F107*0.000680195</f>
        <v/>
      </c>
      <c r="AG107" s="7">
        <f>F107*0.000680195+G107*0.000680195</f>
        <v/>
      </c>
      <c r="AH107" s="7">
        <f>G107*0.000680195+H107*0.000680195</f>
        <v/>
      </c>
      <c r="AI107" s="7">
        <f>H107*0.000680195+I107*0.000680195</f>
        <v/>
      </c>
      <c r="AJ107" s="7">
        <f>I107*0.000680195+J107*0.000680195</f>
        <v/>
      </c>
      <c r="AK107" s="7">
        <f>J107*0.000680195+K107*0.000680195</f>
        <v/>
      </c>
      <c r="AL107" s="7">
        <f>K107*0.000680195+L107*0.000680195</f>
        <v/>
      </c>
      <c r="AM107" s="7">
        <f>L107*0.000680195+M107*0.000680195</f>
        <v/>
      </c>
      <c r="AN107" s="7">
        <f>M107*0.000680195+N107*0.000680195</f>
        <v/>
      </c>
      <c r="AO107" s="7">
        <f>N107*0.000680195+O107*0.000680195</f>
        <v/>
      </c>
      <c r="AP107" s="7">
        <f>O107*0.000680195+P107*0.000680195</f>
        <v/>
      </c>
      <c r="AQ107" s="7">
        <f>P107*0.000680195+Q107*0.000680195</f>
        <v/>
      </c>
      <c r="AR107" s="7">
        <f>Q107*0.000680195+R107*0.000680195</f>
        <v/>
      </c>
      <c r="AS107" s="7">
        <f>R107*0.000680195+S107*0.000680195</f>
        <v/>
      </c>
      <c r="AT107" s="7">
        <f>S107*0.000680195+T107*0.000680195</f>
        <v/>
      </c>
      <c r="AU107" s="7">
        <f>T107*0.000680195+U107*0.000680195</f>
        <v/>
      </c>
      <c r="AV107" s="7">
        <f>U107*0.000680195+V107*0.000680195</f>
        <v/>
      </c>
      <c r="AW107" s="7">
        <f>V107*0.000680195+W107*0.000680195</f>
        <v/>
      </c>
      <c r="AX107" s="7">
        <f>W107*0.000680195+X107*0.000680195</f>
        <v/>
      </c>
      <c r="AY107" s="7">
        <f>X107*0.000680195+Y107*0.000680195</f>
        <v/>
      </c>
      <c r="AZ107" s="7">
        <f>Y107*0.000680195+Z107*0.000680195</f>
        <v/>
      </c>
      <c r="BA107" s="7">
        <f>Z107*0.000680195+AA107*0.000680195</f>
        <v/>
      </c>
      <c r="BB107" s="7">
        <f>SUM(AD107:BA107)</f>
        <v/>
      </c>
    </row>
    <row r="108">
      <c r="A108" t="inlineStr">
        <is>
          <t>AMD-RTS-RCLS-1302-SSC_2</t>
        </is>
      </c>
      <c r="B108" t="inlineStr">
        <is>
          <t>Rev OSC</t>
        </is>
      </c>
      <c r="C108" s="5" t="n">
        <v>46100</v>
      </c>
      <c r="D108" s="6">
        <f>Summary!D108</f>
        <v/>
      </c>
      <c r="E108" s="6">
        <f>Summary!E108</f>
        <v/>
      </c>
      <c r="F108" s="6">
        <f>Summary!F108</f>
        <v/>
      </c>
      <c r="G108" s="6">
        <f>Summary!G108</f>
        <v/>
      </c>
      <c r="H108" s="6">
        <f>Summary!H108</f>
        <v/>
      </c>
      <c r="I108" s="6">
        <f>Summary!I108</f>
        <v/>
      </c>
      <c r="J108" s="6">
        <f>Summary!J108</f>
        <v/>
      </c>
      <c r="K108" s="6">
        <f>Summary!K108</f>
        <v/>
      </c>
      <c r="L108" s="6">
        <f>Summary!L108</f>
        <v/>
      </c>
      <c r="M108" s="6">
        <f>Summary!M108</f>
        <v/>
      </c>
      <c r="N108" s="6">
        <f>Summary!N108</f>
        <v/>
      </c>
      <c r="O108" s="6">
        <f>Summary!O108</f>
        <v/>
      </c>
      <c r="P108" s="6">
        <f>Summary!P108</f>
        <v/>
      </c>
      <c r="Q108" s="6">
        <f>Summary!Q108</f>
        <v/>
      </c>
      <c r="R108" s="6">
        <f>Summary!R108</f>
        <v/>
      </c>
      <c r="S108" s="6">
        <f>Summary!S108</f>
        <v/>
      </c>
      <c r="T108" s="6">
        <f>Summary!T108</f>
        <v/>
      </c>
      <c r="U108" s="6">
        <f>Summary!U108</f>
        <v/>
      </c>
      <c r="V108" s="6">
        <f>Summary!V108</f>
        <v/>
      </c>
      <c r="W108" s="6">
        <f>Summary!W108</f>
        <v/>
      </c>
      <c r="X108" s="6">
        <f>Summary!X108</f>
        <v/>
      </c>
      <c r="Y108" s="6">
        <f>Summary!Y108</f>
        <v/>
      </c>
      <c r="Z108" s="6">
        <f>Summary!Z108</f>
        <v/>
      </c>
      <c r="AA108" s="6">
        <f>Summary!AA108</f>
        <v/>
      </c>
      <c r="AB108" s="6">
        <f>SUM(D108:AA108)</f>
        <v/>
      </c>
      <c r="AC108" s="3" t="inlineStr"/>
      <c r="AD108" s="7">
        <f>AA108*0.000680195+D108*0.000680195</f>
        <v/>
      </c>
      <c r="AE108" s="7">
        <f>D108*0.000680195+E108*0.000680195</f>
        <v/>
      </c>
      <c r="AF108" s="7">
        <f>E108*0.000680195+F108*0.000680195</f>
        <v/>
      </c>
      <c r="AG108" s="7">
        <f>F108*0.000680195+G108*0.000680195</f>
        <v/>
      </c>
      <c r="AH108" s="7">
        <f>G108*0.000680195+H108*0.000680195</f>
        <v/>
      </c>
      <c r="AI108" s="7">
        <f>H108*0.000680195+I108*0.000680195</f>
        <v/>
      </c>
      <c r="AJ108" s="7">
        <f>I108*0.000680195+J108*0.000680195</f>
        <v/>
      </c>
      <c r="AK108" s="7">
        <f>J108*0.000680195+K108*0.000680195</f>
        <v/>
      </c>
      <c r="AL108" s="7">
        <f>K108*0.000680195+L108*0.000680195</f>
        <v/>
      </c>
      <c r="AM108" s="7">
        <f>L108*0.000680195+M108*0.000680195</f>
        <v/>
      </c>
      <c r="AN108" s="7">
        <f>M108*0.000680195+N108*0.000680195</f>
        <v/>
      </c>
      <c r="AO108" s="7">
        <f>N108*0.000680195+O108*0.000680195</f>
        <v/>
      </c>
      <c r="AP108" s="7">
        <f>O108*0.000680195+P108*0.000680195</f>
        <v/>
      </c>
      <c r="AQ108" s="7">
        <f>P108*0.000680195+Q108*0.000680195</f>
        <v/>
      </c>
      <c r="AR108" s="7">
        <f>Q108*0.000680195+R108*0.000680195</f>
        <v/>
      </c>
      <c r="AS108" s="7">
        <f>R108*0.000680195+S108*0.000680195</f>
        <v/>
      </c>
      <c r="AT108" s="7">
        <f>S108*0.000680195+T108*0.000680195</f>
        <v/>
      </c>
      <c r="AU108" s="7">
        <f>T108*0.000680195+U108*0.000680195</f>
        <v/>
      </c>
      <c r="AV108" s="7">
        <f>U108*0.000680195+V108*0.000680195</f>
        <v/>
      </c>
      <c r="AW108" s="7">
        <f>V108*0.000680195+W108*0.000680195</f>
        <v/>
      </c>
      <c r="AX108" s="7">
        <f>W108*0.000680195+X108*0.000680195</f>
        <v/>
      </c>
      <c r="AY108" s="7">
        <f>X108*0.000680195+Y108*0.000680195</f>
        <v/>
      </c>
      <c r="AZ108" s="7">
        <f>Y108*0.000680195+Z108*0.000680195</f>
        <v/>
      </c>
      <c r="BA108" s="7">
        <f>Z108*0.000680195+AA108*0.000680195</f>
        <v/>
      </c>
      <c r="BB108" s="7">
        <f>SUM(AD108:BA108)</f>
        <v/>
      </c>
    </row>
    <row r="109">
      <c r="A109" t="inlineStr">
        <is>
          <t>AMD-RTS-RCLS-1302-SSC_2</t>
        </is>
      </c>
      <c r="B109" t="inlineStr">
        <is>
          <t>Rev OSC</t>
        </is>
      </c>
      <c r="C109" s="5" t="n">
        <v>46102</v>
      </c>
      <c r="D109" s="6">
        <f>Summary!D109</f>
        <v/>
      </c>
      <c r="E109" s="6">
        <f>Summary!E109</f>
        <v/>
      </c>
      <c r="F109" s="6">
        <f>Summary!F109</f>
        <v/>
      </c>
      <c r="G109" s="6">
        <f>Summary!G109</f>
        <v/>
      </c>
      <c r="H109" s="6">
        <f>Summary!H109</f>
        <v/>
      </c>
      <c r="I109" s="6">
        <f>Summary!I109</f>
        <v/>
      </c>
      <c r="J109" s="6">
        <f>Summary!J109</f>
        <v/>
      </c>
      <c r="K109" s="6">
        <f>Summary!K109</f>
        <v/>
      </c>
      <c r="L109" s="6">
        <f>Summary!L109</f>
        <v/>
      </c>
      <c r="M109" s="6">
        <f>Summary!M109</f>
        <v/>
      </c>
      <c r="N109" s="6">
        <f>Summary!N109</f>
        <v/>
      </c>
      <c r="O109" s="6">
        <f>Summary!O109</f>
        <v/>
      </c>
      <c r="P109" s="6">
        <f>Summary!P109</f>
        <v/>
      </c>
      <c r="Q109" s="6">
        <f>Summary!Q109</f>
        <v/>
      </c>
      <c r="R109" s="6">
        <f>Summary!R109</f>
        <v/>
      </c>
      <c r="S109" s="6">
        <f>Summary!S109</f>
        <v/>
      </c>
      <c r="T109" s="6">
        <f>Summary!T109</f>
        <v/>
      </c>
      <c r="U109" s="6">
        <f>Summary!U109</f>
        <v/>
      </c>
      <c r="V109" s="6">
        <f>Summary!V109</f>
        <v/>
      </c>
      <c r="W109" s="6">
        <f>Summary!W109</f>
        <v/>
      </c>
      <c r="X109" s="6">
        <f>Summary!X109</f>
        <v/>
      </c>
      <c r="Y109" s="6">
        <f>Summary!Y109</f>
        <v/>
      </c>
      <c r="Z109" s="6">
        <f>Summary!Z109</f>
        <v/>
      </c>
      <c r="AA109" s="6">
        <f>Summary!AA109</f>
        <v/>
      </c>
      <c r="AB109" s="6">
        <f>SUM(D109:AA109)</f>
        <v/>
      </c>
      <c r="AC109" s="3" t="inlineStr"/>
      <c r="AD109" s="7">
        <f>AA109*0.000680195+D109*0.000680195</f>
        <v/>
      </c>
      <c r="AE109" s="7">
        <f>D109*0.000680195+E109*0.000680195</f>
        <v/>
      </c>
      <c r="AF109" s="7">
        <f>E109*0.000680195+F109*0.000680195</f>
        <v/>
      </c>
      <c r="AG109" s="7">
        <f>F109*0.000680195+G109*0.000680195</f>
        <v/>
      </c>
      <c r="AH109" s="7">
        <f>G109*0.000680195+H109*0.000680195</f>
        <v/>
      </c>
      <c r="AI109" s="7">
        <f>H109*0.000680195+I109*0.000680195</f>
        <v/>
      </c>
      <c r="AJ109" s="7">
        <f>I109*0.000680195+J109*0.000680195</f>
        <v/>
      </c>
      <c r="AK109" s="7">
        <f>J109*0.000680195+K109*0.000680195</f>
        <v/>
      </c>
      <c r="AL109" s="7">
        <f>K109*0.000680195+L109*0.000680195</f>
        <v/>
      </c>
      <c r="AM109" s="7">
        <f>L109*0.000680195+M109*0.000680195</f>
        <v/>
      </c>
      <c r="AN109" s="7">
        <f>M109*0.000680195+N109*0.000680195</f>
        <v/>
      </c>
      <c r="AO109" s="7">
        <f>N109*0.000680195+O109*0.000680195</f>
        <v/>
      </c>
      <c r="AP109" s="7">
        <f>O109*0.000680195+P109*0.000680195</f>
        <v/>
      </c>
      <c r="AQ109" s="7">
        <f>P109*0.000680195+Q109*0.000680195</f>
        <v/>
      </c>
      <c r="AR109" s="7">
        <f>Q109*0.000680195+R109*0.000680195</f>
        <v/>
      </c>
      <c r="AS109" s="7">
        <f>R109*0.000680195+S109*0.000680195</f>
        <v/>
      </c>
      <c r="AT109" s="7">
        <f>S109*0.000680195+T109*0.000680195</f>
        <v/>
      </c>
      <c r="AU109" s="7">
        <f>T109*0.000680195+U109*0.000680195</f>
        <v/>
      </c>
      <c r="AV109" s="7">
        <f>U109*0.000680195+V109*0.000680195</f>
        <v/>
      </c>
      <c r="AW109" s="7">
        <f>V109*0.000680195+W109*0.000680195</f>
        <v/>
      </c>
      <c r="AX109" s="7">
        <f>W109*0.000680195+X109*0.000680195</f>
        <v/>
      </c>
      <c r="AY109" s="7">
        <f>X109*0.000680195+Y109*0.000680195</f>
        <v/>
      </c>
      <c r="AZ109" s="7">
        <f>Y109*0.000680195+Z109*0.000680195</f>
        <v/>
      </c>
      <c r="BA109" s="7">
        <f>Z109*0.000680195+AA109*0.000680195</f>
        <v/>
      </c>
      <c r="BB109" s="7">
        <f>SUM(AD109:BA109)</f>
        <v/>
      </c>
    </row>
    <row r="110">
      <c r="A110" t="inlineStr">
        <is>
          <t>AMD-RTS-RCLS-1302-SSC_2</t>
        </is>
      </c>
      <c r="B110" t="inlineStr">
        <is>
          <t>Rev OSC</t>
        </is>
      </c>
      <c r="C110" s="5" t="n">
        <v>46104</v>
      </c>
      <c r="D110" s="6">
        <f>Summary!D110</f>
        <v/>
      </c>
      <c r="E110" s="6">
        <f>Summary!E110</f>
        <v/>
      </c>
      <c r="F110" s="6">
        <f>Summary!F110</f>
        <v/>
      </c>
      <c r="G110" s="6">
        <f>Summary!G110</f>
        <v/>
      </c>
      <c r="H110" s="6">
        <f>Summary!H110</f>
        <v/>
      </c>
      <c r="I110" s="6">
        <f>Summary!I110</f>
        <v/>
      </c>
      <c r="J110" s="6">
        <f>Summary!J110</f>
        <v/>
      </c>
      <c r="K110" s="6">
        <f>Summary!K110</f>
        <v/>
      </c>
      <c r="L110" s="6">
        <f>Summary!L110</f>
        <v/>
      </c>
      <c r="M110" s="6">
        <f>Summary!M110</f>
        <v/>
      </c>
      <c r="N110" s="6">
        <f>Summary!N110</f>
        <v/>
      </c>
      <c r="O110" s="6">
        <f>Summary!O110</f>
        <v/>
      </c>
      <c r="P110" s="6">
        <f>Summary!P110</f>
        <v/>
      </c>
      <c r="Q110" s="6">
        <f>Summary!Q110</f>
        <v/>
      </c>
      <c r="R110" s="6">
        <f>Summary!R110</f>
        <v/>
      </c>
      <c r="S110" s="6">
        <f>Summary!S110</f>
        <v/>
      </c>
      <c r="T110" s="6">
        <f>Summary!T110</f>
        <v/>
      </c>
      <c r="U110" s="6">
        <f>Summary!U110</f>
        <v/>
      </c>
      <c r="V110" s="6">
        <f>Summary!V110</f>
        <v/>
      </c>
      <c r="W110" s="6">
        <f>Summary!W110</f>
        <v/>
      </c>
      <c r="X110" s="6">
        <f>Summary!X110</f>
        <v/>
      </c>
      <c r="Y110" s="6">
        <f>Summary!Y110</f>
        <v/>
      </c>
      <c r="Z110" s="6">
        <f>Summary!Z110</f>
        <v/>
      </c>
      <c r="AA110" s="6">
        <f>Summary!AA110</f>
        <v/>
      </c>
      <c r="AB110" s="6">
        <f>SUM(D110:AA110)</f>
        <v/>
      </c>
      <c r="AC110" s="3" t="inlineStr"/>
      <c r="AD110" s="7">
        <f>AA110*0.000680195+D110*0.000680195</f>
        <v/>
      </c>
      <c r="AE110" s="7">
        <f>D110*0.000680195+E110*0.000680195</f>
        <v/>
      </c>
      <c r="AF110" s="7">
        <f>E110*0.000680195+F110*0.000680195</f>
        <v/>
      </c>
      <c r="AG110" s="7">
        <f>F110*0.000680195+G110*0.000680195</f>
        <v/>
      </c>
      <c r="AH110" s="7">
        <f>G110*0.000680195+H110*0.000680195</f>
        <v/>
      </c>
      <c r="AI110" s="7">
        <f>H110*0.000680195+I110*0.000680195</f>
        <v/>
      </c>
      <c r="AJ110" s="7">
        <f>I110*0.000680195+J110*0.000680195</f>
        <v/>
      </c>
      <c r="AK110" s="7">
        <f>J110*0.000680195+K110*0.000680195</f>
        <v/>
      </c>
      <c r="AL110" s="7">
        <f>K110*0.000680195+L110*0.000680195</f>
        <v/>
      </c>
      <c r="AM110" s="7">
        <f>L110*0.000680195+M110*0.000680195</f>
        <v/>
      </c>
      <c r="AN110" s="7">
        <f>M110*0.000680195+N110*0.000680195</f>
        <v/>
      </c>
      <c r="AO110" s="7">
        <f>N110*0.000680195+O110*0.000680195</f>
        <v/>
      </c>
      <c r="AP110" s="7">
        <f>O110*0.000680195+P110*0.000680195</f>
        <v/>
      </c>
      <c r="AQ110" s="7">
        <f>P110*0.000680195+Q110*0.000680195</f>
        <v/>
      </c>
      <c r="AR110" s="7">
        <f>Q110*0.000680195+R110*0.000680195</f>
        <v/>
      </c>
      <c r="AS110" s="7">
        <f>R110*0.000680195+S110*0.000680195</f>
        <v/>
      </c>
      <c r="AT110" s="7">
        <f>S110*0.000680195+T110*0.000680195</f>
        <v/>
      </c>
      <c r="AU110" s="7">
        <f>T110*0.000680195+U110*0.000680195</f>
        <v/>
      </c>
      <c r="AV110" s="7">
        <f>U110*0.000680195+V110*0.000680195</f>
        <v/>
      </c>
      <c r="AW110" s="7">
        <f>V110*0.000680195+W110*0.000680195</f>
        <v/>
      </c>
      <c r="AX110" s="7">
        <f>W110*0.000680195+X110*0.000680195</f>
        <v/>
      </c>
      <c r="AY110" s="7">
        <f>X110*0.000680195+Y110*0.000680195</f>
        <v/>
      </c>
      <c r="AZ110" s="7">
        <f>Y110*0.000680195+Z110*0.000680195</f>
        <v/>
      </c>
      <c r="BA110" s="7">
        <f>Z110*0.000680195+AA110*0.000680195</f>
        <v/>
      </c>
      <c r="BB110" s="7">
        <f>SUM(AD110:BA110)</f>
        <v/>
      </c>
    </row>
    <row r="111">
      <c r="A111" t="inlineStr">
        <is>
          <t>DC-10-1</t>
        </is>
      </c>
      <c r="B111" t="inlineStr">
        <is>
          <t>DSC Manual</t>
        </is>
      </c>
      <c r="C111" s="5" t="n">
        <v>46089</v>
      </c>
      <c r="D111" s="6">
        <f>Summary!D111</f>
        <v/>
      </c>
      <c r="E111" s="6">
        <f>Summary!E111</f>
        <v/>
      </c>
      <c r="F111" s="6">
        <f>Summary!F111</f>
        <v/>
      </c>
      <c r="G111" s="6">
        <f>Summary!G111</f>
        <v/>
      </c>
      <c r="H111" s="6">
        <f>Summary!H111</f>
        <v/>
      </c>
      <c r="I111" s="6">
        <f>Summary!I111</f>
        <v/>
      </c>
      <c r="J111" s="6">
        <f>Summary!J111</f>
        <v/>
      </c>
      <c r="K111" s="6">
        <f>Summary!K111</f>
        <v/>
      </c>
      <c r="L111" s="6">
        <f>Summary!L111</f>
        <v/>
      </c>
      <c r="M111" s="6">
        <f>Summary!M111</f>
        <v/>
      </c>
      <c r="N111" s="6">
        <f>Summary!N111</f>
        <v/>
      </c>
      <c r="O111" s="6">
        <f>Summary!O111</f>
        <v/>
      </c>
      <c r="P111" s="6">
        <f>Summary!P111</f>
        <v/>
      </c>
      <c r="Q111" s="6">
        <f>Summary!Q111</f>
        <v/>
      </c>
      <c r="R111" s="6">
        <f>Summary!R111</f>
        <v/>
      </c>
      <c r="S111" s="6">
        <f>Summary!S111</f>
        <v/>
      </c>
      <c r="T111" s="6">
        <f>Summary!T111</f>
        <v/>
      </c>
      <c r="U111" s="6">
        <f>Summary!U111</f>
        <v/>
      </c>
      <c r="V111" s="6">
        <f>Summary!V111</f>
        <v/>
      </c>
      <c r="W111" s="6">
        <f>Summary!W111</f>
        <v/>
      </c>
      <c r="X111" s="6">
        <f>Summary!X111</f>
        <v/>
      </c>
      <c r="Y111" s="6">
        <f>Summary!Y111</f>
        <v/>
      </c>
      <c r="Z111" s="6">
        <f>Summary!Z111</f>
        <v/>
      </c>
      <c r="AA111" s="6">
        <f>Summary!AA111</f>
        <v/>
      </c>
      <c r="AB111" s="6">
        <f>SUM(D111:AA111)</f>
        <v/>
      </c>
      <c r="AC111" s="3" t="inlineStr"/>
      <c r="AD111" s="7">
        <f>AA111*0.000680195+D111*0.000680195</f>
        <v/>
      </c>
      <c r="AE111" s="7">
        <f>D111*0.000680195+E111*0.000680195</f>
        <v/>
      </c>
      <c r="AF111" s="7">
        <f>E111*0.000680195+F111*0.000680195</f>
        <v/>
      </c>
      <c r="AG111" s="7">
        <f>F111*0.000680195+G111*0.000680195</f>
        <v/>
      </c>
      <c r="AH111" s="7">
        <f>G111*0.000680195+H111*0.000680195</f>
        <v/>
      </c>
      <c r="AI111" s="7">
        <f>H111*0.000680195+I111*0.000680195</f>
        <v/>
      </c>
      <c r="AJ111" s="7">
        <f>I111*0.000680195+J111*0.000680195</f>
        <v/>
      </c>
      <c r="AK111" s="7">
        <f>J111*0.000680195+K111*0.000680195</f>
        <v/>
      </c>
      <c r="AL111" s="7">
        <f>K111*0.000680195+L111*0.000680195</f>
        <v/>
      </c>
      <c r="AM111" s="7">
        <f>L111*0.000680195+M111*0.000680195</f>
        <v/>
      </c>
      <c r="AN111" s="7">
        <f>M111*0.000680195+N111*0.000680195</f>
        <v/>
      </c>
      <c r="AO111" s="7">
        <f>N111*0.000680195+O111*0.000680195</f>
        <v/>
      </c>
      <c r="AP111" s="7">
        <f>O111*0.000680195+P111*0.000680195</f>
        <v/>
      </c>
      <c r="AQ111" s="7">
        <f>P111*0.000680195+Q111*0.000680195</f>
        <v/>
      </c>
      <c r="AR111" s="7">
        <f>Q111*0.000680195+R111*0.000680195</f>
        <v/>
      </c>
      <c r="AS111" s="7">
        <f>R111*0.000680195+S111*0.000680195</f>
        <v/>
      </c>
      <c r="AT111" s="7">
        <f>S111*0.000680195+T111*0.000680195</f>
        <v/>
      </c>
      <c r="AU111" s="7">
        <f>T111*0.000680195+U111*0.000680195</f>
        <v/>
      </c>
      <c r="AV111" s="7">
        <f>U111*0.000680195+V111*0.000680195</f>
        <v/>
      </c>
      <c r="AW111" s="7">
        <f>V111*0.000680195+W111*0.000680195</f>
        <v/>
      </c>
      <c r="AX111" s="7">
        <f>W111*0.000680195+X111*0.000680195</f>
        <v/>
      </c>
      <c r="AY111" s="7">
        <f>X111*0.000680195+Y111*0.000680195</f>
        <v/>
      </c>
      <c r="AZ111" s="7">
        <f>Y111*0.000680195+Z111*0.000680195</f>
        <v/>
      </c>
      <c r="BA111" s="7">
        <f>Z111*0.000680195+AA111*0.000680195</f>
        <v/>
      </c>
      <c r="BB111" s="7">
        <f>SUM(AD111:BA111)</f>
        <v/>
      </c>
    </row>
    <row r="112">
      <c r="A112" t="inlineStr">
        <is>
          <t>DC-10-1</t>
        </is>
      </c>
      <c r="B112" t="inlineStr">
        <is>
          <t>DSC Manual</t>
        </is>
      </c>
      <c r="C112" s="5" t="n">
        <v>46090</v>
      </c>
      <c r="D112" s="6">
        <f>Summary!D112</f>
        <v/>
      </c>
      <c r="E112" s="6">
        <f>Summary!E112</f>
        <v/>
      </c>
      <c r="F112" s="6">
        <f>Summary!F112</f>
        <v/>
      </c>
      <c r="G112" s="6">
        <f>Summary!G112</f>
        <v/>
      </c>
      <c r="H112" s="6">
        <f>Summary!H112</f>
        <v/>
      </c>
      <c r="I112" s="6">
        <f>Summary!I112</f>
        <v/>
      </c>
      <c r="J112" s="6">
        <f>Summary!J112</f>
        <v/>
      </c>
      <c r="K112" s="6">
        <f>Summary!K112</f>
        <v/>
      </c>
      <c r="L112" s="6">
        <f>Summary!L112</f>
        <v/>
      </c>
      <c r="M112" s="6">
        <f>Summary!M112</f>
        <v/>
      </c>
      <c r="N112" s="6">
        <f>Summary!N112</f>
        <v/>
      </c>
      <c r="O112" s="6">
        <f>Summary!O112</f>
        <v/>
      </c>
      <c r="P112" s="6">
        <f>Summary!P112</f>
        <v/>
      </c>
      <c r="Q112" s="6">
        <f>Summary!Q112</f>
        <v/>
      </c>
      <c r="R112" s="6">
        <f>Summary!R112</f>
        <v/>
      </c>
      <c r="S112" s="6">
        <f>Summary!S112</f>
        <v/>
      </c>
      <c r="T112" s="6">
        <f>Summary!T112</f>
        <v/>
      </c>
      <c r="U112" s="6">
        <f>Summary!U112</f>
        <v/>
      </c>
      <c r="V112" s="6">
        <f>Summary!V112</f>
        <v/>
      </c>
      <c r="W112" s="6">
        <f>Summary!W112</f>
        <v/>
      </c>
      <c r="X112" s="6">
        <f>Summary!X112</f>
        <v/>
      </c>
      <c r="Y112" s="6">
        <f>Summary!Y112</f>
        <v/>
      </c>
      <c r="Z112" s="6">
        <f>Summary!Z112</f>
        <v/>
      </c>
      <c r="AA112" s="6">
        <f>Summary!AA112</f>
        <v/>
      </c>
      <c r="AB112" s="6">
        <f>SUM(D112:AA112)</f>
        <v/>
      </c>
      <c r="AC112" s="3" t="inlineStr"/>
      <c r="AD112" s="7">
        <f>AA112*0.000680195+D112*0.000680195</f>
        <v/>
      </c>
      <c r="AE112" s="7">
        <f>D112*0.000680195+E112*0.000680195</f>
        <v/>
      </c>
      <c r="AF112" s="7">
        <f>E112*0.000680195+F112*0.000680195</f>
        <v/>
      </c>
      <c r="AG112" s="7">
        <f>F112*0.000680195+G112*0.000680195</f>
        <v/>
      </c>
      <c r="AH112" s="7">
        <f>G112*0.000680195+H112*0.000680195</f>
        <v/>
      </c>
      <c r="AI112" s="7">
        <f>H112*0.000680195+I112*0.000680195</f>
        <v/>
      </c>
      <c r="AJ112" s="7">
        <f>I112*0.000680195+J112*0.000680195</f>
        <v/>
      </c>
      <c r="AK112" s="7">
        <f>J112*0.000680195+K112*0.000680195</f>
        <v/>
      </c>
      <c r="AL112" s="7">
        <f>K112*0.000680195+L112*0.000680195</f>
        <v/>
      </c>
      <c r="AM112" s="7">
        <f>L112*0.000680195+M112*0.000680195</f>
        <v/>
      </c>
      <c r="AN112" s="7">
        <f>M112*0.000680195+N112*0.000680195</f>
        <v/>
      </c>
      <c r="AO112" s="7">
        <f>N112*0.000680195+O112*0.000680195</f>
        <v/>
      </c>
      <c r="AP112" s="7">
        <f>O112*0.000680195+P112*0.000680195</f>
        <v/>
      </c>
      <c r="AQ112" s="7">
        <f>P112*0.000680195+Q112*0.000680195</f>
        <v/>
      </c>
      <c r="AR112" s="7">
        <f>Q112*0.000680195+R112*0.000680195</f>
        <v/>
      </c>
      <c r="AS112" s="7">
        <f>R112*0.000680195+S112*0.000680195</f>
        <v/>
      </c>
      <c r="AT112" s="7">
        <f>S112*0.000680195+T112*0.000680195</f>
        <v/>
      </c>
      <c r="AU112" s="7">
        <f>T112*0.000680195+U112*0.000680195</f>
        <v/>
      </c>
      <c r="AV112" s="7">
        <f>U112*0.000680195+V112*0.000680195</f>
        <v/>
      </c>
      <c r="AW112" s="7">
        <f>V112*0.000680195+W112*0.000680195</f>
        <v/>
      </c>
      <c r="AX112" s="7">
        <f>W112*0.000680195+X112*0.000680195</f>
        <v/>
      </c>
      <c r="AY112" s="7">
        <f>X112*0.000680195+Y112*0.000680195</f>
        <v/>
      </c>
      <c r="AZ112" s="7">
        <f>Y112*0.000680195+Z112*0.000680195</f>
        <v/>
      </c>
      <c r="BA112" s="7">
        <f>Z112*0.000680195+AA112*0.000680195</f>
        <v/>
      </c>
      <c r="BB112" s="7">
        <f>SUM(AD112:BA112)</f>
        <v/>
      </c>
    </row>
    <row r="113">
      <c r="A113" t="inlineStr">
        <is>
          <t>DC-10-1</t>
        </is>
      </c>
      <c r="B113" t="inlineStr">
        <is>
          <t>DSC Manual</t>
        </is>
      </c>
      <c r="C113" s="5" t="n">
        <v>46091</v>
      </c>
      <c r="D113" s="6">
        <f>Summary!D113</f>
        <v/>
      </c>
      <c r="E113" s="6">
        <f>Summary!E113</f>
        <v/>
      </c>
      <c r="F113" s="6">
        <f>Summary!F113</f>
        <v/>
      </c>
      <c r="G113" s="6">
        <f>Summary!G113</f>
        <v/>
      </c>
      <c r="H113" s="6">
        <f>Summary!H113</f>
        <v/>
      </c>
      <c r="I113" s="6">
        <f>Summary!I113</f>
        <v/>
      </c>
      <c r="J113" s="6">
        <f>Summary!J113</f>
        <v/>
      </c>
      <c r="K113" s="6">
        <f>Summary!K113</f>
        <v/>
      </c>
      <c r="L113" s="6">
        <f>Summary!L113</f>
        <v/>
      </c>
      <c r="M113" s="6">
        <f>Summary!M113</f>
        <v/>
      </c>
      <c r="N113" s="6">
        <f>Summary!N113</f>
        <v/>
      </c>
      <c r="O113" s="6">
        <f>Summary!O113</f>
        <v/>
      </c>
      <c r="P113" s="6">
        <f>Summary!P113</f>
        <v/>
      </c>
      <c r="Q113" s="6">
        <f>Summary!Q113</f>
        <v/>
      </c>
      <c r="R113" s="6">
        <f>Summary!R113</f>
        <v/>
      </c>
      <c r="S113" s="6">
        <f>Summary!S113</f>
        <v/>
      </c>
      <c r="T113" s="6">
        <f>Summary!T113</f>
        <v/>
      </c>
      <c r="U113" s="6">
        <f>Summary!U113</f>
        <v/>
      </c>
      <c r="V113" s="6">
        <f>Summary!V113</f>
        <v/>
      </c>
      <c r="W113" s="6">
        <f>Summary!W113</f>
        <v/>
      </c>
      <c r="X113" s="6">
        <f>Summary!X113</f>
        <v/>
      </c>
      <c r="Y113" s="6">
        <f>Summary!Y113</f>
        <v/>
      </c>
      <c r="Z113" s="6">
        <f>Summary!Z113</f>
        <v/>
      </c>
      <c r="AA113" s="6">
        <f>Summary!AA113</f>
        <v/>
      </c>
      <c r="AB113" s="6">
        <f>SUM(D113:AA113)</f>
        <v/>
      </c>
      <c r="AC113" s="3" t="inlineStr"/>
      <c r="AD113" s="7">
        <f>AA113*0.000680195+D113*0.000680195</f>
        <v/>
      </c>
      <c r="AE113" s="7">
        <f>D113*0.000680195+E113*0.000680195</f>
        <v/>
      </c>
      <c r="AF113" s="7">
        <f>E113*0.000680195+F113*0.000680195</f>
        <v/>
      </c>
      <c r="AG113" s="7">
        <f>F113*0.000680195+G113*0.000680195</f>
        <v/>
      </c>
      <c r="AH113" s="7">
        <f>G113*0.000680195+H113*0.000680195</f>
        <v/>
      </c>
      <c r="AI113" s="7">
        <f>H113*0.000680195+I113*0.000680195</f>
        <v/>
      </c>
      <c r="AJ113" s="7">
        <f>I113*0.000680195+J113*0.000680195</f>
        <v/>
      </c>
      <c r="AK113" s="7">
        <f>J113*0.000680195+K113*0.000680195</f>
        <v/>
      </c>
      <c r="AL113" s="7">
        <f>K113*0.000680195+L113*0.000680195</f>
        <v/>
      </c>
      <c r="AM113" s="7">
        <f>L113*0.000680195+M113*0.000680195</f>
        <v/>
      </c>
      <c r="AN113" s="7">
        <f>M113*0.000680195+N113*0.000680195</f>
        <v/>
      </c>
      <c r="AO113" s="7">
        <f>N113*0.000680195+O113*0.000680195</f>
        <v/>
      </c>
      <c r="AP113" s="7">
        <f>O113*0.000680195+P113*0.000680195</f>
        <v/>
      </c>
      <c r="AQ113" s="7">
        <f>P113*0.000680195+Q113*0.000680195</f>
        <v/>
      </c>
      <c r="AR113" s="7">
        <f>Q113*0.000680195+R113*0.000680195</f>
        <v/>
      </c>
      <c r="AS113" s="7">
        <f>R113*0.000680195+S113*0.000680195</f>
        <v/>
      </c>
      <c r="AT113" s="7">
        <f>S113*0.000680195+T113*0.000680195</f>
        <v/>
      </c>
      <c r="AU113" s="7">
        <f>T113*0.000680195+U113*0.000680195</f>
        <v/>
      </c>
      <c r="AV113" s="7">
        <f>U113*0.000680195+V113*0.000680195</f>
        <v/>
      </c>
      <c r="AW113" s="7">
        <f>V113*0.000680195+W113*0.000680195</f>
        <v/>
      </c>
      <c r="AX113" s="7">
        <f>W113*0.000680195+X113*0.000680195</f>
        <v/>
      </c>
      <c r="AY113" s="7">
        <f>X113*0.000680195+Y113*0.000680195</f>
        <v/>
      </c>
      <c r="AZ113" s="7">
        <f>Y113*0.000680195+Z113*0.000680195</f>
        <v/>
      </c>
      <c r="BA113" s="7">
        <f>Z113*0.000680195+AA113*0.000680195</f>
        <v/>
      </c>
      <c r="BB113" s="7">
        <f>SUM(AD113:BA113)</f>
        <v/>
      </c>
    </row>
    <row r="114">
      <c r="A114" t="inlineStr">
        <is>
          <t>DC-10-1</t>
        </is>
      </c>
      <c r="B114" t="inlineStr">
        <is>
          <t>DSC Manual</t>
        </is>
      </c>
      <c r="C114" s="5" t="n">
        <v>46092</v>
      </c>
      <c r="D114" s="6">
        <f>Summary!D114</f>
        <v/>
      </c>
      <c r="E114" s="6">
        <f>Summary!E114</f>
        <v/>
      </c>
      <c r="F114" s="6">
        <f>Summary!F114</f>
        <v/>
      </c>
      <c r="G114" s="6">
        <f>Summary!G114</f>
        <v/>
      </c>
      <c r="H114" s="6">
        <f>Summary!H114</f>
        <v/>
      </c>
      <c r="I114" s="6">
        <f>Summary!I114</f>
        <v/>
      </c>
      <c r="J114" s="6">
        <f>Summary!J114</f>
        <v/>
      </c>
      <c r="K114" s="6">
        <f>Summary!K114</f>
        <v/>
      </c>
      <c r="L114" s="6">
        <f>Summary!L114</f>
        <v/>
      </c>
      <c r="M114" s="6">
        <f>Summary!M114</f>
        <v/>
      </c>
      <c r="N114" s="6">
        <f>Summary!N114</f>
        <v/>
      </c>
      <c r="O114" s="6">
        <f>Summary!O114</f>
        <v/>
      </c>
      <c r="P114" s="6">
        <f>Summary!P114</f>
        <v/>
      </c>
      <c r="Q114" s="6">
        <f>Summary!Q114</f>
        <v/>
      </c>
      <c r="R114" s="6">
        <f>Summary!R114</f>
        <v/>
      </c>
      <c r="S114" s="6">
        <f>Summary!S114</f>
        <v/>
      </c>
      <c r="T114" s="6">
        <f>Summary!T114</f>
        <v/>
      </c>
      <c r="U114" s="6">
        <f>Summary!U114</f>
        <v/>
      </c>
      <c r="V114" s="6">
        <f>Summary!V114</f>
        <v/>
      </c>
      <c r="W114" s="6">
        <f>Summary!W114</f>
        <v/>
      </c>
      <c r="X114" s="6">
        <f>Summary!X114</f>
        <v/>
      </c>
      <c r="Y114" s="6">
        <f>Summary!Y114</f>
        <v/>
      </c>
      <c r="Z114" s="6">
        <f>Summary!Z114</f>
        <v/>
      </c>
      <c r="AA114" s="6">
        <f>Summary!AA114</f>
        <v/>
      </c>
      <c r="AB114" s="6">
        <f>SUM(D114:AA114)</f>
        <v/>
      </c>
      <c r="AC114" s="3" t="inlineStr"/>
      <c r="AD114" s="7">
        <f>AA114*0.000680195+D114*0.000680195</f>
        <v/>
      </c>
      <c r="AE114" s="7">
        <f>D114*0.000680195+E114*0.000680195</f>
        <v/>
      </c>
      <c r="AF114" s="7">
        <f>E114*0.000680195+F114*0.000680195</f>
        <v/>
      </c>
      <c r="AG114" s="7">
        <f>F114*0.000680195+G114*0.000680195</f>
        <v/>
      </c>
      <c r="AH114" s="7">
        <f>G114*0.000680195+H114*0.000680195</f>
        <v/>
      </c>
      <c r="AI114" s="7">
        <f>H114*0.000680195+I114*0.000680195</f>
        <v/>
      </c>
      <c r="AJ114" s="7">
        <f>I114*0.000680195+J114*0.000680195</f>
        <v/>
      </c>
      <c r="AK114" s="7">
        <f>J114*0.000680195+K114*0.000680195</f>
        <v/>
      </c>
      <c r="AL114" s="7">
        <f>K114*0.000680195+L114*0.000680195</f>
        <v/>
      </c>
      <c r="AM114" s="7">
        <f>L114*0.000680195+M114*0.000680195</f>
        <v/>
      </c>
      <c r="AN114" s="7">
        <f>M114*0.000680195+N114*0.000680195</f>
        <v/>
      </c>
      <c r="AO114" s="7">
        <f>N114*0.000680195+O114*0.000680195</f>
        <v/>
      </c>
      <c r="AP114" s="7">
        <f>O114*0.000680195+P114*0.000680195</f>
        <v/>
      </c>
      <c r="AQ114" s="7">
        <f>P114*0.000680195+Q114*0.000680195</f>
        <v/>
      </c>
      <c r="AR114" s="7">
        <f>Q114*0.000680195+R114*0.000680195</f>
        <v/>
      </c>
      <c r="AS114" s="7">
        <f>R114*0.000680195+S114*0.000680195</f>
        <v/>
      </c>
      <c r="AT114" s="7">
        <f>S114*0.000680195+T114*0.000680195</f>
        <v/>
      </c>
      <c r="AU114" s="7">
        <f>T114*0.000680195+U114*0.000680195</f>
        <v/>
      </c>
      <c r="AV114" s="7">
        <f>U114*0.000680195+V114*0.000680195</f>
        <v/>
      </c>
      <c r="AW114" s="7">
        <f>V114*0.000680195+W114*0.000680195</f>
        <v/>
      </c>
      <c r="AX114" s="7">
        <f>W114*0.000680195+X114*0.000680195</f>
        <v/>
      </c>
      <c r="AY114" s="7">
        <f>X114*0.000680195+Y114*0.000680195</f>
        <v/>
      </c>
      <c r="AZ114" s="7">
        <f>Y114*0.000680195+Z114*0.000680195</f>
        <v/>
      </c>
      <c r="BA114" s="7">
        <f>Z114*0.000680195+AA114*0.000680195</f>
        <v/>
      </c>
      <c r="BB114" s="7">
        <f>SUM(AD114:BA114)</f>
        <v/>
      </c>
    </row>
    <row r="115">
      <c r="A115" t="inlineStr">
        <is>
          <t>DC-10-1</t>
        </is>
      </c>
      <c r="B115" t="inlineStr">
        <is>
          <t>DSC Manual</t>
        </is>
      </c>
      <c r="C115" s="5" t="n">
        <v>46093</v>
      </c>
      <c r="D115" s="6">
        <f>Summary!D115</f>
        <v/>
      </c>
      <c r="E115" s="6">
        <f>Summary!E115</f>
        <v/>
      </c>
      <c r="F115" s="6">
        <f>Summary!F115</f>
        <v/>
      </c>
      <c r="G115" s="6">
        <f>Summary!G115</f>
        <v/>
      </c>
      <c r="H115" s="6">
        <f>Summary!H115</f>
        <v/>
      </c>
      <c r="I115" s="6">
        <f>Summary!I115</f>
        <v/>
      </c>
      <c r="J115" s="6">
        <f>Summary!J115</f>
        <v/>
      </c>
      <c r="K115" s="6">
        <f>Summary!K115</f>
        <v/>
      </c>
      <c r="L115" s="6">
        <f>Summary!L115</f>
        <v/>
      </c>
      <c r="M115" s="6">
        <f>Summary!M115</f>
        <v/>
      </c>
      <c r="N115" s="6">
        <f>Summary!N115</f>
        <v/>
      </c>
      <c r="O115" s="6">
        <f>Summary!O115</f>
        <v/>
      </c>
      <c r="P115" s="6">
        <f>Summary!P115</f>
        <v/>
      </c>
      <c r="Q115" s="6">
        <f>Summary!Q115</f>
        <v/>
      </c>
      <c r="R115" s="6">
        <f>Summary!R115</f>
        <v/>
      </c>
      <c r="S115" s="6">
        <f>Summary!S115</f>
        <v/>
      </c>
      <c r="T115" s="6">
        <f>Summary!T115</f>
        <v/>
      </c>
      <c r="U115" s="6">
        <f>Summary!U115</f>
        <v/>
      </c>
      <c r="V115" s="6">
        <f>Summary!V115</f>
        <v/>
      </c>
      <c r="W115" s="6">
        <f>Summary!W115</f>
        <v/>
      </c>
      <c r="X115" s="6">
        <f>Summary!X115</f>
        <v/>
      </c>
      <c r="Y115" s="6">
        <f>Summary!Y115</f>
        <v/>
      </c>
      <c r="Z115" s="6">
        <f>Summary!Z115</f>
        <v/>
      </c>
      <c r="AA115" s="6">
        <f>Summary!AA115</f>
        <v/>
      </c>
      <c r="AB115" s="6">
        <f>SUM(D115:AA115)</f>
        <v/>
      </c>
      <c r="AC115" s="3" t="inlineStr"/>
      <c r="AD115" s="7">
        <f>AA115*0.000680195+D115*0.000680195</f>
        <v/>
      </c>
      <c r="AE115" s="7">
        <f>D115*0.000680195+E115*0.000680195</f>
        <v/>
      </c>
      <c r="AF115" s="7">
        <f>E115*0.000680195+F115*0.000680195</f>
        <v/>
      </c>
      <c r="AG115" s="7">
        <f>F115*0.000680195+G115*0.000680195</f>
        <v/>
      </c>
      <c r="AH115" s="7">
        <f>G115*0.000680195+H115*0.000680195</f>
        <v/>
      </c>
      <c r="AI115" s="7">
        <f>H115*0.000680195+I115*0.000680195</f>
        <v/>
      </c>
      <c r="AJ115" s="7">
        <f>I115*0.000680195+J115*0.000680195</f>
        <v/>
      </c>
      <c r="AK115" s="7">
        <f>J115*0.000680195+K115*0.000680195</f>
        <v/>
      </c>
      <c r="AL115" s="7">
        <f>K115*0.000680195+L115*0.000680195</f>
        <v/>
      </c>
      <c r="AM115" s="7">
        <f>L115*0.000680195+M115*0.000680195</f>
        <v/>
      </c>
      <c r="AN115" s="7">
        <f>M115*0.000680195+N115*0.000680195</f>
        <v/>
      </c>
      <c r="AO115" s="7">
        <f>N115*0.000680195+O115*0.000680195</f>
        <v/>
      </c>
      <c r="AP115" s="7">
        <f>O115*0.000680195+P115*0.000680195</f>
        <v/>
      </c>
      <c r="AQ115" s="7">
        <f>P115*0.000680195+Q115*0.000680195</f>
        <v/>
      </c>
      <c r="AR115" s="7">
        <f>Q115*0.000680195+R115*0.000680195</f>
        <v/>
      </c>
      <c r="AS115" s="7">
        <f>R115*0.000680195+S115*0.000680195</f>
        <v/>
      </c>
      <c r="AT115" s="7">
        <f>S115*0.000680195+T115*0.000680195</f>
        <v/>
      </c>
      <c r="AU115" s="7">
        <f>T115*0.000680195+U115*0.000680195</f>
        <v/>
      </c>
      <c r="AV115" s="7">
        <f>U115*0.000680195+V115*0.000680195</f>
        <v/>
      </c>
      <c r="AW115" s="7">
        <f>V115*0.000680195+W115*0.000680195</f>
        <v/>
      </c>
      <c r="AX115" s="7">
        <f>W115*0.000680195+X115*0.000680195</f>
        <v/>
      </c>
      <c r="AY115" s="7">
        <f>X115*0.000680195+Y115*0.000680195</f>
        <v/>
      </c>
      <c r="AZ115" s="7">
        <f>Y115*0.000680195+Z115*0.000680195</f>
        <v/>
      </c>
      <c r="BA115" s="7">
        <f>Z115*0.000680195+AA115*0.000680195</f>
        <v/>
      </c>
      <c r="BB115" s="7">
        <f>SUM(AD115:BA115)</f>
        <v/>
      </c>
    </row>
    <row r="116">
      <c r="A116" t="inlineStr">
        <is>
          <t>DC-10-1</t>
        </is>
      </c>
      <c r="B116" t="inlineStr">
        <is>
          <t>DSC Manual</t>
        </is>
      </c>
      <c r="C116" s="5" t="n">
        <v>46094</v>
      </c>
      <c r="D116" s="6">
        <f>Summary!D116</f>
        <v/>
      </c>
      <c r="E116" s="6">
        <f>Summary!E116</f>
        <v/>
      </c>
      <c r="F116" s="6">
        <f>Summary!F116</f>
        <v/>
      </c>
      <c r="G116" s="6">
        <f>Summary!G116</f>
        <v/>
      </c>
      <c r="H116" s="6">
        <f>Summary!H116</f>
        <v/>
      </c>
      <c r="I116" s="6">
        <f>Summary!I116</f>
        <v/>
      </c>
      <c r="J116" s="6">
        <f>Summary!J116</f>
        <v/>
      </c>
      <c r="K116" s="6">
        <f>Summary!K116</f>
        <v/>
      </c>
      <c r="L116" s="6">
        <f>Summary!L116</f>
        <v/>
      </c>
      <c r="M116" s="6">
        <f>Summary!M116</f>
        <v/>
      </c>
      <c r="N116" s="6">
        <f>Summary!N116</f>
        <v/>
      </c>
      <c r="O116" s="6">
        <f>Summary!O116</f>
        <v/>
      </c>
      <c r="P116" s="6">
        <f>Summary!P116</f>
        <v/>
      </c>
      <c r="Q116" s="6">
        <f>Summary!Q116</f>
        <v/>
      </c>
      <c r="R116" s="6">
        <f>Summary!R116</f>
        <v/>
      </c>
      <c r="S116" s="6">
        <f>Summary!S116</f>
        <v/>
      </c>
      <c r="T116" s="6">
        <f>Summary!T116</f>
        <v/>
      </c>
      <c r="U116" s="6">
        <f>Summary!U116</f>
        <v/>
      </c>
      <c r="V116" s="6">
        <f>Summary!V116</f>
        <v/>
      </c>
      <c r="W116" s="6">
        <f>Summary!W116</f>
        <v/>
      </c>
      <c r="X116" s="6">
        <f>Summary!X116</f>
        <v/>
      </c>
      <c r="Y116" s="6">
        <f>Summary!Y116</f>
        <v/>
      </c>
      <c r="Z116" s="6">
        <f>Summary!Z116</f>
        <v/>
      </c>
      <c r="AA116" s="6">
        <f>Summary!AA116</f>
        <v/>
      </c>
      <c r="AB116" s="6">
        <f>SUM(D116:AA116)</f>
        <v/>
      </c>
      <c r="AC116" s="3" t="inlineStr"/>
      <c r="AD116" s="7">
        <f>AA116*0.000680195+D116*0.000680195</f>
        <v/>
      </c>
      <c r="AE116" s="7">
        <f>D116*0.000680195+E116*0.000680195</f>
        <v/>
      </c>
      <c r="AF116" s="7">
        <f>E116*0.000680195+F116*0.000680195</f>
        <v/>
      </c>
      <c r="AG116" s="7">
        <f>F116*0.000680195+G116*0.000680195</f>
        <v/>
      </c>
      <c r="AH116" s="7">
        <f>G116*0.000680195+H116*0.000680195</f>
        <v/>
      </c>
      <c r="AI116" s="7">
        <f>H116*0.000680195+I116*0.000680195</f>
        <v/>
      </c>
      <c r="AJ116" s="7">
        <f>I116*0.000680195+J116*0.000680195</f>
        <v/>
      </c>
      <c r="AK116" s="7">
        <f>J116*0.000680195+K116*0.000680195</f>
        <v/>
      </c>
      <c r="AL116" s="7">
        <f>K116*0.000680195+L116*0.000680195</f>
        <v/>
      </c>
      <c r="AM116" s="7">
        <f>L116*0.000680195+M116*0.000680195</f>
        <v/>
      </c>
      <c r="AN116" s="7">
        <f>M116*0.000680195+N116*0.000680195</f>
        <v/>
      </c>
      <c r="AO116" s="7">
        <f>N116*0.000680195+O116*0.000680195</f>
        <v/>
      </c>
      <c r="AP116" s="7">
        <f>O116*0.000680195+P116*0.000680195</f>
        <v/>
      </c>
      <c r="AQ116" s="7">
        <f>P116*0.000680195+Q116*0.000680195</f>
        <v/>
      </c>
      <c r="AR116" s="7">
        <f>Q116*0.000680195+R116*0.000680195</f>
        <v/>
      </c>
      <c r="AS116" s="7">
        <f>R116*0.000680195+S116*0.000680195</f>
        <v/>
      </c>
      <c r="AT116" s="7">
        <f>S116*0.000680195+T116*0.000680195</f>
        <v/>
      </c>
      <c r="AU116" s="7">
        <f>T116*0.000680195+U116*0.000680195</f>
        <v/>
      </c>
      <c r="AV116" s="7">
        <f>U116*0.000680195+V116*0.000680195</f>
        <v/>
      </c>
      <c r="AW116" s="7">
        <f>V116*0.000680195+W116*0.000680195</f>
        <v/>
      </c>
      <c r="AX116" s="7">
        <f>W116*0.000680195+X116*0.000680195</f>
        <v/>
      </c>
      <c r="AY116" s="7">
        <f>X116*0.000680195+Y116*0.000680195</f>
        <v/>
      </c>
      <c r="AZ116" s="7">
        <f>Y116*0.000680195+Z116*0.000680195</f>
        <v/>
      </c>
      <c r="BA116" s="7">
        <f>Z116*0.000680195+AA116*0.000680195</f>
        <v/>
      </c>
      <c r="BB116" s="7">
        <f>SUM(AD116:BA116)</f>
        <v/>
      </c>
    </row>
    <row r="117">
      <c r="A117" t="inlineStr">
        <is>
          <t>DC-10-1</t>
        </is>
      </c>
      <c r="B117" t="inlineStr">
        <is>
          <t>DSC Manual</t>
        </is>
      </c>
      <c r="C117" s="5" t="n">
        <v>46095</v>
      </c>
      <c r="D117" s="6">
        <f>Summary!D117</f>
        <v/>
      </c>
      <c r="E117" s="6">
        <f>Summary!E117</f>
        <v/>
      </c>
      <c r="F117" s="6">
        <f>Summary!F117</f>
        <v/>
      </c>
      <c r="G117" s="6">
        <f>Summary!G117</f>
        <v/>
      </c>
      <c r="H117" s="6">
        <f>Summary!H117</f>
        <v/>
      </c>
      <c r="I117" s="6">
        <f>Summary!I117</f>
        <v/>
      </c>
      <c r="J117" s="6">
        <f>Summary!J117</f>
        <v/>
      </c>
      <c r="K117" s="6">
        <f>Summary!K117</f>
        <v/>
      </c>
      <c r="L117" s="6">
        <f>Summary!L117</f>
        <v/>
      </c>
      <c r="M117" s="6">
        <f>Summary!M117</f>
        <v/>
      </c>
      <c r="N117" s="6">
        <f>Summary!N117</f>
        <v/>
      </c>
      <c r="O117" s="6">
        <f>Summary!O117</f>
        <v/>
      </c>
      <c r="P117" s="6">
        <f>Summary!P117</f>
        <v/>
      </c>
      <c r="Q117" s="6">
        <f>Summary!Q117</f>
        <v/>
      </c>
      <c r="R117" s="6">
        <f>Summary!R117</f>
        <v/>
      </c>
      <c r="S117" s="6">
        <f>Summary!S117</f>
        <v/>
      </c>
      <c r="T117" s="6">
        <f>Summary!T117</f>
        <v/>
      </c>
      <c r="U117" s="6">
        <f>Summary!U117</f>
        <v/>
      </c>
      <c r="V117" s="6">
        <f>Summary!V117</f>
        <v/>
      </c>
      <c r="W117" s="6">
        <f>Summary!W117</f>
        <v/>
      </c>
      <c r="X117" s="6">
        <f>Summary!X117</f>
        <v/>
      </c>
      <c r="Y117" s="6">
        <f>Summary!Y117</f>
        <v/>
      </c>
      <c r="Z117" s="6">
        <f>Summary!Z117</f>
        <v/>
      </c>
      <c r="AA117" s="6">
        <f>Summary!AA117</f>
        <v/>
      </c>
      <c r="AB117" s="6">
        <f>SUM(D117:AA117)</f>
        <v/>
      </c>
      <c r="AC117" s="3" t="inlineStr"/>
      <c r="AD117" s="7">
        <f>AA117*0.000680195+D117*0.000680195</f>
        <v/>
      </c>
      <c r="AE117" s="7">
        <f>D117*0.000680195+E117*0.000680195</f>
        <v/>
      </c>
      <c r="AF117" s="7">
        <f>E117*0.000680195+F117*0.000680195</f>
        <v/>
      </c>
      <c r="AG117" s="7">
        <f>F117*0.000680195+G117*0.000680195</f>
        <v/>
      </c>
      <c r="AH117" s="7">
        <f>G117*0.000680195+H117*0.000680195</f>
        <v/>
      </c>
      <c r="AI117" s="7">
        <f>H117*0.000680195+I117*0.000680195</f>
        <v/>
      </c>
      <c r="AJ117" s="7">
        <f>I117*0.000680195+J117*0.000680195</f>
        <v/>
      </c>
      <c r="AK117" s="7">
        <f>J117*0.000680195+K117*0.000680195</f>
        <v/>
      </c>
      <c r="AL117" s="7">
        <f>K117*0.000680195+L117*0.000680195</f>
        <v/>
      </c>
      <c r="AM117" s="7">
        <f>L117*0.000680195+M117*0.000680195</f>
        <v/>
      </c>
      <c r="AN117" s="7">
        <f>M117*0.000680195+N117*0.000680195</f>
        <v/>
      </c>
      <c r="AO117" s="7">
        <f>N117*0.000680195+O117*0.000680195</f>
        <v/>
      </c>
      <c r="AP117" s="7">
        <f>O117*0.000680195+P117*0.000680195</f>
        <v/>
      </c>
      <c r="AQ117" s="7">
        <f>P117*0.000680195+Q117*0.000680195</f>
        <v/>
      </c>
      <c r="AR117" s="7">
        <f>Q117*0.000680195+R117*0.000680195</f>
        <v/>
      </c>
      <c r="AS117" s="7">
        <f>R117*0.000680195+S117*0.000680195</f>
        <v/>
      </c>
      <c r="AT117" s="7">
        <f>S117*0.000680195+T117*0.000680195</f>
        <v/>
      </c>
      <c r="AU117" s="7">
        <f>T117*0.000680195+U117*0.000680195</f>
        <v/>
      </c>
      <c r="AV117" s="7">
        <f>U117*0.000680195+V117*0.000680195</f>
        <v/>
      </c>
      <c r="AW117" s="7">
        <f>V117*0.000680195+W117*0.000680195</f>
        <v/>
      </c>
      <c r="AX117" s="7">
        <f>W117*0.000680195+X117*0.000680195</f>
        <v/>
      </c>
      <c r="AY117" s="7">
        <f>X117*0.000680195+Y117*0.000680195</f>
        <v/>
      </c>
      <c r="AZ117" s="7">
        <f>Y117*0.000680195+Z117*0.000680195</f>
        <v/>
      </c>
      <c r="BA117" s="7">
        <f>Z117*0.000680195+AA117*0.000680195</f>
        <v/>
      </c>
      <c r="BB117" s="7">
        <f>SUM(AD117:BA117)</f>
        <v/>
      </c>
    </row>
    <row r="118">
      <c r="A118" t="inlineStr">
        <is>
          <t>DC-10-1</t>
        </is>
      </c>
      <c r="B118" t="inlineStr">
        <is>
          <t>DSC Manual</t>
        </is>
      </c>
      <c r="C118" s="5" t="n">
        <v>46096</v>
      </c>
      <c r="D118" s="6">
        <f>Summary!D118</f>
        <v/>
      </c>
      <c r="E118" s="6">
        <f>Summary!E118</f>
        <v/>
      </c>
      <c r="F118" s="6">
        <f>Summary!F118</f>
        <v/>
      </c>
      <c r="G118" s="6">
        <f>Summary!G118</f>
        <v/>
      </c>
      <c r="H118" s="6">
        <f>Summary!H118</f>
        <v/>
      </c>
      <c r="I118" s="6">
        <f>Summary!I118</f>
        <v/>
      </c>
      <c r="J118" s="6">
        <f>Summary!J118</f>
        <v/>
      </c>
      <c r="K118" s="6">
        <f>Summary!K118</f>
        <v/>
      </c>
      <c r="L118" s="6">
        <f>Summary!L118</f>
        <v/>
      </c>
      <c r="M118" s="6">
        <f>Summary!M118</f>
        <v/>
      </c>
      <c r="N118" s="6">
        <f>Summary!N118</f>
        <v/>
      </c>
      <c r="O118" s="6">
        <f>Summary!O118</f>
        <v/>
      </c>
      <c r="P118" s="6">
        <f>Summary!P118</f>
        <v/>
      </c>
      <c r="Q118" s="6">
        <f>Summary!Q118</f>
        <v/>
      </c>
      <c r="R118" s="6">
        <f>Summary!R118</f>
        <v/>
      </c>
      <c r="S118" s="6">
        <f>Summary!S118</f>
        <v/>
      </c>
      <c r="T118" s="6">
        <f>Summary!T118</f>
        <v/>
      </c>
      <c r="U118" s="6">
        <f>Summary!U118</f>
        <v/>
      </c>
      <c r="V118" s="6">
        <f>Summary!V118</f>
        <v/>
      </c>
      <c r="W118" s="6">
        <f>Summary!W118</f>
        <v/>
      </c>
      <c r="X118" s="6">
        <f>Summary!X118</f>
        <v/>
      </c>
      <c r="Y118" s="6">
        <f>Summary!Y118</f>
        <v/>
      </c>
      <c r="Z118" s="6">
        <f>Summary!Z118</f>
        <v/>
      </c>
      <c r="AA118" s="6">
        <f>Summary!AA118</f>
        <v/>
      </c>
      <c r="AB118" s="6">
        <f>SUM(D118:AA118)</f>
        <v/>
      </c>
      <c r="AC118" s="3" t="inlineStr"/>
      <c r="AD118" s="7">
        <f>AA118*0.000680195+D118*0.000680195</f>
        <v/>
      </c>
      <c r="AE118" s="7">
        <f>D118*0.000680195+E118*0.000680195</f>
        <v/>
      </c>
      <c r="AF118" s="7">
        <f>E118*0.000680195+F118*0.000680195</f>
        <v/>
      </c>
      <c r="AG118" s="7">
        <f>F118*0.000680195+G118*0.000680195</f>
        <v/>
      </c>
      <c r="AH118" s="7">
        <f>G118*0.000680195+H118*0.000680195</f>
        <v/>
      </c>
      <c r="AI118" s="7">
        <f>H118*0.000680195+I118*0.000680195</f>
        <v/>
      </c>
      <c r="AJ118" s="7">
        <f>I118*0.000680195+J118*0.000680195</f>
        <v/>
      </c>
      <c r="AK118" s="7">
        <f>J118*0.000680195+K118*0.000680195</f>
        <v/>
      </c>
      <c r="AL118" s="7">
        <f>K118*0.000680195+L118*0.000680195</f>
        <v/>
      </c>
      <c r="AM118" s="7">
        <f>L118*0.000680195+M118*0.000680195</f>
        <v/>
      </c>
      <c r="AN118" s="7">
        <f>M118*0.000680195+N118*0.000680195</f>
        <v/>
      </c>
      <c r="AO118" s="7">
        <f>N118*0.000680195+O118*0.000680195</f>
        <v/>
      </c>
      <c r="AP118" s="7">
        <f>O118*0.000680195+P118*0.000680195</f>
        <v/>
      </c>
      <c r="AQ118" s="7">
        <f>P118*0.000680195+Q118*0.000680195</f>
        <v/>
      </c>
      <c r="AR118" s="7">
        <f>Q118*0.000680195+R118*0.000680195</f>
        <v/>
      </c>
      <c r="AS118" s="7">
        <f>R118*0.000680195+S118*0.000680195</f>
        <v/>
      </c>
      <c r="AT118" s="7">
        <f>S118*0.000680195+T118*0.000680195</f>
        <v/>
      </c>
      <c r="AU118" s="7">
        <f>T118*0.000680195+U118*0.000680195</f>
        <v/>
      </c>
      <c r="AV118" s="7">
        <f>U118*0.000680195+V118*0.000680195</f>
        <v/>
      </c>
      <c r="AW118" s="7">
        <f>V118*0.000680195+W118*0.000680195</f>
        <v/>
      </c>
      <c r="AX118" s="7">
        <f>W118*0.000680195+X118*0.000680195</f>
        <v/>
      </c>
      <c r="AY118" s="7">
        <f>X118*0.000680195+Y118*0.000680195</f>
        <v/>
      </c>
      <c r="AZ118" s="7">
        <f>Y118*0.000680195+Z118*0.000680195</f>
        <v/>
      </c>
      <c r="BA118" s="7">
        <f>Z118*0.000680195+AA118*0.000680195</f>
        <v/>
      </c>
      <c r="BB118" s="7">
        <f>SUM(AD118:BA118)</f>
        <v/>
      </c>
    </row>
    <row r="119">
      <c r="A119" t="inlineStr">
        <is>
          <t>DC-10-1</t>
        </is>
      </c>
      <c r="B119" t="inlineStr">
        <is>
          <t>DSC Manual</t>
        </is>
      </c>
      <c r="C119" s="5" t="n">
        <v>46097</v>
      </c>
      <c r="D119" s="6">
        <f>Summary!D119</f>
        <v/>
      </c>
      <c r="E119" s="6">
        <f>Summary!E119</f>
        <v/>
      </c>
      <c r="F119" s="6">
        <f>Summary!F119</f>
        <v/>
      </c>
      <c r="G119" s="6">
        <f>Summary!G119</f>
        <v/>
      </c>
      <c r="H119" s="6">
        <f>Summary!H119</f>
        <v/>
      </c>
      <c r="I119" s="6">
        <f>Summary!I119</f>
        <v/>
      </c>
      <c r="J119" s="6">
        <f>Summary!J119</f>
        <v/>
      </c>
      <c r="K119" s="6">
        <f>Summary!K119</f>
        <v/>
      </c>
      <c r="L119" s="6">
        <f>Summary!L119</f>
        <v/>
      </c>
      <c r="M119" s="6">
        <f>Summary!M119</f>
        <v/>
      </c>
      <c r="N119" s="6">
        <f>Summary!N119</f>
        <v/>
      </c>
      <c r="O119" s="6">
        <f>Summary!O119</f>
        <v/>
      </c>
      <c r="P119" s="6">
        <f>Summary!P119</f>
        <v/>
      </c>
      <c r="Q119" s="6">
        <f>Summary!Q119</f>
        <v/>
      </c>
      <c r="R119" s="6">
        <f>Summary!R119</f>
        <v/>
      </c>
      <c r="S119" s="6">
        <f>Summary!S119</f>
        <v/>
      </c>
      <c r="T119" s="6">
        <f>Summary!T119</f>
        <v/>
      </c>
      <c r="U119" s="6">
        <f>Summary!U119</f>
        <v/>
      </c>
      <c r="V119" s="6">
        <f>Summary!V119</f>
        <v/>
      </c>
      <c r="W119" s="6">
        <f>Summary!W119</f>
        <v/>
      </c>
      <c r="X119" s="6">
        <f>Summary!X119</f>
        <v/>
      </c>
      <c r="Y119" s="6">
        <f>Summary!Y119</f>
        <v/>
      </c>
      <c r="Z119" s="6">
        <f>Summary!Z119</f>
        <v/>
      </c>
      <c r="AA119" s="6">
        <f>Summary!AA119</f>
        <v/>
      </c>
      <c r="AB119" s="6">
        <f>SUM(D119:AA119)</f>
        <v/>
      </c>
      <c r="AC119" s="3" t="inlineStr"/>
      <c r="AD119" s="7">
        <f>AA119*0.000680195+D119*0.000680195</f>
        <v/>
      </c>
      <c r="AE119" s="7">
        <f>D119*0.000680195+E119*0.000680195</f>
        <v/>
      </c>
      <c r="AF119" s="7">
        <f>E119*0.000680195+F119*0.000680195</f>
        <v/>
      </c>
      <c r="AG119" s="7">
        <f>F119*0.000680195+G119*0.000680195</f>
        <v/>
      </c>
      <c r="AH119" s="7">
        <f>G119*0.000680195+H119*0.000680195</f>
        <v/>
      </c>
      <c r="AI119" s="7">
        <f>H119*0.000680195+I119*0.000680195</f>
        <v/>
      </c>
      <c r="AJ119" s="7">
        <f>I119*0.000680195+J119*0.000680195</f>
        <v/>
      </c>
      <c r="AK119" s="7">
        <f>J119*0.000680195+K119*0.000680195</f>
        <v/>
      </c>
      <c r="AL119" s="7">
        <f>K119*0.000680195+L119*0.000680195</f>
        <v/>
      </c>
      <c r="AM119" s="7">
        <f>L119*0.000680195+M119*0.000680195</f>
        <v/>
      </c>
      <c r="AN119" s="7">
        <f>M119*0.000680195+N119*0.000680195</f>
        <v/>
      </c>
      <c r="AO119" s="7">
        <f>N119*0.000680195+O119*0.000680195</f>
        <v/>
      </c>
      <c r="AP119" s="7">
        <f>O119*0.000680195+P119*0.000680195</f>
        <v/>
      </c>
      <c r="AQ119" s="7">
        <f>P119*0.000680195+Q119*0.000680195</f>
        <v/>
      </c>
      <c r="AR119" s="7">
        <f>Q119*0.000680195+R119*0.000680195</f>
        <v/>
      </c>
      <c r="AS119" s="7">
        <f>R119*0.000680195+S119*0.000680195</f>
        <v/>
      </c>
      <c r="AT119" s="7">
        <f>S119*0.000680195+T119*0.000680195</f>
        <v/>
      </c>
      <c r="AU119" s="7">
        <f>T119*0.000680195+U119*0.000680195</f>
        <v/>
      </c>
      <c r="AV119" s="7">
        <f>U119*0.000680195+V119*0.000680195</f>
        <v/>
      </c>
      <c r="AW119" s="7">
        <f>V119*0.000680195+W119*0.000680195</f>
        <v/>
      </c>
      <c r="AX119" s="7">
        <f>W119*0.000680195+X119*0.000680195</f>
        <v/>
      </c>
      <c r="AY119" s="7">
        <f>X119*0.000680195+Y119*0.000680195</f>
        <v/>
      </c>
      <c r="AZ119" s="7">
        <f>Y119*0.000680195+Z119*0.000680195</f>
        <v/>
      </c>
      <c r="BA119" s="7">
        <f>Z119*0.000680195+AA119*0.000680195</f>
        <v/>
      </c>
      <c r="BB119" s="7">
        <f>SUM(AD119:BA119)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B1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Layout</t>
        </is>
      </c>
      <c r="B1" s="1" t="inlineStr">
        <is>
          <t>Layout Type</t>
        </is>
      </c>
      <c r="C1" s="1" t="inlineStr">
        <is>
          <t>Date</t>
        </is>
      </c>
      <c r="D1" s="2" t="inlineStr">
        <is>
          <t>Act Vol 12 AM</t>
        </is>
      </c>
      <c r="E1" s="2" t="inlineStr">
        <is>
          <t>Act Vol 1 AM</t>
        </is>
      </c>
      <c r="F1" s="2" t="inlineStr">
        <is>
          <t>Act Vol 2 AM</t>
        </is>
      </c>
      <c r="G1" s="2" t="inlineStr">
        <is>
          <t>Act Vol 3 AM</t>
        </is>
      </c>
      <c r="H1" s="2" t="inlineStr">
        <is>
          <t>Act Vol 4 AM</t>
        </is>
      </c>
      <c r="I1" s="2" t="inlineStr">
        <is>
          <t>Act Vol 5 AM</t>
        </is>
      </c>
      <c r="J1" s="2" t="inlineStr">
        <is>
          <t>Act Vol 6 AM</t>
        </is>
      </c>
      <c r="K1" s="2" t="inlineStr">
        <is>
          <t>Act Vol 7 AM</t>
        </is>
      </c>
      <c r="L1" s="2" t="inlineStr">
        <is>
          <t>Act Vol 8 AM</t>
        </is>
      </c>
      <c r="M1" s="2" t="inlineStr">
        <is>
          <t>Act Vol 9 AM</t>
        </is>
      </c>
      <c r="N1" s="2" t="inlineStr">
        <is>
          <t>Act Vol 10 AM</t>
        </is>
      </c>
      <c r="O1" s="2" t="inlineStr">
        <is>
          <t>Act Vol 11 AM</t>
        </is>
      </c>
      <c r="P1" s="2" t="inlineStr">
        <is>
          <t>Act Vol 12 PM</t>
        </is>
      </c>
      <c r="Q1" s="2" t="inlineStr">
        <is>
          <t>Act Vol 1 PM</t>
        </is>
      </c>
      <c r="R1" s="2" t="inlineStr">
        <is>
          <t>Act Vol 2 PM</t>
        </is>
      </c>
      <c r="S1" s="2" t="inlineStr">
        <is>
          <t>Act Vol 3 PM</t>
        </is>
      </c>
      <c r="T1" s="2" t="inlineStr">
        <is>
          <t>Act Vol 4 PM</t>
        </is>
      </c>
      <c r="U1" s="2" t="inlineStr">
        <is>
          <t>Act Vol 5 PM</t>
        </is>
      </c>
      <c r="V1" s="2" t="inlineStr">
        <is>
          <t>Act Vol 6 PM</t>
        </is>
      </c>
      <c r="W1" s="2" t="inlineStr">
        <is>
          <t>Act Vol 7 PM</t>
        </is>
      </c>
      <c r="X1" s="2" t="inlineStr">
        <is>
          <t>Act Vol 8 PM</t>
        </is>
      </c>
      <c r="Y1" s="2" t="inlineStr">
        <is>
          <t>Act Vol 9 PM</t>
        </is>
      </c>
      <c r="Z1" s="2" t="inlineStr">
        <is>
          <t>Act Vol 10 PM</t>
        </is>
      </c>
      <c r="AA1" s="2" t="inlineStr">
        <is>
          <t>Act Vol 11 PM</t>
        </is>
      </c>
      <c r="AB1" s="2" t="inlineStr">
        <is>
          <t>Act Vol Total</t>
        </is>
      </c>
      <c r="AC1" s="3" t="inlineStr"/>
      <c r="AD1" s="4" t="inlineStr">
        <is>
          <t>MH 12 AM</t>
        </is>
      </c>
      <c r="AE1" s="4" t="inlineStr">
        <is>
          <t>MH 1 AM</t>
        </is>
      </c>
      <c r="AF1" s="4" t="inlineStr">
        <is>
          <t>MH 2 AM</t>
        </is>
      </c>
      <c r="AG1" s="4" t="inlineStr">
        <is>
          <t>MH 3 AM</t>
        </is>
      </c>
      <c r="AH1" s="4" t="inlineStr">
        <is>
          <t>MH 4 AM</t>
        </is>
      </c>
      <c r="AI1" s="4" t="inlineStr">
        <is>
          <t>MH 5 AM</t>
        </is>
      </c>
      <c r="AJ1" s="4" t="inlineStr">
        <is>
          <t>MH 6 AM</t>
        </is>
      </c>
      <c r="AK1" s="4" t="inlineStr">
        <is>
          <t>MH 7 AM</t>
        </is>
      </c>
      <c r="AL1" s="4" t="inlineStr">
        <is>
          <t>MH 8 AM</t>
        </is>
      </c>
      <c r="AM1" s="4" t="inlineStr">
        <is>
          <t>MH 9 AM</t>
        </is>
      </c>
      <c r="AN1" s="4" t="inlineStr">
        <is>
          <t>MH 10 AM</t>
        </is>
      </c>
      <c r="AO1" s="4" t="inlineStr">
        <is>
          <t>MH 11 AM</t>
        </is>
      </c>
      <c r="AP1" s="4" t="inlineStr">
        <is>
          <t>MH 12 PM</t>
        </is>
      </c>
      <c r="AQ1" s="4" t="inlineStr">
        <is>
          <t>MH 1 PM</t>
        </is>
      </c>
      <c r="AR1" s="4" t="inlineStr">
        <is>
          <t>MH 2 PM</t>
        </is>
      </c>
      <c r="AS1" s="4" t="inlineStr">
        <is>
          <t>MH 3 PM</t>
        </is>
      </c>
      <c r="AT1" s="4" t="inlineStr">
        <is>
          <t>MH 4 PM</t>
        </is>
      </c>
      <c r="AU1" s="4" t="inlineStr">
        <is>
          <t>MH 5 PM</t>
        </is>
      </c>
      <c r="AV1" s="4" t="inlineStr">
        <is>
          <t>MH 6 PM</t>
        </is>
      </c>
      <c r="AW1" s="4" t="inlineStr">
        <is>
          <t>MH 7 PM</t>
        </is>
      </c>
      <c r="AX1" s="4" t="inlineStr">
        <is>
          <t>MH 8 PM</t>
        </is>
      </c>
      <c r="AY1" s="4" t="inlineStr">
        <is>
          <t>MH 9 PM</t>
        </is>
      </c>
      <c r="AZ1" s="4" t="inlineStr">
        <is>
          <t>MH 10 PM</t>
        </is>
      </c>
      <c r="BA1" s="4" t="inlineStr">
        <is>
          <t>MH 11 PM</t>
        </is>
      </c>
      <c r="BB1" s="4" t="inlineStr">
        <is>
          <t>MH Total</t>
        </is>
      </c>
    </row>
    <row r="2">
      <c r="A2" t="inlineStr">
        <is>
          <t>AMD-AIR-NEW-SSC</t>
        </is>
      </c>
      <c r="B2" t="inlineStr">
        <is>
          <t>Forward Regular OSC</t>
        </is>
      </c>
      <c r="C2" s="5" t="n">
        <v>46093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v>0</v>
      </c>
      <c r="N2" s="6" t="n">
        <v>0</v>
      </c>
      <c r="O2" s="6" t="n">
        <v>0</v>
      </c>
      <c r="P2" s="6" t="n">
        <v>0</v>
      </c>
      <c r="Q2" s="6" t="n">
        <v>0</v>
      </c>
      <c r="R2" s="6" t="n">
        <v>20</v>
      </c>
      <c r="S2" s="6" t="n">
        <v>19</v>
      </c>
      <c r="T2" s="6" t="n">
        <v>0</v>
      </c>
      <c r="U2" s="6" t="n">
        <v>0</v>
      </c>
      <c r="V2" s="6" t="n">
        <v>0</v>
      </c>
      <c r="W2" s="6" t="n">
        <v>0</v>
      </c>
      <c r="X2" s="6" t="n">
        <v>0</v>
      </c>
      <c r="Y2" s="6" t="n">
        <v>0</v>
      </c>
      <c r="Z2" s="6" t="n">
        <v>0</v>
      </c>
      <c r="AA2" s="6" t="n">
        <v>0</v>
      </c>
      <c r="AB2" s="6">
        <f>SUM(D2:AA2)</f>
        <v/>
      </c>
      <c r="AC2" s="3" t="inlineStr"/>
      <c r="AD2" s="7">
        <f>AA2*0.0122437846+D2*0.0122437846</f>
        <v/>
      </c>
      <c r="AE2" s="7">
        <f>D2*0.0122437846+E2*0.0122437846</f>
        <v/>
      </c>
      <c r="AF2" s="7">
        <f>E2*0.0122437846+F2*0.0122437846</f>
        <v/>
      </c>
      <c r="AG2" s="7">
        <f>F2*0.0122437846+G2*0.0122437846</f>
        <v/>
      </c>
      <c r="AH2" s="7">
        <f>G2*0.0122437846+H2*0.0122437846</f>
        <v/>
      </c>
      <c r="AI2" s="7">
        <f>H2*0.0122437846+I2*0.0122437846</f>
        <v/>
      </c>
      <c r="AJ2" s="7">
        <f>I2*0.0122437846+J2*0.0122437846</f>
        <v/>
      </c>
      <c r="AK2" s="7">
        <f>J2*0.0122437846+K2*0.0122437846</f>
        <v/>
      </c>
      <c r="AL2" s="7">
        <f>K2*0.0122437846+L2*0.0122437846</f>
        <v/>
      </c>
      <c r="AM2" s="7">
        <f>L2*0.0122437846+M2*0.0122437846</f>
        <v/>
      </c>
      <c r="AN2" s="7">
        <f>M2*0.0122437846+N2*0.0122437846</f>
        <v/>
      </c>
      <c r="AO2" s="7">
        <f>N2*0.0122437846+O2*0.0122437846</f>
        <v/>
      </c>
      <c r="AP2" s="7">
        <f>O2*0.0122437846+P2*0.0122437846</f>
        <v/>
      </c>
      <c r="AQ2" s="7">
        <f>P2*0.0122437846+Q2*0.0122437846</f>
        <v/>
      </c>
      <c r="AR2" s="7">
        <f>Q2*0.0122437846+R2*0.0122437846</f>
        <v/>
      </c>
      <c r="AS2" s="7">
        <f>R2*0.0122437846+S2*0.0122437846</f>
        <v/>
      </c>
      <c r="AT2" s="7">
        <f>S2*0.0122437846+T2*0.0122437846</f>
        <v/>
      </c>
      <c r="AU2" s="7">
        <f>T2*0.0122437846+U2*0.0122437846</f>
        <v/>
      </c>
      <c r="AV2" s="7">
        <f>U2*0.0122437846+V2*0.0122437846</f>
        <v/>
      </c>
      <c r="AW2" s="7">
        <f>V2*0.0122437846+W2*0.0122437846</f>
        <v/>
      </c>
      <c r="AX2" s="7">
        <f>W2*0.0122437846+X2*0.0122437846</f>
        <v/>
      </c>
      <c r="AY2" s="7">
        <f>X2*0.0122437846+Y2*0.0122437846</f>
        <v/>
      </c>
      <c r="AZ2" s="7">
        <f>Y2*0.0122437846+Z2*0.0122437846</f>
        <v/>
      </c>
      <c r="BA2" s="7">
        <f>Z2*0.0122437846+AA2*0.0122437846</f>
        <v/>
      </c>
      <c r="BB2" s="7">
        <f>SUM(AD2:BA2)</f>
        <v/>
      </c>
    </row>
    <row r="3">
      <c r="A3" t="inlineStr">
        <is>
          <t>AMD-AIR-NEW-SSC</t>
        </is>
      </c>
      <c r="B3" t="inlineStr">
        <is>
          <t>Forward Regular OSC</t>
        </is>
      </c>
      <c r="C3" s="5" t="n">
        <v>46094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29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>
        <f>SUM(D3:AA3)</f>
        <v/>
      </c>
      <c r="AC3" s="3" t="inlineStr"/>
      <c r="AD3" s="7">
        <f>AA3*0.0122437846+D3*0.0122437846</f>
        <v/>
      </c>
      <c r="AE3" s="7">
        <f>D3*0.0122437846+E3*0.0122437846</f>
        <v/>
      </c>
      <c r="AF3" s="7">
        <f>E3*0.0122437846+F3*0.0122437846</f>
        <v/>
      </c>
      <c r="AG3" s="7">
        <f>F3*0.0122437846+G3*0.0122437846</f>
        <v/>
      </c>
      <c r="AH3" s="7">
        <f>G3*0.0122437846+H3*0.0122437846</f>
        <v/>
      </c>
      <c r="AI3" s="7">
        <f>H3*0.0122437846+I3*0.0122437846</f>
        <v/>
      </c>
      <c r="AJ3" s="7">
        <f>I3*0.0122437846+J3*0.0122437846</f>
        <v/>
      </c>
      <c r="AK3" s="7">
        <f>J3*0.0122437846+K3*0.0122437846</f>
        <v/>
      </c>
      <c r="AL3" s="7">
        <f>K3*0.0122437846+L3*0.0122437846</f>
        <v/>
      </c>
      <c r="AM3" s="7">
        <f>L3*0.0122437846+M3*0.0122437846</f>
        <v/>
      </c>
      <c r="AN3" s="7">
        <f>M3*0.0122437846+N3*0.0122437846</f>
        <v/>
      </c>
      <c r="AO3" s="7">
        <f>N3*0.0122437846+O3*0.0122437846</f>
        <v/>
      </c>
      <c r="AP3" s="7">
        <f>O3*0.0122437846+P3*0.0122437846</f>
        <v/>
      </c>
      <c r="AQ3" s="7">
        <f>P3*0.0122437846+Q3*0.0122437846</f>
        <v/>
      </c>
      <c r="AR3" s="7">
        <f>Q3*0.0122437846+R3*0.0122437846</f>
        <v/>
      </c>
      <c r="AS3" s="7">
        <f>R3*0.0122437846+S3*0.0122437846</f>
        <v/>
      </c>
      <c r="AT3" s="7">
        <f>S3*0.0122437846+T3*0.0122437846</f>
        <v/>
      </c>
      <c r="AU3" s="7">
        <f>T3*0.0122437846+U3*0.0122437846</f>
        <v/>
      </c>
      <c r="AV3" s="7">
        <f>U3*0.0122437846+V3*0.0122437846</f>
        <v/>
      </c>
      <c r="AW3" s="7">
        <f>V3*0.0122437846+W3*0.0122437846</f>
        <v/>
      </c>
      <c r="AX3" s="7">
        <f>W3*0.0122437846+X3*0.0122437846</f>
        <v/>
      </c>
      <c r="AY3" s="7">
        <f>X3*0.0122437846+Y3*0.0122437846</f>
        <v/>
      </c>
      <c r="AZ3" s="7">
        <f>Y3*0.0122437846+Z3*0.0122437846</f>
        <v/>
      </c>
      <c r="BA3" s="7">
        <f>Z3*0.0122437846+AA3*0.0122437846</f>
        <v/>
      </c>
      <c r="BB3" s="7">
        <f>SUM(AD3:BA3)</f>
        <v/>
      </c>
    </row>
    <row r="4">
      <c r="A4" t="inlineStr">
        <is>
          <t>AMD-AIR-NEW-SSC</t>
        </is>
      </c>
      <c r="B4" t="inlineStr">
        <is>
          <t>Forward Regular OSC</t>
        </is>
      </c>
      <c r="C4" s="5" t="n">
        <v>46096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0</v>
      </c>
      <c r="R4" s="6" t="n">
        <v>18</v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0</v>
      </c>
      <c r="AB4" s="6">
        <f>SUM(D4:AA4)</f>
        <v/>
      </c>
      <c r="AC4" s="3" t="inlineStr"/>
      <c r="AD4" s="7">
        <f>AA4*0.0122437846+D4*0.0122437846</f>
        <v/>
      </c>
      <c r="AE4" s="7">
        <f>D4*0.0122437846+E4*0.0122437846</f>
        <v/>
      </c>
      <c r="AF4" s="7">
        <f>E4*0.0122437846+F4*0.0122437846</f>
        <v/>
      </c>
      <c r="AG4" s="7">
        <f>F4*0.0122437846+G4*0.0122437846</f>
        <v/>
      </c>
      <c r="AH4" s="7">
        <f>G4*0.0122437846+H4*0.0122437846</f>
        <v/>
      </c>
      <c r="AI4" s="7">
        <f>H4*0.0122437846+I4*0.0122437846</f>
        <v/>
      </c>
      <c r="AJ4" s="7">
        <f>I4*0.0122437846+J4*0.0122437846</f>
        <v/>
      </c>
      <c r="AK4" s="7">
        <f>J4*0.0122437846+K4*0.0122437846</f>
        <v/>
      </c>
      <c r="AL4" s="7">
        <f>K4*0.0122437846+L4*0.0122437846</f>
        <v/>
      </c>
      <c r="AM4" s="7">
        <f>L4*0.0122437846+M4*0.0122437846</f>
        <v/>
      </c>
      <c r="AN4" s="7">
        <f>M4*0.0122437846+N4*0.0122437846</f>
        <v/>
      </c>
      <c r="AO4" s="7">
        <f>N4*0.0122437846+O4*0.0122437846</f>
        <v/>
      </c>
      <c r="AP4" s="7">
        <f>O4*0.0122437846+P4*0.0122437846</f>
        <v/>
      </c>
      <c r="AQ4" s="7">
        <f>P4*0.0122437846+Q4*0.0122437846</f>
        <v/>
      </c>
      <c r="AR4" s="7">
        <f>Q4*0.0122437846+R4*0.0122437846</f>
        <v/>
      </c>
      <c r="AS4" s="7">
        <f>R4*0.0122437846+S4*0.0122437846</f>
        <v/>
      </c>
      <c r="AT4" s="7">
        <f>S4*0.0122437846+T4*0.0122437846</f>
        <v/>
      </c>
      <c r="AU4" s="7">
        <f>T4*0.0122437846+U4*0.0122437846</f>
        <v/>
      </c>
      <c r="AV4" s="7">
        <f>U4*0.0122437846+V4*0.0122437846</f>
        <v/>
      </c>
      <c r="AW4" s="7">
        <f>V4*0.0122437846+W4*0.0122437846</f>
        <v/>
      </c>
      <c r="AX4" s="7">
        <f>W4*0.0122437846+X4*0.0122437846</f>
        <v/>
      </c>
      <c r="AY4" s="7">
        <f>X4*0.0122437846+Y4*0.0122437846</f>
        <v/>
      </c>
      <c r="AZ4" s="7">
        <f>Y4*0.0122437846+Z4*0.0122437846</f>
        <v/>
      </c>
      <c r="BA4" s="7">
        <f>Z4*0.0122437846+AA4*0.0122437846</f>
        <v/>
      </c>
      <c r="BB4" s="7">
        <f>SUM(AD4:BA4)</f>
        <v/>
      </c>
    </row>
    <row r="5">
      <c r="A5" t="inlineStr">
        <is>
          <t>AMD-AIR-NEW-SSC</t>
        </is>
      </c>
      <c r="B5" t="inlineStr">
        <is>
          <t>Forward Regular OSC</t>
        </is>
      </c>
      <c r="C5" s="5" t="n">
        <v>46097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10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>
        <f>SUM(D5:AA5)</f>
        <v/>
      </c>
      <c r="AC5" s="3" t="inlineStr"/>
      <c r="AD5" s="7">
        <f>AA5*0.0122437846+D5*0.0122437846</f>
        <v/>
      </c>
      <c r="AE5" s="7">
        <f>D5*0.0122437846+E5*0.0122437846</f>
        <v/>
      </c>
      <c r="AF5" s="7">
        <f>E5*0.0122437846+F5*0.0122437846</f>
        <v/>
      </c>
      <c r="AG5" s="7">
        <f>F5*0.0122437846+G5*0.0122437846</f>
        <v/>
      </c>
      <c r="AH5" s="7">
        <f>G5*0.0122437846+H5*0.0122437846</f>
        <v/>
      </c>
      <c r="AI5" s="7">
        <f>H5*0.0122437846+I5*0.0122437846</f>
        <v/>
      </c>
      <c r="AJ5" s="7">
        <f>I5*0.0122437846+J5*0.0122437846</f>
        <v/>
      </c>
      <c r="AK5" s="7">
        <f>J5*0.0122437846+K5*0.0122437846</f>
        <v/>
      </c>
      <c r="AL5" s="7">
        <f>K5*0.0122437846+L5*0.0122437846</f>
        <v/>
      </c>
      <c r="AM5" s="7">
        <f>L5*0.0122437846+M5*0.0122437846</f>
        <v/>
      </c>
      <c r="AN5" s="7">
        <f>M5*0.0122437846+N5*0.0122437846</f>
        <v/>
      </c>
      <c r="AO5" s="7">
        <f>N5*0.0122437846+O5*0.0122437846</f>
        <v/>
      </c>
      <c r="AP5" s="7">
        <f>O5*0.0122437846+P5*0.0122437846</f>
        <v/>
      </c>
      <c r="AQ5" s="7">
        <f>P5*0.0122437846+Q5*0.0122437846</f>
        <v/>
      </c>
      <c r="AR5" s="7">
        <f>Q5*0.0122437846+R5*0.0122437846</f>
        <v/>
      </c>
      <c r="AS5" s="7">
        <f>R5*0.0122437846+S5*0.0122437846</f>
        <v/>
      </c>
      <c r="AT5" s="7">
        <f>S5*0.0122437846+T5*0.0122437846</f>
        <v/>
      </c>
      <c r="AU5" s="7">
        <f>T5*0.0122437846+U5*0.0122437846</f>
        <v/>
      </c>
      <c r="AV5" s="7">
        <f>U5*0.0122437846+V5*0.0122437846</f>
        <v/>
      </c>
      <c r="AW5" s="7">
        <f>V5*0.0122437846+W5*0.0122437846</f>
        <v/>
      </c>
      <c r="AX5" s="7">
        <f>W5*0.0122437846+X5*0.0122437846</f>
        <v/>
      </c>
      <c r="AY5" s="7">
        <f>X5*0.0122437846+Y5*0.0122437846</f>
        <v/>
      </c>
      <c r="AZ5" s="7">
        <f>Y5*0.0122437846+Z5*0.0122437846</f>
        <v/>
      </c>
      <c r="BA5" s="7">
        <f>Z5*0.0122437846+AA5*0.0122437846</f>
        <v/>
      </c>
      <c r="BB5" s="7">
        <f>SUM(AD5:BA5)</f>
        <v/>
      </c>
    </row>
    <row r="6">
      <c r="A6" t="inlineStr">
        <is>
          <t>AMD-AIR-NEW-SSC</t>
        </is>
      </c>
      <c r="B6" t="inlineStr">
        <is>
          <t>Forward Regular OSC</t>
        </is>
      </c>
      <c r="C6" s="5" t="n">
        <v>46100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15</v>
      </c>
      <c r="S6" s="6" t="n">
        <v>16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>
        <f>SUM(D6:AA6)</f>
        <v/>
      </c>
      <c r="AC6" s="3" t="inlineStr"/>
      <c r="AD6" s="7">
        <f>AA6*0.0122437846+D6*0.0122437846</f>
        <v/>
      </c>
      <c r="AE6" s="7">
        <f>D6*0.0122437846+E6*0.0122437846</f>
        <v/>
      </c>
      <c r="AF6" s="7">
        <f>E6*0.0122437846+F6*0.0122437846</f>
        <v/>
      </c>
      <c r="AG6" s="7">
        <f>F6*0.0122437846+G6*0.0122437846</f>
        <v/>
      </c>
      <c r="AH6" s="7">
        <f>G6*0.0122437846+H6*0.0122437846</f>
        <v/>
      </c>
      <c r="AI6" s="7">
        <f>H6*0.0122437846+I6*0.0122437846</f>
        <v/>
      </c>
      <c r="AJ6" s="7">
        <f>I6*0.0122437846+J6*0.0122437846</f>
        <v/>
      </c>
      <c r="AK6" s="7">
        <f>J6*0.0122437846+K6*0.0122437846</f>
        <v/>
      </c>
      <c r="AL6" s="7">
        <f>K6*0.0122437846+L6*0.0122437846</f>
        <v/>
      </c>
      <c r="AM6" s="7">
        <f>L6*0.0122437846+M6*0.0122437846</f>
        <v/>
      </c>
      <c r="AN6" s="7">
        <f>M6*0.0122437846+N6*0.0122437846</f>
        <v/>
      </c>
      <c r="AO6" s="7">
        <f>N6*0.0122437846+O6*0.0122437846</f>
        <v/>
      </c>
      <c r="AP6" s="7">
        <f>O6*0.0122437846+P6*0.0122437846</f>
        <v/>
      </c>
      <c r="AQ6" s="7">
        <f>P6*0.0122437846+Q6*0.0122437846</f>
        <v/>
      </c>
      <c r="AR6" s="7">
        <f>Q6*0.0122437846+R6*0.0122437846</f>
        <v/>
      </c>
      <c r="AS6" s="7">
        <f>R6*0.0122437846+S6*0.0122437846</f>
        <v/>
      </c>
      <c r="AT6" s="7">
        <f>S6*0.0122437846+T6*0.0122437846</f>
        <v/>
      </c>
      <c r="AU6" s="7">
        <f>T6*0.0122437846+U6*0.0122437846</f>
        <v/>
      </c>
      <c r="AV6" s="7">
        <f>U6*0.0122437846+V6*0.0122437846</f>
        <v/>
      </c>
      <c r="AW6" s="7">
        <f>V6*0.0122437846+W6*0.0122437846</f>
        <v/>
      </c>
      <c r="AX6" s="7">
        <f>W6*0.0122437846+X6*0.0122437846</f>
        <v/>
      </c>
      <c r="AY6" s="7">
        <f>X6*0.0122437846+Y6*0.0122437846</f>
        <v/>
      </c>
      <c r="AZ6" s="7">
        <f>Y6*0.0122437846+Z6*0.0122437846</f>
        <v/>
      </c>
      <c r="BA6" s="7">
        <f>Z6*0.0122437846+AA6*0.0122437846</f>
        <v/>
      </c>
      <c r="BB6" s="7">
        <f>SUM(AD6:BA6)</f>
        <v/>
      </c>
    </row>
    <row r="7">
      <c r="A7" t="inlineStr">
        <is>
          <t>AMD-AIR-NEW-SSC</t>
        </is>
      </c>
      <c r="B7" t="inlineStr">
        <is>
          <t>Forward Regular OSC</t>
        </is>
      </c>
      <c r="C7" s="5" t="n">
        <v>46101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18</v>
      </c>
      <c r="T7" s="6" t="n">
        <v>12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>
        <f>SUM(D7:AA7)</f>
        <v/>
      </c>
      <c r="AC7" s="3" t="inlineStr"/>
      <c r="AD7" s="7">
        <f>AA7*0.0122437846+D7*0.0122437846</f>
        <v/>
      </c>
      <c r="AE7" s="7">
        <f>D7*0.0122437846+E7*0.0122437846</f>
        <v/>
      </c>
      <c r="AF7" s="7">
        <f>E7*0.0122437846+F7*0.0122437846</f>
        <v/>
      </c>
      <c r="AG7" s="7">
        <f>F7*0.0122437846+G7*0.0122437846</f>
        <v/>
      </c>
      <c r="AH7" s="7">
        <f>G7*0.0122437846+H7*0.0122437846</f>
        <v/>
      </c>
      <c r="AI7" s="7">
        <f>H7*0.0122437846+I7*0.0122437846</f>
        <v/>
      </c>
      <c r="AJ7" s="7">
        <f>I7*0.0122437846+J7*0.0122437846</f>
        <v/>
      </c>
      <c r="AK7" s="7">
        <f>J7*0.0122437846+K7*0.0122437846</f>
        <v/>
      </c>
      <c r="AL7" s="7">
        <f>K7*0.0122437846+L7*0.0122437846</f>
        <v/>
      </c>
      <c r="AM7" s="7">
        <f>L7*0.0122437846+M7*0.0122437846</f>
        <v/>
      </c>
      <c r="AN7" s="7">
        <f>M7*0.0122437846+N7*0.0122437846</f>
        <v/>
      </c>
      <c r="AO7" s="7">
        <f>N7*0.0122437846+O7*0.0122437846</f>
        <v/>
      </c>
      <c r="AP7" s="7">
        <f>O7*0.0122437846+P7*0.0122437846</f>
        <v/>
      </c>
      <c r="AQ7" s="7">
        <f>P7*0.0122437846+Q7*0.0122437846</f>
        <v/>
      </c>
      <c r="AR7" s="7">
        <f>Q7*0.0122437846+R7*0.0122437846</f>
        <v/>
      </c>
      <c r="AS7" s="7">
        <f>R7*0.0122437846+S7*0.0122437846</f>
        <v/>
      </c>
      <c r="AT7" s="7">
        <f>S7*0.0122437846+T7*0.0122437846</f>
        <v/>
      </c>
      <c r="AU7" s="7">
        <f>T7*0.0122437846+U7*0.0122437846</f>
        <v/>
      </c>
      <c r="AV7" s="7">
        <f>U7*0.0122437846+V7*0.0122437846</f>
        <v/>
      </c>
      <c r="AW7" s="7">
        <f>V7*0.0122437846+W7*0.0122437846</f>
        <v/>
      </c>
      <c r="AX7" s="7">
        <f>W7*0.0122437846+X7*0.0122437846</f>
        <v/>
      </c>
      <c r="AY7" s="7">
        <f>X7*0.0122437846+Y7*0.0122437846</f>
        <v/>
      </c>
      <c r="AZ7" s="7">
        <f>Y7*0.0122437846+Z7*0.0122437846</f>
        <v/>
      </c>
      <c r="BA7" s="7">
        <f>Z7*0.0122437846+AA7*0.0122437846</f>
        <v/>
      </c>
      <c r="BB7" s="7">
        <f>SUM(AD7:BA7)</f>
        <v/>
      </c>
    </row>
    <row r="8">
      <c r="A8" t="inlineStr">
        <is>
          <t>AMD-AIR-NEW-SSC</t>
        </is>
      </c>
      <c r="B8" t="inlineStr">
        <is>
          <t>Forward Regular OSC</t>
        </is>
      </c>
      <c r="C8" s="5" t="n">
        <v>46102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3</v>
      </c>
      <c r="S8" s="6" t="n">
        <v>5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>
        <f>SUM(D8:AA8)</f>
        <v/>
      </c>
      <c r="AC8" s="3" t="inlineStr"/>
      <c r="AD8" s="7">
        <f>AA8*0.0122437846+D8*0.0122437846</f>
        <v/>
      </c>
      <c r="AE8" s="7">
        <f>D8*0.0122437846+E8*0.0122437846</f>
        <v/>
      </c>
      <c r="AF8" s="7">
        <f>E8*0.0122437846+F8*0.0122437846</f>
        <v/>
      </c>
      <c r="AG8" s="7">
        <f>F8*0.0122437846+G8*0.0122437846</f>
        <v/>
      </c>
      <c r="AH8" s="7">
        <f>G8*0.0122437846+H8*0.0122437846</f>
        <v/>
      </c>
      <c r="AI8" s="7">
        <f>H8*0.0122437846+I8*0.0122437846</f>
        <v/>
      </c>
      <c r="AJ8" s="7">
        <f>I8*0.0122437846+J8*0.0122437846</f>
        <v/>
      </c>
      <c r="AK8" s="7">
        <f>J8*0.0122437846+K8*0.0122437846</f>
        <v/>
      </c>
      <c r="AL8" s="7">
        <f>K8*0.0122437846+L8*0.0122437846</f>
        <v/>
      </c>
      <c r="AM8" s="7">
        <f>L8*0.0122437846+M8*0.0122437846</f>
        <v/>
      </c>
      <c r="AN8" s="7">
        <f>M8*0.0122437846+N8*0.0122437846</f>
        <v/>
      </c>
      <c r="AO8" s="7">
        <f>N8*0.0122437846+O8*0.0122437846</f>
        <v/>
      </c>
      <c r="AP8" s="7">
        <f>O8*0.0122437846+P8*0.0122437846</f>
        <v/>
      </c>
      <c r="AQ8" s="7">
        <f>P8*0.0122437846+Q8*0.0122437846</f>
        <v/>
      </c>
      <c r="AR8" s="7">
        <f>Q8*0.0122437846+R8*0.0122437846</f>
        <v/>
      </c>
      <c r="AS8" s="7">
        <f>R8*0.0122437846+S8*0.0122437846</f>
        <v/>
      </c>
      <c r="AT8" s="7">
        <f>S8*0.0122437846+T8*0.0122437846</f>
        <v/>
      </c>
      <c r="AU8" s="7">
        <f>T8*0.0122437846+U8*0.0122437846</f>
        <v/>
      </c>
      <c r="AV8" s="7">
        <f>U8*0.0122437846+V8*0.0122437846</f>
        <v/>
      </c>
      <c r="AW8" s="7">
        <f>V8*0.0122437846+W8*0.0122437846</f>
        <v/>
      </c>
      <c r="AX8" s="7">
        <f>W8*0.0122437846+X8*0.0122437846</f>
        <v/>
      </c>
      <c r="AY8" s="7">
        <f>X8*0.0122437846+Y8*0.0122437846</f>
        <v/>
      </c>
      <c r="AZ8" s="7">
        <f>Y8*0.0122437846+Z8*0.0122437846</f>
        <v/>
      </c>
      <c r="BA8" s="7">
        <f>Z8*0.0122437846+AA8*0.0122437846</f>
        <v/>
      </c>
      <c r="BB8" s="7">
        <f>SUM(AD8:BA8)</f>
        <v/>
      </c>
    </row>
    <row r="9">
      <c r="A9" t="inlineStr">
        <is>
          <t>AMD-AIR-NEW-SSC</t>
        </is>
      </c>
      <c r="B9" t="inlineStr">
        <is>
          <t>Forward Regular OSC</t>
        </is>
      </c>
      <c r="C9" s="5" t="n">
        <v>46103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9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>
        <f>SUM(D9:AA9)</f>
        <v/>
      </c>
      <c r="AC9" s="3" t="inlineStr"/>
      <c r="AD9" s="7">
        <f>AA9*0.0122437846+D9*0.0122437846</f>
        <v/>
      </c>
      <c r="AE9" s="7">
        <f>D9*0.0122437846+E9*0.0122437846</f>
        <v/>
      </c>
      <c r="AF9" s="7">
        <f>E9*0.0122437846+F9*0.0122437846</f>
        <v/>
      </c>
      <c r="AG9" s="7">
        <f>F9*0.0122437846+G9*0.0122437846</f>
        <v/>
      </c>
      <c r="AH9" s="7">
        <f>G9*0.0122437846+H9*0.0122437846</f>
        <v/>
      </c>
      <c r="AI9" s="7">
        <f>H9*0.0122437846+I9*0.0122437846</f>
        <v/>
      </c>
      <c r="AJ9" s="7">
        <f>I9*0.0122437846+J9*0.0122437846</f>
        <v/>
      </c>
      <c r="AK9" s="7">
        <f>J9*0.0122437846+K9*0.0122437846</f>
        <v/>
      </c>
      <c r="AL9" s="7">
        <f>K9*0.0122437846+L9*0.0122437846</f>
        <v/>
      </c>
      <c r="AM9" s="7">
        <f>L9*0.0122437846+M9*0.0122437846</f>
        <v/>
      </c>
      <c r="AN9" s="7">
        <f>M9*0.0122437846+N9*0.0122437846</f>
        <v/>
      </c>
      <c r="AO9" s="7">
        <f>N9*0.0122437846+O9*0.0122437846</f>
        <v/>
      </c>
      <c r="AP9" s="7">
        <f>O9*0.0122437846+P9*0.0122437846</f>
        <v/>
      </c>
      <c r="AQ9" s="7">
        <f>P9*0.0122437846+Q9*0.0122437846</f>
        <v/>
      </c>
      <c r="AR9" s="7">
        <f>Q9*0.0122437846+R9*0.0122437846</f>
        <v/>
      </c>
      <c r="AS9" s="7">
        <f>R9*0.0122437846+S9*0.0122437846</f>
        <v/>
      </c>
      <c r="AT9" s="7">
        <f>S9*0.0122437846+T9*0.0122437846</f>
        <v/>
      </c>
      <c r="AU9" s="7">
        <f>T9*0.0122437846+U9*0.0122437846</f>
        <v/>
      </c>
      <c r="AV9" s="7">
        <f>U9*0.0122437846+V9*0.0122437846</f>
        <v/>
      </c>
      <c r="AW9" s="7">
        <f>V9*0.0122437846+W9*0.0122437846</f>
        <v/>
      </c>
      <c r="AX9" s="7">
        <f>W9*0.0122437846+X9*0.0122437846</f>
        <v/>
      </c>
      <c r="AY9" s="7">
        <f>X9*0.0122437846+Y9*0.0122437846</f>
        <v/>
      </c>
      <c r="AZ9" s="7">
        <f>Y9*0.0122437846+Z9*0.0122437846</f>
        <v/>
      </c>
      <c r="BA9" s="7">
        <f>Z9*0.0122437846+AA9*0.0122437846</f>
        <v/>
      </c>
      <c r="BB9" s="7">
        <f>SUM(AD9:BA9)</f>
        <v/>
      </c>
    </row>
    <row r="10">
      <c r="A10" t="inlineStr">
        <is>
          <t>AMD-AIR-NEW-SSC</t>
        </is>
      </c>
      <c r="B10" t="inlineStr">
        <is>
          <t>Forward Regular OSC</t>
        </is>
      </c>
      <c r="C10" s="5" t="n">
        <v>46104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10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>
        <f>SUM(D10:AA10)</f>
        <v/>
      </c>
      <c r="AC10" s="3" t="inlineStr"/>
      <c r="AD10" s="7">
        <f>AA10*0.0122437846+D10*0.0122437846</f>
        <v/>
      </c>
      <c r="AE10" s="7">
        <f>D10*0.0122437846+E10*0.0122437846</f>
        <v/>
      </c>
      <c r="AF10" s="7">
        <f>E10*0.0122437846+F10*0.0122437846</f>
        <v/>
      </c>
      <c r="AG10" s="7">
        <f>F10*0.0122437846+G10*0.0122437846</f>
        <v/>
      </c>
      <c r="AH10" s="7">
        <f>G10*0.0122437846+H10*0.0122437846</f>
        <v/>
      </c>
      <c r="AI10" s="7">
        <f>H10*0.0122437846+I10*0.0122437846</f>
        <v/>
      </c>
      <c r="AJ10" s="7">
        <f>I10*0.0122437846+J10*0.0122437846</f>
        <v/>
      </c>
      <c r="AK10" s="7">
        <f>J10*0.0122437846+K10*0.0122437846</f>
        <v/>
      </c>
      <c r="AL10" s="7">
        <f>K10*0.0122437846+L10*0.0122437846</f>
        <v/>
      </c>
      <c r="AM10" s="7">
        <f>L10*0.0122437846+M10*0.0122437846</f>
        <v/>
      </c>
      <c r="AN10" s="7">
        <f>M10*0.0122437846+N10*0.0122437846</f>
        <v/>
      </c>
      <c r="AO10" s="7">
        <f>N10*0.0122437846+O10*0.0122437846</f>
        <v/>
      </c>
      <c r="AP10" s="7">
        <f>O10*0.0122437846+P10*0.0122437846</f>
        <v/>
      </c>
      <c r="AQ10" s="7">
        <f>P10*0.0122437846+Q10*0.0122437846</f>
        <v/>
      </c>
      <c r="AR10" s="7">
        <f>Q10*0.0122437846+R10*0.0122437846</f>
        <v/>
      </c>
      <c r="AS10" s="7">
        <f>R10*0.0122437846+S10*0.0122437846</f>
        <v/>
      </c>
      <c r="AT10" s="7">
        <f>S10*0.0122437846+T10*0.0122437846</f>
        <v/>
      </c>
      <c r="AU10" s="7">
        <f>T10*0.0122437846+U10*0.0122437846</f>
        <v/>
      </c>
      <c r="AV10" s="7">
        <f>U10*0.0122437846+V10*0.0122437846</f>
        <v/>
      </c>
      <c r="AW10" s="7">
        <f>V10*0.0122437846+W10*0.0122437846</f>
        <v/>
      </c>
      <c r="AX10" s="7">
        <f>W10*0.0122437846+X10*0.0122437846</f>
        <v/>
      </c>
      <c r="AY10" s="7">
        <f>X10*0.0122437846+Y10*0.0122437846</f>
        <v/>
      </c>
      <c r="AZ10" s="7">
        <f>Y10*0.0122437846+Z10*0.0122437846</f>
        <v/>
      </c>
      <c r="BA10" s="7">
        <f>Z10*0.0122437846+AA10*0.0122437846</f>
        <v/>
      </c>
      <c r="BB10" s="7">
        <f>SUM(AD10:BA10)</f>
        <v/>
      </c>
    </row>
    <row r="11">
      <c r="A11" t="inlineStr">
        <is>
          <t>AMD-EXPR</t>
        </is>
      </c>
      <c r="B11" t="inlineStr">
        <is>
          <t>DSC Manual</t>
        </is>
      </c>
      <c r="C11" s="5" t="n">
        <v>46089</v>
      </c>
      <c r="D11" s="6" t="n">
        <v>0</v>
      </c>
      <c r="E11" s="6" t="n">
        <v>0</v>
      </c>
      <c r="F11" s="6" t="n">
        <v>0</v>
      </c>
      <c r="G11" s="6" t="n">
        <v>2</v>
      </c>
      <c r="H11" s="6" t="n">
        <v>18</v>
      </c>
      <c r="I11" s="6" t="n">
        <v>7</v>
      </c>
      <c r="J11" s="6" t="n">
        <v>5</v>
      </c>
      <c r="K11" s="6" t="n">
        <v>4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23</v>
      </c>
      <c r="T11" s="6" t="n">
        <v>0</v>
      </c>
      <c r="U11" s="6" t="n">
        <v>14</v>
      </c>
      <c r="V11" s="6" t="n">
        <v>18</v>
      </c>
      <c r="W11" s="6" t="n">
        <v>19</v>
      </c>
      <c r="X11" s="6" t="n">
        <v>31</v>
      </c>
      <c r="Y11" s="6" t="n">
        <v>32</v>
      </c>
      <c r="Z11" s="6" t="n">
        <v>0</v>
      </c>
      <c r="AA11" s="6" t="n">
        <v>0</v>
      </c>
      <c r="AB11" s="6">
        <f>SUM(D11:AA11)</f>
        <v/>
      </c>
      <c r="AC11" s="3" t="inlineStr"/>
      <c r="AD11" s="7">
        <f>AA11*0.0122437846+D11*0.0122437846</f>
        <v/>
      </c>
      <c r="AE11" s="7">
        <f>D11*0.0122437846+E11*0.0122437846</f>
        <v/>
      </c>
      <c r="AF11" s="7">
        <f>E11*0.0122437846+F11*0.0122437846</f>
        <v/>
      </c>
      <c r="AG11" s="7">
        <f>F11*0.0122437846+G11*0.0122437846</f>
        <v/>
      </c>
      <c r="AH11" s="7">
        <f>G11*0.0122437846+H11*0.0122437846</f>
        <v/>
      </c>
      <c r="AI11" s="7">
        <f>H11*0.0122437846+I11*0.0122437846</f>
        <v/>
      </c>
      <c r="AJ11" s="7">
        <f>I11*0.0122437846+J11*0.0122437846</f>
        <v/>
      </c>
      <c r="AK11" s="7">
        <f>J11*0.0122437846+K11*0.0122437846</f>
        <v/>
      </c>
      <c r="AL11" s="7">
        <f>K11*0.0122437846+L11*0.0122437846</f>
        <v/>
      </c>
      <c r="AM11" s="7">
        <f>L11*0.0122437846+M11*0.0122437846</f>
        <v/>
      </c>
      <c r="AN11" s="7">
        <f>M11*0.0122437846+N11*0.0122437846</f>
        <v/>
      </c>
      <c r="AO11" s="7">
        <f>N11*0.0122437846+O11*0.0122437846</f>
        <v/>
      </c>
      <c r="AP11" s="7">
        <f>O11*0.0122437846+P11*0.0122437846</f>
        <v/>
      </c>
      <c r="AQ11" s="7">
        <f>P11*0.0122437846+Q11*0.0122437846</f>
        <v/>
      </c>
      <c r="AR11" s="7">
        <f>Q11*0.0122437846+R11*0.0122437846</f>
        <v/>
      </c>
      <c r="AS11" s="7">
        <f>R11*0.0122437846+S11*0.0122437846</f>
        <v/>
      </c>
      <c r="AT11" s="7">
        <f>S11*0.0122437846+T11*0.0122437846</f>
        <v/>
      </c>
      <c r="AU11" s="7">
        <f>T11*0.0122437846+U11*0.0122437846</f>
        <v/>
      </c>
      <c r="AV11" s="7">
        <f>U11*0.0122437846+V11*0.0122437846</f>
        <v/>
      </c>
      <c r="AW11" s="7">
        <f>V11*0.0122437846+W11*0.0122437846</f>
        <v/>
      </c>
      <c r="AX11" s="7">
        <f>W11*0.0122437846+X11*0.0122437846</f>
        <v/>
      </c>
      <c r="AY11" s="7">
        <f>X11*0.0122437846+Y11*0.0122437846</f>
        <v/>
      </c>
      <c r="AZ11" s="7">
        <f>Y11*0.0122437846+Z11*0.0122437846</f>
        <v/>
      </c>
      <c r="BA11" s="7">
        <f>Z11*0.0122437846+AA11*0.0122437846</f>
        <v/>
      </c>
      <c r="BB11" s="7">
        <f>SUM(AD11:BA11)</f>
        <v/>
      </c>
    </row>
    <row r="12">
      <c r="A12" t="inlineStr">
        <is>
          <t>AMD-EXPR</t>
        </is>
      </c>
      <c r="B12" t="inlineStr">
        <is>
          <t>DSC Manual</t>
        </is>
      </c>
      <c r="C12" s="5" t="n">
        <v>46090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10</v>
      </c>
      <c r="J12" s="6" t="n">
        <v>15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23</v>
      </c>
      <c r="U12" s="6" t="n">
        <v>0</v>
      </c>
      <c r="V12" s="6" t="n">
        <v>17</v>
      </c>
      <c r="W12" s="6" t="n">
        <v>16</v>
      </c>
      <c r="X12" s="6" t="n">
        <v>22</v>
      </c>
      <c r="Y12" s="6" t="n">
        <v>22</v>
      </c>
      <c r="Z12" s="6" t="n">
        <v>23</v>
      </c>
      <c r="AA12" s="6" t="n">
        <v>0</v>
      </c>
      <c r="AB12" s="6">
        <f>SUM(D12:AA12)</f>
        <v/>
      </c>
      <c r="AC12" s="3" t="inlineStr"/>
      <c r="AD12" s="7">
        <f>AA12*0.0122437846+D12*0.0122437846</f>
        <v/>
      </c>
      <c r="AE12" s="7">
        <f>D12*0.0122437846+E12*0.0122437846</f>
        <v/>
      </c>
      <c r="AF12" s="7">
        <f>E12*0.0122437846+F12*0.0122437846</f>
        <v/>
      </c>
      <c r="AG12" s="7">
        <f>F12*0.0122437846+G12*0.0122437846</f>
        <v/>
      </c>
      <c r="AH12" s="7">
        <f>G12*0.0122437846+H12*0.0122437846</f>
        <v/>
      </c>
      <c r="AI12" s="7">
        <f>H12*0.0122437846+I12*0.0122437846</f>
        <v/>
      </c>
      <c r="AJ12" s="7">
        <f>I12*0.0122437846+J12*0.0122437846</f>
        <v/>
      </c>
      <c r="AK12" s="7">
        <f>J12*0.0122437846+K12*0.0122437846</f>
        <v/>
      </c>
      <c r="AL12" s="7">
        <f>K12*0.0122437846+L12*0.0122437846</f>
        <v/>
      </c>
      <c r="AM12" s="7">
        <f>L12*0.0122437846+M12*0.0122437846</f>
        <v/>
      </c>
      <c r="AN12" s="7">
        <f>M12*0.0122437846+N12*0.0122437846</f>
        <v/>
      </c>
      <c r="AO12" s="7">
        <f>N12*0.0122437846+O12*0.0122437846</f>
        <v/>
      </c>
      <c r="AP12" s="7">
        <f>O12*0.0122437846+P12*0.0122437846</f>
        <v/>
      </c>
      <c r="AQ12" s="7">
        <f>P12*0.0122437846+Q12*0.0122437846</f>
        <v/>
      </c>
      <c r="AR12" s="7">
        <f>Q12*0.0122437846+R12*0.0122437846</f>
        <v/>
      </c>
      <c r="AS12" s="7">
        <f>R12*0.0122437846+S12*0.0122437846</f>
        <v/>
      </c>
      <c r="AT12" s="7">
        <f>S12*0.0122437846+T12*0.0122437846</f>
        <v/>
      </c>
      <c r="AU12" s="7">
        <f>T12*0.0122437846+U12*0.0122437846</f>
        <v/>
      </c>
      <c r="AV12" s="7">
        <f>U12*0.0122437846+V12*0.0122437846</f>
        <v/>
      </c>
      <c r="AW12" s="7">
        <f>V12*0.0122437846+W12*0.0122437846</f>
        <v/>
      </c>
      <c r="AX12" s="7">
        <f>W12*0.0122437846+X12*0.0122437846</f>
        <v/>
      </c>
      <c r="AY12" s="7">
        <f>X12*0.0122437846+Y12*0.0122437846</f>
        <v/>
      </c>
      <c r="AZ12" s="7">
        <f>Y12*0.0122437846+Z12*0.0122437846</f>
        <v/>
      </c>
      <c r="BA12" s="7">
        <f>Z12*0.0122437846+AA12*0.0122437846</f>
        <v/>
      </c>
      <c r="BB12" s="7">
        <f>SUM(AD12:BA12)</f>
        <v/>
      </c>
    </row>
    <row r="13">
      <c r="A13" t="inlineStr">
        <is>
          <t>AMD-EXPR</t>
        </is>
      </c>
      <c r="B13" t="inlineStr">
        <is>
          <t>DSC Manual</t>
        </is>
      </c>
      <c r="C13" s="5" t="n">
        <v>46091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15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37</v>
      </c>
      <c r="T13" s="6" t="n">
        <v>13</v>
      </c>
      <c r="U13" s="6" t="n">
        <v>0</v>
      </c>
      <c r="V13" s="6" t="n">
        <v>15</v>
      </c>
      <c r="W13" s="6" t="n">
        <v>29</v>
      </c>
      <c r="X13" s="6" t="n">
        <v>14</v>
      </c>
      <c r="Y13" s="6" t="n">
        <v>48</v>
      </c>
      <c r="Z13" s="6" t="n">
        <v>13</v>
      </c>
      <c r="AA13" s="6" t="n">
        <v>0</v>
      </c>
      <c r="AB13" s="6">
        <f>SUM(D13:AA13)</f>
        <v/>
      </c>
      <c r="AC13" s="3" t="inlineStr"/>
      <c r="AD13" s="7">
        <f>AA13*0.0122437846+D13*0.0122437846</f>
        <v/>
      </c>
      <c r="AE13" s="7">
        <f>D13*0.0122437846+E13*0.0122437846</f>
        <v/>
      </c>
      <c r="AF13" s="7">
        <f>E13*0.0122437846+F13*0.0122437846</f>
        <v/>
      </c>
      <c r="AG13" s="7">
        <f>F13*0.0122437846+G13*0.0122437846</f>
        <v/>
      </c>
      <c r="AH13" s="7">
        <f>G13*0.0122437846+H13*0.0122437846</f>
        <v/>
      </c>
      <c r="AI13" s="7">
        <f>H13*0.0122437846+I13*0.0122437846</f>
        <v/>
      </c>
      <c r="AJ13" s="7">
        <f>I13*0.0122437846+J13*0.0122437846</f>
        <v/>
      </c>
      <c r="AK13" s="7">
        <f>J13*0.0122437846+K13*0.0122437846</f>
        <v/>
      </c>
      <c r="AL13" s="7">
        <f>K13*0.0122437846+L13*0.0122437846</f>
        <v/>
      </c>
      <c r="AM13" s="7">
        <f>L13*0.0122437846+M13*0.0122437846</f>
        <v/>
      </c>
      <c r="AN13" s="7">
        <f>M13*0.0122437846+N13*0.0122437846</f>
        <v/>
      </c>
      <c r="AO13" s="7">
        <f>N13*0.0122437846+O13*0.0122437846</f>
        <v/>
      </c>
      <c r="AP13" s="7">
        <f>O13*0.0122437846+P13*0.0122437846</f>
        <v/>
      </c>
      <c r="AQ13" s="7">
        <f>P13*0.0122437846+Q13*0.0122437846</f>
        <v/>
      </c>
      <c r="AR13" s="7">
        <f>Q13*0.0122437846+R13*0.0122437846</f>
        <v/>
      </c>
      <c r="AS13" s="7">
        <f>R13*0.0122437846+S13*0.0122437846</f>
        <v/>
      </c>
      <c r="AT13" s="7">
        <f>S13*0.0122437846+T13*0.0122437846</f>
        <v/>
      </c>
      <c r="AU13" s="7">
        <f>T13*0.0122437846+U13*0.0122437846</f>
        <v/>
      </c>
      <c r="AV13" s="7">
        <f>U13*0.0122437846+V13*0.0122437846</f>
        <v/>
      </c>
      <c r="AW13" s="7">
        <f>V13*0.0122437846+W13*0.0122437846</f>
        <v/>
      </c>
      <c r="AX13" s="7">
        <f>W13*0.0122437846+X13*0.0122437846</f>
        <v/>
      </c>
      <c r="AY13" s="7">
        <f>X13*0.0122437846+Y13*0.0122437846</f>
        <v/>
      </c>
      <c r="AZ13" s="7">
        <f>Y13*0.0122437846+Z13*0.0122437846</f>
        <v/>
      </c>
      <c r="BA13" s="7">
        <f>Z13*0.0122437846+AA13*0.0122437846</f>
        <v/>
      </c>
      <c r="BB13" s="7">
        <f>SUM(AD13:BA13)</f>
        <v/>
      </c>
    </row>
    <row r="14">
      <c r="A14" t="inlineStr">
        <is>
          <t>AMD-EXPR</t>
        </is>
      </c>
      <c r="B14" t="inlineStr">
        <is>
          <t>DSC Manual</t>
        </is>
      </c>
      <c r="C14" s="5" t="n">
        <v>46092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12</v>
      </c>
      <c r="K14" s="6" t="n">
        <v>16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16</v>
      </c>
      <c r="S14" s="6" t="n">
        <v>30</v>
      </c>
      <c r="T14" s="6" t="n">
        <v>0</v>
      </c>
      <c r="U14" s="6" t="n">
        <v>23</v>
      </c>
      <c r="V14" s="6" t="n">
        <v>26</v>
      </c>
      <c r="W14" s="6" t="n">
        <v>28</v>
      </c>
      <c r="X14" s="6" t="n">
        <v>34</v>
      </c>
      <c r="Y14" s="6" t="n">
        <v>22</v>
      </c>
      <c r="Z14" s="6" t="n">
        <v>4</v>
      </c>
      <c r="AA14" s="6" t="n">
        <v>0</v>
      </c>
      <c r="AB14" s="6">
        <f>SUM(D14:AA14)</f>
        <v/>
      </c>
      <c r="AC14" s="3" t="inlineStr"/>
      <c r="AD14" s="7">
        <f>AA14*0.0122437846+D14*0.0122437846</f>
        <v/>
      </c>
      <c r="AE14" s="7">
        <f>D14*0.0122437846+E14*0.0122437846</f>
        <v/>
      </c>
      <c r="AF14" s="7">
        <f>E14*0.0122437846+F14*0.0122437846</f>
        <v/>
      </c>
      <c r="AG14" s="7">
        <f>F14*0.0122437846+G14*0.0122437846</f>
        <v/>
      </c>
      <c r="AH14" s="7">
        <f>G14*0.0122437846+H14*0.0122437846</f>
        <v/>
      </c>
      <c r="AI14" s="7">
        <f>H14*0.0122437846+I14*0.0122437846</f>
        <v/>
      </c>
      <c r="AJ14" s="7">
        <f>I14*0.0122437846+J14*0.0122437846</f>
        <v/>
      </c>
      <c r="AK14" s="7">
        <f>J14*0.0122437846+K14*0.0122437846</f>
        <v/>
      </c>
      <c r="AL14" s="7">
        <f>K14*0.0122437846+L14*0.0122437846</f>
        <v/>
      </c>
      <c r="AM14" s="7">
        <f>L14*0.0122437846+M14*0.0122437846</f>
        <v/>
      </c>
      <c r="AN14" s="7">
        <f>M14*0.0122437846+N14*0.0122437846</f>
        <v/>
      </c>
      <c r="AO14" s="7">
        <f>N14*0.0122437846+O14*0.0122437846</f>
        <v/>
      </c>
      <c r="AP14" s="7">
        <f>O14*0.0122437846+P14*0.0122437846</f>
        <v/>
      </c>
      <c r="AQ14" s="7">
        <f>P14*0.0122437846+Q14*0.0122437846</f>
        <v/>
      </c>
      <c r="AR14" s="7">
        <f>Q14*0.0122437846+R14*0.0122437846</f>
        <v/>
      </c>
      <c r="AS14" s="7">
        <f>R14*0.0122437846+S14*0.0122437846</f>
        <v/>
      </c>
      <c r="AT14" s="7">
        <f>S14*0.0122437846+T14*0.0122437846</f>
        <v/>
      </c>
      <c r="AU14" s="7">
        <f>T14*0.0122437846+U14*0.0122437846</f>
        <v/>
      </c>
      <c r="AV14" s="7">
        <f>U14*0.0122437846+V14*0.0122437846</f>
        <v/>
      </c>
      <c r="AW14" s="7">
        <f>V14*0.0122437846+W14*0.0122437846</f>
        <v/>
      </c>
      <c r="AX14" s="7">
        <f>W14*0.0122437846+X14*0.0122437846</f>
        <v/>
      </c>
      <c r="AY14" s="7">
        <f>X14*0.0122437846+Y14*0.0122437846</f>
        <v/>
      </c>
      <c r="AZ14" s="7">
        <f>Y14*0.0122437846+Z14*0.0122437846</f>
        <v/>
      </c>
      <c r="BA14" s="7">
        <f>Z14*0.0122437846+AA14*0.0122437846</f>
        <v/>
      </c>
      <c r="BB14" s="7">
        <f>SUM(AD14:BA14)</f>
        <v/>
      </c>
    </row>
    <row r="15">
      <c r="A15" t="inlineStr">
        <is>
          <t>AMD-EXPR</t>
        </is>
      </c>
      <c r="B15" t="inlineStr">
        <is>
          <t>DSC Manual</t>
        </is>
      </c>
      <c r="C15" s="5" t="n">
        <v>46093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9</v>
      </c>
      <c r="I15" s="6" t="n">
        <v>12</v>
      </c>
      <c r="J15" s="6" t="n">
        <v>16</v>
      </c>
      <c r="K15" s="6" t="n">
        <v>9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26</v>
      </c>
      <c r="T15" s="6" t="n">
        <v>12</v>
      </c>
      <c r="U15" s="6" t="n">
        <v>20</v>
      </c>
      <c r="V15" s="6" t="n">
        <v>24</v>
      </c>
      <c r="W15" s="6" t="n">
        <v>30</v>
      </c>
      <c r="X15" s="6" t="n">
        <v>25</v>
      </c>
      <c r="Y15" s="6" t="n">
        <v>28</v>
      </c>
      <c r="Z15" s="6" t="n">
        <v>0</v>
      </c>
      <c r="AA15" s="6" t="n">
        <v>0</v>
      </c>
      <c r="AB15" s="6">
        <f>SUM(D15:AA15)</f>
        <v/>
      </c>
      <c r="AC15" s="3" t="inlineStr"/>
      <c r="AD15" s="7">
        <f>AA15*0.0122437846+D15*0.0122437846</f>
        <v/>
      </c>
      <c r="AE15" s="7">
        <f>D15*0.0122437846+E15*0.0122437846</f>
        <v/>
      </c>
      <c r="AF15" s="7">
        <f>E15*0.0122437846+F15*0.0122437846</f>
        <v/>
      </c>
      <c r="AG15" s="7">
        <f>F15*0.0122437846+G15*0.0122437846</f>
        <v/>
      </c>
      <c r="AH15" s="7">
        <f>G15*0.0122437846+H15*0.0122437846</f>
        <v/>
      </c>
      <c r="AI15" s="7">
        <f>H15*0.0122437846+I15*0.0122437846</f>
        <v/>
      </c>
      <c r="AJ15" s="7">
        <f>I15*0.0122437846+J15*0.0122437846</f>
        <v/>
      </c>
      <c r="AK15" s="7">
        <f>J15*0.0122437846+K15*0.0122437846</f>
        <v/>
      </c>
      <c r="AL15" s="7">
        <f>K15*0.0122437846+L15*0.0122437846</f>
        <v/>
      </c>
      <c r="AM15" s="7">
        <f>L15*0.0122437846+M15*0.0122437846</f>
        <v/>
      </c>
      <c r="AN15" s="7">
        <f>M15*0.0122437846+N15*0.0122437846</f>
        <v/>
      </c>
      <c r="AO15" s="7">
        <f>N15*0.0122437846+O15*0.0122437846</f>
        <v/>
      </c>
      <c r="AP15" s="7">
        <f>O15*0.0122437846+P15*0.0122437846</f>
        <v/>
      </c>
      <c r="AQ15" s="7">
        <f>P15*0.0122437846+Q15*0.0122437846</f>
        <v/>
      </c>
      <c r="AR15" s="7">
        <f>Q15*0.0122437846+R15*0.0122437846</f>
        <v/>
      </c>
      <c r="AS15" s="7">
        <f>R15*0.0122437846+S15*0.0122437846</f>
        <v/>
      </c>
      <c r="AT15" s="7">
        <f>S15*0.0122437846+T15*0.0122437846</f>
        <v/>
      </c>
      <c r="AU15" s="7">
        <f>T15*0.0122437846+U15*0.0122437846</f>
        <v/>
      </c>
      <c r="AV15" s="7">
        <f>U15*0.0122437846+V15*0.0122437846</f>
        <v/>
      </c>
      <c r="AW15" s="7">
        <f>V15*0.0122437846+W15*0.0122437846</f>
        <v/>
      </c>
      <c r="AX15" s="7">
        <f>W15*0.0122437846+X15*0.0122437846</f>
        <v/>
      </c>
      <c r="AY15" s="7">
        <f>X15*0.0122437846+Y15*0.0122437846</f>
        <v/>
      </c>
      <c r="AZ15" s="7">
        <f>Y15*0.0122437846+Z15*0.0122437846</f>
        <v/>
      </c>
      <c r="BA15" s="7">
        <f>Z15*0.0122437846+AA15*0.0122437846</f>
        <v/>
      </c>
      <c r="BB15" s="7">
        <f>SUM(AD15:BA15)</f>
        <v/>
      </c>
    </row>
    <row r="16">
      <c r="A16" t="inlineStr">
        <is>
          <t>AMD-EXPR</t>
        </is>
      </c>
      <c r="B16" t="inlineStr">
        <is>
          <t>DSC Manual</t>
        </is>
      </c>
      <c r="C16" s="5" t="n">
        <v>46094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4</v>
      </c>
      <c r="J16" s="6" t="n">
        <v>5</v>
      </c>
      <c r="K16" s="6" t="n">
        <v>12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10</v>
      </c>
      <c r="S16" s="6" t="n">
        <v>32</v>
      </c>
      <c r="T16" s="6" t="n">
        <v>11</v>
      </c>
      <c r="U16" s="6" t="n">
        <v>23</v>
      </c>
      <c r="V16" s="6" t="n">
        <v>25</v>
      </c>
      <c r="W16" s="6" t="n">
        <v>25</v>
      </c>
      <c r="X16" s="6" t="n">
        <v>40</v>
      </c>
      <c r="Y16" s="6" t="n">
        <v>46</v>
      </c>
      <c r="Z16" s="6" t="n">
        <v>0</v>
      </c>
      <c r="AA16" s="6" t="n">
        <v>0</v>
      </c>
      <c r="AB16" s="6">
        <f>SUM(D16:AA16)</f>
        <v/>
      </c>
      <c r="AC16" s="3" t="inlineStr"/>
      <c r="AD16" s="7">
        <f>AA16*0.0122437846+D16*0.0122437846</f>
        <v/>
      </c>
      <c r="AE16" s="7">
        <f>D16*0.0122437846+E16*0.0122437846</f>
        <v/>
      </c>
      <c r="AF16" s="7">
        <f>E16*0.0122437846+F16*0.0122437846</f>
        <v/>
      </c>
      <c r="AG16" s="7">
        <f>F16*0.0122437846+G16*0.0122437846</f>
        <v/>
      </c>
      <c r="AH16" s="7">
        <f>G16*0.0122437846+H16*0.0122437846</f>
        <v/>
      </c>
      <c r="AI16" s="7">
        <f>H16*0.0122437846+I16*0.0122437846</f>
        <v/>
      </c>
      <c r="AJ16" s="7">
        <f>I16*0.0122437846+J16*0.0122437846</f>
        <v/>
      </c>
      <c r="AK16" s="7">
        <f>J16*0.0122437846+K16*0.0122437846</f>
        <v/>
      </c>
      <c r="AL16" s="7">
        <f>K16*0.0122437846+L16*0.0122437846</f>
        <v/>
      </c>
      <c r="AM16" s="7">
        <f>L16*0.0122437846+M16*0.0122437846</f>
        <v/>
      </c>
      <c r="AN16" s="7">
        <f>M16*0.0122437846+N16*0.0122437846</f>
        <v/>
      </c>
      <c r="AO16" s="7">
        <f>N16*0.0122437846+O16*0.0122437846</f>
        <v/>
      </c>
      <c r="AP16" s="7">
        <f>O16*0.0122437846+P16*0.0122437846</f>
        <v/>
      </c>
      <c r="AQ16" s="7">
        <f>P16*0.0122437846+Q16*0.0122437846</f>
        <v/>
      </c>
      <c r="AR16" s="7">
        <f>Q16*0.0122437846+R16*0.0122437846</f>
        <v/>
      </c>
      <c r="AS16" s="7">
        <f>R16*0.0122437846+S16*0.0122437846</f>
        <v/>
      </c>
      <c r="AT16" s="7">
        <f>S16*0.0122437846+T16*0.0122437846</f>
        <v/>
      </c>
      <c r="AU16" s="7">
        <f>T16*0.0122437846+U16*0.0122437846</f>
        <v/>
      </c>
      <c r="AV16" s="7">
        <f>U16*0.0122437846+V16*0.0122437846</f>
        <v/>
      </c>
      <c r="AW16" s="7">
        <f>V16*0.0122437846+W16*0.0122437846</f>
        <v/>
      </c>
      <c r="AX16" s="7">
        <f>W16*0.0122437846+X16*0.0122437846</f>
        <v/>
      </c>
      <c r="AY16" s="7">
        <f>X16*0.0122437846+Y16*0.0122437846</f>
        <v/>
      </c>
      <c r="AZ16" s="7">
        <f>Y16*0.0122437846+Z16*0.0122437846</f>
        <v/>
      </c>
      <c r="BA16" s="7">
        <f>Z16*0.0122437846+AA16*0.0122437846</f>
        <v/>
      </c>
      <c r="BB16" s="7">
        <f>SUM(AD16:BA16)</f>
        <v/>
      </c>
    </row>
    <row r="17">
      <c r="A17" t="inlineStr">
        <is>
          <t>AMD-EXPR</t>
        </is>
      </c>
      <c r="B17" t="inlineStr">
        <is>
          <t>DSC Manual</t>
        </is>
      </c>
      <c r="C17" s="5" t="n">
        <v>46095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12</v>
      </c>
      <c r="K17" s="6" t="n">
        <v>5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20</v>
      </c>
      <c r="S17" s="6" t="n">
        <v>27</v>
      </c>
      <c r="T17" s="6" t="n">
        <v>10</v>
      </c>
      <c r="U17" s="6" t="n">
        <v>27</v>
      </c>
      <c r="V17" s="6" t="n">
        <v>22</v>
      </c>
      <c r="W17" s="6" t="n">
        <v>23</v>
      </c>
      <c r="X17" s="6" t="n">
        <v>23</v>
      </c>
      <c r="Y17" s="6" t="n">
        <v>0</v>
      </c>
      <c r="Z17" s="6" t="n">
        <v>0</v>
      </c>
      <c r="AA17" s="6" t="n">
        <v>0</v>
      </c>
      <c r="AB17" s="6">
        <f>SUM(D17:AA17)</f>
        <v/>
      </c>
      <c r="AC17" s="3" t="inlineStr"/>
      <c r="AD17" s="7">
        <f>AA17*0.0122437846+D17*0.0122437846</f>
        <v/>
      </c>
      <c r="AE17" s="7">
        <f>D17*0.0122437846+E17*0.0122437846</f>
        <v/>
      </c>
      <c r="AF17" s="7">
        <f>E17*0.0122437846+F17*0.0122437846</f>
        <v/>
      </c>
      <c r="AG17" s="7">
        <f>F17*0.0122437846+G17*0.0122437846</f>
        <v/>
      </c>
      <c r="AH17" s="7">
        <f>G17*0.0122437846+H17*0.0122437846</f>
        <v/>
      </c>
      <c r="AI17" s="7">
        <f>H17*0.0122437846+I17*0.0122437846</f>
        <v/>
      </c>
      <c r="AJ17" s="7">
        <f>I17*0.0122437846+J17*0.0122437846</f>
        <v/>
      </c>
      <c r="AK17" s="7">
        <f>J17*0.0122437846+K17*0.0122437846</f>
        <v/>
      </c>
      <c r="AL17" s="7">
        <f>K17*0.0122437846+L17*0.0122437846</f>
        <v/>
      </c>
      <c r="AM17" s="7">
        <f>L17*0.0122437846+M17*0.0122437846</f>
        <v/>
      </c>
      <c r="AN17" s="7">
        <f>M17*0.0122437846+N17*0.0122437846</f>
        <v/>
      </c>
      <c r="AO17" s="7">
        <f>N17*0.0122437846+O17*0.0122437846</f>
        <v/>
      </c>
      <c r="AP17" s="7">
        <f>O17*0.0122437846+P17*0.0122437846</f>
        <v/>
      </c>
      <c r="AQ17" s="7">
        <f>P17*0.0122437846+Q17*0.0122437846</f>
        <v/>
      </c>
      <c r="AR17" s="7">
        <f>Q17*0.0122437846+R17*0.0122437846</f>
        <v/>
      </c>
      <c r="AS17" s="7">
        <f>R17*0.0122437846+S17*0.0122437846</f>
        <v/>
      </c>
      <c r="AT17" s="7">
        <f>S17*0.0122437846+T17*0.0122437846</f>
        <v/>
      </c>
      <c r="AU17" s="7">
        <f>T17*0.0122437846+U17*0.0122437846</f>
        <v/>
      </c>
      <c r="AV17" s="7">
        <f>U17*0.0122437846+V17*0.0122437846</f>
        <v/>
      </c>
      <c r="AW17" s="7">
        <f>V17*0.0122437846+W17*0.0122437846</f>
        <v/>
      </c>
      <c r="AX17" s="7">
        <f>W17*0.0122437846+X17*0.0122437846</f>
        <v/>
      </c>
      <c r="AY17" s="7">
        <f>X17*0.0122437846+Y17*0.0122437846</f>
        <v/>
      </c>
      <c r="AZ17" s="7">
        <f>Y17*0.0122437846+Z17*0.0122437846</f>
        <v/>
      </c>
      <c r="BA17" s="7">
        <f>Z17*0.0122437846+AA17*0.0122437846</f>
        <v/>
      </c>
      <c r="BB17" s="7">
        <f>SUM(AD17:BA17)</f>
        <v/>
      </c>
    </row>
    <row r="18">
      <c r="A18" t="inlineStr">
        <is>
          <t>AMD-EXPR</t>
        </is>
      </c>
      <c r="B18" t="inlineStr">
        <is>
          <t>DSC Manual</t>
        </is>
      </c>
      <c r="C18" s="5" t="n">
        <v>46096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4</v>
      </c>
      <c r="I18" s="6" t="n">
        <v>18</v>
      </c>
      <c r="J18" s="6" t="n">
        <v>4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9</v>
      </c>
      <c r="S18" s="6" t="n">
        <v>29</v>
      </c>
      <c r="T18" s="6" t="n">
        <v>0</v>
      </c>
      <c r="U18" s="6" t="n">
        <v>27</v>
      </c>
      <c r="V18" s="6" t="n">
        <v>27</v>
      </c>
      <c r="W18" s="6" t="n">
        <v>22</v>
      </c>
      <c r="X18" s="6" t="n">
        <v>30</v>
      </c>
      <c r="Y18" s="6" t="n">
        <v>27</v>
      </c>
      <c r="Z18" s="6" t="n">
        <v>0</v>
      </c>
      <c r="AA18" s="6" t="n">
        <v>0</v>
      </c>
      <c r="AB18" s="6">
        <f>SUM(D18:AA18)</f>
        <v/>
      </c>
      <c r="AC18" s="3" t="inlineStr"/>
      <c r="AD18" s="7">
        <f>AA18*0.0122437846+D18*0.0122437846</f>
        <v/>
      </c>
      <c r="AE18" s="7">
        <f>D18*0.0122437846+E18*0.0122437846</f>
        <v/>
      </c>
      <c r="AF18" s="7">
        <f>E18*0.0122437846+F18*0.0122437846</f>
        <v/>
      </c>
      <c r="AG18" s="7">
        <f>F18*0.0122437846+G18*0.0122437846</f>
        <v/>
      </c>
      <c r="AH18" s="7">
        <f>G18*0.0122437846+H18*0.0122437846</f>
        <v/>
      </c>
      <c r="AI18" s="7">
        <f>H18*0.0122437846+I18*0.0122437846</f>
        <v/>
      </c>
      <c r="AJ18" s="7">
        <f>I18*0.0122437846+J18*0.0122437846</f>
        <v/>
      </c>
      <c r="AK18" s="7">
        <f>J18*0.0122437846+K18*0.0122437846</f>
        <v/>
      </c>
      <c r="AL18" s="7">
        <f>K18*0.0122437846+L18*0.0122437846</f>
        <v/>
      </c>
      <c r="AM18" s="7">
        <f>L18*0.0122437846+M18*0.0122437846</f>
        <v/>
      </c>
      <c r="AN18" s="7">
        <f>M18*0.0122437846+N18*0.0122437846</f>
        <v/>
      </c>
      <c r="AO18" s="7">
        <f>N18*0.0122437846+O18*0.0122437846</f>
        <v/>
      </c>
      <c r="AP18" s="7">
        <f>O18*0.0122437846+P18*0.0122437846</f>
        <v/>
      </c>
      <c r="AQ18" s="7">
        <f>P18*0.0122437846+Q18*0.0122437846</f>
        <v/>
      </c>
      <c r="AR18" s="7">
        <f>Q18*0.0122437846+R18*0.0122437846</f>
        <v/>
      </c>
      <c r="AS18" s="7">
        <f>R18*0.0122437846+S18*0.0122437846</f>
        <v/>
      </c>
      <c r="AT18" s="7">
        <f>S18*0.0122437846+T18*0.0122437846</f>
        <v/>
      </c>
      <c r="AU18" s="7">
        <f>T18*0.0122437846+U18*0.0122437846</f>
        <v/>
      </c>
      <c r="AV18" s="7">
        <f>U18*0.0122437846+V18*0.0122437846</f>
        <v/>
      </c>
      <c r="AW18" s="7">
        <f>V18*0.0122437846+W18*0.0122437846</f>
        <v/>
      </c>
      <c r="AX18" s="7">
        <f>W18*0.0122437846+X18*0.0122437846</f>
        <v/>
      </c>
      <c r="AY18" s="7">
        <f>X18*0.0122437846+Y18*0.0122437846</f>
        <v/>
      </c>
      <c r="AZ18" s="7">
        <f>Y18*0.0122437846+Z18*0.0122437846</f>
        <v/>
      </c>
      <c r="BA18" s="7">
        <f>Z18*0.0122437846+AA18*0.0122437846</f>
        <v/>
      </c>
      <c r="BB18" s="7">
        <f>SUM(AD18:BA18)</f>
        <v/>
      </c>
    </row>
    <row r="19">
      <c r="A19" t="inlineStr">
        <is>
          <t>AMD-EXPR</t>
        </is>
      </c>
      <c r="B19" t="inlineStr">
        <is>
          <t>DSC Manual</t>
        </is>
      </c>
      <c r="C19" s="5" t="n">
        <v>46097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11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6</v>
      </c>
      <c r="S19" s="6" t="n">
        <v>27</v>
      </c>
      <c r="T19" s="6" t="n">
        <v>0</v>
      </c>
      <c r="U19" s="6" t="n">
        <v>22</v>
      </c>
      <c r="V19" s="6" t="n">
        <v>9</v>
      </c>
      <c r="W19" s="6" t="n">
        <v>30</v>
      </c>
      <c r="X19" s="6" t="n">
        <v>26</v>
      </c>
      <c r="Y19" s="6" t="n">
        <v>27</v>
      </c>
      <c r="Z19" s="6" t="n">
        <v>0</v>
      </c>
      <c r="AA19" s="6" t="n">
        <v>0</v>
      </c>
      <c r="AB19" s="6">
        <f>SUM(D19:AA19)</f>
        <v/>
      </c>
      <c r="AC19" s="3" t="inlineStr"/>
      <c r="AD19" s="7">
        <f>AA19*0.0122437846+D19*0.0122437846</f>
        <v/>
      </c>
      <c r="AE19" s="7">
        <f>D19*0.0122437846+E19*0.0122437846</f>
        <v/>
      </c>
      <c r="AF19" s="7">
        <f>E19*0.0122437846+F19*0.0122437846</f>
        <v/>
      </c>
      <c r="AG19" s="7">
        <f>F19*0.0122437846+G19*0.0122437846</f>
        <v/>
      </c>
      <c r="AH19" s="7">
        <f>G19*0.0122437846+H19*0.0122437846</f>
        <v/>
      </c>
      <c r="AI19" s="7">
        <f>H19*0.0122437846+I19*0.0122437846</f>
        <v/>
      </c>
      <c r="AJ19" s="7">
        <f>I19*0.0122437846+J19*0.0122437846</f>
        <v/>
      </c>
      <c r="AK19" s="7">
        <f>J19*0.0122437846+K19*0.0122437846</f>
        <v/>
      </c>
      <c r="AL19" s="7">
        <f>K19*0.0122437846+L19*0.0122437846</f>
        <v/>
      </c>
      <c r="AM19" s="7">
        <f>L19*0.0122437846+M19*0.0122437846</f>
        <v/>
      </c>
      <c r="AN19" s="7">
        <f>M19*0.0122437846+N19*0.0122437846</f>
        <v/>
      </c>
      <c r="AO19" s="7">
        <f>N19*0.0122437846+O19*0.0122437846</f>
        <v/>
      </c>
      <c r="AP19" s="7">
        <f>O19*0.0122437846+P19*0.0122437846</f>
        <v/>
      </c>
      <c r="AQ19" s="7">
        <f>P19*0.0122437846+Q19*0.0122437846</f>
        <v/>
      </c>
      <c r="AR19" s="7">
        <f>Q19*0.0122437846+R19*0.0122437846</f>
        <v/>
      </c>
      <c r="AS19" s="7">
        <f>R19*0.0122437846+S19*0.0122437846</f>
        <v/>
      </c>
      <c r="AT19" s="7">
        <f>S19*0.0122437846+T19*0.0122437846</f>
        <v/>
      </c>
      <c r="AU19" s="7">
        <f>T19*0.0122437846+U19*0.0122437846</f>
        <v/>
      </c>
      <c r="AV19" s="7">
        <f>U19*0.0122437846+V19*0.0122437846</f>
        <v/>
      </c>
      <c r="AW19" s="7">
        <f>V19*0.0122437846+W19*0.0122437846</f>
        <v/>
      </c>
      <c r="AX19" s="7">
        <f>W19*0.0122437846+X19*0.0122437846</f>
        <v/>
      </c>
      <c r="AY19" s="7">
        <f>X19*0.0122437846+Y19*0.0122437846</f>
        <v/>
      </c>
      <c r="AZ19" s="7">
        <f>Y19*0.0122437846+Z19*0.0122437846</f>
        <v/>
      </c>
      <c r="BA19" s="7">
        <f>Z19*0.0122437846+AA19*0.0122437846</f>
        <v/>
      </c>
      <c r="BB19" s="7">
        <f>SUM(AD19:BA19)</f>
        <v/>
      </c>
    </row>
    <row r="20">
      <c r="A20" t="inlineStr">
        <is>
          <t>AMD-EXPR</t>
        </is>
      </c>
      <c r="B20" t="inlineStr">
        <is>
          <t>DSC Manual</t>
        </is>
      </c>
      <c r="C20" s="5" t="n">
        <v>46099</v>
      </c>
      <c r="D20" s="6" t="n">
        <v>0</v>
      </c>
      <c r="E20" s="6" t="n">
        <v>0</v>
      </c>
      <c r="F20" s="6" t="n">
        <v>2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4</v>
      </c>
      <c r="U20" s="6" t="n">
        <v>9</v>
      </c>
      <c r="V20" s="6" t="n">
        <v>5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>
        <f>SUM(D20:AA20)</f>
        <v/>
      </c>
      <c r="AC20" s="3" t="inlineStr"/>
      <c r="AD20" s="7">
        <f>AA20*0.0122437846+D20*0.0122437846</f>
        <v/>
      </c>
      <c r="AE20" s="7">
        <f>D20*0.0122437846+E20*0.0122437846</f>
        <v/>
      </c>
      <c r="AF20" s="7">
        <f>E20*0.0122437846+F20*0.0122437846</f>
        <v/>
      </c>
      <c r="AG20" s="7">
        <f>F20*0.0122437846+G20*0.0122437846</f>
        <v/>
      </c>
      <c r="AH20" s="7">
        <f>G20*0.0122437846+H20*0.0122437846</f>
        <v/>
      </c>
      <c r="AI20" s="7">
        <f>H20*0.0122437846+I20*0.0122437846</f>
        <v/>
      </c>
      <c r="AJ20" s="7">
        <f>I20*0.0122437846+J20*0.0122437846</f>
        <v/>
      </c>
      <c r="AK20" s="7">
        <f>J20*0.0122437846+K20*0.0122437846</f>
        <v/>
      </c>
      <c r="AL20" s="7">
        <f>K20*0.0122437846+L20*0.0122437846</f>
        <v/>
      </c>
      <c r="AM20" s="7">
        <f>L20*0.0122437846+M20*0.0122437846</f>
        <v/>
      </c>
      <c r="AN20" s="7">
        <f>M20*0.0122437846+N20*0.0122437846</f>
        <v/>
      </c>
      <c r="AO20" s="7">
        <f>N20*0.0122437846+O20*0.0122437846</f>
        <v/>
      </c>
      <c r="AP20" s="7">
        <f>O20*0.0122437846+P20*0.0122437846</f>
        <v/>
      </c>
      <c r="AQ20" s="7">
        <f>P20*0.0122437846+Q20*0.0122437846</f>
        <v/>
      </c>
      <c r="AR20" s="7">
        <f>Q20*0.0122437846+R20*0.0122437846</f>
        <v/>
      </c>
      <c r="AS20" s="7">
        <f>R20*0.0122437846+S20*0.0122437846</f>
        <v/>
      </c>
      <c r="AT20" s="7">
        <f>S20*0.0122437846+T20*0.0122437846</f>
        <v/>
      </c>
      <c r="AU20" s="7">
        <f>T20*0.0122437846+U20*0.0122437846</f>
        <v/>
      </c>
      <c r="AV20" s="7">
        <f>U20*0.0122437846+V20*0.0122437846</f>
        <v/>
      </c>
      <c r="AW20" s="7">
        <f>V20*0.0122437846+W20*0.0122437846</f>
        <v/>
      </c>
      <c r="AX20" s="7">
        <f>W20*0.0122437846+X20*0.0122437846</f>
        <v/>
      </c>
      <c r="AY20" s="7">
        <f>X20*0.0122437846+Y20*0.0122437846</f>
        <v/>
      </c>
      <c r="AZ20" s="7">
        <f>Y20*0.0122437846+Z20*0.0122437846</f>
        <v/>
      </c>
      <c r="BA20" s="7">
        <f>Z20*0.0122437846+AA20*0.0122437846</f>
        <v/>
      </c>
      <c r="BB20" s="7">
        <f>SUM(AD20:BA20)</f>
        <v/>
      </c>
    </row>
    <row r="21">
      <c r="A21" t="inlineStr">
        <is>
          <t>AMD-EXPR</t>
        </is>
      </c>
      <c r="B21" t="inlineStr">
        <is>
          <t>DSC Manual</t>
        </is>
      </c>
      <c r="C21" s="5" t="n">
        <v>46100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12</v>
      </c>
      <c r="Z21" s="6" t="n">
        <v>0</v>
      </c>
      <c r="AA21" s="6" t="n">
        <v>0</v>
      </c>
      <c r="AB21" s="6">
        <f>SUM(D21:AA21)</f>
        <v/>
      </c>
      <c r="AC21" s="3" t="inlineStr"/>
      <c r="AD21" s="7">
        <f>AA21*0.0122437846+D21*0.0122437846</f>
        <v/>
      </c>
      <c r="AE21" s="7">
        <f>D21*0.0122437846+E21*0.0122437846</f>
        <v/>
      </c>
      <c r="AF21" s="7">
        <f>E21*0.0122437846+F21*0.0122437846</f>
        <v/>
      </c>
      <c r="AG21" s="7">
        <f>F21*0.0122437846+G21*0.0122437846</f>
        <v/>
      </c>
      <c r="AH21" s="7">
        <f>G21*0.0122437846+H21*0.0122437846</f>
        <v/>
      </c>
      <c r="AI21" s="7">
        <f>H21*0.0122437846+I21*0.0122437846</f>
        <v/>
      </c>
      <c r="AJ21" s="7">
        <f>I21*0.0122437846+J21*0.0122437846</f>
        <v/>
      </c>
      <c r="AK21" s="7">
        <f>J21*0.0122437846+K21*0.0122437846</f>
        <v/>
      </c>
      <c r="AL21" s="7">
        <f>K21*0.0122437846+L21*0.0122437846</f>
        <v/>
      </c>
      <c r="AM21" s="7">
        <f>L21*0.0122437846+M21*0.0122437846</f>
        <v/>
      </c>
      <c r="AN21" s="7">
        <f>M21*0.0122437846+N21*0.0122437846</f>
        <v/>
      </c>
      <c r="AO21" s="7">
        <f>N21*0.0122437846+O21*0.0122437846</f>
        <v/>
      </c>
      <c r="AP21" s="7">
        <f>O21*0.0122437846+P21*0.0122437846</f>
        <v/>
      </c>
      <c r="AQ21" s="7">
        <f>P21*0.0122437846+Q21*0.0122437846</f>
        <v/>
      </c>
      <c r="AR21" s="7">
        <f>Q21*0.0122437846+R21*0.0122437846</f>
        <v/>
      </c>
      <c r="AS21" s="7">
        <f>R21*0.0122437846+S21*0.0122437846</f>
        <v/>
      </c>
      <c r="AT21" s="7">
        <f>S21*0.0122437846+T21*0.0122437846</f>
        <v/>
      </c>
      <c r="AU21" s="7">
        <f>T21*0.0122437846+U21*0.0122437846</f>
        <v/>
      </c>
      <c r="AV21" s="7">
        <f>U21*0.0122437846+V21*0.0122437846</f>
        <v/>
      </c>
      <c r="AW21" s="7">
        <f>V21*0.0122437846+W21*0.0122437846</f>
        <v/>
      </c>
      <c r="AX21" s="7">
        <f>W21*0.0122437846+X21*0.0122437846</f>
        <v/>
      </c>
      <c r="AY21" s="7">
        <f>X21*0.0122437846+Y21*0.0122437846</f>
        <v/>
      </c>
      <c r="AZ21" s="7">
        <f>Y21*0.0122437846+Z21*0.0122437846</f>
        <v/>
      </c>
      <c r="BA21" s="7">
        <f>Z21*0.0122437846+AA21*0.0122437846</f>
        <v/>
      </c>
      <c r="BB21" s="7">
        <f>SUM(AD21:BA21)</f>
        <v/>
      </c>
    </row>
    <row r="22">
      <c r="A22" t="inlineStr">
        <is>
          <t>AMD-EXPR</t>
        </is>
      </c>
      <c r="B22" t="inlineStr">
        <is>
          <t>DSC Manual</t>
        </is>
      </c>
      <c r="C22" s="5" t="n">
        <v>46102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6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12</v>
      </c>
      <c r="Z22" s="6" t="n">
        <v>0</v>
      </c>
      <c r="AA22" s="6" t="n">
        <v>0</v>
      </c>
      <c r="AB22" s="6">
        <f>SUM(D22:AA22)</f>
        <v/>
      </c>
      <c r="AC22" s="3" t="inlineStr"/>
      <c r="AD22" s="7">
        <f>AA22*0.0122437846+D22*0.0122437846</f>
        <v/>
      </c>
      <c r="AE22" s="7">
        <f>D22*0.0122437846+E22*0.0122437846</f>
        <v/>
      </c>
      <c r="AF22" s="7">
        <f>E22*0.0122437846+F22*0.0122437846</f>
        <v/>
      </c>
      <c r="AG22" s="7">
        <f>F22*0.0122437846+G22*0.0122437846</f>
        <v/>
      </c>
      <c r="AH22" s="7">
        <f>G22*0.0122437846+H22*0.0122437846</f>
        <v/>
      </c>
      <c r="AI22" s="7">
        <f>H22*0.0122437846+I22*0.0122437846</f>
        <v/>
      </c>
      <c r="AJ22" s="7">
        <f>I22*0.0122437846+J22*0.0122437846</f>
        <v/>
      </c>
      <c r="AK22" s="7">
        <f>J22*0.0122437846+K22*0.0122437846</f>
        <v/>
      </c>
      <c r="AL22" s="7">
        <f>K22*0.0122437846+L22*0.0122437846</f>
        <v/>
      </c>
      <c r="AM22" s="7">
        <f>L22*0.0122437846+M22*0.0122437846</f>
        <v/>
      </c>
      <c r="AN22" s="7">
        <f>M22*0.0122437846+N22*0.0122437846</f>
        <v/>
      </c>
      <c r="AO22" s="7">
        <f>N22*0.0122437846+O22*0.0122437846</f>
        <v/>
      </c>
      <c r="AP22" s="7">
        <f>O22*0.0122437846+P22*0.0122437846</f>
        <v/>
      </c>
      <c r="AQ22" s="7">
        <f>P22*0.0122437846+Q22*0.0122437846</f>
        <v/>
      </c>
      <c r="AR22" s="7">
        <f>Q22*0.0122437846+R22*0.0122437846</f>
        <v/>
      </c>
      <c r="AS22" s="7">
        <f>R22*0.0122437846+S22*0.0122437846</f>
        <v/>
      </c>
      <c r="AT22" s="7">
        <f>S22*0.0122437846+T22*0.0122437846</f>
        <v/>
      </c>
      <c r="AU22" s="7">
        <f>T22*0.0122437846+U22*0.0122437846</f>
        <v/>
      </c>
      <c r="AV22" s="7">
        <f>U22*0.0122437846+V22*0.0122437846</f>
        <v/>
      </c>
      <c r="AW22" s="7">
        <f>V22*0.0122437846+W22*0.0122437846</f>
        <v/>
      </c>
      <c r="AX22" s="7">
        <f>W22*0.0122437846+X22*0.0122437846</f>
        <v/>
      </c>
      <c r="AY22" s="7">
        <f>X22*0.0122437846+Y22*0.0122437846</f>
        <v/>
      </c>
      <c r="AZ22" s="7">
        <f>Y22*0.0122437846+Z22*0.0122437846</f>
        <v/>
      </c>
      <c r="BA22" s="7">
        <f>Z22*0.0122437846+AA22*0.0122437846</f>
        <v/>
      </c>
      <c r="BB22" s="7">
        <f>SUM(AD22:BA22)</f>
        <v/>
      </c>
    </row>
    <row r="23">
      <c r="A23" t="inlineStr">
        <is>
          <t>AMD-EXPR</t>
        </is>
      </c>
      <c r="B23" t="inlineStr">
        <is>
          <t>DSC Manual</t>
        </is>
      </c>
      <c r="C23" s="5" t="n">
        <v>46103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2</v>
      </c>
      <c r="K23" s="6" t="n">
        <v>2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8</v>
      </c>
      <c r="Z23" s="6" t="n">
        <v>0</v>
      </c>
      <c r="AA23" s="6" t="n">
        <v>0</v>
      </c>
      <c r="AB23" s="6">
        <f>SUM(D23:AA23)</f>
        <v/>
      </c>
      <c r="AC23" s="3" t="inlineStr"/>
      <c r="AD23" s="7">
        <f>AA23*0.0122437846+D23*0.0122437846</f>
        <v/>
      </c>
      <c r="AE23" s="7">
        <f>D23*0.0122437846+E23*0.0122437846</f>
        <v/>
      </c>
      <c r="AF23" s="7">
        <f>E23*0.0122437846+F23*0.0122437846</f>
        <v/>
      </c>
      <c r="AG23" s="7">
        <f>F23*0.0122437846+G23*0.0122437846</f>
        <v/>
      </c>
      <c r="AH23" s="7">
        <f>G23*0.0122437846+H23*0.0122437846</f>
        <v/>
      </c>
      <c r="AI23" s="7">
        <f>H23*0.0122437846+I23*0.0122437846</f>
        <v/>
      </c>
      <c r="AJ23" s="7">
        <f>I23*0.0122437846+J23*0.0122437846</f>
        <v/>
      </c>
      <c r="AK23" s="7">
        <f>J23*0.0122437846+K23*0.0122437846</f>
        <v/>
      </c>
      <c r="AL23" s="7">
        <f>K23*0.0122437846+L23*0.0122437846</f>
        <v/>
      </c>
      <c r="AM23" s="7">
        <f>L23*0.0122437846+M23*0.0122437846</f>
        <v/>
      </c>
      <c r="AN23" s="7">
        <f>M23*0.0122437846+N23*0.0122437846</f>
        <v/>
      </c>
      <c r="AO23" s="7">
        <f>N23*0.0122437846+O23*0.0122437846</f>
        <v/>
      </c>
      <c r="AP23" s="7">
        <f>O23*0.0122437846+P23*0.0122437846</f>
        <v/>
      </c>
      <c r="AQ23" s="7">
        <f>P23*0.0122437846+Q23*0.0122437846</f>
        <v/>
      </c>
      <c r="AR23" s="7">
        <f>Q23*0.0122437846+R23*0.0122437846</f>
        <v/>
      </c>
      <c r="AS23" s="7">
        <f>R23*0.0122437846+S23*0.0122437846</f>
        <v/>
      </c>
      <c r="AT23" s="7">
        <f>S23*0.0122437846+T23*0.0122437846</f>
        <v/>
      </c>
      <c r="AU23" s="7">
        <f>T23*0.0122437846+U23*0.0122437846</f>
        <v/>
      </c>
      <c r="AV23" s="7">
        <f>U23*0.0122437846+V23*0.0122437846</f>
        <v/>
      </c>
      <c r="AW23" s="7">
        <f>V23*0.0122437846+W23*0.0122437846</f>
        <v/>
      </c>
      <c r="AX23" s="7">
        <f>W23*0.0122437846+X23*0.0122437846</f>
        <v/>
      </c>
      <c r="AY23" s="7">
        <f>X23*0.0122437846+Y23*0.0122437846</f>
        <v/>
      </c>
      <c r="AZ23" s="7">
        <f>Y23*0.0122437846+Z23*0.0122437846</f>
        <v/>
      </c>
      <c r="BA23" s="7">
        <f>Z23*0.0122437846+AA23*0.0122437846</f>
        <v/>
      </c>
      <c r="BB23" s="7">
        <f>SUM(AD23:BA23)</f>
        <v/>
      </c>
    </row>
    <row r="24">
      <c r="A24" t="inlineStr">
        <is>
          <t>AMD-EXPR</t>
        </is>
      </c>
      <c r="B24" t="inlineStr">
        <is>
          <t>DSC Manual</t>
        </is>
      </c>
      <c r="C24" s="5" t="n">
        <v>46104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5</v>
      </c>
      <c r="Z24" s="6" t="n">
        <v>0</v>
      </c>
      <c r="AA24" s="6" t="n">
        <v>0</v>
      </c>
      <c r="AB24" s="6">
        <f>SUM(D24:AA24)</f>
        <v/>
      </c>
      <c r="AC24" s="3" t="inlineStr"/>
      <c r="AD24" s="7">
        <f>AA24*0.0122437846+D24*0.0122437846</f>
        <v/>
      </c>
      <c r="AE24" s="7">
        <f>D24*0.0122437846+E24*0.0122437846</f>
        <v/>
      </c>
      <c r="AF24" s="7">
        <f>E24*0.0122437846+F24*0.0122437846</f>
        <v/>
      </c>
      <c r="AG24" s="7">
        <f>F24*0.0122437846+G24*0.0122437846</f>
        <v/>
      </c>
      <c r="AH24" s="7">
        <f>G24*0.0122437846+H24*0.0122437846</f>
        <v/>
      </c>
      <c r="AI24" s="7">
        <f>H24*0.0122437846+I24*0.0122437846</f>
        <v/>
      </c>
      <c r="AJ24" s="7">
        <f>I24*0.0122437846+J24*0.0122437846</f>
        <v/>
      </c>
      <c r="AK24" s="7">
        <f>J24*0.0122437846+K24*0.0122437846</f>
        <v/>
      </c>
      <c r="AL24" s="7">
        <f>K24*0.0122437846+L24*0.0122437846</f>
        <v/>
      </c>
      <c r="AM24" s="7">
        <f>L24*0.0122437846+M24*0.0122437846</f>
        <v/>
      </c>
      <c r="AN24" s="7">
        <f>M24*0.0122437846+N24*0.0122437846</f>
        <v/>
      </c>
      <c r="AO24" s="7">
        <f>N24*0.0122437846+O24*0.0122437846</f>
        <v/>
      </c>
      <c r="AP24" s="7">
        <f>O24*0.0122437846+P24*0.0122437846</f>
        <v/>
      </c>
      <c r="AQ24" s="7">
        <f>P24*0.0122437846+Q24*0.0122437846</f>
        <v/>
      </c>
      <c r="AR24" s="7">
        <f>Q24*0.0122437846+R24*0.0122437846</f>
        <v/>
      </c>
      <c r="AS24" s="7">
        <f>R24*0.0122437846+S24*0.0122437846</f>
        <v/>
      </c>
      <c r="AT24" s="7">
        <f>S24*0.0122437846+T24*0.0122437846</f>
        <v/>
      </c>
      <c r="AU24" s="7">
        <f>T24*0.0122437846+U24*0.0122437846</f>
        <v/>
      </c>
      <c r="AV24" s="7">
        <f>U24*0.0122437846+V24*0.0122437846</f>
        <v/>
      </c>
      <c r="AW24" s="7">
        <f>V24*0.0122437846+W24*0.0122437846</f>
        <v/>
      </c>
      <c r="AX24" s="7">
        <f>W24*0.0122437846+X24*0.0122437846</f>
        <v/>
      </c>
      <c r="AY24" s="7">
        <f>X24*0.0122437846+Y24*0.0122437846</f>
        <v/>
      </c>
      <c r="AZ24" s="7">
        <f>Y24*0.0122437846+Z24*0.0122437846</f>
        <v/>
      </c>
      <c r="BA24" s="7">
        <f>Z24*0.0122437846+AA24*0.0122437846</f>
        <v/>
      </c>
      <c r="BB24" s="7">
        <f>SUM(AD24:BA24)</f>
        <v/>
      </c>
    </row>
    <row r="25">
      <c r="A25" t="inlineStr">
        <is>
          <t>AMD-EXPR</t>
        </is>
      </c>
      <c r="B25" t="inlineStr">
        <is>
          <t>DSC Manual</t>
        </is>
      </c>
      <c r="C25" s="5" t="n">
        <v>46105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2</v>
      </c>
      <c r="J25" s="6" t="n">
        <v>1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>
        <f>SUM(D25:AA25)</f>
        <v/>
      </c>
      <c r="AC25" s="3" t="inlineStr"/>
      <c r="AD25" s="7">
        <f>AA25*0.0122437846+D25*0.0122437846</f>
        <v/>
      </c>
      <c r="AE25" s="7">
        <f>D25*0.0122437846+E25*0.0122437846</f>
        <v/>
      </c>
      <c r="AF25" s="7">
        <f>E25*0.0122437846+F25*0.0122437846</f>
        <v/>
      </c>
      <c r="AG25" s="7">
        <f>F25*0.0122437846+G25*0.0122437846</f>
        <v/>
      </c>
      <c r="AH25" s="7">
        <f>G25*0.0122437846+H25*0.0122437846</f>
        <v/>
      </c>
      <c r="AI25" s="7">
        <f>H25*0.0122437846+I25*0.0122437846</f>
        <v/>
      </c>
      <c r="AJ25" s="7">
        <f>I25*0.0122437846+J25*0.0122437846</f>
        <v/>
      </c>
      <c r="AK25" s="7">
        <f>J25*0.0122437846+K25*0.0122437846</f>
        <v/>
      </c>
      <c r="AL25" s="7">
        <f>K25*0.0122437846+L25*0.0122437846</f>
        <v/>
      </c>
      <c r="AM25" s="7">
        <f>L25*0.0122437846+M25*0.0122437846</f>
        <v/>
      </c>
      <c r="AN25" s="7">
        <f>M25*0.0122437846+N25*0.0122437846</f>
        <v/>
      </c>
      <c r="AO25" s="7">
        <f>N25*0.0122437846+O25*0.0122437846</f>
        <v/>
      </c>
      <c r="AP25" s="7">
        <f>O25*0.0122437846+P25*0.0122437846</f>
        <v/>
      </c>
      <c r="AQ25" s="7">
        <f>P25*0.0122437846+Q25*0.0122437846</f>
        <v/>
      </c>
      <c r="AR25" s="7">
        <f>Q25*0.0122437846+R25*0.0122437846</f>
        <v/>
      </c>
      <c r="AS25" s="7">
        <f>R25*0.0122437846+S25*0.0122437846</f>
        <v/>
      </c>
      <c r="AT25" s="7">
        <f>S25*0.0122437846+T25*0.0122437846</f>
        <v/>
      </c>
      <c r="AU25" s="7">
        <f>T25*0.0122437846+U25*0.0122437846</f>
        <v/>
      </c>
      <c r="AV25" s="7">
        <f>U25*0.0122437846+V25*0.0122437846</f>
        <v/>
      </c>
      <c r="AW25" s="7">
        <f>V25*0.0122437846+W25*0.0122437846</f>
        <v/>
      </c>
      <c r="AX25" s="7">
        <f>W25*0.0122437846+X25*0.0122437846</f>
        <v/>
      </c>
      <c r="AY25" s="7">
        <f>X25*0.0122437846+Y25*0.0122437846</f>
        <v/>
      </c>
      <c r="AZ25" s="7">
        <f>Y25*0.0122437846+Z25*0.0122437846</f>
        <v/>
      </c>
      <c r="BA25" s="7">
        <f>Z25*0.0122437846+AA25*0.0122437846</f>
        <v/>
      </c>
      <c r="BB25" s="7">
        <f>SUM(AD25:BA25)</f>
        <v/>
      </c>
    </row>
    <row r="26">
      <c r="A26" t="inlineStr">
        <is>
          <t>AMD-FK-SSC</t>
        </is>
      </c>
      <c r="B26" t="inlineStr">
        <is>
          <t>Prime at Client side</t>
        </is>
      </c>
      <c r="C26" s="5" t="n">
        <v>46089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2</v>
      </c>
      <c r="P26" s="6" t="n">
        <v>6</v>
      </c>
      <c r="Q26" s="6" t="n">
        <v>15</v>
      </c>
      <c r="R26" s="6" t="n">
        <v>7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>
        <f>SUM(D26:AA26)</f>
        <v/>
      </c>
      <c r="AC26" s="3" t="inlineStr"/>
      <c r="AD26" s="7">
        <f>AA26*0.0122437846+D26*0.0122437846</f>
        <v/>
      </c>
      <c r="AE26" s="7">
        <f>D26*0.0122437846+E26*0.0122437846</f>
        <v/>
      </c>
      <c r="AF26" s="7">
        <f>E26*0.0122437846+F26*0.0122437846</f>
        <v/>
      </c>
      <c r="AG26" s="7">
        <f>F26*0.0122437846+G26*0.0122437846</f>
        <v/>
      </c>
      <c r="AH26" s="7">
        <f>G26*0.0122437846+H26*0.0122437846</f>
        <v/>
      </c>
      <c r="AI26" s="7">
        <f>H26*0.0122437846+I26*0.0122437846</f>
        <v/>
      </c>
      <c r="AJ26" s="7">
        <f>I26*0.0122437846+J26*0.0122437846</f>
        <v/>
      </c>
      <c r="AK26" s="7">
        <f>J26*0.0122437846+K26*0.0122437846</f>
        <v/>
      </c>
      <c r="AL26" s="7">
        <f>K26*0.0122437846+L26*0.0122437846</f>
        <v/>
      </c>
      <c r="AM26" s="7">
        <f>L26*0.0122437846+M26*0.0122437846</f>
        <v/>
      </c>
      <c r="AN26" s="7">
        <f>M26*0.0122437846+N26*0.0122437846</f>
        <v/>
      </c>
      <c r="AO26" s="7">
        <f>N26*0.0122437846+O26*0.0122437846</f>
        <v/>
      </c>
      <c r="AP26" s="7">
        <f>O26*0.0122437846+P26*0.0122437846</f>
        <v/>
      </c>
      <c r="AQ26" s="7">
        <f>P26*0.0122437846+Q26*0.0122437846</f>
        <v/>
      </c>
      <c r="AR26" s="7">
        <f>Q26*0.0122437846+R26*0.0122437846</f>
        <v/>
      </c>
      <c r="AS26" s="7">
        <f>R26*0.0122437846+S26*0.0122437846</f>
        <v/>
      </c>
      <c r="AT26" s="7">
        <f>S26*0.0122437846+T26*0.0122437846</f>
        <v/>
      </c>
      <c r="AU26" s="7">
        <f>T26*0.0122437846+U26*0.0122437846</f>
        <v/>
      </c>
      <c r="AV26" s="7">
        <f>U26*0.0122437846+V26*0.0122437846</f>
        <v/>
      </c>
      <c r="AW26" s="7">
        <f>V26*0.0122437846+W26*0.0122437846</f>
        <v/>
      </c>
      <c r="AX26" s="7">
        <f>W26*0.0122437846+X26*0.0122437846</f>
        <v/>
      </c>
      <c r="AY26" s="7">
        <f>X26*0.0122437846+Y26*0.0122437846</f>
        <v/>
      </c>
      <c r="AZ26" s="7">
        <f>Y26*0.0122437846+Z26*0.0122437846</f>
        <v/>
      </c>
      <c r="BA26" s="7">
        <f>Z26*0.0122437846+AA26*0.0122437846</f>
        <v/>
      </c>
      <c r="BB26" s="7">
        <f>SUM(AD26:BA26)</f>
        <v/>
      </c>
    </row>
    <row r="27">
      <c r="A27" t="inlineStr">
        <is>
          <t>AMD-FK-SSC</t>
        </is>
      </c>
      <c r="B27" t="inlineStr">
        <is>
          <t>Prime at Client side</t>
        </is>
      </c>
      <c r="C27" s="5" t="n">
        <v>46090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4</v>
      </c>
      <c r="P27" s="6" t="n">
        <v>8</v>
      </c>
      <c r="Q27" s="6" t="n">
        <v>14</v>
      </c>
      <c r="R27" s="6" t="n">
        <v>1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>
        <f>SUM(D27:AA27)</f>
        <v/>
      </c>
      <c r="AC27" s="3" t="inlineStr"/>
      <c r="AD27" s="7">
        <f>AA27*0.0122437846+D27*0.0122437846</f>
        <v/>
      </c>
      <c r="AE27" s="7">
        <f>D27*0.0122437846+E27*0.0122437846</f>
        <v/>
      </c>
      <c r="AF27" s="7">
        <f>E27*0.0122437846+F27*0.0122437846</f>
        <v/>
      </c>
      <c r="AG27" s="7">
        <f>F27*0.0122437846+G27*0.0122437846</f>
        <v/>
      </c>
      <c r="AH27" s="7">
        <f>G27*0.0122437846+H27*0.0122437846</f>
        <v/>
      </c>
      <c r="AI27" s="7">
        <f>H27*0.0122437846+I27*0.0122437846</f>
        <v/>
      </c>
      <c r="AJ27" s="7">
        <f>I27*0.0122437846+J27*0.0122437846</f>
        <v/>
      </c>
      <c r="AK27" s="7">
        <f>J27*0.0122437846+K27*0.0122437846</f>
        <v/>
      </c>
      <c r="AL27" s="7">
        <f>K27*0.0122437846+L27*0.0122437846</f>
        <v/>
      </c>
      <c r="AM27" s="7">
        <f>L27*0.0122437846+M27*0.0122437846</f>
        <v/>
      </c>
      <c r="AN27" s="7">
        <f>M27*0.0122437846+N27*0.0122437846</f>
        <v/>
      </c>
      <c r="AO27" s="7">
        <f>N27*0.0122437846+O27*0.0122437846</f>
        <v/>
      </c>
      <c r="AP27" s="7">
        <f>O27*0.0122437846+P27*0.0122437846</f>
        <v/>
      </c>
      <c r="AQ27" s="7">
        <f>P27*0.0122437846+Q27*0.0122437846</f>
        <v/>
      </c>
      <c r="AR27" s="7">
        <f>Q27*0.0122437846+R27*0.0122437846</f>
        <v/>
      </c>
      <c r="AS27" s="7">
        <f>R27*0.0122437846+S27*0.0122437846</f>
        <v/>
      </c>
      <c r="AT27" s="7">
        <f>S27*0.0122437846+T27*0.0122437846</f>
        <v/>
      </c>
      <c r="AU27" s="7">
        <f>T27*0.0122437846+U27*0.0122437846</f>
        <v/>
      </c>
      <c r="AV27" s="7">
        <f>U27*0.0122437846+V27*0.0122437846</f>
        <v/>
      </c>
      <c r="AW27" s="7">
        <f>V27*0.0122437846+W27*0.0122437846</f>
        <v/>
      </c>
      <c r="AX27" s="7">
        <f>W27*0.0122437846+X27*0.0122437846</f>
        <v/>
      </c>
      <c r="AY27" s="7">
        <f>X27*0.0122437846+Y27*0.0122437846</f>
        <v/>
      </c>
      <c r="AZ27" s="7">
        <f>Y27*0.0122437846+Z27*0.0122437846</f>
        <v/>
      </c>
      <c r="BA27" s="7">
        <f>Z27*0.0122437846+AA27*0.0122437846</f>
        <v/>
      </c>
      <c r="BB27" s="7">
        <f>SUM(AD27:BA27)</f>
        <v/>
      </c>
    </row>
    <row r="28">
      <c r="A28" t="inlineStr">
        <is>
          <t>AMD-FK-SSC</t>
        </is>
      </c>
      <c r="B28" t="inlineStr">
        <is>
          <t>Prime at Client side</t>
        </is>
      </c>
      <c r="C28" s="5" t="n">
        <v>46091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0</v>
      </c>
      <c r="O28" s="6" t="n">
        <v>10</v>
      </c>
      <c r="P28" s="6" t="n">
        <v>6</v>
      </c>
      <c r="Q28" s="6" t="n">
        <v>10</v>
      </c>
      <c r="R28" s="6" t="n">
        <v>8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>
        <f>SUM(D28:AA28)</f>
        <v/>
      </c>
      <c r="AC28" s="3" t="inlineStr"/>
      <c r="AD28" s="7">
        <f>AA28*0.0122437846+D28*0.0122437846</f>
        <v/>
      </c>
      <c r="AE28" s="7">
        <f>D28*0.0122437846+E28*0.0122437846</f>
        <v/>
      </c>
      <c r="AF28" s="7">
        <f>E28*0.0122437846+F28*0.0122437846</f>
        <v/>
      </c>
      <c r="AG28" s="7">
        <f>F28*0.0122437846+G28*0.0122437846</f>
        <v/>
      </c>
      <c r="AH28" s="7">
        <f>G28*0.0122437846+H28*0.0122437846</f>
        <v/>
      </c>
      <c r="AI28" s="7">
        <f>H28*0.0122437846+I28*0.0122437846</f>
        <v/>
      </c>
      <c r="AJ28" s="7">
        <f>I28*0.0122437846+J28*0.0122437846</f>
        <v/>
      </c>
      <c r="AK28" s="7">
        <f>J28*0.0122437846+K28*0.0122437846</f>
        <v/>
      </c>
      <c r="AL28" s="7">
        <f>K28*0.0122437846+L28*0.0122437846</f>
        <v/>
      </c>
      <c r="AM28" s="7">
        <f>L28*0.0122437846+M28*0.0122437846</f>
        <v/>
      </c>
      <c r="AN28" s="7">
        <f>M28*0.0122437846+N28*0.0122437846</f>
        <v/>
      </c>
      <c r="AO28" s="7">
        <f>N28*0.0122437846+O28*0.0122437846</f>
        <v/>
      </c>
      <c r="AP28" s="7">
        <f>O28*0.0122437846+P28*0.0122437846</f>
        <v/>
      </c>
      <c r="AQ28" s="7">
        <f>P28*0.0122437846+Q28*0.0122437846</f>
        <v/>
      </c>
      <c r="AR28" s="7">
        <f>Q28*0.0122437846+R28*0.0122437846</f>
        <v/>
      </c>
      <c r="AS28" s="7">
        <f>R28*0.0122437846+S28*0.0122437846</f>
        <v/>
      </c>
      <c r="AT28" s="7">
        <f>S28*0.0122437846+T28*0.0122437846</f>
        <v/>
      </c>
      <c r="AU28" s="7">
        <f>T28*0.0122437846+U28*0.0122437846</f>
        <v/>
      </c>
      <c r="AV28" s="7">
        <f>U28*0.0122437846+V28*0.0122437846</f>
        <v/>
      </c>
      <c r="AW28" s="7">
        <f>V28*0.0122437846+W28*0.0122437846</f>
        <v/>
      </c>
      <c r="AX28" s="7">
        <f>W28*0.0122437846+X28*0.0122437846</f>
        <v/>
      </c>
      <c r="AY28" s="7">
        <f>X28*0.0122437846+Y28*0.0122437846</f>
        <v/>
      </c>
      <c r="AZ28" s="7">
        <f>Y28*0.0122437846+Z28*0.0122437846</f>
        <v/>
      </c>
      <c r="BA28" s="7">
        <f>Z28*0.0122437846+AA28*0.0122437846</f>
        <v/>
      </c>
      <c r="BB28" s="7">
        <f>SUM(AD28:BA28)</f>
        <v/>
      </c>
    </row>
    <row r="29">
      <c r="A29" t="inlineStr">
        <is>
          <t>AMD-FK-SSC</t>
        </is>
      </c>
      <c r="B29" t="inlineStr">
        <is>
          <t>Prime at Client side</t>
        </is>
      </c>
      <c r="C29" s="5" t="n">
        <v>46092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9</v>
      </c>
      <c r="P29" s="6" t="n">
        <v>3</v>
      </c>
      <c r="Q29" s="6" t="n">
        <v>10</v>
      </c>
      <c r="R29" s="6" t="n">
        <v>6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>
        <f>SUM(D29:AA29)</f>
        <v/>
      </c>
      <c r="AC29" s="3" t="inlineStr"/>
      <c r="AD29" s="7">
        <f>AA29*0.0122437846+D29*0.0122437846</f>
        <v/>
      </c>
      <c r="AE29" s="7">
        <f>D29*0.0122437846+E29*0.0122437846</f>
        <v/>
      </c>
      <c r="AF29" s="7">
        <f>E29*0.0122437846+F29*0.0122437846</f>
        <v/>
      </c>
      <c r="AG29" s="7">
        <f>F29*0.0122437846+G29*0.0122437846</f>
        <v/>
      </c>
      <c r="AH29" s="7">
        <f>G29*0.0122437846+H29*0.0122437846</f>
        <v/>
      </c>
      <c r="AI29" s="7">
        <f>H29*0.0122437846+I29*0.0122437846</f>
        <v/>
      </c>
      <c r="AJ29" s="7">
        <f>I29*0.0122437846+J29*0.0122437846</f>
        <v/>
      </c>
      <c r="AK29" s="7">
        <f>J29*0.0122437846+K29*0.0122437846</f>
        <v/>
      </c>
      <c r="AL29" s="7">
        <f>K29*0.0122437846+L29*0.0122437846</f>
        <v/>
      </c>
      <c r="AM29" s="7">
        <f>L29*0.0122437846+M29*0.0122437846</f>
        <v/>
      </c>
      <c r="AN29" s="7">
        <f>M29*0.0122437846+N29*0.0122437846</f>
        <v/>
      </c>
      <c r="AO29" s="7">
        <f>N29*0.0122437846+O29*0.0122437846</f>
        <v/>
      </c>
      <c r="AP29" s="7">
        <f>O29*0.0122437846+P29*0.0122437846</f>
        <v/>
      </c>
      <c r="AQ29" s="7">
        <f>P29*0.0122437846+Q29*0.0122437846</f>
        <v/>
      </c>
      <c r="AR29" s="7">
        <f>Q29*0.0122437846+R29*0.0122437846</f>
        <v/>
      </c>
      <c r="AS29" s="7">
        <f>R29*0.0122437846+S29*0.0122437846</f>
        <v/>
      </c>
      <c r="AT29" s="7">
        <f>S29*0.0122437846+T29*0.0122437846</f>
        <v/>
      </c>
      <c r="AU29" s="7">
        <f>T29*0.0122437846+U29*0.0122437846</f>
        <v/>
      </c>
      <c r="AV29" s="7">
        <f>U29*0.0122437846+V29*0.0122437846</f>
        <v/>
      </c>
      <c r="AW29" s="7">
        <f>V29*0.0122437846+W29*0.0122437846</f>
        <v/>
      </c>
      <c r="AX29" s="7">
        <f>W29*0.0122437846+X29*0.0122437846</f>
        <v/>
      </c>
      <c r="AY29" s="7">
        <f>X29*0.0122437846+Y29*0.0122437846</f>
        <v/>
      </c>
      <c r="AZ29" s="7">
        <f>Y29*0.0122437846+Z29*0.0122437846</f>
        <v/>
      </c>
      <c r="BA29" s="7">
        <f>Z29*0.0122437846+AA29*0.0122437846</f>
        <v/>
      </c>
      <c r="BB29" s="7">
        <f>SUM(AD29:BA29)</f>
        <v/>
      </c>
    </row>
    <row r="30">
      <c r="A30" t="inlineStr">
        <is>
          <t>AMD-FK-SSC</t>
        </is>
      </c>
      <c r="B30" t="inlineStr">
        <is>
          <t>Prime at Client side</t>
        </is>
      </c>
      <c r="C30" s="5" t="n">
        <v>46093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11</v>
      </c>
      <c r="Q30" s="6" t="n">
        <v>8</v>
      </c>
      <c r="R30" s="6" t="n">
        <v>8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>
        <f>SUM(D30:AA30)</f>
        <v/>
      </c>
      <c r="AC30" s="3" t="inlineStr"/>
      <c r="AD30" s="7">
        <f>AA30*0.0122437846+D30*0.0122437846</f>
        <v/>
      </c>
      <c r="AE30" s="7">
        <f>D30*0.0122437846+E30*0.0122437846</f>
        <v/>
      </c>
      <c r="AF30" s="7">
        <f>E30*0.0122437846+F30*0.0122437846</f>
        <v/>
      </c>
      <c r="AG30" s="7">
        <f>F30*0.0122437846+G30*0.0122437846</f>
        <v/>
      </c>
      <c r="AH30" s="7">
        <f>G30*0.0122437846+H30*0.0122437846</f>
        <v/>
      </c>
      <c r="AI30" s="7">
        <f>H30*0.0122437846+I30*0.0122437846</f>
        <v/>
      </c>
      <c r="AJ30" s="7">
        <f>I30*0.0122437846+J30*0.0122437846</f>
        <v/>
      </c>
      <c r="AK30" s="7">
        <f>J30*0.0122437846+K30*0.0122437846</f>
        <v/>
      </c>
      <c r="AL30" s="7">
        <f>K30*0.0122437846+L30*0.0122437846</f>
        <v/>
      </c>
      <c r="AM30" s="7">
        <f>L30*0.0122437846+M30*0.0122437846</f>
        <v/>
      </c>
      <c r="AN30" s="7">
        <f>M30*0.0122437846+N30*0.0122437846</f>
        <v/>
      </c>
      <c r="AO30" s="7">
        <f>N30*0.0122437846+O30*0.0122437846</f>
        <v/>
      </c>
      <c r="AP30" s="7">
        <f>O30*0.0122437846+P30*0.0122437846</f>
        <v/>
      </c>
      <c r="AQ30" s="7">
        <f>P30*0.0122437846+Q30*0.0122437846</f>
        <v/>
      </c>
      <c r="AR30" s="7">
        <f>Q30*0.0122437846+R30*0.0122437846</f>
        <v/>
      </c>
      <c r="AS30" s="7">
        <f>R30*0.0122437846+S30*0.0122437846</f>
        <v/>
      </c>
      <c r="AT30" s="7">
        <f>S30*0.0122437846+T30*0.0122437846</f>
        <v/>
      </c>
      <c r="AU30" s="7">
        <f>T30*0.0122437846+U30*0.0122437846</f>
        <v/>
      </c>
      <c r="AV30" s="7">
        <f>U30*0.0122437846+V30*0.0122437846</f>
        <v/>
      </c>
      <c r="AW30" s="7">
        <f>V30*0.0122437846+W30*0.0122437846</f>
        <v/>
      </c>
      <c r="AX30" s="7">
        <f>W30*0.0122437846+X30*0.0122437846</f>
        <v/>
      </c>
      <c r="AY30" s="7">
        <f>X30*0.0122437846+Y30*0.0122437846</f>
        <v/>
      </c>
      <c r="AZ30" s="7">
        <f>Y30*0.0122437846+Z30*0.0122437846</f>
        <v/>
      </c>
      <c r="BA30" s="7">
        <f>Z30*0.0122437846+AA30*0.0122437846</f>
        <v/>
      </c>
      <c r="BB30" s="7">
        <f>SUM(AD30:BA30)</f>
        <v/>
      </c>
    </row>
    <row r="31">
      <c r="A31" t="inlineStr">
        <is>
          <t>AMD-FK-SSC</t>
        </is>
      </c>
      <c r="B31" t="inlineStr">
        <is>
          <t>Prime at Client side</t>
        </is>
      </c>
      <c r="C31" s="5" t="n">
        <v>46094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4</v>
      </c>
      <c r="P31" s="6" t="n">
        <v>3</v>
      </c>
      <c r="Q31" s="6" t="n">
        <v>9</v>
      </c>
      <c r="R31" s="6" t="n">
        <v>1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>
        <f>SUM(D31:AA31)</f>
        <v/>
      </c>
      <c r="AC31" s="3" t="inlineStr"/>
      <c r="AD31" s="7">
        <f>AA31*0.0122437846+D31*0.0122437846</f>
        <v/>
      </c>
      <c r="AE31" s="7">
        <f>D31*0.0122437846+E31*0.0122437846</f>
        <v/>
      </c>
      <c r="AF31" s="7">
        <f>E31*0.0122437846+F31*0.0122437846</f>
        <v/>
      </c>
      <c r="AG31" s="7">
        <f>F31*0.0122437846+G31*0.0122437846</f>
        <v/>
      </c>
      <c r="AH31" s="7">
        <f>G31*0.0122437846+H31*0.0122437846</f>
        <v/>
      </c>
      <c r="AI31" s="7">
        <f>H31*0.0122437846+I31*0.0122437846</f>
        <v/>
      </c>
      <c r="AJ31" s="7">
        <f>I31*0.0122437846+J31*0.0122437846</f>
        <v/>
      </c>
      <c r="AK31" s="7">
        <f>J31*0.0122437846+K31*0.0122437846</f>
        <v/>
      </c>
      <c r="AL31" s="7">
        <f>K31*0.0122437846+L31*0.0122437846</f>
        <v/>
      </c>
      <c r="AM31" s="7">
        <f>L31*0.0122437846+M31*0.0122437846</f>
        <v/>
      </c>
      <c r="AN31" s="7">
        <f>M31*0.0122437846+N31*0.0122437846</f>
        <v/>
      </c>
      <c r="AO31" s="7">
        <f>N31*0.0122437846+O31*0.0122437846</f>
        <v/>
      </c>
      <c r="AP31" s="7">
        <f>O31*0.0122437846+P31*0.0122437846</f>
        <v/>
      </c>
      <c r="AQ31" s="7">
        <f>P31*0.0122437846+Q31*0.0122437846</f>
        <v/>
      </c>
      <c r="AR31" s="7">
        <f>Q31*0.0122437846+R31*0.0122437846</f>
        <v/>
      </c>
      <c r="AS31" s="7">
        <f>R31*0.0122437846+S31*0.0122437846</f>
        <v/>
      </c>
      <c r="AT31" s="7">
        <f>S31*0.0122437846+T31*0.0122437846</f>
        <v/>
      </c>
      <c r="AU31" s="7">
        <f>T31*0.0122437846+U31*0.0122437846</f>
        <v/>
      </c>
      <c r="AV31" s="7">
        <f>U31*0.0122437846+V31*0.0122437846</f>
        <v/>
      </c>
      <c r="AW31" s="7">
        <f>V31*0.0122437846+W31*0.0122437846</f>
        <v/>
      </c>
      <c r="AX31" s="7">
        <f>W31*0.0122437846+X31*0.0122437846</f>
        <v/>
      </c>
      <c r="AY31" s="7">
        <f>X31*0.0122437846+Y31*0.0122437846</f>
        <v/>
      </c>
      <c r="AZ31" s="7">
        <f>Y31*0.0122437846+Z31*0.0122437846</f>
        <v/>
      </c>
      <c r="BA31" s="7">
        <f>Z31*0.0122437846+AA31*0.0122437846</f>
        <v/>
      </c>
      <c r="BB31" s="7">
        <f>SUM(AD31:BA31)</f>
        <v/>
      </c>
    </row>
    <row r="32">
      <c r="A32" t="inlineStr">
        <is>
          <t>AMD-FK-SSC</t>
        </is>
      </c>
      <c r="B32" t="inlineStr">
        <is>
          <t>Prime at Client side</t>
        </is>
      </c>
      <c r="C32" s="5" t="n">
        <v>46095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2</v>
      </c>
      <c r="P32" s="6" t="n">
        <v>7</v>
      </c>
      <c r="Q32" s="6" t="n">
        <v>12</v>
      </c>
      <c r="R32" s="6" t="n">
        <v>5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>
        <f>SUM(D32:AA32)</f>
        <v/>
      </c>
      <c r="AC32" s="3" t="inlineStr"/>
      <c r="AD32" s="7">
        <f>AA32*0.0122437846+D32*0.0122437846</f>
        <v/>
      </c>
      <c r="AE32" s="7">
        <f>D32*0.0122437846+E32*0.0122437846</f>
        <v/>
      </c>
      <c r="AF32" s="7">
        <f>E32*0.0122437846+F32*0.0122437846</f>
        <v/>
      </c>
      <c r="AG32" s="7">
        <f>F32*0.0122437846+G32*0.0122437846</f>
        <v/>
      </c>
      <c r="AH32" s="7">
        <f>G32*0.0122437846+H32*0.0122437846</f>
        <v/>
      </c>
      <c r="AI32" s="7">
        <f>H32*0.0122437846+I32*0.0122437846</f>
        <v/>
      </c>
      <c r="AJ32" s="7">
        <f>I32*0.0122437846+J32*0.0122437846</f>
        <v/>
      </c>
      <c r="AK32" s="7">
        <f>J32*0.0122437846+K32*0.0122437846</f>
        <v/>
      </c>
      <c r="AL32" s="7">
        <f>K32*0.0122437846+L32*0.0122437846</f>
        <v/>
      </c>
      <c r="AM32" s="7">
        <f>L32*0.0122437846+M32*0.0122437846</f>
        <v/>
      </c>
      <c r="AN32" s="7">
        <f>M32*0.0122437846+N32*0.0122437846</f>
        <v/>
      </c>
      <c r="AO32" s="7">
        <f>N32*0.0122437846+O32*0.0122437846</f>
        <v/>
      </c>
      <c r="AP32" s="7">
        <f>O32*0.0122437846+P32*0.0122437846</f>
        <v/>
      </c>
      <c r="AQ32" s="7">
        <f>P32*0.0122437846+Q32*0.0122437846</f>
        <v/>
      </c>
      <c r="AR32" s="7">
        <f>Q32*0.0122437846+R32*0.0122437846</f>
        <v/>
      </c>
      <c r="AS32" s="7">
        <f>R32*0.0122437846+S32*0.0122437846</f>
        <v/>
      </c>
      <c r="AT32" s="7">
        <f>S32*0.0122437846+T32*0.0122437846</f>
        <v/>
      </c>
      <c r="AU32" s="7">
        <f>T32*0.0122437846+U32*0.0122437846</f>
        <v/>
      </c>
      <c r="AV32" s="7">
        <f>U32*0.0122437846+V32*0.0122437846</f>
        <v/>
      </c>
      <c r="AW32" s="7">
        <f>V32*0.0122437846+W32*0.0122437846</f>
        <v/>
      </c>
      <c r="AX32" s="7">
        <f>W32*0.0122437846+X32*0.0122437846</f>
        <v/>
      </c>
      <c r="AY32" s="7">
        <f>X32*0.0122437846+Y32*0.0122437846</f>
        <v/>
      </c>
      <c r="AZ32" s="7">
        <f>Y32*0.0122437846+Z32*0.0122437846</f>
        <v/>
      </c>
      <c r="BA32" s="7">
        <f>Z32*0.0122437846+AA32*0.0122437846</f>
        <v/>
      </c>
      <c r="BB32" s="7">
        <f>SUM(AD32:BA32)</f>
        <v/>
      </c>
    </row>
    <row r="33">
      <c r="A33" t="inlineStr">
        <is>
          <t>AMD-FK-SSC</t>
        </is>
      </c>
      <c r="B33" t="inlineStr">
        <is>
          <t>Prime at Client side</t>
        </is>
      </c>
      <c r="C33" s="5" t="n">
        <v>46096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3</v>
      </c>
      <c r="P33" s="6" t="n">
        <v>3</v>
      </c>
      <c r="Q33" s="6" t="n">
        <v>11</v>
      </c>
      <c r="R33" s="6" t="n">
        <v>5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6">
        <f>SUM(D33:AA33)</f>
        <v/>
      </c>
      <c r="AC33" s="3" t="inlineStr"/>
      <c r="AD33" s="7">
        <f>AA33*0.0122437846+D33*0.0122437846</f>
        <v/>
      </c>
      <c r="AE33" s="7">
        <f>D33*0.0122437846+E33*0.0122437846</f>
        <v/>
      </c>
      <c r="AF33" s="7">
        <f>E33*0.0122437846+F33*0.0122437846</f>
        <v/>
      </c>
      <c r="AG33" s="7">
        <f>F33*0.0122437846+G33*0.0122437846</f>
        <v/>
      </c>
      <c r="AH33" s="7">
        <f>G33*0.0122437846+H33*0.0122437846</f>
        <v/>
      </c>
      <c r="AI33" s="7">
        <f>H33*0.0122437846+I33*0.0122437846</f>
        <v/>
      </c>
      <c r="AJ33" s="7">
        <f>I33*0.0122437846+J33*0.0122437846</f>
        <v/>
      </c>
      <c r="AK33" s="7">
        <f>J33*0.0122437846+K33*0.0122437846</f>
        <v/>
      </c>
      <c r="AL33" s="7">
        <f>K33*0.0122437846+L33*0.0122437846</f>
        <v/>
      </c>
      <c r="AM33" s="7">
        <f>L33*0.0122437846+M33*0.0122437846</f>
        <v/>
      </c>
      <c r="AN33" s="7">
        <f>M33*0.0122437846+N33*0.0122437846</f>
        <v/>
      </c>
      <c r="AO33" s="7">
        <f>N33*0.0122437846+O33*0.0122437846</f>
        <v/>
      </c>
      <c r="AP33" s="7">
        <f>O33*0.0122437846+P33*0.0122437846</f>
        <v/>
      </c>
      <c r="AQ33" s="7">
        <f>P33*0.0122437846+Q33*0.0122437846</f>
        <v/>
      </c>
      <c r="AR33" s="7">
        <f>Q33*0.0122437846+R33*0.0122437846</f>
        <v/>
      </c>
      <c r="AS33" s="7">
        <f>R33*0.0122437846+S33*0.0122437846</f>
        <v/>
      </c>
      <c r="AT33" s="7">
        <f>S33*0.0122437846+T33*0.0122437846</f>
        <v/>
      </c>
      <c r="AU33" s="7">
        <f>T33*0.0122437846+U33*0.0122437846</f>
        <v/>
      </c>
      <c r="AV33" s="7">
        <f>U33*0.0122437846+V33*0.0122437846</f>
        <v/>
      </c>
      <c r="AW33" s="7">
        <f>V33*0.0122437846+W33*0.0122437846</f>
        <v/>
      </c>
      <c r="AX33" s="7">
        <f>W33*0.0122437846+X33*0.0122437846</f>
        <v/>
      </c>
      <c r="AY33" s="7">
        <f>X33*0.0122437846+Y33*0.0122437846</f>
        <v/>
      </c>
      <c r="AZ33" s="7">
        <f>Y33*0.0122437846+Z33*0.0122437846</f>
        <v/>
      </c>
      <c r="BA33" s="7">
        <f>Z33*0.0122437846+AA33*0.0122437846</f>
        <v/>
      </c>
      <c r="BB33" s="7">
        <f>SUM(AD33:BA33)</f>
        <v/>
      </c>
    </row>
    <row r="34">
      <c r="A34" t="inlineStr">
        <is>
          <t>AMD-FK-SSC</t>
        </is>
      </c>
      <c r="B34" t="inlineStr">
        <is>
          <t>Prime at Client side</t>
        </is>
      </c>
      <c r="C34" s="5" t="n">
        <v>46097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7</v>
      </c>
      <c r="P34" s="6" t="n">
        <v>3</v>
      </c>
      <c r="Q34" s="6" t="n">
        <v>9</v>
      </c>
      <c r="R34" s="6" t="n">
        <v>2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>
        <f>SUM(D34:AA34)</f>
        <v/>
      </c>
      <c r="AC34" s="3" t="inlineStr"/>
      <c r="AD34" s="7">
        <f>AA34*0.0122437846+D34*0.0122437846</f>
        <v/>
      </c>
      <c r="AE34" s="7">
        <f>D34*0.0122437846+E34*0.0122437846</f>
        <v/>
      </c>
      <c r="AF34" s="7">
        <f>E34*0.0122437846+F34*0.0122437846</f>
        <v/>
      </c>
      <c r="AG34" s="7">
        <f>F34*0.0122437846+G34*0.0122437846</f>
        <v/>
      </c>
      <c r="AH34" s="7">
        <f>G34*0.0122437846+H34*0.0122437846</f>
        <v/>
      </c>
      <c r="AI34" s="7">
        <f>H34*0.0122437846+I34*0.0122437846</f>
        <v/>
      </c>
      <c r="AJ34" s="7">
        <f>I34*0.0122437846+J34*0.0122437846</f>
        <v/>
      </c>
      <c r="AK34" s="7">
        <f>J34*0.0122437846+K34*0.0122437846</f>
        <v/>
      </c>
      <c r="AL34" s="7">
        <f>K34*0.0122437846+L34*0.0122437846</f>
        <v/>
      </c>
      <c r="AM34" s="7">
        <f>L34*0.0122437846+M34*0.0122437846</f>
        <v/>
      </c>
      <c r="AN34" s="7">
        <f>M34*0.0122437846+N34*0.0122437846</f>
        <v/>
      </c>
      <c r="AO34" s="7">
        <f>N34*0.0122437846+O34*0.0122437846</f>
        <v/>
      </c>
      <c r="AP34" s="7">
        <f>O34*0.0122437846+P34*0.0122437846</f>
        <v/>
      </c>
      <c r="AQ34" s="7">
        <f>P34*0.0122437846+Q34*0.0122437846</f>
        <v/>
      </c>
      <c r="AR34" s="7">
        <f>Q34*0.0122437846+R34*0.0122437846</f>
        <v/>
      </c>
      <c r="AS34" s="7">
        <f>R34*0.0122437846+S34*0.0122437846</f>
        <v/>
      </c>
      <c r="AT34" s="7">
        <f>S34*0.0122437846+T34*0.0122437846</f>
        <v/>
      </c>
      <c r="AU34" s="7">
        <f>T34*0.0122437846+U34*0.0122437846</f>
        <v/>
      </c>
      <c r="AV34" s="7">
        <f>U34*0.0122437846+V34*0.0122437846</f>
        <v/>
      </c>
      <c r="AW34" s="7">
        <f>V34*0.0122437846+W34*0.0122437846</f>
        <v/>
      </c>
      <c r="AX34" s="7">
        <f>W34*0.0122437846+X34*0.0122437846</f>
        <v/>
      </c>
      <c r="AY34" s="7">
        <f>X34*0.0122437846+Y34*0.0122437846</f>
        <v/>
      </c>
      <c r="AZ34" s="7">
        <f>Y34*0.0122437846+Z34*0.0122437846</f>
        <v/>
      </c>
      <c r="BA34" s="7">
        <f>Z34*0.0122437846+AA34*0.0122437846</f>
        <v/>
      </c>
      <c r="BB34" s="7">
        <f>SUM(AD34:BA34)</f>
        <v/>
      </c>
    </row>
    <row r="35">
      <c r="A35" t="inlineStr">
        <is>
          <t>AMD-FK-SSC</t>
        </is>
      </c>
      <c r="B35" t="inlineStr">
        <is>
          <t>Prime at Client side</t>
        </is>
      </c>
      <c r="C35" s="5" t="n">
        <v>46098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3</v>
      </c>
      <c r="Q35" s="6" t="n">
        <v>7</v>
      </c>
      <c r="R35" s="6" t="n">
        <v>8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>
        <f>SUM(D35:AA35)</f>
        <v/>
      </c>
      <c r="AC35" s="3" t="inlineStr"/>
      <c r="AD35" s="7">
        <f>AA35*0.0122437846+D35*0.0122437846</f>
        <v/>
      </c>
      <c r="AE35" s="7">
        <f>D35*0.0122437846+E35*0.0122437846</f>
        <v/>
      </c>
      <c r="AF35" s="7">
        <f>E35*0.0122437846+F35*0.0122437846</f>
        <v/>
      </c>
      <c r="AG35" s="7">
        <f>F35*0.0122437846+G35*0.0122437846</f>
        <v/>
      </c>
      <c r="AH35" s="7">
        <f>G35*0.0122437846+H35*0.0122437846</f>
        <v/>
      </c>
      <c r="AI35" s="7">
        <f>H35*0.0122437846+I35*0.0122437846</f>
        <v/>
      </c>
      <c r="AJ35" s="7">
        <f>I35*0.0122437846+J35*0.0122437846</f>
        <v/>
      </c>
      <c r="AK35" s="7">
        <f>J35*0.0122437846+K35*0.0122437846</f>
        <v/>
      </c>
      <c r="AL35" s="7">
        <f>K35*0.0122437846+L35*0.0122437846</f>
        <v/>
      </c>
      <c r="AM35" s="7">
        <f>L35*0.0122437846+M35*0.0122437846</f>
        <v/>
      </c>
      <c r="AN35" s="7">
        <f>M35*0.0122437846+N35*0.0122437846</f>
        <v/>
      </c>
      <c r="AO35" s="7">
        <f>N35*0.0122437846+O35*0.0122437846</f>
        <v/>
      </c>
      <c r="AP35" s="7">
        <f>O35*0.0122437846+P35*0.0122437846</f>
        <v/>
      </c>
      <c r="AQ35" s="7">
        <f>P35*0.0122437846+Q35*0.0122437846</f>
        <v/>
      </c>
      <c r="AR35" s="7">
        <f>Q35*0.0122437846+R35*0.0122437846</f>
        <v/>
      </c>
      <c r="AS35" s="7">
        <f>R35*0.0122437846+S35*0.0122437846</f>
        <v/>
      </c>
      <c r="AT35" s="7">
        <f>S35*0.0122437846+T35*0.0122437846</f>
        <v/>
      </c>
      <c r="AU35" s="7">
        <f>T35*0.0122437846+U35*0.0122437846</f>
        <v/>
      </c>
      <c r="AV35" s="7">
        <f>U35*0.0122437846+V35*0.0122437846</f>
        <v/>
      </c>
      <c r="AW35" s="7">
        <f>V35*0.0122437846+W35*0.0122437846</f>
        <v/>
      </c>
      <c r="AX35" s="7">
        <f>W35*0.0122437846+X35*0.0122437846</f>
        <v/>
      </c>
      <c r="AY35" s="7">
        <f>X35*0.0122437846+Y35*0.0122437846</f>
        <v/>
      </c>
      <c r="AZ35" s="7">
        <f>Y35*0.0122437846+Z35*0.0122437846</f>
        <v/>
      </c>
      <c r="BA35" s="7">
        <f>Z35*0.0122437846+AA35*0.0122437846</f>
        <v/>
      </c>
      <c r="BB35" s="7">
        <f>SUM(AD35:BA35)</f>
        <v/>
      </c>
    </row>
    <row r="36">
      <c r="A36" t="inlineStr">
        <is>
          <t>AMD-FK-SSC</t>
        </is>
      </c>
      <c r="B36" t="inlineStr">
        <is>
          <t>Prime at Client side</t>
        </is>
      </c>
      <c r="C36" s="5" t="n">
        <v>46099</v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3</v>
      </c>
      <c r="Q36" s="6" t="n">
        <v>11</v>
      </c>
      <c r="R36" s="6" t="n">
        <v>1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>
        <f>SUM(D36:AA36)</f>
        <v/>
      </c>
      <c r="AC36" s="3" t="inlineStr"/>
      <c r="AD36" s="7">
        <f>AA36*0.0122437846+D36*0.0122437846</f>
        <v/>
      </c>
      <c r="AE36" s="7">
        <f>D36*0.0122437846+E36*0.0122437846</f>
        <v/>
      </c>
      <c r="AF36" s="7">
        <f>E36*0.0122437846+F36*0.0122437846</f>
        <v/>
      </c>
      <c r="AG36" s="7">
        <f>F36*0.0122437846+G36*0.0122437846</f>
        <v/>
      </c>
      <c r="AH36" s="7">
        <f>G36*0.0122437846+H36*0.0122437846</f>
        <v/>
      </c>
      <c r="AI36" s="7">
        <f>H36*0.0122437846+I36*0.0122437846</f>
        <v/>
      </c>
      <c r="AJ36" s="7">
        <f>I36*0.0122437846+J36*0.0122437846</f>
        <v/>
      </c>
      <c r="AK36" s="7">
        <f>J36*0.0122437846+K36*0.0122437846</f>
        <v/>
      </c>
      <c r="AL36" s="7">
        <f>K36*0.0122437846+L36*0.0122437846</f>
        <v/>
      </c>
      <c r="AM36" s="7">
        <f>L36*0.0122437846+M36*0.0122437846</f>
        <v/>
      </c>
      <c r="AN36" s="7">
        <f>M36*0.0122437846+N36*0.0122437846</f>
        <v/>
      </c>
      <c r="AO36" s="7">
        <f>N36*0.0122437846+O36*0.0122437846</f>
        <v/>
      </c>
      <c r="AP36" s="7">
        <f>O36*0.0122437846+P36*0.0122437846</f>
        <v/>
      </c>
      <c r="AQ36" s="7">
        <f>P36*0.0122437846+Q36*0.0122437846</f>
        <v/>
      </c>
      <c r="AR36" s="7">
        <f>Q36*0.0122437846+R36*0.0122437846</f>
        <v/>
      </c>
      <c r="AS36" s="7">
        <f>R36*0.0122437846+S36*0.0122437846</f>
        <v/>
      </c>
      <c r="AT36" s="7">
        <f>S36*0.0122437846+T36*0.0122437846</f>
        <v/>
      </c>
      <c r="AU36" s="7">
        <f>T36*0.0122437846+U36*0.0122437846</f>
        <v/>
      </c>
      <c r="AV36" s="7">
        <f>U36*0.0122437846+V36*0.0122437846</f>
        <v/>
      </c>
      <c r="AW36" s="7">
        <f>V36*0.0122437846+W36*0.0122437846</f>
        <v/>
      </c>
      <c r="AX36" s="7">
        <f>W36*0.0122437846+X36*0.0122437846</f>
        <v/>
      </c>
      <c r="AY36" s="7">
        <f>X36*0.0122437846+Y36*0.0122437846</f>
        <v/>
      </c>
      <c r="AZ36" s="7">
        <f>Y36*0.0122437846+Z36*0.0122437846</f>
        <v/>
      </c>
      <c r="BA36" s="7">
        <f>Z36*0.0122437846+AA36*0.0122437846</f>
        <v/>
      </c>
      <c r="BB36" s="7">
        <f>SUM(AD36:BA36)</f>
        <v/>
      </c>
    </row>
    <row r="37">
      <c r="A37" t="inlineStr">
        <is>
          <t>AMD-FK-SSC</t>
        </is>
      </c>
      <c r="B37" t="inlineStr">
        <is>
          <t>Prime at Client side</t>
        </is>
      </c>
      <c r="C37" s="5" t="n">
        <v>46100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2</v>
      </c>
      <c r="Q37" s="6" t="n">
        <v>8</v>
      </c>
      <c r="R37" s="6" t="n">
        <v>1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>
        <f>SUM(D37:AA37)</f>
        <v/>
      </c>
      <c r="AC37" s="3" t="inlineStr"/>
      <c r="AD37" s="7">
        <f>AA37*0.0122437846+D37*0.0122437846</f>
        <v/>
      </c>
      <c r="AE37" s="7">
        <f>D37*0.0122437846+E37*0.0122437846</f>
        <v/>
      </c>
      <c r="AF37" s="7">
        <f>E37*0.0122437846+F37*0.0122437846</f>
        <v/>
      </c>
      <c r="AG37" s="7">
        <f>F37*0.0122437846+G37*0.0122437846</f>
        <v/>
      </c>
      <c r="AH37" s="7">
        <f>G37*0.0122437846+H37*0.0122437846</f>
        <v/>
      </c>
      <c r="AI37" s="7">
        <f>H37*0.0122437846+I37*0.0122437846</f>
        <v/>
      </c>
      <c r="AJ37" s="7">
        <f>I37*0.0122437846+J37*0.0122437846</f>
        <v/>
      </c>
      <c r="AK37" s="7">
        <f>J37*0.0122437846+K37*0.0122437846</f>
        <v/>
      </c>
      <c r="AL37" s="7">
        <f>K37*0.0122437846+L37*0.0122437846</f>
        <v/>
      </c>
      <c r="AM37" s="7">
        <f>L37*0.0122437846+M37*0.0122437846</f>
        <v/>
      </c>
      <c r="AN37" s="7">
        <f>M37*0.0122437846+N37*0.0122437846</f>
        <v/>
      </c>
      <c r="AO37" s="7">
        <f>N37*0.0122437846+O37*0.0122437846</f>
        <v/>
      </c>
      <c r="AP37" s="7">
        <f>O37*0.0122437846+P37*0.0122437846</f>
        <v/>
      </c>
      <c r="AQ37" s="7">
        <f>P37*0.0122437846+Q37*0.0122437846</f>
        <v/>
      </c>
      <c r="AR37" s="7">
        <f>Q37*0.0122437846+R37*0.0122437846</f>
        <v/>
      </c>
      <c r="AS37" s="7">
        <f>R37*0.0122437846+S37*0.0122437846</f>
        <v/>
      </c>
      <c r="AT37" s="7">
        <f>S37*0.0122437846+T37*0.0122437846</f>
        <v/>
      </c>
      <c r="AU37" s="7">
        <f>T37*0.0122437846+U37*0.0122437846</f>
        <v/>
      </c>
      <c r="AV37" s="7">
        <f>U37*0.0122437846+V37*0.0122437846</f>
        <v/>
      </c>
      <c r="AW37" s="7">
        <f>V37*0.0122437846+W37*0.0122437846</f>
        <v/>
      </c>
      <c r="AX37" s="7">
        <f>W37*0.0122437846+X37*0.0122437846</f>
        <v/>
      </c>
      <c r="AY37" s="7">
        <f>X37*0.0122437846+Y37*0.0122437846</f>
        <v/>
      </c>
      <c r="AZ37" s="7">
        <f>Y37*0.0122437846+Z37*0.0122437846</f>
        <v/>
      </c>
      <c r="BA37" s="7">
        <f>Z37*0.0122437846+AA37*0.0122437846</f>
        <v/>
      </c>
      <c r="BB37" s="7">
        <f>SUM(AD37:BA37)</f>
        <v/>
      </c>
    </row>
    <row r="38">
      <c r="A38" t="inlineStr">
        <is>
          <t>AMD-FK-SSC</t>
        </is>
      </c>
      <c r="B38" t="inlineStr">
        <is>
          <t>Prime at Client side</t>
        </is>
      </c>
      <c r="C38" s="5" t="n">
        <v>46101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7</v>
      </c>
      <c r="Q38" s="6" t="n">
        <v>3</v>
      </c>
      <c r="R38" s="6" t="n">
        <v>2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>
        <f>SUM(D38:AA38)</f>
        <v/>
      </c>
      <c r="AC38" s="3" t="inlineStr"/>
      <c r="AD38" s="7">
        <f>AA38*0.0122437846+D38*0.0122437846</f>
        <v/>
      </c>
      <c r="AE38" s="7">
        <f>D38*0.0122437846+E38*0.0122437846</f>
        <v/>
      </c>
      <c r="AF38" s="7">
        <f>E38*0.0122437846+F38*0.0122437846</f>
        <v/>
      </c>
      <c r="AG38" s="7">
        <f>F38*0.0122437846+G38*0.0122437846</f>
        <v/>
      </c>
      <c r="AH38" s="7">
        <f>G38*0.0122437846+H38*0.0122437846</f>
        <v/>
      </c>
      <c r="AI38" s="7">
        <f>H38*0.0122437846+I38*0.0122437846</f>
        <v/>
      </c>
      <c r="AJ38" s="7">
        <f>I38*0.0122437846+J38*0.0122437846</f>
        <v/>
      </c>
      <c r="AK38" s="7">
        <f>J38*0.0122437846+K38*0.0122437846</f>
        <v/>
      </c>
      <c r="AL38" s="7">
        <f>K38*0.0122437846+L38*0.0122437846</f>
        <v/>
      </c>
      <c r="AM38" s="7">
        <f>L38*0.0122437846+M38*0.0122437846</f>
        <v/>
      </c>
      <c r="AN38" s="7">
        <f>M38*0.0122437846+N38*0.0122437846</f>
        <v/>
      </c>
      <c r="AO38" s="7">
        <f>N38*0.0122437846+O38*0.0122437846</f>
        <v/>
      </c>
      <c r="AP38" s="7">
        <f>O38*0.0122437846+P38*0.0122437846</f>
        <v/>
      </c>
      <c r="AQ38" s="7">
        <f>P38*0.0122437846+Q38*0.0122437846</f>
        <v/>
      </c>
      <c r="AR38" s="7">
        <f>Q38*0.0122437846+R38*0.0122437846</f>
        <v/>
      </c>
      <c r="AS38" s="7">
        <f>R38*0.0122437846+S38*0.0122437846</f>
        <v/>
      </c>
      <c r="AT38" s="7">
        <f>S38*0.0122437846+T38*0.0122437846</f>
        <v/>
      </c>
      <c r="AU38" s="7">
        <f>T38*0.0122437846+U38*0.0122437846</f>
        <v/>
      </c>
      <c r="AV38" s="7">
        <f>U38*0.0122437846+V38*0.0122437846</f>
        <v/>
      </c>
      <c r="AW38" s="7">
        <f>V38*0.0122437846+W38*0.0122437846</f>
        <v/>
      </c>
      <c r="AX38" s="7">
        <f>W38*0.0122437846+X38*0.0122437846</f>
        <v/>
      </c>
      <c r="AY38" s="7">
        <f>X38*0.0122437846+Y38*0.0122437846</f>
        <v/>
      </c>
      <c r="AZ38" s="7">
        <f>Y38*0.0122437846+Z38*0.0122437846</f>
        <v/>
      </c>
      <c r="BA38" s="7">
        <f>Z38*0.0122437846+AA38*0.0122437846</f>
        <v/>
      </c>
      <c r="BB38" s="7">
        <f>SUM(AD38:BA38)</f>
        <v/>
      </c>
    </row>
    <row r="39">
      <c r="A39" t="inlineStr">
        <is>
          <t>AMD-FK-SSC</t>
        </is>
      </c>
      <c r="B39" t="inlineStr">
        <is>
          <t>Prime at Client side</t>
        </is>
      </c>
      <c r="C39" s="5" t="n">
        <v>46102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2</v>
      </c>
      <c r="Q39" s="6" t="n">
        <v>7</v>
      </c>
      <c r="R39" s="6" t="n">
        <v>1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>
        <f>SUM(D39:AA39)</f>
        <v/>
      </c>
      <c r="AC39" s="3" t="inlineStr"/>
      <c r="AD39" s="7">
        <f>AA39*0.0122437846+D39*0.0122437846</f>
        <v/>
      </c>
      <c r="AE39" s="7">
        <f>D39*0.0122437846+E39*0.0122437846</f>
        <v/>
      </c>
      <c r="AF39" s="7">
        <f>E39*0.0122437846+F39*0.0122437846</f>
        <v/>
      </c>
      <c r="AG39" s="7">
        <f>F39*0.0122437846+G39*0.0122437846</f>
        <v/>
      </c>
      <c r="AH39" s="7">
        <f>G39*0.0122437846+H39*0.0122437846</f>
        <v/>
      </c>
      <c r="AI39" s="7">
        <f>H39*0.0122437846+I39*0.0122437846</f>
        <v/>
      </c>
      <c r="AJ39" s="7">
        <f>I39*0.0122437846+J39*0.0122437846</f>
        <v/>
      </c>
      <c r="AK39" s="7">
        <f>J39*0.0122437846+K39*0.0122437846</f>
        <v/>
      </c>
      <c r="AL39" s="7">
        <f>K39*0.0122437846+L39*0.0122437846</f>
        <v/>
      </c>
      <c r="AM39" s="7">
        <f>L39*0.0122437846+M39*0.0122437846</f>
        <v/>
      </c>
      <c r="AN39" s="7">
        <f>M39*0.0122437846+N39*0.0122437846</f>
        <v/>
      </c>
      <c r="AO39" s="7">
        <f>N39*0.0122437846+O39*0.0122437846</f>
        <v/>
      </c>
      <c r="AP39" s="7">
        <f>O39*0.0122437846+P39*0.0122437846</f>
        <v/>
      </c>
      <c r="AQ39" s="7">
        <f>P39*0.0122437846+Q39*0.0122437846</f>
        <v/>
      </c>
      <c r="AR39" s="7">
        <f>Q39*0.0122437846+R39*0.0122437846</f>
        <v/>
      </c>
      <c r="AS39" s="7">
        <f>R39*0.0122437846+S39*0.0122437846</f>
        <v/>
      </c>
      <c r="AT39" s="7">
        <f>S39*0.0122437846+T39*0.0122437846</f>
        <v/>
      </c>
      <c r="AU39" s="7">
        <f>T39*0.0122437846+U39*0.0122437846</f>
        <v/>
      </c>
      <c r="AV39" s="7">
        <f>U39*0.0122437846+V39*0.0122437846</f>
        <v/>
      </c>
      <c r="AW39" s="7">
        <f>V39*0.0122437846+W39*0.0122437846</f>
        <v/>
      </c>
      <c r="AX39" s="7">
        <f>W39*0.0122437846+X39*0.0122437846</f>
        <v/>
      </c>
      <c r="AY39" s="7">
        <f>X39*0.0122437846+Y39*0.0122437846</f>
        <v/>
      </c>
      <c r="AZ39" s="7">
        <f>Y39*0.0122437846+Z39*0.0122437846</f>
        <v/>
      </c>
      <c r="BA39" s="7">
        <f>Z39*0.0122437846+AA39*0.0122437846</f>
        <v/>
      </c>
      <c r="BB39" s="7">
        <f>SUM(AD39:BA39)</f>
        <v/>
      </c>
    </row>
    <row r="40">
      <c r="A40" t="inlineStr">
        <is>
          <t>AMD-FK-SSC</t>
        </is>
      </c>
      <c r="B40" t="inlineStr">
        <is>
          <t>Prime at Client side</t>
        </is>
      </c>
      <c r="C40" s="5" t="n">
        <v>46103</v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0</v>
      </c>
      <c r="M40" s="6" t="n">
        <v>0</v>
      </c>
      <c r="N40" s="6" t="n">
        <v>0</v>
      </c>
      <c r="O40" s="6" t="n">
        <v>0</v>
      </c>
      <c r="P40" s="6" t="n">
        <v>2</v>
      </c>
      <c r="Q40" s="6" t="n">
        <v>7</v>
      </c>
      <c r="R40" s="6" t="n">
        <v>1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>
        <f>SUM(D40:AA40)</f>
        <v/>
      </c>
      <c r="AC40" s="3" t="inlineStr"/>
      <c r="AD40" s="7">
        <f>AA40*0.0122437846+D40*0.0122437846</f>
        <v/>
      </c>
      <c r="AE40" s="7">
        <f>D40*0.0122437846+E40*0.0122437846</f>
        <v/>
      </c>
      <c r="AF40" s="7">
        <f>E40*0.0122437846+F40*0.0122437846</f>
        <v/>
      </c>
      <c r="AG40" s="7">
        <f>F40*0.0122437846+G40*0.0122437846</f>
        <v/>
      </c>
      <c r="AH40" s="7">
        <f>G40*0.0122437846+H40*0.0122437846</f>
        <v/>
      </c>
      <c r="AI40" s="7">
        <f>H40*0.0122437846+I40*0.0122437846</f>
        <v/>
      </c>
      <c r="AJ40" s="7">
        <f>I40*0.0122437846+J40*0.0122437846</f>
        <v/>
      </c>
      <c r="AK40" s="7">
        <f>J40*0.0122437846+K40*0.0122437846</f>
        <v/>
      </c>
      <c r="AL40" s="7">
        <f>K40*0.0122437846+L40*0.0122437846</f>
        <v/>
      </c>
      <c r="AM40" s="7">
        <f>L40*0.0122437846+M40*0.0122437846</f>
        <v/>
      </c>
      <c r="AN40" s="7">
        <f>M40*0.0122437846+N40*0.0122437846</f>
        <v/>
      </c>
      <c r="AO40" s="7">
        <f>N40*0.0122437846+O40*0.0122437846</f>
        <v/>
      </c>
      <c r="AP40" s="7">
        <f>O40*0.0122437846+P40*0.0122437846</f>
        <v/>
      </c>
      <c r="AQ40" s="7">
        <f>P40*0.0122437846+Q40*0.0122437846</f>
        <v/>
      </c>
      <c r="AR40" s="7">
        <f>Q40*0.0122437846+R40*0.0122437846</f>
        <v/>
      </c>
      <c r="AS40" s="7">
        <f>R40*0.0122437846+S40*0.0122437846</f>
        <v/>
      </c>
      <c r="AT40" s="7">
        <f>S40*0.0122437846+T40*0.0122437846</f>
        <v/>
      </c>
      <c r="AU40" s="7">
        <f>T40*0.0122437846+U40*0.0122437846</f>
        <v/>
      </c>
      <c r="AV40" s="7">
        <f>U40*0.0122437846+V40*0.0122437846</f>
        <v/>
      </c>
      <c r="AW40" s="7">
        <f>V40*0.0122437846+W40*0.0122437846</f>
        <v/>
      </c>
      <c r="AX40" s="7">
        <f>W40*0.0122437846+X40*0.0122437846</f>
        <v/>
      </c>
      <c r="AY40" s="7">
        <f>X40*0.0122437846+Y40*0.0122437846</f>
        <v/>
      </c>
      <c r="AZ40" s="7">
        <f>Y40*0.0122437846+Z40*0.0122437846</f>
        <v/>
      </c>
      <c r="BA40" s="7">
        <f>Z40*0.0122437846+AA40*0.0122437846</f>
        <v/>
      </c>
      <c r="BB40" s="7">
        <f>SUM(AD40:BA40)</f>
        <v/>
      </c>
    </row>
    <row r="41">
      <c r="A41" t="inlineStr">
        <is>
          <t>AMD-FK-SSC</t>
        </is>
      </c>
      <c r="B41" t="inlineStr">
        <is>
          <t>Prime at Client side</t>
        </is>
      </c>
      <c r="C41" s="5" t="n">
        <v>46104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2</v>
      </c>
      <c r="Q41" s="6" t="n">
        <v>7</v>
      </c>
      <c r="R41" s="6" t="n">
        <v>6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>
        <f>SUM(D41:AA41)</f>
        <v/>
      </c>
      <c r="AC41" s="3" t="inlineStr"/>
      <c r="AD41" s="7">
        <f>AA41*0.0122437846+D41*0.0122437846</f>
        <v/>
      </c>
      <c r="AE41" s="7">
        <f>D41*0.0122437846+E41*0.0122437846</f>
        <v/>
      </c>
      <c r="AF41" s="7">
        <f>E41*0.0122437846+F41*0.0122437846</f>
        <v/>
      </c>
      <c r="AG41" s="7">
        <f>F41*0.0122437846+G41*0.0122437846</f>
        <v/>
      </c>
      <c r="AH41" s="7">
        <f>G41*0.0122437846+H41*0.0122437846</f>
        <v/>
      </c>
      <c r="AI41" s="7">
        <f>H41*0.0122437846+I41*0.0122437846</f>
        <v/>
      </c>
      <c r="AJ41" s="7">
        <f>I41*0.0122437846+J41*0.0122437846</f>
        <v/>
      </c>
      <c r="AK41" s="7">
        <f>J41*0.0122437846+K41*0.0122437846</f>
        <v/>
      </c>
      <c r="AL41" s="7">
        <f>K41*0.0122437846+L41*0.0122437846</f>
        <v/>
      </c>
      <c r="AM41" s="7">
        <f>L41*0.0122437846+M41*0.0122437846</f>
        <v/>
      </c>
      <c r="AN41" s="7">
        <f>M41*0.0122437846+N41*0.0122437846</f>
        <v/>
      </c>
      <c r="AO41" s="7">
        <f>N41*0.0122437846+O41*0.0122437846</f>
        <v/>
      </c>
      <c r="AP41" s="7">
        <f>O41*0.0122437846+P41*0.0122437846</f>
        <v/>
      </c>
      <c r="AQ41" s="7">
        <f>P41*0.0122437846+Q41*0.0122437846</f>
        <v/>
      </c>
      <c r="AR41" s="7">
        <f>Q41*0.0122437846+R41*0.0122437846</f>
        <v/>
      </c>
      <c r="AS41" s="7">
        <f>R41*0.0122437846+S41*0.0122437846</f>
        <v/>
      </c>
      <c r="AT41" s="7">
        <f>S41*0.0122437846+T41*0.0122437846</f>
        <v/>
      </c>
      <c r="AU41" s="7">
        <f>T41*0.0122437846+U41*0.0122437846</f>
        <v/>
      </c>
      <c r="AV41" s="7">
        <f>U41*0.0122437846+V41*0.0122437846</f>
        <v/>
      </c>
      <c r="AW41" s="7">
        <f>V41*0.0122437846+W41*0.0122437846</f>
        <v/>
      </c>
      <c r="AX41" s="7">
        <f>W41*0.0122437846+X41*0.0122437846</f>
        <v/>
      </c>
      <c r="AY41" s="7">
        <f>X41*0.0122437846+Y41*0.0122437846</f>
        <v/>
      </c>
      <c r="AZ41" s="7">
        <f>Y41*0.0122437846+Z41*0.0122437846</f>
        <v/>
      </c>
      <c r="BA41" s="7">
        <f>Z41*0.0122437846+AA41*0.0122437846</f>
        <v/>
      </c>
      <c r="BB41" s="7">
        <f>SUM(AD41:BA41)</f>
        <v/>
      </c>
    </row>
    <row r="42">
      <c r="A42" t="inlineStr">
        <is>
          <t>AMD-FK-SSC</t>
        </is>
      </c>
      <c r="B42" t="inlineStr">
        <is>
          <t>Prime at Client side</t>
        </is>
      </c>
      <c r="C42" s="5" t="n">
        <v>46105</v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6" t="n">
        <v>0</v>
      </c>
      <c r="N42" s="6" t="n">
        <v>0</v>
      </c>
      <c r="O42" s="6" t="n">
        <v>0</v>
      </c>
      <c r="P42" s="6" t="n">
        <v>0</v>
      </c>
      <c r="Q42" s="6" t="n">
        <v>16</v>
      </c>
      <c r="R42" s="6" t="n">
        <v>9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>
        <f>SUM(D42:AA42)</f>
        <v/>
      </c>
      <c r="AC42" s="3" t="inlineStr"/>
      <c r="AD42" s="7">
        <f>AA42*0.0122437846+D42*0.0122437846</f>
        <v/>
      </c>
      <c r="AE42" s="7">
        <f>D42*0.0122437846+E42*0.0122437846</f>
        <v/>
      </c>
      <c r="AF42" s="7">
        <f>E42*0.0122437846+F42*0.0122437846</f>
        <v/>
      </c>
      <c r="AG42" s="7">
        <f>F42*0.0122437846+G42*0.0122437846</f>
        <v/>
      </c>
      <c r="AH42" s="7">
        <f>G42*0.0122437846+H42*0.0122437846</f>
        <v/>
      </c>
      <c r="AI42" s="7">
        <f>H42*0.0122437846+I42*0.0122437846</f>
        <v/>
      </c>
      <c r="AJ42" s="7">
        <f>I42*0.0122437846+J42*0.0122437846</f>
        <v/>
      </c>
      <c r="AK42" s="7">
        <f>J42*0.0122437846+K42*0.0122437846</f>
        <v/>
      </c>
      <c r="AL42" s="7">
        <f>K42*0.0122437846+L42*0.0122437846</f>
        <v/>
      </c>
      <c r="AM42" s="7">
        <f>L42*0.0122437846+M42*0.0122437846</f>
        <v/>
      </c>
      <c r="AN42" s="7">
        <f>M42*0.0122437846+N42*0.0122437846</f>
        <v/>
      </c>
      <c r="AO42" s="7">
        <f>N42*0.0122437846+O42*0.0122437846</f>
        <v/>
      </c>
      <c r="AP42" s="7">
        <f>O42*0.0122437846+P42*0.0122437846</f>
        <v/>
      </c>
      <c r="AQ42" s="7">
        <f>P42*0.0122437846+Q42*0.0122437846</f>
        <v/>
      </c>
      <c r="AR42" s="7">
        <f>Q42*0.0122437846+R42*0.0122437846</f>
        <v/>
      </c>
      <c r="AS42" s="7">
        <f>R42*0.0122437846+S42*0.0122437846</f>
        <v/>
      </c>
      <c r="AT42" s="7">
        <f>S42*0.0122437846+T42*0.0122437846</f>
        <v/>
      </c>
      <c r="AU42" s="7">
        <f>T42*0.0122437846+U42*0.0122437846</f>
        <v/>
      </c>
      <c r="AV42" s="7">
        <f>U42*0.0122437846+V42*0.0122437846</f>
        <v/>
      </c>
      <c r="AW42" s="7">
        <f>V42*0.0122437846+W42*0.0122437846</f>
        <v/>
      </c>
      <c r="AX42" s="7">
        <f>W42*0.0122437846+X42*0.0122437846</f>
        <v/>
      </c>
      <c r="AY42" s="7">
        <f>X42*0.0122437846+Y42*0.0122437846</f>
        <v/>
      </c>
      <c r="AZ42" s="7">
        <f>Y42*0.0122437846+Z42*0.0122437846</f>
        <v/>
      </c>
      <c r="BA42" s="7">
        <f>Z42*0.0122437846+AA42*0.0122437846</f>
        <v/>
      </c>
      <c r="BB42" s="7">
        <f>SUM(AD42:BA42)</f>
        <v/>
      </c>
    </row>
    <row r="43">
      <c r="A43" t="inlineStr">
        <is>
          <t>AMD-FWDPRI-SSC</t>
        </is>
      </c>
      <c r="B43" t="inlineStr">
        <is>
          <t>FWD Priority OSC</t>
        </is>
      </c>
      <c r="C43" s="5" t="n">
        <v>46098</v>
      </c>
      <c r="D43" s="6" t="n">
        <v>68</v>
      </c>
      <c r="E43" s="6" t="n">
        <v>86</v>
      </c>
      <c r="F43" s="6" t="n">
        <v>69</v>
      </c>
      <c r="G43" s="6" t="n">
        <v>153</v>
      </c>
      <c r="H43" s="6" t="n">
        <v>61</v>
      </c>
      <c r="I43" s="6" t="n">
        <v>64</v>
      </c>
      <c r="J43" s="6" t="n">
        <v>39</v>
      </c>
      <c r="K43" s="6" t="n">
        <v>1</v>
      </c>
      <c r="L43" s="6" t="n">
        <v>6</v>
      </c>
      <c r="M43" s="6" t="n">
        <v>6</v>
      </c>
      <c r="N43" s="6" t="n">
        <v>47</v>
      </c>
      <c r="O43" s="6" t="n">
        <v>71</v>
      </c>
      <c r="P43" s="6" t="n">
        <v>32</v>
      </c>
      <c r="Q43" s="6" t="n">
        <v>1</v>
      </c>
      <c r="R43" s="6" t="n">
        <v>148</v>
      </c>
      <c r="S43" s="6" t="n">
        <v>108</v>
      </c>
      <c r="T43" s="6" t="n">
        <v>48</v>
      </c>
      <c r="U43" s="6" t="n">
        <v>77</v>
      </c>
      <c r="V43" s="6" t="n">
        <v>99</v>
      </c>
      <c r="W43" s="6" t="n">
        <v>130</v>
      </c>
      <c r="X43" s="6" t="n">
        <v>75</v>
      </c>
      <c r="Y43" s="6" t="n">
        <v>52</v>
      </c>
      <c r="Z43" s="6" t="n">
        <v>0</v>
      </c>
      <c r="AA43" s="6" t="n">
        <v>22</v>
      </c>
      <c r="AB43" s="6">
        <f>SUM(D43:AA43)</f>
        <v/>
      </c>
      <c r="AC43" s="3" t="inlineStr"/>
      <c r="AD43" s="7">
        <f>AA43*0.0122437846+D43*0.0122437846</f>
        <v/>
      </c>
      <c r="AE43" s="7">
        <f>D43*0.0122437846+E43*0.0122437846</f>
        <v/>
      </c>
      <c r="AF43" s="7">
        <f>E43*0.0122437846+F43*0.0122437846</f>
        <v/>
      </c>
      <c r="AG43" s="7">
        <f>F43*0.0122437846+G43*0.0122437846</f>
        <v/>
      </c>
      <c r="AH43" s="7">
        <f>G43*0.0122437846+H43*0.0122437846</f>
        <v/>
      </c>
      <c r="AI43" s="7">
        <f>H43*0.0122437846+I43*0.0122437846</f>
        <v/>
      </c>
      <c r="AJ43" s="7">
        <f>I43*0.0122437846+J43*0.0122437846</f>
        <v/>
      </c>
      <c r="AK43" s="7">
        <f>J43*0.0122437846+K43*0.0122437846</f>
        <v/>
      </c>
      <c r="AL43" s="7">
        <f>K43*0.0122437846+L43*0.0122437846</f>
        <v/>
      </c>
      <c r="AM43" s="7">
        <f>L43*0.0122437846+M43*0.0122437846</f>
        <v/>
      </c>
      <c r="AN43" s="7">
        <f>M43*0.0122437846+N43*0.0122437846</f>
        <v/>
      </c>
      <c r="AO43" s="7">
        <f>N43*0.0122437846+O43*0.0122437846</f>
        <v/>
      </c>
      <c r="AP43" s="7">
        <f>O43*0.0122437846+P43*0.0122437846</f>
        <v/>
      </c>
      <c r="AQ43" s="7">
        <f>P43*0.0122437846+Q43*0.0122437846</f>
        <v/>
      </c>
      <c r="AR43" s="7">
        <f>Q43*0.0122437846+R43*0.0122437846</f>
        <v/>
      </c>
      <c r="AS43" s="7">
        <f>R43*0.0122437846+S43*0.0122437846</f>
        <v/>
      </c>
      <c r="AT43" s="7">
        <f>S43*0.0122437846+T43*0.0122437846</f>
        <v/>
      </c>
      <c r="AU43" s="7">
        <f>T43*0.0122437846+U43*0.0122437846</f>
        <v/>
      </c>
      <c r="AV43" s="7">
        <f>U43*0.0122437846+V43*0.0122437846</f>
        <v/>
      </c>
      <c r="AW43" s="7">
        <f>V43*0.0122437846+W43*0.0122437846</f>
        <v/>
      </c>
      <c r="AX43" s="7">
        <f>W43*0.0122437846+X43*0.0122437846</f>
        <v/>
      </c>
      <c r="AY43" s="7">
        <f>X43*0.0122437846+Y43*0.0122437846</f>
        <v/>
      </c>
      <c r="AZ43" s="7">
        <f>Y43*0.0122437846+Z43*0.0122437846</f>
        <v/>
      </c>
      <c r="BA43" s="7">
        <f>Z43*0.0122437846+AA43*0.0122437846</f>
        <v/>
      </c>
      <c r="BB43" s="7">
        <f>SUM(AD43:BA43)</f>
        <v/>
      </c>
    </row>
    <row r="44">
      <c r="A44" t="inlineStr">
        <is>
          <t>AMD-FWDPRI-SSC</t>
        </is>
      </c>
      <c r="B44" t="inlineStr">
        <is>
          <t>FWD Priority OSC</t>
        </is>
      </c>
      <c r="C44" s="5" t="n">
        <v>46099</v>
      </c>
      <c r="D44" s="6" t="n">
        <v>101</v>
      </c>
      <c r="E44" s="6" t="n">
        <v>23</v>
      </c>
      <c r="F44" s="6" t="n">
        <v>118</v>
      </c>
      <c r="G44" s="6" t="n">
        <v>111</v>
      </c>
      <c r="H44" s="6" t="n">
        <v>86</v>
      </c>
      <c r="I44" s="6" t="n">
        <v>108</v>
      </c>
      <c r="J44" s="6" t="n">
        <v>131</v>
      </c>
      <c r="K44" s="6" t="n">
        <v>23</v>
      </c>
      <c r="L44" s="6" t="n">
        <v>0</v>
      </c>
      <c r="M44" s="6" t="n">
        <v>7</v>
      </c>
      <c r="N44" s="6" t="n">
        <v>7</v>
      </c>
      <c r="O44" s="6" t="n">
        <v>111</v>
      </c>
      <c r="P44" s="6" t="n">
        <v>66</v>
      </c>
      <c r="Q44" s="6" t="n">
        <v>10</v>
      </c>
      <c r="R44" s="6" t="n">
        <v>146</v>
      </c>
      <c r="S44" s="6" t="n">
        <v>91</v>
      </c>
      <c r="T44" s="6" t="n">
        <v>75</v>
      </c>
      <c r="U44" s="6" t="n">
        <v>12</v>
      </c>
      <c r="V44" s="6" t="n">
        <v>99</v>
      </c>
      <c r="W44" s="6" t="n">
        <v>69</v>
      </c>
      <c r="X44" s="6" t="n">
        <v>98</v>
      </c>
      <c r="Y44" s="6" t="n">
        <v>85</v>
      </c>
      <c r="Z44" s="6" t="n">
        <v>0</v>
      </c>
      <c r="AA44" s="6" t="n">
        <v>97</v>
      </c>
      <c r="AB44" s="6">
        <f>SUM(D44:AA44)</f>
        <v/>
      </c>
      <c r="AC44" s="3" t="inlineStr"/>
      <c r="AD44" s="7">
        <f>AA44*0.0122437846+D44*0.0122437846</f>
        <v/>
      </c>
      <c r="AE44" s="7">
        <f>D44*0.0122437846+E44*0.0122437846</f>
        <v/>
      </c>
      <c r="AF44" s="7">
        <f>E44*0.0122437846+F44*0.0122437846</f>
        <v/>
      </c>
      <c r="AG44" s="7">
        <f>F44*0.0122437846+G44*0.0122437846</f>
        <v/>
      </c>
      <c r="AH44" s="7">
        <f>G44*0.0122437846+H44*0.0122437846</f>
        <v/>
      </c>
      <c r="AI44" s="7">
        <f>H44*0.0122437846+I44*0.0122437846</f>
        <v/>
      </c>
      <c r="AJ44" s="7">
        <f>I44*0.0122437846+J44*0.0122437846</f>
        <v/>
      </c>
      <c r="AK44" s="7">
        <f>J44*0.0122437846+K44*0.0122437846</f>
        <v/>
      </c>
      <c r="AL44" s="7">
        <f>K44*0.0122437846+L44*0.0122437846</f>
        <v/>
      </c>
      <c r="AM44" s="7">
        <f>L44*0.0122437846+M44*0.0122437846</f>
        <v/>
      </c>
      <c r="AN44" s="7">
        <f>M44*0.0122437846+N44*0.0122437846</f>
        <v/>
      </c>
      <c r="AO44" s="7">
        <f>N44*0.0122437846+O44*0.0122437846</f>
        <v/>
      </c>
      <c r="AP44" s="7">
        <f>O44*0.0122437846+P44*0.0122437846</f>
        <v/>
      </c>
      <c r="AQ44" s="7">
        <f>P44*0.0122437846+Q44*0.0122437846</f>
        <v/>
      </c>
      <c r="AR44" s="7">
        <f>Q44*0.0122437846+R44*0.0122437846</f>
        <v/>
      </c>
      <c r="AS44" s="7">
        <f>R44*0.0122437846+S44*0.0122437846</f>
        <v/>
      </c>
      <c r="AT44" s="7">
        <f>S44*0.0122437846+T44*0.0122437846</f>
        <v/>
      </c>
      <c r="AU44" s="7">
        <f>T44*0.0122437846+U44*0.0122437846</f>
        <v/>
      </c>
      <c r="AV44" s="7">
        <f>U44*0.0122437846+V44*0.0122437846</f>
        <v/>
      </c>
      <c r="AW44" s="7">
        <f>V44*0.0122437846+W44*0.0122437846</f>
        <v/>
      </c>
      <c r="AX44" s="7">
        <f>W44*0.0122437846+X44*0.0122437846</f>
        <v/>
      </c>
      <c r="AY44" s="7">
        <f>X44*0.0122437846+Y44*0.0122437846</f>
        <v/>
      </c>
      <c r="AZ44" s="7">
        <f>Y44*0.0122437846+Z44*0.0122437846</f>
        <v/>
      </c>
      <c r="BA44" s="7">
        <f>Z44*0.0122437846+AA44*0.0122437846</f>
        <v/>
      </c>
      <c r="BB44" s="7">
        <f>SUM(AD44:BA44)</f>
        <v/>
      </c>
    </row>
    <row r="45">
      <c r="A45" t="inlineStr">
        <is>
          <t>AMD-FWDPRI-SSC</t>
        </is>
      </c>
      <c r="B45" t="inlineStr">
        <is>
          <t>FWD Priority OSC</t>
        </is>
      </c>
      <c r="C45" s="5" t="n">
        <v>46100</v>
      </c>
      <c r="D45" s="6" t="n">
        <v>127</v>
      </c>
      <c r="E45" s="6" t="n">
        <v>40</v>
      </c>
      <c r="F45" s="6" t="n">
        <v>98</v>
      </c>
      <c r="G45" s="6" t="n">
        <v>219</v>
      </c>
      <c r="H45" s="6" t="n">
        <v>91</v>
      </c>
      <c r="I45" s="6" t="n">
        <v>202</v>
      </c>
      <c r="J45" s="6" t="n">
        <v>207</v>
      </c>
      <c r="K45" s="6" t="n">
        <v>4</v>
      </c>
      <c r="L45" s="6" t="n">
        <v>11</v>
      </c>
      <c r="M45" s="6" t="n">
        <v>43</v>
      </c>
      <c r="N45" s="6" t="n">
        <v>93</v>
      </c>
      <c r="O45" s="6" t="n">
        <v>94</v>
      </c>
      <c r="P45" s="6" t="n">
        <v>6</v>
      </c>
      <c r="Q45" s="6" t="n">
        <v>3</v>
      </c>
      <c r="R45" s="6" t="n">
        <v>53</v>
      </c>
      <c r="S45" s="6" t="n">
        <v>95</v>
      </c>
      <c r="T45" s="6" t="n">
        <v>28</v>
      </c>
      <c r="U45" s="6" t="n">
        <v>75</v>
      </c>
      <c r="V45" s="6" t="n">
        <v>70</v>
      </c>
      <c r="W45" s="6" t="n">
        <v>100</v>
      </c>
      <c r="X45" s="6" t="n">
        <v>75</v>
      </c>
      <c r="Y45" s="6" t="n">
        <v>65</v>
      </c>
      <c r="Z45" s="6" t="n">
        <v>1</v>
      </c>
      <c r="AA45" s="6" t="n">
        <v>0</v>
      </c>
      <c r="AB45" s="6">
        <f>SUM(D45:AA45)</f>
        <v/>
      </c>
      <c r="AC45" s="3" t="inlineStr"/>
      <c r="AD45" s="7">
        <f>AA45*0.0122437846+D45*0.0122437846</f>
        <v/>
      </c>
      <c r="AE45" s="7">
        <f>D45*0.0122437846+E45*0.0122437846</f>
        <v/>
      </c>
      <c r="AF45" s="7">
        <f>E45*0.0122437846+F45*0.0122437846</f>
        <v/>
      </c>
      <c r="AG45" s="7">
        <f>F45*0.0122437846+G45*0.0122437846</f>
        <v/>
      </c>
      <c r="AH45" s="7">
        <f>G45*0.0122437846+H45*0.0122437846</f>
        <v/>
      </c>
      <c r="AI45" s="7">
        <f>H45*0.0122437846+I45*0.0122437846</f>
        <v/>
      </c>
      <c r="AJ45" s="7">
        <f>I45*0.0122437846+J45*0.0122437846</f>
        <v/>
      </c>
      <c r="AK45" s="7">
        <f>J45*0.0122437846+K45*0.0122437846</f>
        <v/>
      </c>
      <c r="AL45" s="7">
        <f>K45*0.0122437846+L45*0.0122437846</f>
        <v/>
      </c>
      <c r="AM45" s="7">
        <f>L45*0.0122437846+M45*0.0122437846</f>
        <v/>
      </c>
      <c r="AN45" s="7">
        <f>M45*0.0122437846+N45*0.0122437846</f>
        <v/>
      </c>
      <c r="AO45" s="7">
        <f>N45*0.0122437846+O45*0.0122437846</f>
        <v/>
      </c>
      <c r="AP45" s="7">
        <f>O45*0.0122437846+P45*0.0122437846</f>
        <v/>
      </c>
      <c r="AQ45" s="7">
        <f>P45*0.0122437846+Q45*0.0122437846</f>
        <v/>
      </c>
      <c r="AR45" s="7">
        <f>Q45*0.0122437846+R45*0.0122437846</f>
        <v/>
      </c>
      <c r="AS45" s="7">
        <f>R45*0.0122437846+S45*0.0122437846</f>
        <v/>
      </c>
      <c r="AT45" s="7">
        <f>S45*0.0122437846+T45*0.0122437846</f>
        <v/>
      </c>
      <c r="AU45" s="7">
        <f>T45*0.0122437846+U45*0.0122437846</f>
        <v/>
      </c>
      <c r="AV45" s="7">
        <f>U45*0.0122437846+V45*0.0122437846</f>
        <v/>
      </c>
      <c r="AW45" s="7">
        <f>V45*0.0122437846+W45*0.0122437846</f>
        <v/>
      </c>
      <c r="AX45" s="7">
        <f>W45*0.0122437846+X45*0.0122437846</f>
        <v/>
      </c>
      <c r="AY45" s="7">
        <f>X45*0.0122437846+Y45*0.0122437846</f>
        <v/>
      </c>
      <c r="AZ45" s="7">
        <f>Y45*0.0122437846+Z45*0.0122437846</f>
        <v/>
      </c>
      <c r="BA45" s="7">
        <f>Z45*0.0122437846+AA45*0.0122437846</f>
        <v/>
      </c>
      <c r="BB45" s="7">
        <f>SUM(AD45:BA45)</f>
        <v/>
      </c>
    </row>
    <row r="46">
      <c r="A46" t="inlineStr">
        <is>
          <t>AMD-FWDPRI-SSC</t>
        </is>
      </c>
      <c r="B46" t="inlineStr">
        <is>
          <t>FWD Priority OSC</t>
        </is>
      </c>
      <c r="C46" s="5" t="n">
        <v>46101</v>
      </c>
      <c r="D46" s="6" t="n">
        <v>8</v>
      </c>
      <c r="E46" s="6" t="n">
        <v>0</v>
      </c>
      <c r="F46" s="6" t="n">
        <v>2</v>
      </c>
      <c r="G46" s="6" t="n">
        <v>69</v>
      </c>
      <c r="H46" s="6" t="n">
        <v>68</v>
      </c>
      <c r="I46" s="6" t="n">
        <v>103</v>
      </c>
      <c r="J46" s="6" t="n">
        <v>55</v>
      </c>
      <c r="K46" s="6" t="n">
        <v>9</v>
      </c>
      <c r="L46" s="6" t="n">
        <v>104</v>
      </c>
      <c r="M46" s="6" t="n">
        <v>27</v>
      </c>
      <c r="N46" s="6" t="n">
        <v>100</v>
      </c>
      <c r="O46" s="6" t="n">
        <v>64</v>
      </c>
      <c r="P46" s="6" t="n">
        <v>1</v>
      </c>
      <c r="Q46" s="6" t="n">
        <v>113</v>
      </c>
      <c r="R46" s="6" t="n">
        <v>85</v>
      </c>
      <c r="S46" s="6" t="n">
        <v>75</v>
      </c>
      <c r="T46" s="6" t="n">
        <v>63</v>
      </c>
      <c r="U46" s="6" t="n">
        <v>0</v>
      </c>
      <c r="V46" s="6" t="n">
        <v>104</v>
      </c>
      <c r="W46" s="6" t="n">
        <v>87</v>
      </c>
      <c r="X46" s="6" t="n">
        <v>111</v>
      </c>
      <c r="Y46" s="6" t="n">
        <v>69</v>
      </c>
      <c r="Z46" s="6" t="n">
        <v>0</v>
      </c>
      <c r="AA46" s="6" t="n">
        <v>17</v>
      </c>
      <c r="AB46" s="6">
        <f>SUM(D46:AA46)</f>
        <v/>
      </c>
      <c r="AC46" s="3" t="inlineStr"/>
      <c r="AD46" s="7">
        <f>AA46*0.0122437846+D46*0.0122437846</f>
        <v/>
      </c>
      <c r="AE46" s="7">
        <f>D46*0.0122437846+E46*0.0122437846</f>
        <v/>
      </c>
      <c r="AF46" s="7">
        <f>E46*0.0122437846+F46*0.0122437846</f>
        <v/>
      </c>
      <c r="AG46" s="7">
        <f>F46*0.0122437846+G46*0.0122437846</f>
        <v/>
      </c>
      <c r="AH46" s="7">
        <f>G46*0.0122437846+H46*0.0122437846</f>
        <v/>
      </c>
      <c r="AI46" s="7">
        <f>H46*0.0122437846+I46*0.0122437846</f>
        <v/>
      </c>
      <c r="AJ46" s="7">
        <f>I46*0.0122437846+J46*0.0122437846</f>
        <v/>
      </c>
      <c r="AK46" s="7">
        <f>J46*0.0122437846+K46*0.0122437846</f>
        <v/>
      </c>
      <c r="AL46" s="7">
        <f>K46*0.0122437846+L46*0.0122437846</f>
        <v/>
      </c>
      <c r="AM46" s="7">
        <f>L46*0.0122437846+M46*0.0122437846</f>
        <v/>
      </c>
      <c r="AN46" s="7">
        <f>M46*0.0122437846+N46*0.0122437846</f>
        <v/>
      </c>
      <c r="AO46" s="7">
        <f>N46*0.0122437846+O46*0.0122437846</f>
        <v/>
      </c>
      <c r="AP46" s="7">
        <f>O46*0.0122437846+P46*0.0122437846</f>
        <v/>
      </c>
      <c r="AQ46" s="7">
        <f>P46*0.0122437846+Q46*0.0122437846</f>
        <v/>
      </c>
      <c r="AR46" s="7">
        <f>Q46*0.0122437846+R46*0.0122437846</f>
        <v/>
      </c>
      <c r="AS46" s="7">
        <f>R46*0.0122437846+S46*0.0122437846</f>
        <v/>
      </c>
      <c r="AT46" s="7">
        <f>S46*0.0122437846+T46*0.0122437846</f>
        <v/>
      </c>
      <c r="AU46" s="7">
        <f>T46*0.0122437846+U46*0.0122437846</f>
        <v/>
      </c>
      <c r="AV46" s="7">
        <f>U46*0.0122437846+V46*0.0122437846</f>
        <v/>
      </c>
      <c r="AW46" s="7">
        <f>V46*0.0122437846+W46*0.0122437846</f>
        <v/>
      </c>
      <c r="AX46" s="7">
        <f>W46*0.0122437846+X46*0.0122437846</f>
        <v/>
      </c>
      <c r="AY46" s="7">
        <f>X46*0.0122437846+Y46*0.0122437846</f>
        <v/>
      </c>
      <c r="AZ46" s="7">
        <f>Y46*0.0122437846+Z46*0.0122437846</f>
        <v/>
      </c>
      <c r="BA46" s="7">
        <f>Z46*0.0122437846+AA46*0.0122437846</f>
        <v/>
      </c>
      <c r="BB46" s="7">
        <f>SUM(AD46:BA46)</f>
        <v/>
      </c>
    </row>
    <row r="47">
      <c r="A47" t="inlineStr">
        <is>
          <t>AMD-FWDPRI-SSC</t>
        </is>
      </c>
      <c r="B47" t="inlineStr">
        <is>
          <t>FWD Priority OSC</t>
        </is>
      </c>
      <c r="C47" s="5" t="n">
        <v>46102</v>
      </c>
      <c r="D47" s="6" t="n">
        <v>117</v>
      </c>
      <c r="E47" s="6" t="n">
        <v>35</v>
      </c>
      <c r="F47" s="6" t="n">
        <v>94</v>
      </c>
      <c r="G47" s="6" t="n">
        <v>164</v>
      </c>
      <c r="H47" s="6" t="n">
        <v>99</v>
      </c>
      <c r="I47" s="6" t="n">
        <v>144</v>
      </c>
      <c r="J47" s="6" t="n">
        <v>115</v>
      </c>
      <c r="K47" s="6" t="n">
        <v>16</v>
      </c>
      <c r="L47" s="6" t="n">
        <v>0</v>
      </c>
      <c r="M47" s="6" t="n">
        <v>0</v>
      </c>
      <c r="N47" s="6" t="n">
        <v>27</v>
      </c>
      <c r="O47" s="6" t="n">
        <v>100</v>
      </c>
      <c r="P47" s="6" t="n">
        <v>65</v>
      </c>
      <c r="Q47" s="6" t="n">
        <v>1</v>
      </c>
      <c r="R47" s="6" t="n">
        <v>101</v>
      </c>
      <c r="S47" s="6" t="n">
        <v>77</v>
      </c>
      <c r="T47" s="6" t="n">
        <v>83</v>
      </c>
      <c r="U47" s="6" t="n">
        <v>6</v>
      </c>
      <c r="V47" s="6" t="n">
        <v>111</v>
      </c>
      <c r="W47" s="6" t="n">
        <v>89</v>
      </c>
      <c r="X47" s="6" t="n">
        <v>99</v>
      </c>
      <c r="Y47" s="6" t="n">
        <v>56</v>
      </c>
      <c r="Z47" s="6" t="n">
        <v>2</v>
      </c>
      <c r="AA47" s="6" t="n">
        <v>22</v>
      </c>
      <c r="AB47" s="6">
        <f>SUM(D47:AA47)</f>
        <v/>
      </c>
      <c r="AC47" s="3" t="inlineStr"/>
      <c r="AD47" s="7">
        <f>AA47*0.0122437846+D47*0.0122437846</f>
        <v/>
      </c>
      <c r="AE47" s="7">
        <f>D47*0.0122437846+E47*0.0122437846</f>
        <v/>
      </c>
      <c r="AF47" s="7">
        <f>E47*0.0122437846+F47*0.0122437846</f>
        <v/>
      </c>
      <c r="AG47" s="7">
        <f>F47*0.0122437846+G47*0.0122437846</f>
        <v/>
      </c>
      <c r="AH47" s="7">
        <f>G47*0.0122437846+H47*0.0122437846</f>
        <v/>
      </c>
      <c r="AI47" s="7">
        <f>H47*0.0122437846+I47*0.0122437846</f>
        <v/>
      </c>
      <c r="AJ47" s="7">
        <f>I47*0.0122437846+J47*0.0122437846</f>
        <v/>
      </c>
      <c r="AK47" s="7">
        <f>J47*0.0122437846+K47*0.0122437846</f>
        <v/>
      </c>
      <c r="AL47" s="7">
        <f>K47*0.0122437846+L47*0.0122437846</f>
        <v/>
      </c>
      <c r="AM47" s="7">
        <f>L47*0.0122437846+M47*0.0122437846</f>
        <v/>
      </c>
      <c r="AN47" s="7">
        <f>M47*0.0122437846+N47*0.0122437846</f>
        <v/>
      </c>
      <c r="AO47" s="7">
        <f>N47*0.0122437846+O47*0.0122437846</f>
        <v/>
      </c>
      <c r="AP47" s="7">
        <f>O47*0.0122437846+P47*0.0122437846</f>
        <v/>
      </c>
      <c r="AQ47" s="7">
        <f>P47*0.0122437846+Q47*0.0122437846</f>
        <v/>
      </c>
      <c r="AR47" s="7">
        <f>Q47*0.0122437846+R47*0.0122437846</f>
        <v/>
      </c>
      <c r="AS47" s="7">
        <f>R47*0.0122437846+S47*0.0122437846</f>
        <v/>
      </c>
      <c r="AT47" s="7">
        <f>S47*0.0122437846+T47*0.0122437846</f>
        <v/>
      </c>
      <c r="AU47" s="7">
        <f>T47*0.0122437846+U47*0.0122437846</f>
        <v/>
      </c>
      <c r="AV47" s="7">
        <f>U47*0.0122437846+V47*0.0122437846</f>
        <v/>
      </c>
      <c r="AW47" s="7">
        <f>V47*0.0122437846+W47*0.0122437846</f>
        <v/>
      </c>
      <c r="AX47" s="7">
        <f>W47*0.0122437846+X47*0.0122437846</f>
        <v/>
      </c>
      <c r="AY47" s="7">
        <f>X47*0.0122437846+Y47*0.0122437846</f>
        <v/>
      </c>
      <c r="AZ47" s="7">
        <f>Y47*0.0122437846+Z47*0.0122437846</f>
        <v/>
      </c>
      <c r="BA47" s="7">
        <f>Z47*0.0122437846+AA47*0.0122437846</f>
        <v/>
      </c>
      <c r="BB47" s="7">
        <f>SUM(AD47:BA47)</f>
        <v/>
      </c>
    </row>
    <row r="48">
      <c r="A48" t="inlineStr">
        <is>
          <t>AMD-FWDPRI-SSC</t>
        </is>
      </c>
      <c r="B48" t="inlineStr">
        <is>
          <t>FWD Priority OSC</t>
        </is>
      </c>
      <c r="C48" s="5" t="n">
        <v>46103</v>
      </c>
      <c r="D48" s="6" t="n">
        <v>158</v>
      </c>
      <c r="E48" s="6" t="n">
        <v>24</v>
      </c>
      <c r="F48" s="6" t="n">
        <v>89</v>
      </c>
      <c r="G48" s="6" t="n">
        <v>156</v>
      </c>
      <c r="H48" s="6" t="n">
        <v>97</v>
      </c>
      <c r="I48" s="6" t="n">
        <v>86</v>
      </c>
      <c r="J48" s="6" t="n">
        <v>2</v>
      </c>
      <c r="K48" s="6" t="n">
        <v>0</v>
      </c>
      <c r="L48" s="6" t="n">
        <v>0</v>
      </c>
      <c r="M48" s="6" t="n">
        <v>0</v>
      </c>
      <c r="N48" s="6" t="n">
        <v>30</v>
      </c>
      <c r="O48" s="6" t="n">
        <v>79</v>
      </c>
      <c r="P48" s="6" t="n">
        <v>35</v>
      </c>
      <c r="Q48" s="6" t="n">
        <v>48</v>
      </c>
      <c r="R48" s="6" t="n">
        <v>106</v>
      </c>
      <c r="S48" s="6" t="n">
        <v>95</v>
      </c>
      <c r="T48" s="6" t="n">
        <v>29</v>
      </c>
      <c r="U48" s="6" t="n">
        <v>82</v>
      </c>
      <c r="V48" s="6" t="n">
        <v>93</v>
      </c>
      <c r="W48" s="6" t="n">
        <v>118</v>
      </c>
      <c r="X48" s="6" t="n">
        <v>114</v>
      </c>
      <c r="Y48" s="6" t="n">
        <v>104</v>
      </c>
      <c r="Z48" s="6" t="n">
        <v>0</v>
      </c>
      <c r="AA48" s="6" t="n">
        <v>17</v>
      </c>
      <c r="AB48" s="6">
        <f>SUM(D48:AA48)</f>
        <v/>
      </c>
      <c r="AC48" s="3" t="inlineStr"/>
      <c r="AD48" s="7">
        <f>AA48*0.0122437846+D48*0.0122437846</f>
        <v/>
      </c>
      <c r="AE48" s="7">
        <f>D48*0.0122437846+E48*0.0122437846</f>
        <v/>
      </c>
      <c r="AF48" s="7">
        <f>E48*0.0122437846+F48*0.0122437846</f>
        <v/>
      </c>
      <c r="AG48" s="7">
        <f>F48*0.0122437846+G48*0.0122437846</f>
        <v/>
      </c>
      <c r="AH48" s="7">
        <f>G48*0.0122437846+H48*0.0122437846</f>
        <v/>
      </c>
      <c r="AI48" s="7">
        <f>H48*0.0122437846+I48*0.0122437846</f>
        <v/>
      </c>
      <c r="AJ48" s="7">
        <f>I48*0.0122437846+J48*0.0122437846</f>
        <v/>
      </c>
      <c r="AK48" s="7">
        <f>J48*0.0122437846+K48*0.0122437846</f>
        <v/>
      </c>
      <c r="AL48" s="7">
        <f>K48*0.0122437846+L48*0.0122437846</f>
        <v/>
      </c>
      <c r="AM48" s="7">
        <f>L48*0.0122437846+M48*0.0122437846</f>
        <v/>
      </c>
      <c r="AN48" s="7">
        <f>M48*0.0122437846+N48*0.0122437846</f>
        <v/>
      </c>
      <c r="AO48" s="7">
        <f>N48*0.0122437846+O48*0.0122437846</f>
        <v/>
      </c>
      <c r="AP48" s="7">
        <f>O48*0.0122437846+P48*0.0122437846</f>
        <v/>
      </c>
      <c r="AQ48" s="7">
        <f>P48*0.0122437846+Q48*0.0122437846</f>
        <v/>
      </c>
      <c r="AR48" s="7">
        <f>Q48*0.0122437846+R48*0.0122437846</f>
        <v/>
      </c>
      <c r="AS48" s="7">
        <f>R48*0.0122437846+S48*0.0122437846</f>
        <v/>
      </c>
      <c r="AT48" s="7">
        <f>S48*0.0122437846+T48*0.0122437846</f>
        <v/>
      </c>
      <c r="AU48" s="7">
        <f>T48*0.0122437846+U48*0.0122437846</f>
        <v/>
      </c>
      <c r="AV48" s="7">
        <f>U48*0.0122437846+V48*0.0122437846</f>
        <v/>
      </c>
      <c r="AW48" s="7">
        <f>V48*0.0122437846+W48*0.0122437846</f>
        <v/>
      </c>
      <c r="AX48" s="7">
        <f>W48*0.0122437846+X48*0.0122437846</f>
        <v/>
      </c>
      <c r="AY48" s="7">
        <f>X48*0.0122437846+Y48*0.0122437846</f>
        <v/>
      </c>
      <c r="AZ48" s="7">
        <f>Y48*0.0122437846+Z48*0.0122437846</f>
        <v/>
      </c>
      <c r="BA48" s="7">
        <f>Z48*0.0122437846+AA48*0.0122437846</f>
        <v/>
      </c>
      <c r="BB48" s="7">
        <f>SUM(AD48:BA48)</f>
        <v/>
      </c>
    </row>
    <row r="49">
      <c r="A49" t="inlineStr">
        <is>
          <t>AMD-FWDPRI-SSC</t>
        </is>
      </c>
      <c r="B49" t="inlineStr">
        <is>
          <t>FWD Priority OSC</t>
        </is>
      </c>
      <c r="C49" s="5" t="n">
        <v>46104</v>
      </c>
      <c r="D49" s="6" t="n">
        <v>149</v>
      </c>
      <c r="E49" s="6" t="n">
        <v>80</v>
      </c>
      <c r="F49" s="6" t="n">
        <v>9</v>
      </c>
      <c r="G49" s="6" t="n">
        <v>158</v>
      </c>
      <c r="H49" s="6" t="n">
        <v>26</v>
      </c>
      <c r="I49" s="6" t="n">
        <v>27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54</v>
      </c>
      <c r="O49" s="6" t="n">
        <v>100</v>
      </c>
      <c r="P49" s="6" t="n">
        <v>0</v>
      </c>
      <c r="Q49" s="6" t="n">
        <v>0</v>
      </c>
      <c r="R49" s="6" t="n">
        <v>131</v>
      </c>
      <c r="S49" s="6" t="n">
        <v>67</v>
      </c>
      <c r="T49" s="6" t="n">
        <v>30</v>
      </c>
      <c r="U49" s="6" t="n">
        <v>79</v>
      </c>
      <c r="V49" s="6" t="n">
        <v>103</v>
      </c>
      <c r="W49" s="6" t="n">
        <v>99</v>
      </c>
      <c r="X49" s="6" t="n">
        <v>46</v>
      </c>
      <c r="Y49" s="6" t="n">
        <v>0</v>
      </c>
      <c r="Z49" s="6" t="n">
        <v>0</v>
      </c>
      <c r="AA49" s="6" t="n">
        <v>36</v>
      </c>
      <c r="AB49" s="6">
        <f>SUM(D49:AA49)</f>
        <v/>
      </c>
      <c r="AC49" s="3" t="inlineStr"/>
      <c r="AD49" s="7">
        <f>AA49*0.0122437846+D49*0.0122437846</f>
        <v/>
      </c>
      <c r="AE49" s="7">
        <f>D49*0.0122437846+E49*0.0122437846</f>
        <v/>
      </c>
      <c r="AF49" s="7">
        <f>E49*0.0122437846+F49*0.0122437846</f>
        <v/>
      </c>
      <c r="AG49" s="7">
        <f>F49*0.0122437846+G49*0.0122437846</f>
        <v/>
      </c>
      <c r="AH49" s="7">
        <f>G49*0.0122437846+H49*0.0122437846</f>
        <v/>
      </c>
      <c r="AI49" s="7">
        <f>H49*0.0122437846+I49*0.0122437846</f>
        <v/>
      </c>
      <c r="AJ49" s="7">
        <f>I49*0.0122437846+J49*0.0122437846</f>
        <v/>
      </c>
      <c r="AK49" s="7">
        <f>J49*0.0122437846+K49*0.0122437846</f>
        <v/>
      </c>
      <c r="AL49" s="7">
        <f>K49*0.0122437846+L49*0.0122437846</f>
        <v/>
      </c>
      <c r="AM49" s="7">
        <f>L49*0.0122437846+M49*0.0122437846</f>
        <v/>
      </c>
      <c r="AN49" s="7">
        <f>M49*0.0122437846+N49*0.0122437846</f>
        <v/>
      </c>
      <c r="AO49" s="7">
        <f>N49*0.0122437846+O49*0.0122437846</f>
        <v/>
      </c>
      <c r="AP49" s="7">
        <f>O49*0.0122437846+P49*0.0122437846</f>
        <v/>
      </c>
      <c r="AQ49" s="7">
        <f>P49*0.0122437846+Q49*0.0122437846</f>
        <v/>
      </c>
      <c r="AR49" s="7">
        <f>Q49*0.0122437846+R49*0.0122437846</f>
        <v/>
      </c>
      <c r="AS49" s="7">
        <f>R49*0.0122437846+S49*0.0122437846</f>
        <v/>
      </c>
      <c r="AT49" s="7">
        <f>S49*0.0122437846+T49*0.0122437846</f>
        <v/>
      </c>
      <c r="AU49" s="7">
        <f>T49*0.0122437846+U49*0.0122437846</f>
        <v/>
      </c>
      <c r="AV49" s="7">
        <f>U49*0.0122437846+V49*0.0122437846</f>
        <v/>
      </c>
      <c r="AW49" s="7">
        <f>V49*0.0122437846+W49*0.0122437846</f>
        <v/>
      </c>
      <c r="AX49" s="7">
        <f>W49*0.0122437846+X49*0.0122437846</f>
        <v/>
      </c>
      <c r="AY49" s="7">
        <f>X49*0.0122437846+Y49*0.0122437846</f>
        <v/>
      </c>
      <c r="AZ49" s="7">
        <f>Y49*0.0122437846+Z49*0.0122437846</f>
        <v/>
      </c>
      <c r="BA49" s="7">
        <f>Z49*0.0122437846+AA49*0.0122437846</f>
        <v/>
      </c>
      <c r="BB49" s="7">
        <f>SUM(AD49:BA49)</f>
        <v/>
      </c>
    </row>
    <row r="50">
      <c r="A50" t="inlineStr">
        <is>
          <t>AMD-FWDPRI-SSC</t>
        </is>
      </c>
      <c r="B50" t="inlineStr">
        <is>
          <t>FWD Priority OSC</t>
        </is>
      </c>
      <c r="C50" s="5" t="n">
        <v>46105</v>
      </c>
      <c r="D50" s="6" t="n">
        <v>151</v>
      </c>
      <c r="E50" s="6" t="n">
        <v>40</v>
      </c>
      <c r="F50" s="6" t="n">
        <v>104</v>
      </c>
      <c r="G50" s="6" t="n">
        <v>161</v>
      </c>
      <c r="H50" s="6" t="n">
        <v>101</v>
      </c>
      <c r="I50" s="6" t="n">
        <v>70</v>
      </c>
      <c r="J50" s="6" t="n">
        <v>17</v>
      </c>
      <c r="K50" s="6" t="n">
        <v>0</v>
      </c>
      <c r="L50" s="6" t="n">
        <v>0</v>
      </c>
      <c r="M50" s="6" t="n">
        <v>0</v>
      </c>
      <c r="N50" s="6" t="n">
        <v>70</v>
      </c>
      <c r="O50" s="6" t="n">
        <v>65</v>
      </c>
      <c r="P50" s="6" t="n">
        <v>2</v>
      </c>
      <c r="Q50" s="6" t="n">
        <v>1</v>
      </c>
      <c r="R50" s="6" t="n">
        <v>0</v>
      </c>
      <c r="S50" s="6" t="n">
        <v>104</v>
      </c>
      <c r="T50" s="6" t="n">
        <v>40</v>
      </c>
      <c r="U50" s="6" t="n">
        <v>96</v>
      </c>
      <c r="V50" s="6" t="n">
        <v>69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0</v>
      </c>
      <c r="AB50" s="6">
        <f>SUM(D50:AA50)</f>
        <v/>
      </c>
      <c r="AC50" s="3" t="inlineStr"/>
      <c r="AD50" s="7">
        <f>AA50*0.0122437846+D50*0.0122437846</f>
        <v/>
      </c>
      <c r="AE50" s="7">
        <f>D50*0.0122437846+E50*0.0122437846</f>
        <v/>
      </c>
      <c r="AF50" s="7">
        <f>E50*0.0122437846+F50*0.0122437846</f>
        <v/>
      </c>
      <c r="AG50" s="7">
        <f>F50*0.0122437846+G50*0.0122437846</f>
        <v/>
      </c>
      <c r="AH50" s="7">
        <f>G50*0.0122437846+H50*0.0122437846</f>
        <v/>
      </c>
      <c r="AI50" s="7">
        <f>H50*0.0122437846+I50*0.0122437846</f>
        <v/>
      </c>
      <c r="AJ50" s="7">
        <f>I50*0.0122437846+J50*0.0122437846</f>
        <v/>
      </c>
      <c r="AK50" s="7">
        <f>J50*0.0122437846+K50*0.0122437846</f>
        <v/>
      </c>
      <c r="AL50" s="7">
        <f>K50*0.0122437846+L50*0.0122437846</f>
        <v/>
      </c>
      <c r="AM50" s="7">
        <f>L50*0.0122437846+M50*0.0122437846</f>
        <v/>
      </c>
      <c r="AN50" s="7">
        <f>M50*0.0122437846+N50*0.0122437846</f>
        <v/>
      </c>
      <c r="AO50" s="7">
        <f>N50*0.0122437846+O50*0.0122437846</f>
        <v/>
      </c>
      <c r="AP50" s="7">
        <f>O50*0.0122437846+P50*0.0122437846</f>
        <v/>
      </c>
      <c r="AQ50" s="7">
        <f>P50*0.0122437846+Q50*0.0122437846</f>
        <v/>
      </c>
      <c r="AR50" s="7">
        <f>Q50*0.0122437846+R50*0.0122437846</f>
        <v/>
      </c>
      <c r="AS50" s="7">
        <f>R50*0.0122437846+S50*0.0122437846</f>
        <v/>
      </c>
      <c r="AT50" s="7">
        <f>S50*0.0122437846+T50*0.0122437846</f>
        <v/>
      </c>
      <c r="AU50" s="7">
        <f>T50*0.0122437846+U50*0.0122437846</f>
        <v/>
      </c>
      <c r="AV50" s="7">
        <f>U50*0.0122437846+V50*0.0122437846</f>
        <v/>
      </c>
      <c r="AW50" s="7">
        <f>V50*0.0122437846+W50*0.0122437846</f>
        <v/>
      </c>
      <c r="AX50" s="7">
        <f>W50*0.0122437846+X50*0.0122437846</f>
        <v/>
      </c>
      <c r="AY50" s="7">
        <f>X50*0.0122437846+Y50*0.0122437846</f>
        <v/>
      </c>
      <c r="AZ50" s="7">
        <f>Y50*0.0122437846+Z50*0.0122437846</f>
        <v/>
      </c>
      <c r="BA50" s="7">
        <f>Z50*0.0122437846+AA50*0.0122437846</f>
        <v/>
      </c>
      <c r="BB50" s="7">
        <f>SUM(AD50:BA50)</f>
        <v/>
      </c>
    </row>
    <row r="51">
      <c r="A51" t="inlineStr">
        <is>
          <t>AMD-FWDREG-SSC</t>
        </is>
      </c>
      <c r="B51" t="inlineStr">
        <is>
          <t>Forward Regular OSC</t>
        </is>
      </c>
      <c r="C51" s="5" t="n">
        <v>46098</v>
      </c>
      <c r="D51" s="6" t="n">
        <v>88</v>
      </c>
      <c r="E51" s="6" t="n">
        <v>92</v>
      </c>
      <c r="F51" s="6" t="n">
        <v>165</v>
      </c>
      <c r="G51" s="6" t="n">
        <v>371</v>
      </c>
      <c r="H51" s="6" t="n">
        <v>281</v>
      </c>
      <c r="I51" s="6" t="n">
        <v>265</v>
      </c>
      <c r="J51" s="6" t="n">
        <v>193</v>
      </c>
      <c r="K51" s="6" t="n">
        <v>1</v>
      </c>
      <c r="L51" s="6" t="n">
        <v>149</v>
      </c>
      <c r="M51" s="6" t="n">
        <v>282</v>
      </c>
      <c r="N51" s="6" t="n">
        <v>298</v>
      </c>
      <c r="O51" s="6" t="n">
        <v>278</v>
      </c>
      <c r="P51" s="6" t="n">
        <v>220</v>
      </c>
      <c r="Q51" s="6" t="n">
        <v>95</v>
      </c>
      <c r="R51" s="6" t="n">
        <v>381</v>
      </c>
      <c r="S51" s="6" t="n">
        <v>303</v>
      </c>
      <c r="T51" s="6" t="n">
        <v>196</v>
      </c>
      <c r="U51" s="6" t="n">
        <v>128</v>
      </c>
      <c r="V51" s="6" t="n">
        <v>204</v>
      </c>
      <c r="W51" s="6" t="n">
        <v>205</v>
      </c>
      <c r="X51" s="6" t="n">
        <v>182</v>
      </c>
      <c r="Y51" s="6" t="n">
        <v>151</v>
      </c>
      <c r="Z51" s="6" t="n">
        <v>0</v>
      </c>
      <c r="AA51" s="6" t="n">
        <v>123</v>
      </c>
      <c r="AB51" s="6">
        <f>SUM(D51:AA51)</f>
        <v/>
      </c>
      <c r="AC51" s="3" t="inlineStr"/>
      <c r="AD51" s="7">
        <f>AA51*0.0122437846+D51*0.0122437846</f>
        <v/>
      </c>
      <c r="AE51" s="7">
        <f>D51*0.0122437846+E51*0.0122437846</f>
        <v/>
      </c>
      <c r="AF51" s="7">
        <f>E51*0.0122437846+F51*0.0122437846</f>
        <v/>
      </c>
      <c r="AG51" s="7">
        <f>F51*0.0122437846+G51*0.0122437846</f>
        <v/>
      </c>
      <c r="AH51" s="7">
        <f>G51*0.0122437846+H51*0.0122437846</f>
        <v/>
      </c>
      <c r="AI51" s="7">
        <f>H51*0.0122437846+I51*0.0122437846</f>
        <v/>
      </c>
      <c r="AJ51" s="7">
        <f>I51*0.0122437846+J51*0.0122437846</f>
        <v/>
      </c>
      <c r="AK51" s="7">
        <f>J51*0.0122437846+K51*0.0122437846</f>
        <v/>
      </c>
      <c r="AL51" s="7">
        <f>K51*0.0122437846+L51*0.0122437846</f>
        <v/>
      </c>
      <c r="AM51" s="7">
        <f>L51*0.0122437846+M51*0.0122437846</f>
        <v/>
      </c>
      <c r="AN51" s="7">
        <f>M51*0.0122437846+N51*0.0122437846</f>
        <v/>
      </c>
      <c r="AO51" s="7">
        <f>N51*0.0122437846+O51*0.0122437846</f>
        <v/>
      </c>
      <c r="AP51" s="7">
        <f>O51*0.0122437846+P51*0.0122437846</f>
        <v/>
      </c>
      <c r="AQ51" s="7">
        <f>P51*0.0122437846+Q51*0.0122437846</f>
        <v/>
      </c>
      <c r="AR51" s="7">
        <f>Q51*0.0122437846+R51*0.0122437846</f>
        <v/>
      </c>
      <c r="AS51" s="7">
        <f>R51*0.0122437846+S51*0.0122437846</f>
        <v/>
      </c>
      <c r="AT51" s="7">
        <f>S51*0.0122437846+T51*0.0122437846</f>
        <v/>
      </c>
      <c r="AU51" s="7">
        <f>T51*0.0122437846+U51*0.0122437846</f>
        <v/>
      </c>
      <c r="AV51" s="7">
        <f>U51*0.0122437846+V51*0.0122437846</f>
        <v/>
      </c>
      <c r="AW51" s="7">
        <f>V51*0.0122437846+W51*0.0122437846</f>
        <v/>
      </c>
      <c r="AX51" s="7">
        <f>W51*0.0122437846+X51*0.0122437846</f>
        <v/>
      </c>
      <c r="AY51" s="7">
        <f>X51*0.0122437846+Y51*0.0122437846</f>
        <v/>
      </c>
      <c r="AZ51" s="7">
        <f>Y51*0.0122437846+Z51*0.0122437846</f>
        <v/>
      </c>
      <c r="BA51" s="7">
        <f>Z51*0.0122437846+AA51*0.0122437846</f>
        <v/>
      </c>
      <c r="BB51" s="7">
        <f>SUM(AD51:BA51)</f>
        <v/>
      </c>
    </row>
    <row r="52">
      <c r="A52" t="inlineStr">
        <is>
          <t>AMD-FWDREG-SSC</t>
        </is>
      </c>
      <c r="B52" t="inlineStr">
        <is>
          <t>Forward Regular OSC</t>
        </is>
      </c>
      <c r="C52" s="5" t="n">
        <v>46099</v>
      </c>
      <c r="D52" s="6" t="n">
        <v>247</v>
      </c>
      <c r="E52" s="6" t="n">
        <v>35</v>
      </c>
      <c r="F52" s="6" t="n">
        <v>255</v>
      </c>
      <c r="G52" s="6" t="n">
        <v>203</v>
      </c>
      <c r="H52" s="6" t="n">
        <v>134</v>
      </c>
      <c r="I52" s="6" t="n">
        <v>201</v>
      </c>
      <c r="J52" s="6" t="n">
        <v>157</v>
      </c>
      <c r="K52" s="6" t="n">
        <v>2</v>
      </c>
      <c r="L52" s="6" t="n">
        <v>195</v>
      </c>
      <c r="M52" s="6" t="n">
        <v>325</v>
      </c>
      <c r="N52" s="6" t="n">
        <v>310</v>
      </c>
      <c r="O52" s="6" t="n">
        <v>266</v>
      </c>
      <c r="P52" s="6" t="n">
        <v>93</v>
      </c>
      <c r="Q52" s="6" t="n">
        <v>223</v>
      </c>
      <c r="R52" s="6" t="n">
        <v>414</v>
      </c>
      <c r="S52" s="6" t="n">
        <v>393</v>
      </c>
      <c r="T52" s="6" t="n">
        <v>364</v>
      </c>
      <c r="U52" s="6" t="n">
        <v>49</v>
      </c>
      <c r="V52" s="6" t="n">
        <v>132</v>
      </c>
      <c r="W52" s="6" t="n">
        <v>166</v>
      </c>
      <c r="X52" s="6" t="n">
        <v>177</v>
      </c>
      <c r="Y52" s="6" t="n">
        <v>119</v>
      </c>
      <c r="Z52" s="6" t="n">
        <v>3</v>
      </c>
      <c r="AA52" s="6" t="n">
        <v>191</v>
      </c>
      <c r="AB52" s="6">
        <f>SUM(D52:AA52)</f>
        <v/>
      </c>
      <c r="AC52" s="3" t="inlineStr"/>
      <c r="AD52" s="7">
        <f>AA52*0.0122437846+D52*0.0122437846</f>
        <v/>
      </c>
      <c r="AE52" s="7">
        <f>D52*0.0122437846+E52*0.0122437846</f>
        <v/>
      </c>
      <c r="AF52" s="7">
        <f>E52*0.0122437846+F52*0.0122437846</f>
        <v/>
      </c>
      <c r="AG52" s="7">
        <f>F52*0.0122437846+G52*0.0122437846</f>
        <v/>
      </c>
      <c r="AH52" s="7">
        <f>G52*0.0122437846+H52*0.0122437846</f>
        <v/>
      </c>
      <c r="AI52" s="7">
        <f>H52*0.0122437846+I52*0.0122437846</f>
        <v/>
      </c>
      <c r="AJ52" s="7">
        <f>I52*0.0122437846+J52*0.0122437846</f>
        <v/>
      </c>
      <c r="AK52" s="7">
        <f>J52*0.0122437846+K52*0.0122437846</f>
        <v/>
      </c>
      <c r="AL52" s="7">
        <f>K52*0.0122437846+L52*0.0122437846</f>
        <v/>
      </c>
      <c r="AM52" s="7">
        <f>L52*0.0122437846+M52*0.0122437846</f>
        <v/>
      </c>
      <c r="AN52" s="7">
        <f>M52*0.0122437846+N52*0.0122437846</f>
        <v/>
      </c>
      <c r="AO52" s="7">
        <f>N52*0.0122437846+O52*0.0122437846</f>
        <v/>
      </c>
      <c r="AP52" s="7">
        <f>O52*0.0122437846+P52*0.0122437846</f>
        <v/>
      </c>
      <c r="AQ52" s="7">
        <f>P52*0.0122437846+Q52*0.0122437846</f>
        <v/>
      </c>
      <c r="AR52" s="7">
        <f>Q52*0.0122437846+R52*0.0122437846</f>
        <v/>
      </c>
      <c r="AS52" s="7">
        <f>R52*0.0122437846+S52*0.0122437846</f>
        <v/>
      </c>
      <c r="AT52" s="7">
        <f>S52*0.0122437846+T52*0.0122437846</f>
        <v/>
      </c>
      <c r="AU52" s="7">
        <f>T52*0.0122437846+U52*0.0122437846</f>
        <v/>
      </c>
      <c r="AV52" s="7">
        <f>U52*0.0122437846+V52*0.0122437846</f>
        <v/>
      </c>
      <c r="AW52" s="7">
        <f>V52*0.0122437846+W52*0.0122437846</f>
        <v/>
      </c>
      <c r="AX52" s="7">
        <f>W52*0.0122437846+X52*0.0122437846</f>
        <v/>
      </c>
      <c r="AY52" s="7">
        <f>X52*0.0122437846+Y52*0.0122437846</f>
        <v/>
      </c>
      <c r="AZ52" s="7">
        <f>Y52*0.0122437846+Z52*0.0122437846</f>
        <v/>
      </c>
      <c r="BA52" s="7">
        <f>Z52*0.0122437846+AA52*0.0122437846</f>
        <v/>
      </c>
      <c r="BB52" s="7">
        <f>SUM(AD52:BA52)</f>
        <v/>
      </c>
    </row>
    <row r="53">
      <c r="A53" t="inlineStr">
        <is>
          <t>AMD-FWDREG-SSC</t>
        </is>
      </c>
      <c r="B53" t="inlineStr">
        <is>
          <t>Forward Regular OSC</t>
        </is>
      </c>
      <c r="C53" s="5" t="n">
        <v>46100</v>
      </c>
      <c r="D53" s="6" t="n">
        <v>361</v>
      </c>
      <c r="E53" s="6" t="n">
        <v>99</v>
      </c>
      <c r="F53" s="6" t="n">
        <v>272</v>
      </c>
      <c r="G53" s="6" t="n">
        <v>345</v>
      </c>
      <c r="H53" s="6" t="n">
        <v>172</v>
      </c>
      <c r="I53" s="6" t="n">
        <v>273</v>
      </c>
      <c r="J53" s="6" t="n">
        <v>93</v>
      </c>
      <c r="K53" s="6" t="n">
        <v>7</v>
      </c>
      <c r="L53" s="6" t="n">
        <v>118</v>
      </c>
      <c r="M53" s="6" t="n">
        <v>266</v>
      </c>
      <c r="N53" s="6" t="n">
        <v>282</v>
      </c>
      <c r="O53" s="6" t="n">
        <v>294</v>
      </c>
      <c r="P53" s="6" t="n">
        <v>276</v>
      </c>
      <c r="Q53" s="6" t="n">
        <v>122</v>
      </c>
      <c r="R53" s="6" t="n">
        <v>186</v>
      </c>
      <c r="S53" s="6" t="n">
        <v>68</v>
      </c>
      <c r="T53" s="6" t="n">
        <v>45</v>
      </c>
      <c r="U53" s="6" t="n">
        <v>63</v>
      </c>
      <c r="V53" s="6" t="n">
        <v>68</v>
      </c>
      <c r="W53" s="6" t="n">
        <v>77</v>
      </c>
      <c r="X53" s="6" t="n">
        <v>80</v>
      </c>
      <c r="Y53" s="6" t="n">
        <v>59</v>
      </c>
      <c r="Z53" s="6" t="n">
        <v>0</v>
      </c>
      <c r="AA53" s="6" t="n">
        <v>0</v>
      </c>
      <c r="AB53" s="6">
        <f>SUM(D53:AA53)</f>
        <v/>
      </c>
      <c r="AC53" s="3" t="inlineStr"/>
      <c r="AD53" s="7">
        <f>AA53*0.0122437846+D53*0.0122437846</f>
        <v/>
      </c>
      <c r="AE53" s="7">
        <f>D53*0.0122437846+E53*0.0122437846</f>
        <v/>
      </c>
      <c r="AF53" s="7">
        <f>E53*0.0122437846+F53*0.0122437846</f>
        <v/>
      </c>
      <c r="AG53" s="7">
        <f>F53*0.0122437846+G53*0.0122437846</f>
        <v/>
      </c>
      <c r="AH53" s="7">
        <f>G53*0.0122437846+H53*0.0122437846</f>
        <v/>
      </c>
      <c r="AI53" s="7">
        <f>H53*0.0122437846+I53*0.0122437846</f>
        <v/>
      </c>
      <c r="AJ53" s="7">
        <f>I53*0.0122437846+J53*0.0122437846</f>
        <v/>
      </c>
      <c r="AK53" s="7">
        <f>J53*0.0122437846+K53*0.0122437846</f>
        <v/>
      </c>
      <c r="AL53" s="7">
        <f>K53*0.0122437846+L53*0.0122437846</f>
        <v/>
      </c>
      <c r="AM53" s="7">
        <f>L53*0.0122437846+M53*0.0122437846</f>
        <v/>
      </c>
      <c r="AN53" s="7">
        <f>M53*0.0122437846+N53*0.0122437846</f>
        <v/>
      </c>
      <c r="AO53" s="7">
        <f>N53*0.0122437846+O53*0.0122437846</f>
        <v/>
      </c>
      <c r="AP53" s="7">
        <f>O53*0.0122437846+P53*0.0122437846</f>
        <v/>
      </c>
      <c r="AQ53" s="7">
        <f>P53*0.0122437846+Q53*0.0122437846</f>
        <v/>
      </c>
      <c r="AR53" s="7">
        <f>Q53*0.0122437846+R53*0.0122437846</f>
        <v/>
      </c>
      <c r="AS53" s="7">
        <f>R53*0.0122437846+S53*0.0122437846</f>
        <v/>
      </c>
      <c r="AT53" s="7">
        <f>S53*0.0122437846+T53*0.0122437846</f>
        <v/>
      </c>
      <c r="AU53" s="7">
        <f>T53*0.0122437846+U53*0.0122437846</f>
        <v/>
      </c>
      <c r="AV53" s="7">
        <f>U53*0.0122437846+V53*0.0122437846</f>
        <v/>
      </c>
      <c r="AW53" s="7">
        <f>V53*0.0122437846+W53*0.0122437846</f>
        <v/>
      </c>
      <c r="AX53" s="7">
        <f>W53*0.0122437846+X53*0.0122437846</f>
        <v/>
      </c>
      <c r="AY53" s="7">
        <f>X53*0.0122437846+Y53*0.0122437846</f>
        <v/>
      </c>
      <c r="AZ53" s="7">
        <f>Y53*0.0122437846+Z53*0.0122437846</f>
        <v/>
      </c>
      <c r="BA53" s="7">
        <f>Z53*0.0122437846+AA53*0.0122437846</f>
        <v/>
      </c>
      <c r="BB53" s="7">
        <f>SUM(AD53:BA53)</f>
        <v/>
      </c>
    </row>
    <row r="54">
      <c r="A54" t="inlineStr">
        <is>
          <t>AMD-FWDREG-SSC</t>
        </is>
      </c>
      <c r="B54" t="inlineStr">
        <is>
          <t>Forward Regular OSC</t>
        </is>
      </c>
      <c r="C54" s="5" t="n">
        <v>46101</v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31</v>
      </c>
      <c r="M54" s="6" t="n">
        <v>254</v>
      </c>
      <c r="N54" s="6" t="n">
        <v>295</v>
      </c>
      <c r="O54" s="6" t="n">
        <v>269</v>
      </c>
      <c r="P54" s="6" t="n">
        <v>108</v>
      </c>
      <c r="Q54" s="6" t="n">
        <v>279</v>
      </c>
      <c r="R54" s="6" t="n">
        <v>351</v>
      </c>
      <c r="S54" s="6" t="n">
        <v>405</v>
      </c>
      <c r="T54" s="6" t="n">
        <v>381</v>
      </c>
      <c r="U54" s="6" t="n">
        <v>17</v>
      </c>
      <c r="V54" s="6" t="n">
        <v>272</v>
      </c>
      <c r="W54" s="6" t="n">
        <v>252</v>
      </c>
      <c r="X54" s="6" t="n">
        <v>240</v>
      </c>
      <c r="Y54" s="6" t="n">
        <v>73</v>
      </c>
      <c r="Z54" s="6" t="n">
        <v>1</v>
      </c>
      <c r="AA54" s="6" t="n">
        <v>104</v>
      </c>
      <c r="AB54" s="6">
        <f>SUM(D54:AA54)</f>
        <v/>
      </c>
      <c r="AC54" s="3" t="inlineStr"/>
      <c r="AD54" s="7">
        <f>AA54*0.0122437846+D54*0.0122437846</f>
        <v/>
      </c>
      <c r="AE54" s="7">
        <f>D54*0.0122437846+E54*0.0122437846</f>
        <v/>
      </c>
      <c r="AF54" s="7">
        <f>E54*0.0122437846+F54*0.0122437846</f>
        <v/>
      </c>
      <c r="AG54" s="7">
        <f>F54*0.0122437846+G54*0.0122437846</f>
        <v/>
      </c>
      <c r="AH54" s="7">
        <f>G54*0.0122437846+H54*0.0122437846</f>
        <v/>
      </c>
      <c r="AI54" s="7">
        <f>H54*0.0122437846+I54*0.0122437846</f>
        <v/>
      </c>
      <c r="AJ54" s="7">
        <f>I54*0.0122437846+J54*0.0122437846</f>
        <v/>
      </c>
      <c r="AK54" s="7">
        <f>J54*0.0122437846+K54*0.0122437846</f>
        <v/>
      </c>
      <c r="AL54" s="7">
        <f>K54*0.0122437846+L54*0.0122437846</f>
        <v/>
      </c>
      <c r="AM54" s="7">
        <f>L54*0.0122437846+M54*0.0122437846</f>
        <v/>
      </c>
      <c r="AN54" s="7">
        <f>M54*0.0122437846+N54*0.0122437846</f>
        <v/>
      </c>
      <c r="AO54" s="7">
        <f>N54*0.0122437846+O54*0.0122437846</f>
        <v/>
      </c>
      <c r="AP54" s="7">
        <f>O54*0.0122437846+P54*0.0122437846</f>
        <v/>
      </c>
      <c r="AQ54" s="7">
        <f>P54*0.0122437846+Q54*0.0122437846</f>
        <v/>
      </c>
      <c r="AR54" s="7">
        <f>Q54*0.0122437846+R54*0.0122437846</f>
        <v/>
      </c>
      <c r="AS54" s="7">
        <f>R54*0.0122437846+S54*0.0122437846</f>
        <v/>
      </c>
      <c r="AT54" s="7">
        <f>S54*0.0122437846+T54*0.0122437846</f>
        <v/>
      </c>
      <c r="AU54" s="7">
        <f>T54*0.0122437846+U54*0.0122437846</f>
        <v/>
      </c>
      <c r="AV54" s="7">
        <f>U54*0.0122437846+V54*0.0122437846</f>
        <v/>
      </c>
      <c r="AW54" s="7">
        <f>V54*0.0122437846+W54*0.0122437846</f>
        <v/>
      </c>
      <c r="AX54" s="7">
        <f>W54*0.0122437846+X54*0.0122437846</f>
        <v/>
      </c>
      <c r="AY54" s="7">
        <f>X54*0.0122437846+Y54*0.0122437846</f>
        <v/>
      </c>
      <c r="AZ54" s="7">
        <f>Y54*0.0122437846+Z54*0.0122437846</f>
        <v/>
      </c>
      <c r="BA54" s="7">
        <f>Z54*0.0122437846+AA54*0.0122437846</f>
        <v/>
      </c>
      <c r="BB54" s="7">
        <f>SUM(AD54:BA54)</f>
        <v/>
      </c>
    </row>
    <row r="55">
      <c r="A55" t="inlineStr">
        <is>
          <t>AMD-FWDREG-SSC</t>
        </is>
      </c>
      <c r="B55" t="inlineStr">
        <is>
          <t>Forward Regular OSC</t>
        </is>
      </c>
      <c r="C55" s="5" t="n">
        <v>46102</v>
      </c>
      <c r="D55" s="6" t="n">
        <v>227</v>
      </c>
      <c r="E55" s="6" t="n">
        <v>89</v>
      </c>
      <c r="F55" s="6" t="n">
        <v>220</v>
      </c>
      <c r="G55" s="6" t="n">
        <v>226</v>
      </c>
      <c r="H55" s="6" t="n">
        <v>129</v>
      </c>
      <c r="I55" s="6" t="n">
        <v>108</v>
      </c>
      <c r="J55" s="6" t="n">
        <v>115</v>
      </c>
      <c r="K55" s="6" t="n">
        <v>2</v>
      </c>
      <c r="L55" s="6" t="n">
        <v>0</v>
      </c>
      <c r="M55" s="6" t="n">
        <v>268</v>
      </c>
      <c r="N55" s="6" t="n">
        <v>266</v>
      </c>
      <c r="O55" s="6" t="n">
        <v>234</v>
      </c>
      <c r="P55" s="6" t="n">
        <v>160</v>
      </c>
      <c r="Q55" s="6" t="n">
        <v>142</v>
      </c>
      <c r="R55" s="6" t="n">
        <v>62</v>
      </c>
      <c r="S55" s="6" t="n">
        <v>59</v>
      </c>
      <c r="T55" s="6" t="n">
        <v>67</v>
      </c>
      <c r="U55" s="6" t="n">
        <v>5</v>
      </c>
      <c r="V55" s="6" t="n">
        <v>0</v>
      </c>
      <c r="W55" s="6" t="n">
        <v>7</v>
      </c>
      <c r="X55" s="6" t="n">
        <v>0</v>
      </c>
      <c r="Y55" s="6" t="n">
        <v>0</v>
      </c>
      <c r="Z55" s="6" t="n">
        <v>0</v>
      </c>
      <c r="AA55" s="6" t="n">
        <v>9</v>
      </c>
      <c r="AB55" s="6">
        <f>SUM(D55:AA55)</f>
        <v/>
      </c>
      <c r="AC55" s="3" t="inlineStr"/>
      <c r="AD55" s="7">
        <f>AA55*0.0122437846+D55*0.0122437846</f>
        <v/>
      </c>
      <c r="AE55" s="7">
        <f>D55*0.0122437846+E55*0.0122437846</f>
        <v/>
      </c>
      <c r="AF55" s="7">
        <f>E55*0.0122437846+F55*0.0122437846</f>
        <v/>
      </c>
      <c r="AG55" s="7">
        <f>F55*0.0122437846+G55*0.0122437846</f>
        <v/>
      </c>
      <c r="AH55" s="7">
        <f>G55*0.0122437846+H55*0.0122437846</f>
        <v/>
      </c>
      <c r="AI55" s="7">
        <f>H55*0.0122437846+I55*0.0122437846</f>
        <v/>
      </c>
      <c r="AJ55" s="7">
        <f>I55*0.0122437846+J55*0.0122437846</f>
        <v/>
      </c>
      <c r="AK55" s="7">
        <f>J55*0.0122437846+K55*0.0122437846</f>
        <v/>
      </c>
      <c r="AL55" s="7">
        <f>K55*0.0122437846+L55*0.0122437846</f>
        <v/>
      </c>
      <c r="AM55" s="7">
        <f>L55*0.0122437846+M55*0.0122437846</f>
        <v/>
      </c>
      <c r="AN55" s="7">
        <f>M55*0.0122437846+N55*0.0122437846</f>
        <v/>
      </c>
      <c r="AO55" s="7">
        <f>N55*0.0122437846+O55*0.0122437846</f>
        <v/>
      </c>
      <c r="AP55" s="7">
        <f>O55*0.0122437846+P55*0.0122437846</f>
        <v/>
      </c>
      <c r="AQ55" s="7">
        <f>P55*0.0122437846+Q55*0.0122437846</f>
        <v/>
      </c>
      <c r="AR55" s="7">
        <f>Q55*0.0122437846+R55*0.0122437846</f>
        <v/>
      </c>
      <c r="AS55" s="7">
        <f>R55*0.0122437846+S55*0.0122437846</f>
        <v/>
      </c>
      <c r="AT55" s="7">
        <f>S55*0.0122437846+T55*0.0122437846</f>
        <v/>
      </c>
      <c r="AU55" s="7">
        <f>T55*0.0122437846+U55*0.0122437846</f>
        <v/>
      </c>
      <c r="AV55" s="7">
        <f>U55*0.0122437846+V55*0.0122437846</f>
        <v/>
      </c>
      <c r="AW55" s="7">
        <f>V55*0.0122437846+W55*0.0122437846</f>
        <v/>
      </c>
      <c r="AX55" s="7">
        <f>W55*0.0122437846+X55*0.0122437846</f>
        <v/>
      </c>
      <c r="AY55" s="7">
        <f>X55*0.0122437846+Y55*0.0122437846</f>
        <v/>
      </c>
      <c r="AZ55" s="7">
        <f>Y55*0.0122437846+Z55*0.0122437846</f>
        <v/>
      </c>
      <c r="BA55" s="7">
        <f>Z55*0.0122437846+AA55*0.0122437846</f>
        <v/>
      </c>
      <c r="BB55" s="7">
        <f>SUM(AD55:BA55)</f>
        <v/>
      </c>
    </row>
    <row r="56">
      <c r="A56" t="inlineStr">
        <is>
          <t>AMD-FWDREG-SSC</t>
        </is>
      </c>
      <c r="B56" t="inlineStr">
        <is>
          <t>Forward Regular OSC</t>
        </is>
      </c>
      <c r="C56" s="5" t="n">
        <v>46103</v>
      </c>
      <c r="D56" s="6" t="n">
        <v>275</v>
      </c>
      <c r="E56" s="6" t="n">
        <v>62</v>
      </c>
      <c r="F56" s="6" t="n">
        <v>184</v>
      </c>
      <c r="G56" s="6" t="n">
        <v>254</v>
      </c>
      <c r="H56" s="6" t="n">
        <v>146</v>
      </c>
      <c r="I56" s="6" t="n">
        <v>130</v>
      </c>
      <c r="J56" s="6" t="n">
        <v>15</v>
      </c>
      <c r="K56" s="6" t="n">
        <v>1</v>
      </c>
      <c r="L56" s="6" t="n">
        <v>0</v>
      </c>
      <c r="M56" s="6" t="n">
        <v>227</v>
      </c>
      <c r="N56" s="6" t="n">
        <v>268</v>
      </c>
      <c r="O56" s="6" t="n">
        <v>227</v>
      </c>
      <c r="P56" s="6" t="n">
        <v>83</v>
      </c>
      <c r="Q56" s="6" t="n">
        <v>48</v>
      </c>
      <c r="R56" s="6" t="n">
        <v>258</v>
      </c>
      <c r="S56" s="6" t="n">
        <v>96</v>
      </c>
      <c r="T56" s="6" t="n">
        <v>5</v>
      </c>
      <c r="U56" s="6" t="n">
        <v>18</v>
      </c>
      <c r="V56" s="6" t="n">
        <v>10</v>
      </c>
      <c r="W56" s="6" t="n">
        <v>44</v>
      </c>
      <c r="X56" s="6" t="n">
        <v>49</v>
      </c>
      <c r="Y56" s="6" t="n">
        <v>50</v>
      </c>
      <c r="Z56" s="6" t="n">
        <v>2</v>
      </c>
      <c r="AA56" s="6" t="n">
        <v>0</v>
      </c>
      <c r="AB56" s="6">
        <f>SUM(D56:AA56)</f>
        <v/>
      </c>
      <c r="AC56" s="3" t="inlineStr"/>
      <c r="AD56" s="7">
        <f>AA56*0.0122437846+D56*0.0122437846</f>
        <v/>
      </c>
      <c r="AE56" s="7">
        <f>D56*0.0122437846+E56*0.0122437846</f>
        <v/>
      </c>
      <c r="AF56" s="7">
        <f>E56*0.0122437846+F56*0.0122437846</f>
        <v/>
      </c>
      <c r="AG56" s="7">
        <f>F56*0.0122437846+G56*0.0122437846</f>
        <v/>
      </c>
      <c r="AH56" s="7">
        <f>G56*0.0122437846+H56*0.0122437846</f>
        <v/>
      </c>
      <c r="AI56" s="7">
        <f>H56*0.0122437846+I56*0.0122437846</f>
        <v/>
      </c>
      <c r="AJ56" s="7">
        <f>I56*0.0122437846+J56*0.0122437846</f>
        <v/>
      </c>
      <c r="AK56" s="7">
        <f>J56*0.0122437846+K56*0.0122437846</f>
        <v/>
      </c>
      <c r="AL56" s="7">
        <f>K56*0.0122437846+L56*0.0122437846</f>
        <v/>
      </c>
      <c r="AM56" s="7">
        <f>L56*0.0122437846+M56*0.0122437846</f>
        <v/>
      </c>
      <c r="AN56" s="7">
        <f>M56*0.0122437846+N56*0.0122437846</f>
        <v/>
      </c>
      <c r="AO56" s="7">
        <f>N56*0.0122437846+O56*0.0122437846</f>
        <v/>
      </c>
      <c r="AP56" s="7">
        <f>O56*0.0122437846+P56*0.0122437846</f>
        <v/>
      </c>
      <c r="AQ56" s="7">
        <f>P56*0.0122437846+Q56*0.0122437846</f>
        <v/>
      </c>
      <c r="AR56" s="7">
        <f>Q56*0.0122437846+R56*0.0122437846</f>
        <v/>
      </c>
      <c r="AS56" s="7">
        <f>R56*0.0122437846+S56*0.0122437846</f>
        <v/>
      </c>
      <c r="AT56" s="7">
        <f>S56*0.0122437846+T56*0.0122437846</f>
        <v/>
      </c>
      <c r="AU56" s="7">
        <f>T56*0.0122437846+U56*0.0122437846</f>
        <v/>
      </c>
      <c r="AV56" s="7">
        <f>U56*0.0122437846+V56*0.0122437846</f>
        <v/>
      </c>
      <c r="AW56" s="7">
        <f>V56*0.0122437846+W56*0.0122437846</f>
        <v/>
      </c>
      <c r="AX56" s="7">
        <f>W56*0.0122437846+X56*0.0122437846</f>
        <v/>
      </c>
      <c r="AY56" s="7">
        <f>X56*0.0122437846+Y56*0.0122437846</f>
        <v/>
      </c>
      <c r="AZ56" s="7">
        <f>Y56*0.0122437846+Z56*0.0122437846</f>
        <v/>
      </c>
      <c r="BA56" s="7">
        <f>Z56*0.0122437846+AA56*0.0122437846</f>
        <v/>
      </c>
      <c r="BB56" s="7">
        <f>SUM(AD56:BA56)</f>
        <v/>
      </c>
    </row>
    <row r="57">
      <c r="A57" t="inlineStr">
        <is>
          <t>AMD-FWDREG-SSC</t>
        </is>
      </c>
      <c r="B57" t="inlineStr">
        <is>
          <t>Forward Regular OSC</t>
        </is>
      </c>
      <c r="C57" s="5" t="n">
        <v>46104</v>
      </c>
      <c r="D57" s="6" t="n">
        <v>201</v>
      </c>
      <c r="E57" s="6" t="n">
        <v>154</v>
      </c>
      <c r="F57" s="6" t="n">
        <v>5</v>
      </c>
      <c r="G57" s="6" t="n">
        <v>222</v>
      </c>
      <c r="H57" s="6" t="n">
        <v>114</v>
      </c>
      <c r="I57" s="6" t="n">
        <v>147</v>
      </c>
      <c r="J57" s="6" t="n">
        <v>7</v>
      </c>
      <c r="K57" s="6" t="n">
        <v>0</v>
      </c>
      <c r="L57" s="6" t="n">
        <v>6</v>
      </c>
      <c r="M57" s="6" t="n">
        <v>396</v>
      </c>
      <c r="N57" s="6" t="n">
        <v>218</v>
      </c>
      <c r="O57" s="6" t="n">
        <v>1</v>
      </c>
      <c r="P57" s="6" t="n">
        <v>0</v>
      </c>
      <c r="Q57" s="6" t="n">
        <v>0</v>
      </c>
      <c r="R57" s="6" t="n">
        <v>89</v>
      </c>
      <c r="S57" s="6" t="n">
        <v>68</v>
      </c>
      <c r="T57" s="6" t="n">
        <v>7</v>
      </c>
      <c r="U57" s="6" t="n">
        <v>62</v>
      </c>
      <c r="V57" s="6" t="n">
        <v>38</v>
      </c>
      <c r="W57" s="6" t="n">
        <v>38</v>
      </c>
      <c r="X57" s="6" t="n">
        <v>29</v>
      </c>
      <c r="Y57" s="6" t="n">
        <v>9</v>
      </c>
      <c r="Z57" s="6" t="n">
        <v>0</v>
      </c>
      <c r="AA57" s="6" t="n">
        <v>36</v>
      </c>
      <c r="AB57" s="6">
        <f>SUM(D57:AA57)</f>
        <v/>
      </c>
      <c r="AC57" s="3" t="inlineStr"/>
      <c r="AD57" s="7">
        <f>AA57*0.0122437846+D57*0.0122437846</f>
        <v/>
      </c>
      <c r="AE57" s="7">
        <f>D57*0.0122437846+E57*0.0122437846</f>
        <v/>
      </c>
      <c r="AF57" s="7">
        <f>E57*0.0122437846+F57*0.0122437846</f>
        <v/>
      </c>
      <c r="AG57" s="7">
        <f>F57*0.0122437846+G57*0.0122437846</f>
        <v/>
      </c>
      <c r="AH57" s="7">
        <f>G57*0.0122437846+H57*0.0122437846</f>
        <v/>
      </c>
      <c r="AI57" s="7">
        <f>H57*0.0122437846+I57*0.0122437846</f>
        <v/>
      </c>
      <c r="AJ57" s="7">
        <f>I57*0.0122437846+J57*0.0122437846</f>
        <v/>
      </c>
      <c r="AK57" s="7">
        <f>J57*0.0122437846+K57*0.0122437846</f>
        <v/>
      </c>
      <c r="AL57" s="7">
        <f>K57*0.0122437846+L57*0.0122437846</f>
        <v/>
      </c>
      <c r="AM57" s="7">
        <f>L57*0.0122437846+M57*0.0122437846</f>
        <v/>
      </c>
      <c r="AN57" s="7">
        <f>M57*0.0122437846+N57*0.0122437846</f>
        <v/>
      </c>
      <c r="AO57" s="7">
        <f>N57*0.0122437846+O57*0.0122437846</f>
        <v/>
      </c>
      <c r="AP57" s="7">
        <f>O57*0.0122437846+P57*0.0122437846</f>
        <v/>
      </c>
      <c r="AQ57" s="7">
        <f>P57*0.0122437846+Q57*0.0122437846</f>
        <v/>
      </c>
      <c r="AR57" s="7">
        <f>Q57*0.0122437846+R57*0.0122437846</f>
        <v/>
      </c>
      <c r="AS57" s="7">
        <f>R57*0.0122437846+S57*0.0122437846</f>
        <v/>
      </c>
      <c r="AT57" s="7">
        <f>S57*0.0122437846+T57*0.0122437846</f>
        <v/>
      </c>
      <c r="AU57" s="7">
        <f>T57*0.0122437846+U57*0.0122437846</f>
        <v/>
      </c>
      <c r="AV57" s="7">
        <f>U57*0.0122437846+V57*0.0122437846</f>
        <v/>
      </c>
      <c r="AW57" s="7">
        <f>V57*0.0122437846+W57*0.0122437846</f>
        <v/>
      </c>
      <c r="AX57" s="7">
        <f>W57*0.0122437846+X57*0.0122437846</f>
        <v/>
      </c>
      <c r="AY57" s="7">
        <f>X57*0.0122437846+Y57*0.0122437846</f>
        <v/>
      </c>
      <c r="AZ57" s="7">
        <f>Y57*0.0122437846+Z57*0.0122437846</f>
        <v/>
      </c>
      <c r="BA57" s="7">
        <f>Z57*0.0122437846+AA57*0.0122437846</f>
        <v/>
      </c>
      <c r="BB57" s="7">
        <f>SUM(AD57:BA57)</f>
        <v/>
      </c>
    </row>
    <row r="58">
      <c r="A58" t="inlineStr">
        <is>
          <t>AMD-FWDREG-SSC</t>
        </is>
      </c>
      <c r="B58" t="inlineStr">
        <is>
          <t>Forward Regular OSC</t>
        </is>
      </c>
      <c r="C58" s="5" t="n">
        <v>46105</v>
      </c>
      <c r="D58" s="6" t="n">
        <v>447</v>
      </c>
      <c r="E58" s="6" t="n">
        <v>81</v>
      </c>
      <c r="F58" s="6" t="n">
        <v>256</v>
      </c>
      <c r="G58" s="6" t="n">
        <v>219</v>
      </c>
      <c r="H58" s="6" t="n">
        <v>138</v>
      </c>
      <c r="I58" s="6" t="n">
        <v>263</v>
      </c>
      <c r="J58" s="6" t="n">
        <v>218</v>
      </c>
      <c r="K58" s="6" t="n">
        <v>0</v>
      </c>
      <c r="L58" s="6" t="n">
        <v>1</v>
      </c>
      <c r="M58" s="6" t="n">
        <v>448</v>
      </c>
      <c r="N58" s="6" t="n">
        <v>297</v>
      </c>
      <c r="O58" s="6" t="n">
        <v>256</v>
      </c>
      <c r="P58" s="6" t="n">
        <v>159</v>
      </c>
      <c r="Q58" s="6" t="n">
        <v>355</v>
      </c>
      <c r="R58" s="6" t="n">
        <v>189</v>
      </c>
      <c r="S58" s="6" t="n">
        <v>10</v>
      </c>
      <c r="T58" s="6" t="n">
        <v>39</v>
      </c>
      <c r="U58" s="6" t="n">
        <v>96</v>
      </c>
      <c r="V58" s="6" t="n">
        <v>62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0</v>
      </c>
      <c r="AB58" s="6">
        <f>SUM(D58:AA58)</f>
        <v/>
      </c>
      <c r="AC58" s="3" t="inlineStr"/>
      <c r="AD58" s="7">
        <f>AA58*0.0122437846+D58*0.0122437846</f>
        <v/>
      </c>
      <c r="AE58" s="7">
        <f>D58*0.0122437846+E58*0.0122437846</f>
        <v/>
      </c>
      <c r="AF58" s="7">
        <f>E58*0.0122437846+F58*0.0122437846</f>
        <v/>
      </c>
      <c r="AG58" s="7">
        <f>F58*0.0122437846+G58*0.0122437846</f>
        <v/>
      </c>
      <c r="AH58" s="7">
        <f>G58*0.0122437846+H58*0.0122437846</f>
        <v/>
      </c>
      <c r="AI58" s="7">
        <f>H58*0.0122437846+I58*0.0122437846</f>
        <v/>
      </c>
      <c r="AJ58" s="7">
        <f>I58*0.0122437846+J58*0.0122437846</f>
        <v/>
      </c>
      <c r="AK58" s="7">
        <f>J58*0.0122437846+K58*0.0122437846</f>
        <v/>
      </c>
      <c r="AL58" s="7">
        <f>K58*0.0122437846+L58*0.0122437846</f>
        <v/>
      </c>
      <c r="AM58" s="7">
        <f>L58*0.0122437846+M58*0.0122437846</f>
        <v/>
      </c>
      <c r="AN58" s="7">
        <f>M58*0.0122437846+N58*0.0122437846</f>
        <v/>
      </c>
      <c r="AO58" s="7">
        <f>N58*0.0122437846+O58*0.0122437846</f>
        <v/>
      </c>
      <c r="AP58" s="7">
        <f>O58*0.0122437846+P58*0.0122437846</f>
        <v/>
      </c>
      <c r="AQ58" s="7">
        <f>P58*0.0122437846+Q58*0.0122437846</f>
        <v/>
      </c>
      <c r="AR58" s="7">
        <f>Q58*0.0122437846+R58*0.0122437846</f>
        <v/>
      </c>
      <c r="AS58" s="7">
        <f>R58*0.0122437846+S58*0.0122437846</f>
        <v/>
      </c>
      <c r="AT58" s="7">
        <f>S58*0.0122437846+T58*0.0122437846</f>
        <v/>
      </c>
      <c r="AU58" s="7">
        <f>T58*0.0122437846+U58*0.0122437846</f>
        <v/>
      </c>
      <c r="AV58" s="7">
        <f>U58*0.0122437846+V58*0.0122437846</f>
        <v/>
      </c>
      <c r="AW58" s="7">
        <f>V58*0.0122437846+W58*0.0122437846</f>
        <v/>
      </c>
      <c r="AX58" s="7">
        <f>W58*0.0122437846+X58*0.0122437846</f>
        <v/>
      </c>
      <c r="AY58" s="7">
        <f>X58*0.0122437846+Y58*0.0122437846</f>
        <v/>
      </c>
      <c r="AZ58" s="7">
        <f>Y58*0.0122437846+Z58*0.0122437846</f>
        <v/>
      </c>
      <c r="BA58" s="7">
        <f>Z58*0.0122437846+AA58*0.0122437846</f>
        <v/>
      </c>
      <c r="BB58" s="7">
        <f>SUM(AD58:BA58)</f>
        <v/>
      </c>
    </row>
    <row r="59">
      <c r="A59" t="inlineStr">
        <is>
          <t>AMD-INTRA-SSC</t>
        </is>
      </c>
      <c r="B59" t="inlineStr">
        <is>
          <t>Forward Regular OSC</t>
        </is>
      </c>
      <c r="C59" s="5" t="n">
        <v>46098</v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Q59" s="6" t="n">
        <v>0</v>
      </c>
      <c r="R59" s="6" t="n">
        <v>0</v>
      </c>
      <c r="S59" s="6" t="n">
        <v>0</v>
      </c>
      <c r="T59" s="6" t="n">
        <v>7</v>
      </c>
      <c r="U59" s="6" t="n">
        <v>6</v>
      </c>
      <c r="V59" s="6" t="n">
        <v>0</v>
      </c>
      <c r="W59" s="6" t="n">
        <v>0</v>
      </c>
      <c r="X59" s="6" t="n">
        <v>0</v>
      </c>
      <c r="Y59" s="6" t="n">
        <v>6</v>
      </c>
      <c r="Z59" s="6" t="n">
        <v>10</v>
      </c>
      <c r="AA59" s="6" t="n">
        <v>7</v>
      </c>
      <c r="AB59" s="6">
        <f>SUM(D59:AA59)</f>
        <v/>
      </c>
      <c r="AC59" s="3" t="inlineStr"/>
      <c r="AD59" s="7">
        <f>AA59*0.0122437846+D59*0.0122437846</f>
        <v/>
      </c>
      <c r="AE59" s="7">
        <f>D59*0.0122437846+E59*0.0122437846</f>
        <v/>
      </c>
      <c r="AF59" s="7">
        <f>E59*0.0122437846+F59*0.0122437846</f>
        <v/>
      </c>
      <c r="AG59" s="7">
        <f>F59*0.0122437846+G59*0.0122437846</f>
        <v/>
      </c>
      <c r="AH59" s="7">
        <f>G59*0.0122437846+H59*0.0122437846</f>
        <v/>
      </c>
      <c r="AI59" s="7">
        <f>H59*0.0122437846+I59*0.0122437846</f>
        <v/>
      </c>
      <c r="AJ59" s="7">
        <f>I59*0.0122437846+J59*0.0122437846</f>
        <v/>
      </c>
      <c r="AK59" s="7">
        <f>J59*0.0122437846+K59*0.0122437846</f>
        <v/>
      </c>
      <c r="AL59" s="7">
        <f>K59*0.0122437846+L59*0.0122437846</f>
        <v/>
      </c>
      <c r="AM59" s="7">
        <f>L59*0.0122437846+M59*0.0122437846</f>
        <v/>
      </c>
      <c r="AN59" s="7">
        <f>M59*0.0122437846+N59*0.0122437846</f>
        <v/>
      </c>
      <c r="AO59" s="7">
        <f>N59*0.0122437846+O59*0.0122437846</f>
        <v/>
      </c>
      <c r="AP59" s="7">
        <f>O59*0.0122437846+P59*0.0122437846</f>
        <v/>
      </c>
      <c r="AQ59" s="7">
        <f>P59*0.0122437846+Q59*0.0122437846</f>
        <v/>
      </c>
      <c r="AR59" s="7">
        <f>Q59*0.0122437846+R59*0.0122437846</f>
        <v/>
      </c>
      <c r="AS59" s="7">
        <f>R59*0.0122437846+S59*0.0122437846</f>
        <v/>
      </c>
      <c r="AT59" s="7">
        <f>S59*0.0122437846+T59*0.0122437846</f>
        <v/>
      </c>
      <c r="AU59" s="7">
        <f>T59*0.0122437846+U59*0.0122437846</f>
        <v/>
      </c>
      <c r="AV59" s="7">
        <f>U59*0.0122437846+V59*0.0122437846</f>
        <v/>
      </c>
      <c r="AW59" s="7">
        <f>V59*0.0122437846+W59*0.0122437846</f>
        <v/>
      </c>
      <c r="AX59" s="7">
        <f>W59*0.0122437846+X59*0.0122437846</f>
        <v/>
      </c>
      <c r="AY59" s="7">
        <f>X59*0.0122437846+Y59*0.0122437846</f>
        <v/>
      </c>
      <c r="AZ59" s="7">
        <f>Y59*0.0122437846+Z59*0.0122437846</f>
        <v/>
      </c>
      <c r="BA59" s="7">
        <f>Z59*0.0122437846+AA59*0.0122437846</f>
        <v/>
      </c>
      <c r="BB59" s="7">
        <f>SUM(AD59:BA59)</f>
        <v/>
      </c>
    </row>
    <row r="60">
      <c r="A60" t="inlineStr">
        <is>
          <t>AMD-INTRA-SSC</t>
        </is>
      </c>
      <c r="B60" t="inlineStr">
        <is>
          <t>Forward Regular OSC</t>
        </is>
      </c>
      <c r="C60" s="5" t="n">
        <v>46099</v>
      </c>
      <c r="D60" s="6" t="n">
        <v>13</v>
      </c>
      <c r="E60" s="6" t="n">
        <v>5</v>
      </c>
      <c r="F60" s="6" t="n">
        <v>10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0</v>
      </c>
      <c r="Q60" s="6" t="n">
        <v>6</v>
      </c>
      <c r="R60" s="6" t="n">
        <v>6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8</v>
      </c>
      <c r="Z60" s="6" t="n">
        <v>0</v>
      </c>
      <c r="AA60" s="6" t="n">
        <v>11</v>
      </c>
      <c r="AB60" s="6">
        <f>SUM(D60:AA60)</f>
        <v/>
      </c>
      <c r="AC60" s="3" t="inlineStr"/>
      <c r="AD60" s="7">
        <f>AA60*0.0122437846+D60*0.0122437846</f>
        <v/>
      </c>
      <c r="AE60" s="7">
        <f>D60*0.0122437846+E60*0.0122437846</f>
        <v/>
      </c>
      <c r="AF60" s="7">
        <f>E60*0.0122437846+F60*0.0122437846</f>
        <v/>
      </c>
      <c r="AG60" s="7">
        <f>F60*0.0122437846+G60*0.0122437846</f>
        <v/>
      </c>
      <c r="AH60" s="7">
        <f>G60*0.0122437846+H60*0.0122437846</f>
        <v/>
      </c>
      <c r="AI60" s="7">
        <f>H60*0.0122437846+I60*0.0122437846</f>
        <v/>
      </c>
      <c r="AJ60" s="7">
        <f>I60*0.0122437846+J60*0.0122437846</f>
        <v/>
      </c>
      <c r="AK60" s="7">
        <f>J60*0.0122437846+K60*0.0122437846</f>
        <v/>
      </c>
      <c r="AL60" s="7">
        <f>K60*0.0122437846+L60*0.0122437846</f>
        <v/>
      </c>
      <c r="AM60" s="7">
        <f>L60*0.0122437846+M60*0.0122437846</f>
        <v/>
      </c>
      <c r="AN60" s="7">
        <f>M60*0.0122437846+N60*0.0122437846</f>
        <v/>
      </c>
      <c r="AO60" s="7">
        <f>N60*0.0122437846+O60*0.0122437846</f>
        <v/>
      </c>
      <c r="AP60" s="7">
        <f>O60*0.0122437846+P60*0.0122437846</f>
        <v/>
      </c>
      <c r="AQ60" s="7">
        <f>P60*0.0122437846+Q60*0.0122437846</f>
        <v/>
      </c>
      <c r="AR60" s="7">
        <f>Q60*0.0122437846+R60*0.0122437846</f>
        <v/>
      </c>
      <c r="AS60" s="7">
        <f>R60*0.0122437846+S60*0.0122437846</f>
        <v/>
      </c>
      <c r="AT60" s="7">
        <f>S60*0.0122437846+T60*0.0122437846</f>
        <v/>
      </c>
      <c r="AU60" s="7">
        <f>T60*0.0122437846+U60*0.0122437846</f>
        <v/>
      </c>
      <c r="AV60" s="7">
        <f>U60*0.0122437846+V60*0.0122437846</f>
        <v/>
      </c>
      <c r="AW60" s="7">
        <f>V60*0.0122437846+W60*0.0122437846</f>
        <v/>
      </c>
      <c r="AX60" s="7">
        <f>W60*0.0122437846+X60*0.0122437846</f>
        <v/>
      </c>
      <c r="AY60" s="7">
        <f>X60*0.0122437846+Y60*0.0122437846</f>
        <v/>
      </c>
      <c r="AZ60" s="7">
        <f>Y60*0.0122437846+Z60*0.0122437846</f>
        <v/>
      </c>
      <c r="BA60" s="7">
        <f>Z60*0.0122437846+AA60*0.0122437846</f>
        <v/>
      </c>
      <c r="BB60" s="7">
        <f>SUM(AD60:BA60)</f>
        <v/>
      </c>
    </row>
    <row r="61">
      <c r="A61" t="inlineStr">
        <is>
          <t>AMD-INTRA-SSC</t>
        </is>
      </c>
      <c r="B61" t="inlineStr">
        <is>
          <t>Forward Regular OSC</t>
        </is>
      </c>
      <c r="C61" s="5" t="n">
        <v>46100</v>
      </c>
      <c r="D61" s="6" t="n">
        <v>12</v>
      </c>
      <c r="E61" s="6" t="n">
        <v>3</v>
      </c>
      <c r="F61" s="6" t="n">
        <v>7</v>
      </c>
      <c r="G61" s="6" t="n">
        <v>0</v>
      </c>
      <c r="H61" s="6" t="n">
        <v>0</v>
      </c>
      <c r="I61" s="6" t="n">
        <v>3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0</v>
      </c>
      <c r="Q61" s="6" t="n">
        <v>6</v>
      </c>
      <c r="R61" s="6" t="n">
        <v>6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1</v>
      </c>
      <c r="X61" s="6" t="n">
        <v>1</v>
      </c>
      <c r="Y61" s="6" t="n">
        <v>6</v>
      </c>
      <c r="Z61" s="6" t="n">
        <v>0</v>
      </c>
      <c r="AA61" s="6" t="n">
        <v>10</v>
      </c>
      <c r="AB61" s="6">
        <f>SUM(D61:AA61)</f>
        <v/>
      </c>
      <c r="AC61" s="3" t="inlineStr"/>
      <c r="AD61" s="7">
        <f>AA61*0.0122437846+D61*0.0122437846</f>
        <v/>
      </c>
      <c r="AE61" s="7">
        <f>D61*0.0122437846+E61*0.0122437846</f>
        <v/>
      </c>
      <c r="AF61" s="7">
        <f>E61*0.0122437846+F61*0.0122437846</f>
        <v/>
      </c>
      <c r="AG61" s="7">
        <f>F61*0.0122437846+G61*0.0122437846</f>
        <v/>
      </c>
      <c r="AH61" s="7">
        <f>G61*0.0122437846+H61*0.0122437846</f>
        <v/>
      </c>
      <c r="AI61" s="7">
        <f>H61*0.0122437846+I61*0.0122437846</f>
        <v/>
      </c>
      <c r="AJ61" s="7">
        <f>I61*0.0122437846+J61*0.0122437846</f>
        <v/>
      </c>
      <c r="AK61" s="7">
        <f>J61*0.0122437846+K61*0.0122437846</f>
        <v/>
      </c>
      <c r="AL61" s="7">
        <f>K61*0.0122437846+L61*0.0122437846</f>
        <v/>
      </c>
      <c r="AM61" s="7">
        <f>L61*0.0122437846+M61*0.0122437846</f>
        <v/>
      </c>
      <c r="AN61" s="7">
        <f>M61*0.0122437846+N61*0.0122437846</f>
        <v/>
      </c>
      <c r="AO61" s="7">
        <f>N61*0.0122437846+O61*0.0122437846</f>
        <v/>
      </c>
      <c r="AP61" s="7">
        <f>O61*0.0122437846+P61*0.0122437846</f>
        <v/>
      </c>
      <c r="AQ61" s="7">
        <f>P61*0.0122437846+Q61*0.0122437846</f>
        <v/>
      </c>
      <c r="AR61" s="7">
        <f>Q61*0.0122437846+R61*0.0122437846</f>
        <v/>
      </c>
      <c r="AS61" s="7">
        <f>R61*0.0122437846+S61*0.0122437846</f>
        <v/>
      </c>
      <c r="AT61" s="7">
        <f>S61*0.0122437846+T61*0.0122437846</f>
        <v/>
      </c>
      <c r="AU61" s="7">
        <f>T61*0.0122437846+U61*0.0122437846</f>
        <v/>
      </c>
      <c r="AV61" s="7">
        <f>U61*0.0122437846+V61*0.0122437846</f>
        <v/>
      </c>
      <c r="AW61" s="7">
        <f>V61*0.0122437846+W61*0.0122437846</f>
        <v/>
      </c>
      <c r="AX61" s="7">
        <f>W61*0.0122437846+X61*0.0122437846</f>
        <v/>
      </c>
      <c r="AY61" s="7">
        <f>X61*0.0122437846+Y61*0.0122437846</f>
        <v/>
      </c>
      <c r="AZ61" s="7">
        <f>Y61*0.0122437846+Z61*0.0122437846</f>
        <v/>
      </c>
      <c r="BA61" s="7">
        <f>Z61*0.0122437846+AA61*0.0122437846</f>
        <v/>
      </c>
      <c r="BB61" s="7">
        <f>SUM(AD61:BA61)</f>
        <v/>
      </c>
    </row>
    <row r="62">
      <c r="A62" t="inlineStr">
        <is>
          <t>AMD-INTRA-SSC</t>
        </is>
      </c>
      <c r="B62" t="inlineStr">
        <is>
          <t>Forward Regular OSC</t>
        </is>
      </c>
      <c r="C62" s="5" t="n">
        <v>46101</v>
      </c>
      <c r="D62" s="6" t="n">
        <v>9</v>
      </c>
      <c r="E62" s="6" t="n">
        <v>0</v>
      </c>
      <c r="F62" s="6" t="n">
        <v>2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0</v>
      </c>
      <c r="M62" s="6" t="n">
        <v>6</v>
      </c>
      <c r="N62" s="6" t="n">
        <v>0</v>
      </c>
      <c r="O62" s="6" t="n">
        <v>0</v>
      </c>
      <c r="P62" s="6" t="n">
        <v>0</v>
      </c>
      <c r="Q62" s="6" t="n">
        <v>9</v>
      </c>
      <c r="R62" s="6" t="n">
        <v>1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4</v>
      </c>
      <c r="Z62" s="6" t="n">
        <v>8</v>
      </c>
      <c r="AA62" s="6" t="n">
        <v>10</v>
      </c>
      <c r="AB62" s="6">
        <f>SUM(D62:AA62)</f>
        <v/>
      </c>
      <c r="AC62" s="3" t="inlineStr"/>
      <c r="AD62" s="7">
        <f>AA62*0.0122437846+D62*0.0122437846</f>
        <v/>
      </c>
      <c r="AE62" s="7">
        <f>D62*0.0122437846+E62*0.0122437846</f>
        <v/>
      </c>
      <c r="AF62" s="7">
        <f>E62*0.0122437846+F62*0.0122437846</f>
        <v/>
      </c>
      <c r="AG62" s="7">
        <f>F62*0.0122437846+G62*0.0122437846</f>
        <v/>
      </c>
      <c r="AH62" s="7">
        <f>G62*0.0122437846+H62*0.0122437846</f>
        <v/>
      </c>
      <c r="AI62" s="7">
        <f>H62*0.0122437846+I62*0.0122437846</f>
        <v/>
      </c>
      <c r="AJ62" s="7">
        <f>I62*0.0122437846+J62*0.0122437846</f>
        <v/>
      </c>
      <c r="AK62" s="7">
        <f>J62*0.0122437846+K62*0.0122437846</f>
        <v/>
      </c>
      <c r="AL62" s="7">
        <f>K62*0.0122437846+L62*0.0122437846</f>
        <v/>
      </c>
      <c r="AM62" s="7">
        <f>L62*0.0122437846+M62*0.0122437846</f>
        <v/>
      </c>
      <c r="AN62" s="7">
        <f>M62*0.0122437846+N62*0.0122437846</f>
        <v/>
      </c>
      <c r="AO62" s="7">
        <f>N62*0.0122437846+O62*0.0122437846</f>
        <v/>
      </c>
      <c r="AP62" s="7">
        <f>O62*0.0122437846+P62*0.0122437846</f>
        <v/>
      </c>
      <c r="AQ62" s="7">
        <f>P62*0.0122437846+Q62*0.0122437846</f>
        <v/>
      </c>
      <c r="AR62" s="7">
        <f>Q62*0.0122437846+R62*0.0122437846</f>
        <v/>
      </c>
      <c r="AS62" s="7">
        <f>R62*0.0122437846+S62*0.0122437846</f>
        <v/>
      </c>
      <c r="AT62" s="7">
        <f>S62*0.0122437846+T62*0.0122437846</f>
        <v/>
      </c>
      <c r="AU62" s="7">
        <f>T62*0.0122437846+U62*0.0122437846</f>
        <v/>
      </c>
      <c r="AV62" s="7">
        <f>U62*0.0122437846+V62*0.0122437846</f>
        <v/>
      </c>
      <c r="AW62" s="7">
        <f>V62*0.0122437846+W62*0.0122437846</f>
        <v/>
      </c>
      <c r="AX62" s="7">
        <f>W62*0.0122437846+X62*0.0122437846</f>
        <v/>
      </c>
      <c r="AY62" s="7">
        <f>X62*0.0122437846+Y62*0.0122437846</f>
        <v/>
      </c>
      <c r="AZ62" s="7">
        <f>Y62*0.0122437846+Z62*0.0122437846</f>
        <v/>
      </c>
      <c r="BA62" s="7">
        <f>Z62*0.0122437846+AA62*0.0122437846</f>
        <v/>
      </c>
      <c r="BB62" s="7">
        <f>SUM(AD62:BA62)</f>
        <v/>
      </c>
    </row>
    <row r="63">
      <c r="A63" t="inlineStr">
        <is>
          <t>AMD-INTRA-SSC</t>
        </is>
      </c>
      <c r="B63" t="inlineStr">
        <is>
          <t>Forward Regular OSC</t>
        </is>
      </c>
      <c r="C63" s="5" t="n">
        <v>46102</v>
      </c>
      <c r="D63" s="6" t="n">
        <v>7</v>
      </c>
      <c r="E63" s="6" t="n">
        <v>5</v>
      </c>
      <c r="F63" s="6" t="n">
        <v>5</v>
      </c>
      <c r="G63" s="6" t="n">
        <v>1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10</v>
      </c>
      <c r="N63" s="6" t="n">
        <v>0</v>
      </c>
      <c r="O63" s="6" t="n">
        <v>0</v>
      </c>
      <c r="P63" s="6" t="n">
        <v>0</v>
      </c>
      <c r="Q63" s="6" t="n">
        <v>0</v>
      </c>
      <c r="R63" s="6" t="n">
        <v>7</v>
      </c>
      <c r="S63" s="6" t="n">
        <v>0</v>
      </c>
      <c r="T63" s="6" t="n">
        <v>0</v>
      </c>
      <c r="U63" s="6" t="n">
        <v>0</v>
      </c>
      <c r="V63" s="6" t="n">
        <v>0</v>
      </c>
      <c r="W63" s="6" t="n">
        <v>0</v>
      </c>
      <c r="X63" s="6" t="n">
        <v>8</v>
      </c>
      <c r="Y63" s="6" t="n">
        <v>1</v>
      </c>
      <c r="Z63" s="6" t="n">
        <v>0</v>
      </c>
      <c r="AA63" s="6" t="n">
        <v>12</v>
      </c>
      <c r="AB63" s="6">
        <f>SUM(D63:AA63)</f>
        <v/>
      </c>
      <c r="AC63" s="3" t="inlineStr"/>
      <c r="AD63" s="7">
        <f>AA63*0.0122437846+D63*0.0122437846</f>
        <v/>
      </c>
      <c r="AE63" s="7">
        <f>D63*0.0122437846+E63*0.0122437846</f>
        <v/>
      </c>
      <c r="AF63" s="7">
        <f>E63*0.0122437846+F63*0.0122437846</f>
        <v/>
      </c>
      <c r="AG63" s="7">
        <f>F63*0.0122437846+G63*0.0122437846</f>
        <v/>
      </c>
      <c r="AH63" s="7">
        <f>G63*0.0122437846+H63*0.0122437846</f>
        <v/>
      </c>
      <c r="AI63" s="7">
        <f>H63*0.0122437846+I63*0.0122437846</f>
        <v/>
      </c>
      <c r="AJ63" s="7">
        <f>I63*0.0122437846+J63*0.0122437846</f>
        <v/>
      </c>
      <c r="AK63" s="7">
        <f>J63*0.0122437846+K63*0.0122437846</f>
        <v/>
      </c>
      <c r="AL63" s="7">
        <f>K63*0.0122437846+L63*0.0122437846</f>
        <v/>
      </c>
      <c r="AM63" s="7">
        <f>L63*0.0122437846+M63*0.0122437846</f>
        <v/>
      </c>
      <c r="AN63" s="7">
        <f>M63*0.0122437846+N63*0.0122437846</f>
        <v/>
      </c>
      <c r="AO63" s="7">
        <f>N63*0.0122437846+O63*0.0122437846</f>
        <v/>
      </c>
      <c r="AP63" s="7">
        <f>O63*0.0122437846+P63*0.0122437846</f>
        <v/>
      </c>
      <c r="AQ63" s="7">
        <f>P63*0.0122437846+Q63*0.0122437846</f>
        <v/>
      </c>
      <c r="AR63" s="7">
        <f>Q63*0.0122437846+R63*0.0122437846</f>
        <v/>
      </c>
      <c r="AS63" s="7">
        <f>R63*0.0122437846+S63*0.0122437846</f>
        <v/>
      </c>
      <c r="AT63" s="7">
        <f>S63*0.0122437846+T63*0.0122437846</f>
        <v/>
      </c>
      <c r="AU63" s="7">
        <f>T63*0.0122437846+U63*0.0122437846</f>
        <v/>
      </c>
      <c r="AV63" s="7">
        <f>U63*0.0122437846+V63*0.0122437846</f>
        <v/>
      </c>
      <c r="AW63" s="7">
        <f>V63*0.0122437846+W63*0.0122437846</f>
        <v/>
      </c>
      <c r="AX63" s="7">
        <f>W63*0.0122437846+X63*0.0122437846</f>
        <v/>
      </c>
      <c r="AY63" s="7">
        <f>X63*0.0122437846+Y63*0.0122437846</f>
        <v/>
      </c>
      <c r="AZ63" s="7">
        <f>Y63*0.0122437846+Z63*0.0122437846</f>
        <v/>
      </c>
      <c r="BA63" s="7">
        <f>Z63*0.0122437846+AA63*0.0122437846</f>
        <v/>
      </c>
      <c r="BB63" s="7">
        <f>SUM(AD63:BA63)</f>
        <v/>
      </c>
    </row>
    <row r="64">
      <c r="A64" t="inlineStr">
        <is>
          <t>AMD-INTRA-SSC</t>
        </is>
      </c>
      <c r="B64" t="inlineStr">
        <is>
          <t>Forward Regular OSC</t>
        </is>
      </c>
      <c r="C64" s="5" t="n">
        <v>46103</v>
      </c>
      <c r="D64" s="6" t="n">
        <v>7</v>
      </c>
      <c r="E64" s="6" t="n">
        <v>4</v>
      </c>
      <c r="F64" s="6" t="n">
        <v>3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0</v>
      </c>
      <c r="M64" s="6" t="n">
        <v>7</v>
      </c>
      <c r="N64" s="6" t="n">
        <v>12</v>
      </c>
      <c r="O64" s="6" t="n">
        <v>0</v>
      </c>
      <c r="P64" s="6" t="n">
        <v>0</v>
      </c>
      <c r="Q64" s="6" t="n">
        <v>5</v>
      </c>
      <c r="R64" s="6" t="n">
        <v>9</v>
      </c>
      <c r="S64" s="6" t="n">
        <v>0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9</v>
      </c>
      <c r="Y64" s="6" t="n">
        <v>0</v>
      </c>
      <c r="Z64" s="6" t="n">
        <v>7</v>
      </c>
      <c r="AA64" s="6" t="n">
        <v>9</v>
      </c>
      <c r="AB64" s="6">
        <f>SUM(D64:AA64)</f>
        <v/>
      </c>
      <c r="AC64" s="3" t="inlineStr"/>
      <c r="AD64" s="7">
        <f>AA64*0.0122437846+D64*0.0122437846</f>
        <v/>
      </c>
      <c r="AE64" s="7">
        <f>D64*0.0122437846+E64*0.0122437846</f>
        <v/>
      </c>
      <c r="AF64" s="7">
        <f>E64*0.0122437846+F64*0.0122437846</f>
        <v/>
      </c>
      <c r="AG64" s="7">
        <f>F64*0.0122437846+G64*0.0122437846</f>
        <v/>
      </c>
      <c r="AH64" s="7">
        <f>G64*0.0122437846+H64*0.0122437846</f>
        <v/>
      </c>
      <c r="AI64" s="7">
        <f>H64*0.0122437846+I64*0.0122437846</f>
        <v/>
      </c>
      <c r="AJ64" s="7">
        <f>I64*0.0122437846+J64*0.0122437846</f>
        <v/>
      </c>
      <c r="AK64" s="7">
        <f>J64*0.0122437846+K64*0.0122437846</f>
        <v/>
      </c>
      <c r="AL64" s="7">
        <f>K64*0.0122437846+L64*0.0122437846</f>
        <v/>
      </c>
      <c r="AM64" s="7">
        <f>L64*0.0122437846+M64*0.0122437846</f>
        <v/>
      </c>
      <c r="AN64" s="7">
        <f>M64*0.0122437846+N64*0.0122437846</f>
        <v/>
      </c>
      <c r="AO64" s="7">
        <f>N64*0.0122437846+O64*0.0122437846</f>
        <v/>
      </c>
      <c r="AP64" s="7">
        <f>O64*0.0122437846+P64*0.0122437846</f>
        <v/>
      </c>
      <c r="AQ64" s="7">
        <f>P64*0.0122437846+Q64*0.0122437846</f>
        <v/>
      </c>
      <c r="AR64" s="7">
        <f>Q64*0.0122437846+R64*0.0122437846</f>
        <v/>
      </c>
      <c r="AS64" s="7">
        <f>R64*0.0122437846+S64*0.0122437846</f>
        <v/>
      </c>
      <c r="AT64" s="7">
        <f>S64*0.0122437846+T64*0.0122437846</f>
        <v/>
      </c>
      <c r="AU64" s="7">
        <f>T64*0.0122437846+U64*0.0122437846</f>
        <v/>
      </c>
      <c r="AV64" s="7">
        <f>U64*0.0122437846+V64*0.0122437846</f>
        <v/>
      </c>
      <c r="AW64" s="7">
        <f>V64*0.0122437846+W64*0.0122437846</f>
        <v/>
      </c>
      <c r="AX64" s="7">
        <f>W64*0.0122437846+X64*0.0122437846</f>
        <v/>
      </c>
      <c r="AY64" s="7">
        <f>X64*0.0122437846+Y64*0.0122437846</f>
        <v/>
      </c>
      <c r="AZ64" s="7">
        <f>Y64*0.0122437846+Z64*0.0122437846</f>
        <v/>
      </c>
      <c r="BA64" s="7">
        <f>Z64*0.0122437846+AA64*0.0122437846</f>
        <v/>
      </c>
      <c r="BB64" s="7">
        <f>SUM(AD64:BA64)</f>
        <v/>
      </c>
    </row>
    <row r="65">
      <c r="A65" t="inlineStr">
        <is>
          <t>AMD-INTRA-SSC</t>
        </is>
      </c>
      <c r="B65" t="inlineStr">
        <is>
          <t>Forward Regular OSC</t>
        </is>
      </c>
      <c r="C65" s="5" t="n">
        <v>46104</v>
      </c>
      <c r="D65" s="6" t="n">
        <v>8</v>
      </c>
      <c r="E65" s="6" t="n">
        <v>11</v>
      </c>
      <c r="F65" s="6" t="n">
        <v>3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15</v>
      </c>
      <c r="N65" s="6" t="n">
        <v>0</v>
      </c>
      <c r="O65" s="6" t="n">
        <v>0</v>
      </c>
      <c r="P65" s="6" t="n">
        <v>0</v>
      </c>
      <c r="Q65" s="6" t="n">
        <v>3</v>
      </c>
      <c r="R65" s="6" t="n">
        <v>7</v>
      </c>
      <c r="S65" s="6" t="n">
        <v>0</v>
      </c>
      <c r="T65" s="6" t="n">
        <v>0</v>
      </c>
      <c r="U65" s="6" t="n">
        <v>0</v>
      </c>
      <c r="V65" s="6" t="n">
        <v>0</v>
      </c>
      <c r="W65" s="6" t="n">
        <v>0</v>
      </c>
      <c r="X65" s="6" t="n">
        <v>5</v>
      </c>
      <c r="Y65" s="6" t="n">
        <v>1</v>
      </c>
      <c r="Z65" s="6" t="n">
        <v>16</v>
      </c>
      <c r="AA65" s="6" t="n">
        <v>8</v>
      </c>
      <c r="AB65" s="6">
        <f>SUM(D65:AA65)</f>
        <v/>
      </c>
      <c r="AC65" s="3" t="inlineStr"/>
      <c r="AD65" s="7">
        <f>AA65*0.0122437846+D65*0.0122437846</f>
        <v/>
      </c>
      <c r="AE65" s="7">
        <f>D65*0.0122437846+E65*0.0122437846</f>
        <v/>
      </c>
      <c r="AF65" s="7">
        <f>E65*0.0122437846+F65*0.0122437846</f>
        <v/>
      </c>
      <c r="AG65" s="7">
        <f>F65*0.0122437846+G65*0.0122437846</f>
        <v/>
      </c>
      <c r="AH65" s="7">
        <f>G65*0.0122437846+H65*0.0122437846</f>
        <v/>
      </c>
      <c r="AI65" s="7">
        <f>H65*0.0122437846+I65*0.0122437846</f>
        <v/>
      </c>
      <c r="AJ65" s="7">
        <f>I65*0.0122437846+J65*0.0122437846</f>
        <v/>
      </c>
      <c r="AK65" s="7">
        <f>J65*0.0122437846+K65*0.0122437846</f>
        <v/>
      </c>
      <c r="AL65" s="7">
        <f>K65*0.0122437846+L65*0.0122437846</f>
        <v/>
      </c>
      <c r="AM65" s="7">
        <f>L65*0.0122437846+M65*0.0122437846</f>
        <v/>
      </c>
      <c r="AN65" s="7">
        <f>M65*0.0122437846+N65*0.0122437846</f>
        <v/>
      </c>
      <c r="AO65" s="7">
        <f>N65*0.0122437846+O65*0.0122437846</f>
        <v/>
      </c>
      <c r="AP65" s="7">
        <f>O65*0.0122437846+P65*0.0122437846</f>
        <v/>
      </c>
      <c r="AQ65" s="7">
        <f>P65*0.0122437846+Q65*0.0122437846</f>
        <v/>
      </c>
      <c r="AR65" s="7">
        <f>Q65*0.0122437846+R65*0.0122437846</f>
        <v/>
      </c>
      <c r="AS65" s="7">
        <f>R65*0.0122437846+S65*0.0122437846</f>
        <v/>
      </c>
      <c r="AT65" s="7">
        <f>S65*0.0122437846+T65*0.0122437846</f>
        <v/>
      </c>
      <c r="AU65" s="7">
        <f>T65*0.0122437846+U65*0.0122437846</f>
        <v/>
      </c>
      <c r="AV65" s="7">
        <f>U65*0.0122437846+V65*0.0122437846</f>
        <v/>
      </c>
      <c r="AW65" s="7">
        <f>V65*0.0122437846+W65*0.0122437846</f>
        <v/>
      </c>
      <c r="AX65" s="7">
        <f>W65*0.0122437846+X65*0.0122437846</f>
        <v/>
      </c>
      <c r="AY65" s="7">
        <f>X65*0.0122437846+Y65*0.0122437846</f>
        <v/>
      </c>
      <c r="AZ65" s="7">
        <f>Y65*0.0122437846+Z65*0.0122437846</f>
        <v/>
      </c>
      <c r="BA65" s="7">
        <f>Z65*0.0122437846+AA65*0.0122437846</f>
        <v/>
      </c>
      <c r="BB65" s="7">
        <f>SUM(AD65:BA65)</f>
        <v/>
      </c>
    </row>
    <row r="66">
      <c r="A66" t="inlineStr">
        <is>
          <t>AMD-INTRA-SSC</t>
        </is>
      </c>
      <c r="B66" t="inlineStr">
        <is>
          <t>Forward Regular OSC</t>
        </is>
      </c>
      <c r="C66" s="5" t="n">
        <v>46105</v>
      </c>
      <c r="D66" s="6" t="n">
        <v>8</v>
      </c>
      <c r="E66" s="6" t="n">
        <v>8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16</v>
      </c>
      <c r="N66" s="6" t="n">
        <v>1</v>
      </c>
      <c r="O66" s="6" t="n">
        <v>0</v>
      </c>
      <c r="P66" s="6" t="n">
        <v>0</v>
      </c>
      <c r="Q66" s="6" t="n">
        <v>6</v>
      </c>
      <c r="R66" s="6" t="n">
        <v>6</v>
      </c>
      <c r="S66" s="6" t="n">
        <v>0</v>
      </c>
      <c r="T66" s="6" t="n">
        <v>0</v>
      </c>
      <c r="U66" s="6" t="n">
        <v>0</v>
      </c>
      <c r="V66" s="6" t="n">
        <v>0</v>
      </c>
      <c r="W66" s="6" t="n">
        <v>0</v>
      </c>
      <c r="X66" s="6" t="n">
        <v>0</v>
      </c>
      <c r="Y66" s="6" t="n">
        <v>0</v>
      </c>
      <c r="Z66" s="6" t="n">
        <v>0</v>
      </c>
      <c r="AA66" s="6" t="n">
        <v>0</v>
      </c>
      <c r="AB66" s="6">
        <f>SUM(D66:AA66)</f>
        <v/>
      </c>
      <c r="AC66" s="3" t="inlineStr"/>
      <c r="AD66" s="7">
        <f>AA66*0.0122437846+D66*0.0122437846</f>
        <v/>
      </c>
      <c r="AE66" s="7">
        <f>D66*0.0122437846+E66*0.0122437846</f>
        <v/>
      </c>
      <c r="AF66" s="7">
        <f>E66*0.0122437846+F66*0.0122437846</f>
        <v/>
      </c>
      <c r="AG66" s="7">
        <f>F66*0.0122437846+G66*0.0122437846</f>
        <v/>
      </c>
      <c r="AH66" s="7">
        <f>G66*0.0122437846+H66*0.0122437846</f>
        <v/>
      </c>
      <c r="AI66" s="7">
        <f>H66*0.0122437846+I66*0.0122437846</f>
        <v/>
      </c>
      <c r="AJ66" s="7">
        <f>I66*0.0122437846+J66*0.0122437846</f>
        <v/>
      </c>
      <c r="AK66" s="7">
        <f>J66*0.0122437846+K66*0.0122437846</f>
        <v/>
      </c>
      <c r="AL66" s="7">
        <f>K66*0.0122437846+L66*0.0122437846</f>
        <v/>
      </c>
      <c r="AM66" s="7">
        <f>L66*0.0122437846+M66*0.0122437846</f>
        <v/>
      </c>
      <c r="AN66" s="7">
        <f>M66*0.0122437846+N66*0.0122437846</f>
        <v/>
      </c>
      <c r="AO66" s="7">
        <f>N66*0.0122437846+O66*0.0122437846</f>
        <v/>
      </c>
      <c r="AP66" s="7">
        <f>O66*0.0122437846+P66*0.0122437846</f>
        <v/>
      </c>
      <c r="AQ66" s="7">
        <f>P66*0.0122437846+Q66*0.0122437846</f>
        <v/>
      </c>
      <c r="AR66" s="7">
        <f>Q66*0.0122437846+R66*0.0122437846</f>
        <v/>
      </c>
      <c r="AS66" s="7">
        <f>R66*0.0122437846+S66*0.0122437846</f>
        <v/>
      </c>
      <c r="AT66" s="7">
        <f>S66*0.0122437846+T66*0.0122437846</f>
        <v/>
      </c>
      <c r="AU66" s="7">
        <f>T66*0.0122437846+U66*0.0122437846</f>
        <v/>
      </c>
      <c r="AV66" s="7">
        <f>U66*0.0122437846+V66*0.0122437846</f>
        <v/>
      </c>
      <c r="AW66" s="7">
        <f>V66*0.0122437846+W66*0.0122437846</f>
        <v/>
      </c>
      <c r="AX66" s="7">
        <f>W66*0.0122437846+X66*0.0122437846</f>
        <v/>
      </c>
      <c r="AY66" s="7">
        <f>X66*0.0122437846+Y66*0.0122437846</f>
        <v/>
      </c>
      <c r="AZ66" s="7">
        <f>Y66*0.0122437846+Z66*0.0122437846</f>
        <v/>
      </c>
      <c r="BA66" s="7">
        <f>Z66*0.0122437846+AA66*0.0122437846</f>
        <v/>
      </c>
      <c r="BB66" s="7">
        <f>SUM(AD66:BA66)</f>
        <v/>
      </c>
    </row>
    <row r="67">
      <c r="A67" t="inlineStr">
        <is>
          <t>AMD-M1</t>
        </is>
      </c>
      <c r="B67" t="inlineStr">
        <is>
          <t>Forward Regular OSC</t>
        </is>
      </c>
      <c r="C67" s="5" t="n">
        <v>46089</v>
      </c>
      <c r="D67" s="6" t="n">
        <v>67</v>
      </c>
      <c r="E67" s="6" t="n">
        <v>31</v>
      </c>
      <c r="F67" s="6" t="n">
        <v>51</v>
      </c>
      <c r="G67" s="6" t="n">
        <v>78</v>
      </c>
      <c r="H67" s="6" t="n">
        <v>78</v>
      </c>
      <c r="I67" s="6" t="n">
        <v>101</v>
      </c>
      <c r="J67" s="6" t="n">
        <v>56</v>
      </c>
      <c r="K67" s="6" t="n">
        <v>20</v>
      </c>
      <c r="L67" s="6" t="n">
        <v>0</v>
      </c>
      <c r="M67" s="6" t="n">
        <v>13</v>
      </c>
      <c r="N67" s="6" t="n">
        <v>53</v>
      </c>
      <c r="O67" s="6" t="n">
        <v>59</v>
      </c>
      <c r="P67" s="6" t="n">
        <v>82</v>
      </c>
      <c r="Q67" s="6" t="n">
        <v>17</v>
      </c>
      <c r="R67" s="6" t="n">
        <v>36</v>
      </c>
      <c r="S67" s="6" t="n">
        <v>89</v>
      </c>
      <c r="T67" s="6" t="n">
        <v>17</v>
      </c>
      <c r="U67" s="6" t="n">
        <v>0</v>
      </c>
      <c r="V67" s="6" t="n">
        <v>0</v>
      </c>
      <c r="W67" s="6" t="n">
        <v>4</v>
      </c>
      <c r="X67" s="6" t="n">
        <v>0</v>
      </c>
      <c r="Y67" s="6" t="n">
        <v>0</v>
      </c>
      <c r="Z67" s="6" t="n">
        <v>0</v>
      </c>
      <c r="AA67" s="6" t="n">
        <v>53</v>
      </c>
      <c r="AB67" s="6">
        <f>SUM(D67:AA67)</f>
        <v/>
      </c>
      <c r="AC67" s="3" t="inlineStr"/>
      <c r="AD67" s="7">
        <f>AA67*0.0122437846+D67*0.0122437846</f>
        <v/>
      </c>
      <c r="AE67" s="7">
        <f>D67*0.0122437846+E67*0.0122437846</f>
        <v/>
      </c>
      <c r="AF67" s="7">
        <f>E67*0.0122437846+F67*0.0122437846</f>
        <v/>
      </c>
      <c r="AG67" s="7">
        <f>F67*0.0122437846+G67*0.0122437846</f>
        <v/>
      </c>
      <c r="AH67" s="7">
        <f>G67*0.0122437846+H67*0.0122437846</f>
        <v/>
      </c>
      <c r="AI67" s="7">
        <f>H67*0.0122437846+I67*0.0122437846</f>
        <v/>
      </c>
      <c r="AJ67" s="7">
        <f>I67*0.0122437846+J67*0.0122437846</f>
        <v/>
      </c>
      <c r="AK67" s="7">
        <f>J67*0.0122437846+K67*0.0122437846</f>
        <v/>
      </c>
      <c r="AL67" s="7">
        <f>K67*0.0122437846+L67*0.0122437846</f>
        <v/>
      </c>
      <c r="AM67" s="7">
        <f>L67*0.0122437846+M67*0.0122437846</f>
        <v/>
      </c>
      <c r="AN67" s="7">
        <f>M67*0.0122437846+N67*0.0122437846</f>
        <v/>
      </c>
      <c r="AO67" s="7">
        <f>N67*0.0122437846+O67*0.0122437846</f>
        <v/>
      </c>
      <c r="AP67" s="7">
        <f>O67*0.0122437846+P67*0.0122437846</f>
        <v/>
      </c>
      <c r="AQ67" s="7">
        <f>P67*0.0122437846+Q67*0.0122437846</f>
        <v/>
      </c>
      <c r="AR67" s="7">
        <f>Q67*0.0122437846+R67*0.0122437846</f>
        <v/>
      </c>
      <c r="AS67" s="7">
        <f>R67*0.0122437846+S67*0.0122437846</f>
        <v/>
      </c>
      <c r="AT67" s="7">
        <f>S67*0.0122437846+T67*0.0122437846</f>
        <v/>
      </c>
      <c r="AU67" s="7">
        <f>T67*0.0122437846+U67*0.0122437846</f>
        <v/>
      </c>
      <c r="AV67" s="7">
        <f>U67*0.0122437846+V67*0.0122437846</f>
        <v/>
      </c>
      <c r="AW67" s="7">
        <f>V67*0.0122437846+W67*0.0122437846</f>
        <v/>
      </c>
      <c r="AX67" s="7">
        <f>W67*0.0122437846+X67*0.0122437846</f>
        <v/>
      </c>
      <c r="AY67" s="7">
        <f>X67*0.0122437846+Y67*0.0122437846</f>
        <v/>
      </c>
      <c r="AZ67" s="7">
        <f>Y67*0.0122437846+Z67*0.0122437846</f>
        <v/>
      </c>
      <c r="BA67" s="7">
        <f>Z67*0.0122437846+AA67*0.0122437846</f>
        <v/>
      </c>
      <c r="BB67" s="7">
        <f>SUM(AD67:BA67)</f>
        <v/>
      </c>
    </row>
    <row r="68">
      <c r="A68" t="inlineStr">
        <is>
          <t>AMD-M1</t>
        </is>
      </c>
      <c r="B68" t="inlineStr">
        <is>
          <t>Forward Regular OSC</t>
        </is>
      </c>
      <c r="C68" s="5" t="n">
        <v>46090</v>
      </c>
      <c r="D68" s="6" t="n">
        <v>71</v>
      </c>
      <c r="E68" s="6" t="n">
        <v>31</v>
      </c>
      <c r="F68" s="6" t="n">
        <v>66</v>
      </c>
      <c r="G68" s="6" t="n">
        <v>87</v>
      </c>
      <c r="H68" s="6" t="n">
        <v>12</v>
      </c>
      <c r="I68" s="6" t="n">
        <v>1</v>
      </c>
      <c r="J68" s="6" t="n">
        <v>0</v>
      </c>
      <c r="K68" s="6" t="n">
        <v>0</v>
      </c>
      <c r="L68" s="6" t="n">
        <v>11</v>
      </c>
      <c r="M68" s="6" t="n">
        <v>54</v>
      </c>
      <c r="N68" s="6" t="n">
        <v>42</v>
      </c>
      <c r="O68" s="6" t="n">
        <v>78</v>
      </c>
      <c r="P68" s="6" t="n">
        <v>29</v>
      </c>
      <c r="Q68" s="6" t="n">
        <v>97</v>
      </c>
      <c r="R68" s="6" t="n">
        <v>111</v>
      </c>
      <c r="S68" s="6" t="n">
        <v>120</v>
      </c>
      <c r="T68" s="6" t="n">
        <v>102</v>
      </c>
      <c r="U68" s="6" t="n">
        <v>5</v>
      </c>
      <c r="V68" s="6" t="n">
        <v>42</v>
      </c>
      <c r="W68" s="6" t="n">
        <v>43</v>
      </c>
      <c r="X68" s="6" t="n">
        <v>66</v>
      </c>
      <c r="Y68" s="6" t="n">
        <v>9</v>
      </c>
      <c r="Z68" s="6" t="n">
        <v>5</v>
      </c>
      <c r="AA68" s="6" t="n">
        <v>87</v>
      </c>
      <c r="AB68" s="6">
        <f>SUM(D68:AA68)</f>
        <v/>
      </c>
      <c r="AC68" s="3" t="inlineStr"/>
      <c r="AD68" s="7">
        <f>AA68*0.0122437846+D68*0.0122437846</f>
        <v/>
      </c>
      <c r="AE68" s="7">
        <f>D68*0.0122437846+E68*0.0122437846</f>
        <v/>
      </c>
      <c r="AF68" s="7">
        <f>E68*0.0122437846+F68*0.0122437846</f>
        <v/>
      </c>
      <c r="AG68" s="7">
        <f>F68*0.0122437846+G68*0.0122437846</f>
        <v/>
      </c>
      <c r="AH68" s="7">
        <f>G68*0.0122437846+H68*0.0122437846</f>
        <v/>
      </c>
      <c r="AI68" s="7">
        <f>H68*0.0122437846+I68*0.0122437846</f>
        <v/>
      </c>
      <c r="AJ68" s="7">
        <f>I68*0.0122437846+J68*0.0122437846</f>
        <v/>
      </c>
      <c r="AK68" s="7">
        <f>J68*0.0122437846+K68*0.0122437846</f>
        <v/>
      </c>
      <c r="AL68" s="7">
        <f>K68*0.0122437846+L68*0.0122437846</f>
        <v/>
      </c>
      <c r="AM68" s="7">
        <f>L68*0.0122437846+M68*0.0122437846</f>
        <v/>
      </c>
      <c r="AN68" s="7">
        <f>M68*0.0122437846+N68*0.0122437846</f>
        <v/>
      </c>
      <c r="AO68" s="7">
        <f>N68*0.0122437846+O68*0.0122437846</f>
        <v/>
      </c>
      <c r="AP68" s="7">
        <f>O68*0.0122437846+P68*0.0122437846</f>
        <v/>
      </c>
      <c r="AQ68" s="7">
        <f>P68*0.0122437846+Q68*0.0122437846</f>
        <v/>
      </c>
      <c r="AR68" s="7">
        <f>Q68*0.0122437846+R68*0.0122437846</f>
        <v/>
      </c>
      <c r="AS68" s="7">
        <f>R68*0.0122437846+S68*0.0122437846</f>
        <v/>
      </c>
      <c r="AT68" s="7">
        <f>S68*0.0122437846+T68*0.0122437846</f>
        <v/>
      </c>
      <c r="AU68" s="7">
        <f>T68*0.0122437846+U68*0.0122437846</f>
        <v/>
      </c>
      <c r="AV68" s="7">
        <f>U68*0.0122437846+V68*0.0122437846</f>
        <v/>
      </c>
      <c r="AW68" s="7">
        <f>V68*0.0122437846+W68*0.0122437846</f>
        <v/>
      </c>
      <c r="AX68" s="7">
        <f>W68*0.0122437846+X68*0.0122437846</f>
        <v/>
      </c>
      <c r="AY68" s="7">
        <f>X68*0.0122437846+Y68*0.0122437846</f>
        <v/>
      </c>
      <c r="AZ68" s="7">
        <f>Y68*0.0122437846+Z68*0.0122437846</f>
        <v/>
      </c>
      <c r="BA68" s="7">
        <f>Z68*0.0122437846+AA68*0.0122437846</f>
        <v/>
      </c>
      <c r="BB68" s="7">
        <f>SUM(AD68:BA68)</f>
        <v/>
      </c>
    </row>
    <row r="69">
      <c r="A69" t="inlineStr">
        <is>
          <t>AMD-M1</t>
        </is>
      </c>
      <c r="B69" t="inlineStr">
        <is>
          <t>Forward Regular OSC</t>
        </is>
      </c>
      <c r="C69" s="5" t="n">
        <v>46091</v>
      </c>
      <c r="D69" s="6" t="n">
        <v>77</v>
      </c>
      <c r="E69" s="6" t="n">
        <v>29</v>
      </c>
      <c r="F69" s="6" t="n">
        <v>86</v>
      </c>
      <c r="G69" s="6" t="n">
        <v>137</v>
      </c>
      <c r="H69" s="6" t="n">
        <v>71</v>
      </c>
      <c r="I69" s="6" t="n">
        <v>131</v>
      </c>
      <c r="J69" s="6" t="n">
        <v>18</v>
      </c>
      <c r="K69" s="6" t="n">
        <v>9</v>
      </c>
      <c r="L69" s="6" t="n">
        <v>73</v>
      </c>
      <c r="M69" s="6" t="n">
        <v>63</v>
      </c>
      <c r="N69" s="6" t="n">
        <v>98</v>
      </c>
      <c r="O69" s="6" t="n">
        <v>88</v>
      </c>
      <c r="P69" s="6" t="n">
        <v>64</v>
      </c>
      <c r="Q69" s="6" t="n">
        <v>139</v>
      </c>
      <c r="R69" s="6" t="n">
        <v>185</v>
      </c>
      <c r="S69" s="6" t="n">
        <v>166</v>
      </c>
      <c r="T69" s="6" t="n">
        <v>52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3</v>
      </c>
      <c r="Z69" s="6" t="n">
        <v>1</v>
      </c>
      <c r="AA69" s="6" t="n">
        <v>91</v>
      </c>
      <c r="AB69" s="6">
        <f>SUM(D69:AA69)</f>
        <v/>
      </c>
      <c r="AC69" s="3" t="inlineStr"/>
      <c r="AD69" s="7">
        <f>AA69*0.0122437846+D69*0.0122437846</f>
        <v/>
      </c>
      <c r="AE69" s="7">
        <f>D69*0.0122437846+E69*0.0122437846</f>
        <v/>
      </c>
      <c r="AF69" s="7">
        <f>E69*0.0122437846+F69*0.0122437846</f>
        <v/>
      </c>
      <c r="AG69" s="7">
        <f>F69*0.0122437846+G69*0.0122437846</f>
        <v/>
      </c>
      <c r="AH69" s="7">
        <f>G69*0.0122437846+H69*0.0122437846</f>
        <v/>
      </c>
      <c r="AI69" s="7">
        <f>H69*0.0122437846+I69*0.0122437846</f>
        <v/>
      </c>
      <c r="AJ69" s="7">
        <f>I69*0.0122437846+J69*0.0122437846</f>
        <v/>
      </c>
      <c r="AK69" s="7">
        <f>J69*0.0122437846+K69*0.0122437846</f>
        <v/>
      </c>
      <c r="AL69" s="7">
        <f>K69*0.0122437846+L69*0.0122437846</f>
        <v/>
      </c>
      <c r="AM69" s="7">
        <f>L69*0.0122437846+M69*0.0122437846</f>
        <v/>
      </c>
      <c r="AN69" s="7">
        <f>M69*0.0122437846+N69*0.0122437846</f>
        <v/>
      </c>
      <c r="AO69" s="7">
        <f>N69*0.0122437846+O69*0.0122437846</f>
        <v/>
      </c>
      <c r="AP69" s="7">
        <f>O69*0.0122437846+P69*0.0122437846</f>
        <v/>
      </c>
      <c r="AQ69" s="7">
        <f>P69*0.0122437846+Q69*0.0122437846</f>
        <v/>
      </c>
      <c r="AR69" s="7">
        <f>Q69*0.0122437846+R69*0.0122437846</f>
        <v/>
      </c>
      <c r="AS69" s="7">
        <f>R69*0.0122437846+S69*0.0122437846</f>
        <v/>
      </c>
      <c r="AT69" s="7">
        <f>S69*0.0122437846+T69*0.0122437846</f>
        <v/>
      </c>
      <c r="AU69" s="7">
        <f>T69*0.0122437846+U69*0.0122437846</f>
        <v/>
      </c>
      <c r="AV69" s="7">
        <f>U69*0.0122437846+V69*0.0122437846</f>
        <v/>
      </c>
      <c r="AW69" s="7">
        <f>V69*0.0122437846+W69*0.0122437846</f>
        <v/>
      </c>
      <c r="AX69" s="7">
        <f>W69*0.0122437846+X69*0.0122437846</f>
        <v/>
      </c>
      <c r="AY69" s="7">
        <f>X69*0.0122437846+Y69*0.0122437846</f>
        <v/>
      </c>
      <c r="AZ69" s="7">
        <f>Y69*0.0122437846+Z69*0.0122437846</f>
        <v/>
      </c>
      <c r="BA69" s="7">
        <f>Z69*0.0122437846+AA69*0.0122437846</f>
        <v/>
      </c>
      <c r="BB69" s="7">
        <f>SUM(AD69:BA69)</f>
        <v/>
      </c>
    </row>
    <row r="70">
      <c r="A70" t="inlineStr">
        <is>
          <t>AMD-M1</t>
        </is>
      </c>
      <c r="B70" t="inlineStr">
        <is>
          <t>Forward Regular OSC</t>
        </is>
      </c>
      <c r="C70" s="5" t="n">
        <v>46092</v>
      </c>
      <c r="D70" s="6" t="n">
        <v>108</v>
      </c>
      <c r="E70" s="6" t="n">
        <v>37</v>
      </c>
      <c r="F70" s="6" t="n">
        <v>111</v>
      </c>
      <c r="G70" s="6" t="n">
        <v>142</v>
      </c>
      <c r="H70" s="6" t="n">
        <v>91</v>
      </c>
      <c r="I70" s="6" t="n">
        <v>146</v>
      </c>
      <c r="J70" s="6" t="n">
        <v>52</v>
      </c>
      <c r="K70" s="6" t="n">
        <v>4</v>
      </c>
      <c r="L70" s="6" t="n">
        <v>0</v>
      </c>
      <c r="M70" s="6" t="n">
        <v>17</v>
      </c>
      <c r="N70" s="6" t="n">
        <v>71</v>
      </c>
      <c r="O70" s="6" t="n">
        <v>79</v>
      </c>
      <c r="P70" s="6" t="n">
        <v>2</v>
      </c>
      <c r="Q70" s="6" t="n">
        <v>16</v>
      </c>
      <c r="R70" s="6" t="n">
        <v>54</v>
      </c>
      <c r="S70" s="6" t="n">
        <v>25</v>
      </c>
      <c r="T70" s="6" t="n">
        <v>0</v>
      </c>
      <c r="U70" s="6" t="n">
        <v>0</v>
      </c>
      <c r="V70" s="6" t="n">
        <v>0</v>
      </c>
      <c r="W70" s="6" t="n">
        <v>0</v>
      </c>
      <c r="X70" s="6" t="n">
        <v>0</v>
      </c>
      <c r="Y70" s="6" t="n">
        <v>0</v>
      </c>
      <c r="Z70" s="6" t="n">
        <v>2</v>
      </c>
      <c r="AA70" s="6" t="n">
        <v>87</v>
      </c>
      <c r="AB70" s="6">
        <f>SUM(D70:AA70)</f>
        <v/>
      </c>
      <c r="AC70" s="3" t="inlineStr"/>
      <c r="AD70" s="7">
        <f>AA70*0.0122437846+D70*0.0122437846</f>
        <v/>
      </c>
      <c r="AE70" s="7">
        <f>D70*0.0122437846+E70*0.0122437846</f>
        <v/>
      </c>
      <c r="AF70" s="7">
        <f>E70*0.0122437846+F70*0.0122437846</f>
        <v/>
      </c>
      <c r="AG70" s="7">
        <f>F70*0.0122437846+G70*0.0122437846</f>
        <v/>
      </c>
      <c r="AH70" s="7">
        <f>G70*0.0122437846+H70*0.0122437846</f>
        <v/>
      </c>
      <c r="AI70" s="7">
        <f>H70*0.0122437846+I70*0.0122437846</f>
        <v/>
      </c>
      <c r="AJ70" s="7">
        <f>I70*0.0122437846+J70*0.0122437846</f>
        <v/>
      </c>
      <c r="AK70" s="7">
        <f>J70*0.0122437846+K70*0.0122437846</f>
        <v/>
      </c>
      <c r="AL70" s="7">
        <f>K70*0.0122437846+L70*0.0122437846</f>
        <v/>
      </c>
      <c r="AM70" s="7">
        <f>L70*0.0122437846+M70*0.0122437846</f>
        <v/>
      </c>
      <c r="AN70" s="7">
        <f>M70*0.0122437846+N70*0.0122437846</f>
        <v/>
      </c>
      <c r="AO70" s="7">
        <f>N70*0.0122437846+O70*0.0122437846</f>
        <v/>
      </c>
      <c r="AP70" s="7">
        <f>O70*0.0122437846+P70*0.0122437846</f>
        <v/>
      </c>
      <c r="AQ70" s="7">
        <f>P70*0.0122437846+Q70*0.0122437846</f>
        <v/>
      </c>
      <c r="AR70" s="7">
        <f>Q70*0.0122437846+R70*0.0122437846</f>
        <v/>
      </c>
      <c r="AS70" s="7">
        <f>R70*0.0122437846+S70*0.0122437846</f>
        <v/>
      </c>
      <c r="AT70" s="7">
        <f>S70*0.0122437846+T70*0.0122437846</f>
        <v/>
      </c>
      <c r="AU70" s="7">
        <f>T70*0.0122437846+U70*0.0122437846</f>
        <v/>
      </c>
      <c r="AV70" s="7">
        <f>U70*0.0122437846+V70*0.0122437846</f>
        <v/>
      </c>
      <c r="AW70" s="7">
        <f>V70*0.0122437846+W70*0.0122437846</f>
        <v/>
      </c>
      <c r="AX70" s="7">
        <f>W70*0.0122437846+X70*0.0122437846</f>
        <v/>
      </c>
      <c r="AY70" s="7">
        <f>X70*0.0122437846+Y70*0.0122437846</f>
        <v/>
      </c>
      <c r="AZ70" s="7">
        <f>Y70*0.0122437846+Z70*0.0122437846</f>
        <v/>
      </c>
      <c r="BA70" s="7">
        <f>Z70*0.0122437846+AA70*0.0122437846</f>
        <v/>
      </c>
      <c r="BB70" s="7">
        <f>SUM(AD70:BA70)</f>
        <v/>
      </c>
    </row>
    <row r="71">
      <c r="A71" t="inlineStr">
        <is>
          <t>AMD-M1</t>
        </is>
      </c>
      <c r="B71" t="inlineStr">
        <is>
          <t>Forward Regular OSC</t>
        </is>
      </c>
      <c r="C71" s="5" t="n">
        <v>46093</v>
      </c>
      <c r="D71" s="6" t="n">
        <v>86</v>
      </c>
      <c r="E71" s="6" t="n">
        <v>39</v>
      </c>
      <c r="F71" s="6" t="n">
        <v>72</v>
      </c>
      <c r="G71" s="6" t="n">
        <v>105</v>
      </c>
      <c r="H71" s="6" t="n">
        <v>77</v>
      </c>
      <c r="I71" s="6" t="n">
        <v>114</v>
      </c>
      <c r="J71" s="6" t="n">
        <v>46</v>
      </c>
      <c r="K71" s="6" t="n">
        <v>0</v>
      </c>
      <c r="L71" s="6" t="n">
        <v>0</v>
      </c>
      <c r="M71" s="6" t="n">
        <v>18</v>
      </c>
      <c r="N71" s="6" t="n">
        <v>36</v>
      </c>
      <c r="O71" s="6" t="n">
        <v>81</v>
      </c>
      <c r="P71" s="6" t="n">
        <v>5</v>
      </c>
      <c r="Q71" s="6" t="n">
        <v>0</v>
      </c>
      <c r="R71" s="6" t="n">
        <v>0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9</v>
      </c>
      <c r="Z71" s="6" t="n">
        <v>10</v>
      </c>
      <c r="AA71" s="6" t="n">
        <v>57</v>
      </c>
      <c r="AB71" s="6">
        <f>SUM(D71:AA71)</f>
        <v/>
      </c>
      <c r="AC71" s="3" t="inlineStr"/>
      <c r="AD71" s="7">
        <f>AA71*0.0122437846+D71*0.0122437846</f>
        <v/>
      </c>
      <c r="AE71" s="7">
        <f>D71*0.0122437846+E71*0.0122437846</f>
        <v/>
      </c>
      <c r="AF71" s="7">
        <f>E71*0.0122437846+F71*0.0122437846</f>
        <v/>
      </c>
      <c r="AG71" s="7">
        <f>F71*0.0122437846+G71*0.0122437846</f>
        <v/>
      </c>
      <c r="AH71" s="7">
        <f>G71*0.0122437846+H71*0.0122437846</f>
        <v/>
      </c>
      <c r="AI71" s="7">
        <f>H71*0.0122437846+I71*0.0122437846</f>
        <v/>
      </c>
      <c r="AJ71" s="7">
        <f>I71*0.0122437846+J71*0.0122437846</f>
        <v/>
      </c>
      <c r="AK71" s="7">
        <f>J71*0.0122437846+K71*0.0122437846</f>
        <v/>
      </c>
      <c r="AL71" s="7">
        <f>K71*0.0122437846+L71*0.0122437846</f>
        <v/>
      </c>
      <c r="AM71" s="7">
        <f>L71*0.0122437846+M71*0.0122437846</f>
        <v/>
      </c>
      <c r="AN71" s="7">
        <f>M71*0.0122437846+N71*0.0122437846</f>
        <v/>
      </c>
      <c r="AO71" s="7">
        <f>N71*0.0122437846+O71*0.0122437846</f>
        <v/>
      </c>
      <c r="AP71" s="7">
        <f>O71*0.0122437846+P71*0.0122437846</f>
        <v/>
      </c>
      <c r="AQ71" s="7">
        <f>P71*0.0122437846+Q71*0.0122437846</f>
        <v/>
      </c>
      <c r="AR71" s="7">
        <f>Q71*0.0122437846+R71*0.0122437846</f>
        <v/>
      </c>
      <c r="AS71" s="7">
        <f>R71*0.0122437846+S71*0.0122437846</f>
        <v/>
      </c>
      <c r="AT71" s="7">
        <f>S71*0.0122437846+T71*0.0122437846</f>
        <v/>
      </c>
      <c r="AU71" s="7">
        <f>T71*0.0122437846+U71*0.0122437846</f>
        <v/>
      </c>
      <c r="AV71" s="7">
        <f>U71*0.0122437846+V71*0.0122437846</f>
        <v/>
      </c>
      <c r="AW71" s="7">
        <f>V71*0.0122437846+W71*0.0122437846</f>
        <v/>
      </c>
      <c r="AX71" s="7">
        <f>W71*0.0122437846+X71*0.0122437846</f>
        <v/>
      </c>
      <c r="AY71" s="7">
        <f>X71*0.0122437846+Y71*0.0122437846</f>
        <v/>
      </c>
      <c r="AZ71" s="7">
        <f>Y71*0.0122437846+Z71*0.0122437846</f>
        <v/>
      </c>
      <c r="BA71" s="7">
        <f>Z71*0.0122437846+AA71*0.0122437846</f>
        <v/>
      </c>
      <c r="BB71" s="7">
        <f>SUM(AD71:BA71)</f>
        <v/>
      </c>
    </row>
    <row r="72">
      <c r="A72" t="inlineStr">
        <is>
          <t>AMD-M1</t>
        </is>
      </c>
      <c r="B72" t="inlineStr">
        <is>
          <t>Forward Regular OSC</t>
        </is>
      </c>
      <c r="C72" s="5" t="n">
        <v>46094</v>
      </c>
      <c r="D72" s="6" t="n">
        <v>93</v>
      </c>
      <c r="E72" s="6" t="n">
        <v>38</v>
      </c>
      <c r="F72" s="6" t="n">
        <v>73</v>
      </c>
      <c r="G72" s="6" t="n">
        <v>124</v>
      </c>
      <c r="H72" s="6" t="n">
        <v>128</v>
      </c>
      <c r="I72" s="6" t="n">
        <v>91</v>
      </c>
      <c r="J72" s="6" t="n">
        <v>8</v>
      </c>
      <c r="K72" s="6" t="n">
        <v>0</v>
      </c>
      <c r="L72" s="6" t="n">
        <v>0</v>
      </c>
      <c r="M72" s="6" t="n">
        <v>20</v>
      </c>
      <c r="N72" s="6" t="n">
        <v>30</v>
      </c>
      <c r="O72" s="6" t="n">
        <v>80</v>
      </c>
      <c r="P72" s="6" t="n">
        <v>77</v>
      </c>
      <c r="Q72" s="6" t="n">
        <v>3</v>
      </c>
      <c r="R72" s="6" t="n">
        <v>2</v>
      </c>
      <c r="S72" s="6" t="n">
        <v>1</v>
      </c>
      <c r="T72" s="6" t="n">
        <v>0</v>
      </c>
      <c r="U72" s="6" t="n">
        <v>0</v>
      </c>
      <c r="V72" s="6" t="n">
        <v>0</v>
      </c>
      <c r="W72" s="6" t="n">
        <v>0</v>
      </c>
      <c r="X72" s="6" t="n">
        <v>0</v>
      </c>
      <c r="Y72" s="6" t="n">
        <v>6</v>
      </c>
      <c r="Z72" s="6" t="n">
        <v>0</v>
      </c>
      <c r="AA72" s="6" t="n">
        <v>65</v>
      </c>
      <c r="AB72" s="6">
        <f>SUM(D72:AA72)</f>
        <v/>
      </c>
      <c r="AC72" s="3" t="inlineStr"/>
      <c r="AD72" s="7">
        <f>AA72*0.0122437846+D72*0.0122437846</f>
        <v/>
      </c>
      <c r="AE72" s="7">
        <f>D72*0.0122437846+E72*0.0122437846</f>
        <v/>
      </c>
      <c r="AF72" s="7">
        <f>E72*0.0122437846+F72*0.0122437846</f>
        <v/>
      </c>
      <c r="AG72" s="7">
        <f>F72*0.0122437846+G72*0.0122437846</f>
        <v/>
      </c>
      <c r="AH72" s="7">
        <f>G72*0.0122437846+H72*0.0122437846</f>
        <v/>
      </c>
      <c r="AI72" s="7">
        <f>H72*0.0122437846+I72*0.0122437846</f>
        <v/>
      </c>
      <c r="AJ72" s="7">
        <f>I72*0.0122437846+J72*0.0122437846</f>
        <v/>
      </c>
      <c r="AK72" s="7">
        <f>J72*0.0122437846+K72*0.0122437846</f>
        <v/>
      </c>
      <c r="AL72" s="7">
        <f>K72*0.0122437846+L72*0.0122437846</f>
        <v/>
      </c>
      <c r="AM72" s="7">
        <f>L72*0.0122437846+M72*0.0122437846</f>
        <v/>
      </c>
      <c r="AN72" s="7">
        <f>M72*0.0122437846+N72*0.0122437846</f>
        <v/>
      </c>
      <c r="AO72" s="7">
        <f>N72*0.0122437846+O72*0.0122437846</f>
        <v/>
      </c>
      <c r="AP72" s="7">
        <f>O72*0.0122437846+P72*0.0122437846</f>
        <v/>
      </c>
      <c r="AQ72" s="7">
        <f>P72*0.0122437846+Q72*0.0122437846</f>
        <v/>
      </c>
      <c r="AR72" s="7">
        <f>Q72*0.0122437846+R72*0.0122437846</f>
        <v/>
      </c>
      <c r="AS72" s="7">
        <f>R72*0.0122437846+S72*0.0122437846</f>
        <v/>
      </c>
      <c r="AT72" s="7">
        <f>S72*0.0122437846+T72*0.0122437846</f>
        <v/>
      </c>
      <c r="AU72" s="7">
        <f>T72*0.0122437846+U72*0.0122437846</f>
        <v/>
      </c>
      <c r="AV72" s="7">
        <f>U72*0.0122437846+V72*0.0122437846</f>
        <v/>
      </c>
      <c r="AW72" s="7">
        <f>V72*0.0122437846+W72*0.0122437846</f>
        <v/>
      </c>
      <c r="AX72" s="7">
        <f>W72*0.0122437846+X72*0.0122437846</f>
        <v/>
      </c>
      <c r="AY72" s="7">
        <f>X72*0.0122437846+Y72*0.0122437846</f>
        <v/>
      </c>
      <c r="AZ72" s="7">
        <f>Y72*0.0122437846+Z72*0.0122437846</f>
        <v/>
      </c>
      <c r="BA72" s="7">
        <f>Z72*0.0122437846+AA72*0.0122437846</f>
        <v/>
      </c>
      <c r="BB72" s="7">
        <f>SUM(AD72:BA72)</f>
        <v/>
      </c>
    </row>
    <row r="73">
      <c r="A73" t="inlineStr">
        <is>
          <t>AMD-M1</t>
        </is>
      </c>
      <c r="B73" t="inlineStr">
        <is>
          <t>Forward Regular OSC</t>
        </is>
      </c>
      <c r="C73" s="5" t="n">
        <v>46095</v>
      </c>
      <c r="D73" s="6" t="n">
        <v>107</v>
      </c>
      <c r="E73" s="6" t="n">
        <v>25</v>
      </c>
      <c r="F73" s="6" t="n">
        <v>83</v>
      </c>
      <c r="G73" s="6" t="n">
        <v>115</v>
      </c>
      <c r="H73" s="6" t="n">
        <v>83</v>
      </c>
      <c r="I73" s="6" t="n">
        <v>88</v>
      </c>
      <c r="J73" s="6" t="n">
        <v>5</v>
      </c>
      <c r="K73" s="6" t="n">
        <v>3</v>
      </c>
      <c r="L73" s="6" t="n">
        <v>0</v>
      </c>
      <c r="M73" s="6" t="n">
        <v>10</v>
      </c>
      <c r="N73" s="6" t="n">
        <v>50</v>
      </c>
      <c r="O73" s="6" t="n">
        <v>47</v>
      </c>
      <c r="P73" s="6" t="n">
        <v>103</v>
      </c>
      <c r="Q73" s="6" t="n">
        <v>16</v>
      </c>
      <c r="R73" s="6" t="n">
        <v>0</v>
      </c>
      <c r="S73" s="6" t="n">
        <v>0</v>
      </c>
      <c r="T73" s="6" t="n">
        <v>0</v>
      </c>
      <c r="U73" s="6" t="n">
        <v>0</v>
      </c>
      <c r="V73" s="6" t="n">
        <v>0</v>
      </c>
      <c r="W73" s="6" t="n">
        <v>0</v>
      </c>
      <c r="X73" s="6" t="n">
        <v>2</v>
      </c>
      <c r="Y73" s="6" t="n">
        <v>0</v>
      </c>
      <c r="Z73" s="6" t="n">
        <v>2</v>
      </c>
      <c r="AA73" s="6" t="n">
        <v>104</v>
      </c>
      <c r="AB73" s="6">
        <f>SUM(D73:AA73)</f>
        <v/>
      </c>
      <c r="AC73" s="3" t="inlineStr"/>
      <c r="AD73" s="7">
        <f>AA73*0.0122437846+D73*0.0122437846</f>
        <v/>
      </c>
      <c r="AE73" s="7">
        <f>D73*0.0122437846+E73*0.0122437846</f>
        <v/>
      </c>
      <c r="AF73" s="7">
        <f>E73*0.0122437846+F73*0.0122437846</f>
        <v/>
      </c>
      <c r="AG73" s="7">
        <f>F73*0.0122437846+G73*0.0122437846</f>
        <v/>
      </c>
      <c r="AH73" s="7">
        <f>G73*0.0122437846+H73*0.0122437846</f>
        <v/>
      </c>
      <c r="AI73" s="7">
        <f>H73*0.0122437846+I73*0.0122437846</f>
        <v/>
      </c>
      <c r="AJ73" s="7">
        <f>I73*0.0122437846+J73*0.0122437846</f>
        <v/>
      </c>
      <c r="AK73" s="7">
        <f>J73*0.0122437846+K73*0.0122437846</f>
        <v/>
      </c>
      <c r="AL73" s="7">
        <f>K73*0.0122437846+L73*0.0122437846</f>
        <v/>
      </c>
      <c r="AM73" s="7">
        <f>L73*0.0122437846+M73*0.0122437846</f>
        <v/>
      </c>
      <c r="AN73" s="7">
        <f>M73*0.0122437846+N73*0.0122437846</f>
        <v/>
      </c>
      <c r="AO73" s="7">
        <f>N73*0.0122437846+O73*0.0122437846</f>
        <v/>
      </c>
      <c r="AP73" s="7">
        <f>O73*0.0122437846+P73*0.0122437846</f>
        <v/>
      </c>
      <c r="AQ73" s="7">
        <f>P73*0.0122437846+Q73*0.0122437846</f>
        <v/>
      </c>
      <c r="AR73" s="7">
        <f>Q73*0.0122437846+R73*0.0122437846</f>
        <v/>
      </c>
      <c r="AS73" s="7">
        <f>R73*0.0122437846+S73*0.0122437846</f>
        <v/>
      </c>
      <c r="AT73" s="7">
        <f>S73*0.0122437846+T73*0.0122437846</f>
        <v/>
      </c>
      <c r="AU73" s="7">
        <f>T73*0.0122437846+U73*0.0122437846</f>
        <v/>
      </c>
      <c r="AV73" s="7">
        <f>U73*0.0122437846+V73*0.0122437846</f>
        <v/>
      </c>
      <c r="AW73" s="7">
        <f>V73*0.0122437846+W73*0.0122437846</f>
        <v/>
      </c>
      <c r="AX73" s="7">
        <f>W73*0.0122437846+X73*0.0122437846</f>
        <v/>
      </c>
      <c r="AY73" s="7">
        <f>X73*0.0122437846+Y73*0.0122437846</f>
        <v/>
      </c>
      <c r="AZ73" s="7">
        <f>Y73*0.0122437846+Z73*0.0122437846</f>
        <v/>
      </c>
      <c r="BA73" s="7">
        <f>Z73*0.0122437846+AA73*0.0122437846</f>
        <v/>
      </c>
      <c r="BB73" s="7">
        <f>SUM(AD73:BA73)</f>
        <v/>
      </c>
    </row>
    <row r="74">
      <c r="A74" t="inlineStr">
        <is>
          <t>AMD-M1</t>
        </is>
      </c>
      <c r="B74" t="inlineStr">
        <is>
          <t>Forward Regular OSC</t>
        </is>
      </c>
      <c r="C74" s="5" t="n">
        <v>46096</v>
      </c>
      <c r="D74" s="6" t="n">
        <v>97</v>
      </c>
      <c r="E74" s="6" t="n">
        <v>42</v>
      </c>
      <c r="F74" s="6" t="n">
        <v>78</v>
      </c>
      <c r="G74" s="6" t="n">
        <v>182</v>
      </c>
      <c r="H74" s="6" t="n">
        <v>29</v>
      </c>
      <c r="I74" s="6" t="n">
        <v>8</v>
      </c>
      <c r="J74" s="6" t="n">
        <v>5</v>
      </c>
      <c r="K74" s="6" t="n">
        <v>0</v>
      </c>
      <c r="L74" s="6" t="n">
        <v>6</v>
      </c>
      <c r="M74" s="6" t="n">
        <v>19</v>
      </c>
      <c r="N74" s="6" t="n">
        <v>54</v>
      </c>
      <c r="O74" s="6" t="n">
        <v>111</v>
      </c>
      <c r="P74" s="6" t="n">
        <v>27</v>
      </c>
      <c r="Q74" s="6" t="n">
        <v>0</v>
      </c>
      <c r="R74" s="6" t="n">
        <v>0</v>
      </c>
      <c r="S74" s="6" t="n">
        <v>0</v>
      </c>
      <c r="T74" s="6" t="n">
        <v>0</v>
      </c>
      <c r="U74" s="6" t="n">
        <v>0</v>
      </c>
      <c r="V74" s="6" t="n">
        <v>0</v>
      </c>
      <c r="W74" s="6" t="n">
        <v>0</v>
      </c>
      <c r="X74" s="6" t="n">
        <v>0</v>
      </c>
      <c r="Y74" s="6" t="n">
        <v>2</v>
      </c>
      <c r="Z74" s="6" t="n">
        <v>0</v>
      </c>
      <c r="AA74" s="6" t="n">
        <v>40</v>
      </c>
      <c r="AB74" s="6">
        <f>SUM(D74:AA74)</f>
        <v/>
      </c>
      <c r="AC74" s="3" t="inlineStr"/>
      <c r="AD74" s="7">
        <f>AA74*0.0122437846+D74*0.0122437846</f>
        <v/>
      </c>
      <c r="AE74" s="7">
        <f>D74*0.0122437846+E74*0.0122437846</f>
        <v/>
      </c>
      <c r="AF74" s="7">
        <f>E74*0.0122437846+F74*0.0122437846</f>
        <v/>
      </c>
      <c r="AG74" s="7">
        <f>F74*0.0122437846+G74*0.0122437846</f>
        <v/>
      </c>
      <c r="AH74" s="7">
        <f>G74*0.0122437846+H74*0.0122437846</f>
        <v/>
      </c>
      <c r="AI74" s="7">
        <f>H74*0.0122437846+I74*0.0122437846</f>
        <v/>
      </c>
      <c r="AJ74" s="7">
        <f>I74*0.0122437846+J74*0.0122437846</f>
        <v/>
      </c>
      <c r="AK74" s="7">
        <f>J74*0.0122437846+K74*0.0122437846</f>
        <v/>
      </c>
      <c r="AL74" s="7">
        <f>K74*0.0122437846+L74*0.0122437846</f>
        <v/>
      </c>
      <c r="AM74" s="7">
        <f>L74*0.0122437846+M74*0.0122437846</f>
        <v/>
      </c>
      <c r="AN74" s="7">
        <f>M74*0.0122437846+N74*0.0122437846</f>
        <v/>
      </c>
      <c r="AO74" s="7">
        <f>N74*0.0122437846+O74*0.0122437846</f>
        <v/>
      </c>
      <c r="AP74" s="7">
        <f>O74*0.0122437846+P74*0.0122437846</f>
        <v/>
      </c>
      <c r="AQ74" s="7">
        <f>P74*0.0122437846+Q74*0.0122437846</f>
        <v/>
      </c>
      <c r="AR74" s="7">
        <f>Q74*0.0122437846+R74*0.0122437846</f>
        <v/>
      </c>
      <c r="AS74" s="7">
        <f>R74*0.0122437846+S74*0.0122437846</f>
        <v/>
      </c>
      <c r="AT74" s="7">
        <f>S74*0.0122437846+T74*0.0122437846</f>
        <v/>
      </c>
      <c r="AU74" s="7">
        <f>T74*0.0122437846+U74*0.0122437846</f>
        <v/>
      </c>
      <c r="AV74" s="7">
        <f>U74*0.0122437846+V74*0.0122437846</f>
        <v/>
      </c>
      <c r="AW74" s="7">
        <f>V74*0.0122437846+W74*0.0122437846</f>
        <v/>
      </c>
      <c r="AX74" s="7">
        <f>W74*0.0122437846+X74*0.0122437846</f>
        <v/>
      </c>
      <c r="AY74" s="7">
        <f>X74*0.0122437846+Y74*0.0122437846</f>
        <v/>
      </c>
      <c r="AZ74" s="7">
        <f>Y74*0.0122437846+Z74*0.0122437846</f>
        <v/>
      </c>
      <c r="BA74" s="7">
        <f>Z74*0.0122437846+AA74*0.0122437846</f>
        <v/>
      </c>
      <c r="BB74" s="7">
        <f>SUM(AD74:BA74)</f>
        <v/>
      </c>
    </row>
    <row r="75">
      <c r="A75" t="inlineStr">
        <is>
          <t>AMD-M1</t>
        </is>
      </c>
      <c r="B75" t="inlineStr">
        <is>
          <t>Forward Regular OSC</t>
        </is>
      </c>
      <c r="C75" s="5" t="n">
        <v>46097</v>
      </c>
      <c r="D75" s="6" t="n">
        <v>101</v>
      </c>
      <c r="E75" s="6" t="n">
        <v>31</v>
      </c>
      <c r="F75" s="6" t="n">
        <v>88</v>
      </c>
      <c r="G75" s="6" t="n">
        <v>133</v>
      </c>
      <c r="H75" s="6" t="n">
        <v>43</v>
      </c>
      <c r="I75" s="6" t="n">
        <v>1</v>
      </c>
      <c r="J75" s="6" t="n">
        <v>6</v>
      </c>
      <c r="K75" s="6" t="n">
        <v>0</v>
      </c>
      <c r="L75" s="6" t="n">
        <v>0</v>
      </c>
      <c r="M75" s="6" t="n">
        <v>28</v>
      </c>
      <c r="N75" s="6" t="n">
        <v>88</v>
      </c>
      <c r="O75" s="6" t="n">
        <v>13</v>
      </c>
      <c r="P75" s="6" t="n">
        <v>0</v>
      </c>
      <c r="Q75" s="6" t="n">
        <v>0</v>
      </c>
      <c r="R75" s="6" t="n">
        <v>0</v>
      </c>
      <c r="S75" s="6" t="n">
        <v>0</v>
      </c>
      <c r="T75" s="6" t="n">
        <v>0</v>
      </c>
      <c r="U75" s="6" t="n">
        <v>0</v>
      </c>
      <c r="V75" s="6" t="n">
        <v>0</v>
      </c>
      <c r="W75" s="6" t="n">
        <v>0</v>
      </c>
      <c r="X75" s="6" t="n">
        <v>0</v>
      </c>
      <c r="Y75" s="6" t="n">
        <v>6</v>
      </c>
      <c r="Z75" s="6" t="n">
        <v>0</v>
      </c>
      <c r="AA75" s="6" t="n">
        <v>0</v>
      </c>
      <c r="AB75" s="6">
        <f>SUM(D75:AA75)</f>
        <v/>
      </c>
      <c r="AC75" s="3" t="inlineStr"/>
      <c r="AD75" s="7">
        <f>AA75*0.0122437846+D75*0.0122437846</f>
        <v/>
      </c>
      <c r="AE75" s="7">
        <f>D75*0.0122437846+E75*0.0122437846</f>
        <v/>
      </c>
      <c r="AF75" s="7">
        <f>E75*0.0122437846+F75*0.0122437846</f>
        <v/>
      </c>
      <c r="AG75" s="7">
        <f>F75*0.0122437846+G75*0.0122437846</f>
        <v/>
      </c>
      <c r="AH75" s="7">
        <f>G75*0.0122437846+H75*0.0122437846</f>
        <v/>
      </c>
      <c r="AI75" s="7">
        <f>H75*0.0122437846+I75*0.0122437846</f>
        <v/>
      </c>
      <c r="AJ75" s="7">
        <f>I75*0.0122437846+J75*0.0122437846</f>
        <v/>
      </c>
      <c r="AK75" s="7">
        <f>J75*0.0122437846+K75*0.0122437846</f>
        <v/>
      </c>
      <c r="AL75" s="7">
        <f>K75*0.0122437846+L75*0.0122437846</f>
        <v/>
      </c>
      <c r="AM75" s="7">
        <f>L75*0.0122437846+M75*0.0122437846</f>
        <v/>
      </c>
      <c r="AN75" s="7">
        <f>M75*0.0122437846+N75*0.0122437846</f>
        <v/>
      </c>
      <c r="AO75" s="7">
        <f>N75*0.0122437846+O75*0.0122437846</f>
        <v/>
      </c>
      <c r="AP75" s="7">
        <f>O75*0.0122437846+P75*0.0122437846</f>
        <v/>
      </c>
      <c r="AQ75" s="7">
        <f>P75*0.0122437846+Q75*0.0122437846</f>
        <v/>
      </c>
      <c r="AR75" s="7">
        <f>Q75*0.0122437846+R75*0.0122437846</f>
        <v/>
      </c>
      <c r="AS75" s="7">
        <f>R75*0.0122437846+S75*0.0122437846</f>
        <v/>
      </c>
      <c r="AT75" s="7">
        <f>S75*0.0122437846+T75*0.0122437846</f>
        <v/>
      </c>
      <c r="AU75" s="7">
        <f>T75*0.0122437846+U75*0.0122437846</f>
        <v/>
      </c>
      <c r="AV75" s="7">
        <f>U75*0.0122437846+V75*0.0122437846</f>
        <v/>
      </c>
      <c r="AW75" s="7">
        <f>V75*0.0122437846+W75*0.0122437846</f>
        <v/>
      </c>
      <c r="AX75" s="7">
        <f>W75*0.0122437846+X75*0.0122437846</f>
        <v/>
      </c>
      <c r="AY75" s="7">
        <f>X75*0.0122437846+Y75*0.0122437846</f>
        <v/>
      </c>
      <c r="AZ75" s="7">
        <f>Y75*0.0122437846+Z75*0.0122437846</f>
        <v/>
      </c>
      <c r="BA75" s="7">
        <f>Z75*0.0122437846+AA75*0.0122437846</f>
        <v/>
      </c>
      <c r="BB75" s="7">
        <f>SUM(AD75:BA75)</f>
        <v/>
      </c>
    </row>
    <row r="76">
      <c r="A76" t="inlineStr">
        <is>
          <t>AMD-M2</t>
        </is>
      </c>
      <c r="B76" t="inlineStr">
        <is>
          <t>Forward Regular OSC</t>
        </is>
      </c>
      <c r="C76" s="5" t="n">
        <v>46089</v>
      </c>
      <c r="D76" s="6" t="n">
        <v>223</v>
      </c>
      <c r="E76" s="6" t="n">
        <v>73</v>
      </c>
      <c r="F76" s="6" t="n">
        <v>202</v>
      </c>
      <c r="G76" s="6" t="n">
        <v>186</v>
      </c>
      <c r="H76" s="6" t="n">
        <v>192</v>
      </c>
      <c r="I76" s="6" t="n">
        <v>214</v>
      </c>
      <c r="J76" s="6" t="n">
        <v>119</v>
      </c>
      <c r="K76" s="6" t="n">
        <v>1</v>
      </c>
      <c r="L76" s="6" t="n">
        <v>133</v>
      </c>
      <c r="M76" s="6" t="n">
        <v>210</v>
      </c>
      <c r="N76" s="6" t="n">
        <v>286</v>
      </c>
      <c r="O76" s="6" t="n">
        <v>254</v>
      </c>
      <c r="P76" s="6" t="n">
        <v>95</v>
      </c>
      <c r="Q76" s="6" t="n">
        <v>170</v>
      </c>
      <c r="R76" s="6" t="n">
        <v>274</v>
      </c>
      <c r="S76" s="6" t="n">
        <v>175</v>
      </c>
      <c r="T76" s="6" t="n">
        <v>59</v>
      </c>
      <c r="U76" s="6" t="n">
        <v>0</v>
      </c>
      <c r="V76" s="6" t="n">
        <v>0</v>
      </c>
      <c r="W76" s="6" t="n">
        <v>0</v>
      </c>
      <c r="X76" s="6" t="n">
        <v>0</v>
      </c>
      <c r="Y76" s="6" t="n">
        <v>0</v>
      </c>
      <c r="Z76" s="6" t="n">
        <v>2</v>
      </c>
      <c r="AA76" s="6" t="n">
        <v>162</v>
      </c>
      <c r="AB76" s="6">
        <f>SUM(D76:AA76)</f>
        <v/>
      </c>
      <c r="AC76" s="3" t="inlineStr"/>
      <c r="AD76" s="7">
        <f>AA76*0.0122437846+D76*0.0122437846</f>
        <v/>
      </c>
      <c r="AE76" s="7">
        <f>D76*0.0122437846+E76*0.0122437846</f>
        <v/>
      </c>
      <c r="AF76" s="7">
        <f>E76*0.0122437846+F76*0.0122437846</f>
        <v/>
      </c>
      <c r="AG76" s="7">
        <f>F76*0.0122437846+G76*0.0122437846</f>
        <v/>
      </c>
      <c r="AH76" s="7">
        <f>G76*0.0122437846+H76*0.0122437846</f>
        <v/>
      </c>
      <c r="AI76" s="7">
        <f>H76*0.0122437846+I76*0.0122437846</f>
        <v/>
      </c>
      <c r="AJ76" s="7">
        <f>I76*0.0122437846+J76*0.0122437846</f>
        <v/>
      </c>
      <c r="AK76" s="7">
        <f>J76*0.0122437846+K76*0.0122437846</f>
        <v/>
      </c>
      <c r="AL76" s="7">
        <f>K76*0.0122437846+L76*0.0122437846</f>
        <v/>
      </c>
      <c r="AM76" s="7">
        <f>L76*0.0122437846+M76*0.0122437846</f>
        <v/>
      </c>
      <c r="AN76" s="7">
        <f>M76*0.0122437846+N76*0.0122437846</f>
        <v/>
      </c>
      <c r="AO76" s="7">
        <f>N76*0.0122437846+O76*0.0122437846</f>
        <v/>
      </c>
      <c r="AP76" s="7">
        <f>O76*0.0122437846+P76*0.0122437846</f>
        <v/>
      </c>
      <c r="AQ76" s="7">
        <f>P76*0.0122437846+Q76*0.0122437846</f>
        <v/>
      </c>
      <c r="AR76" s="7">
        <f>Q76*0.0122437846+R76*0.0122437846</f>
        <v/>
      </c>
      <c r="AS76" s="7">
        <f>R76*0.0122437846+S76*0.0122437846</f>
        <v/>
      </c>
      <c r="AT76" s="7">
        <f>S76*0.0122437846+T76*0.0122437846</f>
        <v/>
      </c>
      <c r="AU76" s="7">
        <f>T76*0.0122437846+U76*0.0122437846</f>
        <v/>
      </c>
      <c r="AV76" s="7">
        <f>U76*0.0122437846+V76*0.0122437846</f>
        <v/>
      </c>
      <c r="AW76" s="7">
        <f>V76*0.0122437846+W76*0.0122437846</f>
        <v/>
      </c>
      <c r="AX76" s="7">
        <f>W76*0.0122437846+X76*0.0122437846</f>
        <v/>
      </c>
      <c r="AY76" s="7">
        <f>X76*0.0122437846+Y76*0.0122437846</f>
        <v/>
      </c>
      <c r="AZ76" s="7">
        <f>Y76*0.0122437846+Z76*0.0122437846</f>
        <v/>
      </c>
      <c r="BA76" s="7">
        <f>Z76*0.0122437846+AA76*0.0122437846</f>
        <v/>
      </c>
      <c r="BB76" s="7">
        <f>SUM(AD76:BA76)</f>
        <v/>
      </c>
    </row>
    <row r="77">
      <c r="A77" t="inlineStr">
        <is>
          <t>AMD-M2</t>
        </is>
      </c>
      <c r="B77" t="inlineStr">
        <is>
          <t>Forward Regular OSC</t>
        </is>
      </c>
      <c r="C77" s="5" t="n">
        <v>46090</v>
      </c>
      <c r="D77" s="6" t="n">
        <v>165</v>
      </c>
      <c r="E77" s="6" t="n">
        <v>61</v>
      </c>
      <c r="F77" s="6" t="n">
        <v>146</v>
      </c>
      <c r="G77" s="6" t="n">
        <v>225</v>
      </c>
      <c r="H77" s="6" t="n">
        <v>158</v>
      </c>
      <c r="I77" s="6" t="n">
        <v>158</v>
      </c>
      <c r="J77" s="6" t="n">
        <v>147</v>
      </c>
      <c r="K77" s="6" t="n">
        <v>186</v>
      </c>
      <c r="L77" s="6" t="n">
        <v>296</v>
      </c>
      <c r="M77" s="6" t="n">
        <v>235</v>
      </c>
      <c r="N77" s="6" t="n">
        <v>303</v>
      </c>
      <c r="O77" s="6" t="n">
        <v>310</v>
      </c>
      <c r="P77" s="6" t="n">
        <v>125</v>
      </c>
      <c r="Q77" s="6" t="n">
        <v>218</v>
      </c>
      <c r="R77" s="6" t="n">
        <v>250</v>
      </c>
      <c r="S77" s="6" t="n">
        <v>251</v>
      </c>
      <c r="T77" s="6" t="n">
        <v>253</v>
      </c>
      <c r="U77" s="6" t="n">
        <v>38</v>
      </c>
      <c r="V77" s="6" t="n">
        <v>75</v>
      </c>
      <c r="W77" s="6" t="n">
        <v>51</v>
      </c>
      <c r="X77" s="6" t="n">
        <v>5</v>
      </c>
      <c r="Y77" s="6" t="n">
        <v>0</v>
      </c>
      <c r="Z77" s="6" t="n">
        <v>25</v>
      </c>
      <c r="AA77" s="6" t="n">
        <v>390</v>
      </c>
      <c r="AB77" s="6">
        <f>SUM(D77:AA77)</f>
        <v/>
      </c>
      <c r="AC77" s="3" t="inlineStr"/>
      <c r="AD77" s="7">
        <f>AA77*0.0122437846+D77*0.0122437846</f>
        <v/>
      </c>
      <c r="AE77" s="7">
        <f>D77*0.0122437846+E77*0.0122437846</f>
        <v/>
      </c>
      <c r="AF77" s="7">
        <f>E77*0.0122437846+F77*0.0122437846</f>
        <v/>
      </c>
      <c r="AG77" s="7">
        <f>F77*0.0122437846+G77*0.0122437846</f>
        <v/>
      </c>
      <c r="AH77" s="7">
        <f>G77*0.0122437846+H77*0.0122437846</f>
        <v/>
      </c>
      <c r="AI77" s="7">
        <f>H77*0.0122437846+I77*0.0122437846</f>
        <v/>
      </c>
      <c r="AJ77" s="7">
        <f>I77*0.0122437846+J77*0.0122437846</f>
        <v/>
      </c>
      <c r="AK77" s="7">
        <f>J77*0.0122437846+K77*0.0122437846</f>
        <v/>
      </c>
      <c r="AL77" s="7">
        <f>K77*0.0122437846+L77*0.0122437846</f>
        <v/>
      </c>
      <c r="AM77" s="7">
        <f>L77*0.0122437846+M77*0.0122437846</f>
        <v/>
      </c>
      <c r="AN77" s="7">
        <f>M77*0.0122437846+N77*0.0122437846</f>
        <v/>
      </c>
      <c r="AO77" s="7">
        <f>N77*0.0122437846+O77*0.0122437846</f>
        <v/>
      </c>
      <c r="AP77" s="7">
        <f>O77*0.0122437846+P77*0.0122437846</f>
        <v/>
      </c>
      <c r="AQ77" s="7">
        <f>P77*0.0122437846+Q77*0.0122437846</f>
        <v/>
      </c>
      <c r="AR77" s="7">
        <f>Q77*0.0122437846+R77*0.0122437846</f>
        <v/>
      </c>
      <c r="AS77" s="7">
        <f>R77*0.0122437846+S77*0.0122437846</f>
        <v/>
      </c>
      <c r="AT77" s="7">
        <f>S77*0.0122437846+T77*0.0122437846</f>
        <v/>
      </c>
      <c r="AU77" s="7">
        <f>T77*0.0122437846+U77*0.0122437846</f>
        <v/>
      </c>
      <c r="AV77" s="7">
        <f>U77*0.0122437846+V77*0.0122437846</f>
        <v/>
      </c>
      <c r="AW77" s="7">
        <f>V77*0.0122437846+W77*0.0122437846</f>
        <v/>
      </c>
      <c r="AX77" s="7">
        <f>W77*0.0122437846+X77*0.0122437846</f>
        <v/>
      </c>
      <c r="AY77" s="7">
        <f>X77*0.0122437846+Y77*0.0122437846</f>
        <v/>
      </c>
      <c r="AZ77" s="7">
        <f>Y77*0.0122437846+Z77*0.0122437846</f>
        <v/>
      </c>
      <c r="BA77" s="7">
        <f>Z77*0.0122437846+AA77*0.0122437846</f>
        <v/>
      </c>
      <c r="BB77" s="7">
        <f>SUM(AD77:BA77)</f>
        <v/>
      </c>
    </row>
    <row r="78">
      <c r="A78" t="inlineStr">
        <is>
          <t>AMD-M2</t>
        </is>
      </c>
      <c r="B78" t="inlineStr">
        <is>
          <t>Forward Regular OSC</t>
        </is>
      </c>
      <c r="C78" s="5" t="n">
        <v>46091</v>
      </c>
      <c r="D78" s="6" t="n">
        <v>377</v>
      </c>
      <c r="E78" s="6" t="n">
        <v>248</v>
      </c>
      <c r="F78" s="6" t="n">
        <v>246</v>
      </c>
      <c r="G78" s="6" t="n">
        <v>397</v>
      </c>
      <c r="H78" s="6" t="n">
        <v>266</v>
      </c>
      <c r="I78" s="6" t="n">
        <v>278</v>
      </c>
      <c r="J78" s="6" t="n">
        <v>215</v>
      </c>
      <c r="K78" s="6" t="n">
        <v>120</v>
      </c>
      <c r="L78" s="6" t="n">
        <v>294</v>
      </c>
      <c r="M78" s="6" t="n">
        <v>263</v>
      </c>
      <c r="N78" s="6" t="n">
        <v>315</v>
      </c>
      <c r="O78" s="6" t="n">
        <v>299</v>
      </c>
      <c r="P78" s="6" t="n">
        <v>105</v>
      </c>
      <c r="Q78" s="6" t="n">
        <v>305</v>
      </c>
      <c r="R78" s="6" t="n">
        <v>318</v>
      </c>
      <c r="S78" s="6" t="n">
        <v>348</v>
      </c>
      <c r="T78" s="6" t="n">
        <v>407</v>
      </c>
      <c r="U78" s="6" t="n">
        <v>10</v>
      </c>
      <c r="V78" s="6" t="n">
        <v>149</v>
      </c>
      <c r="W78" s="6" t="n">
        <v>122</v>
      </c>
      <c r="X78" s="6" t="n">
        <v>22</v>
      </c>
      <c r="Y78" s="6" t="n">
        <v>0</v>
      </c>
      <c r="Z78" s="6" t="n">
        <v>6</v>
      </c>
      <c r="AA78" s="6" t="n">
        <v>326</v>
      </c>
      <c r="AB78" s="6">
        <f>SUM(D78:AA78)</f>
        <v/>
      </c>
      <c r="AC78" s="3" t="inlineStr"/>
      <c r="AD78" s="7">
        <f>AA78*0.0122437846+D78*0.0122437846</f>
        <v/>
      </c>
      <c r="AE78" s="7">
        <f>D78*0.0122437846+E78*0.0122437846</f>
        <v/>
      </c>
      <c r="AF78" s="7">
        <f>E78*0.0122437846+F78*0.0122437846</f>
        <v/>
      </c>
      <c r="AG78" s="7">
        <f>F78*0.0122437846+G78*0.0122437846</f>
        <v/>
      </c>
      <c r="AH78" s="7">
        <f>G78*0.0122437846+H78*0.0122437846</f>
        <v/>
      </c>
      <c r="AI78" s="7">
        <f>H78*0.0122437846+I78*0.0122437846</f>
        <v/>
      </c>
      <c r="AJ78" s="7">
        <f>I78*0.0122437846+J78*0.0122437846</f>
        <v/>
      </c>
      <c r="AK78" s="7">
        <f>J78*0.0122437846+K78*0.0122437846</f>
        <v/>
      </c>
      <c r="AL78" s="7">
        <f>K78*0.0122437846+L78*0.0122437846</f>
        <v/>
      </c>
      <c r="AM78" s="7">
        <f>L78*0.0122437846+M78*0.0122437846</f>
        <v/>
      </c>
      <c r="AN78" s="7">
        <f>M78*0.0122437846+N78*0.0122437846</f>
        <v/>
      </c>
      <c r="AO78" s="7">
        <f>N78*0.0122437846+O78*0.0122437846</f>
        <v/>
      </c>
      <c r="AP78" s="7">
        <f>O78*0.0122437846+P78*0.0122437846</f>
        <v/>
      </c>
      <c r="AQ78" s="7">
        <f>P78*0.0122437846+Q78*0.0122437846</f>
        <v/>
      </c>
      <c r="AR78" s="7">
        <f>Q78*0.0122437846+R78*0.0122437846</f>
        <v/>
      </c>
      <c r="AS78" s="7">
        <f>R78*0.0122437846+S78*0.0122437846</f>
        <v/>
      </c>
      <c r="AT78" s="7">
        <f>S78*0.0122437846+T78*0.0122437846</f>
        <v/>
      </c>
      <c r="AU78" s="7">
        <f>T78*0.0122437846+U78*0.0122437846</f>
        <v/>
      </c>
      <c r="AV78" s="7">
        <f>U78*0.0122437846+V78*0.0122437846</f>
        <v/>
      </c>
      <c r="AW78" s="7">
        <f>V78*0.0122437846+W78*0.0122437846</f>
        <v/>
      </c>
      <c r="AX78" s="7">
        <f>W78*0.0122437846+X78*0.0122437846</f>
        <v/>
      </c>
      <c r="AY78" s="7">
        <f>X78*0.0122437846+Y78*0.0122437846</f>
        <v/>
      </c>
      <c r="AZ78" s="7">
        <f>Y78*0.0122437846+Z78*0.0122437846</f>
        <v/>
      </c>
      <c r="BA78" s="7">
        <f>Z78*0.0122437846+AA78*0.0122437846</f>
        <v/>
      </c>
      <c r="BB78" s="7">
        <f>SUM(AD78:BA78)</f>
        <v/>
      </c>
    </row>
    <row r="79">
      <c r="A79" t="inlineStr">
        <is>
          <t>AMD-M2</t>
        </is>
      </c>
      <c r="B79" t="inlineStr">
        <is>
          <t>Forward Regular OSC</t>
        </is>
      </c>
      <c r="C79" s="5" t="n">
        <v>46092</v>
      </c>
      <c r="D79" s="6" t="n">
        <v>284</v>
      </c>
      <c r="E79" s="6" t="n">
        <v>160</v>
      </c>
      <c r="F79" s="6" t="n">
        <v>304</v>
      </c>
      <c r="G79" s="6" t="n">
        <v>401</v>
      </c>
      <c r="H79" s="6" t="n">
        <v>218</v>
      </c>
      <c r="I79" s="6" t="n">
        <v>326</v>
      </c>
      <c r="J79" s="6" t="n">
        <v>249</v>
      </c>
      <c r="K79" s="6" t="n">
        <v>44</v>
      </c>
      <c r="L79" s="6" t="n">
        <v>419</v>
      </c>
      <c r="M79" s="6" t="n">
        <v>212</v>
      </c>
      <c r="N79" s="6" t="n">
        <v>401</v>
      </c>
      <c r="O79" s="6" t="n">
        <v>353</v>
      </c>
      <c r="P79" s="6" t="n">
        <v>111</v>
      </c>
      <c r="Q79" s="6" t="n">
        <v>187</v>
      </c>
      <c r="R79" s="6" t="n">
        <v>311</v>
      </c>
      <c r="S79" s="6" t="n">
        <v>256</v>
      </c>
      <c r="T79" s="6" t="n">
        <v>52</v>
      </c>
      <c r="U79" s="6" t="n">
        <v>0</v>
      </c>
      <c r="V79" s="6" t="n">
        <v>0</v>
      </c>
      <c r="W79" s="6" t="n">
        <v>0</v>
      </c>
      <c r="X79" s="6" t="n">
        <v>0</v>
      </c>
      <c r="Y79" s="6" t="n">
        <v>0</v>
      </c>
      <c r="Z79" s="6" t="n">
        <v>0</v>
      </c>
      <c r="AA79" s="6" t="n">
        <v>350</v>
      </c>
      <c r="AB79" s="6">
        <f>SUM(D79:AA79)</f>
        <v/>
      </c>
      <c r="AC79" s="3" t="inlineStr"/>
      <c r="AD79" s="7">
        <f>AA79*0.0122437846+D79*0.0122437846</f>
        <v/>
      </c>
      <c r="AE79" s="7">
        <f>D79*0.0122437846+E79*0.0122437846</f>
        <v/>
      </c>
      <c r="AF79" s="7">
        <f>E79*0.0122437846+F79*0.0122437846</f>
        <v/>
      </c>
      <c r="AG79" s="7">
        <f>F79*0.0122437846+G79*0.0122437846</f>
        <v/>
      </c>
      <c r="AH79" s="7">
        <f>G79*0.0122437846+H79*0.0122437846</f>
        <v/>
      </c>
      <c r="AI79" s="7">
        <f>H79*0.0122437846+I79*0.0122437846</f>
        <v/>
      </c>
      <c r="AJ79" s="7">
        <f>I79*0.0122437846+J79*0.0122437846</f>
        <v/>
      </c>
      <c r="AK79" s="7">
        <f>J79*0.0122437846+K79*0.0122437846</f>
        <v/>
      </c>
      <c r="AL79" s="7">
        <f>K79*0.0122437846+L79*0.0122437846</f>
        <v/>
      </c>
      <c r="AM79" s="7">
        <f>L79*0.0122437846+M79*0.0122437846</f>
        <v/>
      </c>
      <c r="AN79" s="7">
        <f>M79*0.0122437846+N79*0.0122437846</f>
        <v/>
      </c>
      <c r="AO79" s="7">
        <f>N79*0.0122437846+O79*0.0122437846</f>
        <v/>
      </c>
      <c r="AP79" s="7">
        <f>O79*0.0122437846+P79*0.0122437846</f>
        <v/>
      </c>
      <c r="AQ79" s="7">
        <f>P79*0.0122437846+Q79*0.0122437846</f>
        <v/>
      </c>
      <c r="AR79" s="7">
        <f>Q79*0.0122437846+R79*0.0122437846</f>
        <v/>
      </c>
      <c r="AS79" s="7">
        <f>R79*0.0122437846+S79*0.0122437846</f>
        <v/>
      </c>
      <c r="AT79" s="7">
        <f>S79*0.0122437846+T79*0.0122437846</f>
        <v/>
      </c>
      <c r="AU79" s="7">
        <f>T79*0.0122437846+U79*0.0122437846</f>
        <v/>
      </c>
      <c r="AV79" s="7">
        <f>U79*0.0122437846+V79*0.0122437846</f>
        <v/>
      </c>
      <c r="AW79" s="7">
        <f>V79*0.0122437846+W79*0.0122437846</f>
        <v/>
      </c>
      <c r="AX79" s="7">
        <f>W79*0.0122437846+X79*0.0122437846</f>
        <v/>
      </c>
      <c r="AY79" s="7">
        <f>X79*0.0122437846+Y79*0.0122437846</f>
        <v/>
      </c>
      <c r="AZ79" s="7">
        <f>Y79*0.0122437846+Z79*0.0122437846</f>
        <v/>
      </c>
      <c r="BA79" s="7">
        <f>Z79*0.0122437846+AA79*0.0122437846</f>
        <v/>
      </c>
      <c r="BB79" s="7">
        <f>SUM(AD79:BA79)</f>
        <v/>
      </c>
    </row>
    <row r="80">
      <c r="A80" t="inlineStr">
        <is>
          <t>AMD-M2</t>
        </is>
      </c>
      <c r="B80" t="inlineStr">
        <is>
          <t>Forward Regular OSC</t>
        </is>
      </c>
      <c r="C80" s="5" t="n">
        <v>46093</v>
      </c>
      <c r="D80" s="6" t="n">
        <v>334</v>
      </c>
      <c r="E80" s="6" t="n">
        <v>114</v>
      </c>
      <c r="F80" s="6" t="n">
        <v>249</v>
      </c>
      <c r="G80" s="6" t="n">
        <v>355</v>
      </c>
      <c r="H80" s="6" t="n">
        <v>200</v>
      </c>
      <c r="I80" s="6" t="n">
        <v>210</v>
      </c>
      <c r="J80" s="6" t="n">
        <v>118</v>
      </c>
      <c r="K80" s="6" t="n">
        <v>2</v>
      </c>
      <c r="L80" s="6" t="n">
        <v>298</v>
      </c>
      <c r="M80" s="6" t="n">
        <v>163</v>
      </c>
      <c r="N80" s="6" t="n">
        <v>335</v>
      </c>
      <c r="O80" s="6" t="n">
        <v>165</v>
      </c>
      <c r="P80" s="6" t="n">
        <v>335</v>
      </c>
      <c r="Q80" s="6" t="n">
        <v>51</v>
      </c>
      <c r="R80" s="6" t="n">
        <v>0</v>
      </c>
      <c r="S80" s="6" t="n">
        <v>1</v>
      </c>
      <c r="T80" s="6" t="n">
        <v>0</v>
      </c>
      <c r="U80" s="6" t="n">
        <v>3</v>
      </c>
      <c r="V80" s="6" t="n">
        <v>0</v>
      </c>
      <c r="W80" s="6" t="n">
        <v>1</v>
      </c>
      <c r="X80" s="6" t="n">
        <v>1</v>
      </c>
      <c r="Y80" s="6" t="n">
        <v>0</v>
      </c>
      <c r="Z80" s="6" t="n">
        <v>0</v>
      </c>
      <c r="AA80" s="6" t="n">
        <v>348</v>
      </c>
      <c r="AB80" s="6">
        <f>SUM(D80:AA80)</f>
        <v/>
      </c>
      <c r="AC80" s="3" t="inlineStr"/>
      <c r="AD80" s="7">
        <f>AA80*0.0122437846+D80*0.0122437846</f>
        <v/>
      </c>
      <c r="AE80" s="7">
        <f>D80*0.0122437846+E80*0.0122437846</f>
        <v/>
      </c>
      <c r="AF80" s="7">
        <f>E80*0.0122437846+F80*0.0122437846</f>
        <v/>
      </c>
      <c r="AG80" s="7">
        <f>F80*0.0122437846+G80*0.0122437846</f>
        <v/>
      </c>
      <c r="AH80" s="7">
        <f>G80*0.0122437846+H80*0.0122437846</f>
        <v/>
      </c>
      <c r="AI80" s="7">
        <f>H80*0.0122437846+I80*0.0122437846</f>
        <v/>
      </c>
      <c r="AJ80" s="7">
        <f>I80*0.0122437846+J80*0.0122437846</f>
        <v/>
      </c>
      <c r="AK80" s="7">
        <f>J80*0.0122437846+K80*0.0122437846</f>
        <v/>
      </c>
      <c r="AL80" s="7">
        <f>K80*0.0122437846+L80*0.0122437846</f>
        <v/>
      </c>
      <c r="AM80" s="7">
        <f>L80*0.0122437846+M80*0.0122437846</f>
        <v/>
      </c>
      <c r="AN80" s="7">
        <f>M80*0.0122437846+N80*0.0122437846</f>
        <v/>
      </c>
      <c r="AO80" s="7">
        <f>N80*0.0122437846+O80*0.0122437846</f>
        <v/>
      </c>
      <c r="AP80" s="7">
        <f>O80*0.0122437846+P80*0.0122437846</f>
        <v/>
      </c>
      <c r="AQ80" s="7">
        <f>P80*0.0122437846+Q80*0.0122437846</f>
        <v/>
      </c>
      <c r="AR80" s="7">
        <f>Q80*0.0122437846+R80*0.0122437846</f>
        <v/>
      </c>
      <c r="AS80" s="7">
        <f>R80*0.0122437846+S80*0.0122437846</f>
        <v/>
      </c>
      <c r="AT80" s="7">
        <f>S80*0.0122437846+T80*0.0122437846</f>
        <v/>
      </c>
      <c r="AU80" s="7">
        <f>T80*0.0122437846+U80*0.0122437846</f>
        <v/>
      </c>
      <c r="AV80" s="7">
        <f>U80*0.0122437846+V80*0.0122437846</f>
        <v/>
      </c>
      <c r="AW80" s="7">
        <f>V80*0.0122437846+W80*0.0122437846</f>
        <v/>
      </c>
      <c r="AX80" s="7">
        <f>W80*0.0122437846+X80*0.0122437846</f>
        <v/>
      </c>
      <c r="AY80" s="7">
        <f>X80*0.0122437846+Y80*0.0122437846</f>
        <v/>
      </c>
      <c r="AZ80" s="7">
        <f>Y80*0.0122437846+Z80*0.0122437846</f>
        <v/>
      </c>
      <c r="BA80" s="7">
        <f>Z80*0.0122437846+AA80*0.0122437846</f>
        <v/>
      </c>
      <c r="BB80" s="7">
        <f>SUM(AD80:BA80)</f>
        <v/>
      </c>
    </row>
    <row r="81">
      <c r="A81" t="inlineStr">
        <is>
          <t>AMD-M2</t>
        </is>
      </c>
      <c r="B81" t="inlineStr">
        <is>
          <t>Forward Regular OSC</t>
        </is>
      </c>
      <c r="C81" s="5" t="n">
        <v>46094</v>
      </c>
      <c r="D81" s="6" t="n">
        <v>305</v>
      </c>
      <c r="E81" s="6" t="n">
        <v>167</v>
      </c>
      <c r="F81" s="6" t="n">
        <v>291</v>
      </c>
      <c r="G81" s="6" t="n">
        <v>300</v>
      </c>
      <c r="H81" s="6" t="n">
        <v>140</v>
      </c>
      <c r="I81" s="6" t="n">
        <v>243</v>
      </c>
      <c r="J81" s="6" t="n">
        <v>173</v>
      </c>
      <c r="K81" s="6" t="n">
        <v>0</v>
      </c>
      <c r="L81" s="6" t="n">
        <v>367</v>
      </c>
      <c r="M81" s="6" t="n">
        <v>210</v>
      </c>
      <c r="N81" s="6" t="n">
        <v>314</v>
      </c>
      <c r="O81" s="6" t="n">
        <v>323</v>
      </c>
      <c r="P81" s="6" t="n">
        <v>111</v>
      </c>
      <c r="Q81" s="6" t="n">
        <v>315</v>
      </c>
      <c r="R81" s="6" t="n">
        <v>64</v>
      </c>
      <c r="S81" s="6" t="n">
        <v>0</v>
      </c>
      <c r="T81" s="6" t="n">
        <v>0</v>
      </c>
      <c r="U81" s="6" t="n">
        <v>0</v>
      </c>
      <c r="V81" s="6" t="n">
        <v>0</v>
      </c>
      <c r="W81" s="6" t="n">
        <v>0</v>
      </c>
      <c r="X81" s="6" t="n">
        <v>0</v>
      </c>
      <c r="Y81" s="6" t="n">
        <v>0</v>
      </c>
      <c r="Z81" s="6" t="n">
        <v>17</v>
      </c>
      <c r="AA81" s="6" t="n">
        <v>247</v>
      </c>
      <c r="AB81" s="6">
        <f>SUM(D81:AA81)</f>
        <v/>
      </c>
      <c r="AC81" s="3" t="inlineStr"/>
      <c r="AD81" s="7">
        <f>AA81*0.0122437846+D81*0.0122437846</f>
        <v/>
      </c>
      <c r="AE81" s="7">
        <f>D81*0.0122437846+E81*0.0122437846</f>
        <v/>
      </c>
      <c r="AF81" s="7">
        <f>E81*0.0122437846+F81*0.0122437846</f>
        <v/>
      </c>
      <c r="AG81" s="7">
        <f>F81*0.0122437846+G81*0.0122437846</f>
        <v/>
      </c>
      <c r="AH81" s="7">
        <f>G81*0.0122437846+H81*0.0122437846</f>
        <v/>
      </c>
      <c r="AI81" s="7">
        <f>H81*0.0122437846+I81*0.0122437846</f>
        <v/>
      </c>
      <c r="AJ81" s="7">
        <f>I81*0.0122437846+J81*0.0122437846</f>
        <v/>
      </c>
      <c r="AK81" s="7">
        <f>J81*0.0122437846+K81*0.0122437846</f>
        <v/>
      </c>
      <c r="AL81" s="7">
        <f>K81*0.0122437846+L81*0.0122437846</f>
        <v/>
      </c>
      <c r="AM81" s="7">
        <f>L81*0.0122437846+M81*0.0122437846</f>
        <v/>
      </c>
      <c r="AN81" s="7">
        <f>M81*0.0122437846+N81*0.0122437846</f>
        <v/>
      </c>
      <c r="AO81" s="7">
        <f>N81*0.0122437846+O81*0.0122437846</f>
        <v/>
      </c>
      <c r="AP81" s="7">
        <f>O81*0.0122437846+P81*0.0122437846</f>
        <v/>
      </c>
      <c r="AQ81" s="7">
        <f>P81*0.0122437846+Q81*0.0122437846</f>
        <v/>
      </c>
      <c r="AR81" s="7">
        <f>Q81*0.0122437846+R81*0.0122437846</f>
        <v/>
      </c>
      <c r="AS81" s="7">
        <f>R81*0.0122437846+S81*0.0122437846</f>
        <v/>
      </c>
      <c r="AT81" s="7">
        <f>S81*0.0122437846+T81*0.0122437846</f>
        <v/>
      </c>
      <c r="AU81" s="7">
        <f>T81*0.0122437846+U81*0.0122437846</f>
        <v/>
      </c>
      <c r="AV81" s="7">
        <f>U81*0.0122437846+V81*0.0122437846</f>
        <v/>
      </c>
      <c r="AW81" s="7">
        <f>V81*0.0122437846+W81*0.0122437846</f>
        <v/>
      </c>
      <c r="AX81" s="7">
        <f>W81*0.0122437846+X81*0.0122437846</f>
        <v/>
      </c>
      <c r="AY81" s="7">
        <f>X81*0.0122437846+Y81*0.0122437846</f>
        <v/>
      </c>
      <c r="AZ81" s="7">
        <f>Y81*0.0122437846+Z81*0.0122437846</f>
        <v/>
      </c>
      <c r="BA81" s="7">
        <f>Z81*0.0122437846+AA81*0.0122437846</f>
        <v/>
      </c>
      <c r="BB81" s="7">
        <f>SUM(AD81:BA81)</f>
        <v/>
      </c>
    </row>
    <row r="82">
      <c r="A82" t="inlineStr">
        <is>
          <t>AMD-M2</t>
        </is>
      </c>
      <c r="B82" t="inlineStr">
        <is>
          <t>Forward Regular OSC</t>
        </is>
      </c>
      <c r="C82" s="5" t="n">
        <v>46095</v>
      </c>
      <c r="D82" s="6" t="n">
        <v>259</v>
      </c>
      <c r="E82" s="6" t="n">
        <v>174</v>
      </c>
      <c r="F82" s="6" t="n">
        <v>152</v>
      </c>
      <c r="G82" s="6" t="n">
        <v>273</v>
      </c>
      <c r="H82" s="6" t="n">
        <v>201</v>
      </c>
      <c r="I82" s="6" t="n">
        <v>337</v>
      </c>
      <c r="J82" s="6" t="n">
        <v>182</v>
      </c>
      <c r="K82" s="6" t="n">
        <v>32</v>
      </c>
      <c r="L82" s="6" t="n">
        <v>327</v>
      </c>
      <c r="M82" s="6" t="n">
        <v>235</v>
      </c>
      <c r="N82" s="6" t="n">
        <v>316</v>
      </c>
      <c r="O82" s="6" t="n">
        <v>305</v>
      </c>
      <c r="P82" s="6" t="n">
        <v>122</v>
      </c>
      <c r="Q82" s="6" t="n">
        <v>420</v>
      </c>
      <c r="R82" s="6" t="n">
        <v>208</v>
      </c>
      <c r="S82" s="6" t="n">
        <v>8</v>
      </c>
      <c r="T82" s="6" t="n">
        <v>0</v>
      </c>
      <c r="U82" s="6" t="n">
        <v>0</v>
      </c>
      <c r="V82" s="6" t="n">
        <v>0</v>
      </c>
      <c r="W82" s="6" t="n">
        <v>46</v>
      </c>
      <c r="X82" s="6" t="n">
        <v>129</v>
      </c>
      <c r="Y82" s="6" t="n">
        <v>82</v>
      </c>
      <c r="Z82" s="6" t="n">
        <v>46</v>
      </c>
      <c r="AA82" s="6" t="n">
        <v>357</v>
      </c>
      <c r="AB82" s="6">
        <f>SUM(D82:AA82)</f>
        <v/>
      </c>
      <c r="AC82" s="3" t="inlineStr"/>
      <c r="AD82" s="7">
        <f>AA82*0.0122437846+D82*0.0122437846</f>
        <v/>
      </c>
      <c r="AE82" s="7">
        <f>D82*0.0122437846+E82*0.0122437846</f>
        <v/>
      </c>
      <c r="AF82" s="7">
        <f>E82*0.0122437846+F82*0.0122437846</f>
        <v/>
      </c>
      <c r="AG82" s="7">
        <f>F82*0.0122437846+G82*0.0122437846</f>
        <v/>
      </c>
      <c r="AH82" s="7">
        <f>G82*0.0122437846+H82*0.0122437846</f>
        <v/>
      </c>
      <c r="AI82" s="7">
        <f>H82*0.0122437846+I82*0.0122437846</f>
        <v/>
      </c>
      <c r="AJ82" s="7">
        <f>I82*0.0122437846+J82*0.0122437846</f>
        <v/>
      </c>
      <c r="AK82" s="7">
        <f>J82*0.0122437846+K82*0.0122437846</f>
        <v/>
      </c>
      <c r="AL82" s="7">
        <f>K82*0.0122437846+L82*0.0122437846</f>
        <v/>
      </c>
      <c r="AM82" s="7">
        <f>L82*0.0122437846+M82*0.0122437846</f>
        <v/>
      </c>
      <c r="AN82" s="7">
        <f>M82*0.0122437846+N82*0.0122437846</f>
        <v/>
      </c>
      <c r="AO82" s="7">
        <f>N82*0.0122437846+O82*0.0122437846</f>
        <v/>
      </c>
      <c r="AP82" s="7">
        <f>O82*0.0122437846+P82*0.0122437846</f>
        <v/>
      </c>
      <c r="AQ82" s="7">
        <f>P82*0.0122437846+Q82*0.0122437846</f>
        <v/>
      </c>
      <c r="AR82" s="7">
        <f>Q82*0.0122437846+R82*0.0122437846</f>
        <v/>
      </c>
      <c r="AS82" s="7">
        <f>R82*0.0122437846+S82*0.0122437846</f>
        <v/>
      </c>
      <c r="AT82" s="7">
        <f>S82*0.0122437846+T82*0.0122437846</f>
        <v/>
      </c>
      <c r="AU82" s="7">
        <f>T82*0.0122437846+U82*0.0122437846</f>
        <v/>
      </c>
      <c r="AV82" s="7">
        <f>U82*0.0122437846+V82*0.0122437846</f>
        <v/>
      </c>
      <c r="AW82" s="7">
        <f>V82*0.0122437846+W82*0.0122437846</f>
        <v/>
      </c>
      <c r="AX82" s="7">
        <f>W82*0.0122437846+X82*0.0122437846</f>
        <v/>
      </c>
      <c r="AY82" s="7">
        <f>X82*0.0122437846+Y82*0.0122437846</f>
        <v/>
      </c>
      <c r="AZ82" s="7">
        <f>Y82*0.0122437846+Z82*0.0122437846</f>
        <v/>
      </c>
      <c r="BA82" s="7">
        <f>Z82*0.0122437846+AA82*0.0122437846</f>
        <v/>
      </c>
      <c r="BB82" s="7">
        <f>SUM(AD82:BA82)</f>
        <v/>
      </c>
    </row>
    <row r="83">
      <c r="A83" t="inlineStr">
        <is>
          <t>AMD-M2</t>
        </is>
      </c>
      <c r="B83" t="inlineStr">
        <is>
          <t>Forward Regular OSC</t>
        </is>
      </c>
      <c r="C83" s="5" t="n">
        <v>46096</v>
      </c>
      <c r="D83" s="6" t="n">
        <v>268</v>
      </c>
      <c r="E83" s="6" t="n">
        <v>87</v>
      </c>
      <c r="F83" s="6" t="n">
        <v>231</v>
      </c>
      <c r="G83" s="6" t="n">
        <v>330</v>
      </c>
      <c r="H83" s="6" t="n">
        <v>169</v>
      </c>
      <c r="I83" s="6" t="n">
        <v>317</v>
      </c>
      <c r="J83" s="6" t="n">
        <v>295</v>
      </c>
      <c r="K83" s="6" t="n">
        <v>2</v>
      </c>
      <c r="L83" s="6" t="n">
        <v>318</v>
      </c>
      <c r="M83" s="6" t="n">
        <v>251</v>
      </c>
      <c r="N83" s="6" t="n">
        <v>261</v>
      </c>
      <c r="O83" s="6" t="n">
        <v>260</v>
      </c>
      <c r="P83" s="6" t="n">
        <v>176</v>
      </c>
      <c r="Q83" s="6" t="n">
        <v>335</v>
      </c>
      <c r="R83" s="6" t="n">
        <v>9</v>
      </c>
      <c r="S83" s="6" t="n">
        <v>0</v>
      </c>
      <c r="T83" s="6" t="n">
        <v>0</v>
      </c>
      <c r="U83" s="6" t="n">
        <v>0</v>
      </c>
      <c r="V83" s="6" t="n">
        <v>0</v>
      </c>
      <c r="W83" s="6" t="n">
        <v>0</v>
      </c>
      <c r="X83" s="6" t="n">
        <v>0</v>
      </c>
      <c r="Y83" s="6" t="n">
        <v>0</v>
      </c>
      <c r="Z83" s="6" t="n">
        <v>0</v>
      </c>
      <c r="AA83" s="6" t="n">
        <v>279</v>
      </c>
      <c r="AB83" s="6">
        <f>SUM(D83:AA83)</f>
        <v/>
      </c>
      <c r="AC83" s="3" t="inlineStr"/>
      <c r="AD83" s="7">
        <f>AA83*0.0122437846+D83*0.0122437846</f>
        <v/>
      </c>
      <c r="AE83" s="7">
        <f>D83*0.0122437846+E83*0.0122437846</f>
        <v/>
      </c>
      <c r="AF83" s="7">
        <f>E83*0.0122437846+F83*0.0122437846</f>
        <v/>
      </c>
      <c r="AG83" s="7">
        <f>F83*0.0122437846+G83*0.0122437846</f>
        <v/>
      </c>
      <c r="AH83" s="7">
        <f>G83*0.0122437846+H83*0.0122437846</f>
        <v/>
      </c>
      <c r="AI83" s="7">
        <f>H83*0.0122437846+I83*0.0122437846</f>
        <v/>
      </c>
      <c r="AJ83" s="7">
        <f>I83*0.0122437846+J83*0.0122437846</f>
        <v/>
      </c>
      <c r="AK83" s="7">
        <f>J83*0.0122437846+K83*0.0122437846</f>
        <v/>
      </c>
      <c r="AL83" s="7">
        <f>K83*0.0122437846+L83*0.0122437846</f>
        <v/>
      </c>
      <c r="AM83" s="7">
        <f>L83*0.0122437846+M83*0.0122437846</f>
        <v/>
      </c>
      <c r="AN83" s="7">
        <f>M83*0.0122437846+N83*0.0122437846</f>
        <v/>
      </c>
      <c r="AO83" s="7">
        <f>N83*0.0122437846+O83*0.0122437846</f>
        <v/>
      </c>
      <c r="AP83" s="7">
        <f>O83*0.0122437846+P83*0.0122437846</f>
        <v/>
      </c>
      <c r="AQ83" s="7">
        <f>P83*0.0122437846+Q83*0.0122437846</f>
        <v/>
      </c>
      <c r="AR83" s="7">
        <f>Q83*0.0122437846+R83*0.0122437846</f>
        <v/>
      </c>
      <c r="AS83" s="7">
        <f>R83*0.0122437846+S83*0.0122437846</f>
        <v/>
      </c>
      <c r="AT83" s="7">
        <f>S83*0.0122437846+T83*0.0122437846</f>
        <v/>
      </c>
      <c r="AU83" s="7">
        <f>T83*0.0122437846+U83*0.0122437846</f>
        <v/>
      </c>
      <c r="AV83" s="7">
        <f>U83*0.0122437846+V83*0.0122437846</f>
        <v/>
      </c>
      <c r="AW83" s="7">
        <f>V83*0.0122437846+W83*0.0122437846</f>
        <v/>
      </c>
      <c r="AX83" s="7">
        <f>W83*0.0122437846+X83*0.0122437846</f>
        <v/>
      </c>
      <c r="AY83" s="7">
        <f>X83*0.0122437846+Y83*0.0122437846</f>
        <v/>
      </c>
      <c r="AZ83" s="7">
        <f>Y83*0.0122437846+Z83*0.0122437846</f>
        <v/>
      </c>
      <c r="BA83" s="7">
        <f>Z83*0.0122437846+AA83*0.0122437846</f>
        <v/>
      </c>
      <c r="BB83" s="7">
        <f>SUM(AD83:BA83)</f>
        <v/>
      </c>
    </row>
    <row r="84">
      <c r="A84" t="inlineStr">
        <is>
          <t>AMD-M2</t>
        </is>
      </c>
      <c r="B84" t="inlineStr">
        <is>
          <t>Forward Regular OSC</t>
        </is>
      </c>
      <c r="C84" s="5" t="n">
        <v>46097</v>
      </c>
      <c r="D84" s="6" t="n">
        <v>228</v>
      </c>
      <c r="E84" s="6" t="n">
        <v>122</v>
      </c>
      <c r="F84" s="6" t="n">
        <v>227</v>
      </c>
      <c r="G84" s="6" t="n">
        <v>249</v>
      </c>
      <c r="H84" s="6" t="n">
        <v>166</v>
      </c>
      <c r="I84" s="6" t="n">
        <v>236</v>
      </c>
      <c r="J84" s="6" t="n">
        <v>101</v>
      </c>
      <c r="K84" s="6" t="n">
        <v>0</v>
      </c>
      <c r="L84" s="6" t="n">
        <v>273</v>
      </c>
      <c r="M84" s="6" t="n">
        <v>222</v>
      </c>
      <c r="N84" s="6" t="n">
        <v>310</v>
      </c>
      <c r="O84" s="6" t="n">
        <v>263</v>
      </c>
      <c r="P84" s="6" t="n">
        <v>148</v>
      </c>
      <c r="Q84" s="6" t="n">
        <v>250</v>
      </c>
      <c r="R84" s="6" t="n">
        <v>107</v>
      </c>
      <c r="S84" s="6" t="n">
        <v>1</v>
      </c>
      <c r="T84" s="6" t="n">
        <v>0</v>
      </c>
      <c r="U84" s="6" t="n">
        <v>0</v>
      </c>
      <c r="V84" s="6" t="n">
        <v>0</v>
      </c>
      <c r="W84" s="6" t="n">
        <v>0</v>
      </c>
      <c r="X84" s="6" t="n">
        <v>0</v>
      </c>
      <c r="Y84" s="6" t="n">
        <v>0</v>
      </c>
      <c r="Z84" s="6" t="n">
        <v>0</v>
      </c>
      <c r="AA84" s="6" t="n">
        <v>0</v>
      </c>
      <c r="AB84" s="6">
        <f>SUM(D84:AA84)</f>
        <v/>
      </c>
      <c r="AC84" s="3" t="inlineStr"/>
      <c r="AD84" s="7">
        <f>AA84*0.0122437846+D84*0.0122437846</f>
        <v/>
      </c>
      <c r="AE84" s="7">
        <f>D84*0.0122437846+E84*0.0122437846</f>
        <v/>
      </c>
      <c r="AF84" s="7">
        <f>E84*0.0122437846+F84*0.0122437846</f>
        <v/>
      </c>
      <c r="AG84" s="7">
        <f>F84*0.0122437846+G84*0.0122437846</f>
        <v/>
      </c>
      <c r="AH84" s="7">
        <f>G84*0.0122437846+H84*0.0122437846</f>
        <v/>
      </c>
      <c r="AI84" s="7">
        <f>H84*0.0122437846+I84*0.0122437846</f>
        <v/>
      </c>
      <c r="AJ84" s="7">
        <f>I84*0.0122437846+J84*0.0122437846</f>
        <v/>
      </c>
      <c r="AK84" s="7">
        <f>J84*0.0122437846+K84*0.0122437846</f>
        <v/>
      </c>
      <c r="AL84" s="7">
        <f>K84*0.0122437846+L84*0.0122437846</f>
        <v/>
      </c>
      <c r="AM84" s="7">
        <f>L84*0.0122437846+M84*0.0122437846</f>
        <v/>
      </c>
      <c r="AN84" s="7">
        <f>M84*0.0122437846+N84*0.0122437846</f>
        <v/>
      </c>
      <c r="AO84" s="7">
        <f>N84*0.0122437846+O84*0.0122437846</f>
        <v/>
      </c>
      <c r="AP84" s="7">
        <f>O84*0.0122437846+P84*0.0122437846</f>
        <v/>
      </c>
      <c r="AQ84" s="7">
        <f>P84*0.0122437846+Q84*0.0122437846</f>
        <v/>
      </c>
      <c r="AR84" s="7">
        <f>Q84*0.0122437846+R84*0.0122437846</f>
        <v/>
      </c>
      <c r="AS84" s="7">
        <f>R84*0.0122437846+S84*0.0122437846</f>
        <v/>
      </c>
      <c r="AT84" s="7">
        <f>S84*0.0122437846+T84*0.0122437846</f>
        <v/>
      </c>
      <c r="AU84" s="7">
        <f>T84*0.0122437846+U84*0.0122437846</f>
        <v/>
      </c>
      <c r="AV84" s="7">
        <f>U84*0.0122437846+V84*0.0122437846</f>
        <v/>
      </c>
      <c r="AW84" s="7">
        <f>V84*0.0122437846+W84*0.0122437846</f>
        <v/>
      </c>
      <c r="AX84" s="7">
        <f>W84*0.0122437846+X84*0.0122437846</f>
        <v/>
      </c>
      <c r="AY84" s="7">
        <f>X84*0.0122437846+Y84*0.0122437846</f>
        <v/>
      </c>
      <c r="AZ84" s="7">
        <f>Y84*0.0122437846+Z84*0.0122437846</f>
        <v/>
      </c>
      <c r="BA84" s="7">
        <f>Z84*0.0122437846+AA84*0.0122437846</f>
        <v/>
      </c>
      <c r="BB84" s="7">
        <f>SUM(AD84:BA84)</f>
        <v/>
      </c>
    </row>
    <row r="85">
      <c r="A85" t="inlineStr">
        <is>
          <t>AMD-MU-01</t>
        </is>
      </c>
      <c r="B85" t="inlineStr">
        <is>
          <t>Forward Regular OSC</t>
        </is>
      </c>
      <c r="C85" s="5" t="n">
        <v>46091</v>
      </c>
      <c r="D85" s="6" t="n">
        <v>0</v>
      </c>
      <c r="E85" s="6" t="n">
        <v>0</v>
      </c>
      <c r="F85" s="6" t="n">
        <v>0</v>
      </c>
      <c r="G85" s="6" t="n">
        <v>0</v>
      </c>
      <c r="H85" s="6" t="n">
        <v>0</v>
      </c>
      <c r="I85" s="6" t="n">
        <v>0</v>
      </c>
      <c r="J85" s="6" t="n">
        <v>0</v>
      </c>
      <c r="K85" s="6" t="n">
        <v>0</v>
      </c>
      <c r="L85" s="6" t="n">
        <v>0</v>
      </c>
      <c r="M85" s="6" t="n">
        <v>0</v>
      </c>
      <c r="N85" s="6" t="n">
        <v>0</v>
      </c>
      <c r="O85" s="6" t="n">
        <v>0</v>
      </c>
      <c r="P85" s="6" t="n">
        <v>0</v>
      </c>
      <c r="Q85" s="6" t="n">
        <v>0</v>
      </c>
      <c r="R85" s="6" t="n">
        <v>0</v>
      </c>
      <c r="S85" s="6" t="n">
        <v>0</v>
      </c>
      <c r="T85" s="6" t="n">
        <v>0</v>
      </c>
      <c r="U85" s="6" t="n">
        <v>0</v>
      </c>
      <c r="V85" s="6" t="n">
        <v>0</v>
      </c>
      <c r="W85" s="6" t="n">
        <v>0</v>
      </c>
      <c r="X85" s="6" t="n">
        <v>0</v>
      </c>
      <c r="Y85" s="6" t="n">
        <v>0</v>
      </c>
      <c r="Z85" s="6" t="n">
        <v>0</v>
      </c>
      <c r="AA85" s="6" t="n">
        <v>0</v>
      </c>
      <c r="AB85" s="6">
        <f>SUM(D85:AA85)</f>
        <v/>
      </c>
      <c r="AC85" s="3" t="inlineStr"/>
      <c r="AD85" s="7">
        <f>AA85*0.0122437846+D85*0.0122437846</f>
        <v/>
      </c>
      <c r="AE85" s="7">
        <f>D85*0.0122437846+E85*0.0122437846</f>
        <v/>
      </c>
      <c r="AF85" s="7">
        <f>E85*0.0122437846+F85*0.0122437846</f>
        <v/>
      </c>
      <c r="AG85" s="7">
        <f>F85*0.0122437846+G85*0.0122437846</f>
        <v/>
      </c>
      <c r="AH85" s="7">
        <f>G85*0.0122437846+H85*0.0122437846</f>
        <v/>
      </c>
      <c r="AI85" s="7">
        <f>H85*0.0122437846+I85*0.0122437846</f>
        <v/>
      </c>
      <c r="AJ85" s="7">
        <f>I85*0.0122437846+J85*0.0122437846</f>
        <v/>
      </c>
      <c r="AK85" s="7">
        <f>J85*0.0122437846+K85*0.0122437846</f>
        <v/>
      </c>
      <c r="AL85" s="7">
        <f>K85*0.0122437846+L85*0.0122437846</f>
        <v/>
      </c>
      <c r="AM85" s="7">
        <f>L85*0.0122437846+M85*0.0122437846</f>
        <v/>
      </c>
      <c r="AN85" s="7">
        <f>M85*0.0122437846+N85*0.0122437846</f>
        <v/>
      </c>
      <c r="AO85" s="7">
        <f>N85*0.0122437846+O85*0.0122437846</f>
        <v/>
      </c>
      <c r="AP85" s="7">
        <f>O85*0.0122437846+P85*0.0122437846</f>
        <v/>
      </c>
      <c r="AQ85" s="7">
        <f>P85*0.0122437846+Q85*0.0122437846</f>
        <v/>
      </c>
      <c r="AR85" s="7">
        <f>Q85*0.0122437846+R85*0.0122437846</f>
        <v/>
      </c>
      <c r="AS85" s="7">
        <f>R85*0.0122437846+S85*0.0122437846</f>
        <v/>
      </c>
      <c r="AT85" s="7">
        <f>S85*0.0122437846+T85*0.0122437846</f>
        <v/>
      </c>
      <c r="AU85" s="7">
        <f>T85*0.0122437846+U85*0.0122437846</f>
        <v/>
      </c>
      <c r="AV85" s="7">
        <f>U85*0.0122437846+V85*0.0122437846</f>
        <v/>
      </c>
      <c r="AW85" s="7">
        <f>V85*0.0122437846+W85*0.0122437846</f>
        <v/>
      </c>
      <c r="AX85" s="7">
        <f>W85*0.0122437846+X85*0.0122437846</f>
        <v/>
      </c>
      <c r="AY85" s="7">
        <f>X85*0.0122437846+Y85*0.0122437846</f>
        <v/>
      </c>
      <c r="AZ85" s="7">
        <f>Y85*0.0122437846+Z85*0.0122437846</f>
        <v/>
      </c>
      <c r="BA85" s="7">
        <f>Z85*0.0122437846+AA85*0.0122437846</f>
        <v/>
      </c>
      <c r="BB85" s="7">
        <f>SUM(AD85:BA85)</f>
        <v/>
      </c>
    </row>
    <row r="86">
      <c r="A86" t="inlineStr">
        <is>
          <t>AMD-RTS-RCLS-1302-SSC</t>
        </is>
      </c>
      <c r="B86" t="inlineStr">
        <is>
          <t>Rev OSC</t>
        </is>
      </c>
      <c r="C86" s="5" t="n">
        <v>46089</v>
      </c>
      <c r="D86" s="6" t="n">
        <v>0</v>
      </c>
      <c r="E86" s="6" t="n">
        <v>0</v>
      </c>
      <c r="F86" s="6" t="n">
        <v>1</v>
      </c>
      <c r="G86" s="6" t="n">
        <v>1</v>
      </c>
      <c r="H86" s="6" t="n">
        <v>1</v>
      </c>
      <c r="I86" s="6" t="n">
        <v>1</v>
      </c>
      <c r="J86" s="6" t="n">
        <v>2</v>
      </c>
      <c r="K86" s="6" t="n">
        <v>0</v>
      </c>
      <c r="L86" s="6" t="n">
        <v>0</v>
      </c>
      <c r="M86" s="6" t="n">
        <v>0</v>
      </c>
      <c r="N86" s="6" t="n">
        <v>0</v>
      </c>
      <c r="O86" s="6" t="n">
        <v>0</v>
      </c>
      <c r="P86" s="6" t="n">
        <v>0</v>
      </c>
      <c r="Q86" s="6" t="n">
        <v>0</v>
      </c>
      <c r="R86" s="6" t="n">
        <v>0</v>
      </c>
      <c r="S86" s="6" t="n">
        <v>0</v>
      </c>
      <c r="T86" s="6" t="n">
        <v>1</v>
      </c>
      <c r="U86" s="6" t="n">
        <v>1</v>
      </c>
      <c r="V86" s="6" t="n">
        <v>1</v>
      </c>
      <c r="W86" s="6" t="n">
        <v>0</v>
      </c>
      <c r="X86" s="6" t="n">
        <v>0</v>
      </c>
      <c r="Y86" s="6" t="n">
        <v>0</v>
      </c>
      <c r="Z86" s="6" t="n">
        <v>0</v>
      </c>
      <c r="AA86" s="6" t="n">
        <v>0</v>
      </c>
      <c r="AB86" s="6">
        <f>SUM(D86:AA86)</f>
        <v/>
      </c>
      <c r="AC86" s="3" t="inlineStr"/>
      <c r="AD86" s="7">
        <f>AA86*0.0122437846+D86*0.0122437846</f>
        <v/>
      </c>
      <c r="AE86" s="7">
        <f>D86*0.0122437846+E86*0.0122437846</f>
        <v/>
      </c>
      <c r="AF86" s="7">
        <f>E86*0.0122437846+F86*0.0122437846</f>
        <v/>
      </c>
      <c r="AG86" s="7">
        <f>F86*0.0122437846+G86*0.0122437846</f>
        <v/>
      </c>
      <c r="AH86" s="7">
        <f>G86*0.0122437846+H86*0.0122437846</f>
        <v/>
      </c>
      <c r="AI86" s="7">
        <f>H86*0.0122437846+I86*0.0122437846</f>
        <v/>
      </c>
      <c r="AJ86" s="7">
        <f>I86*0.0122437846+J86*0.0122437846</f>
        <v/>
      </c>
      <c r="AK86" s="7">
        <f>J86*0.0122437846+K86*0.0122437846</f>
        <v/>
      </c>
      <c r="AL86" s="7">
        <f>K86*0.0122437846+L86*0.0122437846</f>
        <v/>
      </c>
      <c r="AM86" s="7">
        <f>L86*0.0122437846+M86*0.0122437846</f>
        <v/>
      </c>
      <c r="AN86" s="7">
        <f>M86*0.0122437846+N86*0.0122437846</f>
        <v/>
      </c>
      <c r="AO86" s="7">
        <f>N86*0.0122437846+O86*0.0122437846</f>
        <v/>
      </c>
      <c r="AP86" s="7">
        <f>O86*0.0122437846+P86*0.0122437846</f>
        <v/>
      </c>
      <c r="AQ86" s="7">
        <f>P86*0.0122437846+Q86*0.0122437846</f>
        <v/>
      </c>
      <c r="AR86" s="7">
        <f>Q86*0.0122437846+R86*0.0122437846</f>
        <v/>
      </c>
      <c r="AS86" s="7">
        <f>R86*0.0122437846+S86*0.0122437846</f>
        <v/>
      </c>
      <c r="AT86" s="7">
        <f>S86*0.0122437846+T86*0.0122437846</f>
        <v/>
      </c>
      <c r="AU86" s="7">
        <f>T86*0.0122437846+U86*0.0122437846</f>
        <v/>
      </c>
      <c r="AV86" s="7">
        <f>U86*0.0122437846+V86*0.0122437846</f>
        <v/>
      </c>
      <c r="AW86" s="7">
        <f>V86*0.0122437846+W86*0.0122437846</f>
        <v/>
      </c>
      <c r="AX86" s="7">
        <f>W86*0.0122437846+X86*0.0122437846</f>
        <v/>
      </c>
      <c r="AY86" s="7">
        <f>X86*0.0122437846+Y86*0.0122437846</f>
        <v/>
      </c>
      <c r="AZ86" s="7">
        <f>Y86*0.0122437846+Z86*0.0122437846</f>
        <v/>
      </c>
      <c r="BA86" s="7">
        <f>Z86*0.0122437846+AA86*0.0122437846</f>
        <v/>
      </c>
      <c r="BB86" s="7">
        <f>SUM(AD86:BA86)</f>
        <v/>
      </c>
    </row>
    <row r="87">
      <c r="A87" t="inlineStr">
        <is>
          <t>AMD-RTS-RCLS-1302-SSC</t>
        </is>
      </c>
      <c r="B87" t="inlineStr">
        <is>
          <t>Rev OSC</t>
        </is>
      </c>
      <c r="C87" s="5" t="n">
        <v>46090</v>
      </c>
      <c r="D87" s="6" t="n">
        <v>0</v>
      </c>
      <c r="E87" s="6" t="n">
        <v>0</v>
      </c>
      <c r="F87" s="6" t="n">
        <v>0</v>
      </c>
      <c r="G87" s="6" t="n">
        <v>0</v>
      </c>
      <c r="H87" s="6" t="n">
        <v>1</v>
      </c>
      <c r="I87" s="6" t="n">
        <v>0</v>
      </c>
      <c r="J87" s="6" t="n">
        <v>0</v>
      </c>
      <c r="K87" s="6" t="n">
        <v>0</v>
      </c>
      <c r="L87" s="6" t="n">
        <v>0</v>
      </c>
      <c r="M87" s="6" t="n">
        <v>0</v>
      </c>
      <c r="N87" s="6" t="n">
        <v>0</v>
      </c>
      <c r="O87" s="6" t="n">
        <v>0</v>
      </c>
      <c r="P87" s="6" t="n">
        <v>0</v>
      </c>
      <c r="Q87" s="6" t="n">
        <v>0</v>
      </c>
      <c r="R87" s="6" t="n">
        <v>0</v>
      </c>
      <c r="S87" s="6" t="n">
        <v>0</v>
      </c>
      <c r="T87" s="6" t="n">
        <v>0</v>
      </c>
      <c r="U87" s="6" t="n">
        <v>0</v>
      </c>
      <c r="V87" s="6" t="n">
        <v>0</v>
      </c>
      <c r="W87" s="6" t="n">
        <v>0</v>
      </c>
      <c r="X87" s="6" t="n">
        <v>0</v>
      </c>
      <c r="Y87" s="6" t="n">
        <v>1</v>
      </c>
      <c r="Z87" s="6" t="n">
        <v>0</v>
      </c>
      <c r="AA87" s="6" t="n">
        <v>0</v>
      </c>
      <c r="AB87" s="6">
        <f>SUM(D87:AA87)</f>
        <v/>
      </c>
      <c r="AC87" s="3" t="inlineStr"/>
      <c r="AD87" s="7">
        <f>AA87*0.0122437846+D87*0.0122437846</f>
        <v/>
      </c>
      <c r="AE87" s="7">
        <f>D87*0.0122437846+E87*0.0122437846</f>
        <v/>
      </c>
      <c r="AF87" s="7">
        <f>E87*0.0122437846+F87*0.0122437846</f>
        <v/>
      </c>
      <c r="AG87" s="7">
        <f>F87*0.0122437846+G87*0.0122437846</f>
        <v/>
      </c>
      <c r="AH87" s="7">
        <f>G87*0.0122437846+H87*0.0122437846</f>
        <v/>
      </c>
      <c r="AI87" s="7">
        <f>H87*0.0122437846+I87*0.0122437846</f>
        <v/>
      </c>
      <c r="AJ87" s="7">
        <f>I87*0.0122437846+J87*0.0122437846</f>
        <v/>
      </c>
      <c r="AK87" s="7">
        <f>J87*0.0122437846+K87*0.0122437846</f>
        <v/>
      </c>
      <c r="AL87" s="7">
        <f>K87*0.0122437846+L87*0.0122437846</f>
        <v/>
      </c>
      <c r="AM87" s="7">
        <f>L87*0.0122437846+M87*0.0122437846</f>
        <v/>
      </c>
      <c r="AN87" s="7">
        <f>M87*0.0122437846+N87*0.0122437846</f>
        <v/>
      </c>
      <c r="AO87" s="7">
        <f>N87*0.0122437846+O87*0.0122437846</f>
        <v/>
      </c>
      <c r="AP87" s="7">
        <f>O87*0.0122437846+P87*0.0122437846</f>
        <v/>
      </c>
      <c r="AQ87" s="7">
        <f>P87*0.0122437846+Q87*0.0122437846</f>
        <v/>
      </c>
      <c r="AR87" s="7">
        <f>Q87*0.0122437846+R87*0.0122437846</f>
        <v/>
      </c>
      <c r="AS87" s="7">
        <f>R87*0.0122437846+S87*0.0122437846</f>
        <v/>
      </c>
      <c r="AT87" s="7">
        <f>S87*0.0122437846+T87*0.0122437846</f>
        <v/>
      </c>
      <c r="AU87" s="7">
        <f>T87*0.0122437846+U87*0.0122437846</f>
        <v/>
      </c>
      <c r="AV87" s="7">
        <f>U87*0.0122437846+V87*0.0122437846</f>
        <v/>
      </c>
      <c r="AW87" s="7">
        <f>V87*0.0122437846+W87*0.0122437846</f>
        <v/>
      </c>
      <c r="AX87" s="7">
        <f>W87*0.0122437846+X87*0.0122437846</f>
        <v/>
      </c>
      <c r="AY87" s="7">
        <f>X87*0.0122437846+Y87*0.0122437846</f>
        <v/>
      </c>
      <c r="AZ87" s="7">
        <f>Y87*0.0122437846+Z87*0.0122437846</f>
        <v/>
      </c>
      <c r="BA87" s="7">
        <f>Z87*0.0122437846+AA87*0.0122437846</f>
        <v/>
      </c>
      <c r="BB87" s="7">
        <f>SUM(AD87:BA87)</f>
        <v/>
      </c>
    </row>
    <row r="88">
      <c r="A88" t="inlineStr">
        <is>
          <t>AMD-RTS-RCLS-1302-SSC</t>
        </is>
      </c>
      <c r="B88" t="inlineStr">
        <is>
          <t>Rev OSC</t>
        </is>
      </c>
      <c r="C88" s="5" t="n">
        <v>46092</v>
      </c>
      <c r="D88" s="6" t="n">
        <v>0</v>
      </c>
      <c r="E88" s="6" t="n">
        <v>0</v>
      </c>
      <c r="F88" s="6" t="n">
        <v>1</v>
      </c>
      <c r="G88" s="6" t="n">
        <v>0</v>
      </c>
      <c r="H88" s="6" t="n">
        <v>0</v>
      </c>
      <c r="I88" s="6" t="n">
        <v>0</v>
      </c>
      <c r="J88" s="6" t="n">
        <v>0</v>
      </c>
      <c r="K88" s="6" t="n">
        <v>0</v>
      </c>
      <c r="L88" s="6" t="n">
        <v>0</v>
      </c>
      <c r="M88" s="6" t="n">
        <v>0</v>
      </c>
      <c r="N88" s="6" t="n">
        <v>0</v>
      </c>
      <c r="O88" s="6" t="n">
        <v>1</v>
      </c>
      <c r="P88" s="6" t="n">
        <v>0</v>
      </c>
      <c r="Q88" s="6" t="n">
        <v>0</v>
      </c>
      <c r="R88" s="6" t="n">
        <v>1</v>
      </c>
      <c r="S88" s="6" t="n">
        <v>0</v>
      </c>
      <c r="T88" s="6" t="n">
        <v>0</v>
      </c>
      <c r="U88" s="6" t="n">
        <v>1</v>
      </c>
      <c r="V88" s="6" t="n">
        <v>1</v>
      </c>
      <c r="W88" s="6" t="n">
        <v>1</v>
      </c>
      <c r="X88" s="6" t="n">
        <v>2</v>
      </c>
      <c r="Y88" s="6" t="n">
        <v>1</v>
      </c>
      <c r="Z88" s="6" t="n">
        <v>0</v>
      </c>
      <c r="AA88" s="6" t="n">
        <v>0</v>
      </c>
      <c r="AB88" s="6">
        <f>SUM(D88:AA88)</f>
        <v/>
      </c>
      <c r="AC88" s="3" t="inlineStr"/>
      <c r="AD88" s="7">
        <f>AA88*0.0122437846+D88*0.0122437846</f>
        <v/>
      </c>
      <c r="AE88" s="7">
        <f>D88*0.0122437846+E88*0.0122437846</f>
        <v/>
      </c>
      <c r="AF88" s="7">
        <f>E88*0.0122437846+F88*0.0122437846</f>
        <v/>
      </c>
      <c r="AG88" s="7">
        <f>F88*0.0122437846+G88*0.0122437846</f>
        <v/>
      </c>
      <c r="AH88" s="7">
        <f>G88*0.0122437846+H88*0.0122437846</f>
        <v/>
      </c>
      <c r="AI88" s="7">
        <f>H88*0.0122437846+I88*0.0122437846</f>
        <v/>
      </c>
      <c r="AJ88" s="7">
        <f>I88*0.0122437846+J88*0.0122437846</f>
        <v/>
      </c>
      <c r="AK88" s="7">
        <f>J88*0.0122437846+K88*0.0122437846</f>
        <v/>
      </c>
      <c r="AL88" s="7">
        <f>K88*0.0122437846+L88*0.0122437846</f>
        <v/>
      </c>
      <c r="AM88" s="7">
        <f>L88*0.0122437846+M88*0.0122437846</f>
        <v/>
      </c>
      <c r="AN88" s="7">
        <f>M88*0.0122437846+N88*0.0122437846</f>
        <v/>
      </c>
      <c r="AO88" s="7">
        <f>N88*0.0122437846+O88*0.0122437846</f>
        <v/>
      </c>
      <c r="AP88" s="7">
        <f>O88*0.0122437846+P88*0.0122437846</f>
        <v/>
      </c>
      <c r="AQ88" s="7">
        <f>P88*0.0122437846+Q88*0.0122437846</f>
        <v/>
      </c>
      <c r="AR88" s="7">
        <f>Q88*0.0122437846+R88*0.0122437846</f>
        <v/>
      </c>
      <c r="AS88" s="7">
        <f>R88*0.0122437846+S88*0.0122437846</f>
        <v/>
      </c>
      <c r="AT88" s="7">
        <f>S88*0.0122437846+T88*0.0122437846</f>
        <v/>
      </c>
      <c r="AU88" s="7">
        <f>T88*0.0122437846+U88*0.0122437846</f>
        <v/>
      </c>
      <c r="AV88" s="7">
        <f>U88*0.0122437846+V88*0.0122437846</f>
        <v/>
      </c>
      <c r="AW88" s="7">
        <f>V88*0.0122437846+W88*0.0122437846</f>
        <v/>
      </c>
      <c r="AX88" s="7">
        <f>W88*0.0122437846+X88*0.0122437846</f>
        <v/>
      </c>
      <c r="AY88" s="7">
        <f>X88*0.0122437846+Y88*0.0122437846</f>
        <v/>
      </c>
      <c r="AZ88" s="7">
        <f>Y88*0.0122437846+Z88*0.0122437846</f>
        <v/>
      </c>
      <c r="BA88" s="7">
        <f>Z88*0.0122437846+AA88*0.0122437846</f>
        <v/>
      </c>
      <c r="BB88" s="7">
        <f>SUM(AD88:BA88)</f>
        <v/>
      </c>
    </row>
    <row r="89">
      <c r="A89" t="inlineStr">
        <is>
          <t>AMD-RTS-RCLS-1302-SSC</t>
        </is>
      </c>
      <c r="B89" t="inlineStr">
        <is>
          <t>Rev OSC</t>
        </is>
      </c>
      <c r="C89" s="5" t="n">
        <v>46093</v>
      </c>
      <c r="D89" s="6" t="n">
        <v>1</v>
      </c>
      <c r="E89" s="6" t="n">
        <v>0</v>
      </c>
      <c r="F89" s="6" t="n">
        <v>1</v>
      </c>
      <c r="G89" s="6" t="n">
        <v>1</v>
      </c>
      <c r="H89" s="6" t="n">
        <v>1</v>
      </c>
      <c r="I89" s="6" t="n">
        <v>1</v>
      </c>
      <c r="J89" s="6" t="n">
        <v>3</v>
      </c>
      <c r="K89" s="6" t="n">
        <v>0</v>
      </c>
      <c r="L89" s="6" t="n">
        <v>1</v>
      </c>
      <c r="M89" s="6" t="n">
        <v>1</v>
      </c>
      <c r="N89" s="6" t="n">
        <v>1</v>
      </c>
      <c r="O89" s="6" t="n">
        <v>0</v>
      </c>
      <c r="P89" s="6" t="n">
        <v>0</v>
      </c>
      <c r="Q89" s="6" t="n">
        <v>0</v>
      </c>
      <c r="R89" s="6" t="n">
        <v>2</v>
      </c>
      <c r="S89" s="6" t="n">
        <v>1</v>
      </c>
      <c r="T89" s="6" t="n">
        <v>0</v>
      </c>
      <c r="U89" s="6" t="n">
        <v>0</v>
      </c>
      <c r="V89" s="6" t="n">
        <v>1</v>
      </c>
      <c r="W89" s="6" t="n">
        <v>0</v>
      </c>
      <c r="X89" s="6" t="n">
        <v>1</v>
      </c>
      <c r="Y89" s="6" t="n">
        <v>2</v>
      </c>
      <c r="Z89" s="6" t="n">
        <v>0</v>
      </c>
      <c r="AA89" s="6" t="n">
        <v>0</v>
      </c>
      <c r="AB89" s="6">
        <f>SUM(D89:AA89)</f>
        <v/>
      </c>
      <c r="AC89" s="3" t="inlineStr"/>
      <c r="AD89" s="7">
        <f>AA89*0.0122437846+D89*0.0122437846</f>
        <v/>
      </c>
      <c r="AE89" s="7">
        <f>D89*0.0122437846+E89*0.0122437846</f>
        <v/>
      </c>
      <c r="AF89" s="7">
        <f>E89*0.0122437846+F89*0.0122437846</f>
        <v/>
      </c>
      <c r="AG89" s="7">
        <f>F89*0.0122437846+G89*0.0122437846</f>
        <v/>
      </c>
      <c r="AH89" s="7">
        <f>G89*0.0122437846+H89*0.0122437846</f>
        <v/>
      </c>
      <c r="AI89" s="7">
        <f>H89*0.0122437846+I89*0.0122437846</f>
        <v/>
      </c>
      <c r="AJ89" s="7">
        <f>I89*0.0122437846+J89*0.0122437846</f>
        <v/>
      </c>
      <c r="AK89" s="7">
        <f>J89*0.0122437846+K89*0.0122437846</f>
        <v/>
      </c>
      <c r="AL89" s="7">
        <f>K89*0.0122437846+L89*0.0122437846</f>
        <v/>
      </c>
      <c r="AM89" s="7">
        <f>L89*0.0122437846+M89*0.0122437846</f>
        <v/>
      </c>
      <c r="AN89" s="7">
        <f>M89*0.0122437846+N89*0.0122437846</f>
        <v/>
      </c>
      <c r="AO89" s="7">
        <f>N89*0.0122437846+O89*0.0122437846</f>
        <v/>
      </c>
      <c r="AP89" s="7">
        <f>O89*0.0122437846+P89*0.0122437846</f>
        <v/>
      </c>
      <c r="AQ89" s="7">
        <f>P89*0.0122437846+Q89*0.0122437846</f>
        <v/>
      </c>
      <c r="AR89" s="7">
        <f>Q89*0.0122437846+R89*0.0122437846</f>
        <v/>
      </c>
      <c r="AS89" s="7">
        <f>R89*0.0122437846+S89*0.0122437846</f>
        <v/>
      </c>
      <c r="AT89" s="7">
        <f>S89*0.0122437846+T89*0.0122437846</f>
        <v/>
      </c>
      <c r="AU89" s="7">
        <f>T89*0.0122437846+U89*0.0122437846</f>
        <v/>
      </c>
      <c r="AV89" s="7">
        <f>U89*0.0122437846+V89*0.0122437846</f>
        <v/>
      </c>
      <c r="AW89" s="7">
        <f>V89*0.0122437846+W89*0.0122437846</f>
        <v/>
      </c>
      <c r="AX89" s="7">
        <f>W89*0.0122437846+X89*0.0122437846</f>
        <v/>
      </c>
      <c r="AY89" s="7">
        <f>X89*0.0122437846+Y89*0.0122437846</f>
        <v/>
      </c>
      <c r="AZ89" s="7">
        <f>Y89*0.0122437846+Z89*0.0122437846</f>
        <v/>
      </c>
      <c r="BA89" s="7">
        <f>Z89*0.0122437846+AA89*0.0122437846</f>
        <v/>
      </c>
      <c r="BB89" s="7">
        <f>SUM(AD89:BA89)</f>
        <v/>
      </c>
    </row>
    <row r="90">
      <c r="A90" t="inlineStr">
        <is>
          <t>AMD-RTS-RCLS-1302-SSC</t>
        </is>
      </c>
      <c r="B90" t="inlineStr">
        <is>
          <t>Rev OSC</t>
        </is>
      </c>
      <c r="C90" s="5" t="n">
        <v>46094</v>
      </c>
      <c r="D90" s="6" t="n">
        <v>1</v>
      </c>
      <c r="E90" s="6" t="n">
        <v>1</v>
      </c>
      <c r="F90" s="6" t="n">
        <v>1</v>
      </c>
      <c r="G90" s="6" t="n">
        <v>1</v>
      </c>
      <c r="H90" s="6" t="n">
        <v>1</v>
      </c>
      <c r="I90" s="6" t="n">
        <v>1</v>
      </c>
      <c r="J90" s="6" t="n">
        <v>3</v>
      </c>
      <c r="K90" s="6" t="n">
        <v>0</v>
      </c>
      <c r="L90" s="6" t="n">
        <v>0</v>
      </c>
      <c r="M90" s="6" t="n">
        <v>0</v>
      </c>
      <c r="N90" s="6" t="n">
        <v>0</v>
      </c>
      <c r="O90" s="6" t="n">
        <v>0</v>
      </c>
      <c r="P90" s="6" t="n">
        <v>0</v>
      </c>
      <c r="Q90" s="6" t="n">
        <v>0</v>
      </c>
      <c r="R90" s="6" t="n">
        <v>1</v>
      </c>
      <c r="S90" s="6" t="n">
        <v>1</v>
      </c>
      <c r="T90" s="6" t="n">
        <v>0</v>
      </c>
      <c r="U90" s="6" t="n">
        <v>1</v>
      </c>
      <c r="V90" s="6" t="n">
        <v>1</v>
      </c>
      <c r="W90" s="6" t="n">
        <v>1</v>
      </c>
      <c r="X90" s="6" t="n">
        <v>1</v>
      </c>
      <c r="Y90" s="6" t="n">
        <v>2</v>
      </c>
      <c r="Z90" s="6" t="n">
        <v>0</v>
      </c>
      <c r="AA90" s="6" t="n">
        <v>0</v>
      </c>
      <c r="AB90" s="6">
        <f>SUM(D90:AA90)</f>
        <v/>
      </c>
      <c r="AC90" s="3" t="inlineStr"/>
      <c r="AD90" s="7">
        <f>AA90*0.0122437846+D90*0.0122437846</f>
        <v/>
      </c>
      <c r="AE90" s="7">
        <f>D90*0.0122437846+E90*0.0122437846</f>
        <v/>
      </c>
      <c r="AF90" s="7">
        <f>E90*0.0122437846+F90*0.0122437846</f>
        <v/>
      </c>
      <c r="AG90" s="7">
        <f>F90*0.0122437846+G90*0.0122437846</f>
        <v/>
      </c>
      <c r="AH90" s="7">
        <f>G90*0.0122437846+H90*0.0122437846</f>
        <v/>
      </c>
      <c r="AI90" s="7">
        <f>H90*0.0122437846+I90*0.0122437846</f>
        <v/>
      </c>
      <c r="AJ90" s="7">
        <f>I90*0.0122437846+J90*0.0122437846</f>
        <v/>
      </c>
      <c r="AK90" s="7">
        <f>J90*0.0122437846+K90*0.0122437846</f>
        <v/>
      </c>
      <c r="AL90" s="7">
        <f>K90*0.0122437846+L90*0.0122437846</f>
        <v/>
      </c>
      <c r="AM90" s="7">
        <f>L90*0.0122437846+M90*0.0122437846</f>
        <v/>
      </c>
      <c r="AN90" s="7">
        <f>M90*0.0122437846+N90*0.0122437846</f>
        <v/>
      </c>
      <c r="AO90" s="7">
        <f>N90*0.0122437846+O90*0.0122437846</f>
        <v/>
      </c>
      <c r="AP90" s="7">
        <f>O90*0.0122437846+P90*0.0122437846</f>
        <v/>
      </c>
      <c r="AQ90" s="7">
        <f>P90*0.0122437846+Q90*0.0122437846</f>
        <v/>
      </c>
      <c r="AR90" s="7">
        <f>Q90*0.0122437846+R90*0.0122437846</f>
        <v/>
      </c>
      <c r="AS90" s="7">
        <f>R90*0.0122437846+S90*0.0122437846</f>
        <v/>
      </c>
      <c r="AT90" s="7">
        <f>S90*0.0122437846+T90*0.0122437846</f>
        <v/>
      </c>
      <c r="AU90" s="7">
        <f>T90*0.0122437846+U90*0.0122437846</f>
        <v/>
      </c>
      <c r="AV90" s="7">
        <f>U90*0.0122437846+V90*0.0122437846</f>
        <v/>
      </c>
      <c r="AW90" s="7">
        <f>V90*0.0122437846+W90*0.0122437846</f>
        <v/>
      </c>
      <c r="AX90" s="7">
        <f>W90*0.0122437846+X90*0.0122437846</f>
        <v/>
      </c>
      <c r="AY90" s="7">
        <f>X90*0.0122437846+Y90*0.0122437846</f>
        <v/>
      </c>
      <c r="AZ90" s="7">
        <f>Y90*0.0122437846+Z90*0.0122437846</f>
        <v/>
      </c>
      <c r="BA90" s="7">
        <f>Z90*0.0122437846+AA90*0.0122437846</f>
        <v/>
      </c>
      <c r="BB90" s="7">
        <f>SUM(AD90:BA90)</f>
        <v/>
      </c>
    </row>
    <row r="91">
      <c r="A91" t="inlineStr">
        <is>
          <t>AMD-RTS-RCLS-1302-SSC</t>
        </is>
      </c>
      <c r="B91" t="inlineStr">
        <is>
          <t>Rev OSC</t>
        </is>
      </c>
      <c r="C91" s="5" t="n">
        <v>46095</v>
      </c>
      <c r="D91" s="6" t="n">
        <v>0</v>
      </c>
      <c r="E91" s="6" t="n">
        <v>0</v>
      </c>
      <c r="F91" s="6" t="n">
        <v>0</v>
      </c>
      <c r="G91" s="6" t="n">
        <v>1</v>
      </c>
      <c r="H91" s="6" t="n">
        <v>0</v>
      </c>
      <c r="I91" s="6" t="n">
        <v>1</v>
      </c>
      <c r="J91" s="6" t="n">
        <v>1</v>
      </c>
      <c r="K91" s="6" t="n">
        <v>0</v>
      </c>
      <c r="L91" s="6" t="n">
        <v>0</v>
      </c>
      <c r="M91" s="6" t="n">
        <v>0</v>
      </c>
      <c r="N91" s="6" t="n">
        <v>0</v>
      </c>
      <c r="O91" s="6" t="n">
        <v>0</v>
      </c>
      <c r="P91" s="6" t="n">
        <v>0</v>
      </c>
      <c r="Q91" s="6" t="n">
        <v>0</v>
      </c>
      <c r="R91" s="6" t="n">
        <v>1</v>
      </c>
      <c r="S91" s="6" t="n">
        <v>2</v>
      </c>
      <c r="T91" s="6" t="n">
        <v>1</v>
      </c>
      <c r="U91" s="6" t="n">
        <v>1</v>
      </c>
      <c r="V91" s="6" t="n">
        <v>1</v>
      </c>
      <c r="W91" s="6" t="n">
        <v>2</v>
      </c>
      <c r="X91" s="6" t="n">
        <v>1</v>
      </c>
      <c r="Y91" s="6" t="n">
        <v>1</v>
      </c>
      <c r="Z91" s="6" t="n">
        <v>0</v>
      </c>
      <c r="AA91" s="6" t="n">
        <v>0</v>
      </c>
      <c r="AB91" s="6">
        <f>SUM(D91:AA91)</f>
        <v/>
      </c>
      <c r="AC91" s="3" t="inlineStr"/>
      <c r="AD91" s="7">
        <f>AA91*0.0122437846+D91*0.0122437846</f>
        <v/>
      </c>
      <c r="AE91" s="7">
        <f>D91*0.0122437846+E91*0.0122437846</f>
        <v/>
      </c>
      <c r="AF91" s="7">
        <f>E91*0.0122437846+F91*0.0122437846</f>
        <v/>
      </c>
      <c r="AG91" s="7">
        <f>F91*0.0122437846+G91*0.0122437846</f>
        <v/>
      </c>
      <c r="AH91" s="7">
        <f>G91*0.0122437846+H91*0.0122437846</f>
        <v/>
      </c>
      <c r="AI91" s="7">
        <f>H91*0.0122437846+I91*0.0122437846</f>
        <v/>
      </c>
      <c r="AJ91" s="7">
        <f>I91*0.0122437846+J91*0.0122437846</f>
        <v/>
      </c>
      <c r="AK91" s="7">
        <f>J91*0.0122437846+K91*0.0122437846</f>
        <v/>
      </c>
      <c r="AL91" s="7">
        <f>K91*0.0122437846+L91*0.0122437846</f>
        <v/>
      </c>
      <c r="AM91" s="7">
        <f>L91*0.0122437846+M91*0.0122437846</f>
        <v/>
      </c>
      <c r="AN91" s="7">
        <f>M91*0.0122437846+N91*0.0122437846</f>
        <v/>
      </c>
      <c r="AO91" s="7">
        <f>N91*0.0122437846+O91*0.0122437846</f>
        <v/>
      </c>
      <c r="AP91" s="7">
        <f>O91*0.0122437846+P91*0.0122437846</f>
        <v/>
      </c>
      <c r="AQ91" s="7">
        <f>P91*0.0122437846+Q91*0.0122437846</f>
        <v/>
      </c>
      <c r="AR91" s="7">
        <f>Q91*0.0122437846+R91*0.0122437846</f>
        <v/>
      </c>
      <c r="AS91" s="7">
        <f>R91*0.0122437846+S91*0.0122437846</f>
        <v/>
      </c>
      <c r="AT91" s="7">
        <f>S91*0.0122437846+T91*0.0122437846</f>
        <v/>
      </c>
      <c r="AU91" s="7">
        <f>T91*0.0122437846+U91*0.0122437846</f>
        <v/>
      </c>
      <c r="AV91" s="7">
        <f>U91*0.0122437846+V91*0.0122437846</f>
        <v/>
      </c>
      <c r="AW91" s="7">
        <f>V91*0.0122437846+W91*0.0122437846</f>
        <v/>
      </c>
      <c r="AX91" s="7">
        <f>W91*0.0122437846+X91*0.0122437846</f>
        <v/>
      </c>
      <c r="AY91" s="7">
        <f>X91*0.0122437846+Y91*0.0122437846</f>
        <v/>
      </c>
      <c r="AZ91" s="7">
        <f>Y91*0.0122437846+Z91*0.0122437846</f>
        <v/>
      </c>
      <c r="BA91" s="7">
        <f>Z91*0.0122437846+AA91*0.0122437846</f>
        <v/>
      </c>
      <c r="BB91" s="7">
        <f>SUM(AD91:BA91)</f>
        <v/>
      </c>
    </row>
    <row r="92">
      <c r="A92" t="inlineStr">
        <is>
          <t>AMD-RTS-RCLS-1302-SSC</t>
        </is>
      </c>
      <c r="B92" t="inlineStr">
        <is>
          <t>Rev OSC</t>
        </is>
      </c>
      <c r="C92" s="5" t="n">
        <v>46096</v>
      </c>
      <c r="D92" s="6" t="n">
        <v>0</v>
      </c>
      <c r="E92" s="6" t="n">
        <v>0</v>
      </c>
      <c r="F92" s="6" t="n">
        <v>0</v>
      </c>
      <c r="G92" s="6" t="n">
        <v>1</v>
      </c>
      <c r="H92" s="6" t="n">
        <v>0</v>
      </c>
      <c r="I92" s="6" t="n">
        <v>1</v>
      </c>
      <c r="J92" s="6" t="n">
        <v>0</v>
      </c>
      <c r="K92" s="6" t="n">
        <v>0</v>
      </c>
      <c r="L92" s="6" t="n">
        <v>0</v>
      </c>
      <c r="M92" s="6" t="n">
        <v>0</v>
      </c>
      <c r="N92" s="6" t="n">
        <v>0</v>
      </c>
      <c r="O92" s="6" t="n">
        <v>0</v>
      </c>
      <c r="P92" s="6" t="n">
        <v>0</v>
      </c>
      <c r="Q92" s="6" t="n">
        <v>0</v>
      </c>
      <c r="R92" s="6" t="n">
        <v>0</v>
      </c>
      <c r="S92" s="6" t="n">
        <v>2</v>
      </c>
      <c r="T92" s="6" t="n">
        <v>1</v>
      </c>
      <c r="U92" s="6" t="n">
        <v>1</v>
      </c>
      <c r="V92" s="6" t="n">
        <v>0</v>
      </c>
      <c r="W92" s="6" t="n">
        <v>1</v>
      </c>
      <c r="X92" s="6" t="n">
        <v>1</v>
      </c>
      <c r="Y92" s="6" t="n">
        <v>2</v>
      </c>
      <c r="Z92" s="6" t="n">
        <v>0</v>
      </c>
      <c r="AA92" s="6" t="n">
        <v>0</v>
      </c>
      <c r="AB92" s="6">
        <f>SUM(D92:AA92)</f>
        <v/>
      </c>
      <c r="AC92" s="3" t="inlineStr"/>
      <c r="AD92" s="7">
        <f>AA92*0.0122437846+D92*0.0122437846</f>
        <v/>
      </c>
      <c r="AE92" s="7">
        <f>D92*0.0122437846+E92*0.0122437846</f>
        <v/>
      </c>
      <c r="AF92" s="7">
        <f>E92*0.0122437846+F92*0.0122437846</f>
        <v/>
      </c>
      <c r="AG92" s="7">
        <f>F92*0.0122437846+G92*0.0122437846</f>
        <v/>
      </c>
      <c r="AH92" s="7">
        <f>G92*0.0122437846+H92*0.0122437846</f>
        <v/>
      </c>
      <c r="AI92" s="7">
        <f>H92*0.0122437846+I92*0.0122437846</f>
        <v/>
      </c>
      <c r="AJ92" s="7">
        <f>I92*0.0122437846+J92*0.0122437846</f>
        <v/>
      </c>
      <c r="AK92" s="7">
        <f>J92*0.0122437846+K92*0.0122437846</f>
        <v/>
      </c>
      <c r="AL92" s="7">
        <f>K92*0.0122437846+L92*0.0122437846</f>
        <v/>
      </c>
      <c r="AM92" s="7">
        <f>L92*0.0122437846+M92*0.0122437846</f>
        <v/>
      </c>
      <c r="AN92" s="7">
        <f>M92*0.0122437846+N92*0.0122437846</f>
        <v/>
      </c>
      <c r="AO92" s="7">
        <f>N92*0.0122437846+O92*0.0122437846</f>
        <v/>
      </c>
      <c r="AP92" s="7">
        <f>O92*0.0122437846+P92*0.0122437846</f>
        <v/>
      </c>
      <c r="AQ92" s="7">
        <f>P92*0.0122437846+Q92*0.0122437846</f>
        <v/>
      </c>
      <c r="AR92" s="7">
        <f>Q92*0.0122437846+R92*0.0122437846</f>
        <v/>
      </c>
      <c r="AS92" s="7">
        <f>R92*0.0122437846+S92*0.0122437846</f>
        <v/>
      </c>
      <c r="AT92" s="7">
        <f>S92*0.0122437846+T92*0.0122437846</f>
        <v/>
      </c>
      <c r="AU92" s="7">
        <f>T92*0.0122437846+U92*0.0122437846</f>
        <v/>
      </c>
      <c r="AV92" s="7">
        <f>U92*0.0122437846+V92*0.0122437846</f>
        <v/>
      </c>
      <c r="AW92" s="7">
        <f>V92*0.0122437846+W92*0.0122437846</f>
        <v/>
      </c>
      <c r="AX92" s="7">
        <f>W92*0.0122437846+X92*0.0122437846</f>
        <v/>
      </c>
      <c r="AY92" s="7">
        <f>X92*0.0122437846+Y92*0.0122437846</f>
        <v/>
      </c>
      <c r="AZ92" s="7">
        <f>Y92*0.0122437846+Z92*0.0122437846</f>
        <v/>
      </c>
      <c r="BA92" s="7">
        <f>Z92*0.0122437846+AA92*0.0122437846</f>
        <v/>
      </c>
      <c r="BB92" s="7">
        <f>SUM(AD92:BA92)</f>
        <v/>
      </c>
    </row>
    <row r="93">
      <c r="A93" t="inlineStr">
        <is>
          <t>AMD-RTS-RCLS-1302-SSC</t>
        </is>
      </c>
      <c r="B93" t="inlineStr">
        <is>
          <t>Rev OSC</t>
        </is>
      </c>
      <c r="C93" s="5" t="n">
        <v>46097</v>
      </c>
      <c r="D93" s="6" t="n">
        <v>0</v>
      </c>
      <c r="E93" s="6" t="n">
        <v>0</v>
      </c>
      <c r="F93" s="6" t="n">
        <v>0</v>
      </c>
      <c r="G93" s="6" t="n">
        <v>0</v>
      </c>
      <c r="H93" s="6" t="n">
        <v>0</v>
      </c>
      <c r="I93" s="6" t="n">
        <v>0</v>
      </c>
      <c r="J93" s="6" t="n">
        <v>0</v>
      </c>
      <c r="K93" s="6" t="n">
        <v>0</v>
      </c>
      <c r="L93" s="6" t="n">
        <v>0</v>
      </c>
      <c r="M93" s="6" t="n">
        <v>0</v>
      </c>
      <c r="N93" s="6" t="n">
        <v>0</v>
      </c>
      <c r="O93" s="6" t="n">
        <v>0</v>
      </c>
      <c r="P93" s="6" t="n">
        <v>0</v>
      </c>
      <c r="Q93" s="6" t="n">
        <v>0</v>
      </c>
      <c r="R93" s="6" t="n">
        <v>0</v>
      </c>
      <c r="S93" s="6" t="n">
        <v>1</v>
      </c>
      <c r="T93" s="6" t="n">
        <v>0</v>
      </c>
      <c r="U93" s="6" t="n">
        <v>1</v>
      </c>
      <c r="V93" s="6" t="n">
        <v>1</v>
      </c>
      <c r="W93" s="6" t="n">
        <v>0</v>
      </c>
      <c r="X93" s="6" t="n">
        <v>0</v>
      </c>
      <c r="Y93" s="6" t="n">
        <v>0</v>
      </c>
      <c r="Z93" s="6" t="n">
        <v>0</v>
      </c>
      <c r="AA93" s="6" t="n">
        <v>0</v>
      </c>
      <c r="AB93" s="6">
        <f>SUM(D93:AA93)</f>
        <v/>
      </c>
      <c r="AC93" s="3" t="inlineStr"/>
      <c r="AD93" s="7">
        <f>AA93*0.0122437846+D93*0.0122437846</f>
        <v/>
      </c>
      <c r="AE93" s="7">
        <f>D93*0.0122437846+E93*0.0122437846</f>
        <v/>
      </c>
      <c r="AF93" s="7">
        <f>E93*0.0122437846+F93*0.0122437846</f>
        <v/>
      </c>
      <c r="AG93" s="7">
        <f>F93*0.0122437846+G93*0.0122437846</f>
        <v/>
      </c>
      <c r="AH93" s="7">
        <f>G93*0.0122437846+H93*0.0122437846</f>
        <v/>
      </c>
      <c r="AI93" s="7">
        <f>H93*0.0122437846+I93*0.0122437846</f>
        <v/>
      </c>
      <c r="AJ93" s="7">
        <f>I93*0.0122437846+J93*0.0122437846</f>
        <v/>
      </c>
      <c r="AK93" s="7">
        <f>J93*0.0122437846+K93*0.0122437846</f>
        <v/>
      </c>
      <c r="AL93" s="7">
        <f>K93*0.0122437846+L93*0.0122437846</f>
        <v/>
      </c>
      <c r="AM93" s="7">
        <f>L93*0.0122437846+M93*0.0122437846</f>
        <v/>
      </c>
      <c r="AN93" s="7">
        <f>M93*0.0122437846+N93*0.0122437846</f>
        <v/>
      </c>
      <c r="AO93" s="7">
        <f>N93*0.0122437846+O93*0.0122437846</f>
        <v/>
      </c>
      <c r="AP93" s="7">
        <f>O93*0.0122437846+P93*0.0122437846</f>
        <v/>
      </c>
      <c r="AQ93" s="7">
        <f>P93*0.0122437846+Q93*0.0122437846</f>
        <v/>
      </c>
      <c r="AR93" s="7">
        <f>Q93*0.0122437846+R93*0.0122437846</f>
        <v/>
      </c>
      <c r="AS93" s="7">
        <f>R93*0.0122437846+S93*0.0122437846</f>
        <v/>
      </c>
      <c r="AT93" s="7">
        <f>S93*0.0122437846+T93*0.0122437846</f>
        <v/>
      </c>
      <c r="AU93" s="7">
        <f>T93*0.0122437846+U93*0.0122437846</f>
        <v/>
      </c>
      <c r="AV93" s="7">
        <f>U93*0.0122437846+V93*0.0122437846</f>
        <v/>
      </c>
      <c r="AW93" s="7">
        <f>V93*0.0122437846+W93*0.0122437846</f>
        <v/>
      </c>
      <c r="AX93" s="7">
        <f>W93*0.0122437846+X93*0.0122437846</f>
        <v/>
      </c>
      <c r="AY93" s="7">
        <f>X93*0.0122437846+Y93*0.0122437846</f>
        <v/>
      </c>
      <c r="AZ93" s="7">
        <f>Y93*0.0122437846+Z93*0.0122437846</f>
        <v/>
      </c>
      <c r="BA93" s="7">
        <f>Z93*0.0122437846+AA93*0.0122437846</f>
        <v/>
      </c>
      <c r="BB93" s="7">
        <f>SUM(AD93:BA93)</f>
        <v/>
      </c>
    </row>
    <row r="94">
      <c r="A94" t="inlineStr">
        <is>
          <t>AMD-RTS-RCLS-1302-SSC</t>
        </is>
      </c>
      <c r="B94" t="inlineStr">
        <is>
          <t>Rev OSC</t>
        </is>
      </c>
      <c r="C94" s="5" t="n">
        <v>46100</v>
      </c>
      <c r="D94" s="6" t="n">
        <v>0</v>
      </c>
      <c r="E94" s="6" t="n">
        <v>0</v>
      </c>
      <c r="F94" s="6" t="n">
        <v>0</v>
      </c>
      <c r="G94" s="6" t="n">
        <v>0</v>
      </c>
      <c r="H94" s="6" t="n">
        <v>0</v>
      </c>
      <c r="I94" s="6" t="n">
        <v>0</v>
      </c>
      <c r="J94" s="6" t="n">
        <v>0</v>
      </c>
      <c r="K94" s="6" t="n">
        <v>0</v>
      </c>
      <c r="L94" s="6" t="n">
        <v>0</v>
      </c>
      <c r="M94" s="6" t="n">
        <v>0</v>
      </c>
      <c r="N94" s="6" t="n">
        <v>0</v>
      </c>
      <c r="O94" s="6" t="n">
        <v>0</v>
      </c>
      <c r="P94" s="6" t="n">
        <v>0</v>
      </c>
      <c r="Q94" s="6" t="n">
        <v>0</v>
      </c>
      <c r="R94" s="6" t="n">
        <v>1</v>
      </c>
      <c r="S94" s="6" t="n">
        <v>1</v>
      </c>
      <c r="T94" s="6" t="n">
        <v>0</v>
      </c>
      <c r="U94" s="6" t="n">
        <v>1</v>
      </c>
      <c r="V94" s="6" t="n">
        <v>1</v>
      </c>
      <c r="W94" s="6" t="n">
        <v>3</v>
      </c>
      <c r="X94" s="6" t="n">
        <v>1</v>
      </c>
      <c r="Y94" s="6" t="n">
        <v>3</v>
      </c>
      <c r="Z94" s="6" t="n">
        <v>0</v>
      </c>
      <c r="AA94" s="6" t="n">
        <v>0</v>
      </c>
      <c r="AB94" s="6">
        <f>SUM(D94:AA94)</f>
        <v/>
      </c>
      <c r="AC94" s="3" t="inlineStr"/>
      <c r="AD94" s="7">
        <f>AA94*0.0122437846+D94*0.0122437846</f>
        <v/>
      </c>
      <c r="AE94" s="7">
        <f>D94*0.0122437846+E94*0.0122437846</f>
        <v/>
      </c>
      <c r="AF94" s="7">
        <f>E94*0.0122437846+F94*0.0122437846</f>
        <v/>
      </c>
      <c r="AG94" s="7">
        <f>F94*0.0122437846+G94*0.0122437846</f>
        <v/>
      </c>
      <c r="AH94" s="7">
        <f>G94*0.0122437846+H94*0.0122437846</f>
        <v/>
      </c>
      <c r="AI94" s="7">
        <f>H94*0.0122437846+I94*0.0122437846</f>
        <v/>
      </c>
      <c r="AJ94" s="7">
        <f>I94*0.0122437846+J94*0.0122437846</f>
        <v/>
      </c>
      <c r="AK94" s="7">
        <f>J94*0.0122437846+K94*0.0122437846</f>
        <v/>
      </c>
      <c r="AL94" s="7">
        <f>K94*0.0122437846+L94*0.0122437846</f>
        <v/>
      </c>
      <c r="AM94" s="7">
        <f>L94*0.0122437846+M94*0.0122437846</f>
        <v/>
      </c>
      <c r="AN94" s="7">
        <f>M94*0.0122437846+N94*0.0122437846</f>
        <v/>
      </c>
      <c r="AO94" s="7">
        <f>N94*0.0122437846+O94*0.0122437846</f>
        <v/>
      </c>
      <c r="AP94" s="7">
        <f>O94*0.0122437846+P94*0.0122437846</f>
        <v/>
      </c>
      <c r="AQ94" s="7">
        <f>P94*0.0122437846+Q94*0.0122437846</f>
        <v/>
      </c>
      <c r="AR94" s="7">
        <f>Q94*0.0122437846+R94*0.0122437846</f>
        <v/>
      </c>
      <c r="AS94" s="7">
        <f>R94*0.0122437846+S94*0.0122437846</f>
        <v/>
      </c>
      <c r="AT94" s="7">
        <f>S94*0.0122437846+T94*0.0122437846</f>
        <v/>
      </c>
      <c r="AU94" s="7">
        <f>T94*0.0122437846+U94*0.0122437846</f>
        <v/>
      </c>
      <c r="AV94" s="7">
        <f>U94*0.0122437846+V94*0.0122437846</f>
        <v/>
      </c>
      <c r="AW94" s="7">
        <f>V94*0.0122437846+W94*0.0122437846</f>
        <v/>
      </c>
      <c r="AX94" s="7">
        <f>W94*0.0122437846+X94*0.0122437846</f>
        <v/>
      </c>
      <c r="AY94" s="7">
        <f>X94*0.0122437846+Y94*0.0122437846</f>
        <v/>
      </c>
      <c r="AZ94" s="7">
        <f>Y94*0.0122437846+Z94*0.0122437846</f>
        <v/>
      </c>
      <c r="BA94" s="7">
        <f>Z94*0.0122437846+AA94*0.0122437846</f>
        <v/>
      </c>
      <c r="BB94" s="7">
        <f>SUM(AD94:BA94)</f>
        <v/>
      </c>
    </row>
    <row r="95">
      <c r="A95" t="inlineStr">
        <is>
          <t>AMD-RTS-RCLS-1302-SSC</t>
        </is>
      </c>
      <c r="B95" t="inlineStr">
        <is>
          <t>Rev OSC</t>
        </is>
      </c>
      <c r="C95" s="5" t="n">
        <v>46102</v>
      </c>
      <c r="D95" s="6" t="n">
        <v>0</v>
      </c>
      <c r="E95" s="6" t="n">
        <v>0</v>
      </c>
      <c r="F95" s="6" t="n">
        <v>0</v>
      </c>
      <c r="G95" s="6" t="n">
        <v>2</v>
      </c>
      <c r="H95" s="6" t="n">
        <v>1</v>
      </c>
      <c r="I95" s="6" t="n">
        <v>0</v>
      </c>
      <c r="J95" s="6" t="n">
        <v>4</v>
      </c>
      <c r="K95" s="6" t="n">
        <v>0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0</v>
      </c>
      <c r="Q95" s="6" t="n">
        <v>0</v>
      </c>
      <c r="R95" s="6" t="n">
        <v>0</v>
      </c>
      <c r="S95" s="6" t="n">
        <v>2</v>
      </c>
      <c r="T95" s="6" t="n">
        <v>1</v>
      </c>
      <c r="U95" s="6" t="n">
        <v>0</v>
      </c>
      <c r="V95" s="6" t="n">
        <v>1</v>
      </c>
      <c r="W95" s="6" t="n">
        <v>1</v>
      </c>
      <c r="X95" s="6" t="n">
        <v>3</v>
      </c>
      <c r="Y95" s="6" t="n">
        <v>2</v>
      </c>
      <c r="Z95" s="6" t="n">
        <v>0</v>
      </c>
      <c r="AA95" s="6" t="n">
        <v>0</v>
      </c>
      <c r="AB95" s="6">
        <f>SUM(D95:AA95)</f>
        <v/>
      </c>
      <c r="AC95" s="3" t="inlineStr"/>
      <c r="AD95" s="7">
        <f>AA95*0.0122437846+D95*0.0122437846</f>
        <v/>
      </c>
      <c r="AE95" s="7">
        <f>D95*0.0122437846+E95*0.0122437846</f>
        <v/>
      </c>
      <c r="AF95" s="7">
        <f>E95*0.0122437846+F95*0.0122437846</f>
        <v/>
      </c>
      <c r="AG95" s="7">
        <f>F95*0.0122437846+G95*0.0122437846</f>
        <v/>
      </c>
      <c r="AH95" s="7">
        <f>G95*0.0122437846+H95*0.0122437846</f>
        <v/>
      </c>
      <c r="AI95" s="7">
        <f>H95*0.0122437846+I95*0.0122437846</f>
        <v/>
      </c>
      <c r="AJ95" s="7">
        <f>I95*0.0122437846+J95*0.0122437846</f>
        <v/>
      </c>
      <c r="AK95" s="7">
        <f>J95*0.0122437846+K95*0.0122437846</f>
        <v/>
      </c>
      <c r="AL95" s="7">
        <f>K95*0.0122437846+L95*0.0122437846</f>
        <v/>
      </c>
      <c r="AM95" s="7">
        <f>L95*0.0122437846+M95*0.0122437846</f>
        <v/>
      </c>
      <c r="AN95" s="7">
        <f>M95*0.0122437846+N95*0.0122437846</f>
        <v/>
      </c>
      <c r="AO95" s="7">
        <f>N95*0.0122437846+O95*0.0122437846</f>
        <v/>
      </c>
      <c r="AP95" s="7">
        <f>O95*0.0122437846+P95*0.0122437846</f>
        <v/>
      </c>
      <c r="AQ95" s="7">
        <f>P95*0.0122437846+Q95*0.0122437846</f>
        <v/>
      </c>
      <c r="AR95" s="7">
        <f>Q95*0.0122437846+R95*0.0122437846</f>
        <v/>
      </c>
      <c r="AS95" s="7">
        <f>R95*0.0122437846+S95*0.0122437846</f>
        <v/>
      </c>
      <c r="AT95" s="7">
        <f>S95*0.0122437846+T95*0.0122437846</f>
        <v/>
      </c>
      <c r="AU95" s="7">
        <f>T95*0.0122437846+U95*0.0122437846</f>
        <v/>
      </c>
      <c r="AV95" s="7">
        <f>U95*0.0122437846+V95*0.0122437846</f>
        <v/>
      </c>
      <c r="AW95" s="7">
        <f>V95*0.0122437846+W95*0.0122437846</f>
        <v/>
      </c>
      <c r="AX95" s="7">
        <f>W95*0.0122437846+X95*0.0122437846</f>
        <v/>
      </c>
      <c r="AY95" s="7">
        <f>X95*0.0122437846+Y95*0.0122437846</f>
        <v/>
      </c>
      <c r="AZ95" s="7">
        <f>Y95*0.0122437846+Z95*0.0122437846</f>
        <v/>
      </c>
      <c r="BA95" s="7">
        <f>Z95*0.0122437846+AA95*0.0122437846</f>
        <v/>
      </c>
      <c r="BB95" s="7">
        <f>SUM(AD95:BA95)</f>
        <v/>
      </c>
    </row>
    <row r="96">
      <c r="A96" t="inlineStr">
        <is>
          <t>AMD-RTS-RCLS-1302-SSC</t>
        </is>
      </c>
      <c r="B96" t="inlineStr">
        <is>
          <t>Rev OSC</t>
        </is>
      </c>
      <c r="C96" s="5" t="n">
        <v>46103</v>
      </c>
      <c r="D96" s="6" t="n">
        <v>0</v>
      </c>
      <c r="E96" s="6" t="n">
        <v>1</v>
      </c>
      <c r="F96" s="6" t="n">
        <v>1</v>
      </c>
      <c r="G96" s="6" t="n">
        <v>1</v>
      </c>
      <c r="H96" s="6" t="n">
        <v>0</v>
      </c>
      <c r="I96" s="6" t="n">
        <v>1</v>
      </c>
      <c r="J96" s="6" t="n">
        <v>1</v>
      </c>
      <c r="K96" s="6" t="n">
        <v>0</v>
      </c>
      <c r="L96" s="6" t="n">
        <v>0</v>
      </c>
      <c r="M96" s="6" t="n">
        <v>0</v>
      </c>
      <c r="N96" s="6" t="n">
        <v>0</v>
      </c>
      <c r="O96" s="6" t="n">
        <v>0</v>
      </c>
      <c r="P96" s="6" t="n">
        <v>0</v>
      </c>
      <c r="Q96" s="6" t="n">
        <v>0</v>
      </c>
      <c r="R96" s="6" t="n">
        <v>0</v>
      </c>
      <c r="S96" s="6" t="n">
        <v>0</v>
      </c>
      <c r="T96" s="6" t="n">
        <v>0</v>
      </c>
      <c r="U96" s="6" t="n">
        <v>1</v>
      </c>
      <c r="V96" s="6" t="n">
        <v>0</v>
      </c>
      <c r="W96" s="6" t="n">
        <v>1</v>
      </c>
      <c r="X96" s="6" t="n">
        <v>2</v>
      </c>
      <c r="Y96" s="6" t="n">
        <v>3</v>
      </c>
      <c r="Z96" s="6" t="n">
        <v>0</v>
      </c>
      <c r="AA96" s="6" t="n">
        <v>0</v>
      </c>
      <c r="AB96" s="6">
        <f>SUM(D96:AA96)</f>
        <v/>
      </c>
      <c r="AC96" s="3" t="inlineStr"/>
      <c r="AD96" s="7">
        <f>AA96*0.0122437846+D96*0.0122437846</f>
        <v/>
      </c>
      <c r="AE96" s="7">
        <f>D96*0.0122437846+E96*0.0122437846</f>
        <v/>
      </c>
      <c r="AF96" s="7">
        <f>E96*0.0122437846+F96*0.0122437846</f>
        <v/>
      </c>
      <c r="AG96" s="7">
        <f>F96*0.0122437846+G96*0.0122437846</f>
        <v/>
      </c>
      <c r="AH96" s="7">
        <f>G96*0.0122437846+H96*0.0122437846</f>
        <v/>
      </c>
      <c r="AI96" s="7">
        <f>H96*0.0122437846+I96*0.0122437846</f>
        <v/>
      </c>
      <c r="AJ96" s="7">
        <f>I96*0.0122437846+J96*0.0122437846</f>
        <v/>
      </c>
      <c r="AK96" s="7">
        <f>J96*0.0122437846+K96*0.0122437846</f>
        <v/>
      </c>
      <c r="AL96" s="7">
        <f>K96*0.0122437846+L96*0.0122437846</f>
        <v/>
      </c>
      <c r="AM96" s="7">
        <f>L96*0.0122437846+M96*0.0122437846</f>
        <v/>
      </c>
      <c r="AN96" s="7">
        <f>M96*0.0122437846+N96*0.0122437846</f>
        <v/>
      </c>
      <c r="AO96" s="7">
        <f>N96*0.0122437846+O96*0.0122437846</f>
        <v/>
      </c>
      <c r="AP96" s="7">
        <f>O96*0.0122437846+P96*0.0122437846</f>
        <v/>
      </c>
      <c r="AQ96" s="7">
        <f>P96*0.0122437846+Q96*0.0122437846</f>
        <v/>
      </c>
      <c r="AR96" s="7">
        <f>Q96*0.0122437846+R96*0.0122437846</f>
        <v/>
      </c>
      <c r="AS96" s="7">
        <f>R96*0.0122437846+S96*0.0122437846</f>
        <v/>
      </c>
      <c r="AT96" s="7">
        <f>S96*0.0122437846+T96*0.0122437846</f>
        <v/>
      </c>
      <c r="AU96" s="7">
        <f>T96*0.0122437846+U96*0.0122437846</f>
        <v/>
      </c>
      <c r="AV96" s="7">
        <f>U96*0.0122437846+V96*0.0122437846</f>
        <v/>
      </c>
      <c r="AW96" s="7">
        <f>V96*0.0122437846+W96*0.0122437846</f>
        <v/>
      </c>
      <c r="AX96" s="7">
        <f>W96*0.0122437846+X96*0.0122437846</f>
        <v/>
      </c>
      <c r="AY96" s="7">
        <f>X96*0.0122437846+Y96*0.0122437846</f>
        <v/>
      </c>
      <c r="AZ96" s="7">
        <f>Y96*0.0122437846+Z96*0.0122437846</f>
        <v/>
      </c>
      <c r="BA96" s="7">
        <f>Z96*0.0122437846+AA96*0.0122437846</f>
        <v/>
      </c>
      <c r="BB96" s="7">
        <f>SUM(AD96:BA96)</f>
        <v/>
      </c>
    </row>
    <row r="97">
      <c r="A97" t="inlineStr">
        <is>
          <t>AMD-RTS-RCLS-1302-SSC</t>
        </is>
      </c>
      <c r="B97" t="inlineStr">
        <is>
          <t>Rev OSC</t>
        </is>
      </c>
      <c r="C97" s="5" t="n">
        <v>46104</v>
      </c>
      <c r="D97" s="6" t="n">
        <v>0</v>
      </c>
      <c r="E97" s="6" t="n">
        <v>0</v>
      </c>
      <c r="F97" s="6" t="n">
        <v>0</v>
      </c>
      <c r="G97" s="6" t="n">
        <v>0</v>
      </c>
      <c r="H97" s="6" t="n">
        <v>0</v>
      </c>
      <c r="I97" s="6" t="n">
        <v>0</v>
      </c>
      <c r="J97" s="6" t="n">
        <v>0</v>
      </c>
      <c r="K97" s="6" t="n">
        <v>0</v>
      </c>
      <c r="L97" s="6" t="n">
        <v>0</v>
      </c>
      <c r="M97" s="6" t="n">
        <v>0</v>
      </c>
      <c r="N97" s="6" t="n">
        <v>0</v>
      </c>
      <c r="O97" s="6" t="n">
        <v>0</v>
      </c>
      <c r="P97" s="6" t="n">
        <v>0</v>
      </c>
      <c r="Q97" s="6" t="n">
        <v>0</v>
      </c>
      <c r="R97" s="6" t="n">
        <v>2</v>
      </c>
      <c r="S97" s="6" t="n">
        <v>1</v>
      </c>
      <c r="T97" s="6" t="n">
        <v>0</v>
      </c>
      <c r="U97" s="6" t="n">
        <v>2</v>
      </c>
      <c r="V97" s="6" t="n">
        <v>1</v>
      </c>
      <c r="W97" s="6" t="n">
        <v>2</v>
      </c>
      <c r="X97" s="6" t="n">
        <v>2</v>
      </c>
      <c r="Y97" s="6" t="n">
        <v>1</v>
      </c>
      <c r="Z97" s="6" t="n">
        <v>0</v>
      </c>
      <c r="AA97" s="6" t="n">
        <v>0</v>
      </c>
      <c r="AB97" s="6">
        <f>SUM(D97:AA97)</f>
        <v/>
      </c>
      <c r="AC97" s="3" t="inlineStr"/>
      <c r="AD97" s="7">
        <f>AA97*0.0122437846+D97*0.0122437846</f>
        <v/>
      </c>
      <c r="AE97" s="7">
        <f>D97*0.0122437846+E97*0.0122437846</f>
        <v/>
      </c>
      <c r="AF97" s="7">
        <f>E97*0.0122437846+F97*0.0122437846</f>
        <v/>
      </c>
      <c r="AG97" s="7">
        <f>F97*0.0122437846+G97*0.0122437846</f>
        <v/>
      </c>
      <c r="AH97" s="7">
        <f>G97*0.0122437846+H97*0.0122437846</f>
        <v/>
      </c>
      <c r="AI97" s="7">
        <f>H97*0.0122437846+I97*0.0122437846</f>
        <v/>
      </c>
      <c r="AJ97" s="7">
        <f>I97*0.0122437846+J97*0.0122437846</f>
        <v/>
      </c>
      <c r="AK97" s="7">
        <f>J97*0.0122437846+K97*0.0122437846</f>
        <v/>
      </c>
      <c r="AL97" s="7">
        <f>K97*0.0122437846+L97*0.0122437846</f>
        <v/>
      </c>
      <c r="AM97" s="7">
        <f>L97*0.0122437846+M97*0.0122437846</f>
        <v/>
      </c>
      <c r="AN97" s="7">
        <f>M97*0.0122437846+N97*0.0122437846</f>
        <v/>
      </c>
      <c r="AO97" s="7">
        <f>N97*0.0122437846+O97*0.0122437846</f>
        <v/>
      </c>
      <c r="AP97" s="7">
        <f>O97*0.0122437846+P97*0.0122437846</f>
        <v/>
      </c>
      <c r="AQ97" s="7">
        <f>P97*0.0122437846+Q97*0.0122437846</f>
        <v/>
      </c>
      <c r="AR97" s="7">
        <f>Q97*0.0122437846+R97*0.0122437846</f>
        <v/>
      </c>
      <c r="AS97" s="7">
        <f>R97*0.0122437846+S97*0.0122437846</f>
        <v/>
      </c>
      <c r="AT97" s="7">
        <f>S97*0.0122437846+T97*0.0122437846</f>
        <v/>
      </c>
      <c r="AU97" s="7">
        <f>T97*0.0122437846+U97*0.0122437846</f>
        <v/>
      </c>
      <c r="AV97" s="7">
        <f>U97*0.0122437846+V97*0.0122437846</f>
        <v/>
      </c>
      <c r="AW97" s="7">
        <f>V97*0.0122437846+W97*0.0122437846</f>
        <v/>
      </c>
      <c r="AX97" s="7">
        <f>W97*0.0122437846+X97*0.0122437846</f>
        <v/>
      </c>
      <c r="AY97" s="7">
        <f>X97*0.0122437846+Y97*0.0122437846</f>
        <v/>
      </c>
      <c r="AZ97" s="7">
        <f>Y97*0.0122437846+Z97*0.0122437846</f>
        <v/>
      </c>
      <c r="BA97" s="7">
        <f>Z97*0.0122437846+AA97*0.0122437846</f>
        <v/>
      </c>
      <c r="BB97" s="7">
        <f>SUM(AD97:BA97)</f>
        <v/>
      </c>
    </row>
    <row r="98">
      <c r="A98" t="inlineStr">
        <is>
          <t>AMD-RTS-RCLS-1302-SSC</t>
        </is>
      </c>
      <c r="B98" t="inlineStr">
        <is>
          <t>Rev OSC</t>
        </is>
      </c>
      <c r="C98" s="5" t="n">
        <v>46105</v>
      </c>
      <c r="D98" s="6" t="n">
        <v>0</v>
      </c>
      <c r="E98" s="6" t="n">
        <v>0</v>
      </c>
      <c r="F98" s="6" t="n">
        <v>1</v>
      </c>
      <c r="G98" s="6" t="n">
        <v>1</v>
      </c>
      <c r="H98" s="6" t="n">
        <v>1</v>
      </c>
      <c r="I98" s="6" t="n">
        <v>0</v>
      </c>
      <c r="J98" s="6" t="n">
        <v>0</v>
      </c>
      <c r="K98" s="6" t="n">
        <v>0</v>
      </c>
      <c r="L98" s="6" t="n">
        <v>0</v>
      </c>
      <c r="M98" s="6" t="n">
        <v>0</v>
      </c>
      <c r="N98" s="6" t="n">
        <v>0</v>
      </c>
      <c r="O98" s="6" t="n">
        <v>0</v>
      </c>
      <c r="P98" s="6" t="n">
        <v>0</v>
      </c>
      <c r="Q98" s="6" t="n">
        <v>0</v>
      </c>
      <c r="R98" s="6" t="n">
        <v>2</v>
      </c>
      <c r="S98" s="6" t="n">
        <v>1</v>
      </c>
      <c r="T98" s="6" t="n">
        <v>0</v>
      </c>
      <c r="U98" s="6" t="n">
        <v>1</v>
      </c>
      <c r="V98" s="6" t="n">
        <v>2</v>
      </c>
      <c r="W98" s="6" t="n">
        <v>0</v>
      </c>
      <c r="X98" s="6" t="n">
        <v>0</v>
      </c>
      <c r="Y98" s="6" t="n">
        <v>0</v>
      </c>
      <c r="Z98" s="6" t="n">
        <v>0</v>
      </c>
      <c r="AA98" s="6" t="n">
        <v>0</v>
      </c>
      <c r="AB98" s="6">
        <f>SUM(D98:AA98)</f>
        <v/>
      </c>
      <c r="AC98" s="3" t="inlineStr"/>
      <c r="AD98" s="7">
        <f>AA98*0.0122437846+D98*0.0122437846</f>
        <v/>
      </c>
      <c r="AE98" s="7">
        <f>D98*0.0122437846+E98*0.0122437846</f>
        <v/>
      </c>
      <c r="AF98" s="7">
        <f>E98*0.0122437846+F98*0.0122437846</f>
        <v/>
      </c>
      <c r="AG98" s="7">
        <f>F98*0.0122437846+G98*0.0122437846</f>
        <v/>
      </c>
      <c r="AH98" s="7">
        <f>G98*0.0122437846+H98*0.0122437846</f>
        <v/>
      </c>
      <c r="AI98" s="7">
        <f>H98*0.0122437846+I98*0.0122437846</f>
        <v/>
      </c>
      <c r="AJ98" s="7">
        <f>I98*0.0122437846+J98*0.0122437846</f>
        <v/>
      </c>
      <c r="AK98" s="7">
        <f>J98*0.0122437846+K98*0.0122437846</f>
        <v/>
      </c>
      <c r="AL98" s="7">
        <f>K98*0.0122437846+L98*0.0122437846</f>
        <v/>
      </c>
      <c r="AM98" s="7">
        <f>L98*0.0122437846+M98*0.0122437846</f>
        <v/>
      </c>
      <c r="AN98" s="7">
        <f>M98*0.0122437846+N98*0.0122437846</f>
        <v/>
      </c>
      <c r="AO98" s="7">
        <f>N98*0.0122437846+O98*0.0122437846</f>
        <v/>
      </c>
      <c r="AP98" s="7">
        <f>O98*0.0122437846+P98*0.0122437846</f>
        <v/>
      </c>
      <c r="AQ98" s="7">
        <f>P98*0.0122437846+Q98*0.0122437846</f>
        <v/>
      </c>
      <c r="AR98" s="7">
        <f>Q98*0.0122437846+R98*0.0122437846</f>
        <v/>
      </c>
      <c r="AS98" s="7">
        <f>R98*0.0122437846+S98*0.0122437846</f>
        <v/>
      </c>
      <c r="AT98" s="7">
        <f>S98*0.0122437846+T98*0.0122437846</f>
        <v/>
      </c>
      <c r="AU98" s="7">
        <f>T98*0.0122437846+U98*0.0122437846</f>
        <v/>
      </c>
      <c r="AV98" s="7">
        <f>U98*0.0122437846+V98*0.0122437846</f>
        <v/>
      </c>
      <c r="AW98" s="7">
        <f>V98*0.0122437846+W98*0.0122437846</f>
        <v/>
      </c>
      <c r="AX98" s="7">
        <f>W98*0.0122437846+X98*0.0122437846</f>
        <v/>
      </c>
      <c r="AY98" s="7">
        <f>X98*0.0122437846+Y98*0.0122437846</f>
        <v/>
      </c>
      <c r="AZ98" s="7">
        <f>Y98*0.0122437846+Z98*0.0122437846</f>
        <v/>
      </c>
      <c r="BA98" s="7">
        <f>Z98*0.0122437846+AA98*0.0122437846</f>
        <v/>
      </c>
      <c r="BB98" s="7">
        <f>SUM(AD98:BA98)</f>
        <v/>
      </c>
    </row>
    <row r="99">
      <c r="A99" t="inlineStr">
        <is>
          <t>AMD-RTS-RCLS-1302-SSC_1</t>
        </is>
      </c>
      <c r="B99" t="inlineStr">
        <is>
          <t>Rev OSC</t>
        </is>
      </c>
      <c r="C99" s="5" t="n">
        <v>46090</v>
      </c>
      <c r="D99" s="6" t="n">
        <v>0</v>
      </c>
      <c r="E99" s="6" t="n">
        <v>0</v>
      </c>
      <c r="F99" s="6" t="n">
        <v>0</v>
      </c>
      <c r="G99" s="6" t="n">
        <v>0</v>
      </c>
      <c r="H99" s="6" t="n">
        <v>0</v>
      </c>
      <c r="I99" s="6" t="n">
        <v>0</v>
      </c>
      <c r="J99" s="6" t="n">
        <v>0</v>
      </c>
      <c r="K99" s="6" t="n">
        <v>0</v>
      </c>
      <c r="L99" s="6" t="n">
        <v>0</v>
      </c>
      <c r="M99" s="6" t="n">
        <v>0</v>
      </c>
      <c r="N99" s="6" t="n">
        <v>0</v>
      </c>
      <c r="O99" s="6" t="n">
        <v>0</v>
      </c>
      <c r="P99" s="6" t="n">
        <v>0</v>
      </c>
      <c r="Q99" s="6" t="n">
        <v>0</v>
      </c>
      <c r="R99" s="6" t="n">
        <v>0</v>
      </c>
      <c r="S99" s="6" t="n">
        <v>0</v>
      </c>
      <c r="T99" s="6" t="n">
        <v>0</v>
      </c>
      <c r="U99" s="6" t="n">
        <v>0</v>
      </c>
      <c r="V99" s="6" t="n">
        <v>0</v>
      </c>
      <c r="W99" s="6" t="n">
        <v>0</v>
      </c>
      <c r="X99" s="6" t="n">
        <v>0</v>
      </c>
      <c r="Y99" s="6" t="n">
        <v>1</v>
      </c>
      <c r="Z99" s="6" t="n">
        <v>0</v>
      </c>
      <c r="AA99" s="6" t="n">
        <v>0</v>
      </c>
      <c r="AB99" s="6">
        <f>SUM(D99:AA99)</f>
        <v/>
      </c>
      <c r="AC99" s="3" t="inlineStr"/>
      <c r="AD99" s="7">
        <f>AA99*0.0122437846+D99*0.0122437846</f>
        <v/>
      </c>
      <c r="AE99" s="7">
        <f>D99*0.0122437846+E99*0.0122437846</f>
        <v/>
      </c>
      <c r="AF99" s="7">
        <f>E99*0.0122437846+F99*0.0122437846</f>
        <v/>
      </c>
      <c r="AG99" s="7">
        <f>F99*0.0122437846+G99*0.0122437846</f>
        <v/>
      </c>
      <c r="AH99" s="7">
        <f>G99*0.0122437846+H99*0.0122437846</f>
        <v/>
      </c>
      <c r="AI99" s="7">
        <f>H99*0.0122437846+I99*0.0122437846</f>
        <v/>
      </c>
      <c r="AJ99" s="7">
        <f>I99*0.0122437846+J99*0.0122437846</f>
        <v/>
      </c>
      <c r="AK99" s="7">
        <f>J99*0.0122437846+K99*0.0122437846</f>
        <v/>
      </c>
      <c r="AL99" s="7">
        <f>K99*0.0122437846+L99*0.0122437846</f>
        <v/>
      </c>
      <c r="AM99" s="7">
        <f>L99*0.0122437846+M99*0.0122437846</f>
        <v/>
      </c>
      <c r="AN99" s="7">
        <f>M99*0.0122437846+N99*0.0122437846</f>
        <v/>
      </c>
      <c r="AO99" s="7">
        <f>N99*0.0122437846+O99*0.0122437846</f>
        <v/>
      </c>
      <c r="AP99" s="7">
        <f>O99*0.0122437846+P99*0.0122437846</f>
        <v/>
      </c>
      <c r="AQ99" s="7">
        <f>P99*0.0122437846+Q99*0.0122437846</f>
        <v/>
      </c>
      <c r="AR99" s="7">
        <f>Q99*0.0122437846+R99*0.0122437846</f>
        <v/>
      </c>
      <c r="AS99" s="7">
        <f>R99*0.0122437846+S99*0.0122437846</f>
        <v/>
      </c>
      <c r="AT99" s="7">
        <f>S99*0.0122437846+T99*0.0122437846</f>
        <v/>
      </c>
      <c r="AU99" s="7">
        <f>T99*0.0122437846+U99*0.0122437846</f>
        <v/>
      </c>
      <c r="AV99" s="7">
        <f>U99*0.0122437846+V99*0.0122437846</f>
        <v/>
      </c>
      <c r="AW99" s="7">
        <f>V99*0.0122437846+W99*0.0122437846</f>
        <v/>
      </c>
      <c r="AX99" s="7">
        <f>W99*0.0122437846+X99*0.0122437846</f>
        <v/>
      </c>
      <c r="AY99" s="7">
        <f>X99*0.0122437846+Y99*0.0122437846</f>
        <v/>
      </c>
      <c r="AZ99" s="7">
        <f>Y99*0.0122437846+Z99*0.0122437846</f>
        <v/>
      </c>
      <c r="BA99" s="7">
        <f>Z99*0.0122437846+AA99*0.0122437846</f>
        <v/>
      </c>
      <c r="BB99" s="7">
        <f>SUM(AD99:BA99)</f>
        <v/>
      </c>
    </row>
    <row r="100">
      <c r="A100" t="inlineStr">
        <is>
          <t>AMD-RTS-RCLS-1302-SSC_1</t>
        </is>
      </c>
      <c r="B100" t="inlineStr">
        <is>
          <t>Rev OSC</t>
        </is>
      </c>
      <c r="C100" s="5" t="n">
        <v>46093</v>
      </c>
      <c r="D100" s="6" t="n">
        <v>0</v>
      </c>
      <c r="E100" s="6" t="n">
        <v>0</v>
      </c>
      <c r="F100" s="6" t="n">
        <v>0</v>
      </c>
      <c r="G100" s="6" t="n">
        <v>0</v>
      </c>
      <c r="H100" s="6" t="n">
        <v>0</v>
      </c>
      <c r="I100" s="6" t="n">
        <v>0</v>
      </c>
      <c r="J100" s="6" t="n">
        <v>0</v>
      </c>
      <c r="K100" s="6" t="n">
        <v>0</v>
      </c>
      <c r="L100" s="6" t="n">
        <v>0</v>
      </c>
      <c r="M100" s="6" t="n">
        <v>0</v>
      </c>
      <c r="N100" s="6" t="n">
        <v>0</v>
      </c>
      <c r="O100" s="6" t="n">
        <v>0</v>
      </c>
      <c r="P100" s="6" t="n">
        <v>0</v>
      </c>
      <c r="Q100" s="6" t="n">
        <v>0</v>
      </c>
      <c r="R100" s="6" t="n">
        <v>0</v>
      </c>
      <c r="S100" s="6" t="n">
        <v>0</v>
      </c>
      <c r="T100" s="6" t="n">
        <v>0</v>
      </c>
      <c r="U100" s="6" t="n">
        <v>0</v>
      </c>
      <c r="V100" s="6" t="n">
        <v>0</v>
      </c>
      <c r="W100" s="6" t="n">
        <v>0</v>
      </c>
      <c r="X100" s="6" t="n">
        <v>0</v>
      </c>
      <c r="Y100" s="6" t="n">
        <v>0</v>
      </c>
      <c r="Z100" s="6" t="n">
        <v>0</v>
      </c>
      <c r="AA100" s="6" t="n">
        <v>0</v>
      </c>
      <c r="AB100" s="6">
        <f>SUM(D100:AA100)</f>
        <v/>
      </c>
      <c r="AC100" s="3" t="inlineStr"/>
      <c r="AD100" s="7">
        <f>AA100*0.0122437846+D100*0.0122437846</f>
        <v/>
      </c>
      <c r="AE100" s="7">
        <f>D100*0.0122437846+E100*0.0122437846</f>
        <v/>
      </c>
      <c r="AF100" s="7">
        <f>E100*0.0122437846+F100*0.0122437846</f>
        <v/>
      </c>
      <c r="AG100" s="7">
        <f>F100*0.0122437846+G100*0.0122437846</f>
        <v/>
      </c>
      <c r="AH100" s="7">
        <f>G100*0.0122437846+H100*0.0122437846</f>
        <v/>
      </c>
      <c r="AI100" s="7">
        <f>H100*0.0122437846+I100*0.0122437846</f>
        <v/>
      </c>
      <c r="AJ100" s="7">
        <f>I100*0.0122437846+J100*0.0122437846</f>
        <v/>
      </c>
      <c r="AK100" s="7">
        <f>J100*0.0122437846+K100*0.0122437846</f>
        <v/>
      </c>
      <c r="AL100" s="7">
        <f>K100*0.0122437846+L100*0.0122437846</f>
        <v/>
      </c>
      <c r="AM100" s="7">
        <f>L100*0.0122437846+M100*0.0122437846</f>
        <v/>
      </c>
      <c r="AN100" s="7">
        <f>M100*0.0122437846+N100*0.0122437846</f>
        <v/>
      </c>
      <c r="AO100" s="7">
        <f>N100*0.0122437846+O100*0.0122437846</f>
        <v/>
      </c>
      <c r="AP100" s="7">
        <f>O100*0.0122437846+P100*0.0122437846</f>
        <v/>
      </c>
      <c r="AQ100" s="7">
        <f>P100*0.0122437846+Q100*0.0122437846</f>
        <v/>
      </c>
      <c r="AR100" s="7">
        <f>Q100*0.0122437846+R100*0.0122437846</f>
        <v/>
      </c>
      <c r="AS100" s="7">
        <f>R100*0.0122437846+S100*0.0122437846</f>
        <v/>
      </c>
      <c r="AT100" s="7">
        <f>S100*0.0122437846+T100*0.0122437846</f>
        <v/>
      </c>
      <c r="AU100" s="7">
        <f>T100*0.0122437846+U100*0.0122437846</f>
        <v/>
      </c>
      <c r="AV100" s="7">
        <f>U100*0.0122437846+V100*0.0122437846</f>
        <v/>
      </c>
      <c r="AW100" s="7">
        <f>V100*0.0122437846+W100*0.0122437846</f>
        <v/>
      </c>
      <c r="AX100" s="7">
        <f>W100*0.0122437846+X100*0.0122437846</f>
        <v/>
      </c>
      <c r="AY100" s="7">
        <f>X100*0.0122437846+Y100*0.0122437846</f>
        <v/>
      </c>
      <c r="AZ100" s="7">
        <f>Y100*0.0122437846+Z100*0.0122437846</f>
        <v/>
      </c>
      <c r="BA100" s="7">
        <f>Z100*0.0122437846+AA100*0.0122437846</f>
        <v/>
      </c>
      <c r="BB100" s="7">
        <f>SUM(AD100:BA100)</f>
        <v/>
      </c>
    </row>
    <row r="101">
      <c r="A101" t="inlineStr">
        <is>
          <t>AMD-RTS-RCLS-1302-SSC_1</t>
        </is>
      </c>
      <c r="B101" t="inlineStr">
        <is>
          <t>Rev OSC</t>
        </is>
      </c>
      <c r="C101" s="5" t="n">
        <v>46094</v>
      </c>
      <c r="D101" s="6" t="n">
        <v>0</v>
      </c>
      <c r="E101" s="6" t="n">
        <v>0</v>
      </c>
      <c r="F101" s="6" t="n">
        <v>0</v>
      </c>
      <c r="G101" s="6" t="n">
        <v>0</v>
      </c>
      <c r="H101" s="6" t="n">
        <v>0</v>
      </c>
      <c r="I101" s="6" t="n">
        <v>0</v>
      </c>
      <c r="J101" s="6" t="n">
        <v>0</v>
      </c>
      <c r="K101" s="6" t="n">
        <v>0</v>
      </c>
      <c r="L101" s="6" t="n">
        <v>0</v>
      </c>
      <c r="M101" s="6" t="n">
        <v>0</v>
      </c>
      <c r="N101" s="6" t="n">
        <v>0</v>
      </c>
      <c r="O101" s="6" t="n">
        <v>0</v>
      </c>
      <c r="P101" s="6" t="n">
        <v>0</v>
      </c>
      <c r="Q101" s="6" t="n">
        <v>0</v>
      </c>
      <c r="R101" s="6" t="n">
        <v>0</v>
      </c>
      <c r="S101" s="6" t="n">
        <v>0</v>
      </c>
      <c r="T101" s="6" t="n">
        <v>0</v>
      </c>
      <c r="U101" s="6" t="n">
        <v>0</v>
      </c>
      <c r="V101" s="6" t="n">
        <v>0</v>
      </c>
      <c r="W101" s="6" t="n">
        <v>0</v>
      </c>
      <c r="X101" s="6" t="n">
        <v>0</v>
      </c>
      <c r="Y101" s="6" t="n">
        <v>0</v>
      </c>
      <c r="Z101" s="6" t="n">
        <v>0</v>
      </c>
      <c r="AA101" s="6" t="n">
        <v>0</v>
      </c>
      <c r="AB101" s="6">
        <f>SUM(D101:AA101)</f>
        <v/>
      </c>
      <c r="AC101" s="3" t="inlineStr"/>
      <c r="AD101" s="7">
        <f>AA101*0.0122437846+D101*0.0122437846</f>
        <v/>
      </c>
      <c r="AE101" s="7">
        <f>D101*0.0122437846+E101*0.0122437846</f>
        <v/>
      </c>
      <c r="AF101" s="7">
        <f>E101*0.0122437846+F101*0.0122437846</f>
        <v/>
      </c>
      <c r="AG101" s="7">
        <f>F101*0.0122437846+G101*0.0122437846</f>
        <v/>
      </c>
      <c r="AH101" s="7">
        <f>G101*0.0122437846+H101*0.0122437846</f>
        <v/>
      </c>
      <c r="AI101" s="7">
        <f>H101*0.0122437846+I101*0.0122437846</f>
        <v/>
      </c>
      <c r="AJ101" s="7">
        <f>I101*0.0122437846+J101*0.0122437846</f>
        <v/>
      </c>
      <c r="AK101" s="7">
        <f>J101*0.0122437846+K101*0.0122437846</f>
        <v/>
      </c>
      <c r="AL101" s="7">
        <f>K101*0.0122437846+L101*0.0122437846</f>
        <v/>
      </c>
      <c r="AM101" s="7">
        <f>L101*0.0122437846+M101*0.0122437846</f>
        <v/>
      </c>
      <c r="AN101" s="7">
        <f>M101*0.0122437846+N101*0.0122437846</f>
        <v/>
      </c>
      <c r="AO101" s="7">
        <f>N101*0.0122437846+O101*0.0122437846</f>
        <v/>
      </c>
      <c r="AP101" s="7">
        <f>O101*0.0122437846+P101*0.0122437846</f>
        <v/>
      </c>
      <c r="AQ101" s="7">
        <f>P101*0.0122437846+Q101*0.0122437846</f>
        <v/>
      </c>
      <c r="AR101" s="7">
        <f>Q101*0.0122437846+R101*0.0122437846</f>
        <v/>
      </c>
      <c r="AS101" s="7">
        <f>R101*0.0122437846+S101*0.0122437846</f>
        <v/>
      </c>
      <c r="AT101" s="7">
        <f>S101*0.0122437846+T101*0.0122437846</f>
        <v/>
      </c>
      <c r="AU101" s="7">
        <f>T101*0.0122437846+U101*0.0122437846</f>
        <v/>
      </c>
      <c r="AV101" s="7">
        <f>U101*0.0122437846+V101*0.0122437846</f>
        <v/>
      </c>
      <c r="AW101" s="7">
        <f>V101*0.0122437846+W101*0.0122437846</f>
        <v/>
      </c>
      <c r="AX101" s="7">
        <f>W101*0.0122437846+X101*0.0122437846</f>
        <v/>
      </c>
      <c r="AY101" s="7">
        <f>X101*0.0122437846+Y101*0.0122437846</f>
        <v/>
      </c>
      <c r="AZ101" s="7">
        <f>Y101*0.0122437846+Z101*0.0122437846</f>
        <v/>
      </c>
      <c r="BA101" s="7">
        <f>Z101*0.0122437846+AA101*0.0122437846</f>
        <v/>
      </c>
      <c r="BB101" s="7">
        <f>SUM(AD101:BA101)</f>
        <v/>
      </c>
    </row>
    <row r="102">
      <c r="A102" t="inlineStr">
        <is>
          <t>AMD-RTS-RCLS-1302-SSC_1</t>
        </is>
      </c>
      <c r="B102" t="inlineStr">
        <is>
          <t>Rev OSC</t>
        </is>
      </c>
      <c r="C102" s="5" t="n">
        <v>46095</v>
      </c>
      <c r="D102" s="6" t="n">
        <v>0</v>
      </c>
      <c r="E102" s="6" t="n">
        <v>0</v>
      </c>
      <c r="F102" s="6" t="n">
        <v>0</v>
      </c>
      <c r="G102" s="6" t="n">
        <v>0</v>
      </c>
      <c r="H102" s="6" t="n">
        <v>0</v>
      </c>
      <c r="I102" s="6" t="n">
        <v>0</v>
      </c>
      <c r="J102" s="6" t="n">
        <v>0</v>
      </c>
      <c r="K102" s="6" t="n">
        <v>0</v>
      </c>
      <c r="L102" s="6" t="n">
        <v>0</v>
      </c>
      <c r="M102" s="6" t="n">
        <v>0</v>
      </c>
      <c r="N102" s="6" t="n">
        <v>0</v>
      </c>
      <c r="O102" s="6" t="n">
        <v>0</v>
      </c>
      <c r="P102" s="6" t="n">
        <v>0</v>
      </c>
      <c r="Q102" s="6" t="n">
        <v>0</v>
      </c>
      <c r="R102" s="6" t="n">
        <v>0</v>
      </c>
      <c r="S102" s="6" t="n">
        <v>0</v>
      </c>
      <c r="T102" s="6" t="n">
        <v>0</v>
      </c>
      <c r="U102" s="6" t="n">
        <v>0</v>
      </c>
      <c r="V102" s="6" t="n">
        <v>0</v>
      </c>
      <c r="W102" s="6" t="n">
        <v>0</v>
      </c>
      <c r="X102" s="6" t="n">
        <v>0</v>
      </c>
      <c r="Y102" s="6" t="n">
        <v>0</v>
      </c>
      <c r="Z102" s="6" t="n">
        <v>0</v>
      </c>
      <c r="AA102" s="6" t="n">
        <v>0</v>
      </c>
      <c r="AB102" s="6">
        <f>SUM(D102:AA102)</f>
        <v/>
      </c>
      <c r="AC102" s="3" t="inlineStr"/>
      <c r="AD102" s="7">
        <f>AA102*0.0122437846+D102*0.0122437846</f>
        <v/>
      </c>
      <c r="AE102" s="7">
        <f>D102*0.0122437846+E102*0.0122437846</f>
        <v/>
      </c>
      <c r="AF102" s="7">
        <f>E102*0.0122437846+F102*0.0122437846</f>
        <v/>
      </c>
      <c r="AG102" s="7">
        <f>F102*0.0122437846+G102*0.0122437846</f>
        <v/>
      </c>
      <c r="AH102" s="7">
        <f>G102*0.0122437846+H102*0.0122437846</f>
        <v/>
      </c>
      <c r="AI102" s="7">
        <f>H102*0.0122437846+I102*0.0122437846</f>
        <v/>
      </c>
      <c r="AJ102" s="7">
        <f>I102*0.0122437846+J102*0.0122437846</f>
        <v/>
      </c>
      <c r="AK102" s="7">
        <f>J102*0.0122437846+K102*0.0122437846</f>
        <v/>
      </c>
      <c r="AL102" s="7">
        <f>K102*0.0122437846+L102*0.0122437846</f>
        <v/>
      </c>
      <c r="AM102" s="7">
        <f>L102*0.0122437846+M102*0.0122437846</f>
        <v/>
      </c>
      <c r="AN102" s="7">
        <f>M102*0.0122437846+N102*0.0122437846</f>
        <v/>
      </c>
      <c r="AO102" s="7">
        <f>N102*0.0122437846+O102*0.0122437846</f>
        <v/>
      </c>
      <c r="AP102" s="7">
        <f>O102*0.0122437846+P102*0.0122437846</f>
        <v/>
      </c>
      <c r="AQ102" s="7">
        <f>P102*0.0122437846+Q102*0.0122437846</f>
        <v/>
      </c>
      <c r="AR102" s="7">
        <f>Q102*0.0122437846+R102*0.0122437846</f>
        <v/>
      </c>
      <c r="AS102" s="7">
        <f>R102*0.0122437846+S102*0.0122437846</f>
        <v/>
      </c>
      <c r="AT102" s="7">
        <f>S102*0.0122437846+T102*0.0122437846</f>
        <v/>
      </c>
      <c r="AU102" s="7">
        <f>T102*0.0122437846+U102*0.0122437846</f>
        <v/>
      </c>
      <c r="AV102" s="7">
        <f>U102*0.0122437846+V102*0.0122437846</f>
        <v/>
      </c>
      <c r="AW102" s="7">
        <f>V102*0.0122437846+W102*0.0122437846</f>
        <v/>
      </c>
      <c r="AX102" s="7">
        <f>W102*0.0122437846+X102*0.0122437846</f>
        <v/>
      </c>
      <c r="AY102" s="7">
        <f>X102*0.0122437846+Y102*0.0122437846</f>
        <v/>
      </c>
      <c r="AZ102" s="7">
        <f>Y102*0.0122437846+Z102*0.0122437846</f>
        <v/>
      </c>
      <c r="BA102" s="7">
        <f>Z102*0.0122437846+AA102*0.0122437846</f>
        <v/>
      </c>
      <c r="BB102" s="7">
        <f>SUM(AD102:BA102)</f>
        <v/>
      </c>
    </row>
    <row r="103">
      <c r="A103" t="inlineStr">
        <is>
          <t>AMD-RTS-RCLS-1302-SSC_1</t>
        </is>
      </c>
      <c r="B103" t="inlineStr">
        <is>
          <t>Rev OSC</t>
        </is>
      </c>
      <c r="C103" s="5" t="n">
        <v>46100</v>
      </c>
      <c r="D103" s="6" t="n">
        <v>0</v>
      </c>
      <c r="E103" s="6" t="n">
        <v>0</v>
      </c>
      <c r="F103" s="6" t="n">
        <v>0</v>
      </c>
      <c r="G103" s="6" t="n">
        <v>0</v>
      </c>
      <c r="H103" s="6" t="n">
        <v>0</v>
      </c>
      <c r="I103" s="6" t="n">
        <v>0</v>
      </c>
      <c r="J103" s="6" t="n">
        <v>0</v>
      </c>
      <c r="K103" s="6" t="n">
        <v>0</v>
      </c>
      <c r="L103" s="6" t="n">
        <v>0</v>
      </c>
      <c r="M103" s="6" t="n">
        <v>0</v>
      </c>
      <c r="N103" s="6" t="n">
        <v>0</v>
      </c>
      <c r="O103" s="6" t="n">
        <v>0</v>
      </c>
      <c r="P103" s="6" t="n">
        <v>0</v>
      </c>
      <c r="Q103" s="6" t="n">
        <v>0</v>
      </c>
      <c r="R103" s="6" t="n">
        <v>0</v>
      </c>
      <c r="S103" s="6" t="n">
        <v>0</v>
      </c>
      <c r="T103" s="6" t="n">
        <v>0</v>
      </c>
      <c r="U103" s="6" t="n">
        <v>0</v>
      </c>
      <c r="V103" s="6" t="n">
        <v>0</v>
      </c>
      <c r="W103" s="6" t="n">
        <v>0</v>
      </c>
      <c r="X103" s="6" t="n">
        <v>0</v>
      </c>
      <c r="Y103" s="6" t="n">
        <v>0</v>
      </c>
      <c r="Z103" s="6" t="n">
        <v>0</v>
      </c>
      <c r="AA103" s="6" t="n">
        <v>0</v>
      </c>
      <c r="AB103" s="6">
        <f>SUM(D103:AA103)</f>
        <v/>
      </c>
      <c r="AC103" s="3" t="inlineStr"/>
      <c r="AD103" s="7">
        <f>AA103*0.0122437846+D103*0.0122437846</f>
        <v/>
      </c>
      <c r="AE103" s="7">
        <f>D103*0.0122437846+E103*0.0122437846</f>
        <v/>
      </c>
      <c r="AF103" s="7">
        <f>E103*0.0122437846+F103*0.0122437846</f>
        <v/>
      </c>
      <c r="AG103" s="7">
        <f>F103*0.0122437846+G103*0.0122437846</f>
        <v/>
      </c>
      <c r="AH103" s="7">
        <f>G103*0.0122437846+H103*0.0122437846</f>
        <v/>
      </c>
      <c r="AI103" s="7">
        <f>H103*0.0122437846+I103*0.0122437846</f>
        <v/>
      </c>
      <c r="AJ103" s="7">
        <f>I103*0.0122437846+J103*0.0122437846</f>
        <v/>
      </c>
      <c r="AK103" s="7">
        <f>J103*0.0122437846+K103*0.0122437846</f>
        <v/>
      </c>
      <c r="AL103" s="7">
        <f>K103*0.0122437846+L103*0.0122437846</f>
        <v/>
      </c>
      <c r="AM103" s="7">
        <f>L103*0.0122437846+M103*0.0122437846</f>
        <v/>
      </c>
      <c r="AN103" s="7">
        <f>M103*0.0122437846+N103*0.0122437846</f>
        <v/>
      </c>
      <c r="AO103" s="7">
        <f>N103*0.0122437846+O103*0.0122437846</f>
        <v/>
      </c>
      <c r="AP103" s="7">
        <f>O103*0.0122437846+P103*0.0122437846</f>
        <v/>
      </c>
      <c r="AQ103" s="7">
        <f>P103*0.0122437846+Q103*0.0122437846</f>
        <v/>
      </c>
      <c r="AR103" s="7">
        <f>Q103*0.0122437846+R103*0.0122437846</f>
        <v/>
      </c>
      <c r="AS103" s="7">
        <f>R103*0.0122437846+S103*0.0122437846</f>
        <v/>
      </c>
      <c r="AT103" s="7">
        <f>S103*0.0122437846+T103*0.0122437846</f>
        <v/>
      </c>
      <c r="AU103" s="7">
        <f>T103*0.0122437846+U103*0.0122437846</f>
        <v/>
      </c>
      <c r="AV103" s="7">
        <f>U103*0.0122437846+V103*0.0122437846</f>
        <v/>
      </c>
      <c r="AW103" s="7">
        <f>V103*0.0122437846+W103*0.0122437846</f>
        <v/>
      </c>
      <c r="AX103" s="7">
        <f>W103*0.0122437846+X103*0.0122437846</f>
        <v/>
      </c>
      <c r="AY103" s="7">
        <f>X103*0.0122437846+Y103*0.0122437846</f>
        <v/>
      </c>
      <c r="AZ103" s="7">
        <f>Y103*0.0122437846+Z103*0.0122437846</f>
        <v/>
      </c>
      <c r="BA103" s="7">
        <f>Z103*0.0122437846+AA103*0.0122437846</f>
        <v/>
      </c>
      <c r="BB103" s="7">
        <f>SUM(AD103:BA103)</f>
        <v/>
      </c>
    </row>
    <row r="104">
      <c r="A104" t="inlineStr">
        <is>
          <t>AMD-RTS-RCLS-1302-SSC_1</t>
        </is>
      </c>
      <c r="B104" t="inlineStr">
        <is>
          <t>Rev OSC</t>
        </is>
      </c>
      <c r="C104" s="5" t="n">
        <v>46102</v>
      </c>
      <c r="D104" s="6" t="n">
        <v>0</v>
      </c>
      <c r="E104" s="6" t="n">
        <v>0</v>
      </c>
      <c r="F104" s="6" t="n">
        <v>0</v>
      </c>
      <c r="G104" s="6" t="n">
        <v>0</v>
      </c>
      <c r="H104" s="6" t="n">
        <v>0</v>
      </c>
      <c r="I104" s="6" t="n">
        <v>0</v>
      </c>
      <c r="J104" s="6" t="n">
        <v>0</v>
      </c>
      <c r="K104" s="6" t="n">
        <v>0</v>
      </c>
      <c r="L104" s="6" t="n">
        <v>0</v>
      </c>
      <c r="M104" s="6" t="n">
        <v>0</v>
      </c>
      <c r="N104" s="6" t="n">
        <v>0</v>
      </c>
      <c r="O104" s="6" t="n">
        <v>0</v>
      </c>
      <c r="P104" s="6" t="n">
        <v>0</v>
      </c>
      <c r="Q104" s="6" t="n">
        <v>0</v>
      </c>
      <c r="R104" s="6" t="n">
        <v>1</v>
      </c>
      <c r="S104" s="6" t="n">
        <v>2</v>
      </c>
      <c r="T104" s="6" t="n">
        <v>1</v>
      </c>
      <c r="U104" s="6" t="n">
        <v>0</v>
      </c>
      <c r="V104" s="6" t="n">
        <v>0</v>
      </c>
      <c r="W104" s="6" t="n">
        <v>0</v>
      </c>
      <c r="X104" s="6" t="n">
        <v>0</v>
      </c>
      <c r="Y104" s="6" t="n">
        <v>0</v>
      </c>
      <c r="Z104" s="6" t="n">
        <v>0</v>
      </c>
      <c r="AA104" s="6" t="n">
        <v>0</v>
      </c>
      <c r="AB104" s="6">
        <f>SUM(D104:AA104)</f>
        <v/>
      </c>
      <c r="AC104" s="3" t="inlineStr"/>
      <c r="AD104" s="7">
        <f>AA104*0.0122437846+D104*0.0122437846</f>
        <v/>
      </c>
      <c r="AE104" s="7">
        <f>D104*0.0122437846+E104*0.0122437846</f>
        <v/>
      </c>
      <c r="AF104" s="7">
        <f>E104*0.0122437846+F104*0.0122437846</f>
        <v/>
      </c>
      <c r="AG104" s="7">
        <f>F104*0.0122437846+G104*0.0122437846</f>
        <v/>
      </c>
      <c r="AH104" s="7">
        <f>G104*0.0122437846+H104*0.0122437846</f>
        <v/>
      </c>
      <c r="AI104" s="7">
        <f>H104*0.0122437846+I104*0.0122437846</f>
        <v/>
      </c>
      <c r="AJ104" s="7">
        <f>I104*0.0122437846+J104*0.0122437846</f>
        <v/>
      </c>
      <c r="AK104" s="7">
        <f>J104*0.0122437846+K104*0.0122437846</f>
        <v/>
      </c>
      <c r="AL104" s="7">
        <f>K104*0.0122437846+L104*0.0122437846</f>
        <v/>
      </c>
      <c r="AM104" s="7">
        <f>L104*0.0122437846+M104*0.0122437846</f>
        <v/>
      </c>
      <c r="AN104" s="7">
        <f>M104*0.0122437846+N104*0.0122437846</f>
        <v/>
      </c>
      <c r="AO104" s="7">
        <f>N104*0.0122437846+O104*0.0122437846</f>
        <v/>
      </c>
      <c r="AP104" s="7">
        <f>O104*0.0122437846+P104*0.0122437846</f>
        <v/>
      </c>
      <c r="AQ104" s="7">
        <f>P104*0.0122437846+Q104*0.0122437846</f>
        <v/>
      </c>
      <c r="AR104" s="7">
        <f>Q104*0.0122437846+R104*0.0122437846</f>
        <v/>
      </c>
      <c r="AS104" s="7">
        <f>R104*0.0122437846+S104*0.0122437846</f>
        <v/>
      </c>
      <c r="AT104" s="7">
        <f>S104*0.0122437846+T104*0.0122437846</f>
        <v/>
      </c>
      <c r="AU104" s="7">
        <f>T104*0.0122437846+U104*0.0122437846</f>
        <v/>
      </c>
      <c r="AV104" s="7">
        <f>U104*0.0122437846+V104*0.0122437846</f>
        <v/>
      </c>
      <c r="AW104" s="7">
        <f>V104*0.0122437846+W104*0.0122437846</f>
        <v/>
      </c>
      <c r="AX104" s="7">
        <f>W104*0.0122437846+X104*0.0122437846</f>
        <v/>
      </c>
      <c r="AY104" s="7">
        <f>X104*0.0122437846+Y104*0.0122437846</f>
        <v/>
      </c>
      <c r="AZ104" s="7">
        <f>Y104*0.0122437846+Z104*0.0122437846</f>
        <v/>
      </c>
      <c r="BA104" s="7">
        <f>Z104*0.0122437846+AA104*0.0122437846</f>
        <v/>
      </c>
      <c r="BB104" s="7">
        <f>SUM(AD104:BA104)</f>
        <v/>
      </c>
    </row>
    <row r="105">
      <c r="A105" t="inlineStr">
        <is>
          <t>AMD-RTS-RCLS-1302-SSC_1</t>
        </is>
      </c>
      <c r="B105" t="inlineStr">
        <is>
          <t>Rev OSC</t>
        </is>
      </c>
      <c r="C105" s="5" t="n">
        <v>46103</v>
      </c>
      <c r="D105" s="6" t="n">
        <v>0</v>
      </c>
      <c r="E105" s="6" t="n">
        <v>0</v>
      </c>
      <c r="F105" s="6" t="n">
        <v>0</v>
      </c>
      <c r="G105" s="6" t="n">
        <v>0</v>
      </c>
      <c r="H105" s="6" t="n">
        <v>0</v>
      </c>
      <c r="I105" s="6" t="n">
        <v>0</v>
      </c>
      <c r="J105" s="6" t="n">
        <v>0</v>
      </c>
      <c r="K105" s="6" t="n">
        <v>0</v>
      </c>
      <c r="L105" s="6" t="n">
        <v>0</v>
      </c>
      <c r="M105" s="6" t="n">
        <v>0</v>
      </c>
      <c r="N105" s="6" t="n">
        <v>0</v>
      </c>
      <c r="O105" s="6" t="n">
        <v>0</v>
      </c>
      <c r="P105" s="6" t="n">
        <v>0</v>
      </c>
      <c r="Q105" s="6" t="n">
        <v>0</v>
      </c>
      <c r="R105" s="6" t="n">
        <v>0</v>
      </c>
      <c r="S105" s="6" t="n">
        <v>0</v>
      </c>
      <c r="T105" s="6" t="n">
        <v>1</v>
      </c>
      <c r="U105" s="6" t="n">
        <v>0</v>
      </c>
      <c r="V105" s="6" t="n">
        <v>0</v>
      </c>
      <c r="W105" s="6" t="n">
        <v>0</v>
      </c>
      <c r="X105" s="6" t="n">
        <v>0</v>
      </c>
      <c r="Y105" s="6" t="n">
        <v>0</v>
      </c>
      <c r="Z105" s="6" t="n">
        <v>0</v>
      </c>
      <c r="AA105" s="6" t="n">
        <v>0</v>
      </c>
      <c r="AB105" s="6">
        <f>SUM(D105:AA105)</f>
        <v/>
      </c>
      <c r="AC105" s="3" t="inlineStr"/>
      <c r="AD105" s="7">
        <f>AA105*0.0122437846+D105*0.0122437846</f>
        <v/>
      </c>
      <c r="AE105" s="7">
        <f>D105*0.0122437846+E105*0.0122437846</f>
        <v/>
      </c>
      <c r="AF105" s="7">
        <f>E105*0.0122437846+F105*0.0122437846</f>
        <v/>
      </c>
      <c r="AG105" s="7">
        <f>F105*0.0122437846+G105*0.0122437846</f>
        <v/>
      </c>
      <c r="AH105" s="7">
        <f>G105*0.0122437846+H105*0.0122437846</f>
        <v/>
      </c>
      <c r="AI105" s="7">
        <f>H105*0.0122437846+I105*0.0122437846</f>
        <v/>
      </c>
      <c r="AJ105" s="7">
        <f>I105*0.0122437846+J105*0.0122437846</f>
        <v/>
      </c>
      <c r="AK105" s="7">
        <f>J105*0.0122437846+K105*0.0122437846</f>
        <v/>
      </c>
      <c r="AL105" s="7">
        <f>K105*0.0122437846+L105*0.0122437846</f>
        <v/>
      </c>
      <c r="AM105" s="7">
        <f>L105*0.0122437846+M105*0.0122437846</f>
        <v/>
      </c>
      <c r="AN105" s="7">
        <f>M105*0.0122437846+N105*0.0122437846</f>
        <v/>
      </c>
      <c r="AO105" s="7">
        <f>N105*0.0122437846+O105*0.0122437846</f>
        <v/>
      </c>
      <c r="AP105" s="7">
        <f>O105*0.0122437846+P105*0.0122437846</f>
        <v/>
      </c>
      <c r="AQ105" s="7">
        <f>P105*0.0122437846+Q105*0.0122437846</f>
        <v/>
      </c>
      <c r="AR105" s="7">
        <f>Q105*0.0122437846+R105*0.0122437846</f>
        <v/>
      </c>
      <c r="AS105" s="7">
        <f>R105*0.0122437846+S105*0.0122437846</f>
        <v/>
      </c>
      <c r="AT105" s="7">
        <f>S105*0.0122437846+T105*0.0122437846</f>
        <v/>
      </c>
      <c r="AU105" s="7">
        <f>T105*0.0122437846+U105*0.0122437846</f>
        <v/>
      </c>
      <c r="AV105" s="7">
        <f>U105*0.0122437846+V105*0.0122437846</f>
        <v/>
      </c>
      <c r="AW105" s="7">
        <f>V105*0.0122437846+W105*0.0122437846</f>
        <v/>
      </c>
      <c r="AX105" s="7">
        <f>W105*0.0122437846+X105*0.0122437846</f>
        <v/>
      </c>
      <c r="AY105" s="7">
        <f>X105*0.0122437846+Y105*0.0122437846</f>
        <v/>
      </c>
      <c r="AZ105" s="7">
        <f>Y105*0.0122437846+Z105*0.0122437846</f>
        <v/>
      </c>
      <c r="BA105" s="7">
        <f>Z105*0.0122437846+AA105*0.0122437846</f>
        <v/>
      </c>
      <c r="BB105" s="7">
        <f>SUM(AD105:BA105)</f>
        <v/>
      </c>
    </row>
    <row r="106">
      <c r="A106" t="inlineStr">
        <is>
          <t>AMD-RTS-RCLS-1302-SSC_1</t>
        </is>
      </c>
      <c r="B106" t="inlineStr">
        <is>
          <t>Rev OSC</t>
        </is>
      </c>
      <c r="C106" s="5" t="n">
        <v>46104</v>
      </c>
      <c r="D106" s="6" t="n">
        <v>0</v>
      </c>
      <c r="E106" s="6" t="n">
        <v>0</v>
      </c>
      <c r="F106" s="6" t="n">
        <v>0</v>
      </c>
      <c r="G106" s="6" t="n">
        <v>0</v>
      </c>
      <c r="H106" s="6" t="n">
        <v>0</v>
      </c>
      <c r="I106" s="6" t="n">
        <v>0</v>
      </c>
      <c r="J106" s="6" t="n">
        <v>0</v>
      </c>
      <c r="K106" s="6" t="n">
        <v>0</v>
      </c>
      <c r="L106" s="6" t="n">
        <v>0</v>
      </c>
      <c r="M106" s="6" t="n">
        <v>0</v>
      </c>
      <c r="N106" s="6" t="n">
        <v>0</v>
      </c>
      <c r="O106" s="6" t="n">
        <v>0</v>
      </c>
      <c r="P106" s="6" t="n">
        <v>0</v>
      </c>
      <c r="Q106" s="6" t="n">
        <v>3</v>
      </c>
      <c r="R106" s="6" t="n">
        <v>3</v>
      </c>
      <c r="S106" s="6" t="n">
        <v>2</v>
      </c>
      <c r="T106" s="6" t="n">
        <v>1</v>
      </c>
      <c r="U106" s="6" t="n">
        <v>0</v>
      </c>
      <c r="V106" s="6" t="n">
        <v>0</v>
      </c>
      <c r="W106" s="6" t="n">
        <v>0</v>
      </c>
      <c r="X106" s="6" t="n">
        <v>0</v>
      </c>
      <c r="Y106" s="6" t="n">
        <v>0</v>
      </c>
      <c r="Z106" s="6" t="n">
        <v>0</v>
      </c>
      <c r="AA106" s="6" t="n">
        <v>0</v>
      </c>
      <c r="AB106" s="6">
        <f>SUM(D106:AA106)</f>
        <v/>
      </c>
      <c r="AC106" s="3" t="inlineStr"/>
      <c r="AD106" s="7">
        <f>AA106*0.0122437846+D106*0.0122437846</f>
        <v/>
      </c>
      <c r="AE106" s="7">
        <f>D106*0.0122437846+E106*0.0122437846</f>
        <v/>
      </c>
      <c r="AF106" s="7">
        <f>E106*0.0122437846+F106*0.0122437846</f>
        <v/>
      </c>
      <c r="AG106" s="7">
        <f>F106*0.0122437846+G106*0.0122437846</f>
        <v/>
      </c>
      <c r="AH106" s="7">
        <f>G106*0.0122437846+H106*0.0122437846</f>
        <v/>
      </c>
      <c r="AI106" s="7">
        <f>H106*0.0122437846+I106*0.0122437846</f>
        <v/>
      </c>
      <c r="AJ106" s="7">
        <f>I106*0.0122437846+J106*0.0122437846</f>
        <v/>
      </c>
      <c r="AK106" s="7">
        <f>J106*0.0122437846+K106*0.0122437846</f>
        <v/>
      </c>
      <c r="AL106" s="7">
        <f>K106*0.0122437846+L106*0.0122437846</f>
        <v/>
      </c>
      <c r="AM106" s="7">
        <f>L106*0.0122437846+M106*0.0122437846</f>
        <v/>
      </c>
      <c r="AN106" s="7">
        <f>M106*0.0122437846+N106*0.0122437846</f>
        <v/>
      </c>
      <c r="AO106" s="7">
        <f>N106*0.0122437846+O106*0.0122437846</f>
        <v/>
      </c>
      <c r="AP106" s="7">
        <f>O106*0.0122437846+P106*0.0122437846</f>
        <v/>
      </c>
      <c r="AQ106" s="7">
        <f>P106*0.0122437846+Q106*0.0122437846</f>
        <v/>
      </c>
      <c r="AR106" s="7">
        <f>Q106*0.0122437846+R106*0.0122437846</f>
        <v/>
      </c>
      <c r="AS106" s="7">
        <f>R106*0.0122437846+S106*0.0122437846</f>
        <v/>
      </c>
      <c r="AT106" s="7">
        <f>S106*0.0122437846+T106*0.0122437846</f>
        <v/>
      </c>
      <c r="AU106" s="7">
        <f>T106*0.0122437846+U106*0.0122437846</f>
        <v/>
      </c>
      <c r="AV106" s="7">
        <f>U106*0.0122437846+V106*0.0122437846</f>
        <v/>
      </c>
      <c r="AW106" s="7">
        <f>V106*0.0122437846+W106*0.0122437846</f>
        <v/>
      </c>
      <c r="AX106" s="7">
        <f>W106*0.0122437846+X106*0.0122437846</f>
        <v/>
      </c>
      <c r="AY106" s="7">
        <f>X106*0.0122437846+Y106*0.0122437846</f>
        <v/>
      </c>
      <c r="AZ106" s="7">
        <f>Y106*0.0122437846+Z106*0.0122437846</f>
        <v/>
      </c>
      <c r="BA106" s="7">
        <f>Z106*0.0122437846+AA106*0.0122437846</f>
        <v/>
      </c>
      <c r="BB106" s="7">
        <f>SUM(AD106:BA106)</f>
        <v/>
      </c>
    </row>
    <row r="107">
      <c r="A107" t="inlineStr">
        <is>
          <t>AMD-RTS-RCLS-1302-SSC_1</t>
        </is>
      </c>
      <c r="B107" t="inlineStr">
        <is>
          <t>Rev OSC</t>
        </is>
      </c>
      <c r="C107" s="5" t="n">
        <v>46105</v>
      </c>
      <c r="D107" s="6" t="n">
        <v>0</v>
      </c>
      <c r="E107" s="6" t="n">
        <v>0</v>
      </c>
      <c r="F107" s="6" t="n">
        <v>0</v>
      </c>
      <c r="G107" s="6" t="n">
        <v>0</v>
      </c>
      <c r="H107" s="6" t="n">
        <v>0</v>
      </c>
      <c r="I107" s="6" t="n">
        <v>0</v>
      </c>
      <c r="J107" s="6" t="n">
        <v>0</v>
      </c>
      <c r="K107" s="6" t="n">
        <v>0</v>
      </c>
      <c r="L107" s="6" t="n">
        <v>0</v>
      </c>
      <c r="M107" s="6" t="n">
        <v>0</v>
      </c>
      <c r="N107" s="6" t="n">
        <v>0</v>
      </c>
      <c r="O107" s="6" t="n">
        <v>0</v>
      </c>
      <c r="P107" s="6" t="n">
        <v>0</v>
      </c>
      <c r="Q107" s="6" t="n">
        <v>0</v>
      </c>
      <c r="R107" s="6" t="n">
        <v>0</v>
      </c>
      <c r="S107" s="6" t="n">
        <v>1</v>
      </c>
      <c r="T107" s="6" t="n">
        <v>0</v>
      </c>
      <c r="U107" s="6" t="n">
        <v>0</v>
      </c>
      <c r="V107" s="6" t="n">
        <v>0</v>
      </c>
      <c r="W107" s="6" t="n">
        <v>0</v>
      </c>
      <c r="X107" s="6" t="n">
        <v>0</v>
      </c>
      <c r="Y107" s="6" t="n">
        <v>0</v>
      </c>
      <c r="Z107" s="6" t="n">
        <v>0</v>
      </c>
      <c r="AA107" s="6" t="n">
        <v>0</v>
      </c>
      <c r="AB107" s="6">
        <f>SUM(D107:AA107)</f>
        <v/>
      </c>
      <c r="AC107" s="3" t="inlineStr"/>
      <c r="AD107" s="7">
        <f>AA107*0.0122437846+D107*0.0122437846</f>
        <v/>
      </c>
      <c r="AE107" s="7">
        <f>D107*0.0122437846+E107*0.0122437846</f>
        <v/>
      </c>
      <c r="AF107" s="7">
        <f>E107*0.0122437846+F107*0.0122437846</f>
        <v/>
      </c>
      <c r="AG107" s="7">
        <f>F107*0.0122437846+G107*0.0122437846</f>
        <v/>
      </c>
      <c r="AH107" s="7">
        <f>G107*0.0122437846+H107*0.0122437846</f>
        <v/>
      </c>
      <c r="AI107" s="7">
        <f>H107*0.0122437846+I107*0.0122437846</f>
        <v/>
      </c>
      <c r="AJ107" s="7">
        <f>I107*0.0122437846+J107*0.0122437846</f>
        <v/>
      </c>
      <c r="AK107" s="7">
        <f>J107*0.0122437846+K107*0.0122437846</f>
        <v/>
      </c>
      <c r="AL107" s="7">
        <f>K107*0.0122437846+L107*0.0122437846</f>
        <v/>
      </c>
      <c r="AM107" s="7">
        <f>L107*0.0122437846+M107*0.0122437846</f>
        <v/>
      </c>
      <c r="AN107" s="7">
        <f>M107*0.0122437846+N107*0.0122437846</f>
        <v/>
      </c>
      <c r="AO107" s="7">
        <f>N107*0.0122437846+O107*0.0122437846</f>
        <v/>
      </c>
      <c r="AP107" s="7">
        <f>O107*0.0122437846+P107*0.0122437846</f>
        <v/>
      </c>
      <c r="AQ107" s="7">
        <f>P107*0.0122437846+Q107*0.0122437846</f>
        <v/>
      </c>
      <c r="AR107" s="7">
        <f>Q107*0.0122437846+R107*0.0122437846</f>
        <v/>
      </c>
      <c r="AS107" s="7">
        <f>R107*0.0122437846+S107*0.0122437846</f>
        <v/>
      </c>
      <c r="AT107" s="7">
        <f>S107*0.0122437846+T107*0.0122437846</f>
        <v/>
      </c>
      <c r="AU107" s="7">
        <f>T107*0.0122437846+U107*0.0122437846</f>
        <v/>
      </c>
      <c r="AV107" s="7">
        <f>U107*0.0122437846+V107*0.0122437846</f>
        <v/>
      </c>
      <c r="AW107" s="7">
        <f>V107*0.0122437846+W107*0.0122437846</f>
        <v/>
      </c>
      <c r="AX107" s="7">
        <f>W107*0.0122437846+X107*0.0122437846</f>
        <v/>
      </c>
      <c r="AY107" s="7">
        <f>X107*0.0122437846+Y107*0.0122437846</f>
        <v/>
      </c>
      <c r="AZ107" s="7">
        <f>Y107*0.0122437846+Z107*0.0122437846</f>
        <v/>
      </c>
      <c r="BA107" s="7">
        <f>Z107*0.0122437846+AA107*0.0122437846</f>
        <v/>
      </c>
      <c r="BB107" s="7">
        <f>SUM(AD107:BA107)</f>
        <v/>
      </c>
    </row>
    <row r="108">
      <c r="A108" t="inlineStr">
        <is>
          <t>AMD-RTS-RCLS-1302-SSC_2</t>
        </is>
      </c>
      <c r="B108" t="inlineStr">
        <is>
          <t>Rev OSC</t>
        </is>
      </c>
      <c r="C108" s="5" t="n">
        <v>46100</v>
      </c>
      <c r="D108" s="6" t="n">
        <v>0</v>
      </c>
      <c r="E108" s="6" t="n">
        <v>0</v>
      </c>
      <c r="F108" s="6" t="n">
        <v>0</v>
      </c>
      <c r="G108" s="6" t="n">
        <v>0</v>
      </c>
      <c r="H108" s="6" t="n">
        <v>0</v>
      </c>
      <c r="I108" s="6" t="n">
        <v>0</v>
      </c>
      <c r="J108" s="6" t="n">
        <v>0</v>
      </c>
      <c r="K108" s="6" t="n">
        <v>0</v>
      </c>
      <c r="L108" s="6" t="n">
        <v>0</v>
      </c>
      <c r="M108" s="6" t="n">
        <v>0</v>
      </c>
      <c r="N108" s="6" t="n">
        <v>0</v>
      </c>
      <c r="O108" s="6" t="n">
        <v>0</v>
      </c>
      <c r="P108" s="6" t="n">
        <v>0</v>
      </c>
      <c r="Q108" s="6" t="n">
        <v>0</v>
      </c>
      <c r="R108" s="6" t="n">
        <v>0</v>
      </c>
      <c r="S108" s="6" t="n">
        <v>0</v>
      </c>
      <c r="T108" s="6" t="n">
        <v>0</v>
      </c>
      <c r="U108" s="6" t="n">
        <v>0</v>
      </c>
      <c r="V108" s="6" t="n">
        <v>0</v>
      </c>
      <c r="W108" s="6" t="n">
        <v>0</v>
      </c>
      <c r="X108" s="6" t="n">
        <v>0</v>
      </c>
      <c r="Y108" s="6" t="n">
        <v>0</v>
      </c>
      <c r="Z108" s="6" t="n">
        <v>0</v>
      </c>
      <c r="AA108" s="6" t="n">
        <v>0</v>
      </c>
      <c r="AB108" s="6">
        <f>SUM(D108:AA108)</f>
        <v/>
      </c>
      <c r="AC108" s="3" t="inlineStr"/>
      <c r="AD108" s="7">
        <f>AA108*0.0122437846+D108*0.0122437846</f>
        <v/>
      </c>
      <c r="AE108" s="7">
        <f>D108*0.0122437846+E108*0.0122437846</f>
        <v/>
      </c>
      <c r="AF108" s="7">
        <f>E108*0.0122437846+F108*0.0122437846</f>
        <v/>
      </c>
      <c r="AG108" s="7">
        <f>F108*0.0122437846+G108*0.0122437846</f>
        <v/>
      </c>
      <c r="AH108" s="7">
        <f>G108*0.0122437846+H108*0.0122437846</f>
        <v/>
      </c>
      <c r="AI108" s="7">
        <f>H108*0.0122437846+I108*0.0122437846</f>
        <v/>
      </c>
      <c r="AJ108" s="7">
        <f>I108*0.0122437846+J108*0.0122437846</f>
        <v/>
      </c>
      <c r="AK108" s="7">
        <f>J108*0.0122437846+K108*0.0122437846</f>
        <v/>
      </c>
      <c r="AL108" s="7">
        <f>K108*0.0122437846+L108*0.0122437846</f>
        <v/>
      </c>
      <c r="AM108" s="7">
        <f>L108*0.0122437846+M108*0.0122437846</f>
        <v/>
      </c>
      <c r="AN108" s="7">
        <f>M108*0.0122437846+N108*0.0122437846</f>
        <v/>
      </c>
      <c r="AO108" s="7">
        <f>N108*0.0122437846+O108*0.0122437846</f>
        <v/>
      </c>
      <c r="AP108" s="7">
        <f>O108*0.0122437846+P108*0.0122437846</f>
        <v/>
      </c>
      <c r="AQ108" s="7">
        <f>P108*0.0122437846+Q108*0.0122437846</f>
        <v/>
      </c>
      <c r="AR108" s="7">
        <f>Q108*0.0122437846+R108*0.0122437846</f>
        <v/>
      </c>
      <c r="AS108" s="7">
        <f>R108*0.0122437846+S108*0.0122437846</f>
        <v/>
      </c>
      <c r="AT108" s="7">
        <f>S108*0.0122437846+T108*0.0122437846</f>
        <v/>
      </c>
      <c r="AU108" s="7">
        <f>T108*0.0122437846+U108*0.0122437846</f>
        <v/>
      </c>
      <c r="AV108" s="7">
        <f>U108*0.0122437846+V108*0.0122437846</f>
        <v/>
      </c>
      <c r="AW108" s="7">
        <f>V108*0.0122437846+W108*0.0122437846</f>
        <v/>
      </c>
      <c r="AX108" s="7">
        <f>W108*0.0122437846+X108*0.0122437846</f>
        <v/>
      </c>
      <c r="AY108" s="7">
        <f>X108*0.0122437846+Y108*0.0122437846</f>
        <v/>
      </c>
      <c r="AZ108" s="7">
        <f>Y108*0.0122437846+Z108*0.0122437846</f>
        <v/>
      </c>
      <c r="BA108" s="7">
        <f>Z108*0.0122437846+AA108*0.0122437846</f>
        <v/>
      </c>
      <c r="BB108" s="7">
        <f>SUM(AD108:BA108)</f>
        <v/>
      </c>
    </row>
    <row r="109">
      <c r="A109" t="inlineStr">
        <is>
          <t>AMD-RTS-RCLS-1302-SSC_2</t>
        </is>
      </c>
      <c r="B109" t="inlineStr">
        <is>
          <t>Rev OSC</t>
        </is>
      </c>
      <c r="C109" s="5" t="n">
        <v>46102</v>
      </c>
      <c r="D109" s="6" t="n">
        <v>0</v>
      </c>
      <c r="E109" s="6" t="n">
        <v>0</v>
      </c>
      <c r="F109" s="6" t="n">
        <v>0</v>
      </c>
      <c r="G109" s="6" t="n">
        <v>0</v>
      </c>
      <c r="H109" s="6" t="n">
        <v>0</v>
      </c>
      <c r="I109" s="6" t="n">
        <v>0</v>
      </c>
      <c r="J109" s="6" t="n">
        <v>0</v>
      </c>
      <c r="K109" s="6" t="n">
        <v>0</v>
      </c>
      <c r="L109" s="6" t="n">
        <v>0</v>
      </c>
      <c r="M109" s="6" t="n">
        <v>0</v>
      </c>
      <c r="N109" s="6" t="n">
        <v>0</v>
      </c>
      <c r="O109" s="6" t="n">
        <v>0</v>
      </c>
      <c r="P109" s="6" t="n">
        <v>0</v>
      </c>
      <c r="Q109" s="6" t="n">
        <v>0</v>
      </c>
      <c r="R109" s="6" t="n">
        <v>0</v>
      </c>
      <c r="S109" s="6" t="n">
        <v>0</v>
      </c>
      <c r="T109" s="6" t="n">
        <v>0</v>
      </c>
      <c r="U109" s="6" t="n">
        <v>0</v>
      </c>
      <c r="V109" s="6" t="n">
        <v>0</v>
      </c>
      <c r="W109" s="6" t="n">
        <v>0</v>
      </c>
      <c r="X109" s="6" t="n">
        <v>0</v>
      </c>
      <c r="Y109" s="6" t="n">
        <v>0</v>
      </c>
      <c r="Z109" s="6" t="n">
        <v>0</v>
      </c>
      <c r="AA109" s="6" t="n">
        <v>0</v>
      </c>
      <c r="AB109" s="6">
        <f>SUM(D109:AA109)</f>
        <v/>
      </c>
      <c r="AC109" s="3" t="inlineStr"/>
      <c r="AD109" s="7">
        <f>AA109*0.0122437846+D109*0.0122437846</f>
        <v/>
      </c>
      <c r="AE109" s="7">
        <f>D109*0.0122437846+E109*0.0122437846</f>
        <v/>
      </c>
      <c r="AF109" s="7">
        <f>E109*0.0122437846+F109*0.0122437846</f>
        <v/>
      </c>
      <c r="AG109" s="7">
        <f>F109*0.0122437846+G109*0.0122437846</f>
        <v/>
      </c>
      <c r="AH109" s="7">
        <f>G109*0.0122437846+H109*0.0122437846</f>
        <v/>
      </c>
      <c r="AI109" s="7">
        <f>H109*0.0122437846+I109*0.0122437846</f>
        <v/>
      </c>
      <c r="AJ109" s="7">
        <f>I109*0.0122437846+J109*0.0122437846</f>
        <v/>
      </c>
      <c r="AK109" s="7">
        <f>J109*0.0122437846+K109*0.0122437846</f>
        <v/>
      </c>
      <c r="AL109" s="7">
        <f>K109*0.0122437846+L109*0.0122437846</f>
        <v/>
      </c>
      <c r="AM109" s="7">
        <f>L109*0.0122437846+M109*0.0122437846</f>
        <v/>
      </c>
      <c r="AN109" s="7">
        <f>M109*0.0122437846+N109*0.0122437846</f>
        <v/>
      </c>
      <c r="AO109" s="7">
        <f>N109*0.0122437846+O109*0.0122437846</f>
        <v/>
      </c>
      <c r="AP109" s="7">
        <f>O109*0.0122437846+P109*0.0122437846</f>
        <v/>
      </c>
      <c r="AQ109" s="7">
        <f>P109*0.0122437846+Q109*0.0122437846</f>
        <v/>
      </c>
      <c r="AR109" s="7">
        <f>Q109*0.0122437846+R109*0.0122437846</f>
        <v/>
      </c>
      <c r="AS109" s="7">
        <f>R109*0.0122437846+S109*0.0122437846</f>
        <v/>
      </c>
      <c r="AT109" s="7">
        <f>S109*0.0122437846+T109*0.0122437846</f>
        <v/>
      </c>
      <c r="AU109" s="7">
        <f>T109*0.0122437846+U109*0.0122437846</f>
        <v/>
      </c>
      <c r="AV109" s="7">
        <f>U109*0.0122437846+V109*0.0122437846</f>
        <v/>
      </c>
      <c r="AW109" s="7">
        <f>V109*0.0122437846+W109*0.0122437846</f>
        <v/>
      </c>
      <c r="AX109" s="7">
        <f>W109*0.0122437846+X109*0.0122437846</f>
        <v/>
      </c>
      <c r="AY109" s="7">
        <f>X109*0.0122437846+Y109*0.0122437846</f>
        <v/>
      </c>
      <c r="AZ109" s="7">
        <f>Y109*0.0122437846+Z109*0.0122437846</f>
        <v/>
      </c>
      <c r="BA109" s="7">
        <f>Z109*0.0122437846+AA109*0.0122437846</f>
        <v/>
      </c>
      <c r="BB109" s="7">
        <f>SUM(AD109:BA109)</f>
        <v/>
      </c>
    </row>
    <row r="110">
      <c r="A110" t="inlineStr">
        <is>
          <t>AMD-RTS-RCLS-1302-SSC_2</t>
        </is>
      </c>
      <c r="B110" t="inlineStr">
        <is>
          <t>Rev OSC</t>
        </is>
      </c>
      <c r="C110" s="5" t="n">
        <v>46104</v>
      </c>
      <c r="D110" s="6" t="n">
        <v>0</v>
      </c>
      <c r="E110" s="6" t="n">
        <v>0</v>
      </c>
      <c r="F110" s="6" t="n">
        <v>0</v>
      </c>
      <c r="G110" s="6" t="n">
        <v>0</v>
      </c>
      <c r="H110" s="6" t="n">
        <v>0</v>
      </c>
      <c r="I110" s="6" t="n">
        <v>0</v>
      </c>
      <c r="J110" s="6" t="n">
        <v>0</v>
      </c>
      <c r="K110" s="6" t="n">
        <v>0</v>
      </c>
      <c r="L110" s="6" t="n">
        <v>0</v>
      </c>
      <c r="M110" s="6" t="n">
        <v>0</v>
      </c>
      <c r="N110" s="6" t="n">
        <v>0</v>
      </c>
      <c r="O110" s="6" t="n">
        <v>0</v>
      </c>
      <c r="P110" s="6" t="n">
        <v>0</v>
      </c>
      <c r="Q110" s="6" t="n">
        <v>0</v>
      </c>
      <c r="R110" s="6" t="n">
        <v>0</v>
      </c>
      <c r="S110" s="6" t="n">
        <v>1</v>
      </c>
      <c r="T110" s="6" t="n">
        <v>0</v>
      </c>
      <c r="U110" s="6" t="n">
        <v>0</v>
      </c>
      <c r="V110" s="6" t="n">
        <v>0</v>
      </c>
      <c r="W110" s="6" t="n">
        <v>0</v>
      </c>
      <c r="X110" s="6" t="n">
        <v>0</v>
      </c>
      <c r="Y110" s="6" t="n">
        <v>0</v>
      </c>
      <c r="Z110" s="6" t="n">
        <v>0</v>
      </c>
      <c r="AA110" s="6" t="n">
        <v>0</v>
      </c>
      <c r="AB110" s="6">
        <f>SUM(D110:AA110)</f>
        <v/>
      </c>
      <c r="AC110" s="3" t="inlineStr"/>
      <c r="AD110" s="7">
        <f>AA110*0.0122437846+D110*0.0122437846</f>
        <v/>
      </c>
      <c r="AE110" s="7">
        <f>D110*0.0122437846+E110*0.0122437846</f>
        <v/>
      </c>
      <c r="AF110" s="7">
        <f>E110*0.0122437846+F110*0.0122437846</f>
        <v/>
      </c>
      <c r="AG110" s="7">
        <f>F110*0.0122437846+G110*0.0122437846</f>
        <v/>
      </c>
      <c r="AH110" s="7">
        <f>G110*0.0122437846+H110*0.0122437846</f>
        <v/>
      </c>
      <c r="AI110" s="7">
        <f>H110*0.0122437846+I110*0.0122437846</f>
        <v/>
      </c>
      <c r="AJ110" s="7">
        <f>I110*0.0122437846+J110*0.0122437846</f>
        <v/>
      </c>
      <c r="AK110" s="7">
        <f>J110*0.0122437846+K110*0.0122437846</f>
        <v/>
      </c>
      <c r="AL110" s="7">
        <f>K110*0.0122437846+L110*0.0122437846</f>
        <v/>
      </c>
      <c r="AM110" s="7">
        <f>L110*0.0122437846+M110*0.0122437846</f>
        <v/>
      </c>
      <c r="AN110" s="7">
        <f>M110*0.0122437846+N110*0.0122437846</f>
        <v/>
      </c>
      <c r="AO110" s="7">
        <f>N110*0.0122437846+O110*0.0122437846</f>
        <v/>
      </c>
      <c r="AP110" s="7">
        <f>O110*0.0122437846+P110*0.0122437846</f>
        <v/>
      </c>
      <c r="AQ110" s="7">
        <f>P110*0.0122437846+Q110*0.0122437846</f>
        <v/>
      </c>
      <c r="AR110" s="7">
        <f>Q110*0.0122437846+R110*0.0122437846</f>
        <v/>
      </c>
      <c r="AS110" s="7">
        <f>R110*0.0122437846+S110*0.0122437846</f>
        <v/>
      </c>
      <c r="AT110" s="7">
        <f>S110*0.0122437846+T110*0.0122437846</f>
        <v/>
      </c>
      <c r="AU110" s="7">
        <f>T110*0.0122437846+U110*0.0122437846</f>
        <v/>
      </c>
      <c r="AV110" s="7">
        <f>U110*0.0122437846+V110*0.0122437846</f>
        <v/>
      </c>
      <c r="AW110" s="7">
        <f>V110*0.0122437846+W110*0.0122437846</f>
        <v/>
      </c>
      <c r="AX110" s="7">
        <f>W110*0.0122437846+X110*0.0122437846</f>
        <v/>
      </c>
      <c r="AY110" s="7">
        <f>X110*0.0122437846+Y110*0.0122437846</f>
        <v/>
      </c>
      <c r="AZ110" s="7">
        <f>Y110*0.0122437846+Z110*0.0122437846</f>
        <v/>
      </c>
      <c r="BA110" s="7">
        <f>Z110*0.0122437846+AA110*0.0122437846</f>
        <v/>
      </c>
      <c r="BB110" s="7">
        <f>SUM(AD110:BA110)</f>
        <v/>
      </c>
    </row>
    <row r="111">
      <c r="A111" t="inlineStr">
        <is>
          <t>DC-10-1</t>
        </is>
      </c>
      <c r="B111" t="inlineStr">
        <is>
          <t>DSC Manual</t>
        </is>
      </c>
      <c r="C111" s="5" t="n">
        <v>46089</v>
      </c>
      <c r="D111" s="6" t="n">
        <v>21</v>
      </c>
      <c r="E111" s="6" t="n">
        <v>7</v>
      </c>
      <c r="F111" s="6" t="n">
        <v>8</v>
      </c>
      <c r="G111" s="6" t="n">
        <v>13</v>
      </c>
      <c r="H111" s="6" t="n">
        <v>9</v>
      </c>
      <c r="I111" s="6" t="n">
        <v>24</v>
      </c>
      <c r="J111" s="6" t="n">
        <v>18</v>
      </c>
      <c r="K111" s="6" t="n">
        <v>2</v>
      </c>
      <c r="L111" s="6" t="n">
        <v>0</v>
      </c>
      <c r="M111" s="6" t="n">
        <v>0</v>
      </c>
      <c r="N111" s="6" t="n">
        <v>0</v>
      </c>
      <c r="O111" s="6" t="n">
        <v>0</v>
      </c>
      <c r="P111" s="6" t="n">
        <v>0</v>
      </c>
      <c r="Q111" s="6" t="n">
        <v>0</v>
      </c>
      <c r="R111" s="6" t="n">
        <v>133</v>
      </c>
      <c r="S111" s="6" t="n">
        <v>173</v>
      </c>
      <c r="T111" s="6" t="n">
        <v>21</v>
      </c>
      <c r="U111" s="6" t="n">
        <v>154</v>
      </c>
      <c r="V111" s="6" t="n">
        <v>133</v>
      </c>
      <c r="W111" s="6" t="n">
        <v>170</v>
      </c>
      <c r="X111" s="6" t="n">
        <v>155</v>
      </c>
      <c r="Y111" s="6" t="n">
        <v>151</v>
      </c>
      <c r="Z111" s="6" t="n">
        <v>0</v>
      </c>
      <c r="AA111" s="6" t="n">
        <v>0</v>
      </c>
      <c r="AB111" s="6">
        <f>SUM(D111:AA111)</f>
        <v/>
      </c>
      <c r="AC111" s="3" t="inlineStr"/>
      <c r="AD111" s="7">
        <f>AA111*0.0122437846+D111*0.0122437846</f>
        <v/>
      </c>
      <c r="AE111" s="7">
        <f>D111*0.0122437846+E111*0.0122437846</f>
        <v/>
      </c>
      <c r="AF111" s="7">
        <f>E111*0.0122437846+F111*0.0122437846</f>
        <v/>
      </c>
      <c r="AG111" s="7">
        <f>F111*0.0122437846+G111*0.0122437846</f>
        <v/>
      </c>
      <c r="AH111" s="7">
        <f>G111*0.0122437846+H111*0.0122437846</f>
        <v/>
      </c>
      <c r="AI111" s="7">
        <f>H111*0.0122437846+I111*0.0122437846</f>
        <v/>
      </c>
      <c r="AJ111" s="7">
        <f>I111*0.0122437846+J111*0.0122437846</f>
        <v/>
      </c>
      <c r="AK111" s="7">
        <f>J111*0.0122437846+K111*0.0122437846</f>
        <v/>
      </c>
      <c r="AL111" s="7">
        <f>K111*0.0122437846+L111*0.0122437846</f>
        <v/>
      </c>
      <c r="AM111" s="7">
        <f>L111*0.0122437846+M111*0.0122437846</f>
        <v/>
      </c>
      <c r="AN111" s="7">
        <f>M111*0.0122437846+N111*0.0122437846</f>
        <v/>
      </c>
      <c r="AO111" s="7">
        <f>N111*0.0122437846+O111*0.0122437846</f>
        <v/>
      </c>
      <c r="AP111" s="7">
        <f>O111*0.0122437846+P111*0.0122437846</f>
        <v/>
      </c>
      <c r="AQ111" s="7">
        <f>P111*0.0122437846+Q111*0.0122437846</f>
        <v/>
      </c>
      <c r="AR111" s="7">
        <f>Q111*0.0122437846+R111*0.0122437846</f>
        <v/>
      </c>
      <c r="AS111" s="7">
        <f>R111*0.0122437846+S111*0.0122437846</f>
        <v/>
      </c>
      <c r="AT111" s="7">
        <f>S111*0.0122437846+T111*0.0122437846</f>
        <v/>
      </c>
      <c r="AU111" s="7">
        <f>T111*0.0122437846+U111*0.0122437846</f>
        <v/>
      </c>
      <c r="AV111" s="7">
        <f>U111*0.0122437846+V111*0.0122437846</f>
        <v/>
      </c>
      <c r="AW111" s="7">
        <f>V111*0.0122437846+W111*0.0122437846</f>
        <v/>
      </c>
      <c r="AX111" s="7">
        <f>W111*0.0122437846+X111*0.0122437846</f>
        <v/>
      </c>
      <c r="AY111" s="7">
        <f>X111*0.0122437846+Y111*0.0122437846</f>
        <v/>
      </c>
      <c r="AZ111" s="7">
        <f>Y111*0.0122437846+Z111*0.0122437846</f>
        <v/>
      </c>
      <c r="BA111" s="7">
        <f>Z111*0.0122437846+AA111*0.0122437846</f>
        <v/>
      </c>
      <c r="BB111" s="7">
        <f>SUM(AD111:BA111)</f>
        <v/>
      </c>
    </row>
    <row r="112">
      <c r="A112" t="inlineStr">
        <is>
          <t>DC-10-1</t>
        </is>
      </c>
      <c r="B112" t="inlineStr">
        <is>
          <t>DSC Manual</t>
        </is>
      </c>
      <c r="C112" s="5" t="n">
        <v>46090</v>
      </c>
      <c r="D112" s="6" t="n">
        <v>31</v>
      </c>
      <c r="E112" s="6" t="n">
        <v>15</v>
      </c>
      <c r="F112" s="6" t="n">
        <v>17</v>
      </c>
      <c r="G112" s="6" t="n">
        <v>38</v>
      </c>
      <c r="H112" s="6" t="n">
        <v>32</v>
      </c>
      <c r="I112" s="6" t="n">
        <v>29</v>
      </c>
      <c r="J112" s="6" t="n">
        <v>16</v>
      </c>
      <c r="K112" s="6" t="n">
        <v>0</v>
      </c>
      <c r="L112" s="6" t="n">
        <v>0</v>
      </c>
      <c r="M112" s="6" t="n">
        <v>0</v>
      </c>
      <c r="N112" s="6" t="n">
        <v>0</v>
      </c>
      <c r="O112" s="6" t="n">
        <v>0</v>
      </c>
      <c r="P112" s="6" t="n">
        <v>0</v>
      </c>
      <c r="Q112" s="6" t="n">
        <v>53</v>
      </c>
      <c r="R112" s="6" t="n">
        <v>81</v>
      </c>
      <c r="S112" s="6" t="n">
        <v>96</v>
      </c>
      <c r="T112" s="6" t="n">
        <v>112</v>
      </c>
      <c r="U112" s="6" t="n">
        <v>17</v>
      </c>
      <c r="V112" s="6" t="n">
        <v>148</v>
      </c>
      <c r="W112" s="6" t="n">
        <v>166</v>
      </c>
      <c r="X112" s="6" t="n">
        <v>152</v>
      </c>
      <c r="Y112" s="6" t="n">
        <v>141</v>
      </c>
      <c r="Z112" s="6" t="n">
        <v>12</v>
      </c>
      <c r="AA112" s="6" t="n">
        <v>0</v>
      </c>
      <c r="AB112" s="6">
        <f>SUM(D112:AA112)</f>
        <v/>
      </c>
      <c r="AC112" s="3" t="inlineStr"/>
      <c r="AD112" s="7">
        <f>AA112*0.0122437846+D112*0.0122437846</f>
        <v/>
      </c>
      <c r="AE112" s="7">
        <f>D112*0.0122437846+E112*0.0122437846</f>
        <v/>
      </c>
      <c r="AF112" s="7">
        <f>E112*0.0122437846+F112*0.0122437846</f>
        <v/>
      </c>
      <c r="AG112" s="7">
        <f>F112*0.0122437846+G112*0.0122437846</f>
        <v/>
      </c>
      <c r="AH112" s="7">
        <f>G112*0.0122437846+H112*0.0122437846</f>
        <v/>
      </c>
      <c r="AI112" s="7">
        <f>H112*0.0122437846+I112*0.0122437846</f>
        <v/>
      </c>
      <c r="AJ112" s="7">
        <f>I112*0.0122437846+J112*0.0122437846</f>
        <v/>
      </c>
      <c r="AK112" s="7">
        <f>J112*0.0122437846+K112*0.0122437846</f>
        <v/>
      </c>
      <c r="AL112" s="7">
        <f>K112*0.0122437846+L112*0.0122437846</f>
        <v/>
      </c>
      <c r="AM112" s="7">
        <f>L112*0.0122437846+M112*0.0122437846</f>
        <v/>
      </c>
      <c r="AN112" s="7">
        <f>M112*0.0122437846+N112*0.0122437846</f>
        <v/>
      </c>
      <c r="AO112" s="7">
        <f>N112*0.0122437846+O112*0.0122437846</f>
        <v/>
      </c>
      <c r="AP112" s="7">
        <f>O112*0.0122437846+P112*0.0122437846</f>
        <v/>
      </c>
      <c r="AQ112" s="7">
        <f>P112*0.0122437846+Q112*0.0122437846</f>
        <v/>
      </c>
      <c r="AR112" s="7">
        <f>Q112*0.0122437846+R112*0.0122437846</f>
        <v/>
      </c>
      <c r="AS112" s="7">
        <f>R112*0.0122437846+S112*0.0122437846</f>
        <v/>
      </c>
      <c r="AT112" s="7">
        <f>S112*0.0122437846+T112*0.0122437846</f>
        <v/>
      </c>
      <c r="AU112" s="7">
        <f>T112*0.0122437846+U112*0.0122437846</f>
        <v/>
      </c>
      <c r="AV112" s="7">
        <f>U112*0.0122437846+V112*0.0122437846</f>
        <v/>
      </c>
      <c r="AW112" s="7">
        <f>V112*0.0122437846+W112*0.0122437846</f>
        <v/>
      </c>
      <c r="AX112" s="7">
        <f>W112*0.0122437846+X112*0.0122437846</f>
        <v/>
      </c>
      <c r="AY112" s="7">
        <f>X112*0.0122437846+Y112*0.0122437846</f>
        <v/>
      </c>
      <c r="AZ112" s="7">
        <f>Y112*0.0122437846+Z112*0.0122437846</f>
        <v/>
      </c>
      <c r="BA112" s="7">
        <f>Z112*0.0122437846+AA112*0.0122437846</f>
        <v/>
      </c>
      <c r="BB112" s="7">
        <f>SUM(AD112:BA112)</f>
        <v/>
      </c>
    </row>
    <row r="113">
      <c r="A113" t="inlineStr">
        <is>
          <t>DC-10-1</t>
        </is>
      </c>
      <c r="B113" t="inlineStr">
        <is>
          <t>DSC Manual</t>
        </is>
      </c>
      <c r="C113" s="5" t="n">
        <v>46091</v>
      </c>
      <c r="D113" s="6" t="n">
        <v>26</v>
      </c>
      <c r="E113" s="6" t="n">
        <v>4</v>
      </c>
      <c r="F113" s="6" t="n">
        <v>0</v>
      </c>
      <c r="G113" s="6" t="n">
        <v>46</v>
      </c>
      <c r="H113" s="6" t="n">
        <v>31</v>
      </c>
      <c r="I113" s="6" t="n">
        <v>39</v>
      </c>
      <c r="J113" s="6" t="n">
        <v>12</v>
      </c>
      <c r="K113" s="6" t="n">
        <v>0</v>
      </c>
      <c r="L113" s="6" t="n">
        <v>0</v>
      </c>
      <c r="M113" s="6" t="n">
        <v>0</v>
      </c>
      <c r="N113" s="6" t="n">
        <v>0</v>
      </c>
      <c r="O113" s="6" t="n">
        <v>0</v>
      </c>
      <c r="P113" s="6" t="n">
        <v>27</v>
      </c>
      <c r="Q113" s="6" t="n">
        <v>124</v>
      </c>
      <c r="R113" s="6" t="n">
        <v>166</v>
      </c>
      <c r="S113" s="6" t="n">
        <v>148</v>
      </c>
      <c r="T113" s="6" t="n">
        <v>146</v>
      </c>
      <c r="U113" s="6" t="n">
        <v>9</v>
      </c>
      <c r="V113" s="6" t="n">
        <v>218</v>
      </c>
      <c r="W113" s="6" t="n">
        <v>185</v>
      </c>
      <c r="X113" s="6" t="n">
        <v>210</v>
      </c>
      <c r="Y113" s="6" t="n">
        <v>178</v>
      </c>
      <c r="Z113" s="6" t="n">
        <v>0</v>
      </c>
      <c r="AA113" s="6" t="n">
        <v>25</v>
      </c>
      <c r="AB113" s="6">
        <f>SUM(D113:AA113)</f>
        <v/>
      </c>
      <c r="AC113" s="3" t="inlineStr"/>
      <c r="AD113" s="7">
        <f>AA113*0.0122437846+D113*0.0122437846</f>
        <v/>
      </c>
      <c r="AE113" s="7">
        <f>D113*0.0122437846+E113*0.0122437846</f>
        <v/>
      </c>
      <c r="AF113" s="7">
        <f>E113*0.0122437846+F113*0.0122437846</f>
        <v/>
      </c>
      <c r="AG113" s="7">
        <f>F113*0.0122437846+G113*0.0122437846</f>
        <v/>
      </c>
      <c r="AH113" s="7">
        <f>G113*0.0122437846+H113*0.0122437846</f>
        <v/>
      </c>
      <c r="AI113" s="7">
        <f>H113*0.0122437846+I113*0.0122437846</f>
        <v/>
      </c>
      <c r="AJ113" s="7">
        <f>I113*0.0122437846+J113*0.0122437846</f>
        <v/>
      </c>
      <c r="AK113" s="7">
        <f>J113*0.0122437846+K113*0.0122437846</f>
        <v/>
      </c>
      <c r="AL113" s="7">
        <f>K113*0.0122437846+L113*0.0122437846</f>
        <v/>
      </c>
      <c r="AM113" s="7">
        <f>L113*0.0122437846+M113*0.0122437846</f>
        <v/>
      </c>
      <c r="AN113" s="7">
        <f>M113*0.0122437846+N113*0.0122437846</f>
        <v/>
      </c>
      <c r="AO113" s="7">
        <f>N113*0.0122437846+O113*0.0122437846</f>
        <v/>
      </c>
      <c r="AP113" s="7">
        <f>O113*0.0122437846+P113*0.0122437846</f>
        <v/>
      </c>
      <c r="AQ113" s="7">
        <f>P113*0.0122437846+Q113*0.0122437846</f>
        <v/>
      </c>
      <c r="AR113" s="7">
        <f>Q113*0.0122437846+R113*0.0122437846</f>
        <v/>
      </c>
      <c r="AS113" s="7">
        <f>R113*0.0122437846+S113*0.0122437846</f>
        <v/>
      </c>
      <c r="AT113" s="7">
        <f>S113*0.0122437846+T113*0.0122437846</f>
        <v/>
      </c>
      <c r="AU113" s="7">
        <f>T113*0.0122437846+U113*0.0122437846</f>
        <v/>
      </c>
      <c r="AV113" s="7">
        <f>U113*0.0122437846+V113*0.0122437846</f>
        <v/>
      </c>
      <c r="AW113" s="7">
        <f>V113*0.0122437846+W113*0.0122437846</f>
        <v/>
      </c>
      <c r="AX113" s="7">
        <f>W113*0.0122437846+X113*0.0122437846</f>
        <v/>
      </c>
      <c r="AY113" s="7">
        <f>X113*0.0122437846+Y113*0.0122437846</f>
        <v/>
      </c>
      <c r="AZ113" s="7">
        <f>Y113*0.0122437846+Z113*0.0122437846</f>
        <v/>
      </c>
      <c r="BA113" s="7">
        <f>Z113*0.0122437846+AA113*0.0122437846</f>
        <v/>
      </c>
      <c r="BB113" s="7">
        <f>SUM(AD113:BA113)</f>
        <v/>
      </c>
    </row>
    <row r="114">
      <c r="A114" t="inlineStr">
        <is>
          <t>DC-10-1</t>
        </is>
      </c>
      <c r="B114" t="inlineStr">
        <is>
          <t>DSC Manual</t>
        </is>
      </c>
      <c r="C114" s="5" t="n">
        <v>46092</v>
      </c>
      <c r="D114" s="6" t="n">
        <v>25</v>
      </c>
      <c r="E114" s="6" t="n">
        <v>2</v>
      </c>
      <c r="F114" s="6" t="n">
        <v>21</v>
      </c>
      <c r="G114" s="6" t="n">
        <v>60</v>
      </c>
      <c r="H114" s="6" t="n">
        <v>15</v>
      </c>
      <c r="I114" s="6" t="n">
        <v>54</v>
      </c>
      <c r="J114" s="6" t="n">
        <v>27</v>
      </c>
      <c r="K114" s="6" t="n">
        <v>4</v>
      </c>
      <c r="L114" s="6" t="n">
        <v>0</v>
      </c>
      <c r="M114" s="6" t="n">
        <v>0</v>
      </c>
      <c r="N114" s="6" t="n">
        <v>0</v>
      </c>
      <c r="O114" s="6" t="n">
        <v>0</v>
      </c>
      <c r="P114" s="6" t="n">
        <v>0</v>
      </c>
      <c r="Q114" s="6" t="n">
        <v>97</v>
      </c>
      <c r="R114" s="6" t="n">
        <v>179</v>
      </c>
      <c r="S114" s="6" t="n">
        <v>156</v>
      </c>
      <c r="T114" s="6" t="n">
        <v>45</v>
      </c>
      <c r="U114" s="6" t="n">
        <v>163</v>
      </c>
      <c r="V114" s="6" t="n">
        <v>190</v>
      </c>
      <c r="W114" s="6" t="n">
        <v>213</v>
      </c>
      <c r="X114" s="6" t="n">
        <v>214</v>
      </c>
      <c r="Y114" s="6" t="n">
        <v>209</v>
      </c>
      <c r="Z114" s="6" t="n">
        <v>3</v>
      </c>
      <c r="AA114" s="6" t="n">
        <v>31</v>
      </c>
      <c r="AB114" s="6">
        <f>SUM(D114:AA114)</f>
        <v/>
      </c>
      <c r="AC114" s="3" t="inlineStr"/>
      <c r="AD114" s="7">
        <f>AA114*0.0122437846+D114*0.0122437846</f>
        <v/>
      </c>
      <c r="AE114" s="7">
        <f>D114*0.0122437846+E114*0.0122437846</f>
        <v/>
      </c>
      <c r="AF114" s="7">
        <f>E114*0.0122437846+F114*0.0122437846</f>
        <v/>
      </c>
      <c r="AG114" s="7">
        <f>F114*0.0122437846+G114*0.0122437846</f>
        <v/>
      </c>
      <c r="AH114" s="7">
        <f>G114*0.0122437846+H114*0.0122437846</f>
        <v/>
      </c>
      <c r="AI114" s="7">
        <f>H114*0.0122437846+I114*0.0122437846</f>
        <v/>
      </c>
      <c r="AJ114" s="7">
        <f>I114*0.0122437846+J114*0.0122437846</f>
        <v/>
      </c>
      <c r="AK114" s="7">
        <f>J114*0.0122437846+K114*0.0122437846</f>
        <v/>
      </c>
      <c r="AL114" s="7">
        <f>K114*0.0122437846+L114*0.0122437846</f>
        <v/>
      </c>
      <c r="AM114" s="7">
        <f>L114*0.0122437846+M114*0.0122437846</f>
        <v/>
      </c>
      <c r="AN114" s="7">
        <f>M114*0.0122437846+N114*0.0122437846</f>
        <v/>
      </c>
      <c r="AO114" s="7">
        <f>N114*0.0122437846+O114*0.0122437846</f>
        <v/>
      </c>
      <c r="AP114" s="7">
        <f>O114*0.0122437846+P114*0.0122437846</f>
        <v/>
      </c>
      <c r="AQ114" s="7">
        <f>P114*0.0122437846+Q114*0.0122437846</f>
        <v/>
      </c>
      <c r="AR114" s="7">
        <f>Q114*0.0122437846+R114*0.0122437846</f>
        <v/>
      </c>
      <c r="AS114" s="7">
        <f>R114*0.0122437846+S114*0.0122437846</f>
        <v/>
      </c>
      <c r="AT114" s="7">
        <f>S114*0.0122437846+T114*0.0122437846</f>
        <v/>
      </c>
      <c r="AU114" s="7">
        <f>T114*0.0122437846+U114*0.0122437846</f>
        <v/>
      </c>
      <c r="AV114" s="7">
        <f>U114*0.0122437846+V114*0.0122437846</f>
        <v/>
      </c>
      <c r="AW114" s="7">
        <f>V114*0.0122437846+W114*0.0122437846</f>
        <v/>
      </c>
      <c r="AX114" s="7">
        <f>W114*0.0122437846+X114*0.0122437846</f>
        <v/>
      </c>
      <c r="AY114" s="7">
        <f>X114*0.0122437846+Y114*0.0122437846</f>
        <v/>
      </c>
      <c r="AZ114" s="7">
        <f>Y114*0.0122437846+Z114*0.0122437846</f>
        <v/>
      </c>
      <c r="BA114" s="7">
        <f>Z114*0.0122437846+AA114*0.0122437846</f>
        <v/>
      </c>
      <c r="BB114" s="7">
        <f>SUM(AD114:BA114)</f>
        <v/>
      </c>
    </row>
    <row r="115">
      <c r="A115" t="inlineStr">
        <is>
          <t>DC-10-1</t>
        </is>
      </c>
      <c r="B115" t="inlineStr">
        <is>
          <t>DSC Manual</t>
        </is>
      </c>
      <c r="C115" s="5" t="n">
        <v>46093</v>
      </c>
      <c r="D115" s="6" t="n">
        <v>63</v>
      </c>
      <c r="E115" s="6" t="n">
        <v>9</v>
      </c>
      <c r="F115" s="6" t="n">
        <v>37</v>
      </c>
      <c r="G115" s="6" t="n">
        <v>57</v>
      </c>
      <c r="H115" s="6" t="n">
        <v>36</v>
      </c>
      <c r="I115" s="6" t="n">
        <v>44</v>
      </c>
      <c r="J115" s="6" t="n">
        <v>48</v>
      </c>
      <c r="K115" s="6" t="n">
        <v>12</v>
      </c>
      <c r="L115" s="6" t="n">
        <v>0</v>
      </c>
      <c r="M115" s="6" t="n">
        <v>0</v>
      </c>
      <c r="N115" s="6" t="n">
        <v>4</v>
      </c>
      <c r="O115" s="6" t="n">
        <v>24</v>
      </c>
      <c r="P115" s="6" t="n">
        <v>0</v>
      </c>
      <c r="Q115" s="6" t="n">
        <v>0</v>
      </c>
      <c r="R115" s="6" t="n">
        <v>231</v>
      </c>
      <c r="S115" s="6" t="n">
        <v>187</v>
      </c>
      <c r="T115" s="6" t="n">
        <v>62</v>
      </c>
      <c r="U115" s="6" t="n">
        <v>140</v>
      </c>
      <c r="V115" s="6" t="n">
        <v>146</v>
      </c>
      <c r="W115" s="6" t="n">
        <v>162</v>
      </c>
      <c r="X115" s="6" t="n">
        <v>145</v>
      </c>
      <c r="Y115" s="6" t="n">
        <v>161</v>
      </c>
      <c r="Z115" s="6" t="n">
        <v>7</v>
      </c>
      <c r="AA115" s="6" t="n">
        <v>40</v>
      </c>
      <c r="AB115" s="6">
        <f>SUM(D115:AA115)</f>
        <v/>
      </c>
      <c r="AC115" s="3" t="inlineStr"/>
      <c r="AD115" s="7">
        <f>AA115*0.0122437846+D115*0.0122437846</f>
        <v/>
      </c>
      <c r="AE115" s="7">
        <f>D115*0.0122437846+E115*0.0122437846</f>
        <v/>
      </c>
      <c r="AF115" s="7">
        <f>E115*0.0122437846+F115*0.0122437846</f>
        <v/>
      </c>
      <c r="AG115" s="7">
        <f>F115*0.0122437846+G115*0.0122437846</f>
        <v/>
      </c>
      <c r="AH115" s="7">
        <f>G115*0.0122437846+H115*0.0122437846</f>
        <v/>
      </c>
      <c r="AI115" s="7">
        <f>H115*0.0122437846+I115*0.0122437846</f>
        <v/>
      </c>
      <c r="AJ115" s="7">
        <f>I115*0.0122437846+J115*0.0122437846</f>
        <v/>
      </c>
      <c r="AK115" s="7">
        <f>J115*0.0122437846+K115*0.0122437846</f>
        <v/>
      </c>
      <c r="AL115" s="7">
        <f>K115*0.0122437846+L115*0.0122437846</f>
        <v/>
      </c>
      <c r="AM115" s="7">
        <f>L115*0.0122437846+M115*0.0122437846</f>
        <v/>
      </c>
      <c r="AN115" s="7">
        <f>M115*0.0122437846+N115*0.0122437846</f>
        <v/>
      </c>
      <c r="AO115" s="7">
        <f>N115*0.0122437846+O115*0.0122437846</f>
        <v/>
      </c>
      <c r="AP115" s="7">
        <f>O115*0.0122437846+P115*0.0122437846</f>
        <v/>
      </c>
      <c r="AQ115" s="7">
        <f>P115*0.0122437846+Q115*0.0122437846</f>
        <v/>
      </c>
      <c r="AR115" s="7">
        <f>Q115*0.0122437846+R115*0.0122437846</f>
        <v/>
      </c>
      <c r="AS115" s="7">
        <f>R115*0.0122437846+S115*0.0122437846</f>
        <v/>
      </c>
      <c r="AT115" s="7">
        <f>S115*0.0122437846+T115*0.0122437846</f>
        <v/>
      </c>
      <c r="AU115" s="7">
        <f>T115*0.0122437846+U115*0.0122437846</f>
        <v/>
      </c>
      <c r="AV115" s="7">
        <f>U115*0.0122437846+V115*0.0122437846</f>
        <v/>
      </c>
      <c r="AW115" s="7">
        <f>V115*0.0122437846+W115*0.0122437846</f>
        <v/>
      </c>
      <c r="AX115" s="7">
        <f>W115*0.0122437846+X115*0.0122437846</f>
        <v/>
      </c>
      <c r="AY115" s="7">
        <f>X115*0.0122437846+Y115*0.0122437846</f>
        <v/>
      </c>
      <c r="AZ115" s="7">
        <f>Y115*0.0122437846+Z115*0.0122437846</f>
        <v/>
      </c>
      <c r="BA115" s="7">
        <f>Z115*0.0122437846+AA115*0.0122437846</f>
        <v/>
      </c>
      <c r="BB115" s="7">
        <f>SUM(AD115:BA115)</f>
        <v/>
      </c>
    </row>
    <row r="116">
      <c r="A116" t="inlineStr">
        <is>
          <t>DC-10-1</t>
        </is>
      </c>
      <c r="B116" t="inlineStr">
        <is>
          <t>DSC Manual</t>
        </is>
      </c>
      <c r="C116" s="5" t="n">
        <v>46094</v>
      </c>
      <c r="D116" s="6" t="n">
        <v>38</v>
      </c>
      <c r="E116" s="6" t="n">
        <v>4</v>
      </c>
      <c r="F116" s="6" t="n">
        <v>24</v>
      </c>
      <c r="G116" s="6" t="n">
        <v>27</v>
      </c>
      <c r="H116" s="6" t="n">
        <v>22</v>
      </c>
      <c r="I116" s="6" t="n">
        <v>23</v>
      </c>
      <c r="J116" s="6" t="n">
        <v>16</v>
      </c>
      <c r="K116" s="6" t="n">
        <v>1</v>
      </c>
      <c r="L116" s="6" t="n">
        <v>21</v>
      </c>
      <c r="M116" s="6" t="n">
        <v>40</v>
      </c>
      <c r="N116" s="6" t="n">
        <v>58</v>
      </c>
      <c r="O116" s="6" t="n">
        <v>2</v>
      </c>
      <c r="P116" s="6" t="n">
        <v>0</v>
      </c>
      <c r="Q116" s="6" t="n">
        <v>0</v>
      </c>
      <c r="R116" s="6" t="n">
        <v>170</v>
      </c>
      <c r="S116" s="6" t="n">
        <v>193</v>
      </c>
      <c r="T116" s="6" t="n">
        <v>78</v>
      </c>
      <c r="U116" s="6" t="n">
        <v>206</v>
      </c>
      <c r="V116" s="6" t="n">
        <v>193</v>
      </c>
      <c r="W116" s="6" t="n">
        <v>272</v>
      </c>
      <c r="X116" s="6" t="n">
        <v>174</v>
      </c>
      <c r="Y116" s="6" t="n">
        <v>0</v>
      </c>
      <c r="Z116" s="6" t="n">
        <v>0</v>
      </c>
      <c r="AA116" s="6" t="n">
        <v>8</v>
      </c>
      <c r="AB116" s="6">
        <f>SUM(D116:AA116)</f>
        <v/>
      </c>
      <c r="AC116" s="3" t="inlineStr"/>
      <c r="AD116" s="7">
        <f>AA116*0.0122437846+D116*0.0122437846</f>
        <v/>
      </c>
      <c r="AE116" s="7">
        <f>D116*0.0122437846+E116*0.0122437846</f>
        <v/>
      </c>
      <c r="AF116" s="7">
        <f>E116*0.0122437846+F116*0.0122437846</f>
        <v/>
      </c>
      <c r="AG116" s="7">
        <f>F116*0.0122437846+G116*0.0122437846</f>
        <v/>
      </c>
      <c r="AH116" s="7">
        <f>G116*0.0122437846+H116*0.0122437846</f>
        <v/>
      </c>
      <c r="AI116" s="7">
        <f>H116*0.0122437846+I116*0.0122437846</f>
        <v/>
      </c>
      <c r="AJ116" s="7">
        <f>I116*0.0122437846+J116*0.0122437846</f>
        <v/>
      </c>
      <c r="AK116" s="7">
        <f>J116*0.0122437846+K116*0.0122437846</f>
        <v/>
      </c>
      <c r="AL116" s="7">
        <f>K116*0.0122437846+L116*0.0122437846</f>
        <v/>
      </c>
      <c r="AM116" s="7">
        <f>L116*0.0122437846+M116*0.0122437846</f>
        <v/>
      </c>
      <c r="AN116" s="7">
        <f>M116*0.0122437846+N116*0.0122437846</f>
        <v/>
      </c>
      <c r="AO116" s="7">
        <f>N116*0.0122437846+O116*0.0122437846</f>
        <v/>
      </c>
      <c r="AP116" s="7">
        <f>O116*0.0122437846+P116*0.0122437846</f>
        <v/>
      </c>
      <c r="AQ116" s="7">
        <f>P116*0.0122437846+Q116*0.0122437846</f>
        <v/>
      </c>
      <c r="AR116" s="7">
        <f>Q116*0.0122437846+R116*0.0122437846</f>
        <v/>
      </c>
      <c r="AS116" s="7">
        <f>R116*0.0122437846+S116*0.0122437846</f>
        <v/>
      </c>
      <c r="AT116" s="7">
        <f>S116*0.0122437846+T116*0.0122437846</f>
        <v/>
      </c>
      <c r="AU116" s="7">
        <f>T116*0.0122437846+U116*0.0122437846</f>
        <v/>
      </c>
      <c r="AV116" s="7">
        <f>U116*0.0122437846+V116*0.0122437846</f>
        <v/>
      </c>
      <c r="AW116" s="7">
        <f>V116*0.0122437846+W116*0.0122437846</f>
        <v/>
      </c>
      <c r="AX116" s="7">
        <f>W116*0.0122437846+X116*0.0122437846</f>
        <v/>
      </c>
      <c r="AY116" s="7">
        <f>X116*0.0122437846+Y116*0.0122437846</f>
        <v/>
      </c>
      <c r="AZ116" s="7">
        <f>Y116*0.0122437846+Z116*0.0122437846</f>
        <v/>
      </c>
      <c r="BA116" s="7">
        <f>Z116*0.0122437846+AA116*0.0122437846</f>
        <v/>
      </c>
      <c r="BB116" s="7">
        <f>SUM(AD116:BA116)</f>
        <v/>
      </c>
    </row>
    <row r="117">
      <c r="A117" t="inlineStr">
        <is>
          <t>DC-10-1</t>
        </is>
      </c>
      <c r="B117" t="inlineStr">
        <is>
          <t>DSC Manual</t>
        </is>
      </c>
      <c r="C117" s="5" t="n">
        <v>46095</v>
      </c>
      <c r="D117" s="6" t="n">
        <v>19</v>
      </c>
      <c r="E117" s="6" t="n">
        <v>2</v>
      </c>
      <c r="F117" s="6" t="n">
        <v>10</v>
      </c>
      <c r="G117" s="6" t="n">
        <v>19</v>
      </c>
      <c r="H117" s="6" t="n">
        <v>19</v>
      </c>
      <c r="I117" s="6" t="n">
        <v>44</v>
      </c>
      <c r="J117" s="6" t="n">
        <v>46</v>
      </c>
      <c r="K117" s="6" t="n">
        <v>0</v>
      </c>
      <c r="L117" s="6" t="n">
        <v>0</v>
      </c>
      <c r="M117" s="6" t="n">
        <v>48</v>
      </c>
      <c r="N117" s="6" t="n">
        <v>41</v>
      </c>
      <c r="O117" s="6" t="n">
        <v>29</v>
      </c>
      <c r="P117" s="6" t="n">
        <v>2</v>
      </c>
      <c r="Q117" s="6" t="n">
        <v>1</v>
      </c>
      <c r="R117" s="6" t="n">
        <v>245</v>
      </c>
      <c r="S117" s="6" t="n">
        <v>200</v>
      </c>
      <c r="T117" s="6" t="n">
        <v>31</v>
      </c>
      <c r="U117" s="6" t="n">
        <v>213</v>
      </c>
      <c r="V117" s="6" t="n">
        <v>164</v>
      </c>
      <c r="W117" s="6" t="n">
        <v>57</v>
      </c>
      <c r="X117" s="6" t="n">
        <v>5</v>
      </c>
      <c r="Y117" s="6" t="n">
        <v>2</v>
      </c>
      <c r="Z117" s="6" t="n">
        <v>9</v>
      </c>
      <c r="AA117" s="6" t="n">
        <v>54</v>
      </c>
      <c r="AB117" s="6">
        <f>SUM(D117:AA117)</f>
        <v/>
      </c>
      <c r="AC117" s="3" t="inlineStr"/>
      <c r="AD117" s="7">
        <f>AA117*0.0122437846+D117*0.0122437846</f>
        <v/>
      </c>
      <c r="AE117" s="7">
        <f>D117*0.0122437846+E117*0.0122437846</f>
        <v/>
      </c>
      <c r="AF117" s="7">
        <f>E117*0.0122437846+F117*0.0122437846</f>
        <v/>
      </c>
      <c r="AG117" s="7">
        <f>F117*0.0122437846+G117*0.0122437846</f>
        <v/>
      </c>
      <c r="AH117" s="7">
        <f>G117*0.0122437846+H117*0.0122437846</f>
        <v/>
      </c>
      <c r="AI117" s="7">
        <f>H117*0.0122437846+I117*0.0122437846</f>
        <v/>
      </c>
      <c r="AJ117" s="7">
        <f>I117*0.0122437846+J117*0.0122437846</f>
        <v/>
      </c>
      <c r="AK117" s="7">
        <f>J117*0.0122437846+K117*0.0122437846</f>
        <v/>
      </c>
      <c r="AL117" s="7">
        <f>K117*0.0122437846+L117*0.0122437846</f>
        <v/>
      </c>
      <c r="AM117" s="7">
        <f>L117*0.0122437846+M117*0.0122437846</f>
        <v/>
      </c>
      <c r="AN117" s="7">
        <f>M117*0.0122437846+N117*0.0122437846</f>
        <v/>
      </c>
      <c r="AO117" s="7">
        <f>N117*0.0122437846+O117*0.0122437846</f>
        <v/>
      </c>
      <c r="AP117" s="7">
        <f>O117*0.0122437846+P117*0.0122437846</f>
        <v/>
      </c>
      <c r="AQ117" s="7">
        <f>P117*0.0122437846+Q117*0.0122437846</f>
        <v/>
      </c>
      <c r="AR117" s="7">
        <f>Q117*0.0122437846+R117*0.0122437846</f>
        <v/>
      </c>
      <c r="AS117" s="7">
        <f>R117*0.0122437846+S117*0.0122437846</f>
        <v/>
      </c>
      <c r="AT117" s="7">
        <f>S117*0.0122437846+T117*0.0122437846</f>
        <v/>
      </c>
      <c r="AU117" s="7">
        <f>T117*0.0122437846+U117*0.0122437846</f>
        <v/>
      </c>
      <c r="AV117" s="7">
        <f>U117*0.0122437846+V117*0.0122437846</f>
        <v/>
      </c>
      <c r="AW117" s="7">
        <f>V117*0.0122437846+W117*0.0122437846</f>
        <v/>
      </c>
      <c r="AX117" s="7">
        <f>W117*0.0122437846+X117*0.0122437846</f>
        <v/>
      </c>
      <c r="AY117" s="7">
        <f>X117*0.0122437846+Y117*0.0122437846</f>
        <v/>
      </c>
      <c r="AZ117" s="7">
        <f>Y117*0.0122437846+Z117*0.0122437846</f>
        <v/>
      </c>
      <c r="BA117" s="7">
        <f>Z117*0.0122437846+AA117*0.0122437846</f>
        <v/>
      </c>
      <c r="BB117" s="7">
        <f>SUM(AD117:BA117)</f>
        <v/>
      </c>
    </row>
    <row r="118">
      <c r="A118" t="inlineStr">
        <is>
          <t>DC-10-1</t>
        </is>
      </c>
      <c r="B118" t="inlineStr">
        <is>
          <t>DSC Manual</t>
        </is>
      </c>
      <c r="C118" s="5" t="n">
        <v>46096</v>
      </c>
      <c r="D118" s="6" t="n">
        <v>29</v>
      </c>
      <c r="E118" s="6" t="n">
        <v>15</v>
      </c>
      <c r="F118" s="6" t="n">
        <v>31</v>
      </c>
      <c r="G118" s="6" t="n">
        <v>40</v>
      </c>
      <c r="H118" s="6" t="n">
        <v>23</v>
      </c>
      <c r="I118" s="6" t="n">
        <v>26</v>
      </c>
      <c r="J118" s="6" t="n">
        <v>17</v>
      </c>
      <c r="K118" s="6" t="n">
        <v>3</v>
      </c>
      <c r="L118" s="6" t="n">
        <v>0</v>
      </c>
      <c r="M118" s="6" t="n">
        <v>0</v>
      </c>
      <c r="N118" s="6" t="n">
        <v>0</v>
      </c>
      <c r="O118" s="6" t="n">
        <v>0</v>
      </c>
      <c r="P118" s="6" t="n">
        <v>0</v>
      </c>
      <c r="Q118" s="6" t="n">
        <v>0</v>
      </c>
      <c r="R118" s="6" t="n">
        <v>192</v>
      </c>
      <c r="S118" s="6" t="n">
        <v>146</v>
      </c>
      <c r="T118" s="6" t="n">
        <v>63</v>
      </c>
      <c r="U118" s="6" t="n">
        <v>172</v>
      </c>
      <c r="V118" s="6" t="n">
        <v>162</v>
      </c>
      <c r="W118" s="6" t="n">
        <v>206</v>
      </c>
      <c r="X118" s="6" t="n">
        <v>238</v>
      </c>
      <c r="Y118" s="6" t="n">
        <v>25</v>
      </c>
      <c r="Z118" s="6" t="n">
        <v>0</v>
      </c>
      <c r="AA118" s="6" t="n">
        <v>14</v>
      </c>
      <c r="AB118" s="6">
        <f>SUM(D118:AA118)</f>
        <v/>
      </c>
      <c r="AC118" s="3" t="inlineStr"/>
      <c r="AD118" s="7">
        <f>AA118*0.0122437846+D118*0.0122437846</f>
        <v/>
      </c>
      <c r="AE118" s="7">
        <f>D118*0.0122437846+E118*0.0122437846</f>
        <v/>
      </c>
      <c r="AF118" s="7">
        <f>E118*0.0122437846+F118*0.0122437846</f>
        <v/>
      </c>
      <c r="AG118" s="7">
        <f>F118*0.0122437846+G118*0.0122437846</f>
        <v/>
      </c>
      <c r="AH118" s="7">
        <f>G118*0.0122437846+H118*0.0122437846</f>
        <v/>
      </c>
      <c r="AI118" s="7">
        <f>H118*0.0122437846+I118*0.0122437846</f>
        <v/>
      </c>
      <c r="AJ118" s="7">
        <f>I118*0.0122437846+J118*0.0122437846</f>
        <v/>
      </c>
      <c r="AK118" s="7">
        <f>J118*0.0122437846+K118*0.0122437846</f>
        <v/>
      </c>
      <c r="AL118" s="7">
        <f>K118*0.0122437846+L118*0.0122437846</f>
        <v/>
      </c>
      <c r="AM118" s="7">
        <f>L118*0.0122437846+M118*0.0122437846</f>
        <v/>
      </c>
      <c r="AN118" s="7">
        <f>M118*0.0122437846+N118*0.0122437846</f>
        <v/>
      </c>
      <c r="AO118" s="7">
        <f>N118*0.0122437846+O118*0.0122437846</f>
        <v/>
      </c>
      <c r="AP118" s="7">
        <f>O118*0.0122437846+P118*0.0122437846</f>
        <v/>
      </c>
      <c r="AQ118" s="7">
        <f>P118*0.0122437846+Q118*0.0122437846</f>
        <v/>
      </c>
      <c r="AR118" s="7">
        <f>Q118*0.0122437846+R118*0.0122437846</f>
        <v/>
      </c>
      <c r="AS118" s="7">
        <f>R118*0.0122437846+S118*0.0122437846</f>
        <v/>
      </c>
      <c r="AT118" s="7">
        <f>S118*0.0122437846+T118*0.0122437846</f>
        <v/>
      </c>
      <c r="AU118" s="7">
        <f>T118*0.0122437846+U118*0.0122437846</f>
        <v/>
      </c>
      <c r="AV118" s="7">
        <f>U118*0.0122437846+V118*0.0122437846</f>
        <v/>
      </c>
      <c r="AW118" s="7">
        <f>V118*0.0122437846+W118*0.0122437846</f>
        <v/>
      </c>
      <c r="AX118" s="7">
        <f>W118*0.0122437846+X118*0.0122437846</f>
        <v/>
      </c>
      <c r="AY118" s="7">
        <f>X118*0.0122437846+Y118*0.0122437846</f>
        <v/>
      </c>
      <c r="AZ118" s="7">
        <f>Y118*0.0122437846+Z118*0.0122437846</f>
        <v/>
      </c>
      <c r="BA118" s="7">
        <f>Z118*0.0122437846+AA118*0.0122437846</f>
        <v/>
      </c>
      <c r="BB118" s="7">
        <f>SUM(AD118:BA118)</f>
        <v/>
      </c>
    </row>
    <row r="119">
      <c r="A119" t="inlineStr">
        <is>
          <t>DC-10-1</t>
        </is>
      </c>
      <c r="B119" t="inlineStr">
        <is>
          <t>DSC Manual</t>
        </is>
      </c>
      <c r="C119" s="5" t="n">
        <v>46097</v>
      </c>
      <c r="D119" s="6" t="n">
        <v>7</v>
      </c>
      <c r="E119" s="6" t="n">
        <v>5</v>
      </c>
      <c r="F119" s="6" t="n">
        <v>12</v>
      </c>
      <c r="G119" s="6" t="n">
        <v>32</v>
      </c>
      <c r="H119" s="6" t="n">
        <v>22</v>
      </c>
      <c r="I119" s="6" t="n">
        <v>21</v>
      </c>
      <c r="J119" s="6" t="n">
        <v>2</v>
      </c>
      <c r="K119" s="6" t="n">
        <v>0</v>
      </c>
      <c r="L119" s="6" t="n">
        <v>0</v>
      </c>
      <c r="M119" s="6" t="n">
        <v>0</v>
      </c>
      <c r="N119" s="6" t="n">
        <v>0</v>
      </c>
      <c r="O119" s="6" t="n">
        <v>0</v>
      </c>
      <c r="P119" s="6" t="n">
        <v>0</v>
      </c>
      <c r="Q119" s="6" t="n">
        <v>0</v>
      </c>
      <c r="R119" s="6" t="n">
        <v>217</v>
      </c>
      <c r="S119" s="6" t="n">
        <v>170</v>
      </c>
      <c r="T119" s="6" t="n">
        <v>46</v>
      </c>
      <c r="U119" s="6" t="n">
        <v>139</v>
      </c>
      <c r="V119" s="6" t="n">
        <v>163</v>
      </c>
      <c r="W119" s="6" t="n">
        <v>196</v>
      </c>
      <c r="X119" s="6" t="n">
        <v>214</v>
      </c>
      <c r="Y119" s="6" t="n">
        <v>143</v>
      </c>
      <c r="Z119" s="6" t="n">
        <v>0</v>
      </c>
      <c r="AA119" s="6" t="n">
        <v>0</v>
      </c>
      <c r="AB119" s="6">
        <f>SUM(D119:AA119)</f>
        <v/>
      </c>
      <c r="AC119" s="3" t="inlineStr"/>
      <c r="AD119" s="7">
        <f>AA119*0.0122437846+D119*0.0122437846</f>
        <v/>
      </c>
      <c r="AE119" s="7">
        <f>D119*0.0122437846+E119*0.0122437846</f>
        <v/>
      </c>
      <c r="AF119" s="7">
        <f>E119*0.0122437846+F119*0.0122437846</f>
        <v/>
      </c>
      <c r="AG119" s="7">
        <f>F119*0.0122437846+G119*0.0122437846</f>
        <v/>
      </c>
      <c r="AH119" s="7">
        <f>G119*0.0122437846+H119*0.0122437846</f>
        <v/>
      </c>
      <c r="AI119" s="7">
        <f>H119*0.0122437846+I119*0.0122437846</f>
        <v/>
      </c>
      <c r="AJ119" s="7">
        <f>I119*0.0122437846+J119*0.0122437846</f>
        <v/>
      </c>
      <c r="AK119" s="7">
        <f>J119*0.0122437846+K119*0.0122437846</f>
        <v/>
      </c>
      <c r="AL119" s="7">
        <f>K119*0.0122437846+L119*0.0122437846</f>
        <v/>
      </c>
      <c r="AM119" s="7">
        <f>L119*0.0122437846+M119*0.0122437846</f>
        <v/>
      </c>
      <c r="AN119" s="7">
        <f>M119*0.0122437846+N119*0.0122437846</f>
        <v/>
      </c>
      <c r="AO119" s="7">
        <f>N119*0.0122437846+O119*0.0122437846</f>
        <v/>
      </c>
      <c r="AP119" s="7">
        <f>O119*0.0122437846+P119*0.0122437846</f>
        <v/>
      </c>
      <c r="AQ119" s="7">
        <f>P119*0.0122437846+Q119*0.0122437846</f>
        <v/>
      </c>
      <c r="AR119" s="7">
        <f>Q119*0.0122437846+R119*0.0122437846</f>
        <v/>
      </c>
      <c r="AS119" s="7">
        <f>R119*0.0122437846+S119*0.0122437846</f>
        <v/>
      </c>
      <c r="AT119" s="7">
        <f>S119*0.0122437846+T119*0.0122437846</f>
        <v/>
      </c>
      <c r="AU119" s="7">
        <f>T119*0.0122437846+U119*0.0122437846</f>
        <v/>
      </c>
      <c r="AV119" s="7">
        <f>U119*0.0122437846+V119*0.0122437846</f>
        <v/>
      </c>
      <c r="AW119" s="7">
        <f>V119*0.0122437846+W119*0.0122437846</f>
        <v/>
      </c>
      <c r="AX119" s="7">
        <f>W119*0.0122437846+X119*0.0122437846</f>
        <v/>
      </c>
      <c r="AY119" s="7">
        <f>X119*0.0122437846+Y119*0.0122437846</f>
        <v/>
      </c>
      <c r="AZ119" s="7">
        <f>Y119*0.0122437846+Z119*0.0122437846</f>
        <v/>
      </c>
      <c r="BA119" s="7">
        <f>Z119*0.0122437846+AA119*0.0122437846</f>
        <v/>
      </c>
      <c r="BB119" s="7">
        <f>SUM(AD119:BA119)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B1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Layout</t>
        </is>
      </c>
      <c r="B1" s="1" t="inlineStr">
        <is>
          <t>Layout Type</t>
        </is>
      </c>
      <c r="C1" s="1" t="inlineStr">
        <is>
          <t>Date</t>
        </is>
      </c>
      <c r="D1" s="2" t="inlineStr">
        <is>
          <t>Act Vol 12 AM</t>
        </is>
      </c>
      <c r="E1" s="2" t="inlineStr">
        <is>
          <t>Act Vol 1 AM</t>
        </is>
      </c>
      <c r="F1" s="2" t="inlineStr">
        <is>
          <t>Act Vol 2 AM</t>
        </is>
      </c>
      <c r="G1" s="2" t="inlineStr">
        <is>
          <t>Act Vol 3 AM</t>
        </is>
      </c>
      <c r="H1" s="2" t="inlineStr">
        <is>
          <t>Act Vol 4 AM</t>
        </is>
      </c>
      <c r="I1" s="2" t="inlineStr">
        <is>
          <t>Act Vol 5 AM</t>
        </is>
      </c>
      <c r="J1" s="2" t="inlineStr">
        <is>
          <t>Act Vol 6 AM</t>
        </is>
      </c>
      <c r="K1" s="2" t="inlineStr">
        <is>
          <t>Act Vol 7 AM</t>
        </is>
      </c>
      <c r="L1" s="2" t="inlineStr">
        <is>
          <t>Act Vol 8 AM</t>
        </is>
      </c>
      <c r="M1" s="2" t="inlineStr">
        <is>
          <t>Act Vol 9 AM</t>
        </is>
      </c>
      <c r="N1" s="2" t="inlineStr">
        <is>
          <t>Act Vol 10 AM</t>
        </is>
      </c>
      <c r="O1" s="2" t="inlineStr">
        <is>
          <t>Act Vol 11 AM</t>
        </is>
      </c>
      <c r="P1" s="2" t="inlineStr">
        <is>
          <t>Act Vol 12 PM</t>
        </is>
      </c>
      <c r="Q1" s="2" t="inlineStr">
        <is>
          <t>Act Vol 1 PM</t>
        </is>
      </c>
      <c r="R1" s="2" t="inlineStr">
        <is>
          <t>Act Vol 2 PM</t>
        </is>
      </c>
      <c r="S1" s="2" t="inlineStr">
        <is>
          <t>Act Vol 3 PM</t>
        </is>
      </c>
      <c r="T1" s="2" t="inlineStr">
        <is>
          <t>Act Vol 4 PM</t>
        </is>
      </c>
      <c r="U1" s="2" t="inlineStr">
        <is>
          <t>Act Vol 5 PM</t>
        </is>
      </c>
      <c r="V1" s="2" t="inlineStr">
        <is>
          <t>Act Vol 6 PM</t>
        </is>
      </c>
      <c r="W1" s="2" t="inlineStr">
        <is>
          <t>Act Vol 7 PM</t>
        </is>
      </c>
      <c r="X1" s="2" t="inlineStr">
        <is>
          <t>Act Vol 8 PM</t>
        </is>
      </c>
      <c r="Y1" s="2" t="inlineStr">
        <is>
          <t>Act Vol 9 PM</t>
        </is>
      </c>
      <c r="Z1" s="2" t="inlineStr">
        <is>
          <t>Act Vol 10 PM</t>
        </is>
      </c>
      <c r="AA1" s="2" t="inlineStr">
        <is>
          <t>Act Vol 11 PM</t>
        </is>
      </c>
      <c r="AB1" s="2" t="inlineStr">
        <is>
          <t>Act Vol Total</t>
        </is>
      </c>
      <c r="AC1" s="3" t="inlineStr"/>
      <c r="AD1" s="4" t="inlineStr">
        <is>
          <t>MH 12 AM</t>
        </is>
      </c>
      <c r="AE1" s="4" t="inlineStr">
        <is>
          <t>MH 1 AM</t>
        </is>
      </c>
      <c r="AF1" s="4" t="inlineStr">
        <is>
          <t>MH 2 AM</t>
        </is>
      </c>
      <c r="AG1" s="4" t="inlineStr">
        <is>
          <t>MH 3 AM</t>
        </is>
      </c>
      <c r="AH1" s="4" t="inlineStr">
        <is>
          <t>MH 4 AM</t>
        </is>
      </c>
      <c r="AI1" s="4" t="inlineStr">
        <is>
          <t>MH 5 AM</t>
        </is>
      </c>
      <c r="AJ1" s="4" t="inlineStr">
        <is>
          <t>MH 6 AM</t>
        </is>
      </c>
      <c r="AK1" s="4" t="inlineStr">
        <is>
          <t>MH 7 AM</t>
        </is>
      </c>
      <c r="AL1" s="4" t="inlineStr">
        <is>
          <t>MH 8 AM</t>
        </is>
      </c>
      <c r="AM1" s="4" t="inlineStr">
        <is>
          <t>MH 9 AM</t>
        </is>
      </c>
      <c r="AN1" s="4" t="inlineStr">
        <is>
          <t>MH 10 AM</t>
        </is>
      </c>
      <c r="AO1" s="4" t="inlineStr">
        <is>
          <t>MH 11 AM</t>
        </is>
      </c>
      <c r="AP1" s="4" t="inlineStr">
        <is>
          <t>MH 12 PM</t>
        </is>
      </c>
      <c r="AQ1" s="4" t="inlineStr">
        <is>
          <t>MH 1 PM</t>
        </is>
      </c>
      <c r="AR1" s="4" t="inlineStr">
        <is>
          <t>MH 2 PM</t>
        </is>
      </c>
      <c r="AS1" s="4" t="inlineStr">
        <is>
          <t>MH 3 PM</t>
        </is>
      </c>
      <c r="AT1" s="4" t="inlineStr">
        <is>
          <t>MH 4 PM</t>
        </is>
      </c>
      <c r="AU1" s="4" t="inlineStr">
        <is>
          <t>MH 5 PM</t>
        </is>
      </c>
      <c r="AV1" s="4" t="inlineStr">
        <is>
          <t>MH 6 PM</t>
        </is>
      </c>
      <c r="AW1" s="4" t="inlineStr">
        <is>
          <t>MH 7 PM</t>
        </is>
      </c>
      <c r="AX1" s="4" t="inlineStr">
        <is>
          <t>MH 8 PM</t>
        </is>
      </c>
      <c r="AY1" s="4" t="inlineStr">
        <is>
          <t>MH 9 PM</t>
        </is>
      </c>
      <c r="AZ1" s="4" t="inlineStr">
        <is>
          <t>MH 10 PM</t>
        </is>
      </c>
      <c r="BA1" s="4" t="inlineStr">
        <is>
          <t>MH 11 PM</t>
        </is>
      </c>
      <c r="BB1" s="4" t="inlineStr">
        <is>
          <t>MH Total</t>
        </is>
      </c>
    </row>
    <row r="2">
      <c r="A2" t="inlineStr">
        <is>
          <t>AMD-AIR-NEW-SSC</t>
        </is>
      </c>
      <c r="B2" t="inlineStr">
        <is>
          <t>Forward Regular OSC</t>
        </is>
      </c>
      <c r="C2" s="5" t="n">
        <v>46093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v>0</v>
      </c>
      <c r="N2" s="6" t="n">
        <v>0</v>
      </c>
      <c r="O2" s="6" t="n">
        <v>0</v>
      </c>
      <c r="P2" s="6" t="n">
        <v>0</v>
      </c>
      <c r="Q2" s="6" t="n">
        <v>0</v>
      </c>
      <c r="R2" s="6" t="n">
        <v>0</v>
      </c>
      <c r="S2" s="6" t="n">
        <v>0</v>
      </c>
      <c r="T2" s="6" t="n">
        <v>0</v>
      </c>
      <c r="U2" s="6" t="n">
        <v>0</v>
      </c>
      <c r="V2" s="6" t="n">
        <v>0</v>
      </c>
      <c r="W2" s="6" t="n">
        <v>0</v>
      </c>
      <c r="X2" s="6" t="n">
        <v>0</v>
      </c>
      <c r="Y2" s="6" t="n">
        <v>0</v>
      </c>
      <c r="Z2" s="6" t="n">
        <v>0</v>
      </c>
      <c r="AA2" s="6" t="n">
        <v>0</v>
      </c>
      <c r="AB2" s="6">
        <f>SUM(D2:AA2)</f>
        <v/>
      </c>
      <c r="AC2" s="3" t="inlineStr"/>
      <c r="AD2" s="7" t="n">
        <v>0</v>
      </c>
      <c r="AE2" s="7" t="n">
        <v>0</v>
      </c>
      <c r="AF2" s="7" t="n">
        <v>0</v>
      </c>
      <c r="AG2" s="7" t="n">
        <v>0</v>
      </c>
      <c r="AH2" s="7" t="n">
        <v>0</v>
      </c>
      <c r="AI2" s="7" t="n">
        <v>0</v>
      </c>
      <c r="AJ2" s="7" t="n">
        <v>0</v>
      </c>
      <c r="AK2" s="7" t="n">
        <v>0</v>
      </c>
      <c r="AL2" s="7" t="n">
        <v>0</v>
      </c>
      <c r="AM2" s="7" t="n">
        <v>0</v>
      </c>
      <c r="AN2" s="7" t="n">
        <v>0</v>
      </c>
      <c r="AO2" s="7" t="n">
        <v>0</v>
      </c>
      <c r="AP2" s="7" t="n">
        <v>0</v>
      </c>
      <c r="AQ2" s="7" t="n">
        <v>0</v>
      </c>
      <c r="AR2" s="7" t="n">
        <v>0</v>
      </c>
      <c r="AS2" s="7" t="n">
        <v>0</v>
      </c>
      <c r="AT2" s="7" t="n">
        <v>0</v>
      </c>
      <c r="AU2" s="7" t="n">
        <v>0</v>
      </c>
      <c r="AV2" s="7" t="n">
        <v>0</v>
      </c>
      <c r="AW2" s="7" t="n">
        <v>0</v>
      </c>
      <c r="AX2" s="7" t="n">
        <v>0</v>
      </c>
      <c r="AY2" s="7" t="n">
        <v>0</v>
      </c>
      <c r="AZ2" s="7" t="n">
        <v>0</v>
      </c>
      <c r="BA2" s="7" t="n">
        <v>0</v>
      </c>
      <c r="BB2" s="7">
        <f>SUM(AD2:BA2)</f>
        <v/>
      </c>
    </row>
    <row r="3">
      <c r="A3" t="inlineStr">
        <is>
          <t>AMD-AIR-NEW-SSC</t>
        </is>
      </c>
      <c r="B3" t="inlineStr">
        <is>
          <t>Forward Regular OSC</t>
        </is>
      </c>
      <c r="C3" s="5" t="n">
        <v>46094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>
        <f>SUM(D3:AA3)</f>
        <v/>
      </c>
      <c r="AC3" s="3" t="inlineStr"/>
      <c r="AD3" s="7" t="n">
        <v>0</v>
      </c>
      <c r="AE3" s="7" t="n">
        <v>0</v>
      </c>
      <c r="AF3" s="7" t="n">
        <v>0</v>
      </c>
      <c r="AG3" s="7" t="n">
        <v>0</v>
      </c>
      <c r="AH3" s="7" t="n">
        <v>0</v>
      </c>
      <c r="AI3" s="7" t="n">
        <v>0</v>
      </c>
      <c r="AJ3" s="7" t="n">
        <v>0</v>
      </c>
      <c r="AK3" s="7" t="n">
        <v>0</v>
      </c>
      <c r="AL3" s="7" t="n">
        <v>0</v>
      </c>
      <c r="AM3" s="7" t="n">
        <v>0</v>
      </c>
      <c r="AN3" s="7" t="n">
        <v>0</v>
      </c>
      <c r="AO3" s="7" t="n">
        <v>0</v>
      </c>
      <c r="AP3" s="7" t="n">
        <v>0</v>
      </c>
      <c r="AQ3" s="7" t="n">
        <v>0</v>
      </c>
      <c r="AR3" s="7" t="n">
        <v>0</v>
      </c>
      <c r="AS3" s="7" t="n">
        <v>0</v>
      </c>
      <c r="AT3" s="7" t="n">
        <v>0</v>
      </c>
      <c r="AU3" s="7" t="n">
        <v>0</v>
      </c>
      <c r="AV3" s="7" t="n">
        <v>0</v>
      </c>
      <c r="AW3" s="7" t="n">
        <v>0</v>
      </c>
      <c r="AX3" s="7" t="n">
        <v>0</v>
      </c>
      <c r="AY3" s="7" t="n">
        <v>0</v>
      </c>
      <c r="AZ3" s="7" t="n">
        <v>0</v>
      </c>
      <c r="BA3" s="7" t="n">
        <v>0</v>
      </c>
      <c r="BB3" s="7">
        <f>SUM(AD3:BA3)</f>
        <v/>
      </c>
    </row>
    <row r="4">
      <c r="A4" t="inlineStr">
        <is>
          <t>AMD-AIR-NEW-SSC</t>
        </is>
      </c>
      <c r="B4" t="inlineStr">
        <is>
          <t>Forward Regular OSC</t>
        </is>
      </c>
      <c r="C4" s="5" t="n">
        <v>46096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0</v>
      </c>
      <c r="R4" s="6" t="n">
        <v>0</v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0</v>
      </c>
      <c r="AB4" s="6">
        <f>SUM(D4:AA4)</f>
        <v/>
      </c>
      <c r="AC4" s="3" t="inlineStr"/>
      <c r="AD4" s="7" t="n">
        <v>0</v>
      </c>
      <c r="AE4" s="7" t="n">
        <v>0</v>
      </c>
      <c r="AF4" s="7" t="n">
        <v>0</v>
      </c>
      <c r="AG4" s="7" t="n">
        <v>0</v>
      </c>
      <c r="AH4" s="7" t="n">
        <v>0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0</v>
      </c>
      <c r="AP4" s="7" t="n">
        <v>0</v>
      </c>
      <c r="AQ4" s="7" t="n">
        <v>0</v>
      </c>
      <c r="AR4" s="7" t="n">
        <v>0</v>
      </c>
      <c r="AS4" s="7" t="n">
        <v>0</v>
      </c>
      <c r="AT4" s="7" t="n">
        <v>0</v>
      </c>
      <c r="AU4" s="7" t="n">
        <v>0</v>
      </c>
      <c r="AV4" s="7" t="n">
        <v>0</v>
      </c>
      <c r="AW4" s="7" t="n">
        <v>0</v>
      </c>
      <c r="AX4" s="7" t="n">
        <v>0</v>
      </c>
      <c r="AY4" s="7" t="n">
        <v>0</v>
      </c>
      <c r="AZ4" s="7" t="n">
        <v>0</v>
      </c>
      <c r="BA4" s="7" t="n">
        <v>0</v>
      </c>
      <c r="BB4" s="7">
        <f>SUM(AD4:BA4)</f>
        <v/>
      </c>
    </row>
    <row r="5">
      <c r="A5" t="inlineStr">
        <is>
          <t>AMD-AIR-NEW-SSC</t>
        </is>
      </c>
      <c r="B5" t="inlineStr">
        <is>
          <t>Forward Regular OSC</t>
        </is>
      </c>
      <c r="C5" s="5" t="n">
        <v>46097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>
        <f>SUM(D5:AA5)</f>
        <v/>
      </c>
      <c r="AC5" s="3" t="inlineStr"/>
      <c r="AD5" s="7" t="n">
        <v>0</v>
      </c>
      <c r="AE5" s="7" t="n">
        <v>0</v>
      </c>
      <c r="AF5" s="7" t="n">
        <v>0</v>
      </c>
      <c r="AG5" s="7" t="n">
        <v>0</v>
      </c>
      <c r="AH5" s="7" t="n">
        <v>0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0</v>
      </c>
      <c r="AP5" s="7" t="n">
        <v>0</v>
      </c>
      <c r="AQ5" s="7" t="n">
        <v>0</v>
      </c>
      <c r="AR5" s="7" t="n">
        <v>0</v>
      </c>
      <c r="AS5" s="7" t="n">
        <v>0</v>
      </c>
      <c r="AT5" s="7" t="n">
        <v>0</v>
      </c>
      <c r="AU5" s="7" t="n">
        <v>0</v>
      </c>
      <c r="AV5" s="7" t="n">
        <v>0</v>
      </c>
      <c r="AW5" s="7" t="n">
        <v>0</v>
      </c>
      <c r="AX5" s="7" t="n">
        <v>0</v>
      </c>
      <c r="AY5" s="7" t="n">
        <v>0</v>
      </c>
      <c r="AZ5" s="7" t="n">
        <v>0</v>
      </c>
      <c r="BA5" s="7" t="n">
        <v>0</v>
      </c>
      <c r="BB5" s="7">
        <f>SUM(AD5:BA5)</f>
        <v/>
      </c>
    </row>
    <row r="6">
      <c r="A6" t="inlineStr">
        <is>
          <t>AMD-AIR-NEW-SSC</t>
        </is>
      </c>
      <c r="B6" t="inlineStr">
        <is>
          <t>Forward Regular OSC</t>
        </is>
      </c>
      <c r="C6" s="5" t="n">
        <v>46100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>
        <f>SUM(D6:AA6)</f>
        <v/>
      </c>
      <c r="AC6" s="3" t="inlineStr"/>
      <c r="AD6" s="7" t="n">
        <v>0</v>
      </c>
      <c r="AE6" s="7" t="n">
        <v>0</v>
      </c>
      <c r="AF6" s="7" t="n">
        <v>0</v>
      </c>
      <c r="AG6" s="7" t="n">
        <v>0</v>
      </c>
      <c r="AH6" s="7" t="n">
        <v>0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0</v>
      </c>
      <c r="AN6" s="7" t="n">
        <v>0</v>
      </c>
      <c r="AO6" s="7" t="n">
        <v>0</v>
      </c>
      <c r="AP6" s="7" t="n">
        <v>0</v>
      </c>
      <c r="AQ6" s="7" t="n">
        <v>0</v>
      </c>
      <c r="AR6" s="7" t="n">
        <v>0</v>
      </c>
      <c r="AS6" s="7" t="n">
        <v>0</v>
      </c>
      <c r="AT6" s="7" t="n">
        <v>0</v>
      </c>
      <c r="AU6" s="7" t="n">
        <v>0</v>
      </c>
      <c r="AV6" s="7" t="n">
        <v>0</v>
      </c>
      <c r="AW6" s="7" t="n">
        <v>0</v>
      </c>
      <c r="AX6" s="7" t="n">
        <v>0</v>
      </c>
      <c r="AY6" s="7" t="n">
        <v>0</v>
      </c>
      <c r="AZ6" s="7" t="n">
        <v>0</v>
      </c>
      <c r="BA6" s="7" t="n">
        <v>0</v>
      </c>
      <c r="BB6" s="7">
        <f>SUM(AD6:BA6)</f>
        <v/>
      </c>
    </row>
    <row r="7">
      <c r="A7" t="inlineStr">
        <is>
          <t>AMD-AIR-NEW-SSC</t>
        </is>
      </c>
      <c r="B7" t="inlineStr">
        <is>
          <t>Forward Regular OSC</t>
        </is>
      </c>
      <c r="C7" s="5" t="n">
        <v>46101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>
        <f>SUM(D7:AA7)</f>
        <v/>
      </c>
      <c r="AC7" s="3" t="inlineStr"/>
      <c r="AD7" s="7" t="n">
        <v>0</v>
      </c>
      <c r="AE7" s="7" t="n">
        <v>0</v>
      </c>
      <c r="AF7" s="7" t="n">
        <v>0</v>
      </c>
      <c r="AG7" s="7" t="n">
        <v>0</v>
      </c>
      <c r="AH7" s="7" t="n">
        <v>0</v>
      </c>
      <c r="AI7" s="7" t="n">
        <v>0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0</v>
      </c>
      <c r="AP7" s="7" t="n">
        <v>0</v>
      </c>
      <c r="AQ7" s="7" t="n">
        <v>0</v>
      </c>
      <c r="AR7" s="7" t="n">
        <v>0</v>
      </c>
      <c r="AS7" s="7" t="n">
        <v>0</v>
      </c>
      <c r="AT7" s="7" t="n">
        <v>0</v>
      </c>
      <c r="AU7" s="7" t="n">
        <v>0</v>
      </c>
      <c r="AV7" s="7" t="n">
        <v>0</v>
      </c>
      <c r="AW7" s="7" t="n">
        <v>0</v>
      </c>
      <c r="AX7" s="7" t="n">
        <v>0</v>
      </c>
      <c r="AY7" s="7" t="n">
        <v>0</v>
      </c>
      <c r="AZ7" s="7" t="n">
        <v>0</v>
      </c>
      <c r="BA7" s="7" t="n">
        <v>0</v>
      </c>
      <c r="BB7" s="7">
        <f>SUM(AD7:BA7)</f>
        <v/>
      </c>
    </row>
    <row r="8">
      <c r="A8" t="inlineStr">
        <is>
          <t>AMD-AIR-NEW-SSC</t>
        </is>
      </c>
      <c r="B8" t="inlineStr">
        <is>
          <t>Forward Regular OSC</t>
        </is>
      </c>
      <c r="C8" s="5" t="n">
        <v>46102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>
        <f>SUM(D8:AA8)</f>
        <v/>
      </c>
      <c r="AC8" s="3" t="inlineStr"/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0</v>
      </c>
      <c r="AP8" s="7" t="n">
        <v>0</v>
      </c>
      <c r="AQ8" s="7" t="n">
        <v>0</v>
      </c>
      <c r="AR8" s="7" t="n">
        <v>0</v>
      </c>
      <c r="AS8" s="7" t="n">
        <v>0</v>
      </c>
      <c r="AT8" s="7" t="n">
        <v>0</v>
      </c>
      <c r="AU8" s="7" t="n">
        <v>0</v>
      </c>
      <c r="AV8" s="7" t="n">
        <v>0</v>
      </c>
      <c r="AW8" s="7" t="n">
        <v>0</v>
      </c>
      <c r="AX8" s="7" t="n">
        <v>0</v>
      </c>
      <c r="AY8" s="7" t="n">
        <v>0</v>
      </c>
      <c r="AZ8" s="7" t="n">
        <v>0</v>
      </c>
      <c r="BA8" s="7" t="n">
        <v>0</v>
      </c>
      <c r="BB8" s="7">
        <f>SUM(AD8:BA8)</f>
        <v/>
      </c>
    </row>
    <row r="9">
      <c r="A9" t="inlineStr">
        <is>
          <t>AMD-AIR-NEW-SSC</t>
        </is>
      </c>
      <c r="B9" t="inlineStr">
        <is>
          <t>Forward Regular OSC</t>
        </is>
      </c>
      <c r="C9" s="5" t="n">
        <v>46103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>
        <f>SUM(D9:AA9)</f>
        <v/>
      </c>
      <c r="AC9" s="3" t="inlineStr"/>
      <c r="AD9" s="7" t="n">
        <v>0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0</v>
      </c>
      <c r="AS9" s="7" t="n">
        <v>0</v>
      </c>
      <c r="AT9" s="7" t="n">
        <v>0</v>
      </c>
      <c r="AU9" s="7" t="n">
        <v>0</v>
      </c>
      <c r="AV9" s="7" t="n">
        <v>0</v>
      </c>
      <c r="AW9" s="7" t="n">
        <v>0</v>
      </c>
      <c r="AX9" s="7" t="n">
        <v>0</v>
      </c>
      <c r="AY9" s="7" t="n">
        <v>0</v>
      </c>
      <c r="AZ9" s="7" t="n">
        <v>0</v>
      </c>
      <c r="BA9" s="7" t="n">
        <v>0</v>
      </c>
      <c r="BB9" s="7">
        <f>SUM(AD9:BA9)</f>
        <v/>
      </c>
    </row>
    <row r="10">
      <c r="A10" t="inlineStr">
        <is>
          <t>AMD-AIR-NEW-SSC</t>
        </is>
      </c>
      <c r="B10" t="inlineStr">
        <is>
          <t>Forward Regular OSC</t>
        </is>
      </c>
      <c r="C10" s="5" t="n">
        <v>46104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>
        <f>SUM(D10:AA10)</f>
        <v/>
      </c>
      <c r="AC10" s="3" t="inlineStr"/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0</v>
      </c>
      <c r="AP10" s="7" t="n">
        <v>0</v>
      </c>
      <c r="AQ10" s="7" t="n">
        <v>0</v>
      </c>
      <c r="AR10" s="7" t="n">
        <v>0</v>
      </c>
      <c r="AS10" s="7" t="n">
        <v>0</v>
      </c>
      <c r="AT10" s="7" t="n">
        <v>0</v>
      </c>
      <c r="AU10" s="7" t="n">
        <v>0</v>
      </c>
      <c r="AV10" s="7" t="n">
        <v>0</v>
      </c>
      <c r="AW10" s="7" t="n">
        <v>0</v>
      </c>
      <c r="AX10" s="7" t="n">
        <v>0</v>
      </c>
      <c r="AY10" s="7" t="n">
        <v>0</v>
      </c>
      <c r="AZ10" s="7" t="n">
        <v>0</v>
      </c>
      <c r="BA10" s="7" t="n">
        <v>0</v>
      </c>
      <c r="BB10" s="7">
        <f>SUM(AD10:BA10)</f>
        <v/>
      </c>
    </row>
    <row r="11">
      <c r="A11" t="inlineStr">
        <is>
          <t>AMD-EXPR</t>
        </is>
      </c>
      <c r="B11" t="inlineStr">
        <is>
          <t>DSC Manual</t>
        </is>
      </c>
      <c r="C11" s="5" t="n">
        <v>46089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>
        <f>SUM(D11:AA11)</f>
        <v/>
      </c>
      <c r="AC11" s="3" t="inlineStr"/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0</v>
      </c>
      <c r="AP11" s="7" t="n">
        <v>0</v>
      </c>
      <c r="AQ11" s="7" t="n">
        <v>0</v>
      </c>
      <c r="AR11" s="7" t="n">
        <v>0</v>
      </c>
      <c r="AS11" s="7" t="n">
        <v>0</v>
      </c>
      <c r="AT11" s="7" t="n">
        <v>0</v>
      </c>
      <c r="AU11" s="7" t="n">
        <v>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0</v>
      </c>
      <c r="BA11" s="7" t="n">
        <v>0</v>
      </c>
      <c r="BB11" s="7">
        <f>SUM(AD11:BA11)</f>
        <v/>
      </c>
    </row>
    <row r="12">
      <c r="A12" t="inlineStr">
        <is>
          <t>AMD-EXPR</t>
        </is>
      </c>
      <c r="B12" t="inlineStr">
        <is>
          <t>DSC Manual</t>
        </is>
      </c>
      <c r="C12" s="5" t="n">
        <v>46090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>
        <f>SUM(D12:AA12)</f>
        <v/>
      </c>
      <c r="AC12" s="3" t="inlineStr"/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0</v>
      </c>
      <c r="AT12" s="7" t="n">
        <v>0</v>
      </c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0</v>
      </c>
      <c r="BA12" s="7" t="n">
        <v>0</v>
      </c>
      <c r="BB12" s="7">
        <f>SUM(AD12:BA12)</f>
        <v/>
      </c>
    </row>
    <row r="13">
      <c r="A13" t="inlineStr">
        <is>
          <t>AMD-EXPR</t>
        </is>
      </c>
      <c r="B13" t="inlineStr">
        <is>
          <t>DSC Manual</t>
        </is>
      </c>
      <c r="C13" s="5" t="n">
        <v>46091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>
        <f>SUM(D13:AA13)</f>
        <v/>
      </c>
      <c r="AC13" s="3" t="inlineStr"/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0</v>
      </c>
      <c r="AP13" s="7" t="n">
        <v>0</v>
      </c>
      <c r="AQ13" s="7" t="n">
        <v>0</v>
      </c>
      <c r="AR13" s="7" t="n">
        <v>0</v>
      </c>
      <c r="AS13" s="7" t="n">
        <v>0</v>
      </c>
      <c r="AT13" s="7" t="n">
        <v>0</v>
      </c>
      <c r="AU13" s="7" t="n">
        <v>0</v>
      </c>
      <c r="AV13" s="7" t="n">
        <v>0</v>
      </c>
      <c r="AW13" s="7" t="n">
        <v>0</v>
      </c>
      <c r="AX13" s="7" t="n">
        <v>0</v>
      </c>
      <c r="AY13" s="7" t="n">
        <v>0</v>
      </c>
      <c r="AZ13" s="7" t="n">
        <v>0</v>
      </c>
      <c r="BA13" s="7" t="n">
        <v>0</v>
      </c>
      <c r="BB13" s="7">
        <f>SUM(AD13:BA13)</f>
        <v/>
      </c>
    </row>
    <row r="14">
      <c r="A14" t="inlineStr">
        <is>
          <t>AMD-EXPR</t>
        </is>
      </c>
      <c r="B14" t="inlineStr">
        <is>
          <t>DSC Manual</t>
        </is>
      </c>
      <c r="C14" s="5" t="n">
        <v>46092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>
        <f>SUM(D14:AA14)</f>
        <v/>
      </c>
      <c r="AC14" s="3" t="inlineStr"/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0</v>
      </c>
      <c r="AP14" s="7" t="n">
        <v>0</v>
      </c>
      <c r="AQ14" s="7" t="n">
        <v>0</v>
      </c>
      <c r="AR14" s="7" t="n">
        <v>0</v>
      </c>
      <c r="AS14" s="7" t="n">
        <v>0</v>
      </c>
      <c r="AT14" s="7" t="n">
        <v>0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0</v>
      </c>
      <c r="BA14" s="7" t="n">
        <v>0</v>
      </c>
      <c r="BB14" s="7">
        <f>SUM(AD14:BA14)</f>
        <v/>
      </c>
    </row>
    <row r="15">
      <c r="A15" t="inlineStr">
        <is>
          <t>AMD-EXPR</t>
        </is>
      </c>
      <c r="B15" t="inlineStr">
        <is>
          <t>DSC Manual</t>
        </is>
      </c>
      <c r="C15" s="5" t="n">
        <v>46093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  <c r="AB15" s="6">
        <f>SUM(D15:AA15)</f>
        <v/>
      </c>
      <c r="AC15" s="3" t="inlineStr"/>
      <c r="AD15" s="7" t="n">
        <v>0</v>
      </c>
      <c r="AE15" s="7" t="n">
        <v>0</v>
      </c>
      <c r="AF15" s="7" t="n">
        <v>0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0</v>
      </c>
      <c r="AL15" s="7" t="n">
        <v>0</v>
      </c>
      <c r="AM15" s="7" t="n">
        <v>0</v>
      </c>
      <c r="AN15" s="7" t="n">
        <v>0</v>
      </c>
      <c r="AO15" s="7" t="n">
        <v>0</v>
      </c>
      <c r="AP15" s="7" t="n">
        <v>0</v>
      </c>
      <c r="AQ15" s="7" t="n">
        <v>0</v>
      </c>
      <c r="AR15" s="7" t="n">
        <v>0</v>
      </c>
      <c r="AS15" s="7" t="n">
        <v>0</v>
      </c>
      <c r="AT15" s="7" t="n">
        <v>0</v>
      </c>
      <c r="AU15" s="7" t="n">
        <v>0</v>
      </c>
      <c r="AV15" s="7" t="n">
        <v>0</v>
      </c>
      <c r="AW15" s="7" t="n">
        <v>0</v>
      </c>
      <c r="AX15" s="7" t="n">
        <v>0</v>
      </c>
      <c r="AY15" s="7" t="n">
        <v>0</v>
      </c>
      <c r="AZ15" s="7" t="n">
        <v>0</v>
      </c>
      <c r="BA15" s="7" t="n">
        <v>0</v>
      </c>
      <c r="BB15" s="7">
        <f>SUM(AD15:BA15)</f>
        <v/>
      </c>
    </row>
    <row r="16">
      <c r="A16" t="inlineStr">
        <is>
          <t>AMD-EXPR</t>
        </is>
      </c>
      <c r="B16" t="inlineStr">
        <is>
          <t>DSC Manual</t>
        </is>
      </c>
      <c r="C16" s="5" t="n">
        <v>46094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  <c r="AB16" s="6">
        <f>SUM(D16:AA16)</f>
        <v/>
      </c>
      <c r="AC16" s="3" t="inlineStr"/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0</v>
      </c>
      <c r="AS16" s="7" t="n">
        <v>0</v>
      </c>
      <c r="AT16" s="7" t="n">
        <v>0</v>
      </c>
      <c r="AU16" s="7" t="n">
        <v>0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0</v>
      </c>
      <c r="BA16" s="7" t="n">
        <v>0</v>
      </c>
      <c r="BB16" s="7">
        <f>SUM(AD16:BA16)</f>
        <v/>
      </c>
    </row>
    <row r="17">
      <c r="A17" t="inlineStr">
        <is>
          <t>AMD-EXPR</t>
        </is>
      </c>
      <c r="B17" t="inlineStr">
        <is>
          <t>DSC Manual</t>
        </is>
      </c>
      <c r="C17" s="5" t="n">
        <v>46095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6">
        <f>SUM(D17:AA17)</f>
        <v/>
      </c>
      <c r="AC17" s="3" t="inlineStr"/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0</v>
      </c>
      <c r="AI17" s="7" t="n">
        <v>0</v>
      </c>
      <c r="AJ17" s="7" t="n">
        <v>0</v>
      </c>
      <c r="AK17" s="7" t="n">
        <v>0</v>
      </c>
      <c r="AL17" s="7" t="n">
        <v>0</v>
      </c>
      <c r="AM17" s="7" t="n">
        <v>0</v>
      </c>
      <c r="AN17" s="7" t="n">
        <v>0</v>
      </c>
      <c r="AO17" s="7" t="n">
        <v>0</v>
      </c>
      <c r="AP17" s="7" t="n">
        <v>0</v>
      </c>
      <c r="AQ17" s="7" t="n">
        <v>0</v>
      </c>
      <c r="AR17" s="7" t="n">
        <v>0</v>
      </c>
      <c r="AS17" s="7" t="n">
        <v>0</v>
      </c>
      <c r="AT17" s="7" t="n">
        <v>0</v>
      </c>
      <c r="AU17" s="7" t="n">
        <v>0</v>
      </c>
      <c r="AV17" s="7" t="n">
        <v>0</v>
      </c>
      <c r="AW17" s="7" t="n">
        <v>0</v>
      </c>
      <c r="AX17" s="7" t="n">
        <v>0</v>
      </c>
      <c r="AY17" s="7" t="n">
        <v>0</v>
      </c>
      <c r="AZ17" s="7" t="n">
        <v>0</v>
      </c>
      <c r="BA17" s="7" t="n">
        <v>0</v>
      </c>
      <c r="BB17" s="7">
        <f>SUM(AD17:BA17)</f>
        <v/>
      </c>
    </row>
    <row r="18">
      <c r="A18" t="inlineStr">
        <is>
          <t>AMD-EXPR</t>
        </is>
      </c>
      <c r="B18" t="inlineStr">
        <is>
          <t>DSC Manual</t>
        </is>
      </c>
      <c r="C18" s="5" t="n">
        <v>46096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  <c r="AB18" s="6">
        <f>SUM(D18:AA18)</f>
        <v/>
      </c>
      <c r="AC18" s="3" t="inlineStr"/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0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0</v>
      </c>
      <c r="BA18" s="7" t="n">
        <v>0</v>
      </c>
      <c r="BB18" s="7">
        <f>SUM(AD18:BA18)</f>
        <v/>
      </c>
    </row>
    <row r="19">
      <c r="A19" t="inlineStr">
        <is>
          <t>AMD-EXPR</t>
        </is>
      </c>
      <c r="B19" t="inlineStr">
        <is>
          <t>DSC Manual</t>
        </is>
      </c>
      <c r="C19" s="5" t="n">
        <v>46097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>
        <f>SUM(D19:AA19)</f>
        <v/>
      </c>
      <c r="AC19" s="3" t="inlineStr"/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0</v>
      </c>
      <c r="AR19" s="7" t="n">
        <v>0</v>
      </c>
      <c r="AS19" s="7" t="n">
        <v>0</v>
      </c>
      <c r="AT19" s="7" t="n">
        <v>0</v>
      </c>
      <c r="AU19" s="7" t="n">
        <v>0</v>
      </c>
      <c r="AV19" s="7" t="n">
        <v>0</v>
      </c>
      <c r="AW19" s="7" t="n">
        <v>0</v>
      </c>
      <c r="AX19" s="7" t="n">
        <v>0</v>
      </c>
      <c r="AY19" s="7" t="n">
        <v>0</v>
      </c>
      <c r="AZ19" s="7" t="n">
        <v>0</v>
      </c>
      <c r="BA19" s="7" t="n">
        <v>0</v>
      </c>
      <c r="BB19" s="7">
        <f>SUM(AD19:BA19)</f>
        <v/>
      </c>
    </row>
    <row r="20">
      <c r="A20" t="inlineStr">
        <is>
          <t>AMD-EXPR</t>
        </is>
      </c>
      <c r="B20" t="inlineStr">
        <is>
          <t>DSC Manual</t>
        </is>
      </c>
      <c r="C20" s="5" t="n">
        <v>46099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>
        <f>SUM(D20:AA20)</f>
        <v/>
      </c>
      <c r="AC20" s="3" t="inlineStr"/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0</v>
      </c>
      <c r="BA20" s="7" t="n">
        <v>0</v>
      </c>
      <c r="BB20" s="7">
        <f>SUM(AD20:BA20)</f>
        <v/>
      </c>
    </row>
    <row r="21">
      <c r="A21" t="inlineStr">
        <is>
          <t>AMD-EXPR</t>
        </is>
      </c>
      <c r="B21" t="inlineStr">
        <is>
          <t>DSC Manual</t>
        </is>
      </c>
      <c r="C21" s="5" t="n">
        <v>46100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>
        <f>SUM(D21:AA21)</f>
        <v/>
      </c>
      <c r="AC21" s="3" t="inlineStr"/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0</v>
      </c>
      <c r="AS21" s="7" t="n">
        <v>0</v>
      </c>
      <c r="AT21" s="7" t="n">
        <v>0</v>
      </c>
      <c r="AU21" s="7" t="n">
        <v>0</v>
      </c>
      <c r="AV21" s="7" t="n">
        <v>0</v>
      </c>
      <c r="AW21" s="7" t="n">
        <v>0</v>
      </c>
      <c r="AX21" s="7" t="n">
        <v>0</v>
      </c>
      <c r="AY21" s="7" t="n">
        <v>0</v>
      </c>
      <c r="AZ21" s="7" t="n">
        <v>0</v>
      </c>
      <c r="BA21" s="7" t="n">
        <v>0</v>
      </c>
      <c r="BB21" s="7">
        <f>SUM(AD21:BA21)</f>
        <v/>
      </c>
    </row>
    <row r="22">
      <c r="A22" t="inlineStr">
        <is>
          <t>AMD-EXPR</t>
        </is>
      </c>
      <c r="B22" t="inlineStr">
        <is>
          <t>DSC Manual</t>
        </is>
      </c>
      <c r="C22" s="5" t="n">
        <v>46102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>
        <f>SUM(D22:AA22)</f>
        <v/>
      </c>
      <c r="AC22" s="3" t="inlineStr"/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7" t="n">
        <v>0</v>
      </c>
      <c r="BB22" s="7">
        <f>SUM(AD22:BA22)</f>
        <v/>
      </c>
    </row>
    <row r="23">
      <c r="A23" t="inlineStr">
        <is>
          <t>AMD-EXPR</t>
        </is>
      </c>
      <c r="B23" t="inlineStr">
        <is>
          <t>DSC Manual</t>
        </is>
      </c>
      <c r="C23" s="5" t="n">
        <v>46103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>
        <f>SUM(D23:AA23)</f>
        <v/>
      </c>
      <c r="AC23" s="3" t="inlineStr"/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0</v>
      </c>
      <c r="BA23" s="7" t="n">
        <v>0</v>
      </c>
      <c r="BB23" s="7">
        <f>SUM(AD23:BA23)</f>
        <v/>
      </c>
    </row>
    <row r="24">
      <c r="A24" t="inlineStr">
        <is>
          <t>AMD-EXPR</t>
        </is>
      </c>
      <c r="B24" t="inlineStr">
        <is>
          <t>DSC Manual</t>
        </is>
      </c>
      <c r="C24" s="5" t="n">
        <v>46104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>
        <f>SUM(D24:AA24)</f>
        <v/>
      </c>
      <c r="AC24" s="3" t="inlineStr"/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0</v>
      </c>
      <c r="BA24" s="7" t="n">
        <v>0</v>
      </c>
      <c r="BB24" s="7">
        <f>SUM(AD24:BA24)</f>
        <v/>
      </c>
    </row>
    <row r="25">
      <c r="A25" t="inlineStr">
        <is>
          <t>AMD-EXPR</t>
        </is>
      </c>
      <c r="B25" t="inlineStr">
        <is>
          <t>DSC Manual</t>
        </is>
      </c>
      <c r="C25" s="5" t="n">
        <v>46105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>
        <f>SUM(D25:AA25)</f>
        <v/>
      </c>
      <c r="AC25" s="3" t="inlineStr"/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7" t="n">
        <v>0</v>
      </c>
      <c r="BB25" s="7">
        <f>SUM(AD25:BA25)</f>
        <v/>
      </c>
    </row>
    <row r="26">
      <c r="A26" t="inlineStr">
        <is>
          <t>AMD-FK-SSC</t>
        </is>
      </c>
      <c r="B26" t="inlineStr">
        <is>
          <t>Prime at Client side</t>
        </is>
      </c>
      <c r="C26" s="5" t="n">
        <v>46089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>
        <f>SUM(D26:AA26)</f>
        <v/>
      </c>
      <c r="AC26" s="3" t="inlineStr"/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7" t="n">
        <v>0</v>
      </c>
      <c r="BB26" s="7">
        <f>SUM(AD26:BA26)</f>
        <v/>
      </c>
    </row>
    <row r="27">
      <c r="A27" t="inlineStr">
        <is>
          <t>AMD-FK-SSC</t>
        </is>
      </c>
      <c r="B27" t="inlineStr">
        <is>
          <t>Prime at Client side</t>
        </is>
      </c>
      <c r="C27" s="5" t="n">
        <v>46090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>
        <f>SUM(D27:AA27)</f>
        <v/>
      </c>
      <c r="AC27" s="3" t="inlineStr"/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7" t="n">
        <v>0</v>
      </c>
      <c r="BB27" s="7">
        <f>SUM(AD27:BA27)</f>
        <v/>
      </c>
    </row>
    <row r="28">
      <c r="A28" t="inlineStr">
        <is>
          <t>AMD-FK-SSC</t>
        </is>
      </c>
      <c r="B28" t="inlineStr">
        <is>
          <t>Prime at Client side</t>
        </is>
      </c>
      <c r="C28" s="5" t="n">
        <v>46091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>
        <f>SUM(D28:AA28)</f>
        <v/>
      </c>
      <c r="AC28" s="3" t="inlineStr"/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7" t="n">
        <v>0</v>
      </c>
      <c r="BB28" s="7">
        <f>SUM(AD28:BA28)</f>
        <v/>
      </c>
    </row>
    <row r="29">
      <c r="A29" t="inlineStr">
        <is>
          <t>AMD-FK-SSC</t>
        </is>
      </c>
      <c r="B29" t="inlineStr">
        <is>
          <t>Prime at Client side</t>
        </is>
      </c>
      <c r="C29" s="5" t="n">
        <v>46092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>
        <f>SUM(D29:AA29)</f>
        <v/>
      </c>
      <c r="AC29" s="3" t="inlineStr"/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7" t="n">
        <v>0</v>
      </c>
      <c r="AQ29" s="7" t="n">
        <v>0</v>
      </c>
      <c r="AR29" s="7" t="n">
        <v>0</v>
      </c>
      <c r="AS29" s="7" t="n">
        <v>0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0</v>
      </c>
      <c r="BA29" s="7" t="n">
        <v>0</v>
      </c>
      <c r="BB29" s="7">
        <f>SUM(AD29:BA29)</f>
        <v/>
      </c>
    </row>
    <row r="30">
      <c r="A30" t="inlineStr">
        <is>
          <t>AMD-FK-SSC</t>
        </is>
      </c>
      <c r="B30" t="inlineStr">
        <is>
          <t>Prime at Client side</t>
        </is>
      </c>
      <c r="C30" s="5" t="n">
        <v>46093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>
        <f>SUM(D30:AA30)</f>
        <v/>
      </c>
      <c r="AC30" s="3" t="inlineStr"/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0</v>
      </c>
      <c r="AS30" s="7" t="n">
        <v>0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7" t="n">
        <v>0</v>
      </c>
      <c r="BB30" s="7">
        <f>SUM(AD30:BA30)</f>
        <v/>
      </c>
    </row>
    <row r="31">
      <c r="A31" t="inlineStr">
        <is>
          <t>AMD-FK-SSC</t>
        </is>
      </c>
      <c r="B31" t="inlineStr">
        <is>
          <t>Prime at Client side</t>
        </is>
      </c>
      <c r="C31" s="5" t="n">
        <v>46094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>
        <f>SUM(D31:AA31)</f>
        <v/>
      </c>
      <c r="AC31" s="3" t="inlineStr"/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0</v>
      </c>
      <c r="AT31" s="7" t="n">
        <v>0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0</v>
      </c>
      <c r="BA31" s="7" t="n">
        <v>0</v>
      </c>
      <c r="BB31" s="7">
        <f>SUM(AD31:BA31)</f>
        <v/>
      </c>
    </row>
    <row r="32">
      <c r="A32" t="inlineStr">
        <is>
          <t>AMD-FK-SSC</t>
        </is>
      </c>
      <c r="B32" t="inlineStr">
        <is>
          <t>Prime at Client side</t>
        </is>
      </c>
      <c r="C32" s="5" t="n">
        <v>46095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>
        <f>SUM(D32:AA32)</f>
        <v/>
      </c>
      <c r="AC32" s="3" t="inlineStr"/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7" t="n">
        <v>0</v>
      </c>
      <c r="BB32" s="7">
        <f>SUM(AD32:BA32)</f>
        <v/>
      </c>
    </row>
    <row r="33">
      <c r="A33" t="inlineStr">
        <is>
          <t>AMD-FK-SSC</t>
        </is>
      </c>
      <c r="B33" t="inlineStr">
        <is>
          <t>Prime at Client side</t>
        </is>
      </c>
      <c r="C33" s="5" t="n">
        <v>46096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6">
        <f>SUM(D33:AA33)</f>
        <v/>
      </c>
      <c r="AC33" s="3" t="inlineStr"/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0</v>
      </c>
      <c r="AS33" s="7" t="n">
        <v>0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7" t="n">
        <v>0</v>
      </c>
      <c r="BB33" s="7">
        <f>SUM(AD33:BA33)</f>
        <v/>
      </c>
    </row>
    <row r="34">
      <c r="A34" t="inlineStr">
        <is>
          <t>AMD-FK-SSC</t>
        </is>
      </c>
      <c r="B34" t="inlineStr">
        <is>
          <t>Prime at Client side</t>
        </is>
      </c>
      <c r="C34" s="5" t="n">
        <v>46097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>
        <f>SUM(D34:AA34)</f>
        <v/>
      </c>
      <c r="AC34" s="3" t="inlineStr"/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7" t="n">
        <v>0</v>
      </c>
      <c r="BB34" s="7">
        <f>SUM(AD34:BA34)</f>
        <v/>
      </c>
    </row>
    <row r="35">
      <c r="A35" t="inlineStr">
        <is>
          <t>AMD-FK-SSC</t>
        </is>
      </c>
      <c r="B35" t="inlineStr">
        <is>
          <t>Prime at Client side</t>
        </is>
      </c>
      <c r="C35" s="5" t="n">
        <v>46098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>
        <f>SUM(D35:AA35)</f>
        <v/>
      </c>
      <c r="AC35" s="3" t="inlineStr"/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7" t="n">
        <v>0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0</v>
      </c>
      <c r="BA35" s="7" t="n">
        <v>0</v>
      </c>
      <c r="BB35" s="7">
        <f>SUM(AD35:BA35)</f>
        <v/>
      </c>
    </row>
    <row r="36">
      <c r="A36" t="inlineStr">
        <is>
          <t>AMD-FK-SSC</t>
        </is>
      </c>
      <c r="B36" t="inlineStr">
        <is>
          <t>Prime at Client side</t>
        </is>
      </c>
      <c r="C36" s="5" t="n">
        <v>46099</v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>
        <f>SUM(D36:AA36)</f>
        <v/>
      </c>
      <c r="AC36" s="3" t="inlineStr"/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0</v>
      </c>
      <c r="AT36" s="7" t="n">
        <v>0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0</v>
      </c>
      <c r="BA36" s="7" t="n">
        <v>0</v>
      </c>
      <c r="BB36" s="7">
        <f>SUM(AD36:BA36)</f>
        <v/>
      </c>
    </row>
    <row r="37">
      <c r="A37" t="inlineStr">
        <is>
          <t>AMD-FK-SSC</t>
        </is>
      </c>
      <c r="B37" t="inlineStr">
        <is>
          <t>Prime at Client side</t>
        </is>
      </c>
      <c r="C37" s="5" t="n">
        <v>46100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>
        <f>SUM(D37:AA37)</f>
        <v/>
      </c>
      <c r="AC37" s="3" t="inlineStr"/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0</v>
      </c>
      <c r="AP37" s="7" t="n">
        <v>0</v>
      </c>
      <c r="AQ37" s="7" t="n">
        <v>0</v>
      </c>
      <c r="AR37" s="7" t="n">
        <v>0</v>
      </c>
      <c r="AS37" s="7" t="n">
        <v>0</v>
      </c>
      <c r="AT37" s="7" t="n">
        <v>0</v>
      </c>
      <c r="AU37" s="7" t="n">
        <v>0</v>
      </c>
      <c r="AV37" s="7" t="n">
        <v>0</v>
      </c>
      <c r="AW37" s="7" t="n">
        <v>0</v>
      </c>
      <c r="AX37" s="7" t="n">
        <v>0</v>
      </c>
      <c r="AY37" s="7" t="n">
        <v>0</v>
      </c>
      <c r="AZ37" s="7" t="n">
        <v>0</v>
      </c>
      <c r="BA37" s="7" t="n">
        <v>0</v>
      </c>
      <c r="BB37" s="7">
        <f>SUM(AD37:BA37)</f>
        <v/>
      </c>
    </row>
    <row r="38">
      <c r="A38" t="inlineStr">
        <is>
          <t>AMD-FK-SSC</t>
        </is>
      </c>
      <c r="B38" t="inlineStr">
        <is>
          <t>Prime at Client side</t>
        </is>
      </c>
      <c r="C38" s="5" t="n">
        <v>46101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0</v>
      </c>
      <c r="Q38" s="6" t="n">
        <v>0</v>
      </c>
      <c r="R38" s="6" t="n">
        <v>0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>
        <f>SUM(D38:AA38)</f>
        <v/>
      </c>
      <c r="AC38" s="3" t="inlineStr"/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0</v>
      </c>
      <c r="AP38" s="7" t="n">
        <v>0</v>
      </c>
      <c r="AQ38" s="7" t="n">
        <v>0</v>
      </c>
      <c r="AR38" s="7" t="n">
        <v>0</v>
      </c>
      <c r="AS38" s="7" t="n">
        <v>0</v>
      </c>
      <c r="AT38" s="7" t="n">
        <v>0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0</v>
      </c>
      <c r="BA38" s="7" t="n">
        <v>0</v>
      </c>
      <c r="BB38" s="7">
        <f>SUM(AD38:BA38)</f>
        <v/>
      </c>
    </row>
    <row r="39">
      <c r="A39" t="inlineStr">
        <is>
          <t>AMD-FK-SSC</t>
        </is>
      </c>
      <c r="B39" t="inlineStr">
        <is>
          <t>Prime at Client side</t>
        </is>
      </c>
      <c r="C39" s="5" t="n">
        <v>46102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>
        <f>SUM(D39:AA39)</f>
        <v/>
      </c>
      <c r="AC39" s="3" t="inlineStr"/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0</v>
      </c>
      <c r="AP39" s="7" t="n">
        <v>0</v>
      </c>
      <c r="AQ39" s="7" t="n">
        <v>0</v>
      </c>
      <c r="AR39" s="7" t="n">
        <v>0</v>
      </c>
      <c r="AS39" s="7" t="n">
        <v>0</v>
      </c>
      <c r="AT39" s="7" t="n">
        <v>0</v>
      </c>
      <c r="AU39" s="7" t="n">
        <v>0</v>
      </c>
      <c r="AV39" s="7" t="n">
        <v>0</v>
      </c>
      <c r="AW39" s="7" t="n">
        <v>0</v>
      </c>
      <c r="AX39" s="7" t="n">
        <v>0</v>
      </c>
      <c r="AY39" s="7" t="n">
        <v>0</v>
      </c>
      <c r="AZ39" s="7" t="n">
        <v>0</v>
      </c>
      <c r="BA39" s="7" t="n">
        <v>0</v>
      </c>
      <c r="BB39" s="7">
        <f>SUM(AD39:BA39)</f>
        <v/>
      </c>
    </row>
    <row r="40">
      <c r="A40" t="inlineStr">
        <is>
          <t>AMD-FK-SSC</t>
        </is>
      </c>
      <c r="B40" t="inlineStr">
        <is>
          <t>Prime at Client side</t>
        </is>
      </c>
      <c r="C40" s="5" t="n">
        <v>46103</v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0</v>
      </c>
      <c r="M40" s="6" t="n">
        <v>0</v>
      </c>
      <c r="N40" s="6" t="n">
        <v>0</v>
      </c>
      <c r="O40" s="6" t="n">
        <v>0</v>
      </c>
      <c r="P40" s="6" t="n">
        <v>0</v>
      </c>
      <c r="Q40" s="6" t="n">
        <v>0</v>
      </c>
      <c r="R40" s="6" t="n">
        <v>0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>
        <f>SUM(D40:AA40)</f>
        <v/>
      </c>
      <c r="AC40" s="3" t="inlineStr"/>
      <c r="AD40" s="7" t="n">
        <v>0</v>
      </c>
      <c r="AE40" s="7" t="n">
        <v>0</v>
      </c>
      <c r="AF40" s="7" t="n">
        <v>0</v>
      </c>
      <c r="AG40" s="7" t="n">
        <v>0</v>
      </c>
      <c r="AH40" s="7" t="n">
        <v>0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0</v>
      </c>
      <c r="AS40" s="7" t="n">
        <v>0</v>
      </c>
      <c r="AT40" s="7" t="n">
        <v>0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0</v>
      </c>
      <c r="BA40" s="7" t="n">
        <v>0</v>
      </c>
      <c r="BB40" s="7">
        <f>SUM(AD40:BA40)</f>
        <v/>
      </c>
    </row>
    <row r="41">
      <c r="A41" t="inlineStr">
        <is>
          <t>AMD-FK-SSC</t>
        </is>
      </c>
      <c r="B41" t="inlineStr">
        <is>
          <t>Prime at Client side</t>
        </is>
      </c>
      <c r="C41" s="5" t="n">
        <v>46104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>
        <f>SUM(D41:AA41)</f>
        <v/>
      </c>
      <c r="AC41" s="3" t="inlineStr"/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</v>
      </c>
      <c r="AP41" s="7" t="n">
        <v>0</v>
      </c>
      <c r="AQ41" s="7" t="n">
        <v>0</v>
      </c>
      <c r="AR41" s="7" t="n">
        <v>0</v>
      </c>
      <c r="AS41" s="7" t="n">
        <v>0</v>
      </c>
      <c r="AT41" s="7" t="n">
        <v>0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0</v>
      </c>
      <c r="BA41" s="7" t="n">
        <v>0</v>
      </c>
      <c r="BB41" s="7">
        <f>SUM(AD41:BA41)</f>
        <v/>
      </c>
    </row>
    <row r="42">
      <c r="A42" t="inlineStr">
        <is>
          <t>AMD-FK-SSC</t>
        </is>
      </c>
      <c r="B42" t="inlineStr">
        <is>
          <t>Prime at Client side</t>
        </is>
      </c>
      <c r="C42" s="5" t="n">
        <v>46105</v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6" t="n">
        <v>0</v>
      </c>
      <c r="N42" s="6" t="n">
        <v>0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>
        <f>SUM(D42:AA42)</f>
        <v/>
      </c>
      <c r="AC42" s="3" t="inlineStr"/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7" t="n">
        <v>0</v>
      </c>
      <c r="BB42" s="7">
        <f>SUM(AD42:BA42)</f>
        <v/>
      </c>
    </row>
    <row r="43">
      <c r="A43" t="inlineStr">
        <is>
          <t>AMD-FWDPRI-SSC</t>
        </is>
      </c>
      <c r="B43" t="inlineStr">
        <is>
          <t>FWD Priority OSC</t>
        </is>
      </c>
      <c r="C43" s="5" t="n">
        <v>46098</v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0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0</v>
      </c>
      <c r="AA43" s="6" t="n">
        <v>0</v>
      </c>
      <c r="AB43" s="6">
        <f>SUM(D43:AA43)</f>
        <v/>
      </c>
      <c r="AC43" s="3" t="inlineStr"/>
      <c r="AD43" s="7" t="n">
        <v>0</v>
      </c>
      <c r="AE43" s="7" t="n">
        <v>0</v>
      </c>
      <c r="AF43" s="7" t="n">
        <v>0</v>
      </c>
      <c r="AG43" s="7" t="n">
        <v>0</v>
      </c>
      <c r="AH43" s="7" t="n">
        <v>0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0</v>
      </c>
      <c r="AP43" s="7" t="n">
        <v>0</v>
      </c>
      <c r="AQ43" s="7" t="n">
        <v>0</v>
      </c>
      <c r="AR43" s="7" t="n">
        <v>0</v>
      </c>
      <c r="AS43" s="7" t="n">
        <v>0</v>
      </c>
      <c r="AT43" s="7" t="n">
        <v>0</v>
      </c>
      <c r="AU43" s="7" t="n">
        <v>0</v>
      </c>
      <c r="AV43" s="7" t="n">
        <v>0</v>
      </c>
      <c r="AW43" s="7" t="n">
        <v>0</v>
      </c>
      <c r="AX43" s="7" t="n">
        <v>0</v>
      </c>
      <c r="AY43" s="7" t="n">
        <v>0</v>
      </c>
      <c r="AZ43" s="7" t="n">
        <v>0</v>
      </c>
      <c r="BA43" s="7" t="n">
        <v>0</v>
      </c>
      <c r="BB43" s="7">
        <f>SUM(AD43:BA43)</f>
        <v/>
      </c>
    </row>
    <row r="44">
      <c r="A44" t="inlineStr">
        <is>
          <t>AMD-FWDPRI-SSC</t>
        </is>
      </c>
      <c r="B44" t="inlineStr">
        <is>
          <t>FWD Priority OSC</t>
        </is>
      </c>
      <c r="C44" s="5" t="n">
        <v>46099</v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0</v>
      </c>
      <c r="M44" s="6" t="n">
        <v>0</v>
      </c>
      <c r="N44" s="6" t="n">
        <v>0</v>
      </c>
      <c r="O44" s="6" t="n">
        <v>0</v>
      </c>
      <c r="P44" s="6" t="n">
        <v>0</v>
      </c>
      <c r="Q44" s="6" t="n">
        <v>0</v>
      </c>
      <c r="R44" s="6" t="n">
        <v>0</v>
      </c>
      <c r="S44" s="6" t="n">
        <v>0</v>
      </c>
      <c r="T44" s="6" t="n">
        <v>0</v>
      </c>
      <c r="U44" s="6" t="n">
        <v>0</v>
      </c>
      <c r="V44" s="6" t="n">
        <v>0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0</v>
      </c>
      <c r="AB44" s="6">
        <f>SUM(D44:AA44)</f>
        <v/>
      </c>
      <c r="AC44" s="3" t="inlineStr"/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0</v>
      </c>
      <c r="AP44" s="7" t="n">
        <v>0</v>
      </c>
      <c r="AQ44" s="7" t="n">
        <v>0</v>
      </c>
      <c r="AR44" s="7" t="n">
        <v>0</v>
      </c>
      <c r="AS44" s="7" t="n">
        <v>0</v>
      </c>
      <c r="AT44" s="7" t="n">
        <v>0</v>
      </c>
      <c r="AU44" s="7" t="n">
        <v>0</v>
      </c>
      <c r="AV44" s="7" t="n">
        <v>0</v>
      </c>
      <c r="AW44" s="7" t="n">
        <v>0</v>
      </c>
      <c r="AX44" s="7" t="n">
        <v>0</v>
      </c>
      <c r="AY44" s="7" t="n">
        <v>0</v>
      </c>
      <c r="AZ44" s="7" t="n">
        <v>0</v>
      </c>
      <c r="BA44" s="7" t="n">
        <v>0</v>
      </c>
      <c r="BB44" s="7">
        <f>SUM(AD44:BA44)</f>
        <v/>
      </c>
    </row>
    <row r="45">
      <c r="A45" t="inlineStr">
        <is>
          <t>AMD-FWDPRI-SSC</t>
        </is>
      </c>
      <c r="B45" t="inlineStr">
        <is>
          <t>FWD Priority OSC</t>
        </is>
      </c>
      <c r="C45" s="5" t="n">
        <v>46100</v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0</v>
      </c>
      <c r="S45" s="6" t="n">
        <v>0</v>
      </c>
      <c r="T45" s="6" t="n">
        <v>0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  <c r="AB45" s="6">
        <f>SUM(D45:AA45)</f>
        <v/>
      </c>
      <c r="AC45" s="3" t="inlineStr"/>
      <c r="AD45" s="7" t="n">
        <v>0</v>
      </c>
      <c r="AE45" s="7" t="n">
        <v>0</v>
      </c>
      <c r="AF45" s="7" t="n">
        <v>0</v>
      </c>
      <c r="AG45" s="7" t="n">
        <v>0</v>
      </c>
      <c r="AH45" s="7" t="n">
        <v>0</v>
      </c>
      <c r="AI45" s="7" t="n">
        <v>0</v>
      </c>
      <c r="AJ45" s="7" t="n">
        <v>0</v>
      </c>
      <c r="AK45" s="7" t="n">
        <v>0</v>
      </c>
      <c r="AL45" s="7" t="n">
        <v>0</v>
      </c>
      <c r="AM45" s="7" t="n">
        <v>0</v>
      </c>
      <c r="AN45" s="7" t="n">
        <v>0</v>
      </c>
      <c r="AO45" s="7" t="n">
        <v>0</v>
      </c>
      <c r="AP45" s="7" t="n">
        <v>0</v>
      </c>
      <c r="AQ45" s="7" t="n">
        <v>0</v>
      </c>
      <c r="AR45" s="7" t="n">
        <v>0</v>
      </c>
      <c r="AS45" s="7" t="n">
        <v>0</v>
      </c>
      <c r="AT45" s="7" t="n">
        <v>0</v>
      </c>
      <c r="AU45" s="7" t="n">
        <v>0</v>
      </c>
      <c r="AV45" s="7" t="n">
        <v>0</v>
      </c>
      <c r="AW45" s="7" t="n">
        <v>0</v>
      </c>
      <c r="AX45" s="7" t="n">
        <v>0</v>
      </c>
      <c r="AY45" s="7" t="n">
        <v>0</v>
      </c>
      <c r="AZ45" s="7" t="n">
        <v>0</v>
      </c>
      <c r="BA45" s="7" t="n">
        <v>0</v>
      </c>
      <c r="BB45" s="7">
        <f>SUM(AD45:BA45)</f>
        <v/>
      </c>
    </row>
    <row r="46">
      <c r="A46" t="inlineStr">
        <is>
          <t>AMD-FWDPRI-SSC</t>
        </is>
      </c>
      <c r="B46" t="inlineStr">
        <is>
          <t>FWD Priority OSC</t>
        </is>
      </c>
      <c r="C46" s="5" t="n">
        <v>46101</v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0</v>
      </c>
      <c r="M46" s="6" t="n">
        <v>0</v>
      </c>
      <c r="N46" s="6" t="n">
        <v>0</v>
      </c>
      <c r="O46" s="6" t="n">
        <v>0</v>
      </c>
      <c r="P46" s="6" t="n">
        <v>0</v>
      </c>
      <c r="Q46" s="6" t="n">
        <v>0</v>
      </c>
      <c r="R46" s="6" t="n">
        <v>0</v>
      </c>
      <c r="S46" s="6" t="n">
        <v>0</v>
      </c>
      <c r="T46" s="6" t="n">
        <v>0</v>
      </c>
      <c r="U46" s="6" t="n">
        <v>0</v>
      </c>
      <c r="V46" s="6" t="n">
        <v>0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0</v>
      </c>
      <c r="AB46" s="6">
        <f>SUM(D46:AA46)</f>
        <v/>
      </c>
      <c r="AC46" s="3" t="inlineStr"/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  <c r="AS46" s="7" t="n">
        <v>0</v>
      </c>
      <c r="AT46" s="7" t="n">
        <v>0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0</v>
      </c>
      <c r="BA46" s="7" t="n">
        <v>0</v>
      </c>
      <c r="BB46" s="7">
        <f>SUM(AD46:BA46)</f>
        <v/>
      </c>
    </row>
    <row r="47">
      <c r="A47" t="inlineStr">
        <is>
          <t>AMD-FWDPRI-SSC</t>
        </is>
      </c>
      <c r="B47" t="inlineStr">
        <is>
          <t>FWD Priority OSC</t>
        </is>
      </c>
      <c r="C47" s="5" t="n">
        <v>46102</v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6">
        <f>SUM(D47:AA47)</f>
        <v/>
      </c>
      <c r="AC47" s="3" t="inlineStr"/>
      <c r="AD47" s="7" t="n">
        <v>0</v>
      </c>
      <c r="AE47" s="7" t="n">
        <v>0</v>
      </c>
      <c r="AF47" s="7" t="n">
        <v>0</v>
      </c>
      <c r="AG47" s="7" t="n">
        <v>0</v>
      </c>
      <c r="AH47" s="7" t="n">
        <v>0</v>
      </c>
      <c r="AI47" s="7" t="n">
        <v>0</v>
      </c>
      <c r="AJ47" s="7" t="n">
        <v>0</v>
      </c>
      <c r="AK47" s="7" t="n">
        <v>0</v>
      </c>
      <c r="AL47" s="7" t="n">
        <v>0</v>
      </c>
      <c r="AM47" s="7" t="n">
        <v>0</v>
      </c>
      <c r="AN47" s="7" t="n">
        <v>0</v>
      </c>
      <c r="AO47" s="7" t="n">
        <v>0</v>
      </c>
      <c r="AP47" s="7" t="n">
        <v>0</v>
      </c>
      <c r="AQ47" s="7" t="n">
        <v>0</v>
      </c>
      <c r="AR47" s="7" t="n">
        <v>0</v>
      </c>
      <c r="AS47" s="7" t="n">
        <v>0</v>
      </c>
      <c r="AT47" s="7" t="n">
        <v>0</v>
      </c>
      <c r="AU47" s="7" t="n">
        <v>0</v>
      </c>
      <c r="AV47" s="7" t="n">
        <v>0</v>
      </c>
      <c r="AW47" s="7" t="n">
        <v>0</v>
      </c>
      <c r="AX47" s="7" t="n">
        <v>0</v>
      </c>
      <c r="AY47" s="7" t="n">
        <v>0</v>
      </c>
      <c r="AZ47" s="7" t="n">
        <v>0</v>
      </c>
      <c r="BA47" s="7" t="n">
        <v>0</v>
      </c>
      <c r="BB47" s="7">
        <f>SUM(AD47:BA47)</f>
        <v/>
      </c>
    </row>
    <row r="48">
      <c r="A48" t="inlineStr">
        <is>
          <t>AMD-FWDPRI-SSC</t>
        </is>
      </c>
      <c r="B48" t="inlineStr">
        <is>
          <t>FWD Priority OSC</t>
        </is>
      </c>
      <c r="C48" s="5" t="n">
        <v>46103</v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6" t="n">
        <v>0</v>
      </c>
      <c r="AB48" s="6">
        <f>SUM(D48:AA48)</f>
        <v/>
      </c>
      <c r="AC48" s="3" t="inlineStr"/>
      <c r="AD48" s="7" t="n">
        <v>0</v>
      </c>
      <c r="AE48" s="7" t="n">
        <v>0</v>
      </c>
      <c r="AF48" s="7" t="n">
        <v>0</v>
      </c>
      <c r="AG48" s="7" t="n">
        <v>0</v>
      </c>
      <c r="AH48" s="7" t="n">
        <v>0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0</v>
      </c>
      <c r="AP48" s="7" t="n">
        <v>0</v>
      </c>
      <c r="AQ48" s="7" t="n">
        <v>0</v>
      </c>
      <c r="AR48" s="7" t="n">
        <v>0</v>
      </c>
      <c r="AS48" s="7" t="n">
        <v>0</v>
      </c>
      <c r="AT48" s="7" t="n">
        <v>0</v>
      </c>
      <c r="AU48" s="7" t="n">
        <v>0</v>
      </c>
      <c r="AV48" s="7" t="n">
        <v>0</v>
      </c>
      <c r="AW48" s="7" t="n">
        <v>0</v>
      </c>
      <c r="AX48" s="7" t="n">
        <v>0</v>
      </c>
      <c r="AY48" s="7" t="n">
        <v>0</v>
      </c>
      <c r="AZ48" s="7" t="n">
        <v>0</v>
      </c>
      <c r="BA48" s="7" t="n">
        <v>0</v>
      </c>
      <c r="BB48" s="7">
        <f>SUM(AD48:BA48)</f>
        <v/>
      </c>
    </row>
    <row r="49">
      <c r="A49" t="inlineStr">
        <is>
          <t>AMD-FWDPRI-SSC</t>
        </is>
      </c>
      <c r="B49" t="inlineStr">
        <is>
          <t>FWD Priority OSC</t>
        </is>
      </c>
      <c r="C49" s="5" t="n">
        <v>46104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0</v>
      </c>
      <c r="AB49" s="6">
        <f>SUM(D49:AA49)</f>
        <v/>
      </c>
      <c r="AC49" s="3" t="inlineStr"/>
      <c r="AD49" s="7" t="n">
        <v>0</v>
      </c>
      <c r="AE49" s="7" t="n">
        <v>0</v>
      </c>
      <c r="AF49" s="7" t="n">
        <v>0</v>
      </c>
      <c r="AG49" s="7" t="n">
        <v>0</v>
      </c>
      <c r="AH49" s="7" t="n">
        <v>0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0</v>
      </c>
      <c r="AN49" s="7" t="n">
        <v>0</v>
      </c>
      <c r="AO49" s="7" t="n">
        <v>0</v>
      </c>
      <c r="AP49" s="7" t="n">
        <v>0</v>
      </c>
      <c r="AQ49" s="7" t="n">
        <v>0</v>
      </c>
      <c r="AR49" s="7" t="n">
        <v>0</v>
      </c>
      <c r="AS49" s="7" t="n">
        <v>0</v>
      </c>
      <c r="AT49" s="7" t="n">
        <v>0</v>
      </c>
      <c r="AU49" s="7" t="n">
        <v>0</v>
      </c>
      <c r="AV49" s="7" t="n">
        <v>0</v>
      </c>
      <c r="AW49" s="7" t="n">
        <v>0</v>
      </c>
      <c r="AX49" s="7" t="n">
        <v>0</v>
      </c>
      <c r="AY49" s="7" t="n">
        <v>0</v>
      </c>
      <c r="AZ49" s="7" t="n">
        <v>0</v>
      </c>
      <c r="BA49" s="7" t="n">
        <v>0</v>
      </c>
      <c r="BB49" s="7">
        <f>SUM(AD49:BA49)</f>
        <v/>
      </c>
    </row>
    <row r="50">
      <c r="A50" t="inlineStr">
        <is>
          <t>AMD-FWDPRI-SSC</t>
        </is>
      </c>
      <c r="B50" t="inlineStr">
        <is>
          <t>FWD Priority OSC</t>
        </is>
      </c>
      <c r="C50" s="5" t="n">
        <v>46105</v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0</v>
      </c>
      <c r="M50" s="6" t="n">
        <v>0</v>
      </c>
      <c r="N50" s="6" t="n">
        <v>0</v>
      </c>
      <c r="O50" s="6" t="n">
        <v>0</v>
      </c>
      <c r="P50" s="6" t="n">
        <v>0</v>
      </c>
      <c r="Q50" s="6" t="n">
        <v>0</v>
      </c>
      <c r="R50" s="6" t="n">
        <v>0</v>
      </c>
      <c r="S50" s="6" t="n">
        <v>0</v>
      </c>
      <c r="T50" s="6" t="n">
        <v>0</v>
      </c>
      <c r="U50" s="6" t="n">
        <v>0</v>
      </c>
      <c r="V50" s="6" t="n">
        <v>0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0</v>
      </c>
      <c r="AB50" s="6">
        <f>SUM(D50:AA50)</f>
        <v/>
      </c>
      <c r="AC50" s="3" t="inlineStr"/>
      <c r="AD50" s="7" t="n">
        <v>0</v>
      </c>
      <c r="AE50" s="7" t="n">
        <v>0</v>
      </c>
      <c r="AF50" s="7" t="n">
        <v>0</v>
      </c>
      <c r="AG50" s="7" t="n">
        <v>0</v>
      </c>
      <c r="AH50" s="7" t="n">
        <v>0</v>
      </c>
      <c r="AI50" s="7" t="n">
        <v>0</v>
      </c>
      <c r="AJ50" s="7" t="n">
        <v>0</v>
      </c>
      <c r="AK50" s="7" t="n">
        <v>0</v>
      </c>
      <c r="AL50" s="7" t="n">
        <v>0</v>
      </c>
      <c r="AM50" s="7" t="n">
        <v>0</v>
      </c>
      <c r="AN50" s="7" t="n">
        <v>0</v>
      </c>
      <c r="AO50" s="7" t="n">
        <v>0</v>
      </c>
      <c r="AP50" s="7" t="n">
        <v>0</v>
      </c>
      <c r="AQ50" s="7" t="n">
        <v>0</v>
      </c>
      <c r="AR50" s="7" t="n">
        <v>0</v>
      </c>
      <c r="AS50" s="7" t="n">
        <v>0</v>
      </c>
      <c r="AT50" s="7" t="n">
        <v>0</v>
      </c>
      <c r="AU50" s="7" t="n">
        <v>0</v>
      </c>
      <c r="AV50" s="7" t="n">
        <v>0</v>
      </c>
      <c r="AW50" s="7" t="n">
        <v>0</v>
      </c>
      <c r="AX50" s="7" t="n">
        <v>0</v>
      </c>
      <c r="AY50" s="7" t="n">
        <v>0</v>
      </c>
      <c r="AZ50" s="7" t="n">
        <v>0</v>
      </c>
      <c r="BA50" s="7" t="n">
        <v>0</v>
      </c>
      <c r="BB50" s="7">
        <f>SUM(AD50:BA50)</f>
        <v/>
      </c>
    </row>
    <row r="51">
      <c r="A51" t="inlineStr">
        <is>
          <t>AMD-FWDREG-SSC</t>
        </is>
      </c>
      <c r="B51" t="inlineStr">
        <is>
          <t>Forward Regular OSC</t>
        </is>
      </c>
      <c r="C51" s="5" t="n">
        <v>46098</v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0</v>
      </c>
      <c r="O51" s="6" t="n">
        <v>0</v>
      </c>
      <c r="P51" s="6" t="n">
        <v>0</v>
      </c>
      <c r="Q51" s="6" t="n">
        <v>0</v>
      </c>
      <c r="R51" s="6" t="n">
        <v>0</v>
      </c>
      <c r="S51" s="6" t="n">
        <v>0</v>
      </c>
      <c r="T51" s="6" t="n">
        <v>0</v>
      </c>
      <c r="U51" s="6" t="n">
        <v>0</v>
      </c>
      <c r="V51" s="6" t="n">
        <v>0</v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6">
        <f>SUM(D51:AA51)</f>
        <v/>
      </c>
      <c r="AC51" s="3" t="inlineStr"/>
      <c r="AD51" s="7" t="n">
        <v>0</v>
      </c>
      <c r="AE51" s="7" t="n">
        <v>0</v>
      </c>
      <c r="AF51" s="7" t="n">
        <v>0</v>
      </c>
      <c r="AG51" s="7" t="n">
        <v>0</v>
      </c>
      <c r="AH51" s="7" t="n">
        <v>0</v>
      </c>
      <c r="AI51" s="7" t="n">
        <v>0</v>
      </c>
      <c r="AJ51" s="7" t="n">
        <v>0</v>
      </c>
      <c r="AK51" s="7" t="n">
        <v>0</v>
      </c>
      <c r="AL51" s="7" t="n">
        <v>0</v>
      </c>
      <c r="AM51" s="7" t="n">
        <v>0</v>
      </c>
      <c r="AN51" s="7" t="n">
        <v>0</v>
      </c>
      <c r="AO51" s="7" t="n">
        <v>0</v>
      </c>
      <c r="AP51" s="7" t="n">
        <v>0</v>
      </c>
      <c r="AQ51" s="7" t="n">
        <v>0</v>
      </c>
      <c r="AR51" s="7" t="n">
        <v>0</v>
      </c>
      <c r="AS51" s="7" t="n">
        <v>0</v>
      </c>
      <c r="AT51" s="7" t="n">
        <v>0</v>
      </c>
      <c r="AU51" s="7" t="n">
        <v>0</v>
      </c>
      <c r="AV51" s="7" t="n">
        <v>0</v>
      </c>
      <c r="AW51" s="7" t="n">
        <v>0</v>
      </c>
      <c r="AX51" s="7" t="n">
        <v>0</v>
      </c>
      <c r="AY51" s="7" t="n">
        <v>0</v>
      </c>
      <c r="AZ51" s="7" t="n">
        <v>0</v>
      </c>
      <c r="BA51" s="7" t="n">
        <v>0</v>
      </c>
      <c r="BB51" s="7">
        <f>SUM(AD51:BA51)</f>
        <v/>
      </c>
    </row>
    <row r="52">
      <c r="A52" t="inlineStr">
        <is>
          <t>AMD-FWDREG-SSC</t>
        </is>
      </c>
      <c r="B52" t="inlineStr">
        <is>
          <t>Forward Regular OSC</t>
        </is>
      </c>
      <c r="C52" s="5" t="n">
        <v>46099</v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</v>
      </c>
      <c r="L52" s="6" t="n">
        <v>0</v>
      </c>
      <c r="M52" s="6" t="n">
        <v>0</v>
      </c>
      <c r="N52" s="6" t="n">
        <v>0</v>
      </c>
      <c r="O52" s="6" t="n">
        <v>0</v>
      </c>
      <c r="P52" s="6" t="n">
        <v>0</v>
      </c>
      <c r="Q52" s="6" t="n">
        <v>0</v>
      </c>
      <c r="R52" s="6" t="n">
        <v>0</v>
      </c>
      <c r="S52" s="6" t="n">
        <v>0</v>
      </c>
      <c r="T52" s="6" t="n">
        <v>0</v>
      </c>
      <c r="U52" s="6" t="n">
        <v>0</v>
      </c>
      <c r="V52" s="6" t="n">
        <v>0</v>
      </c>
      <c r="W52" s="6" t="n">
        <v>0</v>
      </c>
      <c r="X52" s="6" t="n">
        <v>0</v>
      </c>
      <c r="Y52" s="6" t="n">
        <v>0</v>
      </c>
      <c r="Z52" s="6" t="n">
        <v>0</v>
      </c>
      <c r="AA52" s="6" t="n">
        <v>0</v>
      </c>
      <c r="AB52" s="6">
        <f>SUM(D52:AA52)</f>
        <v/>
      </c>
      <c r="AC52" s="3" t="inlineStr"/>
      <c r="AD52" s="7" t="n">
        <v>0</v>
      </c>
      <c r="AE52" s="7" t="n">
        <v>0</v>
      </c>
      <c r="AF52" s="7" t="n">
        <v>0</v>
      </c>
      <c r="AG52" s="7" t="n">
        <v>0</v>
      </c>
      <c r="AH52" s="7" t="n">
        <v>0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0</v>
      </c>
      <c r="AP52" s="7" t="n">
        <v>0</v>
      </c>
      <c r="AQ52" s="7" t="n">
        <v>0</v>
      </c>
      <c r="AR52" s="7" t="n">
        <v>0</v>
      </c>
      <c r="AS52" s="7" t="n">
        <v>0</v>
      </c>
      <c r="AT52" s="7" t="n">
        <v>0</v>
      </c>
      <c r="AU52" s="7" t="n">
        <v>0</v>
      </c>
      <c r="AV52" s="7" t="n">
        <v>0</v>
      </c>
      <c r="AW52" s="7" t="n">
        <v>0</v>
      </c>
      <c r="AX52" s="7" t="n">
        <v>0</v>
      </c>
      <c r="AY52" s="7" t="n">
        <v>0</v>
      </c>
      <c r="AZ52" s="7" t="n">
        <v>0</v>
      </c>
      <c r="BA52" s="7" t="n">
        <v>0</v>
      </c>
      <c r="BB52" s="7">
        <f>SUM(AD52:BA52)</f>
        <v/>
      </c>
    </row>
    <row r="53">
      <c r="A53" t="inlineStr">
        <is>
          <t>AMD-FWDREG-SSC</t>
        </is>
      </c>
      <c r="B53" t="inlineStr">
        <is>
          <t>Forward Regular OSC</t>
        </is>
      </c>
      <c r="C53" s="5" t="n">
        <v>46100</v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0</v>
      </c>
      <c r="O53" s="6" t="n">
        <v>0</v>
      </c>
      <c r="P53" s="6" t="n">
        <v>0</v>
      </c>
      <c r="Q53" s="6" t="n">
        <v>0</v>
      </c>
      <c r="R53" s="6" t="n">
        <v>0</v>
      </c>
      <c r="S53" s="6" t="n">
        <v>0</v>
      </c>
      <c r="T53" s="6" t="n">
        <v>0</v>
      </c>
      <c r="U53" s="6" t="n">
        <v>0</v>
      </c>
      <c r="V53" s="6" t="n">
        <v>0</v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6">
        <f>SUM(D53:AA53)</f>
        <v/>
      </c>
      <c r="AC53" s="3" t="inlineStr"/>
      <c r="AD53" s="7" t="n">
        <v>0</v>
      </c>
      <c r="AE53" s="7" t="n">
        <v>0</v>
      </c>
      <c r="AF53" s="7" t="n">
        <v>0</v>
      </c>
      <c r="AG53" s="7" t="n">
        <v>0</v>
      </c>
      <c r="AH53" s="7" t="n">
        <v>0</v>
      </c>
      <c r="AI53" s="7" t="n">
        <v>0</v>
      </c>
      <c r="AJ53" s="7" t="n">
        <v>0</v>
      </c>
      <c r="AK53" s="7" t="n">
        <v>0</v>
      </c>
      <c r="AL53" s="7" t="n">
        <v>0</v>
      </c>
      <c r="AM53" s="7" t="n">
        <v>0</v>
      </c>
      <c r="AN53" s="7" t="n">
        <v>0</v>
      </c>
      <c r="AO53" s="7" t="n">
        <v>0</v>
      </c>
      <c r="AP53" s="7" t="n">
        <v>0</v>
      </c>
      <c r="AQ53" s="7" t="n">
        <v>0</v>
      </c>
      <c r="AR53" s="7" t="n">
        <v>0</v>
      </c>
      <c r="AS53" s="7" t="n">
        <v>0</v>
      </c>
      <c r="AT53" s="7" t="n">
        <v>0</v>
      </c>
      <c r="AU53" s="7" t="n">
        <v>0</v>
      </c>
      <c r="AV53" s="7" t="n">
        <v>0</v>
      </c>
      <c r="AW53" s="7" t="n">
        <v>0</v>
      </c>
      <c r="AX53" s="7" t="n">
        <v>0</v>
      </c>
      <c r="AY53" s="7" t="n">
        <v>0</v>
      </c>
      <c r="AZ53" s="7" t="n">
        <v>0</v>
      </c>
      <c r="BA53" s="7" t="n">
        <v>0</v>
      </c>
      <c r="BB53" s="7">
        <f>SUM(AD53:BA53)</f>
        <v/>
      </c>
    </row>
    <row r="54">
      <c r="A54" t="inlineStr">
        <is>
          <t>AMD-FWDREG-SSC</t>
        </is>
      </c>
      <c r="B54" t="inlineStr">
        <is>
          <t>Forward Regular OSC</t>
        </is>
      </c>
      <c r="C54" s="5" t="n">
        <v>46101</v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0</v>
      </c>
      <c r="M54" s="6" t="n">
        <v>0</v>
      </c>
      <c r="N54" s="6" t="n">
        <v>0</v>
      </c>
      <c r="O54" s="6" t="n">
        <v>0</v>
      </c>
      <c r="P54" s="6" t="n">
        <v>0</v>
      </c>
      <c r="Q54" s="6" t="n">
        <v>0</v>
      </c>
      <c r="R54" s="6" t="n">
        <v>0</v>
      </c>
      <c r="S54" s="6" t="n">
        <v>0</v>
      </c>
      <c r="T54" s="6" t="n">
        <v>0</v>
      </c>
      <c r="U54" s="6" t="n">
        <v>0</v>
      </c>
      <c r="V54" s="6" t="n">
        <v>0</v>
      </c>
      <c r="W54" s="6" t="n">
        <v>0</v>
      </c>
      <c r="X54" s="6" t="n">
        <v>0</v>
      </c>
      <c r="Y54" s="6" t="n">
        <v>0</v>
      </c>
      <c r="Z54" s="6" t="n">
        <v>0</v>
      </c>
      <c r="AA54" s="6" t="n">
        <v>0</v>
      </c>
      <c r="AB54" s="6">
        <f>SUM(D54:AA54)</f>
        <v/>
      </c>
      <c r="AC54" s="3" t="inlineStr"/>
      <c r="AD54" s="7" t="n">
        <v>0</v>
      </c>
      <c r="AE54" s="7" t="n">
        <v>0</v>
      </c>
      <c r="AF54" s="7" t="n">
        <v>0</v>
      </c>
      <c r="AG54" s="7" t="n">
        <v>0</v>
      </c>
      <c r="AH54" s="7" t="n">
        <v>0</v>
      </c>
      <c r="AI54" s="7" t="n">
        <v>0</v>
      </c>
      <c r="AJ54" s="7" t="n">
        <v>0</v>
      </c>
      <c r="AK54" s="7" t="n">
        <v>0</v>
      </c>
      <c r="AL54" s="7" t="n">
        <v>0</v>
      </c>
      <c r="AM54" s="7" t="n">
        <v>0</v>
      </c>
      <c r="AN54" s="7" t="n">
        <v>0</v>
      </c>
      <c r="AO54" s="7" t="n">
        <v>0</v>
      </c>
      <c r="AP54" s="7" t="n">
        <v>0</v>
      </c>
      <c r="AQ54" s="7" t="n">
        <v>0</v>
      </c>
      <c r="AR54" s="7" t="n">
        <v>0</v>
      </c>
      <c r="AS54" s="7" t="n">
        <v>0</v>
      </c>
      <c r="AT54" s="7" t="n">
        <v>0</v>
      </c>
      <c r="AU54" s="7" t="n">
        <v>0</v>
      </c>
      <c r="AV54" s="7" t="n">
        <v>0</v>
      </c>
      <c r="AW54" s="7" t="n">
        <v>0</v>
      </c>
      <c r="AX54" s="7" t="n">
        <v>0</v>
      </c>
      <c r="AY54" s="7" t="n">
        <v>0</v>
      </c>
      <c r="AZ54" s="7" t="n">
        <v>0</v>
      </c>
      <c r="BA54" s="7" t="n">
        <v>0</v>
      </c>
      <c r="BB54" s="7">
        <f>SUM(AD54:BA54)</f>
        <v/>
      </c>
    </row>
    <row r="55">
      <c r="A55" t="inlineStr">
        <is>
          <t>AMD-FWDREG-SSC</t>
        </is>
      </c>
      <c r="B55" t="inlineStr">
        <is>
          <t>Forward Regular OSC</t>
        </is>
      </c>
      <c r="C55" s="5" t="n">
        <v>46102</v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6" t="n">
        <v>0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s="6" t="n">
        <v>0</v>
      </c>
      <c r="T55" s="6" t="n">
        <v>0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0</v>
      </c>
      <c r="AB55" s="6">
        <f>SUM(D55:AA55)</f>
        <v/>
      </c>
      <c r="AC55" s="3" t="inlineStr"/>
      <c r="AD55" s="7" t="n">
        <v>0</v>
      </c>
      <c r="AE55" s="7" t="n">
        <v>0</v>
      </c>
      <c r="AF55" s="7" t="n">
        <v>0</v>
      </c>
      <c r="AG55" s="7" t="n">
        <v>0</v>
      </c>
      <c r="AH55" s="7" t="n">
        <v>0</v>
      </c>
      <c r="AI55" s="7" t="n">
        <v>0</v>
      </c>
      <c r="AJ55" s="7" t="n">
        <v>0</v>
      </c>
      <c r="AK55" s="7" t="n">
        <v>0</v>
      </c>
      <c r="AL55" s="7" t="n">
        <v>0</v>
      </c>
      <c r="AM55" s="7" t="n">
        <v>0</v>
      </c>
      <c r="AN55" s="7" t="n">
        <v>0</v>
      </c>
      <c r="AO55" s="7" t="n">
        <v>0</v>
      </c>
      <c r="AP55" s="7" t="n">
        <v>0</v>
      </c>
      <c r="AQ55" s="7" t="n">
        <v>0</v>
      </c>
      <c r="AR55" s="7" t="n">
        <v>0</v>
      </c>
      <c r="AS55" s="7" t="n">
        <v>0</v>
      </c>
      <c r="AT55" s="7" t="n">
        <v>0</v>
      </c>
      <c r="AU55" s="7" t="n">
        <v>0</v>
      </c>
      <c r="AV55" s="7" t="n">
        <v>0</v>
      </c>
      <c r="AW55" s="7" t="n">
        <v>0</v>
      </c>
      <c r="AX55" s="7" t="n">
        <v>0</v>
      </c>
      <c r="AY55" s="7" t="n">
        <v>0</v>
      </c>
      <c r="AZ55" s="7" t="n">
        <v>0</v>
      </c>
      <c r="BA55" s="7" t="n">
        <v>0</v>
      </c>
      <c r="BB55" s="7">
        <f>SUM(AD55:BA55)</f>
        <v/>
      </c>
    </row>
    <row r="56">
      <c r="A56" t="inlineStr">
        <is>
          <t>AMD-FWDREG-SSC</t>
        </is>
      </c>
      <c r="B56" t="inlineStr">
        <is>
          <t>Forward Regular OSC</t>
        </is>
      </c>
      <c r="C56" s="5" t="n">
        <v>46103</v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0</v>
      </c>
      <c r="M56" s="6" t="n">
        <v>0</v>
      </c>
      <c r="N56" s="6" t="n">
        <v>0</v>
      </c>
      <c r="O56" s="6" t="n">
        <v>0</v>
      </c>
      <c r="P56" s="6" t="n">
        <v>0</v>
      </c>
      <c r="Q56" s="6" t="n">
        <v>0</v>
      </c>
      <c r="R56" s="6" t="n">
        <v>0</v>
      </c>
      <c r="S56" s="6" t="n">
        <v>0</v>
      </c>
      <c r="T56" s="6" t="n">
        <v>0</v>
      </c>
      <c r="U56" s="6" t="n">
        <v>0</v>
      </c>
      <c r="V56" s="6" t="n">
        <v>0</v>
      </c>
      <c r="W56" s="6" t="n">
        <v>0</v>
      </c>
      <c r="X56" s="6" t="n">
        <v>0</v>
      </c>
      <c r="Y56" s="6" t="n">
        <v>0</v>
      </c>
      <c r="Z56" s="6" t="n">
        <v>0</v>
      </c>
      <c r="AA56" s="6" t="n">
        <v>0</v>
      </c>
      <c r="AB56" s="6">
        <f>SUM(D56:AA56)</f>
        <v/>
      </c>
      <c r="AC56" s="3" t="inlineStr"/>
      <c r="AD56" s="7" t="n">
        <v>0</v>
      </c>
      <c r="AE56" s="7" t="n">
        <v>0</v>
      </c>
      <c r="AF56" s="7" t="n">
        <v>0</v>
      </c>
      <c r="AG56" s="7" t="n">
        <v>0</v>
      </c>
      <c r="AH56" s="7" t="n">
        <v>0</v>
      </c>
      <c r="AI56" s="7" t="n">
        <v>0</v>
      </c>
      <c r="AJ56" s="7" t="n">
        <v>0</v>
      </c>
      <c r="AK56" s="7" t="n">
        <v>0</v>
      </c>
      <c r="AL56" s="7" t="n">
        <v>0</v>
      </c>
      <c r="AM56" s="7" t="n">
        <v>0</v>
      </c>
      <c r="AN56" s="7" t="n">
        <v>0</v>
      </c>
      <c r="AO56" s="7" t="n">
        <v>0</v>
      </c>
      <c r="AP56" s="7" t="n">
        <v>0</v>
      </c>
      <c r="AQ56" s="7" t="n">
        <v>0</v>
      </c>
      <c r="AR56" s="7" t="n">
        <v>0</v>
      </c>
      <c r="AS56" s="7" t="n">
        <v>0</v>
      </c>
      <c r="AT56" s="7" t="n">
        <v>0</v>
      </c>
      <c r="AU56" s="7" t="n">
        <v>0</v>
      </c>
      <c r="AV56" s="7" t="n">
        <v>0</v>
      </c>
      <c r="AW56" s="7" t="n">
        <v>0</v>
      </c>
      <c r="AX56" s="7" t="n">
        <v>0</v>
      </c>
      <c r="AY56" s="7" t="n">
        <v>0</v>
      </c>
      <c r="AZ56" s="7" t="n">
        <v>0</v>
      </c>
      <c r="BA56" s="7" t="n">
        <v>0</v>
      </c>
      <c r="BB56" s="7">
        <f>SUM(AD56:BA56)</f>
        <v/>
      </c>
    </row>
    <row r="57">
      <c r="A57" t="inlineStr">
        <is>
          <t>AMD-FWDREG-SSC</t>
        </is>
      </c>
      <c r="B57" t="inlineStr">
        <is>
          <t>Forward Regular OSC</t>
        </is>
      </c>
      <c r="C57" s="5" t="n">
        <v>46104</v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0</v>
      </c>
      <c r="Q57" s="6" t="n">
        <v>0</v>
      </c>
      <c r="R57" s="6" t="n">
        <v>0</v>
      </c>
      <c r="S57" s="6" t="n">
        <v>0</v>
      </c>
      <c r="T57" s="6" t="n">
        <v>0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0</v>
      </c>
      <c r="AA57" s="6" t="n">
        <v>0</v>
      </c>
      <c r="AB57" s="6">
        <f>SUM(D57:AA57)</f>
        <v/>
      </c>
      <c r="AC57" s="3" t="inlineStr"/>
      <c r="AD57" s="7" t="n">
        <v>0</v>
      </c>
      <c r="AE57" s="7" t="n">
        <v>0</v>
      </c>
      <c r="AF57" s="7" t="n">
        <v>0</v>
      </c>
      <c r="AG57" s="7" t="n">
        <v>0</v>
      </c>
      <c r="AH57" s="7" t="n">
        <v>0</v>
      </c>
      <c r="AI57" s="7" t="n">
        <v>0</v>
      </c>
      <c r="AJ57" s="7" t="n">
        <v>0</v>
      </c>
      <c r="AK57" s="7" t="n">
        <v>0</v>
      </c>
      <c r="AL57" s="7" t="n">
        <v>0</v>
      </c>
      <c r="AM57" s="7" t="n">
        <v>0</v>
      </c>
      <c r="AN57" s="7" t="n">
        <v>0</v>
      </c>
      <c r="AO57" s="7" t="n">
        <v>0</v>
      </c>
      <c r="AP57" s="7" t="n">
        <v>0</v>
      </c>
      <c r="AQ57" s="7" t="n">
        <v>0</v>
      </c>
      <c r="AR57" s="7" t="n">
        <v>0</v>
      </c>
      <c r="AS57" s="7" t="n">
        <v>0</v>
      </c>
      <c r="AT57" s="7" t="n">
        <v>0</v>
      </c>
      <c r="AU57" s="7" t="n">
        <v>0</v>
      </c>
      <c r="AV57" s="7" t="n">
        <v>0</v>
      </c>
      <c r="AW57" s="7" t="n">
        <v>0</v>
      </c>
      <c r="AX57" s="7" t="n">
        <v>0</v>
      </c>
      <c r="AY57" s="7" t="n">
        <v>0</v>
      </c>
      <c r="AZ57" s="7" t="n">
        <v>0</v>
      </c>
      <c r="BA57" s="7" t="n">
        <v>0</v>
      </c>
      <c r="BB57" s="7">
        <f>SUM(AD57:BA57)</f>
        <v/>
      </c>
    </row>
    <row r="58">
      <c r="A58" t="inlineStr">
        <is>
          <t>AMD-FWDREG-SSC</t>
        </is>
      </c>
      <c r="B58" t="inlineStr">
        <is>
          <t>Forward Regular OSC</t>
        </is>
      </c>
      <c r="C58" s="5" t="n">
        <v>46105</v>
      </c>
      <c r="D58" s="6" t="n">
        <v>0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</v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0</v>
      </c>
      <c r="R58" s="6" t="n">
        <v>0</v>
      </c>
      <c r="S58" s="6" t="n">
        <v>0</v>
      </c>
      <c r="T58" s="6" t="n">
        <v>0</v>
      </c>
      <c r="U58" s="6" t="n">
        <v>0</v>
      </c>
      <c r="V58" s="6" t="n">
        <v>0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0</v>
      </c>
      <c r="AB58" s="6">
        <f>SUM(D58:AA58)</f>
        <v/>
      </c>
      <c r="AC58" s="3" t="inlineStr"/>
      <c r="AD58" s="7" t="n">
        <v>0</v>
      </c>
      <c r="AE58" s="7" t="n">
        <v>0</v>
      </c>
      <c r="AF58" s="7" t="n">
        <v>0</v>
      </c>
      <c r="AG58" s="7" t="n">
        <v>0</v>
      </c>
      <c r="AH58" s="7" t="n">
        <v>0</v>
      </c>
      <c r="AI58" s="7" t="n">
        <v>0</v>
      </c>
      <c r="AJ58" s="7" t="n">
        <v>0</v>
      </c>
      <c r="AK58" s="7" t="n">
        <v>0</v>
      </c>
      <c r="AL58" s="7" t="n">
        <v>0</v>
      </c>
      <c r="AM58" s="7" t="n">
        <v>0</v>
      </c>
      <c r="AN58" s="7" t="n">
        <v>0</v>
      </c>
      <c r="AO58" s="7" t="n">
        <v>0</v>
      </c>
      <c r="AP58" s="7" t="n">
        <v>0</v>
      </c>
      <c r="AQ58" s="7" t="n">
        <v>0</v>
      </c>
      <c r="AR58" s="7" t="n">
        <v>0</v>
      </c>
      <c r="AS58" s="7" t="n">
        <v>0</v>
      </c>
      <c r="AT58" s="7" t="n">
        <v>0</v>
      </c>
      <c r="AU58" s="7" t="n">
        <v>0</v>
      </c>
      <c r="AV58" s="7" t="n">
        <v>0</v>
      </c>
      <c r="AW58" s="7" t="n">
        <v>0</v>
      </c>
      <c r="AX58" s="7" t="n">
        <v>0</v>
      </c>
      <c r="AY58" s="7" t="n">
        <v>0</v>
      </c>
      <c r="AZ58" s="7" t="n">
        <v>0</v>
      </c>
      <c r="BA58" s="7" t="n">
        <v>0</v>
      </c>
      <c r="BB58" s="7">
        <f>SUM(AD58:BA58)</f>
        <v/>
      </c>
    </row>
    <row r="59">
      <c r="A59" t="inlineStr">
        <is>
          <t>AMD-INTRA-SSC</t>
        </is>
      </c>
      <c r="B59" t="inlineStr">
        <is>
          <t>Forward Regular OSC</t>
        </is>
      </c>
      <c r="C59" s="5" t="n">
        <v>46098</v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Q59" s="6" t="n">
        <v>0</v>
      </c>
      <c r="R59" s="6" t="n">
        <v>0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0</v>
      </c>
      <c r="Z59" s="6" t="n">
        <v>0</v>
      </c>
      <c r="AA59" s="6" t="n">
        <v>0</v>
      </c>
      <c r="AB59" s="6">
        <f>SUM(D59:AA59)</f>
        <v/>
      </c>
      <c r="AC59" s="3" t="inlineStr"/>
      <c r="AD59" s="7" t="n">
        <v>0</v>
      </c>
      <c r="AE59" s="7" t="n">
        <v>0</v>
      </c>
      <c r="AF59" s="7" t="n">
        <v>0</v>
      </c>
      <c r="AG59" s="7" t="n">
        <v>0</v>
      </c>
      <c r="AH59" s="7" t="n">
        <v>0</v>
      </c>
      <c r="AI59" s="7" t="n">
        <v>0</v>
      </c>
      <c r="AJ59" s="7" t="n">
        <v>0</v>
      </c>
      <c r="AK59" s="7" t="n">
        <v>0</v>
      </c>
      <c r="AL59" s="7" t="n">
        <v>0</v>
      </c>
      <c r="AM59" s="7" t="n">
        <v>0</v>
      </c>
      <c r="AN59" s="7" t="n">
        <v>0</v>
      </c>
      <c r="AO59" s="7" t="n">
        <v>0</v>
      </c>
      <c r="AP59" s="7" t="n">
        <v>0</v>
      </c>
      <c r="AQ59" s="7" t="n">
        <v>0</v>
      </c>
      <c r="AR59" s="7" t="n">
        <v>0</v>
      </c>
      <c r="AS59" s="7" t="n">
        <v>0</v>
      </c>
      <c r="AT59" s="7" t="n">
        <v>0</v>
      </c>
      <c r="AU59" s="7" t="n">
        <v>0</v>
      </c>
      <c r="AV59" s="7" t="n">
        <v>0</v>
      </c>
      <c r="AW59" s="7" t="n">
        <v>0</v>
      </c>
      <c r="AX59" s="7" t="n">
        <v>0</v>
      </c>
      <c r="AY59" s="7" t="n">
        <v>0</v>
      </c>
      <c r="AZ59" s="7" t="n">
        <v>0</v>
      </c>
      <c r="BA59" s="7" t="n">
        <v>0</v>
      </c>
      <c r="BB59" s="7">
        <f>SUM(AD59:BA59)</f>
        <v/>
      </c>
    </row>
    <row r="60">
      <c r="A60" t="inlineStr">
        <is>
          <t>AMD-INTRA-SSC</t>
        </is>
      </c>
      <c r="B60" t="inlineStr">
        <is>
          <t>Forward Regular OSC</t>
        </is>
      </c>
      <c r="C60" s="5" t="n">
        <v>46099</v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0</v>
      </c>
      <c r="Q60" s="6" t="n">
        <v>0</v>
      </c>
      <c r="R60" s="6" t="n">
        <v>0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0</v>
      </c>
      <c r="Z60" s="6" t="n">
        <v>0</v>
      </c>
      <c r="AA60" s="6" t="n">
        <v>0</v>
      </c>
      <c r="AB60" s="6">
        <f>SUM(D60:AA60)</f>
        <v/>
      </c>
      <c r="AC60" s="3" t="inlineStr"/>
      <c r="AD60" s="7" t="n">
        <v>0</v>
      </c>
      <c r="AE60" s="7" t="n">
        <v>0</v>
      </c>
      <c r="AF60" s="7" t="n">
        <v>0</v>
      </c>
      <c r="AG60" s="7" t="n">
        <v>0</v>
      </c>
      <c r="AH60" s="7" t="n">
        <v>0</v>
      </c>
      <c r="AI60" s="7" t="n">
        <v>0</v>
      </c>
      <c r="AJ60" s="7" t="n">
        <v>0</v>
      </c>
      <c r="AK60" s="7" t="n">
        <v>0</v>
      </c>
      <c r="AL60" s="7" t="n">
        <v>0</v>
      </c>
      <c r="AM60" s="7" t="n">
        <v>0</v>
      </c>
      <c r="AN60" s="7" t="n">
        <v>0</v>
      </c>
      <c r="AO60" s="7" t="n">
        <v>0</v>
      </c>
      <c r="AP60" s="7" t="n">
        <v>0</v>
      </c>
      <c r="AQ60" s="7" t="n">
        <v>0</v>
      </c>
      <c r="AR60" s="7" t="n">
        <v>0</v>
      </c>
      <c r="AS60" s="7" t="n">
        <v>0</v>
      </c>
      <c r="AT60" s="7" t="n">
        <v>0</v>
      </c>
      <c r="AU60" s="7" t="n">
        <v>0</v>
      </c>
      <c r="AV60" s="7" t="n">
        <v>0</v>
      </c>
      <c r="AW60" s="7" t="n">
        <v>0</v>
      </c>
      <c r="AX60" s="7" t="n">
        <v>0</v>
      </c>
      <c r="AY60" s="7" t="n">
        <v>0</v>
      </c>
      <c r="AZ60" s="7" t="n">
        <v>0</v>
      </c>
      <c r="BA60" s="7" t="n">
        <v>0</v>
      </c>
      <c r="BB60" s="7">
        <f>SUM(AD60:BA60)</f>
        <v/>
      </c>
    </row>
    <row r="61">
      <c r="A61" t="inlineStr">
        <is>
          <t>AMD-INTRA-SSC</t>
        </is>
      </c>
      <c r="B61" t="inlineStr">
        <is>
          <t>Forward Regular OSC</t>
        </is>
      </c>
      <c r="C61" s="5" t="n">
        <v>46100</v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0</v>
      </c>
      <c r="Q61" s="6" t="n">
        <v>0</v>
      </c>
      <c r="R61" s="6" t="n">
        <v>0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0</v>
      </c>
      <c r="X61" s="6" t="n">
        <v>0</v>
      </c>
      <c r="Y61" s="6" t="n">
        <v>0</v>
      </c>
      <c r="Z61" s="6" t="n">
        <v>0</v>
      </c>
      <c r="AA61" s="6" t="n">
        <v>0</v>
      </c>
      <c r="AB61" s="6">
        <f>SUM(D61:AA61)</f>
        <v/>
      </c>
      <c r="AC61" s="3" t="inlineStr"/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7" t="n">
        <v>0</v>
      </c>
      <c r="BB61" s="7">
        <f>SUM(AD61:BA61)</f>
        <v/>
      </c>
    </row>
    <row r="62">
      <c r="A62" t="inlineStr">
        <is>
          <t>AMD-INTRA-SSC</t>
        </is>
      </c>
      <c r="B62" t="inlineStr">
        <is>
          <t>Forward Regular OSC</t>
        </is>
      </c>
      <c r="C62" s="5" t="n">
        <v>46101</v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0</v>
      </c>
      <c r="M62" s="6" t="n">
        <v>0</v>
      </c>
      <c r="N62" s="6" t="n">
        <v>0</v>
      </c>
      <c r="O62" s="6" t="n">
        <v>0</v>
      </c>
      <c r="P62" s="6" t="n">
        <v>0</v>
      </c>
      <c r="Q62" s="6" t="n">
        <v>0</v>
      </c>
      <c r="R62" s="6" t="n">
        <v>0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0</v>
      </c>
      <c r="Z62" s="6" t="n">
        <v>0</v>
      </c>
      <c r="AA62" s="6" t="n">
        <v>0</v>
      </c>
      <c r="AB62" s="6">
        <f>SUM(D62:AA62)</f>
        <v/>
      </c>
      <c r="AC62" s="3" t="inlineStr"/>
      <c r="AD62" s="7" t="n">
        <v>0</v>
      </c>
      <c r="AE62" s="7" t="n">
        <v>0</v>
      </c>
      <c r="AF62" s="7" t="n">
        <v>0</v>
      </c>
      <c r="AG62" s="7" t="n">
        <v>0</v>
      </c>
      <c r="AH62" s="7" t="n">
        <v>0</v>
      </c>
      <c r="AI62" s="7" t="n">
        <v>0</v>
      </c>
      <c r="AJ62" s="7" t="n">
        <v>0</v>
      </c>
      <c r="AK62" s="7" t="n">
        <v>0</v>
      </c>
      <c r="AL62" s="7" t="n">
        <v>0</v>
      </c>
      <c r="AM62" s="7" t="n">
        <v>0</v>
      </c>
      <c r="AN62" s="7" t="n">
        <v>0</v>
      </c>
      <c r="AO62" s="7" t="n">
        <v>0</v>
      </c>
      <c r="AP62" s="7" t="n">
        <v>0</v>
      </c>
      <c r="AQ62" s="7" t="n">
        <v>0</v>
      </c>
      <c r="AR62" s="7" t="n">
        <v>0</v>
      </c>
      <c r="AS62" s="7" t="n">
        <v>0</v>
      </c>
      <c r="AT62" s="7" t="n">
        <v>0</v>
      </c>
      <c r="AU62" s="7" t="n">
        <v>0</v>
      </c>
      <c r="AV62" s="7" t="n">
        <v>0</v>
      </c>
      <c r="AW62" s="7" t="n">
        <v>0</v>
      </c>
      <c r="AX62" s="7" t="n">
        <v>0</v>
      </c>
      <c r="AY62" s="7" t="n">
        <v>0</v>
      </c>
      <c r="AZ62" s="7" t="n">
        <v>0</v>
      </c>
      <c r="BA62" s="7" t="n">
        <v>0</v>
      </c>
      <c r="BB62" s="7">
        <f>SUM(AD62:BA62)</f>
        <v/>
      </c>
    </row>
    <row r="63">
      <c r="A63" t="inlineStr">
        <is>
          <t>AMD-INTRA-SSC</t>
        </is>
      </c>
      <c r="B63" t="inlineStr">
        <is>
          <t>Forward Regular OSC</t>
        </is>
      </c>
      <c r="C63" s="5" t="n">
        <v>46102</v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0</v>
      </c>
      <c r="Q63" s="6" t="n">
        <v>0</v>
      </c>
      <c r="R63" s="6" t="n">
        <v>0</v>
      </c>
      <c r="S63" s="6" t="n">
        <v>0</v>
      </c>
      <c r="T63" s="6" t="n">
        <v>0</v>
      </c>
      <c r="U63" s="6" t="n">
        <v>0</v>
      </c>
      <c r="V63" s="6" t="n">
        <v>0</v>
      </c>
      <c r="W63" s="6" t="n">
        <v>0</v>
      </c>
      <c r="X63" s="6" t="n">
        <v>0</v>
      </c>
      <c r="Y63" s="6" t="n">
        <v>0</v>
      </c>
      <c r="Z63" s="6" t="n">
        <v>0</v>
      </c>
      <c r="AA63" s="6" t="n">
        <v>0</v>
      </c>
      <c r="AB63" s="6">
        <f>SUM(D63:AA63)</f>
        <v/>
      </c>
      <c r="AC63" s="3" t="inlineStr"/>
      <c r="AD63" s="7" t="n">
        <v>0</v>
      </c>
      <c r="AE63" s="7" t="n">
        <v>0</v>
      </c>
      <c r="AF63" s="7" t="n">
        <v>0</v>
      </c>
      <c r="AG63" s="7" t="n">
        <v>0</v>
      </c>
      <c r="AH63" s="7" t="n">
        <v>0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0</v>
      </c>
      <c r="AO63" s="7" t="n">
        <v>0</v>
      </c>
      <c r="AP63" s="7" t="n">
        <v>0</v>
      </c>
      <c r="AQ63" s="7" t="n">
        <v>0</v>
      </c>
      <c r="AR63" s="7" t="n">
        <v>0</v>
      </c>
      <c r="AS63" s="7" t="n">
        <v>0</v>
      </c>
      <c r="AT63" s="7" t="n">
        <v>0</v>
      </c>
      <c r="AU63" s="7" t="n">
        <v>0</v>
      </c>
      <c r="AV63" s="7" t="n">
        <v>0</v>
      </c>
      <c r="AW63" s="7" t="n">
        <v>0</v>
      </c>
      <c r="AX63" s="7" t="n">
        <v>0</v>
      </c>
      <c r="AY63" s="7" t="n">
        <v>0</v>
      </c>
      <c r="AZ63" s="7" t="n">
        <v>0</v>
      </c>
      <c r="BA63" s="7" t="n">
        <v>0</v>
      </c>
      <c r="BB63" s="7">
        <f>SUM(AD63:BA63)</f>
        <v/>
      </c>
    </row>
    <row r="64">
      <c r="A64" t="inlineStr">
        <is>
          <t>AMD-INTRA-SSC</t>
        </is>
      </c>
      <c r="B64" t="inlineStr">
        <is>
          <t>Forward Regular OSC</t>
        </is>
      </c>
      <c r="C64" s="5" t="n">
        <v>46103</v>
      </c>
      <c r="D64" s="6" t="n">
        <v>0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0</v>
      </c>
      <c r="M64" s="6" t="n">
        <v>0</v>
      </c>
      <c r="N64" s="6" t="n">
        <v>0</v>
      </c>
      <c r="O64" s="6" t="n">
        <v>0</v>
      </c>
      <c r="P64" s="6" t="n">
        <v>0</v>
      </c>
      <c r="Q64" s="6" t="n">
        <v>0</v>
      </c>
      <c r="R64" s="6" t="n">
        <v>0</v>
      </c>
      <c r="S64" s="6" t="n">
        <v>0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0</v>
      </c>
      <c r="AB64" s="6">
        <f>SUM(D64:AA64)</f>
        <v/>
      </c>
      <c r="AC64" s="3" t="inlineStr"/>
      <c r="AD64" s="7" t="n">
        <v>0</v>
      </c>
      <c r="AE64" s="7" t="n">
        <v>0</v>
      </c>
      <c r="AF64" s="7" t="n">
        <v>0</v>
      </c>
      <c r="AG64" s="7" t="n">
        <v>0</v>
      </c>
      <c r="AH64" s="7" t="n">
        <v>0</v>
      </c>
      <c r="AI64" s="7" t="n">
        <v>0</v>
      </c>
      <c r="AJ64" s="7" t="n">
        <v>0</v>
      </c>
      <c r="AK64" s="7" t="n">
        <v>0</v>
      </c>
      <c r="AL64" s="7" t="n">
        <v>0</v>
      </c>
      <c r="AM64" s="7" t="n">
        <v>0</v>
      </c>
      <c r="AN64" s="7" t="n">
        <v>0</v>
      </c>
      <c r="AO64" s="7" t="n">
        <v>0</v>
      </c>
      <c r="AP64" s="7" t="n">
        <v>0</v>
      </c>
      <c r="AQ64" s="7" t="n">
        <v>0</v>
      </c>
      <c r="AR64" s="7" t="n">
        <v>0</v>
      </c>
      <c r="AS64" s="7" t="n">
        <v>0</v>
      </c>
      <c r="AT64" s="7" t="n">
        <v>0</v>
      </c>
      <c r="AU64" s="7" t="n">
        <v>0</v>
      </c>
      <c r="AV64" s="7" t="n">
        <v>0</v>
      </c>
      <c r="AW64" s="7" t="n">
        <v>0</v>
      </c>
      <c r="AX64" s="7" t="n">
        <v>0</v>
      </c>
      <c r="AY64" s="7" t="n">
        <v>0</v>
      </c>
      <c r="AZ64" s="7" t="n">
        <v>0</v>
      </c>
      <c r="BA64" s="7" t="n">
        <v>0</v>
      </c>
      <c r="BB64" s="7">
        <f>SUM(AD64:BA64)</f>
        <v/>
      </c>
    </row>
    <row r="65">
      <c r="A65" t="inlineStr">
        <is>
          <t>AMD-INTRA-SSC</t>
        </is>
      </c>
      <c r="B65" t="inlineStr">
        <is>
          <t>Forward Regular OSC</t>
        </is>
      </c>
      <c r="C65" s="5" t="n">
        <v>46104</v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0</v>
      </c>
      <c r="Q65" s="6" t="n">
        <v>0</v>
      </c>
      <c r="R65" s="6" t="n">
        <v>0</v>
      </c>
      <c r="S65" s="6" t="n">
        <v>0</v>
      </c>
      <c r="T65" s="6" t="n">
        <v>0</v>
      </c>
      <c r="U65" s="6" t="n">
        <v>0</v>
      </c>
      <c r="V65" s="6" t="n">
        <v>0</v>
      </c>
      <c r="W65" s="6" t="n">
        <v>0</v>
      </c>
      <c r="X65" s="6" t="n">
        <v>0</v>
      </c>
      <c r="Y65" s="6" t="n">
        <v>0</v>
      </c>
      <c r="Z65" s="6" t="n">
        <v>0</v>
      </c>
      <c r="AA65" s="6" t="n">
        <v>0</v>
      </c>
      <c r="AB65" s="6">
        <f>SUM(D65:AA65)</f>
        <v/>
      </c>
      <c r="AC65" s="3" t="inlineStr"/>
      <c r="AD65" s="7" t="n">
        <v>0</v>
      </c>
      <c r="AE65" s="7" t="n">
        <v>0</v>
      </c>
      <c r="AF65" s="7" t="n">
        <v>0</v>
      </c>
      <c r="AG65" s="7" t="n">
        <v>0</v>
      </c>
      <c r="AH65" s="7" t="n">
        <v>0</v>
      </c>
      <c r="AI65" s="7" t="n">
        <v>0</v>
      </c>
      <c r="AJ65" s="7" t="n">
        <v>0</v>
      </c>
      <c r="AK65" s="7" t="n">
        <v>0</v>
      </c>
      <c r="AL65" s="7" t="n">
        <v>0</v>
      </c>
      <c r="AM65" s="7" t="n">
        <v>0</v>
      </c>
      <c r="AN65" s="7" t="n">
        <v>0</v>
      </c>
      <c r="AO65" s="7" t="n">
        <v>0</v>
      </c>
      <c r="AP65" s="7" t="n">
        <v>0</v>
      </c>
      <c r="AQ65" s="7" t="n">
        <v>0</v>
      </c>
      <c r="AR65" s="7" t="n">
        <v>0</v>
      </c>
      <c r="AS65" s="7" t="n">
        <v>0</v>
      </c>
      <c r="AT65" s="7" t="n">
        <v>0</v>
      </c>
      <c r="AU65" s="7" t="n">
        <v>0</v>
      </c>
      <c r="AV65" s="7" t="n">
        <v>0</v>
      </c>
      <c r="AW65" s="7" t="n">
        <v>0</v>
      </c>
      <c r="AX65" s="7" t="n">
        <v>0</v>
      </c>
      <c r="AY65" s="7" t="n">
        <v>0</v>
      </c>
      <c r="AZ65" s="7" t="n">
        <v>0</v>
      </c>
      <c r="BA65" s="7" t="n">
        <v>0</v>
      </c>
      <c r="BB65" s="7">
        <f>SUM(AD65:BA65)</f>
        <v/>
      </c>
    </row>
    <row r="66">
      <c r="A66" t="inlineStr">
        <is>
          <t>AMD-INTRA-SSC</t>
        </is>
      </c>
      <c r="B66" t="inlineStr">
        <is>
          <t>Forward Regular OSC</t>
        </is>
      </c>
      <c r="C66" s="5" t="n">
        <v>46105</v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0</v>
      </c>
      <c r="N66" s="6" t="n">
        <v>0</v>
      </c>
      <c r="O66" s="6" t="n">
        <v>0</v>
      </c>
      <c r="P66" s="6" t="n">
        <v>0</v>
      </c>
      <c r="Q66" s="6" t="n">
        <v>0</v>
      </c>
      <c r="R66" s="6" t="n">
        <v>0</v>
      </c>
      <c r="S66" s="6" t="n">
        <v>0</v>
      </c>
      <c r="T66" s="6" t="n">
        <v>0</v>
      </c>
      <c r="U66" s="6" t="n">
        <v>0</v>
      </c>
      <c r="V66" s="6" t="n">
        <v>0</v>
      </c>
      <c r="W66" s="6" t="n">
        <v>0</v>
      </c>
      <c r="X66" s="6" t="n">
        <v>0</v>
      </c>
      <c r="Y66" s="6" t="n">
        <v>0</v>
      </c>
      <c r="Z66" s="6" t="n">
        <v>0</v>
      </c>
      <c r="AA66" s="6" t="n">
        <v>0</v>
      </c>
      <c r="AB66" s="6">
        <f>SUM(D66:AA66)</f>
        <v/>
      </c>
      <c r="AC66" s="3" t="inlineStr"/>
      <c r="AD66" s="7" t="n">
        <v>0</v>
      </c>
      <c r="AE66" s="7" t="n">
        <v>0</v>
      </c>
      <c r="AF66" s="7" t="n">
        <v>0</v>
      </c>
      <c r="AG66" s="7" t="n">
        <v>0</v>
      </c>
      <c r="AH66" s="7" t="n">
        <v>0</v>
      </c>
      <c r="AI66" s="7" t="n">
        <v>0</v>
      </c>
      <c r="AJ66" s="7" t="n">
        <v>0</v>
      </c>
      <c r="AK66" s="7" t="n">
        <v>0</v>
      </c>
      <c r="AL66" s="7" t="n">
        <v>0</v>
      </c>
      <c r="AM66" s="7" t="n">
        <v>0</v>
      </c>
      <c r="AN66" s="7" t="n">
        <v>0</v>
      </c>
      <c r="AO66" s="7" t="n">
        <v>0</v>
      </c>
      <c r="AP66" s="7" t="n">
        <v>0</v>
      </c>
      <c r="AQ66" s="7" t="n">
        <v>0</v>
      </c>
      <c r="AR66" s="7" t="n">
        <v>0</v>
      </c>
      <c r="AS66" s="7" t="n">
        <v>0</v>
      </c>
      <c r="AT66" s="7" t="n">
        <v>0</v>
      </c>
      <c r="AU66" s="7" t="n">
        <v>0</v>
      </c>
      <c r="AV66" s="7" t="n">
        <v>0</v>
      </c>
      <c r="AW66" s="7" t="n">
        <v>0</v>
      </c>
      <c r="AX66" s="7" t="n">
        <v>0</v>
      </c>
      <c r="AY66" s="7" t="n">
        <v>0</v>
      </c>
      <c r="AZ66" s="7" t="n">
        <v>0</v>
      </c>
      <c r="BA66" s="7" t="n">
        <v>0</v>
      </c>
      <c r="BB66" s="7">
        <f>SUM(AD66:BA66)</f>
        <v/>
      </c>
    </row>
    <row r="67">
      <c r="A67" t="inlineStr">
        <is>
          <t>AMD-M1</t>
        </is>
      </c>
      <c r="B67" t="inlineStr">
        <is>
          <t>Forward Regular OSC</t>
        </is>
      </c>
      <c r="C67" s="5" t="n">
        <v>46089</v>
      </c>
      <c r="D67" s="6" t="n">
        <v>0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  <c r="S67" s="6" t="n">
        <v>0</v>
      </c>
      <c r="T67" s="6" t="n">
        <v>0</v>
      </c>
      <c r="U67" s="6" t="n">
        <v>0</v>
      </c>
      <c r="V67" s="6" t="n">
        <v>0</v>
      </c>
      <c r="W67" s="6" t="n">
        <v>0</v>
      </c>
      <c r="X67" s="6" t="n">
        <v>0</v>
      </c>
      <c r="Y67" s="6" t="n">
        <v>0</v>
      </c>
      <c r="Z67" s="6" t="n">
        <v>0</v>
      </c>
      <c r="AA67" s="6" t="n">
        <v>0</v>
      </c>
      <c r="AB67" s="6">
        <f>SUM(D67:AA67)</f>
        <v/>
      </c>
      <c r="AC67" s="3" t="inlineStr"/>
      <c r="AD67" s="7" t="n">
        <v>0</v>
      </c>
      <c r="AE67" s="7" t="n">
        <v>0</v>
      </c>
      <c r="AF67" s="7" t="n">
        <v>0</v>
      </c>
      <c r="AG67" s="7" t="n">
        <v>0</v>
      </c>
      <c r="AH67" s="7" t="n">
        <v>0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</v>
      </c>
      <c r="AN67" s="7" t="n">
        <v>0</v>
      </c>
      <c r="AO67" s="7" t="n">
        <v>0</v>
      </c>
      <c r="AP67" s="7" t="n">
        <v>0</v>
      </c>
      <c r="AQ67" s="7" t="n">
        <v>0</v>
      </c>
      <c r="AR67" s="7" t="n">
        <v>0</v>
      </c>
      <c r="AS67" s="7" t="n">
        <v>0</v>
      </c>
      <c r="AT67" s="7" t="n">
        <v>0</v>
      </c>
      <c r="AU67" s="7" t="n">
        <v>0</v>
      </c>
      <c r="AV67" s="7" t="n">
        <v>0</v>
      </c>
      <c r="AW67" s="7" t="n">
        <v>0</v>
      </c>
      <c r="AX67" s="7" t="n">
        <v>0</v>
      </c>
      <c r="AY67" s="7" t="n">
        <v>0</v>
      </c>
      <c r="AZ67" s="7" t="n">
        <v>0</v>
      </c>
      <c r="BA67" s="7" t="n">
        <v>0</v>
      </c>
      <c r="BB67" s="7">
        <f>SUM(AD67:BA67)</f>
        <v/>
      </c>
    </row>
    <row r="68">
      <c r="A68" t="inlineStr">
        <is>
          <t>AMD-M1</t>
        </is>
      </c>
      <c r="B68" t="inlineStr">
        <is>
          <t>Forward Regular OSC</t>
        </is>
      </c>
      <c r="C68" s="5" t="n">
        <v>46090</v>
      </c>
      <c r="D68" s="6" t="n">
        <v>0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0</v>
      </c>
      <c r="M68" s="6" t="n">
        <v>0</v>
      </c>
      <c r="N68" s="6" t="n">
        <v>0</v>
      </c>
      <c r="O68" s="6" t="n">
        <v>0</v>
      </c>
      <c r="P68" s="6" t="n">
        <v>0</v>
      </c>
      <c r="Q68" s="6" t="n">
        <v>0</v>
      </c>
      <c r="R68" s="6" t="n">
        <v>0</v>
      </c>
      <c r="S68" s="6" t="n">
        <v>0</v>
      </c>
      <c r="T68" s="6" t="n">
        <v>0</v>
      </c>
      <c r="U68" s="6" t="n">
        <v>0</v>
      </c>
      <c r="V68" s="6" t="n">
        <v>0</v>
      </c>
      <c r="W68" s="6" t="n">
        <v>0</v>
      </c>
      <c r="X68" s="6" t="n">
        <v>0</v>
      </c>
      <c r="Y68" s="6" t="n">
        <v>0</v>
      </c>
      <c r="Z68" s="6" t="n">
        <v>0</v>
      </c>
      <c r="AA68" s="6" t="n">
        <v>0</v>
      </c>
      <c r="AB68" s="6">
        <f>SUM(D68:AA68)</f>
        <v/>
      </c>
      <c r="AC68" s="3" t="inlineStr"/>
      <c r="AD68" s="7" t="n">
        <v>0</v>
      </c>
      <c r="AE68" s="7" t="n">
        <v>0</v>
      </c>
      <c r="AF68" s="7" t="n">
        <v>0</v>
      </c>
      <c r="AG68" s="7" t="n">
        <v>0</v>
      </c>
      <c r="AH68" s="7" t="n">
        <v>0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0</v>
      </c>
      <c r="AO68" s="7" t="n">
        <v>0</v>
      </c>
      <c r="AP68" s="7" t="n">
        <v>0</v>
      </c>
      <c r="AQ68" s="7" t="n">
        <v>0</v>
      </c>
      <c r="AR68" s="7" t="n">
        <v>0</v>
      </c>
      <c r="AS68" s="7" t="n">
        <v>0</v>
      </c>
      <c r="AT68" s="7" t="n">
        <v>0</v>
      </c>
      <c r="AU68" s="7" t="n">
        <v>0</v>
      </c>
      <c r="AV68" s="7" t="n">
        <v>0</v>
      </c>
      <c r="AW68" s="7" t="n">
        <v>0</v>
      </c>
      <c r="AX68" s="7" t="n">
        <v>0</v>
      </c>
      <c r="AY68" s="7" t="n">
        <v>0</v>
      </c>
      <c r="AZ68" s="7" t="n">
        <v>0</v>
      </c>
      <c r="BA68" s="7" t="n">
        <v>0</v>
      </c>
      <c r="BB68" s="7">
        <f>SUM(AD68:BA68)</f>
        <v/>
      </c>
    </row>
    <row r="69">
      <c r="A69" t="inlineStr">
        <is>
          <t>AMD-M1</t>
        </is>
      </c>
      <c r="B69" t="inlineStr">
        <is>
          <t>Forward Regular OSC</t>
        </is>
      </c>
      <c r="C69" s="5" t="n">
        <v>46091</v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>
        <f>SUM(D69:AA69)</f>
        <v/>
      </c>
      <c r="AC69" s="3" t="inlineStr"/>
      <c r="AD69" s="7" t="n">
        <v>0</v>
      </c>
      <c r="AE69" s="7" t="n">
        <v>0</v>
      </c>
      <c r="AF69" s="7" t="n">
        <v>0</v>
      </c>
      <c r="AG69" s="7" t="n">
        <v>0</v>
      </c>
      <c r="AH69" s="7" t="n">
        <v>0</v>
      </c>
      <c r="AI69" s="7" t="n">
        <v>0</v>
      </c>
      <c r="AJ69" s="7" t="n">
        <v>0</v>
      </c>
      <c r="AK69" s="7" t="n">
        <v>0</v>
      </c>
      <c r="AL69" s="7" t="n">
        <v>0</v>
      </c>
      <c r="AM69" s="7" t="n">
        <v>0</v>
      </c>
      <c r="AN69" s="7" t="n">
        <v>0</v>
      </c>
      <c r="AO69" s="7" t="n">
        <v>0</v>
      </c>
      <c r="AP69" s="7" t="n">
        <v>0</v>
      </c>
      <c r="AQ69" s="7" t="n">
        <v>0</v>
      </c>
      <c r="AR69" s="7" t="n">
        <v>0</v>
      </c>
      <c r="AS69" s="7" t="n">
        <v>0</v>
      </c>
      <c r="AT69" s="7" t="n">
        <v>0</v>
      </c>
      <c r="AU69" s="7" t="n">
        <v>0</v>
      </c>
      <c r="AV69" s="7" t="n">
        <v>0</v>
      </c>
      <c r="AW69" s="7" t="n">
        <v>0</v>
      </c>
      <c r="AX69" s="7" t="n">
        <v>0</v>
      </c>
      <c r="AY69" s="7" t="n">
        <v>0</v>
      </c>
      <c r="AZ69" s="7" t="n">
        <v>0</v>
      </c>
      <c r="BA69" s="7" t="n">
        <v>0</v>
      </c>
      <c r="BB69" s="7">
        <f>SUM(AD69:BA69)</f>
        <v/>
      </c>
    </row>
    <row r="70">
      <c r="A70" t="inlineStr">
        <is>
          <t>AMD-M1</t>
        </is>
      </c>
      <c r="B70" t="inlineStr">
        <is>
          <t>Forward Regular OSC</t>
        </is>
      </c>
      <c r="C70" s="5" t="n">
        <v>46092</v>
      </c>
      <c r="D70" s="6" t="n">
        <v>0</v>
      </c>
      <c r="E70" s="6" t="n">
        <v>0</v>
      </c>
      <c r="F70" s="6" t="n">
        <v>0</v>
      </c>
      <c r="G70" s="6" t="n">
        <v>0</v>
      </c>
      <c r="H70" s="6" t="n">
        <v>0</v>
      </c>
      <c r="I70" s="6" t="n">
        <v>0</v>
      </c>
      <c r="J70" s="6" t="n">
        <v>0</v>
      </c>
      <c r="K70" s="6" t="n">
        <v>0</v>
      </c>
      <c r="L70" s="6" t="n">
        <v>0</v>
      </c>
      <c r="M70" s="6" t="n">
        <v>0</v>
      </c>
      <c r="N70" s="6" t="n">
        <v>0</v>
      </c>
      <c r="O70" s="6" t="n">
        <v>0</v>
      </c>
      <c r="P70" s="6" t="n">
        <v>0</v>
      </c>
      <c r="Q70" s="6" t="n">
        <v>0</v>
      </c>
      <c r="R70" s="6" t="n">
        <v>0</v>
      </c>
      <c r="S70" s="6" t="n">
        <v>0</v>
      </c>
      <c r="T70" s="6" t="n">
        <v>0</v>
      </c>
      <c r="U70" s="6" t="n">
        <v>0</v>
      </c>
      <c r="V70" s="6" t="n">
        <v>0</v>
      </c>
      <c r="W70" s="6" t="n">
        <v>0</v>
      </c>
      <c r="X70" s="6" t="n">
        <v>0</v>
      </c>
      <c r="Y70" s="6" t="n">
        <v>0</v>
      </c>
      <c r="Z70" s="6" t="n">
        <v>0</v>
      </c>
      <c r="AA70" s="6" t="n">
        <v>0</v>
      </c>
      <c r="AB70" s="6">
        <f>SUM(D70:AA70)</f>
        <v/>
      </c>
      <c r="AC70" s="3" t="inlineStr"/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>
        <f>SUM(AD70:BA70)</f>
        <v/>
      </c>
    </row>
    <row r="71">
      <c r="A71" t="inlineStr">
        <is>
          <t>AMD-M1</t>
        </is>
      </c>
      <c r="B71" t="inlineStr">
        <is>
          <t>Forward Regular OSC</t>
        </is>
      </c>
      <c r="C71" s="5" t="n">
        <v>46093</v>
      </c>
      <c r="D71" s="6" t="n">
        <v>0</v>
      </c>
      <c r="E71" s="6" t="n">
        <v>0</v>
      </c>
      <c r="F71" s="6" t="n">
        <v>0</v>
      </c>
      <c r="G71" s="6" t="n">
        <v>0</v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0</v>
      </c>
      <c r="Z71" s="6" t="n">
        <v>0</v>
      </c>
      <c r="AA71" s="6" t="n">
        <v>0</v>
      </c>
      <c r="AB71" s="6">
        <f>SUM(D71:AA71)</f>
        <v/>
      </c>
      <c r="AC71" s="3" t="inlineStr"/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  <c r="AS71" s="7" t="n">
        <v>0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7" t="n">
        <v>0</v>
      </c>
      <c r="BB71" s="7">
        <f>SUM(AD71:BA71)</f>
        <v/>
      </c>
    </row>
    <row r="72">
      <c r="A72" t="inlineStr">
        <is>
          <t>AMD-M1</t>
        </is>
      </c>
      <c r="B72" t="inlineStr">
        <is>
          <t>Forward Regular OSC</t>
        </is>
      </c>
      <c r="C72" s="5" t="n">
        <v>46094</v>
      </c>
      <c r="D72" s="6" t="n">
        <v>0</v>
      </c>
      <c r="E72" s="6" t="n">
        <v>0</v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0</v>
      </c>
      <c r="K72" s="6" t="n">
        <v>0</v>
      </c>
      <c r="L72" s="6" t="n">
        <v>0</v>
      </c>
      <c r="M72" s="6" t="n">
        <v>0</v>
      </c>
      <c r="N72" s="6" t="n">
        <v>0</v>
      </c>
      <c r="O72" s="6" t="n">
        <v>0</v>
      </c>
      <c r="P72" s="6" t="n">
        <v>0</v>
      </c>
      <c r="Q72" s="6" t="n">
        <v>0</v>
      </c>
      <c r="R72" s="6" t="n">
        <v>0</v>
      </c>
      <c r="S72" s="6" t="n">
        <v>0</v>
      </c>
      <c r="T72" s="6" t="n">
        <v>0</v>
      </c>
      <c r="U72" s="6" t="n">
        <v>0</v>
      </c>
      <c r="V72" s="6" t="n">
        <v>0</v>
      </c>
      <c r="W72" s="6" t="n">
        <v>0</v>
      </c>
      <c r="X72" s="6" t="n">
        <v>0</v>
      </c>
      <c r="Y72" s="6" t="n">
        <v>0</v>
      </c>
      <c r="Z72" s="6" t="n">
        <v>0</v>
      </c>
      <c r="AA72" s="6" t="n">
        <v>0</v>
      </c>
      <c r="AB72" s="6">
        <f>SUM(D72:AA72)</f>
        <v/>
      </c>
      <c r="AC72" s="3" t="inlineStr"/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0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0</v>
      </c>
      <c r="AO72" s="7" t="n">
        <v>0</v>
      </c>
      <c r="AP72" s="7" t="n">
        <v>0</v>
      </c>
      <c r="AQ72" s="7" t="n">
        <v>0</v>
      </c>
      <c r="AR72" s="7" t="n">
        <v>0</v>
      </c>
      <c r="AS72" s="7" t="n">
        <v>0</v>
      </c>
      <c r="AT72" s="7" t="n">
        <v>0</v>
      </c>
      <c r="AU72" s="7" t="n">
        <v>0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0</v>
      </c>
      <c r="BA72" s="7" t="n">
        <v>0</v>
      </c>
      <c r="BB72" s="7">
        <f>SUM(AD72:BA72)</f>
        <v/>
      </c>
    </row>
    <row r="73">
      <c r="A73" t="inlineStr">
        <is>
          <t>AMD-M1</t>
        </is>
      </c>
      <c r="B73" t="inlineStr">
        <is>
          <t>Forward Regular OSC</t>
        </is>
      </c>
      <c r="C73" s="5" t="n">
        <v>46095</v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  <c r="S73" s="6" t="n">
        <v>0</v>
      </c>
      <c r="T73" s="6" t="n">
        <v>0</v>
      </c>
      <c r="U73" s="6" t="n">
        <v>0</v>
      </c>
      <c r="V73" s="6" t="n">
        <v>0</v>
      </c>
      <c r="W73" s="6" t="n">
        <v>0</v>
      </c>
      <c r="X73" s="6" t="n">
        <v>0</v>
      </c>
      <c r="Y73" s="6" t="n">
        <v>0</v>
      </c>
      <c r="Z73" s="6" t="n">
        <v>0</v>
      </c>
      <c r="AA73" s="6" t="n">
        <v>0</v>
      </c>
      <c r="AB73" s="6">
        <f>SUM(D73:AA73)</f>
        <v/>
      </c>
      <c r="AC73" s="3" t="inlineStr"/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7" t="n">
        <v>0</v>
      </c>
      <c r="BB73" s="7">
        <f>SUM(AD73:BA73)</f>
        <v/>
      </c>
    </row>
    <row r="74">
      <c r="A74" t="inlineStr">
        <is>
          <t>AMD-M1</t>
        </is>
      </c>
      <c r="B74" t="inlineStr">
        <is>
          <t>Forward Regular OSC</t>
        </is>
      </c>
      <c r="C74" s="5" t="n">
        <v>46096</v>
      </c>
      <c r="D74" s="6" t="n">
        <v>0</v>
      </c>
      <c r="E74" s="6" t="n">
        <v>0</v>
      </c>
      <c r="F74" s="6" t="n">
        <v>0</v>
      </c>
      <c r="G74" s="6" t="n">
        <v>0</v>
      </c>
      <c r="H74" s="6" t="n">
        <v>0</v>
      </c>
      <c r="I74" s="6" t="n">
        <v>0</v>
      </c>
      <c r="J74" s="6" t="n">
        <v>0</v>
      </c>
      <c r="K74" s="6" t="n">
        <v>0</v>
      </c>
      <c r="L74" s="6" t="n">
        <v>0</v>
      </c>
      <c r="M74" s="6" t="n">
        <v>0</v>
      </c>
      <c r="N74" s="6" t="n">
        <v>0</v>
      </c>
      <c r="O74" s="6" t="n">
        <v>0</v>
      </c>
      <c r="P74" s="6" t="n">
        <v>0</v>
      </c>
      <c r="Q74" s="6" t="n">
        <v>0</v>
      </c>
      <c r="R74" s="6" t="n">
        <v>0</v>
      </c>
      <c r="S74" s="6" t="n">
        <v>0</v>
      </c>
      <c r="T74" s="6" t="n">
        <v>0</v>
      </c>
      <c r="U74" s="6" t="n">
        <v>0</v>
      </c>
      <c r="V74" s="6" t="n">
        <v>0</v>
      </c>
      <c r="W74" s="6" t="n">
        <v>0</v>
      </c>
      <c r="X74" s="6" t="n">
        <v>0</v>
      </c>
      <c r="Y74" s="6" t="n">
        <v>0</v>
      </c>
      <c r="Z74" s="6" t="n">
        <v>0</v>
      </c>
      <c r="AA74" s="6" t="n">
        <v>0</v>
      </c>
      <c r="AB74" s="6">
        <f>SUM(D74:AA74)</f>
        <v/>
      </c>
      <c r="AC74" s="3" t="inlineStr"/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>
        <f>SUM(AD74:BA74)</f>
        <v/>
      </c>
    </row>
    <row r="75">
      <c r="A75" t="inlineStr">
        <is>
          <t>AMD-M1</t>
        </is>
      </c>
      <c r="B75" t="inlineStr">
        <is>
          <t>Forward Regular OSC</t>
        </is>
      </c>
      <c r="C75" s="5" t="n">
        <v>46097</v>
      </c>
      <c r="D75" s="6" t="n">
        <v>0</v>
      </c>
      <c r="E75" s="6" t="n">
        <v>0</v>
      </c>
      <c r="F75" s="6" t="n">
        <v>0</v>
      </c>
      <c r="G75" s="6" t="n">
        <v>0</v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  <c r="O75" s="6" t="n">
        <v>0</v>
      </c>
      <c r="P75" s="6" t="n">
        <v>0</v>
      </c>
      <c r="Q75" s="6" t="n">
        <v>0</v>
      </c>
      <c r="R75" s="6" t="n">
        <v>0</v>
      </c>
      <c r="S75" s="6" t="n">
        <v>0</v>
      </c>
      <c r="T75" s="6" t="n">
        <v>0</v>
      </c>
      <c r="U75" s="6" t="n">
        <v>0</v>
      </c>
      <c r="V75" s="6" t="n">
        <v>0</v>
      </c>
      <c r="W75" s="6" t="n">
        <v>0</v>
      </c>
      <c r="X75" s="6" t="n">
        <v>0</v>
      </c>
      <c r="Y75" s="6" t="n">
        <v>0</v>
      </c>
      <c r="Z75" s="6" t="n">
        <v>0</v>
      </c>
      <c r="AA75" s="6" t="n">
        <v>0</v>
      </c>
      <c r="AB75" s="6">
        <f>SUM(D75:AA75)</f>
        <v/>
      </c>
      <c r="AC75" s="3" t="inlineStr"/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7" t="n">
        <v>0</v>
      </c>
      <c r="AP75" s="7" t="n">
        <v>0</v>
      </c>
      <c r="AQ75" s="7" t="n">
        <v>0</v>
      </c>
      <c r="AR75" s="7" t="n">
        <v>0</v>
      </c>
      <c r="AS75" s="7" t="n">
        <v>0</v>
      </c>
      <c r="AT75" s="7" t="n">
        <v>0</v>
      </c>
      <c r="AU75" s="7" t="n">
        <v>0</v>
      </c>
      <c r="AV75" s="7" t="n">
        <v>0</v>
      </c>
      <c r="AW75" s="7" t="n">
        <v>0</v>
      </c>
      <c r="AX75" s="7" t="n">
        <v>0</v>
      </c>
      <c r="AY75" s="7" t="n">
        <v>0</v>
      </c>
      <c r="AZ75" s="7" t="n">
        <v>0</v>
      </c>
      <c r="BA75" s="7" t="n">
        <v>0</v>
      </c>
      <c r="BB75" s="7">
        <f>SUM(AD75:BA75)</f>
        <v/>
      </c>
    </row>
    <row r="76">
      <c r="A76" t="inlineStr">
        <is>
          <t>AMD-M2</t>
        </is>
      </c>
      <c r="B76" t="inlineStr">
        <is>
          <t>Forward Regular OSC</t>
        </is>
      </c>
      <c r="C76" s="5" t="n">
        <v>46089</v>
      </c>
      <c r="D76" s="6" t="n">
        <v>0</v>
      </c>
      <c r="E76" s="6" t="n">
        <v>0</v>
      </c>
      <c r="F76" s="6" t="n">
        <v>0</v>
      </c>
      <c r="G76" s="6" t="n">
        <v>0</v>
      </c>
      <c r="H76" s="6" t="n">
        <v>0</v>
      </c>
      <c r="I76" s="6" t="n">
        <v>0</v>
      </c>
      <c r="J76" s="6" t="n">
        <v>0</v>
      </c>
      <c r="K76" s="6" t="n">
        <v>0</v>
      </c>
      <c r="L76" s="6" t="n">
        <v>0</v>
      </c>
      <c r="M76" s="6" t="n">
        <v>0</v>
      </c>
      <c r="N76" s="6" t="n">
        <v>0</v>
      </c>
      <c r="O76" s="6" t="n">
        <v>0</v>
      </c>
      <c r="P76" s="6" t="n">
        <v>0</v>
      </c>
      <c r="Q76" s="6" t="n">
        <v>0</v>
      </c>
      <c r="R76" s="6" t="n">
        <v>0</v>
      </c>
      <c r="S76" s="6" t="n">
        <v>0</v>
      </c>
      <c r="T76" s="6" t="n">
        <v>0</v>
      </c>
      <c r="U76" s="6" t="n">
        <v>0</v>
      </c>
      <c r="V76" s="6" t="n">
        <v>0</v>
      </c>
      <c r="W76" s="6" t="n">
        <v>0</v>
      </c>
      <c r="X76" s="6" t="n">
        <v>0</v>
      </c>
      <c r="Y76" s="6" t="n">
        <v>0</v>
      </c>
      <c r="Z76" s="6" t="n">
        <v>0</v>
      </c>
      <c r="AA76" s="6" t="n">
        <v>0</v>
      </c>
      <c r="AB76" s="6">
        <f>SUM(D76:AA76)</f>
        <v/>
      </c>
      <c r="AC76" s="3" t="inlineStr"/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0</v>
      </c>
      <c r="AP76" s="7" t="n">
        <v>0</v>
      </c>
      <c r="AQ76" s="7" t="n">
        <v>0</v>
      </c>
      <c r="AR76" s="7" t="n">
        <v>0</v>
      </c>
      <c r="AS76" s="7" t="n">
        <v>0</v>
      </c>
      <c r="AT76" s="7" t="n">
        <v>0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0</v>
      </c>
      <c r="BA76" s="7" t="n">
        <v>0</v>
      </c>
      <c r="BB76" s="7">
        <f>SUM(AD76:BA76)</f>
        <v/>
      </c>
    </row>
    <row r="77">
      <c r="A77" t="inlineStr">
        <is>
          <t>AMD-M2</t>
        </is>
      </c>
      <c r="B77" t="inlineStr">
        <is>
          <t>Forward Regular OSC</t>
        </is>
      </c>
      <c r="C77" s="5" t="n">
        <v>46090</v>
      </c>
      <c r="D77" s="6" t="n">
        <v>0</v>
      </c>
      <c r="E77" s="6" t="n">
        <v>0</v>
      </c>
      <c r="F77" s="6" t="n">
        <v>0</v>
      </c>
      <c r="G77" s="6" t="n">
        <v>0</v>
      </c>
      <c r="H77" s="6" t="n">
        <v>0</v>
      </c>
      <c r="I77" s="6" t="n">
        <v>0</v>
      </c>
      <c r="J77" s="6" t="n">
        <v>0</v>
      </c>
      <c r="K77" s="6" t="n">
        <v>0</v>
      </c>
      <c r="L77" s="6" t="n">
        <v>0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</v>
      </c>
      <c r="R77" s="6" t="n">
        <v>0</v>
      </c>
      <c r="S77" s="6" t="n">
        <v>0</v>
      </c>
      <c r="T77" s="6" t="n">
        <v>0</v>
      </c>
      <c r="U77" s="6" t="n">
        <v>0</v>
      </c>
      <c r="V77" s="6" t="n">
        <v>0</v>
      </c>
      <c r="W77" s="6" t="n">
        <v>0</v>
      </c>
      <c r="X77" s="6" t="n">
        <v>0</v>
      </c>
      <c r="Y77" s="6" t="n">
        <v>0</v>
      </c>
      <c r="Z77" s="6" t="n">
        <v>0</v>
      </c>
      <c r="AA77" s="6" t="n">
        <v>0</v>
      </c>
      <c r="AB77" s="6">
        <f>SUM(D77:AA77)</f>
        <v/>
      </c>
      <c r="AC77" s="3" t="inlineStr"/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0</v>
      </c>
      <c r="AP77" s="7" t="n">
        <v>0</v>
      </c>
      <c r="AQ77" s="7" t="n">
        <v>0</v>
      </c>
      <c r="AR77" s="7" t="n">
        <v>0</v>
      </c>
      <c r="AS77" s="7" t="n">
        <v>0</v>
      </c>
      <c r="AT77" s="7" t="n">
        <v>0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0</v>
      </c>
      <c r="BA77" s="7" t="n">
        <v>0</v>
      </c>
      <c r="BB77" s="7">
        <f>SUM(AD77:BA77)</f>
        <v/>
      </c>
    </row>
    <row r="78">
      <c r="A78" t="inlineStr">
        <is>
          <t>AMD-M2</t>
        </is>
      </c>
      <c r="B78" t="inlineStr">
        <is>
          <t>Forward Regular OSC</t>
        </is>
      </c>
      <c r="C78" s="5" t="n">
        <v>46091</v>
      </c>
      <c r="D78" s="6" t="n">
        <v>0</v>
      </c>
      <c r="E78" s="6" t="n">
        <v>0</v>
      </c>
      <c r="F78" s="6" t="n">
        <v>0</v>
      </c>
      <c r="G78" s="6" t="n">
        <v>0</v>
      </c>
      <c r="H78" s="6" t="n">
        <v>0</v>
      </c>
      <c r="I78" s="6" t="n">
        <v>0</v>
      </c>
      <c r="J78" s="6" t="n">
        <v>0</v>
      </c>
      <c r="K78" s="6" t="n">
        <v>0</v>
      </c>
      <c r="L78" s="6" t="n">
        <v>0</v>
      </c>
      <c r="M78" s="6" t="n">
        <v>0</v>
      </c>
      <c r="N78" s="6" t="n">
        <v>0</v>
      </c>
      <c r="O78" s="6" t="n">
        <v>0</v>
      </c>
      <c r="P78" s="6" t="n">
        <v>0</v>
      </c>
      <c r="Q78" s="6" t="n">
        <v>0</v>
      </c>
      <c r="R78" s="6" t="n">
        <v>0</v>
      </c>
      <c r="S78" s="6" t="n">
        <v>0</v>
      </c>
      <c r="T78" s="6" t="n">
        <v>0</v>
      </c>
      <c r="U78" s="6" t="n">
        <v>0</v>
      </c>
      <c r="V78" s="6" t="n">
        <v>0</v>
      </c>
      <c r="W78" s="6" t="n">
        <v>0</v>
      </c>
      <c r="X78" s="6" t="n">
        <v>0</v>
      </c>
      <c r="Y78" s="6" t="n">
        <v>0</v>
      </c>
      <c r="Z78" s="6" t="n">
        <v>0</v>
      </c>
      <c r="AA78" s="6" t="n">
        <v>0</v>
      </c>
      <c r="AB78" s="6">
        <f>SUM(D78:AA78)</f>
        <v/>
      </c>
      <c r="AC78" s="3" t="inlineStr"/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0</v>
      </c>
      <c r="AP78" s="7" t="n">
        <v>0</v>
      </c>
      <c r="AQ78" s="7" t="n">
        <v>0</v>
      </c>
      <c r="AR78" s="7" t="n">
        <v>0</v>
      </c>
      <c r="AS78" s="7" t="n">
        <v>0</v>
      </c>
      <c r="AT78" s="7" t="n">
        <v>0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0</v>
      </c>
      <c r="BA78" s="7" t="n">
        <v>0</v>
      </c>
      <c r="BB78" s="7">
        <f>SUM(AD78:BA78)</f>
        <v/>
      </c>
    </row>
    <row r="79">
      <c r="A79" t="inlineStr">
        <is>
          <t>AMD-M2</t>
        </is>
      </c>
      <c r="B79" t="inlineStr">
        <is>
          <t>Forward Regular OSC</t>
        </is>
      </c>
      <c r="C79" s="5" t="n">
        <v>46092</v>
      </c>
      <c r="D79" s="6" t="n">
        <v>0</v>
      </c>
      <c r="E79" s="6" t="n">
        <v>0</v>
      </c>
      <c r="F79" s="6" t="n">
        <v>0</v>
      </c>
      <c r="G79" s="6" t="n">
        <v>0</v>
      </c>
      <c r="H79" s="6" t="n">
        <v>0</v>
      </c>
      <c r="I79" s="6" t="n">
        <v>0</v>
      </c>
      <c r="J79" s="6" t="n">
        <v>0</v>
      </c>
      <c r="K79" s="6" t="n">
        <v>0</v>
      </c>
      <c r="L79" s="6" t="n">
        <v>0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0</v>
      </c>
      <c r="T79" s="6" t="n">
        <v>0</v>
      </c>
      <c r="U79" s="6" t="n">
        <v>0</v>
      </c>
      <c r="V79" s="6" t="n">
        <v>0</v>
      </c>
      <c r="W79" s="6" t="n">
        <v>0</v>
      </c>
      <c r="X79" s="6" t="n">
        <v>0</v>
      </c>
      <c r="Y79" s="6" t="n">
        <v>0</v>
      </c>
      <c r="Z79" s="6" t="n">
        <v>0</v>
      </c>
      <c r="AA79" s="6" t="n">
        <v>0</v>
      </c>
      <c r="AB79" s="6">
        <f>SUM(D79:AA79)</f>
        <v/>
      </c>
      <c r="AC79" s="3" t="inlineStr"/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0</v>
      </c>
      <c r="AP79" s="7" t="n">
        <v>0</v>
      </c>
      <c r="AQ79" s="7" t="n">
        <v>0</v>
      </c>
      <c r="AR79" s="7" t="n">
        <v>0</v>
      </c>
      <c r="AS79" s="7" t="n">
        <v>0</v>
      </c>
      <c r="AT79" s="7" t="n">
        <v>0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0</v>
      </c>
      <c r="BA79" s="7" t="n">
        <v>0</v>
      </c>
      <c r="BB79" s="7">
        <f>SUM(AD79:BA79)</f>
        <v/>
      </c>
    </row>
    <row r="80">
      <c r="A80" t="inlineStr">
        <is>
          <t>AMD-M2</t>
        </is>
      </c>
      <c r="B80" t="inlineStr">
        <is>
          <t>Forward Regular OSC</t>
        </is>
      </c>
      <c r="C80" s="5" t="n">
        <v>46093</v>
      </c>
      <c r="D80" s="6" t="n">
        <v>0</v>
      </c>
      <c r="E80" s="6" t="n">
        <v>0</v>
      </c>
      <c r="F80" s="6" t="n">
        <v>0</v>
      </c>
      <c r="G80" s="6" t="n">
        <v>0</v>
      </c>
      <c r="H80" s="6" t="n">
        <v>0</v>
      </c>
      <c r="I80" s="6" t="n">
        <v>0</v>
      </c>
      <c r="J80" s="6" t="n">
        <v>0</v>
      </c>
      <c r="K80" s="6" t="n">
        <v>0</v>
      </c>
      <c r="L80" s="6" t="n">
        <v>0</v>
      </c>
      <c r="M80" s="6" t="n">
        <v>0</v>
      </c>
      <c r="N80" s="6" t="n">
        <v>0</v>
      </c>
      <c r="O80" s="6" t="n">
        <v>0</v>
      </c>
      <c r="P80" s="6" t="n">
        <v>0</v>
      </c>
      <c r="Q80" s="6" t="n">
        <v>0</v>
      </c>
      <c r="R80" s="6" t="n">
        <v>0</v>
      </c>
      <c r="S80" s="6" t="n">
        <v>0</v>
      </c>
      <c r="T80" s="6" t="n">
        <v>0</v>
      </c>
      <c r="U80" s="6" t="n">
        <v>0</v>
      </c>
      <c r="V80" s="6" t="n">
        <v>0</v>
      </c>
      <c r="W80" s="6" t="n">
        <v>0</v>
      </c>
      <c r="X80" s="6" t="n">
        <v>0</v>
      </c>
      <c r="Y80" s="6" t="n">
        <v>0</v>
      </c>
      <c r="Z80" s="6" t="n">
        <v>0</v>
      </c>
      <c r="AA80" s="6" t="n">
        <v>0</v>
      </c>
      <c r="AB80" s="6">
        <f>SUM(D80:AA80)</f>
        <v/>
      </c>
      <c r="AC80" s="3" t="inlineStr"/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0</v>
      </c>
      <c r="AP80" s="7" t="n">
        <v>0</v>
      </c>
      <c r="AQ80" s="7" t="n">
        <v>0</v>
      </c>
      <c r="AR80" s="7" t="n">
        <v>0</v>
      </c>
      <c r="AS80" s="7" t="n">
        <v>0</v>
      </c>
      <c r="AT80" s="7" t="n">
        <v>0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0</v>
      </c>
      <c r="BA80" s="7" t="n">
        <v>0</v>
      </c>
      <c r="BB80" s="7">
        <f>SUM(AD80:BA80)</f>
        <v/>
      </c>
    </row>
    <row r="81">
      <c r="A81" t="inlineStr">
        <is>
          <t>AMD-M2</t>
        </is>
      </c>
      <c r="B81" t="inlineStr">
        <is>
          <t>Forward Regular OSC</t>
        </is>
      </c>
      <c r="C81" s="5" t="n">
        <v>46094</v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  <c r="R81" s="6" t="n">
        <v>0</v>
      </c>
      <c r="S81" s="6" t="n">
        <v>0</v>
      </c>
      <c r="T81" s="6" t="n">
        <v>0</v>
      </c>
      <c r="U81" s="6" t="n">
        <v>0</v>
      </c>
      <c r="V81" s="6" t="n">
        <v>0</v>
      </c>
      <c r="W81" s="6" t="n">
        <v>0</v>
      </c>
      <c r="X81" s="6" t="n">
        <v>0</v>
      </c>
      <c r="Y81" s="6" t="n">
        <v>0</v>
      </c>
      <c r="Z81" s="6" t="n">
        <v>0</v>
      </c>
      <c r="AA81" s="6" t="n">
        <v>0</v>
      </c>
      <c r="AB81" s="6">
        <f>SUM(D81:AA81)</f>
        <v/>
      </c>
      <c r="AC81" s="3" t="inlineStr"/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0</v>
      </c>
      <c r="AP81" s="7" t="n">
        <v>0</v>
      </c>
      <c r="AQ81" s="7" t="n">
        <v>0</v>
      </c>
      <c r="AR81" s="7" t="n">
        <v>0</v>
      </c>
      <c r="AS81" s="7" t="n">
        <v>0</v>
      </c>
      <c r="AT81" s="7" t="n">
        <v>0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0</v>
      </c>
      <c r="BA81" s="7" t="n">
        <v>0</v>
      </c>
      <c r="BB81" s="7">
        <f>SUM(AD81:BA81)</f>
        <v/>
      </c>
    </row>
    <row r="82">
      <c r="A82" t="inlineStr">
        <is>
          <t>AMD-M2</t>
        </is>
      </c>
      <c r="B82" t="inlineStr">
        <is>
          <t>Forward Regular OSC</t>
        </is>
      </c>
      <c r="C82" s="5" t="n">
        <v>46095</v>
      </c>
      <c r="D82" s="6" t="n">
        <v>0</v>
      </c>
      <c r="E82" s="6" t="n">
        <v>0</v>
      </c>
      <c r="F82" s="6" t="n">
        <v>0</v>
      </c>
      <c r="G82" s="6" t="n">
        <v>0</v>
      </c>
      <c r="H82" s="6" t="n">
        <v>0</v>
      </c>
      <c r="I82" s="6" t="n">
        <v>0</v>
      </c>
      <c r="J82" s="6" t="n">
        <v>0</v>
      </c>
      <c r="K82" s="6" t="n">
        <v>0</v>
      </c>
      <c r="L82" s="6" t="n">
        <v>0</v>
      </c>
      <c r="M82" s="6" t="n">
        <v>0</v>
      </c>
      <c r="N82" s="6" t="n">
        <v>0</v>
      </c>
      <c r="O82" s="6" t="n">
        <v>0</v>
      </c>
      <c r="P82" s="6" t="n">
        <v>0</v>
      </c>
      <c r="Q82" s="6" t="n">
        <v>0</v>
      </c>
      <c r="R82" s="6" t="n">
        <v>0</v>
      </c>
      <c r="S82" s="6" t="n">
        <v>0</v>
      </c>
      <c r="T82" s="6" t="n">
        <v>0</v>
      </c>
      <c r="U82" s="6" t="n">
        <v>0</v>
      </c>
      <c r="V82" s="6" t="n">
        <v>0</v>
      </c>
      <c r="W82" s="6" t="n">
        <v>0</v>
      </c>
      <c r="X82" s="6" t="n">
        <v>0</v>
      </c>
      <c r="Y82" s="6" t="n">
        <v>0</v>
      </c>
      <c r="Z82" s="6" t="n">
        <v>0</v>
      </c>
      <c r="AA82" s="6" t="n">
        <v>0</v>
      </c>
      <c r="AB82" s="6">
        <f>SUM(D82:AA82)</f>
        <v/>
      </c>
      <c r="AC82" s="3" t="inlineStr"/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0</v>
      </c>
      <c r="AP82" s="7" t="n">
        <v>0</v>
      </c>
      <c r="AQ82" s="7" t="n">
        <v>0</v>
      </c>
      <c r="AR82" s="7" t="n">
        <v>0</v>
      </c>
      <c r="AS82" s="7" t="n">
        <v>0</v>
      </c>
      <c r="AT82" s="7" t="n">
        <v>0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7" t="n">
        <v>0</v>
      </c>
      <c r="BB82" s="7">
        <f>SUM(AD82:BA82)</f>
        <v/>
      </c>
    </row>
    <row r="83">
      <c r="A83" t="inlineStr">
        <is>
          <t>AMD-M2</t>
        </is>
      </c>
      <c r="B83" t="inlineStr">
        <is>
          <t>Forward Regular OSC</t>
        </is>
      </c>
      <c r="C83" s="5" t="n">
        <v>46096</v>
      </c>
      <c r="D83" s="6" t="n">
        <v>0</v>
      </c>
      <c r="E83" s="6" t="n">
        <v>0</v>
      </c>
      <c r="F83" s="6" t="n">
        <v>0</v>
      </c>
      <c r="G83" s="6" t="n">
        <v>0</v>
      </c>
      <c r="H83" s="6" t="n">
        <v>0</v>
      </c>
      <c r="I83" s="6" t="n">
        <v>0</v>
      </c>
      <c r="J83" s="6" t="n">
        <v>0</v>
      </c>
      <c r="K83" s="6" t="n">
        <v>0</v>
      </c>
      <c r="L83" s="6" t="n">
        <v>0</v>
      </c>
      <c r="M83" s="6" t="n">
        <v>0</v>
      </c>
      <c r="N83" s="6" t="n">
        <v>0</v>
      </c>
      <c r="O83" s="6" t="n">
        <v>0</v>
      </c>
      <c r="P83" s="6" t="n">
        <v>0</v>
      </c>
      <c r="Q83" s="6" t="n">
        <v>0</v>
      </c>
      <c r="R83" s="6" t="n">
        <v>0</v>
      </c>
      <c r="S83" s="6" t="n">
        <v>0</v>
      </c>
      <c r="T83" s="6" t="n">
        <v>0</v>
      </c>
      <c r="U83" s="6" t="n">
        <v>0</v>
      </c>
      <c r="V83" s="6" t="n">
        <v>0</v>
      </c>
      <c r="W83" s="6" t="n">
        <v>0</v>
      </c>
      <c r="X83" s="6" t="n">
        <v>0</v>
      </c>
      <c r="Y83" s="6" t="n">
        <v>0</v>
      </c>
      <c r="Z83" s="6" t="n">
        <v>0</v>
      </c>
      <c r="AA83" s="6" t="n">
        <v>0</v>
      </c>
      <c r="AB83" s="6">
        <f>SUM(D83:AA83)</f>
        <v/>
      </c>
      <c r="AC83" s="3" t="inlineStr"/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0</v>
      </c>
      <c r="AP83" s="7" t="n">
        <v>0</v>
      </c>
      <c r="AQ83" s="7" t="n">
        <v>0</v>
      </c>
      <c r="AR83" s="7" t="n">
        <v>0</v>
      </c>
      <c r="AS83" s="7" t="n">
        <v>0</v>
      </c>
      <c r="AT83" s="7" t="n">
        <v>0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0</v>
      </c>
      <c r="BA83" s="7" t="n">
        <v>0</v>
      </c>
      <c r="BB83" s="7">
        <f>SUM(AD83:BA83)</f>
        <v/>
      </c>
    </row>
    <row r="84">
      <c r="A84" t="inlineStr">
        <is>
          <t>AMD-M2</t>
        </is>
      </c>
      <c r="B84" t="inlineStr">
        <is>
          <t>Forward Regular OSC</t>
        </is>
      </c>
      <c r="C84" s="5" t="n">
        <v>46097</v>
      </c>
      <c r="D84" s="6" t="n">
        <v>0</v>
      </c>
      <c r="E84" s="6" t="n">
        <v>0</v>
      </c>
      <c r="F84" s="6" t="n">
        <v>0</v>
      </c>
      <c r="G84" s="6" t="n">
        <v>0</v>
      </c>
      <c r="H84" s="6" t="n">
        <v>0</v>
      </c>
      <c r="I84" s="6" t="n">
        <v>0</v>
      </c>
      <c r="J84" s="6" t="n">
        <v>0</v>
      </c>
      <c r="K84" s="6" t="n">
        <v>0</v>
      </c>
      <c r="L84" s="6" t="n">
        <v>0</v>
      </c>
      <c r="M84" s="6" t="n">
        <v>0</v>
      </c>
      <c r="N84" s="6" t="n">
        <v>0</v>
      </c>
      <c r="O84" s="6" t="n">
        <v>0</v>
      </c>
      <c r="P84" s="6" t="n">
        <v>0</v>
      </c>
      <c r="Q84" s="6" t="n">
        <v>0</v>
      </c>
      <c r="R84" s="6" t="n">
        <v>0</v>
      </c>
      <c r="S84" s="6" t="n">
        <v>0</v>
      </c>
      <c r="T84" s="6" t="n">
        <v>0</v>
      </c>
      <c r="U84" s="6" t="n">
        <v>0</v>
      </c>
      <c r="V84" s="6" t="n">
        <v>0</v>
      </c>
      <c r="W84" s="6" t="n">
        <v>0</v>
      </c>
      <c r="X84" s="6" t="n">
        <v>0</v>
      </c>
      <c r="Y84" s="6" t="n">
        <v>0</v>
      </c>
      <c r="Z84" s="6" t="n">
        <v>0</v>
      </c>
      <c r="AA84" s="6" t="n">
        <v>0</v>
      </c>
      <c r="AB84" s="6">
        <f>SUM(D84:AA84)</f>
        <v/>
      </c>
      <c r="AC84" s="3" t="inlineStr"/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0</v>
      </c>
      <c r="AP84" s="7" t="n">
        <v>0</v>
      </c>
      <c r="AQ84" s="7" t="n">
        <v>0</v>
      </c>
      <c r="AR84" s="7" t="n">
        <v>0</v>
      </c>
      <c r="AS84" s="7" t="n">
        <v>0</v>
      </c>
      <c r="AT84" s="7" t="n">
        <v>0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0</v>
      </c>
      <c r="BA84" s="7" t="n">
        <v>0</v>
      </c>
      <c r="BB84" s="7">
        <f>SUM(AD84:BA84)</f>
        <v/>
      </c>
    </row>
    <row r="85">
      <c r="A85" t="inlineStr">
        <is>
          <t>AMD-MU-01</t>
        </is>
      </c>
      <c r="B85" t="inlineStr">
        <is>
          <t>Forward Regular OSC</t>
        </is>
      </c>
      <c r="C85" s="5" t="n">
        <v>46091</v>
      </c>
      <c r="D85" s="6" t="n">
        <v>0</v>
      </c>
      <c r="E85" s="6" t="n">
        <v>0</v>
      </c>
      <c r="F85" s="6" t="n">
        <v>0</v>
      </c>
      <c r="G85" s="6" t="n">
        <v>0</v>
      </c>
      <c r="H85" s="6" t="n">
        <v>0</v>
      </c>
      <c r="I85" s="6" t="n">
        <v>0</v>
      </c>
      <c r="J85" s="6" t="n">
        <v>0</v>
      </c>
      <c r="K85" s="6" t="n">
        <v>0</v>
      </c>
      <c r="L85" s="6" t="n">
        <v>0</v>
      </c>
      <c r="M85" s="6" t="n">
        <v>0</v>
      </c>
      <c r="N85" s="6" t="n">
        <v>0</v>
      </c>
      <c r="O85" s="6" t="n">
        <v>0</v>
      </c>
      <c r="P85" s="6" t="n">
        <v>0</v>
      </c>
      <c r="Q85" s="6" t="n">
        <v>0</v>
      </c>
      <c r="R85" s="6" t="n">
        <v>0</v>
      </c>
      <c r="S85" s="6" t="n">
        <v>0</v>
      </c>
      <c r="T85" s="6" t="n">
        <v>0</v>
      </c>
      <c r="U85" s="6" t="n">
        <v>0</v>
      </c>
      <c r="V85" s="6" t="n">
        <v>0</v>
      </c>
      <c r="W85" s="6" t="n">
        <v>0</v>
      </c>
      <c r="X85" s="6" t="n">
        <v>0</v>
      </c>
      <c r="Y85" s="6" t="n">
        <v>0</v>
      </c>
      <c r="Z85" s="6" t="n">
        <v>0</v>
      </c>
      <c r="AA85" s="6" t="n">
        <v>0</v>
      </c>
      <c r="AB85" s="6">
        <f>SUM(D85:AA85)</f>
        <v/>
      </c>
      <c r="AC85" s="3" t="inlineStr"/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0</v>
      </c>
      <c r="AP85" s="7" t="n">
        <v>0</v>
      </c>
      <c r="AQ85" s="7" t="n">
        <v>0</v>
      </c>
      <c r="AR85" s="7" t="n">
        <v>0</v>
      </c>
      <c r="AS85" s="7" t="n">
        <v>0</v>
      </c>
      <c r="AT85" s="7" t="n">
        <v>0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0</v>
      </c>
      <c r="BA85" s="7" t="n">
        <v>0</v>
      </c>
      <c r="BB85" s="7">
        <f>SUM(AD85:BA85)</f>
        <v/>
      </c>
    </row>
    <row r="86">
      <c r="A86" t="inlineStr">
        <is>
          <t>AMD-RTS-RCLS-1302-SSC</t>
        </is>
      </c>
      <c r="B86" t="inlineStr">
        <is>
          <t>Rev OSC</t>
        </is>
      </c>
      <c r="C86" s="5" t="n">
        <v>46089</v>
      </c>
      <c r="D86" s="6">
        <f>Summary!D86*0.5</f>
        <v/>
      </c>
      <c r="E86" s="6">
        <f>Summary!E86*0.5</f>
        <v/>
      </c>
      <c r="F86" s="6">
        <f>Summary!F86*0.5</f>
        <v/>
      </c>
      <c r="G86" s="6">
        <f>Summary!G86*0.5</f>
        <v/>
      </c>
      <c r="H86" s="6">
        <f>Summary!H86*0.5</f>
        <v/>
      </c>
      <c r="I86" s="6">
        <f>Summary!I86*0.5</f>
        <v/>
      </c>
      <c r="J86" s="6">
        <f>Summary!J86*0.5</f>
        <v/>
      </c>
      <c r="K86" s="6">
        <f>Summary!K86*0.5</f>
        <v/>
      </c>
      <c r="L86" s="6">
        <f>Summary!L86*0.5</f>
        <v/>
      </c>
      <c r="M86" s="6">
        <f>Summary!M86*0.5</f>
        <v/>
      </c>
      <c r="N86" s="6">
        <f>Summary!N86*0.5</f>
        <v/>
      </c>
      <c r="O86" s="6">
        <f>Summary!O86*0.5</f>
        <v/>
      </c>
      <c r="P86" s="6">
        <f>Summary!P86*0.5</f>
        <v/>
      </c>
      <c r="Q86" s="6">
        <f>Summary!Q86*0.5</f>
        <v/>
      </c>
      <c r="R86" s="6">
        <f>Summary!R86*0.5</f>
        <v/>
      </c>
      <c r="S86" s="6">
        <f>Summary!S86*0.5</f>
        <v/>
      </c>
      <c r="T86" s="6">
        <f>Summary!T86*0.5</f>
        <v/>
      </c>
      <c r="U86" s="6">
        <f>Summary!U86*0.5</f>
        <v/>
      </c>
      <c r="V86" s="6">
        <f>Summary!V86*0.5</f>
        <v/>
      </c>
      <c r="W86" s="6">
        <f>Summary!W86*0.5</f>
        <v/>
      </c>
      <c r="X86" s="6">
        <f>Summary!X86*0.5</f>
        <v/>
      </c>
      <c r="Y86" s="6">
        <f>Summary!Y86*0.5</f>
        <v/>
      </c>
      <c r="Z86" s="6">
        <f>Summary!Z86*0.5</f>
        <v/>
      </c>
      <c r="AA86" s="6">
        <f>Summary!AA86*0.5</f>
        <v/>
      </c>
      <c r="AB86" s="6">
        <f>SUM(D86:AA86)</f>
        <v/>
      </c>
      <c r="AC86" s="3" t="inlineStr"/>
      <c r="AD86" s="7">
        <f>E86*0.0010111333+D86*0.0002022267</f>
        <v/>
      </c>
      <c r="AE86" s="7">
        <f>F86*0.0010111333+E86*0.0002022267</f>
        <v/>
      </c>
      <c r="AF86" s="7">
        <f>G86*0.0010111333+F86*0.0002022267</f>
        <v/>
      </c>
      <c r="AG86" s="7">
        <f>H86*0.0010111333+G86*0.0002022267</f>
        <v/>
      </c>
      <c r="AH86" s="7">
        <f>I86*0.0010111333+H86*0.0002022267</f>
        <v/>
      </c>
      <c r="AI86" s="7">
        <f>J86*0.0010111333+I86*0.0002022267</f>
        <v/>
      </c>
      <c r="AJ86" s="7">
        <f>K86*0.0010111333+J86*0.0002022267</f>
        <v/>
      </c>
      <c r="AK86" s="7">
        <f>L86*0.0010111333+K86*0.0002022267</f>
        <v/>
      </c>
      <c r="AL86" s="7">
        <f>M86*0.0010111333+L86*0.0002022267</f>
        <v/>
      </c>
      <c r="AM86" s="7">
        <f>N86*0.0010111333+M86*0.0002022267</f>
        <v/>
      </c>
      <c r="AN86" s="7">
        <f>O86*0.0010111333+N86*0.0002022267</f>
        <v/>
      </c>
      <c r="AO86" s="7">
        <f>P86*0.0010111333+O86*0.0002022267</f>
        <v/>
      </c>
      <c r="AP86" s="7">
        <f>Q86*0.0010111333+P86*0.0002022267</f>
        <v/>
      </c>
      <c r="AQ86" s="7">
        <f>R86*0.0010111333+Q86*0.0002022267</f>
        <v/>
      </c>
      <c r="AR86" s="7">
        <f>S86*0.0010111333+R86*0.0002022267</f>
        <v/>
      </c>
      <c r="AS86" s="7">
        <f>T86*0.0010111333+S86*0.0002022267</f>
        <v/>
      </c>
      <c r="AT86" s="7">
        <f>U86*0.0010111333+T86*0.0002022267</f>
        <v/>
      </c>
      <c r="AU86" s="7">
        <f>V86*0.0010111333+U86*0.0002022267</f>
        <v/>
      </c>
      <c r="AV86" s="7">
        <f>W86*0.0010111333+V86*0.0002022267</f>
        <v/>
      </c>
      <c r="AW86" s="7">
        <f>X86*0.0010111333+W86*0.0002022267</f>
        <v/>
      </c>
      <c r="AX86" s="7">
        <f>Y86*0.0010111333+X86*0.0002022267</f>
        <v/>
      </c>
      <c r="AY86" s="7">
        <f>Z86*0.0010111333+Y86*0.0002022267</f>
        <v/>
      </c>
      <c r="AZ86" s="7">
        <f>AA86*0.0010111333+Z86*0.0002022267</f>
        <v/>
      </c>
      <c r="BA86" s="7">
        <f>D86*0.0010111333+AA86*0.0002022267</f>
        <v/>
      </c>
      <c r="BB86" s="7">
        <f>SUM(AD86:BA86)</f>
        <v/>
      </c>
    </row>
    <row r="87">
      <c r="A87" t="inlineStr">
        <is>
          <t>AMD-RTS-RCLS-1302-SSC</t>
        </is>
      </c>
      <c r="B87" t="inlineStr">
        <is>
          <t>Rev OSC</t>
        </is>
      </c>
      <c r="C87" s="5" t="n">
        <v>46090</v>
      </c>
      <c r="D87" s="6">
        <f>Summary!D87*0.5</f>
        <v/>
      </c>
      <c r="E87" s="6">
        <f>Summary!E87*0.5</f>
        <v/>
      </c>
      <c r="F87" s="6">
        <f>Summary!F87*0.5</f>
        <v/>
      </c>
      <c r="G87" s="6">
        <f>Summary!G87*0.5</f>
        <v/>
      </c>
      <c r="H87" s="6">
        <f>Summary!H87*0.5</f>
        <v/>
      </c>
      <c r="I87" s="6">
        <f>Summary!I87*0.5</f>
        <v/>
      </c>
      <c r="J87" s="6">
        <f>Summary!J87*0.5</f>
        <v/>
      </c>
      <c r="K87" s="6">
        <f>Summary!K87*0.5</f>
        <v/>
      </c>
      <c r="L87" s="6">
        <f>Summary!L87*0.5</f>
        <v/>
      </c>
      <c r="M87" s="6">
        <f>Summary!M87*0.5</f>
        <v/>
      </c>
      <c r="N87" s="6">
        <f>Summary!N87*0.5</f>
        <v/>
      </c>
      <c r="O87" s="6">
        <f>Summary!O87*0.5</f>
        <v/>
      </c>
      <c r="P87" s="6">
        <f>Summary!P87*0.5</f>
        <v/>
      </c>
      <c r="Q87" s="6">
        <f>Summary!Q87*0.5</f>
        <v/>
      </c>
      <c r="R87" s="6">
        <f>Summary!R87*0.5</f>
        <v/>
      </c>
      <c r="S87" s="6">
        <f>Summary!S87*0.5</f>
        <v/>
      </c>
      <c r="T87" s="6">
        <f>Summary!T87*0.5</f>
        <v/>
      </c>
      <c r="U87" s="6">
        <f>Summary!U87*0.5</f>
        <v/>
      </c>
      <c r="V87" s="6">
        <f>Summary!V87*0.5</f>
        <v/>
      </c>
      <c r="W87" s="6">
        <f>Summary!W87*0.5</f>
        <v/>
      </c>
      <c r="X87" s="6">
        <f>Summary!X87*0.5</f>
        <v/>
      </c>
      <c r="Y87" s="6">
        <f>Summary!Y87*0.5</f>
        <v/>
      </c>
      <c r="Z87" s="6">
        <f>Summary!Z87*0.5</f>
        <v/>
      </c>
      <c r="AA87" s="6">
        <f>Summary!AA87*0.5</f>
        <v/>
      </c>
      <c r="AB87" s="6">
        <f>SUM(D87:AA87)</f>
        <v/>
      </c>
      <c r="AC87" s="3" t="inlineStr"/>
      <c r="AD87" s="7">
        <f>E87*0.0010111333+D87*0.0002022267</f>
        <v/>
      </c>
      <c r="AE87" s="7">
        <f>F87*0.0010111333+E87*0.0002022267</f>
        <v/>
      </c>
      <c r="AF87" s="7">
        <f>G87*0.0010111333+F87*0.0002022267</f>
        <v/>
      </c>
      <c r="AG87" s="7">
        <f>H87*0.0010111333+G87*0.0002022267</f>
        <v/>
      </c>
      <c r="AH87" s="7">
        <f>I87*0.0010111333+H87*0.0002022267</f>
        <v/>
      </c>
      <c r="AI87" s="7">
        <f>J87*0.0010111333+I87*0.0002022267</f>
        <v/>
      </c>
      <c r="AJ87" s="7">
        <f>K87*0.0010111333+J87*0.0002022267</f>
        <v/>
      </c>
      <c r="AK87" s="7">
        <f>L87*0.0010111333+K87*0.0002022267</f>
        <v/>
      </c>
      <c r="AL87" s="7">
        <f>M87*0.0010111333+L87*0.0002022267</f>
        <v/>
      </c>
      <c r="AM87" s="7">
        <f>N87*0.0010111333+M87*0.0002022267</f>
        <v/>
      </c>
      <c r="AN87" s="7">
        <f>O87*0.0010111333+N87*0.0002022267</f>
        <v/>
      </c>
      <c r="AO87" s="7">
        <f>P87*0.0010111333+O87*0.0002022267</f>
        <v/>
      </c>
      <c r="AP87" s="7">
        <f>Q87*0.0010111333+P87*0.0002022267</f>
        <v/>
      </c>
      <c r="AQ87" s="7">
        <f>R87*0.0010111333+Q87*0.0002022267</f>
        <v/>
      </c>
      <c r="AR87" s="7">
        <f>S87*0.0010111333+R87*0.0002022267</f>
        <v/>
      </c>
      <c r="AS87" s="7">
        <f>T87*0.0010111333+S87*0.0002022267</f>
        <v/>
      </c>
      <c r="AT87" s="7">
        <f>U87*0.0010111333+T87*0.0002022267</f>
        <v/>
      </c>
      <c r="AU87" s="7">
        <f>V87*0.0010111333+U87*0.0002022267</f>
        <v/>
      </c>
      <c r="AV87" s="7">
        <f>W87*0.0010111333+V87*0.0002022267</f>
        <v/>
      </c>
      <c r="AW87" s="7">
        <f>X87*0.0010111333+W87*0.0002022267</f>
        <v/>
      </c>
      <c r="AX87" s="7">
        <f>Y87*0.0010111333+X87*0.0002022267</f>
        <v/>
      </c>
      <c r="AY87" s="7">
        <f>Z87*0.0010111333+Y87*0.0002022267</f>
        <v/>
      </c>
      <c r="AZ87" s="7">
        <f>AA87*0.0010111333+Z87*0.0002022267</f>
        <v/>
      </c>
      <c r="BA87" s="7">
        <f>D87*0.0010111333+AA87*0.0002022267</f>
        <v/>
      </c>
      <c r="BB87" s="7">
        <f>SUM(AD87:BA87)</f>
        <v/>
      </c>
    </row>
    <row r="88">
      <c r="A88" t="inlineStr">
        <is>
          <t>AMD-RTS-RCLS-1302-SSC</t>
        </is>
      </c>
      <c r="B88" t="inlineStr">
        <is>
          <t>Rev OSC</t>
        </is>
      </c>
      <c r="C88" s="5" t="n">
        <v>46092</v>
      </c>
      <c r="D88" s="6">
        <f>Summary!D88*0.5</f>
        <v/>
      </c>
      <c r="E88" s="6">
        <f>Summary!E88*0.5</f>
        <v/>
      </c>
      <c r="F88" s="6">
        <f>Summary!F88*0.5</f>
        <v/>
      </c>
      <c r="G88" s="6">
        <f>Summary!G88*0.5</f>
        <v/>
      </c>
      <c r="H88" s="6">
        <f>Summary!H88*0.5</f>
        <v/>
      </c>
      <c r="I88" s="6">
        <f>Summary!I88*0.5</f>
        <v/>
      </c>
      <c r="J88" s="6">
        <f>Summary!J88*0.5</f>
        <v/>
      </c>
      <c r="K88" s="6">
        <f>Summary!K88*0.5</f>
        <v/>
      </c>
      <c r="L88" s="6">
        <f>Summary!L88*0.5</f>
        <v/>
      </c>
      <c r="M88" s="6">
        <f>Summary!M88*0.5</f>
        <v/>
      </c>
      <c r="N88" s="6">
        <f>Summary!N88*0.5</f>
        <v/>
      </c>
      <c r="O88" s="6">
        <f>Summary!O88*0.5</f>
        <v/>
      </c>
      <c r="P88" s="6">
        <f>Summary!P88*0.5</f>
        <v/>
      </c>
      <c r="Q88" s="6">
        <f>Summary!Q88*0.5</f>
        <v/>
      </c>
      <c r="R88" s="6">
        <f>Summary!R88*0.5</f>
        <v/>
      </c>
      <c r="S88" s="6">
        <f>Summary!S88*0.5</f>
        <v/>
      </c>
      <c r="T88" s="6">
        <f>Summary!T88*0.5</f>
        <v/>
      </c>
      <c r="U88" s="6">
        <f>Summary!U88*0.5</f>
        <v/>
      </c>
      <c r="V88" s="6">
        <f>Summary!V88*0.5</f>
        <v/>
      </c>
      <c r="W88" s="6">
        <f>Summary!W88*0.5</f>
        <v/>
      </c>
      <c r="X88" s="6">
        <f>Summary!X88*0.5</f>
        <v/>
      </c>
      <c r="Y88" s="6">
        <f>Summary!Y88*0.5</f>
        <v/>
      </c>
      <c r="Z88" s="6">
        <f>Summary!Z88*0.5</f>
        <v/>
      </c>
      <c r="AA88" s="6">
        <f>Summary!AA88*0.5</f>
        <v/>
      </c>
      <c r="AB88" s="6">
        <f>SUM(D88:AA88)</f>
        <v/>
      </c>
      <c r="AC88" s="3" t="inlineStr"/>
      <c r="AD88" s="7">
        <f>E88*0.0010111333+D88*0.0002022267</f>
        <v/>
      </c>
      <c r="AE88" s="7">
        <f>F88*0.0010111333+E88*0.0002022267</f>
        <v/>
      </c>
      <c r="AF88" s="7">
        <f>G88*0.0010111333+F88*0.0002022267</f>
        <v/>
      </c>
      <c r="AG88" s="7">
        <f>H88*0.0010111333+G88*0.0002022267</f>
        <v/>
      </c>
      <c r="AH88" s="7">
        <f>I88*0.0010111333+H88*0.0002022267</f>
        <v/>
      </c>
      <c r="AI88" s="7">
        <f>J88*0.0010111333+I88*0.0002022267</f>
        <v/>
      </c>
      <c r="AJ88" s="7">
        <f>K88*0.0010111333+J88*0.0002022267</f>
        <v/>
      </c>
      <c r="AK88" s="7">
        <f>L88*0.0010111333+K88*0.0002022267</f>
        <v/>
      </c>
      <c r="AL88" s="7">
        <f>M88*0.0010111333+L88*0.0002022267</f>
        <v/>
      </c>
      <c r="AM88" s="7">
        <f>N88*0.0010111333+M88*0.0002022267</f>
        <v/>
      </c>
      <c r="AN88" s="7">
        <f>O88*0.0010111333+N88*0.0002022267</f>
        <v/>
      </c>
      <c r="AO88" s="7">
        <f>P88*0.0010111333+O88*0.0002022267</f>
        <v/>
      </c>
      <c r="AP88" s="7">
        <f>Q88*0.0010111333+P88*0.0002022267</f>
        <v/>
      </c>
      <c r="AQ88" s="7">
        <f>R88*0.0010111333+Q88*0.0002022267</f>
        <v/>
      </c>
      <c r="AR88" s="7">
        <f>S88*0.0010111333+R88*0.0002022267</f>
        <v/>
      </c>
      <c r="AS88" s="7">
        <f>T88*0.0010111333+S88*0.0002022267</f>
        <v/>
      </c>
      <c r="AT88" s="7">
        <f>U88*0.0010111333+T88*0.0002022267</f>
        <v/>
      </c>
      <c r="AU88" s="7">
        <f>V88*0.0010111333+U88*0.0002022267</f>
        <v/>
      </c>
      <c r="AV88" s="7">
        <f>W88*0.0010111333+V88*0.0002022267</f>
        <v/>
      </c>
      <c r="AW88" s="7">
        <f>X88*0.0010111333+W88*0.0002022267</f>
        <v/>
      </c>
      <c r="AX88" s="7">
        <f>Y88*0.0010111333+X88*0.0002022267</f>
        <v/>
      </c>
      <c r="AY88" s="7">
        <f>Z88*0.0010111333+Y88*0.0002022267</f>
        <v/>
      </c>
      <c r="AZ88" s="7">
        <f>AA88*0.0010111333+Z88*0.0002022267</f>
        <v/>
      </c>
      <c r="BA88" s="7">
        <f>D88*0.0010111333+AA88*0.0002022267</f>
        <v/>
      </c>
      <c r="BB88" s="7">
        <f>SUM(AD88:BA88)</f>
        <v/>
      </c>
    </row>
    <row r="89">
      <c r="A89" t="inlineStr">
        <is>
          <t>AMD-RTS-RCLS-1302-SSC</t>
        </is>
      </c>
      <c r="B89" t="inlineStr">
        <is>
          <t>Rev OSC</t>
        </is>
      </c>
      <c r="C89" s="5" t="n">
        <v>46093</v>
      </c>
      <c r="D89" s="6">
        <f>Summary!D89*0.5</f>
        <v/>
      </c>
      <c r="E89" s="6">
        <f>Summary!E89*0.5</f>
        <v/>
      </c>
      <c r="F89" s="6">
        <f>Summary!F89*0.5</f>
        <v/>
      </c>
      <c r="G89" s="6">
        <f>Summary!G89*0.5</f>
        <v/>
      </c>
      <c r="H89" s="6">
        <f>Summary!H89*0.5</f>
        <v/>
      </c>
      <c r="I89" s="6">
        <f>Summary!I89*0.5</f>
        <v/>
      </c>
      <c r="J89" s="6">
        <f>Summary!J89*0.5</f>
        <v/>
      </c>
      <c r="K89" s="6">
        <f>Summary!K89*0.5</f>
        <v/>
      </c>
      <c r="L89" s="6">
        <f>Summary!L89*0.5</f>
        <v/>
      </c>
      <c r="M89" s="6">
        <f>Summary!M89*0.5</f>
        <v/>
      </c>
      <c r="N89" s="6">
        <f>Summary!N89*0.5</f>
        <v/>
      </c>
      <c r="O89" s="6">
        <f>Summary!O89*0.5</f>
        <v/>
      </c>
      <c r="P89" s="6">
        <f>Summary!P89*0.5</f>
        <v/>
      </c>
      <c r="Q89" s="6">
        <f>Summary!Q89*0.5</f>
        <v/>
      </c>
      <c r="R89" s="6">
        <f>Summary!R89*0.5</f>
        <v/>
      </c>
      <c r="S89" s="6">
        <f>Summary!S89*0.5</f>
        <v/>
      </c>
      <c r="T89" s="6">
        <f>Summary!T89*0.5</f>
        <v/>
      </c>
      <c r="U89" s="6">
        <f>Summary!U89*0.5</f>
        <v/>
      </c>
      <c r="V89" s="6">
        <f>Summary!V89*0.5</f>
        <v/>
      </c>
      <c r="W89" s="6">
        <f>Summary!W89*0.5</f>
        <v/>
      </c>
      <c r="X89" s="6">
        <f>Summary!X89*0.5</f>
        <v/>
      </c>
      <c r="Y89" s="6">
        <f>Summary!Y89*0.5</f>
        <v/>
      </c>
      <c r="Z89" s="6">
        <f>Summary!Z89*0.5</f>
        <v/>
      </c>
      <c r="AA89" s="6">
        <f>Summary!AA89*0.5</f>
        <v/>
      </c>
      <c r="AB89" s="6">
        <f>SUM(D89:AA89)</f>
        <v/>
      </c>
      <c r="AC89" s="3" t="inlineStr"/>
      <c r="AD89" s="7">
        <f>E89*0.0010111333+D89*0.0002022267</f>
        <v/>
      </c>
      <c r="AE89" s="7">
        <f>F89*0.0010111333+E89*0.0002022267</f>
        <v/>
      </c>
      <c r="AF89" s="7">
        <f>G89*0.0010111333+F89*0.0002022267</f>
        <v/>
      </c>
      <c r="AG89" s="7">
        <f>H89*0.0010111333+G89*0.0002022267</f>
        <v/>
      </c>
      <c r="AH89" s="7">
        <f>I89*0.0010111333+H89*0.0002022267</f>
        <v/>
      </c>
      <c r="AI89" s="7">
        <f>J89*0.0010111333+I89*0.0002022267</f>
        <v/>
      </c>
      <c r="AJ89" s="7">
        <f>K89*0.0010111333+J89*0.0002022267</f>
        <v/>
      </c>
      <c r="AK89" s="7">
        <f>L89*0.0010111333+K89*0.0002022267</f>
        <v/>
      </c>
      <c r="AL89" s="7">
        <f>M89*0.0010111333+L89*0.0002022267</f>
        <v/>
      </c>
      <c r="AM89" s="7">
        <f>N89*0.0010111333+M89*0.0002022267</f>
        <v/>
      </c>
      <c r="AN89" s="7">
        <f>O89*0.0010111333+N89*0.0002022267</f>
        <v/>
      </c>
      <c r="AO89" s="7">
        <f>P89*0.0010111333+O89*0.0002022267</f>
        <v/>
      </c>
      <c r="AP89" s="7">
        <f>Q89*0.0010111333+P89*0.0002022267</f>
        <v/>
      </c>
      <c r="AQ89" s="7">
        <f>R89*0.0010111333+Q89*0.0002022267</f>
        <v/>
      </c>
      <c r="AR89" s="7">
        <f>S89*0.0010111333+R89*0.0002022267</f>
        <v/>
      </c>
      <c r="AS89" s="7">
        <f>T89*0.0010111333+S89*0.0002022267</f>
        <v/>
      </c>
      <c r="AT89" s="7">
        <f>U89*0.0010111333+T89*0.0002022267</f>
        <v/>
      </c>
      <c r="AU89" s="7">
        <f>V89*0.0010111333+U89*0.0002022267</f>
        <v/>
      </c>
      <c r="AV89" s="7">
        <f>W89*0.0010111333+V89*0.0002022267</f>
        <v/>
      </c>
      <c r="AW89" s="7">
        <f>X89*0.0010111333+W89*0.0002022267</f>
        <v/>
      </c>
      <c r="AX89" s="7">
        <f>Y89*0.0010111333+X89*0.0002022267</f>
        <v/>
      </c>
      <c r="AY89" s="7">
        <f>Z89*0.0010111333+Y89*0.0002022267</f>
        <v/>
      </c>
      <c r="AZ89" s="7">
        <f>AA89*0.0010111333+Z89*0.0002022267</f>
        <v/>
      </c>
      <c r="BA89" s="7">
        <f>D89*0.0010111333+AA89*0.0002022267</f>
        <v/>
      </c>
      <c r="BB89" s="7">
        <f>SUM(AD89:BA89)</f>
        <v/>
      </c>
    </row>
    <row r="90">
      <c r="A90" t="inlineStr">
        <is>
          <t>AMD-RTS-RCLS-1302-SSC</t>
        </is>
      </c>
      <c r="B90" t="inlineStr">
        <is>
          <t>Rev OSC</t>
        </is>
      </c>
      <c r="C90" s="5" t="n">
        <v>46094</v>
      </c>
      <c r="D90" s="6">
        <f>Summary!D90*0.5</f>
        <v/>
      </c>
      <c r="E90" s="6">
        <f>Summary!E90*0.5</f>
        <v/>
      </c>
      <c r="F90" s="6">
        <f>Summary!F90*0.5</f>
        <v/>
      </c>
      <c r="G90" s="6">
        <f>Summary!G90*0.5</f>
        <v/>
      </c>
      <c r="H90" s="6">
        <f>Summary!H90*0.5</f>
        <v/>
      </c>
      <c r="I90" s="6">
        <f>Summary!I90*0.5</f>
        <v/>
      </c>
      <c r="J90" s="6">
        <f>Summary!J90*0.5</f>
        <v/>
      </c>
      <c r="K90" s="6">
        <f>Summary!K90*0.5</f>
        <v/>
      </c>
      <c r="L90" s="6">
        <f>Summary!L90*0.5</f>
        <v/>
      </c>
      <c r="M90" s="6">
        <f>Summary!M90*0.5</f>
        <v/>
      </c>
      <c r="N90" s="6">
        <f>Summary!N90*0.5</f>
        <v/>
      </c>
      <c r="O90" s="6">
        <f>Summary!O90*0.5</f>
        <v/>
      </c>
      <c r="P90" s="6">
        <f>Summary!P90*0.5</f>
        <v/>
      </c>
      <c r="Q90" s="6">
        <f>Summary!Q90*0.5</f>
        <v/>
      </c>
      <c r="R90" s="6">
        <f>Summary!R90*0.5</f>
        <v/>
      </c>
      <c r="S90" s="6">
        <f>Summary!S90*0.5</f>
        <v/>
      </c>
      <c r="T90" s="6">
        <f>Summary!T90*0.5</f>
        <v/>
      </c>
      <c r="U90" s="6">
        <f>Summary!U90*0.5</f>
        <v/>
      </c>
      <c r="V90" s="6">
        <f>Summary!V90*0.5</f>
        <v/>
      </c>
      <c r="W90" s="6">
        <f>Summary!W90*0.5</f>
        <v/>
      </c>
      <c r="X90" s="6">
        <f>Summary!X90*0.5</f>
        <v/>
      </c>
      <c r="Y90" s="6">
        <f>Summary!Y90*0.5</f>
        <v/>
      </c>
      <c r="Z90" s="6">
        <f>Summary!Z90*0.5</f>
        <v/>
      </c>
      <c r="AA90" s="6">
        <f>Summary!AA90*0.5</f>
        <v/>
      </c>
      <c r="AB90" s="6">
        <f>SUM(D90:AA90)</f>
        <v/>
      </c>
      <c r="AC90" s="3" t="inlineStr"/>
      <c r="AD90" s="7">
        <f>E90*0.0010111333+D90*0.0002022267</f>
        <v/>
      </c>
      <c r="AE90" s="7">
        <f>F90*0.0010111333+E90*0.0002022267</f>
        <v/>
      </c>
      <c r="AF90" s="7">
        <f>G90*0.0010111333+F90*0.0002022267</f>
        <v/>
      </c>
      <c r="AG90" s="7">
        <f>H90*0.0010111333+G90*0.0002022267</f>
        <v/>
      </c>
      <c r="AH90" s="7">
        <f>I90*0.0010111333+H90*0.0002022267</f>
        <v/>
      </c>
      <c r="AI90" s="7">
        <f>J90*0.0010111333+I90*0.0002022267</f>
        <v/>
      </c>
      <c r="AJ90" s="7">
        <f>K90*0.0010111333+J90*0.0002022267</f>
        <v/>
      </c>
      <c r="AK90" s="7">
        <f>L90*0.0010111333+K90*0.0002022267</f>
        <v/>
      </c>
      <c r="AL90" s="7">
        <f>M90*0.0010111333+L90*0.0002022267</f>
        <v/>
      </c>
      <c r="AM90" s="7">
        <f>N90*0.0010111333+M90*0.0002022267</f>
        <v/>
      </c>
      <c r="AN90" s="7">
        <f>O90*0.0010111333+N90*0.0002022267</f>
        <v/>
      </c>
      <c r="AO90" s="7">
        <f>P90*0.0010111333+O90*0.0002022267</f>
        <v/>
      </c>
      <c r="AP90" s="7">
        <f>Q90*0.0010111333+P90*0.0002022267</f>
        <v/>
      </c>
      <c r="AQ90" s="7">
        <f>R90*0.0010111333+Q90*0.0002022267</f>
        <v/>
      </c>
      <c r="AR90" s="7">
        <f>S90*0.0010111333+R90*0.0002022267</f>
        <v/>
      </c>
      <c r="AS90" s="7">
        <f>T90*0.0010111333+S90*0.0002022267</f>
        <v/>
      </c>
      <c r="AT90" s="7">
        <f>U90*0.0010111333+T90*0.0002022267</f>
        <v/>
      </c>
      <c r="AU90" s="7">
        <f>V90*0.0010111333+U90*0.0002022267</f>
        <v/>
      </c>
      <c r="AV90" s="7">
        <f>W90*0.0010111333+V90*0.0002022267</f>
        <v/>
      </c>
      <c r="AW90" s="7">
        <f>X90*0.0010111333+W90*0.0002022267</f>
        <v/>
      </c>
      <c r="AX90" s="7">
        <f>Y90*0.0010111333+X90*0.0002022267</f>
        <v/>
      </c>
      <c r="AY90" s="7">
        <f>Z90*0.0010111333+Y90*0.0002022267</f>
        <v/>
      </c>
      <c r="AZ90" s="7">
        <f>AA90*0.0010111333+Z90*0.0002022267</f>
        <v/>
      </c>
      <c r="BA90" s="7">
        <f>D90*0.0010111333+AA90*0.0002022267</f>
        <v/>
      </c>
      <c r="BB90" s="7">
        <f>SUM(AD90:BA90)</f>
        <v/>
      </c>
    </row>
    <row r="91">
      <c r="A91" t="inlineStr">
        <is>
          <t>AMD-RTS-RCLS-1302-SSC</t>
        </is>
      </c>
      <c r="B91" t="inlineStr">
        <is>
          <t>Rev OSC</t>
        </is>
      </c>
      <c r="C91" s="5" t="n">
        <v>46095</v>
      </c>
      <c r="D91" s="6">
        <f>Summary!D91*0.5</f>
        <v/>
      </c>
      <c r="E91" s="6">
        <f>Summary!E91*0.5</f>
        <v/>
      </c>
      <c r="F91" s="6">
        <f>Summary!F91*0.5</f>
        <v/>
      </c>
      <c r="G91" s="6">
        <f>Summary!G91*0.5</f>
        <v/>
      </c>
      <c r="H91" s="6">
        <f>Summary!H91*0.5</f>
        <v/>
      </c>
      <c r="I91" s="6">
        <f>Summary!I91*0.5</f>
        <v/>
      </c>
      <c r="J91" s="6">
        <f>Summary!J91*0.5</f>
        <v/>
      </c>
      <c r="K91" s="6">
        <f>Summary!K91*0.5</f>
        <v/>
      </c>
      <c r="L91" s="6">
        <f>Summary!L91*0.5</f>
        <v/>
      </c>
      <c r="M91" s="6">
        <f>Summary!M91*0.5</f>
        <v/>
      </c>
      <c r="N91" s="6">
        <f>Summary!N91*0.5</f>
        <v/>
      </c>
      <c r="O91" s="6">
        <f>Summary!O91*0.5</f>
        <v/>
      </c>
      <c r="P91" s="6">
        <f>Summary!P91*0.5</f>
        <v/>
      </c>
      <c r="Q91" s="6">
        <f>Summary!Q91*0.5</f>
        <v/>
      </c>
      <c r="R91" s="6">
        <f>Summary!R91*0.5</f>
        <v/>
      </c>
      <c r="S91" s="6">
        <f>Summary!S91*0.5</f>
        <v/>
      </c>
      <c r="T91" s="6">
        <f>Summary!T91*0.5</f>
        <v/>
      </c>
      <c r="U91" s="6">
        <f>Summary!U91*0.5</f>
        <v/>
      </c>
      <c r="V91" s="6">
        <f>Summary!V91*0.5</f>
        <v/>
      </c>
      <c r="W91" s="6">
        <f>Summary!W91*0.5</f>
        <v/>
      </c>
      <c r="X91" s="6">
        <f>Summary!X91*0.5</f>
        <v/>
      </c>
      <c r="Y91" s="6">
        <f>Summary!Y91*0.5</f>
        <v/>
      </c>
      <c r="Z91" s="6">
        <f>Summary!Z91*0.5</f>
        <v/>
      </c>
      <c r="AA91" s="6">
        <f>Summary!AA91*0.5</f>
        <v/>
      </c>
      <c r="AB91" s="6">
        <f>SUM(D91:AA91)</f>
        <v/>
      </c>
      <c r="AC91" s="3" t="inlineStr"/>
      <c r="AD91" s="7">
        <f>E91*0.0010111333+D91*0.0002022267</f>
        <v/>
      </c>
      <c r="AE91" s="7">
        <f>F91*0.0010111333+E91*0.0002022267</f>
        <v/>
      </c>
      <c r="AF91" s="7">
        <f>G91*0.0010111333+F91*0.0002022267</f>
        <v/>
      </c>
      <c r="AG91" s="7">
        <f>H91*0.0010111333+G91*0.0002022267</f>
        <v/>
      </c>
      <c r="AH91" s="7">
        <f>I91*0.0010111333+H91*0.0002022267</f>
        <v/>
      </c>
      <c r="AI91" s="7">
        <f>J91*0.0010111333+I91*0.0002022267</f>
        <v/>
      </c>
      <c r="AJ91" s="7">
        <f>K91*0.0010111333+J91*0.0002022267</f>
        <v/>
      </c>
      <c r="AK91" s="7">
        <f>L91*0.0010111333+K91*0.0002022267</f>
        <v/>
      </c>
      <c r="AL91" s="7">
        <f>M91*0.0010111333+L91*0.0002022267</f>
        <v/>
      </c>
      <c r="AM91" s="7">
        <f>N91*0.0010111333+M91*0.0002022267</f>
        <v/>
      </c>
      <c r="AN91" s="7">
        <f>O91*0.0010111333+N91*0.0002022267</f>
        <v/>
      </c>
      <c r="AO91" s="7">
        <f>P91*0.0010111333+O91*0.0002022267</f>
        <v/>
      </c>
      <c r="AP91" s="7">
        <f>Q91*0.0010111333+P91*0.0002022267</f>
        <v/>
      </c>
      <c r="AQ91" s="7">
        <f>R91*0.0010111333+Q91*0.0002022267</f>
        <v/>
      </c>
      <c r="AR91" s="7">
        <f>S91*0.0010111333+R91*0.0002022267</f>
        <v/>
      </c>
      <c r="AS91" s="7">
        <f>T91*0.0010111333+S91*0.0002022267</f>
        <v/>
      </c>
      <c r="AT91" s="7">
        <f>U91*0.0010111333+T91*0.0002022267</f>
        <v/>
      </c>
      <c r="AU91" s="7">
        <f>V91*0.0010111333+U91*0.0002022267</f>
        <v/>
      </c>
      <c r="AV91" s="7">
        <f>W91*0.0010111333+V91*0.0002022267</f>
        <v/>
      </c>
      <c r="AW91" s="7">
        <f>X91*0.0010111333+W91*0.0002022267</f>
        <v/>
      </c>
      <c r="AX91" s="7">
        <f>Y91*0.0010111333+X91*0.0002022267</f>
        <v/>
      </c>
      <c r="AY91" s="7">
        <f>Z91*0.0010111333+Y91*0.0002022267</f>
        <v/>
      </c>
      <c r="AZ91" s="7">
        <f>AA91*0.0010111333+Z91*0.0002022267</f>
        <v/>
      </c>
      <c r="BA91" s="7">
        <f>D91*0.0010111333+AA91*0.0002022267</f>
        <v/>
      </c>
      <c r="BB91" s="7">
        <f>SUM(AD91:BA91)</f>
        <v/>
      </c>
    </row>
    <row r="92">
      <c r="A92" t="inlineStr">
        <is>
          <t>AMD-RTS-RCLS-1302-SSC</t>
        </is>
      </c>
      <c r="B92" t="inlineStr">
        <is>
          <t>Rev OSC</t>
        </is>
      </c>
      <c r="C92" s="5" t="n">
        <v>46096</v>
      </c>
      <c r="D92" s="6">
        <f>Summary!D92*0.5</f>
        <v/>
      </c>
      <c r="E92" s="6">
        <f>Summary!E92*0.5</f>
        <v/>
      </c>
      <c r="F92" s="6">
        <f>Summary!F92*0.5</f>
        <v/>
      </c>
      <c r="G92" s="6">
        <f>Summary!G92*0.5</f>
        <v/>
      </c>
      <c r="H92" s="6">
        <f>Summary!H92*0.5</f>
        <v/>
      </c>
      <c r="I92" s="6">
        <f>Summary!I92*0.5</f>
        <v/>
      </c>
      <c r="J92" s="6">
        <f>Summary!J92*0.5</f>
        <v/>
      </c>
      <c r="K92" s="6">
        <f>Summary!K92*0.5</f>
        <v/>
      </c>
      <c r="L92" s="6">
        <f>Summary!L92*0.5</f>
        <v/>
      </c>
      <c r="M92" s="6">
        <f>Summary!M92*0.5</f>
        <v/>
      </c>
      <c r="N92" s="6">
        <f>Summary!N92*0.5</f>
        <v/>
      </c>
      <c r="O92" s="6">
        <f>Summary!O92*0.5</f>
        <v/>
      </c>
      <c r="P92" s="6">
        <f>Summary!P92*0.5</f>
        <v/>
      </c>
      <c r="Q92" s="6">
        <f>Summary!Q92*0.5</f>
        <v/>
      </c>
      <c r="R92" s="6">
        <f>Summary!R92*0.5</f>
        <v/>
      </c>
      <c r="S92" s="6">
        <f>Summary!S92*0.5</f>
        <v/>
      </c>
      <c r="T92" s="6">
        <f>Summary!T92*0.5</f>
        <v/>
      </c>
      <c r="U92" s="6">
        <f>Summary!U92*0.5</f>
        <v/>
      </c>
      <c r="V92" s="6">
        <f>Summary!V92*0.5</f>
        <v/>
      </c>
      <c r="W92" s="6">
        <f>Summary!W92*0.5</f>
        <v/>
      </c>
      <c r="X92" s="6">
        <f>Summary!X92*0.5</f>
        <v/>
      </c>
      <c r="Y92" s="6">
        <f>Summary!Y92*0.5</f>
        <v/>
      </c>
      <c r="Z92" s="6">
        <f>Summary!Z92*0.5</f>
        <v/>
      </c>
      <c r="AA92" s="6">
        <f>Summary!AA92*0.5</f>
        <v/>
      </c>
      <c r="AB92" s="6">
        <f>SUM(D92:AA92)</f>
        <v/>
      </c>
      <c r="AC92" s="3" t="inlineStr"/>
      <c r="AD92" s="7">
        <f>E92*0.0010111333+D92*0.0002022267</f>
        <v/>
      </c>
      <c r="AE92" s="7">
        <f>F92*0.0010111333+E92*0.0002022267</f>
        <v/>
      </c>
      <c r="AF92" s="7">
        <f>G92*0.0010111333+F92*0.0002022267</f>
        <v/>
      </c>
      <c r="AG92" s="7">
        <f>H92*0.0010111333+G92*0.0002022267</f>
        <v/>
      </c>
      <c r="AH92" s="7">
        <f>I92*0.0010111333+H92*0.0002022267</f>
        <v/>
      </c>
      <c r="AI92" s="7">
        <f>J92*0.0010111333+I92*0.0002022267</f>
        <v/>
      </c>
      <c r="AJ92" s="7">
        <f>K92*0.0010111333+J92*0.0002022267</f>
        <v/>
      </c>
      <c r="AK92" s="7">
        <f>L92*0.0010111333+K92*0.0002022267</f>
        <v/>
      </c>
      <c r="AL92" s="7">
        <f>M92*0.0010111333+L92*0.0002022267</f>
        <v/>
      </c>
      <c r="AM92" s="7">
        <f>N92*0.0010111333+M92*0.0002022267</f>
        <v/>
      </c>
      <c r="AN92" s="7">
        <f>O92*0.0010111333+N92*0.0002022267</f>
        <v/>
      </c>
      <c r="AO92" s="7">
        <f>P92*0.0010111333+O92*0.0002022267</f>
        <v/>
      </c>
      <c r="AP92" s="7">
        <f>Q92*0.0010111333+P92*0.0002022267</f>
        <v/>
      </c>
      <c r="AQ92" s="7">
        <f>R92*0.0010111333+Q92*0.0002022267</f>
        <v/>
      </c>
      <c r="AR92" s="7">
        <f>S92*0.0010111333+R92*0.0002022267</f>
        <v/>
      </c>
      <c r="AS92" s="7">
        <f>T92*0.0010111333+S92*0.0002022267</f>
        <v/>
      </c>
      <c r="AT92" s="7">
        <f>U92*0.0010111333+T92*0.0002022267</f>
        <v/>
      </c>
      <c r="AU92" s="7">
        <f>V92*0.0010111333+U92*0.0002022267</f>
        <v/>
      </c>
      <c r="AV92" s="7">
        <f>W92*0.0010111333+V92*0.0002022267</f>
        <v/>
      </c>
      <c r="AW92" s="7">
        <f>X92*0.0010111333+W92*0.0002022267</f>
        <v/>
      </c>
      <c r="AX92" s="7">
        <f>Y92*0.0010111333+X92*0.0002022267</f>
        <v/>
      </c>
      <c r="AY92" s="7">
        <f>Z92*0.0010111333+Y92*0.0002022267</f>
        <v/>
      </c>
      <c r="AZ92" s="7">
        <f>AA92*0.0010111333+Z92*0.0002022267</f>
        <v/>
      </c>
      <c r="BA92" s="7">
        <f>D92*0.0010111333+AA92*0.0002022267</f>
        <v/>
      </c>
      <c r="BB92" s="7">
        <f>SUM(AD92:BA92)</f>
        <v/>
      </c>
    </row>
    <row r="93">
      <c r="A93" t="inlineStr">
        <is>
          <t>AMD-RTS-RCLS-1302-SSC</t>
        </is>
      </c>
      <c r="B93" t="inlineStr">
        <is>
          <t>Rev OSC</t>
        </is>
      </c>
      <c r="C93" s="5" t="n">
        <v>46097</v>
      </c>
      <c r="D93" s="6">
        <f>Summary!D93*0.5</f>
        <v/>
      </c>
      <c r="E93" s="6">
        <f>Summary!E93*0.5</f>
        <v/>
      </c>
      <c r="F93" s="6">
        <f>Summary!F93*0.5</f>
        <v/>
      </c>
      <c r="G93" s="6">
        <f>Summary!G93*0.5</f>
        <v/>
      </c>
      <c r="H93" s="6">
        <f>Summary!H93*0.5</f>
        <v/>
      </c>
      <c r="I93" s="6">
        <f>Summary!I93*0.5</f>
        <v/>
      </c>
      <c r="J93" s="6">
        <f>Summary!J93*0.5</f>
        <v/>
      </c>
      <c r="K93" s="6">
        <f>Summary!K93*0.5</f>
        <v/>
      </c>
      <c r="L93" s="6">
        <f>Summary!L93*0.5</f>
        <v/>
      </c>
      <c r="M93" s="6">
        <f>Summary!M93*0.5</f>
        <v/>
      </c>
      <c r="N93" s="6">
        <f>Summary!N93*0.5</f>
        <v/>
      </c>
      <c r="O93" s="6">
        <f>Summary!O93*0.5</f>
        <v/>
      </c>
      <c r="P93" s="6">
        <f>Summary!P93*0.5</f>
        <v/>
      </c>
      <c r="Q93" s="6">
        <f>Summary!Q93*0.5</f>
        <v/>
      </c>
      <c r="R93" s="6">
        <f>Summary!R93*0.5</f>
        <v/>
      </c>
      <c r="S93" s="6">
        <f>Summary!S93*0.5</f>
        <v/>
      </c>
      <c r="T93" s="6">
        <f>Summary!T93*0.5</f>
        <v/>
      </c>
      <c r="U93" s="6">
        <f>Summary!U93*0.5</f>
        <v/>
      </c>
      <c r="V93" s="6">
        <f>Summary!V93*0.5</f>
        <v/>
      </c>
      <c r="W93" s="6">
        <f>Summary!W93*0.5</f>
        <v/>
      </c>
      <c r="X93" s="6">
        <f>Summary!X93*0.5</f>
        <v/>
      </c>
      <c r="Y93" s="6">
        <f>Summary!Y93*0.5</f>
        <v/>
      </c>
      <c r="Z93" s="6">
        <f>Summary!Z93*0.5</f>
        <v/>
      </c>
      <c r="AA93" s="6">
        <f>Summary!AA93*0.5</f>
        <v/>
      </c>
      <c r="AB93" s="6">
        <f>SUM(D93:AA93)</f>
        <v/>
      </c>
      <c r="AC93" s="3" t="inlineStr"/>
      <c r="AD93" s="7">
        <f>E93*0.0010111333+D93*0.0002022267</f>
        <v/>
      </c>
      <c r="AE93" s="7">
        <f>F93*0.0010111333+E93*0.0002022267</f>
        <v/>
      </c>
      <c r="AF93" s="7">
        <f>G93*0.0010111333+F93*0.0002022267</f>
        <v/>
      </c>
      <c r="AG93" s="7">
        <f>H93*0.0010111333+G93*0.0002022267</f>
        <v/>
      </c>
      <c r="AH93" s="7">
        <f>I93*0.0010111333+H93*0.0002022267</f>
        <v/>
      </c>
      <c r="AI93" s="7">
        <f>J93*0.0010111333+I93*0.0002022267</f>
        <v/>
      </c>
      <c r="AJ93" s="7">
        <f>K93*0.0010111333+J93*0.0002022267</f>
        <v/>
      </c>
      <c r="AK93" s="7">
        <f>L93*0.0010111333+K93*0.0002022267</f>
        <v/>
      </c>
      <c r="AL93" s="7">
        <f>M93*0.0010111333+L93*0.0002022267</f>
        <v/>
      </c>
      <c r="AM93" s="7">
        <f>N93*0.0010111333+M93*0.0002022267</f>
        <v/>
      </c>
      <c r="AN93" s="7">
        <f>O93*0.0010111333+N93*0.0002022267</f>
        <v/>
      </c>
      <c r="AO93" s="7">
        <f>P93*0.0010111333+O93*0.0002022267</f>
        <v/>
      </c>
      <c r="AP93" s="7">
        <f>Q93*0.0010111333+P93*0.0002022267</f>
        <v/>
      </c>
      <c r="AQ93" s="7">
        <f>R93*0.0010111333+Q93*0.0002022267</f>
        <v/>
      </c>
      <c r="AR93" s="7">
        <f>S93*0.0010111333+R93*0.0002022267</f>
        <v/>
      </c>
      <c r="AS93" s="7">
        <f>T93*0.0010111333+S93*0.0002022267</f>
        <v/>
      </c>
      <c r="AT93" s="7">
        <f>U93*0.0010111333+T93*0.0002022267</f>
        <v/>
      </c>
      <c r="AU93" s="7">
        <f>V93*0.0010111333+U93*0.0002022267</f>
        <v/>
      </c>
      <c r="AV93" s="7">
        <f>W93*0.0010111333+V93*0.0002022267</f>
        <v/>
      </c>
      <c r="AW93" s="7">
        <f>X93*0.0010111333+W93*0.0002022267</f>
        <v/>
      </c>
      <c r="AX93" s="7">
        <f>Y93*0.0010111333+X93*0.0002022267</f>
        <v/>
      </c>
      <c r="AY93" s="7">
        <f>Z93*0.0010111333+Y93*0.0002022267</f>
        <v/>
      </c>
      <c r="AZ93" s="7">
        <f>AA93*0.0010111333+Z93*0.0002022267</f>
        <v/>
      </c>
      <c r="BA93" s="7">
        <f>D93*0.0010111333+AA93*0.0002022267</f>
        <v/>
      </c>
      <c r="BB93" s="7">
        <f>SUM(AD93:BA93)</f>
        <v/>
      </c>
    </row>
    <row r="94">
      <c r="A94" t="inlineStr">
        <is>
          <t>AMD-RTS-RCLS-1302-SSC</t>
        </is>
      </c>
      <c r="B94" t="inlineStr">
        <is>
          <t>Rev OSC</t>
        </is>
      </c>
      <c r="C94" s="5" t="n">
        <v>46100</v>
      </c>
      <c r="D94" s="6">
        <f>Summary!D94*0.5</f>
        <v/>
      </c>
      <c r="E94" s="6">
        <f>Summary!E94*0.5</f>
        <v/>
      </c>
      <c r="F94" s="6">
        <f>Summary!F94*0.5</f>
        <v/>
      </c>
      <c r="G94" s="6">
        <f>Summary!G94*0.5</f>
        <v/>
      </c>
      <c r="H94" s="6">
        <f>Summary!H94*0.5</f>
        <v/>
      </c>
      <c r="I94" s="6">
        <f>Summary!I94*0.5</f>
        <v/>
      </c>
      <c r="J94" s="6">
        <f>Summary!J94*0.5</f>
        <v/>
      </c>
      <c r="K94" s="6">
        <f>Summary!K94*0.5</f>
        <v/>
      </c>
      <c r="L94" s="6">
        <f>Summary!L94*0.5</f>
        <v/>
      </c>
      <c r="M94" s="6">
        <f>Summary!M94*0.5</f>
        <v/>
      </c>
      <c r="N94" s="6">
        <f>Summary!N94*0.5</f>
        <v/>
      </c>
      <c r="O94" s="6">
        <f>Summary!O94*0.5</f>
        <v/>
      </c>
      <c r="P94" s="6">
        <f>Summary!P94*0.5</f>
        <v/>
      </c>
      <c r="Q94" s="6">
        <f>Summary!Q94*0.5</f>
        <v/>
      </c>
      <c r="R94" s="6">
        <f>Summary!R94*0.5</f>
        <v/>
      </c>
      <c r="S94" s="6">
        <f>Summary!S94*0.5</f>
        <v/>
      </c>
      <c r="T94" s="6">
        <f>Summary!T94*0.5</f>
        <v/>
      </c>
      <c r="U94" s="6">
        <f>Summary!U94*0.5</f>
        <v/>
      </c>
      <c r="V94" s="6">
        <f>Summary!V94*0.5</f>
        <v/>
      </c>
      <c r="W94" s="6">
        <f>Summary!W94*0.5</f>
        <v/>
      </c>
      <c r="X94" s="6">
        <f>Summary!X94*0.5</f>
        <v/>
      </c>
      <c r="Y94" s="6">
        <f>Summary!Y94*0.5</f>
        <v/>
      </c>
      <c r="Z94" s="6">
        <f>Summary!Z94*0.5</f>
        <v/>
      </c>
      <c r="AA94" s="6">
        <f>Summary!AA94*0.5</f>
        <v/>
      </c>
      <c r="AB94" s="6">
        <f>SUM(D94:AA94)</f>
        <v/>
      </c>
      <c r="AC94" s="3" t="inlineStr"/>
      <c r="AD94" s="7">
        <f>E94*0.0010111333+D94*0.0002022267</f>
        <v/>
      </c>
      <c r="AE94" s="7">
        <f>F94*0.0010111333+E94*0.0002022267</f>
        <v/>
      </c>
      <c r="AF94" s="7">
        <f>G94*0.0010111333+F94*0.0002022267</f>
        <v/>
      </c>
      <c r="AG94" s="7">
        <f>H94*0.0010111333+G94*0.0002022267</f>
        <v/>
      </c>
      <c r="AH94" s="7">
        <f>I94*0.0010111333+H94*0.0002022267</f>
        <v/>
      </c>
      <c r="AI94" s="7">
        <f>J94*0.0010111333+I94*0.0002022267</f>
        <v/>
      </c>
      <c r="AJ94" s="7">
        <f>K94*0.0010111333+J94*0.0002022267</f>
        <v/>
      </c>
      <c r="AK94" s="7">
        <f>L94*0.0010111333+K94*0.0002022267</f>
        <v/>
      </c>
      <c r="AL94" s="7">
        <f>M94*0.0010111333+L94*0.0002022267</f>
        <v/>
      </c>
      <c r="AM94" s="7">
        <f>N94*0.0010111333+M94*0.0002022267</f>
        <v/>
      </c>
      <c r="AN94" s="7">
        <f>O94*0.0010111333+N94*0.0002022267</f>
        <v/>
      </c>
      <c r="AO94" s="7">
        <f>P94*0.0010111333+O94*0.0002022267</f>
        <v/>
      </c>
      <c r="AP94" s="7">
        <f>Q94*0.0010111333+P94*0.0002022267</f>
        <v/>
      </c>
      <c r="AQ94" s="7">
        <f>R94*0.0010111333+Q94*0.0002022267</f>
        <v/>
      </c>
      <c r="AR94" s="7">
        <f>S94*0.0010111333+R94*0.0002022267</f>
        <v/>
      </c>
      <c r="AS94" s="7">
        <f>T94*0.0010111333+S94*0.0002022267</f>
        <v/>
      </c>
      <c r="AT94" s="7">
        <f>U94*0.0010111333+T94*0.0002022267</f>
        <v/>
      </c>
      <c r="AU94" s="7">
        <f>V94*0.0010111333+U94*0.0002022267</f>
        <v/>
      </c>
      <c r="AV94" s="7">
        <f>W94*0.0010111333+V94*0.0002022267</f>
        <v/>
      </c>
      <c r="AW94" s="7">
        <f>X94*0.0010111333+W94*0.0002022267</f>
        <v/>
      </c>
      <c r="AX94" s="7">
        <f>Y94*0.0010111333+X94*0.0002022267</f>
        <v/>
      </c>
      <c r="AY94" s="7">
        <f>Z94*0.0010111333+Y94*0.0002022267</f>
        <v/>
      </c>
      <c r="AZ94" s="7">
        <f>AA94*0.0010111333+Z94*0.0002022267</f>
        <v/>
      </c>
      <c r="BA94" s="7">
        <f>D94*0.0010111333+AA94*0.0002022267</f>
        <v/>
      </c>
      <c r="BB94" s="7">
        <f>SUM(AD94:BA94)</f>
        <v/>
      </c>
    </row>
    <row r="95">
      <c r="A95" t="inlineStr">
        <is>
          <t>AMD-RTS-RCLS-1302-SSC</t>
        </is>
      </c>
      <c r="B95" t="inlineStr">
        <is>
          <t>Rev OSC</t>
        </is>
      </c>
      <c r="C95" s="5" t="n">
        <v>46102</v>
      </c>
      <c r="D95" s="6">
        <f>Summary!D95*0.5</f>
        <v/>
      </c>
      <c r="E95" s="6">
        <f>Summary!E95*0.5</f>
        <v/>
      </c>
      <c r="F95" s="6">
        <f>Summary!F95*0.5</f>
        <v/>
      </c>
      <c r="G95" s="6">
        <f>Summary!G95*0.5</f>
        <v/>
      </c>
      <c r="H95" s="6">
        <f>Summary!H95*0.5</f>
        <v/>
      </c>
      <c r="I95" s="6">
        <f>Summary!I95*0.5</f>
        <v/>
      </c>
      <c r="J95" s="6">
        <f>Summary!J95*0.5</f>
        <v/>
      </c>
      <c r="K95" s="6">
        <f>Summary!K95*0.5</f>
        <v/>
      </c>
      <c r="L95" s="6">
        <f>Summary!L95*0.5</f>
        <v/>
      </c>
      <c r="M95" s="6">
        <f>Summary!M95*0.5</f>
        <v/>
      </c>
      <c r="N95" s="6">
        <f>Summary!N95*0.5</f>
        <v/>
      </c>
      <c r="O95" s="6">
        <f>Summary!O95*0.5</f>
        <v/>
      </c>
      <c r="P95" s="6">
        <f>Summary!P95*0.5</f>
        <v/>
      </c>
      <c r="Q95" s="6">
        <f>Summary!Q95*0.5</f>
        <v/>
      </c>
      <c r="R95" s="6">
        <f>Summary!R95*0.5</f>
        <v/>
      </c>
      <c r="S95" s="6">
        <f>Summary!S95*0.5</f>
        <v/>
      </c>
      <c r="T95" s="6">
        <f>Summary!T95*0.5</f>
        <v/>
      </c>
      <c r="U95" s="6">
        <f>Summary!U95*0.5</f>
        <v/>
      </c>
      <c r="V95" s="6">
        <f>Summary!V95*0.5</f>
        <v/>
      </c>
      <c r="W95" s="6">
        <f>Summary!W95*0.5</f>
        <v/>
      </c>
      <c r="X95" s="6">
        <f>Summary!X95*0.5</f>
        <v/>
      </c>
      <c r="Y95" s="6">
        <f>Summary!Y95*0.5</f>
        <v/>
      </c>
      <c r="Z95" s="6">
        <f>Summary!Z95*0.5</f>
        <v/>
      </c>
      <c r="AA95" s="6">
        <f>Summary!AA95*0.5</f>
        <v/>
      </c>
      <c r="AB95" s="6">
        <f>SUM(D95:AA95)</f>
        <v/>
      </c>
      <c r="AC95" s="3" t="inlineStr"/>
      <c r="AD95" s="7">
        <f>E95*0.0010111333+D95*0.0002022267</f>
        <v/>
      </c>
      <c r="AE95" s="7">
        <f>F95*0.0010111333+E95*0.0002022267</f>
        <v/>
      </c>
      <c r="AF95" s="7">
        <f>G95*0.0010111333+F95*0.0002022267</f>
        <v/>
      </c>
      <c r="AG95" s="7">
        <f>H95*0.0010111333+G95*0.0002022267</f>
        <v/>
      </c>
      <c r="AH95" s="7">
        <f>I95*0.0010111333+H95*0.0002022267</f>
        <v/>
      </c>
      <c r="AI95" s="7">
        <f>J95*0.0010111333+I95*0.0002022267</f>
        <v/>
      </c>
      <c r="AJ95" s="7">
        <f>K95*0.0010111333+J95*0.0002022267</f>
        <v/>
      </c>
      <c r="AK95" s="7">
        <f>L95*0.0010111333+K95*0.0002022267</f>
        <v/>
      </c>
      <c r="AL95" s="7">
        <f>M95*0.0010111333+L95*0.0002022267</f>
        <v/>
      </c>
      <c r="AM95" s="7">
        <f>N95*0.0010111333+M95*0.0002022267</f>
        <v/>
      </c>
      <c r="AN95" s="7">
        <f>O95*0.0010111333+N95*0.0002022267</f>
        <v/>
      </c>
      <c r="AO95" s="7">
        <f>P95*0.0010111333+O95*0.0002022267</f>
        <v/>
      </c>
      <c r="AP95" s="7">
        <f>Q95*0.0010111333+P95*0.0002022267</f>
        <v/>
      </c>
      <c r="AQ95" s="7">
        <f>R95*0.0010111333+Q95*0.0002022267</f>
        <v/>
      </c>
      <c r="AR95" s="7">
        <f>S95*0.0010111333+R95*0.0002022267</f>
        <v/>
      </c>
      <c r="AS95" s="7">
        <f>T95*0.0010111333+S95*0.0002022267</f>
        <v/>
      </c>
      <c r="AT95" s="7">
        <f>U95*0.0010111333+T95*0.0002022267</f>
        <v/>
      </c>
      <c r="AU95" s="7">
        <f>V95*0.0010111333+U95*0.0002022267</f>
        <v/>
      </c>
      <c r="AV95" s="7">
        <f>W95*0.0010111333+V95*0.0002022267</f>
        <v/>
      </c>
      <c r="AW95" s="7">
        <f>X95*0.0010111333+W95*0.0002022267</f>
        <v/>
      </c>
      <c r="AX95" s="7">
        <f>Y95*0.0010111333+X95*0.0002022267</f>
        <v/>
      </c>
      <c r="AY95" s="7">
        <f>Z95*0.0010111333+Y95*0.0002022267</f>
        <v/>
      </c>
      <c r="AZ95" s="7">
        <f>AA95*0.0010111333+Z95*0.0002022267</f>
        <v/>
      </c>
      <c r="BA95" s="7">
        <f>D95*0.0010111333+AA95*0.0002022267</f>
        <v/>
      </c>
      <c r="BB95" s="7">
        <f>SUM(AD95:BA95)</f>
        <v/>
      </c>
    </row>
    <row r="96">
      <c r="A96" t="inlineStr">
        <is>
          <t>AMD-RTS-RCLS-1302-SSC</t>
        </is>
      </c>
      <c r="B96" t="inlineStr">
        <is>
          <t>Rev OSC</t>
        </is>
      </c>
      <c r="C96" s="5" t="n">
        <v>46103</v>
      </c>
      <c r="D96" s="6">
        <f>Summary!D96*0.5</f>
        <v/>
      </c>
      <c r="E96" s="6">
        <f>Summary!E96*0.5</f>
        <v/>
      </c>
      <c r="F96" s="6">
        <f>Summary!F96*0.5</f>
        <v/>
      </c>
      <c r="G96" s="6">
        <f>Summary!G96*0.5</f>
        <v/>
      </c>
      <c r="H96" s="6">
        <f>Summary!H96*0.5</f>
        <v/>
      </c>
      <c r="I96" s="6">
        <f>Summary!I96*0.5</f>
        <v/>
      </c>
      <c r="J96" s="6">
        <f>Summary!J96*0.5</f>
        <v/>
      </c>
      <c r="K96" s="6">
        <f>Summary!K96*0.5</f>
        <v/>
      </c>
      <c r="L96" s="6">
        <f>Summary!L96*0.5</f>
        <v/>
      </c>
      <c r="M96" s="6">
        <f>Summary!M96*0.5</f>
        <v/>
      </c>
      <c r="N96" s="6">
        <f>Summary!N96*0.5</f>
        <v/>
      </c>
      <c r="O96" s="6">
        <f>Summary!O96*0.5</f>
        <v/>
      </c>
      <c r="P96" s="6">
        <f>Summary!P96*0.5</f>
        <v/>
      </c>
      <c r="Q96" s="6">
        <f>Summary!Q96*0.5</f>
        <v/>
      </c>
      <c r="R96" s="6">
        <f>Summary!R96*0.5</f>
        <v/>
      </c>
      <c r="S96" s="6">
        <f>Summary!S96*0.5</f>
        <v/>
      </c>
      <c r="T96" s="6">
        <f>Summary!T96*0.5</f>
        <v/>
      </c>
      <c r="U96" s="6">
        <f>Summary!U96*0.5</f>
        <v/>
      </c>
      <c r="V96" s="6">
        <f>Summary!V96*0.5</f>
        <v/>
      </c>
      <c r="W96" s="6">
        <f>Summary!W96*0.5</f>
        <v/>
      </c>
      <c r="X96" s="6">
        <f>Summary!X96*0.5</f>
        <v/>
      </c>
      <c r="Y96" s="6">
        <f>Summary!Y96*0.5</f>
        <v/>
      </c>
      <c r="Z96" s="6">
        <f>Summary!Z96*0.5</f>
        <v/>
      </c>
      <c r="AA96" s="6">
        <f>Summary!AA96*0.5</f>
        <v/>
      </c>
      <c r="AB96" s="6">
        <f>SUM(D96:AA96)</f>
        <v/>
      </c>
      <c r="AC96" s="3" t="inlineStr"/>
      <c r="AD96" s="7">
        <f>E96*0.0010111333+D96*0.0002022267</f>
        <v/>
      </c>
      <c r="AE96" s="7">
        <f>F96*0.0010111333+E96*0.0002022267</f>
        <v/>
      </c>
      <c r="AF96" s="7">
        <f>G96*0.0010111333+F96*0.0002022267</f>
        <v/>
      </c>
      <c r="AG96" s="7">
        <f>H96*0.0010111333+G96*0.0002022267</f>
        <v/>
      </c>
      <c r="AH96" s="7">
        <f>I96*0.0010111333+H96*0.0002022267</f>
        <v/>
      </c>
      <c r="AI96" s="7">
        <f>J96*0.0010111333+I96*0.0002022267</f>
        <v/>
      </c>
      <c r="AJ96" s="7">
        <f>K96*0.0010111333+J96*0.0002022267</f>
        <v/>
      </c>
      <c r="AK96" s="7">
        <f>L96*0.0010111333+K96*0.0002022267</f>
        <v/>
      </c>
      <c r="AL96" s="7">
        <f>M96*0.0010111333+L96*0.0002022267</f>
        <v/>
      </c>
      <c r="AM96" s="7">
        <f>N96*0.0010111333+M96*0.0002022267</f>
        <v/>
      </c>
      <c r="AN96" s="7">
        <f>O96*0.0010111333+N96*0.0002022267</f>
        <v/>
      </c>
      <c r="AO96" s="7">
        <f>P96*0.0010111333+O96*0.0002022267</f>
        <v/>
      </c>
      <c r="AP96" s="7">
        <f>Q96*0.0010111333+P96*0.0002022267</f>
        <v/>
      </c>
      <c r="AQ96" s="7">
        <f>R96*0.0010111333+Q96*0.0002022267</f>
        <v/>
      </c>
      <c r="AR96" s="7">
        <f>S96*0.0010111333+R96*0.0002022267</f>
        <v/>
      </c>
      <c r="AS96" s="7">
        <f>T96*0.0010111333+S96*0.0002022267</f>
        <v/>
      </c>
      <c r="AT96" s="7">
        <f>U96*0.0010111333+T96*0.0002022267</f>
        <v/>
      </c>
      <c r="AU96" s="7">
        <f>V96*0.0010111333+U96*0.0002022267</f>
        <v/>
      </c>
      <c r="AV96" s="7">
        <f>W96*0.0010111333+V96*0.0002022267</f>
        <v/>
      </c>
      <c r="AW96" s="7">
        <f>X96*0.0010111333+W96*0.0002022267</f>
        <v/>
      </c>
      <c r="AX96" s="7">
        <f>Y96*0.0010111333+X96*0.0002022267</f>
        <v/>
      </c>
      <c r="AY96" s="7">
        <f>Z96*0.0010111333+Y96*0.0002022267</f>
        <v/>
      </c>
      <c r="AZ96" s="7">
        <f>AA96*0.0010111333+Z96*0.0002022267</f>
        <v/>
      </c>
      <c r="BA96" s="7">
        <f>D96*0.0010111333+AA96*0.0002022267</f>
        <v/>
      </c>
      <c r="BB96" s="7">
        <f>SUM(AD96:BA96)</f>
        <v/>
      </c>
    </row>
    <row r="97">
      <c r="A97" t="inlineStr">
        <is>
          <t>AMD-RTS-RCLS-1302-SSC</t>
        </is>
      </c>
      <c r="B97" t="inlineStr">
        <is>
          <t>Rev OSC</t>
        </is>
      </c>
      <c r="C97" s="5" t="n">
        <v>46104</v>
      </c>
      <c r="D97" s="6">
        <f>Summary!D97*0.5</f>
        <v/>
      </c>
      <c r="E97" s="6">
        <f>Summary!E97*0.5</f>
        <v/>
      </c>
      <c r="F97" s="6">
        <f>Summary!F97*0.5</f>
        <v/>
      </c>
      <c r="G97" s="6">
        <f>Summary!G97*0.5</f>
        <v/>
      </c>
      <c r="H97" s="6">
        <f>Summary!H97*0.5</f>
        <v/>
      </c>
      <c r="I97" s="6">
        <f>Summary!I97*0.5</f>
        <v/>
      </c>
      <c r="J97" s="6">
        <f>Summary!J97*0.5</f>
        <v/>
      </c>
      <c r="K97" s="6">
        <f>Summary!K97*0.5</f>
        <v/>
      </c>
      <c r="L97" s="6">
        <f>Summary!L97*0.5</f>
        <v/>
      </c>
      <c r="M97" s="6">
        <f>Summary!M97*0.5</f>
        <v/>
      </c>
      <c r="N97" s="6">
        <f>Summary!N97*0.5</f>
        <v/>
      </c>
      <c r="O97" s="6">
        <f>Summary!O97*0.5</f>
        <v/>
      </c>
      <c r="P97" s="6">
        <f>Summary!P97*0.5</f>
        <v/>
      </c>
      <c r="Q97" s="6">
        <f>Summary!Q97*0.5</f>
        <v/>
      </c>
      <c r="R97" s="6">
        <f>Summary!R97*0.5</f>
        <v/>
      </c>
      <c r="S97" s="6">
        <f>Summary!S97*0.5</f>
        <v/>
      </c>
      <c r="T97" s="6">
        <f>Summary!T97*0.5</f>
        <v/>
      </c>
      <c r="U97" s="6">
        <f>Summary!U97*0.5</f>
        <v/>
      </c>
      <c r="V97" s="6">
        <f>Summary!V97*0.5</f>
        <v/>
      </c>
      <c r="W97" s="6">
        <f>Summary!W97*0.5</f>
        <v/>
      </c>
      <c r="X97" s="6">
        <f>Summary!X97*0.5</f>
        <v/>
      </c>
      <c r="Y97" s="6">
        <f>Summary!Y97*0.5</f>
        <v/>
      </c>
      <c r="Z97" s="6">
        <f>Summary!Z97*0.5</f>
        <v/>
      </c>
      <c r="AA97" s="6">
        <f>Summary!AA97*0.5</f>
        <v/>
      </c>
      <c r="AB97" s="6">
        <f>SUM(D97:AA97)</f>
        <v/>
      </c>
      <c r="AC97" s="3" t="inlineStr"/>
      <c r="AD97" s="7">
        <f>E97*0.0010111333+D97*0.0002022267</f>
        <v/>
      </c>
      <c r="AE97" s="7">
        <f>F97*0.0010111333+E97*0.0002022267</f>
        <v/>
      </c>
      <c r="AF97" s="7">
        <f>G97*0.0010111333+F97*0.0002022267</f>
        <v/>
      </c>
      <c r="AG97" s="7">
        <f>H97*0.0010111333+G97*0.0002022267</f>
        <v/>
      </c>
      <c r="AH97" s="7">
        <f>I97*0.0010111333+H97*0.0002022267</f>
        <v/>
      </c>
      <c r="AI97" s="7">
        <f>J97*0.0010111333+I97*0.0002022267</f>
        <v/>
      </c>
      <c r="AJ97" s="7">
        <f>K97*0.0010111333+J97*0.0002022267</f>
        <v/>
      </c>
      <c r="AK97" s="7">
        <f>L97*0.0010111333+K97*0.0002022267</f>
        <v/>
      </c>
      <c r="AL97" s="7">
        <f>M97*0.0010111333+L97*0.0002022267</f>
        <v/>
      </c>
      <c r="AM97" s="7">
        <f>N97*0.0010111333+M97*0.0002022267</f>
        <v/>
      </c>
      <c r="AN97" s="7">
        <f>O97*0.0010111333+N97*0.0002022267</f>
        <v/>
      </c>
      <c r="AO97" s="7">
        <f>P97*0.0010111333+O97*0.0002022267</f>
        <v/>
      </c>
      <c r="AP97" s="7">
        <f>Q97*0.0010111333+P97*0.0002022267</f>
        <v/>
      </c>
      <c r="AQ97" s="7">
        <f>R97*0.0010111333+Q97*0.0002022267</f>
        <v/>
      </c>
      <c r="AR97" s="7">
        <f>S97*0.0010111333+R97*0.0002022267</f>
        <v/>
      </c>
      <c r="AS97" s="7">
        <f>T97*0.0010111333+S97*0.0002022267</f>
        <v/>
      </c>
      <c r="AT97" s="7">
        <f>U97*0.0010111333+T97*0.0002022267</f>
        <v/>
      </c>
      <c r="AU97" s="7">
        <f>V97*0.0010111333+U97*0.0002022267</f>
        <v/>
      </c>
      <c r="AV97" s="7">
        <f>W97*0.0010111333+V97*0.0002022267</f>
        <v/>
      </c>
      <c r="AW97" s="7">
        <f>X97*0.0010111333+W97*0.0002022267</f>
        <v/>
      </c>
      <c r="AX97" s="7">
        <f>Y97*0.0010111333+X97*0.0002022267</f>
        <v/>
      </c>
      <c r="AY97" s="7">
        <f>Z97*0.0010111333+Y97*0.0002022267</f>
        <v/>
      </c>
      <c r="AZ97" s="7">
        <f>AA97*0.0010111333+Z97*0.0002022267</f>
        <v/>
      </c>
      <c r="BA97" s="7">
        <f>D97*0.0010111333+AA97*0.0002022267</f>
        <v/>
      </c>
      <c r="BB97" s="7">
        <f>SUM(AD97:BA97)</f>
        <v/>
      </c>
    </row>
    <row r="98">
      <c r="A98" t="inlineStr">
        <is>
          <t>AMD-RTS-RCLS-1302-SSC</t>
        </is>
      </c>
      <c r="B98" t="inlineStr">
        <is>
          <t>Rev OSC</t>
        </is>
      </c>
      <c r="C98" s="5" t="n">
        <v>46105</v>
      </c>
      <c r="D98" s="6">
        <f>Summary!D98*0.5</f>
        <v/>
      </c>
      <c r="E98" s="6">
        <f>Summary!E98*0.5</f>
        <v/>
      </c>
      <c r="F98" s="6">
        <f>Summary!F98*0.5</f>
        <v/>
      </c>
      <c r="G98" s="6">
        <f>Summary!G98*0.5</f>
        <v/>
      </c>
      <c r="H98" s="6">
        <f>Summary!H98*0.5</f>
        <v/>
      </c>
      <c r="I98" s="6">
        <f>Summary!I98*0.5</f>
        <v/>
      </c>
      <c r="J98" s="6">
        <f>Summary!J98*0.5</f>
        <v/>
      </c>
      <c r="K98" s="6">
        <f>Summary!K98*0.5</f>
        <v/>
      </c>
      <c r="L98" s="6">
        <f>Summary!L98*0.5</f>
        <v/>
      </c>
      <c r="M98" s="6">
        <f>Summary!M98*0.5</f>
        <v/>
      </c>
      <c r="N98" s="6">
        <f>Summary!N98*0.5</f>
        <v/>
      </c>
      <c r="O98" s="6">
        <f>Summary!O98*0.5</f>
        <v/>
      </c>
      <c r="P98" s="6">
        <f>Summary!P98*0.5</f>
        <v/>
      </c>
      <c r="Q98" s="6">
        <f>Summary!Q98*0.5</f>
        <v/>
      </c>
      <c r="R98" s="6">
        <f>Summary!R98*0.5</f>
        <v/>
      </c>
      <c r="S98" s="6">
        <f>Summary!S98*0.5</f>
        <v/>
      </c>
      <c r="T98" s="6">
        <f>Summary!T98*0.5</f>
        <v/>
      </c>
      <c r="U98" s="6">
        <f>Summary!U98*0.5</f>
        <v/>
      </c>
      <c r="V98" s="6">
        <f>Summary!V98*0.5</f>
        <v/>
      </c>
      <c r="W98" s="6">
        <f>Summary!W98*0.5</f>
        <v/>
      </c>
      <c r="X98" s="6">
        <f>Summary!X98*0.5</f>
        <v/>
      </c>
      <c r="Y98" s="6">
        <f>Summary!Y98*0.5</f>
        <v/>
      </c>
      <c r="Z98" s="6">
        <f>Summary!Z98*0.5</f>
        <v/>
      </c>
      <c r="AA98" s="6">
        <f>Summary!AA98*0.5</f>
        <v/>
      </c>
      <c r="AB98" s="6">
        <f>SUM(D98:AA98)</f>
        <v/>
      </c>
      <c r="AC98" s="3" t="inlineStr"/>
      <c r="AD98" s="7">
        <f>E98*0.0010111333+D98*0.0002022267</f>
        <v/>
      </c>
      <c r="AE98" s="7">
        <f>F98*0.0010111333+E98*0.0002022267</f>
        <v/>
      </c>
      <c r="AF98" s="7">
        <f>G98*0.0010111333+F98*0.0002022267</f>
        <v/>
      </c>
      <c r="AG98" s="7">
        <f>H98*0.0010111333+G98*0.0002022267</f>
        <v/>
      </c>
      <c r="AH98" s="7">
        <f>I98*0.0010111333+H98*0.0002022267</f>
        <v/>
      </c>
      <c r="AI98" s="7">
        <f>J98*0.0010111333+I98*0.0002022267</f>
        <v/>
      </c>
      <c r="AJ98" s="7">
        <f>K98*0.0010111333+J98*0.0002022267</f>
        <v/>
      </c>
      <c r="AK98" s="7">
        <f>L98*0.0010111333+K98*0.0002022267</f>
        <v/>
      </c>
      <c r="AL98" s="7">
        <f>M98*0.0010111333+L98*0.0002022267</f>
        <v/>
      </c>
      <c r="AM98" s="7">
        <f>N98*0.0010111333+M98*0.0002022267</f>
        <v/>
      </c>
      <c r="AN98" s="7">
        <f>O98*0.0010111333+N98*0.0002022267</f>
        <v/>
      </c>
      <c r="AO98" s="7">
        <f>P98*0.0010111333+O98*0.0002022267</f>
        <v/>
      </c>
      <c r="AP98" s="7">
        <f>Q98*0.0010111333+P98*0.0002022267</f>
        <v/>
      </c>
      <c r="AQ98" s="7">
        <f>R98*0.0010111333+Q98*0.0002022267</f>
        <v/>
      </c>
      <c r="AR98" s="7">
        <f>S98*0.0010111333+R98*0.0002022267</f>
        <v/>
      </c>
      <c r="AS98" s="7">
        <f>T98*0.0010111333+S98*0.0002022267</f>
        <v/>
      </c>
      <c r="AT98" s="7">
        <f>U98*0.0010111333+T98*0.0002022267</f>
        <v/>
      </c>
      <c r="AU98" s="7">
        <f>V98*0.0010111333+U98*0.0002022267</f>
        <v/>
      </c>
      <c r="AV98" s="7">
        <f>W98*0.0010111333+V98*0.0002022267</f>
        <v/>
      </c>
      <c r="AW98" s="7">
        <f>X98*0.0010111333+W98*0.0002022267</f>
        <v/>
      </c>
      <c r="AX98" s="7">
        <f>Y98*0.0010111333+X98*0.0002022267</f>
        <v/>
      </c>
      <c r="AY98" s="7">
        <f>Z98*0.0010111333+Y98*0.0002022267</f>
        <v/>
      </c>
      <c r="AZ98" s="7">
        <f>AA98*0.0010111333+Z98*0.0002022267</f>
        <v/>
      </c>
      <c r="BA98" s="7">
        <f>D98*0.0010111333+AA98*0.0002022267</f>
        <v/>
      </c>
      <c r="BB98" s="7">
        <f>SUM(AD98:BA98)</f>
        <v/>
      </c>
    </row>
    <row r="99">
      <c r="A99" t="inlineStr">
        <is>
          <t>AMD-RTS-RCLS-1302-SSC_1</t>
        </is>
      </c>
      <c r="B99" t="inlineStr">
        <is>
          <t>Rev OSC</t>
        </is>
      </c>
      <c r="C99" s="5" t="n">
        <v>46090</v>
      </c>
      <c r="D99" s="6">
        <f>Summary!D99*0.5</f>
        <v/>
      </c>
      <c r="E99" s="6">
        <f>Summary!E99*0.5</f>
        <v/>
      </c>
      <c r="F99" s="6">
        <f>Summary!F99*0.5</f>
        <v/>
      </c>
      <c r="G99" s="6">
        <f>Summary!G99*0.5</f>
        <v/>
      </c>
      <c r="H99" s="6">
        <f>Summary!H99*0.5</f>
        <v/>
      </c>
      <c r="I99" s="6">
        <f>Summary!I99*0.5</f>
        <v/>
      </c>
      <c r="J99" s="6">
        <f>Summary!J99*0.5</f>
        <v/>
      </c>
      <c r="K99" s="6">
        <f>Summary!K99*0.5</f>
        <v/>
      </c>
      <c r="L99" s="6">
        <f>Summary!L99*0.5</f>
        <v/>
      </c>
      <c r="M99" s="6">
        <f>Summary!M99*0.5</f>
        <v/>
      </c>
      <c r="N99" s="6">
        <f>Summary!N99*0.5</f>
        <v/>
      </c>
      <c r="O99" s="6">
        <f>Summary!O99*0.5</f>
        <v/>
      </c>
      <c r="P99" s="6">
        <f>Summary!P99*0.5</f>
        <v/>
      </c>
      <c r="Q99" s="6">
        <f>Summary!Q99*0.5</f>
        <v/>
      </c>
      <c r="R99" s="6">
        <f>Summary!R99*0.5</f>
        <v/>
      </c>
      <c r="S99" s="6">
        <f>Summary!S99*0.5</f>
        <v/>
      </c>
      <c r="T99" s="6">
        <f>Summary!T99*0.5</f>
        <v/>
      </c>
      <c r="U99" s="6">
        <f>Summary!U99*0.5</f>
        <v/>
      </c>
      <c r="V99" s="6">
        <f>Summary!V99*0.5</f>
        <v/>
      </c>
      <c r="W99" s="6">
        <f>Summary!W99*0.5</f>
        <v/>
      </c>
      <c r="X99" s="6">
        <f>Summary!X99*0.5</f>
        <v/>
      </c>
      <c r="Y99" s="6">
        <f>Summary!Y99*0.5</f>
        <v/>
      </c>
      <c r="Z99" s="6">
        <f>Summary!Z99*0.5</f>
        <v/>
      </c>
      <c r="AA99" s="6">
        <f>Summary!AA99*0.5</f>
        <v/>
      </c>
      <c r="AB99" s="6">
        <f>SUM(D99:AA99)</f>
        <v/>
      </c>
      <c r="AC99" s="3" t="inlineStr"/>
      <c r="AD99" s="7">
        <f>E99*0.0010111333+D99*0.0002022267</f>
        <v/>
      </c>
      <c r="AE99" s="7">
        <f>F99*0.0010111333+E99*0.0002022267</f>
        <v/>
      </c>
      <c r="AF99" s="7">
        <f>G99*0.0010111333+F99*0.0002022267</f>
        <v/>
      </c>
      <c r="AG99" s="7">
        <f>H99*0.0010111333+G99*0.0002022267</f>
        <v/>
      </c>
      <c r="AH99" s="7">
        <f>I99*0.0010111333+H99*0.0002022267</f>
        <v/>
      </c>
      <c r="AI99" s="7">
        <f>J99*0.0010111333+I99*0.0002022267</f>
        <v/>
      </c>
      <c r="AJ99" s="7">
        <f>K99*0.0010111333+J99*0.0002022267</f>
        <v/>
      </c>
      <c r="AK99" s="7">
        <f>L99*0.0010111333+K99*0.0002022267</f>
        <v/>
      </c>
      <c r="AL99" s="7">
        <f>M99*0.0010111333+L99*0.0002022267</f>
        <v/>
      </c>
      <c r="AM99" s="7">
        <f>N99*0.0010111333+M99*0.0002022267</f>
        <v/>
      </c>
      <c r="AN99" s="7">
        <f>O99*0.0010111333+N99*0.0002022267</f>
        <v/>
      </c>
      <c r="AO99" s="7">
        <f>P99*0.0010111333+O99*0.0002022267</f>
        <v/>
      </c>
      <c r="AP99" s="7">
        <f>Q99*0.0010111333+P99*0.0002022267</f>
        <v/>
      </c>
      <c r="AQ99" s="7">
        <f>R99*0.0010111333+Q99*0.0002022267</f>
        <v/>
      </c>
      <c r="AR99" s="7">
        <f>S99*0.0010111333+R99*0.0002022267</f>
        <v/>
      </c>
      <c r="AS99" s="7">
        <f>T99*0.0010111333+S99*0.0002022267</f>
        <v/>
      </c>
      <c r="AT99" s="7">
        <f>U99*0.0010111333+T99*0.0002022267</f>
        <v/>
      </c>
      <c r="AU99" s="7">
        <f>V99*0.0010111333+U99*0.0002022267</f>
        <v/>
      </c>
      <c r="AV99" s="7">
        <f>W99*0.0010111333+V99*0.0002022267</f>
        <v/>
      </c>
      <c r="AW99" s="7">
        <f>X99*0.0010111333+W99*0.0002022267</f>
        <v/>
      </c>
      <c r="AX99" s="7">
        <f>Y99*0.0010111333+X99*0.0002022267</f>
        <v/>
      </c>
      <c r="AY99" s="7">
        <f>Z99*0.0010111333+Y99*0.0002022267</f>
        <v/>
      </c>
      <c r="AZ99" s="7">
        <f>AA99*0.0010111333+Z99*0.0002022267</f>
        <v/>
      </c>
      <c r="BA99" s="7">
        <f>D99*0.0010111333+AA99*0.0002022267</f>
        <v/>
      </c>
      <c r="BB99" s="7">
        <f>SUM(AD99:BA99)</f>
        <v/>
      </c>
    </row>
    <row r="100">
      <c r="A100" t="inlineStr">
        <is>
          <t>AMD-RTS-RCLS-1302-SSC_1</t>
        </is>
      </c>
      <c r="B100" t="inlineStr">
        <is>
          <t>Rev OSC</t>
        </is>
      </c>
      <c r="C100" s="5" t="n">
        <v>46093</v>
      </c>
      <c r="D100" s="6">
        <f>Summary!D100*0.5</f>
        <v/>
      </c>
      <c r="E100" s="6">
        <f>Summary!E100*0.5</f>
        <v/>
      </c>
      <c r="F100" s="6">
        <f>Summary!F100*0.5</f>
        <v/>
      </c>
      <c r="G100" s="6">
        <f>Summary!G100*0.5</f>
        <v/>
      </c>
      <c r="H100" s="6">
        <f>Summary!H100*0.5</f>
        <v/>
      </c>
      <c r="I100" s="6">
        <f>Summary!I100*0.5</f>
        <v/>
      </c>
      <c r="J100" s="6">
        <f>Summary!J100*0.5</f>
        <v/>
      </c>
      <c r="K100" s="6">
        <f>Summary!K100*0.5</f>
        <v/>
      </c>
      <c r="L100" s="6">
        <f>Summary!L100*0.5</f>
        <v/>
      </c>
      <c r="M100" s="6">
        <f>Summary!M100*0.5</f>
        <v/>
      </c>
      <c r="N100" s="6">
        <f>Summary!N100*0.5</f>
        <v/>
      </c>
      <c r="O100" s="6">
        <f>Summary!O100*0.5</f>
        <v/>
      </c>
      <c r="P100" s="6">
        <f>Summary!P100*0.5</f>
        <v/>
      </c>
      <c r="Q100" s="6">
        <f>Summary!Q100*0.5</f>
        <v/>
      </c>
      <c r="R100" s="6">
        <f>Summary!R100*0.5</f>
        <v/>
      </c>
      <c r="S100" s="6">
        <f>Summary!S100*0.5</f>
        <v/>
      </c>
      <c r="T100" s="6">
        <f>Summary!T100*0.5</f>
        <v/>
      </c>
      <c r="U100" s="6">
        <f>Summary!U100*0.5</f>
        <v/>
      </c>
      <c r="V100" s="6">
        <f>Summary!V100*0.5</f>
        <v/>
      </c>
      <c r="W100" s="6">
        <f>Summary!W100*0.5</f>
        <v/>
      </c>
      <c r="X100" s="6">
        <f>Summary!X100*0.5</f>
        <v/>
      </c>
      <c r="Y100" s="6">
        <f>Summary!Y100*0.5</f>
        <v/>
      </c>
      <c r="Z100" s="6">
        <f>Summary!Z100*0.5</f>
        <v/>
      </c>
      <c r="AA100" s="6">
        <f>Summary!AA100*0.5</f>
        <v/>
      </c>
      <c r="AB100" s="6">
        <f>SUM(D100:AA100)</f>
        <v/>
      </c>
      <c r="AC100" s="3" t="inlineStr"/>
      <c r="AD100" s="7">
        <f>E100*0.0010111333+D100*0.0002022267</f>
        <v/>
      </c>
      <c r="AE100" s="7">
        <f>F100*0.0010111333+E100*0.0002022267</f>
        <v/>
      </c>
      <c r="AF100" s="7">
        <f>G100*0.0010111333+F100*0.0002022267</f>
        <v/>
      </c>
      <c r="AG100" s="7">
        <f>H100*0.0010111333+G100*0.0002022267</f>
        <v/>
      </c>
      <c r="AH100" s="7">
        <f>I100*0.0010111333+H100*0.0002022267</f>
        <v/>
      </c>
      <c r="AI100" s="7">
        <f>J100*0.0010111333+I100*0.0002022267</f>
        <v/>
      </c>
      <c r="AJ100" s="7">
        <f>K100*0.0010111333+J100*0.0002022267</f>
        <v/>
      </c>
      <c r="AK100" s="7">
        <f>L100*0.0010111333+K100*0.0002022267</f>
        <v/>
      </c>
      <c r="AL100" s="7">
        <f>M100*0.0010111333+L100*0.0002022267</f>
        <v/>
      </c>
      <c r="AM100" s="7">
        <f>N100*0.0010111333+M100*0.0002022267</f>
        <v/>
      </c>
      <c r="AN100" s="7">
        <f>O100*0.0010111333+N100*0.0002022267</f>
        <v/>
      </c>
      <c r="AO100" s="7">
        <f>P100*0.0010111333+O100*0.0002022267</f>
        <v/>
      </c>
      <c r="AP100" s="7">
        <f>Q100*0.0010111333+P100*0.0002022267</f>
        <v/>
      </c>
      <c r="AQ100" s="7">
        <f>R100*0.0010111333+Q100*0.0002022267</f>
        <v/>
      </c>
      <c r="AR100" s="7">
        <f>S100*0.0010111333+R100*0.0002022267</f>
        <v/>
      </c>
      <c r="AS100" s="7">
        <f>T100*0.0010111333+S100*0.0002022267</f>
        <v/>
      </c>
      <c r="AT100" s="7">
        <f>U100*0.0010111333+T100*0.0002022267</f>
        <v/>
      </c>
      <c r="AU100" s="7">
        <f>V100*0.0010111333+U100*0.0002022267</f>
        <v/>
      </c>
      <c r="AV100" s="7">
        <f>W100*0.0010111333+V100*0.0002022267</f>
        <v/>
      </c>
      <c r="AW100" s="7">
        <f>X100*0.0010111333+W100*0.0002022267</f>
        <v/>
      </c>
      <c r="AX100" s="7">
        <f>Y100*0.0010111333+X100*0.0002022267</f>
        <v/>
      </c>
      <c r="AY100" s="7">
        <f>Z100*0.0010111333+Y100*0.0002022267</f>
        <v/>
      </c>
      <c r="AZ100" s="7">
        <f>AA100*0.0010111333+Z100*0.0002022267</f>
        <v/>
      </c>
      <c r="BA100" s="7">
        <f>D100*0.0010111333+AA100*0.0002022267</f>
        <v/>
      </c>
      <c r="BB100" s="7">
        <f>SUM(AD100:BA100)</f>
        <v/>
      </c>
    </row>
    <row r="101">
      <c r="A101" t="inlineStr">
        <is>
          <t>AMD-RTS-RCLS-1302-SSC_1</t>
        </is>
      </c>
      <c r="B101" t="inlineStr">
        <is>
          <t>Rev OSC</t>
        </is>
      </c>
      <c r="C101" s="5" t="n">
        <v>46094</v>
      </c>
      <c r="D101" s="6">
        <f>Summary!D101*0.5</f>
        <v/>
      </c>
      <c r="E101" s="6">
        <f>Summary!E101*0.5</f>
        <v/>
      </c>
      <c r="F101" s="6">
        <f>Summary!F101*0.5</f>
        <v/>
      </c>
      <c r="G101" s="6">
        <f>Summary!G101*0.5</f>
        <v/>
      </c>
      <c r="H101" s="6">
        <f>Summary!H101*0.5</f>
        <v/>
      </c>
      <c r="I101" s="6">
        <f>Summary!I101*0.5</f>
        <v/>
      </c>
      <c r="J101" s="6">
        <f>Summary!J101*0.5</f>
        <v/>
      </c>
      <c r="K101" s="6">
        <f>Summary!K101*0.5</f>
        <v/>
      </c>
      <c r="L101" s="6">
        <f>Summary!L101*0.5</f>
        <v/>
      </c>
      <c r="M101" s="6">
        <f>Summary!M101*0.5</f>
        <v/>
      </c>
      <c r="N101" s="6">
        <f>Summary!N101*0.5</f>
        <v/>
      </c>
      <c r="O101" s="6">
        <f>Summary!O101*0.5</f>
        <v/>
      </c>
      <c r="P101" s="6">
        <f>Summary!P101*0.5</f>
        <v/>
      </c>
      <c r="Q101" s="6">
        <f>Summary!Q101*0.5</f>
        <v/>
      </c>
      <c r="R101" s="6">
        <f>Summary!R101*0.5</f>
        <v/>
      </c>
      <c r="S101" s="6">
        <f>Summary!S101*0.5</f>
        <v/>
      </c>
      <c r="T101" s="6">
        <f>Summary!T101*0.5</f>
        <v/>
      </c>
      <c r="U101" s="6">
        <f>Summary!U101*0.5</f>
        <v/>
      </c>
      <c r="V101" s="6">
        <f>Summary!V101*0.5</f>
        <v/>
      </c>
      <c r="W101" s="6">
        <f>Summary!W101*0.5</f>
        <v/>
      </c>
      <c r="X101" s="6">
        <f>Summary!X101*0.5</f>
        <v/>
      </c>
      <c r="Y101" s="6">
        <f>Summary!Y101*0.5</f>
        <v/>
      </c>
      <c r="Z101" s="6">
        <f>Summary!Z101*0.5</f>
        <v/>
      </c>
      <c r="AA101" s="6">
        <f>Summary!AA101*0.5</f>
        <v/>
      </c>
      <c r="AB101" s="6">
        <f>SUM(D101:AA101)</f>
        <v/>
      </c>
      <c r="AC101" s="3" t="inlineStr"/>
      <c r="AD101" s="7">
        <f>E101*0.0010111333+D101*0.0002022267</f>
        <v/>
      </c>
      <c r="AE101" s="7">
        <f>F101*0.0010111333+E101*0.0002022267</f>
        <v/>
      </c>
      <c r="AF101" s="7">
        <f>G101*0.0010111333+F101*0.0002022267</f>
        <v/>
      </c>
      <c r="AG101" s="7">
        <f>H101*0.0010111333+G101*0.0002022267</f>
        <v/>
      </c>
      <c r="AH101" s="7">
        <f>I101*0.0010111333+H101*0.0002022267</f>
        <v/>
      </c>
      <c r="AI101" s="7">
        <f>J101*0.0010111333+I101*0.0002022267</f>
        <v/>
      </c>
      <c r="AJ101" s="7">
        <f>K101*0.0010111333+J101*0.0002022267</f>
        <v/>
      </c>
      <c r="AK101" s="7">
        <f>L101*0.0010111333+K101*0.0002022267</f>
        <v/>
      </c>
      <c r="AL101" s="7">
        <f>M101*0.0010111333+L101*0.0002022267</f>
        <v/>
      </c>
      <c r="AM101" s="7">
        <f>N101*0.0010111333+M101*0.0002022267</f>
        <v/>
      </c>
      <c r="AN101" s="7">
        <f>O101*0.0010111333+N101*0.0002022267</f>
        <v/>
      </c>
      <c r="AO101" s="7">
        <f>P101*0.0010111333+O101*0.0002022267</f>
        <v/>
      </c>
      <c r="AP101" s="7">
        <f>Q101*0.0010111333+P101*0.0002022267</f>
        <v/>
      </c>
      <c r="AQ101" s="7">
        <f>R101*0.0010111333+Q101*0.0002022267</f>
        <v/>
      </c>
      <c r="AR101" s="7">
        <f>S101*0.0010111333+R101*0.0002022267</f>
        <v/>
      </c>
      <c r="AS101" s="7">
        <f>T101*0.0010111333+S101*0.0002022267</f>
        <v/>
      </c>
      <c r="AT101" s="7">
        <f>U101*0.0010111333+T101*0.0002022267</f>
        <v/>
      </c>
      <c r="AU101" s="7">
        <f>V101*0.0010111333+U101*0.0002022267</f>
        <v/>
      </c>
      <c r="AV101" s="7">
        <f>W101*0.0010111333+V101*0.0002022267</f>
        <v/>
      </c>
      <c r="AW101" s="7">
        <f>X101*0.0010111333+W101*0.0002022267</f>
        <v/>
      </c>
      <c r="AX101" s="7">
        <f>Y101*0.0010111333+X101*0.0002022267</f>
        <v/>
      </c>
      <c r="AY101" s="7">
        <f>Z101*0.0010111333+Y101*0.0002022267</f>
        <v/>
      </c>
      <c r="AZ101" s="7">
        <f>AA101*0.0010111333+Z101*0.0002022267</f>
        <v/>
      </c>
      <c r="BA101" s="7">
        <f>D101*0.0010111333+AA101*0.0002022267</f>
        <v/>
      </c>
      <c r="BB101" s="7">
        <f>SUM(AD101:BA101)</f>
        <v/>
      </c>
    </row>
    <row r="102">
      <c r="A102" t="inlineStr">
        <is>
          <t>AMD-RTS-RCLS-1302-SSC_1</t>
        </is>
      </c>
      <c r="B102" t="inlineStr">
        <is>
          <t>Rev OSC</t>
        </is>
      </c>
      <c r="C102" s="5" t="n">
        <v>46095</v>
      </c>
      <c r="D102" s="6">
        <f>Summary!D102*0.5</f>
        <v/>
      </c>
      <c r="E102" s="6">
        <f>Summary!E102*0.5</f>
        <v/>
      </c>
      <c r="F102" s="6">
        <f>Summary!F102*0.5</f>
        <v/>
      </c>
      <c r="G102" s="6">
        <f>Summary!G102*0.5</f>
        <v/>
      </c>
      <c r="H102" s="6">
        <f>Summary!H102*0.5</f>
        <v/>
      </c>
      <c r="I102" s="6">
        <f>Summary!I102*0.5</f>
        <v/>
      </c>
      <c r="J102" s="6">
        <f>Summary!J102*0.5</f>
        <v/>
      </c>
      <c r="K102" s="6">
        <f>Summary!K102*0.5</f>
        <v/>
      </c>
      <c r="L102" s="6">
        <f>Summary!L102*0.5</f>
        <v/>
      </c>
      <c r="M102" s="6">
        <f>Summary!M102*0.5</f>
        <v/>
      </c>
      <c r="N102" s="6">
        <f>Summary!N102*0.5</f>
        <v/>
      </c>
      <c r="O102" s="6">
        <f>Summary!O102*0.5</f>
        <v/>
      </c>
      <c r="P102" s="6">
        <f>Summary!P102*0.5</f>
        <v/>
      </c>
      <c r="Q102" s="6">
        <f>Summary!Q102*0.5</f>
        <v/>
      </c>
      <c r="R102" s="6">
        <f>Summary!R102*0.5</f>
        <v/>
      </c>
      <c r="S102" s="6">
        <f>Summary!S102*0.5</f>
        <v/>
      </c>
      <c r="T102" s="6">
        <f>Summary!T102*0.5</f>
        <v/>
      </c>
      <c r="U102" s="6">
        <f>Summary!U102*0.5</f>
        <v/>
      </c>
      <c r="V102" s="6">
        <f>Summary!V102*0.5</f>
        <v/>
      </c>
      <c r="W102" s="6">
        <f>Summary!W102*0.5</f>
        <v/>
      </c>
      <c r="X102" s="6">
        <f>Summary!X102*0.5</f>
        <v/>
      </c>
      <c r="Y102" s="6">
        <f>Summary!Y102*0.5</f>
        <v/>
      </c>
      <c r="Z102" s="6">
        <f>Summary!Z102*0.5</f>
        <v/>
      </c>
      <c r="AA102" s="6">
        <f>Summary!AA102*0.5</f>
        <v/>
      </c>
      <c r="AB102" s="6">
        <f>SUM(D102:AA102)</f>
        <v/>
      </c>
      <c r="AC102" s="3" t="inlineStr"/>
      <c r="AD102" s="7">
        <f>E102*0.0010111333+D102*0.0002022267</f>
        <v/>
      </c>
      <c r="AE102" s="7">
        <f>F102*0.0010111333+E102*0.0002022267</f>
        <v/>
      </c>
      <c r="AF102" s="7">
        <f>G102*0.0010111333+F102*0.0002022267</f>
        <v/>
      </c>
      <c r="AG102" s="7">
        <f>H102*0.0010111333+G102*0.0002022267</f>
        <v/>
      </c>
      <c r="AH102" s="7">
        <f>I102*0.0010111333+H102*0.0002022267</f>
        <v/>
      </c>
      <c r="AI102" s="7">
        <f>J102*0.0010111333+I102*0.0002022267</f>
        <v/>
      </c>
      <c r="AJ102" s="7">
        <f>K102*0.0010111333+J102*0.0002022267</f>
        <v/>
      </c>
      <c r="AK102" s="7">
        <f>L102*0.0010111333+K102*0.0002022267</f>
        <v/>
      </c>
      <c r="AL102" s="7">
        <f>M102*0.0010111333+L102*0.0002022267</f>
        <v/>
      </c>
      <c r="AM102" s="7">
        <f>N102*0.0010111333+M102*0.0002022267</f>
        <v/>
      </c>
      <c r="AN102" s="7">
        <f>O102*0.0010111333+N102*0.0002022267</f>
        <v/>
      </c>
      <c r="AO102" s="7">
        <f>P102*0.0010111333+O102*0.0002022267</f>
        <v/>
      </c>
      <c r="AP102" s="7">
        <f>Q102*0.0010111333+P102*0.0002022267</f>
        <v/>
      </c>
      <c r="AQ102" s="7">
        <f>R102*0.0010111333+Q102*0.0002022267</f>
        <v/>
      </c>
      <c r="AR102" s="7">
        <f>S102*0.0010111333+R102*0.0002022267</f>
        <v/>
      </c>
      <c r="AS102" s="7">
        <f>T102*0.0010111333+S102*0.0002022267</f>
        <v/>
      </c>
      <c r="AT102" s="7">
        <f>U102*0.0010111333+T102*0.0002022267</f>
        <v/>
      </c>
      <c r="AU102" s="7">
        <f>V102*0.0010111333+U102*0.0002022267</f>
        <v/>
      </c>
      <c r="AV102" s="7">
        <f>W102*0.0010111333+V102*0.0002022267</f>
        <v/>
      </c>
      <c r="AW102" s="7">
        <f>X102*0.0010111333+W102*0.0002022267</f>
        <v/>
      </c>
      <c r="AX102" s="7">
        <f>Y102*0.0010111333+X102*0.0002022267</f>
        <v/>
      </c>
      <c r="AY102" s="7">
        <f>Z102*0.0010111333+Y102*0.0002022267</f>
        <v/>
      </c>
      <c r="AZ102" s="7">
        <f>AA102*0.0010111333+Z102*0.0002022267</f>
        <v/>
      </c>
      <c r="BA102" s="7">
        <f>D102*0.0010111333+AA102*0.0002022267</f>
        <v/>
      </c>
      <c r="BB102" s="7">
        <f>SUM(AD102:BA102)</f>
        <v/>
      </c>
    </row>
    <row r="103">
      <c r="A103" t="inlineStr">
        <is>
          <t>AMD-RTS-RCLS-1302-SSC_1</t>
        </is>
      </c>
      <c r="B103" t="inlineStr">
        <is>
          <t>Rev OSC</t>
        </is>
      </c>
      <c r="C103" s="5" t="n">
        <v>46100</v>
      </c>
      <c r="D103" s="6">
        <f>Summary!D103*0.5</f>
        <v/>
      </c>
      <c r="E103" s="6">
        <f>Summary!E103*0.5</f>
        <v/>
      </c>
      <c r="F103" s="6">
        <f>Summary!F103*0.5</f>
        <v/>
      </c>
      <c r="G103" s="6">
        <f>Summary!G103*0.5</f>
        <v/>
      </c>
      <c r="H103" s="6">
        <f>Summary!H103*0.5</f>
        <v/>
      </c>
      <c r="I103" s="6">
        <f>Summary!I103*0.5</f>
        <v/>
      </c>
      <c r="J103" s="6">
        <f>Summary!J103*0.5</f>
        <v/>
      </c>
      <c r="K103" s="6">
        <f>Summary!K103*0.5</f>
        <v/>
      </c>
      <c r="L103" s="6">
        <f>Summary!L103*0.5</f>
        <v/>
      </c>
      <c r="M103" s="6">
        <f>Summary!M103*0.5</f>
        <v/>
      </c>
      <c r="N103" s="6">
        <f>Summary!N103*0.5</f>
        <v/>
      </c>
      <c r="O103" s="6">
        <f>Summary!O103*0.5</f>
        <v/>
      </c>
      <c r="P103" s="6">
        <f>Summary!P103*0.5</f>
        <v/>
      </c>
      <c r="Q103" s="6">
        <f>Summary!Q103*0.5</f>
        <v/>
      </c>
      <c r="R103" s="6">
        <f>Summary!R103*0.5</f>
        <v/>
      </c>
      <c r="S103" s="6">
        <f>Summary!S103*0.5</f>
        <v/>
      </c>
      <c r="T103" s="6">
        <f>Summary!T103*0.5</f>
        <v/>
      </c>
      <c r="U103" s="6">
        <f>Summary!U103*0.5</f>
        <v/>
      </c>
      <c r="V103" s="6">
        <f>Summary!V103*0.5</f>
        <v/>
      </c>
      <c r="W103" s="6">
        <f>Summary!W103*0.5</f>
        <v/>
      </c>
      <c r="X103" s="6">
        <f>Summary!X103*0.5</f>
        <v/>
      </c>
      <c r="Y103" s="6">
        <f>Summary!Y103*0.5</f>
        <v/>
      </c>
      <c r="Z103" s="6">
        <f>Summary!Z103*0.5</f>
        <v/>
      </c>
      <c r="AA103" s="6">
        <f>Summary!AA103*0.5</f>
        <v/>
      </c>
      <c r="AB103" s="6">
        <f>SUM(D103:AA103)</f>
        <v/>
      </c>
      <c r="AC103" s="3" t="inlineStr"/>
      <c r="AD103" s="7">
        <f>E103*0.0010111333+D103*0.0002022267</f>
        <v/>
      </c>
      <c r="AE103" s="7">
        <f>F103*0.0010111333+E103*0.0002022267</f>
        <v/>
      </c>
      <c r="AF103" s="7">
        <f>G103*0.0010111333+F103*0.0002022267</f>
        <v/>
      </c>
      <c r="AG103" s="7">
        <f>H103*0.0010111333+G103*0.0002022267</f>
        <v/>
      </c>
      <c r="AH103" s="7">
        <f>I103*0.0010111333+H103*0.0002022267</f>
        <v/>
      </c>
      <c r="AI103" s="7">
        <f>J103*0.0010111333+I103*0.0002022267</f>
        <v/>
      </c>
      <c r="AJ103" s="7">
        <f>K103*0.0010111333+J103*0.0002022267</f>
        <v/>
      </c>
      <c r="AK103" s="7">
        <f>L103*0.0010111333+K103*0.0002022267</f>
        <v/>
      </c>
      <c r="AL103" s="7">
        <f>M103*0.0010111333+L103*0.0002022267</f>
        <v/>
      </c>
      <c r="AM103" s="7">
        <f>N103*0.0010111333+M103*0.0002022267</f>
        <v/>
      </c>
      <c r="AN103" s="7">
        <f>O103*0.0010111333+N103*0.0002022267</f>
        <v/>
      </c>
      <c r="AO103" s="7">
        <f>P103*0.0010111333+O103*0.0002022267</f>
        <v/>
      </c>
      <c r="AP103" s="7">
        <f>Q103*0.0010111333+P103*0.0002022267</f>
        <v/>
      </c>
      <c r="AQ103" s="7">
        <f>R103*0.0010111333+Q103*0.0002022267</f>
        <v/>
      </c>
      <c r="AR103" s="7">
        <f>S103*0.0010111333+R103*0.0002022267</f>
        <v/>
      </c>
      <c r="AS103" s="7">
        <f>T103*0.0010111333+S103*0.0002022267</f>
        <v/>
      </c>
      <c r="AT103" s="7">
        <f>U103*0.0010111333+T103*0.0002022267</f>
        <v/>
      </c>
      <c r="AU103" s="7">
        <f>V103*0.0010111333+U103*0.0002022267</f>
        <v/>
      </c>
      <c r="AV103" s="7">
        <f>W103*0.0010111333+V103*0.0002022267</f>
        <v/>
      </c>
      <c r="AW103" s="7">
        <f>X103*0.0010111333+W103*0.0002022267</f>
        <v/>
      </c>
      <c r="AX103" s="7">
        <f>Y103*0.0010111333+X103*0.0002022267</f>
        <v/>
      </c>
      <c r="AY103" s="7">
        <f>Z103*0.0010111333+Y103*0.0002022267</f>
        <v/>
      </c>
      <c r="AZ103" s="7">
        <f>AA103*0.0010111333+Z103*0.0002022267</f>
        <v/>
      </c>
      <c r="BA103" s="7">
        <f>D103*0.0010111333+AA103*0.0002022267</f>
        <v/>
      </c>
      <c r="BB103" s="7">
        <f>SUM(AD103:BA103)</f>
        <v/>
      </c>
    </row>
    <row r="104">
      <c r="A104" t="inlineStr">
        <is>
          <t>AMD-RTS-RCLS-1302-SSC_1</t>
        </is>
      </c>
      <c r="B104" t="inlineStr">
        <is>
          <t>Rev OSC</t>
        </is>
      </c>
      <c r="C104" s="5" t="n">
        <v>46102</v>
      </c>
      <c r="D104" s="6">
        <f>Summary!D104*0.5</f>
        <v/>
      </c>
      <c r="E104" s="6">
        <f>Summary!E104*0.5</f>
        <v/>
      </c>
      <c r="F104" s="6">
        <f>Summary!F104*0.5</f>
        <v/>
      </c>
      <c r="G104" s="6">
        <f>Summary!G104*0.5</f>
        <v/>
      </c>
      <c r="H104" s="6">
        <f>Summary!H104*0.5</f>
        <v/>
      </c>
      <c r="I104" s="6">
        <f>Summary!I104*0.5</f>
        <v/>
      </c>
      <c r="J104" s="6">
        <f>Summary!J104*0.5</f>
        <v/>
      </c>
      <c r="K104" s="6">
        <f>Summary!K104*0.5</f>
        <v/>
      </c>
      <c r="L104" s="6">
        <f>Summary!L104*0.5</f>
        <v/>
      </c>
      <c r="M104" s="6">
        <f>Summary!M104*0.5</f>
        <v/>
      </c>
      <c r="N104" s="6">
        <f>Summary!N104*0.5</f>
        <v/>
      </c>
      <c r="O104" s="6">
        <f>Summary!O104*0.5</f>
        <v/>
      </c>
      <c r="P104" s="6">
        <f>Summary!P104*0.5</f>
        <v/>
      </c>
      <c r="Q104" s="6">
        <f>Summary!Q104*0.5</f>
        <v/>
      </c>
      <c r="R104" s="6">
        <f>Summary!R104*0.5</f>
        <v/>
      </c>
      <c r="S104" s="6">
        <f>Summary!S104*0.5</f>
        <v/>
      </c>
      <c r="T104" s="6">
        <f>Summary!T104*0.5</f>
        <v/>
      </c>
      <c r="U104" s="6">
        <f>Summary!U104*0.5</f>
        <v/>
      </c>
      <c r="V104" s="6">
        <f>Summary!V104*0.5</f>
        <v/>
      </c>
      <c r="W104" s="6">
        <f>Summary!W104*0.5</f>
        <v/>
      </c>
      <c r="X104" s="6">
        <f>Summary!X104*0.5</f>
        <v/>
      </c>
      <c r="Y104" s="6">
        <f>Summary!Y104*0.5</f>
        <v/>
      </c>
      <c r="Z104" s="6">
        <f>Summary!Z104*0.5</f>
        <v/>
      </c>
      <c r="AA104" s="6">
        <f>Summary!AA104*0.5</f>
        <v/>
      </c>
      <c r="AB104" s="6">
        <f>SUM(D104:AA104)</f>
        <v/>
      </c>
      <c r="AC104" s="3" t="inlineStr"/>
      <c r="AD104" s="7">
        <f>E104*0.0010111333+D104*0.0002022267</f>
        <v/>
      </c>
      <c r="AE104" s="7">
        <f>F104*0.0010111333+E104*0.0002022267</f>
        <v/>
      </c>
      <c r="AF104" s="7">
        <f>G104*0.0010111333+F104*0.0002022267</f>
        <v/>
      </c>
      <c r="AG104" s="7">
        <f>H104*0.0010111333+G104*0.0002022267</f>
        <v/>
      </c>
      <c r="AH104" s="7">
        <f>I104*0.0010111333+H104*0.0002022267</f>
        <v/>
      </c>
      <c r="AI104" s="7">
        <f>J104*0.0010111333+I104*0.0002022267</f>
        <v/>
      </c>
      <c r="AJ104" s="7">
        <f>K104*0.0010111333+J104*0.0002022267</f>
        <v/>
      </c>
      <c r="AK104" s="7">
        <f>L104*0.0010111333+K104*0.0002022267</f>
        <v/>
      </c>
      <c r="AL104" s="7">
        <f>M104*0.0010111333+L104*0.0002022267</f>
        <v/>
      </c>
      <c r="AM104" s="7">
        <f>N104*0.0010111333+M104*0.0002022267</f>
        <v/>
      </c>
      <c r="AN104" s="7">
        <f>O104*0.0010111333+N104*0.0002022267</f>
        <v/>
      </c>
      <c r="AO104" s="7">
        <f>P104*0.0010111333+O104*0.0002022267</f>
        <v/>
      </c>
      <c r="AP104" s="7">
        <f>Q104*0.0010111333+P104*0.0002022267</f>
        <v/>
      </c>
      <c r="AQ104" s="7">
        <f>R104*0.0010111333+Q104*0.0002022267</f>
        <v/>
      </c>
      <c r="AR104" s="7">
        <f>S104*0.0010111333+R104*0.0002022267</f>
        <v/>
      </c>
      <c r="AS104" s="7">
        <f>T104*0.0010111333+S104*0.0002022267</f>
        <v/>
      </c>
      <c r="AT104" s="7">
        <f>U104*0.0010111333+T104*0.0002022267</f>
        <v/>
      </c>
      <c r="AU104" s="7">
        <f>V104*0.0010111333+U104*0.0002022267</f>
        <v/>
      </c>
      <c r="AV104" s="7">
        <f>W104*0.0010111333+V104*0.0002022267</f>
        <v/>
      </c>
      <c r="AW104" s="7">
        <f>X104*0.0010111333+W104*0.0002022267</f>
        <v/>
      </c>
      <c r="AX104" s="7">
        <f>Y104*0.0010111333+X104*0.0002022267</f>
        <v/>
      </c>
      <c r="AY104" s="7">
        <f>Z104*0.0010111333+Y104*0.0002022267</f>
        <v/>
      </c>
      <c r="AZ104" s="7">
        <f>AA104*0.0010111333+Z104*0.0002022267</f>
        <v/>
      </c>
      <c r="BA104" s="7">
        <f>D104*0.0010111333+AA104*0.0002022267</f>
        <v/>
      </c>
      <c r="BB104" s="7">
        <f>SUM(AD104:BA104)</f>
        <v/>
      </c>
    </row>
    <row r="105">
      <c r="A105" t="inlineStr">
        <is>
          <t>AMD-RTS-RCLS-1302-SSC_1</t>
        </is>
      </c>
      <c r="B105" t="inlineStr">
        <is>
          <t>Rev OSC</t>
        </is>
      </c>
      <c r="C105" s="5" t="n">
        <v>46103</v>
      </c>
      <c r="D105" s="6">
        <f>Summary!D105*0.5</f>
        <v/>
      </c>
      <c r="E105" s="6">
        <f>Summary!E105*0.5</f>
        <v/>
      </c>
      <c r="F105" s="6">
        <f>Summary!F105*0.5</f>
        <v/>
      </c>
      <c r="G105" s="6">
        <f>Summary!G105*0.5</f>
        <v/>
      </c>
      <c r="H105" s="6">
        <f>Summary!H105*0.5</f>
        <v/>
      </c>
      <c r="I105" s="6">
        <f>Summary!I105*0.5</f>
        <v/>
      </c>
      <c r="J105" s="6">
        <f>Summary!J105*0.5</f>
        <v/>
      </c>
      <c r="K105" s="6">
        <f>Summary!K105*0.5</f>
        <v/>
      </c>
      <c r="L105" s="6">
        <f>Summary!L105*0.5</f>
        <v/>
      </c>
      <c r="M105" s="6">
        <f>Summary!M105*0.5</f>
        <v/>
      </c>
      <c r="N105" s="6">
        <f>Summary!N105*0.5</f>
        <v/>
      </c>
      <c r="O105" s="6">
        <f>Summary!O105*0.5</f>
        <v/>
      </c>
      <c r="P105" s="6">
        <f>Summary!P105*0.5</f>
        <v/>
      </c>
      <c r="Q105" s="6">
        <f>Summary!Q105*0.5</f>
        <v/>
      </c>
      <c r="R105" s="6">
        <f>Summary!R105*0.5</f>
        <v/>
      </c>
      <c r="S105" s="6">
        <f>Summary!S105*0.5</f>
        <v/>
      </c>
      <c r="T105" s="6">
        <f>Summary!T105*0.5</f>
        <v/>
      </c>
      <c r="U105" s="6">
        <f>Summary!U105*0.5</f>
        <v/>
      </c>
      <c r="V105" s="6">
        <f>Summary!V105*0.5</f>
        <v/>
      </c>
      <c r="W105" s="6">
        <f>Summary!W105*0.5</f>
        <v/>
      </c>
      <c r="X105" s="6">
        <f>Summary!X105*0.5</f>
        <v/>
      </c>
      <c r="Y105" s="6">
        <f>Summary!Y105*0.5</f>
        <v/>
      </c>
      <c r="Z105" s="6">
        <f>Summary!Z105*0.5</f>
        <v/>
      </c>
      <c r="AA105" s="6">
        <f>Summary!AA105*0.5</f>
        <v/>
      </c>
      <c r="AB105" s="6">
        <f>SUM(D105:AA105)</f>
        <v/>
      </c>
      <c r="AC105" s="3" t="inlineStr"/>
      <c r="AD105" s="7">
        <f>E105*0.0010111333+D105*0.0002022267</f>
        <v/>
      </c>
      <c r="AE105" s="7">
        <f>F105*0.0010111333+E105*0.0002022267</f>
        <v/>
      </c>
      <c r="AF105" s="7">
        <f>G105*0.0010111333+F105*0.0002022267</f>
        <v/>
      </c>
      <c r="AG105" s="7">
        <f>H105*0.0010111333+G105*0.0002022267</f>
        <v/>
      </c>
      <c r="AH105" s="7">
        <f>I105*0.0010111333+H105*0.0002022267</f>
        <v/>
      </c>
      <c r="AI105" s="7">
        <f>J105*0.0010111333+I105*0.0002022267</f>
        <v/>
      </c>
      <c r="AJ105" s="7">
        <f>K105*0.0010111333+J105*0.0002022267</f>
        <v/>
      </c>
      <c r="AK105" s="7">
        <f>L105*0.0010111333+K105*0.0002022267</f>
        <v/>
      </c>
      <c r="AL105" s="7">
        <f>M105*0.0010111333+L105*0.0002022267</f>
        <v/>
      </c>
      <c r="AM105" s="7">
        <f>N105*0.0010111333+M105*0.0002022267</f>
        <v/>
      </c>
      <c r="AN105" s="7">
        <f>O105*0.0010111333+N105*0.0002022267</f>
        <v/>
      </c>
      <c r="AO105" s="7">
        <f>P105*0.0010111333+O105*0.0002022267</f>
        <v/>
      </c>
      <c r="AP105" s="7">
        <f>Q105*0.0010111333+P105*0.0002022267</f>
        <v/>
      </c>
      <c r="AQ105" s="7">
        <f>R105*0.0010111333+Q105*0.0002022267</f>
        <v/>
      </c>
      <c r="AR105" s="7">
        <f>S105*0.0010111333+R105*0.0002022267</f>
        <v/>
      </c>
      <c r="AS105" s="7">
        <f>T105*0.0010111333+S105*0.0002022267</f>
        <v/>
      </c>
      <c r="AT105" s="7">
        <f>U105*0.0010111333+T105*0.0002022267</f>
        <v/>
      </c>
      <c r="AU105" s="7">
        <f>V105*0.0010111333+U105*0.0002022267</f>
        <v/>
      </c>
      <c r="AV105" s="7">
        <f>W105*0.0010111333+V105*0.0002022267</f>
        <v/>
      </c>
      <c r="AW105" s="7">
        <f>X105*0.0010111333+W105*0.0002022267</f>
        <v/>
      </c>
      <c r="AX105" s="7">
        <f>Y105*0.0010111333+X105*0.0002022267</f>
        <v/>
      </c>
      <c r="AY105" s="7">
        <f>Z105*0.0010111333+Y105*0.0002022267</f>
        <v/>
      </c>
      <c r="AZ105" s="7">
        <f>AA105*0.0010111333+Z105*0.0002022267</f>
        <v/>
      </c>
      <c r="BA105" s="7">
        <f>D105*0.0010111333+AA105*0.0002022267</f>
        <v/>
      </c>
      <c r="BB105" s="7">
        <f>SUM(AD105:BA105)</f>
        <v/>
      </c>
    </row>
    <row r="106">
      <c r="A106" t="inlineStr">
        <is>
          <t>AMD-RTS-RCLS-1302-SSC_1</t>
        </is>
      </c>
      <c r="B106" t="inlineStr">
        <is>
          <t>Rev OSC</t>
        </is>
      </c>
      <c r="C106" s="5" t="n">
        <v>46104</v>
      </c>
      <c r="D106" s="6">
        <f>Summary!D106*0.5</f>
        <v/>
      </c>
      <c r="E106" s="6">
        <f>Summary!E106*0.5</f>
        <v/>
      </c>
      <c r="F106" s="6">
        <f>Summary!F106*0.5</f>
        <v/>
      </c>
      <c r="G106" s="6">
        <f>Summary!G106*0.5</f>
        <v/>
      </c>
      <c r="H106" s="6">
        <f>Summary!H106*0.5</f>
        <v/>
      </c>
      <c r="I106" s="6">
        <f>Summary!I106*0.5</f>
        <v/>
      </c>
      <c r="J106" s="6">
        <f>Summary!J106*0.5</f>
        <v/>
      </c>
      <c r="K106" s="6">
        <f>Summary!K106*0.5</f>
        <v/>
      </c>
      <c r="L106" s="6">
        <f>Summary!L106*0.5</f>
        <v/>
      </c>
      <c r="M106" s="6">
        <f>Summary!M106*0.5</f>
        <v/>
      </c>
      <c r="N106" s="6">
        <f>Summary!N106*0.5</f>
        <v/>
      </c>
      <c r="O106" s="6">
        <f>Summary!O106*0.5</f>
        <v/>
      </c>
      <c r="P106" s="6">
        <f>Summary!P106*0.5</f>
        <v/>
      </c>
      <c r="Q106" s="6">
        <f>Summary!Q106*0.5</f>
        <v/>
      </c>
      <c r="R106" s="6">
        <f>Summary!R106*0.5</f>
        <v/>
      </c>
      <c r="S106" s="6">
        <f>Summary!S106*0.5</f>
        <v/>
      </c>
      <c r="T106" s="6">
        <f>Summary!T106*0.5</f>
        <v/>
      </c>
      <c r="U106" s="6">
        <f>Summary!U106*0.5</f>
        <v/>
      </c>
      <c r="V106" s="6">
        <f>Summary!V106*0.5</f>
        <v/>
      </c>
      <c r="W106" s="6">
        <f>Summary!W106*0.5</f>
        <v/>
      </c>
      <c r="X106" s="6">
        <f>Summary!X106*0.5</f>
        <v/>
      </c>
      <c r="Y106" s="6">
        <f>Summary!Y106*0.5</f>
        <v/>
      </c>
      <c r="Z106" s="6">
        <f>Summary!Z106*0.5</f>
        <v/>
      </c>
      <c r="AA106" s="6">
        <f>Summary!AA106*0.5</f>
        <v/>
      </c>
      <c r="AB106" s="6">
        <f>SUM(D106:AA106)</f>
        <v/>
      </c>
      <c r="AC106" s="3" t="inlineStr"/>
      <c r="AD106" s="7">
        <f>E106*0.0010111333+D106*0.0002022267</f>
        <v/>
      </c>
      <c r="AE106" s="7">
        <f>F106*0.0010111333+E106*0.0002022267</f>
        <v/>
      </c>
      <c r="AF106" s="7">
        <f>G106*0.0010111333+F106*0.0002022267</f>
        <v/>
      </c>
      <c r="AG106" s="7">
        <f>H106*0.0010111333+G106*0.0002022267</f>
        <v/>
      </c>
      <c r="AH106" s="7">
        <f>I106*0.0010111333+H106*0.0002022267</f>
        <v/>
      </c>
      <c r="AI106" s="7">
        <f>J106*0.0010111333+I106*0.0002022267</f>
        <v/>
      </c>
      <c r="AJ106" s="7">
        <f>K106*0.0010111333+J106*0.0002022267</f>
        <v/>
      </c>
      <c r="AK106" s="7">
        <f>L106*0.0010111333+K106*0.0002022267</f>
        <v/>
      </c>
      <c r="AL106" s="7">
        <f>M106*0.0010111333+L106*0.0002022267</f>
        <v/>
      </c>
      <c r="AM106" s="7">
        <f>N106*0.0010111333+M106*0.0002022267</f>
        <v/>
      </c>
      <c r="AN106" s="7">
        <f>O106*0.0010111333+N106*0.0002022267</f>
        <v/>
      </c>
      <c r="AO106" s="7">
        <f>P106*0.0010111333+O106*0.0002022267</f>
        <v/>
      </c>
      <c r="AP106" s="7">
        <f>Q106*0.0010111333+P106*0.0002022267</f>
        <v/>
      </c>
      <c r="AQ106" s="7">
        <f>R106*0.0010111333+Q106*0.0002022267</f>
        <v/>
      </c>
      <c r="AR106" s="7">
        <f>S106*0.0010111333+R106*0.0002022267</f>
        <v/>
      </c>
      <c r="AS106" s="7">
        <f>T106*0.0010111333+S106*0.0002022267</f>
        <v/>
      </c>
      <c r="AT106" s="7">
        <f>U106*0.0010111333+T106*0.0002022267</f>
        <v/>
      </c>
      <c r="AU106" s="7">
        <f>V106*0.0010111333+U106*0.0002022267</f>
        <v/>
      </c>
      <c r="AV106" s="7">
        <f>W106*0.0010111333+V106*0.0002022267</f>
        <v/>
      </c>
      <c r="AW106" s="7">
        <f>X106*0.0010111333+W106*0.0002022267</f>
        <v/>
      </c>
      <c r="AX106" s="7">
        <f>Y106*0.0010111333+X106*0.0002022267</f>
        <v/>
      </c>
      <c r="AY106" s="7">
        <f>Z106*0.0010111333+Y106*0.0002022267</f>
        <v/>
      </c>
      <c r="AZ106" s="7">
        <f>AA106*0.0010111333+Z106*0.0002022267</f>
        <v/>
      </c>
      <c r="BA106" s="7">
        <f>D106*0.0010111333+AA106*0.0002022267</f>
        <v/>
      </c>
      <c r="BB106" s="7">
        <f>SUM(AD106:BA106)</f>
        <v/>
      </c>
    </row>
    <row r="107">
      <c r="A107" t="inlineStr">
        <is>
          <t>AMD-RTS-RCLS-1302-SSC_1</t>
        </is>
      </c>
      <c r="B107" t="inlineStr">
        <is>
          <t>Rev OSC</t>
        </is>
      </c>
      <c r="C107" s="5" t="n">
        <v>46105</v>
      </c>
      <c r="D107" s="6">
        <f>Summary!D107*0.5</f>
        <v/>
      </c>
      <c r="E107" s="6">
        <f>Summary!E107*0.5</f>
        <v/>
      </c>
      <c r="F107" s="6">
        <f>Summary!F107*0.5</f>
        <v/>
      </c>
      <c r="G107" s="6">
        <f>Summary!G107*0.5</f>
        <v/>
      </c>
      <c r="H107" s="6">
        <f>Summary!H107*0.5</f>
        <v/>
      </c>
      <c r="I107" s="6">
        <f>Summary!I107*0.5</f>
        <v/>
      </c>
      <c r="J107" s="6">
        <f>Summary!J107*0.5</f>
        <v/>
      </c>
      <c r="K107" s="6">
        <f>Summary!K107*0.5</f>
        <v/>
      </c>
      <c r="L107" s="6">
        <f>Summary!L107*0.5</f>
        <v/>
      </c>
      <c r="M107" s="6">
        <f>Summary!M107*0.5</f>
        <v/>
      </c>
      <c r="N107" s="6">
        <f>Summary!N107*0.5</f>
        <v/>
      </c>
      <c r="O107" s="6">
        <f>Summary!O107*0.5</f>
        <v/>
      </c>
      <c r="P107" s="6">
        <f>Summary!P107*0.5</f>
        <v/>
      </c>
      <c r="Q107" s="6">
        <f>Summary!Q107*0.5</f>
        <v/>
      </c>
      <c r="R107" s="6">
        <f>Summary!R107*0.5</f>
        <v/>
      </c>
      <c r="S107" s="6">
        <f>Summary!S107*0.5</f>
        <v/>
      </c>
      <c r="T107" s="6">
        <f>Summary!T107*0.5</f>
        <v/>
      </c>
      <c r="U107" s="6">
        <f>Summary!U107*0.5</f>
        <v/>
      </c>
      <c r="V107" s="6">
        <f>Summary!V107*0.5</f>
        <v/>
      </c>
      <c r="W107" s="6">
        <f>Summary!W107*0.5</f>
        <v/>
      </c>
      <c r="X107" s="6">
        <f>Summary!X107*0.5</f>
        <v/>
      </c>
      <c r="Y107" s="6">
        <f>Summary!Y107*0.5</f>
        <v/>
      </c>
      <c r="Z107" s="6">
        <f>Summary!Z107*0.5</f>
        <v/>
      </c>
      <c r="AA107" s="6">
        <f>Summary!AA107*0.5</f>
        <v/>
      </c>
      <c r="AB107" s="6">
        <f>SUM(D107:AA107)</f>
        <v/>
      </c>
      <c r="AC107" s="3" t="inlineStr"/>
      <c r="AD107" s="7">
        <f>E107*0.0010111333+D107*0.0002022267</f>
        <v/>
      </c>
      <c r="AE107" s="7">
        <f>F107*0.0010111333+E107*0.0002022267</f>
        <v/>
      </c>
      <c r="AF107" s="7">
        <f>G107*0.0010111333+F107*0.0002022267</f>
        <v/>
      </c>
      <c r="AG107" s="7">
        <f>H107*0.0010111333+G107*0.0002022267</f>
        <v/>
      </c>
      <c r="AH107" s="7">
        <f>I107*0.0010111333+H107*0.0002022267</f>
        <v/>
      </c>
      <c r="AI107" s="7">
        <f>J107*0.0010111333+I107*0.0002022267</f>
        <v/>
      </c>
      <c r="AJ107" s="7">
        <f>K107*0.0010111333+J107*0.0002022267</f>
        <v/>
      </c>
      <c r="AK107" s="7">
        <f>L107*0.0010111333+K107*0.0002022267</f>
        <v/>
      </c>
      <c r="AL107" s="7">
        <f>M107*0.0010111333+L107*0.0002022267</f>
        <v/>
      </c>
      <c r="AM107" s="7">
        <f>N107*0.0010111333+M107*0.0002022267</f>
        <v/>
      </c>
      <c r="AN107" s="7">
        <f>O107*0.0010111333+N107*0.0002022267</f>
        <v/>
      </c>
      <c r="AO107" s="7">
        <f>P107*0.0010111333+O107*0.0002022267</f>
        <v/>
      </c>
      <c r="AP107" s="7">
        <f>Q107*0.0010111333+P107*0.0002022267</f>
        <v/>
      </c>
      <c r="AQ107" s="7">
        <f>R107*0.0010111333+Q107*0.0002022267</f>
        <v/>
      </c>
      <c r="AR107" s="7">
        <f>S107*0.0010111333+R107*0.0002022267</f>
        <v/>
      </c>
      <c r="AS107" s="7">
        <f>T107*0.0010111333+S107*0.0002022267</f>
        <v/>
      </c>
      <c r="AT107" s="7">
        <f>U107*0.0010111333+T107*0.0002022267</f>
        <v/>
      </c>
      <c r="AU107" s="7">
        <f>V107*0.0010111333+U107*0.0002022267</f>
        <v/>
      </c>
      <c r="AV107" s="7">
        <f>W107*0.0010111333+V107*0.0002022267</f>
        <v/>
      </c>
      <c r="AW107" s="7">
        <f>X107*0.0010111333+W107*0.0002022267</f>
        <v/>
      </c>
      <c r="AX107" s="7">
        <f>Y107*0.0010111333+X107*0.0002022267</f>
        <v/>
      </c>
      <c r="AY107" s="7">
        <f>Z107*0.0010111333+Y107*0.0002022267</f>
        <v/>
      </c>
      <c r="AZ107" s="7">
        <f>AA107*0.0010111333+Z107*0.0002022267</f>
        <v/>
      </c>
      <c r="BA107" s="7">
        <f>D107*0.0010111333+AA107*0.0002022267</f>
        <v/>
      </c>
      <c r="BB107" s="7">
        <f>SUM(AD107:BA107)</f>
        <v/>
      </c>
    </row>
    <row r="108">
      <c r="A108" t="inlineStr">
        <is>
          <t>AMD-RTS-RCLS-1302-SSC_2</t>
        </is>
      </c>
      <c r="B108" t="inlineStr">
        <is>
          <t>Rev OSC</t>
        </is>
      </c>
      <c r="C108" s="5" t="n">
        <v>46100</v>
      </c>
      <c r="D108" s="6">
        <f>Summary!D108*0.5</f>
        <v/>
      </c>
      <c r="E108" s="6">
        <f>Summary!E108*0.5</f>
        <v/>
      </c>
      <c r="F108" s="6">
        <f>Summary!F108*0.5</f>
        <v/>
      </c>
      <c r="G108" s="6">
        <f>Summary!G108*0.5</f>
        <v/>
      </c>
      <c r="H108" s="6">
        <f>Summary!H108*0.5</f>
        <v/>
      </c>
      <c r="I108" s="6">
        <f>Summary!I108*0.5</f>
        <v/>
      </c>
      <c r="J108" s="6">
        <f>Summary!J108*0.5</f>
        <v/>
      </c>
      <c r="K108" s="6">
        <f>Summary!K108*0.5</f>
        <v/>
      </c>
      <c r="L108" s="6">
        <f>Summary!L108*0.5</f>
        <v/>
      </c>
      <c r="M108" s="6">
        <f>Summary!M108*0.5</f>
        <v/>
      </c>
      <c r="N108" s="6">
        <f>Summary!N108*0.5</f>
        <v/>
      </c>
      <c r="O108" s="6">
        <f>Summary!O108*0.5</f>
        <v/>
      </c>
      <c r="P108" s="6">
        <f>Summary!P108*0.5</f>
        <v/>
      </c>
      <c r="Q108" s="6">
        <f>Summary!Q108*0.5</f>
        <v/>
      </c>
      <c r="R108" s="6">
        <f>Summary!R108*0.5</f>
        <v/>
      </c>
      <c r="S108" s="6">
        <f>Summary!S108*0.5</f>
        <v/>
      </c>
      <c r="T108" s="6">
        <f>Summary!T108*0.5</f>
        <v/>
      </c>
      <c r="U108" s="6">
        <f>Summary!U108*0.5</f>
        <v/>
      </c>
      <c r="V108" s="6">
        <f>Summary!V108*0.5</f>
        <v/>
      </c>
      <c r="W108" s="6">
        <f>Summary!W108*0.5</f>
        <v/>
      </c>
      <c r="X108" s="6">
        <f>Summary!X108*0.5</f>
        <v/>
      </c>
      <c r="Y108" s="6">
        <f>Summary!Y108*0.5</f>
        <v/>
      </c>
      <c r="Z108" s="6">
        <f>Summary!Z108*0.5</f>
        <v/>
      </c>
      <c r="AA108" s="6">
        <f>Summary!AA108*0.5</f>
        <v/>
      </c>
      <c r="AB108" s="6">
        <f>SUM(D108:AA108)</f>
        <v/>
      </c>
      <c r="AC108" s="3" t="inlineStr"/>
      <c r="AD108" s="7">
        <f>E108*0.0010111333+D108*0.0002022267</f>
        <v/>
      </c>
      <c r="AE108" s="7">
        <f>F108*0.0010111333+E108*0.0002022267</f>
        <v/>
      </c>
      <c r="AF108" s="7">
        <f>G108*0.0010111333+F108*0.0002022267</f>
        <v/>
      </c>
      <c r="AG108" s="7">
        <f>H108*0.0010111333+G108*0.0002022267</f>
        <v/>
      </c>
      <c r="AH108" s="7">
        <f>I108*0.0010111333+H108*0.0002022267</f>
        <v/>
      </c>
      <c r="AI108" s="7">
        <f>J108*0.0010111333+I108*0.0002022267</f>
        <v/>
      </c>
      <c r="AJ108" s="7">
        <f>K108*0.0010111333+J108*0.0002022267</f>
        <v/>
      </c>
      <c r="AK108" s="7">
        <f>L108*0.0010111333+K108*0.0002022267</f>
        <v/>
      </c>
      <c r="AL108" s="7">
        <f>M108*0.0010111333+L108*0.0002022267</f>
        <v/>
      </c>
      <c r="AM108" s="7">
        <f>N108*0.0010111333+M108*0.0002022267</f>
        <v/>
      </c>
      <c r="AN108" s="7">
        <f>O108*0.0010111333+N108*0.0002022267</f>
        <v/>
      </c>
      <c r="AO108" s="7">
        <f>P108*0.0010111333+O108*0.0002022267</f>
        <v/>
      </c>
      <c r="AP108" s="7">
        <f>Q108*0.0010111333+P108*0.0002022267</f>
        <v/>
      </c>
      <c r="AQ108" s="7">
        <f>R108*0.0010111333+Q108*0.0002022267</f>
        <v/>
      </c>
      <c r="AR108" s="7">
        <f>S108*0.0010111333+R108*0.0002022267</f>
        <v/>
      </c>
      <c r="AS108" s="7">
        <f>T108*0.0010111333+S108*0.0002022267</f>
        <v/>
      </c>
      <c r="AT108" s="7">
        <f>U108*0.0010111333+T108*0.0002022267</f>
        <v/>
      </c>
      <c r="AU108" s="7">
        <f>V108*0.0010111333+U108*0.0002022267</f>
        <v/>
      </c>
      <c r="AV108" s="7">
        <f>W108*0.0010111333+V108*0.0002022267</f>
        <v/>
      </c>
      <c r="AW108" s="7">
        <f>X108*0.0010111333+W108*0.0002022267</f>
        <v/>
      </c>
      <c r="AX108" s="7">
        <f>Y108*0.0010111333+X108*0.0002022267</f>
        <v/>
      </c>
      <c r="AY108" s="7">
        <f>Z108*0.0010111333+Y108*0.0002022267</f>
        <v/>
      </c>
      <c r="AZ108" s="7">
        <f>AA108*0.0010111333+Z108*0.0002022267</f>
        <v/>
      </c>
      <c r="BA108" s="7">
        <f>D108*0.0010111333+AA108*0.0002022267</f>
        <v/>
      </c>
      <c r="BB108" s="7">
        <f>SUM(AD108:BA108)</f>
        <v/>
      </c>
    </row>
    <row r="109">
      <c r="A109" t="inlineStr">
        <is>
          <t>AMD-RTS-RCLS-1302-SSC_2</t>
        </is>
      </c>
      <c r="B109" t="inlineStr">
        <is>
          <t>Rev OSC</t>
        </is>
      </c>
      <c r="C109" s="5" t="n">
        <v>46102</v>
      </c>
      <c r="D109" s="6">
        <f>Summary!D109*0.5</f>
        <v/>
      </c>
      <c r="E109" s="6">
        <f>Summary!E109*0.5</f>
        <v/>
      </c>
      <c r="F109" s="6">
        <f>Summary!F109*0.5</f>
        <v/>
      </c>
      <c r="G109" s="6">
        <f>Summary!G109*0.5</f>
        <v/>
      </c>
      <c r="H109" s="6">
        <f>Summary!H109*0.5</f>
        <v/>
      </c>
      <c r="I109" s="6">
        <f>Summary!I109*0.5</f>
        <v/>
      </c>
      <c r="J109" s="6">
        <f>Summary!J109*0.5</f>
        <v/>
      </c>
      <c r="K109" s="6">
        <f>Summary!K109*0.5</f>
        <v/>
      </c>
      <c r="L109" s="6">
        <f>Summary!L109*0.5</f>
        <v/>
      </c>
      <c r="M109" s="6">
        <f>Summary!M109*0.5</f>
        <v/>
      </c>
      <c r="N109" s="6">
        <f>Summary!N109*0.5</f>
        <v/>
      </c>
      <c r="O109" s="6">
        <f>Summary!O109*0.5</f>
        <v/>
      </c>
      <c r="P109" s="6">
        <f>Summary!P109*0.5</f>
        <v/>
      </c>
      <c r="Q109" s="6">
        <f>Summary!Q109*0.5</f>
        <v/>
      </c>
      <c r="R109" s="6">
        <f>Summary!R109*0.5</f>
        <v/>
      </c>
      <c r="S109" s="6">
        <f>Summary!S109*0.5</f>
        <v/>
      </c>
      <c r="T109" s="6">
        <f>Summary!T109*0.5</f>
        <v/>
      </c>
      <c r="U109" s="6">
        <f>Summary!U109*0.5</f>
        <v/>
      </c>
      <c r="V109" s="6">
        <f>Summary!V109*0.5</f>
        <v/>
      </c>
      <c r="W109" s="6">
        <f>Summary!W109*0.5</f>
        <v/>
      </c>
      <c r="X109" s="6">
        <f>Summary!X109*0.5</f>
        <v/>
      </c>
      <c r="Y109" s="6">
        <f>Summary!Y109*0.5</f>
        <v/>
      </c>
      <c r="Z109" s="6">
        <f>Summary!Z109*0.5</f>
        <v/>
      </c>
      <c r="AA109" s="6">
        <f>Summary!AA109*0.5</f>
        <v/>
      </c>
      <c r="AB109" s="6">
        <f>SUM(D109:AA109)</f>
        <v/>
      </c>
      <c r="AC109" s="3" t="inlineStr"/>
      <c r="AD109" s="7">
        <f>E109*0.0010111333+D109*0.0002022267</f>
        <v/>
      </c>
      <c r="AE109" s="7">
        <f>F109*0.0010111333+E109*0.0002022267</f>
        <v/>
      </c>
      <c r="AF109" s="7">
        <f>G109*0.0010111333+F109*0.0002022267</f>
        <v/>
      </c>
      <c r="AG109" s="7">
        <f>H109*0.0010111333+G109*0.0002022267</f>
        <v/>
      </c>
      <c r="AH109" s="7">
        <f>I109*0.0010111333+H109*0.0002022267</f>
        <v/>
      </c>
      <c r="AI109" s="7">
        <f>J109*0.0010111333+I109*0.0002022267</f>
        <v/>
      </c>
      <c r="AJ109" s="7">
        <f>K109*0.0010111333+J109*0.0002022267</f>
        <v/>
      </c>
      <c r="AK109" s="7">
        <f>L109*0.0010111333+K109*0.0002022267</f>
        <v/>
      </c>
      <c r="AL109" s="7">
        <f>M109*0.0010111333+L109*0.0002022267</f>
        <v/>
      </c>
      <c r="AM109" s="7">
        <f>N109*0.0010111333+M109*0.0002022267</f>
        <v/>
      </c>
      <c r="AN109" s="7">
        <f>O109*0.0010111333+N109*0.0002022267</f>
        <v/>
      </c>
      <c r="AO109" s="7">
        <f>P109*0.0010111333+O109*0.0002022267</f>
        <v/>
      </c>
      <c r="AP109" s="7">
        <f>Q109*0.0010111333+P109*0.0002022267</f>
        <v/>
      </c>
      <c r="AQ109" s="7">
        <f>R109*0.0010111333+Q109*0.0002022267</f>
        <v/>
      </c>
      <c r="AR109" s="7">
        <f>S109*0.0010111333+R109*0.0002022267</f>
        <v/>
      </c>
      <c r="AS109" s="7">
        <f>T109*0.0010111333+S109*0.0002022267</f>
        <v/>
      </c>
      <c r="AT109" s="7">
        <f>U109*0.0010111333+T109*0.0002022267</f>
        <v/>
      </c>
      <c r="AU109" s="7">
        <f>V109*0.0010111333+U109*0.0002022267</f>
        <v/>
      </c>
      <c r="AV109" s="7">
        <f>W109*0.0010111333+V109*0.0002022267</f>
        <v/>
      </c>
      <c r="AW109" s="7">
        <f>X109*0.0010111333+W109*0.0002022267</f>
        <v/>
      </c>
      <c r="AX109" s="7">
        <f>Y109*0.0010111333+X109*0.0002022267</f>
        <v/>
      </c>
      <c r="AY109" s="7">
        <f>Z109*0.0010111333+Y109*0.0002022267</f>
        <v/>
      </c>
      <c r="AZ109" s="7">
        <f>AA109*0.0010111333+Z109*0.0002022267</f>
        <v/>
      </c>
      <c r="BA109" s="7">
        <f>D109*0.0010111333+AA109*0.0002022267</f>
        <v/>
      </c>
      <c r="BB109" s="7">
        <f>SUM(AD109:BA109)</f>
        <v/>
      </c>
    </row>
    <row r="110">
      <c r="A110" t="inlineStr">
        <is>
          <t>AMD-RTS-RCLS-1302-SSC_2</t>
        </is>
      </c>
      <c r="B110" t="inlineStr">
        <is>
          <t>Rev OSC</t>
        </is>
      </c>
      <c r="C110" s="5" t="n">
        <v>46104</v>
      </c>
      <c r="D110" s="6">
        <f>Summary!D110*0.5</f>
        <v/>
      </c>
      <c r="E110" s="6">
        <f>Summary!E110*0.5</f>
        <v/>
      </c>
      <c r="F110" s="6">
        <f>Summary!F110*0.5</f>
        <v/>
      </c>
      <c r="G110" s="6">
        <f>Summary!G110*0.5</f>
        <v/>
      </c>
      <c r="H110" s="6">
        <f>Summary!H110*0.5</f>
        <v/>
      </c>
      <c r="I110" s="6">
        <f>Summary!I110*0.5</f>
        <v/>
      </c>
      <c r="J110" s="6">
        <f>Summary!J110*0.5</f>
        <v/>
      </c>
      <c r="K110" s="6">
        <f>Summary!K110*0.5</f>
        <v/>
      </c>
      <c r="L110" s="6">
        <f>Summary!L110*0.5</f>
        <v/>
      </c>
      <c r="M110" s="6">
        <f>Summary!M110*0.5</f>
        <v/>
      </c>
      <c r="N110" s="6">
        <f>Summary!N110*0.5</f>
        <v/>
      </c>
      <c r="O110" s="6">
        <f>Summary!O110*0.5</f>
        <v/>
      </c>
      <c r="P110" s="6">
        <f>Summary!P110*0.5</f>
        <v/>
      </c>
      <c r="Q110" s="6">
        <f>Summary!Q110*0.5</f>
        <v/>
      </c>
      <c r="R110" s="6">
        <f>Summary!R110*0.5</f>
        <v/>
      </c>
      <c r="S110" s="6">
        <f>Summary!S110*0.5</f>
        <v/>
      </c>
      <c r="T110" s="6">
        <f>Summary!T110*0.5</f>
        <v/>
      </c>
      <c r="U110" s="6">
        <f>Summary!U110*0.5</f>
        <v/>
      </c>
      <c r="V110" s="6">
        <f>Summary!V110*0.5</f>
        <v/>
      </c>
      <c r="W110" s="6">
        <f>Summary!W110*0.5</f>
        <v/>
      </c>
      <c r="X110" s="6">
        <f>Summary!X110*0.5</f>
        <v/>
      </c>
      <c r="Y110" s="6">
        <f>Summary!Y110*0.5</f>
        <v/>
      </c>
      <c r="Z110" s="6">
        <f>Summary!Z110*0.5</f>
        <v/>
      </c>
      <c r="AA110" s="6">
        <f>Summary!AA110*0.5</f>
        <v/>
      </c>
      <c r="AB110" s="6">
        <f>SUM(D110:AA110)</f>
        <v/>
      </c>
      <c r="AC110" s="3" t="inlineStr"/>
      <c r="AD110" s="7">
        <f>E110*0.0010111333+D110*0.0002022267</f>
        <v/>
      </c>
      <c r="AE110" s="7">
        <f>F110*0.0010111333+E110*0.0002022267</f>
        <v/>
      </c>
      <c r="AF110" s="7">
        <f>G110*0.0010111333+F110*0.0002022267</f>
        <v/>
      </c>
      <c r="AG110" s="7">
        <f>H110*0.0010111333+G110*0.0002022267</f>
        <v/>
      </c>
      <c r="AH110" s="7">
        <f>I110*0.0010111333+H110*0.0002022267</f>
        <v/>
      </c>
      <c r="AI110" s="7">
        <f>J110*0.0010111333+I110*0.0002022267</f>
        <v/>
      </c>
      <c r="AJ110" s="7">
        <f>K110*0.0010111333+J110*0.0002022267</f>
        <v/>
      </c>
      <c r="AK110" s="7">
        <f>L110*0.0010111333+K110*0.0002022267</f>
        <v/>
      </c>
      <c r="AL110" s="7">
        <f>M110*0.0010111333+L110*0.0002022267</f>
        <v/>
      </c>
      <c r="AM110" s="7">
        <f>N110*0.0010111333+M110*0.0002022267</f>
        <v/>
      </c>
      <c r="AN110" s="7">
        <f>O110*0.0010111333+N110*0.0002022267</f>
        <v/>
      </c>
      <c r="AO110" s="7">
        <f>P110*0.0010111333+O110*0.0002022267</f>
        <v/>
      </c>
      <c r="AP110" s="7">
        <f>Q110*0.0010111333+P110*0.0002022267</f>
        <v/>
      </c>
      <c r="AQ110" s="7">
        <f>R110*0.0010111333+Q110*0.0002022267</f>
        <v/>
      </c>
      <c r="AR110" s="7">
        <f>S110*0.0010111333+R110*0.0002022267</f>
        <v/>
      </c>
      <c r="AS110" s="7">
        <f>T110*0.0010111333+S110*0.0002022267</f>
        <v/>
      </c>
      <c r="AT110" s="7">
        <f>U110*0.0010111333+T110*0.0002022267</f>
        <v/>
      </c>
      <c r="AU110" s="7">
        <f>V110*0.0010111333+U110*0.0002022267</f>
        <v/>
      </c>
      <c r="AV110" s="7">
        <f>W110*0.0010111333+V110*0.0002022267</f>
        <v/>
      </c>
      <c r="AW110" s="7">
        <f>X110*0.0010111333+W110*0.0002022267</f>
        <v/>
      </c>
      <c r="AX110" s="7">
        <f>Y110*0.0010111333+X110*0.0002022267</f>
        <v/>
      </c>
      <c r="AY110" s="7">
        <f>Z110*0.0010111333+Y110*0.0002022267</f>
        <v/>
      </c>
      <c r="AZ110" s="7">
        <f>AA110*0.0010111333+Z110*0.0002022267</f>
        <v/>
      </c>
      <c r="BA110" s="7">
        <f>D110*0.0010111333+AA110*0.0002022267</f>
        <v/>
      </c>
      <c r="BB110" s="7">
        <f>SUM(AD110:BA110)</f>
        <v/>
      </c>
    </row>
    <row r="111">
      <c r="A111" t="inlineStr">
        <is>
          <t>DC-10-1</t>
        </is>
      </c>
      <c r="B111" t="inlineStr">
        <is>
          <t>DSC Manual</t>
        </is>
      </c>
      <c r="C111" s="5" t="n">
        <v>46089</v>
      </c>
      <c r="D111" s="6" t="n">
        <v>0</v>
      </c>
      <c r="E111" s="6" t="n">
        <v>0</v>
      </c>
      <c r="F111" s="6" t="n">
        <v>0</v>
      </c>
      <c r="G111" s="6" t="n">
        <v>0</v>
      </c>
      <c r="H111" s="6" t="n">
        <v>0</v>
      </c>
      <c r="I111" s="6" t="n">
        <v>0</v>
      </c>
      <c r="J111" s="6" t="n">
        <v>0</v>
      </c>
      <c r="K111" s="6" t="n">
        <v>0</v>
      </c>
      <c r="L111" s="6" t="n">
        <v>0</v>
      </c>
      <c r="M111" s="6" t="n">
        <v>0</v>
      </c>
      <c r="N111" s="6" t="n">
        <v>0</v>
      </c>
      <c r="O111" s="6" t="n">
        <v>0</v>
      </c>
      <c r="P111" s="6" t="n">
        <v>0</v>
      </c>
      <c r="Q111" s="6" t="n">
        <v>0</v>
      </c>
      <c r="R111" s="6" t="n">
        <v>0</v>
      </c>
      <c r="S111" s="6" t="n">
        <v>0</v>
      </c>
      <c r="T111" s="6" t="n">
        <v>0</v>
      </c>
      <c r="U111" s="6" t="n">
        <v>0</v>
      </c>
      <c r="V111" s="6" t="n">
        <v>0</v>
      </c>
      <c r="W111" s="6" t="n">
        <v>0</v>
      </c>
      <c r="X111" s="6" t="n">
        <v>0</v>
      </c>
      <c r="Y111" s="6" t="n">
        <v>0</v>
      </c>
      <c r="Z111" s="6" t="n">
        <v>0</v>
      </c>
      <c r="AA111" s="6" t="n">
        <v>0</v>
      </c>
      <c r="AB111" s="6">
        <f>SUM(D111:AA111)</f>
        <v/>
      </c>
      <c r="AC111" s="3" t="inlineStr"/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7" t="n">
        <v>0</v>
      </c>
      <c r="BB111" s="7">
        <f>SUM(AD111:BA111)</f>
        <v/>
      </c>
    </row>
    <row r="112">
      <c r="A112" t="inlineStr">
        <is>
          <t>DC-10-1</t>
        </is>
      </c>
      <c r="B112" t="inlineStr">
        <is>
          <t>DSC Manual</t>
        </is>
      </c>
      <c r="C112" s="5" t="n">
        <v>46090</v>
      </c>
      <c r="D112" s="6" t="n">
        <v>0</v>
      </c>
      <c r="E112" s="6" t="n">
        <v>0</v>
      </c>
      <c r="F112" s="6" t="n">
        <v>0</v>
      </c>
      <c r="G112" s="6" t="n">
        <v>0</v>
      </c>
      <c r="H112" s="6" t="n">
        <v>0</v>
      </c>
      <c r="I112" s="6" t="n">
        <v>0</v>
      </c>
      <c r="J112" s="6" t="n">
        <v>0</v>
      </c>
      <c r="K112" s="6" t="n">
        <v>0</v>
      </c>
      <c r="L112" s="6" t="n">
        <v>0</v>
      </c>
      <c r="M112" s="6" t="n">
        <v>0</v>
      </c>
      <c r="N112" s="6" t="n">
        <v>0</v>
      </c>
      <c r="O112" s="6" t="n">
        <v>0</v>
      </c>
      <c r="P112" s="6" t="n">
        <v>0</v>
      </c>
      <c r="Q112" s="6" t="n">
        <v>0</v>
      </c>
      <c r="R112" s="6" t="n">
        <v>0</v>
      </c>
      <c r="S112" s="6" t="n">
        <v>0</v>
      </c>
      <c r="T112" s="6" t="n">
        <v>0</v>
      </c>
      <c r="U112" s="6" t="n">
        <v>0</v>
      </c>
      <c r="V112" s="6" t="n">
        <v>0</v>
      </c>
      <c r="W112" s="6" t="n">
        <v>0</v>
      </c>
      <c r="X112" s="6" t="n">
        <v>0</v>
      </c>
      <c r="Y112" s="6" t="n">
        <v>0</v>
      </c>
      <c r="Z112" s="6" t="n">
        <v>0</v>
      </c>
      <c r="AA112" s="6" t="n">
        <v>0</v>
      </c>
      <c r="AB112" s="6">
        <f>SUM(D112:AA112)</f>
        <v/>
      </c>
      <c r="AC112" s="3" t="inlineStr"/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>
        <f>SUM(AD112:BA112)</f>
        <v/>
      </c>
    </row>
    <row r="113">
      <c r="A113" t="inlineStr">
        <is>
          <t>DC-10-1</t>
        </is>
      </c>
      <c r="B113" t="inlineStr">
        <is>
          <t>DSC Manual</t>
        </is>
      </c>
      <c r="C113" s="5" t="n">
        <v>46091</v>
      </c>
      <c r="D113" s="6" t="n">
        <v>0</v>
      </c>
      <c r="E113" s="6" t="n">
        <v>0</v>
      </c>
      <c r="F113" s="6" t="n">
        <v>0</v>
      </c>
      <c r="G113" s="6" t="n">
        <v>0</v>
      </c>
      <c r="H113" s="6" t="n">
        <v>0</v>
      </c>
      <c r="I113" s="6" t="n">
        <v>0</v>
      </c>
      <c r="J113" s="6" t="n">
        <v>0</v>
      </c>
      <c r="K113" s="6" t="n">
        <v>0</v>
      </c>
      <c r="L113" s="6" t="n">
        <v>0</v>
      </c>
      <c r="M113" s="6" t="n">
        <v>0</v>
      </c>
      <c r="N113" s="6" t="n">
        <v>0</v>
      </c>
      <c r="O113" s="6" t="n">
        <v>0</v>
      </c>
      <c r="P113" s="6" t="n">
        <v>0</v>
      </c>
      <c r="Q113" s="6" t="n">
        <v>0</v>
      </c>
      <c r="R113" s="6" t="n">
        <v>0</v>
      </c>
      <c r="S113" s="6" t="n">
        <v>0</v>
      </c>
      <c r="T113" s="6" t="n">
        <v>0</v>
      </c>
      <c r="U113" s="6" t="n">
        <v>0</v>
      </c>
      <c r="V113" s="6" t="n">
        <v>0</v>
      </c>
      <c r="W113" s="6" t="n">
        <v>0</v>
      </c>
      <c r="X113" s="6" t="n">
        <v>0</v>
      </c>
      <c r="Y113" s="6" t="n">
        <v>0</v>
      </c>
      <c r="Z113" s="6" t="n">
        <v>0</v>
      </c>
      <c r="AA113" s="6" t="n">
        <v>0</v>
      </c>
      <c r="AB113" s="6">
        <f>SUM(D113:AA113)</f>
        <v/>
      </c>
      <c r="AC113" s="3" t="inlineStr"/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7" t="n">
        <v>0</v>
      </c>
      <c r="BB113" s="7">
        <f>SUM(AD113:BA113)</f>
        <v/>
      </c>
    </row>
    <row r="114">
      <c r="A114" t="inlineStr">
        <is>
          <t>DC-10-1</t>
        </is>
      </c>
      <c r="B114" t="inlineStr">
        <is>
          <t>DSC Manual</t>
        </is>
      </c>
      <c r="C114" s="5" t="n">
        <v>46092</v>
      </c>
      <c r="D114" s="6" t="n">
        <v>0</v>
      </c>
      <c r="E114" s="6" t="n">
        <v>0</v>
      </c>
      <c r="F114" s="6" t="n">
        <v>0</v>
      </c>
      <c r="G114" s="6" t="n">
        <v>0</v>
      </c>
      <c r="H114" s="6" t="n">
        <v>0</v>
      </c>
      <c r="I114" s="6" t="n">
        <v>0</v>
      </c>
      <c r="J114" s="6" t="n">
        <v>0</v>
      </c>
      <c r="K114" s="6" t="n">
        <v>0</v>
      </c>
      <c r="L114" s="6" t="n">
        <v>0</v>
      </c>
      <c r="M114" s="6" t="n">
        <v>0</v>
      </c>
      <c r="N114" s="6" t="n">
        <v>0</v>
      </c>
      <c r="O114" s="6" t="n">
        <v>0</v>
      </c>
      <c r="P114" s="6" t="n">
        <v>0</v>
      </c>
      <c r="Q114" s="6" t="n">
        <v>0</v>
      </c>
      <c r="R114" s="6" t="n">
        <v>0</v>
      </c>
      <c r="S114" s="6" t="n">
        <v>0</v>
      </c>
      <c r="T114" s="6" t="n">
        <v>0</v>
      </c>
      <c r="U114" s="6" t="n">
        <v>0</v>
      </c>
      <c r="V114" s="6" t="n">
        <v>0</v>
      </c>
      <c r="W114" s="6" t="n">
        <v>0</v>
      </c>
      <c r="X114" s="6" t="n">
        <v>0</v>
      </c>
      <c r="Y114" s="6" t="n">
        <v>0</v>
      </c>
      <c r="Z114" s="6" t="n">
        <v>0</v>
      </c>
      <c r="AA114" s="6" t="n">
        <v>0</v>
      </c>
      <c r="AB114" s="6">
        <f>SUM(D114:AA114)</f>
        <v/>
      </c>
      <c r="AC114" s="3" t="inlineStr"/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7" t="n">
        <v>0</v>
      </c>
      <c r="BB114" s="7">
        <f>SUM(AD114:BA114)</f>
        <v/>
      </c>
    </row>
    <row r="115">
      <c r="A115" t="inlineStr">
        <is>
          <t>DC-10-1</t>
        </is>
      </c>
      <c r="B115" t="inlineStr">
        <is>
          <t>DSC Manual</t>
        </is>
      </c>
      <c r="C115" s="5" t="n">
        <v>46093</v>
      </c>
      <c r="D115" s="6" t="n">
        <v>0</v>
      </c>
      <c r="E115" s="6" t="n">
        <v>0</v>
      </c>
      <c r="F115" s="6" t="n">
        <v>0</v>
      </c>
      <c r="G115" s="6" t="n">
        <v>0</v>
      </c>
      <c r="H115" s="6" t="n">
        <v>0</v>
      </c>
      <c r="I115" s="6" t="n">
        <v>0</v>
      </c>
      <c r="J115" s="6" t="n">
        <v>0</v>
      </c>
      <c r="K115" s="6" t="n">
        <v>0</v>
      </c>
      <c r="L115" s="6" t="n">
        <v>0</v>
      </c>
      <c r="M115" s="6" t="n">
        <v>0</v>
      </c>
      <c r="N115" s="6" t="n">
        <v>0</v>
      </c>
      <c r="O115" s="6" t="n">
        <v>0</v>
      </c>
      <c r="P115" s="6" t="n">
        <v>0</v>
      </c>
      <c r="Q115" s="6" t="n">
        <v>0</v>
      </c>
      <c r="R115" s="6" t="n">
        <v>0</v>
      </c>
      <c r="S115" s="6" t="n">
        <v>0</v>
      </c>
      <c r="T115" s="6" t="n">
        <v>0</v>
      </c>
      <c r="U115" s="6" t="n">
        <v>0</v>
      </c>
      <c r="V115" s="6" t="n">
        <v>0</v>
      </c>
      <c r="W115" s="6" t="n">
        <v>0</v>
      </c>
      <c r="X115" s="6" t="n">
        <v>0</v>
      </c>
      <c r="Y115" s="6" t="n">
        <v>0</v>
      </c>
      <c r="Z115" s="6" t="n">
        <v>0</v>
      </c>
      <c r="AA115" s="6" t="n">
        <v>0</v>
      </c>
      <c r="AB115" s="6">
        <f>SUM(D115:AA115)</f>
        <v/>
      </c>
      <c r="AC115" s="3" t="inlineStr"/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>
        <f>SUM(AD115:BA115)</f>
        <v/>
      </c>
    </row>
    <row r="116">
      <c r="A116" t="inlineStr">
        <is>
          <t>DC-10-1</t>
        </is>
      </c>
      <c r="B116" t="inlineStr">
        <is>
          <t>DSC Manual</t>
        </is>
      </c>
      <c r="C116" s="5" t="n">
        <v>46094</v>
      </c>
      <c r="D116" s="6" t="n">
        <v>0</v>
      </c>
      <c r="E116" s="6" t="n">
        <v>0</v>
      </c>
      <c r="F116" s="6" t="n">
        <v>0</v>
      </c>
      <c r="G116" s="6" t="n">
        <v>0</v>
      </c>
      <c r="H116" s="6" t="n">
        <v>0</v>
      </c>
      <c r="I116" s="6" t="n">
        <v>0</v>
      </c>
      <c r="J116" s="6" t="n">
        <v>0</v>
      </c>
      <c r="K116" s="6" t="n">
        <v>0</v>
      </c>
      <c r="L116" s="6" t="n">
        <v>0</v>
      </c>
      <c r="M116" s="6" t="n">
        <v>0</v>
      </c>
      <c r="N116" s="6" t="n">
        <v>0</v>
      </c>
      <c r="O116" s="6" t="n">
        <v>0</v>
      </c>
      <c r="P116" s="6" t="n">
        <v>0</v>
      </c>
      <c r="Q116" s="6" t="n">
        <v>0</v>
      </c>
      <c r="R116" s="6" t="n">
        <v>0</v>
      </c>
      <c r="S116" s="6" t="n">
        <v>0</v>
      </c>
      <c r="T116" s="6" t="n">
        <v>0</v>
      </c>
      <c r="U116" s="6" t="n">
        <v>0</v>
      </c>
      <c r="V116" s="6" t="n">
        <v>0</v>
      </c>
      <c r="W116" s="6" t="n">
        <v>0</v>
      </c>
      <c r="X116" s="6" t="n">
        <v>0</v>
      </c>
      <c r="Y116" s="6" t="n">
        <v>0</v>
      </c>
      <c r="Z116" s="6" t="n">
        <v>0</v>
      </c>
      <c r="AA116" s="6" t="n">
        <v>0</v>
      </c>
      <c r="AB116" s="6">
        <f>SUM(D116:AA116)</f>
        <v/>
      </c>
      <c r="AC116" s="3" t="inlineStr"/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>
        <f>SUM(AD116:BA116)</f>
        <v/>
      </c>
    </row>
    <row r="117">
      <c r="A117" t="inlineStr">
        <is>
          <t>DC-10-1</t>
        </is>
      </c>
      <c r="B117" t="inlineStr">
        <is>
          <t>DSC Manual</t>
        </is>
      </c>
      <c r="C117" s="5" t="n">
        <v>46095</v>
      </c>
      <c r="D117" s="6" t="n">
        <v>0</v>
      </c>
      <c r="E117" s="6" t="n">
        <v>0</v>
      </c>
      <c r="F117" s="6" t="n">
        <v>0</v>
      </c>
      <c r="G117" s="6" t="n">
        <v>0</v>
      </c>
      <c r="H117" s="6" t="n">
        <v>0</v>
      </c>
      <c r="I117" s="6" t="n">
        <v>0</v>
      </c>
      <c r="J117" s="6" t="n">
        <v>0</v>
      </c>
      <c r="K117" s="6" t="n">
        <v>0</v>
      </c>
      <c r="L117" s="6" t="n">
        <v>0</v>
      </c>
      <c r="M117" s="6" t="n">
        <v>0</v>
      </c>
      <c r="N117" s="6" t="n">
        <v>0</v>
      </c>
      <c r="O117" s="6" t="n">
        <v>0</v>
      </c>
      <c r="P117" s="6" t="n">
        <v>0</v>
      </c>
      <c r="Q117" s="6" t="n">
        <v>0</v>
      </c>
      <c r="R117" s="6" t="n">
        <v>0</v>
      </c>
      <c r="S117" s="6" t="n">
        <v>0</v>
      </c>
      <c r="T117" s="6" t="n">
        <v>0</v>
      </c>
      <c r="U117" s="6" t="n">
        <v>0</v>
      </c>
      <c r="V117" s="6" t="n">
        <v>0</v>
      </c>
      <c r="W117" s="6" t="n">
        <v>0</v>
      </c>
      <c r="X117" s="6" t="n">
        <v>0</v>
      </c>
      <c r="Y117" s="6" t="n">
        <v>0</v>
      </c>
      <c r="Z117" s="6" t="n">
        <v>0</v>
      </c>
      <c r="AA117" s="6" t="n">
        <v>0</v>
      </c>
      <c r="AB117" s="6">
        <f>SUM(D117:AA117)</f>
        <v/>
      </c>
      <c r="AC117" s="3" t="inlineStr"/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7" t="n">
        <v>0</v>
      </c>
      <c r="BA117" s="7" t="n">
        <v>0</v>
      </c>
      <c r="BB117" s="7">
        <f>SUM(AD117:BA117)</f>
        <v/>
      </c>
    </row>
    <row r="118">
      <c r="A118" t="inlineStr">
        <is>
          <t>DC-10-1</t>
        </is>
      </c>
      <c r="B118" t="inlineStr">
        <is>
          <t>DSC Manual</t>
        </is>
      </c>
      <c r="C118" s="5" t="n">
        <v>46096</v>
      </c>
      <c r="D118" s="6" t="n">
        <v>0</v>
      </c>
      <c r="E118" s="6" t="n">
        <v>0</v>
      </c>
      <c r="F118" s="6" t="n">
        <v>0</v>
      </c>
      <c r="G118" s="6" t="n">
        <v>0</v>
      </c>
      <c r="H118" s="6" t="n">
        <v>0</v>
      </c>
      <c r="I118" s="6" t="n">
        <v>0</v>
      </c>
      <c r="J118" s="6" t="n">
        <v>0</v>
      </c>
      <c r="K118" s="6" t="n">
        <v>0</v>
      </c>
      <c r="L118" s="6" t="n">
        <v>0</v>
      </c>
      <c r="M118" s="6" t="n">
        <v>0</v>
      </c>
      <c r="N118" s="6" t="n">
        <v>0</v>
      </c>
      <c r="O118" s="6" t="n">
        <v>0</v>
      </c>
      <c r="P118" s="6" t="n">
        <v>0</v>
      </c>
      <c r="Q118" s="6" t="n">
        <v>0</v>
      </c>
      <c r="R118" s="6" t="n">
        <v>0</v>
      </c>
      <c r="S118" s="6" t="n">
        <v>0</v>
      </c>
      <c r="T118" s="6" t="n">
        <v>0</v>
      </c>
      <c r="U118" s="6" t="n">
        <v>0</v>
      </c>
      <c r="V118" s="6" t="n">
        <v>0</v>
      </c>
      <c r="W118" s="6" t="n">
        <v>0</v>
      </c>
      <c r="X118" s="6" t="n">
        <v>0</v>
      </c>
      <c r="Y118" s="6" t="n">
        <v>0</v>
      </c>
      <c r="Z118" s="6" t="n">
        <v>0</v>
      </c>
      <c r="AA118" s="6" t="n">
        <v>0</v>
      </c>
      <c r="AB118" s="6">
        <f>SUM(D118:AA118)</f>
        <v/>
      </c>
      <c r="AC118" s="3" t="inlineStr"/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>
        <f>SUM(AD118:BA118)</f>
        <v/>
      </c>
    </row>
    <row r="119">
      <c r="A119" t="inlineStr">
        <is>
          <t>DC-10-1</t>
        </is>
      </c>
      <c r="B119" t="inlineStr">
        <is>
          <t>DSC Manual</t>
        </is>
      </c>
      <c r="C119" s="5" t="n">
        <v>46097</v>
      </c>
      <c r="D119" s="6" t="n">
        <v>0</v>
      </c>
      <c r="E119" s="6" t="n">
        <v>0</v>
      </c>
      <c r="F119" s="6" t="n">
        <v>0</v>
      </c>
      <c r="G119" s="6" t="n">
        <v>0</v>
      </c>
      <c r="H119" s="6" t="n">
        <v>0</v>
      </c>
      <c r="I119" s="6" t="n">
        <v>0</v>
      </c>
      <c r="J119" s="6" t="n">
        <v>0</v>
      </c>
      <c r="K119" s="6" t="n">
        <v>0</v>
      </c>
      <c r="L119" s="6" t="n">
        <v>0</v>
      </c>
      <c r="M119" s="6" t="n">
        <v>0</v>
      </c>
      <c r="N119" s="6" t="n">
        <v>0</v>
      </c>
      <c r="O119" s="6" t="n">
        <v>0</v>
      </c>
      <c r="P119" s="6" t="n">
        <v>0</v>
      </c>
      <c r="Q119" s="6" t="n">
        <v>0</v>
      </c>
      <c r="R119" s="6" t="n">
        <v>0</v>
      </c>
      <c r="S119" s="6" t="n">
        <v>0</v>
      </c>
      <c r="T119" s="6" t="n">
        <v>0</v>
      </c>
      <c r="U119" s="6" t="n">
        <v>0</v>
      </c>
      <c r="V119" s="6" t="n">
        <v>0</v>
      </c>
      <c r="W119" s="6" t="n">
        <v>0</v>
      </c>
      <c r="X119" s="6" t="n">
        <v>0</v>
      </c>
      <c r="Y119" s="6" t="n">
        <v>0</v>
      </c>
      <c r="Z119" s="6" t="n">
        <v>0</v>
      </c>
      <c r="AA119" s="6" t="n">
        <v>0</v>
      </c>
      <c r="AB119" s="6">
        <f>SUM(D119:AA119)</f>
        <v/>
      </c>
      <c r="AC119" s="3" t="inlineStr"/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n">
        <v>0</v>
      </c>
      <c r="AW119" s="7" t="n">
        <v>0</v>
      </c>
      <c r="AX119" s="7" t="n">
        <v>0</v>
      </c>
      <c r="AY119" s="7" t="n">
        <v>0</v>
      </c>
      <c r="AZ119" s="7" t="n">
        <v>0</v>
      </c>
      <c r="BA119" s="7" t="n">
        <v>0</v>
      </c>
      <c r="BB119" s="7">
        <f>SUM(AD119:BA119)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B1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Layout</t>
        </is>
      </c>
      <c r="B1" s="1" t="inlineStr">
        <is>
          <t>Layout Type</t>
        </is>
      </c>
      <c r="C1" s="1" t="inlineStr">
        <is>
          <t>Date</t>
        </is>
      </c>
      <c r="D1" s="2" t="inlineStr">
        <is>
          <t>Act Vol 12 AM</t>
        </is>
      </c>
      <c r="E1" s="2" t="inlineStr">
        <is>
          <t>Act Vol 1 AM</t>
        </is>
      </c>
      <c r="F1" s="2" t="inlineStr">
        <is>
          <t>Act Vol 2 AM</t>
        </is>
      </c>
      <c r="G1" s="2" t="inlineStr">
        <is>
          <t>Act Vol 3 AM</t>
        </is>
      </c>
      <c r="H1" s="2" t="inlineStr">
        <is>
          <t>Act Vol 4 AM</t>
        </is>
      </c>
      <c r="I1" s="2" t="inlineStr">
        <is>
          <t>Act Vol 5 AM</t>
        </is>
      </c>
      <c r="J1" s="2" t="inlineStr">
        <is>
          <t>Act Vol 6 AM</t>
        </is>
      </c>
      <c r="K1" s="2" t="inlineStr">
        <is>
          <t>Act Vol 7 AM</t>
        </is>
      </c>
      <c r="L1" s="2" t="inlineStr">
        <is>
          <t>Act Vol 8 AM</t>
        </is>
      </c>
      <c r="M1" s="2" t="inlineStr">
        <is>
          <t>Act Vol 9 AM</t>
        </is>
      </c>
      <c r="N1" s="2" t="inlineStr">
        <is>
          <t>Act Vol 10 AM</t>
        </is>
      </c>
      <c r="O1" s="2" t="inlineStr">
        <is>
          <t>Act Vol 11 AM</t>
        </is>
      </c>
      <c r="P1" s="2" t="inlineStr">
        <is>
          <t>Act Vol 12 PM</t>
        </is>
      </c>
      <c r="Q1" s="2" t="inlineStr">
        <is>
          <t>Act Vol 1 PM</t>
        </is>
      </c>
      <c r="R1" s="2" t="inlineStr">
        <is>
          <t>Act Vol 2 PM</t>
        </is>
      </c>
      <c r="S1" s="2" t="inlineStr">
        <is>
          <t>Act Vol 3 PM</t>
        </is>
      </c>
      <c r="T1" s="2" t="inlineStr">
        <is>
          <t>Act Vol 4 PM</t>
        </is>
      </c>
      <c r="U1" s="2" t="inlineStr">
        <is>
          <t>Act Vol 5 PM</t>
        </is>
      </c>
      <c r="V1" s="2" t="inlineStr">
        <is>
          <t>Act Vol 6 PM</t>
        </is>
      </c>
      <c r="W1" s="2" t="inlineStr">
        <is>
          <t>Act Vol 7 PM</t>
        </is>
      </c>
      <c r="X1" s="2" t="inlineStr">
        <is>
          <t>Act Vol 8 PM</t>
        </is>
      </c>
      <c r="Y1" s="2" t="inlineStr">
        <is>
          <t>Act Vol 9 PM</t>
        </is>
      </c>
      <c r="Z1" s="2" t="inlineStr">
        <is>
          <t>Act Vol 10 PM</t>
        </is>
      </c>
      <c r="AA1" s="2" t="inlineStr">
        <is>
          <t>Act Vol 11 PM</t>
        </is>
      </c>
      <c r="AB1" s="2" t="inlineStr">
        <is>
          <t>Act Vol Total</t>
        </is>
      </c>
      <c r="AC1" s="3" t="inlineStr"/>
      <c r="AD1" s="4" t="inlineStr">
        <is>
          <t>MH 12 AM</t>
        </is>
      </c>
      <c r="AE1" s="4" t="inlineStr">
        <is>
          <t>MH 1 AM</t>
        </is>
      </c>
      <c r="AF1" s="4" t="inlineStr">
        <is>
          <t>MH 2 AM</t>
        </is>
      </c>
      <c r="AG1" s="4" t="inlineStr">
        <is>
          <t>MH 3 AM</t>
        </is>
      </c>
      <c r="AH1" s="4" t="inlineStr">
        <is>
          <t>MH 4 AM</t>
        </is>
      </c>
      <c r="AI1" s="4" t="inlineStr">
        <is>
          <t>MH 5 AM</t>
        </is>
      </c>
      <c r="AJ1" s="4" t="inlineStr">
        <is>
          <t>MH 6 AM</t>
        </is>
      </c>
      <c r="AK1" s="4" t="inlineStr">
        <is>
          <t>MH 7 AM</t>
        </is>
      </c>
      <c r="AL1" s="4" t="inlineStr">
        <is>
          <t>MH 8 AM</t>
        </is>
      </c>
      <c r="AM1" s="4" t="inlineStr">
        <is>
          <t>MH 9 AM</t>
        </is>
      </c>
      <c r="AN1" s="4" t="inlineStr">
        <is>
          <t>MH 10 AM</t>
        </is>
      </c>
      <c r="AO1" s="4" t="inlineStr">
        <is>
          <t>MH 11 AM</t>
        </is>
      </c>
      <c r="AP1" s="4" t="inlineStr">
        <is>
          <t>MH 12 PM</t>
        </is>
      </c>
      <c r="AQ1" s="4" t="inlineStr">
        <is>
          <t>MH 1 PM</t>
        </is>
      </c>
      <c r="AR1" s="4" t="inlineStr">
        <is>
          <t>MH 2 PM</t>
        </is>
      </c>
      <c r="AS1" s="4" t="inlineStr">
        <is>
          <t>MH 3 PM</t>
        </is>
      </c>
      <c r="AT1" s="4" t="inlineStr">
        <is>
          <t>MH 4 PM</t>
        </is>
      </c>
      <c r="AU1" s="4" t="inlineStr">
        <is>
          <t>MH 5 PM</t>
        </is>
      </c>
      <c r="AV1" s="4" t="inlineStr">
        <is>
          <t>MH 6 PM</t>
        </is>
      </c>
      <c r="AW1" s="4" t="inlineStr">
        <is>
          <t>MH 7 PM</t>
        </is>
      </c>
      <c r="AX1" s="4" t="inlineStr">
        <is>
          <t>MH 8 PM</t>
        </is>
      </c>
      <c r="AY1" s="4" t="inlineStr">
        <is>
          <t>MH 9 PM</t>
        </is>
      </c>
      <c r="AZ1" s="4" t="inlineStr">
        <is>
          <t>MH 10 PM</t>
        </is>
      </c>
      <c r="BA1" s="4" t="inlineStr">
        <is>
          <t>MH 11 PM</t>
        </is>
      </c>
      <c r="BB1" s="4" t="inlineStr">
        <is>
          <t>MH Total</t>
        </is>
      </c>
    </row>
    <row r="2">
      <c r="A2" t="inlineStr">
        <is>
          <t>AMD-AIR-NEW-SSC</t>
        </is>
      </c>
      <c r="B2" t="inlineStr">
        <is>
          <t>Forward Regular OSC</t>
        </is>
      </c>
      <c r="C2" s="5" t="n">
        <v>46093</v>
      </c>
      <c r="D2" s="6">
        <f>Summary!D2*0.05</f>
        <v/>
      </c>
      <c r="E2" s="6">
        <f>Summary!E2*0.05</f>
        <v/>
      </c>
      <c r="F2" s="6">
        <f>Summary!F2*0.05</f>
        <v/>
      </c>
      <c r="G2" s="6">
        <f>Summary!G2*0.05</f>
        <v/>
      </c>
      <c r="H2" s="6">
        <f>Summary!H2*0.05</f>
        <v/>
      </c>
      <c r="I2" s="6">
        <f>Summary!I2*0.05</f>
        <v/>
      </c>
      <c r="J2" s="6">
        <f>Summary!J2*0.05</f>
        <v/>
      </c>
      <c r="K2" s="6">
        <f>Summary!K2*0.05</f>
        <v/>
      </c>
      <c r="L2" s="6">
        <f>Summary!L2*0.05</f>
        <v/>
      </c>
      <c r="M2" s="6">
        <f>Summary!M2*0.05</f>
        <v/>
      </c>
      <c r="N2" s="6">
        <f>Summary!N2*0.05</f>
        <v/>
      </c>
      <c r="O2" s="6">
        <f>Summary!O2*0.05</f>
        <v/>
      </c>
      <c r="P2" s="6">
        <f>Summary!P2*0.05</f>
        <v/>
      </c>
      <c r="Q2" s="6">
        <f>Summary!Q2*0.05</f>
        <v/>
      </c>
      <c r="R2" s="6">
        <f>Summary!R2*0.05</f>
        <v/>
      </c>
      <c r="S2" s="6">
        <f>Summary!S2*0.05</f>
        <v/>
      </c>
      <c r="T2" s="6">
        <f>Summary!T2*0.05</f>
        <v/>
      </c>
      <c r="U2" s="6">
        <f>Summary!U2*0.05</f>
        <v/>
      </c>
      <c r="V2" s="6">
        <f>Summary!V2*0.05</f>
        <v/>
      </c>
      <c r="W2" s="6">
        <f>Summary!W2*0.05</f>
        <v/>
      </c>
      <c r="X2" s="6">
        <f>Summary!X2*0.05</f>
        <v/>
      </c>
      <c r="Y2" s="6">
        <f>Summary!Y2*0.05</f>
        <v/>
      </c>
      <c r="Z2" s="6">
        <f>Summary!Z2*0.05</f>
        <v/>
      </c>
      <c r="AA2" s="6">
        <f>Summary!AA2*0.05</f>
        <v/>
      </c>
      <c r="AB2" s="6">
        <f>SUM(D2:AA2)</f>
        <v/>
      </c>
      <c r="AC2" s="3" t="inlineStr"/>
      <c r="AD2" s="7">
        <f>E2*0.001196975+D2*0.001196975</f>
        <v/>
      </c>
      <c r="AE2" s="7">
        <f>F2*0.001196975+E2*0.001196975</f>
        <v/>
      </c>
      <c r="AF2" s="7">
        <f>G2*0.001196975+F2*0.001196975</f>
        <v/>
      </c>
      <c r="AG2" s="7">
        <f>H2*0.001196975+G2*0.001196975</f>
        <v/>
      </c>
      <c r="AH2" s="7">
        <f>I2*0.001196975+H2*0.001196975</f>
        <v/>
      </c>
      <c r="AI2" s="7">
        <f>J2*0.001196975+I2*0.001196975</f>
        <v/>
      </c>
      <c r="AJ2" s="7">
        <f>K2*0.001196975+J2*0.001196975</f>
        <v/>
      </c>
      <c r="AK2" s="7">
        <f>L2*0.001196975+K2*0.001196975</f>
        <v/>
      </c>
      <c r="AL2" s="7">
        <f>M2*0.001196975+L2*0.001196975</f>
        <v/>
      </c>
      <c r="AM2" s="7">
        <f>N2*0.001196975+M2*0.001196975</f>
        <v/>
      </c>
      <c r="AN2" s="7">
        <f>O2*0.001196975+N2*0.001196975</f>
        <v/>
      </c>
      <c r="AO2" s="7">
        <f>P2*0.001196975+O2*0.001196975</f>
        <v/>
      </c>
      <c r="AP2" s="7">
        <f>Q2*0.001196975+P2*0.001196975</f>
        <v/>
      </c>
      <c r="AQ2" s="7">
        <f>R2*0.001196975+Q2*0.001196975</f>
        <v/>
      </c>
      <c r="AR2" s="7">
        <f>S2*0.001196975+R2*0.001196975</f>
        <v/>
      </c>
      <c r="AS2" s="7">
        <f>T2*0.001196975+S2*0.001196975</f>
        <v/>
      </c>
      <c r="AT2" s="7">
        <f>U2*0.001196975+T2*0.001196975</f>
        <v/>
      </c>
      <c r="AU2" s="7">
        <f>V2*0.001196975+U2*0.001196975</f>
        <v/>
      </c>
      <c r="AV2" s="7">
        <f>W2*0.001196975+V2*0.001196975</f>
        <v/>
      </c>
      <c r="AW2" s="7">
        <f>X2*0.001196975+W2*0.001196975</f>
        <v/>
      </c>
      <c r="AX2" s="7">
        <f>Y2*0.001196975+X2*0.001196975</f>
        <v/>
      </c>
      <c r="AY2" s="7">
        <f>Z2*0.001196975+Y2*0.001196975</f>
        <v/>
      </c>
      <c r="AZ2" s="7">
        <f>AA2*0.001196975+Z2*0.001196975</f>
        <v/>
      </c>
      <c r="BA2" s="7">
        <f>D2*0.001196975+AA2*0.001196975</f>
        <v/>
      </c>
      <c r="BB2" s="7">
        <f>SUM(AD2:BA2)</f>
        <v/>
      </c>
    </row>
    <row r="3">
      <c r="A3" t="inlineStr">
        <is>
          <t>AMD-AIR-NEW-SSC</t>
        </is>
      </c>
      <c r="B3" t="inlineStr">
        <is>
          <t>Forward Regular OSC</t>
        </is>
      </c>
      <c r="C3" s="5" t="n">
        <v>46094</v>
      </c>
      <c r="D3" s="6">
        <f>Summary!D3*0.05</f>
        <v/>
      </c>
      <c r="E3" s="6">
        <f>Summary!E3*0.05</f>
        <v/>
      </c>
      <c r="F3" s="6">
        <f>Summary!F3*0.05</f>
        <v/>
      </c>
      <c r="G3" s="6">
        <f>Summary!G3*0.05</f>
        <v/>
      </c>
      <c r="H3" s="6">
        <f>Summary!H3*0.05</f>
        <v/>
      </c>
      <c r="I3" s="6">
        <f>Summary!I3*0.05</f>
        <v/>
      </c>
      <c r="J3" s="6">
        <f>Summary!J3*0.05</f>
        <v/>
      </c>
      <c r="K3" s="6">
        <f>Summary!K3*0.05</f>
        <v/>
      </c>
      <c r="L3" s="6">
        <f>Summary!L3*0.05</f>
        <v/>
      </c>
      <c r="M3" s="6">
        <f>Summary!M3*0.05</f>
        <v/>
      </c>
      <c r="N3" s="6">
        <f>Summary!N3*0.05</f>
        <v/>
      </c>
      <c r="O3" s="6">
        <f>Summary!O3*0.05</f>
        <v/>
      </c>
      <c r="P3" s="6">
        <f>Summary!P3*0.05</f>
        <v/>
      </c>
      <c r="Q3" s="6">
        <f>Summary!Q3*0.05</f>
        <v/>
      </c>
      <c r="R3" s="6">
        <f>Summary!R3*0.05</f>
        <v/>
      </c>
      <c r="S3" s="6">
        <f>Summary!S3*0.05</f>
        <v/>
      </c>
      <c r="T3" s="6">
        <f>Summary!T3*0.05</f>
        <v/>
      </c>
      <c r="U3" s="6">
        <f>Summary!U3*0.05</f>
        <v/>
      </c>
      <c r="V3" s="6">
        <f>Summary!V3*0.05</f>
        <v/>
      </c>
      <c r="W3" s="6">
        <f>Summary!W3*0.05</f>
        <v/>
      </c>
      <c r="X3" s="6">
        <f>Summary!X3*0.05</f>
        <v/>
      </c>
      <c r="Y3" s="6">
        <f>Summary!Y3*0.05</f>
        <v/>
      </c>
      <c r="Z3" s="6">
        <f>Summary!Z3*0.05</f>
        <v/>
      </c>
      <c r="AA3" s="6">
        <f>Summary!AA3*0.05</f>
        <v/>
      </c>
      <c r="AB3" s="6">
        <f>SUM(D3:AA3)</f>
        <v/>
      </c>
      <c r="AC3" s="3" t="inlineStr"/>
      <c r="AD3" s="7">
        <f>E3*0.001196975+D3*0.001196975</f>
        <v/>
      </c>
      <c r="AE3" s="7">
        <f>F3*0.001196975+E3*0.001196975</f>
        <v/>
      </c>
      <c r="AF3" s="7">
        <f>G3*0.001196975+F3*0.001196975</f>
        <v/>
      </c>
      <c r="AG3" s="7">
        <f>H3*0.001196975+G3*0.001196975</f>
        <v/>
      </c>
      <c r="AH3" s="7">
        <f>I3*0.001196975+H3*0.001196975</f>
        <v/>
      </c>
      <c r="AI3" s="7">
        <f>J3*0.001196975+I3*0.001196975</f>
        <v/>
      </c>
      <c r="AJ3" s="7">
        <f>K3*0.001196975+J3*0.001196975</f>
        <v/>
      </c>
      <c r="AK3" s="7">
        <f>L3*0.001196975+K3*0.001196975</f>
        <v/>
      </c>
      <c r="AL3" s="7">
        <f>M3*0.001196975+L3*0.001196975</f>
        <v/>
      </c>
      <c r="AM3" s="7">
        <f>N3*0.001196975+M3*0.001196975</f>
        <v/>
      </c>
      <c r="AN3" s="7">
        <f>O3*0.001196975+N3*0.001196975</f>
        <v/>
      </c>
      <c r="AO3" s="7">
        <f>P3*0.001196975+O3*0.001196975</f>
        <v/>
      </c>
      <c r="AP3" s="7">
        <f>Q3*0.001196975+P3*0.001196975</f>
        <v/>
      </c>
      <c r="AQ3" s="7">
        <f>R3*0.001196975+Q3*0.001196975</f>
        <v/>
      </c>
      <c r="AR3" s="7">
        <f>S3*0.001196975+R3*0.001196975</f>
        <v/>
      </c>
      <c r="AS3" s="7">
        <f>T3*0.001196975+S3*0.001196975</f>
        <v/>
      </c>
      <c r="AT3" s="7">
        <f>U3*0.001196975+T3*0.001196975</f>
        <v/>
      </c>
      <c r="AU3" s="7">
        <f>V3*0.001196975+U3*0.001196975</f>
        <v/>
      </c>
      <c r="AV3" s="7">
        <f>W3*0.001196975+V3*0.001196975</f>
        <v/>
      </c>
      <c r="AW3" s="7">
        <f>X3*0.001196975+W3*0.001196975</f>
        <v/>
      </c>
      <c r="AX3" s="7">
        <f>Y3*0.001196975+X3*0.001196975</f>
        <v/>
      </c>
      <c r="AY3" s="7">
        <f>Z3*0.001196975+Y3*0.001196975</f>
        <v/>
      </c>
      <c r="AZ3" s="7">
        <f>AA3*0.001196975+Z3*0.001196975</f>
        <v/>
      </c>
      <c r="BA3" s="7">
        <f>D3*0.001196975+AA3*0.001196975</f>
        <v/>
      </c>
      <c r="BB3" s="7">
        <f>SUM(AD3:BA3)</f>
        <v/>
      </c>
    </row>
    <row r="4">
      <c r="A4" t="inlineStr">
        <is>
          <t>AMD-AIR-NEW-SSC</t>
        </is>
      </c>
      <c r="B4" t="inlineStr">
        <is>
          <t>Forward Regular OSC</t>
        </is>
      </c>
      <c r="C4" s="5" t="n">
        <v>46096</v>
      </c>
      <c r="D4" s="6">
        <f>Summary!D4*0.05</f>
        <v/>
      </c>
      <c r="E4" s="6">
        <f>Summary!E4*0.05</f>
        <v/>
      </c>
      <c r="F4" s="6">
        <f>Summary!F4*0.05</f>
        <v/>
      </c>
      <c r="G4" s="6">
        <f>Summary!G4*0.05</f>
        <v/>
      </c>
      <c r="H4" s="6">
        <f>Summary!H4*0.05</f>
        <v/>
      </c>
      <c r="I4" s="6">
        <f>Summary!I4*0.05</f>
        <v/>
      </c>
      <c r="J4" s="6">
        <f>Summary!J4*0.05</f>
        <v/>
      </c>
      <c r="K4" s="6">
        <f>Summary!K4*0.05</f>
        <v/>
      </c>
      <c r="L4" s="6">
        <f>Summary!L4*0.05</f>
        <v/>
      </c>
      <c r="M4" s="6">
        <f>Summary!M4*0.05</f>
        <v/>
      </c>
      <c r="N4" s="6">
        <f>Summary!N4*0.05</f>
        <v/>
      </c>
      <c r="O4" s="6">
        <f>Summary!O4*0.05</f>
        <v/>
      </c>
      <c r="P4" s="6">
        <f>Summary!P4*0.05</f>
        <v/>
      </c>
      <c r="Q4" s="6">
        <f>Summary!Q4*0.05</f>
        <v/>
      </c>
      <c r="R4" s="6">
        <f>Summary!R4*0.05</f>
        <v/>
      </c>
      <c r="S4" s="6">
        <f>Summary!S4*0.05</f>
        <v/>
      </c>
      <c r="T4" s="6">
        <f>Summary!T4*0.05</f>
        <v/>
      </c>
      <c r="U4" s="6">
        <f>Summary!U4*0.05</f>
        <v/>
      </c>
      <c r="V4" s="6">
        <f>Summary!V4*0.05</f>
        <v/>
      </c>
      <c r="W4" s="6">
        <f>Summary!W4*0.05</f>
        <v/>
      </c>
      <c r="X4" s="6">
        <f>Summary!X4*0.05</f>
        <v/>
      </c>
      <c r="Y4" s="6">
        <f>Summary!Y4*0.05</f>
        <v/>
      </c>
      <c r="Z4" s="6">
        <f>Summary!Z4*0.05</f>
        <v/>
      </c>
      <c r="AA4" s="6">
        <f>Summary!AA4*0.05</f>
        <v/>
      </c>
      <c r="AB4" s="6">
        <f>SUM(D4:AA4)</f>
        <v/>
      </c>
      <c r="AC4" s="3" t="inlineStr"/>
      <c r="AD4" s="7">
        <f>E4*0.001196975+D4*0.001196975</f>
        <v/>
      </c>
      <c r="AE4" s="7">
        <f>F4*0.001196975+E4*0.001196975</f>
        <v/>
      </c>
      <c r="AF4" s="7">
        <f>G4*0.001196975+F4*0.001196975</f>
        <v/>
      </c>
      <c r="AG4" s="7">
        <f>H4*0.001196975+G4*0.001196975</f>
        <v/>
      </c>
      <c r="AH4" s="7">
        <f>I4*0.001196975+H4*0.001196975</f>
        <v/>
      </c>
      <c r="AI4" s="7">
        <f>J4*0.001196975+I4*0.001196975</f>
        <v/>
      </c>
      <c r="AJ4" s="7">
        <f>K4*0.001196975+J4*0.001196975</f>
        <v/>
      </c>
      <c r="AK4" s="7">
        <f>L4*0.001196975+K4*0.001196975</f>
        <v/>
      </c>
      <c r="AL4" s="7">
        <f>M4*0.001196975+L4*0.001196975</f>
        <v/>
      </c>
      <c r="AM4" s="7">
        <f>N4*0.001196975+M4*0.001196975</f>
        <v/>
      </c>
      <c r="AN4" s="7">
        <f>O4*0.001196975+N4*0.001196975</f>
        <v/>
      </c>
      <c r="AO4" s="7">
        <f>P4*0.001196975+O4*0.001196975</f>
        <v/>
      </c>
      <c r="AP4" s="7">
        <f>Q4*0.001196975+P4*0.001196975</f>
        <v/>
      </c>
      <c r="AQ4" s="7">
        <f>R4*0.001196975+Q4*0.001196975</f>
        <v/>
      </c>
      <c r="AR4" s="7">
        <f>S4*0.001196975+R4*0.001196975</f>
        <v/>
      </c>
      <c r="AS4" s="7">
        <f>T4*0.001196975+S4*0.001196975</f>
        <v/>
      </c>
      <c r="AT4" s="7">
        <f>U4*0.001196975+T4*0.001196975</f>
        <v/>
      </c>
      <c r="AU4" s="7">
        <f>V4*0.001196975+U4*0.001196975</f>
        <v/>
      </c>
      <c r="AV4" s="7">
        <f>W4*0.001196975+V4*0.001196975</f>
        <v/>
      </c>
      <c r="AW4" s="7">
        <f>X4*0.001196975+W4*0.001196975</f>
        <v/>
      </c>
      <c r="AX4" s="7">
        <f>Y4*0.001196975+X4*0.001196975</f>
        <v/>
      </c>
      <c r="AY4" s="7">
        <f>Z4*0.001196975+Y4*0.001196975</f>
        <v/>
      </c>
      <c r="AZ4" s="7">
        <f>AA4*0.001196975+Z4*0.001196975</f>
        <v/>
      </c>
      <c r="BA4" s="7">
        <f>D4*0.001196975+AA4*0.001196975</f>
        <v/>
      </c>
      <c r="BB4" s="7">
        <f>SUM(AD4:BA4)</f>
        <v/>
      </c>
    </row>
    <row r="5">
      <c r="A5" t="inlineStr">
        <is>
          <t>AMD-AIR-NEW-SSC</t>
        </is>
      </c>
      <c r="B5" t="inlineStr">
        <is>
          <t>Forward Regular OSC</t>
        </is>
      </c>
      <c r="C5" s="5" t="n">
        <v>46097</v>
      </c>
      <c r="D5" s="6">
        <f>Summary!D5*0.05</f>
        <v/>
      </c>
      <c r="E5" s="6">
        <f>Summary!E5*0.05</f>
        <v/>
      </c>
      <c r="F5" s="6">
        <f>Summary!F5*0.05</f>
        <v/>
      </c>
      <c r="G5" s="6">
        <f>Summary!G5*0.05</f>
        <v/>
      </c>
      <c r="H5" s="6">
        <f>Summary!H5*0.05</f>
        <v/>
      </c>
      <c r="I5" s="6">
        <f>Summary!I5*0.05</f>
        <v/>
      </c>
      <c r="J5" s="6">
        <f>Summary!J5*0.05</f>
        <v/>
      </c>
      <c r="K5" s="6">
        <f>Summary!K5*0.05</f>
        <v/>
      </c>
      <c r="L5" s="6">
        <f>Summary!L5*0.05</f>
        <v/>
      </c>
      <c r="M5" s="6">
        <f>Summary!M5*0.05</f>
        <v/>
      </c>
      <c r="N5" s="6">
        <f>Summary!N5*0.05</f>
        <v/>
      </c>
      <c r="O5" s="6">
        <f>Summary!O5*0.05</f>
        <v/>
      </c>
      <c r="P5" s="6">
        <f>Summary!P5*0.05</f>
        <v/>
      </c>
      <c r="Q5" s="6">
        <f>Summary!Q5*0.05</f>
        <v/>
      </c>
      <c r="R5" s="6">
        <f>Summary!R5*0.05</f>
        <v/>
      </c>
      <c r="S5" s="6">
        <f>Summary!S5*0.05</f>
        <v/>
      </c>
      <c r="T5" s="6">
        <f>Summary!T5*0.05</f>
        <v/>
      </c>
      <c r="U5" s="6">
        <f>Summary!U5*0.05</f>
        <v/>
      </c>
      <c r="V5" s="6">
        <f>Summary!V5*0.05</f>
        <v/>
      </c>
      <c r="W5" s="6">
        <f>Summary!W5*0.05</f>
        <v/>
      </c>
      <c r="X5" s="6">
        <f>Summary!X5*0.05</f>
        <v/>
      </c>
      <c r="Y5" s="6">
        <f>Summary!Y5*0.05</f>
        <v/>
      </c>
      <c r="Z5" s="6">
        <f>Summary!Z5*0.05</f>
        <v/>
      </c>
      <c r="AA5" s="6">
        <f>Summary!AA5*0.05</f>
        <v/>
      </c>
      <c r="AB5" s="6">
        <f>SUM(D5:AA5)</f>
        <v/>
      </c>
      <c r="AC5" s="3" t="inlineStr"/>
      <c r="AD5" s="7">
        <f>E5*0.001196975+D5*0.001196975</f>
        <v/>
      </c>
      <c r="AE5" s="7">
        <f>F5*0.001196975+E5*0.001196975</f>
        <v/>
      </c>
      <c r="AF5" s="7">
        <f>G5*0.001196975+F5*0.001196975</f>
        <v/>
      </c>
      <c r="AG5" s="7">
        <f>H5*0.001196975+G5*0.001196975</f>
        <v/>
      </c>
      <c r="AH5" s="7">
        <f>I5*0.001196975+H5*0.001196975</f>
        <v/>
      </c>
      <c r="AI5" s="7">
        <f>J5*0.001196975+I5*0.001196975</f>
        <v/>
      </c>
      <c r="AJ5" s="7">
        <f>K5*0.001196975+J5*0.001196975</f>
        <v/>
      </c>
      <c r="AK5" s="7">
        <f>L5*0.001196975+K5*0.001196975</f>
        <v/>
      </c>
      <c r="AL5" s="7">
        <f>M5*0.001196975+L5*0.001196975</f>
        <v/>
      </c>
      <c r="AM5" s="7">
        <f>N5*0.001196975+M5*0.001196975</f>
        <v/>
      </c>
      <c r="AN5" s="7">
        <f>O5*0.001196975+N5*0.001196975</f>
        <v/>
      </c>
      <c r="AO5" s="7">
        <f>P5*0.001196975+O5*0.001196975</f>
        <v/>
      </c>
      <c r="AP5" s="7">
        <f>Q5*0.001196975+P5*0.001196975</f>
        <v/>
      </c>
      <c r="AQ5" s="7">
        <f>R5*0.001196975+Q5*0.001196975</f>
        <v/>
      </c>
      <c r="AR5" s="7">
        <f>S5*0.001196975+R5*0.001196975</f>
        <v/>
      </c>
      <c r="AS5" s="7">
        <f>T5*0.001196975+S5*0.001196975</f>
        <v/>
      </c>
      <c r="AT5" s="7">
        <f>U5*0.001196975+T5*0.001196975</f>
        <v/>
      </c>
      <c r="AU5" s="7">
        <f>V5*0.001196975+U5*0.001196975</f>
        <v/>
      </c>
      <c r="AV5" s="7">
        <f>W5*0.001196975+V5*0.001196975</f>
        <v/>
      </c>
      <c r="AW5" s="7">
        <f>X5*0.001196975+W5*0.001196975</f>
        <v/>
      </c>
      <c r="AX5" s="7">
        <f>Y5*0.001196975+X5*0.001196975</f>
        <v/>
      </c>
      <c r="AY5" s="7">
        <f>Z5*0.001196975+Y5*0.001196975</f>
        <v/>
      </c>
      <c r="AZ5" s="7">
        <f>AA5*0.001196975+Z5*0.001196975</f>
        <v/>
      </c>
      <c r="BA5" s="7">
        <f>D5*0.001196975+AA5*0.001196975</f>
        <v/>
      </c>
      <c r="BB5" s="7">
        <f>SUM(AD5:BA5)</f>
        <v/>
      </c>
    </row>
    <row r="6">
      <c r="A6" t="inlineStr">
        <is>
          <t>AMD-AIR-NEW-SSC</t>
        </is>
      </c>
      <c r="B6" t="inlineStr">
        <is>
          <t>Forward Regular OSC</t>
        </is>
      </c>
      <c r="C6" s="5" t="n">
        <v>46100</v>
      </c>
      <c r="D6" s="6">
        <f>Summary!D6*0.05</f>
        <v/>
      </c>
      <c r="E6" s="6">
        <f>Summary!E6*0.05</f>
        <v/>
      </c>
      <c r="F6" s="6">
        <f>Summary!F6*0.05</f>
        <v/>
      </c>
      <c r="G6" s="6">
        <f>Summary!G6*0.05</f>
        <v/>
      </c>
      <c r="H6" s="6">
        <f>Summary!H6*0.05</f>
        <v/>
      </c>
      <c r="I6" s="6">
        <f>Summary!I6*0.05</f>
        <v/>
      </c>
      <c r="J6" s="6">
        <f>Summary!J6*0.05</f>
        <v/>
      </c>
      <c r="K6" s="6">
        <f>Summary!K6*0.05</f>
        <v/>
      </c>
      <c r="L6" s="6">
        <f>Summary!L6*0.05</f>
        <v/>
      </c>
      <c r="M6" s="6">
        <f>Summary!M6*0.05</f>
        <v/>
      </c>
      <c r="N6" s="6">
        <f>Summary!N6*0.05</f>
        <v/>
      </c>
      <c r="O6" s="6">
        <f>Summary!O6*0.05</f>
        <v/>
      </c>
      <c r="P6" s="6">
        <f>Summary!P6*0.05</f>
        <v/>
      </c>
      <c r="Q6" s="6">
        <f>Summary!Q6*0.05</f>
        <v/>
      </c>
      <c r="R6" s="6">
        <f>Summary!R6*0.05</f>
        <v/>
      </c>
      <c r="S6" s="6">
        <f>Summary!S6*0.05</f>
        <v/>
      </c>
      <c r="T6" s="6">
        <f>Summary!T6*0.05</f>
        <v/>
      </c>
      <c r="U6" s="6">
        <f>Summary!U6*0.05</f>
        <v/>
      </c>
      <c r="V6" s="6">
        <f>Summary!V6*0.05</f>
        <v/>
      </c>
      <c r="W6" s="6">
        <f>Summary!W6*0.05</f>
        <v/>
      </c>
      <c r="X6" s="6">
        <f>Summary!X6*0.05</f>
        <v/>
      </c>
      <c r="Y6" s="6">
        <f>Summary!Y6*0.05</f>
        <v/>
      </c>
      <c r="Z6" s="6">
        <f>Summary!Z6*0.05</f>
        <v/>
      </c>
      <c r="AA6" s="6">
        <f>Summary!AA6*0.05</f>
        <v/>
      </c>
      <c r="AB6" s="6">
        <f>SUM(D6:AA6)</f>
        <v/>
      </c>
      <c r="AC6" s="3" t="inlineStr"/>
      <c r="AD6" s="7">
        <f>E6*0.001196975+D6*0.001196975</f>
        <v/>
      </c>
      <c r="AE6" s="7">
        <f>F6*0.001196975+E6*0.001196975</f>
        <v/>
      </c>
      <c r="AF6" s="7">
        <f>G6*0.001196975+F6*0.001196975</f>
        <v/>
      </c>
      <c r="AG6" s="7">
        <f>H6*0.001196975+G6*0.001196975</f>
        <v/>
      </c>
      <c r="AH6" s="7">
        <f>I6*0.001196975+H6*0.001196975</f>
        <v/>
      </c>
      <c r="AI6" s="7">
        <f>J6*0.001196975+I6*0.001196975</f>
        <v/>
      </c>
      <c r="AJ6" s="7">
        <f>K6*0.001196975+J6*0.001196975</f>
        <v/>
      </c>
      <c r="AK6" s="7">
        <f>L6*0.001196975+K6*0.001196975</f>
        <v/>
      </c>
      <c r="AL6" s="7">
        <f>M6*0.001196975+L6*0.001196975</f>
        <v/>
      </c>
      <c r="AM6" s="7">
        <f>N6*0.001196975+M6*0.001196975</f>
        <v/>
      </c>
      <c r="AN6" s="7">
        <f>O6*0.001196975+N6*0.001196975</f>
        <v/>
      </c>
      <c r="AO6" s="7">
        <f>P6*0.001196975+O6*0.001196975</f>
        <v/>
      </c>
      <c r="AP6" s="7">
        <f>Q6*0.001196975+P6*0.001196975</f>
        <v/>
      </c>
      <c r="AQ6" s="7">
        <f>R6*0.001196975+Q6*0.001196975</f>
        <v/>
      </c>
      <c r="AR6" s="7">
        <f>S6*0.001196975+R6*0.001196975</f>
        <v/>
      </c>
      <c r="AS6" s="7">
        <f>T6*0.001196975+S6*0.001196975</f>
        <v/>
      </c>
      <c r="AT6" s="7">
        <f>U6*0.001196975+T6*0.001196975</f>
        <v/>
      </c>
      <c r="AU6" s="7">
        <f>V6*0.001196975+U6*0.001196975</f>
        <v/>
      </c>
      <c r="AV6" s="7">
        <f>W6*0.001196975+V6*0.001196975</f>
        <v/>
      </c>
      <c r="AW6" s="7">
        <f>X6*0.001196975+W6*0.001196975</f>
        <v/>
      </c>
      <c r="AX6" s="7">
        <f>Y6*0.001196975+X6*0.001196975</f>
        <v/>
      </c>
      <c r="AY6" s="7">
        <f>Z6*0.001196975+Y6*0.001196975</f>
        <v/>
      </c>
      <c r="AZ6" s="7">
        <f>AA6*0.001196975+Z6*0.001196975</f>
        <v/>
      </c>
      <c r="BA6" s="7">
        <f>D6*0.001196975+AA6*0.001196975</f>
        <v/>
      </c>
      <c r="BB6" s="7">
        <f>SUM(AD6:BA6)</f>
        <v/>
      </c>
    </row>
    <row r="7">
      <c r="A7" t="inlineStr">
        <is>
          <t>AMD-AIR-NEW-SSC</t>
        </is>
      </c>
      <c r="B7" t="inlineStr">
        <is>
          <t>Forward Regular OSC</t>
        </is>
      </c>
      <c r="C7" s="5" t="n">
        <v>46101</v>
      </c>
      <c r="D7" s="6">
        <f>Summary!D7*0.05</f>
        <v/>
      </c>
      <c r="E7" s="6">
        <f>Summary!E7*0.05</f>
        <v/>
      </c>
      <c r="F7" s="6">
        <f>Summary!F7*0.05</f>
        <v/>
      </c>
      <c r="G7" s="6">
        <f>Summary!G7*0.05</f>
        <v/>
      </c>
      <c r="H7" s="6">
        <f>Summary!H7*0.05</f>
        <v/>
      </c>
      <c r="I7" s="6">
        <f>Summary!I7*0.05</f>
        <v/>
      </c>
      <c r="J7" s="6">
        <f>Summary!J7*0.05</f>
        <v/>
      </c>
      <c r="K7" s="6">
        <f>Summary!K7*0.05</f>
        <v/>
      </c>
      <c r="L7" s="6">
        <f>Summary!L7*0.05</f>
        <v/>
      </c>
      <c r="M7" s="6">
        <f>Summary!M7*0.05</f>
        <v/>
      </c>
      <c r="N7" s="6">
        <f>Summary!N7*0.05</f>
        <v/>
      </c>
      <c r="O7" s="6">
        <f>Summary!O7*0.05</f>
        <v/>
      </c>
      <c r="P7" s="6">
        <f>Summary!P7*0.05</f>
        <v/>
      </c>
      <c r="Q7" s="6">
        <f>Summary!Q7*0.05</f>
        <v/>
      </c>
      <c r="R7" s="6">
        <f>Summary!R7*0.05</f>
        <v/>
      </c>
      <c r="S7" s="6">
        <f>Summary!S7*0.05</f>
        <v/>
      </c>
      <c r="T7" s="6">
        <f>Summary!T7*0.05</f>
        <v/>
      </c>
      <c r="U7" s="6">
        <f>Summary!U7*0.05</f>
        <v/>
      </c>
      <c r="V7" s="6">
        <f>Summary!V7*0.05</f>
        <v/>
      </c>
      <c r="W7" s="6">
        <f>Summary!W7*0.05</f>
        <v/>
      </c>
      <c r="X7" s="6">
        <f>Summary!X7*0.05</f>
        <v/>
      </c>
      <c r="Y7" s="6">
        <f>Summary!Y7*0.05</f>
        <v/>
      </c>
      <c r="Z7" s="6">
        <f>Summary!Z7*0.05</f>
        <v/>
      </c>
      <c r="AA7" s="6">
        <f>Summary!AA7*0.05</f>
        <v/>
      </c>
      <c r="AB7" s="6">
        <f>SUM(D7:AA7)</f>
        <v/>
      </c>
      <c r="AC7" s="3" t="inlineStr"/>
      <c r="AD7" s="7">
        <f>E7*0.001196975+D7*0.001196975</f>
        <v/>
      </c>
      <c r="AE7" s="7">
        <f>F7*0.001196975+E7*0.001196975</f>
        <v/>
      </c>
      <c r="AF7" s="7">
        <f>G7*0.001196975+F7*0.001196975</f>
        <v/>
      </c>
      <c r="AG7" s="7">
        <f>H7*0.001196975+G7*0.001196975</f>
        <v/>
      </c>
      <c r="AH7" s="7">
        <f>I7*0.001196975+H7*0.001196975</f>
        <v/>
      </c>
      <c r="AI7" s="7">
        <f>J7*0.001196975+I7*0.001196975</f>
        <v/>
      </c>
      <c r="AJ7" s="7">
        <f>K7*0.001196975+J7*0.001196975</f>
        <v/>
      </c>
      <c r="AK7" s="7">
        <f>L7*0.001196975+K7*0.001196975</f>
        <v/>
      </c>
      <c r="AL7" s="7">
        <f>M7*0.001196975+L7*0.001196975</f>
        <v/>
      </c>
      <c r="AM7" s="7">
        <f>N7*0.001196975+M7*0.001196975</f>
        <v/>
      </c>
      <c r="AN7" s="7">
        <f>O7*0.001196975+N7*0.001196975</f>
        <v/>
      </c>
      <c r="AO7" s="7">
        <f>P7*0.001196975+O7*0.001196975</f>
        <v/>
      </c>
      <c r="AP7" s="7">
        <f>Q7*0.001196975+P7*0.001196975</f>
        <v/>
      </c>
      <c r="AQ7" s="7">
        <f>R7*0.001196975+Q7*0.001196975</f>
        <v/>
      </c>
      <c r="AR7" s="7">
        <f>S7*0.001196975+R7*0.001196975</f>
        <v/>
      </c>
      <c r="AS7" s="7">
        <f>T7*0.001196975+S7*0.001196975</f>
        <v/>
      </c>
      <c r="AT7" s="7">
        <f>U7*0.001196975+T7*0.001196975</f>
        <v/>
      </c>
      <c r="AU7" s="7">
        <f>V7*0.001196975+U7*0.001196975</f>
        <v/>
      </c>
      <c r="AV7" s="7">
        <f>W7*0.001196975+V7*0.001196975</f>
        <v/>
      </c>
      <c r="AW7" s="7">
        <f>X7*0.001196975+W7*0.001196975</f>
        <v/>
      </c>
      <c r="AX7" s="7">
        <f>Y7*0.001196975+X7*0.001196975</f>
        <v/>
      </c>
      <c r="AY7" s="7">
        <f>Z7*0.001196975+Y7*0.001196975</f>
        <v/>
      </c>
      <c r="AZ7" s="7">
        <f>AA7*0.001196975+Z7*0.001196975</f>
        <v/>
      </c>
      <c r="BA7" s="7">
        <f>D7*0.001196975+AA7*0.001196975</f>
        <v/>
      </c>
      <c r="BB7" s="7">
        <f>SUM(AD7:BA7)</f>
        <v/>
      </c>
    </row>
    <row r="8">
      <c r="A8" t="inlineStr">
        <is>
          <t>AMD-AIR-NEW-SSC</t>
        </is>
      </c>
      <c r="B8" t="inlineStr">
        <is>
          <t>Forward Regular OSC</t>
        </is>
      </c>
      <c r="C8" s="5" t="n">
        <v>46102</v>
      </c>
      <c r="D8" s="6">
        <f>Summary!D8*0.05</f>
        <v/>
      </c>
      <c r="E8" s="6">
        <f>Summary!E8*0.05</f>
        <v/>
      </c>
      <c r="F8" s="6">
        <f>Summary!F8*0.05</f>
        <v/>
      </c>
      <c r="G8" s="6">
        <f>Summary!G8*0.05</f>
        <v/>
      </c>
      <c r="H8" s="6">
        <f>Summary!H8*0.05</f>
        <v/>
      </c>
      <c r="I8" s="6">
        <f>Summary!I8*0.05</f>
        <v/>
      </c>
      <c r="J8" s="6">
        <f>Summary!J8*0.05</f>
        <v/>
      </c>
      <c r="K8" s="6">
        <f>Summary!K8*0.05</f>
        <v/>
      </c>
      <c r="L8" s="6">
        <f>Summary!L8*0.05</f>
        <v/>
      </c>
      <c r="M8" s="6">
        <f>Summary!M8*0.05</f>
        <v/>
      </c>
      <c r="N8" s="6">
        <f>Summary!N8*0.05</f>
        <v/>
      </c>
      <c r="O8" s="6">
        <f>Summary!O8*0.05</f>
        <v/>
      </c>
      <c r="P8" s="6">
        <f>Summary!P8*0.05</f>
        <v/>
      </c>
      <c r="Q8" s="6">
        <f>Summary!Q8*0.05</f>
        <v/>
      </c>
      <c r="R8" s="6">
        <f>Summary!R8*0.05</f>
        <v/>
      </c>
      <c r="S8" s="6">
        <f>Summary!S8*0.05</f>
        <v/>
      </c>
      <c r="T8" s="6">
        <f>Summary!T8*0.05</f>
        <v/>
      </c>
      <c r="U8" s="6">
        <f>Summary!U8*0.05</f>
        <v/>
      </c>
      <c r="V8" s="6">
        <f>Summary!V8*0.05</f>
        <v/>
      </c>
      <c r="W8" s="6">
        <f>Summary!W8*0.05</f>
        <v/>
      </c>
      <c r="X8" s="6">
        <f>Summary!X8*0.05</f>
        <v/>
      </c>
      <c r="Y8" s="6">
        <f>Summary!Y8*0.05</f>
        <v/>
      </c>
      <c r="Z8" s="6">
        <f>Summary!Z8*0.05</f>
        <v/>
      </c>
      <c r="AA8" s="6">
        <f>Summary!AA8*0.05</f>
        <v/>
      </c>
      <c r="AB8" s="6">
        <f>SUM(D8:AA8)</f>
        <v/>
      </c>
      <c r="AC8" s="3" t="inlineStr"/>
      <c r="AD8" s="7">
        <f>E8*0.001196975+D8*0.001196975</f>
        <v/>
      </c>
      <c r="AE8" s="7">
        <f>F8*0.001196975+E8*0.001196975</f>
        <v/>
      </c>
      <c r="AF8" s="7">
        <f>G8*0.001196975+F8*0.001196975</f>
        <v/>
      </c>
      <c r="AG8" s="7">
        <f>H8*0.001196975+G8*0.001196975</f>
        <v/>
      </c>
      <c r="AH8" s="7">
        <f>I8*0.001196975+H8*0.001196975</f>
        <v/>
      </c>
      <c r="AI8" s="7">
        <f>J8*0.001196975+I8*0.001196975</f>
        <v/>
      </c>
      <c r="AJ8" s="7">
        <f>K8*0.001196975+J8*0.001196975</f>
        <v/>
      </c>
      <c r="AK8" s="7">
        <f>L8*0.001196975+K8*0.001196975</f>
        <v/>
      </c>
      <c r="AL8" s="7">
        <f>M8*0.001196975+L8*0.001196975</f>
        <v/>
      </c>
      <c r="AM8" s="7">
        <f>N8*0.001196975+M8*0.001196975</f>
        <v/>
      </c>
      <c r="AN8" s="7">
        <f>O8*0.001196975+N8*0.001196975</f>
        <v/>
      </c>
      <c r="AO8" s="7">
        <f>P8*0.001196975+O8*0.001196975</f>
        <v/>
      </c>
      <c r="AP8" s="7">
        <f>Q8*0.001196975+P8*0.001196975</f>
        <v/>
      </c>
      <c r="AQ8" s="7">
        <f>R8*0.001196975+Q8*0.001196975</f>
        <v/>
      </c>
      <c r="AR8" s="7">
        <f>S8*0.001196975+R8*0.001196975</f>
        <v/>
      </c>
      <c r="AS8" s="7">
        <f>T8*0.001196975+S8*0.001196975</f>
        <v/>
      </c>
      <c r="AT8" s="7">
        <f>U8*0.001196975+T8*0.001196975</f>
        <v/>
      </c>
      <c r="AU8" s="7">
        <f>V8*0.001196975+U8*0.001196975</f>
        <v/>
      </c>
      <c r="AV8" s="7">
        <f>W8*0.001196975+V8*0.001196975</f>
        <v/>
      </c>
      <c r="AW8" s="7">
        <f>X8*0.001196975+W8*0.001196975</f>
        <v/>
      </c>
      <c r="AX8" s="7">
        <f>Y8*0.001196975+X8*0.001196975</f>
        <v/>
      </c>
      <c r="AY8" s="7">
        <f>Z8*0.001196975+Y8*0.001196975</f>
        <v/>
      </c>
      <c r="AZ8" s="7">
        <f>AA8*0.001196975+Z8*0.001196975</f>
        <v/>
      </c>
      <c r="BA8" s="7">
        <f>D8*0.001196975+AA8*0.001196975</f>
        <v/>
      </c>
      <c r="BB8" s="7">
        <f>SUM(AD8:BA8)</f>
        <v/>
      </c>
    </row>
    <row r="9">
      <c r="A9" t="inlineStr">
        <is>
          <t>AMD-AIR-NEW-SSC</t>
        </is>
      </c>
      <c r="B9" t="inlineStr">
        <is>
          <t>Forward Regular OSC</t>
        </is>
      </c>
      <c r="C9" s="5" t="n">
        <v>46103</v>
      </c>
      <c r="D9" s="6">
        <f>Summary!D9*0.05</f>
        <v/>
      </c>
      <c r="E9" s="6">
        <f>Summary!E9*0.05</f>
        <v/>
      </c>
      <c r="F9" s="6">
        <f>Summary!F9*0.05</f>
        <v/>
      </c>
      <c r="G9" s="6">
        <f>Summary!G9*0.05</f>
        <v/>
      </c>
      <c r="H9" s="6">
        <f>Summary!H9*0.05</f>
        <v/>
      </c>
      <c r="I9" s="6">
        <f>Summary!I9*0.05</f>
        <v/>
      </c>
      <c r="J9" s="6">
        <f>Summary!J9*0.05</f>
        <v/>
      </c>
      <c r="K9" s="6">
        <f>Summary!K9*0.05</f>
        <v/>
      </c>
      <c r="L9" s="6">
        <f>Summary!L9*0.05</f>
        <v/>
      </c>
      <c r="M9" s="6">
        <f>Summary!M9*0.05</f>
        <v/>
      </c>
      <c r="N9" s="6">
        <f>Summary!N9*0.05</f>
        <v/>
      </c>
      <c r="O9" s="6">
        <f>Summary!O9*0.05</f>
        <v/>
      </c>
      <c r="P9" s="6">
        <f>Summary!P9*0.05</f>
        <v/>
      </c>
      <c r="Q9" s="6">
        <f>Summary!Q9*0.05</f>
        <v/>
      </c>
      <c r="R9" s="6">
        <f>Summary!R9*0.05</f>
        <v/>
      </c>
      <c r="S9" s="6">
        <f>Summary!S9*0.05</f>
        <v/>
      </c>
      <c r="T9" s="6">
        <f>Summary!T9*0.05</f>
        <v/>
      </c>
      <c r="U9" s="6">
        <f>Summary!U9*0.05</f>
        <v/>
      </c>
      <c r="V9" s="6">
        <f>Summary!V9*0.05</f>
        <v/>
      </c>
      <c r="W9" s="6">
        <f>Summary!W9*0.05</f>
        <v/>
      </c>
      <c r="X9" s="6">
        <f>Summary!X9*0.05</f>
        <v/>
      </c>
      <c r="Y9" s="6">
        <f>Summary!Y9*0.05</f>
        <v/>
      </c>
      <c r="Z9" s="6">
        <f>Summary!Z9*0.05</f>
        <v/>
      </c>
      <c r="AA9" s="6">
        <f>Summary!AA9*0.05</f>
        <v/>
      </c>
      <c r="AB9" s="6">
        <f>SUM(D9:AA9)</f>
        <v/>
      </c>
      <c r="AC9" s="3" t="inlineStr"/>
      <c r="AD9" s="7">
        <f>E9*0.001196975+D9*0.001196975</f>
        <v/>
      </c>
      <c r="AE9" s="7">
        <f>F9*0.001196975+E9*0.001196975</f>
        <v/>
      </c>
      <c r="AF9" s="7">
        <f>G9*0.001196975+F9*0.001196975</f>
        <v/>
      </c>
      <c r="AG9" s="7">
        <f>H9*0.001196975+G9*0.001196975</f>
        <v/>
      </c>
      <c r="AH9" s="7">
        <f>I9*0.001196975+H9*0.001196975</f>
        <v/>
      </c>
      <c r="AI9" s="7">
        <f>J9*0.001196975+I9*0.001196975</f>
        <v/>
      </c>
      <c r="AJ9" s="7">
        <f>K9*0.001196975+J9*0.001196975</f>
        <v/>
      </c>
      <c r="AK9" s="7">
        <f>L9*0.001196975+K9*0.001196975</f>
        <v/>
      </c>
      <c r="AL9" s="7">
        <f>M9*0.001196975+L9*0.001196975</f>
        <v/>
      </c>
      <c r="AM9" s="7">
        <f>N9*0.001196975+M9*0.001196975</f>
        <v/>
      </c>
      <c r="AN9" s="7">
        <f>O9*0.001196975+N9*0.001196975</f>
        <v/>
      </c>
      <c r="AO9" s="7">
        <f>P9*0.001196975+O9*0.001196975</f>
        <v/>
      </c>
      <c r="AP9" s="7">
        <f>Q9*0.001196975+P9*0.001196975</f>
        <v/>
      </c>
      <c r="AQ9" s="7">
        <f>R9*0.001196975+Q9*0.001196975</f>
        <v/>
      </c>
      <c r="AR9" s="7">
        <f>S9*0.001196975+R9*0.001196975</f>
        <v/>
      </c>
      <c r="AS9" s="7">
        <f>T9*0.001196975+S9*0.001196975</f>
        <v/>
      </c>
      <c r="AT9" s="7">
        <f>U9*0.001196975+T9*0.001196975</f>
        <v/>
      </c>
      <c r="AU9" s="7">
        <f>V9*0.001196975+U9*0.001196975</f>
        <v/>
      </c>
      <c r="AV9" s="7">
        <f>W9*0.001196975+V9*0.001196975</f>
        <v/>
      </c>
      <c r="AW9" s="7">
        <f>X9*0.001196975+W9*0.001196975</f>
        <v/>
      </c>
      <c r="AX9" s="7">
        <f>Y9*0.001196975+X9*0.001196975</f>
        <v/>
      </c>
      <c r="AY9" s="7">
        <f>Z9*0.001196975+Y9*0.001196975</f>
        <v/>
      </c>
      <c r="AZ9" s="7">
        <f>AA9*0.001196975+Z9*0.001196975</f>
        <v/>
      </c>
      <c r="BA9" s="7">
        <f>D9*0.001196975+AA9*0.001196975</f>
        <v/>
      </c>
      <c r="BB9" s="7">
        <f>SUM(AD9:BA9)</f>
        <v/>
      </c>
    </row>
    <row r="10">
      <c r="A10" t="inlineStr">
        <is>
          <t>AMD-AIR-NEW-SSC</t>
        </is>
      </c>
      <c r="B10" t="inlineStr">
        <is>
          <t>Forward Regular OSC</t>
        </is>
      </c>
      <c r="C10" s="5" t="n">
        <v>46104</v>
      </c>
      <c r="D10" s="6">
        <f>Summary!D10*0.05</f>
        <v/>
      </c>
      <c r="E10" s="6">
        <f>Summary!E10*0.05</f>
        <v/>
      </c>
      <c r="F10" s="6">
        <f>Summary!F10*0.05</f>
        <v/>
      </c>
      <c r="G10" s="6">
        <f>Summary!G10*0.05</f>
        <v/>
      </c>
      <c r="H10" s="6">
        <f>Summary!H10*0.05</f>
        <v/>
      </c>
      <c r="I10" s="6">
        <f>Summary!I10*0.05</f>
        <v/>
      </c>
      <c r="J10" s="6">
        <f>Summary!J10*0.05</f>
        <v/>
      </c>
      <c r="K10" s="6">
        <f>Summary!K10*0.05</f>
        <v/>
      </c>
      <c r="L10" s="6">
        <f>Summary!L10*0.05</f>
        <v/>
      </c>
      <c r="M10" s="6">
        <f>Summary!M10*0.05</f>
        <v/>
      </c>
      <c r="N10" s="6">
        <f>Summary!N10*0.05</f>
        <v/>
      </c>
      <c r="O10" s="6">
        <f>Summary!O10*0.05</f>
        <v/>
      </c>
      <c r="P10" s="6">
        <f>Summary!P10*0.05</f>
        <v/>
      </c>
      <c r="Q10" s="6">
        <f>Summary!Q10*0.05</f>
        <v/>
      </c>
      <c r="R10" s="6">
        <f>Summary!R10*0.05</f>
        <v/>
      </c>
      <c r="S10" s="6">
        <f>Summary!S10*0.05</f>
        <v/>
      </c>
      <c r="T10" s="6">
        <f>Summary!T10*0.05</f>
        <v/>
      </c>
      <c r="U10" s="6">
        <f>Summary!U10*0.05</f>
        <v/>
      </c>
      <c r="V10" s="6">
        <f>Summary!V10*0.05</f>
        <v/>
      </c>
      <c r="W10" s="6">
        <f>Summary!W10*0.05</f>
        <v/>
      </c>
      <c r="X10" s="6">
        <f>Summary!X10*0.05</f>
        <v/>
      </c>
      <c r="Y10" s="6">
        <f>Summary!Y10*0.05</f>
        <v/>
      </c>
      <c r="Z10" s="6">
        <f>Summary!Z10*0.05</f>
        <v/>
      </c>
      <c r="AA10" s="6">
        <f>Summary!AA10*0.05</f>
        <v/>
      </c>
      <c r="AB10" s="6">
        <f>SUM(D10:AA10)</f>
        <v/>
      </c>
      <c r="AC10" s="3" t="inlineStr"/>
      <c r="AD10" s="7">
        <f>E10*0.001196975+D10*0.001196975</f>
        <v/>
      </c>
      <c r="AE10" s="7">
        <f>F10*0.001196975+E10*0.001196975</f>
        <v/>
      </c>
      <c r="AF10" s="7">
        <f>G10*0.001196975+F10*0.001196975</f>
        <v/>
      </c>
      <c r="AG10" s="7">
        <f>H10*0.001196975+G10*0.001196975</f>
        <v/>
      </c>
      <c r="AH10" s="7">
        <f>I10*0.001196975+H10*0.001196975</f>
        <v/>
      </c>
      <c r="AI10" s="7">
        <f>J10*0.001196975+I10*0.001196975</f>
        <v/>
      </c>
      <c r="AJ10" s="7">
        <f>K10*0.001196975+J10*0.001196975</f>
        <v/>
      </c>
      <c r="AK10" s="7">
        <f>L10*0.001196975+K10*0.001196975</f>
        <v/>
      </c>
      <c r="AL10" s="7">
        <f>M10*0.001196975+L10*0.001196975</f>
        <v/>
      </c>
      <c r="AM10" s="7">
        <f>N10*0.001196975+M10*0.001196975</f>
        <v/>
      </c>
      <c r="AN10" s="7">
        <f>O10*0.001196975+N10*0.001196975</f>
        <v/>
      </c>
      <c r="AO10" s="7">
        <f>P10*0.001196975+O10*0.001196975</f>
        <v/>
      </c>
      <c r="AP10" s="7">
        <f>Q10*0.001196975+P10*0.001196975</f>
        <v/>
      </c>
      <c r="AQ10" s="7">
        <f>R10*0.001196975+Q10*0.001196975</f>
        <v/>
      </c>
      <c r="AR10" s="7">
        <f>S10*0.001196975+R10*0.001196975</f>
        <v/>
      </c>
      <c r="AS10" s="7">
        <f>T10*0.001196975+S10*0.001196975</f>
        <v/>
      </c>
      <c r="AT10" s="7">
        <f>U10*0.001196975+T10*0.001196975</f>
        <v/>
      </c>
      <c r="AU10" s="7">
        <f>V10*0.001196975+U10*0.001196975</f>
        <v/>
      </c>
      <c r="AV10" s="7">
        <f>W10*0.001196975+V10*0.001196975</f>
        <v/>
      </c>
      <c r="AW10" s="7">
        <f>X10*0.001196975+W10*0.001196975</f>
        <v/>
      </c>
      <c r="AX10" s="7">
        <f>Y10*0.001196975+X10*0.001196975</f>
        <v/>
      </c>
      <c r="AY10" s="7">
        <f>Z10*0.001196975+Y10*0.001196975</f>
        <v/>
      </c>
      <c r="AZ10" s="7">
        <f>AA10*0.001196975+Z10*0.001196975</f>
        <v/>
      </c>
      <c r="BA10" s="7">
        <f>D10*0.001196975+AA10*0.001196975</f>
        <v/>
      </c>
      <c r="BB10" s="7">
        <f>SUM(AD10:BA10)</f>
        <v/>
      </c>
    </row>
    <row r="11">
      <c r="A11" t="inlineStr">
        <is>
          <t>AMD-EXPR</t>
        </is>
      </c>
      <c r="B11" t="inlineStr">
        <is>
          <t>DSC Manual</t>
        </is>
      </c>
      <c r="C11" s="5" t="n">
        <v>46089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>
        <f>SUM(D11:AA11)</f>
        <v/>
      </c>
      <c r="AC11" s="3" t="inlineStr"/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0</v>
      </c>
      <c r="AP11" s="7" t="n">
        <v>0</v>
      </c>
      <c r="AQ11" s="7" t="n">
        <v>0</v>
      </c>
      <c r="AR11" s="7" t="n">
        <v>0</v>
      </c>
      <c r="AS11" s="7" t="n">
        <v>0</v>
      </c>
      <c r="AT11" s="7" t="n">
        <v>0</v>
      </c>
      <c r="AU11" s="7" t="n">
        <v>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0</v>
      </c>
      <c r="BA11" s="7" t="n">
        <v>0</v>
      </c>
      <c r="BB11" s="7">
        <f>SUM(AD11:BA11)</f>
        <v/>
      </c>
    </row>
    <row r="12">
      <c r="A12" t="inlineStr">
        <is>
          <t>AMD-EXPR</t>
        </is>
      </c>
      <c r="B12" t="inlineStr">
        <is>
          <t>DSC Manual</t>
        </is>
      </c>
      <c r="C12" s="5" t="n">
        <v>46090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>
        <f>SUM(D12:AA12)</f>
        <v/>
      </c>
      <c r="AC12" s="3" t="inlineStr"/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0</v>
      </c>
      <c r="AT12" s="7" t="n">
        <v>0</v>
      </c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0</v>
      </c>
      <c r="BA12" s="7" t="n">
        <v>0</v>
      </c>
      <c r="BB12" s="7">
        <f>SUM(AD12:BA12)</f>
        <v/>
      </c>
    </row>
    <row r="13">
      <c r="A13" t="inlineStr">
        <is>
          <t>AMD-EXPR</t>
        </is>
      </c>
      <c r="B13" t="inlineStr">
        <is>
          <t>DSC Manual</t>
        </is>
      </c>
      <c r="C13" s="5" t="n">
        <v>46091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>
        <f>SUM(D13:AA13)</f>
        <v/>
      </c>
      <c r="AC13" s="3" t="inlineStr"/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0</v>
      </c>
      <c r="AP13" s="7" t="n">
        <v>0</v>
      </c>
      <c r="AQ13" s="7" t="n">
        <v>0</v>
      </c>
      <c r="AR13" s="7" t="n">
        <v>0</v>
      </c>
      <c r="AS13" s="7" t="n">
        <v>0</v>
      </c>
      <c r="AT13" s="7" t="n">
        <v>0</v>
      </c>
      <c r="AU13" s="7" t="n">
        <v>0</v>
      </c>
      <c r="AV13" s="7" t="n">
        <v>0</v>
      </c>
      <c r="AW13" s="7" t="n">
        <v>0</v>
      </c>
      <c r="AX13" s="7" t="n">
        <v>0</v>
      </c>
      <c r="AY13" s="7" t="n">
        <v>0</v>
      </c>
      <c r="AZ13" s="7" t="n">
        <v>0</v>
      </c>
      <c r="BA13" s="7" t="n">
        <v>0</v>
      </c>
      <c r="BB13" s="7">
        <f>SUM(AD13:BA13)</f>
        <v/>
      </c>
    </row>
    <row r="14">
      <c r="A14" t="inlineStr">
        <is>
          <t>AMD-EXPR</t>
        </is>
      </c>
      <c r="B14" t="inlineStr">
        <is>
          <t>DSC Manual</t>
        </is>
      </c>
      <c r="C14" s="5" t="n">
        <v>46092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>
        <f>SUM(D14:AA14)</f>
        <v/>
      </c>
      <c r="AC14" s="3" t="inlineStr"/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0</v>
      </c>
      <c r="AP14" s="7" t="n">
        <v>0</v>
      </c>
      <c r="AQ14" s="7" t="n">
        <v>0</v>
      </c>
      <c r="AR14" s="7" t="n">
        <v>0</v>
      </c>
      <c r="AS14" s="7" t="n">
        <v>0</v>
      </c>
      <c r="AT14" s="7" t="n">
        <v>0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0</v>
      </c>
      <c r="BA14" s="7" t="n">
        <v>0</v>
      </c>
      <c r="BB14" s="7">
        <f>SUM(AD14:BA14)</f>
        <v/>
      </c>
    </row>
    <row r="15">
      <c r="A15" t="inlineStr">
        <is>
          <t>AMD-EXPR</t>
        </is>
      </c>
      <c r="B15" t="inlineStr">
        <is>
          <t>DSC Manual</t>
        </is>
      </c>
      <c r="C15" s="5" t="n">
        <v>46093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  <c r="AB15" s="6">
        <f>SUM(D15:AA15)</f>
        <v/>
      </c>
      <c r="AC15" s="3" t="inlineStr"/>
      <c r="AD15" s="7" t="n">
        <v>0</v>
      </c>
      <c r="AE15" s="7" t="n">
        <v>0</v>
      </c>
      <c r="AF15" s="7" t="n">
        <v>0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0</v>
      </c>
      <c r="AL15" s="7" t="n">
        <v>0</v>
      </c>
      <c r="AM15" s="7" t="n">
        <v>0</v>
      </c>
      <c r="AN15" s="7" t="n">
        <v>0</v>
      </c>
      <c r="AO15" s="7" t="n">
        <v>0</v>
      </c>
      <c r="AP15" s="7" t="n">
        <v>0</v>
      </c>
      <c r="AQ15" s="7" t="n">
        <v>0</v>
      </c>
      <c r="AR15" s="7" t="n">
        <v>0</v>
      </c>
      <c r="AS15" s="7" t="n">
        <v>0</v>
      </c>
      <c r="AT15" s="7" t="n">
        <v>0</v>
      </c>
      <c r="AU15" s="7" t="n">
        <v>0</v>
      </c>
      <c r="AV15" s="7" t="n">
        <v>0</v>
      </c>
      <c r="AW15" s="7" t="n">
        <v>0</v>
      </c>
      <c r="AX15" s="7" t="n">
        <v>0</v>
      </c>
      <c r="AY15" s="7" t="n">
        <v>0</v>
      </c>
      <c r="AZ15" s="7" t="n">
        <v>0</v>
      </c>
      <c r="BA15" s="7" t="n">
        <v>0</v>
      </c>
      <c r="BB15" s="7">
        <f>SUM(AD15:BA15)</f>
        <v/>
      </c>
    </row>
    <row r="16">
      <c r="A16" t="inlineStr">
        <is>
          <t>AMD-EXPR</t>
        </is>
      </c>
      <c r="B16" t="inlineStr">
        <is>
          <t>DSC Manual</t>
        </is>
      </c>
      <c r="C16" s="5" t="n">
        <v>46094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  <c r="AB16" s="6">
        <f>SUM(D16:AA16)</f>
        <v/>
      </c>
      <c r="AC16" s="3" t="inlineStr"/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0</v>
      </c>
      <c r="AS16" s="7" t="n">
        <v>0</v>
      </c>
      <c r="AT16" s="7" t="n">
        <v>0</v>
      </c>
      <c r="AU16" s="7" t="n">
        <v>0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0</v>
      </c>
      <c r="BA16" s="7" t="n">
        <v>0</v>
      </c>
      <c r="BB16" s="7">
        <f>SUM(AD16:BA16)</f>
        <v/>
      </c>
    </row>
    <row r="17">
      <c r="A17" t="inlineStr">
        <is>
          <t>AMD-EXPR</t>
        </is>
      </c>
      <c r="B17" t="inlineStr">
        <is>
          <t>DSC Manual</t>
        </is>
      </c>
      <c r="C17" s="5" t="n">
        <v>46095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6">
        <f>SUM(D17:AA17)</f>
        <v/>
      </c>
      <c r="AC17" s="3" t="inlineStr"/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0</v>
      </c>
      <c r="AI17" s="7" t="n">
        <v>0</v>
      </c>
      <c r="AJ17" s="7" t="n">
        <v>0</v>
      </c>
      <c r="AK17" s="7" t="n">
        <v>0</v>
      </c>
      <c r="AL17" s="7" t="n">
        <v>0</v>
      </c>
      <c r="AM17" s="7" t="n">
        <v>0</v>
      </c>
      <c r="AN17" s="7" t="n">
        <v>0</v>
      </c>
      <c r="AO17" s="7" t="n">
        <v>0</v>
      </c>
      <c r="AP17" s="7" t="n">
        <v>0</v>
      </c>
      <c r="AQ17" s="7" t="n">
        <v>0</v>
      </c>
      <c r="AR17" s="7" t="n">
        <v>0</v>
      </c>
      <c r="AS17" s="7" t="n">
        <v>0</v>
      </c>
      <c r="AT17" s="7" t="n">
        <v>0</v>
      </c>
      <c r="AU17" s="7" t="n">
        <v>0</v>
      </c>
      <c r="AV17" s="7" t="n">
        <v>0</v>
      </c>
      <c r="AW17" s="7" t="n">
        <v>0</v>
      </c>
      <c r="AX17" s="7" t="n">
        <v>0</v>
      </c>
      <c r="AY17" s="7" t="n">
        <v>0</v>
      </c>
      <c r="AZ17" s="7" t="n">
        <v>0</v>
      </c>
      <c r="BA17" s="7" t="n">
        <v>0</v>
      </c>
      <c r="BB17" s="7">
        <f>SUM(AD17:BA17)</f>
        <v/>
      </c>
    </row>
    <row r="18">
      <c r="A18" t="inlineStr">
        <is>
          <t>AMD-EXPR</t>
        </is>
      </c>
      <c r="B18" t="inlineStr">
        <is>
          <t>DSC Manual</t>
        </is>
      </c>
      <c r="C18" s="5" t="n">
        <v>46096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  <c r="AB18" s="6">
        <f>SUM(D18:AA18)</f>
        <v/>
      </c>
      <c r="AC18" s="3" t="inlineStr"/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0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0</v>
      </c>
      <c r="BA18" s="7" t="n">
        <v>0</v>
      </c>
      <c r="BB18" s="7">
        <f>SUM(AD18:BA18)</f>
        <v/>
      </c>
    </row>
    <row r="19">
      <c r="A19" t="inlineStr">
        <is>
          <t>AMD-EXPR</t>
        </is>
      </c>
      <c r="B19" t="inlineStr">
        <is>
          <t>DSC Manual</t>
        </is>
      </c>
      <c r="C19" s="5" t="n">
        <v>46097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>
        <f>SUM(D19:AA19)</f>
        <v/>
      </c>
      <c r="AC19" s="3" t="inlineStr"/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0</v>
      </c>
      <c r="AR19" s="7" t="n">
        <v>0</v>
      </c>
      <c r="AS19" s="7" t="n">
        <v>0</v>
      </c>
      <c r="AT19" s="7" t="n">
        <v>0</v>
      </c>
      <c r="AU19" s="7" t="n">
        <v>0</v>
      </c>
      <c r="AV19" s="7" t="n">
        <v>0</v>
      </c>
      <c r="AW19" s="7" t="n">
        <v>0</v>
      </c>
      <c r="AX19" s="7" t="n">
        <v>0</v>
      </c>
      <c r="AY19" s="7" t="n">
        <v>0</v>
      </c>
      <c r="AZ19" s="7" t="n">
        <v>0</v>
      </c>
      <c r="BA19" s="7" t="n">
        <v>0</v>
      </c>
      <c r="BB19" s="7">
        <f>SUM(AD19:BA19)</f>
        <v/>
      </c>
    </row>
    <row r="20">
      <c r="A20" t="inlineStr">
        <is>
          <t>AMD-EXPR</t>
        </is>
      </c>
      <c r="B20" t="inlineStr">
        <is>
          <t>DSC Manual</t>
        </is>
      </c>
      <c r="C20" s="5" t="n">
        <v>46099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>
        <f>SUM(D20:AA20)</f>
        <v/>
      </c>
      <c r="AC20" s="3" t="inlineStr"/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0</v>
      </c>
      <c r="BA20" s="7" t="n">
        <v>0</v>
      </c>
      <c r="BB20" s="7">
        <f>SUM(AD20:BA20)</f>
        <v/>
      </c>
    </row>
    <row r="21">
      <c r="A21" t="inlineStr">
        <is>
          <t>AMD-EXPR</t>
        </is>
      </c>
      <c r="B21" t="inlineStr">
        <is>
          <t>DSC Manual</t>
        </is>
      </c>
      <c r="C21" s="5" t="n">
        <v>46100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>
        <f>SUM(D21:AA21)</f>
        <v/>
      </c>
      <c r="AC21" s="3" t="inlineStr"/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0</v>
      </c>
      <c r="AS21" s="7" t="n">
        <v>0</v>
      </c>
      <c r="AT21" s="7" t="n">
        <v>0</v>
      </c>
      <c r="AU21" s="7" t="n">
        <v>0</v>
      </c>
      <c r="AV21" s="7" t="n">
        <v>0</v>
      </c>
      <c r="AW21" s="7" t="n">
        <v>0</v>
      </c>
      <c r="AX21" s="7" t="n">
        <v>0</v>
      </c>
      <c r="AY21" s="7" t="n">
        <v>0</v>
      </c>
      <c r="AZ21" s="7" t="n">
        <v>0</v>
      </c>
      <c r="BA21" s="7" t="n">
        <v>0</v>
      </c>
      <c r="BB21" s="7">
        <f>SUM(AD21:BA21)</f>
        <v/>
      </c>
    </row>
    <row r="22">
      <c r="A22" t="inlineStr">
        <is>
          <t>AMD-EXPR</t>
        </is>
      </c>
      <c r="B22" t="inlineStr">
        <is>
          <t>DSC Manual</t>
        </is>
      </c>
      <c r="C22" s="5" t="n">
        <v>46102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>
        <f>SUM(D22:AA22)</f>
        <v/>
      </c>
      <c r="AC22" s="3" t="inlineStr"/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7" t="n">
        <v>0</v>
      </c>
      <c r="BB22" s="7">
        <f>SUM(AD22:BA22)</f>
        <v/>
      </c>
    </row>
    <row r="23">
      <c r="A23" t="inlineStr">
        <is>
          <t>AMD-EXPR</t>
        </is>
      </c>
      <c r="B23" t="inlineStr">
        <is>
          <t>DSC Manual</t>
        </is>
      </c>
      <c r="C23" s="5" t="n">
        <v>46103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>
        <f>SUM(D23:AA23)</f>
        <v/>
      </c>
      <c r="AC23" s="3" t="inlineStr"/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0</v>
      </c>
      <c r="BA23" s="7" t="n">
        <v>0</v>
      </c>
      <c r="BB23" s="7">
        <f>SUM(AD23:BA23)</f>
        <v/>
      </c>
    </row>
    <row r="24">
      <c r="A24" t="inlineStr">
        <is>
          <t>AMD-EXPR</t>
        </is>
      </c>
      <c r="B24" t="inlineStr">
        <is>
          <t>DSC Manual</t>
        </is>
      </c>
      <c r="C24" s="5" t="n">
        <v>46104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>
        <f>SUM(D24:AA24)</f>
        <v/>
      </c>
      <c r="AC24" s="3" t="inlineStr"/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0</v>
      </c>
      <c r="BA24" s="7" t="n">
        <v>0</v>
      </c>
      <c r="BB24" s="7">
        <f>SUM(AD24:BA24)</f>
        <v/>
      </c>
    </row>
    <row r="25">
      <c r="A25" t="inlineStr">
        <is>
          <t>AMD-EXPR</t>
        </is>
      </c>
      <c r="B25" t="inlineStr">
        <is>
          <t>DSC Manual</t>
        </is>
      </c>
      <c r="C25" s="5" t="n">
        <v>46105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>
        <f>SUM(D25:AA25)</f>
        <v/>
      </c>
      <c r="AC25" s="3" t="inlineStr"/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7" t="n">
        <v>0</v>
      </c>
      <c r="BB25" s="7">
        <f>SUM(AD25:BA25)</f>
        <v/>
      </c>
    </row>
    <row r="26">
      <c r="A26" t="inlineStr">
        <is>
          <t>AMD-FK-SSC</t>
        </is>
      </c>
      <c r="B26" t="inlineStr">
        <is>
          <t>Prime at Client side</t>
        </is>
      </c>
      <c r="C26" s="5" t="n">
        <v>46089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>
        <f>SUM(D26:AA26)</f>
        <v/>
      </c>
      <c r="AC26" s="3" t="inlineStr"/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7" t="n">
        <v>0</v>
      </c>
      <c r="BB26" s="7">
        <f>SUM(AD26:BA26)</f>
        <v/>
      </c>
    </row>
    <row r="27">
      <c r="A27" t="inlineStr">
        <is>
          <t>AMD-FK-SSC</t>
        </is>
      </c>
      <c r="B27" t="inlineStr">
        <is>
          <t>Prime at Client side</t>
        </is>
      </c>
      <c r="C27" s="5" t="n">
        <v>46090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>
        <f>SUM(D27:AA27)</f>
        <v/>
      </c>
      <c r="AC27" s="3" t="inlineStr"/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7" t="n">
        <v>0</v>
      </c>
      <c r="BB27" s="7">
        <f>SUM(AD27:BA27)</f>
        <v/>
      </c>
    </row>
    <row r="28">
      <c r="A28" t="inlineStr">
        <is>
          <t>AMD-FK-SSC</t>
        </is>
      </c>
      <c r="B28" t="inlineStr">
        <is>
          <t>Prime at Client side</t>
        </is>
      </c>
      <c r="C28" s="5" t="n">
        <v>46091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>
        <f>SUM(D28:AA28)</f>
        <v/>
      </c>
      <c r="AC28" s="3" t="inlineStr"/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7" t="n">
        <v>0</v>
      </c>
      <c r="BB28" s="7">
        <f>SUM(AD28:BA28)</f>
        <v/>
      </c>
    </row>
    <row r="29">
      <c r="A29" t="inlineStr">
        <is>
          <t>AMD-FK-SSC</t>
        </is>
      </c>
      <c r="B29" t="inlineStr">
        <is>
          <t>Prime at Client side</t>
        </is>
      </c>
      <c r="C29" s="5" t="n">
        <v>46092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>
        <f>SUM(D29:AA29)</f>
        <v/>
      </c>
      <c r="AC29" s="3" t="inlineStr"/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7" t="n">
        <v>0</v>
      </c>
      <c r="AQ29" s="7" t="n">
        <v>0</v>
      </c>
      <c r="AR29" s="7" t="n">
        <v>0</v>
      </c>
      <c r="AS29" s="7" t="n">
        <v>0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0</v>
      </c>
      <c r="BA29" s="7" t="n">
        <v>0</v>
      </c>
      <c r="BB29" s="7">
        <f>SUM(AD29:BA29)</f>
        <v/>
      </c>
    </row>
    <row r="30">
      <c r="A30" t="inlineStr">
        <is>
          <t>AMD-FK-SSC</t>
        </is>
      </c>
      <c r="B30" t="inlineStr">
        <is>
          <t>Prime at Client side</t>
        </is>
      </c>
      <c r="C30" s="5" t="n">
        <v>46093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>
        <f>SUM(D30:AA30)</f>
        <v/>
      </c>
      <c r="AC30" s="3" t="inlineStr"/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0</v>
      </c>
      <c r="AS30" s="7" t="n">
        <v>0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7" t="n">
        <v>0</v>
      </c>
      <c r="BB30" s="7">
        <f>SUM(AD30:BA30)</f>
        <v/>
      </c>
    </row>
    <row r="31">
      <c r="A31" t="inlineStr">
        <is>
          <t>AMD-FK-SSC</t>
        </is>
      </c>
      <c r="B31" t="inlineStr">
        <is>
          <t>Prime at Client side</t>
        </is>
      </c>
      <c r="C31" s="5" t="n">
        <v>46094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>
        <f>SUM(D31:AA31)</f>
        <v/>
      </c>
      <c r="AC31" s="3" t="inlineStr"/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0</v>
      </c>
      <c r="AT31" s="7" t="n">
        <v>0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0</v>
      </c>
      <c r="BA31" s="7" t="n">
        <v>0</v>
      </c>
      <c r="BB31" s="7">
        <f>SUM(AD31:BA31)</f>
        <v/>
      </c>
    </row>
    <row r="32">
      <c r="A32" t="inlineStr">
        <is>
          <t>AMD-FK-SSC</t>
        </is>
      </c>
      <c r="B32" t="inlineStr">
        <is>
          <t>Prime at Client side</t>
        </is>
      </c>
      <c r="C32" s="5" t="n">
        <v>46095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>
        <f>SUM(D32:AA32)</f>
        <v/>
      </c>
      <c r="AC32" s="3" t="inlineStr"/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7" t="n">
        <v>0</v>
      </c>
      <c r="BB32" s="7">
        <f>SUM(AD32:BA32)</f>
        <v/>
      </c>
    </row>
    <row r="33">
      <c r="A33" t="inlineStr">
        <is>
          <t>AMD-FK-SSC</t>
        </is>
      </c>
      <c r="B33" t="inlineStr">
        <is>
          <t>Prime at Client side</t>
        </is>
      </c>
      <c r="C33" s="5" t="n">
        <v>46096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6">
        <f>SUM(D33:AA33)</f>
        <v/>
      </c>
      <c r="AC33" s="3" t="inlineStr"/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0</v>
      </c>
      <c r="AS33" s="7" t="n">
        <v>0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7" t="n">
        <v>0</v>
      </c>
      <c r="BB33" s="7">
        <f>SUM(AD33:BA33)</f>
        <v/>
      </c>
    </row>
    <row r="34">
      <c r="A34" t="inlineStr">
        <is>
          <t>AMD-FK-SSC</t>
        </is>
      </c>
      <c r="B34" t="inlineStr">
        <is>
          <t>Prime at Client side</t>
        </is>
      </c>
      <c r="C34" s="5" t="n">
        <v>46097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>
        <f>SUM(D34:AA34)</f>
        <v/>
      </c>
      <c r="AC34" s="3" t="inlineStr"/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7" t="n">
        <v>0</v>
      </c>
      <c r="BB34" s="7">
        <f>SUM(AD34:BA34)</f>
        <v/>
      </c>
    </row>
    <row r="35">
      <c r="A35" t="inlineStr">
        <is>
          <t>AMD-FK-SSC</t>
        </is>
      </c>
      <c r="B35" t="inlineStr">
        <is>
          <t>Prime at Client side</t>
        </is>
      </c>
      <c r="C35" s="5" t="n">
        <v>46098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>
        <f>SUM(D35:AA35)</f>
        <v/>
      </c>
      <c r="AC35" s="3" t="inlineStr"/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7" t="n">
        <v>0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0</v>
      </c>
      <c r="BA35" s="7" t="n">
        <v>0</v>
      </c>
      <c r="BB35" s="7">
        <f>SUM(AD35:BA35)</f>
        <v/>
      </c>
    </row>
    <row r="36">
      <c r="A36" t="inlineStr">
        <is>
          <t>AMD-FK-SSC</t>
        </is>
      </c>
      <c r="B36" t="inlineStr">
        <is>
          <t>Prime at Client side</t>
        </is>
      </c>
      <c r="C36" s="5" t="n">
        <v>46099</v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>
        <f>SUM(D36:AA36)</f>
        <v/>
      </c>
      <c r="AC36" s="3" t="inlineStr"/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0</v>
      </c>
      <c r="AT36" s="7" t="n">
        <v>0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0</v>
      </c>
      <c r="BA36" s="7" t="n">
        <v>0</v>
      </c>
      <c r="BB36" s="7">
        <f>SUM(AD36:BA36)</f>
        <v/>
      </c>
    </row>
    <row r="37">
      <c r="A37" t="inlineStr">
        <is>
          <t>AMD-FK-SSC</t>
        </is>
      </c>
      <c r="B37" t="inlineStr">
        <is>
          <t>Prime at Client side</t>
        </is>
      </c>
      <c r="C37" s="5" t="n">
        <v>46100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>
        <f>SUM(D37:AA37)</f>
        <v/>
      </c>
      <c r="AC37" s="3" t="inlineStr"/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0</v>
      </c>
      <c r="AP37" s="7" t="n">
        <v>0</v>
      </c>
      <c r="AQ37" s="7" t="n">
        <v>0</v>
      </c>
      <c r="AR37" s="7" t="n">
        <v>0</v>
      </c>
      <c r="AS37" s="7" t="n">
        <v>0</v>
      </c>
      <c r="AT37" s="7" t="n">
        <v>0</v>
      </c>
      <c r="AU37" s="7" t="n">
        <v>0</v>
      </c>
      <c r="AV37" s="7" t="n">
        <v>0</v>
      </c>
      <c r="AW37" s="7" t="n">
        <v>0</v>
      </c>
      <c r="AX37" s="7" t="n">
        <v>0</v>
      </c>
      <c r="AY37" s="7" t="n">
        <v>0</v>
      </c>
      <c r="AZ37" s="7" t="n">
        <v>0</v>
      </c>
      <c r="BA37" s="7" t="n">
        <v>0</v>
      </c>
      <c r="BB37" s="7">
        <f>SUM(AD37:BA37)</f>
        <v/>
      </c>
    </row>
    <row r="38">
      <c r="A38" t="inlineStr">
        <is>
          <t>AMD-FK-SSC</t>
        </is>
      </c>
      <c r="B38" t="inlineStr">
        <is>
          <t>Prime at Client side</t>
        </is>
      </c>
      <c r="C38" s="5" t="n">
        <v>46101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0</v>
      </c>
      <c r="Q38" s="6" t="n">
        <v>0</v>
      </c>
      <c r="R38" s="6" t="n">
        <v>0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>
        <f>SUM(D38:AA38)</f>
        <v/>
      </c>
      <c r="AC38" s="3" t="inlineStr"/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0</v>
      </c>
      <c r="AP38" s="7" t="n">
        <v>0</v>
      </c>
      <c r="AQ38" s="7" t="n">
        <v>0</v>
      </c>
      <c r="AR38" s="7" t="n">
        <v>0</v>
      </c>
      <c r="AS38" s="7" t="n">
        <v>0</v>
      </c>
      <c r="AT38" s="7" t="n">
        <v>0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0</v>
      </c>
      <c r="BA38" s="7" t="n">
        <v>0</v>
      </c>
      <c r="BB38" s="7">
        <f>SUM(AD38:BA38)</f>
        <v/>
      </c>
    </row>
    <row r="39">
      <c r="A39" t="inlineStr">
        <is>
          <t>AMD-FK-SSC</t>
        </is>
      </c>
      <c r="B39" t="inlineStr">
        <is>
          <t>Prime at Client side</t>
        </is>
      </c>
      <c r="C39" s="5" t="n">
        <v>46102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>
        <f>SUM(D39:AA39)</f>
        <v/>
      </c>
      <c r="AC39" s="3" t="inlineStr"/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0</v>
      </c>
      <c r="AP39" s="7" t="n">
        <v>0</v>
      </c>
      <c r="AQ39" s="7" t="n">
        <v>0</v>
      </c>
      <c r="AR39" s="7" t="n">
        <v>0</v>
      </c>
      <c r="AS39" s="7" t="n">
        <v>0</v>
      </c>
      <c r="AT39" s="7" t="n">
        <v>0</v>
      </c>
      <c r="AU39" s="7" t="n">
        <v>0</v>
      </c>
      <c r="AV39" s="7" t="n">
        <v>0</v>
      </c>
      <c r="AW39" s="7" t="n">
        <v>0</v>
      </c>
      <c r="AX39" s="7" t="n">
        <v>0</v>
      </c>
      <c r="AY39" s="7" t="n">
        <v>0</v>
      </c>
      <c r="AZ39" s="7" t="n">
        <v>0</v>
      </c>
      <c r="BA39" s="7" t="n">
        <v>0</v>
      </c>
      <c r="BB39" s="7">
        <f>SUM(AD39:BA39)</f>
        <v/>
      </c>
    </row>
    <row r="40">
      <c r="A40" t="inlineStr">
        <is>
          <t>AMD-FK-SSC</t>
        </is>
      </c>
      <c r="B40" t="inlineStr">
        <is>
          <t>Prime at Client side</t>
        </is>
      </c>
      <c r="C40" s="5" t="n">
        <v>46103</v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0</v>
      </c>
      <c r="M40" s="6" t="n">
        <v>0</v>
      </c>
      <c r="N40" s="6" t="n">
        <v>0</v>
      </c>
      <c r="O40" s="6" t="n">
        <v>0</v>
      </c>
      <c r="P40" s="6" t="n">
        <v>0</v>
      </c>
      <c r="Q40" s="6" t="n">
        <v>0</v>
      </c>
      <c r="R40" s="6" t="n">
        <v>0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>
        <f>SUM(D40:AA40)</f>
        <v/>
      </c>
      <c r="AC40" s="3" t="inlineStr"/>
      <c r="AD40" s="7" t="n">
        <v>0</v>
      </c>
      <c r="AE40" s="7" t="n">
        <v>0</v>
      </c>
      <c r="AF40" s="7" t="n">
        <v>0</v>
      </c>
      <c r="AG40" s="7" t="n">
        <v>0</v>
      </c>
      <c r="AH40" s="7" t="n">
        <v>0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0</v>
      </c>
      <c r="AS40" s="7" t="n">
        <v>0</v>
      </c>
      <c r="AT40" s="7" t="n">
        <v>0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0</v>
      </c>
      <c r="BA40" s="7" t="n">
        <v>0</v>
      </c>
      <c r="BB40" s="7">
        <f>SUM(AD40:BA40)</f>
        <v/>
      </c>
    </row>
    <row r="41">
      <c r="A41" t="inlineStr">
        <is>
          <t>AMD-FK-SSC</t>
        </is>
      </c>
      <c r="B41" t="inlineStr">
        <is>
          <t>Prime at Client side</t>
        </is>
      </c>
      <c r="C41" s="5" t="n">
        <v>46104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>
        <f>SUM(D41:AA41)</f>
        <v/>
      </c>
      <c r="AC41" s="3" t="inlineStr"/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</v>
      </c>
      <c r="AP41" s="7" t="n">
        <v>0</v>
      </c>
      <c r="AQ41" s="7" t="n">
        <v>0</v>
      </c>
      <c r="AR41" s="7" t="n">
        <v>0</v>
      </c>
      <c r="AS41" s="7" t="n">
        <v>0</v>
      </c>
      <c r="AT41" s="7" t="n">
        <v>0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0</v>
      </c>
      <c r="BA41" s="7" t="n">
        <v>0</v>
      </c>
      <c r="BB41" s="7">
        <f>SUM(AD41:BA41)</f>
        <v/>
      </c>
    </row>
    <row r="42">
      <c r="A42" t="inlineStr">
        <is>
          <t>AMD-FK-SSC</t>
        </is>
      </c>
      <c r="B42" t="inlineStr">
        <is>
          <t>Prime at Client side</t>
        </is>
      </c>
      <c r="C42" s="5" t="n">
        <v>46105</v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6" t="n">
        <v>0</v>
      </c>
      <c r="N42" s="6" t="n">
        <v>0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>
        <f>SUM(D42:AA42)</f>
        <v/>
      </c>
      <c r="AC42" s="3" t="inlineStr"/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7" t="n">
        <v>0</v>
      </c>
      <c r="BB42" s="7">
        <f>SUM(AD42:BA42)</f>
        <v/>
      </c>
    </row>
    <row r="43">
      <c r="A43" t="inlineStr">
        <is>
          <t>AMD-FWDPRI-SSC</t>
        </is>
      </c>
      <c r="B43" t="inlineStr">
        <is>
          <t>FWD Priority OSC</t>
        </is>
      </c>
      <c r="C43" s="5" t="n">
        <v>46098</v>
      </c>
      <c r="D43" s="6">
        <f>Summary!D43*0.05</f>
        <v/>
      </c>
      <c r="E43" s="6">
        <f>Summary!E43*0.05</f>
        <v/>
      </c>
      <c r="F43" s="6">
        <f>Summary!F43*0.05</f>
        <v/>
      </c>
      <c r="G43" s="6">
        <f>Summary!G43*0.05</f>
        <v/>
      </c>
      <c r="H43" s="6">
        <f>Summary!H43*0.05</f>
        <v/>
      </c>
      <c r="I43" s="6">
        <f>Summary!I43*0.05</f>
        <v/>
      </c>
      <c r="J43" s="6">
        <f>Summary!J43*0.05</f>
        <v/>
      </c>
      <c r="K43" s="6">
        <f>Summary!K43*0.05</f>
        <v/>
      </c>
      <c r="L43" s="6">
        <f>Summary!L43*0.05</f>
        <v/>
      </c>
      <c r="M43" s="6">
        <f>Summary!M43*0.05</f>
        <v/>
      </c>
      <c r="N43" s="6">
        <f>Summary!N43*0.05</f>
        <v/>
      </c>
      <c r="O43" s="6">
        <f>Summary!O43*0.05</f>
        <v/>
      </c>
      <c r="P43" s="6">
        <f>Summary!P43*0.05</f>
        <v/>
      </c>
      <c r="Q43" s="6">
        <f>Summary!Q43*0.05</f>
        <v/>
      </c>
      <c r="R43" s="6">
        <f>Summary!R43*0.05</f>
        <v/>
      </c>
      <c r="S43" s="6">
        <f>Summary!S43*0.05</f>
        <v/>
      </c>
      <c r="T43" s="6">
        <f>Summary!T43*0.05</f>
        <v/>
      </c>
      <c r="U43" s="6">
        <f>Summary!U43*0.05</f>
        <v/>
      </c>
      <c r="V43" s="6">
        <f>Summary!V43*0.05</f>
        <v/>
      </c>
      <c r="W43" s="6">
        <f>Summary!W43*0.05</f>
        <v/>
      </c>
      <c r="X43" s="6">
        <f>Summary!X43*0.05</f>
        <v/>
      </c>
      <c r="Y43" s="6">
        <f>Summary!Y43*0.05</f>
        <v/>
      </c>
      <c r="Z43" s="6">
        <f>Summary!Z43*0.05</f>
        <v/>
      </c>
      <c r="AA43" s="6">
        <f>Summary!AA43*0.05</f>
        <v/>
      </c>
      <c r="AB43" s="6">
        <f>SUM(D43:AA43)</f>
        <v/>
      </c>
      <c r="AC43" s="3" t="inlineStr"/>
      <c r="AD43" s="7">
        <f>E43*0.001196975+D43*0.001196975</f>
        <v/>
      </c>
      <c r="AE43" s="7">
        <f>F43*0.001196975+E43*0.001196975</f>
        <v/>
      </c>
      <c r="AF43" s="7">
        <f>G43*0.001196975+F43*0.001196975</f>
        <v/>
      </c>
      <c r="AG43" s="7">
        <f>H43*0.001196975+G43*0.001196975</f>
        <v/>
      </c>
      <c r="AH43" s="7">
        <f>I43*0.001196975+H43*0.001196975</f>
        <v/>
      </c>
      <c r="AI43" s="7">
        <f>J43*0.001196975+I43*0.001196975</f>
        <v/>
      </c>
      <c r="AJ43" s="7">
        <f>K43*0.001196975+J43*0.001196975</f>
        <v/>
      </c>
      <c r="AK43" s="7">
        <f>L43*0.001196975+K43*0.001196975</f>
        <v/>
      </c>
      <c r="AL43" s="7">
        <f>M43*0.001196975+L43*0.001196975</f>
        <v/>
      </c>
      <c r="AM43" s="7">
        <f>N43*0.001196975+M43*0.001196975</f>
        <v/>
      </c>
      <c r="AN43" s="7">
        <f>O43*0.001196975+N43*0.001196975</f>
        <v/>
      </c>
      <c r="AO43" s="7">
        <f>P43*0.001196975+O43*0.001196975</f>
        <v/>
      </c>
      <c r="AP43" s="7">
        <f>Q43*0.001196975+P43*0.001196975</f>
        <v/>
      </c>
      <c r="AQ43" s="7">
        <f>R43*0.001196975+Q43*0.001196975</f>
        <v/>
      </c>
      <c r="AR43" s="7">
        <f>S43*0.001196975+R43*0.001196975</f>
        <v/>
      </c>
      <c r="AS43" s="7">
        <f>T43*0.001196975+S43*0.001196975</f>
        <v/>
      </c>
      <c r="AT43" s="7">
        <f>U43*0.001196975+T43*0.001196975</f>
        <v/>
      </c>
      <c r="AU43" s="7">
        <f>V43*0.001196975+U43*0.001196975</f>
        <v/>
      </c>
      <c r="AV43" s="7">
        <f>W43*0.001196975+V43*0.001196975</f>
        <v/>
      </c>
      <c r="AW43" s="7">
        <f>X43*0.001196975+W43*0.001196975</f>
        <v/>
      </c>
      <c r="AX43" s="7">
        <f>Y43*0.001196975+X43*0.001196975</f>
        <v/>
      </c>
      <c r="AY43" s="7">
        <f>Z43*0.001196975+Y43*0.001196975</f>
        <v/>
      </c>
      <c r="AZ43" s="7">
        <f>AA43*0.001196975+Z43*0.001196975</f>
        <v/>
      </c>
      <c r="BA43" s="7">
        <f>D43*0.001196975+AA43*0.001196975</f>
        <v/>
      </c>
      <c r="BB43" s="7">
        <f>SUM(AD43:BA43)</f>
        <v/>
      </c>
    </row>
    <row r="44">
      <c r="A44" t="inlineStr">
        <is>
          <t>AMD-FWDPRI-SSC</t>
        </is>
      </c>
      <c r="B44" t="inlineStr">
        <is>
          <t>FWD Priority OSC</t>
        </is>
      </c>
      <c r="C44" s="5" t="n">
        <v>46099</v>
      </c>
      <c r="D44" s="6">
        <f>Summary!D44*0.05</f>
        <v/>
      </c>
      <c r="E44" s="6">
        <f>Summary!E44*0.05</f>
        <v/>
      </c>
      <c r="F44" s="6">
        <f>Summary!F44*0.05</f>
        <v/>
      </c>
      <c r="G44" s="6">
        <f>Summary!G44*0.05</f>
        <v/>
      </c>
      <c r="H44" s="6">
        <f>Summary!H44*0.05</f>
        <v/>
      </c>
      <c r="I44" s="6">
        <f>Summary!I44*0.05</f>
        <v/>
      </c>
      <c r="J44" s="6">
        <f>Summary!J44*0.05</f>
        <v/>
      </c>
      <c r="K44" s="6">
        <f>Summary!K44*0.05</f>
        <v/>
      </c>
      <c r="L44" s="6">
        <f>Summary!L44*0.05</f>
        <v/>
      </c>
      <c r="M44" s="6">
        <f>Summary!M44*0.05</f>
        <v/>
      </c>
      <c r="N44" s="6">
        <f>Summary!N44*0.05</f>
        <v/>
      </c>
      <c r="O44" s="6">
        <f>Summary!O44*0.05</f>
        <v/>
      </c>
      <c r="P44" s="6">
        <f>Summary!P44*0.05</f>
        <v/>
      </c>
      <c r="Q44" s="6">
        <f>Summary!Q44*0.05</f>
        <v/>
      </c>
      <c r="R44" s="6">
        <f>Summary!R44*0.05</f>
        <v/>
      </c>
      <c r="S44" s="6">
        <f>Summary!S44*0.05</f>
        <v/>
      </c>
      <c r="T44" s="6">
        <f>Summary!T44*0.05</f>
        <v/>
      </c>
      <c r="U44" s="6">
        <f>Summary!U44*0.05</f>
        <v/>
      </c>
      <c r="V44" s="6">
        <f>Summary!V44*0.05</f>
        <v/>
      </c>
      <c r="W44" s="6">
        <f>Summary!W44*0.05</f>
        <v/>
      </c>
      <c r="X44" s="6">
        <f>Summary!X44*0.05</f>
        <v/>
      </c>
      <c r="Y44" s="6">
        <f>Summary!Y44*0.05</f>
        <v/>
      </c>
      <c r="Z44" s="6">
        <f>Summary!Z44*0.05</f>
        <v/>
      </c>
      <c r="AA44" s="6">
        <f>Summary!AA44*0.05</f>
        <v/>
      </c>
      <c r="AB44" s="6">
        <f>SUM(D44:AA44)</f>
        <v/>
      </c>
      <c r="AC44" s="3" t="inlineStr"/>
      <c r="AD44" s="7">
        <f>E44*0.001196975+D44*0.001196975</f>
        <v/>
      </c>
      <c r="AE44" s="7">
        <f>F44*0.001196975+E44*0.001196975</f>
        <v/>
      </c>
      <c r="AF44" s="7">
        <f>G44*0.001196975+F44*0.001196975</f>
        <v/>
      </c>
      <c r="AG44" s="7">
        <f>H44*0.001196975+G44*0.001196975</f>
        <v/>
      </c>
      <c r="AH44" s="7">
        <f>I44*0.001196975+H44*0.001196975</f>
        <v/>
      </c>
      <c r="AI44" s="7">
        <f>J44*0.001196975+I44*0.001196975</f>
        <v/>
      </c>
      <c r="AJ44" s="7">
        <f>K44*0.001196975+J44*0.001196975</f>
        <v/>
      </c>
      <c r="AK44" s="7">
        <f>L44*0.001196975+K44*0.001196975</f>
        <v/>
      </c>
      <c r="AL44" s="7">
        <f>M44*0.001196975+L44*0.001196975</f>
        <v/>
      </c>
      <c r="AM44" s="7">
        <f>N44*0.001196975+M44*0.001196975</f>
        <v/>
      </c>
      <c r="AN44" s="7">
        <f>O44*0.001196975+N44*0.001196975</f>
        <v/>
      </c>
      <c r="AO44" s="7">
        <f>P44*0.001196975+O44*0.001196975</f>
        <v/>
      </c>
      <c r="AP44" s="7">
        <f>Q44*0.001196975+P44*0.001196975</f>
        <v/>
      </c>
      <c r="AQ44" s="7">
        <f>R44*0.001196975+Q44*0.001196975</f>
        <v/>
      </c>
      <c r="AR44" s="7">
        <f>S44*0.001196975+R44*0.001196975</f>
        <v/>
      </c>
      <c r="AS44" s="7">
        <f>T44*0.001196975+S44*0.001196975</f>
        <v/>
      </c>
      <c r="AT44" s="7">
        <f>U44*0.001196975+T44*0.001196975</f>
        <v/>
      </c>
      <c r="AU44" s="7">
        <f>V44*0.001196975+U44*0.001196975</f>
        <v/>
      </c>
      <c r="AV44" s="7">
        <f>W44*0.001196975+V44*0.001196975</f>
        <v/>
      </c>
      <c r="AW44" s="7">
        <f>X44*0.001196975+W44*0.001196975</f>
        <v/>
      </c>
      <c r="AX44" s="7">
        <f>Y44*0.001196975+X44*0.001196975</f>
        <v/>
      </c>
      <c r="AY44" s="7">
        <f>Z44*0.001196975+Y44*0.001196975</f>
        <v/>
      </c>
      <c r="AZ44" s="7">
        <f>AA44*0.001196975+Z44*0.001196975</f>
        <v/>
      </c>
      <c r="BA44" s="7">
        <f>D44*0.001196975+AA44*0.001196975</f>
        <v/>
      </c>
      <c r="BB44" s="7">
        <f>SUM(AD44:BA44)</f>
        <v/>
      </c>
    </row>
    <row r="45">
      <c r="A45" t="inlineStr">
        <is>
          <t>AMD-FWDPRI-SSC</t>
        </is>
      </c>
      <c r="B45" t="inlineStr">
        <is>
          <t>FWD Priority OSC</t>
        </is>
      </c>
      <c r="C45" s="5" t="n">
        <v>46100</v>
      </c>
      <c r="D45" s="6">
        <f>Summary!D45*0.05</f>
        <v/>
      </c>
      <c r="E45" s="6">
        <f>Summary!E45*0.05</f>
        <v/>
      </c>
      <c r="F45" s="6">
        <f>Summary!F45*0.05</f>
        <v/>
      </c>
      <c r="G45" s="6">
        <f>Summary!G45*0.05</f>
        <v/>
      </c>
      <c r="H45" s="6">
        <f>Summary!H45*0.05</f>
        <v/>
      </c>
      <c r="I45" s="6">
        <f>Summary!I45*0.05</f>
        <v/>
      </c>
      <c r="J45" s="6">
        <f>Summary!J45*0.05</f>
        <v/>
      </c>
      <c r="K45" s="6">
        <f>Summary!K45*0.05</f>
        <v/>
      </c>
      <c r="L45" s="6">
        <f>Summary!L45*0.05</f>
        <v/>
      </c>
      <c r="M45" s="6">
        <f>Summary!M45*0.05</f>
        <v/>
      </c>
      <c r="N45" s="6">
        <f>Summary!N45*0.05</f>
        <v/>
      </c>
      <c r="O45" s="6">
        <f>Summary!O45*0.05</f>
        <v/>
      </c>
      <c r="P45" s="6">
        <f>Summary!P45*0.05</f>
        <v/>
      </c>
      <c r="Q45" s="6">
        <f>Summary!Q45*0.05</f>
        <v/>
      </c>
      <c r="R45" s="6">
        <f>Summary!R45*0.05</f>
        <v/>
      </c>
      <c r="S45" s="6">
        <f>Summary!S45*0.05</f>
        <v/>
      </c>
      <c r="T45" s="6">
        <f>Summary!T45*0.05</f>
        <v/>
      </c>
      <c r="U45" s="6">
        <f>Summary!U45*0.05</f>
        <v/>
      </c>
      <c r="V45" s="6">
        <f>Summary!V45*0.05</f>
        <v/>
      </c>
      <c r="W45" s="6">
        <f>Summary!W45*0.05</f>
        <v/>
      </c>
      <c r="X45" s="6">
        <f>Summary!X45*0.05</f>
        <v/>
      </c>
      <c r="Y45" s="6">
        <f>Summary!Y45*0.05</f>
        <v/>
      </c>
      <c r="Z45" s="6">
        <f>Summary!Z45*0.05</f>
        <v/>
      </c>
      <c r="AA45" s="6">
        <f>Summary!AA45*0.05</f>
        <v/>
      </c>
      <c r="AB45" s="6">
        <f>SUM(D45:AA45)</f>
        <v/>
      </c>
      <c r="AC45" s="3" t="inlineStr"/>
      <c r="AD45" s="7">
        <f>E45*0.001196975+D45*0.001196975</f>
        <v/>
      </c>
      <c r="AE45" s="7">
        <f>F45*0.001196975+E45*0.001196975</f>
        <v/>
      </c>
      <c r="AF45" s="7">
        <f>G45*0.001196975+F45*0.001196975</f>
        <v/>
      </c>
      <c r="AG45" s="7">
        <f>H45*0.001196975+G45*0.001196975</f>
        <v/>
      </c>
      <c r="AH45" s="7">
        <f>I45*0.001196975+H45*0.001196975</f>
        <v/>
      </c>
      <c r="AI45" s="7">
        <f>J45*0.001196975+I45*0.001196975</f>
        <v/>
      </c>
      <c r="AJ45" s="7">
        <f>K45*0.001196975+J45*0.001196975</f>
        <v/>
      </c>
      <c r="AK45" s="7">
        <f>L45*0.001196975+K45*0.001196975</f>
        <v/>
      </c>
      <c r="AL45" s="7">
        <f>M45*0.001196975+L45*0.001196975</f>
        <v/>
      </c>
      <c r="AM45" s="7">
        <f>N45*0.001196975+M45*0.001196975</f>
        <v/>
      </c>
      <c r="AN45" s="7">
        <f>O45*0.001196975+N45*0.001196975</f>
        <v/>
      </c>
      <c r="AO45" s="7">
        <f>P45*0.001196975+O45*0.001196975</f>
        <v/>
      </c>
      <c r="AP45" s="7">
        <f>Q45*0.001196975+P45*0.001196975</f>
        <v/>
      </c>
      <c r="AQ45" s="7">
        <f>R45*0.001196975+Q45*0.001196975</f>
        <v/>
      </c>
      <c r="AR45" s="7">
        <f>S45*0.001196975+R45*0.001196975</f>
        <v/>
      </c>
      <c r="AS45" s="7">
        <f>T45*0.001196975+S45*0.001196975</f>
        <v/>
      </c>
      <c r="AT45" s="7">
        <f>U45*0.001196975+T45*0.001196975</f>
        <v/>
      </c>
      <c r="AU45" s="7">
        <f>V45*0.001196975+U45*0.001196975</f>
        <v/>
      </c>
      <c r="AV45" s="7">
        <f>W45*0.001196975+V45*0.001196975</f>
        <v/>
      </c>
      <c r="AW45" s="7">
        <f>X45*0.001196975+W45*0.001196975</f>
        <v/>
      </c>
      <c r="AX45" s="7">
        <f>Y45*0.001196975+X45*0.001196975</f>
        <v/>
      </c>
      <c r="AY45" s="7">
        <f>Z45*0.001196975+Y45*0.001196975</f>
        <v/>
      </c>
      <c r="AZ45" s="7">
        <f>AA45*0.001196975+Z45*0.001196975</f>
        <v/>
      </c>
      <c r="BA45" s="7">
        <f>D45*0.001196975+AA45*0.001196975</f>
        <v/>
      </c>
      <c r="BB45" s="7">
        <f>SUM(AD45:BA45)</f>
        <v/>
      </c>
    </row>
    <row r="46">
      <c r="A46" t="inlineStr">
        <is>
          <t>AMD-FWDPRI-SSC</t>
        </is>
      </c>
      <c r="B46" t="inlineStr">
        <is>
          <t>FWD Priority OSC</t>
        </is>
      </c>
      <c r="C46" s="5" t="n">
        <v>46101</v>
      </c>
      <c r="D46" s="6">
        <f>Summary!D46*0.05</f>
        <v/>
      </c>
      <c r="E46" s="6">
        <f>Summary!E46*0.05</f>
        <v/>
      </c>
      <c r="F46" s="6">
        <f>Summary!F46*0.05</f>
        <v/>
      </c>
      <c r="G46" s="6">
        <f>Summary!G46*0.05</f>
        <v/>
      </c>
      <c r="H46" s="6">
        <f>Summary!H46*0.05</f>
        <v/>
      </c>
      <c r="I46" s="6">
        <f>Summary!I46*0.05</f>
        <v/>
      </c>
      <c r="J46" s="6">
        <f>Summary!J46*0.05</f>
        <v/>
      </c>
      <c r="K46" s="6">
        <f>Summary!K46*0.05</f>
        <v/>
      </c>
      <c r="L46" s="6">
        <f>Summary!L46*0.05</f>
        <v/>
      </c>
      <c r="M46" s="6">
        <f>Summary!M46*0.05</f>
        <v/>
      </c>
      <c r="N46" s="6">
        <f>Summary!N46*0.05</f>
        <v/>
      </c>
      <c r="O46" s="6">
        <f>Summary!O46*0.05</f>
        <v/>
      </c>
      <c r="P46" s="6">
        <f>Summary!P46*0.05</f>
        <v/>
      </c>
      <c r="Q46" s="6">
        <f>Summary!Q46*0.05</f>
        <v/>
      </c>
      <c r="R46" s="6">
        <f>Summary!R46*0.05</f>
        <v/>
      </c>
      <c r="S46" s="6">
        <f>Summary!S46*0.05</f>
        <v/>
      </c>
      <c r="T46" s="6">
        <f>Summary!T46*0.05</f>
        <v/>
      </c>
      <c r="U46" s="6">
        <f>Summary!U46*0.05</f>
        <v/>
      </c>
      <c r="V46" s="6">
        <f>Summary!V46*0.05</f>
        <v/>
      </c>
      <c r="W46" s="6">
        <f>Summary!W46*0.05</f>
        <v/>
      </c>
      <c r="X46" s="6">
        <f>Summary!X46*0.05</f>
        <v/>
      </c>
      <c r="Y46" s="6">
        <f>Summary!Y46*0.05</f>
        <v/>
      </c>
      <c r="Z46" s="6">
        <f>Summary!Z46*0.05</f>
        <v/>
      </c>
      <c r="AA46" s="6">
        <f>Summary!AA46*0.05</f>
        <v/>
      </c>
      <c r="AB46" s="6">
        <f>SUM(D46:AA46)</f>
        <v/>
      </c>
      <c r="AC46" s="3" t="inlineStr"/>
      <c r="AD46" s="7">
        <f>E46*0.001196975+D46*0.001196975</f>
        <v/>
      </c>
      <c r="AE46" s="7">
        <f>F46*0.001196975+E46*0.001196975</f>
        <v/>
      </c>
      <c r="AF46" s="7">
        <f>G46*0.001196975+F46*0.001196975</f>
        <v/>
      </c>
      <c r="AG46" s="7">
        <f>H46*0.001196975+G46*0.001196975</f>
        <v/>
      </c>
      <c r="AH46" s="7">
        <f>I46*0.001196975+H46*0.001196975</f>
        <v/>
      </c>
      <c r="AI46" s="7">
        <f>J46*0.001196975+I46*0.001196975</f>
        <v/>
      </c>
      <c r="AJ46" s="7">
        <f>K46*0.001196975+J46*0.001196975</f>
        <v/>
      </c>
      <c r="AK46" s="7">
        <f>L46*0.001196975+K46*0.001196975</f>
        <v/>
      </c>
      <c r="AL46" s="7">
        <f>M46*0.001196975+L46*0.001196975</f>
        <v/>
      </c>
      <c r="AM46" s="7">
        <f>N46*0.001196975+M46*0.001196975</f>
        <v/>
      </c>
      <c r="AN46" s="7">
        <f>O46*0.001196975+N46*0.001196975</f>
        <v/>
      </c>
      <c r="AO46" s="7">
        <f>P46*0.001196975+O46*0.001196975</f>
        <v/>
      </c>
      <c r="AP46" s="7">
        <f>Q46*0.001196975+P46*0.001196975</f>
        <v/>
      </c>
      <c r="AQ46" s="7">
        <f>R46*0.001196975+Q46*0.001196975</f>
        <v/>
      </c>
      <c r="AR46" s="7">
        <f>S46*0.001196975+R46*0.001196975</f>
        <v/>
      </c>
      <c r="AS46" s="7">
        <f>T46*0.001196975+S46*0.001196975</f>
        <v/>
      </c>
      <c r="AT46" s="7">
        <f>U46*0.001196975+T46*0.001196975</f>
        <v/>
      </c>
      <c r="AU46" s="7">
        <f>V46*0.001196975+U46*0.001196975</f>
        <v/>
      </c>
      <c r="AV46" s="7">
        <f>W46*0.001196975+V46*0.001196975</f>
        <v/>
      </c>
      <c r="AW46" s="7">
        <f>X46*0.001196975+W46*0.001196975</f>
        <v/>
      </c>
      <c r="AX46" s="7">
        <f>Y46*0.001196975+X46*0.001196975</f>
        <v/>
      </c>
      <c r="AY46" s="7">
        <f>Z46*0.001196975+Y46*0.001196975</f>
        <v/>
      </c>
      <c r="AZ46" s="7">
        <f>AA46*0.001196975+Z46*0.001196975</f>
        <v/>
      </c>
      <c r="BA46" s="7">
        <f>D46*0.001196975+AA46*0.001196975</f>
        <v/>
      </c>
      <c r="BB46" s="7">
        <f>SUM(AD46:BA46)</f>
        <v/>
      </c>
    </row>
    <row r="47">
      <c r="A47" t="inlineStr">
        <is>
          <t>AMD-FWDPRI-SSC</t>
        </is>
      </c>
      <c r="B47" t="inlineStr">
        <is>
          <t>FWD Priority OSC</t>
        </is>
      </c>
      <c r="C47" s="5" t="n">
        <v>46102</v>
      </c>
      <c r="D47" s="6">
        <f>Summary!D47*0.05</f>
        <v/>
      </c>
      <c r="E47" s="6">
        <f>Summary!E47*0.05</f>
        <v/>
      </c>
      <c r="F47" s="6">
        <f>Summary!F47*0.05</f>
        <v/>
      </c>
      <c r="G47" s="6">
        <f>Summary!G47*0.05</f>
        <v/>
      </c>
      <c r="H47" s="6">
        <f>Summary!H47*0.05</f>
        <v/>
      </c>
      <c r="I47" s="6">
        <f>Summary!I47*0.05</f>
        <v/>
      </c>
      <c r="J47" s="6">
        <f>Summary!J47*0.05</f>
        <v/>
      </c>
      <c r="K47" s="6">
        <f>Summary!K47*0.05</f>
        <v/>
      </c>
      <c r="L47" s="6">
        <f>Summary!L47*0.05</f>
        <v/>
      </c>
      <c r="M47" s="6">
        <f>Summary!M47*0.05</f>
        <v/>
      </c>
      <c r="N47" s="6">
        <f>Summary!N47*0.05</f>
        <v/>
      </c>
      <c r="O47" s="6">
        <f>Summary!O47*0.05</f>
        <v/>
      </c>
      <c r="P47" s="6">
        <f>Summary!P47*0.05</f>
        <v/>
      </c>
      <c r="Q47" s="6">
        <f>Summary!Q47*0.05</f>
        <v/>
      </c>
      <c r="R47" s="6">
        <f>Summary!R47*0.05</f>
        <v/>
      </c>
      <c r="S47" s="6">
        <f>Summary!S47*0.05</f>
        <v/>
      </c>
      <c r="T47" s="6">
        <f>Summary!T47*0.05</f>
        <v/>
      </c>
      <c r="U47" s="6">
        <f>Summary!U47*0.05</f>
        <v/>
      </c>
      <c r="V47" s="6">
        <f>Summary!V47*0.05</f>
        <v/>
      </c>
      <c r="W47" s="6">
        <f>Summary!W47*0.05</f>
        <v/>
      </c>
      <c r="X47" s="6">
        <f>Summary!X47*0.05</f>
        <v/>
      </c>
      <c r="Y47" s="6">
        <f>Summary!Y47*0.05</f>
        <v/>
      </c>
      <c r="Z47" s="6">
        <f>Summary!Z47*0.05</f>
        <v/>
      </c>
      <c r="AA47" s="6">
        <f>Summary!AA47*0.05</f>
        <v/>
      </c>
      <c r="AB47" s="6">
        <f>SUM(D47:AA47)</f>
        <v/>
      </c>
      <c r="AC47" s="3" t="inlineStr"/>
      <c r="AD47" s="7">
        <f>E47*0.001196975+D47*0.001196975</f>
        <v/>
      </c>
      <c r="AE47" s="7">
        <f>F47*0.001196975+E47*0.001196975</f>
        <v/>
      </c>
      <c r="AF47" s="7">
        <f>G47*0.001196975+F47*0.001196975</f>
        <v/>
      </c>
      <c r="AG47" s="7">
        <f>H47*0.001196975+G47*0.001196975</f>
        <v/>
      </c>
      <c r="AH47" s="7">
        <f>I47*0.001196975+H47*0.001196975</f>
        <v/>
      </c>
      <c r="AI47" s="7">
        <f>J47*0.001196975+I47*0.001196975</f>
        <v/>
      </c>
      <c r="AJ47" s="7">
        <f>K47*0.001196975+J47*0.001196975</f>
        <v/>
      </c>
      <c r="AK47" s="7">
        <f>L47*0.001196975+K47*0.001196975</f>
        <v/>
      </c>
      <c r="AL47" s="7">
        <f>M47*0.001196975+L47*0.001196975</f>
        <v/>
      </c>
      <c r="AM47" s="7">
        <f>N47*0.001196975+M47*0.001196975</f>
        <v/>
      </c>
      <c r="AN47" s="7">
        <f>O47*0.001196975+N47*0.001196975</f>
        <v/>
      </c>
      <c r="AO47" s="7">
        <f>P47*0.001196975+O47*0.001196975</f>
        <v/>
      </c>
      <c r="AP47" s="7">
        <f>Q47*0.001196975+P47*0.001196975</f>
        <v/>
      </c>
      <c r="AQ47" s="7">
        <f>R47*0.001196975+Q47*0.001196975</f>
        <v/>
      </c>
      <c r="AR47" s="7">
        <f>S47*0.001196975+R47*0.001196975</f>
        <v/>
      </c>
      <c r="AS47" s="7">
        <f>T47*0.001196975+S47*0.001196975</f>
        <v/>
      </c>
      <c r="AT47" s="7">
        <f>U47*0.001196975+T47*0.001196975</f>
        <v/>
      </c>
      <c r="AU47" s="7">
        <f>V47*0.001196975+U47*0.001196975</f>
        <v/>
      </c>
      <c r="AV47" s="7">
        <f>W47*0.001196975+V47*0.001196975</f>
        <v/>
      </c>
      <c r="AW47" s="7">
        <f>X47*0.001196975+W47*0.001196975</f>
        <v/>
      </c>
      <c r="AX47" s="7">
        <f>Y47*0.001196975+X47*0.001196975</f>
        <v/>
      </c>
      <c r="AY47" s="7">
        <f>Z47*0.001196975+Y47*0.001196975</f>
        <v/>
      </c>
      <c r="AZ47" s="7">
        <f>AA47*0.001196975+Z47*0.001196975</f>
        <v/>
      </c>
      <c r="BA47" s="7">
        <f>D47*0.001196975+AA47*0.001196975</f>
        <v/>
      </c>
      <c r="BB47" s="7">
        <f>SUM(AD47:BA47)</f>
        <v/>
      </c>
    </row>
    <row r="48">
      <c r="A48" t="inlineStr">
        <is>
          <t>AMD-FWDPRI-SSC</t>
        </is>
      </c>
      <c r="B48" t="inlineStr">
        <is>
          <t>FWD Priority OSC</t>
        </is>
      </c>
      <c r="C48" s="5" t="n">
        <v>46103</v>
      </c>
      <c r="D48" s="6">
        <f>Summary!D48*0.05</f>
        <v/>
      </c>
      <c r="E48" s="6">
        <f>Summary!E48*0.05</f>
        <v/>
      </c>
      <c r="F48" s="6">
        <f>Summary!F48*0.05</f>
        <v/>
      </c>
      <c r="G48" s="6">
        <f>Summary!G48*0.05</f>
        <v/>
      </c>
      <c r="H48" s="6">
        <f>Summary!H48*0.05</f>
        <v/>
      </c>
      <c r="I48" s="6">
        <f>Summary!I48*0.05</f>
        <v/>
      </c>
      <c r="J48" s="6">
        <f>Summary!J48*0.05</f>
        <v/>
      </c>
      <c r="K48" s="6">
        <f>Summary!K48*0.05</f>
        <v/>
      </c>
      <c r="L48" s="6">
        <f>Summary!L48*0.05</f>
        <v/>
      </c>
      <c r="M48" s="6">
        <f>Summary!M48*0.05</f>
        <v/>
      </c>
      <c r="N48" s="6">
        <f>Summary!N48*0.05</f>
        <v/>
      </c>
      <c r="O48" s="6">
        <f>Summary!O48*0.05</f>
        <v/>
      </c>
      <c r="P48" s="6">
        <f>Summary!P48*0.05</f>
        <v/>
      </c>
      <c r="Q48" s="6">
        <f>Summary!Q48*0.05</f>
        <v/>
      </c>
      <c r="R48" s="6">
        <f>Summary!R48*0.05</f>
        <v/>
      </c>
      <c r="S48" s="6">
        <f>Summary!S48*0.05</f>
        <v/>
      </c>
      <c r="T48" s="6">
        <f>Summary!T48*0.05</f>
        <v/>
      </c>
      <c r="U48" s="6">
        <f>Summary!U48*0.05</f>
        <v/>
      </c>
      <c r="V48" s="6">
        <f>Summary!V48*0.05</f>
        <v/>
      </c>
      <c r="W48" s="6">
        <f>Summary!W48*0.05</f>
        <v/>
      </c>
      <c r="X48" s="6">
        <f>Summary!X48*0.05</f>
        <v/>
      </c>
      <c r="Y48" s="6">
        <f>Summary!Y48*0.05</f>
        <v/>
      </c>
      <c r="Z48" s="6">
        <f>Summary!Z48*0.05</f>
        <v/>
      </c>
      <c r="AA48" s="6">
        <f>Summary!AA48*0.05</f>
        <v/>
      </c>
      <c r="AB48" s="6">
        <f>SUM(D48:AA48)</f>
        <v/>
      </c>
      <c r="AC48" s="3" t="inlineStr"/>
      <c r="AD48" s="7">
        <f>E48*0.001196975+D48*0.001196975</f>
        <v/>
      </c>
      <c r="AE48" s="7">
        <f>F48*0.001196975+E48*0.001196975</f>
        <v/>
      </c>
      <c r="AF48" s="7">
        <f>G48*0.001196975+F48*0.001196975</f>
        <v/>
      </c>
      <c r="AG48" s="7">
        <f>H48*0.001196975+G48*0.001196975</f>
        <v/>
      </c>
      <c r="AH48" s="7">
        <f>I48*0.001196975+H48*0.001196975</f>
        <v/>
      </c>
      <c r="AI48" s="7">
        <f>J48*0.001196975+I48*0.001196975</f>
        <v/>
      </c>
      <c r="AJ48" s="7">
        <f>K48*0.001196975+J48*0.001196975</f>
        <v/>
      </c>
      <c r="AK48" s="7">
        <f>L48*0.001196975+K48*0.001196975</f>
        <v/>
      </c>
      <c r="AL48" s="7">
        <f>M48*0.001196975+L48*0.001196975</f>
        <v/>
      </c>
      <c r="AM48" s="7">
        <f>N48*0.001196975+M48*0.001196975</f>
        <v/>
      </c>
      <c r="AN48" s="7">
        <f>O48*0.001196975+N48*0.001196975</f>
        <v/>
      </c>
      <c r="AO48" s="7">
        <f>P48*0.001196975+O48*0.001196975</f>
        <v/>
      </c>
      <c r="AP48" s="7">
        <f>Q48*0.001196975+P48*0.001196975</f>
        <v/>
      </c>
      <c r="AQ48" s="7">
        <f>R48*0.001196975+Q48*0.001196975</f>
        <v/>
      </c>
      <c r="AR48" s="7">
        <f>S48*0.001196975+R48*0.001196975</f>
        <v/>
      </c>
      <c r="AS48" s="7">
        <f>T48*0.001196975+S48*0.001196975</f>
        <v/>
      </c>
      <c r="AT48" s="7">
        <f>U48*0.001196975+T48*0.001196975</f>
        <v/>
      </c>
      <c r="AU48" s="7">
        <f>V48*0.001196975+U48*0.001196975</f>
        <v/>
      </c>
      <c r="AV48" s="7">
        <f>W48*0.001196975+V48*0.001196975</f>
        <v/>
      </c>
      <c r="AW48" s="7">
        <f>X48*0.001196975+W48*0.001196975</f>
        <v/>
      </c>
      <c r="AX48" s="7">
        <f>Y48*0.001196975+X48*0.001196975</f>
        <v/>
      </c>
      <c r="AY48" s="7">
        <f>Z48*0.001196975+Y48*0.001196975</f>
        <v/>
      </c>
      <c r="AZ48" s="7">
        <f>AA48*0.001196975+Z48*0.001196975</f>
        <v/>
      </c>
      <c r="BA48" s="7">
        <f>D48*0.001196975+AA48*0.001196975</f>
        <v/>
      </c>
      <c r="BB48" s="7">
        <f>SUM(AD48:BA48)</f>
        <v/>
      </c>
    </row>
    <row r="49">
      <c r="A49" t="inlineStr">
        <is>
          <t>AMD-FWDPRI-SSC</t>
        </is>
      </c>
      <c r="B49" t="inlineStr">
        <is>
          <t>FWD Priority OSC</t>
        </is>
      </c>
      <c r="C49" s="5" t="n">
        <v>46104</v>
      </c>
      <c r="D49" s="6">
        <f>Summary!D49*0.05</f>
        <v/>
      </c>
      <c r="E49" s="6">
        <f>Summary!E49*0.05</f>
        <v/>
      </c>
      <c r="F49" s="6">
        <f>Summary!F49*0.05</f>
        <v/>
      </c>
      <c r="G49" s="6">
        <f>Summary!G49*0.05</f>
        <v/>
      </c>
      <c r="H49" s="6">
        <f>Summary!H49*0.05</f>
        <v/>
      </c>
      <c r="I49" s="6">
        <f>Summary!I49*0.05</f>
        <v/>
      </c>
      <c r="J49" s="6">
        <f>Summary!J49*0.05</f>
        <v/>
      </c>
      <c r="K49" s="6">
        <f>Summary!K49*0.05</f>
        <v/>
      </c>
      <c r="L49" s="6">
        <f>Summary!L49*0.05</f>
        <v/>
      </c>
      <c r="M49" s="6">
        <f>Summary!M49*0.05</f>
        <v/>
      </c>
      <c r="N49" s="6">
        <f>Summary!N49*0.05</f>
        <v/>
      </c>
      <c r="O49" s="6">
        <f>Summary!O49*0.05</f>
        <v/>
      </c>
      <c r="P49" s="6">
        <f>Summary!P49*0.05</f>
        <v/>
      </c>
      <c r="Q49" s="6">
        <f>Summary!Q49*0.05</f>
        <v/>
      </c>
      <c r="R49" s="6">
        <f>Summary!R49*0.05</f>
        <v/>
      </c>
      <c r="S49" s="6">
        <f>Summary!S49*0.05</f>
        <v/>
      </c>
      <c r="T49" s="6">
        <f>Summary!T49*0.05</f>
        <v/>
      </c>
      <c r="U49" s="6">
        <f>Summary!U49*0.05</f>
        <v/>
      </c>
      <c r="V49" s="6">
        <f>Summary!V49*0.05</f>
        <v/>
      </c>
      <c r="W49" s="6">
        <f>Summary!W49*0.05</f>
        <v/>
      </c>
      <c r="X49" s="6">
        <f>Summary!X49*0.05</f>
        <v/>
      </c>
      <c r="Y49" s="6">
        <f>Summary!Y49*0.05</f>
        <v/>
      </c>
      <c r="Z49" s="6">
        <f>Summary!Z49*0.05</f>
        <v/>
      </c>
      <c r="AA49" s="6">
        <f>Summary!AA49*0.05</f>
        <v/>
      </c>
      <c r="AB49" s="6">
        <f>SUM(D49:AA49)</f>
        <v/>
      </c>
      <c r="AC49" s="3" t="inlineStr"/>
      <c r="AD49" s="7">
        <f>E49*0.001196975+D49*0.001196975</f>
        <v/>
      </c>
      <c r="AE49" s="7">
        <f>F49*0.001196975+E49*0.001196975</f>
        <v/>
      </c>
      <c r="AF49" s="7">
        <f>G49*0.001196975+F49*0.001196975</f>
        <v/>
      </c>
      <c r="AG49" s="7">
        <f>H49*0.001196975+G49*0.001196975</f>
        <v/>
      </c>
      <c r="AH49" s="7">
        <f>I49*0.001196975+H49*0.001196975</f>
        <v/>
      </c>
      <c r="AI49" s="7">
        <f>J49*0.001196975+I49*0.001196975</f>
        <v/>
      </c>
      <c r="AJ49" s="7">
        <f>K49*0.001196975+J49*0.001196975</f>
        <v/>
      </c>
      <c r="AK49" s="7">
        <f>L49*0.001196975+K49*0.001196975</f>
        <v/>
      </c>
      <c r="AL49" s="7">
        <f>M49*0.001196975+L49*0.001196975</f>
        <v/>
      </c>
      <c r="AM49" s="7">
        <f>N49*0.001196975+M49*0.001196975</f>
        <v/>
      </c>
      <c r="AN49" s="7">
        <f>O49*0.001196975+N49*0.001196975</f>
        <v/>
      </c>
      <c r="AO49" s="7">
        <f>P49*0.001196975+O49*0.001196975</f>
        <v/>
      </c>
      <c r="AP49" s="7">
        <f>Q49*0.001196975+P49*0.001196975</f>
        <v/>
      </c>
      <c r="AQ49" s="7">
        <f>R49*0.001196975+Q49*0.001196975</f>
        <v/>
      </c>
      <c r="AR49" s="7">
        <f>S49*0.001196975+R49*0.001196975</f>
        <v/>
      </c>
      <c r="AS49" s="7">
        <f>T49*0.001196975+S49*0.001196975</f>
        <v/>
      </c>
      <c r="AT49" s="7">
        <f>U49*0.001196975+T49*0.001196975</f>
        <v/>
      </c>
      <c r="AU49" s="7">
        <f>V49*0.001196975+U49*0.001196975</f>
        <v/>
      </c>
      <c r="AV49" s="7">
        <f>W49*0.001196975+V49*0.001196975</f>
        <v/>
      </c>
      <c r="AW49" s="7">
        <f>X49*0.001196975+W49*0.001196975</f>
        <v/>
      </c>
      <c r="AX49" s="7">
        <f>Y49*0.001196975+X49*0.001196975</f>
        <v/>
      </c>
      <c r="AY49" s="7">
        <f>Z49*0.001196975+Y49*0.001196975</f>
        <v/>
      </c>
      <c r="AZ49" s="7">
        <f>AA49*0.001196975+Z49*0.001196975</f>
        <v/>
      </c>
      <c r="BA49" s="7">
        <f>D49*0.001196975+AA49*0.001196975</f>
        <v/>
      </c>
      <c r="BB49" s="7">
        <f>SUM(AD49:BA49)</f>
        <v/>
      </c>
    </row>
    <row r="50">
      <c r="A50" t="inlineStr">
        <is>
          <t>AMD-FWDPRI-SSC</t>
        </is>
      </c>
      <c r="B50" t="inlineStr">
        <is>
          <t>FWD Priority OSC</t>
        </is>
      </c>
      <c r="C50" s="5" t="n">
        <v>46105</v>
      </c>
      <c r="D50" s="6">
        <f>Summary!D50*0.05</f>
        <v/>
      </c>
      <c r="E50" s="6">
        <f>Summary!E50*0.05</f>
        <v/>
      </c>
      <c r="F50" s="6">
        <f>Summary!F50*0.05</f>
        <v/>
      </c>
      <c r="G50" s="6">
        <f>Summary!G50*0.05</f>
        <v/>
      </c>
      <c r="H50" s="6">
        <f>Summary!H50*0.05</f>
        <v/>
      </c>
      <c r="I50" s="6">
        <f>Summary!I50*0.05</f>
        <v/>
      </c>
      <c r="J50" s="6">
        <f>Summary!J50*0.05</f>
        <v/>
      </c>
      <c r="K50" s="6">
        <f>Summary!K50*0.05</f>
        <v/>
      </c>
      <c r="L50" s="6">
        <f>Summary!L50*0.05</f>
        <v/>
      </c>
      <c r="M50" s="6">
        <f>Summary!M50*0.05</f>
        <v/>
      </c>
      <c r="N50" s="6">
        <f>Summary!N50*0.05</f>
        <v/>
      </c>
      <c r="O50" s="6">
        <f>Summary!O50*0.05</f>
        <v/>
      </c>
      <c r="P50" s="6">
        <f>Summary!P50*0.05</f>
        <v/>
      </c>
      <c r="Q50" s="6">
        <f>Summary!Q50*0.05</f>
        <v/>
      </c>
      <c r="R50" s="6">
        <f>Summary!R50*0.05</f>
        <v/>
      </c>
      <c r="S50" s="6">
        <f>Summary!S50*0.05</f>
        <v/>
      </c>
      <c r="T50" s="6">
        <f>Summary!T50*0.05</f>
        <v/>
      </c>
      <c r="U50" s="6">
        <f>Summary!U50*0.05</f>
        <v/>
      </c>
      <c r="V50" s="6">
        <f>Summary!V50*0.05</f>
        <v/>
      </c>
      <c r="W50" s="6">
        <f>Summary!W50*0.05</f>
        <v/>
      </c>
      <c r="X50" s="6">
        <f>Summary!X50*0.05</f>
        <v/>
      </c>
      <c r="Y50" s="6">
        <f>Summary!Y50*0.05</f>
        <v/>
      </c>
      <c r="Z50" s="6">
        <f>Summary!Z50*0.05</f>
        <v/>
      </c>
      <c r="AA50" s="6">
        <f>Summary!AA50*0.05</f>
        <v/>
      </c>
      <c r="AB50" s="6">
        <f>SUM(D50:AA50)</f>
        <v/>
      </c>
      <c r="AC50" s="3" t="inlineStr"/>
      <c r="AD50" s="7">
        <f>E50*0.001196975+D50*0.001196975</f>
        <v/>
      </c>
      <c r="AE50" s="7">
        <f>F50*0.001196975+E50*0.001196975</f>
        <v/>
      </c>
      <c r="AF50" s="7">
        <f>G50*0.001196975+F50*0.001196975</f>
        <v/>
      </c>
      <c r="AG50" s="7">
        <f>H50*0.001196975+G50*0.001196975</f>
        <v/>
      </c>
      <c r="AH50" s="7">
        <f>I50*0.001196975+H50*0.001196975</f>
        <v/>
      </c>
      <c r="AI50" s="7">
        <f>J50*0.001196975+I50*0.001196975</f>
        <v/>
      </c>
      <c r="AJ50" s="7">
        <f>K50*0.001196975+J50*0.001196975</f>
        <v/>
      </c>
      <c r="AK50" s="7">
        <f>L50*0.001196975+K50*0.001196975</f>
        <v/>
      </c>
      <c r="AL50" s="7">
        <f>M50*0.001196975+L50*0.001196975</f>
        <v/>
      </c>
      <c r="AM50" s="7">
        <f>N50*0.001196975+M50*0.001196975</f>
        <v/>
      </c>
      <c r="AN50" s="7">
        <f>O50*0.001196975+N50*0.001196975</f>
        <v/>
      </c>
      <c r="AO50" s="7">
        <f>P50*0.001196975+O50*0.001196975</f>
        <v/>
      </c>
      <c r="AP50" s="7">
        <f>Q50*0.001196975+P50*0.001196975</f>
        <v/>
      </c>
      <c r="AQ50" s="7">
        <f>R50*0.001196975+Q50*0.001196975</f>
        <v/>
      </c>
      <c r="AR50" s="7">
        <f>S50*0.001196975+R50*0.001196975</f>
        <v/>
      </c>
      <c r="AS50" s="7">
        <f>T50*0.001196975+S50*0.001196975</f>
        <v/>
      </c>
      <c r="AT50" s="7">
        <f>U50*0.001196975+T50*0.001196975</f>
        <v/>
      </c>
      <c r="AU50" s="7">
        <f>V50*0.001196975+U50*0.001196975</f>
        <v/>
      </c>
      <c r="AV50" s="7">
        <f>W50*0.001196975+V50*0.001196975</f>
        <v/>
      </c>
      <c r="AW50" s="7">
        <f>X50*0.001196975+W50*0.001196975</f>
        <v/>
      </c>
      <c r="AX50" s="7">
        <f>Y50*0.001196975+X50*0.001196975</f>
        <v/>
      </c>
      <c r="AY50" s="7">
        <f>Z50*0.001196975+Y50*0.001196975</f>
        <v/>
      </c>
      <c r="AZ50" s="7">
        <f>AA50*0.001196975+Z50*0.001196975</f>
        <v/>
      </c>
      <c r="BA50" s="7">
        <f>D50*0.001196975+AA50*0.001196975</f>
        <v/>
      </c>
      <c r="BB50" s="7">
        <f>SUM(AD50:BA50)</f>
        <v/>
      </c>
    </row>
    <row r="51">
      <c r="A51" t="inlineStr">
        <is>
          <t>AMD-FWDREG-SSC</t>
        </is>
      </c>
      <c r="B51" t="inlineStr">
        <is>
          <t>Forward Regular OSC</t>
        </is>
      </c>
      <c r="C51" s="5" t="n">
        <v>46098</v>
      </c>
      <c r="D51" s="6">
        <f>Summary!D51*0.05</f>
        <v/>
      </c>
      <c r="E51" s="6">
        <f>Summary!E51*0.05</f>
        <v/>
      </c>
      <c r="F51" s="6">
        <f>Summary!F51*0.05</f>
        <v/>
      </c>
      <c r="G51" s="6">
        <f>Summary!G51*0.05</f>
        <v/>
      </c>
      <c r="H51" s="6">
        <f>Summary!H51*0.05</f>
        <v/>
      </c>
      <c r="I51" s="6">
        <f>Summary!I51*0.05</f>
        <v/>
      </c>
      <c r="J51" s="6">
        <f>Summary!J51*0.05</f>
        <v/>
      </c>
      <c r="K51" s="6">
        <f>Summary!K51*0.05</f>
        <v/>
      </c>
      <c r="L51" s="6">
        <f>Summary!L51*0.05</f>
        <v/>
      </c>
      <c r="M51" s="6">
        <f>Summary!M51*0.05</f>
        <v/>
      </c>
      <c r="N51" s="6">
        <f>Summary!N51*0.05</f>
        <v/>
      </c>
      <c r="O51" s="6">
        <f>Summary!O51*0.05</f>
        <v/>
      </c>
      <c r="P51" s="6">
        <f>Summary!P51*0.05</f>
        <v/>
      </c>
      <c r="Q51" s="6">
        <f>Summary!Q51*0.05</f>
        <v/>
      </c>
      <c r="R51" s="6">
        <f>Summary!R51*0.05</f>
        <v/>
      </c>
      <c r="S51" s="6">
        <f>Summary!S51*0.05</f>
        <v/>
      </c>
      <c r="T51" s="6">
        <f>Summary!T51*0.05</f>
        <v/>
      </c>
      <c r="U51" s="6">
        <f>Summary!U51*0.05</f>
        <v/>
      </c>
      <c r="V51" s="6">
        <f>Summary!V51*0.05</f>
        <v/>
      </c>
      <c r="W51" s="6">
        <f>Summary!W51*0.05</f>
        <v/>
      </c>
      <c r="X51" s="6">
        <f>Summary!X51*0.05</f>
        <v/>
      </c>
      <c r="Y51" s="6">
        <f>Summary!Y51*0.05</f>
        <v/>
      </c>
      <c r="Z51" s="6">
        <f>Summary!Z51*0.05</f>
        <v/>
      </c>
      <c r="AA51" s="6">
        <f>Summary!AA51*0.05</f>
        <v/>
      </c>
      <c r="AB51" s="6">
        <f>SUM(D51:AA51)</f>
        <v/>
      </c>
      <c r="AC51" s="3" t="inlineStr"/>
      <c r="AD51" s="7">
        <f>E51*0.001196975+D51*0.001196975</f>
        <v/>
      </c>
      <c r="AE51" s="7">
        <f>F51*0.001196975+E51*0.001196975</f>
        <v/>
      </c>
      <c r="AF51" s="7">
        <f>G51*0.001196975+F51*0.001196975</f>
        <v/>
      </c>
      <c r="AG51" s="7">
        <f>H51*0.001196975+G51*0.001196975</f>
        <v/>
      </c>
      <c r="AH51" s="7">
        <f>I51*0.001196975+H51*0.001196975</f>
        <v/>
      </c>
      <c r="AI51" s="7">
        <f>J51*0.001196975+I51*0.001196975</f>
        <v/>
      </c>
      <c r="AJ51" s="7">
        <f>K51*0.001196975+J51*0.001196975</f>
        <v/>
      </c>
      <c r="AK51" s="7">
        <f>L51*0.001196975+K51*0.001196975</f>
        <v/>
      </c>
      <c r="AL51" s="7">
        <f>M51*0.001196975+L51*0.001196975</f>
        <v/>
      </c>
      <c r="AM51" s="7">
        <f>N51*0.001196975+M51*0.001196975</f>
        <v/>
      </c>
      <c r="AN51" s="7">
        <f>O51*0.001196975+N51*0.001196975</f>
        <v/>
      </c>
      <c r="AO51" s="7">
        <f>P51*0.001196975+O51*0.001196975</f>
        <v/>
      </c>
      <c r="AP51" s="7">
        <f>Q51*0.001196975+P51*0.001196975</f>
        <v/>
      </c>
      <c r="AQ51" s="7">
        <f>R51*0.001196975+Q51*0.001196975</f>
        <v/>
      </c>
      <c r="AR51" s="7">
        <f>S51*0.001196975+R51*0.001196975</f>
        <v/>
      </c>
      <c r="AS51" s="7">
        <f>T51*0.001196975+S51*0.001196975</f>
        <v/>
      </c>
      <c r="AT51" s="7">
        <f>U51*0.001196975+T51*0.001196975</f>
        <v/>
      </c>
      <c r="AU51" s="7">
        <f>V51*0.001196975+U51*0.001196975</f>
        <v/>
      </c>
      <c r="AV51" s="7">
        <f>W51*0.001196975+V51*0.001196975</f>
        <v/>
      </c>
      <c r="AW51" s="7">
        <f>X51*0.001196975+W51*0.001196975</f>
        <v/>
      </c>
      <c r="AX51" s="7">
        <f>Y51*0.001196975+X51*0.001196975</f>
        <v/>
      </c>
      <c r="AY51" s="7">
        <f>Z51*0.001196975+Y51*0.001196975</f>
        <v/>
      </c>
      <c r="AZ51" s="7">
        <f>AA51*0.001196975+Z51*0.001196975</f>
        <v/>
      </c>
      <c r="BA51" s="7">
        <f>D51*0.001196975+AA51*0.001196975</f>
        <v/>
      </c>
      <c r="BB51" s="7">
        <f>SUM(AD51:BA51)</f>
        <v/>
      </c>
    </row>
    <row r="52">
      <c r="A52" t="inlineStr">
        <is>
          <t>AMD-FWDREG-SSC</t>
        </is>
      </c>
      <c r="B52" t="inlineStr">
        <is>
          <t>Forward Regular OSC</t>
        </is>
      </c>
      <c r="C52" s="5" t="n">
        <v>46099</v>
      </c>
      <c r="D52" s="6">
        <f>Summary!D52*0.05</f>
        <v/>
      </c>
      <c r="E52" s="6">
        <f>Summary!E52*0.05</f>
        <v/>
      </c>
      <c r="F52" s="6">
        <f>Summary!F52*0.05</f>
        <v/>
      </c>
      <c r="G52" s="6">
        <f>Summary!G52*0.05</f>
        <v/>
      </c>
      <c r="H52" s="6">
        <f>Summary!H52*0.05</f>
        <v/>
      </c>
      <c r="I52" s="6">
        <f>Summary!I52*0.05</f>
        <v/>
      </c>
      <c r="J52" s="6">
        <f>Summary!J52*0.05</f>
        <v/>
      </c>
      <c r="K52" s="6">
        <f>Summary!K52*0.05</f>
        <v/>
      </c>
      <c r="L52" s="6">
        <f>Summary!L52*0.05</f>
        <v/>
      </c>
      <c r="M52" s="6">
        <f>Summary!M52*0.05</f>
        <v/>
      </c>
      <c r="N52" s="6">
        <f>Summary!N52*0.05</f>
        <v/>
      </c>
      <c r="O52" s="6">
        <f>Summary!O52*0.05</f>
        <v/>
      </c>
      <c r="P52" s="6">
        <f>Summary!P52*0.05</f>
        <v/>
      </c>
      <c r="Q52" s="6">
        <f>Summary!Q52*0.05</f>
        <v/>
      </c>
      <c r="R52" s="6">
        <f>Summary!R52*0.05</f>
        <v/>
      </c>
      <c r="S52" s="6">
        <f>Summary!S52*0.05</f>
        <v/>
      </c>
      <c r="T52" s="6">
        <f>Summary!T52*0.05</f>
        <v/>
      </c>
      <c r="U52" s="6">
        <f>Summary!U52*0.05</f>
        <v/>
      </c>
      <c r="V52" s="6">
        <f>Summary!V52*0.05</f>
        <v/>
      </c>
      <c r="W52" s="6">
        <f>Summary!W52*0.05</f>
        <v/>
      </c>
      <c r="X52" s="6">
        <f>Summary!X52*0.05</f>
        <v/>
      </c>
      <c r="Y52" s="6">
        <f>Summary!Y52*0.05</f>
        <v/>
      </c>
      <c r="Z52" s="6">
        <f>Summary!Z52*0.05</f>
        <v/>
      </c>
      <c r="AA52" s="6">
        <f>Summary!AA52*0.05</f>
        <v/>
      </c>
      <c r="AB52" s="6">
        <f>SUM(D52:AA52)</f>
        <v/>
      </c>
      <c r="AC52" s="3" t="inlineStr"/>
      <c r="AD52" s="7">
        <f>E52*0.001196975+D52*0.001196975</f>
        <v/>
      </c>
      <c r="AE52" s="7">
        <f>F52*0.001196975+E52*0.001196975</f>
        <v/>
      </c>
      <c r="AF52" s="7">
        <f>G52*0.001196975+F52*0.001196975</f>
        <v/>
      </c>
      <c r="AG52" s="7">
        <f>H52*0.001196975+G52*0.001196975</f>
        <v/>
      </c>
      <c r="AH52" s="7">
        <f>I52*0.001196975+H52*0.001196975</f>
        <v/>
      </c>
      <c r="AI52" s="7">
        <f>J52*0.001196975+I52*0.001196975</f>
        <v/>
      </c>
      <c r="AJ52" s="7">
        <f>K52*0.001196975+J52*0.001196975</f>
        <v/>
      </c>
      <c r="AK52" s="7">
        <f>L52*0.001196975+K52*0.001196975</f>
        <v/>
      </c>
      <c r="AL52" s="7">
        <f>M52*0.001196975+L52*0.001196975</f>
        <v/>
      </c>
      <c r="AM52" s="7">
        <f>N52*0.001196975+M52*0.001196975</f>
        <v/>
      </c>
      <c r="AN52" s="7">
        <f>O52*0.001196975+N52*0.001196975</f>
        <v/>
      </c>
      <c r="AO52" s="7">
        <f>P52*0.001196975+O52*0.001196975</f>
        <v/>
      </c>
      <c r="AP52" s="7">
        <f>Q52*0.001196975+P52*0.001196975</f>
        <v/>
      </c>
      <c r="AQ52" s="7">
        <f>R52*0.001196975+Q52*0.001196975</f>
        <v/>
      </c>
      <c r="AR52" s="7">
        <f>S52*0.001196975+R52*0.001196975</f>
        <v/>
      </c>
      <c r="AS52" s="7">
        <f>T52*0.001196975+S52*0.001196975</f>
        <v/>
      </c>
      <c r="AT52" s="7">
        <f>U52*0.001196975+T52*0.001196975</f>
        <v/>
      </c>
      <c r="AU52" s="7">
        <f>V52*0.001196975+U52*0.001196975</f>
        <v/>
      </c>
      <c r="AV52" s="7">
        <f>W52*0.001196975+V52*0.001196975</f>
        <v/>
      </c>
      <c r="AW52" s="7">
        <f>X52*0.001196975+W52*0.001196975</f>
        <v/>
      </c>
      <c r="AX52" s="7">
        <f>Y52*0.001196975+X52*0.001196975</f>
        <v/>
      </c>
      <c r="AY52" s="7">
        <f>Z52*0.001196975+Y52*0.001196975</f>
        <v/>
      </c>
      <c r="AZ52" s="7">
        <f>AA52*0.001196975+Z52*0.001196975</f>
        <v/>
      </c>
      <c r="BA52" s="7">
        <f>D52*0.001196975+AA52*0.001196975</f>
        <v/>
      </c>
      <c r="BB52" s="7">
        <f>SUM(AD52:BA52)</f>
        <v/>
      </c>
    </row>
    <row r="53">
      <c r="A53" t="inlineStr">
        <is>
          <t>AMD-FWDREG-SSC</t>
        </is>
      </c>
      <c r="B53" t="inlineStr">
        <is>
          <t>Forward Regular OSC</t>
        </is>
      </c>
      <c r="C53" s="5" t="n">
        <v>46100</v>
      </c>
      <c r="D53" s="6">
        <f>Summary!D53*0.05</f>
        <v/>
      </c>
      <c r="E53" s="6">
        <f>Summary!E53*0.05</f>
        <v/>
      </c>
      <c r="F53" s="6">
        <f>Summary!F53*0.05</f>
        <v/>
      </c>
      <c r="G53" s="6">
        <f>Summary!G53*0.05</f>
        <v/>
      </c>
      <c r="H53" s="6">
        <f>Summary!H53*0.05</f>
        <v/>
      </c>
      <c r="I53" s="6">
        <f>Summary!I53*0.05</f>
        <v/>
      </c>
      <c r="J53" s="6">
        <f>Summary!J53*0.05</f>
        <v/>
      </c>
      <c r="K53" s="6">
        <f>Summary!K53*0.05</f>
        <v/>
      </c>
      <c r="L53" s="6">
        <f>Summary!L53*0.05</f>
        <v/>
      </c>
      <c r="M53" s="6">
        <f>Summary!M53*0.05</f>
        <v/>
      </c>
      <c r="N53" s="6">
        <f>Summary!N53*0.05</f>
        <v/>
      </c>
      <c r="O53" s="6">
        <f>Summary!O53*0.05</f>
        <v/>
      </c>
      <c r="P53" s="6">
        <f>Summary!P53*0.05</f>
        <v/>
      </c>
      <c r="Q53" s="6">
        <f>Summary!Q53*0.05</f>
        <v/>
      </c>
      <c r="R53" s="6">
        <f>Summary!R53*0.05</f>
        <v/>
      </c>
      <c r="S53" s="6">
        <f>Summary!S53*0.05</f>
        <v/>
      </c>
      <c r="T53" s="6">
        <f>Summary!T53*0.05</f>
        <v/>
      </c>
      <c r="U53" s="6">
        <f>Summary!U53*0.05</f>
        <v/>
      </c>
      <c r="V53" s="6">
        <f>Summary!V53*0.05</f>
        <v/>
      </c>
      <c r="W53" s="6">
        <f>Summary!W53*0.05</f>
        <v/>
      </c>
      <c r="X53" s="6">
        <f>Summary!X53*0.05</f>
        <v/>
      </c>
      <c r="Y53" s="6">
        <f>Summary!Y53*0.05</f>
        <v/>
      </c>
      <c r="Z53" s="6">
        <f>Summary!Z53*0.05</f>
        <v/>
      </c>
      <c r="AA53" s="6">
        <f>Summary!AA53*0.05</f>
        <v/>
      </c>
      <c r="AB53" s="6">
        <f>SUM(D53:AA53)</f>
        <v/>
      </c>
      <c r="AC53" s="3" t="inlineStr"/>
      <c r="AD53" s="7">
        <f>E53*0.001196975+D53*0.001196975</f>
        <v/>
      </c>
      <c r="AE53" s="7">
        <f>F53*0.001196975+E53*0.001196975</f>
        <v/>
      </c>
      <c r="AF53" s="7">
        <f>G53*0.001196975+F53*0.001196975</f>
        <v/>
      </c>
      <c r="AG53" s="7">
        <f>H53*0.001196975+G53*0.001196975</f>
        <v/>
      </c>
      <c r="AH53" s="7">
        <f>I53*0.001196975+H53*0.001196975</f>
        <v/>
      </c>
      <c r="AI53" s="7">
        <f>J53*0.001196975+I53*0.001196975</f>
        <v/>
      </c>
      <c r="AJ53" s="7">
        <f>K53*0.001196975+J53*0.001196975</f>
        <v/>
      </c>
      <c r="AK53" s="7">
        <f>L53*0.001196975+K53*0.001196975</f>
        <v/>
      </c>
      <c r="AL53" s="7">
        <f>M53*0.001196975+L53*0.001196975</f>
        <v/>
      </c>
      <c r="AM53" s="7">
        <f>N53*0.001196975+M53*0.001196975</f>
        <v/>
      </c>
      <c r="AN53" s="7">
        <f>O53*0.001196975+N53*0.001196975</f>
        <v/>
      </c>
      <c r="AO53" s="7">
        <f>P53*0.001196975+O53*0.001196975</f>
        <v/>
      </c>
      <c r="AP53" s="7">
        <f>Q53*0.001196975+P53*0.001196975</f>
        <v/>
      </c>
      <c r="AQ53" s="7">
        <f>R53*0.001196975+Q53*0.001196975</f>
        <v/>
      </c>
      <c r="AR53" s="7">
        <f>S53*0.001196975+R53*0.001196975</f>
        <v/>
      </c>
      <c r="AS53" s="7">
        <f>T53*0.001196975+S53*0.001196975</f>
        <v/>
      </c>
      <c r="AT53" s="7">
        <f>U53*0.001196975+T53*0.001196975</f>
        <v/>
      </c>
      <c r="AU53" s="7">
        <f>V53*0.001196975+U53*0.001196975</f>
        <v/>
      </c>
      <c r="AV53" s="7">
        <f>W53*0.001196975+V53*0.001196975</f>
        <v/>
      </c>
      <c r="AW53" s="7">
        <f>X53*0.001196975+W53*0.001196975</f>
        <v/>
      </c>
      <c r="AX53" s="7">
        <f>Y53*0.001196975+X53*0.001196975</f>
        <v/>
      </c>
      <c r="AY53" s="7">
        <f>Z53*0.001196975+Y53*0.001196975</f>
        <v/>
      </c>
      <c r="AZ53" s="7">
        <f>AA53*0.001196975+Z53*0.001196975</f>
        <v/>
      </c>
      <c r="BA53" s="7">
        <f>D53*0.001196975+AA53*0.001196975</f>
        <v/>
      </c>
      <c r="BB53" s="7">
        <f>SUM(AD53:BA53)</f>
        <v/>
      </c>
    </row>
    <row r="54">
      <c r="A54" t="inlineStr">
        <is>
          <t>AMD-FWDREG-SSC</t>
        </is>
      </c>
      <c r="B54" t="inlineStr">
        <is>
          <t>Forward Regular OSC</t>
        </is>
      </c>
      <c r="C54" s="5" t="n">
        <v>46101</v>
      </c>
      <c r="D54" s="6">
        <f>Summary!D54*0.05</f>
        <v/>
      </c>
      <c r="E54" s="6">
        <f>Summary!E54*0.05</f>
        <v/>
      </c>
      <c r="F54" s="6">
        <f>Summary!F54*0.05</f>
        <v/>
      </c>
      <c r="G54" s="6">
        <f>Summary!G54*0.05</f>
        <v/>
      </c>
      <c r="H54" s="6">
        <f>Summary!H54*0.05</f>
        <v/>
      </c>
      <c r="I54" s="6">
        <f>Summary!I54*0.05</f>
        <v/>
      </c>
      <c r="J54" s="6">
        <f>Summary!J54*0.05</f>
        <v/>
      </c>
      <c r="K54" s="6">
        <f>Summary!K54*0.05</f>
        <v/>
      </c>
      <c r="L54" s="6">
        <f>Summary!L54*0.05</f>
        <v/>
      </c>
      <c r="M54" s="6">
        <f>Summary!M54*0.05</f>
        <v/>
      </c>
      <c r="N54" s="6">
        <f>Summary!N54*0.05</f>
        <v/>
      </c>
      <c r="O54" s="6">
        <f>Summary!O54*0.05</f>
        <v/>
      </c>
      <c r="P54" s="6">
        <f>Summary!P54*0.05</f>
        <v/>
      </c>
      <c r="Q54" s="6">
        <f>Summary!Q54*0.05</f>
        <v/>
      </c>
      <c r="R54" s="6">
        <f>Summary!R54*0.05</f>
        <v/>
      </c>
      <c r="S54" s="6">
        <f>Summary!S54*0.05</f>
        <v/>
      </c>
      <c r="T54" s="6">
        <f>Summary!T54*0.05</f>
        <v/>
      </c>
      <c r="U54" s="6">
        <f>Summary!U54*0.05</f>
        <v/>
      </c>
      <c r="V54" s="6">
        <f>Summary!V54*0.05</f>
        <v/>
      </c>
      <c r="W54" s="6">
        <f>Summary!W54*0.05</f>
        <v/>
      </c>
      <c r="X54" s="6">
        <f>Summary!X54*0.05</f>
        <v/>
      </c>
      <c r="Y54" s="6">
        <f>Summary!Y54*0.05</f>
        <v/>
      </c>
      <c r="Z54" s="6">
        <f>Summary!Z54*0.05</f>
        <v/>
      </c>
      <c r="AA54" s="6">
        <f>Summary!AA54*0.05</f>
        <v/>
      </c>
      <c r="AB54" s="6">
        <f>SUM(D54:AA54)</f>
        <v/>
      </c>
      <c r="AC54" s="3" t="inlineStr"/>
      <c r="AD54" s="7">
        <f>E54*0.001196975+D54*0.001196975</f>
        <v/>
      </c>
      <c r="AE54" s="7">
        <f>F54*0.001196975+E54*0.001196975</f>
        <v/>
      </c>
      <c r="AF54" s="7">
        <f>G54*0.001196975+F54*0.001196975</f>
        <v/>
      </c>
      <c r="AG54" s="7">
        <f>H54*0.001196975+G54*0.001196975</f>
        <v/>
      </c>
      <c r="AH54" s="7">
        <f>I54*0.001196975+H54*0.001196975</f>
        <v/>
      </c>
      <c r="AI54" s="7">
        <f>J54*0.001196975+I54*0.001196975</f>
        <v/>
      </c>
      <c r="AJ54" s="7">
        <f>K54*0.001196975+J54*0.001196975</f>
        <v/>
      </c>
      <c r="AK54" s="7">
        <f>L54*0.001196975+K54*0.001196975</f>
        <v/>
      </c>
      <c r="AL54" s="7">
        <f>M54*0.001196975+L54*0.001196975</f>
        <v/>
      </c>
      <c r="AM54" s="7">
        <f>N54*0.001196975+M54*0.001196975</f>
        <v/>
      </c>
      <c r="AN54" s="7">
        <f>O54*0.001196975+N54*0.001196975</f>
        <v/>
      </c>
      <c r="AO54" s="7">
        <f>P54*0.001196975+O54*0.001196975</f>
        <v/>
      </c>
      <c r="AP54" s="7">
        <f>Q54*0.001196975+P54*0.001196975</f>
        <v/>
      </c>
      <c r="AQ54" s="7">
        <f>R54*0.001196975+Q54*0.001196975</f>
        <v/>
      </c>
      <c r="AR54" s="7">
        <f>S54*0.001196975+R54*0.001196975</f>
        <v/>
      </c>
      <c r="AS54" s="7">
        <f>T54*0.001196975+S54*0.001196975</f>
        <v/>
      </c>
      <c r="AT54" s="7">
        <f>U54*0.001196975+T54*0.001196975</f>
        <v/>
      </c>
      <c r="AU54" s="7">
        <f>V54*0.001196975+U54*0.001196975</f>
        <v/>
      </c>
      <c r="AV54" s="7">
        <f>W54*0.001196975+V54*0.001196975</f>
        <v/>
      </c>
      <c r="AW54" s="7">
        <f>X54*0.001196975+W54*0.001196975</f>
        <v/>
      </c>
      <c r="AX54" s="7">
        <f>Y54*0.001196975+X54*0.001196975</f>
        <v/>
      </c>
      <c r="AY54" s="7">
        <f>Z54*0.001196975+Y54*0.001196975</f>
        <v/>
      </c>
      <c r="AZ54" s="7">
        <f>AA54*0.001196975+Z54*0.001196975</f>
        <v/>
      </c>
      <c r="BA54" s="7">
        <f>D54*0.001196975+AA54*0.001196975</f>
        <v/>
      </c>
      <c r="BB54" s="7">
        <f>SUM(AD54:BA54)</f>
        <v/>
      </c>
    </row>
    <row r="55">
      <c r="A55" t="inlineStr">
        <is>
          <t>AMD-FWDREG-SSC</t>
        </is>
      </c>
      <c r="B55" t="inlineStr">
        <is>
          <t>Forward Regular OSC</t>
        </is>
      </c>
      <c r="C55" s="5" t="n">
        <v>46102</v>
      </c>
      <c r="D55" s="6">
        <f>Summary!D55*0.05</f>
        <v/>
      </c>
      <c r="E55" s="6">
        <f>Summary!E55*0.05</f>
        <v/>
      </c>
      <c r="F55" s="6">
        <f>Summary!F55*0.05</f>
        <v/>
      </c>
      <c r="G55" s="6">
        <f>Summary!G55*0.05</f>
        <v/>
      </c>
      <c r="H55" s="6">
        <f>Summary!H55*0.05</f>
        <v/>
      </c>
      <c r="I55" s="6">
        <f>Summary!I55*0.05</f>
        <v/>
      </c>
      <c r="J55" s="6">
        <f>Summary!J55*0.05</f>
        <v/>
      </c>
      <c r="K55" s="6">
        <f>Summary!K55*0.05</f>
        <v/>
      </c>
      <c r="L55" s="6">
        <f>Summary!L55*0.05</f>
        <v/>
      </c>
      <c r="M55" s="6">
        <f>Summary!M55*0.05</f>
        <v/>
      </c>
      <c r="N55" s="6">
        <f>Summary!N55*0.05</f>
        <v/>
      </c>
      <c r="O55" s="6">
        <f>Summary!O55*0.05</f>
        <v/>
      </c>
      <c r="P55" s="6">
        <f>Summary!P55*0.05</f>
        <v/>
      </c>
      <c r="Q55" s="6">
        <f>Summary!Q55*0.05</f>
        <v/>
      </c>
      <c r="R55" s="6">
        <f>Summary!R55*0.05</f>
        <v/>
      </c>
      <c r="S55" s="6">
        <f>Summary!S55*0.05</f>
        <v/>
      </c>
      <c r="T55" s="6">
        <f>Summary!T55*0.05</f>
        <v/>
      </c>
      <c r="U55" s="6">
        <f>Summary!U55*0.05</f>
        <v/>
      </c>
      <c r="V55" s="6">
        <f>Summary!V55*0.05</f>
        <v/>
      </c>
      <c r="W55" s="6">
        <f>Summary!W55*0.05</f>
        <v/>
      </c>
      <c r="X55" s="6">
        <f>Summary!X55*0.05</f>
        <v/>
      </c>
      <c r="Y55" s="6">
        <f>Summary!Y55*0.05</f>
        <v/>
      </c>
      <c r="Z55" s="6">
        <f>Summary!Z55*0.05</f>
        <v/>
      </c>
      <c r="AA55" s="6">
        <f>Summary!AA55*0.05</f>
        <v/>
      </c>
      <c r="AB55" s="6">
        <f>SUM(D55:AA55)</f>
        <v/>
      </c>
      <c r="AC55" s="3" t="inlineStr"/>
      <c r="AD55" s="7">
        <f>E55*0.001196975+D55*0.001196975</f>
        <v/>
      </c>
      <c r="AE55" s="7">
        <f>F55*0.001196975+E55*0.001196975</f>
        <v/>
      </c>
      <c r="AF55" s="7">
        <f>G55*0.001196975+F55*0.001196975</f>
        <v/>
      </c>
      <c r="AG55" s="7">
        <f>H55*0.001196975+G55*0.001196975</f>
        <v/>
      </c>
      <c r="AH55" s="7">
        <f>I55*0.001196975+H55*0.001196975</f>
        <v/>
      </c>
      <c r="AI55" s="7">
        <f>J55*0.001196975+I55*0.001196975</f>
        <v/>
      </c>
      <c r="AJ55" s="7">
        <f>K55*0.001196975+J55*0.001196975</f>
        <v/>
      </c>
      <c r="AK55" s="7">
        <f>L55*0.001196975+K55*0.001196975</f>
        <v/>
      </c>
      <c r="AL55" s="7">
        <f>M55*0.001196975+L55*0.001196975</f>
        <v/>
      </c>
      <c r="AM55" s="7">
        <f>N55*0.001196975+M55*0.001196975</f>
        <v/>
      </c>
      <c r="AN55" s="7">
        <f>O55*0.001196975+N55*0.001196975</f>
        <v/>
      </c>
      <c r="AO55" s="7">
        <f>P55*0.001196975+O55*0.001196975</f>
        <v/>
      </c>
      <c r="AP55" s="7">
        <f>Q55*0.001196975+P55*0.001196975</f>
        <v/>
      </c>
      <c r="AQ55" s="7">
        <f>R55*0.001196975+Q55*0.001196975</f>
        <v/>
      </c>
      <c r="AR55" s="7">
        <f>S55*0.001196975+R55*0.001196975</f>
        <v/>
      </c>
      <c r="AS55" s="7">
        <f>T55*0.001196975+S55*0.001196975</f>
        <v/>
      </c>
      <c r="AT55" s="7">
        <f>U55*0.001196975+T55*0.001196975</f>
        <v/>
      </c>
      <c r="AU55" s="7">
        <f>V55*0.001196975+U55*0.001196975</f>
        <v/>
      </c>
      <c r="AV55" s="7">
        <f>W55*0.001196975+V55*0.001196975</f>
        <v/>
      </c>
      <c r="AW55" s="7">
        <f>X55*0.001196975+W55*0.001196975</f>
        <v/>
      </c>
      <c r="AX55" s="7">
        <f>Y55*0.001196975+X55*0.001196975</f>
        <v/>
      </c>
      <c r="AY55" s="7">
        <f>Z55*0.001196975+Y55*0.001196975</f>
        <v/>
      </c>
      <c r="AZ55" s="7">
        <f>AA55*0.001196975+Z55*0.001196975</f>
        <v/>
      </c>
      <c r="BA55" s="7">
        <f>D55*0.001196975+AA55*0.001196975</f>
        <v/>
      </c>
      <c r="BB55" s="7">
        <f>SUM(AD55:BA55)</f>
        <v/>
      </c>
    </row>
    <row r="56">
      <c r="A56" t="inlineStr">
        <is>
          <t>AMD-FWDREG-SSC</t>
        </is>
      </c>
      <c r="B56" t="inlineStr">
        <is>
          <t>Forward Regular OSC</t>
        </is>
      </c>
      <c r="C56" s="5" t="n">
        <v>46103</v>
      </c>
      <c r="D56" s="6">
        <f>Summary!D56*0.05</f>
        <v/>
      </c>
      <c r="E56" s="6">
        <f>Summary!E56*0.05</f>
        <v/>
      </c>
      <c r="F56" s="6">
        <f>Summary!F56*0.05</f>
        <v/>
      </c>
      <c r="G56" s="6">
        <f>Summary!G56*0.05</f>
        <v/>
      </c>
      <c r="H56" s="6">
        <f>Summary!H56*0.05</f>
        <v/>
      </c>
      <c r="I56" s="6">
        <f>Summary!I56*0.05</f>
        <v/>
      </c>
      <c r="J56" s="6">
        <f>Summary!J56*0.05</f>
        <v/>
      </c>
      <c r="K56" s="6">
        <f>Summary!K56*0.05</f>
        <v/>
      </c>
      <c r="L56" s="6">
        <f>Summary!L56*0.05</f>
        <v/>
      </c>
      <c r="M56" s="6">
        <f>Summary!M56*0.05</f>
        <v/>
      </c>
      <c r="N56" s="6">
        <f>Summary!N56*0.05</f>
        <v/>
      </c>
      <c r="O56" s="6">
        <f>Summary!O56*0.05</f>
        <v/>
      </c>
      <c r="P56" s="6">
        <f>Summary!P56*0.05</f>
        <v/>
      </c>
      <c r="Q56" s="6">
        <f>Summary!Q56*0.05</f>
        <v/>
      </c>
      <c r="R56" s="6">
        <f>Summary!R56*0.05</f>
        <v/>
      </c>
      <c r="S56" s="6">
        <f>Summary!S56*0.05</f>
        <v/>
      </c>
      <c r="T56" s="6">
        <f>Summary!T56*0.05</f>
        <v/>
      </c>
      <c r="U56" s="6">
        <f>Summary!U56*0.05</f>
        <v/>
      </c>
      <c r="V56" s="6">
        <f>Summary!V56*0.05</f>
        <v/>
      </c>
      <c r="W56" s="6">
        <f>Summary!W56*0.05</f>
        <v/>
      </c>
      <c r="X56" s="6">
        <f>Summary!X56*0.05</f>
        <v/>
      </c>
      <c r="Y56" s="6">
        <f>Summary!Y56*0.05</f>
        <v/>
      </c>
      <c r="Z56" s="6">
        <f>Summary!Z56*0.05</f>
        <v/>
      </c>
      <c r="AA56" s="6">
        <f>Summary!AA56*0.05</f>
        <v/>
      </c>
      <c r="AB56" s="6">
        <f>SUM(D56:AA56)</f>
        <v/>
      </c>
      <c r="AC56" s="3" t="inlineStr"/>
      <c r="AD56" s="7">
        <f>E56*0.001196975+D56*0.001196975</f>
        <v/>
      </c>
      <c r="AE56" s="7">
        <f>F56*0.001196975+E56*0.001196975</f>
        <v/>
      </c>
      <c r="AF56" s="7">
        <f>G56*0.001196975+F56*0.001196975</f>
        <v/>
      </c>
      <c r="AG56" s="7">
        <f>H56*0.001196975+G56*0.001196975</f>
        <v/>
      </c>
      <c r="AH56" s="7">
        <f>I56*0.001196975+H56*0.001196975</f>
        <v/>
      </c>
      <c r="AI56" s="7">
        <f>J56*0.001196975+I56*0.001196975</f>
        <v/>
      </c>
      <c r="AJ56" s="7">
        <f>K56*0.001196975+J56*0.001196975</f>
        <v/>
      </c>
      <c r="AK56" s="7">
        <f>L56*0.001196975+K56*0.001196975</f>
        <v/>
      </c>
      <c r="AL56" s="7">
        <f>M56*0.001196975+L56*0.001196975</f>
        <v/>
      </c>
      <c r="AM56" s="7">
        <f>N56*0.001196975+M56*0.001196975</f>
        <v/>
      </c>
      <c r="AN56" s="7">
        <f>O56*0.001196975+N56*0.001196975</f>
        <v/>
      </c>
      <c r="AO56" s="7">
        <f>P56*0.001196975+O56*0.001196975</f>
        <v/>
      </c>
      <c r="AP56" s="7">
        <f>Q56*0.001196975+P56*0.001196975</f>
        <v/>
      </c>
      <c r="AQ56" s="7">
        <f>R56*0.001196975+Q56*0.001196975</f>
        <v/>
      </c>
      <c r="AR56" s="7">
        <f>S56*0.001196975+R56*0.001196975</f>
        <v/>
      </c>
      <c r="AS56" s="7">
        <f>T56*0.001196975+S56*0.001196975</f>
        <v/>
      </c>
      <c r="AT56" s="7">
        <f>U56*0.001196975+T56*0.001196975</f>
        <v/>
      </c>
      <c r="AU56" s="7">
        <f>V56*0.001196975+U56*0.001196975</f>
        <v/>
      </c>
      <c r="AV56" s="7">
        <f>W56*0.001196975+V56*0.001196975</f>
        <v/>
      </c>
      <c r="AW56" s="7">
        <f>X56*0.001196975+W56*0.001196975</f>
        <v/>
      </c>
      <c r="AX56" s="7">
        <f>Y56*0.001196975+X56*0.001196975</f>
        <v/>
      </c>
      <c r="AY56" s="7">
        <f>Z56*0.001196975+Y56*0.001196975</f>
        <v/>
      </c>
      <c r="AZ56" s="7">
        <f>AA56*0.001196975+Z56*0.001196975</f>
        <v/>
      </c>
      <c r="BA56" s="7">
        <f>D56*0.001196975+AA56*0.001196975</f>
        <v/>
      </c>
      <c r="BB56" s="7">
        <f>SUM(AD56:BA56)</f>
        <v/>
      </c>
    </row>
    <row r="57">
      <c r="A57" t="inlineStr">
        <is>
          <t>AMD-FWDREG-SSC</t>
        </is>
      </c>
      <c r="B57" t="inlineStr">
        <is>
          <t>Forward Regular OSC</t>
        </is>
      </c>
      <c r="C57" s="5" t="n">
        <v>46104</v>
      </c>
      <c r="D57" s="6">
        <f>Summary!D57*0.05</f>
        <v/>
      </c>
      <c r="E57" s="6">
        <f>Summary!E57*0.05</f>
        <v/>
      </c>
      <c r="F57" s="6">
        <f>Summary!F57*0.05</f>
        <v/>
      </c>
      <c r="G57" s="6">
        <f>Summary!G57*0.05</f>
        <v/>
      </c>
      <c r="H57" s="6">
        <f>Summary!H57*0.05</f>
        <v/>
      </c>
      <c r="I57" s="6">
        <f>Summary!I57*0.05</f>
        <v/>
      </c>
      <c r="J57" s="6">
        <f>Summary!J57*0.05</f>
        <v/>
      </c>
      <c r="K57" s="6">
        <f>Summary!K57*0.05</f>
        <v/>
      </c>
      <c r="L57" s="6">
        <f>Summary!L57*0.05</f>
        <v/>
      </c>
      <c r="M57" s="6">
        <f>Summary!M57*0.05</f>
        <v/>
      </c>
      <c r="N57" s="6">
        <f>Summary!N57*0.05</f>
        <v/>
      </c>
      <c r="O57" s="6">
        <f>Summary!O57*0.05</f>
        <v/>
      </c>
      <c r="P57" s="6">
        <f>Summary!P57*0.05</f>
        <v/>
      </c>
      <c r="Q57" s="6">
        <f>Summary!Q57*0.05</f>
        <v/>
      </c>
      <c r="R57" s="6">
        <f>Summary!R57*0.05</f>
        <v/>
      </c>
      <c r="S57" s="6">
        <f>Summary!S57*0.05</f>
        <v/>
      </c>
      <c r="T57" s="6">
        <f>Summary!T57*0.05</f>
        <v/>
      </c>
      <c r="U57" s="6">
        <f>Summary!U57*0.05</f>
        <v/>
      </c>
      <c r="V57" s="6">
        <f>Summary!V57*0.05</f>
        <v/>
      </c>
      <c r="W57" s="6">
        <f>Summary!W57*0.05</f>
        <v/>
      </c>
      <c r="X57" s="6">
        <f>Summary!X57*0.05</f>
        <v/>
      </c>
      <c r="Y57" s="6">
        <f>Summary!Y57*0.05</f>
        <v/>
      </c>
      <c r="Z57" s="6">
        <f>Summary!Z57*0.05</f>
        <v/>
      </c>
      <c r="AA57" s="6">
        <f>Summary!AA57*0.05</f>
        <v/>
      </c>
      <c r="AB57" s="6">
        <f>SUM(D57:AA57)</f>
        <v/>
      </c>
      <c r="AC57" s="3" t="inlineStr"/>
      <c r="AD57" s="7">
        <f>E57*0.001196975+D57*0.001196975</f>
        <v/>
      </c>
      <c r="AE57" s="7">
        <f>F57*0.001196975+E57*0.001196975</f>
        <v/>
      </c>
      <c r="AF57" s="7">
        <f>G57*0.001196975+F57*0.001196975</f>
        <v/>
      </c>
      <c r="AG57" s="7">
        <f>H57*0.001196975+G57*0.001196975</f>
        <v/>
      </c>
      <c r="AH57" s="7">
        <f>I57*0.001196975+H57*0.001196975</f>
        <v/>
      </c>
      <c r="AI57" s="7">
        <f>J57*0.001196975+I57*0.001196975</f>
        <v/>
      </c>
      <c r="AJ57" s="7">
        <f>K57*0.001196975+J57*0.001196975</f>
        <v/>
      </c>
      <c r="AK57" s="7">
        <f>L57*0.001196975+K57*0.001196975</f>
        <v/>
      </c>
      <c r="AL57" s="7">
        <f>M57*0.001196975+L57*0.001196975</f>
        <v/>
      </c>
      <c r="AM57" s="7">
        <f>N57*0.001196975+M57*0.001196975</f>
        <v/>
      </c>
      <c r="AN57" s="7">
        <f>O57*0.001196975+N57*0.001196975</f>
        <v/>
      </c>
      <c r="AO57" s="7">
        <f>P57*0.001196975+O57*0.001196975</f>
        <v/>
      </c>
      <c r="AP57" s="7">
        <f>Q57*0.001196975+P57*0.001196975</f>
        <v/>
      </c>
      <c r="AQ57" s="7">
        <f>R57*0.001196975+Q57*0.001196975</f>
        <v/>
      </c>
      <c r="AR57" s="7">
        <f>S57*0.001196975+R57*0.001196975</f>
        <v/>
      </c>
      <c r="AS57" s="7">
        <f>T57*0.001196975+S57*0.001196975</f>
        <v/>
      </c>
      <c r="AT57" s="7">
        <f>U57*0.001196975+T57*0.001196975</f>
        <v/>
      </c>
      <c r="AU57" s="7">
        <f>V57*0.001196975+U57*0.001196975</f>
        <v/>
      </c>
      <c r="AV57" s="7">
        <f>W57*0.001196975+V57*0.001196975</f>
        <v/>
      </c>
      <c r="AW57" s="7">
        <f>X57*0.001196975+W57*0.001196975</f>
        <v/>
      </c>
      <c r="AX57" s="7">
        <f>Y57*0.001196975+X57*0.001196975</f>
        <v/>
      </c>
      <c r="AY57" s="7">
        <f>Z57*0.001196975+Y57*0.001196975</f>
        <v/>
      </c>
      <c r="AZ57" s="7">
        <f>AA57*0.001196975+Z57*0.001196975</f>
        <v/>
      </c>
      <c r="BA57" s="7">
        <f>D57*0.001196975+AA57*0.001196975</f>
        <v/>
      </c>
      <c r="BB57" s="7">
        <f>SUM(AD57:BA57)</f>
        <v/>
      </c>
    </row>
    <row r="58">
      <c r="A58" t="inlineStr">
        <is>
          <t>AMD-FWDREG-SSC</t>
        </is>
      </c>
      <c r="B58" t="inlineStr">
        <is>
          <t>Forward Regular OSC</t>
        </is>
      </c>
      <c r="C58" s="5" t="n">
        <v>46105</v>
      </c>
      <c r="D58" s="6">
        <f>Summary!D58*0.05</f>
        <v/>
      </c>
      <c r="E58" s="6">
        <f>Summary!E58*0.05</f>
        <v/>
      </c>
      <c r="F58" s="6">
        <f>Summary!F58*0.05</f>
        <v/>
      </c>
      <c r="G58" s="6">
        <f>Summary!G58*0.05</f>
        <v/>
      </c>
      <c r="H58" s="6">
        <f>Summary!H58*0.05</f>
        <v/>
      </c>
      <c r="I58" s="6">
        <f>Summary!I58*0.05</f>
        <v/>
      </c>
      <c r="J58" s="6">
        <f>Summary!J58*0.05</f>
        <v/>
      </c>
      <c r="K58" s="6">
        <f>Summary!K58*0.05</f>
        <v/>
      </c>
      <c r="L58" s="6">
        <f>Summary!L58*0.05</f>
        <v/>
      </c>
      <c r="M58" s="6">
        <f>Summary!M58*0.05</f>
        <v/>
      </c>
      <c r="N58" s="6">
        <f>Summary!N58*0.05</f>
        <v/>
      </c>
      <c r="O58" s="6">
        <f>Summary!O58*0.05</f>
        <v/>
      </c>
      <c r="P58" s="6">
        <f>Summary!P58*0.05</f>
        <v/>
      </c>
      <c r="Q58" s="6">
        <f>Summary!Q58*0.05</f>
        <v/>
      </c>
      <c r="R58" s="6">
        <f>Summary!R58*0.05</f>
        <v/>
      </c>
      <c r="S58" s="6">
        <f>Summary!S58*0.05</f>
        <v/>
      </c>
      <c r="T58" s="6">
        <f>Summary!T58*0.05</f>
        <v/>
      </c>
      <c r="U58" s="6">
        <f>Summary!U58*0.05</f>
        <v/>
      </c>
      <c r="V58" s="6">
        <f>Summary!V58*0.05</f>
        <v/>
      </c>
      <c r="W58" s="6">
        <f>Summary!W58*0.05</f>
        <v/>
      </c>
      <c r="X58" s="6">
        <f>Summary!X58*0.05</f>
        <v/>
      </c>
      <c r="Y58" s="6">
        <f>Summary!Y58*0.05</f>
        <v/>
      </c>
      <c r="Z58" s="6">
        <f>Summary!Z58*0.05</f>
        <v/>
      </c>
      <c r="AA58" s="6">
        <f>Summary!AA58*0.05</f>
        <v/>
      </c>
      <c r="AB58" s="6">
        <f>SUM(D58:AA58)</f>
        <v/>
      </c>
      <c r="AC58" s="3" t="inlineStr"/>
      <c r="AD58" s="7">
        <f>E58*0.001196975+D58*0.001196975</f>
        <v/>
      </c>
      <c r="AE58" s="7">
        <f>F58*0.001196975+E58*0.001196975</f>
        <v/>
      </c>
      <c r="AF58" s="7">
        <f>G58*0.001196975+F58*0.001196975</f>
        <v/>
      </c>
      <c r="AG58" s="7">
        <f>H58*0.001196975+G58*0.001196975</f>
        <v/>
      </c>
      <c r="AH58" s="7">
        <f>I58*0.001196975+H58*0.001196975</f>
        <v/>
      </c>
      <c r="AI58" s="7">
        <f>J58*0.001196975+I58*0.001196975</f>
        <v/>
      </c>
      <c r="AJ58" s="7">
        <f>K58*0.001196975+J58*0.001196975</f>
        <v/>
      </c>
      <c r="AK58" s="7">
        <f>L58*0.001196975+K58*0.001196975</f>
        <v/>
      </c>
      <c r="AL58" s="7">
        <f>M58*0.001196975+L58*0.001196975</f>
        <v/>
      </c>
      <c r="AM58" s="7">
        <f>N58*0.001196975+M58*0.001196975</f>
        <v/>
      </c>
      <c r="AN58" s="7">
        <f>O58*0.001196975+N58*0.001196975</f>
        <v/>
      </c>
      <c r="AO58" s="7">
        <f>P58*0.001196975+O58*0.001196975</f>
        <v/>
      </c>
      <c r="AP58" s="7">
        <f>Q58*0.001196975+P58*0.001196975</f>
        <v/>
      </c>
      <c r="AQ58" s="7">
        <f>R58*0.001196975+Q58*0.001196975</f>
        <v/>
      </c>
      <c r="AR58" s="7">
        <f>S58*0.001196975+R58*0.001196975</f>
        <v/>
      </c>
      <c r="AS58" s="7">
        <f>T58*0.001196975+S58*0.001196975</f>
        <v/>
      </c>
      <c r="AT58" s="7">
        <f>U58*0.001196975+T58*0.001196975</f>
        <v/>
      </c>
      <c r="AU58" s="7">
        <f>V58*0.001196975+U58*0.001196975</f>
        <v/>
      </c>
      <c r="AV58" s="7">
        <f>W58*0.001196975+V58*0.001196975</f>
        <v/>
      </c>
      <c r="AW58" s="7">
        <f>X58*0.001196975+W58*0.001196975</f>
        <v/>
      </c>
      <c r="AX58" s="7">
        <f>Y58*0.001196975+X58*0.001196975</f>
        <v/>
      </c>
      <c r="AY58" s="7">
        <f>Z58*0.001196975+Y58*0.001196975</f>
        <v/>
      </c>
      <c r="AZ58" s="7">
        <f>AA58*0.001196975+Z58*0.001196975</f>
        <v/>
      </c>
      <c r="BA58" s="7">
        <f>D58*0.001196975+AA58*0.001196975</f>
        <v/>
      </c>
      <c r="BB58" s="7">
        <f>SUM(AD58:BA58)</f>
        <v/>
      </c>
    </row>
    <row r="59">
      <c r="A59" t="inlineStr">
        <is>
          <t>AMD-INTRA-SSC</t>
        </is>
      </c>
      <c r="B59" t="inlineStr">
        <is>
          <t>Forward Regular OSC</t>
        </is>
      </c>
      <c r="C59" s="5" t="n">
        <v>46098</v>
      </c>
      <c r="D59" s="6">
        <f>Summary!D59*0.05</f>
        <v/>
      </c>
      <c r="E59" s="6">
        <f>Summary!E59*0.05</f>
        <v/>
      </c>
      <c r="F59" s="6">
        <f>Summary!F59*0.05</f>
        <v/>
      </c>
      <c r="G59" s="6">
        <f>Summary!G59*0.05</f>
        <v/>
      </c>
      <c r="H59" s="6">
        <f>Summary!H59*0.05</f>
        <v/>
      </c>
      <c r="I59" s="6">
        <f>Summary!I59*0.05</f>
        <v/>
      </c>
      <c r="J59" s="6">
        <f>Summary!J59*0.05</f>
        <v/>
      </c>
      <c r="K59" s="6">
        <f>Summary!K59*0.05</f>
        <v/>
      </c>
      <c r="L59" s="6">
        <f>Summary!L59*0.05</f>
        <v/>
      </c>
      <c r="M59" s="6">
        <f>Summary!M59*0.05</f>
        <v/>
      </c>
      <c r="N59" s="6">
        <f>Summary!N59*0.05</f>
        <v/>
      </c>
      <c r="O59" s="6">
        <f>Summary!O59*0.05</f>
        <v/>
      </c>
      <c r="P59" s="6">
        <f>Summary!P59*0.05</f>
        <v/>
      </c>
      <c r="Q59" s="6">
        <f>Summary!Q59*0.05</f>
        <v/>
      </c>
      <c r="R59" s="6">
        <f>Summary!R59*0.05</f>
        <v/>
      </c>
      <c r="S59" s="6">
        <f>Summary!S59*0.05</f>
        <v/>
      </c>
      <c r="T59" s="6">
        <f>Summary!T59*0.05</f>
        <v/>
      </c>
      <c r="U59" s="6">
        <f>Summary!U59*0.05</f>
        <v/>
      </c>
      <c r="V59" s="6">
        <f>Summary!V59*0.05</f>
        <v/>
      </c>
      <c r="W59" s="6">
        <f>Summary!W59*0.05</f>
        <v/>
      </c>
      <c r="X59" s="6">
        <f>Summary!X59*0.05</f>
        <v/>
      </c>
      <c r="Y59" s="6">
        <f>Summary!Y59*0.05</f>
        <v/>
      </c>
      <c r="Z59" s="6">
        <f>Summary!Z59*0.05</f>
        <v/>
      </c>
      <c r="AA59" s="6">
        <f>Summary!AA59*0.05</f>
        <v/>
      </c>
      <c r="AB59" s="6">
        <f>SUM(D59:AA59)</f>
        <v/>
      </c>
      <c r="AC59" s="3" t="inlineStr"/>
      <c r="AD59" s="7">
        <f>E59*0.001196975+D59*0.001196975</f>
        <v/>
      </c>
      <c r="AE59" s="7">
        <f>F59*0.001196975+E59*0.001196975</f>
        <v/>
      </c>
      <c r="AF59" s="7">
        <f>G59*0.001196975+F59*0.001196975</f>
        <v/>
      </c>
      <c r="AG59" s="7">
        <f>H59*0.001196975+G59*0.001196975</f>
        <v/>
      </c>
      <c r="AH59" s="7">
        <f>I59*0.001196975+H59*0.001196975</f>
        <v/>
      </c>
      <c r="AI59" s="7">
        <f>J59*0.001196975+I59*0.001196975</f>
        <v/>
      </c>
      <c r="AJ59" s="7">
        <f>K59*0.001196975+J59*0.001196975</f>
        <v/>
      </c>
      <c r="AK59" s="7">
        <f>L59*0.001196975+K59*0.001196975</f>
        <v/>
      </c>
      <c r="AL59" s="7">
        <f>M59*0.001196975+L59*0.001196975</f>
        <v/>
      </c>
      <c r="AM59" s="7">
        <f>N59*0.001196975+M59*0.001196975</f>
        <v/>
      </c>
      <c r="AN59" s="7">
        <f>O59*0.001196975+N59*0.001196975</f>
        <v/>
      </c>
      <c r="AO59" s="7">
        <f>P59*0.001196975+O59*0.001196975</f>
        <v/>
      </c>
      <c r="AP59" s="7">
        <f>Q59*0.001196975+P59*0.001196975</f>
        <v/>
      </c>
      <c r="AQ59" s="7">
        <f>R59*0.001196975+Q59*0.001196975</f>
        <v/>
      </c>
      <c r="AR59" s="7">
        <f>S59*0.001196975+R59*0.001196975</f>
        <v/>
      </c>
      <c r="AS59" s="7">
        <f>T59*0.001196975+S59*0.001196975</f>
        <v/>
      </c>
      <c r="AT59" s="7">
        <f>U59*0.001196975+T59*0.001196975</f>
        <v/>
      </c>
      <c r="AU59" s="7">
        <f>V59*0.001196975+U59*0.001196975</f>
        <v/>
      </c>
      <c r="AV59" s="7">
        <f>W59*0.001196975+V59*0.001196975</f>
        <v/>
      </c>
      <c r="AW59" s="7">
        <f>X59*0.001196975+W59*0.001196975</f>
        <v/>
      </c>
      <c r="AX59" s="7">
        <f>Y59*0.001196975+X59*0.001196975</f>
        <v/>
      </c>
      <c r="AY59" s="7">
        <f>Z59*0.001196975+Y59*0.001196975</f>
        <v/>
      </c>
      <c r="AZ59" s="7">
        <f>AA59*0.001196975+Z59*0.001196975</f>
        <v/>
      </c>
      <c r="BA59" s="7">
        <f>D59*0.001196975+AA59*0.001196975</f>
        <v/>
      </c>
      <c r="BB59" s="7">
        <f>SUM(AD59:BA59)</f>
        <v/>
      </c>
    </row>
    <row r="60">
      <c r="A60" t="inlineStr">
        <is>
          <t>AMD-INTRA-SSC</t>
        </is>
      </c>
      <c r="B60" t="inlineStr">
        <is>
          <t>Forward Regular OSC</t>
        </is>
      </c>
      <c r="C60" s="5" t="n">
        <v>46099</v>
      </c>
      <c r="D60" s="6">
        <f>Summary!D60*0.05</f>
        <v/>
      </c>
      <c r="E60" s="6">
        <f>Summary!E60*0.05</f>
        <v/>
      </c>
      <c r="F60" s="6">
        <f>Summary!F60*0.05</f>
        <v/>
      </c>
      <c r="G60" s="6">
        <f>Summary!G60*0.05</f>
        <v/>
      </c>
      <c r="H60" s="6">
        <f>Summary!H60*0.05</f>
        <v/>
      </c>
      <c r="I60" s="6">
        <f>Summary!I60*0.05</f>
        <v/>
      </c>
      <c r="J60" s="6">
        <f>Summary!J60*0.05</f>
        <v/>
      </c>
      <c r="K60" s="6">
        <f>Summary!K60*0.05</f>
        <v/>
      </c>
      <c r="L60" s="6">
        <f>Summary!L60*0.05</f>
        <v/>
      </c>
      <c r="M60" s="6">
        <f>Summary!M60*0.05</f>
        <v/>
      </c>
      <c r="N60" s="6">
        <f>Summary!N60*0.05</f>
        <v/>
      </c>
      <c r="O60" s="6">
        <f>Summary!O60*0.05</f>
        <v/>
      </c>
      <c r="P60" s="6">
        <f>Summary!P60*0.05</f>
        <v/>
      </c>
      <c r="Q60" s="6">
        <f>Summary!Q60*0.05</f>
        <v/>
      </c>
      <c r="R60" s="6">
        <f>Summary!R60*0.05</f>
        <v/>
      </c>
      <c r="S60" s="6">
        <f>Summary!S60*0.05</f>
        <v/>
      </c>
      <c r="T60" s="6">
        <f>Summary!T60*0.05</f>
        <v/>
      </c>
      <c r="U60" s="6">
        <f>Summary!U60*0.05</f>
        <v/>
      </c>
      <c r="V60" s="6">
        <f>Summary!V60*0.05</f>
        <v/>
      </c>
      <c r="W60" s="6">
        <f>Summary!W60*0.05</f>
        <v/>
      </c>
      <c r="X60" s="6">
        <f>Summary!X60*0.05</f>
        <v/>
      </c>
      <c r="Y60" s="6">
        <f>Summary!Y60*0.05</f>
        <v/>
      </c>
      <c r="Z60" s="6">
        <f>Summary!Z60*0.05</f>
        <v/>
      </c>
      <c r="AA60" s="6">
        <f>Summary!AA60*0.05</f>
        <v/>
      </c>
      <c r="AB60" s="6">
        <f>SUM(D60:AA60)</f>
        <v/>
      </c>
      <c r="AC60" s="3" t="inlineStr"/>
      <c r="AD60" s="7">
        <f>E60*0.001196975+D60*0.001196975</f>
        <v/>
      </c>
      <c r="AE60" s="7">
        <f>F60*0.001196975+E60*0.001196975</f>
        <v/>
      </c>
      <c r="AF60" s="7">
        <f>G60*0.001196975+F60*0.001196975</f>
        <v/>
      </c>
      <c r="AG60" s="7">
        <f>H60*0.001196975+G60*0.001196975</f>
        <v/>
      </c>
      <c r="AH60" s="7">
        <f>I60*0.001196975+H60*0.001196975</f>
        <v/>
      </c>
      <c r="AI60" s="7">
        <f>J60*0.001196975+I60*0.001196975</f>
        <v/>
      </c>
      <c r="AJ60" s="7">
        <f>K60*0.001196975+J60*0.001196975</f>
        <v/>
      </c>
      <c r="AK60" s="7">
        <f>L60*0.001196975+K60*0.001196975</f>
        <v/>
      </c>
      <c r="AL60" s="7">
        <f>M60*0.001196975+L60*0.001196975</f>
        <v/>
      </c>
      <c r="AM60" s="7">
        <f>N60*0.001196975+M60*0.001196975</f>
        <v/>
      </c>
      <c r="AN60" s="7">
        <f>O60*0.001196975+N60*0.001196975</f>
        <v/>
      </c>
      <c r="AO60" s="7">
        <f>P60*0.001196975+O60*0.001196975</f>
        <v/>
      </c>
      <c r="AP60" s="7">
        <f>Q60*0.001196975+P60*0.001196975</f>
        <v/>
      </c>
      <c r="AQ60" s="7">
        <f>R60*0.001196975+Q60*0.001196975</f>
        <v/>
      </c>
      <c r="AR60" s="7">
        <f>S60*0.001196975+R60*0.001196975</f>
        <v/>
      </c>
      <c r="AS60" s="7">
        <f>T60*0.001196975+S60*0.001196975</f>
        <v/>
      </c>
      <c r="AT60" s="7">
        <f>U60*0.001196975+T60*0.001196975</f>
        <v/>
      </c>
      <c r="AU60" s="7">
        <f>V60*0.001196975+U60*0.001196975</f>
        <v/>
      </c>
      <c r="AV60" s="7">
        <f>W60*0.001196975+V60*0.001196975</f>
        <v/>
      </c>
      <c r="AW60" s="7">
        <f>X60*0.001196975+W60*0.001196975</f>
        <v/>
      </c>
      <c r="AX60" s="7">
        <f>Y60*0.001196975+X60*0.001196975</f>
        <v/>
      </c>
      <c r="AY60" s="7">
        <f>Z60*0.001196975+Y60*0.001196975</f>
        <v/>
      </c>
      <c r="AZ60" s="7">
        <f>AA60*0.001196975+Z60*0.001196975</f>
        <v/>
      </c>
      <c r="BA60" s="7">
        <f>D60*0.001196975+AA60*0.001196975</f>
        <v/>
      </c>
      <c r="BB60" s="7">
        <f>SUM(AD60:BA60)</f>
        <v/>
      </c>
    </row>
    <row r="61">
      <c r="A61" t="inlineStr">
        <is>
          <t>AMD-INTRA-SSC</t>
        </is>
      </c>
      <c r="B61" t="inlineStr">
        <is>
          <t>Forward Regular OSC</t>
        </is>
      </c>
      <c r="C61" s="5" t="n">
        <v>46100</v>
      </c>
      <c r="D61" s="6">
        <f>Summary!D61*0.05</f>
        <v/>
      </c>
      <c r="E61" s="6">
        <f>Summary!E61*0.05</f>
        <v/>
      </c>
      <c r="F61" s="6">
        <f>Summary!F61*0.05</f>
        <v/>
      </c>
      <c r="G61" s="6">
        <f>Summary!G61*0.05</f>
        <v/>
      </c>
      <c r="H61" s="6">
        <f>Summary!H61*0.05</f>
        <v/>
      </c>
      <c r="I61" s="6">
        <f>Summary!I61*0.05</f>
        <v/>
      </c>
      <c r="J61" s="6">
        <f>Summary!J61*0.05</f>
        <v/>
      </c>
      <c r="K61" s="6">
        <f>Summary!K61*0.05</f>
        <v/>
      </c>
      <c r="L61" s="6">
        <f>Summary!L61*0.05</f>
        <v/>
      </c>
      <c r="M61" s="6">
        <f>Summary!M61*0.05</f>
        <v/>
      </c>
      <c r="N61" s="6">
        <f>Summary!N61*0.05</f>
        <v/>
      </c>
      <c r="O61" s="6">
        <f>Summary!O61*0.05</f>
        <v/>
      </c>
      <c r="P61" s="6">
        <f>Summary!P61*0.05</f>
        <v/>
      </c>
      <c r="Q61" s="6">
        <f>Summary!Q61*0.05</f>
        <v/>
      </c>
      <c r="R61" s="6">
        <f>Summary!R61*0.05</f>
        <v/>
      </c>
      <c r="S61" s="6">
        <f>Summary!S61*0.05</f>
        <v/>
      </c>
      <c r="T61" s="6">
        <f>Summary!T61*0.05</f>
        <v/>
      </c>
      <c r="U61" s="6">
        <f>Summary!U61*0.05</f>
        <v/>
      </c>
      <c r="V61" s="6">
        <f>Summary!V61*0.05</f>
        <v/>
      </c>
      <c r="W61" s="6">
        <f>Summary!W61*0.05</f>
        <v/>
      </c>
      <c r="X61" s="6">
        <f>Summary!X61*0.05</f>
        <v/>
      </c>
      <c r="Y61" s="6">
        <f>Summary!Y61*0.05</f>
        <v/>
      </c>
      <c r="Z61" s="6">
        <f>Summary!Z61*0.05</f>
        <v/>
      </c>
      <c r="AA61" s="6">
        <f>Summary!AA61*0.05</f>
        <v/>
      </c>
      <c r="AB61" s="6">
        <f>SUM(D61:AA61)</f>
        <v/>
      </c>
      <c r="AC61" s="3" t="inlineStr"/>
      <c r="AD61" s="7">
        <f>E61*0.001196975+D61*0.001196975</f>
        <v/>
      </c>
      <c r="AE61" s="7">
        <f>F61*0.001196975+E61*0.001196975</f>
        <v/>
      </c>
      <c r="AF61" s="7">
        <f>G61*0.001196975+F61*0.001196975</f>
        <v/>
      </c>
      <c r="AG61" s="7">
        <f>H61*0.001196975+G61*0.001196975</f>
        <v/>
      </c>
      <c r="AH61" s="7">
        <f>I61*0.001196975+H61*0.001196975</f>
        <v/>
      </c>
      <c r="AI61" s="7">
        <f>J61*0.001196975+I61*0.001196975</f>
        <v/>
      </c>
      <c r="AJ61" s="7">
        <f>K61*0.001196975+J61*0.001196975</f>
        <v/>
      </c>
      <c r="AK61" s="7">
        <f>L61*0.001196975+K61*0.001196975</f>
        <v/>
      </c>
      <c r="AL61" s="7">
        <f>M61*0.001196975+L61*0.001196975</f>
        <v/>
      </c>
      <c r="AM61" s="7">
        <f>N61*0.001196975+M61*0.001196975</f>
        <v/>
      </c>
      <c r="AN61" s="7">
        <f>O61*0.001196975+N61*0.001196975</f>
        <v/>
      </c>
      <c r="AO61" s="7">
        <f>P61*0.001196975+O61*0.001196975</f>
        <v/>
      </c>
      <c r="AP61" s="7">
        <f>Q61*0.001196975+P61*0.001196975</f>
        <v/>
      </c>
      <c r="AQ61" s="7">
        <f>R61*0.001196975+Q61*0.001196975</f>
        <v/>
      </c>
      <c r="AR61" s="7">
        <f>S61*0.001196975+R61*0.001196975</f>
        <v/>
      </c>
      <c r="AS61" s="7">
        <f>T61*0.001196975+S61*0.001196975</f>
        <v/>
      </c>
      <c r="AT61" s="7">
        <f>U61*0.001196975+T61*0.001196975</f>
        <v/>
      </c>
      <c r="AU61" s="7">
        <f>V61*0.001196975+U61*0.001196975</f>
        <v/>
      </c>
      <c r="AV61" s="7">
        <f>W61*0.001196975+V61*0.001196975</f>
        <v/>
      </c>
      <c r="AW61" s="7">
        <f>X61*0.001196975+W61*0.001196975</f>
        <v/>
      </c>
      <c r="AX61" s="7">
        <f>Y61*0.001196975+X61*0.001196975</f>
        <v/>
      </c>
      <c r="AY61" s="7">
        <f>Z61*0.001196975+Y61*0.001196975</f>
        <v/>
      </c>
      <c r="AZ61" s="7">
        <f>AA61*0.001196975+Z61*0.001196975</f>
        <v/>
      </c>
      <c r="BA61" s="7">
        <f>D61*0.001196975+AA61*0.001196975</f>
        <v/>
      </c>
      <c r="BB61" s="7">
        <f>SUM(AD61:BA61)</f>
        <v/>
      </c>
    </row>
    <row r="62">
      <c r="A62" t="inlineStr">
        <is>
          <t>AMD-INTRA-SSC</t>
        </is>
      </c>
      <c r="B62" t="inlineStr">
        <is>
          <t>Forward Regular OSC</t>
        </is>
      </c>
      <c r="C62" s="5" t="n">
        <v>46101</v>
      </c>
      <c r="D62" s="6">
        <f>Summary!D62*0.05</f>
        <v/>
      </c>
      <c r="E62" s="6">
        <f>Summary!E62*0.05</f>
        <v/>
      </c>
      <c r="F62" s="6">
        <f>Summary!F62*0.05</f>
        <v/>
      </c>
      <c r="G62" s="6">
        <f>Summary!G62*0.05</f>
        <v/>
      </c>
      <c r="H62" s="6">
        <f>Summary!H62*0.05</f>
        <v/>
      </c>
      <c r="I62" s="6">
        <f>Summary!I62*0.05</f>
        <v/>
      </c>
      <c r="J62" s="6">
        <f>Summary!J62*0.05</f>
        <v/>
      </c>
      <c r="K62" s="6">
        <f>Summary!K62*0.05</f>
        <v/>
      </c>
      <c r="L62" s="6">
        <f>Summary!L62*0.05</f>
        <v/>
      </c>
      <c r="M62" s="6">
        <f>Summary!M62*0.05</f>
        <v/>
      </c>
      <c r="N62" s="6">
        <f>Summary!N62*0.05</f>
        <v/>
      </c>
      <c r="O62" s="6">
        <f>Summary!O62*0.05</f>
        <v/>
      </c>
      <c r="P62" s="6">
        <f>Summary!P62*0.05</f>
        <v/>
      </c>
      <c r="Q62" s="6">
        <f>Summary!Q62*0.05</f>
        <v/>
      </c>
      <c r="R62" s="6">
        <f>Summary!R62*0.05</f>
        <v/>
      </c>
      <c r="S62" s="6">
        <f>Summary!S62*0.05</f>
        <v/>
      </c>
      <c r="T62" s="6">
        <f>Summary!T62*0.05</f>
        <v/>
      </c>
      <c r="U62" s="6">
        <f>Summary!U62*0.05</f>
        <v/>
      </c>
      <c r="V62" s="6">
        <f>Summary!V62*0.05</f>
        <v/>
      </c>
      <c r="W62" s="6">
        <f>Summary!W62*0.05</f>
        <v/>
      </c>
      <c r="X62" s="6">
        <f>Summary!X62*0.05</f>
        <v/>
      </c>
      <c r="Y62" s="6">
        <f>Summary!Y62*0.05</f>
        <v/>
      </c>
      <c r="Z62" s="6">
        <f>Summary!Z62*0.05</f>
        <v/>
      </c>
      <c r="AA62" s="6">
        <f>Summary!AA62*0.05</f>
        <v/>
      </c>
      <c r="AB62" s="6">
        <f>SUM(D62:AA62)</f>
        <v/>
      </c>
      <c r="AC62" s="3" t="inlineStr"/>
      <c r="AD62" s="7">
        <f>E62*0.001196975+D62*0.001196975</f>
        <v/>
      </c>
      <c r="AE62" s="7">
        <f>F62*0.001196975+E62*0.001196975</f>
        <v/>
      </c>
      <c r="AF62" s="7">
        <f>G62*0.001196975+F62*0.001196975</f>
        <v/>
      </c>
      <c r="AG62" s="7">
        <f>H62*0.001196975+G62*0.001196975</f>
        <v/>
      </c>
      <c r="AH62" s="7">
        <f>I62*0.001196975+H62*0.001196975</f>
        <v/>
      </c>
      <c r="AI62" s="7">
        <f>J62*0.001196975+I62*0.001196975</f>
        <v/>
      </c>
      <c r="AJ62" s="7">
        <f>K62*0.001196975+J62*0.001196975</f>
        <v/>
      </c>
      <c r="AK62" s="7">
        <f>L62*0.001196975+K62*0.001196975</f>
        <v/>
      </c>
      <c r="AL62" s="7">
        <f>M62*0.001196975+L62*0.001196975</f>
        <v/>
      </c>
      <c r="AM62" s="7">
        <f>N62*0.001196975+M62*0.001196975</f>
        <v/>
      </c>
      <c r="AN62" s="7">
        <f>O62*0.001196975+N62*0.001196975</f>
        <v/>
      </c>
      <c r="AO62" s="7">
        <f>P62*0.001196975+O62*0.001196975</f>
        <v/>
      </c>
      <c r="AP62" s="7">
        <f>Q62*0.001196975+P62*0.001196975</f>
        <v/>
      </c>
      <c r="AQ62" s="7">
        <f>R62*0.001196975+Q62*0.001196975</f>
        <v/>
      </c>
      <c r="AR62" s="7">
        <f>S62*0.001196975+R62*0.001196975</f>
        <v/>
      </c>
      <c r="AS62" s="7">
        <f>T62*0.001196975+S62*0.001196975</f>
        <v/>
      </c>
      <c r="AT62" s="7">
        <f>U62*0.001196975+T62*0.001196975</f>
        <v/>
      </c>
      <c r="AU62" s="7">
        <f>V62*0.001196975+U62*0.001196975</f>
        <v/>
      </c>
      <c r="AV62" s="7">
        <f>W62*0.001196975+V62*0.001196975</f>
        <v/>
      </c>
      <c r="AW62" s="7">
        <f>X62*0.001196975+W62*0.001196975</f>
        <v/>
      </c>
      <c r="AX62" s="7">
        <f>Y62*0.001196975+X62*0.001196975</f>
        <v/>
      </c>
      <c r="AY62" s="7">
        <f>Z62*0.001196975+Y62*0.001196975</f>
        <v/>
      </c>
      <c r="AZ62" s="7">
        <f>AA62*0.001196975+Z62*0.001196975</f>
        <v/>
      </c>
      <c r="BA62" s="7">
        <f>D62*0.001196975+AA62*0.001196975</f>
        <v/>
      </c>
      <c r="BB62" s="7">
        <f>SUM(AD62:BA62)</f>
        <v/>
      </c>
    </row>
    <row r="63">
      <c r="A63" t="inlineStr">
        <is>
          <t>AMD-INTRA-SSC</t>
        </is>
      </c>
      <c r="B63" t="inlineStr">
        <is>
          <t>Forward Regular OSC</t>
        </is>
      </c>
      <c r="C63" s="5" t="n">
        <v>46102</v>
      </c>
      <c r="D63" s="6">
        <f>Summary!D63*0.05</f>
        <v/>
      </c>
      <c r="E63" s="6">
        <f>Summary!E63*0.05</f>
        <v/>
      </c>
      <c r="F63" s="6">
        <f>Summary!F63*0.05</f>
        <v/>
      </c>
      <c r="G63" s="6">
        <f>Summary!G63*0.05</f>
        <v/>
      </c>
      <c r="H63" s="6">
        <f>Summary!H63*0.05</f>
        <v/>
      </c>
      <c r="I63" s="6">
        <f>Summary!I63*0.05</f>
        <v/>
      </c>
      <c r="J63" s="6">
        <f>Summary!J63*0.05</f>
        <v/>
      </c>
      <c r="K63" s="6">
        <f>Summary!K63*0.05</f>
        <v/>
      </c>
      <c r="L63" s="6">
        <f>Summary!L63*0.05</f>
        <v/>
      </c>
      <c r="M63" s="6">
        <f>Summary!M63*0.05</f>
        <v/>
      </c>
      <c r="N63" s="6">
        <f>Summary!N63*0.05</f>
        <v/>
      </c>
      <c r="O63" s="6">
        <f>Summary!O63*0.05</f>
        <v/>
      </c>
      <c r="P63" s="6">
        <f>Summary!P63*0.05</f>
        <v/>
      </c>
      <c r="Q63" s="6">
        <f>Summary!Q63*0.05</f>
        <v/>
      </c>
      <c r="R63" s="6">
        <f>Summary!R63*0.05</f>
        <v/>
      </c>
      <c r="S63" s="6">
        <f>Summary!S63*0.05</f>
        <v/>
      </c>
      <c r="T63" s="6">
        <f>Summary!T63*0.05</f>
        <v/>
      </c>
      <c r="U63" s="6">
        <f>Summary!U63*0.05</f>
        <v/>
      </c>
      <c r="V63" s="6">
        <f>Summary!V63*0.05</f>
        <v/>
      </c>
      <c r="W63" s="6">
        <f>Summary!W63*0.05</f>
        <v/>
      </c>
      <c r="X63" s="6">
        <f>Summary!X63*0.05</f>
        <v/>
      </c>
      <c r="Y63" s="6">
        <f>Summary!Y63*0.05</f>
        <v/>
      </c>
      <c r="Z63" s="6">
        <f>Summary!Z63*0.05</f>
        <v/>
      </c>
      <c r="AA63" s="6">
        <f>Summary!AA63*0.05</f>
        <v/>
      </c>
      <c r="AB63" s="6">
        <f>SUM(D63:AA63)</f>
        <v/>
      </c>
      <c r="AC63" s="3" t="inlineStr"/>
      <c r="AD63" s="7">
        <f>E63*0.001196975+D63*0.001196975</f>
        <v/>
      </c>
      <c r="AE63" s="7">
        <f>F63*0.001196975+E63*0.001196975</f>
        <v/>
      </c>
      <c r="AF63" s="7">
        <f>G63*0.001196975+F63*0.001196975</f>
        <v/>
      </c>
      <c r="AG63" s="7">
        <f>H63*0.001196975+G63*0.001196975</f>
        <v/>
      </c>
      <c r="AH63" s="7">
        <f>I63*0.001196975+H63*0.001196975</f>
        <v/>
      </c>
      <c r="AI63" s="7">
        <f>J63*0.001196975+I63*0.001196975</f>
        <v/>
      </c>
      <c r="AJ63" s="7">
        <f>K63*0.001196975+J63*0.001196975</f>
        <v/>
      </c>
      <c r="AK63" s="7">
        <f>L63*0.001196975+K63*0.001196975</f>
        <v/>
      </c>
      <c r="AL63" s="7">
        <f>M63*0.001196975+L63*0.001196975</f>
        <v/>
      </c>
      <c r="AM63" s="7">
        <f>N63*0.001196975+M63*0.001196975</f>
        <v/>
      </c>
      <c r="AN63" s="7">
        <f>O63*0.001196975+N63*0.001196975</f>
        <v/>
      </c>
      <c r="AO63" s="7">
        <f>P63*0.001196975+O63*0.001196975</f>
        <v/>
      </c>
      <c r="AP63" s="7">
        <f>Q63*0.001196975+P63*0.001196975</f>
        <v/>
      </c>
      <c r="AQ63" s="7">
        <f>R63*0.001196975+Q63*0.001196975</f>
        <v/>
      </c>
      <c r="AR63" s="7">
        <f>S63*0.001196975+R63*0.001196975</f>
        <v/>
      </c>
      <c r="AS63" s="7">
        <f>T63*0.001196975+S63*0.001196975</f>
        <v/>
      </c>
      <c r="AT63" s="7">
        <f>U63*0.001196975+T63*0.001196975</f>
        <v/>
      </c>
      <c r="AU63" s="7">
        <f>V63*0.001196975+U63*0.001196975</f>
        <v/>
      </c>
      <c r="AV63" s="7">
        <f>W63*0.001196975+V63*0.001196975</f>
        <v/>
      </c>
      <c r="AW63" s="7">
        <f>X63*0.001196975+W63*0.001196975</f>
        <v/>
      </c>
      <c r="AX63" s="7">
        <f>Y63*0.001196975+X63*0.001196975</f>
        <v/>
      </c>
      <c r="AY63" s="7">
        <f>Z63*0.001196975+Y63*0.001196975</f>
        <v/>
      </c>
      <c r="AZ63" s="7">
        <f>AA63*0.001196975+Z63*0.001196975</f>
        <v/>
      </c>
      <c r="BA63" s="7">
        <f>D63*0.001196975+AA63*0.001196975</f>
        <v/>
      </c>
      <c r="BB63" s="7">
        <f>SUM(AD63:BA63)</f>
        <v/>
      </c>
    </row>
    <row r="64">
      <c r="A64" t="inlineStr">
        <is>
          <t>AMD-INTRA-SSC</t>
        </is>
      </c>
      <c r="B64" t="inlineStr">
        <is>
          <t>Forward Regular OSC</t>
        </is>
      </c>
      <c r="C64" s="5" t="n">
        <v>46103</v>
      </c>
      <c r="D64" s="6">
        <f>Summary!D64*0.05</f>
        <v/>
      </c>
      <c r="E64" s="6">
        <f>Summary!E64*0.05</f>
        <v/>
      </c>
      <c r="F64" s="6">
        <f>Summary!F64*0.05</f>
        <v/>
      </c>
      <c r="G64" s="6">
        <f>Summary!G64*0.05</f>
        <v/>
      </c>
      <c r="H64" s="6">
        <f>Summary!H64*0.05</f>
        <v/>
      </c>
      <c r="I64" s="6">
        <f>Summary!I64*0.05</f>
        <v/>
      </c>
      <c r="J64" s="6">
        <f>Summary!J64*0.05</f>
        <v/>
      </c>
      <c r="K64" s="6">
        <f>Summary!K64*0.05</f>
        <v/>
      </c>
      <c r="L64" s="6">
        <f>Summary!L64*0.05</f>
        <v/>
      </c>
      <c r="M64" s="6">
        <f>Summary!M64*0.05</f>
        <v/>
      </c>
      <c r="N64" s="6">
        <f>Summary!N64*0.05</f>
        <v/>
      </c>
      <c r="O64" s="6">
        <f>Summary!O64*0.05</f>
        <v/>
      </c>
      <c r="P64" s="6">
        <f>Summary!P64*0.05</f>
        <v/>
      </c>
      <c r="Q64" s="6">
        <f>Summary!Q64*0.05</f>
        <v/>
      </c>
      <c r="R64" s="6">
        <f>Summary!R64*0.05</f>
        <v/>
      </c>
      <c r="S64" s="6">
        <f>Summary!S64*0.05</f>
        <v/>
      </c>
      <c r="T64" s="6">
        <f>Summary!T64*0.05</f>
        <v/>
      </c>
      <c r="U64" s="6">
        <f>Summary!U64*0.05</f>
        <v/>
      </c>
      <c r="V64" s="6">
        <f>Summary!V64*0.05</f>
        <v/>
      </c>
      <c r="W64" s="6">
        <f>Summary!W64*0.05</f>
        <v/>
      </c>
      <c r="X64" s="6">
        <f>Summary!X64*0.05</f>
        <v/>
      </c>
      <c r="Y64" s="6">
        <f>Summary!Y64*0.05</f>
        <v/>
      </c>
      <c r="Z64" s="6">
        <f>Summary!Z64*0.05</f>
        <v/>
      </c>
      <c r="AA64" s="6">
        <f>Summary!AA64*0.05</f>
        <v/>
      </c>
      <c r="AB64" s="6">
        <f>SUM(D64:AA64)</f>
        <v/>
      </c>
      <c r="AC64" s="3" t="inlineStr"/>
      <c r="AD64" s="7">
        <f>E64*0.001196975+D64*0.001196975</f>
        <v/>
      </c>
      <c r="AE64" s="7">
        <f>F64*0.001196975+E64*0.001196975</f>
        <v/>
      </c>
      <c r="AF64" s="7">
        <f>G64*0.001196975+F64*0.001196975</f>
        <v/>
      </c>
      <c r="AG64" s="7">
        <f>H64*0.001196975+G64*0.001196975</f>
        <v/>
      </c>
      <c r="AH64" s="7">
        <f>I64*0.001196975+H64*0.001196975</f>
        <v/>
      </c>
      <c r="AI64" s="7">
        <f>J64*0.001196975+I64*0.001196975</f>
        <v/>
      </c>
      <c r="AJ64" s="7">
        <f>K64*0.001196975+J64*0.001196975</f>
        <v/>
      </c>
      <c r="AK64" s="7">
        <f>L64*0.001196975+K64*0.001196975</f>
        <v/>
      </c>
      <c r="AL64" s="7">
        <f>M64*0.001196975+L64*0.001196975</f>
        <v/>
      </c>
      <c r="AM64" s="7">
        <f>N64*0.001196975+M64*0.001196975</f>
        <v/>
      </c>
      <c r="AN64" s="7">
        <f>O64*0.001196975+N64*0.001196975</f>
        <v/>
      </c>
      <c r="AO64" s="7">
        <f>P64*0.001196975+O64*0.001196975</f>
        <v/>
      </c>
      <c r="AP64" s="7">
        <f>Q64*0.001196975+P64*0.001196975</f>
        <v/>
      </c>
      <c r="AQ64" s="7">
        <f>R64*0.001196975+Q64*0.001196975</f>
        <v/>
      </c>
      <c r="AR64" s="7">
        <f>S64*0.001196975+R64*0.001196975</f>
        <v/>
      </c>
      <c r="AS64" s="7">
        <f>T64*0.001196975+S64*0.001196975</f>
        <v/>
      </c>
      <c r="AT64" s="7">
        <f>U64*0.001196975+T64*0.001196975</f>
        <v/>
      </c>
      <c r="AU64" s="7">
        <f>V64*0.001196975+U64*0.001196975</f>
        <v/>
      </c>
      <c r="AV64" s="7">
        <f>W64*0.001196975+V64*0.001196975</f>
        <v/>
      </c>
      <c r="AW64" s="7">
        <f>X64*0.001196975+W64*0.001196975</f>
        <v/>
      </c>
      <c r="AX64" s="7">
        <f>Y64*0.001196975+X64*0.001196975</f>
        <v/>
      </c>
      <c r="AY64" s="7">
        <f>Z64*0.001196975+Y64*0.001196975</f>
        <v/>
      </c>
      <c r="AZ64" s="7">
        <f>AA64*0.001196975+Z64*0.001196975</f>
        <v/>
      </c>
      <c r="BA64" s="7">
        <f>D64*0.001196975+AA64*0.001196975</f>
        <v/>
      </c>
      <c r="BB64" s="7">
        <f>SUM(AD64:BA64)</f>
        <v/>
      </c>
    </row>
    <row r="65">
      <c r="A65" t="inlineStr">
        <is>
          <t>AMD-INTRA-SSC</t>
        </is>
      </c>
      <c r="B65" t="inlineStr">
        <is>
          <t>Forward Regular OSC</t>
        </is>
      </c>
      <c r="C65" s="5" t="n">
        <v>46104</v>
      </c>
      <c r="D65" s="6">
        <f>Summary!D65*0.05</f>
        <v/>
      </c>
      <c r="E65" s="6">
        <f>Summary!E65*0.05</f>
        <v/>
      </c>
      <c r="F65" s="6">
        <f>Summary!F65*0.05</f>
        <v/>
      </c>
      <c r="G65" s="6">
        <f>Summary!G65*0.05</f>
        <v/>
      </c>
      <c r="H65" s="6">
        <f>Summary!H65*0.05</f>
        <v/>
      </c>
      <c r="I65" s="6">
        <f>Summary!I65*0.05</f>
        <v/>
      </c>
      <c r="J65" s="6">
        <f>Summary!J65*0.05</f>
        <v/>
      </c>
      <c r="K65" s="6">
        <f>Summary!K65*0.05</f>
        <v/>
      </c>
      <c r="L65" s="6">
        <f>Summary!L65*0.05</f>
        <v/>
      </c>
      <c r="M65" s="6">
        <f>Summary!M65*0.05</f>
        <v/>
      </c>
      <c r="N65" s="6">
        <f>Summary!N65*0.05</f>
        <v/>
      </c>
      <c r="O65" s="6">
        <f>Summary!O65*0.05</f>
        <v/>
      </c>
      <c r="P65" s="6">
        <f>Summary!P65*0.05</f>
        <v/>
      </c>
      <c r="Q65" s="6">
        <f>Summary!Q65*0.05</f>
        <v/>
      </c>
      <c r="R65" s="6">
        <f>Summary!R65*0.05</f>
        <v/>
      </c>
      <c r="S65" s="6">
        <f>Summary!S65*0.05</f>
        <v/>
      </c>
      <c r="T65" s="6">
        <f>Summary!T65*0.05</f>
        <v/>
      </c>
      <c r="U65" s="6">
        <f>Summary!U65*0.05</f>
        <v/>
      </c>
      <c r="V65" s="6">
        <f>Summary!V65*0.05</f>
        <v/>
      </c>
      <c r="W65" s="6">
        <f>Summary!W65*0.05</f>
        <v/>
      </c>
      <c r="X65" s="6">
        <f>Summary!X65*0.05</f>
        <v/>
      </c>
      <c r="Y65" s="6">
        <f>Summary!Y65*0.05</f>
        <v/>
      </c>
      <c r="Z65" s="6">
        <f>Summary!Z65*0.05</f>
        <v/>
      </c>
      <c r="AA65" s="6">
        <f>Summary!AA65*0.05</f>
        <v/>
      </c>
      <c r="AB65" s="6">
        <f>SUM(D65:AA65)</f>
        <v/>
      </c>
      <c r="AC65" s="3" t="inlineStr"/>
      <c r="AD65" s="7">
        <f>E65*0.001196975+D65*0.001196975</f>
        <v/>
      </c>
      <c r="AE65" s="7">
        <f>F65*0.001196975+E65*0.001196975</f>
        <v/>
      </c>
      <c r="AF65" s="7">
        <f>G65*0.001196975+F65*0.001196975</f>
        <v/>
      </c>
      <c r="AG65" s="7">
        <f>H65*0.001196975+G65*0.001196975</f>
        <v/>
      </c>
      <c r="AH65" s="7">
        <f>I65*0.001196975+H65*0.001196975</f>
        <v/>
      </c>
      <c r="AI65" s="7">
        <f>J65*0.001196975+I65*0.001196975</f>
        <v/>
      </c>
      <c r="AJ65" s="7">
        <f>K65*0.001196975+J65*0.001196975</f>
        <v/>
      </c>
      <c r="AK65" s="7">
        <f>L65*0.001196975+K65*0.001196975</f>
        <v/>
      </c>
      <c r="AL65" s="7">
        <f>M65*0.001196975+L65*0.001196975</f>
        <v/>
      </c>
      <c r="AM65" s="7">
        <f>N65*0.001196975+M65*0.001196975</f>
        <v/>
      </c>
      <c r="AN65" s="7">
        <f>O65*0.001196975+N65*0.001196975</f>
        <v/>
      </c>
      <c r="AO65" s="7">
        <f>P65*0.001196975+O65*0.001196975</f>
        <v/>
      </c>
      <c r="AP65" s="7">
        <f>Q65*0.001196975+P65*0.001196975</f>
        <v/>
      </c>
      <c r="AQ65" s="7">
        <f>R65*0.001196975+Q65*0.001196975</f>
        <v/>
      </c>
      <c r="AR65" s="7">
        <f>S65*0.001196975+R65*0.001196975</f>
        <v/>
      </c>
      <c r="AS65" s="7">
        <f>T65*0.001196975+S65*0.001196975</f>
        <v/>
      </c>
      <c r="AT65" s="7">
        <f>U65*0.001196975+T65*0.001196975</f>
        <v/>
      </c>
      <c r="AU65" s="7">
        <f>V65*0.001196975+U65*0.001196975</f>
        <v/>
      </c>
      <c r="AV65" s="7">
        <f>W65*0.001196975+V65*0.001196975</f>
        <v/>
      </c>
      <c r="AW65" s="7">
        <f>X65*0.001196975+W65*0.001196975</f>
        <v/>
      </c>
      <c r="AX65" s="7">
        <f>Y65*0.001196975+X65*0.001196975</f>
        <v/>
      </c>
      <c r="AY65" s="7">
        <f>Z65*0.001196975+Y65*0.001196975</f>
        <v/>
      </c>
      <c r="AZ65" s="7">
        <f>AA65*0.001196975+Z65*0.001196975</f>
        <v/>
      </c>
      <c r="BA65" s="7">
        <f>D65*0.001196975+AA65*0.001196975</f>
        <v/>
      </c>
      <c r="BB65" s="7">
        <f>SUM(AD65:BA65)</f>
        <v/>
      </c>
    </row>
    <row r="66">
      <c r="A66" t="inlineStr">
        <is>
          <t>AMD-INTRA-SSC</t>
        </is>
      </c>
      <c r="B66" t="inlineStr">
        <is>
          <t>Forward Regular OSC</t>
        </is>
      </c>
      <c r="C66" s="5" t="n">
        <v>46105</v>
      </c>
      <c r="D66" s="6">
        <f>Summary!D66*0.05</f>
        <v/>
      </c>
      <c r="E66" s="6">
        <f>Summary!E66*0.05</f>
        <v/>
      </c>
      <c r="F66" s="6">
        <f>Summary!F66*0.05</f>
        <v/>
      </c>
      <c r="G66" s="6">
        <f>Summary!G66*0.05</f>
        <v/>
      </c>
      <c r="H66" s="6">
        <f>Summary!H66*0.05</f>
        <v/>
      </c>
      <c r="I66" s="6">
        <f>Summary!I66*0.05</f>
        <v/>
      </c>
      <c r="J66" s="6">
        <f>Summary!J66*0.05</f>
        <v/>
      </c>
      <c r="K66" s="6">
        <f>Summary!K66*0.05</f>
        <v/>
      </c>
      <c r="L66" s="6">
        <f>Summary!L66*0.05</f>
        <v/>
      </c>
      <c r="M66" s="6">
        <f>Summary!M66*0.05</f>
        <v/>
      </c>
      <c r="N66" s="6">
        <f>Summary!N66*0.05</f>
        <v/>
      </c>
      <c r="O66" s="6">
        <f>Summary!O66*0.05</f>
        <v/>
      </c>
      <c r="P66" s="6">
        <f>Summary!P66*0.05</f>
        <v/>
      </c>
      <c r="Q66" s="6">
        <f>Summary!Q66*0.05</f>
        <v/>
      </c>
      <c r="R66" s="6">
        <f>Summary!R66*0.05</f>
        <v/>
      </c>
      <c r="S66" s="6">
        <f>Summary!S66*0.05</f>
        <v/>
      </c>
      <c r="T66" s="6">
        <f>Summary!T66*0.05</f>
        <v/>
      </c>
      <c r="U66" s="6">
        <f>Summary!U66*0.05</f>
        <v/>
      </c>
      <c r="V66" s="6">
        <f>Summary!V66*0.05</f>
        <v/>
      </c>
      <c r="W66" s="6">
        <f>Summary!W66*0.05</f>
        <v/>
      </c>
      <c r="X66" s="6">
        <f>Summary!X66*0.05</f>
        <v/>
      </c>
      <c r="Y66" s="6">
        <f>Summary!Y66*0.05</f>
        <v/>
      </c>
      <c r="Z66" s="6">
        <f>Summary!Z66*0.05</f>
        <v/>
      </c>
      <c r="AA66" s="6">
        <f>Summary!AA66*0.05</f>
        <v/>
      </c>
      <c r="AB66" s="6">
        <f>SUM(D66:AA66)</f>
        <v/>
      </c>
      <c r="AC66" s="3" t="inlineStr"/>
      <c r="AD66" s="7">
        <f>E66*0.001196975+D66*0.001196975</f>
        <v/>
      </c>
      <c r="AE66" s="7">
        <f>F66*0.001196975+E66*0.001196975</f>
        <v/>
      </c>
      <c r="AF66" s="7">
        <f>G66*0.001196975+F66*0.001196975</f>
        <v/>
      </c>
      <c r="AG66" s="7">
        <f>H66*0.001196975+G66*0.001196975</f>
        <v/>
      </c>
      <c r="AH66" s="7">
        <f>I66*0.001196975+H66*0.001196975</f>
        <v/>
      </c>
      <c r="AI66" s="7">
        <f>J66*0.001196975+I66*0.001196975</f>
        <v/>
      </c>
      <c r="AJ66" s="7">
        <f>K66*0.001196975+J66*0.001196975</f>
        <v/>
      </c>
      <c r="AK66" s="7">
        <f>L66*0.001196975+K66*0.001196975</f>
        <v/>
      </c>
      <c r="AL66" s="7">
        <f>M66*0.001196975+L66*0.001196975</f>
        <v/>
      </c>
      <c r="AM66" s="7">
        <f>N66*0.001196975+M66*0.001196975</f>
        <v/>
      </c>
      <c r="AN66" s="7">
        <f>O66*0.001196975+N66*0.001196975</f>
        <v/>
      </c>
      <c r="AO66" s="7">
        <f>P66*0.001196975+O66*0.001196975</f>
        <v/>
      </c>
      <c r="AP66" s="7">
        <f>Q66*0.001196975+P66*0.001196975</f>
        <v/>
      </c>
      <c r="AQ66" s="7">
        <f>R66*0.001196975+Q66*0.001196975</f>
        <v/>
      </c>
      <c r="AR66" s="7">
        <f>S66*0.001196975+R66*0.001196975</f>
        <v/>
      </c>
      <c r="AS66" s="7">
        <f>T66*0.001196975+S66*0.001196975</f>
        <v/>
      </c>
      <c r="AT66" s="7">
        <f>U66*0.001196975+T66*0.001196975</f>
        <v/>
      </c>
      <c r="AU66" s="7">
        <f>V66*0.001196975+U66*0.001196975</f>
        <v/>
      </c>
      <c r="AV66" s="7">
        <f>W66*0.001196975+V66*0.001196975</f>
        <v/>
      </c>
      <c r="AW66" s="7">
        <f>X66*0.001196975+W66*0.001196975</f>
        <v/>
      </c>
      <c r="AX66" s="7">
        <f>Y66*0.001196975+X66*0.001196975</f>
        <v/>
      </c>
      <c r="AY66" s="7">
        <f>Z66*0.001196975+Y66*0.001196975</f>
        <v/>
      </c>
      <c r="AZ66" s="7">
        <f>AA66*0.001196975+Z66*0.001196975</f>
        <v/>
      </c>
      <c r="BA66" s="7">
        <f>D66*0.001196975+AA66*0.001196975</f>
        <v/>
      </c>
      <c r="BB66" s="7">
        <f>SUM(AD66:BA66)</f>
        <v/>
      </c>
    </row>
    <row r="67">
      <c r="A67" t="inlineStr">
        <is>
          <t>AMD-M1</t>
        </is>
      </c>
      <c r="B67" t="inlineStr">
        <is>
          <t>Forward Regular OSC</t>
        </is>
      </c>
      <c r="C67" s="5" t="n">
        <v>46089</v>
      </c>
      <c r="D67" s="6">
        <f>Summary!D67*0.05</f>
        <v/>
      </c>
      <c r="E67" s="6">
        <f>Summary!E67*0.05</f>
        <v/>
      </c>
      <c r="F67" s="6">
        <f>Summary!F67*0.05</f>
        <v/>
      </c>
      <c r="G67" s="6">
        <f>Summary!G67*0.05</f>
        <v/>
      </c>
      <c r="H67" s="6">
        <f>Summary!H67*0.05</f>
        <v/>
      </c>
      <c r="I67" s="6">
        <f>Summary!I67*0.05</f>
        <v/>
      </c>
      <c r="J67" s="6">
        <f>Summary!J67*0.05</f>
        <v/>
      </c>
      <c r="K67" s="6">
        <f>Summary!K67*0.05</f>
        <v/>
      </c>
      <c r="L67" s="6">
        <f>Summary!L67*0.05</f>
        <v/>
      </c>
      <c r="M67" s="6">
        <f>Summary!M67*0.05</f>
        <v/>
      </c>
      <c r="N67" s="6">
        <f>Summary!N67*0.05</f>
        <v/>
      </c>
      <c r="O67" s="6">
        <f>Summary!O67*0.05</f>
        <v/>
      </c>
      <c r="P67" s="6">
        <f>Summary!P67*0.05</f>
        <v/>
      </c>
      <c r="Q67" s="6">
        <f>Summary!Q67*0.05</f>
        <v/>
      </c>
      <c r="R67" s="6">
        <f>Summary!R67*0.05</f>
        <v/>
      </c>
      <c r="S67" s="6">
        <f>Summary!S67*0.05</f>
        <v/>
      </c>
      <c r="T67" s="6">
        <f>Summary!T67*0.05</f>
        <v/>
      </c>
      <c r="U67" s="6">
        <f>Summary!U67*0.05</f>
        <v/>
      </c>
      <c r="V67" s="6">
        <f>Summary!V67*0.05</f>
        <v/>
      </c>
      <c r="W67" s="6">
        <f>Summary!W67*0.05</f>
        <v/>
      </c>
      <c r="X67" s="6">
        <f>Summary!X67*0.05</f>
        <v/>
      </c>
      <c r="Y67" s="6">
        <f>Summary!Y67*0.05</f>
        <v/>
      </c>
      <c r="Z67" s="6">
        <f>Summary!Z67*0.05</f>
        <v/>
      </c>
      <c r="AA67" s="6">
        <f>Summary!AA67*0.05</f>
        <v/>
      </c>
      <c r="AB67" s="6">
        <f>SUM(D67:AA67)</f>
        <v/>
      </c>
      <c r="AC67" s="3" t="inlineStr"/>
      <c r="AD67" s="7">
        <f>E67*0.001196975+D67*0.001196975</f>
        <v/>
      </c>
      <c r="AE67" s="7">
        <f>F67*0.001196975+E67*0.001196975</f>
        <v/>
      </c>
      <c r="AF67" s="7">
        <f>G67*0.001196975+F67*0.001196975</f>
        <v/>
      </c>
      <c r="AG67" s="7">
        <f>H67*0.001196975+G67*0.001196975</f>
        <v/>
      </c>
      <c r="AH67" s="7">
        <f>I67*0.001196975+H67*0.001196975</f>
        <v/>
      </c>
      <c r="AI67" s="7">
        <f>J67*0.001196975+I67*0.001196975</f>
        <v/>
      </c>
      <c r="AJ67" s="7">
        <f>K67*0.001196975+J67*0.001196975</f>
        <v/>
      </c>
      <c r="AK67" s="7">
        <f>L67*0.001196975+K67*0.001196975</f>
        <v/>
      </c>
      <c r="AL67" s="7">
        <f>M67*0.001196975+L67*0.001196975</f>
        <v/>
      </c>
      <c r="AM67" s="7">
        <f>N67*0.001196975+M67*0.001196975</f>
        <v/>
      </c>
      <c r="AN67" s="7">
        <f>O67*0.001196975+N67*0.001196975</f>
        <v/>
      </c>
      <c r="AO67" s="7">
        <f>P67*0.001196975+O67*0.001196975</f>
        <v/>
      </c>
      <c r="AP67" s="7">
        <f>Q67*0.001196975+P67*0.001196975</f>
        <v/>
      </c>
      <c r="AQ67" s="7">
        <f>R67*0.001196975+Q67*0.001196975</f>
        <v/>
      </c>
      <c r="AR67" s="7">
        <f>S67*0.001196975+R67*0.001196975</f>
        <v/>
      </c>
      <c r="AS67" s="7">
        <f>T67*0.001196975+S67*0.001196975</f>
        <v/>
      </c>
      <c r="AT67" s="7">
        <f>U67*0.001196975+T67*0.001196975</f>
        <v/>
      </c>
      <c r="AU67" s="7">
        <f>V67*0.001196975+U67*0.001196975</f>
        <v/>
      </c>
      <c r="AV67" s="7">
        <f>W67*0.001196975+V67*0.001196975</f>
        <v/>
      </c>
      <c r="AW67" s="7">
        <f>X67*0.001196975+W67*0.001196975</f>
        <v/>
      </c>
      <c r="AX67" s="7">
        <f>Y67*0.001196975+X67*0.001196975</f>
        <v/>
      </c>
      <c r="AY67" s="7">
        <f>Z67*0.001196975+Y67*0.001196975</f>
        <v/>
      </c>
      <c r="AZ67" s="7">
        <f>AA67*0.001196975+Z67*0.001196975</f>
        <v/>
      </c>
      <c r="BA67" s="7">
        <f>D67*0.001196975+AA67*0.001196975</f>
        <v/>
      </c>
      <c r="BB67" s="7">
        <f>SUM(AD67:BA67)</f>
        <v/>
      </c>
    </row>
    <row r="68">
      <c r="A68" t="inlineStr">
        <is>
          <t>AMD-M1</t>
        </is>
      </c>
      <c r="B68" t="inlineStr">
        <is>
          <t>Forward Regular OSC</t>
        </is>
      </c>
      <c r="C68" s="5" t="n">
        <v>46090</v>
      </c>
      <c r="D68" s="6">
        <f>Summary!D68*0.05</f>
        <v/>
      </c>
      <c r="E68" s="6">
        <f>Summary!E68*0.05</f>
        <v/>
      </c>
      <c r="F68" s="6">
        <f>Summary!F68*0.05</f>
        <v/>
      </c>
      <c r="G68" s="6">
        <f>Summary!G68*0.05</f>
        <v/>
      </c>
      <c r="H68" s="6">
        <f>Summary!H68*0.05</f>
        <v/>
      </c>
      <c r="I68" s="6">
        <f>Summary!I68*0.05</f>
        <v/>
      </c>
      <c r="J68" s="6">
        <f>Summary!J68*0.05</f>
        <v/>
      </c>
      <c r="K68" s="6">
        <f>Summary!K68*0.05</f>
        <v/>
      </c>
      <c r="L68" s="6">
        <f>Summary!L68*0.05</f>
        <v/>
      </c>
      <c r="M68" s="6">
        <f>Summary!M68*0.05</f>
        <v/>
      </c>
      <c r="N68" s="6">
        <f>Summary!N68*0.05</f>
        <v/>
      </c>
      <c r="O68" s="6">
        <f>Summary!O68*0.05</f>
        <v/>
      </c>
      <c r="P68" s="6">
        <f>Summary!P68*0.05</f>
        <v/>
      </c>
      <c r="Q68" s="6">
        <f>Summary!Q68*0.05</f>
        <v/>
      </c>
      <c r="R68" s="6">
        <f>Summary!R68*0.05</f>
        <v/>
      </c>
      <c r="S68" s="6">
        <f>Summary!S68*0.05</f>
        <v/>
      </c>
      <c r="T68" s="6">
        <f>Summary!T68*0.05</f>
        <v/>
      </c>
      <c r="U68" s="6">
        <f>Summary!U68*0.05</f>
        <v/>
      </c>
      <c r="V68" s="6">
        <f>Summary!V68*0.05</f>
        <v/>
      </c>
      <c r="W68" s="6">
        <f>Summary!W68*0.05</f>
        <v/>
      </c>
      <c r="X68" s="6">
        <f>Summary!X68*0.05</f>
        <v/>
      </c>
      <c r="Y68" s="6">
        <f>Summary!Y68*0.05</f>
        <v/>
      </c>
      <c r="Z68" s="6">
        <f>Summary!Z68*0.05</f>
        <v/>
      </c>
      <c r="AA68" s="6">
        <f>Summary!AA68*0.05</f>
        <v/>
      </c>
      <c r="AB68" s="6">
        <f>SUM(D68:AA68)</f>
        <v/>
      </c>
      <c r="AC68" s="3" t="inlineStr"/>
      <c r="AD68" s="7">
        <f>E68*0.001196975+D68*0.001196975</f>
        <v/>
      </c>
      <c r="AE68" s="7">
        <f>F68*0.001196975+E68*0.001196975</f>
        <v/>
      </c>
      <c r="AF68" s="7">
        <f>G68*0.001196975+F68*0.001196975</f>
        <v/>
      </c>
      <c r="AG68" s="7">
        <f>H68*0.001196975+G68*0.001196975</f>
        <v/>
      </c>
      <c r="AH68" s="7">
        <f>I68*0.001196975+H68*0.001196975</f>
        <v/>
      </c>
      <c r="AI68" s="7">
        <f>J68*0.001196975+I68*0.001196975</f>
        <v/>
      </c>
      <c r="AJ68" s="7">
        <f>K68*0.001196975+J68*0.001196975</f>
        <v/>
      </c>
      <c r="AK68" s="7">
        <f>L68*0.001196975+K68*0.001196975</f>
        <v/>
      </c>
      <c r="AL68" s="7">
        <f>M68*0.001196975+L68*0.001196975</f>
        <v/>
      </c>
      <c r="AM68" s="7">
        <f>N68*0.001196975+M68*0.001196975</f>
        <v/>
      </c>
      <c r="AN68" s="7">
        <f>O68*0.001196975+N68*0.001196975</f>
        <v/>
      </c>
      <c r="AO68" s="7">
        <f>P68*0.001196975+O68*0.001196975</f>
        <v/>
      </c>
      <c r="AP68" s="7">
        <f>Q68*0.001196975+P68*0.001196975</f>
        <v/>
      </c>
      <c r="AQ68" s="7">
        <f>R68*0.001196975+Q68*0.001196975</f>
        <v/>
      </c>
      <c r="AR68" s="7">
        <f>S68*0.001196975+R68*0.001196975</f>
        <v/>
      </c>
      <c r="AS68" s="7">
        <f>T68*0.001196975+S68*0.001196975</f>
        <v/>
      </c>
      <c r="AT68" s="7">
        <f>U68*0.001196975+T68*0.001196975</f>
        <v/>
      </c>
      <c r="AU68" s="7">
        <f>V68*0.001196975+U68*0.001196975</f>
        <v/>
      </c>
      <c r="AV68" s="7">
        <f>W68*0.001196975+V68*0.001196975</f>
        <v/>
      </c>
      <c r="AW68" s="7">
        <f>X68*0.001196975+W68*0.001196975</f>
        <v/>
      </c>
      <c r="AX68" s="7">
        <f>Y68*0.001196975+X68*0.001196975</f>
        <v/>
      </c>
      <c r="AY68" s="7">
        <f>Z68*0.001196975+Y68*0.001196975</f>
        <v/>
      </c>
      <c r="AZ68" s="7">
        <f>AA68*0.001196975+Z68*0.001196975</f>
        <v/>
      </c>
      <c r="BA68" s="7">
        <f>D68*0.001196975+AA68*0.001196975</f>
        <v/>
      </c>
      <c r="BB68" s="7">
        <f>SUM(AD68:BA68)</f>
        <v/>
      </c>
    </row>
    <row r="69">
      <c r="A69" t="inlineStr">
        <is>
          <t>AMD-M1</t>
        </is>
      </c>
      <c r="B69" t="inlineStr">
        <is>
          <t>Forward Regular OSC</t>
        </is>
      </c>
      <c r="C69" s="5" t="n">
        <v>46091</v>
      </c>
      <c r="D69" s="6">
        <f>Summary!D69*0.05</f>
        <v/>
      </c>
      <c r="E69" s="6">
        <f>Summary!E69*0.05</f>
        <v/>
      </c>
      <c r="F69" s="6">
        <f>Summary!F69*0.05</f>
        <v/>
      </c>
      <c r="G69" s="6">
        <f>Summary!G69*0.05</f>
        <v/>
      </c>
      <c r="H69" s="6">
        <f>Summary!H69*0.05</f>
        <v/>
      </c>
      <c r="I69" s="6">
        <f>Summary!I69*0.05</f>
        <v/>
      </c>
      <c r="J69" s="6">
        <f>Summary!J69*0.05</f>
        <v/>
      </c>
      <c r="K69" s="6">
        <f>Summary!K69*0.05</f>
        <v/>
      </c>
      <c r="L69" s="6">
        <f>Summary!L69*0.05</f>
        <v/>
      </c>
      <c r="M69" s="6">
        <f>Summary!M69*0.05</f>
        <v/>
      </c>
      <c r="N69" s="6">
        <f>Summary!N69*0.05</f>
        <v/>
      </c>
      <c r="O69" s="6">
        <f>Summary!O69*0.05</f>
        <v/>
      </c>
      <c r="P69" s="6">
        <f>Summary!P69*0.05</f>
        <v/>
      </c>
      <c r="Q69" s="6">
        <f>Summary!Q69*0.05</f>
        <v/>
      </c>
      <c r="R69" s="6">
        <f>Summary!R69*0.05</f>
        <v/>
      </c>
      <c r="S69" s="6">
        <f>Summary!S69*0.05</f>
        <v/>
      </c>
      <c r="T69" s="6">
        <f>Summary!T69*0.05</f>
        <v/>
      </c>
      <c r="U69" s="6">
        <f>Summary!U69*0.05</f>
        <v/>
      </c>
      <c r="V69" s="6">
        <f>Summary!V69*0.05</f>
        <v/>
      </c>
      <c r="W69" s="6">
        <f>Summary!W69*0.05</f>
        <v/>
      </c>
      <c r="X69" s="6">
        <f>Summary!X69*0.05</f>
        <v/>
      </c>
      <c r="Y69" s="6">
        <f>Summary!Y69*0.05</f>
        <v/>
      </c>
      <c r="Z69" s="6">
        <f>Summary!Z69*0.05</f>
        <v/>
      </c>
      <c r="AA69" s="6">
        <f>Summary!AA69*0.05</f>
        <v/>
      </c>
      <c r="AB69" s="6">
        <f>SUM(D69:AA69)</f>
        <v/>
      </c>
      <c r="AC69" s="3" t="inlineStr"/>
      <c r="AD69" s="7">
        <f>E69*0.001196975+D69*0.001196975</f>
        <v/>
      </c>
      <c r="AE69" s="7">
        <f>F69*0.001196975+E69*0.001196975</f>
        <v/>
      </c>
      <c r="AF69" s="7">
        <f>G69*0.001196975+F69*0.001196975</f>
        <v/>
      </c>
      <c r="AG69" s="7">
        <f>H69*0.001196975+G69*0.001196975</f>
        <v/>
      </c>
      <c r="AH69" s="7">
        <f>I69*0.001196975+H69*0.001196975</f>
        <v/>
      </c>
      <c r="AI69" s="7">
        <f>J69*0.001196975+I69*0.001196975</f>
        <v/>
      </c>
      <c r="AJ69" s="7">
        <f>K69*0.001196975+J69*0.001196975</f>
        <v/>
      </c>
      <c r="AK69" s="7">
        <f>L69*0.001196975+K69*0.001196975</f>
        <v/>
      </c>
      <c r="AL69" s="7">
        <f>M69*0.001196975+L69*0.001196975</f>
        <v/>
      </c>
      <c r="AM69" s="7">
        <f>N69*0.001196975+M69*0.001196975</f>
        <v/>
      </c>
      <c r="AN69" s="7">
        <f>O69*0.001196975+N69*0.001196975</f>
        <v/>
      </c>
      <c r="AO69" s="7">
        <f>P69*0.001196975+O69*0.001196975</f>
        <v/>
      </c>
      <c r="AP69" s="7">
        <f>Q69*0.001196975+P69*0.001196975</f>
        <v/>
      </c>
      <c r="AQ69" s="7">
        <f>R69*0.001196975+Q69*0.001196975</f>
        <v/>
      </c>
      <c r="AR69" s="7">
        <f>S69*0.001196975+R69*0.001196975</f>
        <v/>
      </c>
      <c r="AS69" s="7">
        <f>T69*0.001196975+S69*0.001196975</f>
        <v/>
      </c>
      <c r="AT69" s="7">
        <f>U69*0.001196975+T69*0.001196975</f>
        <v/>
      </c>
      <c r="AU69" s="7">
        <f>V69*0.001196975+U69*0.001196975</f>
        <v/>
      </c>
      <c r="AV69" s="7">
        <f>W69*0.001196975+V69*0.001196975</f>
        <v/>
      </c>
      <c r="AW69" s="7">
        <f>X69*0.001196975+W69*0.001196975</f>
        <v/>
      </c>
      <c r="AX69" s="7">
        <f>Y69*0.001196975+X69*0.001196975</f>
        <v/>
      </c>
      <c r="AY69" s="7">
        <f>Z69*0.001196975+Y69*0.001196975</f>
        <v/>
      </c>
      <c r="AZ69" s="7">
        <f>AA69*0.001196975+Z69*0.001196975</f>
        <v/>
      </c>
      <c r="BA69" s="7">
        <f>D69*0.001196975+AA69*0.001196975</f>
        <v/>
      </c>
      <c r="BB69" s="7">
        <f>SUM(AD69:BA69)</f>
        <v/>
      </c>
    </row>
    <row r="70">
      <c r="A70" t="inlineStr">
        <is>
          <t>AMD-M1</t>
        </is>
      </c>
      <c r="B70" t="inlineStr">
        <is>
          <t>Forward Regular OSC</t>
        </is>
      </c>
      <c r="C70" s="5" t="n">
        <v>46092</v>
      </c>
      <c r="D70" s="6">
        <f>Summary!D70*0.05</f>
        <v/>
      </c>
      <c r="E70" s="6">
        <f>Summary!E70*0.05</f>
        <v/>
      </c>
      <c r="F70" s="6">
        <f>Summary!F70*0.05</f>
        <v/>
      </c>
      <c r="G70" s="6">
        <f>Summary!G70*0.05</f>
        <v/>
      </c>
      <c r="H70" s="6">
        <f>Summary!H70*0.05</f>
        <v/>
      </c>
      <c r="I70" s="6">
        <f>Summary!I70*0.05</f>
        <v/>
      </c>
      <c r="J70" s="6">
        <f>Summary!J70*0.05</f>
        <v/>
      </c>
      <c r="K70" s="6">
        <f>Summary!K70*0.05</f>
        <v/>
      </c>
      <c r="L70" s="6">
        <f>Summary!L70*0.05</f>
        <v/>
      </c>
      <c r="M70" s="6">
        <f>Summary!M70*0.05</f>
        <v/>
      </c>
      <c r="N70" s="6">
        <f>Summary!N70*0.05</f>
        <v/>
      </c>
      <c r="O70" s="6">
        <f>Summary!O70*0.05</f>
        <v/>
      </c>
      <c r="P70" s="6">
        <f>Summary!P70*0.05</f>
        <v/>
      </c>
      <c r="Q70" s="6">
        <f>Summary!Q70*0.05</f>
        <v/>
      </c>
      <c r="R70" s="6">
        <f>Summary!R70*0.05</f>
        <v/>
      </c>
      <c r="S70" s="6">
        <f>Summary!S70*0.05</f>
        <v/>
      </c>
      <c r="T70" s="6">
        <f>Summary!T70*0.05</f>
        <v/>
      </c>
      <c r="U70" s="6">
        <f>Summary!U70*0.05</f>
        <v/>
      </c>
      <c r="V70" s="6">
        <f>Summary!V70*0.05</f>
        <v/>
      </c>
      <c r="W70" s="6">
        <f>Summary!W70*0.05</f>
        <v/>
      </c>
      <c r="X70" s="6">
        <f>Summary!X70*0.05</f>
        <v/>
      </c>
      <c r="Y70" s="6">
        <f>Summary!Y70*0.05</f>
        <v/>
      </c>
      <c r="Z70" s="6">
        <f>Summary!Z70*0.05</f>
        <v/>
      </c>
      <c r="AA70" s="6">
        <f>Summary!AA70*0.05</f>
        <v/>
      </c>
      <c r="AB70" s="6">
        <f>SUM(D70:AA70)</f>
        <v/>
      </c>
      <c r="AC70" s="3" t="inlineStr"/>
      <c r="AD70" s="7">
        <f>E70*0.001196975+D70*0.001196975</f>
        <v/>
      </c>
      <c r="AE70" s="7">
        <f>F70*0.001196975+E70*0.001196975</f>
        <v/>
      </c>
      <c r="AF70" s="7">
        <f>G70*0.001196975+F70*0.001196975</f>
        <v/>
      </c>
      <c r="AG70" s="7">
        <f>H70*0.001196975+G70*0.001196975</f>
        <v/>
      </c>
      <c r="AH70" s="7">
        <f>I70*0.001196975+H70*0.001196975</f>
        <v/>
      </c>
      <c r="AI70" s="7">
        <f>J70*0.001196975+I70*0.001196975</f>
        <v/>
      </c>
      <c r="AJ70" s="7">
        <f>K70*0.001196975+J70*0.001196975</f>
        <v/>
      </c>
      <c r="AK70" s="7">
        <f>L70*0.001196975+K70*0.001196975</f>
        <v/>
      </c>
      <c r="AL70" s="7">
        <f>M70*0.001196975+L70*0.001196975</f>
        <v/>
      </c>
      <c r="AM70" s="7">
        <f>N70*0.001196975+M70*0.001196975</f>
        <v/>
      </c>
      <c r="AN70" s="7">
        <f>O70*0.001196975+N70*0.001196975</f>
        <v/>
      </c>
      <c r="AO70" s="7">
        <f>P70*0.001196975+O70*0.001196975</f>
        <v/>
      </c>
      <c r="AP70" s="7">
        <f>Q70*0.001196975+P70*0.001196975</f>
        <v/>
      </c>
      <c r="AQ70" s="7">
        <f>R70*0.001196975+Q70*0.001196975</f>
        <v/>
      </c>
      <c r="AR70" s="7">
        <f>S70*0.001196975+R70*0.001196975</f>
        <v/>
      </c>
      <c r="AS70" s="7">
        <f>T70*0.001196975+S70*0.001196975</f>
        <v/>
      </c>
      <c r="AT70" s="7">
        <f>U70*0.001196975+T70*0.001196975</f>
        <v/>
      </c>
      <c r="AU70" s="7">
        <f>V70*0.001196975+U70*0.001196975</f>
        <v/>
      </c>
      <c r="AV70" s="7">
        <f>W70*0.001196975+V70*0.001196975</f>
        <v/>
      </c>
      <c r="AW70" s="7">
        <f>X70*0.001196975+W70*0.001196975</f>
        <v/>
      </c>
      <c r="AX70" s="7">
        <f>Y70*0.001196975+X70*0.001196975</f>
        <v/>
      </c>
      <c r="AY70" s="7">
        <f>Z70*0.001196975+Y70*0.001196975</f>
        <v/>
      </c>
      <c r="AZ70" s="7">
        <f>AA70*0.001196975+Z70*0.001196975</f>
        <v/>
      </c>
      <c r="BA70" s="7">
        <f>D70*0.001196975+AA70*0.001196975</f>
        <v/>
      </c>
      <c r="BB70" s="7">
        <f>SUM(AD70:BA70)</f>
        <v/>
      </c>
    </row>
    <row r="71">
      <c r="A71" t="inlineStr">
        <is>
          <t>AMD-M1</t>
        </is>
      </c>
      <c r="B71" t="inlineStr">
        <is>
          <t>Forward Regular OSC</t>
        </is>
      </c>
      <c r="C71" s="5" t="n">
        <v>46093</v>
      </c>
      <c r="D71" s="6">
        <f>Summary!D71*0.05</f>
        <v/>
      </c>
      <c r="E71" s="6">
        <f>Summary!E71*0.05</f>
        <v/>
      </c>
      <c r="F71" s="6">
        <f>Summary!F71*0.05</f>
        <v/>
      </c>
      <c r="G71" s="6">
        <f>Summary!G71*0.05</f>
        <v/>
      </c>
      <c r="H71" s="6">
        <f>Summary!H71*0.05</f>
        <v/>
      </c>
      <c r="I71" s="6">
        <f>Summary!I71*0.05</f>
        <v/>
      </c>
      <c r="J71" s="6">
        <f>Summary!J71*0.05</f>
        <v/>
      </c>
      <c r="K71" s="6">
        <f>Summary!K71*0.05</f>
        <v/>
      </c>
      <c r="L71" s="6">
        <f>Summary!L71*0.05</f>
        <v/>
      </c>
      <c r="M71" s="6">
        <f>Summary!M71*0.05</f>
        <v/>
      </c>
      <c r="N71" s="6">
        <f>Summary!N71*0.05</f>
        <v/>
      </c>
      <c r="O71" s="6">
        <f>Summary!O71*0.05</f>
        <v/>
      </c>
      <c r="P71" s="6">
        <f>Summary!P71*0.05</f>
        <v/>
      </c>
      <c r="Q71" s="6">
        <f>Summary!Q71*0.05</f>
        <v/>
      </c>
      <c r="R71" s="6">
        <f>Summary!R71*0.05</f>
        <v/>
      </c>
      <c r="S71" s="6">
        <f>Summary!S71*0.05</f>
        <v/>
      </c>
      <c r="T71" s="6">
        <f>Summary!T71*0.05</f>
        <v/>
      </c>
      <c r="U71" s="6">
        <f>Summary!U71*0.05</f>
        <v/>
      </c>
      <c r="V71" s="6">
        <f>Summary!V71*0.05</f>
        <v/>
      </c>
      <c r="W71" s="6">
        <f>Summary!W71*0.05</f>
        <v/>
      </c>
      <c r="X71" s="6">
        <f>Summary!X71*0.05</f>
        <v/>
      </c>
      <c r="Y71" s="6">
        <f>Summary!Y71*0.05</f>
        <v/>
      </c>
      <c r="Z71" s="6">
        <f>Summary!Z71*0.05</f>
        <v/>
      </c>
      <c r="AA71" s="6">
        <f>Summary!AA71*0.05</f>
        <v/>
      </c>
      <c r="AB71" s="6">
        <f>SUM(D71:AA71)</f>
        <v/>
      </c>
      <c r="AC71" s="3" t="inlineStr"/>
      <c r="AD71" s="7">
        <f>E71*0.001196975+D71*0.001196975</f>
        <v/>
      </c>
      <c r="AE71" s="7">
        <f>F71*0.001196975+E71*0.001196975</f>
        <v/>
      </c>
      <c r="AF71" s="7">
        <f>G71*0.001196975+F71*0.001196975</f>
        <v/>
      </c>
      <c r="AG71" s="7">
        <f>H71*0.001196975+G71*0.001196975</f>
        <v/>
      </c>
      <c r="AH71" s="7">
        <f>I71*0.001196975+H71*0.001196975</f>
        <v/>
      </c>
      <c r="AI71" s="7">
        <f>J71*0.001196975+I71*0.001196975</f>
        <v/>
      </c>
      <c r="AJ71" s="7">
        <f>K71*0.001196975+J71*0.001196975</f>
        <v/>
      </c>
      <c r="AK71" s="7">
        <f>L71*0.001196975+K71*0.001196975</f>
        <v/>
      </c>
      <c r="AL71" s="7">
        <f>M71*0.001196975+L71*0.001196975</f>
        <v/>
      </c>
      <c r="AM71" s="7">
        <f>N71*0.001196975+M71*0.001196975</f>
        <v/>
      </c>
      <c r="AN71" s="7">
        <f>O71*0.001196975+N71*0.001196975</f>
        <v/>
      </c>
      <c r="AO71" s="7">
        <f>P71*0.001196975+O71*0.001196975</f>
        <v/>
      </c>
      <c r="AP71" s="7">
        <f>Q71*0.001196975+P71*0.001196975</f>
        <v/>
      </c>
      <c r="AQ71" s="7">
        <f>R71*0.001196975+Q71*0.001196975</f>
        <v/>
      </c>
      <c r="AR71" s="7">
        <f>S71*0.001196975+R71*0.001196975</f>
        <v/>
      </c>
      <c r="AS71" s="7">
        <f>T71*0.001196975+S71*0.001196975</f>
        <v/>
      </c>
      <c r="AT71" s="7">
        <f>U71*0.001196975+T71*0.001196975</f>
        <v/>
      </c>
      <c r="AU71" s="7">
        <f>V71*0.001196975+U71*0.001196975</f>
        <v/>
      </c>
      <c r="AV71" s="7">
        <f>W71*0.001196975+V71*0.001196975</f>
        <v/>
      </c>
      <c r="AW71" s="7">
        <f>X71*0.001196975+W71*0.001196975</f>
        <v/>
      </c>
      <c r="AX71" s="7">
        <f>Y71*0.001196975+X71*0.001196975</f>
        <v/>
      </c>
      <c r="AY71" s="7">
        <f>Z71*0.001196975+Y71*0.001196975</f>
        <v/>
      </c>
      <c r="AZ71" s="7">
        <f>AA71*0.001196975+Z71*0.001196975</f>
        <v/>
      </c>
      <c r="BA71" s="7">
        <f>D71*0.001196975+AA71*0.001196975</f>
        <v/>
      </c>
      <c r="BB71" s="7">
        <f>SUM(AD71:BA71)</f>
        <v/>
      </c>
    </row>
    <row r="72">
      <c r="A72" t="inlineStr">
        <is>
          <t>AMD-M1</t>
        </is>
      </c>
      <c r="B72" t="inlineStr">
        <is>
          <t>Forward Regular OSC</t>
        </is>
      </c>
      <c r="C72" s="5" t="n">
        <v>46094</v>
      </c>
      <c r="D72" s="6">
        <f>Summary!D72*0.05</f>
        <v/>
      </c>
      <c r="E72" s="6">
        <f>Summary!E72*0.05</f>
        <v/>
      </c>
      <c r="F72" s="6">
        <f>Summary!F72*0.05</f>
        <v/>
      </c>
      <c r="G72" s="6">
        <f>Summary!G72*0.05</f>
        <v/>
      </c>
      <c r="H72" s="6">
        <f>Summary!H72*0.05</f>
        <v/>
      </c>
      <c r="I72" s="6">
        <f>Summary!I72*0.05</f>
        <v/>
      </c>
      <c r="J72" s="6">
        <f>Summary!J72*0.05</f>
        <v/>
      </c>
      <c r="K72" s="6">
        <f>Summary!K72*0.05</f>
        <v/>
      </c>
      <c r="L72" s="6">
        <f>Summary!L72*0.05</f>
        <v/>
      </c>
      <c r="M72" s="6">
        <f>Summary!M72*0.05</f>
        <v/>
      </c>
      <c r="N72" s="6">
        <f>Summary!N72*0.05</f>
        <v/>
      </c>
      <c r="O72" s="6">
        <f>Summary!O72*0.05</f>
        <v/>
      </c>
      <c r="P72" s="6">
        <f>Summary!P72*0.05</f>
        <v/>
      </c>
      <c r="Q72" s="6">
        <f>Summary!Q72*0.05</f>
        <v/>
      </c>
      <c r="R72" s="6">
        <f>Summary!R72*0.05</f>
        <v/>
      </c>
      <c r="S72" s="6">
        <f>Summary!S72*0.05</f>
        <v/>
      </c>
      <c r="T72" s="6">
        <f>Summary!T72*0.05</f>
        <v/>
      </c>
      <c r="U72" s="6">
        <f>Summary!U72*0.05</f>
        <v/>
      </c>
      <c r="V72" s="6">
        <f>Summary!V72*0.05</f>
        <v/>
      </c>
      <c r="W72" s="6">
        <f>Summary!W72*0.05</f>
        <v/>
      </c>
      <c r="X72" s="6">
        <f>Summary!X72*0.05</f>
        <v/>
      </c>
      <c r="Y72" s="6">
        <f>Summary!Y72*0.05</f>
        <v/>
      </c>
      <c r="Z72" s="6">
        <f>Summary!Z72*0.05</f>
        <v/>
      </c>
      <c r="AA72" s="6">
        <f>Summary!AA72*0.05</f>
        <v/>
      </c>
      <c r="AB72" s="6">
        <f>SUM(D72:AA72)</f>
        <v/>
      </c>
      <c r="AC72" s="3" t="inlineStr"/>
      <c r="AD72" s="7">
        <f>E72*0.001196975+D72*0.001196975</f>
        <v/>
      </c>
      <c r="AE72" s="7">
        <f>F72*0.001196975+E72*0.001196975</f>
        <v/>
      </c>
      <c r="AF72" s="7">
        <f>G72*0.001196975+F72*0.001196975</f>
        <v/>
      </c>
      <c r="AG72" s="7">
        <f>H72*0.001196975+G72*0.001196975</f>
        <v/>
      </c>
      <c r="AH72" s="7">
        <f>I72*0.001196975+H72*0.001196975</f>
        <v/>
      </c>
      <c r="AI72" s="7">
        <f>J72*0.001196975+I72*0.001196975</f>
        <v/>
      </c>
      <c r="AJ72" s="7">
        <f>K72*0.001196975+J72*0.001196975</f>
        <v/>
      </c>
      <c r="AK72" s="7">
        <f>L72*0.001196975+K72*0.001196975</f>
        <v/>
      </c>
      <c r="AL72" s="7">
        <f>M72*0.001196975+L72*0.001196975</f>
        <v/>
      </c>
      <c r="AM72" s="7">
        <f>N72*0.001196975+M72*0.001196975</f>
        <v/>
      </c>
      <c r="AN72" s="7">
        <f>O72*0.001196975+N72*0.001196975</f>
        <v/>
      </c>
      <c r="AO72" s="7">
        <f>P72*0.001196975+O72*0.001196975</f>
        <v/>
      </c>
      <c r="AP72" s="7">
        <f>Q72*0.001196975+P72*0.001196975</f>
        <v/>
      </c>
      <c r="AQ72" s="7">
        <f>R72*0.001196975+Q72*0.001196975</f>
        <v/>
      </c>
      <c r="AR72" s="7">
        <f>S72*0.001196975+R72*0.001196975</f>
        <v/>
      </c>
      <c r="AS72" s="7">
        <f>T72*0.001196975+S72*0.001196975</f>
        <v/>
      </c>
      <c r="AT72" s="7">
        <f>U72*0.001196975+T72*0.001196975</f>
        <v/>
      </c>
      <c r="AU72" s="7">
        <f>V72*0.001196975+U72*0.001196975</f>
        <v/>
      </c>
      <c r="AV72" s="7">
        <f>W72*0.001196975+V72*0.001196975</f>
        <v/>
      </c>
      <c r="AW72" s="7">
        <f>X72*0.001196975+W72*0.001196975</f>
        <v/>
      </c>
      <c r="AX72" s="7">
        <f>Y72*0.001196975+X72*0.001196975</f>
        <v/>
      </c>
      <c r="AY72" s="7">
        <f>Z72*0.001196975+Y72*0.001196975</f>
        <v/>
      </c>
      <c r="AZ72" s="7">
        <f>AA72*0.001196975+Z72*0.001196975</f>
        <v/>
      </c>
      <c r="BA72" s="7">
        <f>D72*0.001196975+AA72*0.001196975</f>
        <v/>
      </c>
      <c r="BB72" s="7">
        <f>SUM(AD72:BA72)</f>
        <v/>
      </c>
    </row>
    <row r="73">
      <c r="A73" t="inlineStr">
        <is>
          <t>AMD-M1</t>
        </is>
      </c>
      <c r="B73" t="inlineStr">
        <is>
          <t>Forward Regular OSC</t>
        </is>
      </c>
      <c r="C73" s="5" t="n">
        <v>46095</v>
      </c>
      <c r="D73" s="6">
        <f>Summary!D73*0.05</f>
        <v/>
      </c>
      <c r="E73" s="6">
        <f>Summary!E73*0.05</f>
        <v/>
      </c>
      <c r="F73" s="6">
        <f>Summary!F73*0.05</f>
        <v/>
      </c>
      <c r="G73" s="6">
        <f>Summary!G73*0.05</f>
        <v/>
      </c>
      <c r="H73" s="6">
        <f>Summary!H73*0.05</f>
        <v/>
      </c>
      <c r="I73" s="6">
        <f>Summary!I73*0.05</f>
        <v/>
      </c>
      <c r="J73" s="6">
        <f>Summary!J73*0.05</f>
        <v/>
      </c>
      <c r="K73" s="6">
        <f>Summary!K73*0.05</f>
        <v/>
      </c>
      <c r="L73" s="6">
        <f>Summary!L73*0.05</f>
        <v/>
      </c>
      <c r="M73" s="6">
        <f>Summary!M73*0.05</f>
        <v/>
      </c>
      <c r="N73" s="6">
        <f>Summary!N73*0.05</f>
        <v/>
      </c>
      <c r="O73" s="6">
        <f>Summary!O73*0.05</f>
        <v/>
      </c>
      <c r="P73" s="6">
        <f>Summary!P73*0.05</f>
        <v/>
      </c>
      <c r="Q73" s="6">
        <f>Summary!Q73*0.05</f>
        <v/>
      </c>
      <c r="R73" s="6">
        <f>Summary!R73*0.05</f>
        <v/>
      </c>
      <c r="S73" s="6">
        <f>Summary!S73*0.05</f>
        <v/>
      </c>
      <c r="T73" s="6">
        <f>Summary!T73*0.05</f>
        <v/>
      </c>
      <c r="U73" s="6">
        <f>Summary!U73*0.05</f>
        <v/>
      </c>
      <c r="V73" s="6">
        <f>Summary!V73*0.05</f>
        <v/>
      </c>
      <c r="W73" s="6">
        <f>Summary!W73*0.05</f>
        <v/>
      </c>
      <c r="X73" s="6">
        <f>Summary!X73*0.05</f>
        <v/>
      </c>
      <c r="Y73" s="6">
        <f>Summary!Y73*0.05</f>
        <v/>
      </c>
      <c r="Z73" s="6">
        <f>Summary!Z73*0.05</f>
        <v/>
      </c>
      <c r="AA73" s="6">
        <f>Summary!AA73*0.05</f>
        <v/>
      </c>
      <c r="AB73" s="6">
        <f>SUM(D73:AA73)</f>
        <v/>
      </c>
      <c r="AC73" s="3" t="inlineStr"/>
      <c r="AD73" s="7">
        <f>E73*0.001196975+D73*0.001196975</f>
        <v/>
      </c>
      <c r="AE73" s="7">
        <f>F73*0.001196975+E73*0.001196975</f>
        <v/>
      </c>
      <c r="AF73" s="7">
        <f>G73*0.001196975+F73*0.001196975</f>
        <v/>
      </c>
      <c r="AG73" s="7">
        <f>H73*0.001196975+G73*0.001196975</f>
        <v/>
      </c>
      <c r="AH73" s="7">
        <f>I73*0.001196975+H73*0.001196975</f>
        <v/>
      </c>
      <c r="AI73" s="7">
        <f>J73*0.001196975+I73*0.001196975</f>
        <v/>
      </c>
      <c r="AJ73" s="7">
        <f>K73*0.001196975+J73*0.001196975</f>
        <v/>
      </c>
      <c r="AK73" s="7">
        <f>L73*0.001196975+K73*0.001196975</f>
        <v/>
      </c>
      <c r="AL73" s="7">
        <f>M73*0.001196975+L73*0.001196975</f>
        <v/>
      </c>
      <c r="AM73" s="7">
        <f>N73*0.001196975+M73*0.001196975</f>
        <v/>
      </c>
      <c r="AN73" s="7">
        <f>O73*0.001196975+N73*0.001196975</f>
        <v/>
      </c>
      <c r="AO73" s="7">
        <f>P73*0.001196975+O73*0.001196975</f>
        <v/>
      </c>
      <c r="AP73" s="7">
        <f>Q73*0.001196975+P73*0.001196975</f>
        <v/>
      </c>
      <c r="AQ73" s="7">
        <f>R73*0.001196975+Q73*0.001196975</f>
        <v/>
      </c>
      <c r="AR73" s="7">
        <f>S73*0.001196975+R73*0.001196975</f>
        <v/>
      </c>
      <c r="AS73" s="7">
        <f>T73*0.001196975+S73*0.001196975</f>
        <v/>
      </c>
      <c r="AT73" s="7">
        <f>U73*0.001196975+T73*0.001196975</f>
        <v/>
      </c>
      <c r="AU73" s="7">
        <f>V73*0.001196975+U73*0.001196975</f>
        <v/>
      </c>
      <c r="AV73" s="7">
        <f>W73*0.001196975+V73*0.001196975</f>
        <v/>
      </c>
      <c r="AW73" s="7">
        <f>X73*0.001196975+W73*0.001196975</f>
        <v/>
      </c>
      <c r="AX73" s="7">
        <f>Y73*0.001196975+X73*0.001196975</f>
        <v/>
      </c>
      <c r="AY73" s="7">
        <f>Z73*0.001196975+Y73*0.001196975</f>
        <v/>
      </c>
      <c r="AZ73" s="7">
        <f>AA73*0.001196975+Z73*0.001196975</f>
        <v/>
      </c>
      <c r="BA73" s="7">
        <f>D73*0.001196975+AA73*0.001196975</f>
        <v/>
      </c>
      <c r="BB73" s="7">
        <f>SUM(AD73:BA73)</f>
        <v/>
      </c>
    </row>
    <row r="74">
      <c r="A74" t="inlineStr">
        <is>
          <t>AMD-M1</t>
        </is>
      </c>
      <c r="B74" t="inlineStr">
        <is>
          <t>Forward Regular OSC</t>
        </is>
      </c>
      <c r="C74" s="5" t="n">
        <v>46096</v>
      </c>
      <c r="D74" s="6">
        <f>Summary!D74*0.05</f>
        <v/>
      </c>
      <c r="E74" s="6">
        <f>Summary!E74*0.05</f>
        <v/>
      </c>
      <c r="F74" s="6">
        <f>Summary!F74*0.05</f>
        <v/>
      </c>
      <c r="G74" s="6">
        <f>Summary!G74*0.05</f>
        <v/>
      </c>
      <c r="H74" s="6">
        <f>Summary!H74*0.05</f>
        <v/>
      </c>
      <c r="I74" s="6">
        <f>Summary!I74*0.05</f>
        <v/>
      </c>
      <c r="J74" s="6">
        <f>Summary!J74*0.05</f>
        <v/>
      </c>
      <c r="K74" s="6">
        <f>Summary!K74*0.05</f>
        <v/>
      </c>
      <c r="L74" s="6">
        <f>Summary!L74*0.05</f>
        <v/>
      </c>
      <c r="M74" s="6">
        <f>Summary!M74*0.05</f>
        <v/>
      </c>
      <c r="N74" s="6">
        <f>Summary!N74*0.05</f>
        <v/>
      </c>
      <c r="O74" s="6">
        <f>Summary!O74*0.05</f>
        <v/>
      </c>
      <c r="P74" s="6">
        <f>Summary!P74*0.05</f>
        <v/>
      </c>
      <c r="Q74" s="6">
        <f>Summary!Q74*0.05</f>
        <v/>
      </c>
      <c r="R74" s="6">
        <f>Summary!R74*0.05</f>
        <v/>
      </c>
      <c r="S74" s="6">
        <f>Summary!S74*0.05</f>
        <v/>
      </c>
      <c r="T74" s="6">
        <f>Summary!T74*0.05</f>
        <v/>
      </c>
      <c r="U74" s="6">
        <f>Summary!U74*0.05</f>
        <v/>
      </c>
      <c r="V74" s="6">
        <f>Summary!V74*0.05</f>
        <v/>
      </c>
      <c r="W74" s="6">
        <f>Summary!W74*0.05</f>
        <v/>
      </c>
      <c r="X74" s="6">
        <f>Summary!X74*0.05</f>
        <v/>
      </c>
      <c r="Y74" s="6">
        <f>Summary!Y74*0.05</f>
        <v/>
      </c>
      <c r="Z74" s="6">
        <f>Summary!Z74*0.05</f>
        <v/>
      </c>
      <c r="AA74" s="6">
        <f>Summary!AA74*0.05</f>
        <v/>
      </c>
      <c r="AB74" s="6">
        <f>SUM(D74:AA74)</f>
        <v/>
      </c>
      <c r="AC74" s="3" t="inlineStr"/>
      <c r="AD74" s="7">
        <f>E74*0.001196975+D74*0.001196975</f>
        <v/>
      </c>
      <c r="AE74" s="7">
        <f>F74*0.001196975+E74*0.001196975</f>
        <v/>
      </c>
      <c r="AF74" s="7">
        <f>G74*0.001196975+F74*0.001196975</f>
        <v/>
      </c>
      <c r="AG74" s="7">
        <f>H74*0.001196975+G74*0.001196975</f>
        <v/>
      </c>
      <c r="AH74" s="7">
        <f>I74*0.001196975+H74*0.001196975</f>
        <v/>
      </c>
      <c r="AI74" s="7">
        <f>J74*0.001196975+I74*0.001196975</f>
        <v/>
      </c>
      <c r="AJ74" s="7">
        <f>K74*0.001196975+J74*0.001196975</f>
        <v/>
      </c>
      <c r="AK74" s="7">
        <f>L74*0.001196975+K74*0.001196975</f>
        <v/>
      </c>
      <c r="AL74" s="7">
        <f>M74*0.001196975+L74*0.001196975</f>
        <v/>
      </c>
      <c r="AM74" s="7">
        <f>N74*0.001196975+M74*0.001196975</f>
        <v/>
      </c>
      <c r="AN74" s="7">
        <f>O74*0.001196975+N74*0.001196975</f>
        <v/>
      </c>
      <c r="AO74" s="7">
        <f>P74*0.001196975+O74*0.001196975</f>
        <v/>
      </c>
      <c r="AP74" s="7">
        <f>Q74*0.001196975+P74*0.001196975</f>
        <v/>
      </c>
      <c r="AQ74" s="7">
        <f>R74*0.001196975+Q74*0.001196975</f>
        <v/>
      </c>
      <c r="AR74" s="7">
        <f>S74*0.001196975+R74*0.001196975</f>
        <v/>
      </c>
      <c r="AS74" s="7">
        <f>T74*0.001196975+S74*0.001196975</f>
        <v/>
      </c>
      <c r="AT74" s="7">
        <f>U74*0.001196975+T74*0.001196975</f>
        <v/>
      </c>
      <c r="AU74" s="7">
        <f>V74*0.001196975+U74*0.001196975</f>
        <v/>
      </c>
      <c r="AV74" s="7">
        <f>W74*0.001196975+V74*0.001196975</f>
        <v/>
      </c>
      <c r="AW74" s="7">
        <f>X74*0.001196975+W74*0.001196975</f>
        <v/>
      </c>
      <c r="AX74" s="7">
        <f>Y74*0.001196975+X74*0.001196975</f>
        <v/>
      </c>
      <c r="AY74" s="7">
        <f>Z74*0.001196975+Y74*0.001196975</f>
        <v/>
      </c>
      <c r="AZ74" s="7">
        <f>AA74*0.001196975+Z74*0.001196975</f>
        <v/>
      </c>
      <c r="BA74" s="7">
        <f>D74*0.001196975+AA74*0.001196975</f>
        <v/>
      </c>
      <c r="BB74" s="7">
        <f>SUM(AD74:BA74)</f>
        <v/>
      </c>
    </row>
    <row r="75">
      <c r="A75" t="inlineStr">
        <is>
          <t>AMD-M1</t>
        </is>
      </c>
      <c r="B75" t="inlineStr">
        <is>
          <t>Forward Regular OSC</t>
        </is>
      </c>
      <c r="C75" s="5" t="n">
        <v>46097</v>
      </c>
      <c r="D75" s="6">
        <f>Summary!D75*0.05</f>
        <v/>
      </c>
      <c r="E75" s="6">
        <f>Summary!E75*0.05</f>
        <v/>
      </c>
      <c r="F75" s="6">
        <f>Summary!F75*0.05</f>
        <v/>
      </c>
      <c r="G75" s="6">
        <f>Summary!G75*0.05</f>
        <v/>
      </c>
      <c r="H75" s="6">
        <f>Summary!H75*0.05</f>
        <v/>
      </c>
      <c r="I75" s="6">
        <f>Summary!I75*0.05</f>
        <v/>
      </c>
      <c r="J75" s="6">
        <f>Summary!J75*0.05</f>
        <v/>
      </c>
      <c r="K75" s="6">
        <f>Summary!K75*0.05</f>
        <v/>
      </c>
      <c r="L75" s="6">
        <f>Summary!L75*0.05</f>
        <v/>
      </c>
      <c r="M75" s="6">
        <f>Summary!M75*0.05</f>
        <v/>
      </c>
      <c r="N75" s="6">
        <f>Summary!N75*0.05</f>
        <v/>
      </c>
      <c r="O75" s="6">
        <f>Summary!O75*0.05</f>
        <v/>
      </c>
      <c r="P75" s="6">
        <f>Summary!P75*0.05</f>
        <v/>
      </c>
      <c r="Q75" s="6">
        <f>Summary!Q75*0.05</f>
        <v/>
      </c>
      <c r="R75" s="6">
        <f>Summary!R75*0.05</f>
        <v/>
      </c>
      <c r="S75" s="6">
        <f>Summary!S75*0.05</f>
        <v/>
      </c>
      <c r="T75" s="6">
        <f>Summary!T75*0.05</f>
        <v/>
      </c>
      <c r="U75" s="6">
        <f>Summary!U75*0.05</f>
        <v/>
      </c>
      <c r="V75" s="6">
        <f>Summary!V75*0.05</f>
        <v/>
      </c>
      <c r="W75" s="6">
        <f>Summary!W75*0.05</f>
        <v/>
      </c>
      <c r="X75" s="6">
        <f>Summary!X75*0.05</f>
        <v/>
      </c>
      <c r="Y75" s="6">
        <f>Summary!Y75*0.05</f>
        <v/>
      </c>
      <c r="Z75" s="6">
        <f>Summary!Z75*0.05</f>
        <v/>
      </c>
      <c r="AA75" s="6">
        <f>Summary!AA75*0.05</f>
        <v/>
      </c>
      <c r="AB75" s="6">
        <f>SUM(D75:AA75)</f>
        <v/>
      </c>
      <c r="AC75" s="3" t="inlineStr"/>
      <c r="AD75" s="7">
        <f>E75*0.001196975+D75*0.001196975</f>
        <v/>
      </c>
      <c r="AE75" s="7">
        <f>F75*0.001196975+E75*0.001196975</f>
        <v/>
      </c>
      <c r="AF75" s="7">
        <f>G75*0.001196975+F75*0.001196975</f>
        <v/>
      </c>
      <c r="AG75" s="7">
        <f>H75*0.001196975+G75*0.001196975</f>
        <v/>
      </c>
      <c r="AH75" s="7">
        <f>I75*0.001196975+H75*0.001196975</f>
        <v/>
      </c>
      <c r="AI75" s="7">
        <f>J75*0.001196975+I75*0.001196975</f>
        <v/>
      </c>
      <c r="AJ75" s="7">
        <f>K75*0.001196975+J75*0.001196975</f>
        <v/>
      </c>
      <c r="AK75" s="7">
        <f>L75*0.001196975+K75*0.001196975</f>
        <v/>
      </c>
      <c r="AL75" s="7">
        <f>M75*0.001196975+L75*0.001196975</f>
        <v/>
      </c>
      <c r="AM75" s="7">
        <f>N75*0.001196975+M75*0.001196975</f>
        <v/>
      </c>
      <c r="AN75" s="7">
        <f>O75*0.001196975+N75*0.001196975</f>
        <v/>
      </c>
      <c r="AO75" s="7">
        <f>P75*0.001196975+O75*0.001196975</f>
        <v/>
      </c>
      <c r="AP75" s="7">
        <f>Q75*0.001196975+P75*0.001196975</f>
        <v/>
      </c>
      <c r="AQ75" s="7">
        <f>R75*0.001196975+Q75*0.001196975</f>
        <v/>
      </c>
      <c r="AR75" s="7">
        <f>S75*0.001196975+R75*0.001196975</f>
        <v/>
      </c>
      <c r="AS75" s="7">
        <f>T75*0.001196975+S75*0.001196975</f>
        <v/>
      </c>
      <c r="AT75" s="7">
        <f>U75*0.001196975+T75*0.001196975</f>
        <v/>
      </c>
      <c r="AU75" s="7">
        <f>V75*0.001196975+U75*0.001196975</f>
        <v/>
      </c>
      <c r="AV75" s="7">
        <f>W75*0.001196975+V75*0.001196975</f>
        <v/>
      </c>
      <c r="AW75" s="7">
        <f>X75*0.001196975+W75*0.001196975</f>
        <v/>
      </c>
      <c r="AX75" s="7">
        <f>Y75*0.001196975+X75*0.001196975</f>
        <v/>
      </c>
      <c r="AY75" s="7">
        <f>Z75*0.001196975+Y75*0.001196975</f>
        <v/>
      </c>
      <c r="AZ75" s="7">
        <f>AA75*0.001196975+Z75*0.001196975</f>
        <v/>
      </c>
      <c r="BA75" s="7">
        <f>D75*0.001196975+AA75*0.001196975</f>
        <v/>
      </c>
      <c r="BB75" s="7">
        <f>SUM(AD75:BA75)</f>
        <v/>
      </c>
    </row>
    <row r="76">
      <c r="A76" t="inlineStr">
        <is>
          <t>AMD-M2</t>
        </is>
      </c>
      <c r="B76" t="inlineStr">
        <is>
          <t>Forward Regular OSC</t>
        </is>
      </c>
      <c r="C76" s="5" t="n">
        <v>46089</v>
      </c>
      <c r="D76" s="6">
        <f>Summary!D76*0.05</f>
        <v/>
      </c>
      <c r="E76" s="6">
        <f>Summary!E76*0.05</f>
        <v/>
      </c>
      <c r="F76" s="6">
        <f>Summary!F76*0.05</f>
        <v/>
      </c>
      <c r="G76" s="6">
        <f>Summary!G76*0.05</f>
        <v/>
      </c>
      <c r="H76" s="6">
        <f>Summary!H76*0.05</f>
        <v/>
      </c>
      <c r="I76" s="6">
        <f>Summary!I76*0.05</f>
        <v/>
      </c>
      <c r="J76" s="6">
        <f>Summary!J76*0.05</f>
        <v/>
      </c>
      <c r="K76" s="6">
        <f>Summary!K76*0.05</f>
        <v/>
      </c>
      <c r="L76" s="6">
        <f>Summary!L76*0.05</f>
        <v/>
      </c>
      <c r="M76" s="6">
        <f>Summary!M76*0.05</f>
        <v/>
      </c>
      <c r="N76" s="6">
        <f>Summary!N76*0.05</f>
        <v/>
      </c>
      <c r="O76" s="6">
        <f>Summary!O76*0.05</f>
        <v/>
      </c>
      <c r="P76" s="6">
        <f>Summary!P76*0.05</f>
        <v/>
      </c>
      <c r="Q76" s="6">
        <f>Summary!Q76*0.05</f>
        <v/>
      </c>
      <c r="R76" s="6">
        <f>Summary!R76*0.05</f>
        <v/>
      </c>
      <c r="S76" s="6">
        <f>Summary!S76*0.05</f>
        <v/>
      </c>
      <c r="T76" s="6">
        <f>Summary!T76*0.05</f>
        <v/>
      </c>
      <c r="U76" s="6">
        <f>Summary!U76*0.05</f>
        <v/>
      </c>
      <c r="V76" s="6">
        <f>Summary!V76*0.05</f>
        <v/>
      </c>
      <c r="W76" s="6">
        <f>Summary!W76*0.05</f>
        <v/>
      </c>
      <c r="X76" s="6">
        <f>Summary!X76*0.05</f>
        <v/>
      </c>
      <c r="Y76" s="6">
        <f>Summary!Y76*0.05</f>
        <v/>
      </c>
      <c r="Z76" s="6">
        <f>Summary!Z76*0.05</f>
        <v/>
      </c>
      <c r="AA76" s="6">
        <f>Summary!AA76*0.05</f>
        <v/>
      </c>
      <c r="AB76" s="6">
        <f>SUM(D76:AA76)</f>
        <v/>
      </c>
      <c r="AC76" s="3" t="inlineStr"/>
      <c r="AD76" s="7">
        <f>E76*0.001196975+D76*0.001196975</f>
        <v/>
      </c>
      <c r="AE76" s="7">
        <f>F76*0.001196975+E76*0.001196975</f>
        <v/>
      </c>
      <c r="AF76" s="7">
        <f>G76*0.001196975+F76*0.001196975</f>
        <v/>
      </c>
      <c r="AG76" s="7">
        <f>H76*0.001196975+G76*0.001196975</f>
        <v/>
      </c>
      <c r="AH76" s="7">
        <f>I76*0.001196975+H76*0.001196975</f>
        <v/>
      </c>
      <c r="AI76" s="7">
        <f>J76*0.001196975+I76*0.001196975</f>
        <v/>
      </c>
      <c r="AJ76" s="7">
        <f>K76*0.001196975+J76*0.001196975</f>
        <v/>
      </c>
      <c r="AK76" s="7">
        <f>L76*0.001196975+K76*0.001196975</f>
        <v/>
      </c>
      <c r="AL76" s="7">
        <f>M76*0.001196975+L76*0.001196975</f>
        <v/>
      </c>
      <c r="AM76" s="7">
        <f>N76*0.001196975+M76*0.001196975</f>
        <v/>
      </c>
      <c r="AN76" s="7">
        <f>O76*0.001196975+N76*0.001196975</f>
        <v/>
      </c>
      <c r="AO76" s="7">
        <f>P76*0.001196975+O76*0.001196975</f>
        <v/>
      </c>
      <c r="AP76" s="7">
        <f>Q76*0.001196975+P76*0.001196975</f>
        <v/>
      </c>
      <c r="AQ76" s="7">
        <f>R76*0.001196975+Q76*0.001196975</f>
        <v/>
      </c>
      <c r="AR76" s="7">
        <f>S76*0.001196975+R76*0.001196975</f>
        <v/>
      </c>
      <c r="AS76" s="7">
        <f>T76*0.001196975+S76*0.001196975</f>
        <v/>
      </c>
      <c r="AT76" s="7">
        <f>U76*0.001196975+T76*0.001196975</f>
        <v/>
      </c>
      <c r="AU76" s="7">
        <f>V76*0.001196975+U76*0.001196975</f>
        <v/>
      </c>
      <c r="AV76" s="7">
        <f>W76*0.001196975+V76*0.001196975</f>
        <v/>
      </c>
      <c r="AW76" s="7">
        <f>X76*0.001196975+W76*0.001196975</f>
        <v/>
      </c>
      <c r="AX76" s="7">
        <f>Y76*0.001196975+X76*0.001196975</f>
        <v/>
      </c>
      <c r="AY76" s="7">
        <f>Z76*0.001196975+Y76*0.001196975</f>
        <v/>
      </c>
      <c r="AZ76" s="7">
        <f>AA76*0.001196975+Z76*0.001196975</f>
        <v/>
      </c>
      <c r="BA76" s="7">
        <f>D76*0.001196975+AA76*0.001196975</f>
        <v/>
      </c>
      <c r="BB76" s="7">
        <f>SUM(AD76:BA76)</f>
        <v/>
      </c>
    </row>
    <row r="77">
      <c r="A77" t="inlineStr">
        <is>
          <t>AMD-M2</t>
        </is>
      </c>
      <c r="B77" t="inlineStr">
        <is>
          <t>Forward Regular OSC</t>
        </is>
      </c>
      <c r="C77" s="5" t="n">
        <v>46090</v>
      </c>
      <c r="D77" s="6">
        <f>Summary!D77*0.05</f>
        <v/>
      </c>
      <c r="E77" s="6">
        <f>Summary!E77*0.05</f>
        <v/>
      </c>
      <c r="F77" s="6">
        <f>Summary!F77*0.05</f>
        <v/>
      </c>
      <c r="G77" s="6">
        <f>Summary!G77*0.05</f>
        <v/>
      </c>
      <c r="H77" s="6">
        <f>Summary!H77*0.05</f>
        <v/>
      </c>
      <c r="I77" s="6">
        <f>Summary!I77*0.05</f>
        <v/>
      </c>
      <c r="J77" s="6">
        <f>Summary!J77*0.05</f>
        <v/>
      </c>
      <c r="K77" s="6">
        <f>Summary!K77*0.05</f>
        <v/>
      </c>
      <c r="L77" s="6">
        <f>Summary!L77*0.05</f>
        <v/>
      </c>
      <c r="M77" s="6">
        <f>Summary!M77*0.05</f>
        <v/>
      </c>
      <c r="N77" s="6">
        <f>Summary!N77*0.05</f>
        <v/>
      </c>
      <c r="O77" s="6">
        <f>Summary!O77*0.05</f>
        <v/>
      </c>
      <c r="P77" s="6">
        <f>Summary!P77*0.05</f>
        <v/>
      </c>
      <c r="Q77" s="6">
        <f>Summary!Q77*0.05</f>
        <v/>
      </c>
      <c r="R77" s="6">
        <f>Summary!R77*0.05</f>
        <v/>
      </c>
      <c r="S77" s="6">
        <f>Summary!S77*0.05</f>
        <v/>
      </c>
      <c r="T77" s="6">
        <f>Summary!T77*0.05</f>
        <v/>
      </c>
      <c r="U77" s="6">
        <f>Summary!U77*0.05</f>
        <v/>
      </c>
      <c r="V77" s="6">
        <f>Summary!V77*0.05</f>
        <v/>
      </c>
      <c r="W77" s="6">
        <f>Summary!W77*0.05</f>
        <v/>
      </c>
      <c r="X77" s="6">
        <f>Summary!X77*0.05</f>
        <v/>
      </c>
      <c r="Y77" s="6">
        <f>Summary!Y77*0.05</f>
        <v/>
      </c>
      <c r="Z77" s="6">
        <f>Summary!Z77*0.05</f>
        <v/>
      </c>
      <c r="AA77" s="6">
        <f>Summary!AA77*0.05</f>
        <v/>
      </c>
      <c r="AB77" s="6">
        <f>SUM(D77:AA77)</f>
        <v/>
      </c>
      <c r="AC77" s="3" t="inlineStr"/>
      <c r="AD77" s="7">
        <f>E77*0.001196975+D77*0.001196975</f>
        <v/>
      </c>
      <c r="AE77" s="7">
        <f>F77*0.001196975+E77*0.001196975</f>
        <v/>
      </c>
      <c r="AF77" s="7">
        <f>G77*0.001196975+F77*0.001196975</f>
        <v/>
      </c>
      <c r="AG77" s="7">
        <f>H77*0.001196975+G77*0.001196975</f>
        <v/>
      </c>
      <c r="AH77" s="7">
        <f>I77*0.001196975+H77*0.001196975</f>
        <v/>
      </c>
      <c r="AI77" s="7">
        <f>J77*0.001196975+I77*0.001196975</f>
        <v/>
      </c>
      <c r="AJ77" s="7">
        <f>K77*0.001196975+J77*0.001196975</f>
        <v/>
      </c>
      <c r="AK77" s="7">
        <f>L77*0.001196975+K77*0.001196975</f>
        <v/>
      </c>
      <c r="AL77" s="7">
        <f>M77*0.001196975+L77*0.001196975</f>
        <v/>
      </c>
      <c r="AM77" s="7">
        <f>N77*0.001196975+M77*0.001196975</f>
        <v/>
      </c>
      <c r="AN77" s="7">
        <f>O77*0.001196975+N77*0.001196975</f>
        <v/>
      </c>
      <c r="AO77" s="7">
        <f>P77*0.001196975+O77*0.001196975</f>
        <v/>
      </c>
      <c r="AP77" s="7">
        <f>Q77*0.001196975+P77*0.001196975</f>
        <v/>
      </c>
      <c r="AQ77" s="7">
        <f>R77*0.001196975+Q77*0.001196975</f>
        <v/>
      </c>
      <c r="AR77" s="7">
        <f>S77*0.001196975+R77*0.001196975</f>
        <v/>
      </c>
      <c r="AS77" s="7">
        <f>T77*0.001196975+S77*0.001196975</f>
        <v/>
      </c>
      <c r="AT77" s="7">
        <f>U77*0.001196975+T77*0.001196975</f>
        <v/>
      </c>
      <c r="AU77" s="7">
        <f>V77*0.001196975+U77*0.001196975</f>
        <v/>
      </c>
      <c r="AV77" s="7">
        <f>W77*0.001196975+V77*0.001196975</f>
        <v/>
      </c>
      <c r="AW77" s="7">
        <f>X77*0.001196975+W77*0.001196975</f>
        <v/>
      </c>
      <c r="AX77" s="7">
        <f>Y77*0.001196975+X77*0.001196975</f>
        <v/>
      </c>
      <c r="AY77" s="7">
        <f>Z77*0.001196975+Y77*0.001196975</f>
        <v/>
      </c>
      <c r="AZ77" s="7">
        <f>AA77*0.001196975+Z77*0.001196975</f>
        <v/>
      </c>
      <c r="BA77" s="7">
        <f>D77*0.001196975+AA77*0.001196975</f>
        <v/>
      </c>
      <c r="BB77" s="7">
        <f>SUM(AD77:BA77)</f>
        <v/>
      </c>
    </row>
    <row r="78">
      <c r="A78" t="inlineStr">
        <is>
          <t>AMD-M2</t>
        </is>
      </c>
      <c r="B78" t="inlineStr">
        <is>
          <t>Forward Regular OSC</t>
        </is>
      </c>
      <c r="C78" s="5" t="n">
        <v>46091</v>
      </c>
      <c r="D78" s="6">
        <f>Summary!D78*0.05</f>
        <v/>
      </c>
      <c r="E78" s="6">
        <f>Summary!E78*0.05</f>
        <v/>
      </c>
      <c r="F78" s="6">
        <f>Summary!F78*0.05</f>
        <v/>
      </c>
      <c r="G78" s="6">
        <f>Summary!G78*0.05</f>
        <v/>
      </c>
      <c r="H78" s="6">
        <f>Summary!H78*0.05</f>
        <v/>
      </c>
      <c r="I78" s="6">
        <f>Summary!I78*0.05</f>
        <v/>
      </c>
      <c r="J78" s="6">
        <f>Summary!J78*0.05</f>
        <v/>
      </c>
      <c r="K78" s="6">
        <f>Summary!K78*0.05</f>
        <v/>
      </c>
      <c r="L78" s="6">
        <f>Summary!L78*0.05</f>
        <v/>
      </c>
      <c r="M78" s="6">
        <f>Summary!M78*0.05</f>
        <v/>
      </c>
      <c r="N78" s="6">
        <f>Summary!N78*0.05</f>
        <v/>
      </c>
      <c r="O78" s="6">
        <f>Summary!O78*0.05</f>
        <v/>
      </c>
      <c r="P78" s="6">
        <f>Summary!P78*0.05</f>
        <v/>
      </c>
      <c r="Q78" s="6">
        <f>Summary!Q78*0.05</f>
        <v/>
      </c>
      <c r="R78" s="6">
        <f>Summary!R78*0.05</f>
        <v/>
      </c>
      <c r="S78" s="6">
        <f>Summary!S78*0.05</f>
        <v/>
      </c>
      <c r="T78" s="6">
        <f>Summary!T78*0.05</f>
        <v/>
      </c>
      <c r="U78" s="6">
        <f>Summary!U78*0.05</f>
        <v/>
      </c>
      <c r="V78" s="6">
        <f>Summary!V78*0.05</f>
        <v/>
      </c>
      <c r="W78" s="6">
        <f>Summary!W78*0.05</f>
        <v/>
      </c>
      <c r="X78" s="6">
        <f>Summary!X78*0.05</f>
        <v/>
      </c>
      <c r="Y78" s="6">
        <f>Summary!Y78*0.05</f>
        <v/>
      </c>
      <c r="Z78" s="6">
        <f>Summary!Z78*0.05</f>
        <v/>
      </c>
      <c r="AA78" s="6">
        <f>Summary!AA78*0.05</f>
        <v/>
      </c>
      <c r="AB78" s="6">
        <f>SUM(D78:AA78)</f>
        <v/>
      </c>
      <c r="AC78" s="3" t="inlineStr"/>
      <c r="AD78" s="7">
        <f>E78*0.001196975+D78*0.001196975</f>
        <v/>
      </c>
      <c r="AE78" s="7">
        <f>F78*0.001196975+E78*0.001196975</f>
        <v/>
      </c>
      <c r="AF78" s="7">
        <f>G78*0.001196975+F78*0.001196975</f>
        <v/>
      </c>
      <c r="AG78" s="7">
        <f>H78*0.001196975+G78*0.001196975</f>
        <v/>
      </c>
      <c r="AH78" s="7">
        <f>I78*0.001196975+H78*0.001196975</f>
        <v/>
      </c>
      <c r="AI78" s="7">
        <f>J78*0.001196975+I78*0.001196975</f>
        <v/>
      </c>
      <c r="AJ78" s="7">
        <f>K78*0.001196975+J78*0.001196975</f>
        <v/>
      </c>
      <c r="AK78" s="7">
        <f>L78*0.001196975+K78*0.001196975</f>
        <v/>
      </c>
      <c r="AL78" s="7">
        <f>M78*0.001196975+L78*0.001196975</f>
        <v/>
      </c>
      <c r="AM78" s="7">
        <f>N78*0.001196975+M78*0.001196975</f>
        <v/>
      </c>
      <c r="AN78" s="7">
        <f>O78*0.001196975+N78*0.001196975</f>
        <v/>
      </c>
      <c r="AO78" s="7">
        <f>P78*0.001196975+O78*0.001196975</f>
        <v/>
      </c>
      <c r="AP78" s="7">
        <f>Q78*0.001196975+P78*0.001196975</f>
        <v/>
      </c>
      <c r="AQ78" s="7">
        <f>R78*0.001196975+Q78*0.001196975</f>
        <v/>
      </c>
      <c r="AR78" s="7">
        <f>S78*0.001196975+R78*0.001196975</f>
        <v/>
      </c>
      <c r="AS78" s="7">
        <f>T78*0.001196975+S78*0.001196975</f>
        <v/>
      </c>
      <c r="AT78" s="7">
        <f>U78*0.001196975+T78*0.001196975</f>
        <v/>
      </c>
      <c r="AU78" s="7">
        <f>V78*0.001196975+U78*0.001196975</f>
        <v/>
      </c>
      <c r="AV78" s="7">
        <f>W78*0.001196975+V78*0.001196975</f>
        <v/>
      </c>
      <c r="AW78" s="7">
        <f>X78*0.001196975+W78*0.001196975</f>
        <v/>
      </c>
      <c r="AX78" s="7">
        <f>Y78*0.001196975+X78*0.001196975</f>
        <v/>
      </c>
      <c r="AY78" s="7">
        <f>Z78*0.001196975+Y78*0.001196975</f>
        <v/>
      </c>
      <c r="AZ78" s="7">
        <f>AA78*0.001196975+Z78*0.001196975</f>
        <v/>
      </c>
      <c r="BA78" s="7">
        <f>D78*0.001196975+AA78*0.001196975</f>
        <v/>
      </c>
      <c r="BB78" s="7">
        <f>SUM(AD78:BA78)</f>
        <v/>
      </c>
    </row>
    <row r="79">
      <c r="A79" t="inlineStr">
        <is>
          <t>AMD-M2</t>
        </is>
      </c>
      <c r="B79" t="inlineStr">
        <is>
          <t>Forward Regular OSC</t>
        </is>
      </c>
      <c r="C79" s="5" t="n">
        <v>46092</v>
      </c>
      <c r="D79" s="6">
        <f>Summary!D79*0.05</f>
        <v/>
      </c>
      <c r="E79" s="6">
        <f>Summary!E79*0.05</f>
        <v/>
      </c>
      <c r="F79" s="6">
        <f>Summary!F79*0.05</f>
        <v/>
      </c>
      <c r="G79" s="6">
        <f>Summary!G79*0.05</f>
        <v/>
      </c>
      <c r="H79" s="6">
        <f>Summary!H79*0.05</f>
        <v/>
      </c>
      <c r="I79" s="6">
        <f>Summary!I79*0.05</f>
        <v/>
      </c>
      <c r="J79" s="6">
        <f>Summary!J79*0.05</f>
        <v/>
      </c>
      <c r="K79" s="6">
        <f>Summary!K79*0.05</f>
        <v/>
      </c>
      <c r="L79" s="6">
        <f>Summary!L79*0.05</f>
        <v/>
      </c>
      <c r="M79" s="6">
        <f>Summary!M79*0.05</f>
        <v/>
      </c>
      <c r="N79" s="6">
        <f>Summary!N79*0.05</f>
        <v/>
      </c>
      <c r="O79" s="6">
        <f>Summary!O79*0.05</f>
        <v/>
      </c>
      <c r="P79" s="6">
        <f>Summary!P79*0.05</f>
        <v/>
      </c>
      <c r="Q79" s="6">
        <f>Summary!Q79*0.05</f>
        <v/>
      </c>
      <c r="R79" s="6">
        <f>Summary!R79*0.05</f>
        <v/>
      </c>
      <c r="S79" s="6">
        <f>Summary!S79*0.05</f>
        <v/>
      </c>
      <c r="T79" s="6">
        <f>Summary!T79*0.05</f>
        <v/>
      </c>
      <c r="U79" s="6">
        <f>Summary!U79*0.05</f>
        <v/>
      </c>
      <c r="V79" s="6">
        <f>Summary!V79*0.05</f>
        <v/>
      </c>
      <c r="W79" s="6">
        <f>Summary!W79*0.05</f>
        <v/>
      </c>
      <c r="X79" s="6">
        <f>Summary!X79*0.05</f>
        <v/>
      </c>
      <c r="Y79" s="6">
        <f>Summary!Y79*0.05</f>
        <v/>
      </c>
      <c r="Z79" s="6">
        <f>Summary!Z79*0.05</f>
        <v/>
      </c>
      <c r="AA79" s="6">
        <f>Summary!AA79*0.05</f>
        <v/>
      </c>
      <c r="AB79" s="6">
        <f>SUM(D79:AA79)</f>
        <v/>
      </c>
      <c r="AC79" s="3" t="inlineStr"/>
      <c r="AD79" s="7">
        <f>E79*0.001196975+D79*0.001196975</f>
        <v/>
      </c>
      <c r="AE79" s="7">
        <f>F79*0.001196975+E79*0.001196975</f>
        <v/>
      </c>
      <c r="AF79" s="7">
        <f>G79*0.001196975+F79*0.001196975</f>
        <v/>
      </c>
      <c r="AG79" s="7">
        <f>H79*0.001196975+G79*0.001196975</f>
        <v/>
      </c>
      <c r="AH79" s="7">
        <f>I79*0.001196975+H79*0.001196975</f>
        <v/>
      </c>
      <c r="AI79" s="7">
        <f>J79*0.001196975+I79*0.001196975</f>
        <v/>
      </c>
      <c r="AJ79" s="7">
        <f>K79*0.001196975+J79*0.001196975</f>
        <v/>
      </c>
      <c r="AK79" s="7">
        <f>L79*0.001196975+K79*0.001196975</f>
        <v/>
      </c>
      <c r="AL79" s="7">
        <f>M79*0.001196975+L79*0.001196975</f>
        <v/>
      </c>
      <c r="AM79" s="7">
        <f>N79*0.001196975+M79*0.001196975</f>
        <v/>
      </c>
      <c r="AN79" s="7">
        <f>O79*0.001196975+N79*0.001196975</f>
        <v/>
      </c>
      <c r="AO79" s="7">
        <f>P79*0.001196975+O79*0.001196975</f>
        <v/>
      </c>
      <c r="AP79" s="7">
        <f>Q79*0.001196975+P79*0.001196975</f>
        <v/>
      </c>
      <c r="AQ79" s="7">
        <f>R79*0.001196975+Q79*0.001196975</f>
        <v/>
      </c>
      <c r="AR79" s="7">
        <f>S79*0.001196975+R79*0.001196975</f>
        <v/>
      </c>
      <c r="AS79" s="7">
        <f>T79*0.001196975+S79*0.001196975</f>
        <v/>
      </c>
      <c r="AT79" s="7">
        <f>U79*0.001196975+T79*0.001196975</f>
        <v/>
      </c>
      <c r="AU79" s="7">
        <f>V79*0.001196975+U79*0.001196975</f>
        <v/>
      </c>
      <c r="AV79" s="7">
        <f>W79*0.001196975+V79*0.001196975</f>
        <v/>
      </c>
      <c r="AW79" s="7">
        <f>X79*0.001196975+W79*0.001196975</f>
        <v/>
      </c>
      <c r="AX79" s="7">
        <f>Y79*0.001196975+X79*0.001196975</f>
        <v/>
      </c>
      <c r="AY79" s="7">
        <f>Z79*0.001196975+Y79*0.001196975</f>
        <v/>
      </c>
      <c r="AZ79" s="7">
        <f>AA79*0.001196975+Z79*0.001196975</f>
        <v/>
      </c>
      <c r="BA79" s="7">
        <f>D79*0.001196975+AA79*0.001196975</f>
        <v/>
      </c>
      <c r="BB79" s="7">
        <f>SUM(AD79:BA79)</f>
        <v/>
      </c>
    </row>
    <row r="80">
      <c r="A80" t="inlineStr">
        <is>
          <t>AMD-M2</t>
        </is>
      </c>
      <c r="B80" t="inlineStr">
        <is>
          <t>Forward Regular OSC</t>
        </is>
      </c>
      <c r="C80" s="5" t="n">
        <v>46093</v>
      </c>
      <c r="D80" s="6">
        <f>Summary!D80*0.05</f>
        <v/>
      </c>
      <c r="E80" s="6">
        <f>Summary!E80*0.05</f>
        <v/>
      </c>
      <c r="F80" s="6">
        <f>Summary!F80*0.05</f>
        <v/>
      </c>
      <c r="G80" s="6">
        <f>Summary!G80*0.05</f>
        <v/>
      </c>
      <c r="H80" s="6">
        <f>Summary!H80*0.05</f>
        <v/>
      </c>
      <c r="I80" s="6">
        <f>Summary!I80*0.05</f>
        <v/>
      </c>
      <c r="J80" s="6">
        <f>Summary!J80*0.05</f>
        <v/>
      </c>
      <c r="K80" s="6">
        <f>Summary!K80*0.05</f>
        <v/>
      </c>
      <c r="L80" s="6">
        <f>Summary!L80*0.05</f>
        <v/>
      </c>
      <c r="M80" s="6">
        <f>Summary!M80*0.05</f>
        <v/>
      </c>
      <c r="N80" s="6">
        <f>Summary!N80*0.05</f>
        <v/>
      </c>
      <c r="O80" s="6">
        <f>Summary!O80*0.05</f>
        <v/>
      </c>
      <c r="P80" s="6">
        <f>Summary!P80*0.05</f>
        <v/>
      </c>
      <c r="Q80" s="6">
        <f>Summary!Q80*0.05</f>
        <v/>
      </c>
      <c r="R80" s="6">
        <f>Summary!R80*0.05</f>
        <v/>
      </c>
      <c r="S80" s="6">
        <f>Summary!S80*0.05</f>
        <v/>
      </c>
      <c r="T80" s="6">
        <f>Summary!T80*0.05</f>
        <v/>
      </c>
      <c r="U80" s="6">
        <f>Summary!U80*0.05</f>
        <v/>
      </c>
      <c r="V80" s="6">
        <f>Summary!V80*0.05</f>
        <v/>
      </c>
      <c r="W80" s="6">
        <f>Summary!W80*0.05</f>
        <v/>
      </c>
      <c r="X80" s="6">
        <f>Summary!X80*0.05</f>
        <v/>
      </c>
      <c r="Y80" s="6">
        <f>Summary!Y80*0.05</f>
        <v/>
      </c>
      <c r="Z80" s="6">
        <f>Summary!Z80*0.05</f>
        <v/>
      </c>
      <c r="AA80" s="6">
        <f>Summary!AA80*0.05</f>
        <v/>
      </c>
      <c r="AB80" s="6">
        <f>SUM(D80:AA80)</f>
        <v/>
      </c>
      <c r="AC80" s="3" t="inlineStr"/>
      <c r="AD80" s="7">
        <f>E80*0.001196975+D80*0.001196975</f>
        <v/>
      </c>
      <c r="AE80" s="7">
        <f>F80*0.001196975+E80*0.001196975</f>
        <v/>
      </c>
      <c r="AF80" s="7">
        <f>G80*0.001196975+F80*0.001196975</f>
        <v/>
      </c>
      <c r="AG80" s="7">
        <f>H80*0.001196975+G80*0.001196975</f>
        <v/>
      </c>
      <c r="AH80" s="7">
        <f>I80*0.001196975+H80*0.001196975</f>
        <v/>
      </c>
      <c r="AI80" s="7">
        <f>J80*0.001196975+I80*0.001196975</f>
        <v/>
      </c>
      <c r="AJ80" s="7">
        <f>K80*0.001196975+J80*0.001196975</f>
        <v/>
      </c>
      <c r="AK80" s="7">
        <f>L80*0.001196975+K80*0.001196975</f>
        <v/>
      </c>
      <c r="AL80" s="7">
        <f>M80*0.001196975+L80*0.001196975</f>
        <v/>
      </c>
      <c r="AM80" s="7">
        <f>N80*0.001196975+M80*0.001196975</f>
        <v/>
      </c>
      <c r="AN80" s="7">
        <f>O80*0.001196975+N80*0.001196975</f>
        <v/>
      </c>
      <c r="AO80" s="7">
        <f>P80*0.001196975+O80*0.001196975</f>
        <v/>
      </c>
      <c r="AP80" s="7">
        <f>Q80*0.001196975+P80*0.001196975</f>
        <v/>
      </c>
      <c r="AQ80" s="7">
        <f>R80*0.001196975+Q80*0.001196975</f>
        <v/>
      </c>
      <c r="AR80" s="7">
        <f>S80*0.001196975+R80*0.001196975</f>
        <v/>
      </c>
      <c r="AS80" s="7">
        <f>T80*0.001196975+S80*0.001196975</f>
        <v/>
      </c>
      <c r="AT80" s="7">
        <f>U80*0.001196975+T80*0.001196975</f>
        <v/>
      </c>
      <c r="AU80" s="7">
        <f>V80*0.001196975+U80*0.001196975</f>
        <v/>
      </c>
      <c r="AV80" s="7">
        <f>W80*0.001196975+V80*0.001196975</f>
        <v/>
      </c>
      <c r="AW80" s="7">
        <f>X80*0.001196975+W80*0.001196975</f>
        <v/>
      </c>
      <c r="AX80" s="7">
        <f>Y80*0.001196975+X80*0.001196975</f>
        <v/>
      </c>
      <c r="AY80" s="7">
        <f>Z80*0.001196975+Y80*0.001196975</f>
        <v/>
      </c>
      <c r="AZ80" s="7">
        <f>AA80*0.001196975+Z80*0.001196975</f>
        <v/>
      </c>
      <c r="BA80" s="7">
        <f>D80*0.001196975+AA80*0.001196975</f>
        <v/>
      </c>
      <c r="BB80" s="7">
        <f>SUM(AD80:BA80)</f>
        <v/>
      </c>
    </row>
    <row r="81">
      <c r="A81" t="inlineStr">
        <is>
          <t>AMD-M2</t>
        </is>
      </c>
      <c r="B81" t="inlineStr">
        <is>
          <t>Forward Regular OSC</t>
        </is>
      </c>
      <c r="C81" s="5" t="n">
        <v>46094</v>
      </c>
      <c r="D81" s="6">
        <f>Summary!D81*0.05</f>
        <v/>
      </c>
      <c r="E81" s="6">
        <f>Summary!E81*0.05</f>
        <v/>
      </c>
      <c r="F81" s="6">
        <f>Summary!F81*0.05</f>
        <v/>
      </c>
      <c r="G81" s="6">
        <f>Summary!G81*0.05</f>
        <v/>
      </c>
      <c r="H81" s="6">
        <f>Summary!H81*0.05</f>
        <v/>
      </c>
      <c r="I81" s="6">
        <f>Summary!I81*0.05</f>
        <v/>
      </c>
      <c r="J81" s="6">
        <f>Summary!J81*0.05</f>
        <v/>
      </c>
      <c r="K81" s="6">
        <f>Summary!K81*0.05</f>
        <v/>
      </c>
      <c r="L81" s="6">
        <f>Summary!L81*0.05</f>
        <v/>
      </c>
      <c r="M81" s="6">
        <f>Summary!M81*0.05</f>
        <v/>
      </c>
      <c r="N81" s="6">
        <f>Summary!N81*0.05</f>
        <v/>
      </c>
      <c r="O81" s="6">
        <f>Summary!O81*0.05</f>
        <v/>
      </c>
      <c r="P81" s="6">
        <f>Summary!P81*0.05</f>
        <v/>
      </c>
      <c r="Q81" s="6">
        <f>Summary!Q81*0.05</f>
        <v/>
      </c>
      <c r="R81" s="6">
        <f>Summary!R81*0.05</f>
        <v/>
      </c>
      <c r="S81" s="6">
        <f>Summary!S81*0.05</f>
        <v/>
      </c>
      <c r="T81" s="6">
        <f>Summary!T81*0.05</f>
        <v/>
      </c>
      <c r="U81" s="6">
        <f>Summary!U81*0.05</f>
        <v/>
      </c>
      <c r="V81" s="6">
        <f>Summary!V81*0.05</f>
        <v/>
      </c>
      <c r="W81" s="6">
        <f>Summary!W81*0.05</f>
        <v/>
      </c>
      <c r="X81" s="6">
        <f>Summary!X81*0.05</f>
        <v/>
      </c>
      <c r="Y81" s="6">
        <f>Summary!Y81*0.05</f>
        <v/>
      </c>
      <c r="Z81" s="6">
        <f>Summary!Z81*0.05</f>
        <v/>
      </c>
      <c r="AA81" s="6">
        <f>Summary!AA81*0.05</f>
        <v/>
      </c>
      <c r="AB81" s="6">
        <f>SUM(D81:AA81)</f>
        <v/>
      </c>
      <c r="AC81" s="3" t="inlineStr"/>
      <c r="AD81" s="7">
        <f>E81*0.001196975+D81*0.001196975</f>
        <v/>
      </c>
      <c r="AE81" s="7">
        <f>F81*0.001196975+E81*0.001196975</f>
        <v/>
      </c>
      <c r="AF81" s="7">
        <f>G81*0.001196975+F81*0.001196975</f>
        <v/>
      </c>
      <c r="AG81" s="7">
        <f>H81*0.001196975+G81*0.001196975</f>
        <v/>
      </c>
      <c r="AH81" s="7">
        <f>I81*0.001196975+H81*0.001196975</f>
        <v/>
      </c>
      <c r="AI81" s="7">
        <f>J81*0.001196975+I81*0.001196975</f>
        <v/>
      </c>
      <c r="AJ81" s="7">
        <f>K81*0.001196975+J81*0.001196975</f>
        <v/>
      </c>
      <c r="AK81" s="7">
        <f>L81*0.001196975+K81*0.001196975</f>
        <v/>
      </c>
      <c r="AL81" s="7">
        <f>M81*0.001196975+L81*0.001196975</f>
        <v/>
      </c>
      <c r="AM81" s="7">
        <f>N81*0.001196975+M81*0.001196975</f>
        <v/>
      </c>
      <c r="AN81" s="7">
        <f>O81*0.001196975+N81*0.001196975</f>
        <v/>
      </c>
      <c r="AO81" s="7">
        <f>P81*0.001196975+O81*0.001196975</f>
        <v/>
      </c>
      <c r="AP81" s="7">
        <f>Q81*0.001196975+P81*0.001196975</f>
        <v/>
      </c>
      <c r="AQ81" s="7">
        <f>R81*0.001196975+Q81*0.001196975</f>
        <v/>
      </c>
      <c r="AR81" s="7">
        <f>S81*0.001196975+R81*0.001196975</f>
        <v/>
      </c>
      <c r="AS81" s="7">
        <f>T81*0.001196975+S81*0.001196975</f>
        <v/>
      </c>
      <c r="AT81" s="7">
        <f>U81*0.001196975+T81*0.001196975</f>
        <v/>
      </c>
      <c r="AU81" s="7">
        <f>V81*0.001196975+U81*0.001196975</f>
        <v/>
      </c>
      <c r="AV81" s="7">
        <f>W81*0.001196975+V81*0.001196975</f>
        <v/>
      </c>
      <c r="AW81" s="7">
        <f>X81*0.001196975+W81*0.001196975</f>
        <v/>
      </c>
      <c r="AX81" s="7">
        <f>Y81*0.001196975+X81*0.001196975</f>
        <v/>
      </c>
      <c r="AY81" s="7">
        <f>Z81*0.001196975+Y81*0.001196975</f>
        <v/>
      </c>
      <c r="AZ81" s="7">
        <f>AA81*0.001196975+Z81*0.001196975</f>
        <v/>
      </c>
      <c r="BA81" s="7">
        <f>D81*0.001196975+AA81*0.001196975</f>
        <v/>
      </c>
      <c r="BB81" s="7">
        <f>SUM(AD81:BA81)</f>
        <v/>
      </c>
    </row>
    <row r="82">
      <c r="A82" t="inlineStr">
        <is>
          <t>AMD-M2</t>
        </is>
      </c>
      <c r="B82" t="inlineStr">
        <is>
          <t>Forward Regular OSC</t>
        </is>
      </c>
      <c r="C82" s="5" t="n">
        <v>46095</v>
      </c>
      <c r="D82" s="6">
        <f>Summary!D82*0.05</f>
        <v/>
      </c>
      <c r="E82" s="6">
        <f>Summary!E82*0.05</f>
        <v/>
      </c>
      <c r="F82" s="6">
        <f>Summary!F82*0.05</f>
        <v/>
      </c>
      <c r="G82" s="6">
        <f>Summary!G82*0.05</f>
        <v/>
      </c>
      <c r="H82" s="6">
        <f>Summary!H82*0.05</f>
        <v/>
      </c>
      <c r="I82" s="6">
        <f>Summary!I82*0.05</f>
        <v/>
      </c>
      <c r="J82" s="6">
        <f>Summary!J82*0.05</f>
        <v/>
      </c>
      <c r="K82" s="6">
        <f>Summary!K82*0.05</f>
        <v/>
      </c>
      <c r="L82" s="6">
        <f>Summary!L82*0.05</f>
        <v/>
      </c>
      <c r="M82" s="6">
        <f>Summary!M82*0.05</f>
        <v/>
      </c>
      <c r="N82" s="6">
        <f>Summary!N82*0.05</f>
        <v/>
      </c>
      <c r="O82" s="6">
        <f>Summary!O82*0.05</f>
        <v/>
      </c>
      <c r="P82" s="6">
        <f>Summary!P82*0.05</f>
        <v/>
      </c>
      <c r="Q82" s="6">
        <f>Summary!Q82*0.05</f>
        <v/>
      </c>
      <c r="R82" s="6">
        <f>Summary!R82*0.05</f>
        <v/>
      </c>
      <c r="S82" s="6">
        <f>Summary!S82*0.05</f>
        <v/>
      </c>
      <c r="T82" s="6">
        <f>Summary!T82*0.05</f>
        <v/>
      </c>
      <c r="U82" s="6">
        <f>Summary!U82*0.05</f>
        <v/>
      </c>
      <c r="V82" s="6">
        <f>Summary!V82*0.05</f>
        <v/>
      </c>
      <c r="W82" s="6">
        <f>Summary!W82*0.05</f>
        <v/>
      </c>
      <c r="X82" s="6">
        <f>Summary!X82*0.05</f>
        <v/>
      </c>
      <c r="Y82" s="6">
        <f>Summary!Y82*0.05</f>
        <v/>
      </c>
      <c r="Z82" s="6">
        <f>Summary!Z82*0.05</f>
        <v/>
      </c>
      <c r="AA82" s="6">
        <f>Summary!AA82*0.05</f>
        <v/>
      </c>
      <c r="AB82" s="6">
        <f>SUM(D82:AA82)</f>
        <v/>
      </c>
      <c r="AC82" s="3" t="inlineStr"/>
      <c r="AD82" s="7">
        <f>E82*0.001196975+D82*0.001196975</f>
        <v/>
      </c>
      <c r="AE82" s="7">
        <f>F82*0.001196975+E82*0.001196975</f>
        <v/>
      </c>
      <c r="AF82" s="7">
        <f>G82*0.001196975+F82*0.001196975</f>
        <v/>
      </c>
      <c r="AG82" s="7">
        <f>H82*0.001196975+G82*0.001196975</f>
        <v/>
      </c>
      <c r="AH82" s="7">
        <f>I82*0.001196975+H82*0.001196975</f>
        <v/>
      </c>
      <c r="AI82" s="7">
        <f>J82*0.001196975+I82*0.001196975</f>
        <v/>
      </c>
      <c r="AJ82" s="7">
        <f>K82*0.001196975+J82*0.001196975</f>
        <v/>
      </c>
      <c r="AK82" s="7">
        <f>L82*0.001196975+K82*0.001196975</f>
        <v/>
      </c>
      <c r="AL82" s="7">
        <f>M82*0.001196975+L82*0.001196975</f>
        <v/>
      </c>
      <c r="AM82" s="7">
        <f>N82*0.001196975+M82*0.001196975</f>
        <v/>
      </c>
      <c r="AN82" s="7">
        <f>O82*0.001196975+N82*0.001196975</f>
        <v/>
      </c>
      <c r="AO82" s="7">
        <f>P82*0.001196975+O82*0.001196975</f>
        <v/>
      </c>
      <c r="AP82" s="7">
        <f>Q82*0.001196975+P82*0.001196975</f>
        <v/>
      </c>
      <c r="AQ82" s="7">
        <f>R82*0.001196975+Q82*0.001196975</f>
        <v/>
      </c>
      <c r="AR82" s="7">
        <f>S82*0.001196975+R82*0.001196975</f>
        <v/>
      </c>
      <c r="AS82" s="7">
        <f>T82*0.001196975+S82*0.001196975</f>
        <v/>
      </c>
      <c r="AT82" s="7">
        <f>U82*0.001196975+T82*0.001196975</f>
        <v/>
      </c>
      <c r="AU82" s="7">
        <f>V82*0.001196975+U82*0.001196975</f>
        <v/>
      </c>
      <c r="AV82" s="7">
        <f>W82*0.001196975+V82*0.001196975</f>
        <v/>
      </c>
      <c r="AW82" s="7">
        <f>X82*0.001196975+W82*0.001196975</f>
        <v/>
      </c>
      <c r="AX82" s="7">
        <f>Y82*0.001196975+X82*0.001196975</f>
        <v/>
      </c>
      <c r="AY82" s="7">
        <f>Z82*0.001196975+Y82*0.001196975</f>
        <v/>
      </c>
      <c r="AZ82" s="7">
        <f>AA82*0.001196975+Z82*0.001196975</f>
        <v/>
      </c>
      <c r="BA82" s="7">
        <f>D82*0.001196975+AA82*0.001196975</f>
        <v/>
      </c>
      <c r="BB82" s="7">
        <f>SUM(AD82:BA82)</f>
        <v/>
      </c>
    </row>
    <row r="83">
      <c r="A83" t="inlineStr">
        <is>
          <t>AMD-M2</t>
        </is>
      </c>
      <c r="B83" t="inlineStr">
        <is>
          <t>Forward Regular OSC</t>
        </is>
      </c>
      <c r="C83" s="5" t="n">
        <v>46096</v>
      </c>
      <c r="D83" s="6">
        <f>Summary!D83*0.05</f>
        <v/>
      </c>
      <c r="E83" s="6">
        <f>Summary!E83*0.05</f>
        <v/>
      </c>
      <c r="F83" s="6">
        <f>Summary!F83*0.05</f>
        <v/>
      </c>
      <c r="G83" s="6">
        <f>Summary!G83*0.05</f>
        <v/>
      </c>
      <c r="H83" s="6">
        <f>Summary!H83*0.05</f>
        <v/>
      </c>
      <c r="I83" s="6">
        <f>Summary!I83*0.05</f>
        <v/>
      </c>
      <c r="J83" s="6">
        <f>Summary!J83*0.05</f>
        <v/>
      </c>
      <c r="K83" s="6">
        <f>Summary!K83*0.05</f>
        <v/>
      </c>
      <c r="L83" s="6">
        <f>Summary!L83*0.05</f>
        <v/>
      </c>
      <c r="M83" s="6">
        <f>Summary!M83*0.05</f>
        <v/>
      </c>
      <c r="N83" s="6">
        <f>Summary!N83*0.05</f>
        <v/>
      </c>
      <c r="O83" s="6">
        <f>Summary!O83*0.05</f>
        <v/>
      </c>
      <c r="P83" s="6">
        <f>Summary!P83*0.05</f>
        <v/>
      </c>
      <c r="Q83" s="6">
        <f>Summary!Q83*0.05</f>
        <v/>
      </c>
      <c r="R83" s="6">
        <f>Summary!R83*0.05</f>
        <v/>
      </c>
      <c r="S83" s="6">
        <f>Summary!S83*0.05</f>
        <v/>
      </c>
      <c r="T83" s="6">
        <f>Summary!T83*0.05</f>
        <v/>
      </c>
      <c r="U83" s="6">
        <f>Summary!U83*0.05</f>
        <v/>
      </c>
      <c r="V83" s="6">
        <f>Summary!V83*0.05</f>
        <v/>
      </c>
      <c r="W83" s="6">
        <f>Summary!W83*0.05</f>
        <v/>
      </c>
      <c r="X83" s="6">
        <f>Summary!X83*0.05</f>
        <v/>
      </c>
      <c r="Y83" s="6">
        <f>Summary!Y83*0.05</f>
        <v/>
      </c>
      <c r="Z83" s="6">
        <f>Summary!Z83*0.05</f>
        <v/>
      </c>
      <c r="AA83" s="6">
        <f>Summary!AA83*0.05</f>
        <v/>
      </c>
      <c r="AB83" s="6">
        <f>SUM(D83:AA83)</f>
        <v/>
      </c>
      <c r="AC83" s="3" t="inlineStr"/>
      <c r="AD83" s="7">
        <f>E83*0.001196975+D83*0.001196975</f>
        <v/>
      </c>
      <c r="AE83" s="7">
        <f>F83*0.001196975+E83*0.001196975</f>
        <v/>
      </c>
      <c r="AF83" s="7">
        <f>G83*0.001196975+F83*0.001196975</f>
        <v/>
      </c>
      <c r="AG83" s="7">
        <f>H83*0.001196975+G83*0.001196975</f>
        <v/>
      </c>
      <c r="AH83" s="7">
        <f>I83*0.001196975+H83*0.001196975</f>
        <v/>
      </c>
      <c r="AI83" s="7">
        <f>J83*0.001196975+I83*0.001196975</f>
        <v/>
      </c>
      <c r="AJ83" s="7">
        <f>K83*0.001196975+J83*0.001196975</f>
        <v/>
      </c>
      <c r="AK83" s="7">
        <f>L83*0.001196975+K83*0.001196975</f>
        <v/>
      </c>
      <c r="AL83" s="7">
        <f>M83*0.001196975+L83*0.001196975</f>
        <v/>
      </c>
      <c r="AM83" s="7">
        <f>N83*0.001196975+M83*0.001196975</f>
        <v/>
      </c>
      <c r="AN83" s="7">
        <f>O83*0.001196975+N83*0.001196975</f>
        <v/>
      </c>
      <c r="AO83" s="7">
        <f>P83*0.001196975+O83*0.001196975</f>
        <v/>
      </c>
      <c r="AP83" s="7">
        <f>Q83*0.001196975+P83*0.001196975</f>
        <v/>
      </c>
      <c r="AQ83" s="7">
        <f>R83*0.001196975+Q83*0.001196975</f>
        <v/>
      </c>
      <c r="AR83" s="7">
        <f>S83*0.001196975+R83*0.001196975</f>
        <v/>
      </c>
      <c r="AS83" s="7">
        <f>T83*0.001196975+S83*0.001196975</f>
        <v/>
      </c>
      <c r="AT83" s="7">
        <f>U83*0.001196975+T83*0.001196975</f>
        <v/>
      </c>
      <c r="AU83" s="7">
        <f>V83*0.001196975+U83*0.001196975</f>
        <v/>
      </c>
      <c r="AV83" s="7">
        <f>W83*0.001196975+V83*0.001196975</f>
        <v/>
      </c>
      <c r="AW83" s="7">
        <f>X83*0.001196975+W83*0.001196975</f>
        <v/>
      </c>
      <c r="AX83" s="7">
        <f>Y83*0.001196975+X83*0.001196975</f>
        <v/>
      </c>
      <c r="AY83" s="7">
        <f>Z83*0.001196975+Y83*0.001196975</f>
        <v/>
      </c>
      <c r="AZ83" s="7">
        <f>AA83*0.001196975+Z83*0.001196975</f>
        <v/>
      </c>
      <c r="BA83" s="7">
        <f>D83*0.001196975+AA83*0.001196975</f>
        <v/>
      </c>
      <c r="BB83" s="7">
        <f>SUM(AD83:BA83)</f>
        <v/>
      </c>
    </row>
    <row r="84">
      <c r="A84" t="inlineStr">
        <is>
          <t>AMD-M2</t>
        </is>
      </c>
      <c r="B84" t="inlineStr">
        <is>
          <t>Forward Regular OSC</t>
        </is>
      </c>
      <c r="C84" s="5" t="n">
        <v>46097</v>
      </c>
      <c r="D84" s="6">
        <f>Summary!D84*0.05</f>
        <v/>
      </c>
      <c r="E84" s="6">
        <f>Summary!E84*0.05</f>
        <v/>
      </c>
      <c r="F84" s="6">
        <f>Summary!F84*0.05</f>
        <v/>
      </c>
      <c r="G84" s="6">
        <f>Summary!G84*0.05</f>
        <v/>
      </c>
      <c r="H84" s="6">
        <f>Summary!H84*0.05</f>
        <v/>
      </c>
      <c r="I84" s="6">
        <f>Summary!I84*0.05</f>
        <v/>
      </c>
      <c r="J84" s="6">
        <f>Summary!J84*0.05</f>
        <v/>
      </c>
      <c r="K84" s="6">
        <f>Summary!K84*0.05</f>
        <v/>
      </c>
      <c r="L84" s="6">
        <f>Summary!L84*0.05</f>
        <v/>
      </c>
      <c r="M84" s="6">
        <f>Summary!M84*0.05</f>
        <v/>
      </c>
      <c r="N84" s="6">
        <f>Summary!N84*0.05</f>
        <v/>
      </c>
      <c r="O84" s="6">
        <f>Summary!O84*0.05</f>
        <v/>
      </c>
      <c r="P84" s="6">
        <f>Summary!P84*0.05</f>
        <v/>
      </c>
      <c r="Q84" s="6">
        <f>Summary!Q84*0.05</f>
        <v/>
      </c>
      <c r="R84" s="6">
        <f>Summary!R84*0.05</f>
        <v/>
      </c>
      <c r="S84" s="6">
        <f>Summary!S84*0.05</f>
        <v/>
      </c>
      <c r="T84" s="6">
        <f>Summary!T84*0.05</f>
        <v/>
      </c>
      <c r="U84" s="6">
        <f>Summary!U84*0.05</f>
        <v/>
      </c>
      <c r="V84" s="6">
        <f>Summary!V84*0.05</f>
        <v/>
      </c>
      <c r="W84" s="6">
        <f>Summary!W84*0.05</f>
        <v/>
      </c>
      <c r="X84" s="6">
        <f>Summary!X84*0.05</f>
        <v/>
      </c>
      <c r="Y84" s="6">
        <f>Summary!Y84*0.05</f>
        <v/>
      </c>
      <c r="Z84" s="6">
        <f>Summary!Z84*0.05</f>
        <v/>
      </c>
      <c r="AA84" s="6">
        <f>Summary!AA84*0.05</f>
        <v/>
      </c>
      <c r="AB84" s="6">
        <f>SUM(D84:AA84)</f>
        <v/>
      </c>
      <c r="AC84" s="3" t="inlineStr"/>
      <c r="AD84" s="7">
        <f>E84*0.001196975+D84*0.001196975</f>
        <v/>
      </c>
      <c r="AE84" s="7">
        <f>F84*0.001196975+E84*0.001196975</f>
        <v/>
      </c>
      <c r="AF84" s="7">
        <f>G84*0.001196975+F84*0.001196975</f>
        <v/>
      </c>
      <c r="AG84" s="7">
        <f>H84*0.001196975+G84*0.001196975</f>
        <v/>
      </c>
      <c r="AH84" s="7">
        <f>I84*0.001196975+H84*0.001196975</f>
        <v/>
      </c>
      <c r="AI84" s="7">
        <f>J84*0.001196975+I84*0.001196975</f>
        <v/>
      </c>
      <c r="AJ84" s="7">
        <f>K84*0.001196975+J84*0.001196975</f>
        <v/>
      </c>
      <c r="AK84" s="7">
        <f>L84*0.001196975+K84*0.001196975</f>
        <v/>
      </c>
      <c r="AL84" s="7">
        <f>M84*0.001196975+L84*0.001196975</f>
        <v/>
      </c>
      <c r="AM84" s="7">
        <f>N84*0.001196975+M84*0.001196975</f>
        <v/>
      </c>
      <c r="AN84" s="7">
        <f>O84*0.001196975+N84*0.001196975</f>
        <v/>
      </c>
      <c r="AO84" s="7">
        <f>P84*0.001196975+O84*0.001196975</f>
        <v/>
      </c>
      <c r="AP84" s="7">
        <f>Q84*0.001196975+P84*0.001196975</f>
        <v/>
      </c>
      <c r="AQ84" s="7">
        <f>R84*0.001196975+Q84*0.001196975</f>
        <v/>
      </c>
      <c r="AR84" s="7">
        <f>S84*0.001196975+R84*0.001196975</f>
        <v/>
      </c>
      <c r="AS84" s="7">
        <f>T84*0.001196975+S84*0.001196975</f>
        <v/>
      </c>
      <c r="AT84" s="7">
        <f>U84*0.001196975+T84*0.001196975</f>
        <v/>
      </c>
      <c r="AU84" s="7">
        <f>V84*0.001196975+U84*0.001196975</f>
        <v/>
      </c>
      <c r="AV84" s="7">
        <f>W84*0.001196975+V84*0.001196975</f>
        <v/>
      </c>
      <c r="AW84" s="7">
        <f>X84*0.001196975+W84*0.001196975</f>
        <v/>
      </c>
      <c r="AX84" s="7">
        <f>Y84*0.001196975+X84*0.001196975</f>
        <v/>
      </c>
      <c r="AY84" s="7">
        <f>Z84*0.001196975+Y84*0.001196975</f>
        <v/>
      </c>
      <c r="AZ84" s="7">
        <f>AA84*0.001196975+Z84*0.001196975</f>
        <v/>
      </c>
      <c r="BA84" s="7">
        <f>D84*0.001196975+AA84*0.001196975</f>
        <v/>
      </c>
      <c r="BB84" s="7">
        <f>SUM(AD84:BA84)</f>
        <v/>
      </c>
    </row>
    <row r="85">
      <c r="A85" t="inlineStr">
        <is>
          <t>AMD-MU-01</t>
        </is>
      </c>
      <c r="B85" t="inlineStr">
        <is>
          <t>Forward Regular OSC</t>
        </is>
      </c>
      <c r="C85" s="5" t="n">
        <v>46091</v>
      </c>
      <c r="D85" s="6">
        <f>Summary!D85*0.05</f>
        <v/>
      </c>
      <c r="E85" s="6">
        <f>Summary!E85*0.05</f>
        <v/>
      </c>
      <c r="F85" s="6">
        <f>Summary!F85*0.05</f>
        <v/>
      </c>
      <c r="G85" s="6">
        <f>Summary!G85*0.05</f>
        <v/>
      </c>
      <c r="H85" s="6">
        <f>Summary!H85*0.05</f>
        <v/>
      </c>
      <c r="I85" s="6">
        <f>Summary!I85*0.05</f>
        <v/>
      </c>
      <c r="J85" s="6">
        <f>Summary!J85*0.05</f>
        <v/>
      </c>
      <c r="K85" s="6">
        <f>Summary!K85*0.05</f>
        <v/>
      </c>
      <c r="L85" s="6">
        <f>Summary!L85*0.05</f>
        <v/>
      </c>
      <c r="M85" s="6">
        <f>Summary!M85*0.05</f>
        <v/>
      </c>
      <c r="N85" s="6">
        <f>Summary!N85*0.05</f>
        <v/>
      </c>
      <c r="O85" s="6">
        <f>Summary!O85*0.05</f>
        <v/>
      </c>
      <c r="P85" s="6">
        <f>Summary!P85*0.05</f>
        <v/>
      </c>
      <c r="Q85" s="6">
        <f>Summary!Q85*0.05</f>
        <v/>
      </c>
      <c r="R85" s="6">
        <f>Summary!R85*0.05</f>
        <v/>
      </c>
      <c r="S85" s="6">
        <f>Summary!S85*0.05</f>
        <v/>
      </c>
      <c r="T85" s="6">
        <f>Summary!T85*0.05</f>
        <v/>
      </c>
      <c r="U85" s="6">
        <f>Summary!U85*0.05</f>
        <v/>
      </c>
      <c r="V85" s="6">
        <f>Summary!V85*0.05</f>
        <v/>
      </c>
      <c r="W85" s="6">
        <f>Summary!W85*0.05</f>
        <v/>
      </c>
      <c r="X85" s="6">
        <f>Summary!X85*0.05</f>
        <v/>
      </c>
      <c r="Y85" s="6">
        <f>Summary!Y85*0.05</f>
        <v/>
      </c>
      <c r="Z85" s="6">
        <f>Summary!Z85*0.05</f>
        <v/>
      </c>
      <c r="AA85" s="6">
        <f>Summary!AA85*0.05</f>
        <v/>
      </c>
      <c r="AB85" s="6">
        <f>SUM(D85:AA85)</f>
        <v/>
      </c>
      <c r="AC85" s="3" t="inlineStr"/>
      <c r="AD85" s="7">
        <f>E85*0.001196975+D85*0.001196975</f>
        <v/>
      </c>
      <c r="AE85" s="7">
        <f>F85*0.001196975+E85*0.001196975</f>
        <v/>
      </c>
      <c r="AF85" s="7">
        <f>G85*0.001196975+F85*0.001196975</f>
        <v/>
      </c>
      <c r="AG85" s="7">
        <f>H85*0.001196975+G85*0.001196975</f>
        <v/>
      </c>
      <c r="AH85" s="7">
        <f>I85*0.001196975+H85*0.001196975</f>
        <v/>
      </c>
      <c r="AI85" s="7">
        <f>J85*0.001196975+I85*0.001196975</f>
        <v/>
      </c>
      <c r="AJ85" s="7">
        <f>K85*0.001196975+J85*0.001196975</f>
        <v/>
      </c>
      <c r="AK85" s="7">
        <f>L85*0.001196975+K85*0.001196975</f>
        <v/>
      </c>
      <c r="AL85" s="7">
        <f>M85*0.001196975+L85*0.001196975</f>
        <v/>
      </c>
      <c r="AM85" s="7">
        <f>N85*0.001196975+M85*0.001196975</f>
        <v/>
      </c>
      <c r="AN85" s="7">
        <f>O85*0.001196975+N85*0.001196975</f>
        <v/>
      </c>
      <c r="AO85" s="7">
        <f>P85*0.001196975+O85*0.001196975</f>
        <v/>
      </c>
      <c r="AP85" s="7">
        <f>Q85*0.001196975+P85*0.001196975</f>
        <v/>
      </c>
      <c r="AQ85" s="7">
        <f>R85*0.001196975+Q85*0.001196975</f>
        <v/>
      </c>
      <c r="AR85" s="7">
        <f>S85*0.001196975+R85*0.001196975</f>
        <v/>
      </c>
      <c r="AS85" s="7">
        <f>T85*0.001196975+S85*0.001196975</f>
        <v/>
      </c>
      <c r="AT85" s="7">
        <f>U85*0.001196975+T85*0.001196975</f>
        <v/>
      </c>
      <c r="AU85" s="7">
        <f>V85*0.001196975+U85*0.001196975</f>
        <v/>
      </c>
      <c r="AV85" s="7">
        <f>W85*0.001196975+V85*0.001196975</f>
        <v/>
      </c>
      <c r="AW85" s="7">
        <f>X85*0.001196975+W85*0.001196975</f>
        <v/>
      </c>
      <c r="AX85" s="7">
        <f>Y85*0.001196975+X85*0.001196975</f>
        <v/>
      </c>
      <c r="AY85" s="7">
        <f>Z85*0.001196975+Y85*0.001196975</f>
        <v/>
      </c>
      <c r="AZ85" s="7">
        <f>AA85*0.001196975+Z85*0.001196975</f>
        <v/>
      </c>
      <c r="BA85" s="7">
        <f>D85*0.001196975+AA85*0.001196975</f>
        <v/>
      </c>
      <c r="BB85" s="7">
        <f>SUM(AD85:BA85)</f>
        <v/>
      </c>
    </row>
    <row r="86">
      <c r="A86" t="inlineStr">
        <is>
          <t>AMD-RTS-RCLS-1302-SSC</t>
        </is>
      </c>
      <c r="B86" t="inlineStr">
        <is>
          <t>Rev OSC</t>
        </is>
      </c>
      <c r="C86" s="5" t="n">
        <v>46089</v>
      </c>
      <c r="D86" s="6" t="n">
        <v>0</v>
      </c>
      <c r="E86" s="6" t="n">
        <v>0</v>
      </c>
      <c r="F86" s="6" t="n">
        <v>0</v>
      </c>
      <c r="G86" s="6" t="n">
        <v>0</v>
      </c>
      <c r="H86" s="6" t="n">
        <v>0</v>
      </c>
      <c r="I86" s="6" t="n">
        <v>0</v>
      </c>
      <c r="J86" s="6" t="n">
        <v>0</v>
      </c>
      <c r="K86" s="6" t="n">
        <v>0</v>
      </c>
      <c r="L86" s="6" t="n">
        <v>0</v>
      </c>
      <c r="M86" s="6" t="n">
        <v>0</v>
      </c>
      <c r="N86" s="6" t="n">
        <v>0</v>
      </c>
      <c r="O86" s="6" t="n">
        <v>0</v>
      </c>
      <c r="P86" s="6" t="n">
        <v>0</v>
      </c>
      <c r="Q86" s="6" t="n">
        <v>0</v>
      </c>
      <c r="R86" s="6" t="n">
        <v>0</v>
      </c>
      <c r="S86" s="6" t="n">
        <v>0</v>
      </c>
      <c r="T86" s="6" t="n">
        <v>0</v>
      </c>
      <c r="U86" s="6" t="n">
        <v>0</v>
      </c>
      <c r="V86" s="6" t="n">
        <v>0</v>
      </c>
      <c r="W86" s="6" t="n">
        <v>0</v>
      </c>
      <c r="X86" s="6" t="n">
        <v>0</v>
      </c>
      <c r="Y86" s="6" t="n">
        <v>0</v>
      </c>
      <c r="Z86" s="6" t="n">
        <v>0</v>
      </c>
      <c r="AA86" s="6" t="n">
        <v>0</v>
      </c>
      <c r="AB86" s="6">
        <f>SUM(D86:AA86)</f>
        <v/>
      </c>
      <c r="AC86" s="3" t="inlineStr"/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7" t="n">
        <v>0</v>
      </c>
      <c r="BB86" s="7">
        <f>SUM(AD86:BA86)</f>
        <v/>
      </c>
    </row>
    <row r="87">
      <c r="A87" t="inlineStr">
        <is>
          <t>AMD-RTS-RCLS-1302-SSC</t>
        </is>
      </c>
      <c r="B87" t="inlineStr">
        <is>
          <t>Rev OSC</t>
        </is>
      </c>
      <c r="C87" s="5" t="n">
        <v>46090</v>
      </c>
      <c r="D87" s="6" t="n">
        <v>0</v>
      </c>
      <c r="E87" s="6" t="n">
        <v>0</v>
      </c>
      <c r="F87" s="6" t="n">
        <v>0</v>
      </c>
      <c r="G87" s="6" t="n">
        <v>0</v>
      </c>
      <c r="H87" s="6" t="n">
        <v>0</v>
      </c>
      <c r="I87" s="6" t="n">
        <v>0</v>
      </c>
      <c r="J87" s="6" t="n">
        <v>0</v>
      </c>
      <c r="K87" s="6" t="n">
        <v>0</v>
      </c>
      <c r="L87" s="6" t="n">
        <v>0</v>
      </c>
      <c r="M87" s="6" t="n">
        <v>0</v>
      </c>
      <c r="N87" s="6" t="n">
        <v>0</v>
      </c>
      <c r="O87" s="6" t="n">
        <v>0</v>
      </c>
      <c r="P87" s="6" t="n">
        <v>0</v>
      </c>
      <c r="Q87" s="6" t="n">
        <v>0</v>
      </c>
      <c r="R87" s="6" t="n">
        <v>0</v>
      </c>
      <c r="S87" s="6" t="n">
        <v>0</v>
      </c>
      <c r="T87" s="6" t="n">
        <v>0</v>
      </c>
      <c r="U87" s="6" t="n">
        <v>0</v>
      </c>
      <c r="V87" s="6" t="n">
        <v>0</v>
      </c>
      <c r="W87" s="6" t="n">
        <v>0</v>
      </c>
      <c r="X87" s="6" t="n">
        <v>0</v>
      </c>
      <c r="Y87" s="6" t="n">
        <v>0</v>
      </c>
      <c r="Z87" s="6" t="n">
        <v>0</v>
      </c>
      <c r="AA87" s="6" t="n">
        <v>0</v>
      </c>
      <c r="AB87" s="6">
        <f>SUM(D87:AA87)</f>
        <v/>
      </c>
      <c r="AC87" s="3" t="inlineStr"/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0</v>
      </c>
      <c r="BA87" s="7" t="n">
        <v>0</v>
      </c>
      <c r="BB87" s="7">
        <f>SUM(AD87:BA87)</f>
        <v/>
      </c>
    </row>
    <row r="88">
      <c r="A88" t="inlineStr">
        <is>
          <t>AMD-RTS-RCLS-1302-SSC</t>
        </is>
      </c>
      <c r="B88" t="inlineStr">
        <is>
          <t>Rev OSC</t>
        </is>
      </c>
      <c r="C88" s="5" t="n">
        <v>46092</v>
      </c>
      <c r="D88" s="6" t="n">
        <v>0</v>
      </c>
      <c r="E88" s="6" t="n">
        <v>0</v>
      </c>
      <c r="F88" s="6" t="n">
        <v>0</v>
      </c>
      <c r="G88" s="6" t="n">
        <v>0</v>
      </c>
      <c r="H88" s="6" t="n">
        <v>0</v>
      </c>
      <c r="I88" s="6" t="n">
        <v>0</v>
      </c>
      <c r="J88" s="6" t="n">
        <v>0</v>
      </c>
      <c r="K88" s="6" t="n">
        <v>0</v>
      </c>
      <c r="L88" s="6" t="n">
        <v>0</v>
      </c>
      <c r="M88" s="6" t="n">
        <v>0</v>
      </c>
      <c r="N88" s="6" t="n">
        <v>0</v>
      </c>
      <c r="O88" s="6" t="n">
        <v>0</v>
      </c>
      <c r="P88" s="6" t="n">
        <v>0</v>
      </c>
      <c r="Q88" s="6" t="n">
        <v>0</v>
      </c>
      <c r="R88" s="6" t="n">
        <v>0</v>
      </c>
      <c r="S88" s="6" t="n">
        <v>0</v>
      </c>
      <c r="T88" s="6" t="n">
        <v>0</v>
      </c>
      <c r="U88" s="6" t="n">
        <v>0</v>
      </c>
      <c r="V88" s="6" t="n">
        <v>0</v>
      </c>
      <c r="W88" s="6" t="n">
        <v>0</v>
      </c>
      <c r="X88" s="6" t="n">
        <v>0</v>
      </c>
      <c r="Y88" s="6" t="n">
        <v>0</v>
      </c>
      <c r="Z88" s="6" t="n">
        <v>0</v>
      </c>
      <c r="AA88" s="6" t="n">
        <v>0</v>
      </c>
      <c r="AB88" s="6">
        <f>SUM(D88:AA88)</f>
        <v/>
      </c>
      <c r="AC88" s="3" t="inlineStr"/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7" t="n">
        <v>0</v>
      </c>
      <c r="BB88" s="7">
        <f>SUM(AD88:BA88)</f>
        <v/>
      </c>
    </row>
    <row r="89">
      <c r="A89" t="inlineStr">
        <is>
          <t>AMD-RTS-RCLS-1302-SSC</t>
        </is>
      </c>
      <c r="B89" t="inlineStr">
        <is>
          <t>Rev OSC</t>
        </is>
      </c>
      <c r="C89" s="5" t="n">
        <v>46093</v>
      </c>
      <c r="D89" s="6" t="n">
        <v>0</v>
      </c>
      <c r="E89" s="6" t="n">
        <v>0</v>
      </c>
      <c r="F89" s="6" t="n">
        <v>0</v>
      </c>
      <c r="G89" s="6" t="n">
        <v>0</v>
      </c>
      <c r="H89" s="6" t="n">
        <v>0</v>
      </c>
      <c r="I89" s="6" t="n">
        <v>0</v>
      </c>
      <c r="J89" s="6" t="n">
        <v>0</v>
      </c>
      <c r="K89" s="6" t="n">
        <v>0</v>
      </c>
      <c r="L89" s="6" t="n">
        <v>0</v>
      </c>
      <c r="M89" s="6" t="n">
        <v>0</v>
      </c>
      <c r="N89" s="6" t="n">
        <v>0</v>
      </c>
      <c r="O89" s="6" t="n">
        <v>0</v>
      </c>
      <c r="P89" s="6" t="n">
        <v>0</v>
      </c>
      <c r="Q89" s="6" t="n">
        <v>0</v>
      </c>
      <c r="R89" s="6" t="n">
        <v>0</v>
      </c>
      <c r="S89" s="6" t="n">
        <v>0</v>
      </c>
      <c r="T89" s="6" t="n">
        <v>0</v>
      </c>
      <c r="U89" s="6" t="n">
        <v>0</v>
      </c>
      <c r="V89" s="6" t="n">
        <v>0</v>
      </c>
      <c r="W89" s="6" t="n">
        <v>0</v>
      </c>
      <c r="X89" s="6" t="n">
        <v>0</v>
      </c>
      <c r="Y89" s="6" t="n">
        <v>0</v>
      </c>
      <c r="Z89" s="6" t="n">
        <v>0</v>
      </c>
      <c r="AA89" s="6" t="n">
        <v>0</v>
      </c>
      <c r="AB89" s="6">
        <f>SUM(D89:AA89)</f>
        <v/>
      </c>
      <c r="AC89" s="3" t="inlineStr"/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0</v>
      </c>
      <c r="BA89" s="7" t="n">
        <v>0</v>
      </c>
      <c r="BB89" s="7">
        <f>SUM(AD89:BA89)</f>
        <v/>
      </c>
    </row>
    <row r="90">
      <c r="A90" t="inlineStr">
        <is>
          <t>AMD-RTS-RCLS-1302-SSC</t>
        </is>
      </c>
      <c r="B90" t="inlineStr">
        <is>
          <t>Rev OSC</t>
        </is>
      </c>
      <c r="C90" s="5" t="n">
        <v>46094</v>
      </c>
      <c r="D90" s="6" t="n">
        <v>0</v>
      </c>
      <c r="E90" s="6" t="n">
        <v>0</v>
      </c>
      <c r="F90" s="6" t="n">
        <v>0</v>
      </c>
      <c r="G90" s="6" t="n">
        <v>0</v>
      </c>
      <c r="H90" s="6" t="n">
        <v>0</v>
      </c>
      <c r="I90" s="6" t="n">
        <v>0</v>
      </c>
      <c r="J90" s="6" t="n">
        <v>0</v>
      </c>
      <c r="K90" s="6" t="n">
        <v>0</v>
      </c>
      <c r="L90" s="6" t="n">
        <v>0</v>
      </c>
      <c r="M90" s="6" t="n">
        <v>0</v>
      </c>
      <c r="N90" s="6" t="n">
        <v>0</v>
      </c>
      <c r="O90" s="6" t="n">
        <v>0</v>
      </c>
      <c r="P90" s="6" t="n">
        <v>0</v>
      </c>
      <c r="Q90" s="6" t="n">
        <v>0</v>
      </c>
      <c r="R90" s="6" t="n">
        <v>0</v>
      </c>
      <c r="S90" s="6" t="n">
        <v>0</v>
      </c>
      <c r="T90" s="6" t="n">
        <v>0</v>
      </c>
      <c r="U90" s="6" t="n">
        <v>0</v>
      </c>
      <c r="V90" s="6" t="n">
        <v>0</v>
      </c>
      <c r="W90" s="6" t="n">
        <v>0</v>
      </c>
      <c r="X90" s="6" t="n">
        <v>0</v>
      </c>
      <c r="Y90" s="6" t="n">
        <v>0</v>
      </c>
      <c r="Z90" s="6" t="n">
        <v>0</v>
      </c>
      <c r="AA90" s="6" t="n">
        <v>0</v>
      </c>
      <c r="AB90" s="6">
        <f>SUM(D90:AA90)</f>
        <v/>
      </c>
      <c r="AC90" s="3" t="inlineStr"/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7" t="n">
        <v>0</v>
      </c>
      <c r="BB90" s="7">
        <f>SUM(AD90:BA90)</f>
        <v/>
      </c>
    </row>
    <row r="91">
      <c r="A91" t="inlineStr">
        <is>
          <t>AMD-RTS-RCLS-1302-SSC</t>
        </is>
      </c>
      <c r="B91" t="inlineStr">
        <is>
          <t>Rev OSC</t>
        </is>
      </c>
      <c r="C91" s="5" t="n">
        <v>46095</v>
      </c>
      <c r="D91" s="6" t="n">
        <v>0</v>
      </c>
      <c r="E91" s="6" t="n">
        <v>0</v>
      </c>
      <c r="F91" s="6" t="n">
        <v>0</v>
      </c>
      <c r="G91" s="6" t="n">
        <v>0</v>
      </c>
      <c r="H91" s="6" t="n">
        <v>0</v>
      </c>
      <c r="I91" s="6" t="n">
        <v>0</v>
      </c>
      <c r="J91" s="6" t="n">
        <v>0</v>
      </c>
      <c r="K91" s="6" t="n">
        <v>0</v>
      </c>
      <c r="L91" s="6" t="n">
        <v>0</v>
      </c>
      <c r="M91" s="6" t="n">
        <v>0</v>
      </c>
      <c r="N91" s="6" t="n">
        <v>0</v>
      </c>
      <c r="O91" s="6" t="n">
        <v>0</v>
      </c>
      <c r="P91" s="6" t="n">
        <v>0</v>
      </c>
      <c r="Q91" s="6" t="n">
        <v>0</v>
      </c>
      <c r="R91" s="6" t="n">
        <v>0</v>
      </c>
      <c r="S91" s="6" t="n">
        <v>0</v>
      </c>
      <c r="T91" s="6" t="n">
        <v>0</v>
      </c>
      <c r="U91" s="6" t="n">
        <v>0</v>
      </c>
      <c r="V91" s="6" t="n">
        <v>0</v>
      </c>
      <c r="W91" s="6" t="n">
        <v>0</v>
      </c>
      <c r="X91" s="6" t="n">
        <v>0</v>
      </c>
      <c r="Y91" s="6" t="n">
        <v>0</v>
      </c>
      <c r="Z91" s="6" t="n">
        <v>0</v>
      </c>
      <c r="AA91" s="6" t="n">
        <v>0</v>
      </c>
      <c r="AB91" s="6">
        <f>SUM(D91:AA91)</f>
        <v/>
      </c>
      <c r="AC91" s="3" t="inlineStr"/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0</v>
      </c>
      <c r="BA91" s="7" t="n">
        <v>0</v>
      </c>
      <c r="BB91" s="7">
        <f>SUM(AD91:BA91)</f>
        <v/>
      </c>
    </row>
    <row r="92">
      <c r="A92" t="inlineStr">
        <is>
          <t>AMD-RTS-RCLS-1302-SSC</t>
        </is>
      </c>
      <c r="B92" t="inlineStr">
        <is>
          <t>Rev OSC</t>
        </is>
      </c>
      <c r="C92" s="5" t="n">
        <v>46096</v>
      </c>
      <c r="D92" s="6" t="n">
        <v>0</v>
      </c>
      <c r="E92" s="6" t="n">
        <v>0</v>
      </c>
      <c r="F92" s="6" t="n">
        <v>0</v>
      </c>
      <c r="G92" s="6" t="n">
        <v>0</v>
      </c>
      <c r="H92" s="6" t="n">
        <v>0</v>
      </c>
      <c r="I92" s="6" t="n">
        <v>0</v>
      </c>
      <c r="J92" s="6" t="n">
        <v>0</v>
      </c>
      <c r="K92" s="6" t="n">
        <v>0</v>
      </c>
      <c r="L92" s="6" t="n">
        <v>0</v>
      </c>
      <c r="M92" s="6" t="n">
        <v>0</v>
      </c>
      <c r="N92" s="6" t="n">
        <v>0</v>
      </c>
      <c r="O92" s="6" t="n">
        <v>0</v>
      </c>
      <c r="P92" s="6" t="n">
        <v>0</v>
      </c>
      <c r="Q92" s="6" t="n">
        <v>0</v>
      </c>
      <c r="R92" s="6" t="n">
        <v>0</v>
      </c>
      <c r="S92" s="6" t="n">
        <v>0</v>
      </c>
      <c r="T92" s="6" t="n">
        <v>0</v>
      </c>
      <c r="U92" s="6" t="n">
        <v>0</v>
      </c>
      <c r="V92" s="6" t="n">
        <v>0</v>
      </c>
      <c r="W92" s="6" t="n">
        <v>0</v>
      </c>
      <c r="X92" s="6" t="n">
        <v>0</v>
      </c>
      <c r="Y92" s="6" t="n">
        <v>0</v>
      </c>
      <c r="Z92" s="6" t="n">
        <v>0</v>
      </c>
      <c r="AA92" s="6" t="n">
        <v>0</v>
      </c>
      <c r="AB92" s="6">
        <f>SUM(D92:AA92)</f>
        <v/>
      </c>
      <c r="AC92" s="3" t="inlineStr"/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7" t="n">
        <v>0</v>
      </c>
      <c r="BB92" s="7">
        <f>SUM(AD92:BA92)</f>
        <v/>
      </c>
    </row>
    <row r="93">
      <c r="A93" t="inlineStr">
        <is>
          <t>AMD-RTS-RCLS-1302-SSC</t>
        </is>
      </c>
      <c r="B93" t="inlineStr">
        <is>
          <t>Rev OSC</t>
        </is>
      </c>
      <c r="C93" s="5" t="n">
        <v>46097</v>
      </c>
      <c r="D93" s="6" t="n">
        <v>0</v>
      </c>
      <c r="E93" s="6" t="n">
        <v>0</v>
      </c>
      <c r="F93" s="6" t="n">
        <v>0</v>
      </c>
      <c r="G93" s="6" t="n">
        <v>0</v>
      </c>
      <c r="H93" s="6" t="n">
        <v>0</v>
      </c>
      <c r="I93" s="6" t="n">
        <v>0</v>
      </c>
      <c r="J93" s="6" t="n">
        <v>0</v>
      </c>
      <c r="K93" s="6" t="n">
        <v>0</v>
      </c>
      <c r="L93" s="6" t="n">
        <v>0</v>
      </c>
      <c r="M93" s="6" t="n">
        <v>0</v>
      </c>
      <c r="N93" s="6" t="n">
        <v>0</v>
      </c>
      <c r="O93" s="6" t="n">
        <v>0</v>
      </c>
      <c r="P93" s="6" t="n">
        <v>0</v>
      </c>
      <c r="Q93" s="6" t="n">
        <v>0</v>
      </c>
      <c r="R93" s="6" t="n">
        <v>0</v>
      </c>
      <c r="S93" s="6" t="n">
        <v>0</v>
      </c>
      <c r="T93" s="6" t="n">
        <v>0</v>
      </c>
      <c r="U93" s="6" t="n">
        <v>0</v>
      </c>
      <c r="V93" s="6" t="n">
        <v>0</v>
      </c>
      <c r="W93" s="6" t="n">
        <v>0</v>
      </c>
      <c r="X93" s="6" t="n">
        <v>0</v>
      </c>
      <c r="Y93" s="6" t="n">
        <v>0</v>
      </c>
      <c r="Z93" s="6" t="n">
        <v>0</v>
      </c>
      <c r="AA93" s="6" t="n">
        <v>0</v>
      </c>
      <c r="AB93" s="6">
        <f>SUM(D93:AA93)</f>
        <v/>
      </c>
      <c r="AC93" s="3" t="inlineStr"/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0</v>
      </c>
      <c r="BA93" s="7" t="n">
        <v>0</v>
      </c>
      <c r="BB93" s="7">
        <f>SUM(AD93:BA93)</f>
        <v/>
      </c>
    </row>
    <row r="94">
      <c r="A94" t="inlineStr">
        <is>
          <t>AMD-RTS-RCLS-1302-SSC</t>
        </is>
      </c>
      <c r="B94" t="inlineStr">
        <is>
          <t>Rev OSC</t>
        </is>
      </c>
      <c r="C94" s="5" t="n">
        <v>46100</v>
      </c>
      <c r="D94" s="6" t="n">
        <v>0</v>
      </c>
      <c r="E94" s="6" t="n">
        <v>0</v>
      </c>
      <c r="F94" s="6" t="n">
        <v>0</v>
      </c>
      <c r="G94" s="6" t="n">
        <v>0</v>
      </c>
      <c r="H94" s="6" t="n">
        <v>0</v>
      </c>
      <c r="I94" s="6" t="n">
        <v>0</v>
      </c>
      <c r="J94" s="6" t="n">
        <v>0</v>
      </c>
      <c r="K94" s="6" t="n">
        <v>0</v>
      </c>
      <c r="L94" s="6" t="n">
        <v>0</v>
      </c>
      <c r="M94" s="6" t="n">
        <v>0</v>
      </c>
      <c r="N94" s="6" t="n">
        <v>0</v>
      </c>
      <c r="O94" s="6" t="n">
        <v>0</v>
      </c>
      <c r="P94" s="6" t="n">
        <v>0</v>
      </c>
      <c r="Q94" s="6" t="n">
        <v>0</v>
      </c>
      <c r="R94" s="6" t="n">
        <v>0</v>
      </c>
      <c r="S94" s="6" t="n">
        <v>0</v>
      </c>
      <c r="T94" s="6" t="n">
        <v>0</v>
      </c>
      <c r="U94" s="6" t="n">
        <v>0</v>
      </c>
      <c r="V94" s="6" t="n">
        <v>0</v>
      </c>
      <c r="W94" s="6" t="n">
        <v>0</v>
      </c>
      <c r="X94" s="6" t="n">
        <v>0</v>
      </c>
      <c r="Y94" s="6" t="n">
        <v>0</v>
      </c>
      <c r="Z94" s="6" t="n">
        <v>0</v>
      </c>
      <c r="AA94" s="6" t="n">
        <v>0</v>
      </c>
      <c r="AB94" s="6">
        <f>SUM(D94:AA94)</f>
        <v/>
      </c>
      <c r="AC94" s="3" t="inlineStr"/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7" t="n">
        <v>0</v>
      </c>
      <c r="BB94" s="7">
        <f>SUM(AD94:BA94)</f>
        <v/>
      </c>
    </row>
    <row r="95">
      <c r="A95" t="inlineStr">
        <is>
          <t>AMD-RTS-RCLS-1302-SSC</t>
        </is>
      </c>
      <c r="B95" t="inlineStr">
        <is>
          <t>Rev OSC</t>
        </is>
      </c>
      <c r="C95" s="5" t="n">
        <v>46102</v>
      </c>
      <c r="D95" s="6" t="n">
        <v>0</v>
      </c>
      <c r="E95" s="6" t="n">
        <v>0</v>
      </c>
      <c r="F95" s="6" t="n">
        <v>0</v>
      </c>
      <c r="G95" s="6" t="n">
        <v>0</v>
      </c>
      <c r="H95" s="6" t="n">
        <v>0</v>
      </c>
      <c r="I95" s="6" t="n">
        <v>0</v>
      </c>
      <c r="J95" s="6" t="n">
        <v>0</v>
      </c>
      <c r="K95" s="6" t="n">
        <v>0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0</v>
      </c>
      <c r="Q95" s="6" t="n">
        <v>0</v>
      </c>
      <c r="R95" s="6" t="n">
        <v>0</v>
      </c>
      <c r="S95" s="6" t="n">
        <v>0</v>
      </c>
      <c r="T95" s="6" t="n">
        <v>0</v>
      </c>
      <c r="U95" s="6" t="n">
        <v>0</v>
      </c>
      <c r="V95" s="6" t="n">
        <v>0</v>
      </c>
      <c r="W95" s="6" t="n">
        <v>0</v>
      </c>
      <c r="X95" s="6" t="n">
        <v>0</v>
      </c>
      <c r="Y95" s="6" t="n">
        <v>0</v>
      </c>
      <c r="Z95" s="6" t="n">
        <v>0</v>
      </c>
      <c r="AA95" s="6" t="n">
        <v>0</v>
      </c>
      <c r="AB95" s="6">
        <f>SUM(D95:AA95)</f>
        <v/>
      </c>
      <c r="AC95" s="3" t="inlineStr"/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7" t="n">
        <v>0</v>
      </c>
      <c r="BB95" s="7">
        <f>SUM(AD95:BA95)</f>
        <v/>
      </c>
    </row>
    <row r="96">
      <c r="A96" t="inlineStr">
        <is>
          <t>AMD-RTS-RCLS-1302-SSC</t>
        </is>
      </c>
      <c r="B96" t="inlineStr">
        <is>
          <t>Rev OSC</t>
        </is>
      </c>
      <c r="C96" s="5" t="n">
        <v>46103</v>
      </c>
      <c r="D96" s="6" t="n">
        <v>0</v>
      </c>
      <c r="E96" s="6" t="n">
        <v>0</v>
      </c>
      <c r="F96" s="6" t="n">
        <v>0</v>
      </c>
      <c r="G96" s="6" t="n">
        <v>0</v>
      </c>
      <c r="H96" s="6" t="n">
        <v>0</v>
      </c>
      <c r="I96" s="6" t="n">
        <v>0</v>
      </c>
      <c r="J96" s="6" t="n">
        <v>0</v>
      </c>
      <c r="K96" s="6" t="n">
        <v>0</v>
      </c>
      <c r="L96" s="6" t="n">
        <v>0</v>
      </c>
      <c r="M96" s="6" t="n">
        <v>0</v>
      </c>
      <c r="N96" s="6" t="n">
        <v>0</v>
      </c>
      <c r="O96" s="6" t="n">
        <v>0</v>
      </c>
      <c r="P96" s="6" t="n">
        <v>0</v>
      </c>
      <c r="Q96" s="6" t="n">
        <v>0</v>
      </c>
      <c r="R96" s="6" t="n">
        <v>0</v>
      </c>
      <c r="S96" s="6" t="n">
        <v>0</v>
      </c>
      <c r="T96" s="6" t="n">
        <v>0</v>
      </c>
      <c r="U96" s="6" t="n">
        <v>0</v>
      </c>
      <c r="V96" s="6" t="n">
        <v>0</v>
      </c>
      <c r="W96" s="6" t="n">
        <v>0</v>
      </c>
      <c r="X96" s="6" t="n">
        <v>0</v>
      </c>
      <c r="Y96" s="6" t="n">
        <v>0</v>
      </c>
      <c r="Z96" s="6" t="n">
        <v>0</v>
      </c>
      <c r="AA96" s="6" t="n">
        <v>0</v>
      </c>
      <c r="AB96" s="6">
        <f>SUM(D96:AA96)</f>
        <v/>
      </c>
      <c r="AC96" s="3" t="inlineStr"/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7" t="n">
        <v>0</v>
      </c>
      <c r="BB96" s="7">
        <f>SUM(AD96:BA96)</f>
        <v/>
      </c>
    </row>
    <row r="97">
      <c r="A97" t="inlineStr">
        <is>
          <t>AMD-RTS-RCLS-1302-SSC</t>
        </is>
      </c>
      <c r="B97" t="inlineStr">
        <is>
          <t>Rev OSC</t>
        </is>
      </c>
      <c r="C97" s="5" t="n">
        <v>46104</v>
      </c>
      <c r="D97" s="6" t="n">
        <v>0</v>
      </c>
      <c r="E97" s="6" t="n">
        <v>0</v>
      </c>
      <c r="F97" s="6" t="n">
        <v>0</v>
      </c>
      <c r="G97" s="6" t="n">
        <v>0</v>
      </c>
      <c r="H97" s="6" t="n">
        <v>0</v>
      </c>
      <c r="I97" s="6" t="n">
        <v>0</v>
      </c>
      <c r="J97" s="6" t="n">
        <v>0</v>
      </c>
      <c r="K97" s="6" t="n">
        <v>0</v>
      </c>
      <c r="L97" s="6" t="n">
        <v>0</v>
      </c>
      <c r="M97" s="6" t="n">
        <v>0</v>
      </c>
      <c r="N97" s="6" t="n">
        <v>0</v>
      </c>
      <c r="O97" s="6" t="n">
        <v>0</v>
      </c>
      <c r="P97" s="6" t="n">
        <v>0</v>
      </c>
      <c r="Q97" s="6" t="n">
        <v>0</v>
      </c>
      <c r="R97" s="6" t="n">
        <v>0</v>
      </c>
      <c r="S97" s="6" t="n">
        <v>0</v>
      </c>
      <c r="T97" s="6" t="n">
        <v>0</v>
      </c>
      <c r="U97" s="6" t="n">
        <v>0</v>
      </c>
      <c r="V97" s="6" t="n">
        <v>0</v>
      </c>
      <c r="W97" s="6" t="n">
        <v>0</v>
      </c>
      <c r="X97" s="6" t="n">
        <v>0</v>
      </c>
      <c r="Y97" s="6" t="n">
        <v>0</v>
      </c>
      <c r="Z97" s="6" t="n">
        <v>0</v>
      </c>
      <c r="AA97" s="6" t="n">
        <v>0</v>
      </c>
      <c r="AB97" s="6">
        <f>SUM(D97:AA97)</f>
        <v/>
      </c>
      <c r="AC97" s="3" t="inlineStr"/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0</v>
      </c>
      <c r="BA97" s="7" t="n">
        <v>0</v>
      </c>
      <c r="BB97" s="7">
        <f>SUM(AD97:BA97)</f>
        <v/>
      </c>
    </row>
    <row r="98">
      <c r="A98" t="inlineStr">
        <is>
          <t>AMD-RTS-RCLS-1302-SSC</t>
        </is>
      </c>
      <c r="B98" t="inlineStr">
        <is>
          <t>Rev OSC</t>
        </is>
      </c>
      <c r="C98" s="5" t="n">
        <v>46105</v>
      </c>
      <c r="D98" s="6" t="n">
        <v>0</v>
      </c>
      <c r="E98" s="6" t="n">
        <v>0</v>
      </c>
      <c r="F98" s="6" t="n">
        <v>0</v>
      </c>
      <c r="G98" s="6" t="n">
        <v>0</v>
      </c>
      <c r="H98" s="6" t="n">
        <v>0</v>
      </c>
      <c r="I98" s="6" t="n">
        <v>0</v>
      </c>
      <c r="J98" s="6" t="n">
        <v>0</v>
      </c>
      <c r="K98" s="6" t="n">
        <v>0</v>
      </c>
      <c r="L98" s="6" t="n">
        <v>0</v>
      </c>
      <c r="M98" s="6" t="n">
        <v>0</v>
      </c>
      <c r="N98" s="6" t="n">
        <v>0</v>
      </c>
      <c r="O98" s="6" t="n">
        <v>0</v>
      </c>
      <c r="P98" s="6" t="n">
        <v>0</v>
      </c>
      <c r="Q98" s="6" t="n">
        <v>0</v>
      </c>
      <c r="R98" s="6" t="n">
        <v>0</v>
      </c>
      <c r="S98" s="6" t="n">
        <v>0</v>
      </c>
      <c r="T98" s="6" t="n">
        <v>0</v>
      </c>
      <c r="U98" s="6" t="n">
        <v>0</v>
      </c>
      <c r="V98" s="6" t="n">
        <v>0</v>
      </c>
      <c r="W98" s="6" t="n">
        <v>0</v>
      </c>
      <c r="X98" s="6" t="n">
        <v>0</v>
      </c>
      <c r="Y98" s="6" t="n">
        <v>0</v>
      </c>
      <c r="Z98" s="6" t="n">
        <v>0</v>
      </c>
      <c r="AA98" s="6" t="n">
        <v>0</v>
      </c>
      <c r="AB98" s="6">
        <f>SUM(D98:AA98)</f>
        <v/>
      </c>
      <c r="AC98" s="3" t="inlineStr"/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7" t="n">
        <v>0</v>
      </c>
      <c r="BB98" s="7">
        <f>SUM(AD98:BA98)</f>
        <v/>
      </c>
    </row>
    <row r="99">
      <c r="A99" t="inlineStr">
        <is>
          <t>AMD-RTS-RCLS-1302-SSC_1</t>
        </is>
      </c>
      <c r="B99" t="inlineStr">
        <is>
          <t>Rev OSC</t>
        </is>
      </c>
      <c r="C99" s="5" t="n">
        <v>46090</v>
      </c>
      <c r="D99" s="6" t="n">
        <v>0</v>
      </c>
      <c r="E99" s="6" t="n">
        <v>0</v>
      </c>
      <c r="F99" s="6" t="n">
        <v>0</v>
      </c>
      <c r="G99" s="6" t="n">
        <v>0</v>
      </c>
      <c r="H99" s="6" t="n">
        <v>0</v>
      </c>
      <c r="I99" s="6" t="n">
        <v>0</v>
      </c>
      <c r="J99" s="6" t="n">
        <v>0</v>
      </c>
      <c r="K99" s="6" t="n">
        <v>0</v>
      </c>
      <c r="L99" s="6" t="n">
        <v>0</v>
      </c>
      <c r="M99" s="6" t="n">
        <v>0</v>
      </c>
      <c r="N99" s="6" t="n">
        <v>0</v>
      </c>
      <c r="O99" s="6" t="n">
        <v>0</v>
      </c>
      <c r="P99" s="6" t="n">
        <v>0</v>
      </c>
      <c r="Q99" s="6" t="n">
        <v>0</v>
      </c>
      <c r="R99" s="6" t="n">
        <v>0</v>
      </c>
      <c r="S99" s="6" t="n">
        <v>0</v>
      </c>
      <c r="T99" s="6" t="n">
        <v>0</v>
      </c>
      <c r="U99" s="6" t="n">
        <v>0</v>
      </c>
      <c r="V99" s="6" t="n">
        <v>0</v>
      </c>
      <c r="W99" s="6" t="n">
        <v>0</v>
      </c>
      <c r="X99" s="6" t="n">
        <v>0</v>
      </c>
      <c r="Y99" s="6" t="n">
        <v>0</v>
      </c>
      <c r="Z99" s="6" t="n">
        <v>0</v>
      </c>
      <c r="AA99" s="6" t="n">
        <v>0</v>
      </c>
      <c r="AB99" s="6">
        <f>SUM(D99:AA99)</f>
        <v/>
      </c>
      <c r="AC99" s="3" t="inlineStr"/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7" t="n">
        <v>0</v>
      </c>
      <c r="BB99" s="7">
        <f>SUM(AD99:BA99)</f>
        <v/>
      </c>
    </row>
    <row r="100">
      <c r="A100" t="inlineStr">
        <is>
          <t>AMD-RTS-RCLS-1302-SSC_1</t>
        </is>
      </c>
      <c r="B100" t="inlineStr">
        <is>
          <t>Rev OSC</t>
        </is>
      </c>
      <c r="C100" s="5" t="n">
        <v>46093</v>
      </c>
      <c r="D100" s="6" t="n">
        <v>0</v>
      </c>
      <c r="E100" s="6" t="n">
        <v>0</v>
      </c>
      <c r="F100" s="6" t="n">
        <v>0</v>
      </c>
      <c r="G100" s="6" t="n">
        <v>0</v>
      </c>
      <c r="H100" s="6" t="n">
        <v>0</v>
      </c>
      <c r="I100" s="6" t="n">
        <v>0</v>
      </c>
      <c r="J100" s="6" t="n">
        <v>0</v>
      </c>
      <c r="K100" s="6" t="n">
        <v>0</v>
      </c>
      <c r="L100" s="6" t="n">
        <v>0</v>
      </c>
      <c r="M100" s="6" t="n">
        <v>0</v>
      </c>
      <c r="N100" s="6" t="n">
        <v>0</v>
      </c>
      <c r="O100" s="6" t="n">
        <v>0</v>
      </c>
      <c r="P100" s="6" t="n">
        <v>0</v>
      </c>
      <c r="Q100" s="6" t="n">
        <v>0</v>
      </c>
      <c r="R100" s="6" t="n">
        <v>0</v>
      </c>
      <c r="S100" s="6" t="n">
        <v>0</v>
      </c>
      <c r="T100" s="6" t="n">
        <v>0</v>
      </c>
      <c r="U100" s="6" t="n">
        <v>0</v>
      </c>
      <c r="V100" s="6" t="n">
        <v>0</v>
      </c>
      <c r="W100" s="6" t="n">
        <v>0</v>
      </c>
      <c r="X100" s="6" t="n">
        <v>0</v>
      </c>
      <c r="Y100" s="6" t="n">
        <v>0</v>
      </c>
      <c r="Z100" s="6" t="n">
        <v>0</v>
      </c>
      <c r="AA100" s="6" t="n">
        <v>0</v>
      </c>
      <c r="AB100" s="6">
        <f>SUM(D100:AA100)</f>
        <v/>
      </c>
      <c r="AC100" s="3" t="inlineStr"/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7" t="n">
        <v>0</v>
      </c>
      <c r="BB100" s="7">
        <f>SUM(AD100:BA100)</f>
        <v/>
      </c>
    </row>
    <row r="101">
      <c r="A101" t="inlineStr">
        <is>
          <t>AMD-RTS-RCLS-1302-SSC_1</t>
        </is>
      </c>
      <c r="B101" t="inlineStr">
        <is>
          <t>Rev OSC</t>
        </is>
      </c>
      <c r="C101" s="5" t="n">
        <v>46094</v>
      </c>
      <c r="D101" s="6" t="n">
        <v>0</v>
      </c>
      <c r="E101" s="6" t="n">
        <v>0</v>
      </c>
      <c r="F101" s="6" t="n">
        <v>0</v>
      </c>
      <c r="G101" s="6" t="n">
        <v>0</v>
      </c>
      <c r="H101" s="6" t="n">
        <v>0</v>
      </c>
      <c r="I101" s="6" t="n">
        <v>0</v>
      </c>
      <c r="J101" s="6" t="n">
        <v>0</v>
      </c>
      <c r="K101" s="6" t="n">
        <v>0</v>
      </c>
      <c r="L101" s="6" t="n">
        <v>0</v>
      </c>
      <c r="M101" s="6" t="n">
        <v>0</v>
      </c>
      <c r="N101" s="6" t="n">
        <v>0</v>
      </c>
      <c r="O101" s="6" t="n">
        <v>0</v>
      </c>
      <c r="P101" s="6" t="n">
        <v>0</v>
      </c>
      <c r="Q101" s="6" t="n">
        <v>0</v>
      </c>
      <c r="R101" s="6" t="n">
        <v>0</v>
      </c>
      <c r="S101" s="6" t="n">
        <v>0</v>
      </c>
      <c r="T101" s="6" t="n">
        <v>0</v>
      </c>
      <c r="U101" s="6" t="n">
        <v>0</v>
      </c>
      <c r="V101" s="6" t="n">
        <v>0</v>
      </c>
      <c r="W101" s="6" t="n">
        <v>0</v>
      </c>
      <c r="X101" s="6" t="n">
        <v>0</v>
      </c>
      <c r="Y101" s="6" t="n">
        <v>0</v>
      </c>
      <c r="Z101" s="6" t="n">
        <v>0</v>
      </c>
      <c r="AA101" s="6" t="n">
        <v>0</v>
      </c>
      <c r="AB101" s="6">
        <f>SUM(D101:AA101)</f>
        <v/>
      </c>
      <c r="AC101" s="3" t="inlineStr"/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7" t="n">
        <v>0</v>
      </c>
      <c r="BB101" s="7">
        <f>SUM(AD101:BA101)</f>
        <v/>
      </c>
    </row>
    <row r="102">
      <c r="A102" t="inlineStr">
        <is>
          <t>AMD-RTS-RCLS-1302-SSC_1</t>
        </is>
      </c>
      <c r="B102" t="inlineStr">
        <is>
          <t>Rev OSC</t>
        </is>
      </c>
      <c r="C102" s="5" t="n">
        <v>46095</v>
      </c>
      <c r="D102" s="6" t="n">
        <v>0</v>
      </c>
      <c r="E102" s="6" t="n">
        <v>0</v>
      </c>
      <c r="F102" s="6" t="n">
        <v>0</v>
      </c>
      <c r="G102" s="6" t="n">
        <v>0</v>
      </c>
      <c r="H102" s="6" t="n">
        <v>0</v>
      </c>
      <c r="I102" s="6" t="n">
        <v>0</v>
      </c>
      <c r="J102" s="6" t="n">
        <v>0</v>
      </c>
      <c r="K102" s="6" t="n">
        <v>0</v>
      </c>
      <c r="L102" s="6" t="n">
        <v>0</v>
      </c>
      <c r="M102" s="6" t="n">
        <v>0</v>
      </c>
      <c r="N102" s="6" t="n">
        <v>0</v>
      </c>
      <c r="O102" s="6" t="n">
        <v>0</v>
      </c>
      <c r="P102" s="6" t="n">
        <v>0</v>
      </c>
      <c r="Q102" s="6" t="n">
        <v>0</v>
      </c>
      <c r="R102" s="6" t="n">
        <v>0</v>
      </c>
      <c r="S102" s="6" t="n">
        <v>0</v>
      </c>
      <c r="T102" s="6" t="n">
        <v>0</v>
      </c>
      <c r="U102" s="6" t="n">
        <v>0</v>
      </c>
      <c r="V102" s="6" t="n">
        <v>0</v>
      </c>
      <c r="W102" s="6" t="n">
        <v>0</v>
      </c>
      <c r="X102" s="6" t="n">
        <v>0</v>
      </c>
      <c r="Y102" s="6" t="n">
        <v>0</v>
      </c>
      <c r="Z102" s="6" t="n">
        <v>0</v>
      </c>
      <c r="AA102" s="6" t="n">
        <v>0</v>
      </c>
      <c r="AB102" s="6">
        <f>SUM(D102:AA102)</f>
        <v/>
      </c>
      <c r="AC102" s="3" t="inlineStr"/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7" t="n">
        <v>0</v>
      </c>
      <c r="BB102" s="7">
        <f>SUM(AD102:BA102)</f>
        <v/>
      </c>
    </row>
    <row r="103">
      <c r="A103" t="inlineStr">
        <is>
          <t>AMD-RTS-RCLS-1302-SSC_1</t>
        </is>
      </c>
      <c r="B103" t="inlineStr">
        <is>
          <t>Rev OSC</t>
        </is>
      </c>
      <c r="C103" s="5" t="n">
        <v>46100</v>
      </c>
      <c r="D103" s="6" t="n">
        <v>0</v>
      </c>
      <c r="E103" s="6" t="n">
        <v>0</v>
      </c>
      <c r="F103" s="6" t="n">
        <v>0</v>
      </c>
      <c r="G103" s="6" t="n">
        <v>0</v>
      </c>
      <c r="H103" s="6" t="n">
        <v>0</v>
      </c>
      <c r="I103" s="6" t="n">
        <v>0</v>
      </c>
      <c r="J103" s="6" t="n">
        <v>0</v>
      </c>
      <c r="K103" s="6" t="n">
        <v>0</v>
      </c>
      <c r="L103" s="6" t="n">
        <v>0</v>
      </c>
      <c r="M103" s="6" t="n">
        <v>0</v>
      </c>
      <c r="N103" s="6" t="n">
        <v>0</v>
      </c>
      <c r="O103" s="6" t="n">
        <v>0</v>
      </c>
      <c r="P103" s="6" t="n">
        <v>0</v>
      </c>
      <c r="Q103" s="6" t="n">
        <v>0</v>
      </c>
      <c r="R103" s="6" t="n">
        <v>0</v>
      </c>
      <c r="S103" s="6" t="n">
        <v>0</v>
      </c>
      <c r="T103" s="6" t="n">
        <v>0</v>
      </c>
      <c r="U103" s="6" t="n">
        <v>0</v>
      </c>
      <c r="V103" s="6" t="n">
        <v>0</v>
      </c>
      <c r="W103" s="6" t="n">
        <v>0</v>
      </c>
      <c r="X103" s="6" t="n">
        <v>0</v>
      </c>
      <c r="Y103" s="6" t="n">
        <v>0</v>
      </c>
      <c r="Z103" s="6" t="n">
        <v>0</v>
      </c>
      <c r="AA103" s="6" t="n">
        <v>0</v>
      </c>
      <c r="AB103" s="6">
        <f>SUM(D103:AA103)</f>
        <v/>
      </c>
      <c r="AC103" s="3" t="inlineStr"/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7" t="n">
        <v>0</v>
      </c>
      <c r="BB103" s="7">
        <f>SUM(AD103:BA103)</f>
        <v/>
      </c>
    </row>
    <row r="104">
      <c r="A104" t="inlineStr">
        <is>
          <t>AMD-RTS-RCLS-1302-SSC_1</t>
        </is>
      </c>
      <c r="B104" t="inlineStr">
        <is>
          <t>Rev OSC</t>
        </is>
      </c>
      <c r="C104" s="5" t="n">
        <v>46102</v>
      </c>
      <c r="D104" s="6" t="n">
        <v>0</v>
      </c>
      <c r="E104" s="6" t="n">
        <v>0</v>
      </c>
      <c r="F104" s="6" t="n">
        <v>0</v>
      </c>
      <c r="G104" s="6" t="n">
        <v>0</v>
      </c>
      <c r="H104" s="6" t="n">
        <v>0</v>
      </c>
      <c r="I104" s="6" t="n">
        <v>0</v>
      </c>
      <c r="J104" s="6" t="n">
        <v>0</v>
      </c>
      <c r="K104" s="6" t="n">
        <v>0</v>
      </c>
      <c r="L104" s="6" t="n">
        <v>0</v>
      </c>
      <c r="M104" s="6" t="n">
        <v>0</v>
      </c>
      <c r="N104" s="6" t="n">
        <v>0</v>
      </c>
      <c r="O104" s="6" t="n">
        <v>0</v>
      </c>
      <c r="P104" s="6" t="n">
        <v>0</v>
      </c>
      <c r="Q104" s="6" t="n">
        <v>0</v>
      </c>
      <c r="R104" s="6" t="n">
        <v>0</v>
      </c>
      <c r="S104" s="6" t="n">
        <v>0</v>
      </c>
      <c r="T104" s="6" t="n">
        <v>0</v>
      </c>
      <c r="U104" s="6" t="n">
        <v>0</v>
      </c>
      <c r="V104" s="6" t="n">
        <v>0</v>
      </c>
      <c r="W104" s="6" t="n">
        <v>0</v>
      </c>
      <c r="X104" s="6" t="n">
        <v>0</v>
      </c>
      <c r="Y104" s="6" t="n">
        <v>0</v>
      </c>
      <c r="Z104" s="6" t="n">
        <v>0</v>
      </c>
      <c r="AA104" s="6" t="n">
        <v>0</v>
      </c>
      <c r="AB104" s="6">
        <f>SUM(D104:AA104)</f>
        <v/>
      </c>
      <c r="AC104" s="3" t="inlineStr"/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  <c r="BB104" s="7">
        <f>SUM(AD104:BA104)</f>
        <v/>
      </c>
    </row>
    <row r="105">
      <c r="A105" t="inlineStr">
        <is>
          <t>AMD-RTS-RCLS-1302-SSC_1</t>
        </is>
      </c>
      <c r="B105" t="inlineStr">
        <is>
          <t>Rev OSC</t>
        </is>
      </c>
      <c r="C105" s="5" t="n">
        <v>46103</v>
      </c>
      <c r="D105" s="6" t="n">
        <v>0</v>
      </c>
      <c r="E105" s="6" t="n">
        <v>0</v>
      </c>
      <c r="F105" s="6" t="n">
        <v>0</v>
      </c>
      <c r="G105" s="6" t="n">
        <v>0</v>
      </c>
      <c r="H105" s="6" t="n">
        <v>0</v>
      </c>
      <c r="I105" s="6" t="n">
        <v>0</v>
      </c>
      <c r="J105" s="6" t="n">
        <v>0</v>
      </c>
      <c r="K105" s="6" t="n">
        <v>0</v>
      </c>
      <c r="L105" s="6" t="n">
        <v>0</v>
      </c>
      <c r="M105" s="6" t="n">
        <v>0</v>
      </c>
      <c r="N105" s="6" t="n">
        <v>0</v>
      </c>
      <c r="O105" s="6" t="n">
        <v>0</v>
      </c>
      <c r="P105" s="6" t="n">
        <v>0</v>
      </c>
      <c r="Q105" s="6" t="n">
        <v>0</v>
      </c>
      <c r="R105" s="6" t="n">
        <v>0</v>
      </c>
      <c r="S105" s="6" t="n">
        <v>0</v>
      </c>
      <c r="T105" s="6" t="n">
        <v>0</v>
      </c>
      <c r="U105" s="6" t="n">
        <v>0</v>
      </c>
      <c r="V105" s="6" t="n">
        <v>0</v>
      </c>
      <c r="W105" s="6" t="n">
        <v>0</v>
      </c>
      <c r="X105" s="6" t="n">
        <v>0</v>
      </c>
      <c r="Y105" s="6" t="n">
        <v>0</v>
      </c>
      <c r="Z105" s="6" t="n">
        <v>0</v>
      </c>
      <c r="AA105" s="6" t="n">
        <v>0</v>
      </c>
      <c r="AB105" s="6">
        <f>SUM(D105:AA105)</f>
        <v/>
      </c>
      <c r="AC105" s="3" t="inlineStr"/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7" t="n">
        <v>0</v>
      </c>
      <c r="BB105" s="7">
        <f>SUM(AD105:BA105)</f>
        <v/>
      </c>
    </row>
    <row r="106">
      <c r="A106" t="inlineStr">
        <is>
          <t>AMD-RTS-RCLS-1302-SSC_1</t>
        </is>
      </c>
      <c r="B106" t="inlineStr">
        <is>
          <t>Rev OSC</t>
        </is>
      </c>
      <c r="C106" s="5" t="n">
        <v>46104</v>
      </c>
      <c r="D106" s="6" t="n">
        <v>0</v>
      </c>
      <c r="E106" s="6" t="n">
        <v>0</v>
      </c>
      <c r="F106" s="6" t="n">
        <v>0</v>
      </c>
      <c r="G106" s="6" t="n">
        <v>0</v>
      </c>
      <c r="H106" s="6" t="n">
        <v>0</v>
      </c>
      <c r="I106" s="6" t="n">
        <v>0</v>
      </c>
      <c r="J106" s="6" t="n">
        <v>0</v>
      </c>
      <c r="K106" s="6" t="n">
        <v>0</v>
      </c>
      <c r="L106" s="6" t="n">
        <v>0</v>
      </c>
      <c r="M106" s="6" t="n">
        <v>0</v>
      </c>
      <c r="N106" s="6" t="n">
        <v>0</v>
      </c>
      <c r="O106" s="6" t="n">
        <v>0</v>
      </c>
      <c r="P106" s="6" t="n">
        <v>0</v>
      </c>
      <c r="Q106" s="6" t="n">
        <v>0</v>
      </c>
      <c r="R106" s="6" t="n">
        <v>0</v>
      </c>
      <c r="S106" s="6" t="n">
        <v>0</v>
      </c>
      <c r="T106" s="6" t="n">
        <v>0</v>
      </c>
      <c r="U106" s="6" t="n">
        <v>0</v>
      </c>
      <c r="V106" s="6" t="n">
        <v>0</v>
      </c>
      <c r="W106" s="6" t="n">
        <v>0</v>
      </c>
      <c r="X106" s="6" t="n">
        <v>0</v>
      </c>
      <c r="Y106" s="6" t="n">
        <v>0</v>
      </c>
      <c r="Z106" s="6" t="n">
        <v>0</v>
      </c>
      <c r="AA106" s="6" t="n">
        <v>0</v>
      </c>
      <c r="AB106" s="6">
        <f>SUM(D106:AA106)</f>
        <v/>
      </c>
      <c r="AC106" s="3" t="inlineStr"/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7" t="n">
        <v>0</v>
      </c>
      <c r="BB106" s="7">
        <f>SUM(AD106:BA106)</f>
        <v/>
      </c>
    </row>
    <row r="107">
      <c r="A107" t="inlineStr">
        <is>
          <t>AMD-RTS-RCLS-1302-SSC_1</t>
        </is>
      </c>
      <c r="B107" t="inlineStr">
        <is>
          <t>Rev OSC</t>
        </is>
      </c>
      <c r="C107" s="5" t="n">
        <v>46105</v>
      </c>
      <c r="D107" s="6" t="n">
        <v>0</v>
      </c>
      <c r="E107" s="6" t="n">
        <v>0</v>
      </c>
      <c r="F107" s="6" t="n">
        <v>0</v>
      </c>
      <c r="G107" s="6" t="n">
        <v>0</v>
      </c>
      <c r="H107" s="6" t="n">
        <v>0</v>
      </c>
      <c r="I107" s="6" t="n">
        <v>0</v>
      </c>
      <c r="J107" s="6" t="n">
        <v>0</v>
      </c>
      <c r="K107" s="6" t="n">
        <v>0</v>
      </c>
      <c r="L107" s="6" t="n">
        <v>0</v>
      </c>
      <c r="M107" s="6" t="n">
        <v>0</v>
      </c>
      <c r="N107" s="6" t="n">
        <v>0</v>
      </c>
      <c r="O107" s="6" t="n">
        <v>0</v>
      </c>
      <c r="P107" s="6" t="n">
        <v>0</v>
      </c>
      <c r="Q107" s="6" t="n">
        <v>0</v>
      </c>
      <c r="R107" s="6" t="n">
        <v>0</v>
      </c>
      <c r="S107" s="6" t="n">
        <v>0</v>
      </c>
      <c r="T107" s="6" t="n">
        <v>0</v>
      </c>
      <c r="U107" s="6" t="n">
        <v>0</v>
      </c>
      <c r="V107" s="6" t="n">
        <v>0</v>
      </c>
      <c r="W107" s="6" t="n">
        <v>0</v>
      </c>
      <c r="X107" s="6" t="n">
        <v>0</v>
      </c>
      <c r="Y107" s="6" t="n">
        <v>0</v>
      </c>
      <c r="Z107" s="6" t="n">
        <v>0</v>
      </c>
      <c r="AA107" s="6" t="n">
        <v>0</v>
      </c>
      <c r="AB107" s="6">
        <f>SUM(D107:AA107)</f>
        <v/>
      </c>
      <c r="AC107" s="3" t="inlineStr"/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7" t="n">
        <v>0</v>
      </c>
      <c r="BB107" s="7">
        <f>SUM(AD107:BA107)</f>
        <v/>
      </c>
    </row>
    <row r="108">
      <c r="A108" t="inlineStr">
        <is>
          <t>AMD-RTS-RCLS-1302-SSC_2</t>
        </is>
      </c>
      <c r="B108" t="inlineStr">
        <is>
          <t>Rev OSC</t>
        </is>
      </c>
      <c r="C108" s="5" t="n">
        <v>46100</v>
      </c>
      <c r="D108" s="6" t="n">
        <v>0</v>
      </c>
      <c r="E108" s="6" t="n">
        <v>0</v>
      </c>
      <c r="F108" s="6" t="n">
        <v>0</v>
      </c>
      <c r="G108" s="6" t="n">
        <v>0</v>
      </c>
      <c r="H108" s="6" t="n">
        <v>0</v>
      </c>
      <c r="I108" s="6" t="n">
        <v>0</v>
      </c>
      <c r="J108" s="6" t="n">
        <v>0</v>
      </c>
      <c r="K108" s="6" t="n">
        <v>0</v>
      </c>
      <c r="L108" s="6" t="n">
        <v>0</v>
      </c>
      <c r="M108" s="6" t="n">
        <v>0</v>
      </c>
      <c r="N108" s="6" t="n">
        <v>0</v>
      </c>
      <c r="O108" s="6" t="n">
        <v>0</v>
      </c>
      <c r="P108" s="6" t="n">
        <v>0</v>
      </c>
      <c r="Q108" s="6" t="n">
        <v>0</v>
      </c>
      <c r="R108" s="6" t="n">
        <v>0</v>
      </c>
      <c r="S108" s="6" t="n">
        <v>0</v>
      </c>
      <c r="T108" s="6" t="n">
        <v>0</v>
      </c>
      <c r="U108" s="6" t="n">
        <v>0</v>
      </c>
      <c r="V108" s="6" t="n">
        <v>0</v>
      </c>
      <c r="W108" s="6" t="n">
        <v>0</v>
      </c>
      <c r="X108" s="6" t="n">
        <v>0</v>
      </c>
      <c r="Y108" s="6" t="n">
        <v>0</v>
      </c>
      <c r="Z108" s="6" t="n">
        <v>0</v>
      </c>
      <c r="AA108" s="6" t="n">
        <v>0</v>
      </c>
      <c r="AB108" s="6">
        <f>SUM(D108:AA108)</f>
        <v/>
      </c>
      <c r="AC108" s="3" t="inlineStr"/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7" t="n">
        <v>0</v>
      </c>
      <c r="BB108" s="7">
        <f>SUM(AD108:BA108)</f>
        <v/>
      </c>
    </row>
    <row r="109">
      <c r="A109" t="inlineStr">
        <is>
          <t>AMD-RTS-RCLS-1302-SSC_2</t>
        </is>
      </c>
      <c r="B109" t="inlineStr">
        <is>
          <t>Rev OSC</t>
        </is>
      </c>
      <c r="C109" s="5" t="n">
        <v>46102</v>
      </c>
      <c r="D109" s="6" t="n">
        <v>0</v>
      </c>
      <c r="E109" s="6" t="n">
        <v>0</v>
      </c>
      <c r="F109" s="6" t="n">
        <v>0</v>
      </c>
      <c r="G109" s="6" t="n">
        <v>0</v>
      </c>
      <c r="H109" s="6" t="n">
        <v>0</v>
      </c>
      <c r="I109" s="6" t="n">
        <v>0</v>
      </c>
      <c r="J109" s="6" t="n">
        <v>0</v>
      </c>
      <c r="K109" s="6" t="n">
        <v>0</v>
      </c>
      <c r="L109" s="6" t="n">
        <v>0</v>
      </c>
      <c r="M109" s="6" t="n">
        <v>0</v>
      </c>
      <c r="N109" s="6" t="n">
        <v>0</v>
      </c>
      <c r="O109" s="6" t="n">
        <v>0</v>
      </c>
      <c r="P109" s="6" t="n">
        <v>0</v>
      </c>
      <c r="Q109" s="6" t="n">
        <v>0</v>
      </c>
      <c r="R109" s="6" t="n">
        <v>0</v>
      </c>
      <c r="S109" s="6" t="n">
        <v>0</v>
      </c>
      <c r="T109" s="6" t="n">
        <v>0</v>
      </c>
      <c r="U109" s="6" t="n">
        <v>0</v>
      </c>
      <c r="V109" s="6" t="n">
        <v>0</v>
      </c>
      <c r="W109" s="6" t="n">
        <v>0</v>
      </c>
      <c r="X109" s="6" t="n">
        <v>0</v>
      </c>
      <c r="Y109" s="6" t="n">
        <v>0</v>
      </c>
      <c r="Z109" s="6" t="n">
        <v>0</v>
      </c>
      <c r="AA109" s="6" t="n">
        <v>0</v>
      </c>
      <c r="AB109" s="6">
        <f>SUM(D109:AA109)</f>
        <v/>
      </c>
      <c r="AC109" s="3" t="inlineStr"/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7" t="n">
        <v>0</v>
      </c>
      <c r="BB109" s="7">
        <f>SUM(AD109:BA109)</f>
        <v/>
      </c>
    </row>
    <row r="110">
      <c r="A110" t="inlineStr">
        <is>
          <t>AMD-RTS-RCLS-1302-SSC_2</t>
        </is>
      </c>
      <c r="B110" t="inlineStr">
        <is>
          <t>Rev OSC</t>
        </is>
      </c>
      <c r="C110" s="5" t="n">
        <v>46104</v>
      </c>
      <c r="D110" s="6" t="n">
        <v>0</v>
      </c>
      <c r="E110" s="6" t="n">
        <v>0</v>
      </c>
      <c r="F110" s="6" t="n">
        <v>0</v>
      </c>
      <c r="G110" s="6" t="n">
        <v>0</v>
      </c>
      <c r="H110" s="6" t="n">
        <v>0</v>
      </c>
      <c r="I110" s="6" t="n">
        <v>0</v>
      </c>
      <c r="J110" s="6" t="n">
        <v>0</v>
      </c>
      <c r="K110" s="6" t="n">
        <v>0</v>
      </c>
      <c r="L110" s="6" t="n">
        <v>0</v>
      </c>
      <c r="M110" s="6" t="n">
        <v>0</v>
      </c>
      <c r="N110" s="6" t="n">
        <v>0</v>
      </c>
      <c r="O110" s="6" t="n">
        <v>0</v>
      </c>
      <c r="P110" s="6" t="n">
        <v>0</v>
      </c>
      <c r="Q110" s="6" t="n">
        <v>0</v>
      </c>
      <c r="R110" s="6" t="n">
        <v>0</v>
      </c>
      <c r="S110" s="6" t="n">
        <v>0</v>
      </c>
      <c r="T110" s="6" t="n">
        <v>0</v>
      </c>
      <c r="U110" s="6" t="n">
        <v>0</v>
      </c>
      <c r="V110" s="6" t="n">
        <v>0</v>
      </c>
      <c r="W110" s="6" t="n">
        <v>0</v>
      </c>
      <c r="X110" s="6" t="n">
        <v>0</v>
      </c>
      <c r="Y110" s="6" t="n">
        <v>0</v>
      </c>
      <c r="Z110" s="6" t="n">
        <v>0</v>
      </c>
      <c r="AA110" s="6" t="n">
        <v>0</v>
      </c>
      <c r="AB110" s="6">
        <f>SUM(D110:AA110)</f>
        <v/>
      </c>
      <c r="AC110" s="3" t="inlineStr"/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  <c r="BB110" s="7">
        <f>SUM(AD110:BA110)</f>
        <v/>
      </c>
    </row>
    <row r="111">
      <c r="A111" t="inlineStr">
        <is>
          <t>DC-10-1</t>
        </is>
      </c>
      <c r="B111" t="inlineStr">
        <is>
          <t>DSC Manual</t>
        </is>
      </c>
      <c r="C111" s="5" t="n">
        <v>46089</v>
      </c>
      <c r="D111" s="6" t="n">
        <v>0</v>
      </c>
      <c r="E111" s="6" t="n">
        <v>0</v>
      </c>
      <c r="F111" s="6" t="n">
        <v>0</v>
      </c>
      <c r="G111" s="6" t="n">
        <v>0</v>
      </c>
      <c r="H111" s="6" t="n">
        <v>0</v>
      </c>
      <c r="I111" s="6" t="n">
        <v>0</v>
      </c>
      <c r="J111" s="6" t="n">
        <v>0</v>
      </c>
      <c r="K111" s="6" t="n">
        <v>0</v>
      </c>
      <c r="L111" s="6" t="n">
        <v>0</v>
      </c>
      <c r="M111" s="6" t="n">
        <v>0</v>
      </c>
      <c r="N111" s="6" t="n">
        <v>0</v>
      </c>
      <c r="O111" s="6" t="n">
        <v>0</v>
      </c>
      <c r="P111" s="6" t="n">
        <v>0</v>
      </c>
      <c r="Q111" s="6" t="n">
        <v>0</v>
      </c>
      <c r="R111" s="6" t="n">
        <v>0</v>
      </c>
      <c r="S111" s="6" t="n">
        <v>0</v>
      </c>
      <c r="T111" s="6" t="n">
        <v>0</v>
      </c>
      <c r="U111" s="6" t="n">
        <v>0</v>
      </c>
      <c r="V111" s="6" t="n">
        <v>0</v>
      </c>
      <c r="W111" s="6" t="n">
        <v>0</v>
      </c>
      <c r="X111" s="6" t="n">
        <v>0</v>
      </c>
      <c r="Y111" s="6" t="n">
        <v>0</v>
      </c>
      <c r="Z111" s="6" t="n">
        <v>0</v>
      </c>
      <c r="AA111" s="6" t="n">
        <v>0</v>
      </c>
      <c r="AB111" s="6">
        <f>SUM(D111:AA111)</f>
        <v/>
      </c>
      <c r="AC111" s="3" t="inlineStr"/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7" t="n">
        <v>0</v>
      </c>
      <c r="BB111" s="7">
        <f>SUM(AD111:BA111)</f>
        <v/>
      </c>
    </row>
    <row r="112">
      <c r="A112" t="inlineStr">
        <is>
          <t>DC-10-1</t>
        </is>
      </c>
      <c r="B112" t="inlineStr">
        <is>
          <t>DSC Manual</t>
        </is>
      </c>
      <c r="C112" s="5" t="n">
        <v>46090</v>
      </c>
      <c r="D112" s="6" t="n">
        <v>0</v>
      </c>
      <c r="E112" s="6" t="n">
        <v>0</v>
      </c>
      <c r="F112" s="6" t="n">
        <v>0</v>
      </c>
      <c r="G112" s="6" t="n">
        <v>0</v>
      </c>
      <c r="H112" s="6" t="n">
        <v>0</v>
      </c>
      <c r="I112" s="6" t="n">
        <v>0</v>
      </c>
      <c r="J112" s="6" t="n">
        <v>0</v>
      </c>
      <c r="K112" s="6" t="n">
        <v>0</v>
      </c>
      <c r="L112" s="6" t="n">
        <v>0</v>
      </c>
      <c r="M112" s="6" t="n">
        <v>0</v>
      </c>
      <c r="N112" s="6" t="n">
        <v>0</v>
      </c>
      <c r="O112" s="6" t="n">
        <v>0</v>
      </c>
      <c r="P112" s="6" t="n">
        <v>0</v>
      </c>
      <c r="Q112" s="6" t="n">
        <v>0</v>
      </c>
      <c r="R112" s="6" t="n">
        <v>0</v>
      </c>
      <c r="S112" s="6" t="n">
        <v>0</v>
      </c>
      <c r="T112" s="6" t="n">
        <v>0</v>
      </c>
      <c r="U112" s="6" t="n">
        <v>0</v>
      </c>
      <c r="V112" s="6" t="n">
        <v>0</v>
      </c>
      <c r="W112" s="6" t="n">
        <v>0</v>
      </c>
      <c r="X112" s="6" t="n">
        <v>0</v>
      </c>
      <c r="Y112" s="6" t="n">
        <v>0</v>
      </c>
      <c r="Z112" s="6" t="n">
        <v>0</v>
      </c>
      <c r="AA112" s="6" t="n">
        <v>0</v>
      </c>
      <c r="AB112" s="6">
        <f>SUM(D112:AA112)</f>
        <v/>
      </c>
      <c r="AC112" s="3" t="inlineStr"/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>
        <f>SUM(AD112:BA112)</f>
        <v/>
      </c>
    </row>
    <row r="113">
      <c r="A113" t="inlineStr">
        <is>
          <t>DC-10-1</t>
        </is>
      </c>
      <c r="B113" t="inlineStr">
        <is>
          <t>DSC Manual</t>
        </is>
      </c>
      <c r="C113" s="5" t="n">
        <v>46091</v>
      </c>
      <c r="D113" s="6" t="n">
        <v>0</v>
      </c>
      <c r="E113" s="6" t="n">
        <v>0</v>
      </c>
      <c r="F113" s="6" t="n">
        <v>0</v>
      </c>
      <c r="G113" s="6" t="n">
        <v>0</v>
      </c>
      <c r="H113" s="6" t="n">
        <v>0</v>
      </c>
      <c r="I113" s="6" t="n">
        <v>0</v>
      </c>
      <c r="J113" s="6" t="n">
        <v>0</v>
      </c>
      <c r="K113" s="6" t="n">
        <v>0</v>
      </c>
      <c r="L113" s="6" t="n">
        <v>0</v>
      </c>
      <c r="M113" s="6" t="n">
        <v>0</v>
      </c>
      <c r="N113" s="6" t="n">
        <v>0</v>
      </c>
      <c r="O113" s="6" t="n">
        <v>0</v>
      </c>
      <c r="P113" s="6" t="n">
        <v>0</v>
      </c>
      <c r="Q113" s="6" t="n">
        <v>0</v>
      </c>
      <c r="R113" s="6" t="n">
        <v>0</v>
      </c>
      <c r="S113" s="6" t="n">
        <v>0</v>
      </c>
      <c r="T113" s="6" t="n">
        <v>0</v>
      </c>
      <c r="U113" s="6" t="n">
        <v>0</v>
      </c>
      <c r="V113" s="6" t="n">
        <v>0</v>
      </c>
      <c r="W113" s="6" t="n">
        <v>0</v>
      </c>
      <c r="X113" s="6" t="n">
        <v>0</v>
      </c>
      <c r="Y113" s="6" t="n">
        <v>0</v>
      </c>
      <c r="Z113" s="6" t="n">
        <v>0</v>
      </c>
      <c r="AA113" s="6" t="n">
        <v>0</v>
      </c>
      <c r="AB113" s="6">
        <f>SUM(D113:AA113)</f>
        <v/>
      </c>
      <c r="AC113" s="3" t="inlineStr"/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7" t="n">
        <v>0</v>
      </c>
      <c r="BB113" s="7">
        <f>SUM(AD113:BA113)</f>
        <v/>
      </c>
    </row>
    <row r="114">
      <c r="A114" t="inlineStr">
        <is>
          <t>DC-10-1</t>
        </is>
      </c>
      <c r="B114" t="inlineStr">
        <is>
          <t>DSC Manual</t>
        </is>
      </c>
      <c r="C114" s="5" t="n">
        <v>46092</v>
      </c>
      <c r="D114" s="6" t="n">
        <v>0</v>
      </c>
      <c r="E114" s="6" t="n">
        <v>0</v>
      </c>
      <c r="F114" s="6" t="n">
        <v>0</v>
      </c>
      <c r="G114" s="6" t="n">
        <v>0</v>
      </c>
      <c r="H114" s="6" t="n">
        <v>0</v>
      </c>
      <c r="I114" s="6" t="n">
        <v>0</v>
      </c>
      <c r="J114" s="6" t="n">
        <v>0</v>
      </c>
      <c r="K114" s="6" t="n">
        <v>0</v>
      </c>
      <c r="L114" s="6" t="n">
        <v>0</v>
      </c>
      <c r="M114" s="6" t="n">
        <v>0</v>
      </c>
      <c r="N114" s="6" t="n">
        <v>0</v>
      </c>
      <c r="O114" s="6" t="n">
        <v>0</v>
      </c>
      <c r="P114" s="6" t="n">
        <v>0</v>
      </c>
      <c r="Q114" s="6" t="n">
        <v>0</v>
      </c>
      <c r="R114" s="6" t="n">
        <v>0</v>
      </c>
      <c r="S114" s="6" t="n">
        <v>0</v>
      </c>
      <c r="T114" s="6" t="n">
        <v>0</v>
      </c>
      <c r="U114" s="6" t="n">
        <v>0</v>
      </c>
      <c r="V114" s="6" t="n">
        <v>0</v>
      </c>
      <c r="W114" s="6" t="n">
        <v>0</v>
      </c>
      <c r="X114" s="6" t="n">
        <v>0</v>
      </c>
      <c r="Y114" s="6" t="n">
        <v>0</v>
      </c>
      <c r="Z114" s="6" t="n">
        <v>0</v>
      </c>
      <c r="AA114" s="6" t="n">
        <v>0</v>
      </c>
      <c r="AB114" s="6">
        <f>SUM(D114:AA114)</f>
        <v/>
      </c>
      <c r="AC114" s="3" t="inlineStr"/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7" t="n">
        <v>0</v>
      </c>
      <c r="BB114" s="7">
        <f>SUM(AD114:BA114)</f>
        <v/>
      </c>
    </row>
    <row r="115">
      <c r="A115" t="inlineStr">
        <is>
          <t>DC-10-1</t>
        </is>
      </c>
      <c r="B115" t="inlineStr">
        <is>
          <t>DSC Manual</t>
        </is>
      </c>
      <c r="C115" s="5" t="n">
        <v>46093</v>
      </c>
      <c r="D115" s="6" t="n">
        <v>0</v>
      </c>
      <c r="E115" s="6" t="n">
        <v>0</v>
      </c>
      <c r="F115" s="6" t="n">
        <v>0</v>
      </c>
      <c r="G115" s="6" t="n">
        <v>0</v>
      </c>
      <c r="H115" s="6" t="n">
        <v>0</v>
      </c>
      <c r="I115" s="6" t="n">
        <v>0</v>
      </c>
      <c r="J115" s="6" t="n">
        <v>0</v>
      </c>
      <c r="K115" s="6" t="n">
        <v>0</v>
      </c>
      <c r="L115" s="6" t="n">
        <v>0</v>
      </c>
      <c r="M115" s="6" t="n">
        <v>0</v>
      </c>
      <c r="N115" s="6" t="n">
        <v>0</v>
      </c>
      <c r="O115" s="6" t="n">
        <v>0</v>
      </c>
      <c r="P115" s="6" t="n">
        <v>0</v>
      </c>
      <c r="Q115" s="6" t="n">
        <v>0</v>
      </c>
      <c r="R115" s="6" t="n">
        <v>0</v>
      </c>
      <c r="S115" s="6" t="n">
        <v>0</v>
      </c>
      <c r="T115" s="6" t="n">
        <v>0</v>
      </c>
      <c r="U115" s="6" t="n">
        <v>0</v>
      </c>
      <c r="V115" s="6" t="n">
        <v>0</v>
      </c>
      <c r="W115" s="6" t="n">
        <v>0</v>
      </c>
      <c r="X115" s="6" t="n">
        <v>0</v>
      </c>
      <c r="Y115" s="6" t="n">
        <v>0</v>
      </c>
      <c r="Z115" s="6" t="n">
        <v>0</v>
      </c>
      <c r="AA115" s="6" t="n">
        <v>0</v>
      </c>
      <c r="AB115" s="6">
        <f>SUM(D115:AA115)</f>
        <v/>
      </c>
      <c r="AC115" s="3" t="inlineStr"/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>
        <f>SUM(AD115:BA115)</f>
        <v/>
      </c>
    </row>
    <row r="116">
      <c r="A116" t="inlineStr">
        <is>
          <t>DC-10-1</t>
        </is>
      </c>
      <c r="B116" t="inlineStr">
        <is>
          <t>DSC Manual</t>
        </is>
      </c>
      <c r="C116" s="5" t="n">
        <v>46094</v>
      </c>
      <c r="D116" s="6" t="n">
        <v>0</v>
      </c>
      <c r="E116" s="6" t="n">
        <v>0</v>
      </c>
      <c r="F116" s="6" t="n">
        <v>0</v>
      </c>
      <c r="G116" s="6" t="n">
        <v>0</v>
      </c>
      <c r="H116" s="6" t="n">
        <v>0</v>
      </c>
      <c r="I116" s="6" t="n">
        <v>0</v>
      </c>
      <c r="J116" s="6" t="n">
        <v>0</v>
      </c>
      <c r="K116" s="6" t="n">
        <v>0</v>
      </c>
      <c r="L116" s="6" t="n">
        <v>0</v>
      </c>
      <c r="M116" s="6" t="n">
        <v>0</v>
      </c>
      <c r="N116" s="6" t="n">
        <v>0</v>
      </c>
      <c r="O116" s="6" t="n">
        <v>0</v>
      </c>
      <c r="P116" s="6" t="n">
        <v>0</v>
      </c>
      <c r="Q116" s="6" t="n">
        <v>0</v>
      </c>
      <c r="R116" s="6" t="n">
        <v>0</v>
      </c>
      <c r="S116" s="6" t="n">
        <v>0</v>
      </c>
      <c r="T116" s="6" t="n">
        <v>0</v>
      </c>
      <c r="U116" s="6" t="n">
        <v>0</v>
      </c>
      <c r="V116" s="6" t="n">
        <v>0</v>
      </c>
      <c r="W116" s="6" t="n">
        <v>0</v>
      </c>
      <c r="X116" s="6" t="n">
        <v>0</v>
      </c>
      <c r="Y116" s="6" t="n">
        <v>0</v>
      </c>
      <c r="Z116" s="6" t="n">
        <v>0</v>
      </c>
      <c r="AA116" s="6" t="n">
        <v>0</v>
      </c>
      <c r="AB116" s="6">
        <f>SUM(D116:AA116)</f>
        <v/>
      </c>
      <c r="AC116" s="3" t="inlineStr"/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>
        <f>SUM(AD116:BA116)</f>
        <v/>
      </c>
    </row>
    <row r="117">
      <c r="A117" t="inlineStr">
        <is>
          <t>DC-10-1</t>
        </is>
      </c>
      <c r="B117" t="inlineStr">
        <is>
          <t>DSC Manual</t>
        </is>
      </c>
      <c r="C117" s="5" t="n">
        <v>46095</v>
      </c>
      <c r="D117" s="6" t="n">
        <v>0</v>
      </c>
      <c r="E117" s="6" t="n">
        <v>0</v>
      </c>
      <c r="F117" s="6" t="n">
        <v>0</v>
      </c>
      <c r="G117" s="6" t="n">
        <v>0</v>
      </c>
      <c r="H117" s="6" t="n">
        <v>0</v>
      </c>
      <c r="I117" s="6" t="n">
        <v>0</v>
      </c>
      <c r="J117" s="6" t="n">
        <v>0</v>
      </c>
      <c r="K117" s="6" t="n">
        <v>0</v>
      </c>
      <c r="L117" s="6" t="n">
        <v>0</v>
      </c>
      <c r="M117" s="6" t="n">
        <v>0</v>
      </c>
      <c r="N117" s="6" t="n">
        <v>0</v>
      </c>
      <c r="O117" s="6" t="n">
        <v>0</v>
      </c>
      <c r="P117" s="6" t="n">
        <v>0</v>
      </c>
      <c r="Q117" s="6" t="n">
        <v>0</v>
      </c>
      <c r="R117" s="6" t="n">
        <v>0</v>
      </c>
      <c r="S117" s="6" t="n">
        <v>0</v>
      </c>
      <c r="T117" s="6" t="n">
        <v>0</v>
      </c>
      <c r="U117" s="6" t="n">
        <v>0</v>
      </c>
      <c r="V117" s="6" t="n">
        <v>0</v>
      </c>
      <c r="W117" s="6" t="n">
        <v>0</v>
      </c>
      <c r="X117" s="6" t="n">
        <v>0</v>
      </c>
      <c r="Y117" s="6" t="n">
        <v>0</v>
      </c>
      <c r="Z117" s="6" t="n">
        <v>0</v>
      </c>
      <c r="AA117" s="6" t="n">
        <v>0</v>
      </c>
      <c r="AB117" s="6">
        <f>SUM(D117:AA117)</f>
        <v/>
      </c>
      <c r="AC117" s="3" t="inlineStr"/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7" t="n">
        <v>0</v>
      </c>
      <c r="BA117" s="7" t="n">
        <v>0</v>
      </c>
      <c r="BB117" s="7">
        <f>SUM(AD117:BA117)</f>
        <v/>
      </c>
    </row>
    <row r="118">
      <c r="A118" t="inlineStr">
        <is>
          <t>DC-10-1</t>
        </is>
      </c>
      <c r="B118" t="inlineStr">
        <is>
          <t>DSC Manual</t>
        </is>
      </c>
      <c r="C118" s="5" t="n">
        <v>46096</v>
      </c>
      <c r="D118" s="6" t="n">
        <v>0</v>
      </c>
      <c r="E118" s="6" t="n">
        <v>0</v>
      </c>
      <c r="F118" s="6" t="n">
        <v>0</v>
      </c>
      <c r="G118" s="6" t="n">
        <v>0</v>
      </c>
      <c r="H118" s="6" t="n">
        <v>0</v>
      </c>
      <c r="I118" s="6" t="n">
        <v>0</v>
      </c>
      <c r="J118" s="6" t="n">
        <v>0</v>
      </c>
      <c r="K118" s="6" t="n">
        <v>0</v>
      </c>
      <c r="L118" s="6" t="n">
        <v>0</v>
      </c>
      <c r="M118" s="6" t="n">
        <v>0</v>
      </c>
      <c r="N118" s="6" t="n">
        <v>0</v>
      </c>
      <c r="O118" s="6" t="n">
        <v>0</v>
      </c>
      <c r="P118" s="6" t="n">
        <v>0</v>
      </c>
      <c r="Q118" s="6" t="n">
        <v>0</v>
      </c>
      <c r="R118" s="6" t="n">
        <v>0</v>
      </c>
      <c r="S118" s="6" t="n">
        <v>0</v>
      </c>
      <c r="T118" s="6" t="n">
        <v>0</v>
      </c>
      <c r="U118" s="6" t="n">
        <v>0</v>
      </c>
      <c r="V118" s="6" t="n">
        <v>0</v>
      </c>
      <c r="W118" s="6" t="n">
        <v>0</v>
      </c>
      <c r="X118" s="6" t="n">
        <v>0</v>
      </c>
      <c r="Y118" s="6" t="n">
        <v>0</v>
      </c>
      <c r="Z118" s="6" t="n">
        <v>0</v>
      </c>
      <c r="AA118" s="6" t="n">
        <v>0</v>
      </c>
      <c r="AB118" s="6">
        <f>SUM(D118:AA118)</f>
        <v/>
      </c>
      <c r="AC118" s="3" t="inlineStr"/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>
        <f>SUM(AD118:BA118)</f>
        <v/>
      </c>
    </row>
    <row r="119">
      <c r="A119" t="inlineStr">
        <is>
          <t>DC-10-1</t>
        </is>
      </c>
      <c r="B119" t="inlineStr">
        <is>
          <t>DSC Manual</t>
        </is>
      </c>
      <c r="C119" s="5" t="n">
        <v>46097</v>
      </c>
      <c r="D119" s="6" t="n">
        <v>0</v>
      </c>
      <c r="E119" s="6" t="n">
        <v>0</v>
      </c>
      <c r="F119" s="6" t="n">
        <v>0</v>
      </c>
      <c r="G119" s="6" t="n">
        <v>0</v>
      </c>
      <c r="H119" s="6" t="n">
        <v>0</v>
      </c>
      <c r="I119" s="6" t="n">
        <v>0</v>
      </c>
      <c r="J119" s="6" t="n">
        <v>0</v>
      </c>
      <c r="K119" s="6" t="n">
        <v>0</v>
      </c>
      <c r="L119" s="6" t="n">
        <v>0</v>
      </c>
      <c r="M119" s="6" t="n">
        <v>0</v>
      </c>
      <c r="N119" s="6" t="n">
        <v>0</v>
      </c>
      <c r="O119" s="6" t="n">
        <v>0</v>
      </c>
      <c r="P119" s="6" t="n">
        <v>0</v>
      </c>
      <c r="Q119" s="6" t="n">
        <v>0</v>
      </c>
      <c r="R119" s="6" t="n">
        <v>0</v>
      </c>
      <c r="S119" s="6" t="n">
        <v>0</v>
      </c>
      <c r="T119" s="6" t="n">
        <v>0</v>
      </c>
      <c r="U119" s="6" t="n">
        <v>0</v>
      </c>
      <c r="V119" s="6" t="n">
        <v>0</v>
      </c>
      <c r="W119" s="6" t="n">
        <v>0</v>
      </c>
      <c r="X119" s="6" t="n">
        <v>0</v>
      </c>
      <c r="Y119" s="6" t="n">
        <v>0</v>
      </c>
      <c r="Z119" s="6" t="n">
        <v>0</v>
      </c>
      <c r="AA119" s="6" t="n">
        <v>0</v>
      </c>
      <c r="AB119" s="6">
        <f>SUM(D119:AA119)</f>
        <v/>
      </c>
      <c r="AC119" s="3" t="inlineStr"/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n">
        <v>0</v>
      </c>
      <c r="AW119" s="7" t="n">
        <v>0</v>
      </c>
      <c r="AX119" s="7" t="n">
        <v>0</v>
      </c>
      <c r="AY119" s="7" t="n">
        <v>0</v>
      </c>
      <c r="AZ119" s="7" t="n">
        <v>0</v>
      </c>
      <c r="BA119" s="7" t="n">
        <v>0</v>
      </c>
      <c r="BB119" s="7">
        <f>SUM(AD119:BA119)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B1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Layout</t>
        </is>
      </c>
      <c r="B1" s="1" t="inlineStr">
        <is>
          <t>Layout Type</t>
        </is>
      </c>
      <c r="C1" s="1" t="inlineStr">
        <is>
          <t>Date</t>
        </is>
      </c>
      <c r="D1" s="2" t="inlineStr">
        <is>
          <t>Act Vol 12 AM</t>
        </is>
      </c>
      <c r="E1" s="2" t="inlineStr">
        <is>
          <t>Act Vol 1 AM</t>
        </is>
      </c>
      <c r="F1" s="2" t="inlineStr">
        <is>
          <t>Act Vol 2 AM</t>
        </is>
      </c>
      <c r="G1" s="2" t="inlineStr">
        <is>
          <t>Act Vol 3 AM</t>
        </is>
      </c>
      <c r="H1" s="2" t="inlineStr">
        <is>
          <t>Act Vol 4 AM</t>
        </is>
      </c>
      <c r="I1" s="2" t="inlineStr">
        <is>
          <t>Act Vol 5 AM</t>
        </is>
      </c>
      <c r="J1" s="2" t="inlineStr">
        <is>
          <t>Act Vol 6 AM</t>
        </is>
      </c>
      <c r="K1" s="2" t="inlineStr">
        <is>
          <t>Act Vol 7 AM</t>
        </is>
      </c>
      <c r="L1" s="2" t="inlineStr">
        <is>
          <t>Act Vol 8 AM</t>
        </is>
      </c>
      <c r="M1" s="2" t="inlineStr">
        <is>
          <t>Act Vol 9 AM</t>
        </is>
      </c>
      <c r="N1" s="2" t="inlineStr">
        <is>
          <t>Act Vol 10 AM</t>
        </is>
      </c>
      <c r="O1" s="2" t="inlineStr">
        <is>
          <t>Act Vol 11 AM</t>
        </is>
      </c>
      <c r="P1" s="2" t="inlineStr">
        <is>
          <t>Act Vol 12 PM</t>
        </is>
      </c>
      <c r="Q1" s="2" t="inlineStr">
        <is>
          <t>Act Vol 1 PM</t>
        </is>
      </c>
      <c r="R1" s="2" t="inlineStr">
        <is>
          <t>Act Vol 2 PM</t>
        </is>
      </c>
      <c r="S1" s="2" t="inlineStr">
        <is>
          <t>Act Vol 3 PM</t>
        </is>
      </c>
      <c r="T1" s="2" t="inlineStr">
        <is>
          <t>Act Vol 4 PM</t>
        </is>
      </c>
      <c r="U1" s="2" t="inlineStr">
        <is>
          <t>Act Vol 5 PM</t>
        </is>
      </c>
      <c r="V1" s="2" t="inlineStr">
        <is>
          <t>Act Vol 6 PM</t>
        </is>
      </c>
      <c r="W1" s="2" t="inlineStr">
        <is>
          <t>Act Vol 7 PM</t>
        </is>
      </c>
      <c r="X1" s="2" t="inlineStr">
        <is>
          <t>Act Vol 8 PM</t>
        </is>
      </c>
      <c r="Y1" s="2" t="inlineStr">
        <is>
          <t>Act Vol 9 PM</t>
        </is>
      </c>
      <c r="Z1" s="2" t="inlineStr">
        <is>
          <t>Act Vol 10 PM</t>
        </is>
      </c>
      <c r="AA1" s="2" t="inlineStr">
        <is>
          <t>Act Vol 11 PM</t>
        </is>
      </c>
      <c r="AB1" s="2" t="inlineStr">
        <is>
          <t>Act Vol Total</t>
        </is>
      </c>
      <c r="AC1" s="3" t="inlineStr"/>
      <c r="AD1" s="4" t="inlineStr">
        <is>
          <t>MH 12 AM</t>
        </is>
      </c>
      <c r="AE1" s="4" t="inlineStr">
        <is>
          <t>MH 1 AM</t>
        </is>
      </c>
      <c r="AF1" s="4" t="inlineStr">
        <is>
          <t>MH 2 AM</t>
        </is>
      </c>
      <c r="AG1" s="4" t="inlineStr">
        <is>
          <t>MH 3 AM</t>
        </is>
      </c>
      <c r="AH1" s="4" t="inlineStr">
        <is>
          <t>MH 4 AM</t>
        </is>
      </c>
      <c r="AI1" s="4" t="inlineStr">
        <is>
          <t>MH 5 AM</t>
        </is>
      </c>
      <c r="AJ1" s="4" t="inlineStr">
        <is>
          <t>MH 6 AM</t>
        </is>
      </c>
      <c r="AK1" s="4" t="inlineStr">
        <is>
          <t>MH 7 AM</t>
        </is>
      </c>
      <c r="AL1" s="4" t="inlineStr">
        <is>
          <t>MH 8 AM</t>
        </is>
      </c>
      <c r="AM1" s="4" t="inlineStr">
        <is>
          <t>MH 9 AM</t>
        </is>
      </c>
      <c r="AN1" s="4" t="inlineStr">
        <is>
          <t>MH 10 AM</t>
        </is>
      </c>
      <c r="AO1" s="4" t="inlineStr">
        <is>
          <t>MH 11 AM</t>
        </is>
      </c>
      <c r="AP1" s="4" t="inlineStr">
        <is>
          <t>MH 12 PM</t>
        </is>
      </c>
      <c r="AQ1" s="4" t="inlineStr">
        <is>
          <t>MH 1 PM</t>
        </is>
      </c>
      <c r="AR1" s="4" t="inlineStr">
        <is>
          <t>MH 2 PM</t>
        </is>
      </c>
      <c r="AS1" s="4" t="inlineStr">
        <is>
          <t>MH 3 PM</t>
        </is>
      </c>
      <c r="AT1" s="4" t="inlineStr">
        <is>
          <t>MH 4 PM</t>
        </is>
      </c>
      <c r="AU1" s="4" t="inlineStr">
        <is>
          <t>MH 5 PM</t>
        </is>
      </c>
      <c r="AV1" s="4" t="inlineStr">
        <is>
          <t>MH 6 PM</t>
        </is>
      </c>
      <c r="AW1" s="4" t="inlineStr">
        <is>
          <t>MH 7 PM</t>
        </is>
      </c>
      <c r="AX1" s="4" t="inlineStr">
        <is>
          <t>MH 8 PM</t>
        </is>
      </c>
      <c r="AY1" s="4" t="inlineStr">
        <is>
          <t>MH 9 PM</t>
        </is>
      </c>
      <c r="AZ1" s="4" t="inlineStr">
        <is>
          <t>MH 10 PM</t>
        </is>
      </c>
      <c r="BA1" s="4" t="inlineStr">
        <is>
          <t>MH 11 PM</t>
        </is>
      </c>
      <c r="BB1" s="4" t="inlineStr">
        <is>
          <t>MH Total</t>
        </is>
      </c>
    </row>
    <row r="2">
      <c r="A2" t="inlineStr">
        <is>
          <t>AMD-AIR-NEW-SSC</t>
        </is>
      </c>
      <c r="B2" t="inlineStr">
        <is>
          <t>Forward Regular OSC</t>
        </is>
      </c>
      <c r="C2" s="5" t="n">
        <v>46093</v>
      </c>
      <c r="D2" s="6">
        <f>Summary!D2*0.05</f>
        <v/>
      </c>
      <c r="E2" s="6">
        <f>Summary!E2*0.05</f>
        <v/>
      </c>
      <c r="F2" s="6">
        <f>Summary!F2*0.05</f>
        <v/>
      </c>
      <c r="G2" s="6">
        <f>Summary!G2*0.05</f>
        <v/>
      </c>
      <c r="H2" s="6">
        <f>Summary!H2*0.05</f>
        <v/>
      </c>
      <c r="I2" s="6">
        <f>Summary!I2*0.05</f>
        <v/>
      </c>
      <c r="J2" s="6">
        <f>Summary!J2*0.05</f>
        <v/>
      </c>
      <c r="K2" s="6">
        <f>Summary!K2*0.05</f>
        <v/>
      </c>
      <c r="L2" s="6">
        <f>Summary!L2*0.05</f>
        <v/>
      </c>
      <c r="M2" s="6">
        <f>Summary!M2*0.05</f>
        <v/>
      </c>
      <c r="N2" s="6">
        <f>Summary!N2*0.05</f>
        <v/>
      </c>
      <c r="O2" s="6">
        <f>Summary!O2*0.05</f>
        <v/>
      </c>
      <c r="P2" s="6">
        <f>Summary!P2*0.05</f>
        <v/>
      </c>
      <c r="Q2" s="6">
        <f>Summary!Q2*0.05</f>
        <v/>
      </c>
      <c r="R2" s="6">
        <f>Summary!R2*0.05</f>
        <v/>
      </c>
      <c r="S2" s="6">
        <f>Summary!S2*0.05</f>
        <v/>
      </c>
      <c r="T2" s="6">
        <f>Summary!T2*0.05</f>
        <v/>
      </c>
      <c r="U2" s="6">
        <f>Summary!U2*0.05</f>
        <v/>
      </c>
      <c r="V2" s="6">
        <f>Summary!V2*0.05</f>
        <v/>
      </c>
      <c r="W2" s="6">
        <f>Summary!W2*0.05</f>
        <v/>
      </c>
      <c r="X2" s="6">
        <f>Summary!X2*0.05</f>
        <v/>
      </c>
      <c r="Y2" s="6">
        <f>Summary!Y2*0.05</f>
        <v/>
      </c>
      <c r="Z2" s="6">
        <f>Summary!Z2*0.05</f>
        <v/>
      </c>
      <c r="AA2" s="6">
        <f>Summary!AA2*0.05</f>
        <v/>
      </c>
      <c r="AB2" s="6">
        <f>SUM(D2:AA2)</f>
        <v/>
      </c>
      <c r="AC2" s="3" t="inlineStr"/>
      <c r="AD2" s="7">
        <f>D2*0.0029</f>
        <v/>
      </c>
      <c r="AE2" s="7">
        <f>E2*0.0029</f>
        <v/>
      </c>
      <c r="AF2" s="7">
        <f>F2*0.0029</f>
        <v/>
      </c>
      <c r="AG2" s="7">
        <f>G2*0.0029</f>
        <v/>
      </c>
      <c r="AH2" s="7">
        <f>H2*0.0029</f>
        <v/>
      </c>
      <c r="AI2" s="7">
        <f>I2*0.0029</f>
        <v/>
      </c>
      <c r="AJ2" s="7">
        <f>J2*0.0029</f>
        <v/>
      </c>
      <c r="AK2" s="7">
        <f>K2*0.0029</f>
        <v/>
      </c>
      <c r="AL2" s="7">
        <f>L2*0.0029</f>
        <v/>
      </c>
      <c r="AM2" s="7">
        <f>M2*0.0029</f>
        <v/>
      </c>
      <c r="AN2" s="7">
        <f>N2*0.0029</f>
        <v/>
      </c>
      <c r="AO2" s="7">
        <f>O2*0.0029</f>
        <v/>
      </c>
      <c r="AP2" s="7">
        <f>P2*0.0029</f>
        <v/>
      </c>
      <c r="AQ2" s="7">
        <f>Q2*0.0029</f>
        <v/>
      </c>
      <c r="AR2" s="7">
        <f>R2*0.0029</f>
        <v/>
      </c>
      <c r="AS2" s="7">
        <f>S2*0.0029</f>
        <v/>
      </c>
      <c r="AT2" s="7">
        <f>T2*0.0029</f>
        <v/>
      </c>
      <c r="AU2" s="7">
        <f>U2*0.0029</f>
        <v/>
      </c>
      <c r="AV2" s="7">
        <f>V2*0.0029</f>
        <v/>
      </c>
      <c r="AW2" s="7">
        <f>W2*0.0029</f>
        <v/>
      </c>
      <c r="AX2" s="7">
        <f>X2*0.0029</f>
        <v/>
      </c>
      <c r="AY2" s="7">
        <f>Y2*0.0029</f>
        <v/>
      </c>
      <c r="AZ2" s="7">
        <f>Z2*0.0029</f>
        <v/>
      </c>
      <c r="BA2" s="7">
        <f>AA2*0.0029</f>
        <v/>
      </c>
      <c r="BB2" s="7">
        <f>SUM(AD2:BA2)</f>
        <v/>
      </c>
    </row>
    <row r="3">
      <c r="A3" t="inlineStr">
        <is>
          <t>AMD-AIR-NEW-SSC</t>
        </is>
      </c>
      <c r="B3" t="inlineStr">
        <is>
          <t>Forward Regular OSC</t>
        </is>
      </c>
      <c r="C3" s="5" t="n">
        <v>46094</v>
      </c>
      <c r="D3" s="6">
        <f>Summary!D3*0.05</f>
        <v/>
      </c>
      <c r="E3" s="6">
        <f>Summary!E3*0.05</f>
        <v/>
      </c>
      <c r="F3" s="6">
        <f>Summary!F3*0.05</f>
        <v/>
      </c>
      <c r="G3" s="6">
        <f>Summary!G3*0.05</f>
        <v/>
      </c>
      <c r="H3" s="6">
        <f>Summary!H3*0.05</f>
        <v/>
      </c>
      <c r="I3" s="6">
        <f>Summary!I3*0.05</f>
        <v/>
      </c>
      <c r="J3" s="6">
        <f>Summary!J3*0.05</f>
        <v/>
      </c>
      <c r="K3" s="6">
        <f>Summary!K3*0.05</f>
        <v/>
      </c>
      <c r="L3" s="6">
        <f>Summary!L3*0.05</f>
        <v/>
      </c>
      <c r="M3" s="6">
        <f>Summary!M3*0.05</f>
        <v/>
      </c>
      <c r="N3" s="6">
        <f>Summary!N3*0.05</f>
        <v/>
      </c>
      <c r="O3" s="6">
        <f>Summary!O3*0.05</f>
        <v/>
      </c>
      <c r="P3" s="6">
        <f>Summary!P3*0.05</f>
        <v/>
      </c>
      <c r="Q3" s="6">
        <f>Summary!Q3*0.05</f>
        <v/>
      </c>
      <c r="R3" s="6">
        <f>Summary!R3*0.05</f>
        <v/>
      </c>
      <c r="S3" s="6">
        <f>Summary!S3*0.05</f>
        <v/>
      </c>
      <c r="T3" s="6">
        <f>Summary!T3*0.05</f>
        <v/>
      </c>
      <c r="U3" s="6">
        <f>Summary!U3*0.05</f>
        <v/>
      </c>
      <c r="V3" s="6">
        <f>Summary!V3*0.05</f>
        <v/>
      </c>
      <c r="W3" s="6">
        <f>Summary!W3*0.05</f>
        <v/>
      </c>
      <c r="X3" s="6">
        <f>Summary!X3*0.05</f>
        <v/>
      </c>
      <c r="Y3" s="6">
        <f>Summary!Y3*0.05</f>
        <v/>
      </c>
      <c r="Z3" s="6">
        <f>Summary!Z3*0.05</f>
        <v/>
      </c>
      <c r="AA3" s="6">
        <f>Summary!AA3*0.05</f>
        <v/>
      </c>
      <c r="AB3" s="6">
        <f>SUM(D3:AA3)</f>
        <v/>
      </c>
      <c r="AC3" s="3" t="inlineStr"/>
      <c r="AD3" s="7">
        <f>D3*0.0029</f>
        <v/>
      </c>
      <c r="AE3" s="7">
        <f>E3*0.0029</f>
        <v/>
      </c>
      <c r="AF3" s="7">
        <f>F3*0.0029</f>
        <v/>
      </c>
      <c r="AG3" s="7">
        <f>G3*0.0029</f>
        <v/>
      </c>
      <c r="AH3" s="7">
        <f>H3*0.0029</f>
        <v/>
      </c>
      <c r="AI3" s="7">
        <f>I3*0.0029</f>
        <v/>
      </c>
      <c r="AJ3" s="7">
        <f>J3*0.0029</f>
        <v/>
      </c>
      <c r="AK3" s="7">
        <f>K3*0.0029</f>
        <v/>
      </c>
      <c r="AL3" s="7">
        <f>L3*0.0029</f>
        <v/>
      </c>
      <c r="AM3" s="7">
        <f>M3*0.0029</f>
        <v/>
      </c>
      <c r="AN3" s="7">
        <f>N3*0.0029</f>
        <v/>
      </c>
      <c r="AO3" s="7">
        <f>O3*0.0029</f>
        <v/>
      </c>
      <c r="AP3" s="7">
        <f>P3*0.0029</f>
        <v/>
      </c>
      <c r="AQ3" s="7">
        <f>Q3*0.0029</f>
        <v/>
      </c>
      <c r="AR3" s="7">
        <f>R3*0.0029</f>
        <v/>
      </c>
      <c r="AS3" s="7">
        <f>S3*0.0029</f>
        <v/>
      </c>
      <c r="AT3" s="7">
        <f>T3*0.0029</f>
        <v/>
      </c>
      <c r="AU3" s="7">
        <f>U3*0.0029</f>
        <v/>
      </c>
      <c r="AV3" s="7">
        <f>V3*0.0029</f>
        <v/>
      </c>
      <c r="AW3" s="7">
        <f>W3*0.0029</f>
        <v/>
      </c>
      <c r="AX3" s="7">
        <f>X3*0.0029</f>
        <v/>
      </c>
      <c r="AY3" s="7">
        <f>Y3*0.0029</f>
        <v/>
      </c>
      <c r="AZ3" s="7">
        <f>Z3*0.0029</f>
        <v/>
      </c>
      <c r="BA3" s="7">
        <f>AA3*0.0029</f>
        <v/>
      </c>
      <c r="BB3" s="7">
        <f>SUM(AD3:BA3)</f>
        <v/>
      </c>
    </row>
    <row r="4">
      <c r="A4" t="inlineStr">
        <is>
          <t>AMD-AIR-NEW-SSC</t>
        </is>
      </c>
      <c r="B4" t="inlineStr">
        <is>
          <t>Forward Regular OSC</t>
        </is>
      </c>
      <c r="C4" s="5" t="n">
        <v>46096</v>
      </c>
      <c r="D4" s="6">
        <f>Summary!D4*0.05</f>
        <v/>
      </c>
      <c r="E4" s="6">
        <f>Summary!E4*0.05</f>
        <v/>
      </c>
      <c r="F4" s="6">
        <f>Summary!F4*0.05</f>
        <v/>
      </c>
      <c r="G4" s="6">
        <f>Summary!G4*0.05</f>
        <v/>
      </c>
      <c r="H4" s="6">
        <f>Summary!H4*0.05</f>
        <v/>
      </c>
      <c r="I4" s="6">
        <f>Summary!I4*0.05</f>
        <v/>
      </c>
      <c r="J4" s="6">
        <f>Summary!J4*0.05</f>
        <v/>
      </c>
      <c r="K4" s="6">
        <f>Summary!K4*0.05</f>
        <v/>
      </c>
      <c r="L4" s="6">
        <f>Summary!L4*0.05</f>
        <v/>
      </c>
      <c r="M4" s="6">
        <f>Summary!M4*0.05</f>
        <v/>
      </c>
      <c r="N4" s="6">
        <f>Summary!N4*0.05</f>
        <v/>
      </c>
      <c r="O4" s="6">
        <f>Summary!O4*0.05</f>
        <v/>
      </c>
      <c r="P4" s="6">
        <f>Summary!P4*0.05</f>
        <v/>
      </c>
      <c r="Q4" s="6">
        <f>Summary!Q4*0.05</f>
        <v/>
      </c>
      <c r="R4" s="6">
        <f>Summary!R4*0.05</f>
        <v/>
      </c>
      <c r="S4" s="6">
        <f>Summary!S4*0.05</f>
        <v/>
      </c>
      <c r="T4" s="6">
        <f>Summary!T4*0.05</f>
        <v/>
      </c>
      <c r="U4" s="6">
        <f>Summary!U4*0.05</f>
        <v/>
      </c>
      <c r="V4" s="6">
        <f>Summary!V4*0.05</f>
        <v/>
      </c>
      <c r="W4" s="6">
        <f>Summary!W4*0.05</f>
        <v/>
      </c>
      <c r="X4" s="6">
        <f>Summary!X4*0.05</f>
        <v/>
      </c>
      <c r="Y4" s="6">
        <f>Summary!Y4*0.05</f>
        <v/>
      </c>
      <c r="Z4" s="6">
        <f>Summary!Z4*0.05</f>
        <v/>
      </c>
      <c r="AA4" s="6">
        <f>Summary!AA4*0.05</f>
        <v/>
      </c>
      <c r="AB4" s="6">
        <f>SUM(D4:AA4)</f>
        <v/>
      </c>
      <c r="AC4" s="3" t="inlineStr"/>
      <c r="AD4" s="7">
        <f>D4*0.0029</f>
        <v/>
      </c>
      <c r="AE4" s="7">
        <f>E4*0.0029</f>
        <v/>
      </c>
      <c r="AF4" s="7">
        <f>F4*0.0029</f>
        <v/>
      </c>
      <c r="AG4" s="7">
        <f>G4*0.0029</f>
        <v/>
      </c>
      <c r="AH4" s="7">
        <f>H4*0.0029</f>
        <v/>
      </c>
      <c r="AI4" s="7">
        <f>I4*0.0029</f>
        <v/>
      </c>
      <c r="AJ4" s="7">
        <f>J4*0.0029</f>
        <v/>
      </c>
      <c r="AK4" s="7">
        <f>K4*0.0029</f>
        <v/>
      </c>
      <c r="AL4" s="7">
        <f>L4*0.0029</f>
        <v/>
      </c>
      <c r="AM4" s="7">
        <f>M4*0.0029</f>
        <v/>
      </c>
      <c r="AN4" s="7">
        <f>N4*0.0029</f>
        <v/>
      </c>
      <c r="AO4" s="7">
        <f>O4*0.0029</f>
        <v/>
      </c>
      <c r="AP4" s="7">
        <f>P4*0.0029</f>
        <v/>
      </c>
      <c r="AQ4" s="7">
        <f>Q4*0.0029</f>
        <v/>
      </c>
      <c r="AR4" s="7">
        <f>R4*0.0029</f>
        <v/>
      </c>
      <c r="AS4" s="7">
        <f>S4*0.0029</f>
        <v/>
      </c>
      <c r="AT4" s="7">
        <f>T4*0.0029</f>
        <v/>
      </c>
      <c r="AU4" s="7">
        <f>U4*0.0029</f>
        <v/>
      </c>
      <c r="AV4" s="7">
        <f>V4*0.0029</f>
        <v/>
      </c>
      <c r="AW4" s="7">
        <f>W4*0.0029</f>
        <v/>
      </c>
      <c r="AX4" s="7">
        <f>X4*0.0029</f>
        <v/>
      </c>
      <c r="AY4" s="7">
        <f>Y4*0.0029</f>
        <v/>
      </c>
      <c r="AZ4" s="7">
        <f>Z4*0.0029</f>
        <v/>
      </c>
      <c r="BA4" s="7">
        <f>AA4*0.0029</f>
        <v/>
      </c>
      <c r="BB4" s="7">
        <f>SUM(AD4:BA4)</f>
        <v/>
      </c>
    </row>
    <row r="5">
      <c r="A5" t="inlineStr">
        <is>
          <t>AMD-AIR-NEW-SSC</t>
        </is>
      </c>
      <c r="B5" t="inlineStr">
        <is>
          <t>Forward Regular OSC</t>
        </is>
      </c>
      <c r="C5" s="5" t="n">
        <v>46097</v>
      </c>
      <c r="D5" s="6">
        <f>Summary!D5*0.05</f>
        <v/>
      </c>
      <c r="E5" s="6">
        <f>Summary!E5*0.05</f>
        <v/>
      </c>
      <c r="F5" s="6">
        <f>Summary!F5*0.05</f>
        <v/>
      </c>
      <c r="G5" s="6">
        <f>Summary!G5*0.05</f>
        <v/>
      </c>
      <c r="H5" s="6">
        <f>Summary!H5*0.05</f>
        <v/>
      </c>
      <c r="I5" s="6">
        <f>Summary!I5*0.05</f>
        <v/>
      </c>
      <c r="J5" s="6">
        <f>Summary!J5*0.05</f>
        <v/>
      </c>
      <c r="K5" s="6">
        <f>Summary!K5*0.05</f>
        <v/>
      </c>
      <c r="L5" s="6">
        <f>Summary!L5*0.05</f>
        <v/>
      </c>
      <c r="M5" s="6">
        <f>Summary!M5*0.05</f>
        <v/>
      </c>
      <c r="N5" s="6">
        <f>Summary!N5*0.05</f>
        <v/>
      </c>
      <c r="O5" s="6">
        <f>Summary!O5*0.05</f>
        <v/>
      </c>
      <c r="P5" s="6">
        <f>Summary!P5*0.05</f>
        <v/>
      </c>
      <c r="Q5" s="6">
        <f>Summary!Q5*0.05</f>
        <v/>
      </c>
      <c r="R5" s="6">
        <f>Summary!R5*0.05</f>
        <v/>
      </c>
      <c r="S5" s="6">
        <f>Summary!S5*0.05</f>
        <v/>
      </c>
      <c r="T5" s="6">
        <f>Summary!T5*0.05</f>
        <v/>
      </c>
      <c r="U5" s="6">
        <f>Summary!U5*0.05</f>
        <v/>
      </c>
      <c r="V5" s="6">
        <f>Summary!V5*0.05</f>
        <v/>
      </c>
      <c r="W5" s="6">
        <f>Summary!W5*0.05</f>
        <v/>
      </c>
      <c r="X5" s="6">
        <f>Summary!X5*0.05</f>
        <v/>
      </c>
      <c r="Y5" s="6">
        <f>Summary!Y5*0.05</f>
        <v/>
      </c>
      <c r="Z5" s="6">
        <f>Summary!Z5*0.05</f>
        <v/>
      </c>
      <c r="AA5" s="6">
        <f>Summary!AA5*0.05</f>
        <v/>
      </c>
      <c r="AB5" s="6">
        <f>SUM(D5:AA5)</f>
        <v/>
      </c>
      <c r="AC5" s="3" t="inlineStr"/>
      <c r="AD5" s="7">
        <f>D5*0.0029</f>
        <v/>
      </c>
      <c r="AE5" s="7">
        <f>E5*0.0029</f>
        <v/>
      </c>
      <c r="AF5" s="7">
        <f>F5*0.0029</f>
        <v/>
      </c>
      <c r="AG5" s="7">
        <f>G5*0.0029</f>
        <v/>
      </c>
      <c r="AH5" s="7">
        <f>H5*0.0029</f>
        <v/>
      </c>
      <c r="AI5" s="7">
        <f>I5*0.0029</f>
        <v/>
      </c>
      <c r="AJ5" s="7">
        <f>J5*0.0029</f>
        <v/>
      </c>
      <c r="AK5" s="7">
        <f>K5*0.0029</f>
        <v/>
      </c>
      <c r="AL5" s="7">
        <f>L5*0.0029</f>
        <v/>
      </c>
      <c r="AM5" s="7">
        <f>M5*0.0029</f>
        <v/>
      </c>
      <c r="AN5" s="7">
        <f>N5*0.0029</f>
        <v/>
      </c>
      <c r="AO5" s="7">
        <f>O5*0.0029</f>
        <v/>
      </c>
      <c r="AP5" s="7">
        <f>P5*0.0029</f>
        <v/>
      </c>
      <c r="AQ5" s="7">
        <f>Q5*0.0029</f>
        <v/>
      </c>
      <c r="AR5" s="7">
        <f>R5*0.0029</f>
        <v/>
      </c>
      <c r="AS5" s="7">
        <f>S5*0.0029</f>
        <v/>
      </c>
      <c r="AT5" s="7">
        <f>T5*0.0029</f>
        <v/>
      </c>
      <c r="AU5" s="7">
        <f>U5*0.0029</f>
        <v/>
      </c>
      <c r="AV5" s="7">
        <f>V5*0.0029</f>
        <v/>
      </c>
      <c r="AW5" s="7">
        <f>W5*0.0029</f>
        <v/>
      </c>
      <c r="AX5" s="7">
        <f>X5*0.0029</f>
        <v/>
      </c>
      <c r="AY5" s="7">
        <f>Y5*0.0029</f>
        <v/>
      </c>
      <c r="AZ5" s="7">
        <f>Z5*0.0029</f>
        <v/>
      </c>
      <c r="BA5" s="7">
        <f>AA5*0.0029</f>
        <v/>
      </c>
      <c r="BB5" s="7">
        <f>SUM(AD5:BA5)</f>
        <v/>
      </c>
    </row>
    <row r="6">
      <c r="A6" t="inlineStr">
        <is>
          <t>AMD-AIR-NEW-SSC</t>
        </is>
      </c>
      <c r="B6" t="inlineStr">
        <is>
          <t>Forward Regular OSC</t>
        </is>
      </c>
      <c r="C6" s="5" t="n">
        <v>46100</v>
      </c>
      <c r="D6" s="6">
        <f>Summary!D6*0.05</f>
        <v/>
      </c>
      <c r="E6" s="6">
        <f>Summary!E6*0.05</f>
        <v/>
      </c>
      <c r="F6" s="6">
        <f>Summary!F6*0.05</f>
        <v/>
      </c>
      <c r="G6" s="6">
        <f>Summary!G6*0.05</f>
        <v/>
      </c>
      <c r="H6" s="6">
        <f>Summary!H6*0.05</f>
        <v/>
      </c>
      <c r="I6" s="6">
        <f>Summary!I6*0.05</f>
        <v/>
      </c>
      <c r="J6" s="6">
        <f>Summary!J6*0.05</f>
        <v/>
      </c>
      <c r="K6" s="6">
        <f>Summary!K6*0.05</f>
        <v/>
      </c>
      <c r="L6" s="6">
        <f>Summary!L6*0.05</f>
        <v/>
      </c>
      <c r="M6" s="6">
        <f>Summary!M6*0.05</f>
        <v/>
      </c>
      <c r="N6" s="6">
        <f>Summary!N6*0.05</f>
        <v/>
      </c>
      <c r="O6" s="6">
        <f>Summary!O6*0.05</f>
        <v/>
      </c>
      <c r="P6" s="6">
        <f>Summary!P6*0.05</f>
        <v/>
      </c>
      <c r="Q6" s="6">
        <f>Summary!Q6*0.05</f>
        <v/>
      </c>
      <c r="R6" s="6">
        <f>Summary!R6*0.05</f>
        <v/>
      </c>
      <c r="S6" s="6">
        <f>Summary!S6*0.05</f>
        <v/>
      </c>
      <c r="T6" s="6">
        <f>Summary!T6*0.05</f>
        <v/>
      </c>
      <c r="U6" s="6">
        <f>Summary!U6*0.05</f>
        <v/>
      </c>
      <c r="V6" s="6">
        <f>Summary!V6*0.05</f>
        <v/>
      </c>
      <c r="W6" s="6">
        <f>Summary!W6*0.05</f>
        <v/>
      </c>
      <c r="X6" s="6">
        <f>Summary!X6*0.05</f>
        <v/>
      </c>
      <c r="Y6" s="6">
        <f>Summary!Y6*0.05</f>
        <v/>
      </c>
      <c r="Z6" s="6">
        <f>Summary!Z6*0.05</f>
        <v/>
      </c>
      <c r="AA6" s="6">
        <f>Summary!AA6*0.05</f>
        <v/>
      </c>
      <c r="AB6" s="6">
        <f>SUM(D6:AA6)</f>
        <v/>
      </c>
      <c r="AC6" s="3" t="inlineStr"/>
      <c r="AD6" s="7">
        <f>D6*0.0029</f>
        <v/>
      </c>
      <c r="AE6" s="7">
        <f>E6*0.0029</f>
        <v/>
      </c>
      <c r="AF6" s="7">
        <f>F6*0.0029</f>
        <v/>
      </c>
      <c r="AG6" s="7">
        <f>G6*0.0029</f>
        <v/>
      </c>
      <c r="AH6" s="7">
        <f>H6*0.0029</f>
        <v/>
      </c>
      <c r="AI6" s="7">
        <f>I6*0.0029</f>
        <v/>
      </c>
      <c r="AJ6" s="7">
        <f>J6*0.0029</f>
        <v/>
      </c>
      <c r="AK6" s="7">
        <f>K6*0.0029</f>
        <v/>
      </c>
      <c r="AL6" s="7">
        <f>L6*0.0029</f>
        <v/>
      </c>
      <c r="AM6" s="7">
        <f>M6*0.0029</f>
        <v/>
      </c>
      <c r="AN6" s="7">
        <f>N6*0.0029</f>
        <v/>
      </c>
      <c r="AO6" s="7">
        <f>O6*0.0029</f>
        <v/>
      </c>
      <c r="AP6" s="7">
        <f>P6*0.0029</f>
        <v/>
      </c>
      <c r="AQ6" s="7">
        <f>Q6*0.0029</f>
        <v/>
      </c>
      <c r="AR6" s="7">
        <f>R6*0.0029</f>
        <v/>
      </c>
      <c r="AS6" s="7">
        <f>S6*0.0029</f>
        <v/>
      </c>
      <c r="AT6" s="7">
        <f>T6*0.0029</f>
        <v/>
      </c>
      <c r="AU6" s="7">
        <f>U6*0.0029</f>
        <v/>
      </c>
      <c r="AV6" s="7">
        <f>V6*0.0029</f>
        <v/>
      </c>
      <c r="AW6" s="7">
        <f>W6*0.0029</f>
        <v/>
      </c>
      <c r="AX6" s="7">
        <f>X6*0.0029</f>
        <v/>
      </c>
      <c r="AY6" s="7">
        <f>Y6*0.0029</f>
        <v/>
      </c>
      <c r="AZ6" s="7">
        <f>Z6*0.0029</f>
        <v/>
      </c>
      <c r="BA6" s="7">
        <f>AA6*0.0029</f>
        <v/>
      </c>
      <c r="BB6" s="7">
        <f>SUM(AD6:BA6)</f>
        <v/>
      </c>
    </row>
    <row r="7">
      <c r="A7" t="inlineStr">
        <is>
          <t>AMD-AIR-NEW-SSC</t>
        </is>
      </c>
      <c r="B7" t="inlineStr">
        <is>
          <t>Forward Regular OSC</t>
        </is>
      </c>
      <c r="C7" s="5" t="n">
        <v>46101</v>
      </c>
      <c r="D7" s="6">
        <f>Summary!D7*0.05</f>
        <v/>
      </c>
      <c r="E7" s="6">
        <f>Summary!E7*0.05</f>
        <v/>
      </c>
      <c r="F7" s="6">
        <f>Summary!F7*0.05</f>
        <v/>
      </c>
      <c r="G7" s="6">
        <f>Summary!G7*0.05</f>
        <v/>
      </c>
      <c r="H7" s="6">
        <f>Summary!H7*0.05</f>
        <v/>
      </c>
      <c r="I7" s="6">
        <f>Summary!I7*0.05</f>
        <v/>
      </c>
      <c r="J7" s="6">
        <f>Summary!J7*0.05</f>
        <v/>
      </c>
      <c r="K7" s="6">
        <f>Summary!K7*0.05</f>
        <v/>
      </c>
      <c r="L7" s="6">
        <f>Summary!L7*0.05</f>
        <v/>
      </c>
      <c r="M7" s="6">
        <f>Summary!M7*0.05</f>
        <v/>
      </c>
      <c r="N7" s="6">
        <f>Summary!N7*0.05</f>
        <v/>
      </c>
      <c r="O7" s="6">
        <f>Summary!O7*0.05</f>
        <v/>
      </c>
      <c r="P7" s="6">
        <f>Summary!P7*0.05</f>
        <v/>
      </c>
      <c r="Q7" s="6">
        <f>Summary!Q7*0.05</f>
        <v/>
      </c>
      <c r="R7" s="6">
        <f>Summary!R7*0.05</f>
        <v/>
      </c>
      <c r="S7" s="6">
        <f>Summary!S7*0.05</f>
        <v/>
      </c>
      <c r="T7" s="6">
        <f>Summary!T7*0.05</f>
        <v/>
      </c>
      <c r="U7" s="6">
        <f>Summary!U7*0.05</f>
        <v/>
      </c>
      <c r="V7" s="6">
        <f>Summary!V7*0.05</f>
        <v/>
      </c>
      <c r="W7" s="6">
        <f>Summary!W7*0.05</f>
        <v/>
      </c>
      <c r="X7" s="6">
        <f>Summary!X7*0.05</f>
        <v/>
      </c>
      <c r="Y7" s="6">
        <f>Summary!Y7*0.05</f>
        <v/>
      </c>
      <c r="Z7" s="6">
        <f>Summary!Z7*0.05</f>
        <v/>
      </c>
      <c r="AA7" s="6">
        <f>Summary!AA7*0.05</f>
        <v/>
      </c>
      <c r="AB7" s="6">
        <f>SUM(D7:AA7)</f>
        <v/>
      </c>
      <c r="AC7" s="3" t="inlineStr"/>
      <c r="AD7" s="7">
        <f>D7*0.0029</f>
        <v/>
      </c>
      <c r="AE7" s="7">
        <f>E7*0.0029</f>
        <v/>
      </c>
      <c r="AF7" s="7">
        <f>F7*0.0029</f>
        <v/>
      </c>
      <c r="AG7" s="7">
        <f>G7*0.0029</f>
        <v/>
      </c>
      <c r="AH7" s="7">
        <f>H7*0.0029</f>
        <v/>
      </c>
      <c r="AI7" s="7">
        <f>I7*0.0029</f>
        <v/>
      </c>
      <c r="AJ7" s="7">
        <f>J7*0.0029</f>
        <v/>
      </c>
      <c r="AK7" s="7">
        <f>K7*0.0029</f>
        <v/>
      </c>
      <c r="AL7" s="7">
        <f>L7*0.0029</f>
        <v/>
      </c>
      <c r="AM7" s="7">
        <f>M7*0.0029</f>
        <v/>
      </c>
      <c r="AN7" s="7">
        <f>N7*0.0029</f>
        <v/>
      </c>
      <c r="AO7" s="7">
        <f>O7*0.0029</f>
        <v/>
      </c>
      <c r="AP7" s="7">
        <f>P7*0.0029</f>
        <v/>
      </c>
      <c r="AQ7" s="7">
        <f>Q7*0.0029</f>
        <v/>
      </c>
      <c r="AR7" s="7">
        <f>R7*0.0029</f>
        <v/>
      </c>
      <c r="AS7" s="7">
        <f>S7*0.0029</f>
        <v/>
      </c>
      <c r="AT7" s="7">
        <f>T7*0.0029</f>
        <v/>
      </c>
      <c r="AU7" s="7">
        <f>U7*0.0029</f>
        <v/>
      </c>
      <c r="AV7" s="7">
        <f>V7*0.0029</f>
        <v/>
      </c>
      <c r="AW7" s="7">
        <f>W7*0.0029</f>
        <v/>
      </c>
      <c r="AX7" s="7">
        <f>X7*0.0029</f>
        <v/>
      </c>
      <c r="AY7" s="7">
        <f>Y7*0.0029</f>
        <v/>
      </c>
      <c r="AZ7" s="7">
        <f>Z7*0.0029</f>
        <v/>
      </c>
      <c r="BA7" s="7">
        <f>AA7*0.0029</f>
        <v/>
      </c>
      <c r="BB7" s="7">
        <f>SUM(AD7:BA7)</f>
        <v/>
      </c>
    </row>
    <row r="8">
      <c r="A8" t="inlineStr">
        <is>
          <t>AMD-AIR-NEW-SSC</t>
        </is>
      </c>
      <c r="B8" t="inlineStr">
        <is>
          <t>Forward Regular OSC</t>
        </is>
      </c>
      <c r="C8" s="5" t="n">
        <v>46102</v>
      </c>
      <c r="D8" s="6">
        <f>Summary!D8*0.05</f>
        <v/>
      </c>
      <c r="E8" s="6">
        <f>Summary!E8*0.05</f>
        <v/>
      </c>
      <c r="F8" s="6">
        <f>Summary!F8*0.05</f>
        <v/>
      </c>
      <c r="G8" s="6">
        <f>Summary!G8*0.05</f>
        <v/>
      </c>
      <c r="H8" s="6">
        <f>Summary!H8*0.05</f>
        <v/>
      </c>
      <c r="I8" s="6">
        <f>Summary!I8*0.05</f>
        <v/>
      </c>
      <c r="J8" s="6">
        <f>Summary!J8*0.05</f>
        <v/>
      </c>
      <c r="K8" s="6">
        <f>Summary!K8*0.05</f>
        <v/>
      </c>
      <c r="L8" s="6">
        <f>Summary!L8*0.05</f>
        <v/>
      </c>
      <c r="M8" s="6">
        <f>Summary!M8*0.05</f>
        <v/>
      </c>
      <c r="N8" s="6">
        <f>Summary!N8*0.05</f>
        <v/>
      </c>
      <c r="O8" s="6">
        <f>Summary!O8*0.05</f>
        <v/>
      </c>
      <c r="P8" s="6">
        <f>Summary!P8*0.05</f>
        <v/>
      </c>
      <c r="Q8" s="6">
        <f>Summary!Q8*0.05</f>
        <v/>
      </c>
      <c r="R8" s="6">
        <f>Summary!R8*0.05</f>
        <v/>
      </c>
      <c r="S8" s="6">
        <f>Summary!S8*0.05</f>
        <v/>
      </c>
      <c r="T8" s="6">
        <f>Summary!T8*0.05</f>
        <v/>
      </c>
      <c r="U8" s="6">
        <f>Summary!U8*0.05</f>
        <v/>
      </c>
      <c r="V8" s="6">
        <f>Summary!V8*0.05</f>
        <v/>
      </c>
      <c r="W8" s="6">
        <f>Summary!W8*0.05</f>
        <v/>
      </c>
      <c r="X8" s="6">
        <f>Summary!X8*0.05</f>
        <v/>
      </c>
      <c r="Y8" s="6">
        <f>Summary!Y8*0.05</f>
        <v/>
      </c>
      <c r="Z8" s="6">
        <f>Summary!Z8*0.05</f>
        <v/>
      </c>
      <c r="AA8" s="6">
        <f>Summary!AA8*0.05</f>
        <v/>
      </c>
      <c r="AB8" s="6">
        <f>SUM(D8:AA8)</f>
        <v/>
      </c>
      <c r="AC8" s="3" t="inlineStr"/>
      <c r="AD8" s="7">
        <f>D8*0.0029</f>
        <v/>
      </c>
      <c r="AE8" s="7">
        <f>E8*0.0029</f>
        <v/>
      </c>
      <c r="AF8" s="7">
        <f>F8*0.0029</f>
        <v/>
      </c>
      <c r="AG8" s="7">
        <f>G8*0.0029</f>
        <v/>
      </c>
      <c r="AH8" s="7">
        <f>H8*0.0029</f>
        <v/>
      </c>
      <c r="AI8" s="7">
        <f>I8*0.0029</f>
        <v/>
      </c>
      <c r="AJ8" s="7">
        <f>J8*0.0029</f>
        <v/>
      </c>
      <c r="AK8" s="7">
        <f>K8*0.0029</f>
        <v/>
      </c>
      <c r="AL8" s="7">
        <f>L8*0.0029</f>
        <v/>
      </c>
      <c r="AM8" s="7">
        <f>M8*0.0029</f>
        <v/>
      </c>
      <c r="AN8" s="7">
        <f>N8*0.0029</f>
        <v/>
      </c>
      <c r="AO8" s="7">
        <f>O8*0.0029</f>
        <v/>
      </c>
      <c r="AP8" s="7">
        <f>P8*0.0029</f>
        <v/>
      </c>
      <c r="AQ8" s="7">
        <f>Q8*0.0029</f>
        <v/>
      </c>
      <c r="AR8" s="7">
        <f>R8*0.0029</f>
        <v/>
      </c>
      <c r="AS8" s="7">
        <f>S8*0.0029</f>
        <v/>
      </c>
      <c r="AT8" s="7">
        <f>T8*0.0029</f>
        <v/>
      </c>
      <c r="AU8" s="7">
        <f>U8*0.0029</f>
        <v/>
      </c>
      <c r="AV8" s="7">
        <f>V8*0.0029</f>
        <v/>
      </c>
      <c r="AW8" s="7">
        <f>W8*0.0029</f>
        <v/>
      </c>
      <c r="AX8" s="7">
        <f>X8*0.0029</f>
        <v/>
      </c>
      <c r="AY8" s="7">
        <f>Y8*0.0029</f>
        <v/>
      </c>
      <c r="AZ8" s="7">
        <f>Z8*0.0029</f>
        <v/>
      </c>
      <c r="BA8" s="7">
        <f>AA8*0.0029</f>
        <v/>
      </c>
      <c r="BB8" s="7">
        <f>SUM(AD8:BA8)</f>
        <v/>
      </c>
    </row>
    <row r="9">
      <c r="A9" t="inlineStr">
        <is>
          <t>AMD-AIR-NEW-SSC</t>
        </is>
      </c>
      <c r="B9" t="inlineStr">
        <is>
          <t>Forward Regular OSC</t>
        </is>
      </c>
      <c r="C9" s="5" t="n">
        <v>46103</v>
      </c>
      <c r="D9" s="6">
        <f>Summary!D9*0.05</f>
        <v/>
      </c>
      <c r="E9" s="6">
        <f>Summary!E9*0.05</f>
        <v/>
      </c>
      <c r="F9" s="6">
        <f>Summary!F9*0.05</f>
        <v/>
      </c>
      <c r="G9" s="6">
        <f>Summary!G9*0.05</f>
        <v/>
      </c>
      <c r="H9" s="6">
        <f>Summary!H9*0.05</f>
        <v/>
      </c>
      <c r="I9" s="6">
        <f>Summary!I9*0.05</f>
        <v/>
      </c>
      <c r="J9" s="6">
        <f>Summary!J9*0.05</f>
        <v/>
      </c>
      <c r="K9" s="6">
        <f>Summary!K9*0.05</f>
        <v/>
      </c>
      <c r="L9" s="6">
        <f>Summary!L9*0.05</f>
        <v/>
      </c>
      <c r="M9" s="6">
        <f>Summary!M9*0.05</f>
        <v/>
      </c>
      <c r="N9" s="6">
        <f>Summary!N9*0.05</f>
        <v/>
      </c>
      <c r="O9" s="6">
        <f>Summary!O9*0.05</f>
        <v/>
      </c>
      <c r="P9" s="6">
        <f>Summary!P9*0.05</f>
        <v/>
      </c>
      <c r="Q9" s="6">
        <f>Summary!Q9*0.05</f>
        <v/>
      </c>
      <c r="R9" s="6">
        <f>Summary!R9*0.05</f>
        <v/>
      </c>
      <c r="S9" s="6">
        <f>Summary!S9*0.05</f>
        <v/>
      </c>
      <c r="T9" s="6">
        <f>Summary!T9*0.05</f>
        <v/>
      </c>
      <c r="U9" s="6">
        <f>Summary!U9*0.05</f>
        <v/>
      </c>
      <c r="V9" s="6">
        <f>Summary!V9*0.05</f>
        <v/>
      </c>
      <c r="W9" s="6">
        <f>Summary!W9*0.05</f>
        <v/>
      </c>
      <c r="X9" s="6">
        <f>Summary!X9*0.05</f>
        <v/>
      </c>
      <c r="Y9" s="6">
        <f>Summary!Y9*0.05</f>
        <v/>
      </c>
      <c r="Z9" s="6">
        <f>Summary!Z9*0.05</f>
        <v/>
      </c>
      <c r="AA9" s="6">
        <f>Summary!AA9*0.05</f>
        <v/>
      </c>
      <c r="AB9" s="6">
        <f>SUM(D9:AA9)</f>
        <v/>
      </c>
      <c r="AC9" s="3" t="inlineStr"/>
      <c r="AD9" s="7">
        <f>D9*0.0029</f>
        <v/>
      </c>
      <c r="AE9" s="7">
        <f>E9*0.0029</f>
        <v/>
      </c>
      <c r="AF9" s="7">
        <f>F9*0.0029</f>
        <v/>
      </c>
      <c r="AG9" s="7">
        <f>G9*0.0029</f>
        <v/>
      </c>
      <c r="AH9" s="7">
        <f>H9*0.0029</f>
        <v/>
      </c>
      <c r="AI9" s="7">
        <f>I9*0.0029</f>
        <v/>
      </c>
      <c r="AJ9" s="7">
        <f>J9*0.0029</f>
        <v/>
      </c>
      <c r="AK9" s="7">
        <f>K9*0.0029</f>
        <v/>
      </c>
      <c r="AL9" s="7">
        <f>L9*0.0029</f>
        <v/>
      </c>
      <c r="AM9" s="7">
        <f>M9*0.0029</f>
        <v/>
      </c>
      <c r="AN9" s="7">
        <f>N9*0.0029</f>
        <v/>
      </c>
      <c r="AO9" s="7">
        <f>O9*0.0029</f>
        <v/>
      </c>
      <c r="AP9" s="7">
        <f>P9*0.0029</f>
        <v/>
      </c>
      <c r="AQ9" s="7">
        <f>Q9*0.0029</f>
        <v/>
      </c>
      <c r="AR9" s="7">
        <f>R9*0.0029</f>
        <v/>
      </c>
      <c r="AS9" s="7">
        <f>S9*0.0029</f>
        <v/>
      </c>
      <c r="AT9" s="7">
        <f>T9*0.0029</f>
        <v/>
      </c>
      <c r="AU9" s="7">
        <f>U9*0.0029</f>
        <v/>
      </c>
      <c r="AV9" s="7">
        <f>V9*0.0029</f>
        <v/>
      </c>
      <c r="AW9" s="7">
        <f>W9*0.0029</f>
        <v/>
      </c>
      <c r="AX9" s="7">
        <f>X9*0.0029</f>
        <v/>
      </c>
      <c r="AY9" s="7">
        <f>Y9*0.0029</f>
        <v/>
      </c>
      <c r="AZ9" s="7">
        <f>Z9*0.0029</f>
        <v/>
      </c>
      <c r="BA9" s="7">
        <f>AA9*0.0029</f>
        <v/>
      </c>
      <c r="BB9" s="7">
        <f>SUM(AD9:BA9)</f>
        <v/>
      </c>
    </row>
    <row r="10">
      <c r="A10" t="inlineStr">
        <is>
          <t>AMD-AIR-NEW-SSC</t>
        </is>
      </c>
      <c r="B10" t="inlineStr">
        <is>
          <t>Forward Regular OSC</t>
        </is>
      </c>
      <c r="C10" s="5" t="n">
        <v>46104</v>
      </c>
      <c r="D10" s="6">
        <f>Summary!D10*0.05</f>
        <v/>
      </c>
      <c r="E10" s="6">
        <f>Summary!E10*0.05</f>
        <v/>
      </c>
      <c r="F10" s="6">
        <f>Summary!F10*0.05</f>
        <v/>
      </c>
      <c r="G10" s="6">
        <f>Summary!G10*0.05</f>
        <v/>
      </c>
      <c r="H10" s="6">
        <f>Summary!H10*0.05</f>
        <v/>
      </c>
      <c r="I10" s="6">
        <f>Summary!I10*0.05</f>
        <v/>
      </c>
      <c r="J10" s="6">
        <f>Summary!J10*0.05</f>
        <v/>
      </c>
      <c r="K10" s="6">
        <f>Summary!K10*0.05</f>
        <v/>
      </c>
      <c r="L10" s="6">
        <f>Summary!L10*0.05</f>
        <v/>
      </c>
      <c r="M10" s="6">
        <f>Summary!M10*0.05</f>
        <v/>
      </c>
      <c r="N10" s="6">
        <f>Summary!N10*0.05</f>
        <v/>
      </c>
      <c r="O10" s="6">
        <f>Summary!O10*0.05</f>
        <v/>
      </c>
      <c r="P10" s="6">
        <f>Summary!P10*0.05</f>
        <v/>
      </c>
      <c r="Q10" s="6">
        <f>Summary!Q10*0.05</f>
        <v/>
      </c>
      <c r="R10" s="6">
        <f>Summary!R10*0.05</f>
        <v/>
      </c>
      <c r="S10" s="6">
        <f>Summary!S10*0.05</f>
        <v/>
      </c>
      <c r="T10" s="6">
        <f>Summary!T10*0.05</f>
        <v/>
      </c>
      <c r="U10" s="6">
        <f>Summary!U10*0.05</f>
        <v/>
      </c>
      <c r="V10" s="6">
        <f>Summary!V10*0.05</f>
        <v/>
      </c>
      <c r="W10" s="6">
        <f>Summary!W10*0.05</f>
        <v/>
      </c>
      <c r="X10" s="6">
        <f>Summary!X10*0.05</f>
        <v/>
      </c>
      <c r="Y10" s="6">
        <f>Summary!Y10*0.05</f>
        <v/>
      </c>
      <c r="Z10" s="6">
        <f>Summary!Z10*0.05</f>
        <v/>
      </c>
      <c r="AA10" s="6">
        <f>Summary!AA10*0.05</f>
        <v/>
      </c>
      <c r="AB10" s="6">
        <f>SUM(D10:AA10)</f>
        <v/>
      </c>
      <c r="AC10" s="3" t="inlineStr"/>
      <c r="AD10" s="7">
        <f>D10*0.0029</f>
        <v/>
      </c>
      <c r="AE10" s="7">
        <f>E10*0.0029</f>
        <v/>
      </c>
      <c r="AF10" s="7">
        <f>F10*0.0029</f>
        <v/>
      </c>
      <c r="AG10" s="7">
        <f>G10*0.0029</f>
        <v/>
      </c>
      <c r="AH10" s="7">
        <f>H10*0.0029</f>
        <v/>
      </c>
      <c r="AI10" s="7">
        <f>I10*0.0029</f>
        <v/>
      </c>
      <c r="AJ10" s="7">
        <f>J10*0.0029</f>
        <v/>
      </c>
      <c r="AK10" s="7">
        <f>K10*0.0029</f>
        <v/>
      </c>
      <c r="AL10" s="7">
        <f>L10*0.0029</f>
        <v/>
      </c>
      <c r="AM10" s="7">
        <f>M10*0.0029</f>
        <v/>
      </c>
      <c r="AN10" s="7">
        <f>N10*0.0029</f>
        <v/>
      </c>
      <c r="AO10" s="7">
        <f>O10*0.0029</f>
        <v/>
      </c>
      <c r="AP10" s="7">
        <f>P10*0.0029</f>
        <v/>
      </c>
      <c r="AQ10" s="7">
        <f>Q10*0.0029</f>
        <v/>
      </c>
      <c r="AR10" s="7">
        <f>R10*0.0029</f>
        <v/>
      </c>
      <c r="AS10" s="7">
        <f>S10*0.0029</f>
        <v/>
      </c>
      <c r="AT10" s="7">
        <f>T10*0.0029</f>
        <v/>
      </c>
      <c r="AU10" s="7">
        <f>U10*0.0029</f>
        <v/>
      </c>
      <c r="AV10" s="7">
        <f>V10*0.0029</f>
        <v/>
      </c>
      <c r="AW10" s="7">
        <f>W10*0.0029</f>
        <v/>
      </c>
      <c r="AX10" s="7">
        <f>X10*0.0029</f>
        <v/>
      </c>
      <c r="AY10" s="7">
        <f>Y10*0.0029</f>
        <v/>
      </c>
      <c r="AZ10" s="7">
        <f>Z10*0.0029</f>
        <v/>
      </c>
      <c r="BA10" s="7">
        <f>AA10*0.0029</f>
        <v/>
      </c>
      <c r="BB10" s="7">
        <f>SUM(AD10:BA10)</f>
        <v/>
      </c>
    </row>
    <row r="11">
      <c r="A11" t="inlineStr">
        <is>
          <t>AMD-EXPR</t>
        </is>
      </c>
      <c r="B11" t="inlineStr">
        <is>
          <t>DSC Manual</t>
        </is>
      </c>
      <c r="C11" s="5" t="n">
        <v>46089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>
        <f>SUM(D11:AA11)</f>
        <v/>
      </c>
      <c r="AC11" s="3" t="inlineStr"/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0</v>
      </c>
      <c r="AP11" s="7" t="n">
        <v>0</v>
      </c>
      <c r="AQ11" s="7" t="n">
        <v>0</v>
      </c>
      <c r="AR11" s="7" t="n">
        <v>0</v>
      </c>
      <c r="AS11" s="7" t="n">
        <v>0</v>
      </c>
      <c r="AT11" s="7" t="n">
        <v>0</v>
      </c>
      <c r="AU11" s="7" t="n">
        <v>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0</v>
      </c>
      <c r="BA11" s="7" t="n">
        <v>0</v>
      </c>
      <c r="BB11" s="7">
        <f>SUM(AD11:BA11)</f>
        <v/>
      </c>
    </row>
    <row r="12">
      <c r="A12" t="inlineStr">
        <is>
          <t>AMD-EXPR</t>
        </is>
      </c>
      <c r="B12" t="inlineStr">
        <is>
          <t>DSC Manual</t>
        </is>
      </c>
      <c r="C12" s="5" t="n">
        <v>46090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>
        <f>SUM(D12:AA12)</f>
        <v/>
      </c>
      <c r="AC12" s="3" t="inlineStr"/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0</v>
      </c>
      <c r="AT12" s="7" t="n">
        <v>0</v>
      </c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0</v>
      </c>
      <c r="BA12" s="7" t="n">
        <v>0</v>
      </c>
      <c r="BB12" s="7">
        <f>SUM(AD12:BA12)</f>
        <v/>
      </c>
    </row>
    <row r="13">
      <c r="A13" t="inlineStr">
        <is>
          <t>AMD-EXPR</t>
        </is>
      </c>
      <c r="B13" t="inlineStr">
        <is>
          <t>DSC Manual</t>
        </is>
      </c>
      <c r="C13" s="5" t="n">
        <v>46091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>
        <f>SUM(D13:AA13)</f>
        <v/>
      </c>
      <c r="AC13" s="3" t="inlineStr"/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0</v>
      </c>
      <c r="AP13" s="7" t="n">
        <v>0</v>
      </c>
      <c r="AQ13" s="7" t="n">
        <v>0</v>
      </c>
      <c r="AR13" s="7" t="n">
        <v>0</v>
      </c>
      <c r="AS13" s="7" t="n">
        <v>0</v>
      </c>
      <c r="AT13" s="7" t="n">
        <v>0</v>
      </c>
      <c r="AU13" s="7" t="n">
        <v>0</v>
      </c>
      <c r="AV13" s="7" t="n">
        <v>0</v>
      </c>
      <c r="AW13" s="7" t="n">
        <v>0</v>
      </c>
      <c r="AX13" s="7" t="n">
        <v>0</v>
      </c>
      <c r="AY13" s="7" t="n">
        <v>0</v>
      </c>
      <c r="AZ13" s="7" t="n">
        <v>0</v>
      </c>
      <c r="BA13" s="7" t="n">
        <v>0</v>
      </c>
      <c r="BB13" s="7">
        <f>SUM(AD13:BA13)</f>
        <v/>
      </c>
    </row>
    <row r="14">
      <c r="A14" t="inlineStr">
        <is>
          <t>AMD-EXPR</t>
        </is>
      </c>
      <c r="B14" t="inlineStr">
        <is>
          <t>DSC Manual</t>
        </is>
      </c>
      <c r="C14" s="5" t="n">
        <v>46092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>
        <f>SUM(D14:AA14)</f>
        <v/>
      </c>
      <c r="AC14" s="3" t="inlineStr"/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0</v>
      </c>
      <c r="AP14" s="7" t="n">
        <v>0</v>
      </c>
      <c r="AQ14" s="7" t="n">
        <v>0</v>
      </c>
      <c r="AR14" s="7" t="n">
        <v>0</v>
      </c>
      <c r="AS14" s="7" t="n">
        <v>0</v>
      </c>
      <c r="AT14" s="7" t="n">
        <v>0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0</v>
      </c>
      <c r="BA14" s="7" t="n">
        <v>0</v>
      </c>
      <c r="BB14" s="7">
        <f>SUM(AD14:BA14)</f>
        <v/>
      </c>
    </row>
    <row r="15">
      <c r="A15" t="inlineStr">
        <is>
          <t>AMD-EXPR</t>
        </is>
      </c>
      <c r="B15" t="inlineStr">
        <is>
          <t>DSC Manual</t>
        </is>
      </c>
      <c r="C15" s="5" t="n">
        <v>46093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  <c r="AB15" s="6">
        <f>SUM(D15:AA15)</f>
        <v/>
      </c>
      <c r="AC15" s="3" t="inlineStr"/>
      <c r="AD15" s="7" t="n">
        <v>0</v>
      </c>
      <c r="AE15" s="7" t="n">
        <v>0</v>
      </c>
      <c r="AF15" s="7" t="n">
        <v>0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0</v>
      </c>
      <c r="AL15" s="7" t="n">
        <v>0</v>
      </c>
      <c r="AM15" s="7" t="n">
        <v>0</v>
      </c>
      <c r="AN15" s="7" t="n">
        <v>0</v>
      </c>
      <c r="AO15" s="7" t="n">
        <v>0</v>
      </c>
      <c r="AP15" s="7" t="n">
        <v>0</v>
      </c>
      <c r="AQ15" s="7" t="n">
        <v>0</v>
      </c>
      <c r="AR15" s="7" t="n">
        <v>0</v>
      </c>
      <c r="AS15" s="7" t="n">
        <v>0</v>
      </c>
      <c r="AT15" s="7" t="n">
        <v>0</v>
      </c>
      <c r="AU15" s="7" t="n">
        <v>0</v>
      </c>
      <c r="AV15" s="7" t="n">
        <v>0</v>
      </c>
      <c r="AW15" s="7" t="n">
        <v>0</v>
      </c>
      <c r="AX15" s="7" t="n">
        <v>0</v>
      </c>
      <c r="AY15" s="7" t="n">
        <v>0</v>
      </c>
      <c r="AZ15" s="7" t="n">
        <v>0</v>
      </c>
      <c r="BA15" s="7" t="n">
        <v>0</v>
      </c>
      <c r="BB15" s="7">
        <f>SUM(AD15:BA15)</f>
        <v/>
      </c>
    </row>
    <row r="16">
      <c r="A16" t="inlineStr">
        <is>
          <t>AMD-EXPR</t>
        </is>
      </c>
      <c r="B16" t="inlineStr">
        <is>
          <t>DSC Manual</t>
        </is>
      </c>
      <c r="C16" s="5" t="n">
        <v>46094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  <c r="AB16" s="6">
        <f>SUM(D16:AA16)</f>
        <v/>
      </c>
      <c r="AC16" s="3" t="inlineStr"/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0</v>
      </c>
      <c r="AS16" s="7" t="n">
        <v>0</v>
      </c>
      <c r="AT16" s="7" t="n">
        <v>0</v>
      </c>
      <c r="AU16" s="7" t="n">
        <v>0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0</v>
      </c>
      <c r="BA16" s="7" t="n">
        <v>0</v>
      </c>
      <c r="BB16" s="7">
        <f>SUM(AD16:BA16)</f>
        <v/>
      </c>
    </row>
    <row r="17">
      <c r="A17" t="inlineStr">
        <is>
          <t>AMD-EXPR</t>
        </is>
      </c>
      <c r="B17" t="inlineStr">
        <is>
          <t>DSC Manual</t>
        </is>
      </c>
      <c r="C17" s="5" t="n">
        <v>46095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6">
        <f>SUM(D17:AA17)</f>
        <v/>
      </c>
      <c r="AC17" s="3" t="inlineStr"/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0</v>
      </c>
      <c r="AI17" s="7" t="n">
        <v>0</v>
      </c>
      <c r="AJ17" s="7" t="n">
        <v>0</v>
      </c>
      <c r="AK17" s="7" t="n">
        <v>0</v>
      </c>
      <c r="AL17" s="7" t="n">
        <v>0</v>
      </c>
      <c r="AM17" s="7" t="n">
        <v>0</v>
      </c>
      <c r="AN17" s="7" t="n">
        <v>0</v>
      </c>
      <c r="AO17" s="7" t="n">
        <v>0</v>
      </c>
      <c r="AP17" s="7" t="n">
        <v>0</v>
      </c>
      <c r="AQ17" s="7" t="n">
        <v>0</v>
      </c>
      <c r="AR17" s="7" t="n">
        <v>0</v>
      </c>
      <c r="AS17" s="7" t="n">
        <v>0</v>
      </c>
      <c r="AT17" s="7" t="n">
        <v>0</v>
      </c>
      <c r="AU17" s="7" t="n">
        <v>0</v>
      </c>
      <c r="AV17" s="7" t="n">
        <v>0</v>
      </c>
      <c r="AW17" s="7" t="n">
        <v>0</v>
      </c>
      <c r="AX17" s="7" t="n">
        <v>0</v>
      </c>
      <c r="AY17" s="7" t="n">
        <v>0</v>
      </c>
      <c r="AZ17" s="7" t="n">
        <v>0</v>
      </c>
      <c r="BA17" s="7" t="n">
        <v>0</v>
      </c>
      <c r="BB17" s="7">
        <f>SUM(AD17:BA17)</f>
        <v/>
      </c>
    </row>
    <row r="18">
      <c r="A18" t="inlineStr">
        <is>
          <t>AMD-EXPR</t>
        </is>
      </c>
      <c r="B18" t="inlineStr">
        <is>
          <t>DSC Manual</t>
        </is>
      </c>
      <c r="C18" s="5" t="n">
        <v>46096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  <c r="AB18" s="6">
        <f>SUM(D18:AA18)</f>
        <v/>
      </c>
      <c r="AC18" s="3" t="inlineStr"/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0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0</v>
      </c>
      <c r="BA18" s="7" t="n">
        <v>0</v>
      </c>
      <c r="BB18" s="7">
        <f>SUM(AD18:BA18)</f>
        <v/>
      </c>
    </row>
    <row r="19">
      <c r="A19" t="inlineStr">
        <is>
          <t>AMD-EXPR</t>
        </is>
      </c>
      <c r="B19" t="inlineStr">
        <is>
          <t>DSC Manual</t>
        </is>
      </c>
      <c r="C19" s="5" t="n">
        <v>46097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>
        <f>SUM(D19:AA19)</f>
        <v/>
      </c>
      <c r="AC19" s="3" t="inlineStr"/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0</v>
      </c>
      <c r="AR19" s="7" t="n">
        <v>0</v>
      </c>
      <c r="AS19" s="7" t="n">
        <v>0</v>
      </c>
      <c r="AT19" s="7" t="n">
        <v>0</v>
      </c>
      <c r="AU19" s="7" t="n">
        <v>0</v>
      </c>
      <c r="AV19" s="7" t="n">
        <v>0</v>
      </c>
      <c r="AW19" s="7" t="n">
        <v>0</v>
      </c>
      <c r="AX19" s="7" t="n">
        <v>0</v>
      </c>
      <c r="AY19" s="7" t="n">
        <v>0</v>
      </c>
      <c r="AZ19" s="7" t="n">
        <v>0</v>
      </c>
      <c r="BA19" s="7" t="n">
        <v>0</v>
      </c>
      <c r="BB19" s="7">
        <f>SUM(AD19:BA19)</f>
        <v/>
      </c>
    </row>
    <row r="20">
      <c r="A20" t="inlineStr">
        <is>
          <t>AMD-EXPR</t>
        </is>
      </c>
      <c r="B20" t="inlineStr">
        <is>
          <t>DSC Manual</t>
        </is>
      </c>
      <c r="C20" s="5" t="n">
        <v>46099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>
        <f>SUM(D20:AA20)</f>
        <v/>
      </c>
      <c r="AC20" s="3" t="inlineStr"/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0</v>
      </c>
      <c r="BA20" s="7" t="n">
        <v>0</v>
      </c>
      <c r="BB20" s="7">
        <f>SUM(AD20:BA20)</f>
        <v/>
      </c>
    </row>
    <row r="21">
      <c r="A21" t="inlineStr">
        <is>
          <t>AMD-EXPR</t>
        </is>
      </c>
      <c r="B21" t="inlineStr">
        <is>
          <t>DSC Manual</t>
        </is>
      </c>
      <c r="C21" s="5" t="n">
        <v>46100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>
        <f>SUM(D21:AA21)</f>
        <v/>
      </c>
      <c r="AC21" s="3" t="inlineStr"/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0</v>
      </c>
      <c r="AS21" s="7" t="n">
        <v>0</v>
      </c>
      <c r="AT21" s="7" t="n">
        <v>0</v>
      </c>
      <c r="AU21" s="7" t="n">
        <v>0</v>
      </c>
      <c r="AV21" s="7" t="n">
        <v>0</v>
      </c>
      <c r="AW21" s="7" t="n">
        <v>0</v>
      </c>
      <c r="AX21" s="7" t="n">
        <v>0</v>
      </c>
      <c r="AY21" s="7" t="n">
        <v>0</v>
      </c>
      <c r="AZ21" s="7" t="n">
        <v>0</v>
      </c>
      <c r="BA21" s="7" t="n">
        <v>0</v>
      </c>
      <c r="BB21" s="7">
        <f>SUM(AD21:BA21)</f>
        <v/>
      </c>
    </row>
    <row r="22">
      <c r="A22" t="inlineStr">
        <is>
          <t>AMD-EXPR</t>
        </is>
      </c>
      <c r="B22" t="inlineStr">
        <is>
          <t>DSC Manual</t>
        </is>
      </c>
      <c r="C22" s="5" t="n">
        <v>46102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>
        <f>SUM(D22:AA22)</f>
        <v/>
      </c>
      <c r="AC22" s="3" t="inlineStr"/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7" t="n">
        <v>0</v>
      </c>
      <c r="BB22" s="7">
        <f>SUM(AD22:BA22)</f>
        <v/>
      </c>
    </row>
    <row r="23">
      <c r="A23" t="inlineStr">
        <is>
          <t>AMD-EXPR</t>
        </is>
      </c>
      <c r="B23" t="inlineStr">
        <is>
          <t>DSC Manual</t>
        </is>
      </c>
      <c r="C23" s="5" t="n">
        <v>46103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>
        <f>SUM(D23:AA23)</f>
        <v/>
      </c>
      <c r="AC23" s="3" t="inlineStr"/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0</v>
      </c>
      <c r="BA23" s="7" t="n">
        <v>0</v>
      </c>
      <c r="BB23" s="7">
        <f>SUM(AD23:BA23)</f>
        <v/>
      </c>
    </row>
    <row r="24">
      <c r="A24" t="inlineStr">
        <is>
          <t>AMD-EXPR</t>
        </is>
      </c>
      <c r="B24" t="inlineStr">
        <is>
          <t>DSC Manual</t>
        </is>
      </c>
      <c r="C24" s="5" t="n">
        <v>46104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>
        <f>SUM(D24:AA24)</f>
        <v/>
      </c>
      <c r="AC24" s="3" t="inlineStr"/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0</v>
      </c>
      <c r="BA24" s="7" t="n">
        <v>0</v>
      </c>
      <c r="BB24" s="7">
        <f>SUM(AD24:BA24)</f>
        <v/>
      </c>
    </row>
    <row r="25">
      <c r="A25" t="inlineStr">
        <is>
          <t>AMD-EXPR</t>
        </is>
      </c>
      <c r="B25" t="inlineStr">
        <is>
          <t>DSC Manual</t>
        </is>
      </c>
      <c r="C25" s="5" t="n">
        <v>46105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>
        <f>SUM(D25:AA25)</f>
        <v/>
      </c>
      <c r="AC25" s="3" t="inlineStr"/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7" t="n">
        <v>0</v>
      </c>
      <c r="BB25" s="7">
        <f>SUM(AD25:BA25)</f>
        <v/>
      </c>
    </row>
    <row r="26">
      <c r="A26" t="inlineStr">
        <is>
          <t>AMD-FK-SSC</t>
        </is>
      </c>
      <c r="B26" t="inlineStr">
        <is>
          <t>Prime at Client side</t>
        </is>
      </c>
      <c r="C26" s="5" t="n">
        <v>46089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>
        <f>SUM(D26:AA26)</f>
        <v/>
      </c>
      <c r="AC26" s="3" t="inlineStr"/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7" t="n">
        <v>0</v>
      </c>
      <c r="BB26" s="7">
        <f>SUM(AD26:BA26)</f>
        <v/>
      </c>
    </row>
    <row r="27">
      <c r="A27" t="inlineStr">
        <is>
          <t>AMD-FK-SSC</t>
        </is>
      </c>
      <c r="B27" t="inlineStr">
        <is>
          <t>Prime at Client side</t>
        </is>
      </c>
      <c r="C27" s="5" t="n">
        <v>46090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>
        <f>SUM(D27:AA27)</f>
        <v/>
      </c>
      <c r="AC27" s="3" t="inlineStr"/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7" t="n">
        <v>0</v>
      </c>
      <c r="BB27" s="7">
        <f>SUM(AD27:BA27)</f>
        <v/>
      </c>
    </row>
    <row r="28">
      <c r="A28" t="inlineStr">
        <is>
          <t>AMD-FK-SSC</t>
        </is>
      </c>
      <c r="B28" t="inlineStr">
        <is>
          <t>Prime at Client side</t>
        </is>
      </c>
      <c r="C28" s="5" t="n">
        <v>46091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>
        <f>SUM(D28:AA28)</f>
        <v/>
      </c>
      <c r="AC28" s="3" t="inlineStr"/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7" t="n">
        <v>0</v>
      </c>
      <c r="BB28" s="7">
        <f>SUM(AD28:BA28)</f>
        <v/>
      </c>
    </row>
    <row r="29">
      <c r="A29" t="inlineStr">
        <is>
          <t>AMD-FK-SSC</t>
        </is>
      </c>
      <c r="B29" t="inlineStr">
        <is>
          <t>Prime at Client side</t>
        </is>
      </c>
      <c r="C29" s="5" t="n">
        <v>46092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>
        <f>SUM(D29:AA29)</f>
        <v/>
      </c>
      <c r="AC29" s="3" t="inlineStr"/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7" t="n">
        <v>0</v>
      </c>
      <c r="AQ29" s="7" t="n">
        <v>0</v>
      </c>
      <c r="AR29" s="7" t="n">
        <v>0</v>
      </c>
      <c r="AS29" s="7" t="n">
        <v>0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0</v>
      </c>
      <c r="BA29" s="7" t="n">
        <v>0</v>
      </c>
      <c r="BB29" s="7">
        <f>SUM(AD29:BA29)</f>
        <v/>
      </c>
    </row>
    <row r="30">
      <c r="A30" t="inlineStr">
        <is>
          <t>AMD-FK-SSC</t>
        </is>
      </c>
      <c r="B30" t="inlineStr">
        <is>
          <t>Prime at Client side</t>
        </is>
      </c>
      <c r="C30" s="5" t="n">
        <v>46093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>
        <f>SUM(D30:AA30)</f>
        <v/>
      </c>
      <c r="AC30" s="3" t="inlineStr"/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0</v>
      </c>
      <c r="AS30" s="7" t="n">
        <v>0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7" t="n">
        <v>0</v>
      </c>
      <c r="BB30" s="7">
        <f>SUM(AD30:BA30)</f>
        <v/>
      </c>
    </row>
    <row r="31">
      <c r="A31" t="inlineStr">
        <is>
          <t>AMD-FK-SSC</t>
        </is>
      </c>
      <c r="B31" t="inlineStr">
        <is>
          <t>Prime at Client side</t>
        </is>
      </c>
      <c r="C31" s="5" t="n">
        <v>46094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>
        <f>SUM(D31:AA31)</f>
        <v/>
      </c>
      <c r="AC31" s="3" t="inlineStr"/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0</v>
      </c>
      <c r="AT31" s="7" t="n">
        <v>0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0</v>
      </c>
      <c r="BA31" s="7" t="n">
        <v>0</v>
      </c>
      <c r="BB31" s="7">
        <f>SUM(AD31:BA31)</f>
        <v/>
      </c>
    </row>
    <row r="32">
      <c r="A32" t="inlineStr">
        <is>
          <t>AMD-FK-SSC</t>
        </is>
      </c>
      <c r="B32" t="inlineStr">
        <is>
          <t>Prime at Client side</t>
        </is>
      </c>
      <c r="C32" s="5" t="n">
        <v>46095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>
        <f>SUM(D32:AA32)</f>
        <v/>
      </c>
      <c r="AC32" s="3" t="inlineStr"/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7" t="n">
        <v>0</v>
      </c>
      <c r="BB32" s="7">
        <f>SUM(AD32:BA32)</f>
        <v/>
      </c>
    </row>
    <row r="33">
      <c r="A33" t="inlineStr">
        <is>
          <t>AMD-FK-SSC</t>
        </is>
      </c>
      <c r="B33" t="inlineStr">
        <is>
          <t>Prime at Client side</t>
        </is>
      </c>
      <c r="C33" s="5" t="n">
        <v>46096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6">
        <f>SUM(D33:AA33)</f>
        <v/>
      </c>
      <c r="AC33" s="3" t="inlineStr"/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0</v>
      </c>
      <c r="AS33" s="7" t="n">
        <v>0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7" t="n">
        <v>0</v>
      </c>
      <c r="BB33" s="7">
        <f>SUM(AD33:BA33)</f>
        <v/>
      </c>
    </row>
    <row r="34">
      <c r="A34" t="inlineStr">
        <is>
          <t>AMD-FK-SSC</t>
        </is>
      </c>
      <c r="B34" t="inlineStr">
        <is>
          <t>Prime at Client side</t>
        </is>
      </c>
      <c r="C34" s="5" t="n">
        <v>46097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>
        <f>SUM(D34:AA34)</f>
        <v/>
      </c>
      <c r="AC34" s="3" t="inlineStr"/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7" t="n">
        <v>0</v>
      </c>
      <c r="BB34" s="7">
        <f>SUM(AD34:BA34)</f>
        <v/>
      </c>
    </row>
    <row r="35">
      <c r="A35" t="inlineStr">
        <is>
          <t>AMD-FK-SSC</t>
        </is>
      </c>
      <c r="B35" t="inlineStr">
        <is>
          <t>Prime at Client side</t>
        </is>
      </c>
      <c r="C35" s="5" t="n">
        <v>46098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>
        <f>SUM(D35:AA35)</f>
        <v/>
      </c>
      <c r="AC35" s="3" t="inlineStr"/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7" t="n">
        <v>0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0</v>
      </c>
      <c r="BA35" s="7" t="n">
        <v>0</v>
      </c>
      <c r="BB35" s="7">
        <f>SUM(AD35:BA35)</f>
        <v/>
      </c>
    </row>
    <row r="36">
      <c r="A36" t="inlineStr">
        <is>
          <t>AMD-FK-SSC</t>
        </is>
      </c>
      <c r="B36" t="inlineStr">
        <is>
          <t>Prime at Client side</t>
        </is>
      </c>
      <c r="C36" s="5" t="n">
        <v>46099</v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>
        <f>SUM(D36:AA36)</f>
        <v/>
      </c>
      <c r="AC36" s="3" t="inlineStr"/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0</v>
      </c>
      <c r="AT36" s="7" t="n">
        <v>0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0</v>
      </c>
      <c r="BA36" s="7" t="n">
        <v>0</v>
      </c>
      <c r="BB36" s="7">
        <f>SUM(AD36:BA36)</f>
        <v/>
      </c>
    </row>
    <row r="37">
      <c r="A37" t="inlineStr">
        <is>
          <t>AMD-FK-SSC</t>
        </is>
      </c>
      <c r="B37" t="inlineStr">
        <is>
          <t>Prime at Client side</t>
        </is>
      </c>
      <c r="C37" s="5" t="n">
        <v>46100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>
        <f>SUM(D37:AA37)</f>
        <v/>
      </c>
      <c r="AC37" s="3" t="inlineStr"/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0</v>
      </c>
      <c r="AP37" s="7" t="n">
        <v>0</v>
      </c>
      <c r="AQ37" s="7" t="n">
        <v>0</v>
      </c>
      <c r="AR37" s="7" t="n">
        <v>0</v>
      </c>
      <c r="AS37" s="7" t="n">
        <v>0</v>
      </c>
      <c r="AT37" s="7" t="n">
        <v>0</v>
      </c>
      <c r="AU37" s="7" t="n">
        <v>0</v>
      </c>
      <c r="AV37" s="7" t="n">
        <v>0</v>
      </c>
      <c r="AW37" s="7" t="n">
        <v>0</v>
      </c>
      <c r="AX37" s="7" t="n">
        <v>0</v>
      </c>
      <c r="AY37" s="7" t="n">
        <v>0</v>
      </c>
      <c r="AZ37" s="7" t="n">
        <v>0</v>
      </c>
      <c r="BA37" s="7" t="n">
        <v>0</v>
      </c>
      <c r="BB37" s="7">
        <f>SUM(AD37:BA37)</f>
        <v/>
      </c>
    </row>
    <row r="38">
      <c r="A38" t="inlineStr">
        <is>
          <t>AMD-FK-SSC</t>
        </is>
      </c>
      <c r="B38" t="inlineStr">
        <is>
          <t>Prime at Client side</t>
        </is>
      </c>
      <c r="C38" s="5" t="n">
        <v>46101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0</v>
      </c>
      <c r="Q38" s="6" t="n">
        <v>0</v>
      </c>
      <c r="R38" s="6" t="n">
        <v>0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>
        <f>SUM(D38:AA38)</f>
        <v/>
      </c>
      <c r="AC38" s="3" t="inlineStr"/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0</v>
      </c>
      <c r="AP38" s="7" t="n">
        <v>0</v>
      </c>
      <c r="AQ38" s="7" t="n">
        <v>0</v>
      </c>
      <c r="AR38" s="7" t="n">
        <v>0</v>
      </c>
      <c r="AS38" s="7" t="n">
        <v>0</v>
      </c>
      <c r="AT38" s="7" t="n">
        <v>0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0</v>
      </c>
      <c r="BA38" s="7" t="n">
        <v>0</v>
      </c>
      <c r="BB38" s="7">
        <f>SUM(AD38:BA38)</f>
        <v/>
      </c>
    </row>
    <row r="39">
      <c r="A39" t="inlineStr">
        <is>
          <t>AMD-FK-SSC</t>
        </is>
      </c>
      <c r="B39" t="inlineStr">
        <is>
          <t>Prime at Client side</t>
        </is>
      </c>
      <c r="C39" s="5" t="n">
        <v>46102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>
        <f>SUM(D39:AA39)</f>
        <v/>
      </c>
      <c r="AC39" s="3" t="inlineStr"/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0</v>
      </c>
      <c r="AP39" s="7" t="n">
        <v>0</v>
      </c>
      <c r="AQ39" s="7" t="n">
        <v>0</v>
      </c>
      <c r="AR39" s="7" t="n">
        <v>0</v>
      </c>
      <c r="AS39" s="7" t="n">
        <v>0</v>
      </c>
      <c r="AT39" s="7" t="n">
        <v>0</v>
      </c>
      <c r="AU39" s="7" t="n">
        <v>0</v>
      </c>
      <c r="AV39" s="7" t="n">
        <v>0</v>
      </c>
      <c r="AW39" s="7" t="n">
        <v>0</v>
      </c>
      <c r="AX39" s="7" t="n">
        <v>0</v>
      </c>
      <c r="AY39" s="7" t="n">
        <v>0</v>
      </c>
      <c r="AZ39" s="7" t="n">
        <v>0</v>
      </c>
      <c r="BA39" s="7" t="n">
        <v>0</v>
      </c>
      <c r="BB39" s="7">
        <f>SUM(AD39:BA39)</f>
        <v/>
      </c>
    </row>
    <row r="40">
      <c r="A40" t="inlineStr">
        <is>
          <t>AMD-FK-SSC</t>
        </is>
      </c>
      <c r="B40" t="inlineStr">
        <is>
          <t>Prime at Client side</t>
        </is>
      </c>
      <c r="C40" s="5" t="n">
        <v>46103</v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0</v>
      </c>
      <c r="M40" s="6" t="n">
        <v>0</v>
      </c>
      <c r="N40" s="6" t="n">
        <v>0</v>
      </c>
      <c r="O40" s="6" t="n">
        <v>0</v>
      </c>
      <c r="P40" s="6" t="n">
        <v>0</v>
      </c>
      <c r="Q40" s="6" t="n">
        <v>0</v>
      </c>
      <c r="R40" s="6" t="n">
        <v>0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>
        <f>SUM(D40:AA40)</f>
        <v/>
      </c>
      <c r="AC40" s="3" t="inlineStr"/>
      <c r="AD40" s="7" t="n">
        <v>0</v>
      </c>
      <c r="AE40" s="7" t="n">
        <v>0</v>
      </c>
      <c r="AF40" s="7" t="n">
        <v>0</v>
      </c>
      <c r="AG40" s="7" t="n">
        <v>0</v>
      </c>
      <c r="AH40" s="7" t="n">
        <v>0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0</v>
      </c>
      <c r="AS40" s="7" t="n">
        <v>0</v>
      </c>
      <c r="AT40" s="7" t="n">
        <v>0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0</v>
      </c>
      <c r="BA40" s="7" t="n">
        <v>0</v>
      </c>
      <c r="BB40" s="7">
        <f>SUM(AD40:BA40)</f>
        <v/>
      </c>
    </row>
    <row r="41">
      <c r="A41" t="inlineStr">
        <is>
          <t>AMD-FK-SSC</t>
        </is>
      </c>
      <c r="B41" t="inlineStr">
        <is>
          <t>Prime at Client side</t>
        </is>
      </c>
      <c r="C41" s="5" t="n">
        <v>46104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>
        <f>SUM(D41:AA41)</f>
        <v/>
      </c>
      <c r="AC41" s="3" t="inlineStr"/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</v>
      </c>
      <c r="AP41" s="7" t="n">
        <v>0</v>
      </c>
      <c r="AQ41" s="7" t="n">
        <v>0</v>
      </c>
      <c r="AR41" s="7" t="n">
        <v>0</v>
      </c>
      <c r="AS41" s="7" t="n">
        <v>0</v>
      </c>
      <c r="AT41" s="7" t="n">
        <v>0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0</v>
      </c>
      <c r="BA41" s="7" t="n">
        <v>0</v>
      </c>
      <c r="BB41" s="7">
        <f>SUM(AD41:BA41)</f>
        <v/>
      </c>
    </row>
    <row r="42">
      <c r="A42" t="inlineStr">
        <is>
          <t>AMD-FK-SSC</t>
        </is>
      </c>
      <c r="B42" t="inlineStr">
        <is>
          <t>Prime at Client side</t>
        </is>
      </c>
      <c r="C42" s="5" t="n">
        <v>46105</v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6" t="n">
        <v>0</v>
      </c>
      <c r="N42" s="6" t="n">
        <v>0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>
        <f>SUM(D42:AA42)</f>
        <v/>
      </c>
      <c r="AC42" s="3" t="inlineStr"/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7" t="n">
        <v>0</v>
      </c>
      <c r="BB42" s="7">
        <f>SUM(AD42:BA42)</f>
        <v/>
      </c>
    </row>
    <row r="43">
      <c r="A43" t="inlineStr">
        <is>
          <t>AMD-FWDPRI-SSC</t>
        </is>
      </c>
      <c r="B43" t="inlineStr">
        <is>
          <t>FWD Priority OSC</t>
        </is>
      </c>
      <c r="C43" s="5" t="n">
        <v>46098</v>
      </c>
      <c r="D43" s="6">
        <f>Summary!D43*0.05</f>
        <v/>
      </c>
      <c r="E43" s="6">
        <f>Summary!E43*0.05</f>
        <v/>
      </c>
      <c r="F43" s="6">
        <f>Summary!F43*0.05</f>
        <v/>
      </c>
      <c r="G43" s="6">
        <f>Summary!G43*0.05</f>
        <v/>
      </c>
      <c r="H43" s="6">
        <f>Summary!H43*0.05</f>
        <v/>
      </c>
      <c r="I43" s="6">
        <f>Summary!I43*0.05</f>
        <v/>
      </c>
      <c r="J43" s="6">
        <f>Summary!J43*0.05</f>
        <v/>
      </c>
      <c r="K43" s="6">
        <f>Summary!K43*0.05</f>
        <v/>
      </c>
      <c r="L43" s="6">
        <f>Summary!L43*0.05</f>
        <v/>
      </c>
      <c r="M43" s="6">
        <f>Summary!M43*0.05</f>
        <v/>
      </c>
      <c r="N43" s="6">
        <f>Summary!N43*0.05</f>
        <v/>
      </c>
      <c r="O43" s="6">
        <f>Summary!O43*0.05</f>
        <v/>
      </c>
      <c r="P43" s="6">
        <f>Summary!P43*0.05</f>
        <v/>
      </c>
      <c r="Q43" s="6">
        <f>Summary!Q43*0.05</f>
        <v/>
      </c>
      <c r="R43" s="6">
        <f>Summary!R43*0.05</f>
        <v/>
      </c>
      <c r="S43" s="6">
        <f>Summary!S43*0.05</f>
        <v/>
      </c>
      <c r="T43" s="6">
        <f>Summary!T43*0.05</f>
        <v/>
      </c>
      <c r="U43" s="6">
        <f>Summary!U43*0.05</f>
        <v/>
      </c>
      <c r="V43" s="6">
        <f>Summary!V43*0.05</f>
        <v/>
      </c>
      <c r="W43" s="6">
        <f>Summary!W43*0.05</f>
        <v/>
      </c>
      <c r="X43" s="6">
        <f>Summary!X43*0.05</f>
        <v/>
      </c>
      <c r="Y43" s="6">
        <f>Summary!Y43*0.05</f>
        <v/>
      </c>
      <c r="Z43" s="6">
        <f>Summary!Z43*0.05</f>
        <v/>
      </c>
      <c r="AA43" s="6">
        <f>Summary!AA43*0.05</f>
        <v/>
      </c>
      <c r="AB43" s="6">
        <f>SUM(D43:AA43)</f>
        <v/>
      </c>
      <c r="AC43" s="3" t="inlineStr"/>
      <c r="AD43" s="7">
        <f>D43*0.0029</f>
        <v/>
      </c>
      <c r="AE43" s="7">
        <f>E43*0.0029</f>
        <v/>
      </c>
      <c r="AF43" s="7">
        <f>F43*0.0029</f>
        <v/>
      </c>
      <c r="AG43" s="7">
        <f>G43*0.0029</f>
        <v/>
      </c>
      <c r="AH43" s="7">
        <f>H43*0.0029</f>
        <v/>
      </c>
      <c r="AI43" s="7">
        <f>I43*0.0029</f>
        <v/>
      </c>
      <c r="AJ43" s="7">
        <f>J43*0.0029</f>
        <v/>
      </c>
      <c r="AK43" s="7">
        <f>K43*0.0029</f>
        <v/>
      </c>
      <c r="AL43" s="7">
        <f>L43*0.0029</f>
        <v/>
      </c>
      <c r="AM43" s="7">
        <f>M43*0.0029</f>
        <v/>
      </c>
      <c r="AN43" s="7">
        <f>N43*0.0029</f>
        <v/>
      </c>
      <c r="AO43" s="7">
        <f>O43*0.0029</f>
        <v/>
      </c>
      <c r="AP43" s="7">
        <f>P43*0.0029</f>
        <v/>
      </c>
      <c r="AQ43" s="7">
        <f>Q43*0.0029</f>
        <v/>
      </c>
      <c r="AR43" s="7">
        <f>R43*0.0029</f>
        <v/>
      </c>
      <c r="AS43" s="7">
        <f>S43*0.0029</f>
        <v/>
      </c>
      <c r="AT43" s="7">
        <f>T43*0.0029</f>
        <v/>
      </c>
      <c r="AU43" s="7">
        <f>U43*0.0029</f>
        <v/>
      </c>
      <c r="AV43" s="7">
        <f>V43*0.0029</f>
        <v/>
      </c>
      <c r="AW43" s="7">
        <f>W43*0.0029</f>
        <v/>
      </c>
      <c r="AX43" s="7">
        <f>X43*0.0029</f>
        <v/>
      </c>
      <c r="AY43" s="7">
        <f>Y43*0.0029</f>
        <v/>
      </c>
      <c r="AZ43" s="7">
        <f>Z43*0.0029</f>
        <v/>
      </c>
      <c r="BA43" s="7">
        <f>AA43*0.0029</f>
        <v/>
      </c>
      <c r="BB43" s="7">
        <f>SUM(AD43:BA43)</f>
        <v/>
      </c>
    </row>
    <row r="44">
      <c r="A44" t="inlineStr">
        <is>
          <t>AMD-FWDPRI-SSC</t>
        </is>
      </c>
      <c r="B44" t="inlineStr">
        <is>
          <t>FWD Priority OSC</t>
        </is>
      </c>
      <c r="C44" s="5" t="n">
        <v>46099</v>
      </c>
      <c r="D44" s="6">
        <f>Summary!D44*0.05</f>
        <v/>
      </c>
      <c r="E44" s="6">
        <f>Summary!E44*0.05</f>
        <v/>
      </c>
      <c r="F44" s="6">
        <f>Summary!F44*0.05</f>
        <v/>
      </c>
      <c r="G44" s="6">
        <f>Summary!G44*0.05</f>
        <v/>
      </c>
      <c r="H44" s="6">
        <f>Summary!H44*0.05</f>
        <v/>
      </c>
      <c r="I44" s="6">
        <f>Summary!I44*0.05</f>
        <v/>
      </c>
      <c r="J44" s="6">
        <f>Summary!J44*0.05</f>
        <v/>
      </c>
      <c r="K44" s="6">
        <f>Summary!K44*0.05</f>
        <v/>
      </c>
      <c r="L44" s="6">
        <f>Summary!L44*0.05</f>
        <v/>
      </c>
      <c r="M44" s="6">
        <f>Summary!M44*0.05</f>
        <v/>
      </c>
      <c r="N44" s="6">
        <f>Summary!N44*0.05</f>
        <v/>
      </c>
      <c r="O44" s="6">
        <f>Summary!O44*0.05</f>
        <v/>
      </c>
      <c r="P44" s="6">
        <f>Summary!P44*0.05</f>
        <v/>
      </c>
      <c r="Q44" s="6">
        <f>Summary!Q44*0.05</f>
        <v/>
      </c>
      <c r="R44" s="6">
        <f>Summary!R44*0.05</f>
        <v/>
      </c>
      <c r="S44" s="6">
        <f>Summary!S44*0.05</f>
        <v/>
      </c>
      <c r="T44" s="6">
        <f>Summary!T44*0.05</f>
        <v/>
      </c>
      <c r="U44" s="6">
        <f>Summary!U44*0.05</f>
        <v/>
      </c>
      <c r="V44" s="6">
        <f>Summary!V44*0.05</f>
        <v/>
      </c>
      <c r="W44" s="6">
        <f>Summary!W44*0.05</f>
        <v/>
      </c>
      <c r="X44" s="6">
        <f>Summary!X44*0.05</f>
        <v/>
      </c>
      <c r="Y44" s="6">
        <f>Summary!Y44*0.05</f>
        <v/>
      </c>
      <c r="Z44" s="6">
        <f>Summary!Z44*0.05</f>
        <v/>
      </c>
      <c r="AA44" s="6">
        <f>Summary!AA44*0.05</f>
        <v/>
      </c>
      <c r="AB44" s="6">
        <f>SUM(D44:AA44)</f>
        <v/>
      </c>
      <c r="AC44" s="3" t="inlineStr"/>
      <c r="AD44" s="7">
        <f>D44*0.0029</f>
        <v/>
      </c>
      <c r="AE44" s="7">
        <f>E44*0.0029</f>
        <v/>
      </c>
      <c r="AF44" s="7">
        <f>F44*0.0029</f>
        <v/>
      </c>
      <c r="AG44" s="7">
        <f>G44*0.0029</f>
        <v/>
      </c>
      <c r="AH44" s="7">
        <f>H44*0.0029</f>
        <v/>
      </c>
      <c r="AI44" s="7">
        <f>I44*0.0029</f>
        <v/>
      </c>
      <c r="AJ44" s="7">
        <f>J44*0.0029</f>
        <v/>
      </c>
      <c r="AK44" s="7">
        <f>K44*0.0029</f>
        <v/>
      </c>
      <c r="AL44" s="7">
        <f>L44*0.0029</f>
        <v/>
      </c>
      <c r="AM44" s="7">
        <f>M44*0.0029</f>
        <v/>
      </c>
      <c r="AN44" s="7">
        <f>N44*0.0029</f>
        <v/>
      </c>
      <c r="AO44" s="7">
        <f>O44*0.0029</f>
        <v/>
      </c>
      <c r="AP44" s="7">
        <f>P44*0.0029</f>
        <v/>
      </c>
      <c r="AQ44" s="7">
        <f>Q44*0.0029</f>
        <v/>
      </c>
      <c r="AR44" s="7">
        <f>R44*0.0029</f>
        <v/>
      </c>
      <c r="AS44" s="7">
        <f>S44*0.0029</f>
        <v/>
      </c>
      <c r="AT44" s="7">
        <f>T44*0.0029</f>
        <v/>
      </c>
      <c r="AU44" s="7">
        <f>U44*0.0029</f>
        <v/>
      </c>
      <c r="AV44" s="7">
        <f>V44*0.0029</f>
        <v/>
      </c>
      <c r="AW44" s="7">
        <f>W44*0.0029</f>
        <v/>
      </c>
      <c r="AX44" s="7">
        <f>X44*0.0029</f>
        <v/>
      </c>
      <c r="AY44" s="7">
        <f>Y44*0.0029</f>
        <v/>
      </c>
      <c r="AZ44" s="7">
        <f>Z44*0.0029</f>
        <v/>
      </c>
      <c r="BA44" s="7">
        <f>AA44*0.0029</f>
        <v/>
      </c>
      <c r="BB44" s="7">
        <f>SUM(AD44:BA44)</f>
        <v/>
      </c>
    </row>
    <row r="45">
      <c r="A45" t="inlineStr">
        <is>
          <t>AMD-FWDPRI-SSC</t>
        </is>
      </c>
      <c r="B45" t="inlineStr">
        <is>
          <t>FWD Priority OSC</t>
        </is>
      </c>
      <c r="C45" s="5" t="n">
        <v>46100</v>
      </c>
      <c r="D45" s="6">
        <f>Summary!D45*0.05</f>
        <v/>
      </c>
      <c r="E45" s="6">
        <f>Summary!E45*0.05</f>
        <v/>
      </c>
      <c r="F45" s="6">
        <f>Summary!F45*0.05</f>
        <v/>
      </c>
      <c r="G45" s="6">
        <f>Summary!G45*0.05</f>
        <v/>
      </c>
      <c r="H45" s="6">
        <f>Summary!H45*0.05</f>
        <v/>
      </c>
      <c r="I45" s="6">
        <f>Summary!I45*0.05</f>
        <v/>
      </c>
      <c r="J45" s="6">
        <f>Summary!J45*0.05</f>
        <v/>
      </c>
      <c r="K45" s="6">
        <f>Summary!K45*0.05</f>
        <v/>
      </c>
      <c r="L45" s="6">
        <f>Summary!L45*0.05</f>
        <v/>
      </c>
      <c r="M45" s="6">
        <f>Summary!M45*0.05</f>
        <v/>
      </c>
      <c r="N45" s="6">
        <f>Summary!N45*0.05</f>
        <v/>
      </c>
      <c r="O45" s="6">
        <f>Summary!O45*0.05</f>
        <v/>
      </c>
      <c r="P45" s="6">
        <f>Summary!P45*0.05</f>
        <v/>
      </c>
      <c r="Q45" s="6">
        <f>Summary!Q45*0.05</f>
        <v/>
      </c>
      <c r="R45" s="6">
        <f>Summary!R45*0.05</f>
        <v/>
      </c>
      <c r="S45" s="6">
        <f>Summary!S45*0.05</f>
        <v/>
      </c>
      <c r="T45" s="6">
        <f>Summary!T45*0.05</f>
        <v/>
      </c>
      <c r="U45" s="6">
        <f>Summary!U45*0.05</f>
        <v/>
      </c>
      <c r="V45" s="6">
        <f>Summary!V45*0.05</f>
        <v/>
      </c>
      <c r="W45" s="6">
        <f>Summary!W45*0.05</f>
        <v/>
      </c>
      <c r="X45" s="6">
        <f>Summary!X45*0.05</f>
        <v/>
      </c>
      <c r="Y45" s="6">
        <f>Summary!Y45*0.05</f>
        <v/>
      </c>
      <c r="Z45" s="6">
        <f>Summary!Z45*0.05</f>
        <v/>
      </c>
      <c r="AA45" s="6">
        <f>Summary!AA45*0.05</f>
        <v/>
      </c>
      <c r="AB45" s="6">
        <f>SUM(D45:AA45)</f>
        <v/>
      </c>
      <c r="AC45" s="3" t="inlineStr"/>
      <c r="AD45" s="7">
        <f>D45*0.0029</f>
        <v/>
      </c>
      <c r="AE45" s="7">
        <f>E45*0.0029</f>
        <v/>
      </c>
      <c r="AF45" s="7">
        <f>F45*0.0029</f>
        <v/>
      </c>
      <c r="AG45" s="7">
        <f>G45*0.0029</f>
        <v/>
      </c>
      <c r="AH45" s="7">
        <f>H45*0.0029</f>
        <v/>
      </c>
      <c r="AI45" s="7">
        <f>I45*0.0029</f>
        <v/>
      </c>
      <c r="AJ45" s="7">
        <f>J45*0.0029</f>
        <v/>
      </c>
      <c r="AK45" s="7">
        <f>K45*0.0029</f>
        <v/>
      </c>
      <c r="AL45" s="7">
        <f>L45*0.0029</f>
        <v/>
      </c>
      <c r="AM45" s="7">
        <f>M45*0.0029</f>
        <v/>
      </c>
      <c r="AN45" s="7">
        <f>N45*0.0029</f>
        <v/>
      </c>
      <c r="AO45" s="7">
        <f>O45*0.0029</f>
        <v/>
      </c>
      <c r="AP45" s="7">
        <f>P45*0.0029</f>
        <v/>
      </c>
      <c r="AQ45" s="7">
        <f>Q45*0.0029</f>
        <v/>
      </c>
      <c r="AR45" s="7">
        <f>R45*0.0029</f>
        <v/>
      </c>
      <c r="AS45" s="7">
        <f>S45*0.0029</f>
        <v/>
      </c>
      <c r="AT45" s="7">
        <f>T45*0.0029</f>
        <v/>
      </c>
      <c r="AU45" s="7">
        <f>U45*0.0029</f>
        <v/>
      </c>
      <c r="AV45" s="7">
        <f>V45*0.0029</f>
        <v/>
      </c>
      <c r="AW45" s="7">
        <f>W45*0.0029</f>
        <v/>
      </c>
      <c r="AX45" s="7">
        <f>X45*0.0029</f>
        <v/>
      </c>
      <c r="AY45" s="7">
        <f>Y45*0.0029</f>
        <v/>
      </c>
      <c r="AZ45" s="7">
        <f>Z45*0.0029</f>
        <v/>
      </c>
      <c r="BA45" s="7">
        <f>AA45*0.0029</f>
        <v/>
      </c>
      <c r="BB45" s="7">
        <f>SUM(AD45:BA45)</f>
        <v/>
      </c>
    </row>
    <row r="46">
      <c r="A46" t="inlineStr">
        <is>
          <t>AMD-FWDPRI-SSC</t>
        </is>
      </c>
      <c r="B46" t="inlineStr">
        <is>
          <t>FWD Priority OSC</t>
        </is>
      </c>
      <c r="C46" s="5" t="n">
        <v>46101</v>
      </c>
      <c r="D46" s="6">
        <f>Summary!D46*0.05</f>
        <v/>
      </c>
      <c r="E46" s="6">
        <f>Summary!E46*0.05</f>
        <v/>
      </c>
      <c r="F46" s="6">
        <f>Summary!F46*0.05</f>
        <v/>
      </c>
      <c r="G46" s="6">
        <f>Summary!G46*0.05</f>
        <v/>
      </c>
      <c r="H46" s="6">
        <f>Summary!H46*0.05</f>
        <v/>
      </c>
      <c r="I46" s="6">
        <f>Summary!I46*0.05</f>
        <v/>
      </c>
      <c r="J46" s="6">
        <f>Summary!J46*0.05</f>
        <v/>
      </c>
      <c r="K46" s="6">
        <f>Summary!K46*0.05</f>
        <v/>
      </c>
      <c r="L46" s="6">
        <f>Summary!L46*0.05</f>
        <v/>
      </c>
      <c r="M46" s="6">
        <f>Summary!M46*0.05</f>
        <v/>
      </c>
      <c r="N46" s="6">
        <f>Summary!N46*0.05</f>
        <v/>
      </c>
      <c r="O46" s="6">
        <f>Summary!O46*0.05</f>
        <v/>
      </c>
      <c r="P46" s="6">
        <f>Summary!P46*0.05</f>
        <v/>
      </c>
      <c r="Q46" s="6">
        <f>Summary!Q46*0.05</f>
        <v/>
      </c>
      <c r="R46" s="6">
        <f>Summary!R46*0.05</f>
        <v/>
      </c>
      <c r="S46" s="6">
        <f>Summary!S46*0.05</f>
        <v/>
      </c>
      <c r="T46" s="6">
        <f>Summary!T46*0.05</f>
        <v/>
      </c>
      <c r="U46" s="6">
        <f>Summary!U46*0.05</f>
        <v/>
      </c>
      <c r="V46" s="6">
        <f>Summary!V46*0.05</f>
        <v/>
      </c>
      <c r="W46" s="6">
        <f>Summary!W46*0.05</f>
        <v/>
      </c>
      <c r="X46" s="6">
        <f>Summary!X46*0.05</f>
        <v/>
      </c>
      <c r="Y46" s="6">
        <f>Summary!Y46*0.05</f>
        <v/>
      </c>
      <c r="Z46" s="6">
        <f>Summary!Z46*0.05</f>
        <v/>
      </c>
      <c r="AA46" s="6">
        <f>Summary!AA46*0.05</f>
        <v/>
      </c>
      <c r="AB46" s="6">
        <f>SUM(D46:AA46)</f>
        <v/>
      </c>
      <c r="AC46" s="3" t="inlineStr"/>
      <c r="AD46" s="7">
        <f>D46*0.0029</f>
        <v/>
      </c>
      <c r="AE46" s="7">
        <f>E46*0.0029</f>
        <v/>
      </c>
      <c r="AF46" s="7">
        <f>F46*0.0029</f>
        <v/>
      </c>
      <c r="AG46" s="7">
        <f>G46*0.0029</f>
        <v/>
      </c>
      <c r="AH46" s="7">
        <f>H46*0.0029</f>
        <v/>
      </c>
      <c r="AI46" s="7">
        <f>I46*0.0029</f>
        <v/>
      </c>
      <c r="AJ46" s="7">
        <f>J46*0.0029</f>
        <v/>
      </c>
      <c r="AK46" s="7">
        <f>K46*0.0029</f>
        <v/>
      </c>
      <c r="AL46" s="7">
        <f>L46*0.0029</f>
        <v/>
      </c>
      <c r="AM46" s="7">
        <f>M46*0.0029</f>
        <v/>
      </c>
      <c r="AN46" s="7">
        <f>N46*0.0029</f>
        <v/>
      </c>
      <c r="AO46" s="7">
        <f>O46*0.0029</f>
        <v/>
      </c>
      <c r="AP46" s="7">
        <f>P46*0.0029</f>
        <v/>
      </c>
      <c r="AQ46" s="7">
        <f>Q46*0.0029</f>
        <v/>
      </c>
      <c r="AR46" s="7">
        <f>R46*0.0029</f>
        <v/>
      </c>
      <c r="AS46" s="7">
        <f>S46*0.0029</f>
        <v/>
      </c>
      <c r="AT46" s="7">
        <f>T46*0.0029</f>
        <v/>
      </c>
      <c r="AU46" s="7">
        <f>U46*0.0029</f>
        <v/>
      </c>
      <c r="AV46" s="7">
        <f>V46*0.0029</f>
        <v/>
      </c>
      <c r="AW46" s="7">
        <f>W46*0.0029</f>
        <v/>
      </c>
      <c r="AX46" s="7">
        <f>X46*0.0029</f>
        <v/>
      </c>
      <c r="AY46" s="7">
        <f>Y46*0.0029</f>
        <v/>
      </c>
      <c r="AZ46" s="7">
        <f>Z46*0.0029</f>
        <v/>
      </c>
      <c r="BA46" s="7">
        <f>AA46*0.0029</f>
        <v/>
      </c>
      <c r="BB46" s="7">
        <f>SUM(AD46:BA46)</f>
        <v/>
      </c>
    </row>
    <row r="47">
      <c r="A47" t="inlineStr">
        <is>
          <t>AMD-FWDPRI-SSC</t>
        </is>
      </c>
      <c r="B47" t="inlineStr">
        <is>
          <t>FWD Priority OSC</t>
        </is>
      </c>
      <c r="C47" s="5" t="n">
        <v>46102</v>
      </c>
      <c r="D47" s="6">
        <f>Summary!D47*0.05</f>
        <v/>
      </c>
      <c r="E47" s="6">
        <f>Summary!E47*0.05</f>
        <v/>
      </c>
      <c r="F47" s="6">
        <f>Summary!F47*0.05</f>
        <v/>
      </c>
      <c r="G47" s="6">
        <f>Summary!G47*0.05</f>
        <v/>
      </c>
      <c r="H47" s="6">
        <f>Summary!H47*0.05</f>
        <v/>
      </c>
      <c r="I47" s="6">
        <f>Summary!I47*0.05</f>
        <v/>
      </c>
      <c r="J47" s="6">
        <f>Summary!J47*0.05</f>
        <v/>
      </c>
      <c r="K47" s="6">
        <f>Summary!K47*0.05</f>
        <v/>
      </c>
      <c r="L47" s="6">
        <f>Summary!L47*0.05</f>
        <v/>
      </c>
      <c r="M47" s="6">
        <f>Summary!M47*0.05</f>
        <v/>
      </c>
      <c r="N47" s="6">
        <f>Summary!N47*0.05</f>
        <v/>
      </c>
      <c r="O47" s="6">
        <f>Summary!O47*0.05</f>
        <v/>
      </c>
      <c r="P47" s="6">
        <f>Summary!P47*0.05</f>
        <v/>
      </c>
      <c r="Q47" s="6">
        <f>Summary!Q47*0.05</f>
        <v/>
      </c>
      <c r="R47" s="6">
        <f>Summary!R47*0.05</f>
        <v/>
      </c>
      <c r="S47" s="6">
        <f>Summary!S47*0.05</f>
        <v/>
      </c>
      <c r="T47" s="6">
        <f>Summary!T47*0.05</f>
        <v/>
      </c>
      <c r="U47" s="6">
        <f>Summary!U47*0.05</f>
        <v/>
      </c>
      <c r="V47" s="6">
        <f>Summary!V47*0.05</f>
        <v/>
      </c>
      <c r="W47" s="6">
        <f>Summary!W47*0.05</f>
        <v/>
      </c>
      <c r="X47" s="6">
        <f>Summary!X47*0.05</f>
        <v/>
      </c>
      <c r="Y47" s="6">
        <f>Summary!Y47*0.05</f>
        <v/>
      </c>
      <c r="Z47" s="6">
        <f>Summary!Z47*0.05</f>
        <v/>
      </c>
      <c r="AA47" s="6">
        <f>Summary!AA47*0.05</f>
        <v/>
      </c>
      <c r="AB47" s="6">
        <f>SUM(D47:AA47)</f>
        <v/>
      </c>
      <c r="AC47" s="3" t="inlineStr"/>
      <c r="AD47" s="7">
        <f>D47*0.0029</f>
        <v/>
      </c>
      <c r="AE47" s="7">
        <f>E47*0.0029</f>
        <v/>
      </c>
      <c r="AF47" s="7">
        <f>F47*0.0029</f>
        <v/>
      </c>
      <c r="AG47" s="7">
        <f>G47*0.0029</f>
        <v/>
      </c>
      <c r="AH47" s="7">
        <f>H47*0.0029</f>
        <v/>
      </c>
      <c r="AI47" s="7">
        <f>I47*0.0029</f>
        <v/>
      </c>
      <c r="AJ47" s="7">
        <f>J47*0.0029</f>
        <v/>
      </c>
      <c r="AK47" s="7">
        <f>K47*0.0029</f>
        <v/>
      </c>
      <c r="AL47" s="7">
        <f>L47*0.0029</f>
        <v/>
      </c>
      <c r="AM47" s="7">
        <f>M47*0.0029</f>
        <v/>
      </c>
      <c r="AN47" s="7">
        <f>N47*0.0029</f>
        <v/>
      </c>
      <c r="AO47" s="7">
        <f>O47*0.0029</f>
        <v/>
      </c>
      <c r="AP47" s="7">
        <f>P47*0.0029</f>
        <v/>
      </c>
      <c r="AQ47" s="7">
        <f>Q47*0.0029</f>
        <v/>
      </c>
      <c r="AR47" s="7">
        <f>R47*0.0029</f>
        <v/>
      </c>
      <c r="AS47" s="7">
        <f>S47*0.0029</f>
        <v/>
      </c>
      <c r="AT47" s="7">
        <f>T47*0.0029</f>
        <v/>
      </c>
      <c r="AU47" s="7">
        <f>U47*0.0029</f>
        <v/>
      </c>
      <c r="AV47" s="7">
        <f>V47*0.0029</f>
        <v/>
      </c>
      <c r="AW47" s="7">
        <f>W47*0.0029</f>
        <v/>
      </c>
      <c r="AX47" s="7">
        <f>X47*0.0029</f>
        <v/>
      </c>
      <c r="AY47" s="7">
        <f>Y47*0.0029</f>
        <v/>
      </c>
      <c r="AZ47" s="7">
        <f>Z47*0.0029</f>
        <v/>
      </c>
      <c r="BA47" s="7">
        <f>AA47*0.0029</f>
        <v/>
      </c>
      <c r="BB47" s="7">
        <f>SUM(AD47:BA47)</f>
        <v/>
      </c>
    </row>
    <row r="48">
      <c r="A48" t="inlineStr">
        <is>
          <t>AMD-FWDPRI-SSC</t>
        </is>
      </c>
      <c r="B48" t="inlineStr">
        <is>
          <t>FWD Priority OSC</t>
        </is>
      </c>
      <c r="C48" s="5" t="n">
        <v>46103</v>
      </c>
      <c r="D48" s="6">
        <f>Summary!D48*0.05</f>
        <v/>
      </c>
      <c r="E48" s="6">
        <f>Summary!E48*0.05</f>
        <v/>
      </c>
      <c r="F48" s="6">
        <f>Summary!F48*0.05</f>
        <v/>
      </c>
      <c r="G48" s="6">
        <f>Summary!G48*0.05</f>
        <v/>
      </c>
      <c r="H48" s="6">
        <f>Summary!H48*0.05</f>
        <v/>
      </c>
      <c r="I48" s="6">
        <f>Summary!I48*0.05</f>
        <v/>
      </c>
      <c r="J48" s="6">
        <f>Summary!J48*0.05</f>
        <v/>
      </c>
      <c r="K48" s="6">
        <f>Summary!K48*0.05</f>
        <v/>
      </c>
      <c r="L48" s="6">
        <f>Summary!L48*0.05</f>
        <v/>
      </c>
      <c r="M48" s="6">
        <f>Summary!M48*0.05</f>
        <v/>
      </c>
      <c r="N48" s="6">
        <f>Summary!N48*0.05</f>
        <v/>
      </c>
      <c r="O48" s="6">
        <f>Summary!O48*0.05</f>
        <v/>
      </c>
      <c r="P48" s="6">
        <f>Summary!P48*0.05</f>
        <v/>
      </c>
      <c r="Q48" s="6">
        <f>Summary!Q48*0.05</f>
        <v/>
      </c>
      <c r="R48" s="6">
        <f>Summary!R48*0.05</f>
        <v/>
      </c>
      <c r="S48" s="6">
        <f>Summary!S48*0.05</f>
        <v/>
      </c>
      <c r="T48" s="6">
        <f>Summary!T48*0.05</f>
        <v/>
      </c>
      <c r="U48" s="6">
        <f>Summary!U48*0.05</f>
        <v/>
      </c>
      <c r="V48" s="6">
        <f>Summary!V48*0.05</f>
        <v/>
      </c>
      <c r="W48" s="6">
        <f>Summary!W48*0.05</f>
        <v/>
      </c>
      <c r="X48" s="6">
        <f>Summary!X48*0.05</f>
        <v/>
      </c>
      <c r="Y48" s="6">
        <f>Summary!Y48*0.05</f>
        <v/>
      </c>
      <c r="Z48" s="6">
        <f>Summary!Z48*0.05</f>
        <v/>
      </c>
      <c r="AA48" s="6">
        <f>Summary!AA48*0.05</f>
        <v/>
      </c>
      <c r="AB48" s="6">
        <f>SUM(D48:AA48)</f>
        <v/>
      </c>
      <c r="AC48" s="3" t="inlineStr"/>
      <c r="AD48" s="7">
        <f>D48*0.0029</f>
        <v/>
      </c>
      <c r="AE48" s="7">
        <f>E48*0.0029</f>
        <v/>
      </c>
      <c r="AF48" s="7">
        <f>F48*0.0029</f>
        <v/>
      </c>
      <c r="AG48" s="7">
        <f>G48*0.0029</f>
        <v/>
      </c>
      <c r="AH48" s="7">
        <f>H48*0.0029</f>
        <v/>
      </c>
      <c r="AI48" s="7">
        <f>I48*0.0029</f>
        <v/>
      </c>
      <c r="AJ48" s="7">
        <f>J48*0.0029</f>
        <v/>
      </c>
      <c r="AK48" s="7">
        <f>K48*0.0029</f>
        <v/>
      </c>
      <c r="AL48" s="7">
        <f>L48*0.0029</f>
        <v/>
      </c>
      <c r="AM48" s="7">
        <f>M48*0.0029</f>
        <v/>
      </c>
      <c r="AN48" s="7">
        <f>N48*0.0029</f>
        <v/>
      </c>
      <c r="AO48" s="7">
        <f>O48*0.0029</f>
        <v/>
      </c>
      <c r="AP48" s="7">
        <f>P48*0.0029</f>
        <v/>
      </c>
      <c r="AQ48" s="7">
        <f>Q48*0.0029</f>
        <v/>
      </c>
      <c r="AR48" s="7">
        <f>R48*0.0029</f>
        <v/>
      </c>
      <c r="AS48" s="7">
        <f>S48*0.0029</f>
        <v/>
      </c>
      <c r="AT48" s="7">
        <f>T48*0.0029</f>
        <v/>
      </c>
      <c r="AU48" s="7">
        <f>U48*0.0029</f>
        <v/>
      </c>
      <c r="AV48" s="7">
        <f>V48*0.0029</f>
        <v/>
      </c>
      <c r="AW48" s="7">
        <f>W48*0.0029</f>
        <v/>
      </c>
      <c r="AX48" s="7">
        <f>X48*0.0029</f>
        <v/>
      </c>
      <c r="AY48" s="7">
        <f>Y48*0.0029</f>
        <v/>
      </c>
      <c r="AZ48" s="7">
        <f>Z48*0.0029</f>
        <v/>
      </c>
      <c r="BA48" s="7">
        <f>AA48*0.0029</f>
        <v/>
      </c>
      <c r="BB48" s="7">
        <f>SUM(AD48:BA48)</f>
        <v/>
      </c>
    </row>
    <row r="49">
      <c r="A49" t="inlineStr">
        <is>
          <t>AMD-FWDPRI-SSC</t>
        </is>
      </c>
      <c r="B49" t="inlineStr">
        <is>
          <t>FWD Priority OSC</t>
        </is>
      </c>
      <c r="C49" s="5" t="n">
        <v>46104</v>
      </c>
      <c r="D49" s="6">
        <f>Summary!D49*0.05</f>
        <v/>
      </c>
      <c r="E49" s="6">
        <f>Summary!E49*0.05</f>
        <v/>
      </c>
      <c r="F49" s="6">
        <f>Summary!F49*0.05</f>
        <v/>
      </c>
      <c r="G49" s="6">
        <f>Summary!G49*0.05</f>
        <v/>
      </c>
      <c r="H49" s="6">
        <f>Summary!H49*0.05</f>
        <v/>
      </c>
      <c r="I49" s="6">
        <f>Summary!I49*0.05</f>
        <v/>
      </c>
      <c r="J49" s="6">
        <f>Summary!J49*0.05</f>
        <v/>
      </c>
      <c r="K49" s="6">
        <f>Summary!K49*0.05</f>
        <v/>
      </c>
      <c r="L49" s="6">
        <f>Summary!L49*0.05</f>
        <v/>
      </c>
      <c r="M49" s="6">
        <f>Summary!M49*0.05</f>
        <v/>
      </c>
      <c r="N49" s="6">
        <f>Summary!N49*0.05</f>
        <v/>
      </c>
      <c r="O49" s="6">
        <f>Summary!O49*0.05</f>
        <v/>
      </c>
      <c r="P49" s="6">
        <f>Summary!P49*0.05</f>
        <v/>
      </c>
      <c r="Q49" s="6">
        <f>Summary!Q49*0.05</f>
        <v/>
      </c>
      <c r="R49" s="6">
        <f>Summary!R49*0.05</f>
        <v/>
      </c>
      <c r="S49" s="6">
        <f>Summary!S49*0.05</f>
        <v/>
      </c>
      <c r="T49" s="6">
        <f>Summary!T49*0.05</f>
        <v/>
      </c>
      <c r="U49" s="6">
        <f>Summary!U49*0.05</f>
        <v/>
      </c>
      <c r="V49" s="6">
        <f>Summary!V49*0.05</f>
        <v/>
      </c>
      <c r="W49" s="6">
        <f>Summary!W49*0.05</f>
        <v/>
      </c>
      <c r="X49" s="6">
        <f>Summary!X49*0.05</f>
        <v/>
      </c>
      <c r="Y49" s="6">
        <f>Summary!Y49*0.05</f>
        <v/>
      </c>
      <c r="Z49" s="6">
        <f>Summary!Z49*0.05</f>
        <v/>
      </c>
      <c r="AA49" s="6">
        <f>Summary!AA49*0.05</f>
        <v/>
      </c>
      <c r="AB49" s="6">
        <f>SUM(D49:AA49)</f>
        <v/>
      </c>
      <c r="AC49" s="3" t="inlineStr"/>
      <c r="AD49" s="7">
        <f>D49*0.0029</f>
        <v/>
      </c>
      <c r="AE49" s="7">
        <f>E49*0.0029</f>
        <v/>
      </c>
      <c r="AF49" s="7">
        <f>F49*0.0029</f>
        <v/>
      </c>
      <c r="AG49" s="7">
        <f>G49*0.0029</f>
        <v/>
      </c>
      <c r="AH49" s="7">
        <f>H49*0.0029</f>
        <v/>
      </c>
      <c r="AI49" s="7">
        <f>I49*0.0029</f>
        <v/>
      </c>
      <c r="AJ49" s="7">
        <f>J49*0.0029</f>
        <v/>
      </c>
      <c r="AK49" s="7">
        <f>K49*0.0029</f>
        <v/>
      </c>
      <c r="AL49" s="7">
        <f>L49*0.0029</f>
        <v/>
      </c>
      <c r="AM49" s="7">
        <f>M49*0.0029</f>
        <v/>
      </c>
      <c r="AN49" s="7">
        <f>N49*0.0029</f>
        <v/>
      </c>
      <c r="AO49" s="7">
        <f>O49*0.0029</f>
        <v/>
      </c>
      <c r="AP49" s="7">
        <f>P49*0.0029</f>
        <v/>
      </c>
      <c r="AQ49" s="7">
        <f>Q49*0.0029</f>
        <v/>
      </c>
      <c r="AR49" s="7">
        <f>R49*0.0029</f>
        <v/>
      </c>
      <c r="AS49" s="7">
        <f>S49*0.0029</f>
        <v/>
      </c>
      <c r="AT49" s="7">
        <f>T49*0.0029</f>
        <v/>
      </c>
      <c r="AU49" s="7">
        <f>U49*0.0029</f>
        <v/>
      </c>
      <c r="AV49" s="7">
        <f>V49*0.0029</f>
        <v/>
      </c>
      <c r="AW49" s="7">
        <f>W49*0.0029</f>
        <v/>
      </c>
      <c r="AX49" s="7">
        <f>X49*0.0029</f>
        <v/>
      </c>
      <c r="AY49" s="7">
        <f>Y49*0.0029</f>
        <v/>
      </c>
      <c r="AZ49" s="7">
        <f>Z49*0.0029</f>
        <v/>
      </c>
      <c r="BA49" s="7">
        <f>AA49*0.0029</f>
        <v/>
      </c>
      <c r="BB49" s="7">
        <f>SUM(AD49:BA49)</f>
        <v/>
      </c>
    </row>
    <row r="50">
      <c r="A50" t="inlineStr">
        <is>
          <t>AMD-FWDPRI-SSC</t>
        </is>
      </c>
      <c r="B50" t="inlineStr">
        <is>
          <t>FWD Priority OSC</t>
        </is>
      </c>
      <c r="C50" s="5" t="n">
        <v>46105</v>
      </c>
      <c r="D50" s="6">
        <f>Summary!D50*0.05</f>
        <v/>
      </c>
      <c r="E50" s="6">
        <f>Summary!E50*0.05</f>
        <v/>
      </c>
      <c r="F50" s="6">
        <f>Summary!F50*0.05</f>
        <v/>
      </c>
      <c r="G50" s="6">
        <f>Summary!G50*0.05</f>
        <v/>
      </c>
      <c r="H50" s="6">
        <f>Summary!H50*0.05</f>
        <v/>
      </c>
      <c r="I50" s="6">
        <f>Summary!I50*0.05</f>
        <v/>
      </c>
      <c r="J50" s="6">
        <f>Summary!J50*0.05</f>
        <v/>
      </c>
      <c r="K50" s="6">
        <f>Summary!K50*0.05</f>
        <v/>
      </c>
      <c r="L50" s="6">
        <f>Summary!L50*0.05</f>
        <v/>
      </c>
      <c r="M50" s="6">
        <f>Summary!M50*0.05</f>
        <v/>
      </c>
      <c r="N50" s="6">
        <f>Summary!N50*0.05</f>
        <v/>
      </c>
      <c r="O50" s="6">
        <f>Summary!O50*0.05</f>
        <v/>
      </c>
      <c r="P50" s="6">
        <f>Summary!P50*0.05</f>
        <v/>
      </c>
      <c r="Q50" s="6">
        <f>Summary!Q50*0.05</f>
        <v/>
      </c>
      <c r="R50" s="6">
        <f>Summary!R50*0.05</f>
        <v/>
      </c>
      <c r="S50" s="6">
        <f>Summary!S50*0.05</f>
        <v/>
      </c>
      <c r="T50" s="6">
        <f>Summary!T50*0.05</f>
        <v/>
      </c>
      <c r="U50" s="6">
        <f>Summary!U50*0.05</f>
        <v/>
      </c>
      <c r="V50" s="6">
        <f>Summary!V50*0.05</f>
        <v/>
      </c>
      <c r="W50" s="6">
        <f>Summary!W50*0.05</f>
        <v/>
      </c>
      <c r="X50" s="6">
        <f>Summary!X50*0.05</f>
        <v/>
      </c>
      <c r="Y50" s="6">
        <f>Summary!Y50*0.05</f>
        <v/>
      </c>
      <c r="Z50" s="6">
        <f>Summary!Z50*0.05</f>
        <v/>
      </c>
      <c r="AA50" s="6">
        <f>Summary!AA50*0.05</f>
        <v/>
      </c>
      <c r="AB50" s="6">
        <f>SUM(D50:AA50)</f>
        <v/>
      </c>
      <c r="AC50" s="3" t="inlineStr"/>
      <c r="AD50" s="7">
        <f>D50*0.0029</f>
        <v/>
      </c>
      <c r="AE50" s="7">
        <f>E50*0.0029</f>
        <v/>
      </c>
      <c r="AF50" s="7">
        <f>F50*0.0029</f>
        <v/>
      </c>
      <c r="AG50" s="7">
        <f>G50*0.0029</f>
        <v/>
      </c>
      <c r="AH50" s="7">
        <f>H50*0.0029</f>
        <v/>
      </c>
      <c r="AI50" s="7">
        <f>I50*0.0029</f>
        <v/>
      </c>
      <c r="AJ50" s="7">
        <f>J50*0.0029</f>
        <v/>
      </c>
      <c r="AK50" s="7">
        <f>K50*0.0029</f>
        <v/>
      </c>
      <c r="AL50" s="7">
        <f>L50*0.0029</f>
        <v/>
      </c>
      <c r="AM50" s="7">
        <f>M50*0.0029</f>
        <v/>
      </c>
      <c r="AN50" s="7">
        <f>N50*0.0029</f>
        <v/>
      </c>
      <c r="AO50" s="7">
        <f>O50*0.0029</f>
        <v/>
      </c>
      <c r="AP50" s="7">
        <f>P50*0.0029</f>
        <v/>
      </c>
      <c r="AQ50" s="7">
        <f>Q50*0.0029</f>
        <v/>
      </c>
      <c r="AR50" s="7">
        <f>R50*0.0029</f>
        <v/>
      </c>
      <c r="AS50" s="7">
        <f>S50*0.0029</f>
        <v/>
      </c>
      <c r="AT50" s="7">
        <f>T50*0.0029</f>
        <v/>
      </c>
      <c r="AU50" s="7">
        <f>U50*0.0029</f>
        <v/>
      </c>
      <c r="AV50" s="7">
        <f>V50*0.0029</f>
        <v/>
      </c>
      <c r="AW50" s="7">
        <f>W50*0.0029</f>
        <v/>
      </c>
      <c r="AX50" s="7">
        <f>X50*0.0029</f>
        <v/>
      </c>
      <c r="AY50" s="7">
        <f>Y50*0.0029</f>
        <v/>
      </c>
      <c r="AZ50" s="7">
        <f>Z50*0.0029</f>
        <v/>
      </c>
      <c r="BA50" s="7">
        <f>AA50*0.0029</f>
        <v/>
      </c>
      <c r="BB50" s="7">
        <f>SUM(AD50:BA50)</f>
        <v/>
      </c>
    </row>
    <row r="51">
      <c r="A51" t="inlineStr">
        <is>
          <t>AMD-FWDREG-SSC</t>
        </is>
      </c>
      <c r="B51" t="inlineStr">
        <is>
          <t>Forward Regular OSC</t>
        </is>
      </c>
      <c r="C51" s="5" t="n">
        <v>46098</v>
      </c>
      <c r="D51" s="6">
        <f>Summary!D51*0.05</f>
        <v/>
      </c>
      <c r="E51" s="6">
        <f>Summary!E51*0.05</f>
        <v/>
      </c>
      <c r="F51" s="6">
        <f>Summary!F51*0.05</f>
        <v/>
      </c>
      <c r="G51" s="6">
        <f>Summary!G51*0.05</f>
        <v/>
      </c>
      <c r="H51" s="6">
        <f>Summary!H51*0.05</f>
        <v/>
      </c>
      <c r="I51" s="6">
        <f>Summary!I51*0.05</f>
        <v/>
      </c>
      <c r="J51" s="6">
        <f>Summary!J51*0.05</f>
        <v/>
      </c>
      <c r="K51" s="6">
        <f>Summary!K51*0.05</f>
        <v/>
      </c>
      <c r="L51" s="6">
        <f>Summary!L51*0.05</f>
        <v/>
      </c>
      <c r="M51" s="6">
        <f>Summary!M51*0.05</f>
        <v/>
      </c>
      <c r="N51" s="6">
        <f>Summary!N51*0.05</f>
        <v/>
      </c>
      <c r="O51" s="6">
        <f>Summary!O51*0.05</f>
        <v/>
      </c>
      <c r="P51" s="6">
        <f>Summary!P51*0.05</f>
        <v/>
      </c>
      <c r="Q51" s="6">
        <f>Summary!Q51*0.05</f>
        <v/>
      </c>
      <c r="R51" s="6">
        <f>Summary!R51*0.05</f>
        <v/>
      </c>
      <c r="S51" s="6">
        <f>Summary!S51*0.05</f>
        <v/>
      </c>
      <c r="T51" s="6">
        <f>Summary!T51*0.05</f>
        <v/>
      </c>
      <c r="U51" s="6">
        <f>Summary!U51*0.05</f>
        <v/>
      </c>
      <c r="V51" s="6">
        <f>Summary!V51*0.05</f>
        <v/>
      </c>
      <c r="W51" s="6">
        <f>Summary!W51*0.05</f>
        <v/>
      </c>
      <c r="X51" s="6">
        <f>Summary!X51*0.05</f>
        <v/>
      </c>
      <c r="Y51" s="6">
        <f>Summary!Y51*0.05</f>
        <v/>
      </c>
      <c r="Z51" s="6">
        <f>Summary!Z51*0.05</f>
        <v/>
      </c>
      <c r="AA51" s="6">
        <f>Summary!AA51*0.05</f>
        <v/>
      </c>
      <c r="AB51" s="6">
        <f>SUM(D51:AA51)</f>
        <v/>
      </c>
      <c r="AC51" s="3" t="inlineStr"/>
      <c r="AD51" s="7">
        <f>D51*0.0029</f>
        <v/>
      </c>
      <c r="AE51" s="7">
        <f>E51*0.0029</f>
        <v/>
      </c>
      <c r="AF51" s="7">
        <f>F51*0.0029</f>
        <v/>
      </c>
      <c r="AG51" s="7">
        <f>G51*0.0029</f>
        <v/>
      </c>
      <c r="AH51" s="7">
        <f>H51*0.0029</f>
        <v/>
      </c>
      <c r="AI51" s="7">
        <f>I51*0.0029</f>
        <v/>
      </c>
      <c r="AJ51" s="7">
        <f>J51*0.0029</f>
        <v/>
      </c>
      <c r="AK51" s="7">
        <f>K51*0.0029</f>
        <v/>
      </c>
      <c r="AL51" s="7">
        <f>L51*0.0029</f>
        <v/>
      </c>
      <c r="AM51" s="7">
        <f>M51*0.0029</f>
        <v/>
      </c>
      <c r="AN51" s="7">
        <f>N51*0.0029</f>
        <v/>
      </c>
      <c r="AO51" s="7">
        <f>O51*0.0029</f>
        <v/>
      </c>
      <c r="AP51" s="7">
        <f>P51*0.0029</f>
        <v/>
      </c>
      <c r="AQ51" s="7">
        <f>Q51*0.0029</f>
        <v/>
      </c>
      <c r="AR51" s="7">
        <f>R51*0.0029</f>
        <v/>
      </c>
      <c r="AS51" s="7">
        <f>S51*0.0029</f>
        <v/>
      </c>
      <c r="AT51" s="7">
        <f>T51*0.0029</f>
        <v/>
      </c>
      <c r="AU51" s="7">
        <f>U51*0.0029</f>
        <v/>
      </c>
      <c r="AV51" s="7">
        <f>V51*0.0029</f>
        <v/>
      </c>
      <c r="AW51" s="7">
        <f>W51*0.0029</f>
        <v/>
      </c>
      <c r="AX51" s="7">
        <f>X51*0.0029</f>
        <v/>
      </c>
      <c r="AY51" s="7">
        <f>Y51*0.0029</f>
        <v/>
      </c>
      <c r="AZ51" s="7">
        <f>Z51*0.0029</f>
        <v/>
      </c>
      <c r="BA51" s="7">
        <f>AA51*0.0029</f>
        <v/>
      </c>
      <c r="BB51" s="7">
        <f>SUM(AD51:BA51)</f>
        <v/>
      </c>
    </row>
    <row r="52">
      <c r="A52" t="inlineStr">
        <is>
          <t>AMD-FWDREG-SSC</t>
        </is>
      </c>
      <c r="B52" t="inlineStr">
        <is>
          <t>Forward Regular OSC</t>
        </is>
      </c>
      <c r="C52" s="5" t="n">
        <v>46099</v>
      </c>
      <c r="D52" s="6">
        <f>Summary!D52*0.05</f>
        <v/>
      </c>
      <c r="E52" s="6">
        <f>Summary!E52*0.05</f>
        <v/>
      </c>
      <c r="F52" s="6">
        <f>Summary!F52*0.05</f>
        <v/>
      </c>
      <c r="G52" s="6">
        <f>Summary!G52*0.05</f>
        <v/>
      </c>
      <c r="H52" s="6">
        <f>Summary!H52*0.05</f>
        <v/>
      </c>
      <c r="I52" s="6">
        <f>Summary!I52*0.05</f>
        <v/>
      </c>
      <c r="J52" s="6">
        <f>Summary!J52*0.05</f>
        <v/>
      </c>
      <c r="K52" s="6">
        <f>Summary!K52*0.05</f>
        <v/>
      </c>
      <c r="L52" s="6">
        <f>Summary!L52*0.05</f>
        <v/>
      </c>
      <c r="M52" s="6">
        <f>Summary!M52*0.05</f>
        <v/>
      </c>
      <c r="N52" s="6">
        <f>Summary!N52*0.05</f>
        <v/>
      </c>
      <c r="O52" s="6">
        <f>Summary!O52*0.05</f>
        <v/>
      </c>
      <c r="P52" s="6">
        <f>Summary!P52*0.05</f>
        <v/>
      </c>
      <c r="Q52" s="6">
        <f>Summary!Q52*0.05</f>
        <v/>
      </c>
      <c r="R52" s="6">
        <f>Summary!R52*0.05</f>
        <v/>
      </c>
      <c r="S52" s="6">
        <f>Summary!S52*0.05</f>
        <v/>
      </c>
      <c r="T52" s="6">
        <f>Summary!T52*0.05</f>
        <v/>
      </c>
      <c r="U52" s="6">
        <f>Summary!U52*0.05</f>
        <v/>
      </c>
      <c r="V52" s="6">
        <f>Summary!V52*0.05</f>
        <v/>
      </c>
      <c r="W52" s="6">
        <f>Summary!W52*0.05</f>
        <v/>
      </c>
      <c r="X52" s="6">
        <f>Summary!X52*0.05</f>
        <v/>
      </c>
      <c r="Y52" s="6">
        <f>Summary!Y52*0.05</f>
        <v/>
      </c>
      <c r="Z52" s="6">
        <f>Summary!Z52*0.05</f>
        <v/>
      </c>
      <c r="AA52" s="6">
        <f>Summary!AA52*0.05</f>
        <v/>
      </c>
      <c r="AB52" s="6">
        <f>SUM(D52:AA52)</f>
        <v/>
      </c>
      <c r="AC52" s="3" t="inlineStr"/>
      <c r="AD52" s="7">
        <f>D52*0.0029</f>
        <v/>
      </c>
      <c r="AE52" s="7">
        <f>E52*0.0029</f>
        <v/>
      </c>
      <c r="AF52" s="7">
        <f>F52*0.0029</f>
        <v/>
      </c>
      <c r="AG52" s="7">
        <f>G52*0.0029</f>
        <v/>
      </c>
      <c r="AH52" s="7">
        <f>H52*0.0029</f>
        <v/>
      </c>
      <c r="AI52" s="7">
        <f>I52*0.0029</f>
        <v/>
      </c>
      <c r="AJ52" s="7">
        <f>J52*0.0029</f>
        <v/>
      </c>
      <c r="AK52" s="7">
        <f>K52*0.0029</f>
        <v/>
      </c>
      <c r="AL52" s="7">
        <f>L52*0.0029</f>
        <v/>
      </c>
      <c r="AM52" s="7">
        <f>M52*0.0029</f>
        <v/>
      </c>
      <c r="AN52" s="7">
        <f>N52*0.0029</f>
        <v/>
      </c>
      <c r="AO52" s="7">
        <f>O52*0.0029</f>
        <v/>
      </c>
      <c r="AP52" s="7">
        <f>P52*0.0029</f>
        <v/>
      </c>
      <c r="AQ52" s="7">
        <f>Q52*0.0029</f>
        <v/>
      </c>
      <c r="AR52" s="7">
        <f>R52*0.0029</f>
        <v/>
      </c>
      <c r="AS52" s="7">
        <f>S52*0.0029</f>
        <v/>
      </c>
      <c r="AT52" s="7">
        <f>T52*0.0029</f>
        <v/>
      </c>
      <c r="AU52" s="7">
        <f>U52*0.0029</f>
        <v/>
      </c>
      <c r="AV52" s="7">
        <f>V52*0.0029</f>
        <v/>
      </c>
      <c r="AW52" s="7">
        <f>W52*0.0029</f>
        <v/>
      </c>
      <c r="AX52" s="7">
        <f>X52*0.0029</f>
        <v/>
      </c>
      <c r="AY52" s="7">
        <f>Y52*0.0029</f>
        <v/>
      </c>
      <c r="AZ52" s="7">
        <f>Z52*0.0029</f>
        <v/>
      </c>
      <c r="BA52" s="7">
        <f>AA52*0.0029</f>
        <v/>
      </c>
      <c r="BB52" s="7">
        <f>SUM(AD52:BA52)</f>
        <v/>
      </c>
    </row>
    <row r="53">
      <c r="A53" t="inlineStr">
        <is>
          <t>AMD-FWDREG-SSC</t>
        </is>
      </c>
      <c r="B53" t="inlineStr">
        <is>
          <t>Forward Regular OSC</t>
        </is>
      </c>
      <c r="C53" s="5" t="n">
        <v>46100</v>
      </c>
      <c r="D53" s="6">
        <f>Summary!D53*0.05</f>
        <v/>
      </c>
      <c r="E53" s="6">
        <f>Summary!E53*0.05</f>
        <v/>
      </c>
      <c r="F53" s="6">
        <f>Summary!F53*0.05</f>
        <v/>
      </c>
      <c r="G53" s="6">
        <f>Summary!G53*0.05</f>
        <v/>
      </c>
      <c r="H53" s="6">
        <f>Summary!H53*0.05</f>
        <v/>
      </c>
      <c r="I53" s="6">
        <f>Summary!I53*0.05</f>
        <v/>
      </c>
      <c r="J53" s="6">
        <f>Summary!J53*0.05</f>
        <v/>
      </c>
      <c r="K53" s="6">
        <f>Summary!K53*0.05</f>
        <v/>
      </c>
      <c r="L53" s="6">
        <f>Summary!L53*0.05</f>
        <v/>
      </c>
      <c r="M53" s="6">
        <f>Summary!M53*0.05</f>
        <v/>
      </c>
      <c r="N53" s="6">
        <f>Summary!N53*0.05</f>
        <v/>
      </c>
      <c r="O53" s="6">
        <f>Summary!O53*0.05</f>
        <v/>
      </c>
      <c r="P53" s="6">
        <f>Summary!P53*0.05</f>
        <v/>
      </c>
      <c r="Q53" s="6">
        <f>Summary!Q53*0.05</f>
        <v/>
      </c>
      <c r="R53" s="6">
        <f>Summary!R53*0.05</f>
        <v/>
      </c>
      <c r="S53" s="6">
        <f>Summary!S53*0.05</f>
        <v/>
      </c>
      <c r="T53" s="6">
        <f>Summary!T53*0.05</f>
        <v/>
      </c>
      <c r="U53" s="6">
        <f>Summary!U53*0.05</f>
        <v/>
      </c>
      <c r="V53" s="6">
        <f>Summary!V53*0.05</f>
        <v/>
      </c>
      <c r="W53" s="6">
        <f>Summary!W53*0.05</f>
        <v/>
      </c>
      <c r="X53" s="6">
        <f>Summary!X53*0.05</f>
        <v/>
      </c>
      <c r="Y53" s="6">
        <f>Summary!Y53*0.05</f>
        <v/>
      </c>
      <c r="Z53" s="6">
        <f>Summary!Z53*0.05</f>
        <v/>
      </c>
      <c r="AA53" s="6">
        <f>Summary!AA53*0.05</f>
        <v/>
      </c>
      <c r="AB53" s="6">
        <f>SUM(D53:AA53)</f>
        <v/>
      </c>
      <c r="AC53" s="3" t="inlineStr"/>
      <c r="AD53" s="7">
        <f>D53*0.0029</f>
        <v/>
      </c>
      <c r="AE53" s="7">
        <f>E53*0.0029</f>
        <v/>
      </c>
      <c r="AF53" s="7">
        <f>F53*0.0029</f>
        <v/>
      </c>
      <c r="AG53" s="7">
        <f>G53*0.0029</f>
        <v/>
      </c>
      <c r="AH53" s="7">
        <f>H53*0.0029</f>
        <v/>
      </c>
      <c r="AI53" s="7">
        <f>I53*0.0029</f>
        <v/>
      </c>
      <c r="AJ53" s="7">
        <f>J53*0.0029</f>
        <v/>
      </c>
      <c r="AK53" s="7">
        <f>K53*0.0029</f>
        <v/>
      </c>
      <c r="AL53" s="7">
        <f>L53*0.0029</f>
        <v/>
      </c>
      <c r="AM53" s="7">
        <f>M53*0.0029</f>
        <v/>
      </c>
      <c r="AN53" s="7">
        <f>N53*0.0029</f>
        <v/>
      </c>
      <c r="AO53" s="7">
        <f>O53*0.0029</f>
        <v/>
      </c>
      <c r="AP53" s="7">
        <f>P53*0.0029</f>
        <v/>
      </c>
      <c r="AQ53" s="7">
        <f>Q53*0.0029</f>
        <v/>
      </c>
      <c r="AR53" s="7">
        <f>R53*0.0029</f>
        <v/>
      </c>
      <c r="AS53" s="7">
        <f>S53*0.0029</f>
        <v/>
      </c>
      <c r="AT53" s="7">
        <f>T53*0.0029</f>
        <v/>
      </c>
      <c r="AU53" s="7">
        <f>U53*0.0029</f>
        <v/>
      </c>
      <c r="AV53" s="7">
        <f>V53*0.0029</f>
        <v/>
      </c>
      <c r="AW53" s="7">
        <f>W53*0.0029</f>
        <v/>
      </c>
      <c r="AX53" s="7">
        <f>X53*0.0029</f>
        <v/>
      </c>
      <c r="AY53" s="7">
        <f>Y53*0.0029</f>
        <v/>
      </c>
      <c r="AZ53" s="7">
        <f>Z53*0.0029</f>
        <v/>
      </c>
      <c r="BA53" s="7">
        <f>AA53*0.0029</f>
        <v/>
      </c>
      <c r="BB53" s="7">
        <f>SUM(AD53:BA53)</f>
        <v/>
      </c>
    </row>
    <row r="54">
      <c r="A54" t="inlineStr">
        <is>
          <t>AMD-FWDREG-SSC</t>
        </is>
      </c>
      <c r="B54" t="inlineStr">
        <is>
          <t>Forward Regular OSC</t>
        </is>
      </c>
      <c r="C54" s="5" t="n">
        <v>46101</v>
      </c>
      <c r="D54" s="6">
        <f>Summary!D54*0.05</f>
        <v/>
      </c>
      <c r="E54" s="6">
        <f>Summary!E54*0.05</f>
        <v/>
      </c>
      <c r="F54" s="6">
        <f>Summary!F54*0.05</f>
        <v/>
      </c>
      <c r="G54" s="6">
        <f>Summary!G54*0.05</f>
        <v/>
      </c>
      <c r="H54" s="6">
        <f>Summary!H54*0.05</f>
        <v/>
      </c>
      <c r="I54" s="6">
        <f>Summary!I54*0.05</f>
        <v/>
      </c>
      <c r="J54" s="6">
        <f>Summary!J54*0.05</f>
        <v/>
      </c>
      <c r="K54" s="6">
        <f>Summary!K54*0.05</f>
        <v/>
      </c>
      <c r="L54" s="6">
        <f>Summary!L54*0.05</f>
        <v/>
      </c>
      <c r="M54" s="6">
        <f>Summary!M54*0.05</f>
        <v/>
      </c>
      <c r="N54" s="6">
        <f>Summary!N54*0.05</f>
        <v/>
      </c>
      <c r="O54" s="6">
        <f>Summary!O54*0.05</f>
        <v/>
      </c>
      <c r="P54" s="6">
        <f>Summary!P54*0.05</f>
        <v/>
      </c>
      <c r="Q54" s="6">
        <f>Summary!Q54*0.05</f>
        <v/>
      </c>
      <c r="R54" s="6">
        <f>Summary!R54*0.05</f>
        <v/>
      </c>
      <c r="S54" s="6">
        <f>Summary!S54*0.05</f>
        <v/>
      </c>
      <c r="T54" s="6">
        <f>Summary!T54*0.05</f>
        <v/>
      </c>
      <c r="U54" s="6">
        <f>Summary!U54*0.05</f>
        <v/>
      </c>
      <c r="V54" s="6">
        <f>Summary!V54*0.05</f>
        <v/>
      </c>
      <c r="W54" s="6">
        <f>Summary!W54*0.05</f>
        <v/>
      </c>
      <c r="X54" s="6">
        <f>Summary!X54*0.05</f>
        <v/>
      </c>
      <c r="Y54" s="6">
        <f>Summary!Y54*0.05</f>
        <v/>
      </c>
      <c r="Z54" s="6">
        <f>Summary!Z54*0.05</f>
        <v/>
      </c>
      <c r="AA54" s="6">
        <f>Summary!AA54*0.05</f>
        <v/>
      </c>
      <c r="AB54" s="6">
        <f>SUM(D54:AA54)</f>
        <v/>
      </c>
      <c r="AC54" s="3" t="inlineStr"/>
      <c r="AD54" s="7">
        <f>D54*0.0029</f>
        <v/>
      </c>
      <c r="AE54" s="7">
        <f>E54*0.0029</f>
        <v/>
      </c>
      <c r="AF54" s="7">
        <f>F54*0.0029</f>
        <v/>
      </c>
      <c r="AG54" s="7">
        <f>G54*0.0029</f>
        <v/>
      </c>
      <c r="AH54" s="7">
        <f>H54*0.0029</f>
        <v/>
      </c>
      <c r="AI54" s="7">
        <f>I54*0.0029</f>
        <v/>
      </c>
      <c r="AJ54" s="7">
        <f>J54*0.0029</f>
        <v/>
      </c>
      <c r="AK54" s="7">
        <f>K54*0.0029</f>
        <v/>
      </c>
      <c r="AL54" s="7">
        <f>L54*0.0029</f>
        <v/>
      </c>
      <c r="AM54" s="7">
        <f>M54*0.0029</f>
        <v/>
      </c>
      <c r="AN54" s="7">
        <f>N54*0.0029</f>
        <v/>
      </c>
      <c r="AO54" s="7">
        <f>O54*0.0029</f>
        <v/>
      </c>
      <c r="AP54" s="7">
        <f>P54*0.0029</f>
        <v/>
      </c>
      <c r="AQ54" s="7">
        <f>Q54*0.0029</f>
        <v/>
      </c>
      <c r="AR54" s="7">
        <f>R54*0.0029</f>
        <v/>
      </c>
      <c r="AS54" s="7">
        <f>S54*0.0029</f>
        <v/>
      </c>
      <c r="AT54" s="7">
        <f>T54*0.0029</f>
        <v/>
      </c>
      <c r="AU54" s="7">
        <f>U54*0.0029</f>
        <v/>
      </c>
      <c r="AV54" s="7">
        <f>V54*0.0029</f>
        <v/>
      </c>
      <c r="AW54" s="7">
        <f>W54*0.0029</f>
        <v/>
      </c>
      <c r="AX54" s="7">
        <f>X54*0.0029</f>
        <v/>
      </c>
      <c r="AY54" s="7">
        <f>Y54*0.0029</f>
        <v/>
      </c>
      <c r="AZ54" s="7">
        <f>Z54*0.0029</f>
        <v/>
      </c>
      <c r="BA54" s="7">
        <f>AA54*0.0029</f>
        <v/>
      </c>
      <c r="BB54" s="7">
        <f>SUM(AD54:BA54)</f>
        <v/>
      </c>
    </row>
    <row r="55">
      <c r="A55" t="inlineStr">
        <is>
          <t>AMD-FWDREG-SSC</t>
        </is>
      </c>
      <c r="B55" t="inlineStr">
        <is>
          <t>Forward Regular OSC</t>
        </is>
      </c>
      <c r="C55" s="5" t="n">
        <v>46102</v>
      </c>
      <c r="D55" s="6">
        <f>Summary!D55*0.05</f>
        <v/>
      </c>
      <c r="E55" s="6">
        <f>Summary!E55*0.05</f>
        <v/>
      </c>
      <c r="F55" s="6">
        <f>Summary!F55*0.05</f>
        <v/>
      </c>
      <c r="G55" s="6">
        <f>Summary!G55*0.05</f>
        <v/>
      </c>
      <c r="H55" s="6">
        <f>Summary!H55*0.05</f>
        <v/>
      </c>
      <c r="I55" s="6">
        <f>Summary!I55*0.05</f>
        <v/>
      </c>
      <c r="J55" s="6">
        <f>Summary!J55*0.05</f>
        <v/>
      </c>
      <c r="K55" s="6">
        <f>Summary!K55*0.05</f>
        <v/>
      </c>
      <c r="L55" s="6">
        <f>Summary!L55*0.05</f>
        <v/>
      </c>
      <c r="M55" s="6">
        <f>Summary!M55*0.05</f>
        <v/>
      </c>
      <c r="N55" s="6">
        <f>Summary!N55*0.05</f>
        <v/>
      </c>
      <c r="O55" s="6">
        <f>Summary!O55*0.05</f>
        <v/>
      </c>
      <c r="P55" s="6">
        <f>Summary!P55*0.05</f>
        <v/>
      </c>
      <c r="Q55" s="6">
        <f>Summary!Q55*0.05</f>
        <v/>
      </c>
      <c r="R55" s="6">
        <f>Summary!R55*0.05</f>
        <v/>
      </c>
      <c r="S55" s="6">
        <f>Summary!S55*0.05</f>
        <v/>
      </c>
      <c r="T55" s="6">
        <f>Summary!T55*0.05</f>
        <v/>
      </c>
      <c r="U55" s="6">
        <f>Summary!U55*0.05</f>
        <v/>
      </c>
      <c r="V55" s="6">
        <f>Summary!V55*0.05</f>
        <v/>
      </c>
      <c r="W55" s="6">
        <f>Summary!W55*0.05</f>
        <v/>
      </c>
      <c r="X55" s="6">
        <f>Summary!X55*0.05</f>
        <v/>
      </c>
      <c r="Y55" s="6">
        <f>Summary!Y55*0.05</f>
        <v/>
      </c>
      <c r="Z55" s="6">
        <f>Summary!Z55*0.05</f>
        <v/>
      </c>
      <c r="AA55" s="6">
        <f>Summary!AA55*0.05</f>
        <v/>
      </c>
      <c r="AB55" s="6">
        <f>SUM(D55:AA55)</f>
        <v/>
      </c>
      <c r="AC55" s="3" t="inlineStr"/>
      <c r="AD55" s="7">
        <f>D55*0.0029</f>
        <v/>
      </c>
      <c r="AE55" s="7">
        <f>E55*0.0029</f>
        <v/>
      </c>
      <c r="AF55" s="7">
        <f>F55*0.0029</f>
        <v/>
      </c>
      <c r="AG55" s="7">
        <f>G55*0.0029</f>
        <v/>
      </c>
      <c r="AH55" s="7">
        <f>H55*0.0029</f>
        <v/>
      </c>
      <c r="AI55" s="7">
        <f>I55*0.0029</f>
        <v/>
      </c>
      <c r="AJ55" s="7">
        <f>J55*0.0029</f>
        <v/>
      </c>
      <c r="AK55" s="7">
        <f>K55*0.0029</f>
        <v/>
      </c>
      <c r="AL55" s="7">
        <f>L55*0.0029</f>
        <v/>
      </c>
      <c r="AM55" s="7">
        <f>M55*0.0029</f>
        <v/>
      </c>
      <c r="AN55" s="7">
        <f>N55*0.0029</f>
        <v/>
      </c>
      <c r="AO55" s="7">
        <f>O55*0.0029</f>
        <v/>
      </c>
      <c r="AP55" s="7">
        <f>P55*0.0029</f>
        <v/>
      </c>
      <c r="AQ55" s="7">
        <f>Q55*0.0029</f>
        <v/>
      </c>
      <c r="AR55" s="7">
        <f>R55*0.0029</f>
        <v/>
      </c>
      <c r="AS55" s="7">
        <f>S55*0.0029</f>
        <v/>
      </c>
      <c r="AT55" s="7">
        <f>T55*0.0029</f>
        <v/>
      </c>
      <c r="AU55" s="7">
        <f>U55*0.0029</f>
        <v/>
      </c>
      <c r="AV55" s="7">
        <f>V55*0.0029</f>
        <v/>
      </c>
      <c r="AW55" s="7">
        <f>W55*0.0029</f>
        <v/>
      </c>
      <c r="AX55" s="7">
        <f>X55*0.0029</f>
        <v/>
      </c>
      <c r="AY55" s="7">
        <f>Y55*0.0029</f>
        <v/>
      </c>
      <c r="AZ55" s="7">
        <f>Z55*0.0029</f>
        <v/>
      </c>
      <c r="BA55" s="7">
        <f>AA55*0.0029</f>
        <v/>
      </c>
      <c r="BB55" s="7">
        <f>SUM(AD55:BA55)</f>
        <v/>
      </c>
    </row>
    <row r="56">
      <c r="A56" t="inlineStr">
        <is>
          <t>AMD-FWDREG-SSC</t>
        </is>
      </c>
      <c r="B56" t="inlineStr">
        <is>
          <t>Forward Regular OSC</t>
        </is>
      </c>
      <c r="C56" s="5" t="n">
        <v>46103</v>
      </c>
      <c r="D56" s="6">
        <f>Summary!D56*0.05</f>
        <v/>
      </c>
      <c r="E56" s="6">
        <f>Summary!E56*0.05</f>
        <v/>
      </c>
      <c r="F56" s="6">
        <f>Summary!F56*0.05</f>
        <v/>
      </c>
      <c r="G56" s="6">
        <f>Summary!G56*0.05</f>
        <v/>
      </c>
      <c r="H56" s="6">
        <f>Summary!H56*0.05</f>
        <v/>
      </c>
      <c r="I56" s="6">
        <f>Summary!I56*0.05</f>
        <v/>
      </c>
      <c r="J56" s="6">
        <f>Summary!J56*0.05</f>
        <v/>
      </c>
      <c r="K56" s="6">
        <f>Summary!K56*0.05</f>
        <v/>
      </c>
      <c r="L56" s="6">
        <f>Summary!L56*0.05</f>
        <v/>
      </c>
      <c r="M56" s="6">
        <f>Summary!M56*0.05</f>
        <v/>
      </c>
      <c r="N56" s="6">
        <f>Summary!N56*0.05</f>
        <v/>
      </c>
      <c r="O56" s="6">
        <f>Summary!O56*0.05</f>
        <v/>
      </c>
      <c r="P56" s="6">
        <f>Summary!P56*0.05</f>
        <v/>
      </c>
      <c r="Q56" s="6">
        <f>Summary!Q56*0.05</f>
        <v/>
      </c>
      <c r="R56" s="6">
        <f>Summary!R56*0.05</f>
        <v/>
      </c>
      <c r="S56" s="6">
        <f>Summary!S56*0.05</f>
        <v/>
      </c>
      <c r="T56" s="6">
        <f>Summary!T56*0.05</f>
        <v/>
      </c>
      <c r="U56" s="6">
        <f>Summary!U56*0.05</f>
        <v/>
      </c>
      <c r="V56" s="6">
        <f>Summary!V56*0.05</f>
        <v/>
      </c>
      <c r="W56" s="6">
        <f>Summary!W56*0.05</f>
        <v/>
      </c>
      <c r="X56" s="6">
        <f>Summary!X56*0.05</f>
        <v/>
      </c>
      <c r="Y56" s="6">
        <f>Summary!Y56*0.05</f>
        <v/>
      </c>
      <c r="Z56" s="6">
        <f>Summary!Z56*0.05</f>
        <v/>
      </c>
      <c r="AA56" s="6">
        <f>Summary!AA56*0.05</f>
        <v/>
      </c>
      <c r="AB56" s="6">
        <f>SUM(D56:AA56)</f>
        <v/>
      </c>
      <c r="AC56" s="3" t="inlineStr"/>
      <c r="AD56" s="7">
        <f>D56*0.0029</f>
        <v/>
      </c>
      <c r="AE56" s="7">
        <f>E56*0.0029</f>
        <v/>
      </c>
      <c r="AF56" s="7">
        <f>F56*0.0029</f>
        <v/>
      </c>
      <c r="AG56" s="7">
        <f>G56*0.0029</f>
        <v/>
      </c>
      <c r="AH56" s="7">
        <f>H56*0.0029</f>
        <v/>
      </c>
      <c r="AI56" s="7">
        <f>I56*0.0029</f>
        <v/>
      </c>
      <c r="AJ56" s="7">
        <f>J56*0.0029</f>
        <v/>
      </c>
      <c r="AK56" s="7">
        <f>K56*0.0029</f>
        <v/>
      </c>
      <c r="AL56" s="7">
        <f>L56*0.0029</f>
        <v/>
      </c>
      <c r="AM56" s="7">
        <f>M56*0.0029</f>
        <v/>
      </c>
      <c r="AN56" s="7">
        <f>N56*0.0029</f>
        <v/>
      </c>
      <c r="AO56" s="7">
        <f>O56*0.0029</f>
        <v/>
      </c>
      <c r="AP56" s="7">
        <f>P56*0.0029</f>
        <v/>
      </c>
      <c r="AQ56" s="7">
        <f>Q56*0.0029</f>
        <v/>
      </c>
      <c r="AR56" s="7">
        <f>R56*0.0029</f>
        <v/>
      </c>
      <c r="AS56" s="7">
        <f>S56*0.0029</f>
        <v/>
      </c>
      <c r="AT56" s="7">
        <f>T56*0.0029</f>
        <v/>
      </c>
      <c r="AU56" s="7">
        <f>U56*0.0029</f>
        <v/>
      </c>
      <c r="AV56" s="7">
        <f>V56*0.0029</f>
        <v/>
      </c>
      <c r="AW56" s="7">
        <f>W56*0.0029</f>
        <v/>
      </c>
      <c r="AX56" s="7">
        <f>X56*0.0029</f>
        <v/>
      </c>
      <c r="AY56" s="7">
        <f>Y56*0.0029</f>
        <v/>
      </c>
      <c r="AZ56" s="7">
        <f>Z56*0.0029</f>
        <v/>
      </c>
      <c r="BA56" s="7">
        <f>AA56*0.0029</f>
        <v/>
      </c>
      <c r="BB56" s="7">
        <f>SUM(AD56:BA56)</f>
        <v/>
      </c>
    </row>
    <row r="57">
      <c r="A57" t="inlineStr">
        <is>
          <t>AMD-FWDREG-SSC</t>
        </is>
      </c>
      <c r="B57" t="inlineStr">
        <is>
          <t>Forward Regular OSC</t>
        </is>
      </c>
      <c r="C57" s="5" t="n">
        <v>46104</v>
      </c>
      <c r="D57" s="6">
        <f>Summary!D57*0.05</f>
        <v/>
      </c>
      <c r="E57" s="6">
        <f>Summary!E57*0.05</f>
        <v/>
      </c>
      <c r="F57" s="6">
        <f>Summary!F57*0.05</f>
        <v/>
      </c>
      <c r="G57" s="6">
        <f>Summary!G57*0.05</f>
        <v/>
      </c>
      <c r="H57" s="6">
        <f>Summary!H57*0.05</f>
        <v/>
      </c>
      <c r="I57" s="6">
        <f>Summary!I57*0.05</f>
        <v/>
      </c>
      <c r="J57" s="6">
        <f>Summary!J57*0.05</f>
        <v/>
      </c>
      <c r="K57" s="6">
        <f>Summary!K57*0.05</f>
        <v/>
      </c>
      <c r="L57" s="6">
        <f>Summary!L57*0.05</f>
        <v/>
      </c>
      <c r="M57" s="6">
        <f>Summary!M57*0.05</f>
        <v/>
      </c>
      <c r="N57" s="6">
        <f>Summary!N57*0.05</f>
        <v/>
      </c>
      <c r="O57" s="6">
        <f>Summary!O57*0.05</f>
        <v/>
      </c>
      <c r="P57" s="6">
        <f>Summary!P57*0.05</f>
        <v/>
      </c>
      <c r="Q57" s="6">
        <f>Summary!Q57*0.05</f>
        <v/>
      </c>
      <c r="R57" s="6">
        <f>Summary!R57*0.05</f>
        <v/>
      </c>
      <c r="S57" s="6">
        <f>Summary!S57*0.05</f>
        <v/>
      </c>
      <c r="T57" s="6">
        <f>Summary!T57*0.05</f>
        <v/>
      </c>
      <c r="U57" s="6">
        <f>Summary!U57*0.05</f>
        <v/>
      </c>
      <c r="V57" s="6">
        <f>Summary!V57*0.05</f>
        <v/>
      </c>
      <c r="W57" s="6">
        <f>Summary!W57*0.05</f>
        <v/>
      </c>
      <c r="X57" s="6">
        <f>Summary!X57*0.05</f>
        <v/>
      </c>
      <c r="Y57" s="6">
        <f>Summary!Y57*0.05</f>
        <v/>
      </c>
      <c r="Z57" s="6">
        <f>Summary!Z57*0.05</f>
        <v/>
      </c>
      <c r="AA57" s="6">
        <f>Summary!AA57*0.05</f>
        <v/>
      </c>
      <c r="AB57" s="6">
        <f>SUM(D57:AA57)</f>
        <v/>
      </c>
      <c r="AC57" s="3" t="inlineStr"/>
      <c r="AD57" s="7">
        <f>D57*0.0029</f>
        <v/>
      </c>
      <c r="AE57" s="7">
        <f>E57*0.0029</f>
        <v/>
      </c>
      <c r="AF57" s="7">
        <f>F57*0.0029</f>
        <v/>
      </c>
      <c r="AG57" s="7">
        <f>G57*0.0029</f>
        <v/>
      </c>
      <c r="AH57" s="7">
        <f>H57*0.0029</f>
        <v/>
      </c>
      <c r="AI57" s="7">
        <f>I57*0.0029</f>
        <v/>
      </c>
      <c r="AJ57" s="7">
        <f>J57*0.0029</f>
        <v/>
      </c>
      <c r="AK57" s="7">
        <f>K57*0.0029</f>
        <v/>
      </c>
      <c r="AL57" s="7">
        <f>L57*0.0029</f>
        <v/>
      </c>
      <c r="AM57" s="7">
        <f>M57*0.0029</f>
        <v/>
      </c>
      <c r="AN57" s="7">
        <f>N57*0.0029</f>
        <v/>
      </c>
      <c r="AO57" s="7">
        <f>O57*0.0029</f>
        <v/>
      </c>
      <c r="AP57" s="7">
        <f>P57*0.0029</f>
        <v/>
      </c>
      <c r="AQ57" s="7">
        <f>Q57*0.0029</f>
        <v/>
      </c>
      <c r="AR57" s="7">
        <f>R57*0.0029</f>
        <v/>
      </c>
      <c r="AS57" s="7">
        <f>S57*0.0029</f>
        <v/>
      </c>
      <c r="AT57" s="7">
        <f>T57*0.0029</f>
        <v/>
      </c>
      <c r="AU57" s="7">
        <f>U57*0.0029</f>
        <v/>
      </c>
      <c r="AV57" s="7">
        <f>V57*0.0029</f>
        <v/>
      </c>
      <c r="AW57" s="7">
        <f>W57*0.0029</f>
        <v/>
      </c>
      <c r="AX57" s="7">
        <f>X57*0.0029</f>
        <v/>
      </c>
      <c r="AY57" s="7">
        <f>Y57*0.0029</f>
        <v/>
      </c>
      <c r="AZ57" s="7">
        <f>Z57*0.0029</f>
        <v/>
      </c>
      <c r="BA57" s="7">
        <f>AA57*0.0029</f>
        <v/>
      </c>
      <c r="BB57" s="7">
        <f>SUM(AD57:BA57)</f>
        <v/>
      </c>
    </row>
    <row r="58">
      <c r="A58" t="inlineStr">
        <is>
          <t>AMD-FWDREG-SSC</t>
        </is>
      </c>
      <c r="B58" t="inlineStr">
        <is>
          <t>Forward Regular OSC</t>
        </is>
      </c>
      <c r="C58" s="5" t="n">
        <v>46105</v>
      </c>
      <c r="D58" s="6">
        <f>Summary!D58*0.05</f>
        <v/>
      </c>
      <c r="E58" s="6">
        <f>Summary!E58*0.05</f>
        <v/>
      </c>
      <c r="F58" s="6">
        <f>Summary!F58*0.05</f>
        <v/>
      </c>
      <c r="G58" s="6">
        <f>Summary!G58*0.05</f>
        <v/>
      </c>
      <c r="H58" s="6">
        <f>Summary!H58*0.05</f>
        <v/>
      </c>
      <c r="I58" s="6">
        <f>Summary!I58*0.05</f>
        <v/>
      </c>
      <c r="J58" s="6">
        <f>Summary!J58*0.05</f>
        <v/>
      </c>
      <c r="K58" s="6">
        <f>Summary!K58*0.05</f>
        <v/>
      </c>
      <c r="L58" s="6">
        <f>Summary!L58*0.05</f>
        <v/>
      </c>
      <c r="M58" s="6">
        <f>Summary!M58*0.05</f>
        <v/>
      </c>
      <c r="N58" s="6">
        <f>Summary!N58*0.05</f>
        <v/>
      </c>
      <c r="O58" s="6">
        <f>Summary!O58*0.05</f>
        <v/>
      </c>
      <c r="P58" s="6">
        <f>Summary!P58*0.05</f>
        <v/>
      </c>
      <c r="Q58" s="6">
        <f>Summary!Q58*0.05</f>
        <v/>
      </c>
      <c r="R58" s="6">
        <f>Summary!R58*0.05</f>
        <v/>
      </c>
      <c r="S58" s="6">
        <f>Summary!S58*0.05</f>
        <v/>
      </c>
      <c r="T58" s="6">
        <f>Summary!T58*0.05</f>
        <v/>
      </c>
      <c r="U58" s="6">
        <f>Summary!U58*0.05</f>
        <v/>
      </c>
      <c r="V58" s="6">
        <f>Summary!V58*0.05</f>
        <v/>
      </c>
      <c r="W58" s="6">
        <f>Summary!W58*0.05</f>
        <v/>
      </c>
      <c r="X58" s="6">
        <f>Summary!X58*0.05</f>
        <v/>
      </c>
      <c r="Y58" s="6">
        <f>Summary!Y58*0.05</f>
        <v/>
      </c>
      <c r="Z58" s="6">
        <f>Summary!Z58*0.05</f>
        <v/>
      </c>
      <c r="AA58" s="6">
        <f>Summary!AA58*0.05</f>
        <v/>
      </c>
      <c r="AB58" s="6">
        <f>SUM(D58:AA58)</f>
        <v/>
      </c>
      <c r="AC58" s="3" t="inlineStr"/>
      <c r="AD58" s="7">
        <f>D58*0.0029</f>
        <v/>
      </c>
      <c r="AE58" s="7">
        <f>E58*0.0029</f>
        <v/>
      </c>
      <c r="AF58" s="7">
        <f>F58*0.0029</f>
        <v/>
      </c>
      <c r="AG58" s="7">
        <f>G58*0.0029</f>
        <v/>
      </c>
      <c r="AH58" s="7">
        <f>H58*0.0029</f>
        <v/>
      </c>
      <c r="AI58" s="7">
        <f>I58*0.0029</f>
        <v/>
      </c>
      <c r="AJ58" s="7">
        <f>J58*0.0029</f>
        <v/>
      </c>
      <c r="AK58" s="7">
        <f>K58*0.0029</f>
        <v/>
      </c>
      <c r="AL58" s="7">
        <f>L58*0.0029</f>
        <v/>
      </c>
      <c r="AM58" s="7">
        <f>M58*0.0029</f>
        <v/>
      </c>
      <c r="AN58" s="7">
        <f>N58*0.0029</f>
        <v/>
      </c>
      <c r="AO58" s="7">
        <f>O58*0.0029</f>
        <v/>
      </c>
      <c r="AP58" s="7">
        <f>P58*0.0029</f>
        <v/>
      </c>
      <c r="AQ58" s="7">
        <f>Q58*0.0029</f>
        <v/>
      </c>
      <c r="AR58" s="7">
        <f>R58*0.0029</f>
        <v/>
      </c>
      <c r="AS58" s="7">
        <f>S58*0.0029</f>
        <v/>
      </c>
      <c r="AT58" s="7">
        <f>T58*0.0029</f>
        <v/>
      </c>
      <c r="AU58" s="7">
        <f>U58*0.0029</f>
        <v/>
      </c>
      <c r="AV58" s="7">
        <f>V58*0.0029</f>
        <v/>
      </c>
      <c r="AW58" s="7">
        <f>W58*0.0029</f>
        <v/>
      </c>
      <c r="AX58" s="7">
        <f>X58*0.0029</f>
        <v/>
      </c>
      <c r="AY58" s="7">
        <f>Y58*0.0029</f>
        <v/>
      </c>
      <c r="AZ58" s="7">
        <f>Z58*0.0029</f>
        <v/>
      </c>
      <c r="BA58" s="7">
        <f>AA58*0.0029</f>
        <v/>
      </c>
      <c r="BB58" s="7">
        <f>SUM(AD58:BA58)</f>
        <v/>
      </c>
    </row>
    <row r="59">
      <c r="A59" t="inlineStr">
        <is>
          <t>AMD-INTRA-SSC</t>
        </is>
      </c>
      <c r="B59" t="inlineStr">
        <is>
          <t>Forward Regular OSC</t>
        </is>
      </c>
      <c r="C59" s="5" t="n">
        <v>46098</v>
      </c>
      <c r="D59" s="6">
        <f>Summary!D59*0.05</f>
        <v/>
      </c>
      <c r="E59" s="6">
        <f>Summary!E59*0.05</f>
        <v/>
      </c>
      <c r="F59" s="6">
        <f>Summary!F59*0.05</f>
        <v/>
      </c>
      <c r="G59" s="6">
        <f>Summary!G59*0.05</f>
        <v/>
      </c>
      <c r="H59" s="6">
        <f>Summary!H59*0.05</f>
        <v/>
      </c>
      <c r="I59" s="6">
        <f>Summary!I59*0.05</f>
        <v/>
      </c>
      <c r="J59" s="6">
        <f>Summary!J59*0.05</f>
        <v/>
      </c>
      <c r="K59" s="6">
        <f>Summary!K59*0.05</f>
        <v/>
      </c>
      <c r="L59" s="6">
        <f>Summary!L59*0.05</f>
        <v/>
      </c>
      <c r="M59" s="6">
        <f>Summary!M59*0.05</f>
        <v/>
      </c>
      <c r="N59" s="6">
        <f>Summary!N59*0.05</f>
        <v/>
      </c>
      <c r="O59" s="6">
        <f>Summary!O59*0.05</f>
        <v/>
      </c>
      <c r="P59" s="6">
        <f>Summary!P59*0.05</f>
        <v/>
      </c>
      <c r="Q59" s="6">
        <f>Summary!Q59*0.05</f>
        <v/>
      </c>
      <c r="R59" s="6">
        <f>Summary!R59*0.05</f>
        <v/>
      </c>
      <c r="S59" s="6">
        <f>Summary!S59*0.05</f>
        <v/>
      </c>
      <c r="T59" s="6">
        <f>Summary!T59*0.05</f>
        <v/>
      </c>
      <c r="U59" s="6">
        <f>Summary!U59*0.05</f>
        <v/>
      </c>
      <c r="V59" s="6">
        <f>Summary!V59*0.05</f>
        <v/>
      </c>
      <c r="W59" s="6">
        <f>Summary!W59*0.05</f>
        <v/>
      </c>
      <c r="X59" s="6">
        <f>Summary!X59*0.05</f>
        <v/>
      </c>
      <c r="Y59" s="6">
        <f>Summary!Y59*0.05</f>
        <v/>
      </c>
      <c r="Z59" s="6">
        <f>Summary!Z59*0.05</f>
        <v/>
      </c>
      <c r="AA59" s="6">
        <f>Summary!AA59*0.05</f>
        <v/>
      </c>
      <c r="AB59" s="6">
        <f>SUM(D59:AA59)</f>
        <v/>
      </c>
      <c r="AC59" s="3" t="inlineStr"/>
      <c r="AD59" s="7">
        <f>D59*0.0029</f>
        <v/>
      </c>
      <c r="AE59" s="7">
        <f>E59*0.0029</f>
        <v/>
      </c>
      <c r="AF59" s="7">
        <f>F59*0.0029</f>
        <v/>
      </c>
      <c r="AG59" s="7">
        <f>G59*0.0029</f>
        <v/>
      </c>
      <c r="AH59" s="7">
        <f>H59*0.0029</f>
        <v/>
      </c>
      <c r="AI59" s="7">
        <f>I59*0.0029</f>
        <v/>
      </c>
      <c r="AJ59" s="7">
        <f>J59*0.0029</f>
        <v/>
      </c>
      <c r="AK59" s="7">
        <f>K59*0.0029</f>
        <v/>
      </c>
      <c r="AL59" s="7">
        <f>L59*0.0029</f>
        <v/>
      </c>
      <c r="AM59" s="7">
        <f>M59*0.0029</f>
        <v/>
      </c>
      <c r="AN59" s="7">
        <f>N59*0.0029</f>
        <v/>
      </c>
      <c r="AO59" s="7">
        <f>O59*0.0029</f>
        <v/>
      </c>
      <c r="AP59" s="7">
        <f>P59*0.0029</f>
        <v/>
      </c>
      <c r="AQ59" s="7">
        <f>Q59*0.0029</f>
        <v/>
      </c>
      <c r="AR59" s="7">
        <f>R59*0.0029</f>
        <v/>
      </c>
      <c r="AS59" s="7">
        <f>S59*0.0029</f>
        <v/>
      </c>
      <c r="AT59" s="7">
        <f>T59*0.0029</f>
        <v/>
      </c>
      <c r="AU59" s="7">
        <f>U59*0.0029</f>
        <v/>
      </c>
      <c r="AV59" s="7">
        <f>V59*0.0029</f>
        <v/>
      </c>
      <c r="AW59" s="7">
        <f>W59*0.0029</f>
        <v/>
      </c>
      <c r="AX59" s="7">
        <f>X59*0.0029</f>
        <v/>
      </c>
      <c r="AY59" s="7">
        <f>Y59*0.0029</f>
        <v/>
      </c>
      <c r="AZ59" s="7">
        <f>Z59*0.0029</f>
        <v/>
      </c>
      <c r="BA59" s="7">
        <f>AA59*0.0029</f>
        <v/>
      </c>
      <c r="BB59" s="7">
        <f>SUM(AD59:BA59)</f>
        <v/>
      </c>
    </row>
    <row r="60">
      <c r="A60" t="inlineStr">
        <is>
          <t>AMD-INTRA-SSC</t>
        </is>
      </c>
      <c r="B60" t="inlineStr">
        <is>
          <t>Forward Regular OSC</t>
        </is>
      </c>
      <c r="C60" s="5" t="n">
        <v>46099</v>
      </c>
      <c r="D60" s="6">
        <f>Summary!D60*0.05</f>
        <v/>
      </c>
      <c r="E60" s="6">
        <f>Summary!E60*0.05</f>
        <v/>
      </c>
      <c r="F60" s="6">
        <f>Summary!F60*0.05</f>
        <v/>
      </c>
      <c r="G60" s="6">
        <f>Summary!G60*0.05</f>
        <v/>
      </c>
      <c r="H60" s="6">
        <f>Summary!H60*0.05</f>
        <v/>
      </c>
      <c r="I60" s="6">
        <f>Summary!I60*0.05</f>
        <v/>
      </c>
      <c r="J60" s="6">
        <f>Summary!J60*0.05</f>
        <v/>
      </c>
      <c r="K60" s="6">
        <f>Summary!K60*0.05</f>
        <v/>
      </c>
      <c r="L60" s="6">
        <f>Summary!L60*0.05</f>
        <v/>
      </c>
      <c r="M60" s="6">
        <f>Summary!M60*0.05</f>
        <v/>
      </c>
      <c r="N60" s="6">
        <f>Summary!N60*0.05</f>
        <v/>
      </c>
      <c r="O60" s="6">
        <f>Summary!O60*0.05</f>
        <v/>
      </c>
      <c r="P60" s="6">
        <f>Summary!P60*0.05</f>
        <v/>
      </c>
      <c r="Q60" s="6">
        <f>Summary!Q60*0.05</f>
        <v/>
      </c>
      <c r="R60" s="6">
        <f>Summary!R60*0.05</f>
        <v/>
      </c>
      <c r="S60" s="6">
        <f>Summary!S60*0.05</f>
        <v/>
      </c>
      <c r="T60" s="6">
        <f>Summary!T60*0.05</f>
        <v/>
      </c>
      <c r="U60" s="6">
        <f>Summary!U60*0.05</f>
        <v/>
      </c>
      <c r="V60" s="6">
        <f>Summary!V60*0.05</f>
        <v/>
      </c>
      <c r="W60" s="6">
        <f>Summary!W60*0.05</f>
        <v/>
      </c>
      <c r="X60" s="6">
        <f>Summary!X60*0.05</f>
        <v/>
      </c>
      <c r="Y60" s="6">
        <f>Summary!Y60*0.05</f>
        <v/>
      </c>
      <c r="Z60" s="6">
        <f>Summary!Z60*0.05</f>
        <v/>
      </c>
      <c r="AA60" s="6">
        <f>Summary!AA60*0.05</f>
        <v/>
      </c>
      <c r="AB60" s="6">
        <f>SUM(D60:AA60)</f>
        <v/>
      </c>
      <c r="AC60" s="3" t="inlineStr"/>
      <c r="AD60" s="7">
        <f>D60*0.0029</f>
        <v/>
      </c>
      <c r="AE60" s="7">
        <f>E60*0.0029</f>
        <v/>
      </c>
      <c r="AF60" s="7">
        <f>F60*0.0029</f>
        <v/>
      </c>
      <c r="AG60" s="7">
        <f>G60*0.0029</f>
        <v/>
      </c>
      <c r="AH60" s="7">
        <f>H60*0.0029</f>
        <v/>
      </c>
      <c r="AI60" s="7">
        <f>I60*0.0029</f>
        <v/>
      </c>
      <c r="AJ60" s="7">
        <f>J60*0.0029</f>
        <v/>
      </c>
      <c r="AK60" s="7">
        <f>K60*0.0029</f>
        <v/>
      </c>
      <c r="AL60" s="7">
        <f>L60*0.0029</f>
        <v/>
      </c>
      <c r="AM60" s="7">
        <f>M60*0.0029</f>
        <v/>
      </c>
      <c r="AN60" s="7">
        <f>N60*0.0029</f>
        <v/>
      </c>
      <c r="AO60" s="7">
        <f>O60*0.0029</f>
        <v/>
      </c>
      <c r="AP60" s="7">
        <f>P60*0.0029</f>
        <v/>
      </c>
      <c r="AQ60" s="7">
        <f>Q60*0.0029</f>
        <v/>
      </c>
      <c r="AR60" s="7">
        <f>R60*0.0029</f>
        <v/>
      </c>
      <c r="AS60" s="7">
        <f>S60*0.0029</f>
        <v/>
      </c>
      <c r="AT60" s="7">
        <f>T60*0.0029</f>
        <v/>
      </c>
      <c r="AU60" s="7">
        <f>U60*0.0029</f>
        <v/>
      </c>
      <c r="AV60" s="7">
        <f>V60*0.0029</f>
        <v/>
      </c>
      <c r="AW60" s="7">
        <f>W60*0.0029</f>
        <v/>
      </c>
      <c r="AX60" s="7">
        <f>X60*0.0029</f>
        <v/>
      </c>
      <c r="AY60" s="7">
        <f>Y60*0.0029</f>
        <v/>
      </c>
      <c r="AZ60" s="7">
        <f>Z60*0.0029</f>
        <v/>
      </c>
      <c r="BA60" s="7">
        <f>AA60*0.0029</f>
        <v/>
      </c>
      <c r="BB60" s="7">
        <f>SUM(AD60:BA60)</f>
        <v/>
      </c>
    </row>
    <row r="61">
      <c r="A61" t="inlineStr">
        <is>
          <t>AMD-INTRA-SSC</t>
        </is>
      </c>
      <c r="B61" t="inlineStr">
        <is>
          <t>Forward Regular OSC</t>
        </is>
      </c>
      <c r="C61" s="5" t="n">
        <v>46100</v>
      </c>
      <c r="D61" s="6">
        <f>Summary!D61*0.05</f>
        <v/>
      </c>
      <c r="E61" s="6">
        <f>Summary!E61*0.05</f>
        <v/>
      </c>
      <c r="F61" s="6">
        <f>Summary!F61*0.05</f>
        <v/>
      </c>
      <c r="G61" s="6">
        <f>Summary!G61*0.05</f>
        <v/>
      </c>
      <c r="H61" s="6">
        <f>Summary!H61*0.05</f>
        <v/>
      </c>
      <c r="I61" s="6">
        <f>Summary!I61*0.05</f>
        <v/>
      </c>
      <c r="J61" s="6">
        <f>Summary!J61*0.05</f>
        <v/>
      </c>
      <c r="K61" s="6">
        <f>Summary!K61*0.05</f>
        <v/>
      </c>
      <c r="L61" s="6">
        <f>Summary!L61*0.05</f>
        <v/>
      </c>
      <c r="M61" s="6">
        <f>Summary!M61*0.05</f>
        <v/>
      </c>
      <c r="N61" s="6">
        <f>Summary!N61*0.05</f>
        <v/>
      </c>
      <c r="O61" s="6">
        <f>Summary!O61*0.05</f>
        <v/>
      </c>
      <c r="P61" s="6">
        <f>Summary!P61*0.05</f>
        <v/>
      </c>
      <c r="Q61" s="6">
        <f>Summary!Q61*0.05</f>
        <v/>
      </c>
      <c r="R61" s="6">
        <f>Summary!R61*0.05</f>
        <v/>
      </c>
      <c r="S61" s="6">
        <f>Summary!S61*0.05</f>
        <v/>
      </c>
      <c r="T61" s="6">
        <f>Summary!T61*0.05</f>
        <v/>
      </c>
      <c r="U61" s="6">
        <f>Summary!U61*0.05</f>
        <v/>
      </c>
      <c r="V61" s="6">
        <f>Summary!V61*0.05</f>
        <v/>
      </c>
      <c r="W61" s="6">
        <f>Summary!W61*0.05</f>
        <v/>
      </c>
      <c r="X61" s="6">
        <f>Summary!X61*0.05</f>
        <v/>
      </c>
      <c r="Y61" s="6">
        <f>Summary!Y61*0.05</f>
        <v/>
      </c>
      <c r="Z61" s="6">
        <f>Summary!Z61*0.05</f>
        <v/>
      </c>
      <c r="AA61" s="6">
        <f>Summary!AA61*0.05</f>
        <v/>
      </c>
      <c r="AB61" s="6">
        <f>SUM(D61:AA61)</f>
        <v/>
      </c>
      <c r="AC61" s="3" t="inlineStr"/>
      <c r="AD61" s="7">
        <f>D61*0.0029</f>
        <v/>
      </c>
      <c r="AE61" s="7">
        <f>E61*0.0029</f>
        <v/>
      </c>
      <c r="AF61" s="7">
        <f>F61*0.0029</f>
        <v/>
      </c>
      <c r="AG61" s="7">
        <f>G61*0.0029</f>
        <v/>
      </c>
      <c r="AH61" s="7">
        <f>H61*0.0029</f>
        <v/>
      </c>
      <c r="AI61" s="7">
        <f>I61*0.0029</f>
        <v/>
      </c>
      <c r="AJ61" s="7">
        <f>J61*0.0029</f>
        <v/>
      </c>
      <c r="AK61" s="7">
        <f>K61*0.0029</f>
        <v/>
      </c>
      <c r="AL61" s="7">
        <f>L61*0.0029</f>
        <v/>
      </c>
      <c r="AM61" s="7">
        <f>M61*0.0029</f>
        <v/>
      </c>
      <c r="AN61" s="7">
        <f>N61*0.0029</f>
        <v/>
      </c>
      <c r="AO61" s="7">
        <f>O61*0.0029</f>
        <v/>
      </c>
      <c r="AP61" s="7">
        <f>P61*0.0029</f>
        <v/>
      </c>
      <c r="AQ61" s="7">
        <f>Q61*0.0029</f>
        <v/>
      </c>
      <c r="AR61" s="7">
        <f>R61*0.0029</f>
        <v/>
      </c>
      <c r="AS61" s="7">
        <f>S61*0.0029</f>
        <v/>
      </c>
      <c r="AT61" s="7">
        <f>T61*0.0029</f>
        <v/>
      </c>
      <c r="AU61" s="7">
        <f>U61*0.0029</f>
        <v/>
      </c>
      <c r="AV61" s="7">
        <f>V61*0.0029</f>
        <v/>
      </c>
      <c r="AW61" s="7">
        <f>W61*0.0029</f>
        <v/>
      </c>
      <c r="AX61" s="7">
        <f>X61*0.0029</f>
        <v/>
      </c>
      <c r="AY61" s="7">
        <f>Y61*0.0029</f>
        <v/>
      </c>
      <c r="AZ61" s="7">
        <f>Z61*0.0029</f>
        <v/>
      </c>
      <c r="BA61" s="7">
        <f>AA61*0.0029</f>
        <v/>
      </c>
      <c r="BB61" s="7">
        <f>SUM(AD61:BA61)</f>
        <v/>
      </c>
    </row>
    <row r="62">
      <c r="A62" t="inlineStr">
        <is>
          <t>AMD-INTRA-SSC</t>
        </is>
      </c>
      <c r="B62" t="inlineStr">
        <is>
          <t>Forward Regular OSC</t>
        </is>
      </c>
      <c r="C62" s="5" t="n">
        <v>46101</v>
      </c>
      <c r="D62" s="6">
        <f>Summary!D62*0.05</f>
        <v/>
      </c>
      <c r="E62" s="6">
        <f>Summary!E62*0.05</f>
        <v/>
      </c>
      <c r="F62" s="6">
        <f>Summary!F62*0.05</f>
        <v/>
      </c>
      <c r="G62" s="6">
        <f>Summary!G62*0.05</f>
        <v/>
      </c>
      <c r="H62" s="6">
        <f>Summary!H62*0.05</f>
        <v/>
      </c>
      <c r="I62" s="6">
        <f>Summary!I62*0.05</f>
        <v/>
      </c>
      <c r="J62" s="6">
        <f>Summary!J62*0.05</f>
        <v/>
      </c>
      <c r="K62" s="6">
        <f>Summary!K62*0.05</f>
        <v/>
      </c>
      <c r="L62" s="6">
        <f>Summary!L62*0.05</f>
        <v/>
      </c>
      <c r="M62" s="6">
        <f>Summary!M62*0.05</f>
        <v/>
      </c>
      <c r="N62" s="6">
        <f>Summary!N62*0.05</f>
        <v/>
      </c>
      <c r="O62" s="6">
        <f>Summary!O62*0.05</f>
        <v/>
      </c>
      <c r="P62" s="6">
        <f>Summary!P62*0.05</f>
        <v/>
      </c>
      <c r="Q62" s="6">
        <f>Summary!Q62*0.05</f>
        <v/>
      </c>
      <c r="R62" s="6">
        <f>Summary!R62*0.05</f>
        <v/>
      </c>
      <c r="S62" s="6">
        <f>Summary!S62*0.05</f>
        <v/>
      </c>
      <c r="T62" s="6">
        <f>Summary!T62*0.05</f>
        <v/>
      </c>
      <c r="U62" s="6">
        <f>Summary!U62*0.05</f>
        <v/>
      </c>
      <c r="V62" s="6">
        <f>Summary!V62*0.05</f>
        <v/>
      </c>
      <c r="W62" s="6">
        <f>Summary!W62*0.05</f>
        <v/>
      </c>
      <c r="X62" s="6">
        <f>Summary!X62*0.05</f>
        <v/>
      </c>
      <c r="Y62" s="6">
        <f>Summary!Y62*0.05</f>
        <v/>
      </c>
      <c r="Z62" s="6">
        <f>Summary!Z62*0.05</f>
        <v/>
      </c>
      <c r="AA62" s="6">
        <f>Summary!AA62*0.05</f>
        <v/>
      </c>
      <c r="AB62" s="6">
        <f>SUM(D62:AA62)</f>
        <v/>
      </c>
      <c r="AC62" s="3" t="inlineStr"/>
      <c r="AD62" s="7">
        <f>D62*0.0029</f>
        <v/>
      </c>
      <c r="AE62" s="7">
        <f>E62*0.0029</f>
        <v/>
      </c>
      <c r="AF62" s="7">
        <f>F62*0.0029</f>
        <v/>
      </c>
      <c r="AG62" s="7">
        <f>G62*0.0029</f>
        <v/>
      </c>
      <c r="AH62" s="7">
        <f>H62*0.0029</f>
        <v/>
      </c>
      <c r="AI62" s="7">
        <f>I62*0.0029</f>
        <v/>
      </c>
      <c r="AJ62" s="7">
        <f>J62*0.0029</f>
        <v/>
      </c>
      <c r="AK62" s="7">
        <f>K62*0.0029</f>
        <v/>
      </c>
      <c r="AL62" s="7">
        <f>L62*0.0029</f>
        <v/>
      </c>
      <c r="AM62" s="7">
        <f>M62*0.0029</f>
        <v/>
      </c>
      <c r="AN62" s="7">
        <f>N62*0.0029</f>
        <v/>
      </c>
      <c r="AO62" s="7">
        <f>O62*0.0029</f>
        <v/>
      </c>
      <c r="AP62" s="7">
        <f>P62*0.0029</f>
        <v/>
      </c>
      <c r="AQ62" s="7">
        <f>Q62*0.0029</f>
        <v/>
      </c>
      <c r="AR62" s="7">
        <f>R62*0.0029</f>
        <v/>
      </c>
      <c r="AS62" s="7">
        <f>S62*0.0029</f>
        <v/>
      </c>
      <c r="AT62" s="7">
        <f>T62*0.0029</f>
        <v/>
      </c>
      <c r="AU62" s="7">
        <f>U62*0.0029</f>
        <v/>
      </c>
      <c r="AV62" s="7">
        <f>V62*0.0029</f>
        <v/>
      </c>
      <c r="AW62" s="7">
        <f>W62*0.0029</f>
        <v/>
      </c>
      <c r="AX62" s="7">
        <f>X62*0.0029</f>
        <v/>
      </c>
      <c r="AY62" s="7">
        <f>Y62*0.0029</f>
        <v/>
      </c>
      <c r="AZ62" s="7">
        <f>Z62*0.0029</f>
        <v/>
      </c>
      <c r="BA62" s="7">
        <f>AA62*0.0029</f>
        <v/>
      </c>
      <c r="BB62" s="7">
        <f>SUM(AD62:BA62)</f>
        <v/>
      </c>
    </row>
    <row r="63">
      <c r="A63" t="inlineStr">
        <is>
          <t>AMD-INTRA-SSC</t>
        </is>
      </c>
      <c r="B63" t="inlineStr">
        <is>
          <t>Forward Regular OSC</t>
        </is>
      </c>
      <c r="C63" s="5" t="n">
        <v>46102</v>
      </c>
      <c r="D63" s="6">
        <f>Summary!D63*0.05</f>
        <v/>
      </c>
      <c r="E63" s="6">
        <f>Summary!E63*0.05</f>
        <v/>
      </c>
      <c r="F63" s="6">
        <f>Summary!F63*0.05</f>
        <v/>
      </c>
      <c r="G63" s="6">
        <f>Summary!G63*0.05</f>
        <v/>
      </c>
      <c r="H63" s="6">
        <f>Summary!H63*0.05</f>
        <v/>
      </c>
      <c r="I63" s="6">
        <f>Summary!I63*0.05</f>
        <v/>
      </c>
      <c r="J63" s="6">
        <f>Summary!J63*0.05</f>
        <v/>
      </c>
      <c r="K63" s="6">
        <f>Summary!K63*0.05</f>
        <v/>
      </c>
      <c r="L63" s="6">
        <f>Summary!L63*0.05</f>
        <v/>
      </c>
      <c r="M63" s="6">
        <f>Summary!M63*0.05</f>
        <v/>
      </c>
      <c r="N63" s="6">
        <f>Summary!N63*0.05</f>
        <v/>
      </c>
      <c r="O63" s="6">
        <f>Summary!O63*0.05</f>
        <v/>
      </c>
      <c r="P63" s="6">
        <f>Summary!P63*0.05</f>
        <v/>
      </c>
      <c r="Q63" s="6">
        <f>Summary!Q63*0.05</f>
        <v/>
      </c>
      <c r="R63" s="6">
        <f>Summary!R63*0.05</f>
        <v/>
      </c>
      <c r="S63" s="6">
        <f>Summary!S63*0.05</f>
        <v/>
      </c>
      <c r="T63" s="6">
        <f>Summary!T63*0.05</f>
        <v/>
      </c>
      <c r="U63" s="6">
        <f>Summary!U63*0.05</f>
        <v/>
      </c>
      <c r="V63" s="6">
        <f>Summary!V63*0.05</f>
        <v/>
      </c>
      <c r="W63" s="6">
        <f>Summary!W63*0.05</f>
        <v/>
      </c>
      <c r="X63" s="6">
        <f>Summary!X63*0.05</f>
        <v/>
      </c>
      <c r="Y63" s="6">
        <f>Summary!Y63*0.05</f>
        <v/>
      </c>
      <c r="Z63" s="6">
        <f>Summary!Z63*0.05</f>
        <v/>
      </c>
      <c r="AA63" s="6">
        <f>Summary!AA63*0.05</f>
        <v/>
      </c>
      <c r="AB63" s="6">
        <f>SUM(D63:AA63)</f>
        <v/>
      </c>
      <c r="AC63" s="3" t="inlineStr"/>
      <c r="AD63" s="7">
        <f>D63*0.0029</f>
        <v/>
      </c>
      <c r="AE63" s="7">
        <f>E63*0.0029</f>
        <v/>
      </c>
      <c r="AF63" s="7">
        <f>F63*0.0029</f>
        <v/>
      </c>
      <c r="AG63" s="7">
        <f>G63*0.0029</f>
        <v/>
      </c>
      <c r="AH63" s="7">
        <f>H63*0.0029</f>
        <v/>
      </c>
      <c r="AI63" s="7">
        <f>I63*0.0029</f>
        <v/>
      </c>
      <c r="AJ63" s="7">
        <f>J63*0.0029</f>
        <v/>
      </c>
      <c r="AK63" s="7">
        <f>K63*0.0029</f>
        <v/>
      </c>
      <c r="AL63" s="7">
        <f>L63*0.0029</f>
        <v/>
      </c>
      <c r="AM63" s="7">
        <f>M63*0.0029</f>
        <v/>
      </c>
      <c r="AN63" s="7">
        <f>N63*0.0029</f>
        <v/>
      </c>
      <c r="AO63" s="7">
        <f>O63*0.0029</f>
        <v/>
      </c>
      <c r="AP63" s="7">
        <f>P63*0.0029</f>
        <v/>
      </c>
      <c r="AQ63" s="7">
        <f>Q63*0.0029</f>
        <v/>
      </c>
      <c r="AR63" s="7">
        <f>R63*0.0029</f>
        <v/>
      </c>
      <c r="AS63" s="7">
        <f>S63*0.0029</f>
        <v/>
      </c>
      <c r="AT63" s="7">
        <f>T63*0.0029</f>
        <v/>
      </c>
      <c r="AU63" s="7">
        <f>U63*0.0029</f>
        <v/>
      </c>
      <c r="AV63" s="7">
        <f>V63*0.0029</f>
        <v/>
      </c>
      <c r="AW63" s="7">
        <f>W63*0.0029</f>
        <v/>
      </c>
      <c r="AX63" s="7">
        <f>X63*0.0029</f>
        <v/>
      </c>
      <c r="AY63" s="7">
        <f>Y63*0.0029</f>
        <v/>
      </c>
      <c r="AZ63" s="7">
        <f>Z63*0.0029</f>
        <v/>
      </c>
      <c r="BA63" s="7">
        <f>AA63*0.0029</f>
        <v/>
      </c>
      <c r="BB63" s="7">
        <f>SUM(AD63:BA63)</f>
        <v/>
      </c>
    </row>
    <row r="64">
      <c r="A64" t="inlineStr">
        <is>
          <t>AMD-INTRA-SSC</t>
        </is>
      </c>
      <c r="B64" t="inlineStr">
        <is>
          <t>Forward Regular OSC</t>
        </is>
      </c>
      <c r="C64" s="5" t="n">
        <v>46103</v>
      </c>
      <c r="D64" s="6">
        <f>Summary!D64*0.05</f>
        <v/>
      </c>
      <c r="E64" s="6">
        <f>Summary!E64*0.05</f>
        <v/>
      </c>
      <c r="F64" s="6">
        <f>Summary!F64*0.05</f>
        <v/>
      </c>
      <c r="G64" s="6">
        <f>Summary!G64*0.05</f>
        <v/>
      </c>
      <c r="H64" s="6">
        <f>Summary!H64*0.05</f>
        <v/>
      </c>
      <c r="I64" s="6">
        <f>Summary!I64*0.05</f>
        <v/>
      </c>
      <c r="J64" s="6">
        <f>Summary!J64*0.05</f>
        <v/>
      </c>
      <c r="K64" s="6">
        <f>Summary!K64*0.05</f>
        <v/>
      </c>
      <c r="L64" s="6">
        <f>Summary!L64*0.05</f>
        <v/>
      </c>
      <c r="M64" s="6">
        <f>Summary!M64*0.05</f>
        <v/>
      </c>
      <c r="N64" s="6">
        <f>Summary!N64*0.05</f>
        <v/>
      </c>
      <c r="O64" s="6">
        <f>Summary!O64*0.05</f>
        <v/>
      </c>
      <c r="P64" s="6">
        <f>Summary!P64*0.05</f>
        <v/>
      </c>
      <c r="Q64" s="6">
        <f>Summary!Q64*0.05</f>
        <v/>
      </c>
      <c r="R64" s="6">
        <f>Summary!R64*0.05</f>
        <v/>
      </c>
      <c r="S64" s="6">
        <f>Summary!S64*0.05</f>
        <v/>
      </c>
      <c r="T64" s="6">
        <f>Summary!T64*0.05</f>
        <v/>
      </c>
      <c r="U64" s="6">
        <f>Summary!U64*0.05</f>
        <v/>
      </c>
      <c r="V64" s="6">
        <f>Summary!V64*0.05</f>
        <v/>
      </c>
      <c r="W64" s="6">
        <f>Summary!W64*0.05</f>
        <v/>
      </c>
      <c r="X64" s="6">
        <f>Summary!X64*0.05</f>
        <v/>
      </c>
      <c r="Y64" s="6">
        <f>Summary!Y64*0.05</f>
        <v/>
      </c>
      <c r="Z64" s="6">
        <f>Summary!Z64*0.05</f>
        <v/>
      </c>
      <c r="AA64" s="6">
        <f>Summary!AA64*0.05</f>
        <v/>
      </c>
      <c r="AB64" s="6">
        <f>SUM(D64:AA64)</f>
        <v/>
      </c>
      <c r="AC64" s="3" t="inlineStr"/>
      <c r="AD64" s="7">
        <f>D64*0.0029</f>
        <v/>
      </c>
      <c r="AE64" s="7">
        <f>E64*0.0029</f>
        <v/>
      </c>
      <c r="AF64" s="7">
        <f>F64*0.0029</f>
        <v/>
      </c>
      <c r="AG64" s="7">
        <f>G64*0.0029</f>
        <v/>
      </c>
      <c r="AH64" s="7">
        <f>H64*0.0029</f>
        <v/>
      </c>
      <c r="AI64" s="7">
        <f>I64*0.0029</f>
        <v/>
      </c>
      <c r="AJ64" s="7">
        <f>J64*0.0029</f>
        <v/>
      </c>
      <c r="AK64" s="7">
        <f>K64*0.0029</f>
        <v/>
      </c>
      <c r="AL64" s="7">
        <f>L64*0.0029</f>
        <v/>
      </c>
      <c r="AM64" s="7">
        <f>M64*0.0029</f>
        <v/>
      </c>
      <c r="AN64" s="7">
        <f>N64*0.0029</f>
        <v/>
      </c>
      <c r="AO64" s="7">
        <f>O64*0.0029</f>
        <v/>
      </c>
      <c r="AP64" s="7">
        <f>P64*0.0029</f>
        <v/>
      </c>
      <c r="AQ64" s="7">
        <f>Q64*0.0029</f>
        <v/>
      </c>
      <c r="AR64" s="7">
        <f>R64*0.0029</f>
        <v/>
      </c>
      <c r="AS64" s="7">
        <f>S64*0.0029</f>
        <v/>
      </c>
      <c r="AT64" s="7">
        <f>T64*0.0029</f>
        <v/>
      </c>
      <c r="AU64" s="7">
        <f>U64*0.0029</f>
        <v/>
      </c>
      <c r="AV64" s="7">
        <f>V64*0.0029</f>
        <v/>
      </c>
      <c r="AW64" s="7">
        <f>W64*0.0029</f>
        <v/>
      </c>
      <c r="AX64" s="7">
        <f>X64*0.0029</f>
        <v/>
      </c>
      <c r="AY64" s="7">
        <f>Y64*0.0029</f>
        <v/>
      </c>
      <c r="AZ64" s="7">
        <f>Z64*0.0029</f>
        <v/>
      </c>
      <c r="BA64" s="7">
        <f>AA64*0.0029</f>
        <v/>
      </c>
      <c r="BB64" s="7">
        <f>SUM(AD64:BA64)</f>
        <v/>
      </c>
    </row>
    <row r="65">
      <c r="A65" t="inlineStr">
        <is>
          <t>AMD-INTRA-SSC</t>
        </is>
      </c>
      <c r="B65" t="inlineStr">
        <is>
          <t>Forward Regular OSC</t>
        </is>
      </c>
      <c r="C65" s="5" t="n">
        <v>46104</v>
      </c>
      <c r="D65" s="6">
        <f>Summary!D65*0.05</f>
        <v/>
      </c>
      <c r="E65" s="6">
        <f>Summary!E65*0.05</f>
        <v/>
      </c>
      <c r="F65" s="6">
        <f>Summary!F65*0.05</f>
        <v/>
      </c>
      <c r="G65" s="6">
        <f>Summary!G65*0.05</f>
        <v/>
      </c>
      <c r="H65" s="6">
        <f>Summary!H65*0.05</f>
        <v/>
      </c>
      <c r="I65" s="6">
        <f>Summary!I65*0.05</f>
        <v/>
      </c>
      <c r="J65" s="6">
        <f>Summary!J65*0.05</f>
        <v/>
      </c>
      <c r="K65" s="6">
        <f>Summary!K65*0.05</f>
        <v/>
      </c>
      <c r="L65" s="6">
        <f>Summary!L65*0.05</f>
        <v/>
      </c>
      <c r="M65" s="6">
        <f>Summary!M65*0.05</f>
        <v/>
      </c>
      <c r="N65" s="6">
        <f>Summary!N65*0.05</f>
        <v/>
      </c>
      <c r="O65" s="6">
        <f>Summary!O65*0.05</f>
        <v/>
      </c>
      <c r="P65" s="6">
        <f>Summary!P65*0.05</f>
        <v/>
      </c>
      <c r="Q65" s="6">
        <f>Summary!Q65*0.05</f>
        <v/>
      </c>
      <c r="R65" s="6">
        <f>Summary!R65*0.05</f>
        <v/>
      </c>
      <c r="S65" s="6">
        <f>Summary!S65*0.05</f>
        <v/>
      </c>
      <c r="T65" s="6">
        <f>Summary!T65*0.05</f>
        <v/>
      </c>
      <c r="U65" s="6">
        <f>Summary!U65*0.05</f>
        <v/>
      </c>
      <c r="V65" s="6">
        <f>Summary!V65*0.05</f>
        <v/>
      </c>
      <c r="W65" s="6">
        <f>Summary!W65*0.05</f>
        <v/>
      </c>
      <c r="X65" s="6">
        <f>Summary!X65*0.05</f>
        <v/>
      </c>
      <c r="Y65" s="6">
        <f>Summary!Y65*0.05</f>
        <v/>
      </c>
      <c r="Z65" s="6">
        <f>Summary!Z65*0.05</f>
        <v/>
      </c>
      <c r="AA65" s="6">
        <f>Summary!AA65*0.05</f>
        <v/>
      </c>
      <c r="AB65" s="6">
        <f>SUM(D65:AA65)</f>
        <v/>
      </c>
      <c r="AC65" s="3" t="inlineStr"/>
      <c r="AD65" s="7">
        <f>D65*0.0029</f>
        <v/>
      </c>
      <c r="AE65" s="7">
        <f>E65*0.0029</f>
        <v/>
      </c>
      <c r="AF65" s="7">
        <f>F65*0.0029</f>
        <v/>
      </c>
      <c r="AG65" s="7">
        <f>G65*0.0029</f>
        <v/>
      </c>
      <c r="AH65" s="7">
        <f>H65*0.0029</f>
        <v/>
      </c>
      <c r="AI65" s="7">
        <f>I65*0.0029</f>
        <v/>
      </c>
      <c r="AJ65" s="7">
        <f>J65*0.0029</f>
        <v/>
      </c>
      <c r="AK65" s="7">
        <f>K65*0.0029</f>
        <v/>
      </c>
      <c r="AL65" s="7">
        <f>L65*0.0029</f>
        <v/>
      </c>
      <c r="AM65" s="7">
        <f>M65*0.0029</f>
        <v/>
      </c>
      <c r="AN65" s="7">
        <f>N65*0.0029</f>
        <v/>
      </c>
      <c r="AO65" s="7">
        <f>O65*0.0029</f>
        <v/>
      </c>
      <c r="AP65" s="7">
        <f>P65*0.0029</f>
        <v/>
      </c>
      <c r="AQ65" s="7">
        <f>Q65*0.0029</f>
        <v/>
      </c>
      <c r="AR65" s="7">
        <f>R65*0.0029</f>
        <v/>
      </c>
      <c r="AS65" s="7">
        <f>S65*0.0029</f>
        <v/>
      </c>
      <c r="AT65" s="7">
        <f>T65*0.0029</f>
        <v/>
      </c>
      <c r="AU65" s="7">
        <f>U65*0.0029</f>
        <v/>
      </c>
      <c r="AV65" s="7">
        <f>V65*0.0029</f>
        <v/>
      </c>
      <c r="AW65" s="7">
        <f>W65*0.0029</f>
        <v/>
      </c>
      <c r="AX65" s="7">
        <f>X65*0.0029</f>
        <v/>
      </c>
      <c r="AY65" s="7">
        <f>Y65*0.0029</f>
        <v/>
      </c>
      <c r="AZ65" s="7">
        <f>Z65*0.0029</f>
        <v/>
      </c>
      <c r="BA65" s="7">
        <f>AA65*0.0029</f>
        <v/>
      </c>
      <c r="BB65" s="7">
        <f>SUM(AD65:BA65)</f>
        <v/>
      </c>
    </row>
    <row r="66">
      <c r="A66" t="inlineStr">
        <is>
          <t>AMD-INTRA-SSC</t>
        </is>
      </c>
      <c r="B66" t="inlineStr">
        <is>
          <t>Forward Regular OSC</t>
        </is>
      </c>
      <c r="C66" s="5" t="n">
        <v>46105</v>
      </c>
      <c r="D66" s="6">
        <f>Summary!D66*0.05</f>
        <v/>
      </c>
      <c r="E66" s="6">
        <f>Summary!E66*0.05</f>
        <v/>
      </c>
      <c r="F66" s="6">
        <f>Summary!F66*0.05</f>
        <v/>
      </c>
      <c r="G66" s="6">
        <f>Summary!G66*0.05</f>
        <v/>
      </c>
      <c r="H66" s="6">
        <f>Summary!H66*0.05</f>
        <v/>
      </c>
      <c r="I66" s="6">
        <f>Summary!I66*0.05</f>
        <v/>
      </c>
      <c r="J66" s="6">
        <f>Summary!J66*0.05</f>
        <v/>
      </c>
      <c r="K66" s="6">
        <f>Summary!K66*0.05</f>
        <v/>
      </c>
      <c r="L66" s="6">
        <f>Summary!L66*0.05</f>
        <v/>
      </c>
      <c r="M66" s="6">
        <f>Summary!M66*0.05</f>
        <v/>
      </c>
      <c r="N66" s="6">
        <f>Summary!N66*0.05</f>
        <v/>
      </c>
      <c r="O66" s="6">
        <f>Summary!O66*0.05</f>
        <v/>
      </c>
      <c r="P66" s="6">
        <f>Summary!P66*0.05</f>
        <v/>
      </c>
      <c r="Q66" s="6">
        <f>Summary!Q66*0.05</f>
        <v/>
      </c>
      <c r="R66" s="6">
        <f>Summary!R66*0.05</f>
        <v/>
      </c>
      <c r="S66" s="6">
        <f>Summary!S66*0.05</f>
        <v/>
      </c>
      <c r="T66" s="6">
        <f>Summary!T66*0.05</f>
        <v/>
      </c>
      <c r="U66" s="6">
        <f>Summary!U66*0.05</f>
        <v/>
      </c>
      <c r="V66" s="6">
        <f>Summary!V66*0.05</f>
        <v/>
      </c>
      <c r="W66" s="6">
        <f>Summary!W66*0.05</f>
        <v/>
      </c>
      <c r="X66" s="6">
        <f>Summary!X66*0.05</f>
        <v/>
      </c>
      <c r="Y66" s="6">
        <f>Summary!Y66*0.05</f>
        <v/>
      </c>
      <c r="Z66" s="6">
        <f>Summary!Z66*0.05</f>
        <v/>
      </c>
      <c r="AA66" s="6">
        <f>Summary!AA66*0.05</f>
        <v/>
      </c>
      <c r="AB66" s="6">
        <f>SUM(D66:AA66)</f>
        <v/>
      </c>
      <c r="AC66" s="3" t="inlineStr"/>
      <c r="AD66" s="7">
        <f>D66*0.0029</f>
        <v/>
      </c>
      <c r="AE66" s="7">
        <f>E66*0.0029</f>
        <v/>
      </c>
      <c r="AF66" s="7">
        <f>F66*0.0029</f>
        <v/>
      </c>
      <c r="AG66" s="7">
        <f>G66*0.0029</f>
        <v/>
      </c>
      <c r="AH66" s="7">
        <f>H66*0.0029</f>
        <v/>
      </c>
      <c r="AI66" s="7">
        <f>I66*0.0029</f>
        <v/>
      </c>
      <c r="AJ66" s="7">
        <f>J66*0.0029</f>
        <v/>
      </c>
      <c r="AK66" s="7">
        <f>K66*0.0029</f>
        <v/>
      </c>
      <c r="AL66" s="7">
        <f>L66*0.0029</f>
        <v/>
      </c>
      <c r="AM66" s="7">
        <f>M66*0.0029</f>
        <v/>
      </c>
      <c r="AN66" s="7">
        <f>N66*0.0029</f>
        <v/>
      </c>
      <c r="AO66" s="7">
        <f>O66*0.0029</f>
        <v/>
      </c>
      <c r="AP66" s="7">
        <f>P66*0.0029</f>
        <v/>
      </c>
      <c r="AQ66" s="7">
        <f>Q66*0.0029</f>
        <v/>
      </c>
      <c r="AR66" s="7">
        <f>R66*0.0029</f>
        <v/>
      </c>
      <c r="AS66" s="7">
        <f>S66*0.0029</f>
        <v/>
      </c>
      <c r="AT66" s="7">
        <f>T66*0.0029</f>
        <v/>
      </c>
      <c r="AU66" s="7">
        <f>U66*0.0029</f>
        <v/>
      </c>
      <c r="AV66" s="7">
        <f>V66*0.0029</f>
        <v/>
      </c>
      <c r="AW66" s="7">
        <f>W66*0.0029</f>
        <v/>
      </c>
      <c r="AX66" s="7">
        <f>X66*0.0029</f>
        <v/>
      </c>
      <c r="AY66" s="7">
        <f>Y66*0.0029</f>
        <v/>
      </c>
      <c r="AZ66" s="7">
        <f>Z66*0.0029</f>
        <v/>
      </c>
      <c r="BA66" s="7">
        <f>AA66*0.0029</f>
        <v/>
      </c>
      <c r="BB66" s="7">
        <f>SUM(AD66:BA66)</f>
        <v/>
      </c>
    </row>
    <row r="67">
      <c r="A67" t="inlineStr">
        <is>
          <t>AMD-M1</t>
        </is>
      </c>
      <c r="B67" t="inlineStr">
        <is>
          <t>Forward Regular OSC</t>
        </is>
      </c>
      <c r="C67" s="5" t="n">
        <v>46089</v>
      </c>
      <c r="D67" s="6">
        <f>Summary!D67*0.05</f>
        <v/>
      </c>
      <c r="E67" s="6">
        <f>Summary!E67*0.05</f>
        <v/>
      </c>
      <c r="F67" s="6">
        <f>Summary!F67*0.05</f>
        <v/>
      </c>
      <c r="G67" s="6">
        <f>Summary!G67*0.05</f>
        <v/>
      </c>
      <c r="H67" s="6">
        <f>Summary!H67*0.05</f>
        <v/>
      </c>
      <c r="I67" s="6">
        <f>Summary!I67*0.05</f>
        <v/>
      </c>
      <c r="J67" s="6">
        <f>Summary!J67*0.05</f>
        <v/>
      </c>
      <c r="K67" s="6">
        <f>Summary!K67*0.05</f>
        <v/>
      </c>
      <c r="L67" s="6">
        <f>Summary!L67*0.05</f>
        <v/>
      </c>
      <c r="M67" s="6">
        <f>Summary!M67*0.05</f>
        <v/>
      </c>
      <c r="N67" s="6">
        <f>Summary!N67*0.05</f>
        <v/>
      </c>
      <c r="O67" s="6">
        <f>Summary!O67*0.05</f>
        <v/>
      </c>
      <c r="P67" s="6">
        <f>Summary!P67*0.05</f>
        <v/>
      </c>
      <c r="Q67" s="6">
        <f>Summary!Q67*0.05</f>
        <v/>
      </c>
      <c r="R67" s="6">
        <f>Summary!R67*0.05</f>
        <v/>
      </c>
      <c r="S67" s="6">
        <f>Summary!S67*0.05</f>
        <v/>
      </c>
      <c r="T67" s="6">
        <f>Summary!T67*0.05</f>
        <v/>
      </c>
      <c r="U67" s="6">
        <f>Summary!U67*0.05</f>
        <v/>
      </c>
      <c r="V67" s="6">
        <f>Summary!V67*0.05</f>
        <v/>
      </c>
      <c r="W67" s="6">
        <f>Summary!W67*0.05</f>
        <v/>
      </c>
      <c r="X67" s="6">
        <f>Summary!X67*0.05</f>
        <v/>
      </c>
      <c r="Y67" s="6">
        <f>Summary!Y67*0.05</f>
        <v/>
      </c>
      <c r="Z67" s="6">
        <f>Summary!Z67*0.05</f>
        <v/>
      </c>
      <c r="AA67" s="6">
        <f>Summary!AA67*0.05</f>
        <v/>
      </c>
      <c r="AB67" s="6">
        <f>SUM(D67:AA67)</f>
        <v/>
      </c>
      <c r="AC67" s="3" t="inlineStr"/>
      <c r="AD67" s="7">
        <f>D67*0.0029</f>
        <v/>
      </c>
      <c r="AE67" s="7">
        <f>E67*0.0029</f>
        <v/>
      </c>
      <c r="AF67" s="7">
        <f>F67*0.0029</f>
        <v/>
      </c>
      <c r="AG67" s="7">
        <f>G67*0.0029</f>
        <v/>
      </c>
      <c r="AH67" s="7">
        <f>H67*0.0029</f>
        <v/>
      </c>
      <c r="AI67" s="7">
        <f>I67*0.0029</f>
        <v/>
      </c>
      <c r="AJ67" s="7">
        <f>J67*0.0029</f>
        <v/>
      </c>
      <c r="AK67" s="7">
        <f>K67*0.0029</f>
        <v/>
      </c>
      <c r="AL67" s="7">
        <f>L67*0.0029</f>
        <v/>
      </c>
      <c r="AM67" s="7">
        <f>M67*0.0029</f>
        <v/>
      </c>
      <c r="AN67" s="7">
        <f>N67*0.0029</f>
        <v/>
      </c>
      <c r="AO67" s="7">
        <f>O67*0.0029</f>
        <v/>
      </c>
      <c r="AP67" s="7">
        <f>P67*0.0029</f>
        <v/>
      </c>
      <c r="AQ67" s="7">
        <f>Q67*0.0029</f>
        <v/>
      </c>
      <c r="AR67" s="7">
        <f>R67*0.0029</f>
        <v/>
      </c>
      <c r="AS67" s="7">
        <f>S67*0.0029</f>
        <v/>
      </c>
      <c r="AT67" s="7">
        <f>T67*0.0029</f>
        <v/>
      </c>
      <c r="AU67" s="7">
        <f>U67*0.0029</f>
        <v/>
      </c>
      <c r="AV67" s="7">
        <f>V67*0.0029</f>
        <v/>
      </c>
      <c r="AW67" s="7">
        <f>W67*0.0029</f>
        <v/>
      </c>
      <c r="AX67" s="7">
        <f>X67*0.0029</f>
        <v/>
      </c>
      <c r="AY67" s="7">
        <f>Y67*0.0029</f>
        <v/>
      </c>
      <c r="AZ67" s="7">
        <f>Z67*0.0029</f>
        <v/>
      </c>
      <c r="BA67" s="7">
        <f>AA67*0.0029</f>
        <v/>
      </c>
      <c r="BB67" s="7">
        <f>SUM(AD67:BA67)</f>
        <v/>
      </c>
    </row>
    <row r="68">
      <c r="A68" t="inlineStr">
        <is>
          <t>AMD-M1</t>
        </is>
      </c>
      <c r="B68" t="inlineStr">
        <is>
          <t>Forward Regular OSC</t>
        </is>
      </c>
      <c r="C68" s="5" t="n">
        <v>46090</v>
      </c>
      <c r="D68" s="6">
        <f>Summary!D68*0.05</f>
        <v/>
      </c>
      <c r="E68" s="6">
        <f>Summary!E68*0.05</f>
        <v/>
      </c>
      <c r="F68" s="6">
        <f>Summary!F68*0.05</f>
        <v/>
      </c>
      <c r="G68" s="6">
        <f>Summary!G68*0.05</f>
        <v/>
      </c>
      <c r="H68" s="6">
        <f>Summary!H68*0.05</f>
        <v/>
      </c>
      <c r="I68" s="6">
        <f>Summary!I68*0.05</f>
        <v/>
      </c>
      <c r="J68" s="6">
        <f>Summary!J68*0.05</f>
        <v/>
      </c>
      <c r="K68" s="6">
        <f>Summary!K68*0.05</f>
        <v/>
      </c>
      <c r="L68" s="6">
        <f>Summary!L68*0.05</f>
        <v/>
      </c>
      <c r="M68" s="6">
        <f>Summary!M68*0.05</f>
        <v/>
      </c>
      <c r="N68" s="6">
        <f>Summary!N68*0.05</f>
        <v/>
      </c>
      <c r="O68" s="6">
        <f>Summary!O68*0.05</f>
        <v/>
      </c>
      <c r="P68" s="6">
        <f>Summary!P68*0.05</f>
        <v/>
      </c>
      <c r="Q68" s="6">
        <f>Summary!Q68*0.05</f>
        <v/>
      </c>
      <c r="R68" s="6">
        <f>Summary!R68*0.05</f>
        <v/>
      </c>
      <c r="S68" s="6">
        <f>Summary!S68*0.05</f>
        <v/>
      </c>
      <c r="T68" s="6">
        <f>Summary!T68*0.05</f>
        <v/>
      </c>
      <c r="U68" s="6">
        <f>Summary!U68*0.05</f>
        <v/>
      </c>
      <c r="V68" s="6">
        <f>Summary!V68*0.05</f>
        <v/>
      </c>
      <c r="W68" s="6">
        <f>Summary!W68*0.05</f>
        <v/>
      </c>
      <c r="X68" s="6">
        <f>Summary!X68*0.05</f>
        <v/>
      </c>
      <c r="Y68" s="6">
        <f>Summary!Y68*0.05</f>
        <v/>
      </c>
      <c r="Z68" s="6">
        <f>Summary!Z68*0.05</f>
        <v/>
      </c>
      <c r="AA68" s="6">
        <f>Summary!AA68*0.05</f>
        <v/>
      </c>
      <c r="AB68" s="6">
        <f>SUM(D68:AA68)</f>
        <v/>
      </c>
      <c r="AC68" s="3" t="inlineStr"/>
      <c r="AD68" s="7">
        <f>D68*0.0029</f>
        <v/>
      </c>
      <c r="AE68" s="7">
        <f>E68*0.0029</f>
        <v/>
      </c>
      <c r="AF68" s="7">
        <f>F68*0.0029</f>
        <v/>
      </c>
      <c r="AG68" s="7">
        <f>G68*0.0029</f>
        <v/>
      </c>
      <c r="AH68" s="7">
        <f>H68*0.0029</f>
        <v/>
      </c>
      <c r="AI68" s="7">
        <f>I68*0.0029</f>
        <v/>
      </c>
      <c r="AJ68" s="7">
        <f>J68*0.0029</f>
        <v/>
      </c>
      <c r="AK68" s="7">
        <f>K68*0.0029</f>
        <v/>
      </c>
      <c r="AL68" s="7">
        <f>L68*0.0029</f>
        <v/>
      </c>
      <c r="AM68" s="7">
        <f>M68*0.0029</f>
        <v/>
      </c>
      <c r="AN68" s="7">
        <f>N68*0.0029</f>
        <v/>
      </c>
      <c r="AO68" s="7">
        <f>O68*0.0029</f>
        <v/>
      </c>
      <c r="AP68" s="7">
        <f>P68*0.0029</f>
        <v/>
      </c>
      <c r="AQ68" s="7">
        <f>Q68*0.0029</f>
        <v/>
      </c>
      <c r="AR68" s="7">
        <f>R68*0.0029</f>
        <v/>
      </c>
      <c r="AS68" s="7">
        <f>S68*0.0029</f>
        <v/>
      </c>
      <c r="AT68" s="7">
        <f>T68*0.0029</f>
        <v/>
      </c>
      <c r="AU68" s="7">
        <f>U68*0.0029</f>
        <v/>
      </c>
      <c r="AV68" s="7">
        <f>V68*0.0029</f>
        <v/>
      </c>
      <c r="AW68" s="7">
        <f>W68*0.0029</f>
        <v/>
      </c>
      <c r="AX68" s="7">
        <f>X68*0.0029</f>
        <v/>
      </c>
      <c r="AY68" s="7">
        <f>Y68*0.0029</f>
        <v/>
      </c>
      <c r="AZ68" s="7">
        <f>Z68*0.0029</f>
        <v/>
      </c>
      <c r="BA68" s="7">
        <f>AA68*0.0029</f>
        <v/>
      </c>
      <c r="BB68" s="7">
        <f>SUM(AD68:BA68)</f>
        <v/>
      </c>
    </row>
    <row r="69">
      <c r="A69" t="inlineStr">
        <is>
          <t>AMD-M1</t>
        </is>
      </c>
      <c r="B69" t="inlineStr">
        <is>
          <t>Forward Regular OSC</t>
        </is>
      </c>
      <c r="C69" s="5" t="n">
        <v>46091</v>
      </c>
      <c r="D69" s="6">
        <f>Summary!D69*0.05</f>
        <v/>
      </c>
      <c r="E69" s="6">
        <f>Summary!E69*0.05</f>
        <v/>
      </c>
      <c r="F69" s="6">
        <f>Summary!F69*0.05</f>
        <v/>
      </c>
      <c r="G69" s="6">
        <f>Summary!G69*0.05</f>
        <v/>
      </c>
      <c r="H69" s="6">
        <f>Summary!H69*0.05</f>
        <v/>
      </c>
      <c r="I69" s="6">
        <f>Summary!I69*0.05</f>
        <v/>
      </c>
      <c r="J69" s="6">
        <f>Summary!J69*0.05</f>
        <v/>
      </c>
      <c r="K69" s="6">
        <f>Summary!K69*0.05</f>
        <v/>
      </c>
      <c r="L69" s="6">
        <f>Summary!L69*0.05</f>
        <v/>
      </c>
      <c r="M69" s="6">
        <f>Summary!M69*0.05</f>
        <v/>
      </c>
      <c r="N69" s="6">
        <f>Summary!N69*0.05</f>
        <v/>
      </c>
      <c r="O69" s="6">
        <f>Summary!O69*0.05</f>
        <v/>
      </c>
      <c r="P69" s="6">
        <f>Summary!P69*0.05</f>
        <v/>
      </c>
      <c r="Q69" s="6">
        <f>Summary!Q69*0.05</f>
        <v/>
      </c>
      <c r="R69" s="6">
        <f>Summary!R69*0.05</f>
        <v/>
      </c>
      <c r="S69" s="6">
        <f>Summary!S69*0.05</f>
        <v/>
      </c>
      <c r="T69" s="6">
        <f>Summary!T69*0.05</f>
        <v/>
      </c>
      <c r="U69" s="6">
        <f>Summary!U69*0.05</f>
        <v/>
      </c>
      <c r="V69" s="6">
        <f>Summary!V69*0.05</f>
        <v/>
      </c>
      <c r="W69" s="6">
        <f>Summary!W69*0.05</f>
        <v/>
      </c>
      <c r="X69" s="6">
        <f>Summary!X69*0.05</f>
        <v/>
      </c>
      <c r="Y69" s="6">
        <f>Summary!Y69*0.05</f>
        <v/>
      </c>
      <c r="Z69" s="6">
        <f>Summary!Z69*0.05</f>
        <v/>
      </c>
      <c r="AA69" s="6">
        <f>Summary!AA69*0.05</f>
        <v/>
      </c>
      <c r="AB69" s="6">
        <f>SUM(D69:AA69)</f>
        <v/>
      </c>
      <c r="AC69" s="3" t="inlineStr"/>
      <c r="AD69" s="7">
        <f>D69*0.0029</f>
        <v/>
      </c>
      <c r="AE69" s="7">
        <f>E69*0.0029</f>
        <v/>
      </c>
      <c r="AF69" s="7">
        <f>F69*0.0029</f>
        <v/>
      </c>
      <c r="AG69" s="7">
        <f>G69*0.0029</f>
        <v/>
      </c>
      <c r="AH69" s="7">
        <f>H69*0.0029</f>
        <v/>
      </c>
      <c r="AI69" s="7">
        <f>I69*0.0029</f>
        <v/>
      </c>
      <c r="AJ69" s="7">
        <f>J69*0.0029</f>
        <v/>
      </c>
      <c r="AK69" s="7">
        <f>K69*0.0029</f>
        <v/>
      </c>
      <c r="AL69" s="7">
        <f>L69*0.0029</f>
        <v/>
      </c>
      <c r="AM69" s="7">
        <f>M69*0.0029</f>
        <v/>
      </c>
      <c r="AN69" s="7">
        <f>N69*0.0029</f>
        <v/>
      </c>
      <c r="AO69" s="7">
        <f>O69*0.0029</f>
        <v/>
      </c>
      <c r="AP69" s="7">
        <f>P69*0.0029</f>
        <v/>
      </c>
      <c r="AQ69" s="7">
        <f>Q69*0.0029</f>
        <v/>
      </c>
      <c r="AR69" s="7">
        <f>R69*0.0029</f>
        <v/>
      </c>
      <c r="AS69" s="7">
        <f>S69*0.0029</f>
        <v/>
      </c>
      <c r="AT69" s="7">
        <f>T69*0.0029</f>
        <v/>
      </c>
      <c r="AU69" s="7">
        <f>U69*0.0029</f>
        <v/>
      </c>
      <c r="AV69" s="7">
        <f>V69*0.0029</f>
        <v/>
      </c>
      <c r="AW69" s="7">
        <f>W69*0.0029</f>
        <v/>
      </c>
      <c r="AX69" s="7">
        <f>X69*0.0029</f>
        <v/>
      </c>
      <c r="AY69" s="7">
        <f>Y69*0.0029</f>
        <v/>
      </c>
      <c r="AZ69" s="7">
        <f>Z69*0.0029</f>
        <v/>
      </c>
      <c r="BA69" s="7">
        <f>AA69*0.0029</f>
        <v/>
      </c>
      <c r="BB69" s="7">
        <f>SUM(AD69:BA69)</f>
        <v/>
      </c>
    </row>
    <row r="70">
      <c r="A70" t="inlineStr">
        <is>
          <t>AMD-M1</t>
        </is>
      </c>
      <c r="B70" t="inlineStr">
        <is>
          <t>Forward Regular OSC</t>
        </is>
      </c>
      <c r="C70" s="5" t="n">
        <v>46092</v>
      </c>
      <c r="D70" s="6">
        <f>Summary!D70*0.05</f>
        <v/>
      </c>
      <c r="E70" s="6">
        <f>Summary!E70*0.05</f>
        <v/>
      </c>
      <c r="F70" s="6">
        <f>Summary!F70*0.05</f>
        <v/>
      </c>
      <c r="G70" s="6">
        <f>Summary!G70*0.05</f>
        <v/>
      </c>
      <c r="H70" s="6">
        <f>Summary!H70*0.05</f>
        <v/>
      </c>
      <c r="I70" s="6">
        <f>Summary!I70*0.05</f>
        <v/>
      </c>
      <c r="J70" s="6">
        <f>Summary!J70*0.05</f>
        <v/>
      </c>
      <c r="K70" s="6">
        <f>Summary!K70*0.05</f>
        <v/>
      </c>
      <c r="L70" s="6">
        <f>Summary!L70*0.05</f>
        <v/>
      </c>
      <c r="M70" s="6">
        <f>Summary!M70*0.05</f>
        <v/>
      </c>
      <c r="N70" s="6">
        <f>Summary!N70*0.05</f>
        <v/>
      </c>
      <c r="O70" s="6">
        <f>Summary!O70*0.05</f>
        <v/>
      </c>
      <c r="P70" s="6">
        <f>Summary!P70*0.05</f>
        <v/>
      </c>
      <c r="Q70" s="6">
        <f>Summary!Q70*0.05</f>
        <v/>
      </c>
      <c r="R70" s="6">
        <f>Summary!R70*0.05</f>
        <v/>
      </c>
      <c r="S70" s="6">
        <f>Summary!S70*0.05</f>
        <v/>
      </c>
      <c r="T70" s="6">
        <f>Summary!T70*0.05</f>
        <v/>
      </c>
      <c r="U70" s="6">
        <f>Summary!U70*0.05</f>
        <v/>
      </c>
      <c r="V70" s="6">
        <f>Summary!V70*0.05</f>
        <v/>
      </c>
      <c r="W70" s="6">
        <f>Summary!W70*0.05</f>
        <v/>
      </c>
      <c r="X70" s="6">
        <f>Summary!X70*0.05</f>
        <v/>
      </c>
      <c r="Y70" s="6">
        <f>Summary!Y70*0.05</f>
        <v/>
      </c>
      <c r="Z70" s="6">
        <f>Summary!Z70*0.05</f>
        <v/>
      </c>
      <c r="AA70" s="6">
        <f>Summary!AA70*0.05</f>
        <v/>
      </c>
      <c r="AB70" s="6">
        <f>SUM(D70:AA70)</f>
        <v/>
      </c>
      <c r="AC70" s="3" t="inlineStr"/>
      <c r="AD70" s="7">
        <f>D70*0.0029</f>
        <v/>
      </c>
      <c r="AE70" s="7">
        <f>E70*0.0029</f>
        <v/>
      </c>
      <c r="AF70" s="7">
        <f>F70*0.0029</f>
        <v/>
      </c>
      <c r="AG70" s="7">
        <f>G70*0.0029</f>
        <v/>
      </c>
      <c r="AH70" s="7">
        <f>H70*0.0029</f>
        <v/>
      </c>
      <c r="AI70" s="7">
        <f>I70*0.0029</f>
        <v/>
      </c>
      <c r="AJ70" s="7">
        <f>J70*0.0029</f>
        <v/>
      </c>
      <c r="AK70" s="7">
        <f>K70*0.0029</f>
        <v/>
      </c>
      <c r="AL70" s="7">
        <f>L70*0.0029</f>
        <v/>
      </c>
      <c r="AM70" s="7">
        <f>M70*0.0029</f>
        <v/>
      </c>
      <c r="AN70" s="7">
        <f>N70*0.0029</f>
        <v/>
      </c>
      <c r="AO70" s="7">
        <f>O70*0.0029</f>
        <v/>
      </c>
      <c r="AP70" s="7">
        <f>P70*0.0029</f>
        <v/>
      </c>
      <c r="AQ70" s="7">
        <f>Q70*0.0029</f>
        <v/>
      </c>
      <c r="AR70" s="7">
        <f>R70*0.0029</f>
        <v/>
      </c>
      <c r="AS70" s="7">
        <f>S70*0.0029</f>
        <v/>
      </c>
      <c r="AT70" s="7">
        <f>T70*0.0029</f>
        <v/>
      </c>
      <c r="AU70" s="7">
        <f>U70*0.0029</f>
        <v/>
      </c>
      <c r="AV70" s="7">
        <f>V70*0.0029</f>
        <v/>
      </c>
      <c r="AW70" s="7">
        <f>W70*0.0029</f>
        <v/>
      </c>
      <c r="AX70" s="7">
        <f>X70*0.0029</f>
        <v/>
      </c>
      <c r="AY70" s="7">
        <f>Y70*0.0029</f>
        <v/>
      </c>
      <c r="AZ70" s="7">
        <f>Z70*0.0029</f>
        <v/>
      </c>
      <c r="BA70" s="7">
        <f>AA70*0.0029</f>
        <v/>
      </c>
      <c r="BB70" s="7">
        <f>SUM(AD70:BA70)</f>
        <v/>
      </c>
    </row>
    <row r="71">
      <c r="A71" t="inlineStr">
        <is>
          <t>AMD-M1</t>
        </is>
      </c>
      <c r="B71" t="inlineStr">
        <is>
          <t>Forward Regular OSC</t>
        </is>
      </c>
      <c r="C71" s="5" t="n">
        <v>46093</v>
      </c>
      <c r="D71" s="6">
        <f>Summary!D71*0.05</f>
        <v/>
      </c>
      <c r="E71" s="6">
        <f>Summary!E71*0.05</f>
        <v/>
      </c>
      <c r="F71" s="6">
        <f>Summary!F71*0.05</f>
        <v/>
      </c>
      <c r="G71" s="6">
        <f>Summary!G71*0.05</f>
        <v/>
      </c>
      <c r="H71" s="6">
        <f>Summary!H71*0.05</f>
        <v/>
      </c>
      <c r="I71" s="6">
        <f>Summary!I71*0.05</f>
        <v/>
      </c>
      <c r="J71" s="6">
        <f>Summary!J71*0.05</f>
        <v/>
      </c>
      <c r="K71" s="6">
        <f>Summary!K71*0.05</f>
        <v/>
      </c>
      <c r="L71" s="6">
        <f>Summary!L71*0.05</f>
        <v/>
      </c>
      <c r="M71" s="6">
        <f>Summary!M71*0.05</f>
        <v/>
      </c>
      <c r="N71" s="6">
        <f>Summary!N71*0.05</f>
        <v/>
      </c>
      <c r="O71" s="6">
        <f>Summary!O71*0.05</f>
        <v/>
      </c>
      <c r="P71" s="6">
        <f>Summary!P71*0.05</f>
        <v/>
      </c>
      <c r="Q71" s="6">
        <f>Summary!Q71*0.05</f>
        <v/>
      </c>
      <c r="R71" s="6">
        <f>Summary!R71*0.05</f>
        <v/>
      </c>
      <c r="S71" s="6">
        <f>Summary!S71*0.05</f>
        <v/>
      </c>
      <c r="T71" s="6">
        <f>Summary!T71*0.05</f>
        <v/>
      </c>
      <c r="U71" s="6">
        <f>Summary!U71*0.05</f>
        <v/>
      </c>
      <c r="V71" s="6">
        <f>Summary!V71*0.05</f>
        <v/>
      </c>
      <c r="W71" s="6">
        <f>Summary!W71*0.05</f>
        <v/>
      </c>
      <c r="X71" s="6">
        <f>Summary!X71*0.05</f>
        <v/>
      </c>
      <c r="Y71" s="6">
        <f>Summary!Y71*0.05</f>
        <v/>
      </c>
      <c r="Z71" s="6">
        <f>Summary!Z71*0.05</f>
        <v/>
      </c>
      <c r="AA71" s="6">
        <f>Summary!AA71*0.05</f>
        <v/>
      </c>
      <c r="AB71" s="6">
        <f>SUM(D71:AA71)</f>
        <v/>
      </c>
      <c r="AC71" s="3" t="inlineStr"/>
      <c r="AD71" s="7">
        <f>D71*0.0029</f>
        <v/>
      </c>
      <c r="AE71" s="7">
        <f>E71*0.0029</f>
        <v/>
      </c>
      <c r="AF71" s="7">
        <f>F71*0.0029</f>
        <v/>
      </c>
      <c r="AG71" s="7">
        <f>G71*0.0029</f>
        <v/>
      </c>
      <c r="AH71" s="7">
        <f>H71*0.0029</f>
        <v/>
      </c>
      <c r="AI71" s="7">
        <f>I71*0.0029</f>
        <v/>
      </c>
      <c r="AJ71" s="7">
        <f>J71*0.0029</f>
        <v/>
      </c>
      <c r="AK71" s="7">
        <f>K71*0.0029</f>
        <v/>
      </c>
      <c r="AL71" s="7">
        <f>L71*0.0029</f>
        <v/>
      </c>
      <c r="AM71" s="7">
        <f>M71*0.0029</f>
        <v/>
      </c>
      <c r="AN71" s="7">
        <f>N71*0.0029</f>
        <v/>
      </c>
      <c r="AO71" s="7">
        <f>O71*0.0029</f>
        <v/>
      </c>
      <c r="AP71" s="7">
        <f>P71*0.0029</f>
        <v/>
      </c>
      <c r="AQ71" s="7">
        <f>Q71*0.0029</f>
        <v/>
      </c>
      <c r="AR71" s="7">
        <f>R71*0.0029</f>
        <v/>
      </c>
      <c r="AS71" s="7">
        <f>S71*0.0029</f>
        <v/>
      </c>
      <c r="AT71" s="7">
        <f>T71*0.0029</f>
        <v/>
      </c>
      <c r="AU71" s="7">
        <f>U71*0.0029</f>
        <v/>
      </c>
      <c r="AV71" s="7">
        <f>V71*0.0029</f>
        <v/>
      </c>
      <c r="AW71" s="7">
        <f>W71*0.0029</f>
        <v/>
      </c>
      <c r="AX71" s="7">
        <f>X71*0.0029</f>
        <v/>
      </c>
      <c r="AY71" s="7">
        <f>Y71*0.0029</f>
        <v/>
      </c>
      <c r="AZ71" s="7">
        <f>Z71*0.0029</f>
        <v/>
      </c>
      <c r="BA71" s="7">
        <f>AA71*0.0029</f>
        <v/>
      </c>
      <c r="BB71" s="7">
        <f>SUM(AD71:BA71)</f>
        <v/>
      </c>
    </row>
    <row r="72">
      <c r="A72" t="inlineStr">
        <is>
          <t>AMD-M1</t>
        </is>
      </c>
      <c r="B72" t="inlineStr">
        <is>
          <t>Forward Regular OSC</t>
        </is>
      </c>
      <c r="C72" s="5" t="n">
        <v>46094</v>
      </c>
      <c r="D72" s="6">
        <f>Summary!D72*0.05</f>
        <v/>
      </c>
      <c r="E72" s="6">
        <f>Summary!E72*0.05</f>
        <v/>
      </c>
      <c r="F72" s="6">
        <f>Summary!F72*0.05</f>
        <v/>
      </c>
      <c r="G72" s="6">
        <f>Summary!G72*0.05</f>
        <v/>
      </c>
      <c r="H72" s="6">
        <f>Summary!H72*0.05</f>
        <v/>
      </c>
      <c r="I72" s="6">
        <f>Summary!I72*0.05</f>
        <v/>
      </c>
      <c r="J72" s="6">
        <f>Summary!J72*0.05</f>
        <v/>
      </c>
      <c r="K72" s="6">
        <f>Summary!K72*0.05</f>
        <v/>
      </c>
      <c r="L72" s="6">
        <f>Summary!L72*0.05</f>
        <v/>
      </c>
      <c r="M72" s="6">
        <f>Summary!M72*0.05</f>
        <v/>
      </c>
      <c r="N72" s="6">
        <f>Summary!N72*0.05</f>
        <v/>
      </c>
      <c r="O72" s="6">
        <f>Summary!O72*0.05</f>
        <v/>
      </c>
      <c r="P72" s="6">
        <f>Summary!P72*0.05</f>
        <v/>
      </c>
      <c r="Q72" s="6">
        <f>Summary!Q72*0.05</f>
        <v/>
      </c>
      <c r="R72" s="6">
        <f>Summary!R72*0.05</f>
        <v/>
      </c>
      <c r="S72" s="6">
        <f>Summary!S72*0.05</f>
        <v/>
      </c>
      <c r="T72" s="6">
        <f>Summary!T72*0.05</f>
        <v/>
      </c>
      <c r="U72" s="6">
        <f>Summary!U72*0.05</f>
        <v/>
      </c>
      <c r="V72" s="6">
        <f>Summary!V72*0.05</f>
        <v/>
      </c>
      <c r="W72" s="6">
        <f>Summary!W72*0.05</f>
        <v/>
      </c>
      <c r="X72" s="6">
        <f>Summary!X72*0.05</f>
        <v/>
      </c>
      <c r="Y72" s="6">
        <f>Summary!Y72*0.05</f>
        <v/>
      </c>
      <c r="Z72" s="6">
        <f>Summary!Z72*0.05</f>
        <v/>
      </c>
      <c r="AA72" s="6">
        <f>Summary!AA72*0.05</f>
        <v/>
      </c>
      <c r="AB72" s="6">
        <f>SUM(D72:AA72)</f>
        <v/>
      </c>
      <c r="AC72" s="3" t="inlineStr"/>
      <c r="AD72" s="7">
        <f>D72*0.0029</f>
        <v/>
      </c>
      <c r="AE72" s="7">
        <f>E72*0.0029</f>
        <v/>
      </c>
      <c r="AF72" s="7">
        <f>F72*0.0029</f>
        <v/>
      </c>
      <c r="AG72" s="7">
        <f>G72*0.0029</f>
        <v/>
      </c>
      <c r="AH72" s="7">
        <f>H72*0.0029</f>
        <v/>
      </c>
      <c r="AI72" s="7">
        <f>I72*0.0029</f>
        <v/>
      </c>
      <c r="AJ72" s="7">
        <f>J72*0.0029</f>
        <v/>
      </c>
      <c r="AK72" s="7">
        <f>K72*0.0029</f>
        <v/>
      </c>
      <c r="AL72" s="7">
        <f>L72*0.0029</f>
        <v/>
      </c>
      <c r="AM72" s="7">
        <f>M72*0.0029</f>
        <v/>
      </c>
      <c r="AN72" s="7">
        <f>N72*0.0029</f>
        <v/>
      </c>
      <c r="AO72" s="7">
        <f>O72*0.0029</f>
        <v/>
      </c>
      <c r="AP72" s="7">
        <f>P72*0.0029</f>
        <v/>
      </c>
      <c r="AQ72" s="7">
        <f>Q72*0.0029</f>
        <v/>
      </c>
      <c r="AR72" s="7">
        <f>R72*0.0029</f>
        <v/>
      </c>
      <c r="AS72" s="7">
        <f>S72*0.0029</f>
        <v/>
      </c>
      <c r="AT72" s="7">
        <f>T72*0.0029</f>
        <v/>
      </c>
      <c r="AU72" s="7">
        <f>U72*0.0029</f>
        <v/>
      </c>
      <c r="AV72" s="7">
        <f>V72*0.0029</f>
        <v/>
      </c>
      <c r="AW72" s="7">
        <f>W72*0.0029</f>
        <v/>
      </c>
      <c r="AX72" s="7">
        <f>X72*0.0029</f>
        <v/>
      </c>
      <c r="AY72" s="7">
        <f>Y72*0.0029</f>
        <v/>
      </c>
      <c r="AZ72" s="7">
        <f>Z72*0.0029</f>
        <v/>
      </c>
      <c r="BA72" s="7">
        <f>AA72*0.0029</f>
        <v/>
      </c>
      <c r="BB72" s="7">
        <f>SUM(AD72:BA72)</f>
        <v/>
      </c>
    </row>
    <row r="73">
      <c r="A73" t="inlineStr">
        <is>
          <t>AMD-M1</t>
        </is>
      </c>
      <c r="B73" t="inlineStr">
        <is>
          <t>Forward Regular OSC</t>
        </is>
      </c>
      <c r="C73" s="5" t="n">
        <v>46095</v>
      </c>
      <c r="D73" s="6">
        <f>Summary!D73*0.05</f>
        <v/>
      </c>
      <c r="E73" s="6">
        <f>Summary!E73*0.05</f>
        <v/>
      </c>
      <c r="F73" s="6">
        <f>Summary!F73*0.05</f>
        <v/>
      </c>
      <c r="G73" s="6">
        <f>Summary!G73*0.05</f>
        <v/>
      </c>
      <c r="H73" s="6">
        <f>Summary!H73*0.05</f>
        <v/>
      </c>
      <c r="I73" s="6">
        <f>Summary!I73*0.05</f>
        <v/>
      </c>
      <c r="J73" s="6">
        <f>Summary!J73*0.05</f>
        <v/>
      </c>
      <c r="K73" s="6">
        <f>Summary!K73*0.05</f>
        <v/>
      </c>
      <c r="L73" s="6">
        <f>Summary!L73*0.05</f>
        <v/>
      </c>
      <c r="M73" s="6">
        <f>Summary!M73*0.05</f>
        <v/>
      </c>
      <c r="N73" s="6">
        <f>Summary!N73*0.05</f>
        <v/>
      </c>
      <c r="O73" s="6">
        <f>Summary!O73*0.05</f>
        <v/>
      </c>
      <c r="P73" s="6">
        <f>Summary!P73*0.05</f>
        <v/>
      </c>
      <c r="Q73" s="6">
        <f>Summary!Q73*0.05</f>
        <v/>
      </c>
      <c r="R73" s="6">
        <f>Summary!R73*0.05</f>
        <v/>
      </c>
      <c r="S73" s="6">
        <f>Summary!S73*0.05</f>
        <v/>
      </c>
      <c r="T73" s="6">
        <f>Summary!T73*0.05</f>
        <v/>
      </c>
      <c r="U73" s="6">
        <f>Summary!U73*0.05</f>
        <v/>
      </c>
      <c r="V73" s="6">
        <f>Summary!V73*0.05</f>
        <v/>
      </c>
      <c r="W73" s="6">
        <f>Summary!W73*0.05</f>
        <v/>
      </c>
      <c r="X73" s="6">
        <f>Summary!X73*0.05</f>
        <v/>
      </c>
      <c r="Y73" s="6">
        <f>Summary!Y73*0.05</f>
        <v/>
      </c>
      <c r="Z73" s="6">
        <f>Summary!Z73*0.05</f>
        <v/>
      </c>
      <c r="AA73" s="6">
        <f>Summary!AA73*0.05</f>
        <v/>
      </c>
      <c r="AB73" s="6">
        <f>SUM(D73:AA73)</f>
        <v/>
      </c>
      <c r="AC73" s="3" t="inlineStr"/>
      <c r="AD73" s="7">
        <f>D73*0.0029</f>
        <v/>
      </c>
      <c r="AE73" s="7">
        <f>E73*0.0029</f>
        <v/>
      </c>
      <c r="AF73" s="7">
        <f>F73*0.0029</f>
        <v/>
      </c>
      <c r="AG73" s="7">
        <f>G73*0.0029</f>
        <v/>
      </c>
      <c r="AH73" s="7">
        <f>H73*0.0029</f>
        <v/>
      </c>
      <c r="AI73" s="7">
        <f>I73*0.0029</f>
        <v/>
      </c>
      <c r="AJ73" s="7">
        <f>J73*0.0029</f>
        <v/>
      </c>
      <c r="AK73" s="7">
        <f>K73*0.0029</f>
        <v/>
      </c>
      <c r="AL73" s="7">
        <f>L73*0.0029</f>
        <v/>
      </c>
      <c r="AM73" s="7">
        <f>M73*0.0029</f>
        <v/>
      </c>
      <c r="AN73" s="7">
        <f>N73*0.0029</f>
        <v/>
      </c>
      <c r="AO73" s="7">
        <f>O73*0.0029</f>
        <v/>
      </c>
      <c r="AP73" s="7">
        <f>P73*0.0029</f>
        <v/>
      </c>
      <c r="AQ73" s="7">
        <f>Q73*0.0029</f>
        <v/>
      </c>
      <c r="AR73" s="7">
        <f>R73*0.0029</f>
        <v/>
      </c>
      <c r="AS73" s="7">
        <f>S73*0.0029</f>
        <v/>
      </c>
      <c r="AT73" s="7">
        <f>T73*0.0029</f>
        <v/>
      </c>
      <c r="AU73" s="7">
        <f>U73*0.0029</f>
        <v/>
      </c>
      <c r="AV73" s="7">
        <f>V73*0.0029</f>
        <v/>
      </c>
      <c r="AW73" s="7">
        <f>W73*0.0029</f>
        <v/>
      </c>
      <c r="AX73" s="7">
        <f>X73*0.0029</f>
        <v/>
      </c>
      <c r="AY73" s="7">
        <f>Y73*0.0029</f>
        <v/>
      </c>
      <c r="AZ73" s="7">
        <f>Z73*0.0029</f>
        <v/>
      </c>
      <c r="BA73" s="7">
        <f>AA73*0.0029</f>
        <v/>
      </c>
      <c r="BB73" s="7">
        <f>SUM(AD73:BA73)</f>
        <v/>
      </c>
    </row>
    <row r="74">
      <c r="A74" t="inlineStr">
        <is>
          <t>AMD-M1</t>
        </is>
      </c>
      <c r="B74" t="inlineStr">
        <is>
          <t>Forward Regular OSC</t>
        </is>
      </c>
      <c r="C74" s="5" t="n">
        <v>46096</v>
      </c>
      <c r="D74" s="6">
        <f>Summary!D74*0.05</f>
        <v/>
      </c>
      <c r="E74" s="6">
        <f>Summary!E74*0.05</f>
        <v/>
      </c>
      <c r="F74" s="6">
        <f>Summary!F74*0.05</f>
        <v/>
      </c>
      <c r="G74" s="6">
        <f>Summary!G74*0.05</f>
        <v/>
      </c>
      <c r="H74" s="6">
        <f>Summary!H74*0.05</f>
        <v/>
      </c>
      <c r="I74" s="6">
        <f>Summary!I74*0.05</f>
        <v/>
      </c>
      <c r="J74" s="6">
        <f>Summary!J74*0.05</f>
        <v/>
      </c>
      <c r="K74" s="6">
        <f>Summary!K74*0.05</f>
        <v/>
      </c>
      <c r="L74" s="6">
        <f>Summary!L74*0.05</f>
        <v/>
      </c>
      <c r="M74" s="6">
        <f>Summary!M74*0.05</f>
        <v/>
      </c>
      <c r="N74" s="6">
        <f>Summary!N74*0.05</f>
        <v/>
      </c>
      <c r="O74" s="6">
        <f>Summary!O74*0.05</f>
        <v/>
      </c>
      <c r="P74" s="6">
        <f>Summary!P74*0.05</f>
        <v/>
      </c>
      <c r="Q74" s="6">
        <f>Summary!Q74*0.05</f>
        <v/>
      </c>
      <c r="R74" s="6">
        <f>Summary!R74*0.05</f>
        <v/>
      </c>
      <c r="S74" s="6">
        <f>Summary!S74*0.05</f>
        <v/>
      </c>
      <c r="T74" s="6">
        <f>Summary!T74*0.05</f>
        <v/>
      </c>
      <c r="U74" s="6">
        <f>Summary!U74*0.05</f>
        <v/>
      </c>
      <c r="V74" s="6">
        <f>Summary!V74*0.05</f>
        <v/>
      </c>
      <c r="W74" s="6">
        <f>Summary!W74*0.05</f>
        <v/>
      </c>
      <c r="X74" s="6">
        <f>Summary!X74*0.05</f>
        <v/>
      </c>
      <c r="Y74" s="6">
        <f>Summary!Y74*0.05</f>
        <v/>
      </c>
      <c r="Z74" s="6">
        <f>Summary!Z74*0.05</f>
        <v/>
      </c>
      <c r="AA74" s="6">
        <f>Summary!AA74*0.05</f>
        <v/>
      </c>
      <c r="AB74" s="6">
        <f>SUM(D74:AA74)</f>
        <v/>
      </c>
      <c r="AC74" s="3" t="inlineStr"/>
      <c r="AD74" s="7">
        <f>D74*0.0029</f>
        <v/>
      </c>
      <c r="AE74" s="7">
        <f>E74*0.0029</f>
        <v/>
      </c>
      <c r="AF74" s="7">
        <f>F74*0.0029</f>
        <v/>
      </c>
      <c r="AG74" s="7">
        <f>G74*0.0029</f>
        <v/>
      </c>
      <c r="AH74" s="7">
        <f>H74*0.0029</f>
        <v/>
      </c>
      <c r="AI74" s="7">
        <f>I74*0.0029</f>
        <v/>
      </c>
      <c r="AJ74" s="7">
        <f>J74*0.0029</f>
        <v/>
      </c>
      <c r="AK74" s="7">
        <f>K74*0.0029</f>
        <v/>
      </c>
      <c r="AL74" s="7">
        <f>L74*0.0029</f>
        <v/>
      </c>
      <c r="AM74" s="7">
        <f>M74*0.0029</f>
        <v/>
      </c>
      <c r="AN74" s="7">
        <f>N74*0.0029</f>
        <v/>
      </c>
      <c r="AO74" s="7">
        <f>O74*0.0029</f>
        <v/>
      </c>
      <c r="AP74" s="7">
        <f>P74*0.0029</f>
        <v/>
      </c>
      <c r="AQ74" s="7">
        <f>Q74*0.0029</f>
        <v/>
      </c>
      <c r="AR74" s="7">
        <f>R74*0.0029</f>
        <v/>
      </c>
      <c r="AS74" s="7">
        <f>S74*0.0029</f>
        <v/>
      </c>
      <c r="AT74" s="7">
        <f>T74*0.0029</f>
        <v/>
      </c>
      <c r="AU74" s="7">
        <f>U74*0.0029</f>
        <v/>
      </c>
      <c r="AV74" s="7">
        <f>V74*0.0029</f>
        <v/>
      </c>
      <c r="AW74" s="7">
        <f>W74*0.0029</f>
        <v/>
      </c>
      <c r="AX74" s="7">
        <f>X74*0.0029</f>
        <v/>
      </c>
      <c r="AY74" s="7">
        <f>Y74*0.0029</f>
        <v/>
      </c>
      <c r="AZ74" s="7">
        <f>Z74*0.0029</f>
        <v/>
      </c>
      <c r="BA74" s="7">
        <f>AA74*0.0029</f>
        <v/>
      </c>
      <c r="BB74" s="7">
        <f>SUM(AD74:BA74)</f>
        <v/>
      </c>
    </row>
    <row r="75">
      <c r="A75" t="inlineStr">
        <is>
          <t>AMD-M1</t>
        </is>
      </c>
      <c r="B75" t="inlineStr">
        <is>
          <t>Forward Regular OSC</t>
        </is>
      </c>
      <c r="C75" s="5" t="n">
        <v>46097</v>
      </c>
      <c r="D75" s="6">
        <f>Summary!D75*0.05</f>
        <v/>
      </c>
      <c r="E75" s="6">
        <f>Summary!E75*0.05</f>
        <v/>
      </c>
      <c r="F75" s="6">
        <f>Summary!F75*0.05</f>
        <v/>
      </c>
      <c r="G75" s="6">
        <f>Summary!G75*0.05</f>
        <v/>
      </c>
      <c r="H75" s="6">
        <f>Summary!H75*0.05</f>
        <v/>
      </c>
      <c r="I75" s="6">
        <f>Summary!I75*0.05</f>
        <v/>
      </c>
      <c r="J75" s="6">
        <f>Summary!J75*0.05</f>
        <v/>
      </c>
      <c r="K75" s="6">
        <f>Summary!K75*0.05</f>
        <v/>
      </c>
      <c r="L75" s="6">
        <f>Summary!L75*0.05</f>
        <v/>
      </c>
      <c r="M75" s="6">
        <f>Summary!M75*0.05</f>
        <v/>
      </c>
      <c r="N75" s="6">
        <f>Summary!N75*0.05</f>
        <v/>
      </c>
      <c r="O75" s="6">
        <f>Summary!O75*0.05</f>
        <v/>
      </c>
      <c r="P75" s="6">
        <f>Summary!P75*0.05</f>
        <v/>
      </c>
      <c r="Q75" s="6">
        <f>Summary!Q75*0.05</f>
        <v/>
      </c>
      <c r="R75" s="6">
        <f>Summary!R75*0.05</f>
        <v/>
      </c>
      <c r="S75" s="6">
        <f>Summary!S75*0.05</f>
        <v/>
      </c>
      <c r="T75" s="6">
        <f>Summary!T75*0.05</f>
        <v/>
      </c>
      <c r="U75" s="6">
        <f>Summary!U75*0.05</f>
        <v/>
      </c>
      <c r="V75" s="6">
        <f>Summary!V75*0.05</f>
        <v/>
      </c>
      <c r="W75" s="6">
        <f>Summary!W75*0.05</f>
        <v/>
      </c>
      <c r="X75" s="6">
        <f>Summary!X75*0.05</f>
        <v/>
      </c>
      <c r="Y75" s="6">
        <f>Summary!Y75*0.05</f>
        <v/>
      </c>
      <c r="Z75" s="6">
        <f>Summary!Z75*0.05</f>
        <v/>
      </c>
      <c r="AA75" s="6">
        <f>Summary!AA75*0.05</f>
        <v/>
      </c>
      <c r="AB75" s="6">
        <f>SUM(D75:AA75)</f>
        <v/>
      </c>
      <c r="AC75" s="3" t="inlineStr"/>
      <c r="AD75" s="7">
        <f>D75*0.0029</f>
        <v/>
      </c>
      <c r="AE75" s="7">
        <f>E75*0.0029</f>
        <v/>
      </c>
      <c r="AF75" s="7">
        <f>F75*0.0029</f>
        <v/>
      </c>
      <c r="AG75" s="7">
        <f>G75*0.0029</f>
        <v/>
      </c>
      <c r="AH75" s="7">
        <f>H75*0.0029</f>
        <v/>
      </c>
      <c r="AI75" s="7">
        <f>I75*0.0029</f>
        <v/>
      </c>
      <c r="AJ75" s="7">
        <f>J75*0.0029</f>
        <v/>
      </c>
      <c r="AK75" s="7">
        <f>K75*0.0029</f>
        <v/>
      </c>
      <c r="AL75" s="7">
        <f>L75*0.0029</f>
        <v/>
      </c>
      <c r="AM75" s="7">
        <f>M75*0.0029</f>
        <v/>
      </c>
      <c r="AN75" s="7">
        <f>N75*0.0029</f>
        <v/>
      </c>
      <c r="AO75" s="7">
        <f>O75*0.0029</f>
        <v/>
      </c>
      <c r="AP75" s="7">
        <f>P75*0.0029</f>
        <v/>
      </c>
      <c r="AQ75" s="7">
        <f>Q75*0.0029</f>
        <v/>
      </c>
      <c r="AR75" s="7">
        <f>R75*0.0029</f>
        <v/>
      </c>
      <c r="AS75" s="7">
        <f>S75*0.0029</f>
        <v/>
      </c>
      <c r="AT75" s="7">
        <f>T75*0.0029</f>
        <v/>
      </c>
      <c r="AU75" s="7">
        <f>U75*0.0029</f>
        <v/>
      </c>
      <c r="AV75" s="7">
        <f>V75*0.0029</f>
        <v/>
      </c>
      <c r="AW75" s="7">
        <f>W75*0.0029</f>
        <v/>
      </c>
      <c r="AX75" s="7">
        <f>X75*0.0029</f>
        <v/>
      </c>
      <c r="AY75" s="7">
        <f>Y75*0.0029</f>
        <v/>
      </c>
      <c r="AZ75" s="7">
        <f>Z75*0.0029</f>
        <v/>
      </c>
      <c r="BA75" s="7">
        <f>AA75*0.0029</f>
        <v/>
      </c>
      <c r="BB75" s="7">
        <f>SUM(AD75:BA75)</f>
        <v/>
      </c>
    </row>
    <row r="76">
      <c r="A76" t="inlineStr">
        <is>
          <t>AMD-M2</t>
        </is>
      </c>
      <c r="B76" t="inlineStr">
        <is>
          <t>Forward Regular OSC</t>
        </is>
      </c>
      <c r="C76" s="5" t="n">
        <v>46089</v>
      </c>
      <c r="D76" s="6">
        <f>Summary!D76*0.05</f>
        <v/>
      </c>
      <c r="E76" s="6">
        <f>Summary!E76*0.05</f>
        <v/>
      </c>
      <c r="F76" s="6">
        <f>Summary!F76*0.05</f>
        <v/>
      </c>
      <c r="G76" s="6">
        <f>Summary!G76*0.05</f>
        <v/>
      </c>
      <c r="H76" s="6">
        <f>Summary!H76*0.05</f>
        <v/>
      </c>
      <c r="I76" s="6">
        <f>Summary!I76*0.05</f>
        <v/>
      </c>
      <c r="J76" s="6">
        <f>Summary!J76*0.05</f>
        <v/>
      </c>
      <c r="K76" s="6">
        <f>Summary!K76*0.05</f>
        <v/>
      </c>
      <c r="L76" s="6">
        <f>Summary!L76*0.05</f>
        <v/>
      </c>
      <c r="M76" s="6">
        <f>Summary!M76*0.05</f>
        <v/>
      </c>
      <c r="N76" s="6">
        <f>Summary!N76*0.05</f>
        <v/>
      </c>
      <c r="O76" s="6">
        <f>Summary!O76*0.05</f>
        <v/>
      </c>
      <c r="P76" s="6">
        <f>Summary!P76*0.05</f>
        <v/>
      </c>
      <c r="Q76" s="6">
        <f>Summary!Q76*0.05</f>
        <v/>
      </c>
      <c r="R76" s="6">
        <f>Summary!R76*0.05</f>
        <v/>
      </c>
      <c r="S76" s="6">
        <f>Summary!S76*0.05</f>
        <v/>
      </c>
      <c r="T76" s="6">
        <f>Summary!T76*0.05</f>
        <v/>
      </c>
      <c r="U76" s="6">
        <f>Summary!U76*0.05</f>
        <v/>
      </c>
      <c r="V76" s="6">
        <f>Summary!V76*0.05</f>
        <v/>
      </c>
      <c r="W76" s="6">
        <f>Summary!W76*0.05</f>
        <v/>
      </c>
      <c r="X76" s="6">
        <f>Summary!X76*0.05</f>
        <v/>
      </c>
      <c r="Y76" s="6">
        <f>Summary!Y76*0.05</f>
        <v/>
      </c>
      <c r="Z76" s="6">
        <f>Summary!Z76*0.05</f>
        <v/>
      </c>
      <c r="AA76" s="6">
        <f>Summary!AA76*0.05</f>
        <v/>
      </c>
      <c r="AB76" s="6">
        <f>SUM(D76:AA76)</f>
        <v/>
      </c>
      <c r="AC76" s="3" t="inlineStr"/>
      <c r="AD76" s="7">
        <f>D76*0.0029</f>
        <v/>
      </c>
      <c r="AE76" s="7">
        <f>E76*0.0029</f>
        <v/>
      </c>
      <c r="AF76" s="7">
        <f>F76*0.0029</f>
        <v/>
      </c>
      <c r="AG76" s="7">
        <f>G76*0.0029</f>
        <v/>
      </c>
      <c r="AH76" s="7">
        <f>H76*0.0029</f>
        <v/>
      </c>
      <c r="AI76" s="7">
        <f>I76*0.0029</f>
        <v/>
      </c>
      <c r="AJ76" s="7">
        <f>J76*0.0029</f>
        <v/>
      </c>
      <c r="AK76" s="7">
        <f>K76*0.0029</f>
        <v/>
      </c>
      <c r="AL76" s="7">
        <f>L76*0.0029</f>
        <v/>
      </c>
      <c r="AM76" s="7">
        <f>M76*0.0029</f>
        <v/>
      </c>
      <c r="AN76" s="7">
        <f>N76*0.0029</f>
        <v/>
      </c>
      <c r="AO76" s="7">
        <f>O76*0.0029</f>
        <v/>
      </c>
      <c r="AP76" s="7">
        <f>P76*0.0029</f>
        <v/>
      </c>
      <c r="AQ76" s="7">
        <f>Q76*0.0029</f>
        <v/>
      </c>
      <c r="AR76" s="7">
        <f>R76*0.0029</f>
        <v/>
      </c>
      <c r="AS76" s="7">
        <f>S76*0.0029</f>
        <v/>
      </c>
      <c r="AT76" s="7">
        <f>T76*0.0029</f>
        <v/>
      </c>
      <c r="AU76" s="7">
        <f>U76*0.0029</f>
        <v/>
      </c>
      <c r="AV76" s="7">
        <f>V76*0.0029</f>
        <v/>
      </c>
      <c r="AW76" s="7">
        <f>W76*0.0029</f>
        <v/>
      </c>
      <c r="AX76" s="7">
        <f>X76*0.0029</f>
        <v/>
      </c>
      <c r="AY76" s="7">
        <f>Y76*0.0029</f>
        <v/>
      </c>
      <c r="AZ76" s="7">
        <f>Z76*0.0029</f>
        <v/>
      </c>
      <c r="BA76" s="7">
        <f>AA76*0.0029</f>
        <v/>
      </c>
      <c r="BB76" s="7">
        <f>SUM(AD76:BA76)</f>
        <v/>
      </c>
    </row>
    <row r="77">
      <c r="A77" t="inlineStr">
        <is>
          <t>AMD-M2</t>
        </is>
      </c>
      <c r="B77" t="inlineStr">
        <is>
          <t>Forward Regular OSC</t>
        </is>
      </c>
      <c r="C77" s="5" t="n">
        <v>46090</v>
      </c>
      <c r="D77" s="6">
        <f>Summary!D77*0.05</f>
        <v/>
      </c>
      <c r="E77" s="6">
        <f>Summary!E77*0.05</f>
        <v/>
      </c>
      <c r="F77" s="6">
        <f>Summary!F77*0.05</f>
        <v/>
      </c>
      <c r="G77" s="6">
        <f>Summary!G77*0.05</f>
        <v/>
      </c>
      <c r="H77" s="6">
        <f>Summary!H77*0.05</f>
        <v/>
      </c>
      <c r="I77" s="6">
        <f>Summary!I77*0.05</f>
        <v/>
      </c>
      <c r="J77" s="6">
        <f>Summary!J77*0.05</f>
        <v/>
      </c>
      <c r="K77" s="6">
        <f>Summary!K77*0.05</f>
        <v/>
      </c>
      <c r="L77" s="6">
        <f>Summary!L77*0.05</f>
        <v/>
      </c>
      <c r="M77" s="6">
        <f>Summary!M77*0.05</f>
        <v/>
      </c>
      <c r="N77" s="6">
        <f>Summary!N77*0.05</f>
        <v/>
      </c>
      <c r="O77" s="6">
        <f>Summary!O77*0.05</f>
        <v/>
      </c>
      <c r="P77" s="6">
        <f>Summary!P77*0.05</f>
        <v/>
      </c>
      <c r="Q77" s="6">
        <f>Summary!Q77*0.05</f>
        <v/>
      </c>
      <c r="R77" s="6">
        <f>Summary!R77*0.05</f>
        <v/>
      </c>
      <c r="S77" s="6">
        <f>Summary!S77*0.05</f>
        <v/>
      </c>
      <c r="T77" s="6">
        <f>Summary!T77*0.05</f>
        <v/>
      </c>
      <c r="U77" s="6">
        <f>Summary!U77*0.05</f>
        <v/>
      </c>
      <c r="V77" s="6">
        <f>Summary!V77*0.05</f>
        <v/>
      </c>
      <c r="W77" s="6">
        <f>Summary!W77*0.05</f>
        <v/>
      </c>
      <c r="X77" s="6">
        <f>Summary!X77*0.05</f>
        <v/>
      </c>
      <c r="Y77" s="6">
        <f>Summary!Y77*0.05</f>
        <v/>
      </c>
      <c r="Z77" s="6">
        <f>Summary!Z77*0.05</f>
        <v/>
      </c>
      <c r="AA77" s="6">
        <f>Summary!AA77*0.05</f>
        <v/>
      </c>
      <c r="AB77" s="6">
        <f>SUM(D77:AA77)</f>
        <v/>
      </c>
      <c r="AC77" s="3" t="inlineStr"/>
      <c r="AD77" s="7">
        <f>D77*0.0029</f>
        <v/>
      </c>
      <c r="AE77" s="7">
        <f>E77*0.0029</f>
        <v/>
      </c>
      <c r="AF77" s="7">
        <f>F77*0.0029</f>
        <v/>
      </c>
      <c r="AG77" s="7">
        <f>G77*0.0029</f>
        <v/>
      </c>
      <c r="AH77" s="7">
        <f>H77*0.0029</f>
        <v/>
      </c>
      <c r="AI77" s="7">
        <f>I77*0.0029</f>
        <v/>
      </c>
      <c r="AJ77" s="7">
        <f>J77*0.0029</f>
        <v/>
      </c>
      <c r="AK77" s="7">
        <f>K77*0.0029</f>
        <v/>
      </c>
      <c r="AL77" s="7">
        <f>L77*0.0029</f>
        <v/>
      </c>
      <c r="AM77" s="7">
        <f>M77*0.0029</f>
        <v/>
      </c>
      <c r="AN77" s="7">
        <f>N77*0.0029</f>
        <v/>
      </c>
      <c r="AO77" s="7">
        <f>O77*0.0029</f>
        <v/>
      </c>
      <c r="AP77" s="7">
        <f>P77*0.0029</f>
        <v/>
      </c>
      <c r="AQ77" s="7">
        <f>Q77*0.0029</f>
        <v/>
      </c>
      <c r="AR77" s="7">
        <f>R77*0.0029</f>
        <v/>
      </c>
      <c r="AS77" s="7">
        <f>S77*0.0029</f>
        <v/>
      </c>
      <c r="AT77" s="7">
        <f>T77*0.0029</f>
        <v/>
      </c>
      <c r="AU77" s="7">
        <f>U77*0.0029</f>
        <v/>
      </c>
      <c r="AV77" s="7">
        <f>V77*0.0029</f>
        <v/>
      </c>
      <c r="AW77" s="7">
        <f>W77*0.0029</f>
        <v/>
      </c>
      <c r="AX77" s="7">
        <f>X77*0.0029</f>
        <v/>
      </c>
      <c r="AY77" s="7">
        <f>Y77*0.0029</f>
        <v/>
      </c>
      <c r="AZ77" s="7">
        <f>Z77*0.0029</f>
        <v/>
      </c>
      <c r="BA77" s="7">
        <f>AA77*0.0029</f>
        <v/>
      </c>
      <c r="BB77" s="7">
        <f>SUM(AD77:BA77)</f>
        <v/>
      </c>
    </row>
    <row r="78">
      <c r="A78" t="inlineStr">
        <is>
          <t>AMD-M2</t>
        </is>
      </c>
      <c r="B78" t="inlineStr">
        <is>
          <t>Forward Regular OSC</t>
        </is>
      </c>
      <c r="C78" s="5" t="n">
        <v>46091</v>
      </c>
      <c r="D78" s="6">
        <f>Summary!D78*0.05</f>
        <v/>
      </c>
      <c r="E78" s="6">
        <f>Summary!E78*0.05</f>
        <v/>
      </c>
      <c r="F78" s="6">
        <f>Summary!F78*0.05</f>
        <v/>
      </c>
      <c r="G78" s="6">
        <f>Summary!G78*0.05</f>
        <v/>
      </c>
      <c r="H78" s="6">
        <f>Summary!H78*0.05</f>
        <v/>
      </c>
      <c r="I78" s="6">
        <f>Summary!I78*0.05</f>
        <v/>
      </c>
      <c r="J78" s="6">
        <f>Summary!J78*0.05</f>
        <v/>
      </c>
      <c r="K78" s="6">
        <f>Summary!K78*0.05</f>
        <v/>
      </c>
      <c r="L78" s="6">
        <f>Summary!L78*0.05</f>
        <v/>
      </c>
      <c r="M78" s="6">
        <f>Summary!M78*0.05</f>
        <v/>
      </c>
      <c r="N78" s="6">
        <f>Summary!N78*0.05</f>
        <v/>
      </c>
      <c r="O78" s="6">
        <f>Summary!O78*0.05</f>
        <v/>
      </c>
      <c r="P78" s="6">
        <f>Summary!P78*0.05</f>
        <v/>
      </c>
      <c r="Q78" s="6">
        <f>Summary!Q78*0.05</f>
        <v/>
      </c>
      <c r="R78" s="6">
        <f>Summary!R78*0.05</f>
        <v/>
      </c>
      <c r="S78" s="6">
        <f>Summary!S78*0.05</f>
        <v/>
      </c>
      <c r="T78" s="6">
        <f>Summary!T78*0.05</f>
        <v/>
      </c>
      <c r="U78" s="6">
        <f>Summary!U78*0.05</f>
        <v/>
      </c>
      <c r="V78" s="6">
        <f>Summary!V78*0.05</f>
        <v/>
      </c>
      <c r="W78" s="6">
        <f>Summary!W78*0.05</f>
        <v/>
      </c>
      <c r="X78" s="6">
        <f>Summary!X78*0.05</f>
        <v/>
      </c>
      <c r="Y78" s="6">
        <f>Summary!Y78*0.05</f>
        <v/>
      </c>
      <c r="Z78" s="6">
        <f>Summary!Z78*0.05</f>
        <v/>
      </c>
      <c r="AA78" s="6">
        <f>Summary!AA78*0.05</f>
        <v/>
      </c>
      <c r="AB78" s="6">
        <f>SUM(D78:AA78)</f>
        <v/>
      </c>
      <c r="AC78" s="3" t="inlineStr"/>
      <c r="AD78" s="7">
        <f>D78*0.0029</f>
        <v/>
      </c>
      <c r="AE78" s="7">
        <f>E78*0.0029</f>
        <v/>
      </c>
      <c r="AF78" s="7">
        <f>F78*0.0029</f>
        <v/>
      </c>
      <c r="AG78" s="7">
        <f>G78*0.0029</f>
        <v/>
      </c>
      <c r="AH78" s="7">
        <f>H78*0.0029</f>
        <v/>
      </c>
      <c r="AI78" s="7">
        <f>I78*0.0029</f>
        <v/>
      </c>
      <c r="AJ78" s="7">
        <f>J78*0.0029</f>
        <v/>
      </c>
      <c r="AK78" s="7">
        <f>K78*0.0029</f>
        <v/>
      </c>
      <c r="AL78" s="7">
        <f>L78*0.0029</f>
        <v/>
      </c>
      <c r="AM78" s="7">
        <f>M78*0.0029</f>
        <v/>
      </c>
      <c r="AN78" s="7">
        <f>N78*0.0029</f>
        <v/>
      </c>
      <c r="AO78" s="7">
        <f>O78*0.0029</f>
        <v/>
      </c>
      <c r="AP78" s="7">
        <f>P78*0.0029</f>
        <v/>
      </c>
      <c r="AQ78" s="7">
        <f>Q78*0.0029</f>
        <v/>
      </c>
      <c r="AR78" s="7">
        <f>R78*0.0029</f>
        <v/>
      </c>
      <c r="AS78" s="7">
        <f>S78*0.0029</f>
        <v/>
      </c>
      <c r="AT78" s="7">
        <f>T78*0.0029</f>
        <v/>
      </c>
      <c r="AU78" s="7">
        <f>U78*0.0029</f>
        <v/>
      </c>
      <c r="AV78" s="7">
        <f>V78*0.0029</f>
        <v/>
      </c>
      <c r="AW78" s="7">
        <f>W78*0.0029</f>
        <v/>
      </c>
      <c r="AX78" s="7">
        <f>X78*0.0029</f>
        <v/>
      </c>
      <c r="AY78" s="7">
        <f>Y78*0.0029</f>
        <v/>
      </c>
      <c r="AZ78" s="7">
        <f>Z78*0.0029</f>
        <v/>
      </c>
      <c r="BA78" s="7">
        <f>AA78*0.0029</f>
        <v/>
      </c>
      <c r="BB78" s="7">
        <f>SUM(AD78:BA78)</f>
        <v/>
      </c>
    </row>
    <row r="79">
      <c r="A79" t="inlineStr">
        <is>
          <t>AMD-M2</t>
        </is>
      </c>
      <c r="B79" t="inlineStr">
        <is>
          <t>Forward Regular OSC</t>
        </is>
      </c>
      <c r="C79" s="5" t="n">
        <v>46092</v>
      </c>
      <c r="D79" s="6">
        <f>Summary!D79*0.05</f>
        <v/>
      </c>
      <c r="E79" s="6">
        <f>Summary!E79*0.05</f>
        <v/>
      </c>
      <c r="F79" s="6">
        <f>Summary!F79*0.05</f>
        <v/>
      </c>
      <c r="G79" s="6">
        <f>Summary!G79*0.05</f>
        <v/>
      </c>
      <c r="H79" s="6">
        <f>Summary!H79*0.05</f>
        <v/>
      </c>
      <c r="I79" s="6">
        <f>Summary!I79*0.05</f>
        <v/>
      </c>
      <c r="J79" s="6">
        <f>Summary!J79*0.05</f>
        <v/>
      </c>
      <c r="K79" s="6">
        <f>Summary!K79*0.05</f>
        <v/>
      </c>
      <c r="L79" s="6">
        <f>Summary!L79*0.05</f>
        <v/>
      </c>
      <c r="M79" s="6">
        <f>Summary!M79*0.05</f>
        <v/>
      </c>
      <c r="N79" s="6">
        <f>Summary!N79*0.05</f>
        <v/>
      </c>
      <c r="O79" s="6">
        <f>Summary!O79*0.05</f>
        <v/>
      </c>
      <c r="P79" s="6">
        <f>Summary!P79*0.05</f>
        <v/>
      </c>
      <c r="Q79" s="6">
        <f>Summary!Q79*0.05</f>
        <v/>
      </c>
      <c r="R79" s="6">
        <f>Summary!R79*0.05</f>
        <v/>
      </c>
      <c r="S79" s="6">
        <f>Summary!S79*0.05</f>
        <v/>
      </c>
      <c r="T79" s="6">
        <f>Summary!T79*0.05</f>
        <v/>
      </c>
      <c r="U79" s="6">
        <f>Summary!U79*0.05</f>
        <v/>
      </c>
      <c r="V79" s="6">
        <f>Summary!V79*0.05</f>
        <v/>
      </c>
      <c r="W79" s="6">
        <f>Summary!W79*0.05</f>
        <v/>
      </c>
      <c r="X79" s="6">
        <f>Summary!X79*0.05</f>
        <v/>
      </c>
      <c r="Y79" s="6">
        <f>Summary!Y79*0.05</f>
        <v/>
      </c>
      <c r="Z79" s="6">
        <f>Summary!Z79*0.05</f>
        <v/>
      </c>
      <c r="AA79" s="6">
        <f>Summary!AA79*0.05</f>
        <v/>
      </c>
      <c r="AB79" s="6">
        <f>SUM(D79:AA79)</f>
        <v/>
      </c>
      <c r="AC79" s="3" t="inlineStr"/>
      <c r="AD79" s="7">
        <f>D79*0.0029</f>
        <v/>
      </c>
      <c r="AE79" s="7">
        <f>E79*0.0029</f>
        <v/>
      </c>
      <c r="AF79" s="7">
        <f>F79*0.0029</f>
        <v/>
      </c>
      <c r="AG79" s="7">
        <f>G79*0.0029</f>
        <v/>
      </c>
      <c r="AH79" s="7">
        <f>H79*0.0029</f>
        <v/>
      </c>
      <c r="AI79" s="7">
        <f>I79*0.0029</f>
        <v/>
      </c>
      <c r="AJ79" s="7">
        <f>J79*0.0029</f>
        <v/>
      </c>
      <c r="AK79" s="7">
        <f>K79*0.0029</f>
        <v/>
      </c>
      <c r="AL79" s="7">
        <f>L79*0.0029</f>
        <v/>
      </c>
      <c r="AM79" s="7">
        <f>M79*0.0029</f>
        <v/>
      </c>
      <c r="AN79" s="7">
        <f>N79*0.0029</f>
        <v/>
      </c>
      <c r="AO79" s="7">
        <f>O79*0.0029</f>
        <v/>
      </c>
      <c r="AP79" s="7">
        <f>P79*0.0029</f>
        <v/>
      </c>
      <c r="AQ79" s="7">
        <f>Q79*0.0029</f>
        <v/>
      </c>
      <c r="AR79" s="7">
        <f>R79*0.0029</f>
        <v/>
      </c>
      <c r="AS79" s="7">
        <f>S79*0.0029</f>
        <v/>
      </c>
      <c r="AT79" s="7">
        <f>T79*0.0029</f>
        <v/>
      </c>
      <c r="AU79" s="7">
        <f>U79*0.0029</f>
        <v/>
      </c>
      <c r="AV79" s="7">
        <f>V79*0.0029</f>
        <v/>
      </c>
      <c r="AW79" s="7">
        <f>W79*0.0029</f>
        <v/>
      </c>
      <c r="AX79" s="7">
        <f>X79*0.0029</f>
        <v/>
      </c>
      <c r="AY79" s="7">
        <f>Y79*0.0029</f>
        <v/>
      </c>
      <c r="AZ79" s="7">
        <f>Z79*0.0029</f>
        <v/>
      </c>
      <c r="BA79" s="7">
        <f>AA79*0.0029</f>
        <v/>
      </c>
      <c r="BB79" s="7">
        <f>SUM(AD79:BA79)</f>
        <v/>
      </c>
    </row>
    <row r="80">
      <c r="A80" t="inlineStr">
        <is>
          <t>AMD-M2</t>
        </is>
      </c>
      <c r="B80" t="inlineStr">
        <is>
          <t>Forward Regular OSC</t>
        </is>
      </c>
      <c r="C80" s="5" t="n">
        <v>46093</v>
      </c>
      <c r="D80" s="6">
        <f>Summary!D80*0.05</f>
        <v/>
      </c>
      <c r="E80" s="6">
        <f>Summary!E80*0.05</f>
        <v/>
      </c>
      <c r="F80" s="6">
        <f>Summary!F80*0.05</f>
        <v/>
      </c>
      <c r="G80" s="6">
        <f>Summary!G80*0.05</f>
        <v/>
      </c>
      <c r="H80" s="6">
        <f>Summary!H80*0.05</f>
        <v/>
      </c>
      <c r="I80" s="6">
        <f>Summary!I80*0.05</f>
        <v/>
      </c>
      <c r="J80" s="6">
        <f>Summary!J80*0.05</f>
        <v/>
      </c>
      <c r="K80" s="6">
        <f>Summary!K80*0.05</f>
        <v/>
      </c>
      <c r="L80" s="6">
        <f>Summary!L80*0.05</f>
        <v/>
      </c>
      <c r="M80" s="6">
        <f>Summary!M80*0.05</f>
        <v/>
      </c>
      <c r="N80" s="6">
        <f>Summary!N80*0.05</f>
        <v/>
      </c>
      <c r="O80" s="6">
        <f>Summary!O80*0.05</f>
        <v/>
      </c>
      <c r="P80" s="6">
        <f>Summary!P80*0.05</f>
        <v/>
      </c>
      <c r="Q80" s="6">
        <f>Summary!Q80*0.05</f>
        <v/>
      </c>
      <c r="R80" s="6">
        <f>Summary!R80*0.05</f>
        <v/>
      </c>
      <c r="S80" s="6">
        <f>Summary!S80*0.05</f>
        <v/>
      </c>
      <c r="T80" s="6">
        <f>Summary!T80*0.05</f>
        <v/>
      </c>
      <c r="U80" s="6">
        <f>Summary!U80*0.05</f>
        <v/>
      </c>
      <c r="V80" s="6">
        <f>Summary!V80*0.05</f>
        <v/>
      </c>
      <c r="W80" s="6">
        <f>Summary!W80*0.05</f>
        <v/>
      </c>
      <c r="X80" s="6">
        <f>Summary!X80*0.05</f>
        <v/>
      </c>
      <c r="Y80" s="6">
        <f>Summary!Y80*0.05</f>
        <v/>
      </c>
      <c r="Z80" s="6">
        <f>Summary!Z80*0.05</f>
        <v/>
      </c>
      <c r="AA80" s="6">
        <f>Summary!AA80*0.05</f>
        <v/>
      </c>
      <c r="AB80" s="6">
        <f>SUM(D80:AA80)</f>
        <v/>
      </c>
      <c r="AC80" s="3" t="inlineStr"/>
      <c r="AD80" s="7">
        <f>D80*0.0029</f>
        <v/>
      </c>
      <c r="AE80" s="7">
        <f>E80*0.0029</f>
        <v/>
      </c>
      <c r="AF80" s="7">
        <f>F80*0.0029</f>
        <v/>
      </c>
      <c r="AG80" s="7">
        <f>G80*0.0029</f>
        <v/>
      </c>
      <c r="AH80" s="7">
        <f>H80*0.0029</f>
        <v/>
      </c>
      <c r="AI80" s="7">
        <f>I80*0.0029</f>
        <v/>
      </c>
      <c r="AJ80" s="7">
        <f>J80*0.0029</f>
        <v/>
      </c>
      <c r="AK80" s="7">
        <f>K80*0.0029</f>
        <v/>
      </c>
      <c r="AL80" s="7">
        <f>L80*0.0029</f>
        <v/>
      </c>
      <c r="AM80" s="7">
        <f>M80*0.0029</f>
        <v/>
      </c>
      <c r="AN80" s="7">
        <f>N80*0.0029</f>
        <v/>
      </c>
      <c r="AO80" s="7">
        <f>O80*0.0029</f>
        <v/>
      </c>
      <c r="AP80" s="7">
        <f>P80*0.0029</f>
        <v/>
      </c>
      <c r="AQ80" s="7">
        <f>Q80*0.0029</f>
        <v/>
      </c>
      <c r="AR80" s="7">
        <f>R80*0.0029</f>
        <v/>
      </c>
      <c r="AS80" s="7">
        <f>S80*0.0029</f>
        <v/>
      </c>
      <c r="AT80" s="7">
        <f>T80*0.0029</f>
        <v/>
      </c>
      <c r="AU80" s="7">
        <f>U80*0.0029</f>
        <v/>
      </c>
      <c r="AV80" s="7">
        <f>V80*0.0029</f>
        <v/>
      </c>
      <c r="AW80" s="7">
        <f>W80*0.0029</f>
        <v/>
      </c>
      <c r="AX80" s="7">
        <f>X80*0.0029</f>
        <v/>
      </c>
      <c r="AY80" s="7">
        <f>Y80*0.0029</f>
        <v/>
      </c>
      <c r="AZ80" s="7">
        <f>Z80*0.0029</f>
        <v/>
      </c>
      <c r="BA80" s="7">
        <f>AA80*0.0029</f>
        <v/>
      </c>
      <c r="BB80" s="7">
        <f>SUM(AD80:BA80)</f>
        <v/>
      </c>
    </row>
    <row r="81">
      <c r="A81" t="inlineStr">
        <is>
          <t>AMD-M2</t>
        </is>
      </c>
      <c r="B81" t="inlineStr">
        <is>
          <t>Forward Regular OSC</t>
        </is>
      </c>
      <c r="C81" s="5" t="n">
        <v>46094</v>
      </c>
      <c r="D81" s="6">
        <f>Summary!D81*0.05</f>
        <v/>
      </c>
      <c r="E81" s="6">
        <f>Summary!E81*0.05</f>
        <v/>
      </c>
      <c r="F81" s="6">
        <f>Summary!F81*0.05</f>
        <v/>
      </c>
      <c r="G81" s="6">
        <f>Summary!G81*0.05</f>
        <v/>
      </c>
      <c r="H81" s="6">
        <f>Summary!H81*0.05</f>
        <v/>
      </c>
      <c r="I81" s="6">
        <f>Summary!I81*0.05</f>
        <v/>
      </c>
      <c r="J81" s="6">
        <f>Summary!J81*0.05</f>
        <v/>
      </c>
      <c r="K81" s="6">
        <f>Summary!K81*0.05</f>
        <v/>
      </c>
      <c r="L81" s="6">
        <f>Summary!L81*0.05</f>
        <v/>
      </c>
      <c r="M81" s="6">
        <f>Summary!M81*0.05</f>
        <v/>
      </c>
      <c r="N81" s="6">
        <f>Summary!N81*0.05</f>
        <v/>
      </c>
      <c r="O81" s="6">
        <f>Summary!O81*0.05</f>
        <v/>
      </c>
      <c r="P81" s="6">
        <f>Summary!P81*0.05</f>
        <v/>
      </c>
      <c r="Q81" s="6">
        <f>Summary!Q81*0.05</f>
        <v/>
      </c>
      <c r="R81" s="6">
        <f>Summary!R81*0.05</f>
        <v/>
      </c>
      <c r="S81" s="6">
        <f>Summary!S81*0.05</f>
        <v/>
      </c>
      <c r="T81" s="6">
        <f>Summary!T81*0.05</f>
        <v/>
      </c>
      <c r="U81" s="6">
        <f>Summary!U81*0.05</f>
        <v/>
      </c>
      <c r="V81" s="6">
        <f>Summary!V81*0.05</f>
        <v/>
      </c>
      <c r="W81" s="6">
        <f>Summary!W81*0.05</f>
        <v/>
      </c>
      <c r="X81" s="6">
        <f>Summary!X81*0.05</f>
        <v/>
      </c>
      <c r="Y81" s="6">
        <f>Summary!Y81*0.05</f>
        <v/>
      </c>
      <c r="Z81" s="6">
        <f>Summary!Z81*0.05</f>
        <v/>
      </c>
      <c r="AA81" s="6">
        <f>Summary!AA81*0.05</f>
        <v/>
      </c>
      <c r="AB81" s="6">
        <f>SUM(D81:AA81)</f>
        <v/>
      </c>
      <c r="AC81" s="3" t="inlineStr"/>
      <c r="AD81" s="7">
        <f>D81*0.0029</f>
        <v/>
      </c>
      <c r="AE81" s="7">
        <f>E81*0.0029</f>
        <v/>
      </c>
      <c r="AF81" s="7">
        <f>F81*0.0029</f>
        <v/>
      </c>
      <c r="AG81" s="7">
        <f>G81*0.0029</f>
        <v/>
      </c>
      <c r="AH81" s="7">
        <f>H81*0.0029</f>
        <v/>
      </c>
      <c r="AI81" s="7">
        <f>I81*0.0029</f>
        <v/>
      </c>
      <c r="AJ81" s="7">
        <f>J81*0.0029</f>
        <v/>
      </c>
      <c r="AK81" s="7">
        <f>K81*0.0029</f>
        <v/>
      </c>
      <c r="AL81" s="7">
        <f>L81*0.0029</f>
        <v/>
      </c>
      <c r="AM81" s="7">
        <f>M81*0.0029</f>
        <v/>
      </c>
      <c r="AN81" s="7">
        <f>N81*0.0029</f>
        <v/>
      </c>
      <c r="AO81" s="7">
        <f>O81*0.0029</f>
        <v/>
      </c>
      <c r="AP81" s="7">
        <f>P81*0.0029</f>
        <v/>
      </c>
      <c r="AQ81" s="7">
        <f>Q81*0.0029</f>
        <v/>
      </c>
      <c r="AR81" s="7">
        <f>R81*0.0029</f>
        <v/>
      </c>
      <c r="AS81" s="7">
        <f>S81*0.0029</f>
        <v/>
      </c>
      <c r="AT81" s="7">
        <f>T81*0.0029</f>
        <v/>
      </c>
      <c r="AU81" s="7">
        <f>U81*0.0029</f>
        <v/>
      </c>
      <c r="AV81" s="7">
        <f>V81*0.0029</f>
        <v/>
      </c>
      <c r="AW81" s="7">
        <f>W81*0.0029</f>
        <v/>
      </c>
      <c r="AX81" s="7">
        <f>X81*0.0029</f>
        <v/>
      </c>
      <c r="AY81" s="7">
        <f>Y81*0.0029</f>
        <v/>
      </c>
      <c r="AZ81" s="7">
        <f>Z81*0.0029</f>
        <v/>
      </c>
      <c r="BA81" s="7">
        <f>AA81*0.0029</f>
        <v/>
      </c>
      <c r="BB81" s="7">
        <f>SUM(AD81:BA81)</f>
        <v/>
      </c>
    </row>
    <row r="82">
      <c r="A82" t="inlineStr">
        <is>
          <t>AMD-M2</t>
        </is>
      </c>
      <c r="B82" t="inlineStr">
        <is>
          <t>Forward Regular OSC</t>
        </is>
      </c>
      <c r="C82" s="5" t="n">
        <v>46095</v>
      </c>
      <c r="D82" s="6">
        <f>Summary!D82*0.05</f>
        <v/>
      </c>
      <c r="E82" s="6">
        <f>Summary!E82*0.05</f>
        <v/>
      </c>
      <c r="F82" s="6">
        <f>Summary!F82*0.05</f>
        <v/>
      </c>
      <c r="G82" s="6">
        <f>Summary!G82*0.05</f>
        <v/>
      </c>
      <c r="H82" s="6">
        <f>Summary!H82*0.05</f>
        <v/>
      </c>
      <c r="I82" s="6">
        <f>Summary!I82*0.05</f>
        <v/>
      </c>
      <c r="J82" s="6">
        <f>Summary!J82*0.05</f>
        <v/>
      </c>
      <c r="K82" s="6">
        <f>Summary!K82*0.05</f>
        <v/>
      </c>
      <c r="L82" s="6">
        <f>Summary!L82*0.05</f>
        <v/>
      </c>
      <c r="M82" s="6">
        <f>Summary!M82*0.05</f>
        <v/>
      </c>
      <c r="N82" s="6">
        <f>Summary!N82*0.05</f>
        <v/>
      </c>
      <c r="O82" s="6">
        <f>Summary!O82*0.05</f>
        <v/>
      </c>
      <c r="P82" s="6">
        <f>Summary!P82*0.05</f>
        <v/>
      </c>
      <c r="Q82" s="6">
        <f>Summary!Q82*0.05</f>
        <v/>
      </c>
      <c r="R82" s="6">
        <f>Summary!R82*0.05</f>
        <v/>
      </c>
      <c r="S82" s="6">
        <f>Summary!S82*0.05</f>
        <v/>
      </c>
      <c r="T82" s="6">
        <f>Summary!T82*0.05</f>
        <v/>
      </c>
      <c r="U82" s="6">
        <f>Summary!U82*0.05</f>
        <v/>
      </c>
      <c r="V82" s="6">
        <f>Summary!V82*0.05</f>
        <v/>
      </c>
      <c r="W82" s="6">
        <f>Summary!W82*0.05</f>
        <v/>
      </c>
      <c r="X82" s="6">
        <f>Summary!X82*0.05</f>
        <v/>
      </c>
      <c r="Y82" s="6">
        <f>Summary!Y82*0.05</f>
        <v/>
      </c>
      <c r="Z82" s="6">
        <f>Summary!Z82*0.05</f>
        <v/>
      </c>
      <c r="AA82" s="6">
        <f>Summary!AA82*0.05</f>
        <v/>
      </c>
      <c r="AB82" s="6">
        <f>SUM(D82:AA82)</f>
        <v/>
      </c>
      <c r="AC82" s="3" t="inlineStr"/>
      <c r="AD82" s="7">
        <f>D82*0.0029</f>
        <v/>
      </c>
      <c r="AE82" s="7">
        <f>E82*0.0029</f>
        <v/>
      </c>
      <c r="AF82" s="7">
        <f>F82*0.0029</f>
        <v/>
      </c>
      <c r="AG82" s="7">
        <f>G82*0.0029</f>
        <v/>
      </c>
      <c r="AH82" s="7">
        <f>H82*0.0029</f>
        <v/>
      </c>
      <c r="AI82" s="7">
        <f>I82*0.0029</f>
        <v/>
      </c>
      <c r="AJ82" s="7">
        <f>J82*0.0029</f>
        <v/>
      </c>
      <c r="AK82" s="7">
        <f>K82*0.0029</f>
        <v/>
      </c>
      <c r="AL82" s="7">
        <f>L82*0.0029</f>
        <v/>
      </c>
      <c r="AM82" s="7">
        <f>M82*0.0029</f>
        <v/>
      </c>
      <c r="AN82" s="7">
        <f>N82*0.0029</f>
        <v/>
      </c>
      <c r="AO82" s="7">
        <f>O82*0.0029</f>
        <v/>
      </c>
      <c r="AP82" s="7">
        <f>P82*0.0029</f>
        <v/>
      </c>
      <c r="AQ82" s="7">
        <f>Q82*0.0029</f>
        <v/>
      </c>
      <c r="AR82" s="7">
        <f>R82*0.0029</f>
        <v/>
      </c>
      <c r="AS82" s="7">
        <f>S82*0.0029</f>
        <v/>
      </c>
      <c r="AT82" s="7">
        <f>T82*0.0029</f>
        <v/>
      </c>
      <c r="AU82" s="7">
        <f>U82*0.0029</f>
        <v/>
      </c>
      <c r="AV82" s="7">
        <f>V82*0.0029</f>
        <v/>
      </c>
      <c r="AW82" s="7">
        <f>W82*0.0029</f>
        <v/>
      </c>
      <c r="AX82" s="7">
        <f>X82*0.0029</f>
        <v/>
      </c>
      <c r="AY82" s="7">
        <f>Y82*0.0029</f>
        <v/>
      </c>
      <c r="AZ82" s="7">
        <f>Z82*0.0029</f>
        <v/>
      </c>
      <c r="BA82" s="7">
        <f>AA82*0.0029</f>
        <v/>
      </c>
      <c r="BB82" s="7">
        <f>SUM(AD82:BA82)</f>
        <v/>
      </c>
    </row>
    <row r="83">
      <c r="A83" t="inlineStr">
        <is>
          <t>AMD-M2</t>
        </is>
      </c>
      <c r="B83" t="inlineStr">
        <is>
          <t>Forward Regular OSC</t>
        </is>
      </c>
      <c r="C83" s="5" t="n">
        <v>46096</v>
      </c>
      <c r="D83" s="6">
        <f>Summary!D83*0.05</f>
        <v/>
      </c>
      <c r="E83" s="6">
        <f>Summary!E83*0.05</f>
        <v/>
      </c>
      <c r="F83" s="6">
        <f>Summary!F83*0.05</f>
        <v/>
      </c>
      <c r="G83" s="6">
        <f>Summary!G83*0.05</f>
        <v/>
      </c>
      <c r="H83" s="6">
        <f>Summary!H83*0.05</f>
        <v/>
      </c>
      <c r="I83" s="6">
        <f>Summary!I83*0.05</f>
        <v/>
      </c>
      <c r="J83" s="6">
        <f>Summary!J83*0.05</f>
        <v/>
      </c>
      <c r="K83" s="6">
        <f>Summary!K83*0.05</f>
        <v/>
      </c>
      <c r="L83" s="6">
        <f>Summary!L83*0.05</f>
        <v/>
      </c>
      <c r="M83" s="6">
        <f>Summary!M83*0.05</f>
        <v/>
      </c>
      <c r="N83" s="6">
        <f>Summary!N83*0.05</f>
        <v/>
      </c>
      <c r="O83" s="6">
        <f>Summary!O83*0.05</f>
        <v/>
      </c>
      <c r="P83" s="6">
        <f>Summary!P83*0.05</f>
        <v/>
      </c>
      <c r="Q83" s="6">
        <f>Summary!Q83*0.05</f>
        <v/>
      </c>
      <c r="R83" s="6">
        <f>Summary!R83*0.05</f>
        <v/>
      </c>
      <c r="S83" s="6">
        <f>Summary!S83*0.05</f>
        <v/>
      </c>
      <c r="T83" s="6">
        <f>Summary!T83*0.05</f>
        <v/>
      </c>
      <c r="U83" s="6">
        <f>Summary!U83*0.05</f>
        <v/>
      </c>
      <c r="V83" s="6">
        <f>Summary!V83*0.05</f>
        <v/>
      </c>
      <c r="W83" s="6">
        <f>Summary!W83*0.05</f>
        <v/>
      </c>
      <c r="X83" s="6">
        <f>Summary!X83*0.05</f>
        <v/>
      </c>
      <c r="Y83" s="6">
        <f>Summary!Y83*0.05</f>
        <v/>
      </c>
      <c r="Z83" s="6">
        <f>Summary!Z83*0.05</f>
        <v/>
      </c>
      <c r="AA83" s="6">
        <f>Summary!AA83*0.05</f>
        <v/>
      </c>
      <c r="AB83" s="6">
        <f>SUM(D83:AA83)</f>
        <v/>
      </c>
      <c r="AC83" s="3" t="inlineStr"/>
      <c r="AD83" s="7">
        <f>D83*0.0029</f>
        <v/>
      </c>
      <c r="AE83" s="7">
        <f>E83*0.0029</f>
        <v/>
      </c>
      <c r="AF83" s="7">
        <f>F83*0.0029</f>
        <v/>
      </c>
      <c r="AG83" s="7">
        <f>G83*0.0029</f>
        <v/>
      </c>
      <c r="AH83" s="7">
        <f>H83*0.0029</f>
        <v/>
      </c>
      <c r="AI83" s="7">
        <f>I83*0.0029</f>
        <v/>
      </c>
      <c r="AJ83" s="7">
        <f>J83*0.0029</f>
        <v/>
      </c>
      <c r="AK83" s="7">
        <f>K83*0.0029</f>
        <v/>
      </c>
      <c r="AL83" s="7">
        <f>L83*0.0029</f>
        <v/>
      </c>
      <c r="AM83" s="7">
        <f>M83*0.0029</f>
        <v/>
      </c>
      <c r="AN83" s="7">
        <f>N83*0.0029</f>
        <v/>
      </c>
      <c r="AO83" s="7">
        <f>O83*0.0029</f>
        <v/>
      </c>
      <c r="AP83" s="7">
        <f>P83*0.0029</f>
        <v/>
      </c>
      <c r="AQ83" s="7">
        <f>Q83*0.0029</f>
        <v/>
      </c>
      <c r="AR83" s="7">
        <f>R83*0.0029</f>
        <v/>
      </c>
      <c r="AS83" s="7">
        <f>S83*0.0029</f>
        <v/>
      </c>
      <c r="AT83" s="7">
        <f>T83*0.0029</f>
        <v/>
      </c>
      <c r="AU83" s="7">
        <f>U83*0.0029</f>
        <v/>
      </c>
      <c r="AV83" s="7">
        <f>V83*0.0029</f>
        <v/>
      </c>
      <c r="AW83" s="7">
        <f>W83*0.0029</f>
        <v/>
      </c>
      <c r="AX83" s="7">
        <f>X83*0.0029</f>
        <v/>
      </c>
      <c r="AY83" s="7">
        <f>Y83*0.0029</f>
        <v/>
      </c>
      <c r="AZ83" s="7">
        <f>Z83*0.0029</f>
        <v/>
      </c>
      <c r="BA83" s="7">
        <f>AA83*0.0029</f>
        <v/>
      </c>
      <c r="BB83" s="7">
        <f>SUM(AD83:BA83)</f>
        <v/>
      </c>
    </row>
    <row r="84">
      <c r="A84" t="inlineStr">
        <is>
          <t>AMD-M2</t>
        </is>
      </c>
      <c r="B84" t="inlineStr">
        <is>
          <t>Forward Regular OSC</t>
        </is>
      </c>
      <c r="C84" s="5" t="n">
        <v>46097</v>
      </c>
      <c r="D84" s="6">
        <f>Summary!D84*0.05</f>
        <v/>
      </c>
      <c r="E84" s="6">
        <f>Summary!E84*0.05</f>
        <v/>
      </c>
      <c r="F84" s="6">
        <f>Summary!F84*0.05</f>
        <v/>
      </c>
      <c r="G84" s="6">
        <f>Summary!G84*0.05</f>
        <v/>
      </c>
      <c r="H84" s="6">
        <f>Summary!H84*0.05</f>
        <v/>
      </c>
      <c r="I84" s="6">
        <f>Summary!I84*0.05</f>
        <v/>
      </c>
      <c r="J84" s="6">
        <f>Summary!J84*0.05</f>
        <v/>
      </c>
      <c r="K84" s="6">
        <f>Summary!K84*0.05</f>
        <v/>
      </c>
      <c r="L84" s="6">
        <f>Summary!L84*0.05</f>
        <v/>
      </c>
      <c r="M84" s="6">
        <f>Summary!M84*0.05</f>
        <v/>
      </c>
      <c r="N84" s="6">
        <f>Summary!N84*0.05</f>
        <v/>
      </c>
      <c r="O84" s="6">
        <f>Summary!O84*0.05</f>
        <v/>
      </c>
      <c r="P84" s="6">
        <f>Summary!P84*0.05</f>
        <v/>
      </c>
      <c r="Q84" s="6">
        <f>Summary!Q84*0.05</f>
        <v/>
      </c>
      <c r="R84" s="6">
        <f>Summary!R84*0.05</f>
        <v/>
      </c>
      <c r="S84" s="6">
        <f>Summary!S84*0.05</f>
        <v/>
      </c>
      <c r="T84" s="6">
        <f>Summary!T84*0.05</f>
        <v/>
      </c>
      <c r="U84" s="6">
        <f>Summary!U84*0.05</f>
        <v/>
      </c>
      <c r="V84" s="6">
        <f>Summary!V84*0.05</f>
        <v/>
      </c>
      <c r="W84" s="6">
        <f>Summary!W84*0.05</f>
        <v/>
      </c>
      <c r="X84" s="6">
        <f>Summary!X84*0.05</f>
        <v/>
      </c>
      <c r="Y84" s="6">
        <f>Summary!Y84*0.05</f>
        <v/>
      </c>
      <c r="Z84" s="6">
        <f>Summary!Z84*0.05</f>
        <v/>
      </c>
      <c r="AA84" s="6">
        <f>Summary!AA84*0.05</f>
        <v/>
      </c>
      <c r="AB84" s="6">
        <f>SUM(D84:AA84)</f>
        <v/>
      </c>
      <c r="AC84" s="3" t="inlineStr"/>
      <c r="AD84" s="7">
        <f>D84*0.0029</f>
        <v/>
      </c>
      <c r="AE84" s="7">
        <f>E84*0.0029</f>
        <v/>
      </c>
      <c r="AF84" s="7">
        <f>F84*0.0029</f>
        <v/>
      </c>
      <c r="AG84" s="7">
        <f>G84*0.0029</f>
        <v/>
      </c>
      <c r="AH84" s="7">
        <f>H84*0.0029</f>
        <v/>
      </c>
      <c r="AI84" s="7">
        <f>I84*0.0029</f>
        <v/>
      </c>
      <c r="AJ84" s="7">
        <f>J84*0.0029</f>
        <v/>
      </c>
      <c r="AK84" s="7">
        <f>K84*0.0029</f>
        <v/>
      </c>
      <c r="AL84" s="7">
        <f>L84*0.0029</f>
        <v/>
      </c>
      <c r="AM84" s="7">
        <f>M84*0.0029</f>
        <v/>
      </c>
      <c r="AN84" s="7">
        <f>N84*0.0029</f>
        <v/>
      </c>
      <c r="AO84" s="7">
        <f>O84*0.0029</f>
        <v/>
      </c>
      <c r="AP84" s="7">
        <f>P84*0.0029</f>
        <v/>
      </c>
      <c r="AQ84" s="7">
        <f>Q84*0.0029</f>
        <v/>
      </c>
      <c r="AR84" s="7">
        <f>R84*0.0029</f>
        <v/>
      </c>
      <c r="AS84" s="7">
        <f>S84*0.0029</f>
        <v/>
      </c>
      <c r="AT84" s="7">
        <f>T84*0.0029</f>
        <v/>
      </c>
      <c r="AU84" s="7">
        <f>U84*0.0029</f>
        <v/>
      </c>
      <c r="AV84" s="7">
        <f>V84*0.0029</f>
        <v/>
      </c>
      <c r="AW84" s="7">
        <f>W84*0.0029</f>
        <v/>
      </c>
      <c r="AX84" s="7">
        <f>X84*0.0029</f>
        <v/>
      </c>
      <c r="AY84" s="7">
        <f>Y84*0.0029</f>
        <v/>
      </c>
      <c r="AZ84" s="7">
        <f>Z84*0.0029</f>
        <v/>
      </c>
      <c r="BA84" s="7">
        <f>AA84*0.0029</f>
        <v/>
      </c>
      <c r="BB84" s="7">
        <f>SUM(AD84:BA84)</f>
        <v/>
      </c>
    </row>
    <row r="85">
      <c r="A85" t="inlineStr">
        <is>
          <t>AMD-MU-01</t>
        </is>
      </c>
      <c r="B85" t="inlineStr">
        <is>
          <t>Forward Regular OSC</t>
        </is>
      </c>
      <c r="C85" s="5" t="n">
        <v>46091</v>
      </c>
      <c r="D85" s="6">
        <f>Summary!D85*0.05</f>
        <v/>
      </c>
      <c r="E85" s="6">
        <f>Summary!E85*0.05</f>
        <v/>
      </c>
      <c r="F85" s="6">
        <f>Summary!F85*0.05</f>
        <v/>
      </c>
      <c r="G85" s="6">
        <f>Summary!G85*0.05</f>
        <v/>
      </c>
      <c r="H85" s="6">
        <f>Summary!H85*0.05</f>
        <v/>
      </c>
      <c r="I85" s="6">
        <f>Summary!I85*0.05</f>
        <v/>
      </c>
      <c r="J85" s="6">
        <f>Summary!J85*0.05</f>
        <v/>
      </c>
      <c r="K85" s="6">
        <f>Summary!K85*0.05</f>
        <v/>
      </c>
      <c r="L85" s="6">
        <f>Summary!L85*0.05</f>
        <v/>
      </c>
      <c r="M85" s="6">
        <f>Summary!M85*0.05</f>
        <v/>
      </c>
      <c r="N85" s="6">
        <f>Summary!N85*0.05</f>
        <v/>
      </c>
      <c r="O85" s="6">
        <f>Summary!O85*0.05</f>
        <v/>
      </c>
      <c r="P85" s="6">
        <f>Summary!P85*0.05</f>
        <v/>
      </c>
      <c r="Q85" s="6">
        <f>Summary!Q85*0.05</f>
        <v/>
      </c>
      <c r="R85" s="6">
        <f>Summary!R85*0.05</f>
        <v/>
      </c>
      <c r="S85" s="6">
        <f>Summary!S85*0.05</f>
        <v/>
      </c>
      <c r="T85" s="6">
        <f>Summary!T85*0.05</f>
        <v/>
      </c>
      <c r="U85" s="6">
        <f>Summary!U85*0.05</f>
        <v/>
      </c>
      <c r="V85" s="6">
        <f>Summary!V85*0.05</f>
        <v/>
      </c>
      <c r="W85" s="6">
        <f>Summary!W85*0.05</f>
        <v/>
      </c>
      <c r="X85" s="6">
        <f>Summary!X85*0.05</f>
        <v/>
      </c>
      <c r="Y85" s="6">
        <f>Summary!Y85*0.05</f>
        <v/>
      </c>
      <c r="Z85" s="6">
        <f>Summary!Z85*0.05</f>
        <v/>
      </c>
      <c r="AA85" s="6">
        <f>Summary!AA85*0.05</f>
        <v/>
      </c>
      <c r="AB85" s="6">
        <f>SUM(D85:AA85)</f>
        <v/>
      </c>
      <c r="AC85" s="3" t="inlineStr"/>
      <c r="AD85" s="7">
        <f>D85*0.0029</f>
        <v/>
      </c>
      <c r="AE85" s="7">
        <f>E85*0.0029</f>
        <v/>
      </c>
      <c r="AF85" s="7">
        <f>F85*0.0029</f>
        <v/>
      </c>
      <c r="AG85" s="7">
        <f>G85*0.0029</f>
        <v/>
      </c>
      <c r="AH85" s="7">
        <f>H85*0.0029</f>
        <v/>
      </c>
      <c r="AI85" s="7">
        <f>I85*0.0029</f>
        <v/>
      </c>
      <c r="AJ85" s="7">
        <f>J85*0.0029</f>
        <v/>
      </c>
      <c r="AK85" s="7">
        <f>K85*0.0029</f>
        <v/>
      </c>
      <c r="AL85" s="7">
        <f>L85*0.0029</f>
        <v/>
      </c>
      <c r="AM85" s="7">
        <f>M85*0.0029</f>
        <v/>
      </c>
      <c r="AN85" s="7">
        <f>N85*0.0029</f>
        <v/>
      </c>
      <c r="AO85" s="7">
        <f>O85*0.0029</f>
        <v/>
      </c>
      <c r="AP85" s="7">
        <f>P85*0.0029</f>
        <v/>
      </c>
      <c r="AQ85" s="7">
        <f>Q85*0.0029</f>
        <v/>
      </c>
      <c r="AR85" s="7">
        <f>R85*0.0029</f>
        <v/>
      </c>
      <c r="AS85" s="7">
        <f>S85*0.0029</f>
        <v/>
      </c>
      <c r="AT85" s="7">
        <f>T85*0.0029</f>
        <v/>
      </c>
      <c r="AU85" s="7">
        <f>U85*0.0029</f>
        <v/>
      </c>
      <c r="AV85" s="7">
        <f>V85*0.0029</f>
        <v/>
      </c>
      <c r="AW85" s="7">
        <f>W85*0.0029</f>
        <v/>
      </c>
      <c r="AX85" s="7">
        <f>X85*0.0029</f>
        <v/>
      </c>
      <c r="AY85" s="7">
        <f>Y85*0.0029</f>
        <v/>
      </c>
      <c r="AZ85" s="7">
        <f>Z85*0.0029</f>
        <v/>
      </c>
      <c r="BA85" s="7">
        <f>AA85*0.0029</f>
        <v/>
      </c>
      <c r="BB85" s="7">
        <f>SUM(AD85:BA85)</f>
        <v/>
      </c>
    </row>
    <row r="86">
      <c r="A86" t="inlineStr">
        <is>
          <t>AMD-RTS-RCLS-1302-SSC</t>
        </is>
      </c>
      <c r="B86" t="inlineStr">
        <is>
          <t>Rev OSC</t>
        </is>
      </c>
      <c r="C86" s="5" t="n">
        <v>46089</v>
      </c>
      <c r="D86" s="6" t="n">
        <v>0</v>
      </c>
      <c r="E86" s="6" t="n">
        <v>0</v>
      </c>
      <c r="F86" s="6" t="n">
        <v>0</v>
      </c>
      <c r="G86" s="6" t="n">
        <v>0</v>
      </c>
      <c r="H86" s="6" t="n">
        <v>0</v>
      </c>
      <c r="I86" s="6" t="n">
        <v>0</v>
      </c>
      <c r="J86" s="6" t="n">
        <v>0</v>
      </c>
      <c r="K86" s="6" t="n">
        <v>0</v>
      </c>
      <c r="L86" s="6" t="n">
        <v>0</v>
      </c>
      <c r="M86" s="6" t="n">
        <v>0</v>
      </c>
      <c r="N86" s="6" t="n">
        <v>0</v>
      </c>
      <c r="O86" s="6" t="n">
        <v>0</v>
      </c>
      <c r="P86" s="6" t="n">
        <v>0</v>
      </c>
      <c r="Q86" s="6" t="n">
        <v>0</v>
      </c>
      <c r="R86" s="6" t="n">
        <v>0</v>
      </c>
      <c r="S86" s="6" t="n">
        <v>0</v>
      </c>
      <c r="T86" s="6" t="n">
        <v>0</v>
      </c>
      <c r="U86" s="6" t="n">
        <v>0</v>
      </c>
      <c r="V86" s="6" t="n">
        <v>0</v>
      </c>
      <c r="W86" s="6" t="n">
        <v>0</v>
      </c>
      <c r="X86" s="6" t="n">
        <v>0</v>
      </c>
      <c r="Y86" s="6" t="n">
        <v>0</v>
      </c>
      <c r="Z86" s="6" t="n">
        <v>0</v>
      </c>
      <c r="AA86" s="6" t="n">
        <v>0</v>
      </c>
      <c r="AB86" s="6">
        <f>SUM(D86:AA86)</f>
        <v/>
      </c>
      <c r="AC86" s="3" t="inlineStr"/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7" t="n">
        <v>0</v>
      </c>
      <c r="BB86" s="7">
        <f>SUM(AD86:BA86)</f>
        <v/>
      </c>
    </row>
    <row r="87">
      <c r="A87" t="inlineStr">
        <is>
          <t>AMD-RTS-RCLS-1302-SSC</t>
        </is>
      </c>
      <c r="B87" t="inlineStr">
        <is>
          <t>Rev OSC</t>
        </is>
      </c>
      <c r="C87" s="5" t="n">
        <v>46090</v>
      </c>
      <c r="D87" s="6" t="n">
        <v>0</v>
      </c>
      <c r="E87" s="6" t="n">
        <v>0</v>
      </c>
      <c r="F87" s="6" t="n">
        <v>0</v>
      </c>
      <c r="G87" s="6" t="n">
        <v>0</v>
      </c>
      <c r="H87" s="6" t="n">
        <v>0</v>
      </c>
      <c r="I87" s="6" t="n">
        <v>0</v>
      </c>
      <c r="J87" s="6" t="n">
        <v>0</v>
      </c>
      <c r="K87" s="6" t="n">
        <v>0</v>
      </c>
      <c r="L87" s="6" t="n">
        <v>0</v>
      </c>
      <c r="M87" s="6" t="n">
        <v>0</v>
      </c>
      <c r="N87" s="6" t="n">
        <v>0</v>
      </c>
      <c r="O87" s="6" t="n">
        <v>0</v>
      </c>
      <c r="P87" s="6" t="n">
        <v>0</v>
      </c>
      <c r="Q87" s="6" t="n">
        <v>0</v>
      </c>
      <c r="R87" s="6" t="n">
        <v>0</v>
      </c>
      <c r="S87" s="6" t="n">
        <v>0</v>
      </c>
      <c r="T87" s="6" t="n">
        <v>0</v>
      </c>
      <c r="U87" s="6" t="n">
        <v>0</v>
      </c>
      <c r="V87" s="6" t="n">
        <v>0</v>
      </c>
      <c r="W87" s="6" t="n">
        <v>0</v>
      </c>
      <c r="X87" s="6" t="n">
        <v>0</v>
      </c>
      <c r="Y87" s="6" t="n">
        <v>0</v>
      </c>
      <c r="Z87" s="6" t="n">
        <v>0</v>
      </c>
      <c r="AA87" s="6" t="n">
        <v>0</v>
      </c>
      <c r="AB87" s="6">
        <f>SUM(D87:AA87)</f>
        <v/>
      </c>
      <c r="AC87" s="3" t="inlineStr"/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0</v>
      </c>
      <c r="BA87" s="7" t="n">
        <v>0</v>
      </c>
      <c r="BB87" s="7">
        <f>SUM(AD87:BA87)</f>
        <v/>
      </c>
    </row>
    <row r="88">
      <c r="A88" t="inlineStr">
        <is>
          <t>AMD-RTS-RCLS-1302-SSC</t>
        </is>
      </c>
      <c r="B88" t="inlineStr">
        <is>
          <t>Rev OSC</t>
        </is>
      </c>
      <c r="C88" s="5" t="n">
        <v>46092</v>
      </c>
      <c r="D88" s="6" t="n">
        <v>0</v>
      </c>
      <c r="E88" s="6" t="n">
        <v>0</v>
      </c>
      <c r="F88" s="6" t="n">
        <v>0</v>
      </c>
      <c r="G88" s="6" t="n">
        <v>0</v>
      </c>
      <c r="H88" s="6" t="n">
        <v>0</v>
      </c>
      <c r="I88" s="6" t="n">
        <v>0</v>
      </c>
      <c r="J88" s="6" t="n">
        <v>0</v>
      </c>
      <c r="K88" s="6" t="n">
        <v>0</v>
      </c>
      <c r="L88" s="6" t="n">
        <v>0</v>
      </c>
      <c r="M88" s="6" t="n">
        <v>0</v>
      </c>
      <c r="N88" s="6" t="n">
        <v>0</v>
      </c>
      <c r="O88" s="6" t="n">
        <v>0</v>
      </c>
      <c r="P88" s="6" t="n">
        <v>0</v>
      </c>
      <c r="Q88" s="6" t="n">
        <v>0</v>
      </c>
      <c r="R88" s="6" t="n">
        <v>0</v>
      </c>
      <c r="S88" s="6" t="n">
        <v>0</v>
      </c>
      <c r="T88" s="6" t="n">
        <v>0</v>
      </c>
      <c r="U88" s="6" t="n">
        <v>0</v>
      </c>
      <c r="V88" s="6" t="n">
        <v>0</v>
      </c>
      <c r="W88" s="6" t="n">
        <v>0</v>
      </c>
      <c r="X88" s="6" t="n">
        <v>0</v>
      </c>
      <c r="Y88" s="6" t="n">
        <v>0</v>
      </c>
      <c r="Z88" s="6" t="n">
        <v>0</v>
      </c>
      <c r="AA88" s="6" t="n">
        <v>0</v>
      </c>
      <c r="AB88" s="6">
        <f>SUM(D88:AA88)</f>
        <v/>
      </c>
      <c r="AC88" s="3" t="inlineStr"/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7" t="n">
        <v>0</v>
      </c>
      <c r="BB88" s="7">
        <f>SUM(AD88:BA88)</f>
        <v/>
      </c>
    </row>
    <row r="89">
      <c r="A89" t="inlineStr">
        <is>
          <t>AMD-RTS-RCLS-1302-SSC</t>
        </is>
      </c>
      <c r="B89" t="inlineStr">
        <is>
          <t>Rev OSC</t>
        </is>
      </c>
      <c r="C89" s="5" t="n">
        <v>46093</v>
      </c>
      <c r="D89" s="6" t="n">
        <v>0</v>
      </c>
      <c r="E89" s="6" t="n">
        <v>0</v>
      </c>
      <c r="F89" s="6" t="n">
        <v>0</v>
      </c>
      <c r="G89" s="6" t="n">
        <v>0</v>
      </c>
      <c r="H89" s="6" t="n">
        <v>0</v>
      </c>
      <c r="I89" s="6" t="n">
        <v>0</v>
      </c>
      <c r="J89" s="6" t="n">
        <v>0</v>
      </c>
      <c r="K89" s="6" t="n">
        <v>0</v>
      </c>
      <c r="L89" s="6" t="n">
        <v>0</v>
      </c>
      <c r="M89" s="6" t="n">
        <v>0</v>
      </c>
      <c r="N89" s="6" t="n">
        <v>0</v>
      </c>
      <c r="O89" s="6" t="n">
        <v>0</v>
      </c>
      <c r="P89" s="6" t="n">
        <v>0</v>
      </c>
      <c r="Q89" s="6" t="n">
        <v>0</v>
      </c>
      <c r="R89" s="6" t="n">
        <v>0</v>
      </c>
      <c r="S89" s="6" t="n">
        <v>0</v>
      </c>
      <c r="T89" s="6" t="n">
        <v>0</v>
      </c>
      <c r="U89" s="6" t="n">
        <v>0</v>
      </c>
      <c r="V89" s="6" t="n">
        <v>0</v>
      </c>
      <c r="W89" s="6" t="n">
        <v>0</v>
      </c>
      <c r="X89" s="6" t="n">
        <v>0</v>
      </c>
      <c r="Y89" s="6" t="n">
        <v>0</v>
      </c>
      <c r="Z89" s="6" t="n">
        <v>0</v>
      </c>
      <c r="AA89" s="6" t="n">
        <v>0</v>
      </c>
      <c r="AB89" s="6">
        <f>SUM(D89:AA89)</f>
        <v/>
      </c>
      <c r="AC89" s="3" t="inlineStr"/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0</v>
      </c>
      <c r="BA89" s="7" t="n">
        <v>0</v>
      </c>
      <c r="BB89" s="7">
        <f>SUM(AD89:BA89)</f>
        <v/>
      </c>
    </row>
    <row r="90">
      <c r="A90" t="inlineStr">
        <is>
          <t>AMD-RTS-RCLS-1302-SSC</t>
        </is>
      </c>
      <c r="B90" t="inlineStr">
        <is>
          <t>Rev OSC</t>
        </is>
      </c>
      <c r="C90" s="5" t="n">
        <v>46094</v>
      </c>
      <c r="D90" s="6" t="n">
        <v>0</v>
      </c>
      <c r="E90" s="6" t="n">
        <v>0</v>
      </c>
      <c r="F90" s="6" t="n">
        <v>0</v>
      </c>
      <c r="G90" s="6" t="n">
        <v>0</v>
      </c>
      <c r="H90" s="6" t="n">
        <v>0</v>
      </c>
      <c r="I90" s="6" t="n">
        <v>0</v>
      </c>
      <c r="J90" s="6" t="n">
        <v>0</v>
      </c>
      <c r="K90" s="6" t="n">
        <v>0</v>
      </c>
      <c r="L90" s="6" t="n">
        <v>0</v>
      </c>
      <c r="M90" s="6" t="n">
        <v>0</v>
      </c>
      <c r="N90" s="6" t="n">
        <v>0</v>
      </c>
      <c r="O90" s="6" t="n">
        <v>0</v>
      </c>
      <c r="P90" s="6" t="n">
        <v>0</v>
      </c>
      <c r="Q90" s="6" t="n">
        <v>0</v>
      </c>
      <c r="R90" s="6" t="n">
        <v>0</v>
      </c>
      <c r="S90" s="6" t="n">
        <v>0</v>
      </c>
      <c r="T90" s="6" t="n">
        <v>0</v>
      </c>
      <c r="U90" s="6" t="n">
        <v>0</v>
      </c>
      <c r="V90" s="6" t="n">
        <v>0</v>
      </c>
      <c r="W90" s="6" t="n">
        <v>0</v>
      </c>
      <c r="X90" s="6" t="n">
        <v>0</v>
      </c>
      <c r="Y90" s="6" t="n">
        <v>0</v>
      </c>
      <c r="Z90" s="6" t="n">
        <v>0</v>
      </c>
      <c r="AA90" s="6" t="n">
        <v>0</v>
      </c>
      <c r="AB90" s="6">
        <f>SUM(D90:AA90)</f>
        <v/>
      </c>
      <c r="AC90" s="3" t="inlineStr"/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7" t="n">
        <v>0</v>
      </c>
      <c r="BB90" s="7">
        <f>SUM(AD90:BA90)</f>
        <v/>
      </c>
    </row>
    <row r="91">
      <c r="A91" t="inlineStr">
        <is>
          <t>AMD-RTS-RCLS-1302-SSC</t>
        </is>
      </c>
      <c r="B91" t="inlineStr">
        <is>
          <t>Rev OSC</t>
        </is>
      </c>
      <c r="C91" s="5" t="n">
        <v>46095</v>
      </c>
      <c r="D91" s="6" t="n">
        <v>0</v>
      </c>
      <c r="E91" s="6" t="n">
        <v>0</v>
      </c>
      <c r="F91" s="6" t="n">
        <v>0</v>
      </c>
      <c r="G91" s="6" t="n">
        <v>0</v>
      </c>
      <c r="H91" s="6" t="n">
        <v>0</v>
      </c>
      <c r="I91" s="6" t="n">
        <v>0</v>
      </c>
      <c r="J91" s="6" t="n">
        <v>0</v>
      </c>
      <c r="K91" s="6" t="n">
        <v>0</v>
      </c>
      <c r="L91" s="6" t="n">
        <v>0</v>
      </c>
      <c r="M91" s="6" t="n">
        <v>0</v>
      </c>
      <c r="N91" s="6" t="n">
        <v>0</v>
      </c>
      <c r="O91" s="6" t="n">
        <v>0</v>
      </c>
      <c r="P91" s="6" t="n">
        <v>0</v>
      </c>
      <c r="Q91" s="6" t="n">
        <v>0</v>
      </c>
      <c r="R91" s="6" t="n">
        <v>0</v>
      </c>
      <c r="S91" s="6" t="n">
        <v>0</v>
      </c>
      <c r="T91" s="6" t="n">
        <v>0</v>
      </c>
      <c r="U91" s="6" t="n">
        <v>0</v>
      </c>
      <c r="V91" s="6" t="n">
        <v>0</v>
      </c>
      <c r="W91" s="6" t="n">
        <v>0</v>
      </c>
      <c r="X91" s="6" t="n">
        <v>0</v>
      </c>
      <c r="Y91" s="6" t="n">
        <v>0</v>
      </c>
      <c r="Z91" s="6" t="n">
        <v>0</v>
      </c>
      <c r="AA91" s="6" t="n">
        <v>0</v>
      </c>
      <c r="AB91" s="6">
        <f>SUM(D91:AA91)</f>
        <v/>
      </c>
      <c r="AC91" s="3" t="inlineStr"/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0</v>
      </c>
      <c r="BA91" s="7" t="n">
        <v>0</v>
      </c>
      <c r="BB91" s="7">
        <f>SUM(AD91:BA91)</f>
        <v/>
      </c>
    </row>
    <row r="92">
      <c r="A92" t="inlineStr">
        <is>
          <t>AMD-RTS-RCLS-1302-SSC</t>
        </is>
      </c>
      <c r="B92" t="inlineStr">
        <is>
          <t>Rev OSC</t>
        </is>
      </c>
      <c r="C92" s="5" t="n">
        <v>46096</v>
      </c>
      <c r="D92" s="6" t="n">
        <v>0</v>
      </c>
      <c r="E92" s="6" t="n">
        <v>0</v>
      </c>
      <c r="F92" s="6" t="n">
        <v>0</v>
      </c>
      <c r="G92" s="6" t="n">
        <v>0</v>
      </c>
      <c r="H92" s="6" t="n">
        <v>0</v>
      </c>
      <c r="I92" s="6" t="n">
        <v>0</v>
      </c>
      <c r="J92" s="6" t="n">
        <v>0</v>
      </c>
      <c r="K92" s="6" t="n">
        <v>0</v>
      </c>
      <c r="L92" s="6" t="n">
        <v>0</v>
      </c>
      <c r="M92" s="6" t="n">
        <v>0</v>
      </c>
      <c r="N92" s="6" t="n">
        <v>0</v>
      </c>
      <c r="O92" s="6" t="n">
        <v>0</v>
      </c>
      <c r="P92" s="6" t="n">
        <v>0</v>
      </c>
      <c r="Q92" s="6" t="n">
        <v>0</v>
      </c>
      <c r="R92" s="6" t="n">
        <v>0</v>
      </c>
      <c r="S92" s="6" t="n">
        <v>0</v>
      </c>
      <c r="T92" s="6" t="n">
        <v>0</v>
      </c>
      <c r="U92" s="6" t="n">
        <v>0</v>
      </c>
      <c r="V92" s="6" t="n">
        <v>0</v>
      </c>
      <c r="W92" s="6" t="n">
        <v>0</v>
      </c>
      <c r="X92" s="6" t="n">
        <v>0</v>
      </c>
      <c r="Y92" s="6" t="n">
        <v>0</v>
      </c>
      <c r="Z92" s="6" t="n">
        <v>0</v>
      </c>
      <c r="AA92" s="6" t="n">
        <v>0</v>
      </c>
      <c r="AB92" s="6">
        <f>SUM(D92:AA92)</f>
        <v/>
      </c>
      <c r="AC92" s="3" t="inlineStr"/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7" t="n">
        <v>0</v>
      </c>
      <c r="BB92" s="7">
        <f>SUM(AD92:BA92)</f>
        <v/>
      </c>
    </row>
    <row r="93">
      <c r="A93" t="inlineStr">
        <is>
          <t>AMD-RTS-RCLS-1302-SSC</t>
        </is>
      </c>
      <c r="B93" t="inlineStr">
        <is>
          <t>Rev OSC</t>
        </is>
      </c>
      <c r="C93" s="5" t="n">
        <v>46097</v>
      </c>
      <c r="D93" s="6" t="n">
        <v>0</v>
      </c>
      <c r="E93" s="6" t="n">
        <v>0</v>
      </c>
      <c r="F93" s="6" t="n">
        <v>0</v>
      </c>
      <c r="G93" s="6" t="n">
        <v>0</v>
      </c>
      <c r="H93" s="6" t="n">
        <v>0</v>
      </c>
      <c r="I93" s="6" t="n">
        <v>0</v>
      </c>
      <c r="J93" s="6" t="n">
        <v>0</v>
      </c>
      <c r="K93" s="6" t="n">
        <v>0</v>
      </c>
      <c r="L93" s="6" t="n">
        <v>0</v>
      </c>
      <c r="M93" s="6" t="n">
        <v>0</v>
      </c>
      <c r="N93" s="6" t="n">
        <v>0</v>
      </c>
      <c r="O93" s="6" t="n">
        <v>0</v>
      </c>
      <c r="P93" s="6" t="n">
        <v>0</v>
      </c>
      <c r="Q93" s="6" t="n">
        <v>0</v>
      </c>
      <c r="R93" s="6" t="n">
        <v>0</v>
      </c>
      <c r="S93" s="6" t="n">
        <v>0</v>
      </c>
      <c r="T93" s="6" t="n">
        <v>0</v>
      </c>
      <c r="U93" s="6" t="n">
        <v>0</v>
      </c>
      <c r="V93" s="6" t="n">
        <v>0</v>
      </c>
      <c r="W93" s="6" t="n">
        <v>0</v>
      </c>
      <c r="X93" s="6" t="n">
        <v>0</v>
      </c>
      <c r="Y93" s="6" t="n">
        <v>0</v>
      </c>
      <c r="Z93" s="6" t="n">
        <v>0</v>
      </c>
      <c r="AA93" s="6" t="n">
        <v>0</v>
      </c>
      <c r="AB93" s="6">
        <f>SUM(D93:AA93)</f>
        <v/>
      </c>
      <c r="AC93" s="3" t="inlineStr"/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0</v>
      </c>
      <c r="BA93" s="7" t="n">
        <v>0</v>
      </c>
      <c r="BB93" s="7">
        <f>SUM(AD93:BA93)</f>
        <v/>
      </c>
    </row>
    <row r="94">
      <c r="A94" t="inlineStr">
        <is>
          <t>AMD-RTS-RCLS-1302-SSC</t>
        </is>
      </c>
      <c r="B94" t="inlineStr">
        <is>
          <t>Rev OSC</t>
        </is>
      </c>
      <c r="C94" s="5" t="n">
        <v>46100</v>
      </c>
      <c r="D94" s="6" t="n">
        <v>0</v>
      </c>
      <c r="E94" s="6" t="n">
        <v>0</v>
      </c>
      <c r="F94" s="6" t="n">
        <v>0</v>
      </c>
      <c r="G94" s="6" t="n">
        <v>0</v>
      </c>
      <c r="H94" s="6" t="n">
        <v>0</v>
      </c>
      <c r="I94" s="6" t="n">
        <v>0</v>
      </c>
      <c r="J94" s="6" t="n">
        <v>0</v>
      </c>
      <c r="K94" s="6" t="n">
        <v>0</v>
      </c>
      <c r="L94" s="6" t="n">
        <v>0</v>
      </c>
      <c r="M94" s="6" t="n">
        <v>0</v>
      </c>
      <c r="N94" s="6" t="n">
        <v>0</v>
      </c>
      <c r="O94" s="6" t="n">
        <v>0</v>
      </c>
      <c r="P94" s="6" t="n">
        <v>0</v>
      </c>
      <c r="Q94" s="6" t="n">
        <v>0</v>
      </c>
      <c r="R94" s="6" t="n">
        <v>0</v>
      </c>
      <c r="S94" s="6" t="n">
        <v>0</v>
      </c>
      <c r="T94" s="6" t="n">
        <v>0</v>
      </c>
      <c r="U94" s="6" t="n">
        <v>0</v>
      </c>
      <c r="V94" s="6" t="n">
        <v>0</v>
      </c>
      <c r="W94" s="6" t="n">
        <v>0</v>
      </c>
      <c r="X94" s="6" t="n">
        <v>0</v>
      </c>
      <c r="Y94" s="6" t="n">
        <v>0</v>
      </c>
      <c r="Z94" s="6" t="n">
        <v>0</v>
      </c>
      <c r="AA94" s="6" t="n">
        <v>0</v>
      </c>
      <c r="AB94" s="6">
        <f>SUM(D94:AA94)</f>
        <v/>
      </c>
      <c r="AC94" s="3" t="inlineStr"/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7" t="n">
        <v>0</v>
      </c>
      <c r="BB94" s="7">
        <f>SUM(AD94:BA94)</f>
        <v/>
      </c>
    </row>
    <row r="95">
      <c r="A95" t="inlineStr">
        <is>
          <t>AMD-RTS-RCLS-1302-SSC</t>
        </is>
      </c>
      <c r="B95" t="inlineStr">
        <is>
          <t>Rev OSC</t>
        </is>
      </c>
      <c r="C95" s="5" t="n">
        <v>46102</v>
      </c>
      <c r="D95" s="6" t="n">
        <v>0</v>
      </c>
      <c r="E95" s="6" t="n">
        <v>0</v>
      </c>
      <c r="F95" s="6" t="n">
        <v>0</v>
      </c>
      <c r="G95" s="6" t="n">
        <v>0</v>
      </c>
      <c r="H95" s="6" t="n">
        <v>0</v>
      </c>
      <c r="I95" s="6" t="n">
        <v>0</v>
      </c>
      <c r="J95" s="6" t="n">
        <v>0</v>
      </c>
      <c r="K95" s="6" t="n">
        <v>0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0</v>
      </c>
      <c r="Q95" s="6" t="n">
        <v>0</v>
      </c>
      <c r="R95" s="6" t="n">
        <v>0</v>
      </c>
      <c r="S95" s="6" t="n">
        <v>0</v>
      </c>
      <c r="T95" s="6" t="n">
        <v>0</v>
      </c>
      <c r="U95" s="6" t="n">
        <v>0</v>
      </c>
      <c r="V95" s="6" t="n">
        <v>0</v>
      </c>
      <c r="W95" s="6" t="n">
        <v>0</v>
      </c>
      <c r="X95" s="6" t="n">
        <v>0</v>
      </c>
      <c r="Y95" s="6" t="n">
        <v>0</v>
      </c>
      <c r="Z95" s="6" t="n">
        <v>0</v>
      </c>
      <c r="AA95" s="6" t="n">
        <v>0</v>
      </c>
      <c r="AB95" s="6">
        <f>SUM(D95:AA95)</f>
        <v/>
      </c>
      <c r="AC95" s="3" t="inlineStr"/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7" t="n">
        <v>0</v>
      </c>
      <c r="BB95" s="7">
        <f>SUM(AD95:BA95)</f>
        <v/>
      </c>
    </row>
    <row r="96">
      <c r="A96" t="inlineStr">
        <is>
          <t>AMD-RTS-RCLS-1302-SSC</t>
        </is>
      </c>
      <c r="B96" t="inlineStr">
        <is>
          <t>Rev OSC</t>
        </is>
      </c>
      <c r="C96" s="5" t="n">
        <v>46103</v>
      </c>
      <c r="D96" s="6" t="n">
        <v>0</v>
      </c>
      <c r="E96" s="6" t="n">
        <v>0</v>
      </c>
      <c r="F96" s="6" t="n">
        <v>0</v>
      </c>
      <c r="G96" s="6" t="n">
        <v>0</v>
      </c>
      <c r="H96" s="6" t="n">
        <v>0</v>
      </c>
      <c r="I96" s="6" t="n">
        <v>0</v>
      </c>
      <c r="J96" s="6" t="n">
        <v>0</v>
      </c>
      <c r="K96" s="6" t="n">
        <v>0</v>
      </c>
      <c r="L96" s="6" t="n">
        <v>0</v>
      </c>
      <c r="M96" s="6" t="n">
        <v>0</v>
      </c>
      <c r="N96" s="6" t="n">
        <v>0</v>
      </c>
      <c r="O96" s="6" t="n">
        <v>0</v>
      </c>
      <c r="P96" s="6" t="n">
        <v>0</v>
      </c>
      <c r="Q96" s="6" t="n">
        <v>0</v>
      </c>
      <c r="R96" s="6" t="n">
        <v>0</v>
      </c>
      <c r="S96" s="6" t="n">
        <v>0</v>
      </c>
      <c r="T96" s="6" t="n">
        <v>0</v>
      </c>
      <c r="U96" s="6" t="n">
        <v>0</v>
      </c>
      <c r="V96" s="6" t="n">
        <v>0</v>
      </c>
      <c r="W96" s="6" t="n">
        <v>0</v>
      </c>
      <c r="X96" s="6" t="n">
        <v>0</v>
      </c>
      <c r="Y96" s="6" t="n">
        <v>0</v>
      </c>
      <c r="Z96" s="6" t="n">
        <v>0</v>
      </c>
      <c r="AA96" s="6" t="n">
        <v>0</v>
      </c>
      <c r="AB96" s="6">
        <f>SUM(D96:AA96)</f>
        <v/>
      </c>
      <c r="AC96" s="3" t="inlineStr"/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7" t="n">
        <v>0</v>
      </c>
      <c r="BB96" s="7">
        <f>SUM(AD96:BA96)</f>
        <v/>
      </c>
    </row>
    <row r="97">
      <c r="A97" t="inlineStr">
        <is>
          <t>AMD-RTS-RCLS-1302-SSC</t>
        </is>
      </c>
      <c r="B97" t="inlineStr">
        <is>
          <t>Rev OSC</t>
        </is>
      </c>
      <c r="C97" s="5" t="n">
        <v>46104</v>
      </c>
      <c r="D97" s="6" t="n">
        <v>0</v>
      </c>
      <c r="E97" s="6" t="n">
        <v>0</v>
      </c>
      <c r="F97" s="6" t="n">
        <v>0</v>
      </c>
      <c r="G97" s="6" t="n">
        <v>0</v>
      </c>
      <c r="H97" s="6" t="n">
        <v>0</v>
      </c>
      <c r="I97" s="6" t="n">
        <v>0</v>
      </c>
      <c r="J97" s="6" t="n">
        <v>0</v>
      </c>
      <c r="K97" s="6" t="n">
        <v>0</v>
      </c>
      <c r="L97" s="6" t="n">
        <v>0</v>
      </c>
      <c r="M97" s="6" t="n">
        <v>0</v>
      </c>
      <c r="N97" s="6" t="n">
        <v>0</v>
      </c>
      <c r="O97" s="6" t="n">
        <v>0</v>
      </c>
      <c r="P97" s="6" t="n">
        <v>0</v>
      </c>
      <c r="Q97" s="6" t="n">
        <v>0</v>
      </c>
      <c r="R97" s="6" t="n">
        <v>0</v>
      </c>
      <c r="S97" s="6" t="n">
        <v>0</v>
      </c>
      <c r="T97" s="6" t="n">
        <v>0</v>
      </c>
      <c r="U97" s="6" t="n">
        <v>0</v>
      </c>
      <c r="V97" s="6" t="n">
        <v>0</v>
      </c>
      <c r="W97" s="6" t="n">
        <v>0</v>
      </c>
      <c r="X97" s="6" t="n">
        <v>0</v>
      </c>
      <c r="Y97" s="6" t="n">
        <v>0</v>
      </c>
      <c r="Z97" s="6" t="n">
        <v>0</v>
      </c>
      <c r="AA97" s="6" t="n">
        <v>0</v>
      </c>
      <c r="AB97" s="6">
        <f>SUM(D97:AA97)</f>
        <v/>
      </c>
      <c r="AC97" s="3" t="inlineStr"/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0</v>
      </c>
      <c r="BA97" s="7" t="n">
        <v>0</v>
      </c>
      <c r="BB97" s="7">
        <f>SUM(AD97:BA97)</f>
        <v/>
      </c>
    </row>
    <row r="98">
      <c r="A98" t="inlineStr">
        <is>
          <t>AMD-RTS-RCLS-1302-SSC</t>
        </is>
      </c>
      <c r="B98" t="inlineStr">
        <is>
          <t>Rev OSC</t>
        </is>
      </c>
      <c r="C98" s="5" t="n">
        <v>46105</v>
      </c>
      <c r="D98" s="6" t="n">
        <v>0</v>
      </c>
      <c r="E98" s="6" t="n">
        <v>0</v>
      </c>
      <c r="F98" s="6" t="n">
        <v>0</v>
      </c>
      <c r="G98" s="6" t="n">
        <v>0</v>
      </c>
      <c r="H98" s="6" t="n">
        <v>0</v>
      </c>
      <c r="I98" s="6" t="n">
        <v>0</v>
      </c>
      <c r="J98" s="6" t="n">
        <v>0</v>
      </c>
      <c r="K98" s="6" t="n">
        <v>0</v>
      </c>
      <c r="L98" s="6" t="n">
        <v>0</v>
      </c>
      <c r="M98" s="6" t="n">
        <v>0</v>
      </c>
      <c r="N98" s="6" t="n">
        <v>0</v>
      </c>
      <c r="O98" s="6" t="n">
        <v>0</v>
      </c>
      <c r="P98" s="6" t="n">
        <v>0</v>
      </c>
      <c r="Q98" s="6" t="n">
        <v>0</v>
      </c>
      <c r="R98" s="6" t="n">
        <v>0</v>
      </c>
      <c r="S98" s="6" t="n">
        <v>0</v>
      </c>
      <c r="T98" s="6" t="n">
        <v>0</v>
      </c>
      <c r="U98" s="6" t="n">
        <v>0</v>
      </c>
      <c r="V98" s="6" t="n">
        <v>0</v>
      </c>
      <c r="W98" s="6" t="n">
        <v>0</v>
      </c>
      <c r="X98" s="6" t="n">
        <v>0</v>
      </c>
      <c r="Y98" s="6" t="n">
        <v>0</v>
      </c>
      <c r="Z98" s="6" t="n">
        <v>0</v>
      </c>
      <c r="AA98" s="6" t="n">
        <v>0</v>
      </c>
      <c r="AB98" s="6">
        <f>SUM(D98:AA98)</f>
        <v/>
      </c>
      <c r="AC98" s="3" t="inlineStr"/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7" t="n">
        <v>0</v>
      </c>
      <c r="BB98" s="7">
        <f>SUM(AD98:BA98)</f>
        <v/>
      </c>
    </row>
    <row r="99">
      <c r="A99" t="inlineStr">
        <is>
          <t>AMD-RTS-RCLS-1302-SSC_1</t>
        </is>
      </c>
      <c r="B99" t="inlineStr">
        <is>
          <t>Rev OSC</t>
        </is>
      </c>
      <c r="C99" s="5" t="n">
        <v>46090</v>
      </c>
      <c r="D99" s="6" t="n">
        <v>0</v>
      </c>
      <c r="E99" s="6" t="n">
        <v>0</v>
      </c>
      <c r="F99" s="6" t="n">
        <v>0</v>
      </c>
      <c r="G99" s="6" t="n">
        <v>0</v>
      </c>
      <c r="H99" s="6" t="n">
        <v>0</v>
      </c>
      <c r="I99" s="6" t="n">
        <v>0</v>
      </c>
      <c r="J99" s="6" t="n">
        <v>0</v>
      </c>
      <c r="K99" s="6" t="n">
        <v>0</v>
      </c>
      <c r="L99" s="6" t="n">
        <v>0</v>
      </c>
      <c r="M99" s="6" t="n">
        <v>0</v>
      </c>
      <c r="N99" s="6" t="n">
        <v>0</v>
      </c>
      <c r="O99" s="6" t="n">
        <v>0</v>
      </c>
      <c r="P99" s="6" t="n">
        <v>0</v>
      </c>
      <c r="Q99" s="6" t="n">
        <v>0</v>
      </c>
      <c r="R99" s="6" t="n">
        <v>0</v>
      </c>
      <c r="S99" s="6" t="n">
        <v>0</v>
      </c>
      <c r="T99" s="6" t="n">
        <v>0</v>
      </c>
      <c r="U99" s="6" t="n">
        <v>0</v>
      </c>
      <c r="V99" s="6" t="n">
        <v>0</v>
      </c>
      <c r="W99" s="6" t="n">
        <v>0</v>
      </c>
      <c r="X99" s="6" t="n">
        <v>0</v>
      </c>
      <c r="Y99" s="6" t="n">
        <v>0</v>
      </c>
      <c r="Z99" s="6" t="n">
        <v>0</v>
      </c>
      <c r="AA99" s="6" t="n">
        <v>0</v>
      </c>
      <c r="AB99" s="6">
        <f>SUM(D99:AA99)</f>
        <v/>
      </c>
      <c r="AC99" s="3" t="inlineStr"/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7" t="n">
        <v>0</v>
      </c>
      <c r="BB99" s="7">
        <f>SUM(AD99:BA99)</f>
        <v/>
      </c>
    </row>
    <row r="100">
      <c r="A100" t="inlineStr">
        <is>
          <t>AMD-RTS-RCLS-1302-SSC_1</t>
        </is>
      </c>
      <c r="B100" t="inlineStr">
        <is>
          <t>Rev OSC</t>
        </is>
      </c>
      <c r="C100" s="5" t="n">
        <v>46093</v>
      </c>
      <c r="D100" s="6" t="n">
        <v>0</v>
      </c>
      <c r="E100" s="6" t="n">
        <v>0</v>
      </c>
      <c r="F100" s="6" t="n">
        <v>0</v>
      </c>
      <c r="G100" s="6" t="n">
        <v>0</v>
      </c>
      <c r="H100" s="6" t="n">
        <v>0</v>
      </c>
      <c r="I100" s="6" t="n">
        <v>0</v>
      </c>
      <c r="J100" s="6" t="n">
        <v>0</v>
      </c>
      <c r="K100" s="6" t="n">
        <v>0</v>
      </c>
      <c r="L100" s="6" t="n">
        <v>0</v>
      </c>
      <c r="M100" s="6" t="n">
        <v>0</v>
      </c>
      <c r="N100" s="6" t="n">
        <v>0</v>
      </c>
      <c r="O100" s="6" t="n">
        <v>0</v>
      </c>
      <c r="P100" s="6" t="n">
        <v>0</v>
      </c>
      <c r="Q100" s="6" t="n">
        <v>0</v>
      </c>
      <c r="R100" s="6" t="n">
        <v>0</v>
      </c>
      <c r="S100" s="6" t="n">
        <v>0</v>
      </c>
      <c r="T100" s="6" t="n">
        <v>0</v>
      </c>
      <c r="U100" s="6" t="n">
        <v>0</v>
      </c>
      <c r="V100" s="6" t="n">
        <v>0</v>
      </c>
      <c r="W100" s="6" t="n">
        <v>0</v>
      </c>
      <c r="X100" s="6" t="n">
        <v>0</v>
      </c>
      <c r="Y100" s="6" t="n">
        <v>0</v>
      </c>
      <c r="Z100" s="6" t="n">
        <v>0</v>
      </c>
      <c r="AA100" s="6" t="n">
        <v>0</v>
      </c>
      <c r="AB100" s="6">
        <f>SUM(D100:AA100)</f>
        <v/>
      </c>
      <c r="AC100" s="3" t="inlineStr"/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7" t="n">
        <v>0</v>
      </c>
      <c r="BB100" s="7">
        <f>SUM(AD100:BA100)</f>
        <v/>
      </c>
    </row>
    <row r="101">
      <c r="A101" t="inlineStr">
        <is>
          <t>AMD-RTS-RCLS-1302-SSC_1</t>
        </is>
      </c>
      <c r="B101" t="inlineStr">
        <is>
          <t>Rev OSC</t>
        </is>
      </c>
      <c r="C101" s="5" t="n">
        <v>46094</v>
      </c>
      <c r="D101" s="6" t="n">
        <v>0</v>
      </c>
      <c r="E101" s="6" t="n">
        <v>0</v>
      </c>
      <c r="F101" s="6" t="n">
        <v>0</v>
      </c>
      <c r="G101" s="6" t="n">
        <v>0</v>
      </c>
      <c r="H101" s="6" t="n">
        <v>0</v>
      </c>
      <c r="I101" s="6" t="n">
        <v>0</v>
      </c>
      <c r="J101" s="6" t="n">
        <v>0</v>
      </c>
      <c r="K101" s="6" t="n">
        <v>0</v>
      </c>
      <c r="L101" s="6" t="n">
        <v>0</v>
      </c>
      <c r="M101" s="6" t="n">
        <v>0</v>
      </c>
      <c r="N101" s="6" t="n">
        <v>0</v>
      </c>
      <c r="O101" s="6" t="n">
        <v>0</v>
      </c>
      <c r="P101" s="6" t="n">
        <v>0</v>
      </c>
      <c r="Q101" s="6" t="n">
        <v>0</v>
      </c>
      <c r="R101" s="6" t="n">
        <v>0</v>
      </c>
      <c r="S101" s="6" t="n">
        <v>0</v>
      </c>
      <c r="T101" s="6" t="n">
        <v>0</v>
      </c>
      <c r="U101" s="6" t="n">
        <v>0</v>
      </c>
      <c r="V101" s="6" t="n">
        <v>0</v>
      </c>
      <c r="W101" s="6" t="n">
        <v>0</v>
      </c>
      <c r="X101" s="6" t="n">
        <v>0</v>
      </c>
      <c r="Y101" s="6" t="n">
        <v>0</v>
      </c>
      <c r="Z101" s="6" t="n">
        <v>0</v>
      </c>
      <c r="AA101" s="6" t="n">
        <v>0</v>
      </c>
      <c r="AB101" s="6">
        <f>SUM(D101:AA101)</f>
        <v/>
      </c>
      <c r="AC101" s="3" t="inlineStr"/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7" t="n">
        <v>0</v>
      </c>
      <c r="BB101" s="7">
        <f>SUM(AD101:BA101)</f>
        <v/>
      </c>
    </row>
    <row r="102">
      <c r="A102" t="inlineStr">
        <is>
          <t>AMD-RTS-RCLS-1302-SSC_1</t>
        </is>
      </c>
      <c r="B102" t="inlineStr">
        <is>
          <t>Rev OSC</t>
        </is>
      </c>
      <c r="C102" s="5" t="n">
        <v>46095</v>
      </c>
      <c r="D102" s="6" t="n">
        <v>0</v>
      </c>
      <c r="E102" s="6" t="n">
        <v>0</v>
      </c>
      <c r="F102" s="6" t="n">
        <v>0</v>
      </c>
      <c r="G102" s="6" t="n">
        <v>0</v>
      </c>
      <c r="H102" s="6" t="n">
        <v>0</v>
      </c>
      <c r="I102" s="6" t="n">
        <v>0</v>
      </c>
      <c r="J102" s="6" t="n">
        <v>0</v>
      </c>
      <c r="K102" s="6" t="n">
        <v>0</v>
      </c>
      <c r="L102" s="6" t="n">
        <v>0</v>
      </c>
      <c r="M102" s="6" t="n">
        <v>0</v>
      </c>
      <c r="N102" s="6" t="n">
        <v>0</v>
      </c>
      <c r="O102" s="6" t="n">
        <v>0</v>
      </c>
      <c r="P102" s="6" t="n">
        <v>0</v>
      </c>
      <c r="Q102" s="6" t="n">
        <v>0</v>
      </c>
      <c r="R102" s="6" t="n">
        <v>0</v>
      </c>
      <c r="S102" s="6" t="n">
        <v>0</v>
      </c>
      <c r="T102" s="6" t="n">
        <v>0</v>
      </c>
      <c r="U102" s="6" t="n">
        <v>0</v>
      </c>
      <c r="V102" s="6" t="n">
        <v>0</v>
      </c>
      <c r="W102" s="6" t="n">
        <v>0</v>
      </c>
      <c r="X102" s="6" t="n">
        <v>0</v>
      </c>
      <c r="Y102" s="6" t="n">
        <v>0</v>
      </c>
      <c r="Z102" s="6" t="n">
        <v>0</v>
      </c>
      <c r="AA102" s="6" t="n">
        <v>0</v>
      </c>
      <c r="AB102" s="6">
        <f>SUM(D102:AA102)</f>
        <v/>
      </c>
      <c r="AC102" s="3" t="inlineStr"/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7" t="n">
        <v>0</v>
      </c>
      <c r="BB102" s="7">
        <f>SUM(AD102:BA102)</f>
        <v/>
      </c>
    </row>
    <row r="103">
      <c r="A103" t="inlineStr">
        <is>
          <t>AMD-RTS-RCLS-1302-SSC_1</t>
        </is>
      </c>
      <c r="B103" t="inlineStr">
        <is>
          <t>Rev OSC</t>
        </is>
      </c>
      <c r="C103" s="5" t="n">
        <v>46100</v>
      </c>
      <c r="D103" s="6" t="n">
        <v>0</v>
      </c>
      <c r="E103" s="6" t="n">
        <v>0</v>
      </c>
      <c r="F103" s="6" t="n">
        <v>0</v>
      </c>
      <c r="G103" s="6" t="n">
        <v>0</v>
      </c>
      <c r="H103" s="6" t="n">
        <v>0</v>
      </c>
      <c r="I103" s="6" t="n">
        <v>0</v>
      </c>
      <c r="J103" s="6" t="n">
        <v>0</v>
      </c>
      <c r="K103" s="6" t="n">
        <v>0</v>
      </c>
      <c r="L103" s="6" t="n">
        <v>0</v>
      </c>
      <c r="M103" s="6" t="n">
        <v>0</v>
      </c>
      <c r="N103" s="6" t="n">
        <v>0</v>
      </c>
      <c r="O103" s="6" t="n">
        <v>0</v>
      </c>
      <c r="P103" s="6" t="n">
        <v>0</v>
      </c>
      <c r="Q103" s="6" t="n">
        <v>0</v>
      </c>
      <c r="R103" s="6" t="n">
        <v>0</v>
      </c>
      <c r="S103" s="6" t="n">
        <v>0</v>
      </c>
      <c r="T103" s="6" t="n">
        <v>0</v>
      </c>
      <c r="U103" s="6" t="n">
        <v>0</v>
      </c>
      <c r="V103" s="6" t="n">
        <v>0</v>
      </c>
      <c r="W103" s="6" t="n">
        <v>0</v>
      </c>
      <c r="X103" s="6" t="n">
        <v>0</v>
      </c>
      <c r="Y103" s="6" t="n">
        <v>0</v>
      </c>
      <c r="Z103" s="6" t="n">
        <v>0</v>
      </c>
      <c r="AA103" s="6" t="n">
        <v>0</v>
      </c>
      <c r="AB103" s="6">
        <f>SUM(D103:AA103)</f>
        <v/>
      </c>
      <c r="AC103" s="3" t="inlineStr"/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7" t="n">
        <v>0</v>
      </c>
      <c r="BB103" s="7">
        <f>SUM(AD103:BA103)</f>
        <v/>
      </c>
    </row>
    <row r="104">
      <c r="A104" t="inlineStr">
        <is>
          <t>AMD-RTS-RCLS-1302-SSC_1</t>
        </is>
      </c>
      <c r="B104" t="inlineStr">
        <is>
          <t>Rev OSC</t>
        </is>
      </c>
      <c r="C104" s="5" t="n">
        <v>46102</v>
      </c>
      <c r="D104" s="6" t="n">
        <v>0</v>
      </c>
      <c r="E104" s="6" t="n">
        <v>0</v>
      </c>
      <c r="F104" s="6" t="n">
        <v>0</v>
      </c>
      <c r="G104" s="6" t="n">
        <v>0</v>
      </c>
      <c r="H104" s="6" t="n">
        <v>0</v>
      </c>
      <c r="I104" s="6" t="n">
        <v>0</v>
      </c>
      <c r="J104" s="6" t="n">
        <v>0</v>
      </c>
      <c r="K104" s="6" t="n">
        <v>0</v>
      </c>
      <c r="L104" s="6" t="n">
        <v>0</v>
      </c>
      <c r="M104" s="6" t="n">
        <v>0</v>
      </c>
      <c r="N104" s="6" t="n">
        <v>0</v>
      </c>
      <c r="O104" s="6" t="n">
        <v>0</v>
      </c>
      <c r="P104" s="6" t="n">
        <v>0</v>
      </c>
      <c r="Q104" s="6" t="n">
        <v>0</v>
      </c>
      <c r="R104" s="6" t="n">
        <v>0</v>
      </c>
      <c r="S104" s="6" t="n">
        <v>0</v>
      </c>
      <c r="T104" s="6" t="n">
        <v>0</v>
      </c>
      <c r="U104" s="6" t="n">
        <v>0</v>
      </c>
      <c r="V104" s="6" t="n">
        <v>0</v>
      </c>
      <c r="W104" s="6" t="n">
        <v>0</v>
      </c>
      <c r="X104" s="6" t="n">
        <v>0</v>
      </c>
      <c r="Y104" s="6" t="n">
        <v>0</v>
      </c>
      <c r="Z104" s="6" t="n">
        <v>0</v>
      </c>
      <c r="AA104" s="6" t="n">
        <v>0</v>
      </c>
      <c r="AB104" s="6">
        <f>SUM(D104:AA104)</f>
        <v/>
      </c>
      <c r="AC104" s="3" t="inlineStr"/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  <c r="BB104" s="7">
        <f>SUM(AD104:BA104)</f>
        <v/>
      </c>
    </row>
    <row r="105">
      <c r="A105" t="inlineStr">
        <is>
          <t>AMD-RTS-RCLS-1302-SSC_1</t>
        </is>
      </c>
      <c r="B105" t="inlineStr">
        <is>
          <t>Rev OSC</t>
        </is>
      </c>
      <c r="C105" s="5" t="n">
        <v>46103</v>
      </c>
      <c r="D105" s="6" t="n">
        <v>0</v>
      </c>
      <c r="E105" s="6" t="n">
        <v>0</v>
      </c>
      <c r="F105" s="6" t="n">
        <v>0</v>
      </c>
      <c r="G105" s="6" t="n">
        <v>0</v>
      </c>
      <c r="H105" s="6" t="n">
        <v>0</v>
      </c>
      <c r="I105" s="6" t="n">
        <v>0</v>
      </c>
      <c r="J105" s="6" t="n">
        <v>0</v>
      </c>
      <c r="K105" s="6" t="n">
        <v>0</v>
      </c>
      <c r="L105" s="6" t="n">
        <v>0</v>
      </c>
      <c r="M105" s="6" t="n">
        <v>0</v>
      </c>
      <c r="N105" s="6" t="n">
        <v>0</v>
      </c>
      <c r="O105" s="6" t="n">
        <v>0</v>
      </c>
      <c r="P105" s="6" t="n">
        <v>0</v>
      </c>
      <c r="Q105" s="6" t="n">
        <v>0</v>
      </c>
      <c r="R105" s="6" t="n">
        <v>0</v>
      </c>
      <c r="S105" s="6" t="n">
        <v>0</v>
      </c>
      <c r="T105" s="6" t="n">
        <v>0</v>
      </c>
      <c r="U105" s="6" t="n">
        <v>0</v>
      </c>
      <c r="V105" s="6" t="n">
        <v>0</v>
      </c>
      <c r="W105" s="6" t="n">
        <v>0</v>
      </c>
      <c r="X105" s="6" t="n">
        <v>0</v>
      </c>
      <c r="Y105" s="6" t="n">
        <v>0</v>
      </c>
      <c r="Z105" s="6" t="n">
        <v>0</v>
      </c>
      <c r="AA105" s="6" t="n">
        <v>0</v>
      </c>
      <c r="AB105" s="6">
        <f>SUM(D105:AA105)</f>
        <v/>
      </c>
      <c r="AC105" s="3" t="inlineStr"/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7" t="n">
        <v>0</v>
      </c>
      <c r="BB105" s="7">
        <f>SUM(AD105:BA105)</f>
        <v/>
      </c>
    </row>
    <row r="106">
      <c r="A106" t="inlineStr">
        <is>
          <t>AMD-RTS-RCLS-1302-SSC_1</t>
        </is>
      </c>
      <c r="B106" t="inlineStr">
        <is>
          <t>Rev OSC</t>
        </is>
      </c>
      <c r="C106" s="5" t="n">
        <v>46104</v>
      </c>
      <c r="D106" s="6" t="n">
        <v>0</v>
      </c>
      <c r="E106" s="6" t="n">
        <v>0</v>
      </c>
      <c r="F106" s="6" t="n">
        <v>0</v>
      </c>
      <c r="G106" s="6" t="n">
        <v>0</v>
      </c>
      <c r="H106" s="6" t="n">
        <v>0</v>
      </c>
      <c r="I106" s="6" t="n">
        <v>0</v>
      </c>
      <c r="J106" s="6" t="n">
        <v>0</v>
      </c>
      <c r="K106" s="6" t="n">
        <v>0</v>
      </c>
      <c r="L106" s="6" t="n">
        <v>0</v>
      </c>
      <c r="M106" s="6" t="n">
        <v>0</v>
      </c>
      <c r="N106" s="6" t="n">
        <v>0</v>
      </c>
      <c r="O106" s="6" t="n">
        <v>0</v>
      </c>
      <c r="P106" s="6" t="n">
        <v>0</v>
      </c>
      <c r="Q106" s="6" t="n">
        <v>0</v>
      </c>
      <c r="R106" s="6" t="n">
        <v>0</v>
      </c>
      <c r="S106" s="6" t="n">
        <v>0</v>
      </c>
      <c r="T106" s="6" t="n">
        <v>0</v>
      </c>
      <c r="U106" s="6" t="n">
        <v>0</v>
      </c>
      <c r="V106" s="6" t="n">
        <v>0</v>
      </c>
      <c r="W106" s="6" t="n">
        <v>0</v>
      </c>
      <c r="X106" s="6" t="n">
        <v>0</v>
      </c>
      <c r="Y106" s="6" t="n">
        <v>0</v>
      </c>
      <c r="Z106" s="6" t="n">
        <v>0</v>
      </c>
      <c r="AA106" s="6" t="n">
        <v>0</v>
      </c>
      <c r="AB106" s="6">
        <f>SUM(D106:AA106)</f>
        <v/>
      </c>
      <c r="AC106" s="3" t="inlineStr"/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7" t="n">
        <v>0</v>
      </c>
      <c r="BB106" s="7">
        <f>SUM(AD106:BA106)</f>
        <v/>
      </c>
    </row>
    <row r="107">
      <c r="A107" t="inlineStr">
        <is>
          <t>AMD-RTS-RCLS-1302-SSC_1</t>
        </is>
      </c>
      <c r="B107" t="inlineStr">
        <is>
          <t>Rev OSC</t>
        </is>
      </c>
      <c r="C107" s="5" t="n">
        <v>46105</v>
      </c>
      <c r="D107" s="6" t="n">
        <v>0</v>
      </c>
      <c r="E107" s="6" t="n">
        <v>0</v>
      </c>
      <c r="F107" s="6" t="n">
        <v>0</v>
      </c>
      <c r="G107" s="6" t="n">
        <v>0</v>
      </c>
      <c r="H107" s="6" t="n">
        <v>0</v>
      </c>
      <c r="I107" s="6" t="n">
        <v>0</v>
      </c>
      <c r="J107" s="6" t="n">
        <v>0</v>
      </c>
      <c r="K107" s="6" t="n">
        <v>0</v>
      </c>
      <c r="L107" s="6" t="n">
        <v>0</v>
      </c>
      <c r="M107" s="6" t="n">
        <v>0</v>
      </c>
      <c r="N107" s="6" t="n">
        <v>0</v>
      </c>
      <c r="O107" s="6" t="n">
        <v>0</v>
      </c>
      <c r="P107" s="6" t="n">
        <v>0</v>
      </c>
      <c r="Q107" s="6" t="n">
        <v>0</v>
      </c>
      <c r="R107" s="6" t="n">
        <v>0</v>
      </c>
      <c r="S107" s="6" t="n">
        <v>0</v>
      </c>
      <c r="T107" s="6" t="n">
        <v>0</v>
      </c>
      <c r="U107" s="6" t="n">
        <v>0</v>
      </c>
      <c r="V107" s="6" t="n">
        <v>0</v>
      </c>
      <c r="W107" s="6" t="n">
        <v>0</v>
      </c>
      <c r="X107" s="6" t="n">
        <v>0</v>
      </c>
      <c r="Y107" s="6" t="n">
        <v>0</v>
      </c>
      <c r="Z107" s="6" t="n">
        <v>0</v>
      </c>
      <c r="AA107" s="6" t="n">
        <v>0</v>
      </c>
      <c r="AB107" s="6">
        <f>SUM(D107:AA107)</f>
        <v/>
      </c>
      <c r="AC107" s="3" t="inlineStr"/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7" t="n">
        <v>0</v>
      </c>
      <c r="BB107" s="7">
        <f>SUM(AD107:BA107)</f>
        <v/>
      </c>
    </row>
    <row r="108">
      <c r="A108" t="inlineStr">
        <is>
          <t>AMD-RTS-RCLS-1302-SSC_2</t>
        </is>
      </c>
      <c r="B108" t="inlineStr">
        <is>
          <t>Rev OSC</t>
        </is>
      </c>
      <c r="C108" s="5" t="n">
        <v>46100</v>
      </c>
      <c r="D108" s="6" t="n">
        <v>0</v>
      </c>
      <c r="E108" s="6" t="n">
        <v>0</v>
      </c>
      <c r="F108" s="6" t="n">
        <v>0</v>
      </c>
      <c r="G108" s="6" t="n">
        <v>0</v>
      </c>
      <c r="H108" s="6" t="n">
        <v>0</v>
      </c>
      <c r="I108" s="6" t="n">
        <v>0</v>
      </c>
      <c r="J108" s="6" t="n">
        <v>0</v>
      </c>
      <c r="K108" s="6" t="n">
        <v>0</v>
      </c>
      <c r="L108" s="6" t="n">
        <v>0</v>
      </c>
      <c r="M108" s="6" t="n">
        <v>0</v>
      </c>
      <c r="N108" s="6" t="n">
        <v>0</v>
      </c>
      <c r="O108" s="6" t="n">
        <v>0</v>
      </c>
      <c r="P108" s="6" t="n">
        <v>0</v>
      </c>
      <c r="Q108" s="6" t="n">
        <v>0</v>
      </c>
      <c r="R108" s="6" t="n">
        <v>0</v>
      </c>
      <c r="S108" s="6" t="n">
        <v>0</v>
      </c>
      <c r="T108" s="6" t="n">
        <v>0</v>
      </c>
      <c r="U108" s="6" t="n">
        <v>0</v>
      </c>
      <c r="V108" s="6" t="n">
        <v>0</v>
      </c>
      <c r="W108" s="6" t="n">
        <v>0</v>
      </c>
      <c r="X108" s="6" t="n">
        <v>0</v>
      </c>
      <c r="Y108" s="6" t="n">
        <v>0</v>
      </c>
      <c r="Z108" s="6" t="n">
        <v>0</v>
      </c>
      <c r="AA108" s="6" t="n">
        <v>0</v>
      </c>
      <c r="AB108" s="6">
        <f>SUM(D108:AA108)</f>
        <v/>
      </c>
      <c r="AC108" s="3" t="inlineStr"/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7" t="n">
        <v>0</v>
      </c>
      <c r="BB108" s="7">
        <f>SUM(AD108:BA108)</f>
        <v/>
      </c>
    </row>
    <row r="109">
      <c r="A109" t="inlineStr">
        <is>
          <t>AMD-RTS-RCLS-1302-SSC_2</t>
        </is>
      </c>
      <c r="B109" t="inlineStr">
        <is>
          <t>Rev OSC</t>
        </is>
      </c>
      <c r="C109" s="5" t="n">
        <v>46102</v>
      </c>
      <c r="D109" s="6" t="n">
        <v>0</v>
      </c>
      <c r="E109" s="6" t="n">
        <v>0</v>
      </c>
      <c r="F109" s="6" t="n">
        <v>0</v>
      </c>
      <c r="G109" s="6" t="n">
        <v>0</v>
      </c>
      <c r="H109" s="6" t="n">
        <v>0</v>
      </c>
      <c r="I109" s="6" t="n">
        <v>0</v>
      </c>
      <c r="J109" s="6" t="n">
        <v>0</v>
      </c>
      <c r="K109" s="6" t="n">
        <v>0</v>
      </c>
      <c r="L109" s="6" t="n">
        <v>0</v>
      </c>
      <c r="M109" s="6" t="n">
        <v>0</v>
      </c>
      <c r="N109" s="6" t="n">
        <v>0</v>
      </c>
      <c r="O109" s="6" t="n">
        <v>0</v>
      </c>
      <c r="P109" s="6" t="n">
        <v>0</v>
      </c>
      <c r="Q109" s="6" t="n">
        <v>0</v>
      </c>
      <c r="R109" s="6" t="n">
        <v>0</v>
      </c>
      <c r="S109" s="6" t="n">
        <v>0</v>
      </c>
      <c r="T109" s="6" t="n">
        <v>0</v>
      </c>
      <c r="U109" s="6" t="n">
        <v>0</v>
      </c>
      <c r="V109" s="6" t="n">
        <v>0</v>
      </c>
      <c r="W109" s="6" t="n">
        <v>0</v>
      </c>
      <c r="X109" s="6" t="n">
        <v>0</v>
      </c>
      <c r="Y109" s="6" t="n">
        <v>0</v>
      </c>
      <c r="Z109" s="6" t="n">
        <v>0</v>
      </c>
      <c r="AA109" s="6" t="n">
        <v>0</v>
      </c>
      <c r="AB109" s="6">
        <f>SUM(D109:AA109)</f>
        <v/>
      </c>
      <c r="AC109" s="3" t="inlineStr"/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7" t="n">
        <v>0</v>
      </c>
      <c r="BB109" s="7">
        <f>SUM(AD109:BA109)</f>
        <v/>
      </c>
    </row>
    <row r="110">
      <c r="A110" t="inlineStr">
        <is>
          <t>AMD-RTS-RCLS-1302-SSC_2</t>
        </is>
      </c>
      <c r="B110" t="inlineStr">
        <is>
          <t>Rev OSC</t>
        </is>
      </c>
      <c r="C110" s="5" t="n">
        <v>46104</v>
      </c>
      <c r="D110" s="6" t="n">
        <v>0</v>
      </c>
      <c r="E110" s="6" t="n">
        <v>0</v>
      </c>
      <c r="F110" s="6" t="n">
        <v>0</v>
      </c>
      <c r="G110" s="6" t="n">
        <v>0</v>
      </c>
      <c r="H110" s="6" t="n">
        <v>0</v>
      </c>
      <c r="I110" s="6" t="n">
        <v>0</v>
      </c>
      <c r="J110" s="6" t="n">
        <v>0</v>
      </c>
      <c r="K110" s="6" t="n">
        <v>0</v>
      </c>
      <c r="L110" s="6" t="n">
        <v>0</v>
      </c>
      <c r="M110" s="6" t="n">
        <v>0</v>
      </c>
      <c r="N110" s="6" t="n">
        <v>0</v>
      </c>
      <c r="O110" s="6" t="n">
        <v>0</v>
      </c>
      <c r="P110" s="6" t="n">
        <v>0</v>
      </c>
      <c r="Q110" s="6" t="n">
        <v>0</v>
      </c>
      <c r="R110" s="6" t="n">
        <v>0</v>
      </c>
      <c r="S110" s="6" t="n">
        <v>0</v>
      </c>
      <c r="T110" s="6" t="n">
        <v>0</v>
      </c>
      <c r="U110" s="6" t="n">
        <v>0</v>
      </c>
      <c r="V110" s="6" t="n">
        <v>0</v>
      </c>
      <c r="W110" s="6" t="n">
        <v>0</v>
      </c>
      <c r="X110" s="6" t="n">
        <v>0</v>
      </c>
      <c r="Y110" s="6" t="n">
        <v>0</v>
      </c>
      <c r="Z110" s="6" t="n">
        <v>0</v>
      </c>
      <c r="AA110" s="6" t="n">
        <v>0</v>
      </c>
      <c r="AB110" s="6">
        <f>SUM(D110:AA110)</f>
        <v/>
      </c>
      <c r="AC110" s="3" t="inlineStr"/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  <c r="BB110" s="7">
        <f>SUM(AD110:BA110)</f>
        <v/>
      </c>
    </row>
    <row r="111">
      <c r="A111" t="inlineStr">
        <is>
          <t>DC-10-1</t>
        </is>
      </c>
      <c r="B111" t="inlineStr">
        <is>
          <t>DSC Manual</t>
        </is>
      </c>
      <c r="C111" s="5" t="n">
        <v>46089</v>
      </c>
      <c r="D111" s="6" t="n">
        <v>0</v>
      </c>
      <c r="E111" s="6" t="n">
        <v>0</v>
      </c>
      <c r="F111" s="6" t="n">
        <v>0</v>
      </c>
      <c r="G111" s="6" t="n">
        <v>0</v>
      </c>
      <c r="H111" s="6" t="n">
        <v>0</v>
      </c>
      <c r="I111" s="6" t="n">
        <v>0</v>
      </c>
      <c r="J111" s="6" t="n">
        <v>0</v>
      </c>
      <c r="K111" s="6" t="n">
        <v>0</v>
      </c>
      <c r="L111" s="6" t="n">
        <v>0</v>
      </c>
      <c r="M111" s="6" t="n">
        <v>0</v>
      </c>
      <c r="N111" s="6" t="n">
        <v>0</v>
      </c>
      <c r="O111" s="6" t="n">
        <v>0</v>
      </c>
      <c r="P111" s="6" t="n">
        <v>0</v>
      </c>
      <c r="Q111" s="6" t="n">
        <v>0</v>
      </c>
      <c r="R111" s="6" t="n">
        <v>0</v>
      </c>
      <c r="S111" s="6" t="n">
        <v>0</v>
      </c>
      <c r="T111" s="6" t="n">
        <v>0</v>
      </c>
      <c r="U111" s="6" t="n">
        <v>0</v>
      </c>
      <c r="V111" s="6" t="n">
        <v>0</v>
      </c>
      <c r="W111" s="6" t="n">
        <v>0</v>
      </c>
      <c r="X111" s="6" t="n">
        <v>0</v>
      </c>
      <c r="Y111" s="6" t="n">
        <v>0</v>
      </c>
      <c r="Z111" s="6" t="n">
        <v>0</v>
      </c>
      <c r="AA111" s="6" t="n">
        <v>0</v>
      </c>
      <c r="AB111" s="6">
        <f>SUM(D111:AA111)</f>
        <v/>
      </c>
      <c r="AC111" s="3" t="inlineStr"/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7" t="n">
        <v>0</v>
      </c>
      <c r="BB111" s="7">
        <f>SUM(AD111:BA111)</f>
        <v/>
      </c>
    </row>
    <row r="112">
      <c r="A112" t="inlineStr">
        <is>
          <t>DC-10-1</t>
        </is>
      </c>
      <c r="B112" t="inlineStr">
        <is>
          <t>DSC Manual</t>
        </is>
      </c>
      <c r="C112" s="5" t="n">
        <v>46090</v>
      </c>
      <c r="D112" s="6" t="n">
        <v>0</v>
      </c>
      <c r="E112" s="6" t="n">
        <v>0</v>
      </c>
      <c r="F112" s="6" t="n">
        <v>0</v>
      </c>
      <c r="G112" s="6" t="n">
        <v>0</v>
      </c>
      <c r="H112" s="6" t="n">
        <v>0</v>
      </c>
      <c r="I112" s="6" t="n">
        <v>0</v>
      </c>
      <c r="J112" s="6" t="n">
        <v>0</v>
      </c>
      <c r="K112" s="6" t="n">
        <v>0</v>
      </c>
      <c r="L112" s="6" t="n">
        <v>0</v>
      </c>
      <c r="M112" s="6" t="n">
        <v>0</v>
      </c>
      <c r="N112" s="6" t="n">
        <v>0</v>
      </c>
      <c r="O112" s="6" t="n">
        <v>0</v>
      </c>
      <c r="P112" s="6" t="n">
        <v>0</v>
      </c>
      <c r="Q112" s="6" t="n">
        <v>0</v>
      </c>
      <c r="R112" s="6" t="n">
        <v>0</v>
      </c>
      <c r="S112" s="6" t="n">
        <v>0</v>
      </c>
      <c r="T112" s="6" t="n">
        <v>0</v>
      </c>
      <c r="U112" s="6" t="n">
        <v>0</v>
      </c>
      <c r="V112" s="6" t="n">
        <v>0</v>
      </c>
      <c r="W112" s="6" t="n">
        <v>0</v>
      </c>
      <c r="X112" s="6" t="n">
        <v>0</v>
      </c>
      <c r="Y112" s="6" t="n">
        <v>0</v>
      </c>
      <c r="Z112" s="6" t="n">
        <v>0</v>
      </c>
      <c r="AA112" s="6" t="n">
        <v>0</v>
      </c>
      <c r="AB112" s="6">
        <f>SUM(D112:AA112)</f>
        <v/>
      </c>
      <c r="AC112" s="3" t="inlineStr"/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>
        <f>SUM(AD112:BA112)</f>
        <v/>
      </c>
    </row>
    <row r="113">
      <c r="A113" t="inlineStr">
        <is>
          <t>DC-10-1</t>
        </is>
      </c>
      <c r="B113" t="inlineStr">
        <is>
          <t>DSC Manual</t>
        </is>
      </c>
      <c r="C113" s="5" t="n">
        <v>46091</v>
      </c>
      <c r="D113" s="6" t="n">
        <v>0</v>
      </c>
      <c r="E113" s="6" t="n">
        <v>0</v>
      </c>
      <c r="F113" s="6" t="n">
        <v>0</v>
      </c>
      <c r="G113" s="6" t="n">
        <v>0</v>
      </c>
      <c r="H113" s="6" t="n">
        <v>0</v>
      </c>
      <c r="I113" s="6" t="n">
        <v>0</v>
      </c>
      <c r="J113" s="6" t="n">
        <v>0</v>
      </c>
      <c r="K113" s="6" t="n">
        <v>0</v>
      </c>
      <c r="L113" s="6" t="n">
        <v>0</v>
      </c>
      <c r="M113" s="6" t="n">
        <v>0</v>
      </c>
      <c r="N113" s="6" t="n">
        <v>0</v>
      </c>
      <c r="O113" s="6" t="n">
        <v>0</v>
      </c>
      <c r="P113" s="6" t="n">
        <v>0</v>
      </c>
      <c r="Q113" s="6" t="n">
        <v>0</v>
      </c>
      <c r="R113" s="6" t="n">
        <v>0</v>
      </c>
      <c r="S113" s="6" t="n">
        <v>0</v>
      </c>
      <c r="T113" s="6" t="n">
        <v>0</v>
      </c>
      <c r="U113" s="6" t="n">
        <v>0</v>
      </c>
      <c r="V113" s="6" t="n">
        <v>0</v>
      </c>
      <c r="W113" s="6" t="n">
        <v>0</v>
      </c>
      <c r="X113" s="6" t="n">
        <v>0</v>
      </c>
      <c r="Y113" s="6" t="n">
        <v>0</v>
      </c>
      <c r="Z113" s="6" t="n">
        <v>0</v>
      </c>
      <c r="AA113" s="6" t="n">
        <v>0</v>
      </c>
      <c r="AB113" s="6">
        <f>SUM(D113:AA113)</f>
        <v/>
      </c>
      <c r="AC113" s="3" t="inlineStr"/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7" t="n">
        <v>0</v>
      </c>
      <c r="BB113" s="7">
        <f>SUM(AD113:BA113)</f>
        <v/>
      </c>
    </row>
    <row r="114">
      <c r="A114" t="inlineStr">
        <is>
          <t>DC-10-1</t>
        </is>
      </c>
      <c r="B114" t="inlineStr">
        <is>
          <t>DSC Manual</t>
        </is>
      </c>
      <c r="C114" s="5" t="n">
        <v>46092</v>
      </c>
      <c r="D114" s="6" t="n">
        <v>0</v>
      </c>
      <c r="E114" s="6" t="n">
        <v>0</v>
      </c>
      <c r="F114" s="6" t="n">
        <v>0</v>
      </c>
      <c r="G114" s="6" t="n">
        <v>0</v>
      </c>
      <c r="H114" s="6" t="n">
        <v>0</v>
      </c>
      <c r="I114" s="6" t="n">
        <v>0</v>
      </c>
      <c r="J114" s="6" t="n">
        <v>0</v>
      </c>
      <c r="K114" s="6" t="n">
        <v>0</v>
      </c>
      <c r="L114" s="6" t="n">
        <v>0</v>
      </c>
      <c r="M114" s="6" t="n">
        <v>0</v>
      </c>
      <c r="N114" s="6" t="n">
        <v>0</v>
      </c>
      <c r="O114" s="6" t="n">
        <v>0</v>
      </c>
      <c r="P114" s="6" t="n">
        <v>0</v>
      </c>
      <c r="Q114" s="6" t="n">
        <v>0</v>
      </c>
      <c r="R114" s="6" t="n">
        <v>0</v>
      </c>
      <c r="S114" s="6" t="n">
        <v>0</v>
      </c>
      <c r="T114" s="6" t="n">
        <v>0</v>
      </c>
      <c r="U114" s="6" t="n">
        <v>0</v>
      </c>
      <c r="V114" s="6" t="n">
        <v>0</v>
      </c>
      <c r="W114" s="6" t="n">
        <v>0</v>
      </c>
      <c r="X114" s="6" t="n">
        <v>0</v>
      </c>
      <c r="Y114" s="6" t="n">
        <v>0</v>
      </c>
      <c r="Z114" s="6" t="n">
        <v>0</v>
      </c>
      <c r="AA114" s="6" t="n">
        <v>0</v>
      </c>
      <c r="AB114" s="6">
        <f>SUM(D114:AA114)</f>
        <v/>
      </c>
      <c r="AC114" s="3" t="inlineStr"/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7" t="n">
        <v>0</v>
      </c>
      <c r="BB114" s="7">
        <f>SUM(AD114:BA114)</f>
        <v/>
      </c>
    </row>
    <row r="115">
      <c r="A115" t="inlineStr">
        <is>
          <t>DC-10-1</t>
        </is>
      </c>
      <c r="B115" t="inlineStr">
        <is>
          <t>DSC Manual</t>
        </is>
      </c>
      <c r="C115" s="5" t="n">
        <v>46093</v>
      </c>
      <c r="D115" s="6" t="n">
        <v>0</v>
      </c>
      <c r="E115" s="6" t="n">
        <v>0</v>
      </c>
      <c r="F115" s="6" t="n">
        <v>0</v>
      </c>
      <c r="G115" s="6" t="n">
        <v>0</v>
      </c>
      <c r="H115" s="6" t="n">
        <v>0</v>
      </c>
      <c r="I115" s="6" t="n">
        <v>0</v>
      </c>
      <c r="J115" s="6" t="n">
        <v>0</v>
      </c>
      <c r="K115" s="6" t="n">
        <v>0</v>
      </c>
      <c r="L115" s="6" t="n">
        <v>0</v>
      </c>
      <c r="M115" s="6" t="n">
        <v>0</v>
      </c>
      <c r="N115" s="6" t="n">
        <v>0</v>
      </c>
      <c r="O115" s="6" t="n">
        <v>0</v>
      </c>
      <c r="P115" s="6" t="n">
        <v>0</v>
      </c>
      <c r="Q115" s="6" t="n">
        <v>0</v>
      </c>
      <c r="R115" s="6" t="n">
        <v>0</v>
      </c>
      <c r="S115" s="6" t="n">
        <v>0</v>
      </c>
      <c r="T115" s="6" t="n">
        <v>0</v>
      </c>
      <c r="U115" s="6" t="n">
        <v>0</v>
      </c>
      <c r="V115" s="6" t="n">
        <v>0</v>
      </c>
      <c r="W115" s="6" t="n">
        <v>0</v>
      </c>
      <c r="X115" s="6" t="n">
        <v>0</v>
      </c>
      <c r="Y115" s="6" t="n">
        <v>0</v>
      </c>
      <c r="Z115" s="6" t="n">
        <v>0</v>
      </c>
      <c r="AA115" s="6" t="n">
        <v>0</v>
      </c>
      <c r="AB115" s="6">
        <f>SUM(D115:AA115)</f>
        <v/>
      </c>
      <c r="AC115" s="3" t="inlineStr"/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>
        <f>SUM(AD115:BA115)</f>
        <v/>
      </c>
    </row>
    <row r="116">
      <c r="A116" t="inlineStr">
        <is>
          <t>DC-10-1</t>
        </is>
      </c>
      <c r="B116" t="inlineStr">
        <is>
          <t>DSC Manual</t>
        </is>
      </c>
      <c r="C116" s="5" t="n">
        <v>46094</v>
      </c>
      <c r="D116" s="6" t="n">
        <v>0</v>
      </c>
      <c r="E116" s="6" t="n">
        <v>0</v>
      </c>
      <c r="F116" s="6" t="n">
        <v>0</v>
      </c>
      <c r="G116" s="6" t="n">
        <v>0</v>
      </c>
      <c r="H116" s="6" t="n">
        <v>0</v>
      </c>
      <c r="I116" s="6" t="n">
        <v>0</v>
      </c>
      <c r="J116" s="6" t="n">
        <v>0</v>
      </c>
      <c r="K116" s="6" t="n">
        <v>0</v>
      </c>
      <c r="L116" s="6" t="n">
        <v>0</v>
      </c>
      <c r="M116" s="6" t="n">
        <v>0</v>
      </c>
      <c r="N116" s="6" t="n">
        <v>0</v>
      </c>
      <c r="O116" s="6" t="n">
        <v>0</v>
      </c>
      <c r="P116" s="6" t="n">
        <v>0</v>
      </c>
      <c r="Q116" s="6" t="n">
        <v>0</v>
      </c>
      <c r="R116" s="6" t="n">
        <v>0</v>
      </c>
      <c r="S116" s="6" t="n">
        <v>0</v>
      </c>
      <c r="T116" s="6" t="n">
        <v>0</v>
      </c>
      <c r="U116" s="6" t="n">
        <v>0</v>
      </c>
      <c r="V116" s="6" t="n">
        <v>0</v>
      </c>
      <c r="W116" s="6" t="n">
        <v>0</v>
      </c>
      <c r="X116" s="6" t="n">
        <v>0</v>
      </c>
      <c r="Y116" s="6" t="n">
        <v>0</v>
      </c>
      <c r="Z116" s="6" t="n">
        <v>0</v>
      </c>
      <c r="AA116" s="6" t="n">
        <v>0</v>
      </c>
      <c r="AB116" s="6">
        <f>SUM(D116:AA116)</f>
        <v/>
      </c>
      <c r="AC116" s="3" t="inlineStr"/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>
        <f>SUM(AD116:BA116)</f>
        <v/>
      </c>
    </row>
    <row r="117">
      <c r="A117" t="inlineStr">
        <is>
          <t>DC-10-1</t>
        </is>
      </c>
      <c r="B117" t="inlineStr">
        <is>
          <t>DSC Manual</t>
        </is>
      </c>
      <c r="C117" s="5" t="n">
        <v>46095</v>
      </c>
      <c r="D117" s="6" t="n">
        <v>0</v>
      </c>
      <c r="E117" s="6" t="n">
        <v>0</v>
      </c>
      <c r="F117" s="6" t="n">
        <v>0</v>
      </c>
      <c r="G117" s="6" t="n">
        <v>0</v>
      </c>
      <c r="H117" s="6" t="n">
        <v>0</v>
      </c>
      <c r="I117" s="6" t="n">
        <v>0</v>
      </c>
      <c r="J117" s="6" t="n">
        <v>0</v>
      </c>
      <c r="K117" s="6" t="n">
        <v>0</v>
      </c>
      <c r="L117" s="6" t="n">
        <v>0</v>
      </c>
      <c r="M117" s="6" t="n">
        <v>0</v>
      </c>
      <c r="N117" s="6" t="n">
        <v>0</v>
      </c>
      <c r="O117" s="6" t="n">
        <v>0</v>
      </c>
      <c r="P117" s="6" t="n">
        <v>0</v>
      </c>
      <c r="Q117" s="6" t="n">
        <v>0</v>
      </c>
      <c r="R117" s="6" t="n">
        <v>0</v>
      </c>
      <c r="S117" s="6" t="n">
        <v>0</v>
      </c>
      <c r="T117" s="6" t="n">
        <v>0</v>
      </c>
      <c r="U117" s="6" t="n">
        <v>0</v>
      </c>
      <c r="V117" s="6" t="n">
        <v>0</v>
      </c>
      <c r="W117" s="6" t="n">
        <v>0</v>
      </c>
      <c r="X117" s="6" t="n">
        <v>0</v>
      </c>
      <c r="Y117" s="6" t="n">
        <v>0</v>
      </c>
      <c r="Z117" s="6" t="n">
        <v>0</v>
      </c>
      <c r="AA117" s="6" t="n">
        <v>0</v>
      </c>
      <c r="AB117" s="6">
        <f>SUM(D117:AA117)</f>
        <v/>
      </c>
      <c r="AC117" s="3" t="inlineStr"/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7" t="n">
        <v>0</v>
      </c>
      <c r="BA117" s="7" t="n">
        <v>0</v>
      </c>
      <c r="BB117" s="7">
        <f>SUM(AD117:BA117)</f>
        <v/>
      </c>
    </row>
    <row r="118">
      <c r="A118" t="inlineStr">
        <is>
          <t>DC-10-1</t>
        </is>
      </c>
      <c r="B118" t="inlineStr">
        <is>
          <t>DSC Manual</t>
        </is>
      </c>
      <c r="C118" s="5" t="n">
        <v>46096</v>
      </c>
      <c r="D118" s="6" t="n">
        <v>0</v>
      </c>
      <c r="E118" s="6" t="n">
        <v>0</v>
      </c>
      <c r="F118" s="6" t="n">
        <v>0</v>
      </c>
      <c r="G118" s="6" t="n">
        <v>0</v>
      </c>
      <c r="H118" s="6" t="n">
        <v>0</v>
      </c>
      <c r="I118" s="6" t="n">
        <v>0</v>
      </c>
      <c r="J118" s="6" t="n">
        <v>0</v>
      </c>
      <c r="K118" s="6" t="n">
        <v>0</v>
      </c>
      <c r="L118" s="6" t="n">
        <v>0</v>
      </c>
      <c r="M118" s="6" t="n">
        <v>0</v>
      </c>
      <c r="N118" s="6" t="n">
        <v>0</v>
      </c>
      <c r="O118" s="6" t="n">
        <v>0</v>
      </c>
      <c r="P118" s="6" t="n">
        <v>0</v>
      </c>
      <c r="Q118" s="6" t="n">
        <v>0</v>
      </c>
      <c r="R118" s="6" t="n">
        <v>0</v>
      </c>
      <c r="S118" s="6" t="n">
        <v>0</v>
      </c>
      <c r="T118" s="6" t="n">
        <v>0</v>
      </c>
      <c r="U118" s="6" t="n">
        <v>0</v>
      </c>
      <c r="V118" s="6" t="n">
        <v>0</v>
      </c>
      <c r="W118" s="6" t="n">
        <v>0</v>
      </c>
      <c r="X118" s="6" t="n">
        <v>0</v>
      </c>
      <c r="Y118" s="6" t="n">
        <v>0</v>
      </c>
      <c r="Z118" s="6" t="n">
        <v>0</v>
      </c>
      <c r="AA118" s="6" t="n">
        <v>0</v>
      </c>
      <c r="AB118" s="6">
        <f>SUM(D118:AA118)</f>
        <v/>
      </c>
      <c r="AC118" s="3" t="inlineStr"/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>
        <f>SUM(AD118:BA118)</f>
        <v/>
      </c>
    </row>
    <row r="119">
      <c r="A119" t="inlineStr">
        <is>
          <t>DC-10-1</t>
        </is>
      </c>
      <c r="B119" t="inlineStr">
        <is>
          <t>DSC Manual</t>
        </is>
      </c>
      <c r="C119" s="5" t="n">
        <v>46097</v>
      </c>
      <c r="D119" s="6" t="n">
        <v>0</v>
      </c>
      <c r="E119" s="6" t="n">
        <v>0</v>
      </c>
      <c r="F119" s="6" t="n">
        <v>0</v>
      </c>
      <c r="G119" s="6" t="n">
        <v>0</v>
      </c>
      <c r="H119" s="6" t="n">
        <v>0</v>
      </c>
      <c r="I119" s="6" t="n">
        <v>0</v>
      </c>
      <c r="J119" s="6" t="n">
        <v>0</v>
      </c>
      <c r="K119" s="6" t="n">
        <v>0</v>
      </c>
      <c r="L119" s="6" t="n">
        <v>0</v>
      </c>
      <c r="M119" s="6" t="n">
        <v>0</v>
      </c>
      <c r="N119" s="6" t="n">
        <v>0</v>
      </c>
      <c r="O119" s="6" t="n">
        <v>0</v>
      </c>
      <c r="P119" s="6" t="n">
        <v>0</v>
      </c>
      <c r="Q119" s="6" t="n">
        <v>0</v>
      </c>
      <c r="R119" s="6" t="n">
        <v>0</v>
      </c>
      <c r="S119" s="6" t="n">
        <v>0</v>
      </c>
      <c r="T119" s="6" t="n">
        <v>0</v>
      </c>
      <c r="U119" s="6" t="n">
        <v>0</v>
      </c>
      <c r="V119" s="6" t="n">
        <v>0</v>
      </c>
      <c r="W119" s="6" t="n">
        <v>0</v>
      </c>
      <c r="X119" s="6" t="n">
        <v>0</v>
      </c>
      <c r="Y119" s="6" t="n">
        <v>0</v>
      </c>
      <c r="Z119" s="6" t="n">
        <v>0</v>
      </c>
      <c r="AA119" s="6" t="n">
        <v>0</v>
      </c>
      <c r="AB119" s="6">
        <f>SUM(D119:AA119)</f>
        <v/>
      </c>
      <c r="AC119" s="3" t="inlineStr"/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n">
        <v>0</v>
      </c>
      <c r="AW119" s="7" t="n">
        <v>0</v>
      </c>
      <c r="AX119" s="7" t="n">
        <v>0</v>
      </c>
      <c r="AY119" s="7" t="n">
        <v>0</v>
      </c>
      <c r="AZ119" s="7" t="n">
        <v>0</v>
      </c>
      <c r="BA119" s="7" t="n">
        <v>0</v>
      </c>
      <c r="BB119" s="7">
        <f>SUM(AD119:BA119)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B1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Layout</t>
        </is>
      </c>
      <c r="B1" s="1" t="inlineStr">
        <is>
          <t>Layout Type</t>
        </is>
      </c>
      <c r="C1" s="1" t="inlineStr">
        <is>
          <t>Date</t>
        </is>
      </c>
      <c r="D1" s="2" t="inlineStr">
        <is>
          <t>Act Vol 12 AM</t>
        </is>
      </c>
      <c r="E1" s="2" t="inlineStr">
        <is>
          <t>Act Vol 1 AM</t>
        </is>
      </c>
      <c r="F1" s="2" t="inlineStr">
        <is>
          <t>Act Vol 2 AM</t>
        </is>
      </c>
      <c r="G1" s="2" t="inlineStr">
        <is>
          <t>Act Vol 3 AM</t>
        </is>
      </c>
      <c r="H1" s="2" t="inlineStr">
        <is>
          <t>Act Vol 4 AM</t>
        </is>
      </c>
      <c r="I1" s="2" t="inlineStr">
        <is>
          <t>Act Vol 5 AM</t>
        </is>
      </c>
      <c r="J1" s="2" t="inlineStr">
        <is>
          <t>Act Vol 6 AM</t>
        </is>
      </c>
      <c r="K1" s="2" t="inlineStr">
        <is>
          <t>Act Vol 7 AM</t>
        </is>
      </c>
      <c r="L1" s="2" t="inlineStr">
        <is>
          <t>Act Vol 8 AM</t>
        </is>
      </c>
      <c r="M1" s="2" t="inlineStr">
        <is>
          <t>Act Vol 9 AM</t>
        </is>
      </c>
      <c r="N1" s="2" t="inlineStr">
        <is>
          <t>Act Vol 10 AM</t>
        </is>
      </c>
      <c r="O1" s="2" t="inlineStr">
        <is>
          <t>Act Vol 11 AM</t>
        </is>
      </c>
      <c r="P1" s="2" t="inlineStr">
        <is>
          <t>Act Vol 12 PM</t>
        </is>
      </c>
      <c r="Q1" s="2" t="inlineStr">
        <is>
          <t>Act Vol 1 PM</t>
        </is>
      </c>
      <c r="R1" s="2" t="inlineStr">
        <is>
          <t>Act Vol 2 PM</t>
        </is>
      </c>
      <c r="S1" s="2" t="inlineStr">
        <is>
          <t>Act Vol 3 PM</t>
        </is>
      </c>
      <c r="T1" s="2" t="inlineStr">
        <is>
          <t>Act Vol 4 PM</t>
        </is>
      </c>
      <c r="U1" s="2" t="inlineStr">
        <is>
          <t>Act Vol 5 PM</t>
        </is>
      </c>
      <c r="V1" s="2" t="inlineStr">
        <is>
          <t>Act Vol 6 PM</t>
        </is>
      </c>
      <c r="W1" s="2" t="inlineStr">
        <is>
          <t>Act Vol 7 PM</t>
        </is>
      </c>
      <c r="X1" s="2" t="inlineStr">
        <is>
          <t>Act Vol 8 PM</t>
        </is>
      </c>
      <c r="Y1" s="2" t="inlineStr">
        <is>
          <t>Act Vol 9 PM</t>
        </is>
      </c>
      <c r="Z1" s="2" t="inlineStr">
        <is>
          <t>Act Vol 10 PM</t>
        </is>
      </c>
      <c r="AA1" s="2" t="inlineStr">
        <is>
          <t>Act Vol 11 PM</t>
        </is>
      </c>
      <c r="AB1" s="2" t="inlineStr">
        <is>
          <t>Act Vol Total</t>
        </is>
      </c>
      <c r="AC1" s="3" t="inlineStr"/>
      <c r="AD1" s="4" t="inlineStr">
        <is>
          <t>MH 12 AM</t>
        </is>
      </c>
      <c r="AE1" s="4" t="inlineStr">
        <is>
          <t>MH 1 AM</t>
        </is>
      </c>
      <c r="AF1" s="4" t="inlineStr">
        <is>
          <t>MH 2 AM</t>
        </is>
      </c>
      <c r="AG1" s="4" t="inlineStr">
        <is>
          <t>MH 3 AM</t>
        </is>
      </c>
      <c r="AH1" s="4" t="inlineStr">
        <is>
          <t>MH 4 AM</t>
        </is>
      </c>
      <c r="AI1" s="4" t="inlineStr">
        <is>
          <t>MH 5 AM</t>
        </is>
      </c>
      <c r="AJ1" s="4" t="inlineStr">
        <is>
          <t>MH 6 AM</t>
        </is>
      </c>
      <c r="AK1" s="4" t="inlineStr">
        <is>
          <t>MH 7 AM</t>
        </is>
      </c>
      <c r="AL1" s="4" t="inlineStr">
        <is>
          <t>MH 8 AM</t>
        </is>
      </c>
      <c r="AM1" s="4" t="inlineStr">
        <is>
          <t>MH 9 AM</t>
        </is>
      </c>
      <c r="AN1" s="4" t="inlineStr">
        <is>
          <t>MH 10 AM</t>
        </is>
      </c>
      <c r="AO1" s="4" t="inlineStr">
        <is>
          <t>MH 11 AM</t>
        </is>
      </c>
      <c r="AP1" s="4" t="inlineStr">
        <is>
          <t>MH 12 PM</t>
        </is>
      </c>
      <c r="AQ1" s="4" t="inlineStr">
        <is>
          <t>MH 1 PM</t>
        </is>
      </c>
      <c r="AR1" s="4" t="inlineStr">
        <is>
          <t>MH 2 PM</t>
        </is>
      </c>
      <c r="AS1" s="4" t="inlineStr">
        <is>
          <t>MH 3 PM</t>
        </is>
      </c>
      <c r="AT1" s="4" t="inlineStr">
        <is>
          <t>MH 4 PM</t>
        </is>
      </c>
      <c r="AU1" s="4" t="inlineStr">
        <is>
          <t>MH 5 PM</t>
        </is>
      </c>
      <c r="AV1" s="4" t="inlineStr">
        <is>
          <t>MH 6 PM</t>
        </is>
      </c>
      <c r="AW1" s="4" t="inlineStr">
        <is>
          <t>MH 7 PM</t>
        </is>
      </c>
      <c r="AX1" s="4" t="inlineStr">
        <is>
          <t>MH 8 PM</t>
        </is>
      </c>
      <c r="AY1" s="4" t="inlineStr">
        <is>
          <t>MH 9 PM</t>
        </is>
      </c>
      <c r="AZ1" s="4" t="inlineStr">
        <is>
          <t>MH 10 PM</t>
        </is>
      </c>
      <c r="BA1" s="4" t="inlineStr">
        <is>
          <t>MH 11 PM</t>
        </is>
      </c>
      <c r="BB1" s="4" t="inlineStr">
        <is>
          <t>MH Total</t>
        </is>
      </c>
    </row>
    <row r="2">
      <c r="A2" t="inlineStr">
        <is>
          <t>AMD-AIR-NEW-SSC</t>
        </is>
      </c>
      <c r="B2" t="inlineStr">
        <is>
          <t>Forward Regular OSC</t>
        </is>
      </c>
      <c r="C2" s="5" t="n">
        <v>46093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v>0</v>
      </c>
      <c r="N2" s="6" t="n">
        <v>0</v>
      </c>
      <c r="O2" s="6" t="n">
        <v>0</v>
      </c>
      <c r="P2" s="6" t="n">
        <v>0</v>
      </c>
      <c r="Q2" s="6" t="n">
        <v>0</v>
      </c>
      <c r="R2" s="6" t="n">
        <v>0</v>
      </c>
      <c r="S2" s="6" t="n">
        <v>0</v>
      </c>
      <c r="T2" s="6" t="n">
        <v>0</v>
      </c>
      <c r="U2" s="6" t="n">
        <v>0</v>
      </c>
      <c r="V2" s="6" t="n">
        <v>0</v>
      </c>
      <c r="W2" s="6" t="n">
        <v>0</v>
      </c>
      <c r="X2" s="6" t="n">
        <v>0</v>
      </c>
      <c r="Y2" s="6" t="n">
        <v>0</v>
      </c>
      <c r="Z2" s="6" t="n">
        <v>0</v>
      </c>
      <c r="AA2" s="6" t="n">
        <v>0</v>
      </c>
      <c r="AB2" s="6">
        <f>SUM(D2:AA2)</f>
        <v/>
      </c>
      <c r="AC2" s="3" t="inlineStr"/>
      <c r="AD2" s="7" t="n">
        <v>0</v>
      </c>
      <c r="AE2" s="7" t="n">
        <v>0</v>
      </c>
      <c r="AF2" s="7" t="n">
        <v>0</v>
      </c>
      <c r="AG2" s="7" t="n">
        <v>0</v>
      </c>
      <c r="AH2" s="7" t="n">
        <v>0</v>
      </c>
      <c r="AI2" s="7" t="n">
        <v>0</v>
      </c>
      <c r="AJ2" s="7" t="n">
        <v>0</v>
      </c>
      <c r="AK2" s="7" t="n">
        <v>0</v>
      </c>
      <c r="AL2" s="7" t="n">
        <v>0</v>
      </c>
      <c r="AM2" s="7" t="n">
        <v>0</v>
      </c>
      <c r="AN2" s="7" t="n">
        <v>0</v>
      </c>
      <c r="AO2" s="7" t="n">
        <v>0</v>
      </c>
      <c r="AP2" s="7" t="n">
        <v>0</v>
      </c>
      <c r="AQ2" s="7" t="n">
        <v>0</v>
      </c>
      <c r="AR2" s="7" t="n">
        <v>0</v>
      </c>
      <c r="AS2" s="7" t="n">
        <v>0</v>
      </c>
      <c r="AT2" s="7" t="n">
        <v>0</v>
      </c>
      <c r="AU2" s="7" t="n">
        <v>0</v>
      </c>
      <c r="AV2" s="7" t="n">
        <v>0</v>
      </c>
      <c r="AW2" s="7" t="n">
        <v>0</v>
      </c>
      <c r="AX2" s="7" t="n">
        <v>0</v>
      </c>
      <c r="AY2" s="7" t="n">
        <v>0</v>
      </c>
      <c r="AZ2" s="7" t="n">
        <v>0</v>
      </c>
      <c r="BA2" s="7" t="n">
        <v>0</v>
      </c>
      <c r="BB2" s="7">
        <f>SUM(AD2:BA2)</f>
        <v/>
      </c>
    </row>
    <row r="3">
      <c r="A3" t="inlineStr">
        <is>
          <t>AMD-AIR-NEW-SSC</t>
        </is>
      </c>
      <c r="B3" t="inlineStr">
        <is>
          <t>Forward Regular OSC</t>
        </is>
      </c>
      <c r="C3" s="5" t="n">
        <v>46094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>
        <f>SUM(D3:AA3)</f>
        <v/>
      </c>
      <c r="AC3" s="3" t="inlineStr"/>
      <c r="AD3" s="7" t="n">
        <v>0</v>
      </c>
      <c r="AE3" s="7" t="n">
        <v>0</v>
      </c>
      <c r="AF3" s="7" t="n">
        <v>0</v>
      </c>
      <c r="AG3" s="7" t="n">
        <v>0</v>
      </c>
      <c r="AH3" s="7" t="n">
        <v>0</v>
      </c>
      <c r="AI3" s="7" t="n">
        <v>0</v>
      </c>
      <c r="AJ3" s="7" t="n">
        <v>0</v>
      </c>
      <c r="AK3" s="7" t="n">
        <v>0</v>
      </c>
      <c r="AL3" s="7" t="n">
        <v>0</v>
      </c>
      <c r="AM3" s="7" t="n">
        <v>0</v>
      </c>
      <c r="AN3" s="7" t="n">
        <v>0</v>
      </c>
      <c r="AO3" s="7" t="n">
        <v>0</v>
      </c>
      <c r="AP3" s="7" t="n">
        <v>0</v>
      </c>
      <c r="AQ3" s="7" t="n">
        <v>0</v>
      </c>
      <c r="AR3" s="7" t="n">
        <v>0</v>
      </c>
      <c r="AS3" s="7" t="n">
        <v>0</v>
      </c>
      <c r="AT3" s="7" t="n">
        <v>0</v>
      </c>
      <c r="AU3" s="7" t="n">
        <v>0</v>
      </c>
      <c r="AV3" s="7" t="n">
        <v>0</v>
      </c>
      <c r="AW3" s="7" t="n">
        <v>0</v>
      </c>
      <c r="AX3" s="7" t="n">
        <v>0</v>
      </c>
      <c r="AY3" s="7" t="n">
        <v>0</v>
      </c>
      <c r="AZ3" s="7" t="n">
        <v>0</v>
      </c>
      <c r="BA3" s="7" t="n">
        <v>0</v>
      </c>
      <c r="BB3" s="7">
        <f>SUM(AD3:BA3)</f>
        <v/>
      </c>
    </row>
    <row r="4">
      <c r="A4" t="inlineStr">
        <is>
          <t>AMD-AIR-NEW-SSC</t>
        </is>
      </c>
      <c r="B4" t="inlineStr">
        <is>
          <t>Forward Regular OSC</t>
        </is>
      </c>
      <c r="C4" s="5" t="n">
        <v>46096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0</v>
      </c>
      <c r="R4" s="6" t="n">
        <v>0</v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0</v>
      </c>
      <c r="AB4" s="6">
        <f>SUM(D4:AA4)</f>
        <v/>
      </c>
      <c r="AC4" s="3" t="inlineStr"/>
      <c r="AD4" s="7" t="n">
        <v>0</v>
      </c>
      <c r="AE4" s="7" t="n">
        <v>0</v>
      </c>
      <c r="AF4" s="7" t="n">
        <v>0</v>
      </c>
      <c r="AG4" s="7" t="n">
        <v>0</v>
      </c>
      <c r="AH4" s="7" t="n">
        <v>0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0</v>
      </c>
      <c r="AP4" s="7" t="n">
        <v>0</v>
      </c>
      <c r="AQ4" s="7" t="n">
        <v>0</v>
      </c>
      <c r="AR4" s="7" t="n">
        <v>0</v>
      </c>
      <c r="AS4" s="7" t="n">
        <v>0</v>
      </c>
      <c r="AT4" s="7" t="n">
        <v>0</v>
      </c>
      <c r="AU4" s="7" t="n">
        <v>0</v>
      </c>
      <c r="AV4" s="7" t="n">
        <v>0</v>
      </c>
      <c r="AW4" s="7" t="n">
        <v>0</v>
      </c>
      <c r="AX4" s="7" t="n">
        <v>0</v>
      </c>
      <c r="AY4" s="7" t="n">
        <v>0</v>
      </c>
      <c r="AZ4" s="7" t="n">
        <v>0</v>
      </c>
      <c r="BA4" s="7" t="n">
        <v>0</v>
      </c>
      <c r="BB4" s="7">
        <f>SUM(AD4:BA4)</f>
        <v/>
      </c>
    </row>
    <row r="5">
      <c r="A5" t="inlineStr">
        <is>
          <t>AMD-AIR-NEW-SSC</t>
        </is>
      </c>
      <c r="B5" t="inlineStr">
        <is>
          <t>Forward Regular OSC</t>
        </is>
      </c>
      <c r="C5" s="5" t="n">
        <v>46097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>
        <f>SUM(D5:AA5)</f>
        <v/>
      </c>
      <c r="AC5" s="3" t="inlineStr"/>
      <c r="AD5" s="7" t="n">
        <v>0</v>
      </c>
      <c r="AE5" s="7" t="n">
        <v>0</v>
      </c>
      <c r="AF5" s="7" t="n">
        <v>0</v>
      </c>
      <c r="AG5" s="7" t="n">
        <v>0</v>
      </c>
      <c r="AH5" s="7" t="n">
        <v>0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0</v>
      </c>
      <c r="AP5" s="7" t="n">
        <v>0</v>
      </c>
      <c r="AQ5" s="7" t="n">
        <v>0</v>
      </c>
      <c r="AR5" s="7" t="n">
        <v>0</v>
      </c>
      <c r="AS5" s="7" t="n">
        <v>0</v>
      </c>
      <c r="AT5" s="7" t="n">
        <v>0</v>
      </c>
      <c r="AU5" s="7" t="n">
        <v>0</v>
      </c>
      <c r="AV5" s="7" t="n">
        <v>0</v>
      </c>
      <c r="AW5" s="7" t="n">
        <v>0</v>
      </c>
      <c r="AX5" s="7" t="n">
        <v>0</v>
      </c>
      <c r="AY5" s="7" t="n">
        <v>0</v>
      </c>
      <c r="AZ5" s="7" t="n">
        <v>0</v>
      </c>
      <c r="BA5" s="7" t="n">
        <v>0</v>
      </c>
      <c r="BB5" s="7">
        <f>SUM(AD5:BA5)</f>
        <v/>
      </c>
    </row>
    <row r="6">
      <c r="A6" t="inlineStr">
        <is>
          <t>AMD-AIR-NEW-SSC</t>
        </is>
      </c>
      <c r="B6" t="inlineStr">
        <is>
          <t>Forward Regular OSC</t>
        </is>
      </c>
      <c r="C6" s="5" t="n">
        <v>46100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>
        <f>SUM(D6:AA6)</f>
        <v/>
      </c>
      <c r="AC6" s="3" t="inlineStr"/>
      <c r="AD6" s="7" t="n">
        <v>0</v>
      </c>
      <c r="AE6" s="7" t="n">
        <v>0</v>
      </c>
      <c r="AF6" s="7" t="n">
        <v>0</v>
      </c>
      <c r="AG6" s="7" t="n">
        <v>0</v>
      </c>
      <c r="AH6" s="7" t="n">
        <v>0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0</v>
      </c>
      <c r="AN6" s="7" t="n">
        <v>0</v>
      </c>
      <c r="AO6" s="7" t="n">
        <v>0</v>
      </c>
      <c r="AP6" s="7" t="n">
        <v>0</v>
      </c>
      <c r="AQ6" s="7" t="n">
        <v>0</v>
      </c>
      <c r="AR6" s="7" t="n">
        <v>0</v>
      </c>
      <c r="AS6" s="7" t="n">
        <v>0</v>
      </c>
      <c r="AT6" s="7" t="n">
        <v>0</v>
      </c>
      <c r="AU6" s="7" t="n">
        <v>0</v>
      </c>
      <c r="AV6" s="7" t="n">
        <v>0</v>
      </c>
      <c r="AW6" s="7" t="n">
        <v>0</v>
      </c>
      <c r="AX6" s="7" t="n">
        <v>0</v>
      </c>
      <c r="AY6" s="7" t="n">
        <v>0</v>
      </c>
      <c r="AZ6" s="7" t="n">
        <v>0</v>
      </c>
      <c r="BA6" s="7" t="n">
        <v>0</v>
      </c>
      <c r="BB6" s="7">
        <f>SUM(AD6:BA6)</f>
        <v/>
      </c>
    </row>
    <row r="7">
      <c r="A7" t="inlineStr">
        <is>
          <t>AMD-AIR-NEW-SSC</t>
        </is>
      </c>
      <c r="B7" t="inlineStr">
        <is>
          <t>Forward Regular OSC</t>
        </is>
      </c>
      <c r="C7" s="5" t="n">
        <v>46101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>
        <f>SUM(D7:AA7)</f>
        <v/>
      </c>
      <c r="AC7" s="3" t="inlineStr"/>
      <c r="AD7" s="7" t="n">
        <v>0</v>
      </c>
      <c r="AE7" s="7" t="n">
        <v>0</v>
      </c>
      <c r="AF7" s="7" t="n">
        <v>0</v>
      </c>
      <c r="AG7" s="7" t="n">
        <v>0</v>
      </c>
      <c r="AH7" s="7" t="n">
        <v>0</v>
      </c>
      <c r="AI7" s="7" t="n">
        <v>0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0</v>
      </c>
      <c r="AP7" s="7" t="n">
        <v>0</v>
      </c>
      <c r="AQ7" s="7" t="n">
        <v>0</v>
      </c>
      <c r="AR7" s="7" t="n">
        <v>0</v>
      </c>
      <c r="AS7" s="7" t="n">
        <v>0</v>
      </c>
      <c r="AT7" s="7" t="n">
        <v>0</v>
      </c>
      <c r="AU7" s="7" t="n">
        <v>0</v>
      </c>
      <c r="AV7" s="7" t="n">
        <v>0</v>
      </c>
      <c r="AW7" s="7" t="n">
        <v>0</v>
      </c>
      <c r="AX7" s="7" t="n">
        <v>0</v>
      </c>
      <c r="AY7" s="7" t="n">
        <v>0</v>
      </c>
      <c r="AZ7" s="7" t="n">
        <v>0</v>
      </c>
      <c r="BA7" s="7" t="n">
        <v>0</v>
      </c>
      <c r="BB7" s="7">
        <f>SUM(AD7:BA7)</f>
        <v/>
      </c>
    </row>
    <row r="8">
      <c r="A8" t="inlineStr">
        <is>
          <t>AMD-AIR-NEW-SSC</t>
        </is>
      </c>
      <c r="B8" t="inlineStr">
        <is>
          <t>Forward Regular OSC</t>
        </is>
      </c>
      <c r="C8" s="5" t="n">
        <v>46102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>
        <f>SUM(D8:AA8)</f>
        <v/>
      </c>
      <c r="AC8" s="3" t="inlineStr"/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0</v>
      </c>
      <c r="AP8" s="7" t="n">
        <v>0</v>
      </c>
      <c r="AQ8" s="7" t="n">
        <v>0</v>
      </c>
      <c r="AR8" s="7" t="n">
        <v>0</v>
      </c>
      <c r="AS8" s="7" t="n">
        <v>0</v>
      </c>
      <c r="AT8" s="7" t="n">
        <v>0</v>
      </c>
      <c r="AU8" s="7" t="n">
        <v>0</v>
      </c>
      <c r="AV8" s="7" t="n">
        <v>0</v>
      </c>
      <c r="AW8" s="7" t="n">
        <v>0</v>
      </c>
      <c r="AX8" s="7" t="n">
        <v>0</v>
      </c>
      <c r="AY8" s="7" t="n">
        <v>0</v>
      </c>
      <c r="AZ8" s="7" t="n">
        <v>0</v>
      </c>
      <c r="BA8" s="7" t="n">
        <v>0</v>
      </c>
      <c r="BB8" s="7">
        <f>SUM(AD8:BA8)</f>
        <v/>
      </c>
    </row>
    <row r="9">
      <c r="A9" t="inlineStr">
        <is>
          <t>AMD-AIR-NEW-SSC</t>
        </is>
      </c>
      <c r="B9" t="inlineStr">
        <is>
          <t>Forward Regular OSC</t>
        </is>
      </c>
      <c r="C9" s="5" t="n">
        <v>46103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>
        <f>SUM(D9:AA9)</f>
        <v/>
      </c>
      <c r="AC9" s="3" t="inlineStr"/>
      <c r="AD9" s="7" t="n">
        <v>0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0</v>
      </c>
      <c r="AS9" s="7" t="n">
        <v>0</v>
      </c>
      <c r="AT9" s="7" t="n">
        <v>0</v>
      </c>
      <c r="AU9" s="7" t="n">
        <v>0</v>
      </c>
      <c r="AV9" s="7" t="n">
        <v>0</v>
      </c>
      <c r="AW9" s="7" t="n">
        <v>0</v>
      </c>
      <c r="AX9" s="7" t="n">
        <v>0</v>
      </c>
      <c r="AY9" s="7" t="n">
        <v>0</v>
      </c>
      <c r="AZ9" s="7" t="n">
        <v>0</v>
      </c>
      <c r="BA9" s="7" t="n">
        <v>0</v>
      </c>
      <c r="BB9" s="7">
        <f>SUM(AD9:BA9)</f>
        <v/>
      </c>
    </row>
    <row r="10">
      <c r="A10" t="inlineStr">
        <is>
          <t>AMD-AIR-NEW-SSC</t>
        </is>
      </c>
      <c r="B10" t="inlineStr">
        <is>
          <t>Forward Regular OSC</t>
        </is>
      </c>
      <c r="C10" s="5" t="n">
        <v>46104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>
        <f>SUM(D10:AA10)</f>
        <v/>
      </c>
      <c r="AC10" s="3" t="inlineStr"/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0</v>
      </c>
      <c r="AP10" s="7" t="n">
        <v>0</v>
      </c>
      <c r="AQ10" s="7" t="n">
        <v>0</v>
      </c>
      <c r="AR10" s="7" t="n">
        <v>0</v>
      </c>
      <c r="AS10" s="7" t="n">
        <v>0</v>
      </c>
      <c r="AT10" s="7" t="n">
        <v>0</v>
      </c>
      <c r="AU10" s="7" t="n">
        <v>0</v>
      </c>
      <c r="AV10" s="7" t="n">
        <v>0</v>
      </c>
      <c r="AW10" s="7" t="n">
        <v>0</v>
      </c>
      <c r="AX10" s="7" t="n">
        <v>0</v>
      </c>
      <c r="AY10" s="7" t="n">
        <v>0</v>
      </c>
      <c r="AZ10" s="7" t="n">
        <v>0</v>
      </c>
      <c r="BA10" s="7" t="n">
        <v>0</v>
      </c>
      <c r="BB10" s="7">
        <f>SUM(AD10:BA10)</f>
        <v/>
      </c>
    </row>
    <row r="11">
      <c r="A11" t="inlineStr">
        <is>
          <t>AMD-EXPR</t>
        </is>
      </c>
      <c r="B11" t="inlineStr">
        <is>
          <t>DSC Manual</t>
        </is>
      </c>
      <c r="C11" s="5" t="n">
        <v>46089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>
        <f>SUM(D11:AA11)</f>
        <v/>
      </c>
      <c r="AC11" s="3" t="inlineStr"/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0</v>
      </c>
      <c r="AP11" s="7" t="n">
        <v>0</v>
      </c>
      <c r="AQ11" s="7" t="n">
        <v>0</v>
      </c>
      <c r="AR11" s="7" t="n">
        <v>0</v>
      </c>
      <c r="AS11" s="7" t="n">
        <v>0</v>
      </c>
      <c r="AT11" s="7" t="n">
        <v>0</v>
      </c>
      <c r="AU11" s="7" t="n">
        <v>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0</v>
      </c>
      <c r="BA11" s="7" t="n">
        <v>0</v>
      </c>
      <c r="BB11" s="7">
        <f>SUM(AD11:BA11)</f>
        <v/>
      </c>
    </row>
    <row r="12">
      <c r="A12" t="inlineStr">
        <is>
          <t>AMD-EXPR</t>
        </is>
      </c>
      <c r="B12" t="inlineStr">
        <is>
          <t>DSC Manual</t>
        </is>
      </c>
      <c r="C12" s="5" t="n">
        <v>46090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>
        <f>SUM(D12:AA12)</f>
        <v/>
      </c>
      <c r="AC12" s="3" t="inlineStr"/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0</v>
      </c>
      <c r="AT12" s="7" t="n">
        <v>0</v>
      </c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0</v>
      </c>
      <c r="BA12" s="7" t="n">
        <v>0</v>
      </c>
      <c r="BB12" s="7">
        <f>SUM(AD12:BA12)</f>
        <v/>
      </c>
    </row>
    <row r="13">
      <c r="A13" t="inlineStr">
        <is>
          <t>AMD-EXPR</t>
        </is>
      </c>
      <c r="B13" t="inlineStr">
        <is>
          <t>DSC Manual</t>
        </is>
      </c>
      <c r="C13" s="5" t="n">
        <v>46091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>
        <f>SUM(D13:AA13)</f>
        <v/>
      </c>
      <c r="AC13" s="3" t="inlineStr"/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0</v>
      </c>
      <c r="AP13" s="7" t="n">
        <v>0</v>
      </c>
      <c r="AQ13" s="7" t="n">
        <v>0</v>
      </c>
      <c r="AR13" s="7" t="n">
        <v>0</v>
      </c>
      <c r="AS13" s="7" t="n">
        <v>0</v>
      </c>
      <c r="AT13" s="7" t="n">
        <v>0</v>
      </c>
      <c r="AU13" s="7" t="n">
        <v>0</v>
      </c>
      <c r="AV13" s="7" t="n">
        <v>0</v>
      </c>
      <c r="AW13" s="7" t="n">
        <v>0</v>
      </c>
      <c r="AX13" s="7" t="n">
        <v>0</v>
      </c>
      <c r="AY13" s="7" t="n">
        <v>0</v>
      </c>
      <c r="AZ13" s="7" t="n">
        <v>0</v>
      </c>
      <c r="BA13" s="7" t="n">
        <v>0</v>
      </c>
      <c r="BB13" s="7">
        <f>SUM(AD13:BA13)</f>
        <v/>
      </c>
    </row>
    <row r="14">
      <c r="A14" t="inlineStr">
        <is>
          <t>AMD-EXPR</t>
        </is>
      </c>
      <c r="B14" t="inlineStr">
        <is>
          <t>DSC Manual</t>
        </is>
      </c>
      <c r="C14" s="5" t="n">
        <v>46092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>
        <f>SUM(D14:AA14)</f>
        <v/>
      </c>
      <c r="AC14" s="3" t="inlineStr"/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0</v>
      </c>
      <c r="AP14" s="7" t="n">
        <v>0</v>
      </c>
      <c r="AQ14" s="7" t="n">
        <v>0</v>
      </c>
      <c r="AR14" s="7" t="n">
        <v>0</v>
      </c>
      <c r="AS14" s="7" t="n">
        <v>0</v>
      </c>
      <c r="AT14" s="7" t="n">
        <v>0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0</v>
      </c>
      <c r="BA14" s="7" t="n">
        <v>0</v>
      </c>
      <c r="BB14" s="7">
        <f>SUM(AD14:BA14)</f>
        <v/>
      </c>
    </row>
    <row r="15">
      <c r="A15" t="inlineStr">
        <is>
          <t>AMD-EXPR</t>
        </is>
      </c>
      <c r="B15" t="inlineStr">
        <is>
          <t>DSC Manual</t>
        </is>
      </c>
      <c r="C15" s="5" t="n">
        <v>46093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  <c r="AB15" s="6">
        <f>SUM(D15:AA15)</f>
        <v/>
      </c>
      <c r="AC15" s="3" t="inlineStr"/>
      <c r="AD15" s="7" t="n">
        <v>0</v>
      </c>
      <c r="AE15" s="7" t="n">
        <v>0</v>
      </c>
      <c r="AF15" s="7" t="n">
        <v>0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0</v>
      </c>
      <c r="AL15" s="7" t="n">
        <v>0</v>
      </c>
      <c r="AM15" s="7" t="n">
        <v>0</v>
      </c>
      <c r="AN15" s="7" t="n">
        <v>0</v>
      </c>
      <c r="AO15" s="7" t="n">
        <v>0</v>
      </c>
      <c r="AP15" s="7" t="n">
        <v>0</v>
      </c>
      <c r="AQ15" s="7" t="n">
        <v>0</v>
      </c>
      <c r="AR15" s="7" t="n">
        <v>0</v>
      </c>
      <c r="AS15" s="7" t="n">
        <v>0</v>
      </c>
      <c r="AT15" s="7" t="n">
        <v>0</v>
      </c>
      <c r="AU15" s="7" t="n">
        <v>0</v>
      </c>
      <c r="AV15" s="7" t="n">
        <v>0</v>
      </c>
      <c r="AW15" s="7" t="n">
        <v>0</v>
      </c>
      <c r="AX15" s="7" t="n">
        <v>0</v>
      </c>
      <c r="AY15" s="7" t="n">
        <v>0</v>
      </c>
      <c r="AZ15" s="7" t="n">
        <v>0</v>
      </c>
      <c r="BA15" s="7" t="n">
        <v>0</v>
      </c>
      <c r="BB15" s="7">
        <f>SUM(AD15:BA15)</f>
        <v/>
      </c>
    </row>
    <row r="16">
      <c r="A16" t="inlineStr">
        <is>
          <t>AMD-EXPR</t>
        </is>
      </c>
      <c r="B16" t="inlineStr">
        <is>
          <t>DSC Manual</t>
        </is>
      </c>
      <c r="C16" s="5" t="n">
        <v>46094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  <c r="AB16" s="6">
        <f>SUM(D16:AA16)</f>
        <v/>
      </c>
      <c r="AC16" s="3" t="inlineStr"/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0</v>
      </c>
      <c r="AS16" s="7" t="n">
        <v>0</v>
      </c>
      <c r="AT16" s="7" t="n">
        <v>0</v>
      </c>
      <c r="AU16" s="7" t="n">
        <v>0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0</v>
      </c>
      <c r="BA16" s="7" t="n">
        <v>0</v>
      </c>
      <c r="BB16" s="7">
        <f>SUM(AD16:BA16)</f>
        <v/>
      </c>
    </row>
    <row r="17">
      <c r="A17" t="inlineStr">
        <is>
          <t>AMD-EXPR</t>
        </is>
      </c>
      <c r="B17" t="inlineStr">
        <is>
          <t>DSC Manual</t>
        </is>
      </c>
      <c r="C17" s="5" t="n">
        <v>46095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6">
        <f>SUM(D17:AA17)</f>
        <v/>
      </c>
      <c r="AC17" s="3" t="inlineStr"/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0</v>
      </c>
      <c r="AI17" s="7" t="n">
        <v>0</v>
      </c>
      <c r="AJ17" s="7" t="n">
        <v>0</v>
      </c>
      <c r="AK17" s="7" t="n">
        <v>0</v>
      </c>
      <c r="AL17" s="7" t="n">
        <v>0</v>
      </c>
      <c r="AM17" s="7" t="n">
        <v>0</v>
      </c>
      <c r="AN17" s="7" t="n">
        <v>0</v>
      </c>
      <c r="AO17" s="7" t="n">
        <v>0</v>
      </c>
      <c r="AP17" s="7" t="n">
        <v>0</v>
      </c>
      <c r="AQ17" s="7" t="n">
        <v>0</v>
      </c>
      <c r="AR17" s="7" t="n">
        <v>0</v>
      </c>
      <c r="AS17" s="7" t="n">
        <v>0</v>
      </c>
      <c r="AT17" s="7" t="n">
        <v>0</v>
      </c>
      <c r="AU17" s="7" t="n">
        <v>0</v>
      </c>
      <c r="AV17" s="7" t="n">
        <v>0</v>
      </c>
      <c r="AW17" s="7" t="n">
        <v>0</v>
      </c>
      <c r="AX17" s="7" t="n">
        <v>0</v>
      </c>
      <c r="AY17" s="7" t="n">
        <v>0</v>
      </c>
      <c r="AZ17" s="7" t="n">
        <v>0</v>
      </c>
      <c r="BA17" s="7" t="n">
        <v>0</v>
      </c>
      <c r="BB17" s="7">
        <f>SUM(AD17:BA17)</f>
        <v/>
      </c>
    </row>
    <row r="18">
      <c r="A18" t="inlineStr">
        <is>
          <t>AMD-EXPR</t>
        </is>
      </c>
      <c r="B18" t="inlineStr">
        <is>
          <t>DSC Manual</t>
        </is>
      </c>
      <c r="C18" s="5" t="n">
        <v>46096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  <c r="AB18" s="6">
        <f>SUM(D18:AA18)</f>
        <v/>
      </c>
      <c r="AC18" s="3" t="inlineStr"/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0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0</v>
      </c>
      <c r="BA18" s="7" t="n">
        <v>0</v>
      </c>
      <c r="BB18" s="7">
        <f>SUM(AD18:BA18)</f>
        <v/>
      </c>
    </row>
    <row r="19">
      <c r="A19" t="inlineStr">
        <is>
          <t>AMD-EXPR</t>
        </is>
      </c>
      <c r="B19" t="inlineStr">
        <is>
          <t>DSC Manual</t>
        </is>
      </c>
      <c r="C19" s="5" t="n">
        <v>46097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>
        <f>SUM(D19:AA19)</f>
        <v/>
      </c>
      <c r="AC19" s="3" t="inlineStr"/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0</v>
      </c>
      <c r="AR19" s="7" t="n">
        <v>0</v>
      </c>
      <c r="AS19" s="7" t="n">
        <v>0</v>
      </c>
      <c r="AT19" s="7" t="n">
        <v>0</v>
      </c>
      <c r="AU19" s="7" t="n">
        <v>0</v>
      </c>
      <c r="AV19" s="7" t="n">
        <v>0</v>
      </c>
      <c r="AW19" s="7" t="n">
        <v>0</v>
      </c>
      <c r="AX19" s="7" t="n">
        <v>0</v>
      </c>
      <c r="AY19" s="7" t="n">
        <v>0</v>
      </c>
      <c r="AZ19" s="7" t="n">
        <v>0</v>
      </c>
      <c r="BA19" s="7" t="n">
        <v>0</v>
      </c>
      <c r="BB19" s="7">
        <f>SUM(AD19:BA19)</f>
        <v/>
      </c>
    </row>
    <row r="20">
      <c r="A20" t="inlineStr">
        <is>
          <t>AMD-EXPR</t>
        </is>
      </c>
      <c r="B20" t="inlineStr">
        <is>
          <t>DSC Manual</t>
        </is>
      </c>
      <c r="C20" s="5" t="n">
        <v>46099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>
        <f>SUM(D20:AA20)</f>
        <v/>
      </c>
      <c r="AC20" s="3" t="inlineStr"/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0</v>
      </c>
      <c r="BA20" s="7" t="n">
        <v>0</v>
      </c>
      <c r="BB20" s="7">
        <f>SUM(AD20:BA20)</f>
        <v/>
      </c>
    </row>
    <row r="21">
      <c r="A21" t="inlineStr">
        <is>
          <t>AMD-EXPR</t>
        </is>
      </c>
      <c r="B21" t="inlineStr">
        <is>
          <t>DSC Manual</t>
        </is>
      </c>
      <c r="C21" s="5" t="n">
        <v>46100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>
        <f>SUM(D21:AA21)</f>
        <v/>
      </c>
      <c r="AC21" s="3" t="inlineStr"/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0</v>
      </c>
      <c r="AS21" s="7" t="n">
        <v>0</v>
      </c>
      <c r="AT21" s="7" t="n">
        <v>0</v>
      </c>
      <c r="AU21" s="7" t="n">
        <v>0</v>
      </c>
      <c r="AV21" s="7" t="n">
        <v>0</v>
      </c>
      <c r="AW21" s="7" t="n">
        <v>0</v>
      </c>
      <c r="AX21" s="7" t="n">
        <v>0</v>
      </c>
      <c r="AY21" s="7" t="n">
        <v>0</v>
      </c>
      <c r="AZ21" s="7" t="n">
        <v>0</v>
      </c>
      <c r="BA21" s="7" t="n">
        <v>0</v>
      </c>
      <c r="BB21" s="7">
        <f>SUM(AD21:BA21)</f>
        <v/>
      </c>
    </row>
    <row r="22">
      <c r="A22" t="inlineStr">
        <is>
          <t>AMD-EXPR</t>
        </is>
      </c>
      <c r="B22" t="inlineStr">
        <is>
          <t>DSC Manual</t>
        </is>
      </c>
      <c r="C22" s="5" t="n">
        <v>46102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>
        <f>SUM(D22:AA22)</f>
        <v/>
      </c>
      <c r="AC22" s="3" t="inlineStr"/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7" t="n">
        <v>0</v>
      </c>
      <c r="BB22" s="7">
        <f>SUM(AD22:BA22)</f>
        <v/>
      </c>
    </row>
    <row r="23">
      <c r="A23" t="inlineStr">
        <is>
          <t>AMD-EXPR</t>
        </is>
      </c>
      <c r="B23" t="inlineStr">
        <is>
          <t>DSC Manual</t>
        </is>
      </c>
      <c r="C23" s="5" t="n">
        <v>46103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>
        <f>SUM(D23:AA23)</f>
        <v/>
      </c>
      <c r="AC23" s="3" t="inlineStr"/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0</v>
      </c>
      <c r="BA23" s="7" t="n">
        <v>0</v>
      </c>
      <c r="BB23" s="7">
        <f>SUM(AD23:BA23)</f>
        <v/>
      </c>
    </row>
    <row r="24">
      <c r="A24" t="inlineStr">
        <is>
          <t>AMD-EXPR</t>
        </is>
      </c>
      <c r="B24" t="inlineStr">
        <is>
          <t>DSC Manual</t>
        </is>
      </c>
      <c r="C24" s="5" t="n">
        <v>46104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>
        <f>SUM(D24:AA24)</f>
        <v/>
      </c>
      <c r="AC24" s="3" t="inlineStr"/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0</v>
      </c>
      <c r="BA24" s="7" t="n">
        <v>0</v>
      </c>
      <c r="BB24" s="7">
        <f>SUM(AD24:BA24)</f>
        <v/>
      </c>
    </row>
    <row r="25">
      <c r="A25" t="inlineStr">
        <is>
          <t>AMD-EXPR</t>
        </is>
      </c>
      <c r="B25" t="inlineStr">
        <is>
          <t>DSC Manual</t>
        </is>
      </c>
      <c r="C25" s="5" t="n">
        <v>46105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>
        <f>SUM(D25:AA25)</f>
        <v/>
      </c>
      <c r="AC25" s="3" t="inlineStr"/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7" t="n">
        <v>0</v>
      </c>
      <c r="BB25" s="7">
        <f>SUM(AD25:BA25)</f>
        <v/>
      </c>
    </row>
    <row r="26">
      <c r="A26" t="inlineStr">
        <is>
          <t>AMD-FK-SSC</t>
        </is>
      </c>
      <c r="B26" t="inlineStr">
        <is>
          <t>Prime at Client side</t>
        </is>
      </c>
      <c r="C26" s="5" t="n">
        <v>46089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>
        <f>SUM(D26:AA26)</f>
        <v/>
      </c>
      <c r="AC26" s="3" t="inlineStr"/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7" t="n">
        <v>0</v>
      </c>
      <c r="BB26" s="7">
        <f>SUM(AD26:BA26)</f>
        <v/>
      </c>
    </row>
    <row r="27">
      <c r="A27" t="inlineStr">
        <is>
          <t>AMD-FK-SSC</t>
        </is>
      </c>
      <c r="B27" t="inlineStr">
        <is>
          <t>Prime at Client side</t>
        </is>
      </c>
      <c r="C27" s="5" t="n">
        <v>46090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>
        <f>SUM(D27:AA27)</f>
        <v/>
      </c>
      <c r="AC27" s="3" t="inlineStr"/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7" t="n">
        <v>0</v>
      </c>
      <c r="BB27" s="7">
        <f>SUM(AD27:BA27)</f>
        <v/>
      </c>
    </row>
    <row r="28">
      <c r="A28" t="inlineStr">
        <is>
          <t>AMD-FK-SSC</t>
        </is>
      </c>
      <c r="B28" t="inlineStr">
        <is>
          <t>Prime at Client side</t>
        </is>
      </c>
      <c r="C28" s="5" t="n">
        <v>46091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>
        <f>SUM(D28:AA28)</f>
        <v/>
      </c>
      <c r="AC28" s="3" t="inlineStr"/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7" t="n">
        <v>0</v>
      </c>
      <c r="BB28" s="7">
        <f>SUM(AD28:BA28)</f>
        <v/>
      </c>
    </row>
    <row r="29">
      <c r="A29" t="inlineStr">
        <is>
          <t>AMD-FK-SSC</t>
        </is>
      </c>
      <c r="B29" t="inlineStr">
        <is>
          <t>Prime at Client side</t>
        </is>
      </c>
      <c r="C29" s="5" t="n">
        <v>46092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>
        <f>SUM(D29:AA29)</f>
        <v/>
      </c>
      <c r="AC29" s="3" t="inlineStr"/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7" t="n">
        <v>0</v>
      </c>
      <c r="AQ29" s="7" t="n">
        <v>0</v>
      </c>
      <c r="AR29" s="7" t="n">
        <v>0</v>
      </c>
      <c r="AS29" s="7" t="n">
        <v>0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0</v>
      </c>
      <c r="BA29" s="7" t="n">
        <v>0</v>
      </c>
      <c r="BB29" s="7">
        <f>SUM(AD29:BA29)</f>
        <v/>
      </c>
    </row>
    <row r="30">
      <c r="A30" t="inlineStr">
        <is>
          <t>AMD-FK-SSC</t>
        </is>
      </c>
      <c r="B30" t="inlineStr">
        <is>
          <t>Prime at Client side</t>
        </is>
      </c>
      <c r="C30" s="5" t="n">
        <v>46093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>
        <f>SUM(D30:AA30)</f>
        <v/>
      </c>
      <c r="AC30" s="3" t="inlineStr"/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0</v>
      </c>
      <c r="AS30" s="7" t="n">
        <v>0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7" t="n">
        <v>0</v>
      </c>
      <c r="BB30" s="7">
        <f>SUM(AD30:BA30)</f>
        <v/>
      </c>
    </row>
    <row r="31">
      <c r="A31" t="inlineStr">
        <is>
          <t>AMD-FK-SSC</t>
        </is>
      </c>
      <c r="B31" t="inlineStr">
        <is>
          <t>Prime at Client side</t>
        </is>
      </c>
      <c r="C31" s="5" t="n">
        <v>46094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>
        <f>SUM(D31:AA31)</f>
        <v/>
      </c>
      <c r="AC31" s="3" t="inlineStr"/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0</v>
      </c>
      <c r="AT31" s="7" t="n">
        <v>0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0</v>
      </c>
      <c r="BA31" s="7" t="n">
        <v>0</v>
      </c>
      <c r="BB31" s="7">
        <f>SUM(AD31:BA31)</f>
        <v/>
      </c>
    </row>
    <row r="32">
      <c r="A32" t="inlineStr">
        <is>
          <t>AMD-FK-SSC</t>
        </is>
      </c>
      <c r="B32" t="inlineStr">
        <is>
          <t>Prime at Client side</t>
        </is>
      </c>
      <c r="C32" s="5" t="n">
        <v>46095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>
        <f>SUM(D32:AA32)</f>
        <v/>
      </c>
      <c r="AC32" s="3" t="inlineStr"/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7" t="n">
        <v>0</v>
      </c>
      <c r="BB32" s="7">
        <f>SUM(AD32:BA32)</f>
        <v/>
      </c>
    </row>
    <row r="33">
      <c r="A33" t="inlineStr">
        <is>
          <t>AMD-FK-SSC</t>
        </is>
      </c>
      <c r="B33" t="inlineStr">
        <is>
          <t>Prime at Client side</t>
        </is>
      </c>
      <c r="C33" s="5" t="n">
        <v>46096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6">
        <f>SUM(D33:AA33)</f>
        <v/>
      </c>
      <c r="AC33" s="3" t="inlineStr"/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0</v>
      </c>
      <c r="AS33" s="7" t="n">
        <v>0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7" t="n">
        <v>0</v>
      </c>
      <c r="BB33" s="7">
        <f>SUM(AD33:BA33)</f>
        <v/>
      </c>
    </row>
    <row r="34">
      <c r="A34" t="inlineStr">
        <is>
          <t>AMD-FK-SSC</t>
        </is>
      </c>
      <c r="B34" t="inlineStr">
        <is>
          <t>Prime at Client side</t>
        </is>
      </c>
      <c r="C34" s="5" t="n">
        <v>46097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>
        <f>SUM(D34:AA34)</f>
        <v/>
      </c>
      <c r="AC34" s="3" t="inlineStr"/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7" t="n">
        <v>0</v>
      </c>
      <c r="BB34" s="7">
        <f>SUM(AD34:BA34)</f>
        <v/>
      </c>
    </row>
    <row r="35">
      <c r="A35" t="inlineStr">
        <is>
          <t>AMD-FK-SSC</t>
        </is>
      </c>
      <c r="B35" t="inlineStr">
        <is>
          <t>Prime at Client side</t>
        </is>
      </c>
      <c r="C35" s="5" t="n">
        <v>46098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>
        <f>SUM(D35:AA35)</f>
        <v/>
      </c>
      <c r="AC35" s="3" t="inlineStr"/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7" t="n">
        <v>0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0</v>
      </c>
      <c r="BA35" s="7" t="n">
        <v>0</v>
      </c>
      <c r="BB35" s="7">
        <f>SUM(AD35:BA35)</f>
        <v/>
      </c>
    </row>
    <row r="36">
      <c r="A36" t="inlineStr">
        <is>
          <t>AMD-FK-SSC</t>
        </is>
      </c>
      <c r="B36" t="inlineStr">
        <is>
          <t>Prime at Client side</t>
        </is>
      </c>
      <c r="C36" s="5" t="n">
        <v>46099</v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>
        <f>SUM(D36:AA36)</f>
        <v/>
      </c>
      <c r="AC36" s="3" t="inlineStr"/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0</v>
      </c>
      <c r="AT36" s="7" t="n">
        <v>0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0</v>
      </c>
      <c r="BA36" s="7" t="n">
        <v>0</v>
      </c>
      <c r="BB36" s="7">
        <f>SUM(AD36:BA36)</f>
        <v/>
      </c>
    </row>
    <row r="37">
      <c r="A37" t="inlineStr">
        <is>
          <t>AMD-FK-SSC</t>
        </is>
      </c>
      <c r="B37" t="inlineStr">
        <is>
          <t>Prime at Client side</t>
        </is>
      </c>
      <c r="C37" s="5" t="n">
        <v>46100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>
        <f>SUM(D37:AA37)</f>
        <v/>
      </c>
      <c r="AC37" s="3" t="inlineStr"/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0</v>
      </c>
      <c r="AP37" s="7" t="n">
        <v>0</v>
      </c>
      <c r="AQ37" s="7" t="n">
        <v>0</v>
      </c>
      <c r="AR37" s="7" t="n">
        <v>0</v>
      </c>
      <c r="AS37" s="7" t="n">
        <v>0</v>
      </c>
      <c r="AT37" s="7" t="n">
        <v>0</v>
      </c>
      <c r="AU37" s="7" t="n">
        <v>0</v>
      </c>
      <c r="AV37" s="7" t="n">
        <v>0</v>
      </c>
      <c r="AW37" s="7" t="n">
        <v>0</v>
      </c>
      <c r="AX37" s="7" t="n">
        <v>0</v>
      </c>
      <c r="AY37" s="7" t="n">
        <v>0</v>
      </c>
      <c r="AZ37" s="7" t="n">
        <v>0</v>
      </c>
      <c r="BA37" s="7" t="n">
        <v>0</v>
      </c>
      <c r="BB37" s="7">
        <f>SUM(AD37:BA37)</f>
        <v/>
      </c>
    </row>
    <row r="38">
      <c r="A38" t="inlineStr">
        <is>
          <t>AMD-FK-SSC</t>
        </is>
      </c>
      <c r="B38" t="inlineStr">
        <is>
          <t>Prime at Client side</t>
        </is>
      </c>
      <c r="C38" s="5" t="n">
        <v>46101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0</v>
      </c>
      <c r="Q38" s="6" t="n">
        <v>0</v>
      </c>
      <c r="R38" s="6" t="n">
        <v>0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>
        <f>SUM(D38:AA38)</f>
        <v/>
      </c>
      <c r="AC38" s="3" t="inlineStr"/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0</v>
      </c>
      <c r="AP38" s="7" t="n">
        <v>0</v>
      </c>
      <c r="AQ38" s="7" t="n">
        <v>0</v>
      </c>
      <c r="AR38" s="7" t="n">
        <v>0</v>
      </c>
      <c r="AS38" s="7" t="n">
        <v>0</v>
      </c>
      <c r="AT38" s="7" t="n">
        <v>0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0</v>
      </c>
      <c r="BA38" s="7" t="n">
        <v>0</v>
      </c>
      <c r="BB38" s="7">
        <f>SUM(AD38:BA38)</f>
        <v/>
      </c>
    </row>
    <row r="39">
      <c r="A39" t="inlineStr">
        <is>
          <t>AMD-FK-SSC</t>
        </is>
      </c>
      <c r="B39" t="inlineStr">
        <is>
          <t>Prime at Client side</t>
        </is>
      </c>
      <c r="C39" s="5" t="n">
        <v>46102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>
        <f>SUM(D39:AA39)</f>
        <v/>
      </c>
      <c r="AC39" s="3" t="inlineStr"/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0</v>
      </c>
      <c r="AP39" s="7" t="n">
        <v>0</v>
      </c>
      <c r="AQ39" s="7" t="n">
        <v>0</v>
      </c>
      <c r="AR39" s="7" t="n">
        <v>0</v>
      </c>
      <c r="AS39" s="7" t="n">
        <v>0</v>
      </c>
      <c r="AT39" s="7" t="n">
        <v>0</v>
      </c>
      <c r="AU39" s="7" t="n">
        <v>0</v>
      </c>
      <c r="AV39" s="7" t="n">
        <v>0</v>
      </c>
      <c r="AW39" s="7" t="n">
        <v>0</v>
      </c>
      <c r="AX39" s="7" t="n">
        <v>0</v>
      </c>
      <c r="AY39" s="7" t="n">
        <v>0</v>
      </c>
      <c r="AZ39" s="7" t="n">
        <v>0</v>
      </c>
      <c r="BA39" s="7" t="n">
        <v>0</v>
      </c>
      <c r="BB39" s="7">
        <f>SUM(AD39:BA39)</f>
        <v/>
      </c>
    </row>
    <row r="40">
      <c r="A40" t="inlineStr">
        <is>
          <t>AMD-FK-SSC</t>
        </is>
      </c>
      <c r="B40" t="inlineStr">
        <is>
          <t>Prime at Client side</t>
        </is>
      </c>
      <c r="C40" s="5" t="n">
        <v>46103</v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0</v>
      </c>
      <c r="M40" s="6" t="n">
        <v>0</v>
      </c>
      <c r="N40" s="6" t="n">
        <v>0</v>
      </c>
      <c r="O40" s="6" t="n">
        <v>0</v>
      </c>
      <c r="P40" s="6" t="n">
        <v>0</v>
      </c>
      <c r="Q40" s="6" t="n">
        <v>0</v>
      </c>
      <c r="R40" s="6" t="n">
        <v>0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>
        <f>SUM(D40:AA40)</f>
        <v/>
      </c>
      <c r="AC40" s="3" t="inlineStr"/>
      <c r="AD40" s="7" t="n">
        <v>0</v>
      </c>
      <c r="AE40" s="7" t="n">
        <v>0</v>
      </c>
      <c r="AF40" s="7" t="n">
        <v>0</v>
      </c>
      <c r="AG40" s="7" t="n">
        <v>0</v>
      </c>
      <c r="AH40" s="7" t="n">
        <v>0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0</v>
      </c>
      <c r="AS40" s="7" t="n">
        <v>0</v>
      </c>
      <c r="AT40" s="7" t="n">
        <v>0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0</v>
      </c>
      <c r="BA40" s="7" t="n">
        <v>0</v>
      </c>
      <c r="BB40" s="7">
        <f>SUM(AD40:BA40)</f>
        <v/>
      </c>
    </row>
    <row r="41">
      <c r="A41" t="inlineStr">
        <is>
          <t>AMD-FK-SSC</t>
        </is>
      </c>
      <c r="B41" t="inlineStr">
        <is>
          <t>Prime at Client side</t>
        </is>
      </c>
      <c r="C41" s="5" t="n">
        <v>46104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>
        <f>SUM(D41:AA41)</f>
        <v/>
      </c>
      <c r="AC41" s="3" t="inlineStr"/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</v>
      </c>
      <c r="AP41" s="7" t="n">
        <v>0</v>
      </c>
      <c r="AQ41" s="7" t="n">
        <v>0</v>
      </c>
      <c r="AR41" s="7" t="n">
        <v>0</v>
      </c>
      <c r="AS41" s="7" t="n">
        <v>0</v>
      </c>
      <c r="AT41" s="7" t="n">
        <v>0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0</v>
      </c>
      <c r="BA41" s="7" t="n">
        <v>0</v>
      </c>
      <c r="BB41" s="7">
        <f>SUM(AD41:BA41)</f>
        <v/>
      </c>
    </row>
    <row r="42">
      <c r="A42" t="inlineStr">
        <is>
          <t>AMD-FK-SSC</t>
        </is>
      </c>
      <c r="B42" t="inlineStr">
        <is>
          <t>Prime at Client side</t>
        </is>
      </c>
      <c r="C42" s="5" t="n">
        <v>46105</v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6" t="n">
        <v>0</v>
      </c>
      <c r="N42" s="6" t="n">
        <v>0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>
        <f>SUM(D42:AA42)</f>
        <v/>
      </c>
      <c r="AC42" s="3" t="inlineStr"/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7" t="n">
        <v>0</v>
      </c>
      <c r="BB42" s="7">
        <f>SUM(AD42:BA42)</f>
        <v/>
      </c>
    </row>
    <row r="43">
      <c r="A43" t="inlineStr">
        <is>
          <t>AMD-FWDPRI-SSC</t>
        </is>
      </c>
      <c r="B43" t="inlineStr">
        <is>
          <t>FWD Priority OSC</t>
        </is>
      </c>
      <c r="C43" s="5" t="n">
        <v>46098</v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0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0</v>
      </c>
      <c r="AA43" s="6" t="n">
        <v>0</v>
      </c>
      <c r="AB43" s="6">
        <f>SUM(D43:AA43)</f>
        <v/>
      </c>
      <c r="AC43" s="3" t="inlineStr"/>
      <c r="AD43" s="7" t="n">
        <v>0</v>
      </c>
      <c r="AE43" s="7" t="n">
        <v>0</v>
      </c>
      <c r="AF43" s="7" t="n">
        <v>0</v>
      </c>
      <c r="AG43" s="7" t="n">
        <v>0</v>
      </c>
      <c r="AH43" s="7" t="n">
        <v>0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0</v>
      </c>
      <c r="AP43" s="7" t="n">
        <v>0</v>
      </c>
      <c r="AQ43" s="7" t="n">
        <v>0</v>
      </c>
      <c r="AR43" s="7" t="n">
        <v>0</v>
      </c>
      <c r="AS43" s="7" t="n">
        <v>0</v>
      </c>
      <c r="AT43" s="7" t="n">
        <v>0</v>
      </c>
      <c r="AU43" s="7" t="n">
        <v>0</v>
      </c>
      <c r="AV43" s="7" t="n">
        <v>0</v>
      </c>
      <c r="AW43" s="7" t="n">
        <v>0</v>
      </c>
      <c r="AX43" s="7" t="n">
        <v>0</v>
      </c>
      <c r="AY43" s="7" t="n">
        <v>0</v>
      </c>
      <c r="AZ43" s="7" t="n">
        <v>0</v>
      </c>
      <c r="BA43" s="7" t="n">
        <v>0</v>
      </c>
      <c r="BB43" s="7">
        <f>SUM(AD43:BA43)</f>
        <v/>
      </c>
    </row>
    <row r="44">
      <c r="A44" t="inlineStr">
        <is>
          <t>AMD-FWDPRI-SSC</t>
        </is>
      </c>
      <c r="B44" t="inlineStr">
        <is>
          <t>FWD Priority OSC</t>
        </is>
      </c>
      <c r="C44" s="5" t="n">
        <v>46099</v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0</v>
      </c>
      <c r="M44" s="6" t="n">
        <v>0</v>
      </c>
      <c r="N44" s="6" t="n">
        <v>0</v>
      </c>
      <c r="O44" s="6" t="n">
        <v>0</v>
      </c>
      <c r="P44" s="6" t="n">
        <v>0</v>
      </c>
      <c r="Q44" s="6" t="n">
        <v>0</v>
      </c>
      <c r="R44" s="6" t="n">
        <v>0</v>
      </c>
      <c r="S44" s="6" t="n">
        <v>0</v>
      </c>
      <c r="T44" s="6" t="n">
        <v>0</v>
      </c>
      <c r="U44" s="6" t="n">
        <v>0</v>
      </c>
      <c r="V44" s="6" t="n">
        <v>0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0</v>
      </c>
      <c r="AB44" s="6">
        <f>SUM(D44:AA44)</f>
        <v/>
      </c>
      <c r="AC44" s="3" t="inlineStr"/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0</v>
      </c>
      <c r="AP44" s="7" t="n">
        <v>0</v>
      </c>
      <c r="AQ44" s="7" t="n">
        <v>0</v>
      </c>
      <c r="AR44" s="7" t="n">
        <v>0</v>
      </c>
      <c r="AS44" s="7" t="n">
        <v>0</v>
      </c>
      <c r="AT44" s="7" t="n">
        <v>0</v>
      </c>
      <c r="AU44" s="7" t="n">
        <v>0</v>
      </c>
      <c r="AV44" s="7" t="n">
        <v>0</v>
      </c>
      <c r="AW44" s="7" t="n">
        <v>0</v>
      </c>
      <c r="AX44" s="7" t="n">
        <v>0</v>
      </c>
      <c r="AY44" s="7" t="n">
        <v>0</v>
      </c>
      <c r="AZ44" s="7" t="n">
        <v>0</v>
      </c>
      <c r="BA44" s="7" t="n">
        <v>0</v>
      </c>
      <c r="BB44" s="7">
        <f>SUM(AD44:BA44)</f>
        <v/>
      </c>
    </row>
    <row r="45">
      <c r="A45" t="inlineStr">
        <is>
          <t>AMD-FWDPRI-SSC</t>
        </is>
      </c>
      <c r="B45" t="inlineStr">
        <is>
          <t>FWD Priority OSC</t>
        </is>
      </c>
      <c r="C45" s="5" t="n">
        <v>46100</v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0</v>
      </c>
      <c r="S45" s="6" t="n">
        <v>0</v>
      </c>
      <c r="T45" s="6" t="n">
        <v>0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  <c r="AB45" s="6">
        <f>SUM(D45:AA45)</f>
        <v/>
      </c>
      <c r="AC45" s="3" t="inlineStr"/>
      <c r="AD45" s="7" t="n">
        <v>0</v>
      </c>
      <c r="AE45" s="7" t="n">
        <v>0</v>
      </c>
      <c r="AF45" s="7" t="n">
        <v>0</v>
      </c>
      <c r="AG45" s="7" t="n">
        <v>0</v>
      </c>
      <c r="AH45" s="7" t="n">
        <v>0</v>
      </c>
      <c r="AI45" s="7" t="n">
        <v>0</v>
      </c>
      <c r="AJ45" s="7" t="n">
        <v>0</v>
      </c>
      <c r="AK45" s="7" t="n">
        <v>0</v>
      </c>
      <c r="AL45" s="7" t="n">
        <v>0</v>
      </c>
      <c r="AM45" s="7" t="n">
        <v>0</v>
      </c>
      <c r="AN45" s="7" t="n">
        <v>0</v>
      </c>
      <c r="AO45" s="7" t="n">
        <v>0</v>
      </c>
      <c r="AP45" s="7" t="n">
        <v>0</v>
      </c>
      <c r="AQ45" s="7" t="n">
        <v>0</v>
      </c>
      <c r="AR45" s="7" t="n">
        <v>0</v>
      </c>
      <c r="AS45" s="7" t="n">
        <v>0</v>
      </c>
      <c r="AT45" s="7" t="n">
        <v>0</v>
      </c>
      <c r="AU45" s="7" t="n">
        <v>0</v>
      </c>
      <c r="AV45" s="7" t="n">
        <v>0</v>
      </c>
      <c r="AW45" s="7" t="n">
        <v>0</v>
      </c>
      <c r="AX45" s="7" t="n">
        <v>0</v>
      </c>
      <c r="AY45" s="7" t="n">
        <v>0</v>
      </c>
      <c r="AZ45" s="7" t="n">
        <v>0</v>
      </c>
      <c r="BA45" s="7" t="n">
        <v>0</v>
      </c>
      <c r="BB45" s="7">
        <f>SUM(AD45:BA45)</f>
        <v/>
      </c>
    </row>
    <row r="46">
      <c r="A46" t="inlineStr">
        <is>
          <t>AMD-FWDPRI-SSC</t>
        </is>
      </c>
      <c r="B46" t="inlineStr">
        <is>
          <t>FWD Priority OSC</t>
        </is>
      </c>
      <c r="C46" s="5" t="n">
        <v>46101</v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0</v>
      </c>
      <c r="M46" s="6" t="n">
        <v>0</v>
      </c>
      <c r="N46" s="6" t="n">
        <v>0</v>
      </c>
      <c r="O46" s="6" t="n">
        <v>0</v>
      </c>
      <c r="P46" s="6" t="n">
        <v>0</v>
      </c>
      <c r="Q46" s="6" t="n">
        <v>0</v>
      </c>
      <c r="R46" s="6" t="n">
        <v>0</v>
      </c>
      <c r="S46" s="6" t="n">
        <v>0</v>
      </c>
      <c r="T46" s="6" t="n">
        <v>0</v>
      </c>
      <c r="U46" s="6" t="n">
        <v>0</v>
      </c>
      <c r="V46" s="6" t="n">
        <v>0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0</v>
      </c>
      <c r="AB46" s="6">
        <f>SUM(D46:AA46)</f>
        <v/>
      </c>
      <c r="AC46" s="3" t="inlineStr"/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  <c r="AS46" s="7" t="n">
        <v>0</v>
      </c>
      <c r="AT46" s="7" t="n">
        <v>0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0</v>
      </c>
      <c r="BA46" s="7" t="n">
        <v>0</v>
      </c>
      <c r="BB46" s="7">
        <f>SUM(AD46:BA46)</f>
        <v/>
      </c>
    </row>
    <row r="47">
      <c r="A47" t="inlineStr">
        <is>
          <t>AMD-FWDPRI-SSC</t>
        </is>
      </c>
      <c r="B47" t="inlineStr">
        <is>
          <t>FWD Priority OSC</t>
        </is>
      </c>
      <c r="C47" s="5" t="n">
        <v>46102</v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6">
        <f>SUM(D47:AA47)</f>
        <v/>
      </c>
      <c r="AC47" s="3" t="inlineStr"/>
      <c r="AD47" s="7" t="n">
        <v>0</v>
      </c>
      <c r="AE47" s="7" t="n">
        <v>0</v>
      </c>
      <c r="AF47" s="7" t="n">
        <v>0</v>
      </c>
      <c r="AG47" s="7" t="n">
        <v>0</v>
      </c>
      <c r="AH47" s="7" t="n">
        <v>0</v>
      </c>
      <c r="AI47" s="7" t="n">
        <v>0</v>
      </c>
      <c r="AJ47" s="7" t="n">
        <v>0</v>
      </c>
      <c r="AK47" s="7" t="n">
        <v>0</v>
      </c>
      <c r="AL47" s="7" t="n">
        <v>0</v>
      </c>
      <c r="AM47" s="7" t="n">
        <v>0</v>
      </c>
      <c r="AN47" s="7" t="n">
        <v>0</v>
      </c>
      <c r="AO47" s="7" t="n">
        <v>0</v>
      </c>
      <c r="AP47" s="7" t="n">
        <v>0</v>
      </c>
      <c r="AQ47" s="7" t="n">
        <v>0</v>
      </c>
      <c r="AR47" s="7" t="n">
        <v>0</v>
      </c>
      <c r="AS47" s="7" t="n">
        <v>0</v>
      </c>
      <c r="AT47" s="7" t="n">
        <v>0</v>
      </c>
      <c r="AU47" s="7" t="n">
        <v>0</v>
      </c>
      <c r="AV47" s="7" t="n">
        <v>0</v>
      </c>
      <c r="AW47" s="7" t="n">
        <v>0</v>
      </c>
      <c r="AX47" s="7" t="n">
        <v>0</v>
      </c>
      <c r="AY47" s="7" t="n">
        <v>0</v>
      </c>
      <c r="AZ47" s="7" t="n">
        <v>0</v>
      </c>
      <c r="BA47" s="7" t="n">
        <v>0</v>
      </c>
      <c r="BB47" s="7">
        <f>SUM(AD47:BA47)</f>
        <v/>
      </c>
    </row>
    <row r="48">
      <c r="A48" t="inlineStr">
        <is>
          <t>AMD-FWDPRI-SSC</t>
        </is>
      </c>
      <c r="B48" t="inlineStr">
        <is>
          <t>FWD Priority OSC</t>
        </is>
      </c>
      <c r="C48" s="5" t="n">
        <v>46103</v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6" t="n">
        <v>0</v>
      </c>
      <c r="AB48" s="6">
        <f>SUM(D48:AA48)</f>
        <v/>
      </c>
      <c r="AC48" s="3" t="inlineStr"/>
      <c r="AD48" s="7" t="n">
        <v>0</v>
      </c>
      <c r="AE48" s="7" t="n">
        <v>0</v>
      </c>
      <c r="AF48" s="7" t="n">
        <v>0</v>
      </c>
      <c r="AG48" s="7" t="n">
        <v>0</v>
      </c>
      <c r="AH48" s="7" t="n">
        <v>0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0</v>
      </c>
      <c r="AP48" s="7" t="n">
        <v>0</v>
      </c>
      <c r="AQ48" s="7" t="n">
        <v>0</v>
      </c>
      <c r="AR48" s="7" t="n">
        <v>0</v>
      </c>
      <c r="AS48" s="7" t="n">
        <v>0</v>
      </c>
      <c r="AT48" s="7" t="n">
        <v>0</v>
      </c>
      <c r="AU48" s="7" t="n">
        <v>0</v>
      </c>
      <c r="AV48" s="7" t="n">
        <v>0</v>
      </c>
      <c r="AW48" s="7" t="n">
        <v>0</v>
      </c>
      <c r="AX48" s="7" t="n">
        <v>0</v>
      </c>
      <c r="AY48" s="7" t="n">
        <v>0</v>
      </c>
      <c r="AZ48" s="7" t="n">
        <v>0</v>
      </c>
      <c r="BA48" s="7" t="n">
        <v>0</v>
      </c>
      <c r="BB48" s="7">
        <f>SUM(AD48:BA48)</f>
        <v/>
      </c>
    </row>
    <row r="49">
      <c r="A49" t="inlineStr">
        <is>
          <t>AMD-FWDPRI-SSC</t>
        </is>
      </c>
      <c r="B49" t="inlineStr">
        <is>
          <t>FWD Priority OSC</t>
        </is>
      </c>
      <c r="C49" s="5" t="n">
        <v>46104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0</v>
      </c>
      <c r="AB49" s="6">
        <f>SUM(D49:AA49)</f>
        <v/>
      </c>
      <c r="AC49" s="3" t="inlineStr"/>
      <c r="AD49" s="7" t="n">
        <v>0</v>
      </c>
      <c r="AE49" s="7" t="n">
        <v>0</v>
      </c>
      <c r="AF49" s="7" t="n">
        <v>0</v>
      </c>
      <c r="AG49" s="7" t="n">
        <v>0</v>
      </c>
      <c r="AH49" s="7" t="n">
        <v>0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0</v>
      </c>
      <c r="AN49" s="7" t="n">
        <v>0</v>
      </c>
      <c r="AO49" s="7" t="n">
        <v>0</v>
      </c>
      <c r="AP49" s="7" t="n">
        <v>0</v>
      </c>
      <c r="AQ49" s="7" t="n">
        <v>0</v>
      </c>
      <c r="AR49" s="7" t="n">
        <v>0</v>
      </c>
      <c r="AS49" s="7" t="n">
        <v>0</v>
      </c>
      <c r="AT49" s="7" t="n">
        <v>0</v>
      </c>
      <c r="AU49" s="7" t="n">
        <v>0</v>
      </c>
      <c r="AV49" s="7" t="n">
        <v>0</v>
      </c>
      <c r="AW49" s="7" t="n">
        <v>0</v>
      </c>
      <c r="AX49" s="7" t="n">
        <v>0</v>
      </c>
      <c r="AY49" s="7" t="n">
        <v>0</v>
      </c>
      <c r="AZ49" s="7" t="n">
        <v>0</v>
      </c>
      <c r="BA49" s="7" t="n">
        <v>0</v>
      </c>
      <c r="BB49" s="7">
        <f>SUM(AD49:BA49)</f>
        <v/>
      </c>
    </row>
    <row r="50">
      <c r="A50" t="inlineStr">
        <is>
          <t>AMD-FWDPRI-SSC</t>
        </is>
      </c>
      <c r="B50" t="inlineStr">
        <is>
          <t>FWD Priority OSC</t>
        </is>
      </c>
      <c r="C50" s="5" t="n">
        <v>46105</v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0</v>
      </c>
      <c r="M50" s="6" t="n">
        <v>0</v>
      </c>
      <c r="N50" s="6" t="n">
        <v>0</v>
      </c>
      <c r="O50" s="6" t="n">
        <v>0</v>
      </c>
      <c r="P50" s="6" t="n">
        <v>0</v>
      </c>
      <c r="Q50" s="6" t="n">
        <v>0</v>
      </c>
      <c r="R50" s="6" t="n">
        <v>0</v>
      </c>
      <c r="S50" s="6" t="n">
        <v>0</v>
      </c>
      <c r="T50" s="6" t="n">
        <v>0</v>
      </c>
      <c r="U50" s="6" t="n">
        <v>0</v>
      </c>
      <c r="V50" s="6" t="n">
        <v>0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0</v>
      </c>
      <c r="AB50" s="6">
        <f>SUM(D50:AA50)</f>
        <v/>
      </c>
      <c r="AC50" s="3" t="inlineStr"/>
      <c r="AD50" s="7" t="n">
        <v>0</v>
      </c>
      <c r="AE50" s="7" t="n">
        <v>0</v>
      </c>
      <c r="AF50" s="7" t="n">
        <v>0</v>
      </c>
      <c r="AG50" s="7" t="n">
        <v>0</v>
      </c>
      <c r="AH50" s="7" t="n">
        <v>0</v>
      </c>
      <c r="AI50" s="7" t="n">
        <v>0</v>
      </c>
      <c r="AJ50" s="7" t="n">
        <v>0</v>
      </c>
      <c r="AK50" s="7" t="n">
        <v>0</v>
      </c>
      <c r="AL50" s="7" t="n">
        <v>0</v>
      </c>
      <c r="AM50" s="7" t="n">
        <v>0</v>
      </c>
      <c r="AN50" s="7" t="n">
        <v>0</v>
      </c>
      <c r="AO50" s="7" t="n">
        <v>0</v>
      </c>
      <c r="AP50" s="7" t="n">
        <v>0</v>
      </c>
      <c r="AQ50" s="7" t="n">
        <v>0</v>
      </c>
      <c r="AR50" s="7" t="n">
        <v>0</v>
      </c>
      <c r="AS50" s="7" t="n">
        <v>0</v>
      </c>
      <c r="AT50" s="7" t="n">
        <v>0</v>
      </c>
      <c r="AU50" s="7" t="n">
        <v>0</v>
      </c>
      <c r="AV50" s="7" t="n">
        <v>0</v>
      </c>
      <c r="AW50" s="7" t="n">
        <v>0</v>
      </c>
      <c r="AX50" s="7" t="n">
        <v>0</v>
      </c>
      <c r="AY50" s="7" t="n">
        <v>0</v>
      </c>
      <c r="AZ50" s="7" t="n">
        <v>0</v>
      </c>
      <c r="BA50" s="7" t="n">
        <v>0</v>
      </c>
      <c r="BB50" s="7">
        <f>SUM(AD50:BA50)</f>
        <v/>
      </c>
    </row>
    <row r="51">
      <c r="A51" t="inlineStr">
        <is>
          <t>AMD-FWDREG-SSC</t>
        </is>
      </c>
      <c r="B51" t="inlineStr">
        <is>
          <t>Forward Regular OSC</t>
        </is>
      </c>
      <c r="C51" s="5" t="n">
        <v>46098</v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0</v>
      </c>
      <c r="O51" s="6" t="n">
        <v>0</v>
      </c>
      <c r="P51" s="6" t="n">
        <v>0</v>
      </c>
      <c r="Q51" s="6" t="n">
        <v>0</v>
      </c>
      <c r="R51" s="6" t="n">
        <v>0</v>
      </c>
      <c r="S51" s="6" t="n">
        <v>0</v>
      </c>
      <c r="T51" s="6" t="n">
        <v>0</v>
      </c>
      <c r="U51" s="6" t="n">
        <v>0</v>
      </c>
      <c r="V51" s="6" t="n">
        <v>0</v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6">
        <f>SUM(D51:AA51)</f>
        <v/>
      </c>
      <c r="AC51" s="3" t="inlineStr"/>
      <c r="AD51" s="7" t="n">
        <v>0</v>
      </c>
      <c r="AE51" s="7" t="n">
        <v>0</v>
      </c>
      <c r="AF51" s="7" t="n">
        <v>0</v>
      </c>
      <c r="AG51" s="7" t="n">
        <v>0</v>
      </c>
      <c r="AH51" s="7" t="n">
        <v>0</v>
      </c>
      <c r="AI51" s="7" t="n">
        <v>0</v>
      </c>
      <c r="AJ51" s="7" t="n">
        <v>0</v>
      </c>
      <c r="AK51" s="7" t="n">
        <v>0</v>
      </c>
      <c r="AL51" s="7" t="n">
        <v>0</v>
      </c>
      <c r="AM51" s="7" t="n">
        <v>0</v>
      </c>
      <c r="AN51" s="7" t="n">
        <v>0</v>
      </c>
      <c r="AO51" s="7" t="n">
        <v>0</v>
      </c>
      <c r="AP51" s="7" t="n">
        <v>0</v>
      </c>
      <c r="AQ51" s="7" t="n">
        <v>0</v>
      </c>
      <c r="AR51" s="7" t="n">
        <v>0</v>
      </c>
      <c r="AS51" s="7" t="n">
        <v>0</v>
      </c>
      <c r="AT51" s="7" t="n">
        <v>0</v>
      </c>
      <c r="AU51" s="7" t="n">
        <v>0</v>
      </c>
      <c r="AV51" s="7" t="n">
        <v>0</v>
      </c>
      <c r="AW51" s="7" t="n">
        <v>0</v>
      </c>
      <c r="AX51" s="7" t="n">
        <v>0</v>
      </c>
      <c r="AY51" s="7" t="n">
        <v>0</v>
      </c>
      <c r="AZ51" s="7" t="n">
        <v>0</v>
      </c>
      <c r="BA51" s="7" t="n">
        <v>0</v>
      </c>
      <c r="BB51" s="7">
        <f>SUM(AD51:BA51)</f>
        <v/>
      </c>
    </row>
    <row r="52">
      <c r="A52" t="inlineStr">
        <is>
          <t>AMD-FWDREG-SSC</t>
        </is>
      </c>
      <c r="B52" t="inlineStr">
        <is>
          <t>Forward Regular OSC</t>
        </is>
      </c>
      <c r="C52" s="5" t="n">
        <v>46099</v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</v>
      </c>
      <c r="L52" s="6" t="n">
        <v>0</v>
      </c>
      <c r="M52" s="6" t="n">
        <v>0</v>
      </c>
      <c r="N52" s="6" t="n">
        <v>0</v>
      </c>
      <c r="O52" s="6" t="n">
        <v>0</v>
      </c>
      <c r="P52" s="6" t="n">
        <v>0</v>
      </c>
      <c r="Q52" s="6" t="n">
        <v>0</v>
      </c>
      <c r="R52" s="6" t="n">
        <v>0</v>
      </c>
      <c r="S52" s="6" t="n">
        <v>0</v>
      </c>
      <c r="T52" s="6" t="n">
        <v>0</v>
      </c>
      <c r="U52" s="6" t="n">
        <v>0</v>
      </c>
      <c r="V52" s="6" t="n">
        <v>0</v>
      </c>
      <c r="W52" s="6" t="n">
        <v>0</v>
      </c>
      <c r="X52" s="6" t="n">
        <v>0</v>
      </c>
      <c r="Y52" s="6" t="n">
        <v>0</v>
      </c>
      <c r="Z52" s="6" t="n">
        <v>0</v>
      </c>
      <c r="AA52" s="6" t="n">
        <v>0</v>
      </c>
      <c r="AB52" s="6">
        <f>SUM(D52:AA52)</f>
        <v/>
      </c>
      <c r="AC52" s="3" t="inlineStr"/>
      <c r="AD52" s="7" t="n">
        <v>0</v>
      </c>
      <c r="AE52" s="7" t="n">
        <v>0</v>
      </c>
      <c r="AF52" s="7" t="n">
        <v>0</v>
      </c>
      <c r="AG52" s="7" t="n">
        <v>0</v>
      </c>
      <c r="AH52" s="7" t="n">
        <v>0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0</v>
      </c>
      <c r="AP52" s="7" t="n">
        <v>0</v>
      </c>
      <c r="AQ52" s="7" t="n">
        <v>0</v>
      </c>
      <c r="AR52" s="7" t="n">
        <v>0</v>
      </c>
      <c r="AS52" s="7" t="n">
        <v>0</v>
      </c>
      <c r="AT52" s="7" t="n">
        <v>0</v>
      </c>
      <c r="AU52" s="7" t="n">
        <v>0</v>
      </c>
      <c r="AV52" s="7" t="n">
        <v>0</v>
      </c>
      <c r="AW52" s="7" t="n">
        <v>0</v>
      </c>
      <c r="AX52" s="7" t="n">
        <v>0</v>
      </c>
      <c r="AY52" s="7" t="n">
        <v>0</v>
      </c>
      <c r="AZ52" s="7" t="n">
        <v>0</v>
      </c>
      <c r="BA52" s="7" t="n">
        <v>0</v>
      </c>
      <c r="BB52" s="7">
        <f>SUM(AD52:BA52)</f>
        <v/>
      </c>
    </row>
    <row r="53">
      <c r="A53" t="inlineStr">
        <is>
          <t>AMD-FWDREG-SSC</t>
        </is>
      </c>
      <c r="B53" t="inlineStr">
        <is>
          <t>Forward Regular OSC</t>
        </is>
      </c>
      <c r="C53" s="5" t="n">
        <v>46100</v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0</v>
      </c>
      <c r="O53" s="6" t="n">
        <v>0</v>
      </c>
      <c r="P53" s="6" t="n">
        <v>0</v>
      </c>
      <c r="Q53" s="6" t="n">
        <v>0</v>
      </c>
      <c r="R53" s="6" t="n">
        <v>0</v>
      </c>
      <c r="S53" s="6" t="n">
        <v>0</v>
      </c>
      <c r="T53" s="6" t="n">
        <v>0</v>
      </c>
      <c r="U53" s="6" t="n">
        <v>0</v>
      </c>
      <c r="V53" s="6" t="n">
        <v>0</v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6">
        <f>SUM(D53:AA53)</f>
        <v/>
      </c>
      <c r="AC53" s="3" t="inlineStr"/>
      <c r="AD53" s="7" t="n">
        <v>0</v>
      </c>
      <c r="AE53" s="7" t="n">
        <v>0</v>
      </c>
      <c r="AF53" s="7" t="n">
        <v>0</v>
      </c>
      <c r="AG53" s="7" t="n">
        <v>0</v>
      </c>
      <c r="AH53" s="7" t="n">
        <v>0</v>
      </c>
      <c r="AI53" s="7" t="n">
        <v>0</v>
      </c>
      <c r="AJ53" s="7" t="n">
        <v>0</v>
      </c>
      <c r="AK53" s="7" t="n">
        <v>0</v>
      </c>
      <c r="AL53" s="7" t="n">
        <v>0</v>
      </c>
      <c r="AM53" s="7" t="n">
        <v>0</v>
      </c>
      <c r="AN53" s="7" t="n">
        <v>0</v>
      </c>
      <c r="AO53" s="7" t="n">
        <v>0</v>
      </c>
      <c r="AP53" s="7" t="n">
        <v>0</v>
      </c>
      <c r="AQ53" s="7" t="n">
        <v>0</v>
      </c>
      <c r="AR53" s="7" t="n">
        <v>0</v>
      </c>
      <c r="AS53" s="7" t="n">
        <v>0</v>
      </c>
      <c r="AT53" s="7" t="n">
        <v>0</v>
      </c>
      <c r="AU53" s="7" t="n">
        <v>0</v>
      </c>
      <c r="AV53" s="7" t="n">
        <v>0</v>
      </c>
      <c r="AW53" s="7" t="n">
        <v>0</v>
      </c>
      <c r="AX53" s="7" t="n">
        <v>0</v>
      </c>
      <c r="AY53" s="7" t="n">
        <v>0</v>
      </c>
      <c r="AZ53" s="7" t="n">
        <v>0</v>
      </c>
      <c r="BA53" s="7" t="n">
        <v>0</v>
      </c>
      <c r="BB53" s="7">
        <f>SUM(AD53:BA53)</f>
        <v/>
      </c>
    </row>
    <row r="54">
      <c r="A54" t="inlineStr">
        <is>
          <t>AMD-FWDREG-SSC</t>
        </is>
      </c>
      <c r="B54" t="inlineStr">
        <is>
          <t>Forward Regular OSC</t>
        </is>
      </c>
      <c r="C54" s="5" t="n">
        <v>46101</v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0</v>
      </c>
      <c r="M54" s="6" t="n">
        <v>0</v>
      </c>
      <c r="N54" s="6" t="n">
        <v>0</v>
      </c>
      <c r="O54" s="6" t="n">
        <v>0</v>
      </c>
      <c r="P54" s="6" t="n">
        <v>0</v>
      </c>
      <c r="Q54" s="6" t="n">
        <v>0</v>
      </c>
      <c r="R54" s="6" t="n">
        <v>0</v>
      </c>
      <c r="S54" s="6" t="n">
        <v>0</v>
      </c>
      <c r="T54" s="6" t="n">
        <v>0</v>
      </c>
      <c r="U54" s="6" t="n">
        <v>0</v>
      </c>
      <c r="V54" s="6" t="n">
        <v>0</v>
      </c>
      <c r="W54" s="6" t="n">
        <v>0</v>
      </c>
      <c r="X54" s="6" t="n">
        <v>0</v>
      </c>
      <c r="Y54" s="6" t="n">
        <v>0</v>
      </c>
      <c r="Z54" s="6" t="n">
        <v>0</v>
      </c>
      <c r="AA54" s="6" t="n">
        <v>0</v>
      </c>
      <c r="AB54" s="6">
        <f>SUM(D54:AA54)</f>
        <v/>
      </c>
      <c r="AC54" s="3" t="inlineStr"/>
      <c r="AD54" s="7" t="n">
        <v>0</v>
      </c>
      <c r="AE54" s="7" t="n">
        <v>0</v>
      </c>
      <c r="AF54" s="7" t="n">
        <v>0</v>
      </c>
      <c r="AG54" s="7" t="n">
        <v>0</v>
      </c>
      <c r="AH54" s="7" t="n">
        <v>0</v>
      </c>
      <c r="AI54" s="7" t="n">
        <v>0</v>
      </c>
      <c r="AJ54" s="7" t="n">
        <v>0</v>
      </c>
      <c r="AK54" s="7" t="n">
        <v>0</v>
      </c>
      <c r="AL54" s="7" t="n">
        <v>0</v>
      </c>
      <c r="AM54" s="7" t="n">
        <v>0</v>
      </c>
      <c r="AN54" s="7" t="n">
        <v>0</v>
      </c>
      <c r="AO54" s="7" t="n">
        <v>0</v>
      </c>
      <c r="AP54" s="7" t="n">
        <v>0</v>
      </c>
      <c r="AQ54" s="7" t="n">
        <v>0</v>
      </c>
      <c r="AR54" s="7" t="n">
        <v>0</v>
      </c>
      <c r="AS54" s="7" t="n">
        <v>0</v>
      </c>
      <c r="AT54" s="7" t="n">
        <v>0</v>
      </c>
      <c r="AU54" s="7" t="n">
        <v>0</v>
      </c>
      <c r="AV54" s="7" t="n">
        <v>0</v>
      </c>
      <c r="AW54" s="7" t="n">
        <v>0</v>
      </c>
      <c r="AX54" s="7" t="n">
        <v>0</v>
      </c>
      <c r="AY54" s="7" t="n">
        <v>0</v>
      </c>
      <c r="AZ54" s="7" t="n">
        <v>0</v>
      </c>
      <c r="BA54" s="7" t="n">
        <v>0</v>
      </c>
      <c r="BB54" s="7">
        <f>SUM(AD54:BA54)</f>
        <v/>
      </c>
    </row>
    <row r="55">
      <c r="A55" t="inlineStr">
        <is>
          <t>AMD-FWDREG-SSC</t>
        </is>
      </c>
      <c r="B55" t="inlineStr">
        <is>
          <t>Forward Regular OSC</t>
        </is>
      </c>
      <c r="C55" s="5" t="n">
        <v>46102</v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6" t="n">
        <v>0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s="6" t="n">
        <v>0</v>
      </c>
      <c r="T55" s="6" t="n">
        <v>0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0</v>
      </c>
      <c r="AB55" s="6">
        <f>SUM(D55:AA55)</f>
        <v/>
      </c>
      <c r="AC55" s="3" t="inlineStr"/>
      <c r="AD55" s="7" t="n">
        <v>0</v>
      </c>
      <c r="AE55" s="7" t="n">
        <v>0</v>
      </c>
      <c r="AF55" s="7" t="n">
        <v>0</v>
      </c>
      <c r="AG55" s="7" t="n">
        <v>0</v>
      </c>
      <c r="AH55" s="7" t="n">
        <v>0</v>
      </c>
      <c r="AI55" s="7" t="n">
        <v>0</v>
      </c>
      <c r="AJ55" s="7" t="n">
        <v>0</v>
      </c>
      <c r="AK55" s="7" t="n">
        <v>0</v>
      </c>
      <c r="AL55" s="7" t="n">
        <v>0</v>
      </c>
      <c r="AM55" s="7" t="n">
        <v>0</v>
      </c>
      <c r="AN55" s="7" t="n">
        <v>0</v>
      </c>
      <c r="AO55" s="7" t="n">
        <v>0</v>
      </c>
      <c r="AP55" s="7" t="n">
        <v>0</v>
      </c>
      <c r="AQ55" s="7" t="n">
        <v>0</v>
      </c>
      <c r="AR55" s="7" t="n">
        <v>0</v>
      </c>
      <c r="AS55" s="7" t="n">
        <v>0</v>
      </c>
      <c r="AT55" s="7" t="n">
        <v>0</v>
      </c>
      <c r="AU55" s="7" t="n">
        <v>0</v>
      </c>
      <c r="AV55" s="7" t="n">
        <v>0</v>
      </c>
      <c r="AW55" s="7" t="n">
        <v>0</v>
      </c>
      <c r="AX55" s="7" t="n">
        <v>0</v>
      </c>
      <c r="AY55" s="7" t="n">
        <v>0</v>
      </c>
      <c r="AZ55" s="7" t="n">
        <v>0</v>
      </c>
      <c r="BA55" s="7" t="n">
        <v>0</v>
      </c>
      <c r="BB55" s="7">
        <f>SUM(AD55:BA55)</f>
        <v/>
      </c>
    </row>
    <row r="56">
      <c r="A56" t="inlineStr">
        <is>
          <t>AMD-FWDREG-SSC</t>
        </is>
      </c>
      <c r="B56" t="inlineStr">
        <is>
          <t>Forward Regular OSC</t>
        </is>
      </c>
      <c r="C56" s="5" t="n">
        <v>46103</v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0</v>
      </c>
      <c r="M56" s="6" t="n">
        <v>0</v>
      </c>
      <c r="N56" s="6" t="n">
        <v>0</v>
      </c>
      <c r="O56" s="6" t="n">
        <v>0</v>
      </c>
      <c r="P56" s="6" t="n">
        <v>0</v>
      </c>
      <c r="Q56" s="6" t="n">
        <v>0</v>
      </c>
      <c r="R56" s="6" t="n">
        <v>0</v>
      </c>
      <c r="S56" s="6" t="n">
        <v>0</v>
      </c>
      <c r="T56" s="6" t="n">
        <v>0</v>
      </c>
      <c r="U56" s="6" t="n">
        <v>0</v>
      </c>
      <c r="V56" s="6" t="n">
        <v>0</v>
      </c>
      <c r="W56" s="6" t="n">
        <v>0</v>
      </c>
      <c r="X56" s="6" t="n">
        <v>0</v>
      </c>
      <c r="Y56" s="6" t="n">
        <v>0</v>
      </c>
      <c r="Z56" s="6" t="n">
        <v>0</v>
      </c>
      <c r="AA56" s="6" t="n">
        <v>0</v>
      </c>
      <c r="AB56" s="6">
        <f>SUM(D56:AA56)</f>
        <v/>
      </c>
      <c r="AC56" s="3" t="inlineStr"/>
      <c r="AD56" s="7" t="n">
        <v>0</v>
      </c>
      <c r="AE56" s="7" t="n">
        <v>0</v>
      </c>
      <c r="AF56" s="7" t="n">
        <v>0</v>
      </c>
      <c r="AG56" s="7" t="n">
        <v>0</v>
      </c>
      <c r="AH56" s="7" t="n">
        <v>0</v>
      </c>
      <c r="AI56" s="7" t="n">
        <v>0</v>
      </c>
      <c r="AJ56" s="7" t="n">
        <v>0</v>
      </c>
      <c r="AK56" s="7" t="n">
        <v>0</v>
      </c>
      <c r="AL56" s="7" t="n">
        <v>0</v>
      </c>
      <c r="AM56" s="7" t="n">
        <v>0</v>
      </c>
      <c r="AN56" s="7" t="n">
        <v>0</v>
      </c>
      <c r="AO56" s="7" t="n">
        <v>0</v>
      </c>
      <c r="AP56" s="7" t="n">
        <v>0</v>
      </c>
      <c r="AQ56" s="7" t="n">
        <v>0</v>
      </c>
      <c r="AR56" s="7" t="n">
        <v>0</v>
      </c>
      <c r="AS56" s="7" t="n">
        <v>0</v>
      </c>
      <c r="AT56" s="7" t="n">
        <v>0</v>
      </c>
      <c r="AU56" s="7" t="n">
        <v>0</v>
      </c>
      <c r="AV56" s="7" t="n">
        <v>0</v>
      </c>
      <c r="AW56" s="7" t="n">
        <v>0</v>
      </c>
      <c r="AX56" s="7" t="n">
        <v>0</v>
      </c>
      <c r="AY56" s="7" t="n">
        <v>0</v>
      </c>
      <c r="AZ56" s="7" t="n">
        <v>0</v>
      </c>
      <c r="BA56" s="7" t="n">
        <v>0</v>
      </c>
      <c r="BB56" s="7">
        <f>SUM(AD56:BA56)</f>
        <v/>
      </c>
    </row>
    <row r="57">
      <c r="A57" t="inlineStr">
        <is>
          <t>AMD-FWDREG-SSC</t>
        </is>
      </c>
      <c r="B57" t="inlineStr">
        <is>
          <t>Forward Regular OSC</t>
        </is>
      </c>
      <c r="C57" s="5" t="n">
        <v>46104</v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0</v>
      </c>
      <c r="Q57" s="6" t="n">
        <v>0</v>
      </c>
      <c r="R57" s="6" t="n">
        <v>0</v>
      </c>
      <c r="S57" s="6" t="n">
        <v>0</v>
      </c>
      <c r="T57" s="6" t="n">
        <v>0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0</v>
      </c>
      <c r="AA57" s="6" t="n">
        <v>0</v>
      </c>
      <c r="AB57" s="6">
        <f>SUM(D57:AA57)</f>
        <v/>
      </c>
      <c r="AC57" s="3" t="inlineStr"/>
      <c r="AD57" s="7" t="n">
        <v>0</v>
      </c>
      <c r="AE57" s="7" t="n">
        <v>0</v>
      </c>
      <c r="AF57" s="7" t="n">
        <v>0</v>
      </c>
      <c r="AG57" s="7" t="n">
        <v>0</v>
      </c>
      <c r="AH57" s="7" t="n">
        <v>0</v>
      </c>
      <c r="AI57" s="7" t="n">
        <v>0</v>
      </c>
      <c r="AJ57" s="7" t="n">
        <v>0</v>
      </c>
      <c r="AK57" s="7" t="n">
        <v>0</v>
      </c>
      <c r="AL57" s="7" t="n">
        <v>0</v>
      </c>
      <c r="AM57" s="7" t="n">
        <v>0</v>
      </c>
      <c r="AN57" s="7" t="n">
        <v>0</v>
      </c>
      <c r="AO57" s="7" t="n">
        <v>0</v>
      </c>
      <c r="AP57" s="7" t="n">
        <v>0</v>
      </c>
      <c r="AQ57" s="7" t="n">
        <v>0</v>
      </c>
      <c r="AR57" s="7" t="n">
        <v>0</v>
      </c>
      <c r="AS57" s="7" t="n">
        <v>0</v>
      </c>
      <c r="AT57" s="7" t="n">
        <v>0</v>
      </c>
      <c r="AU57" s="7" t="n">
        <v>0</v>
      </c>
      <c r="AV57" s="7" t="n">
        <v>0</v>
      </c>
      <c r="AW57" s="7" t="n">
        <v>0</v>
      </c>
      <c r="AX57" s="7" t="n">
        <v>0</v>
      </c>
      <c r="AY57" s="7" t="n">
        <v>0</v>
      </c>
      <c r="AZ57" s="7" t="n">
        <v>0</v>
      </c>
      <c r="BA57" s="7" t="n">
        <v>0</v>
      </c>
      <c r="BB57" s="7">
        <f>SUM(AD57:BA57)</f>
        <v/>
      </c>
    </row>
    <row r="58">
      <c r="A58" t="inlineStr">
        <is>
          <t>AMD-FWDREG-SSC</t>
        </is>
      </c>
      <c r="B58" t="inlineStr">
        <is>
          <t>Forward Regular OSC</t>
        </is>
      </c>
      <c r="C58" s="5" t="n">
        <v>46105</v>
      </c>
      <c r="D58" s="6" t="n">
        <v>0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</v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0</v>
      </c>
      <c r="R58" s="6" t="n">
        <v>0</v>
      </c>
      <c r="S58" s="6" t="n">
        <v>0</v>
      </c>
      <c r="T58" s="6" t="n">
        <v>0</v>
      </c>
      <c r="U58" s="6" t="n">
        <v>0</v>
      </c>
      <c r="V58" s="6" t="n">
        <v>0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0</v>
      </c>
      <c r="AB58" s="6">
        <f>SUM(D58:AA58)</f>
        <v/>
      </c>
      <c r="AC58" s="3" t="inlineStr"/>
      <c r="AD58" s="7" t="n">
        <v>0</v>
      </c>
      <c r="AE58" s="7" t="n">
        <v>0</v>
      </c>
      <c r="AF58" s="7" t="n">
        <v>0</v>
      </c>
      <c r="AG58" s="7" t="n">
        <v>0</v>
      </c>
      <c r="AH58" s="7" t="n">
        <v>0</v>
      </c>
      <c r="AI58" s="7" t="n">
        <v>0</v>
      </c>
      <c r="AJ58" s="7" t="n">
        <v>0</v>
      </c>
      <c r="AK58" s="7" t="n">
        <v>0</v>
      </c>
      <c r="AL58" s="7" t="n">
        <v>0</v>
      </c>
      <c r="AM58" s="7" t="n">
        <v>0</v>
      </c>
      <c r="AN58" s="7" t="n">
        <v>0</v>
      </c>
      <c r="AO58" s="7" t="n">
        <v>0</v>
      </c>
      <c r="AP58" s="7" t="n">
        <v>0</v>
      </c>
      <c r="AQ58" s="7" t="n">
        <v>0</v>
      </c>
      <c r="AR58" s="7" t="n">
        <v>0</v>
      </c>
      <c r="AS58" s="7" t="n">
        <v>0</v>
      </c>
      <c r="AT58" s="7" t="n">
        <v>0</v>
      </c>
      <c r="AU58" s="7" t="n">
        <v>0</v>
      </c>
      <c r="AV58" s="7" t="n">
        <v>0</v>
      </c>
      <c r="AW58" s="7" t="n">
        <v>0</v>
      </c>
      <c r="AX58" s="7" t="n">
        <v>0</v>
      </c>
      <c r="AY58" s="7" t="n">
        <v>0</v>
      </c>
      <c r="AZ58" s="7" t="n">
        <v>0</v>
      </c>
      <c r="BA58" s="7" t="n">
        <v>0</v>
      </c>
      <c r="BB58" s="7">
        <f>SUM(AD58:BA58)</f>
        <v/>
      </c>
    </row>
    <row r="59">
      <c r="A59" t="inlineStr">
        <is>
          <t>AMD-INTRA-SSC</t>
        </is>
      </c>
      <c r="B59" t="inlineStr">
        <is>
          <t>Forward Regular OSC</t>
        </is>
      </c>
      <c r="C59" s="5" t="n">
        <v>46098</v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Q59" s="6" t="n">
        <v>0</v>
      </c>
      <c r="R59" s="6" t="n">
        <v>0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0</v>
      </c>
      <c r="Z59" s="6" t="n">
        <v>0</v>
      </c>
      <c r="AA59" s="6" t="n">
        <v>0</v>
      </c>
      <c r="AB59" s="6">
        <f>SUM(D59:AA59)</f>
        <v/>
      </c>
      <c r="AC59" s="3" t="inlineStr"/>
      <c r="AD59" s="7" t="n">
        <v>0</v>
      </c>
      <c r="AE59" s="7" t="n">
        <v>0</v>
      </c>
      <c r="AF59" s="7" t="n">
        <v>0</v>
      </c>
      <c r="AG59" s="7" t="n">
        <v>0</v>
      </c>
      <c r="AH59" s="7" t="n">
        <v>0</v>
      </c>
      <c r="AI59" s="7" t="n">
        <v>0</v>
      </c>
      <c r="AJ59" s="7" t="n">
        <v>0</v>
      </c>
      <c r="AK59" s="7" t="n">
        <v>0</v>
      </c>
      <c r="AL59" s="7" t="n">
        <v>0</v>
      </c>
      <c r="AM59" s="7" t="n">
        <v>0</v>
      </c>
      <c r="AN59" s="7" t="n">
        <v>0</v>
      </c>
      <c r="AO59" s="7" t="n">
        <v>0</v>
      </c>
      <c r="AP59" s="7" t="n">
        <v>0</v>
      </c>
      <c r="AQ59" s="7" t="n">
        <v>0</v>
      </c>
      <c r="AR59" s="7" t="n">
        <v>0</v>
      </c>
      <c r="AS59" s="7" t="n">
        <v>0</v>
      </c>
      <c r="AT59" s="7" t="n">
        <v>0</v>
      </c>
      <c r="AU59" s="7" t="n">
        <v>0</v>
      </c>
      <c r="AV59" s="7" t="n">
        <v>0</v>
      </c>
      <c r="AW59" s="7" t="n">
        <v>0</v>
      </c>
      <c r="AX59" s="7" t="n">
        <v>0</v>
      </c>
      <c r="AY59" s="7" t="n">
        <v>0</v>
      </c>
      <c r="AZ59" s="7" t="n">
        <v>0</v>
      </c>
      <c r="BA59" s="7" t="n">
        <v>0</v>
      </c>
      <c r="BB59" s="7">
        <f>SUM(AD59:BA59)</f>
        <v/>
      </c>
    </row>
    <row r="60">
      <c r="A60" t="inlineStr">
        <is>
          <t>AMD-INTRA-SSC</t>
        </is>
      </c>
      <c r="B60" t="inlineStr">
        <is>
          <t>Forward Regular OSC</t>
        </is>
      </c>
      <c r="C60" s="5" t="n">
        <v>46099</v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0</v>
      </c>
      <c r="Q60" s="6" t="n">
        <v>0</v>
      </c>
      <c r="R60" s="6" t="n">
        <v>0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0</v>
      </c>
      <c r="Z60" s="6" t="n">
        <v>0</v>
      </c>
      <c r="AA60" s="6" t="n">
        <v>0</v>
      </c>
      <c r="AB60" s="6">
        <f>SUM(D60:AA60)</f>
        <v/>
      </c>
      <c r="AC60" s="3" t="inlineStr"/>
      <c r="AD60" s="7" t="n">
        <v>0</v>
      </c>
      <c r="AE60" s="7" t="n">
        <v>0</v>
      </c>
      <c r="AF60" s="7" t="n">
        <v>0</v>
      </c>
      <c r="AG60" s="7" t="n">
        <v>0</v>
      </c>
      <c r="AH60" s="7" t="n">
        <v>0</v>
      </c>
      <c r="AI60" s="7" t="n">
        <v>0</v>
      </c>
      <c r="AJ60" s="7" t="n">
        <v>0</v>
      </c>
      <c r="AK60" s="7" t="n">
        <v>0</v>
      </c>
      <c r="AL60" s="7" t="n">
        <v>0</v>
      </c>
      <c r="AM60" s="7" t="n">
        <v>0</v>
      </c>
      <c r="AN60" s="7" t="n">
        <v>0</v>
      </c>
      <c r="AO60" s="7" t="n">
        <v>0</v>
      </c>
      <c r="AP60" s="7" t="n">
        <v>0</v>
      </c>
      <c r="AQ60" s="7" t="n">
        <v>0</v>
      </c>
      <c r="AR60" s="7" t="n">
        <v>0</v>
      </c>
      <c r="AS60" s="7" t="n">
        <v>0</v>
      </c>
      <c r="AT60" s="7" t="n">
        <v>0</v>
      </c>
      <c r="AU60" s="7" t="n">
        <v>0</v>
      </c>
      <c r="AV60" s="7" t="n">
        <v>0</v>
      </c>
      <c r="AW60" s="7" t="n">
        <v>0</v>
      </c>
      <c r="AX60" s="7" t="n">
        <v>0</v>
      </c>
      <c r="AY60" s="7" t="n">
        <v>0</v>
      </c>
      <c r="AZ60" s="7" t="n">
        <v>0</v>
      </c>
      <c r="BA60" s="7" t="n">
        <v>0</v>
      </c>
      <c r="BB60" s="7">
        <f>SUM(AD60:BA60)</f>
        <v/>
      </c>
    </row>
    <row r="61">
      <c r="A61" t="inlineStr">
        <is>
          <t>AMD-INTRA-SSC</t>
        </is>
      </c>
      <c r="B61" t="inlineStr">
        <is>
          <t>Forward Regular OSC</t>
        </is>
      </c>
      <c r="C61" s="5" t="n">
        <v>46100</v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0</v>
      </c>
      <c r="Q61" s="6" t="n">
        <v>0</v>
      </c>
      <c r="R61" s="6" t="n">
        <v>0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0</v>
      </c>
      <c r="X61" s="6" t="n">
        <v>0</v>
      </c>
      <c r="Y61" s="6" t="n">
        <v>0</v>
      </c>
      <c r="Z61" s="6" t="n">
        <v>0</v>
      </c>
      <c r="AA61" s="6" t="n">
        <v>0</v>
      </c>
      <c r="AB61" s="6">
        <f>SUM(D61:AA61)</f>
        <v/>
      </c>
      <c r="AC61" s="3" t="inlineStr"/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7" t="n">
        <v>0</v>
      </c>
      <c r="BB61" s="7">
        <f>SUM(AD61:BA61)</f>
        <v/>
      </c>
    </row>
    <row r="62">
      <c r="A62" t="inlineStr">
        <is>
          <t>AMD-INTRA-SSC</t>
        </is>
      </c>
      <c r="B62" t="inlineStr">
        <is>
          <t>Forward Regular OSC</t>
        </is>
      </c>
      <c r="C62" s="5" t="n">
        <v>46101</v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0</v>
      </c>
      <c r="M62" s="6" t="n">
        <v>0</v>
      </c>
      <c r="N62" s="6" t="n">
        <v>0</v>
      </c>
      <c r="O62" s="6" t="n">
        <v>0</v>
      </c>
      <c r="P62" s="6" t="n">
        <v>0</v>
      </c>
      <c r="Q62" s="6" t="n">
        <v>0</v>
      </c>
      <c r="R62" s="6" t="n">
        <v>0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0</v>
      </c>
      <c r="Z62" s="6" t="n">
        <v>0</v>
      </c>
      <c r="AA62" s="6" t="n">
        <v>0</v>
      </c>
      <c r="AB62" s="6">
        <f>SUM(D62:AA62)</f>
        <v/>
      </c>
      <c r="AC62" s="3" t="inlineStr"/>
      <c r="AD62" s="7" t="n">
        <v>0</v>
      </c>
      <c r="AE62" s="7" t="n">
        <v>0</v>
      </c>
      <c r="AF62" s="7" t="n">
        <v>0</v>
      </c>
      <c r="AG62" s="7" t="n">
        <v>0</v>
      </c>
      <c r="AH62" s="7" t="n">
        <v>0</v>
      </c>
      <c r="AI62" s="7" t="n">
        <v>0</v>
      </c>
      <c r="AJ62" s="7" t="n">
        <v>0</v>
      </c>
      <c r="AK62" s="7" t="n">
        <v>0</v>
      </c>
      <c r="AL62" s="7" t="n">
        <v>0</v>
      </c>
      <c r="AM62" s="7" t="n">
        <v>0</v>
      </c>
      <c r="AN62" s="7" t="n">
        <v>0</v>
      </c>
      <c r="AO62" s="7" t="n">
        <v>0</v>
      </c>
      <c r="AP62" s="7" t="n">
        <v>0</v>
      </c>
      <c r="AQ62" s="7" t="n">
        <v>0</v>
      </c>
      <c r="AR62" s="7" t="n">
        <v>0</v>
      </c>
      <c r="AS62" s="7" t="n">
        <v>0</v>
      </c>
      <c r="AT62" s="7" t="n">
        <v>0</v>
      </c>
      <c r="AU62" s="7" t="n">
        <v>0</v>
      </c>
      <c r="AV62" s="7" t="n">
        <v>0</v>
      </c>
      <c r="AW62" s="7" t="n">
        <v>0</v>
      </c>
      <c r="AX62" s="7" t="n">
        <v>0</v>
      </c>
      <c r="AY62" s="7" t="n">
        <v>0</v>
      </c>
      <c r="AZ62" s="7" t="n">
        <v>0</v>
      </c>
      <c r="BA62" s="7" t="n">
        <v>0</v>
      </c>
      <c r="BB62" s="7">
        <f>SUM(AD62:BA62)</f>
        <v/>
      </c>
    </row>
    <row r="63">
      <c r="A63" t="inlineStr">
        <is>
          <t>AMD-INTRA-SSC</t>
        </is>
      </c>
      <c r="B63" t="inlineStr">
        <is>
          <t>Forward Regular OSC</t>
        </is>
      </c>
      <c r="C63" s="5" t="n">
        <v>46102</v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0</v>
      </c>
      <c r="Q63" s="6" t="n">
        <v>0</v>
      </c>
      <c r="R63" s="6" t="n">
        <v>0</v>
      </c>
      <c r="S63" s="6" t="n">
        <v>0</v>
      </c>
      <c r="T63" s="6" t="n">
        <v>0</v>
      </c>
      <c r="U63" s="6" t="n">
        <v>0</v>
      </c>
      <c r="V63" s="6" t="n">
        <v>0</v>
      </c>
      <c r="W63" s="6" t="n">
        <v>0</v>
      </c>
      <c r="X63" s="6" t="n">
        <v>0</v>
      </c>
      <c r="Y63" s="6" t="n">
        <v>0</v>
      </c>
      <c r="Z63" s="6" t="n">
        <v>0</v>
      </c>
      <c r="AA63" s="6" t="n">
        <v>0</v>
      </c>
      <c r="AB63" s="6">
        <f>SUM(D63:AA63)</f>
        <v/>
      </c>
      <c r="AC63" s="3" t="inlineStr"/>
      <c r="AD63" s="7" t="n">
        <v>0</v>
      </c>
      <c r="AE63" s="7" t="n">
        <v>0</v>
      </c>
      <c r="AF63" s="7" t="n">
        <v>0</v>
      </c>
      <c r="AG63" s="7" t="n">
        <v>0</v>
      </c>
      <c r="AH63" s="7" t="n">
        <v>0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0</v>
      </c>
      <c r="AO63" s="7" t="n">
        <v>0</v>
      </c>
      <c r="AP63" s="7" t="n">
        <v>0</v>
      </c>
      <c r="AQ63" s="7" t="n">
        <v>0</v>
      </c>
      <c r="AR63" s="7" t="n">
        <v>0</v>
      </c>
      <c r="AS63" s="7" t="n">
        <v>0</v>
      </c>
      <c r="AT63" s="7" t="n">
        <v>0</v>
      </c>
      <c r="AU63" s="7" t="n">
        <v>0</v>
      </c>
      <c r="AV63" s="7" t="n">
        <v>0</v>
      </c>
      <c r="AW63" s="7" t="n">
        <v>0</v>
      </c>
      <c r="AX63" s="7" t="n">
        <v>0</v>
      </c>
      <c r="AY63" s="7" t="n">
        <v>0</v>
      </c>
      <c r="AZ63" s="7" t="n">
        <v>0</v>
      </c>
      <c r="BA63" s="7" t="n">
        <v>0</v>
      </c>
      <c r="BB63" s="7">
        <f>SUM(AD63:BA63)</f>
        <v/>
      </c>
    </row>
    <row r="64">
      <c r="A64" t="inlineStr">
        <is>
          <t>AMD-INTRA-SSC</t>
        </is>
      </c>
      <c r="B64" t="inlineStr">
        <is>
          <t>Forward Regular OSC</t>
        </is>
      </c>
      <c r="C64" s="5" t="n">
        <v>46103</v>
      </c>
      <c r="D64" s="6" t="n">
        <v>0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0</v>
      </c>
      <c r="M64" s="6" t="n">
        <v>0</v>
      </c>
      <c r="N64" s="6" t="n">
        <v>0</v>
      </c>
      <c r="O64" s="6" t="n">
        <v>0</v>
      </c>
      <c r="P64" s="6" t="n">
        <v>0</v>
      </c>
      <c r="Q64" s="6" t="n">
        <v>0</v>
      </c>
      <c r="R64" s="6" t="n">
        <v>0</v>
      </c>
      <c r="S64" s="6" t="n">
        <v>0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0</v>
      </c>
      <c r="AB64" s="6">
        <f>SUM(D64:AA64)</f>
        <v/>
      </c>
      <c r="AC64" s="3" t="inlineStr"/>
      <c r="AD64" s="7" t="n">
        <v>0</v>
      </c>
      <c r="AE64" s="7" t="n">
        <v>0</v>
      </c>
      <c r="AF64" s="7" t="n">
        <v>0</v>
      </c>
      <c r="AG64" s="7" t="n">
        <v>0</v>
      </c>
      <c r="AH64" s="7" t="n">
        <v>0</v>
      </c>
      <c r="AI64" s="7" t="n">
        <v>0</v>
      </c>
      <c r="AJ64" s="7" t="n">
        <v>0</v>
      </c>
      <c r="AK64" s="7" t="n">
        <v>0</v>
      </c>
      <c r="AL64" s="7" t="n">
        <v>0</v>
      </c>
      <c r="AM64" s="7" t="n">
        <v>0</v>
      </c>
      <c r="AN64" s="7" t="n">
        <v>0</v>
      </c>
      <c r="AO64" s="7" t="n">
        <v>0</v>
      </c>
      <c r="AP64" s="7" t="n">
        <v>0</v>
      </c>
      <c r="AQ64" s="7" t="n">
        <v>0</v>
      </c>
      <c r="AR64" s="7" t="n">
        <v>0</v>
      </c>
      <c r="AS64" s="7" t="n">
        <v>0</v>
      </c>
      <c r="AT64" s="7" t="n">
        <v>0</v>
      </c>
      <c r="AU64" s="7" t="n">
        <v>0</v>
      </c>
      <c r="AV64" s="7" t="n">
        <v>0</v>
      </c>
      <c r="AW64" s="7" t="n">
        <v>0</v>
      </c>
      <c r="AX64" s="7" t="n">
        <v>0</v>
      </c>
      <c r="AY64" s="7" t="n">
        <v>0</v>
      </c>
      <c r="AZ64" s="7" t="n">
        <v>0</v>
      </c>
      <c r="BA64" s="7" t="n">
        <v>0</v>
      </c>
      <c r="BB64" s="7">
        <f>SUM(AD64:BA64)</f>
        <v/>
      </c>
    </row>
    <row r="65">
      <c r="A65" t="inlineStr">
        <is>
          <t>AMD-INTRA-SSC</t>
        </is>
      </c>
      <c r="B65" t="inlineStr">
        <is>
          <t>Forward Regular OSC</t>
        </is>
      </c>
      <c r="C65" s="5" t="n">
        <v>46104</v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0</v>
      </c>
      <c r="Q65" s="6" t="n">
        <v>0</v>
      </c>
      <c r="R65" s="6" t="n">
        <v>0</v>
      </c>
      <c r="S65" s="6" t="n">
        <v>0</v>
      </c>
      <c r="T65" s="6" t="n">
        <v>0</v>
      </c>
      <c r="U65" s="6" t="n">
        <v>0</v>
      </c>
      <c r="V65" s="6" t="n">
        <v>0</v>
      </c>
      <c r="W65" s="6" t="n">
        <v>0</v>
      </c>
      <c r="X65" s="6" t="n">
        <v>0</v>
      </c>
      <c r="Y65" s="6" t="n">
        <v>0</v>
      </c>
      <c r="Z65" s="6" t="n">
        <v>0</v>
      </c>
      <c r="AA65" s="6" t="n">
        <v>0</v>
      </c>
      <c r="AB65" s="6">
        <f>SUM(D65:AA65)</f>
        <v/>
      </c>
      <c r="AC65" s="3" t="inlineStr"/>
      <c r="AD65" s="7" t="n">
        <v>0</v>
      </c>
      <c r="AE65" s="7" t="n">
        <v>0</v>
      </c>
      <c r="AF65" s="7" t="n">
        <v>0</v>
      </c>
      <c r="AG65" s="7" t="n">
        <v>0</v>
      </c>
      <c r="AH65" s="7" t="n">
        <v>0</v>
      </c>
      <c r="AI65" s="7" t="n">
        <v>0</v>
      </c>
      <c r="AJ65" s="7" t="n">
        <v>0</v>
      </c>
      <c r="AK65" s="7" t="n">
        <v>0</v>
      </c>
      <c r="AL65" s="7" t="n">
        <v>0</v>
      </c>
      <c r="AM65" s="7" t="n">
        <v>0</v>
      </c>
      <c r="AN65" s="7" t="n">
        <v>0</v>
      </c>
      <c r="AO65" s="7" t="n">
        <v>0</v>
      </c>
      <c r="AP65" s="7" t="n">
        <v>0</v>
      </c>
      <c r="AQ65" s="7" t="n">
        <v>0</v>
      </c>
      <c r="AR65" s="7" t="n">
        <v>0</v>
      </c>
      <c r="AS65" s="7" t="n">
        <v>0</v>
      </c>
      <c r="AT65" s="7" t="n">
        <v>0</v>
      </c>
      <c r="AU65" s="7" t="n">
        <v>0</v>
      </c>
      <c r="AV65" s="7" t="n">
        <v>0</v>
      </c>
      <c r="AW65" s="7" t="n">
        <v>0</v>
      </c>
      <c r="AX65" s="7" t="n">
        <v>0</v>
      </c>
      <c r="AY65" s="7" t="n">
        <v>0</v>
      </c>
      <c r="AZ65" s="7" t="n">
        <v>0</v>
      </c>
      <c r="BA65" s="7" t="n">
        <v>0</v>
      </c>
      <c r="BB65" s="7">
        <f>SUM(AD65:BA65)</f>
        <v/>
      </c>
    </row>
    <row r="66">
      <c r="A66" t="inlineStr">
        <is>
          <t>AMD-INTRA-SSC</t>
        </is>
      </c>
      <c r="B66" t="inlineStr">
        <is>
          <t>Forward Regular OSC</t>
        </is>
      </c>
      <c r="C66" s="5" t="n">
        <v>46105</v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0</v>
      </c>
      <c r="N66" s="6" t="n">
        <v>0</v>
      </c>
      <c r="O66" s="6" t="n">
        <v>0</v>
      </c>
      <c r="P66" s="6" t="n">
        <v>0</v>
      </c>
      <c r="Q66" s="6" t="n">
        <v>0</v>
      </c>
      <c r="R66" s="6" t="n">
        <v>0</v>
      </c>
      <c r="S66" s="6" t="n">
        <v>0</v>
      </c>
      <c r="T66" s="6" t="n">
        <v>0</v>
      </c>
      <c r="U66" s="6" t="n">
        <v>0</v>
      </c>
      <c r="V66" s="6" t="n">
        <v>0</v>
      </c>
      <c r="W66" s="6" t="n">
        <v>0</v>
      </c>
      <c r="X66" s="6" t="n">
        <v>0</v>
      </c>
      <c r="Y66" s="6" t="n">
        <v>0</v>
      </c>
      <c r="Z66" s="6" t="n">
        <v>0</v>
      </c>
      <c r="AA66" s="6" t="n">
        <v>0</v>
      </c>
      <c r="AB66" s="6">
        <f>SUM(D66:AA66)</f>
        <v/>
      </c>
      <c r="AC66" s="3" t="inlineStr"/>
      <c r="AD66" s="7" t="n">
        <v>0</v>
      </c>
      <c r="AE66" s="7" t="n">
        <v>0</v>
      </c>
      <c r="AF66" s="7" t="n">
        <v>0</v>
      </c>
      <c r="AG66" s="7" t="n">
        <v>0</v>
      </c>
      <c r="AH66" s="7" t="n">
        <v>0</v>
      </c>
      <c r="AI66" s="7" t="n">
        <v>0</v>
      </c>
      <c r="AJ66" s="7" t="n">
        <v>0</v>
      </c>
      <c r="AK66" s="7" t="n">
        <v>0</v>
      </c>
      <c r="AL66" s="7" t="n">
        <v>0</v>
      </c>
      <c r="AM66" s="7" t="n">
        <v>0</v>
      </c>
      <c r="AN66" s="7" t="n">
        <v>0</v>
      </c>
      <c r="AO66" s="7" t="n">
        <v>0</v>
      </c>
      <c r="AP66" s="7" t="n">
        <v>0</v>
      </c>
      <c r="AQ66" s="7" t="n">
        <v>0</v>
      </c>
      <c r="AR66" s="7" t="n">
        <v>0</v>
      </c>
      <c r="AS66" s="7" t="n">
        <v>0</v>
      </c>
      <c r="AT66" s="7" t="n">
        <v>0</v>
      </c>
      <c r="AU66" s="7" t="n">
        <v>0</v>
      </c>
      <c r="AV66" s="7" t="n">
        <v>0</v>
      </c>
      <c r="AW66" s="7" t="n">
        <v>0</v>
      </c>
      <c r="AX66" s="7" t="n">
        <v>0</v>
      </c>
      <c r="AY66" s="7" t="n">
        <v>0</v>
      </c>
      <c r="AZ66" s="7" t="n">
        <v>0</v>
      </c>
      <c r="BA66" s="7" t="n">
        <v>0</v>
      </c>
      <c r="BB66" s="7">
        <f>SUM(AD66:BA66)</f>
        <v/>
      </c>
    </row>
    <row r="67">
      <c r="A67" t="inlineStr">
        <is>
          <t>AMD-M1</t>
        </is>
      </c>
      <c r="B67" t="inlineStr">
        <is>
          <t>Forward Regular OSC</t>
        </is>
      </c>
      <c r="C67" s="5" t="n">
        <v>46089</v>
      </c>
      <c r="D67" s="6" t="n">
        <v>0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  <c r="S67" s="6" t="n">
        <v>0</v>
      </c>
      <c r="T67" s="6" t="n">
        <v>0</v>
      </c>
      <c r="U67" s="6" t="n">
        <v>0</v>
      </c>
      <c r="V67" s="6" t="n">
        <v>0</v>
      </c>
      <c r="W67" s="6" t="n">
        <v>0</v>
      </c>
      <c r="X67" s="6" t="n">
        <v>0</v>
      </c>
      <c r="Y67" s="6" t="n">
        <v>0</v>
      </c>
      <c r="Z67" s="6" t="n">
        <v>0</v>
      </c>
      <c r="AA67" s="6" t="n">
        <v>0</v>
      </c>
      <c r="AB67" s="6">
        <f>SUM(D67:AA67)</f>
        <v/>
      </c>
      <c r="AC67" s="3" t="inlineStr"/>
      <c r="AD67" s="7" t="n">
        <v>0</v>
      </c>
      <c r="AE67" s="7" t="n">
        <v>0</v>
      </c>
      <c r="AF67" s="7" t="n">
        <v>0</v>
      </c>
      <c r="AG67" s="7" t="n">
        <v>0</v>
      </c>
      <c r="AH67" s="7" t="n">
        <v>0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</v>
      </c>
      <c r="AN67" s="7" t="n">
        <v>0</v>
      </c>
      <c r="AO67" s="7" t="n">
        <v>0</v>
      </c>
      <c r="AP67" s="7" t="n">
        <v>0</v>
      </c>
      <c r="AQ67" s="7" t="n">
        <v>0</v>
      </c>
      <c r="AR67" s="7" t="n">
        <v>0</v>
      </c>
      <c r="AS67" s="7" t="n">
        <v>0</v>
      </c>
      <c r="AT67" s="7" t="n">
        <v>0</v>
      </c>
      <c r="AU67" s="7" t="n">
        <v>0</v>
      </c>
      <c r="AV67" s="7" t="n">
        <v>0</v>
      </c>
      <c r="AW67" s="7" t="n">
        <v>0</v>
      </c>
      <c r="AX67" s="7" t="n">
        <v>0</v>
      </c>
      <c r="AY67" s="7" t="n">
        <v>0</v>
      </c>
      <c r="AZ67" s="7" t="n">
        <v>0</v>
      </c>
      <c r="BA67" s="7" t="n">
        <v>0</v>
      </c>
      <c r="BB67" s="7">
        <f>SUM(AD67:BA67)</f>
        <v/>
      </c>
    </row>
    <row r="68">
      <c r="A68" t="inlineStr">
        <is>
          <t>AMD-M1</t>
        </is>
      </c>
      <c r="B68" t="inlineStr">
        <is>
          <t>Forward Regular OSC</t>
        </is>
      </c>
      <c r="C68" s="5" t="n">
        <v>46090</v>
      </c>
      <c r="D68" s="6" t="n">
        <v>0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0</v>
      </c>
      <c r="M68" s="6" t="n">
        <v>0</v>
      </c>
      <c r="N68" s="6" t="n">
        <v>0</v>
      </c>
      <c r="O68" s="6" t="n">
        <v>0</v>
      </c>
      <c r="P68" s="6" t="n">
        <v>0</v>
      </c>
      <c r="Q68" s="6" t="n">
        <v>0</v>
      </c>
      <c r="R68" s="6" t="n">
        <v>0</v>
      </c>
      <c r="S68" s="6" t="n">
        <v>0</v>
      </c>
      <c r="T68" s="6" t="n">
        <v>0</v>
      </c>
      <c r="U68" s="6" t="n">
        <v>0</v>
      </c>
      <c r="V68" s="6" t="n">
        <v>0</v>
      </c>
      <c r="W68" s="6" t="n">
        <v>0</v>
      </c>
      <c r="X68" s="6" t="n">
        <v>0</v>
      </c>
      <c r="Y68" s="6" t="n">
        <v>0</v>
      </c>
      <c r="Z68" s="6" t="n">
        <v>0</v>
      </c>
      <c r="AA68" s="6" t="n">
        <v>0</v>
      </c>
      <c r="AB68" s="6">
        <f>SUM(D68:AA68)</f>
        <v/>
      </c>
      <c r="AC68" s="3" t="inlineStr"/>
      <c r="AD68" s="7" t="n">
        <v>0</v>
      </c>
      <c r="AE68" s="7" t="n">
        <v>0</v>
      </c>
      <c r="AF68" s="7" t="n">
        <v>0</v>
      </c>
      <c r="AG68" s="7" t="n">
        <v>0</v>
      </c>
      <c r="AH68" s="7" t="n">
        <v>0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0</v>
      </c>
      <c r="AO68" s="7" t="n">
        <v>0</v>
      </c>
      <c r="AP68" s="7" t="n">
        <v>0</v>
      </c>
      <c r="AQ68" s="7" t="n">
        <v>0</v>
      </c>
      <c r="AR68" s="7" t="n">
        <v>0</v>
      </c>
      <c r="AS68" s="7" t="n">
        <v>0</v>
      </c>
      <c r="AT68" s="7" t="n">
        <v>0</v>
      </c>
      <c r="AU68" s="7" t="n">
        <v>0</v>
      </c>
      <c r="AV68" s="7" t="n">
        <v>0</v>
      </c>
      <c r="AW68" s="7" t="n">
        <v>0</v>
      </c>
      <c r="AX68" s="7" t="n">
        <v>0</v>
      </c>
      <c r="AY68" s="7" t="n">
        <v>0</v>
      </c>
      <c r="AZ68" s="7" t="n">
        <v>0</v>
      </c>
      <c r="BA68" s="7" t="n">
        <v>0</v>
      </c>
      <c r="BB68" s="7">
        <f>SUM(AD68:BA68)</f>
        <v/>
      </c>
    </row>
    <row r="69">
      <c r="A69" t="inlineStr">
        <is>
          <t>AMD-M1</t>
        </is>
      </c>
      <c r="B69" t="inlineStr">
        <is>
          <t>Forward Regular OSC</t>
        </is>
      </c>
      <c r="C69" s="5" t="n">
        <v>46091</v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>
        <f>SUM(D69:AA69)</f>
        <v/>
      </c>
      <c r="AC69" s="3" t="inlineStr"/>
      <c r="AD69" s="7" t="n">
        <v>0</v>
      </c>
      <c r="AE69" s="7" t="n">
        <v>0</v>
      </c>
      <c r="AF69" s="7" t="n">
        <v>0</v>
      </c>
      <c r="AG69" s="7" t="n">
        <v>0</v>
      </c>
      <c r="AH69" s="7" t="n">
        <v>0</v>
      </c>
      <c r="AI69" s="7" t="n">
        <v>0</v>
      </c>
      <c r="AJ69" s="7" t="n">
        <v>0</v>
      </c>
      <c r="AK69" s="7" t="n">
        <v>0</v>
      </c>
      <c r="AL69" s="7" t="n">
        <v>0</v>
      </c>
      <c r="AM69" s="7" t="n">
        <v>0</v>
      </c>
      <c r="AN69" s="7" t="n">
        <v>0</v>
      </c>
      <c r="AO69" s="7" t="n">
        <v>0</v>
      </c>
      <c r="AP69" s="7" t="n">
        <v>0</v>
      </c>
      <c r="AQ69" s="7" t="n">
        <v>0</v>
      </c>
      <c r="AR69" s="7" t="n">
        <v>0</v>
      </c>
      <c r="AS69" s="7" t="n">
        <v>0</v>
      </c>
      <c r="AT69" s="7" t="n">
        <v>0</v>
      </c>
      <c r="AU69" s="7" t="n">
        <v>0</v>
      </c>
      <c r="AV69" s="7" t="n">
        <v>0</v>
      </c>
      <c r="AW69" s="7" t="n">
        <v>0</v>
      </c>
      <c r="AX69" s="7" t="n">
        <v>0</v>
      </c>
      <c r="AY69" s="7" t="n">
        <v>0</v>
      </c>
      <c r="AZ69" s="7" t="n">
        <v>0</v>
      </c>
      <c r="BA69" s="7" t="n">
        <v>0</v>
      </c>
      <c r="BB69" s="7">
        <f>SUM(AD69:BA69)</f>
        <v/>
      </c>
    </row>
    <row r="70">
      <c r="A70" t="inlineStr">
        <is>
          <t>AMD-M1</t>
        </is>
      </c>
      <c r="B70" t="inlineStr">
        <is>
          <t>Forward Regular OSC</t>
        </is>
      </c>
      <c r="C70" s="5" t="n">
        <v>46092</v>
      </c>
      <c r="D70" s="6" t="n">
        <v>0</v>
      </c>
      <c r="E70" s="6" t="n">
        <v>0</v>
      </c>
      <c r="F70" s="6" t="n">
        <v>0</v>
      </c>
      <c r="G70" s="6" t="n">
        <v>0</v>
      </c>
      <c r="H70" s="6" t="n">
        <v>0</v>
      </c>
      <c r="I70" s="6" t="n">
        <v>0</v>
      </c>
      <c r="J70" s="6" t="n">
        <v>0</v>
      </c>
      <c r="K70" s="6" t="n">
        <v>0</v>
      </c>
      <c r="L70" s="6" t="n">
        <v>0</v>
      </c>
      <c r="M70" s="6" t="n">
        <v>0</v>
      </c>
      <c r="N70" s="6" t="n">
        <v>0</v>
      </c>
      <c r="O70" s="6" t="n">
        <v>0</v>
      </c>
      <c r="P70" s="6" t="n">
        <v>0</v>
      </c>
      <c r="Q70" s="6" t="n">
        <v>0</v>
      </c>
      <c r="R70" s="6" t="n">
        <v>0</v>
      </c>
      <c r="S70" s="6" t="n">
        <v>0</v>
      </c>
      <c r="T70" s="6" t="n">
        <v>0</v>
      </c>
      <c r="U70" s="6" t="n">
        <v>0</v>
      </c>
      <c r="V70" s="6" t="n">
        <v>0</v>
      </c>
      <c r="W70" s="6" t="n">
        <v>0</v>
      </c>
      <c r="X70" s="6" t="n">
        <v>0</v>
      </c>
      <c r="Y70" s="6" t="n">
        <v>0</v>
      </c>
      <c r="Z70" s="6" t="n">
        <v>0</v>
      </c>
      <c r="AA70" s="6" t="n">
        <v>0</v>
      </c>
      <c r="AB70" s="6">
        <f>SUM(D70:AA70)</f>
        <v/>
      </c>
      <c r="AC70" s="3" t="inlineStr"/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>
        <f>SUM(AD70:BA70)</f>
        <v/>
      </c>
    </row>
    <row r="71">
      <c r="A71" t="inlineStr">
        <is>
          <t>AMD-M1</t>
        </is>
      </c>
      <c r="B71" t="inlineStr">
        <is>
          <t>Forward Regular OSC</t>
        </is>
      </c>
      <c r="C71" s="5" t="n">
        <v>46093</v>
      </c>
      <c r="D71" s="6" t="n">
        <v>0</v>
      </c>
      <c r="E71" s="6" t="n">
        <v>0</v>
      </c>
      <c r="F71" s="6" t="n">
        <v>0</v>
      </c>
      <c r="G71" s="6" t="n">
        <v>0</v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0</v>
      </c>
      <c r="Z71" s="6" t="n">
        <v>0</v>
      </c>
      <c r="AA71" s="6" t="n">
        <v>0</v>
      </c>
      <c r="AB71" s="6">
        <f>SUM(D71:AA71)</f>
        <v/>
      </c>
      <c r="AC71" s="3" t="inlineStr"/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  <c r="AS71" s="7" t="n">
        <v>0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7" t="n">
        <v>0</v>
      </c>
      <c r="BB71" s="7">
        <f>SUM(AD71:BA71)</f>
        <v/>
      </c>
    </row>
    <row r="72">
      <c r="A72" t="inlineStr">
        <is>
          <t>AMD-M1</t>
        </is>
      </c>
      <c r="B72" t="inlineStr">
        <is>
          <t>Forward Regular OSC</t>
        </is>
      </c>
      <c r="C72" s="5" t="n">
        <v>46094</v>
      </c>
      <c r="D72" s="6" t="n">
        <v>0</v>
      </c>
      <c r="E72" s="6" t="n">
        <v>0</v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0</v>
      </c>
      <c r="K72" s="6" t="n">
        <v>0</v>
      </c>
      <c r="L72" s="6" t="n">
        <v>0</v>
      </c>
      <c r="M72" s="6" t="n">
        <v>0</v>
      </c>
      <c r="N72" s="6" t="n">
        <v>0</v>
      </c>
      <c r="O72" s="6" t="n">
        <v>0</v>
      </c>
      <c r="P72" s="6" t="n">
        <v>0</v>
      </c>
      <c r="Q72" s="6" t="n">
        <v>0</v>
      </c>
      <c r="R72" s="6" t="n">
        <v>0</v>
      </c>
      <c r="S72" s="6" t="n">
        <v>0</v>
      </c>
      <c r="T72" s="6" t="n">
        <v>0</v>
      </c>
      <c r="U72" s="6" t="n">
        <v>0</v>
      </c>
      <c r="V72" s="6" t="n">
        <v>0</v>
      </c>
      <c r="W72" s="6" t="n">
        <v>0</v>
      </c>
      <c r="X72" s="6" t="n">
        <v>0</v>
      </c>
      <c r="Y72" s="6" t="n">
        <v>0</v>
      </c>
      <c r="Z72" s="6" t="n">
        <v>0</v>
      </c>
      <c r="AA72" s="6" t="n">
        <v>0</v>
      </c>
      <c r="AB72" s="6">
        <f>SUM(D72:AA72)</f>
        <v/>
      </c>
      <c r="AC72" s="3" t="inlineStr"/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0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0</v>
      </c>
      <c r="AO72" s="7" t="n">
        <v>0</v>
      </c>
      <c r="AP72" s="7" t="n">
        <v>0</v>
      </c>
      <c r="AQ72" s="7" t="n">
        <v>0</v>
      </c>
      <c r="AR72" s="7" t="n">
        <v>0</v>
      </c>
      <c r="AS72" s="7" t="n">
        <v>0</v>
      </c>
      <c r="AT72" s="7" t="n">
        <v>0</v>
      </c>
      <c r="AU72" s="7" t="n">
        <v>0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0</v>
      </c>
      <c r="BA72" s="7" t="n">
        <v>0</v>
      </c>
      <c r="BB72" s="7">
        <f>SUM(AD72:BA72)</f>
        <v/>
      </c>
    </row>
    <row r="73">
      <c r="A73" t="inlineStr">
        <is>
          <t>AMD-M1</t>
        </is>
      </c>
      <c r="B73" t="inlineStr">
        <is>
          <t>Forward Regular OSC</t>
        </is>
      </c>
      <c r="C73" s="5" t="n">
        <v>46095</v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  <c r="S73" s="6" t="n">
        <v>0</v>
      </c>
      <c r="T73" s="6" t="n">
        <v>0</v>
      </c>
      <c r="U73" s="6" t="n">
        <v>0</v>
      </c>
      <c r="V73" s="6" t="n">
        <v>0</v>
      </c>
      <c r="W73" s="6" t="n">
        <v>0</v>
      </c>
      <c r="X73" s="6" t="n">
        <v>0</v>
      </c>
      <c r="Y73" s="6" t="n">
        <v>0</v>
      </c>
      <c r="Z73" s="6" t="n">
        <v>0</v>
      </c>
      <c r="AA73" s="6" t="n">
        <v>0</v>
      </c>
      <c r="AB73" s="6">
        <f>SUM(D73:AA73)</f>
        <v/>
      </c>
      <c r="AC73" s="3" t="inlineStr"/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7" t="n">
        <v>0</v>
      </c>
      <c r="BB73" s="7">
        <f>SUM(AD73:BA73)</f>
        <v/>
      </c>
    </row>
    <row r="74">
      <c r="A74" t="inlineStr">
        <is>
          <t>AMD-M1</t>
        </is>
      </c>
      <c r="B74" t="inlineStr">
        <is>
          <t>Forward Regular OSC</t>
        </is>
      </c>
      <c r="C74" s="5" t="n">
        <v>46096</v>
      </c>
      <c r="D74" s="6" t="n">
        <v>0</v>
      </c>
      <c r="E74" s="6" t="n">
        <v>0</v>
      </c>
      <c r="F74" s="6" t="n">
        <v>0</v>
      </c>
      <c r="G74" s="6" t="n">
        <v>0</v>
      </c>
      <c r="H74" s="6" t="n">
        <v>0</v>
      </c>
      <c r="I74" s="6" t="n">
        <v>0</v>
      </c>
      <c r="J74" s="6" t="n">
        <v>0</v>
      </c>
      <c r="K74" s="6" t="n">
        <v>0</v>
      </c>
      <c r="L74" s="6" t="n">
        <v>0</v>
      </c>
      <c r="M74" s="6" t="n">
        <v>0</v>
      </c>
      <c r="N74" s="6" t="n">
        <v>0</v>
      </c>
      <c r="O74" s="6" t="n">
        <v>0</v>
      </c>
      <c r="P74" s="6" t="n">
        <v>0</v>
      </c>
      <c r="Q74" s="6" t="n">
        <v>0</v>
      </c>
      <c r="R74" s="6" t="n">
        <v>0</v>
      </c>
      <c r="S74" s="6" t="n">
        <v>0</v>
      </c>
      <c r="T74" s="6" t="n">
        <v>0</v>
      </c>
      <c r="U74" s="6" t="n">
        <v>0</v>
      </c>
      <c r="V74" s="6" t="n">
        <v>0</v>
      </c>
      <c r="W74" s="6" t="n">
        <v>0</v>
      </c>
      <c r="X74" s="6" t="n">
        <v>0</v>
      </c>
      <c r="Y74" s="6" t="n">
        <v>0</v>
      </c>
      <c r="Z74" s="6" t="n">
        <v>0</v>
      </c>
      <c r="AA74" s="6" t="n">
        <v>0</v>
      </c>
      <c r="AB74" s="6">
        <f>SUM(D74:AA74)</f>
        <v/>
      </c>
      <c r="AC74" s="3" t="inlineStr"/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>
        <f>SUM(AD74:BA74)</f>
        <v/>
      </c>
    </row>
    <row r="75">
      <c r="A75" t="inlineStr">
        <is>
          <t>AMD-M1</t>
        </is>
      </c>
      <c r="B75" t="inlineStr">
        <is>
          <t>Forward Regular OSC</t>
        </is>
      </c>
      <c r="C75" s="5" t="n">
        <v>46097</v>
      </c>
      <c r="D75" s="6" t="n">
        <v>0</v>
      </c>
      <c r="E75" s="6" t="n">
        <v>0</v>
      </c>
      <c r="F75" s="6" t="n">
        <v>0</v>
      </c>
      <c r="G75" s="6" t="n">
        <v>0</v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  <c r="O75" s="6" t="n">
        <v>0</v>
      </c>
      <c r="P75" s="6" t="n">
        <v>0</v>
      </c>
      <c r="Q75" s="6" t="n">
        <v>0</v>
      </c>
      <c r="R75" s="6" t="n">
        <v>0</v>
      </c>
      <c r="S75" s="6" t="n">
        <v>0</v>
      </c>
      <c r="T75" s="6" t="n">
        <v>0</v>
      </c>
      <c r="U75" s="6" t="n">
        <v>0</v>
      </c>
      <c r="V75" s="6" t="n">
        <v>0</v>
      </c>
      <c r="W75" s="6" t="n">
        <v>0</v>
      </c>
      <c r="X75" s="6" t="n">
        <v>0</v>
      </c>
      <c r="Y75" s="6" t="n">
        <v>0</v>
      </c>
      <c r="Z75" s="6" t="n">
        <v>0</v>
      </c>
      <c r="AA75" s="6" t="n">
        <v>0</v>
      </c>
      <c r="AB75" s="6">
        <f>SUM(D75:AA75)</f>
        <v/>
      </c>
      <c r="AC75" s="3" t="inlineStr"/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7" t="n">
        <v>0</v>
      </c>
      <c r="AP75" s="7" t="n">
        <v>0</v>
      </c>
      <c r="AQ75" s="7" t="n">
        <v>0</v>
      </c>
      <c r="AR75" s="7" t="n">
        <v>0</v>
      </c>
      <c r="AS75" s="7" t="n">
        <v>0</v>
      </c>
      <c r="AT75" s="7" t="n">
        <v>0</v>
      </c>
      <c r="AU75" s="7" t="n">
        <v>0</v>
      </c>
      <c r="AV75" s="7" t="n">
        <v>0</v>
      </c>
      <c r="AW75" s="7" t="n">
        <v>0</v>
      </c>
      <c r="AX75" s="7" t="n">
        <v>0</v>
      </c>
      <c r="AY75" s="7" t="n">
        <v>0</v>
      </c>
      <c r="AZ75" s="7" t="n">
        <v>0</v>
      </c>
      <c r="BA75" s="7" t="n">
        <v>0</v>
      </c>
      <c r="BB75" s="7">
        <f>SUM(AD75:BA75)</f>
        <v/>
      </c>
    </row>
    <row r="76">
      <c r="A76" t="inlineStr">
        <is>
          <t>AMD-M2</t>
        </is>
      </c>
      <c r="B76" t="inlineStr">
        <is>
          <t>Forward Regular OSC</t>
        </is>
      </c>
      <c r="C76" s="5" t="n">
        <v>46089</v>
      </c>
      <c r="D76" s="6" t="n">
        <v>0</v>
      </c>
      <c r="E76" s="6" t="n">
        <v>0</v>
      </c>
      <c r="F76" s="6" t="n">
        <v>0</v>
      </c>
      <c r="G76" s="6" t="n">
        <v>0</v>
      </c>
      <c r="H76" s="6" t="n">
        <v>0</v>
      </c>
      <c r="I76" s="6" t="n">
        <v>0</v>
      </c>
      <c r="J76" s="6" t="n">
        <v>0</v>
      </c>
      <c r="K76" s="6" t="n">
        <v>0</v>
      </c>
      <c r="L76" s="6" t="n">
        <v>0</v>
      </c>
      <c r="M76" s="6" t="n">
        <v>0</v>
      </c>
      <c r="N76" s="6" t="n">
        <v>0</v>
      </c>
      <c r="O76" s="6" t="n">
        <v>0</v>
      </c>
      <c r="P76" s="6" t="n">
        <v>0</v>
      </c>
      <c r="Q76" s="6" t="n">
        <v>0</v>
      </c>
      <c r="R76" s="6" t="n">
        <v>0</v>
      </c>
      <c r="S76" s="6" t="n">
        <v>0</v>
      </c>
      <c r="T76" s="6" t="n">
        <v>0</v>
      </c>
      <c r="U76" s="6" t="n">
        <v>0</v>
      </c>
      <c r="V76" s="6" t="n">
        <v>0</v>
      </c>
      <c r="W76" s="6" t="n">
        <v>0</v>
      </c>
      <c r="X76" s="6" t="n">
        <v>0</v>
      </c>
      <c r="Y76" s="6" t="n">
        <v>0</v>
      </c>
      <c r="Z76" s="6" t="n">
        <v>0</v>
      </c>
      <c r="AA76" s="6" t="n">
        <v>0</v>
      </c>
      <c r="AB76" s="6">
        <f>SUM(D76:AA76)</f>
        <v/>
      </c>
      <c r="AC76" s="3" t="inlineStr"/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0</v>
      </c>
      <c r="AP76" s="7" t="n">
        <v>0</v>
      </c>
      <c r="AQ76" s="7" t="n">
        <v>0</v>
      </c>
      <c r="AR76" s="7" t="n">
        <v>0</v>
      </c>
      <c r="AS76" s="7" t="n">
        <v>0</v>
      </c>
      <c r="AT76" s="7" t="n">
        <v>0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0</v>
      </c>
      <c r="BA76" s="7" t="n">
        <v>0</v>
      </c>
      <c r="BB76" s="7">
        <f>SUM(AD76:BA76)</f>
        <v/>
      </c>
    </row>
    <row r="77">
      <c r="A77" t="inlineStr">
        <is>
          <t>AMD-M2</t>
        </is>
      </c>
      <c r="B77" t="inlineStr">
        <is>
          <t>Forward Regular OSC</t>
        </is>
      </c>
      <c r="C77" s="5" t="n">
        <v>46090</v>
      </c>
      <c r="D77" s="6" t="n">
        <v>0</v>
      </c>
      <c r="E77" s="6" t="n">
        <v>0</v>
      </c>
      <c r="F77" s="6" t="n">
        <v>0</v>
      </c>
      <c r="G77" s="6" t="n">
        <v>0</v>
      </c>
      <c r="H77" s="6" t="n">
        <v>0</v>
      </c>
      <c r="I77" s="6" t="n">
        <v>0</v>
      </c>
      <c r="J77" s="6" t="n">
        <v>0</v>
      </c>
      <c r="K77" s="6" t="n">
        <v>0</v>
      </c>
      <c r="L77" s="6" t="n">
        <v>0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</v>
      </c>
      <c r="R77" s="6" t="n">
        <v>0</v>
      </c>
      <c r="S77" s="6" t="n">
        <v>0</v>
      </c>
      <c r="T77" s="6" t="n">
        <v>0</v>
      </c>
      <c r="U77" s="6" t="n">
        <v>0</v>
      </c>
      <c r="V77" s="6" t="n">
        <v>0</v>
      </c>
      <c r="W77" s="6" t="n">
        <v>0</v>
      </c>
      <c r="X77" s="6" t="n">
        <v>0</v>
      </c>
      <c r="Y77" s="6" t="n">
        <v>0</v>
      </c>
      <c r="Z77" s="6" t="n">
        <v>0</v>
      </c>
      <c r="AA77" s="6" t="n">
        <v>0</v>
      </c>
      <c r="AB77" s="6">
        <f>SUM(D77:AA77)</f>
        <v/>
      </c>
      <c r="AC77" s="3" t="inlineStr"/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0</v>
      </c>
      <c r="AP77" s="7" t="n">
        <v>0</v>
      </c>
      <c r="AQ77" s="7" t="n">
        <v>0</v>
      </c>
      <c r="AR77" s="7" t="n">
        <v>0</v>
      </c>
      <c r="AS77" s="7" t="n">
        <v>0</v>
      </c>
      <c r="AT77" s="7" t="n">
        <v>0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0</v>
      </c>
      <c r="BA77" s="7" t="n">
        <v>0</v>
      </c>
      <c r="BB77" s="7">
        <f>SUM(AD77:BA77)</f>
        <v/>
      </c>
    </row>
    <row r="78">
      <c r="A78" t="inlineStr">
        <is>
          <t>AMD-M2</t>
        </is>
      </c>
      <c r="B78" t="inlineStr">
        <is>
          <t>Forward Regular OSC</t>
        </is>
      </c>
      <c r="C78" s="5" t="n">
        <v>46091</v>
      </c>
      <c r="D78" s="6" t="n">
        <v>0</v>
      </c>
      <c r="E78" s="6" t="n">
        <v>0</v>
      </c>
      <c r="F78" s="6" t="n">
        <v>0</v>
      </c>
      <c r="G78" s="6" t="n">
        <v>0</v>
      </c>
      <c r="H78" s="6" t="n">
        <v>0</v>
      </c>
      <c r="I78" s="6" t="n">
        <v>0</v>
      </c>
      <c r="J78" s="6" t="n">
        <v>0</v>
      </c>
      <c r="K78" s="6" t="n">
        <v>0</v>
      </c>
      <c r="L78" s="6" t="n">
        <v>0</v>
      </c>
      <c r="M78" s="6" t="n">
        <v>0</v>
      </c>
      <c r="N78" s="6" t="n">
        <v>0</v>
      </c>
      <c r="O78" s="6" t="n">
        <v>0</v>
      </c>
      <c r="P78" s="6" t="n">
        <v>0</v>
      </c>
      <c r="Q78" s="6" t="n">
        <v>0</v>
      </c>
      <c r="R78" s="6" t="n">
        <v>0</v>
      </c>
      <c r="S78" s="6" t="n">
        <v>0</v>
      </c>
      <c r="T78" s="6" t="n">
        <v>0</v>
      </c>
      <c r="U78" s="6" t="n">
        <v>0</v>
      </c>
      <c r="V78" s="6" t="n">
        <v>0</v>
      </c>
      <c r="W78" s="6" t="n">
        <v>0</v>
      </c>
      <c r="X78" s="6" t="n">
        <v>0</v>
      </c>
      <c r="Y78" s="6" t="n">
        <v>0</v>
      </c>
      <c r="Z78" s="6" t="n">
        <v>0</v>
      </c>
      <c r="AA78" s="6" t="n">
        <v>0</v>
      </c>
      <c r="AB78" s="6">
        <f>SUM(D78:AA78)</f>
        <v/>
      </c>
      <c r="AC78" s="3" t="inlineStr"/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0</v>
      </c>
      <c r="AP78" s="7" t="n">
        <v>0</v>
      </c>
      <c r="AQ78" s="7" t="n">
        <v>0</v>
      </c>
      <c r="AR78" s="7" t="n">
        <v>0</v>
      </c>
      <c r="AS78" s="7" t="n">
        <v>0</v>
      </c>
      <c r="AT78" s="7" t="n">
        <v>0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0</v>
      </c>
      <c r="BA78" s="7" t="n">
        <v>0</v>
      </c>
      <c r="BB78" s="7">
        <f>SUM(AD78:BA78)</f>
        <v/>
      </c>
    </row>
    <row r="79">
      <c r="A79" t="inlineStr">
        <is>
          <t>AMD-M2</t>
        </is>
      </c>
      <c r="B79" t="inlineStr">
        <is>
          <t>Forward Regular OSC</t>
        </is>
      </c>
      <c r="C79" s="5" t="n">
        <v>46092</v>
      </c>
      <c r="D79" s="6" t="n">
        <v>0</v>
      </c>
      <c r="E79" s="6" t="n">
        <v>0</v>
      </c>
      <c r="F79" s="6" t="n">
        <v>0</v>
      </c>
      <c r="G79" s="6" t="n">
        <v>0</v>
      </c>
      <c r="H79" s="6" t="n">
        <v>0</v>
      </c>
      <c r="I79" s="6" t="n">
        <v>0</v>
      </c>
      <c r="J79" s="6" t="n">
        <v>0</v>
      </c>
      <c r="K79" s="6" t="n">
        <v>0</v>
      </c>
      <c r="L79" s="6" t="n">
        <v>0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0</v>
      </c>
      <c r="T79" s="6" t="n">
        <v>0</v>
      </c>
      <c r="U79" s="6" t="n">
        <v>0</v>
      </c>
      <c r="V79" s="6" t="n">
        <v>0</v>
      </c>
      <c r="W79" s="6" t="n">
        <v>0</v>
      </c>
      <c r="X79" s="6" t="n">
        <v>0</v>
      </c>
      <c r="Y79" s="6" t="n">
        <v>0</v>
      </c>
      <c r="Z79" s="6" t="n">
        <v>0</v>
      </c>
      <c r="AA79" s="6" t="n">
        <v>0</v>
      </c>
      <c r="AB79" s="6">
        <f>SUM(D79:AA79)</f>
        <v/>
      </c>
      <c r="AC79" s="3" t="inlineStr"/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0</v>
      </c>
      <c r="AP79" s="7" t="n">
        <v>0</v>
      </c>
      <c r="AQ79" s="7" t="n">
        <v>0</v>
      </c>
      <c r="AR79" s="7" t="n">
        <v>0</v>
      </c>
      <c r="AS79" s="7" t="n">
        <v>0</v>
      </c>
      <c r="AT79" s="7" t="n">
        <v>0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0</v>
      </c>
      <c r="BA79" s="7" t="n">
        <v>0</v>
      </c>
      <c r="BB79" s="7">
        <f>SUM(AD79:BA79)</f>
        <v/>
      </c>
    </row>
    <row r="80">
      <c r="A80" t="inlineStr">
        <is>
          <t>AMD-M2</t>
        </is>
      </c>
      <c r="B80" t="inlineStr">
        <is>
          <t>Forward Regular OSC</t>
        </is>
      </c>
      <c r="C80" s="5" t="n">
        <v>46093</v>
      </c>
      <c r="D80" s="6" t="n">
        <v>0</v>
      </c>
      <c r="E80" s="6" t="n">
        <v>0</v>
      </c>
      <c r="F80" s="6" t="n">
        <v>0</v>
      </c>
      <c r="G80" s="6" t="n">
        <v>0</v>
      </c>
      <c r="H80" s="6" t="n">
        <v>0</v>
      </c>
      <c r="I80" s="6" t="n">
        <v>0</v>
      </c>
      <c r="J80" s="6" t="n">
        <v>0</v>
      </c>
      <c r="K80" s="6" t="n">
        <v>0</v>
      </c>
      <c r="L80" s="6" t="n">
        <v>0</v>
      </c>
      <c r="M80" s="6" t="n">
        <v>0</v>
      </c>
      <c r="N80" s="6" t="n">
        <v>0</v>
      </c>
      <c r="O80" s="6" t="n">
        <v>0</v>
      </c>
      <c r="P80" s="6" t="n">
        <v>0</v>
      </c>
      <c r="Q80" s="6" t="n">
        <v>0</v>
      </c>
      <c r="R80" s="6" t="n">
        <v>0</v>
      </c>
      <c r="S80" s="6" t="n">
        <v>0</v>
      </c>
      <c r="T80" s="6" t="n">
        <v>0</v>
      </c>
      <c r="U80" s="6" t="n">
        <v>0</v>
      </c>
      <c r="V80" s="6" t="n">
        <v>0</v>
      </c>
      <c r="W80" s="6" t="n">
        <v>0</v>
      </c>
      <c r="X80" s="6" t="n">
        <v>0</v>
      </c>
      <c r="Y80" s="6" t="n">
        <v>0</v>
      </c>
      <c r="Z80" s="6" t="n">
        <v>0</v>
      </c>
      <c r="AA80" s="6" t="n">
        <v>0</v>
      </c>
      <c r="AB80" s="6">
        <f>SUM(D80:AA80)</f>
        <v/>
      </c>
      <c r="AC80" s="3" t="inlineStr"/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0</v>
      </c>
      <c r="AP80" s="7" t="n">
        <v>0</v>
      </c>
      <c r="AQ80" s="7" t="n">
        <v>0</v>
      </c>
      <c r="AR80" s="7" t="n">
        <v>0</v>
      </c>
      <c r="AS80" s="7" t="n">
        <v>0</v>
      </c>
      <c r="AT80" s="7" t="n">
        <v>0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0</v>
      </c>
      <c r="BA80" s="7" t="n">
        <v>0</v>
      </c>
      <c r="BB80" s="7">
        <f>SUM(AD80:BA80)</f>
        <v/>
      </c>
    </row>
    <row r="81">
      <c r="A81" t="inlineStr">
        <is>
          <t>AMD-M2</t>
        </is>
      </c>
      <c r="B81" t="inlineStr">
        <is>
          <t>Forward Regular OSC</t>
        </is>
      </c>
      <c r="C81" s="5" t="n">
        <v>46094</v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  <c r="R81" s="6" t="n">
        <v>0</v>
      </c>
      <c r="S81" s="6" t="n">
        <v>0</v>
      </c>
      <c r="T81" s="6" t="n">
        <v>0</v>
      </c>
      <c r="U81" s="6" t="n">
        <v>0</v>
      </c>
      <c r="V81" s="6" t="n">
        <v>0</v>
      </c>
      <c r="W81" s="6" t="n">
        <v>0</v>
      </c>
      <c r="X81" s="6" t="n">
        <v>0</v>
      </c>
      <c r="Y81" s="6" t="n">
        <v>0</v>
      </c>
      <c r="Z81" s="6" t="n">
        <v>0</v>
      </c>
      <c r="AA81" s="6" t="n">
        <v>0</v>
      </c>
      <c r="AB81" s="6">
        <f>SUM(D81:AA81)</f>
        <v/>
      </c>
      <c r="AC81" s="3" t="inlineStr"/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0</v>
      </c>
      <c r="AP81" s="7" t="n">
        <v>0</v>
      </c>
      <c r="AQ81" s="7" t="n">
        <v>0</v>
      </c>
      <c r="AR81" s="7" t="n">
        <v>0</v>
      </c>
      <c r="AS81" s="7" t="n">
        <v>0</v>
      </c>
      <c r="AT81" s="7" t="n">
        <v>0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0</v>
      </c>
      <c r="BA81" s="7" t="n">
        <v>0</v>
      </c>
      <c r="BB81" s="7">
        <f>SUM(AD81:BA81)</f>
        <v/>
      </c>
    </row>
    <row r="82">
      <c r="A82" t="inlineStr">
        <is>
          <t>AMD-M2</t>
        </is>
      </c>
      <c r="B82" t="inlineStr">
        <is>
          <t>Forward Regular OSC</t>
        </is>
      </c>
      <c r="C82" s="5" t="n">
        <v>46095</v>
      </c>
      <c r="D82" s="6" t="n">
        <v>0</v>
      </c>
      <c r="E82" s="6" t="n">
        <v>0</v>
      </c>
      <c r="F82" s="6" t="n">
        <v>0</v>
      </c>
      <c r="G82" s="6" t="n">
        <v>0</v>
      </c>
      <c r="H82" s="6" t="n">
        <v>0</v>
      </c>
      <c r="I82" s="6" t="n">
        <v>0</v>
      </c>
      <c r="J82" s="6" t="n">
        <v>0</v>
      </c>
      <c r="K82" s="6" t="n">
        <v>0</v>
      </c>
      <c r="L82" s="6" t="n">
        <v>0</v>
      </c>
      <c r="M82" s="6" t="n">
        <v>0</v>
      </c>
      <c r="N82" s="6" t="n">
        <v>0</v>
      </c>
      <c r="O82" s="6" t="n">
        <v>0</v>
      </c>
      <c r="P82" s="6" t="n">
        <v>0</v>
      </c>
      <c r="Q82" s="6" t="n">
        <v>0</v>
      </c>
      <c r="R82" s="6" t="n">
        <v>0</v>
      </c>
      <c r="S82" s="6" t="n">
        <v>0</v>
      </c>
      <c r="T82" s="6" t="n">
        <v>0</v>
      </c>
      <c r="U82" s="6" t="n">
        <v>0</v>
      </c>
      <c r="V82" s="6" t="n">
        <v>0</v>
      </c>
      <c r="W82" s="6" t="n">
        <v>0</v>
      </c>
      <c r="X82" s="6" t="n">
        <v>0</v>
      </c>
      <c r="Y82" s="6" t="n">
        <v>0</v>
      </c>
      <c r="Z82" s="6" t="n">
        <v>0</v>
      </c>
      <c r="AA82" s="6" t="n">
        <v>0</v>
      </c>
      <c r="AB82" s="6">
        <f>SUM(D82:AA82)</f>
        <v/>
      </c>
      <c r="AC82" s="3" t="inlineStr"/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0</v>
      </c>
      <c r="AP82" s="7" t="n">
        <v>0</v>
      </c>
      <c r="AQ82" s="7" t="n">
        <v>0</v>
      </c>
      <c r="AR82" s="7" t="n">
        <v>0</v>
      </c>
      <c r="AS82" s="7" t="n">
        <v>0</v>
      </c>
      <c r="AT82" s="7" t="n">
        <v>0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7" t="n">
        <v>0</v>
      </c>
      <c r="BB82" s="7">
        <f>SUM(AD82:BA82)</f>
        <v/>
      </c>
    </row>
    <row r="83">
      <c r="A83" t="inlineStr">
        <is>
          <t>AMD-M2</t>
        </is>
      </c>
      <c r="B83" t="inlineStr">
        <is>
          <t>Forward Regular OSC</t>
        </is>
      </c>
      <c r="C83" s="5" t="n">
        <v>46096</v>
      </c>
      <c r="D83" s="6" t="n">
        <v>0</v>
      </c>
      <c r="E83" s="6" t="n">
        <v>0</v>
      </c>
      <c r="F83" s="6" t="n">
        <v>0</v>
      </c>
      <c r="G83" s="6" t="n">
        <v>0</v>
      </c>
      <c r="H83" s="6" t="n">
        <v>0</v>
      </c>
      <c r="I83" s="6" t="n">
        <v>0</v>
      </c>
      <c r="J83" s="6" t="n">
        <v>0</v>
      </c>
      <c r="K83" s="6" t="n">
        <v>0</v>
      </c>
      <c r="L83" s="6" t="n">
        <v>0</v>
      </c>
      <c r="M83" s="6" t="n">
        <v>0</v>
      </c>
      <c r="N83" s="6" t="n">
        <v>0</v>
      </c>
      <c r="O83" s="6" t="n">
        <v>0</v>
      </c>
      <c r="P83" s="6" t="n">
        <v>0</v>
      </c>
      <c r="Q83" s="6" t="n">
        <v>0</v>
      </c>
      <c r="R83" s="6" t="n">
        <v>0</v>
      </c>
      <c r="S83" s="6" t="n">
        <v>0</v>
      </c>
      <c r="T83" s="6" t="n">
        <v>0</v>
      </c>
      <c r="U83" s="6" t="n">
        <v>0</v>
      </c>
      <c r="V83" s="6" t="n">
        <v>0</v>
      </c>
      <c r="W83" s="6" t="n">
        <v>0</v>
      </c>
      <c r="X83" s="6" t="n">
        <v>0</v>
      </c>
      <c r="Y83" s="6" t="n">
        <v>0</v>
      </c>
      <c r="Z83" s="6" t="n">
        <v>0</v>
      </c>
      <c r="AA83" s="6" t="n">
        <v>0</v>
      </c>
      <c r="AB83" s="6">
        <f>SUM(D83:AA83)</f>
        <v/>
      </c>
      <c r="AC83" s="3" t="inlineStr"/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0</v>
      </c>
      <c r="AP83" s="7" t="n">
        <v>0</v>
      </c>
      <c r="AQ83" s="7" t="n">
        <v>0</v>
      </c>
      <c r="AR83" s="7" t="n">
        <v>0</v>
      </c>
      <c r="AS83" s="7" t="n">
        <v>0</v>
      </c>
      <c r="AT83" s="7" t="n">
        <v>0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0</v>
      </c>
      <c r="BA83" s="7" t="n">
        <v>0</v>
      </c>
      <c r="BB83" s="7">
        <f>SUM(AD83:BA83)</f>
        <v/>
      </c>
    </row>
    <row r="84">
      <c r="A84" t="inlineStr">
        <is>
          <t>AMD-M2</t>
        </is>
      </c>
      <c r="B84" t="inlineStr">
        <is>
          <t>Forward Regular OSC</t>
        </is>
      </c>
      <c r="C84" s="5" t="n">
        <v>46097</v>
      </c>
      <c r="D84" s="6" t="n">
        <v>0</v>
      </c>
      <c r="E84" s="6" t="n">
        <v>0</v>
      </c>
      <c r="F84" s="6" t="n">
        <v>0</v>
      </c>
      <c r="G84" s="6" t="n">
        <v>0</v>
      </c>
      <c r="H84" s="6" t="n">
        <v>0</v>
      </c>
      <c r="I84" s="6" t="n">
        <v>0</v>
      </c>
      <c r="J84" s="6" t="n">
        <v>0</v>
      </c>
      <c r="K84" s="6" t="n">
        <v>0</v>
      </c>
      <c r="L84" s="6" t="n">
        <v>0</v>
      </c>
      <c r="M84" s="6" t="n">
        <v>0</v>
      </c>
      <c r="N84" s="6" t="n">
        <v>0</v>
      </c>
      <c r="O84" s="6" t="n">
        <v>0</v>
      </c>
      <c r="P84" s="6" t="n">
        <v>0</v>
      </c>
      <c r="Q84" s="6" t="n">
        <v>0</v>
      </c>
      <c r="R84" s="6" t="n">
        <v>0</v>
      </c>
      <c r="S84" s="6" t="n">
        <v>0</v>
      </c>
      <c r="T84" s="6" t="n">
        <v>0</v>
      </c>
      <c r="U84" s="6" t="n">
        <v>0</v>
      </c>
      <c r="V84" s="6" t="n">
        <v>0</v>
      </c>
      <c r="W84" s="6" t="n">
        <v>0</v>
      </c>
      <c r="X84" s="6" t="n">
        <v>0</v>
      </c>
      <c r="Y84" s="6" t="n">
        <v>0</v>
      </c>
      <c r="Z84" s="6" t="n">
        <v>0</v>
      </c>
      <c r="AA84" s="6" t="n">
        <v>0</v>
      </c>
      <c r="AB84" s="6">
        <f>SUM(D84:AA84)</f>
        <v/>
      </c>
      <c r="AC84" s="3" t="inlineStr"/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0</v>
      </c>
      <c r="AP84" s="7" t="n">
        <v>0</v>
      </c>
      <c r="AQ84" s="7" t="n">
        <v>0</v>
      </c>
      <c r="AR84" s="7" t="n">
        <v>0</v>
      </c>
      <c r="AS84" s="7" t="n">
        <v>0</v>
      </c>
      <c r="AT84" s="7" t="n">
        <v>0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0</v>
      </c>
      <c r="BA84" s="7" t="n">
        <v>0</v>
      </c>
      <c r="BB84" s="7">
        <f>SUM(AD84:BA84)</f>
        <v/>
      </c>
    </row>
    <row r="85">
      <c r="A85" t="inlineStr">
        <is>
          <t>AMD-MU-01</t>
        </is>
      </c>
      <c r="B85" t="inlineStr">
        <is>
          <t>Forward Regular OSC</t>
        </is>
      </c>
      <c r="C85" s="5" t="n">
        <v>46091</v>
      </c>
      <c r="D85" s="6" t="n">
        <v>0</v>
      </c>
      <c r="E85" s="6" t="n">
        <v>0</v>
      </c>
      <c r="F85" s="6" t="n">
        <v>0</v>
      </c>
      <c r="G85" s="6" t="n">
        <v>0</v>
      </c>
      <c r="H85" s="6" t="n">
        <v>0</v>
      </c>
      <c r="I85" s="6" t="n">
        <v>0</v>
      </c>
      <c r="J85" s="6" t="n">
        <v>0</v>
      </c>
      <c r="K85" s="6" t="n">
        <v>0</v>
      </c>
      <c r="L85" s="6" t="n">
        <v>0</v>
      </c>
      <c r="M85" s="6" t="n">
        <v>0</v>
      </c>
      <c r="N85" s="6" t="n">
        <v>0</v>
      </c>
      <c r="O85" s="6" t="n">
        <v>0</v>
      </c>
      <c r="P85" s="6" t="n">
        <v>0</v>
      </c>
      <c r="Q85" s="6" t="n">
        <v>0</v>
      </c>
      <c r="R85" s="6" t="n">
        <v>0</v>
      </c>
      <c r="S85" s="6" t="n">
        <v>0</v>
      </c>
      <c r="T85" s="6" t="n">
        <v>0</v>
      </c>
      <c r="U85" s="6" t="n">
        <v>0</v>
      </c>
      <c r="V85" s="6" t="n">
        <v>0</v>
      </c>
      <c r="W85" s="6" t="n">
        <v>0</v>
      </c>
      <c r="X85" s="6" t="n">
        <v>0</v>
      </c>
      <c r="Y85" s="6" t="n">
        <v>0</v>
      </c>
      <c r="Z85" s="6" t="n">
        <v>0</v>
      </c>
      <c r="AA85" s="6" t="n">
        <v>0</v>
      </c>
      <c r="AB85" s="6">
        <f>SUM(D85:AA85)</f>
        <v/>
      </c>
      <c r="AC85" s="3" t="inlineStr"/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0</v>
      </c>
      <c r="AP85" s="7" t="n">
        <v>0</v>
      </c>
      <c r="AQ85" s="7" t="n">
        <v>0</v>
      </c>
      <c r="AR85" s="7" t="n">
        <v>0</v>
      </c>
      <c r="AS85" s="7" t="n">
        <v>0</v>
      </c>
      <c r="AT85" s="7" t="n">
        <v>0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0</v>
      </c>
      <c r="BA85" s="7" t="n">
        <v>0</v>
      </c>
      <c r="BB85" s="7">
        <f>SUM(AD85:BA85)</f>
        <v/>
      </c>
    </row>
    <row r="86">
      <c r="A86" t="inlineStr">
        <is>
          <t>AMD-RTS-RCLS-1302-SSC</t>
        </is>
      </c>
      <c r="B86" t="inlineStr">
        <is>
          <t>Rev OSC</t>
        </is>
      </c>
      <c r="C86" s="5" t="n">
        <v>46089</v>
      </c>
      <c r="D86" s="6">
        <f>Summary!D86</f>
        <v/>
      </c>
      <c r="E86" s="6">
        <f>Summary!E86</f>
        <v/>
      </c>
      <c r="F86" s="6">
        <f>Summary!F86</f>
        <v/>
      </c>
      <c r="G86" s="6">
        <f>Summary!G86</f>
        <v/>
      </c>
      <c r="H86" s="6">
        <f>Summary!H86</f>
        <v/>
      </c>
      <c r="I86" s="6">
        <f>Summary!I86</f>
        <v/>
      </c>
      <c r="J86" s="6">
        <f>Summary!J86</f>
        <v/>
      </c>
      <c r="K86" s="6">
        <f>Summary!K86</f>
        <v/>
      </c>
      <c r="L86" s="6">
        <f>Summary!L86</f>
        <v/>
      </c>
      <c r="M86" s="6">
        <f>Summary!M86</f>
        <v/>
      </c>
      <c r="N86" s="6">
        <f>Summary!N86</f>
        <v/>
      </c>
      <c r="O86" s="6">
        <f>Summary!O86</f>
        <v/>
      </c>
      <c r="P86" s="6">
        <f>Summary!P86</f>
        <v/>
      </c>
      <c r="Q86" s="6">
        <f>Summary!Q86</f>
        <v/>
      </c>
      <c r="R86" s="6">
        <f>Summary!R86</f>
        <v/>
      </c>
      <c r="S86" s="6">
        <f>Summary!S86</f>
        <v/>
      </c>
      <c r="T86" s="6">
        <f>Summary!T86</f>
        <v/>
      </c>
      <c r="U86" s="6">
        <f>Summary!U86</f>
        <v/>
      </c>
      <c r="V86" s="6">
        <f>Summary!V86</f>
        <v/>
      </c>
      <c r="W86" s="6">
        <f>Summary!W86</f>
        <v/>
      </c>
      <c r="X86" s="6">
        <f>Summary!X86</f>
        <v/>
      </c>
      <c r="Y86" s="6">
        <f>Summary!Y86</f>
        <v/>
      </c>
      <c r="Z86" s="6">
        <f>Summary!Z86</f>
        <v/>
      </c>
      <c r="AA86" s="6">
        <f>Summary!AA86</f>
        <v/>
      </c>
      <c r="AB86" s="6">
        <f>SUM(D86:AA86)</f>
        <v/>
      </c>
      <c r="AC86" s="3" t="inlineStr"/>
      <c r="AD86" s="7">
        <f>E86*0.00136677+D86*0.00136677</f>
        <v/>
      </c>
      <c r="AE86" s="7">
        <f>F86*0.00136677+E86*0.00136677</f>
        <v/>
      </c>
      <c r="AF86" s="7">
        <f>G86*0.00136677+F86*0.00136677</f>
        <v/>
      </c>
      <c r="AG86" s="7">
        <f>H86*0.00136677+G86*0.00136677</f>
        <v/>
      </c>
      <c r="AH86" s="7">
        <f>I86*0.00136677+H86*0.00136677</f>
        <v/>
      </c>
      <c r="AI86" s="7">
        <f>J86*0.00136677+I86*0.00136677</f>
        <v/>
      </c>
      <c r="AJ86" s="7">
        <f>K86*0.00136677+J86*0.00136677</f>
        <v/>
      </c>
      <c r="AK86" s="7">
        <f>L86*0.00136677+K86*0.00136677</f>
        <v/>
      </c>
      <c r="AL86" s="7">
        <f>M86*0.00136677+L86*0.00136677</f>
        <v/>
      </c>
      <c r="AM86" s="7">
        <f>N86*0.00136677+M86*0.00136677</f>
        <v/>
      </c>
      <c r="AN86" s="7">
        <f>O86*0.00136677+N86*0.00136677</f>
        <v/>
      </c>
      <c r="AO86" s="7">
        <f>P86*0.00136677+O86*0.00136677</f>
        <v/>
      </c>
      <c r="AP86" s="7">
        <f>Q86*0.00136677+P86*0.00136677</f>
        <v/>
      </c>
      <c r="AQ86" s="7">
        <f>R86*0.00136677+Q86*0.00136677</f>
        <v/>
      </c>
      <c r="AR86" s="7">
        <f>S86*0.00136677+R86*0.00136677</f>
        <v/>
      </c>
      <c r="AS86" s="7">
        <f>T86*0.00136677+S86*0.00136677</f>
        <v/>
      </c>
      <c r="AT86" s="7">
        <f>U86*0.00136677+T86*0.00136677</f>
        <v/>
      </c>
      <c r="AU86" s="7">
        <f>V86*0.00136677+U86*0.00136677</f>
        <v/>
      </c>
      <c r="AV86" s="7">
        <f>W86*0.00136677+V86*0.00136677</f>
        <v/>
      </c>
      <c r="AW86" s="7">
        <f>X86*0.00136677+W86*0.00136677</f>
        <v/>
      </c>
      <c r="AX86" s="7">
        <f>Y86*0.00136677+X86*0.00136677</f>
        <v/>
      </c>
      <c r="AY86" s="7">
        <f>Z86*0.00136677+Y86*0.00136677</f>
        <v/>
      </c>
      <c r="AZ86" s="7">
        <f>AA86*0.00136677+Z86*0.00136677</f>
        <v/>
      </c>
      <c r="BA86" s="7">
        <f>D86*0.00136677+AA86*0.00136677</f>
        <v/>
      </c>
      <c r="BB86" s="7">
        <f>SUM(AD86:BA86)</f>
        <v/>
      </c>
    </row>
    <row r="87">
      <c r="A87" t="inlineStr">
        <is>
          <t>AMD-RTS-RCLS-1302-SSC</t>
        </is>
      </c>
      <c r="B87" t="inlineStr">
        <is>
          <t>Rev OSC</t>
        </is>
      </c>
      <c r="C87" s="5" t="n">
        <v>46090</v>
      </c>
      <c r="D87" s="6">
        <f>Summary!D87</f>
        <v/>
      </c>
      <c r="E87" s="6">
        <f>Summary!E87</f>
        <v/>
      </c>
      <c r="F87" s="6">
        <f>Summary!F87</f>
        <v/>
      </c>
      <c r="G87" s="6">
        <f>Summary!G87</f>
        <v/>
      </c>
      <c r="H87" s="6">
        <f>Summary!H87</f>
        <v/>
      </c>
      <c r="I87" s="6">
        <f>Summary!I87</f>
        <v/>
      </c>
      <c r="J87" s="6">
        <f>Summary!J87</f>
        <v/>
      </c>
      <c r="K87" s="6">
        <f>Summary!K87</f>
        <v/>
      </c>
      <c r="L87" s="6">
        <f>Summary!L87</f>
        <v/>
      </c>
      <c r="M87" s="6">
        <f>Summary!M87</f>
        <v/>
      </c>
      <c r="N87" s="6">
        <f>Summary!N87</f>
        <v/>
      </c>
      <c r="O87" s="6">
        <f>Summary!O87</f>
        <v/>
      </c>
      <c r="P87" s="6">
        <f>Summary!P87</f>
        <v/>
      </c>
      <c r="Q87" s="6">
        <f>Summary!Q87</f>
        <v/>
      </c>
      <c r="R87" s="6">
        <f>Summary!R87</f>
        <v/>
      </c>
      <c r="S87" s="6">
        <f>Summary!S87</f>
        <v/>
      </c>
      <c r="T87" s="6">
        <f>Summary!T87</f>
        <v/>
      </c>
      <c r="U87" s="6">
        <f>Summary!U87</f>
        <v/>
      </c>
      <c r="V87" s="6">
        <f>Summary!V87</f>
        <v/>
      </c>
      <c r="W87" s="6">
        <f>Summary!W87</f>
        <v/>
      </c>
      <c r="X87" s="6">
        <f>Summary!X87</f>
        <v/>
      </c>
      <c r="Y87" s="6">
        <f>Summary!Y87</f>
        <v/>
      </c>
      <c r="Z87" s="6">
        <f>Summary!Z87</f>
        <v/>
      </c>
      <c r="AA87" s="6">
        <f>Summary!AA87</f>
        <v/>
      </c>
      <c r="AB87" s="6">
        <f>SUM(D87:AA87)</f>
        <v/>
      </c>
      <c r="AC87" s="3" t="inlineStr"/>
      <c r="AD87" s="7">
        <f>E87*0.00136677+D87*0.00136677</f>
        <v/>
      </c>
      <c r="AE87" s="7">
        <f>F87*0.00136677+E87*0.00136677</f>
        <v/>
      </c>
      <c r="AF87" s="7">
        <f>G87*0.00136677+F87*0.00136677</f>
        <v/>
      </c>
      <c r="AG87" s="7">
        <f>H87*0.00136677+G87*0.00136677</f>
        <v/>
      </c>
      <c r="AH87" s="7">
        <f>I87*0.00136677+H87*0.00136677</f>
        <v/>
      </c>
      <c r="AI87" s="7">
        <f>J87*0.00136677+I87*0.00136677</f>
        <v/>
      </c>
      <c r="AJ87" s="7">
        <f>K87*0.00136677+J87*0.00136677</f>
        <v/>
      </c>
      <c r="AK87" s="7">
        <f>L87*0.00136677+K87*0.00136677</f>
        <v/>
      </c>
      <c r="AL87" s="7">
        <f>M87*0.00136677+L87*0.00136677</f>
        <v/>
      </c>
      <c r="AM87" s="7">
        <f>N87*0.00136677+M87*0.00136677</f>
        <v/>
      </c>
      <c r="AN87" s="7">
        <f>O87*0.00136677+N87*0.00136677</f>
        <v/>
      </c>
      <c r="AO87" s="7">
        <f>P87*0.00136677+O87*0.00136677</f>
        <v/>
      </c>
      <c r="AP87" s="7">
        <f>Q87*0.00136677+P87*0.00136677</f>
        <v/>
      </c>
      <c r="AQ87" s="7">
        <f>R87*0.00136677+Q87*0.00136677</f>
        <v/>
      </c>
      <c r="AR87" s="7">
        <f>S87*0.00136677+R87*0.00136677</f>
        <v/>
      </c>
      <c r="AS87" s="7">
        <f>T87*0.00136677+S87*0.00136677</f>
        <v/>
      </c>
      <c r="AT87" s="7">
        <f>U87*0.00136677+T87*0.00136677</f>
        <v/>
      </c>
      <c r="AU87" s="7">
        <f>V87*0.00136677+U87*0.00136677</f>
        <v/>
      </c>
      <c r="AV87" s="7">
        <f>W87*0.00136677+V87*0.00136677</f>
        <v/>
      </c>
      <c r="AW87" s="7">
        <f>X87*0.00136677+W87*0.00136677</f>
        <v/>
      </c>
      <c r="AX87" s="7">
        <f>Y87*0.00136677+X87*0.00136677</f>
        <v/>
      </c>
      <c r="AY87" s="7">
        <f>Z87*0.00136677+Y87*0.00136677</f>
        <v/>
      </c>
      <c r="AZ87" s="7">
        <f>AA87*0.00136677+Z87*0.00136677</f>
        <v/>
      </c>
      <c r="BA87" s="7">
        <f>D87*0.00136677+AA87*0.00136677</f>
        <v/>
      </c>
      <c r="BB87" s="7">
        <f>SUM(AD87:BA87)</f>
        <v/>
      </c>
    </row>
    <row r="88">
      <c r="A88" t="inlineStr">
        <is>
          <t>AMD-RTS-RCLS-1302-SSC</t>
        </is>
      </c>
      <c r="B88" t="inlineStr">
        <is>
          <t>Rev OSC</t>
        </is>
      </c>
      <c r="C88" s="5" t="n">
        <v>46092</v>
      </c>
      <c r="D88" s="6">
        <f>Summary!D88</f>
        <v/>
      </c>
      <c r="E88" s="6">
        <f>Summary!E88</f>
        <v/>
      </c>
      <c r="F88" s="6">
        <f>Summary!F88</f>
        <v/>
      </c>
      <c r="G88" s="6">
        <f>Summary!G88</f>
        <v/>
      </c>
      <c r="H88" s="6">
        <f>Summary!H88</f>
        <v/>
      </c>
      <c r="I88" s="6">
        <f>Summary!I88</f>
        <v/>
      </c>
      <c r="J88" s="6">
        <f>Summary!J88</f>
        <v/>
      </c>
      <c r="K88" s="6">
        <f>Summary!K88</f>
        <v/>
      </c>
      <c r="L88" s="6">
        <f>Summary!L88</f>
        <v/>
      </c>
      <c r="M88" s="6">
        <f>Summary!M88</f>
        <v/>
      </c>
      <c r="N88" s="6">
        <f>Summary!N88</f>
        <v/>
      </c>
      <c r="O88" s="6">
        <f>Summary!O88</f>
        <v/>
      </c>
      <c r="P88" s="6">
        <f>Summary!P88</f>
        <v/>
      </c>
      <c r="Q88" s="6">
        <f>Summary!Q88</f>
        <v/>
      </c>
      <c r="R88" s="6">
        <f>Summary!R88</f>
        <v/>
      </c>
      <c r="S88" s="6">
        <f>Summary!S88</f>
        <v/>
      </c>
      <c r="T88" s="6">
        <f>Summary!T88</f>
        <v/>
      </c>
      <c r="U88" s="6">
        <f>Summary!U88</f>
        <v/>
      </c>
      <c r="V88" s="6">
        <f>Summary!V88</f>
        <v/>
      </c>
      <c r="W88" s="6">
        <f>Summary!W88</f>
        <v/>
      </c>
      <c r="X88" s="6">
        <f>Summary!X88</f>
        <v/>
      </c>
      <c r="Y88" s="6">
        <f>Summary!Y88</f>
        <v/>
      </c>
      <c r="Z88" s="6">
        <f>Summary!Z88</f>
        <v/>
      </c>
      <c r="AA88" s="6">
        <f>Summary!AA88</f>
        <v/>
      </c>
      <c r="AB88" s="6">
        <f>SUM(D88:AA88)</f>
        <v/>
      </c>
      <c r="AC88" s="3" t="inlineStr"/>
      <c r="AD88" s="7">
        <f>E88*0.00136677+D88*0.00136677</f>
        <v/>
      </c>
      <c r="AE88" s="7">
        <f>F88*0.00136677+E88*0.00136677</f>
        <v/>
      </c>
      <c r="AF88" s="7">
        <f>G88*0.00136677+F88*0.00136677</f>
        <v/>
      </c>
      <c r="AG88" s="7">
        <f>H88*0.00136677+G88*0.00136677</f>
        <v/>
      </c>
      <c r="AH88" s="7">
        <f>I88*0.00136677+H88*0.00136677</f>
        <v/>
      </c>
      <c r="AI88" s="7">
        <f>J88*0.00136677+I88*0.00136677</f>
        <v/>
      </c>
      <c r="AJ88" s="7">
        <f>K88*0.00136677+J88*0.00136677</f>
        <v/>
      </c>
      <c r="AK88" s="7">
        <f>L88*0.00136677+K88*0.00136677</f>
        <v/>
      </c>
      <c r="AL88" s="7">
        <f>M88*0.00136677+L88*0.00136677</f>
        <v/>
      </c>
      <c r="AM88" s="7">
        <f>N88*0.00136677+M88*0.00136677</f>
        <v/>
      </c>
      <c r="AN88" s="7">
        <f>O88*0.00136677+N88*0.00136677</f>
        <v/>
      </c>
      <c r="AO88" s="7">
        <f>P88*0.00136677+O88*0.00136677</f>
        <v/>
      </c>
      <c r="AP88" s="7">
        <f>Q88*0.00136677+P88*0.00136677</f>
        <v/>
      </c>
      <c r="AQ88" s="7">
        <f>R88*0.00136677+Q88*0.00136677</f>
        <v/>
      </c>
      <c r="AR88" s="7">
        <f>S88*0.00136677+R88*0.00136677</f>
        <v/>
      </c>
      <c r="AS88" s="7">
        <f>T88*0.00136677+S88*0.00136677</f>
        <v/>
      </c>
      <c r="AT88" s="7">
        <f>U88*0.00136677+T88*0.00136677</f>
        <v/>
      </c>
      <c r="AU88" s="7">
        <f>V88*0.00136677+U88*0.00136677</f>
        <v/>
      </c>
      <c r="AV88" s="7">
        <f>W88*0.00136677+V88*0.00136677</f>
        <v/>
      </c>
      <c r="AW88" s="7">
        <f>X88*0.00136677+W88*0.00136677</f>
        <v/>
      </c>
      <c r="AX88" s="7">
        <f>Y88*0.00136677+X88*0.00136677</f>
        <v/>
      </c>
      <c r="AY88" s="7">
        <f>Z88*0.00136677+Y88*0.00136677</f>
        <v/>
      </c>
      <c r="AZ88" s="7">
        <f>AA88*0.00136677+Z88*0.00136677</f>
        <v/>
      </c>
      <c r="BA88" s="7">
        <f>D88*0.00136677+AA88*0.00136677</f>
        <v/>
      </c>
      <c r="BB88" s="7">
        <f>SUM(AD88:BA88)</f>
        <v/>
      </c>
    </row>
    <row r="89">
      <c r="A89" t="inlineStr">
        <is>
          <t>AMD-RTS-RCLS-1302-SSC</t>
        </is>
      </c>
      <c r="B89" t="inlineStr">
        <is>
          <t>Rev OSC</t>
        </is>
      </c>
      <c r="C89" s="5" t="n">
        <v>46093</v>
      </c>
      <c r="D89" s="6">
        <f>Summary!D89</f>
        <v/>
      </c>
      <c r="E89" s="6">
        <f>Summary!E89</f>
        <v/>
      </c>
      <c r="F89" s="6">
        <f>Summary!F89</f>
        <v/>
      </c>
      <c r="G89" s="6">
        <f>Summary!G89</f>
        <v/>
      </c>
      <c r="H89" s="6">
        <f>Summary!H89</f>
        <v/>
      </c>
      <c r="I89" s="6">
        <f>Summary!I89</f>
        <v/>
      </c>
      <c r="J89" s="6">
        <f>Summary!J89</f>
        <v/>
      </c>
      <c r="K89" s="6">
        <f>Summary!K89</f>
        <v/>
      </c>
      <c r="L89" s="6">
        <f>Summary!L89</f>
        <v/>
      </c>
      <c r="M89" s="6">
        <f>Summary!M89</f>
        <v/>
      </c>
      <c r="N89" s="6">
        <f>Summary!N89</f>
        <v/>
      </c>
      <c r="O89" s="6">
        <f>Summary!O89</f>
        <v/>
      </c>
      <c r="P89" s="6">
        <f>Summary!P89</f>
        <v/>
      </c>
      <c r="Q89" s="6">
        <f>Summary!Q89</f>
        <v/>
      </c>
      <c r="R89" s="6">
        <f>Summary!R89</f>
        <v/>
      </c>
      <c r="S89" s="6">
        <f>Summary!S89</f>
        <v/>
      </c>
      <c r="T89" s="6">
        <f>Summary!T89</f>
        <v/>
      </c>
      <c r="U89" s="6">
        <f>Summary!U89</f>
        <v/>
      </c>
      <c r="V89" s="6">
        <f>Summary!V89</f>
        <v/>
      </c>
      <c r="W89" s="6">
        <f>Summary!W89</f>
        <v/>
      </c>
      <c r="X89" s="6">
        <f>Summary!X89</f>
        <v/>
      </c>
      <c r="Y89" s="6">
        <f>Summary!Y89</f>
        <v/>
      </c>
      <c r="Z89" s="6">
        <f>Summary!Z89</f>
        <v/>
      </c>
      <c r="AA89" s="6">
        <f>Summary!AA89</f>
        <v/>
      </c>
      <c r="AB89" s="6">
        <f>SUM(D89:AA89)</f>
        <v/>
      </c>
      <c r="AC89" s="3" t="inlineStr"/>
      <c r="AD89" s="7">
        <f>E89*0.00136677+D89*0.00136677</f>
        <v/>
      </c>
      <c r="AE89" s="7">
        <f>F89*0.00136677+E89*0.00136677</f>
        <v/>
      </c>
      <c r="AF89" s="7">
        <f>G89*0.00136677+F89*0.00136677</f>
        <v/>
      </c>
      <c r="AG89" s="7">
        <f>H89*0.00136677+G89*0.00136677</f>
        <v/>
      </c>
      <c r="AH89" s="7">
        <f>I89*0.00136677+H89*0.00136677</f>
        <v/>
      </c>
      <c r="AI89" s="7">
        <f>J89*0.00136677+I89*0.00136677</f>
        <v/>
      </c>
      <c r="AJ89" s="7">
        <f>K89*0.00136677+J89*0.00136677</f>
        <v/>
      </c>
      <c r="AK89" s="7">
        <f>L89*0.00136677+K89*0.00136677</f>
        <v/>
      </c>
      <c r="AL89" s="7">
        <f>M89*0.00136677+L89*0.00136677</f>
        <v/>
      </c>
      <c r="AM89" s="7">
        <f>N89*0.00136677+M89*0.00136677</f>
        <v/>
      </c>
      <c r="AN89" s="7">
        <f>O89*0.00136677+N89*0.00136677</f>
        <v/>
      </c>
      <c r="AO89" s="7">
        <f>P89*0.00136677+O89*0.00136677</f>
        <v/>
      </c>
      <c r="AP89" s="7">
        <f>Q89*0.00136677+P89*0.00136677</f>
        <v/>
      </c>
      <c r="AQ89" s="7">
        <f>R89*0.00136677+Q89*0.00136677</f>
        <v/>
      </c>
      <c r="AR89" s="7">
        <f>S89*0.00136677+R89*0.00136677</f>
        <v/>
      </c>
      <c r="AS89" s="7">
        <f>T89*0.00136677+S89*0.00136677</f>
        <v/>
      </c>
      <c r="AT89" s="7">
        <f>U89*0.00136677+T89*0.00136677</f>
        <v/>
      </c>
      <c r="AU89" s="7">
        <f>V89*0.00136677+U89*0.00136677</f>
        <v/>
      </c>
      <c r="AV89" s="7">
        <f>W89*0.00136677+V89*0.00136677</f>
        <v/>
      </c>
      <c r="AW89" s="7">
        <f>X89*0.00136677+W89*0.00136677</f>
        <v/>
      </c>
      <c r="AX89" s="7">
        <f>Y89*0.00136677+X89*0.00136677</f>
        <v/>
      </c>
      <c r="AY89" s="7">
        <f>Z89*0.00136677+Y89*0.00136677</f>
        <v/>
      </c>
      <c r="AZ89" s="7">
        <f>AA89*0.00136677+Z89*0.00136677</f>
        <v/>
      </c>
      <c r="BA89" s="7">
        <f>D89*0.00136677+AA89*0.00136677</f>
        <v/>
      </c>
      <c r="BB89" s="7">
        <f>SUM(AD89:BA89)</f>
        <v/>
      </c>
    </row>
    <row r="90">
      <c r="A90" t="inlineStr">
        <is>
          <t>AMD-RTS-RCLS-1302-SSC</t>
        </is>
      </c>
      <c r="B90" t="inlineStr">
        <is>
          <t>Rev OSC</t>
        </is>
      </c>
      <c r="C90" s="5" t="n">
        <v>46094</v>
      </c>
      <c r="D90" s="6">
        <f>Summary!D90</f>
        <v/>
      </c>
      <c r="E90" s="6">
        <f>Summary!E90</f>
        <v/>
      </c>
      <c r="F90" s="6">
        <f>Summary!F90</f>
        <v/>
      </c>
      <c r="G90" s="6">
        <f>Summary!G90</f>
        <v/>
      </c>
      <c r="H90" s="6">
        <f>Summary!H90</f>
        <v/>
      </c>
      <c r="I90" s="6">
        <f>Summary!I90</f>
        <v/>
      </c>
      <c r="J90" s="6">
        <f>Summary!J90</f>
        <v/>
      </c>
      <c r="K90" s="6">
        <f>Summary!K90</f>
        <v/>
      </c>
      <c r="L90" s="6">
        <f>Summary!L90</f>
        <v/>
      </c>
      <c r="M90" s="6">
        <f>Summary!M90</f>
        <v/>
      </c>
      <c r="N90" s="6">
        <f>Summary!N90</f>
        <v/>
      </c>
      <c r="O90" s="6">
        <f>Summary!O90</f>
        <v/>
      </c>
      <c r="P90" s="6">
        <f>Summary!P90</f>
        <v/>
      </c>
      <c r="Q90" s="6">
        <f>Summary!Q90</f>
        <v/>
      </c>
      <c r="R90" s="6">
        <f>Summary!R90</f>
        <v/>
      </c>
      <c r="S90" s="6">
        <f>Summary!S90</f>
        <v/>
      </c>
      <c r="T90" s="6">
        <f>Summary!T90</f>
        <v/>
      </c>
      <c r="U90" s="6">
        <f>Summary!U90</f>
        <v/>
      </c>
      <c r="V90" s="6">
        <f>Summary!V90</f>
        <v/>
      </c>
      <c r="W90" s="6">
        <f>Summary!W90</f>
        <v/>
      </c>
      <c r="X90" s="6">
        <f>Summary!X90</f>
        <v/>
      </c>
      <c r="Y90" s="6">
        <f>Summary!Y90</f>
        <v/>
      </c>
      <c r="Z90" s="6">
        <f>Summary!Z90</f>
        <v/>
      </c>
      <c r="AA90" s="6">
        <f>Summary!AA90</f>
        <v/>
      </c>
      <c r="AB90" s="6">
        <f>SUM(D90:AA90)</f>
        <v/>
      </c>
      <c r="AC90" s="3" t="inlineStr"/>
      <c r="AD90" s="7">
        <f>E90*0.00136677+D90*0.00136677</f>
        <v/>
      </c>
      <c r="AE90" s="7">
        <f>F90*0.00136677+E90*0.00136677</f>
        <v/>
      </c>
      <c r="AF90" s="7">
        <f>G90*0.00136677+F90*0.00136677</f>
        <v/>
      </c>
      <c r="AG90" s="7">
        <f>H90*0.00136677+G90*0.00136677</f>
        <v/>
      </c>
      <c r="AH90" s="7">
        <f>I90*0.00136677+H90*0.00136677</f>
        <v/>
      </c>
      <c r="AI90" s="7">
        <f>J90*0.00136677+I90*0.00136677</f>
        <v/>
      </c>
      <c r="AJ90" s="7">
        <f>K90*0.00136677+J90*0.00136677</f>
        <v/>
      </c>
      <c r="AK90" s="7">
        <f>L90*0.00136677+K90*0.00136677</f>
        <v/>
      </c>
      <c r="AL90" s="7">
        <f>M90*0.00136677+L90*0.00136677</f>
        <v/>
      </c>
      <c r="AM90" s="7">
        <f>N90*0.00136677+M90*0.00136677</f>
        <v/>
      </c>
      <c r="AN90" s="7">
        <f>O90*0.00136677+N90*0.00136677</f>
        <v/>
      </c>
      <c r="AO90" s="7">
        <f>P90*0.00136677+O90*0.00136677</f>
        <v/>
      </c>
      <c r="AP90" s="7">
        <f>Q90*0.00136677+P90*0.00136677</f>
        <v/>
      </c>
      <c r="AQ90" s="7">
        <f>R90*0.00136677+Q90*0.00136677</f>
        <v/>
      </c>
      <c r="AR90" s="7">
        <f>S90*0.00136677+R90*0.00136677</f>
        <v/>
      </c>
      <c r="AS90" s="7">
        <f>T90*0.00136677+S90*0.00136677</f>
        <v/>
      </c>
      <c r="AT90" s="7">
        <f>U90*0.00136677+T90*0.00136677</f>
        <v/>
      </c>
      <c r="AU90" s="7">
        <f>V90*0.00136677+U90*0.00136677</f>
        <v/>
      </c>
      <c r="AV90" s="7">
        <f>W90*0.00136677+V90*0.00136677</f>
        <v/>
      </c>
      <c r="AW90" s="7">
        <f>X90*0.00136677+W90*0.00136677</f>
        <v/>
      </c>
      <c r="AX90" s="7">
        <f>Y90*0.00136677+X90*0.00136677</f>
        <v/>
      </c>
      <c r="AY90" s="7">
        <f>Z90*0.00136677+Y90*0.00136677</f>
        <v/>
      </c>
      <c r="AZ90" s="7">
        <f>AA90*0.00136677+Z90*0.00136677</f>
        <v/>
      </c>
      <c r="BA90" s="7">
        <f>D90*0.00136677+AA90*0.00136677</f>
        <v/>
      </c>
      <c r="BB90" s="7">
        <f>SUM(AD90:BA90)</f>
        <v/>
      </c>
    </row>
    <row r="91">
      <c r="A91" t="inlineStr">
        <is>
          <t>AMD-RTS-RCLS-1302-SSC</t>
        </is>
      </c>
      <c r="B91" t="inlineStr">
        <is>
          <t>Rev OSC</t>
        </is>
      </c>
      <c r="C91" s="5" t="n">
        <v>46095</v>
      </c>
      <c r="D91" s="6">
        <f>Summary!D91</f>
        <v/>
      </c>
      <c r="E91" s="6">
        <f>Summary!E91</f>
        <v/>
      </c>
      <c r="F91" s="6">
        <f>Summary!F91</f>
        <v/>
      </c>
      <c r="G91" s="6">
        <f>Summary!G91</f>
        <v/>
      </c>
      <c r="H91" s="6">
        <f>Summary!H91</f>
        <v/>
      </c>
      <c r="I91" s="6">
        <f>Summary!I91</f>
        <v/>
      </c>
      <c r="J91" s="6">
        <f>Summary!J91</f>
        <v/>
      </c>
      <c r="K91" s="6">
        <f>Summary!K91</f>
        <v/>
      </c>
      <c r="L91" s="6">
        <f>Summary!L91</f>
        <v/>
      </c>
      <c r="M91" s="6">
        <f>Summary!M91</f>
        <v/>
      </c>
      <c r="N91" s="6">
        <f>Summary!N91</f>
        <v/>
      </c>
      <c r="O91" s="6">
        <f>Summary!O91</f>
        <v/>
      </c>
      <c r="P91" s="6">
        <f>Summary!P91</f>
        <v/>
      </c>
      <c r="Q91" s="6">
        <f>Summary!Q91</f>
        <v/>
      </c>
      <c r="R91" s="6">
        <f>Summary!R91</f>
        <v/>
      </c>
      <c r="S91" s="6">
        <f>Summary!S91</f>
        <v/>
      </c>
      <c r="T91" s="6">
        <f>Summary!T91</f>
        <v/>
      </c>
      <c r="U91" s="6">
        <f>Summary!U91</f>
        <v/>
      </c>
      <c r="V91" s="6">
        <f>Summary!V91</f>
        <v/>
      </c>
      <c r="W91" s="6">
        <f>Summary!W91</f>
        <v/>
      </c>
      <c r="X91" s="6">
        <f>Summary!X91</f>
        <v/>
      </c>
      <c r="Y91" s="6">
        <f>Summary!Y91</f>
        <v/>
      </c>
      <c r="Z91" s="6">
        <f>Summary!Z91</f>
        <v/>
      </c>
      <c r="AA91" s="6">
        <f>Summary!AA91</f>
        <v/>
      </c>
      <c r="AB91" s="6">
        <f>SUM(D91:AA91)</f>
        <v/>
      </c>
      <c r="AC91" s="3" t="inlineStr"/>
      <c r="AD91" s="7">
        <f>E91*0.00136677+D91*0.00136677</f>
        <v/>
      </c>
      <c r="AE91" s="7">
        <f>F91*0.00136677+E91*0.00136677</f>
        <v/>
      </c>
      <c r="AF91" s="7">
        <f>G91*0.00136677+F91*0.00136677</f>
        <v/>
      </c>
      <c r="AG91" s="7">
        <f>H91*0.00136677+G91*0.00136677</f>
        <v/>
      </c>
      <c r="AH91" s="7">
        <f>I91*0.00136677+H91*0.00136677</f>
        <v/>
      </c>
      <c r="AI91" s="7">
        <f>J91*0.00136677+I91*0.00136677</f>
        <v/>
      </c>
      <c r="AJ91" s="7">
        <f>K91*0.00136677+J91*0.00136677</f>
        <v/>
      </c>
      <c r="AK91" s="7">
        <f>L91*0.00136677+K91*0.00136677</f>
        <v/>
      </c>
      <c r="AL91" s="7">
        <f>M91*0.00136677+L91*0.00136677</f>
        <v/>
      </c>
      <c r="AM91" s="7">
        <f>N91*0.00136677+M91*0.00136677</f>
        <v/>
      </c>
      <c r="AN91" s="7">
        <f>O91*0.00136677+N91*0.00136677</f>
        <v/>
      </c>
      <c r="AO91" s="7">
        <f>P91*0.00136677+O91*0.00136677</f>
        <v/>
      </c>
      <c r="AP91" s="7">
        <f>Q91*0.00136677+P91*0.00136677</f>
        <v/>
      </c>
      <c r="AQ91" s="7">
        <f>R91*0.00136677+Q91*0.00136677</f>
        <v/>
      </c>
      <c r="AR91" s="7">
        <f>S91*0.00136677+R91*0.00136677</f>
        <v/>
      </c>
      <c r="AS91" s="7">
        <f>T91*0.00136677+S91*0.00136677</f>
        <v/>
      </c>
      <c r="AT91" s="7">
        <f>U91*0.00136677+T91*0.00136677</f>
        <v/>
      </c>
      <c r="AU91" s="7">
        <f>V91*0.00136677+U91*0.00136677</f>
        <v/>
      </c>
      <c r="AV91" s="7">
        <f>W91*0.00136677+V91*0.00136677</f>
        <v/>
      </c>
      <c r="AW91" s="7">
        <f>X91*0.00136677+W91*0.00136677</f>
        <v/>
      </c>
      <c r="AX91" s="7">
        <f>Y91*0.00136677+X91*0.00136677</f>
        <v/>
      </c>
      <c r="AY91" s="7">
        <f>Z91*0.00136677+Y91*0.00136677</f>
        <v/>
      </c>
      <c r="AZ91" s="7">
        <f>AA91*0.00136677+Z91*0.00136677</f>
        <v/>
      </c>
      <c r="BA91" s="7">
        <f>D91*0.00136677+AA91*0.00136677</f>
        <v/>
      </c>
      <c r="BB91" s="7">
        <f>SUM(AD91:BA91)</f>
        <v/>
      </c>
    </row>
    <row r="92">
      <c r="A92" t="inlineStr">
        <is>
          <t>AMD-RTS-RCLS-1302-SSC</t>
        </is>
      </c>
      <c r="B92" t="inlineStr">
        <is>
          <t>Rev OSC</t>
        </is>
      </c>
      <c r="C92" s="5" t="n">
        <v>46096</v>
      </c>
      <c r="D92" s="6">
        <f>Summary!D92</f>
        <v/>
      </c>
      <c r="E92" s="6">
        <f>Summary!E92</f>
        <v/>
      </c>
      <c r="F92" s="6">
        <f>Summary!F92</f>
        <v/>
      </c>
      <c r="G92" s="6">
        <f>Summary!G92</f>
        <v/>
      </c>
      <c r="H92" s="6">
        <f>Summary!H92</f>
        <v/>
      </c>
      <c r="I92" s="6">
        <f>Summary!I92</f>
        <v/>
      </c>
      <c r="J92" s="6">
        <f>Summary!J92</f>
        <v/>
      </c>
      <c r="K92" s="6">
        <f>Summary!K92</f>
        <v/>
      </c>
      <c r="L92" s="6">
        <f>Summary!L92</f>
        <v/>
      </c>
      <c r="M92" s="6">
        <f>Summary!M92</f>
        <v/>
      </c>
      <c r="N92" s="6">
        <f>Summary!N92</f>
        <v/>
      </c>
      <c r="O92" s="6">
        <f>Summary!O92</f>
        <v/>
      </c>
      <c r="P92" s="6">
        <f>Summary!P92</f>
        <v/>
      </c>
      <c r="Q92" s="6">
        <f>Summary!Q92</f>
        <v/>
      </c>
      <c r="R92" s="6">
        <f>Summary!R92</f>
        <v/>
      </c>
      <c r="S92" s="6">
        <f>Summary!S92</f>
        <v/>
      </c>
      <c r="T92" s="6">
        <f>Summary!T92</f>
        <v/>
      </c>
      <c r="U92" s="6">
        <f>Summary!U92</f>
        <v/>
      </c>
      <c r="V92" s="6">
        <f>Summary!V92</f>
        <v/>
      </c>
      <c r="W92" s="6">
        <f>Summary!W92</f>
        <v/>
      </c>
      <c r="X92" s="6">
        <f>Summary!X92</f>
        <v/>
      </c>
      <c r="Y92" s="6">
        <f>Summary!Y92</f>
        <v/>
      </c>
      <c r="Z92" s="6">
        <f>Summary!Z92</f>
        <v/>
      </c>
      <c r="AA92" s="6">
        <f>Summary!AA92</f>
        <v/>
      </c>
      <c r="AB92" s="6">
        <f>SUM(D92:AA92)</f>
        <v/>
      </c>
      <c r="AC92" s="3" t="inlineStr"/>
      <c r="AD92" s="7">
        <f>E92*0.00136677+D92*0.00136677</f>
        <v/>
      </c>
      <c r="AE92" s="7">
        <f>F92*0.00136677+E92*0.00136677</f>
        <v/>
      </c>
      <c r="AF92" s="7">
        <f>G92*0.00136677+F92*0.00136677</f>
        <v/>
      </c>
      <c r="AG92" s="7">
        <f>H92*0.00136677+G92*0.00136677</f>
        <v/>
      </c>
      <c r="AH92" s="7">
        <f>I92*0.00136677+H92*0.00136677</f>
        <v/>
      </c>
      <c r="AI92" s="7">
        <f>J92*0.00136677+I92*0.00136677</f>
        <v/>
      </c>
      <c r="AJ92" s="7">
        <f>K92*0.00136677+J92*0.00136677</f>
        <v/>
      </c>
      <c r="AK92" s="7">
        <f>L92*0.00136677+K92*0.00136677</f>
        <v/>
      </c>
      <c r="AL92" s="7">
        <f>M92*0.00136677+L92*0.00136677</f>
        <v/>
      </c>
      <c r="AM92" s="7">
        <f>N92*0.00136677+M92*0.00136677</f>
        <v/>
      </c>
      <c r="AN92" s="7">
        <f>O92*0.00136677+N92*0.00136677</f>
        <v/>
      </c>
      <c r="AO92" s="7">
        <f>P92*0.00136677+O92*0.00136677</f>
        <v/>
      </c>
      <c r="AP92" s="7">
        <f>Q92*0.00136677+P92*0.00136677</f>
        <v/>
      </c>
      <c r="AQ92" s="7">
        <f>R92*0.00136677+Q92*0.00136677</f>
        <v/>
      </c>
      <c r="AR92" s="7">
        <f>S92*0.00136677+R92*0.00136677</f>
        <v/>
      </c>
      <c r="AS92" s="7">
        <f>T92*0.00136677+S92*0.00136677</f>
        <v/>
      </c>
      <c r="AT92" s="7">
        <f>U92*0.00136677+T92*0.00136677</f>
        <v/>
      </c>
      <c r="AU92" s="7">
        <f>V92*0.00136677+U92*0.00136677</f>
        <v/>
      </c>
      <c r="AV92" s="7">
        <f>W92*0.00136677+V92*0.00136677</f>
        <v/>
      </c>
      <c r="AW92" s="7">
        <f>X92*0.00136677+W92*0.00136677</f>
        <v/>
      </c>
      <c r="AX92" s="7">
        <f>Y92*0.00136677+X92*0.00136677</f>
        <v/>
      </c>
      <c r="AY92" s="7">
        <f>Z92*0.00136677+Y92*0.00136677</f>
        <v/>
      </c>
      <c r="AZ92" s="7">
        <f>AA92*0.00136677+Z92*0.00136677</f>
        <v/>
      </c>
      <c r="BA92" s="7">
        <f>D92*0.00136677+AA92*0.00136677</f>
        <v/>
      </c>
      <c r="BB92" s="7">
        <f>SUM(AD92:BA92)</f>
        <v/>
      </c>
    </row>
    <row r="93">
      <c r="A93" t="inlineStr">
        <is>
          <t>AMD-RTS-RCLS-1302-SSC</t>
        </is>
      </c>
      <c r="B93" t="inlineStr">
        <is>
          <t>Rev OSC</t>
        </is>
      </c>
      <c r="C93" s="5" t="n">
        <v>46097</v>
      </c>
      <c r="D93" s="6">
        <f>Summary!D93</f>
        <v/>
      </c>
      <c r="E93" s="6">
        <f>Summary!E93</f>
        <v/>
      </c>
      <c r="F93" s="6">
        <f>Summary!F93</f>
        <v/>
      </c>
      <c r="G93" s="6">
        <f>Summary!G93</f>
        <v/>
      </c>
      <c r="H93" s="6">
        <f>Summary!H93</f>
        <v/>
      </c>
      <c r="I93" s="6">
        <f>Summary!I93</f>
        <v/>
      </c>
      <c r="J93" s="6">
        <f>Summary!J93</f>
        <v/>
      </c>
      <c r="K93" s="6">
        <f>Summary!K93</f>
        <v/>
      </c>
      <c r="L93" s="6">
        <f>Summary!L93</f>
        <v/>
      </c>
      <c r="M93" s="6">
        <f>Summary!M93</f>
        <v/>
      </c>
      <c r="N93" s="6">
        <f>Summary!N93</f>
        <v/>
      </c>
      <c r="O93" s="6">
        <f>Summary!O93</f>
        <v/>
      </c>
      <c r="P93" s="6">
        <f>Summary!P93</f>
        <v/>
      </c>
      <c r="Q93" s="6">
        <f>Summary!Q93</f>
        <v/>
      </c>
      <c r="R93" s="6">
        <f>Summary!R93</f>
        <v/>
      </c>
      <c r="S93" s="6">
        <f>Summary!S93</f>
        <v/>
      </c>
      <c r="T93" s="6">
        <f>Summary!T93</f>
        <v/>
      </c>
      <c r="U93" s="6">
        <f>Summary!U93</f>
        <v/>
      </c>
      <c r="V93" s="6">
        <f>Summary!V93</f>
        <v/>
      </c>
      <c r="W93" s="6">
        <f>Summary!W93</f>
        <v/>
      </c>
      <c r="X93" s="6">
        <f>Summary!X93</f>
        <v/>
      </c>
      <c r="Y93" s="6">
        <f>Summary!Y93</f>
        <v/>
      </c>
      <c r="Z93" s="6">
        <f>Summary!Z93</f>
        <v/>
      </c>
      <c r="AA93" s="6">
        <f>Summary!AA93</f>
        <v/>
      </c>
      <c r="AB93" s="6">
        <f>SUM(D93:AA93)</f>
        <v/>
      </c>
      <c r="AC93" s="3" t="inlineStr"/>
      <c r="AD93" s="7">
        <f>E93*0.00136677+D93*0.00136677</f>
        <v/>
      </c>
      <c r="AE93" s="7">
        <f>F93*0.00136677+E93*0.00136677</f>
        <v/>
      </c>
      <c r="AF93" s="7">
        <f>G93*0.00136677+F93*0.00136677</f>
        <v/>
      </c>
      <c r="AG93" s="7">
        <f>H93*0.00136677+G93*0.00136677</f>
        <v/>
      </c>
      <c r="AH93" s="7">
        <f>I93*0.00136677+H93*0.00136677</f>
        <v/>
      </c>
      <c r="AI93" s="7">
        <f>J93*0.00136677+I93*0.00136677</f>
        <v/>
      </c>
      <c r="AJ93" s="7">
        <f>K93*0.00136677+J93*0.00136677</f>
        <v/>
      </c>
      <c r="AK93" s="7">
        <f>L93*0.00136677+K93*0.00136677</f>
        <v/>
      </c>
      <c r="AL93" s="7">
        <f>M93*0.00136677+L93*0.00136677</f>
        <v/>
      </c>
      <c r="AM93" s="7">
        <f>N93*0.00136677+M93*0.00136677</f>
        <v/>
      </c>
      <c r="AN93" s="7">
        <f>O93*0.00136677+N93*0.00136677</f>
        <v/>
      </c>
      <c r="AO93" s="7">
        <f>P93*0.00136677+O93*0.00136677</f>
        <v/>
      </c>
      <c r="AP93" s="7">
        <f>Q93*0.00136677+P93*0.00136677</f>
        <v/>
      </c>
      <c r="AQ93" s="7">
        <f>R93*0.00136677+Q93*0.00136677</f>
        <v/>
      </c>
      <c r="AR93" s="7">
        <f>S93*0.00136677+R93*0.00136677</f>
        <v/>
      </c>
      <c r="AS93" s="7">
        <f>T93*0.00136677+S93*0.00136677</f>
        <v/>
      </c>
      <c r="AT93" s="7">
        <f>U93*0.00136677+T93*0.00136677</f>
        <v/>
      </c>
      <c r="AU93" s="7">
        <f>V93*0.00136677+U93*0.00136677</f>
        <v/>
      </c>
      <c r="AV93" s="7">
        <f>W93*0.00136677+V93*0.00136677</f>
        <v/>
      </c>
      <c r="AW93" s="7">
        <f>X93*0.00136677+W93*0.00136677</f>
        <v/>
      </c>
      <c r="AX93" s="7">
        <f>Y93*0.00136677+X93*0.00136677</f>
        <v/>
      </c>
      <c r="AY93" s="7">
        <f>Z93*0.00136677+Y93*0.00136677</f>
        <v/>
      </c>
      <c r="AZ93" s="7">
        <f>AA93*0.00136677+Z93*0.00136677</f>
        <v/>
      </c>
      <c r="BA93" s="7">
        <f>D93*0.00136677+AA93*0.00136677</f>
        <v/>
      </c>
      <c r="BB93" s="7">
        <f>SUM(AD93:BA93)</f>
        <v/>
      </c>
    </row>
    <row r="94">
      <c r="A94" t="inlineStr">
        <is>
          <t>AMD-RTS-RCLS-1302-SSC</t>
        </is>
      </c>
      <c r="B94" t="inlineStr">
        <is>
          <t>Rev OSC</t>
        </is>
      </c>
      <c r="C94" s="5" t="n">
        <v>46100</v>
      </c>
      <c r="D94" s="6">
        <f>Summary!D94</f>
        <v/>
      </c>
      <c r="E94" s="6">
        <f>Summary!E94</f>
        <v/>
      </c>
      <c r="F94" s="6">
        <f>Summary!F94</f>
        <v/>
      </c>
      <c r="G94" s="6">
        <f>Summary!G94</f>
        <v/>
      </c>
      <c r="H94" s="6">
        <f>Summary!H94</f>
        <v/>
      </c>
      <c r="I94" s="6">
        <f>Summary!I94</f>
        <v/>
      </c>
      <c r="J94" s="6">
        <f>Summary!J94</f>
        <v/>
      </c>
      <c r="K94" s="6">
        <f>Summary!K94</f>
        <v/>
      </c>
      <c r="L94" s="6">
        <f>Summary!L94</f>
        <v/>
      </c>
      <c r="M94" s="6">
        <f>Summary!M94</f>
        <v/>
      </c>
      <c r="N94" s="6">
        <f>Summary!N94</f>
        <v/>
      </c>
      <c r="O94" s="6">
        <f>Summary!O94</f>
        <v/>
      </c>
      <c r="P94" s="6">
        <f>Summary!P94</f>
        <v/>
      </c>
      <c r="Q94" s="6">
        <f>Summary!Q94</f>
        <v/>
      </c>
      <c r="R94" s="6">
        <f>Summary!R94</f>
        <v/>
      </c>
      <c r="S94" s="6">
        <f>Summary!S94</f>
        <v/>
      </c>
      <c r="T94" s="6">
        <f>Summary!T94</f>
        <v/>
      </c>
      <c r="U94" s="6">
        <f>Summary!U94</f>
        <v/>
      </c>
      <c r="V94" s="6">
        <f>Summary!V94</f>
        <v/>
      </c>
      <c r="W94" s="6">
        <f>Summary!W94</f>
        <v/>
      </c>
      <c r="X94" s="6">
        <f>Summary!X94</f>
        <v/>
      </c>
      <c r="Y94" s="6">
        <f>Summary!Y94</f>
        <v/>
      </c>
      <c r="Z94" s="6">
        <f>Summary!Z94</f>
        <v/>
      </c>
      <c r="AA94" s="6">
        <f>Summary!AA94</f>
        <v/>
      </c>
      <c r="AB94" s="6">
        <f>SUM(D94:AA94)</f>
        <v/>
      </c>
      <c r="AC94" s="3" t="inlineStr"/>
      <c r="AD94" s="7">
        <f>E94*0.00136677+D94*0.00136677</f>
        <v/>
      </c>
      <c r="AE94" s="7">
        <f>F94*0.00136677+E94*0.00136677</f>
        <v/>
      </c>
      <c r="AF94" s="7">
        <f>G94*0.00136677+F94*0.00136677</f>
        <v/>
      </c>
      <c r="AG94" s="7">
        <f>H94*0.00136677+G94*0.00136677</f>
        <v/>
      </c>
      <c r="AH94" s="7">
        <f>I94*0.00136677+H94*0.00136677</f>
        <v/>
      </c>
      <c r="AI94" s="7">
        <f>J94*0.00136677+I94*0.00136677</f>
        <v/>
      </c>
      <c r="AJ94" s="7">
        <f>K94*0.00136677+J94*0.00136677</f>
        <v/>
      </c>
      <c r="AK94" s="7">
        <f>L94*0.00136677+K94*0.00136677</f>
        <v/>
      </c>
      <c r="AL94" s="7">
        <f>M94*0.00136677+L94*0.00136677</f>
        <v/>
      </c>
      <c r="AM94" s="7">
        <f>N94*0.00136677+M94*0.00136677</f>
        <v/>
      </c>
      <c r="AN94" s="7">
        <f>O94*0.00136677+N94*0.00136677</f>
        <v/>
      </c>
      <c r="AO94" s="7">
        <f>P94*0.00136677+O94*0.00136677</f>
        <v/>
      </c>
      <c r="AP94" s="7">
        <f>Q94*0.00136677+P94*0.00136677</f>
        <v/>
      </c>
      <c r="AQ94" s="7">
        <f>R94*0.00136677+Q94*0.00136677</f>
        <v/>
      </c>
      <c r="AR94" s="7">
        <f>S94*0.00136677+R94*0.00136677</f>
        <v/>
      </c>
      <c r="AS94" s="7">
        <f>T94*0.00136677+S94*0.00136677</f>
        <v/>
      </c>
      <c r="AT94" s="7">
        <f>U94*0.00136677+T94*0.00136677</f>
        <v/>
      </c>
      <c r="AU94" s="7">
        <f>V94*0.00136677+U94*0.00136677</f>
        <v/>
      </c>
      <c r="AV94" s="7">
        <f>W94*0.00136677+V94*0.00136677</f>
        <v/>
      </c>
      <c r="AW94" s="7">
        <f>X94*0.00136677+W94*0.00136677</f>
        <v/>
      </c>
      <c r="AX94" s="7">
        <f>Y94*0.00136677+X94*0.00136677</f>
        <v/>
      </c>
      <c r="AY94" s="7">
        <f>Z94*0.00136677+Y94*0.00136677</f>
        <v/>
      </c>
      <c r="AZ94" s="7">
        <f>AA94*0.00136677+Z94*0.00136677</f>
        <v/>
      </c>
      <c r="BA94" s="7">
        <f>D94*0.00136677+AA94*0.00136677</f>
        <v/>
      </c>
      <c r="BB94" s="7">
        <f>SUM(AD94:BA94)</f>
        <v/>
      </c>
    </row>
    <row r="95">
      <c r="A95" t="inlineStr">
        <is>
          <t>AMD-RTS-RCLS-1302-SSC</t>
        </is>
      </c>
      <c r="B95" t="inlineStr">
        <is>
          <t>Rev OSC</t>
        </is>
      </c>
      <c r="C95" s="5" t="n">
        <v>46102</v>
      </c>
      <c r="D95" s="6">
        <f>Summary!D95</f>
        <v/>
      </c>
      <c r="E95" s="6">
        <f>Summary!E95</f>
        <v/>
      </c>
      <c r="F95" s="6">
        <f>Summary!F95</f>
        <v/>
      </c>
      <c r="G95" s="6">
        <f>Summary!G95</f>
        <v/>
      </c>
      <c r="H95" s="6">
        <f>Summary!H95</f>
        <v/>
      </c>
      <c r="I95" s="6">
        <f>Summary!I95</f>
        <v/>
      </c>
      <c r="J95" s="6">
        <f>Summary!J95</f>
        <v/>
      </c>
      <c r="K95" s="6">
        <f>Summary!K95</f>
        <v/>
      </c>
      <c r="L95" s="6">
        <f>Summary!L95</f>
        <v/>
      </c>
      <c r="M95" s="6">
        <f>Summary!M95</f>
        <v/>
      </c>
      <c r="N95" s="6">
        <f>Summary!N95</f>
        <v/>
      </c>
      <c r="O95" s="6">
        <f>Summary!O95</f>
        <v/>
      </c>
      <c r="P95" s="6">
        <f>Summary!P95</f>
        <v/>
      </c>
      <c r="Q95" s="6">
        <f>Summary!Q95</f>
        <v/>
      </c>
      <c r="R95" s="6">
        <f>Summary!R95</f>
        <v/>
      </c>
      <c r="S95" s="6">
        <f>Summary!S95</f>
        <v/>
      </c>
      <c r="T95" s="6">
        <f>Summary!T95</f>
        <v/>
      </c>
      <c r="U95" s="6">
        <f>Summary!U95</f>
        <v/>
      </c>
      <c r="V95" s="6">
        <f>Summary!V95</f>
        <v/>
      </c>
      <c r="W95" s="6">
        <f>Summary!W95</f>
        <v/>
      </c>
      <c r="X95" s="6">
        <f>Summary!X95</f>
        <v/>
      </c>
      <c r="Y95" s="6">
        <f>Summary!Y95</f>
        <v/>
      </c>
      <c r="Z95" s="6">
        <f>Summary!Z95</f>
        <v/>
      </c>
      <c r="AA95" s="6">
        <f>Summary!AA95</f>
        <v/>
      </c>
      <c r="AB95" s="6">
        <f>SUM(D95:AA95)</f>
        <v/>
      </c>
      <c r="AC95" s="3" t="inlineStr"/>
      <c r="AD95" s="7">
        <f>E95*0.00136677+D95*0.00136677</f>
        <v/>
      </c>
      <c r="AE95" s="7">
        <f>F95*0.00136677+E95*0.00136677</f>
        <v/>
      </c>
      <c r="AF95" s="7">
        <f>G95*0.00136677+F95*0.00136677</f>
        <v/>
      </c>
      <c r="AG95" s="7">
        <f>H95*0.00136677+G95*0.00136677</f>
        <v/>
      </c>
      <c r="AH95" s="7">
        <f>I95*0.00136677+H95*0.00136677</f>
        <v/>
      </c>
      <c r="AI95" s="7">
        <f>J95*0.00136677+I95*0.00136677</f>
        <v/>
      </c>
      <c r="AJ95" s="7">
        <f>K95*0.00136677+J95*0.00136677</f>
        <v/>
      </c>
      <c r="AK95" s="7">
        <f>L95*0.00136677+K95*0.00136677</f>
        <v/>
      </c>
      <c r="AL95" s="7">
        <f>M95*0.00136677+L95*0.00136677</f>
        <v/>
      </c>
      <c r="AM95" s="7">
        <f>N95*0.00136677+M95*0.00136677</f>
        <v/>
      </c>
      <c r="AN95" s="7">
        <f>O95*0.00136677+N95*0.00136677</f>
        <v/>
      </c>
      <c r="AO95" s="7">
        <f>P95*0.00136677+O95*0.00136677</f>
        <v/>
      </c>
      <c r="AP95" s="7">
        <f>Q95*0.00136677+P95*0.00136677</f>
        <v/>
      </c>
      <c r="AQ95" s="7">
        <f>R95*0.00136677+Q95*0.00136677</f>
        <v/>
      </c>
      <c r="AR95" s="7">
        <f>S95*0.00136677+R95*0.00136677</f>
        <v/>
      </c>
      <c r="AS95" s="7">
        <f>T95*0.00136677+S95*0.00136677</f>
        <v/>
      </c>
      <c r="AT95" s="7">
        <f>U95*0.00136677+T95*0.00136677</f>
        <v/>
      </c>
      <c r="AU95" s="7">
        <f>V95*0.00136677+U95*0.00136677</f>
        <v/>
      </c>
      <c r="AV95" s="7">
        <f>W95*0.00136677+V95*0.00136677</f>
        <v/>
      </c>
      <c r="AW95" s="7">
        <f>X95*0.00136677+W95*0.00136677</f>
        <v/>
      </c>
      <c r="AX95" s="7">
        <f>Y95*0.00136677+X95*0.00136677</f>
        <v/>
      </c>
      <c r="AY95" s="7">
        <f>Z95*0.00136677+Y95*0.00136677</f>
        <v/>
      </c>
      <c r="AZ95" s="7">
        <f>AA95*0.00136677+Z95*0.00136677</f>
        <v/>
      </c>
      <c r="BA95" s="7">
        <f>D95*0.00136677+AA95*0.00136677</f>
        <v/>
      </c>
      <c r="BB95" s="7">
        <f>SUM(AD95:BA95)</f>
        <v/>
      </c>
    </row>
    <row r="96">
      <c r="A96" t="inlineStr">
        <is>
          <t>AMD-RTS-RCLS-1302-SSC</t>
        </is>
      </c>
      <c r="B96" t="inlineStr">
        <is>
          <t>Rev OSC</t>
        </is>
      </c>
      <c r="C96" s="5" t="n">
        <v>46103</v>
      </c>
      <c r="D96" s="6">
        <f>Summary!D96</f>
        <v/>
      </c>
      <c r="E96" s="6">
        <f>Summary!E96</f>
        <v/>
      </c>
      <c r="F96" s="6">
        <f>Summary!F96</f>
        <v/>
      </c>
      <c r="G96" s="6">
        <f>Summary!G96</f>
        <v/>
      </c>
      <c r="H96" s="6">
        <f>Summary!H96</f>
        <v/>
      </c>
      <c r="I96" s="6">
        <f>Summary!I96</f>
        <v/>
      </c>
      <c r="J96" s="6">
        <f>Summary!J96</f>
        <v/>
      </c>
      <c r="K96" s="6">
        <f>Summary!K96</f>
        <v/>
      </c>
      <c r="L96" s="6">
        <f>Summary!L96</f>
        <v/>
      </c>
      <c r="M96" s="6">
        <f>Summary!M96</f>
        <v/>
      </c>
      <c r="N96" s="6">
        <f>Summary!N96</f>
        <v/>
      </c>
      <c r="O96" s="6">
        <f>Summary!O96</f>
        <v/>
      </c>
      <c r="P96" s="6">
        <f>Summary!P96</f>
        <v/>
      </c>
      <c r="Q96" s="6">
        <f>Summary!Q96</f>
        <v/>
      </c>
      <c r="R96" s="6">
        <f>Summary!R96</f>
        <v/>
      </c>
      <c r="S96" s="6">
        <f>Summary!S96</f>
        <v/>
      </c>
      <c r="T96" s="6">
        <f>Summary!T96</f>
        <v/>
      </c>
      <c r="U96" s="6">
        <f>Summary!U96</f>
        <v/>
      </c>
      <c r="V96" s="6">
        <f>Summary!V96</f>
        <v/>
      </c>
      <c r="W96" s="6">
        <f>Summary!W96</f>
        <v/>
      </c>
      <c r="X96" s="6">
        <f>Summary!X96</f>
        <v/>
      </c>
      <c r="Y96" s="6">
        <f>Summary!Y96</f>
        <v/>
      </c>
      <c r="Z96" s="6">
        <f>Summary!Z96</f>
        <v/>
      </c>
      <c r="AA96" s="6">
        <f>Summary!AA96</f>
        <v/>
      </c>
      <c r="AB96" s="6">
        <f>SUM(D96:AA96)</f>
        <v/>
      </c>
      <c r="AC96" s="3" t="inlineStr"/>
      <c r="AD96" s="7">
        <f>E96*0.00136677+D96*0.00136677</f>
        <v/>
      </c>
      <c r="AE96" s="7">
        <f>F96*0.00136677+E96*0.00136677</f>
        <v/>
      </c>
      <c r="AF96" s="7">
        <f>G96*0.00136677+F96*0.00136677</f>
        <v/>
      </c>
      <c r="AG96" s="7">
        <f>H96*0.00136677+G96*0.00136677</f>
        <v/>
      </c>
      <c r="AH96" s="7">
        <f>I96*0.00136677+H96*0.00136677</f>
        <v/>
      </c>
      <c r="AI96" s="7">
        <f>J96*0.00136677+I96*0.00136677</f>
        <v/>
      </c>
      <c r="AJ96" s="7">
        <f>K96*0.00136677+J96*0.00136677</f>
        <v/>
      </c>
      <c r="AK96" s="7">
        <f>L96*0.00136677+K96*0.00136677</f>
        <v/>
      </c>
      <c r="AL96" s="7">
        <f>M96*0.00136677+L96*0.00136677</f>
        <v/>
      </c>
      <c r="AM96" s="7">
        <f>N96*0.00136677+M96*0.00136677</f>
        <v/>
      </c>
      <c r="AN96" s="7">
        <f>O96*0.00136677+N96*0.00136677</f>
        <v/>
      </c>
      <c r="AO96" s="7">
        <f>P96*0.00136677+O96*0.00136677</f>
        <v/>
      </c>
      <c r="AP96" s="7">
        <f>Q96*0.00136677+P96*0.00136677</f>
        <v/>
      </c>
      <c r="AQ96" s="7">
        <f>R96*0.00136677+Q96*0.00136677</f>
        <v/>
      </c>
      <c r="AR96" s="7">
        <f>S96*0.00136677+R96*0.00136677</f>
        <v/>
      </c>
      <c r="AS96" s="7">
        <f>T96*0.00136677+S96*0.00136677</f>
        <v/>
      </c>
      <c r="AT96" s="7">
        <f>U96*0.00136677+T96*0.00136677</f>
        <v/>
      </c>
      <c r="AU96" s="7">
        <f>V96*0.00136677+U96*0.00136677</f>
        <v/>
      </c>
      <c r="AV96" s="7">
        <f>W96*0.00136677+V96*0.00136677</f>
        <v/>
      </c>
      <c r="AW96" s="7">
        <f>X96*0.00136677+W96*0.00136677</f>
        <v/>
      </c>
      <c r="AX96" s="7">
        <f>Y96*0.00136677+X96*0.00136677</f>
        <v/>
      </c>
      <c r="AY96" s="7">
        <f>Z96*0.00136677+Y96*0.00136677</f>
        <v/>
      </c>
      <c r="AZ96" s="7">
        <f>AA96*0.00136677+Z96*0.00136677</f>
        <v/>
      </c>
      <c r="BA96" s="7">
        <f>D96*0.00136677+AA96*0.00136677</f>
        <v/>
      </c>
      <c r="BB96" s="7">
        <f>SUM(AD96:BA96)</f>
        <v/>
      </c>
    </row>
    <row r="97">
      <c r="A97" t="inlineStr">
        <is>
          <t>AMD-RTS-RCLS-1302-SSC</t>
        </is>
      </c>
      <c r="B97" t="inlineStr">
        <is>
          <t>Rev OSC</t>
        </is>
      </c>
      <c r="C97" s="5" t="n">
        <v>46104</v>
      </c>
      <c r="D97" s="6">
        <f>Summary!D97</f>
        <v/>
      </c>
      <c r="E97" s="6">
        <f>Summary!E97</f>
        <v/>
      </c>
      <c r="F97" s="6">
        <f>Summary!F97</f>
        <v/>
      </c>
      <c r="G97" s="6">
        <f>Summary!G97</f>
        <v/>
      </c>
      <c r="H97" s="6">
        <f>Summary!H97</f>
        <v/>
      </c>
      <c r="I97" s="6">
        <f>Summary!I97</f>
        <v/>
      </c>
      <c r="J97" s="6">
        <f>Summary!J97</f>
        <v/>
      </c>
      <c r="K97" s="6">
        <f>Summary!K97</f>
        <v/>
      </c>
      <c r="L97" s="6">
        <f>Summary!L97</f>
        <v/>
      </c>
      <c r="M97" s="6">
        <f>Summary!M97</f>
        <v/>
      </c>
      <c r="N97" s="6">
        <f>Summary!N97</f>
        <v/>
      </c>
      <c r="O97" s="6">
        <f>Summary!O97</f>
        <v/>
      </c>
      <c r="P97" s="6">
        <f>Summary!P97</f>
        <v/>
      </c>
      <c r="Q97" s="6">
        <f>Summary!Q97</f>
        <v/>
      </c>
      <c r="R97" s="6">
        <f>Summary!R97</f>
        <v/>
      </c>
      <c r="S97" s="6">
        <f>Summary!S97</f>
        <v/>
      </c>
      <c r="T97" s="6">
        <f>Summary!T97</f>
        <v/>
      </c>
      <c r="U97" s="6">
        <f>Summary!U97</f>
        <v/>
      </c>
      <c r="V97" s="6">
        <f>Summary!V97</f>
        <v/>
      </c>
      <c r="W97" s="6">
        <f>Summary!W97</f>
        <v/>
      </c>
      <c r="X97" s="6">
        <f>Summary!X97</f>
        <v/>
      </c>
      <c r="Y97" s="6">
        <f>Summary!Y97</f>
        <v/>
      </c>
      <c r="Z97" s="6">
        <f>Summary!Z97</f>
        <v/>
      </c>
      <c r="AA97" s="6">
        <f>Summary!AA97</f>
        <v/>
      </c>
      <c r="AB97" s="6">
        <f>SUM(D97:AA97)</f>
        <v/>
      </c>
      <c r="AC97" s="3" t="inlineStr"/>
      <c r="AD97" s="7">
        <f>E97*0.00136677+D97*0.00136677</f>
        <v/>
      </c>
      <c r="AE97" s="7">
        <f>F97*0.00136677+E97*0.00136677</f>
        <v/>
      </c>
      <c r="AF97" s="7">
        <f>G97*0.00136677+F97*0.00136677</f>
        <v/>
      </c>
      <c r="AG97" s="7">
        <f>H97*0.00136677+G97*0.00136677</f>
        <v/>
      </c>
      <c r="AH97" s="7">
        <f>I97*0.00136677+H97*0.00136677</f>
        <v/>
      </c>
      <c r="AI97" s="7">
        <f>J97*0.00136677+I97*0.00136677</f>
        <v/>
      </c>
      <c r="AJ97" s="7">
        <f>K97*0.00136677+J97*0.00136677</f>
        <v/>
      </c>
      <c r="AK97" s="7">
        <f>L97*0.00136677+K97*0.00136677</f>
        <v/>
      </c>
      <c r="AL97" s="7">
        <f>M97*0.00136677+L97*0.00136677</f>
        <v/>
      </c>
      <c r="AM97" s="7">
        <f>N97*0.00136677+M97*0.00136677</f>
        <v/>
      </c>
      <c r="AN97" s="7">
        <f>O97*0.00136677+N97*0.00136677</f>
        <v/>
      </c>
      <c r="AO97" s="7">
        <f>P97*0.00136677+O97*0.00136677</f>
        <v/>
      </c>
      <c r="AP97" s="7">
        <f>Q97*0.00136677+P97*0.00136677</f>
        <v/>
      </c>
      <c r="AQ97" s="7">
        <f>R97*0.00136677+Q97*0.00136677</f>
        <v/>
      </c>
      <c r="AR97" s="7">
        <f>S97*0.00136677+R97*0.00136677</f>
        <v/>
      </c>
      <c r="AS97" s="7">
        <f>T97*0.00136677+S97*0.00136677</f>
        <v/>
      </c>
      <c r="AT97" s="7">
        <f>U97*0.00136677+T97*0.00136677</f>
        <v/>
      </c>
      <c r="AU97" s="7">
        <f>V97*0.00136677+U97*0.00136677</f>
        <v/>
      </c>
      <c r="AV97" s="7">
        <f>W97*0.00136677+V97*0.00136677</f>
        <v/>
      </c>
      <c r="AW97" s="7">
        <f>X97*0.00136677+W97*0.00136677</f>
        <v/>
      </c>
      <c r="AX97" s="7">
        <f>Y97*0.00136677+X97*0.00136677</f>
        <v/>
      </c>
      <c r="AY97" s="7">
        <f>Z97*0.00136677+Y97*0.00136677</f>
        <v/>
      </c>
      <c r="AZ97" s="7">
        <f>AA97*0.00136677+Z97*0.00136677</f>
        <v/>
      </c>
      <c r="BA97" s="7">
        <f>D97*0.00136677+AA97*0.00136677</f>
        <v/>
      </c>
      <c r="BB97" s="7">
        <f>SUM(AD97:BA97)</f>
        <v/>
      </c>
    </row>
    <row r="98">
      <c r="A98" t="inlineStr">
        <is>
          <t>AMD-RTS-RCLS-1302-SSC</t>
        </is>
      </c>
      <c r="B98" t="inlineStr">
        <is>
          <t>Rev OSC</t>
        </is>
      </c>
      <c r="C98" s="5" t="n">
        <v>46105</v>
      </c>
      <c r="D98" s="6">
        <f>Summary!D98</f>
        <v/>
      </c>
      <c r="E98" s="6">
        <f>Summary!E98</f>
        <v/>
      </c>
      <c r="F98" s="6">
        <f>Summary!F98</f>
        <v/>
      </c>
      <c r="G98" s="6">
        <f>Summary!G98</f>
        <v/>
      </c>
      <c r="H98" s="6">
        <f>Summary!H98</f>
        <v/>
      </c>
      <c r="I98" s="6">
        <f>Summary!I98</f>
        <v/>
      </c>
      <c r="J98" s="6">
        <f>Summary!J98</f>
        <v/>
      </c>
      <c r="K98" s="6">
        <f>Summary!K98</f>
        <v/>
      </c>
      <c r="L98" s="6">
        <f>Summary!L98</f>
        <v/>
      </c>
      <c r="M98" s="6">
        <f>Summary!M98</f>
        <v/>
      </c>
      <c r="N98" s="6">
        <f>Summary!N98</f>
        <v/>
      </c>
      <c r="O98" s="6">
        <f>Summary!O98</f>
        <v/>
      </c>
      <c r="P98" s="6">
        <f>Summary!P98</f>
        <v/>
      </c>
      <c r="Q98" s="6">
        <f>Summary!Q98</f>
        <v/>
      </c>
      <c r="R98" s="6">
        <f>Summary!R98</f>
        <v/>
      </c>
      <c r="S98" s="6">
        <f>Summary!S98</f>
        <v/>
      </c>
      <c r="T98" s="6">
        <f>Summary!T98</f>
        <v/>
      </c>
      <c r="U98" s="6">
        <f>Summary!U98</f>
        <v/>
      </c>
      <c r="V98" s="6">
        <f>Summary!V98</f>
        <v/>
      </c>
      <c r="W98" s="6">
        <f>Summary!W98</f>
        <v/>
      </c>
      <c r="X98" s="6">
        <f>Summary!X98</f>
        <v/>
      </c>
      <c r="Y98" s="6">
        <f>Summary!Y98</f>
        <v/>
      </c>
      <c r="Z98" s="6">
        <f>Summary!Z98</f>
        <v/>
      </c>
      <c r="AA98" s="6">
        <f>Summary!AA98</f>
        <v/>
      </c>
      <c r="AB98" s="6">
        <f>SUM(D98:AA98)</f>
        <v/>
      </c>
      <c r="AC98" s="3" t="inlineStr"/>
      <c r="AD98" s="7">
        <f>E98*0.00136677+D98*0.00136677</f>
        <v/>
      </c>
      <c r="AE98" s="7">
        <f>F98*0.00136677+E98*0.00136677</f>
        <v/>
      </c>
      <c r="AF98" s="7">
        <f>G98*0.00136677+F98*0.00136677</f>
        <v/>
      </c>
      <c r="AG98" s="7">
        <f>H98*0.00136677+G98*0.00136677</f>
        <v/>
      </c>
      <c r="AH98" s="7">
        <f>I98*0.00136677+H98*0.00136677</f>
        <v/>
      </c>
      <c r="AI98" s="7">
        <f>J98*0.00136677+I98*0.00136677</f>
        <v/>
      </c>
      <c r="AJ98" s="7">
        <f>K98*0.00136677+J98*0.00136677</f>
        <v/>
      </c>
      <c r="AK98" s="7">
        <f>L98*0.00136677+K98*0.00136677</f>
        <v/>
      </c>
      <c r="AL98" s="7">
        <f>M98*0.00136677+L98*0.00136677</f>
        <v/>
      </c>
      <c r="AM98" s="7">
        <f>N98*0.00136677+M98*0.00136677</f>
        <v/>
      </c>
      <c r="AN98" s="7">
        <f>O98*0.00136677+N98*0.00136677</f>
        <v/>
      </c>
      <c r="AO98" s="7">
        <f>P98*0.00136677+O98*0.00136677</f>
        <v/>
      </c>
      <c r="AP98" s="7">
        <f>Q98*0.00136677+P98*0.00136677</f>
        <v/>
      </c>
      <c r="AQ98" s="7">
        <f>R98*0.00136677+Q98*0.00136677</f>
        <v/>
      </c>
      <c r="AR98" s="7">
        <f>S98*0.00136677+R98*0.00136677</f>
        <v/>
      </c>
      <c r="AS98" s="7">
        <f>T98*0.00136677+S98*0.00136677</f>
        <v/>
      </c>
      <c r="AT98" s="7">
        <f>U98*0.00136677+T98*0.00136677</f>
        <v/>
      </c>
      <c r="AU98" s="7">
        <f>V98*0.00136677+U98*0.00136677</f>
        <v/>
      </c>
      <c r="AV98" s="7">
        <f>W98*0.00136677+V98*0.00136677</f>
        <v/>
      </c>
      <c r="AW98" s="7">
        <f>X98*0.00136677+W98*0.00136677</f>
        <v/>
      </c>
      <c r="AX98" s="7">
        <f>Y98*0.00136677+X98*0.00136677</f>
        <v/>
      </c>
      <c r="AY98" s="7">
        <f>Z98*0.00136677+Y98*0.00136677</f>
        <v/>
      </c>
      <c r="AZ98" s="7">
        <f>AA98*0.00136677+Z98*0.00136677</f>
        <v/>
      </c>
      <c r="BA98" s="7">
        <f>D98*0.00136677+AA98*0.00136677</f>
        <v/>
      </c>
      <c r="BB98" s="7">
        <f>SUM(AD98:BA98)</f>
        <v/>
      </c>
    </row>
    <row r="99">
      <c r="A99" t="inlineStr">
        <is>
          <t>AMD-RTS-RCLS-1302-SSC_1</t>
        </is>
      </c>
      <c r="B99" t="inlineStr">
        <is>
          <t>Rev OSC</t>
        </is>
      </c>
      <c r="C99" s="5" t="n">
        <v>46090</v>
      </c>
      <c r="D99" s="6">
        <f>Summary!D99</f>
        <v/>
      </c>
      <c r="E99" s="6">
        <f>Summary!E99</f>
        <v/>
      </c>
      <c r="F99" s="6">
        <f>Summary!F99</f>
        <v/>
      </c>
      <c r="G99" s="6">
        <f>Summary!G99</f>
        <v/>
      </c>
      <c r="H99" s="6">
        <f>Summary!H99</f>
        <v/>
      </c>
      <c r="I99" s="6">
        <f>Summary!I99</f>
        <v/>
      </c>
      <c r="J99" s="6">
        <f>Summary!J99</f>
        <v/>
      </c>
      <c r="K99" s="6">
        <f>Summary!K99</f>
        <v/>
      </c>
      <c r="L99" s="6">
        <f>Summary!L99</f>
        <v/>
      </c>
      <c r="M99" s="6">
        <f>Summary!M99</f>
        <v/>
      </c>
      <c r="N99" s="6">
        <f>Summary!N99</f>
        <v/>
      </c>
      <c r="O99" s="6">
        <f>Summary!O99</f>
        <v/>
      </c>
      <c r="P99" s="6">
        <f>Summary!P99</f>
        <v/>
      </c>
      <c r="Q99" s="6">
        <f>Summary!Q99</f>
        <v/>
      </c>
      <c r="R99" s="6">
        <f>Summary!R99</f>
        <v/>
      </c>
      <c r="S99" s="6">
        <f>Summary!S99</f>
        <v/>
      </c>
      <c r="T99" s="6">
        <f>Summary!T99</f>
        <v/>
      </c>
      <c r="U99" s="6">
        <f>Summary!U99</f>
        <v/>
      </c>
      <c r="V99" s="6">
        <f>Summary!V99</f>
        <v/>
      </c>
      <c r="W99" s="6">
        <f>Summary!W99</f>
        <v/>
      </c>
      <c r="X99" s="6">
        <f>Summary!X99</f>
        <v/>
      </c>
      <c r="Y99" s="6">
        <f>Summary!Y99</f>
        <v/>
      </c>
      <c r="Z99" s="6">
        <f>Summary!Z99</f>
        <v/>
      </c>
      <c r="AA99" s="6">
        <f>Summary!AA99</f>
        <v/>
      </c>
      <c r="AB99" s="6">
        <f>SUM(D99:AA99)</f>
        <v/>
      </c>
      <c r="AC99" s="3" t="inlineStr"/>
      <c r="AD99" s="7">
        <f>E99*0.00136677+D99*0.00136677</f>
        <v/>
      </c>
      <c r="AE99" s="7">
        <f>F99*0.00136677+E99*0.00136677</f>
        <v/>
      </c>
      <c r="AF99" s="7">
        <f>G99*0.00136677+F99*0.00136677</f>
        <v/>
      </c>
      <c r="AG99" s="7">
        <f>H99*0.00136677+G99*0.00136677</f>
        <v/>
      </c>
      <c r="AH99" s="7">
        <f>I99*0.00136677+H99*0.00136677</f>
        <v/>
      </c>
      <c r="AI99" s="7">
        <f>J99*0.00136677+I99*0.00136677</f>
        <v/>
      </c>
      <c r="AJ99" s="7">
        <f>K99*0.00136677+J99*0.00136677</f>
        <v/>
      </c>
      <c r="AK99" s="7">
        <f>L99*0.00136677+K99*0.00136677</f>
        <v/>
      </c>
      <c r="AL99" s="7">
        <f>M99*0.00136677+L99*0.00136677</f>
        <v/>
      </c>
      <c r="AM99" s="7">
        <f>N99*0.00136677+M99*0.00136677</f>
        <v/>
      </c>
      <c r="AN99" s="7">
        <f>O99*0.00136677+N99*0.00136677</f>
        <v/>
      </c>
      <c r="AO99" s="7">
        <f>P99*0.00136677+O99*0.00136677</f>
        <v/>
      </c>
      <c r="AP99" s="7">
        <f>Q99*0.00136677+P99*0.00136677</f>
        <v/>
      </c>
      <c r="AQ99" s="7">
        <f>R99*0.00136677+Q99*0.00136677</f>
        <v/>
      </c>
      <c r="AR99" s="7">
        <f>S99*0.00136677+R99*0.00136677</f>
        <v/>
      </c>
      <c r="AS99" s="7">
        <f>T99*0.00136677+S99*0.00136677</f>
        <v/>
      </c>
      <c r="AT99" s="7">
        <f>U99*0.00136677+T99*0.00136677</f>
        <v/>
      </c>
      <c r="AU99" s="7">
        <f>V99*0.00136677+U99*0.00136677</f>
        <v/>
      </c>
      <c r="AV99" s="7">
        <f>W99*0.00136677+V99*0.00136677</f>
        <v/>
      </c>
      <c r="AW99" s="7">
        <f>X99*0.00136677+W99*0.00136677</f>
        <v/>
      </c>
      <c r="AX99" s="7">
        <f>Y99*0.00136677+X99*0.00136677</f>
        <v/>
      </c>
      <c r="AY99" s="7">
        <f>Z99*0.00136677+Y99*0.00136677</f>
        <v/>
      </c>
      <c r="AZ99" s="7">
        <f>AA99*0.00136677+Z99*0.00136677</f>
        <v/>
      </c>
      <c r="BA99" s="7">
        <f>D99*0.00136677+AA99*0.00136677</f>
        <v/>
      </c>
      <c r="BB99" s="7">
        <f>SUM(AD99:BA99)</f>
        <v/>
      </c>
    </row>
    <row r="100">
      <c r="A100" t="inlineStr">
        <is>
          <t>AMD-RTS-RCLS-1302-SSC_1</t>
        </is>
      </c>
      <c r="B100" t="inlineStr">
        <is>
          <t>Rev OSC</t>
        </is>
      </c>
      <c r="C100" s="5" t="n">
        <v>46093</v>
      </c>
      <c r="D100" s="6">
        <f>Summary!D100</f>
        <v/>
      </c>
      <c r="E100" s="6">
        <f>Summary!E100</f>
        <v/>
      </c>
      <c r="F100" s="6">
        <f>Summary!F100</f>
        <v/>
      </c>
      <c r="G100" s="6">
        <f>Summary!G100</f>
        <v/>
      </c>
      <c r="H100" s="6">
        <f>Summary!H100</f>
        <v/>
      </c>
      <c r="I100" s="6">
        <f>Summary!I100</f>
        <v/>
      </c>
      <c r="J100" s="6">
        <f>Summary!J100</f>
        <v/>
      </c>
      <c r="K100" s="6">
        <f>Summary!K100</f>
        <v/>
      </c>
      <c r="L100" s="6">
        <f>Summary!L100</f>
        <v/>
      </c>
      <c r="M100" s="6">
        <f>Summary!M100</f>
        <v/>
      </c>
      <c r="N100" s="6">
        <f>Summary!N100</f>
        <v/>
      </c>
      <c r="O100" s="6">
        <f>Summary!O100</f>
        <v/>
      </c>
      <c r="P100" s="6">
        <f>Summary!P100</f>
        <v/>
      </c>
      <c r="Q100" s="6">
        <f>Summary!Q100</f>
        <v/>
      </c>
      <c r="R100" s="6">
        <f>Summary!R100</f>
        <v/>
      </c>
      <c r="S100" s="6">
        <f>Summary!S100</f>
        <v/>
      </c>
      <c r="T100" s="6">
        <f>Summary!T100</f>
        <v/>
      </c>
      <c r="U100" s="6">
        <f>Summary!U100</f>
        <v/>
      </c>
      <c r="V100" s="6">
        <f>Summary!V100</f>
        <v/>
      </c>
      <c r="W100" s="6">
        <f>Summary!W100</f>
        <v/>
      </c>
      <c r="X100" s="6">
        <f>Summary!X100</f>
        <v/>
      </c>
      <c r="Y100" s="6">
        <f>Summary!Y100</f>
        <v/>
      </c>
      <c r="Z100" s="6">
        <f>Summary!Z100</f>
        <v/>
      </c>
      <c r="AA100" s="6">
        <f>Summary!AA100</f>
        <v/>
      </c>
      <c r="AB100" s="6">
        <f>SUM(D100:AA100)</f>
        <v/>
      </c>
      <c r="AC100" s="3" t="inlineStr"/>
      <c r="AD100" s="7">
        <f>E100*0.00136677+D100*0.00136677</f>
        <v/>
      </c>
      <c r="AE100" s="7">
        <f>F100*0.00136677+E100*0.00136677</f>
        <v/>
      </c>
      <c r="AF100" s="7">
        <f>G100*0.00136677+F100*0.00136677</f>
        <v/>
      </c>
      <c r="AG100" s="7">
        <f>H100*0.00136677+G100*0.00136677</f>
        <v/>
      </c>
      <c r="AH100" s="7">
        <f>I100*0.00136677+H100*0.00136677</f>
        <v/>
      </c>
      <c r="AI100" s="7">
        <f>J100*0.00136677+I100*0.00136677</f>
        <v/>
      </c>
      <c r="AJ100" s="7">
        <f>K100*0.00136677+J100*0.00136677</f>
        <v/>
      </c>
      <c r="AK100" s="7">
        <f>L100*0.00136677+K100*0.00136677</f>
        <v/>
      </c>
      <c r="AL100" s="7">
        <f>M100*0.00136677+L100*0.00136677</f>
        <v/>
      </c>
      <c r="AM100" s="7">
        <f>N100*0.00136677+M100*0.00136677</f>
        <v/>
      </c>
      <c r="AN100" s="7">
        <f>O100*0.00136677+N100*0.00136677</f>
        <v/>
      </c>
      <c r="AO100" s="7">
        <f>P100*0.00136677+O100*0.00136677</f>
        <v/>
      </c>
      <c r="AP100" s="7">
        <f>Q100*0.00136677+P100*0.00136677</f>
        <v/>
      </c>
      <c r="AQ100" s="7">
        <f>R100*0.00136677+Q100*0.00136677</f>
        <v/>
      </c>
      <c r="AR100" s="7">
        <f>S100*0.00136677+R100*0.00136677</f>
        <v/>
      </c>
      <c r="AS100" s="7">
        <f>T100*0.00136677+S100*0.00136677</f>
        <v/>
      </c>
      <c r="AT100" s="7">
        <f>U100*0.00136677+T100*0.00136677</f>
        <v/>
      </c>
      <c r="AU100" s="7">
        <f>V100*0.00136677+U100*0.00136677</f>
        <v/>
      </c>
      <c r="AV100" s="7">
        <f>W100*0.00136677+V100*0.00136677</f>
        <v/>
      </c>
      <c r="AW100" s="7">
        <f>X100*0.00136677+W100*0.00136677</f>
        <v/>
      </c>
      <c r="AX100" s="7">
        <f>Y100*0.00136677+X100*0.00136677</f>
        <v/>
      </c>
      <c r="AY100" s="7">
        <f>Z100*0.00136677+Y100*0.00136677</f>
        <v/>
      </c>
      <c r="AZ100" s="7">
        <f>AA100*0.00136677+Z100*0.00136677</f>
        <v/>
      </c>
      <c r="BA100" s="7">
        <f>D100*0.00136677+AA100*0.00136677</f>
        <v/>
      </c>
      <c r="BB100" s="7">
        <f>SUM(AD100:BA100)</f>
        <v/>
      </c>
    </row>
    <row r="101">
      <c r="A101" t="inlineStr">
        <is>
          <t>AMD-RTS-RCLS-1302-SSC_1</t>
        </is>
      </c>
      <c r="B101" t="inlineStr">
        <is>
          <t>Rev OSC</t>
        </is>
      </c>
      <c r="C101" s="5" t="n">
        <v>46094</v>
      </c>
      <c r="D101" s="6">
        <f>Summary!D101</f>
        <v/>
      </c>
      <c r="E101" s="6">
        <f>Summary!E101</f>
        <v/>
      </c>
      <c r="F101" s="6">
        <f>Summary!F101</f>
        <v/>
      </c>
      <c r="G101" s="6">
        <f>Summary!G101</f>
        <v/>
      </c>
      <c r="H101" s="6">
        <f>Summary!H101</f>
        <v/>
      </c>
      <c r="I101" s="6">
        <f>Summary!I101</f>
        <v/>
      </c>
      <c r="J101" s="6">
        <f>Summary!J101</f>
        <v/>
      </c>
      <c r="K101" s="6">
        <f>Summary!K101</f>
        <v/>
      </c>
      <c r="L101" s="6">
        <f>Summary!L101</f>
        <v/>
      </c>
      <c r="M101" s="6">
        <f>Summary!M101</f>
        <v/>
      </c>
      <c r="N101" s="6">
        <f>Summary!N101</f>
        <v/>
      </c>
      <c r="O101" s="6">
        <f>Summary!O101</f>
        <v/>
      </c>
      <c r="P101" s="6">
        <f>Summary!P101</f>
        <v/>
      </c>
      <c r="Q101" s="6">
        <f>Summary!Q101</f>
        <v/>
      </c>
      <c r="R101" s="6">
        <f>Summary!R101</f>
        <v/>
      </c>
      <c r="S101" s="6">
        <f>Summary!S101</f>
        <v/>
      </c>
      <c r="T101" s="6">
        <f>Summary!T101</f>
        <v/>
      </c>
      <c r="U101" s="6">
        <f>Summary!U101</f>
        <v/>
      </c>
      <c r="V101" s="6">
        <f>Summary!V101</f>
        <v/>
      </c>
      <c r="W101" s="6">
        <f>Summary!W101</f>
        <v/>
      </c>
      <c r="X101" s="6">
        <f>Summary!X101</f>
        <v/>
      </c>
      <c r="Y101" s="6">
        <f>Summary!Y101</f>
        <v/>
      </c>
      <c r="Z101" s="6">
        <f>Summary!Z101</f>
        <v/>
      </c>
      <c r="AA101" s="6">
        <f>Summary!AA101</f>
        <v/>
      </c>
      <c r="AB101" s="6">
        <f>SUM(D101:AA101)</f>
        <v/>
      </c>
      <c r="AC101" s="3" t="inlineStr"/>
      <c r="AD101" s="7">
        <f>E101*0.00136677+D101*0.00136677</f>
        <v/>
      </c>
      <c r="AE101" s="7">
        <f>F101*0.00136677+E101*0.00136677</f>
        <v/>
      </c>
      <c r="AF101" s="7">
        <f>G101*0.00136677+F101*0.00136677</f>
        <v/>
      </c>
      <c r="AG101" s="7">
        <f>H101*0.00136677+G101*0.00136677</f>
        <v/>
      </c>
      <c r="AH101" s="7">
        <f>I101*0.00136677+H101*0.00136677</f>
        <v/>
      </c>
      <c r="AI101" s="7">
        <f>J101*0.00136677+I101*0.00136677</f>
        <v/>
      </c>
      <c r="AJ101" s="7">
        <f>K101*0.00136677+J101*0.00136677</f>
        <v/>
      </c>
      <c r="AK101" s="7">
        <f>L101*0.00136677+K101*0.00136677</f>
        <v/>
      </c>
      <c r="AL101" s="7">
        <f>M101*0.00136677+L101*0.00136677</f>
        <v/>
      </c>
      <c r="AM101" s="7">
        <f>N101*0.00136677+M101*0.00136677</f>
        <v/>
      </c>
      <c r="AN101" s="7">
        <f>O101*0.00136677+N101*0.00136677</f>
        <v/>
      </c>
      <c r="AO101" s="7">
        <f>P101*0.00136677+O101*0.00136677</f>
        <v/>
      </c>
      <c r="AP101" s="7">
        <f>Q101*0.00136677+P101*0.00136677</f>
        <v/>
      </c>
      <c r="AQ101" s="7">
        <f>R101*0.00136677+Q101*0.00136677</f>
        <v/>
      </c>
      <c r="AR101" s="7">
        <f>S101*0.00136677+R101*0.00136677</f>
        <v/>
      </c>
      <c r="AS101" s="7">
        <f>T101*0.00136677+S101*0.00136677</f>
        <v/>
      </c>
      <c r="AT101" s="7">
        <f>U101*0.00136677+T101*0.00136677</f>
        <v/>
      </c>
      <c r="AU101" s="7">
        <f>V101*0.00136677+U101*0.00136677</f>
        <v/>
      </c>
      <c r="AV101" s="7">
        <f>W101*0.00136677+V101*0.00136677</f>
        <v/>
      </c>
      <c r="AW101" s="7">
        <f>X101*0.00136677+W101*0.00136677</f>
        <v/>
      </c>
      <c r="AX101" s="7">
        <f>Y101*0.00136677+X101*0.00136677</f>
        <v/>
      </c>
      <c r="AY101" s="7">
        <f>Z101*0.00136677+Y101*0.00136677</f>
        <v/>
      </c>
      <c r="AZ101" s="7">
        <f>AA101*0.00136677+Z101*0.00136677</f>
        <v/>
      </c>
      <c r="BA101" s="7">
        <f>D101*0.00136677+AA101*0.00136677</f>
        <v/>
      </c>
      <c r="BB101" s="7">
        <f>SUM(AD101:BA101)</f>
        <v/>
      </c>
    </row>
    <row r="102">
      <c r="A102" t="inlineStr">
        <is>
          <t>AMD-RTS-RCLS-1302-SSC_1</t>
        </is>
      </c>
      <c r="B102" t="inlineStr">
        <is>
          <t>Rev OSC</t>
        </is>
      </c>
      <c r="C102" s="5" t="n">
        <v>46095</v>
      </c>
      <c r="D102" s="6">
        <f>Summary!D102</f>
        <v/>
      </c>
      <c r="E102" s="6">
        <f>Summary!E102</f>
        <v/>
      </c>
      <c r="F102" s="6">
        <f>Summary!F102</f>
        <v/>
      </c>
      <c r="G102" s="6">
        <f>Summary!G102</f>
        <v/>
      </c>
      <c r="H102" s="6">
        <f>Summary!H102</f>
        <v/>
      </c>
      <c r="I102" s="6">
        <f>Summary!I102</f>
        <v/>
      </c>
      <c r="J102" s="6">
        <f>Summary!J102</f>
        <v/>
      </c>
      <c r="K102" s="6">
        <f>Summary!K102</f>
        <v/>
      </c>
      <c r="L102" s="6">
        <f>Summary!L102</f>
        <v/>
      </c>
      <c r="M102" s="6">
        <f>Summary!M102</f>
        <v/>
      </c>
      <c r="N102" s="6">
        <f>Summary!N102</f>
        <v/>
      </c>
      <c r="O102" s="6">
        <f>Summary!O102</f>
        <v/>
      </c>
      <c r="P102" s="6">
        <f>Summary!P102</f>
        <v/>
      </c>
      <c r="Q102" s="6">
        <f>Summary!Q102</f>
        <v/>
      </c>
      <c r="R102" s="6">
        <f>Summary!R102</f>
        <v/>
      </c>
      <c r="S102" s="6">
        <f>Summary!S102</f>
        <v/>
      </c>
      <c r="T102" s="6">
        <f>Summary!T102</f>
        <v/>
      </c>
      <c r="U102" s="6">
        <f>Summary!U102</f>
        <v/>
      </c>
      <c r="V102" s="6">
        <f>Summary!V102</f>
        <v/>
      </c>
      <c r="W102" s="6">
        <f>Summary!W102</f>
        <v/>
      </c>
      <c r="X102" s="6">
        <f>Summary!X102</f>
        <v/>
      </c>
      <c r="Y102" s="6">
        <f>Summary!Y102</f>
        <v/>
      </c>
      <c r="Z102" s="6">
        <f>Summary!Z102</f>
        <v/>
      </c>
      <c r="AA102" s="6">
        <f>Summary!AA102</f>
        <v/>
      </c>
      <c r="AB102" s="6">
        <f>SUM(D102:AA102)</f>
        <v/>
      </c>
      <c r="AC102" s="3" t="inlineStr"/>
      <c r="AD102" s="7">
        <f>E102*0.00136677+D102*0.00136677</f>
        <v/>
      </c>
      <c r="AE102" s="7">
        <f>F102*0.00136677+E102*0.00136677</f>
        <v/>
      </c>
      <c r="AF102" s="7">
        <f>G102*0.00136677+F102*0.00136677</f>
        <v/>
      </c>
      <c r="AG102" s="7">
        <f>H102*0.00136677+G102*0.00136677</f>
        <v/>
      </c>
      <c r="AH102" s="7">
        <f>I102*0.00136677+H102*0.00136677</f>
        <v/>
      </c>
      <c r="AI102" s="7">
        <f>J102*0.00136677+I102*0.00136677</f>
        <v/>
      </c>
      <c r="AJ102" s="7">
        <f>K102*0.00136677+J102*0.00136677</f>
        <v/>
      </c>
      <c r="AK102" s="7">
        <f>L102*0.00136677+K102*0.00136677</f>
        <v/>
      </c>
      <c r="AL102" s="7">
        <f>M102*0.00136677+L102*0.00136677</f>
        <v/>
      </c>
      <c r="AM102" s="7">
        <f>N102*0.00136677+M102*0.00136677</f>
        <v/>
      </c>
      <c r="AN102" s="7">
        <f>O102*0.00136677+N102*0.00136677</f>
        <v/>
      </c>
      <c r="AO102" s="7">
        <f>P102*0.00136677+O102*0.00136677</f>
        <v/>
      </c>
      <c r="AP102" s="7">
        <f>Q102*0.00136677+P102*0.00136677</f>
        <v/>
      </c>
      <c r="AQ102" s="7">
        <f>R102*0.00136677+Q102*0.00136677</f>
        <v/>
      </c>
      <c r="AR102" s="7">
        <f>S102*0.00136677+R102*0.00136677</f>
        <v/>
      </c>
      <c r="AS102" s="7">
        <f>T102*0.00136677+S102*0.00136677</f>
        <v/>
      </c>
      <c r="AT102" s="7">
        <f>U102*0.00136677+T102*0.00136677</f>
        <v/>
      </c>
      <c r="AU102" s="7">
        <f>V102*0.00136677+U102*0.00136677</f>
        <v/>
      </c>
      <c r="AV102" s="7">
        <f>W102*0.00136677+V102*0.00136677</f>
        <v/>
      </c>
      <c r="AW102" s="7">
        <f>X102*0.00136677+W102*0.00136677</f>
        <v/>
      </c>
      <c r="AX102" s="7">
        <f>Y102*0.00136677+X102*0.00136677</f>
        <v/>
      </c>
      <c r="AY102" s="7">
        <f>Z102*0.00136677+Y102*0.00136677</f>
        <v/>
      </c>
      <c r="AZ102" s="7">
        <f>AA102*0.00136677+Z102*0.00136677</f>
        <v/>
      </c>
      <c r="BA102" s="7">
        <f>D102*0.00136677+AA102*0.00136677</f>
        <v/>
      </c>
      <c r="BB102" s="7">
        <f>SUM(AD102:BA102)</f>
        <v/>
      </c>
    </row>
    <row r="103">
      <c r="A103" t="inlineStr">
        <is>
          <t>AMD-RTS-RCLS-1302-SSC_1</t>
        </is>
      </c>
      <c r="B103" t="inlineStr">
        <is>
          <t>Rev OSC</t>
        </is>
      </c>
      <c r="C103" s="5" t="n">
        <v>46100</v>
      </c>
      <c r="D103" s="6">
        <f>Summary!D103</f>
        <v/>
      </c>
      <c r="E103" s="6">
        <f>Summary!E103</f>
        <v/>
      </c>
      <c r="F103" s="6">
        <f>Summary!F103</f>
        <v/>
      </c>
      <c r="G103" s="6">
        <f>Summary!G103</f>
        <v/>
      </c>
      <c r="H103" s="6">
        <f>Summary!H103</f>
        <v/>
      </c>
      <c r="I103" s="6">
        <f>Summary!I103</f>
        <v/>
      </c>
      <c r="J103" s="6">
        <f>Summary!J103</f>
        <v/>
      </c>
      <c r="K103" s="6">
        <f>Summary!K103</f>
        <v/>
      </c>
      <c r="L103" s="6">
        <f>Summary!L103</f>
        <v/>
      </c>
      <c r="M103" s="6">
        <f>Summary!M103</f>
        <v/>
      </c>
      <c r="N103" s="6">
        <f>Summary!N103</f>
        <v/>
      </c>
      <c r="O103" s="6">
        <f>Summary!O103</f>
        <v/>
      </c>
      <c r="P103" s="6">
        <f>Summary!P103</f>
        <v/>
      </c>
      <c r="Q103" s="6">
        <f>Summary!Q103</f>
        <v/>
      </c>
      <c r="R103" s="6">
        <f>Summary!R103</f>
        <v/>
      </c>
      <c r="S103" s="6">
        <f>Summary!S103</f>
        <v/>
      </c>
      <c r="T103" s="6">
        <f>Summary!T103</f>
        <v/>
      </c>
      <c r="U103" s="6">
        <f>Summary!U103</f>
        <v/>
      </c>
      <c r="V103" s="6">
        <f>Summary!V103</f>
        <v/>
      </c>
      <c r="W103" s="6">
        <f>Summary!W103</f>
        <v/>
      </c>
      <c r="X103" s="6">
        <f>Summary!X103</f>
        <v/>
      </c>
      <c r="Y103" s="6">
        <f>Summary!Y103</f>
        <v/>
      </c>
      <c r="Z103" s="6">
        <f>Summary!Z103</f>
        <v/>
      </c>
      <c r="AA103" s="6">
        <f>Summary!AA103</f>
        <v/>
      </c>
      <c r="AB103" s="6">
        <f>SUM(D103:AA103)</f>
        <v/>
      </c>
      <c r="AC103" s="3" t="inlineStr"/>
      <c r="AD103" s="7">
        <f>E103*0.00136677+D103*0.00136677</f>
        <v/>
      </c>
      <c r="AE103" s="7">
        <f>F103*0.00136677+E103*0.00136677</f>
        <v/>
      </c>
      <c r="AF103" s="7">
        <f>G103*0.00136677+F103*0.00136677</f>
        <v/>
      </c>
      <c r="AG103" s="7">
        <f>H103*0.00136677+G103*0.00136677</f>
        <v/>
      </c>
      <c r="AH103" s="7">
        <f>I103*0.00136677+H103*0.00136677</f>
        <v/>
      </c>
      <c r="AI103" s="7">
        <f>J103*0.00136677+I103*0.00136677</f>
        <v/>
      </c>
      <c r="AJ103" s="7">
        <f>K103*0.00136677+J103*0.00136677</f>
        <v/>
      </c>
      <c r="AK103" s="7">
        <f>L103*0.00136677+K103*0.00136677</f>
        <v/>
      </c>
      <c r="AL103" s="7">
        <f>M103*0.00136677+L103*0.00136677</f>
        <v/>
      </c>
      <c r="AM103" s="7">
        <f>N103*0.00136677+M103*0.00136677</f>
        <v/>
      </c>
      <c r="AN103" s="7">
        <f>O103*0.00136677+N103*0.00136677</f>
        <v/>
      </c>
      <c r="AO103" s="7">
        <f>P103*0.00136677+O103*0.00136677</f>
        <v/>
      </c>
      <c r="AP103" s="7">
        <f>Q103*0.00136677+P103*0.00136677</f>
        <v/>
      </c>
      <c r="AQ103" s="7">
        <f>R103*0.00136677+Q103*0.00136677</f>
        <v/>
      </c>
      <c r="AR103" s="7">
        <f>S103*0.00136677+R103*0.00136677</f>
        <v/>
      </c>
      <c r="AS103" s="7">
        <f>T103*0.00136677+S103*0.00136677</f>
        <v/>
      </c>
      <c r="AT103" s="7">
        <f>U103*0.00136677+T103*0.00136677</f>
        <v/>
      </c>
      <c r="AU103" s="7">
        <f>V103*0.00136677+U103*0.00136677</f>
        <v/>
      </c>
      <c r="AV103" s="7">
        <f>W103*0.00136677+V103*0.00136677</f>
        <v/>
      </c>
      <c r="AW103" s="7">
        <f>X103*0.00136677+W103*0.00136677</f>
        <v/>
      </c>
      <c r="AX103" s="7">
        <f>Y103*0.00136677+X103*0.00136677</f>
        <v/>
      </c>
      <c r="AY103" s="7">
        <f>Z103*0.00136677+Y103*0.00136677</f>
        <v/>
      </c>
      <c r="AZ103" s="7">
        <f>AA103*0.00136677+Z103*0.00136677</f>
        <v/>
      </c>
      <c r="BA103" s="7">
        <f>D103*0.00136677+AA103*0.00136677</f>
        <v/>
      </c>
      <c r="BB103" s="7">
        <f>SUM(AD103:BA103)</f>
        <v/>
      </c>
    </row>
    <row r="104">
      <c r="A104" t="inlineStr">
        <is>
          <t>AMD-RTS-RCLS-1302-SSC_1</t>
        </is>
      </c>
      <c r="B104" t="inlineStr">
        <is>
          <t>Rev OSC</t>
        </is>
      </c>
      <c r="C104" s="5" t="n">
        <v>46102</v>
      </c>
      <c r="D104" s="6">
        <f>Summary!D104</f>
        <v/>
      </c>
      <c r="E104" s="6">
        <f>Summary!E104</f>
        <v/>
      </c>
      <c r="F104" s="6">
        <f>Summary!F104</f>
        <v/>
      </c>
      <c r="G104" s="6">
        <f>Summary!G104</f>
        <v/>
      </c>
      <c r="H104" s="6">
        <f>Summary!H104</f>
        <v/>
      </c>
      <c r="I104" s="6">
        <f>Summary!I104</f>
        <v/>
      </c>
      <c r="J104" s="6">
        <f>Summary!J104</f>
        <v/>
      </c>
      <c r="K104" s="6">
        <f>Summary!K104</f>
        <v/>
      </c>
      <c r="L104" s="6">
        <f>Summary!L104</f>
        <v/>
      </c>
      <c r="M104" s="6">
        <f>Summary!M104</f>
        <v/>
      </c>
      <c r="N104" s="6">
        <f>Summary!N104</f>
        <v/>
      </c>
      <c r="O104" s="6">
        <f>Summary!O104</f>
        <v/>
      </c>
      <c r="P104" s="6">
        <f>Summary!P104</f>
        <v/>
      </c>
      <c r="Q104" s="6">
        <f>Summary!Q104</f>
        <v/>
      </c>
      <c r="R104" s="6">
        <f>Summary!R104</f>
        <v/>
      </c>
      <c r="S104" s="6">
        <f>Summary!S104</f>
        <v/>
      </c>
      <c r="T104" s="6">
        <f>Summary!T104</f>
        <v/>
      </c>
      <c r="U104" s="6">
        <f>Summary!U104</f>
        <v/>
      </c>
      <c r="V104" s="6">
        <f>Summary!V104</f>
        <v/>
      </c>
      <c r="W104" s="6">
        <f>Summary!W104</f>
        <v/>
      </c>
      <c r="X104" s="6">
        <f>Summary!X104</f>
        <v/>
      </c>
      <c r="Y104" s="6">
        <f>Summary!Y104</f>
        <v/>
      </c>
      <c r="Z104" s="6">
        <f>Summary!Z104</f>
        <v/>
      </c>
      <c r="AA104" s="6">
        <f>Summary!AA104</f>
        <v/>
      </c>
      <c r="AB104" s="6">
        <f>SUM(D104:AA104)</f>
        <v/>
      </c>
      <c r="AC104" s="3" t="inlineStr"/>
      <c r="AD104" s="7">
        <f>E104*0.00136677+D104*0.00136677</f>
        <v/>
      </c>
      <c r="AE104" s="7">
        <f>F104*0.00136677+E104*0.00136677</f>
        <v/>
      </c>
      <c r="AF104" s="7">
        <f>G104*0.00136677+F104*0.00136677</f>
        <v/>
      </c>
      <c r="AG104" s="7">
        <f>H104*0.00136677+G104*0.00136677</f>
        <v/>
      </c>
      <c r="AH104" s="7">
        <f>I104*0.00136677+H104*0.00136677</f>
        <v/>
      </c>
      <c r="AI104" s="7">
        <f>J104*0.00136677+I104*0.00136677</f>
        <v/>
      </c>
      <c r="AJ104" s="7">
        <f>K104*0.00136677+J104*0.00136677</f>
        <v/>
      </c>
      <c r="AK104" s="7">
        <f>L104*0.00136677+K104*0.00136677</f>
        <v/>
      </c>
      <c r="AL104" s="7">
        <f>M104*0.00136677+L104*0.00136677</f>
        <v/>
      </c>
      <c r="AM104" s="7">
        <f>N104*0.00136677+M104*0.00136677</f>
        <v/>
      </c>
      <c r="AN104" s="7">
        <f>O104*0.00136677+N104*0.00136677</f>
        <v/>
      </c>
      <c r="AO104" s="7">
        <f>P104*0.00136677+O104*0.00136677</f>
        <v/>
      </c>
      <c r="AP104" s="7">
        <f>Q104*0.00136677+P104*0.00136677</f>
        <v/>
      </c>
      <c r="AQ104" s="7">
        <f>R104*0.00136677+Q104*0.00136677</f>
        <v/>
      </c>
      <c r="AR104" s="7">
        <f>S104*0.00136677+R104*0.00136677</f>
        <v/>
      </c>
      <c r="AS104" s="7">
        <f>T104*0.00136677+S104*0.00136677</f>
        <v/>
      </c>
      <c r="AT104" s="7">
        <f>U104*0.00136677+T104*0.00136677</f>
        <v/>
      </c>
      <c r="AU104" s="7">
        <f>V104*0.00136677+U104*0.00136677</f>
        <v/>
      </c>
      <c r="AV104" s="7">
        <f>W104*0.00136677+V104*0.00136677</f>
        <v/>
      </c>
      <c r="AW104" s="7">
        <f>X104*0.00136677+W104*0.00136677</f>
        <v/>
      </c>
      <c r="AX104" s="7">
        <f>Y104*0.00136677+X104*0.00136677</f>
        <v/>
      </c>
      <c r="AY104" s="7">
        <f>Z104*0.00136677+Y104*0.00136677</f>
        <v/>
      </c>
      <c r="AZ104" s="7">
        <f>AA104*0.00136677+Z104*0.00136677</f>
        <v/>
      </c>
      <c r="BA104" s="7">
        <f>D104*0.00136677+AA104*0.00136677</f>
        <v/>
      </c>
      <c r="BB104" s="7">
        <f>SUM(AD104:BA104)</f>
        <v/>
      </c>
    </row>
    <row r="105">
      <c r="A105" t="inlineStr">
        <is>
          <t>AMD-RTS-RCLS-1302-SSC_1</t>
        </is>
      </c>
      <c r="B105" t="inlineStr">
        <is>
          <t>Rev OSC</t>
        </is>
      </c>
      <c r="C105" s="5" t="n">
        <v>46103</v>
      </c>
      <c r="D105" s="6">
        <f>Summary!D105</f>
        <v/>
      </c>
      <c r="E105" s="6">
        <f>Summary!E105</f>
        <v/>
      </c>
      <c r="F105" s="6">
        <f>Summary!F105</f>
        <v/>
      </c>
      <c r="G105" s="6">
        <f>Summary!G105</f>
        <v/>
      </c>
      <c r="H105" s="6">
        <f>Summary!H105</f>
        <v/>
      </c>
      <c r="I105" s="6">
        <f>Summary!I105</f>
        <v/>
      </c>
      <c r="J105" s="6">
        <f>Summary!J105</f>
        <v/>
      </c>
      <c r="K105" s="6">
        <f>Summary!K105</f>
        <v/>
      </c>
      <c r="L105" s="6">
        <f>Summary!L105</f>
        <v/>
      </c>
      <c r="M105" s="6">
        <f>Summary!M105</f>
        <v/>
      </c>
      <c r="N105" s="6">
        <f>Summary!N105</f>
        <v/>
      </c>
      <c r="O105" s="6">
        <f>Summary!O105</f>
        <v/>
      </c>
      <c r="P105" s="6">
        <f>Summary!P105</f>
        <v/>
      </c>
      <c r="Q105" s="6">
        <f>Summary!Q105</f>
        <v/>
      </c>
      <c r="R105" s="6">
        <f>Summary!R105</f>
        <v/>
      </c>
      <c r="S105" s="6">
        <f>Summary!S105</f>
        <v/>
      </c>
      <c r="T105" s="6">
        <f>Summary!T105</f>
        <v/>
      </c>
      <c r="U105" s="6">
        <f>Summary!U105</f>
        <v/>
      </c>
      <c r="V105" s="6">
        <f>Summary!V105</f>
        <v/>
      </c>
      <c r="W105" s="6">
        <f>Summary!W105</f>
        <v/>
      </c>
      <c r="X105" s="6">
        <f>Summary!X105</f>
        <v/>
      </c>
      <c r="Y105" s="6">
        <f>Summary!Y105</f>
        <v/>
      </c>
      <c r="Z105" s="6">
        <f>Summary!Z105</f>
        <v/>
      </c>
      <c r="AA105" s="6">
        <f>Summary!AA105</f>
        <v/>
      </c>
      <c r="AB105" s="6">
        <f>SUM(D105:AA105)</f>
        <v/>
      </c>
      <c r="AC105" s="3" t="inlineStr"/>
      <c r="AD105" s="7">
        <f>E105*0.00136677+D105*0.00136677</f>
        <v/>
      </c>
      <c r="AE105" s="7">
        <f>F105*0.00136677+E105*0.00136677</f>
        <v/>
      </c>
      <c r="AF105" s="7">
        <f>G105*0.00136677+F105*0.00136677</f>
        <v/>
      </c>
      <c r="AG105" s="7">
        <f>H105*0.00136677+G105*0.00136677</f>
        <v/>
      </c>
      <c r="AH105" s="7">
        <f>I105*0.00136677+H105*0.00136677</f>
        <v/>
      </c>
      <c r="AI105" s="7">
        <f>J105*0.00136677+I105*0.00136677</f>
        <v/>
      </c>
      <c r="AJ105" s="7">
        <f>K105*0.00136677+J105*0.00136677</f>
        <v/>
      </c>
      <c r="AK105" s="7">
        <f>L105*0.00136677+K105*0.00136677</f>
        <v/>
      </c>
      <c r="AL105" s="7">
        <f>M105*0.00136677+L105*0.00136677</f>
        <v/>
      </c>
      <c r="AM105" s="7">
        <f>N105*0.00136677+M105*0.00136677</f>
        <v/>
      </c>
      <c r="AN105" s="7">
        <f>O105*0.00136677+N105*0.00136677</f>
        <v/>
      </c>
      <c r="AO105" s="7">
        <f>P105*0.00136677+O105*0.00136677</f>
        <v/>
      </c>
      <c r="AP105" s="7">
        <f>Q105*0.00136677+P105*0.00136677</f>
        <v/>
      </c>
      <c r="AQ105" s="7">
        <f>R105*0.00136677+Q105*0.00136677</f>
        <v/>
      </c>
      <c r="AR105" s="7">
        <f>S105*0.00136677+R105*0.00136677</f>
        <v/>
      </c>
      <c r="AS105" s="7">
        <f>T105*0.00136677+S105*0.00136677</f>
        <v/>
      </c>
      <c r="AT105" s="7">
        <f>U105*0.00136677+T105*0.00136677</f>
        <v/>
      </c>
      <c r="AU105" s="7">
        <f>V105*0.00136677+U105*0.00136677</f>
        <v/>
      </c>
      <c r="AV105" s="7">
        <f>W105*0.00136677+V105*0.00136677</f>
        <v/>
      </c>
      <c r="AW105" s="7">
        <f>X105*0.00136677+W105*0.00136677</f>
        <v/>
      </c>
      <c r="AX105" s="7">
        <f>Y105*0.00136677+X105*0.00136677</f>
        <v/>
      </c>
      <c r="AY105" s="7">
        <f>Z105*0.00136677+Y105*0.00136677</f>
        <v/>
      </c>
      <c r="AZ105" s="7">
        <f>AA105*0.00136677+Z105*0.00136677</f>
        <v/>
      </c>
      <c r="BA105" s="7">
        <f>D105*0.00136677+AA105*0.00136677</f>
        <v/>
      </c>
      <c r="BB105" s="7">
        <f>SUM(AD105:BA105)</f>
        <v/>
      </c>
    </row>
    <row r="106">
      <c r="A106" t="inlineStr">
        <is>
          <t>AMD-RTS-RCLS-1302-SSC_1</t>
        </is>
      </c>
      <c r="B106" t="inlineStr">
        <is>
          <t>Rev OSC</t>
        </is>
      </c>
      <c r="C106" s="5" t="n">
        <v>46104</v>
      </c>
      <c r="D106" s="6">
        <f>Summary!D106</f>
        <v/>
      </c>
      <c r="E106" s="6">
        <f>Summary!E106</f>
        <v/>
      </c>
      <c r="F106" s="6">
        <f>Summary!F106</f>
        <v/>
      </c>
      <c r="G106" s="6">
        <f>Summary!G106</f>
        <v/>
      </c>
      <c r="H106" s="6">
        <f>Summary!H106</f>
        <v/>
      </c>
      <c r="I106" s="6">
        <f>Summary!I106</f>
        <v/>
      </c>
      <c r="J106" s="6">
        <f>Summary!J106</f>
        <v/>
      </c>
      <c r="K106" s="6">
        <f>Summary!K106</f>
        <v/>
      </c>
      <c r="L106" s="6">
        <f>Summary!L106</f>
        <v/>
      </c>
      <c r="M106" s="6">
        <f>Summary!M106</f>
        <v/>
      </c>
      <c r="N106" s="6">
        <f>Summary!N106</f>
        <v/>
      </c>
      <c r="O106" s="6">
        <f>Summary!O106</f>
        <v/>
      </c>
      <c r="P106" s="6">
        <f>Summary!P106</f>
        <v/>
      </c>
      <c r="Q106" s="6">
        <f>Summary!Q106</f>
        <v/>
      </c>
      <c r="R106" s="6">
        <f>Summary!R106</f>
        <v/>
      </c>
      <c r="S106" s="6">
        <f>Summary!S106</f>
        <v/>
      </c>
      <c r="T106" s="6">
        <f>Summary!T106</f>
        <v/>
      </c>
      <c r="U106" s="6">
        <f>Summary!U106</f>
        <v/>
      </c>
      <c r="V106" s="6">
        <f>Summary!V106</f>
        <v/>
      </c>
      <c r="W106" s="6">
        <f>Summary!W106</f>
        <v/>
      </c>
      <c r="X106" s="6">
        <f>Summary!X106</f>
        <v/>
      </c>
      <c r="Y106" s="6">
        <f>Summary!Y106</f>
        <v/>
      </c>
      <c r="Z106" s="6">
        <f>Summary!Z106</f>
        <v/>
      </c>
      <c r="AA106" s="6">
        <f>Summary!AA106</f>
        <v/>
      </c>
      <c r="AB106" s="6">
        <f>SUM(D106:AA106)</f>
        <v/>
      </c>
      <c r="AC106" s="3" t="inlineStr"/>
      <c r="AD106" s="7">
        <f>E106*0.00136677+D106*0.00136677</f>
        <v/>
      </c>
      <c r="AE106" s="7">
        <f>F106*0.00136677+E106*0.00136677</f>
        <v/>
      </c>
      <c r="AF106" s="7">
        <f>G106*0.00136677+F106*0.00136677</f>
        <v/>
      </c>
      <c r="AG106" s="7">
        <f>H106*0.00136677+G106*0.00136677</f>
        <v/>
      </c>
      <c r="AH106" s="7">
        <f>I106*0.00136677+H106*0.00136677</f>
        <v/>
      </c>
      <c r="AI106" s="7">
        <f>J106*0.00136677+I106*0.00136677</f>
        <v/>
      </c>
      <c r="AJ106" s="7">
        <f>K106*0.00136677+J106*0.00136677</f>
        <v/>
      </c>
      <c r="AK106" s="7">
        <f>L106*0.00136677+K106*0.00136677</f>
        <v/>
      </c>
      <c r="AL106" s="7">
        <f>M106*0.00136677+L106*0.00136677</f>
        <v/>
      </c>
      <c r="AM106" s="7">
        <f>N106*0.00136677+M106*0.00136677</f>
        <v/>
      </c>
      <c r="AN106" s="7">
        <f>O106*0.00136677+N106*0.00136677</f>
        <v/>
      </c>
      <c r="AO106" s="7">
        <f>P106*0.00136677+O106*0.00136677</f>
        <v/>
      </c>
      <c r="AP106" s="7">
        <f>Q106*0.00136677+P106*0.00136677</f>
        <v/>
      </c>
      <c r="AQ106" s="7">
        <f>R106*0.00136677+Q106*0.00136677</f>
        <v/>
      </c>
      <c r="AR106" s="7">
        <f>S106*0.00136677+R106*0.00136677</f>
        <v/>
      </c>
      <c r="AS106" s="7">
        <f>T106*0.00136677+S106*0.00136677</f>
        <v/>
      </c>
      <c r="AT106" s="7">
        <f>U106*0.00136677+T106*0.00136677</f>
        <v/>
      </c>
      <c r="AU106" s="7">
        <f>V106*0.00136677+U106*0.00136677</f>
        <v/>
      </c>
      <c r="AV106" s="7">
        <f>W106*0.00136677+V106*0.00136677</f>
        <v/>
      </c>
      <c r="AW106" s="7">
        <f>X106*0.00136677+W106*0.00136677</f>
        <v/>
      </c>
      <c r="AX106" s="7">
        <f>Y106*0.00136677+X106*0.00136677</f>
        <v/>
      </c>
      <c r="AY106" s="7">
        <f>Z106*0.00136677+Y106*0.00136677</f>
        <v/>
      </c>
      <c r="AZ106" s="7">
        <f>AA106*0.00136677+Z106*0.00136677</f>
        <v/>
      </c>
      <c r="BA106" s="7">
        <f>D106*0.00136677+AA106*0.00136677</f>
        <v/>
      </c>
      <c r="BB106" s="7">
        <f>SUM(AD106:BA106)</f>
        <v/>
      </c>
    </row>
    <row r="107">
      <c r="A107" t="inlineStr">
        <is>
          <t>AMD-RTS-RCLS-1302-SSC_1</t>
        </is>
      </c>
      <c r="B107" t="inlineStr">
        <is>
          <t>Rev OSC</t>
        </is>
      </c>
      <c r="C107" s="5" t="n">
        <v>46105</v>
      </c>
      <c r="D107" s="6">
        <f>Summary!D107</f>
        <v/>
      </c>
      <c r="E107" s="6">
        <f>Summary!E107</f>
        <v/>
      </c>
      <c r="F107" s="6">
        <f>Summary!F107</f>
        <v/>
      </c>
      <c r="G107" s="6">
        <f>Summary!G107</f>
        <v/>
      </c>
      <c r="H107" s="6">
        <f>Summary!H107</f>
        <v/>
      </c>
      <c r="I107" s="6">
        <f>Summary!I107</f>
        <v/>
      </c>
      <c r="J107" s="6">
        <f>Summary!J107</f>
        <v/>
      </c>
      <c r="K107" s="6">
        <f>Summary!K107</f>
        <v/>
      </c>
      <c r="L107" s="6">
        <f>Summary!L107</f>
        <v/>
      </c>
      <c r="M107" s="6">
        <f>Summary!M107</f>
        <v/>
      </c>
      <c r="N107" s="6">
        <f>Summary!N107</f>
        <v/>
      </c>
      <c r="O107" s="6">
        <f>Summary!O107</f>
        <v/>
      </c>
      <c r="P107" s="6">
        <f>Summary!P107</f>
        <v/>
      </c>
      <c r="Q107" s="6">
        <f>Summary!Q107</f>
        <v/>
      </c>
      <c r="R107" s="6">
        <f>Summary!R107</f>
        <v/>
      </c>
      <c r="S107" s="6">
        <f>Summary!S107</f>
        <v/>
      </c>
      <c r="T107" s="6">
        <f>Summary!T107</f>
        <v/>
      </c>
      <c r="U107" s="6">
        <f>Summary!U107</f>
        <v/>
      </c>
      <c r="V107" s="6">
        <f>Summary!V107</f>
        <v/>
      </c>
      <c r="W107" s="6">
        <f>Summary!W107</f>
        <v/>
      </c>
      <c r="X107" s="6">
        <f>Summary!X107</f>
        <v/>
      </c>
      <c r="Y107" s="6">
        <f>Summary!Y107</f>
        <v/>
      </c>
      <c r="Z107" s="6">
        <f>Summary!Z107</f>
        <v/>
      </c>
      <c r="AA107" s="6">
        <f>Summary!AA107</f>
        <v/>
      </c>
      <c r="AB107" s="6">
        <f>SUM(D107:AA107)</f>
        <v/>
      </c>
      <c r="AC107" s="3" t="inlineStr"/>
      <c r="AD107" s="7">
        <f>E107*0.00136677+D107*0.00136677</f>
        <v/>
      </c>
      <c r="AE107" s="7">
        <f>F107*0.00136677+E107*0.00136677</f>
        <v/>
      </c>
      <c r="AF107" s="7">
        <f>G107*0.00136677+F107*0.00136677</f>
        <v/>
      </c>
      <c r="AG107" s="7">
        <f>H107*0.00136677+G107*0.00136677</f>
        <v/>
      </c>
      <c r="AH107" s="7">
        <f>I107*0.00136677+H107*0.00136677</f>
        <v/>
      </c>
      <c r="AI107" s="7">
        <f>J107*0.00136677+I107*0.00136677</f>
        <v/>
      </c>
      <c r="AJ107" s="7">
        <f>K107*0.00136677+J107*0.00136677</f>
        <v/>
      </c>
      <c r="AK107" s="7">
        <f>L107*0.00136677+K107*0.00136677</f>
        <v/>
      </c>
      <c r="AL107" s="7">
        <f>M107*0.00136677+L107*0.00136677</f>
        <v/>
      </c>
      <c r="AM107" s="7">
        <f>N107*0.00136677+M107*0.00136677</f>
        <v/>
      </c>
      <c r="AN107" s="7">
        <f>O107*0.00136677+N107*0.00136677</f>
        <v/>
      </c>
      <c r="AO107" s="7">
        <f>P107*0.00136677+O107*0.00136677</f>
        <v/>
      </c>
      <c r="AP107" s="7">
        <f>Q107*0.00136677+P107*0.00136677</f>
        <v/>
      </c>
      <c r="AQ107" s="7">
        <f>R107*0.00136677+Q107*0.00136677</f>
        <v/>
      </c>
      <c r="AR107" s="7">
        <f>S107*0.00136677+R107*0.00136677</f>
        <v/>
      </c>
      <c r="AS107" s="7">
        <f>T107*0.00136677+S107*0.00136677</f>
        <v/>
      </c>
      <c r="AT107" s="7">
        <f>U107*0.00136677+T107*0.00136677</f>
        <v/>
      </c>
      <c r="AU107" s="7">
        <f>V107*0.00136677+U107*0.00136677</f>
        <v/>
      </c>
      <c r="AV107" s="7">
        <f>W107*0.00136677+V107*0.00136677</f>
        <v/>
      </c>
      <c r="AW107" s="7">
        <f>X107*0.00136677+W107*0.00136677</f>
        <v/>
      </c>
      <c r="AX107" s="7">
        <f>Y107*0.00136677+X107*0.00136677</f>
        <v/>
      </c>
      <c r="AY107" s="7">
        <f>Z107*0.00136677+Y107*0.00136677</f>
        <v/>
      </c>
      <c r="AZ107" s="7">
        <f>AA107*0.00136677+Z107*0.00136677</f>
        <v/>
      </c>
      <c r="BA107" s="7">
        <f>D107*0.00136677+AA107*0.00136677</f>
        <v/>
      </c>
      <c r="BB107" s="7">
        <f>SUM(AD107:BA107)</f>
        <v/>
      </c>
    </row>
    <row r="108">
      <c r="A108" t="inlineStr">
        <is>
          <t>AMD-RTS-RCLS-1302-SSC_2</t>
        </is>
      </c>
      <c r="B108" t="inlineStr">
        <is>
          <t>Rev OSC</t>
        </is>
      </c>
      <c r="C108" s="5" t="n">
        <v>46100</v>
      </c>
      <c r="D108" s="6">
        <f>Summary!D108</f>
        <v/>
      </c>
      <c r="E108" s="6">
        <f>Summary!E108</f>
        <v/>
      </c>
      <c r="F108" s="6">
        <f>Summary!F108</f>
        <v/>
      </c>
      <c r="G108" s="6">
        <f>Summary!G108</f>
        <v/>
      </c>
      <c r="H108" s="6">
        <f>Summary!H108</f>
        <v/>
      </c>
      <c r="I108" s="6">
        <f>Summary!I108</f>
        <v/>
      </c>
      <c r="J108" s="6">
        <f>Summary!J108</f>
        <v/>
      </c>
      <c r="K108" s="6">
        <f>Summary!K108</f>
        <v/>
      </c>
      <c r="L108" s="6">
        <f>Summary!L108</f>
        <v/>
      </c>
      <c r="M108" s="6">
        <f>Summary!M108</f>
        <v/>
      </c>
      <c r="N108" s="6">
        <f>Summary!N108</f>
        <v/>
      </c>
      <c r="O108" s="6">
        <f>Summary!O108</f>
        <v/>
      </c>
      <c r="P108" s="6">
        <f>Summary!P108</f>
        <v/>
      </c>
      <c r="Q108" s="6">
        <f>Summary!Q108</f>
        <v/>
      </c>
      <c r="R108" s="6">
        <f>Summary!R108</f>
        <v/>
      </c>
      <c r="S108" s="6">
        <f>Summary!S108</f>
        <v/>
      </c>
      <c r="T108" s="6">
        <f>Summary!T108</f>
        <v/>
      </c>
      <c r="U108" s="6">
        <f>Summary!U108</f>
        <v/>
      </c>
      <c r="V108" s="6">
        <f>Summary!V108</f>
        <v/>
      </c>
      <c r="W108" s="6">
        <f>Summary!W108</f>
        <v/>
      </c>
      <c r="X108" s="6">
        <f>Summary!X108</f>
        <v/>
      </c>
      <c r="Y108" s="6">
        <f>Summary!Y108</f>
        <v/>
      </c>
      <c r="Z108" s="6">
        <f>Summary!Z108</f>
        <v/>
      </c>
      <c r="AA108" s="6">
        <f>Summary!AA108</f>
        <v/>
      </c>
      <c r="AB108" s="6">
        <f>SUM(D108:AA108)</f>
        <v/>
      </c>
      <c r="AC108" s="3" t="inlineStr"/>
      <c r="AD108" s="7">
        <f>E108*0.00136677+D108*0.00136677</f>
        <v/>
      </c>
      <c r="AE108" s="7">
        <f>F108*0.00136677+E108*0.00136677</f>
        <v/>
      </c>
      <c r="AF108" s="7">
        <f>G108*0.00136677+F108*0.00136677</f>
        <v/>
      </c>
      <c r="AG108" s="7">
        <f>H108*0.00136677+G108*0.00136677</f>
        <v/>
      </c>
      <c r="AH108" s="7">
        <f>I108*0.00136677+H108*0.00136677</f>
        <v/>
      </c>
      <c r="AI108" s="7">
        <f>J108*0.00136677+I108*0.00136677</f>
        <v/>
      </c>
      <c r="AJ108" s="7">
        <f>K108*0.00136677+J108*0.00136677</f>
        <v/>
      </c>
      <c r="AK108" s="7">
        <f>L108*0.00136677+K108*0.00136677</f>
        <v/>
      </c>
      <c r="AL108" s="7">
        <f>M108*0.00136677+L108*0.00136677</f>
        <v/>
      </c>
      <c r="AM108" s="7">
        <f>N108*0.00136677+M108*0.00136677</f>
        <v/>
      </c>
      <c r="AN108" s="7">
        <f>O108*0.00136677+N108*0.00136677</f>
        <v/>
      </c>
      <c r="AO108" s="7">
        <f>P108*0.00136677+O108*0.00136677</f>
        <v/>
      </c>
      <c r="AP108" s="7">
        <f>Q108*0.00136677+P108*0.00136677</f>
        <v/>
      </c>
      <c r="AQ108" s="7">
        <f>R108*0.00136677+Q108*0.00136677</f>
        <v/>
      </c>
      <c r="AR108" s="7">
        <f>S108*0.00136677+R108*0.00136677</f>
        <v/>
      </c>
      <c r="AS108" s="7">
        <f>T108*0.00136677+S108*0.00136677</f>
        <v/>
      </c>
      <c r="AT108" s="7">
        <f>U108*0.00136677+T108*0.00136677</f>
        <v/>
      </c>
      <c r="AU108" s="7">
        <f>V108*0.00136677+U108*0.00136677</f>
        <v/>
      </c>
      <c r="AV108" s="7">
        <f>W108*0.00136677+V108*0.00136677</f>
        <v/>
      </c>
      <c r="AW108" s="7">
        <f>X108*0.00136677+W108*0.00136677</f>
        <v/>
      </c>
      <c r="AX108" s="7">
        <f>Y108*0.00136677+X108*0.00136677</f>
        <v/>
      </c>
      <c r="AY108" s="7">
        <f>Z108*0.00136677+Y108*0.00136677</f>
        <v/>
      </c>
      <c r="AZ108" s="7">
        <f>AA108*0.00136677+Z108*0.00136677</f>
        <v/>
      </c>
      <c r="BA108" s="7">
        <f>D108*0.00136677+AA108*0.00136677</f>
        <v/>
      </c>
      <c r="BB108" s="7">
        <f>SUM(AD108:BA108)</f>
        <v/>
      </c>
    </row>
    <row r="109">
      <c r="A109" t="inlineStr">
        <is>
          <t>AMD-RTS-RCLS-1302-SSC_2</t>
        </is>
      </c>
      <c r="B109" t="inlineStr">
        <is>
          <t>Rev OSC</t>
        </is>
      </c>
      <c r="C109" s="5" t="n">
        <v>46102</v>
      </c>
      <c r="D109" s="6">
        <f>Summary!D109</f>
        <v/>
      </c>
      <c r="E109" s="6">
        <f>Summary!E109</f>
        <v/>
      </c>
      <c r="F109" s="6">
        <f>Summary!F109</f>
        <v/>
      </c>
      <c r="G109" s="6">
        <f>Summary!G109</f>
        <v/>
      </c>
      <c r="H109" s="6">
        <f>Summary!H109</f>
        <v/>
      </c>
      <c r="I109" s="6">
        <f>Summary!I109</f>
        <v/>
      </c>
      <c r="J109" s="6">
        <f>Summary!J109</f>
        <v/>
      </c>
      <c r="K109" s="6">
        <f>Summary!K109</f>
        <v/>
      </c>
      <c r="L109" s="6">
        <f>Summary!L109</f>
        <v/>
      </c>
      <c r="M109" s="6">
        <f>Summary!M109</f>
        <v/>
      </c>
      <c r="N109" s="6">
        <f>Summary!N109</f>
        <v/>
      </c>
      <c r="O109" s="6">
        <f>Summary!O109</f>
        <v/>
      </c>
      <c r="P109" s="6">
        <f>Summary!P109</f>
        <v/>
      </c>
      <c r="Q109" s="6">
        <f>Summary!Q109</f>
        <v/>
      </c>
      <c r="R109" s="6">
        <f>Summary!R109</f>
        <v/>
      </c>
      <c r="S109" s="6">
        <f>Summary!S109</f>
        <v/>
      </c>
      <c r="T109" s="6">
        <f>Summary!T109</f>
        <v/>
      </c>
      <c r="U109" s="6">
        <f>Summary!U109</f>
        <v/>
      </c>
      <c r="V109" s="6">
        <f>Summary!V109</f>
        <v/>
      </c>
      <c r="W109" s="6">
        <f>Summary!W109</f>
        <v/>
      </c>
      <c r="X109" s="6">
        <f>Summary!X109</f>
        <v/>
      </c>
      <c r="Y109" s="6">
        <f>Summary!Y109</f>
        <v/>
      </c>
      <c r="Z109" s="6">
        <f>Summary!Z109</f>
        <v/>
      </c>
      <c r="AA109" s="6">
        <f>Summary!AA109</f>
        <v/>
      </c>
      <c r="AB109" s="6">
        <f>SUM(D109:AA109)</f>
        <v/>
      </c>
      <c r="AC109" s="3" t="inlineStr"/>
      <c r="AD109" s="7">
        <f>E109*0.00136677+D109*0.00136677</f>
        <v/>
      </c>
      <c r="AE109" s="7">
        <f>F109*0.00136677+E109*0.00136677</f>
        <v/>
      </c>
      <c r="AF109" s="7">
        <f>G109*0.00136677+F109*0.00136677</f>
        <v/>
      </c>
      <c r="AG109" s="7">
        <f>H109*0.00136677+G109*0.00136677</f>
        <v/>
      </c>
      <c r="AH109" s="7">
        <f>I109*0.00136677+H109*0.00136677</f>
        <v/>
      </c>
      <c r="AI109" s="7">
        <f>J109*0.00136677+I109*0.00136677</f>
        <v/>
      </c>
      <c r="AJ109" s="7">
        <f>K109*0.00136677+J109*0.00136677</f>
        <v/>
      </c>
      <c r="AK109" s="7">
        <f>L109*0.00136677+K109*0.00136677</f>
        <v/>
      </c>
      <c r="AL109" s="7">
        <f>M109*0.00136677+L109*0.00136677</f>
        <v/>
      </c>
      <c r="AM109" s="7">
        <f>N109*0.00136677+M109*0.00136677</f>
        <v/>
      </c>
      <c r="AN109" s="7">
        <f>O109*0.00136677+N109*0.00136677</f>
        <v/>
      </c>
      <c r="AO109" s="7">
        <f>P109*0.00136677+O109*0.00136677</f>
        <v/>
      </c>
      <c r="AP109" s="7">
        <f>Q109*0.00136677+P109*0.00136677</f>
        <v/>
      </c>
      <c r="AQ109" s="7">
        <f>R109*0.00136677+Q109*0.00136677</f>
        <v/>
      </c>
      <c r="AR109" s="7">
        <f>S109*0.00136677+R109*0.00136677</f>
        <v/>
      </c>
      <c r="AS109" s="7">
        <f>T109*0.00136677+S109*0.00136677</f>
        <v/>
      </c>
      <c r="AT109" s="7">
        <f>U109*0.00136677+T109*0.00136677</f>
        <v/>
      </c>
      <c r="AU109" s="7">
        <f>V109*0.00136677+U109*0.00136677</f>
        <v/>
      </c>
      <c r="AV109" s="7">
        <f>W109*0.00136677+V109*0.00136677</f>
        <v/>
      </c>
      <c r="AW109" s="7">
        <f>X109*0.00136677+W109*0.00136677</f>
        <v/>
      </c>
      <c r="AX109" s="7">
        <f>Y109*0.00136677+X109*0.00136677</f>
        <v/>
      </c>
      <c r="AY109" s="7">
        <f>Z109*0.00136677+Y109*0.00136677</f>
        <v/>
      </c>
      <c r="AZ109" s="7">
        <f>AA109*0.00136677+Z109*0.00136677</f>
        <v/>
      </c>
      <c r="BA109" s="7">
        <f>D109*0.00136677+AA109*0.00136677</f>
        <v/>
      </c>
      <c r="BB109" s="7">
        <f>SUM(AD109:BA109)</f>
        <v/>
      </c>
    </row>
    <row r="110">
      <c r="A110" t="inlineStr">
        <is>
          <t>AMD-RTS-RCLS-1302-SSC_2</t>
        </is>
      </c>
      <c r="B110" t="inlineStr">
        <is>
          <t>Rev OSC</t>
        </is>
      </c>
      <c r="C110" s="5" t="n">
        <v>46104</v>
      </c>
      <c r="D110" s="6">
        <f>Summary!D110</f>
        <v/>
      </c>
      <c r="E110" s="6">
        <f>Summary!E110</f>
        <v/>
      </c>
      <c r="F110" s="6">
        <f>Summary!F110</f>
        <v/>
      </c>
      <c r="G110" s="6">
        <f>Summary!G110</f>
        <v/>
      </c>
      <c r="H110" s="6">
        <f>Summary!H110</f>
        <v/>
      </c>
      <c r="I110" s="6">
        <f>Summary!I110</f>
        <v/>
      </c>
      <c r="J110" s="6">
        <f>Summary!J110</f>
        <v/>
      </c>
      <c r="K110" s="6">
        <f>Summary!K110</f>
        <v/>
      </c>
      <c r="L110" s="6">
        <f>Summary!L110</f>
        <v/>
      </c>
      <c r="M110" s="6">
        <f>Summary!M110</f>
        <v/>
      </c>
      <c r="N110" s="6">
        <f>Summary!N110</f>
        <v/>
      </c>
      <c r="O110" s="6">
        <f>Summary!O110</f>
        <v/>
      </c>
      <c r="P110" s="6">
        <f>Summary!P110</f>
        <v/>
      </c>
      <c r="Q110" s="6">
        <f>Summary!Q110</f>
        <v/>
      </c>
      <c r="R110" s="6">
        <f>Summary!R110</f>
        <v/>
      </c>
      <c r="S110" s="6">
        <f>Summary!S110</f>
        <v/>
      </c>
      <c r="T110" s="6">
        <f>Summary!T110</f>
        <v/>
      </c>
      <c r="U110" s="6">
        <f>Summary!U110</f>
        <v/>
      </c>
      <c r="V110" s="6">
        <f>Summary!V110</f>
        <v/>
      </c>
      <c r="W110" s="6">
        <f>Summary!W110</f>
        <v/>
      </c>
      <c r="X110" s="6">
        <f>Summary!X110</f>
        <v/>
      </c>
      <c r="Y110" s="6">
        <f>Summary!Y110</f>
        <v/>
      </c>
      <c r="Z110" s="6">
        <f>Summary!Z110</f>
        <v/>
      </c>
      <c r="AA110" s="6">
        <f>Summary!AA110</f>
        <v/>
      </c>
      <c r="AB110" s="6">
        <f>SUM(D110:AA110)</f>
        <v/>
      </c>
      <c r="AC110" s="3" t="inlineStr"/>
      <c r="AD110" s="7">
        <f>E110*0.00136677+D110*0.00136677</f>
        <v/>
      </c>
      <c r="AE110" s="7">
        <f>F110*0.00136677+E110*0.00136677</f>
        <v/>
      </c>
      <c r="AF110" s="7">
        <f>G110*0.00136677+F110*0.00136677</f>
        <v/>
      </c>
      <c r="AG110" s="7">
        <f>H110*0.00136677+G110*0.00136677</f>
        <v/>
      </c>
      <c r="AH110" s="7">
        <f>I110*0.00136677+H110*0.00136677</f>
        <v/>
      </c>
      <c r="AI110" s="7">
        <f>J110*0.00136677+I110*0.00136677</f>
        <v/>
      </c>
      <c r="AJ110" s="7">
        <f>K110*0.00136677+J110*0.00136677</f>
        <v/>
      </c>
      <c r="AK110" s="7">
        <f>L110*0.00136677+K110*0.00136677</f>
        <v/>
      </c>
      <c r="AL110" s="7">
        <f>M110*0.00136677+L110*0.00136677</f>
        <v/>
      </c>
      <c r="AM110" s="7">
        <f>N110*0.00136677+M110*0.00136677</f>
        <v/>
      </c>
      <c r="AN110" s="7">
        <f>O110*0.00136677+N110*0.00136677</f>
        <v/>
      </c>
      <c r="AO110" s="7">
        <f>P110*0.00136677+O110*0.00136677</f>
        <v/>
      </c>
      <c r="AP110" s="7">
        <f>Q110*0.00136677+P110*0.00136677</f>
        <v/>
      </c>
      <c r="AQ110" s="7">
        <f>R110*0.00136677+Q110*0.00136677</f>
        <v/>
      </c>
      <c r="AR110" s="7">
        <f>S110*0.00136677+R110*0.00136677</f>
        <v/>
      </c>
      <c r="AS110" s="7">
        <f>T110*0.00136677+S110*0.00136677</f>
        <v/>
      </c>
      <c r="AT110" s="7">
        <f>U110*0.00136677+T110*0.00136677</f>
        <v/>
      </c>
      <c r="AU110" s="7">
        <f>V110*0.00136677+U110*0.00136677</f>
        <v/>
      </c>
      <c r="AV110" s="7">
        <f>W110*0.00136677+V110*0.00136677</f>
        <v/>
      </c>
      <c r="AW110" s="7">
        <f>X110*0.00136677+W110*0.00136677</f>
        <v/>
      </c>
      <c r="AX110" s="7">
        <f>Y110*0.00136677+X110*0.00136677</f>
        <v/>
      </c>
      <c r="AY110" s="7">
        <f>Z110*0.00136677+Y110*0.00136677</f>
        <v/>
      </c>
      <c r="AZ110" s="7">
        <f>AA110*0.00136677+Z110*0.00136677</f>
        <v/>
      </c>
      <c r="BA110" s="7">
        <f>D110*0.00136677+AA110*0.00136677</f>
        <v/>
      </c>
      <c r="BB110" s="7">
        <f>SUM(AD110:BA110)</f>
        <v/>
      </c>
    </row>
    <row r="111">
      <c r="A111" t="inlineStr">
        <is>
          <t>DC-10-1</t>
        </is>
      </c>
      <c r="B111" t="inlineStr">
        <is>
          <t>DSC Manual</t>
        </is>
      </c>
      <c r="C111" s="5" t="n">
        <v>46089</v>
      </c>
      <c r="D111" s="6" t="n">
        <v>0</v>
      </c>
      <c r="E111" s="6" t="n">
        <v>0</v>
      </c>
      <c r="F111" s="6" t="n">
        <v>0</v>
      </c>
      <c r="G111" s="6" t="n">
        <v>0</v>
      </c>
      <c r="H111" s="6" t="n">
        <v>0</v>
      </c>
      <c r="I111" s="6" t="n">
        <v>0</v>
      </c>
      <c r="J111" s="6" t="n">
        <v>0</v>
      </c>
      <c r="K111" s="6" t="n">
        <v>0</v>
      </c>
      <c r="L111" s="6" t="n">
        <v>0</v>
      </c>
      <c r="M111" s="6" t="n">
        <v>0</v>
      </c>
      <c r="N111" s="6" t="n">
        <v>0</v>
      </c>
      <c r="O111" s="6" t="n">
        <v>0</v>
      </c>
      <c r="P111" s="6" t="n">
        <v>0</v>
      </c>
      <c r="Q111" s="6" t="n">
        <v>0</v>
      </c>
      <c r="R111" s="6" t="n">
        <v>0</v>
      </c>
      <c r="S111" s="6" t="n">
        <v>0</v>
      </c>
      <c r="T111" s="6" t="n">
        <v>0</v>
      </c>
      <c r="U111" s="6" t="n">
        <v>0</v>
      </c>
      <c r="V111" s="6" t="n">
        <v>0</v>
      </c>
      <c r="W111" s="6" t="n">
        <v>0</v>
      </c>
      <c r="X111" s="6" t="n">
        <v>0</v>
      </c>
      <c r="Y111" s="6" t="n">
        <v>0</v>
      </c>
      <c r="Z111" s="6" t="n">
        <v>0</v>
      </c>
      <c r="AA111" s="6" t="n">
        <v>0</v>
      </c>
      <c r="AB111" s="6">
        <f>SUM(D111:AA111)</f>
        <v/>
      </c>
      <c r="AC111" s="3" t="inlineStr"/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7" t="n">
        <v>0</v>
      </c>
      <c r="BB111" s="7">
        <f>SUM(AD111:BA111)</f>
        <v/>
      </c>
    </row>
    <row r="112">
      <c r="A112" t="inlineStr">
        <is>
          <t>DC-10-1</t>
        </is>
      </c>
      <c r="B112" t="inlineStr">
        <is>
          <t>DSC Manual</t>
        </is>
      </c>
      <c r="C112" s="5" t="n">
        <v>46090</v>
      </c>
      <c r="D112" s="6" t="n">
        <v>0</v>
      </c>
      <c r="E112" s="6" t="n">
        <v>0</v>
      </c>
      <c r="F112" s="6" t="n">
        <v>0</v>
      </c>
      <c r="G112" s="6" t="n">
        <v>0</v>
      </c>
      <c r="H112" s="6" t="n">
        <v>0</v>
      </c>
      <c r="I112" s="6" t="n">
        <v>0</v>
      </c>
      <c r="J112" s="6" t="n">
        <v>0</v>
      </c>
      <c r="K112" s="6" t="n">
        <v>0</v>
      </c>
      <c r="L112" s="6" t="n">
        <v>0</v>
      </c>
      <c r="M112" s="6" t="n">
        <v>0</v>
      </c>
      <c r="N112" s="6" t="n">
        <v>0</v>
      </c>
      <c r="O112" s="6" t="n">
        <v>0</v>
      </c>
      <c r="P112" s="6" t="n">
        <v>0</v>
      </c>
      <c r="Q112" s="6" t="n">
        <v>0</v>
      </c>
      <c r="R112" s="6" t="n">
        <v>0</v>
      </c>
      <c r="S112" s="6" t="n">
        <v>0</v>
      </c>
      <c r="T112" s="6" t="n">
        <v>0</v>
      </c>
      <c r="U112" s="6" t="n">
        <v>0</v>
      </c>
      <c r="V112" s="6" t="n">
        <v>0</v>
      </c>
      <c r="W112" s="6" t="n">
        <v>0</v>
      </c>
      <c r="X112" s="6" t="n">
        <v>0</v>
      </c>
      <c r="Y112" s="6" t="n">
        <v>0</v>
      </c>
      <c r="Z112" s="6" t="n">
        <v>0</v>
      </c>
      <c r="AA112" s="6" t="n">
        <v>0</v>
      </c>
      <c r="AB112" s="6">
        <f>SUM(D112:AA112)</f>
        <v/>
      </c>
      <c r="AC112" s="3" t="inlineStr"/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>
        <f>SUM(AD112:BA112)</f>
        <v/>
      </c>
    </row>
    <row r="113">
      <c r="A113" t="inlineStr">
        <is>
          <t>DC-10-1</t>
        </is>
      </c>
      <c r="B113" t="inlineStr">
        <is>
          <t>DSC Manual</t>
        </is>
      </c>
      <c r="C113" s="5" t="n">
        <v>46091</v>
      </c>
      <c r="D113" s="6" t="n">
        <v>0</v>
      </c>
      <c r="E113" s="6" t="n">
        <v>0</v>
      </c>
      <c r="F113" s="6" t="n">
        <v>0</v>
      </c>
      <c r="G113" s="6" t="n">
        <v>0</v>
      </c>
      <c r="H113" s="6" t="n">
        <v>0</v>
      </c>
      <c r="I113" s="6" t="n">
        <v>0</v>
      </c>
      <c r="J113" s="6" t="n">
        <v>0</v>
      </c>
      <c r="K113" s="6" t="n">
        <v>0</v>
      </c>
      <c r="L113" s="6" t="n">
        <v>0</v>
      </c>
      <c r="M113" s="6" t="n">
        <v>0</v>
      </c>
      <c r="N113" s="6" t="n">
        <v>0</v>
      </c>
      <c r="O113" s="6" t="n">
        <v>0</v>
      </c>
      <c r="P113" s="6" t="n">
        <v>0</v>
      </c>
      <c r="Q113" s="6" t="n">
        <v>0</v>
      </c>
      <c r="R113" s="6" t="n">
        <v>0</v>
      </c>
      <c r="S113" s="6" t="n">
        <v>0</v>
      </c>
      <c r="T113" s="6" t="n">
        <v>0</v>
      </c>
      <c r="U113" s="6" t="n">
        <v>0</v>
      </c>
      <c r="V113" s="6" t="n">
        <v>0</v>
      </c>
      <c r="W113" s="6" t="n">
        <v>0</v>
      </c>
      <c r="X113" s="6" t="n">
        <v>0</v>
      </c>
      <c r="Y113" s="6" t="n">
        <v>0</v>
      </c>
      <c r="Z113" s="6" t="n">
        <v>0</v>
      </c>
      <c r="AA113" s="6" t="n">
        <v>0</v>
      </c>
      <c r="AB113" s="6">
        <f>SUM(D113:AA113)</f>
        <v/>
      </c>
      <c r="AC113" s="3" t="inlineStr"/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7" t="n">
        <v>0</v>
      </c>
      <c r="BB113" s="7">
        <f>SUM(AD113:BA113)</f>
        <v/>
      </c>
    </row>
    <row r="114">
      <c r="A114" t="inlineStr">
        <is>
          <t>DC-10-1</t>
        </is>
      </c>
      <c r="B114" t="inlineStr">
        <is>
          <t>DSC Manual</t>
        </is>
      </c>
      <c r="C114" s="5" t="n">
        <v>46092</v>
      </c>
      <c r="D114" s="6" t="n">
        <v>0</v>
      </c>
      <c r="E114" s="6" t="n">
        <v>0</v>
      </c>
      <c r="F114" s="6" t="n">
        <v>0</v>
      </c>
      <c r="G114" s="6" t="n">
        <v>0</v>
      </c>
      <c r="H114" s="6" t="n">
        <v>0</v>
      </c>
      <c r="I114" s="6" t="n">
        <v>0</v>
      </c>
      <c r="J114" s="6" t="n">
        <v>0</v>
      </c>
      <c r="K114" s="6" t="n">
        <v>0</v>
      </c>
      <c r="L114" s="6" t="n">
        <v>0</v>
      </c>
      <c r="M114" s="6" t="n">
        <v>0</v>
      </c>
      <c r="N114" s="6" t="n">
        <v>0</v>
      </c>
      <c r="O114" s="6" t="n">
        <v>0</v>
      </c>
      <c r="P114" s="6" t="n">
        <v>0</v>
      </c>
      <c r="Q114" s="6" t="n">
        <v>0</v>
      </c>
      <c r="R114" s="6" t="n">
        <v>0</v>
      </c>
      <c r="S114" s="6" t="n">
        <v>0</v>
      </c>
      <c r="T114" s="6" t="n">
        <v>0</v>
      </c>
      <c r="U114" s="6" t="n">
        <v>0</v>
      </c>
      <c r="V114" s="6" t="n">
        <v>0</v>
      </c>
      <c r="W114" s="6" t="n">
        <v>0</v>
      </c>
      <c r="X114" s="6" t="n">
        <v>0</v>
      </c>
      <c r="Y114" s="6" t="n">
        <v>0</v>
      </c>
      <c r="Z114" s="6" t="n">
        <v>0</v>
      </c>
      <c r="AA114" s="6" t="n">
        <v>0</v>
      </c>
      <c r="AB114" s="6">
        <f>SUM(D114:AA114)</f>
        <v/>
      </c>
      <c r="AC114" s="3" t="inlineStr"/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7" t="n">
        <v>0</v>
      </c>
      <c r="BB114" s="7">
        <f>SUM(AD114:BA114)</f>
        <v/>
      </c>
    </row>
    <row r="115">
      <c r="A115" t="inlineStr">
        <is>
          <t>DC-10-1</t>
        </is>
      </c>
      <c r="B115" t="inlineStr">
        <is>
          <t>DSC Manual</t>
        </is>
      </c>
      <c r="C115" s="5" t="n">
        <v>46093</v>
      </c>
      <c r="D115" s="6" t="n">
        <v>0</v>
      </c>
      <c r="E115" s="6" t="n">
        <v>0</v>
      </c>
      <c r="F115" s="6" t="n">
        <v>0</v>
      </c>
      <c r="G115" s="6" t="n">
        <v>0</v>
      </c>
      <c r="H115" s="6" t="n">
        <v>0</v>
      </c>
      <c r="I115" s="6" t="n">
        <v>0</v>
      </c>
      <c r="J115" s="6" t="n">
        <v>0</v>
      </c>
      <c r="K115" s="6" t="n">
        <v>0</v>
      </c>
      <c r="L115" s="6" t="n">
        <v>0</v>
      </c>
      <c r="M115" s="6" t="n">
        <v>0</v>
      </c>
      <c r="N115" s="6" t="n">
        <v>0</v>
      </c>
      <c r="O115" s="6" t="n">
        <v>0</v>
      </c>
      <c r="P115" s="6" t="n">
        <v>0</v>
      </c>
      <c r="Q115" s="6" t="n">
        <v>0</v>
      </c>
      <c r="R115" s="6" t="n">
        <v>0</v>
      </c>
      <c r="S115" s="6" t="n">
        <v>0</v>
      </c>
      <c r="T115" s="6" t="n">
        <v>0</v>
      </c>
      <c r="U115" s="6" t="n">
        <v>0</v>
      </c>
      <c r="V115" s="6" t="n">
        <v>0</v>
      </c>
      <c r="W115" s="6" t="n">
        <v>0</v>
      </c>
      <c r="X115" s="6" t="n">
        <v>0</v>
      </c>
      <c r="Y115" s="6" t="n">
        <v>0</v>
      </c>
      <c r="Z115" s="6" t="n">
        <v>0</v>
      </c>
      <c r="AA115" s="6" t="n">
        <v>0</v>
      </c>
      <c r="AB115" s="6">
        <f>SUM(D115:AA115)</f>
        <v/>
      </c>
      <c r="AC115" s="3" t="inlineStr"/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>
        <f>SUM(AD115:BA115)</f>
        <v/>
      </c>
    </row>
    <row r="116">
      <c r="A116" t="inlineStr">
        <is>
          <t>DC-10-1</t>
        </is>
      </c>
      <c r="B116" t="inlineStr">
        <is>
          <t>DSC Manual</t>
        </is>
      </c>
      <c r="C116" s="5" t="n">
        <v>46094</v>
      </c>
      <c r="D116" s="6" t="n">
        <v>0</v>
      </c>
      <c r="E116" s="6" t="n">
        <v>0</v>
      </c>
      <c r="F116" s="6" t="n">
        <v>0</v>
      </c>
      <c r="G116" s="6" t="n">
        <v>0</v>
      </c>
      <c r="H116" s="6" t="n">
        <v>0</v>
      </c>
      <c r="I116" s="6" t="n">
        <v>0</v>
      </c>
      <c r="J116" s="6" t="n">
        <v>0</v>
      </c>
      <c r="K116" s="6" t="n">
        <v>0</v>
      </c>
      <c r="L116" s="6" t="n">
        <v>0</v>
      </c>
      <c r="M116" s="6" t="n">
        <v>0</v>
      </c>
      <c r="N116" s="6" t="n">
        <v>0</v>
      </c>
      <c r="O116" s="6" t="n">
        <v>0</v>
      </c>
      <c r="P116" s="6" t="n">
        <v>0</v>
      </c>
      <c r="Q116" s="6" t="n">
        <v>0</v>
      </c>
      <c r="R116" s="6" t="n">
        <v>0</v>
      </c>
      <c r="S116" s="6" t="n">
        <v>0</v>
      </c>
      <c r="T116" s="6" t="n">
        <v>0</v>
      </c>
      <c r="U116" s="6" t="n">
        <v>0</v>
      </c>
      <c r="V116" s="6" t="n">
        <v>0</v>
      </c>
      <c r="W116" s="6" t="n">
        <v>0</v>
      </c>
      <c r="X116" s="6" t="n">
        <v>0</v>
      </c>
      <c r="Y116" s="6" t="n">
        <v>0</v>
      </c>
      <c r="Z116" s="6" t="n">
        <v>0</v>
      </c>
      <c r="AA116" s="6" t="n">
        <v>0</v>
      </c>
      <c r="AB116" s="6">
        <f>SUM(D116:AA116)</f>
        <v/>
      </c>
      <c r="AC116" s="3" t="inlineStr"/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>
        <f>SUM(AD116:BA116)</f>
        <v/>
      </c>
    </row>
    <row r="117">
      <c r="A117" t="inlineStr">
        <is>
          <t>DC-10-1</t>
        </is>
      </c>
      <c r="B117" t="inlineStr">
        <is>
          <t>DSC Manual</t>
        </is>
      </c>
      <c r="C117" s="5" t="n">
        <v>46095</v>
      </c>
      <c r="D117" s="6" t="n">
        <v>0</v>
      </c>
      <c r="E117" s="6" t="n">
        <v>0</v>
      </c>
      <c r="F117" s="6" t="n">
        <v>0</v>
      </c>
      <c r="G117" s="6" t="n">
        <v>0</v>
      </c>
      <c r="H117" s="6" t="n">
        <v>0</v>
      </c>
      <c r="I117" s="6" t="n">
        <v>0</v>
      </c>
      <c r="J117" s="6" t="n">
        <v>0</v>
      </c>
      <c r="K117" s="6" t="n">
        <v>0</v>
      </c>
      <c r="L117" s="6" t="n">
        <v>0</v>
      </c>
      <c r="M117" s="6" t="n">
        <v>0</v>
      </c>
      <c r="N117" s="6" t="n">
        <v>0</v>
      </c>
      <c r="O117" s="6" t="n">
        <v>0</v>
      </c>
      <c r="P117" s="6" t="n">
        <v>0</v>
      </c>
      <c r="Q117" s="6" t="n">
        <v>0</v>
      </c>
      <c r="R117" s="6" t="n">
        <v>0</v>
      </c>
      <c r="S117" s="6" t="n">
        <v>0</v>
      </c>
      <c r="T117" s="6" t="n">
        <v>0</v>
      </c>
      <c r="U117" s="6" t="n">
        <v>0</v>
      </c>
      <c r="V117" s="6" t="n">
        <v>0</v>
      </c>
      <c r="W117" s="6" t="n">
        <v>0</v>
      </c>
      <c r="X117" s="6" t="n">
        <v>0</v>
      </c>
      <c r="Y117" s="6" t="n">
        <v>0</v>
      </c>
      <c r="Z117" s="6" t="n">
        <v>0</v>
      </c>
      <c r="AA117" s="6" t="n">
        <v>0</v>
      </c>
      <c r="AB117" s="6">
        <f>SUM(D117:AA117)</f>
        <v/>
      </c>
      <c r="AC117" s="3" t="inlineStr"/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7" t="n">
        <v>0</v>
      </c>
      <c r="BA117" s="7" t="n">
        <v>0</v>
      </c>
      <c r="BB117" s="7">
        <f>SUM(AD117:BA117)</f>
        <v/>
      </c>
    </row>
    <row r="118">
      <c r="A118" t="inlineStr">
        <is>
          <t>DC-10-1</t>
        </is>
      </c>
      <c r="B118" t="inlineStr">
        <is>
          <t>DSC Manual</t>
        </is>
      </c>
      <c r="C118" s="5" t="n">
        <v>46096</v>
      </c>
      <c r="D118" s="6" t="n">
        <v>0</v>
      </c>
      <c r="E118" s="6" t="n">
        <v>0</v>
      </c>
      <c r="F118" s="6" t="n">
        <v>0</v>
      </c>
      <c r="G118" s="6" t="n">
        <v>0</v>
      </c>
      <c r="H118" s="6" t="n">
        <v>0</v>
      </c>
      <c r="I118" s="6" t="n">
        <v>0</v>
      </c>
      <c r="J118" s="6" t="n">
        <v>0</v>
      </c>
      <c r="K118" s="6" t="n">
        <v>0</v>
      </c>
      <c r="L118" s="6" t="n">
        <v>0</v>
      </c>
      <c r="M118" s="6" t="n">
        <v>0</v>
      </c>
      <c r="N118" s="6" t="n">
        <v>0</v>
      </c>
      <c r="O118" s="6" t="n">
        <v>0</v>
      </c>
      <c r="P118" s="6" t="n">
        <v>0</v>
      </c>
      <c r="Q118" s="6" t="n">
        <v>0</v>
      </c>
      <c r="R118" s="6" t="n">
        <v>0</v>
      </c>
      <c r="S118" s="6" t="n">
        <v>0</v>
      </c>
      <c r="T118" s="6" t="n">
        <v>0</v>
      </c>
      <c r="U118" s="6" t="n">
        <v>0</v>
      </c>
      <c r="V118" s="6" t="n">
        <v>0</v>
      </c>
      <c r="W118" s="6" t="n">
        <v>0</v>
      </c>
      <c r="X118" s="6" t="n">
        <v>0</v>
      </c>
      <c r="Y118" s="6" t="n">
        <v>0</v>
      </c>
      <c r="Z118" s="6" t="n">
        <v>0</v>
      </c>
      <c r="AA118" s="6" t="n">
        <v>0</v>
      </c>
      <c r="AB118" s="6">
        <f>SUM(D118:AA118)</f>
        <v/>
      </c>
      <c r="AC118" s="3" t="inlineStr"/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>
        <f>SUM(AD118:BA118)</f>
        <v/>
      </c>
    </row>
    <row r="119">
      <c r="A119" t="inlineStr">
        <is>
          <t>DC-10-1</t>
        </is>
      </c>
      <c r="B119" t="inlineStr">
        <is>
          <t>DSC Manual</t>
        </is>
      </c>
      <c r="C119" s="5" t="n">
        <v>46097</v>
      </c>
      <c r="D119" s="6" t="n">
        <v>0</v>
      </c>
      <c r="E119" s="6" t="n">
        <v>0</v>
      </c>
      <c r="F119" s="6" t="n">
        <v>0</v>
      </c>
      <c r="G119" s="6" t="n">
        <v>0</v>
      </c>
      <c r="H119" s="6" t="n">
        <v>0</v>
      </c>
      <c r="I119" s="6" t="n">
        <v>0</v>
      </c>
      <c r="J119" s="6" t="n">
        <v>0</v>
      </c>
      <c r="K119" s="6" t="n">
        <v>0</v>
      </c>
      <c r="L119" s="6" t="n">
        <v>0</v>
      </c>
      <c r="M119" s="6" t="n">
        <v>0</v>
      </c>
      <c r="N119" s="6" t="n">
        <v>0</v>
      </c>
      <c r="O119" s="6" t="n">
        <v>0</v>
      </c>
      <c r="P119" s="6" t="n">
        <v>0</v>
      </c>
      <c r="Q119" s="6" t="n">
        <v>0</v>
      </c>
      <c r="R119" s="6" t="n">
        <v>0</v>
      </c>
      <c r="S119" s="6" t="n">
        <v>0</v>
      </c>
      <c r="T119" s="6" t="n">
        <v>0</v>
      </c>
      <c r="U119" s="6" t="n">
        <v>0</v>
      </c>
      <c r="V119" s="6" t="n">
        <v>0</v>
      </c>
      <c r="W119" s="6" t="n">
        <v>0</v>
      </c>
      <c r="X119" s="6" t="n">
        <v>0</v>
      </c>
      <c r="Y119" s="6" t="n">
        <v>0</v>
      </c>
      <c r="Z119" s="6" t="n">
        <v>0</v>
      </c>
      <c r="AA119" s="6" t="n">
        <v>0</v>
      </c>
      <c r="AB119" s="6">
        <f>SUM(D119:AA119)</f>
        <v/>
      </c>
      <c r="AC119" s="3" t="inlineStr"/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n">
        <v>0</v>
      </c>
      <c r="AW119" s="7" t="n">
        <v>0</v>
      </c>
      <c r="AX119" s="7" t="n">
        <v>0</v>
      </c>
      <c r="AY119" s="7" t="n">
        <v>0</v>
      </c>
      <c r="AZ119" s="7" t="n">
        <v>0</v>
      </c>
      <c r="BA119" s="7" t="n">
        <v>0</v>
      </c>
      <c r="BB119" s="7">
        <f>SUM(AD119:BA119)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B1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Layout</t>
        </is>
      </c>
      <c r="B1" s="1" t="inlineStr">
        <is>
          <t>Layout Type</t>
        </is>
      </c>
      <c r="C1" s="1" t="inlineStr">
        <is>
          <t>Date</t>
        </is>
      </c>
      <c r="D1" s="2" t="inlineStr">
        <is>
          <t>Act Vol 12 AM</t>
        </is>
      </c>
      <c r="E1" s="2" t="inlineStr">
        <is>
          <t>Act Vol 1 AM</t>
        </is>
      </c>
      <c r="F1" s="2" t="inlineStr">
        <is>
          <t>Act Vol 2 AM</t>
        </is>
      </c>
      <c r="G1" s="2" t="inlineStr">
        <is>
          <t>Act Vol 3 AM</t>
        </is>
      </c>
      <c r="H1" s="2" t="inlineStr">
        <is>
          <t>Act Vol 4 AM</t>
        </is>
      </c>
      <c r="I1" s="2" t="inlineStr">
        <is>
          <t>Act Vol 5 AM</t>
        </is>
      </c>
      <c r="J1" s="2" t="inlineStr">
        <is>
          <t>Act Vol 6 AM</t>
        </is>
      </c>
      <c r="K1" s="2" t="inlineStr">
        <is>
          <t>Act Vol 7 AM</t>
        </is>
      </c>
      <c r="L1" s="2" t="inlineStr">
        <is>
          <t>Act Vol 8 AM</t>
        </is>
      </c>
      <c r="M1" s="2" t="inlineStr">
        <is>
          <t>Act Vol 9 AM</t>
        </is>
      </c>
      <c r="N1" s="2" t="inlineStr">
        <is>
          <t>Act Vol 10 AM</t>
        </is>
      </c>
      <c r="O1" s="2" t="inlineStr">
        <is>
          <t>Act Vol 11 AM</t>
        </is>
      </c>
      <c r="P1" s="2" t="inlineStr">
        <is>
          <t>Act Vol 12 PM</t>
        </is>
      </c>
      <c r="Q1" s="2" t="inlineStr">
        <is>
          <t>Act Vol 1 PM</t>
        </is>
      </c>
      <c r="R1" s="2" t="inlineStr">
        <is>
          <t>Act Vol 2 PM</t>
        </is>
      </c>
      <c r="S1" s="2" t="inlineStr">
        <is>
          <t>Act Vol 3 PM</t>
        </is>
      </c>
      <c r="T1" s="2" t="inlineStr">
        <is>
          <t>Act Vol 4 PM</t>
        </is>
      </c>
      <c r="U1" s="2" t="inlineStr">
        <is>
          <t>Act Vol 5 PM</t>
        </is>
      </c>
      <c r="V1" s="2" t="inlineStr">
        <is>
          <t>Act Vol 6 PM</t>
        </is>
      </c>
      <c r="W1" s="2" t="inlineStr">
        <is>
          <t>Act Vol 7 PM</t>
        </is>
      </c>
      <c r="X1" s="2" t="inlineStr">
        <is>
          <t>Act Vol 8 PM</t>
        </is>
      </c>
      <c r="Y1" s="2" t="inlineStr">
        <is>
          <t>Act Vol 9 PM</t>
        </is>
      </c>
      <c r="Z1" s="2" t="inlineStr">
        <is>
          <t>Act Vol 10 PM</t>
        </is>
      </c>
      <c r="AA1" s="2" t="inlineStr">
        <is>
          <t>Act Vol 11 PM</t>
        </is>
      </c>
      <c r="AB1" s="2" t="inlineStr">
        <is>
          <t>Act Vol Total</t>
        </is>
      </c>
      <c r="AC1" s="3" t="inlineStr"/>
      <c r="AD1" s="4" t="inlineStr">
        <is>
          <t>MH 12 AM</t>
        </is>
      </c>
      <c r="AE1" s="4" t="inlineStr">
        <is>
          <t>MH 1 AM</t>
        </is>
      </c>
      <c r="AF1" s="4" t="inlineStr">
        <is>
          <t>MH 2 AM</t>
        </is>
      </c>
      <c r="AG1" s="4" t="inlineStr">
        <is>
          <t>MH 3 AM</t>
        </is>
      </c>
      <c r="AH1" s="4" t="inlineStr">
        <is>
          <t>MH 4 AM</t>
        </is>
      </c>
      <c r="AI1" s="4" t="inlineStr">
        <is>
          <t>MH 5 AM</t>
        </is>
      </c>
      <c r="AJ1" s="4" t="inlineStr">
        <is>
          <t>MH 6 AM</t>
        </is>
      </c>
      <c r="AK1" s="4" t="inlineStr">
        <is>
          <t>MH 7 AM</t>
        </is>
      </c>
      <c r="AL1" s="4" t="inlineStr">
        <is>
          <t>MH 8 AM</t>
        </is>
      </c>
      <c r="AM1" s="4" t="inlineStr">
        <is>
          <t>MH 9 AM</t>
        </is>
      </c>
      <c r="AN1" s="4" t="inlineStr">
        <is>
          <t>MH 10 AM</t>
        </is>
      </c>
      <c r="AO1" s="4" t="inlineStr">
        <is>
          <t>MH 11 AM</t>
        </is>
      </c>
      <c r="AP1" s="4" t="inlineStr">
        <is>
          <t>MH 12 PM</t>
        </is>
      </c>
      <c r="AQ1" s="4" t="inlineStr">
        <is>
          <t>MH 1 PM</t>
        </is>
      </c>
      <c r="AR1" s="4" t="inlineStr">
        <is>
          <t>MH 2 PM</t>
        </is>
      </c>
      <c r="AS1" s="4" t="inlineStr">
        <is>
          <t>MH 3 PM</t>
        </is>
      </c>
      <c r="AT1" s="4" t="inlineStr">
        <is>
          <t>MH 4 PM</t>
        </is>
      </c>
      <c r="AU1" s="4" t="inlineStr">
        <is>
          <t>MH 5 PM</t>
        </is>
      </c>
      <c r="AV1" s="4" t="inlineStr">
        <is>
          <t>MH 6 PM</t>
        </is>
      </c>
      <c r="AW1" s="4" t="inlineStr">
        <is>
          <t>MH 7 PM</t>
        </is>
      </c>
      <c r="AX1" s="4" t="inlineStr">
        <is>
          <t>MH 8 PM</t>
        </is>
      </c>
      <c r="AY1" s="4" t="inlineStr">
        <is>
          <t>MH 9 PM</t>
        </is>
      </c>
      <c r="AZ1" s="4" t="inlineStr">
        <is>
          <t>MH 10 PM</t>
        </is>
      </c>
      <c r="BA1" s="4" t="inlineStr">
        <is>
          <t>MH 11 PM</t>
        </is>
      </c>
      <c r="BB1" s="4" t="inlineStr">
        <is>
          <t>MH Total</t>
        </is>
      </c>
    </row>
    <row r="2">
      <c r="A2" t="inlineStr">
        <is>
          <t>AMD-AIR-NEW-SSC</t>
        </is>
      </c>
      <c r="B2" t="inlineStr">
        <is>
          <t>Forward Regular OSC</t>
        </is>
      </c>
      <c r="C2" s="5" t="n">
        <v>46093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v>0</v>
      </c>
      <c r="N2" s="6" t="n">
        <v>0</v>
      </c>
      <c r="O2" s="6" t="n">
        <v>0</v>
      </c>
      <c r="P2" s="6" t="n">
        <v>0</v>
      </c>
      <c r="Q2" s="6" t="n">
        <v>0</v>
      </c>
      <c r="R2" s="6" t="n">
        <v>0</v>
      </c>
      <c r="S2" s="6" t="n">
        <v>0</v>
      </c>
      <c r="T2" s="6" t="n">
        <v>0</v>
      </c>
      <c r="U2" s="6" t="n">
        <v>0</v>
      </c>
      <c r="V2" s="6" t="n">
        <v>0</v>
      </c>
      <c r="W2" s="6" t="n">
        <v>0</v>
      </c>
      <c r="X2" s="6" t="n">
        <v>0</v>
      </c>
      <c r="Y2" s="6" t="n">
        <v>0</v>
      </c>
      <c r="Z2" s="6" t="n">
        <v>0</v>
      </c>
      <c r="AA2" s="6" t="n">
        <v>0</v>
      </c>
      <c r="AB2" s="6">
        <f>SUM(D2:AA2)</f>
        <v/>
      </c>
      <c r="AC2" s="3" t="inlineStr"/>
      <c r="AD2" s="7" t="n">
        <v>0</v>
      </c>
      <c r="AE2" s="7" t="n">
        <v>0</v>
      </c>
      <c r="AF2" s="7" t="n">
        <v>0</v>
      </c>
      <c r="AG2" s="7" t="n">
        <v>0</v>
      </c>
      <c r="AH2" s="7" t="n">
        <v>0</v>
      </c>
      <c r="AI2" s="7" t="n">
        <v>0</v>
      </c>
      <c r="AJ2" s="7" t="n">
        <v>0</v>
      </c>
      <c r="AK2" s="7" t="n">
        <v>0</v>
      </c>
      <c r="AL2" s="7" t="n">
        <v>0</v>
      </c>
      <c r="AM2" s="7" t="n">
        <v>0</v>
      </c>
      <c r="AN2" s="7" t="n">
        <v>0</v>
      </c>
      <c r="AO2" s="7" t="n">
        <v>0</v>
      </c>
      <c r="AP2" s="7" t="n">
        <v>0</v>
      </c>
      <c r="AQ2" s="7" t="n">
        <v>0</v>
      </c>
      <c r="AR2" s="7" t="n">
        <v>0</v>
      </c>
      <c r="AS2" s="7" t="n">
        <v>0</v>
      </c>
      <c r="AT2" s="7" t="n">
        <v>0</v>
      </c>
      <c r="AU2" s="7" t="n">
        <v>0</v>
      </c>
      <c r="AV2" s="7" t="n">
        <v>0</v>
      </c>
      <c r="AW2" s="7" t="n">
        <v>0</v>
      </c>
      <c r="AX2" s="7" t="n">
        <v>0</v>
      </c>
      <c r="AY2" s="7" t="n">
        <v>0</v>
      </c>
      <c r="AZ2" s="7" t="n">
        <v>0</v>
      </c>
      <c r="BA2" s="7" t="n">
        <v>0</v>
      </c>
      <c r="BB2" s="7">
        <f>SUM(AD2:BA2)</f>
        <v/>
      </c>
    </row>
    <row r="3">
      <c r="A3" t="inlineStr">
        <is>
          <t>AMD-AIR-NEW-SSC</t>
        </is>
      </c>
      <c r="B3" t="inlineStr">
        <is>
          <t>Forward Regular OSC</t>
        </is>
      </c>
      <c r="C3" s="5" t="n">
        <v>46094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>
        <f>SUM(D3:AA3)</f>
        <v/>
      </c>
      <c r="AC3" s="3" t="inlineStr"/>
      <c r="AD3" s="7" t="n">
        <v>0</v>
      </c>
      <c r="AE3" s="7" t="n">
        <v>0</v>
      </c>
      <c r="AF3" s="7" t="n">
        <v>0</v>
      </c>
      <c r="AG3" s="7" t="n">
        <v>0</v>
      </c>
      <c r="AH3" s="7" t="n">
        <v>0</v>
      </c>
      <c r="AI3" s="7" t="n">
        <v>0</v>
      </c>
      <c r="AJ3" s="7" t="n">
        <v>0</v>
      </c>
      <c r="AK3" s="7" t="n">
        <v>0</v>
      </c>
      <c r="AL3" s="7" t="n">
        <v>0</v>
      </c>
      <c r="AM3" s="7" t="n">
        <v>0</v>
      </c>
      <c r="AN3" s="7" t="n">
        <v>0</v>
      </c>
      <c r="AO3" s="7" t="n">
        <v>0</v>
      </c>
      <c r="AP3" s="7" t="n">
        <v>0</v>
      </c>
      <c r="AQ3" s="7" t="n">
        <v>0</v>
      </c>
      <c r="AR3" s="7" t="n">
        <v>0</v>
      </c>
      <c r="AS3" s="7" t="n">
        <v>0</v>
      </c>
      <c r="AT3" s="7" t="n">
        <v>0</v>
      </c>
      <c r="AU3" s="7" t="n">
        <v>0</v>
      </c>
      <c r="AV3" s="7" t="n">
        <v>0</v>
      </c>
      <c r="AW3" s="7" t="n">
        <v>0</v>
      </c>
      <c r="AX3" s="7" t="n">
        <v>0</v>
      </c>
      <c r="AY3" s="7" t="n">
        <v>0</v>
      </c>
      <c r="AZ3" s="7" t="n">
        <v>0</v>
      </c>
      <c r="BA3" s="7" t="n">
        <v>0</v>
      </c>
      <c r="BB3" s="7">
        <f>SUM(AD3:BA3)</f>
        <v/>
      </c>
    </row>
    <row r="4">
      <c r="A4" t="inlineStr">
        <is>
          <t>AMD-AIR-NEW-SSC</t>
        </is>
      </c>
      <c r="B4" t="inlineStr">
        <is>
          <t>Forward Regular OSC</t>
        </is>
      </c>
      <c r="C4" s="5" t="n">
        <v>46096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0</v>
      </c>
      <c r="R4" s="6" t="n">
        <v>0</v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0</v>
      </c>
      <c r="AB4" s="6">
        <f>SUM(D4:AA4)</f>
        <v/>
      </c>
      <c r="AC4" s="3" t="inlineStr"/>
      <c r="AD4" s="7" t="n">
        <v>0</v>
      </c>
      <c r="AE4" s="7" t="n">
        <v>0</v>
      </c>
      <c r="AF4" s="7" t="n">
        <v>0</v>
      </c>
      <c r="AG4" s="7" t="n">
        <v>0</v>
      </c>
      <c r="AH4" s="7" t="n">
        <v>0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0</v>
      </c>
      <c r="AP4" s="7" t="n">
        <v>0</v>
      </c>
      <c r="AQ4" s="7" t="n">
        <v>0</v>
      </c>
      <c r="AR4" s="7" t="n">
        <v>0</v>
      </c>
      <c r="AS4" s="7" t="n">
        <v>0</v>
      </c>
      <c r="AT4" s="7" t="n">
        <v>0</v>
      </c>
      <c r="AU4" s="7" t="n">
        <v>0</v>
      </c>
      <c r="AV4" s="7" t="n">
        <v>0</v>
      </c>
      <c r="AW4" s="7" t="n">
        <v>0</v>
      </c>
      <c r="AX4" s="7" t="n">
        <v>0</v>
      </c>
      <c r="AY4" s="7" t="n">
        <v>0</v>
      </c>
      <c r="AZ4" s="7" t="n">
        <v>0</v>
      </c>
      <c r="BA4" s="7" t="n">
        <v>0</v>
      </c>
      <c r="BB4" s="7">
        <f>SUM(AD4:BA4)</f>
        <v/>
      </c>
    </row>
    <row r="5">
      <c r="A5" t="inlineStr">
        <is>
          <t>AMD-AIR-NEW-SSC</t>
        </is>
      </c>
      <c r="B5" t="inlineStr">
        <is>
          <t>Forward Regular OSC</t>
        </is>
      </c>
      <c r="C5" s="5" t="n">
        <v>46097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>
        <f>SUM(D5:AA5)</f>
        <v/>
      </c>
      <c r="AC5" s="3" t="inlineStr"/>
      <c r="AD5" s="7" t="n">
        <v>0</v>
      </c>
      <c r="AE5" s="7" t="n">
        <v>0</v>
      </c>
      <c r="AF5" s="7" t="n">
        <v>0</v>
      </c>
      <c r="AG5" s="7" t="n">
        <v>0</v>
      </c>
      <c r="AH5" s="7" t="n">
        <v>0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0</v>
      </c>
      <c r="AP5" s="7" t="n">
        <v>0</v>
      </c>
      <c r="AQ5" s="7" t="n">
        <v>0</v>
      </c>
      <c r="AR5" s="7" t="n">
        <v>0</v>
      </c>
      <c r="AS5" s="7" t="n">
        <v>0</v>
      </c>
      <c r="AT5" s="7" t="n">
        <v>0</v>
      </c>
      <c r="AU5" s="7" t="n">
        <v>0</v>
      </c>
      <c r="AV5" s="7" t="n">
        <v>0</v>
      </c>
      <c r="AW5" s="7" t="n">
        <v>0</v>
      </c>
      <c r="AX5" s="7" t="n">
        <v>0</v>
      </c>
      <c r="AY5" s="7" t="n">
        <v>0</v>
      </c>
      <c r="AZ5" s="7" t="n">
        <v>0</v>
      </c>
      <c r="BA5" s="7" t="n">
        <v>0</v>
      </c>
      <c r="BB5" s="7">
        <f>SUM(AD5:BA5)</f>
        <v/>
      </c>
    </row>
    <row r="6">
      <c r="A6" t="inlineStr">
        <is>
          <t>AMD-AIR-NEW-SSC</t>
        </is>
      </c>
      <c r="B6" t="inlineStr">
        <is>
          <t>Forward Regular OSC</t>
        </is>
      </c>
      <c r="C6" s="5" t="n">
        <v>46100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>
        <f>SUM(D6:AA6)</f>
        <v/>
      </c>
      <c r="AC6" s="3" t="inlineStr"/>
      <c r="AD6" s="7" t="n">
        <v>0</v>
      </c>
      <c r="AE6" s="7" t="n">
        <v>0</v>
      </c>
      <c r="AF6" s="7" t="n">
        <v>0</v>
      </c>
      <c r="AG6" s="7" t="n">
        <v>0</v>
      </c>
      <c r="AH6" s="7" t="n">
        <v>0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0</v>
      </c>
      <c r="AN6" s="7" t="n">
        <v>0</v>
      </c>
      <c r="AO6" s="7" t="n">
        <v>0</v>
      </c>
      <c r="AP6" s="7" t="n">
        <v>0</v>
      </c>
      <c r="AQ6" s="7" t="n">
        <v>0</v>
      </c>
      <c r="AR6" s="7" t="n">
        <v>0</v>
      </c>
      <c r="AS6" s="7" t="n">
        <v>0</v>
      </c>
      <c r="AT6" s="7" t="n">
        <v>0</v>
      </c>
      <c r="AU6" s="7" t="n">
        <v>0</v>
      </c>
      <c r="AV6" s="7" t="n">
        <v>0</v>
      </c>
      <c r="AW6" s="7" t="n">
        <v>0</v>
      </c>
      <c r="AX6" s="7" t="n">
        <v>0</v>
      </c>
      <c r="AY6" s="7" t="n">
        <v>0</v>
      </c>
      <c r="AZ6" s="7" t="n">
        <v>0</v>
      </c>
      <c r="BA6" s="7" t="n">
        <v>0</v>
      </c>
      <c r="BB6" s="7">
        <f>SUM(AD6:BA6)</f>
        <v/>
      </c>
    </row>
    <row r="7">
      <c r="A7" t="inlineStr">
        <is>
          <t>AMD-AIR-NEW-SSC</t>
        </is>
      </c>
      <c r="B7" t="inlineStr">
        <is>
          <t>Forward Regular OSC</t>
        </is>
      </c>
      <c r="C7" s="5" t="n">
        <v>46101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>
        <f>SUM(D7:AA7)</f>
        <v/>
      </c>
      <c r="AC7" s="3" t="inlineStr"/>
      <c r="AD7" s="7" t="n">
        <v>0</v>
      </c>
      <c r="AE7" s="7" t="n">
        <v>0</v>
      </c>
      <c r="AF7" s="7" t="n">
        <v>0</v>
      </c>
      <c r="AG7" s="7" t="n">
        <v>0</v>
      </c>
      <c r="AH7" s="7" t="n">
        <v>0</v>
      </c>
      <c r="AI7" s="7" t="n">
        <v>0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0</v>
      </c>
      <c r="AP7" s="7" t="n">
        <v>0</v>
      </c>
      <c r="AQ7" s="7" t="n">
        <v>0</v>
      </c>
      <c r="AR7" s="7" t="n">
        <v>0</v>
      </c>
      <c r="AS7" s="7" t="n">
        <v>0</v>
      </c>
      <c r="AT7" s="7" t="n">
        <v>0</v>
      </c>
      <c r="AU7" s="7" t="n">
        <v>0</v>
      </c>
      <c r="AV7" s="7" t="n">
        <v>0</v>
      </c>
      <c r="AW7" s="7" t="n">
        <v>0</v>
      </c>
      <c r="AX7" s="7" t="n">
        <v>0</v>
      </c>
      <c r="AY7" s="7" t="n">
        <v>0</v>
      </c>
      <c r="AZ7" s="7" t="n">
        <v>0</v>
      </c>
      <c r="BA7" s="7" t="n">
        <v>0</v>
      </c>
      <c r="BB7" s="7">
        <f>SUM(AD7:BA7)</f>
        <v/>
      </c>
    </row>
    <row r="8">
      <c r="A8" t="inlineStr">
        <is>
          <t>AMD-AIR-NEW-SSC</t>
        </is>
      </c>
      <c r="B8" t="inlineStr">
        <is>
          <t>Forward Regular OSC</t>
        </is>
      </c>
      <c r="C8" s="5" t="n">
        <v>46102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>
        <f>SUM(D8:AA8)</f>
        <v/>
      </c>
      <c r="AC8" s="3" t="inlineStr"/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0</v>
      </c>
      <c r="AP8" s="7" t="n">
        <v>0</v>
      </c>
      <c r="AQ8" s="7" t="n">
        <v>0</v>
      </c>
      <c r="AR8" s="7" t="n">
        <v>0</v>
      </c>
      <c r="AS8" s="7" t="n">
        <v>0</v>
      </c>
      <c r="AT8" s="7" t="n">
        <v>0</v>
      </c>
      <c r="AU8" s="7" t="n">
        <v>0</v>
      </c>
      <c r="AV8" s="7" t="n">
        <v>0</v>
      </c>
      <c r="AW8" s="7" t="n">
        <v>0</v>
      </c>
      <c r="AX8" s="7" t="n">
        <v>0</v>
      </c>
      <c r="AY8" s="7" t="n">
        <v>0</v>
      </c>
      <c r="AZ8" s="7" t="n">
        <v>0</v>
      </c>
      <c r="BA8" s="7" t="n">
        <v>0</v>
      </c>
      <c r="BB8" s="7">
        <f>SUM(AD8:BA8)</f>
        <v/>
      </c>
    </row>
    <row r="9">
      <c r="A9" t="inlineStr">
        <is>
          <t>AMD-AIR-NEW-SSC</t>
        </is>
      </c>
      <c r="B9" t="inlineStr">
        <is>
          <t>Forward Regular OSC</t>
        </is>
      </c>
      <c r="C9" s="5" t="n">
        <v>46103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>
        <f>SUM(D9:AA9)</f>
        <v/>
      </c>
      <c r="AC9" s="3" t="inlineStr"/>
      <c r="AD9" s="7" t="n">
        <v>0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0</v>
      </c>
      <c r="AS9" s="7" t="n">
        <v>0</v>
      </c>
      <c r="AT9" s="7" t="n">
        <v>0</v>
      </c>
      <c r="AU9" s="7" t="n">
        <v>0</v>
      </c>
      <c r="AV9" s="7" t="n">
        <v>0</v>
      </c>
      <c r="AW9" s="7" t="n">
        <v>0</v>
      </c>
      <c r="AX9" s="7" t="n">
        <v>0</v>
      </c>
      <c r="AY9" s="7" t="n">
        <v>0</v>
      </c>
      <c r="AZ9" s="7" t="n">
        <v>0</v>
      </c>
      <c r="BA9" s="7" t="n">
        <v>0</v>
      </c>
      <c r="BB9" s="7">
        <f>SUM(AD9:BA9)</f>
        <v/>
      </c>
    </row>
    <row r="10">
      <c r="A10" t="inlineStr">
        <is>
          <t>AMD-AIR-NEW-SSC</t>
        </is>
      </c>
      <c r="B10" t="inlineStr">
        <is>
          <t>Forward Regular OSC</t>
        </is>
      </c>
      <c r="C10" s="5" t="n">
        <v>46104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>
        <f>SUM(D10:AA10)</f>
        <v/>
      </c>
      <c r="AC10" s="3" t="inlineStr"/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0</v>
      </c>
      <c r="AP10" s="7" t="n">
        <v>0</v>
      </c>
      <c r="AQ10" s="7" t="n">
        <v>0</v>
      </c>
      <c r="AR10" s="7" t="n">
        <v>0</v>
      </c>
      <c r="AS10" s="7" t="n">
        <v>0</v>
      </c>
      <c r="AT10" s="7" t="n">
        <v>0</v>
      </c>
      <c r="AU10" s="7" t="n">
        <v>0</v>
      </c>
      <c r="AV10" s="7" t="n">
        <v>0</v>
      </c>
      <c r="AW10" s="7" t="n">
        <v>0</v>
      </c>
      <c r="AX10" s="7" t="n">
        <v>0</v>
      </c>
      <c r="AY10" s="7" t="n">
        <v>0</v>
      </c>
      <c r="AZ10" s="7" t="n">
        <v>0</v>
      </c>
      <c r="BA10" s="7" t="n">
        <v>0</v>
      </c>
      <c r="BB10" s="7">
        <f>SUM(AD10:BA10)</f>
        <v/>
      </c>
    </row>
    <row r="11">
      <c r="A11" t="inlineStr">
        <is>
          <t>AMD-EXPR</t>
        </is>
      </c>
      <c r="B11" t="inlineStr">
        <is>
          <t>DSC Manual</t>
        </is>
      </c>
      <c r="C11" s="5" t="n">
        <v>46089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>
        <f>SUM(D11:AA11)</f>
        <v/>
      </c>
      <c r="AC11" s="3" t="inlineStr"/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0</v>
      </c>
      <c r="AP11" s="7" t="n">
        <v>0</v>
      </c>
      <c r="AQ11" s="7" t="n">
        <v>0</v>
      </c>
      <c r="AR11" s="7" t="n">
        <v>0</v>
      </c>
      <c r="AS11" s="7" t="n">
        <v>0</v>
      </c>
      <c r="AT11" s="7" t="n">
        <v>0</v>
      </c>
      <c r="AU11" s="7" t="n">
        <v>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0</v>
      </c>
      <c r="BA11" s="7" t="n">
        <v>0</v>
      </c>
      <c r="BB11" s="7">
        <f>SUM(AD11:BA11)</f>
        <v/>
      </c>
    </row>
    <row r="12">
      <c r="A12" t="inlineStr">
        <is>
          <t>AMD-EXPR</t>
        </is>
      </c>
      <c r="B12" t="inlineStr">
        <is>
          <t>DSC Manual</t>
        </is>
      </c>
      <c r="C12" s="5" t="n">
        <v>46090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>
        <f>SUM(D12:AA12)</f>
        <v/>
      </c>
      <c r="AC12" s="3" t="inlineStr"/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0</v>
      </c>
      <c r="AT12" s="7" t="n">
        <v>0</v>
      </c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0</v>
      </c>
      <c r="BA12" s="7" t="n">
        <v>0</v>
      </c>
      <c r="BB12" s="7">
        <f>SUM(AD12:BA12)</f>
        <v/>
      </c>
    </row>
    <row r="13">
      <c r="A13" t="inlineStr">
        <is>
          <t>AMD-EXPR</t>
        </is>
      </c>
      <c r="B13" t="inlineStr">
        <is>
          <t>DSC Manual</t>
        </is>
      </c>
      <c r="C13" s="5" t="n">
        <v>46091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>
        <f>SUM(D13:AA13)</f>
        <v/>
      </c>
      <c r="AC13" s="3" t="inlineStr"/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0</v>
      </c>
      <c r="AP13" s="7" t="n">
        <v>0</v>
      </c>
      <c r="AQ13" s="7" t="n">
        <v>0</v>
      </c>
      <c r="AR13" s="7" t="n">
        <v>0</v>
      </c>
      <c r="AS13" s="7" t="n">
        <v>0</v>
      </c>
      <c r="AT13" s="7" t="n">
        <v>0</v>
      </c>
      <c r="AU13" s="7" t="n">
        <v>0</v>
      </c>
      <c r="AV13" s="7" t="n">
        <v>0</v>
      </c>
      <c r="AW13" s="7" t="n">
        <v>0</v>
      </c>
      <c r="AX13" s="7" t="n">
        <v>0</v>
      </c>
      <c r="AY13" s="7" t="n">
        <v>0</v>
      </c>
      <c r="AZ13" s="7" t="n">
        <v>0</v>
      </c>
      <c r="BA13" s="7" t="n">
        <v>0</v>
      </c>
      <c r="BB13" s="7">
        <f>SUM(AD13:BA13)</f>
        <v/>
      </c>
    </row>
    <row r="14">
      <c r="A14" t="inlineStr">
        <is>
          <t>AMD-EXPR</t>
        </is>
      </c>
      <c r="B14" t="inlineStr">
        <is>
          <t>DSC Manual</t>
        </is>
      </c>
      <c r="C14" s="5" t="n">
        <v>46092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>
        <f>SUM(D14:AA14)</f>
        <v/>
      </c>
      <c r="AC14" s="3" t="inlineStr"/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0</v>
      </c>
      <c r="AP14" s="7" t="n">
        <v>0</v>
      </c>
      <c r="AQ14" s="7" t="n">
        <v>0</v>
      </c>
      <c r="AR14" s="7" t="n">
        <v>0</v>
      </c>
      <c r="AS14" s="7" t="n">
        <v>0</v>
      </c>
      <c r="AT14" s="7" t="n">
        <v>0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0</v>
      </c>
      <c r="BA14" s="7" t="n">
        <v>0</v>
      </c>
      <c r="BB14" s="7">
        <f>SUM(AD14:BA14)</f>
        <v/>
      </c>
    </row>
    <row r="15">
      <c r="A15" t="inlineStr">
        <is>
          <t>AMD-EXPR</t>
        </is>
      </c>
      <c r="B15" t="inlineStr">
        <is>
          <t>DSC Manual</t>
        </is>
      </c>
      <c r="C15" s="5" t="n">
        <v>46093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  <c r="AB15" s="6">
        <f>SUM(D15:AA15)</f>
        <v/>
      </c>
      <c r="AC15" s="3" t="inlineStr"/>
      <c r="AD15" s="7" t="n">
        <v>0</v>
      </c>
      <c r="AE15" s="7" t="n">
        <v>0</v>
      </c>
      <c r="AF15" s="7" t="n">
        <v>0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0</v>
      </c>
      <c r="AL15" s="7" t="n">
        <v>0</v>
      </c>
      <c r="AM15" s="7" t="n">
        <v>0</v>
      </c>
      <c r="AN15" s="7" t="n">
        <v>0</v>
      </c>
      <c r="AO15" s="7" t="n">
        <v>0</v>
      </c>
      <c r="AP15" s="7" t="n">
        <v>0</v>
      </c>
      <c r="AQ15" s="7" t="n">
        <v>0</v>
      </c>
      <c r="AR15" s="7" t="n">
        <v>0</v>
      </c>
      <c r="AS15" s="7" t="n">
        <v>0</v>
      </c>
      <c r="AT15" s="7" t="n">
        <v>0</v>
      </c>
      <c r="AU15" s="7" t="n">
        <v>0</v>
      </c>
      <c r="AV15" s="7" t="n">
        <v>0</v>
      </c>
      <c r="AW15" s="7" t="n">
        <v>0</v>
      </c>
      <c r="AX15" s="7" t="n">
        <v>0</v>
      </c>
      <c r="AY15" s="7" t="n">
        <v>0</v>
      </c>
      <c r="AZ15" s="7" t="n">
        <v>0</v>
      </c>
      <c r="BA15" s="7" t="n">
        <v>0</v>
      </c>
      <c r="BB15" s="7">
        <f>SUM(AD15:BA15)</f>
        <v/>
      </c>
    </row>
    <row r="16">
      <c r="A16" t="inlineStr">
        <is>
          <t>AMD-EXPR</t>
        </is>
      </c>
      <c r="B16" t="inlineStr">
        <is>
          <t>DSC Manual</t>
        </is>
      </c>
      <c r="C16" s="5" t="n">
        <v>46094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  <c r="AB16" s="6">
        <f>SUM(D16:AA16)</f>
        <v/>
      </c>
      <c r="AC16" s="3" t="inlineStr"/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0</v>
      </c>
      <c r="AS16" s="7" t="n">
        <v>0</v>
      </c>
      <c r="AT16" s="7" t="n">
        <v>0</v>
      </c>
      <c r="AU16" s="7" t="n">
        <v>0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0</v>
      </c>
      <c r="BA16" s="7" t="n">
        <v>0</v>
      </c>
      <c r="BB16" s="7">
        <f>SUM(AD16:BA16)</f>
        <v/>
      </c>
    </row>
    <row r="17">
      <c r="A17" t="inlineStr">
        <is>
          <t>AMD-EXPR</t>
        </is>
      </c>
      <c r="B17" t="inlineStr">
        <is>
          <t>DSC Manual</t>
        </is>
      </c>
      <c r="C17" s="5" t="n">
        <v>46095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6">
        <f>SUM(D17:AA17)</f>
        <v/>
      </c>
      <c r="AC17" s="3" t="inlineStr"/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0</v>
      </c>
      <c r="AI17" s="7" t="n">
        <v>0</v>
      </c>
      <c r="AJ17" s="7" t="n">
        <v>0</v>
      </c>
      <c r="AK17" s="7" t="n">
        <v>0</v>
      </c>
      <c r="AL17" s="7" t="n">
        <v>0</v>
      </c>
      <c r="AM17" s="7" t="n">
        <v>0</v>
      </c>
      <c r="AN17" s="7" t="n">
        <v>0</v>
      </c>
      <c r="AO17" s="7" t="n">
        <v>0</v>
      </c>
      <c r="AP17" s="7" t="n">
        <v>0</v>
      </c>
      <c r="AQ17" s="7" t="n">
        <v>0</v>
      </c>
      <c r="AR17" s="7" t="n">
        <v>0</v>
      </c>
      <c r="AS17" s="7" t="n">
        <v>0</v>
      </c>
      <c r="AT17" s="7" t="n">
        <v>0</v>
      </c>
      <c r="AU17" s="7" t="n">
        <v>0</v>
      </c>
      <c r="AV17" s="7" t="n">
        <v>0</v>
      </c>
      <c r="AW17" s="7" t="n">
        <v>0</v>
      </c>
      <c r="AX17" s="7" t="n">
        <v>0</v>
      </c>
      <c r="AY17" s="7" t="n">
        <v>0</v>
      </c>
      <c r="AZ17" s="7" t="n">
        <v>0</v>
      </c>
      <c r="BA17" s="7" t="n">
        <v>0</v>
      </c>
      <c r="BB17" s="7">
        <f>SUM(AD17:BA17)</f>
        <v/>
      </c>
    </row>
    <row r="18">
      <c r="A18" t="inlineStr">
        <is>
          <t>AMD-EXPR</t>
        </is>
      </c>
      <c r="B18" t="inlineStr">
        <is>
          <t>DSC Manual</t>
        </is>
      </c>
      <c r="C18" s="5" t="n">
        <v>46096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  <c r="AB18" s="6">
        <f>SUM(D18:AA18)</f>
        <v/>
      </c>
      <c r="AC18" s="3" t="inlineStr"/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0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0</v>
      </c>
      <c r="BA18" s="7" t="n">
        <v>0</v>
      </c>
      <c r="BB18" s="7">
        <f>SUM(AD18:BA18)</f>
        <v/>
      </c>
    </row>
    <row r="19">
      <c r="A19" t="inlineStr">
        <is>
          <t>AMD-EXPR</t>
        </is>
      </c>
      <c r="B19" t="inlineStr">
        <is>
          <t>DSC Manual</t>
        </is>
      </c>
      <c r="C19" s="5" t="n">
        <v>46097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>
        <f>SUM(D19:AA19)</f>
        <v/>
      </c>
      <c r="AC19" s="3" t="inlineStr"/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0</v>
      </c>
      <c r="AR19" s="7" t="n">
        <v>0</v>
      </c>
      <c r="AS19" s="7" t="n">
        <v>0</v>
      </c>
      <c r="AT19" s="7" t="n">
        <v>0</v>
      </c>
      <c r="AU19" s="7" t="n">
        <v>0</v>
      </c>
      <c r="AV19" s="7" t="n">
        <v>0</v>
      </c>
      <c r="AW19" s="7" t="n">
        <v>0</v>
      </c>
      <c r="AX19" s="7" t="n">
        <v>0</v>
      </c>
      <c r="AY19" s="7" t="n">
        <v>0</v>
      </c>
      <c r="AZ19" s="7" t="n">
        <v>0</v>
      </c>
      <c r="BA19" s="7" t="n">
        <v>0</v>
      </c>
      <c r="BB19" s="7">
        <f>SUM(AD19:BA19)</f>
        <v/>
      </c>
    </row>
    <row r="20">
      <c r="A20" t="inlineStr">
        <is>
          <t>AMD-EXPR</t>
        </is>
      </c>
      <c r="B20" t="inlineStr">
        <is>
          <t>DSC Manual</t>
        </is>
      </c>
      <c r="C20" s="5" t="n">
        <v>46099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>
        <f>SUM(D20:AA20)</f>
        <v/>
      </c>
      <c r="AC20" s="3" t="inlineStr"/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0</v>
      </c>
      <c r="BA20" s="7" t="n">
        <v>0</v>
      </c>
      <c r="BB20" s="7">
        <f>SUM(AD20:BA20)</f>
        <v/>
      </c>
    </row>
    <row r="21">
      <c r="A21" t="inlineStr">
        <is>
          <t>AMD-EXPR</t>
        </is>
      </c>
      <c r="B21" t="inlineStr">
        <is>
          <t>DSC Manual</t>
        </is>
      </c>
      <c r="C21" s="5" t="n">
        <v>46100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>
        <f>SUM(D21:AA21)</f>
        <v/>
      </c>
      <c r="AC21" s="3" t="inlineStr"/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0</v>
      </c>
      <c r="AS21" s="7" t="n">
        <v>0</v>
      </c>
      <c r="AT21" s="7" t="n">
        <v>0</v>
      </c>
      <c r="AU21" s="7" t="n">
        <v>0</v>
      </c>
      <c r="AV21" s="7" t="n">
        <v>0</v>
      </c>
      <c r="AW21" s="7" t="n">
        <v>0</v>
      </c>
      <c r="AX21" s="7" t="n">
        <v>0</v>
      </c>
      <c r="AY21" s="7" t="n">
        <v>0</v>
      </c>
      <c r="AZ21" s="7" t="n">
        <v>0</v>
      </c>
      <c r="BA21" s="7" t="n">
        <v>0</v>
      </c>
      <c r="BB21" s="7">
        <f>SUM(AD21:BA21)</f>
        <v/>
      </c>
    </row>
    <row r="22">
      <c r="A22" t="inlineStr">
        <is>
          <t>AMD-EXPR</t>
        </is>
      </c>
      <c r="B22" t="inlineStr">
        <is>
          <t>DSC Manual</t>
        </is>
      </c>
      <c r="C22" s="5" t="n">
        <v>46102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>
        <f>SUM(D22:AA22)</f>
        <v/>
      </c>
      <c r="AC22" s="3" t="inlineStr"/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7" t="n">
        <v>0</v>
      </c>
      <c r="BB22" s="7">
        <f>SUM(AD22:BA22)</f>
        <v/>
      </c>
    </row>
    <row r="23">
      <c r="A23" t="inlineStr">
        <is>
          <t>AMD-EXPR</t>
        </is>
      </c>
      <c r="B23" t="inlineStr">
        <is>
          <t>DSC Manual</t>
        </is>
      </c>
      <c r="C23" s="5" t="n">
        <v>46103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>
        <f>SUM(D23:AA23)</f>
        <v/>
      </c>
      <c r="AC23" s="3" t="inlineStr"/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0</v>
      </c>
      <c r="BA23" s="7" t="n">
        <v>0</v>
      </c>
      <c r="BB23" s="7">
        <f>SUM(AD23:BA23)</f>
        <v/>
      </c>
    </row>
    <row r="24">
      <c r="A24" t="inlineStr">
        <is>
          <t>AMD-EXPR</t>
        </is>
      </c>
      <c r="B24" t="inlineStr">
        <is>
          <t>DSC Manual</t>
        </is>
      </c>
      <c r="C24" s="5" t="n">
        <v>46104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>
        <f>SUM(D24:AA24)</f>
        <v/>
      </c>
      <c r="AC24" s="3" t="inlineStr"/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0</v>
      </c>
      <c r="BA24" s="7" t="n">
        <v>0</v>
      </c>
      <c r="BB24" s="7">
        <f>SUM(AD24:BA24)</f>
        <v/>
      </c>
    </row>
    <row r="25">
      <c r="A25" t="inlineStr">
        <is>
          <t>AMD-EXPR</t>
        </is>
      </c>
      <c r="B25" t="inlineStr">
        <is>
          <t>DSC Manual</t>
        </is>
      </c>
      <c r="C25" s="5" t="n">
        <v>46105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>
        <f>SUM(D25:AA25)</f>
        <v/>
      </c>
      <c r="AC25" s="3" t="inlineStr"/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7" t="n">
        <v>0</v>
      </c>
      <c r="BB25" s="7">
        <f>SUM(AD25:BA25)</f>
        <v/>
      </c>
    </row>
    <row r="26">
      <c r="A26" t="inlineStr">
        <is>
          <t>AMD-FK-SSC</t>
        </is>
      </c>
      <c r="B26" t="inlineStr">
        <is>
          <t>Prime at Client side</t>
        </is>
      </c>
      <c r="C26" s="5" t="n">
        <v>46089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>
        <f>SUM(D26:AA26)</f>
        <v/>
      </c>
      <c r="AC26" s="3" t="inlineStr"/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7" t="n">
        <v>0</v>
      </c>
      <c r="BB26" s="7">
        <f>SUM(AD26:BA26)</f>
        <v/>
      </c>
    </row>
    <row r="27">
      <c r="A27" t="inlineStr">
        <is>
          <t>AMD-FK-SSC</t>
        </is>
      </c>
      <c r="B27" t="inlineStr">
        <is>
          <t>Prime at Client side</t>
        </is>
      </c>
      <c r="C27" s="5" t="n">
        <v>46090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>
        <f>SUM(D27:AA27)</f>
        <v/>
      </c>
      <c r="AC27" s="3" t="inlineStr"/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7" t="n">
        <v>0</v>
      </c>
      <c r="BB27" s="7">
        <f>SUM(AD27:BA27)</f>
        <v/>
      </c>
    </row>
    <row r="28">
      <c r="A28" t="inlineStr">
        <is>
          <t>AMD-FK-SSC</t>
        </is>
      </c>
      <c r="B28" t="inlineStr">
        <is>
          <t>Prime at Client side</t>
        </is>
      </c>
      <c r="C28" s="5" t="n">
        <v>46091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>
        <f>SUM(D28:AA28)</f>
        <v/>
      </c>
      <c r="AC28" s="3" t="inlineStr"/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7" t="n">
        <v>0</v>
      </c>
      <c r="BB28" s="7">
        <f>SUM(AD28:BA28)</f>
        <v/>
      </c>
    </row>
    <row r="29">
      <c r="A29" t="inlineStr">
        <is>
          <t>AMD-FK-SSC</t>
        </is>
      </c>
      <c r="B29" t="inlineStr">
        <is>
          <t>Prime at Client side</t>
        </is>
      </c>
      <c r="C29" s="5" t="n">
        <v>46092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>
        <f>SUM(D29:AA29)</f>
        <v/>
      </c>
      <c r="AC29" s="3" t="inlineStr"/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7" t="n">
        <v>0</v>
      </c>
      <c r="AQ29" s="7" t="n">
        <v>0</v>
      </c>
      <c r="AR29" s="7" t="n">
        <v>0</v>
      </c>
      <c r="AS29" s="7" t="n">
        <v>0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0</v>
      </c>
      <c r="BA29" s="7" t="n">
        <v>0</v>
      </c>
      <c r="BB29" s="7">
        <f>SUM(AD29:BA29)</f>
        <v/>
      </c>
    </row>
    <row r="30">
      <c r="A30" t="inlineStr">
        <is>
          <t>AMD-FK-SSC</t>
        </is>
      </c>
      <c r="B30" t="inlineStr">
        <is>
          <t>Prime at Client side</t>
        </is>
      </c>
      <c r="C30" s="5" t="n">
        <v>46093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>
        <f>SUM(D30:AA30)</f>
        <v/>
      </c>
      <c r="AC30" s="3" t="inlineStr"/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0</v>
      </c>
      <c r="AS30" s="7" t="n">
        <v>0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7" t="n">
        <v>0</v>
      </c>
      <c r="BB30" s="7">
        <f>SUM(AD30:BA30)</f>
        <v/>
      </c>
    </row>
    <row r="31">
      <c r="A31" t="inlineStr">
        <is>
          <t>AMD-FK-SSC</t>
        </is>
      </c>
      <c r="B31" t="inlineStr">
        <is>
          <t>Prime at Client side</t>
        </is>
      </c>
      <c r="C31" s="5" t="n">
        <v>46094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>
        <f>SUM(D31:AA31)</f>
        <v/>
      </c>
      <c r="AC31" s="3" t="inlineStr"/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0</v>
      </c>
      <c r="AT31" s="7" t="n">
        <v>0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0</v>
      </c>
      <c r="BA31" s="7" t="n">
        <v>0</v>
      </c>
      <c r="BB31" s="7">
        <f>SUM(AD31:BA31)</f>
        <v/>
      </c>
    </row>
    <row r="32">
      <c r="A32" t="inlineStr">
        <is>
          <t>AMD-FK-SSC</t>
        </is>
      </c>
      <c r="B32" t="inlineStr">
        <is>
          <t>Prime at Client side</t>
        </is>
      </c>
      <c r="C32" s="5" t="n">
        <v>46095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>
        <f>SUM(D32:AA32)</f>
        <v/>
      </c>
      <c r="AC32" s="3" t="inlineStr"/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7" t="n">
        <v>0</v>
      </c>
      <c r="BB32" s="7">
        <f>SUM(AD32:BA32)</f>
        <v/>
      </c>
    </row>
    <row r="33">
      <c r="A33" t="inlineStr">
        <is>
          <t>AMD-FK-SSC</t>
        </is>
      </c>
      <c r="B33" t="inlineStr">
        <is>
          <t>Prime at Client side</t>
        </is>
      </c>
      <c r="C33" s="5" t="n">
        <v>46096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6">
        <f>SUM(D33:AA33)</f>
        <v/>
      </c>
      <c r="AC33" s="3" t="inlineStr"/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0</v>
      </c>
      <c r="AS33" s="7" t="n">
        <v>0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7" t="n">
        <v>0</v>
      </c>
      <c r="BB33" s="7">
        <f>SUM(AD33:BA33)</f>
        <v/>
      </c>
    </row>
    <row r="34">
      <c r="A34" t="inlineStr">
        <is>
          <t>AMD-FK-SSC</t>
        </is>
      </c>
      <c r="B34" t="inlineStr">
        <is>
          <t>Prime at Client side</t>
        </is>
      </c>
      <c r="C34" s="5" t="n">
        <v>46097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>
        <f>SUM(D34:AA34)</f>
        <v/>
      </c>
      <c r="AC34" s="3" t="inlineStr"/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7" t="n">
        <v>0</v>
      </c>
      <c r="BB34" s="7">
        <f>SUM(AD34:BA34)</f>
        <v/>
      </c>
    </row>
    <row r="35">
      <c r="A35" t="inlineStr">
        <is>
          <t>AMD-FK-SSC</t>
        </is>
      </c>
      <c r="B35" t="inlineStr">
        <is>
          <t>Prime at Client side</t>
        </is>
      </c>
      <c r="C35" s="5" t="n">
        <v>46098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>
        <f>SUM(D35:AA35)</f>
        <v/>
      </c>
      <c r="AC35" s="3" t="inlineStr"/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7" t="n">
        <v>0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0</v>
      </c>
      <c r="BA35" s="7" t="n">
        <v>0</v>
      </c>
      <c r="BB35" s="7">
        <f>SUM(AD35:BA35)</f>
        <v/>
      </c>
    </row>
    <row r="36">
      <c r="A36" t="inlineStr">
        <is>
          <t>AMD-FK-SSC</t>
        </is>
      </c>
      <c r="B36" t="inlineStr">
        <is>
          <t>Prime at Client side</t>
        </is>
      </c>
      <c r="C36" s="5" t="n">
        <v>46099</v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>
        <f>SUM(D36:AA36)</f>
        <v/>
      </c>
      <c r="AC36" s="3" t="inlineStr"/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0</v>
      </c>
      <c r="AT36" s="7" t="n">
        <v>0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0</v>
      </c>
      <c r="BA36" s="7" t="n">
        <v>0</v>
      </c>
      <c r="BB36" s="7">
        <f>SUM(AD36:BA36)</f>
        <v/>
      </c>
    </row>
    <row r="37">
      <c r="A37" t="inlineStr">
        <is>
          <t>AMD-FK-SSC</t>
        </is>
      </c>
      <c r="B37" t="inlineStr">
        <is>
          <t>Prime at Client side</t>
        </is>
      </c>
      <c r="C37" s="5" t="n">
        <v>46100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>
        <f>SUM(D37:AA37)</f>
        <v/>
      </c>
      <c r="AC37" s="3" t="inlineStr"/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0</v>
      </c>
      <c r="AP37" s="7" t="n">
        <v>0</v>
      </c>
      <c r="AQ37" s="7" t="n">
        <v>0</v>
      </c>
      <c r="AR37" s="7" t="n">
        <v>0</v>
      </c>
      <c r="AS37" s="7" t="n">
        <v>0</v>
      </c>
      <c r="AT37" s="7" t="n">
        <v>0</v>
      </c>
      <c r="AU37" s="7" t="n">
        <v>0</v>
      </c>
      <c r="AV37" s="7" t="n">
        <v>0</v>
      </c>
      <c r="AW37" s="7" t="n">
        <v>0</v>
      </c>
      <c r="AX37" s="7" t="n">
        <v>0</v>
      </c>
      <c r="AY37" s="7" t="n">
        <v>0</v>
      </c>
      <c r="AZ37" s="7" t="n">
        <v>0</v>
      </c>
      <c r="BA37" s="7" t="n">
        <v>0</v>
      </c>
      <c r="BB37" s="7">
        <f>SUM(AD37:BA37)</f>
        <v/>
      </c>
    </row>
    <row r="38">
      <c r="A38" t="inlineStr">
        <is>
          <t>AMD-FK-SSC</t>
        </is>
      </c>
      <c r="B38" t="inlineStr">
        <is>
          <t>Prime at Client side</t>
        </is>
      </c>
      <c r="C38" s="5" t="n">
        <v>46101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0</v>
      </c>
      <c r="Q38" s="6" t="n">
        <v>0</v>
      </c>
      <c r="R38" s="6" t="n">
        <v>0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>
        <f>SUM(D38:AA38)</f>
        <v/>
      </c>
      <c r="AC38" s="3" t="inlineStr"/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0</v>
      </c>
      <c r="AP38" s="7" t="n">
        <v>0</v>
      </c>
      <c r="AQ38" s="7" t="n">
        <v>0</v>
      </c>
      <c r="AR38" s="7" t="n">
        <v>0</v>
      </c>
      <c r="AS38" s="7" t="n">
        <v>0</v>
      </c>
      <c r="AT38" s="7" t="n">
        <v>0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0</v>
      </c>
      <c r="BA38" s="7" t="n">
        <v>0</v>
      </c>
      <c r="BB38" s="7">
        <f>SUM(AD38:BA38)</f>
        <v/>
      </c>
    </row>
    <row r="39">
      <c r="A39" t="inlineStr">
        <is>
          <t>AMD-FK-SSC</t>
        </is>
      </c>
      <c r="B39" t="inlineStr">
        <is>
          <t>Prime at Client side</t>
        </is>
      </c>
      <c r="C39" s="5" t="n">
        <v>46102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>
        <f>SUM(D39:AA39)</f>
        <v/>
      </c>
      <c r="AC39" s="3" t="inlineStr"/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0</v>
      </c>
      <c r="AP39" s="7" t="n">
        <v>0</v>
      </c>
      <c r="AQ39" s="7" t="n">
        <v>0</v>
      </c>
      <c r="AR39" s="7" t="n">
        <v>0</v>
      </c>
      <c r="AS39" s="7" t="n">
        <v>0</v>
      </c>
      <c r="AT39" s="7" t="n">
        <v>0</v>
      </c>
      <c r="AU39" s="7" t="n">
        <v>0</v>
      </c>
      <c r="AV39" s="7" t="n">
        <v>0</v>
      </c>
      <c r="AW39" s="7" t="n">
        <v>0</v>
      </c>
      <c r="AX39" s="7" t="n">
        <v>0</v>
      </c>
      <c r="AY39" s="7" t="n">
        <v>0</v>
      </c>
      <c r="AZ39" s="7" t="n">
        <v>0</v>
      </c>
      <c r="BA39" s="7" t="n">
        <v>0</v>
      </c>
      <c r="BB39" s="7">
        <f>SUM(AD39:BA39)</f>
        <v/>
      </c>
    </row>
    <row r="40">
      <c r="A40" t="inlineStr">
        <is>
          <t>AMD-FK-SSC</t>
        </is>
      </c>
      <c r="B40" t="inlineStr">
        <is>
          <t>Prime at Client side</t>
        </is>
      </c>
      <c r="C40" s="5" t="n">
        <v>46103</v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0</v>
      </c>
      <c r="M40" s="6" t="n">
        <v>0</v>
      </c>
      <c r="N40" s="6" t="n">
        <v>0</v>
      </c>
      <c r="O40" s="6" t="n">
        <v>0</v>
      </c>
      <c r="P40" s="6" t="n">
        <v>0</v>
      </c>
      <c r="Q40" s="6" t="n">
        <v>0</v>
      </c>
      <c r="R40" s="6" t="n">
        <v>0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>
        <f>SUM(D40:AA40)</f>
        <v/>
      </c>
      <c r="AC40" s="3" t="inlineStr"/>
      <c r="AD40" s="7" t="n">
        <v>0</v>
      </c>
      <c r="AE40" s="7" t="n">
        <v>0</v>
      </c>
      <c r="AF40" s="7" t="n">
        <v>0</v>
      </c>
      <c r="AG40" s="7" t="n">
        <v>0</v>
      </c>
      <c r="AH40" s="7" t="n">
        <v>0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0</v>
      </c>
      <c r="AS40" s="7" t="n">
        <v>0</v>
      </c>
      <c r="AT40" s="7" t="n">
        <v>0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0</v>
      </c>
      <c r="BA40" s="7" t="n">
        <v>0</v>
      </c>
      <c r="BB40" s="7">
        <f>SUM(AD40:BA40)</f>
        <v/>
      </c>
    </row>
    <row r="41">
      <c r="A41" t="inlineStr">
        <is>
          <t>AMD-FK-SSC</t>
        </is>
      </c>
      <c r="B41" t="inlineStr">
        <is>
          <t>Prime at Client side</t>
        </is>
      </c>
      <c r="C41" s="5" t="n">
        <v>46104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>
        <f>SUM(D41:AA41)</f>
        <v/>
      </c>
      <c r="AC41" s="3" t="inlineStr"/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</v>
      </c>
      <c r="AP41" s="7" t="n">
        <v>0</v>
      </c>
      <c r="AQ41" s="7" t="n">
        <v>0</v>
      </c>
      <c r="AR41" s="7" t="n">
        <v>0</v>
      </c>
      <c r="AS41" s="7" t="n">
        <v>0</v>
      </c>
      <c r="AT41" s="7" t="n">
        <v>0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0</v>
      </c>
      <c r="BA41" s="7" t="n">
        <v>0</v>
      </c>
      <c r="BB41" s="7">
        <f>SUM(AD41:BA41)</f>
        <v/>
      </c>
    </row>
    <row r="42">
      <c r="A42" t="inlineStr">
        <is>
          <t>AMD-FK-SSC</t>
        </is>
      </c>
      <c r="B42" t="inlineStr">
        <is>
          <t>Prime at Client side</t>
        </is>
      </c>
      <c r="C42" s="5" t="n">
        <v>46105</v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6" t="n">
        <v>0</v>
      </c>
      <c r="N42" s="6" t="n">
        <v>0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>
        <f>SUM(D42:AA42)</f>
        <v/>
      </c>
      <c r="AC42" s="3" t="inlineStr"/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7" t="n">
        <v>0</v>
      </c>
      <c r="BB42" s="7">
        <f>SUM(AD42:BA42)</f>
        <v/>
      </c>
    </row>
    <row r="43">
      <c r="A43" t="inlineStr">
        <is>
          <t>AMD-FWDPRI-SSC</t>
        </is>
      </c>
      <c r="B43" t="inlineStr">
        <is>
          <t>FWD Priority OSC</t>
        </is>
      </c>
      <c r="C43" s="5" t="n">
        <v>46098</v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0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0</v>
      </c>
      <c r="AA43" s="6" t="n">
        <v>0</v>
      </c>
      <c r="AB43" s="6">
        <f>SUM(D43:AA43)</f>
        <v/>
      </c>
      <c r="AC43" s="3" t="inlineStr"/>
      <c r="AD43" s="7" t="n">
        <v>0</v>
      </c>
      <c r="AE43" s="7" t="n">
        <v>0</v>
      </c>
      <c r="AF43" s="7" t="n">
        <v>0</v>
      </c>
      <c r="AG43" s="7" t="n">
        <v>0</v>
      </c>
      <c r="AH43" s="7" t="n">
        <v>0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0</v>
      </c>
      <c r="AP43" s="7" t="n">
        <v>0</v>
      </c>
      <c r="AQ43" s="7" t="n">
        <v>0</v>
      </c>
      <c r="AR43" s="7" t="n">
        <v>0</v>
      </c>
      <c r="AS43" s="7" t="n">
        <v>0</v>
      </c>
      <c r="AT43" s="7" t="n">
        <v>0</v>
      </c>
      <c r="AU43" s="7" t="n">
        <v>0</v>
      </c>
      <c r="AV43" s="7" t="n">
        <v>0</v>
      </c>
      <c r="AW43" s="7" t="n">
        <v>0</v>
      </c>
      <c r="AX43" s="7" t="n">
        <v>0</v>
      </c>
      <c r="AY43" s="7" t="n">
        <v>0</v>
      </c>
      <c r="AZ43" s="7" t="n">
        <v>0</v>
      </c>
      <c r="BA43" s="7" t="n">
        <v>0</v>
      </c>
      <c r="BB43" s="7">
        <f>SUM(AD43:BA43)</f>
        <v/>
      </c>
    </row>
    <row r="44">
      <c r="A44" t="inlineStr">
        <is>
          <t>AMD-FWDPRI-SSC</t>
        </is>
      </c>
      <c r="B44" t="inlineStr">
        <is>
          <t>FWD Priority OSC</t>
        </is>
      </c>
      <c r="C44" s="5" t="n">
        <v>46099</v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0</v>
      </c>
      <c r="M44" s="6" t="n">
        <v>0</v>
      </c>
      <c r="N44" s="6" t="n">
        <v>0</v>
      </c>
      <c r="O44" s="6" t="n">
        <v>0</v>
      </c>
      <c r="P44" s="6" t="n">
        <v>0</v>
      </c>
      <c r="Q44" s="6" t="n">
        <v>0</v>
      </c>
      <c r="R44" s="6" t="n">
        <v>0</v>
      </c>
      <c r="S44" s="6" t="n">
        <v>0</v>
      </c>
      <c r="T44" s="6" t="n">
        <v>0</v>
      </c>
      <c r="U44" s="6" t="n">
        <v>0</v>
      </c>
      <c r="V44" s="6" t="n">
        <v>0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0</v>
      </c>
      <c r="AB44" s="6">
        <f>SUM(D44:AA44)</f>
        <v/>
      </c>
      <c r="AC44" s="3" t="inlineStr"/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0</v>
      </c>
      <c r="AP44" s="7" t="n">
        <v>0</v>
      </c>
      <c r="AQ44" s="7" t="n">
        <v>0</v>
      </c>
      <c r="AR44" s="7" t="n">
        <v>0</v>
      </c>
      <c r="AS44" s="7" t="n">
        <v>0</v>
      </c>
      <c r="AT44" s="7" t="n">
        <v>0</v>
      </c>
      <c r="AU44" s="7" t="n">
        <v>0</v>
      </c>
      <c r="AV44" s="7" t="n">
        <v>0</v>
      </c>
      <c r="AW44" s="7" t="n">
        <v>0</v>
      </c>
      <c r="AX44" s="7" t="n">
        <v>0</v>
      </c>
      <c r="AY44" s="7" t="n">
        <v>0</v>
      </c>
      <c r="AZ44" s="7" t="n">
        <v>0</v>
      </c>
      <c r="BA44" s="7" t="n">
        <v>0</v>
      </c>
      <c r="BB44" s="7">
        <f>SUM(AD44:BA44)</f>
        <v/>
      </c>
    </row>
    <row r="45">
      <c r="A45" t="inlineStr">
        <is>
          <t>AMD-FWDPRI-SSC</t>
        </is>
      </c>
      <c r="B45" t="inlineStr">
        <is>
          <t>FWD Priority OSC</t>
        </is>
      </c>
      <c r="C45" s="5" t="n">
        <v>46100</v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0</v>
      </c>
      <c r="S45" s="6" t="n">
        <v>0</v>
      </c>
      <c r="T45" s="6" t="n">
        <v>0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  <c r="AB45" s="6">
        <f>SUM(D45:AA45)</f>
        <v/>
      </c>
      <c r="AC45" s="3" t="inlineStr"/>
      <c r="AD45" s="7" t="n">
        <v>0</v>
      </c>
      <c r="AE45" s="7" t="n">
        <v>0</v>
      </c>
      <c r="AF45" s="7" t="n">
        <v>0</v>
      </c>
      <c r="AG45" s="7" t="n">
        <v>0</v>
      </c>
      <c r="AH45" s="7" t="n">
        <v>0</v>
      </c>
      <c r="AI45" s="7" t="n">
        <v>0</v>
      </c>
      <c r="AJ45" s="7" t="n">
        <v>0</v>
      </c>
      <c r="AK45" s="7" t="n">
        <v>0</v>
      </c>
      <c r="AL45" s="7" t="n">
        <v>0</v>
      </c>
      <c r="AM45" s="7" t="n">
        <v>0</v>
      </c>
      <c r="AN45" s="7" t="n">
        <v>0</v>
      </c>
      <c r="AO45" s="7" t="n">
        <v>0</v>
      </c>
      <c r="AP45" s="7" t="n">
        <v>0</v>
      </c>
      <c r="AQ45" s="7" t="n">
        <v>0</v>
      </c>
      <c r="AR45" s="7" t="n">
        <v>0</v>
      </c>
      <c r="AS45" s="7" t="n">
        <v>0</v>
      </c>
      <c r="AT45" s="7" t="n">
        <v>0</v>
      </c>
      <c r="AU45" s="7" t="n">
        <v>0</v>
      </c>
      <c r="AV45" s="7" t="n">
        <v>0</v>
      </c>
      <c r="AW45" s="7" t="n">
        <v>0</v>
      </c>
      <c r="AX45" s="7" t="n">
        <v>0</v>
      </c>
      <c r="AY45" s="7" t="n">
        <v>0</v>
      </c>
      <c r="AZ45" s="7" t="n">
        <v>0</v>
      </c>
      <c r="BA45" s="7" t="n">
        <v>0</v>
      </c>
      <c r="BB45" s="7">
        <f>SUM(AD45:BA45)</f>
        <v/>
      </c>
    </row>
    <row r="46">
      <c r="A46" t="inlineStr">
        <is>
          <t>AMD-FWDPRI-SSC</t>
        </is>
      </c>
      <c r="B46" t="inlineStr">
        <is>
          <t>FWD Priority OSC</t>
        </is>
      </c>
      <c r="C46" s="5" t="n">
        <v>46101</v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0</v>
      </c>
      <c r="M46" s="6" t="n">
        <v>0</v>
      </c>
      <c r="N46" s="6" t="n">
        <v>0</v>
      </c>
      <c r="O46" s="6" t="n">
        <v>0</v>
      </c>
      <c r="P46" s="6" t="n">
        <v>0</v>
      </c>
      <c r="Q46" s="6" t="n">
        <v>0</v>
      </c>
      <c r="R46" s="6" t="n">
        <v>0</v>
      </c>
      <c r="S46" s="6" t="n">
        <v>0</v>
      </c>
      <c r="T46" s="6" t="n">
        <v>0</v>
      </c>
      <c r="U46" s="6" t="n">
        <v>0</v>
      </c>
      <c r="V46" s="6" t="n">
        <v>0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0</v>
      </c>
      <c r="AB46" s="6">
        <f>SUM(D46:AA46)</f>
        <v/>
      </c>
      <c r="AC46" s="3" t="inlineStr"/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  <c r="AS46" s="7" t="n">
        <v>0</v>
      </c>
      <c r="AT46" s="7" t="n">
        <v>0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0</v>
      </c>
      <c r="BA46" s="7" t="n">
        <v>0</v>
      </c>
      <c r="BB46" s="7">
        <f>SUM(AD46:BA46)</f>
        <v/>
      </c>
    </row>
    <row r="47">
      <c r="A47" t="inlineStr">
        <is>
          <t>AMD-FWDPRI-SSC</t>
        </is>
      </c>
      <c r="B47" t="inlineStr">
        <is>
          <t>FWD Priority OSC</t>
        </is>
      </c>
      <c r="C47" s="5" t="n">
        <v>46102</v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6">
        <f>SUM(D47:AA47)</f>
        <v/>
      </c>
      <c r="AC47" s="3" t="inlineStr"/>
      <c r="AD47" s="7" t="n">
        <v>0</v>
      </c>
      <c r="AE47" s="7" t="n">
        <v>0</v>
      </c>
      <c r="AF47" s="7" t="n">
        <v>0</v>
      </c>
      <c r="AG47" s="7" t="n">
        <v>0</v>
      </c>
      <c r="AH47" s="7" t="n">
        <v>0</v>
      </c>
      <c r="AI47" s="7" t="n">
        <v>0</v>
      </c>
      <c r="AJ47" s="7" t="n">
        <v>0</v>
      </c>
      <c r="AK47" s="7" t="n">
        <v>0</v>
      </c>
      <c r="AL47" s="7" t="n">
        <v>0</v>
      </c>
      <c r="AM47" s="7" t="n">
        <v>0</v>
      </c>
      <c r="AN47" s="7" t="n">
        <v>0</v>
      </c>
      <c r="AO47" s="7" t="n">
        <v>0</v>
      </c>
      <c r="AP47" s="7" t="n">
        <v>0</v>
      </c>
      <c r="AQ47" s="7" t="n">
        <v>0</v>
      </c>
      <c r="AR47" s="7" t="n">
        <v>0</v>
      </c>
      <c r="AS47" s="7" t="n">
        <v>0</v>
      </c>
      <c r="AT47" s="7" t="n">
        <v>0</v>
      </c>
      <c r="AU47" s="7" t="n">
        <v>0</v>
      </c>
      <c r="AV47" s="7" t="n">
        <v>0</v>
      </c>
      <c r="AW47" s="7" t="n">
        <v>0</v>
      </c>
      <c r="AX47" s="7" t="n">
        <v>0</v>
      </c>
      <c r="AY47" s="7" t="n">
        <v>0</v>
      </c>
      <c r="AZ47" s="7" t="n">
        <v>0</v>
      </c>
      <c r="BA47" s="7" t="n">
        <v>0</v>
      </c>
      <c r="BB47" s="7">
        <f>SUM(AD47:BA47)</f>
        <v/>
      </c>
    </row>
    <row r="48">
      <c r="A48" t="inlineStr">
        <is>
          <t>AMD-FWDPRI-SSC</t>
        </is>
      </c>
      <c r="B48" t="inlineStr">
        <is>
          <t>FWD Priority OSC</t>
        </is>
      </c>
      <c r="C48" s="5" t="n">
        <v>46103</v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6" t="n">
        <v>0</v>
      </c>
      <c r="AB48" s="6">
        <f>SUM(D48:AA48)</f>
        <v/>
      </c>
      <c r="AC48" s="3" t="inlineStr"/>
      <c r="AD48" s="7" t="n">
        <v>0</v>
      </c>
      <c r="AE48" s="7" t="n">
        <v>0</v>
      </c>
      <c r="AF48" s="7" t="n">
        <v>0</v>
      </c>
      <c r="AG48" s="7" t="n">
        <v>0</v>
      </c>
      <c r="AH48" s="7" t="n">
        <v>0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0</v>
      </c>
      <c r="AP48" s="7" t="n">
        <v>0</v>
      </c>
      <c r="AQ48" s="7" t="n">
        <v>0</v>
      </c>
      <c r="AR48" s="7" t="n">
        <v>0</v>
      </c>
      <c r="AS48" s="7" t="n">
        <v>0</v>
      </c>
      <c r="AT48" s="7" t="n">
        <v>0</v>
      </c>
      <c r="AU48" s="7" t="n">
        <v>0</v>
      </c>
      <c r="AV48" s="7" t="n">
        <v>0</v>
      </c>
      <c r="AW48" s="7" t="n">
        <v>0</v>
      </c>
      <c r="AX48" s="7" t="n">
        <v>0</v>
      </c>
      <c r="AY48" s="7" t="n">
        <v>0</v>
      </c>
      <c r="AZ48" s="7" t="n">
        <v>0</v>
      </c>
      <c r="BA48" s="7" t="n">
        <v>0</v>
      </c>
      <c r="BB48" s="7">
        <f>SUM(AD48:BA48)</f>
        <v/>
      </c>
    </row>
    <row r="49">
      <c r="A49" t="inlineStr">
        <is>
          <t>AMD-FWDPRI-SSC</t>
        </is>
      </c>
      <c r="B49" t="inlineStr">
        <is>
          <t>FWD Priority OSC</t>
        </is>
      </c>
      <c r="C49" s="5" t="n">
        <v>46104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0</v>
      </c>
      <c r="AB49" s="6">
        <f>SUM(D49:AA49)</f>
        <v/>
      </c>
      <c r="AC49" s="3" t="inlineStr"/>
      <c r="AD49" s="7" t="n">
        <v>0</v>
      </c>
      <c r="AE49" s="7" t="n">
        <v>0</v>
      </c>
      <c r="AF49" s="7" t="n">
        <v>0</v>
      </c>
      <c r="AG49" s="7" t="n">
        <v>0</v>
      </c>
      <c r="AH49" s="7" t="n">
        <v>0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0</v>
      </c>
      <c r="AN49" s="7" t="n">
        <v>0</v>
      </c>
      <c r="AO49" s="7" t="n">
        <v>0</v>
      </c>
      <c r="AP49" s="7" t="n">
        <v>0</v>
      </c>
      <c r="AQ49" s="7" t="n">
        <v>0</v>
      </c>
      <c r="AR49" s="7" t="n">
        <v>0</v>
      </c>
      <c r="AS49" s="7" t="n">
        <v>0</v>
      </c>
      <c r="AT49" s="7" t="n">
        <v>0</v>
      </c>
      <c r="AU49" s="7" t="n">
        <v>0</v>
      </c>
      <c r="AV49" s="7" t="n">
        <v>0</v>
      </c>
      <c r="AW49" s="7" t="n">
        <v>0</v>
      </c>
      <c r="AX49" s="7" t="n">
        <v>0</v>
      </c>
      <c r="AY49" s="7" t="n">
        <v>0</v>
      </c>
      <c r="AZ49" s="7" t="n">
        <v>0</v>
      </c>
      <c r="BA49" s="7" t="n">
        <v>0</v>
      </c>
      <c r="BB49" s="7">
        <f>SUM(AD49:BA49)</f>
        <v/>
      </c>
    </row>
    <row r="50">
      <c r="A50" t="inlineStr">
        <is>
          <t>AMD-FWDPRI-SSC</t>
        </is>
      </c>
      <c r="B50" t="inlineStr">
        <is>
          <t>FWD Priority OSC</t>
        </is>
      </c>
      <c r="C50" s="5" t="n">
        <v>46105</v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0</v>
      </c>
      <c r="M50" s="6" t="n">
        <v>0</v>
      </c>
      <c r="N50" s="6" t="n">
        <v>0</v>
      </c>
      <c r="O50" s="6" t="n">
        <v>0</v>
      </c>
      <c r="P50" s="6" t="n">
        <v>0</v>
      </c>
      <c r="Q50" s="6" t="n">
        <v>0</v>
      </c>
      <c r="R50" s="6" t="n">
        <v>0</v>
      </c>
      <c r="S50" s="6" t="n">
        <v>0</v>
      </c>
      <c r="T50" s="6" t="n">
        <v>0</v>
      </c>
      <c r="U50" s="6" t="n">
        <v>0</v>
      </c>
      <c r="V50" s="6" t="n">
        <v>0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0</v>
      </c>
      <c r="AB50" s="6">
        <f>SUM(D50:AA50)</f>
        <v/>
      </c>
      <c r="AC50" s="3" t="inlineStr"/>
      <c r="AD50" s="7" t="n">
        <v>0</v>
      </c>
      <c r="AE50" s="7" t="n">
        <v>0</v>
      </c>
      <c r="AF50" s="7" t="n">
        <v>0</v>
      </c>
      <c r="AG50" s="7" t="n">
        <v>0</v>
      </c>
      <c r="AH50" s="7" t="n">
        <v>0</v>
      </c>
      <c r="AI50" s="7" t="n">
        <v>0</v>
      </c>
      <c r="AJ50" s="7" t="n">
        <v>0</v>
      </c>
      <c r="AK50" s="7" t="n">
        <v>0</v>
      </c>
      <c r="AL50" s="7" t="n">
        <v>0</v>
      </c>
      <c r="AM50" s="7" t="n">
        <v>0</v>
      </c>
      <c r="AN50" s="7" t="n">
        <v>0</v>
      </c>
      <c r="AO50" s="7" t="n">
        <v>0</v>
      </c>
      <c r="AP50" s="7" t="n">
        <v>0</v>
      </c>
      <c r="AQ50" s="7" t="n">
        <v>0</v>
      </c>
      <c r="AR50" s="7" t="n">
        <v>0</v>
      </c>
      <c r="AS50" s="7" t="n">
        <v>0</v>
      </c>
      <c r="AT50" s="7" t="n">
        <v>0</v>
      </c>
      <c r="AU50" s="7" t="n">
        <v>0</v>
      </c>
      <c r="AV50" s="7" t="n">
        <v>0</v>
      </c>
      <c r="AW50" s="7" t="n">
        <v>0</v>
      </c>
      <c r="AX50" s="7" t="n">
        <v>0</v>
      </c>
      <c r="AY50" s="7" t="n">
        <v>0</v>
      </c>
      <c r="AZ50" s="7" t="n">
        <v>0</v>
      </c>
      <c r="BA50" s="7" t="n">
        <v>0</v>
      </c>
      <c r="BB50" s="7">
        <f>SUM(AD50:BA50)</f>
        <v/>
      </c>
    </row>
    <row r="51">
      <c r="A51" t="inlineStr">
        <is>
          <t>AMD-FWDREG-SSC</t>
        </is>
      </c>
      <c r="B51" t="inlineStr">
        <is>
          <t>Forward Regular OSC</t>
        </is>
      </c>
      <c r="C51" s="5" t="n">
        <v>46098</v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0</v>
      </c>
      <c r="O51" s="6" t="n">
        <v>0</v>
      </c>
      <c r="P51" s="6" t="n">
        <v>0</v>
      </c>
      <c r="Q51" s="6" t="n">
        <v>0</v>
      </c>
      <c r="R51" s="6" t="n">
        <v>0</v>
      </c>
      <c r="S51" s="6" t="n">
        <v>0</v>
      </c>
      <c r="T51" s="6" t="n">
        <v>0</v>
      </c>
      <c r="U51" s="6" t="n">
        <v>0</v>
      </c>
      <c r="V51" s="6" t="n">
        <v>0</v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6">
        <f>SUM(D51:AA51)</f>
        <v/>
      </c>
      <c r="AC51" s="3" t="inlineStr"/>
      <c r="AD51" s="7" t="n">
        <v>0</v>
      </c>
      <c r="AE51" s="7" t="n">
        <v>0</v>
      </c>
      <c r="AF51" s="7" t="n">
        <v>0</v>
      </c>
      <c r="AG51" s="7" t="n">
        <v>0</v>
      </c>
      <c r="AH51" s="7" t="n">
        <v>0</v>
      </c>
      <c r="AI51" s="7" t="n">
        <v>0</v>
      </c>
      <c r="AJ51" s="7" t="n">
        <v>0</v>
      </c>
      <c r="AK51" s="7" t="n">
        <v>0</v>
      </c>
      <c r="AL51" s="7" t="n">
        <v>0</v>
      </c>
      <c r="AM51" s="7" t="n">
        <v>0</v>
      </c>
      <c r="AN51" s="7" t="n">
        <v>0</v>
      </c>
      <c r="AO51" s="7" t="n">
        <v>0</v>
      </c>
      <c r="AP51" s="7" t="n">
        <v>0</v>
      </c>
      <c r="AQ51" s="7" t="n">
        <v>0</v>
      </c>
      <c r="AR51" s="7" t="n">
        <v>0</v>
      </c>
      <c r="AS51" s="7" t="n">
        <v>0</v>
      </c>
      <c r="AT51" s="7" t="n">
        <v>0</v>
      </c>
      <c r="AU51" s="7" t="n">
        <v>0</v>
      </c>
      <c r="AV51" s="7" t="n">
        <v>0</v>
      </c>
      <c r="AW51" s="7" t="n">
        <v>0</v>
      </c>
      <c r="AX51" s="7" t="n">
        <v>0</v>
      </c>
      <c r="AY51" s="7" t="n">
        <v>0</v>
      </c>
      <c r="AZ51" s="7" t="n">
        <v>0</v>
      </c>
      <c r="BA51" s="7" t="n">
        <v>0</v>
      </c>
      <c r="BB51" s="7">
        <f>SUM(AD51:BA51)</f>
        <v/>
      </c>
    </row>
    <row r="52">
      <c r="A52" t="inlineStr">
        <is>
          <t>AMD-FWDREG-SSC</t>
        </is>
      </c>
      <c r="B52" t="inlineStr">
        <is>
          <t>Forward Regular OSC</t>
        </is>
      </c>
      <c r="C52" s="5" t="n">
        <v>46099</v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</v>
      </c>
      <c r="L52" s="6" t="n">
        <v>0</v>
      </c>
      <c r="M52" s="6" t="n">
        <v>0</v>
      </c>
      <c r="N52" s="6" t="n">
        <v>0</v>
      </c>
      <c r="O52" s="6" t="n">
        <v>0</v>
      </c>
      <c r="P52" s="6" t="n">
        <v>0</v>
      </c>
      <c r="Q52" s="6" t="n">
        <v>0</v>
      </c>
      <c r="R52" s="6" t="n">
        <v>0</v>
      </c>
      <c r="S52" s="6" t="n">
        <v>0</v>
      </c>
      <c r="T52" s="6" t="n">
        <v>0</v>
      </c>
      <c r="U52" s="6" t="n">
        <v>0</v>
      </c>
      <c r="V52" s="6" t="n">
        <v>0</v>
      </c>
      <c r="W52" s="6" t="n">
        <v>0</v>
      </c>
      <c r="X52" s="6" t="n">
        <v>0</v>
      </c>
      <c r="Y52" s="6" t="n">
        <v>0</v>
      </c>
      <c r="Z52" s="6" t="n">
        <v>0</v>
      </c>
      <c r="AA52" s="6" t="n">
        <v>0</v>
      </c>
      <c r="AB52" s="6">
        <f>SUM(D52:AA52)</f>
        <v/>
      </c>
      <c r="AC52" s="3" t="inlineStr"/>
      <c r="AD52" s="7" t="n">
        <v>0</v>
      </c>
      <c r="AE52" s="7" t="n">
        <v>0</v>
      </c>
      <c r="AF52" s="7" t="n">
        <v>0</v>
      </c>
      <c r="AG52" s="7" t="n">
        <v>0</v>
      </c>
      <c r="AH52" s="7" t="n">
        <v>0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0</v>
      </c>
      <c r="AP52" s="7" t="n">
        <v>0</v>
      </c>
      <c r="AQ52" s="7" t="n">
        <v>0</v>
      </c>
      <c r="AR52" s="7" t="n">
        <v>0</v>
      </c>
      <c r="AS52" s="7" t="n">
        <v>0</v>
      </c>
      <c r="AT52" s="7" t="n">
        <v>0</v>
      </c>
      <c r="AU52" s="7" t="n">
        <v>0</v>
      </c>
      <c r="AV52" s="7" t="n">
        <v>0</v>
      </c>
      <c r="AW52" s="7" t="n">
        <v>0</v>
      </c>
      <c r="AX52" s="7" t="n">
        <v>0</v>
      </c>
      <c r="AY52" s="7" t="n">
        <v>0</v>
      </c>
      <c r="AZ52" s="7" t="n">
        <v>0</v>
      </c>
      <c r="BA52" s="7" t="n">
        <v>0</v>
      </c>
      <c r="BB52" s="7">
        <f>SUM(AD52:BA52)</f>
        <v/>
      </c>
    </row>
    <row r="53">
      <c r="A53" t="inlineStr">
        <is>
          <t>AMD-FWDREG-SSC</t>
        </is>
      </c>
      <c r="B53" t="inlineStr">
        <is>
          <t>Forward Regular OSC</t>
        </is>
      </c>
      <c r="C53" s="5" t="n">
        <v>46100</v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0</v>
      </c>
      <c r="O53" s="6" t="n">
        <v>0</v>
      </c>
      <c r="P53" s="6" t="n">
        <v>0</v>
      </c>
      <c r="Q53" s="6" t="n">
        <v>0</v>
      </c>
      <c r="R53" s="6" t="n">
        <v>0</v>
      </c>
      <c r="S53" s="6" t="n">
        <v>0</v>
      </c>
      <c r="T53" s="6" t="n">
        <v>0</v>
      </c>
      <c r="U53" s="6" t="n">
        <v>0</v>
      </c>
      <c r="V53" s="6" t="n">
        <v>0</v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6">
        <f>SUM(D53:AA53)</f>
        <v/>
      </c>
      <c r="AC53" s="3" t="inlineStr"/>
      <c r="AD53" s="7" t="n">
        <v>0</v>
      </c>
      <c r="AE53" s="7" t="n">
        <v>0</v>
      </c>
      <c r="AF53" s="7" t="n">
        <v>0</v>
      </c>
      <c r="AG53" s="7" t="n">
        <v>0</v>
      </c>
      <c r="AH53" s="7" t="n">
        <v>0</v>
      </c>
      <c r="AI53" s="7" t="n">
        <v>0</v>
      </c>
      <c r="AJ53" s="7" t="n">
        <v>0</v>
      </c>
      <c r="AK53" s="7" t="n">
        <v>0</v>
      </c>
      <c r="AL53" s="7" t="n">
        <v>0</v>
      </c>
      <c r="AM53" s="7" t="n">
        <v>0</v>
      </c>
      <c r="AN53" s="7" t="n">
        <v>0</v>
      </c>
      <c r="AO53" s="7" t="n">
        <v>0</v>
      </c>
      <c r="AP53" s="7" t="n">
        <v>0</v>
      </c>
      <c r="AQ53" s="7" t="n">
        <v>0</v>
      </c>
      <c r="AR53" s="7" t="n">
        <v>0</v>
      </c>
      <c r="AS53" s="7" t="n">
        <v>0</v>
      </c>
      <c r="AT53" s="7" t="n">
        <v>0</v>
      </c>
      <c r="AU53" s="7" t="n">
        <v>0</v>
      </c>
      <c r="AV53" s="7" t="n">
        <v>0</v>
      </c>
      <c r="AW53" s="7" t="n">
        <v>0</v>
      </c>
      <c r="AX53" s="7" t="n">
        <v>0</v>
      </c>
      <c r="AY53" s="7" t="n">
        <v>0</v>
      </c>
      <c r="AZ53" s="7" t="n">
        <v>0</v>
      </c>
      <c r="BA53" s="7" t="n">
        <v>0</v>
      </c>
      <c r="BB53" s="7">
        <f>SUM(AD53:BA53)</f>
        <v/>
      </c>
    </row>
    <row r="54">
      <c r="A54" t="inlineStr">
        <is>
          <t>AMD-FWDREG-SSC</t>
        </is>
      </c>
      <c r="B54" t="inlineStr">
        <is>
          <t>Forward Regular OSC</t>
        </is>
      </c>
      <c r="C54" s="5" t="n">
        <v>46101</v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0</v>
      </c>
      <c r="M54" s="6" t="n">
        <v>0</v>
      </c>
      <c r="N54" s="6" t="n">
        <v>0</v>
      </c>
      <c r="O54" s="6" t="n">
        <v>0</v>
      </c>
      <c r="P54" s="6" t="n">
        <v>0</v>
      </c>
      <c r="Q54" s="6" t="n">
        <v>0</v>
      </c>
      <c r="R54" s="6" t="n">
        <v>0</v>
      </c>
      <c r="S54" s="6" t="n">
        <v>0</v>
      </c>
      <c r="T54" s="6" t="n">
        <v>0</v>
      </c>
      <c r="U54" s="6" t="n">
        <v>0</v>
      </c>
      <c r="V54" s="6" t="n">
        <v>0</v>
      </c>
      <c r="W54" s="6" t="n">
        <v>0</v>
      </c>
      <c r="X54" s="6" t="n">
        <v>0</v>
      </c>
      <c r="Y54" s="6" t="n">
        <v>0</v>
      </c>
      <c r="Z54" s="6" t="n">
        <v>0</v>
      </c>
      <c r="AA54" s="6" t="n">
        <v>0</v>
      </c>
      <c r="AB54" s="6">
        <f>SUM(D54:AA54)</f>
        <v/>
      </c>
      <c r="AC54" s="3" t="inlineStr"/>
      <c r="AD54" s="7" t="n">
        <v>0</v>
      </c>
      <c r="AE54" s="7" t="n">
        <v>0</v>
      </c>
      <c r="AF54" s="7" t="n">
        <v>0</v>
      </c>
      <c r="AG54" s="7" t="n">
        <v>0</v>
      </c>
      <c r="AH54" s="7" t="n">
        <v>0</v>
      </c>
      <c r="AI54" s="7" t="n">
        <v>0</v>
      </c>
      <c r="AJ54" s="7" t="n">
        <v>0</v>
      </c>
      <c r="AK54" s="7" t="n">
        <v>0</v>
      </c>
      <c r="AL54" s="7" t="n">
        <v>0</v>
      </c>
      <c r="AM54" s="7" t="n">
        <v>0</v>
      </c>
      <c r="AN54" s="7" t="n">
        <v>0</v>
      </c>
      <c r="AO54" s="7" t="n">
        <v>0</v>
      </c>
      <c r="AP54" s="7" t="n">
        <v>0</v>
      </c>
      <c r="AQ54" s="7" t="n">
        <v>0</v>
      </c>
      <c r="AR54" s="7" t="n">
        <v>0</v>
      </c>
      <c r="AS54" s="7" t="n">
        <v>0</v>
      </c>
      <c r="AT54" s="7" t="n">
        <v>0</v>
      </c>
      <c r="AU54" s="7" t="n">
        <v>0</v>
      </c>
      <c r="AV54" s="7" t="n">
        <v>0</v>
      </c>
      <c r="AW54" s="7" t="n">
        <v>0</v>
      </c>
      <c r="AX54" s="7" t="n">
        <v>0</v>
      </c>
      <c r="AY54" s="7" t="n">
        <v>0</v>
      </c>
      <c r="AZ54" s="7" t="n">
        <v>0</v>
      </c>
      <c r="BA54" s="7" t="n">
        <v>0</v>
      </c>
      <c r="BB54" s="7">
        <f>SUM(AD54:BA54)</f>
        <v/>
      </c>
    </row>
    <row r="55">
      <c r="A55" t="inlineStr">
        <is>
          <t>AMD-FWDREG-SSC</t>
        </is>
      </c>
      <c r="B55" t="inlineStr">
        <is>
          <t>Forward Regular OSC</t>
        </is>
      </c>
      <c r="C55" s="5" t="n">
        <v>46102</v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6" t="n">
        <v>0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s="6" t="n">
        <v>0</v>
      </c>
      <c r="T55" s="6" t="n">
        <v>0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0</v>
      </c>
      <c r="AB55" s="6">
        <f>SUM(D55:AA55)</f>
        <v/>
      </c>
      <c r="AC55" s="3" t="inlineStr"/>
      <c r="AD55" s="7" t="n">
        <v>0</v>
      </c>
      <c r="AE55" s="7" t="n">
        <v>0</v>
      </c>
      <c r="AF55" s="7" t="n">
        <v>0</v>
      </c>
      <c r="AG55" s="7" t="n">
        <v>0</v>
      </c>
      <c r="AH55" s="7" t="n">
        <v>0</v>
      </c>
      <c r="AI55" s="7" t="n">
        <v>0</v>
      </c>
      <c r="AJ55" s="7" t="n">
        <v>0</v>
      </c>
      <c r="AK55" s="7" t="n">
        <v>0</v>
      </c>
      <c r="AL55" s="7" t="n">
        <v>0</v>
      </c>
      <c r="AM55" s="7" t="n">
        <v>0</v>
      </c>
      <c r="AN55" s="7" t="n">
        <v>0</v>
      </c>
      <c r="AO55" s="7" t="n">
        <v>0</v>
      </c>
      <c r="AP55" s="7" t="n">
        <v>0</v>
      </c>
      <c r="AQ55" s="7" t="n">
        <v>0</v>
      </c>
      <c r="AR55" s="7" t="n">
        <v>0</v>
      </c>
      <c r="AS55" s="7" t="n">
        <v>0</v>
      </c>
      <c r="AT55" s="7" t="n">
        <v>0</v>
      </c>
      <c r="AU55" s="7" t="n">
        <v>0</v>
      </c>
      <c r="AV55" s="7" t="n">
        <v>0</v>
      </c>
      <c r="AW55" s="7" t="n">
        <v>0</v>
      </c>
      <c r="AX55" s="7" t="n">
        <v>0</v>
      </c>
      <c r="AY55" s="7" t="n">
        <v>0</v>
      </c>
      <c r="AZ55" s="7" t="n">
        <v>0</v>
      </c>
      <c r="BA55" s="7" t="n">
        <v>0</v>
      </c>
      <c r="BB55" s="7">
        <f>SUM(AD55:BA55)</f>
        <v/>
      </c>
    </row>
    <row r="56">
      <c r="A56" t="inlineStr">
        <is>
          <t>AMD-FWDREG-SSC</t>
        </is>
      </c>
      <c r="B56" t="inlineStr">
        <is>
          <t>Forward Regular OSC</t>
        </is>
      </c>
      <c r="C56" s="5" t="n">
        <v>46103</v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0</v>
      </c>
      <c r="M56" s="6" t="n">
        <v>0</v>
      </c>
      <c r="N56" s="6" t="n">
        <v>0</v>
      </c>
      <c r="O56" s="6" t="n">
        <v>0</v>
      </c>
      <c r="P56" s="6" t="n">
        <v>0</v>
      </c>
      <c r="Q56" s="6" t="n">
        <v>0</v>
      </c>
      <c r="R56" s="6" t="n">
        <v>0</v>
      </c>
      <c r="S56" s="6" t="n">
        <v>0</v>
      </c>
      <c r="T56" s="6" t="n">
        <v>0</v>
      </c>
      <c r="U56" s="6" t="n">
        <v>0</v>
      </c>
      <c r="V56" s="6" t="n">
        <v>0</v>
      </c>
      <c r="W56" s="6" t="n">
        <v>0</v>
      </c>
      <c r="X56" s="6" t="n">
        <v>0</v>
      </c>
      <c r="Y56" s="6" t="n">
        <v>0</v>
      </c>
      <c r="Z56" s="6" t="n">
        <v>0</v>
      </c>
      <c r="AA56" s="6" t="n">
        <v>0</v>
      </c>
      <c r="AB56" s="6">
        <f>SUM(D56:AA56)</f>
        <v/>
      </c>
      <c r="AC56" s="3" t="inlineStr"/>
      <c r="AD56" s="7" t="n">
        <v>0</v>
      </c>
      <c r="AE56" s="7" t="n">
        <v>0</v>
      </c>
      <c r="AF56" s="7" t="n">
        <v>0</v>
      </c>
      <c r="AG56" s="7" t="n">
        <v>0</v>
      </c>
      <c r="AH56" s="7" t="n">
        <v>0</v>
      </c>
      <c r="AI56" s="7" t="n">
        <v>0</v>
      </c>
      <c r="AJ56" s="7" t="n">
        <v>0</v>
      </c>
      <c r="AK56" s="7" t="n">
        <v>0</v>
      </c>
      <c r="AL56" s="7" t="n">
        <v>0</v>
      </c>
      <c r="AM56" s="7" t="n">
        <v>0</v>
      </c>
      <c r="AN56" s="7" t="n">
        <v>0</v>
      </c>
      <c r="AO56" s="7" t="n">
        <v>0</v>
      </c>
      <c r="AP56" s="7" t="n">
        <v>0</v>
      </c>
      <c r="AQ56" s="7" t="n">
        <v>0</v>
      </c>
      <c r="AR56" s="7" t="n">
        <v>0</v>
      </c>
      <c r="AS56" s="7" t="n">
        <v>0</v>
      </c>
      <c r="AT56" s="7" t="n">
        <v>0</v>
      </c>
      <c r="AU56" s="7" t="n">
        <v>0</v>
      </c>
      <c r="AV56" s="7" t="n">
        <v>0</v>
      </c>
      <c r="AW56" s="7" t="n">
        <v>0</v>
      </c>
      <c r="AX56" s="7" t="n">
        <v>0</v>
      </c>
      <c r="AY56" s="7" t="n">
        <v>0</v>
      </c>
      <c r="AZ56" s="7" t="n">
        <v>0</v>
      </c>
      <c r="BA56" s="7" t="n">
        <v>0</v>
      </c>
      <c r="BB56" s="7">
        <f>SUM(AD56:BA56)</f>
        <v/>
      </c>
    </row>
    <row r="57">
      <c r="A57" t="inlineStr">
        <is>
          <t>AMD-FWDREG-SSC</t>
        </is>
      </c>
      <c r="B57" t="inlineStr">
        <is>
          <t>Forward Regular OSC</t>
        </is>
      </c>
      <c r="C57" s="5" t="n">
        <v>46104</v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0</v>
      </c>
      <c r="Q57" s="6" t="n">
        <v>0</v>
      </c>
      <c r="R57" s="6" t="n">
        <v>0</v>
      </c>
      <c r="S57" s="6" t="n">
        <v>0</v>
      </c>
      <c r="T57" s="6" t="n">
        <v>0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0</v>
      </c>
      <c r="AA57" s="6" t="n">
        <v>0</v>
      </c>
      <c r="AB57" s="6">
        <f>SUM(D57:AA57)</f>
        <v/>
      </c>
      <c r="AC57" s="3" t="inlineStr"/>
      <c r="AD57" s="7" t="n">
        <v>0</v>
      </c>
      <c r="AE57" s="7" t="n">
        <v>0</v>
      </c>
      <c r="AF57" s="7" t="n">
        <v>0</v>
      </c>
      <c r="AG57" s="7" t="n">
        <v>0</v>
      </c>
      <c r="AH57" s="7" t="n">
        <v>0</v>
      </c>
      <c r="AI57" s="7" t="n">
        <v>0</v>
      </c>
      <c r="AJ57" s="7" t="n">
        <v>0</v>
      </c>
      <c r="AK57" s="7" t="n">
        <v>0</v>
      </c>
      <c r="AL57" s="7" t="n">
        <v>0</v>
      </c>
      <c r="AM57" s="7" t="n">
        <v>0</v>
      </c>
      <c r="AN57" s="7" t="n">
        <v>0</v>
      </c>
      <c r="AO57" s="7" t="n">
        <v>0</v>
      </c>
      <c r="AP57" s="7" t="n">
        <v>0</v>
      </c>
      <c r="AQ57" s="7" t="n">
        <v>0</v>
      </c>
      <c r="AR57" s="7" t="n">
        <v>0</v>
      </c>
      <c r="AS57" s="7" t="n">
        <v>0</v>
      </c>
      <c r="AT57" s="7" t="n">
        <v>0</v>
      </c>
      <c r="AU57" s="7" t="n">
        <v>0</v>
      </c>
      <c r="AV57" s="7" t="n">
        <v>0</v>
      </c>
      <c r="AW57" s="7" t="n">
        <v>0</v>
      </c>
      <c r="AX57" s="7" t="n">
        <v>0</v>
      </c>
      <c r="AY57" s="7" t="n">
        <v>0</v>
      </c>
      <c r="AZ57" s="7" t="n">
        <v>0</v>
      </c>
      <c r="BA57" s="7" t="n">
        <v>0</v>
      </c>
      <c r="BB57" s="7">
        <f>SUM(AD57:BA57)</f>
        <v/>
      </c>
    </row>
    <row r="58">
      <c r="A58" t="inlineStr">
        <is>
          <t>AMD-FWDREG-SSC</t>
        </is>
      </c>
      <c r="B58" t="inlineStr">
        <is>
          <t>Forward Regular OSC</t>
        </is>
      </c>
      <c r="C58" s="5" t="n">
        <v>46105</v>
      </c>
      <c r="D58" s="6" t="n">
        <v>0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</v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0</v>
      </c>
      <c r="R58" s="6" t="n">
        <v>0</v>
      </c>
      <c r="S58" s="6" t="n">
        <v>0</v>
      </c>
      <c r="T58" s="6" t="n">
        <v>0</v>
      </c>
      <c r="U58" s="6" t="n">
        <v>0</v>
      </c>
      <c r="V58" s="6" t="n">
        <v>0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0</v>
      </c>
      <c r="AB58" s="6">
        <f>SUM(D58:AA58)</f>
        <v/>
      </c>
      <c r="AC58" s="3" t="inlineStr"/>
      <c r="AD58" s="7" t="n">
        <v>0</v>
      </c>
      <c r="AE58" s="7" t="n">
        <v>0</v>
      </c>
      <c r="AF58" s="7" t="n">
        <v>0</v>
      </c>
      <c r="AG58" s="7" t="n">
        <v>0</v>
      </c>
      <c r="AH58" s="7" t="n">
        <v>0</v>
      </c>
      <c r="AI58" s="7" t="n">
        <v>0</v>
      </c>
      <c r="AJ58" s="7" t="n">
        <v>0</v>
      </c>
      <c r="AK58" s="7" t="n">
        <v>0</v>
      </c>
      <c r="AL58" s="7" t="n">
        <v>0</v>
      </c>
      <c r="AM58" s="7" t="n">
        <v>0</v>
      </c>
      <c r="AN58" s="7" t="n">
        <v>0</v>
      </c>
      <c r="AO58" s="7" t="n">
        <v>0</v>
      </c>
      <c r="AP58" s="7" t="n">
        <v>0</v>
      </c>
      <c r="AQ58" s="7" t="n">
        <v>0</v>
      </c>
      <c r="AR58" s="7" t="n">
        <v>0</v>
      </c>
      <c r="AS58" s="7" t="n">
        <v>0</v>
      </c>
      <c r="AT58" s="7" t="n">
        <v>0</v>
      </c>
      <c r="AU58" s="7" t="n">
        <v>0</v>
      </c>
      <c r="AV58" s="7" t="n">
        <v>0</v>
      </c>
      <c r="AW58" s="7" t="n">
        <v>0</v>
      </c>
      <c r="AX58" s="7" t="n">
        <v>0</v>
      </c>
      <c r="AY58" s="7" t="n">
        <v>0</v>
      </c>
      <c r="AZ58" s="7" t="n">
        <v>0</v>
      </c>
      <c r="BA58" s="7" t="n">
        <v>0</v>
      </c>
      <c r="BB58" s="7">
        <f>SUM(AD58:BA58)</f>
        <v/>
      </c>
    </row>
    <row r="59">
      <c r="A59" t="inlineStr">
        <is>
          <t>AMD-INTRA-SSC</t>
        </is>
      </c>
      <c r="B59" t="inlineStr">
        <is>
          <t>Forward Regular OSC</t>
        </is>
      </c>
      <c r="C59" s="5" t="n">
        <v>46098</v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Q59" s="6" t="n">
        <v>0</v>
      </c>
      <c r="R59" s="6" t="n">
        <v>0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0</v>
      </c>
      <c r="Z59" s="6" t="n">
        <v>0</v>
      </c>
      <c r="AA59" s="6" t="n">
        <v>0</v>
      </c>
      <c r="AB59" s="6">
        <f>SUM(D59:AA59)</f>
        <v/>
      </c>
      <c r="AC59" s="3" t="inlineStr"/>
      <c r="AD59" s="7" t="n">
        <v>0</v>
      </c>
      <c r="AE59" s="7" t="n">
        <v>0</v>
      </c>
      <c r="AF59" s="7" t="n">
        <v>0</v>
      </c>
      <c r="AG59" s="7" t="n">
        <v>0</v>
      </c>
      <c r="AH59" s="7" t="n">
        <v>0</v>
      </c>
      <c r="AI59" s="7" t="n">
        <v>0</v>
      </c>
      <c r="AJ59" s="7" t="n">
        <v>0</v>
      </c>
      <c r="AK59" s="7" t="n">
        <v>0</v>
      </c>
      <c r="AL59" s="7" t="n">
        <v>0</v>
      </c>
      <c r="AM59" s="7" t="n">
        <v>0</v>
      </c>
      <c r="AN59" s="7" t="n">
        <v>0</v>
      </c>
      <c r="AO59" s="7" t="n">
        <v>0</v>
      </c>
      <c r="AP59" s="7" t="n">
        <v>0</v>
      </c>
      <c r="AQ59" s="7" t="n">
        <v>0</v>
      </c>
      <c r="AR59" s="7" t="n">
        <v>0</v>
      </c>
      <c r="AS59" s="7" t="n">
        <v>0</v>
      </c>
      <c r="AT59" s="7" t="n">
        <v>0</v>
      </c>
      <c r="AU59" s="7" t="n">
        <v>0</v>
      </c>
      <c r="AV59" s="7" t="n">
        <v>0</v>
      </c>
      <c r="AW59" s="7" t="n">
        <v>0</v>
      </c>
      <c r="AX59" s="7" t="n">
        <v>0</v>
      </c>
      <c r="AY59" s="7" t="n">
        <v>0</v>
      </c>
      <c r="AZ59" s="7" t="n">
        <v>0</v>
      </c>
      <c r="BA59" s="7" t="n">
        <v>0</v>
      </c>
      <c r="BB59" s="7">
        <f>SUM(AD59:BA59)</f>
        <v/>
      </c>
    </row>
    <row r="60">
      <c r="A60" t="inlineStr">
        <is>
          <t>AMD-INTRA-SSC</t>
        </is>
      </c>
      <c r="B60" t="inlineStr">
        <is>
          <t>Forward Regular OSC</t>
        </is>
      </c>
      <c r="C60" s="5" t="n">
        <v>46099</v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0</v>
      </c>
      <c r="Q60" s="6" t="n">
        <v>0</v>
      </c>
      <c r="R60" s="6" t="n">
        <v>0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0</v>
      </c>
      <c r="Z60" s="6" t="n">
        <v>0</v>
      </c>
      <c r="AA60" s="6" t="n">
        <v>0</v>
      </c>
      <c r="AB60" s="6">
        <f>SUM(D60:AA60)</f>
        <v/>
      </c>
      <c r="AC60" s="3" t="inlineStr"/>
      <c r="AD60" s="7" t="n">
        <v>0</v>
      </c>
      <c r="AE60" s="7" t="n">
        <v>0</v>
      </c>
      <c r="AF60" s="7" t="n">
        <v>0</v>
      </c>
      <c r="AG60" s="7" t="n">
        <v>0</v>
      </c>
      <c r="AH60" s="7" t="n">
        <v>0</v>
      </c>
      <c r="AI60" s="7" t="n">
        <v>0</v>
      </c>
      <c r="AJ60" s="7" t="n">
        <v>0</v>
      </c>
      <c r="AK60" s="7" t="n">
        <v>0</v>
      </c>
      <c r="AL60" s="7" t="n">
        <v>0</v>
      </c>
      <c r="AM60" s="7" t="n">
        <v>0</v>
      </c>
      <c r="AN60" s="7" t="n">
        <v>0</v>
      </c>
      <c r="AO60" s="7" t="n">
        <v>0</v>
      </c>
      <c r="AP60" s="7" t="n">
        <v>0</v>
      </c>
      <c r="AQ60" s="7" t="n">
        <v>0</v>
      </c>
      <c r="AR60" s="7" t="n">
        <v>0</v>
      </c>
      <c r="AS60" s="7" t="n">
        <v>0</v>
      </c>
      <c r="AT60" s="7" t="n">
        <v>0</v>
      </c>
      <c r="AU60" s="7" t="n">
        <v>0</v>
      </c>
      <c r="AV60" s="7" t="n">
        <v>0</v>
      </c>
      <c r="AW60" s="7" t="n">
        <v>0</v>
      </c>
      <c r="AX60" s="7" t="n">
        <v>0</v>
      </c>
      <c r="AY60" s="7" t="n">
        <v>0</v>
      </c>
      <c r="AZ60" s="7" t="n">
        <v>0</v>
      </c>
      <c r="BA60" s="7" t="n">
        <v>0</v>
      </c>
      <c r="BB60" s="7">
        <f>SUM(AD60:BA60)</f>
        <v/>
      </c>
    </row>
    <row r="61">
      <c r="A61" t="inlineStr">
        <is>
          <t>AMD-INTRA-SSC</t>
        </is>
      </c>
      <c r="B61" t="inlineStr">
        <is>
          <t>Forward Regular OSC</t>
        </is>
      </c>
      <c r="C61" s="5" t="n">
        <v>46100</v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0</v>
      </c>
      <c r="Q61" s="6" t="n">
        <v>0</v>
      </c>
      <c r="R61" s="6" t="n">
        <v>0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0</v>
      </c>
      <c r="X61" s="6" t="n">
        <v>0</v>
      </c>
      <c r="Y61" s="6" t="n">
        <v>0</v>
      </c>
      <c r="Z61" s="6" t="n">
        <v>0</v>
      </c>
      <c r="AA61" s="6" t="n">
        <v>0</v>
      </c>
      <c r="AB61" s="6">
        <f>SUM(D61:AA61)</f>
        <v/>
      </c>
      <c r="AC61" s="3" t="inlineStr"/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7" t="n">
        <v>0</v>
      </c>
      <c r="BB61" s="7">
        <f>SUM(AD61:BA61)</f>
        <v/>
      </c>
    </row>
    <row r="62">
      <c r="A62" t="inlineStr">
        <is>
          <t>AMD-INTRA-SSC</t>
        </is>
      </c>
      <c r="B62" t="inlineStr">
        <is>
          <t>Forward Regular OSC</t>
        </is>
      </c>
      <c r="C62" s="5" t="n">
        <v>46101</v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0</v>
      </c>
      <c r="M62" s="6" t="n">
        <v>0</v>
      </c>
      <c r="N62" s="6" t="n">
        <v>0</v>
      </c>
      <c r="O62" s="6" t="n">
        <v>0</v>
      </c>
      <c r="P62" s="6" t="n">
        <v>0</v>
      </c>
      <c r="Q62" s="6" t="n">
        <v>0</v>
      </c>
      <c r="R62" s="6" t="n">
        <v>0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0</v>
      </c>
      <c r="Z62" s="6" t="n">
        <v>0</v>
      </c>
      <c r="AA62" s="6" t="n">
        <v>0</v>
      </c>
      <c r="AB62" s="6">
        <f>SUM(D62:AA62)</f>
        <v/>
      </c>
      <c r="AC62" s="3" t="inlineStr"/>
      <c r="AD62" s="7" t="n">
        <v>0</v>
      </c>
      <c r="AE62" s="7" t="n">
        <v>0</v>
      </c>
      <c r="AF62" s="7" t="n">
        <v>0</v>
      </c>
      <c r="AG62" s="7" t="n">
        <v>0</v>
      </c>
      <c r="AH62" s="7" t="n">
        <v>0</v>
      </c>
      <c r="AI62" s="7" t="n">
        <v>0</v>
      </c>
      <c r="AJ62" s="7" t="n">
        <v>0</v>
      </c>
      <c r="AK62" s="7" t="n">
        <v>0</v>
      </c>
      <c r="AL62" s="7" t="n">
        <v>0</v>
      </c>
      <c r="AM62" s="7" t="n">
        <v>0</v>
      </c>
      <c r="AN62" s="7" t="n">
        <v>0</v>
      </c>
      <c r="AO62" s="7" t="n">
        <v>0</v>
      </c>
      <c r="AP62" s="7" t="n">
        <v>0</v>
      </c>
      <c r="AQ62" s="7" t="n">
        <v>0</v>
      </c>
      <c r="AR62" s="7" t="n">
        <v>0</v>
      </c>
      <c r="AS62" s="7" t="n">
        <v>0</v>
      </c>
      <c r="AT62" s="7" t="n">
        <v>0</v>
      </c>
      <c r="AU62" s="7" t="n">
        <v>0</v>
      </c>
      <c r="AV62" s="7" t="n">
        <v>0</v>
      </c>
      <c r="AW62" s="7" t="n">
        <v>0</v>
      </c>
      <c r="AX62" s="7" t="n">
        <v>0</v>
      </c>
      <c r="AY62" s="7" t="n">
        <v>0</v>
      </c>
      <c r="AZ62" s="7" t="n">
        <v>0</v>
      </c>
      <c r="BA62" s="7" t="n">
        <v>0</v>
      </c>
      <c r="BB62" s="7">
        <f>SUM(AD62:BA62)</f>
        <v/>
      </c>
    </row>
    <row r="63">
      <c r="A63" t="inlineStr">
        <is>
          <t>AMD-INTRA-SSC</t>
        </is>
      </c>
      <c r="B63" t="inlineStr">
        <is>
          <t>Forward Regular OSC</t>
        </is>
      </c>
      <c r="C63" s="5" t="n">
        <v>46102</v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0</v>
      </c>
      <c r="Q63" s="6" t="n">
        <v>0</v>
      </c>
      <c r="R63" s="6" t="n">
        <v>0</v>
      </c>
      <c r="S63" s="6" t="n">
        <v>0</v>
      </c>
      <c r="T63" s="6" t="n">
        <v>0</v>
      </c>
      <c r="U63" s="6" t="n">
        <v>0</v>
      </c>
      <c r="V63" s="6" t="n">
        <v>0</v>
      </c>
      <c r="W63" s="6" t="n">
        <v>0</v>
      </c>
      <c r="X63" s="6" t="n">
        <v>0</v>
      </c>
      <c r="Y63" s="6" t="n">
        <v>0</v>
      </c>
      <c r="Z63" s="6" t="n">
        <v>0</v>
      </c>
      <c r="AA63" s="6" t="n">
        <v>0</v>
      </c>
      <c r="AB63" s="6">
        <f>SUM(D63:AA63)</f>
        <v/>
      </c>
      <c r="AC63" s="3" t="inlineStr"/>
      <c r="AD63" s="7" t="n">
        <v>0</v>
      </c>
      <c r="AE63" s="7" t="n">
        <v>0</v>
      </c>
      <c r="AF63" s="7" t="n">
        <v>0</v>
      </c>
      <c r="AG63" s="7" t="n">
        <v>0</v>
      </c>
      <c r="AH63" s="7" t="n">
        <v>0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0</v>
      </c>
      <c r="AO63" s="7" t="n">
        <v>0</v>
      </c>
      <c r="AP63" s="7" t="n">
        <v>0</v>
      </c>
      <c r="AQ63" s="7" t="n">
        <v>0</v>
      </c>
      <c r="AR63" s="7" t="n">
        <v>0</v>
      </c>
      <c r="AS63" s="7" t="n">
        <v>0</v>
      </c>
      <c r="AT63" s="7" t="n">
        <v>0</v>
      </c>
      <c r="AU63" s="7" t="n">
        <v>0</v>
      </c>
      <c r="AV63" s="7" t="n">
        <v>0</v>
      </c>
      <c r="AW63" s="7" t="n">
        <v>0</v>
      </c>
      <c r="AX63" s="7" t="n">
        <v>0</v>
      </c>
      <c r="AY63" s="7" t="n">
        <v>0</v>
      </c>
      <c r="AZ63" s="7" t="n">
        <v>0</v>
      </c>
      <c r="BA63" s="7" t="n">
        <v>0</v>
      </c>
      <c r="BB63" s="7">
        <f>SUM(AD63:BA63)</f>
        <v/>
      </c>
    </row>
    <row r="64">
      <c r="A64" t="inlineStr">
        <is>
          <t>AMD-INTRA-SSC</t>
        </is>
      </c>
      <c r="B64" t="inlineStr">
        <is>
          <t>Forward Regular OSC</t>
        </is>
      </c>
      <c r="C64" s="5" t="n">
        <v>46103</v>
      </c>
      <c r="D64" s="6" t="n">
        <v>0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0</v>
      </c>
      <c r="M64" s="6" t="n">
        <v>0</v>
      </c>
      <c r="N64" s="6" t="n">
        <v>0</v>
      </c>
      <c r="O64" s="6" t="n">
        <v>0</v>
      </c>
      <c r="P64" s="6" t="n">
        <v>0</v>
      </c>
      <c r="Q64" s="6" t="n">
        <v>0</v>
      </c>
      <c r="R64" s="6" t="n">
        <v>0</v>
      </c>
      <c r="S64" s="6" t="n">
        <v>0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0</v>
      </c>
      <c r="AB64" s="6">
        <f>SUM(D64:AA64)</f>
        <v/>
      </c>
      <c r="AC64" s="3" t="inlineStr"/>
      <c r="AD64" s="7" t="n">
        <v>0</v>
      </c>
      <c r="AE64" s="7" t="n">
        <v>0</v>
      </c>
      <c r="AF64" s="7" t="n">
        <v>0</v>
      </c>
      <c r="AG64" s="7" t="n">
        <v>0</v>
      </c>
      <c r="AH64" s="7" t="n">
        <v>0</v>
      </c>
      <c r="AI64" s="7" t="n">
        <v>0</v>
      </c>
      <c r="AJ64" s="7" t="n">
        <v>0</v>
      </c>
      <c r="AK64" s="7" t="n">
        <v>0</v>
      </c>
      <c r="AL64" s="7" t="n">
        <v>0</v>
      </c>
      <c r="AM64" s="7" t="n">
        <v>0</v>
      </c>
      <c r="AN64" s="7" t="n">
        <v>0</v>
      </c>
      <c r="AO64" s="7" t="n">
        <v>0</v>
      </c>
      <c r="AP64" s="7" t="n">
        <v>0</v>
      </c>
      <c r="AQ64" s="7" t="n">
        <v>0</v>
      </c>
      <c r="AR64" s="7" t="n">
        <v>0</v>
      </c>
      <c r="AS64" s="7" t="n">
        <v>0</v>
      </c>
      <c r="AT64" s="7" t="n">
        <v>0</v>
      </c>
      <c r="AU64" s="7" t="n">
        <v>0</v>
      </c>
      <c r="AV64" s="7" t="n">
        <v>0</v>
      </c>
      <c r="AW64" s="7" t="n">
        <v>0</v>
      </c>
      <c r="AX64" s="7" t="n">
        <v>0</v>
      </c>
      <c r="AY64" s="7" t="n">
        <v>0</v>
      </c>
      <c r="AZ64" s="7" t="n">
        <v>0</v>
      </c>
      <c r="BA64" s="7" t="n">
        <v>0</v>
      </c>
      <c r="BB64" s="7">
        <f>SUM(AD64:BA64)</f>
        <v/>
      </c>
    </row>
    <row r="65">
      <c r="A65" t="inlineStr">
        <is>
          <t>AMD-INTRA-SSC</t>
        </is>
      </c>
      <c r="B65" t="inlineStr">
        <is>
          <t>Forward Regular OSC</t>
        </is>
      </c>
      <c r="C65" s="5" t="n">
        <v>46104</v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0</v>
      </c>
      <c r="Q65" s="6" t="n">
        <v>0</v>
      </c>
      <c r="R65" s="6" t="n">
        <v>0</v>
      </c>
      <c r="S65" s="6" t="n">
        <v>0</v>
      </c>
      <c r="T65" s="6" t="n">
        <v>0</v>
      </c>
      <c r="U65" s="6" t="n">
        <v>0</v>
      </c>
      <c r="V65" s="6" t="n">
        <v>0</v>
      </c>
      <c r="W65" s="6" t="n">
        <v>0</v>
      </c>
      <c r="X65" s="6" t="n">
        <v>0</v>
      </c>
      <c r="Y65" s="6" t="n">
        <v>0</v>
      </c>
      <c r="Z65" s="6" t="n">
        <v>0</v>
      </c>
      <c r="AA65" s="6" t="n">
        <v>0</v>
      </c>
      <c r="AB65" s="6">
        <f>SUM(D65:AA65)</f>
        <v/>
      </c>
      <c r="AC65" s="3" t="inlineStr"/>
      <c r="AD65" s="7" t="n">
        <v>0</v>
      </c>
      <c r="AE65" s="7" t="n">
        <v>0</v>
      </c>
      <c r="AF65" s="7" t="n">
        <v>0</v>
      </c>
      <c r="AG65" s="7" t="n">
        <v>0</v>
      </c>
      <c r="AH65" s="7" t="n">
        <v>0</v>
      </c>
      <c r="AI65" s="7" t="n">
        <v>0</v>
      </c>
      <c r="AJ65" s="7" t="n">
        <v>0</v>
      </c>
      <c r="AK65" s="7" t="n">
        <v>0</v>
      </c>
      <c r="AL65" s="7" t="n">
        <v>0</v>
      </c>
      <c r="AM65" s="7" t="n">
        <v>0</v>
      </c>
      <c r="AN65" s="7" t="n">
        <v>0</v>
      </c>
      <c r="AO65" s="7" t="n">
        <v>0</v>
      </c>
      <c r="AP65" s="7" t="n">
        <v>0</v>
      </c>
      <c r="AQ65" s="7" t="n">
        <v>0</v>
      </c>
      <c r="AR65" s="7" t="n">
        <v>0</v>
      </c>
      <c r="AS65" s="7" t="n">
        <v>0</v>
      </c>
      <c r="AT65" s="7" t="n">
        <v>0</v>
      </c>
      <c r="AU65" s="7" t="n">
        <v>0</v>
      </c>
      <c r="AV65" s="7" t="n">
        <v>0</v>
      </c>
      <c r="AW65" s="7" t="n">
        <v>0</v>
      </c>
      <c r="AX65" s="7" t="n">
        <v>0</v>
      </c>
      <c r="AY65" s="7" t="n">
        <v>0</v>
      </c>
      <c r="AZ65" s="7" t="n">
        <v>0</v>
      </c>
      <c r="BA65" s="7" t="n">
        <v>0</v>
      </c>
      <c r="BB65" s="7">
        <f>SUM(AD65:BA65)</f>
        <v/>
      </c>
    </row>
    <row r="66">
      <c r="A66" t="inlineStr">
        <is>
          <t>AMD-INTRA-SSC</t>
        </is>
      </c>
      <c r="B66" t="inlineStr">
        <is>
          <t>Forward Regular OSC</t>
        </is>
      </c>
      <c r="C66" s="5" t="n">
        <v>46105</v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0</v>
      </c>
      <c r="N66" s="6" t="n">
        <v>0</v>
      </c>
      <c r="O66" s="6" t="n">
        <v>0</v>
      </c>
      <c r="P66" s="6" t="n">
        <v>0</v>
      </c>
      <c r="Q66" s="6" t="n">
        <v>0</v>
      </c>
      <c r="R66" s="6" t="n">
        <v>0</v>
      </c>
      <c r="S66" s="6" t="n">
        <v>0</v>
      </c>
      <c r="T66" s="6" t="n">
        <v>0</v>
      </c>
      <c r="U66" s="6" t="n">
        <v>0</v>
      </c>
      <c r="V66" s="6" t="n">
        <v>0</v>
      </c>
      <c r="W66" s="6" t="n">
        <v>0</v>
      </c>
      <c r="X66" s="6" t="n">
        <v>0</v>
      </c>
      <c r="Y66" s="6" t="n">
        <v>0</v>
      </c>
      <c r="Z66" s="6" t="n">
        <v>0</v>
      </c>
      <c r="AA66" s="6" t="n">
        <v>0</v>
      </c>
      <c r="AB66" s="6">
        <f>SUM(D66:AA66)</f>
        <v/>
      </c>
      <c r="AC66" s="3" t="inlineStr"/>
      <c r="AD66" s="7" t="n">
        <v>0</v>
      </c>
      <c r="AE66" s="7" t="n">
        <v>0</v>
      </c>
      <c r="AF66" s="7" t="n">
        <v>0</v>
      </c>
      <c r="AG66" s="7" t="n">
        <v>0</v>
      </c>
      <c r="AH66" s="7" t="n">
        <v>0</v>
      </c>
      <c r="AI66" s="7" t="n">
        <v>0</v>
      </c>
      <c r="AJ66" s="7" t="n">
        <v>0</v>
      </c>
      <c r="AK66" s="7" t="n">
        <v>0</v>
      </c>
      <c r="AL66" s="7" t="n">
        <v>0</v>
      </c>
      <c r="AM66" s="7" t="n">
        <v>0</v>
      </c>
      <c r="AN66" s="7" t="n">
        <v>0</v>
      </c>
      <c r="AO66" s="7" t="n">
        <v>0</v>
      </c>
      <c r="AP66" s="7" t="n">
        <v>0</v>
      </c>
      <c r="AQ66" s="7" t="n">
        <v>0</v>
      </c>
      <c r="AR66" s="7" t="n">
        <v>0</v>
      </c>
      <c r="AS66" s="7" t="n">
        <v>0</v>
      </c>
      <c r="AT66" s="7" t="n">
        <v>0</v>
      </c>
      <c r="AU66" s="7" t="n">
        <v>0</v>
      </c>
      <c r="AV66" s="7" t="n">
        <v>0</v>
      </c>
      <c r="AW66" s="7" t="n">
        <v>0</v>
      </c>
      <c r="AX66" s="7" t="n">
        <v>0</v>
      </c>
      <c r="AY66" s="7" t="n">
        <v>0</v>
      </c>
      <c r="AZ66" s="7" t="n">
        <v>0</v>
      </c>
      <c r="BA66" s="7" t="n">
        <v>0</v>
      </c>
      <c r="BB66" s="7">
        <f>SUM(AD66:BA66)</f>
        <v/>
      </c>
    </row>
    <row r="67">
      <c r="A67" t="inlineStr">
        <is>
          <t>AMD-M1</t>
        </is>
      </c>
      <c r="B67" t="inlineStr">
        <is>
          <t>Forward Regular OSC</t>
        </is>
      </c>
      <c r="C67" s="5" t="n">
        <v>46089</v>
      </c>
      <c r="D67" s="6" t="n">
        <v>0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  <c r="S67" s="6" t="n">
        <v>0</v>
      </c>
      <c r="T67" s="6" t="n">
        <v>0</v>
      </c>
      <c r="U67" s="6" t="n">
        <v>0</v>
      </c>
      <c r="V67" s="6" t="n">
        <v>0</v>
      </c>
      <c r="W67" s="6" t="n">
        <v>0</v>
      </c>
      <c r="X67" s="6" t="n">
        <v>0</v>
      </c>
      <c r="Y67" s="6" t="n">
        <v>0</v>
      </c>
      <c r="Z67" s="6" t="n">
        <v>0</v>
      </c>
      <c r="AA67" s="6" t="n">
        <v>0</v>
      </c>
      <c r="AB67" s="6">
        <f>SUM(D67:AA67)</f>
        <v/>
      </c>
      <c r="AC67" s="3" t="inlineStr"/>
      <c r="AD67" s="7" t="n">
        <v>0</v>
      </c>
      <c r="AE67" s="7" t="n">
        <v>0</v>
      </c>
      <c r="AF67" s="7" t="n">
        <v>0</v>
      </c>
      <c r="AG67" s="7" t="n">
        <v>0</v>
      </c>
      <c r="AH67" s="7" t="n">
        <v>0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</v>
      </c>
      <c r="AN67" s="7" t="n">
        <v>0</v>
      </c>
      <c r="AO67" s="7" t="n">
        <v>0</v>
      </c>
      <c r="AP67" s="7" t="n">
        <v>0</v>
      </c>
      <c r="AQ67" s="7" t="n">
        <v>0</v>
      </c>
      <c r="AR67" s="7" t="n">
        <v>0</v>
      </c>
      <c r="AS67" s="7" t="n">
        <v>0</v>
      </c>
      <c r="AT67" s="7" t="n">
        <v>0</v>
      </c>
      <c r="AU67" s="7" t="n">
        <v>0</v>
      </c>
      <c r="AV67" s="7" t="n">
        <v>0</v>
      </c>
      <c r="AW67" s="7" t="n">
        <v>0</v>
      </c>
      <c r="AX67" s="7" t="n">
        <v>0</v>
      </c>
      <c r="AY67" s="7" t="n">
        <v>0</v>
      </c>
      <c r="AZ67" s="7" t="n">
        <v>0</v>
      </c>
      <c r="BA67" s="7" t="n">
        <v>0</v>
      </c>
      <c r="BB67" s="7">
        <f>SUM(AD67:BA67)</f>
        <v/>
      </c>
    </row>
    <row r="68">
      <c r="A68" t="inlineStr">
        <is>
          <t>AMD-M1</t>
        </is>
      </c>
      <c r="B68" t="inlineStr">
        <is>
          <t>Forward Regular OSC</t>
        </is>
      </c>
      <c r="C68" s="5" t="n">
        <v>46090</v>
      </c>
      <c r="D68" s="6" t="n">
        <v>0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0</v>
      </c>
      <c r="M68" s="6" t="n">
        <v>0</v>
      </c>
      <c r="N68" s="6" t="n">
        <v>0</v>
      </c>
      <c r="O68" s="6" t="n">
        <v>0</v>
      </c>
      <c r="P68" s="6" t="n">
        <v>0</v>
      </c>
      <c r="Q68" s="6" t="n">
        <v>0</v>
      </c>
      <c r="R68" s="6" t="n">
        <v>0</v>
      </c>
      <c r="S68" s="6" t="n">
        <v>0</v>
      </c>
      <c r="T68" s="6" t="n">
        <v>0</v>
      </c>
      <c r="U68" s="6" t="n">
        <v>0</v>
      </c>
      <c r="V68" s="6" t="n">
        <v>0</v>
      </c>
      <c r="W68" s="6" t="n">
        <v>0</v>
      </c>
      <c r="X68" s="6" t="n">
        <v>0</v>
      </c>
      <c r="Y68" s="6" t="n">
        <v>0</v>
      </c>
      <c r="Z68" s="6" t="n">
        <v>0</v>
      </c>
      <c r="AA68" s="6" t="n">
        <v>0</v>
      </c>
      <c r="AB68" s="6">
        <f>SUM(D68:AA68)</f>
        <v/>
      </c>
      <c r="AC68" s="3" t="inlineStr"/>
      <c r="AD68" s="7" t="n">
        <v>0</v>
      </c>
      <c r="AE68" s="7" t="n">
        <v>0</v>
      </c>
      <c r="AF68" s="7" t="n">
        <v>0</v>
      </c>
      <c r="AG68" s="7" t="n">
        <v>0</v>
      </c>
      <c r="AH68" s="7" t="n">
        <v>0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0</v>
      </c>
      <c r="AO68" s="7" t="n">
        <v>0</v>
      </c>
      <c r="AP68" s="7" t="n">
        <v>0</v>
      </c>
      <c r="AQ68" s="7" t="n">
        <v>0</v>
      </c>
      <c r="AR68" s="7" t="n">
        <v>0</v>
      </c>
      <c r="AS68" s="7" t="n">
        <v>0</v>
      </c>
      <c r="AT68" s="7" t="n">
        <v>0</v>
      </c>
      <c r="AU68" s="7" t="n">
        <v>0</v>
      </c>
      <c r="AV68" s="7" t="n">
        <v>0</v>
      </c>
      <c r="AW68" s="7" t="n">
        <v>0</v>
      </c>
      <c r="AX68" s="7" t="n">
        <v>0</v>
      </c>
      <c r="AY68" s="7" t="n">
        <v>0</v>
      </c>
      <c r="AZ68" s="7" t="n">
        <v>0</v>
      </c>
      <c r="BA68" s="7" t="n">
        <v>0</v>
      </c>
      <c r="BB68" s="7">
        <f>SUM(AD68:BA68)</f>
        <v/>
      </c>
    </row>
    <row r="69">
      <c r="A69" t="inlineStr">
        <is>
          <t>AMD-M1</t>
        </is>
      </c>
      <c r="B69" t="inlineStr">
        <is>
          <t>Forward Regular OSC</t>
        </is>
      </c>
      <c r="C69" s="5" t="n">
        <v>46091</v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>
        <f>SUM(D69:AA69)</f>
        <v/>
      </c>
      <c r="AC69" s="3" t="inlineStr"/>
      <c r="AD69" s="7" t="n">
        <v>0</v>
      </c>
      <c r="AE69" s="7" t="n">
        <v>0</v>
      </c>
      <c r="AF69" s="7" t="n">
        <v>0</v>
      </c>
      <c r="AG69" s="7" t="n">
        <v>0</v>
      </c>
      <c r="AH69" s="7" t="n">
        <v>0</v>
      </c>
      <c r="AI69" s="7" t="n">
        <v>0</v>
      </c>
      <c r="AJ69" s="7" t="n">
        <v>0</v>
      </c>
      <c r="AK69" s="7" t="n">
        <v>0</v>
      </c>
      <c r="AL69" s="7" t="n">
        <v>0</v>
      </c>
      <c r="AM69" s="7" t="n">
        <v>0</v>
      </c>
      <c r="AN69" s="7" t="n">
        <v>0</v>
      </c>
      <c r="AO69" s="7" t="n">
        <v>0</v>
      </c>
      <c r="AP69" s="7" t="n">
        <v>0</v>
      </c>
      <c r="AQ69" s="7" t="n">
        <v>0</v>
      </c>
      <c r="AR69" s="7" t="n">
        <v>0</v>
      </c>
      <c r="AS69" s="7" t="n">
        <v>0</v>
      </c>
      <c r="AT69" s="7" t="n">
        <v>0</v>
      </c>
      <c r="AU69" s="7" t="n">
        <v>0</v>
      </c>
      <c r="AV69" s="7" t="n">
        <v>0</v>
      </c>
      <c r="AW69" s="7" t="n">
        <v>0</v>
      </c>
      <c r="AX69" s="7" t="n">
        <v>0</v>
      </c>
      <c r="AY69" s="7" t="n">
        <v>0</v>
      </c>
      <c r="AZ69" s="7" t="n">
        <v>0</v>
      </c>
      <c r="BA69" s="7" t="n">
        <v>0</v>
      </c>
      <c r="BB69" s="7">
        <f>SUM(AD69:BA69)</f>
        <v/>
      </c>
    </row>
    <row r="70">
      <c r="A70" t="inlineStr">
        <is>
          <t>AMD-M1</t>
        </is>
      </c>
      <c r="B70" t="inlineStr">
        <is>
          <t>Forward Regular OSC</t>
        </is>
      </c>
      <c r="C70" s="5" t="n">
        <v>46092</v>
      </c>
      <c r="D70" s="6" t="n">
        <v>0</v>
      </c>
      <c r="E70" s="6" t="n">
        <v>0</v>
      </c>
      <c r="F70" s="6" t="n">
        <v>0</v>
      </c>
      <c r="G70" s="6" t="n">
        <v>0</v>
      </c>
      <c r="H70" s="6" t="n">
        <v>0</v>
      </c>
      <c r="I70" s="6" t="n">
        <v>0</v>
      </c>
      <c r="J70" s="6" t="n">
        <v>0</v>
      </c>
      <c r="K70" s="6" t="n">
        <v>0</v>
      </c>
      <c r="L70" s="6" t="n">
        <v>0</v>
      </c>
      <c r="M70" s="6" t="n">
        <v>0</v>
      </c>
      <c r="N70" s="6" t="n">
        <v>0</v>
      </c>
      <c r="O70" s="6" t="n">
        <v>0</v>
      </c>
      <c r="P70" s="6" t="n">
        <v>0</v>
      </c>
      <c r="Q70" s="6" t="n">
        <v>0</v>
      </c>
      <c r="R70" s="6" t="n">
        <v>0</v>
      </c>
      <c r="S70" s="6" t="n">
        <v>0</v>
      </c>
      <c r="T70" s="6" t="n">
        <v>0</v>
      </c>
      <c r="U70" s="6" t="n">
        <v>0</v>
      </c>
      <c r="V70" s="6" t="n">
        <v>0</v>
      </c>
      <c r="W70" s="6" t="n">
        <v>0</v>
      </c>
      <c r="X70" s="6" t="n">
        <v>0</v>
      </c>
      <c r="Y70" s="6" t="n">
        <v>0</v>
      </c>
      <c r="Z70" s="6" t="n">
        <v>0</v>
      </c>
      <c r="AA70" s="6" t="n">
        <v>0</v>
      </c>
      <c r="AB70" s="6">
        <f>SUM(D70:AA70)</f>
        <v/>
      </c>
      <c r="AC70" s="3" t="inlineStr"/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>
        <f>SUM(AD70:BA70)</f>
        <v/>
      </c>
    </row>
    <row r="71">
      <c r="A71" t="inlineStr">
        <is>
          <t>AMD-M1</t>
        </is>
      </c>
      <c r="B71" t="inlineStr">
        <is>
          <t>Forward Regular OSC</t>
        </is>
      </c>
      <c r="C71" s="5" t="n">
        <v>46093</v>
      </c>
      <c r="D71" s="6" t="n">
        <v>0</v>
      </c>
      <c r="E71" s="6" t="n">
        <v>0</v>
      </c>
      <c r="F71" s="6" t="n">
        <v>0</v>
      </c>
      <c r="G71" s="6" t="n">
        <v>0</v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0</v>
      </c>
      <c r="Z71" s="6" t="n">
        <v>0</v>
      </c>
      <c r="AA71" s="6" t="n">
        <v>0</v>
      </c>
      <c r="AB71" s="6">
        <f>SUM(D71:AA71)</f>
        <v/>
      </c>
      <c r="AC71" s="3" t="inlineStr"/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  <c r="AS71" s="7" t="n">
        <v>0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7" t="n">
        <v>0</v>
      </c>
      <c r="BB71" s="7">
        <f>SUM(AD71:BA71)</f>
        <v/>
      </c>
    </row>
    <row r="72">
      <c r="A72" t="inlineStr">
        <is>
          <t>AMD-M1</t>
        </is>
      </c>
      <c r="B72" t="inlineStr">
        <is>
          <t>Forward Regular OSC</t>
        </is>
      </c>
      <c r="C72" s="5" t="n">
        <v>46094</v>
      </c>
      <c r="D72" s="6" t="n">
        <v>0</v>
      </c>
      <c r="E72" s="6" t="n">
        <v>0</v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0</v>
      </c>
      <c r="K72" s="6" t="n">
        <v>0</v>
      </c>
      <c r="L72" s="6" t="n">
        <v>0</v>
      </c>
      <c r="M72" s="6" t="n">
        <v>0</v>
      </c>
      <c r="N72" s="6" t="n">
        <v>0</v>
      </c>
      <c r="O72" s="6" t="n">
        <v>0</v>
      </c>
      <c r="P72" s="6" t="n">
        <v>0</v>
      </c>
      <c r="Q72" s="6" t="n">
        <v>0</v>
      </c>
      <c r="R72" s="6" t="n">
        <v>0</v>
      </c>
      <c r="S72" s="6" t="n">
        <v>0</v>
      </c>
      <c r="T72" s="6" t="n">
        <v>0</v>
      </c>
      <c r="U72" s="6" t="n">
        <v>0</v>
      </c>
      <c r="V72" s="6" t="n">
        <v>0</v>
      </c>
      <c r="W72" s="6" t="n">
        <v>0</v>
      </c>
      <c r="X72" s="6" t="n">
        <v>0</v>
      </c>
      <c r="Y72" s="6" t="n">
        <v>0</v>
      </c>
      <c r="Z72" s="6" t="n">
        <v>0</v>
      </c>
      <c r="AA72" s="6" t="n">
        <v>0</v>
      </c>
      <c r="AB72" s="6">
        <f>SUM(D72:AA72)</f>
        <v/>
      </c>
      <c r="AC72" s="3" t="inlineStr"/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0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0</v>
      </c>
      <c r="AO72" s="7" t="n">
        <v>0</v>
      </c>
      <c r="AP72" s="7" t="n">
        <v>0</v>
      </c>
      <c r="AQ72" s="7" t="n">
        <v>0</v>
      </c>
      <c r="AR72" s="7" t="n">
        <v>0</v>
      </c>
      <c r="AS72" s="7" t="n">
        <v>0</v>
      </c>
      <c r="AT72" s="7" t="n">
        <v>0</v>
      </c>
      <c r="AU72" s="7" t="n">
        <v>0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0</v>
      </c>
      <c r="BA72" s="7" t="n">
        <v>0</v>
      </c>
      <c r="BB72" s="7">
        <f>SUM(AD72:BA72)</f>
        <v/>
      </c>
    </row>
    <row r="73">
      <c r="A73" t="inlineStr">
        <is>
          <t>AMD-M1</t>
        </is>
      </c>
      <c r="B73" t="inlineStr">
        <is>
          <t>Forward Regular OSC</t>
        </is>
      </c>
      <c r="C73" s="5" t="n">
        <v>46095</v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  <c r="S73" s="6" t="n">
        <v>0</v>
      </c>
      <c r="T73" s="6" t="n">
        <v>0</v>
      </c>
      <c r="U73" s="6" t="n">
        <v>0</v>
      </c>
      <c r="V73" s="6" t="n">
        <v>0</v>
      </c>
      <c r="W73" s="6" t="n">
        <v>0</v>
      </c>
      <c r="X73" s="6" t="n">
        <v>0</v>
      </c>
      <c r="Y73" s="6" t="n">
        <v>0</v>
      </c>
      <c r="Z73" s="6" t="n">
        <v>0</v>
      </c>
      <c r="AA73" s="6" t="n">
        <v>0</v>
      </c>
      <c r="AB73" s="6">
        <f>SUM(D73:AA73)</f>
        <v/>
      </c>
      <c r="AC73" s="3" t="inlineStr"/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7" t="n">
        <v>0</v>
      </c>
      <c r="BB73" s="7">
        <f>SUM(AD73:BA73)</f>
        <v/>
      </c>
    </row>
    <row r="74">
      <c r="A74" t="inlineStr">
        <is>
          <t>AMD-M1</t>
        </is>
      </c>
      <c r="B74" t="inlineStr">
        <is>
          <t>Forward Regular OSC</t>
        </is>
      </c>
      <c r="C74" s="5" t="n">
        <v>46096</v>
      </c>
      <c r="D74" s="6" t="n">
        <v>0</v>
      </c>
      <c r="E74" s="6" t="n">
        <v>0</v>
      </c>
      <c r="F74" s="6" t="n">
        <v>0</v>
      </c>
      <c r="G74" s="6" t="n">
        <v>0</v>
      </c>
      <c r="H74" s="6" t="n">
        <v>0</v>
      </c>
      <c r="I74" s="6" t="n">
        <v>0</v>
      </c>
      <c r="J74" s="6" t="n">
        <v>0</v>
      </c>
      <c r="K74" s="6" t="n">
        <v>0</v>
      </c>
      <c r="L74" s="6" t="n">
        <v>0</v>
      </c>
      <c r="M74" s="6" t="n">
        <v>0</v>
      </c>
      <c r="N74" s="6" t="n">
        <v>0</v>
      </c>
      <c r="O74" s="6" t="n">
        <v>0</v>
      </c>
      <c r="P74" s="6" t="n">
        <v>0</v>
      </c>
      <c r="Q74" s="6" t="n">
        <v>0</v>
      </c>
      <c r="R74" s="6" t="n">
        <v>0</v>
      </c>
      <c r="S74" s="6" t="n">
        <v>0</v>
      </c>
      <c r="T74" s="6" t="n">
        <v>0</v>
      </c>
      <c r="U74" s="6" t="n">
        <v>0</v>
      </c>
      <c r="V74" s="6" t="n">
        <v>0</v>
      </c>
      <c r="W74" s="6" t="n">
        <v>0</v>
      </c>
      <c r="X74" s="6" t="n">
        <v>0</v>
      </c>
      <c r="Y74" s="6" t="n">
        <v>0</v>
      </c>
      <c r="Z74" s="6" t="n">
        <v>0</v>
      </c>
      <c r="AA74" s="6" t="n">
        <v>0</v>
      </c>
      <c r="AB74" s="6">
        <f>SUM(D74:AA74)</f>
        <v/>
      </c>
      <c r="AC74" s="3" t="inlineStr"/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>
        <f>SUM(AD74:BA74)</f>
        <v/>
      </c>
    </row>
    <row r="75">
      <c r="A75" t="inlineStr">
        <is>
          <t>AMD-M1</t>
        </is>
      </c>
      <c r="B75" t="inlineStr">
        <is>
          <t>Forward Regular OSC</t>
        </is>
      </c>
      <c r="C75" s="5" t="n">
        <v>46097</v>
      </c>
      <c r="D75" s="6" t="n">
        <v>0</v>
      </c>
      <c r="E75" s="6" t="n">
        <v>0</v>
      </c>
      <c r="F75" s="6" t="n">
        <v>0</v>
      </c>
      <c r="G75" s="6" t="n">
        <v>0</v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  <c r="O75" s="6" t="n">
        <v>0</v>
      </c>
      <c r="P75" s="6" t="n">
        <v>0</v>
      </c>
      <c r="Q75" s="6" t="n">
        <v>0</v>
      </c>
      <c r="R75" s="6" t="n">
        <v>0</v>
      </c>
      <c r="S75" s="6" t="n">
        <v>0</v>
      </c>
      <c r="T75" s="6" t="n">
        <v>0</v>
      </c>
      <c r="U75" s="6" t="n">
        <v>0</v>
      </c>
      <c r="V75" s="6" t="n">
        <v>0</v>
      </c>
      <c r="W75" s="6" t="n">
        <v>0</v>
      </c>
      <c r="X75" s="6" t="n">
        <v>0</v>
      </c>
      <c r="Y75" s="6" t="n">
        <v>0</v>
      </c>
      <c r="Z75" s="6" t="n">
        <v>0</v>
      </c>
      <c r="AA75" s="6" t="n">
        <v>0</v>
      </c>
      <c r="AB75" s="6">
        <f>SUM(D75:AA75)</f>
        <v/>
      </c>
      <c r="AC75" s="3" t="inlineStr"/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7" t="n">
        <v>0</v>
      </c>
      <c r="AP75" s="7" t="n">
        <v>0</v>
      </c>
      <c r="AQ75" s="7" t="n">
        <v>0</v>
      </c>
      <c r="AR75" s="7" t="n">
        <v>0</v>
      </c>
      <c r="AS75" s="7" t="n">
        <v>0</v>
      </c>
      <c r="AT75" s="7" t="n">
        <v>0</v>
      </c>
      <c r="AU75" s="7" t="n">
        <v>0</v>
      </c>
      <c r="AV75" s="7" t="n">
        <v>0</v>
      </c>
      <c r="AW75" s="7" t="n">
        <v>0</v>
      </c>
      <c r="AX75" s="7" t="n">
        <v>0</v>
      </c>
      <c r="AY75" s="7" t="n">
        <v>0</v>
      </c>
      <c r="AZ75" s="7" t="n">
        <v>0</v>
      </c>
      <c r="BA75" s="7" t="n">
        <v>0</v>
      </c>
      <c r="BB75" s="7">
        <f>SUM(AD75:BA75)</f>
        <v/>
      </c>
    </row>
    <row r="76">
      <c r="A76" t="inlineStr">
        <is>
          <t>AMD-M2</t>
        </is>
      </c>
      <c r="B76" t="inlineStr">
        <is>
          <t>Forward Regular OSC</t>
        </is>
      </c>
      <c r="C76" s="5" t="n">
        <v>46089</v>
      </c>
      <c r="D76" s="6" t="n">
        <v>0</v>
      </c>
      <c r="E76" s="6" t="n">
        <v>0</v>
      </c>
      <c r="F76" s="6" t="n">
        <v>0</v>
      </c>
      <c r="G76" s="6" t="n">
        <v>0</v>
      </c>
      <c r="H76" s="6" t="n">
        <v>0</v>
      </c>
      <c r="I76" s="6" t="n">
        <v>0</v>
      </c>
      <c r="J76" s="6" t="n">
        <v>0</v>
      </c>
      <c r="K76" s="6" t="n">
        <v>0</v>
      </c>
      <c r="L76" s="6" t="n">
        <v>0</v>
      </c>
      <c r="M76" s="6" t="n">
        <v>0</v>
      </c>
      <c r="N76" s="6" t="n">
        <v>0</v>
      </c>
      <c r="O76" s="6" t="n">
        <v>0</v>
      </c>
      <c r="P76" s="6" t="n">
        <v>0</v>
      </c>
      <c r="Q76" s="6" t="n">
        <v>0</v>
      </c>
      <c r="R76" s="6" t="n">
        <v>0</v>
      </c>
      <c r="S76" s="6" t="n">
        <v>0</v>
      </c>
      <c r="T76" s="6" t="n">
        <v>0</v>
      </c>
      <c r="U76" s="6" t="n">
        <v>0</v>
      </c>
      <c r="V76" s="6" t="n">
        <v>0</v>
      </c>
      <c r="W76" s="6" t="n">
        <v>0</v>
      </c>
      <c r="X76" s="6" t="n">
        <v>0</v>
      </c>
      <c r="Y76" s="6" t="n">
        <v>0</v>
      </c>
      <c r="Z76" s="6" t="n">
        <v>0</v>
      </c>
      <c r="AA76" s="6" t="n">
        <v>0</v>
      </c>
      <c r="AB76" s="6">
        <f>SUM(D76:AA76)</f>
        <v/>
      </c>
      <c r="AC76" s="3" t="inlineStr"/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0</v>
      </c>
      <c r="AP76" s="7" t="n">
        <v>0</v>
      </c>
      <c r="AQ76" s="7" t="n">
        <v>0</v>
      </c>
      <c r="AR76" s="7" t="n">
        <v>0</v>
      </c>
      <c r="AS76" s="7" t="n">
        <v>0</v>
      </c>
      <c r="AT76" s="7" t="n">
        <v>0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0</v>
      </c>
      <c r="BA76" s="7" t="n">
        <v>0</v>
      </c>
      <c r="BB76" s="7">
        <f>SUM(AD76:BA76)</f>
        <v/>
      </c>
    </row>
    <row r="77">
      <c r="A77" t="inlineStr">
        <is>
          <t>AMD-M2</t>
        </is>
      </c>
      <c r="B77" t="inlineStr">
        <is>
          <t>Forward Regular OSC</t>
        </is>
      </c>
      <c r="C77" s="5" t="n">
        <v>46090</v>
      </c>
      <c r="D77" s="6" t="n">
        <v>0</v>
      </c>
      <c r="E77" s="6" t="n">
        <v>0</v>
      </c>
      <c r="F77" s="6" t="n">
        <v>0</v>
      </c>
      <c r="G77" s="6" t="n">
        <v>0</v>
      </c>
      <c r="H77" s="6" t="n">
        <v>0</v>
      </c>
      <c r="I77" s="6" t="n">
        <v>0</v>
      </c>
      <c r="J77" s="6" t="n">
        <v>0</v>
      </c>
      <c r="K77" s="6" t="n">
        <v>0</v>
      </c>
      <c r="L77" s="6" t="n">
        <v>0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</v>
      </c>
      <c r="R77" s="6" t="n">
        <v>0</v>
      </c>
      <c r="S77" s="6" t="n">
        <v>0</v>
      </c>
      <c r="T77" s="6" t="n">
        <v>0</v>
      </c>
      <c r="U77" s="6" t="n">
        <v>0</v>
      </c>
      <c r="V77" s="6" t="n">
        <v>0</v>
      </c>
      <c r="W77" s="6" t="n">
        <v>0</v>
      </c>
      <c r="X77" s="6" t="n">
        <v>0</v>
      </c>
      <c r="Y77" s="6" t="n">
        <v>0</v>
      </c>
      <c r="Z77" s="6" t="n">
        <v>0</v>
      </c>
      <c r="AA77" s="6" t="n">
        <v>0</v>
      </c>
      <c r="AB77" s="6">
        <f>SUM(D77:AA77)</f>
        <v/>
      </c>
      <c r="AC77" s="3" t="inlineStr"/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0</v>
      </c>
      <c r="AP77" s="7" t="n">
        <v>0</v>
      </c>
      <c r="AQ77" s="7" t="n">
        <v>0</v>
      </c>
      <c r="AR77" s="7" t="n">
        <v>0</v>
      </c>
      <c r="AS77" s="7" t="n">
        <v>0</v>
      </c>
      <c r="AT77" s="7" t="n">
        <v>0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0</v>
      </c>
      <c r="BA77" s="7" t="n">
        <v>0</v>
      </c>
      <c r="BB77" s="7">
        <f>SUM(AD77:BA77)</f>
        <v/>
      </c>
    </row>
    <row r="78">
      <c r="A78" t="inlineStr">
        <is>
          <t>AMD-M2</t>
        </is>
      </c>
      <c r="B78" t="inlineStr">
        <is>
          <t>Forward Regular OSC</t>
        </is>
      </c>
      <c r="C78" s="5" t="n">
        <v>46091</v>
      </c>
      <c r="D78" s="6" t="n">
        <v>0</v>
      </c>
      <c r="E78" s="6" t="n">
        <v>0</v>
      </c>
      <c r="F78" s="6" t="n">
        <v>0</v>
      </c>
      <c r="G78" s="6" t="n">
        <v>0</v>
      </c>
      <c r="H78" s="6" t="n">
        <v>0</v>
      </c>
      <c r="I78" s="6" t="n">
        <v>0</v>
      </c>
      <c r="J78" s="6" t="n">
        <v>0</v>
      </c>
      <c r="K78" s="6" t="n">
        <v>0</v>
      </c>
      <c r="L78" s="6" t="n">
        <v>0</v>
      </c>
      <c r="M78" s="6" t="n">
        <v>0</v>
      </c>
      <c r="N78" s="6" t="n">
        <v>0</v>
      </c>
      <c r="O78" s="6" t="n">
        <v>0</v>
      </c>
      <c r="P78" s="6" t="n">
        <v>0</v>
      </c>
      <c r="Q78" s="6" t="n">
        <v>0</v>
      </c>
      <c r="R78" s="6" t="n">
        <v>0</v>
      </c>
      <c r="S78" s="6" t="n">
        <v>0</v>
      </c>
      <c r="T78" s="6" t="n">
        <v>0</v>
      </c>
      <c r="U78" s="6" t="n">
        <v>0</v>
      </c>
      <c r="V78" s="6" t="n">
        <v>0</v>
      </c>
      <c r="W78" s="6" t="n">
        <v>0</v>
      </c>
      <c r="X78" s="6" t="n">
        <v>0</v>
      </c>
      <c r="Y78" s="6" t="n">
        <v>0</v>
      </c>
      <c r="Z78" s="6" t="n">
        <v>0</v>
      </c>
      <c r="AA78" s="6" t="n">
        <v>0</v>
      </c>
      <c r="AB78" s="6">
        <f>SUM(D78:AA78)</f>
        <v/>
      </c>
      <c r="AC78" s="3" t="inlineStr"/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0</v>
      </c>
      <c r="AP78" s="7" t="n">
        <v>0</v>
      </c>
      <c r="AQ78" s="7" t="n">
        <v>0</v>
      </c>
      <c r="AR78" s="7" t="n">
        <v>0</v>
      </c>
      <c r="AS78" s="7" t="n">
        <v>0</v>
      </c>
      <c r="AT78" s="7" t="n">
        <v>0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0</v>
      </c>
      <c r="BA78" s="7" t="n">
        <v>0</v>
      </c>
      <c r="BB78" s="7">
        <f>SUM(AD78:BA78)</f>
        <v/>
      </c>
    </row>
    <row r="79">
      <c r="A79" t="inlineStr">
        <is>
          <t>AMD-M2</t>
        </is>
      </c>
      <c r="B79" t="inlineStr">
        <is>
          <t>Forward Regular OSC</t>
        </is>
      </c>
      <c r="C79" s="5" t="n">
        <v>46092</v>
      </c>
      <c r="D79" s="6" t="n">
        <v>0</v>
      </c>
      <c r="E79" s="6" t="n">
        <v>0</v>
      </c>
      <c r="F79" s="6" t="n">
        <v>0</v>
      </c>
      <c r="G79" s="6" t="n">
        <v>0</v>
      </c>
      <c r="H79" s="6" t="n">
        <v>0</v>
      </c>
      <c r="I79" s="6" t="n">
        <v>0</v>
      </c>
      <c r="J79" s="6" t="n">
        <v>0</v>
      </c>
      <c r="K79" s="6" t="n">
        <v>0</v>
      </c>
      <c r="L79" s="6" t="n">
        <v>0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0</v>
      </c>
      <c r="T79" s="6" t="n">
        <v>0</v>
      </c>
      <c r="U79" s="6" t="n">
        <v>0</v>
      </c>
      <c r="V79" s="6" t="n">
        <v>0</v>
      </c>
      <c r="W79" s="6" t="n">
        <v>0</v>
      </c>
      <c r="X79" s="6" t="n">
        <v>0</v>
      </c>
      <c r="Y79" s="6" t="n">
        <v>0</v>
      </c>
      <c r="Z79" s="6" t="n">
        <v>0</v>
      </c>
      <c r="AA79" s="6" t="n">
        <v>0</v>
      </c>
      <c r="AB79" s="6">
        <f>SUM(D79:AA79)</f>
        <v/>
      </c>
      <c r="AC79" s="3" t="inlineStr"/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0</v>
      </c>
      <c r="AP79" s="7" t="n">
        <v>0</v>
      </c>
      <c r="AQ79" s="7" t="n">
        <v>0</v>
      </c>
      <c r="AR79" s="7" t="n">
        <v>0</v>
      </c>
      <c r="AS79" s="7" t="n">
        <v>0</v>
      </c>
      <c r="AT79" s="7" t="n">
        <v>0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0</v>
      </c>
      <c r="BA79" s="7" t="n">
        <v>0</v>
      </c>
      <c r="BB79" s="7">
        <f>SUM(AD79:BA79)</f>
        <v/>
      </c>
    </row>
    <row r="80">
      <c r="A80" t="inlineStr">
        <is>
          <t>AMD-M2</t>
        </is>
      </c>
      <c r="B80" t="inlineStr">
        <is>
          <t>Forward Regular OSC</t>
        </is>
      </c>
      <c r="C80" s="5" t="n">
        <v>46093</v>
      </c>
      <c r="D80" s="6" t="n">
        <v>0</v>
      </c>
      <c r="E80" s="6" t="n">
        <v>0</v>
      </c>
      <c r="F80" s="6" t="n">
        <v>0</v>
      </c>
      <c r="G80" s="6" t="n">
        <v>0</v>
      </c>
      <c r="H80" s="6" t="n">
        <v>0</v>
      </c>
      <c r="I80" s="6" t="n">
        <v>0</v>
      </c>
      <c r="J80" s="6" t="n">
        <v>0</v>
      </c>
      <c r="K80" s="6" t="n">
        <v>0</v>
      </c>
      <c r="L80" s="6" t="n">
        <v>0</v>
      </c>
      <c r="M80" s="6" t="n">
        <v>0</v>
      </c>
      <c r="N80" s="6" t="n">
        <v>0</v>
      </c>
      <c r="O80" s="6" t="n">
        <v>0</v>
      </c>
      <c r="P80" s="6" t="n">
        <v>0</v>
      </c>
      <c r="Q80" s="6" t="n">
        <v>0</v>
      </c>
      <c r="R80" s="6" t="n">
        <v>0</v>
      </c>
      <c r="S80" s="6" t="n">
        <v>0</v>
      </c>
      <c r="T80" s="6" t="n">
        <v>0</v>
      </c>
      <c r="U80" s="6" t="n">
        <v>0</v>
      </c>
      <c r="V80" s="6" t="n">
        <v>0</v>
      </c>
      <c r="W80" s="6" t="n">
        <v>0</v>
      </c>
      <c r="X80" s="6" t="n">
        <v>0</v>
      </c>
      <c r="Y80" s="6" t="n">
        <v>0</v>
      </c>
      <c r="Z80" s="6" t="n">
        <v>0</v>
      </c>
      <c r="AA80" s="6" t="n">
        <v>0</v>
      </c>
      <c r="AB80" s="6">
        <f>SUM(D80:AA80)</f>
        <v/>
      </c>
      <c r="AC80" s="3" t="inlineStr"/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0</v>
      </c>
      <c r="AP80" s="7" t="n">
        <v>0</v>
      </c>
      <c r="AQ80" s="7" t="n">
        <v>0</v>
      </c>
      <c r="AR80" s="7" t="n">
        <v>0</v>
      </c>
      <c r="AS80" s="7" t="n">
        <v>0</v>
      </c>
      <c r="AT80" s="7" t="n">
        <v>0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0</v>
      </c>
      <c r="BA80" s="7" t="n">
        <v>0</v>
      </c>
      <c r="BB80" s="7">
        <f>SUM(AD80:BA80)</f>
        <v/>
      </c>
    </row>
    <row r="81">
      <c r="A81" t="inlineStr">
        <is>
          <t>AMD-M2</t>
        </is>
      </c>
      <c r="B81" t="inlineStr">
        <is>
          <t>Forward Regular OSC</t>
        </is>
      </c>
      <c r="C81" s="5" t="n">
        <v>46094</v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  <c r="R81" s="6" t="n">
        <v>0</v>
      </c>
      <c r="S81" s="6" t="n">
        <v>0</v>
      </c>
      <c r="T81" s="6" t="n">
        <v>0</v>
      </c>
      <c r="U81" s="6" t="n">
        <v>0</v>
      </c>
      <c r="V81" s="6" t="n">
        <v>0</v>
      </c>
      <c r="W81" s="6" t="n">
        <v>0</v>
      </c>
      <c r="X81" s="6" t="n">
        <v>0</v>
      </c>
      <c r="Y81" s="6" t="n">
        <v>0</v>
      </c>
      <c r="Z81" s="6" t="n">
        <v>0</v>
      </c>
      <c r="AA81" s="6" t="n">
        <v>0</v>
      </c>
      <c r="AB81" s="6">
        <f>SUM(D81:AA81)</f>
        <v/>
      </c>
      <c r="AC81" s="3" t="inlineStr"/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0</v>
      </c>
      <c r="AP81" s="7" t="n">
        <v>0</v>
      </c>
      <c r="AQ81" s="7" t="n">
        <v>0</v>
      </c>
      <c r="AR81" s="7" t="n">
        <v>0</v>
      </c>
      <c r="AS81" s="7" t="n">
        <v>0</v>
      </c>
      <c r="AT81" s="7" t="n">
        <v>0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0</v>
      </c>
      <c r="BA81" s="7" t="n">
        <v>0</v>
      </c>
      <c r="BB81" s="7">
        <f>SUM(AD81:BA81)</f>
        <v/>
      </c>
    </row>
    <row r="82">
      <c r="A82" t="inlineStr">
        <is>
          <t>AMD-M2</t>
        </is>
      </c>
      <c r="B82" t="inlineStr">
        <is>
          <t>Forward Regular OSC</t>
        </is>
      </c>
      <c r="C82" s="5" t="n">
        <v>46095</v>
      </c>
      <c r="D82" s="6" t="n">
        <v>0</v>
      </c>
      <c r="E82" s="6" t="n">
        <v>0</v>
      </c>
      <c r="F82" s="6" t="n">
        <v>0</v>
      </c>
      <c r="G82" s="6" t="n">
        <v>0</v>
      </c>
      <c r="H82" s="6" t="n">
        <v>0</v>
      </c>
      <c r="I82" s="6" t="n">
        <v>0</v>
      </c>
      <c r="J82" s="6" t="n">
        <v>0</v>
      </c>
      <c r="K82" s="6" t="n">
        <v>0</v>
      </c>
      <c r="L82" s="6" t="n">
        <v>0</v>
      </c>
      <c r="M82" s="6" t="n">
        <v>0</v>
      </c>
      <c r="N82" s="6" t="n">
        <v>0</v>
      </c>
      <c r="O82" s="6" t="n">
        <v>0</v>
      </c>
      <c r="P82" s="6" t="n">
        <v>0</v>
      </c>
      <c r="Q82" s="6" t="n">
        <v>0</v>
      </c>
      <c r="R82" s="6" t="n">
        <v>0</v>
      </c>
      <c r="S82" s="6" t="n">
        <v>0</v>
      </c>
      <c r="T82" s="6" t="n">
        <v>0</v>
      </c>
      <c r="U82" s="6" t="n">
        <v>0</v>
      </c>
      <c r="V82" s="6" t="n">
        <v>0</v>
      </c>
      <c r="W82" s="6" t="n">
        <v>0</v>
      </c>
      <c r="X82" s="6" t="n">
        <v>0</v>
      </c>
      <c r="Y82" s="6" t="n">
        <v>0</v>
      </c>
      <c r="Z82" s="6" t="n">
        <v>0</v>
      </c>
      <c r="AA82" s="6" t="n">
        <v>0</v>
      </c>
      <c r="AB82" s="6">
        <f>SUM(D82:AA82)</f>
        <v/>
      </c>
      <c r="AC82" s="3" t="inlineStr"/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0</v>
      </c>
      <c r="AP82" s="7" t="n">
        <v>0</v>
      </c>
      <c r="AQ82" s="7" t="n">
        <v>0</v>
      </c>
      <c r="AR82" s="7" t="n">
        <v>0</v>
      </c>
      <c r="AS82" s="7" t="n">
        <v>0</v>
      </c>
      <c r="AT82" s="7" t="n">
        <v>0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7" t="n">
        <v>0</v>
      </c>
      <c r="BB82" s="7">
        <f>SUM(AD82:BA82)</f>
        <v/>
      </c>
    </row>
    <row r="83">
      <c r="A83" t="inlineStr">
        <is>
          <t>AMD-M2</t>
        </is>
      </c>
      <c r="B83" t="inlineStr">
        <is>
          <t>Forward Regular OSC</t>
        </is>
      </c>
      <c r="C83" s="5" t="n">
        <v>46096</v>
      </c>
      <c r="D83" s="6" t="n">
        <v>0</v>
      </c>
      <c r="E83" s="6" t="n">
        <v>0</v>
      </c>
      <c r="F83" s="6" t="n">
        <v>0</v>
      </c>
      <c r="G83" s="6" t="n">
        <v>0</v>
      </c>
      <c r="H83" s="6" t="n">
        <v>0</v>
      </c>
      <c r="I83" s="6" t="n">
        <v>0</v>
      </c>
      <c r="J83" s="6" t="n">
        <v>0</v>
      </c>
      <c r="K83" s="6" t="n">
        <v>0</v>
      </c>
      <c r="L83" s="6" t="n">
        <v>0</v>
      </c>
      <c r="M83" s="6" t="n">
        <v>0</v>
      </c>
      <c r="N83" s="6" t="n">
        <v>0</v>
      </c>
      <c r="O83" s="6" t="n">
        <v>0</v>
      </c>
      <c r="P83" s="6" t="n">
        <v>0</v>
      </c>
      <c r="Q83" s="6" t="n">
        <v>0</v>
      </c>
      <c r="R83" s="6" t="n">
        <v>0</v>
      </c>
      <c r="S83" s="6" t="n">
        <v>0</v>
      </c>
      <c r="T83" s="6" t="n">
        <v>0</v>
      </c>
      <c r="U83" s="6" t="n">
        <v>0</v>
      </c>
      <c r="V83" s="6" t="n">
        <v>0</v>
      </c>
      <c r="W83" s="6" t="n">
        <v>0</v>
      </c>
      <c r="X83" s="6" t="n">
        <v>0</v>
      </c>
      <c r="Y83" s="6" t="n">
        <v>0</v>
      </c>
      <c r="Z83" s="6" t="n">
        <v>0</v>
      </c>
      <c r="AA83" s="6" t="n">
        <v>0</v>
      </c>
      <c r="AB83" s="6">
        <f>SUM(D83:AA83)</f>
        <v/>
      </c>
      <c r="AC83" s="3" t="inlineStr"/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0</v>
      </c>
      <c r="AP83" s="7" t="n">
        <v>0</v>
      </c>
      <c r="AQ83" s="7" t="n">
        <v>0</v>
      </c>
      <c r="AR83" s="7" t="n">
        <v>0</v>
      </c>
      <c r="AS83" s="7" t="n">
        <v>0</v>
      </c>
      <c r="AT83" s="7" t="n">
        <v>0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0</v>
      </c>
      <c r="BA83" s="7" t="n">
        <v>0</v>
      </c>
      <c r="BB83" s="7">
        <f>SUM(AD83:BA83)</f>
        <v/>
      </c>
    </row>
    <row r="84">
      <c r="A84" t="inlineStr">
        <is>
          <t>AMD-M2</t>
        </is>
      </c>
      <c r="B84" t="inlineStr">
        <is>
          <t>Forward Regular OSC</t>
        </is>
      </c>
      <c r="C84" s="5" t="n">
        <v>46097</v>
      </c>
      <c r="D84" s="6" t="n">
        <v>0</v>
      </c>
      <c r="E84" s="6" t="n">
        <v>0</v>
      </c>
      <c r="F84" s="6" t="n">
        <v>0</v>
      </c>
      <c r="G84" s="6" t="n">
        <v>0</v>
      </c>
      <c r="H84" s="6" t="n">
        <v>0</v>
      </c>
      <c r="I84" s="6" t="n">
        <v>0</v>
      </c>
      <c r="J84" s="6" t="n">
        <v>0</v>
      </c>
      <c r="K84" s="6" t="n">
        <v>0</v>
      </c>
      <c r="L84" s="6" t="n">
        <v>0</v>
      </c>
      <c r="M84" s="6" t="n">
        <v>0</v>
      </c>
      <c r="N84" s="6" t="n">
        <v>0</v>
      </c>
      <c r="O84" s="6" t="n">
        <v>0</v>
      </c>
      <c r="P84" s="6" t="n">
        <v>0</v>
      </c>
      <c r="Q84" s="6" t="n">
        <v>0</v>
      </c>
      <c r="R84" s="6" t="n">
        <v>0</v>
      </c>
      <c r="S84" s="6" t="n">
        <v>0</v>
      </c>
      <c r="T84" s="6" t="n">
        <v>0</v>
      </c>
      <c r="U84" s="6" t="n">
        <v>0</v>
      </c>
      <c r="V84" s="6" t="n">
        <v>0</v>
      </c>
      <c r="W84" s="6" t="n">
        <v>0</v>
      </c>
      <c r="X84" s="6" t="n">
        <v>0</v>
      </c>
      <c r="Y84" s="6" t="n">
        <v>0</v>
      </c>
      <c r="Z84" s="6" t="n">
        <v>0</v>
      </c>
      <c r="AA84" s="6" t="n">
        <v>0</v>
      </c>
      <c r="AB84" s="6">
        <f>SUM(D84:AA84)</f>
        <v/>
      </c>
      <c r="AC84" s="3" t="inlineStr"/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0</v>
      </c>
      <c r="AP84" s="7" t="n">
        <v>0</v>
      </c>
      <c r="AQ84" s="7" t="n">
        <v>0</v>
      </c>
      <c r="AR84" s="7" t="n">
        <v>0</v>
      </c>
      <c r="AS84" s="7" t="n">
        <v>0</v>
      </c>
      <c r="AT84" s="7" t="n">
        <v>0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0</v>
      </c>
      <c r="BA84" s="7" t="n">
        <v>0</v>
      </c>
      <c r="BB84" s="7">
        <f>SUM(AD84:BA84)</f>
        <v/>
      </c>
    </row>
    <row r="85">
      <c r="A85" t="inlineStr">
        <is>
          <t>AMD-MU-01</t>
        </is>
      </c>
      <c r="B85" t="inlineStr">
        <is>
          <t>Forward Regular OSC</t>
        </is>
      </c>
      <c r="C85" s="5" t="n">
        <v>46091</v>
      </c>
      <c r="D85" s="6" t="n">
        <v>0</v>
      </c>
      <c r="E85" s="6" t="n">
        <v>0</v>
      </c>
      <c r="F85" s="6" t="n">
        <v>0</v>
      </c>
      <c r="G85" s="6" t="n">
        <v>0</v>
      </c>
      <c r="H85" s="6" t="n">
        <v>0</v>
      </c>
      <c r="I85" s="6" t="n">
        <v>0</v>
      </c>
      <c r="J85" s="6" t="n">
        <v>0</v>
      </c>
      <c r="K85" s="6" t="n">
        <v>0</v>
      </c>
      <c r="L85" s="6" t="n">
        <v>0</v>
      </c>
      <c r="M85" s="6" t="n">
        <v>0</v>
      </c>
      <c r="N85" s="6" t="n">
        <v>0</v>
      </c>
      <c r="O85" s="6" t="n">
        <v>0</v>
      </c>
      <c r="P85" s="6" t="n">
        <v>0</v>
      </c>
      <c r="Q85" s="6" t="n">
        <v>0</v>
      </c>
      <c r="R85" s="6" t="n">
        <v>0</v>
      </c>
      <c r="S85" s="6" t="n">
        <v>0</v>
      </c>
      <c r="T85" s="6" t="n">
        <v>0</v>
      </c>
      <c r="U85" s="6" t="n">
        <v>0</v>
      </c>
      <c r="V85" s="6" t="n">
        <v>0</v>
      </c>
      <c r="W85" s="6" t="n">
        <v>0</v>
      </c>
      <c r="X85" s="6" t="n">
        <v>0</v>
      </c>
      <c r="Y85" s="6" t="n">
        <v>0</v>
      </c>
      <c r="Z85" s="6" t="n">
        <v>0</v>
      </c>
      <c r="AA85" s="6" t="n">
        <v>0</v>
      </c>
      <c r="AB85" s="6">
        <f>SUM(D85:AA85)</f>
        <v/>
      </c>
      <c r="AC85" s="3" t="inlineStr"/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0</v>
      </c>
      <c r="AP85" s="7" t="n">
        <v>0</v>
      </c>
      <c r="AQ85" s="7" t="n">
        <v>0</v>
      </c>
      <c r="AR85" s="7" t="n">
        <v>0</v>
      </c>
      <c r="AS85" s="7" t="n">
        <v>0</v>
      </c>
      <c r="AT85" s="7" t="n">
        <v>0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0</v>
      </c>
      <c r="BA85" s="7" t="n">
        <v>0</v>
      </c>
      <c r="BB85" s="7">
        <f>SUM(AD85:BA85)</f>
        <v/>
      </c>
    </row>
    <row r="86">
      <c r="A86" t="inlineStr">
        <is>
          <t>AMD-RTS-RCLS-1302-SSC</t>
        </is>
      </c>
      <c r="B86" t="inlineStr">
        <is>
          <t>Rev OSC</t>
        </is>
      </c>
      <c r="C86" s="5" t="n">
        <v>46089</v>
      </c>
      <c r="D86" s="6">
        <f>Summary!D86*0.05</f>
        <v/>
      </c>
      <c r="E86" s="6">
        <f>Summary!E86*0.05</f>
        <v/>
      </c>
      <c r="F86" s="6">
        <f>Summary!F86*0.05</f>
        <v/>
      </c>
      <c r="G86" s="6">
        <f>Summary!G86*0.05</f>
        <v/>
      </c>
      <c r="H86" s="6">
        <f>Summary!H86*0.05</f>
        <v/>
      </c>
      <c r="I86" s="6">
        <f>Summary!I86*0.05</f>
        <v/>
      </c>
      <c r="J86" s="6">
        <f>Summary!J86*0.05</f>
        <v/>
      </c>
      <c r="K86" s="6">
        <f>Summary!K86*0.05</f>
        <v/>
      </c>
      <c r="L86" s="6">
        <f>Summary!L86*0.05</f>
        <v/>
      </c>
      <c r="M86" s="6">
        <f>Summary!M86*0.05</f>
        <v/>
      </c>
      <c r="N86" s="6">
        <f>Summary!N86*0.05</f>
        <v/>
      </c>
      <c r="O86" s="6">
        <f>Summary!O86*0.05</f>
        <v/>
      </c>
      <c r="P86" s="6">
        <f>Summary!P86*0.05</f>
        <v/>
      </c>
      <c r="Q86" s="6">
        <f>Summary!Q86*0.05</f>
        <v/>
      </c>
      <c r="R86" s="6">
        <f>Summary!R86*0.05</f>
        <v/>
      </c>
      <c r="S86" s="6">
        <f>Summary!S86*0.05</f>
        <v/>
      </c>
      <c r="T86" s="6">
        <f>Summary!T86*0.05</f>
        <v/>
      </c>
      <c r="U86" s="6">
        <f>Summary!U86*0.05</f>
        <v/>
      </c>
      <c r="V86" s="6">
        <f>Summary!V86*0.05</f>
        <v/>
      </c>
      <c r="W86" s="6">
        <f>Summary!W86*0.05</f>
        <v/>
      </c>
      <c r="X86" s="6">
        <f>Summary!X86*0.05</f>
        <v/>
      </c>
      <c r="Y86" s="6">
        <f>Summary!Y86*0.05</f>
        <v/>
      </c>
      <c r="Z86" s="6">
        <f>Summary!Z86*0.05</f>
        <v/>
      </c>
      <c r="AA86" s="6">
        <f>Summary!AA86*0.05</f>
        <v/>
      </c>
      <c r="AB86" s="6">
        <f>SUM(D86:AA86)</f>
        <v/>
      </c>
      <c r="AC86" s="3" t="inlineStr"/>
      <c r="AD86" s="7">
        <f>E86*0.000930465+D86*0.000930465</f>
        <v/>
      </c>
      <c r="AE86" s="7">
        <f>F86*0.000930465+E86*0.000930465</f>
        <v/>
      </c>
      <c r="AF86" s="7">
        <f>G86*0.000930465+F86*0.000930465</f>
        <v/>
      </c>
      <c r="AG86" s="7">
        <f>H86*0.000930465+G86*0.000930465</f>
        <v/>
      </c>
      <c r="AH86" s="7">
        <f>I86*0.000930465+H86*0.000930465</f>
        <v/>
      </c>
      <c r="AI86" s="7">
        <f>J86*0.000930465+I86*0.000930465</f>
        <v/>
      </c>
      <c r="AJ86" s="7">
        <f>K86*0.000930465+J86*0.000930465</f>
        <v/>
      </c>
      <c r="AK86" s="7">
        <f>L86*0.000930465+K86*0.000930465</f>
        <v/>
      </c>
      <c r="AL86" s="7">
        <f>M86*0.000930465+L86*0.000930465</f>
        <v/>
      </c>
      <c r="AM86" s="7">
        <f>N86*0.000930465+M86*0.000930465</f>
        <v/>
      </c>
      <c r="AN86" s="7">
        <f>O86*0.000930465+N86*0.000930465</f>
        <v/>
      </c>
      <c r="AO86" s="7">
        <f>P86*0.000930465+O86*0.000930465</f>
        <v/>
      </c>
      <c r="AP86" s="7">
        <f>Q86*0.000930465+P86*0.000930465</f>
        <v/>
      </c>
      <c r="AQ86" s="7">
        <f>R86*0.000930465+Q86*0.000930465</f>
        <v/>
      </c>
      <c r="AR86" s="7">
        <f>S86*0.000930465+R86*0.000930465</f>
        <v/>
      </c>
      <c r="AS86" s="7">
        <f>T86*0.000930465+S86*0.000930465</f>
        <v/>
      </c>
      <c r="AT86" s="7">
        <f>U86*0.000930465+T86*0.000930465</f>
        <v/>
      </c>
      <c r="AU86" s="7">
        <f>V86*0.000930465+U86*0.000930465</f>
        <v/>
      </c>
      <c r="AV86" s="7">
        <f>W86*0.000930465+V86*0.000930465</f>
        <v/>
      </c>
      <c r="AW86" s="7">
        <f>X86*0.000930465+W86*0.000930465</f>
        <v/>
      </c>
      <c r="AX86" s="7">
        <f>Y86*0.000930465+X86*0.000930465</f>
        <v/>
      </c>
      <c r="AY86" s="7">
        <f>Z86*0.000930465+Y86*0.000930465</f>
        <v/>
      </c>
      <c r="AZ86" s="7">
        <f>AA86*0.000930465+Z86*0.000930465</f>
        <v/>
      </c>
      <c r="BA86" s="7">
        <f>D86*0.000930465+AA86*0.000930465</f>
        <v/>
      </c>
      <c r="BB86" s="7">
        <f>SUM(AD86:BA86)</f>
        <v/>
      </c>
    </row>
    <row r="87">
      <c r="A87" t="inlineStr">
        <is>
          <t>AMD-RTS-RCLS-1302-SSC</t>
        </is>
      </c>
      <c r="B87" t="inlineStr">
        <is>
          <t>Rev OSC</t>
        </is>
      </c>
      <c r="C87" s="5" t="n">
        <v>46090</v>
      </c>
      <c r="D87" s="6">
        <f>Summary!D87*0.05</f>
        <v/>
      </c>
      <c r="E87" s="6">
        <f>Summary!E87*0.05</f>
        <v/>
      </c>
      <c r="F87" s="6">
        <f>Summary!F87*0.05</f>
        <v/>
      </c>
      <c r="G87" s="6">
        <f>Summary!G87*0.05</f>
        <v/>
      </c>
      <c r="H87" s="6">
        <f>Summary!H87*0.05</f>
        <v/>
      </c>
      <c r="I87" s="6">
        <f>Summary!I87*0.05</f>
        <v/>
      </c>
      <c r="J87" s="6">
        <f>Summary!J87*0.05</f>
        <v/>
      </c>
      <c r="K87" s="6">
        <f>Summary!K87*0.05</f>
        <v/>
      </c>
      <c r="L87" s="6">
        <f>Summary!L87*0.05</f>
        <v/>
      </c>
      <c r="M87" s="6">
        <f>Summary!M87*0.05</f>
        <v/>
      </c>
      <c r="N87" s="6">
        <f>Summary!N87*0.05</f>
        <v/>
      </c>
      <c r="O87" s="6">
        <f>Summary!O87*0.05</f>
        <v/>
      </c>
      <c r="P87" s="6">
        <f>Summary!P87*0.05</f>
        <v/>
      </c>
      <c r="Q87" s="6">
        <f>Summary!Q87*0.05</f>
        <v/>
      </c>
      <c r="R87" s="6">
        <f>Summary!R87*0.05</f>
        <v/>
      </c>
      <c r="S87" s="6">
        <f>Summary!S87*0.05</f>
        <v/>
      </c>
      <c r="T87" s="6">
        <f>Summary!T87*0.05</f>
        <v/>
      </c>
      <c r="U87" s="6">
        <f>Summary!U87*0.05</f>
        <v/>
      </c>
      <c r="V87" s="6">
        <f>Summary!V87*0.05</f>
        <v/>
      </c>
      <c r="W87" s="6">
        <f>Summary!W87*0.05</f>
        <v/>
      </c>
      <c r="X87" s="6">
        <f>Summary!X87*0.05</f>
        <v/>
      </c>
      <c r="Y87" s="6">
        <f>Summary!Y87*0.05</f>
        <v/>
      </c>
      <c r="Z87" s="6">
        <f>Summary!Z87*0.05</f>
        <v/>
      </c>
      <c r="AA87" s="6">
        <f>Summary!AA87*0.05</f>
        <v/>
      </c>
      <c r="AB87" s="6">
        <f>SUM(D87:AA87)</f>
        <v/>
      </c>
      <c r="AC87" s="3" t="inlineStr"/>
      <c r="AD87" s="7">
        <f>E87*0.000930465+D87*0.000930465</f>
        <v/>
      </c>
      <c r="AE87" s="7">
        <f>F87*0.000930465+E87*0.000930465</f>
        <v/>
      </c>
      <c r="AF87" s="7">
        <f>G87*0.000930465+F87*0.000930465</f>
        <v/>
      </c>
      <c r="AG87" s="7">
        <f>H87*0.000930465+G87*0.000930465</f>
        <v/>
      </c>
      <c r="AH87" s="7">
        <f>I87*0.000930465+H87*0.000930465</f>
        <v/>
      </c>
      <c r="AI87" s="7">
        <f>J87*0.000930465+I87*0.000930465</f>
        <v/>
      </c>
      <c r="AJ87" s="7">
        <f>K87*0.000930465+J87*0.000930465</f>
        <v/>
      </c>
      <c r="AK87" s="7">
        <f>L87*0.000930465+K87*0.000930465</f>
        <v/>
      </c>
      <c r="AL87" s="7">
        <f>M87*0.000930465+L87*0.000930465</f>
        <v/>
      </c>
      <c r="AM87" s="7">
        <f>N87*0.000930465+M87*0.000930465</f>
        <v/>
      </c>
      <c r="AN87" s="7">
        <f>O87*0.000930465+N87*0.000930465</f>
        <v/>
      </c>
      <c r="AO87" s="7">
        <f>P87*0.000930465+O87*0.000930465</f>
        <v/>
      </c>
      <c r="AP87" s="7">
        <f>Q87*0.000930465+P87*0.000930465</f>
        <v/>
      </c>
      <c r="AQ87" s="7">
        <f>R87*0.000930465+Q87*0.000930465</f>
        <v/>
      </c>
      <c r="AR87" s="7">
        <f>S87*0.000930465+R87*0.000930465</f>
        <v/>
      </c>
      <c r="AS87" s="7">
        <f>T87*0.000930465+S87*0.000930465</f>
        <v/>
      </c>
      <c r="AT87" s="7">
        <f>U87*0.000930465+T87*0.000930465</f>
        <v/>
      </c>
      <c r="AU87" s="7">
        <f>V87*0.000930465+U87*0.000930465</f>
        <v/>
      </c>
      <c r="AV87" s="7">
        <f>W87*0.000930465+V87*0.000930465</f>
        <v/>
      </c>
      <c r="AW87" s="7">
        <f>X87*0.000930465+W87*0.000930465</f>
        <v/>
      </c>
      <c r="AX87" s="7">
        <f>Y87*0.000930465+X87*0.000930465</f>
        <v/>
      </c>
      <c r="AY87" s="7">
        <f>Z87*0.000930465+Y87*0.000930465</f>
        <v/>
      </c>
      <c r="AZ87" s="7">
        <f>AA87*0.000930465+Z87*0.000930465</f>
        <v/>
      </c>
      <c r="BA87" s="7">
        <f>D87*0.000930465+AA87*0.000930465</f>
        <v/>
      </c>
      <c r="BB87" s="7">
        <f>SUM(AD87:BA87)</f>
        <v/>
      </c>
    </row>
    <row r="88">
      <c r="A88" t="inlineStr">
        <is>
          <t>AMD-RTS-RCLS-1302-SSC</t>
        </is>
      </c>
      <c r="B88" t="inlineStr">
        <is>
          <t>Rev OSC</t>
        </is>
      </c>
      <c r="C88" s="5" t="n">
        <v>46092</v>
      </c>
      <c r="D88" s="6">
        <f>Summary!D88*0.05</f>
        <v/>
      </c>
      <c r="E88" s="6">
        <f>Summary!E88*0.05</f>
        <v/>
      </c>
      <c r="F88" s="6">
        <f>Summary!F88*0.05</f>
        <v/>
      </c>
      <c r="G88" s="6">
        <f>Summary!G88*0.05</f>
        <v/>
      </c>
      <c r="H88" s="6">
        <f>Summary!H88*0.05</f>
        <v/>
      </c>
      <c r="I88" s="6">
        <f>Summary!I88*0.05</f>
        <v/>
      </c>
      <c r="J88" s="6">
        <f>Summary!J88*0.05</f>
        <v/>
      </c>
      <c r="K88" s="6">
        <f>Summary!K88*0.05</f>
        <v/>
      </c>
      <c r="L88" s="6">
        <f>Summary!L88*0.05</f>
        <v/>
      </c>
      <c r="M88" s="6">
        <f>Summary!M88*0.05</f>
        <v/>
      </c>
      <c r="N88" s="6">
        <f>Summary!N88*0.05</f>
        <v/>
      </c>
      <c r="O88" s="6">
        <f>Summary!O88*0.05</f>
        <v/>
      </c>
      <c r="P88" s="6">
        <f>Summary!P88*0.05</f>
        <v/>
      </c>
      <c r="Q88" s="6">
        <f>Summary!Q88*0.05</f>
        <v/>
      </c>
      <c r="R88" s="6">
        <f>Summary!R88*0.05</f>
        <v/>
      </c>
      <c r="S88" s="6">
        <f>Summary!S88*0.05</f>
        <v/>
      </c>
      <c r="T88" s="6">
        <f>Summary!T88*0.05</f>
        <v/>
      </c>
      <c r="U88" s="6">
        <f>Summary!U88*0.05</f>
        <v/>
      </c>
      <c r="V88" s="6">
        <f>Summary!V88*0.05</f>
        <v/>
      </c>
      <c r="W88" s="6">
        <f>Summary!W88*0.05</f>
        <v/>
      </c>
      <c r="X88" s="6">
        <f>Summary!X88*0.05</f>
        <v/>
      </c>
      <c r="Y88" s="6">
        <f>Summary!Y88*0.05</f>
        <v/>
      </c>
      <c r="Z88" s="6">
        <f>Summary!Z88*0.05</f>
        <v/>
      </c>
      <c r="AA88" s="6">
        <f>Summary!AA88*0.05</f>
        <v/>
      </c>
      <c r="AB88" s="6">
        <f>SUM(D88:AA88)</f>
        <v/>
      </c>
      <c r="AC88" s="3" t="inlineStr"/>
      <c r="AD88" s="7">
        <f>E88*0.000930465+D88*0.000930465</f>
        <v/>
      </c>
      <c r="AE88" s="7">
        <f>F88*0.000930465+E88*0.000930465</f>
        <v/>
      </c>
      <c r="AF88" s="7">
        <f>G88*0.000930465+F88*0.000930465</f>
        <v/>
      </c>
      <c r="AG88" s="7">
        <f>H88*0.000930465+G88*0.000930465</f>
        <v/>
      </c>
      <c r="AH88" s="7">
        <f>I88*0.000930465+H88*0.000930465</f>
        <v/>
      </c>
      <c r="AI88" s="7">
        <f>J88*0.000930465+I88*0.000930465</f>
        <v/>
      </c>
      <c r="AJ88" s="7">
        <f>K88*0.000930465+J88*0.000930465</f>
        <v/>
      </c>
      <c r="AK88" s="7">
        <f>L88*0.000930465+K88*0.000930465</f>
        <v/>
      </c>
      <c r="AL88" s="7">
        <f>M88*0.000930465+L88*0.000930465</f>
        <v/>
      </c>
      <c r="AM88" s="7">
        <f>N88*0.000930465+M88*0.000930465</f>
        <v/>
      </c>
      <c r="AN88" s="7">
        <f>O88*0.000930465+N88*0.000930465</f>
        <v/>
      </c>
      <c r="AO88" s="7">
        <f>P88*0.000930465+O88*0.000930465</f>
        <v/>
      </c>
      <c r="AP88" s="7">
        <f>Q88*0.000930465+P88*0.000930465</f>
        <v/>
      </c>
      <c r="AQ88" s="7">
        <f>R88*0.000930465+Q88*0.000930465</f>
        <v/>
      </c>
      <c r="AR88" s="7">
        <f>S88*0.000930465+R88*0.000930465</f>
        <v/>
      </c>
      <c r="AS88" s="7">
        <f>T88*0.000930465+S88*0.000930465</f>
        <v/>
      </c>
      <c r="AT88" s="7">
        <f>U88*0.000930465+T88*0.000930465</f>
        <v/>
      </c>
      <c r="AU88" s="7">
        <f>V88*0.000930465+U88*0.000930465</f>
        <v/>
      </c>
      <c r="AV88" s="7">
        <f>W88*0.000930465+V88*0.000930465</f>
        <v/>
      </c>
      <c r="AW88" s="7">
        <f>X88*0.000930465+W88*0.000930465</f>
        <v/>
      </c>
      <c r="AX88" s="7">
        <f>Y88*0.000930465+X88*0.000930465</f>
        <v/>
      </c>
      <c r="AY88" s="7">
        <f>Z88*0.000930465+Y88*0.000930465</f>
        <v/>
      </c>
      <c r="AZ88" s="7">
        <f>AA88*0.000930465+Z88*0.000930465</f>
        <v/>
      </c>
      <c r="BA88" s="7">
        <f>D88*0.000930465+AA88*0.000930465</f>
        <v/>
      </c>
      <c r="BB88" s="7">
        <f>SUM(AD88:BA88)</f>
        <v/>
      </c>
    </row>
    <row r="89">
      <c r="A89" t="inlineStr">
        <is>
          <t>AMD-RTS-RCLS-1302-SSC</t>
        </is>
      </c>
      <c r="B89" t="inlineStr">
        <is>
          <t>Rev OSC</t>
        </is>
      </c>
      <c r="C89" s="5" t="n">
        <v>46093</v>
      </c>
      <c r="D89" s="6">
        <f>Summary!D89*0.05</f>
        <v/>
      </c>
      <c r="E89" s="6">
        <f>Summary!E89*0.05</f>
        <v/>
      </c>
      <c r="F89" s="6">
        <f>Summary!F89*0.05</f>
        <v/>
      </c>
      <c r="G89" s="6">
        <f>Summary!G89*0.05</f>
        <v/>
      </c>
      <c r="H89" s="6">
        <f>Summary!H89*0.05</f>
        <v/>
      </c>
      <c r="I89" s="6">
        <f>Summary!I89*0.05</f>
        <v/>
      </c>
      <c r="J89" s="6">
        <f>Summary!J89*0.05</f>
        <v/>
      </c>
      <c r="K89" s="6">
        <f>Summary!K89*0.05</f>
        <v/>
      </c>
      <c r="L89" s="6">
        <f>Summary!L89*0.05</f>
        <v/>
      </c>
      <c r="M89" s="6">
        <f>Summary!M89*0.05</f>
        <v/>
      </c>
      <c r="N89" s="6">
        <f>Summary!N89*0.05</f>
        <v/>
      </c>
      <c r="O89" s="6">
        <f>Summary!O89*0.05</f>
        <v/>
      </c>
      <c r="P89" s="6">
        <f>Summary!P89*0.05</f>
        <v/>
      </c>
      <c r="Q89" s="6">
        <f>Summary!Q89*0.05</f>
        <v/>
      </c>
      <c r="R89" s="6">
        <f>Summary!R89*0.05</f>
        <v/>
      </c>
      <c r="S89" s="6">
        <f>Summary!S89*0.05</f>
        <v/>
      </c>
      <c r="T89" s="6">
        <f>Summary!T89*0.05</f>
        <v/>
      </c>
      <c r="U89" s="6">
        <f>Summary!U89*0.05</f>
        <v/>
      </c>
      <c r="V89" s="6">
        <f>Summary!V89*0.05</f>
        <v/>
      </c>
      <c r="W89" s="6">
        <f>Summary!W89*0.05</f>
        <v/>
      </c>
      <c r="X89" s="6">
        <f>Summary!X89*0.05</f>
        <v/>
      </c>
      <c r="Y89" s="6">
        <f>Summary!Y89*0.05</f>
        <v/>
      </c>
      <c r="Z89" s="6">
        <f>Summary!Z89*0.05</f>
        <v/>
      </c>
      <c r="AA89" s="6">
        <f>Summary!AA89*0.05</f>
        <v/>
      </c>
      <c r="AB89" s="6">
        <f>SUM(D89:AA89)</f>
        <v/>
      </c>
      <c r="AC89" s="3" t="inlineStr"/>
      <c r="AD89" s="7">
        <f>E89*0.000930465+D89*0.000930465</f>
        <v/>
      </c>
      <c r="AE89" s="7">
        <f>F89*0.000930465+E89*0.000930465</f>
        <v/>
      </c>
      <c r="AF89" s="7">
        <f>G89*0.000930465+F89*0.000930465</f>
        <v/>
      </c>
      <c r="AG89" s="7">
        <f>H89*0.000930465+G89*0.000930465</f>
        <v/>
      </c>
      <c r="AH89" s="7">
        <f>I89*0.000930465+H89*0.000930465</f>
        <v/>
      </c>
      <c r="AI89" s="7">
        <f>J89*0.000930465+I89*0.000930465</f>
        <v/>
      </c>
      <c r="AJ89" s="7">
        <f>K89*0.000930465+J89*0.000930465</f>
        <v/>
      </c>
      <c r="AK89" s="7">
        <f>L89*0.000930465+K89*0.000930465</f>
        <v/>
      </c>
      <c r="AL89" s="7">
        <f>M89*0.000930465+L89*0.000930465</f>
        <v/>
      </c>
      <c r="AM89" s="7">
        <f>N89*0.000930465+M89*0.000930465</f>
        <v/>
      </c>
      <c r="AN89" s="7">
        <f>O89*0.000930465+N89*0.000930465</f>
        <v/>
      </c>
      <c r="AO89" s="7">
        <f>P89*0.000930465+O89*0.000930465</f>
        <v/>
      </c>
      <c r="AP89" s="7">
        <f>Q89*0.000930465+P89*0.000930465</f>
        <v/>
      </c>
      <c r="AQ89" s="7">
        <f>R89*0.000930465+Q89*0.000930465</f>
        <v/>
      </c>
      <c r="AR89" s="7">
        <f>S89*0.000930465+R89*0.000930465</f>
        <v/>
      </c>
      <c r="AS89" s="7">
        <f>T89*0.000930465+S89*0.000930465</f>
        <v/>
      </c>
      <c r="AT89" s="7">
        <f>U89*0.000930465+T89*0.000930465</f>
        <v/>
      </c>
      <c r="AU89" s="7">
        <f>V89*0.000930465+U89*0.000930465</f>
        <v/>
      </c>
      <c r="AV89" s="7">
        <f>W89*0.000930465+V89*0.000930465</f>
        <v/>
      </c>
      <c r="AW89" s="7">
        <f>X89*0.000930465+W89*0.000930465</f>
        <v/>
      </c>
      <c r="AX89" s="7">
        <f>Y89*0.000930465+X89*0.000930465</f>
        <v/>
      </c>
      <c r="AY89" s="7">
        <f>Z89*0.000930465+Y89*0.000930465</f>
        <v/>
      </c>
      <c r="AZ89" s="7">
        <f>AA89*0.000930465+Z89*0.000930465</f>
        <v/>
      </c>
      <c r="BA89" s="7">
        <f>D89*0.000930465+AA89*0.000930465</f>
        <v/>
      </c>
      <c r="BB89" s="7">
        <f>SUM(AD89:BA89)</f>
        <v/>
      </c>
    </row>
    <row r="90">
      <c r="A90" t="inlineStr">
        <is>
          <t>AMD-RTS-RCLS-1302-SSC</t>
        </is>
      </c>
      <c r="B90" t="inlineStr">
        <is>
          <t>Rev OSC</t>
        </is>
      </c>
      <c r="C90" s="5" t="n">
        <v>46094</v>
      </c>
      <c r="D90" s="6">
        <f>Summary!D90*0.05</f>
        <v/>
      </c>
      <c r="E90" s="6">
        <f>Summary!E90*0.05</f>
        <v/>
      </c>
      <c r="F90" s="6">
        <f>Summary!F90*0.05</f>
        <v/>
      </c>
      <c r="G90" s="6">
        <f>Summary!G90*0.05</f>
        <v/>
      </c>
      <c r="H90" s="6">
        <f>Summary!H90*0.05</f>
        <v/>
      </c>
      <c r="I90" s="6">
        <f>Summary!I90*0.05</f>
        <v/>
      </c>
      <c r="J90" s="6">
        <f>Summary!J90*0.05</f>
        <v/>
      </c>
      <c r="K90" s="6">
        <f>Summary!K90*0.05</f>
        <v/>
      </c>
      <c r="L90" s="6">
        <f>Summary!L90*0.05</f>
        <v/>
      </c>
      <c r="M90" s="6">
        <f>Summary!M90*0.05</f>
        <v/>
      </c>
      <c r="N90" s="6">
        <f>Summary!N90*0.05</f>
        <v/>
      </c>
      <c r="O90" s="6">
        <f>Summary!O90*0.05</f>
        <v/>
      </c>
      <c r="P90" s="6">
        <f>Summary!P90*0.05</f>
        <v/>
      </c>
      <c r="Q90" s="6">
        <f>Summary!Q90*0.05</f>
        <v/>
      </c>
      <c r="R90" s="6">
        <f>Summary!R90*0.05</f>
        <v/>
      </c>
      <c r="S90" s="6">
        <f>Summary!S90*0.05</f>
        <v/>
      </c>
      <c r="T90" s="6">
        <f>Summary!T90*0.05</f>
        <v/>
      </c>
      <c r="U90" s="6">
        <f>Summary!U90*0.05</f>
        <v/>
      </c>
      <c r="V90" s="6">
        <f>Summary!V90*0.05</f>
        <v/>
      </c>
      <c r="W90" s="6">
        <f>Summary!W90*0.05</f>
        <v/>
      </c>
      <c r="X90" s="6">
        <f>Summary!X90*0.05</f>
        <v/>
      </c>
      <c r="Y90" s="6">
        <f>Summary!Y90*0.05</f>
        <v/>
      </c>
      <c r="Z90" s="6">
        <f>Summary!Z90*0.05</f>
        <v/>
      </c>
      <c r="AA90" s="6">
        <f>Summary!AA90*0.05</f>
        <v/>
      </c>
      <c r="AB90" s="6">
        <f>SUM(D90:AA90)</f>
        <v/>
      </c>
      <c r="AC90" s="3" t="inlineStr"/>
      <c r="AD90" s="7">
        <f>E90*0.000930465+D90*0.000930465</f>
        <v/>
      </c>
      <c r="AE90" s="7">
        <f>F90*0.000930465+E90*0.000930465</f>
        <v/>
      </c>
      <c r="AF90" s="7">
        <f>G90*0.000930465+F90*0.000930465</f>
        <v/>
      </c>
      <c r="AG90" s="7">
        <f>H90*0.000930465+G90*0.000930465</f>
        <v/>
      </c>
      <c r="AH90" s="7">
        <f>I90*0.000930465+H90*0.000930465</f>
        <v/>
      </c>
      <c r="AI90" s="7">
        <f>J90*0.000930465+I90*0.000930465</f>
        <v/>
      </c>
      <c r="AJ90" s="7">
        <f>K90*0.000930465+J90*0.000930465</f>
        <v/>
      </c>
      <c r="AK90" s="7">
        <f>L90*0.000930465+K90*0.000930465</f>
        <v/>
      </c>
      <c r="AL90" s="7">
        <f>M90*0.000930465+L90*0.000930465</f>
        <v/>
      </c>
      <c r="AM90" s="7">
        <f>N90*0.000930465+M90*0.000930465</f>
        <v/>
      </c>
      <c r="AN90" s="7">
        <f>O90*0.000930465+N90*0.000930465</f>
        <v/>
      </c>
      <c r="AO90" s="7">
        <f>P90*0.000930465+O90*0.000930465</f>
        <v/>
      </c>
      <c r="AP90" s="7">
        <f>Q90*0.000930465+P90*0.000930465</f>
        <v/>
      </c>
      <c r="AQ90" s="7">
        <f>R90*0.000930465+Q90*0.000930465</f>
        <v/>
      </c>
      <c r="AR90" s="7">
        <f>S90*0.000930465+R90*0.000930465</f>
        <v/>
      </c>
      <c r="AS90" s="7">
        <f>T90*0.000930465+S90*0.000930465</f>
        <v/>
      </c>
      <c r="AT90" s="7">
        <f>U90*0.000930465+T90*0.000930465</f>
        <v/>
      </c>
      <c r="AU90" s="7">
        <f>V90*0.000930465+U90*0.000930465</f>
        <v/>
      </c>
      <c r="AV90" s="7">
        <f>W90*0.000930465+V90*0.000930465</f>
        <v/>
      </c>
      <c r="AW90" s="7">
        <f>X90*0.000930465+W90*0.000930465</f>
        <v/>
      </c>
      <c r="AX90" s="7">
        <f>Y90*0.000930465+X90*0.000930465</f>
        <v/>
      </c>
      <c r="AY90" s="7">
        <f>Z90*0.000930465+Y90*0.000930465</f>
        <v/>
      </c>
      <c r="AZ90" s="7">
        <f>AA90*0.000930465+Z90*0.000930465</f>
        <v/>
      </c>
      <c r="BA90" s="7">
        <f>D90*0.000930465+AA90*0.000930465</f>
        <v/>
      </c>
      <c r="BB90" s="7">
        <f>SUM(AD90:BA90)</f>
        <v/>
      </c>
    </row>
    <row r="91">
      <c r="A91" t="inlineStr">
        <is>
          <t>AMD-RTS-RCLS-1302-SSC</t>
        </is>
      </c>
      <c r="B91" t="inlineStr">
        <is>
          <t>Rev OSC</t>
        </is>
      </c>
      <c r="C91" s="5" t="n">
        <v>46095</v>
      </c>
      <c r="D91" s="6">
        <f>Summary!D91*0.05</f>
        <v/>
      </c>
      <c r="E91" s="6">
        <f>Summary!E91*0.05</f>
        <v/>
      </c>
      <c r="F91" s="6">
        <f>Summary!F91*0.05</f>
        <v/>
      </c>
      <c r="G91" s="6">
        <f>Summary!G91*0.05</f>
        <v/>
      </c>
      <c r="H91" s="6">
        <f>Summary!H91*0.05</f>
        <v/>
      </c>
      <c r="I91" s="6">
        <f>Summary!I91*0.05</f>
        <v/>
      </c>
      <c r="J91" s="6">
        <f>Summary!J91*0.05</f>
        <v/>
      </c>
      <c r="K91" s="6">
        <f>Summary!K91*0.05</f>
        <v/>
      </c>
      <c r="L91" s="6">
        <f>Summary!L91*0.05</f>
        <v/>
      </c>
      <c r="M91" s="6">
        <f>Summary!M91*0.05</f>
        <v/>
      </c>
      <c r="N91" s="6">
        <f>Summary!N91*0.05</f>
        <v/>
      </c>
      <c r="O91" s="6">
        <f>Summary!O91*0.05</f>
        <v/>
      </c>
      <c r="P91" s="6">
        <f>Summary!P91*0.05</f>
        <v/>
      </c>
      <c r="Q91" s="6">
        <f>Summary!Q91*0.05</f>
        <v/>
      </c>
      <c r="R91" s="6">
        <f>Summary!R91*0.05</f>
        <v/>
      </c>
      <c r="S91" s="6">
        <f>Summary!S91*0.05</f>
        <v/>
      </c>
      <c r="T91" s="6">
        <f>Summary!T91*0.05</f>
        <v/>
      </c>
      <c r="U91" s="6">
        <f>Summary!U91*0.05</f>
        <v/>
      </c>
      <c r="V91" s="6">
        <f>Summary!V91*0.05</f>
        <v/>
      </c>
      <c r="W91" s="6">
        <f>Summary!W91*0.05</f>
        <v/>
      </c>
      <c r="X91" s="6">
        <f>Summary!X91*0.05</f>
        <v/>
      </c>
      <c r="Y91" s="6">
        <f>Summary!Y91*0.05</f>
        <v/>
      </c>
      <c r="Z91" s="6">
        <f>Summary!Z91*0.05</f>
        <v/>
      </c>
      <c r="AA91" s="6">
        <f>Summary!AA91*0.05</f>
        <v/>
      </c>
      <c r="AB91" s="6">
        <f>SUM(D91:AA91)</f>
        <v/>
      </c>
      <c r="AC91" s="3" t="inlineStr"/>
      <c r="AD91" s="7">
        <f>E91*0.000930465+D91*0.000930465</f>
        <v/>
      </c>
      <c r="AE91" s="7">
        <f>F91*0.000930465+E91*0.000930465</f>
        <v/>
      </c>
      <c r="AF91" s="7">
        <f>G91*0.000930465+F91*0.000930465</f>
        <v/>
      </c>
      <c r="AG91" s="7">
        <f>H91*0.000930465+G91*0.000930465</f>
        <v/>
      </c>
      <c r="AH91" s="7">
        <f>I91*0.000930465+H91*0.000930465</f>
        <v/>
      </c>
      <c r="AI91" s="7">
        <f>J91*0.000930465+I91*0.000930465</f>
        <v/>
      </c>
      <c r="AJ91" s="7">
        <f>K91*0.000930465+J91*0.000930465</f>
        <v/>
      </c>
      <c r="AK91" s="7">
        <f>L91*0.000930465+K91*0.000930465</f>
        <v/>
      </c>
      <c r="AL91" s="7">
        <f>M91*0.000930465+L91*0.000930465</f>
        <v/>
      </c>
      <c r="AM91" s="7">
        <f>N91*0.000930465+M91*0.000930465</f>
        <v/>
      </c>
      <c r="AN91" s="7">
        <f>O91*0.000930465+N91*0.000930465</f>
        <v/>
      </c>
      <c r="AO91" s="7">
        <f>P91*0.000930465+O91*0.000930465</f>
        <v/>
      </c>
      <c r="AP91" s="7">
        <f>Q91*0.000930465+P91*0.000930465</f>
        <v/>
      </c>
      <c r="AQ91" s="7">
        <f>R91*0.000930465+Q91*0.000930465</f>
        <v/>
      </c>
      <c r="AR91" s="7">
        <f>S91*0.000930465+R91*0.000930465</f>
        <v/>
      </c>
      <c r="AS91" s="7">
        <f>T91*0.000930465+S91*0.000930465</f>
        <v/>
      </c>
      <c r="AT91" s="7">
        <f>U91*0.000930465+T91*0.000930465</f>
        <v/>
      </c>
      <c r="AU91" s="7">
        <f>V91*0.000930465+U91*0.000930465</f>
        <v/>
      </c>
      <c r="AV91" s="7">
        <f>W91*0.000930465+V91*0.000930465</f>
        <v/>
      </c>
      <c r="AW91" s="7">
        <f>X91*0.000930465+W91*0.000930465</f>
        <v/>
      </c>
      <c r="AX91" s="7">
        <f>Y91*0.000930465+X91*0.000930465</f>
        <v/>
      </c>
      <c r="AY91" s="7">
        <f>Z91*0.000930465+Y91*0.000930465</f>
        <v/>
      </c>
      <c r="AZ91" s="7">
        <f>AA91*0.000930465+Z91*0.000930465</f>
        <v/>
      </c>
      <c r="BA91" s="7">
        <f>D91*0.000930465+AA91*0.000930465</f>
        <v/>
      </c>
      <c r="BB91" s="7">
        <f>SUM(AD91:BA91)</f>
        <v/>
      </c>
    </row>
    <row r="92">
      <c r="A92" t="inlineStr">
        <is>
          <t>AMD-RTS-RCLS-1302-SSC</t>
        </is>
      </c>
      <c r="B92" t="inlineStr">
        <is>
          <t>Rev OSC</t>
        </is>
      </c>
      <c r="C92" s="5" t="n">
        <v>46096</v>
      </c>
      <c r="D92" s="6">
        <f>Summary!D92*0.05</f>
        <v/>
      </c>
      <c r="E92" s="6">
        <f>Summary!E92*0.05</f>
        <v/>
      </c>
      <c r="F92" s="6">
        <f>Summary!F92*0.05</f>
        <v/>
      </c>
      <c r="G92" s="6">
        <f>Summary!G92*0.05</f>
        <v/>
      </c>
      <c r="H92" s="6">
        <f>Summary!H92*0.05</f>
        <v/>
      </c>
      <c r="I92" s="6">
        <f>Summary!I92*0.05</f>
        <v/>
      </c>
      <c r="J92" s="6">
        <f>Summary!J92*0.05</f>
        <v/>
      </c>
      <c r="K92" s="6">
        <f>Summary!K92*0.05</f>
        <v/>
      </c>
      <c r="L92" s="6">
        <f>Summary!L92*0.05</f>
        <v/>
      </c>
      <c r="M92" s="6">
        <f>Summary!M92*0.05</f>
        <v/>
      </c>
      <c r="N92" s="6">
        <f>Summary!N92*0.05</f>
        <v/>
      </c>
      <c r="O92" s="6">
        <f>Summary!O92*0.05</f>
        <v/>
      </c>
      <c r="P92" s="6">
        <f>Summary!P92*0.05</f>
        <v/>
      </c>
      <c r="Q92" s="6">
        <f>Summary!Q92*0.05</f>
        <v/>
      </c>
      <c r="R92" s="6">
        <f>Summary!R92*0.05</f>
        <v/>
      </c>
      <c r="S92" s="6">
        <f>Summary!S92*0.05</f>
        <v/>
      </c>
      <c r="T92" s="6">
        <f>Summary!T92*0.05</f>
        <v/>
      </c>
      <c r="U92" s="6">
        <f>Summary!U92*0.05</f>
        <v/>
      </c>
      <c r="V92" s="6">
        <f>Summary!V92*0.05</f>
        <v/>
      </c>
      <c r="W92" s="6">
        <f>Summary!W92*0.05</f>
        <v/>
      </c>
      <c r="X92" s="6">
        <f>Summary!X92*0.05</f>
        <v/>
      </c>
      <c r="Y92" s="6">
        <f>Summary!Y92*0.05</f>
        <v/>
      </c>
      <c r="Z92" s="6">
        <f>Summary!Z92*0.05</f>
        <v/>
      </c>
      <c r="AA92" s="6">
        <f>Summary!AA92*0.05</f>
        <v/>
      </c>
      <c r="AB92" s="6">
        <f>SUM(D92:AA92)</f>
        <v/>
      </c>
      <c r="AC92" s="3" t="inlineStr"/>
      <c r="AD92" s="7">
        <f>E92*0.000930465+D92*0.000930465</f>
        <v/>
      </c>
      <c r="AE92" s="7">
        <f>F92*0.000930465+E92*0.000930465</f>
        <v/>
      </c>
      <c r="AF92" s="7">
        <f>G92*0.000930465+F92*0.000930465</f>
        <v/>
      </c>
      <c r="AG92" s="7">
        <f>H92*0.000930465+G92*0.000930465</f>
        <v/>
      </c>
      <c r="AH92" s="7">
        <f>I92*0.000930465+H92*0.000930465</f>
        <v/>
      </c>
      <c r="AI92" s="7">
        <f>J92*0.000930465+I92*0.000930465</f>
        <v/>
      </c>
      <c r="AJ92" s="7">
        <f>K92*0.000930465+J92*0.000930465</f>
        <v/>
      </c>
      <c r="AK92" s="7">
        <f>L92*0.000930465+K92*0.000930465</f>
        <v/>
      </c>
      <c r="AL92" s="7">
        <f>M92*0.000930465+L92*0.000930465</f>
        <v/>
      </c>
      <c r="AM92" s="7">
        <f>N92*0.000930465+M92*0.000930465</f>
        <v/>
      </c>
      <c r="AN92" s="7">
        <f>O92*0.000930465+N92*0.000930465</f>
        <v/>
      </c>
      <c r="AO92" s="7">
        <f>P92*0.000930465+O92*0.000930465</f>
        <v/>
      </c>
      <c r="AP92" s="7">
        <f>Q92*0.000930465+P92*0.000930465</f>
        <v/>
      </c>
      <c r="AQ92" s="7">
        <f>R92*0.000930465+Q92*0.000930465</f>
        <v/>
      </c>
      <c r="AR92" s="7">
        <f>S92*0.000930465+R92*0.000930465</f>
        <v/>
      </c>
      <c r="AS92" s="7">
        <f>T92*0.000930465+S92*0.000930465</f>
        <v/>
      </c>
      <c r="AT92" s="7">
        <f>U92*0.000930465+T92*0.000930465</f>
        <v/>
      </c>
      <c r="AU92" s="7">
        <f>V92*0.000930465+U92*0.000930465</f>
        <v/>
      </c>
      <c r="AV92" s="7">
        <f>W92*0.000930465+V92*0.000930465</f>
        <v/>
      </c>
      <c r="AW92" s="7">
        <f>X92*0.000930465+W92*0.000930465</f>
        <v/>
      </c>
      <c r="AX92" s="7">
        <f>Y92*0.000930465+X92*0.000930465</f>
        <v/>
      </c>
      <c r="AY92" s="7">
        <f>Z92*0.000930465+Y92*0.000930465</f>
        <v/>
      </c>
      <c r="AZ92" s="7">
        <f>AA92*0.000930465+Z92*0.000930465</f>
        <v/>
      </c>
      <c r="BA92" s="7">
        <f>D92*0.000930465+AA92*0.000930465</f>
        <v/>
      </c>
      <c r="BB92" s="7">
        <f>SUM(AD92:BA92)</f>
        <v/>
      </c>
    </row>
    <row r="93">
      <c r="A93" t="inlineStr">
        <is>
          <t>AMD-RTS-RCLS-1302-SSC</t>
        </is>
      </c>
      <c r="B93" t="inlineStr">
        <is>
          <t>Rev OSC</t>
        </is>
      </c>
      <c r="C93" s="5" t="n">
        <v>46097</v>
      </c>
      <c r="D93" s="6">
        <f>Summary!D93*0.05</f>
        <v/>
      </c>
      <c r="E93" s="6">
        <f>Summary!E93*0.05</f>
        <v/>
      </c>
      <c r="F93" s="6">
        <f>Summary!F93*0.05</f>
        <v/>
      </c>
      <c r="G93" s="6">
        <f>Summary!G93*0.05</f>
        <v/>
      </c>
      <c r="H93" s="6">
        <f>Summary!H93*0.05</f>
        <v/>
      </c>
      <c r="I93" s="6">
        <f>Summary!I93*0.05</f>
        <v/>
      </c>
      <c r="J93" s="6">
        <f>Summary!J93*0.05</f>
        <v/>
      </c>
      <c r="K93" s="6">
        <f>Summary!K93*0.05</f>
        <v/>
      </c>
      <c r="L93" s="6">
        <f>Summary!L93*0.05</f>
        <v/>
      </c>
      <c r="M93" s="6">
        <f>Summary!M93*0.05</f>
        <v/>
      </c>
      <c r="N93" s="6">
        <f>Summary!N93*0.05</f>
        <v/>
      </c>
      <c r="O93" s="6">
        <f>Summary!O93*0.05</f>
        <v/>
      </c>
      <c r="P93" s="6">
        <f>Summary!P93*0.05</f>
        <v/>
      </c>
      <c r="Q93" s="6">
        <f>Summary!Q93*0.05</f>
        <v/>
      </c>
      <c r="R93" s="6">
        <f>Summary!R93*0.05</f>
        <v/>
      </c>
      <c r="S93" s="6">
        <f>Summary!S93*0.05</f>
        <v/>
      </c>
      <c r="T93" s="6">
        <f>Summary!T93*0.05</f>
        <v/>
      </c>
      <c r="U93" s="6">
        <f>Summary!U93*0.05</f>
        <v/>
      </c>
      <c r="V93" s="6">
        <f>Summary!V93*0.05</f>
        <v/>
      </c>
      <c r="W93" s="6">
        <f>Summary!W93*0.05</f>
        <v/>
      </c>
      <c r="X93" s="6">
        <f>Summary!X93*0.05</f>
        <v/>
      </c>
      <c r="Y93" s="6">
        <f>Summary!Y93*0.05</f>
        <v/>
      </c>
      <c r="Z93" s="6">
        <f>Summary!Z93*0.05</f>
        <v/>
      </c>
      <c r="AA93" s="6">
        <f>Summary!AA93*0.05</f>
        <v/>
      </c>
      <c r="AB93" s="6">
        <f>SUM(D93:AA93)</f>
        <v/>
      </c>
      <c r="AC93" s="3" t="inlineStr"/>
      <c r="AD93" s="7">
        <f>E93*0.000930465+D93*0.000930465</f>
        <v/>
      </c>
      <c r="AE93" s="7">
        <f>F93*0.000930465+E93*0.000930465</f>
        <v/>
      </c>
      <c r="AF93" s="7">
        <f>G93*0.000930465+F93*0.000930465</f>
        <v/>
      </c>
      <c r="AG93" s="7">
        <f>H93*0.000930465+G93*0.000930465</f>
        <v/>
      </c>
      <c r="AH93" s="7">
        <f>I93*0.000930465+H93*0.000930465</f>
        <v/>
      </c>
      <c r="AI93" s="7">
        <f>J93*0.000930465+I93*0.000930465</f>
        <v/>
      </c>
      <c r="AJ93" s="7">
        <f>K93*0.000930465+J93*0.000930465</f>
        <v/>
      </c>
      <c r="AK93" s="7">
        <f>L93*0.000930465+K93*0.000930465</f>
        <v/>
      </c>
      <c r="AL93" s="7">
        <f>M93*0.000930465+L93*0.000930465</f>
        <v/>
      </c>
      <c r="AM93" s="7">
        <f>N93*0.000930465+M93*0.000930465</f>
        <v/>
      </c>
      <c r="AN93" s="7">
        <f>O93*0.000930465+N93*0.000930465</f>
        <v/>
      </c>
      <c r="AO93" s="7">
        <f>P93*0.000930465+O93*0.000930465</f>
        <v/>
      </c>
      <c r="AP93" s="7">
        <f>Q93*0.000930465+P93*0.000930465</f>
        <v/>
      </c>
      <c r="AQ93" s="7">
        <f>R93*0.000930465+Q93*0.000930465</f>
        <v/>
      </c>
      <c r="AR93" s="7">
        <f>S93*0.000930465+R93*0.000930465</f>
        <v/>
      </c>
      <c r="AS93" s="7">
        <f>T93*0.000930465+S93*0.000930465</f>
        <v/>
      </c>
      <c r="AT93" s="7">
        <f>U93*0.000930465+T93*0.000930465</f>
        <v/>
      </c>
      <c r="AU93" s="7">
        <f>V93*0.000930465+U93*0.000930465</f>
        <v/>
      </c>
      <c r="AV93" s="7">
        <f>W93*0.000930465+V93*0.000930465</f>
        <v/>
      </c>
      <c r="AW93" s="7">
        <f>X93*0.000930465+W93*0.000930465</f>
        <v/>
      </c>
      <c r="AX93" s="7">
        <f>Y93*0.000930465+X93*0.000930465</f>
        <v/>
      </c>
      <c r="AY93" s="7">
        <f>Z93*0.000930465+Y93*0.000930465</f>
        <v/>
      </c>
      <c r="AZ93" s="7">
        <f>AA93*0.000930465+Z93*0.000930465</f>
        <v/>
      </c>
      <c r="BA93" s="7">
        <f>D93*0.000930465+AA93*0.000930465</f>
        <v/>
      </c>
      <c r="BB93" s="7">
        <f>SUM(AD93:BA93)</f>
        <v/>
      </c>
    </row>
    <row r="94">
      <c r="A94" t="inlineStr">
        <is>
          <t>AMD-RTS-RCLS-1302-SSC</t>
        </is>
      </c>
      <c r="B94" t="inlineStr">
        <is>
          <t>Rev OSC</t>
        </is>
      </c>
      <c r="C94" s="5" t="n">
        <v>46100</v>
      </c>
      <c r="D94" s="6">
        <f>Summary!D94*0.05</f>
        <v/>
      </c>
      <c r="E94" s="6">
        <f>Summary!E94*0.05</f>
        <v/>
      </c>
      <c r="F94" s="6">
        <f>Summary!F94*0.05</f>
        <v/>
      </c>
      <c r="G94" s="6">
        <f>Summary!G94*0.05</f>
        <v/>
      </c>
      <c r="H94" s="6">
        <f>Summary!H94*0.05</f>
        <v/>
      </c>
      <c r="I94" s="6">
        <f>Summary!I94*0.05</f>
        <v/>
      </c>
      <c r="J94" s="6">
        <f>Summary!J94*0.05</f>
        <v/>
      </c>
      <c r="K94" s="6">
        <f>Summary!K94*0.05</f>
        <v/>
      </c>
      <c r="L94" s="6">
        <f>Summary!L94*0.05</f>
        <v/>
      </c>
      <c r="M94" s="6">
        <f>Summary!M94*0.05</f>
        <v/>
      </c>
      <c r="N94" s="6">
        <f>Summary!N94*0.05</f>
        <v/>
      </c>
      <c r="O94" s="6">
        <f>Summary!O94*0.05</f>
        <v/>
      </c>
      <c r="P94" s="6">
        <f>Summary!P94*0.05</f>
        <v/>
      </c>
      <c r="Q94" s="6">
        <f>Summary!Q94*0.05</f>
        <v/>
      </c>
      <c r="R94" s="6">
        <f>Summary!R94*0.05</f>
        <v/>
      </c>
      <c r="S94" s="6">
        <f>Summary!S94*0.05</f>
        <v/>
      </c>
      <c r="T94" s="6">
        <f>Summary!T94*0.05</f>
        <v/>
      </c>
      <c r="U94" s="6">
        <f>Summary!U94*0.05</f>
        <v/>
      </c>
      <c r="V94" s="6">
        <f>Summary!V94*0.05</f>
        <v/>
      </c>
      <c r="W94" s="6">
        <f>Summary!W94*0.05</f>
        <v/>
      </c>
      <c r="X94" s="6">
        <f>Summary!X94*0.05</f>
        <v/>
      </c>
      <c r="Y94" s="6">
        <f>Summary!Y94*0.05</f>
        <v/>
      </c>
      <c r="Z94" s="6">
        <f>Summary!Z94*0.05</f>
        <v/>
      </c>
      <c r="AA94" s="6">
        <f>Summary!AA94*0.05</f>
        <v/>
      </c>
      <c r="AB94" s="6">
        <f>SUM(D94:AA94)</f>
        <v/>
      </c>
      <c r="AC94" s="3" t="inlineStr"/>
      <c r="AD94" s="7">
        <f>E94*0.000930465+D94*0.000930465</f>
        <v/>
      </c>
      <c r="AE94" s="7">
        <f>F94*0.000930465+E94*0.000930465</f>
        <v/>
      </c>
      <c r="AF94" s="7">
        <f>G94*0.000930465+F94*0.000930465</f>
        <v/>
      </c>
      <c r="AG94" s="7">
        <f>H94*0.000930465+G94*0.000930465</f>
        <v/>
      </c>
      <c r="AH94" s="7">
        <f>I94*0.000930465+H94*0.000930465</f>
        <v/>
      </c>
      <c r="AI94" s="7">
        <f>J94*0.000930465+I94*0.000930465</f>
        <v/>
      </c>
      <c r="AJ94" s="7">
        <f>K94*0.000930465+J94*0.000930465</f>
        <v/>
      </c>
      <c r="AK94" s="7">
        <f>L94*0.000930465+K94*0.000930465</f>
        <v/>
      </c>
      <c r="AL94" s="7">
        <f>M94*0.000930465+L94*0.000930465</f>
        <v/>
      </c>
      <c r="AM94" s="7">
        <f>N94*0.000930465+M94*0.000930465</f>
        <v/>
      </c>
      <c r="AN94" s="7">
        <f>O94*0.000930465+N94*0.000930465</f>
        <v/>
      </c>
      <c r="AO94" s="7">
        <f>P94*0.000930465+O94*0.000930465</f>
        <v/>
      </c>
      <c r="AP94" s="7">
        <f>Q94*0.000930465+P94*0.000930465</f>
        <v/>
      </c>
      <c r="AQ94" s="7">
        <f>R94*0.000930465+Q94*0.000930465</f>
        <v/>
      </c>
      <c r="AR94" s="7">
        <f>S94*0.000930465+R94*0.000930465</f>
        <v/>
      </c>
      <c r="AS94" s="7">
        <f>T94*0.000930465+S94*0.000930465</f>
        <v/>
      </c>
      <c r="AT94" s="7">
        <f>U94*0.000930465+T94*0.000930465</f>
        <v/>
      </c>
      <c r="AU94" s="7">
        <f>V94*0.000930465+U94*0.000930465</f>
        <v/>
      </c>
      <c r="AV94" s="7">
        <f>W94*0.000930465+V94*0.000930465</f>
        <v/>
      </c>
      <c r="AW94" s="7">
        <f>X94*0.000930465+W94*0.000930465</f>
        <v/>
      </c>
      <c r="AX94" s="7">
        <f>Y94*0.000930465+X94*0.000930465</f>
        <v/>
      </c>
      <c r="AY94" s="7">
        <f>Z94*0.000930465+Y94*0.000930465</f>
        <v/>
      </c>
      <c r="AZ94" s="7">
        <f>AA94*0.000930465+Z94*0.000930465</f>
        <v/>
      </c>
      <c r="BA94" s="7">
        <f>D94*0.000930465+AA94*0.000930465</f>
        <v/>
      </c>
      <c r="BB94" s="7">
        <f>SUM(AD94:BA94)</f>
        <v/>
      </c>
    </row>
    <row r="95">
      <c r="A95" t="inlineStr">
        <is>
          <t>AMD-RTS-RCLS-1302-SSC</t>
        </is>
      </c>
      <c r="B95" t="inlineStr">
        <is>
          <t>Rev OSC</t>
        </is>
      </c>
      <c r="C95" s="5" t="n">
        <v>46102</v>
      </c>
      <c r="D95" s="6">
        <f>Summary!D95*0.05</f>
        <v/>
      </c>
      <c r="E95" s="6">
        <f>Summary!E95*0.05</f>
        <v/>
      </c>
      <c r="F95" s="6">
        <f>Summary!F95*0.05</f>
        <v/>
      </c>
      <c r="G95" s="6">
        <f>Summary!G95*0.05</f>
        <v/>
      </c>
      <c r="H95" s="6">
        <f>Summary!H95*0.05</f>
        <v/>
      </c>
      <c r="I95" s="6">
        <f>Summary!I95*0.05</f>
        <v/>
      </c>
      <c r="J95" s="6">
        <f>Summary!J95*0.05</f>
        <v/>
      </c>
      <c r="K95" s="6">
        <f>Summary!K95*0.05</f>
        <v/>
      </c>
      <c r="L95" s="6">
        <f>Summary!L95*0.05</f>
        <v/>
      </c>
      <c r="M95" s="6">
        <f>Summary!M95*0.05</f>
        <v/>
      </c>
      <c r="N95" s="6">
        <f>Summary!N95*0.05</f>
        <v/>
      </c>
      <c r="O95" s="6">
        <f>Summary!O95*0.05</f>
        <v/>
      </c>
      <c r="P95" s="6">
        <f>Summary!P95*0.05</f>
        <v/>
      </c>
      <c r="Q95" s="6">
        <f>Summary!Q95*0.05</f>
        <v/>
      </c>
      <c r="R95" s="6">
        <f>Summary!R95*0.05</f>
        <v/>
      </c>
      <c r="S95" s="6">
        <f>Summary!S95*0.05</f>
        <v/>
      </c>
      <c r="T95" s="6">
        <f>Summary!T95*0.05</f>
        <v/>
      </c>
      <c r="U95" s="6">
        <f>Summary!U95*0.05</f>
        <v/>
      </c>
      <c r="V95" s="6">
        <f>Summary!V95*0.05</f>
        <v/>
      </c>
      <c r="W95" s="6">
        <f>Summary!W95*0.05</f>
        <v/>
      </c>
      <c r="X95" s="6">
        <f>Summary!X95*0.05</f>
        <v/>
      </c>
      <c r="Y95" s="6">
        <f>Summary!Y95*0.05</f>
        <v/>
      </c>
      <c r="Z95" s="6">
        <f>Summary!Z95*0.05</f>
        <v/>
      </c>
      <c r="AA95" s="6">
        <f>Summary!AA95*0.05</f>
        <v/>
      </c>
      <c r="AB95" s="6">
        <f>SUM(D95:AA95)</f>
        <v/>
      </c>
      <c r="AC95" s="3" t="inlineStr"/>
      <c r="AD95" s="7">
        <f>E95*0.000930465+D95*0.000930465</f>
        <v/>
      </c>
      <c r="AE95" s="7">
        <f>F95*0.000930465+E95*0.000930465</f>
        <v/>
      </c>
      <c r="AF95" s="7">
        <f>G95*0.000930465+F95*0.000930465</f>
        <v/>
      </c>
      <c r="AG95" s="7">
        <f>H95*0.000930465+G95*0.000930465</f>
        <v/>
      </c>
      <c r="AH95" s="7">
        <f>I95*0.000930465+H95*0.000930465</f>
        <v/>
      </c>
      <c r="AI95" s="7">
        <f>J95*0.000930465+I95*0.000930465</f>
        <v/>
      </c>
      <c r="AJ95" s="7">
        <f>K95*0.000930465+J95*0.000930465</f>
        <v/>
      </c>
      <c r="AK95" s="7">
        <f>L95*0.000930465+K95*0.000930465</f>
        <v/>
      </c>
      <c r="AL95" s="7">
        <f>M95*0.000930465+L95*0.000930465</f>
        <v/>
      </c>
      <c r="AM95" s="7">
        <f>N95*0.000930465+M95*0.000930465</f>
        <v/>
      </c>
      <c r="AN95" s="7">
        <f>O95*0.000930465+N95*0.000930465</f>
        <v/>
      </c>
      <c r="AO95" s="7">
        <f>P95*0.000930465+O95*0.000930465</f>
        <v/>
      </c>
      <c r="AP95" s="7">
        <f>Q95*0.000930465+P95*0.000930465</f>
        <v/>
      </c>
      <c r="AQ95" s="7">
        <f>R95*0.000930465+Q95*0.000930465</f>
        <v/>
      </c>
      <c r="AR95" s="7">
        <f>S95*0.000930465+R95*0.000930465</f>
        <v/>
      </c>
      <c r="AS95" s="7">
        <f>T95*0.000930465+S95*0.000930465</f>
        <v/>
      </c>
      <c r="AT95" s="7">
        <f>U95*0.000930465+T95*0.000930465</f>
        <v/>
      </c>
      <c r="AU95" s="7">
        <f>V95*0.000930465+U95*0.000930465</f>
        <v/>
      </c>
      <c r="AV95" s="7">
        <f>W95*0.000930465+V95*0.000930465</f>
        <v/>
      </c>
      <c r="AW95" s="7">
        <f>X95*0.000930465+W95*0.000930465</f>
        <v/>
      </c>
      <c r="AX95" s="7">
        <f>Y95*0.000930465+X95*0.000930465</f>
        <v/>
      </c>
      <c r="AY95" s="7">
        <f>Z95*0.000930465+Y95*0.000930465</f>
        <v/>
      </c>
      <c r="AZ95" s="7">
        <f>AA95*0.000930465+Z95*0.000930465</f>
        <v/>
      </c>
      <c r="BA95" s="7">
        <f>D95*0.000930465+AA95*0.000930465</f>
        <v/>
      </c>
      <c r="BB95" s="7">
        <f>SUM(AD95:BA95)</f>
        <v/>
      </c>
    </row>
    <row r="96">
      <c r="A96" t="inlineStr">
        <is>
          <t>AMD-RTS-RCLS-1302-SSC</t>
        </is>
      </c>
      <c r="B96" t="inlineStr">
        <is>
          <t>Rev OSC</t>
        </is>
      </c>
      <c r="C96" s="5" t="n">
        <v>46103</v>
      </c>
      <c r="D96" s="6">
        <f>Summary!D96*0.05</f>
        <v/>
      </c>
      <c r="E96" s="6">
        <f>Summary!E96*0.05</f>
        <v/>
      </c>
      <c r="F96" s="6">
        <f>Summary!F96*0.05</f>
        <v/>
      </c>
      <c r="G96" s="6">
        <f>Summary!G96*0.05</f>
        <v/>
      </c>
      <c r="H96" s="6">
        <f>Summary!H96*0.05</f>
        <v/>
      </c>
      <c r="I96" s="6">
        <f>Summary!I96*0.05</f>
        <v/>
      </c>
      <c r="J96" s="6">
        <f>Summary!J96*0.05</f>
        <v/>
      </c>
      <c r="K96" s="6">
        <f>Summary!K96*0.05</f>
        <v/>
      </c>
      <c r="L96" s="6">
        <f>Summary!L96*0.05</f>
        <v/>
      </c>
      <c r="M96" s="6">
        <f>Summary!M96*0.05</f>
        <v/>
      </c>
      <c r="N96" s="6">
        <f>Summary!N96*0.05</f>
        <v/>
      </c>
      <c r="O96" s="6">
        <f>Summary!O96*0.05</f>
        <v/>
      </c>
      <c r="P96" s="6">
        <f>Summary!P96*0.05</f>
        <v/>
      </c>
      <c r="Q96" s="6">
        <f>Summary!Q96*0.05</f>
        <v/>
      </c>
      <c r="R96" s="6">
        <f>Summary!R96*0.05</f>
        <v/>
      </c>
      <c r="S96" s="6">
        <f>Summary!S96*0.05</f>
        <v/>
      </c>
      <c r="T96" s="6">
        <f>Summary!T96*0.05</f>
        <v/>
      </c>
      <c r="U96" s="6">
        <f>Summary!U96*0.05</f>
        <v/>
      </c>
      <c r="V96" s="6">
        <f>Summary!V96*0.05</f>
        <v/>
      </c>
      <c r="W96" s="6">
        <f>Summary!W96*0.05</f>
        <v/>
      </c>
      <c r="X96" s="6">
        <f>Summary!X96*0.05</f>
        <v/>
      </c>
      <c r="Y96" s="6">
        <f>Summary!Y96*0.05</f>
        <v/>
      </c>
      <c r="Z96" s="6">
        <f>Summary!Z96*0.05</f>
        <v/>
      </c>
      <c r="AA96" s="6">
        <f>Summary!AA96*0.05</f>
        <v/>
      </c>
      <c r="AB96" s="6">
        <f>SUM(D96:AA96)</f>
        <v/>
      </c>
      <c r="AC96" s="3" t="inlineStr"/>
      <c r="AD96" s="7">
        <f>E96*0.000930465+D96*0.000930465</f>
        <v/>
      </c>
      <c r="AE96" s="7">
        <f>F96*0.000930465+E96*0.000930465</f>
        <v/>
      </c>
      <c r="AF96" s="7">
        <f>G96*0.000930465+F96*0.000930465</f>
        <v/>
      </c>
      <c r="AG96" s="7">
        <f>H96*0.000930465+G96*0.000930465</f>
        <v/>
      </c>
      <c r="AH96" s="7">
        <f>I96*0.000930465+H96*0.000930465</f>
        <v/>
      </c>
      <c r="AI96" s="7">
        <f>J96*0.000930465+I96*0.000930465</f>
        <v/>
      </c>
      <c r="AJ96" s="7">
        <f>K96*0.000930465+J96*0.000930465</f>
        <v/>
      </c>
      <c r="AK96" s="7">
        <f>L96*0.000930465+K96*0.000930465</f>
        <v/>
      </c>
      <c r="AL96" s="7">
        <f>M96*0.000930465+L96*0.000930465</f>
        <v/>
      </c>
      <c r="AM96" s="7">
        <f>N96*0.000930465+M96*0.000930465</f>
        <v/>
      </c>
      <c r="AN96" s="7">
        <f>O96*0.000930465+N96*0.000930465</f>
        <v/>
      </c>
      <c r="AO96" s="7">
        <f>P96*0.000930465+O96*0.000930465</f>
        <v/>
      </c>
      <c r="AP96" s="7">
        <f>Q96*0.000930465+P96*0.000930465</f>
        <v/>
      </c>
      <c r="AQ96" s="7">
        <f>R96*0.000930465+Q96*0.000930465</f>
        <v/>
      </c>
      <c r="AR96" s="7">
        <f>S96*0.000930465+R96*0.000930465</f>
        <v/>
      </c>
      <c r="AS96" s="7">
        <f>T96*0.000930465+S96*0.000930465</f>
        <v/>
      </c>
      <c r="AT96" s="7">
        <f>U96*0.000930465+T96*0.000930465</f>
        <v/>
      </c>
      <c r="AU96" s="7">
        <f>V96*0.000930465+U96*0.000930465</f>
        <v/>
      </c>
      <c r="AV96" s="7">
        <f>W96*0.000930465+V96*0.000930465</f>
        <v/>
      </c>
      <c r="AW96" s="7">
        <f>X96*0.000930465+W96*0.000930465</f>
        <v/>
      </c>
      <c r="AX96" s="7">
        <f>Y96*0.000930465+X96*0.000930465</f>
        <v/>
      </c>
      <c r="AY96" s="7">
        <f>Z96*0.000930465+Y96*0.000930465</f>
        <v/>
      </c>
      <c r="AZ96" s="7">
        <f>AA96*0.000930465+Z96*0.000930465</f>
        <v/>
      </c>
      <c r="BA96" s="7">
        <f>D96*0.000930465+AA96*0.000930465</f>
        <v/>
      </c>
      <c r="BB96" s="7">
        <f>SUM(AD96:BA96)</f>
        <v/>
      </c>
    </row>
    <row r="97">
      <c r="A97" t="inlineStr">
        <is>
          <t>AMD-RTS-RCLS-1302-SSC</t>
        </is>
      </c>
      <c r="B97" t="inlineStr">
        <is>
          <t>Rev OSC</t>
        </is>
      </c>
      <c r="C97" s="5" t="n">
        <v>46104</v>
      </c>
      <c r="D97" s="6">
        <f>Summary!D97*0.05</f>
        <v/>
      </c>
      <c r="E97" s="6">
        <f>Summary!E97*0.05</f>
        <v/>
      </c>
      <c r="F97" s="6">
        <f>Summary!F97*0.05</f>
        <v/>
      </c>
      <c r="G97" s="6">
        <f>Summary!G97*0.05</f>
        <v/>
      </c>
      <c r="H97" s="6">
        <f>Summary!H97*0.05</f>
        <v/>
      </c>
      <c r="I97" s="6">
        <f>Summary!I97*0.05</f>
        <v/>
      </c>
      <c r="J97" s="6">
        <f>Summary!J97*0.05</f>
        <v/>
      </c>
      <c r="K97" s="6">
        <f>Summary!K97*0.05</f>
        <v/>
      </c>
      <c r="L97" s="6">
        <f>Summary!L97*0.05</f>
        <v/>
      </c>
      <c r="M97" s="6">
        <f>Summary!M97*0.05</f>
        <v/>
      </c>
      <c r="N97" s="6">
        <f>Summary!N97*0.05</f>
        <v/>
      </c>
      <c r="O97" s="6">
        <f>Summary!O97*0.05</f>
        <v/>
      </c>
      <c r="P97" s="6">
        <f>Summary!P97*0.05</f>
        <v/>
      </c>
      <c r="Q97" s="6">
        <f>Summary!Q97*0.05</f>
        <v/>
      </c>
      <c r="R97" s="6">
        <f>Summary!R97*0.05</f>
        <v/>
      </c>
      <c r="S97" s="6">
        <f>Summary!S97*0.05</f>
        <v/>
      </c>
      <c r="T97" s="6">
        <f>Summary!T97*0.05</f>
        <v/>
      </c>
      <c r="U97" s="6">
        <f>Summary!U97*0.05</f>
        <v/>
      </c>
      <c r="V97" s="6">
        <f>Summary!V97*0.05</f>
        <v/>
      </c>
      <c r="W97" s="6">
        <f>Summary!W97*0.05</f>
        <v/>
      </c>
      <c r="X97" s="6">
        <f>Summary!X97*0.05</f>
        <v/>
      </c>
      <c r="Y97" s="6">
        <f>Summary!Y97*0.05</f>
        <v/>
      </c>
      <c r="Z97" s="6">
        <f>Summary!Z97*0.05</f>
        <v/>
      </c>
      <c r="AA97" s="6">
        <f>Summary!AA97*0.05</f>
        <v/>
      </c>
      <c r="AB97" s="6">
        <f>SUM(D97:AA97)</f>
        <v/>
      </c>
      <c r="AC97" s="3" t="inlineStr"/>
      <c r="AD97" s="7">
        <f>E97*0.000930465+D97*0.000930465</f>
        <v/>
      </c>
      <c r="AE97" s="7">
        <f>F97*0.000930465+E97*0.000930465</f>
        <v/>
      </c>
      <c r="AF97" s="7">
        <f>G97*0.000930465+F97*0.000930465</f>
        <v/>
      </c>
      <c r="AG97" s="7">
        <f>H97*0.000930465+G97*0.000930465</f>
        <v/>
      </c>
      <c r="AH97" s="7">
        <f>I97*0.000930465+H97*0.000930465</f>
        <v/>
      </c>
      <c r="AI97" s="7">
        <f>J97*0.000930465+I97*0.000930465</f>
        <v/>
      </c>
      <c r="AJ97" s="7">
        <f>K97*0.000930465+J97*0.000930465</f>
        <v/>
      </c>
      <c r="AK97" s="7">
        <f>L97*0.000930465+K97*0.000930465</f>
        <v/>
      </c>
      <c r="AL97" s="7">
        <f>M97*0.000930465+L97*0.000930465</f>
        <v/>
      </c>
      <c r="AM97" s="7">
        <f>N97*0.000930465+M97*0.000930465</f>
        <v/>
      </c>
      <c r="AN97" s="7">
        <f>O97*0.000930465+N97*0.000930465</f>
        <v/>
      </c>
      <c r="AO97" s="7">
        <f>P97*0.000930465+O97*0.000930465</f>
        <v/>
      </c>
      <c r="AP97" s="7">
        <f>Q97*0.000930465+P97*0.000930465</f>
        <v/>
      </c>
      <c r="AQ97" s="7">
        <f>R97*0.000930465+Q97*0.000930465</f>
        <v/>
      </c>
      <c r="AR97" s="7">
        <f>S97*0.000930465+R97*0.000930465</f>
        <v/>
      </c>
      <c r="AS97" s="7">
        <f>T97*0.000930465+S97*0.000930465</f>
        <v/>
      </c>
      <c r="AT97" s="7">
        <f>U97*0.000930465+T97*0.000930465</f>
        <v/>
      </c>
      <c r="AU97" s="7">
        <f>V97*0.000930465+U97*0.000930465</f>
        <v/>
      </c>
      <c r="AV97" s="7">
        <f>W97*0.000930465+V97*0.000930465</f>
        <v/>
      </c>
      <c r="AW97" s="7">
        <f>X97*0.000930465+W97*0.000930465</f>
        <v/>
      </c>
      <c r="AX97" s="7">
        <f>Y97*0.000930465+X97*0.000930465</f>
        <v/>
      </c>
      <c r="AY97" s="7">
        <f>Z97*0.000930465+Y97*0.000930465</f>
        <v/>
      </c>
      <c r="AZ97" s="7">
        <f>AA97*0.000930465+Z97*0.000930465</f>
        <v/>
      </c>
      <c r="BA97" s="7">
        <f>D97*0.000930465+AA97*0.000930465</f>
        <v/>
      </c>
      <c r="BB97" s="7">
        <f>SUM(AD97:BA97)</f>
        <v/>
      </c>
    </row>
    <row r="98">
      <c r="A98" t="inlineStr">
        <is>
          <t>AMD-RTS-RCLS-1302-SSC</t>
        </is>
      </c>
      <c r="B98" t="inlineStr">
        <is>
          <t>Rev OSC</t>
        </is>
      </c>
      <c r="C98" s="5" t="n">
        <v>46105</v>
      </c>
      <c r="D98" s="6">
        <f>Summary!D98*0.05</f>
        <v/>
      </c>
      <c r="E98" s="6">
        <f>Summary!E98*0.05</f>
        <v/>
      </c>
      <c r="F98" s="6">
        <f>Summary!F98*0.05</f>
        <v/>
      </c>
      <c r="G98" s="6">
        <f>Summary!G98*0.05</f>
        <v/>
      </c>
      <c r="H98" s="6">
        <f>Summary!H98*0.05</f>
        <v/>
      </c>
      <c r="I98" s="6">
        <f>Summary!I98*0.05</f>
        <v/>
      </c>
      <c r="J98" s="6">
        <f>Summary!J98*0.05</f>
        <v/>
      </c>
      <c r="K98" s="6">
        <f>Summary!K98*0.05</f>
        <v/>
      </c>
      <c r="L98" s="6">
        <f>Summary!L98*0.05</f>
        <v/>
      </c>
      <c r="M98" s="6">
        <f>Summary!M98*0.05</f>
        <v/>
      </c>
      <c r="N98" s="6">
        <f>Summary!N98*0.05</f>
        <v/>
      </c>
      <c r="O98" s="6">
        <f>Summary!O98*0.05</f>
        <v/>
      </c>
      <c r="P98" s="6">
        <f>Summary!P98*0.05</f>
        <v/>
      </c>
      <c r="Q98" s="6">
        <f>Summary!Q98*0.05</f>
        <v/>
      </c>
      <c r="R98" s="6">
        <f>Summary!R98*0.05</f>
        <v/>
      </c>
      <c r="S98" s="6">
        <f>Summary!S98*0.05</f>
        <v/>
      </c>
      <c r="T98" s="6">
        <f>Summary!T98*0.05</f>
        <v/>
      </c>
      <c r="U98" s="6">
        <f>Summary!U98*0.05</f>
        <v/>
      </c>
      <c r="V98" s="6">
        <f>Summary!V98*0.05</f>
        <v/>
      </c>
      <c r="W98" s="6">
        <f>Summary!W98*0.05</f>
        <v/>
      </c>
      <c r="X98" s="6">
        <f>Summary!X98*0.05</f>
        <v/>
      </c>
      <c r="Y98" s="6">
        <f>Summary!Y98*0.05</f>
        <v/>
      </c>
      <c r="Z98" s="6">
        <f>Summary!Z98*0.05</f>
        <v/>
      </c>
      <c r="AA98" s="6">
        <f>Summary!AA98*0.05</f>
        <v/>
      </c>
      <c r="AB98" s="6">
        <f>SUM(D98:AA98)</f>
        <v/>
      </c>
      <c r="AC98" s="3" t="inlineStr"/>
      <c r="AD98" s="7">
        <f>E98*0.000930465+D98*0.000930465</f>
        <v/>
      </c>
      <c r="AE98" s="7">
        <f>F98*0.000930465+E98*0.000930465</f>
        <v/>
      </c>
      <c r="AF98" s="7">
        <f>G98*0.000930465+F98*0.000930465</f>
        <v/>
      </c>
      <c r="AG98" s="7">
        <f>H98*0.000930465+G98*0.000930465</f>
        <v/>
      </c>
      <c r="AH98" s="7">
        <f>I98*0.000930465+H98*0.000930465</f>
        <v/>
      </c>
      <c r="AI98" s="7">
        <f>J98*0.000930465+I98*0.000930465</f>
        <v/>
      </c>
      <c r="AJ98" s="7">
        <f>K98*0.000930465+J98*0.000930465</f>
        <v/>
      </c>
      <c r="AK98" s="7">
        <f>L98*0.000930465+K98*0.000930465</f>
        <v/>
      </c>
      <c r="AL98" s="7">
        <f>M98*0.000930465+L98*0.000930465</f>
        <v/>
      </c>
      <c r="AM98" s="7">
        <f>N98*0.000930465+M98*0.000930465</f>
        <v/>
      </c>
      <c r="AN98" s="7">
        <f>O98*0.000930465+N98*0.000930465</f>
        <v/>
      </c>
      <c r="AO98" s="7">
        <f>P98*0.000930465+O98*0.000930465</f>
        <v/>
      </c>
      <c r="AP98" s="7">
        <f>Q98*0.000930465+P98*0.000930465</f>
        <v/>
      </c>
      <c r="AQ98" s="7">
        <f>R98*0.000930465+Q98*0.000930465</f>
        <v/>
      </c>
      <c r="AR98" s="7">
        <f>S98*0.000930465+R98*0.000930465</f>
        <v/>
      </c>
      <c r="AS98" s="7">
        <f>T98*0.000930465+S98*0.000930465</f>
        <v/>
      </c>
      <c r="AT98" s="7">
        <f>U98*0.000930465+T98*0.000930465</f>
        <v/>
      </c>
      <c r="AU98" s="7">
        <f>V98*0.000930465+U98*0.000930465</f>
        <v/>
      </c>
      <c r="AV98" s="7">
        <f>W98*0.000930465+V98*0.000930465</f>
        <v/>
      </c>
      <c r="AW98" s="7">
        <f>X98*0.000930465+W98*0.000930465</f>
        <v/>
      </c>
      <c r="AX98" s="7">
        <f>Y98*0.000930465+X98*0.000930465</f>
        <v/>
      </c>
      <c r="AY98" s="7">
        <f>Z98*0.000930465+Y98*0.000930465</f>
        <v/>
      </c>
      <c r="AZ98" s="7">
        <f>AA98*0.000930465+Z98*0.000930465</f>
        <v/>
      </c>
      <c r="BA98" s="7">
        <f>D98*0.000930465+AA98*0.000930465</f>
        <v/>
      </c>
      <c r="BB98" s="7">
        <f>SUM(AD98:BA98)</f>
        <v/>
      </c>
    </row>
    <row r="99">
      <c r="A99" t="inlineStr">
        <is>
          <t>AMD-RTS-RCLS-1302-SSC_1</t>
        </is>
      </c>
      <c r="B99" t="inlineStr">
        <is>
          <t>Rev OSC</t>
        </is>
      </c>
      <c r="C99" s="5" t="n">
        <v>46090</v>
      </c>
      <c r="D99" s="6">
        <f>Summary!D99*0.05</f>
        <v/>
      </c>
      <c r="E99" s="6">
        <f>Summary!E99*0.05</f>
        <v/>
      </c>
      <c r="F99" s="6">
        <f>Summary!F99*0.05</f>
        <v/>
      </c>
      <c r="G99" s="6">
        <f>Summary!G99*0.05</f>
        <v/>
      </c>
      <c r="H99" s="6">
        <f>Summary!H99*0.05</f>
        <v/>
      </c>
      <c r="I99" s="6">
        <f>Summary!I99*0.05</f>
        <v/>
      </c>
      <c r="J99" s="6">
        <f>Summary!J99*0.05</f>
        <v/>
      </c>
      <c r="K99" s="6">
        <f>Summary!K99*0.05</f>
        <v/>
      </c>
      <c r="L99" s="6">
        <f>Summary!L99*0.05</f>
        <v/>
      </c>
      <c r="M99" s="6">
        <f>Summary!M99*0.05</f>
        <v/>
      </c>
      <c r="N99" s="6">
        <f>Summary!N99*0.05</f>
        <v/>
      </c>
      <c r="O99" s="6">
        <f>Summary!O99*0.05</f>
        <v/>
      </c>
      <c r="P99" s="6">
        <f>Summary!P99*0.05</f>
        <v/>
      </c>
      <c r="Q99" s="6">
        <f>Summary!Q99*0.05</f>
        <v/>
      </c>
      <c r="R99" s="6">
        <f>Summary!R99*0.05</f>
        <v/>
      </c>
      <c r="S99" s="6">
        <f>Summary!S99*0.05</f>
        <v/>
      </c>
      <c r="T99" s="6">
        <f>Summary!T99*0.05</f>
        <v/>
      </c>
      <c r="U99" s="6">
        <f>Summary!U99*0.05</f>
        <v/>
      </c>
      <c r="V99" s="6">
        <f>Summary!V99*0.05</f>
        <v/>
      </c>
      <c r="W99" s="6">
        <f>Summary!W99*0.05</f>
        <v/>
      </c>
      <c r="X99" s="6">
        <f>Summary!X99*0.05</f>
        <v/>
      </c>
      <c r="Y99" s="6">
        <f>Summary!Y99*0.05</f>
        <v/>
      </c>
      <c r="Z99" s="6">
        <f>Summary!Z99*0.05</f>
        <v/>
      </c>
      <c r="AA99" s="6">
        <f>Summary!AA99*0.05</f>
        <v/>
      </c>
      <c r="AB99" s="6">
        <f>SUM(D99:AA99)</f>
        <v/>
      </c>
      <c r="AC99" s="3" t="inlineStr"/>
      <c r="AD99" s="7">
        <f>E99*0.000930465+D99*0.000930465</f>
        <v/>
      </c>
      <c r="AE99" s="7">
        <f>F99*0.000930465+E99*0.000930465</f>
        <v/>
      </c>
      <c r="AF99" s="7">
        <f>G99*0.000930465+F99*0.000930465</f>
        <v/>
      </c>
      <c r="AG99" s="7">
        <f>H99*0.000930465+G99*0.000930465</f>
        <v/>
      </c>
      <c r="AH99" s="7">
        <f>I99*0.000930465+H99*0.000930465</f>
        <v/>
      </c>
      <c r="AI99" s="7">
        <f>J99*0.000930465+I99*0.000930465</f>
        <v/>
      </c>
      <c r="AJ99" s="7">
        <f>K99*0.000930465+J99*0.000930465</f>
        <v/>
      </c>
      <c r="AK99" s="7">
        <f>L99*0.000930465+K99*0.000930465</f>
        <v/>
      </c>
      <c r="AL99" s="7">
        <f>M99*0.000930465+L99*0.000930465</f>
        <v/>
      </c>
      <c r="AM99" s="7">
        <f>N99*0.000930465+M99*0.000930465</f>
        <v/>
      </c>
      <c r="AN99" s="7">
        <f>O99*0.000930465+N99*0.000930465</f>
        <v/>
      </c>
      <c r="AO99" s="7">
        <f>P99*0.000930465+O99*0.000930465</f>
        <v/>
      </c>
      <c r="AP99" s="7">
        <f>Q99*0.000930465+P99*0.000930465</f>
        <v/>
      </c>
      <c r="AQ99" s="7">
        <f>R99*0.000930465+Q99*0.000930465</f>
        <v/>
      </c>
      <c r="AR99" s="7">
        <f>S99*0.000930465+R99*0.000930465</f>
        <v/>
      </c>
      <c r="AS99" s="7">
        <f>T99*0.000930465+S99*0.000930465</f>
        <v/>
      </c>
      <c r="AT99" s="7">
        <f>U99*0.000930465+T99*0.000930465</f>
        <v/>
      </c>
      <c r="AU99" s="7">
        <f>V99*0.000930465+U99*0.000930465</f>
        <v/>
      </c>
      <c r="AV99" s="7">
        <f>W99*0.000930465+V99*0.000930465</f>
        <v/>
      </c>
      <c r="AW99" s="7">
        <f>X99*0.000930465+W99*0.000930465</f>
        <v/>
      </c>
      <c r="AX99" s="7">
        <f>Y99*0.000930465+X99*0.000930465</f>
        <v/>
      </c>
      <c r="AY99" s="7">
        <f>Z99*0.000930465+Y99*0.000930465</f>
        <v/>
      </c>
      <c r="AZ99" s="7">
        <f>AA99*0.000930465+Z99*0.000930465</f>
        <v/>
      </c>
      <c r="BA99" s="7">
        <f>D99*0.000930465+AA99*0.000930465</f>
        <v/>
      </c>
      <c r="BB99" s="7">
        <f>SUM(AD99:BA99)</f>
        <v/>
      </c>
    </row>
    <row r="100">
      <c r="A100" t="inlineStr">
        <is>
          <t>AMD-RTS-RCLS-1302-SSC_1</t>
        </is>
      </c>
      <c r="B100" t="inlineStr">
        <is>
          <t>Rev OSC</t>
        </is>
      </c>
      <c r="C100" s="5" t="n">
        <v>46093</v>
      </c>
      <c r="D100" s="6">
        <f>Summary!D100*0.05</f>
        <v/>
      </c>
      <c r="E100" s="6">
        <f>Summary!E100*0.05</f>
        <v/>
      </c>
      <c r="F100" s="6">
        <f>Summary!F100*0.05</f>
        <v/>
      </c>
      <c r="G100" s="6">
        <f>Summary!G100*0.05</f>
        <v/>
      </c>
      <c r="H100" s="6">
        <f>Summary!H100*0.05</f>
        <v/>
      </c>
      <c r="I100" s="6">
        <f>Summary!I100*0.05</f>
        <v/>
      </c>
      <c r="J100" s="6">
        <f>Summary!J100*0.05</f>
        <v/>
      </c>
      <c r="K100" s="6">
        <f>Summary!K100*0.05</f>
        <v/>
      </c>
      <c r="L100" s="6">
        <f>Summary!L100*0.05</f>
        <v/>
      </c>
      <c r="M100" s="6">
        <f>Summary!M100*0.05</f>
        <v/>
      </c>
      <c r="N100" s="6">
        <f>Summary!N100*0.05</f>
        <v/>
      </c>
      <c r="O100" s="6">
        <f>Summary!O100*0.05</f>
        <v/>
      </c>
      <c r="P100" s="6">
        <f>Summary!P100*0.05</f>
        <v/>
      </c>
      <c r="Q100" s="6">
        <f>Summary!Q100*0.05</f>
        <v/>
      </c>
      <c r="R100" s="6">
        <f>Summary!R100*0.05</f>
        <v/>
      </c>
      <c r="S100" s="6">
        <f>Summary!S100*0.05</f>
        <v/>
      </c>
      <c r="T100" s="6">
        <f>Summary!T100*0.05</f>
        <v/>
      </c>
      <c r="U100" s="6">
        <f>Summary!U100*0.05</f>
        <v/>
      </c>
      <c r="V100" s="6">
        <f>Summary!V100*0.05</f>
        <v/>
      </c>
      <c r="W100" s="6">
        <f>Summary!W100*0.05</f>
        <v/>
      </c>
      <c r="X100" s="6">
        <f>Summary!X100*0.05</f>
        <v/>
      </c>
      <c r="Y100" s="6">
        <f>Summary!Y100*0.05</f>
        <v/>
      </c>
      <c r="Z100" s="6">
        <f>Summary!Z100*0.05</f>
        <v/>
      </c>
      <c r="AA100" s="6">
        <f>Summary!AA100*0.05</f>
        <v/>
      </c>
      <c r="AB100" s="6">
        <f>SUM(D100:AA100)</f>
        <v/>
      </c>
      <c r="AC100" s="3" t="inlineStr"/>
      <c r="AD100" s="7">
        <f>E100*0.000930465+D100*0.000930465</f>
        <v/>
      </c>
      <c r="AE100" s="7">
        <f>F100*0.000930465+E100*0.000930465</f>
        <v/>
      </c>
      <c r="AF100" s="7">
        <f>G100*0.000930465+F100*0.000930465</f>
        <v/>
      </c>
      <c r="AG100" s="7">
        <f>H100*0.000930465+G100*0.000930465</f>
        <v/>
      </c>
      <c r="AH100" s="7">
        <f>I100*0.000930465+H100*0.000930465</f>
        <v/>
      </c>
      <c r="AI100" s="7">
        <f>J100*0.000930465+I100*0.000930465</f>
        <v/>
      </c>
      <c r="AJ100" s="7">
        <f>K100*0.000930465+J100*0.000930465</f>
        <v/>
      </c>
      <c r="AK100" s="7">
        <f>L100*0.000930465+K100*0.000930465</f>
        <v/>
      </c>
      <c r="AL100" s="7">
        <f>M100*0.000930465+L100*0.000930465</f>
        <v/>
      </c>
      <c r="AM100" s="7">
        <f>N100*0.000930465+M100*0.000930465</f>
        <v/>
      </c>
      <c r="AN100" s="7">
        <f>O100*0.000930465+N100*0.000930465</f>
        <v/>
      </c>
      <c r="AO100" s="7">
        <f>P100*0.000930465+O100*0.000930465</f>
        <v/>
      </c>
      <c r="AP100" s="7">
        <f>Q100*0.000930465+P100*0.000930465</f>
        <v/>
      </c>
      <c r="AQ100" s="7">
        <f>R100*0.000930465+Q100*0.000930465</f>
        <v/>
      </c>
      <c r="AR100" s="7">
        <f>S100*0.000930465+R100*0.000930465</f>
        <v/>
      </c>
      <c r="AS100" s="7">
        <f>T100*0.000930465+S100*0.000930465</f>
        <v/>
      </c>
      <c r="AT100" s="7">
        <f>U100*0.000930465+T100*0.000930465</f>
        <v/>
      </c>
      <c r="AU100" s="7">
        <f>V100*0.000930465+U100*0.000930465</f>
        <v/>
      </c>
      <c r="AV100" s="7">
        <f>W100*0.000930465+V100*0.000930465</f>
        <v/>
      </c>
      <c r="AW100" s="7">
        <f>X100*0.000930465+W100*0.000930465</f>
        <v/>
      </c>
      <c r="AX100" s="7">
        <f>Y100*0.000930465+X100*0.000930465</f>
        <v/>
      </c>
      <c r="AY100" s="7">
        <f>Z100*0.000930465+Y100*0.000930465</f>
        <v/>
      </c>
      <c r="AZ100" s="7">
        <f>AA100*0.000930465+Z100*0.000930465</f>
        <v/>
      </c>
      <c r="BA100" s="7">
        <f>D100*0.000930465+AA100*0.000930465</f>
        <v/>
      </c>
      <c r="BB100" s="7">
        <f>SUM(AD100:BA100)</f>
        <v/>
      </c>
    </row>
    <row r="101">
      <c r="A101" t="inlineStr">
        <is>
          <t>AMD-RTS-RCLS-1302-SSC_1</t>
        </is>
      </c>
      <c r="B101" t="inlineStr">
        <is>
          <t>Rev OSC</t>
        </is>
      </c>
      <c r="C101" s="5" t="n">
        <v>46094</v>
      </c>
      <c r="D101" s="6">
        <f>Summary!D101*0.05</f>
        <v/>
      </c>
      <c r="E101" s="6">
        <f>Summary!E101*0.05</f>
        <v/>
      </c>
      <c r="F101" s="6">
        <f>Summary!F101*0.05</f>
        <v/>
      </c>
      <c r="G101" s="6">
        <f>Summary!G101*0.05</f>
        <v/>
      </c>
      <c r="H101" s="6">
        <f>Summary!H101*0.05</f>
        <v/>
      </c>
      <c r="I101" s="6">
        <f>Summary!I101*0.05</f>
        <v/>
      </c>
      <c r="J101" s="6">
        <f>Summary!J101*0.05</f>
        <v/>
      </c>
      <c r="K101" s="6">
        <f>Summary!K101*0.05</f>
        <v/>
      </c>
      <c r="L101" s="6">
        <f>Summary!L101*0.05</f>
        <v/>
      </c>
      <c r="M101" s="6">
        <f>Summary!M101*0.05</f>
        <v/>
      </c>
      <c r="N101" s="6">
        <f>Summary!N101*0.05</f>
        <v/>
      </c>
      <c r="O101" s="6">
        <f>Summary!O101*0.05</f>
        <v/>
      </c>
      <c r="P101" s="6">
        <f>Summary!P101*0.05</f>
        <v/>
      </c>
      <c r="Q101" s="6">
        <f>Summary!Q101*0.05</f>
        <v/>
      </c>
      <c r="R101" s="6">
        <f>Summary!R101*0.05</f>
        <v/>
      </c>
      <c r="S101" s="6">
        <f>Summary!S101*0.05</f>
        <v/>
      </c>
      <c r="T101" s="6">
        <f>Summary!T101*0.05</f>
        <v/>
      </c>
      <c r="U101" s="6">
        <f>Summary!U101*0.05</f>
        <v/>
      </c>
      <c r="V101" s="6">
        <f>Summary!V101*0.05</f>
        <v/>
      </c>
      <c r="W101" s="6">
        <f>Summary!W101*0.05</f>
        <v/>
      </c>
      <c r="X101" s="6">
        <f>Summary!X101*0.05</f>
        <v/>
      </c>
      <c r="Y101" s="6">
        <f>Summary!Y101*0.05</f>
        <v/>
      </c>
      <c r="Z101" s="6">
        <f>Summary!Z101*0.05</f>
        <v/>
      </c>
      <c r="AA101" s="6">
        <f>Summary!AA101*0.05</f>
        <v/>
      </c>
      <c r="AB101" s="6">
        <f>SUM(D101:AA101)</f>
        <v/>
      </c>
      <c r="AC101" s="3" t="inlineStr"/>
      <c r="AD101" s="7">
        <f>E101*0.000930465+D101*0.000930465</f>
        <v/>
      </c>
      <c r="AE101" s="7">
        <f>F101*0.000930465+E101*0.000930465</f>
        <v/>
      </c>
      <c r="AF101" s="7">
        <f>G101*0.000930465+F101*0.000930465</f>
        <v/>
      </c>
      <c r="AG101" s="7">
        <f>H101*0.000930465+G101*0.000930465</f>
        <v/>
      </c>
      <c r="AH101" s="7">
        <f>I101*0.000930465+H101*0.000930465</f>
        <v/>
      </c>
      <c r="AI101" s="7">
        <f>J101*0.000930465+I101*0.000930465</f>
        <v/>
      </c>
      <c r="AJ101" s="7">
        <f>K101*0.000930465+J101*0.000930465</f>
        <v/>
      </c>
      <c r="AK101" s="7">
        <f>L101*0.000930465+K101*0.000930465</f>
        <v/>
      </c>
      <c r="AL101" s="7">
        <f>M101*0.000930465+L101*0.000930465</f>
        <v/>
      </c>
      <c r="AM101" s="7">
        <f>N101*0.000930465+M101*0.000930465</f>
        <v/>
      </c>
      <c r="AN101" s="7">
        <f>O101*0.000930465+N101*0.000930465</f>
        <v/>
      </c>
      <c r="AO101" s="7">
        <f>P101*0.000930465+O101*0.000930465</f>
        <v/>
      </c>
      <c r="AP101" s="7">
        <f>Q101*0.000930465+P101*0.000930465</f>
        <v/>
      </c>
      <c r="AQ101" s="7">
        <f>R101*0.000930465+Q101*0.000930465</f>
        <v/>
      </c>
      <c r="AR101" s="7">
        <f>S101*0.000930465+R101*0.000930465</f>
        <v/>
      </c>
      <c r="AS101" s="7">
        <f>T101*0.000930465+S101*0.000930465</f>
        <v/>
      </c>
      <c r="AT101" s="7">
        <f>U101*0.000930465+T101*0.000930465</f>
        <v/>
      </c>
      <c r="AU101" s="7">
        <f>V101*0.000930465+U101*0.000930465</f>
        <v/>
      </c>
      <c r="AV101" s="7">
        <f>W101*0.000930465+V101*0.000930465</f>
        <v/>
      </c>
      <c r="AW101" s="7">
        <f>X101*0.000930465+W101*0.000930465</f>
        <v/>
      </c>
      <c r="AX101" s="7">
        <f>Y101*0.000930465+X101*0.000930465</f>
        <v/>
      </c>
      <c r="AY101" s="7">
        <f>Z101*0.000930465+Y101*0.000930465</f>
        <v/>
      </c>
      <c r="AZ101" s="7">
        <f>AA101*0.000930465+Z101*0.000930465</f>
        <v/>
      </c>
      <c r="BA101" s="7">
        <f>D101*0.000930465+AA101*0.000930465</f>
        <v/>
      </c>
      <c r="BB101" s="7">
        <f>SUM(AD101:BA101)</f>
        <v/>
      </c>
    </row>
    <row r="102">
      <c r="A102" t="inlineStr">
        <is>
          <t>AMD-RTS-RCLS-1302-SSC_1</t>
        </is>
      </c>
      <c r="B102" t="inlineStr">
        <is>
          <t>Rev OSC</t>
        </is>
      </c>
      <c r="C102" s="5" t="n">
        <v>46095</v>
      </c>
      <c r="D102" s="6">
        <f>Summary!D102*0.05</f>
        <v/>
      </c>
      <c r="E102" s="6">
        <f>Summary!E102*0.05</f>
        <v/>
      </c>
      <c r="F102" s="6">
        <f>Summary!F102*0.05</f>
        <v/>
      </c>
      <c r="G102" s="6">
        <f>Summary!G102*0.05</f>
        <v/>
      </c>
      <c r="H102" s="6">
        <f>Summary!H102*0.05</f>
        <v/>
      </c>
      <c r="I102" s="6">
        <f>Summary!I102*0.05</f>
        <v/>
      </c>
      <c r="J102" s="6">
        <f>Summary!J102*0.05</f>
        <v/>
      </c>
      <c r="K102" s="6">
        <f>Summary!K102*0.05</f>
        <v/>
      </c>
      <c r="L102" s="6">
        <f>Summary!L102*0.05</f>
        <v/>
      </c>
      <c r="M102" s="6">
        <f>Summary!M102*0.05</f>
        <v/>
      </c>
      <c r="N102" s="6">
        <f>Summary!N102*0.05</f>
        <v/>
      </c>
      <c r="O102" s="6">
        <f>Summary!O102*0.05</f>
        <v/>
      </c>
      <c r="P102" s="6">
        <f>Summary!P102*0.05</f>
        <v/>
      </c>
      <c r="Q102" s="6">
        <f>Summary!Q102*0.05</f>
        <v/>
      </c>
      <c r="R102" s="6">
        <f>Summary!R102*0.05</f>
        <v/>
      </c>
      <c r="S102" s="6">
        <f>Summary!S102*0.05</f>
        <v/>
      </c>
      <c r="T102" s="6">
        <f>Summary!T102*0.05</f>
        <v/>
      </c>
      <c r="U102" s="6">
        <f>Summary!U102*0.05</f>
        <v/>
      </c>
      <c r="V102" s="6">
        <f>Summary!V102*0.05</f>
        <v/>
      </c>
      <c r="W102" s="6">
        <f>Summary!W102*0.05</f>
        <v/>
      </c>
      <c r="X102" s="6">
        <f>Summary!X102*0.05</f>
        <v/>
      </c>
      <c r="Y102" s="6">
        <f>Summary!Y102*0.05</f>
        <v/>
      </c>
      <c r="Z102" s="6">
        <f>Summary!Z102*0.05</f>
        <v/>
      </c>
      <c r="AA102" s="6">
        <f>Summary!AA102*0.05</f>
        <v/>
      </c>
      <c r="AB102" s="6">
        <f>SUM(D102:AA102)</f>
        <v/>
      </c>
      <c r="AC102" s="3" t="inlineStr"/>
      <c r="AD102" s="7">
        <f>E102*0.000930465+D102*0.000930465</f>
        <v/>
      </c>
      <c r="AE102" s="7">
        <f>F102*0.000930465+E102*0.000930465</f>
        <v/>
      </c>
      <c r="AF102" s="7">
        <f>G102*0.000930465+F102*0.000930465</f>
        <v/>
      </c>
      <c r="AG102" s="7">
        <f>H102*0.000930465+G102*0.000930465</f>
        <v/>
      </c>
      <c r="AH102" s="7">
        <f>I102*0.000930465+H102*0.000930465</f>
        <v/>
      </c>
      <c r="AI102" s="7">
        <f>J102*0.000930465+I102*0.000930465</f>
        <v/>
      </c>
      <c r="AJ102" s="7">
        <f>K102*0.000930465+J102*0.000930465</f>
        <v/>
      </c>
      <c r="AK102" s="7">
        <f>L102*0.000930465+K102*0.000930465</f>
        <v/>
      </c>
      <c r="AL102" s="7">
        <f>M102*0.000930465+L102*0.000930465</f>
        <v/>
      </c>
      <c r="AM102" s="7">
        <f>N102*0.000930465+M102*0.000930465</f>
        <v/>
      </c>
      <c r="AN102" s="7">
        <f>O102*0.000930465+N102*0.000930465</f>
        <v/>
      </c>
      <c r="AO102" s="7">
        <f>P102*0.000930465+O102*0.000930465</f>
        <v/>
      </c>
      <c r="AP102" s="7">
        <f>Q102*0.000930465+P102*0.000930465</f>
        <v/>
      </c>
      <c r="AQ102" s="7">
        <f>R102*0.000930465+Q102*0.000930465</f>
        <v/>
      </c>
      <c r="AR102" s="7">
        <f>S102*0.000930465+R102*0.000930465</f>
        <v/>
      </c>
      <c r="AS102" s="7">
        <f>T102*0.000930465+S102*0.000930465</f>
        <v/>
      </c>
      <c r="AT102" s="7">
        <f>U102*0.000930465+T102*0.000930465</f>
        <v/>
      </c>
      <c r="AU102" s="7">
        <f>V102*0.000930465+U102*0.000930465</f>
        <v/>
      </c>
      <c r="AV102" s="7">
        <f>W102*0.000930465+V102*0.000930465</f>
        <v/>
      </c>
      <c r="AW102" s="7">
        <f>X102*0.000930465+W102*0.000930465</f>
        <v/>
      </c>
      <c r="AX102" s="7">
        <f>Y102*0.000930465+X102*0.000930465</f>
        <v/>
      </c>
      <c r="AY102" s="7">
        <f>Z102*0.000930465+Y102*0.000930465</f>
        <v/>
      </c>
      <c r="AZ102" s="7">
        <f>AA102*0.000930465+Z102*0.000930465</f>
        <v/>
      </c>
      <c r="BA102" s="7">
        <f>D102*0.000930465+AA102*0.000930465</f>
        <v/>
      </c>
      <c r="BB102" s="7">
        <f>SUM(AD102:BA102)</f>
        <v/>
      </c>
    </row>
    <row r="103">
      <c r="A103" t="inlineStr">
        <is>
          <t>AMD-RTS-RCLS-1302-SSC_1</t>
        </is>
      </c>
      <c r="B103" t="inlineStr">
        <is>
          <t>Rev OSC</t>
        </is>
      </c>
      <c r="C103" s="5" t="n">
        <v>46100</v>
      </c>
      <c r="D103" s="6">
        <f>Summary!D103*0.05</f>
        <v/>
      </c>
      <c r="E103" s="6">
        <f>Summary!E103*0.05</f>
        <v/>
      </c>
      <c r="F103" s="6">
        <f>Summary!F103*0.05</f>
        <v/>
      </c>
      <c r="G103" s="6">
        <f>Summary!G103*0.05</f>
        <v/>
      </c>
      <c r="H103" s="6">
        <f>Summary!H103*0.05</f>
        <v/>
      </c>
      <c r="I103" s="6">
        <f>Summary!I103*0.05</f>
        <v/>
      </c>
      <c r="J103" s="6">
        <f>Summary!J103*0.05</f>
        <v/>
      </c>
      <c r="K103" s="6">
        <f>Summary!K103*0.05</f>
        <v/>
      </c>
      <c r="L103" s="6">
        <f>Summary!L103*0.05</f>
        <v/>
      </c>
      <c r="M103" s="6">
        <f>Summary!M103*0.05</f>
        <v/>
      </c>
      <c r="N103" s="6">
        <f>Summary!N103*0.05</f>
        <v/>
      </c>
      <c r="O103" s="6">
        <f>Summary!O103*0.05</f>
        <v/>
      </c>
      <c r="P103" s="6">
        <f>Summary!P103*0.05</f>
        <v/>
      </c>
      <c r="Q103" s="6">
        <f>Summary!Q103*0.05</f>
        <v/>
      </c>
      <c r="R103" s="6">
        <f>Summary!R103*0.05</f>
        <v/>
      </c>
      <c r="S103" s="6">
        <f>Summary!S103*0.05</f>
        <v/>
      </c>
      <c r="T103" s="6">
        <f>Summary!T103*0.05</f>
        <v/>
      </c>
      <c r="U103" s="6">
        <f>Summary!U103*0.05</f>
        <v/>
      </c>
      <c r="V103" s="6">
        <f>Summary!V103*0.05</f>
        <v/>
      </c>
      <c r="W103" s="6">
        <f>Summary!W103*0.05</f>
        <v/>
      </c>
      <c r="X103" s="6">
        <f>Summary!X103*0.05</f>
        <v/>
      </c>
      <c r="Y103" s="6">
        <f>Summary!Y103*0.05</f>
        <v/>
      </c>
      <c r="Z103" s="6">
        <f>Summary!Z103*0.05</f>
        <v/>
      </c>
      <c r="AA103" s="6">
        <f>Summary!AA103*0.05</f>
        <v/>
      </c>
      <c r="AB103" s="6">
        <f>SUM(D103:AA103)</f>
        <v/>
      </c>
      <c r="AC103" s="3" t="inlineStr"/>
      <c r="AD103" s="7">
        <f>E103*0.000930465+D103*0.000930465</f>
        <v/>
      </c>
      <c r="AE103" s="7">
        <f>F103*0.000930465+E103*0.000930465</f>
        <v/>
      </c>
      <c r="AF103" s="7">
        <f>G103*0.000930465+F103*0.000930465</f>
        <v/>
      </c>
      <c r="AG103" s="7">
        <f>H103*0.000930465+G103*0.000930465</f>
        <v/>
      </c>
      <c r="AH103" s="7">
        <f>I103*0.000930465+H103*0.000930465</f>
        <v/>
      </c>
      <c r="AI103" s="7">
        <f>J103*0.000930465+I103*0.000930465</f>
        <v/>
      </c>
      <c r="AJ103" s="7">
        <f>K103*0.000930465+J103*0.000930465</f>
        <v/>
      </c>
      <c r="AK103" s="7">
        <f>L103*0.000930465+K103*0.000930465</f>
        <v/>
      </c>
      <c r="AL103" s="7">
        <f>M103*0.000930465+L103*0.000930465</f>
        <v/>
      </c>
      <c r="AM103" s="7">
        <f>N103*0.000930465+M103*0.000930465</f>
        <v/>
      </c>
      <c r="AN103" s="7">
        <f>O103*0.000930465+N103*0.000930465</f>
        <v/>
      </c>
      <c r="AO103" s="7">
        <f>P103*0.000930465+O103*0.000930465</f>
        <v/>
      </c>
      <c r="AP103" s="7">
        <f>Q103*0.000930465+P103*0.000930465</f>
        <v/>
      </c>
      <c r="AQ103" s="7">
        <f>R103*0.000930465+Q103*0.000930465</f>
        <v/>
      </c>
      <c r="AR103" s="7">
        <f>S103*0.000930465+R103*0.000930465</f>
        <v/>
      </c>
      <c r="AS103" s="7">
        <f>T103*0.000930465+S103*0.000930465</f>
        <v/>
      </c>
      <c r="AT103" s="7">
        <f>U103*0.000930465+T103*0.000930465</f>
        <v/>
      </c>
      <c r="AU103" s="7">
        <f>V103*0.000930465+U103*0.000930465</f>
        <v/>
      </c>
      <c r="AV103" s="7">
        <f>W103*0.000930465+V103*0.000930465</f>
        <v/>
      </c>
      <c r="AW103" s="7">
        <f>X103*0.000930465+W103*0.000930465</f>
        <v/>
      </c>
      <c r="AX103" s="7">
        <f>Y103*0.000930465+X103*0.000930465</f>
        <v/>
      </c>
      <c r="AY103" s="7">
        <f>Z103*0.000930465+Y103*0.000930465</f>
        <v/>
      </c>
      <c r="AZ103" s="7">
        <f>AA103*0.000930465+Z103*0.000930465</f>
        <v/>
      </c>
      <c r="BA103" s="7">
        <f>D103*0.000930465+AA103*0.000930465</f>
        <v/>
      </c>
      <c r="BB103" s="7">
        <f>SUM(AD103:BA103)</f>
        <v/>
      </c>
    </row>
    <row r="104">
      <c r="A104" t="inlineStr">
        <is>
          <t>AMD-RTS-RCLS-1302-SSC_1</t>
        </is>
      </c>
      <c r="B104" t="inlineStr">
        <is>
          <t>Rev OSC</t>
        </is>
      </c>
      <c r="C104" s="5" t="n">
        <v>46102</v>
      </c>
      <c r="D104" s="6">
        <f>Summary!D104*0.05</f>
        <v/>
      </c>
      <c r="E104" s="6">
        <f>Summary!E104*0.05</f>
        <v/>
      </c>
      <c r="F104" s="6">
        <f>Summary!F104*0.05</f>
        <v/>
      </c>
      <c r="G104" s="6">
        <f>Summary!G104*0.05</f>
        <v/>
      </c>
      <c r="H104" s="6">
        <f>Summary!H104*0.05</f>
        <v/>
      </c>
      <c r="I104" s="6">
        <f>Summary!I104*0.05</f>
        <v/>
      </c>
      <c r="J104" s="6">
        <f>Summary!J104*0.05</f>
        <v/>
      </c>
      <c r="K104" s="6">
        <f>Summary!K104*0.05</f>
        <v/>
      </c>
      <c r="L104" s="6">
        <f>Summary!L104*0.05</f>
        <v/>
      </c>
      <c r="M104" s="6">
        <f>Summary!M104*0.05</f>
        <v/>
      </c>
      <c r="N104" s="6">
        <f>Summary!N104*0.05</f>
        <v/>
      </c>
      <c r="O104" s="6">
        <f>Summary!O104*0.05</f>
        <v/>
      </c>
      <c r="P104" s="6">
        <f>Summary!P104*0.05</f>
        <v/>
      </c>
      <c r="Q104" s="6">
        <f>Summary!Q104*0.05</f>
        <v/>
      </c>
      <c r="R104" s="6">
        <f>Summary!R104*0.05</f>
        <v/>
      </c>
      <c r="S104" s="6">
        <f>Summary!S104*0.05</f>
        <v/>
      </c>
      <c r="T104" s="6">
        <f>Summary!T104*0.05</f>
        <v/>
      </c>
      <c r="U104" s="6">
        <f>Summary!U104*0.05</f>
        <v/>
      </c>
      <c r="V104" s="6">
        <f>Summary!V104*0.05</f>
        <v/>
      </c>
      <c r="W104" s="6">
        <f>Summary!W104*0.05</f>
        <v/>
      </c>
      <c r="X104" s="6">
        <f>Summary!X104*0.05</f>
        <v/>
      </c>
      <c r="Y104" s="6">
        <f>Summary!Y104*0.05</f>
        <v/>
      </c>
      <c r="Z104" s="6">
        <f>Summary!Z104*0.05</f>
        <v/>
      </c>
      <c r="AA104" s="6">
        <f>Summary!AA104*0.05</f>
        <v/>
      </c>
      <c r="AB104" s="6">
        <f>SUM(D104:AA104)</f>
        <v/>
      </c>
      <c r="AC104" s="3" t="inlineStr"/>
      <c r="AD104" s="7">
        <f>E104*0.000930465+D104*0.000930465</f>
        <v/>
      </c>
      <c r="AE104" s="7">
        <f>F104*0.000930465+E104*0.000930465</f>
        <v/>
      </c>
      <c r="AF104" s="7">
        <f>G104*0.000930465+F104*0.000930465</f>
        <v/>
      </c>
      <c r="AG104" s="7">
        <f>H104*0.000930465+G104*0.000930465</f>
        <v/>
      </c>
      <c r="AH104" s="7">
        <f>I104*0.000930465+H104*0.000930465</f>
        <v/>
      </c>
      <c r="AI104" s="7">
        <f>J104*0.000930465+I104*0.000930465</f>
        <v/>
      </c>
      <c r="AJ104" s="7">
        <f>K104*0.000930465+J104*0.000930465</f>
        <v/>
      </c>
      <c r="AK104" s="7">
        <f>L104*0.000930465+K104*0.000930465</f>
        <v/>
      </c>
      <c r="AL104" s="7">
        <f>M104*0.000930465+L104*0.000930465</f>
        <v/>
      </c>
      <c r="AM104" s="7">
        <f>N104*0.000930465+M104*0.000930465</f>
        <v/>
      </c>
      <c r="AN104" s="7">
        <f>O104*0.000930465+N104*0.000930465</f>
        <v/>
      </c>
      <c r="AO104" s="7">
        <f>P104*0.000930465+O104*0.000930465</f>
        <v/>
      </c>
      <c r="AP104" s="7">
        <f>Q104*0.000930465+P104*0.000930465</f>
        <v/>
      </c>
      <c r="AQ104" s="7">
        <f>R104*0.000930465+Q104*0.000930465</f>
        <v/>
      </c>
      <c r="AR104" s="7">
        <f>S104*0.000930465+R104*0.000930465</f>
        <v/>
      </c>
      <c r="AS104" s="7">
        <f>T104*0.000930465+S104*0.000930465</f>
        <v/>
      </c>
      <c r="AT104" s="7">
        <f>U104*0.000930465+T104*0.000930465</f>
        <v/>
      </c>
      <c r="AU104" s="7">
        <f>V104*0.000930465+U104*0.000930465</f>
        <v/>
      </c>
      <c r="AV104" s="7">
        <f>W104*0.000930465+V104*0.000930465</f>
        <v/>
      </c>
      <c r="AW104" s="7">
        <f>X104*0.000930465+W104*0.000930465</f>
        <v/>
      </c>
      <c r="AX104" s="7">
        <f>Y104*0.000930465+X104*0.000930465</f>
        <v/>
      </c>
      <c r="AY104" s="7">
        <f>Z104*0.000930465+Y104*0.000930465</f>
        <v/>
      </c>
      <c r="AZ104" s="7">
        <f>AA104*0.000930465+Z104*0.000930465</f>
        <v/>
      </c>
      <c r="BA104" s="7">
        <f>D104*0.000930465+AA104*0.000930465</f>
        <v/>
      </c>
      <c r="BB104" s="7">
        <f>SUM(AD104:BA104)</f>
        <v/>
      </c>
    </row>
    <row r="105">
      <c r="A105" t="inlineStr">
        <is>
          <t>AMD-RTS-RCLS-1302-SSC_1</t>
        </is>
      </c>
      <c r="B105" t="inlineStr">
        <is>
          <t>Rev OSC</t>
        </is>
      </c>
      <c r="C105" s="5" t="n">
        <v>46103</v>
      </c>
      <c r="D105" s="6">
        <f>Summary!D105*0.05</f>
        <v/>
      </c>
      <c r="E105" s="6">
        <f>Summary!E105*0.05</f>
        <v/>
      </c>
      <c r="F105" s="6">
        <f>Summary!F105*0.05</f>
        <v/>
      </c>
      <c r="G105" s="6">
        <f>Summary!G105*0.05</f>
        <v/>
      </c>
      <c r="H105" s="6">
        <f>Summary!H105*0.05</f>
        <v/>
      </c>
      <c r="I105" s="6">
        <f>Summary!I105*0.05</f>
        <v/>
      </c>
      <c r="J105" s="6">
        <f>Summary!J105*0.05</f>
        <v/>
      </c>
      <c r="K105" s="6">
        <f>Summary!K105*0.05</f>
        <v/>
      </c>
      <c r="L105" s="6">
        <f>Summary!L105*0.05</f>
        <v/>
      </c>
      <c r="M105" s="6">
        <f>Summary!M105*0.05</f>
        <v/>
      </c>
      <c r="N105" s="6">
        <f>Summary!N105*0.05</f>
        <v/>
      </c>
      <c r="O105" s="6">
        <f>Summary!O105*0.05</f>
        <v/>
      </c>
      <c r="P105" s="6">
        <f>Summary!P105*0.05</f>
        <v/>
      </c>
      <c r="Q105" s="6">
        <f>Summary!Q105*0.05</f>
        <v/>
      </c>
      <c r="R105" s="6">
        <f>Summary!R105*0.05</f>
        <v/>
      </c>
      <c r="S105" s="6">
        <f>Summary!S105*0.05</f>
        <v/>
      </c>
      <c r="T105" s="6">
        <f>Summary!T105*0.05</f>
        <v/>
      </c>
      <c r="U105" s="6">
        <f>Summary!U105*0.05</f>
        <v/>
      </c>
      <c r="V105" s="6">
        <f>Summary!V105*0.05</f>
        <v/>
      </c>
      <c r="W105" s="6">
        <f>Summary!W105*0.05</f>
        <v/>
      </c>
      <c r="X105" s="6">
        <f>Summary!X105*0.05</f>
        <v/>
      </c>
      <c r="Y105" s="6">
        <f>Summary!Y105*0.05</f>
        <v/>
      </c>
      <c r="Z105" s="6">
        <f>Summary!Z105*0.05</f>
        <v/>
      </c>
      <c r="AA105" s="6">
        <f>Summary!AA105*0.05</f>
        <v/>
      </c>
      <c r="AB105" s="6">
        <f>SUM(D105:AA105)</f>
        <v/>
      </c>
      <c r="AC105" s="3" t="inlineStr"/>
      <c r="AD105" s="7">
        <f>E105*0.000930465+D105*0.000930465</f>
        <v/>
      </c>
      <c r="AE105" s="7">
        <f>F105*0.000930465+E105*0.000930465</f>
        <v/>
      </c>
      <c r="AF105" s="7">
        <f>G105*0.000930465+F105*0.000930465</f>
        <v/>
      </c>
      <c r="AG105" s="7">
        <f>H105*0.000930465+G105*0.000930465</f>
        <v/>
      </c>
      <c r="AH105" s="7">
        <f>I105*0.000930465+H105*0.000930465</f>
        <v/>
      </c>
      <c r="AI105" s="7">
        <f>J105*0.000930465+I105*0.000930465</f>
        <v/>
      </c>
      <c r="AJ105" s="7">
        <f>K105*0.000930465+J105*0.000930465</f>
        <v/>
      </c>
      <c r="AK105" s="7">
        <f>L105*0.000930465+K105*0.000930465</f>
        <v/>
      </c>
      <c r="AL105" s="7">
        <f>M105*0.000930465+L105*0.000930465</f>
        <v/>
      </c>
      <c r="AM105" s="7">
        <f>N105*0.000930465+M105*0.000930465</f>
        <v/>
      </c>
      <c r="AN105" s="7">
        <f>O105*0.000930465+N105*0.000930465</f>
        <v/>
      </c>
      <c r="AO105" s="7">
        <f>P105*0.000930465+O105*0.000930465</f>
        <v/>
      </c>
      <c r="AP105" s="7">
        <f>Q105*0.000930465+P105*0.000930465</f>
        <v/>
      </c>
      <c r="AQ105" s="7">
        <f>R105*0.000930465+Q105*0.000930465</f>
        <v/>
      </c>
      <c r="AR105" s="7">
        <f>S105*0.000930465+R105*0.000930465</f>
        <v/>
      </c>
      <c r="AS105" s="7">
        <f>T105*0.000930465+S105*0.000930465</f>
        <v/>
      </c>
      <c r="AT105" s="7">
        <f>U105*0.000930465+T105*0.000930465</f>
        <v/>
      </c>
      <c r="AU105" s="7">
        <f>V105*0.000930465+U105*0.000930465</f>
        <v/>
      </c>
      <c r="AV105" s="7">
        <f>W105*0.000930465+V105*0.000930465</f>
        <v/>
      </c>
      <c r="AW105" s="7">
        <f>X105*0.000930465+W105*0.000930465</f>
        <v/>
      </c>
      <c r="AX105" s="7">
        <f>Y105*0.000930465+X105*0.000930465</f>
        <v/>
      </c>
      <c r="AY105" s="7">
        <f>Z105*0.000930465+Y105*0.000930465</f>
        <v/>
      </c>
      <c r="AZ105" s="7">
        <f>AA105*0.000930465+Z105*0.000930465</f>
        <v/>
      </c>
      <c r="BA105" s="7">
        <f>D105*0.000930465+AA105*0.000930465</f>
        <v/>
      </c>
      <c r="BB105" s="7">
        <f>SUM(AD105:BA105)</f>
        <v/>
      </c>
    </row>
    <row r="106">
      <c r="A106" t="inlineStr">
        <is>
          <t>AMD-RTS-RCLS-1302-SSC_1</t>
        </is>
      </c>
      <c r="B106" t="inlineStr">
        <is>
          <t>Rev OSC</t>
        </is>
      </c>
      <c r="C106" s="5" t="n">
        <v>46104</v>
      </c>
      <c r="D106" s="6">
        <f>Summary!D106*0.05</f>
        <v/>
      </c>
      <c r="E106" s="6">
        <f>Summary!E106*0.05</f>
        <v/>
      </c>
      <c r="F106" s="6">
        <f>Summary!F106*0.05</f>
        <v/>
      </c>
      <c r="G106" s="6">
        <f>Summary!G106*0.05</f>
        <v/>
      </c>
      <c r="H106" s="6">
        <f>Summary!H106*0.05</f>
        <v/>
      </c>
      <c r="I106" s="6">
        <f>Summary!I106*0.05</f>
        <v/>
      </c>
      <c r="J106" s="6">
        <f>Summary!J106*0.05</f>
        <v/>
      </c>
      <c r="K106" s="6">
        <f>Summary!K106*0.05</f>
        <v/>
      </c>
      <c r="L106" s="6">
        <f>Summary!L106*0.05</f>
        <v/>
      </c>
      <c r="M106" s="6">
        <f>Summary!M106*0.05</f>
        <v/>
      </c>
      <c r="N106" s="6">
        <f>Summary!N106*0.05</f>
        <v/>
      </c>
      <c r="O106" s="6">
        <f>Summary!O106*0.05</f>
        <v/>
      </c>
      <c r="P106" s="6">
        <f>Summary!P106*0.05</f>
        <v/>
      </c>
      <c r="Q106" s="6">
        <f>Summary!Q106*0.05</f>
        <v/>
      </c>
      <c r="R106" s="6">
        <f>Summary!R106*0.05</f>
        <v/>
      </c>
      <c r="S106" s="6">
        <f>Summary!S106*0.05</f>
        <v/>
      </c>
      <c r="T106" s="6">
        <f>Summary!T106*0.05</f>
        <v/>
      </c>
      <c r="U106" s="6">
        <f>Summary!U106*0.05</f>
        <v/>
      </c>
      <c r="V106" s="6">
        <f>Summary!V106*0.05</f>
        <v/>
      </c>
      <c r="W106" s="6">
        <f>Summary!W106*0.05</f>
        <v/>
      </c>
      <c r="X106" s="6">
        <f>Summary!X106*0.05</f>
        <v/>
      </c>
      <c r="Y106" s="6">
        <f>Summary!Y106*0.05</f>
        <v/>
      </c>
      <c r="Z106" s="6">
        <f>Summary!Z106*0.05</f>
        <v/>
      </c>
      <c r="AA106" s="6">
        <f>Summary!AA106*0.05</f>
        <v/>
      </c>
      <c r="AB106" s="6">
        <f>SUM(D106:AA106)</f>
        <v/>
      </c>
      <c r="AC106" s="3" t="inlineStr"/>
      <c r="AD106" s="7">
        <f>E106*0.000930465+D106*0.000930465</f>
        <v/>
      </c>
      <c r="AE106" s="7">
        <f>F106*0.000930465+E106*0.000930465</f>
        <v/>
      </c>
      <c r="AF106" s="7">
        <f>G106*0.000930465+F106*0.000930465</f>
        <v/>
      </c>
      <c r="AG106" s="7">
        <f>H106*0.000930465+G106*0.000930465</f>
        <v/>
      </c>
      <c r="AH106" s="7">
        <f>I106*0.000930465+H106*0.000930465</f>
        <v/>
      </c>
      <c r="AI106" s="7">
        <f>J106*0.000930465+I106*0.000930465</f>
        <v/>
      </c>
      <c r="AJ106" s="7">
        <f>K106*0.000930465+J106*0.000930465</f>
        <v/>
      </c>
      <c r="AK106" s="7">
        <f>L106*0.000930465+K106*0.000930465</f>
        <v/>
      </c>
      <c r="AL106" s="7">
        <f>M106*0.000930465+L106*0.000930465</f>
        <v/>
      </c>
      <c r="AM106" s="7">
        <f>N106*0.000930465+M106*0.000930465</f>
        <v/>
      </c>
      <c r="AN106" s="7">
        <f>O106*0.000930465+N106*0.000930465</f>
        <v/>
      </c>
      <c r="AO106" s="7">
        <f>P106*0.000930465+O106*0.000930465</f>
        <v/>
      </c>
      <c r="AP106" s="7">
        <f>Q106*0.000930465+P106*0.000930465</f>
        <v/>
      </c>
      <c r="AQ106" s="7">
        <f>R106*0.000930465+Q106*0.000930465</f>
        <v/>
      </c>
      <c r="AR106" s="7">
        <f>S106*0.000930465+R106*0.000930465</f>
        <v/>
      </c>
      <c r="AS106" s="7">
        <f>T106*0.000930465+S106*0.000930465</f>
        <v/>
      </c>
      <c r="AT106" s="7">
        <f>U106*0.000930465+T106*0.000930465</f>
        <v/>
      </c>
      <c r="AU106" s="7">
        <f>V106*0.000930465+U106*0.000930465</f>
        <v/>
      </c>
      <c r="AV106" s="7">
        <f>W106*0.000930465+V106*0.000930465</f>
        <v/>
      </c>
      <c r="AW106" s="7">
        <f>X106*0.000930465+W106*0.000930465</f>
        <v/>
      </c>
      <c r="AX106" s="7">
        <f>Y106*0.000930465+X106*0.000930465</f>
        <v/>
      </c>
      <c r="AY106" s="7">
        <f>Z106*0.000930465+Y106*0.000930465</f>
        <v/>
      </c>
      <c r="AZ106" s="7">
        <f>AA106*0.000930465+Z106*0.000930465</f>
        <v/>
      </c>
      <c r="BA106" s="7">
        <f>D106*0.000930465+AA106*0.000930465</f>
        <v/>
      </c>
      <c r="BB106" s="7">
        <f>SUM(AD106:BA106)</f>
        <v/>
      </c>
    </row>
    <row r="107">
      <c r="A107" t="inlineStr">
        <is>
          <t>AMD-RTS-RCLS-1302-SSC_1</t>
        </is>
      </c>
      <c r="B107" t="inlineStr">
        <is>
          <t>Rev OSC</t>
        </is>
      </c>
      <c r="C107" s="5" t="n">
        <v>46105</v>
      </c>
      <c r="D107" s="6">
        <f>Summary!D107*0.05</f>
        <v/>
      </c>
      <c r="E107" s="6">
        <f>Summary!E107*0.05</f>
        <v/>
      </c>
      <c r="F107" s="6">
        <f>Summary!F107*0.05</f>
        <v/>
      </c>
      <c r="G107" s="6">
        <f>Summary!G107*0.05</f>
        <v/>
      </c>
      <c r="H107" s="6">
        <f>Summary!H107*0.05</f>
        <v/>
      </c>
      <c r="I107" s="6">
        <f>Summary!I107*0.05</f>
        <v/>
      </c>
      <c r="J107" s="6">
        <f>Summary!J107*0.05</f>
        <v/>
      </c>
      <c r="K107" s="6">
        <f>Summary!K107*0.05</f>
        <v/>
      </c>
      <c r="L107" s="6">
        <f>Summary!L107*0.05</f>
        <v/>
      </c>
      <c r="M107" s="6">
        <f>Summary!M107*0.05</f>
        <v/>
      </c>
      <c r="N107" s="6">
        <f>Summary!N107*0.05</f>
        <v/>
      </c>
      <c r="O107" s="6">
        <f>Summary!O107*0.05</f>
        <v/>
      </c>
      <c r="P107" s="6">
        <f>Summary!P107*0.05</f>
        <v/>
      </c>
      <c r="Q107" s="6">
        <f>Summary!Q107*0.05</f>
        <v/>
      </c>
      <c r="R107" s="6">
        <f>Summary!R107*0.05</f>
        <v/>
      </c>
      <c r="S107" s="6">
        <f>Summary!S107*0.05</f>
        <v/>
      </c>
      <c r="T107" s="6">
        <f>Summary!T107*0.05</f>
        <v/>
      </c>
      <c r="U107" s="6">
        <f>Summary!U107*0.05</f>
        <v/>
      </c>
      <c r="V107" s="6">
        <f>Summary!V107*0.05</f>
        <v/>
      </c>
      <c r="W107" s="6">
        <f>Summary!W107*0.05</f>
        <v/>
      </c>
      <c r="X107" s="6">
        <f>Summary!X107*0.05</f>
        <v/>
      </c>
      <c r="Y107" s="6">
        <f>Summary!Y107*0.05</f>
        <v/>
      </c>
      <c r="Z107" s="6">
        <f>Summary!Z107*0.05</f>
        <v/>
      </c>
      <c r="AA107" s="6">
        <f>Summary!AA107*0.05</f>
        <v/>
      </c>
      <c r="AB107" s="6">
        <f>SUM(D107:AA107)</f>
        <v/>
      </c>
      <c r="AC107" s="3" t="inlineStr"/>
      <c r="AD107" s="7">
        <f>E107*0.000930465+D107*0.000930465</f>
        <v/>
      </c>
      <c r="AE107" s="7">
        <f>F107*0.000930465+E107*0.000930465</f>
        <v/>
      </c>
      <c r="AF107" s="7">
        <f>G107*0.000930465+F107*0.000930465</f>
        <v/>
      </c>
      <c r="AG107" s="7">
        <f>H107*0.000930465+G107*0.000930465</f>
        <v/>
      </c>
      <c r="AH107" s="7">
        <f>I107*0.000930465+H107*0.000930465</f>
        <v/>
      </c>
      <c r="AI107" s="7">
        <f>J107*0.000930465+I107*0.000930465</f>
        <v/>
      </c>
      <c r="AJ107" s="7">
        <f>K107*0.000930465+J107*0.000930465</f>
        <v/>
      </c>
      <c r="AK107" s="7">
        <f>L107*0.000930465+K107*0.000930465</f>
        <v/>
      </c>
      <c r="AL107" s="7">
        <f>M107*0.000930465+L107*0.000930465</f>
        <v/>
      </c>
      <c r="AM107" s="7">
        <f>N107*0.000930465+M107*0.000930465</f>
        <v/>
      </c>
      <c r="AN107" s="7">
        <f>O107*0.000930465+N107*0.000930465</f>
        <v/>
      </c>
      <c r="AO107" s="7">
        <f>P107*0.000930465+O107*0.000930465</f>
        <v/>
      </c>
      <c r="AP107" s="7">
        <f>Q107*0.000930465+P107*0.000930465</f>
        <v/>
      </c>
      <c r="AQ107" s="7">
        <f>R107*0.000930465+Q107*0.000930465</f>
        <v/>
      </c>
      <c r="AR107" s="7">
        <f>S107*0.000930465+R107*0.000930465</f>
        <v/>
      </c>
      <c r="AS107" s="7">
        <f>T107*0.000930465+S107*0.000930465</f>
        <v/>
      </c>
      <c r="AT107" s="7">
        <f>U107*0.000930465+T107*0.000930465</f>
        <v/>
      </c>
      <c r="AU107" s="7">
        <f>V107*0.000930465+U107*0.000930465</f>
        <v/>
      </c>
      <c r="AV107" s="7">
        <f>W107*0.000930465+V107*0.000930465</f>
        <v/>
      </c>
      <c r="AW107" s="7">
        <f>X107*0.000930465+W107*0.000930465</f>
        <v/>
      </c>
      <c r="AX107" s="7">
        <f>Y107*0.000930465+X107*0.000930465</f>
        <v/>
      </c>
      <c r="AY107" s="7">
        <f>Z107*0.000930465+Y107*0.000930465</f>
        <v/>
      </c>
      <c r="AZ107" s="7">
        <f>AA107*0.000930465+Z107*0.000930465</f>
        <v/>
      </c>
      <c r="BA107" s="7">
        <f>D107*0.000930465+AA107*0.000930465</f>
        <v/>
      </c>
      <c r="BB107" s="7">
        <f>SUM(AD107:BA107)</f>
        <v/>
      </c>
    </row>
    <row r="108">
      <c r="A108" t="inlineStr">
        <is>
          <t>AMD-RTS-RCLS-1302-SSC_2</t>
        </is>
      </c>
      <c r="B108" t="inlineStr">
        <is>
          <t>Rev OSC</t>
        </is>
      </c>
      <c r="C108" s="5" t="n">
        <v>46100</v>
      </c>
      <c r="D108" s="6">
        <f>Summary!D108*0.05</f>
        <v/>
      </c>
      <c r="E108" s="6">
        <f>Summary!E108*0.05</f>
        <v/>
      </c>
      <c r="F108" s="6">
        <f>Summary!F108*0.05</f>
        <v/>
      </c>
      <c r="G108" s="6">
        <f>Summary!G108*0.05</f>
        <v/>
      </c>
      <c r="H108" s="6">
        <f>Summary!H108*0.05</f>
        <v/>
      </c>
      <c r="I108" s="6">
        <f>Summary!I108*0.05</f>
        <v/>
      </c>
      <c r="J108" s="6">
        <f>Summary!J108*0.05</f>
        <v/>
      </c>
      <c r="K108" s="6">
        <f>Summary!K108*0.05</f>
        <v/>
      </c>
      <c r="L108" s="6">
        <f>Summary!L108*0.05</f>
        <v/>
      </c>
      <c r="M108" s="6">
        <f>Summary!M108*0.05</f>
        <v/>
      </c>
      <c r="N108" s="6">
        <f>Summary!N108*0.05</f>
        <v/>
      </c>
      <c r="O108" s="6">
        <f>Summary!O108*0.05</f>
        <v/>
      </c>
      <c r="P108" s="6">
        <f>Summary!P108*0.05</f>
        <v/>
      </c>
      <c r="Q108" s="6">
        <f>Summary!Q108*0.05</f>
        <v/>
      </c>
      <c r="R108" s="6">
        <f>Summary!R108*0.05</f>
        <v/>
      </c>
      <c r="S108" s="6">
        <f>Summary!S108*0.05</f>
        <v/>
      </c>
      <c r="T108" s="6">
        <f>Summary!T108*0.05</f>
        <v/>
      </c>
      <c r="U108" s="6">
        <f>Summary!U108*0.05</f>
        <v/>
      </c>
      <c r="V108" s="6">
        <f>Summary!V108*0.05</f>
        <v/>
      </c>
      <c r="W108" s="6">
        <f>Summary!W108*0.05</f>
        <v/>
      </c>
      <c r="X108" s="6">
        <f>Summary!X108*0.05</f>
        <v/>
      </c>
      <c r="Y108" s="6">
        <f>Summary!Y108*0.05</f>
        <v/>
      </c>
      <c r="Z108" s="6">
        <f>Summary!Z108*0.05</f>
        <v/>
      </c>
      <c r="AA108" s="6">
        <f>Summary!AA108*0.05</f>
        <v/>
      </c>
      <c r="AB108" s="6">
        <f>SUM(D108:AA108)</f>
        <v/>
      </c>
      <c r="AC108" s="3" t="inlineStr"/>
      <c r="AD108" s="7">
        <f>E108*0.000930465+D108*0.000930465</f>
        <v/>
      </c>
      <c r="AE108" s="7">
        <f>F108*0.000930465+E108*0.000930465</f>
        <v/>
      </c>
      <c r="AF108" s="7">
        <f>G108*0.000930465+F108*0.000930465</f>
        <v/>
      </c>
      <c r="AG108" s="7">
        <f>H108*0.000930465+G108*0.000930465</f>
        <v/>
      </c>
      <c r="AH108" s="7">
        <f>I108*0.000930465+H108*0.000930465</f>
        <v/>
      </c>
      <c r="AI108" s="7">
        <f>J108*0.000930465+I108*0.000930465</f>
        <v/>
      </c>
      <c r="AJ108" s="7">
        <f>K108*0.000930465+J108*0.000930465</f>
        <v/>
      </c>
      <c r="AK108" s="7">
        <f>L108*0.000930465+K108*0.000930465</f>
        <v/>
      </c>
      <c r="AL108" s="7">
        <f>M108*0.000930465+L108*0.000930465</f>
        <v/>
      </c>
      <c r="AM108" s="7">
        <f>N108*0.000930465+M108*0.000930465</f>
        <v/>
      </c>
      <c r="AN108" s="7">
        <f>O108*0.000930465+N108*0.000930465</f>
        <v/>
      </c>
      <c r="AO108" s="7">
        <f>P108*0.000930465+O108*0.000930465</f>
        <v/>
      </c>
      <c r="AP108" s="7">
        <f>Q108*0.000930465+P108*0.000930465</f>
        <v/>
      </c>
      <c r="AQ108" s="7">
        <f>R108*0.000930465+Q108*0.000930465</f>
        <v/>
      </c>
      <c r="AR108" s="7">
        <f>S108*0.000930465+R108*0.000930465</f>
        <v/>
      </c>
      <c r="AS108" s="7">
        <f>T108*0.000930465+S108*0.000930465</f>
        <v/>
      </c>
      <c r="AT108" s="7">
        <f>U108*0.000930465+T108*0.000930465</f>
        <v/>
      </c>
      <c r="AU108" s="7">
        <f>V108*0.000930465+U108*0.000930465</f>
        <v/>
      </c>
      <c r="AV108" s="7">
        <f>W108*0.000930465+V108*0.000930465</f>
        <v/>
      </c>
      <c r="AW108" s="7">
        <f>X108*0.000930465+W108*0.000930465</f>
        <v/>
      </c>
      <c r="AX108" s="7">
        <f>Y108*0.000930465+X108*0.000930465</f>
        <v/>
      </c>
      <c r="AY108" s="7">
        <f>Z108*0.000930465+Y108*0.000930465</f>
        <v/>
      </c>
      <c r="AZ108" s="7">
        <f>AA108*0.000930465+Z108*0.000930465</f>
        <v/>
      </c>
      <c r="BA108" s="7">
        <f>D108*0.000930465+AA108*0.000930465</f>
        <v/>
      </c>
      <c r="BB108" s="7">
        <f>SUM(AD108:BA108)</f>
        <v/>
      </c>
    </row>
    <row r="109">
      <c r="A109" t="inlineStr">
        <is>
          <t>AMD-RTS-RCLS-1302-SSC_2</t>
        </is>
      </c>
      <c r="B109" t="inlineStr">
        <is>
          <t>Rev OSC</t>
        </is>
      </c>
      <c r="C109" s="5" t="n">
        <v>46102</v>
      </c>
      <c r="D109" s="6">
        <f>Summary!D109*0.05</f>
        <v/>
      </c>
      <c r="E109" s="6">
        <f>Summary!E109*0.05</f>
        <v/>
      </c>
      <c r="F109" s="6">
        <f>Summary!F109*0.05</f>
        <v/>
      </c>
      <c r="G109" s="6">
        <f>Summary!G109*0.05</f>
        <v/>
      </c>
      <c r="H109" s="6">
        <f>Summary!H109*0.05</f>
        <v/>
      </c>
      <c r="I109" s="6">
        <f>Summary!I109*0.05</f>
        <v/>
      </c>
      <c r="J109" s="6">
        <f>Summary!J109*0.05</f>
        <v/>
      </c>
      <c r="K109" s="6">
        <f>Summary!K109*0.05</f>
        <v/>
      </c>
      <c r="L109" s="6">
        <f>Summary!L109*0.05</f>
        <v/>
      </c>
      <c r="M109" s="6">
        <f>Summary!M109*0.05</f>
        <v/>
      </c>
      <c r="N109" s="6">
        <f>Summary!N109*0.05</f>
        <v/>
      </c>
      <c r="O109" s="6">
        <f>Summary!O109*0.05</f>
        <v/>
      </c>
      <c r="P109" s="6">
        <f>Summary!P109*0.05</f>
        <v/>
      </c>
      <c r="Q109" s="6">
        <f>Summary!Q109*0.05</f>
        <v/>
      </c>
      <c r="R109" s="6">
        <f>Summary!R109*0.05</f>
        <v/>
      </c>
      <c r="S109" s="6">
        <f>Summary!S109*0.05</f>
        <v/>
      </c>
      <c r="T109" s="6">
        <f>Summary!T109*0.05</f>
        <v/>
      </c>
      <c r="U109" s="6">
        <f>Summary!U109*0.05</f>
        <v/>
      </c>
      <c r="V109" s="6">
        <f>Summary!V109*0.05</f>
        <v/>
      </c>
      <c r="W109" s="6">
        <f>Summary!W109*0.05</f>
        <v/>
      </c>
      <c r="X109" s="6">
        <f>Summary!X109*0.05</f>
        <v/>
      </c>
      <c r="Y109" s="6">
        <f>Summary!Y109*0.05</f>
        <v/>
      </c>
      <c r="Z109" s="6">
        <f>Summary!Z109*0.05</f>
        <v/>
      </c>
      <c r="AA109" s="6">
        <f>Summary!AA109*0.05</f>
        <v/>
      </c>
      <c r="AB109" s="6">
        <f>SUM(D109:AA109)</f>
        <v/>
      </c>
      <c r="AC109" s="3" t="inlineStr"/>
      <c r="AD109" s="7">
        <f>E109*0.000930465+D109*0.000930465</f>
        <v/>
      </c>
      <c r="AE109" s="7">
        <f>F109*0.000930465+E109*0.000930465</f>
        <v/>
      </c>
      <c r="AF109" s="7">
        <f>G109*0.000930465+F109*0.000930465</f>
        <v/>
      </c>
      <c r="AG109" s="7">
        <f>H109*0.000930465+G109*0.000930465</f>
        <v/>
      </c>
      <c r="AH109" s="7">
        <f>I109*0.000930465+H109*0.000930465</f>
        <v/>
      </c>
      <c r="AI109" s="7">
        <f>J109*0.000930465+I109*0.000930465</f>
        <v/>
      </c>
      <c r="AJ109" s="7">
        <f>K109*0.000930465+J109*0.000930465</f>
        <v/>
      </c>
      <c r="AK109" s="7">
        <f>L109*0.000930465+K109*0.000930465</f>
        <v/>
      </c>
      <c r="AL109" s="7">
        <f>M109*0.000930465+L109*0.000930465</f>
        <v/>
      </c>
      <c r="AM109" s="7">
        <f>N109*0.000930465+M109*0.000930465</f>
        <v/>
      </c>
      <c r="AN109" s="7">
        <f>O109*0.000930465+N109*0.000930465</f>
        <v/>
      </c>
      <c r="AO109" s="7">
        <f>P109*0.000930465+O109*0.000930465</f>
        <v/>
      </c>
      <c r="AP109" s="7">
        <f>Q109*0.000930465+P109*0.000930465</f>
        <v/>
      </c>
      <c r="AQ109" s="7">
        <f>R109*0.000930465+Q109*0.000930465</f>
        <v/>
      </c>
      <c r="AR109" s="7">
        <f>S109*0.000930465+R109*0.000930465</f>
        <v/>
      </c>
      <c r="AS109" s="7">
        <f>T109*0.000930465+S109*0.000930465</f>
        <v/>
      </c>
      <c r="AT109" s="7">
        <f>U109*0.000930465+T109*0.000930465</f>
        <v/>
      </c>
      <c r="AU109" s="7">
        <f>V109*0.000930465+U109*0.000930465</f>
        <v/>
      </c>
      <c r="AV109" s="7">
        <f>W109*0.000930465+V109*0.000930465</f>
        <v/>
      </c>
      <c r="AW109" s="7">
        <f>X109*0.000930465+W109*0.000930465</f>
        <v/>
      </c>
      <c r="AX109" s="7">
        <f>Y109*0.000930465+X109*0.000930465</f>
        <v/>
      </c>
      <c r="AY109" s="7">
        <f>Z109*0.000930465+Y109*0.000930465</f>
        <v/>
      </c>
      <c r="AZ109" s="7">
        <f>AA109*0.000930465+Z109*0.000930465</f>
        <v/>
      </c>
      <c r="BA109" s="7">
        <f>D109*0.000930465+AA109*0.000930465</f>
        <v/>
      </c>
      <c r="BB109" s="7">
        <f>SUM(AD109:BA109)</f>
        <v/>
      </c>
    </row>
    <row r="110">
      <c r="A110" t="inlineStr">
        <is>
          <t>AMD-RTS-RCLS-1302-SSC_2</t>
        </is>
      </c>
      <c r="B110" t="inlineStr">
        <is>
          <t>Rev OSC</t>
        </is>
      </c>
      <c r="C110" s="5" t="n">
        <v>46104</v>
      </c>
      <c r="D110" s="6">
        <f>Summary!D110*0.05</f>
        <v/>
      </c>
      <c r="E110" s="6">
        <f>Summary!E110*0.05</f>
        <v/>
      </c>
      <c r="F110" s="6">
        <f>Summary!F110*0.05</f>
        <v/>
      </c>
      <c r="G110" s="6">
        <f>Summary!G110*0.05</f>
        <v/>
      </c>
      <c r="H110" s="6">
        <f>Summary!H110*0.05</f>
        <v/>
      </c>
      <c r="I110" s="6">
        <f>Summary!I110*0.05</f>
        <v/>
      </c>
      <c r="J110" s="6">
        <f>Summary!J110*0.05</f>
        <v/>
      </c>
      <c r="K110" s="6">
        <f>Summary!K110*0.05</f>
        <v/>
      </c>
      <c r="L110" s="6">
        <f>Summary!L110*0.05</f>
        <v/>
      </c>
      <c r="M110" s="6">
        <f>Summary!M110*0.05</f>
        <v/>
      </c>
      <c r="N110" s="6">
        <f>Summary!N110*0.05</f>
        <v/>
      </c>
      <c r="O110" s="6">
        <f>Summary!O110*0.05</f>
        <v/>
      </c>
      <c r="P110" s="6">
        <f>Summary!P110*0.05</f>
        <v/>
      </c>
      <c r="Q110" s="6">
        <f>Summary!Q110*0.05</f>
        <v/>
      </c>
      <c r="R110" s="6">
        <f>Summary!R110*0.05</f>
        <v/>
      </c>
      <c r="S110" s="6">
        <f>Summary!S110*0.05</f>
        <v/>
      </c>
      <c r="T110" s="6">
        <f>Summary!T110*0.05</f>
        <v/>
      </c>
      <c r="U110" s="6">
        <f>Summary!U110*0.05</f>
        <v/>
      </c>
      <c r="V110" s="6">
        <f>Summary!V110*0.05</f>
        <v/>
      </c>
      <c r="W110" s="6">
        <f>Summary!W110*0.05</f>
        <v/>
      </c>
      <c r="X110" s="6">
        <f>Summary!X110*0.05</f>
        <v/>
      </c>
      <c r="Y110" s="6">
        <f>Summary!Y110*0.05</f>
        <v/>
      </c>
      <c r="Z110" s="6">
        <f>Summary!Z110*0.05</f>
        <v/>
      </c>
      <c r="AA110" s="6">
        <f>Summary!AA110*0.05</f>
        <v/>
      </c>
      <c r="AB110" s="6">
        <f>SUM(D110:AA110)</f>
        <v/>
      </c>
      <c r="AC110" s="3" t="inlineStr"/>
      <c r="AD110" s="7">
        <f>E110*0.000930465+D110*0.000930465</f>
        <v/>
      </c>
      <c r="AE110" s="7">
        <f>F110*0.000930465+E110*0.000930465</f>
        <v/>
      </c>
      <c r="AF110" s="7">
        <f>G110*0.000930465+F110*0.000930465</f>
        <v/>
      </c>
      <c r="AG110" s="7">
        <f>H110*0.000930465+G110*0.000930465</f>
        <v/>
      </c>
      <c r="AH110" s="7">
        <f>I110*0.000930465+H110*0.000930465</f>
        <v/>
      </c>
      <c r="AI110" s="7">
        <f>J110*0.000930465+I110*0.000930465</f>
        <v/>
      </c>
      <c r="AJ110" s="7">
        <f>K110*0.000930465+J110*0.000930465</f>
        <v/>
      </c>
      <c r="AK110" s="7">
        <f>L110*0.000930465+K110*0.000930465</f>
        <v/>
      </c>
      <c r="AL110" s="7">
        <f>M110*0.000930465+L110*0.000930465</f>
        <v/>
      </c>
      <c r="AM110" s="7">
        <f>N110*0.000930465+M110*0.000930465</f>
        <v/>
      </c>
      <c r="AN110" s="7">
        <f>O110*0.000930465+N110*0.000930465</f>
        <v/>
      </c>
      <c r="AO110" s="7">
        <f>P110*0.000930465+O110*0.000930465</f>
        <v/>
      </c>
      <c r="AP110" s="7">
        <f>Q110*0.000930465+P110*0.000930465</f>
        <v/>
      </c>
      <c r="AQ110" s="7">
        <f>R110*0.000930465+Q110*0.000930465</f>
        <v/>
      </c>
      <c r="AR110" s="7">
        <f>S110*0.000930465+R110*0.000930465</f>
        <v/>
      </c>
      <c r="AS110" s="7">
        <f>T110*0.000930465+S110*0.000930465</f>
        <v/>
      </c>
      <c r="AT110" s="7">
        <f>U110*0.000930465+T110*0.000930465</f>
        <v/>
      </c>
      <c r="AU110" s="7">
        <f>V110*0.000930465+U110*0.000930465</f>
        <v/>
      </c>
      <c r="AV110" s="7">
        <f>W110*0.000930465+V110*0.000930465</f>
        <v/>
      </c>
      <c r="AW110" s="7">
        <f>X110*0.000930465+W110*0.000930465</f>
        <v/>
      </c>
      <c r="AX110" s="7">
        <f>Y110*0.000930465+X110*0.000930465</f>
        <v/>
      </c>
      <c r="AY110" s="7">
        <f>Z110*0.000930465+Y110*0.000930465</f>
        <v/>
      </c>
      <c r="AZ110" s="7">
        <f>AA110*0.000930465+Z110*0.000930465</f>
        <v/>
      </c>
      <c r="BA110" s="7">
        <f>D110*0.000930465+AA110*0.000930465</f>
        <v/>
      </c>
      <c r="BB110" s="7">
        <f>SUM(AD110:BA110)</f>
        <v/>
      </c>
    </row>
    <row r="111">
      <c r="A111" t="inlineStr">
        <is>
          <t>DC-10-1</t>
        </is>
      </c>
      <c r="B111" t="inlineStr">
        <is>
          <t>DSC Manual</t>
        </is>
      </c>
      <c r="C111" s="5" t="n">
        <v>46089</v>
      </c>
      <c r="D111" s="6" t="n">
        <v>0</v>
      </c>
      <c r="E111" s="6" t="n">
        <v>0</v>
      </c>
      <c r="F111" s="6" t="n">
        <v>0</v>
      </c>
      <c r="G111" s="6" t="n">
        <v>0</v>
      </c>
      <c r="H111" s="6" t="n">
        <v>0</v>
      </c>
      <c r="I111" s="6" t="n">
        <v>0</v>
      </c>
      <c r="J111" s="6" t="n">
        <v>0</v>
      </c>
      <c r="K111" s="6" t="n">
        <v>0</v>
      </c>
      <c r="L111" s="6" t="n">
        <v>0</v>
      </c>
      <c r="M111" s="6" t="n">
        <v>0</v>
      </c>
      <c r="N111" s="6" t="n">
        <v>0</v>
      </c>
      <c r="O111" s="6" t="n">
        <v>0</v>
      </c>
      <c r="P111" s="6" t="n">
        <v>0</v>
      </c>
      <c r="Q111" s="6" t="n">
        <v>0</v>
      </c>
      <c r="R111" s="6" t="n">
        <v>0</v>
      </c>
      <c r="S111" s="6" t="n">
        <v>0</v>
      </c>
      <c r="T111" s="6" t="n">
        <v>0</v>
      </c>
      <c r="U111" s="6" t="n">
        <v>0</v>
      </c>
      <c r="V111" s="6" t="n">
        <v>0</v>
      </c>
      <c r="W111" s="6" t="n">
        <v>0</v>
      </c>
      <c r="X111" s="6" t="n">
        <v>0</v>
      </c>
      <c r="Y111" s="6" t="n">
        <v>0</v>
      </c>
      <c r="Z111" s="6" t="n">
        <v>0</v>
      </c>
      <c r="AA111" s="6" t="n">
        <v>0</v>
      </c>
      <c r="AB111" s="6">
        <f>SUM(D111:AA111)</f>
        <v/>
      </c>
      <c r="AC111" s="3" t="inlineStr"/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7" t="n">
        <v>0</v>
      </c>
      <c r="BB111" s="7">
        <f>SUM(AD111:BA111)</f>
        <v/>
      </c>
    </row>
    <row r="112">
      <c r="A112" t="inlineStr">
        <is>
          <t>DC-10-1</t>
        </is>
      </c>
      <c r="B112" t="inlineStr">
        <is>
          <t>DSC Manual</t>
        </is>
      </c>
      <c r="C112" s="5" t="n">
        <v>46090</v>
      </c>
      <c r="D112" s="6" t="n">
        <v>0</v>
      </c>
      <c r="E112" s="6" t="n">
        <v>0</v>
      </c>
      <c r="F112" s="6" t="n">
        <v>0</v>
      </c>
      <c r="G112" s="6" t="n">
        <v>0</v>
      </c>
      <c r="H112" s="6" t="n">
        <v>0</v>
      </c>
      <c r="I112" s="6" t="n">
        <v>0</v>
      </c>
      <c r="J112" s="6" t="n">
        <v>0</v>
      </c>
      <c r="K112" s="6" t="n">
        <v>0</v>
      </c>
      <c r="L112" s="6" t="n">
        <v>0</v>
      </c>
      <c r="M112" s="6" t="n">
        <v>0</v>
      </c>
      <c r="N112" s="6" t="n">
        <v>0</v>
      </c>
      <c r="O112" s="6" t="n">
        <v>0</v>
      </c>
      <c r="P112" s="6" t="n">
        <v>0</v>
      </c>
      <c r="Q112" s="6" t="n">
        <v>0</v>
      </c>
      <c r="R112" s="6" t="n">
        <v>0</v>
      </c>
      <c r="S112" s="6" t="n">
        <v>0</v>
      </c>
      <c r="T112" s="6" t="n">
        <v>0</v>
      </c>
      <c r="U112" s="6" t="n">
        <v>0</v>
      </c>
      <c r="V112" s="6" t="n">
        <v>0</v>
      </c>
      <c r="W112" s="6" t="n">
        <v>0</v>
      </c>
      <c r="X112" s="6" t="n">
        <v>0</v>
      </c>
      <c r="Y112" s="6" t="n">
        <v>0</v>
      </c>
      <c r="Z112" s="6" t="n">
        <v>0</v>
      </c>
      <c r="AA112" s="6" t="n">
        <v>0</v>
      </c>
      <c r="AB112" s="6">
        <f>SUM(D112:AA112)</f>
        <v/>
      </c>
      <c r="AC112" s="3" t="inlineStr"/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>
        <f>SUM(AD112:BA112)</f>
        <v/>
      </c>
    </row>
    <row r="113">
      <c r="A113" t="inlineStr">
        <is>
          <t>DC-10-1</t>
        </is>
      </c>
      <c r="B113" t="inlineStr">
        <is>
          <t>DSC Manual</t>
        </is>
      </c>
      <c r="C113" s="5" t="n">
        <v>46091</v>
      </c>
      <c r="D113" s="6" t="n">
        <v>0</v>
      </c>
      <c r="E113" s="6" t="n">
        <v>0</v>
      </c>
      <c r="F113" s="6" t="n">
        <v>0</v>
      </c>
      <c r="G113" s="6" t="n">
        <v>0</v>
      </c>
      <c r="H113" s="6" t="n">
        <v>0</v>
      </c>
      <c r="I113" s="6" t="n">
        <v>0</v>
      </c>
      <c r="J113" s="6" t="n">
        <v>0</v>
      </c>
      <c r="K113" s="6" t="n">
        <v>0</v>
      </c>
      <c r="L113" s="6" t="n">
        <v>0</v>
      </c>
      <c r="M113" s="6" t="n">
        <v>0</v>
      </c>
      <c r="N113" s="6" t="n">
        <v>0</v>
      </c>
      <c r="O113" s="6" t="n">
        <v>0</v>
      </c>
      <c r="P113" s="6" t="n">
        <v>0</v>
      </c>
      <c r="Q113" s="6" t="n">
        <v>0</v>
      </c>
      <c r="R113" s="6" t="n">
        <v>0</v>
      </c>
      <c r="S113" s="6" t="n">
        <v>0</v>
      </c>
      <c r="T113" s="6" t="n">
        <v>0</v>
      </c>
      <c r="U113" s="6" t="n">
        <v>0</v>
      </c>
      <c r="V113" s="6" t="n">
        <v>0</v>
      </c>
      <c r="W113" s="6" t="n">
        <v>0</v>
      </c>
      <c r="X113" s="6" t="n">
        <v>0</v>
      </c>
      <c r="Y113" s="6" t="n">
        <v>0</v>
      </c>
      <c r="Z113" s="6" t="n">
        <v>0</v>
      </c>
      <c r="AA113" s="6" t="n">
        <v>0</v>
      </c>
      <c r="AB113" s="6">
        <f>SUM(D113:AA113)</f>
        <v/>
      </c>
      <c r="AC113" s="3" t="inlineStr"/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7" t="n">
        <v>0</v>
      </c>
      <c r="BB113" s="7">
        <f>SUM(AD113:BA113)</f>
        <v/>
      </c>
    </row>
    <row r="114">
      <c r="A114" t="inlineStr">
        <is>
          <t>DC-10-1</t>
        </is>
      </c>
      <c r="B114" t="inlineStr">
        <is>
          <t>DSC Manual</t>
        </is>
      </c>
      <c r="C114" s="5" t="n">
        <v>46092</v>
      </c>
      <c r="D114" s="6" t="n">
        <v>0</v>
      </c>
      <c r="E114" s="6" t="n">
        <v>0</v>
      </c>
      <c r="F114" s="6" t="n">
        <v>0</v>
      </c>
      <c r="G114" s="6" t="n">
        <v>0</v>
      </c>
      <c r="H114" s="6" t="n">
        <v>0</v>
      </c>
      <c r="I114" s="6" t="n">
        <v>0</v>
      </c>
      <c r="J114" s="6" t="n">
        <v>0</v>
      </c>
      <c r="K114" s="6" t="n">
        <v>0</v>
      </c>
      <c r="L114" s="6" t="n">
        <v>0</v>
      </c>
      <c r="M114" s="6" t="n">
        <v>0</v>
      </c>
      <c r="N114" s="6" t="n">
        <v>0</v>
      </c>
      <c r="O114" s="6" t="n">
        <v>0</v>
      </c>
      <c r="P114" s="6" t="n">
        <v>0</v>
      </c>
      <c r="Q114" s="6" t="n">
        <v>0</v>
      </c>
      <c r="R114" s="6" t="n">
        <v>0</v>
      </c>
      <c r="S114" s="6" t="n">
        <v>0</v>
      </c>
      <c r="T114" s="6" t="n">
        <v>0</v>
      </c>
      <c r="U114" s="6" t="n">
        <v>0</v>
      </c>
      <c r="V114" s="6" t="n">
        <v>0</v>
      </c>
      <c r="W114" s="6" t="n">
        <v>0</v>
      </c>
      <c r="X114" s="6" t="n">
        <v>0</v>
      </c>
      <c r="Y114" s="6" t="n">
        <v>0</v>
      </c>
      <c r="Z114" s="6" t="n">
        <v>0</v>
      </c>
      <c r="AA114" s="6" t="n">
        <v>0</v>
      </c>
      <c r="AB114" s="6">
        <f>SUM(D114:AA114)</f>
        <v/>
      </c>
      <c r="AC114" s="3" t="inlineStr"/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7" t="n">
        <v>0</v>
      </c>
      <c r="BB114" s="7">
        <f>SUM(AD114:BA114)</f>
        <v/>
      </c>
    </row>
    <row r="115">
      <c r="A115" t="inlineStr">
        <is>
          <t>DC-10-1</t>
        </is>
      </c>
      <c r="B115" t="inlineStr">
        <is>
          <t>DSC Manual</t>
        </is>
      </c>
      <c r="C115" s="5" t="n">
        <v>46093</v>
      </c>
      <c r="D115" s="6" t="n">
        <v>0</v>
      </c>
      <c r="E115" s="6" t="n">
        <v>0</v>
      </c>
      <c r="F115" s="6" t="n">
        <v>0</v>
      </c>
      <c r="G115" s="6" t="n">
        <v>0</v>
      </c>
      <c r="H115" s="6" t="n">
        <v>0</v>
      </c>
      <c r="I115" s="6" t="n">
        <v>0</v>
      </c>
      <c r="J115" s="6" t="n">
        <v>0</v>
      </c>
      <c r="K115" s="6" t="n">
        <v>0</v>
      </c>
      <c r="L115" s="6" t="n">
        <v>0</v>
      </c>
      <c r="M115" s="6" t="n">
        <v>0</v>
      </c>
      <c r="N115" s="6" t="n">
        <v>0</v>
      </c>
      <c r="O115" s="6" t="n">
        <v>0</v>
      </c>
      <c r="P115" s="6" t="n">
        <v>0</v>
      </c>
      <c r="Q115" s="6" t="n">
        <v>0</v>
      </c>
      <c r="R115" s="6" t="n">
        <v>0</v>
      </c>
      <c r="S115" s="6" t="n">
        <v>0</v>
      </c>
      <c r="T115" s="6" t="n">
        <v>0</v>
      </c>
      <c r="U115" s="6" t="n">
        <v>0</v>
      </c>
      <c r="V115" s="6" t="n">
        <v>0</v>
      </c>
      <c r="W115" s="6" t="n">
        <v>0</v>
      </c>
      <c r="X115" s="6" t="n">
        <v>0</v>
      </c>
      <c r="Y115" s="6" t="n">
        <v>0</v>
      </c>
      <c r="Z115" s="6" t="n">
        <v>0</v>
      </c>
      <c r="AA115" s="6" t="n">
        <v>0</v>
      </c>
      <c r="AB115" s="6">
        <f>SUM(D115:AA115)</f>
        <v/>
      </c>
      <c r="AC115" s="3" t="inlineStr"/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>
        <f>SUM(AD115:BA115)</f>
        <v/>
      </c>
    </row>
    <row r="116">
      <c r="A116" t="inlineStr">
        <is>
          <t>DC-10-1</t>
        </is>
      </c>
      <c r="B116" t="inlineStr">
        <is>
          <t>DSC Manual</t>
        </is>
      </c>
      <c r="C116" s="5" t="n">
        <v>46094</v>
      </c>
      <c r="D116" s="6" t="n">
        <v>0</v>
      </c>
      <c r="E116" s="6" t="n">
        <v>0</v>
      </c>
      <c r="F116" s="6" t="n">
        <v>0</v>
      </c>
      <c r="G116" s="6" t="n">
        <v>0</v>
      </c>
      <c r="H116" s="6" t="n">
        <v>0</v>
      </c>
      <c r="I116" s="6" t="n">
        <v>0</v>
      </c>
      <c r="J116" s="6" t="n">
        <v>0</v>
      </c>
      <c r="K116" s="6" t="n">
        <v>0</v>
      </c>
      <c r="L116" s="6" t="n">
        <v>0</v>
      </c>
      <c r="M116" s="6" t="n">
        <v>0</v>
      </c>
      <c r="N116" s="6" t="n">
        <v>0</v>
      </c>
      <c r="O116" s="6" t="n">
        <v>0</v>
      </c>
      <c r="P116" s="6" t="n">
        <v>0</v>
      </c>
      <c r="Q116" s="6" t="n">
        <v>0</v>
      </c>
      <c r="R116" s="6" t="n">
        <v>0</v>
      </c>
      <c r="S116" s="6" t="n">
        <v>0</v>
      </c>
      <c r="T116" s="6" t="n">
        <v>0</v>
      </c>
      <c r="U116" s="6" t="n">
        <v>0</v>
      </c>
      <c r="V116" s="6" t="n">
        <v>0</v>
      </c>
      <c r="W116" s="6" t="n">
        <v>0</v>
      </c>
      <c r="X116" s="6" t="n">
        <v>0</v>
      </c>
      <c r="Y116" s="6" t="n">
        <v>0</v>
      </c>
      <c r="Z116" s="6" t="n">
        <v>0</v>
      </c>
      <c r="AA116" s="6" t="n">
        <v>0</v>
      </c>
      <c r="AB116" s="6">
        <f>SUM(D116:AA116)</f>
        <v/>
      </c>
      <c r="AC116" s="3" t="inlineStr"/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>
        <f>SUM(AD116:BA116)</f>
        <v/>
      </c>
    </row>
    <row r="117">
      <c r="A117" t="inlineStr">
        <is>
          <t>DC-10-1</t>
        </is>
      </c>
      <c r="B117" t="inlineStr">
        <is>
          <t>DSC Manual</t>
        </is>
      </c>
      <c r="C117" s="5" t="n">
        <v>46095</v>
      </c>
      <c r="D117" s="6" t="n">
        <v>0</v>
      </c>
      <c r="E117" s="6" t="n">
        <v>0</v>
      </c>
      <c r="F117" s="6" t="n">
        <v>0</v>
      </c>
      <c r="G117" s="6" t="n">
        <v>0</v>
      </c>
      <c r="H117" s="6" t="n">
        <v>0</v>
      </c>
      <c r="I117" s="6" t="n">
        <v>0</v>
      </c>
      <c r="J117" s="6" t="n">
        <v>0</v>
      </c>
      <c r="K117" s="6" t="n">
        <v>0</v>
      </c>
      <c r="L117" s="6" t="n">
        <v>0</v>
      </c>
      <c r="M117" s="6" t="n">
        <v>0</v>
      </c>
      <c r="N117" s="6" t="n">
        <v>0</v>
      </c>
      <c r="O117" s="6" t="n">
        <v>0</v>
      </c>
      <c r="P117" s="6" t="n">
        <v>0</v>
      </c>
      <c r="Q117" s="6" t="n">
        <v>0</v>
      </c>
      <c r="R117" s="6" t="n">
        <v>0</v>
      </c>
      <c r="S117" s="6" t="n">
        <v>0</v>
      </c>
      <c r="T117" s="6" t="n">
        <v>0</v>
      </c>
      <c r="U117" s="6" t="n">
        <v>0</v>
      </c>
      <c r="V117" s="6" t="n">
        <v>0</v>
      </c>
      <c r="W117" s="6" t="n">
        <v>0</v>
      </c>
      <c r="X117" s="6" t="n">
        <v>0</v>
      </c>
      <c r="Y117" s="6" t="n">
        <v>0</v>
      </c>
      <c r="Z117" s="6" t="n">
        <v>0</v>
      </c>
      <c r="AA117" s="6" t="n">
        <v>0</v>
      </c>
      <c r="AB117" s="6">
        <f>SUM(D117:AA117)</f>
        <v/>
      </c>
      <c r="AC117" s="3" t="inlineStr"/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7" t="n">
        <v>0</v>
      </c>
      <c r="BA117" s="7" t="n">
        <v>0</v>
      </c>
      <c r="BB117" s="7">
        <f>SUM(AD117:BA117)</f>
        <v/>
      </c>
    </row>
    <row r="118">
      <c r="A118" t="inlineStr">
        <is>
          <t>DC-10-1</t>
        </is>
      </c>
      <c r="B118" t="inlineStr">
        <is>
          <t>DSC Manual</t>
        </is>
      </c>
      <c r="C118" s="5" t="n">
        <v>46096</v>
      </c>
      <c r="D118" s="6" t="n">
        <v>0</v>
      </c>
      <c r="E118" s="6" t="n">
        <v>0</v>
      </c>
      <c r="F118" s="6" t="n">
        <v>0</v>
      </c>
      <c r="G118" s="6" t="n">
        <v>0</v>
      </c>
      <c r="H118" s="6" t="n">
        <v>0</v>
      </c>
      <c r="I118" s="6" t="n">
        <v>0</v>
      </c>
      <c r="J118" s="6" t="n">
        <v>0</v>
      </c>
      <c r="K118" s="6" t="n">
        <v>0</v>
      </c>
      <c r="L118" s="6" t="n">
        <v>0</v>
      </c>
      <c r="M118" s="6" t="n">
        <v>0</v>
      </c>
      <c r="N118" s="6" t="n">
        <v>0</v>
      </c>
      <c r="O118" s="6" t="n">
        <v>0</v>
      </c>
      <c r="P118" s="6" t="n">
        <v>0</v>
      </c>
      <c r="Q118" s="6" t="n">
        <v>0</v>
      </c>
      <c r="R118" s="6" t="n">
        <v>0</v>
      </c>
      <c r="S118" s="6" t="n">
        <v>0</v>
      </c>
      <c r="T118" s="6" t="n">
        <v>0</v>
      </c>
      <c r="U118" s="6" t="n">
        <v>0</v>
      </c>
      <c r="V118" s="6" t="n">
        <v>0</v>
      </c>
      <c r="W118" s="6" t="n">
        <v>0</v>
      </c>
      <c r="X118" s="6" t="n">
        <v>0</v>
      </c>
      <c r="Y118" s="6" t="n">
        <v>0</v>
      </c>
      <c r="Z118" s="6" t="n">
        <v>0</v>
      </c>
      <c r="AA118" s="6" t="n">
        <v>0</v>
      </c>
      <c r="AB118" s="6">
        <f>SUM(D118:AA118)</f>
        <v/>
      </c>
      <c r="AC118" s="3" t="inlineStr"/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>
        <f>SUM(AD118:BA118)</f>
        <v/>
      </c>
    </row>
    <row r="119">
      <c r="A119" t="inlineStr">
        <is>
          <t>DC-10-1</t>
        </is>
      </c>
      <c r="B119" t="inlineStr">
        <is>
          <t>DSC Manual</t>
        </is>
      </c>
      <c r="C119" s="5" t="n">
        <v>46097</v>
      </c>
      <c r="D119" s="6" t="n">
        <v>0</v>
      </c>
      <c r="E119" s="6" t="n">
        <v>0</v>
      </c>
      <c r="F119" s="6" t="n">
        <v>0</v>
      </c>
      <c r="G119" s="6" t="n">
        <v>0</v>
      </c>
      <c r="H119" s="6" t="n">
        <v>0</v>
      </c>
      <c r="I119" s="6" t="n">
        <v>0</v>
      </c>
      <c r="J119" s="6" t="n">
        <v>0</v>
      </c>
      <c r="K119" s="6" t="n">
        <v>0</v>
      </c>
      <c r="L119" s="6" t="n">
        <v>0</v>
      </c>
      <c r="M119" s="6" t="n">
        <v>0</v>
      </c>
      <c r="N119" s="6" t="n">
        <v>0</v>
      </c>
      <c r="O119" s="6" t="n">
        <v>0</v>
      </c>
      <c r="P119" s="6" t="n">
        <v>0</v>
      </c>
      <c r="Q119" s="6" t="n">
        <v>0</v>
      </c>
      <c r="R119" s="6" t="n">
        <v>0</v>
      </c>
      <c r="S119" s="6" t="n">
        <v>0</v>
      </c>
      <c r="T119" s="6" t="n">
        <v>0</v>
      </c>
      <c r="U119" s="6" t="n">
        <v>0</v>
      </c>
      <c r="V119" s="6" t="n">
        <v>0</v>
      </c>
      <c r="W119" s="6" t="n">
        <v>0</v>
      </c>
      <c r="X119" s="6" t="n">
        <v>0</v>
      </c>
      <c r="Y119" s="6" t="n">
        <v>0</v>
      </c>
      <c r="Z119" s="6" t="n">
        <v>0</v>
      </c>
      <c r="AA119" s="6" t="n">
        <v>0</v>
      </c>
      <c r="AB119" s="6">
        <f>SUM(D119:AA119)</f>
        <v/>
      </c>
      <c r="AC119" s="3" t="inlineStr"/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n">
        <v>0</v>
      </c>
      <c r="AW119" s="7" t="n">
        <v>0</v>
      </c>
      <c r="AX119" s="7" t="n">
        <v>0</v>
      </c>
      <c r="AY119" s="7" t="n">
        <v>0</v>
      </c>
      <c r="AZ119" s="7" t="n">
        <v>0</v>
      </c>
      <c r="BA119" s="7" t="n">
        <v>0</v>
      </c>
      <c r="BB119" s="7">
        <f>SUM(AD119:BA119)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B1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Layout</t>
        </is>
      </c>
      <c r="B1" s="1" t="inlineStr">
        <is>
          <t>Layout Type</t>
        </is>
      </c>
      <c r="C1" s="1" t="inlineStr">
        <is>
          <t>Date</t>
        </is>
      </c>
      <c r="D1" s="2" t="inlineStr">
        <is>
          <t>Act Vol 12 AM</t>
        </is>
      </c>
      <c r="E1" s="2" t="inlineStr">
        <is>
          <t>Act Vol 1 AM</t>
        </is>
      </c>
      <c r="F1" s="2" t="inlineStr">
        <is>
          <t>Act Vol 2 AM</t>
        </is>
      </c>
      <c r="G1" s="2" t="inlineStr">
        <is>
          <t>Act Vol 3 AM</t>
        </is>
      </c>
      <c r="H1" s="2" t="inlineStr">
        <is>
          <t>Act Vol 4 AM</t>
        </is>
      </c>
      <c r="I1" s="2" t="inlineStr">
        <is>
          <t>Act Vol 5 AM</t>
        </is>
      </c>
      <c r="J1" s="2" t="inlineStr">
        <is>
          <t>Act Vol 6 AM</t>
        </is>
      </c>
      <c r="K1" s="2" t="inlineStr">
        <is>
          <t>Act Vol 7 AM</t>
        </is>
      </c>
      <c r="L1" s="2" t="inlineStr">
        <is>
          <t>Act Vol 8 AM</t>
        </is>
      </c>
      <c r="M1" s="2" t="inlineStr">
        <is>
          <t>Act Vol 9 AM</t>
        </is>
      </c>
      <c r="N1" s="2" t="inlineStr">
        <is>
          <t>Act Vol 10 AM</t>
        </is>
      </c>
      <c r="O1" s="2" t="inlineStr">
        <is>
          <t>Act Vol 11 AM</t>
        </is>
      </c>
      <c r="P1" s="2" t="inlineStr">
        <is>
          <t>Act Vol 12 PM</t>
        </is>
      </c>
      <c r="Q1" s="2" t="inlineStr">
        <is>
          <t>Act Vol 1 PM</t>
        </is>
      </c>
      <c r="R1" s="2" t="inlineStr">
        <is>
          <t>Act Vol 2 PM</t>
        </is>
      </c>
      <c r="S1" s="2" t="inlineStr">
        <is>
          <t>Act Vol 3 PM</t>
        </is>
      </c>
      <c r="T1" s="2" t="inlineStr">
        <is>
          <t>Act Vol 4 PM</t>
        </is>
      </c>
      <c r="U1" s="2" t="inlineStr">
        <is>
          <t>Act Vol 5 PM</t>
        </is>
      </c>
      <c r="V1" s="2" t="inlineStr">
        <is>
          <t>Act Vol 6 PM</t>
        </is>
      </c>
      <c r="W1" s="2" t="inlineStr">
        <is>
          <t>Act Vol 7 PM</t>
        </is>
      </c>
      <c r="X1" s="2" t="inlineStr">
        <is>
          <t>Act Vol 8 PM</t>
        </is>
      </c>
      <c r="Y1" s="2" t="inlineStr">
        <is>
          <t>Act Vol 9 PM</t>
        </is>
      </c>
      <c r="Z1" s="2" t="inlineStr">
        <is>
          <t>Act Vol 10 PM</t>
        </is>
      </c>
      <c r="AA1" s="2" t="inlineStr">
        <is>
          <t>Act Vol 11 PM</t>
        </is>
      </c>
      <c r="AB1" s="2" t="inlineStr">
        <is>
          <t>Act Vol Total</t>
        </is>
      </c>
      <c r="AC1" s="3" t="inlineStr"/>
      <c r="AD1" s="4" t="inlineStr">
        <is>
          <t>MH 12 AM</t>
        </is>
      </c>
      <c r="AE1" s="4" t="inlineStr">
        <is>
          <t>MH 1 AM</t>
        </is>
      </c>
      <c r="AF1" s="4" t="inlineStr">
        <is>
          <t>MH 2 AM</t>
        </is>
      </c>
      <c r="AG1" s="4" t="inlineStr">
        <is>
          <t>MH 3 AM</t>
        </is>
      </c>
      <c r="AH1" s="4" t="inlineStr">
        <is>
          <t>MH 4 AM</t>
        </is>
      </c>
      <c r="AI1" s="4" t="inlineStr">
        <is>
          <t>MH 5 AM</t>
        </is>
      </c>
      <c r="AJ1" s="4" t="inlineStr">
        <is>
          <t>MH 6 AM</t>
        </is>
      </c>
      <c r="AK1" s="4" t="inlineStr">
        <is>
          <t>MH 7 AM</t>
        </is>
      </c>
      <c r="AL1" s="4" t="inlineStr">
        <is>
          <t>MH 8 AM</t>
        </is>
      </c>
      <c r="AM1" s="4" t="inlineStr">
        <is>
          <t>MH 9 AM</t>
        </is>
      </c>
      <c r="AN1" s="4" t="inlineStr">
        <is>
          <t>MH 10 AM</t>
        </is>
      </c>
      <c r="AO1" s="4" t="inlineStr">
        <is>
          <t>MH 11 AM</t>
        </is>
      </c>
      <c r="AP1" s="4" t="inlineStr">
        <is>
          <t>MH 12 PM</t>
        </is>
      </c>
      <c r="AQ1" s="4" t="inlineStr">
        <is>
          <t>MH 1 PM</t>
        </is>
      </c>
      <c r="AR1" s="4" t="inlineStr">
        <is>
          <t>MH 2 PM</t>
        </is>
      </c>
      <c r="AS1" s="4" t="inlineStr">
        <is>
          <t>MH 3 PM</t>
        </is>
      </c>
      <c r="AT1" s="4" t="inlineStr">
        <is>
          <t>MH 4 PM</t>
        </is>
      </c>
      <c r="AU1" s="4" t="inlineStr">
        <is>
          <t>MH 5 PM</t>
        </is>
      </c>
      <c r="AV1" s="4" t="inlineStr">
        <is>
          <t>MH 6 PM</t>
        </is>
      </c>
      <c r="AW1" s="4" t="inlineStr">
        <is>
          <t>MH 7 PM</t>
        </is>
      </c>
      <c r="AX1" s="4" t="inlineStr">
        <is>
          <t>MH 8 PM</t>
        </is>
      </c>
      <c r="AY1" s="4" t="inlineStr">
        <is>
          <t>MH 9 PM</t>
        </is>
      </c>
      <c r="AZ1" s="4" t="inlineStr">
        <is>
          <t>MH 10 PM</t>
        </is>
      </c>
      <c r="BA1" s="4" t="inlineStr">
        <is>
          <t>MH 11 PM</t>
        </is>
      </c>
      <c r="BB1" s="4" t="inlineStr">
        <is>
          <t>MH Total</t>
        </is>
      </c>
    </row>
    <row r="2">
      <c r="A2" t="inlineStr">
        <is>
          <t>AMD-AIR-NEW-SSC</t>
        </is>
      </c>
      <c r="B2" t="inlineStr">
        <is>
          <t>Forward Regular OSC</t>
        </is>
      </c>
      <c r="C2" s="5" t="n">
        <v>46093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v>0</v>
      </c>
      <c r="N2" s="6" t="n">
        <v>0</v>
      </c>
      <c r="O2" s="6" t="n">
        <v>0</v>
      </c>
      <c r="P2" s="6" t="n">
        <v>0</v>
      </c>
      <c r="Q2" s="6" t="n">
        <v>0</v>
      </c>
      <c r="R2" s="6" t="n">
        <v>0</v>
      </c>
      <c r="S2" s="6" t="n">
        <v>0</v>
      </c>
      <c r="T2" s="6" t="n">
        <v>0</v>
      </c>
      <c r="U2" s="6" t="n">
        <v>0</v>
      </c>
      <c r="V2" s="6" t="n">
        <v>0</v>
      </c>
      <c r="W2" s="6" t="n">
        <v>0</v>
      </c>
      <c r="X2" s="6" t="n">
        <v>0</v>
      </c>
      <c r="Y2" s="6" t="n">
        <v>0</v>
      </c>
      <c r="Z2" s="6" t="n">
        <v>0</v>
      </c>
      <c r="AA2" s="6" t="n">
        <v>0</v>
      </c>
      <c r="AB2" s="6">
        <f>SUM(D2:AA2)</f>
        <v/>
      </c>
      <c r="AC2" s="3" t="inlineStr"/>
      <c r="AD2" s="7" t="n">
        <v>0</v>
      </c>
      <c r="AE2" s="7" t="n">
        <v>0</v>
      </c>
      <c r="AF2" s="7" t="n">
        <v>0</v>
      </c>
      <c r="AG2" s="7" t="n">
        <v>0</v>
      </c>
      <c r="AH2" s="7" t="n">
        <v>0</v>
      </c>
      <c r="AI2" s="7" t="n">
        <v>0</v>
      </c>
      <c r="AJ2" s="7" t="n">
        <v>0</v>
      </c>
      <c r="AK2" s="7" t="n">
        <v>0</v>
      </c>
      <c r="AL2" s="7" t="n">
        <v>0</v>
      </c>
      <c r="AM2" s="7" t="n">
        <v>0</v>
      </c>
      <c r="AN2" s="7" t="n">
        <v>0</v>
      </c>
      <c r="AO2" s="7" t="n">
        <v>0</v>
      </c>
      <c r="AP2" s="7" t="n">
        <v>0</v>
      </c>
      <c r="AQ2" s="7" t="n">
        <v>0</v>
      </c>
      <c r="AR2" s="7" t="n">
        <v>0</v>
      </c>
      <c r="AS2" s="7" t="n">
        <v>0</v>
      </c>
      <c r="AT2" s="7" t="n">
        <v>0</v>
      </c>
      <c r="AU2" s="7" t="n">
        <v>0</v>
      </c>
      <c r="AV2" s="7" t="n">
        <v>0</v>
      </c>
      <c r="AW2" s="7" t="n">
        <v>0</v>
      </c>
      <c r="AX2" s="7" t="n">
        <v>0</v>
      </c>
      <c r="AY2" s="7" t="n">
        <v>0</v>
      </c>
      <c r="AZ2" s="7" t="n">
        <v>0</v>
      </c>
      <c r="BA2" s="7" t="n">
        <v>0</v>
      </c>
      <c r="BB2" s="7">
        <f>SUM(AD2:BA2)</f>
        <v/>
      </c>
    </row>
    <row r="3">
      <c r="A3" t="inlineStr">
        <is>
          <t>AMD-AIR-NEW-SSC</t>
        </is>
      </c>
      <c r="B3" t="inlineStr">
        <is>
          <t>Forward Regular OSC</t>
        </is>
      </c>
      <c r="C3" s="5" t="n">
        <v>46094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>
        <f>SUM(D3:AA3)</f>
        <v/>
      </c>
      <c r="AC3" s="3" t="inlineStr"/>
      <c r="AD3" s="7" t="n">
        <v>0</v>
      </c>
      <c r="AE3" s="7" t="n">
        <v>0</v>
      </c>
      <c r="AF3" s="7" t="n">
        <v>0</v>
      </c>
      <c r="AG3" s="7" t="n">
        <v>0</v>
      </c>
      <c r="AH3" s="7" t="n">
        <v>0</v>
      </c>
      <c r="AI3" s="7" t="n">
        <v>0</v>
      </c>
      <c r="AJ3" s="7" t="n">
        <v>0</v>
      </c>
      <c r="AK3" s="7" t="n">
        <v>0</v>
      </c>
      <c r="AL3" s="7" t="n">
        <v>0</v>
      </c>
      <c r="AM3" s="7" t="n">
        <v>0</v>
      </c>
      <c r="AN3" s="7" t="n">
        <v>0</v>
      </c>
      <c r="AO3" s="7" t="n">
        <v>0</v>
      </c>
      <c r="AP3" s="7" t="n">
        <v>0</v>
      </c>
      <c r="AQ3" s="7" t="n">
        <v>0</v>
      </c>
      <c r="AR3" s="7" t="n">
        <v>0</v>
      </c>
      <c r="AS3" s="7" t="n">
        <v>0</v>
      </c>
      <c r="AT3" s="7" t="n">
        <v>0</v>
      </c>
      <c r="AU3" s="7" t="n">
        <v>0</v>
      </c>
      <c r="AV3" s="7" t="n">
        <v>0</v>
      </c>
      <c r="AW3" s="7" t="n">
        <v>0</v>
      </c>
      <c r="AX3" s="7" t="n">
        <v>0</v>
      </c>
      <c r="AY3" s="7" t="n">
        <v>0</v>
      </c>
      <c r="AZ3" s="7" t="n">
        <v>0</v>
      </c>
      <c r="BA3" s="7" t="n">
        <v>0</v>
      </c>
      <c r="BB3" s="7">
        <f>SUM(AD3:BA3)</f>
        <v/>
      </c>
    </row>
    <row r="4">
      <c r="A4" t="inlineStr">
        <is>
          <t>AMD-AIR-NEW-SSC</t>
        </is>
      </c>
      <c r="B4" t="inlineStr">
        <is>
          <t>Forward Regular OSC</t>
        </is>
      </c>
      <c r="C4" s="5" t="n">
        <v>46096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0</v>
      </c>
      <c r="R4" s="6" t="n">
        <v>0</v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0</v>
      </c>
      <c r="AB4" s="6">
        <f>SUM(D4:AA4)</f>
        <v/>
      </c>
      <c r="AC4" s="3" t="inlineStr"/>
      <c r="AD4" s="7" t="n">
        <v>0</v>
      </c>
      <c r="AE4" s="7" t="n">
        <v>0</v>
      </c>
      <c r="AF4" s="7" t="n">
        <v>0</v>
      </c>
      <c r="AG4" s="7" t="n">
        <v>0</v>
      </c>
      <c r="AH4" s="7" t="n">
        <v>0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0</v>
      </c>
      <c r="AP4" s="7" t="n">
        <v>0</v>
      </c>
      <c r="AQ4" s="7" t="n">
        <v>0</v>
      </c>
      <c r="AR4" s="7" t="n">
        <v>0</v>
      </c>
      <c r="AS4" s="7" t="n">
        <v>0</v>
      </c>
      <c r="AT4" s="7" t="n">
        <v>0</v>
      </c>
      <c r="AU4" s="7" t="n">
        <v>0</v>
      </c>
      <c r="AV4" s="7" t="n">
        <v>0</v>
      </c>
      <c r="AW4" s="7" t="n">
        <v>0</v>
      </c>
      <c r="AX4" s="7" t="n">
        <v>0</v>
      </c>
      <c r="AY4" s="7" t="n">
        <v>0</v>
      </c>
      <c r="AZ4" s="7" t="n">
        <v>0</v>
      </c>
      <c r="BA4" s="7" t="n">
        <v>0</v>
      </c>
      <c r="BB4" s="7">
        <f>SUM(AD4:BA4)</f>
        <v/>
      </c>
    </row>
    <row r="5">
      <c r="A5" t="inlineStr">
        <is>
          <t>AMD-AIR-NEW-SSC</t>
        </is>
      </c>
      <c r="B5" t="inlineStr">
        <is>
          <t>Forward Regular OSC</t>
        </is>
      </c>
      <c r="C5" s="5" t="n">
        <v>46097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>
        <f>SUM(D5:AA5)</f>
        <v/>
      </c>
      <c r="AC5" s="3" t="inlineStr"/>
      <c r="AD5" s="7" t="n">
        <v>0</v>
      </c>
      <c r="AE5" s="7" t="n">
        <v>0</v>
      </c>
      <c r="AF5" s="7" t="n">
        <v>0</v>
      </c>
      <c r="AG5" s="7" t="n">
        <v>0</v>
      </c>
      <c r="AH5" s="7" t="n">
        <v>0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0</v>
      </c>
      <c r="AP5" s="7" t="n">
        <v>0</v>
      </c>
      <c r="AQ5" s="7" t="n">
        <v>0</v>
      </c>
      <c r="AR5" s="7" t="n">
        <v>0</v>
      </c>
      <c r="AS5" s="7" t="n">
        <v>0</v>
      </c>
      <c r="AT5" s="7" t="n">
        <v>0</v>
      </c>
      <c r="AU5" s="7" t="n">
        <v>0</v>
      </c>
      <c r="AV5" s="7" t="n">
        <v>0</v>
      </c>
      <c r="AW5" s="7" t="n">
        <v>0</v>
      </c>
      <c r="AX5" s="7" t="n">
        <v>0</v>
      </c>
      <c r="AY5" s="7" t="n">
        <v>0</v>
      </c>
      <c r="AZ5" s="7" t="n">
        <v>0</v>
      </c>
      <c r="BA5" s="7" t="n">
        <v>0</v>
      </c>
      <c r="BB5" s="7">
        <f>SUM(AD5:BA5)</f>
        <v/>
      </c>
    </row>
    <row r="6">
      <c r="A6" t="inlineStr">
        <is>
          <t>AMD-AIR-NEW-SSC</t>
        </is>
      </c>
      <c r="B6" t="inlineStr">
        <is>
          <t>Forward Regular OSC</t>
        </is>
      </c>
      <c r="C6" s="5" t="n">
        <v>46100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>
        <f>SUM(D6:AA6)</f>
        <v/>
      </c>
      <c r="AC6" s="3" t="inlineStr"/>
      <c r="AD6" s="7" t="n">
        <v>0</v>
      </c>
      <c r="AE6" s="7" t="n">
        <v>0</v>
      </c>
      <c r="AF6" s="7" t="n">
        <v>0</v>
      </c>
      <c r="AG6" s="7" t="n">
        <v>0</v>
      </c>
      <c r="AH6" s="7" t="n">
        <v>0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0</v>
      </c>
      <c r="AN6" s="7" t="n">
        <v>0</v>
      </c>
      <c r="AO6" s="7" t="n">
        <v>0</v>
      </c>
      <c r="AP6" s="7" t="n">
        <v>0</v>
      </c>
      <c r="AQ6" s="7" t="n">
        <v>0</v>
      </c>
      <c r="AR6" s="7" t="n">
        <v>0</v>
      </c>
      <c r="AS6" s="7" t="n">
        <v>0</v>
      </c>
      <c r="AT6" s="7" t="n">
        <v>0</v>
      </c>
      <c r="AU6" s="7" t="n">
        <v>0</v>
      </c>
      <c r="AV6" s="7" t="n">
        <v>0</v>
      </c>
      <c r="AW6" s="7" t="n">
        <v>0</v>
      </c>
      <c r="AX6" s="7" t="n">
        <v>0</v>
      </c>
      <c r="AY6" s="7" t="n">
        <v>0</v>
      </c>
      <c r="AZ6" s="7" t="n">
        <v>0</v>
      </c>
      <c r="BA6" s="7" t="n">
        <v>0</v>
      </c>
      <c r="BB6" s="7">
        <f>SUM(AD6:BA6)</f>
        <v/>
      </c>
    </row>
    <row r="7">
      <c r="A7" t="inlineStr">
        <is>
          <t>AMD-AIR-NEW-SSC</t>
        </is>
      </c>
      <c r="B7" t="inlineStr">
        <is>
          <t>Forward Regular OSC</t>
        </is>
      </c>
      <c r="C7" s="5" t="n">
        <v>46101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>
        <f>SUM(D7:AA7)</f>
        <v/>
      </c>
      <c r="AC7" s="3" t="inlineStr"/>
      <c r="AD7" s="7" t="n">
        <v>0</v>
      </c>
      <c r="AE7" s="7" t="n">
        <v>0</v>
      </c>
      <c r="AF7" s="7" t="n">
        <v>0</v>
      </c>
      <c r="AG7" s="7" t="n">
        <v>0</v>
      </c>
      <c r="AH7" s="7" t="n">
        <v>0</v>
      </c>
      <c r="AI7" s="7" t="n">
        <v>0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0</v>
      </c>
      <c r="AP7" s="7" t="n">
        <v>0</v>
      </c>
      <c r="AQ7" s="7" t="n">
        <v>0</v>
      </c>
      <c r="AR7" s="7" t="n">
        <v>0</v>
      </c>
      <c r="AS7" s="7" t="n">
        <v>0</v>
      </c>
      <c r="AT7" s="7" t="n">
        <v>0</v>
      </c>
      <c r="AU7" s="7" t="n">
        <v>0</v>
      </c>
      <c r="AV7" s="7" t="n">
        <v>0</v>
      </c>
      <c r="AW7" s="7" t="n">
        <v>0</v>
      </c>
      <c r="AX7" s="7" t="n">
        <v>0</v>
      </c>
      <c r="AY7" s="7" t="n">
        <v>0</v>
      </c>
      <c r="AZ7" s="7" t="n">
        <v>0</v>
      </c>
      <c r="BA7" s="7" t="n">
        <v>0</v>
      </c>
      <c r="BB7" s="7">
        <f>SUM(AD7:BA7)</f>
        <v/>
      </c>
    </row>
    <row r="8">
      <c r="A8" t="inlineStr">
        <is>
          <t>AMD-AIR-NEW-SSC</t>
        </is>
      </c>
      <c r="B8" t="inlineStr">
        <is>
          <t>Forward Regular OSC</t>
        </is>
      </c>
      <c r="C8" s="5" t="n">
        <v>46102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>
        <f>SUM(D8:AA8)</f>
        <v/>
      </c>
      <c r="AC8" s="3" t="inlineStr"/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0</v>
      </c>
      <c r="AP8" s="7" t="n">
        <v>0</v>
      </c>
      <c r="AQ8" s="7" t="n">
        <v>0</v>
      </c>
      <c r="AR8" s="7" t="n">
        <v>0</v>
      </c>
      <c r="AS8" s="7" t="n">
        <v>0</v>
      </c>
      <c r="AT8" s="7" t="n">
        <v>0</v>
      </c>
      <c r="AU8" s="7" t="n">
        <v>0</v>
      </c>
      <c r="AV8" s="7" t="n">
        <v>0</v>
      </c>
      <c r="AW8" s="7" t="n">
        <v>0</v>
      </c>
      <c r="AX8" s="7" t="n">
        <v>0</v>
      </c>
      <c r="AY8" s="7" t="n">
        <v>0</v>
      </c>
      <c r="AZ8" s="7" t="n">
        <v>0</v>
      </c>
      <c r="BA8" s="7" t="n">
        <v>0</v>
      </c>
      <c r="BB8" s="7">
        <f>SUM(AD8:BA8)</f>
        <v/>
      </c>
    </row>
    <row r="9">
      <c r="A9" t="inlineStr">
        <is>
          <t>AMD-AIR-NEW-SSC</t>
        </is>
      </c>
      <c r="B9" t="inlineStr">
        <is>
          <t>Forward Regular OSC</t>
        </is>
      </c>
      <c r="C9" s="5" t="n">
        <v>46103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>
        <f>SUM(D9:AA9)</f>
        <v/>
      </c>
      <c r="AC9" s="3" t="inlineStr"/>
      <c r="AD9" s="7" t="n">
        <v>0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0</v>
      </c>
      <c r="AS9" s="7" t="n">
        <v>0</v>
      </c>
      <c r="AT9" s="7" t="n">
        <v>0</v>
      </c>
      <c r="AU9" s="7" t="n">
        <v>0</v>
      </c>
      <c r="AV9" s="7" t="n">
        <v>0</v>
      </c>
      <c r="AW9" s="7" t="n">
        <v>0</v>
      </c>
      <c r="AX9" s="7" t="n">
        <v>0</v>
      </c>
      <c r="AY9" s="7" t="n">
        <v>0</v>
      </c>
      <c r="AZ9" s="7" t="n">
        <v>0</v>
      </c>
      <c r="BA9" s="7" t="n">
        <v>0</v>
      </c>
      <c r="BB9" s="7">
        <f>SUM(AD9:BA9)</f>
        <v/>
      </c>
    </row>
    <row r="10">
      <c r="A10" t="inlineStr">
        <is>
          <t>AMD-AIR-NEW-SSC</t>
        </is>
      </c>
      <c r="B10" t="inlineStr">
        <is>
          <t>Forward Regular OSC</t>
        </is>
      </c>
      <c r="C10" s="5" t="n">
        <v>46104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>
        <f>SUM(D10:AA10)</f>
        <v/>
      </c>
      <c r="AC10" s="3" t="inlineStr"/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0</v>
      </c>
      <c r="AP10" s="7" t="n">
        <v>0</v>
      </c>
      <c r="AQ10" s="7" t="n">
        <v>0</v>
      </c>
      <c r="AR10" s="7" t="n">
        <v>0</v>
      </c>
      <c r="AS10" s="7" t="n">
        <v>0</v>
      </c>
      <c r="AT10" s="7" t="n">
        <v>0</v>
      </c>
      <c r="AU10" s="7" t="n">
        <v>0</v>
      </c>
      <c r="AV10" s="7" t="n">
        <v>0</v>
      </c>
      <c r="AW10" s="7" t="n">
        <v>0</v>
      </c>
      <c r="AX10" s="7" t="n">
        <v>0</v>
      </c>
      <c r="AY10" s="7" t="n">
        <v>0</v>
      </c>
      <c r="AZ10" s="7" t="n">
        <v>0</v>
      </c>
      <c r="BA10" s="7" t="n">
        <v>0</v>
      </c>
      <c r="BB10" s="7">
        <f>SUM(AD10:BA10)</f>
        <v/>
      </c>
    </row>
    <row r="11">
      <c r="A11" t="inlineStr">
        <is>
          <t>AMD-EXPR</t>
        </is>
      </c>
      <c r="B11" t="inlineStr">
        <is>
          <t>DSC Manual</t>
        </is>
      </c>
      <c r="C11" s="5" t="n">
        <v>46089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>
        <f>SUM(D11:AA11)</f>
        <v/>
      </c>
      <c r="AC11" s="3" t="inlineStr"/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0</v>
      </c>
      <c r="AP11" s="7" t="n">
        <v>0</v>
      </c>
      <c r="AQ11" s="7" t="n">
        <v>0</v>
      </c>
      <c r="AR11" s="7" t="n">
        <v>0</v>
      </c>
      <c r="AS11" s="7" t="n">
        <v>0</v>
      </c>
      <c r="AT11" s="7" t="n">
        <v>0</v>
      </c>
      <c r="AU11" s="7" t="n">
        <v>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0</v>
      </c>
      <c r="BA11" s="7" t="n">
        <v>0</v>
      </c>
      <c r="BB11" s="7">
        <f>SUM(AD11:BA11)</f>
        <v/>
      </c>
    </row>
    <row r="12">
      <c r="A12" t="inlineStr">
        <is>
          <t>AMD-EXPR</t>
        </is>
      </c>
      <c r="B12" t="inlineStr">
        <is>
          <t>DSC Manual</t>
        </is>
      </c>
      <c r="C12" s="5" t="n">
        <v>46090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>
        <f>SUM(D12:AA12)</f>
        <v/>
      </c>
      <c r="AC12" s="3" t="inlineStr"/>
      <c r="AD12" s="7" t="n">
        <v>0</v>
      </c>
      <c r="AE12" s="7" t="n">
        <v>0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0</v>
      </c>
      <c r="AT12" s="7" t="n">
        <v>0</v>
      </c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0</v>
      </c>
      <c r="BA12" s="7" t="n">
        <v>0</v>
      </c>
      <c r="BB12" s="7">
        <f>SUM(AD12:BA12)</f>
        <v/>
      </c>
    </row>
    <row r="13">
      <c r="A13" t="inlineStr">
        <is>
          <t>AMD-EXPR</t>
        </is>
      </c>
      <c r="B13" t="inlineStr">
        <is>
          <t>DSC Manual</t>
        </is>
      </c>
      <c r="C13" s="5" t="n">
        <v>46091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>
        <f>SUM(D13:AA13)</f>
        <v/>
      </c>
      <c r="AC13" s="3" t="inlineStr"/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0</v>
      </c>
      <c r="AP13" s="7" t="n">
        <v>0</v>
      </c>
      <c r="AQ13" s="7" t="n">
        <v>0</v>
      </c>
      <c r="AR13" s="7" t="n">
        <v>0</v>
      </c>
      <c r="AS13" s="7" t="n">
        <v>0</v>
      </c>
      <c r="AT13" s="7" t="n">
        <v>0</v>
      </c>
      <c r="AU13" s="7" t="n">
        <v>0</v>
      </c>
      <c r="AV13" s="7" t="n">
        <v>0</v>
      </c>
      <c r="AW13" s="7" t="n">
        <v>0</v>
      </c>
      <c r="AX13" s="7" t="n">
        <v>0</v>
      </c>
      <c r="AY13" s="7" t="n">
        <v>0</v>
      </c>
      <c r="AZ13" s="7" t="n">
        <v>0</v>
      </c>
      <c r="BA13" s="7" t="n">
        <v>0</v>
      </c>
      <c r="BB13" s="7">
        <f>SUM(AD13:BA13)</f>
        <v/>
      </c>
    </row>
    <row r="14">
      <c r="A14" t="inlineStr">
        <is>
          <t>AMD-EXPR</t>
        </is>
      </c>
      <c r="B14" t="inlineStr">
        <is>
          <t>DSC Manual</t>
        </is>
      </c>
      <c r="C14" s="5" t="n">
        <v>46092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>
        <f>SUM(D14:AA14)</f>
        <v/>
      </c>
      <c r="AC14" s="3" t="inlineStr"/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0</v>
      </c>
      <c r="AP14" s="7" t="n">
        <v>0</v>
      </c>
      <c r="AQ14" s="7" t="n">
        <v>0</v>
      </c>
      <c r="AR14" s="7" t="n">
        <v>0</v>
      </c>
      <c r="AS14" s="7" t="n">
        <v>0</v>
      </c>
      <c r="AT14" s="7" t="n">
        <v>0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0</v>
      </c>
      <c r="BA14" s="7" t="n">
        <v>0</v>
      </c>
      <c r="BB14" s="7">
        <f>SUM(AD14:BA14)</f>
        <v/>
      </c>
    </row>
    <row r="15">
      <c r="A15" t="inlineStr">
        <is>
          <t>AMD-EXPR</t>
        </is>
      </c>
      <c r="B15" t="inlineStr">
        <is>
          <t>DSC Manual</t>
        </is>
      </c>
      <c r="C15" s="5" t="n">
        <v>46093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  <c r="AB15" s="6">
        <f>SUM(D15:AA15)</f>
        <v/>
      </c>
      <c r="AC15" s="3" t="inlineStr"/>
      <c r="AD15" s="7" t="n">
        <v>0</v>
      </c>
      <c r="AE15" s="7" t="n">
        <v>0</v>
      </c>
      <c r="AF15" s="7" t="n">
        <v>0</v>
      </c>
      <c r="AG15" s="7" t="n">
        <v>0</v>
      </c>
      <c r="AH15" s="7" t="n">
        <v>0</v>
      </c>
      <c r="AI15" s="7" t="n">
        <v>0</v>
      </c>
      <c r="AJ15" s="7" t="n">
        <v>0</v>
      </c>
      <c r="AK15" s="7" t="n">
        <v>0</v>
      </c>
      <c r="AL15" s="7" t="n">
        <v>0</v>
      </c>
      <c r="AM15" s="7" t="n">
        <v>0</v>
      </c>
      <c r="AN15" s="7" t="n">
        <v>0</v>
      </c>
      <c r="AO15" s="7" t="n">
        <v>0</v>
      </c>
      <c r="AP15" s="7" t="n">
        <v>0</v>
      </c>
      <c r="AQ15" s="7" t="n">
        <v>0</v>
      </c>
      <c r="AR15" s="7" t="n">
        <v>0</v>
      </c>
      <c r="AS15" s="7" t="n">
        <v>0</v>
      </c>
      <c r="AT15" s="7" t="n">
        <v>0</v>
      </c>
      <c r="AU15" s="7" t="n">
        <v>0</v>
      </c>
      <c r="AV15" s="7" t="n">
        <v>0</v>
      </c>
      <c r="AW15" s="7" t="n">
        <v>0</v>
      </c>
      <c r="AX15" s="7" t="n">
        <v>0</v>
      </c>
      <c r="AY15" s="7" t="n">
        <v>0</v>
      </c>
      <c r="AZ15" s="7" t="n">
        <v>0</v>
      </c>
      <c r="BA15" s="7" t="n">
        <v>0</v>
      </c>
      <c r="BB15" s="7">
        <f>SUM(AD15:BA15)</f>
        <v/>
      </c>
    </row>
    <row r="16">
      <c r="A16" t="inlineStr">
        <is>
          <t>AMD-EXPR</t>
        </is>
      </c>
      <c r="B16" t="inlineStr">
        <is>
          <t>DSC Manual</t>
        </is>
      </c>
      <c r="C16" s="5" t="n">
        <v>46094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  <c r="AB16" s="6">
        <f>SUM(D16:AA16)</f>
        <v/>
      </c>
      <c r="AC16" s="3" t="inlineStr"/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0</v>
      </c>
      <c r="AS16" s="7" t="n">
        <v>0</v>
      </c>
      <c r="AT16" s="7" t="n">
        <v>0</v>
      </c>
      <c r="AU16" s="7" t="n">
        <v>0</v>
      </c>
      <c r="AV16" s="7" t="n">
        <v>0</v>
      </c>
      <c r="AW16" s="7" t="n">
        <v>0</v>
      </c>
      <c r="AX16" s="7" t="n">
        <v>0</v>
      </c>
      <c r="AY16" s="7" t="n">
        <v>0</v>
      </c>
      <c r="AZ16" s="7" t="n">
        <v>0</v>
      </c>
      <c r="BA16" s="7" t="n">
        <v>0</v>
      </c>
      <c r="BB16" s="7">
        <f>SUM(AD16:BA16)</f>
        <v/>
      </c>
    </row>
    <row r="17">
      <c r="A17" t="inlineStr">
        <is>
          <t>AMD-EXPR</t>
        </is>
      </c>
      <c r="B17" t="inlineStr">
        <is>
          <t>DSC Manual</t>
        </is>
      </c>
      <c r="C17" s="5" t="n">
        <v>46095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6">
        <f>SUM(D17:AA17)</f>
        <v/>
      </c>
      <c r="AC17" s="3" t="inlineStr"/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0</v>
      </c>
      <c r="AI17" s="7" t="n">
        <v>0</v>
      </c>
      <c r="AJ17" s="7" t="n">
        <v>0</v>
      </c>
      <c r="AK17" s="7" t="n">
        <v>0</v>
      </c>
      <c r="AL17" s="7" t="n">
        <v>0</v>
      </c>
      <c r="AM17" s="7" t="n">
        <v>0</v>
      </c>
      <c r="AN17" s="7" t="n">
        <v>0</v>
      </c>
      <c r="AO17" s="7" t="n">
        <v>0</v>
      </c>
      <c r="AP17" s="7" t="n">
        <v>0</v>
      </c>
      <c r="AQ17" s="7" t="n">
        <v>0</v>
      </c>
      <c r="AR17" s="7" t="n">
        <v>0</v>
      </c>
      <c r="AS17" s="7" t="n">
        <v>0</v>
      </c>
      <c r="AT17" s="7" t="n">
        <v>0</v>
      </c>
      <c r="AU17" s="7" t="n">
        <v>0</v>
      </c>
      <c r="AV17" s="7" t="n">
        <v>0</v>
      </c>
      <c r="AW17" s="7" t="n">
        <v>0</v>
      </c>
      <c r="AX17" s="7" t="n">
        <v>0</v>
      </c>
      <c r="AY17" s="7" t="n">
        <v>0</v>
      </c>
      <c r="AZ17" s="7" t="n">
        <v>0</v>
      </c>
      <c r="BA17" s="7" t="n">
        <v>0</v>
      </c>
      <c r="BB17" s="7">
        <f>SUM(AD17:BA17)</f>
        <v/>
      </c>
    </row>
    <row r="18">
      <c r="A18" t="inlineStr">
        <is>
          <t>AMD-EXPR</t>
        </is>
      </c>
      <c r="B18" t="inlineStr">
        <is>
          <t>DSC Manual</t>
        </is>
      </c>
      <c r="C18" s="5" t="n">
        <v>46096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  <c r="AB18" s="6">
        <f>SUM(D18:AA18)</f>
        <v/>
      </c>
      <c r="AC18" s="3" t="inlineStr"/>
      <c r="AD18" s="7" t="n">
        <v>0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0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0</v>
      </c>
      <c r="BA18" s="7" t="n">
        <v>0</v>
      </c>
      <c r="BB18" s="7">
        <f>SUM(AD18:BA18)</f>
        <v/>
      </c>
    </row>
    <row r="19">
      <c r="A19" t="inlineStr">
        <is>
          <t>AMD-EXPR</t>
        </is>
      </c>
      <c r="B19" t="inlineStr">
        <is>
          <t>DSC Manual</t>
        </is>
      </c>
      <c r="C19" s="5" t="n">
        <v>46097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>
        <f>SUM(D19:AA19)</f>
        <v/>
      </c>
      <c r="AC19" s="3" t="inlineStr"/>
      <c r="AD19" s="7" t="n">
        <v>0</v>
      </c>
      <c r="AE19" s="7" t="n">
        <v>0</v>
      </c>
      <c r="AF19" s="7" t="n">
        <v>0</v>
      </c>
      <c r="AG19" s="7" t="n">
        <v>0</v>
      </c>
      <c r="AH19" s="7" t="n">
        <v>0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0</v>
      </c>
      <c r="AR19" s="7" t="n">
        <v>0</v>
      </c>
      <c r="AS19" s="7" t="n">
        <v>0</v>
      </c>
      <c r="AT19" s="7" t="n">
        <v>0</v>
      </c>
      <c r="AU19" s="7" t="n">
        <v>0</v>
      </c>
      <c r="AV19" s="7" t="n">
        <v>0</v>
      </c>
      <c r="AW19" s="7" t="n">
        <v>0</v>
      </c>
      <c r="AX19" s="7" t="n">
        <v>0</v>
      </c>
      <c r="AY19" s="7" t="n">
        <v>0</v>
      </c>
      <c r="AZ19" s="7" t="n">
        <v>0</v>
      </c>
      <c r="BA19" s="7" t="n">
        <v>0</v>
      </c>
      <c r="BB19" s="7">
        <f>SUM(AD19:BA19)</f>
        <v/>
      </c>
    </row>
    <row r="20">
      <c r="A20" t="inlineStr">
        <is>
          <t>AMD-EXPR</t>
        </is>
      </c>
      <c r="B20" t="inlineStr">
        <is>
          <t>DSC Manual</t>
        </is>
      </c>
      <c r="C20" s="5" t="n">
        <v>46099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>
        <f>SUM(D20:AA20)</f>
        <v/>
      </c>
      <c r="AC20" s="3" t="inlineStr"/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7" t="n">
        <v>0</v>
      </c>
      <c r="BA20" s="7" t="n">
        <v>0</v>
      </c>
      <c r="BB20" s="7">
        <f>SUM(AD20:BA20)</f>
        <v/>
      </c>
    </row>
    <row r="21">
      <c r="A21" t="inlineStr">
        <is>
          <t>AMD-EXPR</t>
        </is>
      </c>
      <c r="B21" t="inlineStr">
        <is>
          <t>DSC Manual</t>
        </is>
      </c>
      <c r="C21" s="5" t="n">
        <v>46100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>
        <f>SUM(D21:AA21)</f>
        <v/>
      </c>
      <c r="AC21" s="3" t="inlineStr"/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0</v>
      </c>
      <c r="AS21" s="7" t="n">
        <v>0</v>
      </c>
      <c r="AT21" s="7" t="n">
        <v>0</v>
      </c>
      <c r="AU21" s="7" t="n">
        <v>0</v>
      </c>
      <c r="AV21" s="7" t="n">
        <v>0</v>
      </c>
      <c r="AW21" s="7" t="n">
        <v>0</v>
      </c>
      <c r="AX21" s="7" t="n">
        <v>0</v>
      </c>
      <c r="AY21" s="7" t="n">
        <v>0</v>
      </c>
      <c r="AZ21" s="7" t="n">
        <v>0</v>
      </c>
      <c r="BA21" s="7" t="n">
        <v>0</v>
      </c>
      <c r="BB21" s="7">
        <f>SUM(AD21:BA21)</f>
        <v/>
      </c>
    </row>
    <row r="22">
      <c r="A22" t="inlineStr">
        <is>
          <t>AMD-EXPR</t>
        </is>
      </c>
      <c r="B22" t="inlineStr">
        <is>
          <t>DSC Manual</t>
        </is>
      </c>
      <c r="C22" s="5" t="n">
        <v>46102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>
        <f>SUM(D22:AA22)</f>
        <v/>
      </c>
      <c r="AC22" s="3" t="inlineStr"/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n">
        <v>0</v>
      </c>
      <c r="AW22" s="7" t="n">
        <v>0</v>
      </c>
      <c r="AX22" s="7" t="n">
        <v>0</v>
      </c>
      <c r="AY22" s="7" t="n">
        <v>0</v>
      </c>
      <c r="AZ22" s="7" t="n">
        <v>0</v>
      </c>
      <c r="BA22" s="7" t="n">
        <v>0</v>
      </c>
      <c r="BB22" s="7">
        <f>SUM(AD22:BA22)</f>
        <v/>
      </c>
    </row>
    <row r="23">
      <c r="A23" t="inlineStr">
        <is>
          <t>AMD-EXPR</t>
        </is>
      </c>
      <c r="B23" t="inlineStr">
        <is>
          <t>DSC Manual</t>
        </is>
      </c>
      <c r="C23" s="5" t="n">
        <v>46103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>
        <f>SUM(D23:AA23)</f>
        <v/>
      </c>
      <c r="AC23" s="3" t="inlineStr"/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0</v>
      </c>
      <c r="BA23" s="7" t="n">
        <v>0</v>
      </c>
      <c r="BB23" s="7">
        <f>SUM(AD23:BA23)</f>
        <v/>
      </c>
    </row>
    <row r="24">
      <c r="A24" t="inlineStr">
        <is>
          <t>AMD-EXPR</t>
        </is>
      </c>
      <c r="B24" t="inlineStr">
        <is>
          <t>DSC Manual</t>
        </is>
      </c>
      <c r="C24" s="5" t="n">
        <v>46104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>
        <f>SUM(D24:AA24)</f>
        <v/>
      </c>
      <c r="AC24" s="3" t="inlineStr"/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0</v>
      </c>
      <c r="BA24" s="7" t="n">
        <v>0</v>
      </c>
      <c r="BB24" s="7">
        <f>SUM(AD24:BA24)</f>
        <v/>
      </c>
    </row>
    <row r="25">
      <c r="A25" t="inlineStr">
        <is>
          <t>AMD-EXPR</t>
        </is>
      </c>
      <c r="B25" t="inlineStr">
        <is>
          <t>DSC Manual</t>
        </is>
      </c>
      <c r="C25" s="5" t="n">
        <v>46105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>
        <f>SUM(D25:AA25)</f>
        <v/>
      </c>
      <c r="AC25" s="3" t="inlineStr"/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7" t="n">
        <v>0</v>
      </c>
      <c r="BB25" s="7">
        <f>SUM(AD25:BA25)</f>
        <v/>
      </c>
    </row>
    <row r="26">
      <c r="A26" t="inlineStr">
        <is>
          <t>AMD-FK-SSC</t>
        </is>
      </c>
      <c r="B26" t="inlineStr">
        <is>
          <t>Prime at Client side</t>
        </is>
      </c>
      <c r="C26" s="5" t="n">
        <v>46089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>
        <f>SUM(D26:AA26)</f>
        <v/>
      </c>
      <c r="AC26" s="3" t="inlineStr"/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7" t="n">
        <v>0</v>
      </c>
      <c r="BB26" s="7">
        <f>SUM(AD26:BA26)</f>
        <v/>
      </c>
    </row>
    <row r="27">
      <c r="A27" t="inlineStr">
        <is>
          <t>AMD-FK-SSC</t>
        </is>
      </c>
      <c r="B27" t="inlineStr">
        <is>
          <t>Prime at Client side</t>
        </is>
      </c>
      <c r="C27" s="5" t="n">
        <v>46090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>
        <f>SUM(D27:AA27)</f>
        <v/>
      </c>
      <c r="AC27" s="3" t="inlineStr"/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7" t="n">
        <v>0</v>
      </c>
      <c r="BB27" s="7">
        <f>SUM(AD27:BA27)</f>
        <v/>
      </c>
    </row>
    <row r="28">
      <c r="A28" t="inlineStr">
        <is>
          <t>AMD-FK-SSC</t>
        </is>
      </c>
      <c r="B28" t="inlineStr">
        <is>
          <t>Prime at Client side</t>
        </is>
      </c>
      <c r="C28" s="5" t="n">
        <v>46091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>
        <f>SUM(D28:AA28)</f>
        <v/>
      </c>
      <c r="AC28" s="3" t="inlineStr"/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7" t="n">
        <v>0</v>
      </c>
      <c r="BB28" s="7">
        <f>SUM(AD28:BA28)</f>
        <v/>
      </c>
    </row>
    <row r="29">
      <c r="A29" t="inlineStr">
        <is>
          <t>AMD-FK-SSC</t>
        </is>
      </c>
      <c r="B29" t="inlineStr">
        <is>
          <t>Prime at Client side</t>
        </is>
      </c>
      <c r="C29" s="5" t="n">
        <v>46092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>
        <f>SUM(D29:AA29)</f>
        <v/>
      </c>
      <c r="AC29" s="3" t="inlineStr"/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7" t="n">
        <v>0</v>
      </c>
      <c r="AQ29" s="7" t="n">
        <v>0</v>
      </c>
      <c r="AR29" s="7" t="n">
        <v>0</v>
      </c>
      <c r="AS29" s="7" t="n">
        <v>0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0</v>
      </c>
      <c r="BA29" s="7" t="n">
        <v>0</v>
      </c>
      <c r="BB29" s="7">
        <f>SUM(AD29:BA29)</f>
        <v/>
      </c>
    </row>
    <row r="30">
      <c r="A30" t="inlineStr">
        <is>
          <t>AMD-FK-SSC</t>
        </is>
      </c>
      <c r="B30" t="inlineStr">
        <is>
          <t>Prime at Client side</t>
        </is>
      </c>
      <c r="C30" s="5" t="n">
        <v>46093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>
        <f>SUM(D30:AA30)</f>
        <v/>
      </c>
      <c r="AC30" s="3" t="inlineStr"/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0</v>
      </c>
      <c r="AS30" s="7" t="n">
        <v>0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7" t="n">
        <v>0</v>
      </c>
      <c r="BB30" s="7">
        <f>SUM(AD30:BA30)</f>
        <v/>
      </c>
    </row>
    <row r="31">
      <c r="A31" t="inlineStr">
        <is>
          <t>AMD-FK-SSC</t>
        </is>
      </c>
      <c r="B31" t="inlineStr">
        <is>
          <t>Prime at Client side</t>
        </is>
      </c>
      <c r="C31" s="5" t="n">
        <v>46094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>
        <f>SUM(D31:AA31)</f>
        <v/>
      </c>
      <c r="AC31" s="3" t="inlineStr"/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0</v>
      </c>
      <c r="AT31" s="7" t="n">
        <v>0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0</v>
      </c>
      <c r="BA31" s="7" t="n">
        <v>0</v>
      </c>
      <c r="BB31" s="7">
        <f>SUM(AD31:BA31)</f>
        <v/>
      </c>
    </row>
    <row r="32">
      <c r="A32" t="inlineStr">
        <is>
          <t>AMD-FK-SSC</t>
        </is>
      </c>
      <c r="B32" t="inlineStr">
        <is>
          <t>Prime at Client side</t>
        </is>
      </c>
      <c r="C32" s="5" t="n">
        <v>46095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>
        <f>SUM(D32:AA32)</f>
        <v/>
      </c>
      <c r="AC32" s="3" t="inlineStr"/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7" t="n">
        <v>0</v>
      </c>
      <c r="BB32" s="7">
        <f>SUM(AD32:BA32)</f>
        <v/>
      </c>
    </row>
    <row r="33">
      <c r="A33" t="inlineStr">
        <is>
          <t>AMD-FK-SSC</t>
        </is>
      </c>
      <c r="B33" t="inlineStr">
        <is>
          <t>Prime at Client side</t>
        </is>
      </c>
      <c r="C33" s="5" t="n">
        <v>46096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6">
        <f>SUM(D33:AA33)</f>
        <v/>
      </c>
      <c r="AC33" s="3" t="inlineStr"/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0</v>
      </c>
      <c r="AS33" s="7" t="n">
        <v>0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7" t="n">
        <v>0</v>
      </c>
      <c r="BB33" s="7">
        <f>SUM(AD33:BA33)</f>
        <v/>
      </c>
    </row>
    <row r="34">
      <c r="A34" t="inlineStr">
        <is>
          <t>AMD-FK-SSC</t>
        </is>
      </c>
      <c r="B34" t="inlineStr">
        <is>
          <t>Prime at Client side</t>
        </is>
      </c>
      <c r="C34" s="5" t="n">
        <v>46097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>
        <f>SUM(D34:AA34)</f>
        <v/>
      </c>
      <c r="AC34" s="3" t="inlineStr"/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7" t="n">
        <v>0</v>
      </c>
      <c r="BB34" s="7">
        <f>SUM(AD34:BA34)</f>
        <v/>
      </c>
    </row>
    <row r="35">
      <c r="A35" t="inlineStr">
        <is>
          <t>AMD-FK-SSC</t>
        </is>
      </c>
      <c r="B35" t="inlineStr">
        <is>
          <t>Prime at Client side</t>
        </is>
      </c>
      <c r="C35" s="5" t="n">
        <v>46098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>
        <f>SUM(D35:AA35)</f>
        <v/>
      </c>
      <c r="AC35" s="3" t="inlineStr"/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7" t="n">
        <v>0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0</v>
      </c>
      <c r="BA35" s="7" t="n">
        <v>0</v>
      </c>
      <c r="BB35" s="7">
        <f>SUM(AD35:BA35)</f>
        <v/>
      </c>
    </row>
    <row r="36">
      <c r="A36" t="inlineStr">
        <is>
          <t>AMD-FK-SSC</t>
        </is>
      </c>
      <c r="B36" t="inlineStr">
        <is>
          <t>Prime at Client side</t>
        </is>
      </c>
      <c r="C36" s="5" t="n">
        <v>46099</v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>
        <f>SUM(D36:AA36)</f>
        <v/>
      </c>
      <c r="AC36" s="3" t="inlineStr"/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0</v>
      </c>
      <c r="AT36" s="7" t="n">
        <v>0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0</v>
      </c>
      <c r="BA36" s="7" t="n">
        <v>0</v>
      </c>
      <c r="BB36" s="7">
        <f>SUM(AD36:BA36)</f>
        <v/>
      </c>
    </row>
    <row r="37">
      <c r="A37" t="inlineStr">
        <is>
          <t>AMD-FK-SSC</t>
        </is>
      </c>
      <c r="B37" t="inlineStr">
        <is>
          <t>Prime at Client side</t>
        </is>
      </c>
      <c r="C37" s="5" t="n">
        <v>46100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>
        <f>SUM(D37:AA37)</f>
        <v/>
      </c>
      <c r="AC37" s="3" t="inlineStr"/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0</v>
      </c>
      <c r="AP37" s="7" t="n">
        <v>0</v>
      </c>
      <c r="AQ37" s="7" t="n">
        <v>0</v>
      </c>
      <c r="AR37" s="7" t="n">
        <v>0</v>
      </c>
      <c r="AS37" s="7" t="n">
        <v>0</v>
      </c>
      <c r="AT37" s="7" t="n">
        <v>0</v>
      </c>
      <c r="AU37" s="7" t="n">
        <v>0</v>
      </c>
      <c r="AV37" s="7" t="n">
        <v>0</v>
      </c>
      <c r="AW37" s="7" t="n">
        <v>0</v>
      </c>
      <c r="AX37" s="7" t="n">
        <v>0</v>
      </c>
      <c r="AY37" s="7" t="n">
        <v>0</v>
      </c>
      <c r="AZ37" s="7" t="n">
        <v>0</v>
      </c>
      <c r="BA37" s="7" t="n">
        <v>0</v>
      </c>
      <c r="BB37" s="7">
        <f>SUM(AD37:BA37)</f>
        <v/>
      </c>
    </row>
    <row r="38">
      <c r="A38" t="inlineStr">
        <is>
          <t>AMD-FK-SSC</t>
        </is>
      </c>
      <c r="B38" t="inlineStr">
        <is>
          <t>Prime at Client side</t>
        </is>
      </c>
      <c r="C38" s="5" t="n">
        <v>46101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0</v>
      </c>
      <c r="Q38" s="6" t="n">
        <v>0</v>
      </c>
      <c r="R38" s="6" t="n">
        <v>0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>
        <f>SUM(D38:AA38)</f>
        <v/>
      </c>
      <c r="AC38" s="3" t="inlineStr"/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0</v>
      </c>
      <c r="AP38" s="7" t="n">
        <v>0</v>
      </c>
      <c r="AQ38" s="7" t="n">
        <v>0</v>
      </c>
      <c r="AR38" s="7" t="n">
        <v>0</v>
      </c>
      <c r="AS38" s="7" t="n">
        <v>0</v>
      </c>
      <c r="AT38" s="7" t="n">
        <v>0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0</v>
      </c>
      <c r="BA38" s="7" t="n">
        <v>0</v>
      </c>
      <c r="BB38" s="7">
        <f>SUM(AD38:BA38)</f>
        <v/>
      </c>
    </row>
    <row r="39">
      <c r="A39" t="inlineStr">
        <is>
          <t>AMD-FK-SSC</t>
        </is>
      </c>
      <c r="B39" t="inlineStr">
        <is>
          <t>Prime at Client side</t>
        </is>
      </c>
      <c r="C39" s="5" t="n">
        <v>46102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>
        <f>SUM(D39:AA39)</f>
        <v/>
      </c>
      <c r="AC39" s="3" t="inlineStr"/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0</v>
      </c>
      <c r="AP39" s="7" t="n">
        <v>0</v>
      </c>
      <c r="AQ39" s="7" t="n">
        <v>0</v>
      </c>
      <c r="AR39" s="7" t="n">
        <v>0</v>
      </c>
      <c r="AS39" s="7" t="n">
        <v>0</v>
      </c>
      <c r="AT39" s="7" t="n">
        <v>0</v>
      </c>
      <c r="AU39" s="7" t="n">
        <v>0</v>
      </c>
      <c r="AV39" s="7" t="n">
        <v>0</v>
      </c>
      <c r="AW39" s="7" t="n">
        <v>0</v>
      </c>
      <c r="AX39" s="7" t="n">
        <v>0</v>
      </c>
      <c r="AY39" s="7" t="n">
        <v>0</v>
      </c>
      <c r="AZ39" s="7" t="n">
        <v>0</v>
      </c>
      <c r="BA39" s="7" t="n">
        <v>0</v>
      </c>
      <c r="BB39" s="7">
        <f>SUM(AD39:BA39)</f>
        <v/>
      </c>
    </row>
    <row r="40">
      <c r="A40" t="inlineStr">
        <is>
          <t>AMD-FK-SSC</t>
        </is>
      </c>
      <c r="B40" t="inlineStr">
        <is>
          <t>Prime at Client side</t>
        </is>
      </c>
      <c r="C40" s="5" t="n">
        <v>46103</v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0</v>
      </c>
      <c r="M40" s="6" t="n">
        <v>0</v>
      </c>
      <c r="N40" s="6" t="n">
        <v>0</v>
      </c>
      <c r="O40" s="6" t="n">
        <v>0</v>
      </c>
      <c r="P40" s="6" t="n">
        <v>0</v>
      </c>
      <c r="Q40" s="6" t="n">
        <v>0</v>
      </c>
      <c r="R40" s="6" t="n">
        <v>0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>
        <f>SUM(D40:AA40)</f>
        <v/>
      </c>
      <c r="AC40" s="3" t="inlineStr"/>
      <c r="AD40" s="7" t="n">
        <v>0</v>
      </c>
      <c r="AE40" s="7" t="n">
        <v>0</v>
      </c>
      <c r="AF40" s="7" t="n">
        <v>0</v>
      </c>
      <c r="AG40" s="7" t="n">
        <v>0</v>
      </c>
      <c r="AH40" s="7" t="n">
        <v>0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0</v>
      </c>
      <c r="AS40" s="7" t="n">
        <v>0</v>
      </c>
      <c r="AT40" s="7" t="n">
        <v>0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0</v>
      </c>
      <c r="BA40" s="7" t="n">
        <v>0</v>
      </c>
      <c r="BB40" s="7">
        <f>SUM(AD40:BA40)</f>
        <v/>
      </c>
    </row>
    <row r="41">
      <c r="A41" t="inlineStr">
        <is>
          <t>AMD-FK-SSC</t>
        </is>
      </c>
      <c r="B41" t="inlineStr">
        <is>
          <t>Prime at Client side</t>
        </is>
      </c>
      <c r="C41" s="5" t="n">
        <v>46104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>
        <f>SUM(D41:AA41)</f>
        <v/>
      </c>
      <c r="AC41" s="3" t="inlineStr"/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</v>
      </c>
      <c r="AP41" s="7" t="n">
        <v>0</v>
      </c>
      <c r="AQ41" s="7" t="n">
        <v>0</v>
      </c>
      <c r="AR41" s="7" t="n">
        <v>0</v>
      </c>
      <c r="AS41" s="7" t="n">
        <v>0</v>
      </c>
      <c r="AT41" s="7" t="n">
        <v>0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0</v>
      </c>
      <c r="BA41" s="7" t="n">
        <v>0</v>
      </c>
      <c r="BB41" s="7">
        <f>SUM(AD41:BA41)</f>
        <v/>
      </c>
    </row>
    <row r="42">
      <c r="A42" t="inlineStr">
        <is>
          <t>AMD-FK-SSC</t>
        </is>
      </c>
      <c r="B42" t="inlineStr">
        <is>
          <t>Prime at Client side</t>
        </is>
      </c>
      <c r="C42" s="5" t="n">
        <v>46105</v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6" t="n">
        <v>0</v>
      </c>
      <c r="N42" s="6" t="n">
        <v>0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>
        <f>SUM(D42:AA42)</f>
        <v/>
      </c>
      <c r="AC42" s="3" t="inlineStr"/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7" t="n">
        <v>0</v>
      </c>
      <c r="BB42" s="7">
        <f>SUM(AD42:BA42)</f>
        <v/>
      </c>
    </row>
    <row r="43">
      <c r="A43" t="inlineStr">
        <is>
          <t>AMD-FWDPRI-SSC</t>
        </is>
      </c>
      <c r="B43" t="inlineStr">
        <is>
          <t>FWD Priority OSC</t>
        </is>
      </c>
      <c r="C43" s="5" t="n">
        <v>46098</v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0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0</v>
      </c>
      <c r="AA43" s="6" t="n">
        <v>0</v>
      </c>
      <c r="AB43" s="6">
        <f>SUM(D43:AA43)</f>
        <v/>
      </c>
      <c r="AC43" s="3" t="inlineStr"/>
      <c r="AD43" s="7" t="n">
        <v>0</v>
      </c>
      <c r="AE43" s="7" t="n">
        <v>0</v>
      </c>
      <c r="AF43" s="7" t="n">
        <v>0</v>
      </c>
      <c r="AG43" s="7" t="n">
        <v>0</v>
      </c>
      <c r="AH43" s="7" t="n">
        <v>0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0</v>
      </c>
      <c r="AP43" s="7" t="n">
        <v>0</v>
      </c>
      <c r="AQ43" s="7" t="n">
        <v>0</v>
      </c>
      <c r="AR43" s="7" t="n">
        <v>0</v>
      </c>
      <c r="AS43" s="7" t="n">
        <v>0</v>
      </c>
      <c r="AT43" s="7" t="n">
        <v>0</v>
      </c>
      <c r="AU43" s="7" t="n">
        <v>0</v>
      </c>
      <c r="AV43" s="7" t="n">
        <v>0</v>
      </c>
      <c r="AW43" s="7" t="n">
        <v>0</v>
      </c>
      <c r="AX43" s="7" t="n">
        <v>0</v>
      </c>
      <c r="AY43" s="7" t="n">
        <v>0</v>
      </c>
      <c r="AZ43" s="7" t="n">
        <v>0</v>
      </c>
      <c r="BA43" s="7" t="n">
        <v>0</v>
      </c>
      <c r="BB43" s="7">
        <f>SUM(AD43:BA43)</f>
        <v/>
      </c>
    </row>
    <row r="44">
      <c r="A44" t="inlineStr">
        <is>
          <t>AMD-FWDPRI-SSC</t>
        </is>
      </c>
      <c r="B44" t="inlineStr">
        <is>
          <t>FWD Priority OSC</t>
        </is>
      </c>
      <c r="C44" s="5" t="n">
        <v>46099</v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0</v>
      </c>
      <c r="M44" s="6" t="n">
        <v>0</v>
      </c>
      <c r="N44" s="6" t="n">
        <v>0</v>
      </c>
      <c r="O44" s="6" t="n">
        <v>0</v>
      </c>
      <c r="P44" s="6" t="n">
        <v>0</v>
      </c>
      <c r="Q44" s="6" t="n">
        <v>0</v>
      </c>
      <c r="R44" s="6" t="n">
        <v>0</v>
      </c>
      <c r="S44" s="6" t="n">
        <v>0</v>
      </c>
      <c r="T44" s="6" t="n">
        <v>0</v>
      </c>
      <c r="U44" s="6" t="n">
        <v>0</v>
      </c>
      <c r="V44" s="6" t="n">
        <v>0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0</v>
      </c>
      <c r="AB44" s="6">
        <f>SUM(D44:AA44)</f>
        <v/>
      </c>
      <c r="AC44" s="3" t="inlineStr"/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0</v>
      </c>
      <c r="AP44" s="7" t="n">
        <v>0</v>
      </c>
      <c r="AQ44" s="7" t="n">
        <v>0</v>
      </c>
      <c r="AR44" s="7" t="n">
        <v>0</v>
      </c>
      <c r="AS44" s="7" t="n">
        <v>0</v>
      </c>
      <c r="AT44" s="7" t="n">
        <v>0</v>
      </c>
      <c r="AU44" s="7" t="n">
        <v>0</v>
      </c>
      <c r="AV44" s="7" t="n">
        <v>0</v>
      </c>
      <c r="AW44" s="7" t="n">
        <v>0</v>
      </c>
      <c r="AX44" s="7" t="n">
        <v>0</v>
      </c>
      <c r="AY44" s="7" t="n">
        <v>0</v>
      </c>
      <c r="AZ44" s="7" t="n">
        <v>0</v>
      </c>
      <c r="BA44" s="7" t="n">
        <v>0</v>
      </c>
      <c r="BB44" s="7">
        <f>SUM(AD44:BA44)</f>
        <v/>
      </c>
    </row>
    <row r="45">
      <c r="A45" t="inlineStr">
        <is>
          <t>AMD-FWDPRI-SSC</t>
        </is>
      </c>
      <c r="B45" t="inlineStr">
        <is>
          <t>FWD Priority OSC</t>
        </is>
      </c>
      <c r="C45" s="5" t="n">
        <v>46100</v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0</v>
      </c>
      <c r="S45" s="6" t="n">
        <v>0</v>
      </c>
      <c r="T45" s="6" t="n">
        <v>0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  <c r="AB45" s="6">
        <f>SUM(D45:AA45)</f>
        <v/>
      </c>
      <c r="AC45" s="3" t="inlineStr"/>
      <c r="AD45" s="7" t="n">
        <v>0</v>
      </c>
      <c r="AE45" s="7" t="n">
        <v>0</v>
      </c>
      <c r="AF45" s="7" t="n">
        <v>0</v>
      </c>
      <c r="AG45" s="7" t="n">
        <v>0</v>
      </c>
      <c r="AH45" s="7" t="n">
        <v>0</v>
      </c>
      <c r="AI45" s="7" t="n">
        <v>0</v>
      </c>
      <c r="AJ45" s="7" t="n">
        <v>0</v>
      </c>
      <c r="AK45" s="7" t="n">
        <v>0</v>
      </c>
      <c r="AL45" s="7" t="n">
        <v>0</v>
      </c>
      <c r="AM45" s="7" t="n">
        <v>0</v>
      </c>
      <c r="AN45" s="7" t="n">
        <v>0</v>
      </c>
      <c r="AO45" s="7" t="n">
        <v>0</v>
      </c>
      <c r="AP45" s="7" t="n">
        <v>0</v>
      </c>
      <c r="AQ45" s="7" t="n">
        <v>0</v>
      </c>
      <c r="AR45" s="7" t="n">
        <v>0</v>
      </c>
      <c r="AS45" s="7" t="n">
        <v>0</v>
      </c>
      <c r="AT45" s="7" t="n">
        <v>0</v>
      </c>
      <c r="AU45" s="7" t="n">
        <v>0</v>
      </c>
      <c r="AV45" s="7" t="n">
        <v>0</v>
      </c>
      <c r="AW45" s="7" t="n">
        <v>0</v>
      </c>
      <c r="AX45" s="7" t="n">
        <v>0</v>
      </c>
      <c r="AY45" s="7" t="n">
        <v>0</v>
      </c>
      <c r="AZ45" s="7" t="n">
        <v>0</v>
      </c>
      <c r="BA45" s="7" t="n">
        <v>0</v>
      </c>
      <c r="BB45" s="7">
        <f>SUM(AD45:BA45)</f>
        <v/>
      </c>
    </row>
    <row r="46">
      <c r="A46" t="inlineStr">
        <is>
          <t>AMD-FWDPRI-SSC</t>
        </is>
      </c>
      <c r="B46" t="inlineStr">
        <is>
          <t>FWD Priority OSC</t>
        </is>
      </c>
      <c r="C46" s="5" t="n">
        <v>46101</v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0</v>
      </c>
      <c r="M46" s="6" t="n">
        <v>0</v>
      </c>
      <c r="N46" s="6" t="n">
        <v>0</v>
      </c>
      <c r="O46" s="6" t="n">
        <v>0</v>
      </c>
      <c r="P46" s="6" t="n">
        <v>0</v>
      </c>
      <c r="Q46" s="6" t="n">
        <v>0</v>
      </c>
      <c r="R46" s="6" t="n">
        <v>0</v>
      </c>
      <c r="S46" s="6" t="n">
        <v>0</v>
      </c>
      <c r="T46" s="6" t="n">
        <v>0</v>
      </c>
      <c r="U46" s="6" t="n">
        <v>0</v>
      </c>
      <c r="V46" s="6" t="n">
        <v>0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0</v>
      </c>
      <c r="AB46" s="6">
        <f>SUM(D46:AA46)</f>
        <v/>
      </c>
      <c r="AC46" s="3" t="inlineStr"/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  <c r="AS46" s="7" t="n">
        <v>0</v>
      </c>
      <c r="AT46" s="7" t="n">
        <v>0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0</v>
      </c>
      <c r="BA46" s="7" t="n">
        <v>0</v>
      </c>
      <c r="BB46" s="7">
        <f>SUM(AD46:BA46)</f>
        <v/>
      </c>
    </row>
    <row r="47">
      <c r="A47" t="inlineStr">
        <is>
          <t>AMD-FWDPRI-SSC</t>
        </is>
      </c>
      <c r="B47" t="inlineStr">
        <is>
          <t>FWD Priority OSC</t>
        </is>
      </c>
      <c r="C47" s="5" t="n">
        <v>46102</v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6">
        <f>SUM(D47:AA47)</f>
        <v/>
      </c>
      <c r="AC47" s="3" t="inlineStr"/>
      <c r="AD47" s="7" t="n">
        <v>0</v>
      </c>
      <c r="AE47" s="7" t="n">
        <v>0</v>
      </c>
      <c r="AF47" s="7" t="n">
        <v>0</v>
      </c>
      <c r="AG47" s="7" t="n">
        <v>0</v>
      </c>
      <c r="AH47" s="7" t="n">
        <v>0</v>
      </c>
      <c r="AI47" s="7" t="n">
        <v>0</v>
      </c>
      <c r="AJ47" s="7" t="n">
        <v>0</v>
      </c>
      <c r="AK47" s="7" t="n">
        <v>0</v>
      </c>
      <c r="AL47" s="7" t="n">
        <v>0</v>
      </c>
      <c r="AM47" s="7" t="n">
        <v>0</v>
      </c>
      <c r="AN47" s="7" t="n">
        <v>0</v>
      </c>
      <c r="AO47" s="7" t="n">
        <v>0</v>
      </c>
      <c r="AP47" s="7" t="n">
        <v>0</v>
      </c>
      <c r="AQ47" s="7" t="n">
        <v>0</v>
      </c>
      <c r="AR47" s="7" t="n">
        <v>0</v>
      </c>
      <c r="AS47" s="7" t="n">
        <v>0</v>
      </c>
      <c r="AT47" s="7" t="n">
        <v>0</v>
      </c>
      <c r="AU47" s="7" t="n">
        <v>0</v>
      </c>
      <c r="AV47" s="7" t="n">
        <v>0</v>
      </c>
      <c r="AW47" s="7" t="n">
        <v>0</v>
      </c>
      <c r="AX47" s="7" t="n">
        <v>0</v>
      </c>
      <c r="AY47" s="7" t="n">
        <v>0</v>
      </c>
      <c r="AZ47" s="7" t="n">
        <v>0</v>
      </c>
      <c r="BA47" s="7" t="n">
        <v>0</v>
      </c>
      <c r="BB47" s="7">
        <f>SUM(AD47:BA47)</f>
        <v/>
      </c>
    </row>
    <row r="48">
      <c r="A48" t="inlineStr">
        <is>
          <t>AMD-FWDPRI-SSC</t>
        </is>
      </c>
      <c r="B48" t="inlineStr">
        <is>
          <t>FWD Priority OSC</t>
        </is>
      </c>
      <c r="C48" s="5" t="n">
        <v>46103</v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6" t="n">
        <v>0</v>
      </c>
      <c r="AB48" s="6">
        <f>SUM(D48:AA48)</f>
        <v/>
      </c>
      <c r="AC48" s="3" t="inlineStr"/>
      <c r="AD48" s="7" t="n">
        <v>0</v>
      </c>
      <c r="AE48" s="7" t="n">
        <v>0</v>
      </c>
      <c r="AF48" s="7" t="n">
        <v>0</v>
      </c>
      <c r="AG48" s="7" t="n">
        <v>0</v>
      </c>
      <c r="AH48" s="7" t="n">
        <v>0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0</v>
      </c>
      <c r="AP48" s="7" t="n">
        <v>0</v>
      </c>
      <c r="AQ48" s="7" t="n">
        <v>0</v>
      </c>
      <c r="AR48" s="7" t="n">
        <v>0</v>
      </c>
      <c r="AS48" s="7" t="n">
        <v>0</v>
      </c>
      <c r="AT48" s="7" t="n">
        <v>0</v>
      </c>
      <c r="AU48" s="7" t="n">
        <v>0</v>
      </c>
      <c r="AV48" s="7" t="n">
        <v>0</v>
      </c>
      <c r="AW48" s="7" t="n">
        <v>0</v>
      </c>
      <c r="AX48" s="7" t="n">
        <v>0</v>
      </c>
      <c r="AY48" s="7" t="n">
        <v>0</v>
      </c>
      <c r="AZ48" s="7" t="n">
        <v>0</v>
      </c>
      <c r="BA48" s="7" t="n">
        <v>0</v>
      </c>
      <c r="BB48" s="7">
        <f>SUM(AD48:BA48)</f>
        <v/>
      </c>
    </row>
    <row r="49">
      <c r="A49" t="inlineStr">
        <is>
          <t>AMD-FWDPRI-SSC</t>
        </is>
      </c>
      <c r="B49" t="inlineStr">
        <is>
          <t>FWD Priority OSC</t>
        </is>
      </c>
      <c r="C49" s="5" t="n">
        <v>46104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0</v>
      </c>
      <c r="AB49" s="6">
        <f>SUM(D49:AA49)</f>
        <v/>
      </c>
      <c r="AC49" s="3" t="inlineStr"/>
      <c r="AD49" s="7" t="n">
        <v>0</v>
      </c>
      <c r="AE49" s="7" t="n">
        <v>0</v>
      </c>
      <c r="AF49" s="7" t="n">
        <v>0</v>
      </c>
      <c r="AG49" s="7" t="n">
        <v>0</v>
      </c>
      <c r="AH49" s="7" t="n">
        <v>0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0</v>
      </c>
      <c r="AN49" s="7" t="n">
        <v>0</v>
      </c>
      <c r="AO49" s="7" t="n">
        <v>0</v>
      </c>
      <c r="AP49" s="7" t="n">
        <v>0</v>
      </c>
      <c r="AQ49" s="7" t="n">
        <v>0</v>
      </c>
      <c r="AR49" s="7" t="n">
        <v>0</v>
      </c>
      <c r="AS49" s="7" t="n">
        <v>0</v>
      </c>
      <c r="AT49" s="7" t="n">
        <v>0</v>
      </c>
      <c r="AU49" s="7" t="n">
        <v>0</v>
      </c>
      <c r="AV49" s="7" t="n">
        <v>0</v>
      </c>
      <c r="AW49" s="7" t="n">
        <v>0</v>
      </c>
      <c r="AX49" s="7" t="n">
        <v>0</v>
      </c>
      <c r="AY49" s="7" t="n">
        <v>0</v>
      </c>
      <c r="AZ49" s="7" t="n">
        <v>0</v>
      </c>
      <c r="BA49" s="7" t="n">
        <v>0</v>
      </c>
      <c r="BB49" s="7">
        <f>SUM(AD49:BA49)</f>
        <v/>
      </c>
    </row>
    <row r="50">
      <c r="A50" t="inlineStr">
        <is>
          <t>AMD-FWDPRI-SSC</t>
        </is>
      </c>
      <c r="B50" t="inlineStr">
        <is>
          <t>FWD Priority OSC</t>
        </is>
      </c>
      <c r="C50" s="5" t="n">
        <v>46105</v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0</v>
      </c>
      <c r="M50" s="6" t="n">
        <v>0</v>
      </c>
      <c r="N50" s="6" t="n">
        <v>0</v>
      </c>
      <c r="O50" s="6" t="n">
        <v>0</v>
      </c>
      <c r="P50" s="6" t="n">
        <v>0</v>
      </c>
      <c r="Q50" s="6" t="n">
        <v>0</v>
      </c>
      <c r="R50" s="6" t="n">
        <v>0</v>
      </c>
      <c r="S50" s="6" t="n">
        <v>0</v>
      </c>
      <c r="T50" s="6" t="n">
        <v>0</v>
      </c>
      <c r="U50" s="6" t="n">
        <v>0</v>
      </c>
      <c r="V50" s="6" t="n">
        <v>0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0</v>
      </c>
      <c r="AB50" s="6">
        <f>SUM(D50:AA50)</f>
        <v/>
      </c>
      <c r="AC50" s="3" t="inlineStr"/>
      <c r="AD50" s="7" t="n">
        <v>0</v>
      </c>
      <c r="AE50" s="7" t="n">
        <v>0</v>
      </c>
      <c r="AF50" s="7" t="n">
        <v>0</v>
      </c>
      <c r="AG50" s="7" t="n">
        <v>0</v>
      </c>
      <c r="AH50" s="7" t="n">
        <v>0</v>
      </c>
      <c r="AI50" s="7" t="n">
        <v>0</v>
      </c>
      <c r="AJ50" s="7" t="n">
        <v>0</v>
      </c>
      <c r="AK50" s="7" t="n">
        <v>0</v>
      </c>
      <c r="AL50" s="7" t="n">
        <v>0</v>
      </c>
      <c r="AM50" s="7" t="n">
        <v>0</v>
      </c>
      <c r="AN50" s="7" t="n">
        <v>0</v>
      </c>
      <c r="AO50" s="7" t="n">
        <v>0</v>
      </c>
      <c r="AP50" s="7" t="n">
        <v>0</v>
      </c>
      <c r="AQ50" s="7" t="n">
        <v>0</v>
      </c>
      <c r="AR50" s="7" t="n">
        <v>0</v>
      </c>
      <c r="AS50" s="7" t="n">
        <v>0</v>
      </c>
      <c r="AT50" s="7" t="n">
        <v>0</v>
      </c>
      <c r="AU50" s="7" t="n">
        <v>0</v>
      </c>
      <c r="AV50" s="7" t="n">
        <v>0</v>
      </c>
      <c r="AW50" s="7" t="n">
        <v>0</v>
      </c>
      <c r="AX50" s="7" t="n">
        <v>0</v>
      </c>
      <c r="AY50" s="7" t="n">
        <v>0</v>
      </c>
      <c r="AZ50" s="7" t="n">
        <v>0</v>
      </c>
      <c r="BA50" s="7" t="n">
        <v>0</v>
      </c>
      <c r="BB50" s="7">
        <f>SUM(AD50:BA50)</f>
        <v/>
      </c>
    </row>
    <row r="51">
      <c r="A51" t="inlineStr">
        <is>
          <t>AMD-FWDREG-SSC</t>
        </is>
      </c>
      <c r="B51" t="inlineStr">
        <is>
          <t>Forward Regular OSC</t>
        </is>
      </c>
      <c r="C51" s="5" t="n">
        <v>46098</v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0</v>
      </c>
      <c r="O51" s="6" t="n">
        <v>0</v>
      </c>
      <c r="P51" s="6" t="n">
        <v>0</v>
      </c>
      <c r="Q51" s="6" t="n">
        <v>0</v>
      </c>
      <c r="R51" s="6" t="n">
        <v>0</v>
      </c>
      <c r="S51" s="6" t="n">
        <v>0</v>
      </c>
      <c r="T51" s="6" t="n">
        <v>0</v>
      </c>
      <c r="U51" s="6" t="n">
        <v>0</v>
      </c>
      <c r="V51" s="6" t="n">
        <v>0</v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6">
        <f>SUM(D51:AA51)</f>
        <v/>
      </c>
      <c r="AC51" s="3" t="inlineStr"/>
      <c r="AD51" s="7" t="n">
        <v>0</v>
      </c>
      <c r="AE51" s="7" t="n">
        <v>0</v>
      </c>
      <c r="AF51" s="7" t="n">
        <v>0</v>
      </c>
      <c r="AG51" s="7" t="n">
        <v>0</v>
      </c>
      <c r="AH51" s="7" t="n">
        <v>0</v>
      </c>
      <c r="AI51" s="7" t="n">
        <v>0</v>
      </c>
      <c r="AJ51" s="7" t="n">
        <v>0</v>
      </c>
      <c r="AK51" s="7" t="n">
        <v>0</v>
      </c>
      <c r="AL51" s="7" t="n">
        <v>0</v>
      </c>
      <c r="AM51" s="7" t="n">
        <v>0</v>
      </c>
      <c r="AN51" s="7" t="n">
        <v>0</v>
      </c>
      <c r="AO51" s="7" t="n">
        <v>0</v>
      </c>
      <c r="AP51" s="7" t="n">
        <v>0</v>
      </c>
      <c r="AQ51" s="7" t="n">
        <v>0</v>
      </c>
      <c r="AR51" s="7" t="n">
        <v>0</v>
      </c>
      <c r="AS51" s="7" t="n">
        <v>0</v>
      </c>
      <c r="AT51" s="7" t="n">
        <v>0</v>
      </c>
      <c r="AU51" s="7" t="n">
        <v>0</v>
      </c>
      <c r="AV51" s="7" t="n">
        <v>0</v>
      </c>
      <c r="AW51" s="7" t="n">
        <v>0</v>
      </c>
      <c r="AX51" s="7" t="n">
        <v>0</v>
      </c>
      <c r="AY51" s="7" t="n">
        <v>0</v>
      </c>
      <c r="AZ51" s="7" t="n">
        <v>0</v>
      </c>
      <c r="BA51" s="7" t="n">
        <v>0</v>
      </c>
      <c r="BB51" s="7">
        <f>SUM(AD51:BA51)</f>
        <v/>
      </c>
    </row>
    <row r="52">
      <c r="A52" t="inlineStr">
        <is>
          <t>AMD-FWDREG-SSC</t>
        </is>
      </c>
      <c r="B52" t="inlineStr">
        <is>
          <t>Forward Regular OSC</t>
        </is>
      </c>
      <c r="C52" s="5" t="n">
        <v>46099</v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</v>
      </c>
      <c r="L52" s="6" t="n">
        <v>0</v>
      </c>
      <c r="M52" s="6" t="n">
        <v>0</v>
      </c>
      <c r="N52" s="6" t="n">
        <v>0</v>
      </c>
      <c r="O52" s="6" t="n">
        <v>0</v>
      </c>
      <c r="P52" s="6" t="n">
        <v>0</v>
      </c>
      <c r="Q52" s="6" t="n">
        <v>0</v>
      </c>
      <c r="R52" s="6" t="n">
        <v>0</v>
      </c>
      <c r="S52" s="6" t="n">
        <v>0</v>
      </c>
      <c r="T52" s="6" t="n">
        <v>0</v>
      </c>
      <c r="U52" s="6" t="n">
        <v>0</v>
      </c>
      <c r="V52" s="6" t="n">
        <v>0</v>
      </c>
      <c r="W52" s="6" t="n">
        <v>0</v>
      </c>
      <c r="X52" s="6" t="n">
        <v>0</v>
      </c>
      <c r="Y52" s="6" t="n">
        <v>0</v>
      </c>
      <c r="Z52" s="6" t="n">
        <v>0</v>
      </c>
      <c r="AA52" s="6" t="n">
        <v>0</v>
      </c>
      <c r="AB52" s="6">
        <f>SUM(D52:AA52)</f>
        <v/>
      </c>
      <c r="AC52" s="3" t="inlineStr"/>
      <c r="AD52" s="7" t="n">
        <v>0</v>
      </c>
      <c r="AE52" s="7" t="n">
        <v>0</v>
      </c>
      <c r="AF52" s="7" t="n">
        <v>0</v>
      </c>
      <c r="AG52" s="7" t="n">
        <v>0</v>
      </c>
      <c r="AH52" s="7" t="n">
        <v>0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0</v>
      </c>
      <c r="AP52" s="7" t="n">
        <v>0</v>
      </c>
      <c r="AQ52" s="7" t="n">
        <v>0</v>
      </c>
      <c r="AR52" s="7" t="n">
        <v>0</v>
      </c>
      <c r="AS52" s="7" t="n">
        <v>0</v>
      </c>
      <c r="AT52" s="7" t="n">
        <v>0</v>
      </c>
      <c r="AU52" s="7" t="n">
        <v>0</v>
      </c>
      <c r="AV52" s="7" t="n">
        <v>0</v>
      </c>
      <c r="AW52" s="7" t="n">
        <v>0</v>
      </c>
      <c r="AX52" s="7" t="n">
        <v>0</v>
      </c>
      <c r="AY52" s="7" t="n">
        <v>0</v>
      </c>
      <c r="AZ52" s="7" t="n">
        <v>0</v>
      </c>
      <c r="BA52" s="7" t="n">
        <v>0</v>
      </c>
      <c r="BB52" s="7">
        <f>SUM(AD52:BA52)</f>
        <v/>
      </c>
    </row>
    <row r="53">
      <c r="A53" t="inlineStr">
        <is>
          <t>AMD-FWDREG-SSC</t>
        </is>
      </c>
      <c r="B53" t="inlineStr">
        <is>
          <t>Forward Regular OSC</t>
        </is>
      </c>
      <c r="C53" s="5" t="n">
        <v>46100</v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0</v>
      </c>
      <c r="O53" s="6" t="n">
        <v>0</v>
      </c>
      <c r="P53" s="6" t="n">
        <v>0</v>
      </c>
      <c r="Q53" s="6" t="n">
        <v>0</v>
      </c>
      <c r="R53" s="6" t="n">
        <v>0</v>
      </c>
      <c r="S53" s="6" t="n">
        <v>0</v>
      </c>
      <c r="T53" s="6" t="n">
        <v>0</v>
      </c>
      <c r="U53" s="6" t="n">
        <v>0</v>
      </c>
      <c r="V53" s="6" t="n">
        <v>0</v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6">
        <f>SUM(D53:AA53)</f>
        <v/>
      </c>
      <c r="AC53" s="3" t="inlineStr"/>
      <c r="AD53" s="7" t="n">
        <v>0</v>
      </c>
      <c r="AE53" s="7" t="n">
        <v>0</v>
      </c>
      <c r="AF53" s="7" t="n">
        <v>0</v>
      </c>
      <c r="AG53" s="7" t="n">
        <v>0</v>
      </c>
      <c r="AH53" s="7" t="n">
        <v>0</v>
      </c>
      <c r="AI53" s="7" t="n">
        <v>0</v>
      </c>
      <c r="AJ53" s="7" t="n">
        <v>0</v>
      </c>
      <c r="AK53" s="7" t="n">
        <v>0</v>
      </c>
      <c r="AL53" s="7" t="n">
        <v>0</v>
      </c>
      <c r="AM53" s="7" t="n">
        <v>0</v>
      </c>
      <c r="AN53" s="7" t="n">
        <v>0</v>
      </c>
      <c r="AO53" s="7" t="n">
        <v>0</v>
      </c>
      <c r="AP53" s="7" t="n">
        <v>0</v>
      </c>
      <c r="AQ53" s="7" t="n">
        <v>0</v>
      </c>
      <c r="AR53" s="7" t="n">
        <v>0</v>
      </c>
      <c r="AS53" s="7" t="n">
        <v>0</v>
      </c>
      <c r="AT53" s="7" t="n">
        <v>0</v>
      </c>
      <c r="AU53" s="7" t="n">
        <v>0</v>
      </c>
      <c r="AV53" s="7" t="n">
        <v>0</v>
      </c>
      <c r="AW53" s="7" t="n">
        <v>0</v>
      </c>
      <c r="AX53" s="7" t="n">
        <v>0</v>
      </c>
      <c r="AY53" s="7" t="n">
        <v>0</v>
      </c>
      <c r="AZ53" s="7" t="n">
        <v>0</v>
      </c>
      <c r="BA53" s="7" t="n">
        <v>0</v>
      </c>
      <c r="BB53" s="7">
        <f>SUM(AD53:BA53)</f>
        <v/>
      </c>
    </row>
    <row r="54">
      <c r="A54" t="inlineStr">
        <is>
          <t>AMD-FWDREG-SSC</t>
        </is>
      </c>
      <c r="B54" t="inlineStr">
        <is>
          <t>Forward Regular OSC</t>
        </is>
      </c>
      <c r="C54" s="5" t="n">
        <v>46101</v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0</v>
      </c>
      <c r="M54" s="6" t="n">
        <v>0</v>
      </c>
      <c r="N54" s="6" t="n">
        <v>0</v>
      </c>
      <c r="O54" s="6" t="n">
        <v>0</v>
      </c>
      <c r="P54" s="6" t="n">
        <v>0</v>
      </c>
      <c r="Q54" s="6" t="n">
        <v>0</v>
      </c>
      <c r="R54" s="6" t="n">
        <v>0</v>
      </c>
      <c r="S54" s="6" t="n">
        <v>0</v>
      </c>
      <c r="T54" s="6" t="n">
        <v>0</v>
      </c>
      <c r="U54" s="6" t="n">
        <v>0</v>
      </c>
      <c r="V54" s="6" t="n">
        <v>0</v>
      </c>
      <c r="W54" s="6" t="n">
        <v>0</v>
      </c>
      <c r="X54" s="6" t="n">
        <v>0</v>
      </c>
      <c r="Y54" s="6" t="n">
        <v>0</v>
      </c>
      <c r="Z54" s="6" t="n">
        <v>0</v>
      </c>
      <c r="AA54" s="6" t="n">
        <v>0</v>
      </c>
      <c r="AB54" s="6">
        <f>SUM(D54:AA54)</f>
        <v/>
      </c>
      <c r="AC54" s="3" t="inlineStr"/>
      <c r="AD54" s="7" t="n">
        <v>0</v>
      </c>
      <c r="AE54" s="7" t="n">
        <v>0</v>
      </c>
      <c r="AF54" s="7" t="n">
        <v>0</v>
      </c>
      <c r="AG54" s="7" t="n">
        <v>0</v>
      </c>
      <c r="AH54" s="7" t="n">
        <v>0</v>
      </c>
      <c r="AI54" s="7" t="n">
        <v>0</v>
      </c>
      <c r="AJ54" s="7" t="n">
        <v>0</v>
      </c>
      <c r="AK54" s="7" t="n">
        <v>0</v>
      </c>
      <c r="AL54" s="7" t="n">
        <v>0</v>
      </c>
      <c r="AM54" s="7" t="n">
        <v>0</v>
      </c>
      <c r="AN54" s="7" t="n">
        <v>0</v>
      </c>
      <c r="AO54" s="7" t="n">
        <v>0</v>
      </c>
      <c r="AP54" s="7" t="n">
        <v>0</v>
      </c>
      <c r="AQ54" s="7" t="n">
        <v>0</v>
      </c>
      <c r="AR54" s="7" t="n">
        <v>0</v>
      </c>
      <c r="AS54" s="7" t="n">
        <v>0</v>
      </c>
      <c r="AT54" s="7" t="n">
        <v>0</v>
      </c>
      <c r="AU54" s="7" t="n">
        <v>0</v>
      </c>
      <c r="AV54" s="7" t="n">
        <v>0</v>
      </c>
      <c r="AW54" s="7" t="n">
        <v>0</v>
      </c>
      <c r="AX54" s="7" t="n">
        <v>0</v>
      </c>
      <c r="AY54" s="7" t="n">
        <v>0</v>
      </c>
      <c r="AZ54" s="7" t="n">
        <v>0</v>
      </c>
      <c r="BA54" s="7" t="n">
        <v>0</v>
      </c>
      <c r="BB54" s="7">
        <f>SUM(AD54:BA54)</f>
        <v/>
      </c>
    </row>
    <row r="55">
      <c r="A55" t="inlineStr">
        <is>
          <t>AMD-FWDREG-SSC</t>
        </is>
      </c>
      <c r="B55" t="inlineStr">
        <is>
          <t>Forward Regular OSC</t>
        </is>
      </c>
      <c r="C55" s="5" t="n">
        <v>46102</v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6" t="n">
        <v>0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s="6" t="n">
        <v>0</v>
      </c>
      <c r="T55" s="6" t="n">
        <v>0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0</v>
      </c>
      <c r="AB55" s="6">
        <f>SUM(D55:AA55)</f>
        <v/>
      </c>
      <c r="AC55" s="3" t="inlineStr"/>
      <c r="AD55" s="7" t="n">
        <v>0</v>
      </c>
      <c r="AE55" s="7" t="n">
        <v>0</v>
      </c>
      <c r="AF55" s="7" t="n">
        <v>0</v>
      </c>
      <c r="AG55" s="7" t="n">
        <v>0</v>
      </c>
      <c r="AH55" s="7" t="n">
        <v>0</v>
      </c>
      <c r="AI55" s="7" t="n">
        <v>0</v>
      </c>
      <c r="AJ55" s="7" t="n">
        <v>0</v>
      </c>
      <c r="AK55" s="7" t="n">
        <v>0</v>
      </c>
      <c r="AL55" s="7" t="n">
        <v>0</v>
      </c>
      <c r="AM55" s="7" t="n">
        <v>0</v>
      </c>
      <c r="AN55" s="7" t="n">
        <v>0</v>
      </c>
      <c r="AO55" s="7" t="n">
        <v>0</v>
      </c>
      <c r="AP55" s="7" t="n">
        <v>0</v>
      </c>
      <c r="AQ55" s="7" t="n">
        <v>0</v>
      </c>
      <c r="AR55" s="7" t="n">
        <v>0</v>
      </c>
      <c r="AS55" s="7" t="n">
        <v>0</v>
      </c>
      <c r="AT55" s="7" t="n">
        <v>0</v>
      </c>
      <c r="AU55" s="7" t="n">
        <v>0</v>
      </c>
      <c r="AV55" s="7" t="n">
        <v>0</v>
      </c>
      <c r="AW55" s="7" t="n">
        <v>0</v>
      </c>
      <c r="AX55" s="7" t="n">
        <v>0</v>
      </c>
      <c r="AY55" s="7" t="n">
        <v>0</v>
      </c>
      <c r="AZ55" s="7" t="n">
        <v>0</v>
      </c>
      <c r="BA55" s="7" t="n">
        <v>0</v>
      </c>
      <c r="BB55" s="7">
        <f>SUM(AD55:BA55)</f>
        <v/>
      </c>
    </row>
    <row r="56">
      <c r="A56" t="inlineStr">
        <is>
          <t>AMD-FWDREG-SSC</t>
        </is>
      </c>
      <c r="B56" t="inlineStr">
        <is>
          <t>Forward Regular OSC</t>
        </is>
      </c>
      <c r="C56" s="5" t="n">
        <v>46103</v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0</v>
      </c>
      <c r="M56" s="6" t="n">
        <v>0</v>
      </c>
      <c r="N56" s="6" t="n">
        <v>0</v>
      </c>
      <c r="O56" s="6" t="n">
        <v>0</v>
      </c>
      <c r="P56" s="6" t="n">
        <v>0</v>
      </c>
      <c r="Q56" s="6" t="n">
        <v>0</v>
      </c>
      <c r="R56" s="6" t="n">
        <v>0</v>
      </c>
      <c r="S56" s="6" t="n">
        <v>0</v>
      </c>
      <c r="T56" s="6" t="n">
        <v>0</v>
      </c>
      <c r="U56" s="6" t="n">
        <v>0</v>
      </c>
      <c r="V56" s="6" t="n">
        <v>0</v>
      </c>
      <c r="W56" s="6" t="n">
        <v>0</v>
      </c>
      <c r="X56" s="6" t="n">
        <v>0</v>
      </c>
      <c r="Y56" s="6" t="n">
        <v>0</v>
      </c>
      <c r="Z56" s="6" t="n">
        <v>0</v>
      </c>
      <c r="AA56" s="6" t="n">
        <v>0</v>
      </c>
      <c r="AB56" s="6">
        <f>SUM(D56:AA56)</f>
        <v/>
      </c>
      <c r="AC56" s="3" t="inlineStr"/>
      <c r="AD56" s="7" t="n">
        <v>0</v>
      </c>
      <c r="AE56" s="7" t="n">
        <v>0</v>
      </c>
      <c r="AF56" s="7" t="n">
        <v>0</v>
      </c>
      <c r="AG56" s="7" t="n">
        <v>0</v>
      </c>
      <c r="AH56" s="7" t="n">
        <v>0</v>
      </c>
      <c r="AI56" s="7" t="n">
        <v>0</v>
      </c>
      <c r="AJ56" s="7" t="n">
        <v>0</v>
      </c>
      <c r="AK56" s="7" t="n">
        <v>0</v>
      </c>
      <c r="AL56" s="7" t="n">
        <v>0</v>
      </c>
      <c r="AM56" s="7" t="n">
        <v>0</v>
      </c>
      <c r="AN56" s="7" t="n">
        <v>0</v>
      </c>
      <c r="AO56" s="7" t="n">
        <v>0</v>
      </c>
      <c r="AP56" s="7" t="n">
        <v>0</v>
      </c>
      <c r="AQ56" s="7" t="n">
        <v>0</v>
      </c>
      <c r="AR56" s="7" t="n">
        <v>0</v>
      </c>
      <c r="AS56" s="7" t="n">
        <v>0</v>
      </c>
      <c r="AT56" s="7" t="n">
        <v>0</v>
      </c>
      <c r="AU56" s="7" t="n">
        <v>0</v>
      </c>
      <c r="AV56" s="7" t="n">
        <v>0</v>
      </c>
      <c r="AW56" s="7" t="n">
        <v>0</v>
      </c>
      <c r="AX56" s="7" t="n">
        <v>0</v>
      </c>
      <c r="AY56" s="7" t="n">
        <v>0</v>
      </c>
      <c r="AZ56" s="7" t="n">
        <v>0</v>
      </c>
      <c r="BA56" s="7" t="n">
        <v>0</v>
      </c>
      <c r="BB56" s="7">
        <f>SUM(AD56:BA56)</f>
        <v/>
      </c>
    </row>
    <row r="57">
      <c r="A57" t="inlineStr">
        <is>
          <t>AMD-FWDREG-SSC</t>
        </is>
      </c>
      <c r="B57" t="inlineStr">
        <is>
          <t>Forward Regular OSC</t>
        </is>
      </c>
      <c r="C57" s="5" t="n">
        <v>46104</v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0</v>
      </c>
      <c r="Q57" s="6" t="n">
        <v>0</v>
      </c>
      <c r="R57" s="6" t="n">
        <v>0</v>
      </c>
      <c r="S57" s="6" t="n">
        <v>0</v>
      </c>
      <c r="T57" s="6" t="n">
        <v>0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0</v>
      </c>
      <c r="AA57" s="6" t="n">
        <v>0</v>
      </c>
      <c r="AB57" s="6">
        <f>SUM(D57:AA57)</f>
        <v/>
      </c>
      <c r="AC57" s="3" t="inlineStr"/>
      <c r="AD57" s="7" t="n">
        <v>0</v>
      </c>
      <c r="AE57" s="7" t="n">
        <v>0</v>
      </c>
      <c r="AF57" s="7" t="n">
        <v>0</v>
      </c>
      <c r="AG57" s="7" t="n">
        <v>0</v>
      </c>
      <c r="AH57" s="7" t="n">
        <v>0</v>
      </c>
      <c r="AI57" s="7" t="n">
        <v>0</v>
      </c>
      <c r="AJ57" s="7" t="n">
        <v>0</v>
      </c>
      <c r="AK57" s="7" t="n">
        <v>0</v>
      </c>
      <c r="AL57" s="7" t="n">
        <v>0</v>
      </c>
      <c r="AM57" s="7" t="n">
        <v>0</v>
      </c>
      <c r="AN57" s="7" t="n">
        <v>0</v>
      </c>
      <c r="AO57" s="7" t="n">
        <v>0</v>
      </c>
      <c r="AP57" s="7" t="n">
        <v>0</v>
      </c>
      <c r="AQ57" s="7" t="n">
        <v>0</v>
      </c>
      <c r="AR57" s="7" t="n">
        <v>0</v>
      </c>
      <c r="AS57" s="7" t="n">
        <v>0</v>
      </c>
      <c r="AT57" s="7" t="n">
        <v>0</v>
      </c>
      <c r="AU57" s="7" t="n">
        <v>0</v>
      </c>
      <c r="AV57" s="7" t="n">
        <v>0</v>
      </c>
      <c r="AW57" s="7" t="n">
        <v>0</v>
      </c>
      <c r="AX57" s="7" t="n">
        <v>0</v>
      </c>
      <c r="AY57" s="7" t="n">
        <v>0</v>
      </c>
      <c r="AZ57" s="7" t="n">
        <v>0</v>
      </c>
      <c r="BA57" s="7" t="n">
        <v>0</v>
      </c>
      <c r="BB57" s="7">
        <f>SUM(AD57:BA57)</f>
        <v/>
      </c>
    </row>
    <row r="58">
      <c r="A58" t="inlineStr">
        <is>
          <t>AMD-FWDREG-SSC</t>
        </is>
      </c>
      <c r="B58" t="inlineStr">
        <is>
          <t>Forward Regular OSC</t>
        </is>
      </c>
      <c r="C58" s="5" t="n">
        <v>46105</v>
      </c>
      <c r="D58" s="6" t="n">
        <v>0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</v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0</v>
      </c>
      <c r="R58" s="6" t="n">
        <v>0</v>
      </c>
      <c r="S58" s="6" t="n">
        <v>0</v>
      </c>
      <c r="T58" s="6" t="n">
        <v>0</v>
      </c>
      <c r="U58" s="6" t="n">
        <v>0</v>
      </c>
      <c r="V58" s="6" t="n">
        <v>0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0</v>
      </c>
      <c r="AB58" s="6">
        <f>SUM(D58:AA58)</f>
        <v/>
      </c>
      <c r="AC58" s="3" t="inlineStr"/>
      <c r="AD58" s="7" t="n">
        <v>0</v>
      </c>
      <c r="AE58" s="7" t="n">
        <v>0</v>
      </c>
      <c r="AF58" s="7" t="n">
        <v>0</v>
      </c>
      <c r="AG58" s="7" t="n">
        <v>0</v>
      </c>
      <c r="AH58" s="7" t="n">
        <v>0</v>
      </c>
      <c r="AI58" s="7" t="n">
        <v>0</v>
      </c>
      <c r="AJ58" s="7" t="n">
        <v>0</v>
      </c>
      <c r="AK58" s="7" t="n">
        <v>0</v>
      </c>
      <c r="AL58" s="7" t="n">
        <v>0</v>
      </c>
      <c r="AM58" s="7" t="n">
        <v>0</v>
      </c>
      <c r="AN58" s="7" t="n">
        <v>0</v>
      </c>
      <c r="AO58" s="7" t="n">
        <v>0</v>
      </c>
      <c r="AP58" s="7" t="n">
        <v>0</v>
      </c>
      <c r="AQ58" s="7" t="n">
        <v>0</v>
      </c>
      <c r="AR58" s="7" t="n">
        <v>0</v>
      </c>
      <c r="AS58" s="7" t="n">
        <v>0</v>
      </c>
      <c r="AT58" s="7" t="n">
        <v>0</v>
      </c>
      <c r="AU58" s="7" t="n">
        <v>0</v>
      </c>
      <c r="AV58" s="7" t="n">
        <v>0</v>
      </c>
      <c r="AW58" s="7" t="n">
        <v>0</v>
      </c>
      <c r="AX58" s="7" t="n">
        <v>0</v>
      </c>
      <c r="AY58" s="7" t="n">
        <v>0</v>
      </c>
      <c r="AZ58" s="7" t="n">
        <v>0</v>
      </c>
      <c r="BA58" s="7" t="n">
        <v>0</v>
      </c>
      <c r="BB58" s="7">
        <f>SUM(AD58:BA58)</f>
        <v/>
      </c>
    </row>
    <row r="59">
      <c r="A59" t="inlineStr">
        <is>
          <t>AMD-INTRA-SSC</t>
        </is>
      </c>
      <c r="B59" t="inlineStr">
        <is>
          <t>Forward Regular OSC</t>
        </is>
      </c>
      <c r="C59" s="5" t="n">
        <v>46098</v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Q59" s="6" t="n">
        <v>0</v>
      </c>
      <c r="R59" s="6" t="n">
        <v>0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0</v>
      </c>
      <c r="Z59" s="6" t="n">
        <v>0</v>
      </c>
      <c r="AA59" s="6" t="n">
        <v>0</v>
      </c>
      <c r="AB59" s="6">
        <f>SUM(D59:AA59)</f>
        <v/>
      </c>
      <c r="AC59" s="3" t="inlineStr"/>
      <c r="AD59" s="7" t="n">
        <v>0</v>
      </c>
      <c r="AE59" s="7" t="n">
        <v>0</v>
      </c>
      <c r="AF59" s="7" t="n">
        <v>0</v>
      </c>
      <c r="AG59" s="7" t="n">
        <v>0</v>
      </c>
      <c r="AH59" s="7" t="n">
        <v>0</v>
      </c>
      <c r="AI59" s="7" t="n">
        <v>0</v>
      </c>
      <c r="AJ59" s="7" t="n">
        <v>0</v>
      </c>
      <c r="AK59" s="7" t="n">
        <v>0</v>
      </c>
      <c r="AL59" s="7" t="n">
        <v>0</v>
      </c>
      <c r="AM59" s="7" t="n">
        <v>0</v>
      </c>
      <c r="AN59" s="7" t="n">
        <v>0</v>
      </c>
      <c r="AO59" s="7" t="n">
        <v>0</v>
      </c>
      <c r="AP59" s="7" t="n">
        <v>0</v>
      </c>
      <c r="AQ59" s="7" t="n">
        <v>0</v>
      </c>
      <c r="AR59" s="7" t="n">
        <v>0</v>
      </c>
      <c r="AS59" s="7" t="n">
        <v>0</v>
      </c>
      <c r="AT59" s="7" t="n">
        <v>0</v>
      </c>
      <c r="AU59" s="7" t="n">
        <v>0</v>
      </c>
      <c r="AV59" s="7" t="n">
        <v>0</v>
      </c>
      <c r="AW59" s="7" t="n">
        <v>0</v>
      </c>
      <c r="AX59" s="7" t="n">
        <v>0</v>
      </c>
      <c r="AY59" s="7" t="n">
        <v>0</v>
      </c>
      <c r="AZ59" s="7" t="n">
        <v>0</v>
      </c>
      <c r="BA59" s="7" t="n">
        <v>0</v>
      </c>
      <c r="BB59" s="7">
        <f>SUM(AD59:BA59)</f>
        <v/>
      </c>
    </row>
    <row r="60">
      <c r="A60" t="inlineStr">
        <is>
          <t>AMD-INTRA-SSC</t>
        </is>
      </c>
      <c r="B60" t="inlineStr">
        <is>
          <t>Forward Regular OSC</t>
        </is>
      </c>
      <c r="C60" s="5" t="n">
        <v>46099</v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0</v>
      </c>
      <c r="Q60" s="6" t="n">
        <v>0</v>
      </c>
      <c r="R60" s="6" t="n">
        <v>0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0</v>
      </c>
      <c r="Z60" s="6" t="n">
        <v>0</v>
      </c>
      <c r="AA60" s="6" t="n">
        <v>0</v>
      </c>
      <c r="AB60" s="6">
        <f>SUM(D60:AA60)</f>
        <v/>
      </c>
      <c r="AC60" s="3" t="inlineStr"/>
      <c r="AD60" s="7" t="n">
        <v>0</v>
      </c>
      <c r="AE60" s="7" t="n">
        <v>0</v>
      </c>
      <c r="AF60" s="7" t="n">
        <v>0</v>
      </c>
      <c r="AG60" s="7" t="n">
        <v>0</v>
      </c>
      <c r="AH60" s="7" t="n">
        <v>0</v>
      </c>
      <c r="AI60" s="7" t="n">
        <v>0</v>
      </c>
      <c r="AJ60" s="7" t="n">
        <v>0</v>
      </c>
      <c r="AK60" s="7" t="n">
        <v>0</v>
      </c>
      <c r="AL60" s="7" t="n">
        <v>0</v>
      </c>
      <c r="AM60" s="7" t="n">
        <v>0</v>
      </c>
      <c r="AN60" s="7" t="n">
        <v>0</v>
      </c>
      <c r="AO60" s="7" t="n">
        <v>0</v>
      </c>
      <c r="AP60" s="7" t="n">
        <v>0</v>
      </c>
      <c r="AQ60" s="7" t="n">
        <v>0</v>
      </c>
      <c r="AR60" s="7" t="n">
        <v>0</v>
      </c>
      <c r="AS60" s="7" t="n">
        <v>0</v>
      </c>
      <c r="AT60" s="7" t="n">
        <v>0</v>
      </c>
      <c r="AU60" s="7" t="n">
        <v>0</v>
      </c>
      <c r="AV60" s="7" t="n">
        <v>0</v>
      </c>
      <c r="AW60" s="7" t="n">
        <v>0</v>
      </c>
      <c r="AX60" s="7" t="n">
        <v>0</v>
      </c>
      <c r="AY60" s="7" t="n">
        <v>0</v>
      </c>
      <c r="AZ60" s="7" t="n">
        <v>0</v>
      </c>
      <c r="BA60" s="7" t="n">
        <v>0</v>
      </c>
      <c r="BB60" s="7">
        <f>SUM(AD60:BA60)</f>
        <v/>
      </c>
    </row>
    <row r="61">
      <c r="A61" t="inlineStr">
        <is>
          <t>AMD-INTRA-SSC</t>
        </is>
      </c>
      <c r="B61" t="inlineStr">
        <is>
          <t>Forward Regular OSC</t>
        </is>
      </c>
      <c r="C61" s="5" t="n">
        <v>46100</v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0</v>
      </c>
      <c r="Q61" s="6" t="n">
        <v>0</v>
      </c>
      <c r="R61" s="6" t="n">
        <v>0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0</v>
      </c>
      <c r="X61" s="6" t="n">
        <v>0</v>
      </c>
      <c r="Y61" s="6" t="n">
        <v>0</v>
      </c>
      <c r="Z61" s="6" t="n">
        <v>0</v>
      </c>
      <c r="AA61" s="6" t="n">
        <v>0</v>
      </c>
      <c r="AB61" s="6">
        <f>SUM(D61:AA61)</f>
        <v/>
      </c>
      <c r="AC61" s="3" t="inlineStr"/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7" t="n">
        <v>0</v>
      </c>
      <c r="BB61" s="7">
        <f>SUM(AD61:BA61)</f>
        <v/>
      </c>
    </row>
    <row r="62">
      <c r="A62" t="inlineStr">
        <is>
          <t>AMD-INTRA-SSC</t>
        </is>
      </c>
      <c r="B62" t="inlineStr">
        <is>
          <t>Forward Regular OSC</t>
        </is>
      </c>
      <c r="C62" s="5" t="n">
        <v>46101</v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0</v>
      </c>
      <c r="M62" s="6" t="n">
        <v>0</v>
      </c>
      <c r="N62" s="6" t="n">
        <v>0</v>
      </c>
      <c r="O62" s="6" t="n">
        <v>0</v>
      </c>
      <c r="P62" s="6" t="n">
        <v>0</v>
      </c>
      <c r="Q62" s="6" t="n">
        <v>0</v>
      </c>
      <c r="R62" s="6" t="n">
        <v>0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0</v>
      </c>
      <c r="Z62" s="6" t="n">
        <v>0</v>
      </c>
      <c r="AA62" s="6" t="n">
        <v>0</v>
      </c>
      <c r="AB62" s="6">
        <f>SUM(D62:AA62)</f>
        <v/>
      </c>
      <c r="AC62" s="3" t="inlineStr"/>
      <c r="AD62" s="7" t="n">
        <v>0</v>
      </c>
      <c r="AE62" s="7" t="n">
        <v>0</v>
      </c>
      <c r="AF62" s="7" t="n">
        <v>0</v>
      </c>
      <c r="AG62" s="7" t="n">
        <v>0</v>
      </c>
      <c r="AH62" s="7" t="n">
        <v>0</v>
      </c>
      <c r="AI62" s="7" t="n">
        <v>0</v>
      </c>
      <c r="AJ62" s="7" t="n">
        <v>0</v>
      </c>
      <c r="AK62" s="7" t="n">
        <v>0</v>
      </c>
      <c r="AL62" s="7" t="n">
        <v>0</v>
      </c>
      <c r="AM62" s="7" t="n">
        <v>0</v>
      </c>
      <c r="AN62" s="7" t="n">
        <v>0</v>
      </c>
      <c r="AO62" s="7" t="n">
        <v>0</v>
      </c>
      <c r="AP62" s="7" t="n">
        <v>0</v>
      </c>
      <c r="AQ62" s="7" t="n">
        <v>0</v>
      </c>
      <c r="AR62" s="7" t="n">
        <v>0</v>
      </c>
      <c r="AS62" s="7" t="n">
        <v>0</v>
      </c>
      <c r="AT62" s="7" t="n">
        <v>0</v>
      </c>
      <c r="AU62" s="7" t="n">
        <v>0</v>
      </c>
      <c r="AV62" s="7" t="n">
        <v>0</v>
      </c>
      <c r="AW62" s="7" t="n">
        <v>0</v>
      </c>
      <c r="AX62" s="7" t="n">
        <v>0</v>
      </c>
      <c r="AY62" s="7" t="n">
        <v>0</v>
      </c>
      <c r="AZ62" s="7" t="n">
        <v>0</v>
      </c>
      <c r="BA62" s="7" t="n">
        <v>0</v>
      </c>
      <c r="BB62" s="7">
        <f>SUM(AD62:BA62)</f>
        <v/>
      </c>
    </row>
    <row r="63">
      <c r="A63" t="inlineStr">
        <is>
          <t>AMD-INTRA-SSC</t>
        </is>
      </c>
      <c r="B63" t="inlineStr">
        <is>
          <t>Forward Regular OSC</t>
        </is>
      </c>
      <c r="C63" s="5" t="n">
        <v>46102</v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0</v>
      </c>
      <c r="Q63" s="6" t="n">
        <v>0</v>
      </c>
      <c r="R63" s="6" t="n">
        <v>0</v>
      </c>
      <c r="S63" s="6" t="n">
        <v>0</v>
      </c>
      <c r="T63" s="6" t="n">
        <v>0</v>
      </c>
      <c r="U63" s="6" t="n">
        <v>0</v>
      </c>
      <c r="V63" s="6" t="n">
        <v>0</v>
      </c>
      <c r="W63" s="6" t="n">
        <v>0</v>
      </c>
      <c r="X63" s="6" t="n">
        <v>0</v>
      </c>
      <c r="Y63" s="6" t="n">
        <v>0</v>
      </c>
      <c r="Z63" s="6" t="n">
        <v>0</v>
      </c>
      <c r="AA63" s="6" t="n">
        <v>0</v>
      </c>
      <c r="AB63" s="6">
        <f>SUM(D63:AA63)</f>
        <v/>
      </c>
      <c r="AC63" s="3" t="inlineStr"/>
      <c r="AD63" s="7" t="n">
        <v>0</v>
      </c>
      <c r="AE63" s="7" t="n">
        <v>0</v>
      </c>
      <c r="AF63" s="7" t="n">
        <v>0</v>
      </c>
      <c r="AG63" s="7" t="n">
        <v>0</v>
      </c>
      <c r="AH63" s="7" t="n">
        <v>0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0</v>
      </c>
      <c r="AO63" s="7" t="n">
        <v>0</v>
      </c>
      <c r="AP63" s="7" t="n">
        <v>0</v>
      </c>
      <c r="AQ63" s="7" t="n">
        <v>0</v>
      </c>
      <c r="AR63" s="7" t="n">
        <v>0</v>
      </c>
      <c r="AS63" s="7" t="n">
        <v>0</v>
      </c>
      <c r="AT63" s="7" t="n">
        <v>0</v>
      </c>
      <c r="AU63" s="7" t="n">
        <v>0</v>
      </c>
      <c r="AV63" s="7" t="n">
        <v>0</v>
      </c>
      <c r="AW63" s="7" t="n">
        <v>0</v>
      </c>
      <c r="AX63" s="7" t="n">
        <v>0</v>
      </c>
      <c r="AY63" s="7" t="n">
        <v>0</v>
      </c>
      <c r="AZ63" s="7" t="n">
        <v>0</v>
      </c>
      <c r="BA63" s="7" t="n">
        <v>0</v>
      </c>
      <c r="BB63" s="7">
        <f>SUM(AD63:BA63)</f>
        <v/>
      </c>
    </row>
    <row r="64">
      <c r="A64" t="inlineStr">
        <is>
          <t>AMD-INTRA-SSC</t>
        </is>
      </c>
      <c r="B64" t="inlineStr">
        <is>
          <t>Forward Regular OSC</t>
        </is>
      </c>
      <c r="C64" s="5" t="n">
        <v>46103</v>
      </c>
      <c r="D64" s="6" t="n">
        <v>0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0</v>
      </c>
      <c r="M64" s="6" t="n">
        <v>0</v>
      </c>
      <c r="N64" s="6" t="n">
        <v>0</v>
      </c>
      <c r="O64" s="6" t="n">
        <v>0</v>
      </c>
      <c r="P64" s="6" t="n">
        <v>0</v>
      </c>
      <c r="Q64" s="6" t="n">
        <v>0</v>
      </c>
      <c r="R64" s="6" t="n">
        <v>0</v>
      </c>
      <c r="S64" s="6" t="n">
        <v>0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0</v>
      </c>
      <c r="AB64" s="6">
        <f>SUM(D64:AA64)</f>
        <v/>
      </c>
      <c r="AC64" s="3" t="inlineStr"/>
      <c r="AD64" s="7" t="n">
        <v>0</v>
      </c>
      <c r="AE64" s="7" t="n">
        <v>0</v>
      </c>
      <c r="AF64" s="7" t="n">
        <v>0</v>
      </c>
      <c r="AG64" s="7" t="n">
        <v>0</v>
      </c>
      <c r="AH64" s="7" t="n">
        <v>0</v>
      </c>
      <c r="AI64" s="7" t="n">
        <v>0</v>
      </c>
      <c r="AJ64" s="7" t="n">
        <v>0</v>
      </c>
      <c r="AK64" s="7" t="n">
        <v>0</v>
      </c>
      <c r="AL64" s="7" t="n">
        <v>0</v>
      </c>
      <c r="AM64" s="7" t="n">
        <v>0</v>
      </c>
      <c r="AN64" s="7" t="n">
        <v>0</v>
      </c>
      <c r="AO64" s="7" t="n">
        <v>0</v>
      </c>
      <c r="AP64" s="7" t="n">
        <v>0</v>
      </c>
      <c r="AQ64" s="7" t="n">
        <v>0</v>
      </c>
      <c r="AR64" s="7" t="n">
        <v>0</v>
      </c>
      <c r="AS64" s="7" t="n">
        <v>0</v>
      </c>
      <c r="AT64" s="7" t="n">
        <v>0</v>
      </c>
      <c r="AU64" s="7" t="n">
        <v>0</v>
      </c>
      <c r="AV64" s="7" t="n">
        <v>0</v>
      </c>
      <c r="AW64" s="7" t="n">
        <v>0</v>
      </c>
      <c r="AX64" s="7" t="n">
        <v>0</v>
      </c>
      <c r="AY64" s="7" t="n">
        <v>0</v>
      </c>
      <c r="AZ64" s="7" t="n">
        <v>0</v>
      </c>
      <c r="BA64" s="7" t="n">
        <v>0</v>
      </c>
      <c r="BB64" s="7">
        <f>SUM(AD64:BA64)</f>
        <v/>
      </c>
    </row>
    <row r="65">
      <c r="A65" t="inlineStr">
        <is>
          <t>AMD-INTRA-SSC</t>
        </is>
      </c>
      <c r="B65" t="inlineStr">
        <is>
          <t>Forward Regular OSC</t>
        </is>
      </c>
      <c r="C65" s="5" t="n">
        <v>46104</v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0</v>
      </c>
      <c r="Q65" s="6" t="n">
        <v>0</v>
      </c>
      <c r="R65" s="6" t="n">
        <v>0</v>
      </c>
      <c r="S65" s="6" t="n">
        <v>0</v>
      </c>
      <c r="T65" s="6" t="n">
        <v>0</v>
      </c>
      <c r="U65" s="6" t="n">
        <v>0</v>
      </c>
      <c r="V65" s="6" t="n">
        <v>0</v>
      </c>
      <c r="W65" s="6" t="n">
        <v>0</v>
      </c>
      <c r="X65" s="6" t="n">
        <v>0</v>
      </c>
      <c r="Y65" s="6" t="n">
        <v>0</v>
      </c>
      <c r="Z65" s="6" t="n">
        <v>0</v>
      </c>
      <c r="AA65" s="6" t="n">
        <v>0</v>
      </c>
      <c r="AB65" s="6">
        <f>SUM(D65:AA65)</f>
        <v/>
      </c>
      <c r="AC65" s="3" t="inlineStr"/>
      <c r="AD65" s="7" t="n">
        <v>0</v>
      </c>
      <c r="AE65" s="7" t="n">
        <v>0</v>
      </c>
      <c r="AF65" s="7" t="n">
        <v>0</v>
      </c>
      <c r="AG65" s="7" t="n">
        <v>0</v>
      </c>
      <c r="AH65" s="7" t="n">
        <v>0</v>
      </c>
      <c r="AI65" s="7" t="n">
        <v>0</v>
      </c>
      <c r="AJ65" s="7" t="n">
        <v>0</v>
      </c>
      <c r="AK65" s="7" t="n">
        <v>0</v>
      </c>
      <c r="AL65" s="7" t="n">
        <v>0</v>
      </c>
      <c r="AM65" s="7" t="n">
        <v>0</v>
      </c>
      <c r="AN65" s="7" t="n">
        <v>0</v>
      </c>
      <c r="AO65" s="7" t="n">
        <v>0</v>
      </c>
      <c r="AP65" s="7" t="n">
        <v>0</v>
      </c>
      <c r="AQ65" s="7" t="n">
        <v>0</v>
      </c>
      <c r="AR65" s="7" t="n">
        <v>0</v>
      </c>
      <c r="AS65" s="7" t="n">
        <v>0</v>
      </c>
      <c r="AT65" s="7" t="n">
        <v>0</v>
      </c>
      <c r="AU65" s="7" t="n">
        <v>0</v>
      </c>
      <c r="AV65" s="7" t="n">
        <v>0</v>
      </c>
      <c r="AW65" s="7" t="n">
        <v>0</v>
      </c>
      <c r="AX65" s="7" t="n">
        <v>0</v>
      </c>
      <c r="AY65" s="7" t="n">
        <v>0</v>
      </c>
      <c r="AZ65" s="7" t="n">
        <v>0</v>
      </c>
      <c r="BA65" s="7" t="n">
        <v>0</v>
      </c>
      <c r="BB65" s="7">
        <f>SUM(AD65:BA65)</f>
        <v/>
      </c>
    </row>
    <row r="66">
      <c r="A66" t="inlineStr">
        <is>
          <t>AMD-INTRA-SSC</t>
        </is>
      </c>
      <c r="B66" t="inlineStr">
        <is>
          <t>Forward Regular OSC</t>
        </is>
      </c>
      <c r="C66" s="5" t="n">
        <v>46105</v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0</v>
      </c>
      <c r="N66" s="6" t="n">
        <v>0</v>
      </c>
      <c r="O66" s="6" t="n">
        <v>0</v>
      </c>
      <c r="P66" s="6" t="n">
        <v>0</v>
      </c>
      <c r="Q66" s="6" t="n">
        <v>0</v>
      </c>
      <c r="R66" s="6" t="n">
        <v>0</v>
      </c>
      <c r="S66" s="6" t="n">
        <v>0</v>
      </c>
      <c r="T66" s="6" t="n">
        <v>0</v>
      </c>
      <c r="U66" s="6" t="n">
        <v>0</v>
      </c>
      <c r="V66" s="6" t="n">
        <v>0</v>
      </c>
      <c r="W66" s="6" t="n">
        <v>0</v>
      </c>
      <c r="X66" s="6" t="n">
        <v>0</v>
      </c>
      <c r="Y66" s="6" t="n">
        <v>0</v>
      </c>
      <c r="Z66" s="6" t="n">
        <v>0</v>
      </c>
      <c r="AA66" s="6" t="n">
        <v>0</v>
      </c>
      <c r="AB66" s="6">
        <f>SUM(D66:AA66)</f>
        <v/>
      </c>
      <c r="AC66" s="3" t="inlineStr"/>
      <c r="AD66" s="7" t="n">
        <v>0</v>
      </c>
      <c r="AE66" s="7" t="n">
        <v>0</v>
      </c>
      <c r="AF66" s="7" t="n">
        <v>0</v>
      </c>
      <c r="AG66" s="7" t="n">
        <v>0</v>
      </c>
      <c r="AH66" s="7" t="n">
        <v>0</v>
      </c>
      <c r="AI66" s="7" t="n">
        <v>0</v>
      </c>
      <c r="AJ66" s="7" t="n">
        <v>0</v>
      </c>
      <c r="AK66" s="7" t="n">
        <v>0</v>
      </c>
      <c r="AL66" s="7" t="n">
        <v>0</v>
      </c>
      <c r="AM66" s="7" t="n">
        <v>0</v>
      </c>
      <c r="AN66" s="7" t="n">
        <v>0</v>
      </c>
      <c r="AO66" s="7" t="n">
        <v>0</v>
      </c>
      <c r="AP66" s="7" t="n">
        <v>0</v>
      </c>
      <c r="AQ66" s="7" t="n">
        <v>0</v>
      </c>
      <c r="AR66" s="7" t="n">
        <v>0</v>
      </c>
      <c r="AS66" s="7" t="n">
        <v>0</v>
      </c>
      <c r="AT66" s="7" t="n">
        <v>0</v>
      </c>
      <c r="AU66" s="7" t="n">
        <v>0</v>
      </c>
      <c r="AV66" s="7" t="n">
        <v>0</v>
      </c>
      <c r="AW66" s="7" t="n">
        <v>0</v>
      </c>
      <c r="AX66" s="7" t="n">
        <v>0</v>
      </c>
      <c r="AY66" s="7" t="n">
        <v>0</v>
      </c>
      <c r="AZ66" s="7" t="n">
        <v>0</v>
      </c>
      <c r="BA66" s="7" t="n">
        <v>0</v>
      </c>
      <c r="BB66" s="7">
        <f>SUM(AD66:BA66)</f>
        <v/>
      </c>
    </row>
    <row r="67">
      <c r="A67" t="inlineStr">
        <is>
          <t>AMD-M1</t>
        </is>
      </c>
      <c r="B67" t="inlineStr">
        <is>
          <t>Forward Regular OSC</t>
        </is>
      </c>
      <c r="C67" s="5" t="n">
        <v>46089</v>
      </c>
      <c r="D67" s="6" t="n">
        <v>0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  <c r="S67" s="6" t="n">
        <v>0</v>
      </c>
      <c r="T67" s="6" t="n">
        <v>0</v>
      </c>
      <c r="U67" s="6" t="n">
        <v>0</v>
      </c>
      <c r="V67" s="6" t="n">
        <v>0</v>
      </c>
      <c r="W67" s="6" t="n">
        <v>0</v>
      </c>
      <c r="X67" s="6" t="n">
        <v>0</v>
      </c>
      <c r="Y67" s="6" t="n">
        <v>0</v>
      </c>
      <c r="Z67" s="6" t="n">
        <v>0</v>
      </c>
      <c r="AA67" s="6" t="n">
        <v>0</v>
      </c>
      <c r="AB67" s="6">
        <f>SUM(D67:AA67)</f>
        <v/>
      </c>
      <c r="AC67" s="3" t="inlineStr"/>
      <c r="AD67" s="7" t="n">
        <v>0</v>
      </c>
      <c r="AE67" s="7" t="n">
        <v>0</v>
      </c>
      <c r="AF67" s="7" t="n">
        <v>0</v>
      </c>
      <c r="AG67" s="7" t="n">
        <v>0</v>
      </c>
      <c r="AH67" s="7" t="n">
        <v>0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</v>
      </c>
      <c r="AN67" s="7" t="n">
        <v>0</v>
      </c>
      <c r="AO67" s="7" t="n">
        <v>0</v>
      </c>
      <c r="AP67" s="7" t="n">
        <v>0</v>
      </c>
      <c r="AQ67" s="7" t="n">
        <v>0</v>
      </c>
      <c r="AR67" s="7" t="n">
        <v>0</v>
      </c>
      <c r="AS67" s="7" t="n">
        <v>0</v>
      </c>
      <c r="AT67" s="7" t="n">
        <v>0</v>
      </c>
      <c r="AU67" s="7" t="n">
        <v>0</v>
      </c>
      <c r="AV67" s="7" t="n">
        <v>0</v>
      </c>
      <c r="AW67" s="7" t="n">
        <v>0</v>
      </c>
      <c r="AX67" s="7" t="n">
        <v>0</v>
      </c>
      <c r="AY67" s="7" t="n">
        <v>0</v>
      </c>
      <c r="AZ67" s="7" t="n">
        <v>0</v>
      </c>
      <c r="BA67" s="7" t="n">
        <v>0</v>
      </c>
      <c r="BB67" s="7">
        <f>SUM(AD67:BA67)</f>
        <v/>
      </c>
    </row>
    <row r="68">
      <c r="A68" t="inlineStr">
        <is>
          <t>AMD-M1</t>
        </is>
      </c>
      <c r="B68" t="inlineStr">
        <is>
          <t>Forward Regular OSC</t>
        </is>
      </c>
      <c r="C68" s="5" t="n">
        <v>46090</v>
      </c>
      <c r="D68" s="6" t="n">
        <v>0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0</v>
      </c>
      <c r="M68" s="6" t="n">
        <v>0</v>
      </c>
      <c r="N68" s="6" t="n">
        <v>0</v>
      </c>
      <c r="O68" s="6" t="n">
        <v>0</v>
      </c>
      <c r="P68" s="6" t="n">
        <v>0</v>
      </c>
      <c r="Q68" s="6" t="n">
        <v>0</v>
      </c>
      <c r="R68" s="6" t="n">
        <v>0</v>
      </c>
      <c r="S68" s="6" t="n">
        <v>0</v>
      </c>
      <c r="T68" s="6" t="n">
        <v>0</v>
      </c>
      <c r="U68" s="6" t="n">
        <v>0</v>
      </c>
      <c r="V68" s="6" t="n">
        <v>0</v>
      </c>
      <c r="W68" s="6" t="n">
        <v>0</v>
      </c>
      <c r="X68" s="6" t="n">
        <v>0</v>
      </c>
      <c r="Y68" s="6" t="n">
        <v>0</v>
      </c>
      <c r="Z68" s="6" t="n">
        <v>0</v>
      </c>
      <c r="AA68" s="6" t="n">
        <v>0</v>
      </c>
      <c r="AB68" s="6">
        <f>SUM(D68:AA68)</f>
        <v/>
      </c>
      <c r="AC68" s="3" t="inlineStr"/>
      <c r="AD68" s="7" t="n">
        <v>0</v>
      </c>
      <c r="AE68" s="7" t="n">
        <v>0</v>
      </c>
      <c r="AF68" s="7" t="n">
        <v>0</v>
      </c>
      <c r="AG68" s="7" t="n">
        <v>0</v>
      </c>
      <c r="AH68" s="7" t="n">
        <v>0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0</v>
      </c>
      <c r="AO68" s="7" t="n">
        <v>0</v>
      </c>
      <c r="AP68" s="7" t="n">
        <v>0</v>
      </c>
      <c r="AQ68" s="7" t="n">
        <v>0</v>
      </c>
      <c r="AR68" s="7" t="n">
        <v>0</v>
      </c>
      <c r="AS68" s="7" t="n">
        <v>0</v>
      </c>
      <c r="AT68" s="7" t="n">
        <v>0</v>
      </c>
      <c r="AU68" s="7" t="n">
        <v>0</v>
      </c>
      <c r="AV68" s="7" t="n">
        <v>0</v>
      </c>
      <c r="AW68" s="7" t="n">
        <v>0</v>
      </c>
      <c r="AX68" s="7" t="n">
        <v>0</v>
      </c>
      <c r="AY68" s="7" t="n">
        <v>0</v>
      </c>
      <c r="AZ68" s="7" t="n">
        <v>0</v>
      </c>
      <c r="BA68" s="7" t="n">
        <v>0</v>
      </c>
      <c r="BB68" s="7">
        <f>SUM(AD68:BA68)</f>
        <v/>
      </c>
    </row>
    <row r="69">
      <c r="A69" t="inlineStr">
        <is>
          <t>AMD-M1</t>
        </is>
      </c>
      <c r="B69" t="inlineStr">
        <is>
          <t>Forward Regular OSC</t>
        </is>
      </c>
      <c r="C69" s="5" t="n">
        <v>46091</v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>
        <f>SUM(D69:AA69)</f>
        <v/>
      </c>
      <c r="AC69" s="3" t="inlineStr"/>
      <c r="AD69" s="7" t="n">
        <v>0</v>
      </c>
      <c r="AE69" s="7" t="n">
        <v>0</v>
      </c>
      <c r="AF69" s="7" t="n">
        <v>0</v>
      </c>
      <c r="AG69" s="7" t="n">
        <v>0</v>
      </c>
      <c r="AH69" s="7" t="n">
        <v>0</v>
      </c>
      <c r="AI69" s="7" t="n">
        <v>0</v>
      </c>
      <c r="AJ69" s="7" t="n">
        <v>0</v>
      </c>
      <c r="AK69" s="7" t="n">
        <v>0</v>
      </c>
      <c r="AL69" s="7" t="n">
        <v>0</v>
      </c>
      <c r="AM69" s="7" t="n">
        <v>0</v>
      </c>
      <c r="AN69" s="7" t="n">
        <v>0</v>
      </c>
      <c r="AO69" s="7" t="n">
        <v>0</v>
      </c>
      <c r="AP69" s="7" t="n">
        <v>0</v>
      </c>
      <c r="AQ69" s="7" t="n">
        <v>0</v>
      </c>
      <c r="AR69" s="7" t="n">
        <v>0</v>
      </c>
      <c r="AS69" s="7" t="n">
        <v>0</v>
      </c>
      <c r="AT69" s="7" t="n">
        <v>0</v>
      </c>
      <c r="AU69" s="7" t="n">
        <v>0</v>
      </c>
      <c r="AV69" s="7" t="n">
        <v>0</v>
      </c>
      <c r="AW69" s="7" t="n">
        <v>0</v>
      </c>
      <c r="AX69" s="7" t="n">
        <v>0</v>
      </c>
      <c r="AY69" s="7" t="n">
        <v>0</v>
      </c>
      <c r="AZ69" s="7" t="n">
        <v>0</v>
      </c>
      <c r="BA69" s="7" t="n">
        <v>0</v>
      </c>
      <c r="BB69" s="7">
        <f>SUM(AD69:BA69)</f>
        <v/>
      </c>
    </row>
    <row r="70">
      <c r="A70" t="inlineStr">
        <is>
          <t>AMD-M1</t>
        </is>
      </c>
      <c r="B70" t="inlineStr">
        <is>
          <t>Forward Regular OSC</t>
        </is>
      </c>
      <c r="C70" s="5" t="n">
        <v>46092</v>
      </c>
      <c r="D70" s="6" t="n">
        <v>0</v>
      </c>
      <c r="E70" s="6" t="n">
        <v>0</v>
      </c>
      <c r="F70" s="6" t="n">
        <v>0</v>
      </c>
      <c r="G70" s="6" t="n">
        <v>0</v>
      </c>
      <c r="H70" s="6" t="n">
        <v>0</v>
      </c>
      <c r="I70" s="6" t="n">
        <v>0</v>
      </c>
      <c r="J70" s="6" t="n">
        <v>0</v>
      </c>
      <c r="K70" s="6" t="n">
        <v>0</v>
      </c>
      <c r="L70" s="6" t="n">
        <v>0</v>
      </c>
      <c r="M70" s="6" t="n">
        <v>0</v>
      </c>
      <c r="N70" s="6" t="n">
        <v>0</v>
      </c>
      <c r="O70" s="6" t="n">
        <v>0</v>
      </c>
      <c r="P70" s="6" t="n">
        <v>0</v>
      </c>
      <c r="Q70" s="6" t="n">
        <v>0</v>
      </c>
      <c r="R70" s="6" t="n">
        <v>0</v>
      </c>
      <c r="S70" s="6" t="n">
        <v>0</v>
      </c>
      <c r="T70" s="6" t="n">
        <v>0</v>
      </c>
      <c r="U70" s="6" t="n">
        <v>0</v>
      </c>
      <c r="V70" s="6" t="n">
        <v>0</v>
      </c>
      <c r="W70" s="6" t="n">
        <v>0</v>
      </c>
      <c r="X70" s="6" t="n">
        <v>0</v>
      </c>
      <c r="Y70" s="6" t="n">
        <v>0</v>
      </c>
      <c r="Z70" s="6" t="n">
        <v>0</v>
      </c>
      <c r="AA70" s="6" t="n">
        <v>0</v>
      </c>
      <c r="AB70" s="6">
        <f>SUM(D70:AA70)</f>
        <v/>
      </c>
      <c r="AC70" s="3" t="inlineStr"/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>
        <f>SUM(AD70:BA70)</f>
        <v/>
      </c>
    </row>
    <row r="71">
      <c r="A71" t="inlineStr">
        <is>
          <t>AMD-M1</t>
        </is>
      </c>
      <c r="B71" t="inlineStr">
        <is>
          <t>Forward Regular OSC</t>
        </is>
      </c>
      <c r="C71" s="5" t="n">
        <v>46093</v>
      </c>
      <c r="D71" s="6" t="n">
        <v>0</v>
      </c>
      <c r="E71" s="6" t="n">
        <v>0</v>
      </c>
      <c r="F71" s="6" t="n">
        <v>0</v>
      </c>
      <c r="G71" s="6" t="n">
        <v>0</v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0</v>
      </c>
      <c r="Z71" s="6" t="n">
        <v>0</v>
      </c>
      <c r="AA71" s="6" t="n">
        <v>0</v>
      </c>
      <c r="AB71" s="6">
        <f>SUM(D71:AA71)</f>
        <v/>
      </c>
      <c r="AC71" s="3" t="inlineStr"/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  <c r="AS71" s="7" t="n">
        <v>0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7" t="n">
        <v>0</v>
      </c>
      <c r="BB71" s="7">
        <f>SUM(AD71:BA71)</f>
        <v/>
      </c>
    </row>
    <row r="72">
      <c r="A72" t="inlineStr">
        <is>
          <t>AMD-M1</t>
        </is>
      </c>
      <c r="B72" t="inlineStr">
        <is>
          <t>Forward Regular OSC</t>
        </is>
      </c>
      <c r="C72" s="5" t="n">
        <v>46094</v>
      </c>
      <c r="D72" s="6" t="n">
        <v>0</v>
      </c>
      <c r="E72" s="6" t="n">
        <v>0</v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0</v>
      </c>
      <c r="K72" s="6" t="n">
        <v>0</v>
      </c>
      <c r="L72" s="6" t="n">
        <v>0</v>
      </c>
      <c r="M72" s="6" t="n">
        <v>0</v>
      </c>
      <c r="N72" s="6" t="n">
        <v>0</v>
      </c>
      <c r="O72" s="6" t="n">
        <v>0</v>
      </c>
      <c r="P72" s="6" t="n">
        <v>0</v>
      </c>
      <c r="Q72" s="6" t="n">
        <v>0</v>
      </c>
      <c r="R72" s="6" t="n">
        <v>0</v>
      </c>
      <c r="S72" s="6" t="n">
        <v>0</v>
      </c>
      <c r="T72" s="6" t="n">
        <v>0</v>
      </c>
      <c r="U72" s="6" t="n">
        <v>0</v>
      </c>
      <c r="V72" s="6" t="n">
        <v>0</v>
      </c>
      <c r="W72" s="6" t="n">
        <v>0</v>
      </c>
      <c r="X72" s="6" t="n">
        <v>0</v>
      </c>
      <c r="Y72" s="6" t="n">
        <v>0</v>
      </c>
      <c r="Z72" s="6" t="n">
        <v>0</v>
      </c>
      <c r="AA72" s="6" t="n">
        <v>0</v>
      </c>
      <c r="AB72" s="6">
        <f>SUM(D72:AA72)</f>
        <v/>
      </c>
      <c r="AC72" s="3" t="inlineStr"/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0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0</v>
      </c>
      <c r="AO72" s="7" t="n">
        <v>0</v>
      </c>
      <c r="AP72" s="7" t="n">
        <v>0</v>
      </c>
      <c r="AQ72" s="7" t="n">
        <v>0</v>
      </c>
      <c r="AR72" s="7" t="n">
        <v>0</v>
      </c>
      <c r="AS72" s="7" t="n">
        <v>0</v>
      </c>
      <c r="AT72" s="7" t="n">
        <v>0</v>
      </c>
      <c r="AU72" s="7" t="n">
        <v>0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0</v>
      </c>
      <c r="BA72" s="7" t="n">
        <v>0</v>
      </c>
      <c r="BB72" s="7">
        <f>SUM(AD72:BA72)</f>
        <v/>
      </c>
    </row>
    <row r="73">
      <c r="A73" t="inlineStr">
        <is>
          <t>AMD-M1</t>
        </is>
      </c>
      <c r="B73" t="inlineStr">
        <is>
          <t>Forward Regular OSC</t>
        </is>
      </c>
      <c r="C73" s="5" t="n">
        <v>46095</v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  <c r="S73" s="6" t="n">
        <v>0</v>
      </c>
      <c r="T73" s="6" t="n">
        <v>0</v>
      </c>
      <c r="U73" s="6" t="n">
        <v>0</v>
      </c>
      <c r="V73" s="6" t="n">
        <v>0</v>
      </c>
      <c r="W73" s="6" t="n">
        <v>0</v>
      </c>
      <c r="X73" s="6" t="n">
        <v>0</v>
      </c>
      <c r="Y73" s="6" t="n">
        <v>0</v>
      </c>
      <c r="Z73" s="6" t="n">
        <v>0</v>
      </c>
      <c r="AA73" s="6" t="n">
        <v>0</v>
      </c>
      <c r="AB73" s="6">
        <f>SUM(D73:AA73)</f>
        <v/>
      </c>
      <c r="AC73" s="3" t="inlineStr"/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7" t="n">
        <v>0</v>
      </c>
      <c r="BB73" s="7">
        <f>SUM(AD73:BA73)</f>
        <v/>
      </c>
    </row>
    <row r="74">
      <c r="A74" t="inlineStr">
        <is>
          <t>AMD-M1</t>
        </is>
      </c>
      <c r="B74" t="inlineStr">
        <is>
          <t>Forward Regular OSC</t>
        </is>
      </c>
      <c r="C74" s="5" t="n">
        <v>46096</v>
      </c>
      <c r="D74" s="6" t="n">
        <v>0</v>
      </c>
      <c r="E74" s="6" t="n">
        <v>0</v>
      </c>
      <c r="F74" s="6" t="n">
        <v>0</v>
      </c>
      <c r="G74" s="6" t="n">
        <v>0</v>
      </c>
      <c r="H74" s="6" t="n">
        <v>0</v>
      </c>
      <c r="I74" s="6" t="n">
        <v>0</v>
      </c>
      <c r="J74" s="6" t="n">
        <v>0</v>
      </c>
      <c r="K74" s="6" t="n">
        <v>0</v>
      </c>
      <c r="L74" s="6" t="n">
        <v>0</v>
      </c>
      <c r="M74" s="6" t="n">
        <v>0</v>
      </c>
      <c r="N74" s="6" t="n">
        <v>0</v>
      </c>
      <c r="O74" s="6" t="n">
        <v>0</v>
      </c>
      <c r="P74" s="6" t="n">
        <v>0</v>
      </c>
      <c r="Q74" s="6" t="n">
        <v>0</v>
      </c>
      <c r="R74" s="6" t="n">
        <v>0</v>
      </c>
      <c r="S74" s="6" t="n">
        <v>0</v>
      </c>
      <c r="T74" s="6" t="n">
        <v>0</v>
      </c>
      <c r="U74" s="6" t="n">
        <v>0</v>
      </c>
      <c r="V74" s="6" t="n">
        <v>0</v>
      </c>
      <c r="W74" s="6" t="n">
        <v>0</v>
      </c>
      <c r="X74" s="6" t="n">
        <v>0</v>
      </c>
      <c r="Y74" s="6" t="n">
        <v>0</v>
      </c>
      <c r="Z74" s="6" t="n">
        <v>0</v>
      </c>
      <c r="AA74" s="6" t="n">
        <v>0</v>
      </c>
      <c r="AB74" s="6">
        <f>SUM(D74:AA74)</f>
        <v/>
      </c>
      <c r="AC74" s="3" t="inlineStr"/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>
        <f>SUM(AD74:BA74)</f>
        <v/>
      </c>
    </row>
    <row r="75">
      <c r="A75" t="inlineStr">
        <is>
          <t>AMD-M1</t>
        </is>
      </c>
      <c r="B75" t="inlineStr">
        <is>
          <t>Forward Regular OSC</t>
        </is>
      </c>
      <c r="C75" s="5" t="n">
        <v>46097</v>
      </c>
      <c r="D75" s="6" t="n">
        <v>0</v>
      </c>
      <c r="E75" s="6" t="n">
        <v>0</v>
      </c>
      <c r="F75" s="6" t="n">
        <v>0</v>
      </c>
      <c r="G75" s="6" t="n">
        <v>0</v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  <c r="O75" s="6" t="n">
        <v>0</v>
      </c>
      <c r="P75" s="6" t="n">
        <v>0</v>
      </c>
      <c r="Q75" s="6" t="n">
        <v>0</v>
      </c>
      <c r="R75" s="6" t="n">
        <v>0</v>
      </c>
      <c r="S75" s="6" t="n">
        <v>0</v>
      </c>
      <c r="T75" s="6" t="n">
        <v>0</v>
      </c>
      <c r="U75" s="6" t="n">
        <v>0</v>
      </c>
      <c r="V75" s="6" t="n">
        <v>0</v>
      </c>
      <c r="W75" s="6" t="n">
        <v>0</v>
      </c>
      <c r="X75" s="6" t="n">
        <v>0</v>
      </c>
      <c r="Y75" s="6" t="n">
        <v>0</v>
      </c>
      <c r="Z75" s="6" t="n">
        <v>0</v>
      </c>
      <c r="AA75" s="6" t="n">
        <v>0</v>
      </c>
      <c r="AB75" s="6">
        <f>SUM(D75:AA75)</f>
        <v/>
      </c>
      <c r="AC75" s="3" t="inlineStr"/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7" t="n">
        <v>0</v>
      </c>
      <c r="AP75" s="7" t="n">
        <v>0</v>
      </c>
      <c r="AQ75" s="7" t="n">
        <v>0</v>
      </c>
      <c r="AR75" s="7" t="n">
        <v>0</v>
      </c>
      <c r="AS75" s="7" t="n">
        <v>0</v>
      </c>
      <c r="AT75" s="7" t="n">
        <v>0</v>
      </c>
      <c r="AU75" s="7" t="n">
        <v>0</v>
      </c>
      <c r="AV75" s="7" t="n">
        <v>0</v>
      </c>
      <c r="AW75" s="7" t="n">
        <v>0</v>
      </c>
      <c r="AX75" s="7" t="n">
        <v>0</v>
      </c>
      <c r="AY75" s="7" t="n">
        <v>0</v>
      </c>
      <c r="AZ75" s="7" t="n">
        <v>0</v>
      </c>
      <c r="BA75" s="7" t="n">
        <v>0</v>
      </c>
      <c r="BB75" s="7">
        <f>SUM(AD75:BA75)</f>
        <v/>
      </c>
    </row>
    <row r="76">
      <c r="A76" t="inlineStr">
        <is>
          <t>AMD-M2</t>
        </is>
      </c>
      <c r="B76" t="inlineStr">
        <is>
          <t>Forward Regular OSC</t>
        </is>
      </c>
      <c r="C76" s="5" t="n">
        <v>46089</v>
      </c>
      <c r="D76" s="6" t="n">
        <v>0</v>
      </c>
      <c r="E76" s="6" t="n">
        <v>0</v>
      </c>
      <c r="F76" s="6" t="n">
        <v>0</v>
      </c>
      <c r="G76" s="6" t="n">
        <v>0</v>
      </c>
      <c r="H76" s="6" t="n">
        <v>0</v>
      </c>
      <c r="I76" s="6" t="n">
        <v>0</v>
      </c>
      <c r="J76" s="6" t="n">
        <v>0</v>
      </c>
      <c r="K76" s="6" t="n">
        <v>0</v>
      </c>
      <c r="L76" s="6" t="n">
        <v>0</v>
      </c>
      <c r="M76" s="6" t="n">
        <v>0</v>
      </c>
      <c r="N76" s="6" t="n">
        <v>0</v>
      </c>
      <c r="O76" s="6" t="n">
        <v>0</v>
      </c>
      <c r="P76" s="6" t="n">
        <v>0</v>
      </c>
      <c r="Q76" s="6" t="n">
        <v>0</v>
      </c>
      <c r="R76" s="6" t="n">
        <v>0</v>
      </c>
      <c r="S76" s="6" t="n">
        <v>0</v>
      </c>
      <c r="T76" s="6" t="n">
        <v>0</v>
      </c>
      <c r="U76" s="6" t="n">
        <v>0</v>
      </c>
      <c r="V76" s="6" t="n">
        <v>0</v>
      </c>
      <c r="W76" s="6" t="n">
        <v>0</v>
      </c>
      <c r="X76" s="6" t="n">
        <v>0</v>
      </c>
      <c r="Y76" s="6" t="n">
        <v>0</v>
      </c>
      <c r="Z76" s="6" t="n">
        <v>0</v>
      </c>
      <c r="AA76" s="6" t="n">
        <v>0</v>
      </c>
      <c r="AB76" s="6">
        <f>SUM(D76:AA76)</f>
        <v/>
      </c>
      <c r="AC76" s="3" t="inlineStr"/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0</v>
      </c>
      <c r="AP76" s="7" t="n">
        <v>0</v>
      </c>
      <c r="AQ76" s="7" t="n">
        <v>0</v>
      </c>
      <c r="AR76" s="7" t="n">
        <v>0</v>
      </c>
      <c r="AS76" s="7" t="n">
        <v>0</v>
      </c>
      <c r="AT76" s="7" t="n">
        <v>0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0</v>
      </c>
      <c r="BA76" s="7" t="n">
        <v>0</v>
      </c>
      <c r="BB76" s="7">
        <f>SUM(AD76:BA76)</f>
        <v/>
      </c>
    </row>
    <row r="77">
      <c r="A77" t="inlineStr">
        <is>
          <t>AMD-M2</t>
        </is>
      </c>
      <c r="B77" t="inlineStr">
        <is>
          <t>Forward Regular OSC</t>
        </is>
      </c>
      <c r="C77" s="5" t="n">
        <v>46090</v>
      </c>
      <c r="D77" s="6" t="n">
        <v>0</v>
      </c>
      <c r="E77" s="6" t="n">
        <v>0</v>
      </c>
      <c r="F77" s="6" t="n">
        <v>0</v>
      </c>
      <c r="G77" s="6" t="n">
        <v>0</v>
      </c>
      <c r="H77" s="6" t="n">
        <v>0</v>
      </c>
      <c r="I77" s="6" t="n">
        <v>0</v>
      </c>
      <c r="J77" s="6" t="n">
        <v>0</v>
      </c>
      <c r="K77" s="6" t="n">
        <v>0</v>
      </c>
      <c r="L77" s="6" t="n">
        <v>0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</v>
      </c>
      <c r="R77" s="6" t="n">
        <v>0</v>
      </c>
      <c r="S77" s="6" t="n">
        <v>0</v>
      </c>
      <c r="T77" s="6" t="n">
        <v>0</v>
      </c>
      <c r="U77" s="6" t="n">
        <v>0</v>
      </c>
      <c r="V77" s="6" t="n">
        <v>0</v>
      </c>
      <c r="W77" s="6" t="n">
        <v>0</v>
      </c>
      <c r="X77" s="6" t="n">
        <v>0</v>
      </c>
      <c r="Y77" s="6" t="n">
        <v>0</v>
      </c>
      <c r="Z77" s="6" t="n">
        <v>0</v>
      </c>
      <c r="AA77" s="6" t="n">
        <v>0</v>
      </c>
      <c r="AB77" s="6">
        <f>SUM(D77:AA77)</f>
        <v/>
      </c>
      <c r="AC77" s="3" t="inlineStr"/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0</v>
      </c>
      <c r="AP77" s="7" t="n">
        <v>0</v>
      </c>
      <c r="AQ77" s="7" t="n">
        <v>0</v>
      </c>
      <c r="AR77" s="7" t="n">
        <v>0</v>
      </c>
      <c r="AS77" s="7" t="n">
        <v>0</v>
      </c>
      <c r="AT77" s="7" t="n">
        <v>0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0</v>
      </c>
      <c r="BA77" s="7" t="n">
        <v>0</v>
      </c>
      <c r="BB77" s="7">
        <f>SUM(AD77:BA77)</f>
        <v/>
      </c>
    </row>
    <row r="78">
      <c r="A78" t="inlineStr">
        <is>
          <t>AMD-M2</t>
        </is>
      </c>
      <c r="B78" t="inlineStr">
        <is>
          <t>Forward Regular OSC</t>
        </is>
      </c>
      <c r="C78" s="5" t="n">
        <v>46091</v>
      </c>
      <c r="D78" s="6" t="n">
        <v>0</v>
      </c>
      <c r="E78" s="6" t="n">
        <v>0</v>
      </c>
      <c r="F78" s="6" t="n">
        <v>0</v>
      </c>
      <c r="G78" s="6" t="n">
        <v>0</v>
      </c>
      <c r="H78" s="6" t="n">
        <v>0</v>
      </c>
      <c r="I78" s="6" t="n">
        <v>0</v>
      </c>
      <c r="J78" s="6" t="n">
        <v>0</v>
      </c>
      <c r="K78" s="6" t="n">
        <v>0</v>
      </c>
      <c r="L78" s="6" t="n">
        <v>0</v>
      </c>
      <c r="M78" s="6" t="n">
        <v>0</v>
      </c>
      <c r="N78" s="6" t="n">
        <v>0</v>
      </c>
      <c r="O78" s="6" t="n">
        <v>0</v>
      </c>
      <c r="P78" s="6" t="n">
        <v>0</v>
      </c>
      <c r="Q78" s="6" t="n">
        <v>0</v>
      </c>
      <c r="R78" s="6" t="n">
        <v>0</v>
      </c>
      <c r="S78" s="6" t="n">
        <v>0</v>
      </c>
      <c r="T78" s="6" t="n">
        <v>0</v>
      </c>
      <c r="U78" s="6" t="n">
        <v>0</v>
      </c>
      <c r="V78" s="6" t="n">
        <v>0</v>
      </c>
      <c r="W78" s="6" t="n">
        <v>0</v>
      </c>
      <c r="X78" s="6" t="n">
        <v>0</v>
      </c>
      <c r="Y78" s="6" t="n">
        <v>0</v>
      </c>
      <c r="Z78" s="6" t="n">
        <v>0</v>
      </c>
      <c r="AA78" s="6" t="n">
        <v>0</v>
      </c>
      <c r="AB78" s="6">
        <f>SUM(D78:AA78)</f>
        <v/>
      </c>
      <c r="AC78" s="3" t="inlineStr"/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0</v>
      </c>
      <c r="AP78" s="7" t="n">
        <v>0</v>
      </c>
      <c r="AQ78" s="7" t="n">
        <v>0</v>
      </c>
      <c r="AR78" s="7" t="n">
        <v>0</v>
      </c>
      <c r="AS78" s="7" t="n">
        <v>0</v>
      </c>
      <c r="AT78" s="7" t="n">
        <v>0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0</v>
      </c>
      <c r="BA78" s="7" t="n">
        <v>0</v>
      </c>
      <c r="BB78" s="7">
        <f>SUM(AD78:BA78)</f>
        <v/>
      </c>
    </row>
    <row r="79">
      <c r="A79" t="inlineStr">
        <is>
          <t>AMD-M2</t>
        </is>
      </c>
      <c r="B79" t="inlineStr">
        <is>
          <t>Forward Regular OSC</t>
        </is>
      </c>
      <c r="C79" s="5" t="n">
        <v>46092</v>
      </c>
      <c r="D79" s="6" t="n">
        <v>0</v>
      </c>
      <c r="E79" s="6" t="n">
        <v>0</v>
      </c>
      <c r="F79" s="6" t="n">
        <v>0</v>
      </c>
      <c r="G79" s="6" t="n">
        <v>0</v>
      </c>
      <c r="H79" s="6" t="n">
        <v>0</v>
      </c>
      <c r="I79" s="6" t="n">
        <v>0</v>
      </c>
      <c r="J79" s="6" t="n">
        <v>0</v>
      </c>
      <c r="K79" s="6" t="n">
        <v>0</v>
      </c>
      <c r="L79" s="6" t="n">
        <v>0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0</v>
      </c>
      <c r="T79" s="6" t="n">
        <v>0</v>
      </c>
      <c r="U79" s="6" t="n">
        <v>0</v>
      </c>
      <c r="V79" s="6" t="n">
        <v>0</v>
      </c>
      <c r="W79" s="6" t="n">
        <v>0</v>
      </c>
      <c r="X79" s="6" t="n">
        <v>0</v>
      </c>
      <c r="Y79" s="6" t="n">
        <v>0</v>
      </c>
      <c r="Z79" s="6" t="n">
        <v>0</v>
      </c>
      <c r="AA79" s="6" t="n">
        <v>0</v>
      </c>
      <c r="AB79" s="6">
        <f>SUM(D79:AA79)</f>
        <v/>
      </c>
      <c r="AC79" s="3" t="inlineStr"/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0</v>
      </c>
      <c r="AP79" s="7" t="n">
        <v>0</v>
      </c>
      <c r="AQ79" s="7" t="n">
        <v>0</v>
      </c>
      <c r="AR79" s="7" t="n">
        <v>0</v>
      </c>
      <c r="AS79" s="7" t="n">
        <v>0</v>
      </c>
      <c r="AT79" s="7" t="n">
        <v>0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0</v>
      </c>
      <c r="BA79" s="7" t="n">
        <v>0</v>
      </c>
      <c r="BB79" s="7">
        <f>SUM(AD79:BA79)</f>
        <v/>
      </c>
    </row>
    <row r="80">
      <c r="A80" t="inlineStr">
        <is>
          <t>AMD-M2</t>
        </is>
      </c>
      <c r="B80" t="inlineStr">
        <is>
          <t>Forward Regular OSC</t>
        </is>
      </c>
      <c r="C80" s="5" t="n">
        <v>46093</v>
      </c>
      <c r="D80" s="6" t="n">
        <v>0</v>
      </c>
      <c r="E80" s="6" t="n">
        <v>0</v>
      </c>
      <c r="F80" s="6" t="n">
        <v>0</v>
      </c>
      <c r="G80" s="6" t="n">
        <v>0</v>
      </c>
      <c r="H80" s="6" t="n">
        <v>0</v>
      </c>
      <c r="I80" s="6" t="n">
        <v>0</v>
      </c>
      <c r="J80" s="6" t="n">
        <v>0</v>
      </c>
      <c r="K80" s="6" t="n">
        <v>0</v>
      </c>
      <c r="L80" s="6" t="n">
        <v>0</v>
      </c>
      <c r="M80" s="6" t="n">
        <v>0</v>
      </c>
      <c r="N80" s="6" t="n">
        <v>0</v>
      </c>
      <c r="O80" s="6" t="n">
        <v>0</v>
      </c>
      <c r="P80" s="6" t="n">
        <v>0</v>
      </c>
      <c r="Q80" s="6" t="n">
        <v>0</v>
      </c>
      <c r="R80" s="6" t="n">
        <v>0</v>
      </c>
      <c r="S80" s="6" t="n">
        <v>0</v>
      </c>
      <c r="T80" s="6" t="n">
        <v>0</v>
      </c>
      <c r="U80" s="6" t="n">
        <v>0</v>
      </c>
      <c r="V80" s="6" t="n">
        <v>0</v>
      </c>
      <c r="W80" s="6" t="n">
        <v>0</v>
      </c>
      <c r="X80" s="6" t="n">
        <v>0</v>
      </c>
      <c r="Y80" s="6" t="n">
        <v>0</v>
      </c>
      <c r="Z80" s="6" t="n">
        <v>0</v>
      </c>
      <c r="AA80" s="6" t="n">
        <v>0</v>
      </c>
      <c r="AB80" s="6">
        <f>SUM(D80:AA80)</f>
        <v/>
      </c>
      <c r="AC80" s="3" t="inlineStr"/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0</v>
      </c>
      <c r="AP80" s="7" t="n">
        <v>0</v>
      </c>
      <c r="AQ80" s="7" t="n">
        <v>0</v>
      </c>
      <c r="AR80" s="7" t="n">
        <v>0</v>
      </c>
      <c r="AS80" s="7" t="n">
        <v>0</v>
      </c>
      <c r="AT80" s="7" t="n">
        <v>0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0</v>
      </c>
      <c r="BA80" s="7" t="n">
        <v>0</v>
      </c>
      <c r="BB80" s="7">
        <f>SUM(AD80:BA80)</f>
        <v/>
      </c>
    </row>
    <row r="81">
      <c r="A81" t="inlineStr">
        <is>
          <t>AMD-M2</t>
        </is>
      </c>
      <c r="B81" t="inlineStr">
        <is>
          <t>Forward Regular OSC</t>
        </is>
      </c>
      <c r="C81" s="5" t="n">
        <v>46094</v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  <c r="R81" s="6" t="n">
        <v>0</v>
      </c>
      <c r="S81" s="6" t="n">
        <v>0</v>
      </c>
      <c r="T81" s="6" t="n">
        <v>0</v>
      </c>
      <c r="U81" s="6" t="n">
        <v>0</v>
      </c>
      <c r="V81" s="6" t="n">
        <v>0</v>
      </c>
      <c r="W81" s="6" t="n">
        <v>0</v>
      </c>
      <c r="X81" s="6" t="n">
        <v>0</v>
      </c>
      <c r="Y81" s="6" t="n">
        <v>0</v>
      </c>
      <c r="Z81" s="6" t="n">
        <v>0</v>
      </c>
      <c r="AA81" s="6" t="n">
        <v>0</v>
      </c>
      <c r="AB81" s="6">
        <f>SUM(D81:AA81)</f>
        <v/>
      </c>
      <c r="AC81" s="3" t="inlineStr"/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0</v>
      </c>
      <c r="AP81" s="7" t="n">
        <v>0</v>
      </c>
      <c r="AQ81" s="7" t="n">
        <v>0</v>
      </c>
      <c r="AR81" s="7" t="n">
        <v>0</v>
      </c>
      <c r="AS81" s="7" t="n">
        <v>0</v>
      </c>
      <c r="AT81" s="7" t="n">
        <v>0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0</v>
      </c>
      <c r="BA81" s="7" t="n">
        <v>0</v>
      </c>
      <c r="BB81" s="7">
        <f>SUM(AD81:BA81)</f>
        <v/>
      </c>
    </row>
    <row r="82">
      <c r="A82" t="inlineStr">
        <is>
          <t>AMD-M2</t>
        </is>
      </c>
      <c r="B82" t="inlineStr">
        <is>
          <t>Forward Regular OSC</t>
        </is>
      </c>
      <c r="C82" s="5" t="n">
        <v>46095</v>
      </c>
      <c r="D82" s="6" t="n">
        <v>0</v>
      </c>
      <c r="E82" s="6" t="n">
        <v>0</v>
      </c>
      <c r="F82" s="6" t="n">
        <v>0</v>
      </c>
      <c r="G82" s="6" t="n">
        <v>0</v>
      </c>
      <c r="H82" s="6" t="n">
        <v>0</v>
      </c>
      <c r="I82" s="6" t="n">
        <v>0</v>
      </c>
      <c r="J82" s="6" t="n">
        <v>0</v>
      </c>
      <c r="K82" s="6" t="n">
        <v>0</v>
      </c>
      <c r="L82" s="6" t="n">
        <v>0</v>
      </c>
      <c r="M82" s="6" t="n">
        <v>0</v>
      </c>
      <c r="N82" s="6" t="n">
        <v>0</v>
      </c>
      <c r="O82" s="6" t="n">
        <v>0</v>
      </c>
      <c r="P82" s="6" t="n">
        <v>0</v>
      </c>
      <c r="Q82" s="6" t="n">
        <v>0</v>
      </c>
      <c r="R82" s="6" t="n">
        <v>0</v>
      </c>
      <c r="S82" s="6" t="n">
        <v>0</v>
      </c>
      <c r="T82" s="6" t="n">
        <v>0</v>
      </c>
      <c r="U82" s="6" t="n">
        <v>0</v>
      </c>
      <c r="V82" s="6" t="n">
        <v>0</v>
      </c>
      <c r="W82" s="6" t="n">
        <v>0</v>
      </c>
      <c r="X82" s="6" t="n">
        <v>0</v>
      </c>
      <c r="Y82" s="6" t="n">
        <v>0</v>
      </c>
      <c r="Z82" s="6" t="n">
        <v>0</v>
      </c>
      <c r="AA82" s="6" t="n">
        <v>0</v>
      </c>
      <c r="AB82" s="6">
        <f>SUM(D82:AA82)</f>
        <v/>
      </c>
      <c r="AC82" s="3" t="inlineStr"/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0</v>
      </c>
      <c r="AP82" s="7" t="n">
        <v>0</v>
      </c>
      <c r="AQ82" s="7" t="n">
        <v>0</v>
      </c>
      <c r="AR82" s="7" t="n">
        <v>0</v>
      </c>
      <c r="AS82" s="7" t="n">
        <v>0</v>
      </c>
      <c r="AT82" s="7" t="n">
        <v>0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7" t="n">
        <v>0</v>
      </c>
      <c r="BB82" s="7">
        <f>SUM(AD82:BA82)</f>
        <v/>
      </c>
    </row>
    <row r="83">
      <c r="A83" t="inlineStr">
        <is>
          <t>AMD-M2</t>
        </is>
      </c>
      <c r="B83" t="inlineStr">
        <is>
          <t>Forward Regular OSC</t>
        </is>
      </c>
      <c r="C83" s="5" t="n">
        <v>46096</v>
      </c>
      <c r="D83" s="6" t="n">
        <v>0</v>
      </c>
      <c r="E83" s="6" t="n">
        <v>0</v>
      </c>
      <c r="F83" s="6" t="n">
        <v>0</v>
      </c>
      <c r="G83" s="6" t="n">
        <v>0</v>
      </c>
      <c r="H83" s="6" t="n">
        <v>0</v>
      </c>
      <c r="I83" s="6" t="n">
        <v>0</v>
      </c>
      <c r="J83" s="6" t="n">
        <v>0</v>
      </c>
      <c r="K83" s="6" t="n">
        <v>0</v>
      </c>
      <c r="L83" s="6" t="n">
        <v>0</v>
      </c>
      <c r="M83" s="6" t="n">
        <v>0</v>
      </c>
      <c r="N83" s="6" t="n">
        <v>0</v>
      </c>
      <c r="O83" s="6" t="n">
        <v>0</v>
      </c>
      <c r="P83" s="6" t="n">
        <v>0</v>
      </c>
      <c r="Q83" s="6" t="n">
        <v>0</v>
      </c>
      <c r="R83" s="6" t="n">
        <v>0</v>
      </c>
      <c r="S83" s="6" t="n">
        <v>0</v>
      </c>
      <c r="T83" s="6" t="n">
        <v>0</v>
      </c>
      <c r="U83" s="6" t="n">
        <v>0</v>
      </c>
      <c r="V83" s="6" t="n">
        <v>0</v>
      </c>
      <c r="W83" s="6" t="n">
        <v>0</v>
      </c>
      <c r="X83" s="6" t="n">
        <v>0</v>
      </c>
      <c r="Y83" s="6" t="n">
        <v>0</v>
      </c>
      <c r="Z83" s="6" t="n">
        <v>0</v>
      </c>
      <c r="AA83" s="6" t="n">
        <v>0</v>
      </c>
      <c r="AB83" s="6">
        <f>SUM(D83:AA83)</f>
        <v/>
      </c>
      <c r="AC83" s="3" t="inlineStr"/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0</v>
      </c>
      <c r="AP83" s="7" t="n">
        <v>0</v>
      </c>
      <c r="AQ83" s="7" t="n">
        <v>0</v>
      </c>
      <c r="AR83" s="7" t="n">
        <v>0</v>
      </c>
      <c r="AS83" s="7" t="n">
        <v>0</v>
      </c>
      <c r="AT83" s="7" t="n">
        <v>0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0</v>
      </c>
      <c r="BA83" s="7" t="n">
        <v>0</v>
      </c>
      <c r="BB83" s="7">
        <f>SUM(AD83:BA83)</f>
        <v/>
      </c>
    </row>
    <row r="84">
      <c r="A84" t="inlineStr">
        <is>
          <t>AMD-M2</t>
        </is>
      </c>
      <c r="B84" t="inlineStr">
        <is>
          <t>Forward Regular OSC</t>
        </is>
      </c>
      <c r="C84" s="5" t="n">
        <v>46097</v>
      </c>
      <c r="D84" s="6" t="n">
        <v>0</v>
      </c>
      <c r="E84" s="6" t="n">
        <v>0</v>
      </c>
      <c r="F84" s="6" t="n">
        <v>0</v>
      </c>
      <c r="G84" s="6" t="n">
        <v>0</v>
      </c>
      <c r="H84" s="6" t="n">
        <v>0</v>
      </c>
      <c r="I84" s="6" t="n">
        <v>0</v>
      </c>
      <c r="J84" s="6" t="n">
        <v>0</v>
      </c>
      <c r="K84" s="6" t="n">
        <v>0</v>
      </c>
      <c r="L84" s="6" t="n">
        <v>0</v>
      </c>
      <c r="M84" s="6" t="n">
        <v>0</v>
      </c>
      <c r="N84" s="6" t="n">
        <v>0</v>
      </c>
      <c r="O84" s="6" t="n">
        <v>0</v>
      </c>
      <c r="P84" s="6" t="n">
        <v>0</v>
      </c>
      <c r="Q84" s="6" t="n">
        <v>0</v>
      </c>
      <c r="R84" s="6" t="n">
        <v>0</v>
      </c>
      <c r="S84" s="6" t="n">
        <v>0</v>
      </c>
      <c r="T84" s="6" t="n">
        <v>0</v>
      </c>
      <c r="U84" s="6" t="n">
        <v>0</v>
      </c>
      <c r="V84" s="6" t="n">
        <v>0</v>
      </c>
      <c r="W84" s="6" t="n">
        <v>0</v>
      </c>
      <c r="X84" s="6" t="n">
        <v>0</v>
      </c>
      <c r="Y84" s="6" t="n">
        <v>0</v>
      </c>
      <c r="Z84" s="6" t="n">
        <v>0</v>
      </c>
      <c r="AA84" s="6" t="n">
        <v>0</v>
      </c>
      <c r="AB84" s="6">
        <f>SUM(D84:AA84)</f>
        <v/>
      </c>
      <c r="AC84" s="3" t="inlineStr"/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0</v>
      </c>
      <c r="AP84" s="7" t="n">
        <v>0</v>
      </c>
      <c r="AQ84" s="7" t="n">
        <v>0</v>
      </c>
      <c r="AR84" s="7" t="n">
        <v>0</v>
      </c>
      <c r="AS84" s="7" t="n">
        <v>0</v>
      </c>
      <c r="AT84" s="7" t="n">
        <v>0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0</v>
      </c>
      <c r="BA84" s="7" t="n">
        <v>0</v>
      </c>
      <c r="BB84" s="7">
        <f>SUM(AD84:BA84)</f>
        <v/>
      </c>
    </row>
    <row r="85">
      <c r="A85" t="inlineStr">
        <is>
          <t>AMD-MU-01</t>
        </is>
      </c>
      <c r="B85" t="inlineStr">
        <is>
          <t>Forward Regular OSC</t>
        </is>
      </c>
      <c r="C85" s="5" t="n">
        <v>46091</v>
      </c>
      <c r="D85" s="6" t="n">
        <v>0</v>
      </c>
      <c r="E85" s="6" t="n">
        <v>0</v>
      </c>
      <c r="F85" s="6" t="n">
        <v>0</v>
      </c>
      <c r="G85" s="6" t="n">
        <v>0</v>
      </c>
      <c r="H85" s="6" t="n">
        <v>0</v>
      </c>
      <c r="I85" s="6" t="n">
        <v>0</v>
      </c>
      <c r="J85" s="6" t="n">
        <v>0</v>
      </c>
      <c r="K85" s="6" t="n">
        <v>0</v>
      </c>
      <c r="L85" s="6" t="n">
        <v>0</v>
      </c>
      <c r="M85" s="6" t="n">
        <v>0</v>
      </c>
      <c r="N85" s="6" t="n">
        <v>0</v>
      </c>
      <c r="O85" s="6" t="n">
        <v>0</v>
      </c>
      <c r="P85" s="6" t="n">
        <v>0</v>
      </c>
      <c r="Q85" s="6" t="n">
        <v>0</v>
      </c>
      <c r="R85" s="6" t="n">
        <v>0</v>
      </c>
      <c r="S85" s="6" t="n">
        <v>0</v>
      </c>
      <c r="T85" s="6" t="n">
        <v>0</v>
      </c>
      <c r="U85" s="6" t="n">
        <v>0</v>
      </c>
      <c r="V85" s="6" t="n">
        <v>0</v>
      </c>
      <c r="W85" s="6" t="n">
        <v>0</v>
      </c>
      <c r="X85" s="6" t="n">
        <v>0</v>
      </c>
      <c r="Y85" s="6" t="n">
        <v>0</v>
      </c>
      <c r="Z85" s="6" t="n">
        <v>0</v>
      </c>
      <c r="AA85" s="6" t="n">
        <v>0</v>
      </c>
      <c r="AB85" s="6">
        <f>SUM(D85:AA85)</f>
        <v/>
      </c>
      <c r="AC85" s="3" t="inlineStr"/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0</v>
      </c>
      <c r="AP85" s="7" t="n">
        <v>0</v>
      </c>
      <c r="AQ85" s="7" t="n">
        <v>0</v>
      </c>
      <c r="AR85" s="7" t="n">
        <v>0</v>
      </c>
      <c r="AS85" s="7" t="n">
        <v>0</v>
      </c>
      <c r="AT85" s="7" t="n">
        <v>0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0</v>
      </c>
      <c r="BA85" s="7" t="n">
        <v>0</v>
      </c>
      <c r="BB85" s="7">
        <f>SUM(AD85:BA85)</f>
        <v/>
      </c>
    </row>
    <row r="86">
      <c r="A86" t="inlineStr">
        <is>
          <t>AMD-RTS-RCLS-1302-SSC</t>
        </is>
      </c>
      <c r="B86" t="inlineStr">
        <is>
          <t>Rev OSC</t>
        </is>
      </c>
      <c r="C86" s="5" t="n">
        <v>46089</v>
      </c>
      <c r="D86" s="6">
        <f>Summary!D86</f>
        <v/>
      </c>
      <c r="E86" s="6">
        <f>Summary!E86</f>
        <v/>
      </c>
      <c r="F86" s="6">
        <f>Summary!F86</f>
        <v/>
      </c>
      <c r="G86" s="6">
        <f>Summary!G86</f>
        <v/>
      </c>
      <c r="H86" s="6">
        <f>Summary!H86</f>
        <v/>
      </c>
      <c r="I86" s="6">
        <f>Summary!I86</f>
        <v/>
      </c>
      <c r="J86" s="6">
        <f>Summary!J86</f>
        <v/>
      </c>
      <c r="K86" s="6">
        <f>Summary!K86</f>
        <v/>
      </c>
      <c r="L86" s="6">
        <f>Summary!L86</f>
        <v/>
      </c>
      <c r="M86" s="6">
        <f>Summary!M86</f>
        <v/>
      </c>
      <c r="N86" s="6">
        <f>Summary!N86</f>
        <v/>
      </c>
      <c r="O86" s="6">
        <f>Summary!O86</f>
        <v/>
      </c>
      <c r="P86" s="6">
        <f>Summary!P86</f>
        <v/>
      </c>
      <c r="Q86" s="6">
        <f>Summary!Q86</f>
        <v/>
      </c>
      <c r="R86" s="6">
        <f>Summary!R86</f>
        <v/>
      </c>
      <c r="S86" s="6">
        <f>Summary!S86</f>
        <v/>
      </c>
      <c r="T86" s="6">
        <f>Summary!T86</f>
        <v/>
      </c>
      <c r="U86" s="6">
        <f>Summary!U86</f>
        <v/>
      </c>
      <c r="V86" s="6">
        <f>Summary!V86</f>
        <v/>
      </c>
      <c r="W86" s="6">
        <f>Summary!W86</f>
        <v/>
      </c>
      <c r="X86" s="6">
        <f>Summary!X86</f>
        <v/>
      </c>
      <c r="Y86" s="6">
        <f>Summary!Y86</f>
        <v/>
      </c>
      <c r="Z86" s="6">
        <f>Summary!Z86</f>
        <v/>
      </c>
      <c r="AA86" s="6">
        <f>Summary!AA86</f>
        <v/>
      </c>
      <c r="AB86" s="6">
        <f>SUM(D86:AA86)</f>
        <v/>
      </c>
      <c r="AC86" s="3" t="inlineStr"/>
      <c r="AD86" s="7">
        <f>D86*0.00238409</f>
        <v/>
      </c>
      <c r="AE86" s="7">
        <f>E86*0.00238409</f>
        <v/>
      </c>
      <c r="AF86" s="7">
        <f>F86*0.00238409</f>
        <v/>
      </c>
      <c r="AG86" s="7">
        <f>G86*0.00238409</f>
        <v/>
      </c>
      <c r="AH86" s="7">
        <f>H86*0.00238409</f>
        <v/>
      </c>
      <c r="AI86" s="7">
        <f>I86*0.00238409</f>
        <v/>
      </c>
      <c r="AJ86" s="7">
        <f>J86*0.00238409</f>
        <v/>
      </c>
      <c r="AK86" s="7">
        <f>K86*0.00238409</f>
        <v/>
      </c>
      <c r="AL86" s="7">
        <f>L86*0.00238409</f>
        <v/>
      </c>
      <c r="AM86" s="7">
        <f>M86*0.00238409</f>
        <v/>
      </c>
      <c r="AN86" s="7">
        <f>N86*0.00238409</f>
        <v/>
      </c>
      <c r="AO86" s="7">
        <f>O86*0.00238409</f>
        <v/>
      </c>
      <c r="AP86" s="7">
        <f>P86*0.00238409</f>
        <v/>
      </c>
      <c r="AQ86" s="7">
        <f>Q86*0.00238409</f>
        <v/>
      </c>
      <c r="AR86" s="7">
        <f>R86*0.00238409</f>
        <v/>
      </c>
      <c r="AS86" s="7">
        <f>S86*0.00238409</f>
        <v/>
      </c>
      <c r="AT86" s="7">
        <f>T86*0.00238409</f>
        <v/>
      </c>
      <c r="AU86" s="7">
        <f>U86*0.00238409</f>
        <v/>
      </c>
      <c r="AV86" s="7">
        <f>V86*0.00238409</f>
        <v/>
      </c>
      <c r="AW86" s="7">
        <f>W86*0.00238409</f>
        <v/>
      </c>
      <c r="AX86" s="7">
        <f>X86*0.00238409</f>
        <v/>
      </c>
      <c r="AY86" s="7">
        <f>Y86*0.00238409</f>
        <v/>
      </c>
      <c r="AZ86" s="7">
        <f>Z86*0.00238409</f>
        <v/>
      </c>
      <c r="BA86" s="7">
        <f>AA86*0.00238409</f>
        <v/>
      </c>
      <c r="BB86" s="7">
        <f>SUM(AD86:BA86)</f>
        <v/>
      </c>
    </row>
    <row r="87">
      <c r="A87" t="inlineStr">
        <is>
          <t>AMD-RTS-RCLS-1302-SSC</t>
        </is>
      </c>
      <c r="B87" t="inlineStr">
        <is>
          <t>Rev OSC</t>
        </is>
      </c>
      <c r="C87" s="5" t="n">
        <v>46090</v>
      </c>
      <c r="D87" s="6">
        <f>Summary!D87</f>
        <v/>
      </c>
      <c r="E87" s="6">
        <f>Summary!E87</f>
        <v/>
      </c>
      <c r="F87" s="6">
        <f>Summary!F87</f>
        <v/>
      </c>
      <c r="G87" s="6">
        <f>Summary!G87</f>
        <v/>
      </c>
      <c r="H87" s="6">
        <f>Summary!H87</f>
        <v/>
      </c>
      <c r="I87" s="6">
        <f>Summary!I87</f>
        <v/>
      </c>
      <c r="J87" s="6">
        <f>Summary!J87</f>
        <v/>
      </c>
      <c r="K87" s="6">
        <f>Summary!K87</f>
        <v/>
      </c>
      <c r="L87" s="6">
        <f>Summary!L87</f>
        <v/>
      </c>
      <c r="M87" s="6">
        <f>Summary!M87</f>
        <v/>
      </c>
      <c r="N87" s="6">
        <f>Summary!N87</f>
        <v/>
      </c>
      <c r="O87" s="6">
        <f>Summary!O87</f>
        <v/>
      </c>
      <c r="P87" s="6">
        <f>Summary!P87</f>
        <v/>
      </c>
      <c r="Q87" s="6">
        <f>Summary!Q87</f>
        <v/>
      </c>
      <c r="R87" s="6">
        <f>Summary!R87</f>
        <v/>
      </c>
      <c r="S87" s="6">
        <f>Summary!S87</f>
        <v/>
      </c>
      <c r="T87" s="6">
        <f>Summary!T87</f>
        <v/>
      </c>
      <c r="U87" s="6">
        <f>Summary!U87</f>
        <v/>
      </c>
      <c r="V87" s="6">
        <f>Summary!V87</f>
        <v/>
      </c>
      <c r="W87" s="6">
        <f>Summary!W87</f>
        <v/>
      </c>
      <c r="X87" s="6">
        <f>Summary!X87</f>
        <v/>
      </c>
      <c r="Y87" s="6">
        <f>Summary!Y87</f>
        <v/>
      </c>
      <c r="Z87" s="6">
        <f>Summary!Z87</f>
        <v/>
      </c>
      <c r="AA87" s="6">
        <f>Summary!AA87</f>
        <v/>
      </c>
      <c r="AB87" s="6">
        <f>SUM(D87:AA87)</f>
        <v/>
      </c>
      <c r="AC87" s="3" t="inlineStr"/>
      <c r="AD87" s="7">
        <f>D87*0.00238409</f>
        <v/>
      </c>
      <c r="AE87" s="7">
        <f>E87*0.00238409</f>
        <v/>
      </c>
      <c r="AF87" s="7">
        <f>F87*0.00238409</f>
        <v/>
      </c>
      <c r="AG87" s="7">
        <f>G87*0.00238409</f>
        <v/>
      </c>
      <c r="AH87" s="7">
        <f>H87*0.00238409</f>
        <v/>
      </c>
      <c r="AI87" s="7">
        <f>I87*0.00238409</f>
        <v/>
      </c>
      <c r="AJ87" s="7">
        <f>J87*0.00238409</f>
        <v/>
      </c>
      <c r="AK87" s="7">
        <f>K87*0.00238409</f>
        <v/>
      </c>
      <c r="AL87" s="7">
        <f>L87*0.00238409</f>
        <v/>
      </c>
      <c r="AM87" s="7">
        <f>M87*0.00238409</f>
        <v/>
      </c>
      <c r="AN87" s="7">
        <f>N87*0.00238409</f>
        <v/>
      </c>
      <c r="AO87" s="7">
        <f>O87*0.00238409</f>
        <v/>
      </c>
      <c r="AP87" s="7">
        <f>P87*0.00238409</f>
        <v/>
      </c>
      <c r="AQ87" s="7">
        <f>Q87*0.00238409</f>
        <v/>
      </c>
      <c r="AR87" s="7">
        <f>R87*0.00238409</f>
        <v/>
      </c>
      <c r="AS87" s="7">
        <f>S87*0.00238409</f>
        <v/>
      </c>
      <c r="AT87" s="7">
        <f>T87*0.00238409</f>
        <v/>
      </c>
      <c r="AU87" s="7">
        <f>U87*0.00238409</f>
        <v/>
      </c>
      <c r="AV87" s="7">
        <f>V87*0.00238409</f>
        <v/>
      </c>
      <c r="AW87" s="7">
        <f>W87*0.00238409</f>
        <v/>
      </c>
      <c r="AX87" s="7">
        <f>X87*0.00238409</f>
        <v/>
      </c>
      <c r="AY87" s="7">
        <f>Y87*0.00238409</f>
        <v/>
      </c>
      <c r="AZ87" s="7">
        <f>Z87*0.00238409</f>
        <v/>
      </c>
      <c r="BA87" s="7">
        <f>AA87*0.00238409</f>
        <v/>
      </c>
      <c r="BB87" s="7">
        <f>SUM(AD87:BA87)</f>
        <v/>
      </c>
    </row>
    <row r="88">
      <c r="A88" t="inlineStr">
        <is>
          <t>AMD-RTS-RCLS-1302-SSC</t>
        </is>
      </c>
      <c r="B88" t="inlineStr">
        <is>
          <t>Rev OSC</t>
        </is>
      </c>
      <c r="C88" s="5" t="n">
        <v>46092</v>
      </c>
      <c r="D88" s="6">
        <f>Summary!D88</f>
        <v/>
      </c>
      <c r="E88" s="6">
        <f>Summary!E88</f>
        <v/>
      </c>
      <c r="F88" s="6">
        <f>Summary!F88</f>
        <v/>
      </c>
      <c r="G88" s="6">
        <f>Summary!G88</f>
        <v/>
      </c>
      <c r="H88" s="6">
        <f>Summary!H88</f>
        <v/>
      </c>
      <c r="I88" s="6">
        <f>Summary!I88</f>
        <v/>
      </c>
      <c r="J88" s="6">
        <f>Summary!J88</f>
        <v/>
      </c>
      <c r="K88" s="6">
        <f>Summary!K88</f>
        <v/>
      </c>
      <c r="L88" s="6">
        <f>Summary!L88</f>
        <v/>
      </c>
      <c r="M88" s="6">
        <f>Summary!M88</f>
        <v/>
      </c>
      <c r="N88" s="6">
        <f>Summary!N88</f>
        <v/>
      </c>
      <c r="O88" s="6">
        <f>Summary!O88</f>
        <v/>
      </c>
      <c r="P88" s="6">
        <f>Summary!P88</f>
        <v/>
      </c>
      <c r="Q88" s="6">
        <f>Summary!Q88</f>
        <v/>
      </c>
      <c r="R88" s="6">
        <f>Summary!R88</f>
        <v/>
      </c>
      <c r="S88" s="6">
        <f>Summary!S88</f>
        <v/>
      </c>
      <c r="T88" s="6">
        <f>Summary!T88</f>
        <v/>
      </c>
      <c r="U88" s="6">
        <f>Summary!U88</f>
        <v/>
      </c>
      <c r="V88" s="6">
        <f>Summary!V88</f>
        <v/>
      </c>
      <c r="W88" s="6">
        <f>Summary!W88</f>
        <v/>
      </c>
      <c r="X88" s="6">
        <f>Summary!X88</f>
        <v/>
      </c>
      <c r="Y88" s="6">
        <f>Summary!Y88</f>
        <v/>
      </c>
      <c r="Z88" s="6">
        <f>Summary!Z88</f>
        <v/>
      </c>
      <c r="AA88" s="6">
        <f>Summary!AA88</f>
        <v/>
      </c>
      <c r="AB88" s="6">
        <f>SUM(D88:AA88)</f>
        <v/>
      </c>
      <c r="AC88" s="3" t="inlineStr"/>
      <c r="AD88" s="7">
        <f>D88*0.00238409</f>
        <v/>
      </c>
      <c r="AE88" s="7">
        <f>E88*0.00238409</f>
        <v/>
      </c>
      <c r="AF88" s="7">
        <f>F88*0.00238409</f>
        <v/>
      </c>
      <c r="AG88" s="7">
        <f>G88*0.00238409</f>
        <v/>
      </c>
      <c r="AH88" s="7">
        <f>H88*0.00238409</f>
        <v/>
      </c>
      <c r="AI88" s="7">
        <f>I88*0.00238409</f>
        <v/>
      </c>
      <c r="AJ88" s="7">
        <f>J88*0.00238409</f>
        <v/>
      </c>
      <c r="AK88" s="7">
        <f>K88*0.00238409</f>
        <v/>
      </c>
      <c r="AL88" s="7">
        <f>L88*0.00238409</f>
        <v/>
      </c>
      <c r="AM88" s="7">
        <f>M88*0.00238409</f>
        <v/>
      </c>
      <c r="AN88" s="7">
        <f>N88*0.00238409</f>
        <v/>
      </c>
      <c r="AO88" s="7">
        <f>O88*0.00238409</f>
        <v/>
      </c>
      <c r="AP88" s="7">
        <f>P88*0.00238409</f>
        <v/>
      </c>
      <c r="AQ88" s="7">
        <f>Q88*0.00238409</f>
        <v/>
      </c>
      <c r="AR88" s="7">
        <f>R88*0.00238409</f>
        <v/>
      </c>
      <c r="AS88" s="7">
        <f>S88*0.00238409</f>
        <v/>
      </c>
      <c r="AT88" s="7">
        <f>T88*0.00238409</f>
        <v/>
      </c>
      <c r="AU88" s="7">
        <f>U88*0.00238409</f>
        <v/>
      </c>
      <c r="AV88" s="7">
        <f>V88*0.00238409</f>
        <v/>
      </c>
      <c r="AW88" s="7">
        <f>W88*0.00238409</f>
        <v/>
      </c>
      <c r="AX88" s="7">
        <f>X88*0.00238409</f>
        <v/>
      </c>
      <c r="AY88" s="7">
        <f>Y88*0.00238409</f>
        <v/>
      </c>
      <c r="AZ88" s="7">
        <f>Z88*0.00238409</f>
        <v/>
      </c>
      <c r="BA88" s="7">
        <f>AA88*0.00238409</f>
        <v/>
      </c>
      <c r="BB88" s="7">
        <f>SUM(AD88:BA88)</f>
        <v/>
      </c>
    </row>
    <row r="89">
      <c r="A89" t="inlineStr">
        <is>
          <t>AMD-RTS-RCLS-1302-SSC</t>
        </is>
      </c>
      <c r="B89" t="inlineStr">
        <is>
          <t>Rev OSC</t>
        </is>
      </c>
      <c r="C89" s="5" t="n">
        <v>46093</v>
      </c>
      <c r="D89" s="6">
        <f>Summary!D89</f>
        <v/>
      </c>
      <c r="E89" s="6">
        <f>Summary!E89</f>
        <v/>
      </c>
      <c r="F89" s="6">
        <f>Summary!F89</f>
        <v/>
      </c>
      <c r="G89" s="6">
        <f>Summary!G89</f>
        <v/>
      </c>
      <c r="H89" s="6">
        <f>Summary!H89</f>
        <v/>
      </c>
      <c r="I89" s="6">
        <f>Summary!I89</f>
        <v/>
      </c>
      <c r="J89" s="6">
        <f>Summary!J89</f>
        <v/>
      </c>
      <c r="K89" s="6">
        <f>Summary!K89</f>
        <v/>
      </c>
      <c r="L89" s="6">
        <f>Summary!L89</f>
        <v/>
      </c>
      <c r="M89" s="6">
        <f>Summary!M89</f>
        <v/>
      </c>
      <c r="N89" s="6">
        <f>Summary!N89</f>
        <v/>
      </c>
      <c r="O89" s="6">
        <f>Summary!O89</f>
        <v/>
      </c>
      <c r="P89" s="6">
        <f>Summary!P89</f>
        <v/>
      </c>
      <c r="Q89" s="6">
        <f>Summary!Q89</f>
        <v/>
      </c>
      <c r="R89" s="6">
        <f>Summary!R89</f>
        <v/>
      </c>
      <c r="S89" s="6">
        <f>Summary!S89</f>
        <v/>
      </c>
      <c r="T89" s="6">
        <f>Summary!T89</f>
        <v/>
      </c>
      <c r="U89" s="6">
        <f>Summary!U89</f>
        <v/>
      </c>
      <c r="V89" s="6">
        <f>Summary!V89</f>
        <v/>
      </c>
      <c r="W89" s="6">
        <f>Summary!W89</f>
        <v/>
      </c>
      <c r="X89" s="6">
        <f>Summary!X89</f>
        <v/>
      </c>
      <c r="Y89" s="6">
        <f>Summary!Y89</f>
        <v/>
      </c>
      <c r="Z89" s="6">
        <f>Summary!Z89</f>
        <v/>
      </c>
      <c r="AA89" s="6">
        <f>Summary!AA89</f>
        <v/>
      </c>
      <c r="AB89" s="6">
        <f>SUM(D89:AA89)</f>
        <v/>
      </c>
      <c r="AC89" s="3" t="inlineStr"/>
      <c r="AD89" s="7">
        <f>D89*0.00238409</f>
        <v/>
      </c>
      <c r="AE89" s="7">
        <f>E89*0.00238409</f>
        <v/>
      </c>
      <c r="AF89" s="7">
        <f>F89*0.00238409</f>
        <v/>
      </c>
      <c r="AG89" s="7">
        <f>G89*0.00238409</f>
        <v/>
      </c>
      <c r="AH89" s="7">
        <f>H89*0.00238409</f>
        <v/>
      </c>
      <c r="AI89" s="7">
        <f>I89*0.00238409</f>
        <v/>
      </c>
      <c r="AJ89" s="7">
        <f>J89*0.00238409</f>
        <v/>
      </c>
      <c r="AK89" s="7">
        <f>K89*0.00238409</f>
        <v/>
      </c>
      <c r="AL89" s="7">
        <f>L89*0.00238409</f>
        <v/>
      </c>
      <c r="AM89" s="7">
        <f>M89*0.00238409</f>
        <v/>
      </c>
      <c r="AN89" s="7">
        <f>N89*0.00238409</f>
        <v/>
      </c>
      <c r="AO89" s="7">
        <f>O89*0.00238409</f>
        <v/>
      </c>
      <c r="AP89" s="7">
        <f>P89*0.00238409</f>
        <v/>
      </c>
      <c r="AQ89" s="7">
        <f>Q89*0.00238409</f>
        <v/>
      </c>
      <c r="AR89" s="7">
        <f>R89*0.00238409</f>
        <v/>
      </c>
      <c r="AS89" s="7">
        <f>S89*0.00238409</f>
        <v/>
      </c>
      <c r="AT89" s="7">
        <f>T89*0.00238409</f>
        <v/>
      </c>
      <c r="AU89" s="7">
        <f>U89*0.00238409</f>
        <v/>
      </c>
      <c r="AV89" s="7">
        <f>V89*0.00238409</f>
        <v/>
      </c>
      <c r="AW89" s="7">
        <f>W89*0.00238409</f>
        <v/>
      </c>
      <c r="AX89" s="7">
        <f>X89*0.00238409</f>
        <v/>
      </c>
      <c r="AY89" s="7">
        <f>Y89*0.00238409</f>
        <v/>
      </c>
      <c r="AZ89" s="7">
        <f>Z89*0.00238409</f>
        <v/>
      </c>
      <c r="BA89" s="7">
        <f>AA89*0.00238409</f>
        <v/>
      </c>
      <c r="BB89" s="7">
        <f>SUM(AD89:BA89)</f>
        <v/>
      </c>
    </row>
    <row r="90">
      <c r="A90" t="inlineStr">
        <is>
          <t>AMD-RTS-RCLS-1302-SSC</t>
        </is>
      </c>
      <c r="B90" t="inlineStr">
        <is>
          <t>Rev OSC</t>
        </is>
      </c>
      <c r="C90" s="5" t="n">
        <v>46094</v>
      </c>
      <c r="D90" s="6">
        <f>Summary!D90</f>
        <v/>
      </c>
      <c r="E90" s="6">
        <f>Summary!E90</f>
        <v/>
      </c>
      <c r="F90" s="6">
        <f>Summary!F90</f>
        <v/>
      </c>
      <c r="G90" s="6">
        <f>Summary!G90</f>
        <v/>
      </c>
      <c r="H90" s="6">
        <f>Summary!H90</f>
        <v/>
      </c>
      <c r="I90" s="6">
        <f>Summary!I90</f>
        <v/>
      </c>
      <c r="J90" s="6">
        <f>Summary!J90</f>
        <v/>
      </c>
      <c r="K90" s="6">
        <f>Summary!K90</f>
        <v/>
      </c>
      <c r="L90" s="6">
        <f>Summary!L90</f>
        <v/>
      </c>
      <c r="M90" s="6">
        <f>Summary!M90</f>
        <v/>
      </c>
      <c r="N90" s="6">
        <f>Summary!N90</f>
        <v/>
      </c>
      <c r="O90" s="6">
        <f>Summary!O90</f>
        <v/>
      </c>
      <c r="P90" s="6">
        <f>Summary!P90</f>
        <v/>
      </c>
      <c r="Q90" s="6">
        <f>Summary!Q90</f>
        <v/>
      </c>
      <c r="R90" s="6">
        <f>Summary!R90</f>
        <v/>
      </c>
      <c r="S90" s="6">
        <f>Summary!S90</f>
        <v/>
      </c>
      <c r="T90" s="6">
        <f>Summary!T90</f>
        <v/>
      </c>
      <c r="U90" s="6">
        <f>Summary!U90</f>
        <v/>
      </c>
      <c r="V90" s="6">
        <f>Summary!V90</f>
        <v/>
      </c>
      <c r="W90" s="6">
        <f>Summary!W90</f>
        <v/>
      </c>
      <c r="X90" s="6">
        <f>Summary!X90</f>
        <v/>
      </c>
      <c r="Y90" s="6">
        <f>Summary!Y90</f>
        <v/>
      </c>
      <c r="Z90" s="6">
        <f>Summary!Z90</f>
        <v/>
      </c>
      <c r="AA90" s="6">
        <f>Summary!AA90</f>
        <v/>
      </c>
      <c r="AB90" s="6">
        <f>SUM(D90:AA90)</f>
        <v/>
      </c>
      <c r="AC90" s="3" t="inlineStr"/>
      <c r="AD90" s="7">
        <f>D90*0.00238409</f>
        <v/>
      </c>
      <c r="AE90" s="7">
        <f>E90*0.00238409</f>
        <v/>
      </c>
      <c r="AF90" s="7">
        <f>F90*0.00238409</f>
        <v/>
      </c>
      <c r="AG90" s="7">
        <f>G90*0.00238409</f>
        <v/>
      </c>
      <c r="AH90" s="7">
        <f>H90*0.00238409</f>
        <v/>
      </c>
      <c r="AI90" s="7">
        <f>I90*0.00238409</f>
        <v/>
      </c>
      <c r="AJ90" s="7">
        <f>J90*0.00238409</f>
        <v/>
      </c>
      <c r="AK90" s="7">
        <f>K90*0.00238409</f>
        <v/>
      </c>
      <c r="AL90" s="7">
        <f>L90*0.00238409</f>
        <v/>
      </c>
      <c r="AM90" s="7">
        <f>M90*0.00238409</f>
        <v/>
      </c>
      <c r="AN90" s="7">
        <f>N90*0.00238409</f>
        <v/>
      </c>
      <c r="AO90" s="7">
        <f>O90*0.00238409</f>
        <v/>
      </c>
      <c r="AP90" s="7">
        <f>P90*0.00238409</f>
        <v/>
      </c>
      <c r="AQ90" s="7">
        <f>Q90*0.00238409</f>
        <v/>
      </c>
      <c r="AR90" s="7">
        <f>R90*0.00238409</f>
        <v/>
      </c>
      <c r="AS90" s="7">
        <f>S90*0.00238409</f>
        <v/>
      </c>
      <c r="AT90" s="7">
        <f>T90*0.00238409</f>
        <v/>
      </c>
      <c r="AU90" s="7">
        <f>U90*0.00238409</f>
        <v/>
      </c>
      <c r="AV90" s="7">
        <f>V90*0.00238409</f>
        <v/>
      </c>
      <c r="AW90" s="7">
        <f>W90*0.00238409</f>
        <v/>
      </c>
      <c r="AX90" s="7">
        <f>X90*0.00238409</f>
        <v/>
      </c>
      <c r="AY90" s="7">
        <f>Y90*0.00238409</f>
        <v/>
      </c>
      <c r="AZ90" s="7">
        <f>Z90*0.00238409</f>
        <v/>
      </c>
      <c r="BA90" s="7">
        <f>AA90*0.00238409</f>
        <v/>
      </c>
      <c r="BB90" s="7">
        <f>SUM(AD90:BA90)</f>
        <v/>
      </c>
    </row>
    <row r="91">
      <c r="A91" t="inlineStr">
        <is>
          <t>AMD-RTS-RCLS-1302-SSC</t>
        </is>
      </c>
      <c r="B91" t="inlineStr">
        <is>
          <t>Rev OSC</t>
        </is>
      </c>
      <c r="C91" s="5" t="n">
        <v>46095</v>
      </c>
      <c r="D91" s="6">
        <f>Summary!D91</f>
        <v/>
      </c>
      <c r="E91" s="6">
        <f>Summary!E91</f>
        <v/>
      </c>
      <c r="F91" s="6">
        <f>Summary!F91</f>
        <v/>
      </c>
      <c r="G91" s="6">
        <f>Summary!G91</f>
        <v/>
      </c>
      <c r="H91" s="6">
        <f>Summary!H91</f>
        <v/>
      </c>
      <c r="I91" s="6">
        <f>Summary!I91</f>
        <v/>
      </c>
      <c r="J91" s="6">
        <f>Summary!J91</f>
        <v/>
      </c>
      <c r="K91" s="6">
        <f>Summary!K91</f>
        <v/>
      </c>
      <c r="L91" s="6">
        <f>Summary!L91</f>
        <v/>
      </c>
      <c r="M91" s="6">
        <f>Summary!M91</f>
        <v/>
      </c>
      <c r="N91" s="6">
        <f>Summary!N91</f>
        <v/>
      </c>
      <c r="O91" s="6">
        <f>Summary!O91</f>
        <v/>
      </c>
      <c r="P91" s="6">
        <f>Summary!P91</f>
        <v/>
      </c>
      <c r="Q91" s="6">
        <f>Summary!Q91</f>
        <v/>
      </c>
      <c r="R91" s="6">
        <f>Summary!R91</f>
        <v/>
      </c>
      <c r="S91" s="6">
        <f>Summary!S91</f>
        <v/>
      </c>
      <c r="T91" s="6">
        <f>Summary!T91</f>
        <v/>
      </c>
      <c r="U91" s="6">
        <f>Summary!U91</f>
        <v/>
      </c>
      <c r="V91" s="6">
        <f>Summary!V91</f>
        <v/>
      </c>
      <c r="W91" s="6">
        <f>Summary!W91</f>
        <v/>
      </c>
      <c r="X91" s="6">
        <f>Summary!X91</f>
        <v/>
      </c>
      <c r="Y91" s="6">
        <f>Summary!Y91</f>
        <v/>
      </c>
      <c r="Z91" s="6">
        <f>Summary!Z91</f>
        <v/>
      </c>
      <c r="AA91" s="6">
        <f>Summary!AA91</f>
        <v/>
      </c>
      <c r="AB91" s="6">
        <f>SUM(D91:AA91)</f>
        <v/>
      </c>
      <c r="AC91" s="3" t="inlineStr"/>
      <c r="AD91" s="7">
        <f>D91*0.00238409</f>
        <v/>
      </c>
      <c r="AE91" s="7">
        <f>E91*0.00238409</f>
        <v/>
      </c>
      <c r="AF91" s="7">
        <f>F91*0.00238409</f>
        <v/>
      </c>
      <c r="AG91" s="7">
        <f>G91*0.00238409</f>
        <v/>
      </c>
      <c r="AH91" s="7">
        <f>H91*0.00238409</f>
        <v/>
      </c>
      <c r="AI91" s="7">
        <f>I91*0.00238409</f>
        <v/>
      </c>
      <c r="AJ91" s="7">
        <f>J91*0.00238409</f>
        <v/>
      </c>
      <c r="AK91" s="7">
        <f>K91*0.00238409</f>
        <v/>
      </c>
      <c r="AL91" s="7">
        <f>L91*0.00238409</f>
        <v/>
      </c>
      <c r="AM91" s="7">
        <f>M91*0.00238409</f>
        <v/>
      </c>
      <c r="AN91" s="7">
        <f>N91*0.00238409</f>
        <v/>
      </c>
      <c r="AO91" s="7">
        <f>O91*0.00238409</f>
        <v/>
      </c>
      <c r="AP91" s="7">
        <f>P91*0.00238409</f>
        <v/>
      </c>
      <c r="AQ91" s="7">
        <f>Q91*0.00238409</f>
        <v/>
      </c>
      <c r="AR91" s="7">
        <f>R91*0.00238409</f>
        <v/>
      </c>
      <c r="AS91" s="7">
        <f>S91*0.00238409</f>
        <v/>
      </c>
      <c r="AT91" s="7">
        <f>T91*0.00238409</f>
        <v/>
      </c>
      <c r="AU91" s="7">
        <f>U91*0.00238409</f>
        <v/>
      </c>
      <c r="AV91" s="7">
        <f>V91*0.00238409</f>
        <v/>
      </c>
      <c r="AW91" s="7">
        <f>W91*0.00238409</f>
        <v/>
      </c>
      <c r="AX91" s="7">
        <f>X91*0.00238409</f>
        <v/>
      </c>
      <c r="AY91" s="7">
        <f>Y91*0.00238409</f>
        <v/>
      </c>
      <c r="AZ91" s="7">
        <f>Z91*0.00238409</f>
        <v/>
      </c>
      <c r="BA91" s="7">
        <f>AA91*0.00238409</f>
        <v/>
      </c>
      <c r="BB91" s="7">
        <f>SUM(AD91:BA91)</f>
        <v/>
      </c>
    </row>
    <row r="92">
      <c r="A92" t="inlineStr">
        <is>
          <t>AMD-RTS-RCLS-1302-SSC</t>
        </is>
      </c>
      <c r="B92" t="inlineStr">
        <is>
          <t>Rev OSC</t>
        </is>
      </c>
      <c r="C92" s="5" t="n">
        <v>46096</v>
      </c>
      <c r="D92" s="6">
        <f>Summary!D92</f>
        <v/>
      </c>
      <c r="E92" s="6">
        <f>Summary!E92</f>
        <v/>
      </c>
      <c r="F92" s="6">
        <f>Summary!F92</f>
        <v/>
      </c>
      <c r="G92" s="6">
        <f>Summary!G92</f>
        <v/>
      </c>
      <c r="H92" s="6">
        <f>Summary!H92</f>
        <v/>
      </c>
      <c r="I92" s="6">
        <f>Summary!I92</f>
        <v/>
      </c>
      <c r="J92" s="6">
        <f>Summary!J92</f>
        <v/>
      </c>
      <c r="K92" s="6">
        <f>Summary!K92</f>
        <v/>
      </c>
      <c r="L92" s="6">
        <f>Summary!L92</f>
        <v/>
      </c>
      <c r="M92" s="6">
        <f>Summary!M92</f>
        <v/>
      </c>
      <c r="N92" s="6">
        <f>Summary!N92</f>
        <v/>
      </c>
      <c r="O92" s="6">
        <f>Summary!O92</f>
        <v/>
      </c>
      <c r="P92" s="6">
        <f>Summary!P92</f>
        <v/>
      </c>
      <c r="Q92" s="6">
        <f>Summary!Q92</f>
        <v/>
      </c>
      <c r="R92" s="6">
        <f>Summary!R92</f>
        <v/>
      </c>
      <c r="S92" s="6">
        <f>Summary!S92</f>
        <v/>
      </c>
      <c r="T92" s="6">
        <f>Summary!T92</f>
        <v/>
      </c>
      <c r="U92" s="6">
        <f>Summary!U92</f>
        <v/>
      </c>
      <c r="V92" s="6">
        <f>Summary!V92</f>
        <v/>
      </c>
      <c r="W92" s="6">
        <f>Summary!W92</f>
        <v/>
      </c>
      <c r="X92" s="6">
        <f>Summary!X92</f>
        <v/>
      </c>
      <c r="Y92" s="6">
        <f>Summary!Y92</f>
        <v/>
      </c>
      <c r="Z92" s="6">
        <f>Summary!Z92</f>
        <v/>
      </c>
      <c r="AA92" s="6">
        <f>Summary!AA92</f>
        <v/>
      </c>
      <c r="AB92" s="6">
        <f>SUM(D92:AA92)</f>
        <v/>
      </c>
      <c r="AC92" s="3" t="inlineStr"/>
      <c r="AD92" s="7">
        <f>D92*0.00238409</f>
        <v/>
      </c>
      <c r="AE92" s="7">
        <f>E92*0.00238409</f>
        <v/>
      </c>
      <c r="AF92" s="7">
        <f>F92*0.00238409</f>
        <v/>
      </c>
      <c r="AG92" s="7">
        <f>G92*0.00238409</f>
        <v/>
      </c>
      <c r="AH92" s="7">
        <f>H92*0.00238409</f>
        <v/>
      </c>
      <c r="AI92" s="7">
        <f>I92*0.00238409</f>
        <v/>
      </c>
      <c r="AJ92" s="7">
        <f>J92*0.00238409</f>
        <v/>
      </c>
      <c r="AK92" s="7">
        <f>K92*0.00238409</f>
        <v/>
      </c>
      <c r="AL92" s="7">
        <f>L92*0.00238409</f>
        <v/>
      </c>
      <c r="AM92" s="7">
        <f>M92*0.00238409</f>
        <v/>
      </c>
      <c r="AN92" s="7">
        <f>N92*0.00238409</f>
        <v/>
      </c>
      <c r="AO92" s="7">
        <f>O92*0.00238409</f>
        <v/>
      </c>
      <c r="AP92" s="7">
        <f>P92*0.00238409</f>
        <v/>
      </c>
      <c r="AQ92" s="7">
        <f>Q92*0.00238409</f>
        <v/>
      </c>
      <c r="AR92" s="7">
        <f>R92*0.00238409</f>
        <v/>
      </c>
      <c r="AS92" s="7">
        <f>S92*0.00238409</f>
        <v/>
      </c>
      <c r="AT92" s="7">
        <f>T92*0.00238409</f>
        <v/>
      </c>
      <c r="AU92" s="7">
        <f>U92*0.00238409</f>
        <v/>
      </c>
      <c r="AV92" s="7">
        <f>V92*0.00238409</f>
        <v/>
      </c>
      <c r="AW92" s="7">
        <f>W92*0.00238409</f>
        <v/>
      </c>
      <c r="AX92" s="7">
        <f>X92*0.00238409</f>
        <v/>
      </c>
      <c r="AY92" s="7">
        <f>Y92*0.00238409</f>
        <v/>
      </c>
      <c r="AZ92" s="7">
        <f>Z92*0.00238409</f>
        <v/>
      </c>
      <c r="BA92" s="7">
        <f>AA92*0.00238409</f>
        <v/>
      </c>
      <c r="BB92" s="7">
        <f>SUM(AD92:BA92)</f>
        <v/>
      </c>
    </row>
    <row r="93">
      <c r="A93" t="inlineStr">
        <is>
          <t>AMD-RTS-RCLS-1302-SSC</t>
        </is>
      </c>
      <c r="B93" t="inlineStr">
        <is>
          <t>Rev OSC</t>
        </is>
      </c>
      <c r="C93" s="5" t="n">
        <v>46097</v>
      </c>
      <c r="D93" s="6">
        <f>Summary!D93</f>
        <v/>
      </c>
      <c r="E93" s="6">
        <f>Summary!E93</f>
        <v/>
      </c>
      <c r="F93" s="6">
        <f>Summary!F93</f>
        <v/>
      </c>
      <c r="G93" s="6">
        <f>Summary!G93</f>
        <v/>
      </c>
      <c r="H93" s="6">
        <f>Summary!H93</f>
        <v/>
      </c>
      <c r="I93" s="6">
        <f>Summary!I93</f>
        <v/>
      </c>
      <c r="J93" s="6">
        <f>Summary!J93</f>
        <v/>
      </c>
      <c r="K93" s="6">
        <f>Summary!K93</f>
        <v/>
      </c>
      <c r="L93" s="6">
        <f>Summary!L93</f>
        <v/>
      </c>
      <c r="M93" s="6">
        <f>Summary!M93</f>
        <v/>
      </c>
      <c r="N93" s="6">
        <f>Summary!N93</f>
        <v/>
      </c>
      <c r="O93" s="6">
        <f>Summary!O93</f>
        <v/>
      </c>
      <c r="P93" s="6">
        <f>Summary!P93</f>
        <v/>
      </c>
      <c r="Q93" s="6">
        <f>Summary!Q93</f>
        <v/>
      </c>
      <c r="R93" s="6">
        <f>Summary!R93</f>
        <v/>
      </c>
      <c r="S93" s="6">
        <f>Summary!S93</f>
        <v/>
      </c>
      <c r="T93" s="6">
        <f>Summary!T93</f>
        <v/>
      </c>
      <c r="U93" s="6">
        <f>Summary!U93</f>
        <v/>
      </c>
      <c r="V93" s="6">
        <f>Summary!V93</f>
        <v/>
      </c>
      <c r="W93" s="6">
        <f>Summary!W93</f>
        <v/>
      </c>
      <c r="X93" s="6">
        <f>Summary!X93</f>
        <v/>
      </c>
      <c r="Y93" s="6">
        <f>Summary!Y93</f>
        <v/>
      </c>
      <c r="Z93" s="6">
        <f>Summary!Z93</f>
        <v/>
      </c>
      <c r="AA93" s="6">
        <f>Summary!AA93</f>
        <v/>
      </c>
      <c r="AB93" s="6">
        <f>SUM(D93:AA93)</f>
        <v/>
      </c>
      <c r="AC93" s="3" t="inlineStr"/>
      <c r="AD93" s="7">
        <f>D93*0.00238409</f>
        <v/>
      </c>
      <c r="AE93" s="7">
        <f>E93*0.00238409</f>
        <v/>
      </c>
      <c r="AF93" s="7">
        <f>F93*0.00238409</f>
        <v/>
      </c>
      <c r="AG93" s="7">
        <f>G93*0.00238409</f>
        <v/>
      </c>
      <c r="AH93" s="7">
        <f>H93*0.00238409</f>
        <v/>
      </c>
      <c r="AI93" s="7">
        <f>I93*0.00238409</f>
        <v/>
      </c>
      <c r="AJ93" s="7">
        <f>J93*0.00238409</f>
        <v/>
      </c>
      <c r="AK93" s="7">
        <f>K93*0.00238409</f>
        <v/>
      </c>
      <c r="AL93" s="7">
        <f>L93*0.00238409</f>
        <v/>
      </c>
      <c r="AM93" s="7">
        <f>M93*0.00238409</f>
        <v/>
      </c>
      <c r="AN93" s="7">
        <f>N93*0.00238409</f>
        <v/>
      </c>
      <c r="AO93" s="7">
        <f>O93*0.00238409</f>
        <v/>
      </c>
      <c r="AP93" s="7">
        <f>P93*0.00238409</f>
        <v/>
      </c>
      <c r="AQ93" s="7">
        <f>Q93*0.00238409</f>
        <v/>
      </c>
      <c r="AR93" s="7">
        <f>R93*0.00238409</f>
        <v/>
      </c>
      <c r="AS93" s="7">
        <f>S93*0.00238409</f>
        <v/>
      </c>
      <c r="AT93" s="7">
        <f>T93*0.00238409</f>
        <v/>
      </c>
      <c r="AU93" s="7">
        <f>U93*0.00238409</f>
        <v/>
      </c>
      <c r="AV93" s="7">
        <f>V93*0.00238409</f>
        <v/>
      </c>
      <c r="AW93" s="7">
        <f>W93*0.00238409</f>
        <v/>
      </c>
      <c r="AX93" s="7">
        <f>X93*0.00238409</f>
        <v/>
      </c>
      <c r="AY93" s="7">
        <f>Y93*0.00238409</f>
        <v/>
      </c>
      <c r="AZ93" s="7">
        <f>Z93*0.00238409</f>
        <v/>
      </c>
      <c r="BA93" s="7">
        <f>AA93*0.00238409</f>
        <v/>
      </c>
      <c r="BB93" s="7">
        <f>SUM(AD93:BA93)</f>
        <v/>
      </c>
    </row>
    <row r="94">
      <c r="A94" t="inlineStr">
        <is>
          <t>AMD-RTS-RCLS-1302-SSC</t>
        </is>
      </c>
      <c r="B94" t="inlineStr">
        <is>
          <t>Rev OSC</t>
        </is>
      </c>
      <c r="C94" s="5" t="n">
        <v>46100</v>
      </c>
      <c r="D94" s="6">
        <f>Summary!D94</f>
        <v/>
      </c>
      <c r="E94" s="6">
        <f>Summary!E94</f>
        <v/>
      </c>
      <c r="F94" s="6">
        <f>Summary!F94</f>
        <v/>
      </c>
      <c r="G94" s="6">
        <f>Summary!G94</f>
        <v/>
      </c>
      <c r="H94" s="6">
        <f>Summary!H94</f>
        <v/>
      </c>
      <c r="I94" s="6">
        <f>Summary!I94</f>
        <v/>
      </c>
      <c r="J94" s="6">
        <f>Summary!J94</f>
        <v/>
      </c>
      <c r="K94" s="6">
        <f>Summary!K94</f>
        <v/>
      </c>
      <c r="L94" s="6">
        <f>Summary!L94</f>
        <v/>
      </c>
      <c r="M94" s="6">
        <f>Summary!M94</f>
        <v/>
      </c>
      <c r="N94" s="6">
        <f>Summary!N94</f>
        <v/>
      </c>
      <c r="O94" s="6">
        <f>Summary!O94</f>
        <v/>
      </c>
      <c r="P94" s="6">
        <f>Summary!P94</f>
        <v/>
      </c>
      <c r="Q94" s="6">
        <f>Summary!Q94</f>
        <v/>
      </c>
      <c r="R94" s="6">
        <f>Summary!R94</f>
        <v/>
      </c>
      <c r="S94" s="6">
        <f>Summary!S94</f>
        <v/>
      </c>
      <c r="T94" s="6">
        <f>Summary!T94</f>
        <v/>
      </c>
      <c r="U94" s="6">
        <f>Summary!U94</f>
        <v/>
      </c>
      <c r="V94" s="6">
        <f>Summary!V94</f>
        <v/>
      </c>
      <c r="W94" s="6">
        <f>Summary!W94</f>
        <v/>
      </c>
      <c r="X94" s="6">
        <f>Summary!X94</f>
        <v/>
      </c>
      <c r="Y94" s="6">
        <f>Summary!Y94</f>
        <v/>
      </c>
      <c r="Z94" s="6">
        <f>Summary!Z94</f>
        <v/>
      </c>
      <c r="AA94" s="6">
        <f>Summary!AA94</f>
        <v/>
      </c>
      <c r="AB94" s="6">
        <f>SUM(D94:AA94)</f>
        <v/>
      </c>
      <c r="AC94" s="3" t="inlineStr"/>
      <c r="AD94" s="7">
        <f>D94*0.00238409</f>
        <v/>
      </c>
      <c r="AE94" s="7">
        <f>E94*0.00238409</f>
        <v/>
      </c>
      <c r="AF94" s="7">
        <f>F94*0.00238409</f>
        <v/>
      </c>
      <c r="AG94" s="7">
        <f>G94*0.00238409</f>
        <v/>
      </c>
      <c r="AH94" s="7">
        <f>H94*0.00238409</f>
        <v/>
      </c>
      <c r="AI94" s="7">
        <f>I94*0.00238409</f>
        <v/>
      </c>
      <c r="AJ94" s="7">
        <f>J94*0.00238409</f>
        <v/>
      </c>
      <c r="AK94" s="7">
        <f>K94*0.00238409</f>
        <v/>
      </c>
      <c r="AL94" s="7">
        <f>L94*0.00238409</f>
        <v/>
      </c>
      <c r="AM94" s="7">
        <f>M94*0.00238409</f>
        <v/>
      </c>
      <c r="AN94" s="7">
        <f>N94*0.00238409</f>
        <v/>
      </c>
      <c r="AO94" s="7">
        <f>O94*0.00238409</f>
        <v/>
      </c>
      <c r="AP94" s="7">
        <f>P94*0.00238409</f>
        <v/>
      </c>
      <c r="AQ94" s="7">
        <f>Q94*0.00238409</f>
        <v/>
      </c>
      <c r="AR94" s="7">
        <f>R94*0.00238409</f>
        <v/>
      </c>
      <c r="AS94" s="7">
        <f>S94*0.00238409</f>
        <v/>
      </c>
      <c r="AT94" s="7">
        <f>T94*0.00238409</f>
        <v/>
      </c>
      <c r="AU94" s="7">
        <f>U94*0.00238409</f>
        <v/>
      </c>
      <c r="AV94" s="7">
        <f>V94*0.00238409</f>
        <v/>
      </c>
      <c r="AW94" s="7">
        <f>W94*0.00238409</f>
        <v/>
      </c>
      <c r="AX94" s="7">
        <f>X94*0.00238409</f>
        <v/>
      </c>
      <c r="AY94" s="7">
        <f>Y94*0.00238409</f>
        <v/>
      </c>
      <c r="AZ94" s="7">
        <f>Z94*0.00238409</f>
        <v/>
      </c>
      <c r="BA94" s="7">
        <f>AA94*0.00238409</f>
        <v/>
      </c>
      <c r="BB94" s="7">
        <f>SUM(AD94:BA94)</f>
        <v/>
      </c>
    </row>
    <row r="95">
      <c r="A95" t="inlineStr">
        <is>
          <t>AMD-RTS-RCLS-1302-SSC</t>
        </is>
      </c>
      <c r="B95" t="inlineStr">
        <is>
          <t>Rev OSC</t>
        </is>
      </c>
      <c r="C95" s="5" t="n">
        <v>46102</v>
      </c>
      <c r="D95" s="6">
        <f>Summary!D95</f>
        <v/>
      </c>
      <c r="E95" s="6">
        <f>Summary!E95</f>
        <v/>
      </c>
      <c r="F95" s="6">
        <f>Summary!F95</f>
        <v/>
      </c>
      <c r="G95" s="6">
        <f>Summary!G95</f>
        <v/>
      </c>
      <c r="H95" s="6">
        <f>Summary!H95</f>
        <v/>
      </c>
      <c r="I95" s="6">
        <f>Summary!I95</f>
        <v/>
      </c>
      <c r="J95" s="6">
        <f>Summary!J95</f>
        <v/>
      </c>
      <c r="K95" s="6">
        <f>Summary!K95</f>
        <v/>
      </c>
      <c r="L95" s="6">
        <f>Summary!L95</f>
        <v/>
      </c>
      <c r="M95" s="6">
        <f>Summary!M95</f>
        <v/>
      </c>
      <c r="N95" s="6">
        <f>Summary!N95</f>
        <v/>
      </c>
      <c r="O95" s="6">
        <f>Summary!O95</f>
        <v/>
      </c>
      <c r="P95" s="6">
        <f>Summary!P95</f>
        <v/>
      </c>
      <c r="Q95" s="6">
        <f>Summary!Q95</f>
        <v/>
      </c>
      <c r="R95" s="6">
        <f>Summary!R95</f>
        <v/>
      </c>
      <c r="S95" s="6">
        <f>Summary!S95</f>
        <v/>
      </c>
      <c r="T95" s="6">
        <f>Summary!T95</f>
        <v/>
      </c>
      <c r="U95" s="6">
        <f>Summary!U95</f>
        <v/>
      </c>
      <c r="V95" s="6">
        <f>Summary!V95</f>
        <v/>
      </c>
      <c r="W95" s="6">
        <f>Summary!W95</f>
        <v/>
      </c>
      <c r="X95" s="6">
        <f>Summary!X95</f>
        <v/>
      </c>
      <c r="Y95" s="6">
        <f>Summary!Y95</f>
        <v/>
      </c>
      <c r="Z95" s="6">
        <f>Summary!Z95</f>
        <v/>
      </c>
      <c r="AA95" s="6">
        <f>Summary!AA95</f>
        <v/>
      </c>
      <c r="AB95" s="6">
        <f>SUM(D95:AA95)</f>
        <v/>
      </c>
      <c r="AC95" s="3" t="inlineStr"/>
      <c r="AD95" s="7">
        <f>D95*0.00238409</f>
        <v/>
      </c>
      <c r="AE95" s="7">
        <f>E95*0.00238409</f>
        <v/>
      </c>
      <c r="AF95" s="7">
        <f>F95*0.00238409</f>
        <v/>
      </c>
      <c r="AG95" s="7">
        <f>G95*0.00238409</f>
        <v/>
      </c>
      <c r="AH95" s="7">
        <f>H95*0.00238409</f>
        <v/>
      </c>
      <c r="AI95" s="7">
        <f>I95*0.00238409</f>
        <v/>
      </c>
      <c r="AJ95" s="7">
        <f>J95*0.00238409</f>
        <v/>
      </c>
      <c r="AK95" s="7">
        <f>K95*0.00238409</f>
        <v/>
      </c>
      <c r="AL95" s="7">
        <f>L95*0.00238409</f>
        <v/>
      </c>
      <c r="AM95" s="7">
        <f>M95*0.00238409</f>
        <v/>
      </c>
      <c r="AN95" s="7">
        <f>N95*0.00238409</f>
        <v/>
      </c>
      <c r="AO95" s="7">
        <f>O95*0.00238409</f>
        <v/>
      </c>
      <c r="AP95" s="7">
        <f>P95*0.00238409</f>
        <v/>
      </c>
      <c r="AQ95" s="7">
        <f>Q95*0.00238409</f>
        <v/>
      </c>
      <c r="AR95" s="7">
        <f>R95*0.00238409</f>
        <v/>
      </c>
      <c r="AS95" s="7">
        <f>S95*0.00238409</f>
        <v/>
      </c>
      <c r="AT95" s="7">
        <f>T95*0.00238409</f>
        <v/>
      </c>
      <c r="AU95" s="7">
        <f>U95*0.00238409</f>
        <v/>
      </c>
      <c r="AV95" s="7">
        <f>V95*0.00238409</f>
        <v/>
      </c>
      <c r="AW95" s="7">
        <f>W95*0.00238409</f>
        <v/>
      </c>
      <c r="AX95" s="7">
        <f>X95*0.00238409</f>
        <v/>
      </c>
      <c r="AY95" s="7">
        <f>Y95*0.00238409</f>
        <v/>
      </c>
      <c r="AZ95" s="7">
        <f>Z95*0.00238409</f>
        <v/>
      </c>
      <c r="BA95" s="7">
        <f>AA95*0.00238409</f>
        <v/>
      </c>
      <c r="BB95" s="7">
        <f>SUM(AD95:BA95)</f>
        <v/>
      </c>
    </row>
    <row r="96">
      <c r="A96" t="inlineStr">
        <is>
          <t>AMD-RTS-RCLS-1302-SSC</t>
        </is>
      </c>
      <c r="B96" t="inlineStr">
        <is>
          <t>Rev OSC</t>
        </is>
      </c>
      <c r="C96" s="5" t="n">
        <v>46103</v>
      </c>
      <c r="D96" s="6">
        <f>Summary!D96</f>
        <v/>
      </c>
      <c r="E96" s="6">
        <f>Summary!E96</f>
        <v/>
      </c>
      <c r="F96" s="6">
        <f>Summary!F96</f>
        <v/>
      </c>
      <c r="G96" s="6">
        <f>Summary!G96</f>
        <v/>
      </c>
      <c r="H96" s="6">
        <f>Summary!H96</f>
        <v/>
      </c>
      <c r="I96" s="6">
        <f>Summary!I96</f>
        <v/>
      </c>
      <c r="J96" s="6">
        <f>Summary!J96</f>
        <v/>
      </c>
      <c r="K96" s="6">
        <f>Summary!K96</f>
        <v/>
      </c>
      <c r="L96" s="6">
        <f>Summary!L96</f>
        <v/>
      </c>
      <c r="M96" s="6">
        <f>Summary!M96</f>
        <v/>
      </c>
      <c r="N96" s="6">
        <f>Summary!N96</f>
        <v/>
      </c>
      <c r="O96" s="6">
        <f>Summary!O96</f>
        <v/>
      </c>
      <c r="P96" s="6">
        <f>Summary!P96</f>
        <v/>
      </c>
      <c r="Q96" s="6">
        <f>Summary!Q96</f>
        <v/>
      </c>
      <c r="R96" s="6">
        <f>Summary!R96</f>
        <v/>
      </c>
      <c r="S96" s="6">
        <f>Summary!S96</f>
        <v/>
      </c>
      <c r="T96" s="6">
        <f>Summary!T96</f>
        <v/>
      </c>
      <c r="U96" s="6">
        <f>Summary!U96</f>
        <v/>
      </c>
      <c r="V96" s="6">
        <f>Summary!V96</f>
        <v/>
      </c>
      <c r="W96" s="6">
        <f>Summary!W96</f>
        <v/>
      </c>
      <c r="X96" s="6">
        <f>Summary!X96</f>
        <v/>
      </c>
      <c r="Y96" s="6">
        <f>Summary!Y96</f>
        <v/>
      </c>
      <c r="Z96" s="6">
        <f>Summary!Z96</f>
        <v/>
      </c>
      <c r="AA96" s="6">
        <f>Summary!AA96</f>
        <v/>
      </c>
      <c r="AB96" s="6">
        <f>SUM(D96:AA96)</f>
        <v/>
      </c>
      <c r="AC96" s="3" t="inlineStr"/>
      <c r="AD96" s="7">
        <f>D96*0.00238409</f>
        <v/>
      </c>
      <c r="AE96" s="7">
        <f>E96*0.00238409</f>
        <v/>
      </c>
      <c r="AF96" s="7">
        <f>F96*0.00238409</f>
        <v/>
      </c>
      <c r="AG96" s="7">
        <f>G96*0.00238409</f>
        <v/>
      </c>
      <c r="AH96" s="7">
        <f>H96*0.00238409</f>
        <v/>
      </c>
      <c r="AI96" s="7">
        <f>I96*0.00238409</f>
        <v/>
      </c>
      <c r="AJ96" s="7">
        <f>J96*0.00238409</f>
        <v/>
      </c>
      <c r="AK96" s="7">
        <f>K96*0.00238409</f>
        <v/>
      </c>
      <c r="AL96" s="7">
        <f>L96*0.00238409</f>
        <v/>
      </c>
      <c r="AM96" s="7">
        <f>M96*0.00238409</f>
        <v/>
      </c>
      <c r="AN96" s="7">
        <f>N96*0.00238409</f>
        <v/>
      </c>
      <c r="AO96" s="7">
        <f>O96*0.00238409</f>
        <v/>
      </c>
      <c r="AP96" s="7">
        <f>P96*0.00238409</f>
        <v/>
      </c>
      <c r="AQ96" s="7">
        <f>Q96*0.00238409</f>
        <v/>
      </c>
      <c r="AR96" s="7">
        <f>R96*0.00238409</f>
        <v/>
      </c>
      <c r="AS96" s="7">
        <f>S96*0.00238409</f>
        <v/>
      </c>
      <c r="AT96" s="7">
        <f>T96*0.00238409</f>
        <v/>
      </c>
      <c r="AU96" s="7">
        <f>U96*0.00238409</f>
        <v/>
      </c>
      <c r="AV96" s="7">
        <f>V96*0.00238409</f>
        <v/>
      </c>
      <c r="AW96" s="7">
        <f>W96*0.00238409</f>
        <v/>
      </c>
      <c r="AX96" s="7">
        <f>X96*0.00238409</f>
        <v/>
      </c>
      <c r="AY96" s="7">
        <f>Y96*0.00238409</f>
        <v/>
      </c>
      <c r="AZ96" s="7">
        <f>Z96*0.00238409</f>
        <v/>
      </c>
      <c r="BA96" s="7">
        <f>AA96*0.00238409</f>
        <v/>
      </c>
      <c r="BB96" s="7">
        <f>SUM(AD96:BA96)</f>
        <v/>
      </c>
    </row>
    <row r="97">
      <c r="A97" t="inlineStr">
        <is>
          <t>AMD-RTS-RCLS-1302-SSC</t>
        </is>
      </c>
      <c r="B97" t="inlineStr">
        <is>
          <t>Rev OSC</t>
        </is>
      </c>
      <c r="C97" s="5" t="n">
        <v>46104</v>
      </c>
      <c r="D97" s="6">
        <f>Summary!D97</f>
        <v/>
      </c>
      <c r="E97" s="6">
        <f>Summary!E97</f>
        <v/>
      </c>
      <c r="F97" s="6">
        <f>Summary!F97</f>
        <v/>
      </c>
      <c r="G97" s="6">
        <f>Summary!G97</f>
        <v/>
      </c>
      <c r="H97" s="6">
        <f>Summary!H97</f>
        <v/>
      </c>
      <c r="I97" s="6">
        <f>Summary!I97</f>
        <v/>
      </c>
      <c r="J97" s="6">
        <f>Summary!J97</f>
        <v/>
      </c>
      <c r="K97" s="6">
        <f>Summary!K97</f>
        <v/>
      </c>
      <c r="L97" s="6">
        <f>Summary!L97</f>
        <v/>
      </c>
      <c r="M97" s="6">
        <f>Summary!M97</f>
        <v/>
      </c>
      <c r="N97" s="6">
        <f>Summary!N97</f>
        <v/>
      </c>
      <c r="O97" s="6">
        <f>Summary!O97</f>
        <v/>
      </c>
      <c r="P97" s="6">
        <f>Summary!P97</f>
        <v/>
      </c>
      <c r="Q97" s="6">
        <f>Summary!Q97</f>
        <v/>
      </c>
      <c r="R97" s="6">
        <f>Summary!R97</f>
        <v/>
      </c>
      <c r="S97" s="6">
        <f>Summary!S97</f>
        <v/>
      </c>
      <c r="T97" s="6">
        <f>Summary!T97</f>
        <v/>
      </c>
      <c r="U97" s="6">
        <f>Summary!U97</f>
        <v/>
      </c>
      <c r="V97" s="6">
        <f>Summary!V97</f>
        <v/>
      </c>
      <c r="W97" s="6">
        <f>Summary!W97</f>
        <v/>
      </c>
      <c r="X97" s="6">
        <f>Summary!X97</f>
        <v/>
      </c>
      <c r="Y97" s="6">
        <f>Summary!Y97</f>
        <v/>
      </c>
      <c r="Z97" s="6">
        <f>Summary!Z97</f>
        <v/>
      </c>
      <c r="AA97" s="6">
        <f>Summary!AA97</f>
        <v/>
      </c>
      <c r="AB97" s="6">
        <f>SUM(D97:AA97)</f>
        <v/>
      </c>
      <c r="AC97" s="3" t="inlineStr"/>
      <c r="AD97" s="7">
        <f>D97*0.00238409</f>
        <v/>
      </c>
      <c r="AE97" s="7">
        <f>E97*0.00238409</f>
        <v/>
      </c>
      <c r="AF97" s="7">
        <f>F97*0.00238409</f>
        <v/>
      </c>
      <c r="AG97" s="7">
        <f>G97*0.00238409</f>
        <v/>
      </c>
      <c r="AH97" s="7">
        <f>H97*0.00238409</f>
        <v/>
      </c>
      <c r="AI97" s="7">
        <f>I97*0.00238409</f>
        <v/>
      </c>
      <c r="AJ97" s="7">
        <f>J97*0.00238409</f>
        <v/>
      </c>
      <c r="AK97" s="7">
        <f>K97*0.00238409</f>
        <v/>
      </c>
      <c r="AL97" s="7">
        <f>L97*0.00238409</f>
        <v/>
      </c>
      <c r="AM97" s="7">
        <f>M97*0.00238409</f>
        <v/>
      </c>
      <c r="AN97" s="7">
        <f>N97*0.00238409</f>
        <v/>
      </c>
      <c r="AO97" s="7">
        <f>O97*0.00238409</f>
        <v/>
      </c>
      <c r="AP97" s="7">
        <f>P97*0.00238409</f>
        <v/>
      </c>
      <c r="AQ97" s="7">
        <f>Q97*0.00238409</f>
        <v/>
      </c>
      <c r="AR97" s="7">
        <f>R97*0.00238409</f>
        <v/>
      </c>
      <c r="AS97" s="7">
        <f>S97*0.00238409</f>
        <v/>
      </c>
      <c r="AT97" s="7">
        <f>T97*0.00238409</f>
        <v/>
      </c>
      <c r="AU97" s="7">
        <f>U97*0.00238409</f>
        <v/>
      </c>
      <c r="AV97" s="7">
        <f>V97*0.00238409</f>
        <v/>
      </c>
      <c r="AW97" s="7">
        <f>W97*0.00238409</f>
        <v/>
      </c>
      <c r="AX97" s="7">
        <f>X97*0.00238409</f>
        <v/>
      </c>
      <c r="AY97" s="7">
        <f>Y97*0.00238409</f>
        <v/>
      </c>
      <c r="AZ97" s="7">
        <f>Z97*0.00238409</f>
        <v/>
      </c>
      <c r="BA97" s="7">
        <f>AA97*0.00238409</f>
        <v/>
      </c>
      <c r="BB97" s="7">
        <f>SUM(AD97:BA97)</f>
        <v/>
      </c>
    </row>
    <row r="98">
      <c r="A98" t="inlineStr">
        <is>
          <t>AMD-RTS-RCLS-1302-SSC</t>
        </is>
      </c>
      <c r="B98" t="inlineStr">
        <is>
          <t>Rev OSC</t>
        </is>
      </c>
      <c r="C98" s="5" t="n">
        <v>46105</v>
      </c>
      <c r="D98" s="6">
        <f>Summary!D98</f>
        <v/>
      </c>
      <c r="E98" s="6">
        <f>Summary!E98</f>
        <v/>
      </c>
      <c r="F98" s="6">
        <f>Summary!F98</f>
        <v/>
      </c>
      <c r="G98" s="6">
        <f>Summary!G98</f>
        <v/>
      </c>
      <c r="H98" s="6">
        <f>Summary!H98</f>
        <v/>
      </c>
      <c r="I98" s="6">
        <f>Summary!I98</f>
        <v/>
      </c>
      <c r="J98" s="6">
        <f>Summary!J98</f>
        <v/>
      </c>
      <c r="K98" s="6">
        <f>Summary!K98</f>
        <v/>
      </c>
      <c r="L98" s="6">
        <f>Summary!L98</f>
        <v/>
      </c>
      <c r="M98" s="6">
        <f>Summary!M98</f>
        <v/>
      </c>
      <c r="N98" s="6">
        <f>Summary!N98</f>
        <v/>
      </c>
      <c r="O98" s="6">
        <f>Summary!O98</f>
        <v/>
      </c>
      <c r="P98" s="6">
        <f>Summary!P98</f>
        <v/>
      </c>
      <c r="Q98" s="6">
        <f>Summary!Q98</f>
        <v/>
      </c>
      <c r="R98" s="6">
        <f>Summary!R98</f>
        <v/>
      </c>
      <c r="S98" s="6">
        <f>Summary!S98</f>
        <v/>
      </c>
      <c r="T98" s="6">
        <f>Summary!T98</f>
        <v/>
      </c>
      <c r="U98" s="6">
        <f>Summary!U98</f>
        <v/>
      </c>
      <c r="V98" s="6">
        <f>Summary!V98</f>
        <v/>
      </c>
      <c r="W98" s="6">
        <f>Summary!W98</f>
        <v/>
      </c>
      <c r="X98" s="6">
        <f>Summary!X98</f>
        <v/>
      </c>
      <c r="Y98" s="6">
        <f>Summary!Y98</f>
        <v/>
      </c>
      <c r="Z98" s="6">
        <f>Summary!Z98</f>
        <v/>
      </c>
      <c r="AA98" s="6">
        <f>Summary!AA98</f>
        <v/>
      </c>
      <c r="AB98" s="6">
        <f>SUM(D98:AA98)</f>
        <v/>
      </c>
      <c r="AC98" s="3" t="inlineStr"/>
      <c r="AD98" s="7">
        <f>D98*0.00238409</f>
        <v/>
      </c>
      <c r="AE98" s="7">
        <f>E98*0.00238409</f>
        <v/>
      </c>
      <c r="AF98" s="7">
        <f>F98*0.00238409</f>
        <v/>
      </c>
      <c r="AG98" s="7">
        <f>G98*0.00238409</f>
        <v/>
      </c>
      <c r="AH98" s="7">
        <f>H98*0.00238409</f>
        <v/>
      </c>
      <c r="AI98" s="7">
        <f>I98*0.00238409</f>
        <v/>
      </c>
      <c r="AJ98" s="7">
        <f>J98*0.00238409</f>
        <v/>
      </c>
      <c r="AK98" s="7">
        <f>K98*0.00238409</f>
        <v/>
      </c>
      <c r="AL98" s="7">
        <f>L98*0.00238409</f>
        <v/>
      </c>
      <c r="AM98" s="7">
        <f>M98*0.00238409</f>
        <v/>
      </c>
      <c r="AN98" s="7">
        <f>N98*0.00238409</f>
        <v/>
      </c>
      <c r="AO98" s="7">
        <f>O98*0.00238409</f>
        <v/>
      </c>
      <c r="AP98" s="7">
        <f>P98*0.00238409</f>
        <v/>
      </c>
      <c r="AQ98" s="7">
        <f>Q98*0.00238409</f>
        <v/>
      </c>
      <c r="AR98" s="7">
        <f>R98*0.00238409</f>
        <v/>
      </c>
      <c r="AS98" s="7">
        <f>S98*0.00238409</f>
        <v/>
      </c>
      <c r="AT98" s="7">
        <f>T98*0.00238409</f>
        <v/>
      </c>
      <c r="AU98" s="7">
        <f>U98*0.00238409</f>
        <v/>
      </c>
      <c r="AV98" s="7">
        <f>V98*0.00238409</f>
        <v/>
      </c>
      <c r="AW98" s="7">
        <f>W98*0.00238409</f>
        <v/>
      </c>
      <c r="AX98" s="7">
        <f>X98*0.00238409</f>
        <v/>
      </c>
      <c r="AY98" s="7">
        <f>Y98*0.00238409</f>
        <v/>
      </c>
      <c r="AZ98" s="7">
        <f>Z98*0.00238409</f>
        <v/>
      </c>
      <c r="BA98" s="7">
        <f>AA98*0.00238409</f>
        <v/>
      </c>
      <c r="BB98" s="7">
        <f>SUM(AD98:BA98)</f>
        <v/>
      </c>
    </row>
    <row r="99">
      <c r="A99" t="inlineStr">
        <is>
          <t>AMD-RTS-RCLS-1302-SSC_1</t>
        </is>
      </c>
      <c r="B99" t="inlineStr">
        <is>
          <t>Rev OSC</t>
        </is>
      </c>
      <c r="C99" s="5" t="n">
        <v>46090</v>
      </c>
      <c r="D99" s="6">
        <f>Summary!D99</f>
        <v/>
      </c>
      <c r="E99" s="6">
        <f>Summary!E99</f>
        <v/>
      </c>
      <c r="F99" s="6">
        <f>Summary!F99</f>
        <v/>
      </c>
      <c r="G99" s="6">
        <f>Summary!G99</f>
        <v/>
      </c>
      <c r="H99" s="6">
        <f>Summary!H99</f>
        <v/>
      </c>
      <c r="I99" s="6">
        <f>Summary!I99</f>
        <v/>
      </c>
      <c r="J99" s="6">
        <f>Summary!J99</f>
        <v/>
      </c>
      <c r="K99" s="6">
        <f>Summary!K99</f>
        <v/>
      </c>
      <c r="L99" s="6">
        <f>Summary!L99</f>
        <v/>
      </c>
      <c r="M99" s="6">
        <f>Summary!M99</f>
        <v/>
      </c>
      <c r="N99" s="6">
        <f>Summary!N99</f>
        <v/>
      </c>
      <c r="O99" s="6">
        <f>Summary!O99</f>
        <v/>
      </c>
      <c r="P99" s="6">
        <f>Summary!P99</f>
        <v/>
      </c>
      <c r="Q99" s="6">
        <f>Summary!Q99</f>
        <v/>
      </c>
      <c r="R99" s="6">
        <f>Summary!R99</f>
        <v/>
      </c>
      <c r="S99" s="6">
        <f>Summary!S99</f>
        <v/>
      </c>
      <c r="T99" s="6">
        <f>Summary!T99</f>
        <v/>
      </c>
      <c r="U99" s="6">
        <f>Summary!U99</f>
        <v/>
      </c>
      <c r="V99" s="6">
        <f>Summary!V99</f>
        <v/>
      </c>
      <c r="W99" s="6">
        <f>Summary!W99</f>
        <v/>
      </c>
      <c r="X99" s="6">
        <f>Summary!X99</f>
        <v/>
      </c>
      <c r="Y99" s="6">
        <f>Summary!Y99</f>
        <v/>
      </c>
      <c r="Z99" s="6">
        <f>Summary!Z99</f>
        <v/>
      </c>
      <c r="AA99" s="6">
        <f>Summary!AA99</f>
        <v/>
      </c>
      <c r="AB99" s="6">
        <f>SUM(D99:AA99)</f>
        <v/>
      </c>
      <c r="AC99" s="3" t="inlineStr"/>
      <c r="AD99" s="7">
        <f>D99*0.00238409</f>
        <v/>
      </c>
      <c r="AE99" s="7">
        <f>E99*0.00238409</f>
        <v/>
      </c>
      <c r="AF99" s="7">
        <f>F99*0.00238409</f>
        <v/>
      </c>
      <c r="AG99" s="7">
        <f>G99*0.00238409</f>
        <v/>
      </c>
      <c r="AH99" s="7">
        <f>H99*0.00238409</f>
        <v/>
      </c>
      <c r="AI99" s="7">
        <f>I99*0.00238409</f>
        <v/>
      </c>
      <c r="AJ99" s="7">
        <f>J99*0.00238409</f>
        <v/>
      </c>
      <c r="AK99" s="7">
        <f>K99*0.00238409</f>
        <v/>
      </c>
      <c r="AL99" s="7">
        <f>L99*0.00238409</f>
        <v/>
      </c>
      <c r="AM99" s="7">
        <f>M99*0.00238409</f>
        <v/>
      </c>
      <c r="AN99" s="7">
        <f>N99*0.00238409</f>
        <v/>
      </c>
      <c r="AO99" s="7">
        <f>O99*0.00238409</f>
        <v/>
      </c>
      <c r="AP99" s="7">
        <f>P99*0.00238409</f>
        <v/>
      </c>
      <c r="AQ99" s="7">
        <f>Q99*0.00238409</f>
        <v/>
      </c>
      <c r="AR99" s="7">
        <f>R99*0.00238409</f>
        <v/>
      </c>
      <c r="AS99" s="7">
        <f>S99*0.00238409</f>
        <v/>
      </c>
      <c r="AT99" s="7">
        <f>T99*0.00238409</f>
        <v/>
      </c>
      <c r="AU99" s="7">
        <f>U99*0.00238409</f>
        <v/>
      </c>
      <c r="AV99" s="7">
        <f>V99*0.00238409</f>
        <v/>
      </c>
      <c r="AW99" s="7">
        <f>W99*0.00238409</f>
        <v/>
      </c>
      <c r="AX99" s="7">
        <f>X99*0.00238409</f>
        <v/>
      </c>
      <c r="AY99" s="7">
        <f>Y99*0.00238409</f>
        <v/>
      </c>
      <c r="AZ99" s="7">
        <f>Z99*0.00238409</f>
        <v/>
      </c>
      <c r="BA99" s="7">
        <f>AA99*0.00238409</f>
        <v/>
      </c>
      <c r="BB99" s="7">
        <f>SUM(AD99:BA99)</f>
        <v/>
      </c>
    </row>
    <row r="100">
      <c r="A100" t="inlineStr">
        <is>
          <t>AMD-RTS-RCLS-1302-SSC_1</t>
        </is>
      </c>
      <c r="B100" t="inlineStr">
        <is>
          <t>Rev OSC</t>
        </is>
      </c>
      <c r="C100" s="5" t="n">
        <v>46093</v>
      </c>
      <c r="D100" s="6">
        <f>Summary!D100</f>
        <v/>
      </c>
      <c r="E100" s="6">
        <f>Summary!E100</f>
        <v/>
      </c>
      <c r="F100" s="6">
        <f>Summary!F100</f>
        <v/>
      </c>
      <c r="G100" s="6">
        <f>Summary!G100</f>
        <v/>
      </c>
      <c r="H100" s="6">
        <f>Summary!H100</f>
        <v/>
      </c>
      <c r="I100" s="6">
        <f>Summary!I100</f>
        <v/>
      </c>
      <c r="J100" s="6">
        <f>Summary!J100</f>
        <v/>
      </c>
      <c r="K100" s="6">
        <f>Summary!K100</f>
        <v/>
      </c>
      <c r="L100" s="6">
        <f>Summary!L100</f>
        <v/>
      </c>
      <c r="M100" s="6">
        <f>Summary!M100</f>
        <v/>
      </c>
      <c r="N100" s="6">
        <f>Summary!N100</f>
        <v/>
      </c>
      <c r="O100" s="6">
        <f>Summary!O100</f>
        <v/>
      </c>
      <c r="P100" s="6">
        <f>Summary!P100</f>
        <v/>
      </c>
      <c r="Q100" s="6">
        <f>Summary!Q100</f>
        <v/>
      </c>
      <c r="R100" s="6">
        <f>Summary!R100</f>
        <v/>
      </c>
      <c r="S100" s="6">
        <f>Summary!S100</f>
        <v/>
      </c>
      <c r="T100" s="6">
        <f>Summary!T100</f>
        <v/>
      </c>
      <c r="U100" s="6">
        <f>Summary!U100</f>
        <v/>
      </c>
      <c r="V100" s="6">
        <f>Summary!V100</f>
        <v/>
      </c>
      <c r="W100" s="6">
        <f>Summary!W100</f>
        <v/>
      </c>
      <c r="X100" s="6">
        <f>Summary!X100</f>
        <v/>
      </c>
      <c r="Y100" s="6">
        <f>Summary!Y100</f>
        <v/>
      </c>
      <c r="Z100" s="6">
        <f>Summary!Z100</f>
        <v/>
      </c>
      <c r="AA100" s="6">
        <f>Summary!AA100</f>
        <v/>
      </c>
      <c r="AB100" s="6">
        <f>SUM(D100:AA100)</f>
        <v/>
      </c>
      <c r="AC100" s="3" t="inlineStr"/>
      <c r="AD100" s="7">
        <f>D100*0.00238409</f>
        <v/>
      </c>
      <c r="AE100" s="7">
        <f>E100*0.00238409</f>
        <v/>
      </c>
      <c r="AF100" s="7">
        <f>F100*0.00238409</f>
        <v/>
      </c>
      <c r="AG100" s="7">
        <f>G100*0.00238409</f>
        <v/>
      </c>
      <c r="AH100" s="7">
        <f>H100*0.00238409</f>
        <v/>
      </c>
      <c r="AI100" s="7">
        <f>I100*0.00238409</f>
        <v/>
      </c>
      <c r="AJ100" s="7">
        <f>J100*0.00238409</f>
        <v/>
      </c>
      <c r="AK100" s="7">
        <f>K100*0.00238409</f>
        <v/>
      </c>
      <c r="AL100" s="7">
        <f>L100*0.00238409</f>
        <v/>
      </c>
      <c r="AM100" s="7">
        <f>M100*0.00238409</f>
        <v/>
      </c>
      <c r="AN100" s="7">
        <f>N100*0.00238409</f>
        <v/>
      </c>
      <c r="AO100" s="7">
        <f>O100*0.00238409</f>
        <v/>
      </c>
      <c r="AP100" s="7">
        <f>P100*0.00238409</f>
        <v/>
      </c>
      <c r="AQ100" s="7">
        <f>Q100*0.00238409</f>
        <v/>
      </c>
      <c r="AR100" s="7">
        <f>R100*0.00238409</f>
        <v/>
      </c>
      <c r="AS100" s="7">
        <f>S100*0.00238409</f>
        <v/>
      </c>
      <c r="AT100" s="7">
        <f>T100*0.00238409</f>
        <v/>
      </c>
      <c r="AU100" s="7">
        <f>U100*0.00238409</f>
        <v/>
      </c>
      <c r="AV100" s="7">
        <f>V100*0.00238409</f>
        <v/>
      </c>
      <c r="AW100" s="7">
        <f>W100*0.00238409</f>
        <v/>
      </c>
      <c r="AX100" s="7">
        <f>X100*0.00238409</f>
        <v/>
      </c>
      <c r="AY100" s="7">
        <f>Y100*0.00238409</f>
        <v/>
      </c>
      <c r="AZ100" s="7">
        <f>Z100*0.00238409</f>
        <v/>
      </c>
      <c r="BA100" s="7">
        <f>AA100*0.00238409</f>
        <v/>
      </c>
      <c r="BB100" s="7">
        <f>SUM(AD100:BA100)</f>
        <v/>
      </c>
    </row>
    <row r="101">
      <c r="A101" t="inlineStr">
        <is>
          <t>AMD-RTS-RCLS-1302-SSC_1</t>
        </is>
      </c>
      <c r="B101" t="inlineStr">
        <is>
          <t>Rev OSC</t>
        </is>
      </c>
      <c r="C101" s="5" t="n">
        <v>46094</v>
      </c>
      <c r="D101" s="6">
        <f>Summary!D101</f>
        <v/>
      </c>
      <c r="E101" s="6">
        <f>Summary!E101</f>
        <v/>
      </c>
      <c r="F101" s="6">
        <f>Summary!F101</f>
        <v/>
      </c>
      <c r="G101" s="6">
        <f>Summary!G101</f>
        <v/>
      </c>
      <c r="H101" s="6">
        <f>Summary!H101</f>
        <v/>
      </c>
      <c r="I101" s="6">
        <f>Summary!I101</f>
        <v/>
      </c>
      <c r="J101" s="6">
        <f>Summary!J101</f>
        <v/>
      </c>
      <c r="K101" s="6">
        <f>Summary!K101</f>
        <v/>
      </c>
      <c r="L101" s="6">
        <f>Summary!L101</f>
        <v/>
      </c>
      <c r="M101" s="6">
        <f>Summary!M101</f>
        <v/>
      </c>
      <c r="N101" s="6">
        <f>Summary!N101</f>
        <v/>
      </c>
      <c r="O101" s="6">
        <f>Summary!O101</f>
        <v/>
      </c>
      <c r="P101" s="6">
        <f>Summary!P101</f>
        <v/>
      </c>
      <c r="Q101" s="6">
        <f>Summary!Q101</f>
        <v/>
      </c>
      <c r="R101" s="6">
        <f>Summary!R101</f>
        <v/>
      </c>
      <c r="S101" s="6">
        <f>Summary!S101</f>
        <v/>
      </c>
      <c r="T101" s="6">
        <f>Summary!T101</f>
        <v/>
      </c>
      <c r="U101" s="6">
        <f>Summary!U101</f>
        <v/>
      </c>
      <c r="V101" s="6">
        <f>Summary!V101</f>
        <v/>
      </c>
      <c r="W101" s="6">
        <f>Summary!W101</f>
        <v/>
      </c>
      <c r="X101" s="6">
        <f>Summary!X101</f>
        <v/>
      </c>
      <c r="Y101" s="6">
        <f>Summary!Y101</f>
        <v/>
      </c>
      <c r="Z101" s="6">
        <f>Summary!Z101</f>
        <v/>
      </c>
      <c r="AA101" s="6">
        <f>Summary!AA101</f>
        <v/>
      </c>
      <c r="AB101" s="6">
        <f>SUM(D101:AA101)</f>
        <v/>
      </c>
      <c r="AC101" s="3" t="inlineStr"/>
      <c r="AD101" s="7">
        <f>D101*0.00238409</f>
        <v/>
      </c>
      <c r="AE101" s="7">
        <f>E101*0.00238409</f>
        <v/>
      </c>
      <c r="AF101" s="7">
        <f>F101*0.00238409</f>
        <v/>
      </c>
      <c r="AG101" s="7">
        <f>G101*0.00238409</f>
        <v/>
      </c>
      <c r="AH101" s="7">
        <f>H101*0.00238409</f>
        <v/>
      </c>
      <c r="AI101" s="7">
        <f>I101*0.00238409</f>
        <v/>
      </c>
      <c r="AJ101" s="7">
        <f>J101*0.00238409</f>
        <v/>
      </c>
      <c r="AK101" s="7">
        <f>K101*0.00238409</f>
        <v/>
      </c>
      <c r="AL101" s="7">
        <f>L101*0.00238409</f>
        <v/>
      </c>
      <c r="AM101" s="7">
        <f>M101*0.00238409</f>
        <v/>
      </c>
      <c r="AN101" s="7">
        <f>N101*0.00238409</f>
        <v/>
      </c>
      <c r="AO101" s="7">
        <f>O101*0.00238409</f>
        <v/>
      </c>
      <c r="AP101" s="7">
        <f>P101*0.00238409</f>
        <v/>
      </c>
      <c r="AQ101" s="7">
        <f>Q101*0.00238409</f>
        <v/>
      </c>
      <c r="AR101" s="7">
        <f>R101*0.00238409</f>
        <v/>
      </c>
      <c r="AS101" s="7">
        <f>S101*0.00238409</f>
        <v/>
      </c>
      <c r="AT101" s="7">
        <f>T101*0.00238409</f>
        <v/>
      </c>
      <c r="AU101" s="7">
        <f>U101*0.00238409</f>
        <v/>
      </c>
      <c r="AV101" s="7">
        <f>V101*0.00238409</f>
        <v/>
      </c>
      <c r="AW101" s="7">
        <f>W101*0.00238409</f>
        <v/>
      </c>
      <c r="AX101" s="7">
        <f>X101*0.00238409</f>
        <v/>
      </c>
      <c r="AY101" s="7">
        <f>Y101*0.00238409</f>
        <v/>
      </c>
      <c r="AZ101" s="7">
        <f>Z101*0.00238409</f>
        <v/>
      </c>
      <c r="BA101" s="7">
        <f>AA101*0.00238409</f>
        <v/>
      </c>
      <c r="BB101" s="7">
        <f>SUM(AD101:BA101)</f>
        <v/>
      </c>
    </row>
    <row r="102">
      <c r="A102" t="inlineStr">
        <is>
          <t>AMD-RTS-RCLS-1302-SSC_1</t>
        </is>
      </c>
      <c r="B102" t="inlineStr">
        <is>
          <t>Rev OSC</t>
        </is>
      </c>
      <c r="C102" s="5" t="n">
        <v>46095</v>
      </c>
      <c r="D102" s="6">
        <f>Summary!D102</f>
        <v/>
      </c>
      <c r="E102" s="6">
        <f>Summary!E102</f>
        <v/>
      </c>
      <c r="F102" s="6">
        <f>Summary!F102</f>
        <v/>
      </c>
      <c r="G102" s="6">
        <f>Summary!G102</f>
        <v/>
      </c>
      <c r="H102" s="6">
        <f>Summary!H102</f>
        <v/>
      </c>
      <c r="I102" s="6">
        <f>Summary!I102</f>
        <v/>
      </c>
      <c r="J102" s="6">
        <f>Summary!J102</f>
        <v/>
      </c>
      <c r="K102" s="6">
        <f>Summary!K102</f>
        <v/>
      </c>
      <c r="L102" s="6">
        <f>Summary!L102</f>
        <v/>
      </c>
      <c r="M102" s="6">
        <f>Summary!M102</f>
        <v/>
      </c>
      <c r="N102" s="6">
        <f>Summary!N102</f>
        <v/>
      </c>
      <c r="O102" s="6">
        <f>Summary!O102</f>
        <v/>
      </c>
      <c r="P102" s="6">
        <f>Summary!P102</f>
        <v/>
      </c>
      <c r="Q102" s="6">
        <f>Summary!Q102</f>
        <v/>
      </c>
      <c r="R102" s="6">
        <f>Summary!R102</f>
        <v/>
      </c>
      <c r="S102" s="6">
        <f>Summary!S102</f>
        <v/>
      </c>
      <c r="T102" s="6">
        <f>Summary!T102</f>
        <v/>
      </c>
      <c r="U102" s="6">
        <f>Summary!U102</f>
        <v/>
      </c>
      <c r="V102" s="6">
        <f>Summary!V102</f>
        <v/>
      </c>
      <c r="W102" s="6">
        <f>Summary!W102</f>
        <v/>
      </c>
      <c r="X102" s="6">
        <f>Summary!X102</f>
        <v/>
      </c>
      <c r="Y102" s="6">
        <f>Summary!Y102</f>
        <v/>
      </c>
      <c r="Z102" s="6">
        <f>Summary!Z102</f>
        <v/>
      </c>
      <c r="AA102" s="6">
        <f>Summary!AA102</f>
        <v/>
      </c>
      <c r="AB102" s="6">
        <f>SUM(D102:AA102)</f>
        <v/>
      </c>
      <c r="AC102" s="3" t="inlineStr"/>
      <c r="AD102" s="7">
        <f>D102*0.00238409</f>
        <v/>
      </c>
      <c r="AE102" s="7">
        <f>E102*0.00238409</f>
        <v/>
      </c>
      <c r="AF102" s="7">
        <f>F102*0.00238409</f>
        <v/>
      </c>
      <c r="AG102" s="7">
        <f>G102*0.00238409</f>
        <v/>
      </c>
      <c r="AH102" s="7">
        <f>H102*0.00238409</f>
        <v/>
      </c>
      <c r="AI102" s="7">
        <f>I102*0.00238409</f>
        <v/>
      </c>
      <c r="AJ102" s="7">
        <f>J102*0.00238409</f>
        <v/>
      </c>
      <c r="AK102" s="7">
        <f>K102*0.00238409</f>
        <v/>
      </c>
      <c r="AL102" s="7">
        <f>L102*0.00238409</f>
        <v/>
      </c>
      <c r="AM102" s="7">
        <f>M102*0.00238409</f>
        <v/>
      </c>
      <c r="AN102" s="7">
        <f>N102*0.00238409</f>
        <v/>
      </c>
      <c r="AO102" s="7">
        <f>O102*0.00238409</f>
        <v/>
      </c>
      <c r="AP102" s="7">
        <f>P102*0.00238409</f>
        <v/>
      </c>
      <c r="AQ102" s="7">
        <f>Q102*0.00238409</f>
        <v/>
      </c>
      <c r="AR102" s="7">
        <f>R102*0.00238409</f>
        <v/>
      </c>
      <c r="AS102" s="7">
        <f>S102*0.00238409</f>
        <v/>
      </c>
      <c r="AT102" s="7">
        <f>T102*0.00238409</f>
        <v/>
      </c>
      <c r="AU102" s="7">
        <f>U102*0.00238409</f>
        <v/>
      </c>
      <c r="AV102" s="7">
        <f>V102*0.00238409</f>
        <v/>
      </c>
      <c r="AW102" s="7">
        <f>W102*0.00238409</f>
        <v/>
      </c>
      <c r="AX102" s="7">
        <f>X102*0.00238409</f>
        <v/>
      </c>
      <c r="AY102" s="7">
        <f>Y102*0.00238409</f>
        <v/>
      </c>
      <c r="AZ102" s="7">
        <f>Z102*0.00238409</f>
        <v/>
      </c>
      <c r="BA102" s="7">
        <f>AA102*0.00238409</f>
        <v/>
      </c>
      <c r="BB102" s="7">
        <f>SUM(AD102:BA102)</f>
        <v/>
      </c>
    </row>
    <row r="103">
      <c r="A103" t="inlineStr">
        <is>
          <t>AMD-RTS-RCLS-1302-SSC_1</t>
        </is>
      </c>
      <c r="B103" t="inlineStr">
        <is>
          <t>Rev OSC</t>
        </is>
      </c>
      <c r="C103" s="5" t="n">
        <v>46100</v>
      </c>
      <c r="D103" s="6">
        <f>Summary!D103</f>
        <v/>
      </c>
      <c r="E103" s="6">
        <f>Summary!E103</f>
        <v/>
      </c>
      <c r="F103" s="6">
        <f>Summary!F103</f>
        <v/>
      </c>
      <c r="G103" s="6">
        <f>Summary!G103</f>
        <v/>
      </c>
      <c r="H103" s="6">
        <f>Summary!H103</f>
        <v/>
      </c>
      <c r="I103" s="6">
        <f>Summary!I103</f>
        <v/>
      </c>
      <c r="J103" s="6">
        <f>Summary!J103</f>
        <v/>
      </c>
      <c r="K103" s="6">
        <f>Summary!K103</f>
        <v/>
      </c>
      <c r="L103" s="6">
        <f>Summary!L103</f>
        <v/>
      </c>
      <c r="M103" s="6">
        <f>Summary!M103</f>
        <v/>
      </c>
      <c r="N103" s="6">
        <f>Summary!N103</f>
        <v/>
      </c>
      <c r="O103" s="6">
        <f>Summary!O103</f>
        <v/>
      </c>
      <c r="P103" s="6">
        <f>Summary!P103</f>
        <v/>
      </c>
      <c r="Q103" s="6">
        <f>Summary!Q103</f>
        <v/>
      </c>
      <c r="R103" s="6">
        <f>Summary!R103</f>
        <v/>
      </c>
      <c r="S103" s="6">
        <f>Summary!S103</f>
        <v/>
      </c>
      <c r="T103" s="6">
        <f>Summary!T103</f>
        <v/>
      </c>
      <c r="U103" s="6">
        <f>Summary!U103</f>
        <v/>
      </c>
      <c r="V103" s="6">
        <f>Summary!V103</f>
        <v/>
      </c>
      <c r="W103" s="6">
        <f>Summary!W103</f>
        <v/>
      </c>
      <c r="X103" s="6">
        <f>Summary!X103</f>
        <v/>
      </c>
      <c r="Y103" s="6">
        <f>Summary!Y103</f>
        <v/>
      </c>
      <c r="Z103" s="6">
        <f>Summary!Z103</f>
        <v/>
      </c>
      <c r="AA103" s="6">
        <f>Summary!AA103</f>
        <v/>
      </c>
      <c r="AB103" s="6">
        <f>SUM(D103:AA103)</f>
        <v/>
      </c>
      <c r="AC103" s="3" t="inlineStr"/>
      <c r="AD103" s="7">
        <f>D103*0.00238409</f>
        <v/>
      </c>
      <c r="AE103" s="7">
        <f>E103*0.00238409</f>
        <v/>
      </c>
      <c r="AF103" s="7">
        <f>F103*0.00238409</f>
        <v/>
      </c>
      <c r="AG103" s="7">
        <f>G103*0.00238409</f>
        <v/>
      </c>
      <c r="AH103" s="7">
        <f>H103*0.00238409</f>
        <v/>
      </c>
      <c r="AI103" s="7">
        <f>I103*0.00238409</f>
        <v/>
      </c>
      <c r="AJ103" s="7">
        <f>J103*0.00238409</f>
        <v/>
      </c>
      <c r="AK103" s="7">
        <f>K103*0.00238409</f>
        <v/>
      </c>
      <c r="AL103" s="7">
        <f>L103*0.00238409</f>
        <v/>
      </c>
      <c r="AM103" s="7">
        <f>M103*0.00238409</f>
        <v/>
      </c>
      <c r="AN103" s="7">
        <f>N103*0.00238409</f>
        <v/>
      </c>
      <c r="AO103" s="7">
        <f>O103*0.00238409</f>
        <v/>
      </c>
      <c r="AP103" s="7">
        <f>P103*0.00238409</f>
        <v/>
      </c>
      <c r="AQ103" s="7">
        <f>Q103*0.00238409</f>
        <v/>
      </c>
      <c r="AR103" s="7">
        <f>R103*0.00238409</f>
        <v/>
      </c>
      <c r="AS103" s="7">
        <f>S103*0.00238409</f>
        <v/>
      </c>
      <c r="AT103" s="7">
        <f>T103*0.00238409</f>
        <v/>
      </c>
      <c r="AU103" s="7">
        <f>U103*0.00238409</f>
        <v/>
      </c>
      <c r="AV103" s="7">
        <f>V103*0.00238409</f>
        <v/>
      </c>
      <c r="AW103" s="7">
        <f>W103*0.00238409</f>
        <v/>
      </c>
      <c r="AX103" s="7">
        <f>X103*0.00238409</f>
        <v/>
      </c>
      <c r="AY103" s="7">
        <f>Y103*0.00238409</f>
        <v/>
      </c>
      <c r="AZ103" s="7">
        <f>Z103*0.00238409</f>
        <v/>
      </c>
      <c r="BA103" s="7">
        <f>AA103*0.00238409</f>
        <v/>
      </c>
      <c r="BB103" s="7">
        <f>SUM(AD103:BA103)</f>
        <v/>
      </c>
    </row>
    <row r="104">
      <c r="A104" t="inlineStr">
        <is>
          <t>AMD-RTS-RCLS-1302-SSC_1</t>
        </is>
      </c>
      <c r="B104" t="inlineStr">
        <is>
          <t>Rev OSC</t>
        </is>
      </c>
      <c r="C104" s="5" t="n">
        <v>46102</v>
      </c>
      <c r="D104" s="6">
        <f>Summary!D104</f>
        <v/>
      </c>
      <c r="E104" s="6">
        <f>Summary!E104</f>
        <v/>
      </c>
      <c r="F104" s="6">
        <f>Summary!F104</f>
        <v/>
      </c>
      <c r="G104" s="6">
        <f>Summary!G104</f>
        <v/>
      </c>
      <c r="H104" s="6">
        <f>Summary!H104</f>
        <v/>
      </c>
      <c r="I104" s="6">
        <f>Summary!I104</f>
        <v/>
      </c>
      <c r="J104" s="6">
        <f>Summary!J104</f>
        <v/>
      </c>
      <c r="K104" s="6">
        <f>Summary!K104</f>
        <v/>
      </c>
      <c r="L104" s="6">
        <f>Summary!L104</f>
        <v/>
      </c>
      <c r="M104" s="6">
        <f>Summary!M104</f>
        <v/>
      </c>
      <c r="N104" s="6">
        <f>Summary!N104</f>
        <v/>
      </c>
      <c r="O104" s="6">
        <f>Summary!O104</f>
        <v/>
      </c>
      <c r="P104" s="6">
        <f>Summary!P104</f>
        <v/>
      </c>
      <c r="Q104" s="6">
        <f>Summary!Q104</f>
        <v/>
      </c>
      <c r="R104" s="6">
        <f>Summary!R104</f>
        <v/>
      </c>
      <c r="S104" s="6">
        <f>Summary!S104</f>
        <v/>
      </c>
      <c r="T104" s="6">
        <f>Summary!T104</f>
        <v/>
      </c>
      <c r="U104" s="6">
        <f>Summary!U104</f>
        <v/>
      </c>
      <c r="V104" s="6">
        <f>Summary!V104</f>
        <v/>
      </c>
      <c r="W104" s="6">
        <f>Summary!W104</f>
        <v/>
      </c>
      <c r="X104" s="6">
        <f>Summary!X104</f>
        <v/>
      </c>
      <c r="Y104" s="6">
        <f>Summary!Y104</f>
        <v/>
      </c>
      <c r="Z104" s="6">
        <f>Summary!Z104</f>
        <v/>
      </c>
      <c r="AA104" s="6">
        <f>Summary!AA104</f>
        <v/>
      </c>
      <c r="AB104" s="6">
        <f>SUM(D104:AA104)</f>
        <v/>
      </c>
      <c r="AC104" s="3" t="inlineStr"/>
      <c r="AD104" s="7">
        <f>D104*0.00238409</f>
        <v/>
      </c>
      <c r="AE104" s="7">
        <f>E104*0.00238409</f>
        <v/>
      </c>
      <c r="AF104" s="7">
        <f>F104*0.00238409</f>
        <v/>
      </c>
      <c r="AG104" s="7">
        <f>G104*0.00238409</f>
        <v/>
      </c>
      <c r="AH104" s="7">
        <f>H104*0.00238409</f>
        <v/>
      </c>
      <c r="AI104" s="7">
        <f>I104*0.00238409</f>
        <v/>
      </c>
      <c r="AJ104" s="7">
        <f>J104*0.00238409</f>
        <v/>
      </c>
      <c r="AK104" s="7">
        <f>K104*0.00238409</f>
        <v/>
      </c>
      <c r="AL104" s="7">
        <f>L104*0.00238409</f>
        <v/>
      </c>
      <c r="AM104" s="7">
        <f>M104*0.00238409</f>
        <v/>
      </c>
      <c r="AN104" s="7">
        <f>N104*0.00238409</f>
        <v/>
      </c>
      <c r="AO104" s="7">
        <f>O104*0.00238409</f>
        <v/>
      </c>
      <c r="AP104" s="7">
        <f>P104*0.00238409</f>
        <v/>
      </c>
      <c r="AQ104" s="7">
        <f>Q104*0.00238409</f>
        <v/>
      </c>
      <c r="AR104" s="7">
        <f>R104*0.00238409</f>
        <v/>
      </c>
      <c r="AS104" s="7">
        <f>S104*0.00238409</f>
        <v/>
      </c>
      <c r="AT104" s="7">
        <f>T104*0.00238409</f>
        <v/>
      </c>
      <c r="AU104" s="7">
        <f>U104*0.00238409</f>
        <v/>
      </c>
      <c r="AV104" s="7">
        <f>V104*0.00238409</f>
        <v/>
      </c>
      <c r="AW104" s="7">
        <f>W104*0.00238409</f>
        <v/>
      </c>
      <c r="AX104" s="7">
        <f>X104*0.00238409</f>
        <v/>
      </c>
      <c r="AY104" s="7">
        <f>Y104*0.00238409</f>
        <v/>
      </c>
      <c r="AZ104" s="7">
        <f>Z104*0.00238409</f>
        <v/>
      </c>
      <c r="BA104" s="7">
        <f>AA104*0.00238409</f>
        <v/>
      </c>
      <c r="BB104" s="7">
        <f>SUM(AD104:BA104)</f>
        <v/>
      </c>
    </row>
    <row r="105">
      <c r="A105" t="inlineStr">
        <is>
          <t>AMD-RTS-RCLS-1302-SSC_1</t>
        </is>
      </c>
      <c r="B105" t="inlineStr">
        <is>
          <t>Rev OSC</t>
        </is>
      </c>
      <c r="C105" s="5" t="n">
        <v>46103</v>
      </c>
      <c r="D105" s="6">
        <f>Summary!D105</f>
        <v/>
      </c>
      <c r="E105" s="6">
        <f>Summary!E105</f>
        <v/>
      </c>
      <c r="F105" s="6">
        <f>Summary!F105</f>
        <v/>
      </c>
      <c r="G105" s="6">
        <f>Summary!G105</f>
        <v/>
      </c>
      <c r="H105" s="6">
        <f>Summary!H105</f>
        <v/>
      </c>
      <c r="I105" s="6">
        <f>Summary!I105</f>
        <v/>
      </c>
      <c r="J105" s="6">
        <f>Summary!J105</f>
        <v/>
      </c>
      <c r="K105" s="6">
        <f>Summary!K105</f>
        <v/>
      </c>
      <c r="L105" s="6">
        <f>Summary!L105</f>
        <v/>
      </c>
      <c r="M105" s="6">
        <f>Summary!M105</f>
        <v/>
      </c>
      <c r="N105" s="6">
        <f>Summary!N105</f>
        <v/>
      </c>
      <c r="O105" s="6">
        <f>Summary!O105</f>
        <v/>
      </c>
      <c r="P105" s="6">
        <f>Summary!P105</f>
        <v/>
      </c>
      <c r="Q105" s="6">
        <f>Summary!Q105</f>
        <v/>
      </c>
      <c r="R105" s="6">
        <f>Summary!R105</f>
        <v/>
      </c>
      <c r="S105" s="6">
        <f>Summary!S105</f>
        <v/>
      </c>
      <c r="T105" s="6">
        <f>Summary!T105</f>
        <v/>
      </c>
      <c r="U105" s="6">
        <f>Summary!U105</f>
        <v/>
      </c>
      <c r="V105" s="6">
        <f>Summary!V105</f>
        <v/>
      </c>
      <c r="W105" s="6">
        <f>Summary!W105</f>
        <v/>
      </c>
      <c r="X105" s="6">
        <f>Summary!X105</f>
        <v/>
      </c>
      <c r="Y105" s="6">
        <f>Summary!Y105</f>
        <v/>
      </c>
      <c r="Z105" s="6">
        <f>Summary!Z105</f>
        <v/>
      </c>
      <c r="AA105" s="6">
        <f>Summary!AA105</f>
        <v/>
      </c>
      <c r="AB105" s="6">
        <f>SUM(D105:AA105)</f>
        <v/>
      </c>
      <c r="AC105" s="3" t="inlineStr"/>
      <c r="AD105" s="7">
        <f>D105*0.00238409</f>
        <v/>
      </c>
      <c r="AE105" s="7">
        <f>E105*0.00238409</f>
        <v/>
      </c>
      <c r="AF105" s="7">
        <f>F105*0.00238409</f>
        <v/>
      </c>
      <c r="AG105" s="7">
        <f>G105*0.00238409</f>
        <v/>
      </c>
      <c r="AH105" s="7">
        <f>H105*0.00238409</f>
        <v/>
      </c>
      <c r="AI105" s="7">
        <f>I105*0.00238409</f>
        <v/>
      </c>
      <c r="AJ105" s="7">
        <f>J105*0.00238409</f>
        <v/>
      </c>
      <c r="AK105" s="7">
        <f>K105*0.00238409</f>
        <v/>
      </c>
      <c r="AL105" s="7">
        <f>L105*0.00238409</f>
        <v/>
      </c>
      <c r="AM105" s="7">
        <f>M105*0.00238409</f>
        <v/>
      </c>
      <c r="AN105" s="7">
        <f>N105*0.00238409</f>
        <v/>
      </c>
      <c r="AO105" s="7">
        <f>O105*0.00238409</f>
        <v/>
      </c>
      <c r="AP105" s="7">
        <f>P105*0.00238409</f>
        <v/>
      </c>
      <c r="AQ105" s="7">
        <f>Q105*0.00238409</f>
        <v/>
      </c>
      <c r="AR105" s="7">
        <f>R105*0.00238409</f>
        <v/>
      </c>
      <c r="AS105" s="7">
        <f>S105*0.00238409</f>
        <v/>
      </c>
      <c r="AT105" s="7">
        <f>T105*0.00238409</f>
        <v/>
      </c>
      <c r="AU105" s="7">
        <f>U105*0.00238409</f>
        <v/>
      </c>
      <c r="AV105" s="7">
        <f>V105*0.00238409</f>
        <v/>
      </c>
      <c r="AW105" s="7">
        <f>W105*0.00238409</f>
        <v/>
      </c>
      <c r="AX105" s="7">
        <f>X105*0.00238409</f>
        <v/>
      </c>
      <c r="AY105" s="7">
        <f>Y105*0.00238409</f>
        <v/>
      </c>
      <c r="AZ105" s="7">
        <f>Z105*0.00238409</f>
        <v/>
      </c>
      <c r="BA105" s="7">
        <f>AA105*0.00238409</f>
        <v/>
      </c>
      <c r="BB105" s="7">
        <f>SUM(AD105:BA105)</f>
        <v/>
      </c>
    </row>
    <row r="106">
      <c r="A106" t="inlineStr">
        <is>
          <t>AMD-RTS-RCLS-1302-SSC_1</t>
        </is>
      </c>
      <c r="B106" t="inlineStr">
        <is>
          <t>Rev OSC</t>
        </is>
      </c>
      <c r="C106" s="5" t="n">
        <v>46104</v>
      </c>
      <c r="D106" s="6">
        <f>Summary!D106</f>
        <v/>
      </c>
      <c r="E106" s="6">
        <f>Summary!E106</f>
        <v/>
      </c>
      <c r="F106" s="6">
        <f>Summary!F106</f>
        <v/>
      </c>
      <c r="G106" s="6">
        <f>Summary!G106</f>
        <v/>
      </c>
      <c r="H106" s="6">
        <f>Summary!H106</f>
        <v/>
      </c>
      <c r="I106" s="6">
        <f>Summary!I106</f>
        <v/>
      </c>
      <c r="J106" s="6">
        <f>Summary!J106</f>
        <v/>
      </c>
      <c r="K106" s="6">
        <f>Summary!K106</f>
        <v/>
      </c>
      <c r="L106" s="6">
        <f>Summary!L106</f>
        <v/>
      </c>
      <c r="M106" s="6">
        <f>Summary!M106</f>
        <v/>
      </c>
      <c r="N106" s="6">
        <f>Summary!N106</f>
        <v/>
      </c>
      <c r="O106" s="6">
        <f>Summary!O106</f>
        <v/>
      </c>
      <c r="P106" s="6">
        <f>Summary!P106</f>
        <v/>
      </c>
      <c r="Q106" s="6">
        <f>Summary!Q106</f>
        <v/>
      </c>
      <c r="R106" s="6">
        <f>Summary!R106</f>
        <v/>
      </c>
      <c r="S106" s="6">
        <f>Summary!S106</f>
        <v/>
      </c>
      <c r="T106" s="6">
        <f>Summary!T106</f>
        <v/>
      </c>
      <c r="U106" s="6">
        <f>Summary!U106</f>
        <v/>
      </c>
      <c r="V106" s="6">
        <f>Summary!V106</f>
        <v/>
      </c>
      <c r="W106" s="6">
        <f>Summary!W106</f>
        <v/>
      </c>
      <c r="X106" s="6">
        <f>Summary!X106</f>
        <v/>
      </c>
      <c r="Y106" s="6">
        <f>Summary!Y106</f>
        <v/>
      </c>
      <c r="Z106" s="6">
        <f>Summary!Z106</f>
        <v/>
      </c>
      <c r="AA106" s="6">
        <f>Summary!AA106</f>
        <v/>
      </c>
      <c r="AB106" s="6">
        <f>SUM(D106:AA106)</f>
        <v/>
      </c>
      <c r="AC106" s="3" t="inlineStr"/>
      <c r="AD106" s="7">
        <f>D106*0.00238409</f>
        <v/>
      </c>
      <c r="AE106" s="7">
        <f>E106*0.00238409</f>
        <v/>
      </c>
      <c r="AF106" s="7">
        <f>F106*0.00238409</f>
        <v/>
      </c>
      <c r="AG106" s="7">
        <f>G106*0.00238409</f>
        <v/>
      </c>
      <c r="AH106" s="7">
        <f>H106*0.00238409</f>
        <v/>
      </c>
      <c r="AI106" s="7">
        <f>I106*0.00238409</f>
        <v/>
      </c>
      <c r="AJ106" s="7">
        <f>J106*0.00238409</f>
        <v/>
      </c>
      <c r="AK106" s="7">
        <f>K106*0.00238409</f>
        <v/>
      </c>
      <c r="AL106" s="7">
        <f>L106*0.00238409</f>
        <v/>
      </c>
      <c r="AM106" s="7">
        <f>M106*0.00238409</f>
        <v/>
      </c>
      <c r="AN106" s="7">
        <f>N106*0.00238409</f>
        <v/>
      </c>
      <c r="AO106" s="7">
        <f>O106*0.00238409</f>
        <v/>
      </c>
      <c r="AP106" s="7">
        <f>P106*0.00238409</f>
        <v/>
      </c>
      <c r="AQ106" s="7">
        <f>Q106*0.00238409</f>
        <v/>
      </c>
      <c r="AR106" s="7">
        <f>R106*0.00238409</f>
        <v/>
      </c>
      <c r="AS106" s="7">
        <f>S106*0.00238409</f>
        <v/>
      </c>
      <c r="AT106" s="7">
        <f>T106*0.00238409</f>
        <v/>
      </c>
      <c r="AU106" s="7">
        <f>U106*0.00238409</f>
        <v/>
      </c>
      <c r="AV106" s="7">
        <f>V106*0.00238409</f>
        <v/>
      </c>
      <c r="AW106" s="7">
        <f>W106*0.00238409</f>
        <v/>
      </c>
      <c r="AX106" s="7">
        <f>X106*0.00238409</f>
        <v/>
      </c>
      <c r="AY106" s="7">
        <f>Y106*0.00238409</f>
        <v/>
      </c>
      <c r="AZ106" s="7">
        <f>Z106*0.00238409</f>
        <v/>
      </c>
      <c r="BA106" s="7">
        <f>AA106*0.00238409</f>
        <v/>
      </c>
      <c r="BB106" s="7">
        <f>SUM(AD106:BA106)</f>
        <v/>
      </c>
    </row>
    <row r="107">
      <c r="A107" t="inlineStr">
        <is>
          <t>AMD-RTS-RCLS-1302-SSC_1</t>
        </is>
      </c>
      <c r="B107" t="inlineStr">
        <is>
          <t>Rev OSC</t>
        </is>
      </c>
      <c r="C107" s="5" t="n">
        <v>46105</v>
      </c>
      <c r="D107" s="6">
        <f>Summary!D107</f>
        <v/>
      </c>
      <c r="E107" s="6">
        <f>Summary!E107</f>
        <v/>
      </c>
      <c r="F107" s="6">
        <f>Summary!F107</f>
        <v/>
      </c>
      <c r="G107" s="6">
        <f>Summary!G107</f>
        <v/>
      </c>
      <c r="H107" s="6">
        <f>Summary!H107</f>
        <v/>
      </c>
      <c r="I107" s="6">
        <f>Summary!I107</f>
        <v/>
      </c>
      <c r="J107" s="6">
        <f>Summary!J107</f>
        <v/>
      </c>
      <c r="K107" s="6">
        <f>Summary!K107</f>
        <v/>
      </c>
      <c r="L107" s="6">
        <f>Summary!L107</f>
        <v/>
      </c>
      <c r="M107" s="6">
        <f>Summary!M107</f>
        <v/>
      </c>
      <c r="N107" s="6">
        <f>Summary!N107</f>
        <v/>
      </c>
      <c r="O107" s="6">
        <f>Summary!O107</f>
        <v/>
      </c>
      <c r="P107" s="6">
        <f>Summary!P107</f>
        <v/>
      </c>
      <c r="Q107" s="6">
        <f>Summary!Q107</f>
        <v/>
      </c>
      <c r="R107" s="6">
        <f>Summary!R107</f>
        <v/>
      </c>
      <c r="S107" s="6">
        <f>Summary!S107</f>
        <v/>
      </c>
      <c r="T107" s="6">
        <f>Summary!T107</f>
        <v/>
      </c>
      <c r="U107" s="6">
        <f>Summary!U107</f>
        <v/>
      </c>
      <c r="V107" s="6">
        <f>Summary!V107</f>
        <v/>
      </c>
      <c r="W107" s="6">
        <f>Summary!W107</f>
        <v/>
      </c>
      <c r="X107" s="6">
        <f>Summary!X107</f>
        <v/>
      </c>
      <c r="Y107" s="6">
        <f>Summary!Y107</f>
        <v/>
      </c>
      <c r="Z107" s="6">
        <f>Summary!Z107</f>
        <v/>
      </c>
      <c r="AA107" s="6">
        <f>Summary!AA107</f>
        <v/>
      </c>
      <c r="AB107" s="6">
        <f>SUM(D107:AA107)</f>
        <v/>
      </c>
      <c r="AC107" s="3" t="inlineStr"/>
      <c r="AD107" s="7">
        <f>D107*0.00238409</f>
        <v/>
      </c>
      <c r="AE107" s="7">
        <f>E107*0.00238409</f>
        <v/>
      </c>
      <c r="AF107" s="7">
        <f>F107*0.00238409</f>
        <v/>
      </c>
      <c r="AG107" s="7">
        <f>G107*0.00238409</f>
        <v/>
      </c>
      <c r="AH107" s="7">
        <f>H107*0.00238409</f>
        <v/>
      </c>
      <c r="AI107" s="7">
        <f>I107*0.00238409</f>
        <v/>
      </c>
      <c r="AJ107" s="7">
        <f>J107*0.00238409</f>
        <v/>
      </c>
      <c r="AK107" s="7">
        <f>K107*0.00238409</f>
        <v/>
      </c>
      <c r="AL107" s="7">
        <f>L107*0.00238409</f>
        <v/>
      </c>
      <c r="AM107" s="7">
        <f>M107*0.00238409</f>
        <v/>
      </c>
      <c r="AN107" s="7">
        <f>N107*0.00238409</f>
        <v/>
      </c>
      <c r="AO107" s="7">
        <f>O107*0.00238409</f>
        <v/>
      </c>
      <c r="AP107" s="7">
        <f>P107*0.00238409</f>
        <v/>
      </c>
      <c r="AQ107" s="7">
        <f>Q107*0.00238409</f>
        <v/>
      </c>
      <c r="AR107" s="7">
        <f>R107*0.00238409</f>
        <v/>
      </c>
      <c r="AS107" s="7">
        <f>S107*0.00238409</f>
        <v/>
      </c>
      <c r="AT107" s="7">
        <f>T107*0.00238409</f>
        <v/>
      </c>
      <c r="AU107" s="7">
        <f>U107*0.00238409</f>
        <v/>
      </c>
      <c r="AV107" s="7">
        <f>V107*0.00238409</f>
        <v/>
      </c>
      <c r="AW107" s="7">
        <f>W107*0.00238409</f>
        <v/>
      </c>
      <c r="AX107" s="7">
        <f>X107*0.00238409</f>
        <v/>
      </c>
      <c r="AY107" s="7">
        <f>Y107*0.00238409</f>
        <v/>
      </c>
      <c r="AZ107" s="7">
        <f>Z107*0.00238409</f>
        <v/>
      </c>
      <c r="BA107" s="7">
        <f>AA107*0.00238409</f>
        <v/>
      </c>
      <c r="BB107" s="7">
        <f>SUM(AD107:BA107)</f>
        <v/>
      </c>
    </row>
    <row r="108">
      <c r="A108" t="inlineStr">
        <is>
          <t>AMD-RTS-RCLS-1302-SSC_2</t>
        </is>
      </c>
      <c r="B108" t="inlineStr">
        <is>
          <t>Rev OSC</t>
        </is>
      </c>
      <c r="C108" s="5" t="n">
        <v>46100</v>
      </c>
      <c r="D108" s="6">
        <f>Summary!D108</f>
        <v/>
      </c>
      <c r="E108" s="6">
        <f>Summary!E108</f>
        <v/>
      </c>
      <c r="F108" s="6">
        <f>Summary!F108</f>
        <v/>
      </c>
      <c r="G108" s="6">
        <f>Summary!G108</f>
        <v/>
      </c>
      <c r="H108" s="6">
        <f>Summary!H108</f>
        <v/>
      </c>
      <c r="I108" s="6">
        <f>Summary!I108</f>
        <v/>
      </c>
      <c r="J108" s="6">
        <f>Summary!J108</f>
        <v/>
      </c>
      <c r="K108" s="6">
        <f>Summary!K108</f>
        <v/>
      </c>
      <c r="L108" s="6">
        <f>Summary!L108</f>
        <v/>
      </c>
      <c r="M108" s="6">
        <f>Summary!M108</f>
        <v/>
      </c>
      <c r="N108" s="6">
        <f>Summary!N108</f>
        <v/>
      </c>
      <c r="O108" s="6">
        <f>Summary!O108</f>
        <v/>
      </c>
      <c r="P108" s="6">
        <f>Summary!P108</f>
        <v/>
      </c>
      <c r="Q108" s="6">
        <f>Summary!Q108</f>
        <v/>
      </c>
      <c r="R108" s="6">
        <f>Summary!R108</f>
        <v/>
      </c>
      <c r="S108" s="6">
        <f>Summary!S108</f>
        <v/>
      </c>
      <c r="T108" s="6">
        <f>Summary!T108</f>
        <v/>
      </c>
      <c r="U108" s="6">
        <f>Summary!U108</f>
        <v/>
      </c>
      <c r="V108" s="6">
        <f>Summary!V108</f>
        <v/>
      </c>
      <c r="W108" s="6">
        <f>Summary!W108</f>
        <v/>
      </c>
      <c r="X108" s="6">
        <f>Summary!X108</f>
        <v/>
      </c>
      <c r="Y108" s="6">
        <f>Summary!Y108</f>
        <v/>
      </c>
      <c r="Z108" s="6">
        <f>Summary!Z108</f>
        <v/>
      </c>
      <c r="AA108" s="6">
        <f>Summary!AA108</f>
        <v/>
      </c>
      <c r="AB108" s="6">
        <f>SUM(D108:AA108)</f>
        <v/>
      </c>
      <c r="AC108" s="3" t="inlineStr"/>
      <c r="AD108" s="7">
        <f>D108*0.00238409</f>
        <v/>
      </c>
      <c r="AE108" s="7">
        <f>E108*0.00238409</f>
        <v/>
      </c>
      <c r="AF108" s="7">
        <f>F108*0.00238409</f>
        <v/>
      </c>
      <c r="AG108" s="7">
        <f>G108*0.00238409</f>
        <v/>
      </c>
      <c r="AH108" s="7">
        <f>H108*0.00238409</f>
        <v/>
      </c>
      <c r="AI108" s="7">
        <f>I108*0.00238409</f>
        <v/>
      </c>
      <c r="AJ108" s="7">
        <f>J108*0.00238409</f>
        <v/>
      </c>
      <c r="AK108" s="7">
        <f>K108*0.00238409</f>
        <v/>
      </c>
      <c r="AL108" s="7">
        <f>L108*0.00238409</f>
        <v/>
      </c>
      <c r="AM108" s="7">
        <f>M108*0.00238409</f>
        <v/>
      </c>
      <c r="AN108" s="7">
        <f>N108*0.00238409</f>
        <v/>
      </c>
      <c r="AO108" s="7">
        <f>O108*0.00238409</f>
        <v/>
      </c>
      <c r="AP108" s="7">
        <f>P108*0.00238409</f>
        <v/>
      </c>
      <c r="AQ108" s="7">
        <f>Q108*0.00238409</f>
        <v/>
      </c>
      <c r="AR108" s="7">
        <f>R108*0.00238409</f>
        <v/>
      </c>
      <c r="AS108" s="7">
        <f>S108*0.00238409</f>
        <v/>
      </c>
      <c r="AT108" s="7">
        <f>T108*0.00238409</f>
        <v/>
      </c>
      <c r="AU108" s="7">
        <f>U108*0.00238409</f>
        <v/>
      </c>
      <c r="AV108" s="7">
        <f>V108*0.00238409</f>
        <v/>
      </c>
      <c r="AW108" s="7">
        <f>W108*0.00238409</f>
        <v/>
      </c>
      <c r="AX108" s="7">
        <f>X108*0.00238409</f>
        <v/>
      </c>
      <c r="AY108" s="7">
        <f>Y108*0.00238409</f>
        <v/>
      </c>
      <c r="AZ108" s="7">
        <f>Z108*0.00238409</f>
        <v/>
      </c>
      <c r="BA108" s="7">
        <f>AA108*0.00238409</f>
        <v/>
      </c>
      <c r="BB108" s="7">
        <f>SUM(AD108:BA108)</f>
        <v/>
      </c>
    </row>
    <row r="109">
      <c r="A109" t="inlineStr">
        <is>
          <t>AMD-RTS-RCLS-1302-SSC_2</t>
        </is>
      </c>
      <c r="B109" t="inlineStr">
        <is>
          <t>Rev OSC</t>
        </is>
      </c>
      <c r="C109" s="5" t="n">
        <v>46102</v>
      </c>
      <c r="D109" s="6">
        <f>Summary!D109</f>
        <v/>
      </c>
      <c r="E109" s="6">
        <f>Summary!E109</f>
        <v/>
      </c>
      <c r="F109" s="6">
        <f>Summary!F109</f>
        <v/>
      </c>
      <c r="G109" s="6">
        <f>Summary!G109</f>
        <v/>
      </c>
      <c r="H109" s="6">
        <f>Summary!H109</f>
        <v/>
      </c>
      <c r="I109" s="6">
        <f>Summary!I109</f>
        <v/>
      </c>
      <c r="J109" s="6">
        <f>Summary!J109</f>
        <v/>
      </c>
      <c r="K109" s="6">
        <f>Summary!K109</f>
        <v/>
      </c>
      <c r="L109" s="6">
        <f>Summary!L109</f>
        <v/>
      </c>
      <c r="M109" s="6">
        <f>Summary!M109</f>
        <v/>
      </c>
      <c r="N109" s="6">
        <f>Summary!N109</f>
        <v/>
      </c>
      <c r="O109" s="6">
        <f>Summary!O109</f>
        <v/>
      </c>
      <c r="P109" s="6">
        <f>Summary!P109</f>
        <v/>
      </c>
      <c r="Q109" s="6">
        <f>Summary!Q109</f>
        <v/>
      </c>
      <c r="R109" s="6">
        <f>Summary!R109</f>
        <v/>
      </c>
      <c r="S109" s="6">
        <f>Summary!S109</f>
        <v/>
      </c>
      <c r="T109" s="6">
        <f>Summary!T109</f>
        <v/>
      </c>
      <c r="U109" s="6">
        <f>Summary!U109</f>
        <v/>
      </c>
      <c r="V109" s="6">
        <f>Summary!V109</f>
        <v/>
      </c>
      <c r="W109" s="6">
        <f>Summary!W109</f>
        <v/>
      </c>
      <c r="X109" s="6">
        <f>Summary!X109</f>
        <v/>
      </c>
      <c r="Y109" s="6">
        <f>Summary!Y109</f>
        <v/>
      </c>
      <c r="Z109" s="6">
        <f>Summary!Z109</f>
        <v/>
      </c>
      <c r="AA109" s="6">
        <f>Summary!AA109</f>
        <v/>
      </c>
      <c r="AB109" s="6">
        <f>SUM(D109:AA109)</f>
        <v/>
      </c>
      <c r="AC109" s="3" t="inlineStr"/>
      <c r="AD109" s="7">
        <f>D109*0.00238409</f>
        <v/>
      </c>
      <c r="AE109" s="7">
        <f>E109*0.00238409</f>
        <v/>
      </c>
      <c r="AF109" s="7">
        <f>F109*0.00238409</f>
        <v/>
      </c>
      <c r="AG109" s="7">
        <f>G109*0.00238409</f>
        <v/>
      </c>
      <c r="AH109" s="7">
        <f>H109*0.00238409</f>
        <v/>
      </c>
      <c r="AI109" s="7">
        <f>I109*0.00238409</f>
        <v/>
      </c>
      <c r="AJ109" s="7">
        <f>J109*0.00238409</f>
        <v/>
      </c>
      <c r="AK109" s="7">
        <f>K109*0.00238409</f>
        <v/>
      </c>
      <c r="AL109" s="7">
        <f>L109*0.00238409</f>
        <v/>
      </c>
      <c r="AM109" s="7">
        <f>M109*0.00238409</f>
        <v/>
      </c>
      <c r="AN109" s="7">
        <f>N109*0.00238409</f>
        <v/>
      </c>
      <c r="AO109" s="7">
        <f>O109*0.00238409</f>
        <v/>
      </c>
      <c r="AP109" s="7">
        <f>P109*0.00238409</f>
        <v/>
      </c>
      <c r="AQ109" s="7">
        <f>Q109*0.00238409</f>
        <v/>
      </c>
      <c r="AR109" s="7">
        <f>R109*0.00238409</f>
        <v/>
      </c>
      <c r="AS109" s="7">
        <f>S109*0.00238409</f>
        <v/>
      </c>
      <c r="AT109" s="7">
        <f>T109*0.00238409</f>
        <v/>
      </c>
      <c r="AU109" s="7">
        <f>U109*0.00238409</f>
        <v/>
      </c>
      <c r="AV109" s="7">
        <f>V109*0.00238409</f>
        <v/>
      </c>
      <c r="AW109" s="7">
        <f>W109*0.00238409</f>
        <v/>
      </c>
      <c r="AX109" s="7">
        <f>X109*0.00238409</f>
        <v/>
      </c>
      <c r="AY109" s="7">
        <f>Y109*0.00238409</f>
        <v/>
      </c>
      <c r="AZ109" s="7">
        <f>Z109*0.00238409</f>
        <v/>
      </c>
      <c r="BA109" s="7">
        <f>AA109*0.00238409</f>
        <v/>
      </c>
      <c r="BB109" s="7">
        <f>SUM(AD109:BA109)</f>
        <v/>
      </c>
    </row>
    <row r="110">
      <c r="A110" t="inlineStr">
        <is>
          <t>AMD-RTS-RCLS-1302-SSC_2</t>
        </is>
      </c>
      <c r="B110" t="inlineStr">
        <is>
          <t>Rev OSC</t>
        </is>
      </c>
      <c r="C110" s="5" t="n">
        <v>46104</v>
      </c>
      <c r="D110" s="6">
        <f>Summary!D110</f>
        <v/>
      </c>
      <c r="E110" s="6">
        <f>Summary!E110</f>
        <v/>
      </c>
      <c r="F110" s="6">
        <f>Summary!F110</f>
        <v/>
      </c>
      <c r="G110" s="6">
        <f>Summary!G110</f>
        <v/>
      </c>
      <c r="H110" s="6">
        <f>Summary!H110</f>
        <v/>
      </c>
      <c r="I110" s="6">
        <f>Summary!I110</f>
        <v/>
      </c>
      <c r="J110" s="6">
        <f>Summary!J110</f>
        <v/>
      </c>
      <c r="K110" s="6">
        <f>Summary!K110</f>
        <v/>
      </c>
      <c r="L110" s="6">
        <f>Summary!L110</f>
        <v/>
      </c>
      <c r="M110" s="6">
        <f>Summary!M110</f>
        <v/>
      </c>
      <c r="N110" s="6">
        <f>Summary!N110</f>
        <v/>
      </c>
      <c r="O110" s="6">
        <f>Summary!O110</f>
        <v/>
      </c>
      <c r="P110" s="6">
        <f>Summary!P110</f>
        <v/>
      </c>
      <c r="Q110" s="6">
        <f>Summary!Q110</f>
        <v/>
      </c>
      <c r="R110" s="6">
        <f>Summary!R110</f>
        <v/>
      </c>
      <c r="S110" s="6">
        <f>Summary!S110</f>
        <v/>
      </c>
      <c r="T110" s="6">
        <f>Summary!T110</f>
        <v/>
      </c>
      <c r="U110" s="6">
        <f>Summary!U110</f>
        <v/>
      </c>
      <c r="V110" s="6">
        <f>Summary!V110</f>
        <v/>
      </c>
      <c r="W110" s="6">
        <f>Summary!W110</f>
        <v/>
      </c>
      <c r="X110" s="6">
        <f>Summary!X110</f>
        <v/>
      </c>
      <c r="Y110" s="6">
        <f>Summary!Y110</f>
        <v/>
      </c>
      <c r="Z110" s="6">
        <f>Summary!Z110</f>
        <v/>
      </c>
      <c r="AA110" s="6">
        <f>Summary!AA110</f>
        <v/>
      </c>
      <c r="AB110" s="6">
        <f>SUM(D110:AA110)</f>
        <v/>
      </c>
      <c r="AC110" s="3" t="inlineStr"/>
      <c r="AD110" s="7">
        <f>D110*0.00238409</f>
        <v/>
      </c>
      <c r="AE110" s="7">
        <f>E110*0.00238409</f>
        <v/>
      </c>
      <c r="AF110" s="7">
        <f>F110*0.00238409</f>
        <v/>
      </c>
      <c r="AG110" s="7">
        <f>G110*0.00238409</f>
        <v/>
      </c>
      <c r="AH110" s="7">
        <f>H110*0.00238409</f>
        <v/>
      </c>
      <c r="AI110" s="7">
        <f>I110*0.00238409</f>
        <v/>
      </c>
      <c r="AJ110" s="7">
        <f>J110*0.00238409</f>
        <v/>
      </c>
      <c r="AK110" s="7">
        <f>K110*0.00238409</f>
        <v/>
      </c>
      <c r="AL110" s="7">
        <f>L110*0.00238409</f>
        <v/>
      </c>
      <c r="AM110" s="7">
        <f>M110*0.00238409</f>
        <v/>
      </c>
      <c r="AN110" s="7">
        <f>N110*0.00238409</f>
        <v/>
      </c>
      <c r="AO110" s="7">
        <f>O110*0.00238409</f>
        <v/>
      </c>
      <c r="AP110" s="7">
        <f>P110*0.00238409</f>
        <v/>
      </c>
      <c r="AQ110" s="7">
        <f>Q110*0.00238409</f>
        <v/>
      </c>
      <c r="AR110" s="7">
        <f>R110*0.00238409</f>
        <v/>
      </c>
      <c r="AS110" s="7">
        <f>S110*0.00238409</f>
        <v/>
      </c>
      <c r="AT110" s="7">
        <f>T110*0.00238409</f>
        <v/>
      </c>
      <c r="AU110" s="7">
        <f>U110*0.00238409</f>
        <v/>
      </c>
      <c r="AV110" s="7">
        <f>V110*0.00238409</f>
        <v/>
      </c>
      <c r="AW110" s="7">
        <f>W110*0.00238409</f>
        <v/>
      </c>
      <c r="AX110" s="7">
        <f>X110*0.00238409</f>
        <v/>
      </c>
      <c r="AY110" s="7">
        <f>Y110*0.00238409</f>
        <v/>
      </c>
      <c r="AZ110" s="7">
        <f>Z110*0.00238409</f>
        <v/>
      </c>
      <c r="BA110" s="7">
        <f>AA110*0.00238409</f>
        <v/>
      </c>
      <c r="BB110" s="7">
        <f>SUM(AD110:BA110)</f>
        <v/>
      </c>
    </row>
    <row r="111">
      <c r="A111" t="inlineStr">
        <is>
          <t>DC-10-1</t>
        </is>
      </c>
      <c r="B111" t="inlineStr">
        <is>
          <t>DSC Manual</t>
        </is>
      </c>
      <c r="C111" s="5" t="n">
        <v>46089</v>
      </c>
      <c r="D111" s="6" t="n">
        <v>0</v>
      </c>
      <c r="E111" s="6" t="n">
        <v>0</v>
      </c>
      <c r="F111" s="6" t="n">
        <v>0</v>
      </c>
      <c r="G111" s="6" t="n">
        <v>0</v>
      </c>
      <c r="H111" s="6" t="n">
        <v>0</v>
      </c>
      <c r="I111" s="6" t="n">
        <v>0</v>
      </c>
      <c r="J111" s="6" t="n">
        <v>0</v>
      </c>
      <c r="K111" s="6" t="n">
        <v>0</v>
      </c>
      <c r="L111" s="6" t="n">
        <v>0</v>
      </c>
      <c r="M111" s="6" t="n">
        <v>0</v>
      </c>
      <c r="N111" s="6" t="n">
        <v>0</v>
      </c>
      <c r="O111" s="6" t="n">
        <v>0</v>
      </c>
      <c r="P111" s="6" t="n">
        <v>0</v>
      </c>
      <c r="Q111" s="6" t="n">
        <v>0</v>
      </c>
      <c r="R111" s="6" t="n">
        <v>0</v>
      </c>
      <c r="S111" s="6" t="n">
        <v>0</v>
      </c>
      <c r="T111" s="6" t="n">
        <v>0</v>
      </c>
      <c r="U111" s="6" t="n">
        <v>0</v>
      </c>
      <c r="V111" s="6" t="n">
        <v>0</v>
      </c>
      <c r="W111" s="6" t="n">
        <v>0</v>
      </c>
      <c r="X111" s="6" t="n">
        <v>0</v>
      </c>
      <c r="Y111" s="6" t="n">
        <v>0</v>
      </c>
      <c r="Z111" s="6" t="n">
        <v>0</v>
      </c>
      <c r="AA111" s="6" t="n">
        <v>0</v>
      </c>
      <c r="AB111" s="6">
        <f>SUM(D111:AA111)</f>
        <v/>
      </c>
      <c r="AC111" s="3" t="inlineStr"/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7" t="n">
        <v>0</v>
      </c>
      <c r="BB111" s="7">
        <f>SUM(AD111:BA111)</f>
        <v/>
      </c>
    </row>
    <row r="112">
      <c r="A112" t="inlineStr">
        <is>
          <t>DC-10-1</t>
        </is>
      </c>
      <c r="B112" t="inlineStr">
        <is>
          <t>DSC Manual</t>
        </is>
      </c>
      <c r="C112" s="5" t="n">
        <v>46090</v>
      </c>
      <c r="D112" s="6" t="n">
        <v>0</v>
      </c>
      <c r="E112" s="6" t="n">
        <v>0</v>
      </c>
      <c r="F112" s="6" t="n">
        <v>0</v>
      </c>
      <c r="G112" s="6" t="n">
        <v>0</v>
      </c>
      <c r="H112" s="6" t="n">
        <v>0</v>
      </c>
      <c r="I112" s="6" t="n">
        <v>0</v>
      </c>
      <c r="J112" s="6" t="n">
        <v>0</v>
      </c>
      <c r="K112" s="6" t="n">
        <v>0</v>
      </c>
      <c r="L112" s="6" t="n">
        <v>0</v>
      </c>
      <c r="M112" s="6" t="n">
        <v>0</v>
      </c>
      <c r="N112" s="6" t="n">
        <v>0</v>
      </c>
      <c r="O112" s="6" t="n">
        <v>0</v>
      </c>
      <c r="P112" s="6" t="n">
        <v>0</v>
      </c>
      <c r="Q112" s="6" t="n">
        <v>0</v>
      </c>
      <c r="R112" s="6" t="n">
        <v>0</v>
      </c>
      <c r="S112" s="6" t="n">
        <v>0</v>
      </c>
      <c r="T112" s="6" t="n">
        <v>0</v>
      </c>
      <c r="U112" s="6" t="n">
        <v>0</v>
      </c>
      <c r="V112" s="6" t="n">
        <v>0</v>
      </c>
      <c r="W112" s="6" t="n">
        <v>0</v>
      </c>
      <c r="X112" s="6" t="n">
        <v>0</v>
      </c>
      <c r="Y112" s="6" t="n">
        <v>0</v>
      </c>
      <c r="Z112" s="6" t="n">
        <v>0</v>
      </c>
      <c r="AA112" s="6" t="n">
        <v>0</v>
      </c>
      <c r="AB112" s="6">
        <f>SUM(D112:AA112)</f>
        <v/>
      </c>
      <c r="AC112" s="3" t="inlineStr"/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>
        <f>SUM(AD112:BA112)</f>
        <v/>
      </c>
    </row>
    <row r="113">
      <c r="A113" t="inlineStr">
        <is>
          <t>DC-10-1</t>
        </is>
      </c>
      <c r="B113" t="inlineStr">
        <is>
          <t>DSC Manual</t>
        </is>
      </c>
      <c r="C113" s="5" t="n">
        <v>46091</v>
      </c>
      <c r="D113" s="6" t="n">
        <v>0</v>
      </c>
      <c r="E113" s="6" t="n">
        <v>0</v>
      </c>
      <c r="F113" s="6" t="n">
        <v>0</v>
      </c>
      <c r="G113" s="6" t="n">
        <v>0</v>
      </c>
      <c r="H113" s="6" t="n">
        <v>0</v>
      </c>
      <c r="I113" s="6" t="n">
        <v>0</v>
      </c>
      <c r="J113" s="6" t="n">
        <v>0</v>
      </c>
      <c r="K113" s="6" t="n">
        <v>0</v>
      </c>
      <c r="L113" s="6" t="n">
        <v>0</v>
      </c>
      <c r="M113" s="6" t="n">
        <v>0</v>
      </c>
      <c r="N113" s="6" t="n">
        <v>0</v>
      </c>
      <c r="O113" s="6" t="n">
        <v>0</v>
      </c>
      <c r="P113" s="6" t="n">
        <v>0</v>
      </c>
      <c r="Q113" s="6" t="n">
        <v>0</v>
      </c>
      <c r="R113" s="6" t="n">
        <v>0</v>
      </c>
      <c r="S113" s="6" t="n">
        <v>0</v>
      </c>
      <c r="T113" s="6" t="n">
        <v>0</v>
      </c>
      <c r="U113" s="6" t="n">
        <v>0</v>
      </c>
      <c r="V113" s="6" t="n">
        <v>0</v>
      </c>
      <c r="W113" s="6" t="n">
        <v>0</v>
      </c>
      <c r="X113" s="6" t="n">
        <v>0</v>
      </c>
      <c r="Y113" s="6" t="n">
        <v>0</v>
      </c>
      <c r="Z113" s="6" t="n">
        <v>0</v>
      </c>
      <c r="AA113" s="6" t="n">
        <v>0</v>
      </c>
      <c r="AB113" s="6">
        <f>SUM(D113:AA113)</f>
        <v/>
      </c>
      <c r="AC113" s="3" t="inlineStr"/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7" t="n">
        <v>0</v>
      </c>
      <c r="BB113" s="7">
        <f>SUM(AD113:BA113)</f>
        <v/>
      </c>
    </row>
    <row r="114">
      <c r="A114" t="inlineStr">
        <is>
          <t>DC-10-1</t>
        </is>
      </c>
      <c r="B114" t="inlineStr">
        <is>
          <t>DSC Manual</t>
        </is>
      </c>
      <c r="C114" s="5" t="n">
        <v>46092</v>
      </c>
      <c r="D114" s="6" t="n">
        <v>0</v>
      </c>
      <c r="E114" s="6" t="n">
        <v>0</v>
      </c>
      <c r="F114" s="6" t="n">
        <v>0</v>
      </c>
      <c r="G114" s="6" t="n">
        <v>0</v>
      </c>
      <c r="H114" s="6" t="n">
        <v>0</v>
      </c>
      <c r="I114" s="6" t="n">
        <v>0</v>
      </c>
      <c r="J114" s="6" t="n">
        <v>0</v>
      </c>
      <c r="K114" s="6" t="n">
        <v>0</v>
      </c>
      <c r="L114" s="6" t="n">
        <v>0</v>
      </c>
      <c r="M114" s="6" t="n">
        <v>0</v>
      </c>
      <c r="N114" s="6" t="n">
        <v>0</v>
      </c>
      <c r="O114" s="6" t="n">
        <v>0</v>
      </c>
      <c r="P114" s="6" t="n">
        <v>0</v>
      </c>
      <c r="Q114" s="6" t="n">
        <v>0</v>
      </c>
      <c r="R114" s="6" t="n">
        <v>0</v>
      </c>
      <c r="S114" s="6" t="n">
        <v>0</v>
      </c>
      <c r="T114" s="6" t="n">
        <v>0</v>
      </c>
      <c r="U114" s="6" t="n">
        <v>0</v>
      </c>
      <c r="V114" s="6" t="n">
        <v>0</v>
      </c>
      <c r="W114" s="6" t="n">
        <v>0</v>
      </c>
      <c r="X114" s="6" t="n">
        <v>0</v>
      </c>
      <c r="Y114" s="6" t="n">
        <v>0</v>
      </c>
      <c r="Z114" s="6" t="n">
        <v>0</v>
      </c>
      <c r="AA114" s="6" t="n">
        <v>0</v>
      </c>
      <c r="AB114" s="6">
        <f>SUM(D114:AA114)</f>
        <v/>
      </c>
      <c r="AC114" s="3" t="inlineStr"/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7" t="n">
        <v>0</v>
      </c>
      <c r="BB114" s="7">
        <f>SUM(AD114:BA114)</f>
        <v/>
      </c>
    </row>
    <row r="115">
      <c r="A115" t="inlineStr">
        <is>
          <t>DC-10-1</t>
        </is>
      </c>
      <c r="B115" t="inlineStr">
        <is>
          <t>DSC Manual</t>
        </is>
      </c>
      <c r="C115" s="5" t="n">
        <v>46093</v>
      </c>
      <c r="D115" s="6" t="n">
        <v>0</v>
      </c>
      <c r="E115" s="6" t="n">
        <v>0</v>
      </c>
      <c r="F115" s="6" t="n">
        <v>0</v>
      </c>
      <c r="G115" s="6" t="n">
        <v>0</v>
      </c>
      <c r="H115" s="6" t="n">
        <v>0</v>
      </c>
      <c r="I115" s="6" t="n">
        <v>0</v>
      </c>
      <c r="J115" s="6" t="n">
        <v>0</v>
      </c>
      <c r="K115" s="6" t="n">
        <v>0</v>
      </c>
      <c r="L115" s="6" t="n">
        <v>0</v>
      </c>
      <c r="M115" s="6" t="n">
        <v>0</v>
      </c>
      <c r="N115" s="6" t="n">
        <v>0</v>
      </c>
      <c r="O115" s="6" t="n">
        <v>0</v>
      </c>
      <c r="P115" s="6" t="n">
        <v>0</v>
      </c>
      <c r="Q115" s="6" t="n">
        <v>0</v>
      </c>
      <c r="R115" s="6" t="n">
        <v>0</v>
      </c>
      <c r="S115" s="6" t="n">
        <v>0</v>
      </c>
      <c r="T115" s="6" t="n">
        <v>0</v>
      </c>
      <c r="U115" s="6" t="n">
        <v>0</v>
      </c>
      <c r="V115" s="6" t="n">
        <v>0</v>
      </c>
      <c r="W115" s="6" t="n">
        <v>0</v>
      </c>
      <c r="X115" s="6" t="n">
        <v>0</v>
      </c>
      <c r="Y115" s="6" t="n">
        <v>0</v>
      </c>
      <c r="Z115" s="6" t="n">
        <v>0</v>
      </c>
      <c r="AA115" s="6" t="n">
        <v>0</v>
      </c>
      <c r="AB115" s="6">
        <f>SUM(D115:AA115)</f>
        <v/>
      </c>
      <c r="AC115" s="3" t="inlineStr"/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>
        <f>SUM(AD115:BA115)</f>
        <v/>
      </c>
    </row>
    <row r="116">
      <c r="A116" t="inlineStr">
        <is>
          <t>DC-10-1</t>
        </is>
      </c>
      <c r="B116" t="inlineStr">
        <is>
          <t>DSC Manual</t>
        </is>
      </c>
      <c r="C116" s="5" t="n">
        <v>46094</v>
      </c>
      <c r="D116" s="6" t="n">
        <v>0</v>
      </c>
      <c r="E116" s="6" t="n">
        <v>0</v>
      </c>
      <c r="F116" s="6" t="n">
        <v>0</v>
      </c>
      <c r="G116" s="6" t="n">
        <v>0</v>
      </c>
      <c r="H116" s="6" t="n">
        <v>0</v>
      </c>
      <c r="I116" s="6" t="n">
        <v>0</v>
      </c>
      <c r="J116" s="6" t="n">
        <v>0</v>
      </c>
      <c r="K116" s="6" t="n">
        <v>0</v>
      </c>
      <c r="L116" s="6" t="n">
        <v>0</v>
      </c>
      <c r="M116" s="6" t="n">
        <v>0</v>
      </c>
      <c r="N116" s="6" t="n">
        <v>0</v>
      </c>
      <c r="O116" s="6" t="n">
        <v>0</v>
      </c>
      <c r="P116" s="6" t="n">
        <v>0</v>
      </c>
      <c r="Q116" s="6" t="n">
        <v>0</v>
      </c>
      <c r="R116" s="6" t="n">
        <v>0</v>
      </c>
      <c r="S116" s="6" t="n">
        <v>0</v>
      </c>
      <c r="T116" s="6" t="n">
        <v>0</v>
      </c>
      <c r="U116" s="6" t="n">
        <v>0</v>
      </c>
      <c r="V116" s="6" t="n">
        <v>0</v>
      </c>
      <c r="W116" s="6" t="n">
        <v>0</v>
      </c>
      <c r="X116" s="6" t="n">
        <v>0</v>
      </c>
      <c r="Y116" s="6" t="n">
        <v>0</v>
      </c>
      <c r="Z116" s="6" t="n">
        <v>0</v>
      </c>
      <c r="AA116" s="6" t="n">
        <v>0</v>
      </c>
      <c r="AB116" s="6">
        <f>SUM(D116:AA116)</f>
        <v/>
      </c>
      <c r="AC116" s="3" t="inlineStr"/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>
        <f>SUM(AD116:BA116)</f>
        <v/>
      </c>
    </row>
    <row r="117">
      <c r="A117" t="inlineStr">
        <is>
          <t>DC-10-1</t>
        </is>
      </c>
      <c r="B117" t="inlineStr">
        <is>
          <t>DSC Manual</t>
        </is>
      </c>
      <c r="C117" s="5" t="n">
        <v>46095</v>
      </c>
      <c r="D117" s="6" t="n">
        <v>0</v>
      </c>
      <c r="E117" s="6" t="n">
        <v>0</v>
      </c>
      <c r="F117" s="6" t="n">
        <v>0</v>
      </c>
      <c r="G117" s="6" t="n">
        <v>0</v>
      </c>
      <c r="H117" s="6" t="n">
        <v>0</v>
      </c>
      <c r="I117" s="6" t="n">
        <v>0</v>
      </c>
      <c r="J117" s="6" t="n">
        <v>0</v>
      </c>
      <c r="K117" s="6" t="n">
        <v>0</v>
      </c>
      <c r="L117" s="6" t="n">
        <v>0</v>
      </c>
      <c r="M117" s="6" t="n">
        <v>0</v>
      </c>
      <c r="N117" s="6" t="n">
        <v>0</v>
      </c>
      <c r="O117" s="6" t="n">
        <v>0</v>
      </c>
      <c r="P117" s="6" t="n">
        <v>0</v>
      </c>
      <c r="Q117" s="6" t="n">
        <v>0</v>
      </c>
      <c r="R117" s="6" t="n">
        <v>0</v>
      </c>
      <c r="S117" s="6" t="n">
        <v>0</v>
      </c>
      <c r="T117" s="6" t="n">
        <v>0</v>
      </c>
      <c r="U117" s="6" t="n">
        <v>0</v>
      </c>
      <c r="V117" s="6" t="n">
        <v>0</v>
      </c>
      <c r="W117" s="6" t="n">
        <v>0</v>
      </c>
      <c r="X117" s="6" t="n">
        <v>0</v>
      </c>
      <c r="Y117" s="6" t="n">
        <v>0</v>
      </c>
      <c r="Z117" s="6" t="n">
        <v>0</v>
      </c>
      <c r="AA117" s="6" t="n">
        <v>0</v>
      </c>
      <c r="AB117" s="6">
        <f>SUM(D117:AA117)</f>
        <v/>
      </c>
      <c r="AC117" s="3" t="inlineStr"/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7" t="n">
        <v>0</v>
      </c>
      <c r="BA117" s="7" t="n">
        <v>0</v>
      </c>
      <c r="BB117" s="7">
        <f>SUM(AD117:BA117)</f>
        <v/>
      </c>
    </row>
    <row r="118">
      <c r="A118" t="inlineStr">
        <is>
          <t>DC-10-1</t>
        </is>
      </c>
      <c r="B118" t="inlineStr">
        <is>
          <t>DSC Manual</t>
        </is>
      </c>
      <c r="C118" s="5" t="n">
        <v>46096</v>
      </c>
      <c r="D118" s="6" t="n">
        <v>0</v>
      </c>
      <c r="E118" s="6" t="n">
        <v>0</v>
      </c>
      <c r="F118" s="6" t="n">
        <v>0</v>
      </c>
      <c r="G118" s="6" t="n">
        <v>0</v>
      </c>
      <c r="H118" s="6" t="n">
        <v>0</v>
      </c>
      <c r="I118" s="6" t="n">
        <v>0</v>
      </c>
      <c r="J118" s="6" t="n">
        <v>0</v>
      </c>
      <c r="K118" s="6" t="n">
        <v>0</v>
      </c>
      <c r="L118" s="6" t="n">
        <v>0</v>
      </c>
      <c r="M118" s="6" t="n">
        <v>0</v>
      </c>
      <c r="N118" s="6" t="n">
        <v>0</v>
      </c>
      <c r="O118" s="6" t="n">
        <v>0</v>
      </c>
      <c r="P118" s="6" t="n">
        <v>0</v>
      </c>
      <c r="Q118" s="6" t="n">
        <v>0</v>
      </c>
      <c r="R118" s="6" t="n">
        <v>0</v>
      </c>
      <c r="S118" s="6" t="n">
        <v>0</v>
      </c>
      <c r="T118" s="6" t="n">
        <v>0</v>
      </c>
      <c r="U118" s="6" t="n">
        <v>0</v>
      </c>
      <c r="V118" s="6" t="n">
        <v>0</v>
      </c>
      <c r="W118" s="6" t="n">
        <v>0</v>
      </c>
      <c r="X118" s="6" t="n">
        <v>0</v>
      </c>
      <c r="Y118" s="6" t="n">
        <v>0</v>
      </c>
      <c r="Z118" s="6" t="n">
        <v>0</v>
      </c>
      <c r="AA118" s="6" t="n">
        <v>0</v>
      </c>
      <c r="AB118" s="6">
        <f>SUM(D118:AA118)</f>
        <v/>
      </c>
      <c r="AC118" s="3" t="inlineStr"/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>
        <f>SUM(AD118:BA118)</f>
        <v/>
      </c>
    </row>
    <row r="119">
      <c r="A119" t="inlineStr">
        <is>
          <t>DC-10-1</t>
        </is>
      </c>
      <c r="B119" t="inlineStr">
        <is>
          <t>DSC Manual</t>
        </is>
      </c>
      <c r="C119" s="5" t="n">
        <v>46097</v>
      </c>
      <c r="D119" s="6" t="n">
        <v>0</v>
      </c>
      <c r="E119" s="6" t="n">
        <v>0</v>
      </c>
      <c r="F119" s="6" t="n">
        <v>0</v>
      </c>
      <c r="G119" s="6" t="n">
        <v>0</v>
      </c>
      <c r="H119" s="6" t="n">
        <v>0</v>
      </c>
      <c r="I119" s="6" t="n">
        <v>0</v>
      </c>
      <c r="J119" s="6" t="n">
        <v>0</v>
      </c>
      <c r="K119" s="6" t="n">
        <v>0</v>
      </c>
      <c r="L119" s="6" t="n">
        <v>0</v>
      </c>
      <c r="M119" s="6" t="n">
        <v>0</v>
      </c>
      <c r="N119" s="6" t="n">
        <v>0</v>
      </c>
      <c r="O119" s="6" t="n">
        <v>0</v>
      </c>
      <c r="P119" s="6" t="n">
        <v>0</v>
      </c>
      <c r="Q119" s="6" t="n">
        <v>0</v>
      </c>
      <c r="R119" s="6" t="n">
        <v>0</v>
      </c>
      <c r="S119" s="6" t="n">
        <v>0</v>
      </c>
      <c r="T119" s="6" t="n">
        <v>0</v>
      </c>
      <c r="U119" s="6" t="n">
        <v>0</v>
      </c>
      <c r="V119" s="6" t="n">
        <v>0</v>
      </c>
      <c r="W119" s="6" t="n">
        <v>0</v>
      </c>
      <c r="X119" s="6" t="n">
        <v>0</v>
      </c>
      <c r="Y119" s="6" t="n">
        <v>0</v>
      </c>
      <c r="Z119" s="6" t="n">
        <v>0</v>
      </c>
      <c r="AA119" s="6" t="n">
        <v>0</v>
      </c>
      <c r="AB119" s="6">
        <f>SUM(D119:AA119)</f>
        <v/>
      </c>
      <c r="AC119" s="3" t="inlineStr"/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n">
        <v>0</v>
      </c>
      <c r="AW119" s="7" t="n">
        <v>0</v>
      </c>
      <c r="AX119" s="7" t="n">
        <v>0</v>
      </c>
      <c r="AY119" s="7" t="n">
        <v>0</v>
      </c>
      <c r="AZ119" s="7" t="n">
        <v>0</v>
      </c>
      <c r="BA119" s="7" t="n">
        <v>0</v>
      </c>
      <c r="BB119" s="7">
        <f>SUM(AD119:BA119)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B1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Layout</t>
        </is>
      </c>
      <c r="B1" s="1" t="inlineStr">
        <is>
          <t>Layout Type</t>
        </is>
      </c>
      <c r="C1" s="1" t="inlineStr">
        <is>
          <t>Date</t>
        </is>
      </c>
      <c r="D1" s="2" t="inlineStr">
        <is>
          <t>Act Vol 12 AM</t>
        </is>
      </c>
      <c r="E1" s="2" t="inlineStr">
        <is>
          <t>Act Vol 1 AM</t>
        </is>
      </c>
      <c r="F1" s="2" t="inlineStr">
        <is>
          <t>Act Vol 2 AM</t>
        </is>
      </c>
      <c r="G1" s="2" t="inlineStr">
        <is>
          <t>Act Vol 3 AM</t>
        </is>
      </c>
      <c r="H1" s="2" t="inlineStr">
        <is>
          <t>Act Vol 4 AM</t>
        </is>
      </c>
      <c r="I1" s="2" t="inlineStr">
        <is>
          <t>Act Vol 5 AM</t>
        </is>
      </c>
      <c r="J1" s="2" t="inlineStr">
        <is>
          <t>Act Vol 6 AM</t>
        </is>
      </c>
      <c r="K1" s="2" t="inlineStr">
        <is>
          <t>Act Vol 7 AM</t>
        </is>
      </c>
      <c r="L1" s="2" t="inlineStr">
        <is>
          <t>Act Vol 8 AM</t>
        </is>
      </c>
      <c r="M1" s="2" t="inlineStr">
        <is>
          <t>Act Vol 9 AM</t>
        </is>
      </c>
      <c r="N1" s="2" t="inlineStr">
        <is>
          <t>Act Vol 10 AM</t>
        </is>
      </c>
      <c r="O1" s="2" t="inlineStr">
        <is>
          <t>Act Vol 11 AM</t>
        </is>
      </c>
      <c r="P1" s="2" t="inlineStr">
        <is>
          <t>Act Vol 12 PM</t>
        </is>
      </c>
      <c r="Q1" s="2" t="inlineStr">
        <is>
          <t>Act Vol 1 PM</t>
        </is>
      </c>
      <c r="R1" s="2" t="inlineStr">
        <is>
          <t>Act Vol 2 PM</t>
        </is>
      </c>
      <c r="S1" s="2" t="inlineStr">
        <is>
          <t>Act Vol 3 PM</t>
        </is>
      </c>
      <c r="T1" s="2" t="inlineStr">
        <is>
          <t>Act Vol 4 PM</t>
        </is>
      </c>
      <c r="U1" s="2" t="inlineStr">
        <is>
          <t>Act Vol 5 PM</t>
        </is>
      </c>
      <c r="V1" s="2" t="inlineStr">
        <is>
          <t>Act Vol 6 PM</t>
        </is>
      </c>
      <c r="W1" s="2" t="inlineStr">
        <is>
          <t>Act Vol 7 PM</t>
        </is>
      </c>
      <c r="X1" s="2" t="inlineStr">
        <is>
          <t>Act Vol 8 PM</t>
        </is>
      </c>
      <c r="Y1" s="2" t="inlineStr">
        <is>
          <t>Act Vol 9 PM</t>
        </is>
      </c>
      <c r="Z1" s="2" t="inlineStr">
        <is>
          <t>Act Vol 10 PM</t>
        </is>
      </c>
      <c r="AA1" s="2" t="inlineStr">
        <is>
          <t>Act Vol 11 PM</t>
        </is>
      </c>
      <c r="AB1" s="2" t="inlineStr">
        <is>
          <t>Act Vol Total</t>
        </is>
      </c>
      <c r="AC1" s="3" t="inlineStr"/>
      <c r="AD1" s="4" t="inlineStr">
        <is>
          <t>MH 12 AM</t>
        </is>
      </c>
      <c r="AE1" s="4" t="inlineStr">
        <is>
          <t>MH 1 AM</t>
        </is>
      </c>
      <c r="AF1" s="4" t="inlineStr">
        <is>
          <t>MH 2 AM</t>
        </is>
      </c>
      <c r="AG1" s="4" t="inlineStr">
        <is>
          <t>MH 3 AM</t>
        </is>
      </c>
      <c r="AH1" s="4" t="inlineStr">
        <is>
          <t>MH 4 AM</t>
        </is>
      </c>
      <c r="AI1" s="4" t="inlineStr">
        <is>
          <t>MH 5 AM</t>
        </is>
      </c>
      <c r="AJ1" s="4" t="inlineStr">
        <is>
          <t>MH 6 AM</t>
        </is>
      </c>
      <c r="AK1" s="4" t="inlineStr">
        <is>
          <t>MH 7 AM</t>
        </is>
      </c>
      <c r="AL1" s="4" t="inlineStr">
        <is>
          <t>MH 8 AM</t>
        </is>
      </c>
      <c r="AM1" s="4" t="inlineStr">
        <is>
          <t>MH 9 AM</t>
        </is>
      </c>
      <c r="AN1" s="4" t="inlineStr">
        <is>
          <t>MH 10 AM</t>
        </is>
      </c>
      <c r="AO1" s="4" t="inlineStr">
        <is>
          <t>MH 11 AM</t>
        </is>
      </c>
      <c r="AP1" s="4" t="inlineStr">
        <is>
          <t>MH 12 PM</t>
        </is>
      </c>
      <c r="AQ1" s="4" t="inlineStr">
        <is>
          <t>MH 1 PM</t>
        </is>
      </c>
      <c r="AR1" s="4" t="inlineStr">
        <is>
          <t>MH 2 PM</t>
        </is>
      </c>
      <c r="AS1" s="4" t="inlineStr">
        <is>
          <t>MH 3 PM</t>
        </is>
      </c>
      <c r="AT1" s="4" t="inlineStr">
        <is>
          <t>MH 4 PM</t>
        </is>
      </c>
      <c r="AU1" s="4" t="inlineStr">
        <is>
          <t>MH 5 PM</t>
        </is>
      </c>
      <c r="AV1" s="4" t="inlineStr">
        <is>
          <t>MH 6 PM</t>
        </is>
      </c>
      <c r="AW1" s="4" t="inlineStr">
        <is>
          <t>MH 7 PM</t>
        </is>
      </c>
      <c r="AX1" s="4" t="inlineStr">
        <is>
          <t>MH 8 PM</t>
        </is>
      </c>
      <c r="AY1" s="4" t="inlineStr">
        <is>
          <t>MH 9 PM</t>
        </is>
      </c>
      <c r="AZ1" s="4" t="inlineStr">
        <is>
          <t>MH 10 PM</t>
        </is>
      </c>
      <c r="BA1" s="4" t="inlineStr">
        <is>
          <t>MH 11 PM</t>
        </is>
      </c>
      <c r="BB1" s="4" t="inlineStr">
        <is>
          <t>MH Total</t>
        </is>
      </c>
    </row>
    <row r="2">
      <c r="A2" t="inlineStr">
        <is>
          <t>AMD-AIR-NEW-SSC</t>
        </is>
      </c>
      <c r="B2" t="inlineStr">
        <is>
          <t>Forward Regular OSC</t>
        </is>
      </c>
      <c r="C2" s="5" t="n">
        <v>46093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v>0</v>
      </c>
      <c r="N2" s="6" t="n">
        <v>0</v>
      </c>
      <c r="O2" s="6" t="n">
        <v>0</v>
      </c>
      <c r="P2" s="6" t="n">
        <v>0</v>
      </c>
      <c r="Q2" s="6" t="n">
        <v>0</v>
      </c>
      <c r="R2" s="6" t="n">
        <v>0</v>
      </c>
      <c r="S2" s="6" t="n">
        <v>0</v>
      </c>
      <c r="T2" s="6" t="n">
        <v>0</v>
      </c>
      <c r="U2" s="6" t="n">
        <v>0</v>
      </c>
      <c r="V2" s="6" t="n">
        <v>0</v>
      </c>
      <c r="W2" s="6" t="n">
        <v>0</v>
      </c>
      <c r="X2" s="6" t="n">
        <v>0</v>
      </c>
      <c r="Y2" s="6" t="n">
        <v>0</v>
      </c>
      <c r="Z2" s="6" t="n">
        <v>0</v>
      </c>
      <c r="AA2" s="6" t="n">
        <v>0</v>
      </c>
      <c r="AB2" s="6">
        <f>SUM(D2:AA2)</f>
        <v/>
      </c>
      <c r="AC2" s="3" t="inlineStr"/>
      <c r="AD2" s="7" t="n">
        <v>0</v>
      </c>
      <c r="AE2" s="7" t="n">
        <v>0</v>
      </c>
      <c r="AF2" s="7" t="n">
        <v>0</v>
      </c>
      <c r="AG2" s="7" t="n">
        <v>0</v>
      </c>
      <c r="AH2" s="7" t="n">
        <v>0</v>
      </c>
      <c r="AI2" s="7" t="n">
        <v>0</v>
      </c>
      <c r="AJ2" s="7" t="n">
        <v>0</v>
      </c>
      <c r="AK2" s="7" t="n">
        <v>0</v>
      </c>
      <c r="AL2" s="7" t="n">
        <v>0</v>
      </c>
      <c r="AM2" s="7" t="n">
        <v>0</v>
      </c>
      <c r="AN2" s="7" t="n">
        <v>0</v>
      </c>
      <c r="AO2" s="7" t="n">
        <v>0</v>
      </c>
      <c r="AP2" s="7" t="n">
        <v>0</v>
      </c>
      <c r="AQ2" s="7" t="n">
        <v>0</v>
      </c>
      <c r="AR2" s="7" t="n">
        <v>0</v>
      </c>
      <c r="AS2" s="7" t="n">
        <v>0</v>
      </c>
      <c r="AT2" s="7" t="n">
        <v>0</v>
      </c>
      <c r="AU2" s="7" t="n">
        <v>0</v>
      </c>
      <c r="AV2" s="7" t="n">
        <v>0</v>
      </c>
      <c r="AW2" s="7" t="n">
        <v>0</v>
      </c>
      <c r="AX2" s="7" t="n">
        <v>0</v>
      </c>
      <c r="AY2" s="7" t="n">
        <v>0</v>
      </c>
      <c r="AZ2" s="7" t="n">
        <v>0</v>
      </c>
      <c r="BA2" s="7" t="n">
        <v>0</v>
      </c>
      <c r="BB2" s="7">
        <f>SUM(AD2:BA2)</f>
        <v/>
      </c>
    </row>
    <row r="3">
      <c r="A3" t="inlineStr">
        <is>
          <t>AMD-AIR-NEW-SSC</t>
        </is>
      </c>
      <c r="B3" t="inlineStr">
        <is>
          <t>Forward Regular OSC</t>
        </is>
      </c>
      <c r="C3" s="5" t="n">
        <v>46094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>
        <f>SUM(D3:AA3)</f>
        <v/>
      </c>
      <c r="AC3" s="3" t="inlineStr"/>
      <c r="AD3" s="7" t="n">
        <v>0</v>
      </c>
      <c r="AE3" s="7" t="n">
        <v>0</v>
      </c>
      <c r="AF3" s="7" t="n">
        <v>0</v>
      </c>
      <c r="AG3" s="7" t="n">
        <v>0</v>
      </c>
      <c r="AH3" s="7" t="n">
        <v>0</v>
      </c>
      <c r="AI3" s="7" t="n">
        <v>0</v>
      </c>
      <c r="AJ3" s="7" t="n">
        <v>0</v>
      </c>
      <c r="AK3" s="7" t="n">
        <v>0</v>
      </c>
      <c r="AL3" s="7" t="n">
        <v>0</v>
      </c>
      <c r="AM3" s="7" t="n">
        <v>0</v>
      </c>
      <c r="AN3" s="7" t="n">
        <v>0</v>
      </c>
      <c r="AO3" s="7" t="n">
        <v>0</v>
      </c>
      <c r="AP3" s="7" t="n">
        <v>0</v>
      </c>
      <c r="AQ3" s="7" t="n">
        <v>0</v>
      </c>
      <c r="AR3" s="7" t="n">
        <v>0</v>
      </c>
      <c r="AS3" s="7" t="n">
        <v>0</v>
      </c>
      <c r="AT3" s="7" t="n">
        <v>0</v>
      </c>
      <c r="AU3" s="7" t="n">
        <v>0</v>
      </c>
      <c r="AV3" s="7" t="n">
        <v>0</v>
      </c>
      <c r="AW3" s="7" t="n">
        <v>0</v>
      </c>
      <c r="AX3" s="7" t="n">
        <v>0</v>
      </c>
      <c r="AY3" s="7" t="n">
        <v>0</v>
      </c>
      <c r="AZ3" s="7" t="n">
        <v>0</v>
      </c>
      <c r="BA3" s="7" t="n">
        <v>0</v>
      </c>
      <c r="BB3" s="7">
        <f>SUM(AD3:BA3)</f>
        <v/>
      </c>
    </row>
    <row r="4">
      <c r="A4" t="inlineStr">
        <is>
          <t>AMD-AIR-NEW-SSC</t>
        </is>
      </c>
      <c r="B4" t="inlineStr">
        <is>
          <t>Forward Regular OSC</t>
        </is>
      </c>
      <c r="C4" s="5" t="n">
        <v>46096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0</v>
      </c>
      <c r="R4" s="6" t="n">
        <v>0</v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0</v>
      </c>
      <c r="AB4" s="6">
        <f>SUM(D4:AA4)</f>
        <v/>
      </c>
      <c r="AC4" s="3" t="inlineStr"/>
      <c r="AD4" s="7" t="n">
        <v>0</v>
      </c>
      <c r="AE4" s="7" t="n">
        <v>0</v>
      </c>
      <c r="AF4" s="7" t="n">
        <v>0</v>
      </c>
      <c r="AG4" s="7" t="n">
        <v>0</v>
      </c>
      <c r="AH4" s="7" t="n">
        <v>0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0</v>
      </c>
      <c r="AP4" s="7" t="n">
        <v>0</v>
      </c>
      <c r="AQ4" s="7" t="n">
        <v>0</v>
      </c>
      <c r="AR4" s="7" t="n">
        <v>0</v>
      </c>
      <c r="AS4" s="7" t="n">
        <v>0</v>
      </c>
      <c r="AT4" s="7" t="n">
        <v>0</v>
      </c>
      <c r="AU4" s="7" t="n">
        <v>0</v>
      </c>
      <c r="AV4" s="7" t="n">
        <v>0</v>
      </c>
      <c r="AW4" s="7" t="n">
        <v>0</v>
      </c>
      <c r="AX4" s="7" t="n">
        <v>0</v>
      </c>
      <c r="AY4" s="7" t="n">
        <v>0</v>
      </c>
      <c r="AZ4" s="7" t="n">
        <v>0</v>
      </c>
      <c r="BA4" s="7" t="n">
        <v>0</v>
      </c>
      <c r="BB4" s="7">
        <f>SUM(AD4:BA4)</f>
        <v/>
      </c>
    </row>
    <row r="5">
      <c r="A5" t="inlineStr">
        <is>
          <t>AMD-AIR-NEW-SSC</t>
        </is>
      </c>
      <c r="B5" t="inlineStr">
        <is>
          <t>Forward Regular OSC</t>
        </is>
      </c>
      <c r="C5" s="5" t="n">
        <v>46097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>
        <f>SUM(D5:AA5)</f>
        <v/>
      </c>
      <c r="AC5" s="3" t="inlineStr"/>
      <c r="AD5" s="7" t="n">
        <v>0</v>
      </c>
      <c r="AE5" s="7" t="n">
        <v>0</v>
      </c>
      <c r="AF5" s="7" t="n">
        <v>0</v>
      </c>
      <c r="AG5" s="7" t="n">
        <v>0</v>
      </c>
      <c r="AH5" s="7" t="n">
        <v>0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0</v>
      </c>
      <c r="AP5" s="7" t="n">
        <v>0</v>
      </c>
      <c r="AQ5" s="7" t="n">
        <v>0</v>
      </c>
      <c r="AR5" s="7" t="n">
        <v>0</v>
      </c>
      <c r="AS5" s="7" t="n">
        <v>0</v>
      </c>
      <c r="AT5" s="7" t="n">
        <v>0</v>
      </c>
      <c r="AU5" s="7" t="n">
        <v>0</v>
      </c>
      <c r="AV5" s="7" t="n">
        <v>0</v>
      </c>
      <c r="AW5" s="7" t="n">
        <v>0</v>
      </c>
      <c r="AX5" s="7" t="n">
        <v>0</v>
      </c>
      <c r="AY5" s="7" t="n">
        <v>0</v>
      </c>
      <c r="AZ5" s="7" t="n">
        <v>0</v>
      </c>
      <c r="BA5" s="7" t="n">
        <v>0</v>
      </c>
      <c r="BB5" s="7">
        <f>SUM(AD5:BA5)</f>
        <v/>
      </c>
    </row>
    <row r="6">
      <c r="A6" t="inlineStr">
        <is>
          <t>AMD-AIR-NEW-SSC</t>
        </is>
      </c>
      <c r="B6" t="inlineStr">
        <is>
          <t>Forward Regular OSC</t>
        </is>
      </c>
      <c r="C6" s="5" t="n">
        <v>46100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>
        <f>SUM(D6:AA6)</f>
        <v/>
      </c>
      <c r="AC6" s="3" t="inlineStr"/>
      <c r="AD6" s="7" t="n">
        <v>0</v>
      </c>
      <c r="AE6" s="7" t="n">
        <v>0</v>
      </c>
      <c r="AF6" s="7" t="n">
        <v>0</v>
      </c>
      <c r="AG6" s="7" t="n">
        <v>0</v>
      </c>
      <c r="AH6" s="7" t="n">
        <v>0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0</v>
      </c>
      <c r="AN6" s="7" t="n">
        <v>0</v>
      </c>
      <c r="AO6" s="7" t="n">
        <v>0</v>
      </c>
      <c r="AP6" s="7" t="n">
        <v>0</v>
      </c>
      <c r="AQ6" s="7" t="n">
        <v>0</v>
      </c>
      <c r="AR6" s="7" t="n">
        <v>0</v>
      </c>
      <c r="AS6" s="7" t="n">
        <v>0</v>
      </c>
      <c r="AT6" s="7" t="n">
        <v>0</v>
      </c>
      <c r="AU6" s="7" t="n">
        <v>0</v>
      </c>
      <c r="AV6" s="7" t="n">
        <v>0</v>
      </c>
      <c r="AW6" s="7" t="n">
        <v>0</v>
      </c>
      <c r="AX6" s="7" t="n">
        <v>0</v>
      </c>
      <c r="AY6" s="7" t="n">
        <v>0</v>
      </c>
      <c r="AZ6" s="7" t="n">
        <v>0</v>
      </c>
      <c r="BA6" s="7" t="n">
        <v>0</v>
      </c>
      <c r="BB6" s="7">
        <f>SUM(AD6:BA6)</f>
        <v/>
      </c>
    </row>
    <row r="7">
      <c r="A7" t="inlineStr">
        <is>
          <t>AMD-AIR-NEW-SSC</t>
        </is>
      </c>
      <c r="B7" t="inlineStr">
        <is>
          <t>Forward Regular OSC</t>
        </is>
      </c>
      <c r="C7" s="5" t="n">
        <v>46101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>
        <f>SUM(D7:AA7)</f>
        <v/>
      </c>
      <c r="AC7" s="3" t="inlineStr"/>
      <c r="AD7" s="7" t="n">
        <v>0</v>
      </c>
      <c r="AE7" s="7" t="n">
        <v>0</v>
      </c>
      <c r="AF7" s="7" t="n">
        <v>0</v>
      </c>
      <c r="AG7" s="7" t="n">
        <v>0</v>
      </c>
      <c r="AH7" s="7" t="n">
        <v>0</v>
      </c>
      <c r="AI7" s="7" t="n">
        <v>0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0</v>
      </c>
      <c r="AP7" s="7" t="n">
        <v>0</v>
      </c>
      <c r="AQ7" s="7" t="n">
        <v>0</v>
      </c>
      <c r="AR7" s="7" t="n">
        <v>0</v>
      </c>
      <c r="AS7" s="7" t="n">
        <v>0</v>
      </c>
      <c r="AT7" s="7" t="n">
        <v>0</v>
      </c>
      <c r="AU7" s="7" t="n">
        <v>0</v>
      </c>
      <c r="AV7" s="7" t="n">
        <v>0</v>
      </c>
      <c r="AW7" s="7" t="n">
        <v>0</v>
      </c>
      <c r="AX7" s="7" t="n">
        <v>0</v>
      </c>
      <c r="AY7" s="7" t="n">
        <v>0</v>
      </c>
      <c r="AZ7" s="7" t="n">
        <v>0</v>
      </c>
      <c r="BA7" s="7" t="n">
        <v>0</v>
      </c>
      <c r="BB7" s="7">
        <f>SUM(AD7:BA7)</f>
        <v/>
      </c>
    </row>
    <row r="8">
      <c r="A8" t="inlineStr">
        <is>
          <t>AMD-AIR-NEW-SSC</t>
        </is>
      </c>
      <c r="B8" t="inlineStr">
        <is>
          <t>Forward Regular OSC</t>
        </is>
      </c>
      <c r="C8" s="5" t="n">
        <v>46102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>
        <f>SUM(D8:AA8)</f>
        <v/>
      </c>
      <c r="AC8" s="3" t="inlineStr"/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0</v>
      </c>
      <c r="AP8" s="7" t="n">
        <v>0</v>
      </c>
      <c r="AQ8" s="7" t="n">
        <v>0</v>
      </c>
      <c r="AR8" s="7" t="n">
        <v>0</v>
      </c>
      <c r="AS8" s="7" t="n">
        <v>0</v>
      </c>
      <c r="AT8" s="7" t="n">
        <v>0</v>
      </c>
      <c r="AU8" s="7" t="n">
        <v>0</v>
      </c>
      <c r="AV8" s="7" t="n">
        <v>0</v>
      </c>
      <c r="AW8" s="7" t="n">
        <v>0</v>
      </c>
      <c r="AX8" s="7" t="n">
        <v>0</v>
      </c>
      <c r="AY8" s="7" t="n">
        <v>0</v>
      </c>
      <c r="AZ8" s="7" t="n">
        <v>0</v>
      </c>
      <c r="BA8" s="7" t="n">
        <v>0</v>
      </c>
      <c r="BB8" s="7">
        <f>SUM(AD8:BA8)</f>
        <v/>
      </c>
    </row>
    <row r="9">
      <c r="A9" t="inlineStr">
        <is>
          <t>AMD-AIR-NEW-SSC</t>
        </is>
      </c>
      <c r="B9" t="inlineStr">
        <is>
          <t>Forward Regular OSC</t>
        </is>
      </c>
      <c r="C9" s="5" t="n">
        <v>46103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>
        <f>SUM(D9:AA9)</f>
        <v/>
      </c>
      <c r="AC9" s="3" t="inlineStr"/>
      <c r="AD9" s="7" t="n">
        <v>0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0</v>
      </c>
      <c r="AS9" s="7" t="n">
        <v>0</v>
      </c>
      <c r="AT9" s="7" t="n">
        <v>0</v>
      </c>
      <c r="AU9" s="7" t="n">
        <v>0</v>
      </c>
      <c r="AV9" s="7" t="n">
        <v>0</v>
      </c>
      <c r="AW9" s="7" t="n">
        <v>0</v>
      </c>
      <c r="AX9" s="7" t="n">
        <v>0</v>
      </c>
      <c r="AY9" s="7" t="n">
        <v>0</v>
      </c>
      <c r="AZ9" s="7" t="n">
        <v>0</v>
      </c>
      <c r="BA9" s="7" t="n">
        <v>0</v>
      </c>
      <c r="BB9" s="7">
        <f>SUM(AD9:BA9)</f>
        <v/>
      </c>
    </row>
    <row r="10">
      <c r="A10" t="inlineStr">
        <is>
          <t>AMD-AIR-NEW-SSC</t>
        </is>
      </c>
      <c r="B10" t="inlineStr">
        <is>
          <t>Forward Regular OSC</t>
        </is>
      </c>
      <c r="C10" s="5" t="n">
        <v>46104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>
        <f>SUM(D10:AA10)</f>
        <v/>
      </c>
      <c r="AC10" s="3" t="inlineStr"/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0</v>
      </c>
      <c r="AP10" s="7" t="n">
        <v>0</v>
      </c>
      <c r="AQ10" s="7" t="n">
        <v>0</v>
      </c>
      <c r="AR10" s="7" t="n">
        <v>0</v>
      </c>
      <c r="AS10" s="7" t="n">
        <v>0</v>
      </c>
      <c r="AT10" s="7" t="n">
        <v>0</v>
      </c>
      <c r="AU10" s="7" t="n">
        <v>0</v>
      </c>
      <c r="AV10" s="7" t="n">
        <v>0</v>
      </c>
      <c r="AW10" s="7" t="n">
        <v>0</v>
      </c>
      <c r="AX10" s="7" t="n">
        <v>0</v>
      </c>
      <c r="AY10" s="7" t="n">
        <v>0</v>
      </c>
      <c r="AZ10" s="7" t="n">
        <v>0</v>
      </c>
      <c r="BA10" s="7" t="n">
        <v>0</v>
      </c>
      <c r="BB10" s="7">
        <f>SUM(AD10:BA10)</f>
        <v/>
      </c>
    </row>
    <row r="11">
      <c r="A11" t="inlineStr">
        <is>
          <t>AMD-EXPR</t>
        </is>
      </c>
      <c r="B11" t="inlineStr">
        <is>
          <t>DSC Manual</t>
        </is>
      </c>
      <c r="C11" s="5" t="n">
        <v>46089</v>
      </c>
      <c r="D11" s="6">
        <f>Summary!D11</f>
        <v/>
      </c>
      <c r="E11" s="6">
        <f>Summary!E11</f>
        <v/>
      </c>
      <c r="F11" s="6">
        <f>Summary!F11</f>
        <v/>
      </c>
      <c r="G11" s="6">
        <f>Summary!G11</f>
        <v/>
      </c>
      <c r="H11" s="6">
        <f>Summary!H11</f>
        <v/>
      </c>
      <c r="I11" s="6">
        <f>Summary!I11</f>
        <v/>
      </c>
      <c r="J11" s="6">
        <f>Summary!J11</f>
        <v/>
      </c>
      <c r="K11" s="6">
        <f>Summary!K11</f>
        <v/>
      </c>
      <c r="L11" s="6">
        <f>Summary!L11</f>
        <v/>
      </c>
      <c r="M11" s="6">
        <f>Summary!M11</f>
        <v/>
      </c>
      <c r="N11" s="6">
        <f>Summary!N11</f>
        <v/>
      </c>
      <c r="O11" s="6">
        <f>Summary!O11</f>
        <v/>
      </c>
      <c r="P11" s="6">
        <f>Summary!P11</f>
        <v/>
      </c>
      <c r="Q11" s="6">
        <f>Summary!Q11</f>
        <v/>
      </c>
      <c r="R11" s="6">
        <f>Summary!R11</f>
        <v/>
      </c>
      <c r="S11" s="6">
        <f>Summary!S11</f>
        <v/>
      </c>
      <c r="T11" s="6">
        <f>Summary!T11</f>
        <v/>
      </c>
      <c r="U11" s="6">
        <f>Summary!U11</f>
        <v/>
      </c>
      <c r="V11" s="6">
        <f>Summary!V11</f>
        <v/>
      </c>
      <c r="W11" s="6">
        <f>Summary!W11</f>
        <v/>
      </c>
      <c r="X11" s="6">
        <f>Summary!X11</f>
        <v/>
      </c>
      <c r="Y11" s="6">
        <f>Summary!Y11</f>
        <v/>
      </c>
      <c r="Z11" s="6">
        <f>Summary!Z11</f>
        <v/>
      </c>
      <c r="AA11" s="6">
        <f>Summary!AA11</f>
        <v/>
      </c>
      <c r="AB11" s="6">
        <f>SUM(D11:AA11)</f>
        <v/>
      </c>
      <c r="AC11" s="3" t="inlineStr"/>
      <c r="AD11" s="7">
        <f>D11*0.00133545</f>
        <v/>
      </c>
      <c r="AE11" s="7">
        <f>E11*0.00133545</f>
        <v/>
      </c>
      <c r="AF11" s="7">
        <f>F11*0.00133545</f>
        <v/>
      </c>
      <c r="AG11" s="7">
        <f>G11*0.00133545</f>
        <v/>
      </c>
      <c r="AH11" s="7">
        <f>H11*0.00133545</f>
        <v/>
      </c>
      <c r="AI11" s="7">
        <f>I11*0.00133545</f>
        <v/>
      </c>
      <c r="AJ11" s="7">
        <f>J11*0.00133545</f>
        <v/>
      </c>
      <c r="AK11" s="7">
        <f>K11*0.00133545</f>
        <v/>
      </c>
      <c r="AL11" s="7">
        <f>L11*0.00133545</f>
        <v/>
      </c>
      <c r="AM11" s="7">
        <f>M11*0.00133545</f>
        <v/>
      </c>
      <c r="AN11" s="7">
        <f>N11*0.00133545</f>
        <v/>
      </c>
      <c r="AO11" s="7">
        <f>O11*0.00133545</f>
        <v/>
      </c>
      <c r="AP11" s="7">
        <f>P11*0.00133545</f>
        <v/>
      </c>
      <c r="AQ11" s="7">
        <f>Q11*0.00133545</f>
        <v/>
      </c>
      <c r="AR11" s="7">
        <f>R11*0.00133545</f>
        <v/>
      </c>
      <c r="AS11" s="7">
        <f>S11*0.00133545</f>
        <v/>
      </c>
      <c r="AT11" s="7">
        <f>T11*0.00133545</f>
        <v/>
      </c>
      <c r="AU11" s="7">
        <f>U11*0.00133545</f>
        <v/>
      </c>
      <c r="AV11" s="7">
        <f>V11*0.00133545</f>
        <v/>
      </c>
      <c r="AW11" s="7">
        <f>W11*0.00133545</f>
        <v/>
      </c>
      <c r="AX11" s="7">
        <f>X11*0.00133545</f>
        <v/>
      </c>
      <c r="AY11" s="7">
        <f>Y11*0.00133545</f>
        <v/>
      </c>
      <c r="AZ11" s="7">
        <f>Z11*0.00133545</f>
        <v/>
      </c>
      <c r="BA11" s="7">
        <f>AA11*0.00133545</f>
        <v/>
      </c>
      <c r="BB11" s="7">
        <f>SUM(AD11:BA11)</f>
        <v/>
      </c>
    </row>
    <row r="12">
      <c r="A12" t="inlineStr">
        <is>
          <t>AMD-EXPR</t>
        </is>
      </c>
      <c r="B12" t="inlineStr">
        <is>
          <t>DSC Manual</t>
        </is>
      </c>
      <c r="C12" s="5" t="n">
        <v>46090</v>
      </c>
      <c r="D12" s="6">
        <f>Summary!D12</f>
        <v/>
      </c>
      <c r="E12" s="6">
        <f>Summary!E12</f>
        <v/>
      </c>
      <c r="F12" s="6">
        <f>Summary!F12</f>
        <v/>
      </c>
      <c r="G12" s="6">
        <f>Summary!G12</f>
        <v/>
      </c>
      <c r="H12" s="6">
        <f>Summary!H12</f>
        <v/>
      </c>
      <c r="I12" s="6">
        <f>Summary!I12</f>
        <v/>
      </c>
      <c r="J12" s="6">
        <f>Summary!J12</f>
        <v/>
      </c>
      <c r="K12" s="6">
        <f>Summary!K12</f>
        <v/>
      </c>
      <c r="L12" s="6">
        <f>Summary!L12</f>
        <v/>
      </c>
      <c r="M12" s="6">
        <f>Summary!M12</f>
        <v/>
      </c>
      <c r="N12" s="6">
        <f>Summary!N12</f>
        <v/>
      </c>
      <c r="O12" s="6">
        <f>Summary!O12</f>
        <v/>
      </c>
      <c r="P12" s="6">
        <f>Summary!P12</f>
        <v/>
      </c>
      <c r="Q12" s="6">
        <f>Summary!Q12</f>
        <v/>
      </c>
      <c r="R12" s="6">
        <f>Summary!R12</f>
        <v/>
      </c>
      <c r="S12" s="6">
        <f>Summary!S12</f>
        <v/>
      </c>
      <c r="T12" s="6">
        <f>Summary!T12</f>
        <v/>
      </c>
      <c r="U12" s="6">
        <f>Summary!U12</f>
        <v/>
      </c>
      <c r="V12" s="6">
        <f>Summary!V12</f>
        <v/>
      </c>
      <c r="W12" s="6">
        <f>Summary!W12</f>
        <v/>
      </c>
      <c r="X12" s="6">
        <f>Summary!X12</f>
        <v/>
      </c>
      <c r="Y12" s="6">
        <f>Summary!Y12</f>
        <v/>
      </c>
      <c r="Z12" s="6">
        <f>Summary!Z12</f>
        <v/>
      </c>
      <c r="AA12" s="6">
        <f>Summary!AA12</f>
        <v/>
      </c>
      <c r="AB12" s="6">
        <f>SUM(D12:AA12)</f>
        <v/>
      </c>
      <c r="AC12" s="3" t="inlineStr"/>
      <c r="AD12" s="7">
        <f>D12*0.00133545</f>
        <v/>
      </c>
      <c r="AE12" s="7">
        <f>E12*0.00133545</f>
        <v/>
      </c>
      <c r="AF12" s="7">
        <f>F12*0.00133545</f>
        <v/>
      </c>
      <c r="AG12" s="7">
        <f>G12*0.00133545</f>
        <v/>
      </c>
      <c r="AH12" s="7">
        <f>H12*0.00133545</f>
        <v/>
      </c>
      <c r="AI12" s="7">
        <f>I12*0.00133545</f>
        <v/>
      </c>
      <c r="AJ12" s="7">
        <f>J12*0.00133545</f>
        <v/>
      </c>
      <c r="AK12" s="7">
        <f>K12*0.00133545</f>
        <v/>
      </c>
      <c r="AL12" s="7">
        <f>L12*0.00133545</f>
        <v/>
      </c>
      <c r="AM12" s="7">
        <f>M12*0.00133545</f>
        <v/>
      </c>
      <c r="AN12" s="7">
        <f>N12*0.00133545</f>
        <v/>
      </c>
      <c r="AO12" s="7">
        <f>O12*0.00133545</f>
        <v/>
      </c>
      <c r="AP12" s="7">
        <f>P12*0.00133545</f>
        <v/>
      </c>
      <c r="AQ12" s="7">
        <f>Q12*0.00133545</f>
        <v/>
      </c>
      <c r="AR12" s="7">
        <f>R12*0.00133545</f>
        <v/>
      </c>
      <c r="AS12" s="7">
        <f>S12*0.00133545</f>
        <v/>
      </c>
      <c r="AT12" s="7">
        <f>T12*0.00133545</f>
        <v/>
      </c>
      <c r="AU12" s="7">
        <f>U12*0.00133545</f>
        <v/>
      </c>
      <c r="AV12" s="7">
        <f>V12*0.00133545</f>
        <v/>
      </c>
      <c r="AW12" s="7">
        <f>W12*0.00133545</f>
        <v/>
      </c>
      <c r="AX12" s="7">
        <f>X12*0.00133545</f>
        <v/>
      </c>
      <c r="AY12" s="7">
        <f>Y12*0.00133545</f>
        <v/>
      </c>
      <c r="AZ12" s="7">
        <f>Z12*0.00133545</f>
        <v/>
      </c>
      <c r="BA12" s="7">
        <f>AA12*0.00133545</f>
        <v/>
      </c>
      <c r="BB12" s="7">
        <f>SUM(AD12:BA12)</f>
        <v/>
      </c>
    </row>
    <row r="13">
      <c r="A13" t="inlineStr">
        <is>
          <t>AMD-EXPR</t>
        </is>
      </c>
      <c r="B13" t="inlineStr">
        <is>
          <t>DSC Manual</t>
        </is>
      </c>
      <c r="C13" s="5" t="n">
        <v>46091</v>
      </c>
      <c r="D13" s="6">
        <f>Summary!D13</f>
        <v/>
      </c>
      <c r="E13" s="6">
        <f>Summary!E13</f>
        <v/>
      </c>
      <c r="F13" s="6">
        <f>Summary!F13</f>
        <v/>
      </c>
      <c r="G13" s="6">
        <f>Summary!G13</f>
        <v/>
      </c>
      <c r="H13" s="6">
        <f>Summary!H13</f>
        <v/>
      </c>
      <c r="I13" s="6">
        <f>Summary!I13</f>
        <v/>
      </c>
      <c r="J13" s="6">
        <f>Summary!J13</f>
        <v/>
      </c>
      <c r="K13" s="6">
        <f>Summary!K13</f>
        <v/>
      </c>
      <c r="L13" s="6">
        <f>Summary!L13</f>
        <v/>
      </c>
      <c r="M13" s="6">
        <f>Summary!M13</f>
        <v/>
      </c>
      <c r="N13" s="6">
        <f>Summary!N13</f>
        <v/>
      </c>
      <c r="O13" s="6">
        <f>Summary!O13</f>
        <v/>
      </c>
      <c r="P13" s="6">
        <f>Summary!P13</f>
        <v/>
      </c>
      <c r="Q13" s="6">
        <f>Summary!Q13</f>
        <v/>
      </c>
      <c r="R13" s="6">
        <f>Summary!R13</f>
        <v/>
      </c>
      <c r="S13" s="6">
        <f>Summary!S13</f>
        <v/>
      </c>
      <c r="T13" s="6">
        <f>Summary!T13</f>
        <v/>
      </c>
      <c r="U13" s="6">
        <f>Summary!U13</f>
        <v/>
      </c>
      <c r="V13" s="6">
        <f>Summary!V13</f>
        <v/>
      </c>
      <c r="W13" s="6">
        <f>Summary!W13</f>
        <v/>
      </c>
      <c r="X13" s="6">
        <f>Summary!X13</f>
        <v/>
      </c>
      <c r="Y13" s="6">
        <f>Summary!Y13</f>
        <v/>
      </c>
      <c r="Z13" s="6">
        <f>Summary!Z13</f>
        <v/>
      </c>
      <c r="AA13" s="6">
        <f>Summary!AA13</f>
        <v/>
      </c>
      <c r="AB13" s="6">
        <f>SUM(D13:AA13)</f>
        <v/>
      </c>
      <c r="AC13" s="3" t="inlineStr"/>
      <c r="AD13" s="7">
        <f>D13*0.00133545</f>
        <v/>
      </c>
      <c r="AE13" s="7">
        <f>E13*0.00133545</f>
        <v/>
      </c>
      <c r="AF13" s="7">
        <f>F13*0.00133545</f>
        <v/>
      </c>
      <c r="AG13" s="7">
        <f>G13*0.00133545</f>
        <v/>
      </c>
      <c r="AH13" s="7">
        <f>H13*0.00133545</f>
        <v/>
      </c>
      <c r="AI13" s="7">
        <f>I13*0.00133545</f>
        <v/>
      </c>
      <c r="AJ13" s="7">
        <f>J13*0.00133545</f>
        <v/>
      </c>
      <c r="AK13" s="7">
        <f>K13*0.00133545</f>
        <v/>
      </c>
      <c r="AL13" s="7">
        <f>L13*0.00133545</f>
        <v/>
      </c>
      <c r="AM13" s="7">
        <f>M13*0.00133545</f>
        <v/>
      </c>
      <c r="AN13" s="7">
        <f>N13*0.00133545</f>
        <v/>
      </c>
      <c r="AO13" s="7">
        <f>O13*0.00133545</f>
        <v/>
      </c>
      <c r="AP13" s="7">
        <f>P13*0.00133545</f>
        <v/>
      </c>
      <c r="AQ13" s="7">
        <f>Q13*0.00133545</f>
        <v/>
      </c>
      <c r="AR13" s="7">
        <f>R13*0.00133545</f>
        <v/>
      </c>
      <c r="AS13" s="7">
        <f>S13*0.00133545</f>
        <v/>
      </c>
      <c r="AT13" s="7">
        <f>T13*0.00133545</f>
        <v/>
      </c>
      <c r="AU13" s="7">
        <f>U13*0.00133545</f>
        <v/>
      </c>
      <c r="AV13" s="7">
        <f>V13*0.00133545</f>
        <v/>
      </c>
      <c r="AW13" s="7">
        <f>W13*0.00133545</f>
        <v/>
      </c>
      <c r="AX13" s="7">
        <f>X13*0.00133545</f>
        <v/>
      </c>
      <c r="AY13" s="7">
        <f>Y13*0.00133545</f>
        <v/>
      </c>
      <c r="AZ13" s="7">
        <f>Z13*0.00133545</f>
        <v/>
      </c>
      <c r="BA13" s="7">
        <f>AA13*0.00133545</f>
        <v/>
      </c>
      <c r="BB13" s="7">
        <f>SUM(AD13:BA13)</f>
        <v/>
      </c>
    </row>
    <row r="14">
      <c r="A14" t="inlineStr">
        <is>
          <t>AMD-EXPR</t>
        </is>
      </c>
      <c r="B14" t="inlineStr">
        <is>
          <t>DSC Manual</t>
        </is>
      </c>
      <c r="C14" s="5" t="n">
        <v>46092</v>
      </c>
      <c r="D14" s="6">
        <f>Summary!D14</f>
        <v/>
      </c>
      <c r="E14" s="6">
        <f>Summary!E14</f>
        <v/>
      </c>
      <c r="F14" s="6">
        <f>Summary!F14</f>
        <v/>
      </c>
      <c r="G14" s="6">
        <f>Summary!G14</f>
        <v/>
      </c>
      <c r="H14" s="6">
        <f>Summary!H14</f>
        <v/>
      </c>
      <c r="I14" s="6">
        <f>Summary!I14</f>
        <v/>
      </c>
      <c r="J14" s="6">
        <f>Summary!J14</f>
        <v/>
      </c>
      <c r="K14" s="6">
        <f>Summary!K14</f>
        <v/>
      </c>
      <c r="L14" s="6">
        <f>Summary!L14</f>
        <v/>
      </c>
      <c r="M14" s="6">
        <f>Summary!M14</f>
        <v/>
      </c>
      <c r="N14" s="6">
        <f>Summary!N14</f>
        <v/>
      </c>
      <c r="O14" s="6">
        <f>Summary!O14</f>
        <v/>
      </c>
      <c r="P14" s="6">
        <f>Summary!P14</f>
        <v/>
      </c>
      <c r="Q14" s="6">
        <f>Summary!Q14</f>
        <v/>
      </c>
      <c r="R14" s="6">
        <f>Summary!R14</f>
        <v/>
      </c>
      <c r="S14" s="6">
        <f>Summary!S14</f>
        <v/>
      </c>
      <c r="T14" s="6">
        <f>Summary!T14</f>
        <v/>
      </c>
      <c r="U14" s="6">
        <f>Summary!U14</f>
        <v/>
      </c>
      <c r="V14" s="6">
        <f>Summary!V14</f>
        <v/>
      </c>
      <c r="W14" s="6">
        <f>Summary!W14</f>
        <v/>
      </c>
      <c r="X14" s="6">
        <f>Summary!X14</f>
        <v/>
      </c>
      <c r="Y14" s="6">
        <f>Summary!Y14</f>
        <v/>
      </c>
      <c r="Z14" s="6">
        <f>Summary!Z14</f>
        <v/>
      </c>
      <c r="AA14" s="6">
        <f>Summary!AA14</f>
        <v/>
      </c>
      <c r="AB14" s="6">
        <f>SUM(D14:AA14)</f>
        <v/>
      </c>
      <c r="AC14" s="3" t="inlineStr"/>
      <c r="AD14" s="7">
        <f>D14*0.00133545</f>
        <v/>
      </c>
      <c r="AE14" s="7">
        <f>E14*0.00133545</f>
        <v/>
      </c>
      <c r="AF14" s="7">
        <f>F14*0.00133545</f>
        <v/>
      </c>
      <c r="AG14" s="7">
        <f>G14*0.00133545</f>
        <v/>
      </c>
      <c r="AH14" s="7">
        <f>H14*0.00133545</f>
        <v/>
      </c>
      <c r="AI14" s="7">
        <f>I14*0.00133545</f>
        <v/>
      </c>
      <c r="AJ14" s="7">
        <f>J14*0.00133545</f>
        <v/>
      </c>
      <c r="AK14" s="7">
        <f>K14*0.00133545</f>
        <v/>
      </c>
      <c r="AL14" s="7">
        <f>L14*0.00133545</f>
        <v/>
      </c>
      <c r="AM14" s="7">
        <f>M14*0.00133545</f>
        <v/>
      </c>
      <c r="AN14" s="7">
        <f>N14*0.00133545</f>
        <v/>
      </c>
      <c r="AO14" s="7">
        <f>O14*0.00133545</f>
        <v/>
      </c>
      <c r="AP14" s="7">
        <f>P14*0.00133545</f>
        <v/>
      </c>
      <c r="AQ14" s="7">
        <f>Q14*0.00133545</f>
        <v/>
      </c>
      <c r="AR14" s="7">
        <f>R14*0.00133545</f>
        <v/>
      </c>
      <c r="AS14" s="7">
        <f>S14*0.00133545</f>
        <v/>
      </c>
      <c r="AT14" s="7">
        <f>T14*0.00133545</f>
        <v/>
      </c>
      <c r="AU14" s="7">
        <f>U14*0.00133545</f>
        <v/>
      </c>
      <c r="AV14" s="7">
        <f>V14*0.00133545</f>
        <v/>
      </c>
      <c r="AW14" s="7">
        <f>W14*0.00133545</f>
        <v/>
      </c>
      <c r="AX14" s="7">
        <f>X14*0.00133545</f>
        <v/>
      </c>
      <c r="AY14" s="7">
        <f>Y14*0.00133545</f>
        <v/>
      </c>
      <c r="AZ14" s="7">
        <f>Z14*0.00133545</f>
        <v/>
      </c>
      <c r="BA14" s="7">
        <f>AA14*0.00133545</f>
        <v/>
      </c>
      <c r="BB14" s="7">
        <f>SUM(AD14:BA14)</f>
        <v/>
      </c>
    </row>
    <row r="15">
      <c r="A15" t="inlineStr">
        <is>
          <t>AMD-EXPR</t>
        </is>
      </c>
      <c r="B15" t="inlineStr">
        <is>
          <t>DSC Manual</t>
        </is>
      </c>
      <c r="C15" s="5" t="n">
        <v>46093</v>
      </c>
      <c r="D15" s="6">
        <f>Summary!D15</f>
        <v/>
      </c>
      <c r="E15" s="6">
        <f>Summary!E15</f>
        <v/>
      </c>
      <c r="F15" s="6">
        <f>Summary!F15</f>
        <v/>
      </c>
      <c r="G15" s="6">
        <f>Summary!G15</f>
        <v/>
      </c>
      <c r="H15" s="6">
        <f>Summary!H15</f>
        <v/>
      </c>
      <c r="I15" s="6">
        <f>Summary!I15</f>
        <v/>
      </c>
      <c r="J15" s="6">
        <f>Summary!J15</f>
        <v/>
      </c>
      <c r="K15" s="6">
        <f>Summary!K15</f>
        <v/>
      </c>
      <c r="L15" s="6">
        <f>Summary!L15</f>
        <v/>
      </c>
      <c r="M15" s="6">
        <f>Summary!M15</f>
        <v/>
      </c>
      <c r="N15" s="6">
        <f>Summary!N15</f>
        <v/>
      </c>
      <c r="O15" s="6">
        <f>Summary!O15</f>
        <v/>
      </c>
      <c r="P15" s="6">
        <f>Summary!P15</f>
        <v/>
      </c>
      <c r="Q15" s="6">
        <f>Summary!Q15</f>
        <v/>
      </c>
      <c r="R15" s="6">
        <f>Summary!R15</f>
        <v/>
      </c>
      <c r="S15" s="6">
        <f>Summary!S15</f>
        <v/>
      </c>
      <c r="T15" s="6">
        <f>Summary!T15</f>
        <v/>
      </c>
      <c r="U15" s="6">
        <f>Summary!U15</f>
        <v/>
      </c>
      <c r="V15" s="6">
        <f>Summary!V15</f>
        <v/>
      </c>
      <c r="W15" s="6">
        <f>Summary!W15</f>
        <v/>
      </c>
      <c r="X15" s="6">
        <f>Summary!X15</f>
        <v/>
      </c>
      <c r="Y15" s="6">
        <f>Summary!Y15</f>
        <v/>
      </c>
      <c r="Z15" s="6">
        <f>Summary!Z15</f>
        <v/>
      </c>
      <c r="AA15" s="6">
        <f>Summary!AA15</f>
        <v/>
      </c>
      <c r="AB15" s="6">
        <f>SUM(D15:AA15)</f>
        <v/>
      </c>
      <c r="AC15" s="3" t="inlineStr"/>
      <c r="AD15" s="7">
        <f>D15*0.00133545</f>
        <v/>
      </c>
      <c r="AE15" s="7">
        <f>E15*0.00133545</f>
        <v/>
      </c>
      <c r="AF15" s="7">
        <f>F15*0.00133545</f>
        <v/>
      </c>
      <c r="AG15" s="7">
        <f>G15*0.00133545</f>
        <v/>
      </c>
      <c r="AH15" s="7">
        <f>H15*0.00133545</f>
        <v/>
      </c>
      <c r="AI15" s="7">
        <f>I15*0.00133545</f>
        <v/>
      </c>
      <c r="AJ15" s="7">
        <f>J15*0.00133545</f>
        <v/>
      </c>
      <c r="AK15" s="7">
        <f>K15*0.00133545</f>
        <v/>
      </c>
      <c r="AL15" s="7">
        <f>L15*0.00133545</f>
        <v/>
      </c>
      <c r="AM15" s="7">
        <f>M15*0.00133545</f>
        <v/>
      </c>
      <c r="AN15" s="7">
        <f>N15*0.00133545</f>
        <v/>
      </c>
      <c r="AO15" s="7">
        <f>O15*0.00133545</f>
        <v/>
      </c>
      <c r="AP15" s="7">
        <f>P15*0.00133545</f>
        <v/>
      </c>
      <c r="AQ15" s="7">
        <f>Q15*0.00133545</f>
        <v/>
      </c>
      <c r="AR15" s="7">
        <f>R15*0.00133545</f>
        <v/>
      </c>
      <c r="AS15" s="7">
        <f>S15*0.00133545</f>
        <v/>
      </c>
      <c r="AT15" s="7">
        <f>T15*0.00133545</f>
        <v/>
      </c>
      <c r="AU15" s="7">
        <f>U15*0.00133545</f>
        <v/>
      </c>
      <c r="AV15" s="7">
        <f>V15*0.00133545</f>
        <v/>
      </c>
      <c r="AW15" s="7">
        <f>W15*0.00133545</f>
        <v/>
      </c>
      <c r="AX15" s="7">
        <f>X15*0.00133545</f>
        <v/>
      </c>
      <c r="AY15" s="7">
        <f>Y15*0.00133545</f>
        <v/>
      </c>
      <c r="AZ15" s="7">
        <f>Z15*0.00133545</f>
        <v/>
      </c>
      <c r="BA15" s="7">
        <f>AA15*0.00133545</f>
        <v/>
      </c>
      <c r="BB15" s="7">
        <f>SUM(AD15:BA15)</f>
        <v/>
      </c>
    </row>
    <row r="16">
      <c r="A16" t="inlineStr">
        <is>
          <t>AMD-EXPR</t>
        </is>
      </c>
      <c r="B16" t="inlineStr">
        <is>
          <t>DSC Manual</t>
        </is>
      </c>
      <c r="C16" s="5" t="n">
        <v>46094</v>
      </c>
      <c r="D16" s="6">
        <f>Summary!D16</f>
        <v/>
      </c>
      <c r="E16" s="6">
        <f>Summary!E16</f>
        <v/>
      </c>
      <c r="F16" s="6">
        <f>Summary!F16</f>
        <v/>
      </c>
      <c r="G16" s="6">
        <f>Summary!G16</f>
        <v/>
      </c>
      <c r="H16" s="6">
        <f>Summary!H16</f>
        <v/>
      </c>
      <c r="I16" s="6">
        <f>Summary!I16</f>
        <v/>
      </c>
      <c r="J16" s="6">
        <f>Summary!J16</f>
        <v/>
      </c>
      <c r="K16" s="6">
        <f>Summary!K16</f>
        <v/>
      </c>
      <c r="L16" s="6">
        <f>Summary!L16</f>
        <v/>
      </c>
      <c r="M16" s="6">
        <f>Summary!M16</f>
        <v/>
      </c>
      <c r="N16" s="6">
        <f>Summary!N16</f>
        <v/>
      </c>
      <c r="O16" s="6">
        <f>Summary!O16</f>
        <v/>
      </c>
      <c r="P16" s="6">
        <f>Summary!P16</f>
        <v/>
      </c>
      <c r="Q16" s="6">
        <f>Summary!Q16</f>
        <v/>
      </c>
      <c r="R16" s="6">
        <f>Summary!R16</f>
        <v/>
      </c>
      <c r="S16" s="6">
        <f>Summary!S16</f>
        <v/>
      </c>
      <c r="T16" s="6">
        <f>Summary!T16</f>
        <v/>
      </c>
      <c r="U16" s="6">
        <f>Summary!U16</f>
        <v/>
      </c>
      <c r="V16" s="6">
        <f>Summary!V16</f>
        <v/>
      </c>
      <c r="W16" s="6">
        <f>Summary!W16</f>
        <v/>
      </c>
      <c r="X16" s="6">
        <f>Summary!X16</f>
        <v/>
      </c>
      <c r="Y16" s="6">
        <f>Summary!Y16</f>
        <v/>
      </c>
      <c r="Z16" s="6">
        <f>Summary!Z16</f>
        <v/>
      </c>
      <c r="AA16" s="6">
        <f>Summary!AA16</f>
        <v/>
      </c>
      <c r="AB16" s="6">
        <f>SUM(D16:AA16)</f>
        <v/>
      </c>
      <c r="AC16" s="3" t="inlineStr"/>
      <c r="AD16" s="7">
        <f>D16*0.00133545</f>
        <v/>
      </c>
      <c r="AE16" s="7">
        <f>E16*0.00133545</f>
        <v/>
      </c>
      <c r="AF16" s="7">
        <f>F16*0.00133545</f>
        <v/>
      </c>
      <c r="AG16" s="7">
        <f>G16*0.00133545</f>
        <v/>
      </c>
      <c r="AH16" s="7">
        <f>H16*0.00133545</f>
        <v/>
      </c>
      <c r="AI16" s="7">
        <f>I16*0.00133545</f>
        <v/>
      </c>
      <c r="AJ16" s="7">
        <f>J16*0.00133545</f>
        <v/>
      </c>
      <c r="AK16" s="7">
        <f>K16*0.00133545</f>
        <v/>
      </c>
      <c r="AL16" s="7">
        <f>L16*0.00133545</f>
        <v/>
      </c>
      <c r="AM16" s="7">
        <f>M16*0.00133545</f>
        <v/>
      </c>
      <c r="AN16" s="7">
        <f>N16*0.00133545</f>
        <v/>
      </c>
      <c r="AO16" s="7">
        <f>O16*0.00133545</f>
        <v/>
      </c>
      <c r="AP16" s="7">
        <f>P16*0.00133545</f>
        <v/>
      </c>
      <c r="AQ16" s="7">
        <f>Q16*0.00133545</f>
        <v/>
      </c>
      <c r="AR16" s="7">
        <f>R16*0.00133545</f>
        <v/>
      </c>
      <c r="AS16" s="7">
        <f>S16*0.00133545</f>
        <v/>
      </c>
      <c r="AT16" s="7">
        <f>T16*0.00133545</f>
        <v/>
      </c>
      <c r="AU16" s="7">
        <f>U16*0.00133545</f>
        <v/>
      </c>
      <c r="AV16" s="7">
        <f>V16*0.00133545</f>
        <v/>
      </c>
      <c r="AW16" s="7">
        <f>W16*0.00133545</f>
        <v/>
      </c>
      <c r="AX16" s="7">
        <f>X16*0.00133545</f>
        <v/>
      </c>
      <c r="AY16" s="7">
        <f>Y16*0.00133545</f>
        <v/>
      </c>
      <c r="AZ16" s="7">
        <f>Z16*0.00133545</f>
        <v/>
      </c>
      <c r="BA16" s="7">
        <f>AA16*0.00133545</f>
        <v/>
      </c>
      <c r="BB16" s="7">
        <f>SUM(AD16:BA16)</f>
        <v/>
      </c>
    </row>
    <row r="17">
      <c r="A17" t="inlineStr">
        <is>
          <t>AMD-EXPR</t>
        </is>
      </c>
      <c r="B17" t="inlineStr">
        <is>
          <t>DSC Manual</t>
        </is>
      </c>
      <c r="C17" s="5" t="n">
        <v>46095</v>
      </c>
      <c r="D17" s="6">
        <f>Summary!D17</f>
        <v/>
      </c>
      <c r="E17" s="6">
        <f>Summary!E17</f>
        <v/>
      </c>
      <c r="F17" s="6">
        <f>Summary!F17</f>
        <v/>
      </c>
      <c r="G17" s="6">
        <f>Summary!G17</f>
        <v/>
      </c>
      <c r="H17" s="6">
        <f>Summary!H17</f>
        <v/>
      </c>
      <c r="I17" s="6">
        <f>Summary!I17</f>
        <v/>
      </c>
      <c r="J17" s="6">
        <f>Summary!J17</f>
        <v/>
      </c>
      <c r="K17" s="6">
        <f>Summary!K17</f>
        <v/>
      </c>
      <c r="L17" s="6">
        <f>Summary!L17</f>
        <v/>
      </c>
      <c r="M17" s="6">
        <f>Summary!M17</f>
        <v/>
      </c>
      <c r="N17" s="6">
        <f>Summary!N17</f>
        <v/>
      </c>
      <c r="O17" s="6">
        <f>Summary!O17</f>
        <v/>
      </c>
      <c r="P17" s="6">
        <f>Summary!P17</f>
        <v/>
      </c>
      <c r="Q17" s="6">
        <f>Summary!Q17</f>
        <v/>
      </c>
      <c r="R17" s="6">
        <f>Summary!R17</f>
        <v/>
      </c>
      <c r="S17" s="6">
        <f>Summary!S17</f>
        <v/>
      </c>
      <c r="T17" s="6">
        <f>Summary!T17</f>
        <v/>
      </c>
      <c r="U17" s="6">
        <f>Summary!U17</f>
        <v/>
      </c>
      <c r="V17" s="6">
        <f>Summary!V17</f>
        <v/>
      </c>
      <c r="W17" s="6">
        <f>Summary!W17</f>
        <v/>
      </c>
      <c r="X17" s="6">
        <f>Summary!X17</f>
        <v/>
      </c>
      <c r="Y17" s="6">
        <f>Summary!Y17</f>
        <v/>
      </c>
      <c r="Z17" s="6">
        <f>Summary!Z17</f>
        <v/>
      </c>
      <c r="AA17" s="6">
        <f>Summary!AA17</f>
        <v/>
      </c>
      <c r="AB17" s="6">
        <f>SUM(D17:AA17)</f>
        <v/>
      </c>
      <c r="AC17" s="3" t="inlineStr"/>
      <c r="AD17" s="7">
        <f>D17*0.00133545</f>
        <v/>
      </c>
      <c r="AE17" s="7">
        <f>E17*0.00133545</f>
        <v/>
      </c>
      <c r="AF17" s="7">
        <f>F17*0.00133545</f>
        <v/>
      </c>
      <c r="AG17" s="7">
        <f>G17*0.00133545</f>
        <v/>
      </c>
      <c r="AH17" s="7">
        <f>H17*0.00133545</f>
        <v/>
      </c>
      <c r="AI17" s="7">
        <f>I17*0.00133545</f>
        <v/>
      </c>
      <c r="AJ17" s="7">
        <f>J17*0.00133545</f>
        <v/>
      </c>
      <c r="AK17" s="7">
        <f>K17*0.00133545</f>
        <v/>
      </c>
      <c r="AL17" s="7">
        <f>L17*0.00133545</f>
        <v/>
      </c>
      <c r="AM17" s="7">
        <f>M17*0.00133545</f>
        <v/>
      </c>
      <c r="AN17" s="7">
        <f>N17*0.00133545</f>
        <v/>
      </c>
      <c r="AO17" s="7">
        <f>O17*0.00133545</f>
        <v/>
      </c>
      <c r="AP17" s="7">
        <f>P17*0.00133545</f>
        <v/>
      </c>
      <c r="AQ17" s="7">
        <f>Q17*0.00133545</f>
        <v/>
      </c>
      <c r="AR17" s="7">
        <f>R17*0.00133545</f>
        <v/>
      </c>
      <c r="AS17" s="7">
        <f>S17*0.00133545</f>
        <v/>
      </c>
      <c r="AT17" s="7">
        <f>T17*0.00133545</f>
        <v/>
      </c>
      <c r="AU17" s="7">
        <f>U17*0.00133545</f>
        <v/>
      </c>
      <c r="AV17" s="7">
        <f>V17*0.00133545</f>
        <v/>
      </c>
      <c r="AW17" s="7">
        <f>W17*0.00133545</f>
        <v/>
      </c>
      <c r="AX17" s="7">
        <f>X17*0.00133545</f>
        <v/>
      </c>
      <c r="AY17" s="7">
        <f>Y17*0.00133545</f>
        <v/>
      </c>
      <c r="AZ17" s="7">
        <f>Z17*0.00133545</f>
        <v/>
      </c>
      <c r="BA17" s="7">
        <f>AA17*0.00133545</f>
        <v/>
      </c>
      <c r="BB17" s="7">
        <f>SUM(AD17:BA17)</f>
        <v/>
      </c>
    </row>
    <row r="18">
      <c r="A18" t="inlineStr">
        <is>
          <t>AMD-EXPR</t>
        </is>
      </c>
      <c r="B18" t="inlineStr">
        <is>
          <t>DSC Manual</t>
        </is>
      </c>
      <c r="C18" s="5" t="n">
        <v>46096</v>
      </c>
      <c r="D18" s="6">
        <f>Summary!D18</f>
        <v/>
      </c>
      <c r="E18" s="6">
        <f>Summary!E18</f>
        <v/>
      </c>
      <c r="F18" s="6">
        <f>Summary!F18</f>
        <v/>
      </c>
      <c r="G18" s="6">
        <f>Summary!G18</f>
        <v/>
      </c>
      <c r="H18" s="6">
        <f>Summary!H18</f>
        <v/>
      </c>
      <c r="I18" s="6">
        <f>Summary!I18</f>
        <v/>
      </c>
      <c r="J18" s="6">
        <f>Summary!J18</f>
        <v/>
      </c>
      <c r="K18" s="6">
        <f>Summary!K18</f>
        <v/>
      </c>
      <c r="L18" s="6">
        <f>Summary!L18</f>
        <v/>
      </c>
      <c r="M18" s="6">
        <f>Summary!M18</f>
        <v/>
      </c>
      <c r="N18" s="6">
        <f>Summary!N18</f>
        <v/>
      </c>
      <c r="O18" s="6">
        <f>Summary!O18</f>
        <v/>
      </c>
      <c r="P18" s="6">
        <f>Summary!P18</f>
        <v/>
      </c>
      <c r="Q18" s="6">
        <f>Summary!Q18</f>
        <v/>
      </c>
      <c r="R18" s="6">
        <f>Summary!R18</f>
        <v/>
      </c>
      <c r="S18" s="6">
        <f>Summary!S18</f>
        <v/>
      </c>
      <c r="T18" s="6">
        <f>Summary!T18</f>
        <v/>
      </c>
      <c r="U18" s="6">
        <f>Summary!U18</f>
        <v/>
      </c>
      <c r="V18" s="6">
        <f>Summary!V18</f>
        <v/>
      </c>
      <c r="W18" s="6">
        <f>Summary!W18</f>
        <v/>
      </c>
      <c r="X18" s="6">
        <f>Summary!X18</f>
        <v/>
      </c>
      <c r="Y18" s="6">
        <f>Summary!Y18</f>
        <v/>
      </c>
      <c r="Z18" s="6">
        <f>Summary!Z18</f>
        <v/>
      </c>
      <c r="AA18" s="6">
        <f>Summary!AA18</f>
        <v/>
      </c>
      <c r="AB18" s="6">
        <f>SUM(D18:AA18)</f>
        <v/>
      </c>
      <c r="AC18" s="3" t="inlineStr"/>
      <c r="AD18" s="7">
        <f>D18*0.00133545</f>
        <v/>
      </c>
      <c r="AE18" s="7">
        <f>E18*0.00133545</f>
        <v/>
      </c>
      <c r="AF18" s="7">
        <f>F18*0.00133545</f>
        <v/>
      </c>
      <c r="AG18" s="7">
        <f>G18*0.00133545</f>
        <v/>
      </c>
      <c r="AH18" s="7">
        <f>H18*0.00133545</f>
        <v/>
      </c>
      <c r="AI18" s="7">
        <f>I18*0.00133545</f>
        <v/>
      </c>
      <c r="AJ18" s="7">
        <f>J18*0.00133545</f>
        <v/>
      </c>
      <c r="AK18" s="7">
        <f>K18*0.00133545</f>
        <v/>
      </c>
      <c r="AL18" s="7">
        <f>L18*0.00133545</f>
        <v/>
      </c>
      <c r="AM18" s="7">
        <f>M18*0.00133545</f>
        <v/>
      </c>
      <c r="AN18" s="7">
        <f>N18*0.00133545</f>
        <v/>
      </c>
      <c r="AO18" s="7">
        <f>O18*0.00133545</f>
        <v/>
      </c>
      <c r="AP18" s="7">
        <f>P18*0.00133545</f>
        <v/>
      </c>
      <c r="AQ18" s="7">
        <f>Q18*0.00133545</f>
        <v/>
      </c>
      <c r="AR18" s="7">
        <f>R18*0.00133545</f>
        <v/>
      </c>
      <c r="AS18" s="7">
        <f>S18*0.00133545</f>
        <v/>
      </c>
      <c r="AT18" s="7">
        <f>T18*0.00133545</f>
        <v/>
      </c>
      <c r="AU18" s="7">
        <f>U18*0.00133545</f>
        <v/>
      </c>
      <c r="AV18" s="7">
        <f>V18*0.00133545</f>
        <v/>
      </c>
      <c r="AW18" s="7">
        <f>W18*0.00133545</f>
        <v/>
      </c>
      <c r="AX18" s="7">
        <f>X18*0.00133545</f>
        <v/>
      </c>
      <c r="AY18" s="7">
        <f>Y18*0.00133545</f>
        <v/>
      </c>
      <c r="AZ18" s="7">
        <f>Z18*0.00133545</f>
        <v/>
      </c>
      <c r="BA18" s="7">
        <f>AA18*0.00133545</f>
        <v/>
      </c>
      <c r="BB18" s="7">
        <f>SUM(AD18:BA18)</f>
        <v/>
      </c>
    </row>
    <row r="19">
      <c r="A19" t="inlineStr">
        <is>
          <t>AMD-EXPR</t>
        </is>
      </c>
      <c r="B19" t="inlineStr">
        <is>
          <t>DSC Manual</t>
        </is>
      </c>
      <c r="C19" s="5" t="n">
        <v>46097</v>
      </c>
      <c r="D19" s="6">
        <f>Summary!D19</f>
        <v/>
      </c>
      <c r="E19" s="6">
        <f>Summary!E19</f>
        <v/>
      </c>
      <c r="F19" s="6">
        <f>Summary!F19</f>
        <v/>
      </c>
      <c r="G19" s="6">
        <f>Summary!G19</f>
        <v/>
      </c>
      <c r="H19" s="6">
        <f>Summary!H19</f>
        <v/>
      </c>
      <c r="I19" s="6">
        <f>Summary!I19</f>
        <v/>
      </c>
      <c r="J19" s="6">
        <f>Summary!J19</f>
        <v/>
      </c>
      <c r="K19" s="6">
        <f>Summary!K19</f>
        <v/>
      </c>
      <c r="L19" s="6">
        <f>Summary!L19</f>
        <v/>
      </c>
      <c r="M19" s="6">
        <f>Summary!M19</f>
        <v/>
      </c>
      <c r="N19" s="6">
        <f>Summary!N19</f>
        <v/>
      </c>
      <c r="O19" s="6">
        <f>Summary!O19</f>
        <v/>
      </c>
      <c r="P19" s="6">
        <f>Summary!P19</f>
        <v/>
      </c>
      <c r="Q19" s="6">
        <f>Summary!Q19</f>
        <v/>
      </c>
      <c r="R19" s="6">
        <f>Summary!R19</f>
        <v/>
      </c>
      <c r="S19" s="6">
        <f>Summary!S19</f>
        <v/>
      </c>
      <c r="T19" s="6">
        <f>Summary!T19</f>
        <v/>
      </c>
      <c r="U19" s="6">
        <f>Summary!U19</f>
        <v/>
      </c>
      <c r="V19" s="6">
        <f>Summary!V19</f>
        <v/>
      </c>
      <c r="W19" s="6">
        <f>Summary!W19</f>
        <v/>
      </c>
      <c r="X19" s="6">
        <f>Summary!X19</f>
        <v/>
      </c>
      <c r="Y19" s="6">
        <f>Summary!Y19</f>
        <v/>
      </c>
      <c r="Z19" s="6">
        <f>Summary!Z19</f>
        <v/>
      </c>
      <c r="AA19" s="6">
        <f>Summary!AA19</f>
        <v/>
      </c>
      <c r="AB19" s="6">
        <f>SUM(D19:AA19)</f>
        <v/>
      </c>
      <c r="AC19" s="3" t="inlineStr"/>
      <c r="AD19" s="7">
        <f>D19*0.00133545</f>
        <v/>
      </c>
      <c r="AE19" s="7">
        <f>E19*0.00133545</f>
        <v/>
      </c>
      <c r="AF19" s="7">
        <f>F19*0.00133545</f>
        <v/>
      </c>
      <c r="AG19" s="7">
        <f>G19*0.00133545</f>
        <v/>
      </c>
      <c r="AH19" s="7">
        <f>H19*0.00133545</f>
        <v/>
      </c>
      <c r="AI19" s="7">
        <f>I19*0.00133545</f>
        <v/>
      </c>
      <c r="AJ19" s="7">
        <f>J19*0.00133545</f>
        <v/>
      </c>
      <c r="AK19" s="7">
        <f>K19*0.00133545</f>
        <v/>
      </c>
      <c r="AL19" s="7">
        <f>L19*0.00133545</f>
        <v/>
      </c>
      <c r="AM19" s="7">
        <f>M19*0.00133545</f>
        <v/>
      </c>
      <c r="AN19" s="7">
        <f>N19*0.00133545</f>
        <v/>
      </c>
      <c r="AO19" s="7">
        <f>O19*0.00133545</f>
        <v/>
      </c>
      <c r="AP19" s="7">
        <f>P19*0.00133545</f>
        <v/>
      </c>
      <c r="AQ19" s="7">
        <f>Q19*0.00133545</f>
        <v/>
      </c>
      <c r="AR19" s="7">
        <f>R19*0.00133545</f>
        <v/>
      </c>
      <c r="AS19" s="7">
        <f>S19*0.00133545</f>
        <v/>
      </c>
      <c r="AT19" s="7">
        <f>T19*0.00133545</f>
        <v/>
      </c>
      <c r="AU19" s="7">
        <f>U19*0.00133545</f>
        <v/>
      </c>
      <c r="AV19" s="7">
        <f>V19*0.00133545</f>
        <v/>
      </c>
      <c r="AW19" s="7">
        <f>W19*0.00133545</f>
        <v/>
      </c>
      <c r="AX19" s="7">
        <f>X19*0.00133545</f>
        <v/>
      </c>
      <c r="AY19" s="7">
        <f>Y19*0.00133545</f>
        <v/>
      </c>
      <c r="AZ19" s="7">
        <f>Z19*0.00133545</f>
        <v/>
      </c>
      <c r="BA19" s="7">
        <f>AA19*0.00133545</f>
        <v/>
      </c>
      <c r="BB19" s="7">
        <f>SUM(AD19:BA19)</f>
        <v/>
      </c>
    </row>
    <row r="20">
      <c r="A20" t="inlineStr">
        <is>
          <t>AMD-EXPR</t>
        </is>
      </c>
      <c r="B20" t="inlineStr">
        <is>
          <t>DSC Manual</t>
        </is>
      </c>
      <c r="C20" s="5" t="n">
        <v>46099</v>
      </c>
      <c r="D20" s="6">
        <f>Summary!D20</f>
        <v/>
      </c>
      <c r="E20" s="6">
        <f>Summary!E20</f>
        <v/>
      </c>
      <c r="F20" s="6">
        <f>Summary!F20</f>
        <v/>
      </c>
      <c r="G20" s="6">
        <f>Summary!G20</f>
        <v/>
      </c>
      <c r="H20" s="6">
        <f>Summary!H20</f>
        <v/>
      </c>
      <c r="I20" s="6">
        <f>Summary!I20</f>
        <v/>
      </c>
      <c r="J20" s="6">
        <f>Summary!J20</f>
        <v/>
      </c>
      <c r="K20" s="6">
        <f>Summary!K20</f>
        <v/>
      </c>
      <c r="L20" s="6">
        <f>Summary!L20</f>
        <v/>
      </c>
      <c r="M20" s="6">
        <f>Summary!M20</f>
        <v/>
      </c>
      <c r="N20" s="6">
        <f>Summary!N20</f>
        <v/>
      </c>
      <c r="O20" s="6">
        <f>Summary!O20</f>
        <v/>
      </c>
      <c r="P20" s="6">
        <f>Summary!P20</f>
        <v/>
      </c>
      <c r="Q20" s="6">
        <f>Summary!Q20</f>
        <v/>
      </c>
      <c r="R20" s="6">
        <f>Summary!R20</f>
        <v/>
      </c>
      <c r="S20" s="6">
        <f>Summary!S20</f>
        <v/>
      </c>
      <c r="T20" s="6">
        <f>Summary!T20</f>
        <v/>
      </c>
      <c r="U20" s="6">
        <f>Summary!U20</f>
        <v/>
      </c>
      <c r="V20" s="6">
        <f>Summary!V20</f>
        <v/>
      </c>
      <c r="W20" s="6">
        <f>Summary!W20</f>
        <v/>
      </c>
      <c r="X20" s="6">
        <f>Summary!X20</f>
        <v/>
      </c>
      <c r="Y20" s="6">
        <f>Summary!Y20</f>
        <v/>
      </c>
      <c r="Z20" s="6">
        <f>Summary!Z20</f>
        <v/>
      </c>
      <c r="AA20" s="6">
        <f>Summary!AA20</f>
        <v/>
      </c>
      <c r="AB20" s="6">
        <f>SUM(D20:AA20)</f>
        <v/>
      </c>
      <c r="AC20" s="3" t="inlineStr"/>
      <c r="AD20" s="7">
        <f>D20*0.00133545</f>
        <v/>
      </c>
      <c r="AE20" s="7">
        <f>E20*0.00133545</f>
        <v/>
      </c>
      <c r="AF20" s="7">
        <f>F20*0.00133545</f>
        <v/>
      </c>
      <c r="AG20" s="7">
        <f>G20*0.00133545</f>
        <v/>
      </c>
      <c r="AH20" s="7">
        <f>H20*0.00133545</f>
        <v/>
      </c>
      <c r="AI20" s="7">
        <f>I20*0.00133545</f>
        <v/>
      </c>
      <c r="AJ20" s="7">
        <f>J20*0.00133545</f>
        <v/>
      </c>
      <c r="AK20" s="7">
        <f>K20*0.00133545</f>
        <v/>
      </c>
      <c r="AL20" s="7">
        <f>L20*0.00133545</f>
        <v/>
      </c>
      <c r="AM20" s="7">
        <f>M20*0.00133545</f>
        <v/>
      </c>
      <c r="AN20" s="7">
        <f>N20*0.00133545</f>
        <v/>
      </c>
      <c r="AO20" s="7">
        <f>O20*0.00133545</f>
        <v/>
      </c>
      <c r="AP20" s="7">
        <f>P20*0.00133545</f>
        <v/>
      </c>
      <c r="AQ20" s="7">
        <f>Q20*0.00133545</f>
        <v/>
      </c>
      <c r="AR20" s="7">
        <f>R20*0.00133545</f>
        <v/>
      </c>
      <c r="AS20" s="7">
        <f>S20*0.00133545</f>
        <v/>
      </c>
      <c r="AT20" s="7">
        <f>T20*0.00133545</f>
        <v/>
      </c>
      <c r="AU20" s="7">
        <f>U20*0.00133545</f>
        <v/>
      </c>
      <c r="AV20" s="7">
        <f>V20*0.00133545</f>
        <v/>
      </c>
      <c r="AW20" s="7">
        <f>W20*0.00133545</f>
        <v/>
      </c>
      <c r="AX20" s="7">
        <f>X20*0.00133545</f>
        <v/>
      </c>
      <c r="AY20" s="7">
        <f>Y20*0.00133545</f>
        <v/>
      </c>
      <c r="AZ20" s="7">
        <f>Z20*0.00133545</f>
        <v/>
      </c>
      <c r="BA20" s="7">
        <f>AA20*0.00133545</f>
        <v/>
      </c>
      <c r="BB20" s="7">
        <f>SUM(AD20:BA20)</f>
        <v/>
      </c>
    </row>
    <row r="21">
      <c r="A21" t="inlineStr">
        <is>
          <t>AMD-EXPR</t>
        </is>
      </c>
      <c r="B21" t="inlineStr">
        <is>
          <t>DSC Manual</t>
        </is>
      </c>
      <c r="C21" s="5" t="n">
        <v>46100</v>
      </c>
      <c r="D21" s="6">
        <f>Summary!D21</f>
        <v/>
      </c>
      <c r="E21" s="6">
        <f>Summary!E21</f>
        <v/>
      </c>
      <c r="F21" s="6">
        <f>Summary!F21</f>
        <v/>
      </c>
      <c r="G21" s="6">
        <f>Summary!G21</f>
        <v/>
      </c>
      <c r="H21" s="6">
        <f>Summary!H21</f>
        <v/>
      </c>
      <c r="I21" s="6">
        <f>Summary!I21</f>
        <v/>
      </c>
      <c r="J21" s="6">
        <f>Summary!J21</f>
        <v/>
      </c>
      <c r="K21" s="6">
        <f>Summary!K21</f>
        <v/>
      </c>
      <c r="L21" s="6">
        <f>Summary!L21</f>
        <v/>
      </c>
      <c r="M21" s="6">
        <f>Summary!M21</f>
        <v/>
      </c>
      <c r="N21" s="6">
        <f>Summary!N21</f>
        <v/>
      </c>
      <c r="O21" s="6">
        <f>Summary!O21</f>
        <v/>
      </c>
      <c r="P21" s="6">
        <f>Summary!P21</f>
        <v/>
      </c>
      <c r="Q21" s="6">
        <f>Summary!Q21</f>
        <v/>
      </c>
      <c r="R21" s="6">
        <f>Summary!R21</f>
        <v/>
      </c>
      <c r="S21" s="6">
        <f>Summary!S21</f>
        <v/>
      </c>
      <c r="T21" s="6">
        <f>Summary!T21</f>
        <v/>
      </c>
      <c r="U21" s="6">
        <f>Summary!U21</f>
        <v/>
      </c>
      <c r="V21" s="6">
        <f>Summary!V21</f>
        <v/>
      </c>
      <c r="W21" s="6">
        <f>Summary!W21</f>
        <v/>
      </c>
      <c r="X21" s="6">
        <f>Summary!X21</f>
        <v/>
      </c>
      <c r="Y21" s="6">
        <f>Summary!Y21</f>
        <v/>
      </c>
      <c r="Z21" s="6">
        <f>Summary!Z21</f>
        <v/>
      </c>
      <c r="AA21" s="6">
        <f>Summary!AA21</f>
        <v/>
      </c>
      <c r="AB21" s="6">
        <f>SUM(D21:AA21)</f>
        <v/>
      </c>
      <c r="AC21" s="3" t="inlineStr"/>
      <c r="AD21" s="7">
        <f>D21*0.00133545</f>
        <v/>
      </c>
      <c r="AE21" s="7">
        <f>E21*0.00133545</f>
        <v/>
      </c>
      <c r="AF21" s="7">
        <f>F21*0.00133545</f>
        <v/>
      </c>
      <c r="AG21" s="7">
        <f>G21*0.00133545</f>
        <v/>
      </c>
      <c r="AH21" s="7">
        <f>H21*0.00133545</f>
        <v/>
      </c>
      <c r="AI21" s="7">
        <f>I21*0.00133545</f>
        <v/>
      </c>
      <c r="AJ21" s="7">
        <f>J21*0.00133545</f>
        <v/>
      </c>
      <c r="AK21" s="7">
        <f>K21*0.00133545</f>
        <v/>
      </c>
      <c r="AL21" s="7">
        <f>L21*0.00133545</f>
        <v/>
      </c>
      <c r="AM21" s="7">
        <f>M21*0.00133545</f>
        <v/>
      </c>
      <c r="AN21" s="7">
        <f>N21*0.00133545</f>
        <v/>
      </c>
      <c r="AO21" s="7">
        <f>O21*0.00133545</f>
        <v/>
      </c>
      <c r="AP21" s="7">
        <f>P21*0.00133545</f>
        <v/>
      </c>
      <c r="AQ21" s="7">
        <f>Q21*0.00133545</f>
        <v/>
      </c>
      <c r="AR21" s="7">
        <f>R21*0.00133545</f>
        <v/>
      </c>
      <c r="AS21" s="7">
        <f>S21*0.00133545</f>
        <v/>
      </c>
      <c r="AT21" s="7">
        <f>T21*0.00133545</f>
        <v/>
      </c>
      <c r="AU21" s="7">
        <f>U21*0.00133545</f>
        <v/>
      </c>
      <c r="AV21" s="7">
        <f>V21*0.00133545</f>
        <v/>
      </c>
      <c r="AW21" s="7">
        <f>W21*0.00133545</f>
        <v/>
      </c>
      <c r="AX21" s="7">
        <f>X21*0.00133545</f>
        <v/>
      </c>
      <c r="AY21" s="7">
        <f>Y21*0.00133545</f>
        <v/>
      </c>
      <c r="AZ21" s="7">
        <f>Z21*0.00133545</f>
        <v/>
      </c>
      <c r="BA21" s="7">
        <f>AA21*0.00133545</f>
        <v/>
      </c>
      <c r="BB21" s="7">
        <f>SUM(AD21:BA21)</f>
        <v/>
      </c>
    </row>
    <row r="22">
      <c r="A22" t="inlineStr">
        <is>
          <t>AMD-EXPR</t>
        </is>
      </c>
      <c r="B22" t="inlineStr">
        <is>
          <t>DSC Manual</t>
        </is>
      </c>
      <c r="C22" s="5" t="n">
        <v>46102</v>
      </c>
      <c r="D22" s="6">
        <f>Summary!D22</f>
        <v/>
      </c>
      <c r="E22" s="6">
        <f>Summary!E22</f>
        <v/>
      </c>
      <c r="F22" s="6">
        <f>Summary!F22</f>
        <v/>
      </c>
      <c r="G22" s="6">
        <f>Summary!G22</f>
        <v/>
      </c>
      <c r="H22" s="6">
        <f>Summary!H22</f>
        <v/>
      </c>
      <c r="I22" s="6">
        <f>Summary!I22</f>
        <v/>
      </c>
      <c r="J22" s="6">
        <f>Summary!J22</f>
        <v/>
      </c>
      <c r="K22" s="6">
        <f>Summary!K22</f>
        <v/>
      </c>
      <c r="L22" s="6">
        <f>Summary!L22</f>
        <v/>
      </c>
      <c r="M22" s="6">
        <f>Summary!M22</f>
        <v/>
      </c>
      <c r="N22" s="6">
        <f>Summary!N22</f>
        <v/>
      </c>
      <c r="O22" s="6">
        <f>Summary!O22</f>
        <v/>
      </c>
      <c r="P22" s="6">
        <f>Summary!P22</f>
        <v/>
      </c>
      <c r="Q22" s="6">
        <f>Summary!Q22</f>
        <v/>
      </c>
      <c r="R22" s="6">
        <f>Summary!R22</f>
        <v/>
      </c>
      <c r="S22" s="6">
        <f>Summary!S22</f>
        <v/>
      </c>
      <c r="T22" s="6">
        <f>Summary!T22</f>
        <v/>
      </c>
      <c r="U22" s="6">
        <f>Summary!U22</f>
        <v/>
      </c>
      <c r="V22" s="6">
        <f>Summary!V22</f>
        <v/>
      </c>
      <c r="W22" s="6">
        <f>Summary!W22</f>
        <v/>
      </c>
      <c r="X22" s="6">
        <f>Summary!X22</f>
        <v/>
      </c>
      <c r="Y22" s="6">
        <f>Summary!Y22</f>
        <v/>
      </c>
      <c r="Z22" s="6">
        <f>Summary!Z22</f>
        <v/>
      </c>
      <c r="AA22" s="6">
        <f>Summary!AA22</f>
        <v/>
      </c>
      <c r="AB22" s="6">
        <f>SUM(D22:AA22)</f>
        <v/>
      </c>
      <c r="AC22" s="3" t="inlineStr"/>
      <c r="AD22" s="7">
        <f>D22*0.00133545</f>
        <v/>
      </c>
      <c r="AE22" s="7">
        <f>E22*0.00133545</f>
        <v/>
      </c>
      <c r="AF22" s="7">
        <f>F22*0.00133545</f>
        <v/>
      </c>
      <c r="AG22" s="7">
        <f>G22*0.00133545</f>
        <v/>
      </c>
      <c r="AH22" s="7">
        <f>H22*0.00133545</f>
        <v/>
      </c>
      <c r="AI22" s="7">
        <f>I22*0.00133545</f>
        <v/>
      </c>
      <c r="AJ22" s="7">
        <f>J22*0.00133545</f>
        <v/>
      </c>
      <c r="AK22" s="7">
        <f>K22*0.00133545</f>
        <v/>
      </c>
      <c r="AL22" s="7">
        <f>L22*0.00133545</f>
        <v/>
      </c>
      <c r="AM22" s="7">
        <f>M22*0.00133545</f>
        <v/>
      </c>
      <c r="AN22" s="7">
        <f>N22*0.00133545</f>
        <v/>
      </c>
      <c r="AO22" s="7">
        <f>O22*0.00133545</f>
        <v/>
      </c>
      <c r="AP22" s="7">
        <f>P22*0.00133545</f>
        <v/>
      </c>
      <c r="AQ22" s="7">
        <f>Q22*0.00133545</f>
        <v/>
      </c>
      <c r="AR22" s="7">
        <f>R22*0.00133545</f>
        <v/>
      </c>
      <c r="AS22" s="7">
        <f>S22*0.00133545</f>
        <v/>
      </c>
      <c r="AT22" s="7">
        <f>T22*0.00133545</f>
        <v/>
      </c>
      <c r="AU22" s="7">
        <f>U22*0.00133545</f>
        <v/>
      </c>
      <c r="AV22" s="7">
        <f>V22*0.00133545</f>
        <v/>
      </c>
      <c r="AW22" s="7">
        <f>W22*0.00133545</f>
        <v/>
      </c>
      <c r="AX22" s="7">
        <f>X22*0.00133545</f>
        <v/>
      </c>
      <c r="AY22" s="7">
        <f>Y22*0.00133545</f>
        <v/>
      </c>
      <c r="AZ22" s="7">
        <f>Z22*0.00133545</f>
        <v/>
      </c>
      <c r="BA22" s="7">
        <f>AA22*0.00133545</f>
        <v/>
      </c>
      <c r="BB22" s="7">
        <f>SUM(AD22:BA22)</f>
        <v/>
      </c>
    </row>
    <row r="23">
      <c r="A23" t="inlineStr">
        <is>
          <t>AMD-EXPR</t>
        </is>
      </c>
      <c r="B23" t="inlineStr">
        <is>
          <t>DSC Manual</t>
        </is>
      </c>
      <c r="C23" s="5" t="n">
        <v>46103</v>
      </c>
      <c r="D23" s="6">
        <f>Summary!D23</f>
        <v/>
      </c>
      <c r="E23" s="6">
        <f>Summary!E23</f>
        <v/>
      </c>
      <c r="F23" s="6">
        <f>Summary!F23</f>
        <v/>
      </c>
      <c r="G23" s="6">
        <f>Summary!G23</f>
        <v/>
      </c>
      <c r="H23" s="6">
        <f>Summary!H23</f>
        <v/>
      </c>
      <c r="I23" s="6">
        <f>Summary!I23</f>
        <v/>
      </c>
      <c r="J23" s="6">
        <f>Summary!J23</f>
        <v/>
      </c>
      <c r="K23" s="6">
        <f>Summary!K23</f>
        <v/>
      </c>
      <c r="L23" s="6">
        <f>Summary!L23</f>
        <v/>
      </c>
      <c r="M23" s="6">
        <f>Summary!M23</f>
        <v/>
      </c>
      <c r="N23" s="6">
        <f>Summary!N23</f>
        <v/>
      </c>
      <c r="O23" s="6">
        <f>Summary!O23</f>
        <v/>
      </c>
      <c r="P23" s="6">
        <f>Summary!P23</f>
        <v/>
      </c>
      <c r="Q23" s="6">
        <f>Summary!Q23</f>
        <v/>
      </c>
      <c r="R23" s="6">
        <f>Summary!R23</f>
        <v/>
      </c>
      <c r="S23" s="6">
        <f>Summary!S23</f>
        <v/>
      </c>
      <c r="T23" s="6">
        <f>Summary!T23</f>
        <v/>
      </c>
      <c r="U23" s="6">
        <f>Summary!U23</f>
        <v/>
      </c>
      <c r="V23" s="6">
        <f>Summary!V23</f>
        <v/>
      </c>
      <c r="W23" s="6">
        <f>Summary!W23</f>
        <v/>
      </c>
      <c r="X23" s="6">
        <f>Summary!X23</f>
        <v/>
      </c>
      <c r="Y23" s="6">
        <f>Summary!Y23</f>
        <v/>
      </c>
      <c r="Z23" s="6">
        <f>Summary!Z23</f>
        <v/>
      </c>
      <c r="AA23" s="6">
        <f>Summary!AA23</f>
        <v/>
      </c>
      <c r="AB23" s="6">
        <f>SUM(D23:AA23)</f>
        <v/>
      </c>
      <c r="AC23" s="3" t="inlineStr"/>
      <c r="AD23" s="7">
        <f>D23*0.00133545</f>
        <v/>
      </c>
      <c r="AE23" s="7">
        <f>E23*0.00133545</f>
        <v/>
      </c>
      <c r="AF23" s="7">
        <f>F23*0.00133545</f>
        <v/>
      </c>
      <c r="AG23" s="7">
        <f>G23*0.00133545</f>
        <v/>
      </c>
      <c r="AH23" s="7">
        <f>H23*0.00133545</f>
        <v/>
      </c>
      <c r="AI23" s="7">
        <f>I23*0.00133545</f>
        <v/>
      </c>
      <c r="AJ23" s="7">
        <f>J23*0.00133545</f>
        <v/>
      </c>
      <c r="AK23" s="7">
        <f>K23*0.00133545</f>
        <v/>
      </c>
      <c r="AL23" s="7">
        <f>L23*0.00133545</f>
        <v/>
      </c>
      <c r="AM23" s="7">
        <f>M23*0.00133545</f>
        <v/>
      </c>
      <c r="AN23" s="7">
        <f>N23*0.00133545</f>
        <v/>
      </c>
      <c r="AO23" s="7">
        <f>O23*0.00133545</f>
        <v/>
      </c>
      <c r="AP23" s="7">
        <f>P23*0.00133545</f>
        <v/>
      </c>
      <c r="AQ23" s="7">
        <f>Q23*0.00133545</f>
        <v/>
      </c>
      <c r="AR23" s="7">
        <f>R23*0.00133545</f>
        <v/>
      </c>
      <c r="AS23" s="7">
        <f>S23*0.00133545</f>
        <v/>
      </c>
      <c r="AT23" s="7">
        <f>T23*0.00133545</f>
        <v/>
      </c>
      <c r="AU23" s="7">
        <f>U23*0.00133545</f>
        <v/>
      </c>
      <c r="AV23" s="7">
        <f>V23*0.00133545</f>
        <v/>
      </c>
      <c r="AW23" s="7">
        <f>W23*0.00133545</f>
        <v/>
      </c>
      <c r="AX23" s="7">
        <f>X23*0.00133545</f>
        <v/>
      </c>
      <c r="AY23" s="7">
        <f>Y23*0.00133545</f>
        <v/>
      </c>
      <c r="AZ23" s="7">
        <f>Z23*0.00133545</f>
        <v/>
      </c>
      <c r="BA23" s="7">
        <f>AA23*0.00133545</f>
        <v/>
      </c>
      <c r="BB23" s="7">
        <f>SUM(AD23:BA23)</f>
        <v/>
      </c>
    </row>
    <row r="24">
      <c r="A24" t="inlineStr">
        <is>
          <t>AMD-EXPR</t>
        </is>
      </c>
      <c r="B24" t="inlineStr">
        <is>
          <t>DSC Manual</t>
        </is>
      </c>
      <c r="C24" s="5" t="n">
        <v>46104</v>
      </c>
      <c r="D24" s="6">
        <f>Summary!D24</f>
        <v/>
      </c>
      <c r="E24" s="6">
        <f>Summary!E24</f>
        <v/>
      </c>
      <c r="F24" s="6">
        <f>Summary!F24</f>
        <v/>
      </c>
      <c r="G24" s="6">
        <f>Summary!G24</f>
        <v/>
      </c>
      <c r="H24" s="6">
        <f>Summary!H24</f>
        <v/>
      </c>
      <c r="I24" s="6">
        <f>Summary!I24</f>
        <v/>
      </c>
      <c r="J24" s="6">
        <f>Summary!J24</f>
        <v/>
      </c>
      <c r="K24" s="6">
        <f>Summary!K24</f>
        <v/>
      </c>
      <c r="L24" s="6">
        <f>Summary!L24</f>
        <v/>
      </c>
      <c r="M24" s="6">
        <f>Summary!M24</f>
        <v/>
      </c>
      <c r="N24" s="6">
        <f>Summary!N24</f>
        <v/>
      </c>
      <c r="O24" s="6">
        <f>Summary!O24</f>
        <v/>
      </c>
      <c r="P24" s="6">
        <f>Summary!P24</f>
        <v/>
      </c>
      <c r="Q24" s="6">
        <f>Summary!Q24</f>
        <v/>
      </c>
      <c r="R24" s="6">
        <f>Summary!R24</f>
        <v/>
      </c>
      <c r="S24" s="6">
        <f>Summary!S24</f>
        <v/>
      </c>
      <c r="T24" s="6">
        <f>Summary!T24</f>
        <v/>
      </c>
      <c r="U24" s="6">
        <f>Summary!U24</f>
        <v/>
      </c>
      <c r="V24" s="6">
        <f>Summary!V24</f>
        <v/>
      </c>
      <c r="W24" s="6">
        <f>Summary!W24</f>
        <v/>
      </c>
      <c r="X24" s="6">
        <f>Summary!X24</f>
        <v/>
      </c>
      <c r="Y24" s="6">
        <f>Summary!Y24</f>
        <v/>
      </c>
      <c r="Z24" s="6">
        <f>Summary!Z24</f>
        <v/>
      </c>
      <c r="AA24" s="6">
        <f>Summary!AA24</f>
        <v/>
      </c>
      <c r="AB24" s="6">
        <f>SUM(D24:AA24)</f>
        <v/>
      </c>
      <c r="AC24" s="3" t="inlineStr"/>
      <c r="AD24" s="7">
        <f>D24*0.00133545</f>
        <v/>
      </c>
      <c r="AE24" s="7">
        <f>E24*0.00133545</f>
        <v/>
      </c>
      <c r="AF24" s="7">
        <f>F24*0.00133545</f>
        <v/>
      </c>
      <c r="AG24" s="7">
        <f>G24*0.00133545</f>
        <v/>
      </c>
      <c r="AH24" s="7">
        <f>H24*0.00133545</f>
        <v/>
      </c>
      <c r="AI24" s="7">
        <f>I24*0.00133545</f>
        <v/>
      </c>
      <c r="AJ24" s="7">
        <f>J24*0.00133545</f>
        <v/>
      </c>
      <c r="AK24" s="7">
        <f>K24*0.00133545</f>
        <v/>
      </c>
      <c r="AL24" s="7">
        <f>L24*0.00133545</f>
        <v/>
      </c>
      <c r="AM24" s="7">
        <f>M24*0.00133545</f>
        <v/>
      </c>
      <c r="AN24" s="7">
        <f>N24*0.00133545</f>
        <v/>
      </c>
      <c r="AO24" s="7">
        <f>O24*0.00133545</f>
        <v/>
      </c>
      <c r="AP24" s="7">
        <f>P24*0.00133545</f>
        <v/>
      </c>
      <c r="AQ24" s="7">
        <f>Q24*0.00133545</f>
        <v/>
      </c>
      <c r="AR24" s="7">
        <f>R24*0.00133545</f>
        <v/>
      </c>
      <c r="AS24" s="7">
        <f>S24*0.00133545</f>
        <v/>
      </c>
      <c r="AT24" s="7">
        <f>T24*0.00133545</f>
        <v/>
      </c>
      <c r="AU24" s="7">
        <f>U24*0.00133545</f>
        <v/>
      </c>
      <c r="AV24" s="7">
        <f>V24*0.00133545</f>
        <v/>
      </c>
      <c r="AW24" s="7">
        <f>W24*0.00133545</f>
        <v/>
      </c>
      <c r="AX24" s="7">
        <f>X24*0.00133545</f>
        <v/>
      </c>
      <c r="AY24" s="7">
        <f>Y24*0.00133545</f>
        <v/>
      </c>
      <c r="AZ24" s="7">
        <f>Z24*0.00133545</f>
        <v/>
      </c>
      <c r="BA24" s="7">
        <f>AA24*0.00133545</f>
        <v/>
      </c>
      <c r="BB24" s="7">
        <f>SUM(AD24:BA24)</f>
        <v/>
      </c>
    </row>
    <row r="25">
      <c r="A25" t="inlineStr">
        <is>
          <t>AMD-EXPR</t>
        </is>
      </c>
      <c r="B25" t="inlineStr">
        <is>
          <t>DSC Manual</t>
        </is>
      </c>
      <c r="C25" s="5" t="n">
        <v>46105</v>
      </c>
      <c r="D25" s="6">
        <f>Summary!D25</f>
        <v/>
      </c>
      <c r="E25" s="6">
        <f>Summary!E25</f>
        <v/>
      </c>
      <c r="F25" s="6">
        <f>Summary!F25</f>
        <v/>
      </c>
      <c r="G25" s="6">
        <f>Summary!G25</f>
        <v/>
      </c>
      <c r="H25" s="6">
        <f>Summary!H25</f>
        <v/>
      </c>
      <c r="I25" s="6">
        <f>Summary!I25</f>
        <v/>
      </c>
      <c r="J25" s="6">
        <f>Summary!J25</f>
        <v/>
      </c>
      <c r="K25" s="6">
        <f>Summary!K25</f>
        <v/>
      </c>
      <c r="L25" s="6">
        <f>Summary!L25</f>
        <v/>
      </c>
      <c r="M25" s="6">
        <f>Summary!M25</f>
        <v/>
      </c>
      <c r="N25" s="6">
        <f>Summary!N25</f>
        <v/>
      </c>
      <c r="O25" s="6">
        <f>Summary!O25</f>
        <v/>
      </c>
      <c r="P25" s="6">
        <f>Summary!P25</f>
        <v/>
      </c>
      <c r="Q25" s="6">
        <f>Summary!Q25</f>
        <v/>
      </c>
      <c r="R25" s="6">
        <f>Summary!R25</f>
        <v/>
      </c>
      <c r="S25" s="6">
        <f>Summary!S25</f>
        <v/>
      </c>
      <c r="T25" s="6">
        <f>Summary!T25</f>
        <v/>
      </c>
      <c r="U25" s="6">
        <f>Summary!U25</f>
        <v/>
      </c>
      <c r="V25" s="6">
        <f>Summary!V25</f>
        <v/>
      </c>
      <c r="W25" s="6">
        <f>Summary!W25</f>
        <v/>
      </c>
      <c r="X25" s="6">
        <f>Summary!X25</f>
        <v/>
      </c>
      <c r="Y25" s="6">
        <f>Summary!Y25</f>
        <v/>
      </c>
      <c r="Z25" s="6">
        <f>Summary!Z25</f>
        <v/>
      </c>
      <c r="AA25" s="6">
        <f>Summary!AA25</f>
        <v/>
      </c>
      <c r="AB25" s="6">
        <f>SUM(D25:AA25)</f>
        <v/>
      </c>
      <c r="AC25" s="3" t="inlineStr"/>
      <c r="AD25" s="7">
        <f>D25*0.00133545</f>
        <v/>
      </c>
      <c r="AE25" s="7">
        <f>E25*0.00133545</f>
        <v/>
      </c>
      <c r="AF25" s="7">
        <f>F25*0.00133545</f>
        <v/>
      </c>
      <c r="AG25" s="7">
        <f>G25*0.00133545</f>
        <v/>
      </c>
      <c r="AH25" s="7">
        <f>H25*0.00133545</f>
        <v/>
      </c>
      <c r="AI25" s="7">
        <f>I25*0.00133545</f>
        <v/>
      </c>
      <c r="AJ25" s="7">
        <f>J25*0.00133545</f>
        <v/>
      </c>
      <c r="AK25" s="7">
        <f>K25*0.00133545</f>
        <v/>
      </c>
      <c r="AL25" s="7">
        <f>L25*0.00133545</f>
        <v/>
      </c>
      <c r="AM25" s="7">
        <f>M25*0.00133545</f>
        <v/>
      </c>
      <c r="AN25" s="7">
        <f>N25*0.00133545</f>
        <v/>
      </c>
      <c r="AO25" s="7">
        <f>O25*0.00133545</f>
        <v/>
      </c>
      <c r="AP25" s="7">
        <f>P25*0.00133545</f>
        <v/>
      </c>
      <c r="AQ25" s="7">
        <f>Q25*0.00133545</f>
        <v/>
      </c>
      <c r="AR25" s="7">
        <f>R25*0.00133545</f>
        <v/>
      </c>
      <c r="AS25" s="7">
        <f>S25*0.00133545</f>
        <v/>
      </c>
      <c r="AT25" s="7">
        <f>T25*0.00133545</f>
        <v/>
      </c>
      <c r="AU25" s="7">
        <f>U25*0.00133545</f>
        <v/>
      </c>
      <c r="AV25" s="7">
        <f>V25*0.00133545</f>
        <v/>
      </c>
      <c r="AW25" s="7">
        <f>W25*0.00133545</f>
        <v/>
      </c>
      <c r="AX25" s="7">
        <f>X25*0.00133545</f>
        <v/>
      </c>
      <c r="AY25" s="7">
        <f>Y25*0.00133545</f>
        <v/>
      </c>
      <c r="AZ25" s="7">
        <f>Z25*0.00133545</f>
        <v/>
      </c>
      <c r="BA25" s="7">
        <f>AA25*0.00133545</f>
        <v/>
      </c>
      <c r="BB25" s="7">
        <f>SUM(AD25:BA25)</f>
        <v/>
      </c>
    </row>
    <row r="26">
      <c r="A26" t="inlineStr">
        <is>
          <t>AMD-FK-SSC</t>
        </is>
      </c>
      <c r="B26" t="inlineStr">
        <is>
          <t>Prime at Client side</t>
        </is>
      </c>
      <c r="C26" s="5" t="n">
        <v>46089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>
        <f>SUM(D26:AA26)</f>
        <v/>
      </c>
      <c r="AC26" s="3" t="inlineStr"/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7" t="n">
        <v>0</v>
      </c>
      <c r="BB26" s="7">
        <f>SUM(AD26:BA26)</f>
        <v/>
      </c>
    </row>
    <row r="27">
      <c r="A27" t="inlineStr">
        <is>
          <t>AMD-FK-SSC</t>
        </is>
      </c>
      <c r="B27" t="inlineStr">
        <is>
          <t>Prime at Client side</t>
        </is>
      </c>
      <c r="C27" s="5" t="n">
        <v>46090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>
        <f>SUM(D27:AA27)</f>
        <v/>
      </c>
      <c r="AC27" s="3" t="inlineStr"/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7" t="n">
        <v>0</v>
      </c>
      <c r="BB27" s="7">
        <f>SUM(AD27:BA27)</f>
        <v/>
      </c>
    </row>
    <row r="28">
      <c r="A28" t="inlineStr">
        <is>
          <t>AMD-FK-SSC</t>
        </is>
      </c>
      <c r="B28" t="inlineStr">
        <is>
          <t>Prime at Client side</t>
        </is>
      </c>
      <c r="C28" s="5" t="n">
        <v>46091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>
        <f>SUM(D28:AA28)</f>
        <v/>
      </c>
      <c r="AC28" s="3" t="inlineStr"/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7" t="n">
        <v>0</v>
      </c>
      <c r="BB28" s="7">
        <f>SUM(AD28:BA28)</f>
        <v/>
      </c>
    </row>
    <row r="29">
      <c r="A29" t="inlineStr">
        <is>
          <t>AMD-FK-SSC</t>
        </is>
      </c>
      <c r="B29" t="inlineStr">
        <is>
          <t>Prime at Client side</t>
        </is>
      </c>
      <c r="C29" s="5" t="n">
        <v>46092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>
        <f>SUM(D29:AA29)</f>
        <v/>
      </c>
      <c r="AC29" s="3" t="inlineStr"/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7" t="n">
        <v>0</v>
      </c>
      <c r="AQ29" s="7" t="n">
        <v>0</v>
      </c>
      <c r="AR29" s="7" t="n">
        <v>0</v>
      </c>
      <c r="AS29" s="7" t="n">
        <v>0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0</v>
      </c>
      <c r="BA29" s="7" t="n">
        <v>0</v>
      </c>
      <c r="BB29" s="7">
        <f>SUM(AD29:BA29)</f>
        <v/>
      </c>
    </row>
    <row r="30">
      <c r="A30" t="inlineStr">
        <is>
          <t>AMD-FK-SSC</t>
        </is>
      </c>
      <c r="B30" t="inlineStr">
        <is>
          <t>Prime at Client side</t>
        </is>
      </c>
      <c r="C30" s="5" t="n">
        <v>46093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>
        <f>SUM(D30:AA30)</f>
        <v/>
      </c>
      <c r="AC30" s="3" t="inlineStr"/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0</v>
      </c>
      <c r="AS30" s="7" t="n">
        <v>0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7" t="n">
        <v>0</v>
      </c>
      <c r="BB30" s="7">
        <f>SUM(AD30:BA30)</f>
        <v/>
      </c>
    </row>
    <row r="31">
      <c r="A31" t="inlineStr">
        <is>
          <t>AMD-FK-SSC</t>
        </is>
      </c>
      <c r="B31" t="inlineStr">
        <is>
          <t>Prime at Client side</t>
        </is>
      </c>
      <c r="C31" s="5" t="n">
        <v>46094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>
        <f>SUM(D31:AA31)</f>
        <v/>
      </c>
      <c r="AC31" s="3" t="inlineStr"/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0</v>
      </c>
      <c r="AT31" s="7" t="n">
        <v>0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0</v>
      </c>
      <c r="BA31" s="7" t="n">
        <v>0</v>
      </c>
      <c r="BB31" s="7">
        <f>SUM(AD31:BA31)</f>
        <v/>
      </c>
    </row>
    <row r="32">
      <c r="A32" t="inlineStr">
        <is>
          <t>AMD-FK-SSC</t>
        </is>
      </c>
      <c r="B32" t="inlineStr">
        <is>
          <t>Prime at Client side</t>
        </is>
      </c>
      <c r="C32" s="5" t="n">
        <v>46095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>
        <f>SUM(D32:AA32)</f>
        <v/>
      </c>
      <c r="AC32" s="3" t="inlineStr"/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7" t="n">
        <v>0</v>
      </c>
      <c r="BB32" s="7">
        <f>SUM(AD32:BA32)</f>
        <v/>
      </c>
    </row>
    <row r="33">
      <c r="A33" t="inlineStr">
        <is>
          <t>AMD-FK-SSC</t>
        </is>
      </c>
      <c r="B33" t="inlineStr">
        <is>
          <t>Prime at Client side</t>
        </is>
      </c>
      <c r="C33" s="5" t="n">
        <v>46096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6">
        <f>SUM(D33:AA33)</f>
        <v/>
      </c>
      <c r="AC33" s="3" t="inlineStr"/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0</v>
      </c>
      <c r="AS33" s="7" t="n">
        <v>0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7" t="n">
        <v>0</v>
      </c>
      <c r="BB33" s="7">
        <f>SUM(AD33:BA33)</f>
        <v/>
      </c>
    </row>
    <row r="34">
      <c r="A34" t="inlineStr">
        <is>
          <t>AMD-FK-SSC</t>
        </is>
      </c>
      <c r="B34" t="inlineStr">
        <is>
          <t>Prime at Client side</t>
        </is>
      </c>
      <c r="C34" s="5" t="n">
        <v>46097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>
        <f>SUM(D34:AA34)</f>
        <v/>
      </c>
      <c r="AC34" s="3" t="inlineStr"/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7" t="n">
        <v>0</v>
      </c>
      <c r="BB34" s="7">
        <f>SUM(AD34:BA34)</f>
        <v/>
      </c>
    </row>
    <row r="35">
      <c r="A35" t="inlineStr">
        <is>
          <t>AMD-FK-SSC</t>
        </is>
      </c>
      <c r="B35" t="inlineStr">
        <is>
          <t>Prime at Client side</t>
        </is>
      </c>
      <c r="C35" s="5" t="n">
        <v>46098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>
        <f>SUM(D35:AA35)</f>
        <v/>
      </c>
      <c r="AC35" s="3" t="inlineStr"/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7" t="n">
        <v>0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0</v>
      </c>
      <c r="BA35" s="7" t="n">
        <v>0</v>
      </c>
      <c r="BB35" s="7">
        <f>SUM(AD35:BA35)</f>
        <v/>
      </c>
    </row>
    <row r="36">
      <c r="A36" t="inlineStr">
        <is>
          <t>AMD-FK-SSC</t>
        </is>
      </c>
      <c r="B36" t="inlineStr">
        <is>
          <t>Prime at Client side</t>
        </is>
      </c>
      <c r="C36" s="5" t="n">
        <v>46099</v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>
        <f>SUM(D36:AA36)</f>
        <v/>
      </c>
      <c r="AC36" s="3" t="inlineStr"/>
      <c r="AD36" s="7" t="n">
        <v>0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0</v>
      </c>
      <c r="AT36" s="7" t="n">
        <v>0</v>
      </c>
      <c r="AU36" s="7" t="n">
        <v>0</v>
      </c>
      <c r="AV36" s="7" t="n">
        <v>0</v>
      </c>
      <c r="AW36" s="7" t="n">
        <v>0</v>
      </c>
      <c r="AX36" s="7" t="n">
        <v>0</v>
      </c>
      <c r="AY36" s="7" t="n">
        <v>0</v>
      </c>
      <c r="AZ36" s="7" t="n">
        <v>0</v>
      </c>
      <c r="BA36" s="7" t="n">
        <v>0</v>
      </c>
      <c r="BB36" s="7">
        <f>SUM(AD36:BA36)</f>
        <v/>
      </c>
    </row>
    <row r="37">
      <c r="A37" t="inlineStr">
        <is>
          <t>AMD-FK-SSC</t>
        </is>
      </c>
      <c r="B37" t="inlineStr">
        <is>
          <t>Prime at Client side</t>
        </is>
      </c>
      <c r="C37" s="5" t="n">
        <v>46100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>
        <f>SUM(D37:AA37)</f>
        <v/>
      </c>
      <c r="AC37" s="3" t="inlineStr"/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0</v>
      </c>
      <c r="AP37" s="7" t="n">
        <v>0</v>
      </c>
      <c r="AQ37" s="7" t="n">
        <v>0</v>
      </c>
      <c r="AR37" s="7" t="n">
        <v>0</v>
      </c>
      <c r="AS37" s="7" t="n">
        <v>0</v>
      </c>
      <c r="AT37" s="7" t="n">
        <v>0</v>
      </c>
      <c r="AU37" s="7" t="n">
        <v>0</v>
      </c>
      <c r="AV37" s="7" t="n">
        <v>0</v>
      </c>
      <c r="AW37" s="7" t="n">
        <v>0</v>
      </c>
      <c r="AX37" s="7" t="n">
        <v>0</v>
      </c>
      <c r="AY37" s="7" t="n">
        <v>0</v>
      </c>
      <c r="AZ37" s="7" t="n">
        <v>0</v>
      </c>
      <c r="BA37" s="7" t="n">
        <v>0</v>
      </c>
      <c r="BB37" s="7">
        <f>SUM(AD37:BA37)</f>
        <v/>
      </c>
    </row>
    <row r="38">
      <c r="A38" t="inlineStr">
        <is>
          <t>AMD-FK-SSC</t>
        </is>
      </c>
      <c r="B38" t="inlineStr">
        <is>
          <t>Prime at Client side</t>
        </is>
      </c>
      <c r="C38" s="5" t="n">
        <v>46101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0</v>
      </c>
      <c r="Q38" s="6" t="n">
        <v>0</v>
      </c>
      <c r="R38" s="6" t="n">
        <v>0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>
        <f>SUM(D38:AA38)</f>
        <v/>
      </c>
      <c r="AC38" s="3" t="inlineStr"/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0</v>
      </c>
      <c r="AP38" s="7" t="n">
        <v>0</v>
      </c>
      <c r="AQ38" s="7" t="n">
        <v>0</v>
      </c>
      <c r="AR38" s="7" t="n">
        <v>0</v>
      </c>
      <c r="AS38" s="7" t="n">
        <v>0</v>
      </c>
      <c r="AT38" s="7" t="n">
        <v>0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0</v>
      </c>
      <c r="BA38" s="7" t="n">
        <v>0</v>
      </c>
      <c r="BB38" s="7">
        <f>SUM(AD38:BA38)</f>
        <v/>
      </c>
    </row>
    <row r="39">
      <c r="A39" t="inlineStr">
        <is>
          <t>AMD-FK-SSC</t>
        </is>
      </c>
      <c r="B39" t="inlineStr">
        <is>
          <t>Prime at Client side</t>
        </is>
      </c>
      <c r="C39" s="5" t="n">
        <v>46102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>
        <f>SUM(D39:AA39)</f>
        <v/>
      </c>
      <c r="AC39" s="3" t="inlineStr"/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0</v>
      </c>
      <c r="AP39" s="7" t="n">
        <v>0</v>
      </c>
      <c r="AQ39" s="7" t="n">
        <v>0</v>
      </c>
      <c r="AR39" s="7" t="n">
        <v>0</v>
      </c>
      <c r="AS39" s="7" t="n">
        <v>0</v>
      </c>
      <c r="AT39" s="7" t="n">
        <v>0</v>
      </c>
      <c r="AU39" s="7" t="n">
        <v>0</v>
      </c>
      <c r="AV39" s="7" t="n">
        <v>0</v>
      </c>
      <c r="AW39" s="7" t="n">
        <v>0</v>
      </c>
      <c r="AX39" s="7" t="n">
        <v>0</v>
      </c>
      <c r="AY39" s="7" t="n">
        <v>0</v>
      </c>
      <c r="AZ39" s="7" t="n">
        <v>0</v>
      </c>
      <c r="BA39" s="7" t="n">
        <v>0</v>
      </c>
      <c r="BB39" s="7">
        <f>SUM(AD39:BA39)</f>
        <v/>
      </c>
    </row>
    <row r="40">
      <c r="A40" t="inlineStr">
        <is>
          <t>AMD-FK-SSC</t>
        </is>
      </c>
      <c r="B40" t="inlineStr">
        <is>
          <t>Prime at Client side</t>
        </is>
      </c>
      <c r="C40" s="5" t="n">
        <v>46103</v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0</v>
      </c>
      <c r="M40" s="6" t="n">
        <v>0</v>
      </c>
      <c r="N40" s="6" t="n">
        <v>0</v>
      </c>
      <c r="O40" s="6" t="n">
        <v>0</v>
      </c>
      <c r="P40" s="6" t="n">
        <v>0</v>
      </c>
      <c r="Q40" s="6" t="n">
        <v>0</v>
      </c>
      <c r="R40" s="6" t="n">
        <v>0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>
        <f>SUM(D40:AA40)</f>
        <v/>
      </c>
      <c r="AC40" s="3" t="inlineStr"/>
      <c r="AD40" s="7" t="n">
        <v>0</v>
      </c>
      <c r="AE40" s="7" t="n">
        <v>0</v>
      </c>
      <c r="AF40" s="7" t="n">
        <v>0</v>
      </c>
      <c r="AG40" s="7" t="n">
        <v>0</v>
      </c>
      <c r="AH40" s="7" t="n">
        <v>0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0</v>
      </c>
      <c r="AS40" s="7" t="n">
        <v>0</v>
      </c>
      <c r="AT40" s="7" t="n">
        <v>0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0</v>
      </c>
      <c r="BA40" s="7" t="n">
        <v>0</v>
      </c>
      <c r="BB40" s="7">
        <f>SUM(AD40:BA40)</f>
        <v/>
      </c>
    </row>
    <row r="41">
      <c r="A41" t="inlineStr">
        <is>
          <t>AMD-FK-SSC</t>
        </is>
      </c>
      <c r="B41" t="inlineStr">
        <is>
          <t>Prime at Client side</t>
        </is>
      </c>
      <c r="C41" s="5" t="n">
        <v>46104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>
        <f>SUM(D41:AA41)</f>
        <v/>
      </c>
      <c r="AC41" s="3" t="inlineStr"/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</v>
      </c>
      <c r="AP41" s="7" t="n">
        <v>0</v>
      </c>
      <c r="AQ41" s="7" t="n">
        <v>0</v>
      </c>
      <c r="AR41" s="7" t="n">
        <v>0</v>
      </c>
      <c r="AS41" s="7" t="n">
        <v>0</v>
      </c>
      <c r="AT41" s="7" t="n">
        <v>0</v>
      </c>
      <c r="AU41" s="7" t="n">
        <v>0</v>
      </c>
      <c r="AV41" s="7" t="n">
        <v>0</v>
      </c>
      <c r="AW41" s="7" t="n">
        <v>0</v>
      </c>
      <c r="AX41" s="7" t="n">
        <v>0</v>
      </c>
      <c r="AY41" s="7" t="n">
        <v>0</v>
      </c>
      <c r="AZ41" s="7" t="n">
        <v>0</v>
      </c>
      <c r="BA41" s="7" t="n">
        <v>0</v>
      </c>
      <c r="BB41" s="7">
        <f>SUM(AD41:BA41)</f>
        <v/>
      </c>
    </row>
    <row r="42">
      <c r="A42" t="inlineStr">
        <is>
          <t>AMD-FK-SSC</t>
        </is>
      </c>
      <c r="B42" t="inlineStr">
        <is>
          <t>Prime at Client side</t>
        </is>
      </c>
      <c r="C42" s="5" t="n">
        <v>46105</v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6" t="n">
        <v>0</v>
      </c>
      <c r="N42" s="6" t="n">
        <v>0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>
        <f>SUM(D42:AA42)</f>
        <v/>
      </c>
      <c r="AC42" s="3" t="inlineStr"/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n">
        <v>0</v>
      </c>
      <c r="AW42" s="7" t="n">
        <v>0</v>
      </c>
      <c r="AX42" s="7" t="n">
        <v>0</v>
      </c>
      <c r="AY42" s="7" t="n">
        <v>0</v>
      </c>
      <c r="AZ42" s="7" t="n">
        <v>0</v>
      </c>
      <c r="BA42" s="7" t="n">
        <v>0</v>
      </c>
      <c r="BB42" s="7">
        <f>SUM(AD42:BA42)</f>
        <v/>
      </c>
    </row>
    <row r="43">
      <c r="A43" t="inlineStr">
        <is>
          <t>AMD-FWDPRI-SSC</t>
        </is>
      </c>
      <c r="B43" t="inlineStr">
        <is>
          <t>FWD Priority OSC</t>
        </is>
      </c>
      <c r="C43" s="5" t="n">
        <v>46098</v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0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0</v>
      </c>
      <c r="AA43" s="6" t="n">
        <v>0</v>
      </c>
      <c r="AB43" s="6">
        <f>SUM(D43:AA43)</f>
        <v/>
      </c>
      <c r="AC43" s="3" t="inlineStr"/>
      <c r="AD43" s="7" t="n">
        <v>0</v>
      </c>
      <c r="AE43" s="7" t="n">
        <v>0</v>
      </c>
      <c r="AF43" s="7" t="n">
        <v>0</v>
      </c>
      <c r="AG43" s="7" t="n">
        <v>0</v>
      </c>
      <c r="AH43" s="7" t="n">
        <v>0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0</v>
      </c>
      <c r="AP43" s="7" t="n">
        <v>0</v>
      </c>
      <c r="AQ43" s="7" t="n">
        <v>0</v>
      </c>
      <c r="AR43" s="7" t="n">
        <v>0</v>
      </c>
      <c r="AS43" s="7" t="n">
        <v>0</v>
      </c>
      <c r="AT43" s="7" t="n">
        <v>0</v>
      </c>
      <c r="AU43" s="7" t="n">
        <v>0</v>
      </c>
      <c r="AV43" s="7" t="n">
        <v>0</v>
      </c>
      <c r="AW43" s="7" t="n">
        <v>0</v>
      </c>
      <c r="AX43" s="7" t="n">
        <v>0</v>
      </c>
      <c r="AY43" s="7" t="n">
        <v>0</v>
      </c>
      <c r="AZ43" s="7" t="n">
        <v>0</v>
      </c>
      <c r="BA43" s="7" t="n">
        <v>0</v>
      </c>
      <c r="BB43" s="7">
        <f>SUM(AD43:BA43)</f>
        <v/>
      </c>
    </row>
    <row r="44">
      <c r="A44" t="inlineStr">
        <is>
          <t>AMD-FWDPRI-SSC</t>
        </is>
      </c>
      <c r="B44" t="inlineStr">
        <is>
          <t>FWD Priority OSC</t>
        </is>
      </c>
      <c r="C44" s="5" t="n">
        <v>46099</v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0</v>
      </c>
      <c r="M44" s="6" t="n">
        <v>0</v>
      </c>
      <c r="N44" s="6" t="n">
        <v>0</v>
      </c>
      <c r="O44" s="6" t="n">
        <v>0</v>
      </c>
      <c r="P44" s="6" t="n">
        <v>0</v>
      </c>
      <c r="Q44" s="6" t="n">
        <v>0</v>
      </c>
      <c r="R44" s="6" t="n">
        <v>0</v>
      </c>
      <c r="S44" s="6" t="n">
        <v>0</v>
      </c>
      <c r="T44" s="6" t="n">
        <v>0</v>
      </c>
      <c r="U44" s="6" t="n">
        <v>0</v>
      </c>
      <c r="V44" s="6" t="n">
        <v>0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0</v>
      </c>
      <c r="AB44" s="6">
        <f>SUM(D44:AA44)</f>
        <v/>
      </c>
      <c r="AC44" s="3" t="inlineStr"/>
      <c r="AD44" s="7" t="n">
        <v>0</v>
      </c>
      <c r="AE44" s="7" t="n">
        <v>0</v>
      </c>
      <c r="AF44" s="7" t="n">
        <v>0</v>
      </c>
      <c r="AG44" s="7" t="n">
        <v>0</v>
      </c>
      <c r="AH44" s="7" t="n">
        <v>0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0</v>
      </c>
      <c r="AP44" s="7" t="n">
        <v>0</v>
      </c>
      <c r="AQ44" s="7" t="n">
        <v>0</v>
      </c>
      <c r="AR44" s="7" t="n">
        <v>0</v>
      </c>
      <c r="AS44" s="7" t="n">
        <v>0</v>
      </c>
      <c r="AT44" s="7" t="n">
        <v>0</v>
      </c>
      <c r="AU44" s="7" t="n">
        <v>0</v>
      </c>
      <c r="AV44" s="7" t="n">
        <v>0</v>
      </c>
      <c r="AW44" s="7" t="n">
        <v>0</v>
      </c>
      <c r="AX44" s="7" t="n">
        <v>0</v>
      </c>
      <c r="AY44" s="7" t="n">
        <v>0</v>
      </c>
      <c r="AZ44" s="7" t="n">
        <v>0</v>
      </c>
      <c r="BA44" s="7" t="n">
        <v>0</v>
      </c>
      <c r="BB44" s="7">
        <f>SUM(AD44:BA44)</f>
        <v/>
      </c>
    </row>
    <row r="45">
      <c r="A45" t="inlineStr">
        <is>
          <t>AMD-FWDPRI-SSC</t>
        </is>
      </c>
      <c r="B45" t="inlineStr">
        <is>
          <t>FWD Priority OSC</t>
        </is>
      </c>
      <c r="C45" s="5" t="n">
        <v>46100</v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0</v>
      </c>
      <c r="S45" s="6" t="n">
        <v>0</v>
      </c>
      <c r="T45" s="6" t="n">
        <v>0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  <c r="AB45" s="6">
        <f>SUM(D45:AA45)</f>
        <v/>
      </c>
      <c r="AC45" s="3" t="inlineStr"/>
      <c r="AD45" s="7" t="n">
        <v>0</v>
      </c>
      <c r="AE45" s="7" t="n">
        <v>0</v>
      </c>
      <c r="AF45" s="7" t="n">
        <v>0</v>
      </c>
      <c r="AG45" s="7" t="n">
        <v>0</v>
      </c>
      <c r="AH45" s="7" t="n">
        <v>0</v>
      </c>
      <c r="AI45" s="7" t="n">
        <v>0</v>
      </c>
      <c r="AJ45" s="7" t="n">
        <v>0</v>
      </c>
      <c r="AK45" s="7" t="n">
        <v>0</v>
      </c>
      <c r="AL45" s="7" t="n">
        <v>0</v>
      </c>
      <c r="AM45" s="7" t="n">
        <v>0</v>
      </c>
      <c r="AN45" s="7" t="n">
        <v>0</v>
      </c>
      <c r="AO45" s="7" t="n">
        <v>0</v>
      </c>
      <c r="AP45" s="7" t="n">
        <v>0</v>
      </c>
      <c r="AQ45" s="7" t="n">
        <v>0</v>
      </c>
      <c r="AR45" s="7" t="n">
        <v>0</v>
      </c>
      <c r="AS45" s="7" t="n">
        <v>0</v>
      </c>
      <c r="AT45" s="7" t="n">
        <v>0</v>
      </c>
      <c r="AU45" s="7" t="n">
        <v>0</v>
      </c>
      <c r="AV45" s="7" t="n">
        <v>0</v>
      </c>
      <c r="AW45" s="7" t="n">
        <v>0</v>
      </c>
      <c r="AX45" s="7" t="n">
        <v>0</v>
      </c>
      <c r="AY45" s="7" t="n">
        <v>0</v>
      </c>
      <c r="AZ45" s="7" t="n">
        <v>0</v>
      </c>
      <c r="BA45" s="7" t="n">
        <v>0</v>
      </c>
      <c r="BB45" s="7">
        <f>SUM(AD45:BA45)</f>
        <v/>
      </c>
    </row>
    <row r="46">
      <c r="A46" t="inlineStr">
        <is>
          <t>AMD-FWDPRI-SSC</t>
        </is>
      </c>
      <c r="B46" t="inlineStr">
        <is>
          <t>FWD Priority OSC</t>
        </is>
      </c>
      <c r="C46" s="5" t="n">
        <v>46101</v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0</v>
      </c>
      <c r="M46" s="6" t="n">
        <v>0</v>
      </c>
      <c r="N46" s="6" t="n">
        <v>0</v>
      </c>
      <c r="O46" s="6" t="n">
        <v>0</v>
      </c>
      <c r="P46" s="6" t="n">
        <v>0</v>
      </c>
      <c r="Q46" s="6" t="n">
        <v>0</v>
      </c>
      <c r="R46" s="6" t="n">
        <v>0</v>
      </c>
      <c r="S46" s="6" t="n">
        <v>0</v>
      </c>
      <c r="T46" s="6" t="n">
        <v>0</v>
      </c>
      <c r="U46" s="6" t="n">
        <v>0</v>
      </c>
      <c r="V46" s="6" t="n">
        <v>0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0</v>
      </c>
      <c r="AB46" s="6">
        <f>SUM(D46:AA46)</f>
        <v/>
      </c>
      <c r="AC46" s="3" t="inlineStr"/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  <c r="AS46" s="7" t="n">
        <v>0</v>
      </c>
      <c r="AT46" s="7" t="n">
        <v>0</v>
      </c>
      <c r="AU46" s="7" t="n">
        <v>0</v>
      </c>
      <c r="AV46" s="7" t="n">
        <v>0</v>
      </c>
      <c r="AW46" s="7" t="n">
        <v>0</v>
      </c>
      <c r="AX46" s="7" t="n">
        <v>0</v>
      </c>
      <c r="AY46" s="7" t="n">
        <v>0</v>
      </c>
      <c r="AZ46" s="7" t="n">
        <v>0</v>
      </c>
      <c r="BA46" s="7" t="n">
        <v>0</v>
      </c>
      <c r="BB46" s="7">
        <f>SUM(AD46:BA46)</f>
        <v/>
      </c>
    </row>
    <row r="47">
      <c r="A47" t="inlineStr">
        <is>
          <t>AMD-FWDPRI-SSC</t>
        </is>
      </c>
      <c r="B47" t="inlineStr">
        <is>
          <t>FWD Priority OSC</t>
        </is>
      </c>
      <c r="C47" s="5" t="n">
        <v>46102</v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6">
        <f>SUM(D47:AA47)</f>
        <v/>
      </c>
      <c r="AC47" s="3" t="inlineStr"/>
      <c r="AD47" s="7" t="n">
        <v>0</v>
      </c>
      <c r="AE47" s="7" t="n">
        <v>0</v>
      </c>
      <c r="AF47" s="7" t="n">
        <v>0</v>
      </c>
      <c r="AG47" s="7" t="n">
        <v>0</v>
      </c>
      <c r="AH47" s="7" t="n">
        <v>0</v>
      </c>
      <c r="AI47" s="7" t="n">
        <v>0</v>
      </c>
      <c r="AJ47" s="7" t="n">
        <v>0</v>
      </c>
      <c r="AK47" s="7" t="n">
        <v>0</v>
      </c>
      <c r="AL47" s="7" t="n">
        <v>0</v>
      </c>
      <c r="AM47" s="7" t="n">
        <v>0</v>
      </c>
      <c r="AN47" s="7" t="n">
        <v>0</v>
      </c>
      <c r="AO47" s="7" t="n">
        <v>0</v>
      </c>
      <c r="AP47" s="7" t="n">
        <v>0</v>
      </c>
      <c r="AQ47" s="7" t="n">
        <v>0</v>
      </c>
      <c r="AR47" s="7" t="n">
        <v>0</v>
      </c>
      <c r="AS47" s="7" t="n">
        <v>0</v>
      </c>
      <c r="AT47" s="7" t="n">
        <v>0</v>
      </c>
      <c r="AU47" s="7" t="n">
        <v>0</v>
      </c>
      <c r="AV47" s="7" t="n">
        <v>0</v>
      </c>
      <c r="AW47" s="7" t="n">
        <v>0</v>
      </c>
      <c r="AX47" s="7" t="n">
        <v>0</v>
      </c>
      <c r="AY47" s="7" t="n">
        <v>0</v>
      </c>
      <c r="AZ47" s="7" t="n">
        <v>0</v>
      </c>
      <c r="BA47" s="7" t="n">
        <v>0</v>
      </c>
      <c r="BB47" s="7">
        <f>SUM(AD47:BA47)</f>
        <v/>
      </c>
    </row>
    <row r="48">
      <c r="A48" t="inlineStr">
        <is>
          <t>AMD-FWDPRI-SSC</t>
        </is>
      </c>
      <c r="B48" t="inlineStr">
        <is>
          <t>FWD Priority OSC</t>
        </is>
      </c>
      <c r="C48" s="5" t="n">
        <v>46103</v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6" t="n">
        <v>0</v>
      </c>
      <c r="AB48" s="6">
        <f>SUM(D48:AA48)</f>
        <v/>
      </c>
      <c r="AC48" s="3" t="inlineStr"/>
      <c r="AD48" s="7" t="n">
        <v>0</v>
      </c>
      <c r="AE48" s="7" t="n">
        <v>0</v>
      </c>
      <c r="AF48" s="7" t="n">
        <v>0</v>
      </c>
      <c r="AG48" s="7" t="n">
        <v>0</v>
      </c>
      <c r="AH48" s="7" t="n">
        <v>0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0</v>
      </c>
      <c r="AP48" s="7" t="n">
        <v>0</v>
      </c>
      <c r="AQ48" s="7" t="n">
        <v>0</v>
      </c>
      <c r="AR48" s="7" t="n">
        <v>0</v>
      </c>
      <c r="AS48" s="7" t="n">
        <v>0</v>
      </c>
      <c r="AT48" s="7" t="n">
        <v>0</v>
      </c>
      <c r="AU48" s="7" t="n">
        <v>0</v>
      </c>
      <c r="AV48" s="7" t="n">
        <v>0</v>
      </c>
      <c r="AW48" s="7" t="n">
        <v>0</v>
      </c>
      <c r="AX48" s="7" t="n">
        <v>0</v>
      </c>
      <c r="AY48" s="7" t="n">
        <v>0</v>
      </c>
      <c r="AZ48" s="7" t="n">
        <v>0</v>
      </c>
      <c r="BA48" s="7" t="n">
        <v>0</v>
      </c>
      <c r="BB48" s="7">
        <f>SUM(AD48:BA48)</f>
        <v/>
      </c>
    </row>
    <row r="49">
      <c r="A49" t="inlineStr">
        <is>
          <t>AMD-FWDPRI-SSC</t>
        </is>
      </c>
      <c r="B49" t="inlineStr">
        <is>
          <t>FWD Priority OSC</t>
        </is>
      </c>
      <c r="C49" s="5" t="n">
        <v>46104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0</v>
      </c>
      <c r="AB49" s="6">
        <f>SUM(D49:AA49)</f>
        <v/>
      </c>
      <c r="AC49" s="3" t="inlineStr"/>
      <c r="AD49" s="7" t="n">
        <v>0</v>
      </c>
      <c r="AE49" s="7" t="n">
        <v>0</v>
      </c>
      <c r="AF49" s="7" t="n">
        <v>0</v>
      </c>
      <c r="AG49" s="7" t="n">
        <v>0</v>
      </c>
      <c r="AH49" s="7" t="n">
        <v>0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0</v>
      </c>
      <c r="AN49" s="7" t="n">
        <v>0</v>
      </c>
      <c r="AO49" s="7" t="n">
        <v>0</v>
      </c>
      <c r="AP49" s="7" t="n">
        <v>0</v>
      </c>
      <c r="AQ49" s="7" t="n">
        <v>0</v>
      </c>
      <c r="AR49" s="7" t="n">
        <v>0</v>
      </c>
      <c r="AS49" s="7" t="n">
        <v>0</v>
      </c>
      <c r="AT49" s="7" t="n">
        <v>0</v>
      </c>
      <c r="AU49" s="7" t="n">
        <v>0</v>
      </c>
      <c r="AV49" s="7" t="n">
        <v>0</v>
      </c>
      <c r="AW49" s="7" t="n">
        <v>0</v>
      </c>
      <c r="AX49" s="7" t="n">
        <v>0</v>
      </c>
      <c r="AY49" s="7" t="n">
        <v>0</v>
      </c>
      <c r="AZ49" s="7" t="n">
        <v>0</v>
      </c>
      <c r="BA49" s="7" t="n">
        <v>0</v>
      </c>
      <c r="BB49" s="7">
        <f>SUM(AD49:BA49)</f>
        <v/>
      </c>
    </row>
    <row r="50">
      <c r="A50" t="inlineStr">
        <is>
          <t>AMD-FWDPRI-SSC</t>
        </is>
      </c>
      <c r="B50" t="inlineStr">
        <is>
          <t>FWD Priority OSC</t>
        </is>
      </c>
      <c r="C50" s="5" t="n">
        <v>46105</v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0</v>
      </c>
      <c r="M50" s="6" t="n">
        <v>0</v>
      </c>
      <c r="N50" s="6" t="n">
        <v>0</v>
      </c>
      <c r="O50" s="6" t="n">
        <v>0</v>
      </c>
      <c r="P50" s="6" t="n">
        <v>0</v>
      </c>
      <c r="Q50" s="6" t="n">
        <v>0</v>
      </c>
      <c r="R50" s="6" t="n">
        <v>0</v>
      </c>
      <c r="S50" s="6" t="n">
        <v>0</v>
      </c>
      <c r="T50" s="6" t="n">
        <v>0</v>
      </c>
      <c r="U50" s="6" t="n">
        <v>0</v>
      </c>
      <c r="V50" s="6" t="n">
        <v>0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0</v>
      </c>
      <c r="AB50" s="6">
        <f>SUM(D50:AA50)</f>
        <v/>
      </c>
      <c r="AC50" s="3" t="inlineStr"/>
      <c r="AD50" s="7" t="n">
        <v>0</v>
      </c>
      <c r="AE50" s="7" t="n">
        <v>0</v>
      </c>
      <c r="AF50" s="7" t="n">
        <v>0</v>
      </c>
      <c r="AG50" s="7" t="n">
        <v>0</v>
      </c>
      <c r="AH50" s="7" t="n">
        <v>0</v>
      </c>
      <c r="AI50" s="7" t="n">
        <v>0</v>
      </c>
      <c r="AJ50" s="7" t="n">
        <v>0</v>
      </c>
      <c r="AK50" s="7" t="n">
        <v>0</v>
      </c>
      <c r="AL50" s="7" t="n">
        <v>0</v>
      </c>
      <c r="AM50" s="7" t="n">
        <v>0</v>
      </c>
      <c r="AN50" s="7" t="n">
        <v>0</v>
      </c>
      <c r="AO50" s="7" t="n">
        <v>0</v>
      </c>
      <c r="AP50" s="7" t="n">
        <v>0</v>
      </c>
      <c r="AQ50" s="7" t="n">
        <v>0</v>
      </c>
      <c r="AR50" s="7" t="n">
        <v>0</v>
      </c>
      <c r="AS50" s="7" t="n">
        <v>0</v>
      </c>
      <c r="AT50" s="7" t="n">
        <v>0</v>
      </c>
      <c r="AU50" s="7" t="n">
        <v>0</v>
      </c>
      <c r="AV50" s="7" t="n">
        <v>0</v>
      </c>
      <c r="AW50" s="7" t="n">
        <v>0</v>
      </c>
      <c r="AX50" s="7" t="n">
        <v>0</v>
      </c>
      <c r="AY50" s="7" t="n">
        <v>0</v>
      </c>
      <c r="AZ50" s="7" t="n">
        <v>0</v>
      </c>
      <c r="BA50" s="7" t="n">
        <v>0</v>
      </c>
      <c r="BB50" s="7">
        <f>SUM(AD50:BA50)</f>
        <v/>
      </c>
    </row>
    <row r="51">
      <c r="A51" t="inlineStr">
        <is>
          <t>AMD-FWDREG-SSC</t>
        </is>
      </c>
      <c r="B51" t="inlineStr">
        <is>
          <t>Forward Regular OSC</t>
        </is>
      </c>
      <c r="C51" s="5" t="n">
        <v>46098</v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0</v>
      </c>
      <c r="O51" s="6" t="n">
        <v>0</v>
      </c>
      <c r="P51" s="6" t="n">
        <v>0</v>
      </c>
      <c r="Q51" s="6" t="n">
        <v>0</v>
      </c>
      <c r="R51" s="6" t="n">
        <v>0</v>
      </c>
      <c r="S51" s="6" t="n">
        <v>0</v>
      </c>
      <c r="T51" s="6" t="n">
        <v>0</v>
      </c>
      <c r="U51" s="6" t="n">
        <v>0</v>
      </c>
      <c r="V51" s="6" t="n">
        <v>0</v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6">
        <f>SUM(D51:AA51)</f>
        <v/>
      </c>
      <c r="AC51" s="3" t="inlineStr"/>
      <c r="AD51" s="7" t="n">
        <v>0</v>
      </c>
      <c r="AE51" s="7" t="n">
        <v>0</v>
      </c>
      <c r="AF51" s="7" t="n">
        <v>0</v>
      </c>
      <c r="AG51" s="7" t="n">
        <v>0</v>
      </c>
      <c r="AH51" s="7" t="n">
        <v>0</v>
      </c>
      <c r="AI51" s="7" t="n">
        <v>0</v>
      </c>
      <c r="AJ51" s="7" t="n">
        <v>0</v>
      </c>
      <c r="AK51" s="7" t="n">
        <v>0</v>
      </c>
      <c r="AL51" s="7" t="n">
        <v>0</v>
      </c>
      <c r="AM51" s="7" t="n">
        <v>0</v>
      </c>
      <c r="AN51" s="7" t="n">
        <v>0</v>
      </c>
      <c r="AO51" s="7" t="n">
        <v>0</v>
      </c>
      <c r="AP51" s="7" t="n">
        <v>0</v>
      </c>
      <c r="AQ51" s="7" t="n">
        <v>0</v>
      </c>
      <c r="AR51" s="7" t="n">
        <v>0</v>
      </c>
      <c r="AS51" s="7" t="n">
        <v>0</v>
      </c>
      <c r="AT51" s="7" t="n">
        <v>0</v>
      </c>
      <c r="AU51" s="7" t="n">
        <v>0</v>
      </c>
      <c r="AV51" s="7" t="n">
        <v>0</v>
      </c>
      <c r="AW51" s="7" t="n">
        <v>0</v>
      </c>
      <c r="AX51" s="7" t="n">
        <v>0</v>
      </c>
      <c r="AY51" s="7" t="n">
        <v>0</v>
      </c>
      <c r="AZ51" s="7" t="n">
        <v>0</v>
      </c>
      <c r="BA51" s="7" t="n">
        <v>0</v>
      </c>
      <c r="BB51" s="7">
        <f>SUM(AD51:BA51)</f>
        <v/>
      </c>
    </row>
    <row r="52">
      <c r="A52" t="inlineStr">
        <is>
          <t>AMD-FWDREG-SSC</t>
        </is>
      </c>
      <c r="B52" t="inlineStr">
        <is>
          <t>Forward Regular OSC</t>
        </is>
      </c>
      <c r="C52" s="5" t="n">
        <v>46099</v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</v>
      </c>
      <c r="L52" s="6" t="n">
        <v>0</v>
      </c>
      <c r="M52" s="6" t="n">
        <v>0</v>
      </c>
      <c r="N52" s="6" t="n">
        <v>0</v>
      </c>
      <c r="O52" s="6" t="n">
        <v>0</v>
      </c>
      <c r="P52" s="6" t="n">
        <v>0</v>
      </c>
      <c r="Q52" s="6" t="n">
        <v>0</v>
      </c>
      <c r="R52" s="6" t="n">
        <v>0</v>
      </c>
      <c r="S52" s="6" t="n">
        <v>0</v>
      </c>
      <c r="T52" s="6" t="n">
        <v>0</v>
      </c>
      <c r="U52" s="6" t="n">
        <v>0</v>
      </c>
      <c r="V52" s="6" t="n">
        <v>0</v>
      </c>
      <c r="W52" s="6" t="n">
        <v>0</v>
      </c>
      <c r="X52" s="6" t="n">
        <v>0</v>
      </c>
      <c r="Y52" s="6" t="n">
        <v>0</v>
      </c>
      <c r="Z52" s="6" t="n">
        <v>0</v>
      </c>
      <c r="AA52" s="6" t="n">
        <v>0</v>
      </c>
      <c r="AB52" s="6">
        <f>SUM(D52:AA52)</f>
        <v/>
      </c>
      <c r="AC52" s="3" t="inlineStr"/>
      <c r="AD52" s="7" t="n">
        <v>0</v>
      </c>
      <c r="AE52" s="7" t="n">
        <v>0</v>
      </c>
      <c r="AF52" s="7" t="n">
        <v>0</v>
      </c>
      <c r="AG52" s="7" t="n">
        <v>0</v>
      </c>
      <c r="AH52" s="7" t="n">
        <v>0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0</v>
      </c>
      <c r="AP52" s="7" t="n">
        <v>0</v>
      </c>
      <c r="AQ52" s="7" t="n">
        <v>0</v>
      </c>
      <c r="AR52" s="7" t="n">
        <v>0</v>
      </c>
      <c r="AS52" s="7" t="n">
        <v>0</v>
      </c>
      <c r="AT52" s="7" t="n">
        <v>0</v>
      </c>
      <c r="AU52" s="7" t="n">
        <v>0</v>
      </c>
      <c r="AV52" s="7" t="n">
        <v>0</v>
      </c>
      <c r="AW52" s="7" t="n">
        <v>0</v>
      </c>
      <c r="AX52" s="7" t="n">
        <v>0</v>
      </c>
      <c r="AY52" s="7" t="n">
        <v>0</v>
      </c>
      <c r="AZ52" s="7" t="n">
        <v>0</v>
      </c>
      <c r="BA52" s="7" t="n">
        <v>0</v>
      </c>
      <c r="BB52" s="7">
        <f>SUM(AD52:BA52)</f>
        <v/>
      </c>
    </row>
    <row r="53">
      <c r="A53" t="inlineStr">
        <is>
          <t>AMD-FWDREG-SSC</t>
        </is>
      </c>
      <c r="B53" t="inlineStr">
        <is>
          <t>Forward Regular OSC</t>
        </is>
      </c>
      <c r="C53" s="5" t="n">
        <v>46100</v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0</v>
      </c>
      <c r="O53" s="6" t="n">
        <v>0</v>
      </c>
      <c r="P53" s="6" t="n">
        <v>0</v>
      </c>
      <c r="Q53" s="6" t="n">
        <v>0</v>
      </c>
      <c r="R53" s="6" t="n">
        <v>0</v>
      </c>
      <c r="S53" s="6" t="n">
        <v>0</v>
      </c>
      <c r="T53" s="6" t="n">
        <v>0</v>
      </c>
      <c r="U53" s="6" t="n">
        <v>0</v>
      </c>
      <c r="V53" s="6" t="n">
        <v>0</v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6">
        <f>SUM(D53:AA53)</f>
        <v/>
      </c>
      <c r="AC53" s="3" t="inlineStr"/>
      <c r="AD53" s="7" t="n">
        <v>0</v>
      </c>
      <c r="AE53" s="7" t="n">
        <v>0</v>
      </c>
      <c r="AF53" s="7" t="n">
        <v>0</v>
      </c>
      <c r="AG53" s="7" t="n">
        <v>0</v>
      </c>
      <c r="AH53" s="7" t="n">
        <v>0</v>
      </c>
      <c r="AI53" s="7" t="n">
        <v>0</v>
      </c>
      <c r="AJ53" s="7" t="n">
        <v>0</v>
      </c>
      <c r="AK53" s="7" t="n">
        <v>0</v>
      </c>
      <c r="AL53" s="7" t="n">
        <v>0</v>
      </c>
      <c r="AM53" s="7" t="n">
        <v>0</v>
      </c>
      <c r="AN53" s="7" t="n">
        <v>0</v>
      </c>
      <c r="AO53" s="7" t="n">
        <v>0</v>
      </c>
      <c r="AP53" s="7" t="n">
        <v>0</v>
      </c>
      <c r="AQ53" s="7" t="n">
        <v>0</v>
      </c>
      <c r="AR53" s="7" t="n">
        <v>0</v>
      </c>
      <c r="AS53" s="7" t="n">
        <v>0</v>
      </c>
      <c r="AT53" s="7" t="n">
        <v>0</v>
      </c>
      <c r="AU53" s="7" t="n">
        <v>0</v>
      </c>
      <c r="AV53" s="7" t="n">
        <v>0</v>
      </c>
      <c r="AW53" s="7" t="n">
        <v>0</v>
      </c>
      <c r="AX53" s="7" t="n">
        <v>0</v>
      </c>
      <c r="AY53" s="7" t="n">
        <v>0</v>
      </c>
      <c r="AZ53" s="7" t="n">
        <v>0</v>
      </c>
      <c r="BA53" s="7" t="n">
        <v>0</v>
      </c>
      <c r="BB53" s="7">
        <f>SUM(AD53:BA53)</f>
        <v/>
      </c>
    </row>
    <row r="54">
      <c r="A54" t="inlineStr">
        <is>
          <t>AMD-FWDREG-SSC</t>
        </is>
      </c>
      <c r="B54" t="inlineStr">
        <is>
          <t>Forward Regular OSC</t>
        </is>
      </c>
      <c r="C54" s="5" t="n">
        <v>46101</v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0</v>
      </c>
      <c r="M54" s="6" t="n">
        <v>0</v>
      </c>
      <c r="N54" s="6" t="n">
        <v>0</v>
      </c>
      <c r="O54" s="6" t="n">
        <v>0</v>
      </c>
      <c r="P54" s="6" t="n">
        <v>0</v>
      </c>
      <c r="Q54" s="6" t="n">
        <v>0</v>
      </c>
      <c r="R54" s="6" t="n">
        <v>0</v>
      </c>
      <c r="S54" s="6" t="n">
        <v>0</v>
      </c>
      <c r="T54" s="6" t="n">
        <v>0</v>
      </c>
      <c r="U54" s="6" t="n">
        <v>0</v>
      </c>
      <c r="V54" s="6" t="n">
        <v>0</v>
      </c>
      <c r="W54" s="6" t="n">
        <v>0</v>
      </c>
      <c r="X54" s="6" t="n">
        <v>0</v>
      </c>
      <c r="Y54" s="6" t="n">
        <v>0</v>
      </c>
      <c r="Z54" s="6" t="n">
        <v>0</v>
      </c>
      <c r="AA54" s="6" t="n">
        <v>0</v>
      </c>
      <c r="AB54" s="6">
        <f>SUM(D54:AA54)</f>
        <v/>
      </c>
      <c r="AC54" s="3" t="inlineStr"/>
      <c r="AD54" s="7" t="n">
        <v>0</v>
      </c>
      <c r="AE54" s="7" t="n">
        <v>0</v>
      </c>
      <c r="AF54" s="7" t="n">
        <v>0</v>
      </c>
      <c r="AG54" s="7" t="n">
        <v>0</v>
      </c>
      <c r="AH54" s="7" t="n">
        <v>0</v>
      </c>
      <c r="AI54" s="7" t="n">
        <v>0</v>
      </c>
      <c r="AJ54" s="7" t="n">
        <v>0</v>
      </c>
      <c r="AK54" s="7" t="n">
        <v>0</v>
      </c>
      <c r="AL54" s="7" t="n">
        <v>0</v>
      </c>
      <c r="AM54" s="7" t="n">
        <v>0</v>
      </c>
      <c r="AN54" s="7" t="n">
        <v>0</v>
      </c>
      <c r="AO54" s="7" t="n">
        <v>0</v>
      </c>
      <c r="AP54" s="7" t="n">
        <v>0</v>
      </c>
      <c r="AQ54" s="7" t="n">
        <v>0</v>
      </c>
      <c r="AR54" s="7" t="n">
        <v>0</v>
      </c>
      <c r="AS54" s="7" t="n">
        <v>0</v>
      </c>
      <c r="AT54" s="7" t="n">
        <v>0</v>
      </c>
      <c r="AU54" s="7" t="n">
        <v>0</v>
      </c>
      <c r="AV54" s="7" t="n">
        <v>0</v>
      </c>
      <c r="AW54" s="7" t="n">
        <v>0</v>
      </c>
      <c r="AX54" s="7" t="n">
        <v>0</v>
      </c>
      <c r="AY54" s="7" t="n">
        <v>0</v>
      </c>
      <c r="AZ54" s="7" t="n">
        <v>0</v>
      </c>
      <c r="BA54" s="7" t="n">
        <v>0</v>
      </c>
      <c r="BB54" s="7">
        <f>SUM(AD54:BA54)</f>
        <v/>
      </c>
    </row>
    <row r="55">
      <c r="A55" t="inlineStr">
        <is>
          <t>AMD-FWDREG-SSC</t>
        </is>
      </c>
      <c r="B55" t="inlineStr">
        <is>
          <t>Forward Regular OSC</t>
        </is>
      </c>
      <c r="C55" s="5" t="n">
        <v>46102</v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6" t="n">
        <v>0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s="6" t="n">
        <v>0</v>
      </c>
      <c r="T55" s="6" t="n">
        <v>0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0</v>
      </c>
      <c r="AB55" s="6">
        <f>SUM(D55:AA55)</f>
        <v/>
      </c>
      <c r="AC55" s="3" t="inlineStr"/>
      <c r="AD55" s="7" t="n">
        <v>0</v>
      </c>
      <c r="AE55" s="7" t="n">
        <v>0</v>
      </c>
      <c r="AF55" s="7" t="n">
        <v>0</v>
      </c>
      <c r="AG55" s="7" t="n">
        <v>0</v>
      </c>
      <c r="AH55" s="7" t="n">
        <v>0</v>
      </c>
      <c r="AI55" s="7" t="n">
        <v>0</v>
      </c>
      <c r="AJ55" s="7" t="n">
        <v>0</v>
      </c>
      <c r="AK55" s="7" t="n">
        <v>0</v>
      </c>
      <c r="AL55" s="7" t="n">
        <v>0</v>
      </c>
      <c r="AM55" s="7" t="n">
        <v>0</v>
      </c>
      <c r="AN55" s="7" t="n">
        <v>0</v>
      </c>
      <c r="AO55" s="7" t="n">
        <v>0</v>
      </c>
      <c r="AP55" s="7" t="n">
        <v>0</v>
      </c>
      <c r="AQ55" s="7" t="n">
        <v>0</v>
      </c>
      <c r="AR55" s="7" t="n">
        <v>0</v>
      </c>
      <c r="AS55" s="7" t="n">
        <v>0</v>
      </c>
      <c r="AT55" s="7" t="n">
        <v>0</v>
      </c>
      <c r="AU55" s="7" t="n">
        <v>0</v>
      </c>
      <c r="AV55" s="7" t="n">
        <v>0</v>
      </c>
      <c r="AW55" s="7" t="n">
        <v>0</v>
      </c>
      <c r="AX55" s="7" t="n">
        <v>0</v>
      </c>
      <c r="AY55" s="7" t="n">
        <v>0</v>
      </c>
      <c r="AZ55" s="7" t="n">
        <v>0</v>
      </c>
      <c r="BA55" s="7" t="n">
        <v>0</v>
      </c>
      <c r="BB55" s="7">
        <f>SUM(AD55:BA55)</f>
        <v/>
      </c>
    </row>
    <row r="56">
      <c r="A56" t="inlineStr">
        <is>
          <t>AMD-FWDREG-SSC</t>
        </is>
      </c>
      <c r="B56" t="inlineStr">
        <is>
          <t>Forward Regular OSC</t>
        </is>
      </c>
      <c r="C56" s="5" t="n">
        <v>46103</v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0</v>
      </c>
      <c r="M56" s="6" t="n">
        <v>0</v>
      </c>
      <c r="N56" s="6" t="n">
        <v>0</v>
      </c>
      <c r="O56" s="6" t="n">
        <v>0</v>
      </c>
      <c r="P56" s="6" t="n">
        <v>0</v>
      </c>
      <c r="Q56" s="6" t="n">
        <v>0</v>
      </c>
      <c r="R56" s="6" t="n">
        <v>0</v>
      </c>
      <c r="S56" s="6" t="n">
        <v>0</v>
      </c>
      <c r="T56" s="6" t="n">
        <v>0</v>
      </c>
      <c r="U56" s="6" t="n">
        <v>0</v>
      </c>
      <c r="V56" s="6" t="n">
        <v>0</v>
      </c>
      <c r="W56" s="6" t="n">
        <v>0</v>
      </c>
      <c r="X56" s="6" t="n">
        <v>0</v>
      </c>
      <c r="Y56" s="6" t="n">
        <v>0</v>
      </c>
      <c r="Z56" s="6" t="n">
        <v>0</v>
      </c>
      <c r="AA56" s="6" t="n">
        <v>0</v>
      </c>
      <c r="AB56" s="6">
        <f>SUM(D56:AA56)</f>
        <v/>
      </c>
      <c r="AC56" s="3" t="inlineStr"/>
      <c r="AD56" s="7" t="n">
        <v>0</v>
      </c>
      <c r="AE56" s="7" t="n">
        <v>0</v>
      </c>
      <c r="AF56" s="7" t="n">
        <v>0</v>
      </c>
      <c r="AG56" s="7" t="n">
        <v>0</v>
      </c>
      <c r="AH56" s="7" t="n">
        <v>0</v>
      </c>
      <c r="AI56" s="7" t="n">
        <v>0</v>
      </c>
      <c r="AJ56" s="7" t="n">
        <v>0</v>
      </c>
      <c r="AK56" s="7" t="n">
        <v>0</v>
      </c>
      <c r="AL56" s="7" t="n">
        <v>0</v>
      </c>
      <c r="AM56" s="7" t="n">
        <v>0</v>
      </c>
      <c r="AN56" s="7" t="n">
        <v>0</v>
      </c>
      <c r="AO56" s="7" t="n">
        <v>0</v>
      </c>
      <c r="AP56" s="7" t="n">
        <v>0</v>
      </c>
      <c r="AQ56" s="7" t="n">
        <v>0</v>
      </c>
      <c r="AR56" s="7" t="n">
        <v>0</v>
      </c>
      <c r="AS56" s="7" t="n">
        <v>0</v>
      </c>
      <c r="AT56" s="7" t="n">
        <v>0</v>
      </c>
      <c r="AU56" s="7" t="n">
        <v>0</v>
      </c>
      <c r="AV56" s="7" t="n">
        <v>0</v>
      </c>
      <c r="AW56" s="7" t="n">
        <v>0</v>
      </c>
      <c r="AX56" s="7" t="n">
        <v>0</v>
      </c>
      <c r="AY56" s="7" t="n">
        <v>0</v>
      </c>
      <c r="AZ56" s="7" t="n">
        <v>0</v>
      </c>
      <c r="BA56" s="7" t="n">
        <v>0</v>
      </c>
      <c r="BB56" s="7">
        <f>SUM(AD56:BA56)</f>
        <v/>
      </c>
    </row>
    <row r="57">
      <c r="A57" t="inlineStr">
        <is>
          <t>AMD-FWDREG-SSC</t>
        </is>
      </c>
      <c r="B57" t="inlineStr">
        <is>
          <t>Forward Regular OSC</t>
        </is>
      </c>
      <c r="C57" s="5" t="n">
        <v>46104</v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0</v>
      </c>
      <c r="Q57" s="6" t="n">
        <v>0</v>
      </c>
      <c r="R57" s="6" t="n">
        <v>0</v>
      </c>
      <c r="S57" s="6" t="n">
        <v>0</v>
      </c>
      <c r="T57" s="6" t="n">
        <v>0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0</v>
      </c>
      <c r="AA57" s="6" t="n">
        <v>0</v>
      </c>
      <c r="AB57" s="6">
        <f>SUM(D57:AA57)</f>
        <v/>
      </c>
      <c r="AC57" s="3" t="inlineStr"/>
      <c r="AD57" s="7" t="n">
        <v>0</v>
      </c>
      <c r="AE57" s="7" t="n">
        <v>0</v>
      </c>
      <c r="AF57" s="7" t="n">
        <v>0</v>
      </c>
      <c r="AG57" s="7" t="n">
        <v>0</v>
      </c>
      <c r="AH57" s="7" t="n">
        <v>0</v>
      </c>
      <c r="AI57" s="7" t="n">
        <v>0</v>
      </c>
      <c r="AJ57" s="7" t="n">
        <v>0</v>
      </c>
      <c r="AK57" s="7" t="n">
        <v>0</v>
      </c>
      <c r="AL57" s="7" t="n">
        <v>0</v>
      </c>
      <c r="AM57" s="7" t="n">
        <v>0</v>
      </c>
      <c r="AN57" s="7" t="n">
        <v>0</v>
      </c>
      <c r="AO57" s="7" t="n">
        <v>0</v>
      </c>
      <c r="AP57" s="7" t="n">
        <v>0</v>
      </c>
      <c r="AQ57" s="7" t="n">
        <v>0</v>
      </c>
      <c r="AR57" s="7" t="n">
        <v>0</v>
      </c>
      <c r="AS57" s="7" t="n">
        <v>0</v>
      </c>
      <c r="AT57" s="7" t="n">
        <v>0</v>
      </c>
      <c r="AU57" s="7" t="n">
        <v>0</v>
      </c>
      <c r="AV57" s="7" t="n">
        <v>0</v>
      </c>
      <c r="AW57" s="7" t="n">
        <v>0</v>
      </c>
      <c r="AX57" s="7" t="n">
        <v>0</v>
      </c>
      <c r="AY57" s="7" t="n">
        <v>0</v>
      </c>
      <c r="AZ57" s="7" t="n">
        <v>0</v>
      </c>
      <c r="BA57" s="7" t="n">
        <v>0</v>
      </c>
      <c r="BB57" s="7">
        <f>SUM(AD57:BA57)</f>
        <v/>
      </c>
    </row>
    <row r="58">
      <c r="A58" t="inlineStr">
        <is>
          <t>AMD-FWDREG-SSC</t>
        </is>
      </c>
      <c r="B58" t="inlineStr">
        <is>
          <t>Forward Regular OSC</t>
        </is>
      </c>
      <c r="C58" s="5" t="n">
        <v>46105</v>
      </c>
      <c r="D58" s="6" t="n">
        <v>0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</v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0</v>
      </c>
      <c r="R58" s="6" t="n">
        <v>0</v>
      </c>
      <c r="S58" s="6" t="n">
        <v>0</v>
      </c>
      <c r="T58" s="6" t="n">
        <v>0</v>
      </c>
      <c r="U58" s="6" t="n">
        <v>0</v>
      </c>
      <c r="V58" s="6" t="n">
        <v>0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0</v>
      </c>
      <c r="AB58" s="6">
        <f>SUM(D58:AA58)</f>
        <v/>
      </c>
      <c r="AC58" s="3" t="inlineStr"/>
      <c r="AD58" s="7" t="n">
        <v>0</v>
      </c>
      <c r="AE58" s="7" t="n">
        <v>0</v>
      </c>
      <c r="AF58" s="7" t="n">
        <v>0</v>
      </c>
      <c r="AG58" s="7" t="n">
        <v>0</v>
      </c>
      <c r="AH58" s="7" t="n">
        <v>0</v>
      </c>
      <c r="AI58" s="7" t="n">
        <v>0</v>
      </c>
      <c r="AJ58" s="7" t="n">
        <v>0</v>
      </c>
      <c r="AK58" s="7" t="n">
        <v>0</v>
      </c>
      <c r="AL58" s="7" t="n">
        <v>0</v>
      </c>
      <c r="AM58" s="7" t="n">
        <v>0</v>
      </c>
      <c r="AN58" s="7" t="n">
        <v>0</v>
      </c>
      <c r="AO58" s="7" t="n">
        <v>0</v>
      </c>
      <c r="AP58" s="7" t="n">
        <v>0</v>
      </c>
      <c r="AQ58" s="7" t="n">
        <v>0</v>
      </c>
      <c r="AR58" s="7" t="n">
        <v>0</v>
      </c>
      <c r="AS58" s="7" t="n">
        <v>0</v>
      </c>
      <c r="AT58" s="7" t="n">
        <v>0</v>
      </c>
      <c r="AU58" s="7" t="n">
        <v>0</v>
      </c>
      <c r="AV58" s="7" t="n">
        <v>0</v>
      </c>
      <c r="AW58" s="7" t="n">
        <v>0</v>
      </c>
      <c r="AX58" s="7" t="n">
        <v>0</v>
      </c>
      <c r="AY58" s="7" t="n">
        <v>0</v>
      </c>
      <c r="AZ58" s="7" t="n">
        <v>0</v>
      </c>
      <c r="BA58" s="7" t="n">
        <v>0</v>
      </c>
      <c r="BB58" s="7">
        <f>SUM(AD58:BA58)</f>
        <v/>
      </c>
    </row>
    <row r="59">
      <c r="A59" t="inlineStr">
        <is>
          <t>AMD-INTRA-SSC</t>
        </is>
      </c>
      <c r="B59" t="inlineStr">
        <is>
          <t>Forward Regular OSC</t>
        </is>
      </c>
      <c r="C59" s="5" t="n">
        <v>46098</v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Q59" s="6" t="n">
        <v>0</v>
      </c>
      <c r="R59" s="6" t="n">
        <v>0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0</v>
      </c>
      <c r="Z59" s="6" t="n">
        <v>0</v>
      </c>
      <c r="AA59" s="6" t="n">
        <v>0</v>
      </c>
      <c r="AB59" s="6">
        <f>SUM(D59:AA59)</f>
        <v/>
      </c>
      <c r="AC59" s="3" t="inlineStr"/>
      <c r="AD59" s="7" t="n">
        <v>0</v>
      </c>
      <c r="AE59" s="7" t="n">
        <v>0</v>
      </c>
      <c r="AF59" s="7" t="n">
        <v>0</v>
      </c>
      <c r="AG59" s="7" t="n">
        <v>0</v>
      </c>
      <c r="AH59" s="7" t="n">
        <v>0</v>
      </c>
      <c r="AI59" s="7" t="n">
        <v>0</v>
      </c>
      <c r="AJ59" s="7" t="n">
        <v>0</v>
      </c>
      <c r="AK59" s="7" t="n">
        <v>0</v>
      </c>
      <c r="AL59" s="7" t="n">
        <v>0</v>
      </c>
      <c r="AM59" s="7" t="n">
        <v>0</v>
      </c>
      <c r="AN59" s="7" t="n">
        <v>0</v>
      </c>
      <c r="AO59" s="7" t="n">
        <v>0</v>
      </c>
      <c r="AP59" s="7" t="n">
        <v>0</v>
      </c>
      <c r="AQ59" s="7" t="n">
        <v>0</v>
      </c>
      <c r="AR59" s="7" t="n">
        <v>0</v>
      </c>
      <c r="AS59" s="7" t="n">
        <v>0</v>
      </c>
      <c r="AT59" s="7" t="n">
        <v>0</v>
      </c>
      <c r="AU59" s="7" t="n">
        <v>0</v>
      </c>
      <c r="AV59" s="7" t="n">
        <v>0</v>
      </c>
      <c r="AW59" s="7" t="n">
        <v>0</v>
      </c>
      <c r="AX59" s="7" t="n">
        <v>0</v>
      </c>
      <c r="AY59" s="7" t="n">
        <v>0</v>
      </c>
      <c r="AZ59" s="7" t="n">
        <v>0</v>
      </c>
      <c r="BA59" s="7" t="n">
        <v>0</v>
      </c>
      <c r="BB59" s="7">
        <f>SUM(AD59:BA59)</f>
        <v/>
      </c>
    </row>
    <row r="60">
      <c r="A60" t="inlineStr">
        <is>
          <t>AMD-INTRA-SSC</t>
        </is>
      </c>
      <c r="B60" t="inlineStr">
        <is>
          <t>Forward Regular OSC</t>
        </is>
      </c>
      <c r="C60" s="5" t="n">
        <v>46099</v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0</v>
      </c>
      <c r="Q60" s="6" t="n">
        <v>0</v>
      </c>
      <c r="R60" s="6" t="n">
        <v>0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0</v>
      </c>
      <c r="Z60" s="6" t="n">
        <v>0</v>
      </c>
      <c r="AA60" s="6" t="n">
        <v>0</v>
      </c>
      <c r="AB60" s="6">
        <f>SUM(D60:AA60)</f>
        <v/>
      </c>
      <c r="AC60" s="3" t="inlineStr"/>
      <c r="AD60" s="7" t="n">
        <v>0</v>
      </c>
      <c r="AE60" s="7" t="n">
        <v>0</v>
      </c>
      <c r="AF60" s="7" t="n">
        <v>0</v>
      </c>
      <c r="AG60" s="7" t="n">
        <v>0</v>
      </c>
      <c r="AH60" s="7" t="n">
        <v>0</v>
      </c>
      <c r="AI60" s="7" t="n">
        <v>0</v>
      </c>
      <c r="AJ60" s="7" t="n">
        <v>0</v>
      </c>
      <c r="AK60" s="7" t="n">
        <v>0</v>
      </c>
      <c r="AL60" s="7" t="n">
        <v>0</v>
      </c>
      <c r="AM60" s="7" t="n">
        <v>0</v>
      </c>
      <c r="AN60" s="7" t="n">
        <v>0</v>
      </c>
      <c r="AO60" s="7" t="n">
        <v>0</v>
      </c>
      <c r="AP60" s="7" t="n">
        <v>0</v>
      </c>
      <c r="AQ60" s="7" t="n">
        <v>0</v>
      </c>
      <c r="AR60" s="7" t="n">
        <v>0</v>
      </c>
      <c r="AS60" s="7" t="n">
        <v>0</v>
      </c>
      <c r="AT60" s="7" t="n">
        <v>0</v>
      </c>
      <c r="AU60" s="7" t="n">
        <v>0</v>
      </c>
      <c r="AV60" s="7" t="n">
        <v>0</v>
      </c>
      <c r="AW60" s="7" t="n">
        <v>0</v>
      </c>
      <c r="AX60" s="7" t="n">
        <v>0</v>
      </c>
      <c r="AY60" s="7" t="n">
        <v>0</v>
      </c>
      <c r="AZ60" s="7" t="n">
        <v>0</v>
      </c>
      <c r="BA60" s="7" t="n">
        <v>0</v>
      </c>
      <c r="BB60" s="7">
        <f>SUM(AD60:BA60)</f>
        <v/>
      </c>
    </row>
    <row r="61">
      <c r="A61" t="inlineStr">
        <is>
          <t>AMD-INTRA-SSC</t>
        </is>
      </c>
      <c r="B61" t="inlineStr">
        <is>
          <t>Forward Regular OSC</t>
        </is>
      </c>
      <c r="C61" s="5" t="n">
        <v>46100</v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0</v>
      </c>
      <c r="Q61" s="6" t="n">
        <v>0</v>
      </c>
      <c r="R61" s="6" t="n">
        <v>0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0</v>
      </c>
      <c r="X61" s="6" t="n">
        <v>0</v>
      </c>
      <c r="Y61" s="6" t="n">
        <v>0</v>
      </c>
      <c r="Z61" s="6" t="n">
        <v>0</v>
      </c>
      <c r="AA61" s="6" t="n">
        <v>0</v>
      </c>
      <c r="AB61" s="6">
        <f>SUM(D61:AA61)</f>
        <v/>
      </c>
      <c r="AC61" s="3" t="inlineStr"/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7" t="n">
        <v>0</v>
      </c>
      <c r="BB61" s="7">
        <f>SUM(AD61:BA61)</f>
        <v/>
      </c>
    </row>
    <row r="62">
      <c r="A62" t="inlineStr">
        <is>
          <t>AMD-INTRA-SSC</t>
        </is>
      </c>
      <c r="B62" t="inlineStr">
        <is>
          <t>Forward Regular OSC</t>
        </is>
      </c>
      <c r="C62" s="5" t="n">
        <v>46101</v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0</v>
      </c>
      <c r="M62" s="6" t="n">
        <v>0</v>
      </c>
      <c r="N62" s="6" t="n">
        <v>0</v>
      </c>
      <c r="O62" s="6" t="n">
        <v>0</v>
      </c>
      <c r="P62" s="6" t="n">
        <v>0</v>
      </c>
      <c r="Q62" s="6" t="n">
        <v>0</v>
      </c>
      <c r="R62" s="6" t="n">
        <v>0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0</v>
      </c>
      <c r="Z62" s="6" t="n">
        <v>0</v>
      </c>
      <c r="AA62" s="6" t="n">
        <v>0</v>
      </c>
      <c r="AB62" s="6">
        <f>SUM(D62:AA62)</f>
        <v/>
      </c>
      <c r="AC62" s="3" t="inlineStr"/>
      <c r="AD62" s="7" t="n">
        <v>0</v>
      </c>
      <c r="AE62" s="7" t="n">
        <v>0</v>
      </c>
      <c r="AF62" s="7" t="n">
        <v>0</v>
      </c>
      <c r="AG62" s="7" t="n">
        <v>0</v>
      </c>
      <c r="AH62" s="7" t="n">
        <v>0</v>
      </c>
      <c r="AI62" s="7" t="n">
        <v>0</v>
      </c>
      <c r="AJ62" s="7" t="n">
        <v>0</v>
      </c>
      <c r="AK62" s="7" t="n">
        <v>0</v>
      </c>
      <c r="AL62" s="7" t="n">
        <v>0</v>
      </c>
      <c r="AM62" s="7" t="n">
        <v>0</v>
      </c>
      <c r="AN62" s="7" t="n">
        <v>0</v>
      </c>
      <c r="AO62" s="7" t="n">
        <v>0</v>
      </c>
      <c r="AP62" s="7" t="n">
        <v>0</v>
      </c>
      <c r="AQ62" s="7" t="n">
        <v>0</v>
      </c>
      <c r="AR62" s="7" t="n">
        <v>0</v>
      </c>
      <c r="AS62" s="7" t="n">
        <v>0</v>
      </c>
      <c r="AT62" s="7" t="n">
        <v>0</v>
      </c>
      <c r="AU62" s="7" t="n">
        <v>0</v>
      </c>
      <c r="AV62" s="7" t="n">
        <v>0</v>
      </c>
      <c r="AW62" s="7" t="n">
        <v>0</v>
      </c>
      <c r="AX62" s="7" t="n">
        <v>0</v>
      </c>
      <c r="AY62" s="7" t="n">
        <v>0</v>
      </c>
      <c r="AZ62" s="7" t="n">
        <v>0</v>
      </c>
      <c r="BA62" s="7" t="n">
        <v>0</v>
      </c>
      <c r="BB62" s="7">
        <f>SUM(AD62:BA62)</f>
        <v/>
      </c>
    </row>
    <row r="63">
      <c r="A63" t="inlineStr">
        <is>
          <t>AMD-INTRA-SSC</t>
        </is>
      </c>
      <c r="B63" t="inlineStr">
        <is>
          <t>Forward Regular OSC</t>
        </is>
      </c>
      <c r="C63" s="5" t="n">
        <v>46102</v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0</v>
      </c>
      <c r="Q63" s="6" t="n">
        <v>0</v>
      </c>
      <c r="R63" s="6" t="n">
        <v>0</v>
      </c>
      <c r="S63" s="6" t="n">
        <v>0</v>
      </c>
      <c r="T63" s="6" t="n">
        <v>0</v>
      </c>
      <c r="U63" s="6" t="n">
        <v>0</v>
      </c>
      <c r="V63" s="6" t="n">
        <v>0</v>
      </c>
      <c r="W63" s="6" t="n">
        <v>0</v>
      </c>
      <c r="X63" s="6" t="n">
        <v>0</v>
      </c>
      <c r="Y63" s="6" t="n">
        <v>0</v>
      </c>
      <c r="Z63" s="6" t="n">
        <v>0</v>
      </c>
      <c r="AA63" s="6" t="n">
        <v>0</v>
      </c>
      <c r="AB63" s="6">
        <f>SUM(D63:AA63)</f>
        <v/>
      </c>
      <c r="AC63" s="3" t="inlineStr"/>
      <c r="AD63" s="7" t="n">
        <v>0</v>
      </c>
      <c r="AE63" s="7" t="n">
        <v>0</v>
      </c>
      <c r="AF63" s="7" t="n">
        <v>0</v>
      </c>
      <c r="AG63" s="7" t="n">
        <v>0</v>
      </c>
      <c r="AH63" s="7" t="n">
        <v>0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0</v>
      </c>
      <c r="AO63" s="7" t="n">
        <v>0</v>
      </c>
      <c r="AP63" s="7" t="n">
        <v>0</v>
      </c>
      <c r="AQ63" s="7" t="n">
        <v>0</v>
      </c>
      <c r="AR63" s="7" t="n">
        <v>0</v>
      </c>
      <c r="AS63" s="7" t="n">
        <v>0</v>
      </c>
      <c r="AT63" s="7" t="n">
        <v>0</v>
      </c>
      <c r="AU63" s="7" t="n">
        <v>0</v>
      </c>
      <c r="AV63" s="7" t="n">
        <v>0</v>
      </c>
      <c r="AW63" s="7" t="n">
        <v>0</v>
      </c>
      <c r="AX63" s="7" t="n">
        <v>0</v>
      </c>
      <c r="AY63" s="7" t="n">
        <v>0</v>
      </c>
      <c r="AZ63" s="7" t="n">
        <v>0</v>
      </c>
      <c r="BA63" s="7" t="n">
        <v>0</v>
      </c>
      <c r="BB63" s="7">
        <f>SUM(AD63:BA63)</f>
        <v/>
      </c>
    </row>
    <row r="64">
      <c r="A64" t="inlineStr">
        <is>
          <t>AMD-INTRA-SSC</t>
        </is>
      </c>
      <c r="B64" t="inlineStr">
        <is>
          <t>Forward Regular OSC</t>
        </is>
      </c>
      <c r="C64" s="5" t="n">
        <v>46103</v>
      </c>
      <c r="D64" s="6" t="n">
        <v>0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0</v>
      </c>
      <c r="M64" s="6" t="n">
        <v>0</v>
      </c>
      <c r="N64" s="6" t="n">
        <v>0</v>
      </c>
      <c r="O64" s="6" t="n">
        <v>0</v>
      </c>
      <c r="P64" s="6" t="n">
        <v>0</v>
      </c>
      <c r="Q64" s="6" t="n">
        <v>0</v>
      </c>
      <c r="R64" s="6" t="n">
        <v>0</v>
      </c>
      <c r="S64" s="6" t="n">
        <v>0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0</v>
      </c>
      <c r="AB64" s="6">
        <f>SUM(D64:AA64)</f>
        <v/>
      </c>
      <c r="AC64" s="3" t="inlineStr"/>
      <c r="AD64" s="7" t="n">
        <v>0</v>
      </c>
      <c r="AE64" s="7" t="n">
        <v>0</v>
      </c>
      <c r="AF64" s="7" t="n">
        <v>0</v>
      </c>
      <c r="AG64" s="7" t="n">
        <v>0</v>
      </c>
      <c r="AH64" s="7" t="n">
        <v>0</v>
      </c>
      <c r="AI64" s="7" t="n">
        <v>0</v>
      </c>
      <c r="AJ64" s="7" t="n">
        <v>0</v>
      </c>
      <c r="AK64" s="7" t="n">
        <v>0</v>
      </c>
      <c r="AL64" s="7" t="n">
        <v>0</v>
      </c>
      <c r="AM64" s="7" t="n">
        <v>0</v>
      </c>
      <c r="AN64" s="7" t="n">
        <v>0</v>
      </c>
      <c r="AO64" s="7" t="n">
        <v>0</v>
      </c>
      <c r="AP64" s="7" t="n">
        <v>0</v>
      </c>
      <c r="AQ64" s="7" t="n">
        <v>0</v>
      </c>
      <c r="AR64" s="7" t="n">
        <v>0</v>
      </c>
      <c r="AS64" s="7" t="n">
        <v>0</v>
      </c>
      <c r="AT64" s="7" t="n">
        <v>0</v>
      </c>
      <c r="AU64" s="7" t="n">
        <v>0</v>
      </c>
      <c r="AV64" s="7" t="n">
        <v>0</v>
      </c>
      <c r="AW64" s="7" t="n">
        <v>0</v>
      </c>
      <c r="AX64" s="7" t="n">
        <v>0</v>
      </c>
      <c r="AY64" s="7" t="n">
        <v>0</v>
      </c>
      <c r="AZ64" s="7" t="n">
        <v>0</v>
      </c>
      <c r="BA64" s="7" t="n">
        <v>0</v>
      </c>
      <c r="BB64" s="7">
        <f>SUM(AD64:BA64)</f>
        <v/>
      </c>
    </row>
    <row r="65">
      <c r="A65" t="inlineStr">
        <is>
          <t>AMD-INTRA-SSC</t>
        </is>
      </c>
      <c r="B65" t="inlineStr">
        <is>
          <t>Forward Regular OSC</t>
        </is>
      </c>
      <c r="C65" s="5" t="n">
        <v>46104</v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0</v>
      </c>
      <c r="Q65" s="6" t="n">
        <v>0</v>
      </c>
      <c r="R65" s="6" t="n">
        <v>0</v>
      </c>
      <c r="S65" s="6" t="n">
        <v>0</v>
      </c>
      <c r="T65" s="6" t="n">
        <v>0</v>
      </c>
      <c r="U65" s="6" t="n">
        <v>0</v>
      </c>
      <c r="V65" s="6" t="n">
        <v>0</v>
      </c>
      <c r="W65" s="6" t="n">
        <v>0</v>
      </c>
      <c r="X65" s="6" t="n">
        <v>0</v>
      </c>
      <c r="Y65" s="6" t="n">
        <v>0</v>
      </c>
      <c r="Z65" s="6" t="n">
        <v>0</v>
      </c>
      <c r="AA65" s="6" t="n">
        <v>0</v>
      </c>
      <c r="AB65" s="6">
        <f>SUM(D65:AA65)</f>
        <v/>
      </c>
      <c r="AC65" s="3" t="inlineStr"/>
      <c r="AD65" s="7" t="n">
        <v>0</v>
      </c>
      <c r="AE65" s="7" t="n">
        <v>0</v>
      </c>
      <c r="AF65" s="7" t="n">
        <v>0</v>
      </c>
      <c r="AG65" s="7" t="n">
        <v>0</v>
      </c>
      <c r="AH65" s="7" t="n">
        <v>0</v>
      </c>
      <c r="AI65" s="7" t="n">
        <v>0</v>
      </c>
      <c r="AJ65" s="7" t="n">
        <v>0</v>
      </c>
      <c r="AK65" s="7" t="n">
        <v>0</v>
      </c>
      <c r="AL65" s="7" t="n">
        <v>0</v>
      </c>
      <c r="AM65" s="7" t="n">
        <v>0</v>
      </c>
      <c r="AN65" s="7" t="n">
        <v>0</v>
      </c>
      <c r="AO65" s="7" t="n">
        <v>0</v>
      </c>
      <c r="AP65" s="7" t="n">
        <v>0</v>
      </c>
      <c r="AQ65" s="7" t="n">
        <v>0</v>
      </c>
      <c r="AR65" s="7" t="n">
        <v>0</v>
      </c>
      <c r="AS65" s="7" t="n">
        <v>0</v>
      </c>
      <c r="AT65" s="7" t="n">
        <v>0</v>
      </c>
      <c r="AU65" s="7" t="n">
        <v>0</v>
      </c>
      <c r="AV65" s="7" t="n">
        <v>0</v>
      </c>
      <c r="AW65" s="7" t="n">
        <v>0</v>
      </c>
      <c r="AX65" s="7" t="n">
        <v>0</v>
      </c>
      <c r="AY65" s="7" t="n">
        <v>0</v>
      </c>
      <c r="AZ65" s="7" t="n">
        <v>0</v>
      </c>
      <c r="BA65" s="7" t="n">
        <v>0</v>
      </c>
      <c r="BB65" s="7">
        <f>SUM(AD65:BA65)</f>
        <v/>
      </c>
    </row>
    <row r="66">
      <c r="A66" t="inlineStr">
        <is>
          <t>AMD-INTRA-SSC</t>
        </is>
      </c>
      <c r="B66" t="inlineStr">
        <is>
          <t>Forward Regular OSC</t>
        </is>
      </c>
      <c r="C66" s="5" t="n">
        <v>46105</v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0</v>
      </c>
      <c r="N66" s="6" t="n">
        <v>0</v>
      </c>
      <c r="O66" s="6" t="n">
        <v>0</v>
      </c>
      <c r="P66" s="6" t="n">
        <v>0</v>
      </c>
      <c r="Q66" s="6" t="n">
        <v>0</v>
      </c>
      <c r="R66" s="6" t="n">
        <v>0</v>
      </c>
      <c r="S66" s="6" t="n">
        <v>0</v>
      </c>
      <c r="T66" s="6" t="n">
        <v>0</v>
      </c>
      <c r="U66" s="6" t="n">
        <v>0</v>
      </c>
      <c r="V66" s="6" t="n">
        <v>0</v>
      </c>
      <c r="W66" s="6" t="n">
        <v>0</v>
      </c>
      <c r="X66" s="6" t="n">
        <v>0</v>
      </c>
      <c r="Y66" s="6" t="n">
        <v>0</v>
      </c>
      <c r="Z66" s="6" t="n">
        <v>0</v>
      </c>
      <c r="AA66" s="6" t="n">
        <v>0</v>
      </c>
      <c r="AB66" s="6">
        <f>SUM(D66:AA66)</f>
        <v/>
      </c>
      <c r="AC66" s="3" t="inlineStr"/>
      <c r="AD66" s="7" t="n">
        <v>0</v>
      </c>
      <c r="AE66" s="7" t="n">
        <v>0</v>
      </c>
      <c r="AF66" s="7" t="n">
        <v>0</v>
      </c>
      <c r="AG66" s="7" t="n">
        <v>0</v>
      </c>
      <c r="AH66" s="7" t="n">
        <v>0</v>
      </c>
      <c r="AI66" s="7" t="n">
        <v>0</v>
      </c>
      <c r="AJ66" s="7" t="n">
        <v>0</v>
      </c>
      <c r="AK66" s="7" t="n">
        <v>0</v>
      </c>
      <c r="AL66" s="7" t="n">
        <v>0</v>
      </c>
      <c r="AM66" s="7" t="n">
        <v>0</v>
      </c>
      <c r="AN66" s="7" t="n">
        <v>0</v>
      </c>
      <c r="AO66" s="7" t="n">
        <v>0</v>
      </c>
      <c r="AP66" s="7" t="n">
        <v>0</v>
      </c>
      <c r="AQ66" s="7" t="n">
        <v>0</v>
      </c>
      <c r="AR66" s="7" t="n">
        <v>0</v>
      </c>
      <c r="AS66" s="7" t="n">
        <v>0</v>
      </c>
      <c r="AT66" s="7" t="n">
        <v>0</v>
      </c>
      <c r="AU66" s="7" t="n">
        <v>0</v>
      </c>
      <c r="AV66" s="7" t="n">
        <v>0</v>
      </c>
      <c r="AW66" s="7" t="n">
        <v>0</v>
      </c>
      <c r="AX66" s="7" t="n">
        <v>0</v>
      </c>
      <c r="AY66" s="7" t="n">
        <v>0</v>
      </c>
      <c r="AZ66" s="7" t="n">
        <v>0</v>
      </c>
      <c r="BA66" s="7" t="n">
        <v>0</v>
      </c>
      <c r="BB66" s="7">
        <f>SUM(AD66:BA66)</f>
        <v/>
      </c>
    </row>
    <row r="67">
      <c r="A67" t="inlineStr">
        <is>
          <t>AMD-M1</t>
        </is>
      </c>
      <c r="B67" t="inlineStr">
        <is>
          <t>Forward Regular OSC</t>
        </is>
      </c>
      <c r="C67" s="5" t="n">
        <v>46089</v>
      </c>
      <c r="D67" s="6" t="n">
        <v>0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  <c r="S67" s="6" t="n">
        <v>0</v>
      </c>
      <c r="T67" s="6" t="n">
        <v>0</v>
      </c>
      <c r="U67" s="6" t="n">
        <v>0</v>
      </c>
      <c r="V67" s="6" t="n">
        <v>0</v>
      </c>
      <c r="W67" s="6" t="n">
        <v>0</v>
      </c>
      <c r="X67" s="6" t="n">
        <v>0</v>
      </c>
      <c r="Y67" s="6" t="n">
        <v>0</v>
      </c>
      <c r="Z67" s="6" t="n">
        <v>0</v>
      </c>
      <c r="AA67" s="6" t="n">
        <v>0</v>
      </c>
      <c r="AB67" s="6">
        <f>SUM(D67:AA67)</f>
        <v/>
      </c>
      <c r="AC67" s="3" t="inlineStr"/>
      <c r="AD67" s="7" t="n">
        <v>0</v>
      </c>
      <c r="AE67" s="7" t="n">
        <v>0</v>
      </c>
      <c r="AF67" s="7" t="n">
        <v>0</v>
      </c>
      <c r="AG67" s="7" t="n">
        <v>0</v>
      </c>
      <c r="AH67" s="7" t="n">
        <v>0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</v>
      </c>
      <c r="AN67" s="7" t="n">
        <v>0</v>
      </c>
      <c r="AO67" s="7" t="n">
        <v>0</v>
      </c>
      <c r="AP67" s="7" t="n">
        <v>0</v>
      </c>
      <c r="AQ67" s="7" t="n">
        <v>0</v>
      </c>
      <c r="AR67" s="7" t="n">
        <v>0</v>
      </c>
      <c r="AS67" s="7" t="n">
        <v>0</v>
      </c>
      <c r="AT67" s="7" t="n">
        <v>0</v>
      </c>
      <c r="AU67" s="7" t="n">
        <v>0</v>
      </c>
      <c r="AV67" s="7" t="n">
        <v>0</v>
      </c>
      <c r="AW67" s="7" t="n">
        <v>0</v>
      </c>
      <c r="AX67" s="7" t="n">
        <v>0</v>
      </c>
      <c r="AY67" s="7" t="n">
        <v>0</v>
      </c>
      <c r="AZ67" s="7" t="n">
        <v>0</v>
      </c>
      <c r="BA67" s="7" t="n">
        <v>0</v>
      </c>
      <c r="BB67" s="7">
        <f>SUM(AD67:BA67)</f>
        <v/>
      </c>
    </row>
    <row r="68">
      <c r="A68" t="inlineStr">
        <is>
          <t>AMD-M1</t>
        </is>
      </c>
      <c r="B68" t="inlineStr">
        <is>
          <t>Forward Regular OSC</t>
        </is>
      </c>
      <c r="C68" s="5" t="n">
        <v>46090</v>
      </c>
      <c r="D68" s="6" t="n">
        <v>0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0</v>
      </c>
      <c r="M68" s="6" t="n">
        <v>0</v>
      </c>
      <c r="N68" s="6" t="n">
        <v>0</v>
      </c>
      <c r="O68" s="6" t="n">
        <v>0</v>
      </c>
      <c r="P68" s="6" t="n">
        <v>0</v>
      </c>
      <c r="Q68" s="6" t="n">
        <v>0</v>
      </c>
      <c r="R68" s="6" t="n">
        <v>0</v>
      </c>
      <c r="S68" s="6" t="n">
        <v>0</v>
      </c>
      <c r="T68" s="6" t="n">
        <v>0</v>
      </c>
      <c r="U68" s="6" t="n">
        <v>0</v>
      </c>
      <c r="V68" s="6" t="n">
        <v>0</v>
      </c>
      <c r="W68" s="6" t="n">
        <v>0</v>
      </c>
      <c r="X68" s="6" t="n">
        <v>0</v>
      </c>
      <c r="Y68" s="6" t="n">
        <v>0</v>
      </c>
      <c r="Z68" s="6" t="n">
        <v>0</v>
      </c>
      <c r="AA68" s="6" t="n">
        <v>0</v>
      </c>
      <c r="AB68" s="6">
        <f>SUM(D68:AA68)</f>
        <v/>
      </c>
      <c r="AC68" s="3" t="inlineStr"/>
      <c r="AD68" s="7" t="n">
        <v>0</v>
      </c>
      <c r="AE68" s="7" t="n">
        <v>0</v>
      </c>
      <c r="AF68" s="7" t="n">
        <v>0</v>
      </c>
      <c r="AG68" s="7" t="n">
        <v>0</v>
      </c>
      <c r="AH68" s="7" t="n">
        <v>0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0</v>
      </c>
      <c r="AO68" s="7" t="n">
        <v>0</v>
      </c>
      <c r="AP68" s="7" t="n">
        <v>0</v>
      </c>
      <c r="AQ68" s="7" t="n">
        <v>0</v>
      </c>
      <c r="AR68" s="7" t="n">
        <v>0</v>
      </c>
      <c r="AS68" s="7" t="n">
        <v>0</v>
      </c>
      <c r="AT68" s="7" t="n">
        <v>0</v>
      </c>
      <c r="AU68" s="7" t="n">
        <v>0</v>
      </c>
      <c r="AV68" s="7" t="n">
        <v>0</v>
      </c>
      <c r="AW68" s="7" t="n">
        <v>0</v>
      </c>
      <c r="AX68" s="7" t="n">
        <v>0</v>
      </c>
      <c r="AY68" s="7" t="n">
        <v>0</v>
      </c>
      <c r="AZ68" s="7" t="n">
        <v>0</v>
      </c>
      <c r="BA68" s="7" t="n">
        <v>0</v>
      </c>
      <c r="BB68" s="7">
        <f>SUM(AD68:BA68)</f>
        <v/>
      </c>
    </row>
    <row r="69">
      <c r="A69" t="inlineStr">
        <is>
          <t>AMD-M1</t>
        </is>
      </c>
      <c r="B69" t="inlineStr">
        <is>
          <t>Forward Regular OSC</t>
        </is>
      </c>
      <c r="C69" s="5" t="n">
        <v>46091</v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>
        <f>SUM(D69:AA69)</f>
        <v/>
      </c>
      <c r="AC69" s="3" t="inlineStr"/>
      <c r="AD69" s="7" t="n">
        <v>0</v>
      </c>
      <c r="AE69" s="7" t="n">
        <v>0</v>
      </c>
      <c r="AF69" s="7" t="n">
        <v>0</v>
      </c>
      <c r="AG69" s="7" t="n">
        <v>0</v>
      </c>
      <c r="AH69" s="7" t="n">
        <v>0</v>
      </c>
      <c r="AI69" s="7" t="n">
        <v>0</v>
      </c>
      <c r="AJ69" s="7" t="n">
        <v>0</v>
      </c>
      <c r="AK69" s="7" t="n">
        <v>0</v>
      </c>
      <c r="AL69" s="7" t="n">
        <v>0</v>
      </c>
      <c r="AM69" s="7" t="n">
        <v>0</v>
      </c>
      <c r="AN69" s="7" t="n">
        <v>0</v>
      </c>
      <c r="AO69" s="7" t="n">
        <v>0</v>
      </c>
      <c r="AP69" s="7" t="n">
        <v>0</v>
      </c>
      <c r="AQ69" s="7" t="n">
        <v>0</v>
      </c>
      <c r="AR69" s="7" t="n">
        <v>0</v>
      </c>
      <c r="AS69" s="7" t="n">
        <v>0</v>
      </c>
      <c r="AT69" s="7" t="n">
        <v>0</v>
      </c>
      <c r="AU69" s="7" t="n">
        <v>0</v>
      </c>
      <c r="AV69" s="7" t="n">
        <v>0</v>
      </c>
      <c r="AW69" s="7" t="n">
        <v>0</v>
      </c>
      <c r="AX69" s="7" t="n">
        <v>0</v>
      </c>
      <c r="AY69" s="7" t="n">
        <v>0</v>
      </c>
      <c r="AZ69" s="7" t="n">
        <v>0</v>
      </c>
      <c r="BA69" s="7" t="n">
        <v>0</v>
      </c>
      <c r="BB69" s="7">
        <f>SUM(AD69:BA69)</f>
        <v/>
      </c>
    </row>
    <row r="70">
      <c r="A70" t="inlineStr">
        <is>
          <t>AMD-M1</t>
        </is>
      </c>
      <c r="B70" t="inlineStr">
        <is>
          <t>Forward Regular OSC</t>
        </is>
      </c>
      <c r="C70" s="5" t="n">
        <v>46092</v>
      </c>
      <c r="D70" s="6" t="n">
        <v>0</v>
      </c>
      <c r="E70" s="6" t="n">
        <v>0</v>
      </c>
      <c r="F70" s="6" t="n">
        <v>0</v>
      </c>
      <c r="G70" s="6" t="n">
        <v>0</v>
      </c>
      <c r="H70" s="6" t="n">
        <v>0</v>
      </c>
      <c r="I70" s="6" t="n">
        <v>0</v>
      </c>
      <c r="J70" s="6" t="n">
        <v>0</v>
      </c>
      <c r="K70" s="6" t="n">
        <v>0</v>
      </c>
      <c r="L70" s="6" t="n">
        <v>0</v>
      </c>
      <c r="M70" s="6" t="n">
        <v>0</v>
      </c>
      <c r="N70" s="6" t="n">
        <v>0</v>
      </c>
      <c r="O70" s="6" t="n">
        <v>0</v>
      </c>
      <c r="P70" s="6" t="n">
        <v>0</v>
      </c>
      <c r="Q70" s="6" t="n">
        <v>0</v>
      </c>
      <c r="R70" s="6" t="n">
        <v>0</v>
      </c>
      <c r="S70" s="6" t="n">
        <v>0</v>
      </c>
      <c r="T70" s="6" t="n">
        <v>0</v>
      </c>
      <c r="U70" s="6" t="n">
        <v>0</v>
      </c>
      <c r="V70" s="6" t="n">
        <v>0</v>
      </c>
      <c r="W70" s="6" t="n">
        <v>0</v>
      </c>
      <c r="X70" s="6" t="n">
        <v>0</v>
      </c>
      <c r="Y70" s="6" t="n">
        <v>0</v>
      </c>
      <c r="Z70" s="6" t="n">
        <v>0</v>
      </c>
      <c r="AA70" s="6" t="n">
        <v>0</v>
      </c>
      <c r="AB70" s="6">
        <f>SUM(D70:AA70)</f>
        <v/>
      </c>
      <c r="AC70" s="3" t="inlineStr"/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7">
        <f>SUM(AD70:BA70)</f>
        <v/>
      </c>
    </row>
    <row r="71">
      <c r="A71" t="inlineStr">
        <is>
          <t>AMD-M1</t>
        </is>
      </c>
      <c r="B71" t="inlineStr">
        <is>
          <t>Forward Regular OSC</t>
        </is>
      </c>
      <c r="C71" s="5" t="n">
        <v>46093</v>
      </c>
      <c r="D71" s="6" t="n">
        <v>0</v>
      </c>
      <c r="E71" s="6" t="n">
        <v>0</v>
      </c>
      <c r="F71" s="6" t="n">
        <v>0</v>
      </c>
      <c r="G71" s="6" t="n">
        <v>0</v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0</v>
      </c>
      <c r="Z71" s="6" t="n">
        <v>0</v>
      </c>
      <c r="AA71" s="6" t="n">
        <v>0</v>
      </c>
      <c r="AB71" s="6">
        <f>SUM(D71:AA71)</f>
        <v/>
      </c>
      <c r="AC71" s="3" t="inlineStr"/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  <c r="AS71" s="7" t="n">
        <v>0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7" t="n">
        <v>0</v>
      </c>
      <c r="BB71" s="7">
        <f>SUM(AD71:BA71)</f>
        <v/>
      </c>
    </row>
    <row r="72">
      <c r="A72" t="inlineStr">
        <is>
          <t>AMD-M1</t>
        </is>
      </c>
      <c r="B72" t="inlineStr">
        <is>
          <t>Forward Regular OSC</t>
        </is>
      </c>
      <c r="C72" s="5" t="n">
        <v>46094</v>
      </c>
      <c r="D72" s="6" t="n">
        <v>0</v>
      </c>
      <c r="E72" s="6" t="n">
        <v>0</v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0</v>
      </c>
      <c r="K72" s="6" t="n">
        <v>0</v>
      </c>
      <c r="L72" s="6" t="n">
        <v>0</v>
      </c>
      <c r="M72" s="6" t="n">
        <v>0</v>
      </c>
      <c r="N72" s="6" t="n">
        <v>0</v>
      </c>
      <c r="O72" s="6" t="n">
        <v>0</v>
      </c>
      <c r="P72" s="6" t="n">
        <v>0</v>
      </c>
      <c r="Q72" s="6" t="n">
        <v>0</v>
      </c>
      <c r="R72" s="6" t="n">
        <v>0</v>
      </c>
      <c r="S72" s="6" t="n">
        <v>0</v>
      </c>
      <c r="T72" s="6" t="n">
        <v>0</v>
      </c>
      <c r="U72" s="6" t="n">
        <v>0</v>
      </c>
      <c r="V72" s="6" t="n">
        <v>0</v>
      </c>
      <c r="W72" s="6" t="n">
        <v>0</v>
      </c>
      <c r="X72" s="6" t="n">
        <v>0</v>
      </c>
      <c r="Y72" s="6" t="n">
        <v>0</v>
      </c>
      <c r="Z72" s="6" t="n">
        <v>0</v>
      </c>
      <c r="AA72" s="6" t="n">
        <v>0</v>
      </c>
      <c r="AB72" s="6">
        <f>SUM(D72:AA72)</f>
        <v/>
      </c>
      <c r="AC72" s="3" t="inlineStr"/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0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0</v>
      </c>
      <c r="AO72" s="7" t="n">
        <v>0</v>
      </c>
      <c r="AP72" s="7" t="n">
        <v>0</v>
      </c>
      <c r="AQ72" s="7" t="n">
        <v>0</v>
      </c>
      <c r="AR72" s="7" t="n">
        <v>0</v>
      </c>
      <c r="AS72" s="7" t="n">
        <v>0</v>
      </c>
      <c r="AT72" s="7" t="n">
        <v>0</v>
      </c>
      <c r="AU72" s="7" t="n">
        <v>0</v>
      </c>
      <c r="AV72" s="7" t="n">
        <v>0</v>
      </c>
      <c r="AW72" s="7" t="n">
        <v>0</v>
      </c>
      <c r="AX72" s="7" t="n">
        <v>0</v>
      </c>
      <c r="AY72" s="7" t="n">
        <v>0</v>
      </c>
      <c r="AZ72" s="7" t="n">
        <v>0</v>
      </c>
      <c r="BA72" s="7" t="n">
        <v>0</v>
      </c>
      <c r="BB72" s="7">
        <f>SUM(AD72:BA72)</f>
        <v/>
      </c>
    </row>
    <row r="73">
      <c r="A73" t="inlineStr">
        <is>
          <t>AMD-M1</t>
        </is>
      </c>
      <c r="B73" t="inlineStr">
        <is>
          <t>Forward Regular OSC</t>
        </is>
      </c>
      <c r="C73" s="5" t="n">
        <v>46095</v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  <c r="S73" s="6" t="n">
        <v>0</v>
      </c>
      <c r="T73" s="6" t="n">
        <v>0</v>
      </c>
      <c r="U73" s="6" t="n">
        <v>0</v>
      </c>
      <c r="V73" s="6" t="n">
        <v>0</v>
      </c>
      <c r="W73" s="6" t="n">
        <v>0</v>
      </c>
      <c r="X73" s="6" t="n">
        <v>0</v>
      </c>
      <c r="Y73" s="6" t="n">
        <v>0</v>
      </c>
      <c r="Z73" s="6" t="n">
        <v>0</v>
      </c>
      <c r="AA73" s="6" t="n">
        <v>0</v>
      </c>
      <c r="AB73" s="6">
        <f>SUM(D73:AA73)</f>
        <v/>
      </c>
      <c r="AC73" s="3" t="inlineStr"/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7" t="n">
        <v>0</v>
      </c>
      <c r="BB73" s="7">
        <f>SUM(AD73:BA73)</f>
        <v/>
      </c>
    </row>
    <row r="74">
      <c r="A74" t="inlineStr">
        <is>
          <t>AMD-M1</t>
        </is>
      </c>
      <c r="B74" t="inlineStr">
        <is>
          <t>Forward Regular OSC</t>
        </is>
      </c>
      <c r="C74" s="5" t="n">
        <v>46096</v>
      </c>
      <c r="D74" s="6" t="n">
        <v>0</v>
      </c>
      <c r="E74" s="6" t="n">
        <v>0</v>
      </c>
      <c r="F74" s="6" t="n">
        <v>0</v>
      </c>
      <c r="G74" s="6" t="n">
        <v>0</v>
      </c>
      <c r="H74" s="6" t="n">
        <v>0</v>
      </c>
      <c r="I74" s="6" t="n">
        <v>0</v>
      </c>
      <c r="J74" s="6" t="n">
        <v>0</v>
      </c>
      <c r="K74" s="6" t="n">
        <v>0</v>
      </c>
      <c r="L74" s="6" t="n">
        <v>0</v>
      </c>
      <c r="M74" s="6" t="n">
        <v>0</v>
      </c>
      <c r="N74" s="6" t="n">
        <v>0</v>
      </c>
      <c r="O74" s="6" t="n">
        <v>0</v>
      </c>
      <c r="P74" s="6" t="n">
        <v>0</v>
      </c>
      <c r="Q74" s="6" t="n">
        <v>0</v>
      </c>
      <c r="R74" s="6" t="n">
        <v>0</v>
      </c>
      <c r="S74" s="6" t="n">
        <v>0</v>
      </c>
      <c r="T74" s="6" t="n">
        <v>0</v>
      </c>
      <c r="U74" s="6" t="n">
        <v>0</v>
      </c>
      <c r="V74" s="6" t="n">
        <v>0</v>
      </c>
      <c r="W74" s="6" t="n">
        <v>0</v>
      </c>
      <c r="X74" s="6" t="n">
        <v>0</v>
      </c>
      <c r="Y74" s="6" t="n">
        <v>0</v>
      </c>
      <c r="Z74" s="6" t="n">
        <v>0</v>
      </c>
      <c r="AA74" s="6" t="n">
        <v>0</v>
      </c>
      <c r="AB74" s="6">
        <f>SUM(D74:AA74)</f>
        <v/>
      </c>
      <c r="AC74" s="3" t="inlineStr"/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7" t="n">
        <v>0</v>
      </c>
      <c r="AX74" s="7" t="n">
        <v>0</v>
      </c>
      <c r="AY74" s="7" t="n">
        <v>0</v>
      </c>
      <c r="AZ74" s="7" t="n">
        <v>0</v>
      </c>
      <c r="BA74" s="7" t="n">
        <v>0</v>
      </c>
      <c r="BB74" s="7">
        <f>SUM(AD74:BA74)</f>
        <v/>
      </c>
    </row>
    <row r="75">
      <c r="A75" t="inlineStr">
        <is>
          <t>AMD-M1</t>
        </is>
      </c>
      <c r="B75" t="inlineStr">
        <is>
          <t>Forward Regular OSC</t>
        </is>
      </c>
      <c r="C75" s="5" t="n">
        <v>46097</v>
      </c>
      <c r="D75" s="6" t="n">
        <v>0</v>
      </c>
      <c r="E75" s="6" t="n">
        <v>0</v>
      </c>
      <c r="F75" s="6" t="n">
        <v>0</v>
      </c>
      <c r="G75" s="6" t="n">
        <v>0</v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  <c r="O75" s="6" t="n">
        <v>0</v>
      </c>
      <c r="P75" s="6" t="n">
        <v>0</v>
      </c>
      <c r="Q75" s="6" t="n">
        <v>0</v>
      </c>
      <c r="R75" s="6" t="n">
        <v>0</v>
      </c>
      <c r="S75" s="6" t="n">
        <v>0</v>
      </c>
      <c r="T75" s="6" t="n">
        <v>0</v>
      </c>
      <c r="U75" s="6" t="n">
        <v>0</v>
      </c>
      <c r="V75" s="6" t="n">
        <v>0</v>
      </c>
      <c r="W75" s="6" t="n">
        <v>0</v>
      </c>
      <c r="X75" s="6" t="n">
        <v>0</v>
      </c>
      <c r="Y75" s="6" t="n">
        <v>0</v>
      </c>
      <c r="Z75" s="6" t="n">
        <v>0</v>
      </c>
      <c r="AA75" s="6" t="n">
        <v>0</v>
      </c>
      <c r="AB75" s="6">
        <f>SUM(D75:AA75)</f>
        <v/>
      </c>
      <c r="AC75" s="3" t="inlineStr"/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7" t="n">
        <v>0</v>
      </c>
      <c r="AP75" s="7" t="n">
        <v>0</v>
      </c>
      <c r="AQ75" s="7" t="n">
        <v>0</v>
      </c>
      <c r="AR75" s="7" t="n">
        <v>0</v>
      </c>
      <c r="AS75" s="7" t="n">
        <v>0</v>
      </c>
      <c r="AT75" s="7" t="n">
        <v>0</v>
      </c>
      <c r="AU75" s="7" t="n">
        <v>0</v>
      </c>
      <c r="AV75" s="7" t="n">
        <v>0</v>
      </c>
      <c r="AW75" s="7" t="n">
        <v>0</v>
      </c>
      <c r="AX75" s="7" t="n">
        <v>0</v>
      </c>
      <c r="AY75" s="7" t="n">
        <v>0</v>
      </c>
      <c r="AZ75" s="7" t="n">
        <v>0</v>
      </c>
      <c r="BA75" s="7" t="n">
        <v>0</v>
      </c>
      <c r="BB75" s="7">
        <f>SUM(AD75:BA75)</f>
        <v/>
      </c>
    </row>
    <row r="76">
      <c r="A76" t="inlineStr">
        <is>
          <t>AMD-M2</t>
        </is>
      </c>
      <c r="B76" t="inlineStr">
        <is>
          <t>Forward Regular OSC</t>
        </is>
      </c>
      <c r="C76" s="5" t="n">
        <v>46089</v>
      </c>
      <c r="D76" s="6" t="n">
        <v>0</v>
      </c>
      <c r="E76" s="6" t="n">
        <v>0</v>
      </c>
      <c r="F76" s="6" t="n">
        <v>0</v>
      </c>
      <c r="G76" s="6" t="n">
        <v>0</v>
      </c>
      <c r="H76" s="6" t="n">
        <v>0</v>
      </c>
      <c r="I76" s="6" t="n">
        <v>0</v>
      </c>
      <c r="J76" s="6" t="n">
        <v>0</v>
      </c>
      <c r="K76" s="6" t="n">
        <v>0</v>
      </c>
      <c r="L76" s="6" t="n">
        <v>0</v>
      </c>
      <c r="M76" s="6" t="n">
        <v>0</v>
      </c>
      <c r="N76" s="6" t="n">
        <v>0</v>
      </c>
      <c r="O76" s="6" t="n">
        <v>0</v>
      </c>
      <c r="P76" s="6" t="n">
        <v>0</v>
      </c>
      <c r="Q76" s="6" t="n">
        <v>0</v>
      </c>
      <c r="R76" s="6" t="n">
        <v>0</v>
      </c>
      <c r="S76" s="6" t="n">
        <v>0</v>
      </c>
      <c r="T76" s="6" t="n">
        <v>0</v>
      </c>
      <c r="U76" s="6" t="n">
        <v>0</v>
      </c>
      <c r="V76" s="6" t="n">
        <v>0</v>
      </c>
      <c r="W76" s="6" t="n">
        <v>0</v>
      </c>
      <c r="X76" s="6" t="n">
        <v>0</v>
      </c>
      <c r="Y76" s="6" t="n">
        <v>0</v>
      </c>
      <c r="Z76" s="6" t="n">
        <v>0</v>
      </c>
      <c r="AA76" s="6" t="n">
        <v>0</v>
      </c>
      <c r="AB76" s="6">
        <f>SUM(D76:AA76)</f>
        <v/>
      </c>
      <c r="AC76" s="3" t="inlineStr"/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0</v>
      </c>
      <c r="AP76" s="7" t="n">
        <v>0</v>
      </c>
      <c r="AQ76" s="7" t="n">
        <v>0</v>
      </c>
      <c r="AR76" s="7" t="n">
        <v>0</v>
      </c>
      <c r="AS76" s="7" t="n">
        <v>0</v>
      </c>
      <c r="AT76" s="7" t="n">
        <v>0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0</v>
      </c>
      <c r="BA76" s="7" t="n">
        <v>0</v>
      </c>
      <c r="BB76" s="7">
        <f>SUM(AD76:BA76)</f>
        <v/>
      </c>
    </row>
    <row r="77">
      <c r="A77" t="inlineStr">
        <is>
          <t>AMD-M2</t>
        </is>
      </c>
      <c r="B77" t="inlineStr">
        <is>
          <t>Forward Regular OSC</t>
        </is>
      </c>
      <c r="C77" s="5" t="n">
        <v>46090</v>
      </c>
      <c r="D77" s="6" t="n">
        <v>0</v>
      </c>
      <c r="E77" s="6" t="n">
        <v>0</v>
      </c>
      <c r="F77" s="6" t="n">
        <v>0</v>
      </c>
      <c r="G77" s="6" t="n">
        <v>0</v>
      </c>
      <c r="H77" s="6" t="n">
        <v>0</v>
      </c>
      <c r="I77" s="6" t="n">
        <v>0</v>
      </c>
      <c r="J77" s="6" t="n">
        <v>0</v>
      </c>
      <c r="K77" s="6" t="n">
        <v>0</v>
      </c>
      <c r="L77" s="6" t="n">
        <v>0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</v>
      </c>
      <c r="R77" s="6" t="n">
        <v>0</v>
      </c>
      <c r="S77" s="6" t="n">
        <v>0</v>
      </c>
      <c r="T77" s="6" t="n">
        <v>0</v>
      </c>
      <c r="U77" s="6" t="n">
        <v>0</v>
      </c>
      <c r="V77" s="6" t="n">
        <v>0</v>
      </c>
      <c r="W77" s="6" t="n">
        <v>0</v>
      </c>
      <c r="X77" s="6" t="n">
        <v>0</v>
      </c>
      <c r="Y77" s="6" t="n">
        <v>0</v>
      </c>
      <c r="Z77" s="6" t="n">
        <v>0</v>
      </c>
      <c r="AA77" s="6" t="n">
        <v>0</v>
      </c>
      <c r="AB77" s="6">
        <f>SUM(D77:AA77)</f>
        <v/>
      </c>
      <c r="AC77" s="3" t="inlineStr"/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0</v>
      </c>
      <c r="AP77" s="7" t="n">
        <v>0</v>
      </c>
      <c r="AQ77" s="7" t="n">
        <v>0</v>
      </c>
      <c r="AR77" s="7" t="n">
        <v>0</v>
      </c>
      <c r="AS77" s="7" t="n">
        <v>0</v>
      </c>
      <c r="AT77" s="7" t="n">
        <v>0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0</v>
      </c>
      <c r="BA77" s="7" t="n">
        <v>0</v>
      </c>
      <c r="BB77" s="7">
        <f>SUM(AD77:BA77)</f>
        <v/>
      </c>
    </row>
    <row r="78">
      <c r="A78" t="inlineStr">
        <is>
          <t>AMD-M2</t>
        </is>
      </c>
      <c r="B78" t="inlineStr">
        <is>
          <t>Forward Regular OSC</t>
        </is>
      </c>
      <c r="C78" s="5" t="n">
        <v>46091</v>
      </c>
      <c r="D78" s="6" t="n">
        <v>0</v>
      </c>
      <c r="E78" s="6" t="n">
        <v>0</v>
      </c>
      <c r="F78" s="6" t="n">
        <v>0</v>
      </c>
      <c r="G78" s="6" t="n">
        <v>0</v>
      </c>
      <c r="H78" s="6" t="n">
        <v>0</v>
      </c>
      <c r="I78" s="6" t="n">
        <v>0</v>
      </c>
      <c r="J78" s="6" t="n">
        <v>0</v>
      </c>
      <c r="K78" s="6" t="n">
        <v>0</v>
      </c>
      <c r="L78" s="6" t="n">
        <v>0</v>
      </c>
      <c r="M78" s="6" t="n">
        <v>0</v>
      </c>
      <c r="N78" s="6" t="n">
        <v>0</v>
      </c>
      <c r="O78" s="6" t="n">
        <v>0</v>
      </c>
      <c r="P78" s="6" t="n">
        <v>0</v>
      </c>
      <c r="Q78" s="6" t="n">
        <v>0</v>
      </c>
      <c r="R78" s="6" t="n">
        <v>0</v>
      </c>
      <c r="S78" s="6" t="n">
        <v>0</v>
      </c>
      <c r="T78" s="6" t="n">
        <v>0</v>
      </c>
      <c r="U78" s="6" t="n">
        <v>0</v>
      </c>
      <c r="V78" s="6" t="n">
        <v>0</v>
      </c>
      <c r="W78" s="6" t="n">
        <v>0</v>
      </c>
      <c r="X78" s="6" t="n">
        <v>0</v>
      </c>
      <c r="Y78" s="6" t="n">
        <v>0</v>
      </c>
      <c r="Z78" s="6" t="n">
        <v>0</v>
      </c>
      <c r="AA78" s="6" t="n">
        <v>0</v>
      </c>
      <c r="AB78" s="6">
        <f>SUM(D78:AA78)</f>
        <v/>
      </c>
      <c r="AC78" s="3" t="inlineStr"/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0</v>
      </c>
      <c r="AP78" s="7" t="n">
        <v>0</v>
      </c>
      <c r="AQ78" s="7" t="n">
        <v>0</v>
      </c>
      <c r="AR78" s="7" t="n">
        <v>0</v>
      </c>
      <c r="AS78" s="7" t="n">
        <v>0</v>
      </c>
      <c r="AT78" s="7" t="n">
        <v>0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0</v>
      </c>
      <c r="BA78" s="7" t="n">
        <v>0</v>
      </c>
      <c r="BB78" s="7">
        <f>SUM(AD78:BA78)</f>
        <v/>
      </c>
    </row>
    <row r="79">
      <c r="A79" t="inlineStr">
        <is>
          <t>AMD-M2</t>
        </is>
      </c>
      <c r="B79" t="inlineStr">
        <is>
          <t>Forward Regular OSC</t>
        </is>
      </c>
      <c r="C79" s="5" t="n">
        <v>46092</v>
      </c>
      <c r="D79" s="6" t="n">
        <v>0</v>
      </c>
      <c r="E79" s="6" t="n">
        <v>0</v>
      </c>
      <c r="F79" s="6" t="n">
        <v>0</v>
      </c>
      <c r="G79" s="6" t="n">
        <v>0</v>
      </c>
      <c r="H79" s="6" t="n">
        <v>0</v>
      </c>
      <c r="I79" s="6" t="n">
        <v>0</v>
      </c>
      <c r="J79" s="6" t="n">
        <v>0</v>
      </c>
      <c r="K79" s="6" t="n">
        <v>0</v>
      </c>
      <c r="L79" s="6" t="n">
        <v>0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0</v>
      </c>
      <c r="T79" s="6" t="n">
        <v>0</v>
      </c>
      <c r="U79" s="6" t="n">
        <v>0</v>
      </c>
      <c r="V79" s="6" t="n">
        <v>0</v>
      </c>
      <c r="W79" s="6" t="n">
        <v>0</v>
      </c>
      <c r="X79" s="6" t="n">
        <v>0</v>
      </c>
      <c r="Y79" s="6" t="n">
        <v>0</v>
      </c>
      <c r="Z79" s="6" t="n">
        <v>0</v>
      </c>
      <c r="AA79" s="6" t="n">
        <v>0</v>
      </c>
      <c r="AB79" s="6">
        <f>SUM(D79:AA79)</f>
        <v/>
      </c>
      <c r="AC79" s="3" t="inlineStr"/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0</v>
      </c>
      <c r="AP79" s="7" t="n">
        <v>0</v>
      </c>
      <c r="AQ79" s="7" t="n">
        <v>0</v>
      </c>
      <c r="AR79" s="7" t="n">
        <v>0</v>
      </c>
      <c r="AS79" s="7" t="n">
        <v>0</v>
      </c>
      <c r="AT79" s="7" t="n">
        <v>0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0</v>
      </c>
      <c r="BA79" s="7" t="n">
        <v>0</v>
      </c>
      <c r="BB79" s="7">
        <f>SUM(AD79:BA79)</f>
        <v/>
      </c>
    </row>
    <row r="80">
      <c r="A80" t="inlineStr">
        <is>
          <t>AMD-M2</t>
        </is>
      </c>
      <c r="B80" t="inlineStr">
        <is>
          <t>Forward Regular OSC</t>
        </is>
      </c>
      <c r="C80" s="5" t="n">
        <v>46093</v>
      </c>
      <c r="D80" s="6" t="n">
        <v>0</v>
      </c>
      <c r="E80" s="6" t="n">
        <v>0</v>
      </c>
      <c r="F80" s="6" t="n">
        <v>0</v>
      </c>
      <c r="G80" s="6" t="n">
        <v>0</v>
      </c>
      <c r="H80" s="6" t="n">
        <v>0</v>
      </c>
      <c r="I80" s="6" t="n">
        <v>0</v>
      </c>
      <c r="J80" s="6" t="n">
        <v>0</v>
      </c>
      <c r="K80" s="6" t="n">
        <v>0</v>
      </c>
      <c r="L80" s="6" t="n">
        <v>0</v>
      </c>
      <c r="M80" s="6" t="n">
        <v>0</v>
      </c>
      <c r="N80" s="6" t="n">
        <v>0</v>
      </c>
      <c r="O80" s="6" t="n">
        <v>0</v>
      </c>
      <c r="P80" s="6" t="n">
        <v>0</v>
      </c>
      <c r="Q80" s="6" t="n">
        <v>0</v>
      </c>
      <c r="R80" s="6" t="n">
        <v>0</v>
      </c>
      <c r="S80" s="6" t="n">
        <v>0</v>
      </c>
      <c r="T80" s="6" t="n">
        <v>0</v>
      </c>
      <c r="U80" s="6" t="n">
        <v>0</v>
      </c>
      <c r="V80" s="6" t="n">
        <v>0</v>
      </c>
      <c r="W80" s="6" t="n">
        <v>0</v>
      </c>
      <c r="X80" s="6" t="n">
        <v>0</v>
      </c>
      <c r="Y80" s="6" t="n">
        <v>0</v>
      </c>
      <c r="Z80" s="6" t="n">
        <v>0</v>
      </c>
      <c r="AA80" s="6" t="n">
        <v>0</v>
      </c>
      <c r="AB80" s="6">
        <f>SUM(D80:AA80)</f>
        <v/>
      </c>
      <c r="AC80" s="3" t="inlineStr"/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0</v>
      </c>
      <c r="AP80" s="7" t="n">
        <v>0</v>
      </c>
      <c r="AQ80" s="7" t="n">
        <v>0</v>
      </c>
      <c r="AR80" s="7" t="n">
        <v>0</v>
      </c>
      <c r="AS80" s="7" t="n">
        <v>0</v>
      </c>
      <c r="AT80" s="7" t="n">
        <v>0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0</v>
      </c>
      <c r="BA80" s="7" t="n">
        <v>0</v>
      </c>
      <c r="BB80" s="7">
        <f>SUM(AD80:BA80)</f>
        <v/>
      </c>
    </row>
    <row r="81">
      <c r="A81" t="inlineStr">
        <is>
          <t>AMD-M2</t>
        </is>
      </c>
      <c r="B81" t="inlineStr">
        <is>
          <t>Forward Regular OSC</t>
        </is>
      </c>
      <c r="C81" s="5" t="n">
        <v>46094</v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  <c r="R81" s="6" t="n">
        <v>0</v>
      </c>
      <c r="S81" s="6" t="n">
        <v>0</v>
      </c>
      <c r="T81" s="6" t="n">
        <v>0</v>
      </c>
      <c r="U81" s="6" t="n">
        <v>0</v>
      </c>
      <c r="V81" s="6" t="n">
        <v>0</v>
      </c>
      <c r="W81" s="6" t="n">
        <v>0</v>
      </c>
      <c r="X81" s="6" t="n">
        <v>0</v>
      </c>
      <c r="Y81" s="6" t="n">
        <v>0</v>
      </c>
      <c r="Z81" s="6" t="n">
        <v>0</v>
      </c>
      <c r="AA81" s="6" t="n">
        <v>0</v>
      </c>
      <c r="AB81" s="6">
        <f>SUM(D81:AA81)</f>
        <v/>
      </c>
      <c r="AC81" s="3" t="inlineStr"/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0</v>
      </c>
      <c r="AP81" s="7" t="n">
        <v>0</v>
      </c>
      <c r="AQ81" s="7" t="n">
        <v>0</v>
      </c>
      <c r="AR81" s="7" t="n">
        <v>0</v>
      </c>
      <c r="AS81" s="7" t="n">
        <v>0</v>
      </c>
      <c r="AT81" s="7" t="n">
        <v>0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0</v>
      </c>
      <c r="BA81" s="7" t="n">
        <v>0</v>
      </c>
      <c r="BB81" s="7">
        <f>SUM(AD81:BA81)</f>
        <v/>
      </c>
    </row>
    <row r="82">
      <c r="A82" t="inlineStr">
        <is>
          <t>AMD-M2</t>
        </is>
      </c>
      <c r="B82" t="inlineStr">
        <is>
          <t>Forward Regular OSC</t>
        </is>
      </c>
      <c r="C82" s="5" t="n">
        <v>46095</v>
      </c>
      <c r="D82" s="6" t="n">
        <v>0</v>
      </c>
      <c r="E82" s="6" t="n">
        <v>0</v>
      </c>
      <c r="F82" s="6" t="n">
        <v>0</v>
      </c>
      <c r="G82" s="6" t="n">
        <v>0</v>
      </c>
      <c r="H82" s="6" t="n">
        <v>0</v>
      </c>
      <c r="I82" s="6" t="n">
        <v>0</v>
      </c>
      <c r="J82" s="6" t="n">
        <v>0</v>
      </c>
      <c r="K82" s="6" t="n">
        <v>0</v>
      </c>
      <c r="L82" s="6" t="n">
        <v>0</v>
      </c>
      <c r="M82" s="6" t="n">
        <v>0</v>
      </c>
      <c r="N82" s="6" t="n">
        <v>0</v>
      </c>
      <c r="O82" s="6" t="n">
        <v>0</v>
      </c>
      <c r="P82" s="6" t="n">
        <v>0</v>
      </c>
      <c r="Q82" s="6" t="n">
        <v>0</v>
      </c>
      <c r="R82" s="6" t="n">
        <v>0</v>
      </c>
      <c r="S82" s="6" t="n">
        <v>0</v>
      </c>
      <c r="T82" s="6" t="n">
        <v>0</v>
      </c>
      <c r="U82" s="6" t="n">
        <v>0</v>
      </c>
      <c r="V82" s="6" t="n">
        <v>0</v>
      </c>
      <c r="W82" s="6" t="n">
        <v>0</v>
      </c>
      <c r="X82" s="6" t="n">
        <v>0</v>
      </c>
      <c r="Y82" s="6" t="n">
        <v>0</v>
      </c>
      <c r="Z82" s="6" t="n">
        <v>0</v>
      </c>
      <c r="AA82" s="6" t="n">
        <v>0</v>
      </c>
      <c r="AB82" s="6">
        <f>SUM(D82:AA82)</f>
        <v/>
      </c>
      <c r="AC82" s="3" t="inlineStr"/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0</v>
      </c>
      <c r="AP82" s="7" t="n">
        <v>0</v>
      </c>
      <c r="AQ82" s="7" t="n">
        <v>0</v>
      </c>
      <c r="AR82" s="7" t="n">
        <v>0</v>
      </c>
      <c r="AS82" s="7" t="n">
        <v>0</v>
      </c>
      <c r="AT82" s="7" t="n">
        <v>0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7" t="n">
        <v>0</v>
      </c>
      <c r="BB82" s="7">
        <f>SUM(AD82:BA82)</f>
        <v/>
      </c>
    </row>
    <row r="83">
      <c r="A83" t="inlineStr">
        <is>
          <t>AMD-M2</t>
        </is>
      </c>
      <c r="B83" t="inlineStr">
        <is>
          <t>Forward Regular OSC</t>
        </is>
      </c>
      <c r="C83" s="5" t="n">
        <v>46096</v>
      </c>
      <c r="D83" s="6" t="n">
        <v>0</v>
      </c>
      <c r="E83" s="6" t="n">
        <v>0</v>
      </c>
      <c r="F83" s="6" t="n">
        <v>0</v>
      </c>
      <c r="G83" s="6" t="n">
        <v>0</v>
      </c>
      <c r="H83" s="6" t="n">
        <v>0</v>
      </c>
      <c r="I83" s="6" t="n">
        <v>0</v>
      </c>
      <c r="J83" s="6" t="n">
        <v>0</v>
      </c>
      <c r="K83" s="6" t="n">
        <v>0</v>
      </c>
      <c r="L83" s="6" t="n">
        <v>0</v>
      </c>
      <c r="M83" s="6" t="n">
        <v>0</v>
      </c>
      <c r="N83" s="6" t="n">
        <v>0</v>
      </c>
      <c r="O83" s="6" t="n">
        <v>0</v>
      </c>
      <c r="P83" s="6" t="n">
        <v>0</v>
      </c>
      <c r="Q83" s="6" t="n">
        <v>0</v>
      </c>
      <c r="R83" s="6" t="n">
        <v>0</v>
      </c>
      <c r="S83" s="6" t="n">
        <v>0</v>
      </c>
      <c r="T83" s="6" t="n">
        <v>0</v>
      </c>
      <c r="U83" s="6" t="n">
        <v>0</v>
      </c>
      <c r="V83" s="6" t="n">
        <v>0</v>
      </c>
      <c r="W83" s="6" t="n">
        <v>0</v>
      </c>
      <c r="X83" s="6" t="n">
        <v>0</v>
      </c>
      <c r="Y83" s="6" t="n">
        <v>0</v>
      </c>
      <c r="Z83" s="6" t="n">
        <v>0</v>
      </c>
      <c r="AA83" s="6" t="n">
        <v>0</v>
      </c>
      <c r="AB83" s="6">
        <f>SUM(D83:AA83)</f>
        <v/>
      </c>
      <c r="AC83" s="3" t="inlineStr"/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0</v>
      </c>
      <c r="AP83" s="7" t="n">
        <v>0</v>
      </c>
      <c r="AQ83" s="7" t="n">
        <v>0</v>
      </c>
      <c r="AR83" s="7" t="n">
        <v>0</v>
      </c>
      <c r="AS83" s="7" t="n">
        <v>0</v>
      </c>
      <c r="AT83" s="7" t="n">
        <v>0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0</v>
      </c>
      <c r="BA83" s="7" t="n">
        <v>0</v>
      </c>
      <c r="BB83" s="7">
        <f>SUM(AD83:BA83)</f>
        <v/>
      </c>
    </row>
    <row r="84">
      <c r="A84" t="inlineStr">
        <is>
          <t>AMD-M2</t>
        </is>
      </c>
      <c r="B84" t="inlineStr">
        <is>
          <t>Forward Regular OSC</t>
        </is>
      </c>
      <c r="C84" s="5" t="n">
        <v>46097</v>
      </c>
      <c r="D84" s="6" t="n">
        <v>0</v>
      </c>
      <c r="E84" s="6" t="n">
        <v>0</v>
      </c>
      <c r="F84" s="6" t="n">
        <v>0</v>
      </c>
      <c r="G84" s="6" t="n">
        <v>0</v>
      </c>
      <c r="H84" s="6" t="n">
        <v>0</v>
      </c>
      <c r="I84" s="6" t="n">
        <v>0</v>
      </c>
      <c r="J84" s="6" t="n">
        <v>0</v>
      </c>
      <c r="K84" s="6" t="n">
        <v>0</v>
      </c>
      <c r="L84" s="6" t="n">
        <v>0</v>
      </c>
      <c r="M84" s="6" t="n">
        <v>0</v>
      </c>
      <c r="N84" s="6" t="n">
        <v>0</v>
      </c>
      <c r="O84" s="6" t="n">
        <v>0</v>
      </c>
      <c r="P84" s="6" t="n">
        <v>0</v>
      </c>
      <c r="Q84" s="6" t="n">
        <v>0</v>
      </c>
      <c r="R84" s="6" t="n">
        <v>0</v>
      </c>
      <c r="S84" s="6" t="n">
        <v>0</v>
      </c>
      <c r="T84" s="6" t="n">
        <v>0</v>
      </c>
      <c r="U84" s="6" t="n">
        <v>0</v>
      </c>
      <c r="V84" s="6" t="n">
        <v>0</v>
      </c>
      <c r="W84" s="6" t="n">
        <v>0</v>
      </c>
      <c r="X84" s="6" t="n">
        <v>0</v>
      </c>
      <c r="Y84" s="6" t="n">
        <v>0</v>
      </c>
      <c r="Z84" s="6" t="n">
        <v>0</v>
      </c>
      <c r="AA84" s="6" t="n">
        <v>0</v>
      </c>
      <c r="AB84" s="6">
        <f>SUM(D84:AA84)</f>
        <v/>
      </c>
      <c r="AC84" s="3" t="inlineStr"/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0</v>
      </c>
      <c r="AP84" s="7" t="n">
        <v>0</v>
      </c>
      <c r="AQ84" s="7" t="n">
        <v>0</v>
      </c>
      <c r="AR84" s="7" t="n">
        <v>0</v>
      </c>
      <c r="AS84" s="7" t="n">
        <v>0</v>
      </c>
      <c r="AT84" s="7" t="n">
        <v>0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0</v>
      </c>
      <c r="BA84" s="7" t="n">
        <v>0</v>
      </c>
      <c r="BB84" s="7">
        <f>SUM(AD84:BA84)</f>
        <v/>
      </c>
    </row>
    <row r="85">
      <c r="A85" t="inlineStr">
        <is>
          <t>AMD-MU-01</t>
        </is>
      </c>
      <c r="B85" t="inlineStr">
        <is>
          <t>Forward Regular OSC</t>
        </is>
      </c>
      <c r="C85" s="5" t="n">
        <v>46091</v>
      </c>
      <c r="D85" s="6" t="n">
        <v>0</v>
      </c>
      <c r="E85" s="6" t="n">
        <v>0</v>
      </c>
      <c r="F85" s="6" t="n">
        <v>0</v>
      </c>
      <c r="G85" s="6" t="n">
        <v>0</v>
      </c>
      <c r="H85" s="6" t="n">
        <v>0</v>
      </c>
      <c r="I85" s="6" t="n">
        <v>0</v>
      </c>
      <c r="J85" s="6" t="n">
        <v>0</v>
      </c>
      <c r="K85" s="6" t="n">
        <v>0</v>
      </c>
      <c r="L85" s="6" t="n">
        <v>0</v>
      </c>
      <c r="M85" s="6" t="n">
        <v>0</v>
      </c>
      <c r="N85" s="6" t="n">
        <v>0</v>
      </c>
      <c r="O85" s="6" t="n">
        <v>0</v>
      </c>
      <c r="P85" s="6" t="n">
        <v>0</v>
      </c>
      <c r="Q85" s="6" t="n">
        <v>0</v>
      </c>
      <c r="R85" s="6" t="n">
        <v>0</v>
      </c>
      <c r="S85" s="6" t="n">
        <v>0</v>
      </c>
      <c r="T85" s="6" t="n">
        <v>0</v>
      </c>
      <c r="U85" s="6" t="n">
        <v>0</v>
      </c>
      <c r="V85" s="6" t="n">
        <v>0</v>
      </c>
      <c r="W85" s="6" t="n">
        <v>0</v>
      </c>
      <c r="X85" s="6" t="n">
        <v>0</v>
      </c>
      <c r="Y85" s="6" t="n">
        <v>0</v>
      </c>
      <c r="Z85" s="6" t="n">
        <v>0</v>
      </c>
      <c r="AA85" s="6" t="n">
        <v>0</v>
      </c>
      <c r="AB85" s="6">
        <f>SUM(D85:AA85)</f>
        <v/>
      </c>
      <c r="AC85" s="3" t="inlineStr"/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0</v>
      </c>
      <c r="AP85" s="7" t="n">
        <v>0</v>
      </c>
      <c r="AQ85" s="7" t="n">
        <v>0</v>
      </c>
      <c r="AR85" s="7" t="n">
        <v>0</v>
      </c>
      <c r="AS85" s="7" t="n">
        <v>0</v>
      </c>
      <c r="AT85" s="7" t="n">
        <v>0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0</v>
      </c>
      <c r="BA85" s="7" t="n">
        <v>0</v>
      </c>
      <c r="BB85" s="7">
        <f>SUM(AD85:BA85)</f>
        <v/>
      </c>
    </row>
    <row r="86">
      <c r="A86" t="inlineStr">
        <is>
          <t>AMD-RTS-RCLS-1302-SSC</t>
        </is>
      </c>
      <c r="B86" t="inlineStr">
        <is>
          <t>Rev OSC</t>
        </is>
      </c>
      <c r="C86" s="5" t="n">
        <v>46089</v>
      </c>
      <c r="D86" s="6" t="n">
        <v>0</v>
      </c>
      <c r="E86" s="6" t="n">
        <v>0</v>
      </c>
      <c r="F86" s="6" t="n">
        <v>0</v>
      </c>
      <c r="G86" s="6" t="n">
        <v>0</v>
      </c>
      <c r="H86" s="6" t="n">
        <v>0</v>
      </c>
      <c r="I86" s="6" t="n">
        <v>0</v>
      </c>
      <c r="J86" s="6" t="n">
        <v>0</v>
      </c>
      <c r="K86" s="6" t="n">
        <v>0</v>
      </c>
      <c r="L86" s="6" t="n">
        <v>0</v>
      </c>
      <c r="M86" s="6" t="n">
        <v>0</v>
      </c>
      <c r="N86" s="6" t="n">
        <v>0</v>
      </c>
      <c r="O86" s="6" t="n">
        <v>0</v>
      </c>
      <c r="P86" s="6" t="n">
        <v>0</v>
      </c>
      <c r="Q86" s="6" t="n">
        <v>0</v>
      </c>
      <c r="R86" s="6" t="n">
        <v>0</v>
      </c>
      <c r="S86" s="6" t="n">
        <v>0</v>
      </c>
      <c r="T86" s="6" t="n">
        <v>0</v>
      </c>
      <c r="U86" s="6" t="n">
        <v>0</v>
      </c>
      <c r="V86" s="6" t="n">
        <v>0</v>
      </c>
      <c r="W86" s="6" t="n">
        <v>0</v>
      </c>
      <c r="X86" s="6" t="n">
        <v>0</v>
      </c>
      <c r="Y86" s="6" t="n">
        <v>0</v>
      </c>
      <c r="Z86" s="6" t="n">
        <v>0</v>
      </c>
      <c r="AA86" s="6" t="n">
        <v>0</v>
      </c>
      <c r="AB86" s="6">
        <f>SUM(D86:AA86)</f>
        <v/>
      </c>
      <c r="AC86" s="3" t="inlineStr"/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7" t="n">
        <v>0</v>
      </c>
      <c r="BB86" s="7">
        <f>SUM(AD86:BA86)</f>
        <v/>
      </c>
    </row>
    <row r="87">
      <c r="A87" t="inlineStr">
        <is>
          <t>AMD-RTS-RCLS-1302-SSC</t>
        </is>
      </c>
      <c r="B87" t="inlineStr">
        <is>
          <t>Rev OSC</t>
        </is>
      </c>
      <c r="C87" s="5" t="n">
        <v>46090</v>
      </c>
      <c r="D87" s="6" t="n">
        <v>0</v>
      </c>
      <c r="E87" s="6" t="n">
        <v>0</v>
      </c>
      <c r="F87" s="6" t="n">
        <v>0</v>
      </c>
      <c r="G87" s="6" t="n">
        <v>0</v>
      </c>
      <c r="H87" s="6" t="n">
        <v>0</v>
      </c>
      <c r="I87" s="6" t="n">
        <v>0</v>
      </c>
      <c r="J87" s="6" t="n">
        <v>0</v>
      </c>
      <c r="K87" s="6" t="n">
        <v>0</v>
      </c>
      <c r="L87" s="6" t="n">
        <v>0</v>
      </c>
      <c r="M87" s="6" t="n">
        <v>0</v>
      </c>
      <c r="N87" s="6" t="n">
        <v>0</v>
      </c>
      <c r="O87" s="6" t="n">
        <v>0</v>
      </c>
      <c r="P87" s="6" t="n">
        <v>0</v>
      </c>
      <c r="Q87" s="6" t="n">
        <v>0</v>
      </c>
      <c r="R87" s="6" t="n">
        <v>0</v>
      </c>
      <c r="S87" s="6" t="n">
        <v>0</v>
      </c>
      <c r="T87" s="6" t="n">
        <v>0</v>
      </c>
      <c r="U87" s="6" t="n">
        <v>0</v>
      </c>
      <c r="V87" s="6" t="n">
        <v>0</v>
      </c>
      <c r="W87" s="6" t="n">
        <v>0</v>
      </c>
      <c r="X87" s="6" t="n">
        <v>0</v>
      </c>
      <c r="Y87" s="6" t="n">
        <v>0</v>
      </c>
      <c r="Z87" s="6" t="n">
        <v>0</v>
      </c>
      <c r="AA87" s="6" t="n">
        <v>0</v>
      </c>
      <c r="AB87" s="6">
        <f>SUM(D87:AA87)</f>
        <v/>
      </c>
      <c r="AC87" s="3" t="inlineStr"/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0</v>
      </c>
      <c r="BA87" s="7" t="n">
        <v>0</v>
      </c>
      <c r="BB87" s="7">
        <f>SUM(AD87:BA87)</f>
        <v/>
      </c>
    </row>
    <row r="88">
      <c r="A88" t="inlineStr">
        <is>
          <t>AMD-RTS-RCLS-1302-SSC</t>
        </is>
      </c>
      <c r="B88" t="inlineStr">
        <is>
          <t>Rev OSC</t>
        </is>
      </c>
      <c r="C88" s="5" t="n">
        <v>46092</v>
      </c>
      <c r="D88" s="6" t="n">
        <v>0</v>
      </c>
      <c r="E88" s="6" t="n">
        <v>0</v>
      </c>
      <c r="F88" s="6" t="n">
        <v>0</v>
      </c>
      <c r="G88" s="6" t="n">
        <v>0</v>
      </c>
      <c r="H88" s="6" t="n">
        <v>0</v>
      </c>
      <c r="I88" s="6" t="n">
        <v>0</v>
      </c>
      <c r="J88" s="6" t="n">
        <v>0</v>
      </c>
      <c r="K88" s="6" t="n">
        <v>0</v>
      </c>
      <c r="L88" s="6" t="n">
        <v>0</v>
      </c>
      <c r="M88" s="6" t="n">
        <v>0</v>
      </c>
      <c r="N88" s="6" t="n">
        <v>0</v>
      </c>
      <c r="O88" s="6" t="n">
        <v>0</v>
      </c>
      <c r="P88" s="6" t="n">
        <v>0</v>
      </c>
      <c r="Q88" s="6" t="n">
        <v>0</v>
      </c>
      <c r="R88" s="6" t="n">
        <v>0</v>
      </c>
      <c r="S88" s="6" t="n">
        <v>0</v>
      </c>
      <c r="T88" s="6" t="n">
        <v>0</v>
      </c>
      <c r="U88" s="6" t="n">
        <v>0</v>
      </c>
      <c r="V88" s="6" t="n">
        <v>0</v>
      </c>
      <c r="W88" s="6" t="n">
        <v>0</v>
      </c>
      <c r="X88" s="6" t="n">
        <v>0</v>
      </c>
      <c r="Y88" s="6" t="n">
        <v>0</v>
      </c>
      <c r="Z88" s="6" t="n">
        <v>0</v>
      </c>
      <c r="AA88" s="6" t="n">
        <v>0</v>
      </c>
      <c r="AB88" s="6">
        <f>SUM(D88:AA88)</f>
        <v/>
      </c>
      <c r="AC88" s="3" t="inlineStr"/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7" t="n">
        <v>0</v>
      </c>
      <c r="BB88" s="7">
        <f>SUM(AD88:BA88)</f>
        <v/>
      </c>
    </row>
    <row r="89">
      <c r="A89" t="inlineStr">
        <is>
          <t>AMD-RTS-RCLS-1302-SSC</t>
        </is>
      </c>
      <c r="B89" t="inlineStr">
        <is>
          <t>Rev OSC</t>
        </is>
      </c>
      <c r="C89" s="5" t="n">
        <v>46093</v>
      </c>
      <c r="D89" s="6" t="n">
        <v>0</v>
      </c>
      <c r="E89" s="6" t="n">
        <v>0</v>
      </c>
      <c r="F89" s="6" t="n">
        <v>0</v>
      </c>
      <c r="G89" s="6" t="n">
        <v>0</v>
      </c>
      <c r="H89" s="6" t="n">
        <v>0</v>
      </c>
      <c r="I89" s="6" t="n">
        <v>0</v>
      </c>
      <c r="J89" s="6" t="n">
        <v>0</v>
      </c>
      <c r="K89" s="6" t="n">
        <v>0</v>
      </c>
      <c r="L89" s="6" t="n">
        <v>0</v>
      </c>
      <c r="M89" s="6" t="n">
        <v>0</v>
      </c>
      <c r="N89" s="6" t="n">
        <v>0</v>
      </c>
      <c r="O89" s="6" t="n">
        <v>0</v>
      </c>
      <c r="P89" s="6" t="n">
        <v>0</v>
      </c>
      <c r="Q89" s="6" t="n">
        <v>0</v>
      </c>
      <c r="R89" s="6" t="n">
        <v>0</v>
      </c>
      <c r="S89" s="6" t="n">
        <v>0</v>
      </c>
      <c r="T89" s="6" t="n">
        <v>0</v>
      </c>
      <c r="U89" s="6" t="n">
        <v>0</v>
      </c>
      <c r="V89" s="6" t="n">
        <v>0</v>
      </c>
      <c r="W89" s="6" t="n">
        <v>0</v>
      </c>
      <c r="X89" s="6" t="n">
        <v>0</v>
      </c>
      <c r="Y89" s="6" t="n">
        <v>0</v>
      </c>
      <c r="Z89" s="6" t="n">
        <v>0</v>
      </c>
      <c r="AA89" s="6" t="n">
        <v>0</v>
      </c>
      <c r="AB89" s="6">
        <f>SUM(D89:AA89)</f>
        <v/>
      </c>
      <c r="AC89" s="3" t="inlineStr"/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0</v>
      </c>
      <c r="BA89" s="7" t="n">
        <v>0</v>
      </c>
      <c r="BB89" s="7">
        <f>SUM(AD89:BA89)</f>
        <v/>
      </c>
    </row>
    <row r="90">
      <c r="A90" t="inlineStr">
        <is>
          <t>AMD-RTS-RCLS-1302-SSC</t>
        </is>
      </c>
      <c r="B90" t="inlineStr">
        <is>
          <t>Rev OSC</t>
        </is>
      </c>
      <c r="C90" s="5" t="n">
        <v>46094</v>
      </c>
      <c r="D90" s="6" t="n">
        <v>0</v>
      </c>
      <c r="E90" s="6" t="n">
        <v>0</v>
      </c>
      <c r="F90" s="6" t="n">
        <v>0</v>
      </c>
      <c r="G90" s="6" t="n">
        <v>0</v>
      </c>
      <c r="H90" s="6" t="n">
        <v>0</v>
      </c>
      <c r="I90" s="6" t="n">
        <v>0</v>
      </c>
      <c r="J90" s="6" t="n">
        <v>0</v>
      </c>
      <c r="K90" s="6" t="n">
        <v>0</v>
      </c>
      <c r="L90" s="6" t="n">
        <v>0</v>
      </c>
      <c r="M90" s="6" t="n">
        <v>0</v>
      </c>
      <c r="N90" s="6" t="n">
        <v>0</v>
      </c>
      <c r="O90" s="6" t="n">
        <v>0</v>
      </c>
      <c r="P90" s="6" t="n">
        <v>0</v>
      </c>
      <c r="Q90" s="6" t="n">
        <v>0</v>
      </c>
      <c r="R90" s="6" t="n">
        <v>0</v>
      </c>
      <c r="S90" s="6" t="n">
        <v>0</v>
      </c>
      <c r="T90" s="6" t="n">
        <v>0</v>
      </c>
      <c r="U90" s="6" t="n">
        <v>0</v>
      </c>
      <c r="V90" s="6" t="n">
        <v>0</v>
      </c>
      <c r="W90" s="6" t="n">
        <v>0</v>
      </c>
      <c r="X90" s="6" t="n">
        <v>0</v>
      </c>
      <c r="Y90" s="6" t="n">
        <v>0</v>
      </c>
      <c r="Z90" s="6" t="n">
        <v>0</v>
      </c>
      <c r="AA90" s="6" t="n">
        <v>0</v>
      </c>
      <c r="AB90" s="6">
        <f>SUM(D90:AA90)</f>
        <v/>
      </c>
      <c r="AC90" s="3" t="inlineStr"/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7" t="n">
        <v>0</v>
      </c>
      <c r="BB90" s="7">
        <f>SUM(AD90:BA90)</f>
        <v/>
      </c>
    </row>
    <row r="91">
      <c r="A91" t="inlineStr">
        <is>
          <t>AMD-RTS-RCLS-1302-SSC</t>
        </is>
      </c>
      <c r="B91" t="inlineStr">
        <is>
          <t>Rev OSC</t>
        </is>
      </c>
      <c r="C91" s="5" t="n">
        <v>46095</v>
      </c>
      <c r="D91" s="6" t="n">
        <v>0</v>
      </c>
      <c r="E91" s="6" t="n">
        <v>0</v>
      </c>
      <c r="F91" s="6" t="n">
        <v>0</v>
      </c>
      <c r="G91" s="6" t="n">
        <v>0</v>
      </c>
      <c r="H91" s="6" t="n">
        <v>0</v>
      </c>
      <c r="I91" s="6" t="n">
        <v>0</v>
      </c>
      <c r="J91" s="6" t="n">
        <v>0</v>
      </c>
      <c r="K91" s="6" t="n">
        <v>0</v>
      </c>
      <c r="L91" s="6" t="n">
        <v>0</v>
      </c>
      <c r="M91" s="6" t="n">
        <v>0</v>
      </c>
      <c r="N91" s="6" t="n">
        <v>0</v>
      </c>
      <c r="O91" s="6" t="n">
        <v>0</v>
      </c>
      <c r="P91" s="6" t="n">
        <v>0</v>
      </c>
      <c r="Q91" s="6" t="n">
        <v>0</v>
      </c>
      <c r="R91" s="6" t="n">
        <v>0</v>
      </c>
      <c r="S91" s="6" t="n">
        <v>0</v>
      </c>
      <c r="T91" s="6" t="n">
        <v>0</v>
      </c>
      <c r="U91" s="6" t="n">
        <v>0</v>
      </c>
      <c r="V91" s="6" t="n">
        <v>0</v>
      </c>
      <c r="W91" s="6" t="n">
        <v>0</v>
      </c>
      <c r="X91" s="6" t="n">
        <v>0</v>
      </c>
      <c r="Y91" s="6" t="n">
        <v>0</v>
      </c>
      <c r="Z91" s="6" t="n">
        <v>0</v>
      </c>
      <c r="AA91" s="6" t="n">
        <v>0</v>
      </c>
      <c r="AB91" s="6">
        <f>SUM(D91:AA91)</f>
        <v/>
      </c>
      <c r="AC91" s="3" t="inlineStr"/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0</v>
      </c>
      <c r="BA91" s="7" t="n">
        <v>0</v>
      </c>
      <c r="BB91" s="7">
        <f>SUM(AD91:BA91)</f>
        <v/>
      </c>
    </row>
    <row r="92">
      <c r="A92" t="inlineStr">
        <is>
          <t>AMD-RTS-RCLS-1302-SSC</t>
        </is>
      </c>
      <c r="B92" t="inlineStr">
        <is>
          <t>Rev OSC</t>
        </is>
      </c>
      <c r="C92" s="5" t="n">
        <v>46096</v>
      </c>
      <c r="D92" s="6" t="n">
        <v>0</v>
      </c>
      <c r="E92" s="6" t="n">
        <v>0</v>
      </c>
      <c r="F92" s="6" t="n">
        <v>0</v>
      </c>
      <c r="G92" s="6" t="n">
        <v>0</v>
      </c>
      <c r="H92" s="6" t="n">
        <v>0</v>
      </c>
      <c r="I92" s="6" t="n">
        <v>0</v>
      </c>
      <c r="J92" s="6" t="n">
        <v>0</v>
      </c>
      <c r="K92" s="6" t="n">
        <v>0</v>
      </c>
      <c r="L92" s="6" t="n">
        <v>0</v>
      </c>
      <c r="M92" s="6" t="n">
        <v>0</v>
      </c>
      <c r="N92" s="6" t="n">
        <v>0</v>
      </c>
      <c r="O92" s="6" t="n">
        <v>0</v>
      </c>
      <c r="P92" s="6" t="n">
        <v>0</v>
      </c>
      <c r="Q92" s="6" t="n">
        <v>0</v>
      </c>
      <c r="R92" s="6" t="n">
        <v>0</v>
      </c>
      <c r="S92" s="6" t="n">
        <v>0</v>
      </c>
      <c r="T92" s="6" t="n">
        <v>0</v>
      </c>
      <c r="U92" s="6" t="n">
        <v>0</v>
      </c>
      <c r="V92" s="6" t="n">
        <v>0</v>
      </c>
      <c r="W92" s="6" t="n">
        <v>0</v>
      </c>
      <c r="X92" s="6" t="n">
        <v>0</v>
      </c>
      <c r="Y92" s="6" t="n">
        <v>0</v>
      </c>
      <c r="Z92" s="6" t="n">
        <v>0</v>
      </c>
      <c r="AA92" s="6" t="n">
        <v>0</v>
      </c>
      <c r="AB92" s="6">
        <f>SUM(D92:AA92)</f>
        <v/>
      </c>
      <c r="AC92" s="3" t="inlineStr"/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7" t="n">
        <v>0</v>
      </c>
      <c r="BB92" s="7">
        <f>SUM(AD92:BA92)</f>
        <v/>
      </c>
    </row>
    <row r="93">
      <c r="A93" t="inlineStr">
        <is>
          <t>AMD-RTS-RCLS-1302-SSC</t>
        </is>
      </c>
      <c r="B93" t="inlineStr">
        <is>
          <t>Rev OSC</t>
        </is>
      </c>
      <c r="C93" s="5" t="n">
        <v>46097</v>
      </c>
      <c r="D93" s="6" t="n">
        <v>0</v>
      </c>
      <c r="E93" s="6" t="n">
        <v>0</v>
      </c>
      <c r="F93" s="6" t="n">
        <v>0</v>
      </c>
      <c r="G93" s="6" t="n">
        <v>0</v>
      </c>
      <c r="H93" s="6" t="n">
        <v>0</v>
      </c>
      <c r="I93" s="6" t="n">
        <v>0</v>
      </c>
      <c r="J93" s="6" t="n">
        <v>0</v>
      </c>
      <c r="K93" s="6" t="n">
        <v>0</v>
      </c>
      <c r="L93" s="6" t="n">
        <v>0</v>
      </c>
      <c r="M93" s="6" t="n">
        <v>0</v>
      </c>
      <c r="N93" s="6" t="n">
        <v>0</v>
      </c>
      <c r="O93" s="6" t="n">
        <v>0</v>
      </c>
      <c r="P93" s="6" t="n">
        <v>0</v>
      </c>
      <c r="Q93" s="6" t="n">
        <v>0</v>
      </c>
      <c r="R93" s="6" t="n">
        <v>0</v>
      </c>
      <c r="S93" s="6" t="n">
        <v>0</v>
      </c>
      <c r="T93" s="6" t="n">
        <v>0</v>
      </c>
      <c r="U93" s="6" t="n">
        <v>0</v>
      </c>
      <c r="V93" s="6" t="n">
        <v>0</v>
      </c>
      <c r="W93" s="6" t="n">
        <v>0</v>
      </c>
      <c r="X93" s="6" t="n">
        <v>0</v>
      </c>
      <c r="Y93" s="6" t="n">
        <v>0</v>
      </c>
      <c r="Z93" s="6" t="n">
        <v>0</v>
      </c>
      <c r="AA93" s="6" t="n">
        <v>0</v>
      </c>
      <c r="AB93" s="6">
        <f>SUM(D93:AA93)</f>
        <v/>
      </c>
      <c r="AC93" s="3" t="inlineStr"/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0</v>
      </c>
      <c r="BA93" s="7" t="n">
        <v>0</v>
      </c>
      <c r="BB93" s="7">
        <f>SUM(AD93:BA93)</f>
        <v/>
      </c>
    </row>
    <row r="94">
      <c r="A94" t="inlineStr">
        <is>
          <t>AMD-RTS-RCLS-1302-SSC</t>
        </is>
      </c>
      <c r="B94" t="inlineStr">
        <is>
          <t>Rev OSC</t>
        </is>
      </c>
      <c r="C94" s="5" t="n">
        <v>46100</v>
      </c>
      <c r="D94" s="6" t="n">
        <v>0</v>
      </c>
      <c r="E94" s="6" t="n">
        <v>0</v>
      </c>
      <c r="F94" s="6" t="n">
        <v>0</v>
      </c>
      <c r="G94" s="6" t="n">
        <v>0</v>
      </c>
      <c r="H94" s="6" t="n">
        <v>0</v>
      </c>
      <c r="I94" s="6" t="n">
        <v>0</v>
      </c>
      <c r="J94" s="6" t="n">
        <v>0</v>
      </c>
      <c r="K94" s="6" t="n">
        <v>0</v>
      </c>
      <c r="L94" s="6" t="n">
        <v>0</v>
      </c>
      <c r="M94" s="6" t="n">
        <v>0</v>
      </c>
      <c r="N94" s="6" t="n">
        <v>0</v>
      </c>
      <c r="O94" s="6" t="n">
        <v>0</v>
      </c>
      <c r="P94" s="6" t="n">
        <v>0</v>
      </c>
      <c r="Q94" s="6" t="n">
        <v>0</v>
      </c>
      <c r="R94" s="6" t="n">
        <v>0</v>
      </c>
      <c r="S94" s="6" t="n">
        <v>0</v>
      </c>
      <c r="T94" s="6" t="n">
        <v>0</v>
      </c>
      <c r="U94" s="6" t="n">
        <v>0</v>
      </c>
      <c r="V94" s="6" t="n">
        <v>0</v>
      </c>
      <c r="W94" s="6" t="n">
        <v>0</v>
      </c>
      <c r="X94" s="6" t="n">
        <v>0</v>
      </c>
      <c r="Y94" s="6" t="n">
        <v>0</v>
      </c>
      <c r="Z94" s="6" t="n">
        <v>0</v>
      </c>
      <c r="AA94" s="6" t="n">
        <v>0</v>
      </c>
      <c r="AB94" s="6">
        <f>SUM(D94:AA94)</f>
        <v/>
      </c>
      <c r="AC94" s="3" t="inlineStr"/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7" t="n">
        <v>0</v>
      </c>
      <c r="BB94" s="7">
        <f>SUM(AD94:BA94)</f>
        <v/>
      </c>
    </row>
    <row r="95">
      <c r="A95" t="inlineStr">
        <is>
          <t>AMD-RTS-RCLS-1302-SSC</t>
        </is>
      </c>
      <c r="B95" t="inlineStr">
        <is>
          <t>Rev OSC</t>
        </is>
      </c>
      <c r="C95" s="5" t="n">
        <v>46102</v>
      </c>
      <c r="D95" s="6" t="n">
        <v>0</v>
      </c>
      <c r="E95" s="6" t="n">
        <v>0</v>
      </c>
      <c r="F95" s="6" t="n">
        <v>0</v>
      </c>
      <c r="G95" s="6" t="n">
        <v>0</v>
      </c>
      <c r="H95" s="6" t="n">
        <v>0</v>
      </c>
      <c r="I95" s="6" t="n">
        <v>0</v>
      </c>
      <c r="J95" s="6" t="n">
        <v>0</v>
      </c>
      <c r="K95" s="6" t="n">
        <v>0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0</v>
      </c>
      <c r="Q95" s="6" t="n">
        <v>0</v>
      </c>
      <c r="R95" s="6" t="n">
        <v>0</v>
      </c>
      <c r="S95" s="6" t="n">
        <v>0</v>
      </c>
      <c r="T95" s="6" t="n">
        <v>0</v>
      </c>
      <c r="U95" s="6" t="n">
        <v>0</v>
      </c>
      <c r="V95" s="6" t="n">
        <v>0</v>
      </c>
      <c r="W95" s="6" t="n">
        <v>0</v>
      </c>
      <c r="X95" s="6" t="n">
        <v>0</v>
      </c>
      <c r="Y95" s="6" t="n">
        <v>0</v>
      </c>
      <c r="Z95" s="6" t="n">
        <v>0</v>
      </c>
      <c r="AA95" s="6" t="n">
        <v>0</v>
      </c>
      <c r="AB95" s="6">
        <f>SUM(D95:AA95)</f>
        <v/>
      </c>
      <c r="AC95" s="3" t="inlineStr"/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7" t="n">
        <v>0</v>
      </c>
      <c r="BB95" s="7">
        <f>SUM(AD95:BA95)</f>
        <v/>
      </c>
    </row>
    <row r="96">
      <c r="A96" t="inlineStr">
        <is>
          <t>AMD-RTS-RCLS-1302-SSC</t>
        </is>
      </c>
      <c r="B96" t="inlineStr">
        <is>
          <t>Rev OSC</t>
        </is>
      </c>
      <c r="C96" s="5" t="n">
        <v>46103</v>
      </c>
      <c r="D96" s="6" t="n">
        <v>0</v>
      </c>
      <c r="E96" s="6" t="n">
        <v>0</v>
      </c>
      <c r="F96" s="6" t="n">
        <v>0</v>
      </c>
      <c r="G96" s="6" t="n">
        <v>0</v>
      </c>
      <c r="H96" s="6" t="n">
        <v>0</v>
      </c>
      <c r="I96" s="6" t="n">
        <v>0</v>
      </c>
      <c r="J96" s="6" t="n">
        <v>0</v>
      </c>
      <c r="K96" s="6" t="n">
        <v>0</v>
      </c>
      <c r="L96" s="6" t="n">
        <v>0</v>
      </c>
      <c r="M96" s="6" t="n">
        <v>0</v>
      </c>
      <c r="N96" s="6" t="n">
        <v>0</v>
      </c>
      <c r="O96" s="6" t="n">
        <v>0</v>
      </c>
      <c r="P96" s="6" t="n">
        <v>0</v>
      </c>
      <c r="Q96" s="6" t="n">
        <v>0</v>
      </c>
      <c r="R96" s="6" t="n">
        <v>0</v>
      </c>
      <c r="S96" s="6" t="n">
        <v>0</v>
      </c>
      <c r="T96" s="6" t="n">
        <v>0</v>
      </c>
      <c r="U96" s="6" t="n">
        <v>0</v>
      </c>
      <c r="V96" s="6" t="n">
        <v>0</v>
      </c>
      <c r="W96" s="6" t="n">
        <v>0</v>
      </c>
      <c r="X96" s="6" t="n">
        <v>0</v>
      </c>
      <c r="Y96" s="6" t="n">
        <v>0</v>
      </c>
      <c r="Z96" s="6" t="n">
        <v>0</v>
      </c>
      <c r="AA96" s="6" t="n">
        <v>0</v>
      </c>
      <c r="AB96" s="6">
        <f>SUM(D96:AA96)</f>
        <v/>
      </c>
      <c r="AC96" s="3" t="inlineStr"/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7" t="n">
        <v>0</v>
      </c>
      <c r="BB96" s="7">
        <f>SUM(AD96:BA96)</f>
        <v/>
      </c>
    </row>
    <row r="97">
      <c r="A97" t="inlineStr">
        <is>
          <t>AMD-RTS-RCLS-1302-SSC</t>
        </is>
      </c>
      <c r="B97" t="inlineStr">
        <is>
          <t>Rev OSC</t>
        </is>
      </c>
      <c r="C97" s="5" t="n">
        <v>46104</v>
      </c>
      <c r="D97" s="6" t="n">
        <v>0</v>
      </c>
      <c r="E97" s="6" t="n">
        <v>0</v>
      </c>
      <c r="F97" s="6" t="n">
        <v>0</v>
      </c>
      <c r="G97" s="6" t="n">
        <v>0</v>
      </c>
      <c r="H97" s="6" t="n">
        <v>0</v>
      </c>
      <c r="I97" s="6" t="n">
        <v>0</v>
      </c>
      <c r="J97" s="6" t="n">
        <v>0</v>
      </c>
      <c r="K97" s="6" t="n">
        <v>0</v>
      </c>
      <c r="L97" s="6" t="n">
        <v>0</v>
      </c>
      <c r="M97" s="6" t="n">
        <v>0</v>
      </c>
      <c r="N97" s="6" t="n">
        <v>0</v>
      </c>
      <c r="O97" s="6" t="n">
        <v>0</v>
      </c>
      <c r="P97" s="6" t="n">
        <v>0</v>
      </c>
      <c r="Q97" s="6" t="n">
        <v>0</v>
      </c>
      <c r="R97" s="6" t="n">
        <v>0</v>
      </c>
      <c r="S97" s="6" t="n">
        <v>0</v>
      </c>
      <c r="T97" s="6" t="n">
        <v>0</v>
      </c>
      <c r="U97" s="6" t="n">
        <v>0</v>
      </c>
      <c r="V97" s="6" t="n">
        <v>0</v>
      </c>
      <c r="W97" s="6" t="n">
        <v>0</v>
      </c>
      <c r="X97" s="6" t="n">
        <v>0</v>
      </c>
      <c r="Y97" s="6" t="n">
        <v>0</v>
      </c>
      <c r="Z97" s="6" t="n">
        <v>0</v>
      </c>
      <c r="AA97" s="6" t="n">
        <v>0</v>
      </c>
      <c r="AB97" s="6">
        <f>SUM(D97:AA97)</f>
        <v/>
      </c>
      <c r="AC97" s="3" t="inlineStr"/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0</v>
      </c>
      <c r="BA97" s="7" t="n">
        <v>0</v>
      </c>
      <c r="BB97" s="7">
        <f>SUM(AD97:BA97)</f>
        <v/>
      </c>
    </row>
    <row r="98">
      <c r="A98" t="inlineStr">
        <is>
          <t>AMD-RTS-RCLS-1302-SSC</t>
        </is>
      </c>
      <c r="B98" t="inlineStr">
        <is>
          <t>Rev OSC</t>
        </is>
      </c>
      <c r="C98" s="5" t="n">
        <v>46105</v>
      </c>
      <c r="D98" s="6" t="n">
        <v>0</v>
      </c>
      <c r="E98" s="6" t="n">
        <v>0</v>
      </c>
      <c r="F98" s="6" t="n">
        <v>0</v>
      </c>
      <c r="G98" s="6" t="n">
        <v>0</v>
      </c>
      <c r="H98" s="6" t="n">
        <v>0</v>
      </c>
      <c r="I98" s="6" t="n">
        <v>0</v>
      </c>
      <c r="J98" s="6" t="n">
        <v>0</v>
      </c>
      <c r="K98" s="6" t="n">
        <v>0</v>
      </c>
      <c r="L98" s="6" t="n">
        <v>0</v>
      </c>
      <c r="M98" s="6" t="n">
        <v>0</v>
      </c>
      <c r="N98" s="6" t="n">
        <v>0</v>
      </c>
      <c r="O98" s="6" t="n">
        <v>0</v>
      </c>
      <c r="P98" s="6" t="n">
        <v>0</v>
      </c>
      <c r="Q98" s="6" t="n">
        <v>0</v>
      </c>
      <c r="R98" s="6" t="n">
        <v>0</v>
      </c>
      <c r="S98" s="6" t="n">
        <v>0</v>
      </c>
      <c r="T98" s="6" t="n">
        <v>0</v>
      </c>
      <c r="U98" s="6" t="n">
        <v>0</v>
      </c>
      <c r="V98" s="6" t="n">
        <v>0</v>
      </c>
      <c r="W98" s="6" t="n">
        <v>0</v>
      </c>
      <c r="X98" s="6" t="n">
        <v>0</v>
      </c>
      <c r="Y98" s="6" t="n">
        <v>0</v>
      </c>
      <c r="Z98" s="6" t="n">
        <v>0</v>
      </c>
      <c r="AA98" s="6" t="n">
        <v>0</v>
      </c>
      <c r="AB98" s="6">
        <f>SUM(D98:AA98)</f>
        <v/>
      </c>
      <c r="AC98" s="3" t="inlineStr"/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7" t="n">
        <v>0</v>
      </c>
      <c r="BB98" s="7">
        <f>SUM(AD98:BA98)</f>
        <v/>
      </c>
    </row>
    <row r="99">
      <c r="A99" t="inlineStr">
        <is>
          <t>AMD-RTS-RCLS-1302-SSC_1</t>
        </is>
      </c>
      <c r="B99" t="inlineStr">
        <is>
          <t>Rev OSC</t>
        </is>
      </c>
      <c r="C99" s="5" t="n">
        <v>46090</v>
      </c>
      <c r="D99" s="6" t="n">
        <v>0</v>
      </c>
      <c r="E99" s="6" t="n">
        <v>0</v>
      </c>
      <c r="F99" s="6" t="n">
        <v>0</v>
      </c>
      <c r="G99" s="6" t="n">
        <v>0</v>
      </c>
      <c r="H99" s="6" t="n">
        <v>0</v>
      </c>
      <c r="I99" s="6" t="n">
        <v>0</v>
      </c>
      <c r="J99" s="6" t="n">
        <v>0</v>
      </c>
      <c r="K99" s="6" t="n">
        <v>0</v>
      </c>
      <c r="L99" s="6" t="n">
        <v>0</v>
      </c>
      <c r="M99" s="6" t="n">
        <v>0</v>
      </c>
      <c r="N99" s="6" t="n">
        <v>0</v>
      </c>
      <c r="O99" s="6" t="n">
        <v>0</v>
      </c>
      <c r="P99" s="6" t="n">
        <v>0</v>
      </c>
      <c r="Q99" s="6" t="n">
        <v>0</v>
      </c>
      <c r="R99" s="6" t="n">
        <v>0</v>
      </c>
      <c r="S99" s="6" t="n">
        <v>0</v>
      </c>
      <c r="T99" s="6" t="n">
        <v>0</v>
      </c>
      <c r="U99" s="6" t="n">
        <v>0</v>
      </c>
      <c r="V99" s="6" t="n">
        <v>0</v>
      </c>
      <c r="W99" s="6" t="n">
        <v>0</v>
      </c>
      <c r="X99" s="6" t="n">
        <v>0</v>
      </c>
      <c r="Y99" s="6" t="n">
        <v>0</v>
      </c>
      <c r="Z99" s="6" t="n">
        <v>0</v>
      </c>
      <c r="AA99" s="6" t="n">
        <v>0</v>
      </c>
      <c r="AB99" s="6">
        <f>SUM(D99:AA99)</f>
        <v/>
      </c>
      <c r="AC99" s="3" t="inlineStr"/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7" t="n">
        <v>0</v>
      </c>
      <c r="BB99" s="7">
        <f>SUM(AD99:BA99)</f>
        <v/>
      </c>
    </row>
    <row r="100">
      <c r="A100" t="inlineStr">
        <is>
          <t>AMD-RTS-RCLS-1302-SSC_1</t>
        </is>
      </c>
      <c r="B100" t="inlineStr">
        <is>
          <t>Rev OSC</t>
        </is>
      </c>
      <c r="C100" s="5" t="n">
        <v>46093</v>
      </c>
      <c r="D100" s="6" t="n">
        <v>0</v>
      </c>
      <c r="E100" s="6" t="n">
        <v>0</v>
      </c>
      <c r="F100" s="6" t="n">
        <v>0</v>
      </c>
      <c r="G100" s="6" t="n">
        <v>0</v>
      </c>
      <c r="H100" s="6" t="n">
        <v>0</v>
      </c>
      <c r="I100" s="6" t="n">
        <v>0</v>
      </c>
      <c r="J100" s="6" t="n">
        <v>0</v>
      </c>
      <c r="K100" s="6" t="n">
        <v>0</v>
      </c>
      <c r="L100" s="6" t="n">
        <v>0</v>
      </c>
      <c r="M100" s="6" t="n">
        <v>0</v>
      </c>
      <c r="N100" s="6" t="n">
        <v>0</v>
      </c>
      <c r="O100" s="6" t="n">
        <v>0</v>
      </c>
      <c r="P100" s="6" t="n">
        <v>0</v>
      </c>
      <c r="Q100" s="6" t="n">
        <v>0</v>
      </c>
      <c r="R100" s="6" t="n">
        <v>0</v>
      </c>
      <c r="S100" s="6" t="n">
        <v>0</v>
      </c>
      <c r="T100" s="6" t="n">
        <v>0</v>
      </c>
      <c r="U100" s="6" t="n">
        <v>0</v>
      </c>
      <c r="V100" s="6" t="n">
        <v>0</v>
      </c>
      <c r="W100" s="6" t="n">
        <v>0</v>
      </c>
      <c r="X100" s="6" t="n">
        <v>0</v>
      </c>
      <c r="Y100" s="6" t="n">
        <v>0</v>
      </c>
      <c r="Z100" s="6" t="n">
        <v>0</v>
      </c>
      <c r="AA100" s="6" t="n">
        <v>0</v>
      </c>
      <c r="AB100" s="6">
        <f>SUM(D100:AA100)</f>
        <v/>
      </c>
      <c r="AC100" s="3" t="inlineStr"/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7" t="n">
        <v>0</v>
      </c>
      <c r="BB100" s="7">
        <f>SUM(AD100:BA100)</f>
        <v/>
      </c>
    </row>
    <row r="101">
      <c r="A101" t="inlineStr">
        <is>
          <t>AMD-RTS-RCLS-1302-SSC_1</t>
        </is>
      </c>
      <c r="B101" t="inlineStr">
        <is>
          <t>Rev OSC</t>
        </is>
      </c>
      <c r="C101" s="5" t="n">
        <v>46094</v>
      </c>
      <c r="D101" s="6" t="n">
        <v>0</v>
      </c>
      <c r="E101" s="6" t="n">
        <v>0</v>
      </c>
      <c r="F101" s="6" t="n">
        <v>0</v>
      </c>
      <c r="G101" s="6" t="n">
        <v>0</v>
      </c>
      <c r="H101" s="6" t="n">
        <v>0</v>
      </c>
      <c r="I101" s="6" t="n">
        <v>0</v>
      </c>
      <c r="J101" s="6" t="n">
        <v>0</v>
      </c>
      <c r="K101" s="6" t="n">
        <v>0</v>
      </c>
      <c r="L101" s="6" t="n">
        <v>0</v>
      </c>
      <c r="M101" s="6" t="n">
        <v>0</v>
      </c>
      <c r="N101" s="6" t="n">
        <v>0</v>
      </c>
      <c r="O101" s="6" t="n">
        <v>0</v>
      </c>
      <c r="P101" s="6" t="n">
        <v>0</v>
      </c>
      <c r="Q101" s="6" t="n">
        <v>0</v>
      </c>
      <c r="R101" s="6" t="n">
        <v>0</v>
      </c>
      <c r="S101" s="6" t="n">
        <v>0</v>
      </c>
      <c r="T101" s="6" t="n">
        <v>0</v>
      </c>
      <c r="U101" s="6" t="n">
        <v>0</v>
      </c>
      <c r="V101" s="6" t="n">
        <v>0</v>
      </c>
      <c r="W101" s="6" t="n">
        <v>0</v>
      </c>
      <c r="X101" s="6" t="n">
        <v>0</v>
      </c>
      <c r="Y101" s="6" t="n">
        <v>0</v>
      </c>
      <c r="Z101" s="6" t="n">
        <v>0</v>
      </c>
      <c r="AA101" s="6" t="n">
        <v>0</v>
      </c>
      <c r="AB101" s="6">
        <f>SUM(D101:AA101)</f>
        <v/>
      </c>
      <c r="AC101" s="3" t="inlineStr"/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7" t="n">
        <v>0</v>
      </c>
      <c r="BB101" s="7">
        <f>SUM(AD101:BA101)</f>
        <v/>
      </c>
    </row>
    <row r="102">
      <c r="A102" t="inlineStr">
        <is>
          <t>AMD-RTS-RCLS-1302-SSC_1</t>
        </is>
      </c>
      <c r="B102" t="inlineStr">
        <is>
          <t>Rev OSC</t>
        </is>
      </c>
      <c r="C102" s="5" t="n">
        <v>46095</v>
      </c>
      <c r="D102" s="6" t="n">
        <v>0</v>
      </c>
      <c r="E102" s="6" t="n">
        <v>0</v>
      </c>
      <c r="F102" s="6" t="n">
        <v>0</v>
      </c>
      <c r="G102" s="6" t="n">
        <v>0</v>
      </c>
      <c r="H102" s="6" t="n">
        <v>0</v>
      </c>
      <c r="I102" s="6" t="n">
        <v>0</v>
      </c>
      <c r="J102" s="6" t="n">
        <v>0</v>
      </c>
      <c r="K102" s="6" t="n">
        <v>0</v>
      </c>
      <c r="L102" s="6" t="n">
        <v>0</v>
      </c>
      <c r="M102" s="6" t="n">
        <v>0</v>
      </c>
      <c r="N102" s="6" t="n">
        <v>0</v>
      </c>
      <c r="O102" s="6" t="n">
        <v>0</v>
      </c>
      <c r="P102" s="6" t="n">
        <v>0</v>
      </c>
      <c r="Q102" s="6" t="n">
        <v>0</v>
      </c>
      <c r="R102" s="6" t="n">
        <v>0</v>
      </c>
      <c r="S102" s="6" t="n">
        <v>0</v>
      </c>
      <c r="T102" s="6" t="n">
        <v>0</v>
      </c>
      <c r="U102" s="6" t="n">
        <v>0</v>
      </c>
      <c r="V102" s="6" t="n">
        <v>0</v>
      </c>
      <c r="W102" s="6" t="n">
        <v>0</v>
      </c>
      <c r="X102" s="6" t="n">
        <v>0</v>
      </c>
      <c r="Y102" s="6" t="n">
        <v>0</v>
      </c>
      <c r="Z102" s="6" t="n">
        <v>0</v>
      </c>
      <c r="AA102" s="6" t="n">
        <v>0</v>
      </c>
      <c r="AB102" s="6">
        <f>SUM(D102:AA102)</f>
        <v/>
      </c>
      <c r="AC102" s="3" t="inlineStr"/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7" t="n">
        <v>0</v>
      </c>
      <c r="BB102" s="7">
        <f>SUM(AD102:BA102)</f>
        <v/>
      </c>
    </row>
    <row r="103">
      <c r="A103" t="inlineStr">
        <is>
          <t>AMD-RTS-RCLS-1302-SSC_1</t>
        </is>
      </c>
      <c r="B103" t="inlineStr">
        <is>
          <t>Rev OSC</t>
        </is>
      </c>
      <c r="C103" s="5" t="n">
        <v>46100</v>
      </c>
      <c r="D103" s="6" t="n">
        <v>0</v>
      </c>
      <c r="E103" s="6" t="n">
        <v>0</v>
      </c>
      <c r="F103" s="6" t="n">
        <v>0</v>
      </c>
      <c r="G103" s="6" t="n">
        <v>0</v>
      </c>
      <c r="H103" s="6" t="n">
        <v>0</v>
      </c>
      <c r="I103" s="6" t="n">
        <v>0</v>
      </c>
      <c r="J103" s="6" t="n">
        <v>0</v>
      </c>
      <c r="K103" s="6" t="n">
        <v>0</v>
      </c>
      <c r="L103" s="6" t="n">
        <v>0</v>
      </c>
      <c r="M103" s="6" t="n">
        <v>0</v>
      </c>
      <c r="N103" s="6" t="n">
        <v>0</v>
      </c>
      <c r="O103" s="6" t="n">
        <v>0</v>
      </c>
      <c r="P103" s="6" t="n">
        <v>0</v>
      </c>
      <c r="Q103" s="6" t="n">
        <v>0</v>
      </c>
      <c r="R103" s="6" t="n">
        <v>0</v>
      </c>
      <c r="S103" s="6" t="n">
        <v>0</v>
      </c>
      <c r="T103" s="6" t="n">
        <v>0</v>
      </c>
      <c r="U103" s="6" t="n">
        <v>0</v>
      </c>
      <c r="V103" s="6" t="n">
        <v>0</v>
      </c>
      <c r="W103" s="6" t="n">
        <v>0</v>
      </c>
      <c r="X103" s="6" t="n">
        <v>0</v>
      </c>
      <c r="Y103" s="6" t="n">
        <v>0</v>
      </c>
      <c r="Z103" s="6" t="n">
        <v>0</v>
      </c>
      <c r="AA103" s="6" t="n">
        <v>0</v>
      </c>
      <c r="AB103" s="6">
        <f>SUM(D103:AA103)</f>
        <v/>
      </c>
      <c r="AC103" s="3" t="inlineStr"/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7" t="n">
        <v>0</v>
      </c>
      <c r="BB103" s="7">
        <f>SUM(AD103:BA103)</f>
        <v/>
      </c>
    </row>
    <row r="104">
      <c r="A104" t="inlineStr">
        <is>
          <t>AMD-RTS-RCLS-1302-SSC_1</t>
        </is>
      </c>
      <c r="B104" t="inlineStr">
        <is>
          <t>Rev OSC</t>
        </is>
      </c>
      <c r="C104" s="5" t="n">
        <v>46102</v>
      </c>
      <c r="D104" s="6" t="n">
        <v>0</v>
      </c>
      <c r="E104" s="6" t="n">
        <v>0</v>
      </c>
      <c r="F104" s="6" t="n">
        <v>0</v>
      </c>
      <c r="G104" s="6" t="n">
        <v>0</v>
      </c>
      <c r="H104" s="6" t="n">
        <v>0</v>
      </c>
      <c r="I104" s="6" t="n">
        <v>0</v>
      </c>
      <c r="J104" s="6" t="n">
        <v>0</v>
      </c>
      <c r="K104" s="6" t="n">
        <v>0</v>
      </c>
      <c r="L104" s="6" t="n">
        <v>0</v>
      </c>
      <c r="M104" s="6" t="n">
        <v>0</v>
      </c>
      <c r="N104" s="6" t="n">
        <v>0</v>
      </c>
      <c r="O104" s="6" t="n">
        <v>0</v>
      </c>
      <c r="P104" s="6" t="n">
        <v>0</v>
      </c>
      <c r="Q104" s="6" t="n">
        <v>0</v>
      </c>
      <c r="R104" s="6" t="n">
        <v>0</v>
      </c>
      <c r="S104" s="6" t="n">
        <v>0</v>
      </c>
      <c r="T104" s="6" t="n">
        <v>0</v>
      </c>
      <c r="U104" s="6" t="n">
        <v>0</v>
      </c>
      <c r="V104" s="6" t="n">
        <v>0</v>
      </c>
      <c r="W104" s="6" t="n">
        <v>0</v>
      </c>
      <c r="X104" s="6" t="n">
        <v>0</v>
      </c>
      <c r="Y104" s="6" t="n">
        <v>0</v>
      </c>
      <c r="Z104" s="6" t="n">
        <v>0</v>
      </c>
      <c r="AA104" s="6" t="n">
        <v>0</v>
      </c>
      <c r="AB104" s="6">
        <f>SUM(D104:AA104)</f>
        <v/>
      </c>
      <c r="AC104" s="3" t="inlineStr"/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  <c r="BB104" s="7">
        <f>SUM(AD104:BA104)</f>
        <v/>
      </c>
    </row>
    <row r="105">
      <c r="A105" t="inlineStr">
        <is>
          <t>AMD-RTS-RCLS-1302-SSC_1</t>
        </is>
      </c>
      <c r="B105" t="inlineStr">
        <is>
          <t>Rev OSC</t>
        </is>
      </c>
      <c r="C105" s="5" t="n">
        <v>46103</v>
      </c>
      <c r="D105" s="6" t="n">
        <v>0</v>
      </c>
      <c r="E105" s="6" t="n">
        <v>0</v>
      </c>
      <c r="F105" s="6" t="n">
        <v>0</v>
      </c>
      <c r="G105" s="6" t="n">
        <v>0</v>
      </c>
      <c r="H105" s="6" t="n">
        <v>0</v>
      </c>
      <c r="I105" s="6" t="n">
        <v>0</v>
      </c>
      <c r="J105" s="6" t="n">
        <v>0</v>
      </c>
      <c r="K105" s="6" t="n">
        <v>0</v>
      </c>
      <c r="L105" s="6" t="n">
        <v>0</v>
      </c>
      <c r="M105" s="6" t="n">
        <v>0</v>
      </c>
      <c r="N105" s="6" t="n">
        <v>0</v>
      </c>
      <c r="O105" s="6" t="n">
        <v>0</v>
      </c>
      <c r="P105" s="6" t="n">
        <v>0</v>
      </c>
      <c r="Q105" s="6" t="n">
        <v>0</v>
      </c>
      <c r="R105" s="6" t="n">
        <v>0</v>
      </c>
      <c r="S105" s="6" t="n">
        <v>0</v>
      </c>
      <c r="T105" s="6" t="n">
        <v>0</v>
      </c>
      <c r="U105" s="6" t="n">
        <v>0</v>
      </c>
      <c r="V105" s="6" t="n">
        <v>0</v>
      </c>
      <c r="W105" s="6" t="n">
        <v>0</v>
      </c>
      <c r="X105" s="6" t="n">
        <v>0</v>
      </c>
      <c r="Y105" s="6" t="n">
        <v>0</v>
      </c>
      <c r="Z105" s="6" t="n">
        <v>0</v>
      </c>
      <c r="AA105" s="6" t="n">
        <v>0</v>
      </c>
      <c r="AB105" s="6">
        <f>SUM(D105:AA105)</f>
        <v/>
      </c>
      <c r="AC105" s="3" t="inlineStr"/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7" t="n">
        <v>0</v>
      </c>
      <c r="BB105" s="7">
        <f>SUM(AD105:BA105)</f>
        <v/>
      </c>
    </row>
    <row r="106">
      <c r="A106" t="inlineStr">
        <is>
          <t>AMD-RTS-RCLS-1302-SSC_1</t>
        </is>
      </c>
      <c r="B106" t="inlineStr">
        <is>
          <t>Rev OSC</t>
        </is>
      </c>
      <c r="C106" s="5" t="n">
        <v>46104</v>
      </c>
      <c r="D106" s="6" t="n">
        <v>0</v>
      </c>
      <c r="E106" s="6" t="n">
        <v>0</v>
      </c>
      <c r="F106" s="6" t="n">
        <v>0</v>
      </c>
      <c r="G106" s="6" t="n">
        <v>0</v>
      </c>
      <c r="H106" s="6" t="n">
        <v>0</v>
      </c>
      <c r="I106" s="6" t="n">
        <v>0</v>
      </c>
      <c r="J106" s="6" t="n">
        <v>0</v>
      </c>
      <c r="K106" s="6" t="n">
        <v>0</v>
      </c>
      <c r="L106" s="6" t="n">
        <v>0</v>
      </c>
      <c r="M106" s="6" t="n">
        <v>0</v>
      </c>
      <c r="N106" s="6" t="n">
        <v>0</v>
      </c>
      <c r="O106" s="6" t="n">
        <v>0</v>
      </c>
      <c r="P106" s="6" t="n">
        <v>0</v>
      </c>
      <c r="Q106" s="6" t="n">
        <v>0</v>
      </c>
      <c r="R106" s="6" t="n">
        <v>0</v>
      </c>
      <c r="S106" s="6" t="n">
        <v>0</v>
      </c>
      <c r="T106" s="6" t="n">
        <v>0</v>
      </c>
      <c r="U106" s="6" t="n">
        <v>0</v>
      </c>
      <c r="V106" s="6" t="n">
        <v>0</v>
      </c>
      <c r="W106" s="6" t="n">
        <v>0</v>
      </c>
      <c r="X106" s="6" t="n">
        <v>0</v>
      </c>
      <c r="Y106" s="6" t="n">
        <v>0</v>
      </c>
      <c r="Z106" s="6" t="n">
        <v>0</v>
      </c>
      <c r="AA106" s="6" t="n">
        <v>0</v>
      </c>
      <c r="AB106" s="6">
        <f>SUM(D106:AA106)</f>
        <v/>
      </c>
      <c r="AC106" s="3" t="inlineStr"/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7" t="n">
        <v>0</v>
      </c>
      <c r="BB106" s="7">
        <f>SUM(AD106:BA106)</f>
        <v/>
      </c>
    </row>
    <row r="107">
      <c r="A107" t="inlineStr">
        <is>
          <t>AMD-RTS-RCLS-1302-SSC_1</t>
        </is>
      </c>
      <c r="B107" t="inlineStr">
        <is>
          <t>Rev OSC</t>
        </is>
      </c>
      <c r="C107" s="5" t="n">
        <v>46105</v>
      </c>
      <c r="D107" s="6" t="n">
        <v>0</v>
      </c>
      <c r="E107" s="6" t="n">
        <v>0</v>
      </c>
      <c r="F107" s="6" t="n">
        <v>0</v>
      </c>
      <c r="G107" s="6" t="n">
        <v>0</v>
      </c>
      <c r="H107" s="6" t="n">
        <v>0</v>
      </c>
      <c r="I107" s="6" t="n">
        <v>0</v>
      </c>
      <c r="J107" s="6" t="n">
        <v>0</v>
      </c>
      <c r="K107" s="6" t="n">
        <v>0</v>
      </c>
      <c r="L107" s="6" t="n">
        <v>0</v>
      </c>
      <c r="M107" s="6" t="n">
        <v>0</v>
      </c>
      <c r="N107" s="6" t="n">
        <v>0</v>
      </c>
      <c r="O107" s="6" t="n">
        <v>0</v>
      </c>
      <c r="P107" s="6" t="n">
        <v>0</v>
      </c>
      <c r="Q107" s="6" t="n">
        <v>0</v>
      </c>
      <c r="R107" s="6" t="n">
        <v>0</v>
      </c>
      <c r="S107" s="6" t="n">
        <v>0</v>
      </c>
      <c r="T107" s="6" t="n">
        <v>0</v>
      </c>
      <c r="U107" s="6" t="n">
        <v>0</v>
      </c>
      <c r="V107" s="6" t="n">
        <v>0</v>
      </c>
      <c r="W107" s="6" t="n">
        <v>0</v>
      </c>
      <c r="X107" s="6" t="n">
        <v>0</v>
      </c>
      <c r="Y107" s="6" t="n">
        <v>0</v>
      </c>
      <c r="Z107" s="6" t="n">
        <v>0</v>
      </c>
      <c r="AA107" s="6" t="n">
        <v>0</v>
      </c>
      <c r="AB107" s="6">
        <f>SUM(D107:AA107)</f>
        <v/>
      </c>
      <c r="AC107" s="3" t="inlineStr"/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7" t="n">
        <v>0</v>
      </c>
      <c r="BB107" s="7">
        <f>SUM(AD107:BA107)</f>
        <v/>
      </c>
    </row>
    <row r="108">
      <c r="A108" t="inlineStr">
        <is>
          <t>AMD-RTS-RCLS-1302-SSC_2</t>
        </is>
      </c>
      <c r="B108" t="inlineStr">
        <is>
          <t>Rev OSC</t>
        </is>
      </c>
      <c r="C108" s="5" t="n">
        <v>46100</v>
      </c>
      <c r="D108" s="6" t="n">
        <v>0</v>
      </c>
      <c r="E108" s="6" t="n">
        <v>0</v>
      </c>
      <c r="F108" s="6" t="n">
        <v>0</v>
      </c>
      <c r="G108" s="6" t="n">
        <v>0</v>
      </c>
      <c r="H108" s="6" t="n">
        <v>0</v>
      </c>
      <c r="I108" s="6" t="n">
        <v>0</v>
      </c>
      <c r="J108" s="6" t="n">
        <v>0</v>
      </c>
      <c r="K108" s="6" t="n">
        <v>0</v>
      </c>
      <c r="L108" s="6" t="n">
        <v>0</v>
      </c>
      <c r="M108" s="6" t="n">
        <v>0</v>
      </c>
      <c r="N108" s="6" t="n">
        <v>0</v>
      </c>
      <c r="O108" s="6" t="n">
        <v>0</v>
      </c>
      <c r="P108" s="6" t="n">
        <v>0</v>
      </c>
      <c r="Q108" s="6" t="n">
        <v>0</v>
      </c>
      <c r="R108" s="6" t="n">
        <v>0</v>
      </c>
      <c r="S108" s="6" t="n">
        <v>0</v>
      </c>
      <c r="T108" s="6" t="n">
        <v>0</v>
      </c>
      <c r="U108" s="6" t="n">
        <v>0</v>
      </c>
      <c r="V108" s="6" t="n">
        <v>0</v>
      </c>
      <c r="W108" s="6" t="n">
        <v>0</v>
      </c>
      <c r="X108" s="6" t="n">
        <v>0</v>
      </c>
      <c r="Y108" s="6" t="n">
        <v>0</v>
      </c>
      <c r="Z108" s="6" t="n">
        <v>0</v>
      </c>
      <c r="AA108" s="6" t="n">
        <v>0</v>
      </c>
      <c r="AB108" s="6">
        <f>SUM(D108:AA108)</f>
        <v/>
      </c>
      <c r="AC108" s="3" t="inlineStr"/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7" t="n">
        <v>0</v>
      </c>
      <c r="BB108" s="7">
        <f>SUM(AD108:BA108)</f>
        <v/>
      </c>
    </row>
    <row r="109">
      <c r="A109" t="inlineStr">
        <is>
          <t>AMD-RTS-RCLS-1302-SSC_2</t>
        </is>
      </c>
      <c r="B109" t="inlineStr">
        <is>
          <t>Rev OSC</t>
        </is>
      </c>
      <c r="C109" s="5" t="n">
        <v>46102</v>
      </c>
      <c r="D109" s="6" t="n">
        <v>0</v>
      </c>
      <c r="E109" s="6" t="n">
        <v>0</v>
      </c>
      <c r="F109" s="6" t="n">
        <v>0</v>
      </c>
      <c r="G109" s="6" t="n">
        <v>0</v>
      </c>
      <c r="H109" s="6" t="n">
        <v>0</v>
      </c>
      <c r="I109" s="6" t="n">
        <v>0</v>
      </c>
      <c r="J109" s="6" t="n">
        <v>0</v>
      </c>
      <c r="K109" s="6" t="n">
        <v>0</v>
      </c>
      <c r="L109" s="6" t="n">
        <v>0</v>
      </c>
      <c r="M109" s="6" t="n">
        <v>0</v>
      </c>
      <c r="N109" s="6" t="n">
        <v>0</v>
      </c>
      <c r="O109" s="6" t="n">
        <v>0</v>
      </c>
      <c r="P109" s="6" t="n">
        <v>0</v>
      </c>
      <c r="Q109" s="6" t="n">
        <v>0</v>
      </c>
      <c r="R109" s="6" t="n">
        <v>0</v>
      </c>
      <c r="S109" s="6" t="n">
        <v>0</v>
      </c>
      <c r="T109" s="6" t="n">
        <v>0</v>
      </c>
      <c r="U109" s="6" t="n">
        <v>0</v>
      </c>
      <c r="V109" s="6" t="n">
        <v>0</v>
      </c>
      <c r="W109" s="6" t="n">
        <v>0</v>
      </c>
      <c r="X109" s="6" t="n">
        <v>0</v>
      </c>
      <c r="Y109" s="6" t="n">
        <v>0</v>
      </c>
      <c r="Z109" s="6" t="n">
        <v>0</v>
      </c>
      <c r="AA109" s="6" t="n">
        <v>0</v>
      </c>
      <c r="AB109" s="6">
        <f>SUM(D109:AA109)</f>
        <v/>
      </c>
      <c r="AC109" s="3" t="inlineStr"/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7" t="n">
        <v>0</v>
      </c>
      <c r="BB109" s="7">
        <f>SUM(AD109:BA109)</f>
        <v/>
      </c>
    </row>
    <row r="110">
      <c r="A110" t="inlineStr">
        <is>
          <t>AMD-RTS-RCLS-1302-SSC_2</t>
        </is>
      </c>
      <c r="B110" t="inlineStr">
        <is>
          <t>Rev OSC</t>
        </is>
      </c>
      <c r="C110" s="5" t="n">
        <v>46104</v>
      </c>
      <c r="D110" s="6" t="n">
        <v>0</v>
      </c>
      <c r="E110" s="6" t="n">
        <v>0</v>
      </c>
      <c r="F110" s="6" t="n">
        <v>0</v>
      </c>
      <c r="G110" s="6" t="n">
        <v>0</v>
      </c>
      <c r="H110" s="6" t="n">
        <v>0</v>
      </c>
      <c r="I110" s="6" t="n">
        <v>0</v>
      </c>
      <c r="J110" s="6" t="n">
        <v>0</v>
      </c>
      <c r="K110" s="6" t="n">
        <v>0</v>
      </c>
      <c r="L110" s="6" t="n">
        <v>0</v>
      </c>
      <c r="M110" s="6" t="n">
        <v>0</v>
      </c>
      <c r="N110" s="6" t="n">
        <v>0</v>
      </c>
      <c r="O110" s="6" t="n">
        <v>0</v>
      </c>
      <c r="P110" s="6" t="n">
        <v>0</v>
      </c>
      <c r="Q110" s="6" t="n">
        <v>0</v>
      </c>
      <c r="R110" s="6" t="n">
        <v>0</v>
      </c>
      <c r="S110" s="6" t="n">
        <v>0</v>
      </c>
      <c r="T110" s="6" t="n">
        <v>0</v>
      </c>
      <c r="U110" s="6" t="n">
        <v>0</v>
      </c>
      <c r="V110" s="6" t="n">
        <v>0</v>
      </c>
      <c r="W110" s="6" t="n">
        <v>0</v>
      </c>
      <c r="X110" s="6" t="n">
        <v>0</v>
      </c>
      <c r="Y110" s="6" t="n">
        <v>0</v>
      </c>
      <c r="Z110" s="6" t="n">
        <v>0</v>
      </c>
      <c r="AA110" s="6" t="n">
        <v>0</v>
      </c>
      <c r="AB110" s="6">
        <f>SUM(D110:AA110)</f>
        <v/>
      </c>
      <c r="AC110" s="3" t="inlineStr"/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  <c r="BB110" s="7">
        <f>SUM(AD110:BA110)</f>
        <v/>
      </c>
    </row>
    <row r="111">
      <c r="A111" t="inlineStr">
        <is>
          <t>DC-10-1</t>
        </is>
      </c>
      <c r="B111" t="inlineStr">
        <is>
          <t>DSC Manual</t>
        </is>
      </c>
      <c r="C111" s="5" t="n">
        <v>46089</v>
      </c>
      <c r="D111" s="6">
        <f>Summary!D111</f>
        <v/>
      </c>
      <c r="E111" s="6">
        <f>Summary!E111</f>
        <v/>
      </c>
      <c r="F111" s="6">
        <f>Summary!F111</f>
        <v/>
      </c>
      <c r="G111" s="6">
        <f>Summary!G111</f>
        <v/>
      </c>
      <c r="H111" s="6">
        <f>Summary!H111</f>
        <v/>
      </c>
      <c r="I111" s="6">
        <f>Summary!I111</f>
        <v/>
      </c>
      <c r="J111" s="6">
        <f>Summary!J111</f>
        <v/>
      </c>
      <c r="K111" s="6">
        <f>Summary!K111</f>
        <v/>
      </c>
      <c r="L111" s="6">
        <f>Summary!L111</f>
        <v/>
      </c>
      <c r="M111" s="6">
        <f>Summary!M111</f>
        <v/>
      </c>
      <c r="N111" s="6">
        <f>Summary!N111</f>
        <v/>
      </c>
      <c r="O111" s="6">
        <f>Summary!O111</f>
        <v/>
      </c>
      <c r="P111" s="6">
        <f>Summary!P111</f>
        <v/>
      </c>
      <c r="Q111" s="6">
        <f>Summary!Q111</f>
        <v/>
      </c>
      <c r="R111" s="6">
        <f>Summary!R111</f>
        <v/>
      </c>
      <c r="S111" s="6">
        <f>Summary!S111</f>
        <v/>
      </c>
      <c r="T111" s="6">
        <f>Summary!T111</f>
        <v/>
      </c>
      <c r="U111" s="6">
        <f>Summary!U111</f>
        <v/>
      </c>
      <c r="V111" s="6">
        <f>Summary!V111</f>
        <v/>
      </c>
      <c r="W111" s="6">
        <f>Summary!W111</f>
        <v/>
      </c>
      <c r="X111" s="6">
        <f>Summary!X111</f>
        <v/>
      </c>
      <c r="Y111" s="6">
        <f>Summary!Y111</f>
        <v/>
      </c>
      <c r="Z111" s="6">
        <f>Summary!Z111</f>
        <v/>
      </c>
      <c r="AA111" s="6">
        <f>Summary!AA111</f>
        <v/>
      </c>
      <c r="AB111" s="6">
        <f>SUM(D111:AA111)</f>
        <v/>
      </c>
      <c r="AC111" s="3" t="inlineStr"/>
      <c r="AD111" s="7">
        <f>D111*0.00133545</f>
        <v/>
      </c>
      <c r="AE111" s="7">
        <f>E111*0.00133545</f>
        <v/>
      </c>
      <c r="AF111" s="7">
        <f>F111*0.00133545</f>
        <v/>
      </c>
      <c r="AG111" s="7">
        <f>G111*0.00133545</f>
        <v/>
      </c>
      <c r="AH111" s="7">
        <f>H111*0.00133545</f>
        <v/>
      </c>
      <c r="AI111" s="7">
        <f>I111*0.00133545</f>
        <v/>
      </c>
      <c r="AJ111" s="7">
        <f>J111*0.00133545</f>
        <v/>
      </c>
      <c r="AK111" s="7">
        <f>K111*0.00133545</f>
        <v/>
      </c>
      <c r="AL111" s="7">
        <f>L111*0.00133545</f>
        <v/>
      </c>
      <c r="AM111" s="7">
        <f>M111*0.00133545</f>
        <v/>
      </c>
      <c r="AN111" s="7">
        <f>N111*0.00133545</f>
        <v/>
      </c>
      <c r="AO111" s="7">
        <f>O111*0.00133545</f>
        <v/>
      </c>
      <c r="AP111" s="7">
        <f>P111*0.00133545</f>
        <v/>
      </c>
      <c r="AQ111" s="7">
        <f>Q111*0.00133545</f>
        <v/>
      </c>
      <c r="AR111" s="7">
        <f>R111*0.00133545</f>
        <v/>
      </c>
      <c r="AS111" s="7">
        <f>S111*0.00133545</f>
        <v/>
      </c>
      <c r="AT111" s="7">
        <f>T111*0.00133545</f>
        <v/>
      </c>
      <c r="AU111" s="7">
        <f>U111*0.00133545</f>
        <v/>
      </c>
      <c r="AV111" s="7">
        <f>V111*0.00133545</f>
        <v/>
      </c>
      <c r="AW111" s="7">
        <f>W111*0.00133545</f>
        <v/>
      </c>
      <c r="AX111" s="7">
        <f>X111*0.00133545</f>
        <v/>
      </c>
      <c r="AY111" s="7">
        <f>Y111*0.00133545</f>
        <v/>
      </c>
      <c r="AZ111" s="7">
        <f>Z111*0.00133545</f>
        <v/>
      </c>
      <c r="BA111" s="7">
        <f>AA111*0.00133545</f>
        <v/>
      </c>
      <c r="BB111" s="7">
        <f>SUM(AD111:BA111)</f>
        <v/>
      </c>
    </row>
    <row r="112">
      <c r="A112" t="inlineStr">
        <is>
          <t>DC-10-1</t>
        </is>
      </c>
      <c r="B112" t="inlineStr">
        <is>
          <t>DSC Manual</t>
        </is>
      </c>
      <c r="C112" s="5" t="n">
        <v>46090</v>
      </c>
      <c r="D112" s="6">
        <f>Summary!D112</f>
        <v/>
      </c>
      <c r="E112" s="6">
        <f>Summary!E112</f>
        <v/>
      </c>
      <c r="F112" s="6">
        <f>Summary!F112</f>
        <v/>
      </c>
      <c r="G112" s="6">
        <f>Summary!G112</f>
        <v/>
      </c>
      <c r="H112" s="6">
        <f>Summary!H112</f>
        <v/>
      </c>
      <c r="I112" s="6">
        <f>Summary!I112</f>
        <v/>
      </c>
      <c r="J112" s="6">
        <f>Summary!J112</f>
        <v/>
      </c>
      <c r="K112" s="6">
        <f>Summary!K112</f>
        <v/>
      </c>
      <c r="L112" s="6">
        <f>Summary!L112</f>
        <v/>
      </c>
      <c r="M112" s="6">
        <f>Summary!M112</f>
        <v/>
      </c>
      <c r="N112" s="6">
        <f>Summary!N112</f>
        <v/>
      </c>
      <c r="O112" s="6">
        <f>Summary!O112</f>
        <v/>
      </c>
      <c r="P112" s="6">
        <f>Summary!P112</f>
        <v/>
      </c>
      <c r="Q112" s="6">
        <f>Summary!Q112</f>
        <v/>
      </c>
      <c r="R112" s="6">
        <f>Summary!R112</f>
        <v/>
      </c>
      <c r="S112" s="6">
        <f>Summary!S112</f>
        <v/>
      </c>
      <c r="T112" s="6">
        <f>Summary!T112</f>
        <v/>
      </c>
      <c r="U112" s="6">
        <f>Summary!U112</f>
        <v/>
      </c>
      <c r="V112" s="6">
        <f>Summary!V112</f>
        <v/>
      </c>
      <c r="W112" s="6">
        <f>Summary!W112</f>
        <v/>
      </c>
      <c r="X112" s="6">
        <f>Summary!X112</f>
        <v/>
      </c>
      <c r="Y112" s="6">
        <f>Summary!Y112</f>
        <v/>
      </c>
      <c r="Z112" s="6">
        <f>Summary!Z112</f>
        <v/>
      </c>
      <c r="AA112" s="6">
        <f>Summary!AA112</f>
        <v/>
      </c>
      <c r="AB112" s="6">
        <f>SUM(D112:AA112)</f>
        <v/>
      </c>
      <c r="AC112" s="3" t="inlineStr"/>
      <c r="AD112" s="7">
        <f>D112*0.00133545</f>
        <v/>
      </c>
      <c r="AE112" s="7">
        <f>E112*0.00133545</f>
        <v/>
      </c>
      <c r="AF112" s="7">
        <f>F112*0.00133545</f>
        <v/>
      </c>
      <c r="AG112" s="7">
        <f>G112*0.00133545</f>
        <v/>
      </c>
      <c r="AH112" s="7">
        <f>H112*0.00133545</f>
        <v/>
      </c>
      <c r="AI112" s="7">
        <f>I112*0.00133545</f>
        <v/>
      </c>
      <c r="AJ112" s="7">
        <f>J112*0.00133545</f>
        <v/>
      </c>
      <c r="AK112" s="7">
        <f>K112*0.00133545</f>
        <v/>
      </c>
      <c r="AL112" s="7">
        <f>L112*0.00133545</f>
        <v/>
      </c>
      <c r="AM112" s="7">
        <f>M112*0.00133545</f>
        <v/>
      </c>
      <c r="AN112" s="7">
        <f>N112*0.00133545</f>
        <v/>
      </c>
      <c r="AO112" s="7">
        <f>O112*0.00133545</f>
        <v/>
      </c>
      <c r="AP112" s="7">
        <f>P112*0.00133545</f>
        <v/>
      </c>
      <c r="AQ112" s="7">
        <f>Q112*0.00133545</f>
        <v/>
      </c>
      <c r="AR112" s="7">
        <f>R112*0.00133545</f>
        <v/>
      </c>
      <c r="AS112" s="7">
        <f>S112*0.00133545</f>
        <v/>
      </c>
      <c r="AT112" s="7">
        <f>T112*0.00133545</f>
        <v/>
      </c>
      <c r="AU112" s="7">
        <f>U112*0.00133545</f>
        <v/>
      </c>
      <c r="AV112" s="7">
        <f>V112*0.00133545</f>
        <v/>
      </c>
      <c r="AW112" s="7">
        <f>W112*0.00133545</f>
        <v/>
      </c>
      <c r="AX112" s="7">
        <f>X112*0.00133545</f>
        <v/>
      </c>
      <c r="AY112" s="7">
        <f>Y112*0.00133545</f>
        <v/>
      </c>
      <c r="AZ112" s="7">
        <f>Z112*0.00133545</f>
        <v/>
      </c>
      <c r="BA112" s="7">
        <f>AA112*0.00133545</f>
        <v/>
      </c>
      <c r="BB112" s="7">
        <f>SUM(AD112:BA112)</f>
        <v/>
      </c>
    </row>
    <row r="113">
      <c r="A113" t="inlineStr">
        <is>
          <t>DC-10-1</t>
        </is>
      </c>
      <c r="B113" t="inlineStr">
        <is>
          <t>DSC Manual</t>
        </is>
      </c>
      <c r="C113" s="5" t="n">
        <v>46091</v>
      </c>
      <c r="D113" s="6">
        <f>Summary!D113</f>
        <v/>
      </c>
      <c r="E113" s="6">
        <f>Summary!E113</f>
        <v/>
      </c>
      <c r="F113" s="6">
        <f>Summary!F113</f>
        <v/>
      </c>
      <c r="G113" s="6">
        <f>Summary!G113</f>
        <v/>
      </c>
      <c r="H113" s="6">
        <f>Summary!H113</f>
        <v/>
      </c>
      <c r="I113" s="6">
        <f>Summary!I113</f>
        <v/>
      </c>
      <c r="J113" s="6">
        <f>Summary!J113</f>
        <v/>
      </c>
      <c r="K113" s="6">
        <f>Summary!K113</f>
        <v/>
      </c>
      <c r="L113" s="6">
        <f>Summary!L113</f>
        <v/>
      </c>
      <c r="M113" s="6">
        <f>Summary!M113</f>
        <v/>
      </c>
      <c r="N113" s="6">
        <f>Summary!N113</f>
        <v/>
      </c>
      <c r="O113" s="6">
        <f>Summary!O113</f>
        <v/>
      </c>
      <c r="P113" s="6">
        <f>Summary!P113</f>
        <v/>
      </c>
      <c r="Q113" s="6">
        <f>Summary!Q113</f>
        <v/>
      </c>
      <c r="R113" s="6">
        <f>Summary!R113</f>
        <v/>
      </c>
      <c r="S113" s="6">
        <f>Summary!S113</f>
        <v/>
      </c>
      <c r="T113" s="6">
        <f>Summary!T113</f>
        <v/>
      </c>
      <c r="U113" s="6">
        <f>Summary!U113</f>
        <v/>
      </c>
      <c r="V113" s="6">
        <f>Summary!V113</f>
        <v/>
      </c>
      <c r="W113" s="6">
        <f>Summary!W113</f>
        <v/>
      </c>
      <c r="X113" s="6">
        <f>Summary!X113</f>
        <v/>
      </c>
      <c r="Y113" s="6">
        <f>Summary!Y113</f>
        <v/>
      </c>
      <c r="Z113" s="6">
        <f>Summary!Z113</f>
        <v/>
      </c>
      <c r="AA113" s="6">
        <f>Summary!AA113</f>
        <v/>
      </c>
      <c r="AB113" s="6">
        <f>SUM(D113:AA113)</f>
        <v/>
      </c>
      <c r="AC113" s="3" t="inlineStr"/>
      <c r="AD113" s="7">
        <f>D113*0.00133545</f>
        <v/>
      </c>
      <c r="AE113" s="7">
        <f>E113*0.00133545</f>
        <v/>
      </c>
      <c r="AF113" s="7">
        <f>F113*0.00133545</f>
        <v/>
      </c>
      <c r="AG113" s="7">
        <f>G113*0.00133545</f>
        <v/>
      </c>
      <c r="AH113" s="7">
        <f>H113*0.00133545</f>
        <v/>
      </c>
      <c r="AI113" s="7">
        <f>I113*0.00133545</f>
        <v/>
      </c>
      <c r="AJ113" s="7">
        <f>J113*0.00133545</f>
        <v/>
      </c>
      <c r="AK113" s="7">
        <f>K113*0.00133545</f>
        <v/>
      </c>
      <c r="AL113" s="7">
        <f>L113*0.00133545</f>
        <v/>
      </c>
      <c r="AM113" s="7">
        <f>M113*0.00133545</f>
        <v/>
      </c>
      <c r="AN113" s="7">
        <f>N113*0.00133545</f>
        <v/>
      </c>
      <c r="AO113" s="7">
        <f>O113*0.00133545</f>
        <v/>
      </c>
      <c r="AP113" s="7">
        <f>P113*0.00133545</f>
        <v/>
      </c>
      <c r="AQ113" s="7">
        <f>Q113*0.00133545</f>
        <v/>
      </c>
      <c r="AR113" s="7">
        <f>R113*0.00133545</f>
        <v/>
      </c>
      <c r="AS113" s="7">
        <f>S113*0.00133545</f>
        <v/>
      </c>
      <c r="AT113" s="7">
        <f>T113*0.00133545</f>
        <v/>
      </c>
      <c r="AU113" s="7">
        <f>U113*0.00133545</f>
        <v/>
      </c>
      <c r="AV113" s="7">
        <f>V113*0.00133545</f>
        <v/>
      </c>
      <c r="AW113" s="7">
        <f>W113*0.00133545</f>
        <v/>
      </c>
      <c r="AX113" s="7">
        <f>X113*0.00133545</f>
        <v/>
      </c>
      <c r="AY113" s="7">
        <f>Y113*0.00133545</f>
        <v/>
      </c>
      <c r="AZ113" s="7">
        <f>Z113*0.00133545</f>
        <v/>
      </c>
      <c r="BA113" s="7">
        <f>AA113*0.00133545</f>
        <v/>
      </c>
      <c r="BB113" s="7">
        <f>SUM(AD113:BA113)</f>
        <v/>
      </c>
    </row>
    <row r="114">
      <c r="A114" t="inlineStr">
        <is>
          <t>DC-10-1</t>
        </is>
      </c>
      <c r="B114" t="inlineStr">
        <is>
          <t>DSC Manual</t>
        </is>
      </c>
      <c r="C114" s="5" t="n">
        <v>46092</v>
      </c>
      <c r="D114" s="6">
        <f>Summary!D114</f>
        <v/>
      </c>
      <c r="E114" s="6">
        <f>Summary!E114</f>
        <v/>
      </c>
      <c r="F114" s="6">
        <f>Summary!F114</f>
        <v/>
      </c>
      <c r="G114" s="6">
        <f>Summary!G114</f>
        <v/>
      </c>
      <c r="H114" s="6">
        <f>Summary!H114</f>
        <v/>
      </c>
      <c r="I114" s="6">
        <f>Summary!I114</f>
        <v/>
      </c>
      <c r="J114" s="6">
        <f>Summary!J114</f>
        <v/>
      </c>
      <c r="K114" s="6">
        <f>Summary!K114</f>
        <v/>
      </c>
      <c r="L114" s="6">
        <f>Summary!L114</f>
        <v/>
      </c>
      <c r="M114" s="6">
        <f>Summary!M114</f>
        <v/>
      </c>
      <c r="N114" s="6">
        <f>Summary!N114</f>
        <v/>
      </c>
      <c r="O114" s="6">
        <f>Summary!O114</f>
        <v/>
      </c>
      <c r="P114" s="6">
        <f>Summary!P114</f>
        <v/>
      </c>
      <c r="Q114" s="6">
        <f>Summary!Q114</f>
        <v/>
      </c>
      <c r="R114" s="6">
        <f>Summary!R114</f>
        <v/>
      </c>
      <c r="S114" s="6">
        <f>Summary!S114</f>
        <v/>
      </c>
      <c r="T114" s="6">
        <f>Summary!T114</f>
        <v/>
      </c>
      <c r="U114" s="6">
        <f>Summary!U114</f>
        <v/>
      </c>
      <c r="V114" s="6">
        <f>Summary!V114</f>
        <v/>
      </c>
      <c r="W114" s="6">
        <f>Summary!W114</f>
        <v/>
      </c>
      <c r="X114" s="6">
        <f>Summary!X114</f>
        <v/>
      </c>
      <c r="Y114" s="6">
        <f>Summary!Y114</f>
        <v/>
      </c>
      <c r="Z114" s="6">
        <f>Summary!Z114</f>
        <v/>
      </c>
      <c r="AA114" s="6">
        <f>Summary!AA114</f>
        <v/>
      </c>
      <c r="AB114" s="6">
        <f>SUM(D114:AA114)</f>
        <v/>
      </c>
      <c r="AC114" s="3" t="inlineStr"/>
      <c r="AD114" s="7">
        <f>D114*0.00133545</f>
        <v/>
      </c>
      <c r="AE114" s="7">
        <f>E114*0.00133545</f>
        <v/>
      </c>
      <c r="AF114" s="7">
        <f>F114*0.00133545</f>
        <v/>
      </c>
      <c r="AG114" s="7">
        <f>G114*0.00133545</f>
        <v/>
      </c>
      <c r="AH114" s="7">
        <f>H114*0.00133545</f>
        <v/>
      </c>
      <c r="AI114" s="7">
        <f>I114*0.00133545</f>
        <v/>
      </c>
      <c r="AJ114" s="7">
        <f>J114*0.00133545</f>
        <v/>
      </c>
      <c r="AK114" s="7">
        <f>K114*0.00133545</f>
        <v/>
      </c>
      <c r="AL114" s="7">
        <f>L114*0.00133545</f>
        <v/>
      </c>
      <c r="AM114" s="7">
        <f>M114*0.00133545</f>
        <v/>
      </c>
      <c r="AN114" s="7">
        <f>N114*0.00133545</f>
        <v/>
      </c>
      <c r="AO114" s="7">
        <f>O114*0.00133545</f>
        <v/>
      </c>
      <c r="AP114" s="7">
        <f>P114*0.00133545</f>
        <v/>
      </c>
      <c r="AQ114" s="7">
        <f>Q114*0.00133545</f>
        <v/>
      </c>
      <c r="AR114" s="7">
        <f>R114*0.00133545</f>
        <v/>
      </c>
      <c r="AS114" s="7">
        <f>S114*0.00133545</f>
        <v/>
      </c>
      <c r="AT114" s="7">
        <f>T114*0.00133545</f>
        <v/>
      </c>
      <c r="AU114" s="7">
        <f>U114*0.00133545</f>
        <v/>
      </c>
      <c r="AV114" s="7">
        <f>V114*0.00133545</f>
        <v/>
      </c>
      <c r="AW114" s="7">
        <f>W114*0.00133545</f>
        <v/>
      </c>
      <c r="AX114" s="7">
        <f>X114*0.00133545</f>
        <v/>
      </c>
      <c r="AY114" s="7">
        <f>Y114*0.00133545</f>
        <v/>
      </c>
      <c r="AZ114" s="7">
        <f>Z114*0.00133545</f>
        <v/>
      </c>
      <c r="BA114" s="7">
        <f>AA114*0.00133545</f>
        <v/>
      </c>
      <c r="BB114" s="7">
        <f>SUM(AD114:BA114)</f>
        <v/>
      </c>
    </row>
    <row r="115">
      <c r="A115" t="inlineStr">
        <is>
          <t>DC-10-1</t>
        </is>
      </c>
      <c r="B115" t="inlineStr">
        <is>
          <t>DSC Manual</t>
        </is>
      </c>
      <c r="C115" s="5" t="n">
        <v>46093</v>
      </c>
      <c r="D115" s="6">
        <f>Summary!D115</f>
        <v/>
      </c>
      <c r="E115" s="6">
        <f>Summary!E115</f>
        <v/>
      </c>
      <c r="F115" s="6">
        <f>Summary!F115</f>
        <v/>
      </c>
      <c r="G115" s="6">
        <f>Summary!G115</f>
        <v/>
      </c>
      <c r="H115" s="6">
        <f>Summary!H115</f>
        <v/>
      </c>
      <c r="I115" s="6">
        <f>Summary!I115</f>
        <v/>
      </c>
      <c r="J115" s="6">
        <f>Summary!J115</f>
        <v/>
      </c>
      <c r="K115" s="6">
        <f>Summary!K115</f>
        <v/>
      </c>
      <c r="L115" s="6">
        <f>Summary!L115</f>
        <v/>
      </c>
      <c r="M115" s="6">
        <f>Summary!M115</f>
        <v/>
      </c>
      <c r="N115" s="6">
        <f>Summary!N115</f>
        <v/>
      </c>
      <c r="O115" s="6">
        <f>Summary!O115</f>
        <v/>
      </c>
      <c r="P115" s="6">
        <f>Summary!P115</f>
        <v/>
      </c>
      <c r="Q115" s="6">
        <f>Summary!Q115</f>
        <v/>
      </c>
      <c r="R115" s="6">
        <f>Summary!R115</f>
        <v/>
      </c>
      <c r="S115" s="6">
        <f>Summary!S115</f>
        <v/>
      </c>
      <c r="T115" s="6">
        <f>Summary!T115</f>
        <v/>
      </c>
      <c r="U115" s="6">
        <f>Summary!U115</f>
        <v/>
      </c>
      <c r="V115" s="6">
        <f>Summary!V115</f>
        <v/>
      </c>
      <c r="W115" s="6">
        <f>Summary!W115</f>
        <v/>
      </c>
      <c r="X115" s="6">
        <f>Summary!X115</f>
        <v/>
      </c>
      <c r="Y115" s="6">
        <f>Summary!Y115</f>
        <v/>
      </c>
      <c r="Z115" s="6">
        <f>Summary!Z115</f>
        <v/>
      </c>
      <c r="AA115" s="6">
        <f>Summary!AA115</f>
        <v/>
      </c>
      <c r="AB115" s="6">
        <f>SUM(D115:AA115)</f>
        <v/>
      </c>
      <c r="AC115" s="3" t="inlineStr"/>
      <c r="AD115" s="7">
        <f>D115*0.00133545</f>
        <v/>
      </c>
      <c r="AE115" s="7">
        <f>E115*0.00133545</f>
        <v/>
      </c>
      <c r="AF115" s="7">
        <f>F115*0.00133545</f>
        <v/>
      </c>
      <c r="AG115" s="7">
        <f>G115*0.00133545</f>
        <v/>
      </c>
      <c r="AH115" s="7">
        <f>H115*0.00133545</f>
        <v/>
      </c>
      <c r="AI115" s="7">
        <f>I115*0.00133545</f>
        <v/>
      </c>
      <c r="AJ115" s="7">
        <f>J115*0.00133545</f>
        <v/>
      </c>
      <c r="AK115" s="7">
        <f>K115*0.00133545</f>
        <v/>
      </c>
      <c r="AL115" s="7">
        <f>L115*0.00133545</f>
        <v/>
      </c>
      <c r="AM115" s="7">
        <f>M115*0.00133545</f>
        <v/>
      </c>
      <c r="AN115" s="7">
        <f>N115*0.00133545</f>
        <v/>
      </c>
      <c r="AO115" s="7">
        <f>O115*0.00133545</f>
        <v/>
      </c>
      <c r="AP115" s="7">
        <f>P115*0.00133545</f>
        <v/>
      </c>
      <c r="AQ115" s="7">
        <f>Q115*0.00133545</f>
        <v/>
      </c>
      <c r="AR115" s="7">
        <f>R115*0.00133545</f>
        <v/>
      </c>
      <c r="AS115" s="7">
        <f>S115*0.00133545</f>
        <v/>
      </c>
      <c r="AT115" s="7">
        <f>T115*0.00133545</f>
        <v/>
      </c>
      <c r="AU115" s="7">
        <f>U115*0.00133545</f>
        <v/>
      </c>
      <c r="AV115" s="7">
        <f>V115*0.00133545</f>
        <v/>
      </c>
      <c r="AW115" s="7">
        <f>W115*0.00133545</f>
        <v/>
      </c>
      <c r="AX115" s="7">
        <f>X115*0.00133545</f>
        <v/>
      </c>
      <c r="AY115" s="7">
        <f>Y115*0.00133545</f>
        <v/>
      </c>
      <c r="AZ115" s="7">
        <f>Z115*0.00133545</f>
        <v/>
      </c>
      <c r="BA115" s="7">
        <f>AA115*0.00133545</f>
        <v/>
      </c>
      <c r="BB115" s="7">
        <f>SUM(AD115:BA115)</f>
        <v/>
      </c>
    </row>
    <row r="116">
      <c r="A116" t="inlineStr">
        <is>
          <t>DC-10-1</t>
        </is>
      </c>
      <c r="B116" t="inlineStr">
        <is>
          <t>DSC Manual</t>
        </is>
      </c>
      <c r="C116" s="5" t="n">
        <v>46094</v>
      </c>
      <c r="D116" s="6">
        <f>Summary!D116</f>
        <v/>
      </c>
      <c r="E116" s="6">
        <f>Summary!E116</f>
        <v/>
      </c>
      <c r="F116" s="6">
        <f>Summary!F116</f>
        <v/>
      </c>
      <c r="G116" s="6">
        <f>Summary!G116</f>
        <v/>
      </c>
      <c r="H116" s="6">
        <f>Summary!H116</f>
        <v/>
      </c>
      <c r="I116" s="6">
        <f>Summary!I116</f>
        <v/>
      </c>
      <c r="J116" s="6">
        <f>Summary!J116</f>
        <v/>
      </c>
      <c r="K116" s="6">
        <f>Summary!K116</f>
        <v/>
      </c>
      <c r="L116" s="6">
        <f>Summary!L116</f>
        <v/>
      </c>
      <c r="M116" s="6">
        <f>Summary!M116</f>
        <v/>
      </c>
      <c r="N116" s="6">
        <f>Summary!N116</f>
        <v/>
      </c>
      <c r="O116" s="6">
        <f>Summary!O116</f>
        <v/>
      </c>
      <c r="P116" s="6">
        <f>Summary!P116</f>
        <v/>
      </c>
      <c r="Q116" s="6">
        <f>Summary!Q116</f>
        <v/>
      </c>
      <c r="R116" s="6">
        <f>Summary!R116</f>
        <v/>
      </c>
      <c r="S116" s="6">
        <f>Summary!S116</f>
        <v/>
      </c>
      <c r="T116" s="6">
        <f>Summary!T116</f>
        <v/>
      </c>
      <c r="U116" s="6">
        <f>Summary!U116</f>
        <v/>
      </c>
      <c r="V116" s="6">
        <f>Summary!V116</f>
        <v/>
      </c>
      <c r="W116" s="6">
        <f>Summary!W116</f>
        <v/>
      </c>
      <c r="X116" s="6">
        <f>Summary!X116</f>
        <v/>
      </c>
      <c r="Y116" s="6">
        <f>Summary!Y116</f>
        <v/>
      </c>
      <c r="Z116" s="6">
        <f>Summary!Z116</f>
        <v/>
      </c>
      <c r="AA116" s="6">
        <f>Summary!AA116</f>
        <v/>
      </c>
      <c r="AB116" s="6">
        <f>SUM(D116:AA116)</f>
        <v/>
      </c>
      <c r="AC116" s="3" t="inlineStr"/>
      <c r="AD116" s="7">
        <f>D116*0.00133545</f>
        <v/>
      </c>
      <c r="AE116" s="7">
        <f>E116*0.00133545</f>
        <v/>
      </c>
      <c r="AF116" s="7">
        <f>F116*0.00133545</f>
        <v/>
      </c>
      <c r="AG116" s="7">
        <f>G116*0.00133545</f>
        <v/>
      </c>
      <c r="AH116" s="7">
        <f>H116*0.00133545</f>
        <v/>
      </c>
      <c r="AI116" s="7">
        <f>I116*0.00133545</f>
        <v/>
      </c>
      <c r="AJ116" s="7">
        <f>J116*0.00133545</f>
        <v/>
      </c>
      <c r="AK116" s="7">
        <f>K116*0.00133545</f>
        <v/>
      </c>
      <c r="AL116" s="7">
        <f>L116*0.00133545</f>
        <v/>
      </c>
      <c r="AM116" s="7">
        <f>M116*0.00133545</f>
        <v/>
      </c>
      <c r="AN116" s="7">
        <f>N116*0.00133545</f>
        <v/>
      </c>
      <c r="AO116" s="7">
        <f>O116*0.00133545</f>
        <v/>
      </c>
      <c r="AP116" s="7">
        <f>P116*0.00133545</f>
        <v/>
      </c>
      <c r="AQ116" s="7">
        <f>Q116*0.00133545</f>
        <v/>
      </c>
      <c r="AR116" s="7">
        <f>R116*0.00133545</f>
        <v/>
      </c>
      <c r="AS116" s="7">
        <f>S116*0.00133545</f>
        <v/>
      </c>
      <c r="AT116" s="7">
        <f>T116*0.00133545</f>
        <v/>
      </c>
      <c r="AU116" s="7">
        <f>U116*0.00133545</f>
        <v/>
      </c>
      <c r="AV116" s="7">
        <f>V116*0.00133545</f>
        <v/>
      </c>
      <c r="AW116" s="7">
        <f>W116*0.00133545</f>
        <v/>
      </c>
      <c r="AX116" s="7">
        <f>X116*0.00133545</f>
        <v/>
      </c>
      <c r="AY116" s="7">
        <f>Y116*0.00133545</f>
        <v/>
      </c>
      <c r="AZ116" s="7">
        <f>Z116*0.00133545</f>
        <v/>
      </c>
      <c r="BA116" s="7">
        <f>AA116*0.00133545</f>
        <v/>
      </c>
      <c r="BB116" s="7">
        <f>SUM(AD116:BA116)</f>
        <v/>
      </c>
    </row>
    <row r="117">
      <c r="A117" t="inlineStr">
        <is>
          <t>DC-10-1</t>
        </is>
      </c>
      <c r="B117" t="inlineStr">
        <is>
          <t>DSC Manual</t>
        </is>
      </c>
      <c r="C117" s="5" t="n">
        <v>46095</v>
      </c>
      <c r="D117" s="6">
        <f>Summary!D117</f>
        <v/>
      </c>
      <c r="E117" s="6">
        <f>Summary!E117</f>
        <v/>
      </c>
      <c r="F117" s="6">
        <f>Summary!F117</f>
        <v/>
      </c>
      <c r="G117" s="6">
        <f>Summary!G117</f>
        <v/>
      </c>
      <c r="H117" s="6">
        <f>Summary!H117</f>
        <v/>
      </c>
      <c r="I117" s="6">
        <f>Summary!I117</f>
        <v/>
      </c>
      <c r="J117" s="6">
        <f>Summary!J117</f>
        <v/>
      </c>
      <c r="K117" s="6">
        <f>Summary!K117</f>
        <v/>
      </c>
      <c r="L117" s="6">
        <f>Summary!L117</f>
        <v/>
      </c>
      <c r="M117" s="6">
        <f>Summary!M117</f>
        <v/>
      </c>
      <c r="N117" s="6">
        <f>Summary!N117</f>
        <v/>
      </c>
      <c r="O117" s="6">
        <f>Summary!O117</f>
        <v/>
      </c>
      <c r="P117" s="6">
        <f>Summary!P117</f>
        <v/>
      </c>
      <c r="Q117" s="6">
        <f>Summary!Q117</f>
        <v/>
      </c>
      <c r="R117" s="6">
        <f>Summary!R117</f>
        <v/>
      </c>
      <c r="S117" s="6">
        <f>Summary!S117</f>
        <v/>
      </c>
      <c r="T117" s="6">
        <f>Summary!T117</f>
        <v/>
      </c>
      <c r="U117" s="6">
        <f>Summary!U117</f>
        <v/>
      </c>
      <c r="V117" s="6">
        <f>Summary!V117</f>
        <v/>
      </c>
      <c r="W117" s="6">
        <f>Summary!W117</f>
        <v/>
      </c>
      <c r="X117" s="6">
        <f>Summary!X117</f>
        <v/>
      </c>
      <c r="Y117" s="6">
        <f>Summary!Y117</f>
        <v/>
      </c>
      <c r="Z117" s="6">
        <f>Summary!Z117</f>
        <v/>
      </c>
      <c r="AA117" s="6">
        <f>Summary!AA117</f>
        <v/>
      </c>
      <c r="AB117" s="6">
        <f>SUM(D117:AA117)</f>
        <v/>
      </c>
      <c r="AC117" s="3" t="inlineStr"/>
      <c r="AD117" s="7">
        <f>D117*0.00133545</f>
        <v/>
      </c>
      <c r="AE117" s="7">
        <f>E117*0.00133545</f>
        <v/>
      </c>
      <c r="AF117" s="7">
        <f>F117*0.00133545</f>
        <v/>
      </c>
      <c r="AG117" s="7">
        <f>G117*0.00133545</f>
        <v/>
      </c>
      <c r="AH117" s="7">
        <f>H117*0.00133545</f>
        <v/>
      </c>
      <c r="AI117" s="7">
        <f>I117*0.00133545</f>
        <v/>
      </c>
      <c r="AJ117" s="7">
        <f>J117*0.00133545</f>
        <v/>
      </c>
      <c r="AK117" s="7">
        <f>K117*0.00133545</f>
        <v/>
      </c>
      <c r="AL117" s="7">
        <f>L117*0.00133545</f>
        <v/>
      </c>
      <c r="AM117" s="7">
        <f>M117*0.00133545</f>
        <v/>
      </c>
      <c r="AN117" s="7">
        <f>N117*0.00133545</f>
        <v/>
      </c>
      <c r="AO117" s="7">
        <f>O117*0.00133545</f>
        <v/>
      </c>
      <c r="AP117" s="7">
        <f>P117*0.00133545</f>
        <v/>
      </c>
      <c r="AQ117" s="7">
        <f>Q117*0.00133545</f>
        <v/>
      </c>
      <c r="AR117" s="7">
        <f>R117*0.00133545</f>
        <v/>
      </c>
      <c r="AS117" s="7">
        <f>S117*0.00133545</f>
        <v/>
      </c>
      <c r="AT117" s="7">
        <f>T117*0.00133545</f>
        <v/>
      </c>
      <c r="AU117" s="7">
        <f>U117*0.00133545</f>
        <v/>
      </c>
      <c r="AV117" s="7">
        <f>V117*0.00133545</f>
        <v/>
      </c>
      <c r="AW117" s="7">
        <f>W117*0.00133545</f>
        <v/>
      </c>
      <c r="AX117" s="7">
        <f>X117*0.00133545</f>
        <v/>
      </c>
      <c r="AY117" s="7">
        <f>Y117*0.00133545</f>
        <v/>
      </c>
      <c r="AZ117" s="7">
        <f>Z117*0.00133545</f>
        <v/>
      </c>
      <c r="BA117" s="7">
        <f>AA117*0.00133545</f>
        <v/>
      </c>
      <c r="BB117" s="7">
        <f>SUM(AD117:BA117)</f>
        <v/>
      </c>
    </row>
    <row r="118">
      <c r="A118" t="inlineStr">
        <is>
          <t>DC-10-1</t>
        </is>
      </c>
      <c r="B118" t="inlineStr">
        <is>
          <t>DSC Manual</t>
        </is>
      </c>
      <c r="C118" s="5" t="n">
        <v>46096</v>
      </c>
      <c r="D118" s="6">
        <f>Summary!D118</f>
        <v/>
      </c>
      <c r="E118" s="6">
        <f>Summary!E118</f>
        <v/>
      </c>
      <c r="F118" s="6">
        <f>Summary!F118</f>
        <v/>
      </c>
      <c r="G118" s="6">
        <f>Summary!G118</f>
        <v/>
      </c>
      <c r="H118" s="6">
        <f>Summary!H118</f>
        <v/>
      </c>
      <c r="I118" s="6">
        <f>Summary!I118</f>
        <v/>
      </c>
      <c r="J118" s="6">
        <f>Summary!J118</f>
        <v/>
      </c>
      <c r="K118" s="6">
        <f>Summary!K118</f>
        <v/>
      </c>
      <c r="L118" s="6">
        <f>Summary!L118</f>
        <v/>
      </c>
      <c r="M118" s="6">
        <f>Summary!M118</f>
        <v/>
      </c>
      <c r="N118" s="6">
        <f>Summary!N118</f>
        <v/>
      </c>
      <c r="O118" s="6">
        <f>Summary!O118</f>
        <v/>
      </c>
      <c r="P118" s="6">
        <f>Summary!P118</f>
        <v/>
      </c>
      <c r="Q118" s="6">
        <f>Summary!Q118</f>
        <v/>
      </c>
      <c r="R118" s="6">
        <f>Summary!R118</f>
        <v/>
      </c>
      <c r="S118" s="6">
        <f>Summary!S118</f>
        <v/>
      </c>
      <c r="T118" s="6">
        <f>Summary!T118</f>
        <v/>
      </c>
      <c r="U118" s="6">
        <f>Summary!U118</f>
        <v/>
      </c>
      <c r="V118" s="6">
        <f>Summary!V118</f>
        <v/>
      </c>
      <c r="W118" s="6">
        <f>Summary!W118</f>
        <v/>
      </c>
      <c r="X118" s="6">
        <f>Summary!X118</f>
        <v/>
      </c>
      <c r="Y118" s="6">
        <f>Summary!Y118</f>
        <v/>
      </c>
      <c r="Z118" s="6">
        <f>Summary!Z118</f>
        <v/>
      </c>
      <c r="AA118" s="6">
        <f>Summary!AA118</f>
        <v/>
      </c>
      <c r="AB118" s="6">
        <f>SUM(D118:AA118)</f>
        <v/>
      </c>
      <c r="AC118" s="3" t="inlineStr"/>
      <c r="AD118" s="7">
        <f>D118*0.00133545</f>
        <v/>
      </c>
      <c r="AE118" s="7">
        <f>E118*0.00133545</f>
        <v/>
      </c>
      <c r="AF118" s="7">
        <f>F118*0.00133545</f>
        <v/>
      </c>
      <c r="AG118" s="7">
        <f>G118*0.00133545</f>
        <v/>
      </c>
      <c r="AH118" s="7">
        <f>H118*0.00133545</f>
        <v/>
      </c>
      <c r="AI118" s="7">
        <f>I118*0.00133545</f>
        <v/>
      </c>
      <c r="AJ118" s="7">
        <f>J118*0.00133545</f>
        <v/>
      </c>
      <c r="AK118" s="7">
        <f>K118*0.00133545</f>
        <v/>
      </c>
      <c r="AL118" s="7">
        <f>L118*0.00133545</f>
        <v/>
      </c>
      <c r="AM118" s="7">
        <f>M118*0.00133545</f>
        <v/>
      </c>
      <c r="AN118" s="7">
        <f>N118*0.00133545</f>
        <v/>
      </c>
      <c r="AO118" s="7">
        <f>O118*0.00133545</f>
        <v/>
      </c>
      <c r="AP118" s="7">
        <f>P118*0.00133545</f>
        <v/>
      </c>
      <c r="AQ118" s="7">
        <f>Q118*0.00133545</f>
        <v/>
      </c>
      <c r="AR118" s="7">
        <f>R118*0.00133545</f>
        <v/>
      </c>
      <c r="AS118" s="7">
        <f>S118*0.00133545</f>
        <v/>
      </c>
      <c r="AT118" s="7">
        <f>T118*0.00133545</f>
        <v/>
      </c>
      <c r="AU118" s="7">
        <f>U118*0.00133545</f>
        <v/>
      </c>
      <c r="AV118" s="7">
        <f>V118*0.00133545</f>
        <v/>
      </c>
      <c r="AW118" s="7">
        <f>W118*0.00133545</f>
        <v/>
      </c>
      <c r="AX118" s="7">
        <f>X118*0.00133545</f>
        <v/>
      </c>
      <c r="AY118" s="7">
        <f>Y118*0.00133545</f>
        <v/>
      </c>
      <c r="AZ118" s="7">
        <f>Z118*0.00133545</f>
        <v/>
      </c>
      <c r="BA118" s="7">
        <f>AA118*0.00133545</f>
        <v/>
      </c>
      <c r="BB118" s="7">
        <f>SUM(AD118:BA118)</f>
        <v/>
      </c>
    </row>
    <row r="119">
      <c r="A119" t="inlineStr">
        <is>
          <t>DC-10-1</t>
        </is>
      </c>
      <c r="B119" t="inlineStr">
        <is>
          <t>DSC Manual</t>
        </is>
      </c>
      <c r="C119" s="5" t="n">
        <v>46097</v>
      </c>
      <c r="D119" s="6">
        <f>Summary!D119</f>
        <v/>
      </c>
      <c r="E119" s="6">
        <f>Summary!E119</f>
        <v/>
      </c>
      <c r="F119" s="6">
        <f>Summary!F119</f>
        <v/>
      </c>
      <c r="G119" s="6">
        <f>Summary!G119</f>
        <v/>
      </c>
      <c r="H119" s="6">
        <f>Summary!H119</f>
        <v/>
      </c>
      <c r="I119" s="6">
        <f>Summary!I119</f>
        <v/>
      </c>
      <c r="J119" s="6">
        <f>Summary!J119</f>
        <v/>
      </c>
      <c r="K119" s="6">
        <f>Summary!K119</f>
        <v/>
      </c>
      <c r="L119" s="6">
        <f>Summary!L119</f>
        <v/>
      </c>
      <c r="M119" s="6">
        <f>Summary!M119</f>
        <v/>
      </c>
      <c r="N119" s="6">
        <f>Summary!N119</f>
        <v/>
      </c>
      <c r="O119" s="6">
        <f>Summary!O119</f>
        <v/>
      </c>
      <c r="P119" s="6">
        <f>Summary!P119</f>
        <v/>
      </c>
      <c r="Q119" s="6">
        <f>Summary!Q119</f>
        <v/>
      </c>
      <c r="R119" s="6">
        <f>Summary!R119</f>
        <v/>
      </c>
      <c r="S119" s="6">
        <f>Summary!S119</f>
        <v/>
      </c>
      <c r="T119" s="6">
        <f>Summary!T119</f>
        <v/>
      </c>
      <c r="U119" s="6">
        <f>Summary!U119</f>
        <v/>
      </c>
      <c r="V119" s="6">
        <f>Summary!V119</f>
        <v/>
      </c>
      <c r="W119" s="6">
        <f>Summary!W119</f>
        <v/>
      </c>
      <c r="X119" s="6">
        <f>Summary!X119</f>
        <v/>
      </c>
      <c r="Y119" s="6">
        <f>Summary!Y119</f>
        <v/>
      </c>
      <c r="Z119" s="6">
        <f>Summary!Z119</f>
        <v/>
      </c>
      <c r="AA119" s="6">
        <f>Summary!AA119</f>
        <v/>
      </c>
      <c r="AB119" s="6">
        <f>SUM(D119:AA119)</f>
        <v/>
      </c>
      <c r="AC119" s="3" t="inlineStr"/>
      <c r="AD119" s="7">
        <f>D119*0.00133545</f>
        <v/>
      </c>
      <c r="AE119" s="7">
        <f>E119*0.00133545</f>
        <v/>
      </c>
      <c r="AF119" s="7">
        <f>F119*0.00133545</f>
        <v/>
      </c>
      <c r="AG119" s="7">
        <f>G119*0.00133545</f>
        <v/>
      </c>
      <c r="AH119" s="7">
        <f>H119*0.00133545</f>
        <v/>
      </c>
      <c r="AI119" s="7">
        <f>I119*0.00133545</f>
        <v/>
      </c>
      <c r="AJ119" s="7">
        <f>J119*0.00133545</f>
        <v/>
      </c>
      <c r="AK119" s="7">
        <f>K119*0.00133545</f>
        <v/>
      </c>
      <c r="AL119" s="7">
        <f>L119*0.00133545</f>
        <v/>
      </c>
      <c r="AM119" s="7">
        <f>M119*0.00133545</f>
        <v/>
      </c>
      <c r="AN119" s="7">
        <f>N119*0.00133545</f>
        <v/>
      </c>
      <c r="AO119" s="7">
        <f>O119*0.00133545</f>
        <v/>
      </c>
      <c r="AP119" s="7">
        <f>P119*0.00133545</f>
        <v/>
      </c>
      <c r="AQ119" s="7">
        <f>Q119*0.00133545</f>
        <v/>
      </c>
      <c r="AR119" s="7">
        <f>R119*0.00133545</f>
        <v/>
      </c>
      <c r="AS119" s="7">
        <f>S119*0.00133545</f>
        <v/>
      </c>
      <c r="AT119" s="7">
        <f>T119*0.00133545</f>
        <v/>
      </c>
      <c r="AU119" s="7">
        <f>U119*0.00133545</f>
        <v/>
      </c>
      <c r="AV119" s="7">
        <f>V119*0.00133545</f>
        <v/>
      </c>
      <c r="AW119" s="7">
        <f>W119*0.00133545</f>
        <v/>
      </c>
      <c r="AX119" s="7">
        <f>X119*0.00133545</f>
        <v/>
      </c>
      <c r="AY119" s="7">
        <f>Y119*0.00133545</f>
        <v/>
      </c>
      <c r="AZ119" s="7">
        <f>Z119*0.00133545</f>
        <v/>
      </c>
      <c r="BA119" s="7">
        <f>AA119*0.00133545</f>
        <v/>
      </c>
      <c r="BB119" s="7">
        <f>SUM(AD119:BA119)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Layout</t>
        </is>
      </c>
      <c r="B1" s="2" t="inlineStr">
        <is>
          <t>Layout Type</t>
        </is>
      </c>
      <c r="C1" s="2" t="inlineStr">
        <is>
          <t>Shift</t>
        </is>
      </c>
      <c r="D1" s="2" t="inlineStr">
        <is>
          <t>Peak MH</t>
        </is>
      </c>
      <c r="E1" s="2" t="inlineStr">
        <is>
          <t>Permanent</t>
        </is>
      </c>
      <c r="F1" s="2" t="inlineStr">
        <is>
          <t>Flex</t>
        </is>
      </c>
      <c r="G1" s="2" t="inlineStr">
        <is>
          <t>Total Heads</t>
        </is>
      </c>
    </row>
    <row r="2">
      <c r="A2" t="inlineStr">
        <is>
          <t>AMD-EXPR</t>
        </is>
      </c>
      <c r="B2" t="inlineStr">
        <is>
          <t>DSC Manual</t>
        </is>
      </c>
      <c r="C2" t="inlineStr">
        <is>
          <t>Shift 1 (Night)</t>
        </is>
      </c>
      <c r="D2" t="n">
        <v>1.147265548843327</v>
      </c>
      <c r="E2" t="n">
        <v>2</v>
      </c>
      <c r="F2" t="n">
        <v>1</v>
      </c>
      <c r="G2" t="n">
        <v>3</v>
      </c>
    </row>
    <row r="3">
      <c r="A3" t="inlineStr">
        <is>
          <t>AMD-EXPR</t>
        </is>
      </c>
      <c r="B3" t="inlineStr">
        <is>
          <t>DSC Manual</t>
        </is>
      </c>
      <c r="C3" t="inlineStr">
        <is>
          <t>Shift 2 (Morning)</t>
        </is>
      </c>
      <c r="D3" t="n">
        <v>0.2615827551632056</v>
      </c>
      <c r="E3" t="n">
        <v>1</v>
      </c>
      <c r="F3" t="n">
        <v>1</v>
      </c>
      <c r="G3" t="n">
        <v>2</v>
      </c>
    </row>
    <row r="4">
      <c r="A4" t="inlineStr">
        <is>
          <t>AMD-EXPR</t>
        </is>
      </c>
      <c r="B4" t="inlineStr">
        <is>
          <t>DSC Manual</t>
        </is>
      </c>
      <c r="C4" t="inlineStr">
        <is>
          <t>Shift 3 (Afternoon)</t>
        </is>
      </c>
      <c r="D4" t="n">
        <v>4.385109616191277</v>
      </c>
      <c r="E4" t="n">
        <v>4</v>
      </c>
      <c r="F4" t="n">
        <v>1</v>
      </c>
      <c r="G4" t="n">
        <v>5</v>
      </c>
    </row>
    <row r="5">
      <c r="A5" t="inlineStr">
        <is>
          <t>AMD-FK-SSC</t>
        </is>
      </c>
      <c r="B5" t="inlineStr">
        <is>
          <t>Prime at Client side</t>
        </is>
      </c>
      <c r="C5" t="inlineStr">
        <is>
          <t>Shift 1 (Night)</t>
        </is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AMD-FK-SSC</t>
        </is>
      </c>
      <c r="B6" t="inlineStr">
        <is>
          <t>Prime at Client side</t>
        </is>
      </c>
      <c r="C6" t="inlineStr">
        <is>
          <t>Shift 2 (Morning)</t>
        </is>
      </c>
      <c r="D6" t="n">
        <v>0.6429017786417027</v>
      </c>
      <c r="E6" t="n">
        <v>1</v>
      </c>
      <c r="F6" t="n">
        <v>1</v>
      </c>
      <c r="G6" t="n">
        <v>2</v>
      </c>
    </row>
    <row r="7">
      <c r="A7" t="inlineStr">
        <is>
          <t>AMD-FK-SSC</t>
        </is>
      </c>
      <c r="B7" t="inlineStr">
        <is>
          <t>Prime at Client side</t>
        </is>
      </c>
      <c r="C7" t="inlineStr">
        <is>
          <t>Shift 3 (Afternoon)</t>
        </is>
      </c>
      <c r="D7" t="n">
        <v>0.3138097571324027</v>
      </c>
      <c r="E7" t="n">
        <v>1</v>
      </c>
      <c r="F7" t="n">
        <v>1</v>
      </c>
      <c r="G7" t="n">
        <v>2</v>
      </c>
    </row>
    <row r="8">
      <c r="A8" t="inlineStr">
        <is>
          <t>AMD-M1</t>
        </is>
      </c>
      <c r="B8" t="inlineStr">
        <is>
          <t>Forward Regular OSC</t>
        </is>
      </c>
      <c r="C8" t="inlineStr">
        <is>
          <t>Shift 1 (Night)</t>
        </is>
      </c>
      <c r="D8" t="n">
        <v>20.50579898382838</v>
      </c>
      <c r="E8" t="n">
        <v>19</v>
      </c>
      <c r="F8" t="n">
        <v>3</v>
      </c>
      <c r="G8" t="n">
        <v>22</v>
      </c>
    </row>
    <row r="9">
      <c r="A9" t="inlineStr">
        <is>
          <t>AMD-M1</t>
        </is>
      </c>
      <c r="B9" t="inlineStr">
        <is>
          <t>Forward Regular OSC</t>
        </is>
      </c>
      <c r="C9" t="inlineStr">
        <is>
          <t>Shift 2 (Morning)</t>
        </is>
      </c>
      <c r="D9" t="n">
        <v>11.99661596608867</v>
      </c>
      <c r="E9" t="n">
        <v>11</v>
      </c>
      <c r="F9" t="n">
        <v>2</v>
      </c>
      <c r="G9" t="n">
        <v>13</v>
      </c>
    </row>
    <row r="10">
      <c r="A10" t="inlineStr">
        <is>
          <t>AMD-M1</t>
        </is>
      </c>
      <c r="B10" t="inlineStr">
        <is>
          <t>Forward Regular OSC</t>
        </is>
      </c>
      <c r="C10" t="inlineStr">
        <is>
          <t>Shift 3 (Afternoon)</t>
        </is>
      </c>
      <c r="D10" t="n">
        <v>2.779064495380482</v>
      </c>
      <c r="E10" t="n">
        <v>3</v>
      </c>
      <c r="F10" t="n">
        <v>1</v>
      </c>
      <c r="G10" t="n">
        <v>4</v>
      </c>
    </row>
    <row r="11">
      <c r="A11" t="inlineStr">
        <is>
          <t>AMD-M2</t>
        </is>
      </c>
      <c r="B11" t="inlineStr">
        <is>
          <t>Forward Regular OSC</t>
        </is>
      </c>
      <c r="C11" t="inlineStr">
        <is>
          <t>Shift 1 (Night)</t>
        </is>
      </c>
      <c r="D11" t="n">
        <v>64.03915823067588</v>
      </c>
      <c r="E11" t="n">
        <v>58</v>
      </c>
      <c r="F11" t="n">
        <v>9</v>
      </c>
      <c r="G11" t="n">
        <v>67</v>
      </c>
    </row>
    <row r="12">
      <c r="A12" t="inlineStr">
        <is>
          <t>AMD-M2</t>
        </is>
      </c>
      <c r="B12" t="inlineStr">
        <is>
          <t>Forward Regular OSC</t>
        </is>
      </c>
      <c r="C12" t="inlineStr">
        <is>
          <t>Shift 2 (Morning)</t>
        </is>
      </c>
      <c r="D12" t="n">
        <v>68.97826654427367</v>
      </c>
      <c r="E12" t="n">
        <v>63</v>
      </c>
      <c r="F12" t="n">
        <v>9</v>
      </c>
      <c r="G12" t="n">
        <v>72</v>
      </c>
    </row>
    <row r="13">
      <c r="A13" t="inlineStr">
        <is>
          <t>AMD-M2</t>
        </is>
      </c>
      <c r="B13" t="inlineStr">
        <is>
          <t>Forward Regular OSC</t>
        </is>
      </c>
      <c r="C13" t="inlineStr">
        <is>
          <t>Shift 3 (Afternoon)</t>
        </is>
      </c>
      <c r="D13" t="n">
        <v>13.11621640005952</v>
      </c>
      <c r="E13" t="n">
        <v>12</v>
      </c>
      <c r="F13" t="n">
        <v>2</v>
      </c>
      <c r="G13" t="n">
        <v>14</v>
      </c>
    </row>
    <row r="14">
      <c r="A14" t="inlineStr">
        <is>
          <t>AMD-MU-01</t>
        </is>
      </c>
      <c r="B14" t="inlineStr">
        <is>
          <t>Forward Regular OSC</t>
        </is>
      </c>
      <c r="C14" t="inlineStr">
        <is>
          <t>Shift 1 (Night)</t>
        </is>
      </c>
      <c r="D14" t="n">
        <v>0.00177202934</v>
      </c>
      <c r="E14" t="n">
        <v>1</v>
      </c>
      <c r="F14" t="n">
        <v>1</v>
      </c>
      <c r="G14" t="n">
        <v>2</v>
      </c>
    </row>
    <row r="15">
      <c r="A15" t="inlineStr">
        <is>
          <t>AMD-MU-01</t>
        </is>
      </c>
      <c r="B15" t="inlineStr">
        <is>
          <t>Forward Regular OSC</t>
        </is>
      </c>
      <c r="C15" t="inlineStr">
        <is>
          <t>Shift 2 (Morning)</t>
        </is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AMD-MU-01</t>
        </is>
      </c>
      <c r="B16" t="inlineStr">
        <is>
          <t>Forward Regular OSC</t>
        </is>
      </c>
      <c r="C16" t="inlineStr">
        <is>
          <t>Shift 3 (Afternoon)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AMD-RTS-RCLS-1302-SSC</t>
        </is>
      </c>
      <c r="B17" t="inlineStr">
        <is>
          <t>Rev OSC</t>
        </is>
      </c>
      <c r="C17" t="inlineStr">
        <is>
          <t>Shift 1 (Night)</t>
        </is>
      </c>
      <c r="D17" t="n">
        <v>8.519326644806021</v>
      </c>
      <c r="E17" t="n">
        <v>8</v>
      </c>
      <c r="F17" t="n">
        <v>2</v>
      </c>
      <c r="G17" t="n">
        <v>10</v>
      </c>
    </row>
    <row r="18">
      <c r="A18" t="inlineStr">
        <is>
          <t>AMD-RTS-RCLS-1302-SSC</t>
        </is>
      </c>
      <c r="B18" t="inlineStr">
        <is>
          <t>Rev OSC</t>
        </is>
      </c>
      <c r="C18" t="inlineStr">
        <is>
          <t>Shift 2 (Morning)</t>
        </is>
      </c>
      <c r="D18" t="n">
        <v>3.498615820342418</v>
      </c>
      <c r="E18" t="n">
        <v>4</v>
      </c>
      <c r="F18" t="n">
        <v>1</v>
      </c>
      <c r="G18" t="n">
        <v>5</v>
      </c>
    </row>
    <row r="19">
      <c r="A19" t="inlineStr">
        <is>
          <t>AMD-RTS-RCLS-1302-SSC</t>
        </is>
      </c>
      <c r="B19" t="inlineStr">
        <is>
          <t>Rev OSC</t>
        </is>
      </c>
      <c r="C19" t="inlineStr">
        <is>
          <t>Shift 3 (Afternoon)</t>
        </is>
      </c>
      <c r="D19" t="n">
        <v>24.18388896054726</v>
      </c>
      <c r="E19" t="n">
        <v>22</v>
      </c>
      <c r="F19" t="n">
        <v>4</v>
      </c>
      <c r="G19" t="n">
        <v>26</v>
      </c>
    </row>
    <row r="20">
      <c r="A20" t="inlineStr">
        <is>
          <t>AMD-RTS-RCLS-1302-SSC_1</t>
        </is>
      </c>
      <c r="B20" t="inlineStr">
        <is>
          <t>Rev OSC</t>
        </is>
      </c>
      <c r="C20" t="inlineStr">
        <is>
          <t>Shift 1 (Night)</t>
        </is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AMD-RTS-RCLS-1302-SSC_1</t>
        </is>
      </c>
      <c r="B21" t="inlineStr">
        <is>
          <t>Rev OSC</t>
        </is>
      </c>
      <c r="C21" t="inlineStr">
        <is>
          <t>Shift 2 (Morning)</t>
        </is>
      </c>
      <c r="D21" t="n">
        <v>1.401451348916666</v>
      </c>
      <c r="E21" t="n">
        <v>2</v>
      </c>
      <c r="F21" t="n">
        <v>1</v>
      </c>
      <c r="G21" t="n">
        <v>3</v>
      </c>
    </row>
    <row r="22">
      <c r="A22" t="inlineStr">
        <is>
          <t>AMD-RTS-RCLS-1302-SSC_1</t>
        </is>
      </c>
      <c r="B22" t="inlineStr">
        <is>
          <t>Rev OSC</t>
        </is>
      </c>
      <c r="C22" t="inlineStr">
        <is>
          <t>Shift 3 (Afternoon)</t>
        </is>
      </c>
      <c r="D22" t="n">
        <v>0.1194174566666667</v>
      </c>
      <c r="E22" t="n">
        <v>1</v>
      </c>
      <c r="F22" t="n">
        <v>1</v>
      </c>
      <c r="G22" t="n">
        <v>2</v>
      </c>
    </row>
    <row r="23">
      <c r="A23" t="inlineStr">
        <is>
          <t>DC-10-1</t>
        </is>
      </c>
      <c r="B23" t="inlineStr">
        <is>
          <t>DSC Manual</t>
        </is>
      </c>
      <c r="C23" t="inlineStr">
        <is>
          <t>Shift 1 (Night)</t>
        </is>
      </c>
      <c r="D23" t="n">
        <v>9.761834254848084</v>
      </c>
      <c r="E23" t="n">
        <v>9</v>
      </c>
      <c r="F23" t="n">
        <v>2</v>
      </c>
      <c r="G23" t="n">
        <v>11</v>
      </c>
    </row>
    <row r="24">
      <c r="A24" t="inlineStr">
        <is>
          <t>DC-10-1</t>
        </is>
      </c>
      <c r="B24" t="inlineStr">
        <is>
          <t>DSC Manual</t>
        </is>
      </c>
      <c r="C24" t="inlineStr">
        <is>
          <t>Shift 2 (Morning)</t>
        </is>
      </c>
      <c r="D24" t="n">
        <v>2.324044430726258</v>
      </c>
      <c r="E24" t="n">
        <v>3</v>
      </c>
      <c r="F24" t="n">
        <v>1</v>
      </c>
      <c r="G24" t="n">
        <v>4</v>
      </c>
    </row>
    <row r="25">
      <c r="A25" t="inlineStr">
        <is>
          <t>DC-10-1</t>
        </is>
      </c>
      <c r="B25" t="inlineStr">
        <is>
          <t>DSC Manual</t>
        </is>
      </c>
      <c r="C25" t="inlineStr">
        <is>
          <t>Shift 3 (Afternoon)</t>
        </is>
      </c>
      <c r="D25" t="n">
        <v>30.80454462321004</v>
      </c>
      <c r="E25" t="n">
        <v>28</v>
      </c>
      <c r="F25" t="n">
        <v>4</v>
      </c>
      <c r="G25" t="n">
        <v>32</v>
      </c>
    </row>
    <row r="26">
      <c r="A26" s="1" t="inlineStr">
        <is>
          <t>TOTAL</t>
        </is>
      </c>
      <c r="D26" s="1">
        <f>SUM(D2:D25)</f>
        <v/>
      </c>
      <c r="E26" s="1">
        <f>SUM(E2:E25)</f>
        <v/>
      </c>
      <c r="F26" s="1">
        <f>SUM(F2:F25)</f>
        <v/>
      </c>
      <c r="G26" s="1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2026-03-25T10:50:30Z</dcterms:created>
  <dcterms:modified xsi:type="dcterms:W3CDTF">2026-03-25T10:50:30Z</dcterms:modified>
</cp:coreProperties>
</file>